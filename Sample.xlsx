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UYENTHANHTHAO\Downloads\"/>
    </mc:Choice>
  </mc:AlternateContent>
  <xr:revisionPtr revIDLastSave="0" documentId="13_ncr:1_{1CC56708-C750-44B7-BB0C-A3A99D592E65}" xr6:coauthVersionLast="47" xr6:coauthVersionMax="47" xr10:uidLastSave="{00000000-0000-0000-0000-000000000000}"/>
  <bookViews>
    <workbookView xWindow="-109" yWindow="-109" windowWidth="18775" windowHeight="10067" tabRatio="870" activeTab="11" xr2:uid="{00000000-000D-0000-FFFF-FFFF00000000}"/>
  </bookViews>
  <sheets>
    <sheet name="TỔNG HỢP" sheetId="22" r:id="rId1"/>
    <sheet name="mau2" sheetId="33" state="hidden" r:id="rId2"/>
    <sheet name="mau1" sheetId="32" state="hidden" r:id="rId3"/>
    <sheet name="mau3" sheetId="34" state="hidden" r:id="rId4"/>
    <sheet name="TONGHOP" sheetId="31" state="hidden" r:id="rId5"/>
    <sheet name="XTTH" sheetId="30" state="hidden" r:id="rId6"/>
    <sheet name="HNTH" sheetId="24" state="hidden" r:id="rId7"/>
    <sheet name="NĐTH" sheetId="25" state="hidden" r:id="rId8"/>
    <sheet name="TTSSKĐTH" sheetId="26" state="hidden" r:id="rId9"/>
    <sheet name="KHPTH" sheetId="27" state="hidden" r:id="rId10"/>
    <sheet name="KMBTH" sheetId="28" state="hidden" r:id="rId11"/>
    <sheet name="HN" sheetId="17" r:id="rId12"/>
    <sheet name="DIEUCHINH" sheetId="35" state="hidden" r:id="rId13"/>
    <sheet name="NĐ" sheetId="18" r:id="rId14"/>
    <sheet name="TTSSKĐ" sheetId="19" r:id="rId15"/>
    <sheet name="XT" sheetId="29" r:id="rId16"/>
    <sheet name="KHP" sheetId="20" r:id="rId17"/>
    <sheet name="KMB" sheetId="21" r:id="rId18"/>
  </sheets>
  <definedNames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Fill" hidden="1">#REF!</definedName>
    <definedName name="_Key1" hidden="1">#REF!</definedName>
    <definedName name="_Key2" hidden="1">#REF!</definedName>
    <definedName name="_m4" hidden="1">{"'Sheet1'!$L$16"}</definedName>
    <definedName name="_Order1" hidden="1">255</definedName>
    <definedName name="_Order2" hidden="1">255</definedName>
    <definedName name="_Sort" hidden="1">#REF!</definedName>
    <definedName name="ằ" hidden="1">{"'Sheet1'!$L$16"}</definedName>
    <definedName name="aavavavav" hidden="1">{#N/A,#N/A,FALSE,"Chi tiÆt"}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âfA" hidden="1">{"'Sheet1'!$L$16"}</definedName>
    <definedName name="ăg" hidden="1">{"'Sheet1'!$L$16"}</definedName>
    <definedName name="ẩgg" hidden="1">{"'Sheet1'!$L$16"}</definedName>
    <definedName name="ầgga" hidden="1">{"'Sheet1'!$L$16"}</definedName>
    <definedName name="AS2DocOpenMode" hidden="1">"AS2DocumentEdit"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CP" hidden="1">#REF!</definedName>
    <definedName name="deedfsd" hidden="1">{"'Sheet1'!$L$16"}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đfnfndfn" hidden="1">{#N/A,#N/A,FALSE,"Chi tiÆt"}</definedName>
    <definedName name="đhf" hidden="1">{"'Sheet1'!$L$16"}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sgsw.sgrs.grsg_.sg" hidden="1">{#N/A,#N/A,FALSE,"Chi tiÆt"}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sgtew" hidden="1">{#N/A,#N/A,FALSE,"Chi tiÆt"}</definedName>
    <definedName name="etethtehbdex" hidden="1">{#N/A,#N/A,FALSE,"Chi tiÆt"}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hidden="1">{"'Sheet1'!$L$16"}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đhbfbd" hidden="1">{#N/A,#N/A,FALSE,"Chi tiÆt"}</definedName>
    <definedName name="fđhh" hidden="1">{"'Sheet1'!$L$16"}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jrđjsjs" hidden="1">{"'Sheet1'!$L$16"}</definedName>
    <definedName name="gteyhưez" hidden="1">{"'Sheet1'!$L$16"}</definedName>
    <definedName name="gwf" hidden="1">{#N/A,#N/A,FALSE,"Chi tiÆt"}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ẻy" hidden="1">{"'Sheet1'!$L$16"}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re_zdfhgfd" hidden="1">{"'Sheet1'!$L$16"}</definedName>
    <definedName name="hhhthrh" hidden="1">{#N/A,#N/A,FALSE,"Chi tiÆt"}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sgbhtgrư" hidden="1">{#N/A,#N/A,FALSE,"Chi tiÆt"}</definedName>
    <definedName name="htjhtjftj" hidden="1">{#N/A,#N/A,FALSE,"Chi tiÆt"}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riu4" hidden="1">{#N/A,#N/A,FALSE,"Chi tiÆt"}</definedName>
    <definedName name="huy" hidden="1">{"'Sheet1'!$L$16"}</definedName>
    <definedName name="ịth" hidden="1">{"'Sheet1'!$L$16"}</definedName>
    <definedName name="jýỵy" hidden="1">{"'Sheet1'!$L$16"}</definedName>
    <definedName name="kdkk" hidden="1">{"'Sheet1'!$L$16"}</definedName>
    <definedName name="ktdk0" hidden="1">{#N/A,#N/A,FALSE,"Chi tiÆt"}</definedName>
    <definedName name="new" hidden="1">{"'Sheet1'!$L$16"}</definedName>
    <definedName name="qềqg" hidden="1">{"'Sheet1'!$L$16"}</definedName>
    <definedName name="qừq" hidden="1">{#N/A,#N/A,FALSE,"Chi tiÆt"}</definedName>
    <definedName name="rdrdd" hidden="1">{#N/A,#N/A,FALSE,"Chi tiÆt"}</definedName>
    <definedName name="rhgrs" hidden="1">{"'Sheet1'!$L$16"}</definedName>
    <definedName name="rhrewhehe" hidden="1">{#N/A,#N/A,FALSE,"Chi tiÆt"}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yhtrd" hidden="1">{#N/A,#N/A,FALSE,"Chi tiÆt"}</definedName>
    <definedName name="sdf" hidden="1">{"'Sheet1'!$L$16"}</definedName>
    <definedName name="sgsr" hidden="1">{"'Sheet1'!$L$16"}</definedName>
    <definedName name="shsrhtr" hidden="1">{"'Sheet1'!$L$16"}</definedName>
    <definedName name="TextRefCopyRangeCount" hidden="1">48</definedName>
    <definedName name="tgưgz" hidden="1">{"'Sheet1'!$L$16"}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rrh" hidden="1">{"'Sheet1'!$L$16"}</definedName>
    <definedName name="uassw_sh" hidden="1">{"'Sheet1'!$L$16"}</definedName>
    <definedName name="ủnt" hidden="1">{"'Sheet1'!$L$16"}</definedName>
    <definedName name="ủytỉt" hidden="1">{"'Sheet1'!$L$16"}</definedName>
    <definedName name="uytjhtdjtj" hidden="1">{"'Sheet1'!$L$16"}</definedName>
    <definedName name="wgyw" hidden="1">{"'Sheet1'!$L$16"}</definedName>
    <definedName name="wrn.chi._.tiÆt.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whh" hidden="1">{#N/A,#N/A,FALSE,"Chi tiÆt"}</definedName>
    <definedName name="wwhwhwrh" hidden="1">{"'Sheet1'!$L$16"}</definedName>
    <definedName name="ỳdhgg" hidden="1">{"'Sheet1'!$L$16"}</definedName>
    <definedName name="ỵu" hidden="1">{"'Sheet1'!$L$16"}</definedName>
    <definedName name="yyjy_ukyu" hidden="1">{"'Sheet1'!$L$16"}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0" i="28" l="1"/>
  <c r="K400" i="28"/>
  <c r="J400" i="28"/>
  <c r="I400" i="28"/>
  <c r="H400" i="28"/>
  <c r="G400" i="28"/>
  <c r="F400" i="28"/>
  <c r="E400" i="28"/>
  <c r="D400" i="28"/>
  <c r="C400" i="28"/>
  <c r="B400" i="28"/>
  <c r="A400" i="28"/>
  <c r="L399" i="28"/>
  <c r="K399" i="28"/>
  <c r="J399" i="28"/>
  <c r="I399" i="28"/>
  <c r="H399" i="28"/>
  <c r="G399" i="28"/>
  <c r="F399" i="28"/>
  <c r="E399" i="28"/>
  <c r="D399" i="28"/>
  <c r="C399" i="28"/>
  <c r="B399" i="28"/>
  <c r="A399" i="28"/>
  <c r="L398" i="28"/>
  <c r="K398" i="28"/>
  <c r="J398" i="28"/>
  <c r="I398" i="28"/>
  <c r="H398" i="28"/>
  <c r="G398" i="28"/>
  <c r="F398" i="28"/>
  <c r="E398" i="28"/>
  <c r="D398" i="28"/>
  <c r="C398" i="28"/>
  <c r="B398" i="28"/>
  <c r="A398" i="28"/>
  <c r="L397" i="28"/>
  <c r="K397" i="28"/>
  <c r="J397" i="28"/>
  <c r="I397" i="28"/>
  <c r="H397" i="28"/>
  <c r="G397" i="28"/>
  <c r="F397" i="28"/>
  <c r="E397" i="28"/>
  <c r="D397" i="28"/>
  <c r="C397" i="28"/>
  <c r="B397" i="28"/>
  <c r="A397" i="28"/>
  <c r="L396" i="28"/>
  <c r="K396" i="28"/>
  <c r="J396" i="28"/>
  <c r="I396" i="28"/>
  <c r="H396" i="28"/>
  <c r="G396" i="28"/>
  <c r="F396" i="28"/>
  <c r="E396" i="28"/>
  <c r="D396" i="28"/>
  <c r="C396" i="28"/>
  <c r="B396" i="28"/>
  <c r="A396" i="28"/>
  <c r="L395" i="28"/>
  <c r="K395" i="28"/>
  <c r="J395" i="28"/>
  <c r="I395" i="28"/>
  <c r="H395" i="28"/>
  <c r="G395" i="28"/>
  <c r="F395" i="28"/>
  <c r="E395" i="28"/>
  <c r="D395" i="28"/>
  <c r="C395" i="28"/>
  <c r="B395" i="28"/>
  <c r="A395" i="28"/>
  <c r="L394" i="28"/>
  <c r="K394" i="28"/>
  <c r="J394" i="28"/>
  <c r="I394" i="28"/>
  <c r="H394" i="28"/>
  <c r="G394" i="28"/>
  <c r="F394" i="28"/>
  <c r="E394" i="28"/>
  <c r="D394" i="28"/>
  <c r="C394" i="28"/>
  <c r="B394" i="28"/>
  <c r="A394" i="28"/>
  <c r="L393" i="28"/>
  <c r="K393" i="28"/>
  <c r="J393" i="28"/>
  <c r="I393" i="28"/>
  <c r="H393" i="28"/>
  <c r="G393" i="28"/>
  <c r="F393" i="28"/>
  <c r="E393" i="28"/>
  <c r="D393" i="28"/>
  <c r="C393" i="28"/>
  <c r="B393" i="28"/>
  <c r="A393" i="28"/>
  <c r="L392" i="28"/>
  <c r="K392" i="28"/>
  <c r="J392" i="28"/>
  <c r="I392" i="28"/>
  <c r="H392" i="28"/>
  <c r="G392" i="28"/>
  <c r="F392" i="28"/>
  <c r="E392" i="28"/>
  <c r="D392" i="28"/>
  <c r="C392" i="28"/>
  <c r="B392" i="28"/>
  <c r="A392" i="28"/>
  <c r="L391" i="28"/>
  <c r="K391" i="28"/>
  <c r="J391" i="28"/>
  <c r="I391" i="28"/>
  <c r="H391" i="28"/>
  <c r="G391" i="28"/>
  <c r="F391" i="28"/>
  <c r="E391" i="28"/>
  <c r="D391" i="28"/>
  <c r="C391" i="28"/>
  <c r="B391" i="28"/>
  <c r="A391" i="28"/>
  <c r="L390" i="28"/>
  <c r="K390" i="28"/>
  <c r="J390" i="28"/>
  <c r="I390" i="28"/>
  <c r="H390" i="28"/>
  <c r="G390" i="28"/>
  <c r="F390" i="28"/>
  <c r="E390" i="28"/>
  <c r="D390" i="28"/>
  <c r="C390" i="28"/>
  <c r="B390" i="28"/>
  <c r="A390" i="28"/>
  <c r="L389" i="28"/>
  <c r="K389" i="28"/>
  <c r="J389" i="28"/>
  <c r="I389" i="28"/>
  <c r="H389" i="28"/>
  <c r="G389" i="28"/>
  <c r="F389" i="28"/>
  <c r="E389" i="28"/>
  <c r="D389" i="28"/>
  <c r="C389" i="28"/>
  <c r="B389" i="28"/>
  <c r="A389" i="28"/>
  <c r="L388" i="28"/>
  <c r="K388" i="28"/>
  <c r="J388" i="28"/>
  <c r="I388" i="28"/>
  <c r="H388" i="28"/>
  <c r="G388" i="28"/>
  <c r="F388" i="28"/>
  <c r="E388" i="28"/>
  <c r="D388" i="28"/>
  <c r="C388" i="28"/>
  <c r="B388" i="28"/>
  <c r="A388" i="28"/>
  <c r="L387" i="28"/>
  <c r="K387" i="28"/>
  <c r="J387" i="28"/>
  <c r="I387" i="28"/>
  <c r="H387" i="28"/>
  <c r="G387" i="28"/>
  <c r="F387" i="28"/>
  <c r="E387" i="28"/>
  <c r="D387" i="28"/>
  <c r="C387" i="28"/>
  <c r="B387" i="28"/>
  <c r="A387" i="28"/>
  <c r="L386" i="28"/>
  <c r="K386" i="28"/>
  <c r="J386" i="28"/>
  <c r="I386" i="28"/>
  <c r="H386" i="28"/>
  <c r="G386" i="28"/>
  <c r="F386" i="28"/>
  <c r="E386" i="28"/>
  <c r="D386" i="28"/>
  <c r="C386" i="28"/>
  <c r="B386" i="28"/>
  <c r="A386" i="28"/>
  <c r="L385" i="28"/>
  <c r="K385" i="28"/>
  <c r="J385" i="28"/>
  <c r="I385" i="28"/>
  <c r="H385" i="28"/>
  <c r="G385" i="28"/>
  <c r="F385" i="28"/>
  <c r="E385" i="28"/>
  <c r="D385" i="28"/>
  <c r="C385" i="28"/>
  <c r="B385" i="28"/>
  <c r="A385" i="28"/>
  <c r="L384" i="28"/>
  <c r="K384" i="28"/>
  <c r="J384" i="28"/>
  <c r="I384" i="28"/>
  <c r="H384" i="28"/>
  <c r="G384" i="28"/>
  <c r="F384" i="28"/>
  <c r="E384" i="28"/>
  <c r="D384" i="28"/>
  <c r="C384" i="28"/>
  <c r="B384" i="28"/>
  <c r="A384" i="28"/>
  <c r="L383" i="28"/>
  <c r="K383" i="28"/>
  <c r="J383" i="28"/>
  <c r="I383" i="28"/>
  <c r="H383" i="28"/>
  <c r="G383" i="28"/>
  <c r="F383" i="28"/>
  <c r="E383" i="28"/>
  <c r="D383" i="28"/>
  <c r="C383" i="28"/>
  <c r="B383" i="28"/>
  <c r="A383" i="28"/>
  <c r="L382" i="28"/>
  <c r="K382" i="28"/>
  <c r="J382" i="28"/>
  <c r="I382" i="28"/>
  <c r="H382" i="28"/>
  <c r="G382" i="28"/>
  <c r="F382" i="28"/>
  <c r="E382" i="28"/>
  <c r="D382" i="28"/>
  <c r="C382" i="28"/>
  <c r="B382" i="28"/>
  <c r="A382" i="28"/>
  <c r="L381" i="28"/>
  <c r="K381" i="28"/>
  <c r="J381" i="28"/>
  <c r="I381" i="28"/>
  <c r="H381" i="28"/>
  <c r="G381" i="28"/>
  <c r="F381" i="28"/>
  <c r="E381" i="28"/>
  <c r="D381" i="28"/>
  <c r="C381" i="28"/>
  <c r="B381" i="28"/>
  <c r="A381" i="28"/>
  <c r="L380" i="28"/>
  <c r="K380" i="28"/>
  <c r="J380" i="28"/>
  <c r="I380" i="28"/>
  <c r="H380" i="28"/>
  <c r="G380" i="28"/>
  <c r="F380" i="28"/>
  <c r="E380" i="28"/>
  <c r="D380" i="28"/>
  <c r="C380" i="28"/>
  <c r="B380" i="28"/>
  <c r="A380" i="28"/>
  <c r="L379" i="28"/>
  <c r="K379" i="28"/>
  <c r="J379" i="28"/>
  <c r="I379" i="28"/>
  <c r="H379" i="28"/>
  <c r="G379" i="28"/>
  <c r="F379" i="28"/>
  <c r="E379" i="28"/>
  <c r="D379" i="28"/>
  <c r="C379" i="28"/>
  <c r="B379" i="28"/>
  <c r="A379" i="28"/>
  <c r="L378" i="28"/>
  <c r="K378" i="28"/>
  <c r="J378" i="28"/>
  <c r="I378" i="28"/>
  <c r="H378" i="28"/>
  <c r="G378" i="28"/>
  <c r="F378" i="28"/>
  <c r="E378" i="28"/>
  <c r="D378" i="28"/>
  <c r="C378" i="28"/>
  <c r="B378" i="28"/>
  <c r="A378" i="28"/>
  <c r="L377" i="28"/>
  <c r="K377" i="28"/>
  <c r="J377" i="28"/>
  <c r="I377" i="28"/>
  <c r="H377" i="28"/>
  <c r="G377" i="28"/>
  <c r="F377" i="28"/>
  <c r="E377" i="28"/>
  <c r="D377" i="28"/>
  <c r="C377" i="28"/>
  <c r="B377" i="28"/>
  <c r="A377" i="28"/>
  <c r="L376" i="28"/>
  <c r="K376" i="28"/>
  <c r="J376" i="28"/>
  <c r="I376" i="28"/>
  <c r="H376" i="28"/>
  <c r="G376" i="28"/>
  <c r="F376" i="28"/>
  <c r="E376" i="28"/>
  <c r="D376" i="28"/>
  <c r="C376" i="28"/>
  <c r="B376" i="28"/>
  <c r="A376" i="28"/>
  <c r="L375" i="28"/>
  <c r="K375" i="28"/>
  <c r="J375" i="28"/>
  <c r="I375" i="28"/>
  <c r="H375" i="28"/>
  <c r="G375" i="28"/>
  <c r="F375" i="28"/>
  <c r="E375" i="28"/>
  <c r="D375" i="28"/>
  <c r="C375" i="28"/>
  <c r="B375" i="28"/>
  <c r="A375" i="28"/>
  <c r="L374" i="28"/>
  <c r="K374" i="28"/>
  <c r="J374" i="28"/>
  <c r="I374" i="28"/>
  <c r="H374" i="28"/>
  <c r="G374" i="28"/>
  <c r="F374" i="28"/>
  <c r="E374" i="28"/>
  <c r="D374" i="28"/>
  <c r="C374" i="28"/>
  <c r="B374" i="28"/>
  <c r="A374" i="28"/>
  <c r="L373" i="28"/>
  <c r="K373" i="28"/>
  <c r="J373" i="28"/>
  <c r="I373" i="28"/>
  <c r="H373" i="28"/>
  <c r="G373" i="28"/>
  <c r="F373" i="28"/>
  <c r="E373" i="28"/>
  <c r="D373" i="28"/>
  <c r="C373" i="28"/>
  <c r="B373" i="28"/>
  <c r="A373" i="28"/>
  <c r="L372" i="28"/>
  <c r="K372" i="28"/>
  <c r="J372" i="28"/>
  <c r="I372" i="28"/>
  <c r="H372" i="28"/>
  <c r="G372" i="28"/>
  <c r="F372" i="28"/>
  <c r="E372" i="28"/>
  <c r="D372" i="28"/>
  <c r="C372" i="28"/>
  <c r="B372" i="28"/>
  <c r="A372" i="28"/>
  <c r="L371" i="28"/>
  <c r="K371" i="28"/>
  <c r="J371" i="28"/>
  <c r="I371" i="28"/>
  <c r="H371" i="28"/>
  <c r="G371" i="28"/>
  <c r="F371" i="28"/>
  <c r="E371" i="28"/>
  <c r="D371" i="28"/>
  <c r="C371" i="28"/>
  <c r="B371" i="28"/>
  <c r="A371" i="28"/>
  <c r="L370" i="28"/>
  <c r="K370" i="28"/>
  <c r="J370" i="28"/>
  <c r="I370" i="28"/>
  <c r="H370" i="28"/>
  <c r="G370" i="28"/>
  <c r="F370" i="28"/>
  <c r="E370" i="28"/>
  <c r="D370" i="28"/>
  <c r="C370" i="28"/>
  <c r="B370" i="28"/>
  <c r="A370" i="28"/>
  <c r="L369" i="28"/>
  <c r="K369" i="28"/>
  <c r="J369" i="28"/>
  <c r="I369" i="28"/>
  <c r="H369" i="28"/>
  <c r="G369" i="28"/>
  <c r="F369" i="28"/>
  <c r="E369" i="28"/>
  <c r="D369" i="28"/>
  <c r="C369" i="28"/>
  <c r="B369" i="28"/>
  <c r="A369" i="28"/>
  <c r="L368" i="28"/>
  <c r="K368" i="28"/>
  <c r="J368" i="28"/>
  <c r="I368" i="28"/>
  <c r="H368" i="28"/>
  <c r="G368" i="28"/>
  <c r="F368" i="28"/>
  <c r="E368" i="28"/>
  <c r="D368" i="28"/>
  <c r="C368" i="28"/>
  <c r="B368" i="28"/>
  <c r="A368" i="28"/>
  <c r="L367" i="28"/>
  <c r="K367" i="28"/>
  <c r="J367" i="28"/>
  <c r="I367" i="28"/>
  <c r="H367" i="28"/>
  <c r="G367" i="28"/>
  <c r="F367" i="28"/>
  <c r="E367" i="28"/>
  <c r="D367" i="28"/>
  <c r="C367" i="28"/>
  <c r="B367" i="28"/>
  <c r="A367" i="28"/>
  <c r="L366" i="28"/>
  <c r="K366" i="28"/>
  <c r="J366" i="28"/>
  <c r="I366" i="28"/>
  <c r="H366" i="28"/>
  <c r="G366" i="28"/>
  <c r="F366" i="28"/>
  <c r="E366" i="28"/>
  <c r="D366" i="28"/>
  <c r="C366" i="28"/>
  <c r="B366" i="28"/>
  <c r="A366" i="28"/>
  <c r="L365" i="28"/>
  <c r="K365" i="28"/>
  <c r="J365" i="28"/>
  <c r="I365" i="28"/>
  <c r="H365" i="28"/>
  <c r="G365" i="28"/>
  <c r="F365" i="28"/>
  <c r="E365" i="28"/>
  <c r="D365" i="28"/>
  <c r="C365" i="28"/>
  <c r="B365" i="28"/>
  <c r="A365" i="28"/>
  <c r="L364" i="28"/>
  <c r="K364" i="28"/>
  <c r="J364" i="28"/>
  <c r="I364" i="28"/>
  <c r="H364" i="28"/>
  <c r="G364" i="28"/>
  <c r="F364" i="28"/>
  <c r="E364" i="28"/>
  <c r="D364" i="28"/>
  <c r="C364" i="28"/>
  <c r="B364" i="28"/>
  <c r="A364" i="28"/>
  <c r="L363" i="28"/>
  <c r="K363" i="28"/>
  <c r="J363" i="28"/>
  <c r="I363" i="28"/>
  <c r="H363" i="28"/>
  <c r="G363" i="28"/>
  <c r="F363" i="28"/>
  <c r="E363" i="28"/>
  <c r="D363" i="28"/>
  <c r="C363" i="28"/>
  <c r="B363" i="28"/>
  <c r="A363" i="28"/>
  <c r="L362" i="28"/>
  <c r="K362" i="28"/>
  <c r="J362" i="28"/>
  <c r="I362" i="28"/>
  <c r="H362" i="28"/>
  <c r="G362" i="28"/>
  <c r="F362" i="28"/>
  <c r="E362" i="28"/>
  <c r="D362" i="28"/>
  <c r="C362" i="28"/>
  <c r="B362" i="28"/>
  <c r="A362" i="28"/>
  <c r="L361" i="28"/>
  <c r="K361" i="28"/>
  <c r="J361" i="28"/>
  <c r="I361" i="28"/>
  <c r="H361" i="28"/>
  <c r="G361" i="28"/>
  <c r="F361" i="28"/>
  <c r="E361" i="28"/>
  <c r="D361" i="28"/>
  <c r="C361" i="28"/>
  <c r="B361" i="28"/>
  <c r="A361" i="28"/>
  <c r="L360" i="28"/>
  <c r="K360" i="28"/>
  <c r="J360" i="28"/>
  <c r="I360" i="28"/>
  <c r="H360" i="28"/>
  <c r="G360" i="28"/>
  <c r="F360" i="28"/>
  <c r="E360" i="28"/>
  <c r="D360" i="28"/>
  <c r="C360" i="28"/>
  <c r="B360" i="28"/>
  <c r="A360" i="28"/>
  <c r="L359" i="28"/>
  <c r="K359" i="28"/>
  <c r="J359" i="28"/>
  <c r="I359" i="28"/>
  <c r="H359" i="28"/>
  <c r="G359" i="28"/>
  <c r="F359" i="28"/>
  <c r="E359" i="28"/>
  <c r="D359" i="28"/>
  <c r="C359" i="28"/>
  <c r="B359" i="28"/>
  <c r="A359" i="28"/>
  <c r="L358" i="28"/>
  <c r="K358" i="28"/>
  <c r="J358" i="28"/>
  <c r="I358" i="28"/>
  <c r="H358" i="28"/>
  <c r="G358" i="28"/>
  <c r="F358" i="28"/>
  <c r="E358" i="28"/>
  <c r="D358" i="28"/>
  <c r="C358" i="28"/>
  <c r="B358" i="28"/>
  <c r="A358" i="28"/>
  <c r="L357" i="28"/>
  <c r="K357" i="28"/>
  <c r="J357" i="28"/>
  <c r="I357" i="28"/>
  <c r="H357" i="28"/>
  <c r="G357" i="28"/>
  <c r="F357" i="28"/>
  <c r="E357" i="28"/>
  <c r="D357" i="28"/>
  <c r="C357" i="28"/>
  <c r="B357" i="28"/>
  <c r="A357" i="28"/>
  <c r="L356" i="28"/>
  <c r="K356" i="28"/>
  <c r="J356" i="28"/>
  <c r="I356" i="28"/>
  <c r="H356" i="28"/>
  <c r="G356" i="28"/>
  <c r="F356" i="28"/>
  <c r="E356" i="28"/>
  <c r="D356" i="28"/>
  <c r="C356" i="28"/>
  <c r="B356" i="28"/>
  <c r="A356" i="28"/>
  <c r="L355" i="28"/>
  <c r="K355" i="28"/>
  <c r="J355" i="28"/>
  <c r="I355" i="28"/>
  <c r="H355" i="28"/>
  <c r="G355" i="28"/>
  <c r="F355" i="28"/>
  <c r="E355" i="28"/>
  <c r="D355" i="28"/>
  <c r="C355" i="28"/>
  <c r="B355" i="28"/>
  <c r="A355" i="28"/>
  <c r="L354" i="28"/>
  <c r="K354" i="28"/>
  <c r="J354" i="28"/>
  <c r="I354" i="28"/>
  <c r="H354" i="28"/>
  <c r="G354" i="28"/>
  <c r="F354" i="28"/>
  <c r="E354" i="28"/>
  <c r="D354" i="28"/>
  <c r="C354" i="28"/>
  <c r="B354" i="28"/>
  <c r="A354" i="28"/>
  <c r="L353" i="28"/>
  <c r="K353" i="28"/>
  <c r="J353" i="28"/>
  <c r="I353" i="28"/>
  <c r="H353" i="28"/>
  <c r="G353" i="28"/>
  <c r="F353" i="28"/>
  <c r="E353" i="28"/>
  <c r="D353" i="28"/>
  <c r="C353" i="28"/>
  <c r="B353" i="28"/>
  <c r="A353" i="28"/>
  <c r="L352" i="28"/>
  <c r="K352" i="28"/>
  <c r="J352" i="28"/>
  <c r="I352" i="28"/>
  <c r="H352" i="28"/>
  <c r="G352" i="28"/>
  <c r="F352" i="28"/>
  <c r="E352" i="28"/>
  <c r="D352" i="28"/>
  <c r="C352" i="28"/>
  <c r="B352" i="28"/>
  <c r="A352" i="28"/>
  <c r="L351" i="28"/>
  <c r="K351" i="28"/>
  <c r="J351" i="28"/>
  <c r="I351" i="28"/>
  <c r="H351" i="28"/>
  <c r="G351" i="28"/>
  <c r="F351" i="28"/>
  <c r="E351" i="28"/>
  <c r="D351" i="28"/>
  <c r="C351" i="28"/>
  <c r="B351" i="28"/>
  <c r="A351" i="28"/>
  <c r="L350" i="28"/>
  <c r="K350" i="28"/>
  <c r="J350" i="28"/>
  <c r="I350" i="28"/>
  <c r="H350" i="28"/>
  <c r="G350" i="28"/>
  <c r="F350" i="28"/>
  <c r="E350" i="28"/>
  <c r="D350" i="28"/>
  <c r="C350" i="28"/>
  <c r="B350" i="28"/>
  <c r="A350" i="28"/>
  <c r="L349" i="28"/>
  <c r="K349" i="28"/>
  <c r="J349" i="28"/>
  <c r="I349" i="28"/>
  <c r="H349" i="28"/>
  <c r="G349" i="28"/>
  <c r="F349" i="28"/>
  <c r="E349" i="28"/>
  <c r="D349" i="28"/>
  <c r="C349" i="28"/>
  <c r="B349" i="28"/>
  <c r="A349" i="28"/>
  <c r="L348" i="28"/>
  <c r="K348" i="28"/>
  <c r="J348" i="28"/>
  <c r="I348" i="28"/>
  <c r="H348" i="28"/>
  <c r="G348" i="28"/>
  <c r="F348" i="28"/>
  <c r="E348" i="28"/>
  <c r="D348" i="28"/>
  <c r="C348" i="28"/>
  <c r="B348" i="28"/>
  <c r="A348" i="28"/>
  <c r="L347" i="28"/>
  <c r="K347" i="28"/>
  <c r="J347" i="28"/>
  <c r="I347" i="28"/>
  <c r="H347" i="28"/>
  <c r="G347" i="28"/>
  <c r="F347" i="28"/>
  <c r="E347" i="28"/>
  <c r="D347" i="28"/>
  <c r="C347" i="28"/>
  <c r="B347" i="28"/>
  <c r="A347" i="28"/>
  <c r="L346" i="28"/>
  <c r="K346" i="28"/>
  <c r="J346" i="28"/>
  <c r="I346" i="28"/>
  <c r="H346" i="28"/>
  <c r="G346" i="28"/>
  <c r="F346" i="28"/>
  <c r="E346" i="28"/>
  <c r="D346" i="28"/>
  <c r="C346" i="28"/>
  <c r="B346" i="28"/>
  <c r="A346" i="28"/>
  <c r="L345" i="28"/>
  <c r="K345" i="28"/>
  <c r="J345" i="28"/>
  <c r="I345" i="28"/>
  <c r="H345" i="28"/>
  <c r="G345" i="28"/>
  <c r="F345" i="28"/>
  <c r="E345" i="28"/>
  <c r="D345" i="28"/>
  <c r="C345" i="28"/>
  <c r="B345" i="28"/>
  <c r="A345" i="28"/>
  <c r="L344" i="28"/>
  <c r="K344" i="28"/>
  <c r="J344" i="28"/>
  <c r="I344" i="28"/>
  <c r="H344" i="28"/>
  <c r="G344" i="28"/>
  <c r="F344" i="28"/>
  <c r="E344" i="28"/>
  <c r="D344" i="28"/>
  <c r="C344" i="28"/>
  <c r="B344" i="28"/>
  <c r="A344" i="28"/>
  <c r="L343" i="28"/>
  <c r="K343" i="28"/>
  <c r="J343" i="28"/>
  <c r="I343" i="28"/>
  <c r="H343" i="28"/>
  <c r="G343" i="28"/>
  <c r="F343" i="28"/>
  <c r="E343" i="28"/>
  <c r="D343" i="28"/>
  <c r="C343" i="28"/>
  <c r="B343" i="28"/>
  <c r="A343" i="28"/>
  <c r="L342" i="28"/>
  <c r="K342" i="28"/>
  <c r="J342" i="28"/>
  <c r="I342" i="28"/>
  <c r="H342" i="28"/>
  <c r="G342" i="28"/>
  <c r="F342" i="28"/>
  <c r="E342" i="28"/>
  <c r="D342" i="28"/>
  <c r="C342" i="28"/>
  <c r="B342" i="28"/>
  <c r="A342" i="28"/>
  <c r="L341" i="28"/>
  <c r="K341" i="28"/>
  <c r="J341" i="28"/>
  <c r="I341" i="28"/>
  <c r="H341" i="28"/>
  <c r="G341" i="28"/>
  <c r="F341" i="28"/>
  <c r="E341" i="28"/>
  <c r="D341" i="28"/>
  <c r="C341" i="28"/>
  <c r="B341" i="28"/>
  <c r="A341" i="28"/>
  <c r="L340" i="28"/>
  <c r="K340" i="28"/>
  <c r="J340" i="28"/>
  <c r="I340" i="28"/>
  <c r="H340" i="28"/>
  <c r="G340" i="28"/>
  <c r="F340" i="28"/>
  <c r="E340" i="28"/>
  <c r="D340" i="28"/>
  <c r="C340" i="28"/>
  <c r="B340" i="28"/>
  <c r="A340" i="28"/>
  <c r="L339" i="28"/>
  <c r="K339" i="28"/>
  <c r="J339" i="28"/>
  <c r="I339" i="28"/>
  <c r="H339" i="28"/>
  <c r="G339" i="28"/>
  <c r="F339" i="28"/>
  <c r="E339" i="28"/>
  <c r="D339" i="28"/>
  <c r="C339" i="28"/>
  <c r="B339" i="28"/>
  <c r="A339" i="28"/>
  <c r="L338" i="28"/>
  <c r="K338" i="28"/>
  <c r="J338" i="28"/>
  <c r="I338" i="28"/>
  <c r="H338" i="28"/>
  <c r="G338" i="28"/>
  <c r="F338" i="28"/>
  <c r="E338" i="28"/>
  <c r="D338" i="28"/>
  <c r="C338" i="28"/>
  <c r="B338" i="28"/>
  <c r="A338" i="28"/>
  <c r="L337" i="28"/>
  <c r="K337" i="28"/>
  <c r="J337" i="28"/>
  <c r="I337" i="28"/>
  <c r="H337" i="28"/>
  <c r="G337" i="28"/>
  <c r="F337" i="28"/>
  <c r="E337" i="28"/>
  <c r="D337" i="28"/>
  <c r="C337" i="28"/>
  <c r="B337" i="28"/>
  <c r="A337" i="28"/>
  <c r="L336" i="28"/>
  <c r="K336" i="28"/>
  <c r="J336" i="28"/>
  <c r="I336" i="28"/>
  <c r="H336" i="28"/>
  <c r="G336" i="28"/>
  <c r="F336" i="28"/>
  <c r="E336" i="28"/>
  <c r="D336" i="28"/>
  <c r="C336" i="28"/>
  <c r="B336" i="28"/>
  <c r="A336" i="28"/>
  <c r="L335" i="28"/>
  <c r="K335" i="28"/>
  <c r="J335" i="28"/>
  <c r="I335" i="28"/>
  <c r="H335" i="28"/>
  <c r="G335" i="28"/>
  <c r="F335" i="28"/>
  <c r="E335" i="28"/>
  <c r="D335" i="28"/>
  <c r="C335" i="28"/>
  <c r="B335" i="28"/>
  <c r="A335" i="28"/>
  <c r="L334" i="28"/>
  <c r="K334" i="28"/>
  <c r="J334" i="28"/>
  <c r="I334" i="28"/>
  <c r="H334" i="28"/>
  <c r="G334" i="28"/>
  <c r="F334" i="28"/>
  <c r="E334" i="28"/>
  <c r="D334" i="28"/>
  <c r="C334" i="28"/>
  <c r="B334" i="28"/>
  <c r="A334" i="28"/>
  <c r="L333" i="28"/>
  <c r="K333" i="28"/>
  <c r="J333" i="28"/>
  <c r="I333" i="28"/>
  <c r="H333" i="28"/>
  <c r="G333" i="28"/>
  <c r="F333" i="28"/>
  <c r="E333" i="28"/>
  <c r="D333" i="28"/>
  <c r="C333" i="28"/>
  <c r="B333" i="28"/>
  <c r="A333" i="28"/>
  <c r="L332" i="28"/>
  <c r="K332" i="28"/>
  <c r="J332" i="28"/>
  <c r="I332" i="28"/>
  <c r="H332" i="28"/>
  <c r="G332" i="28"/>
  <c r="F332" i="28"/>
  <c r="E332" i="28"/>
  <c r="D332" i="28"/>
  <c r="C332" i="28"/>
  <c r="B332" i="28"/>
  <c r="A332" i="28"/>
  <c r="L331" i="28"/>
  <c r="K331" i="28"/>
  <c r="J331" i="28"/>
  <c r="I331" i="28"/>
  <c r="H331" i="28"/>
  <c r="G331" i="28"/>
  <c r="F331" i="28"/>
  <c r="E331" i="28"/>
  <c r="D331" i="28"/>
  <c r="C331" i="28"/>
  <c r="B331" i="28"/>
  <c r="A331" i="28"/>
  <c r="L330" i="28"/>
  <c r="K330" i="28"/>
  <c r="J330" i="28"/>
  <c r="I330" i="28"/>
  <c r="H330" i="28"/>
  <c r="G330" i="28"/>
  <c r="F330" i="28"/>
  <c r="E330" i="28"/>
  <c r="D330" i="28"/>
  <c r="C330" i="28"/>
  <c r="B330" i="28"/>
  <c r="A330" i="28"/>
  <c r="L329" i="28"/>
  <c r="K329" i="28"/>
  <c r="J329" i="28"/>
  <c r="I329" i="28"/>
  <c r="H329" i="28"/>
  <c r="G329" i="28"/>
  <c r="F329" i="28"/>
  <c r="E329" i="28"/>
  <c r="D329" i="28"/>
  <c r="C329" i="28"/>
  <c r="B329" i="28"/>
  <c r="A329" i="28"/>
  <c r="L328" i="28"/>
  <c r="K328" i="28"/>
  <c r="J328" i="28"/>
  <c r="I328" i="28"/>
  <c r="H328" i="28"/>
  <c r="G328" i="28"/>
  <c r="F328" i="28"/>
  <c r="E328" i="28"/>
  <c r="D328" i="28"/>
  <c r="C328" i="28"/>
  <c r="B328" i="28"/>
  <c r="A328" i="28"/>
  <c r="L327" i="28"/>
  <c r="K327" i="28"/>
  <c r="J327" i="28"/>
  <c r="I327" i="28"/>
  <c r="H327" i="28"/>
  <c r="G327" i="28"/>
  <c r="F327" i="28"/>
  <c r="E327" i="28"/>
  <c r="D327" i="28"/>
  <c r="C327" i="28"/>
  <c r="B327" i="28"/>
  <c r="A327" i="28"/>
  <c r="L326" i="28"/>
  <c r="K326" i="28"/>
  <c r="J326" i="28"/>
  <c r="I326" i="28"/>
  <c r="H326" i="28"/>
  <c r="G326" i="28"/>
  <c r="F326" i="28"/>
  <c r="E326" i="28"/>
  <c r="D326" i="28"/>
  <c r="C326" i="28"/>
  <c r="B326" i="28"/>
  <c r="A326" i="28"/>
  <c r="L325" i="28"/>
  <c r="K325" i="28"/>
  <c r="J325" i="28"/>
  <c r="I325" i="28"/>
  <c r="H325" i="28"/>
  <c r="G325" i="28"/>
  <c r="F325" i="28"/>
  <c r="E325" i="28"/>
  <c r="D325" i="28"/>
  <c r="C325" i="28"/>
  <c r="B325" i="28"/>
  <c r="A325" i="28"/>
  <c r="L324" i="28"/>
  <c r="K324" i="28"/>
  <c r="J324" i="28"/>
  <c r="I324" i="28"/>
  <c r="H324" i="28"/>
  <c r="G324" i="28"/>
  <c r="F324" i="28"/>
  <c r="E324" i="28"/>
  <c r="D324" i="28"/>
  <c r="C324" i="28"/>
  <c r="B324" i="28"/>
  <c r="A324" i="28"/>
  <c r="L323" i="28"/>
  <c r="K323" i="28"/>
  <c r="J323" i="28"/>
  <c r="I323" i="28"/>
  <c r="H323" i="28"/>
  <c r="G323" i="28"/>
  <c r="F323" i="28"/>
  <c r="E323" i="28"/>
  <c r="D323" i="28"/>
  <c r="C323" i="28"/>
  <c r="B323" i="28"/>
  <c r="A323" i="28"/>
  <c r="L322" i="28"/>
  <c r="K322" i="28"/>
  <c r="J322" i="28"/>
  <c r="I322" i="28"/>
  <c r="H322" i="28"/>
  <c r="G322" i="28"/>
  <c r="F322" i="28"/>
  <c r="E322" i="28"/>
  <c r="D322" i="28"/>
  <c r="C322" i="28"/>
  <c r="B322" i="28"/>
  <c r="A322" i="28"/>
  <c r="L321" i="28"/>
  <c r="K321" i="28"/>
  <c r="J321" i="28"/>
  <c r="I321" i="28"/>
  <c r="H321" i="28"/>
  <c r="G321" i="28"/>
  <c r="F321" i="28"/>
  <c r="E321" i="28"/>
  <c r="D321" i="28"/>
  <c r="C321" i="28"/>
  <c r="B321" i="28"/>
  <c r="A321" i="28"/>
  <c r="L320" i="28"/>
  <c r="K320" i="28"/>
  <c r="J320" i="28"/>
  <c r="I320" i="28"/>
  <c r="H320" i="28"/>
  <c r="G320" i="28"/>
  <c r="F320" i="28"/>
  <c r="E320" i="28"/>
  <c r="D320" i="28"/>
  <c r="C320" i="28"/>
  <c r="B320" i="28"/>
  <c r="A320" i="28"/>
  <c r="L319" i="28"/>
  <c r="K319" i="28"/>
  <c r="J319" i="28"/>
  <c r="I319" i="28"/>
  <c r="H319" i="28"/>
  <c r="G319" i="28"/>
  <c r="F319" i="28"/>
  <c r="E319" i="28"/>
  <c r="D319" i="28"/>
  <c r="C319" i="28"/>
  <c r="B319" i="28"/>
  <c r="A319" i="28"/>
  <c r="L318" i="28"/>
  <c r="K318" i="28"/>
  <c r="J318" i="28"/>
  <c r="I318" i="28"/>
  <c r="H318" i="28"/>
  <c r="G318" i="28"/>
  <c r="F318" i="28"/>
  <c r="E318" i="28"/>
  <c r="D318" i="28"/>
  <c r="C318" i="28"/>
  <c r="B318" i="28"/>
  <c r="A318" i="28"/>
  <c r="L317" i="28"/>
  <c r="K317" i="28"/>
  <c r="J317" i="28"/>
  <c r="I317" i="28"/>
  <c r="H317" i="28"/>
  <c r="G317" i="28"/>
  <c r="F317" i="28"/>
  <c r="E317" i="28"/>
  <c r="D317" i="28"/>
  <c r="C317" i="28"/>
  <c r="B317" i="28"/>
  <c r="A317" i="28"/>
  <c r="L316" i="28"/>
  <c r="K316" i="28"/>
  <c r="J316" i="28"/>
  <c r="I316" i="28"/>
  <c r="H316" i="28"/>
  <c r="G316" i="28"/>
  <c r="F316" i="28"/>
  <c r="E316" i="28"/>
  <c r="D316" i="28"/>
  <c r="C316" i="28"/>
  <c r="B316" i="28"/>
  <c r="A316" i="28"/>
  <c r="L315" i="28"/>
  <c r="K315" i="28"/>
  <c r="J315" i="28"/>
  <c r="I315" i="28"/>
  <c r="H315" i="28"/>
  <c r="G315" i="28"/>
  <c r="F315" i="28"/>
  <c r="E315" i="28"/>
  <c r="D315" i="28"/>
  <c r="C315" i="28"/>
  <c r="B315" i="28"/>
  <c r="A315" i="28"/>
  <c r="L314" i="28"/>
  <c r="K314" i="28"/>
  <c r="J314" i="28"/>
  <c r="I314" i="28"/>
  <c r="H314" i="28"/>
  <c r="G314" i="28"/>
  <c r="F314" i="28"/>
  <c r="E314" i="28"/>
  <c r="D314" i="28"/>
  <c r="C314" i="28"/>
  <c r="B314" i="28"/>
  <c r="A314" i="28"/>
  <c r="L313" i="28"/>
  <c r="K313" i="28"/>
  <c r="J313" i="28"/>
  <c r="I313" i="28"/>
  <c r="H313" i="28"/>
  <c r="G313" i="28"/>
  <c r="F313" i="28"/>
  <c r="E313" i="28"/>
  <c r="D313" i="28"/>
  <c r="C313" i="28"/>
  <c r="B313" i="28"/>
  <c r="A313" i="28"/>
  <c r="L312" i="28"/>
  <c r="K312" i="28"/>
  <c r="J312" i="28"/>
  <c r="I312" i="28"/>
  <c r="H312" i="28"/>
  <c r="G312" i="28"/>
  <c r="F312" i="28"/>
  <c r="E312" i="28"/>
  <c r="D312" i="28"/>
  <c r="C312" i="28"/>
  <c r="B312" i="28"/>
  <c r="A312" i="28"/>
  <c r="L311" i="28"/>
  <c r="K311" i="28"/>
  <c r="J311" i="28"/>
  <c r="I311" i="28"/>
  <c r="H311" i="28"/>
  <c r="G311" i="28"/>
  <c r="F311" i="28"/>
  <c r="E311" i="28"/>
  <c r="D311" i="28"/>
  <c r="C311" i="28"/>
  <c r="B311" i="28"/>
  <c r="A311" i="28"/>
  <c r="L310" i="28"/>
  <c r="K310" i="28"/>
  <c r="J310" i="28"/>
  <c r="I310" i="28"/>
  <c r="H310" i="28"/>
  <c r="G310" i="28"/>
  <c r="F310" i="28"/>
  <c r="E310" i="28"/>
  <c r="D310" i="28"/>
  <c r="C310" i="28"/>
  <c r="B310" i="28"/>
  <c r="A310" i="28"/>
  <c r="L309" i="28"/>
  <c r="K309" i="28"/>
  <c r="J309" i="28"/>
  <c r="I309" i="28"/>
  <c r="H309" i="28"/>
  <c r="G309" i="28"/>
  <c r="F309" i="28"/>
  <c r="E309" i="28"/>
  <c r="D309" i="28"/>
  <c r="C309" i="28"/>
  <c r="B309" i="28"/>
  <c r="A309" i="28"/>
  <c r="L308" i="28"/>
  <c r="K308" i="28"/>
  <c r="J308" i="28"/>
  <c r="I308" i="28"/>
  <c r="H308" i="28"/>
  <c r="G308" i="28"/>
  <c r="F308" i="28"/>
  <c r="E308" i="28"/>
  <c r="D308" i="28"/>
  <c r="C308" i="28"/>
  <c r="B308" i="28"/>
  <c r="A308" i="28"/>
  <c r="L307" i="28"/>
  <c r="K307" i="28"/>
  <c r="J307" i="28"/>
  <c r="I307" i="28"/>
  <c r="H307" i="28"/>
  <c r="G307" i="28"/>
  <c r="F307" i="28"/>
  <c r="E307" i="28"/>
  <c r="D307" i="28"/>
  <c r="C307" i="28"/>
  <c r="B307" i="28"/>
  <c r="A307" i="28"/>
  <c r="L306" i="28"/>
  <c r="K306" i="28"/>
  <c r="J306" i="28"/>
  <c r="I306" i="28"/>
  <c r="H306" i="28"/>
  <c r="G306" i="28"/>
  <c r="F306" i="28"/>
  <c r="E306" i="28"/>
  <c r="D306" i="28"/>
  <c r="C306" i="28"/>
  <c r="B306" i="28"/>
  <c r="A306" i="28"/>
  <c r="L305" i="28"/>
  <c r="K305" i="28"/>
  <c r="J305" i="28"/>
  <c r="I305" i="28"/>
  <c r="H305" i="28"/>
  <c r="G305" i="28"/>
  <c r="F305" i="28"/>
  <c r="E305" i="28"/>
  <c r="D305" i="28"/>
  <c r="C305" i="28"/>
  <c r="B305" i="28"/>
  <c r="A305" i="28"/>
  <c r="L304" i="28"/>
  <c r="K304" i="28"/>
  <c r="J304" i="28"/>
  <c r="I304" i="28"/>
  <c r="H304" i="28"/>
  <c r="G304" i="28"/>
  <c r="F304" i="28"/>
  <c r="E304" i="28"/>
  <c r="D304" i="28"/>
  <c r="C304" i="28"/>
  <c r="B304" i="28"/>
  <c r="A304" i="28"/>
  <c r="L303" i="28"/>
  <c r="K303" i="28"/>
  <c r="J303" i="28"/>
  <c r="I303" i="28"/>
  <c r="H303" i="28"/>
  <c r="G303" i="28"/>
  <c r="F303" i="28"/>
  <c r="E303" i="28"/>
  <c r="D303" i="28"/>
  <c r="C303" i="28"/>
  <c r="B303" i="28"/>
  <c r="A303" i="28"/>
  <c r="L302" i="28"/>
  <c r="K302" i="28"/>
  <c r="J302" i="28"/>
  <c r="I302" i="28"/>
  <c r="H302" i="28"/>
  <c r="G302" i="28"/>
  <c r="F302" i="28"/>
  <c r="E302" i="28"/>
  <c r="D302" i="28"/>
  <c r="C302" i="28"/>
  <c r="B302" i="28"/>
  <c r="A302" i="28"/>
  <c r="L301" i="28"/>
  <c r="K301" i="28"/>
  <c r="J301" i="28"/>
  <c r="I301" i="28"/>
  <c r="H301" i="28"/>
  <c r="G301" i="28"/>
  <c r="F301" i="28"/>
  <c r="E301" i="28"/>
  <c r="D301" i="28"/>
  <c r="C301" i="28"/>
  <c r="B301" i="28"/>
  <c r="A301" i="28"/>
  <c r="L300" i="28"/>
  <c r="K300" i="28"/>
  <c r="J300" i="28"/>
  <c r="I300" i="28"/>
  <c r="H300" i="28"/>
  <c r="G300" i="28"/>
  <c r="F300" i="28"/>
  <c r="E300" i="28"/>
  <c r="D300" i="28"/>
  <c r="C300" i="28"/>
  <c r="B300" i="28"/>
  <c r="A300" i="28"/>
  <c r="L299" i="28"/>
  <c r="K299" i="28"/>
  <c r="J299" i="28"/>
  <c r="I299" i="28"/>
  <c r="H299" i="28"/>
  <c r="G299" i="28"/>
  <c r="F299" i="28"/>
  <c r="E299" i="28"/>
  <c r="D299" i="28"/>
  <c r="C299" i="28"/>
  <c r="B299" i="28"/>
  <c r="A299" i="28"/>
  <c r="L298" i="28"/>
  <c r="K298" i="28"/>
  <c r="J298" i="28"/>
  <c r="I298" i="28"/>
  <c r="H298" i="28"/>
  <c r="G298" i="28"/>
  <c r="F298" i="28"/>
  <c r="E298" i="28"/>
  <c r="D298" i="28"/>
  <c r="C298" i="28"/>
  <c r="B298" i="28"/>
  <c r="A298" i="28"/>
  <c r="L297" i="28"/>
  <c r="K297" i="28"/>
  <c r="J297" i="28"/>
  <c r="I297" i="28"/>
  <c r="H297" i="28"/>
  <c r="G297" i="28"/>
  <c r="F297" i="28"/>
  <c r="E297" i="28"/>
  <c r="D297" i="28"/>
  <c r="C297" i="28"/>
  <c r="B297" i="28"/>
  <c r="A297" i="28"/>
  <c r="L296" i="28"/>
  <c r="K296" i="28"/>
  <c r="J296" i="28"/>
  <c r="I296" i="28"/>
  <c r="H296" i="28"/>
  <c r="G296" i="28"/>
  <c r="F296" i="28"/>
  <c r="E296" i="28"/>
  <c r="D296" i="28"/>
  <c r="C296" i="28"/>
  <c r="B296" i="28"/>
  <c r="A296" i="28"/>
  <c r="L295" i="28"/>
  <c r="K295" i="28"/>
  <c r="J295" i="28"/>
  <c r="I295" i="28"/>
  <c r="H295" i="28"/>
  <c r="G295" i="28"/>
  <c r="F295" i="28"/>
  <c r="E295" i="28"/>
  <c r="D295" i="28"/>
  <c r="C295" i="28"/>
  <c r="B295" i="28"/>
  <c r="A295" i="28"/>
  <c r="L294" i="28"/>
  <c r="K294" i="28"/>
  <c r="J294" i="28"/>
  <c r="I294" i="28"/>
  <c r="H294" i="28"/>
  <c r="G294" i="28"/>
  <c r="F294" i="28"/>
  <c r="E294" i="28"/>
  <c r="D294" i="28"/>
  <c r="C294" i="28"/>
  <c r="B294" i="28"/>
  <c r="A294" i="28"/>
  <c r="L293" i="28"/>
  <c r="K293" i="28"/>
  <c r="J293" i="28"/>
  <c r="I293" i="28"/>
  <c r="H293" i="28"/>
  <c r="G293" i="28"/>
  <c r="F293" i="28"/>
  <c r="E293" i="28"/>
  <c r="D293" i="28"/>
  <c r="C293" i="28"/>
  <c r="B293" i="28"/>
  <c r="A293" i="28"/>
  <c r="L292" i="28"/>
  <c r="K292" i="28"/>
  <c r="J292" i="28"/>
  <c r="I292" i="28"/>
  <c r="H292" i="28"/>
  <c r="G292" i="28"/>
  <c r="F292" i="28"/>
  <c r="E292" i="28"/>
  <c r="D292" i="28"/>
  <c r="C292" i="28"/>
  <c r="B292" i="28"/>
  <c r="A292" i="28"/>
  <c r="L291" i="28"/>
  <c r="K291" i="28"/>
  <c r="J291" i="28"/>
  <c r="I291" i="28"/>
  <c r="H291" i="28"/>
  <c r="G291" i="28"/>
  <c r="F291" i="28"/>
  <c r="E291" i="28"/>
  <c r="D291" i="28"/>
  <c r="C291" i="28"/>
  <c r="B291" i="28"/>
  <c r="A291" i="28"/>
  <c r="L290" i="28"/>
  <c r="K290" i="28"/>
  <c r="J290" i="28"/>
  <c r="I290" i="28"/>
  <c r="H290" i="28"/>
  <c r="G290" i="28"/>
  <c r="F290" i="28"/>
  <c r="E290" i="28"/>
  <c r="D290" i="28"/>
  <c r="C290" i="28"/>
  <c r="B290" i="28"/>
  <c r="A290" i="28"/>
  <c r="L289" i="28"/>
  <c r="K289" i="28"/>
  <c r="J289" i="28"/>
  <c r="I289" i="28"/>
  <c r="H289" i="28"/>
  <c r="G289" i="28"/>
  <c r="F289" i="28"/>
  <c r="E289" i="28"/>
  <c r="D289" i="28"/>
  <c r="C289" i="28"/>
  <c r="B289" i="28"/>
  <c r="A289" i="28"/>
  <c r="L288" i="28"/>
  <c r="K288" i="28"/>
  <c r="J288" i="28"/>
  <c r="I288" i="28"/>
  <c r="H288" i="28"/>
  <c r="G288" i="28"/>
  <c r="F288" i="28"/>
  <c r="E288" i="28"/>
  <c r="D288" i="28"/>
  <c r="C288" i="28"/>
  <c r="B288" i="28"/>
  <c r="A288" i="28"/>
  <c r="L287" i="28"/>
  <c r="K287" i="28"/>
  <c r="J287" i="28"/>
  <c r="I287" i="28"/>
  <c r="H287" i="28"/>
  <c r="G287" i="28"/>
  <c r="F287" i="28"/>
  <c r="E287" i="28"/>
  <c r="D287" i="28"/>
  <c r="C287" i="28"/>
  <c r="B287" i="28"/>
  <c r="A287" i="28"/>
  <c r="L286" i="28"/>
  <c r="K286" i="28"/>
  <c r="J286" i="28"/>
  <c r="I286" i="28"/>
  <c r="H286" i="28"/>
  <c r="G286" i="28"/>
  <c r="F286" i="28"/>
  <c r="E286" i="28"/>
  <c r="D286" i="28"/>
  <c r="C286" i="28"/>
  <c r="B286" i="28"/>
  <c r="A286" i="28"/>
  <c r="L285" i="28"/>
  <c r="K285" i="28"/>
  <c r="J285" i="28"/>
  <c r="I285" i="28"/>
  <c r="H285" i="28"/>
  <c r="G285" i="28"/>
  <c r="F285" i="28"/>
  <c r="E285" i="28"/>
  <c r="D285" i="28"/>
  <c r="C285" i="28"/>
  <c r="B285" i="28"/>
  <c r="A285" i="28"/>
  <c r="L284" i="28"/>
  <c r="K284" i="28"/>
  <c r="J284" i="28"/>
  <c r="I284" i="28"/>
  <c r="H284" i="28"/>
  <c r="G284" i="28"/>
  <c r="F284" i="28"/>
  <c r="E284" i="28"/>
  <c r="D284" i="28"/>
  <c r="C284" i="28"/>
  <c r="B284" i="28"/>
  <c r="A284" i="28"/>
  <c r="L283" i="28"/>
  <c r="K283" i="28"/>
  <c r="J283" i="28"/>
  <c r="I283" i="28"/>
  <c r="H283" i="28"/>
  <c r="G283" i="28"/>
  <c r="F283" i="28"/>
  <c r="E283" i="28"/>
  <c r="D283" i="28"/>
  <c r="C283" i="28"/>
  <c r="B283" i="28"/>
  <c r="A283" i="28"/>
  <c r="L282" i="28"/>
  <c r="K282" i="28"/>
  <c r="J282" i="28"/>
  <c r="I282" i="28"/>
  <c r="H282" i="28"/>
  <c r="G282" i="28"/>
  <c r="F282" i="28"/>
  <c r="E282" i="28"/>
  <c r="D282" i="28"/>
  <c r="C282" i="28"/>
  <c r="B282" i="28"/>
  <c r="A282" i="28"/>
  <c r="L281" i="28"/>
  <c r="K281" i="28"/>
  <c r="J281" i="28"/>
  <c r="I281" i="28"/>
  <c r="H281" i="28"/>
  <c r="G281" i="28"/>
  <c r="F281" i="28"/>
  <c r="E281" i="28"/>
  <c r="D281" i="28"/>
  <c r="C281" i="28"/>
  <c r="B281" i="28"/>
  <c r="A281" i="28"/>
  <c r="L280" i="28"/>
  <c r="K280" i="28"/>
  <c r="J280" i="28"/>
  <c r="I280" i="28"/>
  <c r="H280" i="28"/>
  <c r="G280" i="28"/>
  <c r="F280" i="28"/>
  <c r="E280" i="28"/>
  <c r="D280" i="28"/>
  <c r="C280" i="28"/>
  <c r="B280" i="28"/>
  <c r="A280" i="28"/>
  <c r="L279" i="28"/>
  <c r="K279" i="28"/>
  <c r="J279" i="28"/>
  <c r="I279" i="28"/>
  <c r="H279" i="28"/>
  <c r="G279" i="28"/>
  <c r="F279" i="28"/>
  <c r="E279" i="28"/>
  <c r="D279" i="28"/>
  <c r="C279" i="28"/>
  <c r="B279" i="28"/>
  <c r="A279" i="28"/>
  <c r="L278" i="28"/>
  <c r="K278" i="28"/>
  <c r="J278" i="28"/>
  <c r="I278" i="28"/>
  <c r="H278" i="28"/>
  <c r="G278" i="28"/>
  <c r="F278" i="28"/>
  <c r="E278" i="28"/>
  <c r="D278" i="28"/>
  <c r="C278" i="28"/>
  <c r="B278" i="28"/>
  <c r="A278" i="28"/>
  <c r="L277" i="28"/>
  <c r="K277" i="28"/>
  <c r="J277" i="28"/>
  <c r="I277" i="28"/>
  <c r="H277" i="28"/>
  <c r="G277" i="28"/>
  <c r="F277" i="28"/>
  <c r="E277" i="28"/>
  <c r="D277" i="28"/>
  <c r="C277" i="28"/>
  <c r="B277" i="28"/>
  <c r="A277" i="28"/>
  <c r="L276" i="28"/>
  <c r="K276" i="28"/>
  <c r="J276" i="28"/>
  <c r="I276" i="28"/>
  <c r="H276" i="28"/>
  <c r="G276" i="28"/>
  <c r="F276" i="28"/>
  <c r="E276" i="28"/>
  <c r="D276" i="28"/>
  <c r="C276" i="28"/>
  <c r="B276" i="28"/>
  <c r="A276" i="28"/>
  <c r="L275" i="28"/>
  <c r="K275" i="28"/>
  <c r="J275" i="28"/>
  <c r="I275" i="28"/>
  <c r="H275" i="28"/>
  <c r="G275" i="28"/>
  <c r="F275" i="28"/>
  <c r="E275" i="28"/>
  <c r="D275" i="28"/>
  <c r="C275" i="28"/>
  <c r="B275" i="28"/>
  <c r="A275" i="28"/>
  <c r="L274" i="28"/>
  <c r="K274" i="28"/>
  <c r="J274" i="28"/>
  <c r="I274" i="28"/>
  <c r="H274" i="28"/>
  <c r="G274" i="28"/>
  <c r="F274" i="28"/>
  <c r="E274" i="28"/>
  <c r="D274" i="28"/>
  <c r="C274" i="28"/>
  <c r="B274" i="28"/>
  <c r="A274" i="28"/>
  <c r="L273" i="28"/>
  <c r="K273" i="28"/>
  <c r="J273" i="28"/>
  <c r="I273" i="28"/>
  <c r="H273" i="28"/>
  <c r="G273" i="28"/>
  <c r="F273" i="28"/>
  <c r="E273" i="28"/>
  <c r="D273" i="28"/>
  <c r="C273" i="28"/>
  <c r="B273" i="28"/>
  <c r="A273" i="28"/>
  <c r="L272" i="28"/>
  <c r="K272" i="28"/>
  <c r="J272" i="28"/>
  <c r="I272" i="28"/>
  <c r="H272" i="28"/>
  <c r="G272" i="28"/>
  <c r="F272" i="28"/>
  <c r="E272" i="28"/>
  <c r="D272" i="28"/>
  <c r="C272" i="28"/>
  <c r="B272" i="28"/>
  <c r="A272" i="28"/>
  <c r="L271" i="28"/>
  <c r="K271" i="28"/>
  <c r="J271" i="28"/>
  <c r="I271" i="28"/>
  <c r="H271" i="28"/>
  <c r="G271" i="28"/>
  <c r="F271" i="28"/>
  <c r="E271" i="28"/>
  <c r="D271" i="28"/>
  <c r="C271" i="28"/>
  <c r="B271" i="28"/>
  <c r="A271" i="28"/>
  <c r="L270" i="28"/>
  <c r="K270" i="28"/>
  <c r="J270" i="28"/>
  <c r="I270" i="28"/>
  <c r="H270" i="28"/>
  <c r="G270" i="28"/>
  <c r="F270" i="28"/>
  <c r="E270" i="28"/>
  <c r="D270" i="28"/>
  <c r="C270" i="28"/>
  <c r="B270" i="28"/>
  <c r="A270" i="28"/>
  <c r="L269" i="28"/>
  <c r="K269" i="28"/>
  <c r="J269" i="28"/>
  <c r="I269" i="28"/>
  <c r="H269" i="28"/>
  <c r="G269" i="28"/>
  <c r="F269" i="28"/>
  <c r="E269" i="28"/>
  <c r="D269" i="28"/>
  <c r="C269" i="28"/>
  <c r="B269" i="28"/>
  <c r="A269" i="28"/>
  <c r="L268" i="28"/>
  <c r="K268" i="28"/>
  <c r="J268" i="28"/>
  <c r="I268" i="28"/>
  <c r="H268" i="28"/>
  <c r="G268" i="28"/>
  <c r="F268" i="28"/>
  <c r="E268" i="28"/>
  <c r="D268" i="28"/>
  <c r="C268" i="28"/>
  <c r="B268" i="28"/>
  <c r="A268" i="28"/>
  <c r="L267" i="28"/>
  <c r="K267" i="28"/>
  <c r="J267" i="28"/>
  <c r="I267" i="28"/>
  <c r="H267" i="28"/>
  <c r="G267" i="28"/>
  <c r="F267" i="28"/>
  <c r="E267" i="28"/>
  <c r="D267" i="28"/>
  <c r="C267" i="28"/>
  <c r="B267" i="28"/>
  <c r="A267" i="28"/>
  <c r="L266" i="28"/>
  <c r="K266" i="28"/>
  <c r="J266" i="28"/>
  <c r="I266" i="28"/>
  <c r="H266" i="28"/>
  <c r="G266" i="28"/>
  <c r="F266" i="28"/>
  <c r="E266" i="28"/>
  <c r="D266" i="28"/>
  <c r="C266" i="28"/>
  <c r="B266" i="28"/>
  <c r="A266" i="28"/>
  <c r="L265" i="28"/>
  <c r="K265" i="28"/>
  <c r="J265" i="28"/>
  <c r="I265" i="28"/>
  <c r="H265" i="28"/>
  <c r="G265" i="28"/>
  <c r="F265" i="28"/>
  <c r="E265" i="28"/>
  <c r="D265" i="28"/>
  <c r="C265" i="28"/>
  <c r="B265" i="28"/>
  <c r="A265" i="28"/>
  <c r="L264" i="28"/>
  <c r="K264" i="28"/>
  <c r="J264" i="28"/>
  <c r="I264" i="28"/>
  <c r="H264" i="28"/>
  <c r="G264" i="28"/>
  <c r="F264" i="28"/>
  <c r="E264" i="28"/>
  <c r="D264" i="28"/>
  <c r="C264" i="28"/>
  <c r="B264" i="28"/>
  <c r="A264" i="28"/>
  <c r="L263" i="28"/>
  <c r="K263" i="28"/>
  <c r="J263" i="28"/>
  <c r="I263" i="28"/>
  <c r="H263" i="28"/>
  <c r="G263" i="28"/>
  <c r="F263" i="28"/>
  <c r="E263" i="28"/>
  <c r="D263" i="28"/>
  <c r="C263" i="28"/>
  <c r="B263" i="28"/>
  <c r="A263" i="28"/>
  <c r="L262" i="28"/>
  <c r="K262" i="28"/>
  <c r="J262" i="28"/>
  <c r="I262" i="28"/>
  <c r="H262" i="28"/>
  <c r="G262" i="28"/>
  <c r="F262" i="28"/>
  <c r="E262" i="28"/>
  <c r="D262" i="28"/>
  <c r="C262" i="28"/>
  <c r="B262" i="28"/>
  <c r="A262" i="28"/>
  <c r="L261" i="28"/>
  <c r="K261" i="28"/>
  <c r="J261" i="28"/>
  <c r="I261" i="28"/>
  <c r="H261" i="28"/>
  <c r="G261" i="28"/>
  <c r="F261" i="28"/>
  <c r="E261" i="28"/>
  <c r="D261" i="28"/>
  <c r="C261" i="28"/>
  <c r="B261" i="28"/>
  <c r="A261" i="28"/>
  <c r="L260" i="28"/>
  <c r="K260" i="28"/>
  <c r="J260" i="28"/>
  <c r="I260" i="28"/>
  <c r="H260" i="28"/>
  <c r="G260" i="28"/>
  <c r="F260" i="28"/>
  <c r="E260" i="28"/>
  <c r="D260" i="28"/>
  <c r="C260" i="28"/>
  <c r="B260" i="28"/>
  <c r="A260" i="28"/>
  <c r="L259" i="28"/>
  <c r="K259" i="28"/>
  <c r="J259" i="28"/>
  <c r="I259" i="28"/>
  <c r="H259" i="28"/>
  <c r="G259" i="28"/>
  <c r="F259" i="28"/>
  <c r="E259" i="28"/>
  <c r="D259" i="28"/>
  <c r="C259" i="28"/>
  <c r="B259" i="28"/>
  <c r="A259" i="28"/>
  <c r="L258" i="28"/>
  <c r="K258" i="28"/>
  <c r="J258" i="28"/>
  <c r="I258" i="28"/>
  <c r="H258" i="28"/>
  <c r="G258" i="28"/>
  <c r="F258" i="28"/>
  <c r="E258" i="28"/>
  <c r="D258" i="28"/>
  <c r="C258" i="28"/>
  <c r="B258" i="28"/>
  <c r="A258" i="28"/>
  <c r="L257" i="28"/>
  <c r="K257" i="28"/>
  <c r="J257" i="28"/>
  <c r="I257" i="28"/>
  <c r="H257" i="28"/>
  <c r="G257" i="28"/>
  <c r="F257" i="28"/>
  <c r="E257" i="28"/>
  <c r="D257" i="28"/>
  <c r="C257" i="28"/>
  <c r="B257" i="28"/>
  <c r="A257" i="28"/>
  <c r="L256" i="28"/>
  <c r="K256" i="28"/>
  <c r="J256" i="28"/>
  <c r="I256" i="28"/>
  <c r="H256" i="28"/>
  <c r="G256" i="28"/>
  <c r="F256" i="28"/>
  <c r="E256" i="28"/>
  <c r="D256" i="28"/>
  <c r="C256" i="28"/>
  <c r="B256" i="28"/>
  <c r="A256" i="28"/>
  <c r="L255" i="28"/>
  <c r="K255" i="28"/>
  <c r="J255" i="28"/>
  <c r="I255" i="28"/>
  <c r="H255" i="28"/>
  <c r="G255" i="28"/>
  <c r="F255" i="28"/>
  <c r="E255" i="28"/>
  <c r="D255" i="28"/>
  <c r="C255" i="28"/>
  <c r="B255" i="28"/>
  <c r="A255" i="28"/>
  <c r="L254" i="28"/>
  <c r="K254" i="28"/>
  <c r="J254" i="28"/>
  <c r="I254" i="28"/>
  <c r="H254" i="28"/>
  <c r="G254" i="28"/>
  <c r="F254" i="28"/>
  <c r="E254" i="28"/>
  <c r="D254" i="28"/>
  <c r="C254" i="28"/>
  <c r="B254" i="28"/>
  <c r="A254" i="28"/>
  <c r="L253" i="28"/>
  <c r="K253" i="28"/>
  <c r="J253" i="28"/>
  <c r="I253" i="28"/>
  <c r="H253" i="28"/>
  <c r="G253" i="28"/>
  <c r="F253" i="28"/>
  <c r="E253" i="28"/>
  <c r="D253" i="28"/>
  <c r="C253" i="28"/>
  <c r="B253" i="28"/>
  <c r="A253" i="28"/>
  <c r="L252" i="28"/>
  <c r="K252" i="28"/>
  <c r="J252" i="28"/>
  <c r="I252" i="28"/>
  <c r="H252" i="28"/>
  <c r="G252" i="28"/>
  <c r="F252" i="28"/>
  <c r="E252" i="28"/>
  <c r="D252" i="28"/>
  <c r="C252" i="28"/>
  <c r="B252" i="28"/>
  <c r="A252" i="28"/>
  <c r="L251" i="28"/>
  <c r="K251" i="28"/>
  <c r="J251" i="28"/>
  <c r="I251" i="28"/>
  <c r="H251" i="28"/>
  <c r="G251" i="28"/>
  <c r="F251" i="28"/>
  <c r="E251" i="28"/>
  <c r="D251" i="28"/>
  <c r="C251" i="28"/>
  <c r="B251" i="28"/>
  <c r="A251" i="28"/>
  <c r="L250" i="28"/>
  <c r="K250" i="28"/>
  <c r="J250" i="28"/>
  <c r="I250" i="28"/>
  <c r="H250" i="28"/>
  <c r="G250" i="28"/>
  <c r="F250" i="28"/>
  <c r="E250" i="28"/>
  <c r="D250" i="28"/>
  <c r="C250" i="28"/>
  <c r="B250" i="28"/>
  <c r="A250" i="28"/>
  <c r="L249" i="28"/>
  <c r="K249" i="28"/>
  <c r="J249" i="28"/>
  <c r="I249" i="28"/>
  <c r="H249" i="28"/>
  <c r="G249" i="28"/>
  <c r="F249" i="28"/>
  <c r="E249" i="28"/>
  <c r="D249" i="28"/>
  <c r="C249" i="28"/>
  <c r="B249" i="28"/>
  <c r="A249" i="28"/>
  <c r="L248" i="28"/>
  <c r="K248" i="28"/>
  <c r="J248" i="28"/>
  <c r="I248" i="28"/>
  <c r="H248" i="28"/>
  <c r="G248" i="28"/>
  <c r="F248" i="28"/>
  <c r="E248" i="28"/>
  <c r="D248" i="28"/>
  <c r="C248" i="28"/>
  <c r="B248" i="28"/>
  <c r="A248" i="28"/>
  <c r="L247" i="28"/>
  <c r="K247" i="28"/>
  <c r="J247" i="28"/>
  <c r="I247" i="28"/>
  <c r="H247" i="28"/>
  <c r="G247" i="28"/>
  <c r="F247" i="28"/>
  <c r="E247" i="28"/>
  <c r="D247" i="28"/>
  <c r="C247" i="28"/>
  <c r="B247" i="28"/>
  <c r="A247" i="28"/>
  <c r="L246" i="28"/>
  <c r="K246" i="28"/>
  <c r="J246" i="28"/>
  <c r="I246" i="28"/>
  <c r="H246" i="28"/>
  <c r="G246" i="28"/>
  <c r="F246" i="28"/>
  <c r="E246" i="28"/>
  <c r="D246" i="28"/>
  <c r="C246" i="28"/>
  <c r="B246" i="28"/>
  <c r="A246" i="28"/>
  <c r="L245" i="28"/>
  <c r="K245" i="28"/>
  <c r="J245" i="28"/>
  <c r="I245" i="28"/>
  <c r="H245" i="28"/>
  <c r="G245" i="28"/>
  <c r="F245" i="28"/>
  <c r="E245" i="28"/>
  <c r="D245" i="28"/>
  <c r="C245" i="28"/>
  <c r="B245" i="28"/>
  <c r="A245" i="28"/>
  <c r="L244" i="28"/>
  <c r="K244" i="28"/>
  <c r="J244" i="28"/>
  <c r="I244" i="28"/>
  <c r="H244" i="28"/>
  <c r="G244" i="28"/>
  <c r="F244" i="28"/>
  <c r="E244" i="28"/>
  <c r="D244" i="28"/>
  <c r="C244" i="28"/>
  <c r="B244" i="28"/>
  <c r="A244" i="28"/>
  <c r="L243" i="28"/>
  <c r="K243" i="28"/>
  <c r="J243" i="28"/>
  <c r="I243" i="28"/>
  <c r="H243" i="28"/>
  <c r="G243" i="28"/>
  <c r="F243" i="28"/>
  <c r="E243" i="28"/>
  <c r="D243" i="28"/>
  <c r="C243" i="28"/>
  <c r="B243" i="28"/>
  <c r="A243" i="28"/>
  <c r="L242" i="28"/>
  <c r="K242" i="28"/>
  <c r="J242" i="28"/>
  <c r="I242" i="28"/>
  <c r="H242" i="28"/>
  <c r="G242" i="28"/>
  <c r="F242" i="28"/>
  <c r="E242" i="28"/>
  <c r="D242" i="28"/>
  <c r="C242" i="28"/>
  <c r="B242" i="28"/>
  <c r="A242" i="28"/>
  <c r="L241" i="28"/>
  <c r="K241" i="28"/>
  <c r="J241" i="28"/>
  <c r="I241" i="28"/>
  <c r="H241" i="28"/>
  <c r="G241" i="28"/>
  <c r="F241" i="28"/>
  <c r="E241" i="28"/>
  <c r="D241" i="28"/>
  <c r="C241" i="28"/>
  <c r="B241" i="28"/>
  <c r="A241" i="28"/>
  <c r="L240" i="28"/>
  <c r="K240" i="28"/>
  <c r="J240" i="28"/>
  <c r="I240" i="28"/>
  <c r="H240" i="28"/>
  <c r="G240" i="28"/>
  <c r="F240" i="28"/>
  <c r="E240" i="28"/>
  <c r="D240" i="28"/>
  <c r="C240" i="28"/>
  <c r="B240" i="28"/>
  <c r="A240" i="28"/>
  <c r="L239" i="28"/>
  <c r="K239" i="28"/>
  <c r="J239" i="28"/>
  <c r="I239" i="28"/>
  <c r="H239" i="28"/>
  <c r="G239" i="28"/>
  <c r="F239" i="28"/>
  <c r="E239" i="28"/>
  <c r="D239" i="28"/>
  <c r="C239" i="28"/>
  <c r="B239" i="28"/>
  <c r="A239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L235" i="28"/>
  <c r="K235" i="28"/>
  <c r="J235" i="28"/>
  <c r="I235" i="28"/>
  <c r="H235" i="28"/>
  <c r="G235" i="28"/>
  <c r="F235" i="28"/>
  <c r="E235" i="28"/>
  <c r="D235" i="28"/>
  <c r="C235" i="28"/>
  <c r="B235" i="28"/>
  <c r="A235" i="28"/>
  <c r="L234" i="28"/>
  <c r="K234" i="28"/>
  <c r="J234" i="28"/>
  <c r="I234" i="28"/>
  <c r="H234" i="28"/>
  <c r="G234" i="28"/>
  <c r="F234" i="28"/>
  <c r="E234" i="28"/>
  <c r="D234" i="28"/>
  <c r="C234" i="28"/>
  <c r="B234" i="28"/>
  <c r="A234" i="28"/>
  <c r="L233" i="28"/>
  <c r="K233" i="28"/>
  <c r="J233" i="28"/>
  <c r="I233" i="28"/>
  <c r="H233" i="28"/>
  <c r="G233" i="28"/>
  <c r="F233" i="28"/>
  <c r="E233" i="28"/>
  <c r="D233" i="28"/>
  <c r="C233" i="28"/>
  <c r="B233" i="28"/>
  <c r="A233" i="28"/>
  <c r="L232" i="28"/>
  <c r="K232" i="28"/>
  <c r="J232" i="28"/>
  <c r="I232" i="28"/>
  <c r="H232" i="28"/>
  <c r="G232" i="28"/>
  <c r="F232" i="28"/>
  <c r="E232" i="28"/>
  <c r="D232" i="28"/>
  <c r="C232" i="28"/>
  <c r="B232" i="28"/>
  <c r="A232" i="28"/>
  <c r="L231" i="28"/>
  <c r="K231" i="28"/>
  <c r="J231" i="28"/>
  <c r="I231" i="28"/>
  <c r="H231" i="28"/>
  <c r="G231" i="28"/>
  <c r="F231" i="28"/>
  <c r="E231" i="28"/>
  <c r="D231" i="28"/>
  <c r="C231" i="28"/>
  <c r="B231" i="28"/>
  <c r="A231" i="28"/>
  <c r="L230" i="28"/>
  <c r="K230" i="28"/>
  <c r="J230" i="28"/>
  <c r="I230" i="28"/>
  <c r="H230" i="28"/>
  <c r="G230" i="28"/>
  <c r="F230" i="28"/>
  <c r="E230" i="28"/>
  <c r="D230" i="28"/>
  <c r="C230" i="28"/>
  <c r="B230" i="28"/>
  <c r="A230" i="28"/>
  <c r="L229" i="28"/>
  <c r="K229" i="28"/>
  <c r="J229" i="28"/>
  <c r="I229" i="28"/>
  <c r="H229" i="28"/>
  <c r="G229" i="28"/>
  <c r="F229" i="28"/>
  <c r="E229" i="28"/>
  <c r="D229" i="28"/>
  <c r="C229" i="28"/>
  <c r="B229" i="28"/>
  <c r="A229" i="28"/>
  <c r="L228" i="28"/>
  <c r="K228" i="28"/>
  <c r="J228" i="28"/>
  <c r="I228" i="28"/>
  <c r="H228" i="28"/>
  <c r="G228" i="28"/>
  <c r="F228" i="28"/>
  <c r="E228" i="28"/>
  <c r="D228" i="28"/>
  <c r="C228" i="28"/>
  <c r="B228" i="28"/>
  <c r="A228" i="28"/>
  <c r="L227" i="28"/>
  <c r="K227" i="28"/>
  <c r="J227" i="28"/>
  <c r="I227" i="28"/>
  <c r="H227" i="28"/>
  <c r="G227" i="28"/>
  <c r="F227" i="28"/>
  <c r="E227" i="28"/>
  <c r="D227" i="28"/>
  <c r="C227" i="28"/>
  <c r="B227" i="28"/>
  <c r="A227" i="28"/>
  <c r="L226" i="28"/>
  <c r="K226" i="28"/>
  <c r="J226" i="28"/>
  <c r="I226" i="28"/>
  <c r="H226" i="28"/>
  <c r="G226" i="28"/>
  <c r="F226" i="28"/>
  <c r="E226" i="28"/>
  <c r="D226" i="28"/>
  <c r="C226" i="28"/>
  <c r="B226" i="28"/>
  <c r="A226" i="28"/>
  <c r="L225" i="28"/>
  <c r="K225" i="28"/>
  <c r="J225" i="28"/>
  <c r="I225" i="28"/>
  <c r="H225" i="28"/>
  <c r="G225" i="28"/>
  <c r="F225" i="28"/>
  <c r="E225" i="28"/>
  <c r="D225" i="28"/>
  <c r="C225" i="28"/>
  <c r="B225" i="28"/>
  <c r="A225" i="28"/>
  <c r="L224" i="28"/>
  <c r="K224" i="28"/>
  <c r="J224" i="28"/>
  <c r="I224" i="28"/>
  <c r="H224" i="28"/>
  <c r="G224" i="28"/>
  <c r="F224" i="28"/>
  <c r="E224" i="28"/>
  <c r="D224" i="28"/>
  <c r="C224" i="28"/>
  <c r="B224" i="28"/>
  <c r="A224" i="28"/>
  <c r="L223" i="28"/>
  <c r="K223" i="28"/>
  <c r="J223" i="28"/>
  <c r="I223" i="28"/>
  <c r="H223" i="28"/>
  <c r="G223" i="28"/>
  <c r="F223" i="28"/>
  <c r="E223" i="28"/>
  <c r="D223" i="28"/>
  <c r="C223" i="28"/>
  <c r="B223" i="28"/>
  <c r="A223" i="28"/>
  <c r="L222" i="28"/>
  <c r="K222" i="28"/>
  <c r="J222" i="28"/>
  <c r="I222" i="28"/>
  <c r="H222" i="28"/>
  <c r="G222" i="28"/>
  <c r="F222" i="28"/>
  <c r="E222" i="28"/>
  <c r="D222" i="28"/>
  <c r="C222" i="28"/>
  <c r="B222" i="28"/>
  <c r="A222" i="28"/>
  <c r="L221" i="28"/>
  <c r="K221" i="28"/>
  <c r="J221" i="28"/>
  <c r="I221" i="28"/>
  <c r="H221" i="28"/>
  <c r="G221" i="28"/>
  <c r="F221" i="28"/>
  <c r="E221" i="28"/>
  <c r="D221" i="28"/>
  <c r="C221" i="28"/>
  <c r="B221" i="28"/>
  <c r="A221" i="28"/>
  <c r="L220" i="28"/>
  <c r="K220" i="28"/>
  <c r="J220" i="28"/>
  <c r="I220" i="28"/>
  <c r="H220" i="28"/>
  <c r="G220" i="28"/>
  <c r="F220" i="28"/>
  <c r="E220" i="28"/>
  <c r="D220" i="28"/>
  <c r="C220" i="28"/>
  <c r="B220" i="28"/>
  <c r="A220" i="28"/>
  <c r="L219" i="28"/>
  <c r="K219" i="28"/>
  <c r="J219" i="28"/>
  <c r="I219" i="28"/>
  <c r="H219" i="28"/>
  <c r="G219" i="28"/>
  <c r="F219" i="28"/>
  <c r="E219" i="28"/>
  <c r="D219" i="28"/>
  <c r="C219" i="28"/>
  <c r="B219" i="28"/>
  <c r="A219" i="28"/>
  <c r="L218" i="28"/>
  <c r="K218" i="28"/>
  <c r="J218" i="28"/>
  <c r="I218" i="28"/>
  <c r="H218" i="28"/>
  <c r="G218" i="28"/>
  <c r="F218" i="28"/>
  <c r="E218" i="28"/>
  <c r="D218" i="28"/>
  <c r="C218" i="28"/>
  <c r="B218" i="28"/>
  <c r="A218" i="28"/>
  <c r="L217" i="28"/>
  <c r="K217" i="28"/>
  <c r="J217" i="28"/>
  <c r="I217" i="28"/>
  <c r="H217" i="28"/>
  <c r="G217" i="28"/>
  <c r="F217" i="28"/>
  <c r="E217" i="28"/>
  <c r="D217" i="28"/>
  <c r="C217" i="28"/>
  <c r="B217" i="28"/>
  <c r="A217" i="28"/>
  <c r="L216" i="28"/>
  <c r="K216" i="28"/>
  <c r="J216" i="28"/>
  <c r="I216" i="28"/>
  <c r="H216" i="28"/>
  <c r="G216" i="28"/>
  <c r="F216" i="28"/>
  <c r="E216" i="28"/>
  <c r="D216" i="28"/>
  <c r="C216" i="28"/>
  <c r="B216" i="28"/>
  <c r="A216" i="28"/>
  <c r="L215" i="28"/>
  <c r="K215" i="28"/>
  <c r="J215" i="28"/>
  <c r="I215" i="28"/>
  <c r="H215" i="28"/>
  <c r="G215" i="28"/>
  <c r="F215" i="28"/>
  <c r="E215" i="28"/>
  <c r="D215" i="28"/>
  <c r="C215" i="28"/>
  <c r="B215" i="28"/>
  <c r="A215" i="28"/>
  <c r="L214" i="28"/>
  <c r="K214" i="28"/>
  <c r="J214" i="28"/>
  <c r="I214" i="28"/>
  <c r="H214" i="28"/>
  <c r="G214" i="28"/>
  <c r="F214" i="28"/>
  <c r="E214" i="28"/>
  <c r="D214" i="28"/>
  <c r="C214" i="28"/>
  <c r="B214" i="28"/>
  <c r="A214" i="28"/>
  <c r="L213" i="28"/>
  <c r="K213" i="28"/>
  <c r="J213" i="28"/>
  <c r="I213" i="28"/>
  <c r="H213" i="28"/>
  <c r="G213" i="28"/>
  <c r="F213" i="28"/>
  <c r="E213" i="28"/>
  <c r="D213" i="28"/>
  <c r="C213" i="28"/>
  <c r="B213" i="28"/>
  <c r="A213" i="28"/>
  <c r="L212" i="28"/>
  <c r="K212" i="28"/>
  <c r="J212" i="28"/>
  <c r="I212" i="28"/>
  <c r="H212" i="28"/>
  <c r="G212" i="28"/>
  <c r="F212" i="28"/>
  <c r="E212" i="28"/>
  <c r="D212" i="28"/>
  <c r="C212" i="28"/>
  <c r="B212" i="28"/>
  <c r="A212" i="28"/>
  <c r="L211" i="28"/>
  <c r="K211" i="28"/>
  <c r="J211" i="28"/>
  <c r="I211" i="28"/>
  <c r="H211" i="28"/>
  <c r="G211" i="28"/>
  <c r="F211" i="28"/>
  <c r="E211" i="28"/>
  <c r="D211" i="28"/>
  <c r="C211" i="28"/>
  <c r="B211" i="28"/>
  <c r="A211" i="28"/>
  <c r="L210" i="28"/>
  <c r="K210" i="28"/>
  <c r="J210" i="28"/>
  <c r="I210" i="28"/>
  <c r="H210" i="28"/>
  <c r="G210" i="28"/>
  <c r="F210" i="28"/>
  <c r="E210" i="28"/>
  <c r="D210" i="28"/>
  <c r="C210" i="28"/>
  <c r="B210" i="28"/>
  <c r="A210" i="28"/>
  <c r="L209" i="28"/>
  <c r="K209" i="28"/>
  <c r="J209" i="28"/>
  <c r="I209" i="28"/>
  <c r="H209" i="28"/>
  <c r="G209" i="28"/>
  <c r="F209" i="28"/>
  <c r="E209" i="28"/>
  <c r="D209" i="28"/>
  <c r="C209" i="28"/>
  <c r="B209" i="28"/>
  <c r="A209" i="28"/>
  <c r="L208" i="28"/>
  <c r="K208" i="28"/>
  <c r="J208" i="28"/>
  <c r="I208" i="28"/>
  <c r="H208" i="28"/>
  <c r="G208" i="28"/>
  <c r="F208" i="28"/>
  <c r="E208" i="28"/>
  <c r="D208" i="28"/>
  <c r="C208" i="28"/>
  <c r="B208" i="28"/>
  <c r="A208" i="28"/>
  <c r="L207" i="28"/>
  <c r="K207" i="28"/>
  <c r="J207" i="28"/>
  <c r="I207" i="28"/>
  <c r="H207" i="28"/>
  <c r="G207" i="28"/>
  <c r="F207" i="28"/>
  <c r="E207" i="28"/>
  <c r="D207" i="28"/>
  <c r="C207" i="28"/>
  <c r="B207" i="28"/>
  <c r="A207" i="28"/>
  <c r="L206" i="28"/>
  <c r="K206" i="28"/>
  <c r="J206" i="28"/>
  <c r="I206" i="28"/>
  <c r="H206" i="28"/>
  <c r="G206" i="28"/>
  <c r="F206" i="28"/>
  <c r="E206" i="28"/>
  <c r="D206" i="28"/>
  <c r="C206" i="28"/>
  <c r="B206" i="28"/>
  <c r="A206" i="28"/>
  <c r="L205" i="28"/>
  <c r="K205" i="28"/>
  <c r="J205" i="28"/>
  <c r="I205" i="28"/>
  <c r="H205" i="28"/>
  <c r="G205" i="28"/>
  <c r="F205" i="28"/>
  <c r="E205" i="28"/>
  <c r="D205" i="28"/>
  <c r="C205" i="28"/>
  <c r="B205" i="28"/>
  <c r="A205" i="28"/>
  <c r="L204" i="28"/>
  <c r="K204" i="28"/>
  <c r="J204" i="28"/>
  <c r="I204" i="28"/>
  <c r="H204" i="28"/>
  <c r="G204" i="28"/>
  <c r="F204" i="28"/>
  <c r="E204" i="28"/>
  <c r="D204" i="28"/>
  <c r="C204" i="28"/>
  <c r="B204" i="28"/>
  <c r="A204" i="28"/>
  <c r="L203" i="28"/>
  <c r="K203" i="28"/>
  <c r="J203" i="28"/>
  <c r="I203" i="28"/>
  <c r="H203" i="28"/>
  <c r="G203" i="28"/>
  <c r="F203" i="28"/>
  <c r="E203" i="28"/>
  <c r="D203" i="28"/>
  <c r="C203" i="28"/>
  <c r="B203" i="28"/>
  <c r="A203" i="28"/>
  <c r="L202" i="28"/>
  <c r="K202" i="28"/>
  <c r="J202" i="28"/>
  <c r="I202" i="28"/>
  <c r="H202" i="28"/>
  <c r="G202" i="28"/>
  <c r="F202" i="28"/>
  <c r="E202" i="28"/>
  <c r="D202" i="28"/>
  <c r="C202" i="28"/>
  <c r="B202" i="28"/>
  <c r="A202" i="28"/>
  <c r="L201" i="28"/>
  <c r="K201" i="28"/>
  <c r="J201" i="28"/>
  <c r="I201" i="28"/>
  <c r="H201" i="28"/>
  <c r="G201" i="28"/>
  <c r="F201" i="28"/>
  <c r="E201" i="28"/>
  <c r="D201" i="28"/>
  <c r="C201" i="28"/>
  <c r="B201" i="28"/>
  <c r="A201" i="28"/>
  <c r="L200" i="28"/>
  <c r="K200" i="28"/>
  <c r="J200" i="28"/>
  <c r="I200" i="28"/>
  <c r="H200" i="28"/>
  <c r="G200" i="28"/>
  <c r="F200" i="28"/>
  <c r="E200" i="28"/>
  <c r="D200" i="28"/>
  <c r="C200" i="28"/>
  <c r="B200" i="28"/>
  <c r="A200" i="28"/>
  <c r="L199" i="28"/>
  <c r="K199" i="28"/>
  <c r="J199" i="28"/>
  <c r="I199" i="28"/>
  <c r="H199" i="28"/>
  <c r="G199" i="28"/>
  <c r="F199" i="28"/>
  <c r="E199" i="28"/>
  <c r="D199" i="28"/>
  <c r="C199" i="28"/>
  <c r="B199" i="28"/>
  <c r="A199" i="28"/>
  <c r="L198" i="28"/>
  <c r="K198" i="28"/>
  <c r="J198" i="28"/>
  <c r="I198" i="28"/>
  <c r="H198" i="28"/>
  <c r="G198" i="28"/>
  <c r="F198" i="28"/>
  <c r="E198" i="28"/>
  <c r="D198" i="28"/>
  <c r="C198" i="28"/>
  <c r="B198" i="28"/>
  <c r="A198" i="28"/>
  <c r="L197" i="28"/>
  <c r="K197" i="28"/>
  <c r="J197" i="28"/>
  <c r="I197" i="28"/>
  <c r="H197" i="28"/>
  <c r="G197" i="28"/>
  <c r="F197" i="28"/>
  <c r="E197" i="28"/>
  <c r="D197" i="28"/>
  <c r="C197" i="28"/>
  <c r="B197" i="28"/>
  <c r="A197" i="28"/>
  <c r="L196" i="28"/>
  <c r="K196" i="28"/>
  <c r="J196" i="28"/>
  <c r="I196" i="28"/>
  <c r="H196" i="28"/>
  <c r="G196" i="28"/>
  <c r="F196" i="28"/>
  <c r="E196" i="28"/>
  <c r="D196" i="28"/>
  <c r="C196" i="28"/>
  <c r="B196" i="28"/>
  <c r="A196" i="28"/>
  <c r="L195" i="28"/>
  <c r="K195" i="28"/>
  <c r="J195" i="28"/>
  <c r="I195" i="28"/>
  <c r="H195" i="28"/>
  <c r="G195" i="28"/>
  <c r="F195" i="28"/>
  <c r="E195" i="28"/>
  <c r="D195" i="28"/>
  <c r="C195" i="28"/>
  <c r="B195" i="28"/>
  <c r="A195" i="28"/>
  <c r="L194" i="28"/>
  <c r="K194" i="28"/>
  <c r="J194" i="28"/>
  <c r="I194" i="28"/>
  <c r="H194" i="28"/>
  <c r="G194" i="28"/>
  <c r="F194" i="28"/>
  <c r="E194" i="28"/>
  <c r="D194" i="28"/>
  <c r="C194" i="28"/>
  <c r="B194" i="28"/>
  <c r="A194" i="28"/>
  <c r="L193" i="28"/>
  <c r="K193" i="28"/>
  <c r="J193" i="28"/>
  <c r="I193" i="28"/>
  <c r="H193" i="28"/>
  <c r="G193" i="28"/>
  <c r="F193" i="28"/>
  <c r="E193" i="28"/>
  <c r="D193" i="28"/>
  <c r="C193" i="28"/>
  <c r="B193" i="28"/>
  <c r="A193" i="28"/>
  <c r="L192" i="28"/>
  <c r="K192" i="28"/>
  <c r="J192" i="28"/>
  <c r="I192" i="28"/>
  <c r="H192" i="28"/>
  <c r="G192" i="28"/>
  <c r="F192" i="28"/>
  <c r="E192" i="28"/>
  <c r="D192" i="28"/>
  <c r="C192" i="28"/>
  <c r="B192" i="28"/>
  <c r="A192" i="28"/>
  <c r="L191" i="28"/>
  <c r="K191" i="28"/>
  <c r="J191" i="28"/>
  <c r="I191" i="28"/>
  <c r="H191" i="28"/>
  <c r="G191" i="28"/>
  <c r="F191" i="28"/>
  <c r="E191" i="28"/>
  <c r="D191" i="28"/>
  <c r="C191" i="28"/>
  <c r="B191" i="28"/>
  <c r="A191" i="28"/>
  <c r="L190" i="28"/>
  <c r="K190" i="28"/>
  <c r="J190" i="28"/>
  <c r="I190" i="28"/>
  <c r="H190" i="28"/>
  <c r="G190" i="28"/>
  <c r="F190" i="28"/>
  <c r="E190" i="28"/>
  <c r="D190" i="28"/>
  <c r="C190" i="28"/>
  <c r="B190" i="28"/>
  <c r="A190" i="28"/>
  <c r="L189" i="28"/>
  <c r="K189" i="28"/>
  <c r="J189" i="28"/>
  <c r="I189" i="28"/>
  <c r="H189" i="28"/>
  <c r="G189" i="28"/>
  <c r="F189" i="28"/>
  <c r="E189" i="28"/>
  <c r="D189" i="28"/>
  <c r="C189" i="28"/>
  <c r="B189" i="28"/>
  <c r="A189" i="28"/>
  <c r="L188" i="28"/>
  <c r="K188" i="28"/>
  <c r="J188" i="28"/>
  <c r="I188" i="28"/>
  <c r="H188" i="28"/>
  <c r="G188" i="28"/>
  <c r="F188" i="28"/>
  <c r="E188" i="28"/>
  <c r="D188" i="28"/>
  <c r="C188" i="28"/>
  <c r="B188" i="28"/>
  <c r="A188" i="28"/>
  <c r="L187" i="28"/>
  <c r="K187" i="28"/>
  <c r="J187" i="28"/>
  <c r="I187" i="28"/>
  <c r="H187" i="28"/>
  <c r="G187" i="28"/>
  <c r="F187" i="28"/>
  <c r="E187" i="28"/>
  <c r="D187" i="28"/>
  <c r="C187" i="28"/>
  <c r="B187" i="28"/>
  <c r="A187" i="28"/>
  <c r="L186" i="28"/>
  <c r="K186" i="28"/>
  <c r="J186" i="28"/>
  <c r="I186" i="28"/>
  <c r="H186" i="28"/>
  <c r="G186" i="28"/>
  <c r="F186" i="28"/>
  <c r="E186" i="28"/>
  <c r="D186" i="28"/>
  <c r="C186" i="28"/>
  <c r="B186" i="28"/>
  <c r="A186" i="28"/>
  <c r="L185" i="28"/>
  <c r="K185" i="28"/>
  <c r="J185" i="28"/>
  <c r="I185" i="28"/>
  <c r="H185" i="28"/>
  <c r="G185" i="28"/>
  <c r="F185" i="28"/>
  <c r="E185" i="28"/>
  <c r="D185" i="28"/>
  <c r="C185" i="28"/>
  <c r="B185" i="28"/>
  <c r="A185" i="28"/>
  <c r="L184" i="28"/>
  <c r="K184" i="28"/>
  <c r="J184" i="28"/>
  <c r="I184" i="28"/>
  <c r="H184" i="28"/>
  <c r="G184" i="28"/>
  <c r="F184" i="28"/>
  <c r="E184" i="28"/>
  <c r="D184" i="28"/>
  <c r="C184" i="28"/>
  <c r="B184" i="28"/>
  <c r="A184" i="28"/>
  <c r="L183" i="28"/>
  <c r="K183" i="28"/>
  <c r="J183" i="28"/>
  <c r="I183" i="28"/>
  <c r="H183" i="28"/>
  <c r="G183" i="28"/>
  <c r="F183" i="28"/>
  <c r="E183" i="28"/>
  <c r="D183" i="28"/>
  <c r="C183" i="28"/>
  <c r="B183" i="28"/>
  <c r="A183" i="28"/>
  <c r="L182" i="28"/>
  <c r="K182" i="28"/>
  <c r="J182" i="28"/>
  <c r="I182" i="28"/>
  <c r="H182" i="28"/>
  <c r="G182" i="28"/>
  <c r="F182" i="28"/>
  <c r="E182" i="28"/>
  <c r="D182" i="28"/>
  <c r="C182" i="28"/>
  <c r="B182" i="28"/>
  <c r="A182" i="28"/>
  <c r="L181" i="28"/>
  <c r="K181" i="28"/>
  <c r="J181" i="28"/>
  <c r="I181" i="28"/>
  <c r="H181" i="28"/>
  <c r="G181" i="28"/>
  <c r="F181" i="28"/>
  <c r="E181" i="28"/>
  <c r="D181" i="28"/>
  <c r="C181" i="28"/>
  <c r="B181" i="28"/>
  <c r="A181" i="28"/>
  <c r="L180" i="28"/>
  <c r="K180" i="28"/>
  <c r="J180" i="28"/>
  <c r="I180" i="28"/>
  <c r="H180" i="28"/>
  <c r="G180" i="28"/>
  <c r="F180" i="28"/>
  <c r="E180" i="28"/>
  <c r="D180" i="28"/>
  <c r="C180" i="28"/>
  <c r="B180" i="28"/>
  <c r="A180" i="28"/>
  <c r="L179" i="28"/>
  <c r="K179" i="28"/>
  <c r="J179" i="28"/>
  <c r="I179" i="28"/>
  <c r="H179" i="28"/>
  <c r="G179" i="28"/>
  <c r="F179" i="28"/>
  <c r="E179" i="28"/>
  <c r="D179" i="28"/>
  <c r="C179" i="28"/>
  <c r="B179" i="28"/>
  <c r="A179" i="28"/>
  <c r="L178" i="28"/>
  <c r="K178" i="28"/>
  <c r="J178" i="28"/>
  <c r="I178" i="28"/>
  <c r="H178" i="28"/>
  <c r="G178" i="28"/>
  <c r="F178" i="28"/>
  <c r="E178" i="28"/>
  <c r="D178" i="28"/>
  <c r="C178" i="28"/>
  <c r="B178" i="28"/>
  <c r="A178" i="28"/>
  <c r="L177" i="28"/>
  <c r="K177" i="28"/>
  <c r="J177" i="28"/>
  <c r="I177" i="28"/>
  <c r="H177" i="28"/>
  <c r="G177" i="28"/>
  <c r="F177" i="28"/>
  <c r="E177" i="28"/>
  <c r="D177" i="28"/>
  <c r="C177" i="28"/>
  <c r="B177" i="28"/>
  <c r="A177" i="28"/>
  <c r="L176" i="28"/>
  <c r="K176" i="28"/>
  <c r="J176" i="28"/>
  <c r="I176" i="28"/>
  <c r="H176" i="28"/>
  <c r="G176" i="28"/>
  <c r="F176" i="28"/>
  <c r="E176" i="28"/>
  <c r="D176" i="28"/>
  <c r="C176" i="28"/>
  <c r="B176" i="28"/>
  <c r="A176" i="28"/>
  <c r="L175" i="28"/>
  <c r="K175" i="28"/>
  <c r="J175" i="28"/>
  <c r="I175" i="28"/>
  <c r="H175" i="28"/>
  <c r="G175" i="28"/>
  <c r="F175" i="28"/>
  <c r="E175" i="28"/>
  <c r="D175" i="28"/>
  <c r="C175" i="28"/>
  <c r="B175" i="28"/>
  <c r="A175" i="28"/>
  <c r="L174" i="28"/>
  <c r="K174" i="28"/>
  <c r="J174" i="28"/>
  <c r="I174" i="28"/>
  <c r="H174" i="28"/>
  <c r="G174" i="28"/>
  <c r="F174" i="28"/>
  <c r="E174" i="28"/>
  <c r="D174" i="28"/>
  <c r="C174" i="28"/>
  <c r="B174" i="28"/>
  <c r="A174" i="28"/>
  <c r="L173" i="28"/>
  <c r="K173" i="28"/>
  <c r="J173" i="28"/>
  <c r="I173" i="28"/>
  <c r="H173" i="28"/>
  <c r="G173" i="28"/>
  <c r="F173" i="28"/>
  <c r="E173" i="28"/>
  <c r="D173" i="28"/>
  <c r="C173" i="28"/>
  <c r="B173" i="28"/>
  <c r="A173" i="28"/>
  <c r="L172" i="28"/>
  <c r="K172" i="28"/>
  <c r="J172" i="28"/>
  <c r="I172" i="28"/>
  <c r="H172" i="28"/>
  <c r="G172" i="28"/>
  <c r="F172" i="28"/>
  <c r="E172" i="28"/>
  <c r="D172" i="28"/>
  <c r="C172" i="28"/>
  <c r="B172" i="28"/>
  <c r="A172" i="28"/>
  <c r="L171" i="28"/>
  <c r="K171" i="28"/>
  <c r="J171" i="28"/>
  <c r="I171" i="28"/>
  <c r="H171" i="28"/>
  <c r="G171" i="28"/>
  <c r="F171" i="28"/>
  <c r="E171" i="28"/>
  <c r="D171" i="28"/>
  <c r="C171" i="28"/>
  <c r="B171" i="28"/>
  <c r="A171" i="28"/>
  <c r="L170" i="28"/>
  <c r="K170" i="28"/>
  <c r="J170" i="28"/>
  <c r="I170" i="28"/>
  <c r="H170" i="28"/>
  <c r="G170" i="28"/>
  <c r="F170" i="28"/>
  <c r="E170" i="28"/>
  <c r="D170" i="28"/>
  <c r="C170" i="28"/>
  <c r="B170" i="28"/>
  <c r="A170" i="28"/>
  <c r="L169" i="28"/>
  <c r="K169" i="28"/>
  <c r="J169" i="28"/>
  <c r="I169" i="28"/>
  <c r="H169" i="28"/>
  <c r="G169" i="28"/>
  <c r="F169" i="28"/>
  <c r="E169" i="28"/>
  <c r="D169" i="28"/>
  <c r="C169" i="28"/>
  <c r="B169" i="28"/>
  <c r="A169" i="28"/>
  <c r="L168" i="28"/>
  <c r="K168" i="28"/>
  <c r="J168" i="28"/>
  <c r="I168" i="28"/>
  <c r="H168" i="28"/>
  <c r="G168" i="28"/>
  <c r="F168" i="28"/>
  <c r="E168" i="28"/>
  <c r="D168" i="28"/>
  <c r="C168" i="28"/>
  <c r="B168" i="28"/>
  <c r="A168" i="28"/>
  <c r="L167" i="28"/>
  <c r="K167" i="28"/>
  <c r="J167" i="28"/>
  <c r="I167" i="28"/>
  <c r="H167" i="28"/>
  <c r="G167" i="28"/>
  <c r="F167" i="28"/>
  <c r="E167" i="28"/>
  <c r="D167" i="28"/>
  <c r="C167" i="28"/>
  <c r="B167" i="28"/>
  <c r="A167" i="28"/>
  <c r="L166" i="28"/>
  <c r="K166" i="28"/>
  <c r="J166" i="28"/>
  <c r="I166" i="28"/>
  <c r="H166" i="28"/>
  <c r="G166" i="28"/>
  <c r="F166" i="28"/>
  <c r="E166" i="28"/>
  <c r="D166" i="28"/>
  <c r="C166" i="28"/>
  <c r="B166" i="28"/>
  <c r="A166" i="28"/>
  <c r="L165" i="28"/>
  <c r="K165" i="28"/>
  <c r="J165" i="28"/>
  <c r="I165" i="28"/>
  <c r="H165" i="28"/>
  <c r="G165" i="28"/>
  <c r="F165" i="28"/>
  <c r="E165" i="28"/>
  <c r="D165" i="28"/>
  <c r="C165" i="28"/>
  <c r="B165" i="28"/>
  <c r="A165" i="28"/>
  <c r="L164" i="28"/>
  <c r="K164" i="28"/>
  <c r="J164" i="28"/>
  <c r="I164" i="28"/>
  <c r="H164" i="28"/>
  <c r="G164" i="28"/>
  <c r="F164" i="28"/>
  <c r="E164" i="28"/>
  <c r="D164" i="28"/>
  <c r="C164" i="28"/>
  <c r="B164" i="28"/>
  <c r="A164" i="28"/>
  <c r="L163" i="28"/>
  <c r="K163" i="28"/>
  <c r="J163" i="28"/>
  <c r="I163" i="28"/>
  <c r="H163" i="28"/>
  <c r="G163" i="28"/>
  <c r="F163" i="28"/>
  <c r="E163" i="28"/>
  <c r="D163" i="28"/>
  <c r="C163" i="28"/>
  <c r="B163" i="28"/>
  <c r="A163" i="28"/>
  <c r="L162" i="28"/>
  <c r="K162" i="28"/>
  <c r="J162" i="28"/>
  <c r="I162" i="28"/>
  <c r="H162" i="28"/>
  <c r="G162" i="28"/>
  <c r="F162" i="28"/>
  <c r="E162" i="28"/>
  <c r="D162" i="28"/>
  <c r="C162" i="28"/>
  <c r="B162" i="28"/>
  <c r="A162" i="28"/>
  <c r="L161" i="28"/>
  <c r="K161" i="28"/>
  <c r="J161" i="28"/>
  <c r="I161" i="28"/>
  <c r="H161" i="28"/>
  <c r="G161" i="28"/>
  <c r="F161" i="28"/>
  <c r="E161" i="28"/>
  <c r="D161" i="28"/>
  <c r="C161" i="28"/>
  <c r="B161" i="28"/>
  <c r="A161" i="28"/>
  <c r="L160" i="28"/>
  <c r="K160" i="28"/>
  <c r="J160" i="28"/>
  <c r="I160" i="28"/>
  <c r="H160" i="28"/>
  <c r="G160" i="28"/>
  <c r="F160" i="28"/>
  <c r="E160" i="28"/>
  <c r="D160" i="28"/>
  <c r="C160" i="28"/>
  <c r="B160" i="28"/>
  <c r="A160" i="28"/>
  <c r="L159" i="28"/>
  <c r="K159" i="28"/>
  <c r="J159" i="28"/>
  <c r="I159" i="28"/>
  <c r="H159" i="28"/>
  <c r="G159" i="28"/>
  <c r="F159" i="28"/>
  <c r="E159" i="28"/>
  <c r="D159" i="28"/>
  <c r="C159" i="28"/>
  <c r="B159" i="28"/>
  <c r="A159" i="28"/>
  <c r="L158" i="28"/>
  <c r="K158" i="28"/>
  <c r="J158" i="28"/>
  <c r="I158" i="28"/>
  <c r="H158" i="28"/>
  <c r="G158" i="28"/>
  <c r="F158" i="28"/>
  <c r="E158" i="28"/>
  <c r="D158" i="28"/>
  <c r="C158" i="28"/>
  <c r="B158" i="28"/>
  <c r="A158" i="28"/>
  <c r="L157" i="28"/>
  <c r="K157" i="28"/>
  <c r="J157" i="28"/>
  <c r="I157" i="28"/>
  <c r="H157" i="28"/>
  <c r="G157" i="28"/>
  <c r="F157" i="28"/>
  <c r="E157" i="28"/>
  <c r="D157" i="28"/>
  <c r="C157" i="28"/>
  <c r="B157" i="28"/>
  <c r="A157" i="28"/>
  <c r="L156" i="28"/>
  <c r="K156" i="28"/>
  <c r="J156" i="28"/>
  <c r="I156" i="28"/>
  <c r="H156" i="28"/>
  <c r="G156" i="28"/>
  <c r="F156" i="28"/>
  <c r="E156" i="28"/>
  <c r="D156" i="28"/>
  <c r="C156" i="28"/>
  <c r="B156" i="28"/>
  <c r="A156" i="28"/>
  <c r="L155" i="28"/>
  <c r="K155" i="28"/>
  <c r="J155" i="28"/>
  <c r="I155" i="28"/>
  <c r="H155" i="28"/>
  <c r="G155" i="28"/>
  <c r="F155" i="28"/>
  <c r="E155" i="28"/>
  <c r="D155" i="28"/>
  <c r="C155" i="28"/>
  <c r="B155" i="28"/>
  <c r="A155" i="28"/>
  <c r="L154" i="28"/>
  <c r="K154" i="28"/>
  <c r="J154" i="28"/>
  <c r="I154" i="28"/>
  <c r="H154" i="28"/>
  <c r="G154" i="28"/>
  <c r="F154" i="28"/>
  <c r="E154" i="28"/>
  <c r="D154" i="28"/>
  <c r="C154" i="28"/>
  <c r="B154" i="28"/>
  <c r="A154" i="28"/>
  <c r="L153" i="28"/>
  <c r="K153" i="28"/>
  <c r="J153" i="28"/>
  <c r="I153" i="28"/>
  <c r="H153" i="28"/>
  <c r="G153" i="28"/>
  <c r="F153" i="28"/>
  <c r="E153" i="28"/>
  <c r="D153" i="28"/>
  <c r="C153" i="28"/>
  <c r="B153" i="28"/>
  <c r="A153" i="28"/>
  <c r="L152" i="28"/>
  <c r="K152" i="28"/>
  <c r="J152" i="28"/>
  <c r="I152" i="28"/>
  <c r="H152" i="28"/>
  <c r="G152" i="28"/>
  <c r="F152" i="28"/>
  <c r="E152" i="28"/>
  <c r="D152" i="28"/>
  <c r="C152" i="28"/>
  <c r="B152" i="28"/>
  <c r="A152" i="28"/>
  <c r="L151" i="28"/>
  <c r="K151" i="28"/>
  <c r="J151" i="28"/>
  <c r="I151" i="28"/>
  <c r="H151" i="28"/>
  <c r="G151" i="28"/>
  <c r="F151" i="28"/>
  <c r="E151" i="28"/>
  <c r="D151" i="28"/>
  <c r="C151" i="28"/>
  <c r="B151" i="28"/>
  <c r="A151" i="28"/>
  <c r="L150" i="28"/>
  <c r="K150" i="28"/>
  <c r="J150" i="28"/>
  <c r="I150" i="28"/>
  <c r="H150" i="28"/>
  <c r="G150" i="28"/>
  <c r="F150" i="28"/>
  <c r="E150" i="28"/>
  <c r="D150" i="28"/>
  <c r="C150" i="28"/>
  <c r="B150" i="28"/>
  <c r="A150" i="28"/>
  <c r="L149" i="28"/>
  <c r="K149" i="28"/>
  <c r="J149" i="28"/>
  <c r="I149" i="28"/>
  <c r="H149" i="28"/>
  <c r="G149" i="28"/>
  <c r="F149" i="28"/>
  <c r="E149" i="28"/>
  <c r="D149" i="28"/>
  <c r="C149" i="28"/>
  <c r="B149" i="28"/>
  <c r="A149" i="28"/>
  <c r="L148" i="28"/>
  <c r="K148" i="28"/>
  <c r="J148" i="28"/>
  <c r="I148" i="28"/>
  <c r="H148" i="28"/>
  <c r="G148" i="28"/>
  <c r="F148" i="28"/>
  <c r="E148" i="28"/>
  <c r="D148" i="28"/>
  <c r="C148" i="28"/>
  <c r="B148" i="28"/>
  <c r="A148" i="28"/>
  <c r="L147" i="28"/>
  <c r="K147" i="28"/>
  <c r="J147" i="28"/>
  <c r="I147" i="28"/>
  <c r="H147" i="28"/>
  <c r="G147" i="28"/>
  <c r="F147" i="28"/>
  <c r="E147" i="28"/>
  <c r="D147" i="28"/>
  <c r="C147" i="28"/>
  <c r="B147" i="28"/>
  <c r="A147" i="28"/>
  <c r="L146" i="28"/>
  <c r="K146" i="28"/>
  <c r="J146" i="28"/>
  <c r="I146" i="28"/>
  <c r="H146" i="28"/>
  <c r="G146" i="28"/>
  <c r="F146" i="28"/>
  <c r="E146" i="28"/>
  <c r="D146" i="28"/>
  <c r="C146" i="28"/>
  <c r="B146" i="28"/>
  <c r="A146" i="28"/>
  <c r="L145" i="28"/>
  <c r="K145" i="28"/>
  <c r="J145" i="28"/>
  <c r="I145" i="28"/>
  <c r="H145" i="28"/>
  <c r="G145" i="28"/>
  <c r="F145" i="28"/>
  <c r="E145" i="28"/>
  <c r="D145" i="28"/>
  <c r="C145" i="28"/>
  <c r="B145" i="28"/>
  <c r="A145" i="28"/>
  <c r="L144" i="28"/>
  <c r="K144" i="28"/>
  <c r="J144" i="28"/>
  <c r="I144" i="28"/>
  <c r="H144" i="28"/>
  <c r="G144" i="28"/>
  <c r="F144" i="28"/>
  <c r="E144" i="28"/>
  <c r="D144" i="28"/>
  <c r="C144" i="28"/>
  <c r="B144" i="28"/>
  <c r="A144" i="28"/>
  <c r="L143" i="28"/>
  <c r="K143" i="28"/>
  <c r="J143" i="28"/>
  <c r="I143" i="28"/>
  <c r="H143" i="28"/>
  <c r="G143" i="28"/>
  <c r="F143" i="28"/>
  <c r="E143" i="28"/>
  <c r="D143" i="28"/>
  <c r="C143" i="28"/>
  <c r="B143" i="28"/>
  <c r="A143" i="28"/>
  <c r="L142" i="28"/>
  <c r="K142" i="28"/>
  <c r="J142" i="28"/>
  <c r="I142" i="28"/>
  <c r="H142" i="28"/>
  <c r="G142" i="28"/>
  <c r="F142" i="28"/>
  <c r="E142" i="28"/>
  <c r="D142" i="28"/>
  <c r="C142" i="28"/>
  <c r="B142" i="28"/>
  <c r="A142" i="28"/>
  <c r="L141" i="28"/>
  <c r="K141" i="28"/>
  <c r="J141" i="28"/>
  <c r="I141" i="28"/>
  <c r="H141" i="28"/>
  <c r="G141" i="28"/>
  <c r="F141" i="28"/>
  <c r="E141" i="28"/>
  <c r="D141" i="28"/>
  <c r="C141" i="28"/>
  <c r="B141" i="28"/>
  <c r="A141" i="28"/>
  <c r="L140" i="28"/>
  <c r="K140" i="28"/>
  <c r="J140" i="28"/>
  <c r="I140" i="28"/>
  <c r="H140" i="28"/>
  <c r="G140" i="28"/>
  <c r="F140" i="28"/>
  <c r="E140" i="28"/>
  <c r="D140" i="28"/>
  <c r="C140" i="28"/>
  <c r="B140" i="28"/>
  <c r="A140" i="28"/>
  <c r="L139" i="28"/>
  <c r="K139" i="28"/>
  <c r="J139" i="28"/>
  <c r="I139" i="28"/>
  <c r="H139" i="28"/>
  <c r="G139" i="28"/>
  <c r="F139" i="28"/>
  <c r="E139" i="28"/>
  <c r="D139" i="28"/>
  <c r="C139" i="28"/>
  <c r="B139" i="28"/>
  <c r="A139" i="28"/>
  <c r="L138" i="28"/>
  <c r="K138" i="28"/>
  <c r="J138" i="28"/>
  <c r="I138" i="28"/>
  <c r="H138" i="28"/>
  <c r="G138" i="28"/>
  <c r="F138" i="28"/>
  <c r="E138" i="28"/>
  <c r="D138" i="28"/>
  <c r="C138" i="28"/>
  <c r="B138" i="28"/>
  <c r="A138" i="28"/>
  <c r="L137" i="28"/>
  <c r="K137" i="28"/>
  <c r="J137" i="28"/>
  <c r="I137" i="28"/>
  <c r="H137" i="28"/>
  <c r="G137" i="28"/>
  <c r="F137" i="28"/>
  <c r="E137" i="28"/>
  <c r="D137" i="28"/>
  <c r="C137" i="28"/>
  <c r="B137" i="28"/>
  <c r="A137" i="28"/>
  <c r="L136" i="28"/>
  <c r="K136" i="28"/>
  <c r="J136" i="28"/>
  <c r="I136" i="28"/>
  <c r="H136" i="28"/>
  <c r="G136" i="28"/>
  <c r="F136" i="28"/>
  <c r="E136" i="28"/>
  <c r="D136" i="28"/>
  <c r="C136" i="28"/>
  <c r="B136" i="28"/>
  <c r="A136" i="28"/>
  <c r="L135" i="28"/>
  <c r="K135" i="28"/>
  <c r="J135" i="28"/>
  <c r="I135" i="28"/>
  <c r="H135" i="28"/>
  <c r="G135" i="28"/>
  <c r="F135" i="28"/>
  <c r="E135" i="28"/>
  <c r="D135" i="28"/>
  <c r="C135" i="28"/>
  <c r="B135" i="28"/>
  <c r="A135" i="28"/>
  <c r="L134" i="28"/>
  <c r="K134" i="28"/>
  <c r="J134" i="28"/>
  <c r="I134" i="28"/>
  <c r="H134" i="28"/>
  <c r="G134" i="28"/>
  <c r="F134" i="28"/>
  <c r="E134" i="28"/>
  <c r="D134" i="28"/>
  <c r="C134" i="28"/>
  <c r="B134" i="28"/>
  <c r="A134" i="28"/>
  <c r="L133" i="28"/>
  <c r="K133" i="28"/>
  <c r="J133" i="28"/>
  <c r="I133" i="28"/>
  <c r="H133" i="28"/>
  <c r="G133" i="28"/>
  <c r="F133" i="28"/>
  <c r="E133" i="28"/>
  <c r="D133" i="28"/>
  <c r="C133" i="28"/>
  <c r="B133" i="28"/>
  <c r="A133" i="28"/>
  <c r="L132" i="28"/>
  <c r="K132" i="28"/>
  <c r="J132" i="28"/>
  <c r="I132" i="28"/>
  <c r="H132" i="28"/>
  <c r="G132" i="28"/>
  <c r="F132" i="28"/>
  <c r="E132" i="28"/>
  <c r="D132" i="28"/>
  <c r="C132" i="28"/>
  <c r="B132" i="28"/>
  <c r="A132" i="28"/>
  <c r="L131" i="28"/>
  <c r="K131" i="28"/>
  <c r="J131" i="28"/>
  <c r="I131" i="28"/>
  <c r="H131" i="28"/>
  <c r="G131" i="28"/>
  <c r="F131" i="28"/>
  <c r="E131" i="28"/>
  <c r="D131" i="28"/>
  <c r="C131" i="28"/>
  <c r="B131" i="28"/>
  <c r="A131" i="28"/>
  <c r="L130" i="28"/>
  <c r="K130" i="28"/>
  <c r="J130" i="28"/>
  <c r="I130" i="28"/>
  <c r="H130" i="28"/>
  <c r="G130" i="28"/>
  <c r="F130" i="28"/>
  <c r="E130" i="28"/>
  <c r="D130" i="28"/>
  <c r="C130" i="28"/>
  <c r="B130" i="28"/>
  <c r="A130" i="28"/>
  <c r="L129" i="28"/>
  <c r="K129" i="28"/>
  <c r="J129" i="28"/>
  <c r="I129" i="28"/>
  <c r="H129" i="28"/>
  <c r="G129" i="28"/>
  <c r="F129" i="28"/>
  <c r="E129" i="28"/>
  <c r="D129" i="28"/>
  <c r="C129" i="28"/>
  <c r="B129" i="28"/>
  <c r="A129" i="28"/>
  <c r="L128" i="28"/>
  <c r="K128" i="28"/>
  <c r="J128" i="28"/>
  <c r="I128" i="28"/>
  <c r="H128" i="28"/>
  <c r="G128" i="28"/>
  <c r="F128" i="28"/>
  <c r="E128" i="28"/>
  <c r="D128" i="28"/>
  <c r="C128" i="28"/>
  <c r="B128" i="28"/>
  <c r="A128" i="28"/>
  <c r="L127" i="28"/>
  <c r="K127" i="28"/>
  <c r="J127" i="28"/>
  <c r="I127" i="28"/>
  <c r="H127" i="28"/>
  <c r="G127" i="28"/>
  <c r="F127" i="28"/>
  <c r="E127" i="28"/>
  <c r="D127" i="28"/>
  <c r="C127" i="28"/>
  <c r="B127" i="28"/>
  <c r="A127" i="28"/>
  <c r="L126" i="28"/>
  <c r="K126" i="28"/>
  <c r="J126" i="28"/>
  <c r="I126" i="28"/>
  <c r="H126" i="28"/>
  <c r="G126" i="28"/>
  <c r="F126" i="28"/>
  <c r="E126" i="28"/>
  <c r="D126" i="28"/>
  <c r="C126" i="28"/>
  <c r="B126" i="28"/>
  <c r="A126" i="28"/>
  <c r="L125" i="28"/>
  <c r="K125" i="28"/>
  <c r="J125" i="28"/>
  <c r="I125" i="28"/>
  <c r="H125" i="28"/>
  <c r="G125" i="28"/>
  <c r="F125" i="28"/>
  <c r="E125" i="28"/>
  <c r="D125" i="28"/>
  <c r="C125" i="28"/>
  <c r="B125" i="28"/>
  <c r="A125" i="28"/>
  <c r="L124" i="28"/>
  <c r="K124" i="28"/>
  <c r="J124" i="28"/>
  <c r="I124" i="28"/>
  <c r="H124" i="28"/>
  <c r="G124" i="28"/>
  <c r="F124" i="28"/>
  <c r="E124" i="28"/>
  <c r="D124" i="28"/>
  <c r="C124" i="28"/>
  <c r="B124" i="28"/>
  <c r="A124" i="28"/>
  <c r="L123" i="28"/>
  <c r="K123" i="28"/>
  <c r="J123" i="28"/>
  <c r="I123" i="28"/>
  <c r="H123" i="28"/>
  <c r="G123" i="28"/>
  <c r="F123" i="28"/>
  <c r="E123" i="28"/>
  <c r="D123" i="28"/>
  <c r="C123" i="28"/>
  <c r="B123" i="28"/>
  <c r="A123" i="28"/>
  <c r="L122" i="28"/>
  <c r="K122" i="28"/>
  <c r="J122" i="28"/>
  <c r="I122" i="28"/>
  <c r="H122" i="28"/>
  <c r="G122" i="28"/>
  <c r="F122" i="28"/>
  <c r="E122" i="28"/>
  <c r="D122" i="28"/>
  <c r="C122" i="28"/>
  <c r="B122" i="28"/>
  <c r="A122" i="28"/>
  <c r="L121" i="28"/>
  <c r="K121" i="28"/>
  <c r="J121" i="28"/>
  <c r="I121" i="28"/>
  <c r="H121" i="28"/>
  <c r="G121" i="28"/>
  <c r="F121" i="28"/>
  <c r="E121" i="28"/>
  <c r="D121" i="28"/>
  <c r="C121" i="28"/>
  <c r="B121" i="28"/>
  <c r="A121" i="28"/>
  <c r="L120" i="28"/>
  <c r="K120" i="28"/>
  <c r="J120" i="28"/>
  <c r="I120" i="28"/>
  <c r="H120" i="28"/>
  <c r="G120" i="28"/>
  <c r="F120" i="28"/>
  <c r="E120" i="28"/>
  <c r="D120" i="28"/>
  <c r="C120" i="28"/>
  <c r="B120" i="28"/>
  <c r="A120" i="28"/>
  <c r="L119" i="28"/>
  <c r="K119" i="28"/>
  <c r="J119" i="28"/>
  <c r="I119" i="28"/>
  <c r="H119" i="28"/>
  <c r="G119" i="28"/>
  <c r="F119" i="28"/>
  <c r="E119" i="28"/>
  <c r="D119" i="28"/>
  <c r="C119" i="28"/>
  <c r="B119" i="28"/>
  <c r="A119" i="28"/>
  <c r="L118" i="28"/>
  <c r="K118" i="28"/>
  <c r="J118" i="28"/>
  <c r="I118" i="28"/>
  <c r="H118" i="28"/>
  <c r="G118" i="28"/>
  <c r="F118" i="28"/>
  <c r="E118" i="28"/>
  <c r="D118" i="28"/>
  <c r="C118" i="28"/>
  <c r="B118" i="28"/>
  <c r="A118" i="28"/>
  <c r="L117" i="28"/>
  <c r="K117" i="28"/>
  <c r="J117" i="28"/>
  <c r="I117" i="28"/>
  <c r="H117" i="28"/>
  <c r="G117" i="28"/>
  <c r="F117" i="28"/>
  <c r="E117" i="28"/>
  <c r="D117" i="28"/>
  <c r="C117" i="28"/>
  <c r="B117" i="28"/>
  <c r="A117" i="28"/>
  <c r="L116" i="28"/>
  <c r="K116" i="28"/>
  <c r="J116" i="28"/>
  <c r="I116" i="28"/>
  <c r="H116" i="28"/>
  <c r="G116" i="28"/>
  <c r="F116" i="28"/>
  <c r="E116" i="28"/>
  <c r="D116" i="28"/>
  <c r="C116" i="28"/>
  <c r="B116" i="28"/>
  <c r="A116" i="28"/>
  <c r="L115" i="28"/>
  <c r="K115" i="28"/>
  <c r="J115" i="28"/>
  <c r="I115" i="28"/>
  <c r="H115" i="28"/>
  <c r="G115" i="28"/>
  <c r="F115" i="28"/>
  <c r="E115" i="28"/>
  <c r="D115" i="28"/>
  <c r="C115" i="28"/>
  <c r="B115" i="28"/>
  <c r="A115" i="28"/>
  <c r="L114" i="28"/>
  <c r="K114" i="28"/>
  <c r="J114" i="28"/>
  <c r="I114" i="28"/>
  <c r="H114" i="28"/>
  <c r="G114" i="28"/>
  <c r="F114" i="28"/>
  <c r="E114" i="28"/>
  <c r="D114" i="28"/>
  <c r="C114" i="28"/>
  <c r="B114" i="28"/>
  <c r="A114" i="28"/>
  <c r="L113" i="28"/>
  <c r="K113" i="28"/>
  <c r="J113" i="28"/>
  <c r="I113" i="28"/>
  <c r="H113" i="28"/>
  <c r="G113" i="28"/>
  <c r="F113" i="28"/>
  <c r="E113" i="28"/>
  <c r="D113" i="28"/>
  <c r="C113" i="28"/>
  <c r="B113" i="28"/>
  <c r="A113" i="28"/>
  <c r="L112" i="28"/>
  <c r="K112" i="28"/>
  <c r="J112" i="28"/>
  <c r="I112" i="28"/>
  <c r="H112" i="28"/>
  <c r="G112" i="28"/>
  <c r="F112" i="28"/>
  <c r="E112" i="28"/>
  <c r="D112" i="28"/>
  <c r="C112" i="28"/>
  <c r="B112" i="28"/>
  <c r="A112" i="28"/>
  <c r="L111" i="28"/>
  <c r="K111" i="28"/>
  <c r="J111" i="28"/>
  <c r="I111" i="28"/>
  <c r="H111" i="28"/>
  <c r="G111" i="28"/>
  <c r="F111" i="28"/>
  <c r="E111" i="28"/>
  <c r="D111" i="28"/>
  <c r="C111" i="28"/>
  <c r="B111" i="28"/>
  <c r="A111" i="28"/>
  <c r="L110" i="28"/>
  <c r="K110" i="28"/>
  <c r="J110" i="28"/>
  <c r="I110" i="28"/>
  <c r="H110" i="28"/>
  <c r="G110" i="28"/>
  <c r="F110" i="28"/>
  <c r="E110" i="28"/>
  <c r="D110" i="28"/>
  <c r="C110" i="28"/>
  <c r="B110" i="28"/>
  <c r="A110" i="28"/>
  <c r="L109" i="28"/>
  <c r="K109" i="28"/>
  <c r="J109" i="28"/>
  <c r="I109" i="28"/>
  <c r="H109" i="28"/>
  <c r="G109" i="28"/>
  <c r="F109" i="28"/>
  <c r="E109" i="28"/>
  <c r="D109" i="28"/>
  <c r="C109" i="28"/>
  <c r="B109" i="28"/>
  <c r="A109" i="28"/>
  <c r="L108" i="28"/>
  <c r="K108" i="28"/>
  <c r="J108" i="28"/>
  <c r="I108" i="28"/>
  <c r="H108" i="28"/>
  <c r="G108" i="28"/>
  <c r="F108" i="28"/>
  <c r="E108" i="28"/>
  <c r="D108" i="28"/>
  <c r="C108" i="28"/>
  <c r="B108" i="28"/>
  <c r="A108" i="28"/>
  <c r="L107" i="28"/>
  <c r="K107" i="28"/>
  <c r="J107" i="28"/>
  <c r="I107" i="28"/>
  <c r="H107" i="28"/>
  <c r="G107" i="28"/>
  <c r="F107" i="28"/>
  <c r="E107" i="28"/>
  <c r="D107" i="28"/>
  <c r="C107" i="28"/>
  <c r="B107" i="28"/>
  <c r="A107" i="28"/>
  <c r="L106" i="28"/>
  <c r="K106" i="28"/>
  <c r="J106" i="28"/>
  <c r="I106" i="28"/>
  <c r="H106" i="28"/>
  <c r="G106" i="28"/>
  <c r="F106" i="28"/>
  <c r="E106" i="28"/>
  <c r="D106" i="28"/>
  <c r="C106" i="28"/>
  <c r="B106" i="28"/>
  <c r="A106" i="28"/>
  <c r="L105" i="28"/>
  <c r="K105" i="28"/>
  <c r="J105" i="28"/>
  <c r="I105" i="28"/>
  <c r="H105" i="28"/>
  <c r="G105" i="28"/>
  <c r="F105" i="28"/>
  <c r="E105" i="28"/>
  <c r="D105" i="28"/>
  <c r="C105" i="28"/>
  <c r="B105" i="28"/>
  <c r="A105" i="28"/>
  <c r="L104" i="28"/>
  <c r="K104" i="28"/>
  <c r="J104" i="28"/>
  <c r="I104" i="28"/>
  <c r="H104" i="28"/>
  <c r="G104" i="28"/>
  <c r="F104" i="28"/>
  <c r="E104" i="28"/>
  <c r="D104" i="28"/>
  <c r="C104" i="28"/>
  <c r="B104" i="28"/>
  <c r="A104" i="28"/>
  <c r="L103" i="28"/>
  <c r="K103" i="28"/>
  <c r="J103" i="28"/>
  <c r="I103" i="28"/>
  <c r="H103" i="28"/>
  <c r="G103" i="28"/>
  <c r="F103" i="28"/>
  <c r="E103" i="28"/>
  <c r="D103" i="28"/>
  <c r="C103" i="28"/>
  <c r="B103" i="28"/>
  <c r="A103" i="28"/>
  <c r="L102" i="28"/>
  <c r="K102" i="28"/>
  <c r="J102" i="28"/>
  <c r="I102" i="28"/>
  <c r="H102" i="28"/>
  <c r="G102" i="28"/>
  <c r="F102" i="28"/>
  <c r="E102" i="28"/>
  <c r="D102" i="28"/>
  <c r="C102" i="28"/>
  <c r="B102" i="28"/>
  <c r="A102" i="28"/>
  <c r="L101" i="28"/>
  <c r="K101" i="28"/>
  <c r="J101" i="28"/>
  <c r="I101" i="28"/>
  <c r="H101" i="28"/>
  <c r="G101" i="28"/>
  <c r="F101" i="28"/>
  <c r="E101" i="28"/>
  <c r="D101" i="28"/>
  <c r="C101" i="28"/>
  <c r="B101" i="28"/>
  <c r="A101" i="28"/>
  <c r="L100" i="28"/>
  <c r="K100" i="28"/>
  <c r="J100" i="28"/>
  <c r="I100" i="28"/>
  <c r="H100" i="28"/>
  <c r="G100" i="28"/>
  <c r="F100" i="28"/>
  <c r="E100" i="28"/>
  <c r="D100" i="28"/>
  <c r="C100" i="28"/>
  <c r="B100" i="28"/>
  <c r="A100" i="28"/>
  <c r="L99" i="28"/>
  <c r="K99" i="28"/>
  <c r="J99" i="28"/>
  <c r="I99" i="28"/>
  <c r="H99" i="28"/>
  <c r="G99" i="28"/>
  <c r="F99" i="28"/>
  <c r="E99" i="28"/>
  <c r="D99" i="28"/>
  <c r="C99" i="28"/>
  <c r="B99" i="28"/>
  <c r="A99" i="28"/>
  <c r="L98" i="28"/>
  <c r="K98" i="28"/>
  <c r="J98" i="28"/>
  <c r="I98" i="28"/>
  <c r="H98" i="28"/>
  <c r="G98" i="28"/>
  <c r="F98" i="28"/>
  <c r="E98" i="28"/>
  <c r="D98" i="28"/>
  <c r="C98" i="28"/>
  <c r="B98" i="28"/>
  <c r="A98" i="28"/>
  <c r="L97" i="28"/>
  <c r="K97" i="28"/>
  <c r="J97" i="28"/>
  <c r="I97" i="28"/>
  <c r="H97" i="28"/>
  <c r="G97" i="28"/>
  <c r="F97" i="28"/>
  <c r="E97" i="28"/>
  <c r="D97" i="28"/>
  <c r="C97" i="28"/>
  <c r="B97" i="28"/>
  <c r="A97" i="28"/>
  <c r="L96" i="28"/>
  <c r="K96" i="28"/>
  <c r="J96" i="28"/>
  <c r="I96" i="28"/>
  <c r="H96" i="28"/>
  <c r="G96" i="28"/>
  <c r="F96" i="28"/>
  <c r="E96" i="28"/>
  <c r="D96" i="28"/>
  <c r="C96" i="28"/>
  <c r="B96" i="28"/>
  <c r="A96" i="28"/>
  <c r="L95" i="28"/>
  <c r="K95" i="28"/>
  <c r="J95" i="28"/>
  <c r="I95" i="28"/>
  <c r="H95" i="28"/>
  <c r="G95" i="28"/>
  <c r="F95" i="28"/>
  <c r="E95" i="28"/>
  <c r="D95" i="28"/>
  <c r="C95" i="28"/>
  <c r="B95" i="28"/>
  <c r="A95" i="28"/>
  <c r="L94" i="28"/>
  <c r="K94" i="28"/>
  <c r="J94" i="28"/>
  <c r="I94" i="28"/>
  <c r="H94" i="28"/>
  <c r="G94" i="28"/>
  <c r="F94" i="28"/>
  <c r="E94" i="28"/>
  <c r="D94" i="28"/>
  <c r="C94" i="28"/>
  <c r="B94" i="28"/>
  <c r="A94" i="28"/>
  <c r="L93" i="28"/>
  <c r="K93" i="28"/>
  <c r="J93" i="28"/>
  <c r="I93" i="28"/>
  <c r="H93" i="28"/>
  <c r="G93" i="28"/>
  <c r="F93" i="28"/>
  <c r="E93" i="28"/>
  <c r="D93" i="28"/>
  <c r="C93" i="28"/>
  <c r="B93" i="28"/>
  <c r="A93" i="28"/>
  <c r="L92" i="28"/>
  <c r="K92" i="28"/>
  <c r="J92" i="28"/>
  <c r="I92" i="28"/>
  <c r="H92" i="28"/>
  <c r="G92" i="28"/>
  <c r="F92" i="28"/>
  <c r="E92" i="28"/>
  <c r="D92" i="28"/>
  <c r="C92" i="28"/>
  <c r="B92" i="28"/>
  <c r="A92" i="28"/>
  <c r="L91" i="28"/>
  <c r="K91" i="28"/>
  <c r="J91" i="28"/>
  <c r="I91" i="28"/>
  <c r="H91" i="28"/>
  <c r="G91" i="28"/>
  <c r="F91" i="28"/>
  <c r="E91" i="28"/>
  <c r="D91" i="28"/>
  <c r="C91" i="28"/>
  <c r="B91" i="28"/>
  <c r="A91" i="28"/>
  <c r="L90" i="28"/>
  <c r="K90" i="28"/>
  <c r="J90" i="28"/>
  <c r="I90" i="28"/>
  <c r="H90" i="28"/>
  <c r="G90" i="28"/>
  <c r="F90" i="28"/>
  <c r="E90" i="28"/>
  <c r="D90" i="28"/>
  <c r="C90" i="28"/>
  <c r="B90" i="28"/>
  <c r="A90" i="28"/>
  <c r="L89" i="28"/>
  <c r="K89" i="28"/>
  <c r="J89" i="28"/>
  <c r="I89" i="28"/>
  <c r="H89" i="28"/>
  <c r="G89" i="28"/>
  <c r="F89" i="28"/>
  <c r="E89" i="28"/>
  <c r="D89" i="28"/>
  <c r="C89" i="28"/>
  <c r="B89" i="28"/>
  <c r="A89" i="28"/>
  <c r="L88" i="28"/>
  <c r="K88" i="28"/>
  <c r="J88" i="28"/>
  <c r="I88" i="28"/>
  <c r="H88" i="28"/>
  <c r="G88" i="28"/>
  <c r="F88" i="28"/>
  <c r="E88" i="28"/>
  <c r="D88" i="28"/>
  <c r="C88" i="28"/>
  <c r="B88" i="28"/>
  <c r="A88" i="28"/>
  <c r="L87" i="28"/>
  <c r="K87" i="28"/>
  <c r="J87" i="28"/>
  <c r="I87" i="28"/>
  <c r="H87" i="28"/>
  <c r="G87" i="28"/>
  <c r="F87" i="28"/>
  <c r="E87" i="28"/>
  <c r="D87" i="28"/>
  <c r="C87" i="28"/>
  <c r="B87" i="28"/>
  <c r="A87" i="28"/>
  <c r="L86" i="28"/>
  <c r="K86" i="28"/>
  <c r="J86" i="28"/>
  <c r="I86" i="28"/>
  <c r="H86" i="28"/>
  <c r="G86" i="28"/>
  <c r="F86" i="28"/>
  <c r="E86" i="28"/>
  <c r="D86" i="28"/>
  <c r="C86" i="28"/>
  <c r="B86" i="28"/>
  <c r="A86" i="28"/>
  <c r="L85" i="28"/>
  <c r="K85" i="28"/>
  <c r="J85" i="28"/>
  <c r="I85" i="28"/>
  <c r="H85" i="28"/>
  <c r="G85" i="28"/>
  <c r="F85" i="28"/>
  <c r="E85" i="28"/>
  <c r="D85" i="28"/>
  <c r="C85" i="28"/>
  <c r="B85" i="28"/>
  <c r="A85" i="28"/>
  <c r="L84" i="28"/>
  <c r="K84" i="28"/>
  <c r="J84" i="28"/>
  <c r="I84" i="28"/>
  <c r="H84" i="28"/>
  <c r="G84" i="28"/>
  <c r="F84" i="28"/>
  <c r="E84" i="28"/>
  <c r="D84" i="28"/>
  <c r="C84" i="28"/>
  <c r="B84" i="28"/>
  <c r="A84" i="28"/>
  <c r="L83" i="28"/>
  <c r="K83" i="28"/>
  <c r="J83" i="28"/>
  <c r="I83" i="28"/>
  <c r="H83" i="28"/>
  <c r="G83" i="28"/>
  <c r="F83" i="28"/>
  <c r="E83" i="28"/>
  <c r="D83" i="28"/>
  <c r="C83" i="28"/>
  <c r="B83" i="28"/>
  <c r="A83" i="28"/>
  <c r="L82" i="28"/>
  <c r="K82" i="28"/>
  <c r="J82" i="28"/>
  <c r="I82" i="28"/>
  <c r="H82" i="28"/>
  <c r="G82" i="28"/>
  <c r="F82" i="28"/>
  <c r="E82" i="28"/>
  <c r="D82" i="28"/>
  <c r="C82" i="28"/>
  <c r="B82" i="28"/>
  <c r="A82" i="28"/>
  <c r="L81" i="28"/>
  <c r="K81" i="28"/>
  <c r="J81" i="28"/>
  <c r="I81" i="28"/>
  <c r="H81" i="28"/>
  <c r="G81" i="28"/>
  <c r="F81" i="28"/>
  <c r="E81" i="28"/>
  <c r="D81" i="28"/>
  <c r="C81" i="28"/>
  <c r="B81" i="28"/>
  <c r="A81" i="28"/>
  <c r="L80" i="28"/>
  <c r="K80" i="28"/>
  <c r="J80" i="28"/>
  <c r="I80" i="28"/>
  <c r="H80" i="28"/>
  <c r="G80" i="28"/>
  <c r="F80" i="28"/>
  <c r="E80" i="28"/>
  <c r="D80" i="28"/>
  <c r="C80" i="28"/>
  <c r="B80" i="28"/>
  <c r="A80" i="28"/>
  <c r="L79" i="28"/>
  <c r="K79" i="28"/>
  <c r="J79" i="28"/>
  <c r="I79" i="28"/>
  <c r="H79" i="28"/>
  <c r="G79" i="28"/>
  <c r="F79" i="28"/>
  <c r="E79" i="28"/>
  <c r="D79" i="28"/>
  <c r="C79" i="28"/>
  <c r="B79" i="28"/>
  <c r="A79" i="28"/>
  <c r="L78" i="28"/>
  <c r="K78" i="28"/>
  <c r="J78" i="28"/>
  <c r="I78" i="28"/>
  <c r="H78" i="28"/>
  <c r="G78" i="28"/>
  <c r="F78" i="28"/>
  <c r="E78" i="28"/>
  <c r="D78" i="28"/>
  <c r="C78" i="28"/>
  <c r="B78" i="28"/>
  <c r="A78" i="28"/>
  <c r="L77" i="28"/>
  <c r="K77" i="28"/>
  <c r="J77" i="28"/>
  <c r="I77" i="28"/>
  <c r="H77" i="28"/>
  <c r="G77" i="28"/>
  <c r="F77" i="28"/>
  <c r="E77" i="28"/>
  <c r="D77" i="28"/>
  <c r="C77" i="28"/>
  <c r="B77" i="28"/>
  <c r="A77" i="28"/>
  <c r="L76" i="28"/>
  <c r="K76" i="28"/>
  <c r="J76" i="28"/>
  <c r="I76" i="28"/>
  <c r="H76" i="28"/>
  <c r="G76" i="28"/>
  <c r="F76" i="28"/>
  <c r="E76" i="28"/>
  <c r="D76" i="28"/>
  <c r="C76" i="28"/>
  <c r="B76" i="28"/>
  <c r="A76" i="28"/>
  <c r="L75" i="28"/>
  <c r="K75" i="28"/>
  <c r="J75" i="28"/>
  <c r="I75" i="28"/>
  <c r="H75" i="28"/>
  <c r="G75" i="28"/>
  <c r="F75" i="28"/>
  <c r="E75" i="28"/>
  <c r="D75" i="28"/>
  <c r="C75" i="28"/>
  <c r="B75" i="28"/>
  <c r="A75" i="28"/>
  <c r="L74" i="28"/>
  <c r="K74" i="28"/>
  <c r="J74" i="28"/>
  <c r="I74" i="28"/>
  <c r="H74" i="28"/>
  <c r="G74" i="28"/>
  <c r="F74" i="28"/>
  <c r="E74" i="28"/>
  <c r="D74" i="28"/>
  <c r="C74" i="28"/>
  <c r="B74" i="28"/>
  <c r="A74" i="28"/>
  <c r="L73" i="28"/>
  <c r="K73" i="28"/>
  <c r="J73" i="28"/>
  <c r="I73" i="28"/>
  <c r="H73" i="28"/>
  <c r="G73" i="28"/>
  <c r="F73" i="28"/>
  <c r="E73" i="28"/>
  <c r="D73" i="28"/>
  <c r="C73" i="28"/>
  <c r="B73" i="28"/>
  <c r="A73" i="28"/>
  <c r="L72" i="28"/>
  <c r="K72" i="28"/>
  <c r="J72" i="28"/>
  <c r="I72" i="28"/>
  <c r="H72" i="28"/>
  <c r="G72" i="28"/>
  <c r="F72" i="28"/>
  <c r="E72" i="28"/>
  <c r="D72" i="28"/>
  <c r="C72" i="28"/>
  <c r="B72" i="28"/>
  <c r="A72" i="28"/>
  <c r="L71" i="28"/>
  <c r="K71" i="28"/>
  <c r="J71" i="28"/>
  <c r="I71" i="28"/>
  <c r="H71" i="28"/>
  <c r="G71" i="28"/>
  <c r="F71" i="28"/>
  <c r="E71" i="28"/>
  <c r="D71" i="28"/>
  <c r="C71" i="28"/>
  <c r="B71" i="28"/>
  <c r="A71" i="28"/>
  <c r="L70" i="28"/>
  <c r="K70" i="28"/>
  <c r="J70" i="28"/>
  <c r="I70" i="28"/>
  <c r="H70" i="28"/>
  <c r="G70" i="28"/>
  <c r="F70" i="28"/>
  <c r="E70" i="28"/>
  <c r="D70" i="28"/>
  <c r="C70" i="28"/>
  <c r="B70" i="28"/>
  <c r="A70" i="28"/>
  <c r="L69" i="28"/>
  <c r="K69" i="28"/>
  <c r="J69" i="28"/>
  <c r="I69" i="28"/>
  <c r="H69" i="28"/>
  <c r="G69" i="28"/>
  <c r="F69" i="28"/>
  <c r="E69" i="28"/>
  <c r="D69" i="28"/>
  <c r="C69" i="28"/>
  <c r="B69" i="28"/>
  <c r="A69" i="28"/>
  <c r="L68" i="28"/>
  <c r="K68" i="28"/>
  <c r="J68" i="28"/>
  <c r="I68" i="28"/>
  <c r="H68" i="28"/>
  <c r="G68" i="28"/>
  <c r="F68" i="28"/>
  <c r="E68" i="28"/>
  <c r="D68" i="28"/>
  <c r="C68" i="28"/>
  <c r="B68" i="28"/>
  <c r="A68" i="28"/>
  <c r="L67" i="28"/>
  <c r="K67" i="28"/>
  <c r="J67" i="28"/>
  <c r="I67" i="28"/>
  <c r="H67" i="28"/>
  <c r="G67" i="28"/>
  <c r="F67" i="28"/>
  <c r="E67" i="28"/>
  <c r="D67" i="28"/>
  <c r="C67" i="28"/>
  <c r="B67" i="28"/>
  <c r="A67" i="28"/>
  <c r="L66" i="28"/>
  <c r="K66" i="28"/>
  <c r="J66" i="28"/>
  <c r="I66" i="28"/>
  <c r="H66" i="28"/>
  <c r="G66" i="28"/>
  <c r="F66" i="28"/>
  <c r="E66" i="28"/>
  <c r="D66" i="28"/>
  <c r="C66" i="28"/>
  <c r="B66" i="28"/>
  <c r="A66" i="28"/>
  <c r="L65" i="28"/>
  <c r="K65" i="28"/>
  <c r="J65" i="28"/>
  <c r="I65" i="28"/>
  <c r="H65" i="28"/>
  <c r="G65" i="28"/>
  <c r="F65" i="28"/>
  <c r="E65" i="28"/>
  <c r="D65" i="28"/>
  <c r="C65" i="28"/>
  <c r="B65" i="28"/>
  <c r="A65" i="28"/>
  <c r="L64" i="28"/>
  <c r="K64" i="28"/>
  <c r="J64" i="28"/>
  <c r="I64" i="28"/>
  <c r="H64" i="28"/>
  <c r="G64" i="28"/>
  <c r="F64" i="28"/>
  <c r="E64" i="28"/>
  <c r="D64" i="28"/>
  <c r="C64" i="28"/>
  <c r="B64" i="28"/>
  <c r="A64" i="28"/>
  <c r="L63" i="28"/>
  <c r="K63" i="28"/>
  <c r="J63" i="28"/>
  <c r="I63" i="28"/>
  <c r="H63" i="28"/>
  <c r="G63" i="28"/>
  <c r="F63" i="28"/>
  <c r="E63" i="28"/>
  <c r="D63" i="28"/>
  <c r="C63" i="28"/>
  <c r="B63" i="28"/>
  <c r="A63" i="28"/>
  <c r="L62" i="28"/>
  <c r="K62" i="28"/>
  <c r="J62" i="28"/>
  <c r="I62" i="28"/>
  <c r="H62" i="28"/>
  <c r="G62" i="28"/>
  <c r="F62" i="28"/>
  <c r="E62" i="28"/>
  <c r="D62" i="28"/>
  <c r="C62" i="28"/>
  <c r="B62" i="28"/>
  <c r="A62" i="28"/>
  <c r="L61" i="28"/>
  <c r="K61" i="28"/>
  <c r="J61" i="28"/>
  <c r="I61" i="28"/>
  <c r="H61" i="28"/>
  <c r="G61" i="28"/>
  <c r="F61" i="28"/>
  <c r="E61" i="28"/>
  <c r="D61" i="28"/>
  <c r="C61" i="28"/>
  <c r="B61" i="28"/>
  <c r="A61" i="28"/>
  <c r="L60" i="28"/>
  <c r="K60" i="28"/>
  <c r="J60" i="28"/>
  <c r="I60" i="28"/>
  <c r="H60" i="28"/>
  <c r="G60" i="28"/>
  <c r="F60" i="28"/>
  <c r="E60" i="28"/>
  <c r="D60" i="28"/>
  <c r="C60" i="28"/>
  <c r="B60" i="28"/>
  <c r="A60" i="28"/>
  <c r="L59" i="28"/>
  <c r="K59" i="28"/>
  <c r="J59" i="28"/>
  <c r="I59" i="28"/>
  <c r="H59" i="28"/>
  <c r="G59" i="28"/>
  <c r="F59" i="28"/>
  <c r="E59" i="28"/>
  <c r="D59" i="28"/>
  <c r="C59" i="28"/>
  <c r="B59" i="28"/>
  <c r="A59" i="28"/>
  <c r="L58" i="28"/>
  <c r="K58" i="28"/>
  <c r="J58" i="28"/>
  <c r="I58" i="28"/>
  <c r="H58" i="28"/>
  <c r="G58" i="28"/>
  <c r="F58" i="28"/>
  <c r="E58" i="28"/>
  <c r="D58" i="28"/>
  <c r="C58" i="28"/>
  <c r="B58" i="28"/>
  <c r="A58" i="28"/>
  <c r="L57" i="28"/>
  <c r="K57" i="28"/>
  <c r="J57" i="28"/>
  <c r="I57" i="28"/>
  <c r="H57" i="28"/>
  <c r="G57" i="28"/>
  <c r="F57" i="28"/>
  <c r="E57" i="28"/>
  <c r="D57" i="28"/>
  <c r="C57" i="28"/>
  <c r="B57" i="28"/>
  <c r="A57" i="28"/>
  <c r="L56" i="28"/>
  <c r="K56" i="28"/>
  <c r="J56" i="28"/>
  <c r="I56" i="28"/>
  <c r="H56" i="28"/>
  <c r="G56" i="28"/>
  <c r="F56" i="28"/>
  <c r="E56" i="28"/>
  <c r="D56" i="28"/>
  <c r="C56" i="28"/>
  <c r="B56" i="28"/>
  <c r="A56" i="28"/>
  <c r="L55" i="28"/>
  <c r="K55" i="28"/>
  <c r="J55" i="28"/>
  <c r="I55" i="28"/>
  <c r="H55" i="28"/>
  <c r="G55" i="28"/>
  <c r="F55" i="28"/>
  <c r="E55" i="28"/>
  <c r="D55" i="28"/>
  <c r="C55" i="28"/>
  <c r="B55" i="28"/>
  <c r="A55" i="28"/>
  <c r="L54" i="28"/>
  <c r="K54" i="28"/>
  <c r="J54" i="28"/>
  <c r="I54" i="28"/>
  <c r="H54" i="28"/>
  <c r="G54" i="28"/>
  <c r="F54" i="28"/>
  <c r="E54" i="28"/>
  <c r="D54" i="28"/>
  <c r="C54" i="28"/>
  <c r="B54" i="28"/>
  <c r="A54" i="28"/>
  <c r="L53" i="28"/>
  <c r="K53" i="28"/>
  <c r="J53" i="28"/>
  <c r="I53" i="28"/>
  <c r="H53" i="28"/>
  <c r="G53" i="28"/>
  <c r="F53" i="28"/>
  <c r="E53" i="28"/>
  <c r="D53" i="28"/>
  <c r="C53" i="28"/>
  <c r="B53" i="28"/>
  <c r="A53" i="28"/>
  <c r="L52" i="28"/>
  <c r="K52" i="28"/>
  <c r="J52" i="28"/>
  <c r="I52" i="28"/>
  <c r="H52" i="28"/>
  <c r="G52" i="28"/>
  <c r="F52" i="28"/>
  <c r="E52" i="28"/>
  <c r="D52" i="28"/>
  <c r="C52" i="28"/>
  <c r="B52" i="28"/>
  <c r="A52" i="28"/>
  <c r="L51" i="28"/>
  <c r="K51" i="28"/>
  <c r="J51" i="28"/>
  <c r="I51" i="28"/>
  <c r="H51" i="28"/>
  <c r="G51" i="28"/>
  <c r="F51" i="28"/>
  <c r="E51" i="28"/>
  <c r="D51" i="28"/>
  <c r="C51" i="28"/>
  <c r="B51" i="28"/>
  <c r="A51" i="28"/>
  <c r="L50" i="28"/>
  <c r="K50" i="28"/>
  <c r="J50" i="28"/>
  <c r="I50" i="28"/>
  <c r="H50" i="28"/>
  <c r="G50" i="28"/>
  <c r="F50" i="28"/>
  <c r="E50" i="28"/>
  <c r="D50" i="28"/>
  <c r="C50" i="28"/>
  <c r="B50" i="28"/>
  <c r="A50" i="28"/>
  <c r="L49" i="28"/>
  <c r="K49" i="28"/>
  <c r="J49" i="28"/>
  <c r="I49" i="28"/>
  <c r="H49" i="28"/>
  <c r="G49" i="28"/>
  <c r="F49" i="28"/>
  <c r="E49" i="28"/>
  <c r="D49" i="28"/>
  <c r="C49" i="28"/>
  <c r="B49" i="28"/>
  <c r="A49" i="28"/>
  <c r="L48" i="28"/>
  <c r="K48" i="28"/>
  <c r="J48" i="28"/>
  <c r="I48" i="28"/>
  <c r="H48" i="28"/>
  <c r="G48" i="28"/>
  <c r="F48" i="28"/>
  <c r="E48" i="28"/>
  <c r="D48" i="28"/>
  <c r="C48" i="28"/>
  <c r="B48" i="28"/>
  <c r="A48" i="28"/>
  <c r="L47" i="28"/>
  <c r="K47" i="28"/>
  <c r="J47" i="28"/>
  <c r="I47" i="28"/>
  <c r="H47" i="28"/>
  <c r="G47" i="28"/>
  <c r="F47" i="28"/>
  <c r="E47" i="28"/>
  <c r="D47" i="28"/>
  <c r="C47" i="28"/>
  <c r="B47" i="28"/>
  <c r="A47" i="28"/>
  <c r="L46" i="28"/>
  <c r="K46" i="28"/>
  <c r="J46" i="28"/>
  <c r="I46" i="28"/>
  <c r="H46" i="28"/>
  <c r="G46" i="28"/>
  <c r="F46" i="28"/>
  <c r="E46" i="28"/>
  <c r="D46" i="28"/>
  <c r="C46" i="28"/>
  <c r="B46" i="28"/>
  <c r="A46" i="28"/>
  <c r="L45" i="28"/>
  <c r="K45" i="28"/>
  <c r="J45" i="28"/>
  <c r="I45" i="28"/>
  <c r="H45" i="28"/>
  <c r="G45" i="28"/>
  <c r="F45" i="28"/>
  <c r="E45" i="28"/>
  <c r="D45" i="28"/>
  <c r="C45" i="28"/>
  <c r="B45" i="28"/>
  <c r="A45" i="28"/>
  <c r="L44" i="28"/>
  <c r="K44" i="28"/>
  <c r="J44" i="28"/>
  <c r="I44" i="28"/>
  <c r="H44" i="28"/>
  <c r="G44" i="28"/>
  <c r="F44" i="28"/>
  <c r="E44" i="28"/>
  <c r="D44" i="28"/>
  <c r="C44" i="28"/>
  <c r="B44" i="28"/>
  <c r="A44" i="28"/>
  <c r="L43" i="28"/>
  <c r="K43" i="28"/>
  <c r="J43" i="28"/>
  <c r="I43" i="28"/>
  <c r="H43" i="28"/>
  <c r="G43" i="28"/>
  <c r="F43" i="28"/>
  <c r="E43" i="28"/>
  <c r="D43" i="28"/>
  <c r="C43" i="28"/>
  <c r="B43" i="28"/>
  <c r="A43" i="28"/>
  <c r="L42" i="28"/>
  <c r="K42" i="28"/>
  <c r="J42" i="28"/>
  <c r="I42" i="28"/>
  <c r="H42" i="28"/>
  <c r="G42" i="28"/>
  <c r="F42" i="28"/>
  <c r="E42" i="28"/>
  <c r="D42" i="28"/>
  <c r="C42" i="28"/>
  <c r="B42" i="28"/>
  <c r="A42" i="28"/>
  <c r="L41" i="28"/>
  <c r="K41" i="28"/>
  <c r="J41" i="28"/>
  <c r="I41" i="28"/>
  <c r="H41" i="28"/>
  <c r="G41" i="28"/>
  <c r="F41" i="28"/>
  <c r="E41" i="28"/>
  <c r="D41" i="28"/>
  <c r="C41" i="28"/>
  <c r="B41" i="28"/>
  <c r="A41" i="28"/>
  <c r="L40" i="28"/>
  <c r="K40" i="28"/>
  <c r="J40" i="28"/>
  <c r="I40" i="28"/>
  <c r="H40" i="28"/>
  <c r="G40" i="28"/>
  <c r="F40" i="28"/>
  <c r="E40" i="28"/>
  <c r="D40" i="28"/>
  <c r="C40" i="28"/>
  <c r="B40" i="28"/>
  <c r="A40" i="28"/>
  <c r="L39" i="28"/>
  <c r="K39" i="28"/>
  <c r="J39" i="28"/>
  <c r="I39" i="28"/>
  <c r="H39" i="28"/>
  <c r="G39" i="28"/>
  <c r="F39" i="28"/>
  <c r="E39" i="28"/>
  <c r="D39" i="28"/>
  <c r="C39" i="28"/>
  <c r="B39" i="28"/>
  <c r="A39" i="28"/>
  <c r="L38" i="28"/>
  <c r="K38" i="28"/>
  <c r="J38" i="28"/>
  <c r="I38" i="28"/>
  <c r="H38" i="28"/>
  <c r="G38" i="28"/>
  <c r="F38" i="28"/>
  <c r="E38" i="28"/>
  <c r="D38" i="28"/>
  <c r="C38" i="28"/>
  <c r="B38" i="28"/>
  <c r="A38" i="28"/>
  <c r="L37" i="28"/>
  <c r="K37" i="28"/>
  <c r="J37" i="28"/>
  <c r="I37" i="28"/>
  <c r="H37" i="28"/>
  <c r="G37" i="28"/>
  <c r="F37" i="28"/>
  <c r="E37" i="28"/>
  <c r="D37" i="28"/>
  <c r="C37" i="28"/>
  <c r="B37" i="28"/>
  <c r="A37" i="28"/>
  <c r="L36" i="28"/>
  <c r="K36" i="28"/>
  <c r="J36" i="28"/>
  <c r="I36" i="28"/>
  <c r="H36" i="28"/>
  <c r="G36" i="28"/>
  <c r="F36" i="28"/>
  <c r="E36" i="28"/>
  <c r="D36" i="28"/>
  <c r="C36" i="28"/>
  <c r="B36" i="28"/>
  <c r="A36" i="28"/>
  <c r="L35" i="28"/>
  <c r="K35" i="28"/>
  <c r="J35" i="28"/>
  <c r="I35" i="28"/>
  <c r="H35" i="28"/>
  <c r="G35" i="28"/>
  <c r="F35" i="28"/>
  <c r="E35" i="28"/>
  <c r="D35" i="28"/>
  <c r="C35" i="28"/>
  <c r="B35" i="28"/>
  <c r="A35" i="28"/>
  <c r="L34" i="28"/>
  <c r="K34" i="28"/>
  <c r="J34" i="28"/>
  <c r="I34" i="28"/>
  <c r="H34" i="28"/>
  <c r="G34" i="28"/>
  <c r="F34" i="28"/>
  <c r="E34" i="28"/>
  <c r="D34" i="28"/>
  <c r="C34" i="28"/>
  <c r="B34" i="28"/>
  <c r="A34" i="28"/>
  <c r="L33" i="28"/>
  <c r="K33" i="28"/>
  <c r="J33" i="28"/>
  <c r="I33" i="28"/>
  <c r="H33" i="28"/>
  <c r="G33" i="28"/>
  <c r="F33" i="28"/>
  <c r="E33" i="28"/>
  <c r="D33" i="28"/>
  <c r="C33" i="28"/>
  <c r="B33" i="28"/>
  <c r="A33" i="28"/>
  <c r="L32" i="28"/>
  <c r="K32" i="28"/>
  <c r="J32" i="28"/>
  <c r="I32" i="28"/>
  <c r="H32" i="28"/>
  <c r="G32" i="28"/>
  <c r="F32" i="28"/>
  <c r="E32" i="28"/>
  <c r="D32" i="28"/>
  <c r="C32" i="28"/>
  <c r="B32" i="28"/>
  <c r="A32" i="28"/>
  <c r="L31" i="28"/>
  <c r="K31" i="28"/>
  <c r="J31" i="28"/>
  <c r="I31" i="28"/>
  <c r="H31" i="28"/>
  <c r="G31" i="28"/>
  <c r="F31" i="28"/>
  <c r="E31" i="28"/>
  <c r="D31" i="28"/>
  <c r="C31" i="28"/>
  <c r="B31" i="28"/>
  <c r="A31" i="28"/>
  <c r="L30" i="28"/>
  <c r="K30" i="28"/>
  <c r="J30" i="28"/>
  <c r="I30" i="28"/>
  <c r="H30" i="28"/>
  <c r="G30" i="28"/>
  <c r="F30" i="28"/>
  <c r="E30" i="28"/>
  <c r="D30" i="28"/>
  <c r="C30" i="28"/>
  <c r="B30" i="28"/>
  <c r="A30" i="28"/>
  <c r="L29" i="28"/>
  <c r="K29" i="28"/>
  <c r="J29" i="28"/>
  <c r="I29" i="28"/>
  <c r="H29" i="28"/>
  <c r="G29" i="28"/>
  <c r="F29" i="28"/>
  <c r="E29" i="28"/>
  <c r="D29" i="28"/>
  <c r="C29" i="28"/>
  <c r="B29" i="28"/>
  <c r="A29" i="28"/>
  <c r="L28" i="28"/>
  <c r="K28" i="28"/>
  <c r="J28" i="28"/>
  <c r="I28" i="28"/>
  <c r="H28" i="28"/>
  <c r="G28" i="28"/>
  <c r="F28" i="28"/>
  <c r="E28" i="28"/>
  <c r="D28" i="28"/>
  <c r="C28" i="28"/>
  <c r="B28" i="28"/>
  <c r="A28" i="28"/>
  <c r="L27" i="28"/>
  <c r="K27" i="28"/>
  <c r="J27" i="28"/>
  <c r="I27" i="28"/>
  <c r="H27" i="28"/>
  <c r="G27" i="28"/>
  <c r="F27" i="28"/>
  <c r="E27" i="28"/>
  <c r="D27" i="28"/>
  <c r="C27" i="28"/>
  <c r="B27" i="28"/>
  <c r="A27" i="28"/>
  <c r="L26" i="28"/>
  <c r="K26" i="28"/>
  <c r="J26" i="28"/>
  <c r="I26" i="28"/>
  <c r="H26" i="28"/>
  <c r="G26" i="28"/>
  <c r="F26" i="28"/>
  <c r="E26" i="28"/>
  <c r="D26" i="28"/>
  <c r="C26" i="28"/>
  <c r="B26" i="28"/>
  <c r="A26" i="28"/>
  <c r="L25" i="28"/>
  <c r="K25" i="28"/>
  <c r="J25" i="28"/>
  <c r="I25" i="28"/>
  <c r="H25" i="28"/>
  <c r="G25" i="28"/>
  <c r="F25" i="28"/>
  <c r="E25" i="28"/>
  <c r="D25" i="28"/>
  <c r="C25" i="28"/>
  <c r="B25" i="28"/>
  <c r="A25" i="28"/>
  <c r="L24" i="28"/>
  <c r="K24" i="28"/>
  <c r="J24" i="28"/>
  <c r="I24" i="28"/>
  <c r="H24" i="28"/>
  <c r="G24" i="28"/>
  <c r="F24" i="28"/>
  <c r="E24" i="28"/>
  <c r="D24" i="28"/>
  <c r="C24" i="28"/>
  <c r="B24" i="28"/>
  <c r="A24" i="28"/>
  <c r="L23" i="28"/>
  <c r="K23" i="28"/>
  <c r="J23" i="28"/>
  <c r="I23" i="28"/>
  <c r="H23" i="28"/>
  <c r="G23" i="28"/>
  <c r="F23" i="28"/>
  <c r="E23" i="28"/>
  <c r="D23" i="28"/>
  <c r="C23" i="28"/>
  <c r="B23" i="28"/>
  <c r="A23" i="28"/>
  <c r="L22" i="28"/>
  <c r="K22" i="28"/>
  <c r="J22" i="28"/>
  <c r="I22" i="28"/>
  <c r="H22" i="28"/>
  <c r="G22" i="28"/>
  <c r="F22" i="28"/>
  <c r="E22" i="28"/>
  <c r="D22" i="28"/>
  <c r="C22" i="28"/>
  <c r="B22" i="28"/>
  <c r="A22" i="28"/>
  <c r="L21" i="28"/>
  <c r="K21" i="28"/>
  <c r="J21" i="28"/>
  <c r="I21" i="28"/>
  <c r="H21" i="28"/>
  <c r="G21" i="28"/>
  <c r="F21" i="28"/>
  <c r="E21" i="28"/>
  <c r="D21" i="28"/>
  <c r="C21" i="28"/>
  <c r="B21" i="28"/>
  <c r="A21" i="28"/>
  <c r="L20" i="28"/>
  <c r="K20" i="28"/>
  <c r="J20" i="28"/>
  <c r="I20" i="28"/>
  <c r="H20" i="28"/>
  <c r="G20" i="28"/>
  <c r="F20" i="28"/>
  <c r="E20" i="28"/>
  <c r="D20" i="28"/>
  <c r="C20" i="28"/>
  <c r="B20" i="28"/>
  <c r="A20" i="28"/>
  <c r="L19" i="28"/>
  <c r="K19" i="28"/>
  <c r="J19" i="28"/>
  <c r="I19" i="28"/>
  <c r="H19" i="28"/>
  <c r="G19" i="28"/>
  <c r="F19" i="28"/>
  <c r="E19" i="28"/>
  <c r="D19" i="28"/>
  <c r="C19" i="28"/>
  <c r="B19" i="28"/>
  <c r="A19" i="28"/>
  <c r="L18" i="28"/>
  <c r="K18" i="28"/>
  <c r="J18" i="28"/>
  <c r="I18" i="28"/>
  <c r="H18" i="28"/>
  <c r="G18" i="28"/>
  <c r="F18" i="28"/>
  <c r="E18" i="28"/>
  <c r="D18" i="28"/>
  <c r="C18" i="28"/>
  <c r="B18" i="28"/>
  <c r="A18" i="28"/>
  <c r="L17" i="28"/>
  <c r="K17" i="28"/>
  <c r="J17" i="28"/>
  <c r="I17" i="28"/>
  <c r="H17" i="28"/>
  <c r="G17" i="28"/>
  <c r="F17" i="28"/>
  <c r="E17" i="28"/>
  <c r="D17" i="28"/>
  <c r="C17" i="28"/>
  <c r="B17" i="28"/>
  <c r="A17" i="28"/>
  <c r="L16" i="28"/>
  <c r="K16" i="28"/>
  <c r="J16" i="28"/>
  <c r="I16" i="28"/>
  <c r="H16" i="28"/>
  <c r="G16" i="28"/>
  <c r="F16" i="28"/>
  <c r="E16" i="28"/>
  <c r="D16" i="28"/>
  <c r="C16" i="28"/>
  <c r="B16" i="28"/>
  <c r="A16" i="28"/>
  <c r="L15" i="28"/>
  <c r="K15" i="28"/>
  <c r="J15" i="28"/>
  <c r="I15" i="28"/>
  <c r="H15" i="28"/>
  <c r="G15" i="28"/>
  <c r="F15" i="28"/>
  <c r="E15" i="28"/>
  <c r="D15" i="28"/>
  <c r="C15" i="28"/>
  <c r="B15" i="28"/>
  <c r="A15" i="28"/>
  <c r="L14" i="28"/>
  <c r="K14" i="28"/>
  <c r="J14" i="28"/>
  <c r="I14" i="28"/>
  <c r="H14" i="28"/>
  <c r="G14" i="28"/>
  <c r="F14" i="28"/>
  <c r="E14" i="28"/>
  <c r="D14" i="28"/>
  <c r="C14" i="28"/>
  <c r="B14" i="28"/>
  <c r="A14" i="28"/>
  <c r="L13" i="28"/>
  <c r="K13" i="28"/>
  <c r="J13" i="28"/>
  <c r="I13" i="28"/>
  <c r="H13" i="28"/>
  <c r="G13" i="28"/>
  <c r="F13" i="28"/>
  <c r="E13" i="28"/>
  <c r="D13" i="28"/>
  <c r="C13" i="28"/>
  <c r="B13" i="28"/>
  <c r="A13" i="28"/>
  <c r="L12" i="28"/>
  <c r="K12" i="28"/>
  <c r="J12" i="28"/>
  <c r="I12" i="28"/>
  <c r="H12" i="28"/>
  <c r="G12" i="28"/>
  <c r="F12" i="28"/>
  <c r="E12" i="28"/>
  <c r="D12" i="28"/>
  <c r="C12" i="28"/>
  <c r="B12" i="28"/>
  <c r="A12" i="28"/>
  <c r="L11" i="28"/>
  <c r="K11" i="28"/>
  <c r="J11" i="28"/>
  <c r="I11" i="28"/>
  <c r="H11" i="28"/>
  <c r="G11" i="28"/>
  <c r="F11" i="28"/>
  <c r="E11" i="28"/>
  <c r="D11" i="28"/>
  <c r="C11" i="28"/>
  <c r="B11" i="28"/>
  <c r="A11" i="28"/>
  <c r="L10" i="28"/>
  <c r="K10" i="28"/>
  <c r="J10" i="28"/>
  <c r="I10" i="28"/>
  <c r="H10" i="28"/>
  <c r="G10" i="28"/>
  <c r="F10" i="28"/>
  <c r="E10" i="28"/>
  <c r="D10" i="28"/>
  <c r="C10" i="28"/>
  <c r="B10" i="28"/>
  <c r="A10" i="28"/>
  <c r="L9" i="28"/>
  <c r="K9" i="28"/>
  <c r="J9" i="28"/>
  <c r="I9" i="28"/>
  <c r="H9" i="28"/>
  <c r="G9" i="28"/>
  <c r="F9" i="28"/>
  <c r="E9" i="28"/>
  <c r="D9" i="28"/>
  <c r="C9" i="28"/>
  <c r="B9" i="28"/>
  <c r="A9" i="28"/>
  <c r="L8" i="28"/>
  <c r="K8" i="28"/>
  <c r="J8" i="28"/>
  <c r="I8" i="28"/>
  <c r="H8" i="28"/>
  <c r="G8" i="28"/>
  <c r="F8" i="28"/>
  <c r="E8" i="28"/>
  <c r="D8" i="28"/>
  <c r="C8" i="28"/>
  <c r="B8" i="28"/>
  <c r="A8" i="28"/>
  <c r="L7" i="28"/>
  <c r="K7" i="28"/>
  <c r="J7" i="28"/>
  <c r="I7" i="28"/>
  <c r="H7" i="28"/>
  <c r="G7" i="28"/>
  <c r="F7" i="28"/>
  <c r="E7" i="28"/>
  <c r="D7" i="28"/>
  <c r="C7" i="28"/>
  <c r="B7" i="28"/>
  <c r="A7" i="28"/>
  <c r="L6" i="28"/>
  <c r="K6" i="28"/>
  <c r="J6" i="28"/>
  <c r="I6" i="28"/>
  <c r="H6" i="28"/>
  <c r="G6" i="28"/>
  <c r="F6" i="28"/>
  <c r="E6" i="28"/>
  <c r="D6" i="28"/>
  <c r="C6" i="28"/>
  <c r="B6" i="28"/>
  <c r="A6" i="28"/>
  <c r="L5" i="28"/>
  <c r="K5" i="28"/>
  <c r="J5" i="28"/>
  <c r="I5" i="28"/>
  <c r="H5" i="28"/>
  <c r="G5" i="28"/>
  <c r="F5" i="28"/>
  <c r="E5" i="28"/>
  <c r="D5" i="28"/>
  <c r="C5" i="28"/>
  <c r="B5" i="28"/>
  <c r="A5" i="28"/>
  <c r="L4" i="28"/>
  <c r="K4" i="28"/>
  <c r="J4" i="28"/>
  <c r="I4" i="28"/>
  <c r="H4" i="28"/>
  <c r="G4" i="28"/>
  <c r="F4" i="28"/>
  <c r="E4" i="28"/>
  <c r="D4" i="28"/>
  <c r="C4" i="28"/>
  <c r="B4" i="28"/>
  <c r="A4" i="28"/>
  <c r="L3" i="28"/>
  <c r="K3" i="28"/>
  <c r="J3" i="28"/>
  <c r="J1" i="28" s="1"/>
  <c r="I3" i="28"/>
  <c r="I2" i="28" s="1"/>
  <c r="H3" i="28"/>
  <c r="G3" i="28"/>
  <c r="F3" i="28"/>
  <c r="F2" i="28" s="1"/>
  <c r="E3" i="28"/>
  <c r="E2" i="28" s="1"/>
  <c r="D3" i="28"/>
  <c r="C3" i="28"/>
  <c r="B3" i="28"/>
  <c r="B2" i="28" s="1"/>
  <c r="A3" i="28"/>
  <c r="A2" i="28" s="1"/>
  <c r="L2" i="28"/>
  <c r="K2" i="28"/>
  <c r="J2" i="28"/>
  <c r="H2" i="28"/>
  <c r="G2" i="28"/>
  <c r="D2" i="28"/>
  <c r="C2" i="28"/>
  <c r="L1" i="28"/>
  <c r="K1" i="28"/>
  <c r="I1" i="28"/>
  <c r="H1" i="28"/>
  <c r="G1" i="28"/>
  <c r="F1" i="28"/>
  <c r="E1" i="28"/>
  <c r="D1" i="28"/>
  <c r="C1" i="28"/>
  <c r="B1" i="28"/>
  <c r="A1" i="28"/>
  <c r="L400" i="27"/>
  <c r="K400" i="27"/>
  <c r="J400" i="27"/>
  <c r="I400" i="27"/>
  <c r="H400" i="27"/>
  <c r="G400" i="27"/>
  <c r="F400" i="27"/>
  <c r="E400" i="27"/>
  <c r="D400" i="27"/>
  <c r="C400" i="27"/>
  <c r="B400" i="27"/>
  <c r="A400" i="27"/>
  <c r="L399" i="27"/>
  <c r="K399" i="27"/>
  <c r="J399" i="27"/>
  <c r="I399" i="27"/>
  <c r="H399" i="27"/>
  <c r="G399" i="27"/>
  <c r="F399" i="27"/>
  <c r="E399" i="27"/>
  <c r="D399" i="27"/>
  <c r="C399" i="27"/>
  <c r="B399" i="27"/>
  <c r="A399" i="27"/>
  <c r="L398" i="27"/>
  <c r="K398" i="27"/>
  <c r="J398" i="27"/>
  <c r="I398" i="27"/>
  <c r="H398" i="27"/>
  <c r="G398" i="27"/>
  <c r="F398" i="27"/>
  <c r="E398" i="27"/>
  <c r="D398" i="27"/>
  <c r="C398" i="27"/>
  <c r="B398" i="27"/>
  <c r="A398" i="27"/>
  <c r="L397" i="27"/>
  <c r="K397" i="27"/>
  <c r="J397" i="27"/>
  <c r="I397" i="27"/>
  <c r="H397" i="27"/>
  <c r="G397" i="27"/>
  <c r="F397" i="27"/>
  <c r="E397" i="27"/>
  <c r="D397" i="27"/>
  <c r="C397" i="27"/>
  <c r="B397" i="27"/>
  <c r="A397" i="27"/>
  <c r="L396" i="27"/>
  <c r="K396" i="27"/>
  <c r="J396" i="27"/>
  <c r="I396" i="27"/>
  <c r="H396" i="27"/>
  <c r="G396" i="27"/>
  <c r="F396" i="27"/>
  <c r="E396" i="27"/>
  <c r="D396" i="27"/>
  <c r="C396" i="27"/>
  <c r="B396" i="27"/>
  <c r="A396" i="27"/>
  <c r="L395" i="27"/>
  <c r="K395" i="27"/>
  <c r="J395" i="27"/>
  <c r="I395" i="27"/>
  <c r="H395" i="27"/>
  <c r="G395" i="27"/>
  <c r="F395" i="27"/>
  <c r="E395" i="27"/>
  <c r="D395" i="27"/>
  <c r="C395" i="27"/>
  <c r="B395" i="27"/>
  <c r="A395" i="27"/>
  <c r="L394" i="27"/>
  <c r="K394" i="27"/>
  <c r="J394" i="27"/>
  <c r="I394" i="27"/>
  <c r="H394" i="27"/>
  <c r="G394" i="27"/>
  <c r="F394" i="27"/>
  <c r="E394" i="27"/>
  <c r="D394" i="27"/>
  <c r="C394" i="27"/>
  <c r="B394" i="27"/>
  <c r="A394" i="27"/>
  <c r="L393" i="27"/>
  <c r="K393" i="27"/>
  <c r="J393" i="27"/>
  <c r="I393" i="27"/>
  <c r="H393" i="27"/>
  <c r="G393" i="27"/>
  <c r="F393" i="27"/>
  <c r="E393" i="27"/>
  <c r="D393" i="27"/>
  <c r="C393" i="27"/>
  <c r="B393" i="27"/>
  <c r="A393" i="27"/>
  <c r="L392" i="27"/>
  <c r="K392" i="27"/>
  <c r="J392" i="27"/>
  <c r="I392" i="27"/>
  <c r="H392" i="27"/>
  <c r="G392" i="27"/>
  <c r="F392" i="27"/>
  <c r="E392" i="27"/>
  <c r="D392" i="27"/>
  <c r="C392" i="27"/>
  <c r="B392" i="27"/>
  <c r="A392" i="27"/>
  <c r="L391" i="27"/>
  <c r="K391" i="27"/>
  <c r="J391" i="27"/>
  <c r="I391" i="27"/>
  <c r="H391" i="27"/>
  <c r="G391" i="27"/>
  <c r="F391" i="27"/>
  <c r="E391" i="27"/>
  <c r="D391" i="27"/>
  <c r="C391" i="27"/>
  <c r="B391" i="27"/>
  <c r="A391" i="27"/>
  <c r="L390" i="27"/>
  <c r="K390" i="27"/>
  <c r="J390" i="27"/>
  <c r="I390" i="27"/>
  <c r="H390" i="27"/>
  <c r="G390" i="27"/>
  <c r="F390" i="27"/>
  <c r="E390" i="27"/>
  <c r="D390" i="27"/>
  <c r="C390" i="27"/>
  <c r="B390" i="27"/>
  <c r="A390" i="27"/>
  <c r="L389" i="27"/>
  <c r="K389" i="27"/>
  <c r="J389" i="27"/>
  <c r="I389" i="27"/>
  <c r="H389" i="27"/>
  <c r="G389" i="27"/>
  <c r="F389" i="27"/>
  <c r="E389" i="27"/>
  <c r="D389" i="27"/>
  <c r="C389" i="27"/>
  <c r="B389" i="27"/>
  <c r="A389" i="27"/>
  <c r="L388" i="27"/>
  <c r="K388" i="27"/>
  <c r="J388" i="27"/>
  <c r="I388" i="27"/>
  <c r="H388" i="27"/>
  <c r="G388" i="27"/>
  <c r="F388" i="27"/>
  <c r="E388" i="27"/>
  <c r="D388" i="27"/>
  <c r="C388" i="27"/>
  <c r="B388" i="27"/>
  <c r="A388" i="27"/>
  <c r="L387" i="27"/>
  <c r="K387" i="27"/>
  <c r="J387" i="27"/>
  <c r="I387" i="27"/>
  <c r="H387" i="27"/>
  <c r="G387" i="27"/>
  <c r="F387" i="27"/>
  <c r="E387" i="27"/>
  <c r="D387" i="27"/>
  <c r="C387" i="27"/>
  <c r="B387" i="27"/>
  <c r="A387" i="27"/>
  <c r="L386" i="27"/>
  <c r="K386" i="27"/>
  <c r="J386" i="27"/>
  <c r="I386" i="27"/>
  <c r="H386" i="27"/>
  <c r="G386" i="27"/>
  <c r="F386" i="27"/>
  <c r="E386" i="27"/>
  <c r="D386" i="27"/>
  <c r="C386" i="27"/>
  <c r="B386" i="27"/>
  <c r="A386" i="27"/>
  <c r="L385" i="27"/>
  <c r="K385" i="27"/>
  <c r="J385" i="27"/>
  <c r="I385" i="27"/>
  <c r="H385" i="27"/>
  <c r="G385" i="27"/>
  <c r="F385" i="27"/>
  <c r="E385" i="27"/>
  <c r="D385" i="27"/>
  <c r="C385" i="27"/>
  <c r="B385" i="27"/>
  <c r="A385" i="27"/>
  <c r="L384" i="27"/>
  <c r="K384" i="27"/>
  <c r="J384" i="27"/>
  <c r="I384" i="27"/>
  <c r="H384" i="27"/>
  <c r="G384" i="27"/>
  <c r="F384" i="27"/>
  <c r="E384" i="27"/>
  <c r="D384" i="27"/>
  <c r="C384" i="27"/>
  <c r="B384" i="27"/>
  <c r="A384" i="27"/>
  <c r="L383" i="27"/>
  <c r="K383" i="27"/>
  <c r="J383" i="27"/>
  <c r="I383" i="27"/>
  <c r="H383" i="27"/>
  <c r="G383" i="27"/>
  <c r="F383" i="27"/>
  <c r="E383" i="27"/>
  <c r="D383" i="27"/>
  <c r="C383" i="27"/>
  <c r="B383" i="27"/>
  <c r="A383" i="27"/>
  <c r="L382" i="27"/>
  <c r="K382" i="27"/>
  <c r="J382" i="27"/>
  <c r="I382" i="27"/>
  <c r="H382" i="27"/>
  <c r="G382" i="27"/>
  <c r="F382" i="27"/>
  <c r="E382" i="27"/>
  <c r="D382" i="27"/>
  <c r="C382" i="27"/>
  <c r="B382" i="27"/>
  <c r="A382" i="27"/>
  <c r="L381" i="27"/>
  <c r="K381" i="27"/>
  <c r="J381" i="27"/>
  <c r="I381" i="27"/>
  <c r="H381" i="27"/>
  <c r="G381" i="27"/>
  <c r="F381" i="27"/>
  <c r="E381" i="27"/>
  <c r="D381" i="27"/>
  <c r="C381" i="27"/>
  <c r="B381" i="27"/>
  <c r="A381" i="27"/>
  <c r="L380" i="27"/>
  <c r="K380" i="27"/>
  <c r="J380" i="27"/>
  <c r="I380" i="27"/>
  <c r="H380" i="27"/>
  <c r="G380" i="27"/>
  <c r="F380" i="27"/>
  <c r="E380" i="27"/>
  <c r="D380" i="27"/>
  <c r="C380" i="27"/>
  <c r="B380" i="27"/>
  <c r="A380" i="27"/>
  <c r="L379" i="27"/>
  <c r="K379" i="27"/>
  <c r="J379" i="27"/>
  <c r="I379" i="27"/>
  <c r="H379" i="27"/>
  <c r="G379" i="27"/>
  <c r="F379" i="27"/>
  <c r="E379" i="27"/>
  <c r="D379" i="27"/>
  <c r="C379" i="27"/>
  <c r="B379" i="27"/>
  <c r="A379" i="27"/>
  <c r="L378" i="27"/>
  <c r="K378" i="27"/>
  <c r="J378" i="27"/>
  <c r="I378" i="27"/>
  <c r="H378" i="27"/>
  <c r="G378" i="27"/>
  <c r="F378" i="27"/>
  <c r="E378" i="27"/>
  <c r="D378" i="27"/>
  <c r="C378" i="27"/>
  <c r="B378" i="27"/>
  <c r="A378" i="27"/>
  <c r="L377" i="27"/>
  <c r="K377" i="27"/>
  <c r="J377" i="27"/>
  <c r="I377" i="27"/>
  <c r="H377" i="27"/>
  <c r="G377" i="27"/>
  <c r="F377" i="27"/>
  <c r="E377" i="27"/>
  <c r="D377" i="27"/>
  <c r="C377" i="27"/>
  <c r="B377" i="27"/>
  <c r="A377" i="27"/>
  <c r="L376" i="27"/>
  <c r="K376" i="27"/>
  <c r="J376" i="27"/>
  <c r="I376" i="27"/>
  <c r="H376" i="27"/>
  <c r="G376" i="27"/>
  <c r="F376" i="27"/>
  <c r="E376" i="27"/>
  <c r="D376" i="27"/>
  <c r="C376" i="27"/>
  <c r="B376" i="27"/>
  <c r="A376" i="27"/>
  <c r="L375" i="27"/>
  <c r="K375" i="27"/>
  <c r="J375" i="27"/>
  <c r="I375" i="27"/>
  <c r="H375" i="27"/>
  <c r="G375" i="27"/>
  <c r="F375" i="27"/>
  <c r="E375" i="27"/>
  <c r="D375" i="27"/>
  <c r="C375" i="27"/>
  <c r="B375" i="27"/>
  <c r="A375" i="27"/>
  <c r="L374" i="27"/>
  <c r="K374" i="27"/>
  <c r="J374" i="27"/>
  <c r="I374" i="27"/>
  <c r="H374" i="27"/>
  <c r="G374" i="27"/>
  <c r="F374" i="27"/>
  <c r="E374" i="27"/>
  <c r="D374" i="27"/>
  <c r="C374" i="27"/>
  <c r="B374" i="27"/>
  <c r="A374" i="27"/>
  <c r="L373" i="27"/>
  <c r="K373" i="27"/>
  <c r="J373" i="27"/>
  <c r="I373" i="27"/>
  <c r="H373" i="27"/>
  <c r="G373" i="27"/>
  <c r="F373" i="27"/>
  <c r="E373" i="27"/>
  <c r="D373" i="27"/>
  <c r="C373" i="27"/>
  <c r="B373" i="27"/>
  <c r="A373" i="27"/>
  <c r="L372" i="27"/>
  <c r="K372" i="27"/>
  <c r="J372" i="27"/>
  <c r="I372" i="27"/>
  <c r="H372" i="27"/>
  <c r="G372" i="27"/>
  <c r="F372" i="27"/>
  <c r="E372" i="27"/>
  <c r="D372" i="27"/>
  <c r="C372" i="27"/>
  <c r="B372" i="27"/>
  <c r="A372" i="27"/>
  <c r="L371" i="27"/>
  <c r="K371" i="27"/>
  <c r="J371" i="27"/>
  <c r="I371" i="27"/>
  <c r="H371" i="27"/>
  <c r="G371" i="27"/>
  <c r="F371" i="27"/>
  <c r="E371" i="27"/>
  <c r="D371" i="27"/>
  <c r="C371" i="27"/>
  <c r="B371" i="27"/>
  <c r="A371" i="27"/>
  <c r="L370" i="27"/>
  <c r="K370" i="27"/>
  <c r="J370" i="27"/>
  <c r="I370" i="27"/>
  <c r="H370" i="27"/>
  <c r="G370" i="27"/>
  <c r="F370" i="27"/>
  <c r="E370" i="27"/>
  <c r="D370" i="27"/>
  <c r="C370" i="27"/>
  <c r="B370" i="27"/>
  <c r="A370" i="27"/>
  <c r="L369" i="27"/>
  <c r="K369" i="27"/>
  <c r="J369" i="27"/>
  <c r="I369" i="27"/>
  <c r="H369" i="27"/>
  <c r="G369" i="27"/>
  <c r="F369" i="27"/>
  <c r="E369" i="27"/>
  <c r="D369" i="27"/>
  <c r="C369" i="27"/>
  <c r="B369" i="27"/>
  <c r="A369" i="27"/>
  <c r="L368" i="27"/>
  <c r="K368" i="27"/>
  <c r="J368" i="27"/>
  <c r="I368" i="27"/>
  <c r="H368" i="27"/>
  <c r="G368" i="27"/>
  <c r="F368" i="27"/>
  <c r="E368" i="27"/>
  <c r="D368" i="27"/>
  <c r="C368" i="27"/>
  <c r="B368" i="27"/>
  <c r="A368" i="27"/>
  <c r="L367" i="27"/>
  <c r="K367" i="27"/>
  <c r="J367" i="27"/>
  <c r="I367" i="27"/>
  <c r="H367" i="27"/>
  <c r="G367" i="27"/>
  <c r="F367" i="27"/>
  <c r="E367" i="27"/>
  <c r="D367" i="27"/>
  <c r="C367" i="27"/>
  <c r="B367" i="27"/>
  <c r="A367" i="27"/>
  <c r="L366" i="27"/>
  <c r="K366" i="27"/>
  <c r="J366" i="27"/>
  <c r="I366" i="27"/>
  <c r="H366" i="27"/>
  <c r="G366" i="27"/>
  <c r="F366" i="27"/>
  <c r="E366" i="27"/>
  <c r="D366" i="27"/>
  <c r="C366" i="27"/>
  <c r="B366" i="27"/>
  <c r="A366" i="27"/>
  <c r="L365" i="27"/>
  <c r="K365" i="27"/>
  <c r="J365" i="27"/>
  <c r="I365" i="27"/>
  <c r="H365" i="27"/>
  <c r="G365" i="27"/>
  <c r="F365" i="27"/>
  <c r="E365" i="27"/>
  <c r="D365" i="27"/>
  <c r="C365" i="27"/>
  <c r="B365" i="27"/>
  <c r="A365" i="27"/>
  <c r="L364" i="27"/>
  <c r="K364" i="27"/>
  <c r="J364" i="27"/>
  <c r="I364" i="27"/>
  <c r="H364" i="27"/>
  <c r="G364" i="27"/>
  <c r="F364" i="27"/>
  <c r="E364" i="27"/>
  <c r="D364" i="27"/>
  <c r="C364" i="27"/>
  <c r="B364" i="27"/>
  <c r="A364" i="27"/>
  <c r="L363" i="27"/>
  <c r="K363" i="27"/>
  <c r="J363" i="27"/>
  <c r="I363" i="27"/>
  <c r="H363" i="27"/>
  <c r="G363" i="27"/>
  <c r="F363" i="27"/>
  <c r="E363" i="27"/>
  <c r="D363" i="27"/>
  <c r="C363" i="27"/>
  <c r="B363" i="27"/>
  <c r="A363" i="27"/>
  <c r="L362" i="27"/>
  <c r="K362" i="27"/>
  <c r="J362" i="27"/>
  <c r="I362" i="27"/>
  <c r="H362" i="27"/>
  <c r="G362" i="27"/>
  <c r="F362" i="27"/>
  <c r="E362" i="27"/>
  <c r="D362" i="27"/>
  <c r="C362" i="27"/>
  <c r="B362" i="27"/>
  <c r="A362" i="27"/>
  <c r="L361" i="27"/>
  <c r="K361" i="27"/>
  <c r="J361" i="27"/>
  <c r="I361" i="27"/>
  <c r="H361" i="27"/>
  <c r="G361" i="27"/>
  <c r="F361" i="27"/>
  <c r="E361" i="27"/>
  <c r="D361" i="27"/>
  <c r="C361" i="27"/>
  <c r="B361" i="27"/>
  <c r="A361" i="27"/>
  <c r="L360" i="27"/>
  <c r="K360" i="27"/>
  <c r="J360" i="27"/>
  <c r="I360" i="27"/>
  <c r="H360" i="27"/>
  <c r="G360" i="27"/>
  <c r="F360" i="27"/>
  <c r="E360" i="27"/>
  <c r="D360" i="27"/>
  <c r="C360" i="27"/>
  <c r="B360" i="27"/>
  <c r="A360" i="27"/>
  <c r="L359" i="27"/>
  <c r="K359" i="27"/>
  <c r="J359" i="27"/>
  <c r="I359" i="27"/>
  <c r="H359" i="27"/>
  <c r="G359" i="27"/>
  <c r="F359" i="27"/>
  <c r="E359" i="27"/>
  <c r="D359" i="27"/>
  <c r="C359" i="27"/>
  <c r="B359" i="27"/>
  <c r="A359" i="27"/>
  <c r="L358" i="27"/>
  <c r="K358" i="27"/>
  <c r="J358" i="27"/>
  <c r="I358" i="27"/>
  <c r="H358" i="27"/>
  <c r="G358" i="27"/>
  <c r="F358" i="27"/>
  <c r="E358" i="27"/>
  <c r="D358" i="27"/>
  <c r="C358" i="27"/>
  <c r="B358" i="27"/>
  <c r="A358" i="27"/>
  <c r="L357" i="27"/>
  <c r="K357" i="27"/>
  <c r="J357" i="27"/>
  <c r="I357" i="27"/>
  <c r="H357" i="27"/>
  <c r="G357" i="27"/>
  <c r="F357" i="27"/>
  <c r="E357" i="27"/>
  <c r="D357" i="27"/>
  <c r="C357" i="27"/>
  <c r="B357" i="27"/>
  <c r="A357" i="27"/>
  <c r="L356" i="27"/>
  <c r="K356" i="27"/>
  <c r="J356" i="27"/>
  <c r="I356" i="27"/>
  <c r="H356" i="27"/>
  <c r="G356" i="27"/>
  <c r="F356" i="27"/>
  <c r="E356" i="27"/>
  <c r="D356" i="27"/>
  <c r="C356" i="27"/>
  <c r="B356" i="27"/>
  <c r="A356" i="27"/>
  <c r="L355" i="27"/>
  <c r="K355" i="27"/>
  <c r="J355" i="27"/>
  <c r="I355" i="27"/>
  <c r="H355" i="27"/>
  <c r="G355" i="27"/>
  <c r="F355" i="27"/>
  <c r="E355" i="27"/>
  <c r="D355" i="27"/>
  <c r="C355" i="27"/>
  <c r="B355" i="27"/>
  <c r="A355" i="27"/>
  <c r="L354" i="27"/>
  <c r="K354" i="27"/>
  <c r="J354" i="27"/>
  <c r="I354" i="27"/>
  <c r="H354" i="27"/>
  <c r="G354" i="27"/>
  <c r="F354" i="27"/>
  <c r="E354" i="27"/>
  <c r="D354" i="27"/>
  <c r="C354" i="27"/>
  <c r="B354" i="27"/>
  <c r="A354" i="27"/>
  <c r="L353" i="27"/>
  <c r="K353" i="27"/>
  <c r="J353" i="27"/>
  <c r="I353" i="27"/>
  <c r="H353" i="27"/>
  <c r="G353" i="27"/>
  <c r="F353" i="27"/>
  <c r="E353" i="27"/>
  <c r="D353" i="27"/>
  <c r="C353" i="27"/>
  <c r="B353" i="27"/>
  <c r="A353" i="27"/>
  <c r="L352" i="27"/>
  <c r="K352" i="27"/>
  <c r="J352" i="27"/>
  <c r="I352" i="27"/>
  <c r="H352" i="27"/>
  <c r="G352" i="27"/>
  <c r="F352" i="27"/>
  <c r="E352" i="27"/>
  <c r="D352" i="27"/>
  <c r="C352" i="27"/>
  <c r="B352" i="27"/>
  <c r="A352" i="27"/>
  <c r="L351" i="27"/>
  <c r="K351" i="27"/>
  <c r="J351" i="27"/>
  <c r="I351" i="27"/>
  <c r="H351" i="27"/>
  <c r="G351" i="27"/>
  <c r="F351" i="27"/>
  <c r="E351" i="27"/>
  <c r="D351" i="27"/>
  <c r="C351" i="27"/>
  <c r="B351" i="27"/>
  <c r="A351" i="27"/>
  <c r="L350" i="27"/>
  <c r="K350" i="27"/>
  <c r="J350" i="27"/>
  <c r="I350" i="27"/>
  <c r="H350" i="27"/>
  <c r="G350" i="27"/>
  <c r="F350" i="27"/>
  <c r="E350" i="27"/>
  <c r="D350" i="27"/>
  <c r="C350" i="27"/>
  <c r="B350" i="27"/>
  <c r="A350" i="27"/>
  <c r="L349" i="27"/>
  <c r="K349" i="27"/>
  <c r="J349" i="27"/>
  <c r="I349" i="27"/>
  <c r="H349" i="27"/>
  <c r="G349" i="27"/>
  <c r="F349" i="27"/>
  <c r="E349" i="27"/>
  <c r="D349" i="27"/>
  <c r="C349" i="27"/>
  <c r="B349" i="27"/>
  <c r="A349" i="27"/>
  <c r="L348" i="27"/>
  <c r="K348" i="27"/>
  <c r="J348" i="27"/>
  <c r="I348" i="27"/>
  <c r="H348" i="27"/>
  <c r="G348" i="27"/>
  <c r="F348" i="27"/>
  <c r="E348" i="27"/>
  <c r="D348" i="27"/>
  <c r="C348" i="27"/>
  <c r="B348" i="27"/>
  <c r="A348" i="27"/>
  <c r="L347" i="27"/>
  <c r="K347" i="27"/>
  <c r="J347" i="27"/>
  <c r="I347" i="27"/>
  <c r="H347" i="27"/>
  <c r="G347" i="27"/>
  <c r="F347" i="27"/>
  <c r="E347" i="27"/>
  <c r="D347" i="27"/>
  <c r="C347" i="27"/>
  <c r="B347" i="27"/>
  <c r="A347" i="27"/>
  <c r="L346" i="27"/>
  <c r="K346" i="27"/>
  <c r="J346" i="27"/>
  <c r="I346" i="27"/>
  <c r="H346" i="27"/>
  <c r="G346" i="27"/>
  <c r="F346" i="27"/>
  <c r="E346" i="27"/>
  <c r="D346" i="27"/>
  <c r="C346" i="27"/>
  <c r="B346" i="27"/>
  <c r="A346" i="27"/>
  <c r="L345" i="27"/>
  <c r="K345" i="27"/>
  <c r="J345" i="27"/>
  <c r="I345" i="27"/>
  <c r="H345" i="27"/>
  <c r="G345" i="27"/>
  <c r="F345" i="27"/>
  <c r="E345" i="27"/>
  <c r="D345" i="27"/>
  <c r="C345" i="27"/>
  <c r="B345" i="27"/>
  <c r="A345" i="27"/>
  <c r="L344" i="27"/>
  <c r="K344" i="27"/>
  <c r="J344" i="27"/>
  <c r="I344" i="27"/>
  <c r="H344" i="27"/>
  <c r="G344" i="27"/>
  <c r="F344" i="27"/>
  <c r="E344" i="27"/>
  <c r="D344" i="27"/>
  <c r="C344" i="27"/>
  <c r="B344" i="27"/>
  <c r="A344" i="27"/>
  <c r="L343" i="27"/>
  <c r="K343" i="27"/>
  <c r="J343" i="27"/>
  <c r="I343" i="27"/>
  <c r="H343" i="27"/>
  <c r="G343" i="27"/>
  <c r="F343" i="27"/>
  <c r="E343" i="27"/>
  <c r="D343" i="27"/>
  <c r="C343" i="27"/>
  <c r="B343" i="27"/>
  <c r="A343" i="27"/>
  <c r="L342" i="27"/>
  <c r="K342" i="27"/>
  <c r="J342" i="27"/>
  <c r="I342" i="27"/>
  <c r="H342" i="27"/>
  <c r="G342" i="27"/>
  <c r="F342" i="27"/>
  <c r="E342" i="27"/>
  <c r="D342" i="27"/>
  <c r="C342" i="27"/>
  <c r="B342" i="27"/>
  <c r="A342" i="27"/>
  <c r="L341" i="27"/>
  <c r="K341" i="27"/>
  <c r="J341" i="27"/>
  <c r="I341" i="27"/>
  <c r="H341" i="27"/>
  <c r="G341" i="27"/>
  <c r="F341" i="27"/>
  <c r="E341" i="27"/>
  <c r="D341" i="27"/>
  <c r="C341" i="27"/>
  <c r="B341" i="27"/>
  <c r="A341" i="27"/>
  <c r="L340" i="27"/>
  <c r="K340" i="27"/>
  <c r="J340" i="27"/>
  <c r="I340" i="27"/>
  <c r="H340" i="27"/>
  <c r="G340" i="27"/>
  <c r="F340" i="27"/>
  <c r="E340" i="27"/>
  <c r="D340" i="27"/>
  <c r="C340" i="27"/>
  <c r="B340" i="27"/>
  <c r="A340" i="27"/>
  <c r="L339" i="27"/>
  <c r="K339" i="27"/>
  <c r="J339" i="27"/>
  <c r="I339" i="27"/>
  <c r="H339" i="27"/>
  <c r="G339" i="27"/>
  <c r="F339" i="27"/>
  <c r="E339" i="27"/>
  <c r="D339" i="27"/>
  <c r="C339" i="27"/>
  <c r="B339" i="27"/>
  <c r="A339" i="27"/>
  <c r="L338" i="27"/>
  <c r="K338" i="27"/>
  <c r="J338" i="27"/>
  <c r="I338" i="27"/>
  <c r="H338" i="27"/>
  <c r="G338" i="27"/>
  <c r="F338" i="27"/>
  <c r="E338" i="27"/>
  <c r="D338" i="27"/>
  <c r="C338" i="27"/>
  <c r="B338" i="27"/>
  <c r="A338" i="27"/>
  <c r="L337" i="27"/>
  <c r="K337" i="27"/>
  <c r="J337" i="27"/>
  <c r="I337" i="27"/>
  <c r="H337" i="27"/>
  <c r="G337" i="27"/>
  <c r="F337" i="27"/>
  <c r="E337" i="27"/>
  <c r="D337" i="27"/>
  <c r="C337" i="27"/>
  <c r="B337" i="27"/>
  <c r="A337" i="27"/>
  <c r="L336" i="27"/>
  <c r="K336" i="27"/>
  <c r="J336" i="27"/>
  <c r="I336" i="27"/>
  <c r="H336" i="27"/>
  <c r="G336" i="27"/>
  <c r="F336" i="27"/>
  <c r="E336" i="27"/>
  <c r="D336" i="27"/>
  <c r="C336" i="27"/>
  <c r="B336" i="27"/>
  <c r="A336" i="27"/>
  <c r="L335" i="27"/>
  <c r="K335" i="27"/>
  <c r="J335" i="27"/>
  <c r="I335" i="27"/>
  <c r="H335" i="27"/>
  <c r="G335" i="27"/>
  <c r="F335" i="27"/>
  <c r="E335" i="27"/>
  <c r="D335" i="27"/>
  <c r="C335" i="27"/>
  <c r="B335" i="27"/>
  <c r="A335" i="27"/>
  <c r="L334" i="27"/>
  <c r="K334" i="27"/>
  <c r="J334" i="27"/>
  <c r="I334" i="27"/>
  <c r="H334" i="27"/>
  <c r="G334" i="27"/>
  <c r="F334" i="27"/>
  <c r="E334" i="27"/>
  <c r="D334" i="27"/>
  <c r="C334" i="27"/>
  <c r="B334" i="27"/>
  <c r="A334" i="27"/>
  <c r="L333" i="27"/>
  <c r="K333" i="27"/>
  <c r="J333" i="27"/>
  <c r="I333" i="27"/>
  <c r="H333" i="27"/>
  <c r="G333" i="27"/>
  <c r="F333" i="27"/>
  <c r="E333" i="27"/>
  <c r="D333" i="27"/>
  <c r="C333" i="27"/>
  <c r="B333" i="27"/>
  <c r="A333" i="27"/>
  <c r="L332" i="27"/>
  <c r="K332" i="27"/>
  <c r="J332" i="27"/>
  <c r="I332" i="27"/>
  <c r="H332" i="27"/>
  <c r="G332" i="27"/>
  <c r="F332" i="27"/>
  <c r="E332" i="27"/>
  <c r="D332" i="27"/>
  <c r="C332" i="27"/>
  <c r="B332" i="27"/>
  <c r="A332" i="27"/>
  <c r="L331" i="27"/>
  <c r="K331" i="27"/>
  <c r="J331" i="27"/>
  <c r="I331" i="27"/>
  <c r="H331" i="27"/>
  <c r="G331" i="27"/>
  <c r="F331" i="27"/>
  <c r="E331" i="27"/>
  <c r="D331" i="27"/>
  <c r="C331" i="27"/>
  <c r="B331" i="27"/>
  <c r="A331" i="27"/>
  <c r="L330" i="27"/>
  <c r="K330" i="27"/>
  <c r="J330" i="27"/>
  <c r="I330" i="27"/>
  <c r="H330" i="27"/>
  <c r="G330" i="27"/>
  <c r="F330" i="27"/>
  <c r="E330" i="27"/>
  <c r="D330" i="27"/>
  <c r="C330" i="27"/>
  <c r="B330" i="27"/>
  <c r="A330" i="27"/>
  <c r="L329" i="27"/>
  <c r="K329" i="27"/>
  <c r="J329" i="27"/>
  <c r="I329" i="27"/>
  <c r="H329" i="27"/>
  <c r="G329" i="27"/>
  <c r="F329" i="27"/>
  <c r="E329" i="27"/>
  <c r="D329" i="27"/>
  <c r="C329" i="27"/>
  <c r="B329" i="27"/>
  <c r="A329" i="27"/>
  <c r="L328" i="27"/>
  <c r="K328" i="27"/>
  <c r="J328" i="27"/>
  <c r="I328" i="27"/>
  <c r="H328" i="27"/>
  <c r="G328" i="27"/>
  <c r="F328" i="27"/>
  <c r="E328" i="27"/>
  <c r="D328" i="27"/>
  <c r="C328" i="27"/>
  <c r="B328" i="27"/>
  <c r="A328" i="27"/>
  <c r="L327" i="27"/>
  <c r="K327" i="27"/>
  <c r="J327" i="27"/>
  <c r="I327" i="27"/>
  <c r="H327" i="27"/>
  <c r="G327" i="27"/>
  <c r="F327" i="27"/>
  <c r="E327" i="27"/>
  <c r="D327" i="27"/>
  <c r="C327" i="27"/>
  <c r="B327" i="27"/>
  <c r="A327" i="27"/>
  <c r="L326" i="27"/>
  <c r="K326" i="27"/>
  <c r="J326" i="27"/>
  <c r="I326" i="27"/>
  <c r="H326" i="27"/>
  <c r="G326" i="27"/>
  <c r="F326" i="27"/>
  <c r="E326" i="27"/>
  <c r="D326" i="27"/>
  <c r="C326" i="27"/>
  <c r="B326" i="27"/>
  <c r="A326" i="27"/>
  <c r="L325" i="27"/>
  <c r="K325" i="27"/>
  <c r="J325" i="27"/>
  <c r="I325" i="27"/>
  <c r="H325" i="27"/>
  <c r="G325" i="27"/>
  <c r="F325" i="27"/>
  <c r="E325" i="27"/>
  <c r="D325" i="27"/>
  <c r="C325" i="27"/>
  <c r="B325" i="27"/>
  <c r="A325" i="27"/>
  <c r="L324" i="27"/>
  <c r="K324" i="27"/>
  <c r="J324" i="27"/>
  <c r="I324" i="27"/>
  <c r="H324" i="27"/>
  <c r="G324" i="27"/>
  <c r="F324" i="27"/>
  <c r="E324" i="27"/>
  <c r="D324" i="27"/>
  <c r="C324" i="27"/>
  <c r="B324" i="27"/>
  <c r="A324" i="27"/>
  <c r="L323" i="27"/>
  <c r="K323" i="27"/>
  <c r="J323" i="27"/>
  <c r="I323" i="27"/>
  <c r="H323" i="27"/>
  <c r="G323" i="27"/>
  <c r="F323" i="27"/>
  <c r="E323" i="27"/>
  <c r="D323" i="27"/>
  <c r="C323" i="27"/>
  <c r="B323" i="27"/>
  <c r="A323" i="27"/>
  <c r="L322" i="27"/>
  <c r="K322" i="27"/>
  <c r="J322" i="27"/>
  <c r="I322" i="27"/>
  <c r="H322" i="27"/>
  <c r="G322" i="27"/>
  <c r="F322" i="27"/>
  <c r="E322" i="27"/>
  <c r="D322" i="27"/>
  <c r="C322" i="27"/>
  <c r="B322" i="27"/>
  <c r="A322" i="27"/>
  <c r="L321" i="27"/>
  <c r="K321" i="27"/>
  <c r="J321" i="27"/>
  <c r="I321" i="27"/>
  <c r="H321" i="27"/>
  <c r="G321" i="27"/>
  <c r="F321" i="27"/>
  <c r="E321" i="27"/>
  <c r="D321" i="27"/>
  <c r="C321" i="27"/>
  <c r="B321" i="27"/>
  <c r="A321" i="27"/>
  <c r="L320" i="27"/>
  <c r="K320" i="27"/>
  <c r="J320" i="27"/>
  <c r="I320" i="27"/>
  <c r="H320" i="27"/>
  <c r="G320" i="27"/>
  <c r="F320" i="27"/>
  <c r="E320" i="27"/>
  <c r="D320" i="27"/>
  <c r="C320" i="27"/>
  <c r="B320" i="27"/>
  <c r="A320" i="27"/>
  <c r="L319" i="27"/>
  <c r="K319" i="27"/>
  <c r="J319" i="27"/>
  <c r="I319" i="27"/>
  <c r="H319" i="27"/>
  <c r="G319" i="27"/>
  <c r="F319" i="27"/>
  <c r="E319" i="27"/>
  <c r="D319" i="27"/>
  <c r="C319" i="27"/>
  <c r="B319" i="27"/>
  <c r="A319" i="27"/>
  <c r="L318" i="27"/>
  <c r="K318" i="27"/>
  <c r="J318" i="27"/>
  <c r="I318" i="27"/>
  <c r="H318" i="27"/>
  <c r="G318" i="27"/>
  <c r="F318" i="27"/>
  <c r="E318" i="27"/>
  <c r="D318" i="27"/>
  <c r="C318" i="27"/>
  <c r="B318" i="27"/>
  <c r="A318" i="27"/>
  <c r="L317" i="27"/>
  <c r="K317" i="27"/>
  <c r="J317" i="27"/>
  <c r="I317" i="27"/>
  <c r="H317" i="27"/>
  <c r="G317" i="27"/>
  <c r="F317" i="27"/>
  <c r="E317" i="27"/>
  <c r="D317" i="27"/>
  <c r="C317" i="27"/>
  <c r="B317" i="27"/>
  <c r="A317" i="27"/>
  <c r="L316" i="27"/>
  <c r="K316" i="27"/>
  <c r="J316" i="27"/>
  <c r="I316" i="27"/>
  <c r="H316" i="27"/>
  <c r="G316" i="27"/>
  <c r="F316" i="27"/>
  <c r="E316" i="27"/>
  <c r="D316" i="27"/>
  <c r="C316" i="27"/>
  <c r="B316" i="27"/>
  <c r="A316" i="27"/>
  <c r="L315" i="27"/>
  <c r="K315" i="27"/>
  <c r="J315" i="27"/>
  <c r="I315" i="27"/>
  <c r="H315" i="27"/>
  <c r="G315" i="27"/>
  <c r="F315" i="27"/>
  <c r="E315" i="27"/>
  <c r="D315" i="27"/>
  <c r="C315" i="27"/>
  <c r="B315" i="27"/>
  <c r="A315" i="27"/>
  <c r="L314" i="27"/>
  <c r="K314" i="27"/>
  <c r="J314" i="27"/>
  <c r="I314" i="27"/>
  <c r="H314" i="27"/>
  <c r="G314" i="27"/>
  <c r="F314" i="27"/>
  <c r="E314" i="27"/>
  <c r="D314" i="27"/>
  <c r="C314" i="27"/>
  <c r="B314" i="27"/>
  <c r="A314" i="27"/>
  <c r="L313" i="27"/>
  <c r="K313" i="27"/>
  <c r="J313" i="27"/>
  <c r="I313" i="27"/>
  <c r="H313" i="27"/>
  <c r="G313" i="27"/>
  <c r="F313" i="27"/>
  <c r="E313" i="27"/>
  <c r="D313" i="27"/>
  <c r="C313" i="27"/>
  <c r="B313" i="27"/>
  <c r="A313" i="27"/>
  <c r="L312" i="27"/>
  <c r="K312" i="27"/>
  <c r="J312" i="27"/>
  <c r="I312" i="27"/>
  <c r="H312" i="27"/>
  <c r="G312" i="27"/>
  <c r="F312" i="27"/>
  <c r="E312" i="27"/>
  <c r="D312" i="27"/>
  <c r="C312" i="27"/>
  <c r="B312" i="27"/>
  <c r="A312" i="27"/>
  <c r="L311" i="27"/>
  <c r="K311" i="27"/>
  <c r="J311" i="27"/>
  <c r="I311" i="27"/>
  <c r="H311" i="27"/>
  <c r="G311" i="27"/>
  <c r="F311" i="27"/>
  <c r="E311" i="27"/>
  <c r="D311" i="27"/>
  <c r="C311" i="27"/>
  <c r="B311" i="27"/>
  <c r="A311" i="27"/>
  <c r="L310" i="27"/>
  <c r="K310" i="27"/>
  <c r="J310" i="27"/>
  <c r="I310" i="27"/>
  <c r="H310" i="27"/>
  <c r="G310" i="27"/>
  <c r="F310" i="27"/>
  <c r="E310" i="27"/>
  <c r="D310" i="27"/>
  <c r="C310" i="27"/>
  <c r="B310" i="27"/>
  <c r="A310" i="27"/>
  <c r="L309" i="27"/>
  <c r="K309" i="27"/>
  <c r="J309" i="27"/>
  <c r="I309" i="27"/>
  <c r="H309" i="27"/>
  <c r="G309" i="27"/>
  <c r="F309" i="27"/>
  <c r="E309" i="27"/>
  <c r="D309" i="27"/>
  <c r="C309" i="27"/>
  <c r="B309" i="27"/>
  <c r="A309" i="27"/>
  <c r="L308" i="27"/>
  <c r="K308" i="27"/>
  <c r="J308" i="27"/>
  <c r="I308" i="27"/>
  <c r="H308" i="27"/>
  <c r="G308" i="27"/>
  <c r="F308" i="27"/>
  <c r="E308" i="27"/>
  <c r="D308" i="27"/>
  <c r="C308" i="27"/>
  <c r="B308" i="27"/>
  <c r="A308" i="27"/>
  <c r="L307" i="27"/>
  <c r="K307" i="27"/>
  <c r="J307" i="27"/>
  <c r="I307" i="27"/>
  <c r="H307" i="27"/>
  <c r="G307" i="27"/>
  <c r="F307" i="27"/>
  <c r="E307" i="27"/>
  <c r="D307" i="27"/>
  <c r="C307" i="27"/>
  <c r="B307" i="27"/>
  <c r="A307" i="27"/>
  <c r="L306" i="27"/>
  <c r="K306" i="27"/>
  <c r="J306" i="27"/>
  <c r="I306" i="27"/>
  <c r="H306" i="27"/>
  <c r="G306" i="27"/>
  <c r="F306" i="27"/>
  <c r="E306" i="27"/>
  <c r="D306" i="27"/>
  <c r="C306" i="27"/>
  <c r="B306" i="27"/>
  <c r="A306" i="27"/>
  <c r="L305" i="27"/>
  <c r="K305" i="27"/>
  <c r="J305" i="27"/>
  <c r="I305" i="27"/>
  <c r="H305" i="27"/>
  <c r="G305" i="27"/>
  <c r="F305" i="27"/>
  <c r="E305" i="27"/>
  <c r="D305" i="27"/>
  <c r="C305" i="27"/>
  <c r="B305" i="27"/>
  <c r="A305" i="27"/>
  <c r="L304" i="27"/>
  <c r="K304" i="27"/>
  <c r="J304" i="27"/>
  <c r="I304" i="27"/>
  <c r="H304" i="27"/>
  <c r="G304" i="27"/>
  <c r="F304" i="27"/>
  <c r="E304" i="27"/>
  <c r="D304" i="27"/>
  <c r="C304" i="27"/>
  <c r="B304" i="27"/>
  <c r="A304" i="27"/>
  <c r="L303" i="27"/>
  <c r="K303" i="27"/>
  <c r="J303" i="27"/>
  <c r="I303" i="27"/>
  <c r="H303" i="27"/>
  <c r="G303" i="27"/>
  <c r="F303" i="27"/>
  <c r="E303" i="27"/>
  <c r="D303" i="27"/>
  <c r="C303" i="27"/>
  <c r="B303" i="27"/>
  <c r="A303" i="27"/>
  <c r="L302" i="27"/>
  <c r="K302" i="27"/>
  <c r="J302" i="27"/>
  <c r="I302" i="27"/>
  <c r="H302" i="27"/>
  <c r="G302" i="27"/>
  <c r="F302" i="27"/>
  <c r="E302" i="27"/>
  <c r="D302" i="27"/>
  <c r="C302" i="27"/>
  <c r="B302" i="27"/>
  <c r="A302" i="27"/>
  <c r="L301" i="27"/>
  <c r="K301" i="27"/>
  <c r="J301" i="27"/>
  <c r="I301" i="27"/>
  <c r="H301" i="27"/>
  <c r="G301" i="27"/>
  <c r="F301" i="27"/>
  <c r="E301" i="27"/>
  <c r="D301" i="27"/>
  <c r="C301" i="27"/>
  <c r="B301" i="27"/>
  <c r="A301" i="27"/>
  <c r="L300" i="27"/>
  <c r="K300" i="27"/>
  <c r="J300" i="27"/>
  <c r="I300" i="27"/>
  <c r="H300" i="27"/>
  <c r="G300" i="27"/>
  <c r="F300" i="27"/>
  <c r="E300" i="27"/>
  <c r="D300" i="27"/>
  <c r="C300" i="27"/>
  <c r="B300" i="27"/>
  <c r="A300" i="27"/>
  <c r="L299" i="27"/>
  <c r="K299" i="27"/>
  <c r="J299" i="27"/>
  <c r="I299" i="27"/>
  <c r="H299" i="27"/>
  <c r="G299" i="27"/>
  <c r="F299" i="27"/>
  <c r="E299" i="27"/>
  <c r="D299" i="27"/>
  <c r="C299" i="27"/>
  <c r="B299" i="27"/>
  <c r="A299" i="27"/>
  <c r="L298" i="27"/>
  <c r="K298" i="27"/>
  <c r="J298" i="27"/>
  <c r="I298" i="27"/>
  <c r="H298" i="27"/>
  <c r="G298" i="27"/>
  <c r="F298" i="27"/>
  <c r="E298" i="27"/>
  <c r="D298" i="27"/>
  <c r="C298" i="27"/>
  <c r="B298" i="27"/>
  <c r="A298" i="27"/>
  <c r="L297" i="27"/>
  <c r="K297" i="27"/>
  <c r="J297" i="27"/>
  <c r="I297" i="27"/>
  <c r="H297" i="27"/>
  <c r="G297" i="27"/>
  <c r="F297" i="27"/>
  <c r="E297" i="27"/>
  <c r="D297" i="27"/>
  <c r="C297" i="27"/>
  <c r="B297" i="27"/>
  <c r="A297" i="27"/>
  <c r="L296" i="27"/>
  <c r="K296" i="27"/>
  <c r="J296" i="27"/>
  <c r="I296" i="27"/>
  <c r="H296" i="27"/>
  <c r="G296" i="27"/>
  <c r="F296" i="27"/>
  <c r="E296" i="27"/>
  <c r="D296" i="27"/>
  <c r="C296" i="27"/>
  <c r="B296" i="27"/>
  <c r="A296" i="27"/>
  <c r="L295" i="27"/>
  <c r="K295" i="27"/>
  <c r="J295" i="27"/>
  <c r="I295" i="27"/>
  <c r="H295" i="27"/>
  <c r="G295" i="27"/>
  <c r="F295" i="27"/>
  <c r="E295" i="27"/>
  <c r="D295" i="27"/>
  <c r="C295" i="27"/>
  <c r="B295" i="27"/>
  <c r="A295" i="27"/>
  <c r="L294" i="27"/>
  <c r="K294" i="27"/>
  <c r="J294" i="27"/>
  <c r="I294" i="27"/>
  <c r="H294" i="27"/>
  <c r="G294" i="27"/>
  <c r="F294" i="27"/>
  <c r="E294" i="27"/>
  <c r="D294" i="27"/>
  <c r="C294" i="27"/>
  <c r="B294" i="27"/>
  <c r="A294" i="27"/>
  <c r="L293" i="27"/>
  <c r="K293" i="27"/>
  <c r="J293" i="27"/>
  <c r="I293" i="27"/>
  <c r="H293" i="27"/>
  <c r="G293" i="27"/>
  <c r="F293" i="27"/>
  <c r="E293" i="27"/>
  <c r="D293" i="27"/>
  <c r="C293" i="27"/>
  <c r="B293" i="27"/>
  <c r="A293" i="27"/>
  <c r="L292" i="27"/>
  <c r="K292" i="27"/>
  <c r="J292" i="27"/>
  <c r="I292" i="27"/>
  <c r="H292" i="27"/>
  <c r="G292" i="27"/>
  <c r="F292" i="27"/>
  <c r="E292" i="27"/>
  <c r="D292" i="27"/>
  <c r="C292" i="27"/>
  <c r="B292" i="27"/>
  <c r="A292" i="27"/>
  <c r="L291" i="27"/>
  <c r="K291" i="27"/>
  <c r="J291" i="27"/>
  <c r="I291" i="27"/>
  <c r="H291" i="27"/>
  <c r="G291" i="27"/>
  <c r="F291" i="27"/>
  <c r="E291" i="27"/>
  <c r="D291" i="27"/>
  <c r="C291" i="27"/>
  <c r="B291" i="27"/>
  <c r="A291" i="27"/>
  <c r="L290" i="27"/>
  <c r="K290" i="27"/>
  <c r="J290" i="27"/>
  <c r="I290" i="27"/>
  <c r="H290" i="27"/>
  <c r="G290" i="27"/>
  <c r="F290" i="27"/>
  <c r="E290" i="27"/>
  <c r="D290" i="27"/>
  <c r="C290" i="27"/>
  <c r="B290" i="27"/>
  <c r="A290" i="27"/>
  <c r="L289" i="27"/>
  <c r="K289" i="27"/>
  <c r="J289" i="27"/>
  <c r="I289" i="27"/>
  <c r="H289" i="27"/>
  <c r="G289" i="27"/>
  <c r="F289" i="27"/>
  <c r="E289" i="27"/>
  <c r="D289" i="27"/>
  <c r="C289" i="27"/>
  <c r="B289" i="27"/>
  <c r="A289" i="27"/>
  <c r="L288" i="27"/>
  <c r="K288" i="27"/>
  <c r="J288" i="27"/>
  <c r="I288" i="27"/>
  <c r="H288" i="27"/>
  <c r="G288" i="27"/>
  <c r="F288" i="27"/>
  <c r="E288" i="27"/>
  <c r="D288" i="27"/>
  <c r="C288" i="27"/>
  <c r="B288" i="27"/>
  <c r="A288" i="27"/>
  <c r="L287" i="27"/>
  <c r="K287" i="27"/>
  <c r="J287" i="27"/>
  <c r="I287" i="27"/>
  <c r="H287" i="27"/>
  <c r="G287" i="27"/>
  <c r="F287" i="27"/>
  <c r="E287" i="27"/>
  <c r="D287" i="27"/>
  <c r="C287" i="27"/>
  <c r="B287" i="27"/>
  <c r="A287" i="27"/>
  <c r="L286" i="27"/>
  <c r="K286" i="27"/>
  <c r="J286" i="27"/>
  <c r="I286" i="27"/>
  <c r="H286" i="27"/>
  <c r="G286" i="27"/>
  <c r="F286" i="27"/>
  <c r="E286" i="27"/>
  <c r="D286" i="27"/>
  <c r="C286" i="27"/>
  <c r="B286" i="27"/>
  <c r="A286" i="27"/>
  <c r="L285" i="27"/>
  <c r="K285" i="27"/>
  <c r="J285" i="27"/>
  <c r="I285" i="27"/>
  <c r="H285" i="27"/>
  <c r="G285" i="27"/>
  <c r="F285" i="27"/>
  <c r="E285" i="27"/>
  <c r="D285" i="27"/>
  <c r="C285" i="27"/>
  <c r="B285" i="27"/>
  <c r="A285" i="27"/>
  <c r="L284" i="27"/>
  <c r="K284" i="27"/>
  <c r="J284" i="27"/>
  <c r="I284" i="27"/>
  <c r="H284" i="27"/>
  <c r="G284" i="27"/>
  <c r="F284" i="27"/>
  <c r="E284" i="27"/>
  <c r="D284" i="27"/>
  <c r="C284" i="27"/>
  <c r="B284" i="27"/>
  <c r="A284" i="27"/>
  <c r="L283" i="27"/>
  <c r="K283" i="27"/>
  <c r="J283" i="27"/>
  <c r="I283" i="27"/>
  <c r="H283" i="27"/>
  <c r="G283" i="27"/>
  <c r="F283" i="27"/>
  <c r="E283" i="27"/>
  <c r="D283" i="27"/>
  <c r="C283" i="27"/>
  <c r="B283" i="27"/>
  <c r="A283" i="27"/>
  <c r="L282" i="27"/>
  <c r="K282" i="27"/>
  <c r="J282" i="27"/>
  <c r="I282" i="27"/>
  <c r="H282" i="27"/>
  <c r="G282" i="27"/>
  <c r="F282" i="27"/>
  <c r="E282" i="27"/>
  <c r="D282" i="27"/>
  <c r="C282" i="27"/>
  <c r="B282" i="27"/>
  <c r="A282" i="27"/>
  <c r="L281" i="27"/>
  <c r="K281" i="27"/>
  <c r="J281" i="27"/>
  <c r="I281" i="27"/>
  <c r="H281" i="27"/>
  <c r="G281" i="27"/>
  <c r="F281" i="27"/>
  <c r="E281" i="27"/>
  <c r="D281" i="27"/>
  <c r="C281" i="27"/>
  <c r="B281" i="27"/>
  <c r="A281" i="27"/>
  <c r="L280" i="27"/>
  <c r="K280" i="27"/>
  <c r="J280" i="27"/>
  <c r="I280" i="27"/>
  <c r="H280" i="27"/>
  <c r="G280" i="27"/>
  <c r="F280" i="27"/>
  <c r="E280" i="27"/>
  <c r="D280" i="27"/>
  <c r="C280" i="27"/>
  <c r="B280" i="27"/>
  <c r="A280" i="27"/>
  <c r="L279" i="27"/>
  <c r="K279" i="27"/>
  <c r="J279" i="27"/>
  <c r="I279" i="27"/>
  <c r="H279" i="27"/>
  <c r="G279" i="27"/>
  <c r="F279" i="27"/>
  <c r="E279" i="27"/>
  <c r="D279" i="27"/>
  <c r="C279" i="27"/>
  <c r="B279" i="27"/>
  <c r="A279" i="27"/>
  <c r="L278" i="27"/>
  <c r="K278" i="27"/>
  <c r="J278" i="27"/>
  <c r="I278" i="27"/>
  <c r="H278" i="27"/>
  <c r="G278" i="27"/>
  <c r="F278" i="27"/>
  <c r="E278" i="27"/>
  <c r="D278" i="27"/>
  <c r="C278" i="27"/>
  <c r="B278" i="27"/>
  <c r="A278" i="27"/>
  <c r="L277" i="27"/>
  <c r="K277" i="27"/>
  <c r="J277" i="27"/>
  <c r="I277" i="27"/>
  <c r="H277" i="27"/>
  <c r="G277" i="27"/>
  <c r="F277" i="27"/>
  <c r="E277" i="27"/>
  <c r="D277" i="27"/>
  <c r="C277" i="27"/>
  <c r="B277" i="27"/>
  <c r="A277" i="27"/>
  <c r="L276" i="27"/>
  <c r="K276" i="27"/>
  <c r="J276" i="27"/>
  <c r="I276" i="27"/>
  <c r="H276" i="27"/>
  <c r="G276" i="27"/>
  <c r="F276" i="27"/>
  <c r="E276" i="27"/>
  <c r="D276" i="27"/>
  <c r="C276" i="27"/>
  <c r="B276" i="27"/>
  <c r="A276" i="27"/>
  <c r="L275" i="27"/>
  <c r="K275" i="27"/>
  <c r="J275" i="27"/>
  <c r="I275" i="27"/>
  <c r="H275" i="27"/>
  <c r="G275" i="27"/>
  <c r="F275" i="27"/>
  <c r="E275" i="27"/>
  <c r="D275" i="27"/>
  <c r="C275" i="27"/>
  <c r="B275" i="27"/>
  <c r="A275" i="27"/>
  <c r="L274" i="27"/>
  <c r="K274" i="27"/>
  <c r="J274" i="27"/>
  <c r="I274" i="27"/>
  <c r="H274" i="27"/>
  <c r="G274" i="27"/>
  <c r="F274" i="27"/>
  <c r="E274" i="27"/>
  <c r="D274" i="27"/>
  <c r="C274" i="27"/>
  <c r="B274" i="27"/>
  <c r="A274" i="27"/>
  <c r="L273" i="27"/>
  <c r="K273" i="27"/>
  <c r="J273" i="27"/>
  <c r="I273" i="27"/>
  <c r="H273" i="27"/>
  <c r="G273" i="27"/>
  <c r="F273" i="27"/>
  <c r="E273" i="27"/>
  <c r="D273" i="27"/>
  <c r="C273" i="27"/>
  <c r="B273" i="27"/>
  <c r="A273" i="27"/>
  <c r="L272" i="27"/>
  <c r="K272" i="27"/>
  <c r="J272" i="27"/>
  <c r="I272" i="27"/>
  <c r="H272" i="27"/>
  <c r="G272" i="27"/>
  <c r="F272" i="27"/>
  <c r="E272" i="27"/>
  <c r="D272" i="27"/>
  <c r="C272" i="27"/>
  <c r="B272" i="27"/>
  <c r="A272" i="27"/>
  <c r="L271" i="27"/>
  <c r="K271" i="27"/>
  <c r="J271" i="27"/>
  <c r="I271" i="27"/>
  <c r="H271" i="27"/>
  <c r="G271" i="27"/>
  <c r="F271" i="27"/>
  <c r="E271" i="27"/>
  <c r="D271" i="27"/>
  <c r="C271" i="27"/>
  <c r="B271" i="27"/>
  <c r="A271" i="27"/>
  <c r="L270" i="27"/>
  <c r="K270" i="27"/>
  <c r="J270" i="27"/>
  <c r="I270" i="27"/>
  <c r="H270" i="27"/>
  <c r="G270" i="27"/>
  <c r="F270" i="27"/>
  <c r="E270" i="27"/>
  <c r="D270" i="27"/>
  <c r="C270" i="27"/>
  <c r="B270" i="27"/>
  <c r="A270" i="27"/>
  <c r="L269" i="27"/>
  <c r="K269" i="27"/>
  <c r="J269" i="27"/>
  <c r="I269" i="27"/>
  <c r="H269" i="27"/>
  <c r="G269" i="27"/>
  <c r="F269" i="27"/>
  <c r="E269" i="27"/>
  <c r="D269" i="27"/>
  <c r="C269" i="27"/>
  <c r="B269" i="27"/>
  <c r="A269" i="27"/>
  <c r="L268" i="27"/>
  <c r="K268" i="27"/>
  <c r="J268" i="27"/>
  <c r="I268" i="27"/>
  <c r="H268" i="27"/>
  <c r="G268" i="27"/>
  <c r="F268" i="27"/>
  <c r="E268" i="27"/>
  <c r="D268" i="27"/>
  <c r="C268" i="27"/>
  <c r="B268" i="27"/>
  <c r="A268" i="27"/>
  <c r="L267" i="27"/>
  <c r="K267" i="27"/>
  <c r="J267" i="27"/>
  <c r="I267" i="27"/>
  <c r="H267" i="27"/>
  <c r="G267" i="27"/>
  <c r="F267" i="27"/>
  <c r="E267" i="27"/>
  <c r="D267" i="27"/>
  <c r="C267" i="27"/>
  <c r="B267" i="27"/>
  <c r="A267" i="27"/>
  <c r="L266" i="27"/>
  <c r="K266" i="27"/>
  <c r="J266" i="27"/>
  <c r="I266" i="27"/>
  <c r="H266" i="27"/>
  <c r="G266" i="27"/>
  <c r="F266" i="27"/>
  <c r="E266" i="27"/>
  <c r="D266" i="27"/>
  <c r="C266" i="27"/>
  <c r="B266" i="27"/>
  <c r="A266" i="27"/>
  <c r="L265" i="27"/>
  <c r="K265" i="27"/>
  <c r="J265" i="27"/>
  <c r="I265" i="27"/>
  <c r="H265" i="27"/>
  <c r="G265" i="27"/>
  <c r="F265" i="27"/>
  <c r="E265" i="27"/>
  <c r="D265" i="27"/>
  <c r="C265" i="27"/>
  <c r="B265" i="27"/>
  <c r="A265" i="27"/>
  <c r="L264" i="27"/>
  <c r="K264" i="27"/>
  <c r="J264" i="27"/>
  <c r="I264" i="27"/>
  <c r="H264" i="27"/>
  <c r="G264" i="27"/>
  <c r="F264" i="27"/>
  <c r="E264" i="27"/>
  <c r="D264" i="27"/>
  <c r="C264" i="27"/>
  <c r="B264" i="27"/>
  <c r="A264" i="27"/>
  <c r="L263" i="27"/>
  <c r="K263" i="27"/>
  <c r="J263" i="27"/>
  <c r="I263" i="27"/>
  <c r="H263" i="27"/>
  <c r="G263" i="27"/>
  <c r="F263" i="27"/>
  <c r="E263" i="27"/>
  <c r="D263" i="27"/>
  <c r="C263" i="27"/>
  <c r="B263" i="27"/>
  <c r="A263" i="27"/>
  <c r="L262" i="27"/>
  <c r="K262" i="27"/>
  <c r="J262" i="27"/>
  <c r="I262" i="27"/>
  <c r="H262" i="27"/>
  <c r="G262" i="27"/>
  <c r="F262" i="27"/>
  <c r="E262" i="27"/>
  <c r="D262" i="27"/>
  <c r="C262" i="27"/>
  <c r="B262" i="27"/>
  <c r="A262" i="27"/>
  <c r="L261" i="27"/>
  <c r="K261" i="27"/>
  <c r="J261" i="27"/>
  <c r="I261" i="27"/>
  <c r="H261" i="27"/>
  <c r="G261" i="27"/>
  <c r="F261" i="27"/>
  <c r="E261" i="27"/>
  <c r="D261" i="27"/>
  <c r="C261" i="27"/>
  <c r="B261" i="27"/>
  <c r="A261" i="27"/>
  <c r="L260" i="27"/>
  <c r="K260" i="27"/>
  <c r="J260" i="27"/>
  <c r="I260" i="27"/>
  <c r="H260" i="27"/>
  <c r="G260" i="27"/>
  <c r="F260" i="27"/>
  <c r="E260" i="27"/>
  <c r="D260" i="27"/>
  <c r="C260" i="27"/>
  <c r="B260" i="27"/>
  <c r="A260" i="27"/>
  <c r="L259" i="27"/>
  <c r="K259" i="27"/>
  <c r="J259" i="27"/>
  <c r="I259" i="27"/>
  <c r="H259" i="27"/>
  <c r="G259" i="27"/>
  <c r="F259" i="27"/>
  <c r="E259" i="27"/>
  <c r="D259" i="27"/>
  <c r="C259" i="27"/>
  <c r="B259" i="27"/>
  <c r="A259" i="27"/>
  <c r="L258" i="27"/>
  <c r="K258" i="27"/>
  <c r="J258" i="27"/>
  <c r="I258" i="27"/>
  <c r="H258" i="27"/>
  <c r="G258" i="27"/>
  <c r="F258" i="27"/>
  <c r="E258" i="27"/>
  <c r="D258" i="27"/>
  <c r="C258" i="27"/>
  <c r="B258" i="27"/>
  <c r="A258" i="27"/>
  <c r="L257" i="27"/>
  <c r="K257" i="27"/>
  <c r="J257" i="27"/>
  <c r="I257" i="27"/>
  <c r="H257" i="27"/>
  <c r="G257" i="27"/>
  <c r="F257" i="27"/>
  <c r="E257" i="27"/>
  <c r="D257" i="27"/>
  <c r="C257" i="27"/>
  <c r="B257" i="27"/>
  <c r="A257" i="27"/>
  <c r="L256" i="27"/>
  <c r="K256" i="27"/>
  <c r="J256" i="27"/>
  <c r="I256" i="27"/>
  <c r="H256" i="27"/>
  <c r="G256" i="27"/>
  <c r="F256" i="27"/>
  <c r="E256" i="27"/>
  <c r="D256" i="27"/>
  <c r="C256" i="27"/>
  <c r="B256" i="27"/>
  <c r="A256" i="27"/>
  <c r="L255" i="27"/>
  <c r="K255" i="27"/>
  <c r="J255" i="27"/>
  <c r="I255" i="27"/>
  <c r="H255" i="27"/>
  <c r="G255" i="27"/>
  <c r="F255" i="27"/>
  <c r="E255" i="27"/>
  <c r="D255" i="27"/>
  <c r="C255" i="27"/>
  <c r="B255" i="27"/>
  <c r="A255" i="27"/>
  <c r="L254" i="27"/>
  <c r="K254" i="27"/>
  <c r="J254" i="27"/>
  <c r="I254" i="27"/>
  <c r="H254" i="27"/>
  <c r="G254" i="27"/>
  <c r="F254" i="27"/>
  <c r="E254" i="27"/>
  <c r="D254" i="27"/>
  <c r="C254" i="27"/>
  <c r="B254" i="27"/>
  <c r="A254" i="27"/>
  <c r="L253" i="27"/>
  <c r="K253" i="27"/>
  <c r="J253" i="27"/>
  <c r="I253" i="27"/>
  <c r="H253" i="27"/>
  <c r="G253" i="27"/>
  <c r="F253" i="27"/>
  <c r="E253" i="27"/>
  <c r="D253" i="27"/>
  <c r="C253" i="27"/>
  <c r="B253" i="27"/>
  <c r="A253" i="27"/>
  <c r="L252" i="27"/>
  <c r="K252" i="27"/>
  <c r="J252" i="27"/>
  <c r="I252" i="27"/>
  <c r="H252" i="27"/>
  <c r="G252" i="27"/>
  <c r="F252" i="27"/>
  <c r="E252" i="27"/>
  <c r="D252" i="27"/>
  <c r="C252" i="27"/>
  <c r="B252" i="27"/>
  <c r="A252" i="27"/>
  <c r="L251" i="27"/>
  <c r="K251" i="27"/>
  <c r="J251" i="27"/>
  <c r="I251" i="27"/>
  <c r="H251" i="27"/>
  <c r="G251" i="27"/>
  <c r="F251" i="27"/>
  <c r="E251" i="27"/>
  <c r="D251" i="27"/>
  <c r="C251" i="27"/>
  <c r="B251" i="27"/>
  <c r="A251" i="27"/>
  <c r="L250" i="27"/>
  <c r="K250" i="27"/>
  <c r="J250" i="27"/>
  <c r="I250" i="27"/>
  <c r="H250" i="27"/>
  <c r="G250" i="27"/>
  <c r="F250" i="27"/>
  <c r="E250" i="27"/>
  <c r="D250" i="27"/>
  <c r="C250" i="27"/>
  <c r="B250" i="27"/>
  <c r="A250" i="27"/>
  <c r="L249" i="27"/>
  <c r="K249" i="27"/>
  <c r="J249" i="27"/>
  <c r="I249" i="27"/>
  <c r="H249" i="27"/>
  <c r="G249" i="27"/>
  <c r="F249" i="27"/>
  <c r="E249" i="27"/>
  <c r="D249" i="27"/>
  <c r="C249" i="27"/>
  <c r="B249" i="27"/>
  <c r="A249" i="27"/>
  <c r="L248" i="27"/>
  <c r="K248" i="27"/>
  <c r="J248" i="27"/>
  <c r="I248" i="27"/>
  <c r="H248" i="27"/>
  <c r="G248" i="27"/>
  <c r="F248" i="27"/>
  <c r="E248" i="27"/>
  <c r="D248" i="27"/>
  <c r="C248" i="27"/>
  <c r="B248" i="27"/>
  <c r="A248" i="27"/>
  <c r="L247" i="27"/>
  <c r="K247" i="27"/>
  <c r="J247" i="27"/>
  <c r="I247" i="27"/>
  <c r="H247" i="27"/>
  <c r="G247" i="27"/>
  <c r="F247" i="27"/>
  <c r="E247" i="27"/>
  <c r="D247" i="27"/>
  <c r="C247" i="27"/>
  <c r="B247" i="27"/>
  <c r="A247" i="27"/>
  <c r="L246" i="27"/>
  <c r="K246" i="27"/>
  <c r="J246" i="27"/>
  <c r="I246" i="27"/>
  <c r="H246" i="27"/>
  <c r="G246" i="27"/>
  <c r="F246" i="27"/>
  <c r="E246" i="27"/>
  <c r="D246" i="27"/>
  <c r="C246" i="27"/>
  <c r="B246" i="27"/>
  <c r="A246" i="27"/>
  <c r="L245" i="27"/>
  <c r="K245" i="27"/>
  <c r="J245" i="27"/>
  <c r="I245" i="27"/>
  <c r="H245" i="27"/>
  <c r="G245" i="27"/>
  <c r="F245" i="27"/>
  <c r="E245" i="27"/>
  <c r="D245" i="27"/>
  <c r="C245" i="27"/>
  <c r="B245" i="27"/>
  <c r="A245" i="27"/>
  <c r="L244" i="27"/>
  <c r="K244" i="27"/>
  <c r="J244" i="27"/>
  <c r="I244" i="27"/>
  <c r="H244" i="27"/>
  <c r="G244" i="27"/>
  <c r="F244" i="27"/>
  <c r="E244" i="27"/>
  <c r="D244" i="27"/>
  <c r="C244" i="27"/>
  <c r="B244" i="27"/>
  <c r="A244" i="27"/>
  <c r="L243" i="27"/>
  <c r="K243" i="27"/>
  <c r="J243" i="27"/>
  <c r="I243" i="27"/>
  <c r="H243" i="27"/>
  <c r="G243" i="27"/>
  <c r="F243" i="27"/>
  <c r="E243" i="27"/>
  <c r="D243" i="27"/>
  <c r="C243" i="27"/>
  <c r="B243" i="27"/>
  <c r="A243" i="27"/>
  <c r="L242" i="27"/>
  <c r="K242" i="27"/>
  <c r="J242" i="27"/>
  <c r="I242" i="27"/>
  <c r="H242" i="27"/>
  <c r="G242" i="27"/>
  <c r="F242" i="27"/>
  <c r="E242" i="27"/>
  <c r="D242" i="27"/>
  <c r="C242" i="27"/>
  <c r="B242" i="27"/>
  <c r="A242" i="27"/>
  <c r="L241" i="27"/>
  <c r="K241" i="27"/>
  <c r="J241" i="27"/>
  <c r="I241" i="27"/>
  <c r="H241" i="27"/>
  <c r="G241" i="27"/>
  <c r="F241" i="27"/>
  <c r="E241" i="27"/>
  <c r="D241" i="27"/>
  <c r="C241" i="27"/>
  <c r="B241" i="27"/>
  <c r="A241" i="27"/>
  <c r="L240" i="27"/>
  <c r="K240" i="27"/>
  <c r="J240" i="27"/>
  <c r="I240" i="27"/>
  <c r="H240" i="27"/>
  <c r="G240" i="27"/>
  <c r="F240" i="27"/>
  <c r="E240" i="27"/>
  <c r="D240" i="27"/>
  <c r="C240" i="27"/>
  <c r="B240" i="27"/>
  <c r="A240" i="27"/>
  <c r="L239" i="27"/>
  <c r="K239" i="27"/>
  <c r="J239" i="27"/>
  <c r="I239" i="27"/>
  <c r="H239" i="27"/>
  <c r="G239" i="27"/>
  <c r="F239" i="27"/>
  <c r="E239" i="27"/>
  <c r="D239" i="27"/>
  <c r="C239" i="27"/>
  <c r="B239" i="27"/>
  <c r="A239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L235" i="27"/>
  <c r="K235" i="27"/>
  <c r="J235" i="27"/>
  <c r="I235" i="27"/>
  <c r="H235" i="27"/>
  <c r="G235" i="27"/>
  <c r="F235" i="27"/>
  <c r="E235" i="27"/>
  <c r="D235" i="27"/>
  <c r="C235" i="27"/>
  <c r="B235" i="27"/>
  <c r="A235" i="27"/>
  <c r="L234" i="27"/>
  <c r="K234" i="27"/>
  <c r="J234" i="27"/>
  <c r="I234" i="27"/>
  <c r="H234" i="27"/>
  <c r="G234" i="27"/>
  <c r="F234" i="27"/>
  <c r="E234" i="27"/>
  <c r="D234" i="27"/>
  <c r="C234" i="27"/>
  <c r="B234" i="27"/>
  <c r="A234" i="27"/>
  <c r="L233" i="27"/>
  <c r="K233" i="27"/>
  <c r="J233" i="27"/>
  <c r="I233" i="27"/>
  <c r="H233" i="27"/>
  <c r="G233" i="27"/>
  <c r="F233" i="27"/>
  <c r="E233" i="27"/>
  <c r="D233" i="27"/>
  <c r="C233" i="27"/>
  <c r="B233" i="27"/>
  <c r="A233" i="27"/>
  <c r="L232" i="27"/>
  <c r="K232" i="27"/>
  <c r="J232" i="27"/>
  <c r="I232" i="27"/>
  <c r="H232" i="27"/>
  <c r="G232" i="27"/>
  <c r="F232" i="27"/>
  <c r="E232" i="27"/>
  <c r="D232" i="27"/>
  <c r="C232" i="27"/>
  <c r="B232" i="27"/>
  <c r="A232" i="27"/>
  <c r="L231" i="27"/>
  <c r="K231" i="27"/>
  <c r="J231" i="27"/>
  <c r="I231" i="27"/>
  <c r="H231" i="27"/>
  <c r="G231" i="27"/>
  <c r="F231" i="27"/>
  <c r="E231" i="27"/>
  <c r="D231" i="27"/>
  <c r="C231" i="27"/>
  <c r="B231" i="27"/>
  <c r="A231" i="27"/>
  <c r="L230" i="27"/>
  <c r="K230" i="27"/>
  <c r="J230" i="27"/>
  <c r="I230" i="27"/>
  <c r="H230" i="27"/>
  <c r="G230" i="27"/>
  <c r="F230" i="27"/>
  <c r="E230" i="27"/>
  <c r="D230" i="27"/>
  <c r="C230" i="27"/>
  <c r="B230" i="27"/>
  <c r="A230" i="27"/>
  <c r="L229" i="27"/>
  <c r="K229" i="27"/>
  <c r="J229" i="27"/>
  <c r="I229" i="27"/>
  <c r="H229" i="27"/>
  <c r="G229" i="27"/>
  <c r="F229" i="27"/>
  <c r="E229" i="27"/>
  <c r="D229" i="27"/>
  <c r="C229" i="27"/>
  <c r="B229" i="27"/>
  <c r="A229" i="27"/>
  <c r="L228" i="27"/>
  <c r="K228" i="27"/>
  <c r="J228" i="27"/>
  <c r="I228" i="27"/>
  <c r="H228" i="27"/>
  <c r="G228" i="27"/>
  <c r="F228" i="27"/>
  <c r="E228" i="27"/>
  <c r="D228" i="27"/>
  <c r="C228" i="27"/>
  <c r="B228" i="27"/>
  <c r="A228" i="27"/>
  <c r="L227" i="27"/>
  <c r="K227" i="27"/>
  <c r="J227" i="27"/>
  <c r="I227" i="27"/>
  <c r="H227" i="27"/>
  <c r="G227" i="27"/>
  <c r="F227" i="27"/>
  <c r="E227" i="27"/>
  <c r="D227" i="27"/>
  <c r="C227" i="27"/>
  <c r="B227" i="27"/>
  <c r="A227" i="27"/>
  <c r="L226" i="27"/>
  <c r="K226" i="27"/>
  <c r="J226" i="27"/>
  <c r="I226" i="27"/>
  <c r="H226" i="27"/>
  <c r="G226" i="27"/>
  <c r="F226" i="27"/>
  <c r="E226" i="27"/>
  <c r="D226" i="27"/>
  <c r="C226" i="27"/>
  <c r="B226" i="27"/>
  <c r="A226" i="27"/>
  <c r="L225" i="27"/>
  <c r="K225" i="27"/>
  <c r="J225" i="27"/>
  <c r="I225" i="27"/>
  <c r="H225" i="27"/>
  <c r="G225" i="27"/>
  <c r="F225" i="27"/>
  <c r="E225" i="27"/>
  <c r="D225" i="27"/>
  <c r="C225" i="27"/>
  <c r="B225" i="27"/>
  <c r="A225" i="27"/>
  <c r="L224" i="27"/>
  <c r="K224" i="27"/>
  <c r="J224" i="27"/>
  <c r="I224" i="27"/>
  <c r="H224" i="27"/>
  <c r="G224" i="27"/>
  <c r="F224" i="27"/>
  <c r="E224" i="27"/>
  <c r="D224" i="27"/>
  <c r="C224" i="27"/>
  <c r="B224" i="27"/>
  <c r="A224" i="27"/>
  <c r="L223" i="27"/>
  <c r="K223" i="27"/>
  <c r="J223" i="27"/>
  <c r="I223" i="27"/>
  <c r="H223" i="27"/>
  <c r="G223" i="27"/>
  <c r="F223" i="27"/>
  <c r="E223" i="27"/>
  <c r="D223" i="27"/>
  <c r="C223" i="27"/>
  <c r="B223" i="27"/>
  <c r="A223" i="27"/>
  <c r="L222" i="27"/>
  <c r="K222" i="27"/>
  <c r="J222" i="27"/>
  <c r="I222" i="27"/>
  <c r="H222" i="27"/>
  <c r="G222" i="27"/>
  <c r="F222" i="27"/>
  <c r="E222" i="27"/>
  <c r="D222" i="27"/>
  <c r="C222" i="27"/>
  <c r="B222" i="27"/>
  <c r="A222" i="27"/>
  <c r="L221" i="27"/>
  <c r="K221" i="27"/>
  <c r="J221" i="27"/>
  <c r="I221" i="27"/>
  <c r="H221" i="27"/>
  <c r="G221" i="27"/>
  <c r="F221" i="27"/>
  <c r="E221" i="27"/>
  <c r="D221" i="27"/>
  <c r="C221" i="27"/>
  <c r="B221" i="27"/>
  <c r="A221" i="27"/>
  <c r="L220" i="27"/>
  <c r="K220" i="27"/>
  <c r="J220" i="27"/>
  <c r="I220" i="27"/>
  <c r="H220" i="27"/>
  <c r="G220" i="27"/>
  <c r="F220" i="27"/>
  <c r="E220" i="27"/>
  <c r="D220" i="27"/>
  <c r="C220" i="27"/>
  <c r="B220" i="27"/>
  <c r="A220" i="27"/>
  <c r="L219" i="27"/>
  <c r="K219" i="27"/>
  <c r="J219" i="27"/>
  <c r="I219" i="27"/>
  <c r="H219" i="27"/>
  <c r="G219" i="27"/>
  <c r="F219" i="27"/>
  <c r="E219" i="27"/>
  <c r="D219" i="27"/>
  <c r="C219" i="27"/>
  <c r="B219" i="27"/>
  <c r="A219" i="27"/>
  <c r="L218" i="27"/>
  <c r="K218" i="27"/>
  <c r="J218" i="27"/>
  <c r="I218" i="27"/>
  <c r="H218" i="27"/>
  <c r="G218" i="27"/>
  <c r="F218" i="27"/>
  <c r="E218" i="27"/>
  <c r="D218" i="27"/>
  <c r="C218" i="27"/>
  <c r="B218" i="27"/>
  <c r="A218" i="27"/>
  <c r="L217" i="27"/>
  <c r="K217" i="27"/>
  <c r="J217" i="27"/>
  <c r="I217" i="27"/>
  <c r="H217" i="27"/>
  <c r="G217" i="27"/>
  <c r="F217" i="27"/>
  <c r="E217" i="27"/>
  <c r="D217" i="27"/>
  <c r="C217" i="27"/>
  <c r="B217" i="27"/>
  <c r="A217" i="27"/>
  <c r="L216" i="27"/>
  <c r="K216" i="27"/>
  <c r="J216" i="27"/>
  <c r="I216" i="27"/>
  <c r="H216" i="27"/>
  <c r="G216" i="27"/>
  <c r="F216" i="27"/>
  <c r="E216" i="27"/>
  <c r="D216" i="27"/>
  <c r="C216" i="27"/>
  <c r="B216" i="27"/>
  <c r="A216" i="27"/>
  <c r="L215" i="27"/>
  <c r="K215" i="27"/>
  <c r="J215" i="27"/>
  <c r="I215" i="27"/>
  <c r="H215" i="27"/>
  <c r="G215" i="27"/>
  <c r="F215" i="27"/>
  <c r="E215" i="27"/>
  <c r="D215" i="27"/>
  <c r="C215" i="27"/>
  <c r="B215" i="27"/>
  <c r="A215" i="27"/>
  <c r="L214" i="27"/>
  <c r="K214" i="27"/>
  <c r="J214" i="27"/>
  <c r="I214" i="27"/>
  <c r="H214" i="27"/>
  <c r="G214" i="27"/>
  <c r="F214" i="27"/>
  <c r="E214" i="27"/>
  <c r="D214" i="27"/>
  <c r="C214" i="27"/>
  <c r="B214" i="27"/>
  <c r="A214" i="27"/>
  <c r="L213" i="27"/>
  <c r="K213" i="27"/>
  <c r="J213" i="27"/>
  <c r="I213" i="27"/>
  <c r="H213" i="27"/>
  <c r="G213" i="27"/>
  <c r="F213" i="27"/>
  <c r="E213" i="27"/>
  <c r="D213" i="27"/>
  <c r="C213" i="27"/>
  <c r="B213" i="27"/>
  <c r="A213" i="27"/>
  <c r="L212" i="27"/>
  <c r="K212" i="27"/>
  <c r="J212" i="27"/>
  <c r="I212" i="27"/>
  <c r="H212" i="27"/>
  <c r="G212" i="27"/>
  <c r="F212" i="27"/>
  <c r="E212" i="27"/>
  <c r="D212" i="27"/>
  <c r="C212" i="27"/>
  <c r="B212" i="27"/>
  <c r="A212" i="27"/>
  <c r="L211" i="27"/>
  <c r="K211" i="27"/>
  <c r="J211" i="27"/>
  <c r="I211" i="27"/>
  <c r="H211" i="27"/>
  <c r="G211" i="27"/>
  <c r="F211" i="27"/>
  <c r="E211" i="27"/>
  <c r="D211" i="27"/>
  <c r="C211" i="27"/>
  <c r="B211" i="27"/>
  <c r="A211" i="27"/>
  <c r="L210" i="27"/>
  <c r="K210" i="27"/>
  <c r="J210" i="27"/>
  <c r="I210" i="27"/>
  <c r="H210" i="27"/>
  <c r="G210" i="27"/>
  <c r="F210" i="27"/>
  <c r="E210" i="27"/>
  <c r="D210" i="27"/>
  <c r="C210" i="27"/>
  <c r="B210" i="27"/>
  <c r="A210" i="27"/>
  <c r="L209" i="27"/>
  <c r="K209" i="27"/>
  <c r="J209" i="27"/>
  <c r="I209" i="27"/>
  <c r="H209" i="27"/>
  <c r="G209" i="27"/>
  <c r="F209" i="27"/>
  <c r="E209" i="27"/>
  <c r="D209" i="27"/>
  <c r="C209" i="27"/>
  <c r="B209" i="27"/>
  <c r="A209" i="27"/>
  <c r="L208" i="27"/>
  <c r="K208" i="27"/>
  <c r="J208" i="27"/>
  <c r="I208" i="27"/>
  <c r="H208" i="27"/>
  <c r="G208" i="27"/>
  <c r="F208" i="27"/>
  <c r="E208" i="27"/>
  <c r="D208" i="27"/>
  <c r="C208" i="27"/>
  <c r="B208" i="27"/>
  <c r="A208" i="27"/>
  <c r="L207" i="27"/>
  <c r="K207" i="27"/>
  <c r="J207" i="27"/>
  <c r="I207" i="27"/>
  <c r="H207" i="27"/>
  <c r="G207" i="27"/>
  <c r="F207" i="27"/>
  <c r="E207" i="27"/>
  <c r="D207" i="27"/>
  <c r="C207" i="27"/>
  <c r="B207" i="27"/>
  <c r="A207" i="27"/>
  <c r="L206" i="27"/>
  <c r="K206" i="27"/>
  <c r="J206" i="27"/>
  <c r="I206" i="27"/>
  <c r="H206" i="27"/>
  <c r="G206" i="27"/>
  <c r="F206" i="27"/>
  <c r="E206" i="27"/>
  <c r="D206" i="27"/>
  <c r="C206" i="27"/>
  <c r="B206" i="27"/>
  <c r="A206" i="27"/>
  <c r="L205" i="27"/>
  <c r="K205" i="27"/>
  <c r="J205" i="27"/>
  <c r="I205" i="27"/>
  <c r="H205" i="27"/>
  <c r="G205" i="27"/>
  <c r="F205" i="27"/>
  <c r="E205" i="27"/>
  <c r="D205" i="27"/>
  <c r="C205" i="27"/>
  <c r="B205" i="27"/>
  <c r="A205" i="27"/>
  <c r="L204" i="27"/>
  <c r="K204" i="27"/>
  <c r="J204" i="27"/>
  <c r="I204" i="27"/>
  <c r="H204" i="27"/>
  <c r="G204" i="27"/>
  <c r="F204" i="27"/>
  <c r="E204" i="27"/>
  <c r="D204" i="27"/>
  <c r="C204" i="27"/>
  <c r="B204" i="27"/>
  <c r="A204" i="27"/>
  <c r="L203" i="27"/>
  <c r="K203" i="27"/>
  <c r="J203" i="27"/>
  <c r="I203" i="27"/>
  <c r="H203" i="27"/>
  <c r="G203" i="27"/>
  <c r="F203" i="27"/>
  <c r="E203" i="27"/>
  <c r="D203" i="27"/>
  <c r="C203" i="27"/>
  <c r="B203" i="27"/>
  <c r="A203" i="27"/>
  <c r="L202" i="27"/>
  <c r="K202" i="27"/>
  <c r="J202" i="27"/>
  <c r="I202" i="27"/>
  <c r="H202" i="27"/>
  <c r="G202" i="27"/>
  <c r="F202" i="27"/>
  <c r="E202" i="27"/>
  <c r="D202" i="27"/>
  <c r="C202" i="27"/>
  <c r="B202" i="27"/>
  <c r="A202" i="27"/>
  <c r="L201" i="27"/>
  <c r="K201" i="27"/>
  <c r="J201" i="27"/>
  <c r="I201" i="27"/>
  <c r="H201" i="27"/>
  <c r="G201" i="27"/>
  <c r="F201" i="27"/>
  <c r="E201" i="27"/>
  <c r="D201" i="27"/>
  <c r="C201" i="27"/>
  <c r="B201" i="27"/>
  <c r="A201" i="27"/>
  <c r="L200" i="27"/>
  <c r="K200" i="27"/>
  <c r="J200" i="27"/>
  <c r="I200" i="27"/>
  <c r="H200" i="27"/>
  <c r="G200" i="27"/>
  <c r="F200" i="27"/>
  <c r="E200" i="27"/>
  <c r="D200" i="27"/>
  <c r="C200" i="27"/>
  <c r="B200" i="27"/>
  <c r="A200" i="27"/>
  <c r="L199" i="27"/>
  <c r="K199" i="27"/>
  <c r="J199" i="27"/>
  <c r="I199" i="27"/>
  <c r="H199" i="27"/>
  <c r="G199" i="27"/>
  <c r="F199" i="27"/>
  <c r="E199" i="27"/>
  <c r="D199" i="27"/>
  <c r="C199" i="27"/>
  <c r="B199" i="27"/>
  <c r="A199" i="27"/>
  <c r="L198" i="27"/>
  <c r="K198" i="27"/>
  <c r="J198" i="27"/>
  <c r="I198" i="27"/>
  <c r="H198" i="27"/>
  <c r="G198" i="27"/>
  <c r="F198" i="27"/>
  <c r="E198" i="27"/>
  <c r="D198" i="27"/>
  <c r="C198" i="27"/>
  <c r="B198" i="27"/>
  <c r="A198" i="27"/>
  <c r="L197" i="27"/>
  <c r="K197" i="27"/>
  <c r="J197" i="27"/>
  <c r="I197" i="27"/>
  <c r="H197" i="27"/>
  <c r="G197" i="27"/>
  <c r="F197" i="27"/>
  <c r="E197" i="27"/>
  <c r="D197" i="27"/>
  <c r="C197" i="27"/>
  <c r="B197" i="27"/>
  <c r="A197" i="27"/>
  <c r="L196" i="27"/>
  <c r="K196" i="27"/>
  <c r="J196" i="27"/>
  <c r="I196" i="27"/>
  <c r="H196" i="27"/>
  <c r="G196" i="27"/>
  <c r="F196" i="27"/>
  <c r="E196" i="27"/>
  <c r="D196" i="27"/>
  <c r="C196" i="27"/>
  <c r="B196" i="27"/>
  <c r="A196" i="27"/>
  <c r="L195" i="27"/>
  <c r="K195" i="27"/>
  <c r="J195" i="27"/>
  <c r="I195" i="27"/>
  <c r="H195" i="27"/>
  <c r="G195" i="27"/>
  <c r="F195" i="27"/>
  <c r="E195" i="27"/>
  <c r="D195" i="27"/>
  <c r="C195" i="27"/>
  <c r="B195" i="27"/>
  <c r="A195" i="27"/>
  <c r="L194" i="27"/>
  <c r="K194" i="27"/>
  <c r="J194" i="27"/>
  <c r="I194" i="27"/>
  <c r="H194" i="27"/>
  <c r="G194" i="27"/>
  <c r="F194" i="27"/>
  <c r="E194" i="27"/>
  <c r="D194" i="27"/>
  <c r="C194" i="27"/>
  <c r="B194" i="27"/>
  <c r="A194" i="27"/>
  <c r="L193" i="27"/>
  <c r="K193" i="27"/>
  <c r="J193" i="27"/>
  <c r="I193" i="27"/>
  <c r="H193" i="27"/>
  <c r="G193" i="27"/>
  <c r="F193" i="27"/>
  <c r="E193" i="27"/>
  <c r="D193" i="27"/>
  <c r="C193" i="27"/>
  <c r="B193" i="27"/>
  <c r="A193" i="27"/>
  <c r="L192" i="27"/>
  <c r="K192" i="27"/>
  <c r="J192" i="27"/>
  <c r="I192" i="27"/>
  <c r="H192" i="27"/>
  <c r="G192" i="27"/>
  <c r="F192" i="27"/>
  <c r="E192" i="27"/>
  <c r="D192" i="27"/>
  <c r="C192" i="27"/>
  <c r="B192" i="27"/>
  <c r="A192" i="27"/>
  <c r="L191" i="27"/>
  <c r="K191" i="27"/>
  <c r="J191" i="27"/>
  <c r="I191" i="27"/>
  <c r="H191" i="27"/>
  <c r="G191" i="27"/>
  <c r="F191" i="27"/>
  <c r="E191" i="27"/>
  <c r="D191" i="27"/>
  <c r="C191" i="27"/>
  <c r="B191" i="27"/>
  <c r="A191" i="27"/>
  <c r="L190" i="27"/>
  <c r="K190" i="27"/>
  <c r="J190" i="27"/>
  <c r="I190" i="27"/>
  <c r="H190" i="27"/>
  <c r="G190" i="27"/>
  <c r="F190" i="27"/>
  <c r="E190" i="27"/>
  <c r="D190" i="27"/>
  <c r="C190" i="27"/>
  <c r="B190" i="27"/>
  <c r="A190" i="27"/>
  <c r="L189" i="27"/>
  <c r="K189" i="27"/>
  <c r="J189" i="27"/>
  <c r="I189" i="27"/>
  <c r="H189" i="27"/>
  <c r="G189" i="27"/>
  <c r="F189" i="27"/>
  <c r="E189" i="27"/>
  <c r="D189" i="27"/>
  <c r="C189" i="27"/>
  <c r="B189" i="27"/>
  <c r="A189" i="27"/>
  <c r="L188" i="27"/>
  <c r="K188" i="27"/>
  <c r="J188" i="27"/>
  <c r="I188" i="27"/>
  <c r="H188" i="27"/>
  <c r="G188" i="27"/>
  <c r="F188" i="27"/>
  <c r="E188" i="27"/>
  <c r="D188" i="27"/>
  <c r="C188" i="27"/>
  <c r="B188" i="27"/>
  <c r="A188" i="27"/>
  <c r="L187" i="27"/>
  <c r="K187" i="27"/>
  <c r="J187" i="27"/>
  <c r="I187" i="27"/>
  <c r="H187" i="27"/>
  <c r="G187" i="27"/>
  <c r="F187" i="27"/>
  <c r="E187" i="27"/>
  <c r="D187" i="27"/>
  <c r="C187" i="27"/>
  <c r="B187" i="27"/>
  <c r="A187" i="27"/>
  <c r="L186" i="27"/>
  <c r="K186" i="27"/>
  <c r="J186" i="27"/>
  <c r="I186" i="27"/>
  <c r="H186" i="27"/>
  <c r="G186" i="27"/>
  <c r="F186" i="27"/>
  <c r="E186" i="27"/>
  <c r="D186" i="27"/>
  <c r="C186" i="27"/>
  <c r="B186" i="27"/>
  <c r="A186" i="27"/>
  <c r="L185" i="27"/>
  <c r="K185" i="27"/>
  <c r="J185" i="27"/>
  <c r="I185" i="27"/>
  <c r="H185" i="27"/>
  <c r="G185" i="27"/>
  <c r="F185" i="27"/>
  <c r="E185" i="27"/>
  <c r="D185" i="27"/>
  <c r="C185" i="27"/>
  <c r="B185" i="27"/>
  <c r="A185" i="27"/>
  <c r="L184" i="27"/>
  <c r="K184" i="27"/>
  <c r="J184" i="27"/>
  <c r="I184" i="27"/>
  <c r="H184" i="27"/>
  <c r="G184" i="27"/>
  <c r="F184" i="27"/>
  <c r="E184" i="27"/>
  <c r="D184" i="27"/>
  <c r="C184" i="27"/>
  <c r="B184" i="27"/>
  <c r="A184" i="27"/>
  <c r="L183" i="27"/>
  <c r="K183" i="27"/>
  <c r="J183" i="27"/>
  <c r="I183" i="27"/>
  <c r="H183" i="27"/>
  <c r="G183" i="27"/>
  <c r="F183" i="27"/>
  <c r="E183" i="27"/>
  <c r="D183" i="27"/>
  <c r="C183" i="27"/>
  <c r="B183" i="27"/>
  <c r="A183" i="27"/>
  <c r="L182" i="27"/>
  <c r="K182" i="27"/>
  <c r="J182" i="27"/>
  <c r="I182" i="27"/>
  <c r="H182" i="27"/>
  <c r="G182" i="27"/>
  <c r="F182" i="27"/>
  <c r="E182" i="27"/>
  <c r="D182" i="27"/>
  <c r="C182" i="27"/>
  <c r="B182" i="27"/>
  <c r="A182" i="27"/>
  <c r="L181" i="27"/>
  <c r="K181" i="27"/>
  <c r="J181" i="27"/>
  <c r="I181" i="27"/>
  <c r="H181" i="27"/>
  <c r="G181" i="27"/>
  <c r="F181" i="27"/>
  <c r="E181" i="27"/>
  <c r="D181" i="27"/>
  <c r="C181" i="27"/>
  <c r="B181" i="27"/>
  <c r="A181" i="27"/>
  <c r="L180" i="27"/>
  <c r="K180" i="27"/>
  <c r="J180" i="27"/>
  <c r="I180" i="27"/>
  <c r="H180" i="27"/>
  <c r="G180" i="27"/>
  <c r="F180" i="27"/>
  <c r="E180" i="27"/>
  <c r="D180" i="27"/>
  <c r="C180" i="27"/>
  <c r="B180" i="27"/>
  <c r="A180" i="27"/>
  <c r="L179" i="27"/>
  <c r="K179" i="27"/>
  <c r="J179" i="27"/>
  <c r="I179" i="27"/>
  <c r="H179" i="27"/>
  <c r="G179" i="27"/>
  <c r="F179" i="27"/>
  <c r="E179" i="27"/>
  <c r="D179" i="27"/>
  <c r="C179" i="27"/>
  <c r="B179" i="27"/>
  <c r="A179" i="27"/>
  <c r="L178" i="27"/>
  <c r="K178" i="27"/>
  <c r="J178" i="27"/>
  <c r="I178" i="27"/>
  <c r="H178" i="27"/>
  <c r="G178" i="27"/>
  <c r="F178" i="27"/>
  <c r="E178" i="27"/>
  <c r="D178" i="27"/>
  <c r="C178" i="27"/>
  <c r="B178" i="27"/>
  <c r="A178" i="27"/>
  <c r="L177" i="27"/>
  <c r="K177" i="27"/>
  <c r="J177" i="27"/>
  <c r="I177" i="27"/>
  <c r="H177" i="27"/>
  <c r="G177" i="27"/>
  <c r="F177" i="27"/>
  <c r="E177" i="27"/>
  <c r="D177" i="27"/>
  <c r="C177" i="27"/>
  <c r="B177" i="27"/>
  <c r="A177" i="27"/>
  <c r="L176" i="27"/>
  <c r="K176" i="27"/>
  <c r="J176" i="27"/>
  <c r="I176" i="27"/>
  <c r="H176" i="27"/>
  <c r="G176" i="27"/>
  <c r="F176" i="27"/>
  <c r="E176" i="27"/>
  <c r="D176" i="27"/>
  <c r="C176" i="27"/>
  <c r="B176" i="27"/>
  <c r="A176" i="27"/>
  <c r="L175" i="27"/>
  <c r="K175" i="27"/>
  <c r="J175" i="27"/>
  <c r="I175" i="27"/>
  <c r="H175" i="27"/>
  <c r="G175" i="27"/>
  <c r="F175" i="27"/>
  <c r="E175" i="27"/>
  <c r="D175" i="27"/>
  <c r="C175" i="27"/>
  <c r="B175" i="27"/>
  <c r="A175" i="27"/>
  <c r="L174" i="27"/>
  <c r="K174" i="27"/>
  <c r="J174" i="27"/>
  <c r="I174" i="27"/>
  <c r="H174" i="27"/>
  <c r="G174" i="27"/>
  <c r="F174" i="27"/>
  <c r="E174" i="27"/>
  <c r="D174" i="27"/>
  <c r="C174" i="27"/>
  <c r="B174" i="27"/>
  <c r="A174" i="27"/>
  <c r="L173" i="27"/>
  <c r="K173" i="27"/>
  <c r="J173" i="27"/>
  <c r="I173" i="27"/>
  <c r="H173" i="27"/>
  <c r="G173" i="27"/>
  <c r="F173" i="27"/>
  <c r="E173" i="27"/>
  <c r="D173" i="27"/>
  <c r="C173" i="27"/>
  <c r="B173" i="27"/>
  <c r="A173" i="27"/>
  <c r="L172" i="27"/>
  <c r="K172" i="27"/>
  <c r="J172" i="27"/>
  <c r="I172" i="27"/>
  <c r="H172" i="27"/>
  <c r="G172" i="27"/>
  <c r="F172" i="27"/>
  <c r="E172" i="27"/>
  <c r="D172" i="27"/>
  <c r="C172" i="27"/>
  <c r="B172" i="27"/>
  <c r="A172" i="27"/>
  <c r="L171" i="27"/>
  <c r="K171" i="27"/>
  <c r="J171" i="27"/>
  <c r="I171" i="27"/>
  <c r="H171" i="27"/>
  <c r="G171" i="27"/>
  <c r="F171" i="27"/>
  <c r="E171" i="27"/>
  <c r="D171" i="27"/>
  <c r="C171" i="27"/>
  <c r="B171" i="27"/>
  <c r="A171" i="27"/>
  <c r="L170" i="27"/>
  <c r="K170" i="27"/>
  <c r="J170" i="27"/>
  <c r="I170" i="27"/>
  <c r="H170" i="27"/>
  <c r="G170" i="27"/>
  <c r="F170" i="27"/>
  <c r="E170" i="27"/>
  <c r="D170" i="27"/>
  <c r="C170" i="27"/>
  <c r="B170" i="27"/>
  <c r="A170" i="27"/>
  <c r="L169" i="27"/>
  <c r="K169" i="27"/>
  <c r="J169" i="27"/>
  <c r="I169" i="27"/>
  <c r="H169" i="27"/>
  <c r="G169" i="27"/>
  <c r="F169" i="27"/>
  <c r="E169" i="27"/>
  <c r="D169" i="27"/>
  <c r="C169" i="27"/>
  <c r="B169" i="27"/>
  <c r="A169" i="27"/>
  <c r="L168" i="27"/>
  <c r="K168" i="27"/>
  <c r="J168" i="27"/>
  <c r="I168" i="27"/>
  <c r="H168" i="27"/>
  <c r="G168" i="27"/>
  <c r="F168" i="27"/>
  <c r="E168" i="27"/>
  <c r="D168" i="27"/>
  <c r="C168" i="27"/>
  <c r="B168" i="27"/>
  <c r="A168" i="27"/>
  <c r="L167" i="27"/>
  <c r="K167" i="27"/>
  <c r="J167" i="27"/>
  <c r="I167" i="27"/>
  <c r="H167" i="27"/>
  <c r="G167" i="27"/>
  <c r="F167" i="27"/>
  <c r="E167" i="27"/>
  <c r="D167" i="27"/>
  <c r="C167" i="27"/>
  <c r="B167" i="27"/>
  <c r="A167" i="27"/>
  <c r="L166" i="27"/>
  <c r="K166" i="27"/>
  <c r="J166" i="27"/>
  <c r="I166" i="27"/>
  <c r="H166" i="27"/>
  <c r="G166" i="27"/>
  <c r="F166" i="27"/>
  <c r="E166" i="27"/>
  <c r="D166" i="27"/>
  <c r="C166" i="27"/>
  <c r="B166" i="27"/>
  <c r="A166" i="27"/>
  <c r="L165" i="27"/>
  <c r="K165" i="27"/>
  <c r="J165" i="27"/>
  <c r="I165" i="27"/>
  <c r="H165" i="27"/>
  <c r="G165" i="27"/>
  <c r="F165" i="27"/>
  <c r="E165" i="27"/>
  <c r="D165" i="27"/>
  <c r="C165" i="27"/>
  <c r="B165" i="27"/>
  <c r="A165" i="27"/>
  <c r="L164" i="27"/>
  <c r="K164" i="27"/>
  <c r="J164" i="27"/>
  <c r="I164" i="27"/>
  <c r="H164" i="27"/>
  <c r="G164" i="27"/>
  <c r="F164" i="27"/>
  <c r="E164" i="27"/>
  <c r="D164" i="27"/>
  <c r="C164" i="27"/>
  <c r="B164" i="27"/>
  <c r="A164" i="27"/>
  <c r="L163" i="27"/>
  <c r="K163" i="27"/>
  <c r="J163" i="27"/>
  <c r="I163" i="27"/>
  <c r="H163" i="27"/>
  <c r="G163" i="27"/>
  <c r="F163" i="27"/>
  <c r="E163" i="27"/>
  <c r="D163" i="27"/>
  <c r="C163" i="27"/>
  <c r="B163" i="27"/>
  <c r="A163" i="27"/>
  <c r="L162" i="27"/>
  <c r="K162" i="27"/>
  <c r="J162" i="27"/>
  <c r="I162" i="27"/>
  <c r="H162" i="27"/>
  <c r="G162" i="27"/>
  <c r="F162" i="27"/>
  <c r="E162" i="27"/>
  <c r="D162" i="27"/>
  <c r="C162" i="27"/>
  <c r="B162" i="27"/>
  <c r="A162" i="27"/>
  <c r="L161" i="27"/>
  <c r="K161" i="27"/>
  <c r="J161" i="27"/>
  <c r="I161" i="27"/>
  <c r="H161" i="27"/>
  <c r="G161" i="27"/>
  <c r="F161" i="27"/>
  <c r="E161" i="27"/>
  <c r="D161" i="27"/>
  <c r="C161" i="27"/>
  <c r="B161" i="27"/>
  <c r="A161" i="27"/>
  <c r="L160" i="27"/>
  <c r="K160" i="27"/>
  <c r="J160" i="27"/>
  <c r="I160" i="27"/>
  <c r="H160" i="27"/>
  <c r="G160" i="27"/>
  <c r="F160" i="27"/>
  <c r="E160" i="27"/>
  <c r="D160" i="27"/>
  <c r="C160" i="27"/>
  <c r="B160" i="27"/>
  <c r="A160" i="27"/>
  <c r="L159" i="27"/>
  <c r="K159" i="27"/>
  <c r="J159" i="27"/>
  <c r="I159" i="27"/>
  <c r="H159" i="27"/>
  <c r="G159" i="27"/>
  <c r="F159" i="27"/>
  <c r="E159" i="27"/>
  <c r="D159" i="27"/>
  <c r="C159" i="27"/>
  <c r="B159" i="27"/>
  <c r="A159" i="27"/>
  <c r="L158" i="27"/>
  <c r="K158" i="27"/>
  <c r="J158" i="27"/>
  <c r="I158" i="27"/>
  <c r="H158" i="27"/>
  <c r="G158" i="27"/>
  <c r="F158" i="27"/>
  <c r="E158" i="27"/>
  <c r="D158" i="27"/>
  <c r="C158" i="27"/>
  <c r="B158" i="27"/>
  <c r="A158" i="27"/>
  <c r="L157" i="27"/>
  <c r="K157" i="27"/>
  <c r="J157" i="27"/>
  <c r="I157" i="27"/>
  <c r="H157" i="27"/>
  <c r="G157" i="27"/>
  <c r="F157" i="27"/>
  <c r="E157" i="27"/>
  <c r="D157" i="27"/>
  <c r="C157" i="27"/>
  <c r="B157" i="27"/>
  <c r="A157" i="27"/>
  <c r="L156" i="27"/>
  <c r="K156" i="27"/>
  <c r="J156" i="27"/>
  <c r="I156" i="27"/>
  <c r="H156" i="27"/>
  <c r="G156" i="27"/>
  <c r="F156" i="27"/>
  <c r="E156" i="27"/>
  <c r="D156" i="27"/>
  <c r="C156" i="27"/>
  <c r="B156" i="27"/>
  <c r="A156" i="27"/>
  <c r="L155" i="27"/>
  <c r="K155" i="27"/>
  <c r="J155" i="27"/>
  <c r="I155" i="27"/>
  <c r="H155" i="27"/>
  <c r="G155" i="27"/>
  <c r="F155" i="27"/>
  <c r="E155" i="27"/>
  <c r="D155" i="27"/>
  <c r="C155" i="27"/>
  <c r="B155" i="27"/>
  <c r="A155" i="27"/>
  <c r="L154" i="27"/>
  <c r="K154" i="27"/>
  <c r="J154" i="27"/>
  <c r="I154" i="27"/>
  <c r="H154" i="27"/>
  <c r="G154" i="27"/>
  <c r="F154" i="27"/>
  <c r="E154" i="27"/>
  <c r="D154" i="27"/>
  <c r="C154" i="27"/>
  <c r="B154" i="27"/>
  <c r="A154" i="27"/>
  <c r="L153" i="27"/>
  <c r="K153" i="27"/>
  <c r="J153" i="27"/>
  <c r="I153" i="27"/>
  <c r="H153" i="27"/>
  <c r="G153" i="27"/>
  <c r="F153" i="27"/>
  <c r="E153" i="27"/>
  <c r="D153" i="27"/>
  <c r="C153" i="27"/>
  <c r="B153" i="27"/>
  <c r="A153" i="27"/>
  <c r="L152" i="27"/>
  <c r="K152" i="27"/>
  <c r="J152" i="27"/>
  <c r="I152" i="27"/>
  <c r="H152" i="27"/>
  <c r="G152" i="27"/>
  <c r="F152" i="27"/>
  <c r="E152" i="27"/>
  <c r="D152" i="27"/>
  <c r="C152" i="27"/>
  <c r="B152" i="27"/>
  <c r="A152" i="27"/>
  <c r="L151" i="27"/>
  <c r="K151" i="27"/>
  <c r="J151" i="27"/>
  <c r="I151" i="27"/>
  <c r="H151" i="27"/>
  <c r="G151" i="27"/>
  <c r="F151" i="27"/>
  <c r="E151" i="27"/>
  <c r="D151" i="27"/>
  <c r="C151" i="27"/>
  <c r="B151" i="27"/>
  <c r="A151" i="27"/>
  <c r="L150" i="27"/>
  <c r="K150" i="27"/>
  <c r="J150" i="27"/>
  <c r="I150" i="27"/>
  <c r="H150" i="27"/>
  <c r="G150" i="27"/>
  <c r="F150" i="27"/>
  <c r="E150" i="27"/>
  <c r="D150" i="27"/>
  <c r="C150" i="27"/>
  <c r="B150" i="27"/>
  <c r="A150" i="27"/>
  <c r="L149" i="27"/>
  <c r="K149" i="27"/>
  <c r="J149" i="27"/>
  <c r="I149" i="27"/>
  <c r="H149" i="27"/>
  <c r="G149" i="27"/>
  <c r="F149" i="27"/>
  <c r="E149" i="27"/>
  <c r="D149" i="27"/>
  <c r="C149" i="27"/>
  <c r="B149" i="27"/>
  <c r="A149" i="27"/>
  <c r="L148" i="27"/>
  <c r="K148" i="27"/>
  <c r="J148" i="27"/>
  <c r="I148" i="27"/>
  <c r="H148" i="27"/>
  <c r="G148" i="27"/>
  <c r="F148" i="27"/>
  <c r="E148" i="27"/>
  <c r="D148" i="27"/>
  <c r="C148" i="27"/>
  <c r="B148" i="27"/>
  <c r="A148" i="27"/>
  <c r="L147" i="27"/>
  <c r="K147" i="27"/>
  <c r="J147" i="27"/>
  <c r="I147" i="27"/>
  <c r="H147" i="27"/>
  <c r="G147" i="27"/>
  <c r="F147" i="27"/>
  <c r="E147" i="27"/>
  <c r="D147" i="27"/>
  <c r="C147" i="27"/>
  <c r="B147" i="27"/>
  <c r="A147" i="27"/>
  <c r="L146" i="27"/>
  <c r="K146" i="27"/>
  <c r="J146" i="27"/>
  <c r="I146" i="27"/>
  <c r="H146" i="27"/>
  <c r="G146" i="27"/>
  <c r="F146" i="27"/>
  <c r="E146" i="27"/>
  <c r="D146" i="27"/>
  <c r="C146" i="27"/>
  <c r="B146" i="27"/>
  <c r="A146" i="27"/>
  <c r="L145" i="27"/>
  <c r="K145" i="27"/>
  <c r="J145" i="27"/>
  <c r="I145" i="27"/>
  <c r="H145" i="27"/>
  <c r="G145" i="27"/>
  <c r="F145" i="27"/>
  <c r="E145" i="27"/>
  <c r="D145" i="27"/>
  <c r="C145" i="27"/>
  <c r="B145" i="27"/>
  <c r="A145" i="27"/>
  <c r="L144" i="27"/>
  <c r="K144" i="27"/>
  <c r="J144" i="27"/>
  <c r="I144" i="27"/>
  <c r="H144" i="27"/>
  <c r="G144" i="27"/>
  <c r="F144" i="27"/>
  <c r="E144" i="27"/>
  <c r="D144" i="27"/>
  <c r="C144" i="27"/>
  <c r="B144" i="27"/>
  <c r="A144" i="27"/>
  <c r="L143" i="27"/>
  <c r="K143" i="27"/>
  <c r="J143" i="27"/>
  <c r="I143" i="27"/>
  <c r="H143" i="27"/>
  <c r="G143" i="27"/>
  <c r="F143" i="27"/>
  <c r="E143" i="27"/>
  <c r="D143" i="27"/>
  <c r="C143" i="27"/>
  <c r="B143" i="27"/>
  <c r="A143" i="27"/>
  <c r="L142" i="27"/>
  <c r="K142" i="27"/>
  <c r="J142" i="27"/>
  <c r="I142" i="27"/>
  <c r="H142" i="27"/>
  <c r="G142" i="27"/>
  <c r="F142" i="27"/>
  <c r="E142" i="27"/>
  <c r="D142" i="27"/>
  <c r="C142" i="27"/>
  <c r="B142" i="27"/>
  <c r="A142" i="27"/>
  <c r="L141" i="27"/>
  <c r="K141" i="27"/>
  <c r="J141" i="27"/>
  <c r="I141" i="27"/>
  <c r="H141" i="27"/>
  <c r="G141" i="27"/>
  <c r="F141" i="27"/>
  <c r="E141" i="27"/>
  <c r="D141" i="27"/>
  <c r="C141" i="27"/>
  <c r="B141" i="27"/>
  <c r="A141" i="27"/>
  <c r="L140" i="27"/>
  <c r="K140" i="27"/>
  <c r="J140" i="27"/>
  <c r="I140" i="27"/>
  <c r="H140" i="27"/>
  <c r="G140" i="27"/>
  <c r="F140" i="27"/>
  <c r="E140" i="27"/>
  <c r="D140" i="27"/>
  <c r="C140" i="27"/>
  <c r="B140" i="27"/>
  <c r="A140" i="27"/>
  <c r="L139" i="27"/>
  <c r="K139" i="27"/>
  <c r="J139" i="27"/>
  <c r="I139" i="27"/>
  <c r="H139" i="27"/>
  <c r="G139" i="27"/>
  <c r="F139" i="27"/>
  <c r="E139" i="27"/>
  <c r="D139" i="27"/>
  <c r="C139" i="27"/>
  <c r="B139" i="27"/>
  <c r="A139" i="27"/>
  <c r="L138" i="27"/>
  <c r="K138" i="27"/>
  <c r="J138" i="27"/>
  <c r="I138" i="27"/>
  <c r="H138" i="27"/>
  <c r="G138" i="27"/>
  <c r="F138" i="27"/>
  <c r="E138" i="27"/>
  <c r="D138" i="27"/>
  <c r="C138" i="27"/>
  <c r="B138" i="27"/>
  <c r="A138" i="27"/>
  <c r="L137" i="27"/>
  <c r="K137" i="27"/>
  <c r="J137" i="27"/>
  <c r="I137" i="27"/>
  <c r="H137" i="27"/>
  <c r="G137" i="27"/>
  <c r="F137" i="27"/>
  <c r="E137" i="27"/>
  <c r="D137" i="27"/>
  <c r="C137" i="27"/>
  <c r="B137" i="27"/>
  <c r="A137" i="27"/>
  <c r="L136" i="27"/>
  <c r="K136" i="27"/>
  <c r="J136" i="27"/>
  <c r="I136" i="27"/>
  <c r="H136" i="27"/>
  <c r="G136" i="27"/>
  <c r="F136" i="27"/>
  <c r="E136" i="27"/>
  <c r="D136" i="27"/>
  <c r="C136" i="27"/>
  <c r="B136" i="27"/>
  <c r="A136" i="27"/>
  <c r="L135" i="27"/>
  <c r="K135" i="27"/>
  <c r="J135" i="27"/>
  <c r="I135" i="27"/>
  <c r="H135" i="27"/>
  <c r="G135" i="27"/>
  <c r="F135" i="27"/>
  <c r="E135" i="27"/>
  <c r="D135" i="27"/>
  <c r="C135" i="27"/>
  <c r="B135" i="27"/>
  <c r="A135" i="27"/>
  <c r="L134" i="27"/>
  <c r="K134" i="27"/>
  <c r="J134" i="27"/>
  <c r="I134" i="27"/>
  <c r="H134" i="27"/>
  <c r="G134" i="27"/>
  <c r="F134" i="27"/>
  <c r="E134" i="27"/>
  <c r="D134" i="27"/>
  <c r="C134" i="27"/>
  <c r="B134" i="27"/>
  <c r="A134" i="27"/>
  <c r="L133" i="27"/>
  <c r="K133" i="27"/>
  <c r="J133" i="27"/>
  <c r="I133" i="27"/>
  <c r="H133" i="27"/>
  <c r="G133" i="27"/>
  <c r="F133" i="27"/>
  <c r="E133" i="27"/>
  <c r="D133" i="27"/>
  <c r="C133" i="27"/>
  <c r="B133" i="27"/>
  <c r="A133" i="27"/>
  <c r="L132" i="27"/>
  <c r="K132" i="27"/>
  <c r="J132" i="27"/>
  <c r="I132" i="27"/>
  <c r="H132" i="27"/>
  <c r="G132" i="27"/>
  <c r="F132" i="27"/>
  <c r="E132" i="27"/>
  <c r="D132" i="27"/>
  <c r="C132" i="27"/>
  <c r="B132" i="27"/>
  <c r="A132" i="27"/>
  <c r="L131" i="27"/>
  <c r="K131" i="27"/>
  <c r="J131" i="27"/>
  <c r="I131" i="27"/>
  <c r="H131" i="27"/>
  <c r="G131" i="27"/>
  <c r="F131" i="27"/>
  <c r="E131" i="27"/>
  <c r="D131" i="27"/>
  <c r="C131" i="27"/>
  <c r="B131" i="27"/>
  <c r="A131" i="27"/>
  <c r="L130" i="27"/>
  <c r="K130" i="27"/>
  <c r="J130" i="27"/>
  <c r="I130" i="27"/>
  <c r="H130" i="27"/>
  <c r="G130" i="27"/>
  <c r="F130" i="27"/>
  <c r="E130" i="27"/>
  <c r="D130" i="27"/>
  <c r="C130" i="27"/>
  <c r="B130" i="27"/>
  <c r="A130" i="27"/>
  <c r="L129" i="27"/>
  <c r="K129" i="27"/>
  <c r="J129" i="27"/>
  <c r="I129" i="27"/>
  <c r="H129" i="27"/>
  <c r="G129" i="27"/>
  <c r="F129" i="27"/>
  <c r="E129" i="27"/>
  <c r="D129" i="27"/>
  <c r="C129" i="27"/>
  <c r="B129" i="27"/>
  <c r="A129" i="27"/>
  <c r="L128" i="27"/>
  <c r="K128" i="27"/>
  <c r="J128" i="27"/>
  <c r="I128" i="27"/>
  <c r="H128" i="27"/>
  <c r="G128" i="27"/>
  <c r="F128" i="27"/>
  <c r="E128" i="27"/>
  <c r="D128" i="27"/>
  <c r="C128" i="27"/>
  <c r="B128" i="27"/>
  <c r="A128" i="27"/>
  <c r="L127" i="27"/>
  <c r="K127" i="27"/>
  <c r="J127" i="27"/>
  <c r="I127" i="27"/>
  <c r="H127" i="27"/>
  <c r="G127" i="27"/>
  <c r="F127" i="27"/>
  <c r="E127" i="27"/>
  <c r="D127" i="27"/>
  <c r="C127" i="27"/>
  <c r="B127" i="27"/>
  <c r="A127" i="27"/>
  <c r="L126" i="27"/>
  <c r="K126" i="27"/>
  <c r="J126" i="27"/>
  <c r="I126" i="27"/>
  <c r="H126" i="27"/>
  <c r="G126" i="27"/>
  <c r="F126" i="27"/>
  <c r="E126" i="27"/>
  <c r="D126" i="27"/>
  <c r="C126" i="27"/>
  <c r="B126" i="27"/>
  <c r="A126" i="27"/>
  <c r="L125" i="27"/>
  <c r="K125" i="27"/>
  <c r="J125" i="27"/>
  <c r="I125" i="27"/>
  <c r="H125" i="27"/>
  <c r="G125" i="27"/>
  <c r="F125" i="27"/>
  <c r="E125" i="27"/>
  <c r="D125" i="27"/>
  <c r="C125" i="27"/>
  <c r="B125" i="27"/>
  <c r="A125" i="27"/>
  <c r="L124" i="27"/>
  <c r="K124" i="27"/>
  <c r="J124" i="27"/>
  <c r="I124" i="27"/>
  <c r="H124" i="27"/>
  <c r="G124" i="27"/>
  <c r="F124" i="27"/>
  <c r="E124" i="27"/>
  <c r="D124" i="27"/>
  <c r="C124" i="27"/>
  <c r="B124" i="27"/>
  <c r="A124" i="27"/>
  <c r="L123" i="27"/>
  <c r="K123" i="27"/>
  <c r="J123" i="27"/>
  <c r="I123" i="27"/>
  <c r="H123" i="27"/>
  <c r="G123" i="27"/>
  <c r="F123" i="27"/>
  <c r="E123" i="27"/>
  <c r="D123" i="27"/>
  <c r="C123" i="27"/>
  <c r="B123" i="27"/>
  <c r="A123" i="27"/>
  <c r="L122" i="27"/>
  <c r="K122" i="27"/>
  <c r="J122" i="27"/>
  <c r="I122" i="27"/>
  <c r="H122" i="27"/>
  <c r="G122" i="27"/>
  <c r="F122" i="27"/>
  <c r="E122" i="27"/>
  <c r="D122" i="27"/>
  <c r="C122" i="27"/>
  <c r="B122" i="27"/>
  <c r="A122" i="27"/>
  <c r="L121" i="27"/>
  <c r="K121" i="27"/>
  <c r="J121" i="27"/>
  <c r="I121" i="27"/>
  <c r="H121" i="27"/>
  <c r="G121" i="27"/>
  <c r="F121" i="27"/>
  <c r="E121" i="27"/>
  <c r="D121" i="27"/>
  <c r="C121" i="27"/>
  <c r="B121" i="27"/>
  <c r="A121" i="27"/>
  <c r="L120" i="27"/>
  <c r="K120" i="27"/>
  <c r="J120" i="27"/>
  <c r="I120" i="27"/>
  <c r="H120" i="27"/>
  <c r="G120" i="27"/>
  <c r="F120" i="27"/>
  <c r="E120" i="27"/>
  <c r="D120" i="27"/>
  <c r="C120" i="27"/>
  <c r="B120" i="27"/>
  <c r="A120" i="27"/>
  <c r="L119" i="27"/>
  <c r="K119" i="27"/>
  <c r="J119" i="27"/>
  <c r="I119" i="27"/>
  <c r="H119" i="27"/>
  <c r="G119" i="27"/>
  <c r="F119" i="27"/>
  <c r="E119" i="27"/>
  <c r="D119" i="27"/>
  <c r="C119" i="27"/>
  <c r="B119" i="27"/>
  <c r="A119" i="27"/>
  <c r="L118" i="27"/>
  <c r="K118" i="27"/>
  <c r="J118" i="27"/>
  <c r="I118" i="27"/>
  <c r="H118" i="27"/>
  <c r="G118" i="27"/>
  <c r="F118" i="27"/>
  <c r="E118" i="27"/>
  <c r="D118" i="27"/>
  <c r="C118" i="27"/>
  <c r="B118" i="27"/>
  <c r="A118" i="27"/>
  <c r="L117" i="27"/>
  <c r="K117" i="27"/>
  <c r="J117" i="27"/>
  <c r="I117" i="27"/>
  <c r="H117" i="27"/>
  <c r="G117" i="27"/>
  <c r="F117" i="27"/>
  <c r="E117" i="27"/>
  <c r="D117" i="27"/>
  <c r="C117" i="27"/>
  <c r="B117" i="27"/>
  <c r="A117" i="27"/>
  <c r="L116" i="27"/>
  <c r="K116" i="27"/>
  <c r="J116" i="27"/>
  <c r="I116" i="27"/>
  <c r="H116" i="27"/>
  <c r="G116" i="27"/>
  <c r="F116" i="27"/>
  <c r="E116" i="27"/>
  <c r="D116" i="27"/>
  <c r="C116" i="27"/>
  <c r="B116" i="27"/>
  <c r="A116" i="27"/>
  <c r="L115" i="27"/>
  <c r="K115" i="27"/>
  <c r="J115" i="27"/>
  <c r="I115" i="27"/>
  <c r="H115" i="27"/>
  <c r="G115" i="27"/>
  <c r="F115" i="27"/>
  <c r="E115" i="27"/>
  <c r="D115" i="27"/>
  <c r="C115" i="27"/>
  <c r="B115" i="27"/>
  <c r="A115" i="27"/>
  <c r="L114" i="27"/>
  <c r="K114" i="27"/>
  <c r="J114" i="27"/>
  <c r="I114" i="27"/>
  <c r="H114" i="27"/>
  <c r="G114" i="27"/>
  <c r="F114" i="27"/>
  <c r="E114" i="27"/>
  <c r="D114" i="27"/>
  <c r="C114" i="27"/>
  <c r="B114" i="27"/>
  <c r="A114" i="27"/>
  <c r="L113" i="27"/>
  <c r="K113" i="27"/>
  <c r="J113" i="27"/>
  <c r="I113" i="27"/>
  <c r="H113" i="27"/>
  <c r="G113" i="27"/>
  <c r="F113" i="27"/>
  <c r="E113" i="27"/>
  <c r="D113" i="27"/>
  <c r="C113" i="27"/>
  <c r="B113" i="27"/>
  <c r="A113" i="27"/>
  <c r="L112" i="27"/>
  <c r="K112" i="27"/>
  <c r="J112" i="27"/>
  <c r="I112" i="27"/>
  <c r="H112" i="27"/>
  <c r="G112" i="27"/>
  <c r="F112" i="27"/>
  <c r="E112" i="27"/>
  <c r="D112" i="27"/>
  <c r="C112" i="27"/>
  <c r="B112" i="27"/>
  <c r="A112" i="27"/>
  <c r="L111" i="27"/>
  <c r="K111" i="27"/>
  <c r="J111" i="27"/>
  <c r="I111" i="27"/>
  <c r="H111" i="27"/>
  <c r="G111" i="27"/>
  <c r="F111" i="27"/>
  <c r="E111" i="27"/>
  <c r="D111" i="27"/>
  <c r="C111" i="27"/>
  <c r="B111" i="27"/>
  <c r="A111" i="27"/>
  <c r="L110" i="27"/>
  <c r="K110" i="27"/>
  <c r="J110" i="27"/>
  <c r="I110" i="27"/>
  <c r="H110" i="27"/>
  <c r="G110" i="27"/>
  <c r="F110" i="27"/>
  <c r="E110" i="27"/>
  <c r="D110" i="27"/>
  <c r="C110" i="27"/>
  <c r="B110" i="27"/>
  <c r="A110" i="27"/>
  <c r="L109" i="27"/>
  <c r="K109" i="27"/>
  <c r="J109" i="27"/>
  <c r="I109" i="27"/>
  <c r="H109" i="27"/>
  <c r="G109" i="27"/>
  <c r="F109" i="27"/>
  <c r="E109" i="27"/>
  <c r="D109" i="27"/>
  <c r="C109" i="27"/>
  <c r="B109" i="27"/>
  <c r="A109" i="27"/>
  <c r="L108" i="27"/>
  <c r="K108" i="27"/>
  <c r="J108" i="27"/>
  <c r="I108" i="27"/>
  <c r="H108" i="27"/>
  <c r="G108" i="27"/>
  <c r="F108" i="27"/>
  <c r="E108" i="27"/>
  <c r="D108" i="27"/>
  <c r="C108" i="27"/>
  <c r="B108" i="27"/>
  <c r="A108" i="27"/>
  <c r="L107" i="27"/>
  <c r="K107" i="27"/>
  <c r="J107" i="27"/>
  <c r="I107" i="27"/>
  <c r="H107" i="27"/>
  <c r="G107" i="27"/>
  <c r="F107" i="27"/>
  <c r="E107" i="27"/>
  <c r="D107" i="27"/>
  <c r="C107" i="27"/>
  <c r="B107" i="27"/>
  <c r="A107" i="27"/>
  <c r="L106" i="27"/>
  <c r="K106" i="27"/>
  <c r="J106" i="27"/>
  <c r="I106" i="27"/>
  <c r="H106" i="27"/>
  <c r="G106" i="27"/>
  <c r="F106" i="27"/>
  <c r="E106" i="27"/>
  <c r="D106" i="27"/>
  <c r="C106" i="27"/>
  <c r="B106" i="27"/>
  <c r="A106" i="27"/>
  <c r="L105" i="27"/>
  <c r="K105" i="27"/>
  <c r="J105" i="27"/>
  <c r="I105" i="27"/>
  <c r="H105" i="27"/>
  <c r="G105" i="27"/>
  <c r="F105" i="27"/>
  <c r="E105" i="27"/>
  <c r="D105" i="27"/>
  <c r="C105" i="27"/>
  <c r="B105" i="27"/>
  <c r="A105" i="27"/>
  <c r="L104" i="27"/>
  <c r="K104" i="27"/>
  <c r="J104" i="27"/>
  <c r="I104" i="27"/>
  <c r="H104" i="27"/>
  <c r="G104" i="27"/>
  <c r="F104" i="27"/>
  <c r="E104" i="27"/>
  <c r="D104" i="27"/>
  <c r="C104" i="27"/>
  <c r="B104" i="27"/>
  <c r="A104" i="27"/>
  <c r="L103" i="27"/>
  <c r="K103" i="27"/>
  <c r="J103" i="27"/>
  <c r="I103" i="27"/>
  <c r="H103" i="27"/>
  <c r="G103" i="27"/>
  <c r="F103" i="27"/>
  <c r="E103" i="27"/>
  <c r="D103" i="27"/>
  <c r="C103" i="27"/>
  <c r="B103" i="27"/>
  <c r="A103" i="27"/>
  <c r="L102" i="27"/>
  <c r="K102" i="27"/>
  <c r="J102" i="27"/>
  <c r="I102" i="27"/>
  <c r="H102" i="27"/>
  <c r="G102" i="27"/>
  <c r="F102" i="27"/>
  <c r="E102" i="27"/>
  <c r="D102" i="27"/>
  <c r="C102" i="27"/>
  <c r="B102" i="27"/>
  <c r="A102" i="27"/>
  <c r="L101" i="27"/>
  <c r="K101" i="27"/>
  <c r="J101" i="27"/>
  <c r="I101" i="27"/>
  <c r="H101" i="27"/>
  <c r="G101" i="27"/>
  <c r="F101" i="27"/>
  <c r="E101" i="27"/>
  <c r="D101" i="27"/>
  <c r="C101" i="27"/>
  <c r="B101" i="27"/>
  <c r="A101" i="27"/>
  <c r="L100" i="27"/>
  <c r="K100" i="27"/>
  <c r="J100" i="27"/>
  <c r="I100" i="27"/>
  <c r="H100" i="27"/>
  <c r="G100" i="27"/>
  <c r="F100" i="27"/>
  <c r="E100" i="27"/>
  <c r="D100" i="27"/>
  <c r="C100" i="27"/>
  <c r="B100" i="27"/>
  <c r="A100" i="27"/>
  <c r="L99" i="27"/>
  <c r="K99" i="27"/>
  <c r="J99" i="27"/>
  <c r="I99" i="27"/>
  <c r="H99" i="27"/>
  <c r="G99" i="27"/>
  <c r="F99" i="27"/>
  <c r="E99" i="27"/>
  <c r="D99" i="27"/>
  <c r="C99" i="27"/>
  <c r="B99" i="27"/>
  <c r="A99" i="27"/>
  <c r="L98" i="27"/>
  <c r="K98" i="27"/>
  <c r="J98" i="27"/>
  <c r="I98" i="27"/>
  <c r="H98" i="27"/>
  <c r="G98" i="27"/>
  <c r="F98" i="27"/>
  <c r="E98" i="27"/>
  <c r="D98" i="27"/>
  <c r="C98" i="27"/>
  <c r="B98" i="27"/>
  <c r="A98" i="27"/>
  <c r="L97" i="27"/>
  <c r="K97" i="27"/>
  <c r="J97" i="27"/>
  <c r="I97" i="27"/>
  <c r="H97" i="27"/>
  <c r="G97" i="27"/>
  <c r="F97" i="27"/>
  <c r="E97" i="27"/>
  <c r="D97" i="27"/>
  <c r="C97" i="27"/>
  <c r="B97" i="27"/>
  <c r="A97" i="27"/>
  <c r="L96" i="27"/>
  <c r="K96" i="27"/>
  <c r="J96" i="27"/>
  <c r="I96" i="27"/>
  <c r="H96" i="27"/>
  <c r="G96" i="27"/>
  <c r="F96" i="27"/>
  <c r="E96" i="27"/>
  <c r="D96" i="27"/>
  <c r="C96" i="27"/>
  <c r="B96" i="27"/>
  <c r="A96" i="27"/>
  <c r="L95" i="27"/>
  <c r="K95" i="27"/>
  <c r="J95" i="27"/>
  <c r="I95" i="27"/>
  <c r="H95" i="27"/>
  <c r="G95" i="27"/>
  <c r="F95" i="27"/>
  <c r="E95" i="27"/>
  <c r="D95" i="27"/>
  <c r="C95" i="27"/>
  <c r="B95" i="27"/>
  <c r="A95" i="27"/>
  <c r="L94" i="27"/>
  <c r="K94" i="27"/>
  <c r="J94" i="27"/>
  <c r="I94" i="27"/>
  <c r="H94" i="27"/>
  <c r="G94" i="27"/>
  <c r="F94" i="27"/>
  <c r="E94" i="27"/>
  <c r="D94" i="27"/>
  <c r="C94" i="27"/>
  <c r="B94" i="27"/>
  <c r="A94" i="27"/>
  <c r="L93" i="27"/>
  <c r="K93" i="27"/>
  <c r="J93" i="27"/>
  <c r="I93" i="27"/>
  <c r="H93" i="27"/>
  <c r="G93" i="27"/>
  <c r="F93" i="27"/>
  <c r="E93" i="27"/>
  <c r="D93" i="27"/>
  <c r="C93" i="27"/>
  <c r="B93" i="27"/>
  <c r="A93" i="27"/>
  <c r="L92" i="27"/>
  <c r="K92" i="27"/>
  <c r="J92" i="27"/>
  <c r="I92" i="27"/>
  <c r="H92" i="27"/>
  <c r="G92" i="27"/>
  <c r="F92" i="27"/>
  <c r="E92" i="27"/>
  <c r="D92" i="27"/>
  <c r="C92" i="27"/>
  <c r="B92" i="27"/>
  <c r="A92" i="27"/>
  <c r="L91" i="27"/>
  <c r="K91" i="27"/>
  <c r="J91" i="27"/>
  <c r="I91" i="27"/>
  <c r="H91" i="27"/>
  <c r="G91" i="27"/>
  <c r="F91" i="27"/>
  <c r="E91" i="27"/>
  <c r="D91" i="27"/>
  <c r="C91" i="27"/>
  <c r="B91" i="27"/>
  <c r="A91" i="27"/>
  <c r="L90" i="27"/>
  <c r="K90" i="27"/>
  <c r="J90" i="27"/>
  <c r="I90" i="27"/>
  <c r="H90" i="27"/>
  <c r="G90" i="27"/>
  <c r="F90" i="27"/>
  <c r="E90" i="27"/>
  <c r="D90" i="27"/>
  <c r="C90" i="27"/>
  <c r="B90" i="27"/>
  <c r="A90" i="27"/>
  <c r="L89" i="27"/>
  <c r="K89" i="27"/>
  <c r="J89" i="27"/>
  <c r="I89" i="27"/>
  <c r="H89" i="27"/>
  <c r="G89" i="27"/>
  <c r="F89" i="27"/>
  <c r="E89" i="27"/>
  <c r="D89" i="27"/>
  <c r="C89" i="27"/>
  <c r="B89" i="27"/>
  <c r="A89" i="27"/>
  <c r="L88" i="27"/>
  <c r="K88" i="27"/>
  <c r="J88" i="27"/>
  <c r="I88" i="27"/>
  <c r="H88" i="27"/>
  <c r="G88" i="27"/>
  <c r="F88" i="27"/>
  <c r="E88" i="27"/>
  <c r="D88" i="27"/>
  <c r="C88" i="27"/>
  <c r="B88" i="27"/>
  <c r="A88" i="27"/>
  <c r="L87" i="27"/>
  <c r="K87" i="27"/>
  <c r="J87" i="27"/>
  <c r="I87" i="27"/>
  <c r="H87" i="27"/>
  <c r="G87" i="27"/>
  <c r="F87" i="27"/>
  <c r="E87" i="27"/>
  <c r="D87" i="27"/>
  <c r="C87" i="27"/>
  <c r="B87" i="27"/>
  <c r="A87" i="27"/>
  <c r="L86" i="27"/>
  <c r="K86" i="27"/>
  <c r="J86" i="27"/>
  <c r="I86" i="27"/>
  <c r="H86" i="27"/>
  <c r="G86" i="27"/>
  <c r="F86" i="27"/>
  <c r="E86" i="27"/>
  <c r="D86" i="27"/>
  <c r="C86" i="27"/>
  <c r="B86" i="27"/>
  <c r="A86" i="27"/>
  <c r="L85" i="27"/>
  <c r="K85" i="27"/>
  <c r="J85" i="27"/>
  <c r="I85" i="27"/>
  <c r="H85" i="27"/>
  <c r="G85" i="27"/>
  <c r="F85" i="27"/>
  <c r="E85" i="27"/>
  <c r="D85" i="27"/>
  <c r="C85" i="27"/>
  <c r="B85" i="27"/>
  <c r="A85" i="27"/>
  <c r="L84" i="27"/>
  <c r="K84" i="27"/>
  <c r="J84" i="27"/>
  <c r="I84" i="27"/>
  <c r="H84" i="27"/>
  <c r="G84" i="27"/>
  <c r="F84" i="27"/>
  <c r="E84" i="27"/>
  <c r="D84" i="27"/>
  <c r="C84" i="27"/>
  <c r="B84" i="27"/>
  <c r="A84" i="27"/>
  <c r="L83" i="27"/>
  <c r="K83" i="27"/>
  <c r="J83" i="27"/>
  <c r="I83" i="27"/>
  <c r="H83" i="27"/>
  <c r="G83" i="27"/>
  <c r="F83" i="27"/>
  <c r="E83" i="27"/>
  <c r="D83" i="27"/>
  <c r="C83" i="27"/>
  <c r="B83" i="27"/>
  <c r="A83" i="27"/>
  <c r="L82" i="27"/>
  <c r="K82" i="27"/>
  <c r="J82" i="27"/>
  <c r="I82" i="27"/>
  <c r="H82" i="27"/>
  <c r="G82" i="27"/>
  <c r="F82" i="27"/>
  <c r="E82" i="27"/>
  <c r="D82" i="27"/>
  <c r="C82" i="27"/>
  <c r="B82" i="27"/>
  <c r="A82" i="27"/>
  <c r="L81" i="27"/>
  <c r="K81" i="27"/>
  <c r="J81" i="27"/>
  <c r="I81" i="27"/>
  <c r="H81" i="27"/>
  <c r="G81" i="27"/>
  <c r="F81" i="27"/>
  <c r="E81" i="27"/>
  <c r="D81" i="27"/>
  <c r="C81" i="27"/>
  <c r="B81" i="27"/>
  <c r="A81" i="27"/>
  <c r="L80" i="27"/>
  <c r="K80" i="27"/>
  <c r="J80" i="27"/>
  <c r="I80" i="27"/>
  <c r="H80" i="27"/>
  <c r="G80" i="27"/>
  <c r="F80" i="27"/>
  <c r="E80" i="27"/>
  <c r="D80" i="27"/>
  <c r="C80" i="27"/>
  <c r="B80" i="27"/>
  <c r="A80" i="27"/>
  <c r="L79" i="27"/>
  <c r="K79" i="27"/>
  <c r="J79" i="27"/>
  <c r="I79" i="27"/>
  <c r="H79" i="27"/>
  <c r="G79" i="27"/>
  <c r="F79" i="27"/>
  <c r="E79" i="27"/>
  <c r="D79" i="27"/>
  <c r="C79" i="27"/>
  <c r="B79" i="27"/>
  <c r="A79" i="27"/>
  <c r="L78" i="27"/>
  <c r="K78" i="27"/>
  <c r="J78" i="27"/>
  <c r="I78" i="27"/>
  <c r="H78" i="27"/>
  <c r="G78" i="27"/>
  <c r="F78" i="27"/>
  <c r="E78" i="27"/>
  <c r="D78" i="27"/>
  <c r="C78" i="27"/>
  <c r="B78" i="27"/>
  <c r="A78" i="27"/>
  <c r="L77" i="27"/>
  <c r="K77" i="27"/>
  <c r="J77" i="27"/>
  <c r="I77" i="27"/>
  <c r="H77" i="27"/>
  <c r="G77" i="27"/>
  <c r="F77" i="27"/>
  <c r="E77" i="27"/>
  <c r="D77" i="27"/>
  <c r="C77" i="27"/>
  <c r="B77" i="27"/>
  <c r="A77" i="27"/>
  <c r="L76" i="27"/>
  <c r="K76" i="27"/>
  <c r="J76" i="27"/>
  <c r="I76" i="27"/>
  <c r="H76" i="27"/>
  <c r="G76" i="27"/>
  <c r="F76" i="27"/>
  <c r="E76" i="27"/>
  <c r="D76" i="27"/>
  <c r="C76" i="27"/>
  <c r="B76" i="27"/>
  <c r="A76" i="27"/>
  <c r="L75" i="27"/>
  <c r="K75" i="27"/>
  <c r="J75" i="27"/>
  <c r="I75" i="27"/>
  <c r="H75" i="27"/>
  <c r="G75" i="27"/>
  <c r="F75" i="27"/>
  <c r="E75" i="27"/>
  <c r="D75" i="27"/>
  <c r="C75" i="27"/>
  <c r="B75" i="27"/>
  <c r="A75" i="27"/>
  <c r="L74" i="27"/>
  <c r="K74" i="27"/>
  <c r="J74" i="27"/>
  <c r="I74" i="27"/>
  <c r="H74" i="27"/>
  <c r="G74" i="27"/>
  <c r="F74" i="27"/>
  <c r="E74" i="27"/>
  <c r="D74" i="27"/>
  <c r="C74" i="27"/>
  <c r="B74" i="27"/>
  <c r="A74" i="27"/>
  <c r="L73" i="27"/>
  <c r="K73" i="27"/>
  <c r="J73" i="27"/>
  <c r="I73" i="27"/>
  <c r="H73" i="27"/>
  <c r="G73" i="27"/>
  <c r="F73" i="27"/>
  <c r="E73" i="27"/>
  <c r="D73" i="27"/>
  <c r="C73" i="27"/>
  <c r="B73" i="27"/>
  <c r="A73" i="27"/>
  <c r="L72" i="27"/>
  <c r="K72" i="27"/>
  <c r="J72" i="27"/>
  <c r="I72" i="27"/>
  <c r="H72" i="27"/>
  <c r="G72" i="27"/>
  <c r="F72" i="27"/>
  <c r="E72" i="27"/>
  <c r="D72" i="27"/>
  <c r="C72" i="27"/>
  <c r="B72" i="27"/>
  <c r="A72" i="27"/>
  <c r="L71" i="27"/>
  <c r="K71" i="27"/>
  <c r="J71" i="27"/>
  <c r="I71" i="27"/>
  <c r="H71" i="27"/>
  <c r="G71" i="27"/>
  <c r="F71" i="27"/>
  <c r="E71" i="27"/>
  <c r="D71" i="27"/>
  <c r="C71" i="27"/>
  <c r="B71" i="27"/>
  <c r="A71" i="27"/>
  <c r="L70" i="27"/>
  <c r="K70" i="27"/>
  <c r="J70" i="27"/>
  <c r="I70" i="27"/>
  <c r="H70" i="27"/>
  <c r="G70" i="27"/>
  <c r="F70" i="27"/>
  <c r="E70" i="27"/>
  <c r="D70" i="27"/>
  <c r="C70" i="27"/>
  <c r="B70" i="27"/>
  <c r="A70" i="27"/>
  <c r="L69" i="27"/>
  <c r="K69" i="27"/>
  <c r="J69" i="27"/>
  <c r="I69" i="27"/>
  <c r="H69" i="27"/>
  <c r="G69" i="27"/>
  <c r="F69" i="27"/>
  <c r="E69" i="27"/>
  <c r="D69" i="27"/>
  <c r="C69" i="27"/>
  <c r="B69" i="27"/>
  <c r="A69" i="27"/>
  <c r="L68" i="27"/>
  <c r="K68" i="27"/>
  <c r="J68" i="27"/>
  <c r="I68" i="27"/>
  <c r="H68" i="27"/>
  <c r="G68" i="27"/>
  <c r="F68" i="27"/>
  <c r="E68" i="27"/>
  <c r="D68" i="27"/>
  <c r="C68" i="27"/>
  <c r="B68" i="27"/>
  <c r="A68" i="27"/>
  <c r="L67" i="27"/>
  <c r="K67" i="27"/>
  <c r="J67" i="27"/>
  <c r="I67" i="27"/>
  <c r="H67" i="27"/>
  <c r="G67" i="27"/>
  <c r="F67" i="27"/>
  <c r="E67" i="27"/>
  <c r="D67" i="27"/>
  <c r="C67" i="27"/>
  <c r="B67" i="27"/>
  <c r="A67" i="27"/>
  <c r="L66" i="27"/>
  <c r="K66" i="27"/>
  <c r="J66" i="27"/>
  <c r="I66" i="27"/>
  <c r="H66" i="27"/>
  <c r="G66" i="27"/>
  <c r="F66" i="27"/>
  <c r="E66" i="27"/>
  <c r="D66" i="27"/>
  <c r="C66" i="27"/>
  <c r="B66" i="27"/>
  <c r="A66" i="27"/>
  <c r="L65" i="27"/>
  <c r="K65" i="27"/>
  <c r="J65" i="27"/>
  <c r="I65" i="27"/>
  <c r="H65" i="27"/>
  <c r="G65" i="27"/>
  <c r="F65" i="27"/>
  <c r="E65" i="27"/>
  <c r="D65" i="27"/>
  <c r="C65" i="27"/>
  <c r="B65" i="27"/>
  <c r="A65" i="27"/>
  <c r="L64" i="27"/>
  <c r="K64" i="27"/>
  <c r="J64" i="27"/>
  <c r="I64" i="27"/>
  <c r="H64" i="27"/>
  <c r="G64" i="27"/>
  <c r="F64" i="27"/>
  <c r="E64" i="27"/>
  <c r="D64" i="27"/>
  <c r="C64" i="27"/>
  <c r="B64" i="27"/>
  <c r="A64" i="27"/>
  <c r="L63" i="27"/>
  <c r="K63" i="27"/>
  <c r="J63" i="27"/>
  <c r="I63" i="27"/>
  <c r="H63" i="27"/>
  <c r="G63" i="27"/>
  <c r="F63" i="27"/>
  <c r="E63" i="27"/>
  <c r="D63" i="27"/>
  <c r="C63" i="27"/>
  <c r="B63" i="27"/>
  <c r="A63" i="27"/>
  <c r="L62" i="27"/>
  <c r="K62" i="27"/>
  <c r="J62" i="27"/>
  <c r="I62" i="27"/>
  <c r="H62" i="27"/>
  <c r="G62" i="27"/>
  <c r="F62" i="27"/>
  <c r="E62" i="27"/>
  <c r="D62" i="27"/>
  <c r="C62" i="27"/>
  <c r="B62" i="27"/>
  <c r="A62" i="27"/>
  <c r="L61" i="27"/>
  <c r="K61" i="27"/>
  <c r="J61" i="27"/>
  <c r="I61" i="27"/>
  <c r="H61" i="27"/>
  <c r="G61" i="27"/>
  <c r="F61" i="27"/>
  <c r="E61" i="27"/>
  <c r="D61" i="27"/>
  <c r="C61" i="27"/>
  <c r="B61" i="27"/>
  <c r="A61" i="27"/>
  <c r="L60" i="27"/>
  <c r="K60" i="27"/>
  <c r="J60" i="27"/>
  <c r="I60" i="27"/>
  <c r="H60" i="27"/>
  <c r="G60" i="27"/>
  <c r="F60" i="27"/>
  <c r="E60" i="27"/>
  <c r="D60" i="27"/>
  <c r="C60" i="27"/>
  <c r="B60" i="27"/>
  <c r="A60" i="27"/>
  <c r="L59" i="27"/>
  <c r="K59" i="27"/>
  <c r="J59" i="27"/>
  <c r="I59" i="27"/>
  <c r="H59" i="27"/>
  <c r="G59" i="27"/>
  <c r="F59" i="27"/>
  <c r="E59" i="27"/>
  <c r="D59" i="27"/>
  <c r="C59" i="27"/>
  <c r="B59" i="27"/>
  <c r="A59" i="27"/>
  <c r="L58" i="27"/>
  <c r="K58" i="27"/>
  <c r="J58" i="27"/>
  <c r="I58" i="27"/>
  <c r="H58" i="27"/>
  <c r="G58" i="27"/>
  <c r="F58" i="27"/>
  <c r="E58" i="27"/>
  <c r="D58" i="27"/>
  <c r="C58" i="27"/>
  <c r="B58" i="27"/>
  <c r="A58" i="27"/>
  <c r="L57" i="27"/>
  <c r="K57" i="27"/>
  <c r="J57" i="27"/>
  <c r="I57" i="27"/>
  <c r="H57" i="27"/>
  <c r="G57" i="27"/>
  <c r="F57" i="27"/>
  <c r="E57" i="27"/>
  <c r="D57" i="27"/>
  <c r="C57" i="27"/>
  <c r="B57" i="27"/>
  <c r="A57" i="27"/>
  <c r="L56" i="27"/>
  <c r="K56" i="27"/>
  <c r="J56" i="27"/>
  <c r="I56" i="27"/>
  <c r="H56" i="27"/>
  <c r="G56" i="27"/>
  <c r="F56" i="27"/>
  <c r="E56" i="27"/>
  <c r="D56" i="27"/>
  <c r="C56" i="27"/>
  <c r="B56" i="27"/>
  <c r="A56" i="27"/>
  <c r="L55" i="27"/>
  <c r="K55" i="27"/>
  <c r="J55" i="27"/>
  <c r="I55" i="27"/>
  <c r="H55" i="27"/>
  <c r="G55" i="27"/>
  <c r="F55" i="27"/>
  <c r="E55" i="27"/>
  <c r="D55" i="27"/>
  <c r="C55" i="27"/>
  <c r="B55" i="27"/>
  <c r="A55" i="27"/>
  <c r="L54" i="27"/>
  <c r="K54" i="27"/>
  <c r="J54" i="27"/>
  <c r="I54" i="27"/>
  <c r="H54" i="27"/>
  <c r="G54" i="27"/>
  <c r="F54" i="27"/>
  <c r="E54" i="27"/>
  <c r="D54" i="27"/>
  <c r="C54" i="27"/>
  <c r="B54" i="27"/>
  <c r="A54" i="27"/>
  <c r="L53" i="27"/>
  <c r="K53" i="27"/>
  <c r="J53" i="27"/>
  <c r="I53" i="27"/>
  <c r="H53" i="27"/>
  <c r="G53" i="27"/>
  <c r="F53" i="27"/>
  <c r="E53" i="27"/>
  <c r="D53" i="27"/>
  <c r="C53" i="27"/>
  <c r="B53" i="27"/>
  <c r="A53" i="27"/>
  <c r="L52" i="27"/>
  <c r="K52" i="27"/>
  <c r="J52" i="27"/>
  <c r="I52" i="27"/>
  <c r="H52" i="27"/>
  <c r="G52" i="27"/>
  <c r="F52" i="27"/>
  <c r="E52" i="27"/>
  <c r="D52" i="27"/>
  <c r="C52" i="27"/>
  <c r="B52" i="27"/>
  <c r="A52" i="27"/>
  <c r="L51" i="27"/>
  <c r="K51" i="27"/>
  <c r="J51" i="27"/>
  <c r="I51" i="27"/>
  <c r="H51" i="27"/>
  <c r="G51" i="27"/>
  <c r="F51" i="27"/>
  <c r="E51" i="27"/>
  <c r="D51" i="27"/>
  <c r="C51" i="27"/>
  <c r="B51" i="27"/>
  <c r="A51" i="27"/>
  <c r="L50" i="27"/>
  <c r="K50" i="27"/>
  <c r="J50" i="27"/>
  <c r="I50" i="27"/>
  <c r="H50" i="27"/>
  <c r="G50" i="27"/>
  <c r="F50" i="27"/>
  <c r="E50" i="27"/>
  <c r="D50" i="27"/>
  <c r="C50" i="27"/>
  <c r="B50" i="27"/>
  <c r="A50" i="27"/>
  <c r="L49" i="27"/>
  <c r="K49" i="27"/>
  <c r="J49" i="27"/>
  <c r="I49" i="27"/>
  <c r="H49" i="27"/>
  <c r="G49" i="27"/>
  <c r="F49" i="27"/>
  <c r="E49" i="27"/>
  <c r="D49" i="27"/>
  <c r="C49" i="27"/>
  <c r="B49" i="27"/>
  <c r="A49" i="27"/>
  <c r="L48" i="27"/>
  <c r="K48" i="27"/>
  <c r="J48" i="27"/>
  <c r="I48" i="27"/>
  <c r="H48" i="27"/>
  <c r="G48" i="27"/>
  <c r="F48" i="27"/>
  <c r="E48" i="27"/>
  <c r="D48" i="27"/>
  <c r="C48" i="27"/>
  <c r="B48" i="27"/>
  <c r="A48" i="27"/>
  <c r="L47" i="27"/>
  <c r="K47" i="27"/>
  <c r="J47" i="27"/>
  <c r="I47" i="27"/>
  <c r="H47" i="27"/>
  <c r="G47" i="27"/>
  <c r="F47" i="27"/>
  <c r="E47" i="27"/>
  <c r="D47" i="27"/>
  <c r="C47" i="27"/>
  <c r="B47" i="27"/>
  <c r="A47" i="27"/>
  <c r="L46" i="27"/>
  <c r="K46" i="27"/>
  <c r="J46" i="27"/>
  <c r="I46" i="27"/>
  <c r="H46" i="27"/>
  <c r="G46" i="27"/>
  <c r="F46" i="27"/>
  <c r="E46" i="27"/>
  <c r="D46" i="27"/>
  <c r="C46" i="27"/>
  <c r="B46" i="27"/>
  <c r="A46" i="27"/>
  <c r="L45" i="27"/>
  <c r="K45" i="27"/>
  <c r="J45" i="27"/>
  <c r="I45" i="27"/>
  <c r="H45" i="27"/>
  <c r="G45" i="27"/>
  <c r="F45" i="27"/>
  <c r="E45" i="27"/>
  <c r="D45" i="27"/>
  <c r="C45" i="27"/>
  <c r="B45" i="27"/>
  <c r="A45" i="27"/>
  <c r="L44" i="27"/>
  <c r="K44" i="27"/>
  <c r="J44" i="27"/>
  <c r="I44" i="27"/>
  <c r="H44" i="27"/>
  <c r="G44" i="27"/>
  <c r="F44" i="27"/>
  <c r="E44" i="27"/>
  <c r="D44" i="27"/>
  <c r="C44" i="27"/>
  <c r="B44" i="27"/>
  <c r="A44" i="27"/>
  <c r="L43" i="27"/>
  <c r="K43" i="27"/>
  <c r="J43" i="27"/>
  <c r="I43" i="27"/>
  <c r="H43" i="27"/>
  <c r="G43" i="27"/>
  <c r="F43" i="27"/>
  <c r="E43" i="27"/>
  <c r="D43" i="27"/>
  <c r="C43" i="27"/>
  <c r="B43" i="27"/>
  <c r="A43" i="27"/>
  <c r="L42" i="27"/>
  <c r="K42" i="27"/>
  <c r="J42" i="27"/>
  <c r="I42" i="27"/>
  <c r="H42" i="27"/>
  <c r="G42" i="27"/>
  <c r="F42" i="27"/>
  <c r="E42" i="27"/>
  <c r="D42" i="27"/>
  <c r="C42" i="27"/>
  <c r="B42" i="27"/>
  <c r="A42" i="27"/>
  <c r="L41" i="27"/>
  <c r="K41" i="27"/>
  <c r="J41" i="27"/>
  <c r="I41" i="27"/>
  <c r="H41" i="27"/>
  <c r="G41" i="27"/>
  <c r="F41" i="27"/>
  <c r="E41" i="27"/>
  <c r="D41" i="27"/>
  <c r="C41" i="27"/>
  <c r="B41" i="27"/>
  <c r="A41" i="27"/>
  <c r="L40" i="27"/>
  <c r="K40" i="27"/>
  <c r="J40" i="27"/>
  <c r="I40" i="27"/>
  <c r="H40" i="27"/>
  <c r="G40" i="27"/>
  <c r="F40" i="27"/>
  <c r="E40" i="27"/>
  <c r="D40" i="27"/>
  <c r="C40" i="27"/>
  <c r="B40" i="27"/>
  <c r="A40" i="27"/>
  <c r="L39" i="27"/>
  <c r="K39" i="27"/>
  <c r="J39" i="27"/>
  <c r="I39" i="27"/>
  <c r="H39" i="27"/>
  <c r="G39" i="27"/>
  <c r="F39" i="27"/>
  <c r="E39" i="27"/>
  <c r="D39" i="27"/>
  <c r="C39" i="27"/>
  <c r="B39" i="27"/>
  <c r="A39" i="27"/>
  <c r="L38" i="27"/>
  <c r="K38" i="27"/>
  <c r="J38" i="27"/>
  <c r="I38" i="27"/>
  <c r="H38" i="27"/>
  <c r="G38" i="27"/>
  <c r="F38" i="27"/>
  <c r="E38" i="27"/>
  <c r="D38" i="27"/>
  <c r="C38" i="27"/>
  <c r="B38" i="27"/>
  <c r="A38" i="27"/>
  <c r="L37" i="27"/>
  <c r="K37" i="27"/>
  <c r="J37" i="27"/>
  <c r="I37" i="27"/>
  <c r="H37" i="27"/>
  <c r="G37" i="27"/>
  <c r="F37" i="27"/>
  <c r="E37" i="27"/>
  <c r="D37" i="27"/>
  <c r="C37" i="27"/>
  <c r="B37" i="27"/>
  <c r="A37" i="27"/>
  <c r="L36" i="27"/>
  <c r="K36" i="27"/>
  <c r="J36" i="27"/>
  <c r="I36" i="27"/>
  <c r="H36" i="27"/>
  <c r="G36" i="27"/>
  <c r="F36" i="27"/>
  <c r="E36" i="27"/>
  <c r="D36" i="27"/>
  <c r="C36" i="27"/>
  <c r="B36" i="27"/>
  <c r="A36" i="27"/>
  <c r="L35" i="27"/>
  <c r="K35" i="27"/>
  <c r="J35" i="27"/>
  <c r="I35" i="27"/>
  <c r="H35" i="27"/>
  <c r="G35" i="27"/>
  <c r="F35" i="27"/>
  <c r="E35" i="27"/>
  <c r="D35" i="27"/>
  <c r="C35" i="27"/>
  <c r="B35" i="27"/>
  <c r="A35" i="27"/>
  <c r="L34" i="27"/>
  <c r="K34" i="27"/>
  <c r="J34" i="27"/>
  <c r="I34" i="27"/>
  <c r="H34" i="27"/>
  <c r="G34" i="27"/>
  <c r="F34" i="27"/>
  <c r="E34" i="27"/>
  <c r="D34" i="27"/>
  <c r="C34" i="27"/>
  <c r="B34" i="27"/>
  <c r="A34" i="27"/>
  <c r="L33" i="27"/>
  <c r="K33" i="27"/>
  <c r="J33" i="27"/>
  <c r="I33" i="27"/>
  <c r="H33" i="27"/>
  <c r="G33" i="27"/>
  <c r="F33" i="27"/>
  <c r="E33" i="27"/>
  <c r="D33" i="27"/>
  <c r="C33" i="27"/>
  <c r="B33" i="27"/>
  <c r="A33" i="27"/>
  <c r="L32" i="27"/>
  <c r="K32" i="27"/>
  <c r="J32" i="27"/>
  <c r="I32" i="27"/>
  <c r="H32" i="27"/>
  <c r="G32" i="27"/>
  <c r="F32" i="27"/>
  <c r="E32" i="27"/>
  <c r="D32" i="27"/>
  <c r="C32" i="27"/>
  <c r="B32" i="27"/>
  <c r="A32" i="27"/>
  <c r="L31" i="27"/>
  <c r="K31" i="27"/>
  <c r="J31" i="27"/>
  <c r="I31" i="27"/>
  <c r="H31" i="27"/>
  <c r="G31" i="27"/>
  <c r="F31" i="27"/>
  <c r="E31" i="27"/>
  <c r="D31" i="27"/>
  <c r="C31" i="27"/>
  <c r="B31" i="27"/>
  <c r="A31" i="27"/>
  <c r="L30" i="27"/>
  <c r="K30" i="27"/>
  <c r="J30" i="27"/>
  <c r="I30" i="27"/>
  <c r="H30" i="27"/>
  <c r="G30" i="27"/>
  <c r="F30" i="27"/>
  <c r="E30" i="27"/>
  <c r="D30" i="27"/>
  <c r="C30" i="27"/>
  <c r="B30" i="27"/>
  <c r="A30" i="27"/>
  <c r="L29" i="27"/>
  <c r="K29" i="27"/>
  <c r="J29" i="27"/>
  <c r="I29" i="27"/>
  <c r="H29" i="27"/>
  <c r="G29" i="27"/>
  <c r="F29" i="27"/>
  <c r="E29" i="27"/>
  <c r="D29" i="27"/>
  <c r="C29" i="27"/>
  <c r="B29" i="27"/>
  <c r="A29" i="27"/>
  <c r="L28" i="27"/>
  <c r="K28" i="27"/>
  <c r="J28" i="27"/>
  <c r="I28" i="27"/>
  <c r="H28" i="27"/>
  <c r="G28" i="27"/>
  <c r="F28" i="27"/>
  <c r="E28" i="27"/>
  <c r="D28" i="27"/>
  <c r="C28" i="27"/>
  <c r="B28" i="27"/>
  <c r="A28" i="27"/>
  <c r="L27" i="27"/>
  <c r="K27" i="27"/>
  <c r="J27" i="27"/>
  <c r="I27" i="27"/>
  <c r="H27" i="27"/>
  <c r="G27" i="27"/>
  <c r="F27" i="27"/>
  <c r="E27" i="27"/>
  <c r="D27" i="27"/>
  <c r="C27" i="27"/>
  <c r="B27" i="27"/>
  <c r="A27" i="27"/>
  <c r="L26" i="27"/>
  <c r="K26" i="27"/>
  <c r="J26" i="27"/>
  <c r="I26" i="27"/>
  <c r="H26" i="27"/>
  <c r="G26" i="27"/>
  <c r="F26" i="27"/>
  <c r="E26" i="27"/>
  <c r="D26" i="27"/>
  <c r="C26" i="27"/>
  <c r="B26" i="27"/>
  <c r="A26" i="27"/>
  <c r="L25" i="27"/>
  <c r="K25" i="27"/>
  <c r="J25" i="27"/>
  <c r="I25" i="27"/>
  <c r="H25" i="27"/>
  <c r="G25" i="27"/>
  <c r="F25" i="27"/>
  <c r="E25" i="27"/>
  <c r="D25" i="27"/>
  <c r="C25" i="27"/>
  <c r="B25" i="27"/>
  <c r="A25" i="27"/>
  <c r="L24" i="27"/>
  <c r="K24" i="27"/>
  <c r="J24" i="27"/>
  <c r="I24" i="27"/>
  <c r="H24" i="27"/>
  <c r="G24" i="27"/>
  <c r="F24" i="27"/>
  <c r="E24" i="27"/>
  <c r="D24" i="27"/>
  <c r="C24" i="27"/>
  <c r="B24" i="27"/>
  <c r="A24" i="27"/>
  <c r="L23" i="27"/>
  <c r="K23" i="27"/>
  <c r="J23" i="27"/>
  <c r="I23" i="27"/>
  <c r="H23" i="27"/>
  <c r="G23" i="27"/>
  <c r="F23" i="27"/>
  <c r="E23" i="27"/>
  <c r="D23" i="27"/>
  <c r="C23" i="27"/>
  <c r="B23" i="27"/>
  <c r="A23" i="27"/>
  <c r="L22" i="27"/>
  <c r="K22" i="27"/>
  <c r="J22" i="27"/>
  <c r="I22" i="27"/>
  <c r="H22" i="27"/>
  <c r="G22" i="27"/>
  <c r="F22" i="27"/>
  <c r="E22" i="27"/>
  <c r="D22" i="27"/>
  <c r="C22" i="27"/>
  <c r="B22" i="27"/>
  <c r="A22" i="27"/>
  <c r="L21" i="27"/>
  <c r="K21" i="27"/>
  <c r="J21" i="27"/>
  <c r="I21" i="27"/>
  <c r="H21" i="27"/>
  <c r="G21" i="27"/>
  <c r="F21" i="27"/>
  <c r="E21" i="27"/>
  <c r="D21" i="27"/>
  <c r="C21" i="27"/>
  <c r="B21" i="27"/>
  <c r="A21" i="27"/>
  <c r="L20" i="27"/>
  <c r="K20" i="27"/>
  <c r="J20" i="27"/>
  <c r="I20" i="27"/>
  <c r="H20" i="27"/>
  <c r="G20" i="27"/>
  <c r="F20" i="27"/>
  <c r="E20" i="27"/>
  <c r="D20" i="27"/>
  <c r="C20" i="27"/>
  <c r="B20" i="27"/>
  <c r="A20" i="27"/>
  <c r="L19" i="27"/>
  <c r="K19" i="27"/>
  <c r="J19" i="27"/>
  <c r="I19" i="27"/>
  <c r="H19" i="27"/>
  <c r="G19" i="27"/>
  <c r="F19" i="27"/>
  <c r="E19" i="27"/>
  <c r="D19" i="27"/>
  <c r="C19" i="27"/>
  <c r="B19" i="27"/>
  <c r="A19" i="27"/>
  <c r="L18" i="27"/>
  <c r="K18" i="27"/>
  <c r="J18" i="27"/>
  <c r="I18" i="27"/>
  <c r="H18" i="27"/>
  <c r="G18" i="27"/>
  <c r="F18" i="27"/>
  <c r="E18" i="27"/>
  <c r="D18" i="27"/>
  <c r="C18" i="27"/>
  <c r="B18" i="27"/>
  <c r="A18" i="27"/>
  <c r="L17" i="27"/>
  <c r="K17" i="27"/>
  <c r="J17" i="27"/>
  <c r="I17" i="27"/>
  <c r="H17" i="27"/>
  <c r="G17" i="27"/>
  <c r="F17" i="27"/>
  <c r="E17" i="27"/>
  <c r="D17" i="27"/>
  <c r="C17" i="27"/>
  <c r="B17" i="27"/>
  <c r="A17" i="27"/>
  <c r="L16" i="27"/>
  <c r="K16" i="27"/>
  <c r="J16" i="27"/>
  <c r="I16" i="27"/>
  <c r="H16" i="27"/>
  <c r="G16" i="27"/>
  <c r="F16" i="27"/>
  <c r="E16" i="27"/>
  <c r="D16" i="27"/>
  <c r="C16" i="27"/>
  <c r="B16" i="27"/>
  <c r="A16" i="27"/>
  <c r="L15" i="27"/>
  <c r="K15" i="27"/>
  <c r="J15" i="27"/>
  <c r="I15" i="27"/>
  <c r="H15" i="27"/>
  <c r="G15" i="27"/>
  <c r="F15" i="27"/>
  <c r="E15" i="27"/>
  <c r="D15" i="27"/>
  <c r="C15" i="27"/>
  <c r="B15" i="27"/>
  <c r="A15" i="27"/>
  <c r="L14" i="27"/>
  <c r="K14" i="27"/>
  <c r="J14" i="27"/>
  <c r="I14" i="27"/>
  <c r="H14" i="27"/>
  <c r="G14" i="27"/>
  <c r="F14" i="27"/>
  <c r="E14" i="27"/>
  <c r="D14" i="27"/>
  <c r="C14" i="27"/>
  <c r="B14" i="27"/>
  <c r="A14" i="27"/>
  <c r="L13" i="27"/>
  <c r="K13" i="27"/>
  <c r="J13" i="27"/>
  <c r="I13" i="27"/>
  <c r="H13" i="27"/>
  <c r="G13" i="27"/>
  <c r="F13" i="27"/>
  <c r="E13" i="27"/>
  <c r="D13" i="27"/>
  <c r="C13" i="27"/>
  <c r="B13" i="27"/>
  <c r="A13" i="27"/>
  <c r="L12" i="27"/>
  <c r="K12" i="27"/>
  <c r="J12" i="27"/>
  <c r="I12" i="27"/>
  <c r="H12" i="27"/>
  <c r="G12" i="27"/>
  <c r="F12" i="27"/>
  <c r="E12" i="27"/>
  <c r="D12" i="27"/>
  <c r="C12" i="27"/>
  <c r="B12" i="27"/>
  <c r="A12" i="27"/>
  <c r="L11" i="27"/>
  <c r="K11" i="27"/>
  <c r="J11" i="27"/>
  <c r="I11" i="27"/>
  <c r="H11" i="27"/>
  <c r="G11" i="27"/>
  <c r="F11" i="27"/>
  <c r="E11" i="27"/>
  <c r="D11" i="27"/>
  <c r="C11" i="27"/>
  <c r="B11" i="27"/>
  <c r="A11" i="27"/>
  <c r="L10" i="27"/>
  <c r="K10" i="27"/>
  <c r="J10" i="27"/>
  <c r="I10" i="27"/>
  <c r="H10" i="27"/>
  <c r="G10" i="27"/>
  <c r="F10" i="27"/>
  <c r="E10" i="27"/>
  <c r="D10" i="27"/>
  <c r="C10" i="27"/>
  <c r="B10" i="27"/>
  <c r="A10" i="27"/>
  <c r="L9" i="27"/>
  <c r="K9" i="27"/>
  <c r="J9" i="27"/>
  <c r="I9" i="27"/>
  <c r="H9" i="27"/>
  <c r="G9" i="27"/>
  <c r="F9" i="27"/>
  <c r="E9" i="27"/>
  <c r="D9" i="27"/>
  <c r="C9" i="27"/>
  <c r="B9" i="27"/>
  <c r="A9" i="27"/>
  <c r="L8" i="27"/>
  <c r="K8" i="27"/>
  <c r="J8" i="27"/>
  <c r="I8" i="27"/>
  <c r="H8" i="27"/>
  <c r="G8" i="27"/>
  <c r="F8" i="27"/>
  <c r="E8" i="27"/>
  <c r="D8" i="27"/>
  <c r="C8" i="27"/>
  <c r="B8" i="27"/>
  <c r="A8" i="27"/>
  <c r="L7" i="27"/>
  <c r="K7" i="27"/>
  <c r="J7" i="27"/>
  <c r="I7" i="27"/>
  <c r="H7" i="27"/>
  <c r="G7" i="27"/>
  <c r="F7" i="27"/>
  <c r="E7" i="27"/>
  <c r="D7" i="27"/>
  <c r="C7" i="27"/>
  <c r="B7" i="27"/>
  <c r="A7" i="27"/>
  <c r="L6" i="27"/>
  <c r="K6" i="27"/>
  <c r="J6" i="27"/>
  <c r="I6" i="27"/>
  <c r="H6" i="27"/>
  <c r="G6" i="27"/>
  <c r="F6" i="27"/>
  <c r="E6" i="27"/>
  <c r="D6" i="27"/>
  <c r="C6" i="27"/>
  <c r="B6" i="27"/>
  <c r="A6" i="27"/>
  <c r="L5" i="27"/>
  <c r="K5" i="27"/>
  <c r="J5" i="27"/>
  <c r="I5" i="27"/>
  <c r="H5" i="27"/>
  <c r="G5" i="27"/>
  <c r="F5" i="27"/>
  <c r="E5" i="27"/>
  <c r="D5" i="27"/>
  <c r="C5" i="27"/>
  <c r="B5" i="27"/>
  <c r="A5" i="27"/>
  <c r="L4" i="27"/>
  <c r="K4" i="27"/>
  <c r="J4" i="27"/>
  <c r="I4" i="27"/>
  <c r="H4" i="27"/>
  <c r="G4" i="27"/>
  <c r="F4" i="27"/>
  <c r="E4" i="27"/>
  <c r="D4" i="27"/>
  <c r="C4" i="27"/>
  <c r="B4" i="27"/>
  <c r="A4" i="27"/>
  <c r="L3" i="27"/>
  <c r="K3" i="27"/>
  <c r="J3" i="27"/>
  <c r="I3" i="27"/>
  <c r="H3" i="27"/>
  <c r="G3" i="27"/>
  <c r="F3" i="27"/>
  <c r="E3" i="27"/>
  <c r="D3" i="27"/>
  <c r="C3" i="27"/>
  <c r="B3" i="27"/>
  <c r="A3" i="27"/>
  <c r="L2" i="27"/>
  <c r="K2" i="27"/>
  <c r="J2" i="27"/>
  <c r="I2" i="27"/>
  <c r="H2" i="27"/>
  <c r="G2" i="27"/>
  <c r="F2" i="27"/>
  <c r="E2" i="27"/>
  <c r="D2" i="27"/>
  <c r="C2" i="27"/>
  <c r="B2" i="27"/>
  <c r="A2" i="27"/>
  <c r="L1" i="27"/>
  <c r="K1" i="27"/>
  <c r="J1" i="27"/>
  <c r="I1" i="27"/>
  <c r="H1" i="27"/>
  <c r="G1" i="27"/>
  <c r="F1" i="27"/>
  <c r="E1" i="27"/>
  <c r="D1" i="27"/>
  <c r="C1" i="27"/>
  <c r="B1" i="27"/>
  <c r="A1" i="27"/>
  <c r="L400" i="26"/>
  <c r="K400" i="26"/>
  <c r="J400" i="26"/>
  <c r="I400" i="26"/>
  <c r="H400" i="26"/>
  <c r="G400" i="26"/>
  <c r="F400" i="26"/>
  <c r="E400" i="26"/>
  <c r="D400" i="26"/>
  <c r="C400" i="26"/>
  <c r="B400" i="26"/>
  <c r="A400" i="26"/>
  <c r="L399" i="26"/>
  <c r="K399" i="26"/>
  <c r="J399" i="26"/>
  <c r="I399" i="26"/>
  <c r="H399" i="26"/>
  <c r="G399" i="26"/>
  <c r="F399" i="26"/>
  <c r="E399" i="26"/>
  <c r="D399" i="26"/>
  <c r="C399" i="26"/>
  <c r="B399" i="26"/>
  <c r="A399" i="26"/>
  <c r="L398" i="26"/>
  <c r="K398" i="26"/>
  <c r="J398" i="26"/>
  <c r="I398" i="26"/>
  <c r="H398" i="26"/>
  <c r="G398" i="26"/>
  <c r="F398" i="26"/>
  <c r="E398" i="26"/>
  <c r="D398" i="26"/>
  <c r="C398" i="26"/>
  <c r="B398" i="26"/>
  <c r="A398" i="26"/>
  <c r="L397" i="26"/>
  <c r="K397" i="26"/>
  <c r="J397" i="26"/>
  <c r="I397" i="26"/>
  <c r="H397" i="26"/>
  <c r="G397" i="26"/>
  <c r="F397" i="26"/>
  <c r="E397" i="26"/>
  <c r="D397" i="26"/>
  <c r="C397" i="26"/>
  <c r="B397" i="26"/>
  <c r="A397" i="26"/>
  <c r="L396" i="26"/>
  <c r="K396" i="26"/>
  <c r="J396" i="26"/>
  <c r="I396" i="26"/>
  <c r="H396" i="26"/>
  <c r="G396" i="26"/>
  <c r="F396" i="26"/>
  <c r="E396" i="26"/>
  <c r="D396" i="26"/>
  <c r="C396" i="26"/>
  <c r="B396" i="26"/>
  <c r="A396" i="26"/>
  <c r="L395" i="26"/>
  <c r="K395" i="26"/>
  <c r="J395" i="26"/>
  <c r="I395" i="26"/>
  <c r="H395" i="26"/>
  <c r="G395" i="26"/>
  <c r="F395" i="26"/>
  <c r="E395" i="26"/>
  <c r="D395" i="26"/>
  <c r="C395" i="26"/>
  <c r="B395" i="26"/>
  <c r="A395" i="26"/>
  <c r="L394" i="26"/>
  <c r="K394" i="26"/>
  <c r="J394" i="26"/>
  <c r="I394" i="26"/>
  <c r="H394" i="26"/>
  <c r="G394" i="26"/>
  <c r="F394" i="26"/>
  <c r="E394" i="26"/>
  <c r="D394" i="26"/>
  <c r="C394" i="26"/>
  <c r="B394" i="26"/>
  <c r="A394" i="26"/>
  <c r="L393" i="26"/>
  <c r="K393" i="26"/>
  <c r="J393" i="26"/>
  <c r="I393" i="26"/>
  <c r="H393" i="26"/>
  <c r="G393" i="26"/>
  <c r="F393" i="26"/>
  <c r="E393" i="26"/>
  <c r="D393" i="26"/>
  <c r="C393" i="26"/>
  <c r="B393" i="26"/>
  <c r="A393" i="26"/>
  <c r="L392" i="26"/>
  <c r="K392" i="26"/>
  <c r="J392" i="26"/>
  <c r="I392" i="26"/>
  <c r="H392" i="26"/>
  <c r="G392" i="26"/>
  <c r="F392" i="26"/>
  <c r="E392" i="26"/>
  <c r="D392" i="26"/>
  <c r="C392" i="26"/>
  <c r="B392" i="26"/>
  <c r="A392" i="26"/>
  <c r="L391" i="26"/>
  <c r="K391" i="26"/>
  <c r="J391" i="26"/>
  <c r="I391" i="26"/>
  <c r="H391" i="26"/>
  <c r="G391" i="26"/>
  <c r="F391" i="26"/>
  <c r="E391" i="26"/>
  <c r="D391" i="26"/>
  <c r="C391" i="26"/>
  <c r="B391" i="26"/>
  <c r="A391" i="26"/>
  <c r="L390" i="26"/>
  <c r="K390" i="26"/>
  <c r="J390" i="26"/>
  <c r="I390" i="26"/>
  <c r="H390" i="26"/>
  <c r="G390" i="26"/>
  <c r="F390" i="26"/>
  <c r="E390" i="26"/>
  <c r="D390" i="26"/>
  <c r="C390" i="26"/>
  <c r="B390" i="26"/>
  <c r="A390" i="26"/>
  <c r="L389" i="26"/>
  <c r="K389" i="26"/>
  <c r="J389" i="26"/>
  <c r="I389" i="26"/>
  <c r="H389" i="26"/>
  <c r="G389" i="26"/>
  <c r="F389" i="26"/>
  <c r="E389" i="26"/>
  <c r="D389" i="26"/>
  <c r="C389" i="26"/>
  <c r="B389" i="26"/>
  <c r="A389" i="26"/>
  <c r="L388" i="26"/>
  <c r="K388" i="26"/>
  <c r="J388" i="26"/>
  <c r="I388" i="26"/>
  <c r="H388" i="26"/>
  <c r="G388" i="26"/>
  <c r="F388" i="26"/>
  <c r="E388" i="26"/>
  <c r="D388" i="26"/>
  <c r="C388" i="26"/>
  <c r="B388" i="26"/>
  <c r="A388" i="26"/>
  <c r="L387" i="26"/>
  <c r="K387" i="26"/>
  <c r="J387" i="26"/>
  <c r="I387" i="26"/>
  <c r="H387" i="26"/>
  <c r="G387" i="26"/>
  <c r="F387" i="26"/>
  <c r="E387" i="26"/>
  <c r="D387" i="26"/>
  <c r="C387" i="26"/>
  <c r="B387" i="26"/>
  <c r="A387" i="26"/>
  <c r="L386" i="26"/>
  <c r="K386" i="26"/>
  <c r="J386" i="26"/>
  <c r="I386" i="26"/>
  <c r="H386" i="26"/>
  <c r="G386" i="26"/>
  <c r="F386" i="26"/>
  <c r="E386" i="26"/>
  <c r="D386" i="26"/>
  <c r="C386" i="26"/>
  <c r="B386" i="26"/>
  <c r="A386" i="26"/>
  <c r="L385" i="26"/>
  <c r="K385" i="26"/>
  <c r="J385" i="26"/>
  <c r="I385" i="26"/>
  <c r="H385" i="26"/>
  <c r="G385" i="26"/>
  <c r="F385" i="26"/>
  <c r="E385" i="26"/>
  <c r="D385" i="26"/>
  <c r="C385" i="26"/>
  <c r="B385" i="26"/>
  <c r="A385" i="26"/>
  <c r="L384" i="26"/>
  <c r="K384" i="26"/>
  <c r="J384" i="26"/>
  <c r="I384" i="26"/>
  <c r="H384" i="26"/>
  <c r="G384" i="26"/>
  <c r="F384" i="26"/>
  <c r="E384" i="26"/>
  <c r="D384" i="26"/>
  <c r="C384" i="26"/>
  <c r="B384" i="26"/>
  <c r="A384" i="26"/>
  <c r="L383" i="26"/>
  <c r="K383" i="26"/>
  <c r="J383" i="26"/>
  <c r="I383" i="26"/>
  <c r="H383" i="26"/>
  <c r="G383" i="26"/>
  <c r="F383" i="26"/>
  <c r="E383" i="26"/>
  <c r="D383" i="26"/>
  <c r="C383" i="26"/>
  <c r="B383" i="26"/>
  <c r="A383" i="26"/>
  <c r="L382" i="26"/>
  <c r="K382" i="26"/>
  <c r="J382" i="26"/>
  <c r="I382" i="26"/>
  <c r="H382" i="26"/>
  <c r="G382" i="26"/>
  <c r="F382" i="26"/>
  <c r="E382" i="26"/>
  <c r="D382" i="26"/>
  <c r="C382" i="26"/>
  <c r="B382" i="26"/>
  <c r="A382" i="26"/>
  <c r="L381" i="26"/>
  <c r="K381" i="26"/>
  <c r="J381" i="26"/>
  <c r="I381" i="26"/>
  <c r="H381" i="26"/>
  <c r="G381" i="26"/>
  <c r="F381" i="26"/>
  <c r="E381" i="26"/>
  <c r="D381" i="26"/>
  <c r="C381" i="26"/>
  <c r="B381" i="26"/>
  <c r="A381" i="26"/>
  <c r="L380" i="26"/>
  <c r="K380" i="26"/>
  <c r="J380" i="26"/>
  <c r="I380" i="26"/>
  <c r="H380" i="26"/>
  <c r="G380" i="26"/>
  <c r="F380" i="26"/>
  <c r="E380" i="26"/>
  <c r="D380" i="26"/>
  <c r="C380" i="26"/>
  <c r="B380" i="26"/>
  <c r="A380" i="26"/>
  <c r="L379" i="26"/>
  <c r="K379" i="26"/>
  <c r="J379" i="26"/>
  <c r="I379" i="26"/>
  <c r="H379" i="26"/>
  <c r="G379" i="26"/>
  <c r="F379" i="26"/>
  <c r="E379" i="26"/>
  <c r="D379" i="26"/>
  <c r="C379" i="26"/>
  <c r="B379" i="26"/>
  <c r="A379" i="26"/>
  <c r="L378" i="26"/>
  <c r="K378" i="26"/>
  <c r="J378" i="26"/>
  <c r="I378" i="26"/>
  <c r="H378" i="26"/>
  <c r="G378" i="26"/>
  <c r="F378" i="26"/>
  <c r="E378" i="26"/>
  <c r="D378" i="26"/>
  <c r="C378" i="26"/>
  <c r="B378" i="26"/>
  <c r="A378" i="26"/>
  <c r="L377" i="26"/>
  <c r="K377" i="26"/>
  <c r="J377" i="26"/>
  <c r="I377" i="26"/>
  <c r="H377" i="26"/>
  <c r="G377" i="26"/>
  <c r="F377" i="26"/>
  <c r="E377" i="26"/>
  <c r="D377" i="26"/>
  <c r="C377" i="26"/>
  <c r="B377" i="26"/>
  <c r="A377" i="26"/>
  <c r="L376" i="26"/>
  <c r="K376" i="26"/>
  <c r="J376" i="26"/>
  <c r="I376" i="26"/>
  <c r="H376" i="26"/>
  <c r="G376" i="26"/>
  <c r="F376" i="26"/>
  <c r="E376" i="26"/>
  <c r="D376" i="26"/>
  <c r="C376" i="26"/>
  <c r="B376" i="26"/>
  <c r="A376" i="26"/>
  <c r="L375" i="26"/>
  <c r="K375" i="26"/>
  <c r="J375" i="26"/>
  <c r="I375" i="26"/>
  <c r="H375" i="26"/>
  <c r="G375" i="26"/>
  <c r="F375" i="26"/>
  <c r="E375" i="26"/>
  <c r="D375" i="26"/>
  <c r="C375" i="26"/>
  <c r="B375" i="26"/>
  <c r="A375" i="26"/>
  <c r="L374" i="26"/>
  <c r="K374" i="26"/>
  <c r="J374" i="26"/>
  <c r="I374" i="26"/>
  <c r="H374" i="26"/>
  <c r="G374" i="26"/>
  <c r="F374" i="26"/>
  <c r="E374" i="26"/>
  <c r="D374" i="26"/>
  <c r="C374" i="26"/>
  <c r="B374" i="26"/>
  <c r="A374" i="26"/>
  <c r="L373" i="26"/>
  <c r="K373" i="26"/>
  <c r="J373" i="26"/>
  <c r="I373" i="26"/>
  <c r="H373" i="26"/>
  <c r="G373" i="26"/>
  <c r="F373" i="26"/>
  <c r="E373" i="26"/>
  <c r="D373" i="26"/>
  <c r="C373" i="26"/>
  <c r="B373" i="26"/>
  <c r="A373" i="26"/>
  <c r="L372" i="26"/>
  <c r="K372" i="26"/>
  <c r="J372" i="26"/>
  <c r="I372" i="26"/>
  <c r="H372" i="26"/>
  <c r="G372" i="26"/>
  <c r="F372" i="26"/>
  <c r="E372" i="26"/>
  <c r="D372" i="26"/>
  <c r="C372" i="26"/>
  <c r="B372" i="26"/>
  <c r="A372" i="26"/>
  <c r="L371" i="26"/>
  <c r="K371" i="26"/>
  <c r="J371" i="26"/>
  <c r="I371" i="26"/>
  <c r="H371" i="26"/>
  <c r="G371" i="26"/>
  <c r="F371" i="26"/>
  <c r="E371" i="26"/>
  <c r="D371" i="26"/>
  <c r="C371" i="26"/>
  <c r="B371" i="26"/>
  <c r="A371" i="26"/>
  <c r="L370" i="26"/>
  <c r="K370" i="26"/>
  <c r="J370" i="26"/>
  <c r="I370" i="26"/>
  <c r="H370" i="26"/>
  <c r="G370" i="26"/>
  <c r="F370" i="26"/>
  <c r="E370" i="26"/>
  <c r="D370" i="26"/>
  <c r="C370" i="26"/>
  <c r="B370" i="26"/>
  <c r="A370" i="26"/>
  <c r="L369" i="26"/>
  <c r="K369" i="26"/>
  <c r="J369" i="26"/>
  <c r="I369" i="26"/>
  <c r="H369" i="26"/>
  <c r="G369" i="26"/>
  <c r="F369" i="26"/>
  <c r="E369" i="26"/>
  <c r="D369" i="26"/>
  <c r="C369" i="26"/>
  <c r="B369" i="26"/>
  <c r="A369" i="26"/>
  <c r="L368" i="26"/>
  <c r="K368" i="26"/>
  <c r="J368" i="26"/>
  <c r="I368" i="26"/>
  <c r="H368" i="26"/>
  <c r="G368" i="26"/>
  <c r="F368" i="26"/>
  <c r="E368" i="26"/>
  <c r="D368" i="26"/>
  <c r="C368" i="26"/>
  <c r="B368" i="26"/>
  <c r="A368" i="26"/>
  <c r="L367" i="26"/>
  <c r="K367" i="26"/>
  <c r="J367" i="26"/>
  <c r="I367" i="26"/>
  <c r="H367" i="26"/>
  <c r="G367" i="26"/>
  <c r="F367" i="26"/>
  <c r="E367" i="26"/>
  <c r="D367" i="26"/>
  <c r="C367" i="26"/>
  <c r="B367" i="26"/>
  <c r="A367" i="26"/>
  <c r="L366" i="26"/>
  <c r="K366" i="26"/>
  <c r="J366" i="26"/>
  <c r="I366" i="26"/>
  <c r="H366" i="26"/>
  <c r="G366" i="26"/>
  <c r="F366" i="26"/>
  <c r="E366" i="26"/>
  <c r="D366" i="26"/>
  <c r="C366" i="26"/>
  <c r="B366" i="26"/>
  <c r="A366" i="26"/>
  <c r="L365" i="26"/>
  <c r="K365" i="26"/>
  <c r="J365" i="26"/>
  <c r="I365" i="26"/>
  <c r="H365" i="26"/>
  <c r="G365" i="26"/>
  <c r="F365" i="26"/>
  <c r="E365" i="26"/>
  <c r="D365" i="26"/>
  <c r="C365" i="26"/>
  <c r="B365" i="26"/>
  <c r="A365" i="26"/>
  <c r="L364" i="26"/>
  <c r="K364" i="26"/>
  <c r="J364" i="26"/>
  <c r="I364" i="26"/>
  <c r="H364" i="26"/>
  <c r="G364" i="26"/>
  <c r="F364" i="26"/>
  <c r="E364" i="26"/>
  <c r="D364" i="26"/>
  <c r="C364" i="26"/>
  <c r="B364" i="26"/>
  <c r="A364" i="26"/>
  <c r="L363" i="26"/>
  <c r="K363" i="26"/>
  <c r="J363" i="26"/>
  <c r="I363" i="26"/>
  <c r="H363" i="26"/>
  <c r="G363" i="26"/>
  <c r="F363" i="26"/>
  <c r="E363" i="26"/>
  <c r="D363" i="26"/>
  <c r="C363" i="26"/>
  <c r="B363" i="26"/>
  <c r="A363" i="26"/>
  <c r="L362" i="26"/>
  <c r="K362" i="26"/>
  <c r="J362" i="26"/>
  <c r="I362" i="26"/>
  <c r="H362" i="26"/>
  <c r="G362" i="26"/>
  <c r="F362" i="26"/>
  <c r="E362" i="26"/>
  <c r="D362" i="26"/>
  <c r="C362" i="26"/>
  <c r="B362" i="26"/>
  <c r="A362" i="26"/>
  <c r="L361" i="26"/>
  <c r="K361" i="26"/>
  <c r="J361" i="26"/>
  <c r="I361" i="26"/>
  <c r="H361" i="26"/>
  <c r="G361" i="26"/>
  <c r="F361" i="26"/>
  <c r="E361" i="26"/>
  <c r="D361" i="26"/>
  <c r="C361" i="26"/>
  <c r="B361" i="26"/>
  <c r="A361" i="26"/>
  <c r="L360" i="26"/>
  <c r="K360" i="26"/>
  <c r="J360" i="26"/>
  <c r="I360" i="26"/>
  <c r="H360" i="26"/>
  <c r="G360" i="26"/>
  <c r="F360" i="26"/>
  <c r="E360" i="26"/>
  <c r="D360" i="26"/>
  <c r="C360" i="26"/>
  <c r="B360" i="26"/>
  <c r="A360" i="26"/>
  <c r="L359" i="26"/>
  <c r="K359" i="26"/>
  <c r="J359" i="26"/>
  <c r="I359" i="26"/>
  <c r="H359" i="26"/>
  <c r="G359" i="26"/>
  <c r="F359" i="26"/>
  <c r="E359" i="26"/>
  <c r="D359" i="26"/>
  <c r="C359" i="26"/>
  <c r="B359" i="26"/>
  <c r="A359" i="26"/>
  <c r="L358" i="26"/>
  <c r="K358" i="26"/>
  <c r="J358" i="26"/>
  <c r="I358" i="26"/>
  <c r="H358" i="26"/>
  <c r="G358" i="26"/>
  <c r="F358" i="26"/>
  <c r="E358" i="26"/>
  <c r="D358" i="26"/>
  <c r="C358" i="26"/>
  <c r="B358" i="26"/>
  <c r="A358" i="26"/>
  <c r="L357" i="26"/>
  <c r="K357" i="26"/>
  <c r="J357" i="26"/>
  <c r="I357" i="26"/>
  <c r="H357" i="26"/>
  <c r="G357" i="26"/>
  <c r="F357" i="26"/>
  <c r="E357" i="26"/>
  <c r="D357" i="26"/>
  <c r="C357" i="26"/>
  <c r="B357" i="26"/>
  <c r="A357" i="26"/>
  <c r="L356" i="26"/>
  <c r="K356" i="26"/>
  <c r="J356" i="26"/>
  <c r="I356" i="26"/>
  <c r="H356" i="26"/>
  <c r="G356" i="26"/>
  <c r="F356" i="26"/>
  <c r="E356" i="26"/>
  <c r="D356" i="26"/>
  <c r="C356" i="26"/>
  <c r="B356" i="26"/>
  <c r="A356" i="26"/>
  <c r="L355" i="26"/>
  <c r="K355" i="26"/>
  <c r="J355" i="26"/>
  <c r="I355" i="26"/>
  <c r="H355" i="26"/>
  <c r="G355" i="26"/>
  <c r="F355" i="26"/>
  <c r="E355" i="26"/>
  <c r="D355" i="26"/>
  <c r="C355" i="26"/>
  <c r="B355" i="26"/>
  <c r="A355" i="26"/>
  <c r="L354" i="26"/>
  <c r="K354" i="26"/>
  <c r="J354" i="26"/>
  <c r="I354" i="26"/>
  <c r="H354" i="26"/>
  <c r="G354" i="26"/>
  <c r="F354" i="26"/>
  <c r="E354" i="26"/>
  <c r="D354" i="26"/>
  <c r="C354" i="26"/>
  <c r="B354" i="26"/>
  <c r="A354" i="26"/>
  <c r="L353" i="26"/>
  <c r="K353" i="26"/>
  <c r="J353" i="26"/>
  <c r="I353" i="26"/>
  <c r="H353" i="26"/>
  <c r="G353" i="26"/>
  <c r="F353" i="26"/>
  <c r="E353" i="26"/>
  <c r="D353" i="26"/>
  <c r="C353" i="26"/>
  <c r="B353" i="26"/>
  <c r="A353" i="26"/>
  <c r="L352" i="26"/>
  <c r="K352" i="26"/>
  <c r="J352" i="26"/>
  <c r="I352" i="26"/>
  <c r="H352" i="26"/>
  <c r="G352" i="26"/>
  <c r="F352" i="26"/>
  <c r="E352" i="26"/>
  <c r="D352" i="26"/>
  <c r="C352" i="26"/>
  <c r="B352" i="26"/>
  <c r="A352" i="26"/>
  <c r="L351" i="26"/>
  <c r="K351" i="26"/>
  <c r="J351" i="26"/>
  <c r="I351" i="26"/>
  <c r="H351" i="26"/>
  <c r="G351" i="26"/>
  <c r="F351" i="26"/>
  <c r="E351" i="26"/>
  <c r="D351" i="26"/>
  <c r="C351" i="26"/>
  <c r="B351" i="26"/>
  <c r="A351" i="26"/>
  <c r="L350" i="26"/>
  <c r="K350" i="26"/>
  <c r="J350" i="26"/>
  <c r="I350" i="26"/>
  <c r="H350" i="26"/>
  <c r="G350" i="26"/>
  <c r="F350" i="26"/>
  <c r="E350" i="26"/>
  <c r="D350" i="26"/>
  <c r="C350" i="26"/>
  <c r="B350" i="26"/>
  <c r="A350" i="26"/>
  <c r="L349" i="26"/>
  <c r="K349" i="26"/>
  <c r="J349" i="26"/>
  <c r="I349" i="26"/>
  <c r="H349" i="26"/>
  <c r="G349" i="26"/>
  <c r="F349" i="26"/>
  <c r="E349" i="26"/>
  <c r="D349" i="26"/>
  <c r="C349" i="26"/>
  <c r="B349" i="26"/>
  <c r="A349" i="26"/>
  <c r="L348" i="26"/>
  <c r="K348" i="26"/>
  <c r="J348" i="26"/>
  <c r="I348" i="26"/>
  <c r="H348" i="26"/>
  <c r="G348" i="26"/>
  <c r="F348" i="26"/>
  <c r="E348" i="26"/>
  <c r="D348" i="26"/>
  <c r="C348" i="26"/>
  <c r="B348" i="26"/>
  <c r="A348" i="26"/>
  <c r="L347" i="26"/>
  <c r="K347" i="26"/>
  <c r="J347" i="26"/>
  <c r="I347" i="26"/>
  <c r="H347" i="26"/>
  <c r="G347" i="26"/>
  <c r="F347" i="26"/>
  <c r="E347" i="26"/>
  <c r="D347" i="26"/>
  <c r="C347" i="26"/>
  <c r="B347" i="26"/>
  <c r="A347" i="26"/>
  <c r="L346" i="26"/>
  <c r="K346" i="26"/>
  <c r="J346" i="26"/>
  <c r="I346" i="26"/>
  <c r="H346" i="26"/>
  <c r="G346" i="26"/>
  <c r="F346" i="26"/>
  <c r="E346" i="26"/>
  <c r="D346" i="26"/>
  <c r="C346" i="26"/>
  <c r="B346" i="26"/>
  <c r="A346" i="26"/>
  <c r="L345" i="26"/>
  <c r="K345" i="26"/>
  <c r="J345" i="26"/>
  <c r="I345" i="26"/>
  <c r="H345" i="26"/>
  <c r="G345" i="26"/>
  <c r="F345" i="26"/>
  <c r="E345" i="26"/>
  <c r="D345" i="26"/>
  <c r="C345" i="26"/>
  <c r="B345" i="26"/>
  <c r="A345" i="26"/>
  <c r="L344" i="26"/>
  <c r="K344" i="26"/>
  <c r="J344" i="26"/>
  <c r="I344" i="26"/>
  <c r="H344" i="26"/>
  <c r="G344" i="26"/>
  <c r="F344" i="26"/>
  <c r="E344" i="26"/>
  <c r="D344" i="26"/>
  <c r="C344" i="26"/>
  <c r="B344" i="26"/>
  <c r="A344" i="26"/>
  <c r="L343" i="26"/>
  <c r="K343" i="26"/>
  <c r="J343" i="26"/>
  <c r="I343" i="26"/>
  <c r="H343" i="26"/>
  <c r="G343" i="26"/>
  <c r="F343" i="26"/>
  <c r="E343" i="26"/>
  <c r="D343" i="26"/>
  <c r="C343" i="26"/>
  <c r="B343" i="26"/>
  <c r="A343" i="26"/>
  <c r="L342" i="26"/>
  <c r="K342" i="26"/>
  <c r="J342" i="26"/>
  <c r="I342" i="26"/>
  <c r="H342" i="26"/>
  <c r="G342" i="26"/>
  <c r="F342" i="26"/>
  <c r="E342" i="26"/>
  <c r="D342" i="26"/>
  <c r="C342" i="26"/>
  <c r="B342" i="26"/>
  <c r="A342" i="26"/>
  <c r="L341" i="26"/>
  <c r="K341" i="26"/>
  <c r="J341" i="26"/>
  <c r="I341" i="26"/>
  <c r="H341" i="26"/>
  <c r="G341" i="26"/>
  <c r="F341" i="26"/>
  <c r="E341" i="26"/>
  <c r="D341" i="26"/>
  <c r="C341" i="26"/>
  <c r="B341" i="26"/>
  <c r="A341" i="26"/>
  <c r="L340" i="26"/>
  <c r="K340" i="26"/>
  <c r="J340" i="26"/>
  <c r="I340" i="26"/>
  <c r="H340" i="26"/>
  <c r="G340" i="26"/>
  <c r="F340" i="26"/>
  <c r="E340" i="26"/>
  <c r="D340" i="26"/>
  <c r="C340" i="26"/>
  <c r="B340" i="26"/>
  <c r="A340" i="26"/>
  <c r="L339" i="26"/>
  <c r="K339" i="26"/>
  <c r="J339" i="26"/>
  <c r="I339" i="26"/>
  <c r="H339" i="26"/>
  <c r="G339" i="26"/>
  <c r="F339" i="26"/>
  <c r="E339" i="26"/>
  <c r="D339" i="26"/>
  <c r="C339" i="26"/>
  <c r="B339" i="26"/>
  <c r="A339" i="26"/>
  <c r="L338" i="26"/>
  <c r="K338" i="26"/>
  <c r="J338" i="26"/>
  <c r="I338" i="26"/>
  <c r="H338" i="26"/>
  <c r="G338" i="26"/>
  <c r="F338" i="26"/>
  <c r="E338" i="26"/>
  <c r="D338" i="26"/>
  <c r="C338" i="26"/>
  <c r="B338" i="26"/>
  <c r="A338" i="26"/>
  <c r="L337" i="26"/>
  <c r="K337" i="26"/>
  <c r="J337" i="26"/>
  <c r="I337" i="26"/>
  <c r="H337" i="26"/>
  <c r="G337" i="26"/>
  <c r="F337" i="26"/>
  <c r="E337" i="26"/>
  <c r="D337" i="26"/>
  <c r="C337" i="26"/>
  <c r="B337" i="26"/>
  <c r="A337" i="26"/>
  <c r="L336" i="26"/>
  <c r="K336" i="26"/>
  <c r="J336" i="26"/>
  <c r="I336" i="26"/>
  <c r="H336" i="26"/>
  <c r="G336" i="26"/>
  <c r="F336" i="26"/>
  <c r="E336" i="26"/>
  <c r="D336" i="26"/>
  <c r="C336" i="26"/>
  <c r="B336" i="26"/>
  <c r="A336" i="26"/>
  <c r="L335" i="26"/>
  <c r="K335" i="26"/>
  <c r="J335" i="26"/>
  <c r="I335" i="26"/>
  <c r="H335" i="26"/>
  <c r="G335" i="26"/>
  <c r="F335" i="26"/>
  <c r="E335" i="26"/>
  <c r="D335" i="26"/>
  <c r="C335" i="26"/>
  <c r="B335" i="26"/>
  <c r="A335" i="26"/>
  <c r="L334" i="26"/>
  <c r="K334" i="26"/>
  <c r="J334" i="26"/>
  <c r="I334" i="26"/>
  <c r="H334" i="26"/>
  <c r="G334" i="26"/>
  <c r="F334" i="26"/>
  <c r="E334" i="26"/>
  <c r="D334" i="26"/>
  <c r="C334" i="26"/>
  <c r="B334" i="26"/>
  <c r="A334" i="26"/>
  <c r="L333" i="26"/>
  <c r="K333" i="26"/>
  <c r="J333" i="26"/>
  <c r="I333" i="26"/>
  <c r="H333" i="26"/>
  <c r="G333" i="26"/>
  <c r="F333" i="26"/>
  <c r="E333" i="26"/>
  <c r="D333" i="26"/>
  <c r="C333" i="26"/>
  <c r="B333" i="26"/>
  <c r="A333" i="26"/>
  <c r="L332" i="26"/>
  <c r="K332" i="26"/>
  <c r="J332" i="26"/>
  <c r="I332" i="26"/>
  <c r="H332" i="26"/>
  <c r="G332" i="26"/>
  <c r="F332" i="26"/>
  <c r="E332" i="26"/>
  <c r="D332" i="26"/>
  <c r="C332" i="26"/>
  <c r="B332" i="26"/>
  <c r="A332" i="26"/>
  <c r="L331" i="26"/>
  <c r="K331" i="26"/>
  <c r="J331" i="26"/>
  <c r="I331" i="26"/>
  <c r="H331" i="26"/>
  <c r="G331" i="26"/>
  <c r="F331" i="26"/>
  <c r="E331" i="26"/>
  <c r="D331" i="26"/>
  <c r="C331" i="26"/>
  <c r="B331" i="26"/>
  <c r="A331" i="26"/>
  <c r="L330" i="26"/>
  <c r="K330" i="26"/>
  <c r="J330" i="26"/>
  <c r="I330" i="26"/>
  <c r="H330" i="26"/>
  <c r="G330" i="26"/>
  <c r="F330" i="26"/>
  <c r="E330" i="26"/>
  <c r="D330" i="26"/>
  <c r="C330" i="26"/>
  <c r="B330" i="26"/>
  <c r="A330" i="26"/>
  <c r="L329" i="26"/>
  <c r="K329" i="26"/>
  <c r="J329" i="26"/>
  <c r="I329" i="26"/>
  <c r="H329" i="26"/>
  <c r="G329" i="26"/>
  <c r="F329" i="26"/>
  <c r="E329" i="26"/>
  <c r="D329" i="26"/>
  <c r="C329" i="26"/>
  <c r="B329" i="26"/>
  <c r="A329" i="26"/>
  <c r="L328" i="26"/>
  <c r="K328" i="26"/>
  <c r="J328" i="26"/>
  <c r="I328" i="26"/>
  <c r="H328" i="26"/>
  <c r="G328" i="26"/>
  <c r="F328" i="26"/>
  <c r="E328" i="26"/>
  <c r="D328" i="26"/>
  <c r="C328" i="26"/>
  <c r="B328" i="26"/>
  <c r="A328" i="26"/>
  <c r="L327" i="26"/>
  <c r="K327" i="26"/>
  <c r="J327" i="26"/>
  <c r="I327" i="26"/>
  <c r="H327" i="26"/>
  <c r="G327" i="26"/>
  <c r="F327" i="26"/>
  <c r="E327" i="26"/>
  <c r="D327" i="26"/>
  <c r="C327" i="26"/>
  <c r="B327" i="26"/>
  <c r="A327" i="26"/>
  <c r="L326" i="26"/>
  <c r="K326" i="26"/>
  <c r="J326" i="26"/>
  <c r="I326" i="26"/>
  <c r="H326" i="26"/>
  <c r="G326" i="26"/>
  <c r="F326" i="26"/>
  <c r="E326" i="26"/>
  <c r="D326" i="26"/>
  <c r="C326" i="26"/>
  <c r="B326" i="26"/>
  <c r="A326" i="26"/>
  <c r="L325" i="26"/>
  <c r="K325" i="26"/>
  <c r="J325" i="26"/>
  <c r="I325" i="26"/>
  <c r="H325" i="26"/>
  <c r="G325" i="26"/>
  <c r="F325" i="26"/>
  <c r="E325" i="26"/>
  <c r="D325" i="26"/>
  <c r="C325" i="26"/>
  <c r="B325" i="26"/>
  <c r="A325" i="26"/>
  <c r="L324" i="26"/>
  <c r="K324" i="26"/>
  <c r="J324" i="26"/>
  <c r="I324" i="26"/>
  <c r="H324" i="26"/>
  <c r="G324" i="26"/>
  <c r="F324" i="26"/>
  <c r="E324" i="26"/>
  <c r="D324" i="26"/>
  <c r="C324" i="26"/>
  <c r="B324" i="26"/>
  <c r="A324" i="26"/>
  <c r="L323" i="26"/>
  <c r="K323" i="26"/>
  <c r="J323" i="26"/>
  <c r="I323" i="26"/>
  <c r="H323" i="26"/>
  <c r="G323" i="26"/>
  <c r="F323" i="26"/>
  <c r="E323" i="26"/>
  <c r="D323" i="26"/>
  <c r="C323" i="26"/>
  <c r="B323" i="26"/>
  <c r="A323" i="26"/>
  <c r="L322" i="26"/>
  <c r="K322" i="26"/>
  <c r="J322" i="26"/>
  <c r="I322" i="26"/>
  <c r="H322" i="26"/>
  <c r="G322" i="26"/>
  <c r="F322" i="26"/>
  <c r="E322" i="26"/>
  <c r="D322" i="26"/>
  <c r="C322" i="26"/>
  <c r="B322" i="26"/>
  <c r="A322" i="26"/>
  <c r="L321" i="26"/>
  <c r="K321" i="26"/>
  <c r="J321" i="26"/>
  <c r="I321" i="26"/>
  <c r="H321" i="26"/>
  <c r="G321" i="26"/>
  <c r="F321" i="26"/>
  <c r="E321" i="26"/>
  <c r="D321" i="26"/>
  <c r="C321" i="26"/>
  <c r="B321" i="26"/>
  <c r="A321" i="26"/>
  <c r="L320" i="26"/>
  <c r="K320" i="26"/>
  <c r="J320" i="26"/>
  <c r="I320" i="26"/>
  <c r="H320" i="26"/>
  <c r="G320" i="26"/>
  <c r="F320" i="26"/>
  <c r="E320" i="26"/>
  <c r="D320" i="26"/>
  <c r="C320" i="26"/>
  <c r="B320" i="26"/>
  <c r="A320" i="26"/>
  <c r="L319" i="26"/>
  <c r="K319" i="26"/>
  <c r="J319" i="26"/>
  <c r="I319" i="26"/>
  <c r="H319" i="26"/>
  <c r="G319" i="26"/>
  <c r="F319" i="26"/>
  <c r="E319" i="26"/>
  <c r="D319" i="26"/>
  <c r="C319" i="26"/>
  <c r="B319" i="26"/>
  <c r="A319" i="26"/>
  <c r="L318" i="26"/>
  <c r="K318" i="26"/>
  <c r="J318" i="26"/>
  <c r="I318" i="26"/>
  <c r="H318" i="26"/>
  <c r="G318" i="26"/>
  <c r="F318" i="26"/>
  <c r="E318" i="26"/>
  <c r="D318" i="26"/>
  <c r="C318" i="26"/>
  <c r="B318" i="26"/>
  <c r="A318" i="26"/>
  <c r="L317" i="26"/>
  <c r="K317" i="26"/>
  <c r="J317" i="26"/>
  <c r="I317" i="26"/>
  <c r="H317" i="26"/>
  <c r="G317" i="26"/>
  <c r="F317" i="26"/>
  <c r="E317" i="26"/>
  <c r="D317" i="26"/>
  <c r="C317" i="26"/>
  <c r="B317" i="26"/>
  <c r="A317" i="26"/>
  <c r="L316" i="26"/>
  <c r="K316" i="26"/>
  <c r="J316" i="26"/>
  <c r="I316" i="26"/>
  <c r="H316" i="26"/>
  <c r="G316" i="26"/>
  <c r="F316" i="26"/>
  <c r="E316" i="26"/>
  <c r="D316" i="26"/>
  <c r="C316" i="26"/>
  <c r="B316" i="26"/>
  <c r="A316" i="26"/>
  <c r="L315" i="26"/>
  <c r="K315" i="26"/>
  <c r="J315" i="26"/>
  <c r="I315" i="26"/>
  <c r="H315" i="26"/>
  <c r="G315" i="26"/>
  <c r="F315" i="26"/>
  <c r="E315" i="26"/>
  <c r="D315" i="26"/>
  <c r="C315" i="26"/>
  <c r="B315" i="26"/>
  <c r="A315" i="26"/>
  <c r="L314" i="26"/>
  <c r="K314" i="26"/>
  <c r="J314" i="26"/>
  <c r="I314" i="26"/>
  <c r="H314" i="26"/>
  <c r="G314" i="26"/>
  <c r="F314" i="26"/>
  <c r="E314" i="26"/>
  <c r="D314" i="26"/>
  <c r="C314" i="26"/>
  <c r="B314" i="26"/>
  <c r="A314" i="26"/>
  <c r="L313" i="26"/>
  <c r="K313" i="26"/>
  <c r="J313" i="26"/>
  <c r="I313" i="26"/>
  <c r="H313" i="26"/>
  <c r="G313" i="26"/>
  <c r="F313" i="26"/>
  <c r="E313" i="26"/>
  <c r="D313" i="26"/>
  <c r="C313" i="26"/>
  <c r="B313" i="26"/>
  <c r="A313" i="26"/>
  <c r="L312" i="26"/>
  <c r="K312" i="26"/>
  <c r="J312" i="26"/>
  <c r="I312" i="26"/>
  <c r="H312" i="26"/>
  <c r="G312" i="26"/>
  <c r="F312" i="26"/>
  <c r="E312" i="26"/>
  <c r="D312" i="26"/>
  <c r="C312" i="26"/>
  <c r="B312" i="26"/>
  <c r="A312" i="26"/>
  <c r="L311" i="26"/>
  <c r="K311" i="26"/>
  <c r="J311" i="26"/>
  <c r="I311" i="26"/>
  <c r="H311" i="26"/>
  <c r="G311" i="26"/>
  <c r="F311" i="26"/>
  <c r="E311" i="26"/>
  <c r="D311" i="26"/>
  <c r="C311" i="26"/>
  <c r="B311" i="26"/>
  <c r="A311" i="26"/>
  <c r="L310" i="26"/>
  <c r="K310" i="26"/>
  <c r="J310" i="26"/>
  <c r="I310" i="26"/>
  <c r="H310" i="26"/>
  <c r="G310" i="26"/>
  <c r="F310" i="26"/>
  <c r="E310" i="26"/>
  <c r="D310" i="26"/>
  <c r="C310" i="26"/>
  <c r="B310" i="26"/>
  <c r="A310" i="26"/>
  <c r="L309" i="26"/>
  <c r="K309" i="26"/>
  <c r="J309" i="26"/>
  <c r="I309" i="26"/>
  <c r="H309" i="26"/>
  <c r="G309" i="26"/>
  <c r="F309" i="26"/>
  <c r="E309" i="26"/>
  <c r="D309" i="26"/>
  <c r="C309" i="26"/>
  <c r="B309" i="26"/>
  <c r="A309" i="26"/>
  <c r="L308" i="26"/>
  <c r="K308" i="26"/>
  <c r="J308" i="26"/>
  <c r="I308" i="26"/>
  <c r="H308" i="26"/>
  <c r="G308" i="26"/>
  <c r="F308" i="26"/>
  <c r="E308" i="26"/>
  <c r="D308" i="26"/>
  <c r="C308" i="26"/>
  <c r="B308" i="26"/>
  <c r="A308" i="26"/>
  <c r="L307" i="26"/>
  <c r="K307" i="26"/>
  <c r="J307" i="26"/>
  <c r="I307" i="26"/>
  <c r="H307" i="26"/>
  <c r="G307" i="26"/>
  <c r="F307" i="26"/>
  <c r="E307" i="26"/>
  <c r="D307" i="26"/>
  <c r="C307" i="26"/>
  <c r="B307" i="26"/>
  <c r="A307" i="26"/>
  <c r="L306" i="26"/>
  <c r="K306" i="26"/>
  <c r="J306" i="26"/>
  <c r="I306" i="26"/>
  <c r="H306" i="26"/>
  <c r="G306" i="26"/>
  <c r="F306" i="26"/>
  <c r="E306" i="26"/>
  <c r="D306" i="26"/>
  <c r="C306" i="26"/>
  <c r="B306" i="26"/>
  <c r="A306" i="26"/>
  <c r="L305" i="26"/>
  <c r="K305" i="26"/>
  <c r="J305" i="26"/>
  <c r="I305" i="26"/>
  <c r="H305" i="26"/>
  <c r="G305" i="26"/>
  <c r="F305" i="26"/>
  <c r="E305" i="26"/>
  <c r="D305" i="26"/>
  <c r="C305" i="26"/>
  <c r="B305" i="26"/>
  <c r="A305" i="26"/>
  <c r="L304" i="26"/>
  <c r="K304" i="26"/>
  <c r="J304" i="26"/>
  <c r="I304" i="26"/>
  <c r="H304" i="26"/>
  <c r="G304" i="26"/>
  <c r="F304" i="26"/>
  <c r="E304" i="26"/>
  <c r="D304" i="26"/>
  <c r="C304" i="26"/>
  <c r="B304" i="26"/>
  <c r="A304" i="26"/>
  <c r="L303" i="26"/>
  <c r="K303" i="26"/>
  <c r="J303" i="26"/>
  <c r="I303" i="26"/>
  <c r="H303" i="26"/>
  <c r="G303" i="26"/>
  <c r="F303" i="26"/>
  <c r="E303" i="26"/>
  <c r="D303" i="26"/>
  <c r="C303" i="26"/>
  <c r="B303" i="26"/>
  <c r="A303" i="26"/>
  <c r="L302" i="26"/>
  <c r="K302" i="26"/>
  <c r="J302" i="26"/>
  <c r="I302" i="26"/>
  <c r="H302" i="26"/>
  <c r="G302" i="26"/>
  <c r="F302" i="26"/>
  <c r="E302" i="26"/>
  <c r="D302" i="26"/>
  <c r="C302" i="26"/>
  <c r="B302" i="26"/>
  <c r="A302" i="26"/>
  <c r="L301" i="26"/>
  <c r="K301" i="26"/>
  <c r="J301" i="26"/>
  <c r="I301" i="26"/>
  <c r="H301" i="26"/>
  <c r="G301" i="26"/>
  <c r="F301" i="26"/>
  <c r="E301" i="26"/>
  <c r="D301" i="26"/>
  <c r="C301" i="26"/>
  <c r="B301" i="26"/>
  <c r="A301" i="26"/>
  <c r="L300" i="26"/>
  <c r="K300" i="26"/>
  <c r="J300" i="26"/>
  <c r="I300" i="26"/>
  <c r="H300" i="26"/>
  <c r="G300" i="26"/>
  <c r="F300" i="26"/>
  <c r="E300" i="26"/>
  <c r="D300" i="26"/>
  <c r="C300" i="26"/>
  <c r="B300" i="26"/>
  <c r="A300" i="26"/>
  <c r="L299" i="26"/>
  <c r="K299" i="26"/>
  <c r="J299" i="26"/>
  <c r="I299" i="26"/>
  <c r="H299" i="26"/>
  <c r="G299" i="26"/>
  <c r="F299" i="26"/>
  <c r="E299" i="26"/>
  <c r="D299" i="26"/>
  <c r="C299" i="26"/>
  <c r="B299" i="26"/>
  <c r="A299" i="26"/>
  <c r="L298" i="26"/>
  <c r="K298" i="26"/>
  <c r="J298" i="26"/>
  <c r="I298" i="26"/>
  <c r="H298" i="26"/>
  <c r="G298" i="26"/>
  <c r="F298" i="26"/>
  <c r="E298" i="26"/>
  <c r="D298" i="26"/>
  <c r="C298" i="26"/>
  <c r="B298" i="26"/>
  <c r="A298" i="26"/>
  <c r="L297" i="26"/>
  <c r="K297" i="26"/>
  <c r="J297" i="26"/>
  <c r="I297" i="26"/>
  <c r="H297" i="26"/>
  <c r="G297" i="26"/>
  <c r="F297" i="26"/>
  <c r="E297" i="26"/>
  <c r="D297" i="26"/>
  <c r="C297" i="26"/>
  <c r="B297" i="26"/>
  <c r="A297" i="26"/>
  <c r="L296" i="26"/>
  <c r="K296" i="26"/>
  <c r="J296" i="26"/>
  <c r="I296" i="26"/>
  <c r="H296" i="26"/>
  <c r="G296" i="26"/>
  <c r="F296" i="26"/>
  <c r="E296" i="26"/>
  <c r="D296" i="26"/>
  <c r="C296" i="26"/>
  <c r="B296" i="26"/>
  <c r="A296" i="26"/>
  <c r="L295" i="26"/>
  <c r="K295" i="26"/>
  <c r="J295" i="26"/>
  <c r="I295" i="26"/>
  <c r="H295" i="26"/>
  <c r="G295" i="26"/>
  <c r="F295" i="26"/>
  <c r="E295" i="26"/>
  <c r="D295" i="26"/>
  <c r="C295" i="26"/>
  <c r="B295" i="26"/>
  <c r="A295" i="26"/>
  <c r="L294" i="26"/>
  <c r="K294" i="26"/>
  <c r="J294" i="26"/>
  <c r="I294" i="26"/>
  <c r="H294" i="26"/>
  <c r="G294" i="26"/>
  <c r="F294" i="26"/>
  <c r="E294" i="26"/>
  <c r="D294" i="26"/>
  <c r="C294" i="26"/>
  <c r="B294" i="26"/>
  <c r="A294" i="26"/>
  <c r="L293" i="26"/>
  <c r="K293" i="26"/>
  <c r="J293" i="26"/>
  <c r="I293" i="26"/>
  <c r="H293" i="26"/>
  <c r="G293" i="26"/>
  <c r="F293" i="26"/>
  <c r="E293" i="26"/>
  <c r="D293" i="26"/>
  <c r="C293" i="26"/>
  <c r="B293" i="26"/>
  <c r="A293" i="26"/>
  <c r="L292" i="26"/>
  <c r="K292" i="26"/>
  <c r="J292" i="26"/>
  <c r="I292" i="26"/>
  <c r="H292" i="26"/>
  <c r="G292" i="26"/>
  <c r="F292" i="26"/>
  <c r="E292" i="26"/>
  <c r="D292" i="26"/>
  <c r="C292" i="26"/>
  <c r="B292" i="26"/>
  <c r="A292" i="26"/>
  <c r="L291" i="26"/>
  <c r="K291" i="26"/>
  <c r="J291" i="26"/>
  <c r="I291" i="26"/>
  <c r="H291" i="26"/>
  <c r="G291" i="26"/>
  <c r="F291" i="26"/>
  <c r="E291" i="26"/>
  <c r="D291" i="26"/>
  <c r="C291" i="26"/>
  <c r="B291" i="26"/>
  <c r="A291" i="26"/>
  <c r="L290" i="26"/>
  <c r="K290" i="26"/>
  <c r="J290" i="26"/>
  <c r="I290" i="26"/>
  <c r="H290" i="26"/>
  <c r="G290" i="26"/>
  <c r="F290" i="26"/>
  <c r="E290" i="26"/>
  <c r="D290" i="26"/>
  <c r="C290" i="26"/>
  <c r="B290" i="26"/>
  <c r="A290" i="26"/>
  <c r="L289" i="26"/>
  <c r="K289" i="26"/>
  <c r="J289" i="26"/>
  <c r="I289" i="26"/>
  <c r="H289" i="26"/>
  <c r="G289" i="26"/>
  <c r="F289" i="26"/>
  <c r="E289" i="26"/>
  <c r="D289" i="26"/>
  <c r="C289" i="26"/>
  <c r="B289" i="26"/>
  <c r="A289" i="26"/>
  <c r="L288" i="26"/>
  <c r="K288" i="26"/>
  <c r="J288" i="26"/>
  <c r="I288" i="26"/>
  <c r="H288" i="26"/>
  <c r="G288" i="26"/>
  <c r="F288" i="26"/>
  <c r="E288" i="26"/>
  <c r="D288" i="26"/>
  <c r="C288" i="26"/>
  <c r="B288" i="26"/>
  <c r="A288" i="26"/>
  <c r="L287" i="26"/>
  <c r="K287" i="26"/>
  <c r="J287" i="26"/>
  <c r="I287" i="26"/>
  <c r="H287" i="26"/>
  <c r="G287" i="26"/>
  <c r="F287" i="26"/>
  <c r="E287" i="26"/>
  <c r="D287" i="26"/>
  <c r="C287" i="26"/>
  <c r="B287" i="26"/>
  <c r="A287" i="26"/>
  <c r="L286" i="26"/>
  <c r="K286" i="26"/>
  <c r="J286" i="26"/>
  <c r="I286" i="26"/>
  <c r="H286" i="26"/>
  <c r="G286" i="26"/>
  <c r="F286" i="26"/>
  <c r="E286" i="26"/>
  <c r="D286" i="26"/>
  <c r="C286" i="26"/>
  <c r="B286" i="26"/>
  <c r="A286" i="26"/>
  <c r="L285" i="26"/>
  <c r="K285" i="26"/>
  <c r="J285" i="26"/>
  <c r="I285" i="26"/>
  <c r="H285" i="26"/>
  <c r="G285" i="26"/>
  <c r="F285" i="26"/>
  <c r="E285" i="26"/>
  <c r="D285" i="26"/>
  <c r="C285" i="26"/>
  <c r="B285" i="26"/>
  <c r="A285" i="26"/>
  <c r="L284" i="26"/>
  <c r="K284" i="26"/>
  <c r="J284" i="26"/>
  <c r="I284" i="26"/>
  <c r="H284" i="26"/>
  <c r="G284" i="26"/>
  <c r="F284" i="26"/>
  <c r="E284" i="26"/>
  <c r="D284" i="26"/>
  <c r="C284" i="26"/>
  <c r="B284" i="26"/>
  <c r="A284" i="26"/>
  <c r="L283" i="26"/>
  <c r="K283" i="26"/>
  <c r="J283" i="26"/>
  <c r="I283" i="26"/>
  <c r="H283" i="26"/>
  <c r="G283" i="26"/>
  <c r="F283" i="26"/>
  <c r="E283" i="26"/>
  <c r="D283" i="26"/>
  <c r="C283" i="26"/>
  <c r="B283" i="26"/>
  <c r="A283" i="26"/>
  <c r="L282" i="26"/>
  <c r="K282" i="26"/>
  <c r="J282" i="26"/>
  <c r="I282" i="26"/>
  <c r="H282" i="26"/>
  <c r="G282" i="26"/>
  <c r="F282" i="26"/>
  <c r="E282" i="26"/>
  <c r="D282" i="26"/>
  <c r="C282" i="26"/>
  <c r="B282" i="26"/>
  <c r="A282" i="26"/>
  <c r="L281" i="26"/>
  <c r="K281" i="26"/>
  <c r="J281" i="26"/>
  <c r="I281" i="26"/>
  <c r="H281" i="26"/>
  <c r="G281" i="26"/>
  <c r="F281" i="26"/>
  <c r="E281" i="26"/>
  <c r="D281" i="26"/>
  <c r="C281" i="26"/>
  <c r="B281" i="26"/>
  <c r="A281" i="26"/>
  <c r="L280" i="26"/>
  <c r="K280" i="26"/>
  <c r="J280" i="26"/>
  <c r="I280" i="26"/>
  <c r="H280" i="26"/>
  <c r="G280" i="26"/>
  <c r="F280" i="26"/>
  <c r="E280" i="26"/>
  <c r="D280" i="26"/>
  <c r="C280" i="26"/>
  <c r="B280" i="26"/>
  <c r="A280" i="26"/>
  <c r="L279" i="26"/>
  <c r="K279" i="26"/>
  <c r="J279" i="26"/>
  <c r="I279" i="26"/>
  <c r="H279" i="26"/>
  <c r="G279" i="26"/>
  <c r="F279" i="26"/>
  <c r="E279" i="26"/>
  <c r="D279" i="26"/>
  <c r="C279" i="26"/>
  <c r="B279" i="26"/>
  <c r="A279" i="26"/>
  <c r="L278" i="26"/>
  <c r="K278" i="26"/>
  <c r="J278" i="26"/>
  <c r="I278" i="26"/>
  <c r="H278" i="26"/>
  <c r="G278" i="26"/>
  <c r="F278" i="26"/>
  <c r="E278" i="26"/>
  <c r="D278" i="26"/>
  <c r="C278" i="26"/>
  <c r="B278" i="26"/>
  <c r="A278" i="26"/>
  <c r="L277" i="26"/>
  <c r="K277" i="26"/>
  <c r="J277" i="26"/>
  <c r="I277" i="26"/>
  <c r="H277" i="26"/>
  <c r="G277" i="26"/>
  <c r="F277" i="26"/>
  <c r="E277" i="26"/>
  <c r="D277" i="26"/>
  <c r="C277" i="26"/>
  <c r="B277" i="26"/>
  <c r="A277" i="26"/>
  <c r="L276" i="26"/>
  <c r="K276" i="26"/>
  <c r="J276" i="26"/>
  <c r="I276" i="26"/>
  <c r="H276" i="26"/>
  <c r="G276" i="26"/>
  <c r="F276" i="26"/>
  <c r="E276" i="26"/>
  <c r="D276" i="26"/>
  <c r="C276" i="26"/>
  <c r="B276" i="26"/>
  <c r="A276" i="26"/>
  <c r="L275" i="26"/>
  <c r="K275" i="26"/>
  <c r="J275" i="26"/>
  <c r="I275" i="26"/>
  <c r="H275" i="26"/>
  <c r="G275" i="26"/>
  <c r="F275" i="26"/>
  <c r="E275" i="26"/>
  <c r="D275" i="26"/>
  <c r="C275" i="26"/>
  <c r="B275" i="26"/>
  <c r="A275" i="26"/>
  <c r="L274" i="26"/>
  <c r="K274" i="26"/>
  <c r="J274" i="26"/>
  <c r="I274" i="26"/>
  <c r="H274" i="26"/>
  <c r="G274" i="26"/>
  <c r="F274" i="26"/>
  <c r="E274" i="26"/>
  <c r="D274" i="26"/>
  <c r="C274" i="26"/>
  <c r="B274" i="26"/>
  <c r="A274" i="26"/>
  <c r="L273" i="26"/>
  <c r="K273" i="26"/>
  <c r="J273" i="26"/>
  <c r="I273" i="26"/>
  <c r="H273" i="26"/>
  <c r="G273" i="26"/>
  <c r="F273" i="26"/>
  <c r="E273" i="26"/>
  <c r="D273" i="26"/>
  <c r="C273" i="26"/>
  <c r="B273" i="26"/>
  <c r="A273" i="26"/>
  <c r="L272" i="26"/>
  <c r="K272" i="26"/>
  <c r="J272" i="26"/>
  <c r="I272" i="26"/>
  <c r="H272" i="26"/>
  <c r="G272" i="26"/>
  <c r="F272" i="26"/>
  <c r="E272" i="26"/>
  <c r="D272" i="26"/>
  <c r="C272" i="26"/>
  <c r="B272" i="26"/>
  <c r="A272" i="26"/>
  <c r="L271" i="26"/>
  <c r="K271" i="26"/>
  <c r="J271" i="26"/>
  <c r="I271" i="26"/>
  <c r="H271" i="26"/>
  <c r="G271" i="26"/>
  <c r="F271" i="26"/>
  <c r="E271" i="26"/>
  <c r="D271" i="26"/>
  <c r="C271" i="26"/>
  <c r="B271" i="26"/>
  <c r="A271" i="26"/>
  <c r="L270" i="26"/>
  <c r="K270" i="26"/>
  <c r="J270" i="26"/>
  <c r="I270" i="26"/>
  <c r="H270" i="26"/>
  <c r="G270" i="26"/>
  <c r="F270" i="26"/>
  <c r="E270" i="26"/>
  <c r="D270" i="26"/>
  <c r="C270" i="26"/>
  <c r="B270" i="26"/>
  <c r="A270" i="26"/>
  <c r="L269" i="26"/>
  <c r="K269" i="26"/>
  <c r="J269" i="26"/>
  <c r="I269" i="26"/>
  <c r="H269" i="26"/>
  <c r="G269" i="26"/>
  <c r="F269" i="26"/>
  <c r="E269" i="26"/>
  <c r="D269" i="26"/>
  <c r="C269" i="26"/>
  <c r="B269" i="26"/>
  <c r="A269" i="26"/>
  <c r="L268" i="26"/>
  <c r="K268" i="26"/>
  <c r="J268" i="26"/>
  <c r="I268" i="26"/>
  <c r="H268" i="26"/>
  <c r="G268" i="26"/>
  <c r="F268" i="26"/>
  <c r="E268" i="26"/>
  <c r="D268" i="26"/>
  <c r="C268" i="26"/>
  <c r="B268" i="26"/>
  <c r="A268" i="26"/>
  <c r="L267" i="26"/>
  <c r="K267" i="26"/>
  <c r="J267" i="26"/>
  <c r="I267" i="26"/>
  <c r="H267" i="26"/>
  <c r="G267" i="26"/>
  <c r="F267" i="26"/>
  <c r="E267" i="26"/>
  <c r="D267" i="26"/>
  <c r="C267" i="26"/>
  <c r="B267" i="26"/>
  <c r="A267" i="26"/>
  <c r="L266" i="26"/>
  <c r="K266" i="26"/>
  <c r="J266" i="26"/>
  <c r="I266" i="26"/>
  <c r="H266" i="26"/>
  <c r="G266" i="26"/>
  <c r="F266" i="26"/>
  <c r="E266" i="26"/>
  <c r="D266" i="26"/>
  <c r="C266" i="26"/>
  <c r="B266" i="26"/>
  <c r="A266" i="26"/>
  <c r="L265" i="26"/>
  <c r="K265" i="26"/>
  <c r="J265" i="26"/>
  <c r="I265" i="26"/>
  <c r="H265" i="26"/>
  <c r="G265" i="26"/>
  <c r="F265" i="26"/>
  <c r="E265" i="26"/>
  <c r="D265" i="26"/>
  <c r="C265" i="26"/>
  <c r="B265" i="26"/>
  <c r="A265" i="26"/>
  <c r="L264" i="26"/>
  <c r="K264" i="26"/>
  <c r="J264" i="26"/>
  <c r="I264" i="26"/>
  <c r="H264" i="26"/>
  <c r="G264" i="26"/>
  <c r="F264" i="26"/>
  <c r="E264" i="26"/>
  <c r="D264" i="26"/>
  <c r="C264" i="26"/>
  <c r="B264" i="26"/>
  <c r="A264" i="26"/>
  <c r="L263" i="26"/>
  <c r="K263" i="26"/>
  <c r="J263" i="26"/>
  <c r="I263" i="26"/>
  <c r="H263" i="26"/>
  <c r="G263" i="26"/>
  <c r="F263" i="26"/>
  <c r="E263" i="26"/>
  <c r="D263" i="26"/>
  <c r="C263" i="26"/>
  <c r="B263" i="26"/>
  <c r="A263" i="26"/>
  <c r="L262" i="26"/>
  <c r="K262" i="26"/>
  <c r="J262" i="26"/>
  <c r="I262" i="26"/>
  <c r="H262" i="26"/>
  <c r="G262" i="26"/>
  <c r="F262" i="26"/>
  <c r="E262" i="26"/>
  <c r="D262" i="26"/>
  <c r="C262" i="26"/>
  <c r="B262" i="26"/>
  <c r="A262" i="26"/>
  <c r="L261" i="26"/>
  <c r="K261" i="26"/>
  <c r="J261" i="26"/>
  <c r="I261" i="26"/>
  <c r="H261" i="26"/>
  <c r="G261" i="26"/>
  <c r="F261" i="26"/>
  <c r="E261" i="26"/>
  <c r="D261" i="26"/>
  <c r="C261" i="26"/>
  <c r="B261" i="26"/>
  <c r="A261" i="26"/>
  <c r="L260" i="26"/>
  <c r="K260" i="26"/>
  <c r="J260" i="26"/>
  <c r="I260" i="26"/>
  <c r="H260" i="26"/>
  <c r="G260" i="26"/>
  <c r="F260" i="26"/>
  <c r="E260" i="26"/>
  <c r="D260" i="26"/>
  <c r="C260" i="26"/>
  <c r="B260" i="26"/>
  <c r="A260" i="26"/>
  <c r="L259" i="26"/>
  <c r="K259" i="26"/>
  <c r="J259" i="26"/>
  <c r="I259" i="26"/>
  <c r="H259" i="26"/>
  <c r="G259" i="26"/>
  <c r="F259" i="26"/>
  <c r="E259" i="26"/>
  <c r="D259" i="26"/>
  <c r="C259" i="26"/>
  <c r="B259" i="26"/>
  <c r="A259" i="26"/>
  <c r="L258" i="26"/>
  <c r="K258" i="26"/>
  <c r="J258" i="26"/>
  <c r="I258" i="26"/>
  <c r="H258" i="26"/>
  <c r="G258" i="26"/>
  <c r="F258" i="26"/>
  <c r="E258" i="26"/>
  <c r="D258" i="26"/>
  <c r="C258" i="26"/>
  <c r="B258" i="26"/>
  <c r="A258" i="26"/>
  <c r="L257" i="26"/>
  <c r="K257" i="26"/>
  <c r="J257" i="26"/>
  <c r="I257" i="26"/>
  <c r="H257" i="26"/>
  <c r="G257" i="26"/>
  <c r="F257" i="26"/>
  <c r="E257" i="26"/>
  <c r="D257" i="26"/>
  <c r="C257" i="26"/>
  <c r="B257" i="26"/>
  <c r="A257" i="26"/>
  <c r="L256" i="26"/>
  <c r="K256" i="26"/>
  <c r="J256" i="26"/>
  <c r="I256" i="26"/>
  <c r="H256" i="26"/>
  <c r="G256" i="26"/>
  <c r="F256" i="26"/>
  <c r="E256" i="26"/>
  <c r="D256" i="26"/>
  <c r="C256" i="26"/>
  <c r="B256" i="26"/>
  <c r="A256" i="26"/>
  <c r="L255" i="26"/>
  <c r="K255" i="26"/>
  <c r="J255" i="26"/>
  <c r="I255" i="26"/>
  <c r="H255" i="26"/>
  <c r="G255" i="26"/>
  <c r="F255" i="26"/>
  <c r="E255" i="26"/>
  <c r="D255" i="26"/>
  <c r="C255" i="26"/>
  <c r="B255" i="26"/>
  <c r="A255" i="26"/>
  <c r="L254" i="26"/>
  <c r="K254" i="26"/>
  <c r="J254" i="26"/>
  <c r="I254" i="26"/>
  <c r="H254" i="26"/>
  <c r="G254" i="26"/>
  <c r="F254" i="26"/>
  <c r="E254" i="26"/>
  <c r="D254" i="26"/>
  <c r="C254" i="26"/>
  <c r="B254" i="26"/>
  <c r="A254" i="26"/>
  <c r="L253" i="26"/>
  <c r="K253" i="26"/>
  <c r="J253" i="26"/>
  <c r="I253" i="26"/>
  <c r="H253" i="26"/>
  <c r="G253" i="26"/>
  <c r="F253" i="26"/>
  <c r="E253" i="26"/>
  <c r="D253" i="26"/>
  <c r="C253" i="26"/>
  <c r="B253" i="26"/>
  <c r="A253" i="26"/>
  <c r="L252" i="26"/>
  <c r="K252" i="26"/>
  <c r="J252" i="26"/>
  <c r="I252" i="26"/>
  <c r="H252" i="26"/>
  <c r="G252" i="26"/>
  <c r="F252" i="26"/>
  <c r="E252" i="26"/>
  <c r="D252" i="26"/>
  <c r="C252" i="26"/>
  <c r="B252" i="26"/>
  <c r="A252" i="26"/>
  <c r="L251" i="26"/>
  <c r="K251" i="26"/>
  <c r="J251" i="26"/>
  <c r="I251" i="26"/>
  <c r="H251" i="26"/>
  <c r="G251" i="26"/>
  <c r="F251" i="26"/>
  <c r="E251" i="26"/>
  <c r="D251" i="26"/>
  <c r="C251" i="26"/>
  <c r="B251" i="26"/>
  <c r="A251" i="26"/>
  <c r="L250" i="26"/>
  <c r="K250" i="26"/>
  <c r="J250" i="26"/>
  <c r="I250" i="26"/>
  <c r="H250" i="26"/>
  <c r="G250" i="26"/>
  <c r="F250" i="26"/>
  <c r="E250" i="26"/>
  <c r="D250" i="26"/>
  <c r="C250" i="26"/>
  <c r="B250" i="26"/>
  <c r="A250" i="26"/>
  <c r="L249" i="26"/>
  <c r="K249" i="26"/>
  <c r="J249" i="26"/>
  <c r="I249" i="26"/>
  <c r="H249" i="26"/>
  <c r="G249" i="26"/>
  <c r="F249" i="26"/>
  <c r="E249" i="26"/>
  <c r="D249" i="26"/>
  <c r="C249" i="26"/>
  <c r="B249" i="26"/>
  <c r="A249" i="26"/>
  <c r="L248" i="26"/>
  <c r="K248" i="26"/>
  <c r="J248" i="26"/>
  <c r="I248" i="26"/>
  <c r="H248" i="26"/>
  <c r="G248" i="26"/>
  <c r="F248" i="26"/>
  <c r="E248" i="26"/>
  <c r="D248" i="26"/>
  <c r="C248" i="26"/>
  <c r="B248" i="26"/>
  <c r="A248" i="26"/>
  <c r="L247" i="26"/>
  <c r="K247" i="26"/>
  <c r="J247" i="26"/>
  <c r="I247" i="26"/>
  <c r="H247" i="26"/>
  <c r="G247" i="26"/>
  <c r="F247" i="26"/>
  <c r="E247" i="26"/>
  <c r="D247" i="26"/>
  <c r="C247" i="26"/>
  <c r="B247" i="26"/>
  <c r="A247" i="26"/>
  <c r="L246" i="26"/>
  <c r="K246" i="26"/>
  <c r="J246" i="26"/>
  <c r="I246" i="26"/>
  <c r="H246" i="26"/>
  <c r="G246" i="26"/>
  <c r="F246" i="26"/>
  <c r="E246" i="26"/>
  <c r="D246" i="26"/>
  <c r="C246" i="26"/>
  <c r="B246" i="26"/>
  <c r="A246" i="26"/>
  <c r="L245" i="26"/>
  <c r="K245" i="26"/>
  <c r="J245" i="26"/>
  <c r="I245" i="26"/>
  <c r="H245" i="26"/>
  <c r="G245" i="26"/>
  <c r="F245" i="26"/>
  <c r="E245" i="26"/>
  <c r="D245" i="26"/>
  <c r="C245" i="26"/>
  <c r="B245" i="26"/>
  <c r="A245" i="26"/>
  <c r="L244" i="26"/>
  <c r="K244" i="26"/>
  <c r="J244" i="26"/>
  <c r="I244" i="26"/>
  <c r="H244" i="26"/>
  <c r="G244" i="26"/>
  <c r="F244" i="26"/>
  <c r="E244" i="26"/>
  <c r="D244" i="26"/>
  <c r="C244" i="26"/>
  <c r="B244" i="26"/>
  <c r="A244" i="26"/>
  <c r="L243" i="26"/>
  <c r="K243" i="26"/>
  <c r="J243" i="26"/>
  <c r="I243" i="26"/>
  <c r="H243" i="26"/>
  <c r="G243" i="26"/>
  <c r="F243" i="26"/>
  <c r="E243" i="26"/>
  <c r="D243" i="26"/>
  <c r="C243" i="26"/>
  <c r="B243" i="26"/>
  <c r="A243" i="26"/>
  <c r="L242" i="26"/>
  <c r="K242" i="26"/>
  <c r="J242" i="26"/>
  <c r="I242" i="26"/>
  <c r="H242" i="26"/>
  <c r="G242" i="26"/>
  <c r="F242" i="26"/>
  <c r="E242" i="26"/>
  <c r="D242" i="26"/>
  <c r="C242" i="26"/>
  <c r="B242" i="26"/>
  <c r="A242" i="26"/>
  <c r="L241" i="26"/>
  <c r="K241" i="26"/>
  <c r="J241" i="26"/>
  <c r="I241" i="26"/>
  <c r="H241" i="26"/>
  <c r="G241" i="26"/>
  <c r="F241" i="26"/>
  <c r="E241" i="26"/>
  <c r="D241" i="26"/>
  <c r="C241" i="26"/>
  <c r="B241" i="26"/>
  <c r="A241" i="26"/>
  <c r="L240" i="26"/>
  <c r="K240" i="26"/>
  <c r="J240" i="26"/>
  <c r="I240" i="26"/>
  <c r="H240" i="26"/>
  <c r="G240" i="26"/>
  <c r="F240" i="26"/>
  <c r="E240" i="26"/>
  <c r="D240" i="26"/>
  <c r="C240" i="26"/>
  <c r="B240" i="26"/>
  <c r="A240" i="26"/>
  <c r="L239" i="26"/>
  <c r="K239" i="26"/>
  <c r="J239" i="26"/>
  <c r="I239" i="26"/>
  <c r="H239" i="26"/>
  <c r="G239" i="26"/>
  <c r="F239" i="26"/>
  <c r="E239" i="26"/>
  <c r="D239" i="26"/>
  <c r="C239" i="26"/>
  <c r="B239" i="26"/>
  <c r="A239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L235" i="26"/>
  <c r="K235" i="26"/>
  <c r="J235" i="26"/>
  <c r="I235" i="26"/>
  <c r="H235" i="26"/>
  <c r="G235" i="26"/>
  <c r="F235" i="26"/>
  <c r="E235" i="26"/>
  <c r="D235" i="26"/>
  <c r="C235" i="26"/>
  <c r="B235" i="26"/>
  <c r="A235" i="26"/>
  <c r="L234" i="26"/>
  <c r="K234" i="26"/>
  <c r="J234" i="26"/>
  <c r="I234" i="26"/>
  <c r="H234" i="26"/>
  <c r="G234" i="26"/>
  <c r="F234" i="26"/>
  <c r="E234" i="26"/>
  <c r="D234" i="26"/>
  <c r="C234" i="26"/>
  <c r="B234" i="26"/>
  <c r="A234" i="26"/>
  <c r="L233" i="26"/>
  <c r="K233" i="26"/>
  <c r="J233" i="26"/>
  <c r="I233" i="26"/>
  <c r="H233" i="26"/>
  <c r="G233" i="26"/>
  <c r="F233" i="26"/>
  <c r="E233" i="26"/>
  <c r="D233" i="26"/>
  <c r="C233" i="26"/>
  <c r="B233" i="26"/>
  <c r="A233" i="26"/>
  <c r="L232" i="26"/>
  <c r="K232" i="26"/>
  <c r="J232" i="26"/>
  <c r="I232" i="26"/>
  <c r="H232" i="26"/>
  <c r="G232" i="26"/>
  <c r="F232" i="26"/>
  <c r="E232" i="26"/>
  <c r="D232" i="26"/>
  <c r="C232" i="26"/>
  <c r="B232" i="26"/>
  <c r="A232" i="26"/>
  <c r="L231" i="26"/>
  <c r="K231" i="26"/>
  <c r="J231" i="26"/>
  <c r="I231" i="26"/>
  <c r="H231" i="26"/>
  <c r="G231" i="26"/>
  <c r="F231" i="26"/>
  <c r="E231" i="26"/>
  <c r="D231" i="26"/>
  <c r="C231" i="26"/>
  <c r="B231" i="26"/>
  <c r="A231" i="26"/>
  <c r="L230" i="26"/>
  <c r="K230" i="26"/>
  <c r="J230" i="26"/>
  <c r="I230" i="26"/>
  <c r="H230" i="26"/>
  <c r="G230" i="26"/>
  <c r="F230" i="26"/>
  <c r="E230" i="26"/>
  <c r="D230" i="26"/>
  <c r="C230" i="26"/>
  <c r="B230" i="26"/>
  <c r="A230" i="26"/>
  <c r="L229" i="26"/>
  <c r="K229" i="26"/>
  <c r="J229" i="26"/>
  <c r="I229" i="26"/>
  <c r="H229" i="26"/>
  <c r="G229" i="26"/>
  <c r="F229" i="26"/>
  <c r="E229" i="26"/>
  <c r="D229" i="26"/>
  <c r="C229" i="26"/>
  <c r="B229" i="26"/>
  <c r="A229" i="26"/>
  <c r="L228" i="26"/>
  <c r="K228" i="26"/>
  <c r="J228" i="26"/>
  <c r="I228" i="26"/>
  <c r="H228" i="26"/>
  <c r="G228" i="26"/>
  <c r="F228" i="26"/>
  <c r="E228" i="26"/>
  <c r="D228" i="26"/>
  <c r="C228" i="26"/>
  <c r="B228" i="26"/>
  <c r="A228" i="26"/>
  <c r="L227" i="26"/>
  <c r="K227" i="26"/>
  <c r="J227" i="26"/>
  <c r="I227" i="26"/>
  <c r="H227" i="26"/>
  <c r="G227" i="26"/>
  <c r="F227" i="26"/>
  <c r="E227" i="26"/>
  <c r="D227" i="26"/>
  <c r="C227" i="26"/>
  <c r="B227" i="26"/>
  <c r="A227" i="26"/>
  <c r="L226" i="26"/>
  <c r="K226" i="26"/>
  <c r="J226" i="26"/>
  <c r="I226" i="26"/>
  <c r="H226" i="26"/>
  <c r="G226" i="26"/>
  <c r="F226" i="26"/>
  <c r="E226" i="26"/>
  <c r="D226" i="26"/>
  <c r="C226" i="26"/>
  <c r="B226" i="26"/>
  <c r="A226" i="26"/>
  <c r="L225" i="26"/>
  <c r="K225" i="26"/>
  <c r="J225" i="26"/>
  <c r="I225" i="26"/>
  <c r="H225" i="26"/>
  <c r="G225" i="26"/>
  <c r="F225" i="26"/>
  <c r="E225" i="26"/>
  <c r="D225" i="26"/>
  <c r="C225" i="26"/>
  <c r="B225" i="26"/>
  <c r="A225" i="26"/>
  <c r="L224" i="26"/>
  <c r="K224" i="26"/>
  <c r="J224" i="26"/>
  <c r="I224" i="26"/>
  <c r="H224" i="26"/>
  <c r="G224" i="26"/>
  <c r="F224" i="26"/>
  <c r="E224" i="26"/>
  <c r="D224" i="26"/>
  <c r="C224" i="26"/>
  <c r="B224" i="26"/>
  <c r="A224" i="26"/>
  <c r="L223" i="26"/>
  <c r="K223" i="26"/>
  <c r="J223" i="26"/>
  <c r="I223" i="26"/>
  <c r="H223" i="26"/>
  <c r="G223" i="26"/>
  <c r="F223" i="26"/>
  <c r="E223" i="26"/>
  <c r="D223" i="26"/>
  <c r="C223" i="26"/>
  <c r="B223" i="26"/>
  <c r="A223" i="26"/>
  <c r="L222" i="26"/>
  <c r="K222" i="26"/>
  <c r="J222" i="26"/>
  <c r="I222" i="26"/>
  <c r="H222" i="26"/>
  <c r="G222" i="26"/>
  <c r="F222" i="26"/>
  <c r="E222" i="26"/>
  <c r="D222" i="26"/>
  <c r="C222" i="26"/>
  <c r="B222" i="26"/>
  <c r="A222" i="26"/>
  <c r="L221" i="26"/>
  <c r="K221" i="26"/>
  <c r="J221" i="26"/>
  <c r="I221" i="26"/>
  <c r="H221" i="26"/>
  <c r="G221" i="26"/>
  <c r="F221" i="26"/>
  <c r="E221" i="26"/>
  <c r="D221" i="26"/>
  <c r="C221" i="26"/>
  <c r="B221" i="26"/>
  <c r="A221" i="26"/>
  <c r="L220" i="26"/>
  <c r="K220" i="26"/>
  <c r="J220" i="26"/>
  <c r="I220" i="26"/>
  <c r="H220" i="26"/>
  <c r="G220" i="26"/>
  <c r="F220" i="26"/>
  <c r="E220" i="26"/>
  <c r="D220" i="26"/>
  <c r="C220" i="26"/>
  <c r="B220" i="26"/>
  <c r="A220" i="26"/>
  <c r="L219" i="26"/>
  <c r="K219" i="26"/>
  <c r="J219" i="26"/>
  <c r="I219" i="26"/>
  <c r="H219" i="26"/>
  <c r="G219" i="26"/>
  <c r="F219" i="26"/>
  <c r="E219" i="26"/>
  <c r="D219" i="26"/>
  <c r="C219" i="26"/>
  <c r="B219" i="26"/>
  <c r="A219" i="26"/>
  <c r="L218" i="26"/>
  <c r="K218" i="26"/>
  <c r="J218" i="26"/>
  <c r="I218" i="26"/>
  <c r="H218" i="26"/>
  <c r="G218" i="26"/>
  <c r="F218" i="26"/>
  <c r="E218" i="26"/>
  <c r="D218" i="26"/>
  <c r="C218" i="26"/>
  <c r="B218" i="26"/>
  <c r="A218" i="26"/>
  <c r="L217" i="26"/>
  <c r="K217" i="26"/>
  <c r="J217" i="26"/>
  <c r="I217" i="26"/>
  <c r="H217" i="26"/>
  <c r="G217" i="26"/>
  <c r="F217" i="26"/>
  <c r="E217" i="26"/>
  <c r="D217" i="26"/>
  <c r="C217" i="26"/>
  <c r="B217" i="26"/>
  <c r="A217" i="26"/>
  <c r="L216" i="26"/>
  <c r="K216" i="26"/>
  <c r="J216" i="26"/>
  <c r="I216" i="26"/>
  <c r="H216" i="26"/>
  <c r="G216" i="26"/>
  <c r="F216" i="26"/>
  <c r="E216" i="26"/>
  <c r="D216" i="26"/>
  <c r="C216" i="26"/>
  <c r="B216" i="26"/>
  <c r="A216" i="26"/>
  <c r="L215" i="26"/>
  <c r="K215" i="26"/>
  <c r="J215" i="26"/>
  <c r="I215" i="26"/>
  <c r="H215" i="26"/>
  <c r="G215" i="26"/>
  <c r="F215" i="26"/>
  <c r="E215" i="26"/>
  <c r="D215" i="26"/>
  <c r="C215" i="26"/>
  <c r="B215" i="26"/>
  <c r="A215" i="26"/>
  <c r="L214" i="26"/>
  <c r="K214" i="26"/>
  <c r="J214" i="26"/>
  <c r="I214" i="26"/>
  <c r="H214" i="26"/>
  <c r="G214" i="26"/>
  <c r="F214" i="26"/>
  <c r="E214" i="26"/>
  <c r="D214" i="26"/>
  <c r="C214" i="26"/>
  <c r="B214" i="26"/>
  <c r="A214" i="26"/>
  <c r="L213" i="26"/>
  <c r="K213" i="26"/>
  <c r="J213" i="26"/>
  <c r="I213" i="26"/>
  <c r="H213" i="26"/>
  <c r="G213" i="26"/>
  <c r="F213" i="26"/>
  <c r="E213" i="26"/>
  <c r="D213" i="26"/>
  <c r="C213" i="26"/>
  <c r="B213" i="26"/>
  <c r="A213" i="26"/>
  <c r="L212" i="26"/>
  <c r="K212" i="26"/>
  <c r="J212" i="26"/>
  <c r="I212" i="26"/>
  <c r="H212" i="26"/>
  <c r="G212" i="26"/>
  <c r="F212" i="26"/>
  <c r="E212" i="26"/>
  <c r="D212" i="26"/>
  <c r="C212" i="26"/>
  <c r="B212" i="26"/>
  <c r="A212" i="26"/>
  <c r="L211" i="26"/>
  <c r="K211" i="26"/>
  <c r="J211" i="26"/>
  <c r="I211" i="26"/>
  <c r="H211" i="26"/>
  <c r="G211" i="26"/>
  <c r="F211" i="26"/>
  <c r="E211" i="26"/>
  <c r="D211" i="26"/>
  <c r="C211" i="26"/>
  <c r="B211" i="26"/>
  <c r="A211" i="26"/>
  <c r="L210" i="26"/>
  <c r="K210" i="26"/>
  <c r="J210" i="26"/>
  <c r="I210" i="26"/>
  <c r="H210" i="26"/>
  <c r="G210" i="26"/>
  <c r="F210" i="26"/>
  <c r="E210" i="26"/>
  <c r="D210" i="26"/>
  <c r="C210" i="26"/>
  <c r="B210" i="26"/>
  <c r="A210" i="26"/>
  <c r="L209" i="26"/>
  <c r="K209" i="26"/>
  <c r="J209" i="26"/>
  <c r="I209" i="26"/>
  <c r="H209" i="26"/>
  <c r="G209" i="26"/>
  <c r="F209" i="26"/>
  <c r="E209" i="26"/>
  <c r="D209" i="26"/>
  <c r="C209" i="26"/>
  <c r="B209" i="26"/>
  <c r="A209" i="26"/>
  <c r="L208" i="26"/>
  <c r="K208" i="26"/>
  <c r="J208" i="26"/>
  <c r="I208" i="26"/>
  <c r="H208" i="26"/>
  <c r="G208" i="26"/>
  <c r="F208" i="26"/>
  <c r="E208" i="26"/>
  <c r="D208" i="26"/>
  <c r="C208" i="26"/>
  <c r="B208" i="26"/>
  <c r="A208" i="26"/>
  <c r="L207" i="26"/>
  <c r="K207" i="26"/>
  <c r="J207" i="26"/>
  <c r="I207" i="26"/>
  <c r="H207" i="26"/>
  <c r="G207" i="26"/>
  <c r="F207" i="26"/>
  <c r="E207" i="26"/>
  <c r="D207" i="26"/>
  <c r="C207" i="26"/>
  <c r="B207" i="26"/>
  <c r="A207" i="26"/>
  <c r="L206" i="26"/>
  <c r="K206" i="26"/>
  <c r="J206" i="26"/>
  <c r="I206" i="26"/>
  <c r="H206" i="26"/>
  <c r="G206" i="26"/>
  <c r="F206" i="26"/>
  <c r="E206" i="26"/>
  <c r="D206" i="26"/>
  <c r="C206" i="26"/>
  <c r="B206" i="26"/>
  <c r="A206" i="26"/>
  <c r="L205" i="26"/>
  <c r="K205" i="26"/>
  <c r="J205" i="26"/>
  <c r="I205" i="26"/>
  <c r="H205" i="26"/>
  <c r="G205" i="26"/>
  <c r="F205" i="26"/>
  <c r="E205" i="26"/>
  <c r="D205" i="26"/>
  <c r="C205" i="26"/>
  <c r="B205" i="26"/>
  <c r="A205" i="26"/>
  <c r="L204" i="26"/>
  <c r="K204" i="26"/>
  <c r="J204" i="26"/>
  <c r="I204" i="26"/>
  <c r="H204" i="26"/>
  <c r="G204" i="26"/>
  <c r="F204" i="26"/>
  <c r="E204" i="26"/>
  <c r="D204" i="26"/>
  <c r="C204" i="26"/>
  <c r="B204" i="26"/>
  <c r="A204" i="26"/>
  <c r="L203" i="26"/>
  <c r="K203" i="26"/>
  <c r="J203" i="26"/>
  <c r="I203" i="26"/>
  <c r="H203" i="26"/>
  <c r="G203" i="26"/>
  <c r="F203" i="26"/>
  <c r="E203" i="26"/>
  <c r="D203" i="26"/>
  <c r="C203" i="26"/>
  <c r="B203" i="26"/>
  <c r="A203" i="26"/>
  <c r="L202" i="26"/>
  <c r="K202" i="26"/>
  <c r="J202" i="26"/>
  <c r="I202" i="26"/>
  <c r="H202" i="26"/>
  <c r="G202" i="26"/>
  <c r="F202" i="26"/>
  <c r="E202" i="26"/>
  <c r="D202" i="26"/>
  <c r="C202" i="26"/>
  <c r="B202" i="26"/>
  <c r="A202" i="26"/>
  <c r="L201" i="26"/>
  <c r="K201" i="26"/>
  <c r="J201" i="26"/>
  <c r="I201" i="26"/>
  <c r="H201" i="26"/>
  <c r="G201" i="26"/>
  <c r="F201" i="26"/>
  <c r="E201" i="26"/>
  <c r="D201" i="26"/>
  <c r="C201" i="26"/>
  <c r="B201" i="26"/>
  <c r="A201" i="26"/>
  <c r="L200" i="26"/>
  <c r="K200" i="26"/>
  <c r="J200" i="26"/>
  <c r="I200" i="26"/>
  <c r="H200" i="26"/>
  <c r="G200" i="26"/>
  <c r="F200" i="26"/>
  <c r="E200" i="26"/>
  <c r="D200" i="26"/>
  <c r="C200" i="26"/>
  <c r="B200" i="26"/>
  <c r="A200" i="26"/>
  <c r="L199" i="26"/>
  <c r="K199" i="26"/>
  <c r="J199" i="26"/>
  <c r="I199" i="26"/>
  <c r="H199" i="26"/>
  <c r="G199" i="26"/>
  <c r="F199" i="26"/>
  <c r="E199" i="26"/>
  <c r="D199" i="26"/>
  <c r="C199" i="26"/>
  <c r="B199" i="26"/>
  <c r="A199" i="26"/>
  <c r="L198" i="26"/>
  <c r="K198" i="26"/>
  <c r="J198" i="26"/>
  <c r="I198" i="26"/>
  <c r="H198" i="26"/>
  <c r="G198" i="26"/>
  <c r="F198" i="26"/>
  <c r="E198" i="26"/>
  <c r="D198" i="26"/>
  <c r="C198" i="26"/>
  <c r="B198" i="26"/>
  <c r="A198" i="26"/>
  <c r="L197" i="26"/>
  <c r="K197" i="26"/>
  <c r="J197" i="26"/>
  <c r="I197" i="26"/>
  <c r="H197" i="26"/>
  <c r="G197" i="26"/>
  <c r="F197" i="26"/>
  <c r="E197" i="26"/>
  <c r="D197" i="26"/>
  <c r="C197" i="26"/>
  <c r="B197" i="26"/>
  <c r="A197" i="26"/>
  <c r="L196" i="26"/>
  <c r="K196" i="26"/>
  <c r="J196" i="26"/>
  <c r="I196" i="26"/>
  <c r="H196" i="26"/>
  <c r="G196" i="26"/>
  <c r="F196" i="26"/>
  <c r="E196" i="26"/>
  <c r="D196" i="26"/>
  <c r="C196" i="26"/>
  <c r="B196" i="26"/>
  <c r="A196" i="26"/>
  <c r="L195" i="26"/>
  <c r="K195" i="26"/>
  <c r="J195" i="26"/>
  <c r="I195" i="26"/>
  <c r="H195" i="26"/>
  <c r="G195" i="26"/>
  <c r="F195" i="26"/>
  <c r="E195" i="26"/>
  <c r="D195" i="26"/>
  <c r="C195" i="26"/>
  <c r="B195" i="26"/>
  <c r="A195" i="26"/>
  <c r="L194" i="26"/>
  <c r="K194" i="26"/>
  <c r="J194" i="26"/>
  <c r="I194" i="26"/>
  <c r="H194" i="26"/>
  <c r="G194" i="26"/>
  <c r="F194" i="26"/>
  <c r="E194" i="26"/>
  <c r="D194" i="26"/>
  <c r="C194" i="26"/>
  <c r="B194" i="26"/>
  <c r="A194" i="26"/>
  <c r="L193" i="26"/>
  <c r="K193" i="26"/>
  <c r="J193" i="26"/>
  <c r="I193" i="26"/>
  <c r="H193" i="26"/>
  <c r="G193" i="26"/>
  <c r="F193" i="26"/>
  <c r="E193" i="26"/>
  <c r="D193" i="26"/>
  <c r="C193" i="26"/>
  <c r="B193" i="26"/>
  <c r="A193" i="26"/>
  <c r="L192" i="26"/>
  <c r="K192" i="26"/>
  <c r="J192" i="26"/>
  <c r="I192" i="26"/>
  <c r="H192" i="26"/>
  <c r="G192" i="26"/>
  <c r="F192" i="26"/>
  <c r="E192" i="26"/>
  <c r="D192" i="26"/>
  <c r="C192" i="26"/>
  <c r="B192" i="26"/>
  <c r="A192" i="26"/>
  <c r="L191" i="26"/>
  <c r="K191" i="26"/>
  <c r="J191" i="26"/>
  <c r="I191" i="26"/>
  <c r="H191" i="26"/>
  <c r="G191" i="26"/>
  <c r="F191" i="26"/>
  <c r="E191" i="26"/>
  <c r="D191" i="26"/>
  <c r="C191" i="26"/>
  <c r="B191" i="26"/>
  <c r="A191" i="26"/>
  <c r="L190" i="26"/>
  <c r="K190" i="26"/>
  <c r="J190" i="26"/>
  <c r="I190" i="26"/>
  <c r="H190" i="26"/>
  <c r="G190" i="26"/>
  <c r="F190" i="26"/>
  <c r="E190" i="26"/>
  <c r="D190" i="26"/>
  <c r="C190" i="26"/>
  <c r="B190" i="26"/>
  <c r="A190" i="26"/>
  <c r="L189" i="26"/>
  <c r="K189" i="26"/>
  <c r="J189" i="26"/>
  <c r="I189" i="26"/>
  <c r="H189" i="26"/>
  <c r="G189" i="26"/>
  <c r="F189" i="26"/>
  <c r="E189" i="26"/>
  <c r="D189" i="26"/>
  <c r="C189" i="26"/>
  <c r="B189" i="26"/>
  <c r="A189" i="26"/>
  <c r="L188" i="26"/>
  <c r="K188" i="26"/>
  <c r="J188" i="26"/>
  <c r="I188" i="26"/>
  <c r="H188" i="26"/>
  <c r="G188" i="26"/>
  <c r="F188" i="26"/>
  <c r="E188" i="26"/>
  <c r="D188" i="26"/>
  <c r="C188" i="26"/>
  <c r="B188" i="26"/>
  <c r="A188" i="26"/>
  <c r="L187" i="26"/>
  <c r="K187" i="26"/>
  <c r="J187" i="26"/>
  <c r="I187" i="26"/>
  <c r="H187" i="26"/>
  <c r="G187" i="26"/>
  <c r="F187" i="26"/>
  <c r="E187" i="26"/>
  <c r="D187" i="26"/>
  <c r="C187" i="26"/>
  <c r="B187" i="26"/>
  <c r="A187" i="26"/>
  <c r="L186" i="26"/>
  <c r="K186" i="26"/>
  <c r="J186" i="26"/>
  <c r="I186" i="26"/>
  <c r="H186" i="26"/>
  <c r="G186" i="26"/>
  <c r="F186" i="26"/>
  <c r="E186" i="26"/>
  <c r="D186" i="26"/>
  <c r="C186" i="26"/>
  <c r="B186" i="26"/>
  <c r="A186" i="26"/>
  <c r="L185" i="26"/>
  <c r="K185" i="26"/>
  <c r="J185" i="26"/>
  <c r="I185" i="26"/>
  <c r="H185" i="26"/>
  <c r="G185" i="26"/>
  <c r="F185" i="26"/>
  <c r="E185" i="26"/>
  <c r="D185" i="26"/>
  <c r="C185" i="26"/>
  <c r="B185" i="26"/>
  <c r="A185" i="26"/>
  <c r="L184" i="26"/>
  <c r="K184" i="26"/>
  <c r="J184" i="26"/>
  <c r="I184" i="26"/>
  <c r="H184" i="26"/>
  <c r="G184" i="26"/>
  <c r="F184" i="26"/>
  <c r="E184" i="26"/>
  <c r="D184" i="26"/>
  <c r="C184" i="26"/>
  <c r="B184" i="26"/>
  <c r="A184" i="26"/>
  <c r="L183" i="26"/>
  <c r="K183" i="26"/>
  <c r="J183" i="26"/>
  <c r="I183" i="26"/>
  <c r="H183" i="26"/>
  <c r="G183" i="26"/>
  <c r="F183" i="26"/>
  <c r="E183" i="26"/>
  <c r="D183" i="26"/>
  <c r="C183" i="26"/>
  <c r="B183" i="26"/>
  <c r="A183" i="26"/>
  <c r="L182" i="26"/>
  <c r="K182" i="26"/>
  <c r="J182" i="26"/>
  <c r="I182" i="26"/>
  <c r="H182" i="26"/>
  <c r="G182" i="26"/>
  <c r="F182" i="26"/>
  <c r="E182" i="26"/>
  <c r="D182" i="26"/>
  <c r="C182" i="26"/>
  <c r="B182" i="26"/>
  <c r="A182" i="26"/>
  <c r="L181" i="26"/>
  <c r="K181" i="26"/>
  <c r="J181" i="26"/>
  <c r="I181" i="26"/>
  <c r="H181" i="26"/>
  <c r="G181" i="26"/>
  <c r="F181" i="26"/>
  <c r="E181" i="26"/>
  <c r="D181" i="26"/>
  <c r="C181" i="26"/>
  <c r="B181" i="26"/>
  <c r="A181" i="26"/>
  <c r="L180" i="26"/>
  <c r="K180" i="26"/>
  <c r="J180" i="26"/>
  <c r="I180" i="26"/>
  <c r="H180" i="26"/>
  <c r="G180" i="26"/>
  <c r="F180" i="26"/>
  <c r="E180" i="26"/>
  <c r="D180" i="26"/>
  <c r="C180" i="26"/>
  <c r="B180" i="26"/>
  <c r="A180" i="26"/>
  <c r="L179" i="26"/>
  <c r="K179" i="26"/>
  <c r="J179" i="26"/>
  <c r="I179" i="26"/>
  <c r="H179" i="26"/>
  <c r="G179" i="26"/>
  <c r="F179" i="26"/>
  <c r="E179" i="26"/>
  <c r="D179" i="26"/>
  <c r="C179" i="26"/>
  <c r="B179" i="26"/>
  <c r="A179" i="26"/>
  <c r="L178" i="26"/>
  <c r="K178" i="26"/>
  <c r="J178" i="26"/>
  <c r="I178" i="26"/>
  <c r="H178" i="26"/>
  <c r="G178" i="26"/>
  <c r="F178" i="26"/>
  <c r="E178" i="26"/>
  <c r="D178" i="26"/>
  <c r="C178" i="26"/>
  <c r="B178" i="26"/>
  <c r="A178" i="26"/>
  <c r="L177" i="26"/>
  <c r="K177" i="26"/>
  <c r="J177" i="26"/>
  <c r="I177" i="26"/>
  <c r="H177" i="26"/>
  <c r="G177" i="26"/>
  <c r="F177" i="26"/>
  <c r="E177" i="26"/>
  <c r="D177" i="26"/>
  <c r="C177" i="26"/>
  <c r="B177" i="26"/>
  <c r="A177" i="26"/>
  <c r="L176" i="26"/>
  <c r="K176" i="26"/>
  <c r="J176" i="26"/>
  <c r="I176" i="26"/>
  <c r="H176" i="26"/>
  <c r="G176" i="26"/>
  <c r="F176" i="26"/>
  <c r="E176" i="26"/>
  <c r="D176" i="26"/>
  <c r="C176" i="26"/>
  <c r="B176" i="26"/>
  <c r="A176" i="26"/>
  <c r="L175" i="26"/>
  <c r="K175" i="26"/>
  <c r="J175" i="26"/>
  <c r="I175" i="26"/>
  <c r="H175" i="26"/>
  <c r="G175" i="26"/>
  <c r="F175" i="26"/>
  <c r="E175" i="26"/>
  <c r="D175" i="26"/>
  <c r="C175" i="26"/>
  <c r="B175" i="26"/>
  <c r="A175" i="26"/>
  <c r="L174" i="26"/>
  <c r="K174" i="26"/>
  <c r="J174" i="26"/>
  <c r="I174" i="26"/>
  <c r="H174" i="26"/>
  <c r="G174" i="26"/>
  <c r="F174" i="26"/>
  <c r="E174" i="26"/>
  <c r="D174" i="26"/>
  <c r="C174" i="26"/>
  <c r="B174" i="26"/>
  <c r="A174" i="26"/>
  <c r="L173" i="26"/>
  <c r="K173" i="26"/>
  <c r="J173" i="26"/>
  <c r="I173" i="26"/>
  <c r="H173" i="26"/>
  <c r="G173" i="26"/>
  <c r="F173" i="26"/>
  <c r="E173" i="26"/>
  <c r="D173" i="26"/>
  <c r="C173" i="26"/>
  <c r="B173" i="26"/>
  <c r="A173" i="26"/>
  <c r="L172" i="26"/>
  <c r="K172" i="26"/>
  <c r="J172" i="26"/>
  <c r="I172" i="26"/>
  <c r="H172" i="26"/>
  <c r="G172" i="26"/>
  <c r="F172" i="26"/>
  <c r="E172" i="26"/>
  <c r="D172" i="26"/>
  <c r="C172" i="26"/>
  <c r="B172" i="26"/>
  <c r="A172" i="26"/>
  <c r="L171" i="26"/>
  <c r="K171" i="26"/>
  <c r="J171" i="26"/>
  <c r="I171" i="26"/>
  <c r="H171" i="26"/>
  <c r="G171" i="26"/>
  <c r="F171" i="26"/>
  <c r="E171" i="26"/>
  <c r="D171" i="26"/>
  <c r="C171" i="26"/>
  <c r="B171" i="26"/>
  <c r="A171" i="26"/>
  <c r="L170" i="26"/>
  <c r="K170" i="26"/>
  <c r="J170" i="26"/>
  <c r="I170" i="26"/>
  <c r="H170" i="26"/>
  <c r="G170" i="26"/>
  <c r="F170" i="26"/>
  <c r="E170" i="26"/>
  <c r="D170" i="26"/>
  <c r="C170" i="26"/>
  <c r="B170" i="26"/>
  <c r="A170" i="26"/>
  <c r="L169" i="26"/>
  <c r="K169" i="26"/>
  <c r="J169" i="26"/>
  <c r="I169" i="26"/>
  <c r="H169" i="26"/>
  <c r="G169" i="26"/>
  <c r="F169" i="26"/>
  <c r="E169" i="26"/>
  <c r="D169" i="26"/>
  <c r="C169" i="26"/>
  <c r="B169" i="26"/>
  <c r="A169" i="26"/>
  <c r="L168" i="26"/>
  <c r="K168" i="26"/>
  <c r="J168" i="26"/>
  <c r="I168" i="26"/>
  <c r="H168" i="26"/>
  <c r="G168" i="26"/>
  <c r="F168" i="26"/>
  <c r="E168" i="26"/>
  <c r="D168" i="26"/>
  <c r="C168" i="26"/>
  <c r="B168" i="26"/>
  <c r="A168" i="26"/>
  <c r="L167" i="26"/>
  <c r="K167" i="26"/>
  <c r="J167" i="26"/>
  <c r="I167" i="26"/>
  <c r="H167" i="26"/>
  <c r="G167" i="26"/>
  <c r="F167" i="26"/>
  <c r="E167" i="26"/>
  <c r="D167" i="26"/>
  <c r="C167" i="26"/>
  <c r="B167" i="26"/>
  <c r="A167" i="26"/>
  <c r="L166" i="26"/>
  <c r="K166" i="26"/>
  <c r="J166" i="26"/>
  <c r="I166" i="26"/>
  <c r="H166" i="26"/>
  <c r="G166" i="26"/>
  <c r="F166" i="26"/>
  <c r="E166" i="26"/>
  <c r="D166" i="26"/>
  <c r="C166" i="26"/>
  <c r="B166" i="26"/>
  <c r="A166" i="26"/>
  <c r="L165" i="26"/>
  <c r="K165" i="26"/>
  <c r="J165" i="26"/>
  <c r="I165" i="26"/>
  <c r="H165" i="26"/>
  <c r="G165" i="26"/>
  <c r="F165" i="26"/>
  <c r="E165" i="26"/>
  <c r="D165" i="26"/>
  <c r="C165" i="26"/>
  <c r="B165" i="26"/>
  <c r="A165" i="26"/>
  <c r="L164" i="26"/>
  <c r="K164" i="26"/>
  <c r="J164" i="26"/>
  <c r="I164" i="26"/>
  <c r="H164" i="26"/>
  <c r="G164" i="26"/>
  <c r="F164" i="26"/>
  <c r="E164" i="26"/>
  <c r="D164" i="26"/>
  <c r="C164" i="26"/>
  <c r="B164" i="26"/>
  <c r="A164" i="26"/>
  <c r="L163" i="26"/>
  <c r="K163" i="26"/>
  <c r="J163" i="26"/>
  <c r="I163" i="26"/>
  <c r="H163" i="26"/>
  <c r="G163" i="26"/>
  <c r="F163" i="26"/>
  <c r="E163" i="26"/>
  <c r="D163" i="26"/>
  <c r="C163" i="26"/>
  <c r="B163" i="26"/>
  <c r="A163" i="26"/>
  <c r="L162" i="26"/>
  <c r="K162" i="26"/>
  <c r="J162" i="26"/>
  <c r="I162" i="26"/>
  <c r="H162" i="26"/>
  <c r="G162" i="26"/>
  <c r="F162" i="26"/>
  <c r="E162" i="26"/>
  <c r="D162" i="26"/>
  <c r="C162" i="26"/>
  <c r="B162" i="26"/>
  <c r="A162" i="26"/>
  <c r="L161" i="26"/>
  <c r="K161" i="26"/>
  <c r="J161" i="26"/>
  <c r="I161" i="26"/>
  <c r="H161" i="26"/>
  <c r="G161" i="26"/>
  <c r="F161" i="26"/>
  <c r="E161" i="26"/>
  <c r="D161" i="26"/>
  <c r="C161" i="26"/>
  <c r="B161" i="26"/>
  <c r="A161" i="26"/>
  <c r="L160" i="26"/>
  <c r="K160" i="26"/>
  <c r="J160" i="26"/>
  <c r="I160" i="26"/>
  <c r="H160" i="26"/>
  <c r="G160" i="26"/>
  <c r="F160" i="26"/>
  <c r="E160" i="26"/>
  <c r="D160" i="26"/>
  <c r="C160" i="26"/>
  <c r="B160" i="26"/>
  <c r="A160" i="26"/>
  <c r="L159" i="26"/>
  <c r="K159" i="26"/>
  <c r="J159" i="26"/>
  <c r="I159" i="26"/>
  <c r="H159" i="26"/>
  <c r="G159" i="26"/>
  <c r="F159" i="26"/>
  <c r="E159" i="26"/>
  <c r="D159" i="26"/>
  <c r="C159" i="26"/>
  <c r="B159" i="26"/>
  <c r="A159" i="26"/>
  <c r="L158" i="26"/>
  <c r="K158" i="26"/>
  <c r="J158" i="26"/>
  <c r="I158" i="26"/>
  <c r="H158" i="26"/>
  <c r="G158" i="26"/>
  <c r="F158" i="26"/>
  <c r="E158" i="26"/>
  <c r="D158" i="26"/>
  <c r="C158" i="26"/>
  <c r="B158" i="26"/>
  <c r="A158" i="26"/>
  <c r="L157" i="26"/>
  <c r="K157" i="26"/>
  <c r="J157" i="26"/>
  <c r="I157" i="26"/>
  <c r="H157" i="26"/>
  <c r="G157" i="26"/>
  <c r="F157" i="26"/>
  <c r="E157" i="26"/>
  <c r="D157" i="26"/>
  <c r="C157" i="26"/>
  <c r="B157" i="26"/>
  <c r="A157" i="26"/>
  <c r="L156" i="26"/>
  <c r="K156" i="26"/>
  <c r="J156" i="26"/>
  <c r="I156" i="26"/>
  <c r="H156" i="26"/>
  <c r="G156" i="26"/>
  <c r="F156" i="26"/>
  <c r="E156" i="26"/>
  <c r="D156" i="26"/>
  <c r="C156" i="26"/>
  <c r="B156" i="26"/>
  <c r="A156" i="26"/>
  <c r="L155" i="26"/>
  <c r="K155" i="26"/>
  <c r="J155" i="26"/>
  <c r="I155" i="26"/>
  <c r="H155" i="26"/>
  <c r="G155" i="26"/>
  <c r="F155" i="26"/>
  <c r="E155" i="26"/>
  <c r="D155" i="26"/>
  <c r="C155" i="26"/>
  <c r="B155" i="26"/>
  <c r="A155" i="26"/>
  <c r="L154" i="26"/>
  <c r="K154" i="26"/>
  <c r="J154" i="26"/>
  <c r="I154" i="26"/>
  <c r="H154" i="26"/>
  <c r="G154" i="26"/>
  <c r="F154" i="26"/>
  <c r="E154" i="26"/>
  <c r="D154" i="26"/>
  <c r="C154" i="26"/>
  <c r="B154" i="26"/>
  <c r="A154" i="26"/>
  <c r="L153" i="26"/>
  <c r="K153" i="26"/>
  <c r="J153" i="26"/>
  <c r="I153" i="26"/>
  <c r="H153" i="26"/>
  <c r="G153" i="26"/>
  <c r="F153" i="26"/>
  <c r="E153" i="26"/>
  <c r="D153" i="26"/>
  <c r="C153" i="26"/>
  <c r="B153" i="26"/>
  <c r="A153" i="26"/>
  <c r="L152" i="26"/>
  <c r="K152" i="26"/>
  <c r="J152" i="26"/>
  <c r="I152" i="26"/>
  <c r="H152" i="26"/>
  <c r="G152" i="26"/>
  <c r="F152" i="26"/>
  <c r="E152" i="26"/>
  <c r="D152" i="26"/>
  <c r="C152" i="26"/>
  <c r="B152" i="26"/>
  <c r="A152" i="26"/>
  <c r="L151" i="26"/>
  <c r="K151" i="26"/>
  <c r="J151" i="26"/>
  <c r="I151" i="26"/>
  <c r="H151" i="26"/>
  <c r="G151" i="26"/>
  <c r="F151" i="26"/>
  <c r="E151" i="26"/>
  <c r="D151" i="26"/>
  <c r="C151" i="26"/>
  <c r="B151" i="26"/>
  <c r="A151" i="26"/>
  <c r="L150" i="26"/>
  <c r="K150" i="26"/>
  <c r="J150" i="26"/>
  <c r="I150" i="26"/>
  <c r="H150" i="26"/>
  <c r="G150" i="26"/>
  <c r="F150" i="26"/>
  <c r="E150" i="26"/>
  <c r="D150" i="26"/>
  <c r="C150" i="26"/>
  <c r="B150" i="26"/>
  <c r="A150" i="26"/>
  <c r="L149" i="26"/>
  <c r="K149" i="26"/>
  <c r="J149" i="26"/>
  <c r="I149" i="26"/>
  <c r="H149" i="26"/>
  <c r="G149" i="26"/>
  <c r="F149" i="26"/>
  <c r="E149" i="26"/>
  <c r="D149" i="26"/>
  <c r="C149" i="26"/>
  <c r="B149" i="26"/>
  <c r="A149" i="26"/>
  <c r="L148" i="26"/>
  <c r="K148" i="26"/>
  <c r="J148" i="26"/>
  <c r="I148" i="26"/>
  <c r="H148" i="26"/>
  <c r="G148" i="26"/>
  <c r="F148" i="26"/>
  <c r="E148" i="26"/>
  <c r="D148" i="26"/>
  <c r="C148" i="26"/>
  <c r="B148" i="26"/>
  <c r="A148" i="26"/>
  <c r="L147" i="26"/>
  <c r="K147" i="26"/>
  <c r="J147" i="26"/>
  <c r="I147" i="26"/>
  <c r="H147" i="26"/>
  <c r="G147" i="26"/>
  <c r="F147" i="26"/>
  <c r="E147" i="26"/>
  <c r="D147" i="26"/>
  <c r="C147" i="26"/>
  <c r="B147" i="26"/>
  <c r="A147" i="26"/>
  <c r="L146" i="26"/>
  <c r="K146" i="26"/>
  <c r="J146" i="26"/>
  <c r="I146" i="26"/>
  <c r="H146" i="26"/>
  <c r="G146" i="26"/>
  <c r="F146" i="26"/>
  <c r="E146" i="26"/>
  <c r="D146" i="26"/>
  <c r="C146" i="26"/>
  <c r="B146" i="26"/>
  <c r="A146" i="26"/>
  <c r="L145" i="26"/>
  <c r="K145" i="26"/>
  <c r="J145" i="26"/>
  <c r="I145" i="26"/>
  <c r="H145" i="26"/>
  <c r="G145" i="26"/>
  <c r="F145" i="26"/>
  <c r="E145" i="26"/>
  <c r="D145" i="26"/>
  <c r="C145" i="26"/>
  <c r="B145" i="26"/>
  <c r="A145" i="26"/>
  <c r="L144" i="26"/>
  <c r="K144" i="26"/>
  <c r="J144" i="26"/>
  <c r="I144" i="26"/>
  <c r="H144" i="26"/>
  <c r="G144" i="26"/>
  <c r="F144" i="26"/>
  <c r="E144" i="26"/>
  <c r="D144" i="26"/>
  <c r="C144" i="26"/>
  <c r="B144" i="26"/>
  <c r="A144" i="26"/>
  <c r="L143" i="26"/>
  <c r="K143" i="26"/>
  <c r="J143" i="26"/>
  <c r="I143" i="26"/>
  <c r="H143" i="26"/>
  <c r="G143" i="26"/>
  <c r="F143" i="26"/>
  <c r="E143" i="26"/>
  <c r="D143" i="26"/>
  <c r="C143" i="26"/>
  <c r="B143" i="26"/>
  <c r="A143" i="26"/>
  <c r="L142" i="26"/>
  <c r="K142" i="26"/>
  <c r="J142" i="26"/>
  <c r="I142" i="26"/>
  <c r="H142" i="26"/>
  <c r="G142" i="26"/>
  <c r="F142" i="26"/>
  <c r="E142" i="26"/>
  <c r="D142" i="26"/>
  <c r="C142" i="26"/>
  <c r="B142" i="26"/>
  <c r="A142" i="26"/>
  <c r="L141" i="26"/>
  <c r="K141" i="26"/>
  <c r="J141" i="26"/>
  <c r="I141" i="26"/>
  <c r="H141" i="26"/>
  <c r="G141" i="26"/>
  <c r="F141" i="26"/>
  <c r="E141" i="26"/>
  <c r="D141" i="26"/>
  <c r="C141" i="26"/>
  <c r="B141" i="26"/>
  <c r="A141" i="26"/>
  <c r="L140" i="26"/>
  <c r="K140" i="26"/>
  <c r="J140" i="26"/>
  <c r="I140" i="26"/>
  <c r="H140" i="26"/>
  <c r="G140" i="26"/>
  <c r="F140" i="26"/>
  <c r="E140" i="26"/>
  <c r="D140" i="26"/>
  <c r="C140" i="26"/>
  <c r="B140" i="26"/>
  <c r="A140" i="26"/>
  <c r="L139" i="26"/>
  <c r="K139" i="26"/>
  <c r="J139" i="26"/>
  <c r="I139" i="26"/>
  <c r="H139" i="26"/>
  <c r="G139" i="26"/>
  <c r="F139" i="26"/>
  <c r="E139" i="26"/>
  <c r="D139" i="26"/>
  <c r="C139" i="26"/>
  <c r="B139" i="26"/>
  <c r="A139" i="26"/>
  <c r="L138" i="26"/>
  <c r="K138" i="26"/>
  <c r="J138" i="26"/>
  <c r="I138" i="26"/>
  <c r="H138" i="26"/>
  <c r="G138" i="26"/>
  <c r="F138" i="26"/>
  <c r="E138" i="26"/>
  <c r="D138" i="26"/>
  <c r="C138" i="26"/>
  <c r="B138" i="26"/>
  <c r="A138" i="26"/>
  <c r="L137" i="26"/>
  <c r="K137" i="26"/>
  <c r="J137" i="26"/>
  <c r="I137" i="26"/>
  <c r="H137" i="26"/>
  <c r="G137" i="26"/>
  <c r="F137" i="26"/>
  <c r="E137" i="26"/>
  <c r="D137" i="26"/>
  <c r="C137" i="26"/>
  <c r="B137" i="26"/>
  <c r="A137" i="26"/>
  <c r="L136" i="26"/>
  <c r="K136" i="26"/>
  <c r="J136" i="26"/>
  <c r="I136" i="26"/>
  <c r="H136" i="26"/>
  <c r="G136" i="26"/>
  <c r="F136" i="26"/>
  <c r="E136" i="26"/>
  <c r="D136" i="26"/>
  <c r="C136" i="26"/>
  <c r="B136" i="26"/>
  <c r="A136" i="26"/>
  <c r="L135" i="26"/>
  <c r="K135" i="26"/>
  <c r="J135" i="26"/>
  <c r="I135" i="26"/>
  <c r="H135" i="26"/>
  <c r="G135" i="26"/>
  <c r="F135" i="26"/>
  <c r="E135" i="26"/>
  <c r="D135" i="26"/>
  <c r="C135" i="26"/>
  <c r="B135" i="26"/>
  <c r="A135" i="26"/>
  <c r="L134" i="26"/>
  <c r="K134" i="26"/>
  <c r="J134" i="26"/>
  <c r="I134" i="26"/>
  <c r="H134" i="26"/>
  <c r="G134" i="26"/>
  <c r="F134" i="26"/>
  <c r="E134" i="26"/>
  <c r="D134" i="26"/>
  <c r="C134" i="26"/>
  <c r="B134" i="26"/>
  <c r="A134" i="26"/>
  <c r="L133" i="26"/>
  <c r="K133" i="26"/>
  <c r="J133" i="26"/>
  <c r="I133" i="26"/>
  <c r="H133" i="26"/>
  <c r="G133" i="26"/>
  <c r="F133" i="26"/>
  <c r="E133" i="26"/>
  <c r="D133" i="26"/>
  <c r="C133" i="26"/>
  <c r="B133" i="26"/>
  <c r="A133" i="26"/>
  <c r="L132" i="26"/>
  <c r="K132" i="26"/>
  <c r="J132" i="26"/>
  <c r="I132" i="26"/>
  <c r="H132" i="26"/>
  <c r="G132" i="26"/>
  <c r="F132" i="26"/>
  <c r="E132" i="26"/>
  <c r="D132" i="26"/>
  <c r="C132" i="26"/>
  <c r="B132" i="26"/>
  <c r="A132" i="26"/>
  <c r="L131" i="26"/>
  <c r="K131" i="26"/>
  <c r="J131" i="26"/>
  <c r="I131" i="26"/>
  <c r="H131" i="26"/>
  <c r="G131" i="26"/>
  <c r="F131" i="26"/>
  <c r="E131" i="26"/>
  <c r="D131" i="26"/>
  <c r="C131" i="26"/>
  <c r="B131" i="26"/>
  <c r="A131" i="26"/>
  <c r="L130" i="26"/>
  <c r="K130" i="26"/>
  <c r="J130" i="26"/>
  <c r="I130" i="26"/>
  <c r="H130" i="26"/>
  <c r="G130" i="26"/>
  <c r="F130" i="26"/>
  <c r="E130" i="26"/>
  <c r="D130" i="26"/>
  <c r="C130" i="26"/>
  <c r="B130" i="26"/>
  <c r="A130" i="26"/>
  <c r="L129" i="26"/>
  <c r="K129" i="26"/>
  <c r="J129" i="26"/>
  <c r="I129" i="26"/>
  <c r="H129" i="26"/>
  <c r="G129" i="26"/>
  <c r="F129" i="26"/>
  <c r="E129" i="26"/>
  <c r="D129" i="26"/>
  <c r="C129" i="26"/>
  <c r="B129" i="26"/>
  <c r="A129" i="26"/>
  <c r="L128" i="26"/>
  <c r="K128" i="26"/>
  <c r="J128" i="26"/>
  <c r="I128" i="26"/>
  <c r="H128" i="26"/>
  <c r="G128" i="26"/>
  <c r="F128" i="26"/>
  <c r="E128" i="26"/>
  <c r="D128" i="26"/>
  <c r="C128" i="26"/>
  <c r="B128" i="26"/>
  <c r="A128" i="26"/>
  <c r="L127" i="26"/>
  <c r="K127" i="26"/>
  <c r="J127" i="26"/>
  <c r="I127" i="26"/>
  <c r="H127" i="26"/>
  <c r="G127" i="26"/>
  <c r="F127" i="26"/>
  <c r="E127" i="26"/>
  <c r="D127" i="26"/>
  <c r="C127" i="26"/>
  <c r="B127" i="26"/>
  <c r="A127" i="26"/>
  <c r="L126" i="26"/>
  <c r="K126" i="26"/>
  <c r="J126" i="26"/>
  <c r="I126" i="26"/>
  <c r="H126" i="26"/>
  <c r="G126" i="26"/>
  <c r="F126" i="26"/>
  <c r="E126" i="26"/>
  <c r="D126" i="26"/>
  <c r="C126" i="26"/>
  <c r="B126" i="26"/>
  <c r="A126" i="26"/>
  <c r="L125" i="26"/>
  <c r="K125" i="26"/>
  <c r="J125" i="26"/>
  <c r="I125" i="26"/>
  <c r="H125" i="26"/>
  <c r="G125" i="26"/>
  <c r="F125" i="26"/>
  <c r="E125" i="26"/>
  <c r="D125" i="26"/>
  <c r="C125" i="26"/>
  <c r="B125" i="26"/>
  <c r="A125" i="26"/>
  <c r="L124" i="26"/>
  <c r="K124" i="26"/>
  <c r="J124" i="26"/>
  <c r="I124" i="26"/>
  <c r="H124" i="26"/>
  <c r="G124" i="26"/>
  <c r="F124" i="26"/>
  <c r="E124" i="26"/>
  <c r="D124" i="26"/>
  <c r="C124" i="26"/>
  <c r="B124" i="26"/>
  <c r="A124" i="26"/>
  <c r="L123" i="26"/>
  <c r="K123" i="26"/>
  <c r="J123" i="26"/>
  <c r="I123" i="26"/>
  <c r="H123" i="26"/>
  <c r="G123" i="26"/>
  <c r="F123" i="26"/>
  <c r="E123" i="26"/>
  <c r="D123" i="26"/>
  <c r="C123" i="26"/>
  <c r="B123" i="26"/>
  <c r="A123" i="26"/>
  <c r="L122" i="26"/>
  <c r="K122" i="26"/>
  <c r="J122" i="26"/>
  <c r="I122" i="26"/>
  <c r="H122" i="26"/>
  <c r="G122" i="26"/>
  <c r="F122" i="26"/>
  <c r="E122" i="26"/>
  <c r="D122" i="26"/>
  <c r="C122" i="26"/>
  <c r="B122" i="26"/>
  <c r="A122" i="26"/>
  <c r="L121" i="26"/>
  <c r="K121" i="26"/>
  <c r="J121" i="26"/>
  <c r="I121" i="26"/>
  <c r="H121" i="26"/>
  <c r="G121" i="26"/>
  <c r="F121" i="26"/>
  <c r="E121" i="26"/>
  <c r="D121" i="26"/>
  <c r="C121" i="26"/>
  <c r="B121" i="26"/>
  <c r="A121" i="26"/>
  <c r="L120" i="26"/>
  <c r="K120" i="26"/>
  <c r="J120" i="26"/>
  <c r="I120" i="26"/>
  <c r="H120" i="26"/>
  <c r="G120" i="26"/>
  <c r="F120" i="26"/>
  <c r="E120" i="26"/>
  <c r="D120" i="26"/>
  <c r="C120" i="26"/>
  <c r="B120" i="26"/>
  <c r="A120" i="26"/>
  <c r="L119" i="26"/>
  <c r="K119" i="26"/>
  <c r="J119" i="26"/>
  <c r="I119" i="26"/>
  <c r="H119" i="26"/>
  <c r="G119" i="26"/>
  <c r="F119" i="26"/>
  <c r="E119" i="26"/>
  <c r="D119" i="26"/>
  <c r="C119" i="26"/>
  <c r="B119" i="26"/>
  <c r="A119" i="26"/>
  <c r="L118" i="26"/>
  <c r="K118" i="26"/>
  <c r="J118" i="26"/>
  <c r="I118" i="26"/>
  <c r="H118" i="26"/>
  <c r="G118" i="26"/>
  <c r="F118" i="26"/>
  <c r="E118" i="26"/>
  <c r="D118" i="26"/>
  <c r="C118" i="26"/>
  <c r="B118" i="26"/>
  <c r="A118" i="26"/>
  <c r="L117" i="26"/>
  <c r="K117" i="26"/>
  <c r="J117" i="26"/>
  <c r="I117" i="26"/>
  <c r="H117" i="26"/>
  <c r="G117" i="26"/>
  <c r="F117" i="26"/>
  <c r="E117" i="26"/>
  <c r="D117" i="26"/>
  <c r="C117" i="26"/>
  <c r="B117" i="26"/>
  <c r="A117" i="26"/>
  <c r="L116" i="26"/>
  <c r="K116" i="26"/>
  <c r="J116" i="26"/>
  <c r="I116" i="26"/>
  <c r="H116" i="26"/>
  <c r="G116" i="26"/>
  <c r="F116" i="26"/>
  <c r="E116" i="26"/>
  <c r="D116" i="26"/>
  <c r="C116" i="26"/>
  <c r="B116" i="26"/>
  <c r="A116" i="26"/>
  <c r="L115" i="26"/>
  <c r="K115" i="26"/>
  <c r="J115" i="26"/>
  <c r="I115" i="26"/>
  <c r="H115" i="26"/>
  <c r="G115" i="26"/>
  <c r="F115" i="26"/>
  <c r="E115" i="26"/>
  <c r="D115" i="26"/>
  <c r="C115" i="26"/>
  <c r="B115" i="26"/>
  <c r="A115" i="26"/>
  <c r="L114" i="26"/>
  <c r="K114" i="26"/>
  <c r="J114" i="26"/>
  <c r="I114" i="26"/>
  <c r="H114" i="26"/>
  <c r="G114" i="26"/>
  <c r="F114" i="26"/>
  <c r="E114" i="26"/>
  <c r="D114" i="26"/>
  <c r="C114" i="26"/>
  <c r="B114" i="26"/>
  <c r="A114" i="26"/>
  <c r="L113" i="26"/>
  <c r="K113" i="26"/>
  <c r="J113" i="26"/>
  <c r="I113" i="26"/>
  <c r="H113" i="26"/>
  <c r="G113" i="26"/>
  <c r="F113" i="26"/>
  <c r="E113" i="26"/>
  <c r="D113" i="26"/>
  <c r="C113" i="26"/>
  <c r="B113" i="26"/>
  <c r="A113" i="26"/>
  <c r="L112" i="26"/>
  <c r="K112" i="26"/>
  <c r="J112" i="26"/>
  <c r="I112" i="26"/>
  <c r="H112" i="26"/>
  <c r="G112" i="26"/>
  <c r="F112" i="26"/>
  <c r="E112" i="26"/>
  <c r="D112" i="26"/>
  <c r="C112" i="26"/>
  <c r="B112" i="26"/>
  <c r="A112" i="26"/>
  <c r="L111" i="26"/>
  <c r="K111" i="26"/>
  <c r="J111" i="26"/>
  <c r="I111" i="26"/>
  <c r="H111" i="26"/>
  <c r="G111" i="26"/>
  <c r="F111" i="26"/>
  <c r="E111" i="26"/>
  <c r="D111" i="26"/>
  <c r="C111" i="26"/>
  <c r="B111" i="26"/>
  <c r="A111" i="26"/>
  <c r="L110" i="26"/>
  <c r="K110" i="26"/>
  <c r="J110" i="26"/>
  <c r="I110" i="26"/>
  <c r="H110" i="26"/>
  <c r="G110" i="26"/>
  <c r="F110" i="26"/>
  <c r="E110" i="26"/>
  <c r="D110" i="26"/>
  <c r="C110" i="26"/>
  <c r="B110" i="26"/>
  <c r="A110" i="26"/>
  <c r="L109" i="26"/>
  <c r="K109" i="26"/>
  <c r="J109" i="26"/>
  <c r="I109" i="26"/>
  <c r="H109" i="26"/>
  <c r="G109" i="26"/>
  <c r="F109" i="26"/>
  <c r="E109" i="26"/>
  <c r="D109" i="26"/>
  <c r="C109" i="26"/>
  <c r="B109" i="26"/>
  <c r="A109" i="26"/>
  <c r="L108" i="26"/>
  <c r="K108" i="26"/>
  <c r="J108" i="26"/>
  <c r="I108" i="26"/>
  <c r="H108" i="26"/>
  <c r="G108" i="26"/>
  <c r="F108" i="26"/>
  <c r="E108" i="26"/>
  <c r="D108" i="26"/>
  <c r="C108" i="26"/>
  <c r="B108" i="26"/>
  <c r="A108" i="26"/>
  <c r="L107" i="26"/>
  <c r="K107" i="26"/>
  <c r="J107" i="26"/>
  <c r="I107" i="26"/>
  <c r="H107" i="26"/>
  <c r="G107" i="26"/>
  <c r="F107" i="26"/>
  <c r="E107" i="26"/>
  <c r="D107" i="26"/>
  <c r="C107" i="26"/>
  <c r="B107" i="26"/>
  <c r="A107" i="26"/>
  <c r="L106" i="26"/>
  <c r="K106" i="26"/>
  <c r="J106" i="26"/>
  <c r="I106" i="26"/>
  <c r="H106" i="26"/>
  <c r="G106" i="26"/>
  <c r="F106" i="26"/>
  <c r="E106" i="26"/>
  <c r="D106" i="26"/>
  <c r="C106" i="26"/>
  <c r="B106" i="26"/>
  <c r="A106" i="26"/>
  <c r="L105" i="26"/>
  <c r="K105" i="26"/>
  <c r="J105" i="26"/>
  <c r="I105" i="26"/>
  <c r="H105" i="26"/>
  <c r="G105" i="26"/>
  <c r="F105" i="26"/>
  <c r="E105" i="26"/>
  <c r="D105" i="26"/>
  <c r="C105" i="26"/>
  <c r="B105" i="26"/>
  <c r="A105" i="26"/>
  <c r="L104" i="26"/>
  <c r="K104" i="26"/>
  <c r="J104" i="26"/>
  <c r="I104" i="26"/>
  <c r="H104" i="26"/>
  <c r="G104" i="26"/>
  <c r="F104" i="26"/>
  <c r="E104" i="26"/>
  <c r="D104" i="26"/>
  <c r="C104" i="26"/>
  <c r="B104" i="26"/>
  <c r="A104" i="26"/>
  <c r="L103" i="26"/>
  <c r="K103" i="26"/>
  <c r="J103" i="26"/>
  <c r="I103" i="26"/>
  <c r="H103" i="26"/>
  <c r="G103" i="26"/>
  <c r="F103" i="26"/>
  <c r="E103" i="26"/>
  <c r="D103" i="26"/>
  <c r="C103" i="26"/>
  <c r="B103" i="26"/>
  <c r="A103" i="26"/>
  <c r="L102" i="26"/>
  <c r="K102" i="26"/>
  <c r="J102" i="26"/>
  <c r="I102" i="26"/>
  <c r="H102" i="26"/>
  <c r="G102" i="26"/>
  <c r="F102" i="26"/>
  <c r="E102" i="26"/>
  <c r="D102" i="26"/>
  <c r="C102" i="26"/>
  <c r="B102" i="26"/>
  <c r="A102" i="26"/>
  <c r="L101" i="26"/>
  <c r="K101" i="26"/>
  <c r="J101" i="26"/>
  <c r="I101" i="26"/>
  <c r="H101" i="26"/>
  <c r="G101" i="26"/>
  <c r="F101" i="26"/>
  <c r="E101" i="26"/>
  <c r="D101" i="26"/>
  <c r="C101" i="26"/>
  <c r="B101" i="26"/>
  <c r="A101" i="26"/>
  <c r="L100" i="26"/>
  <c r="K100" i="26"/>
  <c r="J100" i="26"/>
  <c r="I100" i="26"/>
  <c r="H100" i="26"/>
  <c r="G100" i="26"/>
  <c r="F100" i="26"/>
  <c r="E100" i="26"/>
  <c r="D100" i="26"/>
  <c r="C100" i="26"/>
  <c r="B100" i="26"/>
  <c r="A100" i="26"/>
  <c r="L99" i="26"/>
  <c r="K99" i="26"/>
  <c r="J99" i="26"/>
  <c r="I99" i="26"/>
  <c r="H99" i="26"/>
  <c r="G99" i="26"/>
  <c r="F99" i="26"/>
  <c r="E99" i="26"/>
  <c r="D99" i="26"/>
  <c r="C99" i="26"/>
  <c r="B99" i="26"/>
  <c r="A99" i="26"/>
  <c r="L98" i="26"/>
  <c r="K98" i="26"/>
  <c r="J98" i="26"/>
  <c r="I98" i="26"/>
  <c r="H98" i="26"/>
  <c r="G98" i="26"/>
  <c r="F98" i="26"/>
  <c r="E98" i="26"/>
  <c r="D98" i="26"/>
  <c r="C98" i="26"/>
  <c r="B98" i="26"/>
  <c r="A98" i="26"/>
  <c r="L97" i="26"/>
  <c r="K97" i="26"/>
  <c r="J97" i="26"/>
  <c r="I97" i="26"/>
  <c r="H97" i="26"/>
  <c r="G97" i="26"/>
  <c r="F97" i="26"/>
  <c r="E97" i="26"/>
  <c r="D97" i="26"/>
  <c r="C97" i="26"/>
  <c r="B97" i="26"/>
  <c r="A97" i="26"/>
  <c r="L96" i="26"/>
  <c r="K96" i="26"/>
  <c r="J96" i="26"/>
  <c r="I96" i="26"/>
  <c r="H96" i="26"/>
  <c r="G96" i="26"/>
  <c r="F96" i="26"/>
  <c r="E96" i="26"/>
  <c r="D96" i="26"/>
  <c r="C96" i="26"/>
  <c r="B96" i="26"/>
  <c r="A96" i="26"/>
  <c r="L95" i="26"/>
  <c r="K95" i="26"/>
  <c r="J95" i="26"/>
  <c r="I95" i="26"/>
  <c r="H95" i="26"/>
  <c r="G95" i="26"/>
  <c r="F95" i="26"/>
  <c r="E95" i="26"/>
  <c r="D95" i="26"/>
  <c r="C95" i="26"/>
  <c r="B95" i="26"/>
  <c r="A95" i="26"/>
  <c r="L94" i="26"/>
  <c r="K94" i="26"/>
  <c r="J94" i="26"/>
  <c r="I94" i="26"/>
  <c r="H94" i="26"/>
  <c r="G94" i="26"/>
  <c r="F94" i="26"/>
  <c r="E94" i="26"/>
  <c r="D94" i="26"/>
  <c r="C94" i="26"/>
  <c r="B94" i="26"/>
  <c r="A94" i="26"/>
  <c r="L93" i="26"/>
  <c r="K93" i="26"/>
  <c r="J93" i="26"/>
  <c r="I93" i="26"/>
  <c r="H93" i="26"/>
  <c r="G93" i="26"/>
  <c r="F93" i="26"/>
  <c r="E93" i="26"/>
  <c r="D93" i="26"/>
  <c r="C93" i="26"/>
  <c r="B93" i="26"/>
  <c r="A93" i="26"/>
  <c r="L92" i="26"/>
  <c r="K92" i="26"/>
  <c r="J92" i="26"/>
  <c r="I92" i="26"/>
  <c r="H92" i="26"/>
  <c r="G92" i="26"/>
  <c r="F92" i="26"/>
  <c r="E92" i="26"/>
  <c r="D92" i="26"/>
  <c r="C92" i="26"/>
  <c r="B92" i="26"/>
  <c r="A92" i="26"/>
  <c r="L91" i="26"/>
  <c r="K91" i="26"/>
  <c r="J91" i="26"/>
  <c r="I91" i="26"/>
  <c r="H91" i="26"/>
  <c r="G91" i="26"/>
  <c r="F91" i="26"/>
  <c r="E91" i="26"/>
  <c r="D91" i="26"/>
  <c r="C91" i="26"/>
  <c r="B91" i="26"/>
  <c r="A91" i="26"/>
  <c r="L90" i="26"/>
  <c r="K90" i="26"/>
  <c r="J90" i="26"/>
  <c r="I90" i="26"/>
  <c r="H90" i="26"/>
  <c r="G90" i="26"/>
  <c r="F90" i="26"/>
  <c r="E90" i="26"/>
  <c r="D90" i="26"/>
  <c r="C90" i="26"/>
  <c r="B90" i="26"/>
  <c r="A90" i="26"/>
  <c r="L89" i="26"/>
  <c r="K89" i="26"/>
  <c r="J89" i="26"/>
  <c r="I89" i="26"/>
  <c r="H89" i="26"/>
  <c r="G89" i="26"/>
  <c r="F89" i="26"/>
  <c r="E89" i="26"/>
  <c r="D89" i="26"/>
  <c r="C89" i="26"/>
  <c r="B89" i="26"/>
  <c r="A89" i="26"/>
  <c r="L88" i="26"/>
  <c r="K88" i="26"/>
  <c r="J88" i="26"/>
  <c r="I88" i="26"/>
  <c r="H88" i="26"/>
  <c r="G88" i="26"/>
  <c r="F88" i="26"/>
  <c r="E88" i="26"/>
  <c r="D88" i="26"/>
  <c r="C88" i="26"/>
  <c r="B88" i="26"/>
  <c r="A88" i="26"/>
  <c r="L87" i="26"/>
  <c r="K87" i="26"/>
  <c r="J87" i="26"/>
  <c r="I87" i="26"/>
  <c r="H87" i="26"/>
  <c r="G87" i="26"/>
  <c r="F87" i="26"/>
  <c r="E87" i="26"/>
  <c r="D87" i="26"/>
  <c r="C87" i="26"/>
  <c r="B87" i="26"/>
  <c r="A87" i="26"/>
  <c r="L86" i="26"/>
  <c r="K86" i="26"/>
  <c r="J86" i="26"/>
  <c r="I86" i="26"/>
  <c r="H86" i="26"/>
  <c r="G86" i="26"/>
  <c r="F86" i="26"/>
  <c r="E86" i="26"/>
  <c r="D86" i="26"/>
  <c r="C86" i="26"/>
  <c r="B86" i="26"/>
  <c r="A86" i="26"/>
  <c r="L85" i="26"/>
  <c r="K85" i="26"/>
  <c r="J85" i="26"/>
  <c r="I85" i="26"/>
  <c r="H85" i="26"/>
  <c r="G85" i="26"/>
  <c r="F85" i="26"/>
  <c r="E85" i="26"/>
  <c r="D85" i="26"/>
  <c r="C85" i="26"/>
  <c r="B85" i="26"/>
  <c r="A85" i="26"/>
  <c r="L84" i="26"/>
  <c r="K84" i="26"/>
  <c r="J84" i="26"/>
  <c r="I84" i="26"/>
  <c r="H84" i="26"/>
  <c r="G84" i="26"/>
  <c r="F84" i="26"/>
  <c r="E84" i="26"/>
  <c r="D84" i="26"/>
  <c r="C84" i="26"/>
  <c r="B84" i="26"/>
  <c r="A84" i="26"/>
  <c r="L83" i="26"/>
  <c r="K83" i="26"/>
  <c r="J83" i="26"/>
  <c r="I83" i="26"/>
  <c r="H83" i="26"/>
  <c r="G83" i="26"/>
  <c r="F83" i="26"/>
  <c r="E83" i="26"/>
  <c r="D83" i="26"/>
  <c r="C83" i="26"/>
  <c r="B83" i="26"/>
  <c r="A83" i="26"/>
  <c r="L82" i="26"/>
  <c r="K82" i="26"/>
  <c r="J82" i="26"/>
  <c r="I82" i="26"/>
  <c r="H82" i="26"/>
  <c r="G82" i="26"/>
  <c r="F82" i="26"/>
  <c r="E82" i="26"/>
  <c r="D82" i="26"/>
  <c r="C82" i="26"/>
  <c r="B82" i="26"/>
  <c r="A82" i="26"/>
  <c r="L81" i="26"/>
  <c r="K81" i="26"/>
  <c r="J81" i="26"/>
  <c r="I81" i="26"/>
  <c r="H81" i="26"/>
  <c r="G81" i="26"/>
  <c r="F81" i="26"/>
  <c r="E81" i="26"/>
  <c r="D81" i="26"/>
  <c r="C81" i="26"/>
  <c r="B81" i="26"/>
  <c r="A81" i="26"/>
  <c r="L80" i="26"/>
  <c r="K80" i="26"/>
  <c r="J80" i="26"/>
  <c r="I80" i="26"/>
  <c r="H80" i="26"/>
  <c r="G80" i="26"/>
  <c r="F80" i="26"/>
  <c r="E80" i="26"/>
  <c r="D80" i="26"/>
  <c r="C80" i="26"/>
  <c r="B80" i="26"/>
  <c r="A80" i="26"/>
  <c r="L79" i="26"/>
  <c r="K79" i="26"/>
  <c r="J79" i="26"/>
  <c r="I79" i="26"/>
  <c r="H79" i="26"/>
  <c r="G79" i="26"/>
  <c r="F79" i="26"/>
  <c r="E79" i="26"/>
  <c r="D79" i="26"/>
  <c r="C79" i="26"/>
  <c r="B79" i="26"/>
  <c r="A79" i="26"/>
  <c r="L78" i="26"/>
  <c r="K78" i="26"/>
  <c r="J78" i="26"/>
  <c r="I78" i="26"/>
  <c r="H78" i="26"/>
  <c r="G78" i="26"/>
  <c r="F78" i="26"/>
  <c r="E78" i="26"/>
  <c r="D78" i="26"/>
  <c r="C78" i="26"/>
  <c r="B78" i="26"/>
  <c r="A78" i="26"/>
  <c r="L77" i="26"/>
  <c r="K77" i="26"/>
  <c r="J77" i="26"/>
  <c r="I77" i="26"/>
  <c r="H77" i="26"/>
  <c r="G77" i="26"/>
  <c r="F77" i="26"/>
  <c r="E77" i="26"/>
  <c r="D77" i="26"/>
  <c r="C77" i="26"/>
  <c r="B77" i="26"/>
  <c r="A77" i="26"/>
  <c r="L76" i="26"/>
  <c r="K76" i="26"/>
  <c r="J76" i="26"/>
  <c r="I76" i="26"/>
  <c r="H76" i="26"/>
  <c r="G76" i="26"/>
  <c r="F76" i="26"/>
  <c r="E76" i="26"/>
  <c r="D76" i="26"/>
  <c r="C76" i="26"/>
  <c r="B76" i="26"/>
  <c r="A76" i="26"/>
  <c r="L75" i="26"/>
  <c r="K75" i="26"/>
  <c r="J75" i="26"/>
  <c r="I75" i="26"/>
  <c r="H75" i="26"/>
  <c r="G75" i="26"/>
  <c r="F75" i="26"/>
  <c r="E75" i="26"/>
  <c r="D75" i="26"/>
  <c r="C75" i="26"/>
  <c r="B75" i="26"/>
  <c r="A75" i="26"/>
  <c r="L74" i="26"/>
  <c r="K74" i="26"/>
  <c r="J74" i="26"/>
  <c r="I74" i="26"/>
  <c r="H74" i="26"/>
  <c r="G74" i="26"/>
  <c r="F74" i="26"/>
  <c r="E74" i="26"/>
  <c r="D74" i="26"/>
  <c r="C74" i="26"/>
  <c r="B74" i="26"/>
  <c r="A74" i="26"/>
  <c r="L73" i="26"/>
  <c r="K73" i="26"/>
  <c r="J73" i="26"/>
  <c r="I73" i="26"/>
  <c r="H73" i="26"/>
  <c r="G73" i="26"/>
  <c r="F73" i="26"/>
  <c r="E73" i="26"/>
  <c r="D73" i="26"/>
  <c r="C73" i="26"/>
  <c r="B73" i="26"/>
  <c r="A73" i="26"/>
  <c r="L72" i="26"/>
  <c r="K72" i="26"/>
  <c r="J72" i="26"/>
  <c r="I72" i="26"/>
  <c r="H72" i="26"/>
  <c r="G72" i="26"/>
  <c r="F72" i="26"/>
  <c r="E72" i="26"/>
  <c r="D72" i="26"/>
  <c r="C72" i="26"/>
  <c r="B72" i="26"/>
  <c r="A72" i="26"/>
  <c r="L71" i="26"/>
  <c r="K71" i="26"/>
  <c r="J71" i="26"/>
  <c r="I71" i="26"/>
  <c r="H71" i="26"/>
  <c r="G71" i="26"/>
  <c r="F71" i="26"/>
  <c r="E71" i="26"/>
  <c r="D71" i="26"/>
  <c r="C71" i="26"/>
  <c r="B71" i="26"/>
  <c r="A71" i="26"/>
  <c r="L70" i="26"/>
  <c r="K70" i="26"/>
  <c r="J70" i="26"/>
  <c r="I70" i="26"/>
  <c r="H70" i="26"/>
  <c r="G70" i="26"/>
  <c r="F70" i="26"/>
  <c r="E70" i="26"/>
  <c r="D70" i="26"/>
  <c r="C70" i="26"/>
  <c r="B70" i="26"/>
  <c r="A70" i="26"/>
  <c r="L69" i="26"/>
  <c r="K69" i="26"/>
  <c r="J69" i="26"/>
  <c r="I69" i="26"/>
  <c r="H69" i="26"/>
  <c r="G69" i="26"/>
  <c r="F69" i="26"/>
  <c r="E69" i="26"/>
  <c r="D69" i="26"/>
  <c r="C69" i="26"/>
  <c r="B69" i="26"/>
  <c r="A69" i="26"/>
  <c r="L68" i="26"/>
  <c r="K68" i="26"/>
  <c r="J68" i="26"/>
  <c r="I68" i="26"/>
  <c r="H68" i="26"/>
  <c r="G68" i="26"/>
  <c r="F68" i="26"/>
  <c r="E68" i="26"/>
  <c r="D68" i="26"/>
  <c r="C68" i="26"/>
  <c r="B68" i="26"/>
  <c r="A68" i="26"/>
  <c r="L67" i="26"/>
  <c r="K67" i="26"/>
  <c r="J67" i="26"/>
  <c r="I67" i="26"/>
  <c r="H67" i="26"/>
  <c r="G67" i="26"/>
  <c r="F67" i="26"/>
  <c r="E67" i="26"/>
  <c r="D67" i="26"/>
  <c r="C67" i="26"/>
  <c r="B67" i="26"/>
  <c r="A67" i="26"/>
  <c r="L66" i="26"/>
  <c r="K66" i="26"/>
  <c r="J66" i="26"/>
  <c r="I66" i="26"/>
  <c r="H66" i="26"/>
  <c r="G66" i="26"/>
  <c r="F66" i="26"/>
  <c r="E66" i="26"/>
  <c r="D66" i="26"/>
  <c r="C66" i="26"/>
  <c r="B66" i="26"/>
  <c r="A66" i="26"/>
  <c r="L65" i="26"/>
  <c r="K65" i="26"/>
  <c r="J65" i="26"/>
  <c r="I65" i="26"/>
  <c r="H65" i="26"/>
  <c r="G65" i="26"/>
  <c r="F65" i="26"/>
  <c r="E65" i="26"/>
  <c r="D65" i="26"/>
  <c r="C65" i="26"/>
  <c r="B65" i="26"/>
  <c r="A65" i="26"/>
  <c r="L64" i="26"/>
  <c r="K64" i="26"/>
  <c r="J64" i="26"/>
  <c r="I64" i="26"/>
  <c r="H64" i="26"/>
  <c r="G64" i="26"/>
  <c r="F64" i="26"/>
  <c r="E64" i="26"/>
  <c r="D64" i="26"/>
  <c r="C64" i="26"/>
  <c r="B64" i="26"/>
  <c r="A64" i="26"/>
  <c r="L63" i="26"/>
  <c r="K63" i="26"/>
  <c r="J63" i="26"/>
  <c r="I63" i="26"/>
  <c r="H63" i="26"/>
  <c r="G63" i="26"/>
  <c r="F63" i="26"/>
  <c r="E63" i="26"/>
  <c r="D63" i="26"/>
  <c r="C63" i="26"/>
  <c r="B63" i="26"/>
  <c r="A63" i="26"/>
  <c r="L62" i="26"/>
  <c r="K62" i="26"/>
  <c r="J62" i="26"/>
  <c r="I62" i="26"/>
  <c r="H62" i="26"/>
  <c r="G62" i="26"/>
  <c r="F62" i="26"/>
  <c r="E62" i="26"/>
  <c r="D62" i="26"/>
  <c r="C62" i="26"/>
  <c r="B62" i="26"/>
  <c r="A62" i="26"/>
  <c r="L61" i="26"/>
  <c r="K61" i="26"/>
  <c r="J61" i="26"/>
  <c r="I61" i="26"/>
  <c r="H61" i="26"/>
  <c r="G61" i="26"/>
  <c r="F61" i="26"/>
  <c r="E61" i="26"/>
  <c r="D61" i="26"/>
  <c r="C61" i="26"/>
  <c r="B61" i="26"/>
  <c r="A61" i="26"/>
  <c r="L60" i="26"/>
  <c r="K60" i="26"/>
  <c r="J60" i="26"/>
  <c r="I60" i="26"/>
  <c r="H60" i="26"/>
  <c r="G60" i="26"/>
  <c r="F60" i="26"/>
  <c r="E60" i="26"/>
  <c r="D60" i="26"/>
  <c r="C60" i="26"/>
  <c r="B60" i="26"/>
  <c r="A60" i="26"/>
  <c r="L59" i="26"/>
  <c r="K59" i="26"/>
  <c r="J59" i="26"/>
  <c r="I59" i="26"/>
  <c r="H59" i="26"/>
  <c r="G59" i="26"/>
  <c r="F59" i="26"/>
  <c r="E59" i="26"/>
  <c r="D59" i="26"/>
  <c r="C59" i="26"/>
  <c r="B59" i="26"/>
  <c r="A59" i="26"/>
  <c r="L58" i="26"/>
  <c r="K58" i="26"/>
  <c r="J58" i="26"/>
  <c r="I58" i="26"/>
  <c r="H58" i="26"/>
  <c r="G58" i="26"/>
  <c r="F58" i="26"/>
  <c r="E58" i="26"/>
  <c r="D58" i="26"/>
  <c r="C58" i="26"/>
  <c r="B58" i="26"/>
  <c r="A58" i="26"/>
  <c r="L57" i="26"/>
  <c r="K57" i="26"/>
  <c r="J57" i="26"/>
  <c r="I57" i="26"/>
  <c r="H57" i="26"/>
  <c r="G57" i="26"/>
  <c r="F57" i="26"/>
  <c r="E57" i="26"/>
  <c r="D57" i="26"/>
  <c r="C57" i="26"/>
  <c r="B57" i="26"/>
  <c r="A57" i="26"/>
  <c r="L56" i="26"/>
  <c r="K56" i="26"/>
  <c r="J56" i="26"/>
  <c r="I56" i="26"/>
  <c r="H56" i="26"/>
  <c r="G56" i="26"/>
  <c r="F56" i="26"/>
  <c r="E56" i="26"/>
  <c r="D56" i="26"/>
  <c r="C56" i="26"/>
  <c r="B56" i="26"/>
  <c r="A56" i="26"/>
  <c r="L55" i="26"/>
  <c r="K55" i="26"/>
  <c r="J55" i="26"/>
  <c r="I55" i="26"/>
  <c r="H55" i="26"/>
  <c r="G55" i="26"/>
  <c r="F55" i="26"/>
  <c r="E55" i="26"/>
  <c r="D55" i="26"/>
  <c r="C55" i="26"/>
  <c r="B55" i="26"/>
  <c r="A55" i="26"/>
  <c r="L54" i="26"/>
  <c r="K54" i="26"/>
  <c r="J54" i="26"/>
  <c r="I54" i="26"/>
  <c r="H54" i="26"/>
  <c r="G54" i="26"/>
  <c r="F54" i="26"/>
  <c r="E54" i="26"/>
  <c r="D54" i="26"/>
  <c r="C54" i="26"/>
  <c r="B54" i="26"/>
  <c r="A54" i="26"/>
  <c r="L53" i="26"/>
  <c r="K53" i="26"/>
  <c r="J53" i="26"/>
  <c r="I53" i="26"/>
  <c r="H53" i="26"/>
  <c r="G53" i="26"/>
  <c r="F53" i="26"/>
  <c r="E53" i="26"/>
  <c r="D53" i="26"/>
  <c r="C53" i="26"/>
  <c r="B53" i="26"/>
  <c r="A53" i="26"/>
  <c r="L52" i="26"/>
  <c r="K52" i="26"/>
  <c r="J52" i="26"/>
  <c r="I52" i="26"/>
  <c r="H52" i="26"/>
  <c r="G52" i="26"/>
  <c r="F52" i="26"/>
  <c r="E52" i="26"/>
  <c r="D52" i="26"/>
  <c r="C52" i="26"/>
  <c r="B52" i="26"/>
  <c r="A52" i="26"/>
  <c r="L51" i="26"/>
  <c r="K51" i="26"/>
  <c r="J51" i="26"/>
  <c r="I51" i="26"/>
  <c r="H51" i="26"/>
  <c r="G51" i="26"/>
  <c r="F51" i="26"/>
  <c r="E51" i="26"/>
  <c r="D51" i="26"/>
  <c r="C51" i="26"/>
  <c r="B51" i="26"/>
  <c r="A51" i="26"/>
  <c r="L50" i="26"/>
  <c r="K50" i="26"/>
  <c r="J50" i="26"/>
  <c r="I50" i="26"/>
  <c r="H50" i="26"/>
  <c r="G50" i="26"/>
  <c r="F50" i="26"/>
  <c r="E50" i="26"/>
  <c r="D50" i="26"/>
  <c r="C50" i="26"/>
  <c r="B50" i="26"/>
  <c r="A50" i="26"/>
  <c r="L49" i="26"/>
  <c r="K49" i="26"/>
  <c r="J49" i="26"/>
  <c r="I49" i="26"/>
  <c r="H49" i="26"/>
  <c r="G49" i="26"/>
  <c r="F49" i="26"/>
  <c r="E49" i="26"/>
  <c r="D49" i="26"/>
  <c r="C49" i="26"/>
  <c r="B49" i="26"/>
  <c r="A49" i="26"/>
  <c r="L48" i="26"/>
  <c r="K48" i="26"/>
  <c r="J48" i="26"/>
  <c r="I48" i="26"/>
  <c r="H48" i="26"/>
  <c r="G48" i="26"/>
  <c r="F48" i="26"/>
  <c r="E48" i="26"/>
  <c r="D48" i="26"/>
  <c r="C48" i="26"/>
  <c r="B48" i="26"/>
  <c r="A48" i="26"/>
  <c r="L47" i="26"/>
  <c r="K47" i="26"/>
  <c r="J47" i="26"/>
  <c r="I47" i="26"/>
  <c r="H47" i="26"/>
  <c r="G47" i="26"/>
  <c r="F47" i="26"/>
  <c r="E47" i="26"/>
  <c r="D47" i="26"/>
  <c r="C47" i="26"/>
  <c r="B47" i="26"/>
  <c r="A47" i="26"/>
  <c r="L46" i="26"/>
  <c r="K46" i="26"/>
  <c r="J46" i="26"/>
  <c r="I46" i="26"/>
  <c r="H46" i="26"/>
  <c r="G46" i="26"/>
  <c r="F46" i="26"/>
  <c r="E46" i="26"/>
  <c r="D46" i="26"/>
  <c r="C46" i="26"/>
  <c r="B46" i="26"/>
  <c r="A46" i="26"/>
  <c r="L45" i="26"/>
  <c r="K45" i="26"/>
  <c r="J45" i="26"/>
  <c r="I45" i="26"/>
  <c r="H45" i="26"/>
  <c r="G45" i="26"/>
  <c r="F45" i="26"/>
  <c r="E45" i="26"/>
  <c r="D45" i="26"/>
  <c r="C45" i="26"/>
  <c r="B45" i="26"/>
  <c r="A45" i="26"/>
  <c r="L44" i="26"/>
  <c r="K44" i="26"/>
  <c r="J44" i="26"/>
  <c r="I44" i="26"/>
  <c r="H44" i="26"/>
  <c r="G44" i="26"/>
  <c r="F44" i="26"/>
  <c r="E44" i="26"/>
  <c r="D44" i="26"/>
  <c r="C44" i="26"/>
  <c r="B44" i="26"/>
  <c r="A44" i="26"/>
  <c r="L43" i="26"/>
  <c r="K43" i="26"/>
  <c r="J43" i="26"/>
  <c r="I43" i="26"/>
  <c r="H43" i="26"/>
  <c r="G43" i="26"/>
  <c r="F43" i="26"/>
  <c r="E43" i="26"/>
  <c r="D43" i="26"/>
  <c r="C43" i="26"/>
  <c r="B43" i="26"/>
  <c r="A43" i="26"/>
  <c r="L42" i="26"/>
  <c r="K42" i="26"/>
  <c r="J42" i="26"/>
  <c r="I42" i="26"/>
  <c r="H42" i="26"/>
  <c r="G42" i="26"/>
  <c r="F42" i="26"/>
  <c r="E42" i="26"/>
  <c r="D42" i="26"/>
  <c r="C42" i="26"/>
  <c r="B42" i="26"/>
  <c r="A42" i="26"/>
  <c r="L41" i="26"/>
  <c r="K41" i="26"/>
  <c r="J41" i="26"/>
  <c r="I41" i="26"/>
  <c r="H41" i="26"/>
  <c r="G41" i="26"/>
  <c r="F41" i="26"/>
  <c r="E41" i="26"/>
  <c r="D41" i="26"/>
  <c r="C41" i="26"/>
  <c r="B41" i="26"/>
  <c r="A41" i="26"/>
  <c r="L40" i="26"/>
  <c r="K40" i="26"/>
  <c r="J40" i="26"/>
  <c r="I40" i="26"/>
  <c r="H40" i="26"/>
  <c r="G40" i="26"/>
  <c r="F40" i="26"/>
  <c r="E40" i="26"/>
  <c r="D40" i="26"/>
  <c r="C40" i="26"/>
  <c r="B40" i="26"/>
  <c r="A40" i="26"/>
  <c r="L39" i="26"/>
  <c r="K39" i="26"/>
  <c r="J39" i="26"/>
  <c r="I39" i="26"/>
  <c r="H39" i="26"/>
  <c r="G39" i="26"/>
  <c r="F39" i="26"/>
  <c r="E39" i="26"/>
  <c r="D39" i="26"/>
  <c r="C39" i="26"/>
  <c r="B39" i="26"/>
  <c r="A39" i="26"/>
  <c r="L38" i="26"/>
  <c r="K38" i="26"/>
  <c r="J38" i="26"/>
  <c r="I38" i="26"/>
  <c r="H38" i="26"/>
  <c r="G38" i="26"/>
  <c r="F38" i="26"/>
  <c r="E38" i="26"/>
  <c r="D38" i="26"/>
  <c r="C38" i="26"/>
  <c r="B38" i="26"/>
  <c r="A38" i="26"/>
  <c r="L37" i="26"/>
  <c r="K37" i="26"/>
  <c r="J37" i="26"/>
  <c r="I37" i="26"/>
  <c r="H37" i="26"/>
  <c r="G37" i="26"/>
  <c r="F37" i="26"/>
  <c r="E37" i="26"/>
  <c r="D37" i="26"/>
  <c r="C37" i="26"/>
  <c r="B37" i="26"/>
  <c r="A37" i="26"/>
  <c r="L36" i="26"/>
  <c r="K36" i="26"/>
  <c r="J36" i="26"/>
  <c r="I36" i="26"/>
  <c r="H36" i="26"/>
  <c r="G36" i="26"/>
  <c r="F36" i="26"/>
  <c r="E36" i="26"/>
  <c r="D36" i="26"/>
  <c r="C36" i="26"/>
  <c r="B36" i="26"/>
  <c r="A36" i="26"/>
  <c r="L35" i="26"/>
  <c r="K35" i="26"/>
  <c r="J35" i="26"/>
  <c r="I35" i="26"/>
  <c r="H35" i="26"/>
  <c r="G35" i="26"/>
  <c r="F35" i="26"/>
  <c r="E35" i="26"/>
  <c r="D35" i="26"/>
  <c r="C35" i="26"/>
  <c r="B35" i="26"/>
  <c r="A35" i="26"/>
  <c r="L34" i="26"/>
  <c r="K34" i="26"/>
  <c r="J34" i="26"/>
  <c r="I34" i="26"/>
  <c r="H34" i="26"/>
  <c r="G34" i="26"/>
  <c r="F34" i="26"/>
  <c r="E34" i="26"/>
  <c r="D34" i="26"/>
  <c r="C34" i="26"/>
  <c r="B34" i="26"/>
  <c r="A34" i="26"/>
  <c r="L33" i="26"/>
  <c r="K33" i="26"/>
  <c r="J33" i="26"/>
  <c r="I33" i="26"/>
  <c r="H33" i="26"/>
  <c r="G33" i="26"/>
  <c r="F33" i="26"/>
  <c r="E33" i="26"/>
  <c r="D33" i="26"/>
  <c r="C33" i="26"/>
  <c r="B33" i="26"/>
  <c r="A33" i="26"/>
  <c r="L32" i="26"/>
  <c r="K32" i="26"/>
  <c r="J32" i="26"/>
  <c r="I32" i="26"/>
  <c r="H32" i="26"/>
  <c r="G32" i="26"/>
  <c r="F32" i="26"/>
  <c r="E32" i="26"/>
  <c r="D32" i="26"/>
  <c r="C32" i="26"/>
  <c r="B32" i="26"/>
  <c r="A32" i="26"/>
  <c r="L31" i="26"/>
  <c r="K31" i="26"/>
  <c r="J31" i="26"/>
  <c r="I31" i="26"/>
  <c r="H31" i="26"/>
  <c r="G31" i="26"/>
  <c r="F31" i="26"/>
  <c r="E31" i="26"/>
  <c r="D31" i="26"/>
  <c r="C31" i="26"/>
  <c r="B31" i="26"/>
  <c r="A31" i="26"/>
  <c r="L30" i="26"/>
  <c r="K30" i="26"/>
  <c r="J30" i="26"/>
  <c r="I30" i="26"/>
  <c r="H30" i="26"/>
  <c r="G30" i="26"/>
  <c r="F30" i="26"/>
  <c r="E30" i="26"/>
  <c r="D30" i="26"/>
  <c r="C30" i="26"/>
  <c r="B30" i="26"/>
  <c r="A30" i="26"/>
  <c r="L29" i="26"/>
  <c r="K29" i="26"/>
  <c r="J29" i="26"/>
  <c r="I29" i="26"/>
  <c r="H29" i="26"/>
  <c r="G29" i="26"/>
  <c r="F29" i="26"/>
  <c r="E29" i="26"/>
  <c r="D29" i="26"/>
  <c r="C29" i="26"/>
  <c r="B29" i="26"/>
  <c r="A29" i="26"/>
  <c r="L28" i="26"/>
  <c r="K28" i="26"/>
  <c r="J28" i="26"/>
  <c r="I28" i="26"/>
  <c r="H28" i="26"/>
  <c r="G28" i="26"/>
  <c r="F28" i="26"/>
  <c r="E28" i="26"/>
  <c r="D28" i="26"/>
  <c r="C28" i="26"/>
  <c r="B28" i="26"/>
  <c r="A28" i="26"/>
  <c r="L27" i="26"/>
  <c r="K27" i="26"/>
  <c r="J27" i="26"/>
  <c r="I27" i="26"/>
  <c r="H27" i="26"/>
  <c r="G27" i="26"/>
  <c r="F27" i="26"/>
  <c r="E27" i="26"/>
  <c r="D27" i="26"/>
  <c r="C27" i="26"/>
  <c r="B27" i="26"/>
  <c r="A27" i="26"/>
  <c r="L26" i="26"/>
  <c r="K26" i="26"/>
  <c r="J26" i="26"/>
  <c r="I26" i="26"/>
  <c r="H26" i="26"/>
  <c r="G26" i="26"/>
  <c r="F26" i="26"/>
  <c r="E26" i="26"/>
  <c r="D26" i="26"/>
  <c r="C26" i="26"/>
  <c r="B26" i="26"/>
  <c r="A26" i="26"/>
  <c r="L25" i="26"/>
  <c r="K25" i="26"/>
  <c r="J25" i="26"/>
  <c r="I25" i="26"/>
  <c r="H25" i="26"/>
  <c r="G25" i="26"/>
  <c r="F25" i="26"/>
  <c r="E25" i="26"/>
  <c r="D25" i="26"/>
  <c r="C25" i="26"/>
  <c r="B25" i="26"/>
  <c r="A25" i="26"/>
  <c r="L24" i="26"/>
  <c r="K24" i="26"/>
  <c r="J24" i="26"/>
  <c r="I24" i="26"/>
  <c r="H24" i="26"/>
  <c r="G24" i="26"/>
  <c r="F24" i="26"/>
  <c r="E24" i="26"/>
  <c r="D24" i="26"/>
  <c r="C24" i="26"/>
  <c r="B24" i="26"/>
  <c r="A24" i="26"/>
  <c r="L23" i="26"/>
  <c r="K23" i="26"/>
  <c r="J23" i="26"/>
  <c r="I23" i="26"/>
  <c r="H23" i="26"/>
  <c r="G23" i="26"/>
  <c r="F23" i="26"/>
  <c r="E23" i="26"/>
  <c r="D23" i="26"/>
  <c r="C23" i="26"/>
  <c r="B23" i="26"/>
  <c r="A23" i="26"/>
  <c r="L22" i="26"/>
  <c r="K22" i="26"/>
  <c r="J22" i="26"/>
  <c r="I22" i="26"/>
  <c r="H22" i="26"/>
  <c r="G22" i="26"/>
  <c r="F22" i="26"/>
  <c r="E22" i="26"/>
  <c r="D22" i="26"/>
  <c r="C22" i="26"/>
  <c r="B22" i="26"/>
  <c r="A22" i="26"/>
  <c r="L21" i="26"/>
  <c r="K21" i="26"/>
  <c r="J21" i="26"/>
  <c r="I21" i="26"/>
  <c r="H21" i="26"/>
  <c r="G21" i="26"/>
  <c r="F21" i="26"/>
  <c r="E21" i="26"/>
  <c r="D21" i="26"/>
  <c r="C21" i="26"/>
  <c r="B21" i="26"/>
  <c r="A21" i="26"/>
  <c r="L20" i="26"/>
  <c r="K20" i="26"/>
  <c r="J20" i="26"/>
  <c r="I20" i="26"/>
  <c r="H20" i="26"/>
  <c r="G20" i="26"/>
  <c r="F20" i="26"/>
  <c r="E20" i="26"/>
  <c r="D20" i="26"/>
  <c r="C20" i="26"/>
  <c r="B20" i="26"/>
  <c r="A20" i="26"/>
  <c r="L19" i="26"/>
  <c r="K19" i="26"/>
  <c r="J19" i="26"/>
  <c r="I19" i="26"/>
  <c r="H19" i="26"/>
  <c r="G19" i="26"/>
  <c r="F19" i="26"/>
  <c r="E19" i="26"/>
  <c r="D19" i="26"/>
  <c r="C19" i="26"/>
  <c r="B19" i="26"/>
  <c r="A19" i="26"/>
  <c r="L18" i="26"/>
  <c r="K18" i="26"/>
  <c r="J18" i="26"/>
  <c r="I18" i="26"/>
  <c r="H18" i="26"/>
  <c r="G18" i="26"/>
  <c r="F18" i="26"/>
  <c r="E18" i="26"/>
  <c r="D18" i="26"/>
  <c r="C18" i="26"/>
  <c r="B18" i="26"/>
  <c r="A18" i="26"/>
  <c r="L17" i="26"/>
  <c r="K17" i="26"/>
  <c r="J17" i="26"/>
  <c r="I17" i="26"/>
  <c r="H17" i="26"/>
  <c r="G17" i="26"/>
  <c r="F17" i="26"/>
  <c r="E17" i="26"/>
  <c r="D17" i="26"/>
  <c r="C17" i="26"/>
  <c r="B17" i="26"/>
  <c r="A17" i="26"/>
  <c r="L16" i="26"/>
  <c r="K16" i="26"/>
  <c r="J16" i="26"/>
  <c r="I16" i="26"/>
  <c r="H16" i="26"/>
  <c r="G16" i="26"/>
  <c r="F16" i="26"/>
  <c r="E16" i="26"/>
  <c r="D16" i="26"/>
  <c r="C16" i="26"/>
  <c r="B16" i="26"/>
  <c r="A16" i="26"/>
  <c r="L15" i="26"/>
  <c r="K15" i="26"/>
  <c r="J15" i="26"/>
  <c r="I15" i="26"/>
  <c r="H15" i="26"/>
  <c r="G15" i="26"/>
  <c r="F15" i="26"/>
  <c r="E15" i="26"/>
  <c r="D15" i="26"/>
  <c r="C15" i="26"/>
  <c r="B15" i="26"/>
  <c r="A15" i="26"/>
  <c r="L14" i="26"/>
  <c r="K14" i="26"/>
  <c r="J14" i="26"/>
  <c r="I14" i="26"/>
  <c r="H14" i="26"/>
  <c r="G14" i="26"/>
  <c r="F14" i="26"/>
  <c r="E14" i="26"/>
  <c r="D14" i="26"/>
  <c r="C14" i="26"/>
  <c r="B14" i="26"/>
  <c r="A14" i="26"/>
  <c r="L13" i="26"/>
  <c r="K13" i="26"/>
  <c r="J13" i="26"/>
  <c r="I13" i="26"/>
  <c r="H13" i="26"/>
  <c r="G13" i="26"/>
  <c r="F13" i="26"/>
  <c r="E13" i="26"/>
  <c r="D13" i="26"/>
  <c r="C13" i="26"/>
  <c r="B13" i="26"/>
  <c r="A13" i="26"/>
  <c r="L12" i="26"/>
  <c r="K12" i="26"/>
  <c r="J12" i="26"/>
  <c r="I12" i="26"/>
  <c r="H12" i="26"/>
  <c r="G12" i="26"/>
  <c r="F12" i="26"/>
  <c r="E12" i="26"/>
  <c r="D12" i="26"/>
  <c r="C12" i="26"/>
  <c r="B12" i="26"/>
  <c r="A12" i="26"/>
  <c r="L11" i="26"/>
  <c r="K11" i="26"/>
  <c r="J11" i="26"/>
  <c r="I11" i="26"/>
  <c r="H11" i="26"/>
  <c r="G11" i="26"/>
  <c r="F11" i="26"/>
  <c r="E11" i="26"/>
  <c r="D11" i="26"/>
  <c r="C11" i="26"/>
  <c r="B11" i="26"/>
  <c r="A11" i="26"/>
  <c r="L10" i="26"/>
  <c r="K10" i="26"/>
  <c r="J10" i="26"/>
  <c r="I10" i="26"/>
  <c r="H10" i="26"/>
  <c r="G10" i="26"/>
  <c r="F10" i="26"/>
  <c r="E10" i="26"/>
  <c r="D10" i="26"/>
  <c r="C10" i="26"/>
  <c r="B10" i="26"/>
  <c r="A10" i="26"/>
  <c r="L9" i="26"/>
  <c r="K9" i="26"/>
  <c r="J9" i="26"/>
  <c r="I9" i="26"/>
  <c r="H9" i="26"/>
  <c r="G9" i="26"/>
  <c r="F9" i="26"/>
  <c r="E9" i="26"/>
  <c r="D9" i="26"/>
  <c r="C9" i="26"/>
  <c r="B9" i="26"/>
  <c r="A9" i="26"/>
  <c r="L8" i="26"/>
  <c r="K8" i="26"/>
  <c r="J8" i="26"/>
  <c r="I8" i="26"/>
  <c r="H8" i="26"/>
  <c r="G8" i="26"/>
  <c r="F8" i="26"/>
  <c r="E8" i="26"/>
  <c r="D8" i="26"/>
  <c r="C8" i="26"/>
  <c r="B8" i="26"/>
  <c r="A8" i="26"/>
  <c r="L7" i="26"/>
  <c r="K7" i="26"/>
  <c r="J7" i="26"/>
  <c r="I7" i="26"/>
  <c r="H7" i="26"/>
  <c r="G7" i="26"/>
  <c r="F7" i="26"/>
  <c r="E7" i="26"/>
  <c r="D7" i="26"/>
  <c r="C7" i="26"/>
  <c r="B7" i="26"/>
  <c r="A7" i="26"/>
  <c r="L6" i="26"/>
  <c r="K6" i="26"/>
  <c r="J6" i="26"/>
  <c r="I6" i="26"/>
  <c r="H6" i="26"/>
  <c r="G6" i="26"/>
  <c r="F6" i="26"/>
  <c r="E6" i="26"/>
  <c r="D6" i="26"/>
  <c r="C6" i="26"/>
  <c r="B6" i="26"/>
  <c r="A6" i="26"/>
  <c r="L5" i="26"/>
  <c r="K5" i="26"/>
  <c r="J5" i="26"/>
  <c r="I5" i="26"/>
  <c r="H5" i="26"/>
  <c r="G5" i="26"/>
  <c r="F5" i="26"/>
  <c r="E5" i="26"/>
  <c r="D5" i="26"/>
  <c r="C5" i="26"/>
  <c r="B5" i="26"/>
  <c r="A5" i="26"/>
  <c r="L4" i="26"/>
  <c r="K4" i="26"/>
  <c r="J4" i="26"/>
  <c r="I4" i="26"/>
  <c r="H4" i="26"/>
  <c r="G4" i="26"/>
  <c r="F4" i="26"/>
  <c r="E4" i="26"/>
  <c r="D4" i="26"/>
  <c r="C4" i="26"/>
  <c r="B4" i="26"/>
  <c r="A4" i="26"/>
  <c r="L3" i="26"/>
  <c r="L1" i="26" s="1"/>
  <c r="K3" i="26"/>
  <c r="J3" i="26"/>
  <c r="I3" i="26"/>
  <c r="I2" i="26" s="1"/>
  <c r="H3" i="26"/>
  <c r="H1" i="26" s="1"/>
  <c r="G3" i="26"/>
  <c r="F3" i="26"/>
  <c r="E3" i="26"/>
  <c r="E2" i="26" s="1"/>
  <c r="D3" i="26"/>
  <c r="D2" i="26" s="1"/>
  <c r="C3" i="26"/>
  <c r="B3" i="26"/>
  <c r="A3" i="26"/>
  <c r="A2" i="26" s="1"/>
  <c r="L2" i="26"/>
  <c r="K2" i="26"/>
  <c r="J2" i="26"/>
  <c r="H2" i="26"/>
  <c r="G2" i="26"/>
  <c r="F2" i="26"/>
  <c r="C2" i="26"/>
  <c r="B2" i="26"/>
  <c r="K1" i="26"/>
  <c r="J1" i="26"/>
  <c r="G1" i="26"/>
  <c r="F1" i="26"/>
  <c r="C1" i="26"/>
  <c r="B1" i="26"/>
  <c r="L400" i="25"/>
  <c r="K400" i="25"/>
  <c r="J400" i="25"/>
  <c r="I400" i="25"/>
  <c r="H400" i="25"/>
  <c r="G400" i="25"/>
  <c r="F400" i="25"/>
  <c r="E400" i="25"/>
  <c r="D400" i="25"/>
  <c r="C400" i="25"/>
  <c r="B400" i="25"/>
  <c r="A400" i="25"/>
  <c r="L399" i="25"/>
  <c r="K399" i="25"/>
  <c r="J399" i="25"/>
  <c r="I399" i="25"/>
  <c r="H399" i="25"/>
  <c r="G399" i="25"/>
  <c r="F399" i="25"/>
  <c r="E399" i="25"/>
  <c r="D399" i="25"/>
  <c r="C399" i="25"/>
  <c r="B399" i="25"/>
  <c r="A399" i="25"/>
  <c r="L398" i="25"/>
  <c r="K398" i="25"/>
  <c r="J398" i="25"/>
  <c r="I398" i="25"/>
  <c r="H398" i="25"/>
  <c r="G398" i="25"/>
  <c r="F398" i="25"/>
  <c r="E398" i="25"/>
  <c r="D398" i="25"/>
  <c r="C398" i="25"/>
  <c r="B398" i="25"/>
  <c r="A398" i="25"/>
  <c r="L397" i="25"/>
  <c r="K397" i="25"/>
  <c r="J397" i="25"/>
  <c r="I397" i="25"/>
  <c r="H397" i="25"/>
  <c r="G397" i="25"/>
  <c r="F397" i="25"/>
  <c r="E397" i="25"/>
  <c r="D397" i="25"/>
  <c r="C397" i="25"/>
  <c r="B397" i="25"/>
  <c r="A397" i="25"/>
  <c r="L396" i="25"/>
  <c r="K396" i="25"/>
  <c r="J396" i="25"/>
  <c r="I396" i="25"/>
  <c r="H396" i="25"/>
  <c r="G396" i="25"/>
  <c r="F396" i="25"/>
  <c r="E396" i="25"/>
  <c r="D396" i="25"/>
  <c r="C396" i="25"/>
  <c r="B396" i="25"/>
  <c r="A396" i="25"/>
  <c r="L395" i="25"/>
  <c r="K395" i="25"/>
  <c r="J395" i="25"/>
  <c r="I395" i="25"/>
  <c r="H395" i="25"/>
  <c r="G395" i="25"/>
  <c r="F395" i="25"/>
  <c r="E395" i="25"/>
  <c r="D395" i="25"/>
  <c r="C395" i="25"/>
  <c r="B395" i="25"/>
  <c r="A395" i="25"/>
  <c r="L394" i="25"/>
  <c r="K394" i="25"/>
  <c r="J394" i="25"/>
  <c r="I394" i="25"/>
  <c r="H394" i="25"/>
  <c r="G394" i="25"/>
  <c r="F394" i="25"/>
  <c r="E394" i="25"/>
  <c r="D394" i="25"/>
  <c r="C394" i="25"/>
  <c r="B394" i="25"/>
  <c r="A394" i="25"/>
  <c r="L393" i="25"/>
  <c r="K393" i="25"/>
  <c r="J393" i="25"/>
  <c r="I393" i="25"/>
  <c r="H393" i="25"/>
  <c r="G393" i="25"/>
  <c r="F393" i="25"/>
  <c r="E393" i="25"/>
  <c r="D393" i="25"/>
  <c r="C393" i="25"/>
  <c r="B393" i="25"/>
  <c r="A393" i="25"/>
  <c r="L392" i="25"/>
  <c r="K392" i="25"/>
  <c r="J392" i="25"/>
  <c r="I392" i="25"/>
  <c r="H392" i="25"/>
  <c r="G392" i="25"/>
  <c r="F392" i="25"/>
  <c r="E392" i="25"/>
  <c r="D392" i="25"/>
  <c r="C392" i="25"/>
  <c r="B392" i="25"/>
  <c r="A392" i="25"/>
  <c r="L391" i="25"/>
  <c r="K391" i="25"/>
  <c r="J391" i="25"/>
  <c r="I391" i="25"/>
  <c r="H391" i="25"/>
  <c r="G391" i="25"/>
  <c r="F391" i="25"/>
  <c r="E391" i="25"/>
  <c r="D391" i="25"/>
  <c r="C391" i="25"/>
  <c r="B391" i="25"/>
  <c r="A391" i="25"/>
  <c r="L390" i="25"/>
  <c r="K390" i="25"/>
  <c r="J390" i="25"/>
  <c r="I390" i="25"/>
  <c r="H390" i="25"/>
  <c r="G390" i="25"/>
  <c r="F390" i="25"/>
  <c r="E390" i="25"/>
  <c r="D390" i="25"/>
  <c r="C390" i="25"/>
  <c r="B390" i="25"/>
  <c r="A390" i="25"/>
  <c r="L389" i="25"/>
  <c r="K389" i="25"/>
  <c r="J389" i="25"/>
  <c r="I389" i="25"/>
  <c r="H389" i="25"/>
  <c r="G389" i="25"/>
  <c r="F389" i="25"/>
  <c r="E389" i="25"/>
  <c r="D389" i="25"/>
  <c r="C389" i="25"/>
  <c r="B389" i="25"/>
  <c r="A389" i="25"/>
  <c r="L388" i="25"/>
  <c r="K388" i="25"/>
  <c r="J388" i="25"/>
  <c r="I388" i="25"/>
  <c r="H388" i="25"/>
  <c r="G388" i="25"/>
  <c r="F388" i="25"/>
  <c r="E388" i="25"/>
  <c r="D388" i="25"/>
  <c r="C388" i="25"/>
  <c r="B388" i="25"/>
  <c r="A388" i="25"/>
  <c r="L387" i="25"/>
  <c r="K387" i="25"/>
  <c r="J387" i="25"/>
  <c r="I387" i="25"/>
  <c r="H387" i="25"/>
  <c r="G387" i="25"/>
  <c r="F387" i="25"/>
  <c r="E387" i="25"/>
  <c r="D387" i="25"/>
  <c r="C387" i="25"/>
  <c r="B387" i="25"/>
  <c r="A387" i="25"/>
  <c r="L386" i="25"/>
  <c r="K386" i="25"/>
  <c r="J386" i="25"/>
  <c r="I386" i="25"/>
  <c r="H386" i="25"/>
  <c r="G386" i="25"/>
  <c r="F386" i="25"/>
  <c r="E386" i="25"/>
  <c r="D386" i="25"/>
  <c r="C386" i="25"/>
  <c r="B386" i="25"/>
  <c r="A386" i="25"/>
  <c r="L385" i="25"/>
  <c r="K385" i="25"/>
  <c r="J385" i="25"/>
  <c r="I385" i="25"/>
  <c r="H385" i="25"/>
  <c r="G385" i="25"/>
  <c r="F385" i="25"/>
  <c r="E385" i="25"/>
  <c r="D385" i="25"/>
  <c r="C385" i="25"/>
  <c r="B385" i="25"/>
  <c r="A385" i="25"/>
  <c r="L384" i="25"/>
  <c r="K384" i="25"/>
  <c r="J384" i="25"/>
  <c r="I384" i="25"/>
  <c r="H384" i="25"/>
  <c r="G384" i="25"/>
  <c r="F384" i="25"/>
  <c r="E384" i="25"/>
  <c r="D384" i="25"/>
  <c r="C384" i="25"/>
  <c r="B384" i="25"/>
  <c r="A384" i="25"/>
  <c r="L383" i="25"/>
  <c r="K383" i="25"/>
  <c r="J383" i="25"/>
  <c r="I383" i="25"/>
  <c r="H383" i="25"/>
  <c r="G383" i="25"/>
  <c r="F383" i="25"/>
  <c r="E383" i="25"/>
  <c r="D383" i="25"/>
  <c r="C383" i="25"/>
  <c r="B383" i="25"/>
  <c r="A383" i="25"/>
  <c r="L382" i="25"/>
  <c r="K382" i="25"/>
  <c r="J382" i="25"/>
  <c r="I382" i="25"/>
  <c r="H382" i="25"/>
  <c r="G382" i="25"/>
  <c r="F382" i="25"/>
  <c r="E382" i="25"/>
  <c r="D382" i="25"/>
  <c r="C382" i="25"/>
  <c r="B382" i="25"/>
  <c r="A382" i="25"/>
  <c r="L381" i="25"/>
  <c r="K381" i="25"/>
  <c r="J381" i="25"/>
  <c r="I381" i="25"/>
  <c r="H381" i="25"/>
  <c r="G381" i="25"/>
  <c r="F381" i="25"/>
  <c r="E381" i="25"/>
  <c r="D381" i="25"/>
  <c r="C381" i="25"/>
  <c r="B381" i="25"/>
  <c r="A381" i="25"/>
  <c r="L380" i="25"/>
  <c r="K380" i="25"/>
  <c r="J380" i="25"/>
  <c r="I380" i="25"/>
  <c r="H380" i="25"/>
  <c r="G380" i="25"/>
  <c r="F380" i="25"/>
  <c r="E380" i="25"/>
  <c r="D380" i="25"/>
  <c r="C380" i="25"/>
  <c r="B380" i="25"/>
  <c r="A380" i="25"/>
  <c r="L379" i="25"/>
  <c r="K379" i="25"/>
  <c r="J379" i="25"/>
  <c r="I379" i="25"/>
  <c r="H379" i="25"/>
  <c r="G379" i="25"/>
  <c r="F379" i="25"/>
  <c r="E379" i="25"/>
  <c r="D379" i="25"/>
  <c r="C379" i="25"/>
  <c r="B379" i="25"/>
  <c r="A379" i="25"/>
  <c r="L378" i="25"/>
  <c r="K378" i="25"/>
  <c r="J378" i="25"/>
  <c r="I378" i="25"/>
  <c r="H378" i="25"/>
  <c r="G378" i="25"/>
  <c r="F378" i="25"/>
  <c r="E378" i="25"/>
  <c r="D378" i="25"/>
  <c r="C378" i="25"/>
  <c r="B378" i="25"/>
  <c r="A378" i="25"/>
  <c r="L377" i="25"/>
  <c r="K377" i="25"/>
  <c r="J377" i="25"/>
  <c r="I377" i="25"/>
  <c r="H377" i="25"/>
  <c r="G377" i="25"/>
  <c r="F377" i="25"/>
  <c r="E377" i="25"/>
  <c r="D377" i="25"/>
  <c r="C377" i="25"/>
  <c r="B377" i="25"/>
  <c r="A377" i="25"/>
  <c r="L376" i="25"/>
  <c r="K376" i="25"/>
  <c r="J376" i="25"/>
  <c r="I376" i="25"/>
  <c r="H376" i="25"/>
  <c r="G376" i="25"/>
  <c r="F376" i="25"/>
  <c r="E376" i="25"/>
  <c r="D376" i="25"/>
  <c r="C376" i="25"/>
  <c r="B376" i="25"/>
  <c r="A376" i="25"/>
  <c r="L375" i="25"/>
  <c r="K375" i="25"/>
  <c r="J375" i="25"/>
  <c r="I375" i="25"/>
  <c r="H375" i="25"/>
  <c r="G375" i="25"/>
  <c r="F375" i="25"/>
  <c r="E375" i="25"/>
  <c r="D375" i="25"/>
  <c r="C375" i="25"/>
  <c r="B375" i="25"/>
  <c r="A375" i="25"/>
  <c r="L374" i="25"/>
  <c r="K374" i="25"/>
  <c r="J374" i="25"/>
  <c r="I374" i="25"/>
  <c r="H374" i="25"/>
  <c r="G374" i="25"/>
  <c r="F374" i="25"/>
  <c r="E374" i="25"/>
  <c r="D374" i="25"/>
  <c r="C374" i="25"/>
  <c r="B374" i="25"/>
  <c r="A374" i="25"/>
  <c r="L373" i="25"/>
  <c r="K373" i="25"/>
  <c r="J373" i="25"/>
  <c r="I373" i="25"/>
  <c r="H373" i="25"/>
  <c r="G373" i="25"/>
  <c r="F373" i="25"/>
  <c r="E373" i="25"/>
  <c r="D373" i="25"/>
  <c r="C373" i="25"/>
  <c r="B373" i="25"/>
  <c r="A373" i="25"/>
  <c r="L372" i="25"/>
  <c r="K372" i="25"/>
  <c r="J372" i="25"/>
  <c r="I372" i="25"/>
  <c r="H372" i="25"/>
  <c r="G372" i="25"/>
  <c r="F372" i="25"/>
  <c r="E372" i="25"/>
  <c r="D372" i="25"/>
  <c r="C372" i="25"/>
  <c r="B372" i="25"/>
  <c r="A372" i="25"/>
  <c r="L371" i="25"/>
  <c r="K371" i="25"/>
  <c r="J371" i="25"/>
  <c r="I371" i="25"/>
  <c r="H371" i="25"/>
  <c r="G371" i="25"/>
  <c r="F371" i="25"/>
  <c r="E371" i="25"/>
  <c r="D371" i="25"/>
  <c r="C371" i="25"/>
  <c r="B371" i="25"/>
  <c r="A371" i="25"/>
  <c r="L370" i="25"/>
  <c r="K370" i="25"/>
  <c r="J370" i="25"/>
  <c r="I370" i="25"/>
  <c r="H370" i="25"/>
  <c r="G370" i="25"/>
  <c r="F370" i="25"/>
  <c r="E370" i="25"/>
  <c r="D370" i="25"/>
  <c r="C370" i="25"/>
  <c r="B370" i="25"/>
  <c r="A370" i="25"/>
  <c r="L369" i="25"/>
  <c r="K369" i="25"/>
  <c r="J369" i="25"/>
  <c r="I369" i="25"/>
  <c r="H369" i="25"/>
  <c r="G369" i="25"/>
  <c r="F369" i="25"/>
  <c r="E369" i="25"/>
  <c r="D369" i="25"/>
  <c r="C369" i="25"/>
  <c r="B369" i="25"/>
  <c r="A369" i="25"/>
  <c r="L368" i="25"/>
  <c r="K368" i="25"/>
  <c r="J368" i="25"/>
  <c r="I368" i="25"/>
  <c r="H368" i="25"/>
  <c r="G368" i="25"/>
  <c r="F368" i="25"/>
  <c r="E368" i="25"/>
  <c r="D368" i="25"/>
  <c r="C368" i="25"/>
  <c r="B368" i="25"/>
  <c r="A368" i="25"/>
  <c r="L367" i="25"/>
  <c r="K367" i="25"/>
  <c r="J367" i="25"/>
  <c r="I367" i="25"/>
  <c r="H367" i="25"/>
  <c r="G367" i="25"/>
  <c r="F367" i="25"/>
  <c r="E367" i="25"/>
  <c r="D367" i="25"/>
  <c r="C367" i="25"/>
  <c r="B367" i="25"/>
  <c r="A367" i="25"/>
  <c r="L366" i="25"/>
  <c r="K366" i="25"/>
  <c r="J366" i="25"/>
  <c r="I366" i="25"/>
  <c r="H366" i="25"/>
  <c r="G366" i="25"/>
  <c r="F366" i="25"/>
  <c r="E366" i="25"/>
  <c r="D366" i="25"/>
  <c r="C366" i="25"/>
  <c r="B366" i="25"/>
  <c r="A366" i="25"/>
  <c r="L365" i="25"/>
  <c r="K365" i="25"/>
  <c r="J365" i="25"/>
  <c r="I365" i="25"/>
  <c r="H365" i="25"/>
  <c r="G365" i="25"/>
  <c r="F365" i="25"/>
  <c r="E365" i="25"/>
  <c r="D365" i="25"/>
  <c r="C365" i="25"/>
  <c r="B365" i="25"/>
  <c r="A365" i="25"/>
  <c r="L364" i="25"/>
  <c r="K364" i="25"/>
  <c r="J364" i="25"/>
  <c r="I364" i="25"/>
  <c r="H364" i="25"/>
  <c r="G364" i="25"/>
  <c r="F364" i="25"/>
  <c r="E364" i="25"/>
  <c r="D364" i="25"/>
  <c r="C364" i="25"/>
  <c r="B364" i="25"/>
  <c r="A364" i="25"/>
  <c r="L363" i="25"/>
  <c r="K363" i="25"/>
  <c r="J363" i="25"/>
  <c r="I363" i="25"/>
  <c r="H363" i="25"/>
  <c r="G363" i="25"/>
  <c r="F363" i="25"/>
  <c r="E363" i="25"/>
  <c r="D363" i="25"/>
  <c r="C363" i="25"/>
  <c r="B363" i="25"/>
  <c r="A363" i="25"/>
  <c r="L362" i="25"/>
  <c r="K362" i="25"/>
  <c r="J362" i="25"/>
  <c r="I362" i="25"/>
  <c r="H362" i="25"/>
  <c r="G362" i="25"/>
  <c r="F362" i="25"/>
  <c r="E362" i="25"/>
  <c r="D362" i="25"/>
  <c r="C362" i="25"/>
  <c r="B362" i="25"/>
  <c r="A362" i="25"/>
  <c r="L361" i="25"/>
  <c r="K361" i="25"/>
  <c r="J361" i="25"/>
  <c r="I361" i="25"/>
  <c r="H361" i="25"/>
  <c r="G361" i="25"/>
  <c r="F361" i="25"/>
  <c r="E361" i="25"/>
  <c r="D361" i="25"/>
  <c r="C361" i="25"/>
  <c r="B361" i="25"/>
  <c r="A361" i="25"/>
  <c r="L360" i="25"/>
  <c r="K360" i="25"/>
  <c r="J360" i="25"/>
  <c r="I360" i="25"/>
  <c r="H360" i="25"/>
  <c r="G360" i="25"/>
  <c r="F360" i="25"/>
  <c r="E360" i="25"/>
  <c r="D360" i="25"/>
  <c r="C360" i="25"/>
  <c r="B360" i="25"/>
  <c r="A360" i="25"/>
  <c r="L359" i="25"/>
  <c r="K359" i="25"/>
  <c r="J359" i="25"/>
  <c r="I359" i="25"/>
  <c r="H359" i="25"/>
  <c r="G359" i="25"/>
  <c r="F359" i="25"/>
  <c r="E359" i="25"/>
  <c r="D359" i="25"/>
  <c r="C359" i="25"/>
  <c r="B359" i="25"/>
  <c r="A359" i="25"/>
  <c r="L358" i="25"/>
  <c r="K358" i="25"/>
  <c r="J358" i="25"/>
  <c r="I358" i="25"/>
  <c r="H358" i="25"/>
  <c r="G358" i="25"/>
  <c r="F358" i="25"/>
  <c r="E358" i="25"/>
  <c r="D358" i="25"/>
  <c r="C358" i="25"/>
  <c r="B358" i="25"/>
  <c r="A358" i="25"/>
  <c r="L357" i="25"/>
  <c r="K357" i="25"/>
  <c r="J357" i="25"/>
  <c r="I357" i="25"/>
  <c r="H357" i="25"/>
  <c r="G357" i="25"/>
  <c r="F357" i="25"/>
  <c r="E357" i="25"/>
  <c r="D357" i="25"/>
  <c r="C357" i="25"/>
  <c r="B357" i="25"/>
  <c r="A357" i="25"/>
  <c r="L356" i="25"/>
  <c r="K356" i="25"/>
  <c r="J356" i="25"/>
  <c r="I356" i="25"/>
  <c r="H356" i="25"/>
  <c r="G356" i="25"/>
  <c r="F356" i="25"/>
  <c r="E356" i="25"/>
  <c r="D356" i="25"/>
  <c r="C356" i="25"/>
  <c r="B356" i="25"/>
  <c r="A356" i="25"/>
  <c r="L355" i="25"/>
  <c r="K355" i="25"/>
  <c r="J355" i="25"/>
  <c r="I355" i="25"/>
  <c r="H355" i="25"/>
  <c r="G355" i="25"/>
  <c r="F355" i="25"/>
  <c r="E355" i="25"/>
  <c r="D355" i="25"/>
  <c r="C355" i="25"/>
  <c r="B355" i="25"/>
  <c r="A355" i="25"/>
  <c r="L354" i="25"/>
  <c r="K354" i="25"/>
  <c r="J354" i="25"/>
  <c r="I354" i="25"/>
  <c r="H354" i="25"/>
  <c r="G354" i="25"/>
  <c r="F354" i="25"/>
  <c r="E354" i="25"/>
  <c r="D354" i="25"/>
  <c r="C354" i="25"/>
  <c r="B354" i="25"/>
  <c r="A354" i="25"/>
  <c r="L353" i="25"/>
  <c r="K353" i="25"/>
  <c r="J353" i="25"/>
  <c r="I353" i="25"/>
  <c r="H353" i="25"/>
  <c r="G353" i="25"/>
  <c r="F353" i="25"/>
  <c r="E353" i="25"/>
  <c r="D353" i="25"/>
  <c r="C353" i="25"/>
  <c r="B353" i="25"/>
  <c r="A353" i="25"/>
  <c r="L352" i="25"/>
  <c r="K352" i="25"/>
  <c r="J352" i="25"/>
  <c r="I352" i="25"/>
  <c r="H352" i="25"/>
  <c r="G352" i="25"/>
  <c r="F352" i="25"/>
  <c r="E352" i="25"/>
  <c r="D352" i="25"/>
  <c r="C352" i="25"/>
  <c r="B352" i="25"/>
  <c r="A352" i="25"/>
  <c r="L351" i="25"/>
  <c r="K351" i="25"/>
  <c r="J351" i="25"/>
  <c r="I351" i="25"/>
  <c r="H351" i="25"/>
  <c r="G351" i="25"/>
  <c r="F351" i="25"/>
  <c r="E351" i="25"/>
  <c r="D351" i="25"/>
  <c r="C351" i="25"/>
  <c r="B351" i="25"/>
  <c r="A351" i="25"/>
  <c r="L350" i="25"/>
  <c r="K350" i="25"/>
  <c r="J350" i="25"/>
  <c r="I350" i="25"/>
  <c r="H350" i="25"/>
  <c r="G350" i="25"/>
  <c r="F350" i="25"/>
  <c r="E350" i="25"/>
  <c r="D350" i="25"/>
  <c r="C350" i="25"/>
  <c r="B350" i="25"/>
  <c r="A350" i="25"/>
  <c r="L349" i="25"/>
  <c r="K349" i="25"/>
  <c r="J349" i="25"/>
  <c r="I349" i="25"/>
  <c r="H349" i="25"/>
  <c r="G349" i="25"/>
  <c r="F349" i="25"/>
  <c r="E349" i="25"/>
  <c r="D349" i="25"/>
  <c r="C349" i="25"/>
  <c r="B349" i="25"/>
  <c r="A349" i="25"/>
  <c r="L348" i="25"/>
  <c r="K348" i="25"/>
  <c r="J348" i="25"/>
  <c r="I348" i="25"/>
  <c r="H348" i="25"/>
  <c r="G348" i="25"/>
  <c r="F348" i="25"/>
  <c r="E348" i="25"/>
  <c r="D348" i="25"/>
  <c r="C348" i="25"/>
  <c r="B348" i="25"/>
  <c r="A348" i="25"/>
  <c r="L347" i="25"/>
  <c r="K347" i="25"/>
  <c r="J347" i="25"/>
  <c r="I347" i="25"/>
  <c r="H347" i="25"/>
  <c r="G347" i="25"/>
  <c r="F347" i="25"/>
  <c r="E347" i="25"/>
  <c r="D347" i="25"/>
  <c r="C347" i="25"/>
  <c r="B347" i="25"/>
  <c r="A347" i="25"/>
  <c r="L346" i="25"/>
  <c r="K346" i="25"/>
  <c r="J346" i="25"/>
  <c r="I346" i="25"/>
  <c r="H346" i="25"/>
  <c r="G346" i="25"/>
  <c r="F346" i="25"/>
  <c r="E346" i="25"/>
  <c r="D346" i="25"/>
  <c r="C346" i="25"/>
  <c r="B346" i="25"/>
  <c r="A346" i="25"/>
  <c r="L345" i="25"/>
  <c r="K345" i="25"/>
  <c r="J345" i="25"/>
  <c r="I345" i="25"/>
  <c r="H345" i="25"/>
  <c r="G345" i="25"/>
  <c r="F345" i="25"/>
  <c r="E345" i="25"/>
  <c r="D345" i="25"/>
  <c r="C345" i="25"/>
  <c r="B345" i="25"/>
  <c r="A345" i="25"/>
  <c r="L344" i="25"/>
  <c r="K344" i="25"/>
  <c r="J344" i="25"/>
  <c r="I344" i="25"/>
  <c r="H344" i="25"/>
  <c r="G344" i="25"/>
  <c r="F344" i="25"/>
  <c r="E344" i="25"/>
  <c r="D344" i="25"/>
  <c r="C344" i="25"/>
  <c r="B344" i="25"/>
  <c r="A344" i="25"/>
  <c r="L343" i="25"/>
  <c r="K343" i="25"/>
  <c r="J343" i="25"/>
  <c r="I343" i="25"/>
  <c r="H343" i="25"/>
  <c r="G343" i="25"/>
  <c r="F343" i="25"/>
  <c r="E343" i="25"/>
  <c r="D343" i="25"/>
  <c r="C343" i="25"/>
  <c r="B343" i="25"/>
  <c r="A343" i="25"/>
  <c r="L342" i="25"/>
  <c r="K342" i="25"/>
  <c r="J342" i="25"/>
  <c r="I342" i="25"/>
  <c r="H342" i="25"/>
  <c r="G342" i="25"/>
  <c r="F342" i="25"/>
  <c r="E342" i="25"/>
  <c r="D342" i="25"/>
  <c r="C342" i="25"/>
  <c r="B342" i="25"/>
  <c r="A342" i="25"/>
  <c r="L341" i="25"/>
  <c r="K341" i="25"/>
  <c r="J341" i="25"/>
  <c r="I341" i="25"/>
  <c r="H341" i="25"/>
  <c r="G341" i="25"/>
  <c r="F341" i="25"/>
  <c r="E341" i="25"/>
  <c r="D341" i="25"/>
  <c r="C341" i="25"/>
  <c r="B341" i="25"/>
  <c r="A341" i="25"/>
  <c r="L340" i="25"/>
  <c r="K340" i="25"/>
  <c r="J340" i="25"/>
  <c r="I340" i="25"/>
  <c r="H340" i="25"/>
  <c r="G340" i="25"/>
  <c r="F340" i="25"/>
  <c r="E340" i="25"/>
  <c r="D340" i="25"/>
  <c r="C340" i="25"/>
  <c r="B340" i="25"/>
  <c r="A340" i="25"/>
  <c r="L339" i="25"/>
  <c r="K339" i="25"/>
  <c r="J339" i="25"/>
  <c r="I339" i="25"/>
  <c r="H339" i="25"/>
  <c r="G339" i="25"/>
  <c r="F339" i="25"/>
  <c r="E339" i="25"/>
  <c r="D339" i="25"/>
  <c r="C339" i="25"/>
  <c r="B339" i="25"/>
  <c r="A339" i="25"/>
  <c r="L338" i="25"/>
  <c r="K338" i="25"/>
  <c r="J338" i="25"/>
  <c r="I338" i="25"/>
  <c r="H338" i="25"/>
  <c r="G338" i="25"/>
  <c r="F338" i="25"/>
  <c r="E338" i="25"/>
  <c r="D338" i="25"/>
  <c r="C338" i="25"/>
  <c r="B338" i="25"/>
  <c r="A338" i="25"/>
  <c r="L337" i="25"/>
  <c r="K337" i="25"/>
  <c r="J337" i="25"/>
  <c r="I337" i="25"/>
  <c r="H337" i="25"/>
  <c r="G337" i="25"/>
  <c r="F337" i="25"/>
  <c r="E337" i="25"/>
  <c r="D337" i="25"/>
  <c r="C337" i="25"/>
  <c r="B337" i="25"/>
  <c r="A337" i="25"/>
  <c r="L336" i="25"/>
  <c r="K336" i="25"/>
  <c r="J336" i="25"/>
  <c r="I336" i="25"/>
  <c r="H336" i="25"/>
  <c r="G336" i="25"/>
  <c r="F336" i="25"/>
  <c r="E336" i="25"/>
  <c r="D336" i="25"/>
  <c r="C336" i="25"/>
  <c r="B336" i="25"/>
  <c r="A336" i="25"/>
  <c r="L335" i="25"/>
  <c r="K335" i="25"/>
  <c r="J335" i="25"/>
  <c r="I335" i="25"/>
  <c r="H335" i="25"/>
  <c r="G335" i="25"/>
  <c r="F335" i="25"/>
  <c r="E335" i="25"/>
  <c r="D335" i="25"/>
  <c r="C335" i="25"/>
  <c r="B335" i="25"/>
  <c r="A335" i="25"/>
  <c r="L334" i="25"/>
  <c r="K334" i="25"/>
  <c r="J334" i="25"/>
  <c r="I334" i="25"/>
  <c r="H334" i="25"/>
  <c r="G334" i="25"/>
  <c r="F334" i="25"/>
  <c r="E334" i="25"/>
  <c r="D334" i="25"/>
  <c r="C334" i="25"/>
  <c r="B334" i="25"/>
  <c r="A334" i="25"/>
  <c r="L333" i="25"/>
  <c r="K333" i="25"/>
  <c r="J333" i="25"/>
  <c r="I333" i="25"/>
  <c r="H333" i="25"/>
  <c r="G333" i="25"/>
  <c r="F333" i="25"/>
  <c r="E333" i="25"/>
  <c r="D333" i="25"/>
  <c r="C333" i="25"/>
  <c r="B333" i="25"/>
  <c r="A333" i="25"/>
  <c r="L332" i="25"/>
  <c r="K332" i="25"/>
  <c r="J332" i="25"/>
  <c r="I332" i="25"/>
  <c r="H332" i="25"/>
  <c r="G332" i="25"/>
  <c r="F332" i="25"/>
  <c r="E332" i="25"/>
  <c r="D332" i="25"/>
  <c r="C332" i="25"/>
  <c r="B332" i="25"/>
  <c r="A332" i="25"/>
  <c r="L331" i="25"/>
  <c r="K331" i="25"/>
  <c r="J331" i="25"/>
  <c r="I331" i="25"/>
  <c r="H331" i="25"/>
  <c r="G331" i="25"/>
  <c r="F331" i="25"/>
  <c r="E331" i="25"/>
  <c r="D331" i="25"/>
  <c r="C331" i="25"/>
  <c r="B331" i="25"/>
  <c r="A331" i="25"/>
  <c r="L330" i="25"/>
  <c r="K330" i="25"/>
  <c r="J330" i="25"/>
  <c r="I330" i="25"/>
  <c r="H330" i="25"/>
  <c r="G330" i="25"/>
  <c r="F330" i="25"/>
  <c r="E330" i="25"/>
  <c r="D330" i="25"/>
  <c r="C330" i="25"/>
  <c r="B330" i="25"/>
  <c r="A330" i="25"/>
  <c r="L329" i="25"/>
  <c r="K329" i="25"/>
  <c r="J329" i="25"/>
  <c r="I329" i="25"/>
  <c r="H329" i="25"/>
  <c r="G329" i="25"/>
  <c r="F329" i="25"/>
  <c r="E329" i="25"/>
  <c r="D329" i="25"/>
  <c r="C329" i="25"/>
  <c r="B329" i="25"/>
  <c r="A329" i="25"/>
  <c r="L328" i="25"/>
  <c r="K328" i="25"/>
  <c r="J328" i="25"/>
  <c r="I328" i="25"/>
  <c r="H328" i="25"/>
  <c r="G328" i="25"/>
  <c r="F328" i="25"/>
  <c r="E328" i="25"/>
  <c r="D328" i="25"/>
  <c r="C328" i="25"/>
  <c r="B328" i="25"/>
  <c r="A328" i="25"/>
  <c r="L327" i="25"/>
  <c r="K327" i="25"/>
  <c r="J327" i="25"/>
  <c r="I327" i="25"/>
  <c r="H327" i="25"/>
  <c r="G327" i="25"/>
  <c r="F327" i="25"/>
  <c r="E327" i="25"/>
  <c r="D327" i="25"/>
  <c r="C327" i="25"/>
  <c r="B327" i="25"/>
  <c r="A327" i="25"/>
  <c r="L326" i="25"/>
  <c r="K326" i="25"/>
  <c r="J326" i="25"/>
  <c r="I326" i="25"/>
  <c r="H326" i="25"/>
  <c r="G326" i="25"/>
  <c r="F326" i="25"/>
  <c r="E326" i="25"/>
  <c r="D326" i="25"/>
  <c r="C326" i="25"/>
  <c r="B326" i="25"/>
  <c r="A326" i="25"/>
  <c r="L325" i="25"/>
  <c r="K325" i="25"/>
  <c r="J325" i="25"/>
  <c r="I325" i="25"/>
  <c r="H325" i="25"/>
  <c r="G325" i="25"/>
  <c r="F325" i="25"/>
  <c r="E325" i="25"/>
  <c r="D325" i="25"/>
  <c r="C325" i="25"/>
  <c r="B325" i="25"/>
  <c r="A325" i="25"/>
  <c r="L324" i="25"/>
  <c r="K324" i="25"/>
  <c r="J324" i="25"/>
  <c r="I324" i="25"/>
  <c r="H324" i="25"/>
  <c r="G324" i="25"/>
  <c r="F324" i="25"/>
  <c r="E324" i="25"/>
  <c r="D324" i="25"/>
  <c r="C324" i="25"/>
  <c r="B324" i="25"/>
  <c r="A324" i="25"/>
  <c r="L323" i="25"/>
  <c r="K323" i="25"/>
  <c r="J323" i="25"/>
  <c r="I323" i="25"/>
  <c r="H323" i="25"/>
  <c r="G323" i="25"/>
  <c r="F323" i="25"/>
  <c r="E323" i="25"/>
  <c r="D323" i="25"/>
  <c r="C323" i="25"/>
  <c r="B323" i="25"/>
  <c r="A323" i="25"/>
  <c r="L322" i="25"/>
  <c r="K322" i="25"/>
  <c r="J322" i="25"/>
  <c r="I322" i="25"/>
  <c r="H322" i="25"/>
  <c r="G322" i="25"/>
  <c r="F322" i="25"/>
  <c r="E322" i="25"/>
  <c r="D322" i="25"/>
  <c r="C322" i="25"/>
  <c r="B322" i="25"/>
  <c r="A322" i="25"/>
  <c r="L321" i="25"/>
  <c r="K321" i="25"/>
  <c r="J321" i="25"/>
  <c r="I321" i="25"/>
  <c r="H321" i="25"/>
  <c r="G321" i="25"/>
  <c r="F321" i="25"/>
  <c r="E321" i="25"/>
  <c r="D321" i="25"/>
  <c r="C321" i="25"/>
  <c r="B321" i="25"/>
  <c r="A321" i="25"/>
  <c r="L320" i="25"/>
  <c r="K320" i="25"/>
  <c r="J320" i="25"/>
  <c r="I320" i="25"/>
  <c r="H320" i="25"/>
  <c r="G320" i="25"/>
  <c r="F320" i="25"/>
  <c r="E320" i="25"/>
  <c r="D320" i="25"/>
  <c r="C320" i="25"/>
  <c r="B320" i="25"/>
  <c r="A320" i="25"/>
  <c r="L319" i="25"/>
  <c r="K319" i="25"/>
  <c r="J319" i="25"/>
  <c r="I319" i="25"/>
  <c r="H319" i="25"/>
  <c r="G319" i="25"/>
  <c r="F319" i="25"/>
  <c r="E319" i="25"/>
  <c r="D319" i="25"/>
  <c r="C319" i="25"/>
  <c r="B319" i="25"/>
  <c r="A319" i="25"/>
  <c r="L318" i="25"/>
  <c r="K318" i="25"/>
  <c r="J318" i="25"/>
  <c r="I318" i="25"/>
  <c r="H318" i="25"/>
  <c r="G318" i="25"/>
  <c r="F318" i="25"/>
  <c r="E318" i="25"/>
  <c r="D318" i="25"/>
  <c r="C318" i="25"/>
  <c r="B318" i="25"/>
  <c r="A318" i="25"/>
  <c r="L317" i="25"/>
  <c r="K317" i="25"/>
  <c r="J317" i="25"/>
  <c r="I317" i="25"/>
  <c r="H317" i="25"/>
  <c r="G317" i="25"/>
  <c r="F317" i="25"/>
  <c r="E317" i="25"/>
  <c r="D317" i="25"/>
  <c r="C317" i="25"/>
  <c r="B317" i="25"/>
  <c r="A317" i="25"/>
  <c r="L316" i="25"/>
  <c r="K316" i="25"/>
  <c r="J316" i="25"/>
  <c r="I316" i="25"/>
  <c r="H316" i="25"/>
  <c r="G316" i="25"/>
  <c r="F316" i="25"/>
  <c r="E316" i="25"/>
  <c r="D316" i="25"/>
  <c r="C316" i="25"/>
  <c r="B316" i="25"/>
  <c r="A316" i="25"/>
  <c r="L315" i="25"/>
  <c r="K315" i="25"/>
  <c r="J315" i="25"/>
  <c r="I315" i="25"/>
  <c r="H315" i="25"/>
  <c r="G315" i="25"/>
  <c r="F315" i="25"/>
  <c r="E315" i="25"/>
  <c r="D315" i="25"/>
  <c r="C315" i="25"/>
  <c r="B315" i="25"/>
  <c r="A315" i="25"/>
  <c r="L314" i="25"/>
  <c r="K314" i="25"/>
  <c r="J314" i="25"/>
  <c r="I314" i="25"/>
  <c r="H314" i="25"/>
  <c r="G314" i="25"/>
  <c r="F314" i="25"/>
  <c r="E314" i="25"/>
  <c r="D314" i="25"/>
  <c r="C314" i="25"/>
  <c r="B314" i="25"/>
  <c r="A314" i="25"/>
  <c r="L313" i="25"/>
  <c r="K313" i="25"/>
  <c r="J313" i="25"/>
  <c r="I313" i="25"/>
  <c r="H313" i="25"/>
  <c r="G313" i="25"/>
  <c r="F313" i="25"/>
  <c r="E313" i="25"/>
  <c r="D313" i="25"/>
  <c r="C313" i="25"/>
  <c r="B313" i="25"/>
  <c r="A313" i="25"/>
  <c r="L312" i="25"/>
  <c r="K312" i="25"/>
  <c r="J312" i="25"/>
  <c r="I312" i="25"/>
  <c r="H312" i="25"/>
  <c r="G312" i="25"/>
  <c r="F312" i="25"/>
  <c r="E312" i="25"/>
  <c r="D312" i="25"/>
  <c r="C312" i="25"/>
  <c r="B312" i="25"/>
  <c r="A312" i="25"/>
  <c r="L311" i="25"/>
  <c r="K311" i="25"/>
  <c r="J311" i="25"/>
  <c r="I311" i="25"/>
  <c r="H311" i="25"/>
  <c r="G311" i="25"/>
  <c r="F311" i="25"/>
  <c r="E311" i="25"/>
  <c r="D311" i="25"/>
  <c r="C311" i="25"/>
  <c r="B311" i="25"/>
  <c r="A311" i="25"/>
  <c r="L310" i="25"/>
  <c r="K310" i="25"/>
  <c r="J310" i="25"/>
  <c r="I310" i="25"/>
  <c r="H310" i="25"/>
  <c r="G310" i="25"/>
  <c r="F310" i="25"/>
  <c r="E310" i="25"/>
  <c r="D310" i="25"/>
  <c r="C310" i="25"/>
  <c r="B310" i="25"/>
  <c r="A310" i="25"/>
  <c r="L309" i="25"/>
  <c r="K309" i="25"/>
  <c r="J309" i="25"/>
  <c r="I309" i="25"/>
  <c r="H309" i="25"/>
  <c r="G309" i="25"/>
  <c r="F309" i="25"/>
  <c r="E309" i="25"/>
  <c r="D309" i="25"/>
  <c r="C309" i="25"/>
  <c r="B309" i="25"/>
  <c r="A309" i="25"/>
  <c r="L308" i="25"/>
  <c r="K308" i="25"/>
  <c r="J308" i="25"/>
  <c r="I308" i="25"/>
  <c r="H308" i="25"/>
  <c r="G308" i="25"/>
  <c r="F308" i="25"/>
  <c r="E308" i="25"/>
  <c r="D308" i="25"/>
  <c r="C308" i="25"/>
  <c r="B308" i="25"/>
  <c r="A308" i="25"/>
  <c r="L307" i="25"/>
  <c r="K307" i="25"/>
  <c r="J307" i="25"/>
  <c r="I307" i="25"/>
  <c r="H307" i="25"/>
  <c r="G307" i="25"/>
  <c r="F307" i="25"/>
  <c r="E307" i="25"/>
  <c r="D307" i="25"/>
  <c r="C307" i="25"/>
  <c r="B307" i="25"/>
  <c r="A307" i="25"/>
  <c r="L306" i="25"/>
  <c r="K306" i="25"/>
  <c r="J306" i="25"/>
  <c r="I306" i="25"/>
  <c r="H306" i="25"/>
  <c r="G306" i="25"/>
  <c r="F306" i="25"/>
  <c r="E306" i="25"/>
  <c r="D306" i="25"/>
  <c r="C306" i="25"/>
  <c r="B306" i="25"/>
  <c r="A306" i="25"/>
  <c r="L305" i="25"/>
  <c r="K305" i="25"/>
  <c r="J305" i="25"/>
  <c r="I305" i="25"/>
  <c r="H305" i="25"/>
  <c r="G305" i="25"/>
  <c r="F305" i="25"/>
  <c r="E305" i="25"/>
  <c r="D305" i="25"/>
  <c r="C305" i="25"/>
  <c r="B305" i="25"/>
  <c r="A305" i="25"/>
  <c r="L304" i="25"/>
  <c r="K304" i="25"/>
  <c r="J304" i="25"/>
  <c r="I304" i="25"/>
  <c r="H304" i="25"/>
  <c r="G304" i="25"/>
  <c r="F304" i="25"/>
  <c r="E304" i="25"/>
  <c r="D304" i="25"/>
  <c r="C304" i="25"/>
  <c r="B304" i="25"/>
  <c r="A304" i="25"/>
  <c r="L303" i="25"/>
  <c r="K303" i="25"/>
  <c r="J303" i="25"/>
  <c r="I303" i="25"/>
  <c r="H303" i="25"/>
  <c r="G303" i="25"/>
  <c r="F303" i="25"/>
  <c r="E303" i="25"/>
  <c r="D303" i="25"/>
  <c r="C303" i="25"/>
  <c r="B303" i="25"/>
  <c r="A303" i="25"/>
  <c r="L302" i="25"/>
  <c r="K302" i="25"/>
  <c r="J302" i="25"/>
  <c r="I302" i="25"/>
  <c r="H302" i="25"/>
  <c r="G302" i="25"/>
  <c r="F302" i="25"/>
  <c r="E302" i="25"/>
  <c r="D302" i="25"/>
  <c r="C302" i="25"/>
  <c r="B302" i="25"/>
  <c r="A302" i="25"/>
  <c r="L301" i="25"/>
  <c r="K301" i="25"/>
  <c r="J301" i="25"/>
  <c r="I301" i="25"/>
  <c r="H301" i="25"/>
  <c r="G301" i="25"/>
  <c r="F301" i="25"/>
  <c r="E301" i="25"/>
  <c r="D301" i="25"/>
  <c r="C301" i="25"/>
  <c r="B301" i="25"/>
  <c r="A301" i="25"/>
  <c r="L300" i="25"/>
  <c r="K300" i="25"/>
  <c r="J300" i="25"/>
  <c r="I300" i="25"/>
  <c r="H300" i="25"/>
  <c r="G300" i="25"/>
  <c r="F300" i="25"/>
  <c r="E300" i="25"/>
  <c r="D300" i="25"/>
  <c r="C300" i="25"/>
  <c r="B300" i="25"/>
  <c r="A300" i="25"/>
  <c r="L299" i="25"/>
  <c r="K299" i="25"/>
  <c r="J299" i="25"/>
  <c r="I299" i="25"/>
  <c r="H299" i="25"/>
  <c r="G299" i="25"/>
  <c r="F299" i="25"/>
  <c r="E299" i="25"/>
  <c r="D299" i="25"/>
  <c r="C299" i="25"/>
  <c r="B299" i="25"/>
  <c r="A299" i="25"/>
  <c r="L298" i="25"/>
  <c r="K298" i="25"/>
  <c r="J298" i="25"/>
  <c r="I298" i="25"/>
  <c r="H298" i="25"/>
  <c r="G298" i="25"/>
  <c r="F298" i="25"/>
  <c r="E298" i="25"/>
  <c r="D298" i="25"/>
  <c r="C298" i="25"/>
  <c r="B298" i="25"/>
  <c r="A298" i="25"/>
  <c r="L297" i="25"/>
  <c r="K297" i="25"/>
  <c r="J297" i="25"/>
  <c r="I297" i="25"/>
  <c r="H297" i="25"/>
  <c r="G297" i="25"/>
  <c r="F297" i="25"/>
  <c r="E297" i="25"/>
  <c r="D297" i="25"/>
  <c r="C297" i="25"/>
  <c r="B297" i="25"/>
  <c r="A297" i="25"/>
  <c r="L296" i="25"/>
  <c r="K296" i="25"/>
  <c r="J296" i="25"/>
  <c r="I296" i="25"/>
  <c r="H296" i="25"/>
  <c r="G296" i="25"/>
  <c r="F296" i="25"/>
  <c r="E296" i="25"/>
  <c r="D296" i="25"/>
  <c r="C296" i="25"/>
  <c r="B296" i="25"/>
  <c r="A296" i="25"/>
  <c r="L295" i="25"/>
  <c r="K295" i="25"/>
  <c r="J295" i="25"/>
  <c r="I295" i="25"/>
  <c r="H295" i="25"/>
  <c r="G295" i="25"/>
  <c r="F295" i="25"/>
  <c r="E295" i="25"/>
  <c r="D295" i="25"/>
  <c r="C295" i="25"/>
  <c r="B295" i="25"/>
  <c r="A295" i="25"/>
  <c r="L294" i="25"/>
  <c r="K294" i="25"/>
  <c r="J294" i="25"/>
  <c r="I294" i="25"/>
  <c r="H294" i="25"/>
  <c r="G294" i="25"/>
  <c r="F294" i="25"/>
  <c r="E294" i="25"/>
  <c r="D294" i="25"/>
  <c r="C294" i="25"/>
  <c r="B294" i="25"/>
  <c r="A294" i="25"/>
  <c r="L293" i="25"/>
  <c r="K293" i="25"/>
  <c r="J293" i="25"/>
  <c r="I293" i="25"/>
  <c r="H293" i="25"/>
  <c r="G293" i="25"/>
  <c r="F293" i="25"/>
  <c r="E293" i="25"/>
  <c r="D293" i="25"/>
  <c r="C293" i="25"/>
  <c r="B293" i="25"/>
  <c r="A293" i="25"/>
  <c r="L292" i="25"/>
  <c r="K292" i="25"/>
  <c r="J292" i="25"/>
  <c r="I292" i="25"/>
  <c r="H292" i="25"/>
  <c r="G292" i="25"/>
  <c r="F292" i="25"/>
  <c r="E292" i="25"/>
  <c r="D292" i="25"/>
  <c r="C292" i="25"/>
  <c r="B292" i="25"/>
  <c r="A292" i="25"/>
  <c r="L291" i="25"/>
  <c r="K291" i="25"/>
  <c r="J291" i="25"/>
  <c r="I291" i="25"/>
  <c r="H291" i="25"/>
  <c r="G291" i="25"/>
  <c r="F291" i="25"/>
  <c r="E291" i="25"/>
  <c r="D291" i="25"/>
  <c r="C291" i="25"/>
  <c r="B291" i="25"/>
  <c r="A291" i="25"/>
  <c r="L290" i="25"/>
  <c r="K290" i="25"/>
  <c r="J290" i="25"/>
  <c r="I290" i="25"/>
  <c r="H290" i="25"/>
  <c r="G290" i="25"/>
  <c r="F290" i="25"/>
  <c r="E290" i="25"/>
  <c r="D290" i="25"/>
  <c r="C290" i="25"/>
  <c r="B290" i="25"/>
  <c r="A290" i="25"/>
  <c r="L289" i="25"/>
  <c r="K289" i="25"/>
  <c r="J289" i="25"/>
  <c r="I289" i="25"/>
  <c r="H289" i="25"/>
  <c r="G289" i="25"/>
  <c r="F289" i="25"/>
  <c r="E289" i="25"/>
  <c r="D289" i="25"/>
  <c r="C289" i="25"/>
  <c r="B289" i="25"/>
  <c r="A289" i="25"/>
  <c r="L288" i="25"/>
  <c r="K288" i="25"/>
  <c r="J288" i="25"/>
  <c r="I288" i="25"/>
  <c r="H288" i="25"/>
  <c r="G288" i="25"/>
  <c r="F288" i="25"/>
  <c r="E288" i="25"/>
  <c r="D288" i="25"/>
  <c r="C288" i="25"/>
  <c r="B288" i="25"/>
  <c r="A288" i="25"/>
  <c r="L287" i="25"/>
  <c r="K287" i="25"/>
  <c r="J287" i="25"/>
  <c r="I287" i="25"/>
  <c r="H287" i="25"/>
  <c r="G287" i="25"/>
  <c r="F287" i="25"/>
  <c r="E287" i="25"/>
  <c r="D287" i="25"/>
  <c r="C287" i="25"/>
  <c r="B287" i="25"/>
  <c r="A287" i="25"/>
  <c r="L286" i="25"/>
  <c r="K286" i="25"/>
  <c r="J286" i="25"/>
  <c r="I286" i="25"/>
  <c r="H286" i="25"/>
  <c r="G286" i="25"/>
  <c r="F286" i="25"/>
  <c r="E286" i="25"/>
  <c r="D286" i="25"/>
  <c r="C286" i="25"/>
  <c r="B286" i="25"/>
  <c r="A286" i="25"/>
  <c r="L285" i="25"/>
  <c r="K285" i="25"/>
  <c r="J285" i="25"/>
  <c r="I285" i="25"/>
  <c r="H285" i="25"/>
  <c r="G285" i="25"/>
  <c r="F285" i="25"/>
  <c r="E285" i="25"/>
  <c r="D285" i="25"/>
  <c r="C285" i="25"/>
  <c r="B285" i="25"/>
  <c r="A285" i="25"/>
  <c r="L284" i="25"/>
  <c r="K284" i="25"/>
  <c r="J284" i="25"/>
  <c r="I284" i="25"/>
  <c r="H284" i="25"/>
  <c r="G284" i="25"/>
  <c r="F284" i="25"/>
  <c r="E284" i="25"/>
  <c r="D284" i="25"/>
  <c r="C284" i="25"/>
  <c r="B284" i="25"/>
  <c r="A284" i="25"/>
  <c r="L283" i="25"/>
  <c r="K283" i="25"/>
  <c r="J283" i="25"/>
  <c r="I283" i="25"/>
  <c r="H283" i="25"/>
  <c r="G283" i="25"/>
  <c r="F283" i="25"/>
  <c r="E283" i="25"/>
  <c r="D283" i="25"/>
  <c r="C283" i="25"/>
  <c r="B283" i="25"/>
  <c r="A283" i="25"/>
  <c r="L282" i="25"/>
  <c r="K282" i="25"/>
  <c r="J282" i="25"/>
  <c r="I282" i="25"/>
  <c r="H282" i="25"/>
  <c r="G282" i="25"/>
  <c r="F282" i="25"/>
  <c r="E282" i="25"/>
  <c r="D282" i="25"/>
  <c r="C282" i="25"/>
  <c r="B282" i="25"/>
  <c r="A282" i="25"/>
  <c r="L281" i="25"/>
  <c r="K281" i="25"/>
  <c r="J281" i="25"/>
  <c r="I281" i="25"/>
  <c r="H281" i="25"/>
  <c r="G281" i="25"/>
  <c r="F281" i="25"/>
  <c r="E281" i="25"/>
  <c r="D281" i="25"/>
  <c r="C281" i="25"/>
  <c r="B281" i="25"/>
  <c r="A281" i="25"/>
  <c r="L280" i="25"/>
  <c r="K280" i="25"/>
  <c r="J280" i="25"/>
  <c r="I280" i="25"/>
  <c r="H280" i="25"/>
  <c r="G280" i="25"/>
  <c r="F280" i="25"/>
  <c r="E280" i="25"/>
  <c r="D280" i="25"/>
  <c r="C280" i="25"/>
  <c r="B280" i="25"/>
  <c r="A280" i="25"/>
  <c r="L279" i="25"/>
  <c r="K279" i="25"/>
  <c r="J279" i="25"/>
  <c r="I279" i="25"/>
  <c r="H279" i="25"/>
  <c r="G279" i="25"/>
  <c r="F279" i="25"/>
  <c r="E279" i="25"/>
  <c r="D279" i="25"/>
  <c r="C279" i="25"/>
  <c r="B279" i="25"/>
  <c r="A279" i="25"/>
  <c r="L278" i="25"/>
  <c r="K278" i="25"/>
  <c r="J278" i="25"/>
  <c r="I278" i="25"/>
  <c r="H278" i="25"/>
  <c r="G278" i="25"/>
  <c r="F278" i="25"/>
  <c r="E278" i="25"/>
  <c r="D278" i="25"/>
  <c r="C278" i="25"/>
  <c r="B278" i="25"/>
  <c r="A278" i="25"/>
  <c r="L277" i="25"/>
  <c r="K277" i="25"/>
  <c r="J277" i="25"/>
  <c r="I277" i="25"/>
  <c r="H277" i="25"/>
  <c r="G277" i="25"/>
  <c r="F277" i="25"/>
  <c r="E277" i="25"/>
  <c r="D277" i="25"/>
  <c r="C277" i="25"/>
  <c r="B277" i="25"/>
  <c r="A277" i="25"/>
  <c r="L276" i="25"/>
  <c r="K276" i="25"/>
  <c r="J276" i="25"/>
  <c r="I276" i="25"/>
  <c r="H276" i="25"/>
  <c r="G276" i="25"/>
  <c r="F276" i="25"/>
  <c r="E276" i="25"/>
  <c r="D276" i="25"/>
  <c r="C276" i="25"/>
  <c r="B276" i="25"/>
  <c r="A276" i="25"/>
  <c r="L275" i="25"/>
  <c r="K275" i="25"/>
  <c r="J275" i="25"/>
  <c r="I275" i="25"/>
  <c r="H275" i="25"/>
  <c r="G275" i="25"/>
  <c r="F275" i="25"/>
  <c r="E275" i="25"/>
  <c r="D275" i="25"/>
  <c r="C275" i="25"/>
  <c r="B275" i="25"/>
  <c r="A275" i="25"/>
  <c r="L274" i="25"/>
  <c r="K274" i="25"/>
  <c r="J274" i="25"/>
  <c r="I274" i="25"/>
  <c r="H274" i="25"/>
  <c r="G274" i="25"/>
  <c r="F274" i="25"/>
  <c r="E274" i="25"/>
  <c r="D274" i="25"/>
  <c r="C274" i="25"/>
  <c r="B274" i="25"/>
  <c r="A274" i="25"/>
  <c r="L273" i="25"/>
  <c r="K273" i="25"/>
  <c r="J273" i="25"/>
  <c r="I273" i="25"/>
  <c r="H273" i="25"/>
  <c r="G273" i="25"/>
  <c r="F273" i="25"/>
  <c r="E273" i="25"/>
  <c r="D273" i="25"/>
  <c r="C273" i="25"/>
  <c r="B273" i="25"/>
  <c r="A273" i="25"/>
  <c r="L272" i="25"/>
  <c r="K272" i="25"/>
  <c r="J272" i="25"/>
  <c r="I272" i="25"/>
  <c r="H272" i="25"/>
  <c r="G272" i="25"/>
  <c r="F272" i="25"/>
  <c r="E272" i="25"/>
  <c r="D272" i="25"/>
  <c r="C272" i="25"/>
  <c r="B272" i="25"/>
  <c r="A272" i="25"/>
  <c r="L271" i="25"/>
  <c r="K271" i="25"/>
  <c r="J271" i="25"/>
  <c r="I271" i="25"/>
  <c r="H271" i="25"/>
  <c r="G271" i="25"/>
  <c r="F271" i="25"/>
  <c r="E271" i="25"/>
  <c r="D271" i="25"/>
  <c r="C271" i="25"/>
  <c r="B271" i="25"/>
  <c r="A271" i="25"/>
  <c r="L270" i="25"/>
  <c r="K270" i="25"/>
  <c r="J270" i="25"/>
  <c r="I270" i="25"/>
  <c r="H270" i="25"/>
  <c r="G270" i="25"/>
  <c r="F270" i="25"/>
  <c r="E270" i="25"/>
  <c r="D270" i="25"/>
  <c r="C270" i="25"/>
  <c r="B270" i="25"/>
  <c r="A270" i="25"/>
  <c r="L269" i="25"/>
  <c r="K269" i="25"/>
  <c r="J269" i="25"/>
  <c r="I269" i="25"/>
  <c r="H269" i="25"/>
  <c r="G269" i="25"/>
  <c r="F269" i="25"/>
  <c r="E269" i="25"/>
  <c r="D269" i="25"/>
  <c r="C269" i="25"/>
  <c r="B269" i="25"/>
  <c r="A269" i="25"/>
  <c r="L268" i="25"/>
  <c r="K268" i="25"/>
  <c r="J268" i="25"/>
  <c r="I268" i="25"/>
  <c r="H268" i="25"/>
  <c r="G268" i="25"/>
  <c r="F268" i="25"/>
  <c r="E268" i="25"/>
  <c r="D268" i="25"/>
  <c r="C268" i="25"/>
  <c r="B268" i="25"/>
  <c r="A268" i="25"/>
  <c r="L267" i="25"/>
  <c r="K267" i="25"/>
  <c r="J267" i="25"/>
  <c r="I267" i="25"/>
  <c r="H267" i="25"/>
  <c r="G267" i="25"/>
  <c r="F267" i="25"/>
  <c r="E267" i="25"/>
  <c r="D267" i="25"/>
  <c r="C267" i="25"/>
  <c r="B267" i="25"/>
  <c r="A267" i="25"/>
  <c r="L266" i="25"/>
  <c r="K266" i="25"/>
  <c r="J266" i="25"/>
  <c r="I266" i="25"/>
  <c r="H266" i="25"/>
  <c r="G266" i="25"/>
  <c r="F266" i="25"/>
  <c r="E266" i="25"/>
  <c r="D266" i="25"/>
  <c r="C266" i="25"/>
  <c r="B266" i="25"/>
  <c r="A266" i="25"/>
  <c r="L265" i="25"/>
  <c r="K265" i="25"/>
  <c r="J265" i="25"/>
  <c r="I265" i="25"/>
  <c r="H265" i="25"/>
  <c r="G265" i="25"/>
  <c r="F265" i="25"/>
  <c r="E265" i="25"/>
  <c r="D265" i="25"/>
  <c r="C265" i="25"/>
  <c r="B265" i="25"/>
  <c r="A265" i="25"/>
  <c r="L264" i="25"/>
  <c r="K264" i="25"/>
  <c r="J264" i="25"/>
  <c r="I264" i="25"/>
  <c r="H264" i="25"/>
  <c r="G264" i="25"/>
  <c r="F264" i="25"/>
  <c r="E264" i="25"/>
  <c r="D264" i="25"/>
  <c r="C264" i="25"/>
  <c r="B264" i="25"/>
  <c r="A264" i="25"/>
  <c r="L263" i="25"/>
  <c r="K263" i="25"/>
  <c r="J263" i="25"/>
  <c r="I263" i="25"/>
  <c r="H263" i="25"/>
  <c r="G263" i="25"/>
  <c r="F263" i="25"/>
  <c r="E263" i="25"/>
  <c r="D263" i="25"/>
  <c r="C263" i="25"/>
  <c r="B263" i="25"/>
  <c r="A263" i="25"/>
  <c r="L262" i="25"/>
  <c r="K262" i="25"/>
  <c r="J262" i="25"/>
  <c r="I262" i="25"/>
  <c r="H262" i="25"/>
  <c r="G262" i="25"/>
  <c r="F262" i="25"/>
  <c r="E262" i="25"/>
  <c r="D262" i="25"/>
  <c r="C262" i="25"/>
  <c r="B262" i="25"/>
  <c r="A262" i="25"/>
  <c r="L261" i="25"/>
  <c r="K261" i="25"/>
  <c r="J261" i="25"/>
  <c r="I261" i="25"/>
  <c r="H261" i="25"/>
  <c r="G261" i="25"/>
  <c r="F261" i="25"/>
  <c r="E261" i="25"/>
  <c r="D261" i="25"/>
  <c r="C261" i="25"/>
  <c r="B261" i="25"/>
  <c r="A261" i="25"/>
  <c r="L260" i="25"/>
  <c r="K260" i="25"/>
  <c r="J260" i="25"/>
  <c r="I260" i="25"/>
  <c r="H260" i="25"/>
  <c r="G260" i="25"/>
  <c r="F260" i="25"/>
  <c r="E260" i="25"/>
  <c r="D260" i="25"/>
  <c r="C260" i="25"/>
  <c r="B260" i="25"/>
  <c r="A260" i="25"/>
  <c r="L259" i="25"/>
  <c r="K259" i="25"/>
  <c r="J259" i="25"/>
  <c r="I259" i="25"/>
  <c r="H259" i="25"/>
  <c r="G259" i="25"/>
  <c r="F259" i="25"/>
  <c r="E259" i="25"/>
  <c r="D259" i="25"/>
  <c r="C259" i="25"/>
  <c r="B259" i="25"/>
  <c r="A259" i="25"/>
  <c r="L258" i="25"/>
  <c r="K258" i="25"/>
  <c r="J258" i="25"/>
  <c r="I258" i="25"/>
  <c r="H258" i="25"/>
  <c r="G258" i="25"/>
  <c r="F258" i="25"/>
  <c r="E258" i="25"/>
  <c r="D258" i="25"/>
  <c r="C258" i="25"/>
  <c r="B258" i="25"/>
  <c r="A258" i="25"/>
  <c r="L257" i="25"/>
  <c r="K257" i="25"/>
  <c r="J257" i="25"/>
  <c r="I257" i="25"/>
  <c r="H257" i="25"/>
  <c r="G257" i="25"/>
  <c r="F257" i="25"/>
  <c r="E257" i="25"/>
  <c r="D257" i="25"/>
  <c r="C257" i="25"/>
  <c r="B257" i="25"/>
  <c r="A257" i="25"/>
  <c r="L256" i="25"/>
  <c r="K256" i="25"/>
  <c r="J256" i="25"/>
  <c r="I256" i="25"/>
  <c r="H256" i="25"/>
  <c r="G256" i="25"/>
  <c r="F256" i="25"/>
  <c r="E256" i="25"/>
  <c r="D256" i="25"/>
  <c r="C256" i="25"/>
  <c r="B256" i="25"/>
  <c r="A256" i="25"/>
  <c r="L255" i="25"/>
  <c r="K255" i="25"/>
  <c r="J255" i="25"/>
  <c r="I255" i="25"/>
  <c r="H255" i="25"/>
  <c r="G255" i="25"/>
  <c r="F255" i="25"/>
  <c r="E255" i="25"/>
  <c r="D255" i="25"/>
  <c r="C255" i="25"/>
  <c r="B255" i="25"/>
  <c r="A255" i="25"/>
  <c r="L254" i="25"/>
  <c r="K254" i="25"/>
  <c r="J254" i="25"/>
  <c r="I254" i="25"/>
  <c r="H254" i="25"/>
  <c r="G254" i="25"/>
  <c r="F254" i="25"/>
  <c r="E254" i="25"/>
  <c r="D254" i="25"/>
  <c r="C254" i="25"/>
  <c r="B254" i="25"/>
  <c r="A254" i="25"/>
  <c r="L253" i="25"/>
  <c r="K253" i="25"/>
  <c r="J253" i="25"/>
  <c r="I253" i="25"/>
  <c r="H253" i="25"/>
  <c r="G253" i="25"/>
  <c r="F253" i="25"/>
  <c r="E253" i="25"/>
  <c r="D253" i="25"/>
  <c r="C253" i="25"/>
  <c r="B253" i="25"/>
  <c r="A253" i="25"/>
  <c r="L252" i="25"/>
  <c r="K252" i="25"/>
  <c r="J252" i="25"/>
  <c r="I252" i="25"/>
  <c r="H252" i="25"/>
  <c r="G252" i="25"/>
  <c r="F252" i="25"/>
  <c r="E252" i="25"/>
  <c r="D252" i="25"/>
  <c r="C252" i="25"/>
  <c r="B252" i="25"/>
  <c r="A252" i="25"/>
  <c r="L251" i="25"/>
  <c r="K251" i="25"/>
  <c r="J251" i="25"/>
  <c r="I251" i="25"/>
  <c r="H251" i="25"/>
  <c r="G251" i="25"/>
  <c r="F251" i="25"/>
  <c r="E251" i="25"/>
  <c r="D251" i="25"/>
  <c r="C251" i="25"/>
  <c r="B251" i="25"/>
  <c r="A251" i="25"/>
  <c r="L250" i="25"/>
  <c r="K250" i="25"/>
  <c r="J250" i="25"/>
  <c r="I250" i="25"/>
  <c r="H250" i="25"/>
  <c r="G250" i="25"/>
  <c r="F250" i="25"/>
  <c r="E250" i="25"/>
  <c r="D250" i="25"/>
  <c r="C250" i="25"/>
  <c r="B250" i="25"/>
  <c r="A250" i="25"/>
  <c r="L249" i="25"/>
  <c r="K249" i="25"/>
  <c r="J249" i="25"/>
  <c r="I249" i="25"/>
  <c r="H249" i="25"/>
  <c r="G249" i="25"/>
  <c r="F249" i="25"/>
  <c r="E249" i="25"/>
  <c r="D249" i="25"/>
  <c r="C249" i="25"/>
  <c r="B249" i="25"/>
  <c r="A249" i="25"/>
  <c r="L248" i="25"/>
  <c r="K248" i="25"/>
  <c r="J248" i="25"/>
  <c r="I248" i="25"/>
  <c r="H248" i="25"/>
  <c r="G248" i="25"/>
  <c r="F248" i="25"/>
  <c r="E248" i="25"/>
  <c r="D248" i="25"/>
  <c r="C248" i="25"/>
  <c r="B248" i="25"/>
  <c r="A248" i="25"/>
  <c r="L247" i="25"/>
  <c r="K247" i="25"/>
  <c r="J247" i="25"/>
  <c r="I247" i="25"/>
  <c r="H247" i="25"/>
  <c r="G247" i="25"/>
  <c r="F247" i="25"/>
  <c r="E247" i="25"/>
  <c r="D247" i="25"/>
  <c r="C247" i="25"/>
  <c r="B247" i="25"/>
  <c r="A247" i="25"/>
  <c r="L246" i="25"/>
  <c r="K246" i="25"/>
  <c r="J246" i="25"/>
  <c r="I246" i="25"/>
  <c r="H246" i="25"/>
  <c r="G246" i="25"/>
  <c r="F246" i="25"/>
  <c r="E246" i="25"/>
  <c r="D246" i="25"/>
  <c r="C246" i="25"/>
  <c r="B246" i="25"/>
  <c r="A246" i="25"/>
  <c r="L245" i="25"/>
  <c r="K245" i="25"/>
  <c r="J245" i="25"/>
  <c r="I245" i="25"/>
  <c r="H245" i="25"/>
  <c r="G245" i="25"/>
  <c r="F245" i="25"/>
  <c r="E245" i="25"/>
  <c r="D245" i="25"/>
  <c r="C245" i="25"/>
  <c r="B245" i="25"/>
  <c r="A245" i="25"/>
  <c r="L244" i="25"/>
  <c r="K244" i="25"/>
  <c r="J244" i="25"/>
  <c r="I244" i="25"/>
  <c r="H244" i="25"/>
  <c r="G244" i="25"/>
  <c r="F244" i="25"/>
  <c r="E244" i="25"/>
  <c r="D244" i="25"/>
  <c r="C244" i="25"/>
  <c r="B244" i="25"/>
  <c r="A244" i="25"/>
  <c r="L243" i="25"/>
  <c r="K243" i="25"/>
  <c r="J243" i="25"/>
  <c r="I243" i="25"/>
  <c r="H243" i="25"/>
  <c r="G243" i="25"/>
  <c r="F243" i="25"/>
  <c r="E243" i="25"/>
  <c r="D243" i="25"/>
  <c r="C243" i="25"/>
  <c r="B243" i="25"/>
  <c r="A243" i="25"/>
  <c r="L242" i="25"/>
  <c r="K242" i="25"/>
  <c r="J242" i="25"/>
  <c r="I242" i="25"/>
  <c r="H242" i="25"/>
  <c r="G242" i="25"/>
  <c r="F242" i="25"/>
  <c r="E242" i="25"/>
  <c r="D242" i="25"/>
  <c r="C242" i="25"/>
  <c r="B242" i="25"/>
  <c r="A242" i="25"/>
  <c r="L241" i="25"/>
  <c r="K241" i="25"/>
  <c r="J241" i="25"/>
  <c r="I241" i="25"/>
  <c r="H241" i="25"/>
  <c r="G241" i="25"/>
  <c r="F241" i="25"/>
  <c r="E241" i="25"/>
  <c r="D241" i="25"/>
  <c r="C241" i="25"/>
  <c r="B241" i="25"/>
  <c r="A241" i="25"/>
  <c r="L240" i="25"/>
  <c r="K240" i="25"/>
  <c r="J240" i="25"/>
  <c r="I240" i="25"/>
  <c r="H240" i="25"/>
  <c r="G240" i="25"/>
  <c r="F240" i="25"/>
  <c r="E240" i="25"/>
  <c r="D240" i="25"/>
  <c r="C240" i="25"/>
  <c r="B240" i="25"/>
  <c r="A240" i="25"/>
  <c r="L239" i="25"/>
  <c r="K239" i="25"/>
  <c r="J239" i="25"/>
  <c r="I239" i="25"/>
  <c r="H239" i="25"/>
  <c r="G239" i="25"/>
  <c r="F239" i="25"/>
  <c r="E239" i="25"/>
  <c r="D239" i="25"/>
  <c r="C239" i="25"/>
  <c r="B239" i="25"/>
  <c r="A239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L235" i="25"/>
  <c r="K235" i="25"/>
  <c r="J235" i="25"/>
  <c r="I235" i="25"/>
  <c r="H235" i="25"/>
  <c r="G235" i="25"/>
  <c r="F235" i="25"/>
  <c r="E235" i="25"/>
  <c r="D235" i="25"/>
  <c r="C235" i="25"/>
  <c r="B235" i="25"/>
  <c r="A235" i="25"/>
  <c r="L234" i="25"/>
  <c r="K234" i="25"/>
  <c r="J234" i="25"/>
  <c r="I234" i="25"/>
  <c r="H234" i="25"/>
  <c r="G234" i="25"/>
  <c r="F234" i="25"/>
  <c r="E234" i="25"/>
  <c r="D234" i="25"/>
  <c r="C234" i="25"/>
  <c r="B234" i="25"/>
  <c r="A234" i="25"/>
  <c r="L233" i="25"/>
  <c r="K233" i="25"/>
  <c r="J233" i="25"/>
  <c r="I233" i="25"/>
  <c r="H233" i="25"/>
  <c r="G233" i="25"/>
  <c r="F233" i="25"/>
  <c r="E233" i="25"/>
  <c r="D233" i="25"/>
  <c r="C233" i="25"/>
  <c r="B233" i="25"/>
  <c r="A233" i="25"/>
  <c r="L232" i="25"/>
  <c r="K232" i="25"/>
  <c r="J232" i="25"/>
  <c r="I232" i="25"/>
  <c r="H232" i="25"/>
  <c r="G232" i="25"/>
  <c r="F232" i="25"/>
  <c r="E232" i="25"/>
  <c r="D232" i="25"/>
  <c r="C232" i="25"/>
  <c r="B232" i="25"/>
  <c r="A232" i="25"/>
  <c r="L231" i="25"/>
  <c r="K231" i="25"/>
  <c r="J231" i="25"/>
  <c r="I231" i="25"/>
  <c r="H231" i="25"/>
  <c r="G231" i="25"/>
  <c r="F231" i="25"/>
  <c r="E231" i="25"/>
  <c r="D231" i="25"/>
  <c r="C231" i="25"/>
  <c r="B231" i="25"/>
  <c r="A231" i="25"/>
  <c r="L230" i="25"/>
  <c r="K230" i="25"/>
  <c r="J230" i="25"/>
  <c r="I230" i="25"/>
  <c r="H230" i="25"/>
  <c r="G230" i="25"/>
  <c r="F230" i="25"/>
  <c r="E230" i="25"/>
  <c r="D230" i="25"/>
  <c r="C230" i="25"/>
  <c r="B230" i="25"/>
  <c r="A230" i="25"/>
  <c r="L229" i="25"/>
  <c r="K229" i="25"/>
  <c r="J229" i="25"/>
  <c r="I229" i="25"/>
  <c r="H229" i="25"/>
  <c r="G229" i="25"/>
  <c r="F229" i="25"/>
  <c r="E229" i="25"/>
  <c r="D229" i="25"/>
  <c r="C229" i="25"/>
  <c r="B229" i="25"/>
  <c r="A229" i="25"/>
  <c r="L228" i="25"/>
  <c r="K228" i="25"/>
  <c r="J228" i="25"/>
  <c r="I228" i="25"/>
  <c r="H228" i="25"/>
  <c r="G228" i="25"/>
  <c r="F228" i="25"/>
  <c r="E228" i="25"/>
  <c r="D228" i="25"/>
  <c r="C228" i="25"/>
  <c r="B228" i="25"/>
  <c r="A228" i="25"/>
  <c r="L227" i="25"/>
  <c r="K227" i="25"/>
  <c r="J227" i="25"/>
  <c r="I227" i="25"/>
  <c r="H227" i="25"/>
  <c r="G227" i="25"/>
  <c r="F227" i="25"/>
  <c r="E227" i="25"/>
  <c r="D227" i="25"/>
  <c r="C227" i="25"/>
  <c r="B227" i="25"/>
  <c r="A227" i="25"/>
  <c r="L226" i="25"/>
  <c r="K226" i="25"/>
  <c r="J226" i="25"/>
  <c r="I226" i="25"/>
  <c r="H226" i="25"/>
  <c r="G226" i="25"/>
  <c r="F226" i="25"/>
  <c r="E226" i="25"/>
  <c r="D226" i="25"/>
  <c r="C226" i="25"/>
  <c r="B226" i="25"/>
  <c r="A226" i="25"/>
  <c r="L225" i="25"/>
  <c r="K225" i="25"/>
  <c r="J225" i="25"/>
  <c r="I225" i="25"/>
  <c r="H225" i="25"/>
  <c r="G225" i="25"/>
  <c r="F225" i="25"/>
  <c r="E225" i="25"/>
  <c r="D225" i="25"/>
  <c r="C225" i="25"/>
  <c r="B225" i="25"/>
  <c r="A225" i="25"/>
  <c r="L224" i="25"/>
  <c r="K224" i="25"/>
  <c r="J224" i="25"/>
  <c r="I224" i="25"/>
  <c r="H224" i="25"/>
  <c r="G224" i="25"/>
  <c r="F224" i="25"/>
  <c r="E224" i="25"/>
  <c r="D224" i="25"/>
  <c r="C224" i="25"/>
  <c r="B224" i="25"/>
  <c r="A224" i="25"/>
  <c r="L223" i="25"/>
  <c r="K223" i="25"/>
  <c r="J223" i="25"/>
  <c r="I223" i="25"/>
  <c r="H223" i="25"/>
  <c r="G223" i="25"/>
  <c r="F223" i="25"/>
  <c r="E223" i="25"/>
  <c r="D223" i="25"/>
  <c r="C223" i="25"/>
  <c r="B223" i="25"/>
  <c r="A223" i="25"/>
  <c r="L222" i="25"/>
  <c r="K222" i="25"/>
  <c r="J222" i="25"/>
  <c r="I222" i="25"/>
  <c r="H222" i="25"/>
  <c r="G222" i="25"/>
  <c r="F222" i="25"/>
  <c r="E222" i="25"/>
  <c r="D222" i="25"/>
  <c r="C222" i="25"/>
  <c r="B222" i="25"/>
  <c r="A222" i="25"/>
  <c r="L221" i="25"/>
  <c r="K221" i="25"/>
  <c r="J221" i="25"/>
  <c r="I221" i="25"/>
  <c r="H221" i="25"/>
  <c r="G221" i="25"/>
  <c r="F221" i="25"/>
  <c r="E221" i="25"/>
  <c r="D221" i="25"/>
  <c r="C221" i="25"/>
  <c r="B221" i="25"/>
  <c r="A221" i="25"/>
  <c r="L220" i="25"/>
  <c r="K220" i="25"/>
  <c r="J220" i="25"/>
  <c r="I220" i="25"/>
  <c r="H220" i="25"/>
  <c r="G220" i="25"/>
  <c r="F220" i="25"/>
  <c r="E220" i="25"/>
  <c r="D220" i="25"/>
  <c r="C220" i="25"/>
  <c r="B220" i="25"/>
  <c r="A220" i="25"/>
  <c r="L219" i="25"/>
  <c r="K219" i="25"/>
  <c r="J219" i="25"/>
  <c r="I219" i="25"/>
  <c r="H219" i="25"/>
  <c r="G219" i="25"/>
  <c r="F219" i="25"/>
  <c r="E219" i="25"/>
  <c r="D219" i="25"/>
  <c r="C219" i="25"/>
  <c r="B219" i="25"/>
  <c r="A219" i="25"/>
  <c r="L218" i="25"/>
  <c r="K218" i="25"/>
  <c r="J218" i="25"/>
  <c r="I218" i="25"/>
  <c r="H218" i="25"/>
  <c r="G218" i="25"/>
  <c r="F218" i="25"/>
  <c r="E218" i="25"/>
  <c r="D218" i="25"/>
  <c r="C218" i="25"/>
  <c r="B218" i="25"/>
  <c r="A218" i="25"/>
  <c r="L217" i="25"/>
  <c r="K217" i="25"/>
  <c r="J217" i="25"/>
  <c r="I217" i="25"/>
  <c r="H217" i="25"/>
  <c r="G217" i="25"/>
  <c r="F217" i="25"/>
  <c r="E217" i="25"/>
  <c r="D217" i="25"/>
  <c r="C217" i="25"/>
  <c r="B217" i="25"/>
  <c r="A217" i="25"/>
  <c r="L216" i="25"/>
  <c r="K216" i="25"/>
  <c r="J216" i="25"/>
  <c r="I216" i="25"/>
  <c r="H216" i="25"/>
  <c r="G216" i="25"/>
  <c r="F216" i="25"/>
  <c r="E216" i="25"/>
  <c r="D216" i="25"/>
  <c r="C216" i="25"/>
  <c r="B216" i="25"/>
  <c r="A216" i="25"/>
  <c r="L215" i="25"/>
  <c r="K215" i="25"/>
  <c r="J215" i="25"/>
  <c r="I215" i="25"/>
  <c r="H215" i="25"/>
  <c r="G215" i="25"/>
  <c r="F215" i="25"/>
  <c r="E215" i="25"/>
  <c r="D215" i="25"/>
  <c r="C215" i="25"/>
  <c r="B215" i="25"/>
  <c r="A215" i="25"/>
  <c r="L214" i="25"/>
  <c r="K214" i="25"/>
  <c r="J214" i="25"/>
  <c r="I214" i="25"/>
  <c r="H214" i="25"/>
  <c r="G214" i="25"/>
  <c r="F214" i="25"/>
  <c r="E214" i="25"/>
  <c r="D214" i="25"/>
  <c r="C214" i="25"/>
  <c r="B214" i="25"/>
  <c r="A214" i="25"/>
  <c r="L213" i="25"/>
  <c r="K213" i="25"/>
  <c r="J213" i="25"/>
  <c r="I213" i="25"/>
  <c r="H213" i="25"/>
  <c r="G213" i="25"/>
  <c r="F213" i="25"/>
  <c r="E213" i="25"/>
  <c r="D213" i="25"/>
  <c r="C213" i="25"/>
  <c r="B213" i="25"/>
  <c r="A213" i="25"/>
  <c r="L212" i="25"/>
  <c r="K212" i="25"/>
  <c r="J212" i="25"/>
  <c r="I212" i="25"/>
  <c r="H212" i="25"/>
  <c r="G212" i="25"/>
  <c r="F212" i="25"/>
  <c r="E212" i="25"/>
  <c r="D212" i="25"/>
  <c r="C212" i="25"/>
  <c r="B212" i="25"/>
  <c r="A212" i="25"/>
  <c r="L211" i="25"/>
  <c r="K211" i="25"/>
  <c r="J211" i="25"/>
  <c r="I211" i="25"/>
  <c r="H211" i="25"/>
  <c r="G211" i="25"/>
  <c r="F211" i="25"/>
  <c r="E211" i="25"/>
  <c r="D211" i="25"/>
  <c r="C211" i="25"/>
  <c r="B211" i="25"/>
  <c r="A211" i="25"/>
  <c r="L210" i="25"/>
  <c r="K210" i="25"/>
  <c r="J210" i="25"/>
  <c r="I210" i="25"/>
  <c r="H210" i="25"/>
  <c r="G210" i="25"/>
  <c r="F210" i="25"/>
  <c r="E210" i="25"/>
  <c r="D210" i="25"/>
  <c r="C210" i="25"/>
  <c r="B210" i="25"/>
  <c r="A210" i="25"/>
  <c r="L209" i="25"/>
  <c r="K209" i="25"/>
  <c r="J209" i="25"/>
  <c r="I209" i="25"/>
  <c r="H209" i="25"/>
  <c r="G209" i="25"/>
  <c r="F209" i="25"/>
  <c r="E209" i="25"/>
  <c r="D209" i="25"/>
  <c r="C209" i="25"/>
  <c r="B209" i="25"/>
  <c r="A209" i="25"/>
  <c r="L208" i="25"/>
  <c r="K208" i="25"/>
  <c r="J208" i="25"/>
  <c r="I208" i="25"/>
  <c r="H208" i="25"/>
  <c r="G208" i="25"/>
  <c r="F208" i="25"/>
  <c r="E208" i="25"/>
  <c r="D208" i="25"/>
  <c r="C208" i="25"/>
  <c r="B208" i="25"/>
  <c r="A208" i="25"/>
  <c r="L207" i="25"/>
  <c r="K207" i="25"/>
  <c r="J207" i="25"/>
  <c r="I207" i="25"/>
  <c r="H207" i="25"/>
  <c r="G207" i="25"/>
  <c r="F207" i="25"/>
  <c r="E207" i="25"/>
  <c r="D207" i="25"/>
  <c r="C207" i="25"/>
  <c r="B207" i="25"/>
  <c r="A207" i="25"/>
  <c r="L206" i="25"/>
  <c r="K206" i="25"/>
  <c r="J206" i="25"/>
  <c r="I206" i="25"/>
  <c r="H206" i="25"/>
  <c r="G206" i="25"/>
  <c r="F206" i="25"/>
  <c r="E206" i="25"/>
  <c r="D206" i="25"/>
  <c r="C206" i="25"/>
  <c r="B206" i="25"/>
  <c r="A206" i="25"/>
  <c r="L205" i="25"/>
  <c r="K205" i="25"/>
  <c r="J205" i="25"/>
  <c r="I205" i="25"/>
  <c r="H205" i="25"/>
  <c r="G205" i="25"/>
  <c r="F205" i="25"/>
  <c r="E205" i="25"/>
  <c r="D205" i="25"/>
  <c r="C205" i="25"/>
  <c r="B205" i="25"/>
  <c r="A205" i="25"/>
  <c r="L204" i="25"/>
  <c r="K204" i="25"/>
  <c r="J204" i="25"/>
  <c r="I204" i="25"/>
  <c r="H204" i="25"/>
  <c r="G204" i="25"/>
  <c r="F204" i="25"/>
  <c r="E204" i="25"/>
  <c r="D204" i="25"/>
  <c r="C204" i="25"/>
  <c r="B204" i="25"/>
  <c r="A204" i="25"/>
  <c r="L203" i="25"/>
  <c r="K203" i="25"/>
  <c r="J203" i="25"/>
  <c r="I203" i="25"/>
  <c r="H203" i="25"/>
  <c r="G203" i="25"/>
  <c r="F203" i="25"/>
  <c r="E203" i="25"/>
  <c r="D203" i="25"/>
  <c r="C203" i="25"/>
  <c r="B203" i="25"/>
  <c r="A203" i="25"/>
  <c r="L202" i="25"/>
  <c r="K202" i="25"/>
  <c r="J202" i="25"/>
  <c r="I202" i="25"/>
  <c r="H202" i="25"/>
  <c r="G202" i="25"/>
  <c r="F202" i="25"/>
  <c r="E202" i="25"/>
  <c r="D202" i="25"/>
  <c r="C202" i="25"/>
  <c r="B202" i="25"/>
  <c r="A202" i="25"/>
  <c r="L201" i="25"/>
  <c r="K201" i="25"/>
  <c r="J201" i="25"/>
  <c r="I201" i="25"/>
  <c r="H201" i="25"/>
  <c r="G201" i="25"/>
  <c r="F201" i="25"/>
  <c r="E201" i="25"/>
  <c r="D201" i="25"/>
  <c r="C201" i="25"/>
  <c r="B201" i="25"/>
  <c r="A201" i="25"/>
  <c r="L200" i="25"/>
  <c r="K200" i="25"/>
  <c r="J200" i="25"/>
  <c r="I200" i="25"/>
  <c r="H200" i="25"/>
  <c r="G200" i="25"/>
  <c r="F200" i="25"/>
  <c r="E200" i="25"/>
  <c r="D200" i="25"/>
  <c r="C200" i="25"/>
  <c r="B200" i="25"/>
  <c r="A200" i="25"/>
  <c r="L199" i="25"/>
  <c r="K199" i="25"/>
  <c r="J199" i="25"/>
  <c r="I199" i="25"/>
  <c r="H199" i="25"/>
  <c r="G199" i="25"/>
  <c r="F199" i="25"/>
  <c r="E199" i="25"/>
  <c r="D199" i="25"/>
  <c r="C199" i="25"/>
  <c r="B199" i="25"/>
  <c r="A199" i="25"/>
  <c r="L198" i="25"/>
  <c r="K198" i="25"/>
  <c r="J198" i="25"/>
  <c r="I198" i="25"/>
  <c r="H198" i="25"/>
  <c r="G198" i="25"/>
  <c r="F198" i="25"/>
  <c r="E198" i="25"/>
  <c r="D198" i="25"/>
  <c r="C198" i="25"/>
  <c r="B198" i="25"/>
  <c r="A198" i="25"/>
  <c r="L197" i="25"/>
  <c r="K197" i="25"/>
  <c r="J197" i="25"/>
  <c r="I197" i="25"/>
  <c r="H197" i="25"/>
  <c r="G197" i="25"/>
  <c r="F197" i="25"/>
  <c r="E197" i="25"/>
  <c r="D197" i="25"/>
  <c r="C197" i="25"/>
  <c r="B197" i="25"/>
  <c r="A197" i="25"/>
  <c r="L196" i="25"/>
  <c r="K196" i="25"/>
  <c r="J196" i="25"/>
  <c r="I196" i="25"/>
  <c r="H196" i="25"/>
  <c r="G196" i="25"/>
  <c r="F196" i="25"/>
  <c r="E196" i="25"/>
  <c r="D196" i="25"/>
  <c r="C196" i="25"/>
  <c r="B196" i="25"/>
  <c r="A196" i="25"/>
  <c r="L195" i="25"/>
  <c r="K195" i="25"/>
  <c r="J195" i="25"/>
  <c r="I195" i="25"/>
  <c r="H195" i="25"/>
  <c r="G195" i="25"/>
  <c r="F195" i="25"/>
  <c r="E195" i="25"/>
  <c r="D195" i="25"/>
  <c r="C195" i="25"/>
  <c r="B195" i="25"/>
  <c r="A195" i="25"/>
  <c r="L194" i="25"/>
  <c r="K194" i="25"/>
  <c r="J194" i="25"/>
  <c r="I194" i="25"/>
  <c r="H194" i="25"/>
  <c r="G194" i="25"/>
  <c r="F194" i="25"/>
  <c r="E194" i="25"/>
  <c r="D194" i="25"/>
  <c r="C194" i="25"/>
  <c r="B194" i="25"/>
  <c r="A194" i="25"/>
  <c r="L193" i="25"/>
  <c r="K193" i="25"/>
  <c r="J193" i="25"/>
  <c r="I193" i="25"/>
  <c r="H193" i="25"/>
  <c r="G193" i="25"/>
  <c r="F193" i="25"/>
  <c r="E193" i="25"/>
  <c r="D193" i="25"/>
  <c r="C193" i="25"/>
  <c r="B193" i="25"/>
  <c r="A193" i="25"/>
  <c r="L192" i="25"/>
  <c r="K192" i="25"/>
  <c r="J192" i="25"/>
  <c r="I192" i="25"/>
  <c r="H192" i="25"/>
  <c r="G192" i="25"/>
  <c r="F192" i="25"/>
  <c r="E192" i="25"/>
  <c r="D192" i="25"/>
  <c r="C192" i="25"/>
  <c r="B192" i="25"/>
  <c r="A192" i="25"/>
  <c r="L191" i="25"/>
  <c r="K191" i="25"/>
  <c r="J191" i="25"/>
  <c r="I191" i="25"/>
  <c r="H191" i="25"/>
  <c r="G191" i="25"/>
  <c r="F191" i="25"/>
  <c r="E191" i="25"/>
  <c r="D191" i="25"/>
  <c r="C191" i="25"/>
  <c r="B191" i="25"/>
  <c r="A191" i="25"/>
  <c r="L190" i="25"/>
  <c r="K190" i="25"/>
  <c r="J190" i="25"/>
  <c r="I190" i="25"/>
  <c r="H190" i="25"/>
  <c r="G190" i="25"/>
  <c r="F190" i="25"/>
  <c r="E190" i="25"/>
  <c r="D190" i="25"/>
  <c r="C190" i="25"/>
  <c r="B190" i="25"/>
  <c r="A190" i="25"/>
  <c r="L189" i="25"/>
  <c r="K189" i="25"/>
  <c r="J189" i="25"/>
  <c r="I189" i="25"/>
  <c r="H189" i="25"/>
  <c r="G189" i="25"/>
  <c r="F189" i="25"/>
  <c r="E189" i="25"/>
  <c r="D189" i="25"/>
  <c r="C189" i="25"/>
  <c r="B189" i="25"/>
  <c r="A189" i="25"/>
  <c r="L188" i="25"/>
  <c r="K188" i="25"/>
  <c r="J188" i="25"/>
  <c r="I188" i="25"/>
  <c r="H188" i="25"/>
  <c r="G188" i="25"/>
  <c r="F188" i="25"/>
  <c r="E188" i="25"/>
  <c r="D188" i="25"/>
  <c r="C188" i="25"/>
  <c r="B188" i="25"/>
  <c r="A188" i="25"/>
  <c r="L187" i="25"/>
  <c r="K187" i="25"/>
  <c r="J187" i="25"/>
  <c r="I187" i="25"/>
  <c r="H187" i="25"/>
  <c r="G187" i="25"/>
  <c r="F187" i="25"/>
  <c r="E187" i="25"/>
  <c r="D187" i="25"/>
  <c r="C187" i="25"/>
  <c r="B187" i="25"/>
  <c r="A187" i="25"/>
  <c r="L186" i="25"/>
  <c r="K186" i="25"/>
  <c r="J186" i="25"/>
  <c r="I186" i="25"/>
  <c r="H186" i="25"/>
  <c r="G186" i="25"/>
  <c r="F186" i="25"/>
  <c r="E186" i="25"/>
  <c r="D186" i="25"/>
  <c r="C186" i="25"/>
  <c r="B186" i="25"/>
  <c r="A186" i="25"/>
  <c r="L185" i="25"/>
  <c r="K185" i="25"/>
  <c r="J185" i="25"/>
  <c r="I185" i="25"/>
  <c r="H185" i="25"/>
  <c r="G185" i="25"/>
  <c r="F185" i="25"/>
  <c r="E185" i="25"/>
  <c r="D185" i="25"/>
  <c r="C185" i="25"/>
  <c r="B185" i="25"/>
  <c r="A185" i="25"/>
  <c r="L184" i="25"/>
  <c r="K184" i="25"/>
  <c r="J184" i="25"/>
  <c r="I184" i="25"/>
  <c r="H184" i="25"/>
  <c r="G184" i="25"/>
  <c r="F184" i="25"/>
  <c r="E184" i="25"/>
  <c r="D184" i="25"/>
  <c r="C184" i="25"/>
  <c r="B184" i="25"/>
  <c r="A184" i="25"/>
  <c r="L183" i="25"/>
  <c r="K183" i="25"/>
  <c r="J183" i="25"/>
  <c r="I183" i="25"/>
  <c r="H183" i="25"/>
  <c r="G183" i="25"/>
  <c r="F183" i="25"/>
  <c r="E183" i="25"/>
  <c r="D183" i="25"/>
  <c r="C183" i="25"/>
  <c r="B183" i="25"/>
  <c r="A183" i="25"/>
  <c r="L182" i="25"/>
  <c r="K182" i="25"/>
  <c r="J182" i="25"/>
  <c r="I182" i="25"/>
  <c r="H182" i="25"/>
  <c r="G182" i="25"/>
  <c r="F182" i="25"/>
  <c r="E182" i="25"/>
  <c r="D182" i="25"/>
  <c r="C182" i="25"/>
  <c r="B182" i="25"/>
  <c r="A182" i="25"/>
  <c r="L181" i="25"/>
  <c r="K181" i="25"/>
  <c r="J181" i="25"/>
  <c r="I181" i="25"/>
  <c r="H181" i="25"/>
  <c r="G181" i="25"/>
  <c r="F181" i="25"/>
  <c r="E181" i="25"/>
  <c r="D181" i="25"/>
  <c r="C181" i="25"/>
  <c r="B181" i="25"/>
  <c r="A181" i="25"/>
  <c r="L180" i="25"/>
  <c r="K180" i="25"/>
  <c r="J180" i="25"/>
  <c r="I180" i="25"/>
  <c r="H180" i="25"/>
  <c r="G180" i="25"/>
  <c r="F180" i="25"/>
  <c r="E180" i="25"/>
  <c r="D180" i="25"/>
  <c r="C180" i="25"/>
  <c r="B180" i="25"/>
  <c r="A180" i="25"/>
  <c r="L179" i="25"/>
  <c r="K179" i="25"/>
  <c r="J179" i="25"/>
  <c r="I179" i="25"/>
  <c r="H179" i="25"/>
  <c r="G179" i="25"/>
  <c r="F179" i="25"/>
  <c r="E179" i="25"/>
  <c r="D179" i="25"/>
  <c r="C179" i="25"/>
  <c r="B179" i="25"/>
  <c r="A179" i="25"/>
  <c r="L178" i="25"/>
  <c r="K178" i="25"/>
  <c r="J178" i="25"/>
  <c r="I178" i="25"/>
  <c r="H178" i="25"/>
  <c r="G178" i="25"/>
  <c r="F178" i="25"/>
  <c r="E178" i="25"/>
  <c r="D178" i="25"/>
  <c r="C178" i="25"/>
  <c r="B178" i="25"/>
  <c r="A178" i="25"/>
  <c r="L177" i="25"/>
  <c r="K177" i="25"/>
  <c r="J177" i="25"/>
  <c r="I177" i="25"/>
  <c r="H177" i="25"/>
  <c r="G177" i="25"/>
  <c r="F177" i="25"/>
  <c r="E177" i="25"/>
  <c r="D177" i="25"/>
  <c r="C177" i="25"/>
  <c r="B177" i="25"/>
  <c r="A177" i="25"/>
  <c r="L176" i="25"/>
  <c r="K176" i="25"/>
  <c r="J176" i="25"/>
  <c r="I176" i="25"/>
  <c r="H176" i="25"/>
  <c r="G176" i="25"/>
  <c r="F176" i="25"/>
  <c r="E176" i="25"/>
  <c r="D176" i="25"/>
  <c r="C176" i="25"/>
  <c r="B176" i="25"/>
  <c r="A176" i="25"/>
  <c r="L175" i="25"/>
  <c r="K175" i="25"/>
  <c r="J175" i="25"/>
  <c r="I175" i="25"/>
  <c r="H175" i="25"/>
  <c r="G175" i="25"/>
  <c r="F175" i="25"/>
  <c r="E175" i="25"/>
  <c r="D175" i="25"/>
  <c r="C175" i="25"/>
  <c r="B175" i="25"/>
  <c r="A175" i="25"/>
  <c r="L174" i="25"/>
  <c r="K174" i="25"/>
  <c r="J174" i="25"/>
  <c r="I174" i="25"/>
  <c r="H174" i="25"/>
  <c r="G174" i="25"/>
  <c r="F174" i="25"/>
  <c r="E174" i="25"/>
  <c r="D174" i="25"/>
  <c r="C174" i="25"/>
  <c r="B174" i="25"/>
  <c r="A174" i="25"/>
  <c r="L173" i="25"/>
  <c r="K173" i="25"/>
  <c r="J173" i="25"/>
  <c r="I173" i="25"/>
  <c r="H173" i="25"/>
  <c r="G173" i="25"/>
  <c r="F173" i="25"/>
  <c r="E173" i="25"/>
  <c r="D173" i="25"/>
  <c r="C173" i="25"/>
  <c r="B173" i="25"/>
  <c r="A173" i="25"/>
  <c r="L172" i="25"/>
  <c r="K172" i="25"/>
  <c r="J172" i="25"/>
  <c r="I172" i="25"/>
  <c r="H172" i="25"/>
  <c r="G172" i="25"/>
  <c r="F172" i="25"/>
  <c r="E172" i="25"/>
  <c r="D172" i="25"/>
  <c r="C172" i="25"/>
  <c r="B172" i="25"/>
  <c r="A172" i="25"/>
  <c r="L171" i="25"/>
  <c r="K171" i="25"/>
  <c r="J171" i="25"/>
  <c r="I171" i="25"/>
  <c r="H171" i="25"/>
  <c r="G171" i="25"/>
  <c r="F171" i="25"/>
  <c r="E171" i="25"/>
  <c r="D171" i="25"/>
  <c r="C171" i="25"/>
  <c r="B171" i="25"/>
  <c r="A171" i="25"/>
  <c r="L170" i="25"/>
  <c r="K170" i="25"/>
  <c r="J170" i="25"/>
  <c r="I170" i="25"/>
  <c r="H170" i="25"/>
  <c r="G170" i="25"/>
  <c r="F170" i="25"/>
  <c r="E170" i="25"/>
  <c r="D170" i="25"/>
  <c r="C170" i="25"/>
  <c r="B170" i="25"/>
  <c r="A170" i="25"/>
  <c r="L169" i="25"/>
  <c r="K169" i="25"/>
  <c r="J169" i="25"/>
  <c r="I169" i="25"/>
  <c r="H169" i="25"/>
  <c r="G169" i="25"/>
  <c r="F169" i="25"/>
  <c r="E169" i="25"/>
  <c r="D169" i="25"/>
  <c r="C169" i="25"/>
  <c r="B169" i="25"/>
  <c r="A169" i="25"/>
  <c r="L168" i="25"/>
  <c r="K168" i="25"/>
  <c r="J168" i="25"/>
  <c r="I168" i="25"/>
  <c r="H168" i="25"/>
  <c r="G168" i="25"/>
  <c r="F168" i="25"/>
  <c r="E168" i="25"/>
  <c r="D168" i="25"/>
  <c r="C168" i="25"/>
  <c r="B168" i="25"/>
  <c r="A168" i="25"/>
  <c r="L167" i="25"/>
  <c r="K167" i="25"/>
  <c r="J167" i="25"/>
  <c r="I167" i="25"/>
  <c r="H167" i="25"/>
  <c r="G167" i="25"/>
  <c r="F167" i="25"/>
  <c r="E167" i="25"/>
  <c r="D167" i="25"/>
  <c r="C167" i="25"/>
  <c r="B167" i="25"/>
  <c r="A167" i="25"/>
  <c r="L166" i="25"/>
  <c r="K166" i="25"/>
  <c r="J166" i="25"/>
  <c r="I166" i="25"/>
  <c r="H166" i="25"/>
  <c r="G166" i="25"/>
  <c r="F166" i="25"/>
  <c r="E166" i="25"/>
  <c r="D166" i="25"/>
  <c r="C166" i="25"/>
  <c r="B166" i="25"/>
  <c r="A166" i="25"/>
  <c r="L165" i="25"/>
  <c r="K165" i="25"/>
  <c r="J165" i="25"/>
  <c r="I165" i="25"/>
  <c r="H165" i="25"/>
  <c r="G165" i="25"/>
  <c r="F165" i="25"/>
  <c r="E165" i="25"/>
  <c r="D165" i="25"/>
  <c r="C165" i="25"/>
  <c r="B165" i="25"/>
  <c r="A165" i="25"/>
  <c r="L164" i="25"/>
  <c r="K164" i="25"/>
  <c r="J164" i="25"/>
  <c r="I164" i="25"/>
  <c r="H164" i="25"/>
  <c r="G164" i="25"/>
  <c r="F164" i="25"/>
  <c r="E164" i="25"/>
  <c r="D164" i="25"/>
  <c r="C164" i="25"/>
  <c r="B164" i="25"/>
  <c r="A164" i="25"/>
  <c r="L163" i="25"/>
  <c r="K163" i="25"/>
  <c r="J163" i="25"/>
  <c r="I163" i="25"/>
  <c r="H163" i="25"/>
  <c r="G163" i="25"/>
  <c r="F163" i="25"/>
  <c r="E163" i="25"/>
  <c r="D163" i="25"/>
  <c r="C163" i="25"/>
  <c r="B163" i="25"/>
  <c r="A163" i="25"/>
  <c r="L162" i="25"/>
  <c r="K162" i="25"/>
  <c r="J162" i="25"/>
  <c r="I162" i="25"/>
  <c r="H162" i="25"/>
  <c r="G162" i="25"/>
  <c r="F162" i="25"/>
  <c r="E162" i="25"/>
  <c r="D162" i="25"/>
  <c r="C162" i="25"/>
  <c r="B162" i="25"/>
  <c r="A162" i="25"/>
  <c r="L161" i="25"/>
  <c r="K161" i="25"/>
  <c r="J161" i="25"/>
  <c r="I161" i="25"/>
  <c r="H161" i="25"/>
  <c r="G161" i="25"/>
  <c r="F161" i="25"/>
  <c r="E161" i="25"/>
  <c r="D161" i="25"/>
  <c r="C161" i="25"/>
  <c r="B161" i="25"/>
  <c r="A161" i="25"/>
  <c r="L160" i="25"/>
  <c r="K160" i="25"/>
  <c r="J160" i="25"/>
  <c r="I160" i="25"/>
  <c r="H160" i="25"/>
  <c r="G160" i="25"/>
  <c r="F160" i="25"/>
  <c r="E160" i="25"/>
  <c r="D160" i="25"/>
  <c r="C160" i="25"/>
  <c r="B160" i="25"/>
  <c r="A160" i="25"/>
  <c r="L159" i="25"/>
  <c r="K159" i="25"/>
  <c r="J159" i="25"/>
  <c r="I159" i="25"/>
  <c r="H159" i="25"/>
  <c r="G159" i="25"/>
  <c r="F159" i="25"/>
  <c r="E159" i="25"/>
  <c r="D159" i="25"/>
  <c r="C159" i="25"/>
  <c r="B159" i="25"/>
  <c r="A159" i="25"/>
  <c r="L158" i="25"/>
  <c r="K158" i="25"/>
  <c r="J158" i="25"/>
  <c r="I158" i="25"/>
  <c r="H158" i="25"/>
  <c r="G158" i="25"/>
  <c r="F158" i="25"/>
  <c r="E158" i="25"/>
  <c r="D158" i="25"/>
  <c r="C158" i="25"/>
  <c r="B158" i="25"/>
  <c r="A158" i="25"/>
  <c r="L157" i="25"/>
  <c r="K157" i="25"/>
  <c r="J157" i="25"/>
  <c r="I157" i="25"/>
  <c r="H157" i="25"/>
  <c r="G157" i="25"/>
  <c r="F157" i="25"/>
  <c r="E157" i="25"/>
  <c r="D157" i="25"/>
  <c r="C157" i="25"/>
  <c r="B157" i="25"/>
  <c r="A157" i="25"/>
  <c r="L156" i="25"/>
  <c r="K156" i="25"/>
  <c r="J156" i="25"/>
  <c r="I156" i="25"/>
  <c r="H156" i="25"/>
  <c r="G156" i="25"/>
  <c r="F156" i="25"/>
  <c r="E156" i="25"/>
  <c r="D156" i="25"/>
  <c r="C156" i="25"/>
  <c r="B156" i="25"/>
  <c r="A156" i="25"/>
  <c r="L155" i="25"/>
  <c r="K155" i="25"/>
  <c r="J155" i="25"/>
  <c r="I155" i="25"/>
  <c r="H155" i="25"/>
  <c r="G155" i="25"/>
  <c r="F155" i="25"/>
  <c r="E155" i="25"/>
  <c r="D155" i="25"/>
  <c r="C155" i="25"/>
  <c r="B155" i="25"/>
  <c r="A155" i="25"/>
  <c r="L154" i="25"/>
  <c r="K154" i="25"/>
  <c r="J154" i="25"/>
  <c r="I154" i="25"/>
  <c r="H154" i="25"/>
  <c r="G154" i="25"/>
  <c r="F154" i="25"/>
  <c r="E154" i="25"/>
  <c r="D154" i="25"/>
  <c r="C154" i="25"/>
  <c r="B154" i="25"/>
  <c r="A154" i="25"/>
  <c r="L153" i="25"/>
  <c r="K153" i="25"/>
  <c r="J153" i="25"/>
  <c r="I153" i="25"/>
  <c r="H153" i="25"/>
  <c r="G153" i="25"/>
  <c r="F153" i="25"/>
  <c r="E153" i="25"/>
  <c r="D153" i="25"/>
  <c r="C153" i="25"/>
  <c r="B153" i="25"/>
  <c r="A153" i="25"/>
  <c r="L152" i="25"/>
  <c r="K152" i="25"/>
  <c r="J152" i="25"/>
  <c r="I152" i="25"/>
  <c r="H152" i="25"/>
  <c r="G152" i="25"/>
  <c r="F152" i="25"/>
  <c r="E152" i="25"/>
  <c r="D152" i="25"/>
  <c r="C152" i="25"/>
  <c r="B152" i="25"/>
  <c r="A152" i="25"/>
  <c r="L151" i="25"/>
  <c r="K151" i="25"/>
  <c r="J151" i="25"/>
  <c r="I151" i="25"/>
  <c r="H151" i="25"/>
  <c r="G151" i="25"/>
  <c r="F151" i="25"/>
  <c r="E151" i="25"/>
  <c r="D151" i="25"/>
  <c r="C151" i="25"/>
  <c r="B151" i="25"/>
  <c r="A151" i="25"/>
  <c r="L150" i="25"/>
  <c r="K150" i="25"/>
  <c r="J150" i="25"/>
  <c r="I150" i="25"/>
  <c r="H150" i="25"/>
  <c r="G150" i="25"/>
  <c r="F150" i="25"/>
  <c r="E150" i="25"/>
  <c r="D150" i="25"/>
  <c r="C150" i="25"/>
  <c r="B150" i="25"/>
  <c r="A150" i="25"/>
  <c r="L149" i="25"/>
  <c r="K149" i="25"/>
  <c r="J149" i="25"/>
  <c r="I149" i="25"/>
  <c r="H149" i="25"/>
  <c r="G149" i="25"/>
  <c r="F149" i="25"/>
  <c r="E149" i="25"/>
  <c r="D149" i="25"/>
  <c r="C149" i="25"/>
  <c r="B149" i="25"/>
  <c r="A149" i="25"/>
  <c r="L148" i="25"/>
  <c r="K148" i="25"/>
  <c r="J148" i="25"/>
  <c r="I148" i="25"/>
  <c r="H148" i="25"/>
  <c r="G148" i="25"/>
  <c r="F148" i="25"/>
  <c r="E148" i="25"/>
  <c r="D148" i="25"/>
  <c r="C148" i="25"/>
  <c r="B148" i="25"/>
  <c r="A148" i="25"/>
  <c r="L147" i="25"/>
  <c r="K147" i="25"/>
  <c r="J147" i="25"/>
  <c r="I147" i="25"/>
  <c r="H147" i="25"/>
  <c r="G147" i="25"/>
  <c r="F147" i="25"/>
  <c r="E147" i="25"/>
  <c r="D147" i="25"/>
  <c r="C147" i="25"/>
  <c r="B147" i="25"/>
  <c r="A147" i="25"/>
  <c r="L146" i="25"/>
  <c r="K146" i="25"/>
  <c r="J146" i="25"/>
  <c r="I146" i="25"/>
  <c r="H146" i="25"/>
  <c r="G146" i="25"/>
  <c r="F146" i="25"/>
  <c r="E146" i="25"/>
  <c r="D146" i="25"/>
  <c r="C146" i="25"/>
  <c r="B146" i="25"/>
  <c r="A146" i="25"/>
  <c r="L145" i="25"/>
  <c r="K145" i="25"/>
  <c r="J145" i="25"/>
  <c r="I145" i="25"/>
  <c r="H145" i="25"/>
  <c r="G145" i="25"/>
  <c r="F145" i="25"/>
  <c r="E145" i="25"/>
  <c r="D145" i="25"/>
  <c r="C145" i="25"/>
  <c r="B145" i="25"/>
  <c r="A145" i="25"/>
  <c r="L144" i="25"/>
  <c r="K144" i="25"/>
  <c r="J144" i="25"/>
  <c r="I144" i="25"/>
  <c r="H144" i="25"/>
  <c r="G144" i="25"/>
  <c r="F144" i="25"/>
  <c r="E144" i="25"/>
  <c r="D144" i="25"/>
  <c r="C144" i="25"/>
  <c r="B144" i="25"/>
  <c r="A144" i="25"/>
  <c r="L143" i="25"/>
  <c r="K143" i="25"/>
  <c r="J143" i="25"/>
  <c r="I143" i="25"/>
  <c r="H143" i="25"/>
  <c r="G143" i="25"/>
  <c r="F143" i="25"/>
  <c r="E143" i="25"/>
  <c r="D143" i="25"/>
  <c r="C143" i="25"/>
  <c r="B143" i="25"/>
  <c r="A143" i="25"/>
  <c r="L142" i="25"/>
  <c r="K142" i="25"/>
  <c r="J142" i="25"/>
  <c r="I142" i="25"/>
  <c r="H142" i="25"/>
  <c r="G142" i="25"/>
  <c r="F142" i="25"/>
  <c r="E142" i="25"/>
  <c r="D142" i="25"/>
  <c r="C142" i="25"/>
  <c r="B142" i="25"/>
  <c r="A142" i="25"/>
  <c r="L141" i="25"/>
  <c r="K141" i="25"/>
  <c r="J141" i="25"/>
  <c r="I141" i="25"/>
  <c r="H141" i="25"/>
  <c r="G141" i="25"/>
  <c r="F141" i="25"/>
  <c r="E141" i="25"/>
  <c r="D141" i="25"/>
  <c r="C141" i="25"/>
  <c r="B141" i="25"/>
  <c r="A141" i="25"/>
  <c r="L140" i="25"/>
  <c r="K140" i="25"/>
  <c r="J140" i="25"/>
  <c r="I140" i="25"/>
  <c r="H140" i="25"/>
  <c r="G140" i="25"/>
  <c r="F140" i="25"/>
  <c r="E140" i="25"/>
  <c r="D140" i="25"/>
  <c r="C140" i="25"/>
  <c r="B140" i="25"/>
  <c r="A140" i="25"/>
  <c r="L139" i="25"/>
  <c r="K139" i="25"/>
  <c r="J139" i="25"/>
  <c r="I139" i="25"/>
  <c r="H139" i="25"/>
  <c r="G139" i="25"/>
  <c r="F139" i="25"/>
  <c r="E139" i="25"/>
  <c r="D139" i="25"/>
  <c r="C139" i="25"/>
  <c r="B139" i="25"/>
  <c r="A139" i="25"/>
  <c r="L138" i="25"/>
  <c r="K138" i="25"/>
  <c r="J138" i="25"/>
  <c r="I138" i="25"/>
  <c r="H138" i="25"/>
  <c r="G138" i="25"/>
  <c r="F138" i="25"/>
  <c r="E138" i="25"/>
  <c r="D138" i="25"/>
  <c r="C138" i="25"/>
  <c r="B138" i="25"/>
  <c r="A138" i="25"/>
  <c r="L137" i="25"/>
  <c r="K137" i="25"/>
  <c r="J137" i="25"/>
  <c r="I137" i="25"/>
  <c r="H137" i="25"/>
  <c r="G137" i="25"/>
  <c r="F137" i="25"/>
  <c r="E137" i="25"/>
  <c r="D137" i="25"/>
  <c r="C137" i="25"/>
  <c r="B137" i="25"/>
  <c r="A137" i="25"/>
  <c r="L136" i="25"/>
  <c r="K136" i="25"/>
  <c r="J136" i="25"/>
  <c r="I136" i="25"/>
  <c r="H136" i="25"/>
  <c r="G136" i="25"/>
  <c r="F136" i="25"/>
  <c r="E136" i="25"/>
  <c r="D136" i="25"/>
  <c r="C136" i="25"/>
  <c r="B136" i="25"/>
  <c r="A136" i="25"/>
  <c r="L135" i="25"/>
  <c r="K135" i="25"/>
  <c r="J135" i="25"/>
  <c r="I135" i="25"/>
  <c r="H135" i="25"/>
  <c r="G135" i="25"/>
  <c r="F135" i="25"/>
  <c r="E135" i="25"/>
  <c r="D135" i="25"/>
  <c r="C135" i="25"/>
  <c r="B135" i="25"/>
  <c r="A135" i="25"/>
  <c r="L134" i="25"/>
  <c r="K134" i="25"/>
  <c r="J134" i="25"/>
  <c r="I134" i="25"/>
  <c r="H134" i="25"/>
  <c r="G134" i="25"/>
  <c r="F134" i="25"/>
  <c r="E134" i="25"/>
  <c r="D134" i="25"/>
  <c r="C134" i="25"/>
  <c r="B134" i="25"/>
  <c r="A134" i="25"/>
  <c r="L133" i="25"/>
  <c r="K133" i="25"/>
  <c r="J133" i="25"/>
  <c r="I133" i="25"/>
  <c r="H133" i="25"/>
  <c r="G133" i="25"/>
  <c r="F133" i="25"/>
  <c r="E133" i="25"/>
  <c r="D133" i="25"/>
  <c r="C133" i="25"/>
  <c r="B133" i="25"/>
  <c r="A133" i="25"/>
  <c r="L132" i="25"/>
  <c r="K132" i="25"/>
  <c r="J132" i="25"/>
  <c r="I132" i="25"/>
  <c r="H132" i="25"/>
  <c r="G132" i="25"/>
  <c r="F132" i="25"/>
  <c r="E132" i="25"/>
  <c r="D132" i="25"/>
  <c r="C132" i="25"/>
  <c r="B132" i="25"/>
  <c r="A132" i="25"/>
  <c r="L131" i="25"/>
  <c r="K131" i="25"/>
  <c r="J131" i="25"/>
  <c r="I131" i="25"/>
  <c r="H131" i="25"/>
  <c r="G131" i="25"/>
  <c r="F131" i="25"/>
  <c r="E131" i="25"/>
  <c r="D131" i="25"/>
  <c r="C131" i="25"/>
  <c r="B131" i="25"/>
  <c r="A131" i="25"/>
  <c r="L130" i="25"/>
  <c r="K130" i="25"/>
  <c r="J130" i="25"/>
  <c r="I130" i="25"/>
  <c r="H130" i="25"/>
  <c r="G130" i="25"/>
  <c r="F130" i="25"/>
  <c r="E130" i="25"/>
  <c r="D130" i="25"/>
  <c r="C130" i="25"/>
  <c r="B130" i="25"/>
  <c r="A130" i="25"/>
  <c r="L129" i="25"/>
  <c r="K129" i="25"/>
  <c r="J129" i="25"/>
  <c r="I129" i="25"/>
  <c r="H129" i="25"/>
  <c r="G129" i="25"/>
  <c r="F129" i="25"/>
  <c r="E129" i="25"/>
  <c r="D129" i="25"/>
  <c r="C129" i="25"/>
  <c r="B129" i="25"/>
  <c r="A129" i="25"/>
  <c r="L128" i="25"/>
  <c r="K128" i="25"/>
  <c r="J128" i="25"/>
  <c r="I128" i="25"/>
  <c r="H128" i="25"/>
  <c r="G128" i="25"/>
  <c r="F128" i="25"/>
  <c r="E128" i="25"/>
  <c r="D128" i="25"/>
  <c r="C128" i="25"/>
  <c r="B128" i="25"/>
  <c r="A128" i="25"/>
  <c r="L127" i="25"/>
  <c r="K127" i="25"/>
  <c r="J127" i="25"/>
  <c r="I127" i="25"/>
  <c r="H127" i="25"/>
  <c r="G127" i="25"/>
  <c r="F127" i="25"/>
  <c r="E127" i="25"/>
  <c r="D127" i="25"/>
  <c r="C127" i="25"/>
  <c r="B127" i="25"/>
  <c r="A127" i="25"/>
  <c r="L126" i="25"/>
  <c r="K126" i="25"/>
  <c r="J126" i="25"/>
  <c r="I126" i="25"/>
  <c r="H126" i="25"/>
  <c r="G126" i="25"/>
  <c r="F126" i="25"/>
  <c r="E126" i="25"/>
  <c r="D126" i="25"/>
  <c r="C126" i="25"/>
  <c r="B126" i="25"/>
  <c r="A126" i="25"/>
  <c r="L125" i="25"/>
  <c r="K125" i="25"/>
  <c r="J125" i="25"/>
  <c r="I125" i="25"/>
  <c r="H125" i="25"/>
  <c r="G125" i="25"/>
  <c r="F125" i="25"/>
  <c r="E125" i="25"/>
  <c r="D125" i="25"/>
  <c r="C125" i="25"/>
  <c r="B125" i="25"/>
  <c r="A125" i="25"/>
  <c r="L124" i="25"/>
  <c r="K124" i="25"/>
  <c r="J124" i="25"/>
  <c r="I124" i="25"/>
  <c r="H124" i="25"/>
  <c r="G124" i="25"/>
  <c r="F124" i="25"/>
  <c r="E124" i="25"/>
  <c r="D124" i="25"/>
  <c r="C124" i="25"/>
  <c r="B124" i="25"/>
  <c r="A124" i="25"/>
  <c r="L123" i="25"/>
  <c r="K123" i="25"/>
  <c r="J123" i="25"/>
  <c r="I123" i="25"/>
  <c r="H123" i="25"/>
  <c r="G123" i="25"/>
  <c r="F123" i="25"/>
  <c r="E123" i="25"/>
  <c r="D123" i="25"/>
  <c r="C123" i="25"/>
  <c r="B123" i="25"/>
  <c r="A123" i="25"/>
  <c r="L122" i="25"/>
  <c r="K122" i="25"/>
  <c r="J122" i="25"/>
  <c r="I122" i="25"/>
  <c r="H122" i="25"/>
  <c r="G122" i="25"/>
  <c r="F122" i="25"/>
  <c r="E122" i="25"/>
  <c r="D122" i="25"/>
  <c r="C122" i="25"/>
  <c r="B122" i="25"/>
  <c r="A122" i="25"/>
  <c r="L121" i="25"/>
  <c r="K121" i="25"/>
  <c r="J121" i="25"/>
  <c r="I121" i="25"/>
  <c r="H121" i="25"/>
  <c r="G121" i="25"/>
  <c r="F121" i="25"/>
  <c r="E121" i="25"/>
  <c r="D121" i="25"/>
  <c r="C121" i="25"/>
  <c r="B121" i="25"/>
  <c r="A121" i="25"/>
  <c r="L120" i="25"/>
  <c r="K120" i="25"/>
  <c r="J120" i="25"/>
  <c r="I120" i="25"/>
  <c r="H120" i="25"/>
  <c r="G120" i="25"/>
  <c r="F120" i="25"/>
  <c r="E120" i="25"/>
  <c r="D120" i="25"/>
  <c r="C120" i="25"/>
  <c r="B120" i="25"/>
  <c r="A120" i="25"/>
  <c r="L119" i="25"/>
  <c r="K119" i="25"/>
  <c r="J119" i="25"/>
  <c r="I119" i="25"/>
  <c r="H119" i="25"/>
  <c r="G119" i="25"/>
  <c r="F119" i="25"/>
  <c r="E119" i="25"/>
  <c r="D119" i="25"/>
  <c r="C119" i="25"/>
  <c r="B119" i="25"/>
  <c r="A119" i="25"/>
  <c r="L118" i="25"/>
  <c r="K118" i="25"/>
  <c r="J118" i="25"/>
  <c r="I118" i="25"/>
  <c r="H118" i="25"/>
  <c r="G118" i="25"/>
  <c r="F118" i="25"/>
  <c r="E118" i="25"/>
  <c r="D118" i="25"/>
  <c r="C118" i="25"/>
  <c r="B118" i="25"/>
  <c r="A118" i="25"/>
  <c r="L117" i="25"/>
  <c r="K117" i="25"/>
  <c r="J117" i="25"/>
  <c r="I117" i="25"/>
  <c r="H117" i="25"/>
  <c r="G117" i="25"/>
  <c r="F117" i="25"/>
  <c r="E117" i="25"/>
  <c r="D117" i="25"/>
  <c r="C117" i="25"/>
  <c r="B117" i="25"/>
  <c r="A117" i="25"/>
  <c r="L116" i="25"/>
  <c r="K116" i="25"/>
  <c r="J116" i="25"/>
  <c r="I116" i="25"/>
  <c r="H116" i="25"/>
  <c r="G116" i="25"/>
  <c r="F116" i="25"/>
  <c r="E116" i="25"/>
  <c r="D116" i="25"/>
  <c r="C116" i="25"/>
  <c r="B116" i="25"/>
  <c r="A116" i="25"/>
  <c r="L115" i="25"/>
  <c r="K115" i="25"/>
  <c r="J115" i="25"/>
  <c r="I115" i="25"/>
  <c r="H115" i="25"/>
  <c r="G115" i="25"/>
  <c r="F115" i="25"/>
  <c r="E115" i="25"/>
  <c r="D115" i="25"/>
  <c r="C115" i="25"/>
  <c r="B115" i="25"/>
  <c r="A115" i="25"/>
  <c r="L114" i="25"/>
  <c r="K114" i="25"/>
  <c r="J114" i="25"/>
  <c r="I114" i="25"/>
  <c r="H114" i="25"/>
  <c r="G114" i="25"/>
  <c r="F114" i="25"/>
  <c r="E114" i="25"/>
  <c r="D114" i="25"/>
  <c r="C114" i="25"/>
  <c r="B114" i="25"/>
  <c r="A114" i="25"/>
  <c r="L113" i="25"/>
  <c r="K113" i="25"/>
  <c r="J113" i="25"/>
  <c r="I113" i="25"/>
  <c r="H113" i="25"/>
  <c r="G113" i="25"/>
  <c r="F113" i="25"/>
  <c r="E113" i="25"/>
  <c r="D113" i="25"/>
  <c r="C113" i="25"/>
  <c r="B113" i="25"/>
  <c r="A113" i="25"/>
  <c r="L112" i="25"/>
  <c r="K112" i="25"/>
  <c r="J112" i="25"/>
  <c r="I112" i="25"/>
  <c r="H112" i="25"/>
  <c r="G112" i="25"/>
  <c r="F112" i="25"/>
  <c r="E112" i="25"/>
  <c r="D112" i="25"/>
  <c r="C112" i="25"/>
  <c r="B112" i="25"/>
  <c r="A112" i="25"/>
  <c r="L111" i="25"/>
  <c r="K111" i="25"/>
  <c r="J111" i="25"/>
  <c r="I111" i="25"/>
  <c r="H111" i="25"/>
  <c r="G111" i="25"/>
  <c r="F111" i="25"/>
  <c r="E111" i="25"/>
  <c r="D111" i="25"/>
  <c r="C111" i="25"/>
  <c r="B111" i="25"/>
  <c r="A111" i="25"/>
  <c r="L110" i="25"/>
  <c r="K110" i="25"/>
  <c r="J110" i="25"/>
  <c r="I110" i="25"/>
  <c r="H110" i="25"/>
  <c r="G110" i="25"/>
  <c r="F110" i="25"/>
  <c r="E110" i="25"/>
  <c r="D110" i="25"/>
  <c r="C110" i="25"/>
  <c r="B110" i="25"/>
  <c r="A110" i="25"/>
  <c r="L109" i="25"/>
  <c r="K109" i="25"/>
  <c r="J109" i="25"/>
  <c r="I109" i="25"/>
  <c r="H109" i="25"/>
  <c r="G109" i="25"/>
  <c r="F109" i="25"/>
  <c r="E109" i="25"/>
  <c r="D109" i="25"/>
  <c r="C109" i="25"/>
  <c r="B109" i="25"/>
  <c r="A109" i="25"/>
  <c r="L108" i="25"/>
  <c r="K108" i="25"/>
  <c r="J108" i="25"/>
  <c r="I108" i="25"/>
  <c r="H108" i="25"/>
  <c r="G108" i="25"/>
  <c r="F108" i="25"/>
  <c r="E108" i="25"/>
  <c r="D108" i="25"/>
  <c r="C108" i="25"/>
  <c r="B108" i="25"/>
  <c r="A108" i="25"/>
  <c r="L107" i="25"/>
  <c r="K107" i="25"/>
  <c r="J107" i="25"/>
  <c r="I107" i="25"/>
  <c r="H107" i="25"/>
  <c r="G107" i="25"/>
  <c r="F107" i="25"/>
  <c r="E107" i="25"/>
  <c r="D107" i="25"/>
  <c r="C107" i="25"/>
  <c r="B107" i="25"/>
  <c r="A107" i="25"/>
  <c r="L106" i="25"/>
  <c r="K106" i="25"/>
  <c r="J106" i="25"/>
  <c r="I106" i="25"/>
  <c r="H106" i="25"/>
  <c r="G106" i="25"/>
  <c r="F106" i="25"/>
  <c r="E106" i="25"/>
  <c r="D106" i="25"/>
  <c r="C106" i="25"/>
  <c r="B106" i="25"/>
  <c r="A106" i="25"/>
  <c r="L105" i="25"/>
  <c r="K105" i="25"/>
  <c r="J105" i="25"/>
  <c r="I105" i="25"/>
  <c r="H105" i="25"/>
  <c r="G105" i="25"/>
  <c r="F105" i="25"/>
  <c r="E105" i="25"/>
  <c r="D105" i="25"/>
  <c r="C105" i="25"/>
  <c r="B105" i="25"/>
  <c r="A105" i="25"/>
  <c r="L104" i="25"/>
  <c r="K104" i="25"/>
  <c r="J104" i="25"/>
  <c r="I104" i="25"/>
  <c r="H104" i="25"/>
  <c r="G104" i="25"/>
  <c r="F104" i="25"/>
  <c r="E104" i="25"/>
  <c r="D104" i="25"/>
  <c r="C104" i="25"/>
  <c r="B104" i="25"/>
  <c r="A104" i="25"/>
  <c r="L103" i="25"/>
  <c r="K103" i="25"/>
  <c r="J103" i="25"/>
  <c r="I103" i="25"/>
  <c r="H103" i="25"/>
  <c r="G103" i="25"/>
  <c r="F103" i="25"/>
  <c r="E103" i="25"/>
  <c r="D103" i="25"/>
  <c r="C103" i="25"/>
  <c r="B103" i="25"/>
  <c r="A103" i="25"/>
  <c r="L102" i="25"/>
  <c r="K102" i="25"/>
  <c r="J102" i="25"/>
  <c r="I102" i="25"/>
  <c r="H102" i="25"/>
  <c r="G102" i="25"/>
  <c r="F102" i="25"/>
  <c r="E102" i="25"/>
  <c r="D102" i="25"/>
  <c r="C102" i="25"/>
  <c r="B102" i="25"/>
  <c r="A102" i="25"/>
  <c r="L101" i="25"/>
  <c r="K101" i="25"/>
  <c r="J101" i="25"/>
  <c r="I101" i="25"/>
  <c r="H101" i="25"/>
  <c r="G101" i="25"/>
  <c r="F101" i="25"/>
  <c r="E101" i="25"/>
  <c r="D101" i="25"/>
  <c r="C101" i="25"/>
  <c r="B101" i="25"/>
  <c r="A101" i="25"/>
  <c r="L100" i="25"/>
  <c r="K100" i="25"/>
  <c r="J100" i="25"/>
  <c r="I100" i="25"/>
  <c r="H100" i="25"/>
  <c r="G100" i="25"/>
  <c r="F100" i="25"/>
  <c r="E100" i="25"/>
  <c r="D100" i="25"/>
  <c r="C100" i="25"/>
  <c r="B100" i="25"/>
  <c r="A100" i="25"/>
  <c r="L99" i="25"/>
  <c r="K99" i="25"/>
  <c r="J99" i="25"/>
  <c r="I99" i="25"/>
  <c r="H99" i="25"/>
  <c r="G99" i="25"/>
  <c r="F99" i="25"/>
  <c r="E99" i="25"/>
  <c r="D99" i="25"/>
  <c r="C99" i="25"/>
  <c r="B99" i="25"/>
  <c r="A99" i="25"/>
  <c r="L98" i="25"/>
  <c r="K98" i="25"/>
  <c r="J98" i="25"/>
  <c r="I98" i="25"/>
  <c r="H98" i="25"/>
  <c r="G98" i="25"/>
  <c r="F98" i="25"/>
  <c r="E98" i="25"/>
  <c r="D98" i="25"/>
  <c r="C98" i="25"/>
  <c r="B98" i="25"/>
  <c r="A98" i="25"/>
  <c r="L97" i="25"/>
  <c r="K97" i="25"/>
  <c r="J97" i="25"/>
  <c r="I97" i="25"/>
  <c r="H97" i="25"/>
  <c r="G97" i="25"/>
  <c r="F97" i="25"/>
  <c r="E97" i="25"/>
  <c r="D97" i="25"/>
  <c r="C97" i="25"/>
  <c r="B97" i="25"/>
  <c r="A97" i="25"/>
  <c r="L96" i="25"/>
  <c r="K96" i="25"/>
  <c r="J96" i="25"/>
  <c r="I96" i="25"/>
  <c r="H96" i="25"/>
  <c r="G96" i="25"/>
  <c r="F96" i="25"/>
  <c r="E96" i="25"/>
  <c r="D96" i="25"/>
  <c r="C96" i="25"/>
  <c r="B96" i="25"/>
  <c r="A96" i="25"/>
  <c r="L95" i="25"/>
  <c r="K95" i="25"/>
  <c r="J95" i="25"/>
  <c r="I95" i="25"/>
  <c r="H95" i="25"/>
  <c r="G95" i="25"/>
  <c r="F95" i="25"/>
  <c r="E95" i="25"/>
  <c r="D95" i="25"/>
  <c r="C95" i="25"/>
  <c r="B95" i="25"/>
  <c r="A95" i="25"/>
  <c r="L94" i="25"/>
  <c r="K94" i="25"/>
  <c r="J94" i="25"/>
  <c r="I94" i="25"/>
  <c r="H94" i="25"/>
  <c r="G94" i="25"/>
  <c r="F94" i="25"/>
  <c r="E94" i="25"/>
  <c r="D94" i="25"/>
  <c r="C94" i="25"/>
  <c r="B94" i="25"/>
  <c r="A94" i="25"/>
  <c r="L93" i="25"/>
  <c r="K93" i="25"/>
  <c r="J93" i="25"/>
  <c r="I93" i="25"/>
  <c r="H93" i="25"/>
  <c r="G93" i="25"/>
  <c r="F93" i="25"/>
  <c r="E93" i="25"/>
  <c r="D93" i="25"/>
  <c r="C93" i="25"/>
  <c r="B93" i="25"/>
  <c r="A93" i="25"/>
  <c r="L92" i="25"/>
  <c r="K92" i="25"/>
  <c r="J92" i="25"/>
  <c r="I92" i="25"/>
  <c r="H92" i="25"/>
  <c r="G92" i="25"/>
  <c r="F92" i="25"/>
  <c r="E92" i="25"/>
  <c r="D92" i="25"/>
  <c r="C92" i="25"/>
  <c r="B92" i="25"/>
  <c r="A92" i="25"/>
  <c r="L91" i="25"/>
  <c r="K91" i="25"/>
  <c r="J91" i="25"/>
  <c r="I91" i="25"/>
  <c r="H91" i="25"/>
  <c r="G91" i="25"/>
  <c r="F91" i="25"/>
  <c r="E91" i="25"/>
  <c r="D91" i="25"/>
  <c r="C91" i="25"/>
  <c r="B91" i="25"/>
  <c r="A91" i="25"/>
  <c r="L90" i="25"/>
  <c r="K90" i="25"/>
  <c r="J90" i="25"/>
  <c r="I90" i="25"/>
  <c r="H90" i="25"/>
  <c r="G90" i="25"/>
  <c r="F90" i="25"/>
  <c r="E90" i="25"/>
  <c r="D90" i="25"/>
  <c r="C90" i="25"/>
  <c r="B90" i="25"/>
  <c r="A90" i="25"/>
  <c r="L89" i="25"/>
  <c r="K89" i="25"/>
  <c r="J89" i="25"/>
  <c r="I89" i="25"/>
  <c r="H89" i="25"/>
  <c r="G89" i="25"/>
  <c r="F89" i="25"/>
  <c r="E89" i="25"/>
  <c r="D89" i="25"/>
  <c r="C89" i="25"/>
  <c r="B89" i="25"/>
  <c r="A89" i="25"/>
  <c r="L88" i="25"/>
  <c r="K88" i="25"/>
  <c r="J88" i="25"/>
  <c r="I88" i="25"/>
  <c r="H88" i="25"/>
  <c r="G88" i="25"/>
  <c r="F88" i="25"/>
  <c r="E88" i="25"/>
  <c r="D88" i="25"/>
  <c r="C88" i="25"/>
  <c r="B88" i="25"/>
  <c r="A88" i="25"/>
  <c r="L87" i="25"/>
  <c r="K87" i="25"/>
  <c r="J87" i="25"/>
  <c r="I87" i="25"/>
  <c r="H87" i="25"/>
  <c r="G87" i="25"/>
  <c r="F87" i="25"/>
  <c r="E87" i="25"/>
  <c r="D87" i="25"/>
  <c r="C87" i="25"/>
  <c r="B87" i="25"/>
  <c r="A87" i="25"/>
  <c r="L86" i="25"/>
  <c r="K86" i="25"/>
  <c r="J86" i="25"/>
  <c r="I86" i="25"/>
  <c r="H86" i="25"/>
  <c r="G86" i="25"/>
  <c r="F86" i="25"/>
  <c r="E86" i="25"/>
  <c r="D86" i="25"/>
  <c r="C86" i="25"/>
  <c r="B86" i="25"/>
  <c r="A86" i="25"/>
  <c r="L85" i="25"/>
  <c r="K85" i="25"/>
  <c r="J85" i="25"/>
  <c r="I85" i="25"/>
  <c r="H85" i="25"/>
  <c r="G85" i="25"/>
  <c r="F85" i="25"/>
  <c r="E85" i="25"/>
  <c r="D85" i="25"/>
  <c r="C85" i="25"/>
  <c r="B85" i="25"/>
  <c r="A85" i="25"/>
  <c r="L84" i="25"/>
  <c r="K84" i="25"/>
  <c r="J84" i="25"/>
  <c r="I84" i="25"/>
  <c r="H84" i="25"/>
  <c r="G84" i="25"/>
  <c r="F84" i="25"/>
  <c r="E84" i="25"/>
  <c r="D84" i="25"/>
  <c r="C84" i="25"/>
  <c r="B84" i="25"/>
  <c r="A84" i="25"/>
  <c r="L83" i="25"/>
  <c r="K83" i="25"/>
  <c r="J83" i="25"/>
  <c r="I83" i="25"/>
  <c r="H83" i="25"/>
  <c r="G83" i="25"/>
  <c r="F83" i="25"/>
  <c r="E83" i="25"/>
  <c r="D83" i="25"/>
  <c r="C83" i="25"/>
  <c r="B83" i="25"/>
  <c r="A83" i="25"/>
  <c r="L82" i="25"/>
  <c r="K82" i="25"/>
  <c r="J82" i="25"/>
  <c r="I82" i="25"/>
  <c r="H82" i="25"/>
  <c r="G82" i="25"/>
  <c r="F82" i="25"/>
  <c r="E82" i="25"/>
  <c r="D82" i="25"/>
  <c r="C82" i="25"/>
  <c r="B82" i="25"/>
  <c r="A82" i="25"/>
  <c r="L81" i="25"/>
  <c r="K81" i="25"/>
  <c r="J81" i="25"/>
  <c r="I81" i="25"/>
  <c r="H81" i="25"/>
  <c r="G81" i="25"/>
  <c r="F81" i="25"/>
  <c r="E81" i="25"/>
  <c r="D81" i="25"/>
  <c r="C81" i="25"/>
  <c r="B81" i="25"/>
  <c r="A81" i="25"/>
  <c r="L80" i="25"/>
  <c r="K80" i="25"/>
  <c r="J80" i="25"/>
  <c r="I80" i="25"/>
  <c r="H80" i="25"/>
  <c r="G80" i="25"/>
  <c r="F80" i="25"/>
  <c r="E80" i="25"/>
  <c r="D80" i="25"/>
  <c r="C80" i="25"/>
  <c r="B80" i="25"/>
  <c r="A80" i="25"/>
  <c r="L79" i="25"/>
  <c r="K79" i="25"/>
  <c r="J79" i="25"/>
  <c r="I79" i="25"/>
  <c r="H79" i="25"/>
  <c r="G79" i="25"/>
  <c r="F79" i="25"/>
  <c r="E79" i="25"/>
  <c r="D79" i="25"/>
  <c r="C79" i="25"/>
  <c r="B79" i="25"/>
  <c r="A79" i="25"/>
  <c r="L78" i="25"/>
  <c r="K78" i="25"/>
  <c r="J78" i="25"/>
  <c r="I78" i="25"/>
  <c r="H78" i="25"/>
  <c r="G78" i="25"/>
  <c r="F78" i="25"/>
  <c r="E78" i="25"/>
  <c r="D78" i="25"/>
  <c r="C78" i="25"/>
  <c r="B78" i="25"/>
  <c r="A78" i="25"/>
  <c r="L77" i="25"/>
  <c r="K77" i="25"/>
  <c r="J77" i="25"/>
  <c r="I77" i="25"/>
  <c r="H77" i="25"/>
  <c r="G77" i="25"/>
  <c r="F77" i="25"/>
  <c r="E77" i="25"/>
  <c r="D77" i="25"/>
  <c r="C77" i="25"/>
  <c r="B77" i="25"/>
  <c r="A77" i="25"/>
  <c r="L76" i="25"/>
  <c r="K76" i="25"/>
  <c r="J76" i="25"/>
  <c r="I76" i="25"/>
  <c r="H76" i="25"/>
  <c r="G76" i="25"/>
  <c r="F76" i="25"/>
  <c r="E76" i="25"/>
  <c r="D76" i="25"/>
  <c r="C76" i="25"/>
  <c r="B76" i="25"/>
  <c r="A76" i="25"/>
  <c r="L75" i="25"/>
  <c r="K75" i="25"/>
  <c r="J75" i="25"/>
  <c r="I75" i="25"/>
  <c r="H75" i="25"/>
  <c r="G75" i="25"/>
  <c r="F75" i="25"/>
  <c r="E75" i="25"/>
  <c r="D75" i="25"/>
  <c r="C75" i="25"/>
  <c r="B75" i="25"/>
  <c r="A75" i="25"/>
  <c r="L74" i="25"/>
  <c r="K74" i="25"/>
  <c r="J74" i="25"/>
  <c r="I74" i="25"/>
  <c r="H74" i="25"/>
  <c r="G74" i="25"/>
  <c r="F74" i="25"/>
  <c r="E74" i="25"/>
  <c r="D74" i="25"/>
  <c r="C74" i="25"/>
  <c r="B74" i="25"/>
  <c r="A74" i="25"/>
  <c r="L73" i="25"/>
  <c r="K73" i="25"/>
  <c r="J73" i="25"/>
  <c r="I73" i="25"/>
  <c r="H73" i="25"/>
  <c r="G73" i="25"/>
  <c r="F73" i="25"/>
  <c r="E73" i="25"/>
  <c r="D73" i="25"/>
  <c r="C73" i="25"/>
  <c r="B73" i="25"/>
  <c r="A73" i="25"/>
  <c r="L72" i="25"/>
  <c r="K72" i="25"/>
  <c r="J72" i="25"/>
  <c r="I72" i="25"/>
  <c r="H72" i="25"/>
  <c r="G72" i="25"/>
  <c r="F72" i="25"/>
  <c r="E72" i="25"/>
  <c r="D72" i="25"/>
  <c r="C72" i="25"/>
  <c r="B72" i="25"/>
  <c r="A72" i="25"/>
  <c r="L71" i="25"/>
  <c r="K71" i="25"/>
  <c r="J71" i="25"/>
  <c r="I71" i="25"/>
  <c r="H71" i="25"/>
  <c r="G71" i="25"/>
  <c r="F71" i="25"/>
  <c r="E71" i="25"/>
  <c r="D71" i="25"/>
  <c r="C71" i="25"/>
  <c r="B71" i="25"/>
  <c r="A71" i="25"/>
  <c r="L70" i="25"/>
  <c r="K70" i="25"/>
  <c r="J70" i="25"/>
  <c r="I70" i="25"/>
  <c r="H70" i="25"/>
  <c r="G70" i="25"/>
  <c r="F70" i="25"/>
  <c r="E70" i="25"/>
  <c r="D70" i="25"/>
  <c r="C70" i="25"/>
  <c r="B70" i="25"/>
  <c r="A70" i="25"/>
  <c r="L69" i="25"/>
  <c r="K69" i="25"/>
  <c r="J69" i="25"/>
  <c r="I69" i="25"/>
  <c r="H69" i="25"/>
  <c r="G69" i="25"/>
  <c r="F69" i="25"/>
  <c r="E69" i="25"/>
  <c r="D69" i="25"/>
  <c r="C69" i="25"/>
  <c r="B69" i="25"/>
  <c r="A69" i="25"/>
  <c r="L68" i="25"/>
  <c r="K68" i="25"/>
  <c r="J68" i="25"/>
  <c r="I68" i="25"/>
  <c r="H68" i="25"/>
  <c r="G68" i="25"/>
  <c r="F68" i="25"/>
  <c r="E68" i="25"/>
  <c r="D68" i="25"/>
  <c r="C68" i="25"/>
  <c r="B68" i="25"/>
  <c r="A68" i="25"/>
  <c r="L67" i="25"/>
  <c r="K67" i="25"/>
  <c r="J67" i="25"/>
  <c r="I67" i="25"/>
  <c r="H67" i="25"/>
  <c r="G67" i="25"/>
  <c r="F67" i="25"/>
  <c r="E67" i="25"/>
  <c r="D67" i="25"/>
  <c r="C67" i="25"/>
  <c r="B67" i="25"/>
  <c r="A67" i="25"/>
  <c r="L66" i="25"/>
  <c r="K66" i="25"/>
  <c r="J66" i="25"/>
  <c r="I66" i="25"/>
  <c r="H66" i="25"/>
  <c r="G66" i="25"/>
  <c r="F66" i="25"/>
  <c r="E66" i="25"/>
  <c r="D66" i="25"/>
  <c r="C66" i="25"/>
  <c r="B66" i="25"/>
  <c r="A66" i="25"/>
  <c r="L65" i="25"/>
  <c r="K65" i="25"/>
  <c r="J65" i="25"/>
  <c r="I65" i="25"/>
  <c r="H65" i="25"/>
  <c r="G65" i="25"/>
  <c r="F65" i="25"/>
  <c r="E65" i="25"/>
  <c r="D65" i="25"/>
  <c r="C65" i="25"/>
  <c r="B65" i="25"/>
  <c r="A65" i="25"/>
  <c r="L64" i="25"/>
  <c r="K64" i="25"/>
  <c r="J64" i="25"/>
  <c r="I64" i="25"/>
  <c r="H64" i="25"/>
  <c r="G64" i="25"/>
  <c r="F64" i="25"/>
  <c r="E64" i="25"/>
  <c r="D64" i="25"/>
  <c r="C64" i="25"/>
  <c r="B64" i="25"/>
  <c r="A64" i="25"/>
  <c r="L63" i="25"/>
  <c r="K63" i="25"/>
  <c r="J63" i="25"/>
  <c r="I63" i="25"/>
  <c r="H63" i="25"/>
  <c r="G63" i="25"/>
  <c r="F63" i="25"/>
  <c r="E63" i="25"/>
  <c r="D63" i="25"/>
  <c r="C63" i="25"/>
  <c r="B63" i="25"/>
  <c r="A63" i="25"/>
  <c r="L62" i="25"/>
  <c r="K62" i="25"/>
  <c r="J62" i="25"/>
  <c r="I62" i="25"/>
  <c r="H62" i="25"/>
  <c r="G62" i="25"/>
  <c r="F62" i="25"/>
  <c r="E62" i="25"/>
  <c r="D62" i="25"/>
  <c r="C62" i="25"/>
  <c r="B62" i="25"/>
  <c r="A62" i="25"/>
  <c r="L61" i="25"/>
  <c r="K61" i="25"/>
  <c r="J61" i="25"/>
  <c r="I61" i="25"/>
  <c r="H61" i="25"/>
  <c r="G61" i="25"/>
  <c r="F61" i="25"/>
  <c r="E61" i="25"/>
  <c r="D61" i="25"/>
  <c r="C61" i="25"/>
  <c r="B61" i="25"/>
  <c r="A61" i="25"/>
  <c r="L60" i="25"/>
  <c r="K60" i="25"/>
  <c r="J60" i="25"/>
  <c r="I60" i="25"/>
  <c r="H60" i="25"/>
  <c r="G60" i="25"/>
  <c r="F60" i="25"/>
  <c r="E60" i="25"/>
  <c r="D60" i="25"/>
  <c r="C60" i="25"/>
  <c r="B60" i="25"/>
  <c r="A60" i="25"/>
  <c r="L59" i="25"/>
  <c r="K59" i="25"/>
  <c r="J59" i="25"/>
  <c r="I59" i="25"/>
  <c r="H59" i="25"/>
  <c r="G59" i="25"/>
  <c r="F59" i="25"/>
  <c r="E59" i="25"/>
  <c r="D59" i="25"/>
  <c r="C59" i="25"/>
  <c r="B59" i="25"/>
  <c r="A59" i="25"/>
  <c r="L58" i="25"/>
  <c r="K58" i="25"/>
  <c r="J58" i="25"/>
  <c r="I58" i="25"/>
  <c r="H58" i="25"/>
  <c r="G58" i="25"/>
  <c r="F58" i="25"/>
  <c r="E58" i="25"/>
  <c r="D58" i="25"/>
  <c r="C58" i="25"/>
  <c r="B58" i="25"/>
  <c r="A58" i="25"/>
  <c r="L57" i="25"/>
  <c r="K57" i="25"/>
  <c r="J57" i="25"/>
  <c r="I57" i="25"/>
  <c r="H57" i="25"/>
  <c r="G57" i="25"/>
  <c r="F57" i="25"/>
  <c r="E57" i="25"/>
  <c r="D57" i="25"/>
  <c r="C57" i="25"/>
  <c r="B57" i="25"/>
  <c r="A57" i="25"/>
  <c r="L56" i="25"/>
  <c r="K56" i="25"/>
  <c r="J56" i="25"/>
  <c r="I56" i="25"/>
  <c r="H56" i="25"/>
  <c r="G56" i="25"/>
  <c r="F56" i="25"/>
  <c r="E56" i="25"/>
  <c r="D56" i="25"/>
  <c r="C56" i="25"/>
  <c r="B56" i="25"/>
  <c r="A56" i="25"/>
  <c r="L55" i="25"/>
  <c r="K55" i="25"/>
  <c r="J55" i="25"/>
  <c r="I55" i="25"/>
  <c r="H55" i="25"/>
  <c r="G55" i="25"/>
  <c r="F55" i="25"/>
  <c r="E55" i="25"/>
  <c r="D55" i="25"/>
  <c r="C55" i="25"/>
  <c r="B55" i="25"/>
  <c r="A55" i="25"/>
  <c r="L54" i="25"/>
  <c r="K54" i="25"/>
  <c r="J54" i="25"/>
  <c r="I54" i="25"/>
  <c r="H54" i="25"/>
  <c r="G54" i="25"/>
  <c r="F54" i="25"/>
  <c r="E54" i="25"/>
  <c r="D54" i="25"/>
  <c r="C54" i="25"/>
  <c r="B54" i="25"/>
  <c r="A54" i="25"/>
  <c r="L53" i="25"/>
  <c r="K53" i="25"/>
  <c r="J53" i="25"/>
  <c r="I53" i="25"/>
  <c r="H53" i="25"/>
  <c r="G53" i="25"/>
  <c r="F53" i="25"/>
  <c r="E53" i="25"/>
  <c r="D53" i="25"/>
  <c r="C53" i="25"/>
  <c r="B53" i="25"/>
  <c r="A53" i="25"/>
  <c r="L52" i="25"/>
  <c r="K52" i="25"/>
  <c r="J52" i="25"/>
  <c r="I52" i="25"/>
  <c r="H52" i="25"/>
  <c r="G52" i="25"/>
  <c r="F52" i="25"/>
  <c r="E52" i="25"/>
  <c r="D52" i="25"/>
  <c r="C52" i="25"/>
  <c r="B52" i="25"/>
  <c r="A52" i="25"/>
  <c r="L51" i="25"/>
  <c r="K51" i="25"/>
  <c r="J51" i="25"/>
  <c r="I51" i="25"/>
  <c r="H51" i="25"/>
  <c r="G51" i="25"/>
  <c r="F51" i="25"/>
  <c r="E51" i="25"/>
  <c r="D51" i="25"/>
  <c r="C51" i="25"/>
  <c r="B51" i="25"/>
  <c r="A51" i="25"/>
  <c r="L50" i="25"/>
  <c r="K50" i="25"/>
  <c r="J50" i="25"/>
  <c r="I50" i="25"/>
  <c r="H50" i="25"/>
  <c r="G50" i="25"/>
  <c r="F50" i="25"/>
  <c r="E50" i="25"/>
  <c r="D50" i="25"/>
  <c r="C50" i="25"/>
  <c r="B50" i="25"/>
  <c r="A50" i="25"/>
  <c r="L49" i="25"/>
  <c r="K49" i="25"/>
  <c r="J49" i="25"/>
  <c r="I49" i="25"/>
  <c r="H49" i="25"/>
  <c r="G49" i="25"/>
  <c r="F49" i="25"/>
  <c r="E49" i="25"/>
  <c r="D49" i="25"/>
  <c r="C49" i="25"/>
  <c r="B49" i="25"/>
  <c r="A49" i="25"/>
  <c r="L48" i="25"/>
  <c r="K48" i="25"/>
  <c r="J48" i="25"/>
  <c r="I48" i="25"/>
  <c r="H48" i="25"/>
  <c r="G48" i="25"/>
  <c r="F48" i="25"/>
  <c r="E48" i="25"/>
  <c r="D48" i="25"/>
  <c r="C48" i="25"/>
  <c r="B48" i="25"/>
  <c r="A48" i="25"/>
  <c r="L47" i="25"/>
  <c r="K47" i="25"/>
  <c r="J47" i="25"/>
  <c r="I47" i="25"/>
  <c r="H47" i="25"/>
  <c r="G47" i="25"/>
  <c r="F47" i="25"/>
  <c r="E47" i="25"/>
  <c r="D47" i="25"/>
  <c r="C47" i="25"/>
  <c r="B47" i="25"/>
  <c r="A47" i="25"/>
  <c r="L46" i="25"/>
  <c r="K46" i="25"/>
  <c r="J46" i="25"/>
  <c r="I46" i="25"/>
  <c r="H46" i="25"/>
  <c r="G46" i="25"/>
  <c r="F46" i="25"/>
  <c r="E46" i="25"/>
  <c r="D46" i="25"/>
  <c r="C46" i="25"/>
  <c r="B46" i="25"/>
  <c r="A46" i="25"/>
  <c r="L45" i="25"/>
  <c r="K45" i="25"/>
  <c r="J45" i="25"/>
  <c r="I45" i="25"/>
  <c r="H45" i="25"/>
  <c r="G45" i="25"/>
  <c r="F45" i="25"/>
  <c r="E45" i="25"/>
  <c r="D45" i="25"/>
  <c r="C45" i="25"/>
  <c r="B45" i="25"/>
  <c r="A45" i="25"/>
  <c r="L44" i="25"/>
  <c r="K44" i="25"/>
  <c r="J44" i="25"/>
  <c r="I44" i="25"/>
  <c r="H44" i="25"/>
  <c r="G44" i="25"/>
  <c r="F44" i="25"/>
  <c r="E44" i="25"/>
  <c r="D44" i="25"/>
  <c r="C44" i="25"/>
  <c r="B44" i="25"/>
  <c r="A44" i="25"/>
  <c r="L43" i="25"/>
  <c r="K43" i="25"/>
  <c r="J43" i="25"/>
  <c r="I43" i="25"/>
  <c r="H43" i="25"/>
  <c r="G43" i="25"/>
  <c r="F43" i="25"/>
  <c r="E43" i="25"/>
  <c r="D43" i="25"/>
  <c r="C43" i="25"/>
  <c r="B43" i="25"/>
  <c r="A43" i="25"/>
  <c r="L42" i="25"/>
  <c r="K42" i="25"/>
  <c r="J42" i="25"/>
  <c r="I42" i="25"/>
  <c r="H42" i="25"/>
  <c r="G42" i="25"/>
  <c r="F42" i="25"/>
  <c r="E42" i="25"/>
  <c r="D42" i="25"/>
  <c r="C42" i="25"/>
  <c r="B42" i="25"/>
  <c r="A42" i="25"/>
  <c r="L41" i="25"/>
  <c r="K41" i="25"/>
  <c r="J41" i="25"/>
  <c r="I41" i="25"/>
  <c r="H41" i="25"/>
  <c r="G41" i="25"/>
  <c r="F41" i="25"/>
  <c r="E41" i="25"/>
  <c r="D41" i="25"/>
  <c r="C41" i="25"/>
  <c r="B41" i="25"/>
  <c r="A41" i="25"/>
  <c r="L40" i="25"/>
  <c r="K40" i="25"/>
  <c r="J40" i="25"/>
  <c r="I40" i="25"/>
  <c r="H40" i="25"/>
  <c r="G40" i="25"/>
  <c r="F40" i="25"/>
  <c r="E40" i="25"/>
  <c r="D40" i="25"/>
  <c r="C40" i="25"/>
  <c r="B40" i="25"/>
  <c r="A40" i="25"/>
  <c r="L39" i="25"/>
  <c r="K39" i="25"/>
  <c r="J39" i="25"/>
  <c r="I39" i="25"/>
  <c r="H39" i="25"/>
  <c r="G39" i="25"/>
  <c r="F39" i="25"/>
  <c r="E39" i="25"/>
  <c r="D39" i="25"/>
  <c r="C39" i="25"/>
  <c r="B39" i="25"/>
  <c r="A39" i="25"/>
  <c r="L38" i="25"/>
  <c r="K38" i="25"/>
  <c r="J38" i="25"/>
  <c r="I38" i="25"/>
  <c r="H38" i="25"/>
  <c r="G38" i="25"/>
  <c r="F38" i="25"/>
  <c r="E38" i="25"/>
  <c r="D38" i="25"/>
  <c r="C38" i="25"/>
  <c r="B38" i="25"/>
  <c r="A38" i="25"/>
  <c r="L37" i="25"/>
  <c r="K37" i="25"/>
  <c r="J37" i="25"/>
  <c r="I37" i="25"/>
  <c r="H37" i="25"/>
  <c r="G37" i="25"/>
  <c r="F37" i="25"/>
  <c r="E37" i="25"/>
  <c r="D37" i="25"/>
  <c r="C37" i="25"/>
  <c r="B37" i="25"/>
  <c r="A37" i="25"/>
  <c r="L36" i="25"/>
  <c r="K36" i="25"/>
  <c r="J36" i="25"/>
  <c r="I36" i="25"/>
  <c r="H36" i="25"/>
  <c r="G36" i="25"/>
  <c r="F36" i="25"/>
  <c r="E36" i="25"/>
  <c r="D36" i="25"/>
  <c r="C36" i="25"/>
  <c r="B36" i="25"/>
  <c r="A36" i="25"/>
  <c r="L35" i="25"/>
  <c r="K35" i="25"/>
  <c r="J35" i="25"/>
  <c r="I35" i="25"/>
  <c r="H35" i="25"/>
  <c r="G35" i="25"/>
  <c r="F35" i="25"/>
  <c r="E35" i="25"/>
  <c r="D35" i="25"/>
  <c r="C35" i="25"/>
  <c r="B35" i="25"/>
  <c r="A35" i="25"/>
  <c r="L34" i="25"/>
  <c r="K34" i="25"/>
  <c r="J34" i="25"/>
  <c r="I34" i="25"/>
  <c r="H34" i="25"/>
  <c r="G34" i="25"/>
  <c r="F34" i="25"/>
  <c r="E34" i="25"/>
  <c r="D34" i="25"/>
  <c r="C34" i="25"/>
  <c r="B34" i="25"/>
  <c r="A34" i="25"/>
  <c r="L33" i="25"/>
  <c r="K33" i="25"/>
  <c r="J33" i="25"/>
  <c r="I33" i="25"/>
  <c r="H33" i="25"/>
  <c r="G33" i="25"/>
  <c r="F33" i="25"/>
  <c r="E33" i="25"/>
  <c r="D33" i="25"/>
  <c r="C33" i="25"/>
  <c r="B33" i="25"/>
  <c r="A33" i="25"/>
  <c r="L32" i="25"/>
  <c r="K32" i="25"/>
  <c r="J32" i="25"/>
  <c r="I32" i="25"/>
  <c r="H32" i="25"/>
  <c r="G32" i="25"/>
  <c r="F32" i="25"/>
  <c r="E32" i="25"/>
  <c r="D32" i="25"/>
  <c r="C32" i="25"/>
  <c r="B32" i="25"/>
  <c r="A32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L19" i="25"/>
  <c r="K19" i="25"/>
  <c r="J19" i="25"/>
  <c r="I19" i="25"/>
  <c r="H19" i="25"/>
  <c r="G19" i="25"/>
  <c r="F19" i="25"/>
  <c r="E19" i="25"/>
  <c r="D19" i="25"/>
  <c r="C19" i="25"/>
  <c r="B19" i="25"/>
  <c r="A19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L15" i="25"/>
  <c r="K15" i="25"/>
  <c r="J15" i="25"/>
  <c r="I15" i="25"/>
  <c r="H15" i="25"/>
  <c r="G15" i="25"/>
  <c r="F15" i="25"/>
  <c r="E15" i="25"/>
  <c r="D15" i="25"/>
  <c r="C15" i="25"/>
  <c r="B15" i="25"/>
  <c r="A15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L9" i="25"/>
  <c r="K9" i="25"/>
  <c r="J9" i="25"/>
  <c r="I9" i="25"/>
  <c r="H9" i="25"/>
  <c r="G9" i="25"/>
  <c r="F9" i="25"/>
  <c r="E9" i="25"/>
  <c r="D9" i="25"/>
  <c r="C9" i="25"/>
  <c r="B9" i="25"/>
  <c r="A9" i="25"/>
  <c r="L8" i="25"/>
  <c r="K8" i="25"/>
  <c r="J8" i="25"/>
  <c r="I8" i="25"/>
  <c r="H8" i="25"/>
  <c r="G8" i="25"/>
  <c r="F8" i="25"/>
  <c r="E8" i="25"/>
  <c r="D8" i="25"/>
  <c r="C8" i="25"/>
  <c r="B8" i="25"/>
  <c r="A8" i="25"/>
  <c r="L7" i="25"/>
  <c r="K7" i="25"/>
  <c r="J7" i="25"/>
  <c r="I7" i="25"/>
  <c r="H7" i="25"/>
  <c r="G7" i="25"/>
  <c r="F7" i="25"/>
  <c r="E7" i="25"/>
  <c r="D7" i="25"/>
  <c r="C7" i="25"/>
  <c r="B7" i="25"/>
  <c r="A7" i="25"/>
  <c r="L6" i="25"/>
  <c r="K6" i="25"/>
  <c r="J6" i="25"/>
  <c r="I6" i="25"/>
  <c r="H6" i="25"/>
  <c r="G6" i="25"/>
  <c r="F6" i="25"/>
  <c r="E6" i="25"/>
  <c r="D6" i="25"/>
  <c r="C6" i="25"/>
  <c r="B6" i="25"/>
  <c r="A6" i="25"/>
  <c r="L5" i="25"/>
  <c r="K5" i="25"/>
  <c r="J5" i="25"/>
  <c r="I5" i="25"/>
  <c r="H5" i="25"/>
  <c r="G5" i="25"/>
  <c r="F5" i="25"/>
  <c r="E5" i="25"/>
  <c r="D5" i="25"/>
  <c r="C5" i="25"/>
  <c r="B5" i="25"/>
  <c r="A5" i="25"/>
  <c r="L4" i="25"/>
  <c r="K4" i="25"/>
  <c r="J4" i="25"/>
  <c r="I4" i="25"/>
  <c r="H4" i="25"/>
  <c r="G4" i="25"/>
  <c r="F4" i="25"/>
  <c r="E4" i="25"/>
  <c r="D4" i="25"/>
  <c r="C4" i="25"/>
  <c r="B4" i="25"/>
  <c r="A4" i="25"/>
  <c r="L3" i="25"/>
  <c r="L1" i="25" s="1"/>
  <c r="K3" i="25"/>
  <c r="K1" i="25" s="1"/>
  <c r="J3" i="25"/>
  <c r="I3" i="25"/>
  <c r="H3" i="25"/>
  <c r="H1" i="25" s="1"/>
  <c r="G3" i="25"/>
  <c r="G1" i="25" s="1"/>
  <c r="F3" i="25"/>
  <c r="E3" i="25"/>
  <c r="D3" i="25"/>
  <c r="D1" i="25" s="1"/>
  <c r="C3" i="25"/>
  <c r="C1" i="25" s="1"/>
  <c r="B3" i="25"/>
  <c r="B2" i="25" s="1"/>
  <c r="A3" i="25"/>
  <c r="L2" i="25"/>
  <c r="K2" i="25"/>
  <c r="J2" i="25"/>
  <c r="I2" i="25"/>
  <c r="H2" i="25"/>
  <c r="G2" i="25"/>
  <c r="F2" i="25"/>
  <c r="E2" i="25"/>
  <c r="D2" i="25"/>
  <c r="C2" i="25"/>
  <c r="A2" i="25"/>
  <c r="J1" i="25"/>
  <c r="I1" i="25"/>
  <c r="F1" i="25"/>
  <c r="E1" i="25"/>
  <c r="B1" i="25"/>
  <c r="A1" i="25"/>
  <c r="L400" i="24"/>
  <c r="K400" i="24"/>
  <c r="J400" i="24"/>
  <c r="I400" i="24"/>
  <c r="H400" i="24"/>
  <c r="G400" i="24"/>
  <c r="F400" i="24"/>
  <c r="E400" i="24"/>
  <c r="D400" i="24"/>
  <c r="C400" i="24"/>
  <c r="B400" i="24"/>
  <c r="A400" i="24"/>
  <c r="L399" i="24"/>
  <c r="K399" i="24"/>
  <c r="J399" i="24"/>
  <c r="I399" i="24"/>
  <c r="H399" i="24"/>
  <c r="G399" i="24"/>
  <c r="F399" i="24"/>
  <c r="E399" i="24"/>
  <c r="D399" i="24"/>
  <c r="C399" i="24"/>
  <c r="B399" i="24"/>
  <c r="A399" i="24"/>
  <c r="L398" i="24"/>
  <c r="K398" i="24"/>
  <c r="J398" i="24"/>
  <c r="I398" i="24"/>
  <c r="H398" i="24"/>
  <c r="G398" i="24"/>
  <c r="F398" i="24"/>
  <c r="E398" i="24"/>
  <c r="D398" i="24"/>
  <c r="C398" i="24"/>
  <c r="B398" i="24"/>
  <c r="A398" i="24"/>
  <c r="L397" i="24"/>
  <c r="K397" i="24"/>
  <c r="J397" i="24"/>
  <c r="I397" i="24"/>
  <c r="H397" i="24"/>
  <c r="G397" i="24"/>
  <c r="F397" i="24"/>
  <c r="E397" i="24"/>
  <c r="D397" i="24"/>
  <c r="C397" i="24"/>
  <c r="B397" i="24"/>
  <c r="A397" i="24"/>
  <c r="L396" i="24"/>
  <c r="K396" i="24"/>
  <c r="J396" i="24"/>
  <c r="I396" i="24"/>
  <c r="H396" i="24"/>
  <c r="G396" i="24"/>
  <c r="F396" i="24"/>
  <c r="E396" i="24"/>
  <c r="D396" i="24"/>
  <c r="C396" i="24"/>
  <c r="B396" i="24"/>
  <c r="A396" i="24"/>
  <c r="L395" i="24"/>
  <c r="K395" i="24"/>
  <c r="J395" i="24"/>
  <c r="I395" i="24"/>
  <c r="H395" i="24"/>
  <c r="G395" i="24"/>
  <c r="F395" i="24"/>
  <c r="E395" i="24"/>
  <c r="D395" i="24"/>
  <c r="C395" i="24"/>
  <c r="B395" i="24"/>
  <c r="A395" i="24"/>
  <c r="L394" i="24"/>
  <c r="K394" i="24"/>
  <c r="J394" i="24"/>
  <c r="I394" i="24"/>
  <c r="H394" i="24"/>
  <c r="G394" i="24"/>
  <c r="F394" i="24"/>
  <c r="E394" i="24"/>
  <c r="D394" i="24"/>
  <c r="C394" i="24"/>
  <c r="B394" i="24"/>
  <c r="A394" i="24"/>
  <c r="L393" i="24"/>
  <c r="K393" i="24"/>
  <c r="J393" i="24"/>
  <c r="I393" i="24"/>
  <c r="H393" i="24"/>
  <c r="G393" i="24"/>
  <c r="F393" i="24"/>
  <c r="E393" i="24"/>
  <c r="D393" i="24"/>
  <c r="C393" i="24"/>
  <c r="B393" i="24"/>
  <c r="A393" i="24"/>
  <c r="L392" i="24"/>
  <c r="K392" i="24"/>
  <c r="J392" i="24"/>
  <c r="I392" i="24"/>
  <c r="H392" i="24"/>
  <c r="G392" i="24"/>
  <c r="F392" i="24"/>
  <c r="E392" i="24"/>
  <c r="D392" i="24"/>
  <c r="C392" i="24"/>
  <c r="B392" i="24"/>
  <c r="A392" i="24"/>
  <c r="L391" i="24"/>
  <c r="K391" i="24"/>
  <c r="J391" i="24"/>
  <c r="I391" i="24"/>
  <c r="H391" i="24"/>
  <c r="G391" i="24"/>
  <c r="F391" i="24"/>
  <c r="E391" i="24"/>
  <c r="D391" i="24"/>
  <c r="C391" i="24"/>
  <c r="B391" i="24"/>
  <c r="A391" i="24"/>
  <c r="L390" i="24"/>
  <c r="K390" i="24"/>
  <c r="J390" i="24"/>
  <c r="I390" i="24"/>
  <c r="H390" i="24"/>
  <c r="G390" i="24"/>
  <c r="F390" i="24"/>
  <c r="E390" i="24"/>
  <c r="D390" i="24"/>
  <c r="C390" i="24"/>
  <c r="B390" i="24"/>
  <c r="A390" i="24"/>
  <c r="L389" i="24"/>
  <c r="K389" i="24"/>
  <c r="J389" i="24"/>
  <c r="I389" i="24"/>
  <c r="H389" i="24"/>
  <c r="G389" i="24"/>
  <c r="F389" i="24"/>
  <c r="E389" i="24"/>
  <c r="D389" i="24"/>
  <c r="C389" i="24"/>
  <c r="B389" i="24"/>
  <c r="A389" i="24"/>
  <c r="L388" i="24"/>
  <c r="K388" i="24"/>
  <c r="J388" i="24"/>
  <c r="I388" i="24"/>
  <c r="H388" i="24"/>
  <c r="G388" i="24"/>
  <c r="F388" i="24"/>
  <c r="E388" i="24"/>
  <c r="D388" i="24"/>
  <c r="C388" i="24"/>
  <c r="B388" i="24"/>
  <c r="A388" i="24"/>
  <c r="L387" i="24"/>
  <c r="K387" i="24"/>
  <c r="J387" i="24"/>
  <c r="I387" i="24"/>
  <c r="H387" i="24"/>
  <c r="G387" i="24"/>
  <c r="F387" i="24"/>
  <c r="E387" i="24"/>
  <c r="D387" i="24"/>
  <c r="C387" i="24"/>
  <c r="B387" i="24"/>
  <c r="A387" i="24"/>
  <c r="L386" i="24"/>
  <c r="K386" i="24"/>
  <c r="J386" i="24"/>
  <c r="I386" i="24"/>
  <c r="H386" i="24"/>
  <c r="G386" i="24"/>
  <c r="F386" i="24"/>
  <c r="E386" i="24"/>
  <c r="D386" i="24"/>
  <c r="C386" i="24"/>
  <c r="B386" i="24"/>
  <c r="A386" i="24"/>
  <c r="L385" i="24"/>
  <c r="K385" i="24"/>
  <c r="J385" i="24"/>
  <c r="I385" i="24"/>
  <c r="H385" i="24"/>
  <c r="G385" i="24"/>
  <c r="F385" i="24"/>
  <c r="E385" i="24"/>
  <c r="D385" i="24"/>
  <c r="C385" i="24"/>
  <c r="B385" i="24"/>
  <c r="A385" i="24"/>
  <c r="L384" i="24"/>
  <c r="K384" i="24"/>
  <c r="J384" i="24"/>
  <c r="I384" i="24"/>
  <c r="H384" i="24"/>
  <c r="G384" i="24"/>
  <c r="F384" i="24"/>
  <c r="E384" i="24"/>
  <c r="D384" i="24"/>
  <c r="C384" i="24"/>
  <c r="B384" i="24"/>
  <c r="A384" i="24"/>
  <c r="L383" i="24"/>
  <c r="K383" i="24"/>
  <c r="J383" i="24"/>
  <c r="I383" i="24"/>
  <c r="H383" i="24"/>
  <c r="G383" i="24"/>
  <c r="F383" i="24"/>
  <c r="E383" i="24"/>
  <c r="D383" i="24"/>
  <c r="C383" i="24"/>
  <c r="B383" i="24"/>
  <c r="A383" i="24"/>
  <c r="L382" i="24"/>
  <c r="K382" i="24"/>
  <c r="J382" i="24"/>
  <c r="I382" i="24"/>
  <c r="H382" i="24"/>
  <c r="G382" i="24"/>
  <c r="F382" i="24"/>
  <c r="E382" i="24"/>
  <c r="D382" i="24"/>
  <c r="C382" i="24"/>
  <c r="B382" i="24"/>
  <c r="A382" i="24"/>
  <c r="L381" i="24"/>
  <c r="K381" i="24"/>
  <c r="J381" i="24"/>
  <c r="I381" i="24"/>
  <c r="H381" i="24"/>
  <c r="G381" i="24"/>
  <c r="F381" i="24"/>
  <c r="E381" i="24"/>
  <c r="D381" i="24"/>
  <c r="C381" i="24"/>
  <c r="B381" i="24"/>
  <c r="A381" i="24"/>
  <c r="L380" i="24"/>
  <c r="K380" i="24"/>
  <c r="J380" i="24"/>
  <c r="I380" i="24"/>
  <c r="H380" i="24"/>
  <c r="G380" i="24"/>
  <c r="F380" i="24"/>
  <c r="E380" i="24"/>
  <c r="D380" i="24"/>
  <c r="C380" i="24"/>
  <c r="B380" i="24"/>
  <c r="A380" i="24"/>
  <c r="L379" i="24"/>
  <c r="K379" i="24"/>
  <c r="J379" i="24"/>
  <c r="I379" i="24"/>
  <c r="H379" i="24"/>
  <c r="G379" i="24"/>
  <c r="F379" i="24"/>
  <c r="E379" i="24"/>
  <c r="D379" i="24"/>
  <c r="C379" i="24"/>
  <c r="B379" i="24"/>
  <c r="A379" i="24"/>
  <c r="L378" i="24"/>
  <c r="K378" i="24"/>
  <c r="J378" i="24"/>
  <c r="I378" i="24"/>
  <c r="H378" i="24"/>
  <c r="G378" i="24"/>
  <c r="F378" i="24"/>
  <c r="E378" i="24"/>
  <c r="D378" i="24"/>
  <c r="C378" i="24"/>
  <c r="B378" i="24"/>
  <c r="A378" i="24"/>
  <c r="L377" i="24"/>
  <c r="K377" i="24"/>
  <c r="J377" i="24"/>
  <c r="I377" i="24"/>
  <c r="H377" i="24"/>
  <c r="G377" i="24"/>
  <c r="F377" i="24"/>
  <c r="E377" i="24"/>
  <c r="D377" i="24"/>
  <c r="C377" i="24"/>
  <c r="B377" i="24"/>
  <c r="A377" i="24"/>
  <c r="L376" i="24"/>
  <c r="K376" i="24"/>
  <c r="J376" i="24"/>
  <c r="I376" i="24"/>
  <c r="H376" i="24"/>
  <c r="G376" i="24"/>
  <c r="F376" i="24"/>
  <c r="E376" i="24"/>
  <c r="D376" i="24"/>
  <c r="C376" i="24"/>
  <c r="B376" i="24"/>
  <c r="A376" i="24"/>
  <c r="L375" i="24"/>
  <c r="K375" i="24"/>
  <c r="J375" i="24"/>
  <c r="I375" i="24"/>
  <c r="H375" i="24"/>
  <c r="G375" i="24"/>
  <c r="F375" i="24"/>
  <c r="E375" i="24"/>
  <c r="D375" i="24"/>
  <c r="C375" i="24"/>
  <c r="B375" i="24"/>
  <c r="A375" i="24"/>
  <c r="L374" i="24"/>
  <c r="K374" i="24"/>
  <c r="J374" i="24"/>
  <c r="I374" i="24"/>
  <c r="H374" i="24"/>
  <c r="G374" i="24"/>
  <c r="F374" i="24"/>
  <c r="E374" i="24"/>
  <c r="D374" i="24"/>
  <c r="C374" i="24"/>
  <c r="B374" i="24"/>
  <c r="A374" i="24"/>
  <c r="L373" i="24"/>
  <c r="K373" i="24"/>
  <c r="J373" i="24"/>
  <c r="I373" i="24"/>
  <c r="H373" i="24"/>
  <c r="G373" i="24"/>
  <c r="F373" i="24"/>
  <c r="E373" i="24"/>
  <c r="D373" i="24"/>
  <c r="C373" i="24"/>
  <c r="B373" i="24"/>
  <c r="A373" i="24"/>
  <c r="L372" i="24"/>
  <c r="K372" i="24"/>
  <c r="J372" i="24"/>
  <c r="I372" i="24"/>
  <c r="H372" i="24"/>
  <c r="G372" i="24"/>
  <c r="F372" i="24"/>
  <c r="E372" i="24"/>
  <c r="D372" i="24"/>
  <c r="C372" i="24"/>
  <c r="B372" i="24"/>
  <c r="A372" i="24"/>
  <c r="L371" i="24"/>
  <c r="K371" i="24"/>
  <c r="J371" i="24"/>
  <c r="I371" i="24"/>
  <c r="H371" i="24"/>
  <c r="G371" i="24"/>
  <c r="F371" i="24"/>
  <c r="E371" i="24"/>
  <c r="D371" i="24"/>
  <c r="C371" i="24"/>
  <c r="B371" i="24"/>
  <c r="A371" i="24"/>
  <c r="L370" i="24"/>
  <c r="K370" i="24"/>
  <c r="J370" i="24"/>
  <c r="I370" i="24"/>
  <c r="H370" i="24"/>
  <c r="G370" i="24"/>
  <c r="F370" i="24"/>
  <c r="E370" i="24"/>
  <c r="D370" i="24"/>
  <c r="C370" i="24"/>
  <c r="B370" i="24"/>
  <c r="A370" i="24"/>
  <c r="L369" i="24"/>
  <c r="K369" i="24"/>
  <c r="J369" i="24"/>
  <c r="I369" i="24"/>
  <c r="H369" i="24"/>
  <c r="G369" i="24"/>
  <c r="F369" i="24"/>
  <c r="E369" i="24"/>
  <c r="D369" i="24"/>
  <c r="C369" i="24"/>
  <c r="B369" i="24"/>
  <c r="A369" i="24"/>
  <c r="L368" i="24"/>
  <c r="K368" i="24"/>
  <c r="J368" i="24"/>
  <c r="I368" i="24"/>
  <c r="H368" i="24"/>
  <c r="G368" i="24"/>
  <c r="F368" i="24"/>
  <c r="E368" i="24"/>
  <c r="D368" i="24"/>
  <c r="C368" i="24"/>
  <c r="B368" i="24"/>
  <c r="A368" i="24"/>
  <c r="L367" i="24"/>
  <c r="K367" i="24"/>
  <c r="J367" i="24"/>
  <c r="I367" i="24"/>
  <c r="H367" i="24"/>
  <c r="G367" i="24"/>
  <c r="F367" i="24"/>
  <c r="E367" i="24"/>
  <c r="D367" i="24"/>
  <c r="C367" i="24"/>
  <c r="B367" i="24"/>
  <c r="A367" i="24"/>
  <c r="L366" i="24"/>
  <c r="K366" i="24"/>
  <c r="J366" i="24"/>
  <c r="I366" i="24"/>
  <c r="H366" i="24"/>
  <c r="G366" i="24"/>
  <c r="F366" i="24"/>
  <c r="E366" i="24"/>
  <c r="D366" i="24"/>
  <c r="C366" i="24"/>
  <c r="B366" i="24"/>
  <c r="A366" i="24"/>
  <c r="L365" i="24"/>
  <c r="K365" i="24"/>
  <c r="J365" i="24"/>
  <c r="I365" i="24"/>
  <c r="H365" i="24"/>
  <c r="G365" i="24"/>
  <c r="F365" i="24"/>
  <c r="E365" i="24"/>
  <c r="D365" i="24"/>
  <c r="C365" i="24"/>
  <c r="B365" i="24"/>
  <c r="A365" i="24"/>
  <c r="L364" i="24"/>
  <c r="K364" i="24"/>
  <c r="J364" i="24"/>
  <c r="I364" i="24"/>
  <c r="H364" i="24"/>
  <c r="G364" i="24"/>
  <c r="F364" i="24"/>
  <c r="E364" i="24"/>
  <c r="D364" i="24"/>
  <c r="C364" i="24"/>
  <c r="B364" i="24"/>
  <c r="A364" i="24"/>
  <c r="L363" i="24"/>
  <c r="K363" i="24"/>
  <c r="J363" i="24"/>
  <c r="I363" i="24"/>
  <c r="H363" i="24"/>
  <c r="G363" i="24"/>
  <c r="F363" i="24"/>
  <c r="E363" i="24"/>
  <c r="D363" i="24"/>
  <c r="C363" i="24"/>
  <c r="B363" i="24"/>
  <c r="A363" i="24"/>
  <c r="L362" i="24"/>
  <c r="K362" i="24"/>
  <c r="J362" i="24"/>
  <c r="I362" i="24"/>
  <c r="H362" i="24"/>
  <c r="G362" i="24"/>
  <c r="F362" i="24"/>
  <c r="E362" i="24"/>
  <c r="D362" i="24"/>
  <c r="C362" i="24"/>
  <c r="B362" i="24"/>
  <c r="A362" i="24"/>
  <c r="L361" i="24"/>
  <c r="K361" i="24"/>
  <c r="J361" i="24"/>
  <c r="I361" i="24"/>
  <c r="H361" i="24"/>
  <c r="G361" i="24"/>
  <c r="F361" i="24"/>
  <c r="E361" i="24"/>
  <c r="D361" i="24"/>
  <c r="C361" i="24"/>
  <c r="B361" i="24"/>
  <c r="A361" i="24"/>
  <c r="L360" i="24"/>
  <c r="K360" i="24"/>
  <c r="J360" i="24"/>
  <c r="I360" i="24"/>
  <c r="H360" i="24"/>
  <c r="G360" i="24"/>
  <c r="F360" i="24"/>
  <c r="E360" i="24"/>
  <c r="D360" i="24"/>
  <c r="C360" i="24"/>
  <c r="B360" i="24"/>
  <c r="A360" i="24"/>
  <c r="L359" i="24"/>
  <c r="K359" i="24"/>
  <c r="J359" i="24"/>
  <c r="I359" i="24"/>
  <c r="H359" i="24"/>
  <c r="G359" i="24"/>
  <c r="F359" i="24"/>
  <c r="E359" i="24"/>
  <c r="D359" i="24"/>
  <c r="C359" i="24"/>
  <c r="B359" i="24"/>
  <c r="A359" i="24"/>
  <c r="L358" i="24"/>
  <c r="K358" i="24"/>
  <c r="J358" i="24"/>
  <c r="I358" i="24"/>
  <c r="H358" i="24"/>
  <c r="G358" i="24"/>
  <c r="F358" i="24"/>
  <c r="E358" i="24"/>
  <c r="D358" i="24"/>
  <c r="C358" i="24"/>
  <c r="B358" i="24"/>
  <c r="A358" i="24"/>
  <c r="L357" i="24"/>
  <c r="K357" i="24"/>
  <c r="J357" i="24"/>
  <c r="I357" i="24"/>
  <c r="H357" i="24"/>
  <c r="G357" i="24"/>
  <c r="F357" i="24"/>
  <c r="E357" i="24"/>
  <c r="D357" i="24"/>
  <c r="C357" i="24"/>
  <c r="B357" i="24"/>
  <c r="A357" i="24"/>
  <c r="L356" i="24"/>
  <c r="K356" i="24"/>
  <c r="J356" i="24"/>
  <c r="I356" i="24"/>
  <c r="H356" i="24"/>
  <c r="G356" i="24"/>
  <c r="F356" i="24"/>
  <c r="E356" i="24"/>
  <c r="D356" i="24"/>
  <c r="C356" i="24"/>
  <c r="B356" i="24"/>
  <c r="A356" i="24"/>
  <c r="L355" i="24"/>
  <c r="K355" i="24"/>
  <c r="J355" i="24"/>
  <c r="I355" i="24"/>
  <c r="H355" i="24"/>
  <c r="G355" i="24"/>
  <c r="F355" i="24"/>
  <c r="E355" i="24"/>
  <c r="D355" i="24"/>
  <c r="C355" i="24"/>
  <c r="B355" i="24"/>
  <c r="A355" i="24"/>
  <c r="L354" i="24"/>
  <c r="K354" i="24"/>
  <c r="J354" i="24"/>
  <c r="I354" i="24"/>
  <c r="H354" i="24"/>
  <c r="G354" i="24"/>
  <c r="F354" i="24"/>
  <c r="E354" i="24"/>
  <c r="D354" i="24"/>
  <c r="C354" i="24"/>
  <c r="B354" i="24"/>
  <c r="A354" i="24"/>
  <c r="L353" i="24"/>
  <c r="K353" i="24"/>
  <c r="J353" i="24"/>
  <c r="I353" i="24"/>
  <c r="H353" i="24"/>
  <c r="G353" i="24"/>
  <c r="F353" i="24"/>
  <c r="E353" i="24"/>
  <c r="D353" i="24"/>
  <c r="C353" i="24"/>
  <c r="B353" i="24"/>
  <c r="A353" i="24"/>
  <c r="L352" i="24"/>
  <c r="K352" i="24"/>
  <c r="J352" i="24"/>
  <c r="I352" i="24"/>
  <c r="H352" i="24"/>
  <c r="G352" i="24"/>
  <c r="F352" i="24"/>
  <c r="E352" i="24"/>
  <c r="D352" i="24"/>
  <c r="C352" i="24"/>
  <c r="B352" i="24"/>
  <c r="A352" i="24"/>
  <c r="L351" i="24"/>
  <c r="K351" i="24"/>
  <c r="J351" i="24"/>
  <c r="I351" i="24"/>
  <c r="H351" i="24"/>
  <c r="G351" i="24"/>
  <c r="F351" i="24"/>
  <c r="E351" i="24"/>
  <c r="D351" i="24"/>
  <c r="C351" i="24"/>
  <c r="B351" i="24"/>
  <c r="A351" i="24"/>
  <c r="L350" i="24"/>
  <c r="K350" i="24"/>
  <c r="J350" i="24"/>
  <c r="I350" i="24"/>
  <c r="H350" i="24"/>
  <c r="G350" i="24"/>
  <c r="F350" i="24"/>
  <c r="E350" i="24"/>
  <c r="D350" i="24"/>
  <c r="C350" i="24"/>
  <c r="B350" i="24"/>
  <c r="A350" i="24"/>
  <c r="L349" i="24"/>
  <c r="K349" i="24"/>
  <c r="J349" i="24"/>
  <c r="I349" i="24"/>
  <c r="H349" i="24"/>
  <c r="G349" i="24"/>
  <c r="F349" i="24"/>
  <c r="E349" i="24"/>
  <c r="D349" i="24"/>
  <c r="C349" i="24"/>
  <c r="B349" i="24"/>
  <c r="A349" i="24"/>
  <c r="L348" i="24"/>
  <c r="K348" i="24"/>
  <c r="J348" i="24"/>
  <c r="I348" i="24"/>
  <c r="H348" i="24"/>
  <c r="G348" i="24"/>
  <c r="F348" i="24"/>
  <c r="E348" i="24"/>
  <c r="D348" i="24"/>
  <c r="C348" i="24"/>
  <c r="B348" i="24"/>
  <c r="A348" i="24"/>
  <c r="L347" i="24"/>
  <c r="K347" i="24"/>
  <c r="J347" i="24"/>
  <c r="I347" i="24"/>
  <c r="H347" i="24"/>
  <c r="G347" i="24"/>
  <c r="F347" i="24"/>
  <c r="E347" i="24"/>
  <c r="D347" i="24"/>
  <c r="C347" i="24"/>
  <c r="B347" i="24"/>
  <c r="A347" i="24"/>
  <c r="L346" i="24"/>
  <c r="K346" i="24"/>
  <c r="J346" i="24"/>
  <c r="I346" i="24"/>
  <c r="H346" i="24"/>
  <c r="G346" i="24"/>
  <c r="F346" i="24"/>
  <c r="E346" i="24"/>
  <c r="D346" i="24"/>
  <c r="C346" i="24"/>
  <c r="B346" i="24"/>
  <c r="A346" i="24"/>
  <c r="L345" i="24"/>
  <c r="K345" i="24"/>
  <c r="J345" i="24"/>
  <c r="I345" i="24"/>
  <c r="H345" i="24"/>
  <c r="G345" i="24"/>
  <c r="F345" i="24"/>
  <c r="E345" i="24"/>
  <c r="D345" i="24"/>
  <c r="C345" i="24"/>
  <c r="B345" i="24"/>
  <c r="A345" i="24"/>
  <c r="L344" i="24"/>
  <c r="K344" i="24"/>
  <c r="J344" i="24"/>
  <c r="I344" i="24"/>
  <c r="H344" i="24"/>
  <c r="G344" i="24"/>
  <c r="F344" i="24"/>
  <c r="E344" i="24"/>
  <c r="D344" i="24"/>
  <c r="C344" i="24"/>
  <c r="B344" i="24"/>
  <c r="A344" i="24"/>
  <c r="L343" i="24"/>
  <c r="K343" i="24"/>
  <c r="J343" i="24"/>
  <c r="I343" i="24"/>
  <c r="H343" i="24"/>
  <c r="G343" i="24"/>
  <c r="F343" i="24"/>
  <c r="E343" i="24"/>
  <c r="D343" i="24"/>
  <c r="C343" i="24"/>
  <c r="B343" i="24"/>
  <c r="A343" i="24"/>
  <c r="L342" i="24"/>
  <c r="K342" i="24"/>
  <c r="J342" i="24"/>
  <c r="I342" i="24"/>
  <c r="H342" i="24"/>
  <c r="G342" i="24"/>
  <c r="F342" i="24"/>
  <c r="E342" i="24"/>
  <c r="D342" i="24"/>
  <c r="C342" i="24"/>
  <c r="B342" i="24"/>
  <c r="A342" i="24"/>
  <c r="L341" i="24"/>
  <c r="K341" i="24"/>
  <c r="J341" i="24"/>
  <c r="I341" i="24"/>
  <c r="H341" i="24"/>
  <c r="G341" i="24"/>
  <c r="F341" i="24"/>
  <c r="E341" i="24"/>
  <c r="D341" i="24"/>
  <c r="C341" i="24"/>
  <c r="B341" i="24"/>
  <c r="A341" i="24"/>
  <c r="L340" i="24"/>
  <c r="K340" i="24"/>
  <c r="J340" i="24"/>
  <c r="I340" i="24"/>
  <c r="H340" i="24"/>
  <c r="G340" i="24"/>
  <c r="F340" i="24"/>
  <c r="E340" i="24"/>
  <c r="D340" i="24"/>
  <c r="C340" i="24"/>
  <c r="B340" i="24"/>
  <c r="A340" i="24"/>
  <c r="L339" i="24"/>
  <c r="K339" i="24"/>
  <c r="J339" i="24"/>
  <c r="I339" i="24"/>
  <c r="H339" i="24"/>
  <c r="G339" i="24"/>
  <c r="F339" i="24"/>
  <c r="E339" i="24"/>
  <c r="D339" i="24"/>
  <c r="C339" i="24"/>
  <c r="B339" i="24"/>
  <c r="A339" i="24"/>
  <c r="L338" i="24"/>
  <c r="K338" i="24"/>
  <c r="J338" i="24"/>
  <c r="I338" i="24"/>
  <c r="H338" i="24"/>
  <c r="G338" i="24"/>
  <c r="F338" i="24"/>
  <c r="E338" i="24"/>
  <c r="D338" i="24"/>
  <c r="C338" i="24"/>
  <c r="B338" i="24"/>
  <c r="A338" i="24"/>
  <c r="L337" i="24"/>
  <c r="K337" i="24"/>
  <c r="J337" i="24"/>
  <c r="I337" i="24"/>
  <c r="H337" i="24"/>
  <c r="G337" i="24"/>
  <c r="F337" i="24"/>
  <c r="E337" i="24"/>
  <c r="D337" i="24"/>
  <c r="C337" i="24"/>
  <c r="B337" i="24"/>
  <c r="A337" i="24"/>
  <c r="L336" i="24"/>
  <c r="K336" i="24"/>
  <c r="J336" i="24"/>
  <c r="I336" i="24"/>
  <c r="H336" i="24"/>
  <c r="G336" i="24"/>
  <c r="F336" i="24"/>
  <c r="E336" i="24"/>
  <c r="D336" i="24"/>
  <c r="C336" i="24"/>
  <c r="B336" i="24"/>
  <c r="A336" i="24"/>
  <c r="L335" i="24"/>
  <c r="K335" i="24"/>
  <c r="J335" i="24"/>
  <c r="I335" i="24"/>
  <c r="H335" i="24"/>
  <c r="G335" i="24"/>
  <c r="F335" i="24"/>
  <c r="E335" i="24"/>
  <c r="D335" i="24"/>
  <c r="C335" i="24"/>
  <c r="B335" i="24"/>
  <c r="A335" i="24"/>
  <c r="L334" i="24"/>
  <c r="K334" i="24"/>
  <c r="J334" i="24"/>
  <c r="I334" i="24"/>
  <c r="H334" i="24"/>
  <c r="G334" i="24"/>
  <c r="F334" i="24"/>
  <c r="E334" i="24"/>
  <c r="D334" i="24"/>
  <c r="C334" i="24"/>
  <c r="B334" i="24"/>
  <c r="A334" i="24"/>
  <c r="L333" i="24"/>
  <c r="K333" i="24"/>
  <c r="J333" i="24"/>
  <c r="I333" i="24"/>
  <c r="H333" i="24"/>
  <c r="G333" i="24"/>
  <c r="F333" i="24"/>
  <c r="E333" i="24"/>
  <c r="D333" i="24"/>
  <c r="C333" i="24"/>
  <c r="B333" i="24"/>
  <c r="A333" i="24"/>
  <c r="L332" i="24"/>
  <c r="K332" i="24"/>
  <c r="J332" i="24"/>
  <c r="I332" i="24"/>
  <c r="H332" i="24"/>
  <c r="G332" i="24"/>
  <c r="F332" i="24"/>
  <c r="E332" i="24"/>
  <c r="D332" i="24"/>
  <c r="C332" i="24"/>
  <c r="B332" i="24"/>
  <c r="A332" i="24"/>
  <c r="L331" i="24"/>
  <c r="K331" i="24"/>
  <c r="J331" i="24"/>
  <c r="I331" i="24"/>
  <c r="H331" i="24"/>
  <c r="G331" i="24"/>
  <c r="F331" i="24"/>
  <c r="E331" i="24"/>
  <c r="D331" i="24"/>
  <c r="C331" i="24"/>
  <c r="B331" i="24"/>
  <c r="A331" i="24"/>
  <c r="L330" i="24"/>
  <c r="K330" i="24"/>
  <c r="J330" i="24"/>
  <c r="I330" i="24"/>
  <c r="H330" i="24"/>
  <c r="G330" i="24"/>
  <c r="F330" i="24"/>
  <c r="E330" i="24"/>
  <c r="D330" i="24"/>
  <c r="C330" i="24"/>
  <c r="B330" i="24"/>
  <c r="A330" i="24"/>
  <c r="L329" i="24"/>
  <c r="K329" i="24"/>
  <c r="J329" i="24"/>
  <c r="I329" i="24"/>
  <c r="H329" i="24"/>
  <c r="G329" i="24"/>
  <c r="F329" i="24"/>
  <c r="E329" i="24"/>
  <c r="D329" i="24"/>
  <c r="C329" i="24"/>
  <c r="B329" i="24"/>
  <c r="A329" i="24"/>
  <c r="L328" i="24"/>
  <c r="K328" i="24"/>
  <c r="J328" i="24"/>
  <c r="I328" i="24"/>
  <c r="H328" i="24"/>
  <c r="G328" i="24"/>
  <c r="F328" i="24"/>
  <c r="E328" i="24"/>
  <c r="D328" i="24"/>
  <c r="C328" i="24"/>
  <c r="B328" i="24"/>
  <c r="A328" i="24"/>
  <c r="L327" i="24"/>
  <c r="K327" i="24"/>
  <c r="J327" i="24"/>
  <c r="I327" i="24"/>
  <c r="H327" i="24"/>
  <c r="G327" i="24"/>
  <c r="F327" i="24"/>
  <c r="E327" i="24"/>
  <c r="D327" i="24"/>
  <c r="C327" i="24"/>
  <c r="B327" i="24"/>
  <c r="A327" i="24"/>
  <c r="L326" i="24"/>
  <c r="K326" i="24"/>
  <c r="J326" i="24"/>
  <c r="I326" i="24"/>
  <c r="H326" i="24"/>
  <c r="G326" i="24"/>
  <c r="F326" i="24"/>
  <c r="E326" i="24"/>
  <c r="D326" i="24"/>
  <c r="C326" i="24"/>
  <c r="B326" i="24"/>
  <c r="A326" i="24"/>
  <c r="L325" i="24"/>
  <c r="K325" i="24"/>
  <c r="J325" i="24"/>
  <c r="I325" i="24"/>
  <c r="H325" i="24"/>
  <c r="G325" i="24"/>
  <c r="F325" i="24"/>
  <c r="E325" i="24"/>
  <c r="D325" i="24"/>
  <c r="C325" i="24"/>
  <c r="B325" i="24"/>
  <c r="A325" i="24"/>
  <c r="L324" i="24"/>
  <c r="K324" i="24"/>
  <c r="J324" i="24"/>
  <c r="I324" i="24"/>
  <c r="H324" i="24"/>
  <c r="G324" i="24"/>
  <c r="F324" i="24"/>
  <c r="E324" i="24"/>
  <c r="D324" i="24"/>
  <c r="C324" i="24"/>
  <c r="B324" i="24"/>
  <c r="A324" i="24"/>
  <c r="L323" i="24"/>
  <c r="K323" i="24"/>
  <c r="J323" i="24"/>
  <c r="I323" i="24"/>
  <c r="H323" i="24"/>
  <c r="G323" i="24"/>
  <c r="F323" i="24"/>
  <c r="E323" i="24"/>
  <c r="D323" i="24"/>
  <c r="C323" i="24"/>
  <c r="B323" i="24"/>
  <c r="A323" i="24"/>
  <c r="L322" i="24"/>
  <c r="K322" i="24"/>
  <c r="J322" i="24"/>
  <c r="I322" i="24"/>
  <c r="H322" i="24"/>
  <c r="G322" i="24"/>
  <c r="F322" i="24"/>
  <c r="E322" i="24"/>
  <c r="D322" i="24"/>
  <c r="C322" i="24"/>
  <c r="B322" i="24"/>
  <c r="A322" i="24"/>
  <c r="L321" i="24"/>
  <c r="K321" i="24"/>
  <c r="J321" i="24"/>
  <c r="I321" i="24"/>
  <c r="H321" i="24"/>
  <c r="G321" i="24"/>
  <c r="F321" i="24"/>
  <c r="E321" i="24"/>
  <c r="D321" i="24"/>
  <c r="C321" i="24"/>
  <c r="B321" i="24"/>
  <c r="A321" i="24"/>
  <c r="L320" i="24"/>
  <c r="K320" i="24"/>
  <c r="J320" i="24"/>
  <c r="I320" i="24"/>
  <c r="H320" i="24"/>
  <c r="G320" i="24"/>
  <c r="F320" i="24"/>
  <c r="E320" i="24"/>
  <c r="D320" i="24"/>
  <c r="C320" i="24"/>
  <c r="B320" i="24"/>
  <c r="A320" i="24"/>
  <c r="L319" i="24"/>
  <c r="K319" i="24"/>
  <c r="J319" i="24"/>
  <c r="I319" i="24"/>
  <c r="H319" i="24"/>
  <c r="G319" i="24"/>
  <c r="F319" i="24"/>
  <c r="E319" i="24"/>
  <c r="D319" i="24"/>
  <c r="C319" i="24"/>
  <c r="B319" i="24"/>
  <c r="A319" i="24"/>
  <c r="L318" i="24"/>
  <c r="K318" i="24"/>
  <c r="J318" i="24"/>
  <c r="I318" i="24"/>
  <c r="H318" i="24"/>
  <c r="G318" i="24"/>
  <c r="F318" i="24"/>
  <c r="E318" i="24"/>
  <c r="D318" i="24"/>
  <c r="C318" i="24"/>
  <c r="B318" i="24"/>
  <c r="A318" i="24"/>
  <c r="L317" i="24"/>
  <c r="K317" i="24"/>
  <c r="J317" i="24"/>
  <c r="I317" i="24"/>
  <c r="H317" i="24"/>
  <c r="G317" i="24"/>
  <c r="F317" i="24"/>
  <c r="E317" i="24"/>
  <c r="D317" i="24"/>
  <c r="C317" i="24"/>
  <c r="B317" i="24"/>
  <c r="A317" i="24"/>
  <c r="L316" i="24"/>
  <c r="K316" i="24"/>
  <c r="J316" i="24"/>
  <c r="I316" i="24"/>
  <c r="H316" i="24"/>
  <c r="G316" i="24"/>
  <c r="F316" i="24"/>
  <c r="E316" i="24"/>
  <c r="D316" i="24"/>
  <c r="C316" i="24"/>
  <c r="B316" i="24"/>
  <c r="A316" i="24"/>
  <c r="L315" i="24"/>
  <c r="K315" i="24"/>
  <c r="J315" i="24"/>
  <c r="I315" i="24"/>
  <c r="H315" i="24"/>
  <c r="G315" i="24"/>
  <c r="F315" i="24"/>
  <c r="E315" i="24"/>
  <c r="D315" i="24"/>
  <c r="C315" i="24"/>
  <c r="B315" i="24"/>
  <c r="A315" i="24"/>
  <c r="L314" i="24"/>
  <c r="K314" i="24"/>
  <c r="J314" i="24"/>
  <c r="I314" i="24"/>
  <c r="H314" i="24"/>
  <c r="G314" i="24"/>
  <c r="F314" i="24"/>
  <c r="E314" i="24"/>
  <c r="D314" i="24"/>
  <c r="C314" i="24"/>
  <c r="B314" i="24"/>
  <c r="A314" i="24"/>
  <c r="L313" i="24"/>
  <c r="K313" i="24"/>
  <c r="J313" i="24"/>
  <c r="I313" i="24"/>
  <c r="H313" i="24"/>
  <c r="G313" i="24"/>
  <c r="F313" i="24"/>
  <c r="E313" i="24"/>
  <c r="D313" i="24"/>
  <c r="C313" i="24"/>
  <c r="B313" i="24"/>
  <c r="A313" i="24"/>
  <c r="L312" i="24"/>
  <c r="K312" i="24"/>
  <c r="J312" i="24"/>
  <c r="I312" i="24"/>
  <c r="H312" i="24"/>
  <c r="G312" i="24"/>
  <c r="F312" i="24"/>
  <c r="E312" i="24"/>
  <c r="D312" i="24"/>
  <c r="C312" i="24"/>
  <c r="B312" i="24"/>
  <c r="A312" i="24"/>
  <c r="L311" i="24"/>
  <c r="K311" i="24"/>
  <c r="J311" i="24"/>
  <c r="I311" i="24"/>
  <c r="H311" i="24"/>
  <c r="G311" i="24"/>
  <c r="F311" i="24"/>
  <c r="E311" i="24"/>
  <c r="D311" i="24"/>
  <c r="C311" i="24"/>
  <c r="B311" i="24"/>
  <c r="A311" i="24"/>
  <c r="L310" i="24"/>
  <c r="K310" i="24"/>
  <c r="J310" i="24"/>
  <c r="I310" i="24"/>
  <c r="H310" i="24"/>
  <c r="G310" i="24"/>
  <c r="F310" i="24"/>
  <c r="E310" i="24"/>
  <c r="D310" i="24"/>
  <c r="C310" i="24"/>
  <c r="B310" i="24"/>
  <c r="A310" i="24"/>
  <c r="L309" i="24"/>
  <c r="K309" i="24"/>
  <c r="J309" i="24"/>
  <c r="I309" i="24"/>
  <c r="H309" i="24"/>
  <c r="G309" i="24"/>
  <c r="F309" i="24"/>
  <c r="E309" i="24"/>
  <c r="D309" i="24"/>
  <c r="C309" i="24"/>
  <c r="B309" i="24"/>
  <c r="A309" i="24"/>
  <c r="L308" i="24"/>
  <c r="K308" i="24"/>
  <c r="J308" i="24"/>
  <c r="I308" i="24"/>
  <c r="H308" i="24"/>
  <c r="G308" i="24"/>
  <c r="F308" i="24"/>
  <c r="E308" i="24"/>
  <c r="D308" i="24"/>
  <c r="C308" i="24"/>
  <c r="B308" i="24"/>
  <c r="A308" i="24"/>
  <c r="L307" i="24"/>
  <c r="K307" i="24"/>
  <c r="J307" i="24"/>
  <c r="I307" i="24"/>
  <c r="H307" i="24"/>
  <c r="G307" i="24"/>
  <c r="F307" i="24"/>
  <c r="E307" i="24"/>
  <c r="D307" i="24"/>
  <c r="C307" i="24"/>
  <c r="B307" i="24"/>
  <c r="A307" i="24"/>
  <c r="L306" i="24"/>
  <c r="K306" i="24"/>
  <c r="J306" i="24"/>
  <c r="I306" i="24"/>
  <c r="H306" i="24"/>
  <c r="G306" i="24"/>
  <c r="F306" i="24"/>
  <c r="E306" i="24"/>
  <c r="D306" i="24"/>
  <c r="C306" i="24"/>
  <c r="B306" i="24"/>
  <c r="A306" i="24"/>
  <c r="L305" i="24"/>
  <c r="K305" i="24"/>
  <c r="J305" i="24"/>
  <c r="I305" i="24"/>
  <c r="H305" i="24"/>
  <c r="G305" i="24"/>
  <c r="F305" i="24"/>
  <c r="E305" i="24"/>
  <c r="D305" i="24"/>
  <c r="C305" i="24"/>
  <c r="B305" i="24"/>
  <c r="A305" i="24"/>
  <c r="L304" i="24"/>
  <c r="K304" i="24"/>
  <c r="J304" i="24"/>
  <c r="I304" i="24"/>
  <c r="H304" i="24"/>
  <c r="G304" i="24"/>
  <c r="F304" i="24"/>
  <c r="E304" i="24"/>
  <c r="D304" i="24"/>
  <c r="C304" i="24"/>
  <c r="B304" i="24"/>
  <c r="A304" i="24"/>
  <c r="L303" i="24"/>
  <c r="K303" i="24"/>
  <c r="J303" i="24"/>
  <c r="I303" i="24"/>
  <c r="H303" i="24"/>
  <c r="G303" i="24"/>
  <c r="F303" i="24"/>
  <c r="E303" i="24"/>
  <c r="D303" i="24"/>
  <c r="C303" i="24"/>
  <c r="B303" i="24"/>
  <c r="A303" i="24"/>
  <c r="L302" i="24"/>
  <c r="K302" i="24"/>
  <c r="J302" i="24"/>
  <c r="I302" i="24"/>
  <c r="H302" i="24"/>
  <c r="G302" i="24"/>
  <c r="F302" i="24"/>
  <c r="E302" i="24"/>
  <c r="D302" i="24"/>
  <c r="C302" i="24"/>
  <c r="B302" i="24"/>
  <c r="A302" i="24"/>
  <c r="L301" i="24"/>
  <c r="K301" i="24"/>
  <c r="J301" i="24"/>
  <c r="I301" i="24"/>
  <c r="H301" i="24"/>
  <c r="G301" i="24"/>
  <c r="F301" i="24"/>
  <c r="E301" i="24"/>
  <c r="D301" i="24"/>
  <c r="C301" i="24"/>
  <c r="B301" i="24"/>
  <c r="A301" i="24"/>
  <c r="L300" i="24"/>
  <c r="K300" i="24"/>
  <c r="J300" i="24"/>
  <c r="I300" i="24"/>
  <c r="H300" i="24"/>
  <c r="G300" i="24"/>
  <c r="F300" i="24"/>
  <c r="E300" i="24"/>
  <c r="D300" i="24"/>
  <c r="C300" i="24"/>
  <c r="B300" i="24"/>
  <c r="A300" i="24"/>
  <c r="L299" i="24"/>
  <c r="K299" i="24"/>
  <c r="J299" i="24"/>
  <c r="I299" i="24"/>
  <c r="H299" i="24"/>
  <c r="G299" i="24"/>
  <c r="F299" i="24"/>
  <c r="E299" i="24"/>
  <c r="D299" i="24"/>
  <c r="C299" i="24"/>
  <c r="B299" i="24"/>
  <c r="A299" i="24"/>
  <c r="L298" i="24"/>
  <c r="K298" i="24"/>
  <c r="J298" i="24"/>
  <c r="I298" i="24"/>
  <c r="H298" i="24"/>
  <c r="G298" i="24"/>
  <c r="F298" i="24"/>
  <c r="E298" i="24"/>
  <c r="D298" i="24"/>
  <c r="C298" i="24"/>
  <c r="B298" i="24"/>
  <c r="A298" i="24"/>
  <c r="L297" i="24"/>
  <c r="K297" i="24"/>
  <c r="J297" i="24"/>
  <c r="I297" i="24"/>
  <c r="H297" i="24"/>
  <c r="G297" i="24"/>
  <c r="F297" i="24"/>
  <c r="E297" i="24"/>
  <c r="D297" i="24"/>
  <c r="C297" i="24"/>
  <c r="B297" i="24"/>
  <c r="A297" i="24"/>
  <c r="L296" i="24"/>
  <c r="K296" i="24"/>
  <c r="J296" i="24"/>
  <c r="I296" i="24"/>
  <c r="H296" i="24"/>
  <c r="G296" i="24"/>
  <c r="F296" i="24"/>
  <c r="E296" i="24"/>
  <c r="D296" i="24"/>
  <c r="C296" i="24"/>
  <c r="B296" i="24"/>
  <c r="A296" i="24"/>
  <c r="L295" i="24"/>
  <c r="K295" i="24"/>
  <c r="J295" i="24"/>
  <c r="I295" i="24"/>
  <c r="H295" i="24"/>
  <c r="G295" i="24"/>
  <c r="F295" i="24"/>
  <c r="E295" i="24"/>
  <c r="D295" i="24"/>
  <c r="C295" i="24"/>
  <c r="B295" i="24"/>
  <c r="A295" i="24"/>
  <c r="L294" i="24"/>
  <c r="K294" i="24"/>
  <c r="J294" i="24"/>
  <c r="I294" i="24"/>
  <c r="H294" i="24"/>
  <c r="G294" i="24"/>
  <c r="F294" i="24"/>
  <c r="E294" i="24"/>
  <c r="D294" i="24"/>
  <c r="C294" i="24"/>
  <c r="B294" i="24"/>
  <c r="A294" i="24"/>
  <c r="L293" i="24"/>
  <c r="K293" i="24"/>
  <c r="J293" i="24"/>
  <c r="I293" i="24"/>
  <c r="H293" i="24"/>
  <c r="G293" i="24"/>
  <c r="F293" i="24"/>
  <c r="E293" i="24"/>
  <c r="D293" i="24"/>
  <c r="C293" i="24"/>
  <c r="B293" i="24"/>
  <c r="A293" i="24"/>
  <c r="L292" i="24"/>
  <c r="K292" i="24"/>
  <c r="J292" i="24"/>
  <c r="I292" i="24"/>
  <c r="H292" i="24"/>
  <c r="G292" i="24"/>
  <c r="F292" i="24"/>
  <c r="E292" i="24"/>
  <c r="D292" i="24"/>
  <c r="C292" i="24"/>
  <c r="B292" i="24"/>
  <c r="A292" i="24"/>
  <c r="L291" i="24"/>
  <c r="K291" i="24"/>
  <c r="J291" i="24"/>
  <c r="I291" i="24"/>
  <c r="H291" i="24"/>
  <c r="G291" i="24"/>
  <c r="F291" i="24"/>
  <c r="E291" i="24"/>
  <c r="D291" i="24"/>
  <c r="C291" i="24"/>
  <c r="B291" i="24"/>
  <c r="A291" i="24"/>
  <c r="L290" i="24"/>
  <c r="K290" i="24"/>
  <c r="J290" i="24"/>
  <c r="I290" i="24"/>
  <c r="H290" i="24"/>
  <c r="G290" i="24"/>
  <c r="F290" i="24"/>
  <c r="E290" i="24"/>
  <c r="D290" i="24"/>
  <c r="C290" i="24"/>
  <c r="B290" i="24"/>
  <c r="A290" i="24"/>
  <c r="L289" i="24"/>
  <c r="K289" i="24"/>
  <c r="J289" i="24"/>
  <c r="I289" i="24"/>
  <c r="H289" i="24"/>
  <c r="G289" i="24"/>
  <c r="F289" i="24"/>
  <c r="E289" i="24"/>
  <c r="D289" i="24"/>
  <c r="C289" i="24"/>
  <c r="B289" i="24"/>
  <c r="A289" i="24"/>
  <c r="L288" i="24"/>
  <c r="K288" i="24"/>
  <c r="J288" i="24"/>
  <c r="I288" i="24"/>
  <c r="H288" i="24"/>
  <c r="G288" i="24"/>
  <c r="F288" i="24"/>
  <c r="E288" i="24"/>
  <c r="D288" i="24"/>
  <c r="C288" i="24"/>
  <c r="B288" i="24"/>
  <c r="A288" i="24"/>
  <c r="L287" i="24"/>
  <c r="K287" i="24"/>
  <c r="J287" i="24"/>
  <c r="I287" i="24"/>
  <c r="H287" i="24"/>
  <c r="G287" i="24"/>
  <c r="F287" i="24"/>
  <c r="E287" i="24"/>
  <c r="D287" i="24"/>
  <c r="C287" i="24"/>
  <c r="B287" i="24"/>
  <c r="A287" i="24"/>
  <c r="L286" i="24"/>
  <c r="K286" i="24"/>
  <c r="J286" i="24"/>
  <c r="I286" i="24"/>
  <c r="H286" i="24"/>
  <c r="G286" i="24"/>
  <c r="F286" i="24"/>
  <c r="E286" i="24"/>
  <c r="D286" i="24"/>
  <c r="C286" i="24"/>
  <c r="B286" i="24"/>
  <c r="A286" i="24"/>
  <c r="L285" i="24"/>
  <c r="K285" i="24"/>
  <c r="J285" i="24"/>
  <c r="I285" i="24"/>
  <c r="H285" i="24"/>
  <c r="G285" i="24"/>
  <c r="F285" i="24"/>
  <c r="E285" i="24"/>
  <c r="D285" i="24"/>
  <c r="C285" i="24"/>
  <c r="B285" i="24"/>
  <c r="A285" i="24"/>
  <c r="L284" i="24"/>
  <c r="K284" i="24"/>
  <c r="J284" i="24"/>
  <c r="I284" i="24"/>
  <c r="H284" i="24"/>
  <c r="G284" i="24"/>
  <c r="F284" i="24"/>
  <c r="E284" i="24"/>
  <c r="D284" i="24"/>
  <c r="C284" i="24"/>
  <c r="B284" i="24"/>
  <c r="A284" i="24"/>
  <c r="L283" i="24"/>
  <c r="K283" i="24"/>
  <c r="J283" i="24"/>
  <c r="I283" i="24"/>
  <c r="H283" i="24"/>
  <c r="G283" i="24"/>
  <c r="F283" i="24"/>
  <c r="E283" i="24"/>
  <c r="D283" i="24"/>
  <c r="C283" i="24"/>
  <c r="B283" i="24"/>
  <c r="A283" i="24"/>
  <c r="L282" i="24"/>
  <c r="K282" i="24"/>
  <c r="J282" i="24"/>
  <c r="I282" i="24"/>
  <c r="H282" i="24"/>
  <c r="G282" i="24"/>
  <c r="F282" i="24"/>
  <c r="E282" i="24"/>
  <c r="D282" i="24"/>
  <c r="C282" i="24"/>
  <c r="B282" i="24"/>
  <c r="A282" i="24"/>
  <c r="L281" i="24"/>
  <c r="K281" i="24"/>
  <c r="J281" i="24"/>
  <c r="I281" i="24"/>
  <c r="H281" i="24"/>
  <c r="G281" i="24"/>
  <c r="F281" i="24"/>
  <c r="E281" i="24"/>
  <c r="D281" i="24"/>
  <c r="C281" i="24"/>
  <c r="B281" i="24"/>
  <c r="A281" i="24"/>
  <c r="L280" i="24"/>
  <c r="K280" i="24"/>
  <c r="J280" i="24"/>
  <c r="I280" i="24"/>
  <c r="H280" i="24"/>
  <c r="G280" i="24"/>
  <c r="F280" i="24"/>
  <c r="E280" i="24"/>
  <c r="D280" i="24"/>
  <c r="C280" i="24"/>
  <c r="B280" i="24"/>
  <c r="A280" i="24"/>
  <c r="L279" i="24"/>
  <c r="K279" i="24"/>
  <c r="J279" i="24"/>
  <c r="I279" i="24"/>
  <c r="H279" i="24"/>
  <c r="G279" i="24"/>
  <c r="F279" i="24"/>
  <c r="E279" i="24"/>
  <c r="D279" i="24"/>
  <c r="C279" i="24"/>
  <c r="B279" i="24"/>
  <c r="A279" i="24"/>
  <c r="L278" i="24"/>
  <c r="K278" i="24"/>
  <c r="J278" i="24"/>
  <c r="I278" i="24"/>
  <c r="H278" i="24"/>
  <c r="G278" i="24"/>
  <c r="F278" i="24"/>
  <c r="E278" i="24"/>
  <c r="D278" i="24"/>
  <c r="C278" i="24"/>
  <c r="B278" i="24"/>
  <c r="A278" i="24"/>
  <c r="L277" i="24"/>
  <c r="K277" i="24"/>
  <c r="J277" i="24"/>
  <c r="I277" i="24"/>
  <c r="H277" i="24"/>
  <c r="G277" i="24"/>
  <c r="F277" i="24"/>
  <c r="E277" i="24"/>
  <c r="D277" i="24"/>
  <c r="C277" i="24"/>
  <c r="B277" i="24"/>
  <c r="A277" i="24"/>
  <c r="L276" i="24"/>
  <c r="K276" i="24"/>
  <c r="J276" i="24"/>
  <c r="I276" i="24"/>
  <c r="H276" i="24"/>
  <c r="G276" i="24"/>
  <c r="F276" i="24"/>
  <c r="E276" i="24"/>
  <c r="D276" i="24"/>
  <c r="C276" i="24"/>
  <c r="B276" i="24"/>
  <c r="A276" i="24"/>
  <c r="L275" i="24"/>
  <c r="K275" i="24"/>
  <c r="J275" i="24"/>
  <c r="I275" i="24"/>
  <c r="H275" i="24"/>
  <c r="G275" i="24"/>
  <c r="F275" i="24"/>
  <c r="E275" i="24"/>
  <c r="D275" i="24"/>
  <c r="C275" i="24"/>
  <c r="B275" i="24"/>
  <c r="A275" i="24"/>
  <c r="L274" i="24"/>
  <c r="K274" i="24"/>
  <c r="J274" i="24"/>
  <c r="I274" i="24"/>
  <c r="H274" i="24"/>
  <c r="G274" i="24"/>
  <c r="F274" i="24"/>
  <c r="E274" i="24"/>
  <c r="D274" i="24"/>
  <c r="C274" i="24"/>
  <c r="B274" i="24"/>
  <c r="A274" i="24"/>
  <c r="L273" i="24"/>
  <c r="K273" i="24"/>
  <c r="J273" i="24"/>
  <c r="I273" i="24"/>
  <c r="H273" i="24"/>
  <c r="G273" i="24"/>
  <c r="F273" i="24"/>
  <c r="E273" i="24"/>
  <c r="D273" i="24"/>
  <c r="C273" i="24"/>
  <c r="B273" i="24"/>
  <c r="A273" i="24"/>
  <c r="L272" i="24"/>
  <c r="K272" i="24"/>
  <c r="J272" i="24"/>
  <c r="I272" i="24"/>
  <c r="H272" i="24"/>
  <c r="G272" i="24"/>
  <c r="F272" i="24"/>
  <c r="E272" i="24"/>
  <c r="D272" i="24"/>
  <c r="C272" i="24"/>
  <c r="B272" i="24"/>
  <c r="A272" i="24"/>
  <c r="L271" i="24"/>
  <c r="K271" i="24"/>
  <c r="J271" i="24"/>
  <c r="I271" i="24"/>
  <c r="H271" i="24"/>
  <c r="G271" i="24"/>
  <c r="F271" i="24"/>
  <c r="E271" i="24"/>
  <c r="D271" i="24"/>
  <c r="C271" i="24"/>
  <c r="B271" i="24"/>
  <c r="A271" i="24"/>
  <c r="L270" i="24"/>
  <c r="K270" i="24"/>
  <c r="J270" i="24"/>
  <c r="I270" i="24"/>
  <c r="H270" i="24"/>
  <c r="G270" i="24"/>
  <c r="F270" i="24"/>
  <c r="E270" i="24"/>
  <c r="D270" i="24"/>
  <c r="C270" i="24"/>
  <c r="B270" i="24"/>
  <c r="A270" i="24"/>
  <c r="L269" i="24"/>
  <c r="K269" i="24"/>
  <c r="J269" i="24"/>
  <c r="I269" i="24"/>
  <c r="H269" i="24"/>
  <c r="G269" i="24"/>
  <c r="F269" i="24"/>
  <c r="E269" i="24"/>
  <c r="D269" i="24"/>
  <c r="C269" i="24"/>
  <c r="B269" i="24"/>
  <c r="A269" i="24"/>
  <c r="L268" i="24"/>
  <c r="K268" i="24"/>
  <c r="J268" i="24"/>
  <c r="I268" i="24"/>
  <c r="H268" i="24"/>
  <c r="G268" i="24"/>
  <c r="F268" i="24"/>
  <c r="E268" i="24"/>
  <c r="D268" i="24"/>
  <c r="C268" i="24"/>
  <c r="B268" i="24"/>
  <c r="A268" i="24"/>
  <c r="L267" i="24"/>
  <c r="K267" i="24"/>
  <c r="J267" i="24"/>
  <c r="I267" i="24"/>
  <c r="H267" i="24"/>
  <c r="G267" i="24"/>
  <c r="F267" i="24"/>
  <c r="E267" i="24"/>
  <c r="D267" i="24"/>
  <c r="C267" i="24"/>
  <c r="B267" i="24"/>
  <c r="A267" i="24"/>
  <c r="L266" i="24"/>
  <c r="K266" i="24"/>
  <c r="J266" i="24"/>
  <c r="I266" i="24"/>
  <c r="H266" i="24"/>
  <c r="G266" i="24"/>
  <c r="F266" i="24"/>
  <c r="E266" i="24"/>
  <c r="D266" i="24"/>
  <c r="C266" i="24"/>
  <c r="B266" i="24"/>
  <c r="A266" i="24"/>
  <c r="L265" i="24"/>
  <c r="K265" i="24"/>
  <c r="J265" i="24"/>
  <c r="I265" i="24"/>
  <c r="H265" i="24"/>
  <c r="G265" i="24"/>
  <c r="F265" i="24"/>
  <c r="E265" i="24"/>
  <c r="D265" i="24"/>
  <c r="C265" i="24"/>
  <c r="B265" i="24"/>
  <c r="A265" i="24"/>
  <c r="L264" i="24"/>
  <c r="K264" i="24"/>
  <c r="J264" i="24"/>
  <c r="I264" i="24"/>
  <c r="H264" i="24"/>
  <c r="G264" i="24"/>
  <c r="F264" i="24"/>
  <c r="E264" i="24"/>
  <c r="D264" i="24"/>
  <c r="C264" i="24"/>
  <c r="B264" i="24"/>
  <c r="A264" i="24"/>
  <c r="L263" i="24"/>
  <c r="K263" i="24"/>
  <c r="J263" i="24"/>
  <c r="I263" i="24"/>
  <c r="H263" i="24"/>
  <c r="G263" i="24"/>
  <c r="F263" i="24"/>
  <c r="E263" i="24"/>
  <c r="D263" i="24"/>
  <c r="C263" i="24"/>
  <c r="B263" i="24"/>
  <c r="A263" i="24"/>
  <c r="L262" i="24"/>
  <c r="K262" i="24"/>
  <c r="J262" i="24"/>
  <c r="I262" i="24"/>
  <c r="H262" i="24"/>
  <c r="G262" i="24"/>
  <c r="F262" i="24"/>
  <c r="E262" i="24"/>
  <c r="D262" i="24"/>
  <c r="C262" i="24"/>
  <c r="B262" i="24"/>
  <c r="A262" i="24"/>
  <c r="L261" i="24"/>
  <c r="K261" i="24"/>
  <c r="J261" i="24"/>
  <c r="I261" i="24"/>
  <c r="H261" i="24"/>
  <c r="G261" i="24"/>
  <c r="F261" i="24"/>
  <c r="E261" i="24"/>
  <c r="D261" i="24"/>
  <c r="C261" i="24"/>
  <c r="B261" i="24"/>
  <c r="A261" i="24"/>
  <c r="L260" i="24"/>
  <c r="K260" i="24"/>
  <c r="J260" i="24"/>
  <c r="I260" i="24"/>
  <c r="H260" i="24"/>
  <c r="G260" i="24"/>
  <c r="F260" i="24"/>
  <c r="E260" i="24"/>
  <c r="D260" i="24"/>
  <c r="C260" i="24"/>
  <c r="B260" i="24"/>
  <c r="A260" i="24"/>
  <c r="L259" i="24"/>
  <c r="K259" i="24"/>
  <c r="J259" i="24"/>
  <c r="I259" i="24"/>
  <c r="H259" i="24"/>
  <c r="G259" i="24"/>
  <c r="F259" i="24"/>
  <c r="E259" i="24"/>
  <c r="D259" i="24"/>
  <c r="C259" i="24"/>
  <c r="B259" i="24"/>
  <c r="A259" i="24"/>
  <c r="L258" i="24"/>
  <c r="K258" i="24"/>
  <c r="J258" i="24"/>
  <c r="I258" i="24"/>
  <c r="H258" i="24"/>
  <c r="G258" i="24"/>
  <c r="F258" i="24"/>
  <c r="E258" i="24"/>
  <c r="D258" i="24"/>
  <c r="C258" i="24"/>
  <c r="B258" i="24"/>
  <c r="A258" i="24"/>
  <c r="L257" i="24"/>
  <c r="K257" i="24"/>
  <c r="J257" i="24"/>
  <c r="I257" i="24"/>
  <c r="H257" i="24"/>
  <c r="G257" i="24"/>
  <c r="F257" i="24"/>
  <c r="E257" i="24"/>
  <c r="D257" i="24"/>
  <c r="C257" i="24"/>
  <c r="B257" i="24"/>
  <c r="A257" i="24"/>
  <c r="L256" i="24"/>
  <c r="K256" i="24"/>
  <c r="J256" i="24"/>
  <c r="I256" i="24"/>
  <c r="H256" i="24"/>
  <c r="G256" i="24"/>
  <c r="F256" i="24"/>
  <c r="E256" i="24"/>
  <c r="D256" i="24"/>
  <c r="C256" i="24"/>
  <c r="B256" i="24"/>
  <c r="A256" i="24"/>
  <c r="L255" i="24"/>
  <c r="K255" i="24"/>
  <c r="J255" i="24"/>
  <c r="I255" i="24"/>
  <c r="H255" i="24"/>
  <c r="G255" i="24"/>
  <c r="F255" i="24"/>
  <c r="E255" i="24"/>
  <c r="D255" i="24"/>
  <c r="C255" i="24"/>
  <c r="B255" i="24"/>
  <c r="A255" i="24"/>
  <c r="L254" i="24"/>
  <c r="K254" i="24"/>
  <c r="J254" i="24"/>
  <c r="I254" i="24"/>
  <c r="H254" i="24"/>
  <c r="G254" i="24"/>
  <c r="F254" i="24"/>
  <c r="E254" i="24"/>
  <c r="D254" i="24"/>
  <c r="C254" i="24"/>
  <c r="B254" i="24"/>
  <c r="A254" i="24"/>
  <c r="L253" i="24"/>
  <c r="K253" i="24"/>
  <c r="J253" i="24"/>
  <c r="I253" i="24"/>
  <c r="H253" i="24"/>
  <c r="G253" i="24"/>
  <c r="F253" i="24"/>
  <c r="E253" i="24"/>
  <c r="D253" i="24"/>
  <c r="C253" i="24"/>
  <c r="B253" i="24"/>
  <c r="A253" i="24"/>
  <c r="L252" i="24"/>
  <c r="K252" i="24"/>
  <c r="J252" i="24"/>
  <c r="I252" i="24"/>
  <c r="H252" i="24"/>
  <c r="G252" i="24"/>
  <c r="F252" i="24"/>
  <c r="E252" i="24"/>
  <c r="D252" i="24"/>
  <c r="C252" i="24"/>
  <c r="B252" i="24"/>
  <c r="A252" i="24"/>
  <c r="L251" i="24"/>
  <c r="K251" i="24"/>
  <c r="J251" i="24"/>
  <c r="I251" i="24"/>
  <c r="H251" i="24"/>
  <c r="G251" i="24"/>
  <c r="F251" i="24"/>
  <c r="E251" i="24"/>
  <c r="D251" i="24"/>
  <c r="C251" i="24"/>
  <c r="B251" i="24"/>
  <c r="A251" i="24"/>
  <c r="L250" i="24"/>
  <c r="K250" i="24"/>
  <c r="J250" i="24"/>
  <c r="I250" i="24"/>
  <c r="H250" i="24"/>
  <c r="G250" i="24"/>
  <c r="F250" i="24"/>
  <c r="E250" i="24"/>
  <c r="D250" i="24"/>
  <c r="C250" i="24"/>
  <c r="B250" i="24"/>
  <c r="A250" i="24"/>
  <c r="L249" i="24"/>
  <c r="K249" i="24"/>
  <c r="J249" i="24"/>
  <c r="I249" i="24"/>
  <c r="H249" i="24"/>
  <c r="G249" i="24"/>
  <c r="F249" i="24"/>
  <c r="E249" i="24"/>
  <c r="D249" i="24"/>
  <c r="C249" i="24"/>
  <c r="B249" i="24"/>
  <c r="A249" i="24"/>
  <c r="L248" i="24"/>
  <c r="K248" i="24"/>
  <c r="J248" i="24"/>
  <c r="I248" i="24"/>
  <c r="H248" i="24"/>
  <c r="G248" i="24"/>
  <c r="F248" i="24"/>
  <c r="E248" i="24"/>
  <c r="D248" i="24"/>
  <c r="C248" i="24"/>
  <c r="B248" i="24"/>
  <c r="A248" i="24"/>
  <c r="L247" i="24"/>
  <c r="K247" i="24"/>
  <c r="J247" i="24"/>
  <c r="I247" i="24"/>
  <c r="H247" i="24"/>
  <c r="G247" i="24"/>
  <c r="F247" i="24"/>
  <c r="E247" i="24"/>
  <c r="D247" i="24"/>
  <c r="C247" i="24"/>
  <c r="B247" i="24"/>
  <c r="A247" i="24"/>
  <c r="L246" i="24"/>
  <c r="K246" i="24"/>
  <c r="J246" i="24"/>
  <c r="I246" i="24"/>
  <c r="H246" i="24"/>
  <c r="G246" i="24"/>
  <c r="F246" i="24"/>
  <c r="E246" i="24"/>
  <c r="D246" i="24"/>
  <c r="C246" i="24"/>
  <c r="B246" i="24"/>
  <c r="A246" i="24"/>
  <c r="L245" i="24"/>
  <c r="K245" i="24"/>
  <c r="J245" i="24"/>
  <c r="I245" i="24"/>
  <c r="H245" i="24"/>
  <c r="G245" i="24"/>
  <c r="F245" i="24"/>
  <c r="E245" i="24"/>
  <c r="D245" i="24"/>
  <c r="C245" i="24"/>
  <c r="B245" i="24"/>
  <c r="A245" i="24"/>
  <c r="L244" i="24"/>
  <c r="K244" i="24"/>
  <c r="J244" i="24"/>
  <c r="I244" i="24"/>
  <c r="H244" i="24"/>
  <c r="G244" i="24"/>
  <c r="F244" i="24"/>
  <c r="E244" i="24"/>
  <c r="D244" i="24"/>
  <c r="C244" i="24"/>
  <c r="B244" i="24"/>
  <c r="A244" i="24"/>
  <c r="L243" i="24"/>
  <c r="K243" i="24"/>
  <c r="J243" i="24"/>
  <c r="I243" i="24"/>
  <c r="H243" i="24"/>
  <c r="G243" i="24"/>
  <c r="F243" i="24"/>
  <c r="E243" i="24"/>
  <c r="D243" i="24"/>
  <c r="C243" i="24"/>
  <c r="B243" i="24"/>
  <c r="A243" i="24"/>
  <c r="L242" i="24"/>
  <c r="K242" i="24"/>
  <c r="J242" i="24"/>
  <c r="I242" i="24"/>
  <c r="H242" i="24"/>
  <c r="G242" i="24"/>
  <c r="F242" i="24"/>
  <c r="E242" i="24"/>
  <c r="D242" i="24"/>
  <c r="C242" i="24"/>
  <c r="B242" i="24"/>
  <c r="A242" i="24"/>
  <c r="L241" i="24"/>
  <c r="K241" i="24"/>
  <c r="J241" i="24"/>
  <c r="I241" i="24"/>
  <c r="H241" i="24"/>
  <c r="G241" i="24"/>
  <c r="F241" i="24"/>
  <c r="E241" i="24"/>
  <c r="D241" i="24"/>
  <c r="C241" i="24"/>
  <c r="B241" i="24"/>
  <c r="A241" i="24"/>
  <c r="L240" i="24"/>
  <c r="K240" i="24"/>
  <c r="J240" i="24"/>
  <c r="I240" i="24"/>
  <c r="H240" i="24"/>
  <c r="G240" i="24"/>
  <c r="F240" i="24"/>
  <c r="E240" i="24"/>
  <c r="D240" i="24"/>
  <c r="C240" i="24"/>
  <c r="B240" i="24"/>
  <c r="A240" i="24"/>
  <c r="L239" i="24"/>
  <c r="K239" i="24"/>
  <c r="J239" i="24"/>
  <c r="I239" i="24"/>
  <c r="H239" i="24"/>
  <c r="G239" i="24"/>
  <c r="F239" i="24"/>
  <c r="E239" i="24"/>
  <c r="D239" i="24"/>
  <c r="C239" i="24"/>
  <c r="B239" i="24"/>
  <c r="A239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L235" i="24"/>
  <c r="K235" i="24"/>
  <c r="J235" i="24"/>
  <c r="I235" i="24"/>
  <c r="H235" i="24"/>
  <c r="G235" i="24"/>
  <c r="F235" i="24"/>
  <c r="E235" i="24"/>
  <c r="D235" i="24"/>
  <c r="C235" i="24"/>
  <c r="B235" i="24"/>
  <c r="A235" i="24"/>
  <c r="L234" i="24"/>
  <c r="K234" i="24"/>
  <c r="J234" i="24"/>
  <c r="I234" i="24"/>
  <c r="H234" i="24"/>
  <c r="G234" i="24"/>
  <c r="F234" i="24"/>
  <c r="E234" i="24"/>
  <c r="D234" i="24"/>
  <c r="C234" i="24"/>
  <c r="B234" i="24"/>
  <c r="A234" i="24"/>
  <c r="L233" i="24"/>
  <c r="K233" i="24"/>
  <c r="J233" i="24"/>
  <c r="I233" i="24"/>
  <c r="H233" i="24"/>
  <c r="G233" i="24"/>
  <c r="F233" i="24"/>
  <c r="E233" i="24"/>
  <c r="D233" i="24"/>
  <c r="C233" i="24"/>
  <c r="B233" i="24"/>
  <c r="A233" i="24"/>
  <c r="L232" i="24"/>
  <c r="K232" i="24"/>
  <c r="J232" i="24"/>
  <c r="I232" i="24"/>
  <c r="H232" i="24"/>
  <c r="G232" i="24"/>
  <c r="F232" i="24"/>
  <c r="E232" i="24"/>
  <c r="D232" i="24"/>
  <c r="C232" i="24"/>
  <c r="B232" i="24"/>
  <c r="A232" i="24"/>
  <c r="L231" i="24"/>
  <c r="K231" i="24"/>
  <c r="J231" i="24"/>
  <c r="I231" i="24"/>
  <c r="H231" i="24"/>
  <c r="G231" i="24"/>
  <c r="F231" i="24"/>
  <c r="E231" i="24"/>
  <c r="D231" i="24"/>
  <c r="C231" i="24"/>
  <c r="B231" i="24"/>
  <c r="A231" i="24"/>
  <c r="L230" i="24"/>
  <c r="K230" i="24"/>
  <c r="J230" i="24"/>
  <c r="I230" i="24"/>
  <c r="H230" i="24"/>
  <c r="G230" i="24"/>
  <c r="F230" i="24"/>
  <c r="E230" i="24"/>
  <c r="D230" i="24"/>
  <c r="C230" i="24"/>
  <c r="B230" i="24"/>
  <c r="A230" i="24"/>
  <c r="L229" i="24"/>
  <c r="K229" i="24"/>
  <c r="J229" i="24"/>
  <c r="I229" i="24"/>
  <c r="H229" i="24"/>
  <c r="G229" i="24"/>
  <c r="F229" i="24"/>
  <c r="E229" i="24"/>
  <c r="D229" i="24"/>
  <c r="C229" i="24"/>
  <c r="B229" i="24"/>
  <c r="A229" i="24"/>
  <c r="L228" i="24"/>
  <c r="K228" i="24"/>
  <c r="J228" i="24"/>
  <c r="I228" i="24"/>
  <c r="H228" i="24"/>
  <c r="G228" i="24"/>
  <c r="F228" i="24"/>
  <c r="E228" i="24"/>
  <c r="D228" i="24"/>
  <c r="C228" i="24"/>
  <c r="B228" i="24"/>
  <c r="A228" i="24"/>
  <c r="L227" i="24"/>
  <c r="K227" i="24"/>
  <c r="J227" i="24"/>
  <c r="I227" i="24"/>
  <c r="H227" i="24"/>
  <c r="G227" i="24"/>
  <c r="F227" i="24"/>
  <c r="E227" i="24"/>
  <c r="D227" i="24"/>
  <c r="C227" i="24"/>
  <c r="B227" i="24"/>
  <c r="A227" i="24"/>
  <c r="L226" i="24"/>
  <c r="K226" i="24"/>
  <c r="J226" i="24"/>
  <c r="I226" i="24"/>
  <c r="H226" i="24"/>
  <c r="G226" i="24"/>
  <c r="F226" i="24"/>
  <c r="E226" i="24"/>
  <c r="D226" i="24"/>
  <c r="C226" i="24"/>
  <c r="B226" i="24"/>
  <c r="A226" i="24"/>
  <c r="L225" i="24"/>
  <c r="K225" i="24"/>
  <c r="J225" i="24"/>
  <c r="I225" i="24"/>
  <c r="H225" i="24"/>
  <c r="G225" i="24"/>
  <c r="F225" i="24"/>
  <c r="E225" i="24"/>
  <c r="D225" i="24"/>
  <c r="C225" i="24"/>
  <c r="B225" i="24"/>
  <c r="A225" i="24"/>
  <c r="L224" i="24"/>
  <c r="K224" i="24"/>
  <c r="J224" i="24"/>
  <c r="I224" i="24"/>
  <c r="H224" i="24"/>
  <c r="G224" i="24"/>
  <c r="F224" i="24"/>
  <c r="E224" i="24"/>
  <c r="D224" i="24"/>
  <c r="C224" i="24"/>
  <c r="B224" i="24"/>
  <c r="A224" i="24"/>
  <c r="L223" i="24"/>
  <c r="K223" i="24"/>
  <c r="J223" i="24"/>
  <c r="I223" i="24"/>
  <c r="H223" i="24"/>
  <c r="G223" i="24"/>
  <c r="F223" i="24"/>
  <c r="E223" i="24"/>
  <c r="D223" i="24"/>
  <c r="C223" i="24"/>
  <c r="B223" i="24"/>
  <c r="A223" i="24"/>
  <c r="L222" i="24"/>
  <c r="K222" i="24"/>
  <c r="J222" i="24"/>
  <c r="I222" i="24"/>
  <c r="H222" i="24"/>
  <c r="G222" i="24"/>
  <c r="F222" i="24"/>
  <c r="E222" i="24"/>
  <c r="D222" i="24"/>
  <c r="C222" i="24"/>
  <c r="B222" i="24"/>
  <c r="A222" i="24"/>
  <c r="L221" i="24"/>
  <c r="K221" i="24"/>
  <c r="J221" i="24"/>
  <c r="I221" i="24"/>
  <c r="H221" i="24"/>
  <c r="G221" i="24"/>
  <c r="F221" i="24"/>
  <c r="E221" i="24"/>
  <c r="D221" i="24"/>
  <c r="C221" i="24"/>
  <c r="B221" i="24"/>
  <c r="A221" i="24"/>
  <c r="L220" i="24"/>
  <c r="K220" i="24"/>
  <c r="J220" i="24"/>
  <c r="I220" i="24"/>
  <c r="H220" i="24"/>
  <c r="G220" i="24"/>
  <c r="F220" i="24"/>
  <c r="E220" i="24"/>
  <c r="D220" i="24"/>
  <c r="C220" i="24"/>
  <c r="B220" i="24"/>
  <c r="A220" i="24"/>
  <c r="L219" i="24"/>
  <c r="K219" i="24"/>
  <c r="J219" i="24"/>
  <c r="I219" i="24"/>
  <c r="H219" i="24"/>
  <c r="G219" i="24"/>
  <c r="F219" i="24"/>
  <c r="E219" i="24"/>
  <c r="D219" i="24"/>
  <c r="C219" i="24"/>
  <c r="B219" i="24"/>
  <c r="A219" i="24"/>
  <c r="L218" i="24"/>
  <c r="K218" i="24"/>
  <c r="J218" i="24"/>
  <c r="I218" i="24"/>
  <c r="H218" i="24"/>
  <c r="G218" i="24"/>
  <c r="F218" i="24"/>
  <c r="E218" i="24"/>
  <c r="D218" i="24"/>
  <c r="C218" i="24"/>
  <c r="B218" i="24"/>
  <c r="A218" i="24"/>
  <c r="L217" i="24"/>
  <c r="K217" i="24"/>
  <c r="J217" i="24"/>
  <c r="I217" i="24"/>
  <c r="H217" i="24"/>
  <c r="G217" i="24"/>
  <c r="F217" i="24"/>
  <c r="E217" i="24"/>
  <c r="D217" i="24"/>
  <c r="C217" i="24"/>
  <c r="B217" i="24"/>
  <c r="A217" i="24"/>
  <c r="L216" i="24"/>
  <c r="K216" i="24"/>
  <c r="J216" i="24"/>
  <c r="I216" i="24"/>
  <c r="H216" i="24"/>
  <c r="G216" i="24"/>
  <c r="F216" i="24"/>
  <c r="E216" i="24"/>
  <c r="D216" i="24"/>
  <c r="C216" i="24"/>
  <c r="B216" i="24"/>
  <c r="A216" i="24"/>
  <c r="L215" i="24"/>
  <c r="K215" i="24"/>
  <c r="J215" i="24"/>
  <c r="I215" i="24"/>
  <c r="H215" i="24"/>
  <c r="G215" i="24"/>
  <c r="F215" i="24"/>
  <c r="E215" i="24"/>
  <c r="D215" i="24"/>
  <c r="C215" i="24"/>
  <c r="B215" i="24"/>
  <c r="A215" i="24"/>
  <c r="L214" i="24"/>
  <c r="K214" i="24"/>
  <c r="J214" i="24"/>
  <c r="I214" i="24"/>
  <c r="H214" i="24"/>
  <c r="G214" i="24"/>
  <c r="F214" i="24"/>
  <c r="E214" i="24"/>
  <c r="D214" i="24"/>
  <c r="C214" i="24"/>
  <c r="B214" i="24"/>
  <c r="A214" i="24"/>
  <c r="L213" i="24"/>
  <c r="K213" i="24"/>
  <c r="J213" i="24"/>
  <c r="I213" i="24"/>
  <c r="H213" i="24"/>
  <c r="G213" i="24"/>
  <c r="F213" i="24"/>
  <c r="E213" i="24"/>
  <c r="D213" i="24"/>
  <c r="C213" i="24"/>
  <c r="B213" i="24"/>
  <c r="A213" i="24"/>
  <c r="L212" i="24"/>
  <c r="K212" i="24"/>
  <c r="J212" i="24"/>
  <c r="I212" i="24"/>
  <c r="H212" i="24"/>
  <c r="G212" i="24"/>
  <c r="F212" i="24"/>
  <c r="E212" i="24"/>
  <c r="D212" i="24"/>
  <c r="C212" i="24"/>
  <c r="B212" i="24"/>
  <c r="A212" i="24"/>
  <c r="L211" i="24"/>
  <c r="K211" i="24"/>
  <c r="J211" i="24"/>
  <c r="I211" i="24"/>
  <c r="H211" i="24"/>
  <c r="G211" i="24"/>
  <c r="F211" i="24"/>
  <c r="E211" i="24"/>
  <c r="D211" i="24"/>
  <c r="C211" i="24"/>
  <c r="B211" i="24"/>
  <c r="A211" i="24"/>
  <c r="L210" i="24"/>
  <c r="K210" i="24"/>
  <c r="J210" i="24"/>
  <c r="I210" i="24"/>
  <c r="H210" i="24"/>
  <c r="G210" i="24"/>
  <c r="F210" i="24"/>
  <c r="E210" i="24"/>
  <c r="D210" i="24"/>
  <c r="C210" i="24"/>
  <c r="B210" i="24"/>
  <c r="A210" i="24"/>
  <c r="L209" i="24"/>
  <c r="K209" i="24"/>
  <c r="J209" i="24"/>
  <c r="I209" i="24"/>
  <c r="H209" i="24"/>
  <c r="G209" i="24"/>
  <c r="F209" i="24"/>
  <c r="E209" i="24"/>
  <c r="D209" i="24"/>
  <c r="C209" i="24"/>
  <c r="B209" i="24"/>
  <c r="A209" i="24"/>
  <c r="L208" i="24"/>
  <c r="K208" i="24"/>
  <c r="J208" i="24"/>
  <c r="I208" i="24"/>
  <c r="H208" i="24"/>
  <c r="G208" i="24"/>
  <c r="F208" i="24"/>
  <c r="E208" i="24"/>
  <c r="D208" i="24"/>
  <c r="C208" i="24"/>
  <c r="B208" i="24"/>
  <c r="A208" i="24"/>
  <c r="L207" i="24"/>
  <c r="K207" i="24"/>
  <c r="J207" i="24"/>
  <c r="I207" i="24"/>
  <c r="H207" i="24"/>
  <c r="G207" i="24"/>
  <c r="F207" i="24"/>
  <c r="E207" i="24"/>
  <c r="D207" i="24"/>
  <c r="C207" i="24"/>
  <c r="B207" i="24"/>
  <c r="A207" i="24"/>
  <c r="L206" i="24"/>
  <c r="K206" i="24"/>
  <c r="J206" i="24"/>
  <c r="I206" i="24"/>
  <c r="H206" i="24"/>
  <c r="G206" i="24"/>
  <c r="F206" i="24"/>
  <c r="E206" i="24"/>
  <c r="D206" i="24"/>
  <c r="C206" i="24"/>
  <c r="B206" i="24"/>
  <c r="A206" i="24"/>
  <c r="L205" i="24"/>
  <c r="K205" i="24"/>
  <c r="J205" i="24"/>
  <c r="I205" i="24"/>
  <c r="H205" i="24"/>
  <c r="G205" i="24"/>
  <c r="F205" i="24"/>
  <c r="E205" i="24"/>
  <c r="D205" i="24"/>
  <c r="C205" i="24"/>
  <c r="B205" i="24"/>
  <c r="A205" i="24"/>
  <c r="L204" i="24"/>
  <c r="K204" i="24"/>
  <c r="J204" i="24"/>
  <c r="I204" i="24"/>
  <c r="H204" i="24"/>
  <c r="G204" i="24"/>
  <c r="F204" i="24"/>
  <c r="E204" i="24"/>
  <c r="D204" i="24"/>
  <c r="C204" i="24"/>
  <c r="B204" i="24"/>
  <c r="A204" i="24"/>
  <c r="L203" i="24"/>
  <c r="K203" i="24"/>
  <c r="J203" i="24"/>
  <c r="I203" i="24"/>
  <c r="H203" i="24"/>
  <c r="G203" i="24"/>
  <c r="F203" i="24"/>
  <c r="E203" i="24"/>
  <c r="D203" i="24"/>
  <c r="C203" i="24"/>
  <c r="B203" i="24"/>
  <c r="A203" i="24"/>
  <c r="L202" i="24"/>
  <c r="K202" i="24"/>
  <c r="J202" i="24"/>
  <c r="I202" i="24"/>
  <c r="H202" i="24"/>
  <c r="G202" i="24"/>
  <c r="F202" i="24"/>
  <c r="E202" i="24"/>
  <c r="D202" i="24"/>
  <c r="C202" i="24"/>
  <c r="B202" i="24"/>
  <c r="A202" i="24"/>
  <c r="L201" i="24"/>
  <c r="K201" i="24"/>
  <c r="J201" i="24"/>
  <c r="I201" i="24"/>
  <c r="H201" i="24"/>
  <c r="G201" i="24"/>
  <c r="F201" i="24"/>
  <c r="E201" i="24"/>
  <c r="D201" i="24"/>
  <c r="C201" i="24"/>
  <c r="B201" i="24"/>
  <c r="A201" i="24"/>
  <c r="L200" i="24"/>
  <c r="K200" i="24"/>
  <c r="J200" i="24"/>
  <c r="I200" i="24"/>
  <c r="H200" i="24"/>
  <c r="G200" i="24"/>
  <c r="F200" i="24"/>
  <c r="E200" i="24"/>
  <c r="D200" i="24"/>
  <c r="C200" i="24"/>
  <c r="B200" i="24"/>
  <c r="A200" i="24"/>
  <c r="L199" i="24"/>
  <c r="K199" i="24"/>
  <c r="J199" i="24"/>
  <c r="I199" i="24"/>
  <c r="H199" i="24"/>
  <c r="G199" i="24"/>
  <c r="F199" i="24"/>
  <c r="E199" i="24"/>
  <c r="D199" i="24"/>
  <c r="C199" i="24"/>
  <c r="B199" i="24"/>
  <c r="A199" i="24"/>
  <c r="L198" i="24"/>
  <c r="K198" i="24"/>
  <c r="J198" i="24"/>
  <c r="I198" i="24"/>
  <c r="H198" i="24"/>
  <c r="G198" i="24"/>
  <c r="F198" i="24"/>
  <c r="E198" i="24"/>
  <c r="D198" i="24"/>
  <c r="C198" i="24"/>
  <c r="B198" i="24"/>
  <c r="A198" i="24"/>
  <c r="L197" i="24"/>
  <c r="K197" i="24"/>
  <c r="J197" i="24"/>
  <c r="I197" i="24"/>
  <c r="H197" i="24"/>
  <c r="G197" i="24"/>
  <c r="F197" i="24"/>
  <c r="E197" i="24"/>
  <c r="D197" i="24"/>
  <c r="C197" i="24"/>
  <c r="B197" i="24"/>
  <c r="A197" i="24"/>
  <c r="L196" i="24"/>
  <c r="K196" i="24"/>
  <c r="J196" i="24"/>
  <c r="I196" i="24"/>
  <c r="H196" i="24"/>
  <c r="G196" i="24"/>
  <c r="F196" i="24"/>
  <c r="E196" i="24"/>
  <c r="D196" i="24"/>
  <c r="C196" i="24"/>
  <c r="B196" i="24"/>
  <c r="A196" i="24"/>
  <c r="L195" i="24"/>
  <c r="K195" i="24"/>
  <c r="J195" i="24"/>
  <c r="I195" i="24"/>
  <c r="H195" i="24"/>
  <c r="G195" i="24"/>
  <c r="F195" i="24"/>
  <c r="E195" i="24"/>
  <c r="D195" i="24"/>
  <c r="C195" i="24"/>
  <c r="B195" i="24"/>
  <c r="A195" i="24"/>
  <c r="L194" i="24"/>
  <c r="K194" i="24"/>
  <c r="J194" i="24"/>
  <c r="I194" i="24"/>
  <c r="H194" i="24"/>
  <c r="G194" i="24"/>
  <c r="F194" i="24"/>
  <c r="E194" i="24"/>
  <c r="D194" i="24"/>
  <c r="C194" i="24"/>
  <c r="B194" i="24"/>
  <c r="A194" i="24"/>
  <c r="L193" i="24"/>
  <c r="K193" i="24"/>
  <c r="J193" i="24"/>
  <c r="I193" i="24"/>
  <c r="H193" i="24"/>
  <c r="G193" i="24"/>
  <c r="F193" i="24"/>
  <c r="E193" i="24"/>
  <c r="D193" i="24"/>
  <c r="C193" i="24"/>
  <c r="B193" i="24"/>
  <c r="A193" i="24"/>
  <c r="L192" i="24"/>
  <c r="K192" i="24"/>
  <c r="J192" i="24"/>
  <c r="I192" i="24"/>
  <c r="H192" i="24"/>
  <c r="G192" i="24"/>
  <c r="F192" i="24"/>
  <c r="E192" i="24"/>
  <c r="D192" i="24"/>
  <c r="C192" i="24"/>
  <c r="B192" i="24"/>
  <c r="A192" i="24"/>
  <c r="L191" i="24"/>
  <c r="K191" i="24"/>
  <c r="J191" i="24"/>
  <c r="I191" i="24"/>
  <c r="H191" i="24"/>
  <c r="G191" i="24"/>
  <c r="F191" i="24"/>
  <c r="E191" i="24"/>
  <c r="D191" i="24"/>
  <c r="C191" i="24"/>
  <c r="B191" i="24"/>
  <c r="A191" i="24"/>
  <c r="L190" i="24"/>
  <c r="K190" i="24"/>
  <c r="J190" i="24"/>
  <c r="I190" i="24"/>
  <c r="H190" i="24"/>
  <c r="G190" i="24"/>
  <c r="F190" i="24"/>
  <c r="E190" i="24"/>
  <c r="D190" i="24"/>
  <c r="C190" i="24"/>
  <c r="B190" i="24"/>
  <c r="A190" i="24"/>
  <c r="L189" i="24"/>
  <c r="K189" i="24"/>
  <c r="J189" i="24"/>
  <c r="I189" i="24"/>
  <c r="H189" i="24"/>
  <c r="G189" i="24"/>
  <c r="F189" i="24"/>
  <c r="E189" i="24"/>
  <c r="D189" i="24"/>
  <c r="C189" i="24"/>
  <c r="B189" i="24"/>
  <c r="A189" i="24"/>
  <c r="L188" i="24"/>
  <c r="K188" i="24"/>
  <c r="J188" i="24"/>
  <c r="I188" i="24"/>
  <c r="H188" i="24"/>
  <c r="G188" i="24"/>
  <c r="F188" i="24"/>
  <c r="E188" i="24"/>
  <c r="D188" i="24"/>
  <c r="C188" i="24"/>
  <c r="B188" i="24"/>
  <c r="A188" i="24"/>
  <c r="L187" i="24"/>
  <c r="K187" i="24"/>
  <c r="J187" i="24"/>
  <c r="I187" i="24"/>
  <c r="H187" i="24"/>
  <c r="G187" i="24"/>
  <c r="F187" i="24"/>
  <c r="E187" i="24"/>
  <c r="D187" i="24"/>
  <c r="C187" i="24"/>
  <c r="B187" i="24"/>
  <c r="A187" i="24"/>
  <c r="L186" i="24"/>
  <c r="K186" i="24"/>
  <c r="J186" i="24"/>
  <c r="I186" i="24"/>
  <c r="H186" i="24"/>
  <c r="G186" i="24"/>
  <c r="F186" i="24"/>
  <c r="E186" i="24"/>
  <c r="D186" i="24"/>
  <c r="C186" i="24"/>
  <c r="B186" i="24"/>
  <c r="A186" i="24"/>
  <c r="L185" i="24"/>
  <c r="K185" i="24"/>
  <c r="J185" i="24"/>
  <c r="I185" i="24"/>
  <c r="H185" i="24"/>
  <c r="G185" i="24"/>
  <c r="F185" i="24"/>
  <c r="E185" i="24"/>
  <c r="D185" i="24"/>
  <c r="C185" i="24"/>
  <c r="B185" i="24"/>
  <c r="A185" i="24"/>
  <c r="L184" i="24"/>
  <c r="K184" i="24"/>
  <c r="J184" i="24"/>
  <c r="I184" i="24"/>
  <c r="H184" i="24"/>
  <c r="G184" i="24"/>
  <c r="F184" i="24"/>
  <c r="E184" i="24"/>
  <c r="D184" i="24"/>
  <c r="C184" i="24"/>
  <c r="B184" i="24"/>
  <c r="A184" i="24"/>
  <c r="L183" i="24"/>
  <c r="K183" i="24"/>
  <c r="J183" i="24"/>
  <c r="I183" i="24"/>
  <c r="H183" i="24"/>
  <c r="G183" i="24"/>
  <c r="F183" i="24"/>
  <c r="E183" i="24"/>
  <c r="D183" i="24"/>
  <c r="C183" i="24"/>
  <c r="B183" i="24"/>
  <c r="A183" i="24"/>
  <c r="L182" i="24"/>
  <c r="K182" i="24"/>
  <c r="J182" i="24"/>
  <c r="I182" i="24"/>
  <c r="H182" i="24"/>
  <c r="G182" i="24"/>
  <c r="F182" i="24"/>
  <c r="E182" i="24"/>
  <c r="D182" i="24"/>
  <c r="C182" i="24"/>
  <c r="B182" i="24"/>
  <c r="A182" i="24"/>
  <c r="L181" i="24"/>
  <c r="K181" i="24"/>
  <c r="J181" i="24"/>
  <c r="I181" i="24"/>
  <c r="H181" i="24"/>
  <c r="G181" i="24"/>
  <c r="F181" i="24"/>
  <c r="E181" i="24"/>
  <c r="D181" i="24"/>
  <c r="C181" i="24"/>
  <c r="B181" i="24"/>
  <c r="A181" i="24"/>
  <c r="L180" i="24"/>
  <c r="K180" i="24"/>
  <c r="J180" i="24"/>
  <c r="I180" i="24"/>
  <c r="H180" i="24"/>
  <c r="G180" i="24"/>
  <c r="F180" i="24"/>
  <c r="E180" i="24"/>
  <c r="D180" i="24"/>
  <c r="C180" i="24"/>
  <c r="B180" i="24"/>
  <c r="A180" i="24"/>
  <c r="L179" i="24"/>
  <c r="K179" i="24"/>
  <c r="J179" i="24"/>
  <c r="I179" i="24"/>
  <c r="H179" i="24"/>
  <c r="G179" i="24"/>
  <c r="F179" i="24"/>
  <c r="E179" i="24"/>
  <c r="D179" i="24"/>
  <c r="C179" i="24"/>
  <c r="B179" i="24"/>
  <c r="A179" i="24"/>
  <c r="L178" i="24"/>
  <c r="K178" i="24"/>
  <c r="J178" i="24"/>
  <c r="I178" i="24"/>
  <c r="H178" i="24"/>
  <c r="G178" i="24"/>
  <c r="F178" i="24"/>
  <c r="E178" i="24"/>
  <c r="D178" i="24"/>
  <c r="C178" i="24"/>
  <c r="B178" i="24"/>
  <c r="A178" i="24"/>
  <c r="L177" i="24"/>
  <c r="K177" i="24"/>
  <c r="J177" i="24"/>
  <c r="I177" i="24"/>
  <c r="H177" i="24"/>
  <c r="G177" i="24"/>
  <c r="F177" i="24"/>
  <c r="E177" i="24"/>
  <c r="D177" i="24"/>
  <c r="C177" i="24"/>
  <c r="B177" i="24"/>
  <c r="A177" i="24"/>
  <c r="L176" i="24"/>
  <c r="K176" i="24"/>
  <c r="J176" i="24"/>
  <c r="I176" i="24"/>
  <c r="H176" i="24"/>
  <c r="G176" i="24"/>
  <c r="F176" i="24"/>
  <c r="E176" i="24"/>
  <c r="D176" i="24"/>
  <c r="C176" i="24"/>
  <c r="B176" i="24"/>
  <c r="A176" i="24"/>
  <c r="L175" i="24"/>
  <c r="K175" i="24"/>
  <c r="J175" i="24"/>
  <c r="I175" i="24"/>
  <c r="H175" i="24"/>
  <c r="G175" i="24"/>
  <c r="F175" i="24"/>
  <c r="E175" i="24"/>
  <c r="D175" i="24"/>
  <c r="C175" i="24"/>
  <c r="B175" i="24"/>
  <c r="A175" i="24"/>
  <c r="L174" i="24"/>
  <c r="K174" i="24"/>
  <c r="J174" i="24"/>
  <c r="I174" i="24"/>
  <c r="H174" i="24"/>
  <c r="G174" i="24"/>
  <c r="F174" i="24"/>
  <c r="E174" i="24"/>
  <c r="D174" i="24"/>
  <c r="C174" i="24"/>
  <c r="B174" i="24"/>
  <c r="A174" i="24"/>
  <c r="L173" i="24"/>
  <c r="K173" i="24"/>
  <c r="J173" i="24"/>
  <c r="I173" i="24"/>
  <c r="H173" i="24"/>
  <c r="G173" i="24"/>
  <c r="F173" i="24"/>
  <c r="E173" i="24"/>
  <c r="D173" i="24"/>
  <c r="C173" i="24"/>
  <c r="B173" i="24"/>
  <c r="A173" i="24"/>
  <c r="L172" i="24"/>
  <c r="K172" i="24"/>
  <c r="J172" i="24"/>
  <c r="I172" i="24"/>
  <c r="H172" i="24"/>
  <c r="G172" i="24"/>
  <c r="F172" i="24"/>
  <c r="E172" i="24"/>
  <c r="D172" i="24"/>
  <c r="C172" i="24"/>
  <c r="B172" i="24"/>
  <c r="A172" i="24"/>
  <c r="L171" i="24"/>
  <c r="K171" i="24"/>
  <c r="J171" i="24"/>
  <c r="I171" i="24"/>
  <c r="H171" i="24"/>
  <c r="G171" i="24"/>
  <c r="F171" i="24"/>
  <c r="E171" i="24"/>
  <c r="D171" i="24"/>
  <c r="C171" i="24"/>
  <c r="B171" i="24"/>
  <c r="A171" i="24"/>
  <c r="L170" i="24"/>
  <c r="K170" i="24"/>
  <c r="J170" i="24"/>
  <c r="I170" i="24"/>
  <c r="H170" i="24"/>
  <c r="G170" i="24"/>
  <c r="F170" i="24"/>
  <c r="E170" i="24"/>
  <c r="D170" i="24"/>
  <c r="C170" i="24"/>
  <c r="B170" i="24"/>
  <c r="A170" i="24"/>
  <c r="L169" i="24"/>
  <c r="K169" i="24"/>
  <c r="J169" i="24"/>
  <c r="I169" i="24"/>
  <c r="H169" i="24"/>
  <c r="G169" i="24"/>
  <c r="F169" i="24"/>
  <c r="E169" i="24"/>
  <c r="D169" i="24"/>
  <c r="C169" i="24"/>
  <c r="B169" i="24"/>
  <c r="A169" i="24"/>
  <c r="L168" i="24"/>
  <c r="K168" i="24"/>
  <c r="J168" i="24"/>
  <c r="I168" i="24"/>
  <c r="H168" i="24"/>
  <c r="G168" i="24"/>
  <c r="F168" i="24"/>
  <c r="E168" i="24"/>
  <c r="D168" i="24"/>
  <c r="C168" i="24"/>
  <c r="B168" i="24"/>
  <c r="A168" i="24"/>
  <c r="L167" i="24"/>
  <c r="K167" i="24"/>
  <c r="J167" i="24"/>
  <c r="I167" i="24"/>
  <c r="H167" i="24"/>
  <c r="G167" i="24"/>
  <c r="F167" i="24"/>
  <c r="E167" i="24"/>
  <c r="D167" i="24"/>
  <c r="C167" i="24"/>
  <c r="B167" i="24"/>
  <c r="A167" i="24"/>
  <c r="L166" i="24"/>
  <c r="K166" i="24"/>
  <c r="J166" i="24"/>
  <c r="I166" i="24"/>
  <c r="H166" i="24"/>
  <c r="G166" i="24"/>
  <c r="F166" i="24"/>
  <c r="E166" i="24"/>
  <c r="D166" i="24"/>
  <c r="C166" i="24"/>
  <c r="B166" i="24"/>
  <c r="A166" i="24"/>
  <c r="L165" i="24"/>
  <c r="K165" i="24"/>
  <c r="J165" i="24"/>
  <c r="I165" i="24"/>
  <c r="H165" i="24"/>
  <c r="G165" i="24"/>
  <c r="F165" i="24"/>
  <c r="E165" i="24"/>
  <c r="D165" i="24"/>
  <c r="C165" i="24"/>
  <c r="B165" i="24"/>
  <c r="A165" i="24"/>
  <c r="L164" i="24"/>
  <c r="K164" i="24"/>
  <c r="J164" i="24"/>
  <c r="I164" i="24"/>
  <c r="H164" i="24"/>
  <c r="G164" i="24"/>
  <c r="F164" i="24"/>
  <c r="E164" i="24"/>
  <c r="D164" i="24"/>
  <c r="C164" i="24"/>
  <c r="B164" i="24"/>
  <c r="A164" i="24"/>
  <c r="L163" i="24"/>
  <c r="K163" i="24"/>
  <c r="J163" i="24"/>
  <c r="I163" i="24"/>
  <c r="H163" i="24"/>
  <c r="G163" i="24"/>
  <c r="F163" i="24"/>
  <c r="E163" i="24"/>
  <c r="D163" i="24"/>
  <c r="C163" i="24"/>
  <c r="B163" i="24"/>
  <c r="A163" i="24"/>
  <c r="L162" i="24"/>
  <c r="K162" i="24"/>
  <c r="J162" i="24"/>
  <c r="I162" i="24"/>
  <c r="H162" i="24"/>
  <c r="G162" i="24"/>
  <c r="F162" i="24"/>
  <c r="E162" i="24"/>
  <c r="D162" i="24"/>
  <c r="C162" i="24"/>
  <c r="B162" i="24"/>
  <c r="A162" i="24"/>
  <c r="L161" i="24"/>
  <c r="K161" i="24"/>
  <c r="J161" i="24"/>
  <c r="I161" i="24"/>
  <c r="H161" i="24"/>
  <c r="G161" i="24"/>
  <c r="F161" i="24"/>
  <c r="E161" i="24"/>
  <c r="D161" i="24"/>
  <c r="C161" i="24"/>
  <c r="B161" i="24"/>
  <c r="A161" i="24"/>
  <c r="L160" i="24"/>
  <c r="K160" i="24"/>
  <c r="J160" i="24"/>
  <c r="I160" i="24"/>
  <c r="H160" i="24"/>
  <c r="G160" i="24"/>
  <c r="F160" i="24"/>
  <c r="E160" i="24"/>
  <c r="D160" i="24"/>
  <c r="C160" i="24"/>
  <c r="B160" i="24"/>
  <c r="A160" i="24"/>
  <c r="L159" i="24"/>
  <c r="K159" i="24"/>
  <c r="J159" i="24"/>
  <c r="I159" i="24"/>
  <c r="H159" i="24"/>
  <c r="G159" i="24"/>
  <c r="F159" i="24"/>
  <c r="E159" i="24"/>
  <c r="D159" i="24"/>
  <c r="C159" i="24"/>
  <c r="B159" i="24"/>
  <c r="A159" i="24"/>
  <c r="L158" i="24"/>
  <c r="K158" i="24"/>
  <c r="J158" i="24"/>
  <c r="I158" i="24"/>
  <c r="H158" i="24"/>
  <c r="G158" i="24"/>
  <c r="F158" i="24"/>
  <c r="E158" i="24"/>
  <c r="D158" i="24"/>
  <c r="C158" i="24"/>
  <c r="B158" i="24"/>
  <c r="A158" i="24"/>
  <c r="L157" i="24"/>
  <c r="K157" i="24"/>
  <c r="J157" i="24"/>
  <c r="I157" i="24"/>
  <c r="H157" i="24"/>
  <c r="G157" i="24"/>
  <c r="F157" i="24"/>
  <c r="E157" i="24"/>
  <c r="D157" i="24"/>
  <c r="C157" i="24"/>
  <c r="B157" i="24"/>
  <c r="A157" i="24"/>
  <c r="L156" i="24"/>
  <c r="K156" i="24"/>
  <c r="J156" i="24"/>
  <c r="I156" i="24"/>
  <c r="H156" i="24"/>
  <c r="G156" i="24"/>
  <c r="F156" i="24"/>
  <c r="E156" i="24"/>
  <c r="D156" i="24"/>
  <c r="C156" i="24"/>
  <c r="B156" i="24"/>
  <c r="A156" i="24"/>
  <c r="L155" i="24"/>
  <c r="K155" i="24"/>
  <c r="J155" i="24"/>
  <c r="I155" i="24"/>
  <c r="H155" i="24"/>
  <c r="G155" i="24"/>
  <c r="F155" i="24"/>
  <c r="E155" i="24"/>
  <c r="D155" i="24"/>
  <c r="C155" i="24"/>
  <c r="B155" i="24"/>
  <c r="A155" i="24"/>
  <c r="L154" i="24"/>
  <c r="K154" i="24"/>
  <c r="J154" i="24"/>
  <c r="I154" i="24"/>
  <c r="H154" i="24"/>
  <c r="G154" i="24"/>
  <c r="F154" i="24"/>
  <c r="E154" i="24"/>
  <c r="D154" i="24"/>
  <c r="C154" i="24"/>
  <c r="B154" i="24"/>
  <c r="A154" i="24"/>
  <c r="L153" i="24"/>
  <c r="K153" i="24"/>
  <c r="J153" i="24"/>
  <c r="I153" i="24"/>
  <c r="H153" i="24"/>
  <c r="G153" i="24"/>
  <c r="F153" i="24"/>
  <c r="E153" i="24"/>
  <c r="D153" i="24"/>
  <c r="C153" i="24"/>
  <c r="B153" i="24"/>
  <c r="A153" i="24"/>
  <c r="L152" i="24"/>
  <c r="K152" i="24"/>
  <c r="J152" i="24"/>
  <c r="I152" i="24"/>
  <c r="H152" i="24"/>
  <c r="G152" i="24"/>
  <c r="F152" i="24"/>
  <c r="E152" i="24"/>
  <c r="D152" i="24"/>
  <c r="C152" i="24"/>
  <c r="B152" i="24"/>
  <c r="A152" i="24"/>
  <c r="L151" i="24"/>
  <c r="K151" i="24"/>
  <c r="J151" i="24"/>
  <c r="I151" i="24"/>
  <c r="H151" i="24"/>
  <c r="G151" i="24"/>
  <c r="F151" i="24"/>
  <c r="E151" i="24"/>
  <c r="D151" i="24"/>
  <c r="C151" i="24"/>
  <c r="B151" i="24"/>
  <c r="A151" i="24"/>
  <c r="L150" i="24"/>
  <c r="K150" i="24"/>
  <c r="J150" i="24"/>
  <c r="I150" i="24"/>
  <c r="H150" i="24"/>
  <c r="G150" i="24"/>
  <c r="F150" i="24"/>
  <c r="E150" i="24"/>
  <c r="D150" i="24"/>
  <c r="C150" i="24"/>
  <c r="B150" i="24"/>
  <c r="A150" i="24"/>
  <c r="L149" i="24"/>
  <c r="K149" i="24"/>
  <c r="J149" i="24"/>
  <c r="I149" i="24"/>
  <c r="H149" i="24"/>
  <c r="G149" i="24"/>
  <c r="F149" i="24"/>
  <c r="E149" i="24"/>
  <c r="D149" i="24"/>
  <c r="C149" i="24"/>
  <c r="B149" i="24"/>
  <c r="A149" i="24"/>
  <c r="L148" i="24"/>
  <c r="K148" i="24"/>
  <c r="J148" i="24"/>
  <c r="I148" i="24"/>
  <c r="H148" i="24"/>
  <c r="G148" i="24"/>
  <c r="F148" i="24"/>
  <c r="E148" i="24"/>
  <c r="D148" i="24"/>
  <c r="C148" i="24"/>
  <c r="B148" i="24"/>
  <c r="A148" i="24"/>
  <c r="L147" i="24"/>
  <c r="K147" i="24"/>
  <c r="J147" i="24"/>
  <c r="I147" i="24"/>
  <c r="H147" i="24"/>
  <c r="G147" i="24"/>
  <c r="F147" i="24"/>
  <c r="E147" i="24"/>
  <c r="D147" i="24"/>
  <c r="C147" i="24"/>
  <c r="B147" i="24"/>
  <c r="A147" i="24"/>
  <c r="L146" i="24"/>
  <c r="K146" i="24"/>
  <c r="J146" i="24"/>
  <c r="I146" i="24"/>
  <c r="H146" i="24"/>
  <c r="G146" i="24"/>
  <c r="F146" i="24"/>
  <c r="E146" i="24"/>
  <c r="D146" i="24"/>
  <c r="C146" i="24"/>
  <c r="B146" i="24"/>
  <c r="A146" i="24"/>
  <c r="L145" i="24"/>
  <c r="K145" i="24"/>
  <c r="J145" i="24"/>
  <c r="I145" i="24"/>
  <c r="H145" i="24"/>
  <c r="G145" i="24"/>
  <c r="F145" i="24"/>
  <c r="E145" i="24"/>
  <c r="D145" i="24"/>
  <c r="C145" i="24"/>
  <c r="B145" i="24"/>
  <c r="A145" i="24"/>
  <c r="L144" i="24"/>
  <c r="K144" i="24"/>
  <c r="J144" i="24"/>
  <c r="I144" i="24"/>
  <c r="H144" i="24"/>
  <c r="G144" i="24"/>
  <c r="F144" i="24"/>
  <c r="E144" i="24"/>
  <c r="D144" i="24"/>
  <c r="C144" i="24"/>
  <c r="B144" i="24"/>
  <c r="A144" i="24"/>
  <c r="L143" i="24"/>
  <c r="K143" i="24"/>
  <c r="J143" i="24"/>
  <c r="I143" i="24"/>
  <c r="H143" i="24"/>
  <c r="G143" i="24"/>
  <c r="F143" i="24"/>
  <c r="E143" i="24"/>
  <c r="D143" i="24"/>
  <c r="C143" i="24"/>
  <c r="B143" i="24"/>
  <c r="A143" i="24"/>
  <c r="L142" i="24"/>
  <c r="K142" i="24"/>
  <c r="J142" i="24"/>
  <c r="I142" i="24"/>
  <c r="H142" i="24"/>
  <c r="G142" i="24"/>
  <c r="F142" i="24"/>
  <c r="E142" i="24"/>
  <c r="D142" i="24"/>
  <c r="C142" i="24"/>
  <c r="B142" i="24"/>
  <c r="A142" i="24"/>
  <c r="L141" i="24"/>
  <c r="K141" i="24"/>
  <c r="J141" i="24"/>
  <c r="I141" i="24"/>
  <c r="H141" i="24"/>
  <c r="G141" i="24"/>
  <c r="F141" i="24"/>
  <c r="E141" i="24"/>
  <c r="D141" i="24"/>
  <c r="C141" i="24"/>
  <c r="B141" i="24"/>
  <c r="A141" i="24"/>
  <c r="L140" i="24"/>
  <c r="K140" i="24"/>
  <c r="J140" i="24"/>
  <c r="I140" i="24"/>
  <c r="H140" i="24"/>
  <c r="G140" i="24"/>
  <c r="F140" i="24"/>
  <c r="E140" i="24"/>
  <c r="D140" i="24"/>
  <c r="C140" i="24"/>
  <c r="B140" i="24"/>
  <c r="A140" i="24"/>
  <c r="L139" i="24"/>
  <c r="K139" i="24"/>
  <c r="J139" i="24"/>
  <c r="I139" i="24"/>
  <c r="H139" i="24"/>
  <c r="G139" i="24"/>
  <c r="F139" i="24"/>
  <c r="E139" i="24"/>
  <c r="D139" i="24"/>
  <c r="C139" i="24"/>
  <c r="B139" i="24"/>
  <c r="A139" i="24"/>
  <c r="L138" i="24"/>
  <c r="K138" i="24"/>
  <c r="J138" i="24"/>
  <c r="I138" i="24"/>
  <c r="H138" i="24"/>
  <c r="G138" i="24"/>
  <c r="F138" i="24"/>
  <c r="E138" i="24"/>
  <c r="D138" i="24"/>
  <c r="C138" i="24"/>
  <c r="B138" i="24"/>
  <c r="A138" i="24"/>
  <c r="L137" i="24"/>
  <c r="K137" i="24"/>
  <c r="J137" i="24"/>
  <c r="I137" i="24"/>
  <c r="H137" i="24"/>
  <c r="G137" i="24"/>
  <c r="F137" i="24"/>
  <c r="E137" i="24"/>
  <c r="D137" i="24"/>
  <c r="C137" i="24"/>
  <c r="B137" i="24"/>
  <c r="A137" i="24"/>
  <c r="L136" i="24"/>
  <c r="K136" i="24"/>
  <c r="J136" i="24"/>
  <c r="I136" i="24"/>
  <c r="H136" i="24"/>
  <c r="G136" i="24"/>
  <c r="F136" i="24"/>
  <c r="E136" i="24"/>
  <c r="D136" i="24"/>
  <c r="C136" i="24"/>
  <c r="B136" i="24"/>
  <c r="A136" i="24"/>
  <c r="L135" i="24"/>
  <c r="K135" i="24"/>
  <c r="J135" i="24"/>
  <c r="I135" i="24"/>
  <c r="H135" i="24"/>
  <c r="G135" i="24"/>
  <c r="F135" i="24"/>
  <c r="E135" i="24"/>
  <c r="D135" i="24"/>
  <c r="C135" i="24"/>
  <c r="B135" i="24"/>
  <c r="A135" i="24"/>
  <c r="L134" i="24"/>
  <c r="K134" i="24"/>
  <c r="J134" i="24"/>
  <c r="I134" i="24"/>
  <c r="H134" i="24"/>
  <c r="G134" i="24"/>
  <c r="F134" i="24"/>
  <c r="E134" i="24"/>
  <c r="D134" i="24"/>
  <c r="C134" i="24"/>
  <c r="B134" i="24"/>
  <c r="A134" i="24"/>
  <c r="L133" i="24"/>
  <c r="K133" i="24"/>
  <c r="J133" i="24"/>
  <c r="I133" i="24"/>
  <c r="H133" i="24"/>
  <c r="G133" i="24"/>
  <c r="F133" i="24"/>
  <c r="E133" i="24"/>
  <c r="D133" i="24"/>
  <c r="C133" i="24"/>
  <c r="B133" i="24"/>
  <c r="A133" i="24"/>
  <c r="L132" i="24"/>
  <c r="K132" i="24"/>
  <c r="J132" i="24"/>
  <c r="I132" i="24"/>
  <c r="H132" i="24"/>
  <c r="G132" i="24"/>
  <c r="F132" i="24"/>
  <c r="E132" i="24"/>
  <c r="D132" i="24"/>
  <c r="C132" i="24"/>
  <c r="B132" i="24"/>
  <c r="A132" i="24"/>
  <c r="L131" i="24"/>
  <c r="K131" i="24"/>
  <c r="J131" i="24"/>
  <c r="I131" i="24"/>
  <c r="H131" i="24"/>
  <c r="G131" i="24"/>
  <c r="F131" i="24"/>
  <c r="E131" i="24"/>
  <c r="D131" i="24"/>
  <c r="C131" i="24"/>
  <c r="B131" i="24"/>
  <c r="A131" i="24"/>
  <c r="L130" i="24"/>
  <c r="K130" i="24"/>
  <c r="J130" i="24"/>
  <c r="I130" i="24"/>
  <c r="H130" i="24"/>
  <c r="G130" i="24"/>
  <c r="F130" i="24"/>
  <c r="E130" i="24"/>
  <c r="D130" i="24"/>
  <c r="C130" i="24"/>
  <c r="B130" i="24"/>
  <c r="A130" i="24"/>
  <c r="L129" i="24"/>
  <c r="K129" i="24"/>
  <c r="J129" i="24"/>
  <c r="I129" i="24"/>
  <c r="H129" i="24"/>
  <c r="G129" i="24"/>
  <c r="F129" i="24"/>
  <c r="E129" i="24"/>
  <c r="D129" i="24"/>
  <c r="C129" i="24"/>
  <c r="B129" i="24"/>
  <c r="A129" i="24"/>
  <c r="L128" i="24"/>
  <c r="K128" i="24"/>
  <c r="J128" i="24"/>
  <c r="I128" i="24"/>
  <c r="H128" i="24"/>
  <c r="G128" i="24"/>
  <c r="F128" i="24"/>
  <c r="E128" i="24"/>
  <c r="D128" i="24"/>
  <c r="C128" i="24"/>
  <c r="B128" i="24"/>
  <c r="A128" i="24"/>
  <c r="L127" i="24"/>
  <c r="K127" i="24"/>
  <c r="J127" i="24"/>
  <c r="I127" i="24"/>
  <c r="H127" i="24"/>
  <c r="G127" i="24"/>
  <c r="F127" i="24"/>
  <c r="E127" i="24"/>
  <c r="D127" i="24"/>
  <c r="C127" i="24"/>
  <c r="B127" i="24"/>
  <c r="A127" i="24"/>
  <c r="L126" i="24"/>
  <c r="K126" i="24"/>
  <c r="J126" i="24"/>
  <c r="I126" i="24"/>
  <c r="H126" i="24"/>
  <c r="G126" i="24"/>
  <c r="F126" i="24"/>
  <c r="E126" i="24"/>
  <c r="D126" i="24"/>
  <c r="C126" i="24"/>
  <c r="B126" i="24"/>
  <c r="A126" i="24"/>
  <c r="L125" i="24"/>
  <c r="K125" i="24"/>
  <c r="J125" i="24"/>
  <c r="I125" i="24"/>
  <c r="H125" i="24"/>
  <c r="G125" i="24"/>
  <c r="F125" i="24"/>
  <c r="E125" i="24"/>
  <c r="D125" i="24"/>
  <c r="C125" i="24"/>
  <c r="B125" i="24"/>
  <c r="A125" i="24"/>
  <c r="L124" i="24"/>
  <c r="K124" i="24"/>
  <c r="J124" i="24"/>
  <c r="I124" i="24"/>
  <c r="H124" i="24"/>
  <c r="G124" i="24"/>
  <c r="F124" i="24"/>
  <c r="E124" i="24"/>
  <c r="D124" i="24"/>
  <c r="C124" i="24"/>
  <c r="B124" i="24"/>
  <c r="A124" i="24"/>
  <c r="L123" i="24"/>
  <c r="K123" i="24"/>
  <c r="J123" i="24"/>
  <c r="I123" i="24"/>
  <c r="H123" i="24"/>
  <c r="G123" i="24"/>
  <c r="F123" i="24"/>
  <c r="E123" i="24"/>
  <c r="D123" i="24"/>
  <c r="C123" i="24"/>
  <c r="B123" i="24"/>
  <c r="A123" i="24"/>
  <c r="L122" i="24"/>
  <c r="K122" i="24"/>
  <c r="J122" i="24"/>
  <c r="I122" i="24"/>
  <c r="H122" i="24"/>
  <c r="G122" i="24"/>
  <c r="F122" i="24"/>
  <c r="E122" i="24"/>
  <c r="D122" i="24"/>
  <c r="C122" i="24"/>
  <c r="B122" i="24"/>
  <c r="A122" i="24"/>
  <c r="L121" i="24"/>
  <c r="K121" i="24"/>
  <c r="J121" i="24"/>
  <c r="I121" i="24"/>
  <c r="H121" i="24"/>
  <c r="G121" i="24"/>
  <c r="F121" i="24"/>
  <c r="E121" i="24"/>
  <c r="D121" i="24"/>
  <c r="C121" i="24"/>
  <c r="B121" i="24"/>
  <c r="A121" i="24"/>
  <c r="L120" i="24"/>
  <c r="K120" i="24"/>
  <c r="J120" i="24"/>
  <c r="I120" i="24"/>
  <c r="H120" i="24"/>
  <c r="G120" i="24"/>
  <c r="F120" i="24"/>
  <c r="E120" i="24"/>
  <c r="D120" i="24"/>
  <c r="C120" i="24"/>
  <c r="B120" i="24"/>
  <c r="A120" i="24"/>
  <c r="L119" i="24"/>
  <c r="K119" i="24"/>
  <c r="J119" i="24"/>
  <c r="I119" i="24"/>
  <c r="H119" i="24"/>
  <c r="G119" i="24"/>
  <c r="F119" i="24"/>
  <c r="E119" i="24"/>
  <c r="D119" i="24"/>
  <c r="C119" i="24"/>
  <c r="B119" i="24"/>
  <c r="A119" i="24"/>
  <c r="L118" i="24"/>
  <c r="K118" i="24"/>
  <c r="J118" i="24"/>
  <c r="I118" i="24"/>
  <c r="H118" i="24"/>
  <c r="G118" i="24"/>
  <c r="F118" i="24"/>
  <c r="E118" i="24"/>
  <c r="D118" i="24"/>
  <c r="C118" i="24"/>
  <c r="B118" i="24"/>
  <c r="A118" i="24"/>
  <c r="L117" i="24"/>
  <c r="K117" i="24"/>
  <c r="J117" i="24"/>
  <c r="I117" i="24"/>
  <c r="H117" i="24"/>
  <c r="G117" i="24"/>
  <c r="F117" i="24"/>
  <c r="E117" i="24"/>
  <c r="D117" i="24"/>
  <c r="C117" i="24"/>
  <c r="B117" i="24"/>
  <c r="A117" i="24"/>
  <c r="L116" i="24"/>
  <c r="K116" i="24"/>
  <c r="J116" i="24"/>
  <c r="I116" i="24"/>
  <c r="H116" i="24"/>
  <c r="G116" i="24"/>
  <c r="F116" i="24"/>
  <c r="E116" i="24"/>
  <c r="D116" i="24"/>
  <c r="C116" i="24"/>
  <c r="B116" i="24"/>
  <c r="A116" i="24"/>
  <c r="L115" i="24"/>
  <c r="K115" i="24"/>
  <c r="J115" i="24"/>
  <c r="I115" i="24"/>
  <c r="H115" i="24"/>
  <c r="G115" i="24"/>
  <c r="F115" i="24"/>
  <c r="E115" i="24"/>
  <c r="D115" i="24"/>
  <c r="C115" i="24"/>
  <c r="B115" i="24"/>
  <c r="A115" i="24"/>
  <c r="L114" i="24"/>
  <c r="K114" i="24"/>
  <c r="J114" i="24"/>
  <c r="I114" i="24"/>
  <c r="H114" i="24"/>
  <c r="G114" i="24"/>
  <c r="F114" i="24"/>
  <c r="E114" i="24"/>
  <c r="D114" i="24"/>
  <c r="C114" i="24"/>
  <c r="B114" i="24"/>
  <c r="A114" i="24"/>
  <c r="L113" i="24"/>
  <c r="K113" i="24"/>
  <c r="J113" i="24"/>
  <c r="I113" i="24"/>
  <c r="H113" i="24"/>
  <c r="G113" i="24"/>
  <c r="F113" i="24"/>
  <c r="E113" i="24"/>
  <c r="D113" i="24"/>
  <c r="C113" i="24"/>
  <c r="B113" i="24"/>
  <c r="A113" i="24"/>
  <c r="L112" i="24"/>
  <c r="K112" i="24"/>
  <c r="J112" i="24"/>
  <c r="I112" i="24"/>
  <c r="H112" i="24"/>
  <c r="G112" i="24"/>
  <c r="F112" i="24"/>
  <c r="E112" i="24"/>
  <c r="D112" i="24"/>
  <c r="C112" i="24"/>
  <c r="B112" i="24"/>
  <c r="A112" i="24"/>
  <c r="L111" i="24"/>
  <c r="K111" i="24"/>
  <c r="J111" i="24"/>
  <c r="I111" i="24"/>
  <c r="H111" i="24"/>
  <c r="G111" i="24"/>
  <c r="F111" i="24"/>
  <c r="E111" i="24"/>
  <c r="D111" i="24"/>
  <c r="C111" i="24"/>
  <c r="B111" i="24"/>
  <c r="A111" i="24"/>
  <c r="L110" i="24"/>
  <c r="K110" i="24"/>
  <c r="J110" i="24"/>
  <c r="I110" i="24"/>
  <c r="H110" i="24"/>
  <c r="G110" i="24"/>
  <c r="F110" i="24"/>
  <c r="E110" i="24"/>
  <c r="D110" i="24"/>
  <c r="C110" i="24"/>
  <c r="B110" i="24"/>
  <c r="A110" i="24"/>
  <c r="L109" i="24"/>
  <c r="K109" i="24"/>
  <c r="J109" i="24"/>
  <c r="I109" i="24"/>
  <c r="H109" i="24"/>
  <c r="G109" i="24"/>
  <c r="F109" i="24"/>
  <c r="E109" i="24"/>
  <c r="D109" i="24"/>
  <c r="C109" i="24"/>
  <c r="B109" i="24"/>
  <c r="A109" i="24"/>
  <c r="L108" i="24"/>
  <c r="K108" i="24"/>
  <c r="J108" i="24"/>
  <c r="I108" i="24"/>
  <c r="H108" i="24"/>
  <c r="G108" i="24"/>
  <c r="F108" i="24"/>
  <c r="E108" i="24"/>
  <c r="D108" i="24"/>
  <c r="C108" i="24"/>
  <c r="B108" i="24"/>
  <c r="A108" i="24"/>
  <c r="L107" i="24"/>
  <c r="K107" i="24"/>
  <c r="J107" i="24"/>
  <c r="I107" i="24"/>
  <c r="H107" i="24"/>
  <c r="G107" i="24"/>
  <c r="F107" i="24"/>
  <c r="E107" i="24"/>
  <c r="D107" i="24"/>
  <c r="C107" i="24"/>
  <c r="B107" i="24"/>
  <c r="A107" i="24"/>
  <c r="L106" i="24"/>
  <c r="K106" i="24"/>
  <c r="J106" i="24"/>
  <c r="I106" i="24"/>
  <c r="H106" i="24"/>
  <c r="G106" i="24"/>
  <c r="F106" i="24"/>
  <c r="E106" i="24"/>
  <c r="D106" i="24"/>
  <c r="C106" i="24"/>
  <c r="B106" i="24"/>
  <c r="A106" i="24"/>
  <c r="L105" i="24"/>
  <c r="K105" i="24"/>
  <c r="J105" i="24"/>
  <c r="I105" i="24"/>
  <c r="H105" i="24"/>
  <c r="G105" i="24"/>
  <c r="F105" i="24"/>
  <c r="E105" i="24"/>
  <c r="D105" i="24"/>
  <c r="C105" i="24"/>
  <c r="B105" i="24"/>
  <c r="A105" i="24"/>
  <c r="L104" i="24"/>
  <c r="K104" i="24"/>
  <c r="J104" i="24"/>
  <c r="I104" i="24"/>
  <c r="H104" i="24"/>
  <c r="G104" i="24"/>
  <c r="F104" i="24"/>
  <c r="E104" i="24"/>
  <c r="D104" i="24"/>
  <c r="C104" i="24"/>
  <c r="B104" i="24"/>
  <c r="A104" i="24"/>
  <c r="L103" i="24"/>
  <c r="K103" i="24"/>
  <c r="J103" i="24"/>
  <c r="I103" i="24"/>
  <c r="H103" i="24"/>
  <c r="G103" i="24"/>
  <c r="F103" i="24"/>
  <c r="E103" i="24"/>
  <c r="D103" i="24"/>
  <c r="C103" i="24"/>
  <c r="B103" i="24"/>
  <c r="A103" i="24"/>
  <c r="L102" i="24"/>
  <c r="K102" i="24"/>
  <c r="J102" i="24"/>
  <c r="I102" i="24"/>
  <c r="H102" i="24"/>
  <c r="G102" i="24"/>
  <c r="F102" i="24"/>
  <c r="E102" i="24"/>
  <c r="D102" i="24"/>
  <c r="C102" i="24"/>
  <c r="B102" i="24"/>
  <c r="A102" i="24"/>
  <c r="L101" i="24"/>
  <c r="K101" i="24"/>
  <c r="J101" i="24"/>
  <c r="I101" i="24"/>
  <c r="H101" i="24"/>
  <c r="G101" i="24"/>
  <c r="F101" i="24"/>
  <c r="E101" i="24"/>
  <c r="D101" i="24"/>
  <c r="C101" i="24"/>
  <c r="B101" i="24"/>
  <c r="A101" i="24"/>
  <c r="L100" i="24"/>
  <c r="K100" i="24"/>
  <c r="J100" i="24"/>
  <c r="I100" i="24"/>
  <c r="H100" i="24"/>
  <c r="G100" i="24"/>
  <c r="F100" i="24"/>
  <c r="E100" i="24"/>
  <c r="D100" i="24"/>
  <c r="C100" i="24"/>
  <c r="B100" i="24"/>
  <c r="A100" i="24"/>
  <c r="L99" i="24"/>
  <c r="K99" i="24"/>
  <c r="J99" i="24"/>
  <c r="I99" i="24"/>
  <c r="H99" i="24"/>
  <c r="G99" i="24"/>
  <c r="F99" i="24"/>
  <c r="E99" i="24"/>
  <c r="D99" i="24"/>
  <c r="C99" i="24"/>
  <c r="B99" i="24"/>
  <c r="A99" i="24"/>
  <c r="L98" i="24"/>
  <c r="K98" i="24"/>
  <c r="J98" i="24"/>
  <c r="I98" i="24"/>
  <c r="H98" i="24"/>
  <c r="G98" i="24"/>
  <c r="F98" i="24"/>
  <c r="E98" i="24"/>
  <c r="D98" i="24"/>
  <c r="C98" i="24"/>
  <c r="B98" i="24"/>
  <c r="A98" i="24"/>
  <c r="L97" i="24"/>
  <c r="K97" i="24"/>
  <c r="J97" i="24"/>
  <c r="I97" i="24"/>
  <c r="H97" i="24"/>
  <c r="G97" i="24"/>
  <c r="F97" i="24"/>
  <c r="E97" i="24"/>
  <c r="D97" i="24"/>
  <c r="C97" i="24"/>
  <c r="B97" i="24"/>
  <c r="A97" i="24"/>
  <c r="L96" i="24"/>
  <c r="K96" i="24"/>
  <c r="J96" i="24"/>
  <c r="I96" i="24"/>
  <c r="H96" i="24"/>
  <c r="G96" i="24"/>
  <c r="F96" i="24"/>
  <c r="E96" i="24"/>
  <c r="D96" i="24"/>
  <c r="C96" i="24"/>
  <c r="B96" i="24"/>
  <c r="A96" i="24"/>
  <c r="L95" i="24"/>
  <c r="K95" i="24"/>
  <c r="J95" i="24"/>
  <c r="I95" i="24"/>
  <c r="H95" i="24"/>
  <c r="G95" i="24"/>
  <c r="F95" i="24"/>
  <c r="E95" i="24"/>
  <c r="D95" i="24"/>
  <c r="C95" i="24"/>
  <c r="B95" i="24"/>
  <c r="A95" i="24"/>
  <c r="L94" i="24"/>
  <c r="K94" i="24"/>
  <c r="J94" i="24"/>
  <c r="I94" i="24"/>
  <c r="H94" i="24"/>
  <c r="G94" i="24"/>
  <c r="F94" i="24"/>
  <c r="E94" i="24"/>
  <c r="D94" i="24"/>
  <c r="C94" i="24"/>
  <c r="B94" i="24"/>
  <c r="A94" i="24"/>
  <c r="L93" i="24"/>
  <c r="K93" i="24"/>
  <c r="J93" i="24"/>
  <c r="I93" i="24"/>
  <c r="H93" i="24"/>
  <c r="G93" i="24"/>
  <c r="F93" i="24"/>
  <c r="E93" i="24"/>
  <c r="D93" i="24"/>
  <c r="C93" i="24"/>
  <c r="B93" i="24"/>
  <c r="A93" i="24"/>
  <c r="L92" i="24"/>
  <c r="K92" i="24"/>
  <c r="J92" i="24"/>
  <c r="I92" i="24"/>
  <c r="H92" i="24"/>
  <c r="G92" i="24"/>
  <c r="F92" i="24"/>
  <c r="E92" i="24"/>
  <c r="D92" i="24"/>
  <c r="C92" i="24"/>
  <c r="B92" i="24"/>
  <c r="A92" i="24"/>
  <c r="L91" i="24"/>
  <c r="K91" i="24"/>
  <c r="J91" i="24"/>
  <c r="I91" i="24"/>
  <c r="H91" i="24"/>
  <c r="G91" i="24"/>
  <c r="F91" i="24"/>
  <c r="E91" i="24"/>
  <c r="D91" i="24"/>
  <c r="C91" i="24"/>
  <c r="B91" i="24"/>
  <c r="A91" i="24"/>
  <c r="L90" i="24"/>
  <c r="K90" i="24"/>
  <c r="J90" i="24"/>
  <c r="I90" i="24"/>
  <c r="H90" i="24"/>
  <c r="G90" i="24"/>
  <c r="F90" i="24"/>
  <c r="E90" i="24"/>
  <c r="D90" i="24"/>
  <c r="C90" i="24"/>
  <c r="B90" i="24"/>
  <c r="A90" i="24"/>
  <c r="L89" i="24"/>
  <c r="K89" i="24"/>
  <c r="J89" i="24"/>
  <c r="I89" i="24"/>
  <c r="H89" i="24"/>
  <c r="G89" i="24"/>
  <c r="F89" i="24"/>
  <c r="E89" i="24"/>
  <c r="D89" i="24"/>
  <c r="C89" i="24"/>
  <c r="B89" i="24"/>
  <c r="A89" i="24"/>
  <c r="L88" i="24"/>
  <c r="K88" i="24"/>
  <c r="J88" i="24"/>
  <c r="I88" i="24"/>
  <c r="H88" i="24"/>
  <c r="G88" i="24"/>
  <c r="F88" i="24"/>
  <c r="E88" i="24"/>
  <c r="D88" i="24"/>
  <c r="C88" i="24"/>
  <c r="B88" i="24"/>
  <c r="A88" i="24"/>
  <c r="L87" i="24"/>
  <c r="K87" i="24"/>
  <c r="J87" i="24"/>
  <c r="I87" i="24"/>
  <c r="H87" i="24"/>
  <c r="G87" i="24"/>
  <c r="F87" i="24"/>
  <c r="E87" i="24"/>
  <c r="D87" i="24"/>
  <c r="C87" i="24"/>
  <c r="B87" i="24"/>
  <c r="A87" i="24"/>
  <c r="L86" i="24"/>
  <c r="K86" i="24"/>
  <c r="J86" i="24"/>
  <c r="I86" i="24"/>
  <c r="H86" i="24"/>
  <c r="G86" i="24"/>
  <c r="F86" i="24"/>
  <c r="E86" i="24"/>
  <c r="D86" i="24"/>
  <c r="C86" i="24"/>
  <c r="B86" i="24"/>
  <c r="A86" i="24"/>
  <c r="L85" i="24"/>
  <c r="K85" i="24"/>
  <c r="J85" i="24"/>
  <c r="I85" i="24"/>
  <c r="H85" i="24"/>
  <c r="G85" i="24"/>
  <c r="F85" i="24"/>
  <c r="E85" i="24"/>
  <c r="D85" i="24"/>
  <c r="C85" i="24"/>
  <c r="B85" i="24"/>
  <c r="A85" i="24"/>
  <c r="L84" i="24"/>
  <c r="K84" i="24"/>
  <c r="J84" i="24"/>
  <c r="I84" i="24"/>
  <c r="H84" i="24"/>
  <c r="G84" i="24"/>
  <c r="F84" i="24"/>
  <c r="E84" i="24"/>
  <c r="D84" i="24"/>
  <c r="C84" i="24"/>
  <c r="B84" i="24"/>
  <c r="A84" i="24"/>
  <c r="L83" i="24"/>
  <c r="K83" i="24"/>
  <c r="J83" i="24"/>
  <c r="I83" i="24"/>
  <c r="H83" i="24"/>
  <c r="G83" i="24"/>
  <c r="F83" i="24"/>
  <c r="E83" i="24"/>
  <c r="D83" i="24"/>
  <c r="C83" i="24"/>
  <c r="B83" i="24"/>
  <c r="A83" i="24"/>
  <c r="L82" i="24"/>
  <c r="K82" i="24"/>
  <c r="J82" i="24"/>
  <c r="I82" i="24"/>
  <c r="H82" i="24"/>
  <c r="G82" i="24"/>
  <c r="F82" i="24"/>
  <c r="E82" i="24"/>
  <c r="D82" i="24"/>
  <c r="C82" i="24"/>
  <c r="B82" i="24"/>
  <c r="A82" i="24"/>
  <c r="L81" i="24"/>
  <c r="K81" i="24"/>
  <c r="J81" i="24"/>
  <c r="I81" i="24"/>
  <c r="H81" i="24"/>
  <c r="G81" i="24"/>
  <c r="F81" i="24"/>
  <c r="E81" i="24"/>
  <c r="D81" i="24"/>
  <c r="C81" i="24"/>
  <c r="B81" i="24"/>
  <c r="A81" i="24"/>
  <c r="L80" i="24"/>
  <c r="K80" i="24"/>
  <c r="J80" i="24"/>
  <c r="I80" i="24"/>
  <c r="H80" i="24"/>
  <c r="G80" i="24"/>
  <c r="F80" i="24"/>
  <c r="E80" i="24"/>
  <c r="D80" i="24"/>
  <c r="C80" i="24"/>
  <c r="B80" i="24"/>
  <c r="A80" i="24"/>
  <c r="L79" i="24"/>
  <c r="K79" i="24"/>
  <c r="J79" i="24"/>
  <c r="I79" i="24"/>
  <c r="H79" i="24"/>
  <c r="G79" i="24"/>
  <c r="F79" i="24"/>
  <c r="E79" i="24"/>
  <c r="D79" i="24"/>
  <c r="C79" i="24"/>
  <c r="B79" i="24"/>
  <c r="A79" i="24"/>
  <c r="L78" i="24"/>
  <c r="K78" i="24"/>
  <c r="J78" i="24"/>
  <c r="I78" i="24"/>
  <c r="H78" i="24"/>
  <c r="G78" i="24"/>
  <c r="F78" i="24"/>
  <c r="E78" i="24"/>
  <c r="D78" i="24"/>
  <c r="C78" i="24"/>
  <c r="B78" i="24"/>
  <c r="A78" i="24"/>
  <c r="L77" i="24"/>
  <c r="K77" i="24"/>
  <c r="J77" i="24"/>
  <c r="I77" i="24"/>
  <c r="H77" i="24"/>
  <c r="G77" i="24"/>
  <c r="F77" i="24"/>
  <c r="E77" i="24"/>
  <c r="D77" i="24"/>
  <c r="C77" i="24"/>
  <c r="B77" i="24"/>
  <c r="A77" i="24"/>
  <c r="L76" i="24"/>
  <c r="K76" i="24"/>
  <c r="J76" i="24"/>
  <c r="I76" i="24"/>
  <c r="H76" i="24"/>
  <c r="G76" i="24"/>
  <c r="F76" i="24"/>
  <c r="E76" i="24"/>
  <c r="D76" i="24"/>
  <c r="C76" i="24"/>
  <c r="B76" i="24"/>
  <c r="A76" i="24"/>
  <c r="L75" i="24"/>
  <c r="K75" i="24"/>
  <c r="J75" i="24"/>
  <c r="I75" i="24"/>
  <c r="H75" i="24"/>
  <c r="G75" i="24"/>
  <c r="F75" i="24"/>
  <c r="E75" i="24"/>
  <c r="D75" i="24"/>
  <c r="C75" i="24"/>
  <c r="B75" i="24"/>
  <c r="A75" i="24"/>
  <c r="L74" i="24"/>
  <c r="K74" i="24"/>
  <c r="J74" i="24"/>
  <c r="I74" i="24"/>
  <c r="H74" i="24"/>
  <c r="G74" i="24"/>
  <c r="F74" i="24"/>
  <c r="E74" i="24"/>
  <c r="D74" i="24"/>
  <c r="C74" i="24"/>
  <c r="B74" i="24"/>
  <c r="A74" i="24"/>
  <c r="L73" i="24"/>
  <c r="K73" i="24"/>
  <c r="J73" i="24"/>
  <c r="I73" i="24"/>
  <c r="H73" i="24"/>
  <c r="G73" i="24"/>
  <c r="F73" i="24"/>
  <c r="E73" i="24"/>
  <c r="D73" i="24"/>
  <c r="C73" i="24"/>
  <c r="B73" i="24"/>
  <c r="A73" i="24"/>
  <c r="L72" i="24"/>
  <c r="K72" i="24"/>
  <c r="J72" i="24"/>
  <c r="I72" i="24"/>
  <c r="H72" i="24"/>
  <c r="G72" i="24"/>
  <c r="F72" i="24"/>
  <c r="E72" i="24"/>
  <c r="D72" i="24"/>
  <c r="C72" i="24"/>
  <c r="B72" i="24"/>
  <c r="A72" i="24"/>
  <c r="L71" i="24"/>
  <c r="K71" i="24"/>
  <c r="J71" i="24"/>
  <c r="I71" i="24"/>
  <c r="H71" i="24"/>
  <c r="G71" i="24"/>
  <c r="F71" i="24"/>
  <c r="E71" i="24"/>
  <c r="D71" i="24"/>
  <c r="C71" i="24"/>
  <c r="B71" i="24"/>
  <c r="A71" i="24"/>
  <c r="L70" i="24"/>
  <c r="K70" i="24"/>
  <c r="J70" i="24"/>
  <c r="I70" i="24"/>
  <c r="H70" i="24"/>
  <c r="G70" i="24"/>
  <c r="F70" i="24"/>
  <c r="E70" i="24"/>
  <c r="D70" i="24"/>
  <c r="C70" i="24"/>
  <c r="B70" i="24"/>
  <c r="A70" i="24"/>
  <c r="L69" i="24"/>
  <c r="K69" i="24"/>
  <c r="J69" i="24"/>
  <c r="I69" i="24"/>
  <c r="H69" i="24"/>
  <c r="G69" i="24"/>
  <c r="F69" i="24"/>
  <c r="E69" i="24"/>
  <c r="D69" i="24"/>
  <c r="C69" i="24"/>
  <c r="B69" i="24"/>
  <c r="A69" i="24"/>
  <c r="L68" i="24"/>
  <c r="K68" i="24"/>
  <c r="J68" i="24"/>
  <c r="I68" i="24"/>
  <c r="H68" i="24"/>
  <c r="G68" i="24"/>
  <c r="F68" i="24"/>
  <c r="E68" i="24"/>
  <c r="D68" i="24"/>
  <c r="C68" i="24"/>
  <c r="B68" i="24"/>
  <c r="A68" i="24"/>
  <c r="L67" i="24"/>
  <c r="K67" i="24"/>
  <c r="J67" i="24"/>
  <c r="I67" i="24"/>
  <c r="H67" i="24"/>
  <c r="G67" i="24"/>
  <c r="F67" i="24"/>
  <c r="E67" i="24"/>
  <c r="D67" i="24"/>
  <c r="C67" i="24"/>
  <c r="B67" i="24"/>
  <c r="A67" i="24"/>
  <c r="L66" i="24"/>
  <c r="K66" i="24"/>
  <c r="J66" i="24"/>
  <c r="I66" i="24"/>
  <c r="H66" i="24"/>
  <c r="G66" i="24"/>
  <c r="F66" i="24"/>
  <c r="E66" i="24"/>
  <c r="D66" i="24"/>
  <c r="C66" i="24"/>
  <c r="B66" i="24"/>
  <c r="A66" i="24"/>
  <c r="L65" i="24"/>
  <c r="K65" i="24"/>
  <c r="J65" i="24"/>
  <c r="I65" i="24"/>
  <c r="H65" i="24"/>
  <c r="G65" i="24"/>
  <c r="F65" i="24"/>
  <c r="E65" i="24"/>
  <c r="D65" i="24"/>
  <c r="C65" i="24"/>
  <c r="B65" i="24"/>
  <c r="A65" i="24"/>
  <c r="L64" i="24"/>
  <c r="K64" i="24"/>
  <c r="J64" i="24"/>
  <c r="I64" i="24"/>
  <c r="H64" i="24"/>
  <c r="G64" i="24"/>
  <c r="F64" i="24"/>
  <c r="E64" i="24"/>
  <c r="D64" i="24"/>
  <c r="C64" i="24"/>
  <c r="B64" i="24"/>
  <c r="A64" i="24"/>
  <c r="L63" i="24"/>
  <c r="K63" i="24"/>
  <c r="J63" i="24"/>
  <c r="I63" i="24"/>
  <c r="H63" i="24"/>
  <c r="G63" i="24"/>
  <c r="F63" i="24"/>
  <c r="E63" i="24"/>
  <c r="D63" i="24"/>
  <c r="C63" i="24"/>
  <c r="B63" i="24"/>
  <c r="A63" i="24"/>
  <c r="L62" i="24"/>
  <c r="K62" i="24"/>
  <c r="J62" i="24"/>
  <c r="I62" i="24"/>
  <c r="H62" i="24"/>
  <c r="G62" i="24"/>
  <c r="F62" i="24"/>
  <c r="E62" i="24"/>
  <c r="D62" i="24"/>
  <c r="C62" i="24"/>
  <c r="B62" i="24"/>
  <c r="A62" i="24"/>
  <c r="L61" i="24"/>
  <c r="K61" i="24"/>
  <c r="J61" i="24"/>
  <c r="I61" i="24"/>
  <c r="H61" i="24"/>
  <c r="G61" i="24"/>
  <c r="F61" i="24"/>
  <c r="E61" i="24"/>
  <c r="D61" i="24"/>
  <c r="C61" i="24"/>
  <c r="B61" i="24"/>
  <c r="A61" i="24"/>
  <c r="L60" i="24"/>
  <c r="K60" i="24"/>
  <c r="J60" i="24"/>
  <c r="I60" i="24"/>
  <c r="H60" i="24"/>
  <c r="G60" i="24"/>
  <c r="F60" i="24"/>
  <c r="E60" i="24"/>
  <c r="D60" i="24"/>
  <c r="C60" i="24"/>
  <c r="B60" i="24"/>
  <c r="A60" i="24"/>
  <c r="L59" i="24"/>
  <c r="K59" i="24"/>
  <c r="J59" i="24"/>
  <c r="I59" i="24"/>
  <c r="H59" i="24"/>
  <c r="G59" i="24"/>
  <c r="F59" i="24"/>
  <c r="E59" i="24"/>
  <c r="D59" i="24"/>
  <c r="C59" i="24"/>
  <c r="B59" i="24"/>
  <c r="A59" i="24"/>
  <c r="L58" i="24"/>
  <c r="K58" i="24"/>
  <c r="J58" i="24"/>
  <c r="I58" i="24"/>
  <c r="H58" i="24"/>
  <c r="G58" i="24"/>
  <c r="F58" i="24"/>
  <c r="E58" i="24"/>
  <c r="D58" i="24"/>
  <c r="C58" i="24"/>
  <c r="B58" i="24"/>
  <c r="A58" i="24"/>
  <c r="L57" i="24"/>
  <c r="K57" i="24"/>
  <c r="J57" i="24"/>
  <c r="I57" i="24"/>
  <c r="H57" i="24"/>
  <c r="G57" i="24"/>
  <c r="F57" i="24"/>
  <c r="E57" i="24"/>
  <c r="D57" i="24"/>
  <c r="C57" i="24"/>
  <c r="B57" i="24"/>
  <c r="A57" i="24"/>
  <c r="L56" i="24"/>
  <c r="K56" i="24"/>
  <c r="J56" i="24"/>
  <c r="I56" i="24"/>
  <c r="H56" i="24"/>
  <c r="G56" i="24"/>
  <c r="F56" i="24"/>
  <c r="E56" i="24"/>
  <c r="D56" i="24"/>
  <c r="C56" i="24"/>
  <c r="B56" i="24"/>
  <c r="A56" i="24"/>
  <c r="L55" i="24"/>
  <c r="K55" i="24"/>
  <c r="J55" i="24"/>
  <c r="I55" i="24"/>
  <c r="H55" i="24"/>
  <c r="G55" i="24"/>
  <c r="F55" i="24"/>
  <c r="E55" i="24"/>
  <c r="D55" i="24"/>
  <c r="C55" i="24"/>
  <c r="B55" i="24"/>
  <c r="A55" i="24"/>
  <c r="L54" i="24"/>
  <c r="K54" i="24"/>
  <c r="J54" i="24"/>
  <c r="I54" i="24"/>
  <c r="H54" i="24"/>
  <c r="G54" i="24"/>
  <c r="F54" i="24"/>
  <c r="E54" i="24"/>
  <c r="D54" i="24"/>
  <c r="C54" i="24"/>
  <c r="B54" i="24"/>
  <c r="A54" i="24"/>
  <c r="L53" i="24"/>
  <c r="K53" i="24"/>
  <c r="J53" i="24"/>
  <c r="I53" i="24"/>
  <c r="H53" i="24"/>
  <c r="G53" i="24"/>
  <c r="F53" i="24"/>
  <c r="E53" i="24"/>
  <c r="D53" i="24"/>
  <c r="C53" i="24"/>
  <c r="B53" i="24"/>
  <c r="A53" i="24"/>
  <c r="L52" i="24"/>
  <c r="K52" i="24"/>
  <c r="J52" i="24"/>
  <c r="I52" i="24"/>
  <c r="H52" i="24"/>
  <c r="G52" i="24"/>
  <c r="F52" i="24"/>
  <c r="E52" i="24"/>
  <c r="D52" i="24"/>
  <c r="C52" i="24"/>
  <c r="B52" i="24"/>
  <c r="A52" i="24"/>
  <c r="L51" i="24"/>
  <c r="K51" i="24"/>
  <c r="J51" i="24"/>
  <c r="I51" i="24"/>
  <c r="H51" i="24"/>
  <c r="G51" i="24"/>
  <c r="F51" i="24"/>
  <c r="E51" i="24"/>
  <c r="D51" i="24"/>
  <c r="C51" i="24"/>
  <c r="B51" i="24"/>
  <c r="A51" i="24"/>
  <c r="L50" i="24"/>
  <c r="K50" i="24"/>
  <c r="J50" i="24"/>
  <c r="I50" i="24"/>
  <c r="H50" i="24"/>
  <c r="G50" i="24"/>
  <c r="F50" i="24"/>
  <c r="E50" i="24"/>
  <c r="D50" i="24"/>
  <c r="C50" i="24"/>
  <c r="B50" i="24"/>
  <c r="A50" i="24"/>
  <c r="L49" i="24"/>
  <c r="K49" i="24"/>
  <c r="J49" i="24"/>
  <c r="I49" i="24"/>
  <c r="H49" i="24"/>
  <c r="G49" i="24"/>
  <c r="F49" i="24"/>
  <c r="E49" i="24"/>
  <c r="D49" i="24"/>
  <c r="C49" i="24"/>
  <c r="B49" i="24"/>
  <c r="A49" i="24"/>
  <c r="L48" i="24"/>
  <c r="K48" i="24"/>
  <c r="J48" i="24"/>
  <c r="I48" i="24"/>
  <c r="H48" i="24"/>
  <c r="G48" i="24"/>
  <c r="F48" i="24"/>
  <c r="E48" i="24"/>
  <c r="D48" i="24"/>
  <c r="C48" i="24"/>
  <c r="B48" i="24"/>
  <c r="A48" i="24"/>
  <c r="L47" i="24"/>
  <c r="K47" i="24"/>
  <c r="J47" i="24"/>
  <c r="I47" i="24"/>
  <c r="H47" i="24"/>
  <c r="G47" i="24"/>
  <c r="F47" i="24"/>
  <c r="E47" i="24"/>
  <c r="D47" i="24"/>
  <c r="C47" i="24"/>
  <c r="B47" i="24"/>
  <c r="A47" i="24"/>
  <c r="L46" i="24"/>
  <c r="K46" i="24"/>
  <c r="J46" i="24"/>
  <c r="I46" i="24"/>
  <c r="H46" i="24"/>
  <c r="G46" i="24"/>
  <c r="F46" i="24"/>
  <c r="E46" i="24"/>
  <c r="D46" i="24"/>
  <c r="C46" i="24"/>
  <c r="B46" i="24"/>
  <c r="A46" i="24"/>
  <c r="L45" i="24"/>
  <c r="K45" i="24"/>
  <c r="J45" i="24"/>
  <c r="I45" i="24"/>
  <c r="H45" i="24"/>
  <c r="G45" i="24"/>
  <c r="F45" i="24"/>
  <c r="E45" i="24"/>
  <c r="D45" i="24"/>
  <c r="C45" i="24"/>
  <c r="B45" i="24"/>
  <c r="A45" i="24"/>
  <c r="L44" i="24"/>
  <c r="K44" i="24"/>
  <c r="J44" i="24"/>
  <c r="I44" i="24"/>
  <c r="H44" i="24"/>
  <c r="G44" i="24"/>
  <c r="F44" i="24"/>
  <c r="E44" i="24"/>
  <c r="D44" i="24"/>
  <c r="C44" i="24"/>
  <c r="B44" i="24"/>
  <c r="A44" i="24"/>
  <c r="L43" i="24"/>
  <c r="K43" i="24"/>
  <c r="J43" i="24"/>
  <c r="I43" i="24"/>
  <c r="H43" i="24"/>
  <c r="G43" i="24"/>
  <c r="F43" i="24"/>
  <c r="E43" i="24"/>
  <c r="D43" i="24"/>
  <c r="C43" i="24"/>
  <c r="B43" i="24"/>
  <c r="A43" i="24"/>
  <c r="L42" i="24"/>
  <c r="K42" i="24"/>
  <c r="J42" i="24"/>
  <c r="I42" i="24"/>
  <c r="H42" i="24"/>
  <c r="G42" i="24"/>
  <c r="F42" i="24"/>
  <c r="E42" i="24"/>
  <c r="D42" i="24"/>
  <c r="C42" i="24"/>
  <c r="B42" i="24"/>
  <c r="A42" i="24"/>
  <c r="L41" i="24"/>
  <c r="K41" i="24"/>
  <c r="J41" i="24"/>
  <c r="I41" i="24"/>
  <c r="H41" i="24"/>
  <c r="G41" i="24"/>
  <c r="F41" i="24"/>
  <c r="E41" i="24"/>
  <c r="D41" i="24"/>
  <c r="C41" i="24"/>
  <c r="B41" i="24"/>
  <c r="A41" i="24"/>
  <c r="L40" i="24"/>
  <c r="K40" i="24"/>
  <c r="J40" i="24"/>
  <c r="I40" i="24"/>
  <c r="H40" i="24"/>
  <c r="G40" i="24"/>
  <c r="F40" i="24"/>
  <c r="E40" i="24"/>
  <c r="D40" i="24"/>
  <c r="C40" i="24"/>
  <c r="B40" i="24"/>
  <c r="A40" i="24"/>
  <c r="L39" i="24"/>
  <c r="K39" i="24"/>
  <c r="J39" i="24"/>
  <c r="I39" i="24"/>
  <c r="H39" i="24"/>
  <c r="G39" i="24"/>
  <c r="F39" i="24"/>
  <c r="E39" i="24"/>
  <c r="D39" i="24"/>
  <c r="C39" i="24"/>
  <c r="B39" i="24"/>
  <c r="A39" i="24"/>
  <c r="L38" i="24"/>
  <c r="K38" i="24"/>
  <c r="J38" i="24"/>
  <c r="I38" i="24"/>
  <c r="H38" i="24"/>
  <c r="G38" i="24"/>
  <c r="F38" i="24"/>
  <c r="E38" i="24"/>
  <c r="D38" i="24"/>
  <c r="C38" i="24"/>
  <c r="B38" i="24"/>
  <c r="A38" i="24"/>
  <c r="L37" i="24"/>
  <c r="K37" i="24"/>
  <c r="J37" i="24"/>
  <c r="I37" i="24"/>
  <c r="H37" i="24"/>
  <c r="G37" i="24"/>
  <c r="F37" i="24"/>
  <c r="E37" i="24"/>
  <c r="D37" i="24"/>
  <c r="C37" i="24"/>
  <c r="B37" i="24"/>
  <c r="A37" i="24"/>
  <c r="L36" i="24"/>
  <c r="K36" i="24"/>
  <c r="J36" i="24"/>
  <c r="I36" i="24"/>
  <c r="H36" i="24"/>
  <c r="G36" i="24"/>
  <c r="F36" i="24"/>
  <c r="E36" i="24"/>
  <c r="D36" i="24"/>
  <c r="C36" i="24"/>
  <c r="B36" i="24"/>
  <c r="A36" i="24"/>
  <c r="L35" i="24"/>
  <c r="K35" i="24"/>
  <c r="J35" i="24"/>
  <c r="I35" i="24"/>
  <c r="H35" i="24"/>
  <c r="G35" i="24"/>
  <c r="F35" i="24"/>
  <c r="E35" i="24"/>
  <c r="D35" i="24"/>
  <c r="C35" i="24"/>
  <c r="B35" i="24"/>
  <c r="A35" i="24"/>
  <c r="L34" i="24"/>
  <c r="K34" i="24"/>
  <c r="J34" i="24"/>
  <c r="I34" i="24"/>
  <c r="H34" i="24"/>
  <c r="G34" i="24"/>
  <c r="F34" i="24"/>
  <c r="E34" i="24"/>
  <c r="D34" i="24"/>
  <c r="C34" i="24"/>
  <c r="B34" i="24"/>
  <c r="A34" i="24"/>
  <c r="L33" i="24"/>
  <c r="K33" i="24"/>
  <c r="J33" i="24"/>
  <c r="I33" i="24"/>
  <c r="H33" i="24"/>
  <c r="G33" i="24"/>
  <c r="F33" i="24"/>
  <c r="E33" i="24"/>
  <c r="D33" i="24"/>
  <c r="C33" i="24"/>
  <c r="B33" i="24"/>
  <c r="A33" i="24"/>
  <c r="L32" i="24"/>
  <c r="K32" i="24"/>
  <c r="J32" i="24"/>
  <c r="I32" i="24"/>
  <c r="H32" i="24"/>
  <c r="G32" i="24"/>
  <c r="F32" i="24"/>
  <c r="E32" i="24"/>
  <c r="D32" i="24"/>
  <c r="C32" i="24"/>
  <c r="B32" i="24"/>
  <c r="A32" i="24"/>
  <c r="L31" i="24"/>
  <c r="K31" i="24"/>
  <c r="J31" i="24"/>
  <c r="I31" i="24"/>
  <c r="H31" i="24"/>
  <c r="G31" i="24"/>
  <c r="F31" i="24"/>
  <c r="E31" i="24"/>
  <c r="D31" i="24"/>
  <c r="C31" i="24"/>
  <c r="B31" i="24"/>
  <c r="A31" i="24"/>
  <c r="L30" i="24"/>
  <c r="K30" i="24"/>
  <c r="J30" i="24"/>
  <c r="I30" i="24"/>
  <c r="H30" i="24"/>
  <c r="G30" i="24"/>
  <c r="F30" i="24"/>
  <c r="E30" i="24"/>
  <c r="D30" i="24"/>
  <c r="C30" i="24"/>
  <c r="B30" i="24"/>
  <c r="A30" i="24"/>
  <c r="L29" i="24"/>
  <c r="K29" i="24"/>
  <c r="J29" i="24"/>
  <c r="I29" i="24"/>
  <c r="H29" i="24"/>
  <c r="G29" i="24"/>
  <c r="F29" i="24"/>
  <c r="E29" i="24"/>
  <c r="D29" i="24"/>
  <c r="C29" i="24"/>
  <c r="B29" i="24"/>
  <c r="A29" i="24"/>
  <c r="L28" i="24"/>
  <c r="K28" i="24"/>
  <c r="J28" i="24"/>
  <c r="I28" i="24"/>
  <c r="H28" i="24"/>
  <c r="G28" i="24"/>
  <c r="F28" i="24"/>
  <c r="E28" i="24"/>
  <c r="D28" i="24"/>
  <c r="C28" i="24"/>
  <c r="B28" i="24"/>
  <c r="A28" i="24"/>
  <c r="L27" i="24"/>
  <c r="K27" i="24"/>
  <c r="J27" i="24"/>
  <c r="I27" i="24"/>
  <c r="H27" i="24"/>
  <c r="G27" i="24"/>
  <c r="F27" i="24"/>
  <c r="E27" i="24"/>
  <c r="D27" i="24"/>
  <c r="C27" i="24"/>
  <c r="B27" i="24"/>
  <c r="A27" i="24"/>
  <c r="L26" i="24"/>
  <c r="K26" i="24"/>
  <c r="J26" i="24"/>
  <c r="I26" i="24"/>
  <c r="H26" i="24"/>
  <c r="G26" i="24"/>
  <c r="F26" i="24"/>
  <c r="E26" i="24"/>
  <c r="D26" i="24"/>
  <c r="C26" i="24"/>
  <c r="B26" i="24"/>
  <c r="A26" i="24"/>
  <c r="L25" i="24"/>
  <c r="K25" i="24"/>
  <c r="J25" i="24"/>
  <c r="I25" i="24"/>
  <c r="H25" i="24"/>
  <c r="G25" i="24"/>
  <c r="F25" i="24"/>
  <c r="E25" i="24"/>
  <c r="D25" i="24"/>
  <c r="C25" i="24"/>
  <c r="B25" i="24"/>
  <c r="A25" i="24"/>
  <c r="L24" i="24"/>
  <c r="K24" i="24"/>
  <c r="J24" i="24"/>
  <c r="I24" i="24"/>
  <c r="H24" i="24"/>
  <c r="G24" i="24"/>
  <c r="F24" i="24"/>
  <c r="E24" i="24"/>
  <c r="D24" i="24"/>
  <c r="C24" i="24"/>
  <c r="B24" i="24"/>
  <c r="A24" i="24"/>
  <c r="L23" i="24"/>
  <c r="K23" i="24"/>
  <c r="J23" i="24"/>
  <c r="I23" i="24"/>
  <c r="H23" i="24"/>
  <c r="G23" i="24"/>
  <c r="F23" i="24"/>
  <c r="E23" i="24"/>
  <c r="D23" i="24"/>
  <c r="C23" i="24"/>
  <c r="B23" i="24"/>
  <c r="A23" i="24"/>
  <c r="L22" i="24"/>
  <c r="K22" i="24"/>
  <c r="J22" i="24"/>
  <c r="I22" i="24"/>
  <c r="H22" i="24"/>
  <c r="G22" i="24"/>
  <c r="F22" i="24"/>
  <c r="E22" i="24"/>
  <c r="D22" i="24"/>
  <c r="C22" i="24"/>
  <c r="B22" i="24"/>
  <c r="A22" i="24"/>
  <c r="L21" i="24"/>
  <c r="K21" i="24"/>
  <c r="J21" i="24"/>
  <c r="I21" i="24"/>
  <c r="H21" i="24"/>
  <c r="G21" i="24"/>
  <c r="F21" i="24"/>
  <c r="E21" i="24"/>
  <c r="D21" i="24"/>
  <c r="C21" i="24"/>
  <c r="B21" i="24"/>
  <c r="A21" i="24"/>
  <c r="L20" i="24"/>
  <c r="K20" i="24"/>
  <c r="J20" i="24"/>
  <c r="I20" i="24"/>
  <c r="H20" i="24"/>
  <c r="G20" i="24"/>
  <c r="F20" i="24"/>
  <c r="E20" i="24"/>
  <c r="D20" i="24"/>
  <c r="C20" i="24"/>
  <c r="B20" i="24"/>
  <c r="A20" i="24"/>
  <c r="L19" i="24"/>
  <c r="K19" i="24"/>
  <c r="J19" i="24"/>
  <c r="I19" i="24"/>
  <c r="H19" i="24"/>
  <c r="G19" i="24"/>
  <c r="F19" i="24"/>
  <c r="E19" i="24"/>
  <c r="D19" i="24"/>
  <c r="C19" i="24"/>
  <c r="B19" i="24"/>
  <c r="A19" i="24"/>
  <c r="L18" i="24"/>
  <c r="K18" i="24"/>
  <c r="J18" i="24"/>
  <c r="I18" i="24"/>
  <c r="H18" i="24"/>
  <c r="G18" i="24"/>
  <c r="F18" i="24"/>
  <c r="E18" i="24"/>
  <c r="D18" i="24"/>
  <c r="C18" i="24"/>
  <c r="B18" i="24"/>
  <c r="A18" i="24"/>
  <c r="L17" i="24"/>
  <c r="K17" i="24"/>
  <c r="J17" i="24"/>
  <c r="I17" i="24"/>
  <c r="H17" i="24"/>
  <c r="G17" i="24"/>
  <c r="F17" i="24"/>
  <c r="E17" i="24"/>
  <c r="D17" i="24"/>
  <c r="C17" i="24"/>
  <c r="B17" i="24"/>
  <c r="A17" i="24"/>
  <c r="L16" i="24"/>
  <c r="K16" i="24"/>
  <c r="J16" i="24"/>
  <c r="I16" i="24"/>
  <c r="H16" i="24"/>
  <c r="G16" i="24"/>
  <c r="F16" i="24"/>
  <c r="E16" i="24"/>
  <c r="D16" i="24"/>
  <c r="C16" i="24"/>
  <c r="B16" i="24"/>
  <c r="A16" i="24"/>
  <c r="L15" i="24"/>
  <c r="K15" i="24"/>
  <c r="J15" i="24"/>
  <c r="I15" i="24"/>
  <c r="H15" i="24"/>
  <c r="G15" i="24"/>
  <c r="F15" i="24"/>
  <c r="E15" i="24"/>
  <c r="D15" i="24"/>
  <c r="C15" i="24"/>
  <c r="B15" i="24"/>
  <c r="A15" i="24"/>
  <c r="L14" i="24"/>
  <c r="K14" i="24"/>
  <c r="J14" i="24"/>
  <c r="I14" i="24"/>
  <c r="H14" i="24"/>
  <c r="G14" i="24"/>
  <c r="F14" i="24"/>
  <c r="E14" i="24"/>
  <c r="D14" i="24"/>
  <c r="C14" i="24"/>
  <c r="B14" i="24"/>
  <c r="A14" i="24"/>
  <c r="L13" i="24"/>
  <c r="K13" i="24"/>
  <c r="J13" i="24"/>
  <c r="I13" i="24"/>
  <c r="H13" i="24"/>
  <c r="G13" i="24"/>
  <c r="F13" i="24"/>
  <c r="E13" i="24"/>
  <c r="D13" i="24"/>
  <c r="C13" i="24"/>
  <c r="B13" i="24"/>
  <c r="A13" i="24"/>
  <c r="L12" i="24"/>
  <c r="K12" i="24"/>
  <c r="J12" i="24"/>
  <c r="I12" i="24"/>
  <c r="H12" i="24"/>
  <c r="G12" i="24"/>
  <c r="F12" i="24"/>
  <c r="E12" i="24"/>
  <c r="D12" i="24"/>
  <c r="C12" i="24"/>
  <c r="B12" i="24"/>
  <c r="A12" i="24"/>
  <c r="L11" i="24"/>
  <c r="K11" i="24"/>
  <c r="J11" i="24"/>
  <c r="I11" i="24"/>
  <c r="H11" i="24"/>
  <c r="G11" i="24"/>
  <c r="F11" i="24"/>
  <c r="E11" i="24"/>
  <c r="D11" i="24"/>
  <c r="C11" i="24"/>
  <c r="B11" i="24"/>
  <c r="A11" i="24"/>
  <c r="L10" i="24"/>
  <c r="K10" i="24"/>
  <c r="J10" i="24"/>
  <c r="I10" i="24"/>
  <c r="H10" i="24"/>
  <c r="G10" i="24"/>
  <c r="F10" i="24"/>
  <c r="E10" i="24"/>
  <c r="D10" i="24"/>
  <c r="C10" i="24"/>
  <c r="B10" i="24"/>
  <c r="A10" i="24"/>
  <c r="L9" i="24"/>
  <c r="K9" i="24"/>
  <c r="J9" i="24"/>
  <c r="I9" i="24"/>
  <c r="H9" i="24"/>
  <c r="G9" i="24"/>
  <c r="F9" i="24"/>
  <c r="E9" i="24"/>
  <c r="D9" i="24"/>
  <c r="C9" i="24"/>
  <c r="B9" i="24"/>
  <c r="A9" i="24"/>
  <c r="L8" i="24"/>
  <c r="K8" i="24"/>
  <c r="J8" i="24"/>
  <c r="I8" i="24"/>
  <c r="H8" i="24"/>
  <c r="G8" i="24"/>
  <c r="F8" i="24"/>
  <c r="E8" i="24"/>
  <c r="D8" i="24"/>
  <c r="C8" i="24"/>
  <c r="B8" i="24"/>
  <c r="A8" i="24"/>
  <c r="L7" i="24"/>
  <c r="K7" i="24"/>
  <c r="J7" i="24"/>
  <c r="I7" i="24"/>
  <c r="H7" i="24"/>
  <c r="G7" i="24"/>
  <c r="F7" i="24"/>
  <c r="E7" i="24"/>
  <c r="D7" i="24"/>
  <c r="C7" i="24"/>
  <c r="B7" i="24"/>
  <c r="A7" i="24"/>
  <c r="L6" i="24"/>
  <c r="K6" i="24"/>
  <c r="J6" i="24"/>
  <c r="I6" i="24"/>
  <c r="H6" i="24"/>
  <c r="G6" i="24"/>
  <c r="F6" i="24"/>
  <c r="E6" i="24"/>
  <c r="D6" i="24"/>
  <c r="C6" i="24"/>
  <c r="B6" i="24"/>
  <c r="A6" i="24"/>
  <c r="L5" i="24"/>
  <c r="K5" i="24"/>
  <c r="J5" i="24"/>
  <c r="I5" i="24"/>
  <c r="H5" i="24"/>
  <c r="G5" i="24"/>
  <c r="F5" i="24"/>
  <c r="E5" i="24"/>
  <c r="D5" i="24"/>
  <c r="C5" i="24"/>
  <c r="B5" i="24"/>
  <c r="A5" i="24"/>
  <c r="L4" i="24"/>
  <c r="K4" i="24"/>
  <c r="J4" i="24"/>
  <c r="I4" i="24"/>
  <c r="H4" i="24"/>
  <c r="G4" i="24"/>
  <c r="F4" i="24"/>
  <c r="E4" i="24"/>
  <c r="D4" i="24"/>
  <c r="C4" i="24"/>
  <c r="B4" i="24"/>
  <c r="A4" i="24"/>
  <c r="L3" i="24"/>
  <c r="K3" i="24"/>
  <c r="J3" i="24"/>
  <c r="I3" i="24"/>
  <c r="H3" i="24"/>
  <c r="G3" i="24"/>
  <c r="F3" i="24"/>
  <c r="E3" i="24"/>
  <c r="D3" i="24"/>
  <c r="C3" i="24"/>
  <c r="B3" i="24"/>
  <c r="A3" i="24"/>
  <c r="D10" i="22"/>
  <c r="C10" i="22"/>
  <c r="D1" i="26" l="1"/>
  <c r="A1" i="26"/>
  <c r="E1" i="26"/>
  <c r="I1" i="26"/>
  <c r="AU400" i="30"/>
  <c r="AU399" i="30"/>
  <c r="AU398" i="30"/>
  <c r="AU397" i="30"/>
  <c r="AU396" i="30"/>
  <c r="AU395" i="30"/>
  <c r="AU394" i="30"/>
  <c r="AU393" i="30"/>
  <c r="AU392" i="30"/>
  <c r="AU391" i="30"/>
  <c r="AU390" i="30"/>
  <c r="AU389" i="30"/>
  <c r="AU388" i="30"/>
  <c r="AU387" i="30"/>
  <c r="AU386" i="30"/>
  <c r="AU385" i="30"/>
  <c r="AU384" i="30"/>
  <c r="AU383" i="30"/>
  <c r="AU382" i="30"/>
  <c r="AU381" i="30"/>
  <c r="AU380" i="30"/>
  <c r="AU379" i="30"/>
  <c r="AU378" i="30"/>
  <c r="AU377" i="30"/>
  <c r="AU376" i="30"/>
  <c r="AU375" i="30"/>
  <c r="AU374" i="30"/>
  <c r="AU373" i="30"/>
  <c r="AU372" i="30"/>
  <c r="AU371" i="30"/>
  <c r="AU370" i="30"/>
  <c r="AU369" i="30"/>
  <c r="AU368" i="30"/>
  <c r="AU367" i="30"/>
  <c r="AU366" i="30"/>
  <c r="AU365" i="30"/>
  <c r="AU364" i="30"/>
  <c r="AU363" i="30"/>
  <c r="AU362" i="30"/>
  <c r="AU361" i="30"/>
  <c r="AU360" i="30"/>
  <c r="AU359" i="30"/>
  <c r="AU358" i="30"/>
  <c r="AU357" i="30"/>
  <c r="AU356" i="30"/>
  <c r="AU355" i="30"/>
  <c r="AU354" i="30"/>
  <c r="AU353" i="30"/>
  <c r="AU352" i="30"/>
  <c r="AU351" i="30"/>
  <c r="AU350" i="30"/>
  <c r="AU349" i="30"/>
  <c r="AU348" i="30"/>
  <c r="AU347" i="30"/>
  <c r="AU346" i="30"/>
  <c r="AU345" i="30"/>
  <c r="AU344" i="30"/>
  <c r="AU343" i="30"/>
  <c r="AU342" i="30"/>
  <c r="AU341" i="30"/>
  <c r="AU340" i="30"/>
  <c r="AU339" i="30"/>
  <c r="AU338" i="30"/>
  <c r="AU337" i="30"/>
  <c r="AU336" i="30"/>
  <c r="AU335" i="30"/>
  <c r="AU334" i="30"/>
  <c r="AU333" i="30"/>
  <c r="AU332" i="30"/>
  <c r="AU331" i="30"/>
  <c r="AU330" i="30"/>
  <c r="AU329" i="30"/>
  <c r="AU328" i="30"/>
  <c r="AU327" i="30"/>
  <c r="AU326" i="30"/>
  <c r="AU325" i="30"/>
  <c r="AU324" i="30"/>
  <c r="AU323" i="30"/>
  <c r="AU322" i="30"/>
  <c r="AU321" i="30"/>
  <c r="AU320" i="30"/>
  <c r="AU319" i="30"/>
  <c r="AU318" i="30"/>
  <c r="AU317" i="30"/>
  <c r="AU316" i="30"/>
  <c r="AU315" i="30"/>
  <c r="AU314" i="30"/>
  <c r="AU313" i="30"/>
  <c r="AU312" i="30"/>
  <c r="AU311" i="30"/>
  <c r="AU310" i="30"/>
  <c r="AU309" i="30"/>
  <c r="AU308" i="30"/>
  <c r="AU307" i="30"/>
  <c r="AU306" i="30"/>
  <c r="AU305" i="30"/>
  <c r="AU304" i="30"/>
  <c r="AU303" i="30"/>
  <c r="AU302" i="30"/>
  <c r="AU301" i="30"/>
  <c r="AU300" i="30"/>
  <c r="AU299" i="30"/>
  <c r="AU298" i="30"/>
  <c r="AU297" i="30"/>
  <c r="AU296" i="30"/>
  <c r="AU295" i="30"/>
  <c r="AU294" i="30"/>
  <c r="AU293" i="30"/>
  <c r="AU292" i="30"/>
  <c r="AU291" i="30"/>
  <c r="AU290" i="30"/>
  <c r="AU289" i="30"/>
  <c r="AU288" i="30"/>
  <c r="AU287" i="30"/>
  <c r="AU286" i="30"/>
  <c r="AU285" i="30"/>
  <c r="AU284" i="30"/>
  <c r="AU283" i="30"/>
  <c r="AU282" i="30"/>
  <c r="AU281" i="30"/>
  <c r="AU280" i="30"/>
  <c r="AU279" i="30"/>
  <c r="AU278" i="30"/>
  <c r="AU277" i="30"/>
  <c r="AU276" i="30"/>
  <c r="AU275" i="30"/>
  <c r="AU274" i="30"/>
  <c r="AU273" i="30"/>
  <c r="AU272" i="30"/>
  <c r="AU271" i="30"/>
  <c r="AU270" i="30"/>
  <c r="AU269" i="30"/>
  <c r="AU268" i="30"/>
  <c r="AU267" i="30"/>
  <c r="AU266" i="30"/>
  <c r="AU265" i="30"/>
  <c r="AU264" i="30"/>
  <c r="AU263" i="30"/>
  <c r="AU262" i="30"/>
  <c r="AU261" i="30"/>
  <c r="AU260" i="30"/>
  <c r="AU259" i="30"/>
  <c r="AU258" i="30"/>
  <c r="AU257" i="30"/>
  <c r="AU256" i="30"/>
  <c r="AU255" i="30"/>
  <c r="AU254" i="30"/>
  <c r="AU253" i="30"/>
  <c r="AU252" i="30"/>
  <c r="AU251" i="30"/>
  <c r="AU250" i="30"/>
  <c r="AU249" i="30"/>
  <c r="AU248" i="30"/>
  <c r="AU247" i="30"/>
  <c r="AU246" i="30"/>
  <c r="AU245" i="30"/>
  <c r="AU244" i="30"/>
  <c r="AU243" i="30"/>
  <c r="AU242" i="30"/>
  <c r="AU241" i="30"/>
  <c r="AU240" i="30"/>
  <c r="AU239" i="30"/>
  <c r="AU238" i="30"/>
  <c r="AU237" i="30"/>
  <c r="AU236" i="30"/>
  <c r="AU235" i="30"/>
  <c r="AU234" i="30"/>
  <c r="AU233" i="30"/>
  <c r="AU232" i="30"/>
  <c r="AU231" i="30"/>
  <c r="AU230" i="30"/>
  <c r="AU229" i="30"/>
  <c r="AU228" i="30"/>
  <c r="AU227" i="30"/>
  <c r="AU226" i="30"/>
  <c r="AU225" i="30"/>
  <c r="AU224" i="30"/>
  <c r="AU223" i="30"/>
  <c r="AU222" i="30"/>
  <c r="AU221" i="30"/>
  <c r="AU220" i="30"/>
  <c r="AU219" i="30"/>
  <c r="AU218" i="30"/>
  <c r="AU217" i="30"/>
  <c r="AU216" i="30"/>
  <c r="AU215" i="30"/>
  <c r="AU214" i="30"/>
  <c r="AU213" i="30"/>
  <c r="AU212" i="30"/>
  <c r="AU211" i="30"/>
  <c r="AU210" i="30"/>
  <c r="AU209" i="30"/>
  <c r="AU208" i="30"/>
  <c r="AU207" i="30"/>
  <c r="AU206" i="30"/>
  <c r="AU205" i="30"/>
  <c r="AU204" i="30"/>
  <c r="AU203" i="30"/>
  <c r="AU202" i="30"/>
  <c r="AU201" i="30"/>
  <c r="AU200" i="30"/>
  <c r="AU199" i="30"/>
  <c r="AU198" i="30"/>
  <c r="AU197" i="30"/>
  <c r="AU196" i="30"/>
  <c r="AU195" i="30"/>
  <c r="AU194" i="30"/>
  <c r="AU193" i="30"/>
  <c r="AU192" i="30"/>
  <c r="AU191" i="30"/>
  <c r="AU190" i="30"/>
  <c r="AU189" i="30"/>
  <c r="AU188" i="30"/>
  <c r="AU187" i="30"/>
  <c r="AU186" i="30"/>
  <c r="AU185" i="30"/>
  <c r="AU184" i="30"/>
  <c r="AU183" i="30"/>
  <c r="AU182" i="30"/>
  <c r="AU181" i="30"/>
  <c r="AU180" i="30"/>
  <c r="AU179" i="30"/>
  <c r="AU178" i="30"/>
  <c r="AU177" i="30"/>
  <c r="AU176" i="30"/>
  <c r="AU175" i="30"/>
  <c r="AU174" i="30"/>
  <c r="AU173" i="30"/>
  <c r="AU172" i="30"/>
  <c r="AU171" i="30"/>
  <c r="AU170" i="30"/>
  <c r="AU169" i="30"/>
  <c r="AU168" i="30"/>
  <c r="AU167" i="30"/>
  <c r="AU166" i="30"/>
  <c r="AU165" i="30"/>
  <c r="AU164" i="30"/>
  <c r="AU163" i="30"/>
  <c r="AU162" i="30"/>
  <c r="AU161" i="30"/>
  <c r="AU160" i="30"/>
  <c r="AU159" i="30"/>
  <c r="AU158" i="30"/>
  <c r="AU157" i="30"/>
  <c r="AU156" i="30"/>
  <c r="AU155" i="30"/>
  <c r="AU154" i="30"/>
  <c r="AU153" i="30"/>
  <c r="AU152" i="30"/>
  <c r="AU150" i="30"/>
  <c r="AU149" i="30"/>
  <c r="AU147" i="30"/>
  <c r="AU146" i="30"/>
  <c r="AU145" i="30"/>
  <c r="AU144" i="30"/>
  <c r="AU143" i="30"/>
  <c r="AU141" i="30"/>
  <c r="AU140" i="30"/>
  <c r="AU139" i="30"/>
  <c r="AU137" i="30"/>
  <c r="AU136" i="30"/>
  <c r="AU135" i="30"/>
  <c r="AU134" i="30"/>
  <c r="AU128" i="30"/>
  <c r="AU127" i="30"/>
  <c r="AU126" i="30"/>
  <c r="AU125" i="30"/>
  <c r="AU124" i="30"/>
  <c r="AU123" i="30"/>
  <c r="AU122" i="30"/>
  <c r="AU120" i="30"/>
  <c r="AU119" i="30"/>
  <c r="AU118" i="30"/>
  <c r="AU115" i="30"/>
  <c r="AU114" i="30"/>
  <c r="AU113" i="30"/>
  <c r="AU110" i="30"/>
  <c r="AU109" i="30"/>
  <c r="AU108" i="30"/>
  <c r="AU107" i="30"/>
  <c r="AU106" i="30"/>
  <c r="AU105" i="30"/>
  <c r="AU103" i="30"/>
  <c r="AU102" i="30"/>
  <c r="AU101" i="30"/>
  <c r="AU100" i="30"/>
  <c r="AU99" i="30"/>
  <c r="AU98" i="30"/>
  <c r="AU97" i="30"/>
  <c r="AU96" i="30"/>
  <c r="AU95" i="30"/>
  <c r="AU94" i="30"/>
  <c r="AU93" i="30"/>
  <c r="AU92" i="30"/>
  <c r="AU91" i="30"/>
  <c r="AU90" i="30"/>
  <c r="AU85" i="30"/>
  <c r="AU84" i="30"/>
  <c r="AU83" i="30"/>
  <c r="AU80" i="30"/>
  <c r="AU79" i="30"/>
  <c r="AU78" i="30"/>
  <c r="AU77" i="30"/>
  <c r="AU76" i="30"/>
  <c r="AU73" i="30"/>
  <c r="AU72" i="30"/>
  <c r="AU71" i="30"/>
  <c r="AU64" i="30"/>
  <c r="AU63" i="30"/>
  <c r="AU62" i="30"/>
  <c r="AU60" i="30"/>
  <c r="AU59" i="30"/>
  <c r="AU58" i="30"/>
  <c r="AU57" i="30"/>
  <c r="AU56" i="30"/>
  <c r="AU55" i="30"/>
  <c r="AU54" i="30"/>
  <c r="AU53" i="30"/>
  <c r="AU52" i="30"/>
  <c r="AU51" i="30"/>
  <c r="AU50" i="30"/>
  <c r="AU49" i="30"/>
  <c r="AU48" i="30"/>
  <c r="AU46" i="30"/>
  <c r="AU44" i="30"/>
  <c r="AU43" i="30"/>
  <c r="AU42" i="30"/>
  <c r="AU41" i="30"/>
  <c r="AU35" i="30"/>
  <c r="AU34" i="30"/>
  <c r="AU32" i="30"/>
  <c r="AU31" i="30"/>
  <c r="AU30" i="30"/>
  <c r="AU29" i="30"/>
  <c r="AU28" i="30"/>
  <c r="AU21" i="30"/>
  <c r="AU20" i="30"/>
  <c r="AU19" i="30"/>
  <c r="AU18" i="30"/>
  <c r="AU17" i="30"/>
  <c r="AU15" i="30"/>
  <c r="AU14" i="30"/>
  <c r="AU13" i="30"/>
  <c r="AU10" i="30"/>
  <c r="AU9" i="30"/>
  <c r="AU8" i="30"/>
  <c r="AU7" i="30"/>
  <c r="AU6" i="30"/>
  <c r="AU3" i="30"/>
  <c r="AQ400" i="30"/>
  <c r="AQ399" i="30"/>
  <c r="AQ398" i="30"/>
  <c r="AQ397" i="30"/>
  <c r="AQ396" i="30"/>
  <c r="AQ395" i="30"/>
  <c r="AQ394" i="30"/>
  <c r="AQ393" i="30"/>
  <c r="AQ392" i="30"/>
  <c r="AQ391" i="30"/>
  <c r="AQ390" i="30"/>
  <c r="AQ389" i="30"/>
  <c r="AQ388" i="30"/>
  <c r="AQ387" i="30"/>
  <c r="AQ386" i="30"/>
  <c r="AQ385" i="30"/>
  <c r="AQ384" i="30"/>
  <c r="AQ383" i="30"/>
  <c r="AQ382" i="30"/>
  <c r="AQ381" i="30"/>
  <c r="AQ380" i="30"/>
  <c r="AQ379" i="30"/>
  <c r="AQ378" i="30"/>
  <c r="AQ377" i="30"/>
  <c r="AQ376" i="30"/>
  <c r="AQ375" i="30"/>
  <c r="AQ374" i="30"/>
  <c r="AQ373" i="30"/>
  <c r="AQ372" i="30"/>
  <c r="AQ371" i="30"/>
  <c r="AQ370" i="30"/>
  <c r="AQ369" i="30"/>
  <c r="AQ368" i="30"/>
  <c r="AQ367" i="30"/>
  <c r="AQ366" i="30"/>
  <c r="AQ365" i="30"/>
  <c r="AQ364" i="30"/>
  <c r="AQ363" i="30"/>
  <c r="AQ362" i="30"/>
  <c r="AQ361" i="30"/>
  <c r="AQ360" i="30"/>
  <c r="AQ359" i="30"/>
  <c r="AQ358" i="30"/>
  <c r="AQ357" i="30"/>
  <c r="AQ356" i="30"/>
  <c r="AQ355" i="30"/>
  <c r="AQ354" i="30"/>
  <c r="AQ353" i="30"/>
  <c r="AQ352" i="30"/>
  <c r="AQ351" i="30"/>
  <c r="AQ350" i="30"/>
  <c r="AQ349" i="30"/>
  <c r="AQ348" i="30"/>
  <c r="AQ347" i="30"/>
  <c r="AQ346" i="30"/>
  <c r="AQ345" i="30"/>
  <c r="AQ344" i="30"/>
  <c r="AQ343" i="30"/>
  <c r="AQ342" i="30"/>
  <c r="AQ341" i="30"/>
  <c r="AQ340" i="30"/>
  <c r="AQ339" i="30"/>
  <c r="AQ338" i="30"/>
  <c r="AQ337" i="30"/>
  <c r="AQ336" i="30"/>
  <c r="AQ335" i="30"/>
  <c r="AQ334" i="30"/>
  <c r="AQ333" i="30"/>
  <c r="AQ332" i="30"/>
  <c r="AQ331" i="30"/>
  <c r="AQ330" i="30"/>
  <c r="AQ329" i="30"/>
  <c r="AQ328" i="30"/>
  <c r="AQ327" i="30"/>
  <c r="AQ326" i="30"/>
  <c r="AQ325" i="30"/>
  <c r="AQ324" i="30"/>
  <c r="AQ323" i="30"/>
  <c r="AQ322" i="30"/>
  <c r="AQ321" i="30"/>
  <c r="AQ320" i="30"/>
  <c r="AQ319" i="30"/>
  <c r="AQ318" i="30"/>
  <c r="AQ317" i="30"/>
  <c r="AQ316" i="30"/>
  <c r="AQ315" i="30"/>
  <c r="AQ314" i="30"/>
  <c r="AQ313" i="30"/>
  <c r="AQ312" i="30"/>
  <c r="AQ311" i="30"/>
  <c r="AQ310" i="30"/>
  <c r="AQ309" i="30"/>
  <c r="AQ308" i="30"/>
  <c r="AQ307" i="30"/>
  <c r="AQ306" i="30"/>
  <c r="AQ305" i="30"/>
  <c r="AQ304" i="30"/>
  <c r="AQ303" i="30"/>
  <c r="AQ302" i="30"/>
  <c r="AQ301" i="30"/>
  <c r="AQ300" i="30"/>
  <c r="AQ299" i="30"/>
  <c r="AQ298" i="30"/>
  <c r="AQ297" i="30"/>
  <c r="AQ296" i="30"/>
  <c r="AQ295" i="30"/>
  <c r="AQ294" i="30"/>
  <c r="AQ293" i="30"/>
  <c r="AQ292" i="30"/>
  <c r="AQ291" i="30"/>
  <c r="AQ290" i="30"/>
  <c r="AQ289" i="30"/>
  <c r="AQ288" i="30"/>
  <c r="AQ287" i="30"/>
  <c r="AQ286" i="30"/>
  <c r="AQ285" i="30"/>
  <c r="AQ284" i="30"/>
  <c r="AQ283" i="30"/>
  <c r="AQ282" i="30"/>
  <c r="AQ281" i="30"/>
  <c r="AQ280" i="30"/>
  <c r="AQ279" i="30"/>
  <c r="AQ278" i="30"/>
  <c r="AQ277" i="30"/>
  <c r="AQ276" i="30"/>
  <c r="AQ275" i="30"/>
  <c r="AQ274" i="30"/>
  <c r="AQ273" i="30"/>
  <c r="AQ272" i="30"/>
  <c r="AQ271" i="30"/>
  <c r="AQ270" i="30"/>
  <c r="AQ269" i="30"/>
  <c r="AQ268" i="30"/>
  <c r="AQ267" i="30"/>
  <c r="AQ266" i="30"/>
  <c r="AQ265" i="30"/>
  <c r="AQ264" i="30"/>
  <c r="AQ263" i="30"/>
  <c r="AQ262" i="30"/>
  <c r="AQ261" i="30"/>
  <c r="AQ260" i="30"/>
  <c r="AQ259" i="30"/>
  <c r="AQ258" i="30"/>
  <c r="AQ257" i="30"/>
  <c r="AQ256" i="30"/>
  <c r="AQ255" i="30"/>
  <c r="AQ254" i="30"/>
  <c r="AQ253" i="30"/>
  <c r="AQ252" i="30"/>
  <c r="AQ251" i="30"/>
  <c r="AQ250" i="30"/>
  <c r="AQ249" i="30"/>
  <c r="AQ248" i="30"/>
  <c r="AQ247" i="30"/>
  <c r="AQ246" i="30"/>
  <c r="AQ245" i="30"/>
  <c r="AQ244" i="30"/>
  <c r="AQ243" i="30"/>
  <c r="AQ242" i="30"/>
  <c r="AQ241" i="30"/>
  <c r="AQ240" i="30"/>
  <c r="AQ239" i="30"/>
  <c r="AQ238" i="30"/>
  <c r="AQ237" i="30"/>
  <c r="AQ236" i="30"/>
  <c r="AQ235" i="30"/>
  <c r="AQ234" i="30"/>
  <c r="AQ233" i="30"/>
  <c r="AQ232" i="30"/>
  <c r="AQ231" i="30"/>
  <c r="AQ230" i="30"/>
  <c r="AQ229" i="30"/>
  <c r="AQ228" i="30"/>
  <c r="AQ227" i="30"/>
  <c r="AQ226" i="30"/>
  <c r="AQ225" i="30"/>
  <c r="AQ224" i="30"/>
  <c r="AQ223" i="30"/>
  <c r="AQ222" i="30"/>
  <c r="AQ221" i="30"/>
  <c r="AQ220" i="30"/>
  <c r="AQ219" i="30"/>
  <c r="AQ218" i="30"/>
  <c r="AQ217" i="30"/>
  <c r="AQ216" i="30"/>
  <c r="AQ215" i="30"/>
  <c r="AQ214" i="30"/>
  <c r="AQ213" i="30"/>
  <c r="AQ212" i="30"/>
  <c r="AQ211" i="30"/>
  <c r="AQ210" i="30"/>
  <c r="AQ209" i="30"/>
  <c r="AQ208" i="30"/>
  <c r="AQ207" i="30"/>
  <c r="AQ206" i="30"/>
  <c r="AQ205" i="30"/>
  <c r="AQ204" i="30"/>
  <c r="AQ203" i="30"/>
  <c r="AQ202" i="30"/>
  <c r="AQ201" i="30"/>
  <c r="AQ200" i="30"/>
  <c r="AQ199" i="30"/>
  <c r="AQ198" i="30"/>
  <c r="AQ197" i="30"/>
  <c r="AQ196" i="30"/>
  <c r="AQ195" i="30"/>
  <c r="AQ194" i="30"/>
  <c r="AQ193" i="30"/>
  <c r="AQ192" i="30"/>
  <c r="AQ191" i="30"/>
  <c r="AQ190" i="30"/>
  <c r="AQ189" i="30"/>
  <c r="AQ188" i="30"/>
  <c r="AQ187" i="30"/>
  <c r="AQ186" i="30"/>
  <c r="AQ185" i="30"/>
  <c r="AQ184" i="30"/>
  <c r="AQ183" i="30"/>
  <c r="AQ182" i="30"/>
  <c r="AQ181" i="30"/>
  <c r="AQ180" i="30"/>
  <c r="AQ179" i="30"/>
  <c r="AQ178" i="30"/>
  <c r="AQ177" i="30"/>
  <c r="AQ176" i="30"/>
  <c r="AQ175" i="30"/>
  <c r="AQ174" i="30"/>
  <c r="AQ173" i="30"/>
  <c r="AQ172" i="30"/>
  <c r="AQ171" i="30"/>
  <c r="AQ170" i="30"/>
  <c r="AQ169" i="30"/>
  <c r="AQ168" i="30"/>
  <c r="AQ167" i="30"/>
  <c r="AQ166" i="30"/>
  <c r="AQ165" i="30"/>
  <c r="AQ164" i="30"/>
  <c r="AQ163" i="30"/>
  <c r="AQ162" i="30"/>
  <c r="AQ161" i="30"/>
  <c r="AQ160" i="30"/>
  <c r="AQ159" i="30"/>
  <c r="AQ158" i="30"/>
  <c r="AQ157" i="30"/>
  <c r="AQ156" i="30"/>
  <c r="AQ155" i="30"/>
  <c r="AQ154" i="30"/>
  <c r="AQ153" i="30"/>
  <c r="AQ152" i="30"/>
  <c r="AQ150" i="30"/>
  <c r="AQ149" i="30"/>
  <c r="AQ147" i="30"/>
  <c r="AQ146" i="30"/>
  <c r="AQ145" i="30"/>
  <c r="AQ144" i="30"/>
  <c r="AQ143" i="30"/>
  <c r="AQ141" i="30"/>
  <c r="AQ140" i="30"/>
  <c r="AQ139" i="30"/>
  <c r="AQ137" i="30"/>
  <c r="AQ136" i="30"/>
  <c r="AQ135" i="30"/>
  <c r="AQ134" i="30"/>
  <c r="AQ128" i="30"/>
  <c r="AQ127" i="30"/>
  <c r="AQ126" i="30"/>
  <c r="AQ125" i="30"/>
  <c r="AQ124" i="30"/>
  <c r="AQ123" i="30"/>
  <c r="AQ122" i="30"/>
  <c r="AQ120" i="30"/>
  <c r="AQ119" i="30"/>
  <c r="AQ118" i="30"/>
  <c r="AQ115" i="30"/>
  <c r="AQ114" i="30"/>
  <c r="AQ113" i="30"/>
  <c r="AQ110" i="30"/>
  <c r="AQ109" i="30"/>
  <c r="AQ108" i="30"/>
  <c r="AQ107" i="30"/>
  <c r="AQ106" i="30"/>
  <c r="AQ105" i="30"/>
  <c r="AQ103" i="30"/>
  <c r="AQ102" i="30"/>
  <c r="AQ101" i="30"/>
  <c r="AQ100" i="30"/>
  <c r="AQ99" i="30"/>
  <c r="AQ98" i="30"/>
  <c r="AQ97" i="30"/>
  <c r="AQ96" i="30"/>
  <c r="AQ95" i="30"/>
  <c r="AQ94" i="30"/>
  <c r="AQ93" i="30"/>
  <c r="AQ92" i="30"/>
  <c r="AQ91" i="30"/>
  <c r="AQ90" i="30"/>
  <c r="AQ85" i="30"/>
  <c r="AQ84" i="30"/>
  <c r="AQ83" i="30"/>
  <c r="AQ80" i="30"/>
  <c r="AQ79" i="30"/>
  <c r="AQ78" i="30"/>
  <c r="AQ77" i="30"/>
  <c r="AQ76" i="30"/>
  <c r="AQ73" i="30"/>
  <c r="AQ72" i="30"/>
  <c r="AQ71" i="30"/>
  <c r="AQ64" i="30"/>
  <c r="AQ63" i="30"/>
  <c r="AQ62" i="30"/>
  <c r="AQ60" i="30"/>
  <c r="AQ59" i="30"/>
  <c r="AQ58" i="30"/>
  <c r="AQ57" i="30"/>
  <c r="AQ56" i="30"/>
  <c r="AQ55" i="30"/>
  <c r="AQ54" i="30"/>
  <c r="AQ53" i="30"/>
  <c r="AQ52" i="30"/>
  <c r="AQ51" i="30"/>
  <c r="AQ50" i="30"/>
  <c r="AQ49" i="30"/>
  <c r="AQ48" i="30"/>
  <c r="AQ46" i="30"/>
  <c r="AQ44" i="30"/>
  <c r="AQ43" i="30"/>
  <c r="AQ42" i="30"/>
  <c r="AQ41" i="30"/>
  <c r="AQ35" i="30"/>
  <c r="AQ34" i="30"/>
  <c r="AQ32" i="30"/>
  <c r="AQ31" i="30"/>
  <c r="AQ30" i="30"/>
  <c r="AQ29" i="30"/>
  <c r="AQ28" i="30"/>
  <c r="AQ21" i="30"/>
  <c r="AQ20" i="30"/>
  <c r="AQ19" i="30"/>
  <c r="AQ18" i="30"/>
  <c r="AQ17" i="30"/>
  <c r="AQ15" i="30"/>
  <c r="AQ14" i="30"/>
  <c r="AQ13" i="30"/>
  <c r="AQ10" i="30"/>
  <c r="AQ9" i="30"/>
  <c r="AQ8" i="30"/>
  <c r="AQ7" i="30"/>
  <c r="AQ6" i="30"/>
  <c r="AQ3" i="30"/>
  <c r="AM400" i="30"/>
  <c r="AM399" i="30"/>
  <c r="AM398" i="30"/>
  <c r="AM397" i="30"/>
  <c r="AM396" i="30"/>
  <c r="AM395" i="30"/>
  <c r="AM394" i="30"/>
  <c r="AM393" i="30"/>
  <c r="AM392" i="30"/>
  <c r="AM391" i="30"/>
  <c r="AM390" i="30"/>
  <c r="AM389" i="30"/>
  <c r="AM388" i="30"/>
  <c r="AM387" i="30"/>
  <c r="AM386" i="30"/>
  <c r="AM385" i="30"/>
  <c r="AM384" i="30"/>
  <c r="AM383" i="30"/>
  <c r="AM382" i="30"/>
  <c r="AM381" i="30"/>
  <c r="AM380" i="30"/>
  <c r="AM379" i="30"/>
  <c r="AM378" i="30"/>
  <c r="AM377" i="30"/>
  <c r="AM376" i="30"/>
  <c r="AM375" i="30"/>
  <c r="AM374" i="30"/>
  <c r="AM373" i="30"/>
  <c r="AM372" i="30"/>
  <c r="AM371" i="30"/>
  <c r="AM370" i="30"/>
  <c r="AM369" i="30"/>
  <c r="AM368" i="30"/>
  <c r="AM367" i="30"/>
  <c r="AM366" i="30"/>
  <c r="AM365" i="30"/>
  <c r="AM364" i="30"/>
  <c r="AM363" i="30"/>
  <c r="AM362" i="30"/>
  <c r="AM361" i="30"/>
  <c r="AM360" i="30"/>
  <c r="AM359" i="30"/>
  <c r="AM358" i="30"/>
  <c r="AM357" i="30"/>
  <c r="AM356" i="30"/>
  <c r="AM355" i="30"/>
  <c r="AM354" i="30"/>
  <c r="AM353" i="30"/>
  <c r="AM352" i="30"/>
  <c r="AM351" i="30"/>
  <c r="AM350" i="30"/>
  <c r="AM349" i="30"/>
  <c r="AM348" i="30"/>
  <c r="AM347" i="30"/>
  <c r="AM346" i="30"/>
  <c r="AM345" i="30"/>
  <c r="AM344" i="30"/>
  <c r="AM343" i="30"/>
  <c r="AM342" i="30"/>
  <c r="AM341" i="30"/>
  <c r="AM340" i="30"/>
  <c r="AM339" i="30"/>
  <c r="AM338" i="30"/>
  <c r="AM337" i="30"/>
  <c r="AM336" i="30"/>
  <c r="AM335" i="30"/>
  <c r="AM334" i="30"/>
  <c r="AM333" i="30"/>
  <c r="AM332" i="30"/>
  <c r="AM331" i="30"/>
  <c r="AM330" i="30"/>
  <c r="AM329" i="30"/>
  <c r="AM328" i="30"/>
  <c r="AM327" i="30"/>
  <c r="AM326" i="30"/>
  <c r="AM325" i="30"/>
  <c r="AM324" i="30"/>
  <c r="AM323" i="30"/>
  <c r="AM322" i="30"/>
  <c r="AM321" i="30"/>
  <c r="AM320" i="30"/>
  <c r="AM319" i="30"/>
  <c r="AM318" i="30"/>
  <c r="AM317" i="30"/>
  <c r="AM316" i="30"/>
  <c r="AM315" i="30"/>
  <c r="AM314" i="30"/>
  <c r="AM313" i="30"/>
  <c r="AM312" i="30"/>
  <c r="AM311" i="30"/>
  <c r="AM310" i="30"/>
  <c r="AM309" i="30"/>
  <c r="AM308" i="30"/>
  <c r="AM307" i="30"/>
  <c r="AM306" i="30"/>
  <c r="AM305" i="30"/>
  <c r="AM304" i="30"/>
  <c r="AM303" i="30"/>
  <c r="AM302" i="30"/>
  <c r="AM301" i="30"/>
  <c r="AM300" i="30"/>
  <c r="AM299" i="30"/>
  <c r="AM298" i="30"/>
  <c r="AM297" i="30"/>
  <c r="AM296" i="30"/>
  <c r="AM295" i="30"/>
  <c r="AM294" i="30"/>
  <c r="AM293" i="30"/>
  <c r="AM292" i="30"/>
  <c r="AM291" i="30"/>
  <c r="AM290" i="30"/>
  <c r="AM289" i="30"/>
  <c r="AM288" i="30"/>
  <c r="AM287" i="30"/>
  <c r="AM286" i="30"/>
  <c r="AM285" i="30"/>
  <c r="AM284" i="30"/>
  <c r="AM283" i="30"/>
  <c r="AM282" i="30"/>
  <c r="AM281" i="30"/>
  <c r="AM280" i="30"/>
  <c r="AM279" i="30"/>
  <c r="AM278" i="30"/>
  <c r="AM277" i="30"/>
  <c r="AM276" i="30"/>
  <c r="AM275" i="30"/>
  <c r="AM274" i="30"/>
  <c r="AM273" i="30"/>
  <c r="AM272" i="30"/>
  <c r="AM271" i="30"/>
  <c r="AM270" i="30"/>
  <c r="AM269" i="30"/>
  <c r="AM268" i="30"/>
  <c r="AM267" i="30"/>
  <c r="AM266" i="30"/>
  <c r="AM265" i="30"/>
  <c r="AM264" i="30"/>
  <c r="AM263" i="30"/>
  <c r="AM262" i="30"/>
  <c r="AM261" i="30"/>
  <c r="AM260" i="30"/>
  <c r="AM259" i="30"/>
  <c r="AM258" i="30"/>
  <c r="AM257" i="30"/>
  <c r="AM256" i="30"/>
  <c r="AM255" i="30"/>
  <c r="AM254" i="30"/>
  <c r="AM253" i="30"/>
  <c r="AM252" i="30"/>
  <c r="AM251" i="30"/>
  <c r="AM250" i="30"/>
  <c r="AM249" i="30"/>
  <c r="AM248" i="30"/>
  <c r="AM247" i="30"/>
  <c r="AM246" i="30"/>
  <c r="AM245" i="30"/>
  <c r="AM244" i="30"/>
  <c r="AM243" i="30"/>
  <c r="AM242" i="30"/>
  <c r="AM241" i="30"/>
  <c r="AM240" i="30"/>
  <c r="AM239" i="30"/>
  <c r="AM238" i="30"/>
  <c r="AM237" i="30"/>
  <c r="AM236" i="30"/>
  <c r="AM235" i="30"/>
  <c r="AM234" i="30"/>
  <c r="AM233" i="30"/>
  <c r="AM232" i="30"/>
  <c r="AM231" i="30"/>
  <c r="AM230" i="30"/>
  <c r="AM229" i="30"/>
  <c r="AM228" i="30"/>
  <c r="AM227" i="30"/>
  <c r="AM226" i="30"/>
  <c r="AM225" i="30"/>
  <c r="AM224" i="30"/>
  <c r="AM223" i="30"/>
  <c r="AM222" i="30"/>
  <c r="AM221" i="30"/>
  <c r="AM220" i="30"/>
  <c r="AM219" i="30"/>
  <c r="AM218" i="30"/>
  <c r="AM217" i="30"/>
  <c r="AM216" i="30"/>
  <c r="AM215" i="30"/>
  <c r="AM214" i="30"/>
  <c r="AM213" i="30"/>
  <c r="AM212" i="30"/>
  <c r="AM211" i="30"/>
  <c r="AM210" i="30"/>
  <c r="AM209" i="30"/>
  <c r="AM208" i="30"/>
  <c r="AM207" i="30"/>
  <c r="AM206" i="30"/>
  <c r="AM205" i="30"/>
  <c r="AM204" i="30"/>
  <c r="AM203" i="30"/>
  <c r="AM202" i="30"/>
  <c r="AM201" i="30"/>
  <c r="AM200" i="30"/>
  <c r="AM199" i="30"/>
  <c r="AM198" i="30"/>
  <c r="AM197" i="30"/>
  <c r="AM196" i="30"/>
  <c r="AM195" i="30"/>
  <c r="AM194" i="30"/>
  <c r="AM193" i="30"/>
  <c r="AM192" i="30"/>
  <c r="AM191" i="30"/>
  <c r="AM190" i="30"/>
  <c r="AM189" i="30"/>
  <c r="AM188" i="30"/>
  <c r="AM187" i="30"/>
  <c r="AM186" i="30"/>
  <c r="AM185" i="30"/>
  <c r="AM184" i="30"/>
  <c r="AM183" i="30"/>
  <c r="AM182" i="30"/>
  <c r="AM181" i="30"/>
  <c r="AM180" i="30"/>
  <c r="AM179" i="30"/>
  <c r="AM178" i="30"/>
  <c r="AM177" i="30"/>
  <c r="AM176" i="30"/>
  <c r="AM175" i="30"/>
  <c r="AM174" i="30"/>
  <c r="AM173" i="30"/>
  <c r="AM172" i="30"/>
  <c r="AM171" i="30"/>
  <c r="AM170" i="30"/>
  <c r="AM169" i="30"/>
  <c r="AM168" i="30"/>
  <c r="AM167" i="30"/>
  <c r="AM166" i="30"/>
  <c r="AM165" i="30"/>
  <c r="AM164" i="30"/>
  <c r="AM163" i="30"/>
  <c r="AM162" i="30"/>
  <c r="AM161" i="30"/>
  <c r="AM160" i="30"/>
  <c r="AM159" i="30"/>
  <c r="AM158" i="30"/>
  <c r="AM157" i="30"/>
  <c r="AM156" i="30"/>
  <c r="AM155" i="30"/>
  <c r="AM154" i="30"/>
  <c r="AM153" i="30"/>
  <c r="AM152" i="30"/>
  <c r="AM150" i="30"/>
  <c r="AM149" i="30"/>
  <c r="AM147" i="30"/>
  <c r="AM146" i="30"/>
  <c r="AM145" i="30"/>
  <c r="AM144" i="30"/>
  <c r="AM143" i="30"/>
  <c r="AM141" i="30"/>
  <c r="AM140" i="30"/>
  <c r="AM139" i="30"/>
  <c r="AM137" i="30"/>
  <c r="AM136" i="30"/>
  <c r="AM135" i="30"/>
  <c r="AM134" i="30"/>
  <c r="AM128" i="30"/>
  <c r="AM127" i="30"/>
  <c r="AM126" i="30"/>
  <c r="AM125" i="30"/>
  <c r="AM124" i="30"/>
  <c r="AM123" i="30"/>
  <c r="AM122" i="30"/>
  <c r="AM120" i="30"/>
  <c r="AM119" i="30"/>
  <c r="AM118" i="30"/>
  <c r="AM115" i="30"/>
  <c r="AM114" i="30"/>
  <c r="AM113" i="30"/>
  <c r="AM110" i="30"/>
  <c r="AM109" i="30"/>
  <c r="AM108" i="30"/>
  <c r="AM107" i="30"/>
  <c r="AM106" i="30"/>
  <c r="AM105" i="30"/>
  <c r="AM103" i="30"/>
  <c r="AM102" i="30"/>
  <c r="AM101" i="30"/>
  <c r="AM100" i="30"/>
  <c r="AM99" i="30"/>
  <c r="AM98" i="30"/>
  <c r="AM97" i="30"/>
  <c r="AM96" i="30"/>
  <c r="AM95" i="30"/>
  <c r="AM94" i="30"/>
  <c r="AM93" i="30"/>
  <c r="AM92" i="30"/>
  <c r="AM91" i="30"/>
  <c r="AM90" i="30"/>
  <c r="AM85" i="30"/>
  <c r="AM84" i="30"/>
  <c r="AM83" i="30"/>
  <c r="AM80" i="30"/>
  <c r="AM79" i="30"/>
  <c r="AM78" i="30"/>
  <c r="AM77" i="30"/>
  <c r="AM76" i="30"/>
  <c r="AM73" i="30"/>
  <c r="AM72" i="30"/>
  <c r="AM71" i="30"/>
  <c r="AM64" i="30"/>
  <c r="AM63" i="30"/>
  <c r="AM62" i="30"/>
  <c r="AM60" i="30"/>
  <c r="AM59" i="30"/>
  <c r="AM58" i="30"/>
  <c r="AM57" i="30"/>
  <c r="AM56" i="30"/>
  <c r="AM55" i="30"/>
  <c r="AM54" i="30"/>
  <c r="AM53" i="30"/>
  <c r="AM52" i="30"/>
  <c r="AM51" i="30"/>
  <c r="AM50" i="30"/>
  <c r="AM49" i="30"/>
  <c r="AM48" i="30"/>
  <c r="AM46" i="30"/>
  <c r="AM44" i="30"/>
  <c r="AM43" i="30"/>
  <c r="AM42" i="30"/>
  <c r="AM41" i="30"/>
  <c r="AM35" i="30"/>
  <c r="AM34" i="30"/>
  <c r="AM32" i="30"/>
  <c r="AM31" i="30"/>
  <c r="AM30" i="30"/>
  <c r="AM29" i="30"/>
  <c r="AM28" i="30"/>
  <c r="AM21" i="30"/>
  <c r="AM20" i="30"/>
  <c r="AM19" i="30"/>
  <c r="AM18" i="30"/>
  <c r="AM17" i="30"/>
  <c r="AM15" i="30"/>
  <c r="AM14" i="30"/>
  <c r="AM13" i="30"/>
  <c r="AM10" i="30"/>
  <c r="AM9" i="30"/>
  <c r="AM8" i="30"/>
  <c r="AM7" i="30"/>
  <c r="AM6" i="30"/>
  <c r="AM3" i="30"/>
  <c r="AI400" i="30"/>
  <c r="AI399" i="30"/>
  <c r="AI398" i="30"/>
  <c r="AI397" i="30"/>
  <c r="AI396" i="30"/>
  <c r="AI395" i="30"/>
  <c r="AI394" i="30"/>
  <c r="AI393" i="30"/>
  <c r="AI392" i="30"/>
  <c r="AI391" i="30"/>
  <c r="AI390" i="30"/>
  <c r="AI389" i="30"/>
  <c r="AI388" i="30"/>
  <c r="AI387" i="30"/>
  <c r="AI386" i="30"/>
  <c r="AI385" i="30"/>
  <c r="AI384" i="30"/>
  <c r="AI383" i="30"/>
  <c r="AI382" i="30"/>
  <c r="AI381" i="30"/>
  <c r="AI380" i="30"/>
  <c r="AI379" i="30"/>
  <c r="AI378" i="30"/>
  <c r="AI377" i="30"/>
  <c r="AI376" i="30"/>
  <c r="AI375" i="30"/>
  <c r="AI374" i="30"/>
  <c r="AI373" i="30"/>
  <c r="AI372" i="30"/>
  <c r="AI371" i="30"/>
  <c r="AI370" i="30"/>
  <c r="AI369" i="30"/>
  <c r="AI368" i="30"/>
  <c r="AI367" i="30"/>
  <c r="AI366" i="30"/>
  <c r="AI365" i="30"/>
  <c r="AI364" i="30"/>
  <c r="AI363" i="30"/>
  <c r="AI362" i="30"/>
  <c r="AI361" i="30"/>
  <c r="AI360" i="30"/>
  <c r="AI359" i="30"/>
  <c r="AI358" i="30"/>
  <c r="AI357" i="30"/>
  <c r="AI356" i="30"/>
  <c r="AI355" i="30"/>
  <c r="AI354" i="30"/>
  <c r="AI353" i="30"/>
  <c r="AI352" i="30"/>
  <c r="AI351" i="30"/>
  <c r="AI350" i="30"/>
  <c r="AI349" i="30"/>
  <c r="AI348" i="30"/>
  <c r="AI347" i="30"/>
  <c r="AI346" i="30"/>
  <c r="AI345" i="30"/>
  <c r="AI344" i="30"/>
  <c r="AI343" i="30"/>
  <c r="AI342" i="30"/>
  <c r="AI341" i="30"/>
  <c r="AI340" i="30"/>
  <c r="AI339" i="30"/>
  <c r="AI338" i="30"/>
  <c r="AI337" i="30"/>
  <c r="AI336" i="30"/>
  <c r="AI335" i="30"/>
  <c r="AI334" i="30"/>
  <c r="AI333" i="30"/>
  <c r="AI332" i="30"/>
  <c r="AI331" i="30"/>
  <c r="AI330" i="30"/>
  <c r="AI329" i="30"/>
  <c r="AI328" i="30"/>
  <c r="AI327" i="30"/>
  <c r="AI326" i="30"/>
  <c r="AI325" i="30"/>
  <c r="AI324" i="30"/>
  <c r="AI323" i="30"/>
  <c r="AI322" i="30"/>
  <c r="AI321" i="30"/>
  <c r="AI320" i="30"/>
  <c r="AI319" i="30"/>
  <c r="AI318" i="30"/>
  <c r="AI317" i="30"/>
  <c r="AI316" i="30"/>
  <c r="AI315" i="30"/>
  <c r="AI314" i="30"/>
  <c r="AI313" i="30"/>
  <c r="AI312" i="30"/>
  <c r="AI311" i="30"/>
  <c r="AI310" i="30"/>
  <c r="AI309" i="30"/>
  <c r="AI308" i="30"/>
  <c r="AI307" i="30"/>
  <c r="AI306" i="30"/>
  <c r="AI305" i="30"/>
  <c r="AI304" i="30"/>
  <c r="AI303" i="30"/>
  <c r="AI302" i="30"/>
  <c r="AI301" i="30"/>
  <c r="AI300" i="30"/>
  <c r="AI299" i="30"/>
  <c r="AI298" i="30"/>
  <c r="AI297" i="30"/>
  <c r="AI296" i="30"/>
  <c r="AI295" i="30"/>
  <c r="AI294" i="30"/>
  <c r="AI293" i="30"/>
  <c r="AI292" i="30"/>
  <c r="AI291" i="30"/>
  <c r="AI290" i="30"/>
  <c r="AI289" i="30"/>
  <c r="AI288" i="30"/>
  <c r="AI287" i="30"/>
  <c r="AI286" i="30"/>
  <c r="AI285" i="30"/>
  <c r="AI284" i="30"/>
  <c r="AI283" i="30"/>
  <c r="AI282" i="30"/>
  <c r="AI281" i="30"/>
  <c r="AI280" i="30"/>
  <c r="AI279" i="30"/>
  <c r="AI278" i="30"/>
  <c r="AI277" i="30"/>
  <c r="AI276" i="30"/>
  <c r="AI275" i="30"/>
  <c r="AI274" i="30"/>
  <c r="AI273" i="30"/>
  <c r="AI272" i="30"/>
  <c r="AI271" i="30"/>
  <c r="AI270" i="30"/>
  <c r="AI269" i="30"/>
  <c r="AI268" i="30"/>
  <c r="AI267" i="30"/>
  <c r="AI266" i="30"/>
  <c r="AI265" i="30"/>
  <c r="AI264" i="30"/>
  <c r="AI263" i="30"/>
  <c r="AI262" i="30"/>
  <c r="AI261" i="30"/>
  <c r="AI260" i="30"/>
  <c r="AI259" i="30"/>
  <c r="AI258" i="30"/>
  <c r="AI257" i="30"/>
  <c r="AI256" i="30"/>
  <c r="AI255" i="30"/>
  <c r="AI254" i="30"/>
  <c r="AI253" i="30"/>
  <c r="AI252" i="30"/>
  <c r="AI251" i="30"/>
  <c r="AI250" i="30"/>
  <c r="AI249" i="30"/>
  <c r="AI248" i="30"/>
  <c r="AI247" i="30"/>
  <c r="AI246" i="30"/>
  <c r="AI245" i="30"/>
  <c r="AI244" i="30"/>
  <c r="AI243" i="30"/>
  <c r="AI242" i="30"/>
  <c r="AI241" i="30"/>
  <c r="AI240" i="30"/>
  <c r="AI239" i="30"/>
  <c r="AI238" i="30"/>
  <c r="AI237" i="30"/>
  <c r="AI236" i="30"/>
  <c r="AI235" i="30"/>
  <c r="AI234" i="30"/>
  <c r="AI233" i="30"/>
  <c r="AI232" i="30"/>
  <c r="AI231" i="30"/>
  <c r="AI230" i="30"/>
  <c r="AI229" i="30"/>
  <c r="AI228" i="30"/>
  <c r="AI227" i="30"/>
  <c r="AI226" i="30"/>
  <c r="AI225" i="30"/>
  <c r="AI224" i="30"/>
  <c r="AI223" i="30"/>
  <c r="AI222" i="30"/>
  <c r="AI221" i="30"/>
  <c r="AI220" i="30"/>
  <c r="AI219" i="30"/>
  <c r="AI218" i="30"/>
  <c r="AI217" i="30"/>
  <c r="AI216" i="30"/>
  <c r="AI215" i="30"/>
  <c r="AI214" i="30"/>
  <c r="AI213" i="30"/>
  <c r="AI212" i="30"/>
  <c r="AI211" i="30"/>
  <c r="AI210" i="30"/>
  <c r="AI209" i="30"/>
  <c r="AI208" i="30"/>
  <c r="AI207" i="30"/>
  <c r="AI206" i="30"/>
  <c r="AI205" i="30"/>
  <c r="AI204" i="30"/>
  <c r="AI203" i="30"/>
  <c r="AI202" i="30"/>
  <c r="AI201" i="30"/>
  <c r="AI200" i="30"/>
  <c r="AI199" i="30"/>
  <c r="AI198" i="30"/>
  <c r="AI197" i="30"/>
  <c r="AI196" i="30"/>
  <c r="AI195" i="30"/>
  <c r="AI194" i="30"/>
  <c r="AI193" i="30"/>
  <c r="AI192" i="30"/>
  <c r="AI191" i="30"/>
  <c r="AI190" i="30"/>
  <c r="AI189" i="30"/>
  <c r="AI188" i="30"/>
  <c r="AI187" i="30"/>
  <c r="AI186" i="30"/>
  <c r="AI185" i="30"/>
  <c r="AI184" i="30"/>
  <c r="AI183" i="30"/>
  <c r="AI182" i="30"/>
  <c r="AI181" i="30"/>
  <c r="AI180" i="30"/>
  <c r="AI179" i="30"/>
  <c r="AI178" i="30"/>
  <c r="AI177" i="30"/>
  <c r="AI176" i="30"/>
  <c r="AI175" i="30"/>
  <c r="AI174" i="30"/>
  <c r="AI173" i="30"/>
  <c r="AI172" i="30"/>
  <c r="AI171" i="30"/>
  <c r="AI170" i="30"/>
  <c r="AI169" i="30"/>
  <c r="AI168" i="30"/>
  <c r="AI167" i="30"/>
  <c r="AI166" i="30"/>
  <c r="AI165" i="30"/>
  <c r="AI164" i="30"/>
  <c r="AI163" i="30"/>
  <c r="AI162" i="30"/>
  <c r="AI161" i="30"/>
  <c r="AI160" i="30"/>
  <c r="AI159" i="30"/>
  <c r="AI158" i="30"/>
  <c r="AI157" i="30"/>
  <c r="AI156" i="30"/>
  <c r="AI155" i="30"/>
  <c r="AI154" i="30"/>
  <c r="AI153" i="30"/>
  <c r="AI152" i="30"/>
  <c r="AI150" i="30"/>
  <c r="AI149" i="30"/>
  <c r="AI147" i="30"/>
  <c r="AI146" i="30"/>
  <c r="AI145" i="30"/>
  <c r="AI144" i="30"/>
  <c r="AI143" i="30"/>
  <c r="AI141" i="30"/>
  <c r="AI140" i="30"/>
  <c r="AI139" i="30"/>
  <c r="AI137" i="30"/>
  <c r="AI136" i="30"/>
  <c r="AI135" i="30"/>
  <c r="AI134" i="30"/>
  <c r="AI128" i="30"/>
  <c r="AI127" i="30"/>
  <c r="AI126" i="30"/>
  <c r="AI125" i="30"/>
  <c r="AI124" i="30"/>
  <c r="AI123" i="30"/>
  <c r="AI122" i="30"/>
  <c r="AI120" i="30"/>
  <c r="AI119" i="30"/>
  <c r="AI118" i="30"/>
  <c r="AI115" i="30"/>
  <c r="AI114" i="30"/>
  <c r="AI113" i="30"/>
  <c r="AI110" i="30"/>
  <c r="AI109" i="30"/>
  <c r="AI108" i="30"/>
  <c r="AI107" i="30"/>
  <c r="AI106" i="30"/>
  <c r="AI105" i="30"/>
  <c r="AI103" i="30"/>
  <c r="AI102" i="30"/>
  <c r="AI101" i="30"/>
  <c r="AI100" i="30"/>
  <c r="AI99" i="30"/>
  <c r="AI98" i="30"/>
  <c r="AI97" i="30"/>
  <c r="AI96" i="30"/>
  <c r="AI95" i="30"/>
  <c r="AI94" i="30"/>
  <c r="AI93" i="30"/>
  <c r="AI92" i="30"/>
  <c r="AI91" i="30"/>
  <c r="AI90" i="30"/>
  <c r="AI85" i="30"/>
  <c r="AI84" i="30"/>
  <c r="AI83" i="30"/>
  <c r="AI80" i="30"/>
  <c r="AI79" i="30"/>
  <c r="AI78" i="30"/>
  <c r="AI77" i="30"/>
  <c r="AI76" i="30"/>
  <c r="AI73" i="30"/>
  <c r="AI72" i="30"/>
  <c r="AI71" i="30"/>
  <c r="AI64" i="30"/>
  <c r="AI63" i="30"/>
  <c r="AI62" i="30"/>
  <c r="AI60" i="30"/>
  <c r="AI59" i="30"/>
  <c r="AI58" i="30"/>
  <c r="AI57" i="30"/>
  <c r="AI56" i="30"/>
  <c r="AI55" i="30"/>
  <c r="AI54" i="30"/>
  <c r="AI53" i="30"/>
  <c r="AI52" i="30"/>
  <c r="AI51" i="30"/>
  <c r="AI50" i="30"/>
  <c r="AI49" i="30"/>
  <c r="AI48" i="30"/>
  <c r="AI46" i="30"/>
  <c r="AI44" i="30"/>
  <c r="AI43" i="30"/>
  <c r="AI42" i="30"/>
  <c r="AI41" i="30"/>
  <c r="AI35" i="30"/>
  <c r="AI34" i="30"/>
  <c r="AI32" i="30"/>
  <c r="AI31" i="30"/>
  <c r="AI30" i="30"/>
  <c r="AI29" i="30"/>
  <c r="AI28" i="30"/>
  <c r="AI21" i="30"/>
  <c r="AI20" i="30"/>
  <c r="AI19" i="30"/>
  <c r="AI18" i="30"/>
  <c r="AI17" i="30"/>
  <c r="AI15" i="30"/>
  <c r="AI14" i="30"/>
  <c r="AI13" i="30"/>
  <c r="AI10" i="30"/>
  <c r="AI9" i="30"/>
  <c r="AI8" i="30"/>
  <c r="AI7" i="30"/>
  <c r="AI6" i="30"/>
  <c r="AI3" i="30"/>
  <c r="AE400" i="30"/>
  <c r="AE399" i="30"/>
  <c r="AE398" i="30"/>
  <c r="AE397" i="30"/>
  <c r="AE396" i="30"/>
  <c r="AE395" i="30"/>
  <c r="AE394" i="30"/>
  <c r="AE393" i="30"/>
  <c r="AE392" i="30"/>
  <c r="AE391" i="30"/>
  <c r="AE390" i="30"/>
  <c r="AE389" i="30"/>
  <c r="AE388" i="30"/>
  <c r="AE387" i="30"/>
  <c r="AE386" i="30"/>
  <c r="AE385" i="30"/>
  <c r="AE384" i="30"/>
  <c r="AE383" i="30"/>
  <c r="AE382" i="30"/>
  <c r="AE381" i="30"/>
  <c r="AE380" i="30"/>
  <c r="AE379" i="30"/>
  <c r="AE378" i="30"/>
  <c r="AE377" i="30"/>
  <c r="AE376" i="30"/>
  <c r="AE375" i="30"/>
  <c r="AE374" i="30"/>
  <c r="AE373" i="30"/>
  <c r="AE372" i="30"/>
  <c r="AE371" i="30"/>
  <c r="AE370" i="30"/>
  <c r="AE369" i="30"/>
  <c r="AE368" i="30"/>
  <c r="AE367" i="30"/>
  <c r="AE366" i="30"/>
  <c r="AE365" i="30"/>
  <c r="AE364" i="30"/>
  <c r="AE363" i="30"/>
  <c r="AE362" i="30"/>
  <c r="AE361" i="30"/>
  <c r="AE360" i="30"/>
  <c r="AE359" i="30"/>
  <c r="AE358" i="30"/>
  <c r="AE357" i="30"/>
  <c r="AE356" i="30"/>
  <c r="AE355" i="30"/>
  <c r="AE354" i="30"/>
  <c r="AE353" i="30"/>
  <c r="AE352" i="30"/>
  <c r="AE351" i="30"/>
  <c r="AE350" i="30"/>
  <c r="AE349" i="30"/>
  <c r="AE348" i="30"/>
  <c r="AE347" i="30"/>
  <c r="AE346" i="30"/>
  <c r="AE345" i="30"/>
  <c r="AE344" i="30"/>
  <c r="AE343" i="30"/>
  <c r="AE342" i="30"/>
  <c r="AE341" i="30"/>
  <c r="AE340" i="30"/>
  <c r="AE339" i="30"/>
  <c r="AE338" i="30"/>
  <c r="AE337" i="30"/>
  <c r="AE336" i="30"/>
  <c r="AE335" i="30"/>
  <c r="AE334" i="30"/>
  <c r="AE333" i="30"/>
  <c r="AE332" i="30"/>
  <c r="AE331" i="30"/>
  <c r="AE330" i="30"/>
  <c r="AE329" i="30"/>
  <c r="AE328" i="30"/>
  <c r="AE327" i="30"/>
  <c r="AE326" i="30"/>
  <c r="AE325" i="30"/>
  <c r="AE324" i="30"/>
  <c r="AE323" i="30"/>
  <c r="AE322" i="30"/>
  <c r="AE321" i="30"/>
  <c r="AE320" i="30"/>
  <c r="AE319" i="30"/>
  <c r="AE318" i="30"/>
  <c r="AE317" i="30"/>
  <c r="AE316" i="30"/>
  <c r="AE315" i="30"/>
  <c r="AE314" i="30"/>
  <c r="AE313" i="30"/>
  <c r="AE312" i="30"/>
  <c r="AE311" i="30"/>
  <c r="AE310" i="30"/>
  <c r="AE309" i="30"/>
  <c r="AE308" i="30"/>
  <c r="AE307" i="30"/>
  <c r="AE306" i="30"/>
  <c r="AE305" i="30"/>
  <c r="AE304" i="30"/>
  <c r="AE303" i="30"/>
  <c r="AE302" i="30"/>
  <c r="AE301" i="30"/>
  <c r="AE300" i="30"/>
  <c r="AE299" i="30"/>
  <c r="AE298" i="30"/>
  <c r="AE297" i="30"/>
  <c r="AE296" i="30"/>
  <c r="AE295" i="30"/>
  <c r="AE294" i="30"/>
  <c r="AE293" i="30"/>
  <c r="AE292" i="30"/>
  <c r="AE291" i="30"/>
  <c r="AE290" i="30"/>
  <c r="AE289" i="30"/>
  <c r="AE288" i="30"/>
  <c r="AE287" i="30"/>
  <c r="AE286" i="30"/>
  <c r="AE285" i="30"/>
  <c r="AE284" i="30"/>
  <c r="AE283" i="30"/>
  <c r="AE282" i="30"/>
  <c r="AE281" i="30"/>
  <c r="AE280" i="30"/>
  <c r="AE279" i="30"/>
  <c r="AE278" i="30"/>
  <c r="AE277" i="30"/>
  <c r="AE276" i="30"/>
  <c r="AE275" i="30"/>
  <c r="AE274" i="30"/>
  <c r="AE273" i="30"/>
  <c r="AE272" i="30"/>
  <c r="AE271" i="30"/>
  <c r="AE270" i="30"/>
  <c r="AE269" i="30"/>
  <c r="AE268" i="30"/>
  <c r="AE267" i="30"/>
  <c r="AE266" i="30"/>
  <c r="AE265" i="30"/>
  <c r="AE264" i="30"/>
  <c r="AE263" i="30"/>
  <c r="AE262" i="30"/>
  <c r="AE261" i="30"/>
  <c r="AE260" i="30"/>
  <c r="AE259" i="30"/>
  <c r="AE258" i="30"/>
  <c r="AE257" i="30"/>
  <c r="AE256" i="30"/>
  <c r="AE255" i="30"/>
  <c r="AE254" i="30"/>
  <c r="AE253" i="30"/>
  <c r="AE252" i="30"/>
  <c r="AE251" i="30"/>
  <c r="AE250" i="30"/>
  <c r="AE249" i="30"/>
  <c r="AE248" i="30"/>
  <c r="AE247" i="30"/>
  <c r="AE246" i="30"/>
  <c r="AE245" i="30"/>
  <c r="AE244" i="30"/>
  <c r="AE243" i="30"/>
  <c r="AE242" i="30"/>
  <c r="AE241" i="30"/>
  <c r="AE240" i="30"/>
  <c r="AE239" i="30"/>
  <c r="AE238" i="30"/>
  <c r="AE237" i="30"/>
  <c r="AE236" i="30"/>
  <c r="AE235" i="30"/>
  <c r="AE234" i="30"/>
  <c r="AE233" i="30"/>
  <c r="AE232" i="30"/>
  <c r="AE231" i="30"/>
  <c r="AE230" i="30"/>
  <c r="AE229" i="30"/>
  <c r="AE228" i="30"/>
  <c r="AE227" i="30"/>
  <c r="AE226" i="30"/>
  <c r="AE225" i="30"/>
  <c r="AE224" i="30"/>
  <c r="AE223" i="30"/>
  <c r="AE222" i="30"/>
  <c r="AE221" i="30"/>
  <c r="AE220" i="30"/>
  <c r="AE219" i="30"/>
  <c r="AE218" i="30"/>
  <c r="AE217" i="30"/>
  <c r="AE216" i="30"/>
  <c r="AE215" i="30"/>
  <c r="AE214" i="30"/>
  <c r="AE213" i="30"/>
  <c r="AE212" i="30"/>
  <c r="AE211" i="30"/>
  <c r="AE210" i="30"/>
  <c r="AE209" i="30"/>
  <c r="AE208" i="30"/>
  <c r="AE207" i="30"/>
  <c r="AE206" i="30"/>
  <c r="AE205" i="30"/>
  <c r="AE204" i="30"/>
  <c r="AE203" i="30"/>
  <c r="AE202" i="30"/>
  <c r="AE201" i="30"/>
  <c r="AE200" i="30"/>
  <c r="AE199" i="30"/>
  <c r="AE198" i="30"/>
  <c r="AE197" i="30"/>
  <c r="AE196" i="30"/>
  <c r="AE195" i="30"/>
  <c r="AE194" i="30"/>
  <c r="AE193" i="30"/>
  <c r="AE192" i="30"/>
  <c r="AE191" i="30"/>
  <c r="AE190" i="30"/>
  <c r="AE189" i="30"/>
  <c r="AE188" i="30"/>
  <c r="AE187" i="30"/>
  <c r="AE186" i="30"/>
  <c r="AE185" i="30"/>
  <c r="AE184" i="30"/>
  <c r="AE183" i="30"/>
  <c r="AE182" i="30"/>
  <c r="AE181" i="30"/>
  <c r="AE180" i="30"/>
  <c r="AE179" i="30"/>
  <c r="AE178" i="30"/>
  <c r="AE177" i="30"/>
  <c r="AE176" i="30"/>
  <c r="AE175" i="30"/>
  <c r="AE174" i="30"/>
  <c r="AE173" i="30"/>
  <c r="AE172" i="30"/>
  <c r="AE171" i="30"/>
  <c r="AE170" i="30"/>
  <c r="AE169" i="30"/>
  <c r="AE168" i="30"/>
  <c r="AE167" i="30"/>
  <c r="AE166" i="30"/>
  <c r="AE165" i="30"/>
  <c r="AE164" i="30"/>
  <c r="AE163" i="30"/>
  <c r="AE162" i="30"/>
  <c r="AE161" i="30"/>
  <c r="AE160" i="30"/>
  <c r="AE159" i="30"/>
  <c r="AE158" i="30"/>
  <c r="AE157" i="30"/>
  <c r="AE156" i="30"/>
  <c r="AE155" i="30"/>
  <c r="AE154" i="30"/>
  <c r="AE153" i="30"/>
  <c r="AE152" i="30"/>
  <c r="AE150" i="30"/>
  <c r="AE149" i="30"/>
  <c r="AE147" i="30"/>
  <c r="AE146" i="30"/>
  <c r="AE145" i="30"/>
  <c r="AE144" i="30"/>
  <c r="AE143" i="30"/>
  <c r="AE141" i="30"/>
  <c r="AE140" i="30"/>
  <c r="AE139" i="30"/>
  <c r="AE137" i="30"/>
  <c r="AE136" i="30"/>
  <c r="AE135" i="30"/>
  <c r="AE134" i="30"/>
  <c r="AE128" i="30"/>
  <c r="AE127" i="30"/>
  <c r="AE126" i="30"/>
  <c r="AE125" i="30"/>
  <c r="AE124" i="30"/>
  <c r="AE123" i="30"/>
  <c r="AE122" i="30"/>
  <c r="AE120" i="30"/>
  <c r="AE119" i="30"/>
  <c r="AE118" i="30"/>
  <c r="AE115" i="30"/>
  <c r="AE114" i="30"/>
  <c r="AE113" i="30"/>
  <c r="AE110" i="30"/>
  <c r="AE109" i="30"/>
  <c r="AE108" i="30"/>
  <c r="AE107" i="30"/>
  <c r="AE106" i="30"/>
  <c r="AE105" i="30"/>
  <c r="AE103" i="30"/>
  <c r="AE102" i="30"/>
  <c r="AE101" i="30"/>
  <c r="AE100" i="30"/>
  <c r="AE99" i="30"/>
  <c r="AE98" i="30"/>
  <c r="AE97" i="30"/>
  <c r="AE96" i="30"/>
  <c r="AE95" i="30"/>
  <c r="AE94" i="30"/>
  <c r="AE93" i="30"/>
  <c r="AE92" i="30"/>
  <c r="AE91" i="30"/>
  <c r="AE90" i="30"/>
  <c r="AE85" i="30"/>
  <c r="AE84" i="30"/>
  <c r="AE83" i="30"/>
  <c r="AE80" i="30"/>
  <c r="AE79" i="30"/>
  <c r="AE78" i="30"/>
  <c r="AE77" i="30"/>
  <c r="AE76" i="30"/>
  <c r="AE73" i="30"/>
  <c r="AE72" i="30"/>
  <c r="AE71" i="30"/>
  <c r="AE64" i="30"/>
  <c r="AE63" i="30"/>
  <c r="AE62" i="30"/>
  <c r="AE60" i="30"/>
  <c r="AE59" i="30"/>
  <c r="AE58" i="30"/>
  <c r="AE57" i="30"/>
  <c r="AE56" i="30"/>
  <c r="AE55" i="30"/>
  <c r="AE54" i="30"/>
  <c r="AE53" i="30"/>
  <c r="AE52" i="30"/>
  <c r="AE51" i="30"/>
  <c r="AE50" i="30"/>
  <c r="AE49" i="30"/>
  <c r="AE48" i="30"/>
  <c r="AE46" i="30"/>
  <c r="AE44" i="30"/>
  <c r="AE43" i="30"/>
  <c r="AE42" i="30"/>
  <c r="AE41" i="30"/>
  <c r="AE35" i="30"/>
  <c r="AE34" i="30"/>
  <c r="AE32" i="30"/>
  <c r="AE31" i="30"/>
  <c r="AE30" i="30"/>
  <c r="AE29" i="30"/>
  <c r="AE28" i="30"/>
  <c r="AE21" i="30"/>
  <c r="AE20" i="30"/>
  <c r="AE19" i="30"/>
  <c r="AE18" i="30"/>
  <c r="AE17" i="30"/>
  <c r="AE15" i="30"/>
  <c r="AE14" i="30"/>
  <c r="AE13" i="30"/>
  <c r="AE10" i="30"/>
  <c r="AE9" i="30"/>
  <c r="AE8" i="30"/>
  <c r="AE7" i="30"/>
  <c r="AE6" i="30"/>
  <c r="AE3" i="30"/>
  <c r="AA400" i="30"/>
  <c r="AA399" i="30"/>
  <c r="AA398" i="30"/>
  <c r="AA397" i="30"/>
  <c r="AA396" i="30"/>
  <c r="AA395" i="30"/>
  <c r="AA394" i="30"/>
  <c r="AA393" i="30"/>
  <c r="AA392" i="30"/>
  <c r="AA391" i="30"/>
  <c r="AA390" i="30"/>
  <c r="AA389" i="30"/>
  <c r="AA388" i="30"/>
  <c r="AA387" i="30"/>
  <c r="AA386" i="30"/>
  <c r="AA385" i="30"/>
  <c r="AA384" i="30"/>
  <c r="AA383" i="30"/>
  <c r="AA382" i="30"/>
  <c r="AA381" i="30"/>
  <c r="AA380" i="30"/>
  <c r="AA379" i="30"/>
  <c r="AA378" i="30"/>
  <c r="AA377" i="30"/>
  <c r="AA376" i="30"/>
  <c r="AA375" i="30"/>
  <c r="AA374" i="30"/>
  <c r="AA373" i="30"/>
  <c r="AA372" i="30"/>
  <c r="AA371" i="30"/>
  <c r="AA370" i="30"/>
  <c r="AA369" i="30"/>
  <c r="AA368" i="30"/>
  <c r="AA367" i="30"/>
  <c r="AA366" i="30"/>
  <c r="AA365" i="30"/>
  <c r="AA364" i="30"/>
  <c r="AA363" i="30"/>
  <c r="AA362" i="30"/>
  <c r="AA361" i="30"/>
  <c r="AA360" i="30"/>
  <c r="AA359" i="30"/>
  <c r="AA358" i="30"/>
  <c r="AA357" i="30"/>
  <c r="AA356" i="30"/>
  <c r="AA355" i="30"/>
  <c r="AA354" i="30"/>
  <c r="AA353" i="30"/>
  <c r="AA352" i="30"/>
  <c r="AA351" i="30"/>
  <c r="AA350" i="30"/>
  <c r="AA349" i="30"/>
  <c r="AA348" i="30"/>
  <c r="AA347" i="30"/>
  <c r="AA346" i="30"/>
  <c r="AA345" i="30"/>
  <c r="AA344" i="30"/>
  <c r="AA343" i="30"/>
  <c r="AA342" i="30"/>
  <c r="AA341" i="30"/>
  <c r="AA340" i="30"/>
  <c r="AA339" i="30"/>
  <c r="AA338" i="30"/>
  <c r="AA337" i="30"/>
  <c r="AA336" i="30"/>
  <c r="AA335" i="30"/>
  <c r="AA334" i="30"/>
  <c r="AA333" i="30"/>
  <c r="AA332" i="30"/>
  <c r="AA331" i="30"/>
  <c r="AA330" i="30"/>
  <c r="AA329" i="30"/>
  <c r="AA328" i="30"/>
  <c r="AA327" i="30"/>
  <c r="AA326" i="30"/>
  <c r="AA325" i="30"/>
  <c r="AA324" i="30"/>
  <c r="AA323" i="30"/>
  <c r="AA322" i="30"/>
  <c r="AA321" i="30"/>
  <c r="AA320" i="30"/>
  <c r="AA319" i="30"/>
  <c r="AA318" i="30"/>
  <c r="AA317" i="30"/>
  <c r="AA316" i="30"/>
  <c r="AA315" i="30"/>
  <c r="AA314" i="30"/>
  <c r="AA313" i="30"/>
  <c r="AA312" i="30"/>
  <c r="AA311" i="30"/>
  <c r="AA310" i="30"/>
  <c r="AA309" i="30"/>
  <c r="AA308" i="30"/>
  <c r="AA307" i="30"/>
  <c r="AA306" i="30"/>
  <c r="AA305" i="30"/>
  <c r="AA304" i="30"/>
  <c r="AA303" i="30"/>
  <c r="AA302" i="30"/>
  <c r="AA301" i="30"/>
  <c r="AA300" i="30"/>
  <c r="AA299" i="30"/>
  <c r="AA298" i="30"/>
  <c r="AA297" i="30"/>
  <c r="AA296" i="30"/>
  <c r="AA295" i="30"/>
  <c r="AA294" i="30"/>
  <c r="AA293" i="30"/>
  <c r="AA292" i="30"/>
  <c r="AA291" i="30"/>
  <c r="AA290" i="30"/>
  <c r="AA289" i="30"/>
  <c r="AA288" i="30"/>
  <c r="AA287" i="30"/>
  <c r="AA286" i="30"/>
  <c r="AA285" i="30"/>
  <c r="AA284" i="30"/>
  <c r="AA283" i="30"/>
  <c r="AA282" i="30"/>
  <c r="AA281" i="30"/>
  <c r="AA280" i="30"/>
  <c r="AA279" i="30"/>
  <c r="AA278" i="30"/>
  <c r="AA277" i="30"/>
  <c r="AA276" i="30"/>
  <c r="AA275" i="30"/>
  <c r="AA274" i="30"/>
  <c r="AA273" i="30"/>
  <c r="AA272" i="30"/>
  <c r="AA271" i="30"/>
  <c r="AA270" i="30"/>
  <c r="AA269" i="30"/>
  <c r="AA268" i="30"/>
  <c r="AA267" i="30"/>
  <c r="AA266" i="30"/>
  <c r="AA265" i="30"/>
  <c r="AA264" i="30"/>
  <c r="AA263" i="30"/>
  <c r="AA262" i="30"/>
  <c r="AA261" i="30"/>
  <c r="AA260" i="30"/>
  <c r="AA259" i="30"/>
  <c r="AA258" i="30"/>
  <c r="AA257" i="30"/>
  <c r="AA256" i="30"/>
  <c r="AA255" i="30"/>
  <c r="AA254" i="30"/>
  <c r="AA253" i="30"/>
  <c r="AA252" i="30"/>
  <c r="AA251" i="30"/>
  <c r="AA250" i="30"/>
  <c r="AA249" i="30"/>
  <c r="AA248" i="30"/>
  <c r="AA247" i="30"/>
  <c r="AA246" i="30"/>
  <c r="AA245" i="30"/>
  <c r="AA244" i="30"/>
  <c r="AA243" i="30"/>
  <c r="AA242" i="30"/>
  <c r="AA241" i="30"/>
  <c r="AA240" i="30"/>
  <c r="AA239" i="30"/>
  <c r="AA238" i="30"/>
  <c r="AA237" i="30"/>
  <c r="AA236" i="30"/>
  <c r="AA235" i="30"/>
  <c r="AA234" i="30"/>
  <c r="AA233" i="30"/>
  <c r="AA232" i="30"/>
  <c r="AA231" i="30"/>
  <c r="AA230" i="30"/>
  <c r="AA229" i="30"/>
  <c r="AA228" i="30"/>
  <c r="AA227" i="30"/>
  <c r="AA226" i="30"/>
  <c r="AA225" i="30"/>
  <c r="AA224" i="30"/>
  <c r="AA223" i="30"/>
  <c r="AA222" i="30"/>
  <c r="AA221" i="30"/>
  <c r="AA220" i="30"/>
  <c r="AA219" i="30"/>
  <c r="AA218" i="30"/>
  <c r="AA217" i="30"/>
  <c r="AA216" i="30"/>
  <c r="AA215" i="30"/>
  <c r="AA214" i="30"/>
  <c r="AA213" i="30"/>
  <c r="AA212" i="30"/>
  <c r="AA211" i="30"/>
  <c r="AA210" i="30"/>
  <c r="AA209" i="30"/>
  <c r="AA208" i="30"/>
  <c r="AA207" i="30"/>
  <c r="AA206" i="30"/>
  <c r="AA205" i="30"/>
  <c r="AA204" i="30"/>
  <c r="AA203" i="30"/>
  <c r="AA202" i="30"/>
  <c r="AA201" i="30"/>
  <c r="AA200" i="30"/>
  <c r="AA199" i="30"/>
  <c r="AA198" i="30"/>
  <c r="AA197" i="30"/>
  <c r="AA196" i="30"/>
  <c r="AA195" i="30"/>
  <c r="AA194" i="30"/>
  <c r="AA193" i="30"/>
  <c r="AA192" i="30"/>
  <c r="AA191" i="30"/>
  <c r="AA190" i="30"/>
  <c r="AA189" i="30"/>
  <c r="AA188" i="30"/>
  <c r="AA187" i="30"/>
  <c r="AA186" i="30"/>
  <c r="AA185" i="30"/>
  <c r="AA184" i="30"/>
  <c r="AA183" i="30"/>
  <c r="AA182" i="30"/>
  <c r="AA181" i="30"/>
  <c r="AA180" i="30"/>
  <c r="AA179" i="30"/>
  <c r="AA178" i="30"/>
  <c r="AA177" i="30"/>
  <c r="AA176" i="30"/>
  <c r="AA175" i="30"/>
  <c r="AA174" i="30"/>
  <c r="AA173" i="30"/>
  <c r="AA172" i="30"/>
  <c r="AA171" i="30"/>
  <c r="AA170" i="30"/>
  <c r="AA169" i="30"/>
  <c r="AA168" i="30"/>
  <c r="AA167" i="30"/>
  <c r="AA166" i="30"/>
  <c r="AA165" i="30"/>
  <c r="AA164" i="30"/>
  <c r="AA163" i="30"/>
  <c r="AA162" i="30"/>
  <c r="AA161" i="30"/>
  <c r="AA160" i="30"/>
  <c r="AA159" i="30"/>
  <c r="AA158" i="30"/>
  <c r="AA157" i="30"/>
  <c r="AA156" i="30"/>
  <c r="AA155" i="30"/>
  <c r="AA154" i="30"/>
  <c r="AA153" i="30"/>
  <c r="AA152" i="30"/>
  <c r="AA150" i="30"/>
  <c r="AA149" i="30"/>
  <c r="AA147" i="30"/>
  <c r="AA146" i="30"/>
  <c r="AA145" i="30"/>
  <c r="AA144" i="30"/>
  <c r="AA143" i="30"/>
  <c r="AA141" i="30"/>
  <c r="AA140" i="30"/>
  <c r="AA139" i="30"/>
  <c r="AA137" i="30"/>
  <c r="AA136" i="30"/>
  <c r="AA135" i="30"/>
  <c r="AA134" i="30"/>
  <c r="AA128" i="30"/>
  <c r="AA127" i="30"/>
  <c r="AA126" i="30"/>
  <c r="AA125" i="30"/>
  <c r="AA124" i="30"/>
  <c r="AA123" i="30"/>
  <c r="AA122" i="30"/>
  <c r="AA120" i="30"/>
  <c r="AA119" i="30"/>
  <c r="AA118" i="30"/>
  <c r="AA115" i="30"/>
  <c r="AA114" i="30"/>
  <c r="AA113" i="30"/>
  <c r="AA110" i="30"/>
  <c r="AA109" i="30"/>
  <c r="AA108" i="30"/>
  <c r="AA107" i="30"/>
  <c r="AA106" i="30"/>
  <c r="AA105" i="30"/>
  <c r="AA103" i="30"/>
  <c r="AA102" i="30"/>
  <c r="AA101" i="30"/>
  <c r="AA100" i="30"/>
  <c r="AA99" i="30"/>
  <c r="AA98" i="30"/>
  <c r="AA97" i="30"/>
  <c r="AA96" i="30"/>
  <c r="AA95" i="30"/>
  <c r="AA94" i="30"/>
  <c r="AA93" i="30"/>
  <c r="AA92" i="30"/>
  <c r="AA91" i="30"/>
  <c r="AA90" i="30"/>
  <c r="AA85" i="30"/>
  <c r="AA84" i="30"/>
  <c r="AA83" i="30"/>
  <c r="AA80" i="30"/>
  <c r="AA79" i="30"/>
  <c r="AA78" i="30"/>
  <c r="AA77" i="30"/>
  <c r="AA76" i="30"/>
  <c r="AA73" i="30"/>
  <c r="AA72" i="30"/>
  <c r="AA71" i="30"/>
  <c r="AA64" i="30"/>
  <c r="AA63" i="30"/>
  <c r="AA62" i="30"/>
  <c r="AA60" i="30"/>
  <c r="AA59" i="30"/>
  <c r="AA58" i="30"/>
  <c r="AA57" i="30"/>
  <c r="AA56" i="30"/>
  <c r="AA55" i="30"/>
  <c r="AA54" i="30"/>
  <c r="AA53" i="30"/>
  <c r="AA52" i="30"/>
  <c r="AA51" i="30"/>
  <c r="AA50" i="30"/>
  <c r="AA49" i="30"/>
  <c r="AA48" i="30"/>
  <c r="AA46" i="30"/>
  <c r="AA44" i="30"/>
  <c r="AA43" i="30"/>
  <c r="AA42" i="30"/>
  <c r="AA41" i="30"/>
  <c r="AA35" i="30"/>
  <c r="AA34" i="30"/>
  <c r="AA32" i="30"/>
  <c r="AA31" i="30"/>
  <c r="AA30" i="30"/>
  <c r="AA29" i="30"/>
  <c r="AA28" i="30"/>
  <c r="AA21" i="30"/>
  <c r="AA20" i="30"/>
  <c r="AA19" i="30"/>
  <c r="AA18" i="30"/>
  <c r="AA17" i="30"/>
  <c r="AA15" i="30"/>
  <c r="AA14" i="30"/>
  <c r="AA13" i="30"/>
  <c r="AA10" i="30"/>
  <c r="AA9" i="30"/>
  <c r="AA8" i="30"/>
  <c r="AA7" i="30"/>
  <c r="AA6" i="30"/>
  <c r="AA3" i="30"/>
  <c r="W400" i="30"/>
  <c r="W399" i="30"/>
  <c r="W398" i="30"/>
  <c r="W397" i="30"/>
  <c r="W396" i="30"/>
  <c r="W395" i="30"/>
  <c r="W394" i="30"/>
  <c r="W393" i="30"/>
  <c r="W392" i="30"/>
  <c r="W391" i="30"/>
  <c r="W390" i="30"/>
  <c r="W389" i="30"/>
  <c r="W388" i="30"/>
  <c r="W387" i="30"/>
  <c r="W386" i="30"/>
  <c r="W385" i="30"/>
  <c r="W384" i="30"/>
  <c r="W383" i="30"/>
  <c r="W382" i="30"/>
  <c r="W381" i="30"/>
  <c r="W380" i="30"/>
  <c r="W379" i="30"/>
  <c r="W378" i="30"/>
  <c r="W377" i="30"/>
  <c r="W376" i="30"/>
  <c r="W375" i="30"/>
  <c r="W374" i="30"/>
  <c r="W373" i="30"/>
  <c r="W372" i="30"/>
  <c r="W371" i="30"/>
  <c r="W370" i="30"/>
  <c r="W369" i="30"/>
  <c r="W368" i="30"/>
  <c r="W367" i="30"/>
  <c r="W366" i="30"/>
  <c r="W365" i="30"/>
  <c r="W364" i="30"/>
  <c r="W363" i="30"/>
  <c r="W362" i="30"/>
  <c r="W361" i="30"/>
  <c r="W360" i="30"/>
  <c r="W359" i="30"/>
  <c r="W358" i="30"/>
  <c r="W357" i="30"/>
  <c r="W356" i="30"/>
  <c r="W355" i="30"/>
  <c r="W354" i="30"/>
  <c r="W353" i="30"/>
  <c r="W352" i="30"/>
  <c r="W351" i="30"/>
  <c r="W350" i="30"/>
  <c r="W349" i="30"/>
  <c r="W348" i="30"/>
  <c r="W347" i="30"/>
  <c r="W346" i="30"/>
  <c r="W345" i="30"/>
  <c r="W344" i="30"/>
  <c r="W343" i="30"/>
  <c r="W342" i="30"/>
  <c r="W341" i="30"/>
  <c r="W340" i="30"/>
  <c r="W339" i="30"/>
  <c r="W338" i="30"/>
  <c r="W337" i="30"/>
  <c r="W336" i="30"/>
  <c r="W335" i="30"/>
  <c r="W334" i="30"/>
  <c r="W333" i="30"/>
  <c r="W332" i="30"/>
  <c r="W331" i="30"/>
  <c r="W330" i="30"/>
  <c r="W329" i="30"/>
  <c r="W328" i="30"/>
  <c r="W327" i="30"/>
  <c r="W326" i="30"/>
  <c r="W325" i="30"/>
  <c r="W324" i="30"/>
  <c r="W323" i="30"/>
  <c r="W322" i="30"/>
  <c r="W321" i="30"/>
  <c r="W320" i="30"/>
  <c r="W319" i="30"/>
  <c r="W318" i="30"/>
  <c r="W317" i="30"/>
  <c r="W316" i="30"/>
  <c r="W315" i="30"/>
  <c r="W314" i="30"/>
  <c r="W313" i="30"/>
  <c r="W312" i="30"/>
  <c r="W311" i="30"/>
  <c r="W310" i="30"/>
  <c r="W309" i="30"/>
  <c r="W308" i="30"/>
  <c r="W307" i="30"/>
  <c r="W306" i="30"/>
  <c r="W305" i="30"/>
  <c r="W304" i="30"/>
  <c r="W303" i="30"/>
  <c r="W302" i="30"/>
  <c r="W301" i="30"/>
  <c r="W300" i="30"/>
  <c r="W299" i="30"/>
  <c r="W298" i="30"/>
  <c r="W297" i="30"/>
  <c r="W296" i="30"/>
  <c r="W295" i="30"/>
  <c r="W294" i="30"/>
  <c r="W293" i="30"/>
  <c r="W292" i="30"/>
  <c r="W291" i="30"/>
  <c r="W290" i="30"/>
  <c r="W289" i="30"/>
  <c r="W288" i="30"/>
  <c r="W287" i="30"/>
  <c r="W286" i="30"/>
  <c r="W285" i="30"/>
  <c r="W284" i="30"/>
  <c r="W283" i="30"/>
  <c r="W282" i="30"/>
  <c r="W281" i="30"/>
  <c r="W280" i="30"/>
  <c r="W279" i="30"/>
  <c r="W278" i="30"/>
  <c r="W277" i="30"/>
  <c r="W276" i="30"/>
  <c r="W275" i="30"/>
  <c r="W274" i="30"/>
  <c r="W273" i="30"/>
  <c r="W272" i="30"/>
  <c r="W271" i="30"/>
  <c r="W270" i="30"/>
  <c r="W269" i="30"/>
  <c r="W268" i="30"/>
  <c r="W267" i="30"/>
  <c r="W266" i="30"/>
  <c r="W265" i="30"/>
  <c r="W264" i="30"/>
  <c r="W263" i="30"/>
  <c r="W262" i="30"/>
  <c r="W261" i="30"/>
  <c r="W260" i="30"/>
  <c r="W259" i="30"/>
  <c r="W258" i="30"/>
  <c r="W257" i="30"/>
  <c r="W256" i="30"/>
  <c r="W255" i="30"/>
  <c r="W254" i="30"/>
  <c r="W253" i="30"/>
  <c r="W252" i="30"/>
  <c r="W251" i="30"/>
  <c r="W250" i="30"/>
  <c r="W249" i="30"/>
  <c r="W248" i="30"/>
  <c r="W247" i="30"/>
  <c r="W246" i="30"/>
  <c r="W245" i="30"/>
  <c r="W244" i="30"/>
  <c r="W243" i="30"/>
  <c r="W242" i="30"/>
  <c r="W241" i="30"/>
  <c r="W240" i="30"/>
  <c r="W239" i="30"/>
  <c r="W238" i="30"/>
  <c r="W237" i="30"/>
  <c r="W236" i="30"/>
  <c r="W235" i="30"/>
  <c r="W234" i="30"/>
  <c r="W233" i="30"/>
  <c r="W232" i="30"/>
  <c r="W231" i="30"/>
  <c r="W230" i="30"/>
  <c r="W229" i="30"/>
  <c r="W228" i="30"/>
  <c r="W227" i="30"/>
  <c r="W226" i="30"/>
  <c r="W225" i="30"/>
  <c r="W224" i="30"/>
  <c r="W223" i="30"/>
  <c r="W222" i="30"/>
  <c r="W221" i="30"/>
  <c r="W220" i="30"/>
  <c r="W219" i="30"/>
  <c r="W218" i="30"/>
  <c r="W217" i="30"/>
  <c r="W216" i="30"/>
  <c r="W215" i="30"/>
  <c r="W214" i="30"/>
  <c r="W213" i="30"/>
  <c r="W212" i="30"/>
  <c r="W211" i="30"/>
  <c r="W210" i="30"/>
  <c r="W209" i="30"/>
  <c r="W208" i="30"/>
  <c r="W207" i="30"/>
  <c r="W206" i="30"/>
  <c r="W205" i="30"/>
  <c r="W204" i="30"/>
  <c r="W203" i="30"/>
  <c r="W202" i="30"/>
  <c r="W201" i="30"/>
  <c r="W200" i="30"/>
  <c r="W199" i="30"/>
  <c r="W198" i="30"/>
  <c r="W197" i="30"/>
  <c r="W196" i="30"/>
  <c r="W195" i="30"/>
  <c r="W194" i="30"/>
  <c r="W193" i="30"/>
  <c r="W192" i="30"/>
  <c r="W191" i="30"/>
  <c r="W190" i="30"/>
  <c r="W189" i="30"/>
  <c r="W188" i="30"/>
  <c r="W187" i="30"/>
  <c r="W186" i="30"/>
  <c r="W185" i="30"/>
  <c r="W184" i="30"/>
  <c r="W183" i="30"/>
  <c r="W182" i="30"/>
  <c r="W181" i="30"/>
  <c r="W180" i="30"/>
  <c r="W179" i="30"/>
  <c r="W178" i="30"/>
  <c r="W177" i="30"/>
  <c r="W176" i="30"/>
  <c r="W175" i="30"/>
  <c r="W174" i="30"/>
  <c r="W173" i="30"/>
  <c r="W172" i="30"/>
  <c r="W171" i="30"/>
  <c r="W170" i="30"/>
  <c r="W169" i="30"/>
  <c r="W168" i="30"/>
  <c r="W167" i="30"/>
  <c r="W166" i="30"/>
  <c r="W165" i="30"/>
  <c r="W164" i="30"/>
  <c r="W163" i="30"/>
  <c r="W162" i="30"/>
  <c r="W161" i="30"/>
  <c r="W160" i="30"/>
  <c r="W159" i="30"/>
  <c r="W158" i="30"/>
  <c r="W157" i="30"/>
  <c r="W156" i="30"/>
  <c r="W155" i="30"/>
  <c r="W154" i="30"/>
  <c r="W153" i="30"/>
  <c r="W152" i="30"/>
  <c r="W150" i="30"/>
  <c r="W149" i="30"/>
  <c r="W147" i="30"/>
  <c r="W146" i="30"/>
  <c r="W145" i="30"/>
  <c r="W144" i="30"/>
  <c r="W143" i="30"/>
  <c r="W141" i="30"/>
  <c r="W140" i="30"/>
  <c r="W139" i="30"/>
  <c r="W137" i="30"/>
  <c r="W136" i="30"/>
  <c r="W135" i="30"/>
  <c r="W134" i="30"/>
  <c r="W128" i="30"/>
  <c r="W127" i="30"/>
  <c r="W126" i="30"/>
  <c r="W125" i="30"/>
  <c r="W124" i="30"/>
  <c r="W123" i="30"/>
  <c r="W122" i="30"/>
  <c r="W120" i="30"/>
  <c r="W119" i="30"/>
  <c r="W118" i="30"/>
  <c r="W115" i="30"/>
  <c r="W114" i="30"/>
  <c r="W113" i="30"/>
  <c r="W110" i="30"/>
  <c r="W109" i="30"/>
  <c r="W108" i="30"/>
  <c r="W107" i="30"/>
  <c r="W106" i="30"/>
  <c r="W105" i="30"/>
  <c r="W103" i="30"/>
  <c r="W102" i="30"/>
  <c r="W101" i="30"/>
  <c r="W100" i="30"/>
  <c r="W99" i="30"/>
  <c r="W98" i="30"/>
  <c r="W97" i="30"/>
  <c r="W96" i="30"/>
  <c r="W95" i="30"/>
  <c r="W94" i="30"/>
  <c r="W93" i="30"/>
  <c r="W92" i="30"/>
  <c r="W91" i="30"/>
  <c r="W90" i="30"/>
  <c r="W85" i="30"/>
  <c r="W84" i="30"/>
  <c r="W83" i="30"/>
  <c r="W80" i="30"/>
  <c r="W79" i="30"/>
  <c r="W78" i="30"/>
  <c r="W77" i="30"/>
  <c r="W76" i="30"/>
  <c r="W73" i="30"/>
  <c r="W72" i="30"/>
  <c r="W71" i="30"/>
  <c r="W64" i="30"/>
  <c r="W63" i="30"/>
  <c r="W62" i="30"/>
  <c r="W60" i="30"/>
  <c r="W59" i="30"/>
  <c r="W58" i="30"/>
  <c r="W57" i="30"/>
  <c r="W56" i="30"/>
  <c r="W55" i="30"/>
  <c r="W54" i="30"/>
  <c r="W53" i="30"/>
  <c r="W52" i="30"/>
  <c r="W51" i="30"/>
  <c r="W50" i="30"/>
  <c r="W49" i="30"/>
  <c r="W48" i="30"/>
  <c r="W46" i="30"/>
  <c r="W44" i="30"/>
  <c r="W43" i="30"/>
  <c r="W42" i="30"/>
  <c r="W41" i="30"/>
  <c r="W35" i="30"/>
  <c r="W34" i="30"/>
  <c r="W32" i="30"/>
  <c r="W31" i="30"/>
  <c r="W30" i="30"/>
  <c r="W29" i="30"/>
  <c r="W28" i="30"/>
  <c r="W21" i="30"/>
  <c r="W20" i="30"/>
  <c r="W19" i="30"/>
  <c r="W18" i="30"/>
  <c r="W17" i="30"/>
  <c r="W15" i="30"/>
  <c r="W14" i="30"/>
  <c r="W13" i="30"/>
  <c r="W10" i="30"/>
  <c r="W9" i="30"/>
  <c r="W8" i="30"/>
  <c r="W7" i="30"/>
  <c r="W6" i="30"/>
  <c r="W3" i="30"/>
  <c r="S400" i="30"/>
  <c r="S399" i="30"/>
  <c r="S398" i="30"/>
  <c r="S397" i="30"/>
  <c r="S396" i="30"/>
  <c r="S395" i="30"/>
  <c r="S394" i="30"/>
  <c r="S393" i="30"/>
  <c r="S392" i="30"/>
  <c r="S391" i="30"/>
  <c r="S390" i="30"/>
  <c r="S389" i="30"/>
  <c r="S388" i="30"/>
  <c r="S387" i="30"/>
  <c r="S386" i="30"/>
  <c r="S385" i="30"/>
  <c r="S384" i="30"/>
  <c r="S383" i="30"/>
  <c r="S382" i="30"/>
  <c r="S381" i="30"/>
  <c r="S380" i="30"/>
  <c r="S379" i="30"/>
  <c r="S378" i="30"/>
  <c r="S377" i="30"/>
  <c r="S376" i="30"/>
  <c r="S375" i="30"/>
  <c r="S374" i="30"/>
  <c r="S373" i="30"/>
  <c r="S372" i="30"/>
  <c r="S371" i="30"/>
  <c r="S370" i="30"/>
  <c r="S369" i="30"/>
  <c r="S368" i="30"/>
  <c r="S367" i="30"/>
  <c r="S366" i="30"/>
  <c r="S365" i="30"/>
  <c r="S364" i="30"/>
  <c r="S363" i="30"/>
  <c r="S362" i="30"/>
  <c r="S361" i="30"/>
  <c r="S360" i="30"/>
  <c r="S359" i="30"/>
  <c r="S358" i="30"/>
  <c r="S357" i="30"/>
  <c r="S356" i="30"/>
  <c r="S355" i="30"/>
  <c r="S354" i="30"/>
  <c r="S353" i="30"/>
  <c r="S352" i="30"/>
  <c r="S351" i="30"/>
  <c r="S350" i="30"/>
  <c r="S349" i="30"/>
  <c r="S348" i="30"/>
  <c r="S347" i="30"/>
  <c r="S346" i="30"/>
  <c r="S345" i="30"/>
  <c r="S344" i="30"/>
  <c r="S343" i="30"/>
  <c r="S342" i="30"/>
  <c r="S341" i="30"/>
  <c r="S340" i="30"/>
  <c r="S339" i="30"/>
  <c r="S338" i="30"/>
  <c r="S337" i="30"/>
  <c r="S336" i="30"/>
  <c r="S335" i="30"/>
  <c r="S334" i="30"/>
  <c r="S333" i="30"/>
  <c r="S332" i="30"/>
  <c r="S331" i="30"/>
  <c r="S330" i="30"/>
  <c r="S329" i="30"/>
  <c r="S328" i="30"/>
  <c r="S327" i="30"/>
  <c r="S326" i="30"/>
  <c r="S325" i="30"/>
  <c r="S324" i="30"/>
  <c r="S323" i="30"/>
  <c r="S322" i="30"/>
  <c r="S321" i="30"/>
  <c r="S320" i="30"/>
  <c r="S319" i="30"/>
  <c r="S318" i="30"/>
  <c r="S317" i="30"/>
  <c r="S316" i="30"/>
  <c r="S315" i="30"/>
  <c r="S314" i="30"/>
  <c r="S313" i="30"/>
  <c r="S312" i="30"/>
  <c r="S311" i="30"/>
  <c r="S310" i="30"/>
  <c r="S309" i="30"/>
  <c r="S308" i="30"/>
  <c r="S307" i="30"/>
  <c r="S306" i="30"/>
  <c r="S305" i="30"/>
  <c r="S304" i="30"/>
  <c r="S303" i="30"/>
  <c r="S302" i="30"/>
  <c r="S301" i="30"/>
  <c r="S300" i="30"/>
  <c r="S299" i="30"/>
  <c r="S298" i="30"/>
  <c r="S297" i="30"/>
  <c r="S296" i="30"/>
  <c r="S295" i="30"/>
  <c r="S294" i="30"/>
  <c r="S293" i="30"/>
  <c r="S292" i="30"/>
  <c r="S291" i="30"/>
  <c r="S290" i="30"/>
  <c r="S289" i="30"/>
  <c r="S288" i="30"/>
  <c r="S287" i="30"/>
  <c r="S286" i="30"/>
  <c r="S285" i="30"/>
  <c r="S284" i="30"/>
  <c r="S283" i="30"/>
  <c r="S282" i="30"/>
  <c r="S281" i="30"/>
  <c r="S280" i="30"/>
  <c r="S279" i="30"/>
  <c r="S278" i="30"/>
  <c r="S277" i="30"/>
  <c r="S276" i="30"/>
  <c r="S275" i="30"/>
  <c r="S274" i="30"/>
  <c r="S273" i="30"/>
  <c r="S272" i="30"/>
  <c r="S271" i="30"/>
  <c r="S270" i="30"/>
  <c r="S269" i="30"/>
  <c r="S268" i="30"/>
  <c r="S267" i="30"/>
  <c r="S266" i="30"/>
  <c r="S265" i="30"/>
  <c r="S264" i="30"/>
  <c r="S263" i="30"/>
  <c r="S262" i="30"/>
  <c r="S261" i="30"/>
  <c r="S260" i="30"/>
  <c r="S259" i="30"/>
  <c r="S258" i="30"/>
  <c r="S257" i="30"/>
  <c r="S256" i="30"/>
  <c r="S255" i="30"/>
  <c r="S254" i="30"/>
  <c r="S253" i="30"/>
  <c r="S252" i="30"/>
  <c r="S251" i="30"/>
  <c r="S250" i="30"/>
  <c r="S249" i="30"/>
  <c r="S248" i="30"/>
  <c r="S247" i="30"/>
  <c r="S246" i="30"/>
  <c r="S245" i="30"/>
  <c r="S244" i="30"/>
  <c r="S243" i="30"/>
  <c r="S242" i="30"/>
  <c r="S241" i="30"/>
  <c r="S240" i="30"/>
  <c r="S239" i="30"/>
  <c r="S238" i="30"/>
  <c r="S237" i="30"/>
  <c r="S236" i="30"/>
  <c r="S235" i="30"/>
  <c r="S234" i="30"/>
  <c r="S233" i="30"/>
  <c r="S232" i="30"/>
  <c r="S231" i="30"/>
  <c r="S230" i="30"/>
  <c r="S229" i="30"/>
  <c r="S228" i="30"/>
  <c r="S227" i="30"/>
  <c r="S226" i="30"/>
  <c r="S225" i="30"/>
  <c r="S224" i="30"/>
  <c r="S223" i="30"/>
  <c r="S222" i="30"/>
  <c r="S221" i="30"/>
  <c r="S220" i="30"/>
  <c r="S219" i="30"/>
  <c r="S218" i="30"/>
  <c r="S217" i="30"/>
  <c r="S216" i="30"/>
  <c r="S215" i="30"/>
  <c r="S214" i="30"/>
  <c r="S213" i="30"/>
  <c r="S212" i="30"/>
  <c r="S211" i="30"/>
  <c r="S210" i="30"/>
  <c r="S209" i="30"/>
  <c r="S208" i="30"/>
  <c r="S207" i="30"/>
  <c r="S206" i="30"/>
  <c r="S205" i="30"/>
  <c r="S204" i="30"/>
  <c r="S203" i="30"/>
  <c r="S202" i="30"/>
  <c r="S201" i="30"/>
  <c r="S200" i="30"/>
  <c r="S199" i="30"/>
  <c r="S198" i="30"/>
  <c r="S197" i="30"/>
  <c r="S196" i="30"/>
  <c r="S195" i="30"/>
  <c r="S194" i="30"/>
  <c r="S193" i="30"/>
  <c r="S192" i="30"/>
  <c r="S191" i="30"/>
  <c r="S190" i="30"/>
  <c r="S189" i="30"/>
  <c r="S188" i="30"/>
  <c r="S187" i="30"/>
  <c r="S186" i="30"/>
  <c r="S185" i="30"/>
  <c r="S184" i="30"/>
  <c r="S183" i="30"/>
  <c r="S182" i="30"/>
  <c r="S181" i="30"/>
  <c r="S180" i="30"/>
  <c r="S179" i="30"/>
  <c r="S178" i="30"/>
  <c r="S177" i="30"/>
  <c r="S176" i="30"/>
  <c r="S175" i="30"/>
  <c r="S174" i="30"/>
  <c r="S173" i="30"/>
  <c r="S172" i="30"/>
  <c r="S171" i="30"/>
  <c r="S170" i="30"/>
  <c r="S169" i="30"/>
  <c r="S168" i="30"/>
  <c r="S167" i="30"/>
  <c r="S166" i="30"/>
  <c r="S165" i="30"/>
  <c r="S164" i="30"/>
  <c r="S163" i="30"/>
  <c r="S162" i="30"/>
  <c r="S161" i="30"/>
  <c r="S160" i="30"/>
  <c r="S159" i="30"/>
  <c r="S158" i="30"/>
  <c r="S157" i="30"/>
  <c r="S156" i="30"/>
  <c r="S155" i="30"/>
  <c r="S154" i="30"/>
  <c r="S153" i="30"/>
  <c r="S152" i="30"/>
  <c r="S150" i="30"/>
  <c r="S149" i="30"/>
  <c r="S147" i="30"/>
  <c r="S146" i="30"/>
  <c r="S145" i="30"/>
  <c r="S144" i="30"/>
  <c r="S143" i="30"/>
  <c r="S141" i="30"/>
  <c r="S140" i="30"/>
  <c r="S139" i="30"/>
  <c r="S137" i="30"/>
  <c r="S136" i="30"/>
  <c r="S135" i="30"/>
  <c r="S134" i="30"/>
  <c r="S128" i="30"/>
  <c r="S127" i="30"/>
  <c r="S126" i="30"/>
  <c r="S125" i="30"/>
  <c r="S124" i="30"/>
  <c r="S123" i="30"/>
  <c r="S122" i="30"/>
  <c r="S120" i="30"/>
  <c r="S119" i="30"/>
  <c r="S118" i="30"/>
  <c r="S115" i="30"/>
  <c r="S114" i="30"/>
  <c r="S113" i="30"/>
  <c r="S110" i="30"/>
  <c r="S109" i="30"/>
  <c r="S108" i="30"/>
  <c r="S107" i="30"/>
  <c r="S106" i="30"/>
  <c r="S105" i="30"/>
  <c r="S103" i="30"/>
  <c r="S102" i="30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5" i="30"/>
  <c r="S84" i="30"/>
  <c r="S83" i="30"/>
  <c r="S80" i="30"/>
  <c r="S79" i="30"/>
  <c r="S78" i="30"/>
  <c r="S77" i="30"/>
  <c r="S76" i="30"/>
  <c r="S73" i="30"/>
  <c r="S72" i="30"/>
  <c r="S71" i="30"/>
  <c r="S64" i="30"/>
  <c r="S63" i="30"/>
  <c r="S62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S46" i="30"/>
  <c r="S44" i="30"/>
  <c r="S43" i="30"/>
  <c r="S42" i="30"/>
  <c r="S41" i="30"/>
  <c r="S35" i="30"/>
  <c r="S34" i="30"/>
  <c r="S32" i="30"/>
  <c r="S31" i="30"/>
  <c r="S30" i="30"/>
  <c r="S29" i="30"/>
  <c r="S28" i="30"/>
  <c r="S21" i="30"/>
  <c r="S20" i="30"/>
  <c r="S19" i="30"/>
  <c r="S18" i="30"/>
  <c r="S17" i="30"/>
  <c r="S15" i="30"/>
  <c r="S14" i="30"/>
  <c r="S13" i="30"/>
  <c r="S10" i="30"/>
  <c r="S9" i="30"/>
  <c r="S8" i="30"/>
  <c r="S7" i="30"/>
  <c r="S6" i="30"/>
  <c r="S3" i="30"/>
  <c r="O400" i="30"/>
  <c r="O399" i="30"/>
  <c r="O398" i="30"/>
  <c r="O397" i="30"/>
  <c r="O396" i="30"/>
  <c r="O395" i="30"/>
  <c r="O394" i="30"/>
  <c r="O393" i="30"/>
  <c r="O392" i="30"/>
  <c r="O391" i="30"/>
  <c r="O390" i="30"/>
  <c r="O389" i="30"/>
  <c r="O388" i="30"/>
  <c r="O387" i="30"/>
  <c r="O386" i="30"/>
  <c r="O385" i="30"/>
  <c r="O384" i="30"/>
  <c r="O383" i="30"/>
  <c r="O382" i="30"/>
  <c r="O381" i="30"/>
  <c r="O380" i="30"/>
  <c r="O379" i="30"/>
  <c r="O378" i="30"/>
  <c r="O377" i="30"/>
  <c r="O376" i="30"/>
  <c r="O375" i="30"/>
  <c r="O374" i="30"/>
  <c r="O373" i="30"/>
  <c r="O372" i="30"/>
  <c r="O371" i="30"/>
  <c r="O370" i="30"/>
  <c r="O369" i="30"/>
  <c r="O368" i="30"/>
  <c r="O367" i="30"/>
  <c r="O366" i="30"/>
  <c r="O365" i="30"/>
  <c r="O364" i="30"/>
  <c r="O363" i="30"/>
  <c r="O362" i="30"/>
  <c r="O361" i="30"/>
  <c r="O360" i="30"/>
  <c r="O359" i="30"/>
  <c r="O358" i="30"/>
  <c r="O357" i="30"/>
  <c r="O356" i="30"/>
  <c r="O355" i="30"/>
  <c r="O354" i="30"/>
  <c r="O353" i="30"/>
  <c r="O352" i="30"/>
  <c r="O351" i="30"/>
  <c r="O350" i="30"/>
  <c r="O349" i="30"/>
  <c r="O348" i="30"/>
  <c r="O347" i="30"/>
  <c r="O346" i="30"/>
  <c r="O345" i="30"/>
  <c r="O344" i="30"/>
  <c r="O343" i="30"/>
  <c r="O342" i="30"/>
  <c r="O341" i="30"/>
  <c r="O340" i="30"/>
  <c r="O339" i="30"/>
  <c r="O338" i="30"/>
  <c r="O337" i="30"/>
  <c r="O336" i="30"/>
  <c r="O335" i="30"/>
  <c r="O334" i="30"/>
  <c r="O333" i="30"/>
  <c r="O332" i="30"/>
  <c r="O331" i="30"/>
  <c r="O330" i="30"/>
  <c r="O329" i="30"/>
  <c r="O328" i="30"/>
  <c r="O327" i="30"/>
  <c r="O326" i="30"/>
  <c r="O325" i="30"/>
  <c r="O324" i="30"/>
  <c r="O323" i="30"/>
  <c r="O322" i="30"/>
  <c r="O321" i="30"/>
  <c r="O320" i="30"/>
  <c r="O319" i="30"/>
  <c r="O318" i="30"/>
  <c r="O317" i="30"/>
  <c r="O316" i="30"/>
  <c r="O315" i="30"/>
  <c r="O314" i="30"/>
  <c r="O313" i="30"/>
  <c r="O312" i="30"/>
  <c r="O311" i="30"/>
  <c r="O310" i="30"/>
  <c r="O309" i="30"/>
  <c r="O308" i="30"/>
  <c r="O307" i="30"/>
  <c r="O306" i="30"/>
  <c r="O305" i="30"/>
  <c r="O304" i="30"/>
  <c r="O303" i="30"/>
  <c r="O302" i="30"/>
  <c r="O301" i="30"/>
  <c r="O300" i="30"/>
  <c r="O299" i="30"/>
  <c r="O298" i="30"/>
  <c r="O297" i="30"/>
  <c r="O296" i="30"/>
  <c r="O295" i="30"/>
  <c r="O294" i="30"/>
  <c r="O293" i="30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0" i="30"/>
  <c r="O149" i="30"/>
  <c r="O147" i="30"/>
  <c r="O146" i="30"/>
  <c r="O145" i="30"/>
  <c r="O144" i="30"/>
  <c r="O143" i="30"/>
  <c r="O141" i="30"/>
  <c r="O140" i="30"/>
  <c r="O139" i="30"/>
  <c r="O137" i="30"/>
  <c r="O136" i="30"/>
  <c r="O135" i="30"/>
  <c r="O134" i="30"/>
  <c r="O128" i="30"/>
  <c r="O127" i="30"/>
  <c r="O126" i="30"/>
  <c r="O125" i="30"/>
  <c r="O124" i="30"/>
  <c r="O123" i="30"/>
  <c r="O122" i="30"/>
  <c r="O120" i="30"/>
  <c r="O119" i="30"/>
  <c r="O118" i="30"/>
  <c r="O115" i="30"/>
  <c r="O114" i="30"/>
  <c r="O113" i="30"/>
  <c r="O110" i="30"/>
  <c r="O109" i="30"/>
  <c r="O108" i="30"/>
  <c r="O107" i="30"/>
  <c r="O106" i="30"/>
  <c r="O105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5" i="30"/>
  <c r="O84" i="30"/>
  <c r="O83" i="30"/>
  <c r="O80" i="30"/>
  <c r="O79" i="30"/>
  <c r="O78" i="30"/>
  <c r="O77" i="30"/>
  <c r="O76" i="30"/>
  <c r="O73" i="30"/>
  <c r="O72" i="30"/>
  <c r="O71" i="30"/>
  <c r="O64" i="30"/>
  <c r="O63" i="30"/>
  <c r="O62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6" i="30"/>
  <c r="O44" i="30"/>
  <c r="O43" i="30"/>
  <c r="O42" i="30"/>
  <c r="O41" i="30"/>
  <c r="O35" i="30"/>
  <c r="O34" i="30"/>
  <c r="O32" i="30"/>
  <c r="O31" i="30"/>
  <c r="O30" i="30"/>
  <c r="O29" i="30"/>
  <c r="O28" i="30"/>
  <c r="O21" i="30"/>
  <c r="O20" i="30"/>
  <c r="O19" i="30"/>
  <c r="O18" i="30"/>
  <c r="O17" i="30"/>
  <c r="O15" i="30"/>
  <c r="O14" i="30"/>
  <c r="O13" i="30"/>
  <c r="O10" i="30"/>
  <c r="O9" i="30"/>
  <c r="O8" i="30"/>
  <c r="O7" i="30"/>
  <c r="O6" i="30"/>
  <c r="O3" i="30"/>
  <c r="K400" i="30"/>
  <c r="K399" i="30"/>
  <c r="K398" i="30"/>
  <c r="K397" i="30"/>
  <c r="K396" i="30"/>
  <c r="K395" i="30"/>
  <c r="K394" i="30"/>
  <c r="K393" i="30"/>
  <c r="K392" i="30"/>
  <c r="K391" i="30"/>
  <c r="K390" i="30"/>
  <c r="K389" i="30"/>
  <c r="K388" i="30"/>
  <c r="K387" i="30"/>
  <c r="K386" i="30"/>
  <c r="K385" i="30"/>
  <c r="K384" i="30"/>
  <c r="K383" i="30"/>
  <c r="K382" i="30"/>
  <c r="K381" i="30"/>
  <c r="K380" i="30"/>
  <c r="K379" i="30"/>
  <c r="K378" i="30"/>
  <c r="K377" i="30"/>
  <c r="K376" i="30"/>
  <c r="K375" i="30"/>
  <c r="K374" i="30"/>
  <c r="K373" i="30"/>
  <c r="K372" i="30"/>
  <c r="K371" i="30"/>
  <c r="K370" i="30"/>
  <c r="K369" i="30"/>
  <c r="K368" i="30"/>
  <c r="K367" i="30"/>
  <c r="K366" i="30"/>
  <c r="K365" i="30"/>
  <c r="K364" i="30"/>
  <c r="K363" i="30"/>
  <c r="K362" i="30"/>
  <c r="K361" i="30"/>
  <c r="K360" i="30"/>
  <c r="K359" i="30"/>
  <c r="K358" i="30"/>
  <c r="K357" i="30"/>
  <c r="K356" i="30"/>
  <c r="K355" i="30"/>
  <c r="K354" i="30"/>
  <c r="K353" i="30"/>
  <c r="K352" i="30"/>
  <c r="K351" i="30"/>
  <c r="K350" i="30"/>
  <c r="K349" i="30"/>
  <c r="K348" i="30"/>
  <c r="K347" i="30"/>
  <c r="K346" i="30"/>
  <c r="K345" i="30"/>
  <c r="K344" i="30"/>
  <c r="K343" i="30"/>
  <c r="K342" i="30"/>
  <c r="K341" i="30"/>
  <c r="K340" i="30"/>
  <c r="K339" i="30"/>
  <c r="K338" i="30"/>
  <c r="K337" i="30"/>
  <c r="K336" i="30"/>
  <c r="K335" i="30"/>
  <c r="K334" i="30"/>
  <c r="K333" i="30"/>
  <c r="K332" i="30"/>
  <c r="K331" i="30"/>
  <c r="K330" i="30"/>
  <c r="K329" i="30"/>
  <c r="K328" i="30"/>
  <c r="K327" i="30"/>
  <c r="K326" i="30"/>
  <c r="K325" i="30"/>
  <c r="K324" i="30"/>
  <c r="K323" i="30"/>
  <c r="K322" i="30"/>
  <c r="K321" i="30"/>
  <c r="K320" i="30"/>
  <c r="K319" i="30"/>
  <c r="K318" i="30"/>
  <c r="K317" i="30"/>
  <c r="K316" i="30"/>
  <c r="K315" i="30"/>
  <c r="K314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254" i="30"/>
  <c r="K253" i="30"/>
  <c r="K252" i="30"/>
  <c r="K251" i="30"/>
  <c r="K250" i="30"/>
  <c r="K249" i="30"/>
  <c r="K248" i="30"/>
  <c r="K247" i="30"/>
  <c r="K246" i="30"/>
  <c r="K245" i="30"/>
  <c r="K244" i="30"/>
  <c r="K243" i="30"/>
  <c r="K242" i="30"/>
  <c r="K241" i="30"/>
  <c r="K240" i="30"/>
  <c r="K239" i="30"/>
  <c r="K238" i="30"/>
  <c r="K237" i="30"/>
  <c r="K236" i="30"/>
  <c r="K235" i="30"/>
  <c r="K234" i="30"/>
  <c r="K233" i="30"/>
  <c r="K232" i="30"/>
  <c r="K231" i="30"/>
  <c r="K230" i="30"/>
  <c r="K229" i="30"/>
  <c r="K228" i="30"/>
  <c r="K227" i="30"/>
  <c r="K226" i="30"/>
  <c r="K225" i="30"/>
  <c r="K224" i="30"/>
  <c r="K223" i="30"/>
  <c r="K222" i="30"/>
  <c r="K221" i="30"/>
  <c r="K220" i="30"/>
  <c r="K219" i="30"/>
  <c r="K218" i="30"/>
  <c r="K217" i="30"/>
  <c r="K216" i="30"/>
  <c r="K215" i="30"/>
  <c r="K214" i="30"/>
  <c r="K213" i="30"/>
  <c r="K212" i="30"/>
  <c r="K211" i="30"/>
  <c r="K210" i="30"/>
  <c r="K209" i="30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0" i="30"/>
  <c r="K149" i="30"/>
  <c r="K147" i="30"/>
  <c r="K146" i="30"/>
  <c r="K145" i="30"/>
  <c r="K144" i="30"/>
  <c r="K143" i="30"/>
  <c r="K141" i="30"/>
  <c r="K140" i="30"/>
  <c r="K139" i="30"/>
  <c r="K137" i="30"/>
  <c r="K136" i="30"/>
  <c r="K135" i="30"/>
  <c r="K134" i="30"/>
  <c r="K128" i="30"/>
  <c r="K127" i="30"/>
  <c r="K126" i="30"/>
  <c r="K125" i="30"/>
  <c r="K124" i="30"/>
  <c r="K123" i="30"/>
  <c r="K122" i="30"/>
  <c r="K120" i="30"/>
  <c r="K119" i="30"/>
  <c r="K118" i="30"/>
  <c r="K115" i="30"/>
  <c r="K114" i="30"/>
  <c r="K113" i="30"/>
  <c r="K110" i="30"/>
  <c r="K109" i="30"/>
  <c r="K108" i="30"/>
  <c r="K107" i="30"/>
  <c r="K106" i="30"/>
  <c r="K105" i="30"/>
  <c r="K103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5" i="30"/>
  <c r="K84" i="30"/>
  <c r="K83" i="30"/>
  <c r="K80" i="30"/>
  <c r="K79" i="30"/>
  <c r="K78" i="30"/>
  <c r="K77" i="30"/>
  <c r="K76" i="30"/>
  <c r="K73" i="30"/>
  <c r="K72" i="30"/>
  <c r="K71" i="30"/>
  <c r="K64" i="30"/>
  <c r="K63" i="30"/>
  <c r="K62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6" i="30"/>
  <c r="K44" i="30"/>
  <c r="K43" i="30"/>
  <c r="K42" i="30"/>
  <c r="K41" i="30"/>
  <c r="K35" i="30"/>
  <c r="K34" i="30"/>
  <c r="K32" i="30"/>
  <c r="K31" i="30"/>
  <c r="K30" i="30"/>
  <c r="K29" i="30"/>
  <c r="K28" i="30"/>
  <c r="K21" i="30"/>
  <c r="K20" i="30"/>
  <c r="K19" i="30"/>
  <c r="K18" i="30"/>
  <c r="K17" i="30"/>
  <c r="K15" i="30"/>
  <c r="K14" i="30"/>
  <c r="K13" i="30"/>
  <c r="K10" i="30"/>
  <c r="K9" i="30"/>
  <c r="K8" i="30"/>
  <c r="K7" i="30"/>
  <c r="K6" i="30"/>
  <c r="K3" i="30"/>
  <c r="G400" i="30"/>
  <c r="G399" i="30"/>
  <c r="G398" i="30"/>
  <c r="G397" i="30"/>
  <c r="G396" i="30"/>
  <c r="G395" i="30"/>
  <c r="G394" i="30"/>
  <c r="G393" i="30"/>
  <c r="G392" i="30"/>
  <c r="G391" i="30"/>
  <c r="G390" i="30"/>
  <c r="G389" i="30"/>
  <c r="G388" i="30"/>
  <c r="G387" i="30"/>
  <c r="G386" i="30"/>
  <c r="G385" i="30"/>
  <c r="G384" i="30"/>
  <c r="G383" i="30"/>
  <c r="G382" i="30"/>
  <c r="G381" i="30"/>
  <c r="G380" i="30"/>
  <c r="G379" i="30"/>
  <c r="G378" i="30"/>
  <c r="G377" i="30"/>
  <c r="G376" i="30"/>
  <c r="G375" i="30"/>
  <c r="G374" i="30"/>
  <c r="G373" i="30"/>
  <c r="G372" i="30"/>
  <c r="G371" i="30"/>
  <c r="G370" i="30"/>
  <c r="G369" i="30"/>
  <c r="G368" i="30"/>
  <c r="G367" i="30"/>
  <c r="G366" i="30"/>
  <c r="G365" i="30"/>
  <c r="G364" i="30"/>
  <c r="G363" i="30"/>
  <c r="G362" i="30"/>
  <c r="G361" i="30"/>
  <c r="G360" i="30"/>
  <c r="G359" i="30"/>
  <c r="G358" i="30"/>
  <c r="G357" i="30"/>
  <c r="G356" i="30"/>
  <c r="G355" i="30"/>
  <c r="G354" i="30"/>
  <c r="G353" i="30"/>
  <c r="G352" i="30"/>
  <c r="G351" i="30"/>
  <c r="G350" i="30"/>
  <c r="G349" i="30"/>
  <c r="G348" i="30"/>
  <c r="G347" i="30"/>
  <c r="G346" i="30"/>
  <c r="G345" i="30"/>
  <c r="G344" i="30"/>
  <c r="G343" i="30"/>
  <c r="G342" i="30"/>
  <c r="G341" i="30"/>
  <c r="G340" i="30"/>
  <c r="G339" i="30"/>
  <c r="G338" i="30"/>
  <c r="G337" i="30"/>
  <c r="G336" i="30"/>
  <c r="G335" i="30"/>
  <c r="G334" i="30"/>
  <c r="G333" i="30"/>
  <c r="G332" i="30"/>
  <c r="G331" i="30"/>
  <c r="G330" i="30"/>
  <c r="G329" i="30"/>
  <c r="G328" i="30"/>
  <c r="G327" i="30"/>
  <c r="G326" i="30"/>
  <c r="G325" i="30"/>
  <c r="G324" i="30"/>
  <c r="G323" i="30"/>
  <c r="G322" i="30"/>
  <c r="G321" i="30"/>
  <c r="G320" i="30"/>
  <c r="G319" i="30"/>
  <c r="G318" i="30"/>
  <c r="G317" i="30"/>
  <c r="G316" i="30"/>
  <c r="G315" i="30"/>
  <c r="G314" i="30"/>
  <c r="G313" i="30"/>
  <c r="G312" i="30"/>
  <c r="G311" i="30"/>
  <c r="G310" i="30"/>
  <c r="G309" i="30"/>
  <c r="G308" i="30"/>
  <c r="G307" i="30"/>
  <c r="G306" i="30"/>
  <c r="G305" i="30"/>
  <c r="G304" i="30"/>
  <c r="G303" i="30"/>
  <c r="G302" i="30"/>
  <c r="G301" i="30"/>
  <c r="G300" i="30"/>
  <c r="G299" i="30"/>
  <c r="G298" i="30"/>
  <c r="G297" i="30"/>
  <c r="G296" i="30"/>
  <c r="G295" i="30"/>
  <c r="G294" i="30"/>
  <c r="G293" i="30"/>
  <c r="G292" i="30"/>
  <c r="G291" i="30"/>
  <c r="G290" i="30"/>
  <c r="G289" i="30"/>
  <c r="G288" i="30"/>
  <c r="G287" i="30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72" i="30"/>
  <c r="G271" i="30"/>
  <c r="G270" i="30"/>
  <c r="G269" i="30"/>
  <c r="G268" i="30"/>
  <c r="G267" i="30"/>
  <c r="G266" i="30"/>
  <c r="G265" i="30"/>
  <c r="G264" i="30"/>
  <c r="G263" i="30"/>
  <c r="G262" i="30"/>
  <c r="G261" i="30"/>
  <c r="G260" i="30"/>
  <c r="G259" i="30"/>
  <c r="G258" i="30"/>
  <c r="G257" i="30"/>
  <c r="G256" i="30"/>
  <c r="G255" i="30"/>
  <c r="G254" i="30"/>
  <c r="G253" i="30"/>
  <c r="G252" i="30"/>
  <c r="G251" i="30"/>
  <c r="G250" i="30"/>
  <c r="G249" i="30"/>
  <c r="G248" i="30"/>
  <c r="G247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70" i="30"/>
  <c r="G169" i="30"/>
  <c r="G168" i="30"/>
  <c r="G167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0" i="30"/>
  <c r="G149" i="30"/>
  <c r="G147" i="30"/>
  <c r="G146" i="30"/>
  <c r="G145" i="30"/>
  <c r="G144" i="30"/>
  <c r="G143" i="30"/>
  <c r="G141" i="30"/>
  <c r="G140" i="30"/>
  <c r="G139" i="30"/>
  <c r="G137" i="30"/>
  <c r="G136" i="30"/>
  <c r="G135" i="30"/>
  <c r="G134" i="30"/>
  <c r="G128" i="30"/>
  <c r="G127" i="30"/>
  <c r="G126" i="30"/>
  <c r="G125" i="30"/>
  <c r="G124" i="30"/>
  <c r="G123" i="30"/>
  <c r="G122" i="30"/>
  <c r="G120" i="30"/>
  <c r="G119" i="30"/>
  <c r="G118" i="30"/>
  <c r="G115" i="30"/>
  <c r="G114" i="30"/>
  <c r="G113" i="30"/>
  <c r="G110" i="30"/>
  <c r="G109" i="30"/>
  <c r="G108" i="30"/>
  <c r="G107" i="30"/>
  <c r="G106" i="30"/>
  <c r="G105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5" i="30"/>
  <c r="G84" i="30"/>
  <c r="G83" i="30"/>
  <c r="G80" i="30"/>
  <c r="G79" i="30"/>
  <c r="G78" i="30"/>
  <c r="G77" i="30"/>
  <c r="G76" i="30"/>
  <c r="G73" i="30"/>
  <c r="G72" i="30"/>
  <c r="G71" i="30"/>
  <c r="G64" i="30"/>
  <c r="G63" i="30"/>
  <c r="G62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6" i="30"/>
  <c r="G44" i="30"/>
  <c r="G43" i="30"/>
  <c r="G42" i="30"/>
  <c r="G41" i="30"/>
  <c r="G35" i="30"/>
  <c r="G34" i="30"/>
  <c r="G32" i="30"/>
  <c r="G31" i="30"/>
  <c r="G30" i="30"/>
  <c r="G29" i="30"/>
  <c r="G28" i="30"/>
  <c r="G21" i="30"/>
  <c r="G20" i="30"/>
  <c r="G19" i="30"/>
  <c r="G18" i="30"/>
  <c r="G17" i="30"/>
  <c r="G15" i="30"/>
  <c r="G14" i="30"/>
  <c r="G13" i="30"/>
  <c r="G10" i="30"/>
  <c r="G9" i="30"/>
  <c r="G8" i="30"/>
  <c r="G7" i="30"/>
  <c r="G6" i="30"/>
  <c r="G3" i="30"/>
  <c r="C6" i="30"/>
  <c r="C7" i="30"/>
  <c r="C8" i="30"/>
  <c r="C9" i="30"/>
  <c r="C10" i="30"/>
  <c r="C13" i="30"/>
  <c r="C14" i="30"/>
  <c r="C15" i="30"/>
  <c r="C17" i="30"/>
  <c r="C18" i="30"/>
  <c r="C19" i="30"/>
  <c r="C20" i="30"/>
  <c r="C21" i="30"/>
  <c r="C28" i="30"/>
  <c r="C29" i="30"/>
  <c r="C30" i="30"/>
  <c r="C31" i="30"/>
  <c r="C32" i="30"/>
  <c r="C34" i="30"/>
  <c r="C35" i="30"/>
  <c r="C41" i="30"/>
  <c r="C42" i="30"/>
  <c r="C43" i="30"/>
  <c r="C44" i="30"/>
  <c r="C46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2" i="30"/>
  <c r="C63" i="30"/>
  <c r="C64" i="30"/>
  <c r="C71" i="30"/>
  <c r="C72" i="30"/>
  <c r="C73" i="30"/>
  <c r="C76" i="30"/>
  <c r="C77" i="30"/>
  <c r="C78" i="30"/>
  <c r="C79" i="30"/>
  <c r="C80" i="30"/>
  <c r="C83" i="30"/>
  <c r="C84" i="30"/>
  <c r="C85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5" i="30"/>
  <c r="C106" i="30"/>
  <c r="C107" i="30"/>
  <c r="C108" i="30"/>
  <c r="C109" i="30"/>
  <c r="C110" i="30"/>
  <c r="C113" i="30"/>
  <c r="C114" i="30"/>
  <c r="C115" i="30"/>
  <c r="C118" i="30"/>
  <c r="C119" i="30"/>
  <c r="C120" i="30"/>
  <c r="C122" i="30"/>
  <c r="C123" i="30"/>
  <c r="C124" i="30"/>
  <c r="C125" i="30"/>
  <c r="C126" i="30"/>
  <c r="C127" i="30"/>
  <c r="C128" i="30"/>
  <c r="C134" i="30"/>
  <c r="C135" i="30"/>
  <c r="C136" i="30"/>
  <c r="C137" i="30"/>
  <c r="C139" i="30"/>
  <c r="C140" i="30"/>
  <c r="C141" i="30"/>
  <c r="C143" i="30"/>
  <c r="C144" i="30"/>
  <c r="C145" i="30"/>
  <c r="C146" i="30"/>
  <c r="C147" i="30"/>
  <c r="C149" i="30"/>
  <c r="C150" i="30"/>
  <c r="C152" i="30"/>
  <c r="C153" i="30"/>
  <c r="C154" i="30"/>
  <c r="C155" i="30"/>
  <c r="C156" i="30"/>
  <c r="C157" i="30"/>
  <c r="C158" i="30"/>
  <c r="C159" i="30"/>
  <c r="C160" i="30"/>
  <c r="C161" i="30"/>
  <c r="C162" i="30"/>
  <c r="C163" i="30"/>
  <c r="C164" i="30"/>
  <c r="C165" i="30"/>
  <c r="C166" i="30"/>
  <c r="C167" i="30"/>
  <c r="C168" i="30"/>
  <c r="C169" i="30"/>
  <c r="C170" i="30"/>
  <c r="C171" i="30"/>
  <c r="C172" i="30"/>
  <c r="C173" i="30"/>
  <c r="C174" i="30"/>
  <c r="C175" i="30"/>
  <c r="C176" i="30"/>
  <c r="C177" i="30"/>
  <c r="C178" i="30"/>
  <c r="C179" i="30"/>
  <c r="C180" i="30"/>
  <c r="C181" i="30"/>
  <c r="C182" i="30"/>
  <c r="C183" i="30"/>
  <c r="C184" i="30"/>
  <c r="C185" i="30"/>
  <c r="C186" i="30"/>
  <c r="C187" i="30"/>
  <c r="C188" i="30"/>
  <c r="C189" i="30"/>
  <c r="C190" i="30"/>
  <c r="C191" i="30"/>
  <c r="C192" i="30"/>
  <c r="C193" i="30"/>
  <c r="C194" i="30"/>
  <c r="C195" i="30"/>
  <c r="C196" i="30"/>
  <c r="C197" i="30"/>
  <c r="C198" i="30"/>
  <c r="C199" i="30"/>
  <c r="C200" i="30"/>
  <c r="C201" i="30"/>
  <c r="C202" i="30"/>
  <c r="C203" i="30"/>
  <c r="C204" i="30"/>
  <c r="C205" i="30"/>
  <c r="C206" i="30"/>
  <c r="C207" i="30"/>
  <c r="C208" i="30"/>
  <c r="C209" i="30"/>
  <c r="C210" i="30"/>
  <c r="C211" i="30"/>
  <c r="C212" i="30"/>
  <c r="C213" i="30"/>
  <c r="C214" i="30"/>
  <c r="C215" i="30"/>
  <c r="C216" i="30"/>
  <c r="C217" i="30"/>
  <c r="C218" i="30"/>
  <c r="C219" i="30"/>
  <c r="C220" i="30"/>
  <c r="C221" i="30"/>
  <c r="C222" i="30"/>
  <c r="C223" i="30"/>
  <c r="C224" i="30"/>
  <c r="C225" i="30"/>
  <c r="C226" i="30"/>
  <c r="C227" i="30"/>
  <c r="C228" i="30"/>
  <c r="C229" i="30"/>
  <c r="C230" i="30"/>
  <c r="C231" i="30"/>
  <c r="C232" i="30"/>
  <c r="C233" i="30"/>
  <c r="C234" i="30"/>
  <c r="C235" i="30"/>
  <c r="C236" i="30"/>
  <c r="C237" i="30"/>
  <c r="C238" i="30"/>
  <c r="C239" i="30"/>
  <c r="C240" i="30"/>
  <c r="C241" i="30"/>
  <c r="C242" i="30"/>
  <c r="C243" i="30"/>
  <c r="C244" i="30"/>
  <c r="C245" i="30"/>
  <c r="C246" i="30"/>
  <c r="C247" i="30"/>
  <c r="C248" i="30"/>
  <c r="C249" i="30"/>
  <c r="C250" i="30"/>
  <c r="C251" i="30"/>
  <c r="C252" i="30"/>
  <c r="C253" i="30"/>
  <c r="C254" i="30"/>
  <c r="C255" i="30"/>
  <c r="C256" i="30"/>
  <c r="C257" i="30"/>
  <c r="C258" i="30"/>
  <c r="C259" i="30"/>
  <c r="C260" i="30"/>
  <c r="C261" i="30"/>
  <c r="C262" i="30"/>
  <c r="C263" i="30"/>
  <c r="C264" i="30"/>
  <c r="C265" i="30"/>
  <c r="C266" i="30"/>
  <c r="C267" i="30"/>
  <c r="C268" i="30"/>
  <c r="C269" i="30"/>
  <c r="C270" i="30"/>
  <c r="C271" i="30"/>
  <c r="C272" i="30"/>
  <c r="C273" i="30"/>
  <c r="C274" i="30"/>
  <c r="C275" i="30"/>
  <c r="C276" i="30"/>
  <c r="C277" i="30"/>
  <c r="C278" i="30"/>
  <c r="C279" i="30"/>
  <c r="C280" i="30"/>
  <c r="C281" i="30"/>
  <c r="C282" i="30"/>
  <c r="C283" i="30"/>
  <c r="C284" i="30"/>
  <c r="C285" i="30"/>
  <c r="C286" i="30"/>
  <c r="C287" i="30"/>
  <c r="C288" i="30"/>
  <c r="C289" i="30"/>
  <c r="C290" i="30"/>
  <c r="C291" i="30"/>
  <c r="C292" i="30"/>
  <c r="C293" i="30"/>
  <c r="C294" i="30"/>
  <c r="C295" i="30"/>
  <c r="C296" i="30"/>
  <c r="C297" i="30"/>
  <c r="C298" i="30"/>
  <c r="C299" i="30"/>
  <c r="C300" i="30"/>
  <c r="C301" i="30"/>
  <c r="C302" i="30"/>
  <c r="C303" i="30"/>
  <c r="C304" i="30"/>
  <c r="C305" i="30"/>
  <c r="C306" i="30"/>
  <c r="C307" i="30"/>
  <c r="C308" i="30"/>
  <c r="C309" i="30"/>
  <c r="C310" i="30"/>
  <c r="C311" i="30"/>
  <c r="C312" i="30"/>
  <c r="C313" i="30"/>
  <c r="C314" i="30"/>
  <c r="C315" i="30"/>
  <c r="C316" i="30"/>
  <c r="C317" i="30"/>
  <c r="C318" i="30"/>
  <c r="C319" i="30"/>
  <c r="C320" i="30"/>
  <c r="C321" i="30"/>
  <c r="C322" i="30"/>
  <c r="C323" i="30"/>
  <c r="C324" i="30"/>
  <c r="C325" i="30"/>
  <c r="C326" i="30"/>
  <c r="C327" i="30"/>
  <c r="C328" i="30"/>
  <c r="C329" i="30"/>
  <c r="C330" i="30"/>
  <c r="C331" i="30"/>
  <c r="C332" i="30"/>
  <c r="C333" i="30"/>
  <c r="C334" i="30"/>
  <c r="C335" i="30"/>
  <c r="C336" i="30"/>
  <c r="C337" i="30"/>
  <c r="C338" i="30"/>
  <c r="C339" i="30"/>
  <c r="C340" i="30"/>
  <c r="C341" i="30"/>
  <c r="C342" i="30"/>
  <c r="C343" i="30"/>
  <c r="C344" i="30"/>
  <c r="C345" i="30"/>
  <c r="C346" i="30"/>
  <c r="C347" i="30"/>
  <c r="C348" i="30"/>
  <c r="C349" i="30"/>
  <c r="C350" i="30"/>
  <c r="C351" i="30"/>
  <c r="C352" i="30"/>
  <c r="C353" i="30"/>
  <c r="C354" i="30"/>
  <c r="C355" i="30"/>
  <c r="C356" i="30"/>
  <c r="C357" i="30"/>
  <c r="C358" i="30"/>
  <c r="C359" i="30"/>
  <c r="C360" i="30"/>
  <c r="C361" i="30"/>
  <c r="C362" i="30"/>
  <c r="C363" i="30"/>
  <c r="C364" i="30"/>
  <c r="C365" i="30"/>
  <c r="C366" i="30"/>
  <c r="C367" i="30"/>
  <c r="C368" i="30"/>
  <c r="C369" i="30"/>
  <c r="C370" i="30"/>
  <c r="C371" i="30"/>
  <c r="C372" i="30"/>
  <c r="C373" i="30"/>
  <c r="C374" i="30"/>
  <c r="C375" i="30"/>
  <c r="C376" i="30"/>
  <c r="C377" i="30"/>
  <c r="C378" i="30"/>
  <c r="C379" i="30"/>
  <c r="C380" i="30"/>
  <c r="C381" i="30"/>
  <c r="C382" i="30"/>
  <c r="C383" i="30"/>
  <c r="C384" i="30"/>
  <c r="C385" i="30"/>
  <c r="C386" i="30"/>
  <c r="C387" i="30"/>
  <c r="C388" i="30"/>
  <c r="C389" i="30"/>
  <c r="C390" i="30"/>
  <c r="C391" i="30"/>
  <c r="C392" i="30"/>
  <c r="C393" i="30"/>
  <c r="C394" i="30"/>
  <c r="C395" i="30"/>
  <c r="C396" i="30"/>
  <c r="C397" i="30"/>
  <c r="C398" i="30"/>
  <c r="C399" i="30"/>
  <c r="C400" i="30"/>
  <c r="C3" i="30"/>
  <c r="AT4" i="30" l="1"/>
  <c r="AT5" i="30"/>
  <c r="AT6" i="30"/>
  <c r="AV6" i="30" s="1"/>
  <c r="AT7" i="30"/>
  <c r="AV7" i="30" s="1"/>
  <c r="AT8" i="30"/>
  <c r="AV8" i="30" s="1"/>
  <c r="AT9" i="30"/>
  <c r="AV9" i="30" s="1"/>
  <c r="AT10" i="30"/>
  <c r="AV10" i="30" s="1"/>
  <c r="AT11" i="30"/>
  <c r="AT12" i="30"/>
  <c r="AT13" i="30"/>
  <c r="AV13" i="30" s="1"/>
  <c r="AT14" i="30"/>
  <c r="AV14" i="30" s="1"/>
  <c r="AT15" i="30"/>
  <c r="AV15" i="30" s="1"/>
  <c r="AT16" i="30"/>
  <c r="AT17" i="30"/>
  <c r="AV17" i="30" s="1"/>
  <c r="AT18" i="30"/>
  <c r="AV18" i="30" s="1"/>
  <c r="AT19" i="30"/>
  <c r="AV19" i="30" s="1"/>
  <c r="AT20" i="30"/>
  <c r="AV20" i="30" s="1"/>
  <c r="AT21" i="30"/>
  <c r="AV21" i="30" s="1"/>
  <c r="AT22" i="30"/>
  <c r="AT23" i="30"/>
  <c r="AT24" i="30"/>
  <c r="AT25" i="30"/>
  <c r="AT26" i="30"/>
  <c r="AT27" i="30"/>
  <c r="AT28" i="30"/>
  <c r="AV28" i="30" s="1"/>
  <c r="AT29" i="30"/>
  <c r="AV29" i="30" s="1"/>
  <c r="AT30" i="30"/>
  <c r="AV30" i="30" s="1"/>
  <c r="AT31" i="30"/>
  <c r="AV31" i="30" s="1"/>
  <c r="AT32" i="30"/>
  <c r="AV32" i="30" s="1"/>
  <c r="AT33" i="30"/>
  <c r="AT34" i="30"/>
  <c r="AV34" i="30" s="1"/>
  <c r="AT35" i="30"/>
  <c r="AV35" i="30" s="1"/>
  <c r="AT36" i="30"/>
  <c r="AT37" i="30"/>
  <c r="AT38" i="30"/>
  <c r="AT39" i="30"/>
  <c r="AT40" i="30"/>
  <c r="AT41" i="30"/>
  <c r="AV41" i="30" s="1"/>
  <c r="AT42" i="30"/>
  <c r="AV42" i="30" s="1"/>
  <c r="AT43" i="30"/>
  <c r="AV43" i="30" s="1"/>
  <c r="AT44" i="30"/>
  <c r="AV44" i="30" s="1"/>
  <c r="AT45" i="30"/>
  <c r="AT46" i="30"/>
  <c r="AV46" i="30" s="1"/>
  <c r="AT47" i="30"/>
  <c r="AT48" i="30"/>
  <c r="AV48" i="30" s="1"/>
  <c r="AT49" i="30"/>
  <c r="AV49" i="30" s="1"/>
  <c r="AT50" i="30"/>
  <c r="AV50" i="30" s="1"/>
  <c r="AT51" i="30"/>
  <c r="AV51" i="30" s="1"/>
  <c r="AT52" i="30"/>
  <c r="AV52" i="30" s="1"/>
  <c r="AT53" i="30"/>
  <c r="AV53" i="30" s="1"/>
  <c r="AT54" i="30"/>
  <c r="AV54" i="30" s="1"/>
  <c r="AT55" i="30"/>
  <c r="AV55" i="30" s="1"/>
  <c r="AT56" i="30"/>
  <c r="AV56" i="30" s="1"/>
  <c r="AT57" i="30"/>
  <c r="AV57" i="30" s="1"/>
  <c r="AT58" i="30"/>
  <c r="AV58" i="30" s="1"/>
  <c r="AT59" i="30"/>
  <c r="AV59" i="30" s="1"/>
  <c r="AT60" i="30"/>
  <c r="AV60" i="30" s="1"/>
  <c r="AT61" i="30"/>
  <c r="AT62" i="30"/>
  <c r="AV62" i="30" s="1"/>
  <c r="AT63" i="30"/>
  <c r="AV63" i="30" s="1"/>
  <c r="AT64" i="30"/>
  <c r="AV64" i="30" s="1"/>
  <c r="AT65" i="30"/>
  <c r="AT66" i="30"/>
  <c r="AT67" i="30"/>
  <c r="AT68" i="30"/>
  <c r="AT69" i="30"/>
  <c r="AT70" i="30"/>
  <c r="AT71" i="30"/>
  <c r="AV71" i="30" s="1"/>
  <c r="AT72" i="30"/>
  <c r="AV72" i="30" s="1"/>
  <c r="AT73" i="30"/>
  <c r="AV73" i="30" s="1"/>
  <c r="AT74" i="30"/>
  <c r="AT75" i="30"/>
  <c r="AT76" i="30"/>
  <c r="AV76" i="30" s="1"/>
  <c r="AT77" i="30"/>
  <c r="AV77" i="30" s="1"/>
  <c r="AT78" i="30"/>
  <c r="AV78" i="30" s="1"/>
  <c r="AT79" i="30"/>
  <c r="AV79" i="30" s="1"/>
  <c r="AT80" i="30"/>
  <c r="AV80" i="30" s="1"/>
  <c r="AT81" i="30"/>
  <c r="AT82" i="30"/>
  <c r="AT83" i="30"/>
  <c r="AV83" i="30" s="1"/>
  <c r="AT84" i="30"/>
  <c r="AV84" i="30" s="1"/>
  <c r="AT85" i="30"/>
  <c r="AV85" i="30" s="1"/>
  <c r="AT86" i="30"/>
  <c r="AT87" i="30"/>
  <c r="AT88" i="30"/>
  <c r="AT89" i="30"/>
  <c r="AT90" i="30"/>
  <c r="AV90" i="30" s="1"/>
  <c r="AT91" i="30"/>
  <c r="AV91" i="30" s="1"/>
  <c r="AT92" i="30"/>
  <c r="AV92" i="30" s="1"/>
  <c r="AT93" i="30"/>
  <c r="AV93" i="30" s="1"/>
  <c r="AT94" i="30"/>
  <c r="AV94" i="30" s="1"/>
  <c r="AT95" i="30"/>
  <c r="AV95" i="30" s="1"/>
  <c r="AT96" i="30"/>
  <c r="AV96" i="30" s="1"/>
  <c r="AT97" i="30"/>
  <c r="AV97" i="30" s="1"/>
  <c r="AT98" i="30"/>
  <c r="AV98" i="30" s="1"/>
  <c r="AT99" i="30"/>
  <c r="AV99" i="30" s="1"/>
  <c r="AT100" i="30"/>
  <c r="AV100" i="30" s="1"/>
  <c r="AT101" i="30"/>
  <c r="AV101" i="30" s="1"/>
  <c r="AT102" i="30"/>
  <c r="AV102" i="30" s="1"/>
  <c r="AT103" i="30"/>
  <c r="AV103" i="30" s="1"/>
  <c r="AT104" i="30"/>
  <c r="AT105" i="30"/>
  <c r="AV105" i="30" s="1"/>
  <c r="AT106" i="30"/>
  <c r="AV106" i="30" s="1"/>
  <c r="AT107" i="30"/>
  <c r="AV107" i="30" s="1"/>
  <c r="AT108" i="30"/>
  <c r="AV108" i="30" s="1"/>
  <c r="AT109" i="30"/>
  <c r="AV109" i="30" s="1"/>
  <c r="AT110" i="30"/>
  <c r="AV110" i="30" s="1"/>
  <c r="AT111" i="30"/>
  <c r="AT112" i="30"/>
  <c r="AT113" i="30"/>
  <c r="AV113" i="30" s="1"/>
  <c r="AT114" i="30"/>
  <c r="AV114" i="30" s="1"/>
  <c r="AT115" i="30"/>
  <c r="AV115" i="30" s="1"/>
  <c r="AT116" i="30"/>
  <c r="AT117" i="30"/>
  <c r="AT118" i="30"/>
  <c r="AV118" i="30" s="1"/>
  <c r="AT119" i="30"/>
  <c r="AV119" i="30" s="1"/>
  <c r="AT120" i="30"/>
  <c r="AV120" i="30" s="1"/>
  <c r="AT121" i="30"/>
  <c r="AT122" i="30"/>
  <c r="AV122" i="30" s="1"/>
  <c r="AT123" i="30"/>
  <c r="AV123" i="30" s="1"/>
  <c r="AT124" i="30"/>
  <c r="AV124" i="30" s="1"/>
  <c r="AT125" i="30"/>
  <c r="AV125" i="30" s="1"/>
  <c r="AT126" i="30"/>
  <c r="AV126" i="30" s="1"/>
  <c r="AT127" i="30"/>
  <c r="AV127" i="30" s="1"/>
  <c r="AT128" i="30"/>
  <c r="AV128" i="30" s="1"/>
  <c r="AT129" i="30"/>
  <c r="AT130" i="30"/>
  <c r="AT131" i="30"/>
  <c r="AT132" i="30"/>
  <c r="AT133" i="30"/>
  <c r="AT134" i="30"/>
  <c r="AV134" i="30" s="1"/>
  <c r="AT135" i="30"/>
  <c r="AV135" i="30" s="1"/>
  <c r="AT136" i="30"/>
  <c r="AV136" i="30" s="1"/>
  <c r="AT137" i="30"/>
  <c r="AV137" i="30" s="1"/>
  <c r="AT138" i="30"/>
  <c r="AT139" i="30"/>
  <c r="AV139" i="30" s="1"/>
  <c r="AT140" i="30"/>
  <c r="AV140" i="30" s="1"/>
  <c r="AT141" i="30"/>
  <c r="AV141" i="30" s="1"/>
  <c r="AT142" i="30"/>
  <c r="AT143" i="30"/>
  <c r="AV143" i="30" s="1"/>
  <c r="AT144" i="30"/>
  <c r="AV144" i="30" s="1"/>
  <c r="AT145" i="30"/>
  <c r="AV145" i="30" s="1"/>
  <c r="AT146" i="30"/>
  <c r="AV146" i="30" s="1"/>
  <c r="AT147" i="30"/>
  <c r="AV147" i="30" s="1"/>
  <c r="AT148" i="30"/>
  <c r="AT149" i="30"/>
  <c r="AV149" i="30" s="1"/>
  <c r="AT150" i="30"/>
  <c r="AV150" i="30" s="1"/>
  <c r="AT151" i="30"/>
  <c r="AT152" i="30"/>
  <c r="AV152" i="30" s="1"/>
  <c r="AT153" i="30"/>
  <c r="AV153" i="30" s="1"/>
  <c r="AT154" i="30"/>
  <c r="AV154" i="30" s="1"/>
  <c r="AT155" i="30"/>
  <c r="AV155" i="30" s="1"/>
  <c r="AT156" i="30"/>
  <c r="AV156" i="30" s="1"/>
  <c r="AT157" i="30"/>
  <c r="AV157" i="30" s="1"/>
  <c r="AT158" i="30"/>
  <c r="AV158" i="30" s="1"/>
  <c r="AT159" i="30"/>
  <c r="AV159" i="30" s="1"/>
  <c r="AT160" i="30"/>
  <c r="AV160" i="30" s="1"/>
  <c r="AT161" i="30"/>
  <c r="AV161" i="30" s="1"/>
  <c r="AT162" i="30"/>
  <c r="AV162" i="30" s="1"/>
  <c r="AT163" i="30"/>
  <c r="AV163" i="30" s="1"/>
  <c r="AT164" i="30"/>
  <c r="AV164" i="30" s="1"/>
  <c r="AT165" i="30"/>
  <c r="AV165" i="30" s="1"/>
  <c r="AT166" i="30"/>
  <c r="AV166" i="30" s="1"/>
  <c r="AT167" i="30"/>
  <c r="AV167" i="30" s="1"/>
  <c r="AT168" i="30"/>
  <c r="AV168" i="30" s="1"/>
  <c r="AT169" i="30"/>
  <c r="AV169" i="30" s="1"/>
  <c r="AT170" i="30"/>
  <c r="AV170" i="30" s="1"/>
  <c r="AT171" i="30"/>
  <c r="AV171" i="30" s="1"/>
  <c r="AT172" i="30"/>
  <c r="AV172" i="30" s="1"/>
  <c r="AT173" i="30"/>
  <c r="AV173" i="30" s="1"/>
  <c r="AT174" i="30"/>
  <c r="AV174" i="30" s="1"/>
  <c r="AT175" i="30"/>
  <c r="AV175" i="30" s="1"/>
  <c r="AT176" i="30"/>
  <c r="AV176" i="30" s="1"/>
  <c r="AT177" i="30"/>
  <c r="AV177" i="30" s="1"/>
  <c r="AT178" i="30"/>
  <c r="AV178" i="30" s="1"/>
  <c r="AT179" i="30"/>
  <c r="AV179" i="30" s="1"/>
  <c r="AT180" i="30"/>
  <c r="AV180" i="30" s="1"/>
  <c r="AT181" i="30"/>
  <c r="AV181" i="30" s="1"/>
  <c r="AT182" i="30"/>
  <c r="AV182" i="30" s="1"/>
  <c r="AT183" i="30"/>
  <c r="AV183" i="30" s="1"/>
  <c r="AT184" i="30"/>
  <c r="AV184" i="30" s="1"/>
  <c r="AT185" i="30"/>
  <c r="AV185" i="30" s="1"/>
  <c r="AT186" i="30"/>
  <c r="AV186" i="30" s="1"/>
  <c r="AT187" i="30"/>
  <c r="AV187" i="30" s="1"/>
  <c r="AT188" i="30"/>
  <c r="AV188" i="30" s="1"/>
  <c r="AT189" i="30"/>
  <c r="AV189" i="30" s="1"/>
  <c r="AT190" i="30"/>
  <c r="AV190" i="30" s="1"/>
  <c r="AT191" i="30"/>
  <c r="AV191" i="30" s="1"/>
  <c r="AT192" i="30"/>
  <c r="AV192" i="30" s="1"/>
  <c r="AT193" i="30"/>
  <c r="AV193" i="30" s="1"/>
  <c r="AT194" i="30"/>
  <c r="AV194" i="30" s="1"/>
  <c r="AT195" i="30"/>
  <c r="AV195" i="30" s="1"/>
  <c r="AT196" i="30"/>
  <c r="AV196" i="30" s="1"/>
  <c r="AT197" i="30"/>
  <c r="AV197" i="30" s="1"/>
  <c r="AT198" i="30"/>
  <c r="AV198" i="30" s="1"/>
  <c r="AT199" i="30"/>
  <c r="AV199" i="30" s="1"/>
  <c r="AT200" i="30"/>
  <c r="AV200" i="30" s="1"/>
  <c r="AT201" i="30"/>
  <c r="AV201" i="30" s="1"/>
  <c r="AT202" i="30"/>
  <c r="AV202" i="30" s="1"/>
  <c r="AT203" i="30"/>
  <c r="AV203" i="30" s="1"/>
  <c r="AT204" i="30"/>
  <c r="AV204" i="30" s="1"/>
  <c r="AT205" i="30"/>
  <c r="AV205" i="30" s="1"/>
  <c r="AT206" i="30"/>
  <c r="AV206" i="30" s="1"/>
  <c r="AT207" i="30"/>
  <c r="AV207" i="30" s="1"/>
  <c r="AT208" i="30"/>
  <c r="AV208" i="30" s="1"/>
  <c r="AT209" i="30"/>
  <c r="AV209" i="30" s="1"/>
  <c r="AT210" i="30"/>
  <c r="AV210" i="30" s="1"/>
  <c r="AT211" i="30"/>
  <c r="AV211" i="30" s="1"/>
  <c r="AT212" i="30"/>
  <c r="AV212" i="30" s="1"/>
  <c r="AT213" i="30"/>
  <c r="AV213" i="30" s="1"/>
  <c r="AT214" i="30"/>
  <c r="AV214" i="30" s="1"/>
  <c r="AT215" i="30"/>
  <c r="AV215" i="30" s="1"/>
  <c r="AT216" i="30"/>
  <c r="AV216" i="30" s="1"/>
  <c r="AT217" i="30"/>
  <c r="AV217" i="30" s="1"/>
  <c r="AT218" i="30"/>
  <c r="AV218" i="30" s="1"/>
  <c r="AT219" i="30"/>
  <c r="AV219" i="30" s="1"/>
  <c r="AT220" i="30"/>
  <c r="AV220" i="30" s="1"/>
  <c r="AT221" i="30"/>
  <c r="AV221" i="30" s="1"/>
  <c r="AT222" i="30"/>
  <c r="AV222" i="30" s="1"/>
  <c r="AT223" i="30"/>
  <c r="AV223" i="30" s="1"/>
  <c r="AT224" i="30"/>
  <c r="AV224" i="30" s="1"/>
  <c r="AT225" i="30"/>
  <c r="AV225" i="30" s="1"/>
  <c r="AT226" i="30"/>
  <c r="AV226" i="30" s="1"/>
  <c r="AT227" i="30"/>
  <c r="AV227" i="30" s="1"/>
  <c r="AT228" i="30"/>
  <c r="AV228" i="30" s="1"/>
  <c r="AT229" i="30"/>
  <c r="AV229" i="30" s="1"/>
  <c r="AT230" i="30"/>
  <c r="AV230" i="30" s="1"/>
  <c r="AT231" i="30"/>
  <c r="AV231" i="30" s="1"/>
  <c r="AT232" i="30"/>
  <c r="AV232" i="30" s="1"/>
  <c r="AT233" i="30"/>
  <c r="AV233" i="30" s="1"/>
  <c r="AT234" i="30"/>
  <c r="AV234" i="30" s="1"/>
  <c r="AT235" i="30"/>
  <c r="AV235" i="30" s="1"/>
  <c r="AT236" i="30"/>
  <c r="AV236" i="30" s="1"/>
  <c r="AT237" i="30"/>
  <c r="AV237" i="30" s="1"/>
  <c r="AT238" i="30"/>
  <c r="AV238" i="30" s="1"/>
  <c r="AT239" i="30"/>
  <c r="AV239" i="30" s="1"/>
  <c r="AT240" i="30"/>
  <c r="AV240" i="30" s="1"/>
  <c r="AT241" i="30"/>
  <c r="AV241" i="30" s="1"/>
  <c r="AT242" i="30"/>
  <c r="AV242" i="30" s="1"/>
  <c r="AT243" i="30"/>
  <c r="AV243" i="30" s="1"/>
  <c r="AT244" i="30"/>
  <c r="AV244" i="30" s="1"/>
  <c r="AT245" i="30"/>
  <c r="AV245" i="30" s="1"/>
  <c r="AT246" i="30"/>
  <c r="AV246" i="30" s="1"/>
  <c r="AT247" i="30"/>
  <c r="AV247" i="30" s="1"/>
  <c r="AT248" i="30"/>
  <c r="AV248" i="30" s="1"/>
  <c r="AT249" i="30"/>
  <c r="AV249" i="30" s="1"/>
  <c r="AT250" i="30"/>
  <c r="AV250" i="30" s="1"/>
  <c r="AT251" i="30"/>
  <c r="AV251" i="30" s="1"/>
  <c r="AT252" i="30"/>
  <c r="AV252" i="30" s="1"/>
  <c r="AT253" i="30"/>
  <c r="AV253" i="30" s="1"/>
  <c r="AT254" i="30"/>
  <c r="AV254" i="30" s="1"/>
  <c r="AT255" i="30"/>
  <c r="AV255" i="30" s="1"/>
  <c r="AT256" i="30"/>
  <c r="AV256" i="30" s="1"/>
  <c r="AT257" i="30"/>
  <c r="AV257" i="30" s="1"/>
  <c r="AT258" i="30"/>
  <c r="AV258" i="30" s="1"/>
  <c r="AT259" i="30"/>
  <c r="AV259" i="30" s="1"/>
  <c r="AT260" i="30"/>
  <c r="AV260" i="30" s="1"/>
  <c r="AT261" i="30"/>
  <c r="AV261" i="30" s="1"/>
  <c r="AT262" i="30"/>
  <c r="AV262" i="30" s="1"/>
  <c r="AT263" i="30"/>
  <c r="AV263" i="30" s="1"/>
  <c r="AT264" i="30"/>
  <c r="AV264" i="30" s="1"/>
  <c r="AT265" i="30"/>
  <c r="AV265" i="30" s="1"/>
  <c r="AT266" i="30"/>
  <c r="AV266" i="30" s="1"/>
  <c r="AT267" i="30"/>
  <c r="AV267" i="30" s="1"/>
  <c r="AT268" i="30"/>
  <c r="AV268" i="30" s="1"/>
  <c r="AT269" i="30"/>
  <c r="AV269" i="30" s="1"/>
  <c r="AT270" i="30"/>
  <c r="AV270" i="30" s="1"/>
  <c r="AT271" i="30"/>
  <c r="AV271" i="30" s="1"/>
  <c r="AT272" i="30"/>
  <c r="AV272" i="30" s="1"/>
  <c r="AT273" i="30"/>
  <c r="AV273" i="30" s="1"/>
  <c r="AT274" i="30"/>
  <c r="AV274" i="30" s="1"/>
  <c r="AT275" i="30"/>
  <c r="AV275" i="30" s="1"/>
  <c r="AT276" i="30"/>
  <c r="AV276" i="30" s="1"/>
  <c r="AT277" i="30"/>
  <c r="AV277" i="30" s="1"/>
  <c r="AT278" i="30"/>
  <c r="AV278" i="30" s="1"/>
  <c r="AT279" i="30"/>
  <c r="AV279" i="30" s="1"/>
  <c r="AT280" i="30"/>
  <c r="AV280" i="30" s="1"/>
  <c r="AT281" i="30"/>
  <c r="AV281" i="30" s="1"/>
  <c r="AT282" i="30"/>
  <c r="AV282" i="30" s="1"/>
  <c r="AT283" i="30"/>
  <c r="AV283" i="30" s="1"/>
  <c r="AT284" i="30"/>
  <c r="AV284" i="30" s="1"/>
  <c r="AT285" i="30"/>
  <c r="AV285" i="30" s="1"/>
  <c r="AT286" i="30"/>
  <c r="AV286" i="30" s="1"/>
  <c r="AT287" i="30"/>
  <c r="AV287" i="30" s="1"/>
  <c r="AT288" i="30"/>
  <c r="AV288" i="30" s="1"/>
  <c r="AT289" i="30"/>
  <c r="AV289" i="30" s="1"/>
  <c r="AT290" i="30"/>
  <c r="AV290" i="30" s="1"/>
  <c r="AT291" i="30"/>
  <c r="AV291" i="30" s="1"/>
  <c r="AT292" i="30"/>
  <c r="AV292" i="30" s="1"/>
  <c r="AT293" i="30"/>
  <c r="AV293" i="30" s="1"/>
  <c r="AT294" i="30"/>
  <c r="AV294" i="30" s="1"/>
  <c r="AT295" i="30"/>
  <c r="AV295" i="30" s="1"/>
  <c r="AT296" i="30"/>
  <c r="AV296" i="30" s="1"/>
  <c r="AT297" i="30"/>
  <c r="AV297" i="30" s="1"/>
  <c r="AT298" i="30"/>
  <c r="AV298" i="30" s="1"/>
  <c r="AT299" i="30"/>
  <c r="AV299" i="30" s="1"/>
  <c r="AT300" i="30"/>
  <c r="AV300" i="30" s="1"/>
  <c r="AT301" i="30"/>
  <c r="AV301" i="30" s="1"/>
  <c r="AT302" i="30"/>
  <c r="AV302" i="30" s="1"/>
  <c r="AT303" i="30"/>
  <c r="AV303" i="30" s="1"/>
  <c r="AT304" i="30"/>
  <c r="AV304" i="30" s="1"/>
  <c r="AT305" i="30"/>
  <c r="AV305" i="30" s="1"/>
  <c r="AT306" i="30"/>
  <c r="AV306" i="30" s="1"/>
  <c r="AT307" i="30"/>
  <c r="AV307" i="30" s="1"/>
  <c r="AT308" i="30"/>
  <c r="AV308" i="30" s="1"/>
  <c r="AT309" i="30"/>
  <c r="AV309" i="30" s="1"/>
  <c r="AT310" i="30"/>
  <c r="AV310" i="30" s="1"/>
  <c r="AT311" i="30"/>
  <c r="AV311" i="30" s="1"/>
  <c r="AT312" i="30"/>
  <c r="AV312" i="30" s="1"/>
  <c r="AT313" i="30"/>
  <c r="AV313" i="30" s="1"/>
  <c r="AT314" i="30"/>
  <c r="AV314" i="30" s="1"/>
  <c r="AT315" i="30"/>
  <c r="AV315" i="30" s="1"/>
  <c r="AT316" i="30"/>
  <c r="AV316" i="30" s="1"/>
  <c r="AT317" i="30"/>
  <c r="AV317" i="30" s="1"/>
  <c r="AT318" i="30"/>
  <c r="AV318" i="30" s="1"/>
  <c r="AT319" i="30"/>
  <c r="AV319" i="30" s="1"/>
  <c r="AT320" i="30"/>
  <c r="AV320" i="30" s="1"/>
  <c r="AT321" i="30"/>
  <c r="AV321" i="30" s="1"/>
  <c r="AT322" i="30"/>
  <c r="AV322" i="30" s="1"/>
  <c r="AT323" i="30"/>
  <c r="AV323" i="30" s="1"/>
  <c r="AT324" i="30"/>
  <c r="AV324" i="30" s="1"/>
  <c r="AT325" i="30"/>
  <c r="AV325" i="30" s="1"/>
  <c r="AT326" i="30"/>
  <c r="AV326" i="30" s="1"/>
  <c r="AT327" i="30"/>
  <c r="AV327" i="30" s="1"/>
  <c r="AT328" i="30"/>
  <c r="AV328" i="30" s="1"/>
  <c r="AT329" i="30"/>
  <c r="AV329" i="30" s="1"/>
  <c r="AT330" i="30"/>
  <c r="AV330" i="30" s="1"/>
  <c r="AT331" i="30"/>
  <c r="AV331" i="30" s="1"/>
  <c r="AT332" i="30"/>
  <c r="AV332" i="30" s="1"/>
  <c r="AT333" i="30"/>
  <c r="AV333" i="30" s="1"/>
  <c r="AT334" i="30"/>
  <c r="AV334" i="30" s="1"/>
  <c r="AT335" i="30"/>
  <c r="AV335" i="30" s="1"/>
  <c r="AT336" i="30"/>
  <c r="AV336" i="30" s="1"/>
  <c r="AT337" i="30"/>
  <c r="AV337" i="30" s="1"/>
  <c r="AT338" i="30"/>
  <c r="AV338" i="30" s="1"/>
  <c r="AT339" i="30"/>
  <c r="AV339" i="30" s="1"/>
  <c r="AT340" i="30"/>
  <c r="AV340" i="30" s="1"/>
  <c r="AT341" i="30"/>
  <c r="AV341" i="30" s="1"/>
  <c r="AT342" i="30"/>
  <c r="AV342" i="30" s="1"/>
  <c r="AT343" i="30"/>
  <c r="AV343" i="30" s="1"/>
  <c r="AT344" i="30"/>
  <c r="AV344" i="30" s="1"/>
  <c r="AT345" i="30"/>
  <c r="AV345" i="30" s="1"/>
  <c r="AT346" i="30"/>
  <c r="AV346" i="30" s="1"/>
  <c r="AT347" i="30"/>
  <c r="AV347" i="30" s="1"/>
  <c r="AT348" i="30"/>
  <c r="AV348" i="30" s="1"/>
  <c r="AT349" i="30"/>
  <c r="AV349" i="30" s="1"/>
  <c r="AT350" i="30"/>
  <c r="AV350" i="30" s="1"/>
  <c r="AT351" i="30"/>
  <c r="AV351" i="30" s="1"/>
  <c r="AT352" i="30"/>
  <c r="AV352" i="30" s="1"/>
  <c r="AT353" i="30"/>
  <c r="AV353" i="30" s="1"/>
  <c r="AT354" i="30"/>
  <c r="AV354" i="30" s="1"/>
  <c r="AT355" i="30"/>
  <c r="AV355" i="30" s="1"/>
  <c r="AT356" i="30"/>
  <c r="AV356" i="30" s="1"/>
  <c r="AT357" i="30"/>
  <c r="AV357" i="30" s="1"/>
  <c r="AT358" i="30"/>
  <c r="AV358" i="30" s="1"/>
  <c r="AT359" i="30"/>
  <c r="AV359" i="30" s="1"/>
  <c r="AT360" i="30"/>
  <c r="AV360" i="30" s="1"/>
  <c r="AT361" i="30"/>
  <c r="AV361" i="30" s="1"/>
  <c r="AT362" i="30"/>
  <c r="AV362" i="30" s="1"/>
  <c r="AT363" i="30"/>
  <c r="AV363" i="30" s="1"/>
  <c r="AT364" i="30"/>
  <c r="AV364" i="30" s="1"/>
  <c r="AT365" i="30"/>
  <c r="AV365" i="30" s="1"/>
  <c r="AT366" i="30"/>
  <c r="AV366" i="30" s="1"/>
  <c r="AT367" i="30"/>
  <c r="AV367" i="30" s="1"/>
  <c r="AT368" i="30"/>
  <c r="AV368" i="30" s="1"/>
  <c r="AT369" i="30"/>
  <c r="AV369" i="30" s="1"/>
  <c r="AT370" i="30"/>
  <c r="AV370" i="30" s="1"/>
  <c r="AT371" i="30"/>
  <c r="AV371" i="30" s="1"/>
  <c r="AT372" i="30"/>
  <c r="AV372" i="30" s="1"/>
  <c r="AT373" i="30"/>
  <c r="AV373" i="30" s="1"/>
  <c r="AT374" i="30"/>
  <c r="AV374" i="30" s="1"/>
  <c r="AT375" i="30"/>
  <c r="AV375" i="30" s="1"/>
  <c r="AT376" i="30"/>
  <c r="AV376" i="30" s="1"/>
  <c r="AT377" i="30"/>
  <c r="AV377" i="30" s="1"/>
  <c r="AT378" i="30"/>
  <c r="AV378" i="30" s="1"/>
  <c r="AT379" i="30"/>
  <c r="AV379" i="30" s="1"/>
  <c r="AT380" i="30"/>
  <c r="AV380" i="30" s="1"/>
  <c r="AT381" i="30"/>
  <c r="AV381" i="30" s="1"/>
  <c r="AT382" i="30"/>
  <c r="AV382" i="30" s="1"/>
  <c r="AT383" i="30"/>
  <c r="AV383" i="30" s="1"/>
  <c r="AT384" i="30"/>
  <c r="AV384" i="30" s="1"/>
  <c r="AT385" i="30"/>
  <c r="AV385" i="30" s="1"/>
  <c r="AT386" i="30"/>
  <c r="AV386" i="30" s="1"/>
  <c r="AT387" i="30"/>
  <c r="AV387" i="30" s="1"/>
  <c r="AT388" i="30"/>
  <c r="AV388" i="30" s="1"/>
  <c r="AT389" i="30"/>
  <c r="AV389" i="30" s="1"/>
  <c r="AT390" i="30"/>
  <c r="AV390" i="30" s="1"/>
  <c r="AT391" i="30"/>
  <c r="AV391" i="30" s="1"/>
  <c r="AT392" i="30"/>
  <c r="AV392" i="30" s="1"/>
  <c r="AT393" i="30"/>
  <c r="AV393" i="30" s="1"/>
  <c r="AT394" i="30"/>
  <c r="AV394" i="30" s="1"/>
  <c r="AT395" i="30"/>
  <c r="AV395" i="30" s="1"/>
  <c r="AT396" i="30"/>
  <c r="AV396" i="30" s="1"/>
  <c r="AT397" i="30"/>
  <c r="AV397" i="30" s="1"/>
  <c r="AT398" i="30"/>
  <c r="AV398" i="30" s="1"/>
  <c r="AT399" i="30"/>
  <c r="AV399" i="30" s="1"/>
  <c r="AT400" i="30"/>
  <c r="AV400" i="30" s="1"/>
  <c r="AP4" i="30"/>
  <c r="AP5" i="30"/>
  <c r="AP6" i="30"/>
  <c r="AR6" i="30" s="1"/>
  <c r="AP7" i="30"/>
  <c r="AR7" i="30" s="1"/>
  <c r="AP8" i="30"/>
  <c r="AR8" i="30" s="1"/>
  <c r="AP9" i="30"/>
  <c r="AR9" i="30" s="1"/>
  <c r="AP10" i="30"/>
  <c r="AR10" i="30" s="1"/>
  <c r="AP11" i="30"/>
  <c r="AP12" i="30"/>
  <c r="AP13" i="30"/>
  <c r="AR13" i="30" s="1"/>
  <c r="AP14" i="30"/>
  <c r="AR14" i="30" s="1"/>
  <c r="AP15" i="30"/>
  <c r="AR15" i="30" s="1"/>
  <c r="AP16" i="30"/>
  <c r="AP17" i="30"/>
  <c r="AR17" i="30" s="1"/>
  <c r="AP18" i="30"/>
  <c r="AR18" i="30" s="1"/>
  <c r="AP19" i="30"/>
  <c r="AR19" i="30" s="1"/>
  <c r="AP20" i="30"/>
  <c r="AR20" i="30" s="1"/>
  <c r="AP21" i="30"/>
  <c r="AR21" i="30" s="1"/>
  <c r="AP22" i="30"/>
  <c r="AP23" i="30"/>
  <c r="AP24" i="30"/>
  <c r="AP25" i="30"/>
  <c r="AP26" i="30"/>
  <c r="AP27" i="30"/>
  <c r="AP28" i="30"/>
  <c r="AR28" i="30" s="1"/>
  <c r="AP29" i="30"/>
  <c r="AR29" i="30" s="1"/>
  <c r="AP30" i="30"/>
  <c r="AR30" i="30" s="1"/>
  <c r="AP31" i="30"/>
  <c r="AR31" i="30" s="1"/>
  <c r="AP32" i="30"/>
  <c r="AR32" i="30" s="1"/>
  <c r="AP33" i="30"/>
  <c r="AP34" i="30"/>
  <c r="AR34" i="30" s="1"/>
  <c r="AP35" i="30"/>
  <c r="AR35" i="30" s="1"/>
  <c r="AP36" i="30"/>
  <c r="AP37" i="30"/>
  <c r="AP38" i="30"/>
  <c r="AP39" i="30"/>
  <c r="AP40" i="30"/>
  <c r="AP41" i="30"/>
  <c r="AR41" i="30" s="1"/>
  <c r="AP42" i="30"/>
  <c r="AR42" i="30" s="1"/>
  <c r="AP43" i="30"/>
  <c r="AR43" i="30" s="1"/>
  <c r="AP44" i="30"/>
  <c r="AR44" i="30" s="1"/>
  <c r="AP45" i="30"/>
  <c r="AP46" i="30"/>
  <c r="AR46" i="30" s="1"/>
  <c r="AP47" i="30"/>
  <c r="AP48" i="30"/>
  <c r="AR48" i="30" s="1"/>
  <c r="AP49" i="30"/>
  <c r="AR49" i="30" s="1"/>
  <c r="AP50" i="30"/>
  <c r="AR50" i="30" s="1"/>
  <c r="AP51" i="30"/>
  <c r="AR51" i="30" s="1"/>
  <c r="AP52" i="30"/>
  <c r="AR52" i="30" s="1"/>
  <c r="AP53" i="30"/>
  <c r="AR53" i="30" s="1"/>
  <c r="AP54" i="30"/>
  <c r="AR54" i="30" s="1"/>
  <c r="AP55" i="30"/>
  <c r="AR55" i="30" s="1"/>
  <c r="AP56" i="30"/>
  <c r="AR56" i="30" s="1"/>
  <c r="AP57" i="30"/>
  <c r="AR57" i="30" s="1"/>
  <c r="AP58" i="30"/>
  <c r="AR58" i="30" s="1"/>
  <c r="AP59" i="30"/>
  <c r="AR59" i="30" s="1"/>
  <c r="AP60" i="30"/>
  <c r="AR60" i="30" s="1"/>
  <c r="AP61" i="30"/>
  <c r="AP62" i="30"/>
  <c r="AR62" i="30" s="1"/>
  <c r="AP63" i="30"/>
  <c r="AR63" i="30" s="1"/>
  <c r="AP64" i="30"/>
  <c r="AR64" i="30" s="1"/>
  <c r="AP65" i="30"/>
  <c r="AP66" i="30"/>
  <c r="AP67" i="30"/>
  <c r="AP68" i="30"/>
  <c r="AP69" i="30"/>
  <c r="AP70" i="30"/>
  <c r="AP71" i="30"/>
  <c r="AR71" i="30" s="1"/>
  <c r="AP72" i="30"/>
  <c r="AR72" i="30" s="1"/>
  <c r="AP73" i="30"/>
  <c r="AR73" i="30" s="1"/>
  <c r="AP74" i="30"/>
  <c r="AP75" i="30"/>
  <c r="AP76" i="30"/>
  <c r="AR76" i="30" s="1"/>
  <c r="AP77" i="30"/>
  <c r="AR77" i="30" s="1"/>
  <c r="AP78" i="30"/>
  <c r="AR78" i="30" s="1"/>
  <c r="AP79" i="30"/>
  <c r="AR79" i="30" s="1"/>
  <c r="AP80" i="30"/>
  <c r="AR80" i="30" s="1"/>
  <c r="AP81" i="30"/>
  <c r="AP82" i="30"/>
  <c r="AP83" i="30"/>
  <c r="AR83" i="30" s="1"/>
  <c r="AP84" i="30"/>
  <c r="AR84" i="30" s="1"/>
  <c r="AP85" i="30"/>
  <c r="AR85" i="30" s="1"/>
  <c r="AP86" i="30"/>
  <c r="AP87" i="30"/>
  <c r="AP88" i="30"/>
  <c r="AP89" i="30"/>
  <c r="AP90" i="30"/>
  <c r="AR90" i="30" s="1"/>
  <c r="AP91" i="30"/>
  <c r="AR91" i="30" s="1"/>
  <c r="AP92" i="30"/>
  <c r="AR92" i="30" s="1"/>
  <c r="AP93" i="30"/>
  <c r="AR93" i="30" s="1"/>
  <c r="AP94" i="30"/>
  <c r="AR94" i="30" s="1"/>
  <c r="AP95" i="30"/>
  <c r="AR95" i="30" s="1"/>
  <c r="AP96" i="30"/>
  <c r="AR96" i="30" s="1"/>
  <c r="AP97" i="30"/>
  <c r="AR97" i="30" s="1"/>
  <c r="AP98" i="30"/>
  <c r="AR98" i="30" s="1"/>
  <c r="AP99" i="30"/>
  <c r="AR99" i="30" s="1"/>
  <c r="AP100" i="30"/>
  <c r="AR100" i="30" s="1"/>
  <c r="AP101" i="30"/>
  <c r="AR101" i="30" s="1"/>
  <c r="AP102" i="30"/>
  <c r="AR102" i="30" s="1"/>
  <c r="AP103" i="30"/>
  <c r="AR103" i="30" s="1"/>
  <c r="AP104" i="30"/>
  <c r="AP105" i="30"/>
  <c r="AR105" i="30" s="1"/>
  <c r="AP106" i="30"/>
  <c r="AR106" i="30" s="1"/>
  <c r="AP107" i="30"/>
  <c r="AR107" i="30" s="1"/>
  <c r="AP108" i="30"/>
  <c r="AR108" i="30" s="1"/>
  <c r="AP109" i="30"/>
  <c r="AR109" i="30" s="1"/>
  <c r="AP110" i="30"/>
  <c r="AR110" i="30" s="1"/>
  <c r="AP111" i="30"/>
  <c r="AP112" i="30"/>
  <c r="AP113" i="30"/>
  <c r="AR113" i="30" s="1"/>
  <c r="AP114" i="30"/>
  <c r="AR114" i="30" s="1"/>
  <c r="AP115" i="30"/>
  <c r="AR115" i="30" s="1"/>
  <c r="AP116" i="30"/>
  <c r="AP117" i="30"/>
  <c r="AP118" i="30"/>
  <c r="AR118" i="30" s="1"/>
  <c r="AP119" i="30"/>
  <c r="AR119" i="30" s="1"/>
  <c r="AP120" i="30"/>
  <c r="AR120" i="30" s="1"/>
  <c r="AP121" i="30"/>
  <c r="AP122" i="30"/>
  <c r="AR122" i="30" s="1"/>
  <c r="AP123" i="30"/>
  <c r="AR123" i="30" s="1"/>
  <c r="AP124" i="30"/>
  <c r="AR124" i="30" s="1"/>
  <c r="AP125" i="30"/>
  <c r="AR125" i="30" s="1"/>
  <c r="AP126" i="30"/>
  <c r="AR126" i="30" s="1"/>
  <c r="AP127" i="30"/>
  <c r="AR127" i="30" s="1"/>
  <c r="AP128" i="30"/>
  <c r="AR128" i="30" s="1"/>
  <c r="AP129" i="30"/>
  <c r="AP130" i="30"/>
  <c r="AP131" i="30"/>
  <c r="AP132" i="30"/>
  <c r="AP133" i="30"/>
  <c r="AP134" i="30"/>
  <c r="AR134" i="30" s="1"/>
  <c r="AP135" i="30"/>
  <c r="AR135" i="30" s="1"/>
  <c r="AP136" i="30"/>
  <c r="AR136" i="30" s="1"/>
  <c r="AP137" i="30"/>
  <c r="AR137" i="30" s="1"/>
  <c r="AP138" i="30"/>
  <c r="AP139" i="30"/>
  <c r="AR139" i="30" s="1"/>
  <c r="AP140" i="30"/>
  <c r="AR140" i="30" s="1"/>
  <c r="AP141" i="30"/>
  <c r="AR141" i="30" s="1"/>
  <c r="AP142" i="30"/>
  <c r="AP143" i="30"/>
  <c r="AR143" i="30" s="1"/>
  <c r="AP144" i="30"/>
  <c r="AR144" i="30" s="1"/>
  <c r="AP145" i="30"/>
  <c r="AR145" i="30" s="1"/>
  <c r="AP146" i="30"/>
  <c r="AR146" i="30" s="1"/>
  <c r="AP147" i="30"/>
  <c r="AR147" i="30" s="1"/>
  <c r="AP148" i="30"/>
  <c r="AP149" i="30"/>
  <c r="AR149" i="30" s="1"/>
  <c r="AP150" i="30"/>
  <c r="AR150" i="30" s="1"/>
  <c r="AP151" i="30"/>
  <c r="AP152" i="30"/>
  <c r="AR152" i="30" s="1"/>
  <c r="AP153" i="30"/>
  <c r="AR153" i="30" s="1"/>
  <c r="AP154" i="30"/>
  <c r="AR154" i="30" s="1"/>
  <c r="AP155" i="30"/>
  <c r="AR155" i="30" s="1"/>
  <c r="AP156" i="30"/>
  <c r="AR156" i="30" s="1"/>
  <c r="AP157" i="30"/>
  <c r="AR157" i="30" s="1"/>
  <c r="AP158" i="30"/>
  <c r="AR158" i="30" s="1"/>
  <c r="AP159" i="30"/>
  <c r="AR159" i="30" s="1"/>
  <c r="AP160" i="30"/>
  <c r="AR160" i="30" s="1"/>
  <c r="AP161" i="30"/>
  <c r="AR161" i="30" s="1"/>
  <c r="AP162" i="30"/>
  <c r="AR162" i="30" s="1"/>
  <c r="AP163" i="30"/>
  <c r="AR163" i="30" s="1"/>
  <c r="AP164" i="30"/>
  <c r="AR164" i="30" s="1"/>
  <c r="AP165" i="30"/>
  <c r="AR165" i="30" s="1"/>
  <c r="AP166" i="30"/>
  <c r="AR166" i="30" s="1"/>
  <c r="AP167" i="30"/>
  <c r="AR167" i="30" s="1"/>
  <c r="AP168" i="30"/>
  <c r="AR168" i="30" s="1"/>
  <c r="AP169" i="30"/>
  <c r="AR169" i="30" s="1"/>
  <c r="AP170" i="30"/>
  <c r="AR170" i="30" s="1"/>
  <c r="AP171" i="30"/>
  <c r="AR171" i="30" s="1"/>
  <c r="AP172" i="30"/>
  <c r="AR172" i="30" s="1"/>
  <c r="AP173" i="30"/>
  <c r="AR173" i="30" s="1"/>
  <c r="AP174" i="30"/>
  <c r="AR174" i="30" s="1"/>
  <c r="AP175" i="30"/>
  <c r="AR175" i="30" s="1"/>
  <c r="AP176" i="30"/>
  <c r="AR176" i="30" s="1"/>
  <c r="AP177" i="30"/>
  <c r="AR177" i="30" s="1"/>
  <c r="AP178" i="30"/>
  <c r="AR178" i="30" s="1"/>
  <c r="AP179" i="30"/>
  <c r="AR179" i="30" s="1"/>
  <c r="AP180" i="30"/>
  <c r="AR180" i="30" s="1"/>
  <c r="AP181" i="30"/>
  <c r="AR181" i="30" s="1"/>
  <c r="AP182" i="30"/>
  <c r="AR182" i="30" s="1"/>
  <c r="AP183" i="30"/>
  <c r="AR183" i="30" s="1"/>
  <c r="AP184" i="30"/>
  <c r="AR184" i="30" s="1"/>
  <c r="AP185" i="30"/>
  <c r="AR185" i="30" s="1"/>
  <c r="AP186" i="30"/>
  <c r="AR186" i="30" s="1"/>
  <c r="AP187" i="30"/>
  <c r="AR187" i="30" s="1"/>
  <c r="AP188" i="30"/>
  <c r="AR188" i="30" s="1"/>
  <c r="AP189" i="30"/>
  <c r="AR189" i="30" s="1"/>
  <c r="AP190" i="30"/>
  <c r="AR190" i="30" s="1"/>
  <c r="AP191" i="30"/>
  <c r="AR191" i="30" s="1"/>
  <c r="AP192" i="30"/>
  <c r="AR192" i="30" s="1"/>
  <c r="AP193" i="30"/>
  <c r="AR193" i="30" s="1"/>
  <c r="AP194" i="30"/>
  <c r="AR194" i="30" s="1"/>
  <c r="AP195" i="30"/>
  <c r="AR195" i="30" s="1"/>
  <c r="AP196" i="30"/>
  <c r="AR196" i="30" s="1"/>
  <c r="AP197" i="30"/>
  <c r="AR197" i="30" s="1"/>
  <c r="AP198" i="30"/>
  <c r="AR198" i="30" s="1"/>
  <c r="AP199" i="30"/>
  <c r="AR199" i="30" s="1"/>
  <c r="AP200" i="30"/>
  <c r="AR200" i="30" s="1"/>
  <c r="AP201" i="30"/>
  <c r="AR201" i="30" s="1"/>
  <c r="AP202" i="30"/>
  <c r="AR202" i="30" s="1"/>
  <c r="AP203" i="30"/>
  <c r="AR203" i="30" s="1"/>
  <c r="AP204" i="30"/>
  <c r="AR204" i="30" s="1"/>
  <c r="AP205" i="30"/>
  <c r="AR205" i="30" s="1"/>
  <c r="AP206" i="30"/>
  <c r="AR206" i="30" s="1"/>
  <c r="AP207" i="30"/>
  <c r="AR207" i="30" s="1"/>
  <c r="AP208" i="30"/>
  <c r="AR208" i="30" s="1"/>
  <c r="AP209" i="30"/>
  <c r="AR209" i="30" s="1"/>
  <c r="AP210" i="30"/>
  <c r="AR210" i="30" s="1"/>
  <c r="AP211" i="30"/>
  <c r="AR211" i="30" s="1"/>
  <c r="AP212" i="30"/>
  <c r="AR212" i="30" s="1"/>
  <c r="AP213" i="30"/>
  <c r="AR213" i="30" s="1"/>
  <c r="AP214" i="30"/>
  <c r="AR214" i="30" s="1"/>
  <c r="AP215" i="30"/>
  <c r="AR215" i="30" s="1"/>
  <c r="AP216" i="30"/>
  <c r="AR216" i="30" s="1"/>
  <c r="AP217" i="30"/>
  <c r="AR217" i="30" s="1"/>
  <c r="AP218" i="30"/>
  <c r="AR218" i="30" s="1"/>
  <c r="AP219" i="30"/>
  <c r="AR219" i="30" s="1"/>
  <c r="AP220" i="30"/>
  <c r="AR220" i="30" s="1"/>
  <c r="AP221" i="30"/>
  <c r="AR221" i="30" s="1"/>
  <c r="AP222" i="30"/>
  <c r="AR222" i="30" s="1"/>
  <c r="AP223" i="30"/>
  <c r="AR223" i="30" s="1"/>
  <c r="AP224" i="30"/>
  <c r="AR224" i="30" s="1"/>
  <c r="AP225" i="30"/>
  <c r="AR225" i="30" s="1"/>
  <c r="AP226" i="30"/>
  <c r="AR226" i="30" s="1"/>
  <c r="AP227" i="30"/>
  <c r="AR227" i="30" s="1"/>
  <c r="AP228" i="30"/>
  <c r="AR228" i="30" s="1"/>
  <c r="AP229" i="30"/>
  <c r="AR229" i="30" s="1"/>
  <c r="AP230" i="30"/>
  <c r="AR230" i="30" s="1"/>
  <c r="AP231" i="30"/>
  <c r="AR231" i="30" s="1"/>
  <c r="AP232" i="30"/>
  <c r="AR232" i="30" s="1"/>
  <c r="AP233" i="30"/>
  <c r="AR233" i="30" s="1"/>
  <c r="AP234" i="30"/>
  <c r="AR234" i="30" s="1"/>
  <c r="AP235" i="30"/>
  <c r="AR235" i="30" s="1"/>
  <c r="AP236" i="30"/>
  <c r="AR236" i="30" s="1"/>
  <c r="AP237" i="30"/>
  <c r="AR237" i="30" s="1"/>
  <c r="AP238" i="30"/>
  <c r="AR238" i="30" s="1"/>
  <c r="AP239" i="30"/>
  <c r="AR239" i="30" s="1"/>
  <c r="AP240" i="30"/>
  <c r="AR240" i="30" s="1"/>
  <c r="AP241" i="30"/>
  <c r="AR241" i="30" s="1"/>
  <c r="AP242" i="30"/>
  <c r="AR242" i="30" s="1"/>
  <c r="AP243" i="30"/>
  <c r="AR243" i="30" s="1"/>
  <c r="AP244" i="30"/>
  <c r="AR244" i="30" s="1"/>
  <c r="AP245" i="30"/>
  <c r="AR245" i="30" s="1"/>
  <c r="AP246" i="30"/>
  <c r="AR246" i="30" s="1"/>
  <c r="AP247" i="30"/>
  <c r="AR247" i="30" s="1"/>
  <c r="AP248" i="30"/>
  <c r="AR248" i="30" s="1"/>
  <c r="AP249" i="30"/>
  <c r="AR249" i="30" s="1"/>
  <c r="AP250" i="30"/>
  <c r="AR250" i="30" s="1"/>
  <c r="AP251" i="30"/>
  <c r="AR251" i="30" s="1"/>
  <c r="AP252" i="30"/>
  <c r="AR252" i="30" s="1"/>
  <c r="AP253" i="30"/>
  <c r="AR253" i="30" s="1"/>
  <c r="AP254" i="30"/>
  <c r="AR254" i="30" s="1"/>
  <c r="AP255" i="30"/>
  <c r="AR255" i="30" s="1"/>
  <c r="AP256" i="30"/>
  <c r="AR256" i="30" s="1"/>
  <c r="AP257" i="30"/>
  <c r="AR257" i="30" s="1"/>
  <c r="AP258" i="30"/>
  <c r="AR258" i="30" s="1"/>
  <c r="AP259" i="30"/>
  <c r="AR259" i="30" s="1"/>
  <c r="AP260" i="30"/>
  <c r="AR260" i="30" s="1"/>
  <c r="AP261" i="30"/>
  <c r="AR261" i="30" s="1"/>
  <c r="AP262" i="30"/>
  <c r="AR262" i="30" s="1"/>
  <c r="AP263" i="30"/>
  <c r="AR263" i="30" s="1"/>
  <c r="AP264" i="30"/>
  <c r="AR264" i="30" s="1"/>
  <c r="AP265" i="30"/>
  <c r="AR265" i="30" s="1"/>
  <c r="AP266" i="30"/>
  <c r="AR266" i="30" s="1"/>
  <c r="AP267" i="30"/>
  <c r="AR267" i="30" s="1"/>
  <c r="AP268" i="30"/>
  <c r="AR268" i="30" s="1"/>
  <c r="AP269" i="30"/>
  <c r="AR269" i="30" s="1"/>
  <c r="AP270" i="30"/>
  <c r="AR270" i="30" s="1"/>
  <c r="AP271" i="30"/>
  <c r="AR271" i="30" s="1"/>
  <c r="AP272" i="30"/>
  <c r="AR272" i="30" s="1"/>
  <c r="AP273" i="30"/>
  <c r="AR273" i="30" s="1"/>
  <c r="AP274" i="30"/>
  <c r="AR274" i="30" s="1"/>
  <c r="AP275" i="30"/>
  <c r="AR275" i="30" s="1"/>
  <c r="AP276" i="30"/>
  <c r="AR276" i="30" s="1"/>
  <c r="AP277" i="30"/>
  <c r="AR277" i="30" s="1"/>
  <c r="AP278" i="30"/>
  <c r="AR278" i="30" s="1"/>
  <c r="AP279" i="30"/>
  <c r="AR279" i="30" s="1"/>
  <c r="AP280" i="30"/>
  <c r="AR280" i="30" s="1"/>
  <c r="AP281" i="30"/>
  <c r="AR281" i="30" s="1"/>
  <c r="AP282" i="30"/>
  <c r="AR282" i="30" s="1"/>
  <c r="AP283" i="30"/>
  <c r="AR283" i="30" s="1"/>
  <c r="AP284" i="30"/>
  <c r="AR284" i="30" s="1"/>
  <c r="AP285" i="30"/>
  <c r="AR285" i="30" s="1"/>
  <c r="AP286" i="30"/>
  <c r="AR286" i="30" s="1"/>
  <c r="AP287" i="30"/>
  <c r="AR287" i="30" s="1"/>
  <c r="AP288" i="30"/>
  <c r="AR288" i="30" s="1"/>
  <c r="AP289" i="30"/>
  <c r="AR289" i="30" s="1"/>
  <c r="AP290" i="30"/>
  <c r="AR290" i="30" s="1"/>
  <c r="AP291" i="30"/>
  <c r="AR291" i="30" s="1"/>
  <c r="AP292" i="30"/>
  <c r="AR292" i="30" s="1"/>
  <c r="AP293" i="30"/>
  <c r="AR293" i="30" s="1"/>
  <c r="AP294" i="30"/>
  <c r="AR294" i="30" s="1"/>
  <c r="AP295" i="30"/>
  <c r="AR295" i="30" s="1"/>
  <c r="AP296" i="30"/>
  <c r="AR296" i="30" s="1"/>
  <c r="AP297" i="30"/>
  <c r="AR297" i="30" s="1"/>
  <c r="AP298" i="30"/>
  <c r="AR298" i="30" s="1"/>
  <c r="AP299" i="30"/>
  <c r="AR299" i="30" s="1"/>
  <c r="AP300" i="30"/>
  <c r="AR300" i="30" s="1"/>
  <c r="AP301" i="30"/>
  <c r="AR301" i="30" s="1"/>
  <c r="AP302" i="30"/>
  <c r="AR302" i="30" s="1"/>
  <c r="AP303" i="30"/>
  <c r="AR303" i="30" s="1"/>
  <c r="AP304" i="30"/>
  <c r="AR304" i="30" s="1"/>
  <c r="AP305" i="30"/>
  <c r="AR305" i="30" s="1"/>
  <c r="AP306" i="30"/>
  <c r="AR306" i="30" s="1"/>
  <c r="AP307" i="30"/>
  <c r="AR307" i="30" s="1"/>
  <c r="AP308" i="30"/>
  <c r="AR308" i="30" s="1"/>
  <c r="AP309" i="30"/>
  <c r="AR309" i="30" s="1"/>
  <c r="AP310" i="30"/>
  <c r="AR310" i="30" s="1"/>
  <c r="AP311" i="30"/>
  <c r="AR311" i="30" s="1"/>
  <c r="AP312" i="30"/>
  <c r="AR312" i="30" s="1"/>
  <c r="AP313" i="30"/>
  <c r="AR313" i="30" s="1"/>
  <c r="AP314" i="30"/>
  <c r="AR314" i="30" s="1"/>
  <c r="AP315" i="30"/>
  <c r="AR315" i="30" s="1"/>
  <c r="AP316" i="30"/>
  <c r="AR316" i="30" s="1"/>
  <c r="AP317" i="30"/>
  <c r="AR317" i="30" s="1"/>
  <c r="AP318" i="30"/>
  <c r="AR318" i="30" s="1"/>
  <c r="AP319" i="30"/>
  <c r="AR319" i="30" s="1"/>
  <c r="AP320" i="30"/>
  <c r="AR320" i="30" s="1"/>
  <c r="AP321" i="30"/>
  <c r="AR321" i="30" s="1"/>
  <c r="AP322" i="30"/>
  <c r="AR322" i="30" s="1"/>
  <c r="AP323" i="30"/>
  <c r="AR323" i="30" s="1"/>
  <c r="AP324" i="30"/>
  <c r="AR324" i="30" s="1"/>
  <c r="AP325" i="30"/>
  <c r="AR325" i="30" s="1"/>
  <c r="AP326" i="30"/>
  <c r="AR326" i="30" s="1"/>
  <c r="AP327" i="30"/>
  <c r="AR327" i="30" s="1"/>
  <c r="AP328" i="30"/>
  <c r="AR328" i="30" s="1"/>
  <c r="AP329" i="30"/>
  <c r="AR329" i="30" s="1"/>
  <c r="AP330" i="30"/>
  <c r="AR330" i="30" s="1"/>
  <c r="AP331" i="30"/>
  <c r="AR331" i="30" s="1"/>
  <c r="AP332" i="30"/>
  <c r="AR332" i="30" s="1"/>
  <c r="AP333" i="30"/>
  <c r="AR333" i="30" s="1"/>
  <c r="AP334" i="30"/>
  <c r="AR334" i="30" s="1"/>
  <c r="AP335" i="30"/>
  <c r="AR335" i="30" s="1"/>
  <c r="AP336" i="30"/>
  <c r="AR336" i="30" s="1"/>
  <c r="AP337" i="30"/>
  <c r="AR337" i="30" s="1"/>
  <c r="AP338" i="30"/>
  <c r="AR338" i="30" s="1"/>
  <c r="AP339" i="30"/>
  <c r="AR339" i="30" s="1"/>
  <c r="AP340" i="30"/>
  <c r="AR340" i="30" s="1"/>
  <c r="AP341" i="30"/>
  <c r="AR341" i="30" s="1"/>
  <c r="AP342" i="30"/>
  <c r="AR342" i="30" s="1"/>
  <c r="AP343" i="30"/>
  <c r="AR343" i="30" s="1"/>
  <c r="AP344" i="30"/>
  <c r="AR344" i="30" s="1"/>
  <c r="AP345" i="30"/>
  <c r="AR345" i="30" s="1"/>
  <c r="AP346" i="30"/>
  <c r="AR346" i="30" s="1"/>
  <c r="AP347" i="30"/>
  <c r="AR347" i="30" s="1"/>
  <c r="AP348" i="30"/>
  <c r="AR348" i="30" s="1"/>
  <c r="AP349" i="30"/>
  <c r="AR349" i="30" s="1"/>
  <c r="AP350" i="30"/>
  <c r="AR350" i="30" s="1"/>
  <c r="AP351" i="30"/>
  <c r="AR351" i="30" s="1"/>
  <c r="AP352" i="30"/>
  <c r="AR352" i="30" s="1"/>
  <c r="AP353" i="30"/>
  <c r="AR353" i="30" s="1"/>
  <c r="AP354" i="30"/>
  <c r="AR354" i="30" s="1"/>
  <c r="AP355" i="30"/>
  <c r="AR355" i="30" s="1"/>
  <c r="AP356" i="30"/>
  <c r="AR356" i="30" s="1"/>
  <c r="AP357" i="30"/>
  <c r="AR357" i="30" s="1"/>
  <c r="AP358" i="30"/>
  <c r="AR358" i="30" s="1"/>
  <c r="AP359" i="30"/>
  <c r="AR359" i="30" s="1"/>
  <c r="AP360" i="30"/>
  <c r="AR360" i="30" s="1"/>
  <c r="AP361" i="30"/>
  <c r="AR361" i="30" s="1"/>
  <c r="AP362" i="30"/>
  <c r="AR362" i="30" s="1"/>
  <c r="AP363" i="30"/>
  <c r="AR363" i="30" s="1"/>
  <c r="AP364" i="30"/>
  <c r="AR364" i="30" s="1"/>
  <c r="AP365" i="30"/>
  <c r="AR365" i="30" s="1"/>
  <c r="AP366" i="30"/>
  <c r="AR366" i="30" s="1"/>
  <c r="AP367" i="30"/>
  <c r="AR367" i="30" s="1"/>
  <c r="AP368" i="30"/>
  <c r="AR368" i="30" s="1"/>
  <c r="AP369" i="30"/>
  <c r="AR369" i="30" s="1"/>
  <c r="AP370" i="30"/>
  <c r="AR370" i="30" s="1"/>
  <c r="AP371" i="30"/>
  <c r="AR371" i="30" s="1"/>
  <c r="AP372" i="30"/>
  <c r="AR372" i="30" s="1"/>
  <c r="AP373" i="30"/>
  <c r="AR373" i="30" s="1"/>
  <c r="AP374" i="30"/>
  <c r="AR374" i="30" s="1"/>
  <c r="AP375" i="30"/>
  <c r="AR375" i="30" s="1"/>
  <c r="AP376" i="30"/>
  <c r="AR376" i="30" s="1"/>
  <c r="AP377" i="30"/>
  <c r="AR377" i="30" s="1"/>
  <c r="AP378" i="30"/>
  <c r="AR378" i="30" s="1"/>
  <c r="AP379" i="30"/>
  <c r="AR379" i="30" s="1"/>
  <c r="AP380" i="30"/>
  <c r="AR380" i="30" s="1"/>
  <c r="AP381" i="30"/>
  <c r="AR381" i="30" s="1"/>
  <c r="AP382" i="30"/>
  <c r="AR382" i="30" s="1"/>
  <c r="AP383" i="30"/>
  <c r="AR383" i="30" s="1"/>
  <c r="AP384" i="30"/>
  <c r="AR384" i="30" s="1"/>
  <c r="AP385" i="30"/>
  <c r="AR385" i="30" s="1"/>
  <c r="AP386" i="30"/>
  <c r="AR386" i="30" s="1"/>
  <c r="AP387" i="30"/>
  <c r="AR387" i="30" s="1"/>
  <c r="AP388" i="30"/>
  <c r="AR388" i="30" s="1"/>
  <c r="AP389" i="30"/>
  <c r="AR389" i="30" s="1"/>
  <c r="AP390" i="30"/>
  <c r="AR390" i="30" s="1"/>
  <c r="AP391" i="30"/>
  <c r="AR391" i="30" s="1"/>
  <c r="AP392" i="30"/>
  <c r="AR392" i="30" s="1"/>
  <c r="AP393" i="30"/>
  <c r="AR393" i="30" s="1"/>
  <c r="AP394" i="30"/>
  <c r="AR394" i="30" s="1"/>
  <c r="AP395" i="30"/>
  <c r="AR395" i="30" s="1"/>
  <c r="AP396" i="30"/>
  <c r="AR396" i="30" s="1"/>
  <c r="AP397" i="30"/>
  <c r="AR397" i="30" s="1"/>
  <c r="AP398" i="30"/>
  <c r="AR398" i="30" s="1"/>
  <c r="AP399" i="30"/>
  <c r="AR399" i="30" s="1"/>
  <c r="AP400" i="30"/>
  <c r="AR400" i="30" s="1"/>
  <c r="AL4" i="30"/>
  <c r="AL5" i="30"/>
  <c r="AL6" i="30"/>
  <c r="AN6" i="30" s="1"/>
  <c r="AL7" i="30"/>
  <c r="AN7" i="30" s="1"/>
  <c r="AL8" i="30"/>
  <c r="AN8" i="30" s="1"/>
  <c r="AL9" i="30"/>
  <c r="AN9" i="30" s="1"/>
  <c r="AL10" i="30"/>
  <c r="AN10" i="30" s="1"/>
  <c r="AL11" i="30"/>
  <c r="AL12" i="30"/>
  <c r="AL13" i="30"/>
  <c r="AN13" i="30" s="1"/>
  <c r="AL14" i="30"/>
  <c r="AN14" i="30" s="1"/>
  <c r="AL15" i="30"/>
  <c r="AN15" i="30" s="1"/>
  <c r="AL16" i="30"/>
  <c r="AL17" i="30"/>
  <c r="AN17" i="30" s="1"/>
  <c r="AL18" i="30"/>
  <c r="AN18" i="30" s="1"/>
  <c r="AL19" i="30"/>
  <c r="AN19" i="30" s="1"/>
  <c r="AL20" i="30"/>
  <c r="AN20" i="30" s="1"/>
  <c r="AL21" i="30"/>
  <c r="AN21" i="30" s="1"/>
  <c r="AL22" i="30"/>
  <c r="AL23" i="30"/>
  <c r="AL24" i="30"/>
  <c r="AL25" i="30"/>
  <c r="AL26" i="30"/>
  <c r="AL27" i="30"/>
  <c r="AL28" i="30"/>
  <c r="AN28" i="30" s="1"/>
  <c r="AL29" i="30"/>
  <c r="AN29" i="30" s="1"/>
  <c r="AL30" i="30"/>
  <c r="AN30" i="30" s="1"/>
  <c r="AL31" i="30"/>
  <c r="AN31" i="30" s="1"/>
  <c r="AL32" i="30"/>
  <c r="AN32" i="30" s="1"/>
  <c r="AL33" i="30"/>
  <c r="AL34" i="30"/>
  <c r="AN34" i="30" s="1"/>
  <c r="AL35" i="30"/>
  <c r="AN35" i="30" s="1"/>
  <c r="AL36" i="30"/>
  <c r="AL37" i="30"/>
  <c r="AL38" i="30"/>
  <c r="AL39" i="30"/>
  <c r="AL40" i="30"/>
  <c r="AL41" i="30"/>
  <c r="AN41" i="30" s="1"/>
  <c r="AL42" i="30"/>
  <c r="AN42" i="30" s="1"/>
  <c r="AL43" i="30"/>
  <c r="AN43" i="30" s="1"/>
  <c r="AL44" i="30"/>
  <c r="AN44" i="30" s="1"/>
  <c r="AL45" i="30"/>
  <c r="AL46" i="30"/>
  <c r="AN46" i="30" s="1"/>
  <c r="AL47" i="30"/>
  <c r="AL48" i="30"/>
  <c r="AN48" i="30" s="1"/>
  <c r="AL49" i="30"/>
  <c r="AN49" i="30" s="1"/>
  <c r="AL50" i="30"/>
  <c r="AN50" i="30" s="1"/>
  <c r="AL51" i="30"/>
  <c r="AN51" i="30" s="1"/>
  <c r="AL52" i="30"/>
  <c r="AN52" i="30" s="1"/>
  <c r="AL53" i="30"/>
  <c r="AN53" i="30" s="1"/>
  <c r="AL54" i="30"/>
  <c r="AN54" i="30" s="1"/>
  <c r="AL55" i="30"/>
  <c r="AN55" i="30" s="1"/>
  <c r="AL56" i="30"/>
  <c r="AN56" i="30" s="1"/>
  <c r="AL57" i="30"/>
  <c r="AN57" i="30" s="1"/>
  <c r="AL58" i="30"/>
  <c r="AN58" i="30" s="1"/>
  <c r="AL59" i="30"/>
  <c r="AN59" i="30" s="1"/>
  <c r="AL60" i="30"/>
  <c r="AN60" i="30" s="1"/>
  <c r="AL61" i="30"/>
  <c r="AL62" i="30"/>
  <c r="AN62" i="30" s="1"/>
  <c r="AL63" i="30"/>
  <c r="AN63" i="30" s="1"/>
  <c r="AL64" i="30"/>
  <c r="AN64" i="30" s="1"/>
  <c r="AL65" i="30"/>
  <c r="AL66" i="30"/>
  <c r="AL67" i="30"/>
  <c r="AL68" i="30"/>
  <c r="AL69" i="30"/>
  <c r="AL70" i="30"/>
  <c r="AL71" i="30"/>
  <c r="AN71" i="30" s="1"/>
  <c r="AL72" i="30"/>
  <c r="AN72" i="30" s="1"/>
  <c r="AL73" i="30"/>
  <c r="AN73" i="30" s="1"/>
  <c r="AL74" i="30"/>
  <c r="AL75" i="30"/>
  <c r="AL76" i="30"/>
  <c r="AN76" i="30" s="1"/>
  <c r="AL77" i="30"/>
  <c r="AN77" i="30" s="1"/>
  <c r="AL78" i="30"/>
  <c r="AN78" i="30" s="1"/>
  <c r="AL79" i="30"/>
  <c r="AN79" i="30" s="1"/>
  <c r="AL80" i="30"/>
  <c r="AN80" i="30" s="1"/>
  <c r="AL81" i="30"/>
  <c r="AL82" i="30"/>
  <c r="AL83" i="30"/>
  <c r="AN83" i="30" s="1"/>
  <c r="AL84" i="30"/>
  <c r="AN84" i="30" s="1"/>
  <c r="AL85" i="30"/>
  <c r="AN85" i="30" s="1"/>
  <c r="AL86" i="30"/>
  <c r="AL87" i="30"/>
  <c r="AL88" i="30"/>
  <c r="AL89" i="30"/>
  <c r="AL90" i="30"/>
  <c r="AN90" i="30" s="1"/>
  <c r="AL91" i="30"/>
  <c r="AN91" i="30" s="1"/>
  <c r="AL92" i="30"/>
  <c r="AN92" i="30" s="1"/>
  <c r="AL93" i="30"/>
  <c r="AN93" i="30" s="1"/>
  <c r="AL94" i="30"/>
  <c r="AN94" i="30" s="1"/>
  <c r="AL95" i="30"/>
  <c r="AN95" i="30" s="1"/>
  <c r="AL96" i="30"/>
  <c r="AN96" i="30" s="1"/>
  <c r="AL97" i="30"/>
  <c r="AN97" i="30" s="1"/>
  <c r="AL98" i="30"/>
  <c r="AN98" i="30" s="1"/>
  <c r="AL99" i="30"/>
  <c r="AN99" i="30" s="1"/>
  <c r="AL100" i="30"/>
  <c r="AN100" i="30" s="1"/>
  <c r="AL101" i="30"/>
  <c r="AN101" i="30" s="1"/>
  <c r="AL102" i="30"/>
  <c r="AN102" i="30" s="1"/>
  <c r="AL103" i="30"/>
  <c r="AN103" i="30" s="1"/>
  <c r="AL104" i="30"/>
  <c r="AL105" i="30"/>
  <c r="AN105" i="30" s="1"/>
  <c r="AL106" i="30"/>
  <c r="AN106" i="30" s="1"/>
  <c r="AL107" i="30"/>
  <c r="AN107" i="30" s="1"/>
  <c r="AL108" i="30"/>
  <c r="AN108" i="30" s="1"/>
  <c r="AL109" i="30"/>
  <c r="AN109" i="30" s="1"/>
  <c r="AL110" i="30"/>
  <c r="AN110" i="30" s="1"/>
  <c r="AL111" i="30"/>
  <c r="AL112" i="30"/>
  <c r="AL113" i="30"/>
  <c r="AN113" i="30" s="1"/>
  <c r="AL114" i="30"/>
  <c r="AN114" i="30" s="1"/>
  <c r="AL115" i="30"/>
  <c r="AN115" i="30" s="1"/>
  <c r="AL116" i="30"/>
  <c r="AL117" i="30"/>
  <c r="AL118" i="30"/>
  <c r="AN118" i="30" s="1"/>
  <c r="AL119" i="30"/>
  <c r="AN119" i="30" s="1"/>
  <c r="AL120" i="30"/>
  <c r="AN120" i="30" s="1"/>
  <c r="AL121" i="30"/>
  <c r="AL122" i="30"/>
  <c r="AN122" i="30" s="1"/>
  <c r="AL123" i="30"/>
  <c r="AN123" i="30" s="1"/>
  <c r="AL124" i="30"/>
  <c r="AN124" i="30" s="1"/>
  <c r="AL125" i="30"/>
  <c r="AN125" i="30" s="1"/>
  <c r="AL126" i="30"/>
  <c r="AN126" i="30" s="1"/>
  <c r="AL127" i="30"/>
  <c r="AN127" i="30" s="1"/>
  <c r="AL128" i="30"/>
  <c r="AN128" i="30" s="1"/>
  <c r="AL129" i="30"/>
  <c r="AL130" i="30"/>
  <c r="AL131" i="30"/>
  <c r="AL132" i="30"/>
  <c r="AL133" i="30"/>
  <c r="AL134" i="30"/>
  <c r="AN134" i="30" s="1"/>
  <c r="AL135" i="30"/>
  <c r="AN135" i="30" s="1"/>
  <c r="AL136" i="30"/>
  <c r="AN136" i="30" s="1"/>
  <c r="AL137" i="30"/>
  <c r="AN137" i="30" s="1"/>
  <c r="AL138" i="30"/>
  <c r="AL139" i="30"/>
  <c r="AN139" i="30" s="1"/>
  <c r="AL140" i="30"/>
  <c r="AN140" i="30" s="1"/>
  <c r="AL141" i="30"/>
  <c r="AN141" i="30" s="1"/>
  <c r="AL142" i="30"/>
  <c r="AL143" i="30"/>
  <c r="AN143" i="30" s="1"/>
  <c r="AL144" i="30"/>
  <c r="AN144" i="30" s="1"/>
  <c r="AL145" i="30"/>
  <c r="AN145" i="30" s="1"/>
  <c r="AL146" i="30"/>
  <c r="AN146" i="30" s="1"/>
  <c r="AL147" i="30"/>
  <c r="AN147" i="30" s="1"/>
  <c r="AL148" i="30"/>
  <c r="AL149" i="30"/>
  <c r="AN149" i="30" s="1"/>
  <c r="AL150" i="30"/>
  <c r="AN150" i="30" s="1"/>
  <c r="AL151" i="30"/>
  <c r="AL152" i="30"/>
  <c r="AN152" i="30" s="1"/>
  <c r="AL153" i="30"/>
  <c r="AN153" i="30" s="1"/>
  <c r="AL154" i="30"/>
  <c r="AN154" i="30" s="1"/>
  <c r="AL155" i="30"/>
  <c r="AN155" i="30" s="1"/>
  <c r="AL156" i="30"/>
  <c r="AN156" i="30" s="1"/>
  <c r="AL157" i="30"/>
  <c r="AN157" i="30" s="1"/>
  <c r="AL158" i="30"/>
  <c r="AN158" i="30" s="1"/>
  <c r="AL159" i="30"/>
  <c r="AN159" i="30" s="1"/>
  <c r="AL160" i="30"/>
  <c r="AN160" i="30" s="1"/>
  <c r="AL161" i="30"/>
  <c r="AN161" i="30" s="1"/>
  <c r="AL162" i="30"/>
  <c r="AN162" i="30" s="1"/>
  <c r="AL163" i="30"/>
  <c r="AN163" i="30" s="1"/>
  <c r="AL164" i="30"/>
  <c r="AN164" i="30" s="1"/>
  <c r="AL165" i="30"/>
  <c r="AN165" i="30" s="1"/>
  <c r="AL166" i="30"/>
  <c r="AN166" i="30" s="1"/>
  <c r="AL167" i="30"/>
  <c r="AN167" i="30" s="1"/>
  <c r="AL168" i="30"/>
  <c r="AN168" i="30" s="1"/>
  <c r="AL169" i="30"/>
  <c r="AN169" i="30" s="1"/>
  <c r="AL170" i="30"/>
  <c r="AN170" i="30" s="1"/>
  <c r="AL171" i="30"/>
  <c r="AN171" i="30" s="1"/>
  <c r="AL172" i="30"/>
  <c r="AN172" i="30" s="1"/>
  <c r="AL173" i="30"/>
  <c r="AN173" i="30" s="1"/>
  <c r="AL174" i="30"/>
  <c r="AN174" i="30" s="1"/>
  <c r="AL175" i="30"/>
  <c r="AN175" i="30" s="1"/>
  <c r="AL176" i="30"/>
  <c r="AN176" i="30" s="1"/>
  <c r="AL177" i="30"/>
  <c r="AN177" i="30" s="1"/>
  <c r="AL178" i="30"/>
  <c r="AN178" i="30" s="1"/>
  <c r="AL179" i="30"/>
  <c r="AN179" i="30" s="1"/>
  <c r="AL180" i="30"/>
  <c r="AN180" i="30" s="1"/>
  <c r="AL181" i="30"/>
  <c r="AN181" i="30" s="1"/>
  <c r="AL182" i="30"/>
  <c r="AN182" i="30" s="1"/>
  <c r="AL183" i="30"/>
  <c r="AN183" i="30" s="1"/>
  <c r="AL184" i="30"/>
  <c r="AN184" i="30" s="1"/>
  <c r="AL185" i="30"/>
  <c r="AN185" i="30" s="1"/>
  <c r="AL186" i="30"/>
  <c r="AN186" i="30" s="1"/>
  <c r="AL187" i="30"/>
  <c r="AN187" i="30" s="1"/>
  <c r="AL188" i="30"/>
  <c r="AN188" i="30" s="1"/>
  <c r="AL189" i="30"/>
  <c r="AN189" i="30" s="1"/>
  <c r="AL190" i="30"/>
  <c r="AN190" i="30" s="1"/>
  <c r="AL191" i="30"/>
  <c r="AN191" i="30" s="1"/>
  <c r="AL192" i="30"/>
  <c r="AN192" i="30" s="1"/>
  <c r="AL193" i="30"/>
  <c r="AN193" i="30" s="1"/>
  <c r="AL194" i="30"/>
  <c r="AN194" i="30" s="1"/>
  <c r="AL195" i="30"/>
  <c r="AN195" i="30" s="1"/>
  <c r="AL196" i="30"/>
  <c r="AN196" i="30" s="1"/>
  <c r="AL197" i="30"/>
  <c r="AN197" i="30" s="1"/>
  <c r="AL198" i="30"/>
  <c r="AN198" i="30" s="1"/>
  <c r="AL199" i="30"/>
  <c r="AN199" i="30" s="1"/>
  <c r="AL200" i="30"/>
  <c r="AN200" i="30" s="1"/>
  <c r="AL201" i="30"/>
  <c r="AN201" i="30" s="1"/>
  <c r="AL202" i="30"/>
  <c r="AN202" i="30" s="1"/>
  <c r="AL203" i="30"/>
  <c r="AN203" i="30" s="1"/>
  <c r="AL204" i="30"/>
  <c r="AN204" i="30" s="1"/>
  <c r="AL205" i="30"/>
  <c r="AN205" i="30" s="1"/>
  <c r="AL206" i="30"/>
  <c r="AN206" i="30" s="1"/>
  <c r="AL207" i="30"/>
  <c r="AN207" i="30" s="1"/>
  <c r="AL208" i="30"/>
  <c r="AN208" i="30" s="1"/>
  <c r="AL209" i="30"/>
  <c r="AN209" i="30" s="1"/>
  <c r="AL210" i="30"/>
  <c r="AN210" i="30" s="1"/>
  <c r="AL211" i="30"/>
  <c r="AN211" i="30" s="1"/>
  <c r="AL212" i="30"/>
  <c r="AN212" i="30" s="1"/>
  <c r="AL213" i="30"/>
  <c r="AN213" i="30" s="1"/>
  <c r="AL214" i="30"/>
  <c r="AN214" i="30" s="1"/>
  <c r="AL215" i="30"/>
  <c r="AN215" i="30" s="1"/>
  <c r="AL216" i="30"/>
  <c r="AN216" i="30" s="1"/>
  <c r="AL217" i="30"/>
  <c r="AN217" i="30" s="1"/>
  <c r="AL218" i="30"/>
  <c r="AN218" i="30" s="1"/>
  <c r="AL219" i="30"/>
  <c r="AN219" i="30" s="1"/>
  <c r="AL220" i="30"/>
  <c r="AN220" i="30" s="1"/>
  <c r="AL221" i="30"/>
  <c r="AN221" i="30" s="1"/>
  <c r="AL222" i="30"/>
  <c r="AN222" i="30" s="1"/>
  <c r="AL223" i="30"/>
  <c r="AN223" i="30" s="1"/>
  <c r="AL224" i="30"/>
  <c r="AN224" i="30" s="1"/>
  <c r="AL225" i="30"/>
  <c r="AN225" i="30" s="1"/>
  <c r="AL226" i="30"/>
  <c r="AN226" i="30" s="1"/>
  <c r="AL227" i="30"/>
  <c r="AN227" i="30" s="1"/>
  <c r="AL228" i="30"/>
  <c r="AN228" i="30" s="1"/>
  <c r="AL229" i="30"/>
  <c r="AN229" i="30" s="1"/>
  <c r="AL230" i="30"/>
  <c r="AN230" i="30" s="1"/>
  <c r="AL231" i="30"/>
  <c r="AN231" i="30" s="1"/>
  <c r="AL232" i="30"/>
  <c r="AN232" i="30" s="1"/>
  <c r="AL233" i="30"/>
  <c r="AN233" i="30" s="1"/>
  <c r="AL234" i="30"/>
  <c r="AN234" i="30" s="1"/>
  <c r="AL235" i="30"/>
  <c r="AN235" i="30" s="1"/>
  <c r="AL236" i="30"/>
  <c r="AN236" i="30" s="1"/>
  <c r="AL237" i="30"/>
  <c r="AN237" i="30" s="1"/>
  <c r="AL238" i="30"/>
  <c r="AN238" i="30" s="1"/>
  <c r="AL239" i="30"/>
  <c r="AN239" i="30" s="1"/>
  <c r="AL240" i="30"/>
  <c r="AN240" i="30" s="1"/>
  <c r="AL241" i="30"/>
  <c r="AN241" i="30" s="1"/>
  <c r="AL242" i="30"/>
  <c r="AN242" i="30" s="1"/>
  <c r="AL243" i="30"/>
  <c r="AN243" i="30" s="1"/>
  <c r="AL244" i="30"/>
  <c r="AN244" i="30" s="1"/>
  <c r="AL245" i="30"/>
  <c r="AN245" i="30" s="1"/>
  <c r="AL246" i="30"/>
  <c r="AN246" i="30" s="1"/>
  <c r="AL247" i="30"/>
  <c r="AN247" i="30" s="1"/>
  <c r="AL248" i="30"/>
  <c r="AN248" i="30" s="1"/>
  <c r="AL249" i="30"/>
  <c r="AN249" i="30" s="1"/>
  <c r="AL250" i="30"/>
  <c r="AN250" i="30" s="1"/>
  <c r="AL251" i="30"/>
  <c r="AN251" i="30" s="1"/>
  <c r="AL252" i="30"/>
  <c r="AN252" i="30" s="1"/>
  <c r="AL253" i="30"/>
  <c r="AN253" i="30" s="1"/>
  <c r="AL254" i="30"/>
  <c r="AN254" i="30" s="1"/>
  <c r="AL255" i="30"/>
  <c r="AN255" i="30" s="1"/>
  <c r="AL256" i="30"/>
  <c r="AN256" i="30" s="1"/>
  <c r="AL257" i="30"/>
  <c r="AN257" i="30" s="1"/>
  <c r="AL258" i="30"/>
  <c r="AN258" i="30" s="1"/>
  <c r="AL259" i="30"/>
  <c r="AN259" i="30" s="1"/>
  <c r="AL260" i="30"/>
  <c r="AN260" i="30" s="1"/>
  <c r="AL261" i="30"/>
  <c r="AN261" i="30" s="1"/>
  <c r="AL262" i="30"/>
  <c r="AN262" i="30" s="1"/>
  <c r="AL263" i="30"/>
  <c r="AN263" i="30" s="1"/>
  <c r="AL264" i="30"/>
  <c r="AN264" i="30" s="1"/>
  <c r="AL265" i="30"/>
  <c r="AN265" i="30" s="1"/>
  <c r="AL266" i="30"/>
  <c r="AN266" i="30" s="1"/>
  <c r="AL267" i="30"/>
  <c r="AN267" i="30" s="1"/>
  <c r="AL268" i="30"/>
  <c r="AN268" i="30" s="1"/>
  <c r="AL269" i="30"/>
  <c r="AN269" i="30" s="1"/>
  <c r="AL270" i="30"/>
  <c r="AN270" i="30" s="1"/>
  <c r="AL271" i="30"/>
  <c r="AN271" i="30" s="1"/>
  <c r="AL272" i="30"/>
  <c r="AN272" i="30" s="1"/>
  <c r="AL273" i="30"/>
  <c r="AN273" i="30" s="1"/>
  <c r="AL274" i="30"/>
  <c r="AN274" i="30" s="1"/>
  <c r="AL275" i="30"/>
  <c r="AN275" i="30" s="1"/>
  <c r="AL276" i="30"/>
  <c r="AN276" i="30" s="1"/>
  <c r="AL277" i="30"/>
  <c r="AN277" i="30" s="1"/>
  <c r="AL278" i="30"/>
  <c r="AN278" i="30" s="1"/>
  <c r="AL279" i="30"/>
  <c r="AN279" i="30" s="1"/>
  <c r="AL280" i="30"/>
  <c r="AN280" i="30" s="1"/>
  <c r="AL281" i="30"/>
  <c r="AN281" i="30" s="1"/>
  <c r="AL282" i="30"/>
  <c r="AN282" i="30" s="1"/>
  <c r="AL283" i="30"/>
  <c r="AN283" i="30" s="1"/>
  <c r="AL284" i="30"/>
  <c r="AN284" i="30" s="1"/>
  <c r="AL285" i="30"/>
  <c r="AN285" i="30" s="1"/>
  <c r="AL286" i="30"/>
  <c r="AN286" i="30" s="1"/>
  <c r="AL287" i="30"/>
  <c r="AN287" i="30" s="1"/>
  <c r="AL288" i="30"/>
  <c r="AN288" i="30" s="1"/>
  <c r="AL289" i="30"/>
  <c r="AN289" i="30" s="1"/>
  <c r="AL290" i="30"/>
  <c r="AN290" i="30" s="1"/>
  <c r="AL291" i="30"/>
  <c r="AN291" i="30" s="1"/>
  <c r="AL292" i="30"/>
  <c r="AN292" i="30" s="1"/>
  <c r="AL293" i="30"/>
  <c r="AN293" i="30" s="1"/>
  <c r="AL294" i="30"/>
  <c r="AN294" i="30" s="1"/>
  <c r="AL295" i="30"/>
  <c r="AN295" i="30" s="1"/>
  <c r="AL296" i="30"/>
  <c r="AN296" i="30" s="1"/>
  <c r="AL297" i="30"/>
  <c r="AN297" i="30" s="1"/>
  <c r="AL298" i="30"/>
  <c r="AN298" i="30" s="1"/>
  <c r="AL299" i="30"/>
  <c r="AN299" i="30" s="1"/>
  <c r="AL300" i="30"/>
  <c r="AN300" i="30" s="1"/>
  <c r="AL301" i="30"/>
  <c r="AN301" i="30" s="1"/>
  <c r="AL302" i="30"/>
  <c r="AN302" i="30" s="1"/>
  <c r="AL303" i="30"/>
  <c r="AN303" i="30" s="1"/>
  <c r="AL304" i="30"/>
  <c r="AN304" i="30" s="1"/>
  <c r="AL305" i="30"/>
  <c r="AN305" i="30" s="1"/>
  <c r="AL306" i="30"/>
  <c r="AN306" i="30" s="1"/>
  <c r="AL307" i="30"/>
  <c r="AN307" i="30" s="1"/>
  <c r="AL308" i="30"/>
  <c r="AN308" i="30" s="1"/>
  <c r="AL309" i="30"/>
  <c r="AN309" i="30" s="1"/>
  <c r="AL310" i="30"/>
  <c r="AN310" i="30" s="1"/>
  <c r="AL311" i="30"/>
  <c r="AN311" i="30" s="1"/>
  <c r="AL312" i="30"/>
  <c r="AN312" i="30" s="1"/>
  <c r="AL313" i="30"/>
  <c r="AN313" i="30" s="1"/>
  <c r="AL314" i="30"/>
  <c r="AN314" i="30" s="1"/>
  <c r="AL315" i="30"/>
  <c r="AN315" i="30" s="1"/>
  <c r="AL316" i="30"/>
  <c r="AN316" i="30" s="1"/>
  <c r="AL317" i="30"/>
  <c r="AN317" i="30" s="1"/>
  <c r="AL318" i="30"/>
  <c r="AN318" i="30" s="1"/>
  <c r="AL319" i="30"/>
  <c r="AN319" i="30" s="1"/>
  <c r="AL320" i="30"/>
  <c r="AN320" i="30" s="1"/>
  <c r="AL321" i="30"/>
  <c r="AN321" i="30" s="1"/>
  <c r="AL322" i="30"/>
  <c r="AN322" i="30" s="1"/>
  <c r="AL323" i="30"/>
  <c r="AN323" i="30" s="1"/>
  <c r="AL324" i="30"/>
  <c r="AN324" i="30" s="1"/>
  <c r="AL325" i="30"/>
  <c r="AN325" i="30" s="1"/>
  <c r="AL326" i="30"/>
  <c r="AN326" i="30" s="1"/>
  <c r="AL327" i="30"/>
  <c r="AN327" i="30" s="1"/>
  <c r="AL328" i="30"/>
  <c r="AN328" i="30" s="1"/>
  <c r="AL329" i="30"/>
  <c r="AN329" i="30" s="1"/>
  <c r="AL330" i="30"/>
  <c r="AN330" i="30" s="1"/>
  <c r="AL331" i="30"/>
  <c r="AN331" i="30" s="1"/>
  <c r="AL332" i="30"/>
  <c r="AN332" i="30" s="1"/>
  <c r="AL333" i="30"/>
  <c r="AN333" i="30" s="1"/>
  <c r="AL334" i="30"/>
  <c r="AN334" i="30" s="1"/>
  <c r="AL335" i="30"/>
  <c r="AN335" i="30" s="1"/>
  <c r="AL336" i="30"/>
  <c r="AN336" i="30" s="1"/>
  <c r="AL337" i="30"/>
  <c r="AN337" i="30" s="1"/>
  <c r="AL338" i="30"/>
  <c r="AN338" i="30" s="1"/>
  <c r="AL339" i="30"/>
  <c r="AN339" i="30" s="1"/>
  <c r="AL340" i="30"/>
  <c r="AN340" i="30" s="1"/>
  <c r="AL341" i="30"/>
  <c r="AN341" i="30" s="1"/>
  <c r="AL342" i="30"/>
  <c r="AN342" i="30" s="1"/>
  <c r="AL343" i="30"/>
  <c r="AN343" i="30" s="1"/>
  <c r="AL344" i="30"/>
  <c r="AN344" i="30" s="1"/>
  <c r="AL345" i="30"/>
  <c r="AN345" i="30" s="1"/>
  <c r="AL346" i="30"/>
  <c r="AN346" i="30" s="1"/>
  <c r="AL347" i="30"/>
  <c r="AN347" i="30" s="1"/>
  <c r="AL348" i="30"/>
  <c r="AN348" i="30" s="1"/>
  <c r="AL349" i="30"/>
  <c r="AN349" i="30" s="1"/>
  <c r="AL350" i="30"/>
  <c r="AN350" i="30" s="1"/>
  <c r="AL351" i="30"/>
  <c r="AN351" i="30" s="1"/>
  <c r="AL352" i="30"/>
  <c r="AN352" i="30" s="1"/>
  <c r="AL353" i="30"/>
  <c r="AN353" i="30" s="1"/>
  <c r="AL354" i="30"/>
  <c r="AN354" i="30" s="1"/>
  <c r="AL355" i="30"/>
  <c r="AN355" i="30" s="1"/>
  <c r="AL356" i="30"/>
  <c r="AN356" i="30" s="1"/>
  <c r="AL357" i="30"/>
  <c r="AN357" i="30" s="1"/>
  <c r="AL358" i="30"/>
  <c r="AN358" i="30" s="1"/>
  <c r="AL359" i="30"/>
  <c r="AN359" i="30" s="1"/>
  <c r="AL360" i="30"/>
  <c r="AN360" i="30" s="1"/>
  <c r="AL361" i="30"/>
  <c r="AN361" i="30" s="1"/>
  <c r="AL362" i="30"/>
  <c r="AN362" i="30" s="1"/>
  <c r="AL363" i="30"/>
  <c r="AN363" i="30" s="1"/>
  <c r="AL364" i="30"/>
  <c r="AN364" i="30" s="1"/>
  <c r="AL365" i="30"/>
  <c r="AN365" i="30" s="1"/>
  <c r="AL366" i="30"/>
  <c r="AN366" i="30" s="1"/>
  <c r="AL367" i="30"/>
  <c r="AN367" i="30" s="1"/>
  <c r="AL368" i="30"/>
  <c r="AN368" i="30" s="1"/>
  <c r="AL369" i="30"/>
  <c r="AN369" i="30" s="1"/>
  <c r="AL370" i="30"/>
  <c r="AN370" i="30" s="1"/>
  <c r="AL371" i="30"/>
  <c r="AN371" i="30" s="1"/>
  <c r="AL372" i="30"/>
  <c r="AN372" i="30" s="1"/>
  <c r="AL373" i="30"/>
  <c r="AN373" i="30" s="1"/>
  <c r="AL374" i="30"/>
  <c r="AN374" i="30" s="1"/>
  <c r="AL375" i="30"/>
  <c r="AN375" i="30" s="1"/>
  <c r="AL376" i="30"/>
  <c r="AN376" i="30" s="1"/>
  <c r="AL377" i="30"/>
  <c r="AN377" i="30" s="1"/>
  <c r="AL378" i="30"/>
  <c r="AN378" i="30" s="1"/>
  <c r="AL379" i="30"/>
  <c r="AN379" i="30" s="1"/>
  <c r="AL380" i="30"/>
  <c r="AN380" i="30" s="1"/>
  <c r="AL381" i="30"/>
  <c r="AN381" i="30" s="1"/>
  <c r="AL382" i="30"/>
  <c r="AN382" i="30" s="1"/>
  <c r="AL383" i="30"/>
  <c r="AN383" i="30" s="1"/>
  <c r="AL384" i="30"/>
  <c r="AN384" i="30" s="1"/>
  <c r="AL385" i="30"/>
  <c r="AN385" i="30" s="1"/>
  <c r="AL386" i="30"/>
  <c r="AN386" i="30" s="1"/>
  <c r="AL387" i="30"/>
  <c r="AN387" i="30" s="1"/>
  <c r="AL388" i="30"/>
  <c r="AN388" i="30" s="1"/>
  <c r="AL389" i="30"/>
  <c r="AN389" i="30" s="1"/>
  <c r="AL390" i="30"/>
  <c r="AN390" i="30" s="1"/>
  <c r="AL391" i="30"/>
  <c r="AN391" i="30" s="1"/>
  <c r="AL392" i="30"/>
  <c r="AN392" i="30" s="1"/>
  <c r="AL393" i="30"/>
  <c r="AN393" i="30" s="1"/>
  <c r="AL394" i="30"/>
  <c r="AN394" i="30" s="1"/>
  <c r="AL395" i="30"/>
  <c r="AN395" i="30" s="1"/>
  <c r="AL396" i="30"/>
  <c r="AN396" i="30" s="1"/>
  <c r="AL397" i="30"/>
  <c r="AN397" i="30" s="1"/>
  <c r="AL398" i="30"/>
  <c r="AN398" i="30" s="1"/>
  <c r="AL399" i="30"/>
  <c r="AN399" i="30" s="1"/>
  <c r="AL400" i="30"/>
  <c r="AN400" i="30" s="1"/>
  <c r="AH4" i="30"/>
  <c r="AH5" i="30"/>
  <c r="AH6" i="30"/>
  <c r="AJ6" i="30" s="1"/>
  <c r="AH7" i="30"/>
  <c r="AJ7" i="30" s="1"/>
  <c r="AH8" i="30"/>
  <c r="AJ8" i="30" s="1"/>
  <c r="AH9" i="30"/>
  <c r="AJ9" i="30" s="1"/>
  <c r="AH10" i="30"/>
  <c r="AJ10" i="30" s="1"/>
  <c r="AH11" i="30"/>
  <c r="AH12" i="30"/>
  <c r="AH13" i="30"/>
  <c r="AJ13" i="30" s="1"/>
  <c r="AH14" i="30"/>
  <c r="AJ14" i="30" s="1"/>
  <c r="AH15" i="30"/>
  <c r="AJ15" i="30" s="1"/>
  <c r="AH16" i="30"/>
  <c r="AH17" i="30"/>
  <c r="AJ17" i="30" s="1"/>
  <c r="AH18" i="30"/>
  <c r="AJ18" i="30" s="1"/>
  <c r="AH19" i="30"/>
  <c r="AJ19" i="30" s="1"/>
  <c r="AH20" i="30"/>
  <c r="AJ20" i="30" s="1"/>
  <c r="AH21" i="30"/>
  <c r="AJ21" i="30" s="1"/>
  <c r="AH22" i="30"/>
  <c r="AH23" i="30"/>
  <c r="AH24" i="30"/>
  <c r="AH25" i="30"/>
  <c r="AH26" i="30"/>
  <c r="AH27" i="30"/>
  <c r="AH28" i="30"/>
  <c r="AJ28" i="30" s="1"/>
  <c r="AH29" i="30"/>
  <c r="AJ29" i="30" s="1"/>
  <c r="AH30" i="30"/>
  <c r="AJ30" i="30" s="1"/>
  <c r="AH31" i="30"/>
  <c r="AJ31" i="30" s="1"/>
  <c r="AH32" i="30"/>
  <c r="AJ32" i="30" s="1"/>
  <c r="AH33" i="30"/>
  <c r="AH34" i="30"/>
  <c r="AJ34" i="30" s="1"/>
  <c r="AH35" i="30"/>
  <c r="AJ35" i="30" s="1"/>
  <c r="AH36" i="30"/>
  <c r="AH37" i="30"/>
  <c r="AH38" i="30"/>
  <c r="AH39" i="30"/>
  <c r="AH40" i="30"/>
  <c r="AH41" i="30"/>
  <c r="AJ41" i="30" s="1"/>
  <c r="AH42" i="30"/>
  <c r="AJ42" i="30" s="1"/>
  <c r="AH43" i="30"/>
  <c r="AJ43" i="30" s="1"/>
  <c r="AH44" i="30"/>
  <c r="AJ44" i="30" s="1"/>
  <c r="AH45" i="30"/>
  <c r="AH46" i="30"/>
  <c r="AJ46" i="30" s="1"/>
  <c r="AH47" i="30"/>
  <c r="AH48" i="30"/>
  <c r="AJ48" i="30" s="1"/>
  <c r="AH49" i="30"/>
  <c r="AJ49" i="30" s="1"/>
  <c r="AH50" i="30"/>
  <c r="AJ50" i="30" s="1"/>
  <c r="AH51" i="30"/>
  <c r="AJ51" i="30" s="1"/>
  <c r="AH52" i="30"/>
  <c r="AJ52" i="30" s="1"/>
  <c r="AH53" i="30"/>
  <c r="AJ53" i="30" s="1"/>
  <c r="AH54" i="30"/>
  <c r="AJ54" i="30" s="1"/>
  <c r="AH55" i="30"/>
  <c r="AJ55" i="30" s="1"/>
  <c r="AH56" i="30"/>
  <c r="AJ56" i="30" s="1"/>
  <c r="AH57" i="30"/>
  <c r="AJ57" i="30" s="1"/>
  <c r="AH58" i="30"/>
  <c r="AJ58" i="30" s="1"/>
  <c r="AH59" i="30"/>
  <c r="AJ59" i="30" s="1"/>
  <c r="AH60" i="30"/>
  <c r="AJ60" i="30" s="1"/>
  <c r="AH61" i="30"/>
  <c r="AH62" i="30"/>
  <c r="AJ62" i="30" s="1"/>
  <c r="AH63" i="30"/>
  <c r="AJ63" i="30" s="1"/>
  <c r="AH64" i="30"/>
  <c r="AJ64" i="30" s="1"/>
  <c r="AH65" i="30"/>
  <c r="AH66" i="30"/>
  <c r="AH67" i="30"/>
  <c r="AH68" i="30"/>
  <c r="AH69" i="30"/>
  <c r="AH70" i="30"/>
  <c r="AH71" i="30"/>
  <c r="AJ71" i="30" s="1"/>
  <c r="AH72" i="30"/>
  <c r="AJ72" i="30" s="1"/>
  <c r="AH73" i="30"/>
  <c r="AJ73" i="30" s="1"/>
  <c r="AH74" i="30"/>
  <c r="AH75" i="30"/>
  <c r="AH76" i="30"/>
  <c r="AJ76" i="30" s="1"/>
  <c r="AH77" i="30"/>
  <c r="AJ77" i="30" s="1"/>
  <c r="AH78" i="30"/>
  <c r="AJ78" i="30" s="1"/>
  <c r="AH79" i="30"/>
  <c r="AJ79" i="30" s="1"/>
  <c r="AH80" i="30"/>
  <c r="AJ80" i="30" s="1"/>
  <c r="AH81" i="30"/>
  <c r="AH82" i="30"/>
  <c r="AH83" i="30"/>
  <c r="AJ83" i="30" s="1"/>
  <c r="AH84" i="30"/>
  <c r="AJ84" i="30" s="1"/>
  <c r="AH85" i="30"/>
  <c r="AJ85" i="30" s="1"/>
  <c r="AH86" i="30"/>
  <c r="AH87" i="30"/>
  <c r="AH88" i="30"/>
  <c r="AH89" i="30"/>
  <c r="AH90" i="30"/>
  <c r="AJ90" i="30" s="1"/>
  <c r="AH91" i="30"/>
  <c r="AJ91" i="30" s="1"/>
  <c r="AH92" i="30"/>
  <c r="AJ92" i="30" s="1"/>
  <c r="AH93" i="30"/>
  <c r="AJ93" i="30" s="1"/>
  <c r="AH94" i="30"/>
  <c r="AJ94" i="30" s="1"/>
  <c r="AH95" i="30"/>
  <c r="AJ95" i="30" s="1"/>
  <c r="AH96" i="30"/>
  <c r="AJ96" i="30" s="1"/>
  <c r="AH97" i="30"/>
  <c r="AJ97" i="30" s="1"/>
  <c r="AH98" i="30"/>
  <c r="AJ98" i="30" s="1"/>
  <c r="AH99" i="30"/>
  <c r="AJ99" i="30" s="1"/>
  <c r="AH100" i="30"/>
  <c r="AJ100" i="30" s="1"/>
  <c r="AH101" i="30"/>
  <c r="AJ101" i="30" s="1"/>
  <c r="AH102" i="30"/>
  <c r="AJ102" i="30" s="1"/>
  <c r="AH103" i="30"/>
  <c r="AJ103" i="30" s="1"/>
  <c r="AH104" i="30"/>
  <c r="AH105" i="30"/>
  <c r="AJ105" i="30" s="1"/>
  <c r="AH106" i="30"/>
  <c r="AJ106" i="30" s="1"/>
  <c r="AH107" i="30"/>
  <c r="AJ107" i="30" s="1"/>
  <c r="AH108" i="30"/>
  <c r="AJ108" i="30" s="1"/>
  <c r="AH109" i="30"/>
  <c r="AJ109" i="30" s="1"/>
  <c r="AH110" i="30"/>
  <c r="AJ110" i="30" s="1"/>
  <c r="AH111" i="30"/>
  <c r="AH112" i="30"/>
  <c r="AH113" i="30"/>
  <c r="AJ113" i="30" s="1"/>
  <c r="AH114" i="30"/>
  <c r="AJ114" i="30" s="1"/>
  <c r="AH115" i="30"/>
  <c r="AJ115" i="30" s="1"/>
  <c r="AH116" i="30"/>
  <c r="AH117" i="30"/>
  <c r="AH118" i="30"/>
  <c r="AJ118" i="30" s="1"/>
  <c r="AH119" i="30"/>
  <c r="AJ119" i="30" s="1"/>
  <c r="AH120" i="30"/>
  <c r="AJ120" i="30" s="1"/>
  <c r="AH121" i="30"/>
  <c r="AH122" i="30"/>
  <c r="AJ122" i="30" s="1"/>
  <c r="AH123" i="30"/>
  <c r="AJ123" i="30" s="1"/>
  <c r="AH124" i="30"/>
  <c r="AJ124" i="30" s="1"/>
  <c r="AH125" i="30"/>
  <c r="AJ125" i="30" s="1"/>
  <c r="AH126" i="30"/>
  <c r="AJ126" i="30" s="1"/>
  <c r="AH127" i="30"/>
  <c r="AJ127" i="30" s="1"/>
  <c r="AH128" i="30"/>
  <c r="AJ128" i="30" s="1"/>
  <c r="AH129" i="30"/>
  <c r="AH130" i="30"/>
  <c r="AH131" i="30"/>
  <c r="AH132" i="30"/>
  <c r="AH133" i="30"/>
  <c r="AH134" i="30"/>
  <c r="AJ134" i="30" s="1"/>
  <c r="AH135" i="30"/>
  <c r="AJ135" i="30" s="1"/>
  <c r="AH136" i="30"/>
  <c r="AJ136" i="30" s="1"/>
  <c r="AH137" i="30"/>
  <c r="AJ137" i="30" s="1"/>
  <c r="AH138" i="30"/>
  <c r="AH139" i="30"/>
  <c r="AJ139" i="30" s="1"/>
  <c r="AH140" i="30"/>
  <c r="AJ140" i="30" s="1"/>
  <c r="AH141" i="30"/>
  <c r="AJ141" i="30" s="1"/>
  <c r="AH142" i="30"/>
  <c r="AH143" i="30"/>
  <c r="AJ143" i="30" s="1"/>
  <c r="AH144" i="30"/>
  <c r="AJ144" i="30" s="1"/>
  <c r="AH145" i="30"/>
  <c r="AJ145" i="30" s="1"/>
  <c r="AH146" i="30"/>
  <c r="AJ146" i="30" s="1"/>
  <c r="AH147" i="30"/>
  <c r="AJ147" i="30" s="1"/>
  <c r="AH148" i="30"/>
  <c r="AH149" i="30"/>
  <c r="AJ149" i="30" s="1"/>
  <c r="AH150" i="30"/>
  <c r="AJ150" i="30" s="1"/>
  <c r="AH151" i="30"/>
  <c r="AH152" i="30"/>
  <c r="AJ152" i="30" s="1"/>
  <c r="AH153" i="30"/>
  <c r="AJ153" i="30" s="1"/>
  <c r="AH154" i="30"/>
  <c r="AJ154" i="30" s="1"/>
  <c r="AH155" i="30"/>
  <c r="AJ155" i="30" s="1"/>
  <c r="AH156" i="30"/>
  <c r="AJ156" i="30" s="1"/>
  <c r="AH157" i="30"/>
  <c r="AJ157" i="30" s="1"/>
  <c r="AH158" i="30"/>
  <c r="AJ158" i="30" s="1"/>
  <c r="AH159" i="30"/>
  <c r="AJ159" i="30" s="1"/>
  <c r="AH160" i="30"/>
  <c r="AJ160" i="30" s="1"/>
  <c r="AH161" i="30"/>
  <c r="AJ161" i="30" s="1"/>
  <c r="AH162" i="30"/>
  <c r="AJ162" i="30" s="1"/>
  <c r="AH163" i="30"/>
  <c r="AJ163" i="30" s="1"/>
  <c r="AH164" i="30"/>
  <c r="AJ164" i="30" s="1"/>
  <c r="AH165" i="30"/>
  <c r="AJ165" i="30" s="1"/>
  <c r="AH166" i="30"/>
  <c r="AJ166" i="30" s="1"/>
  <c r="AH167" i="30"/>
  <c r="AJ167" i="30" s="1"/>
  <c r="AH168" i="30"/>
  <c r="AJ168" i="30" s="1"/>
  <c r="AH169" i="30"/>
  <c r="AJ169" i="30" s="1"/>
  <c r="AH170" i="30"/>
  <c r="AJ170" i="30" s="1"/>
  <c r="AH171" i="30"/>
  <c r="AJ171" i="30" s="1"/>
  <c r="AH172" i="30"/>
  <c r="AJ172" i="30" s="1"/>
  <c r="AH173" i="30"/>
  <c r="AJ173" i="30" s="1"/>
  <c r="AH174" i="30"/>
  <c r="AJ174" i="30" s="1"/>
  <c r="AH175" i="30"/>
  <c r="AJ175" i="30" s="1"/>
  <c r="AH176" i="30"/>
  <c r="AJ176" i="30" s="1"/>
  <c r="AH177" i="30"/>
  <c r="AJ177" i="30" s="1"/>
  <c r="AH178" i="30"/>
  <c r="AJ178" i="30" s="1"/>
  <c r="AH179" i="30"/>
  <c r="AJ179" i="30" s="1"/>
  <c r="AH180" i="30"/>
  <c r="AJ180" i="30" s="1"/>
  <c r="AH181" i="30"/>
  <c r="AJ181" i="30" s="1"/>
  <c r="AH182" i="30"/>
  <c r="AJ182" i="30" s="1"/>
  <c r="AH183" i="30"/>
  <c r="AJ183" i="30" s="1"/>
  <c r="AH184" i="30"/>
  <c r="AJ184" i="30" s="1"/>
  <c r="AH185" i="30"/>
  <c r="AJ185" i="30" s="1"/>
  <c r="AH186" i="30"/>
  <c r="AJ186" i="30" s="1"/>
  <c r="AH187" i="30"/>
  <c r="AJ187" i="30" s="1"/>
  <c r="AH188" i="30"/>
  <c r="AJ188" i="30" s="1"/>
  <c r="AH189" i="30"/>
  <c r="AJ189" i="30" s="1"/>
  <c r="AH190" i="30"/>
  <c r="AJ190" i="30" s="1"/>
  <c r="AH191" i="30"/>
  <c r="AJ191" i="30" s="1"/>
  <c r="AH192" i="30"/>
  <c r="AJ192" i="30" s="1"/>
  <c r="AH193" i="30"/>
  <c r="AJ193" i="30" s="1"/>
  <c r="AH194" i="30"/>
  <c r="AJ194" i="30" s="1"/>
  <c r="AH195" i="30"/>
  <c r="AJ195" i="30" s="1"/>
  <c r="AH196" i="30"/>
  <c r="AJ196" i="30" s="1"/>
  <c r="AH197" i="30"/>
  <c r="AJ197" i="30" s="1"/>
  <c r="AH198" i="30"/>
  <c r="AJ198" i="30" s="1"/>
  <c r="AH199" i="30"/>
  <c r="AJ199" i="30" s="1"/>
  <c r="AH200" i="30"/>
  <c r="AJ200" i="30" s="1"/>
  <c r="AH201" i="30"/>
  <c r="AJ201" i="30" s="1"/>
  <c r="AH202" i="30"/>
  <c r="AJ202" i="30" s="1"/>
  <c r="AH203" i="30"/>
  <c r="AJ203" i="30" s="1"/>
  <c r="AH204" i="30"/>
  <c r="AJ204" i="30" s="1"/>
  <c r="AH205" i="30"/>
  <c r="AJ205" i="30" s="1"/>
  <c r="AH206" i="30"/>
  <c r="AJ206" i="30" s="1"/>
  <c r="AH207" i="30"/>
  <c r="AJ207" i="30" s="1"/>
  <c r="AH208" i="30"/>
  <c r="AJ208" i="30" s="1"/>
  <c r="AH209" i="30"/>
  <c r="AJ209" i="30" s="1"/>
  <c r="AH210" i="30"/>
  <c r="AJ210" i="30" s="1"/>
  <c r="AH211" i="30"/>
  <c r="AJ211" i="30" s="1"/>
  <c r="AH212" i="30"/>
  <c r="AJ212" i="30" s="1"/>
  <c r="AH213" i="30"/>
  <c r="AJ213" i="30" s="1"/>
  <c r="AH214" i="30"/>
  <c r="AJ214" i="30" s="1"/>
  <c r="AH215" i="30"/>
  <c r="AJ215" i="30" s="1"/>
  <c r="AH216" i="30"/>
  <c r="AJ216" i="30" s="1"/>
  <c r="AH217" i="30"/>
  <c r="AJ217" i="30" s="1"/>
  <c r="AH218" i="30"/>
  <c r="AJ218" i="30" s="1"/>
  <c r="AH219" i="30"/>
  <c r="AJ219" i="30" s="1"/>
  <c r="AH220" i="30"/>
  <c r="AJ220" i="30" s="1"/>
  <c r="AH221" i="30"/>
  <c r="AJ221" i="30" s="1"/>
  <c r="AH222" i="30"/>
  <c r="AJ222" i="30" s="1"/>
  <c r="AH223" i="30"/>
  <c r="AJ223" i="30" s="1"/>
  <c r="AH224" i="30"/>
  <c r="AJ224" i="30" s="1"/>
  <c r="AH225" i="30"/>
  <c r="AJ225" i="30" s="1"/>
  <c r="AH226" i="30"/>
  <c r="AJ226" i="30" s="1"/>
  <c r="AH227" i="30"/>
  <c r="AJ227" i="30" s="1"/>
  <c r="AH228" i="30"/>
  <c r="AJ228" i="30" s="1"/>
  <c r="AH229" i="30"/>
  <c r="AJ229" i="30" s="1"/>
  <c r="AH230" i="30"/>
  <c r="AJ230" i="30" s="1"/>
  <c r="AH231" i="30"/>
  <c r="AJ231" i="30" s="1"/>
  <c r="AH232" i="30"/>
  <c r="AJ232" i="30" s="1"/>
  <c r="AH233" i="30"/>
  <c r="AJ233" i="30" s="1"/>
  <c r="AH234" i="30"/>
  <c r="AJ234" i="30" s="1"/>
  <c r="AH235" i="30"/>
  <c r="AJ235" i="30" s="1"/>
  <c r="AH236" i="30"/>
  <c r="AJ236" i="30" s="1"/>
  <c r="AH237" i="30"/>
  <c r="AJ237" i="30" s="1"/>
  <c r="AH238" i="30"/>
  <c r="AJ238" i="30" s="1"/>
  <c r="AH239" i="30"/>
  <c r="AJ239" i="30" s="1"/>
  <c r="AH240" i="30"/>
  <c r="AJ240" i="30" s="1"/>
  <c r="AH241" i="30"/>
  <c r="AJ241" i="30" s="1"/>
  <c r="AH242" i="30"/>
  <c r="AJ242" i="30" s="1"/>
  <c r="AH243" i="30"/>
  <c r="AJ243" i="30" s="1"/>
  <c r="AH244" i="30"/>
  <c r="AJ244" i="30" s="1"/>
  <c r="AH245" i="30"/>
  <c r="AJ245" i="30" s="1"/>
  <c r="AH246" i="30"/>
  <c r="AJ246" i="30" s="1"/>
  <c r="AH247" i="30"/>
  <c r="AJ247" i="30" s="1"/>
  <c r="AH248" i="30"/>
  <c r="AJ248" i="30" s="1"/>
  <c r="AH249" i="30"/>
  <c r="AJ249" i="30" s="1"/>
  <c r="AH250" i="30"/>
  <c r="AJ250" i="30" s="1"/>
  <c r="AH251" i="30"/>
  <c r="AJ251" i="30" s="1"/>
  <c r="AH252" i="30"/>
  <c r="AJ252" i="30" s="1"/>
  <c r="AH253" i="30"/>
  <c r="AJ253" i="30" s="1"/>
  <c r="AH254" i="30"/>
  <c r="AJ254" i="30" s="1"/>
  <c r="AH255" i="30"/>
  <c r="AJ255" i="30" s="1"/>
  <c r="AH256" i="30"/>
  <c r="AJ256" i="30" s="1"/>
  <c r="AH257" i="30"/>
  <c r="AJ257" i="30" s="1"/>
  <c r="AH258" i="30"/>
  <c r="AJ258" i="30" s="1"/>
  <c r="AH259" i="30"/>
  <c r="AJ259" i="30" s="1"/>
  <c r="AH260" i="30"/>
  <c r="AJ260" i="30" s="1"/>
  <c r="AH261" i="30"/>
  <c r="AJ261" i="30" s="1"/>
  <c r="AH262" i="30"/>
  <c r="AJ262" i="30" s="1"/>
  <c r="AH263" i="30"/>
  <c r="AJ263" i="30" s="1"/>
  <c r="AH264" i="30"/>
  <c r="AJ264" i="30" s="1"/>
  <c r="AH265" i="30"/>
  <c r="AJ265" i="30" s="1"/>
  <c r="AH266" i="30"/>
  <c r="AJ266" i="30" s="1"/>
  <c r="AH267" i="30"/>
  <c r="AJ267" i="30" s="1"/>
  <c r="AH268" i="30"/>
  <c r="AJ268" i="30" s="1"/>
  <c r="AH269" i="30"/>
  <c r="AJ269" i="30" s="1"/>
  <c r="AH270" i="30"/>
  <c r="AJ270" i="30" s="1"/>
  <c r="AH271" i="30"/>
  <c r="AJ271" i="30" s="1"/>
  <c r="AH272" i="30"/>
  <c r="AJ272" i="30" s="1"/>
  <c r="AH273" i="30"/>
  <c r="AJ273" i="30" s="1"/>
  <c r="AH274" i="30"/>
  <c r="AJ274" i="30" s="1"/>
  <c r="AH275" i="30"/>
  <c r="AJ275" i="30" s="1"/>
  <c r="AH276" i="30"/>
  <c r="AJ276" i="30" s="1"/>
  <c r="AH277" i="30"/>
  <c r="AJ277" i="30" s="1"/>
  <c r="AH278" i="30"/>
  <c r="AJ278" i="30" s="1"/>
  <c r="AH279" i="30"/>
  <c r="AJ279" i="30" s="1"/>
  <c r="AH280" i="30"/>
  <c r="AJ280" i="30" s="1"/>
  <c r="AH281" i="30"/>
  <c r="AJ281" i="30" s="1"/>
  <c r="AH282" i="30"/>
  <c r="AJ282" i="30" s="1"/>
  <c r="AH283" i="30"/>
  <c r="AJ283" i="30" s="1"/>
  <c r="AH284" i="30"/>
  <c r="AJ284" i="30" s="1"/>
  <c r="AH285" i="30"/>
  <c r="AJ285" i="30" s="1"/>
  <c r="AH286" i="30"/>
  <c r="AJ286" i="30" s="1"/>
  <c r="AH287" i="30"/>
  <c r="AJ287" i="30" s="1"/>
  <c r="AH288" i="30"/>
  <c r="AJ288" i="30" s="1"/>
  <c r="AH289" i="30"/>
  <c r="AJ289" i="30" s="1"/>
  <c r="AH290" i="30"/>
  <c r="AJ290" i="30" s="1"/>
  <c r="AH291" i="30"/>
  <c r="AJ291" i="30" s="1"/>
  <c r="AH292" i="30"/>
  <c r="AJ292" i="30" s="1"/>
  <c r="AH293" i="30"/>
  <c r="AJ293" i="30" s="1"/>
  <c r="AH294" i="30"/>
  <c r="AJ294" i="30" s="1"/>
  <c r="AH295" i="30"/>
  <c r="AJ295" i="30" s="1"/>
  <c r="AH296" i="30"/>
  <c r="AJ296" i="30" s="1"/>
  <c r="AH297" i="30"/>
  <c r="AJ297" i="30" s="1"/>
  <c r="AH298" i="30"/>
  <c r="AJ298" i="30" s="1"/>
  <c r="AH299" i="30"/>
  <c r="AJ299" i="30" s="1"/>
  <c r="AH300" i="30"/>
  <c r="AJ300" i="30" s="1"/>
  <c r="AH301" i="30"/>
  <c r="AJ301" i="30" s="1"/>
  <c r="AH302" i="30"/>
  <c r="AJ302" i="30" s="1"/>
  <c r="AH303" i="30"/>
  <c r="AJ303" i="30" s="1"/>
  <c r="AH304" i="30"/>
  <c r="AJ304" i="30" s="1"/>
  <c r="AH305" i="30"/>
  <c r="AJ305" i="30" s="1"/>
  <c r="AH306" i="30"/>
  <c r="AJ306" i="30" s="1"/>
  <c r="AH307" i="30"/>
  <c r="AJ307" i="30" s="1"/>
  <c r="AH308" i="30"/>
  <c r="AJ308" i="30" s="1"/>
  <c r="AH309" i="30"/>
  <c r="AJ309" i="30" s="1"/>
  <c r="AH310" i="30"/>
  <c r="AJ310" i="30" s="1"/>
  <c r="AH311" i="30"/>
  <c r="AJ311" i="30" s="1"/>
  <c r="AH312" i="30"/>
  <c r="AJ312" i="30" s="1"/>
  <c r="AH313" i="30"/>
  <c r="AJ313" i="30" s="1"/>
  <c r="AH314" i="30"/>
  <c r="AJ314" i="30" s="1"/>
  <c r="AH315" i="30"/>
  <c r="AJ315" i="30" s="1"/>
  <c r="AH316" i="30"/>
  <c r="AJ316" i="30" s="1"/>
  <c r="AH317" i="30"/>
  <c r="AJ317" i="30" s="1"/>
  <c r="AH318" i="30"/>
  <c r="AJ318" i="30" s="1"/>
  <c r="AH319" i="30"/>
  <c r="AJ319" i="30" s="1"/>
  <c r="AH320" i="30"/>
  <c r="AJ320" i="30" s="1"/>
  <c r="AH321" i="30"/>
  <c r="AJ321" i="30" s="1"/>
  <c r="AH322" i="30"/>
  <c r="AJ322" i="30" s="1"/>
  <c r="AH323" i="30"/>
  <c r="AJ323" i="30" s="1"/>
  <c r="AH324" i="30"/>
  <c r="AJ324" i="30" s="1"/>
  <c r="AH325" i="30"/>
  <c r="AJ325" i="30" s="1"/>
  <c r="AH326" i="30"/>
  <c r="AJ326" i="30" s="1"/>
  <c r="AH327" i="30"/>
  <c r="AJ327" i="30" s="1"/>
  <c r="AH328" i="30"/>
  <c r="AJ328" i="30" s="1"/>
  <c r="AH329" i="30"/>
  <c r="AJ329" i="30" s="1"/>
  <c r="AH330" i="30"/>
  <c r="AJ330" i="30" s="1"/>
  <c r="AH331" i="30"/>
  <c r="AJ331" i="30" s="1"/>
  <c r="AH332" i="30"/>
  <c r="AJ332" i="30" s="1"/>
  <c r="AH333" i="30"/>
  <c r="AJ333" i="30" s="1"/>
  <c r="AH334" i="30"/>
  <c r="AJ334" i="30" s="1"/>
  <c r="AH335" i="30"/>
  <c r="AJ335" i="30" s="1"/>
  <c r="AH336" i="30"/>
  <c r="AJ336" i="30" s="1"/>
  <c r="AH337" i="30"/>
  <c r="AJ337" i="30" s="1"/>
  <c r="AH338" i="30"/>
  <c r="AJ338" i="30" s="1"/>
  <c r="AH339" i="30"/>
  <c r="AJ339" i="30" s="1"/>
  <c r="AH340" i="30"/>
  <c r="AJ340" i="30" s="1"/>
  <c r="AH341" i="30"/>
  <c r="AJ341" i="30" s="1"/>
  <c r="AH342" i="30"/>
  <c r="AJ342" i="30" s="1"/>
  <c r="AH343" i="30"/>
  <c r="AJ343" i="30" s="1"/>
  <c r="AH344" i="30"/>
  <c r="AJ344" i="30" s="1"/>
  <c r="AH345" i="30"/>
  <c r="AJ345" i="30" s="1"/>
  <c r="AH346" i="30"/>
  <c r="AJ346" i="30" s="1"/>
  <c r="AH347" i="30"/>
  <c r="AJ347" i="30" s="1"/>
  <c r="AH348" i="30"/>
  <c r="AJ348" i="30" s="1"/>
  <c r="AH349" i="30"/>
  <c r="AJ349" i="30" s="1"/>
  <c r="AH350" i="30"/>
  <c r="AJ350" i="30" s="1"/>
  <c r="AH351" i="30"/>
  <c r="AJ351" i="30" s="1"/>
  <c r="AH352" i="30"/>
  <c r="AJ352" i="30" s="1"/>
  <c r="AH353" i="30"/>
  <c r="AJ353" i="30" s="1"/>
  <c r="AH354" i="30"/>
  <c r="AJ354" i="30" s="1"/>
  <c r="AH355" i="30"/>
  <c r="AJ355" i="30" s="1"/>
  <c r="AH356" i="30"/>
  <c r="AJ356" i="30" s="1"/>
  <c r="AH357" i="30"/>
  <c r="AJ357" i="30" s="1"/>
  <c r="AH358" i="30"/>
  <c r="AJ358" i="30" s="1"/>
  <c r="AH359" i="30"/>
  <c r="AJ359" i="30" s="1"/>
  <c r="AH360" i="30"/>
  <c r="AJ360" i="30" s="1"/>
  <c r="AH361" i="30"/>
  <c r="AJ361" i="30" s="1"/>
  <c r="AH362" i="30"/>
  <c r="AJ362" i="30" s="1"/>
  <c r="AH363" i="30"/>
  <c r="AJ363" i="30" s="1"/>
  <c r="AH364" i="30"/>
  <c r="AJ364" i="30" s="1"/>
  <c r="AH365" i="30"/>
  <c r="AJ365" i="30" s="1"/>
  <c r="AH366" i="30"/>
  <c r="AJ366" i="30" s="1"/>
  <c r="AH367" i="30"/>
  <c r="AJ367" i="30" s="1"/>
  <c r="AH368" i="30"/>
  <c r="AJ368" i="30" s="1"/>
  <c r="AH369" i="30"/>
  <c r="AJ369" i="30" s="1"/>
  <c r="AH370" i="30"/>
  <c r="AJ370" i="30" s="1"/>
  <c r="AH371" i="30"/>
  <c r="AJ371" i="30" s="1"/>
  <c r="AH372" i="30"/>
  <c r="AJ372" i="30" s="1"/>
  <c r="AH373" i="30"/>
  <c r="AJ373" i="30" s="1"/>
  <c r="AH374" i="30"/>
  <c r="AJ374" i="30" s="1"/>
  <c r="AH375" i="30"/>
  <c r="AJ375" i="30" s="1"/>
  <c r="AH376" i="30"/>
  <c r="AJ376" i="30" s="1"/>
  <c r="AH377" i="30"/>
  <c r="AJ377" i="30" s="1"/>
  <c r="AH378" i="30"/>
  <c r="AJ378" i="30" s="1"/>
  <c r="AH379" i="30"/>
  <c r="AJ379" i="30" s="1"/>
  <c r="AH380" i="30"/>
  <c r="AJ380" i="30" s="1"/>
  <c r="AH381" i="30"/>
  <c r="AJ381" i="30" s="1"/>
  <c r="AH382" i="30"/>
  <c r="AJ382" i="30" s="1"/>
  <c r="AH383" i="30"/>
  <c r="AJ383" i="30" s="1"/>
  <c r="AH384" i="30"/>
  <c r="AJ384" i="30" s="1"/>
  <c r="AH385" i="30"/>
  <c r="AJ385" i="30" s="1"/>
  <c r="AH386" i="30"/>
  <c r="AJ386" i="30" s="1"/>
  <c r="AH387" i="30"/>
  <c r="AJ387" i="30" s="1"/>
  <c r="AH388" i="30"/>
  <c r="AJ388" i="30" s="1"/>
  <c r="AH389" i="30"/>
  <c r="AJ389" i="30" s="1"/>
  <c r="AH390" i="30"/>
  <c r="AJ390" i="30" s="1"/>
  <c r="AH391" i="30"/>
  <c r="AJ391" i="30" s="1"/>
  <c r="AH392" i="30"/>
  <c r="AJ392" i="30" s="1"/>
  <c r="AH393" i="30"/>
  <c r="AJ393" i="30" s="1"/>
  <c r="AH394" i="30"/>
  <c r="AJ394" i="30" s="1"/>
  <c r="AH395" i="30"/>
  <c r="AJ395" i="30" s="1"/>
  <c r="AH396" i="30"/>
  <c r="AJ396" i="30" s="1"/>
  <c r="AH397" i="30"/>
  <c r="AJ397" i="30" s="1"/>
  <c r="AH398" i="30"/>
  <c r="AJ398" i="30" s="1"/>
  <c r="AH399" i="30"/>
  <c r="AJ399" i="30" s="1"/>
  <c r="AH400" i="30"/>
  <c r="AJ400" i="30" s="1"/>
  <c r="AD4" i="30"/>
  <c r="AD5" i="30"/>
  <c r="AD6" i="30"/>
  <c r="AF6" i="30" s="1"/>
  <c r="AD7" i="30"/>
  <c r="AF7" i="30" s="1"/>
  <c r="AD8" i="30"/>
  <c r="AF8" i="30" s="1"/>
  <c r="AD9" i="30"/>
  <c r="AF9" i="30" s="1"/>
  <c r="AD10" i="30"/>
  <c r="AF10" i="30" s="1"/>
  <c r="AD11" i="30"/>
  <c r="AD12" i="30"/>
  <c r="AD13" i="30"/>
  <c r="AF13" i="30" s="1"/>
  <c r="AD14" i="30"/>
  <c r="AF14" i="30" s="1"/>
  <c r="AD15" i="30"/>
  <c r="AF15" i="30" s="1"/>
  <c r="AD16" i="30"/>
  <c r="AD17" i="30"/>
  <c r="AF17" i="30" s="1"/>
  <c r="AD18" i="30"/>
  <c r="AF18" i="30" s="1"/>
  <c r="AD19" i="30"/>
  <c r="AF19" i="30" s="1"/>
  <c r="AD20" i="30"/>
  <c r="AF20" i="30" s="1"/>
  <c r="AD21" i="30"/>
  <c r="AF21" i="30" s="1"/>
  <c r="AD22" i="30"/>
  <c r="AD23" i="30"/>
  <c r="AD24" i="30"/>
  <c r="AD25" i="30"/>
  <c r="AD26" i="30"/>
  <c r="AD27" i="30"/>
  <c r="AD28" i="30"/>
  <c r="AF28" i="30" s="1"/>
  <c r="AD29" i="30"/>
  <c r="AF29" i="30" s="1"/>
  <c r="AD30" i="30"/>
  <c r="AF30" i="30" s="1"/>
  <c r="AD31" i="30"/>
  <c r="AF31" i="30" s="1"/>
  <c r="AD32" i="30"/>
  <c r="AF32" i="30" s="1"/>
  <c r="AD33" i="30"/>
  <c r="AD34" i="30"/>
  <c r="AF34" i="30" s="1"/>
  <c r="AD35" i="30"/>
  <c r="AF35" i="30" s="1"/>
  <c r="AD36" i="30"/>
  <c r="AD37" i="30"/>
  <c r="AD38" i="30"/>
  <c r="AD39" i="30"/>
  <c r="AD40" i="30"/>
  <c r="AD41" i="30"/>
  <c r="AF41" i="30" s="1"/>
  <c r="AD42" i="30"/>
  <c r="AF42" i="30" s="1"/>
  <c r="AD43" i="30"/>
  <c r="AF43" i="30" s="1"/>
  <c r="AD44" i="30"/>
  <c r="AF44" i="30" s="1"/>
  <c r="AD45" i="30"/>
  <c r="AD46" i="30"/>
  <c r="AF46" i="30" s="1"/>
  <c r="AD47" i="30"/>
  <c r="AD48" i="30"/>
  <c r="AF48" i="30" s="1"/>
  <c r="AD49" i="30"/>
  <c r="AF49" i="30" s="1"/>
  <c r="AD50" i="30"/>
  <c r="AF50" i="30" s="1"/>
  <c r="AD51" i="30"/>
  <c r="AF51" i="30" s="1"/>
  <c r="AD52" i="30"/>
  <c r="AF52" i="30" s="1"/>
  <c r="AD53" i="30"/>
  <c r="AF53" i="30" s="1"/>
  <c r="AD54" i="30"/>
  <c r="AF54" i="30" s="1"/>
  <c r="AD55" i="30"/>
  <c r="AF55" i="30" s="1"/>
  <c r="AD56" i="30"/>
  <c r="AF56" i="30" s="1"/>
  <c r="AD57" i="30"/>
  <c r="AF57" i="30" s="1"/>
  <c r="AD58" i="30"/>
  <c r="AF58" i="30" s="1"/>
  <c r="AD59" i="30"/>
  <c r="AF59" i="30" s="1"/>
  <c r="AD60" i="30"/>
  <c r="AF60" i="30" s="1"/>
  <c r="AD61" i="30"/>
  <c r="AD62" i="30"/>
  <c r="AF62" i="30" s="1"/>
  <c r="AD63" i="30"/>
  <c r="AF63" i="30" s="1"/>
  <c r="AD64" i="30"/>
  <c r="AF64" i="30" s="1"/>
  <c r="AD65" i="30"/>
  <c r="AD66" i="30"/>
  <c r="AD67" i="30"/>
  <c r="AD68" i="30"/>
  <c r="AD69" i="30"/>
  <c r="AD70" i="30"/>
  <c r="AD71" i="30"/>
  <c r="AF71" i="30" s="1"/>
  <c r="AD72" i="30"/>
  <c r="AF72" i="30" s="1"/>
  <c r="AD73" i="30"/>
  <c r="AF73" i="30" s="1"/>
  <c r="AD74" i="30"/>
  <c r="AD75" i="30"/>
  <c r="AD76" i="30"/>
  <c r="AF76" i="30" s="1"/>
  <c r="AD77" i="30"/>
  <c r="AF77" i="30" s="1"/>
  <c r="AD78" i="30"/>
  <c r="AF78" i="30" s="1"/>
  <c r="AD79" i="30"/>
  <c r="AF79" i="30" s="1"/>
  <c r="AD80" i="30"/>
  <c r="AF80" i="30" s="1"/>
  <c r="AD81" i="30"/>
  <c r="AD82" i="30"/>
  <c r="AD83" i="30"/>
  <c r="AF83" i="30" s="1"/>
  <c r="AD84" i="30"/>
  <c r="AF84" i="30" s="1"/>
  <c r="AD85" i="30"/>
  <c r="AF85" i="30" s="1"/>
  <c r="AD86" i="30"/>
  <c r="AD87" i="30"/>
  <c r="AD88" i="30"/>
  <c r="AD89" i="30"/>
  <c r="AD90" i="30"/>
  <c r="AF90" i="30" s="1"/>
  <c r="AD91" i="30"/>
  <c r="AF91" i="30" s="1"/>
  <c r="AD92" i="30"/>
  <c r="AF92" i="30" s="1"/>
  <c r="AD93" i="30"/>
  <c r="AF93" i="30" s="1"/>
  <c r="AD94" i="30"/>
  <c r="AF94" i="30" s="1"/>
  <c r="AD95" i="30"/>
  <c r="AF95" i="30" s="1"/>
  <c r="AD96" i="30"/>
  <c r="AF96" i="30" s="1"/>
  <c r="AD97" i="30"/>
  <c r="AF97" i="30" s="1"/>
  <c r="AD98" i="30"/>
  <c r="AF98" i="30" s="1"/>
  <c r="AD99" i="30"/>
  <c r="AF99" i="30" s="1"/>
  <c r="AD100" i="30"/>
  <c r="AF100" i="30" s="1"/>
  <c r="AD101" i="30"/>
  <c r="AF101" i="30" s="1"/>
  <c r="AD102" i="30"/>
  <c r="AF102" i="30" s="1"/>
  <c r="AD103" i="30"/>
  <c r="AF103" i="30" s="1"/>
  <c r="AD104" i="30"/>
  <c r="AD105" i="30"/>
  <c r="AF105" i="30" s="1"/>
  <c r="AD106" i="30"/>
  <c r="AF106" i="30" s="1"/>
  <c r="AD107" i="30"/>
  <c r="AF107" i="30" s="1"/>
  <c r="AD108" i="30"/>
  <c r="AF108" i="30" s="1"/>
  <c r="AD109" i="30"/>
  <c r="AF109" i="30" s="1"/>
  <c r="AD110" i="30"/>
  <c r="AF110" i="30" s="1"/>
  <c r="AD111" i="30"/>
  <c r="AD112" i="30"/>
  <c r="AD113" i="30"/>
  <c r="AF113" i="30" s="1"/>
  <c r="AD114" i="30"/>
  <c r="AF114" i="30" s="1"/>
  <c r="AD115" i="30"/>
  <c r="AF115" i="30" s="1"/>
  <c r="AD116" i="30"/>
  <c r="AD117" i="30"/>
  <c r="AD118" i="30"/>
  <c r="AF118" i="30" s="1"/>
  <c r="AD119" i="30"/>
  <c r="AF119" i="30" s="1"/>
  <c r="AD120" i="30"/>
  <c r="AF120" i="30" s="1"/>
  <c r="AD121" i="30"/>
  <c r="AD122" i="30"/>
  <c r="AF122" i="30" s="1"/>
  <c r="AD123" i="30"/>
  <c r="AF123" i="30" s="1"/>
  <c r="AD124" i="30"/>
  <c r="AF124" i="30" s="1"/>
  <c r="AD125" i="30"/>
  <c r="AF125" i="30" s="1"/>
  <c r="AD126" i="30"/>
  <c r="AF126" i="30" s="1"/>
  <c r="AD127" i="30"/>
  <c r="AF127" i="30" s="1"/>
  <c r="AD128" i="30"/>
  <c r="AF128" i="30" s="1"/>
  <c r="AD129" i="30"/>
  <c r="AD130" i="30"/>
  <c r="AD131" i="30"/>
  <c r="AD132" i="30"/>
  <c r="AD133" i="30"/>
  <c r="AD134" i="30"/>
  <c r="AF134" i="30" s="1"/>
  <c r="AD135" i="30"/>
  <c r="AF135" i="30" s="1"/>
  <c r="AD136" i="30"/>
  <c r="AF136" i="30" s="1"/>
  <c r="AD137" i="30"/>
  <c r="AF137" i="30" s="1"/>
  <c r="AD138" i="30"/>
  <c r="AD139" i="30"/>
  <c r="AF139" i="30" s="1"/>
  <c r="AD140" i="30"/>
  <c r="AF140" i="30" s="1"/>
  <c r="AD141" i="30"/>
  <c r="AF141" i="30" s="1"/>
  <c r="AD142" i="30"/>
  <c r="AD143" i="30"/>
  <c r="AF143" i="30" s="1"/>
  <c r="AD144" i="30"/>
  <c r="AF144" i="30" s="1"/>
  <c r="AD145" i="30"/>
  <c r="AF145" i="30" s="1"/>
  <c r="AD146" i="30"/>
  <c r="AF146" i="30" s="1"/>
  <c r="AD147" i="30"/>
  <c r="AF147" i="30" s="1"/>
  <c r="AD148" i="30"/>
  <c r="AD149" i="30"/>
  <c r="AF149" i="30" s="1"/>
  <c r="AD150" i="30"/>
  <c r="AF150" i="30" s="1"/>
  <c r="AD151" i="30"/>
  <c r="AD152" i="30"/>
  <c r="AF152" i="30" s="1"/>
  <c r="AD153" i="30"/>
  <c r="AF153" i="30" s="1"/>
  <c r="AD154" i="30"/>
  <c r="AF154" i="30" s="1"/>
  <c r="AD155" i="30"/>
  <c r="AF155" i="30" s="1"/>
  <c r="AD156" i="30"/>
  <c r="AF156" i="30" s="1"/>
  <c r="AD157" i="30"/>
  <c r="AF157" i="30" s="1"/>
  <c r="AD158" i="30"/>
  <c r="AF158" i="30" s="1"/>
  <c r="AD159" i="30"/>
  <c r="AF159" i="30" s="1"/>
  <c r="AD160" i="30"/>
  <c r="AF160" i="30" s="1"/>
  <c r="AD161" i="30"/>
  <c r="AF161" i="30" s="1"/>
  <c r="AD162" i="30"/>
  <c r="AF162" i="30" s="1"/>
  <c r="AD163" i="30"/>
  <c r="AF163" i="30" s="1"/>
  <c r="AD164" i="30"/>
  <c r="AF164" i="30" s="1"/>
  <c r="AD165" i="30"/>
  <c r="AF165" i="30" s="1"/>
  <c r="AD166" i="30"/>
  <c r="AF166" i="30" s="1"/>
  <c r="AD167" i="30"/>
  <c r="AF167" i="30" s="1"/>
  <c r="AD168" i="30"/>
  <c r="AF168" i="30" s="1"/>
  <c r="AD169" i="30"/>
  <c r="AF169" i="30" s="1"/>
  <c r="AD170" i="30"/>
  <c r="AF170" i="30" s="1"/>
  <c r="AD171" i="30"/>
  <c r="AF171" i="30" s="1"/>
  <c r="AD172" i="30"/>
  <c r="AF172" i="30" s="1"/>
  <c r="AD173" i="30"/>
  <c r="AF173" i="30" s="1"/>
  <c r="AD174" i="30"/>
  <c r="AF174" i="30" s="1"/>
  <c r="AD175" i="30"/>
  <c r="AF175" i="30" s="1"/>
  <c r="AD176" i="30"/>
  <c r="AF176" i="30" s="1"/>
  <c r="AD177" i="30"/>
  <c r="AF177" i="30" s="1"/>
  <c r="AD178" i="30"/>
  <c r="AF178" i="30" s="1"/>
  <c r="AD179" i="30"/>
  <c r="AF179" i="30" s="1"/>
  <c r="AD180" i="30"/>
  <c r="AF180" i="30" s="1"/>
  <c r="AD181" i="30"/>
  <c r="AF181" i="30" s="1"/>
  <c r="AD182" i="30"/>
  <c r="AF182" i="30" s="1"/>
  <c r="AD183" i="30"/>
  <c r="AF183" i="30" s="1"/>
  <c r="AD184" i="30"/>
  <c r="AF184" i="30" s="1"/>
  <c r="AD185" i="30"/>
  <c r="AF185" i="30" s="1"/>
  <c r="AD186" i="30"/>
  <c r="AF186" i="30" s="1"/>
  <c r="AD187" i="30"/>
  <c r="AF187" i="30" s="1"/>
  <c r="AD188" i="30"/>
  <c r="AF188" i="30" s="1"/>
  <c r="AD189" i="30"/>
  <c r="AF189" i="30" s="1"/>
  <c r="AD190" i="30"/>
  <c r="AF190" i="30" s="1"/>
  <c r="AD191" i="30"/>
  <c r="AF191" i="30" s="1"/>
  <c r="AD192" i="30"/>
  <c r="AF192" i="30" s="1"/>
  <c r="AD193" i="30"/>
  <c r="AF193" i="30" s="1"/>
  <c r="AD194" i="30"/>
  <c r="AF194" i="30" s="1"/>
  <c r="AD195" i="30"/>
  <c r="AF195" i="30" s="1"/>
  <c r="AD196" i="30"/>
  <c r="AF196" i="30" s="1"/>
  <c r="AD197" i="30"/>
  <c r="AF197" i="30" s="1"/>
  <c r="AD198" i="30"/>
  <c r="AF198" i="30" s="1"/>
  <c r="AD199" i="30"/>
  <c r="AF199" i="30" s="1"/>
  <c r="AD200" i="30"/>
  <c r="AF200" i="30" s="1"/>
  <c r="AD201" i="30"/>
  <c r="AF201" i="30" s="1"/>
  <c r="AD202" i="30"/>
  <c r="AF202" i="30" s="1"/>
  <c r="AD203" i="30"/>
  <c r="AF203" i="30" s="1"/>
  <c r="AD204" i="30"/>
  <c r="AF204" i="30" s="1"/>
  <c r="AD205" i="30"/>
  <c r="AF205" i="30" s="1"/>
  <c r="AD206" i="30"/>
  <c r="AF206" i="30" s="1"/>
  <c r="AD207" i="30"/>
  <c r="AF207" i="30" s="1"/>
  <c r="AD208" i="30"/>
  <c r="AF208" i="30" s="1"/>
  <c r="AD209" i="30"/>
  <c r="AF209" i="30" s="1"/>
  <c r="AD210" i="30"/>
  <c r="AF210" i="30" s="1"/>
  <c r="AD211" i="30"/>
  <c r="AF211" i="30" s="1"/>
  <c r="AD212" i="30"/>
  <c r="AF212" i="30" s="1"/>
  <c r="AD213" i="30"/>
  <c r="AF213" i="30" s="1"/>
  <c r="AD214" i="30"/>
  <c r="AF214" i="30" s="1"/>
  <c r="AD215" i="30"/>
  <c r="AF215" i="30" s="1"/>
  <c r="AD216" i="30"/>
  <c r="AF216" i="30" s="1"/>
  <c r="AD217" i="30"/>
  <c r="AF217" i="30" s="1"/>
  <c r="AD218" i="30"/>
  <c r="AF218" i="30" s="1"/>
  <c r="AD219" i="30"/>
  <c r="AF219" i="30" s="1"/>
  <c r="AD220" i="30"/>
  <c r="AF220" i="30" s="1"/>
  <c r="AD221" i="30"/>
  <c r="AF221" i="30" s="1"/>
  <c r="AD222" i="30"/>
  <c r="AF222" i="30" s="1"/>
  <c r="AD223" i="30"/>
  <c r="AF223" i="30" s="1"/>
  <c r="AD224" i="30"/>
  <c r="AF224" i="30" s="1"/>
  <c r="AD225" i="30"/>
  <c r="AF225" i="30" s="1"/>
  <c r="AD226" i="30"/>
  <c r="AF226" i="30" s="1"/>
  <c r="AD227" i="30"/>
  <c r="AF227" i="30" s="1"/>
  <c r="AD228" i="30"/>
  <c r="AF228" i="30" s="1"/>
  <c r="AD229" i="30"/>
  <c r="AF229" i="30" s="1"/>
  <c r="AD230" i="30"/>
  <c r="AF230" i="30" s="1"/>
  <c r="AD231" i="30"/>
  <c r="AF231" i="30" s="1"/>
  <c r="AD232" i="30"/>
  <c r="AF232" i="30" s="1"/>
  <c r="AD233" i="30"/>
  <c r="AF233" i="30" s="1"/>
  <c r="AD234" i="30"/>
  <c r="AF234" i="30" s="1"/>
  <c r="AD235" i="30"/>
  <c r="AF235" i="30" s="1"/>
  <c r="AD236" i="30"/>
  <c r="AF236" i="30" s="1"/>
  <c r="AD237" i="30"/>
  <c r="AF237" i="30" s="1"/>
  <c r="AD238" i="30"/>
  <c r="AF238" i="30" s="1"/>
  <c r="AD239" i="30"/>
  <c r="AF239" i="30" s="1"/>
  <c r="AD240" i="30"/>
  <c r="AF240" i="30" s="1"/>
  <c r="AD241" i="30"/>
  <c r="AF241" i="30" s="1"/>
  <c r="AD242" i="30"/>
  <c r="AF242" i="30" s="1"/>
  <c r="AD243" i="30"/>
  <c r="AF243" i="30" s="1"/>
  <c r="AD244" i="30"/>
  <c r="AF244" i="30" s="1"/>
  <c r="AD245" i="30"/>
  <c r="AF245" i="30" s="1"/>
  <c r="AD246" i="30"/>
  <c r="AF246" i="30" s="1"/>
  <c r="AD247" i="30"/>
  <c r="AF247" i="30" s="1"/>
  <c r="AD248" i="30"/>
  <c r="AF248" i="30" s="1"/>
  <c r="AD249" i="30"/>
  <c r="AF249" i="30" s="1"/>
  <c r="AD250" i="30"/>
  <c r="AF250" i="30" s="1"/>
  <c r="AD251" i="30"/>
  <c r="AF251" i="30" s="1"/>
  <c r="AD252" i="30"/>
  <c r="AF252" i="30" s="1"/>
  <c r="AD253" i="30"/>
  <c r="AF253" i="30" s="1"/>
  <c r="AD254" i="30"/>
  <c r="AF254" i="30" s="1"/>
  <c r="AD255" i="30"/>
  <c r="AF255" i="30" s="1"/>
  <c r="AD256" i="30"/>
  <c r="AF256" i="30" s="1"/>
  <c r="AD257" i="30"/>
  <c r="AF257" i="30" s="1"/>
  <c r="AD258" i="30"/>
  <c r="AF258" i="30" s="1"/>
  <c r="AD259" i="30"/>
  <c r="AF259" i="30" s="1"/>
  <c r="AD260" i="30"/>
  <c r="AF260" i="30" s="1"/>
  <c r="AD261" i="30"/>
  <c r="AF261" i="30" s="1"/>
  <c r="AD262" i="30"/>
  <c r="AF262" i="30" s="1"/>
  <c r="AD263" i="30"/>
  <c r="AF263" i="30" s="1"/>
  <c r="AD264" i="30"/>
  <c r="AF264" i="30" s="1"/>
  <c r="AD265" i="30"/>
  <c r="AF265" i="30" s="1"/>
  <c r="AD266" i="30"/>
  <c r="AF266" i="30" s="1"/>
  <c r="AD267" i="30"/>
  <c r="AF267" i="30" s="1"/>
  <c r="AD268" i="30"/>
  <c r="AF268" i="30" s="1"/>
  <c r="AD269" i="30"/>
  <c r="AF269" i="30" s="1"/>
  <c r="AD270" i="30"/>
  <c r="AF270" i="30" s="1"/>
  <c r="AD271" i="30"/>
  <c r="AF271" i="30" s="1"/>
  <c r="AD272" i="30"/>
  <c r="AF272" i="30" s="1"/>
  <c r="AD273" i="30"/>
  <c r="AF273" i="30" s="1"/>
  <c r="AD274" i="30"/>
  <c r="AF274" i="30" s="1"/>
  <c r="AD275" i="30"/>
  <c r="AF275" i="30" s="1"/>
  <c r="AD276" i="30"/>
  <c r="AF276" i="30" s="1"/>
  <c r="AD277" i="30"/>
  <c r="AF277" i="30" s="1"/>
  <c r="AD278" i="30"/>
  <c r="AF278" i="30" s="1"/>
  <c r="AD279" i="30"/>
  <c r="AF279" i="30" s="1"/>
  <c r="AD280" i="30"/>
  <c r="AF280" i="30" s="1"/>
  <c r="AD281" i="30"/>
  <c r="AF281" i="30" s="1"/>
  <c r="AD282" i="30"/>
  <c r="AF282" i="30" s="1"/>
  <c r="AD283" i="30"/>
  <c r="AF283" i="30" s="1"/>
  <c r="AD284" i="30"/>
  <c r="AF284" i="30" s="1"/>
  <c r="AD285" i="30"/>
  <c r="AF285" i="30" s="1"/>
  <c r="AD286" i="30"/>
  <c r="AF286" i="30" s="1"/>
  <c r="AD287" i="30"/>
  <c r="AF287" i="30" s="1"/>
  <c r="AD288" i="30"/>
  <c r="AF288" i="30" s="1"/>
  <c r="AD289" i="30"/>
  <c r="AF289" i="30" s="1"/>
  <c r="AD290" i="30"/>
  <c r="AF290" i="30" s="1"/>
  <c r="AD291" i="30"/>
  <c r="AF291" i="30" s="1"/>
  <c r="AD292" i="30"/>
  <c r="AF292" i="30" s="1"/>
  <c r="AD293" i="30"/>
  <c r="AF293" i="30" s="1"/>
  <c r="AD294" i="30"/>
  <c r="AF294" i="30" s="1"/>
  <c r="AD295" i="30"/>
  <c r="AF295" i="30" s="1"/>
  <c r="AD296" i="30"/>
  <c r="AF296" i="30" s="1"/>
  <c r="AD297" i="30"/>
  <c r="AF297" i="30" s="1"/>
  <c r="AD298" i="30"/>
  <c r="AF298" i="30" s="1"/>
  <c r="AD299" i="30"/>
  <c r="AF299" i="30" s="1"/>
  <c r="AD300" i="30"/>
  <c r="AF300" i="30" s="1"/>
  <c r="AD301" i="30"/>
  <c r="AF301" i="30" s="1"/>
  <c r="AD302" i="30"/>
  <c r="AF302" i="30" s="1"/>
  <c r="AD303" i="30"/>
  <c r="AF303" i="30" s="1"/>
  <c r="AD304" i="30"/>
  <c r="AF304" i="30" s="1"/>
  <c r="AD305" i="30"/>
  <c r="AF305" i="30" s="1"/>
  <c r="AD306" i="30"/>
  <c r="AF306" i="30" s="1"/>
  <c r="AD307" i="30"/>
  <c r="AF307" i="30" s="1"/>
  <c r="AD308" i="30"/>
  <c r="AF308" i="30" s="1"/>
  <c r="AD309" i="30"/>
  <c r="AF309" i="30" s="1"/>
  <c r="AD310" i="30"/>
  <c r="AF310" i="30" s="1"/>
  <c r="AD311" i="30"/>
  <c r="AF311" i="30" s="1"/>
  <c r="AD312" i="30"/>
  <c r="AF312" i="30" s="1"/>
  <c r="AD313" i="30"/>
  <c r="AF313" i="30" s="1"/>
  <c r="AD314" i="30"/>
  <c r="AF314" i="30" s="1"/>
  <c r="AD315" i="30"/>
  <c r="AF315" i="30" s="1"/>
  <c r="AD316" i="30"/>
  <c r="AF316" i="30" s="1"/>
  <c r="AD317" i="30"/>
  <c r="AF317" i="30" s="1"/>
  <c r="AD318" i="30"/>
  <c r="AF318" i="30" s="1"/>
  <c r="AD319" i="30"/>
  <c r="AF319" i="30" s="1"/>
  <c r="AD320" i="30"/>
  <c r="AF320" i="30" s="1"/>
  <c r="AD321" i="30"/>
  <c r="AF321" i="30" s="1"/>
  <c r="AD322" i="30"/>
  <c r="AF322" i="30" s="1"/>
  <c r="AD323" i="30"/>
  <c r="AF323" i="30" s="1"/>
  <c r="AD324" i="30"/>
  <c r="AF324" i="30" s="1"/>
  <c r="AD325" i="30"/>
  <c r="AF325" i="30" s="1"/>
  <c r="AD326" i="30"/>
  <c r="AF326" i="30" s="1"/>
  <c r="AD327" i="30"/>
  <c r="AF327" i="30" s="1"/>
  <c r="AD328" i="30"/>
  <c r="AF328" i="30" s="1"/>
  <c r="AD329" i="30"/>
  <c r="AF329" i="30" s="1"/>
  <c r="AD330" i="30"/>
  <c r="AF330" i="30" s="1"/>
  <c r="AD331" i="30"/>
  <c r="AF331" i="30" s="1"/>
  <c r="AD332" i="30"/>
  <c r="AF332" i="30" s="1"/>
  <c r="AD333" i="30"/>
  <c r="AF333" i="30" s="1"/>
  <c r="AD334" i="30"/>
  <c r="AF334" i="30" s="1"/>
  <c r="AD335" i="30"/>
  <c r="AF335" i="30" s="1"/>
  <c r="AD336" i="30"/>
  <c r="AF336" i="30" s="1"/>
  <c r="AD337" i="30"/>
  <c r="AF337" i="30" s="1"/>
  <c r="AD338" i="30"/>
  <c r="AF338" i="30" s="1"/>
  <c r="AD339" i="30"/>
  <c r="AF339" i="30" s="1"/>
  <c r="AD340" i="30"/>
  <c r="AF340" i="30" s="1"/>
  <c r="AD341" i="30"/>
  <c r="AF341" i="30" s="1"/>
  <c r="AD342" i="30"/>
  <c r="AF342" i="30" s="1"/>
  <c r="AD343" i="30"/>
  <c r="AF343" i="30" s="1"/>
  <c r="AD344" i="30"/>
  <c r="AF344" i="30" s="1"/>
  <c r="AD345" i="30"/>
  <c r="AF345" i="30" s="1"/>
  <c r="AD346" i="30"/>
  <c r="AF346" i="30" s="1"/>
  <c r="AD347" i="30"/>
  <c r="AF347" i="30" s="1"/>
  <c r="AD348" i="30"/>
  <c r="AF348" i="30" s="1"/>
  <c r="AD349" i="30"/>
  <c r="AF349" i="30" s="1"/>
  <c r="AD350" i="30"/>
  <c r="AF350" i="30" s="1"/>
  <c r="AD351" i="30"/>
  <c r="AF351" i="30" s="1"/>
  <c r="AD352" i="30"/>
  <c r="AF352" i="30" s="1"/>
  <c r="AD353" i="30"/>
  <c r="AF353" i="30" s="1"/>
  <c r="AD354" i="30"/>
  <c r="AF354" i="30" s="1"/>
  <c r="AD355" i="30"/>
  <c r="AF355" i="30" s="1"/>
  <c r="AD356" i="30"/>
  <c r="AF356" i="30" s="1"/>
  <c r="AD357" i="30"/>
  <c r="AF357" i="30" s="1"/>
  <c r="AD358" i="30"/>
  <c r="AF358" i="30" s="1"/>
  <c r="AD359" i="30"/>
  <c r="AF359" i="30" s="1"/>
  <c r="AD360" i="30"/>
  <c r="AF360" i="30" s="1"/>
  <c r="AD361" i="30"/>
  <c r="AF361" i="30" s="1"/>
  <c r="AD362" i="30"/>
  <c r="AF362" i="30" s="1"/>
  <c r="AD363" i="30"/>
  <c r="AF363" i="30" s="1"/>
  <c r="AD364" i="30"/>
  <c r="AF364" i="30" s="1"/>
  <c r="AD365" i="30"/>
  <c r="AF365" i="30" s="1"/>
  <c r="AD366" i="30"/>
  <c r="AF366" i="30" s="1"/>
  <c r="AD367" i="30"/>
  <c r="AF367" i="30" s="1"/>
  <c r="AD368" i="30"/>
  <c r="AF368" i="30" s="1"/>
  <c r="AD369" i="30"/>
  <c r="AF369" i="30" s="1"/>
  <c r="AD370" i="30"/>
  <c r="AF370" i="30" s="1"/>
  <c r="AD371" i="30"/>
  <c r="AF371" i="30" s="1"/>
  <c r="AD372" i="30"/>
  <c r="AF372" i="30" s="1"/>
  <c r="AD373" i="30"/>
  <c r="AF373" i="30" s="1"/>
  <c r="AD374" i="30"/>
  <c r="AF374" i="30" s="1"/>
  <c r="AD375" i="30"/>
  <c r="AF375" i="30" s="1"/>
  <c r="AD376" i="30"/>
  <c r="AF376" i="30" s="1"/>
  <c r="AD377" i="30"/>
  <c r="AF377" i="30" s="1"/>
  <c r="AD378" i="30"/>
  <c r="AF378" i="30" s="1"/>
  <c r="AD379" i="30"/>
  <c r="AF379" i="30" s="1"/>
  <c r="AD380" i="30"/>
  <c r="AF380" i="30" s="1"/>
  <c r="AD381" i="30"/>
  <c r="AF381" i="30" s="1"/>
  <c r="AD382" i="30"/>
  <c r="AF382" i="30" s="1"/>
  <c r="AD383" i="30"/>
  <c r="AF383" i="30" s="1"/>
  <c r="AD384" i="30"/>
  <c r="AF384" i="30" s="1"/>
  <c r="AD385" i="30"/>
  <c r="AF385" i="30" s="1"/>
  <c r="AD386" i="30"/>
  <c r="AF386" i="30" s="1"/>
  <c r="AD387" i="30"/>
  <c r="AF387" i="30" s="1"/>
  <c r="AD388" i="30"/>
  <c r="AF388" i="30" s="1"/>
  <c r="AD389" i="30"/>
  <c r="AF389" i="30" s="1"/>
  <c r="AD390" i="30"/>
  <c r="AF390" i="30" s="1"/>
  <c r="AD391" i="30"/>
  <c r="AF391" i="30" s="1"/>
  <c r="AD392" i="30"/>
  <c r="AF392" i="30" s="1"/>
  <c r="AD393" i="30"/>
  <c r="AF393" i="30" s="1"/>
  <c r="AD394" i="30"/>
  <c r="AF394" i="30" s="1"/>
  <c r="AD395" i="30"/>
  <c r="AF395" i="30" s="1"/>
  <c r="AD396" i="30"/>
  <c r="AF396" i="30" s="1"/>
  <c r="AD397" i="30"/>
  <c r="AF397" i="30" s="1"/>
  <c r="AD398" i="30"/>
  <c r="AF398" i="30" s="1"/>
  <c r="AD399" i="30"/>
  <c r="AF399" i="30" s="1"/>
  <c r="AD400" i="30"/>
  <c r="AF400" i="30" s="1"/>
  <c r="Z4" i="30"/>
  <c r="Z5" i="30"/>
  <c r="Z6" i="30"/>
  <c r="AB6" i="30" s="1"/>
  <c r="Z7" i="30"/>
  <c r="AB7" i="30" s="1"/>
  <c r="Z8" i="30"/>
  <c r="AB8" i="30" s="1"/>
  <c r="Z9" i="30"/>
  <c r="AB9" i="30" s="1"/>
  <c r="Z10" i="30"/>
  <c r="AB10" i="30" s="1"/>
  <c r="Z11" i="30"/>
  <c r="Z12" i="30"/>
  <c r="Z13" i="30"/>
  <c r="AB13" i="30" s="1"/>
  <c r="Z14" i="30"/>
  <c r="AB14" i="30" s="1"/>
  <c r="Z15" i="30"/>
  <c r="AB15" i="30" s="1"/>
  <c r="Z16" i="30"/>
  <c r="Z17" i="30"/>
  <c r="AB17" i="30" s="1"/>
  <c r="Z18" i="30"/>
  <c r="AB18" i="30" s="1"/>
  <c r="Z19" i="30"/>
  <c r="AB19" i="30" s="1"/>
  <c r="Z20" i="30"/>
  <c r="AB20" i="30" s="1"/>
  <c r="Z21" i="30"/>
  <c r="AB21" i="30" s="1"/>
  <c r="Z22" i="30"/>
  <c r="Z23" i="30"/>
  <c r="Z24" i="30"/>
  <c r="Z25" i="30"/>
  <c r="Z26" i="30"/>
  <c r="Z27" i="30"/>
  <c r="Z28" i="30"/>
  <c r="AB28" i="30" s="1"/>
  <c r="Z29" i="30"/>
  <c r="AB29" i="30" s="1"/>
  <c r="Z30" i="30"/>
  <c r="AB30" i="30" s="1"/>
  <c r="Z31" i="30"/>
  <c r="AB31" i="30" s="1"/>
  <c r="Z32" i="30"/>
  <c r="AB32" i="30" s="1"/>
  <c r="Z33" i="30"/>
  <c r="Z34" i="30"/>
  <c r="AB34" i="30" s="1"/>
  <c r="Z35" i="30"/>
  <c r="AB35" i="30" s="1"/>
  <c r="Z36" i="30"/>
  <c r="Z37" i="30"/>
  <c r="Z38" i="30"/>
  <c r="Z39" i="30"/>
  <c r="Z40" i="30"/>
  <c r="Z41" i="30"/>
  <c r="AB41" i="30" s="1"/>
  <c r="Z42" i="30"/>
  <c r="AB42" i="30" s="1"/>
  <c r="Z43" i="30"/>
  <c r="AB43" i="30" s="1"/>
  <c r="Z44" i="30"/>
  <c r="AB44" i="30" s="1"/>
  <c r="Z45" i="30"/>
  <c r="Z46" i="30"/>
  <c r="AB46" i="30" s="1"/>
  <c r="Z47" i="30"/>
  <c r="Z48" i="30"/>
  <c r="AB48" i="30" s="1"/>
  <c r="Z49" i="30"/>
  <c r="AB49" i="30" s="1"/>
  <c r="Z50" i="30"/>
  <c r="AB50" i="30" s="1"/>
  <c r="Z51" i="30"/>
  <c r="AB51" i="30" s="1"/>
  <c r="Z52" i="30"/>
  <c r="AB52" i="30" s="1"/>
  <c r="Z53" i="30"/>
  <c r="AB53" i="30" s="1"/>
  <c r="Z54" i="30"/>
  <c r="AB54" i="30" s="1"/>
  <c r="Z55" i="30"/>
  <c r="AB55" i="30" s="1"/>
  <c r="Z56" i="30"/>
  <c r="AB56" i="30" s="1"/>
  <c r="Z57" i="30"/>
  <c r="AB57" i="30" s="1"/>
  <c r="Z58" i="30"/>
  <c r="AB58" i="30" s="1"/>
  <c r="Z59" i="30"/>
  <c r="AB59" i="30" s="1"/>
  <c r="Z60" i="30"/>
  <c r="AB60" i="30" s="1"/>
  <c r="Z61" i="30"/>
  <c r="Z62" i="30"/>
  <c r="AB62" i="30" s="1"/>
  <c r="Z63" i="30"/>
  <c r="AB63" i="30" s="1"/>
  <c r="Z64" i="30"/>
  <c r="AB64" i="30" s="1"/>
  <c r="Z65" i="30"/>
  <c r="Z66" i="30"/>
  <c r="Z67" i="30"/>
  <c r="Z68" i="30"/>
  <c r="Z69" i="30"/>
  <c r="Z70" i="30"/>
  <c r="Z71" i="30"/>
  <c r="AB71" i="30" s="1"/>
  <c r="Z72" i="30"/>
  <c r="AB72" i="30" s="1"/>
  <c r="Z73" i="30"/>
  <c r="AB73" i="30" s="1"/>
  <c r="Z74" i="30"/>
  <c r="Z75" i="30"/>
  <c r="Z76" i="30"/>
  <c r="AB76" i="30" s="1"/>
  <c r="Z77" i="30"/>
  <c r="AB77" i="30" s="1"/>
  <c r="Z78" i="30"/>
  <c r="AB78" i="30" s="1"/>
  <c r="Z79" i="30"/>
  <c r="AB79" i="30" s="1"/>
  <c r="Z80" i="30"/>
  <c r="AB80" i="30" s="1"/>
  <c r="Z81" i="30"/>
  <c r="Z82" i="30"/>
  <c r="Z83" i="30"/>
  <c r="AB83" i="30" s="1"/>
  <c r="Z84" i="30"/>
  <c r="AB84" i="30" s="1"/>
  <c r="Z85" i="30"/>
  <c r="AB85" i="30" s="1"/>
  <c r="Z86" i="30"/>
  <c r="Z87" i="30"/>
  <c r="Z88" i="30"/>
  <c r="Z89" i="30"/>
  <c r="Z90" i="30"/>
  <c r="AB90" i="30" s="1"/>
  <c r="Z91" i="30"/>
  <c r="AB91" i="30" s="1"/>
  <c r="Z92" i="30"/>
  <c r="AB92" i="30" s="1"/>
  <c r="Z93" i="30"/>
  <c r="AB93" i="30" s="1"/>
  <c r="Z94" i="30"/>
  <c r="AB94" i="30" s="1"/>
  <c r="Z95" i="30"/>
  <c r="AB95" i="30" s="1"/>
  <c r="Z96" i="30"/>
  <c r="AB96" i="30" s="1"/>
  <c r="Z97" i="30"/>
  <c r="AB97" i="30" s="1"/>
  <c r="Z98" i="30"/>
  <c r="AB98" i="30" s="1"/>
  <c r="Z99" i="30"/>
  <c r="AB99" i="30" s="1"/>
  <c r="Z100" i="30"/>
  <c r="AB100" i="30" s="1"/>
  <c r="Z101" i="30"/>
  <c r="AB101" i="30" s="1"/>
  <c r="Z102" i="30"/>
  <c r="AB102" i="30" s="1"/>
  <c r="Z103" i="30"/>
  <c r="AB103" i="30" s="1"/>
  <c r="Z104" i="30"/>
  <c r="Z105" i="30"/>
  <c r="AB105" i="30" s="1"/>
  <c r="Z106" i="30"/>
  <c r="AB106" i="30" s="1"/>
  <c r="Z107" i="30"/>
  <c r="AB107" i="30" s="1"/>
  <c r="Z108" i="30"/>
  <c r="AB108" i="30" s="1"/>
  <c r="Z109" i="30"/>
  <c r="AB109" i="30" s="1"/>
  <c r="Z110" i="30"/>
  <c r="AB110" i="30" s="1"/>
  <c r="Z111" i="30"/>
  <c r="Z112" i="30"/>
  <c r="Z113" i="30"/>
  <c r="AB113" i="30" s="1"/>
  <c r="Z114" i="30"/>
  <c r="AB114" i="30" s="1"/>
  <c r="Z115" i="30"/>
  <c r="AB115" i="30" s="1"/>
  <c r="Z116" i="30"/>
  <c r="Z117" i="30"/>
  <c r="Z118" i="30"/>
  <c r="AB118" i="30" s="1"/>
  <c r="Z119" i="30"/>
  <c r="AB119" i="30" s="1"/>
  <c r="Z120" i="30"/>
  <c r="AB120" i="30" s="1"/>
  <c r="Z121" i="30"/>
  <c r="Z122" i="30"/>
  <c r="AB122" i="30" s="1"/>
  <c r="Z123" i="30"/>
  <c r="AB123" i="30" s="1"/>
  <c r="Z124" i="30"/>
  <c r="AB124" i="30" s="1"/>
  <c r="Z125" i="30"/>
  <c r="AB125" i="30" s="1"/>
  <c r="Z126" i="30"/>
  <c r="AB126" i="30" s="1"/>
  <c r="Z127" i="30"/>
  <c r="AB127" i="30" s="1"/>
  <c r="Z128" i="30"/>
  <c r="AB128" i="30" s="1"/>
  <c r="Z129" i="30"/>
  <c r="Z130" i="30"/>
  <c r="Z131" i="30"/>
  <c r="Z132" i="30"/>
  <c r="Z133" i="30"/>
  <c r="Z134" i="30"/>
  <c r="AB134" i="30" s="1"/>
  <c r="Z135" i="30"/>
  <c r="AB135" i="30" s="1"/>
  <c r="Z136" i="30"/>
  <c r="AB136" i="30" s="1"/>
  <c r="Z137" i="30"/>
  <c r="AB137" i="30" s="1"/>
  <c r="Z138" i="30"/>
  <c r="Z139" i="30"/>
  <c r="AB139" i="30" s="1"/>
  <c r="Z140" i="30"/>
  <c r="AB140" i="30" s="1"/>
  <c r="Z141" i="30"/>
  <c r="AB141" i="30" s="1"/>
  <c r="Z142" i="30"/>
  <c r="Z143" i="30"/>
  <c r="AB143" i="30" s="1"/>
  <c r="Z144" i="30"/>
  <c r="AB144" i="30" s="1"/>
  <c r="Z145" i="30"/>
  <c r="AB145" i="30" s="1"/>
  <c r="Z146" i="30"/>
  <c r="AB146" i="30" s="1"/>
  <c r="Z147" i="30"/>
  <c r="AB147" i="30" s="1"/>
  <c r="Z148" i="30"/>
  <c r="Z149" i="30"/>
  <c r="AB149" i="30" s="1"/>
  <c r="Z150" i="30"/>
  <c r="AB150" i="30" s="1"/>
  <c r="Z151" i="30"/>
  <c r="Z152" i="30"/>
  <c r="AB152" i="30" s="1"/>
  <c r="Z153" i="30"/>
  <c r="AB153" i="30" s="1"/>
  <c r="Z154" i="30"/>
  <c r="AB154" i="30" s="1"/>
  <c r="Z155" i="30"/>
  <c r="AB155" i="30" s="1"/>
  <c r="Z156" i="30"/>
  <c r="AB156" i="30" s="1"/>
  <c r="Z157" i="30"/>
  <c r="AB157" i="30" s="1"/>
  <c r="Z158" i="30"/>
  <c r="AB158" i="30" s="1"/>
  <c r="Z159" i="30"/>
  <c r="AB159" i="30" s="1"/>
  <c r="Z160" i="30"/>
  <c r="AB160" i="30" s="1"/>
  <c r="Z161" i="30"/>
  <c r="AB161" i="30" s="1"/>
  <c r="Z162" i="30"/>
  <c r="AB162" i="30" s="1"/>
  <c r="Z163" i="30"/>
  <c r="AB163" i="30" s="1"/>
  <c r="Z164" i="30"/>
  <c r="AB164" i="30" s="1"/>
  <c r="Z165" i="30"/>
  <c r="AB165" i="30" s="1"/>
  <c r="Z166" i="30"/>
  <c r="AB166" i="30" s="1"/>
  <c r="Z167" i="30"/>
  <c r="AB167" i="30" s="1"/>
  <c r="Z168" i="30"/>
  <c r="AB168" i="30" s="1"/>
  <c r="Z169" i="30"/>
  <c r="AB169" i="30" s="1"/>
  <c r="Z170" i="30"/>
  <c r="AB170" i="30" s="1"/>
  <c r="Z171" i="30"/>
  <c r="AB171" i="30" s="1"/>
  <c r="Z172" i="30"/>
  <c r="AB172" i="30" s="1"/>
  <c r="Z173" i="30"/>
  <c r="AB173" i="30" s="1"/>
  <c r="Z174" i="30"/>
  <c r="AB174" i="30" s="1"/>
  <c r="Z175" i="30"/>
  <c r="AB175" i="30" s="1"/>
  <c r="Z176" i="30"/>
  <c r="AB176" i="30" s="1"/>
  <c r="Z177" i="30"/>
  <c r="AB177" i="30" s="1"/>
  <c r="Z178" i="30"/>
  <c r="AB178" i="30" s="1"/>
  <c r="Z179" i="30"/>
  <c r="AB179" i="30" s="1"/>
  <c r="Z180" i="30"/>
  <c r="AB180" i="30" s="1"/>
  <c r="Z181" i="30"/>
  <c r="AB181" i="30" s="1"/>
  <c r="Z182" i="30"/>
  <c r="AB182" i="30" s="1"/>
  <c r="Z183" i="30"/>
  <c r="AB183" i="30" s="1"/>
  <c r="Z184" i="30"/>
  <c r="AB184" i="30" s="1"/>
  <c r="Z185" i="30"/>
  <c r="AB185" i="30" s="1"/>
  <c r="Z186" i="30"/>
  <c r="AB186" i="30" s="1"/>
  <c r="Z187" i="30"/>
  <c r="AB187" i="30" s="1"/>
  <c r="Z188" i="30"/>
  <c r="AB188" i="30" s="1"/>
  <c r="Z189" i="30"/>
  <c r="AB189" i="30" s="1"/>
  <c r="Z190" i="30"/>
  <c r="AB190" i="30" s="1"/>
  <c r="Z191" i="30"/>
  <c r="AB191" i="30" s="1"/>
  <c r="Z192" i="30"/>
  <c r="AB192" i="30" s="1"/>
  <c r="Z193" i="30"/>
  <c r="AB193" i="30" s="1"/>
  <c r="Z194" i="30"/>
  <c r="AB194" i="30" s="1"/>
  <c r="Z195" i="30"/>
  <c r="AB195" i="30" s="1"/>
  <c r="Z196" i="30"/>
  <c r="AB196" i="30" s="1"/>
  <c r="Z197" i="30"/>
  <c r="AB197" i="30" s="1"/>
  <c r="Z198" i="30"/>
  <c r="AB198" i="30" s="1"/>
  <c r="Z199" i="30"/>
  <c r="AB199" i="30" s="1"/>
  <c r="Z200" i="30"/>
  <c r="AB200" i="30" s="1"/>
  <c r="Z201" i="30"/>
  <c r="AB201" i="30" s="1"/>
  <c r="Z202" i="30"/>
  <c r="AB202" i="30" s="1"/>
  <c r="Z203" i="30"/>
  <c r="AB203" i="30" s="1"/>
  <c r="Z204" i="30"/>
  <c r="AB204" i="30" s="1"/>
  <c r="Z205" i="30"/>
  <c r="AB205" i="30" s="1"/>
  <c r="Z206" i="30"/>
  <c r="AB206" i="30" s="1"/>
  <c r="Z207" i="30"/>
  <c r="AB207" i="30" s="1"/>
  <c r="Z208" i="30"/>
  <c r="AB208" i="30" s="1"/>
  <c r="Z209" i="30"/>
  <c r="AB209" i="30" s="1"/>
  <c r="Z210" i="30"/>
  <c r="AB210" i="30" s="1"/>
  <c r="Z211" i="30"/>
  <c r="AB211" i="30" s="1"/>
  <c r="Z212" i="30"/>
  <c r="AB212" i="30" s="1"/>
  <c r="Z213" i="30"/>
  <c r="AB213" i="30" s="1"/>
  <c r="Z214" i="30"/>
  <c r="AB214" i="30" s="1"/>
  <c r="Z215" i="30"/>
  <c r="AB215" i="30" s="1"/>
  <c r="Z216" i="30"/>
  <c r="AB216" i="30" s="1"/>
  <c r="Z217" i="30"/>
  <c r="AB217" i="30" s="1"/>
  <c r="Z218" i="30"/>
  <c r="AB218" i="30" s="1"/>
  <c r="Z219" i="30"/>
  <c r="AB219" i="30" s="1"/>
  <c r="Z220" i="30"/>
  <c r="AB220" i="30" s="1"/>
  <c r="Z221" i="30"/>
  <c r="AB221" i="30" s="1"/>
  <c r="Z222" i="30"/>
  <c r="AB222" i="30" s="1"/>
  <c r="Z223" i="30"/>
  <c r="AB223" i="30" s="1"/>
  <c r="Z224" i="30"/>
  <c r="AB224" i="30" s="1"/>
  <c r="Z225" i="30"/>
  <c r="AB225" i="30" s="1"/>
  <c r="Z226" i="30"/>
  <c r="AB226" i="30" s="1"/>
  <c r="Z227" i="30"/>
  <c r="AB227" i="30" s="1"/>
  <c r="Z228" i="30"/>
  <c r="AB228" i="30" s="1"/>
  <c r="Z229" i="30"/>
  <c r="AB229" i="30" s="1"/>
  <c r="Z230" i="30"/>
  <c r="AB230" i="30" s="1"/>
  <c r="Z231" i="30"/>
  <c r="AB231" i="30" s="1"/>
  <c r="Z232" i="30"/>
  <c r="AB232" i="30" s="1"/>
  <c r="Z233" i="30"/>
  <c r="AB233" i="30" s="1"/>
  <c r="Z234" i="30"/>
  <c r="AB234" i="30" s="1"/>
  <c r="Z235" i="30"/>
  <c r="AB235" i="30" s="1"/>
  <c r="Z236" i="30"/>
  <c r="AB236" i="30" s="1"/>
  <c r="Z237" i="30"/>
  <c r="AB237" i="30" s="1"/>
  <c r="Z238" i="30"/>
  <c r="AB238" i="30" s="1"/>
  <c r="Z239" i="30"/>
  <c r="AB239" i="30" s="1"/>
  <c r="Z240" i="30"/>
  <c r="AB240" i="30" s="1"/>
  <c r="Z241" i="30"/>
  <c r="AB241" i="30" s="1"/>
  <c r="Z242" i="30"/>
  <c r="AB242" i="30" s="1"/>
  <c r="Z243" i="30"/>
  <c r="AB243" i="30" s="1"/>
  <c r="Z244" i="30"/>
  <c r="AB244" i="30" s="1"/>
  <c r="Z245" i="30"/>
  <c r="AB245" i="30" s="1"/>
  <c r="Z246" i="30"/>
  <c r="AB246" i="30" s="1"/>
  <c r="Z247" i="30"/>
  <c r="AB247" i="30" s="1"/>
  <c r="Z248" i="30"/>
  <c r="AB248" i="30" s="1"/>
  <c r="Z249" i="30"/>
  <c r="AB249" i="30" s="1"/>
  <c r="Z250" i="30"/>
  <c r="AB250" i="30" s="1"/>
  <c r="Z251" i="30"/>
  <c r="AB251" i="30" s="1"/>
  <c r="Z252" i="30"/>
  <c r="AB252" i="30" s="1"/>
  <c r="Z253" i="30"/>
  <c r="AB253" i="30" s="1"/>
  <c r="Z254" i="30"/>
  <c r="AB254" i="30" s="1"/>
  <c r="Z255" i="30"/>
  <c r="AB255" i="30" s="1"/>
  <c r="Z256" i="30"/>
  <c r="AB256" i="30" s="1"/>
  <c r="Z257" i="30"/>
  <c r="AB257" i="30" s="1"/>
  <c r="Z258" i="30"/>
  <c r="AB258" i="30" s="1"/>
  <c r="Z259" i="30"/>
  <c r="AB259" i="30" s="1"/>
  <c r="Z260" i="30"/>
  <c r="AB260" i="30" s="1"/>
  <c r="Z261" i="30"/>
  <c r="AB261" i="30" s="1"/>
  <c r="Z262" i="30"/>
  <c r="AB262" i="30" s="1"/>
  <c r="Z263" i="30"/>
  <c r="AB263" i="30" s="1"/>
  <c r="Z264" i="30"/>
  <c r="AB264" i="30" s="1"/>
  <c r="Z265" i="30"/>
  <c r="AB265" i="30" s="1"/>
  <c r="Z266" i="30"/>
  <c r="AB266" i="30" s="1"/>
  <c r="Z267" i="30"/>
  <c r="AB267" i="30" s="1"/>
  <c r="Z268" i="30"/>
  <c r="AB268" i="30" s="1"/>
  <c r="Z269" i="30"/>
  <c r="AB269" i="30" s="1"/>
  <c r="Z270" i="30"/>
  <c r="AB270" i="30" s="1"/>
  <c r="Z271" i="30"/>
  <c r="AB271" i="30" s="1"/>
  <c r="Z272" i="30"/>
  <c r="AB272" i="30" s="1"/>
  <c r="Z273" i="30"/>
  <c r="AB273" i="30" s="1"/>
  <c r="Z274" i="30"/>
  <c r="AB274" i="30" s="1"/>
  <c r="Z275" i="30"/>
  <c r="AB275" i="30" s="1"/>
  <c r="Z276" i="30"/>
  <c r="AB276" i="30" s="1"/>
  <c r="Z277" i="30"/>
  <c r="AB277" i="30" s="1"/>
  <c r="Z278" i="30"/>
  <c r="AB278" i="30" s="1"/>
  <c r="Z279" i="30"/>
  <c r="AB279" i="30" s="1"/>
  <c r="Z280" i="30"/>
  <c r="AB280" i="30" s="1"/>
  <c r="Z281" i="30"/>
  <c r="AB281" i="30" s="1"/>
  <c r="Z282" i="30"/>
  <c r="AB282" i="30" s="1"/>
  <c r="Z283" i="30"/>
  <c r="AB283" i="30" s="1"/>
  <c r="Z284" i="30"/>
  <c r="AB284" i="30" s="1"/>
  <c r="Z285" i="30"/>
  <c r="AB285" i="30" s="1"/>
  <c r="Z286" i="30"/>
  <c r="AB286" i="30" s="1"/>
  <c r="Z287" i="30"/>
  <c r="AB287" i="30" s="1"/>
  <c r="Z288" i="30"/>
  <c r="AB288" i="30" s="1"/>
  <c r="Z289" i="30"/>
  <c r="AB289" i="30" s="1"/>
  <c r="Z290" i="30"/>
  <c r="AB290" i="30" s="1"/>
  <c r="Z291" i="30"/>
  <c r="AB291" i="30" s="1"/>
  <c r="Z292" i="30"/>
  <c r="AB292" i="30" s="1"/>
  <c r="Z293" i="30"/>
  <c r="AB293" i="30" s="1"/>
  <c r="Z294" i="30"/>
  <c r="AB294" i="30" s="1"/>
  <c r="Z295" i="30"/>
  <c r="AB295" i="30" s="1"/>
  <c r="Z296" i="30"/>
  <c r="AB296" i="30" s="1"/>
  <c r="Z297" i="30"/>
  <c r="AB297" i="30" s="1"/>
  <c r="Z298" i="30"/>
  <c r="AB298" i="30" s="1"/>
  <c r="Z299" i="30"/>
  <c r="AB299" i="30" s="1"/>
  <c r="Z300" i="30"/>
  <c r="AB300" i="30" s="1"/>
  <c r="Z301" i="30"/>
  <c r="AB301" i="30" s="1"/>
  <c r="Z302" i="30"/>
  <c r="AB302" i="30" s="1"/>
  <c r="Z303" i="30"/>
  <c r="AB303" i="30" s="1"/>
  <c r="Z304" i="30"/>
  <c r="AB304" i="30" s="1"/>
  <c r="Z305" i="30"/>
  <c r="AB305" i="30" s="1"/>
  <c r="Z306" i="30"/>
  <c r="AB306" i="30" s="1"/>
  <c r="Z307" i="30"/>
  <c r="AB307" i="30" s="1"/>
  <c r="Z308" i="30"/>
  <c r="AB308" i="30" s="1"/>
  <c r="Z309" i="30"/>
  <c r="AB309" i="30" s="1"/>
  <c r="Z310" i="30"/>
  <c r="AB310" i="30" s="1"/>
  <c r="Z311" i="30"/>
  <c r="AB311" i="30" s="1"/>
  <c r="Z312" i="30"/>
  <c r="AB312" i="30" s="1"/>
  <c r="Z313" i="30"/>
  <c r="AB313" i="30" s="1"/>
  <c r="Z314" i="30"/>
  <c r="AB314" i="30" s="1"/>
  <c r="Z315" i="30"/>
  <c r="AB315" i="30" s="1"/>
  <c r="Z316" i="30"/>
  <c r="AB316" i="30" s="1"/>
  <c r="Z317" i="30"/>
  <c r="AB317" i="30" s="1"/>
  <c r="Z318" i="30"/>
  <c r="AB318" i="30" s="1"/>
  <c r="Z319" i="30"/>
  <c r="AB319" i="30" s="1"/>
  <c r="Z320" i="30"/>
  <c r="AB320" i="30" s="1"/>
  <c r="Z321" i="30"/>
  <c r="AB321" i="30" s="1"/>
  <c r="Z322" i="30"/>
  <c r="AB322" i="30" s="1"/>
  <c r="Z323" i="30"/>
  <c r="AB323" i="30" s="1"/>
  <c r="Z324" i="30"/>
  <c r="AB324" i="30" s="1"/>
  <c r="Z325" i="30"/>
  <c r="AB325" i="30" s="1"/>
  <c r="Z326" i="30"/>
  <c r="AB326" i="30" s="1"/>
  <c r="Z327" i="30"/>
  <c r="AB327" i="30" s="1"/>
  <c r="Z328" i="30"/>
  <c r="AB328" i="30" s="1"/>
  <c r="Z329" i="30"/>
  <c r="AB329" i="30" s="1"/>
  <c r="Z330" i="30"/>
  <c r="AB330" i="30" s="1"/>
  <c r="Z331" i="30"/>
  <c r="AB331" i="30" s="1"/>
  <c r="Z332" i="30"/>
  <c r="AB332" i="30" s="1"/>
  <c r="Z333" i="30"/>
  <c r="AB333" i="30" s="1"/>
  <c r="Z334" i="30"/>
  <c r="AB334" i="30" s="1"/>
  <c r="Z335" i="30"/>
  <c r="AB335" i="30" s="1"/>
  <c r="Z336" i="30"/>
  <c r="AB336" i="30" s="1"/>
  <c r="Z337" i="30"/>
  <c r="AB337" i="30" s="1"/>
  <c r="Z338" i="30"/>
  <c r="AB338" i="30" s="1"/>
  <c r="Z339" i="30"/>
  <c r="AB339" i="30" s="1"/>
  <c r="Z340" i="30"/>
  <c r="AB340" i="30" s="1"/>
  <c r="Z341" i="30"/>
  <c r="AB341" i="30" s="1"/>
  <c r="Z342" i="30"/>
  <c r="AB342" i="30" s="1"/>
  <c r="Z343" i="30"/>
  <c r="AB343" i="30" s="1"/>
  <c r="Z344" i="30"/>
  <c r="AB344" i="30" s="1"/>
  <c r="Z345" i="30"/>
  <c r="AB345" i="30" s="1"/>
  <c r="Z346" i="30"/>
  <c r="AB346" i="30" s="1"/>
  <c r="Z347" i="30"/>
  <c r="AB347" i="30" s="1"/>
  <c r="Z348" i="30"/>
  <c r="AB348" i="30" s="1"/>
  <c r="Z349" i="30"/>
  <c r="AB349" i="30" s="1"/>
  <c r="Z350" i="30"/>
  <c r="AB350" i="30" s="1"/>
  <c r="Z351" i="30"/>
  <c r="AB351" i="30" s="1"/>
  <c r="Z352" i="30"/>
  <c r="AB352" i="30" s="1"/>
  <c r="Z353" i="30"/>
  <c r="AB353" i="30" s="1"/>
  <c r="Z354" i="30"/>
  <c r="AB354" i="30" s="1"/>
  <c r="Z355" i="30"/>
  <c r="AB355" i="30" s="1"/>
  <c r="Z356" i="30"/>
  <c r="AB356" i="30" s="1"/>
  <c r="Z357" i="30"/>
  <c r="AB357" i="30" s="1"/>
  <c r="Z358" i="30"/>
  <c r="AB358" i="30" s="1"/>
  <c r="Z359" i="30"/>
  <c r="AB359" i="30" s="1"/>
  <c r="Z360" i="30"/>
  <c r="AB360" i="30" s="1"/>
  <c r="Z361" i="30"/>
  <c r="AB361" i="30" s="1"/>
  <c r="Z362" i="30"/>
  <c r="AB362" i="30" s="1"/>
  <c r="Z363" i="30"/>
  <c r="AB363" i="30" s="1"/>
  <c r="Z364" i="30"/>
  <c r="AB364" i="30" s="1"/>
  <c r="Z365" i="30"/>
  <c r="AB365" i="30" s="1"/>
  <c r="Z366" i="30"/>
  <c r="AB366" i="30" s="1"/>
  <c r="Z367" i="30"/>
  <c r="AB367" i="30" s="1"/>
  <c r="Z368" i="30"/>
  <c r="AB368" i="30" s="1"/>
  <c r="Z369" i="30"/>
  <c r="AB369" i="30" s="1"/>
  <c r="Z370" i="30"/>
  <c r="AB370" i="30" s="1"/>
  <c r="Z371" i="30"/>
  <c r="AB371" i="30" s="1"/>
  <c r="Z372" i="30"/>
  <c r="AB372" i="30" s="1"/>
  <c r="Z373" i="30"/>
  <c r="AB373" i="30" s="1"/>
  <c r="Z374" i="30"/>
  <c r="AB374" i="30" s="1"/>
  <c r="Z375" i="30"/>
  <c r="AB375" i="30" s="1"/>
  <c r="Z376" i="30"/>
  <c r="AB376" i="30" s="1"/>
  <c r="Z377" i="30"/>
  <c r="AB377" i="30" s="1"/>
  <c r="Z378" i="30"/>
  <c r="AB378" i="30" s="1"/>
  <c r="Z379" i="30"/>
  <c r="AB379" i="30" s="1"/>
  <c r="Z380" i="30"/>
  <c r="AB380" i="30" s="1"/>
  <c r="Z381" i="30"/>
  <c r="AB381" i="30" s="1"/>
  <c r="Z382" i="30"/>
  <c r="AB382" i="30" s="1"/>
  <c r="Z383" i="30"/>
  <c r="AB383" i="30" s="1"/>
  <c r="Z384" i="30"/>
  <c r="AB384" i="30" s="1"/>
  <c r="Z385" i="30"/>
  <c r="AB385" i="30" s="1"/>
  <c r="Z386" i="30"/>
  <c r="AB386" i="30" s="1"/>
  <c r="Z387" i="30"/>
  <c r="AB387" i="30" s="1"/>
  <c r="Z388" i="30"/>
  <c r="AB388" i="30" s="1"/>
  <c r="Z389" i="30"/>
  <c r="AB389" i="30" s="1"/>
  <c r="Z390" i="30"/>
  <c r="AB390" i="30" s="1"/>
  <c r="Z391" i="30"/>
  <c r="AB391" i="30" s="1"/>
  <c r="Z392" i="30"/>
  <c r="AB392" i="30" s="1"/>
  <c r="Z393" i="30"/>
  <c r="AB393" i="30" s="1"/>
  <c r="Z394" i="30"/>
  <c r="AB394" i="30" s="1"/>
  <c r="Z395" i="30"/>
  <c r="AB395" i="30" s="1"/>
  <c r="Z396" i="30"/>
  <c r="AB396" i="30" s="1"/>
  <c r="Z397" i="30"/>
  <c r="AB397" i="30" s="1"/>
  <c r="Z398" i="30"/>
  <c r="AB398" i="30" s="1"/>
  <c r="Z399" i="30"/>
  <c r="AB399" i="30" s="1"/>
  <c r="Z400" i="30"/>
  <c r="AB400" i="30" s="1"/>
  <c r="V4" i="30"/>
  <c r="V5" i="30"/>
  <c r="V6" i="30"/>
  <c r="X6" i="30" s="1"/>
  <c r="V7" i="30"/>
  <c r="X7" i="30" s="1"/>
  <c r="V8" i="30"/>
  <c r="X8" i="30" s="1"/>
  <c r="V9" i="30"/>
  <c r="X9" i="30" s="1"/>
  <c r="V10" i="30"/>
  <c r="X10" i="30" s="1"/>
  <c r="V11" i="30"/>
  <c r="V12" i="30"/>
  <c r="V13" i="30"/>
  <c r="X13" i="30" s="1"/>
  <c r="V14" i="30"/>
  <c r="X14" i="30" s="1"/>
  <c r="V15" i="30"/>
  <c r="X15" i="30" s="1"/>
  <c r="V16" i="30"/>
  <c r="V17" i="30"/>
  <c r="X17" i="30" s="1"/>
  <c r="V18" i="30"/>
  <c r="X18" i="30" s="1"/>
  <c r="V19" i="30"/>
  <c r="X19" i="30" s="1"/>
  <c r="V20" i="30"/>
  <c r="X20" i="30" s="1"/>
  <c r="V21" i="30"/>
  <c r="X21" i="30" s="1"/>
  <c r="V22" i="30"/>
  <c r="V23" i="30"/>
  <c r="V24" i="30"/>
  <c r="V25" i="30"/>
  <c r="V26" i="30"/>
  <c r="V27" i="30"/>
  <c r="V28" i="30"/>
  <c r="X28" i="30" s="1"/>
  <c r="V29" i="30"/>
  <c r="X29" i="30" s="1"/>
  <c r="V30" i="30"/>
  <c r="X30" i="30" s="1"/>
  <c r="V31" i="30"/>
  <c r="X31" i="30" s="1"/>
  <c r="V32" i="30"/>
  <c r="X32" i="30" s="1"/>
  <c r="V33" i="30"/>
  <c r="V34" i="30"/>
  <c r="X34" i="30" s="1"/>
  <c r="V35" i="30"/>
  <c r="X35" i="30" s="1"/>
  <c r="V36" i="30"/>
  <c r="V37" i="30"/>
  <c r="V38" i="30"/>
  <c r="V39" i="30"/>
  <c r="V40" i="30"/>
  <c r="V41" i="30"/>
  <c r="X41" i="30" s="1"/>
  <c r="V42" i="30"/>
  <c r="X42" i="30" s="1"/>
  <c r="V43" i="30"/>
  <c r="X43" i="30" s="1"/>
  <c r="V44" i="30"/>
  <c r="X44" i="30" s="1"/>
  <c r="V45" i="30"/>
  <c r="V46" i="30"/>
  <c r="X46" i="30" s="1"/>
  <c r="V47" i="30"/>
  <c r="V48" i="30"/>
  <c r="X48" i="30" s="1"/>
  <c r="V49" i="30"/>
  <c r="X49" i="30" s="1"/>
  <c r="V50" i="30"/>
  <c r="X50" i="30" s="1"/>
  <c r="V51" i="30"/>
  <c r="X51" i="30" s="1"/>
  <c r="V52" i="30"/>
  <c r="X52" i="30" s="1"/>
  <c r="V53" i="30"/>
  <c r="X53" i="30" s="1"/>
  <c r="V54" i="30"/>
  <c r="X54" i="30" s="1"/>
  <c r="V55" i="30"/>
  <c r="X55" i="30" s="1"/>
  <c r="V56" i="30"/>
  <c r="X56" i="30" s="1"/>
  <c r="V57" i="30"/>
  <c r="X57" i="30" s="1"/>
  <c r="V58" i="30"/>
  <c r="X58" i="30" s="1"/>
  <c r="V59" i="30"/>
  <c r="X59" i="30" s="1"/>
  <c r="V60" i="30"/>
  <c r="X60" i="30" s="1"/>
  <c r="V61" i="30"/>
  <c r="V62" i="30"/>
  <c r="X62" i="30" s="1"/>
  <c r="V63" i="30"/>
  <c r="X63" i="30" s="1"/>
  <c r="V64" i="30"/>
  <c r="X64" i="30" s="1"/>
  <c r="V65" i="30"/>
  <c r="V66" i="30"/>
  <c r="V67" i="30"/>
  <c r="V68" i="30"/>
  <c r="V69" i="30"/>
  <c r="V70" i="30"/>
  <c r="V71" i="30"/>
  <c r="X71" i="30" s="1"/>
  <c r="V72" i="30"/>
  <c r="X72" i="30" s="1"/>
  <c r="V73" i="30"/>
  <c r="X73" i="30" s="1"/>
  <c r="V74" i="30"/>
  <c r="V75" i="30"/>
  <c r="V76" i="30"/>
  <c r="X76" i="30" s="1"/>
  <c r="V77" i="30"/>
  <c r="X77" i="30" s="1"/>
  <c r="V78" i="30"/>
  <c r="X78" i="30" s="1"/>
  <c r="V79" i="30"/>
  <c r="X79" i="30" s="1"/>
  <c r="V80" i="30"/>
  <c r="X80" i="30" s="1"/>
  <c r="V81" i="30"/>
  <c r="V82" i="30"/>
  <c r="V83" i="30"/>
  <c r="X83" i="30" s="1"/>
  <c r="V84" i="30"/>
  <c r="X84" i="30" s="1"/>
  <c r="V85" i="30"/>
  <c r="X85" i="30" s="1"/>
  <c r="V86" i="30"/>
  <c r="V87" i="30"/>
  <c r="V88" i="30"/>
  <c r="V89" i="30"/>
  <c r="V90" i="30"/>
  <c r="X90" i="30" s="1"/>
  <c r="V91" i="30"/>
  <c r="X91" i="30" s="1"/>
  <c r="V92" i="30"/>
  <c r="X92" i="30" s="1"/>
  <c r="V93" i="30"/>
  <c r="X93" i="30" s="1"/>
  <c r="V94" i="30"/>
  <c r="X94" i="30" s="1"/>
  <c r="V95" i="30"/>
  <c r="X95" i="30" s="1"/>
  <c r="V96" i="30"/>
  <c r="X96" i="30" s="1"/>
  <c r="V97" i="30"/>
  <c r="X97" i="30" s="1"/>
  <c r="V98" i="30"/>
  <c r="X98" i="30" s="1"/>
  <c r="V99" i="30"/>
  <c r="X99" i="30" s="1"/>
  <c r="V100" i="30"/>
  <c r="X100" i="30" s="1"/>
  <c r="V101" i="30"/>
  <c r="X101" i="30" s="1"/>
  <c r="V102" i="30"/>
  <c r="X102" i="30" s="1"/>
  <c r="V103" i="30"/>
  <c r="X103" i="30" s="1"/>
  <c r="V104" i="30"/>
  <c r="V105" i="30"/>
  <c r="X105" i="30" s="1"/>
  <c r="V106" i="30"/>
  <c r="X106" i="30" s="1"/>
  <c r="V107" i="30"/>
  <c r="X107" i="30" s="1"/>
  <c r="V108" i="30"/>
  <c r="X108" i="30" s="1"/>
  <c r="V109" i="30"/>
  <c r="X109" i="30" s="1"/>
  <c r="V110" i="30"/>
  <c r="X110" i="30" s="1"/>
  <c r="V111" i="30"/>
  <c r="V112" i="30"/>
  <c r="V113" i="30"/>
  <c r="X113" i="30" s="1"/>
  <c r="V114" i="30"/>
  <c r="X114" i="30" s="1"/>
  <c r="V115" i="30"/>
  <c r="X115" i="30" s="1"/>
  <c r="V116" i="30"/>
  <c r="V117" i="30"/>
  <c r="V118" i="30"/>
  <c r="X118" i="30" s="1"/>
  <c r="V119" i="30"/>
  <c r="X119" i="30" s="1"/>
  <c r="V120" i="30"/>
  <c r="X120" i="30" s="1"/>
  <c r="V121" i="30"/>
  <c r="V122" i="30"/>
  <c r="X122" i="30" s="1"/>
  <c r="V123" i="30"/>
  <c r="X123" i="30" s="1"/>
  <c r="V124" i="30"/>
  <c r="X124" i="30" s="1"/>
  <c r="V125" i="30"/>
  <c r="X125" i="30" s="1"/>
  <c r="V126" i="30"/>
  <c r="X126" i="30" s="1"/>
  <c r="V127" i="30"/>
  <c r="X127" i="30" s="1"/>
  <c r="V128" i="30"/>
  <c r="X128" i="30" s="1"/>
  <c r="V129" i="30"/>
  <c r="V130" i="30"/>
  <c r="V131" i="30"/>
  <c r="V132" i="30"/>
  <c r="V133" i="30"/>
  <c r="V134" i="30"/>
  <c r="X134" i="30" s="1"/>
  <c r="V135" i="30"/>
  <c r="X135" i="30" s="1"/>
  <c r="V136" i="30"/>
  <c r="X136" i="30" s="1"/>
  <c r="V137" i="30"/>
  <c r="X137" i="30" s="1"/>
  <c r="V138" i="30"/>
  <c r="V139" i="30"/>
  <c r="X139" i="30" s="1"/>
  <c r="V140" i="30"/>
  <c r="X140" i="30" s="1"/>
  <c r="V141" i="30"/>
  <c r="X141" i="30" s="1"/>
  <c r="V142" i="30"/>
  <c r="V143" i="30"/>
  <c r="X143" i="30" s="1"/>
  <c r="V144" i="30"/>
  <c r="X144" i="30" s="1"/>
  <c r="V145" i="30"/>
  <c r="X145" i="30" s="1"/>
  <c r="V146" i="30"/>
  <c r="X146" i="30" s="1"/>
  <c r="V147" i="30"/>
  <c r="X147" i="30" s="1"/>
  <c r="V148" i="30"/>
  <c r="V149" i="30"/>
  <c r="X149" i="30" s="1"/>
  <c r="V150" i="30"/>
  <c r="X150" i="30" s="1"/>
  <c r="V151" i="30"/>
  <c r="V152" i="30"/>
  <c r="X152" i="30" s="1"/>
  <c r="V153" i="30"/>
  <c r="X153" i="30" s="1"/>
  <c r="V154" i="30"/>
  <c r="X154" i="30" s="1"/>
  <c r="V155" i="30"/>
  <c r="X155" i="30" s="1"/>
  <c r="V156" i="30"/>
  <c r="X156" i="30" s="1"/>
  <c r="V157" i="30"/>
  <c r="X157" i="30" s="1"/>
  <c r="V158" i="30"/>
  <c r="X158" i="30" s="1"/>
  <c r="V159" i="30"/>
  <c r="X159" i="30" s="1"/>
  <c r="V160" i="30"/>
  <c r="X160" i="30" s="1"/>
  <c r="V161" i="30"/>
  <c r="X161" i="30" s="1"/>
  <c r="V162" i="30"/>
  <c r="X162" i="30" s="1"/>
  <c r="V163" i="30"/>
  <c r="X163" i="30" s="1"/>
  <c r="V164" i="30"/>
  <c r="X164" i="30" s="1"/>
  <c r="V165" i="30"/>
  <c r="X165" i="30" s="1"/>
  <c r="V166" i="30"/>
  <c r="X166" i="30" s="1"/>
  <c r="V167" i="30"/>
  <c r="X167" i="30" s="1"/>
  <c r="V168" i="30"/>
  <c r="X168" i="30" s="1"/>
  <c r="V169" i="30"/>
  <c r="X169" i="30" s="1"/>
  <c r="V170" i="30"/>
  <c r="X170" i="30" s="1"/>
  <c r="V171" i="30"/>
  <c r="X171" i="30" s="1"/>
  <c r="V172" i="30"/>
  <c r="X172" i="30" s="1"/>
  <c r="V173" i="30"/>
  <c r="X173" i="30" s="1"/>
  <c r="V174" i="30"/>
  <c r="X174" i="30" s="1"/>
  <c r="V175" i="30"/>
  <c r="X175" i="30" s="1"/>
  <c r="V176" i="30"/>
  <c r="X176" i="30" s="1"/>
  <c r="V177" i="30"/>
  <c r="X177" i="30" s="1"/>
  <c r="V178" i="30"/>
  <c r="X178" i="30" s="1"/>
  <c r="V179" i="30"/>
  <c r="X179" i="30" s="1"/>
  <c r="V180" i="30"/>
  <c r="X180" i="30" s="1"/>
  <c r="V181" i="30"/>
  <c r="X181" i="30" s="1"/>
  <c r="V182" i="30"/>
  <c r="X182" i="30" s="1"/>
  <c r="V183" i="30"/>
  <c r="X183" i="30" s="1"/>
  <c r="V184" i="30"/>
  <c r="X184" i="30" s="1"/>
  <c r="V185" i="30"/>
  <c r="X185" i="30" s="1"/>
  <c r="V186" i="30"/>
  <c r="X186" i="30" s="1"/>
  <c r="V187" i="30"/>
  <c r="X187" i="30" s="1"/>
  <c r="V188" i="30"/>
  <c r="X188" i="30" s="1"/>
  <c r="V189" i="30"/>
  <c r="X189" i="30" s="1"/>
  <c r="V190" i="30"/>
  <c r="X190" i="30" s="1"/>
  <c r="V191" i="30"/>
  <c r="X191" i="30" s="1"/>
  <c r="V192" i="30"/>
  <c r="X192" i="30" s="1"/>
  <c r="V193" i="30"/>
  <c r="X193" i="30" s="1"/>
  <c r="V194" i="30"/>
  <c r="X194" i="30" s="1"/>
  <c r="V195" i="30"/>
  <c r="X195" i="30" s="1"/>
  <c r="V196" i="30"/>
  <c r="X196" i="30" s="1"/>
  <c r="V197" i="30"/>
  <c r="X197" i="30" s="1"/>
  <c r="V198" i="30"/>
  <c r="X198" i="30" s="1"/>
  <c r="V199" i="30"/>
  <c r="X199" i="30" s="1"/>
  <c r="V200" i="30"/>
  <c r="X200" i="30" s="1"/>
  <c r="V201" i="30"/>
  <c r="X201" i="30" s="1"/>
  <c r="V202" i="30"/>
  <c r="X202" i="30" s="1"/>
  <c r="V203" i="30"/>
  <c r="X203" i="30" s="1"/>
  <c r="V204" i="30"/>
  <c r="X204" i="30" s="1"/>
  <c r="V205" i="30"/>
  <c r="X205" i="30" s="1"/>
  <c r="V206" i="30"/>
  <c r="X206" i="30" s="1"/>
  <c r="V207" i="30"/>
  <c r="X207" i="30" s="1"/>
  <c r="V208" i="30"/>
  <c r="X208" i="30" s="1"/>
  <c r="V209" i="30"/>
  <c r="X209" i="30" s="1"/>
  <c r="V210" i="30"/>
  <c r="X210" i="30" s="1"/>
  <c r="V211" i="30"/>
  <c r="X211" i="30" s="1"/>
  <c r="V212" i="30"/>
  <c r="X212" i="30" s="1"/>
  <c r="V213" i="30"/>
  <c r="X213" i="30" s="1"/>
  <c r="V214" i="30"/>
  <c r="X214" i="30" s="1"/>
  <c r="V215" i="30"/>
  <c r="X215" i="30" s="1"/>
  <c r="V216" i="30"/>
  <c r="X216" i="30" s="1"/>
  <c r="V217" i="30"/>
  <c r="X217" i="30" s="1"/>
  <c r="V218" i="30"/>
  <c r="X218" i="30" s="1"/>
  <c r="V219" i="30"/>
  <c r="X219" i="30" s="1"/>
  <c r="V220" i="30"/>
  <c r="X220" i="30" s="1"/>
  <c r="V221" i="30"/>
  <c r="X221" i="30" s="1"/>
  <c r="V222" i="30"/>
  <c r="X222" i="30" s="1"/>
  <c r="V223" i="30"/>
  <c r="X223" i="30" s="1"/>
  <c r="V224" i="30"/>
  <c r="X224" i="30" s="1"/>
  <c r="V225" i="30"/>
  <c r="X225" i="30" s="1"/>
  <c r="V226" i="30"/>
  <c r="X226" i="30" s="1"/>
  <c r="V227" i="30"/>
  <c r="X227" i="30" s="1"/>
  <c r="V228" i="30"/>
  <c r="X228" i="30" s="1"/>
  <c r="V229" i="30"/>
  <c r="X229" i="30" s="1"/>
  <c r="V230" i="30"/>
  <c r="X230" i="30" s="1"/>
  <c r="V231" i="30"/>
  <c r="X231" i="30" s="1"/>
  <c r="V232" i="30"/>
  <c r="X232" i="30" s="1"/>
  <c r="V233" i="30"/>
  <c r="X233" i="30" s="1"/>
  <c r="V234" i="30"/>
  <c r="X234" i="30" s="1"/>
  <c r="V235" i="30"/>
  <c r="X235" i="30" s="1"/>
  <c r="V236" i="30"/>
  <c r="X236" i="30" s="1"/>
  <c r="V237" i="30"/>
  <c r="X237" i="30" s="1"/>
  <c r="V238" i="30"/>
  <c r="X238" i="30" s="1"/>
  <c r="V239" i="30"/>
  <c r="X239" i="30" s="1"/>
  <c r="V240" i="30"/>
  <c r="X240" i="30" s="1"/>
  <c r="V241" i="30"/>
  <c r="X241" i="30" s="1"/>
  <c r="V242" i="30"/>
  <c r="X242" i="30" s="1"/>
  <c r="V243" i="30"/>
  <c r="X243" i="30" s="1"/>
  <c r="V244" i="30"/>
  <c r="X244" i="30" s="1"/>
  <c r="V245" i="30"/>
  <c r="X245" i="30" s="1"/>
  <c r="V246" i="30"/>
  <c r="X246" i="30" s="1"/>
  <c r="V247" i="30"/>
  <c r="X247" i="30" s="1"/>
  <c r="V248" i="30"/>
  <c r="X248" i="30" s="1"/>
  <c r="V249" i="30"/>
  <c r="X249" i="30" s="1"/>
  <c r="V250" i="30"/>
  <c r="X250" i="30" s="1"/>
  <c r="V251" i="30"/>
  <c r="X251" i="30" s="1"/>
  <c r="V252" i="30"/>
  <c r="X252" i="30" s="1"/>
  <c r="V253" i="30"/>
  <c r="X253" i="30" s="1"/>
  <c r="V254" i="30"/>
  <c r="X254" i="30" s="1"/>
  <c r="V255" i="30"/>
  <c r="X255" i="30" s="1"/>
  <c r="V256" i="30"/>
  <c r="X256" i="30" s="1"/>
  <c r="V257" i="30"/>
  <c r="X257" i="30" s="1"/>
  <c r="V258" i="30"/>
  <c r="X258" i="30" s="1"/>
  <c r="V259" i="30"/>
  <c r="X259" i="30" s="1"/>
  <c r="V260" i="30"/>
  <c r="X260" i="30" s="1"/>
  <c r="V261" i="30"/>
  <c r="X261" i="30" s="1"/>
  <c r="V262" i="30"/>
  <c r="X262" i="30" s="1"/>
  <c r="V263" i="30"/>
  <c r="X263" i="30" s="1"/>
  <c r="V264" i="30"/>
  <c r="X264" i="30" s="1"/>
  <c r="V265" i="30"/>
  <c r="X265" i="30" s="1"/>
  <c r="V266" i="30"/>
  <c r="X266" i="30" s="1"/>
  <c r="V267" i="30"/>
  <c r="X267" i="30" s="1"/>
  <c r="V268" i="30"/>
  <c r="X268" i="30" s="1"/>
  <c r="V269" i="30"/>
  <c r="X269" i="30" s="1"/>
  <c r="V270" i="30"/>
  <c r="X270" i="30" s="1"/>
  <c r="V271" i="30"/>
  <c r="X271" i="30" s="1"/>
  <c r="V272" i="30"/>
  <c r="X272" i="30" s="1"/>
  <c r="V273" i="30"/>
  <c r="X273" i="30" s="1"/>
  <c r="V274" i="30"/>
  <c r="X274" i="30" s="1"/>
  <c r="V275" i="30"/>
  <c r="X275" i="30" s="1"/>
  <c r="V276" i="30"/>
  <c r="X276" i="30" s="1"/>
  <c r="V277" i="30"/>
  <c r="X277" i="30" s="1"/>
  <c r="V278" i="30"/>
  <c r="X278" i="30" s="1"/>
  <c r="V279" i="30"/>
  <c r="X279" i="30" s="1"/>
  <c r="V280" i="30"/>
  <c r="X280" i="30" s="1"/>
  <c r="V281" i="30"/>
  <c r="X281" i="30" s="1"/>
  <c r="V282" i="30"/>
  <c r="X282" i="30" s="1"/>
  <c r="V283" i="30"/>
  <c r="X283" i="30" s="1"/>
  <c r="V284" i="30"/>
  <c r="X284" i="30" s="1"/>
  <c r="V285" i="30"/>
  <c r="X285" i="30" s="1"/>
  <c r="V286" i="30"/>
  <c r="X286" i="30" s="1"/>
  <c r="V287" i="30"/>
  <c r="X287" i="30" s="1"/>
  <c r="V288" i="30"/>
  <c r="X288" i="30" s="1"/>
  <c r="V289" i="30"/>
  <c r="X289" i="30" s="1"/>
  <c r="V290" i="30"/>
  <c r="X290" i="30" s="1"/>
  <c r="V291" i="30"/>
  <c r="X291" i="30" s="1"/>
  <c r="V292" i="30"/>
  <c r="X292" i="30" s="1"/>
  <c r="V293" i="30"/>
  <c r="X293" i="30" s="1"/>
  <c r="V294" i="30"/>
  <c r="X294" i="30" s="1"/>
  <c r="V295" i="30"/>
  <c r="X295" i="30" s="1"/>
  <c r="V296" i="30"/>
  <c r="X296" i="30" s="1"/>
  <c r="V297" i="30"/>
  <c r="X297" i="30" s="1"/>
  <c r="V298" i="30"/>
  <c r="X298" i="30" s="1"/>
  <c r="V299" i="30"/>
  <c r="X299" i="30" s="1"/>
  <c r="V300" i="30"/>
  <c r="X300" i="30" s="1"/>
  <c r="V301" i="30"/>
  <c r="X301" i="30" s="1"/>
  <c r="V302" i="30"/>
  <c r="X302" i="30" s="1"/>
  <c r="V303" i="30"/>
  <c r="X303" i="30" s="1"/>
  <c r="V304" i="30"/>
  <c r="X304" i="30" s="1"/>
  <c r="V305" i="30"/>
  <c r="X305" i="30" s="1"/>
  <c r="V306" i="30"/>
  <c r="X306" i="30" s="1"/>
  <c r="V307" i="30"/>
  <c r="X307" i="30" s="1"/>
  <c r="V308" i="30"/>
  <c r="X308" i="30" s="1"/>
  <c r="V309" i="30"/>
  <c r="X309" i="30" s="1"/>
  <c r="V310" i="30"/>
  <c r="X310" i="30" s="1"/>
  <c r="V311" i="30"/>
  <c r="X311" i="30" s="1"/>
  <c r="V312" i="30"/>
  <c r="X312" i="30" s="1"/>
  <c r="V313" i="30"/>
  <c r="X313" i="30" s="1"/>
  <c r="V314" i="30"/>
  <c r="X314" i="30" s="1"/>
  <c r="V315" i="30"/>
  <c r="X315" i="30" s="1"/>
  <c r="V316" i="30"/>
  <c r="X316" i="30" s="1"/>
  <c r="V317" i="30"/>
  <c r="X317" i="30" s="1"/>
  <c r="V318" i="30"/>
  <c r="X318" i="30" s="1"/>
  <c r="V319" i="30"/>
  <c r="X319" i="30" s="1"/>
  <c r="V320" i="30"/>
  <c r="X320" i="30" s="1"/>
  <c r="V321" i="30"/>
  <c r="X321" i="30" s="1"/>
  <c r="V322" i="30"/>
  <c r="X322" i="30" s="1"/>
  <c r="V323" i="30"/>
  <c r="X323" i="30" s="1"/>
  <c r="V324" i="30"/>
  <c r="X324" i="30" s="1"/>
  <c r="V325" i="30"/>
  <c r="X325" i="30" s="1"/>
  <c r="V326" i="30"/>
  <c r="X326" i="30" s="1"/>
  <c r="V327" i="30"/>
  <c r="X327" i="30" s="1"/>
  <c r="V328" i="30"/>
  <c r="X328" i="30" s="1"/>
  <c r="V329" i="30"/>
  <c r="X329" i="30" s="1"/>
  <c r="V330" i="30"/>
  <c r="X330" i="30" s="1"/>
  <c r="V331" i="30"/>
  <c r="X331" i="30" s="1"/>
  <c r="V332" i="30"/>
  <c r="X332" i="30" s="1"/>
  <c r="V333" i="30"/>
  <c r="X333" i="30" s="1"/>
  <c r="V334" i="30"/>
  <c r="X334" i="30" s="1"/>
  <c r="V335" i="30"/>
  <c r="X335" i="30" s="1"/>
  <c r="V336" i="30"/>
  <c r="X336" i="30" s="1"/>
  <c r="V337" i="30"/>
  <c r="X337" i="30" s="1"/>
  <c r="V338" i="30"/>
  <c r="X338" i="30" s="1"/>
  <c r="V339" i="30"/>
  <c r="X339" i="30" s="1"/>
  <c r="V340" i="30"/>
  <c r="X340" i="30" s="1"/>
  <c r="V341" i="30"/>
  <c r="X341" i="30" s="1"/>
  <c r="V342" i="30"/>
  <c r="X342" i="30" s="1"/>
  <c r="V343" i="30"/>
  <c r="X343" i="30" s="1"/>
  <c r="V344" i="30"/>
  <c r="X344" i="30" s="1"/>
  <c r="V345" i="30"/>
  <c r="X345" i="30" s="1"/>
  <c r="V346" i="30"/>
  <c r="X346" i="30" s="1"/>
  <c r="V347" i="30"/>
  <c r="X347" i="30" s="1"/>
  <c r="V348" i="30"/>
  <c r="X348" i="30" s="1"/>
  <c r="V349" i="30"/>
  <c r="X349" i="30" s="1"/>
  <c r="V350" i="30"/>
  <c r="X350" i="30" s="1"/>
  <c r="V351" i="30"/>
  <c r="X351" i="30" s="1"/>
  <c r="V352" i="30"/>
  <c r="X352" i="30" s="1"/>
  <c r="V353" i="30"/>
  <c r="X353" i="30" s="1"/>
  <c r="V354" i="30"/>
  <c r="X354" i="30" s="1"/>
  <c r="V355" i="30"/>
  <c r="X355" i="30" s="1"/>
  <c r="V356" i="30"/>
  <c r="X356" i="30" s="1"/>
  <c r="V357" i="30"/>
  <c r="X357" i="30" s="1"/>
  <c r="V358" i="30"/>
  <c r="X358" i="30" s="1"/>
  <c r="V359" i="30"/>
  <c r="X359" i="30" s="1"/>
  <c r="V360" i="30"/>
  <c r="X360" i="30" s="1"/>
  <c r="V361" i="30"/>
  <c r="X361" i="30" s="1"/>
  <c r="V362" i="30"/>
  <c r="X362" i="30" s="1"/>
  <c r="V363" i="30"/>
  <c r="X363" i="30" s="1"/>
  <c r="V364" i="30"/>
  <c r="X364" i="30" s="1"/>
  <c r="V365" i="30"/>
  <c r="X365" i="30" s="1"/>
  <c r="V366" i="30"/>
  <c r="X366" i="30" s="1"/>
  <c r="V367" i="30"/>
  <c r="X367" i="30" s="1"/>
  <c r="V368" i="30"/>
  <c r="X368" i="30" s="1"/>
  <c r="V369" i="30"/>
  <c r="X369" i="30" s="1"/>
  <c r="V370" i="30"/>
  <c r="X370" i="30" s="1"/>
  <c r="V371" i="30"/>
  <c r="X371" i="30" s="1"/>
  <c r="V372" i="30"/>
  <c r="X372" i="30" s="1"/>
  <c r="V373" i="30"/>
  <c r="X373" i="30" s="1"/>
  <c r="V374" i="30"/>
  <c r="X374" i="30" s="1"/>
  <c r="V375" i="30"/>
  <c r="X375" i="30" s="1"/>
  <c r="V376" i="30"/>
  <c r="X376" i="30" s="1"/>
  <c r="V377" i="30"/>
  <c r="X377" i="30" s="1"/>
  <c r="V378" i="30"/>
  <c r="X378" i="30" s="1"/>
  <c r="V379" i="30"/>
  <c r="X379" i="30" s="1"/>
  <c r="V380" i="30"/>
  <c r="X380" i="30" s="1"/>
  <c r="V381" i="30"/>
  <c r="X381" i="30" s="1"/>
  <c r="V382" i="30"/>
  <c r="X382" i="30" s="1"/>
  <c r="V383" i="30"/>
  <c r="X383" i="30" s="1"/>
  <c r="V384" i="30"/>
  <c r="X384" i="30" s="1"/>
  <c r="V385" i="30"/>
  <c r="X385" i="30" s="1"/>
  <c r="V386" i="30"/>
  <c r="X386" i="30" s="1"/>
  <c r="V387" i="30"/>
  <c r="X387" i="30" s="1"/>
  <c r="V388" i="30"/>
  <c r="X388" i="30" s="1"/>
  <c r="V389" i="30"/>
  <c r="X389" i="30" s="1"/>
  <c r="V390" i="30"/>
  <c r="X390" i="30" s="1"/>
  <c r="V391" i="30"/>
  <c r="X391" i="30" s="1"/>
  <c r="V392" i="30"/>
  <c r="X392" i="30" s="1"/>
  <c r="V393" i="30"/>
  <c r="X393" i="30" s="1"/>
  <c r="V394" i="30"/>
  <c r="X394" i="30" s="1"/>
  <c r="V395" i="30"/>
  <c r="X395" i="30" s="1"/>
  <c r="V396" i="30"/>
  <c r="X396" i="30" s="1"/>
  <c r="V397" i="30"/>
  <c r="X397" i="30" s="1"/>
  <c r="V398" i="30"/>
  <c r="X398" i="30" s="1"/>
  <c r="V399" i="30"/>
  <c r="X399" i="30" s="1"/>
  <c r="V400" i="30"/>
  <c r="X400" i="30" s="1"/>
  <c r="R4" i="30"/>
  <c r="R5" i="30"/>
  <c r="R6" i="30"/>
  <c r="T6" i="30" s="1"/>
  <c r="R7" i="30"/>
  <c r="T7" i="30" s="1"/>
  <c r="R8" i="30"/>
  <c r="T8" i="30" s="1"/>
  <c r="R9" i="30"/>
  <c r="T9" i="30" s="1"/>
  <c r="R10" i="30"/>
  <c r="T10" i="30" s="1"/>
  <c r="R11" i="30"/>
  <c r="R12" i="30"/>
  <c r="R13" i="30"/>
  <c r="T13" i="30" s="1"/>
  <c r="R14" i="30"/>
  <c r="T14" i="30" s="1"/>
  <c r="R15" i="30"/>
  <c r="T15" i="30" s="1"/>
  <c r="R16" i="30"/>
  <c r="R17" i="30"/>
  <c r="T17" i="30" s="1"/>
  <c r="R18" i="30"/>
  <c r="T18" i="30" s="1"/>
  <c r="R19" i="30"/>
  <c r="T19" i="30" s="1"/>
  <c r="R20" i="30"/>
  <c r="T20" i="30" s="1"/>
  <c r="R21" i="30"/>
  <c r="T21" i="30" s="1"/>
  <c r="R22" i="30"/>
  <c r="R23" i="30"/>
  <c r="R24" i="30"/>
  <c r="R25" i="30"/>
  <c r="R26" i="30"/>
  <c r="R27" i="30"/>
  <c r="R28" i="30"/>
  <c r="T28" i="30" s="1"/>
  <c r="R29" i="30"/>
  <c r="T29" i="30" s="1"/>
  <c r="R30" i="30"/>
  <c r="T30" i="30" s="1"/>
  <c r="R31" i="30"/>
  <c r="T31" i="30" s="1"/>
  <c r="R32" i="30"/>
  <c r="T32" i="30" s="1"/>
  <c r="R33" i="30"/>
  <c r="R34" i="30"/>
  <c r="T34" i="30" s="1"/>
  <c r="R35" i="30"/>
  <c r="T35" i="30" s="1"/>
  <c r="R36" i="30"/>
  <c r="R37" i="30"/>
  <c r="R38" i="30"/>
  <c r="R39" i="30"/>
  <c r="R40" i="30"/>
  <c r="R41" i="30"/>
  <c r="T41" i="30" s="1"/>
  <c r="R42" i="30"/>
  <c r="T42" i="30" s="1"/>
  <c r="R43" i="30"/>
  <c r="T43" i="30" s="1"/>
  <c r="R44" i="30"/>
  <c r="T44" i="30" s="1"/>
  <c r="R45" i="30"/>
  <c r="R46" i="30"/>
  <c r="T46" i="30" s="1"/>
  <c r="R47" i="30"/>
  <c r="R48" i="30"/>
  <c r="T48" i="30" s="1"/>
  <c r="R49" i="30"/>
  <c r="T49" i="30" s="1"/>
  <c r="R50" i="30"/>
  <c r="T50" i="30" s="1"/>
  <c r="R51" i="30"/>
  <c r="T51" i="30" s="1"/>
  <c r="R52" i="30"/>
  <c r="T52" i="30" s="1"/>
  <c r="R53" i="30"/>
  <c r="T53" i="30" s="1"/>
  <c r="R54" i="30"/>
  <c r="T54" i="30" s="1"/>
  <c r="R55" i="30"/>
  <c r="T55" i="30" s="1"/>
  <c r="R56" i="30"/>
  <c r="T56" i="30" s="1"/>
  <c r="R57" i="30"/>
  <c r="T57" i="30" s="1"/>
  <c r="R58" i="30"/>
  <c r="T58" i="30" s="1"/>
  <c r="R59" i="30"/>
  <c r="T59" i="30" s="1"/>
  <c r="R60" i="30"/>
  <c r="T60" i="30" s="1"/>
  <c r="R61" i="30"/>
  <c r="R62" i="30"/>
  <c r="T62" i="30" s="1"/>
  <c r="R63" i="30"/>
  <c r="T63" i="30" s="1"/>
  <c r="R64" i="30"/>
  <c r="T64" i="30" s="1"/>
  <c r="R65" i="30"/>
  <c r="R66" i="30"/>
  <c r="R67" i="30"/>
  <c r="R68" i="30"/>
  <c r="R69" i="30"/>
  <c r="R70" i="30"/>
  <c r="R71" i="30"/>
  <c r="T71" i="30" s="1"/>
  <c r="R72" i="30"/>
  <c r="T72" i="30" s="1"/>
  <c r="R73" i="30"/>
  <c r="T73" i="30" s="1"/>
  <c r="R74" i="30"/>
  <c r="R75" i="30"/>
  <c r="R76" i="30"/>
  <c r="T76" i="30" s="1"/>
  <c r="R77" i="30"/>
  <c r="T77" i="30" s="1"/>
  <c r="R78" i="30"/>
  <c r="T78" i="30" s="1"/>
  <c r="R79" i="30"/>
  <c r="T79" i="30" s="1"/>
  <c r="R80" i="30"/>
  <c r="T80" i="30" s="1"/>
  <c r="R81" i="30"/>
  <c r="R82" i="30"/>
  <c r="R83" i="30"/>
  <c r="T83" i="30" s="1"/>
  <c r="R84" i="30"/>
  <c r="T84" i="30" s="1"/>
  <c r="R85" i="30"/>
  <c r="T85" i="30" s="1"/>
  <c r="R86" i="30"/>
  <c r="R87" i="30"/>
  <c r="R88" i="30"/>
  <c r="R89" i="30"/>
  <c r="R90" i="30"/>
  <c r="T90" i="30" s="1"/>
  <c r="R91" i="30"/>
  <c r="T91" i="30" s="1"/>
  <c r="R92" i="30"/>
  <c r="T92" i="30" s="1"/>
  <c r="R93" i="30"/>
  <c r="T93" i="30" s="1"/>
  <c r="R94" i="30"/>
  <c r="T94" i="30" s="1"/>
  <c r="R95" i="30"/>
  <c r="T95" i="30" s="1"/>
  <c r="R96" i="30"/>
  <c r="T96" i="30" s="1"/>
  <c r="R97" i="30"/>
  <c r="T97" i="30" s="1"/>
  <c r="R98" i="30"/>
  <c r="T98" i="30" s="1"/>
  <c r="R99" i="30"/>
  <c r="T99" i="30" s="1"/>
  <c r="R100" i="30"/>
  <c r="T100" i="30" s="1"/>
  <c r="R101" i="30"/>
  <c r="T101" i="30" s="1"/>
  <c r="R102" i="30"/>
  <c r="T102" i="30" s="1"/>
  <c r="R103" i="30"/>
  <c r="T103" i="30" s="1"/>
  <c r="R104" i="30"/>
  <c r="R105" i="30"/>
  <c r="T105" i="30" s="1"/>
  <c r="R106" i="30"/>
  <c r="T106" i="30" s="1"/>
  <c r="R107" i="30"/>
  <c r="T107" i="30" s="1"/>
  <c r="R108" i="30"/>
  <c r="T108" i="30" s="1"/>
  <c r="R109" i="30"/>
  <c r="T109" i="30" s="1"/>
  <c r="R110" i="30"/>
  <c r="T110" i="30" s="1"/>
  <c r="R111" i="30"/>
  <c r="R112" i="30"/>
  <c r="R113" i="30"/>
  <c r="T113" i="30" s="1"/>
  <c r="R114" i="30"/>
  <c r="T114" i="30" s="1"/>
  <c r="R115" i="30"/>
  <c r="T115" i="30" s="1"/>
  <c r="R116" i="30"/>
  <c r="R117" i="30"/>
  <c r="R118" i="30"/>
  <c r="T118" i="30" s="1"/>
  <c r="R119" i="30"/>
  <c r="T119" i="30" s="1"/>
  <c r="R120" i="30"/>
  <c r="T120" i="30" s="1"/>
  <c r="R121" i="30"/>
  <c r="R122" i="30"/>
  <c r="T122" i="30" s="1"/>
  <c r="R123" i="30"/>
  <c r="T123" i="30" s="1"/>
  <c r="R124" i="30"/>
  <c r="T124" i="30" s="1"/>
  <c r="R125" i="30"/>
  <c r="T125" i="30" s="1"/>
  <c r="R126" i="30"/>
  <c r="T126" i="30" s="1"/>
  <c r="R127" i="30"/>
  <c r="T127" i="30" s="1"/>
  <c r="R128" i="30"/>
  <c r="T128" i="30" s="1"/>
  <c r="R129" i="30"/>
  <c r="R130" i="30"/>
  <c r="R131" i="30"/>
  <c r="R132" i="30"/>
  <c r="R133" i="30"/>
  <c r="R134" i="30"/>
  <c r="T134" i="30" s="1"/>
  <c r="R135" i="30"/>
  <c r="T135" i="30" s="1"/>
  <c r="R136" i="30"/>
  <c r="T136" i="30" s="1"/>
  <c r="R137" i="30"/>
  <c r="T137" i="30" s="1"/>
  <c r="R138" i="30"/>
  <c r="R139" i="30"/>
  <c r="T139" i="30" s="1"/>
  <c r="R140" i="30"/>
  <c r="T140" i="30" s="1"/>
  <c r="R141" i="30"/>
  <c r="T141" i="30" s="1"/>
  <c r="R142" i="30"/>
  <c r="R143" i="30"/>
  <c r="T143" i="30" s="1"/>
  <c r="R144" i="30"/>
  <c r="T144" i="30" s="1"/>
  <c r="R145" i="30"/>
  <c r="T145" i="30" s="1"/>
  <c r="R146" i="30"/>
  <c r="T146" i="30" s="1"/>
  <c r="R147" i="30"/>
  <c r="T147" i="30" s="1"/>
  <c r="R148" i="30"/>
  <c r="R149" i="30"/>
  <c r="T149" i="30" s="1"/>
  <c r="R150" i="30"/>
  <c r="T150" i="30" s="1"/>
  <c r="R151" i="30"/>
  <c r="R152" i="30"/>
  <c r="T152" i="30" s="1"/>
  <c r="R153" i="30"/>
  <c r="T153" i="30" s="1"/>
  <c r="R154" i="30"/>
  <c r="T154" i="30" s="1"/>
  <c r="R155" i="30"/>
  <c r="T155" i="30" s="1"/>
  <c r="R156" i="30"/>
  <c r="T156" i="30" s="1"/>
  <c r="R157" i="30"/>
  <c r="T157" i="30" s="1"/>
  <c r="R158" i="30"/>
  <c r="T158" i="30" s="1"/>
  <c r="R159" i="30"/>
  <c r="T159" i="30" s="1"/>
  <c r="R160" i="30"/>
  <c r="T160" i="30" s="1"/>
  <c r="R161" i="30"/>
  <c r="T161" i="30" s="1"/>
  <c r="R162" i="30"/>
  <c r="T162" i="30" s="1"/>
  <c r="R163" i="30"/>
  <c r="T163" i="30" s="1"/>
  <c r="R164" i="30"/>
  <c r="T164" i="30" s="1"/>
  <c r="R165" i="30"/>
  <c r="T165" i="30" s="1"/>
  <c r="R166" i="30"/>
  <c r="T166" i="30" s="1"/>
  <c r="R167" i="30"/>
  <c r="T167" i="30" s="1"/>
  <c r="R168" i="30"/>
  <c r="T168" i="30" s="1"/>
  <c r="R169" i="30"/>
  <c r="T169" i="30" s="1"/>
  <c r="R170" i="30"/>
  <c r="T170" i="30" s="1"/>
  <c r="R171" i="30"/>
  <c r="T171" i="30" s="1"/>
  <c r="R172" i="30"/>
  <c r="T172" i="30" s="1"/>
  <c r="R173" i="30"/>
  <c r="T173" i="30" s="1"/>
  <c r="R174" i="30"/>
  <c r="T174" i="30" s="1"/>
  <c r="R175" i="30"/>
  <c r="T175" i="30" s="1"/>
  <c r="R176" i="30"/>
  <c r="T176" i="30" s="1"/>
  <c r="R177" i="30"/>
  <c r="T177" i="30" s="1"/>
  <c r="R178" i="30"/>
  <c r="T178" i="30" s="1"/>
  <c r="R179" i="30"/>
  <c r="T179" i="30" s="1"/>
  <c r="R180" i="30"/>
  <c r="T180" i="30" s="1"/>
  <c r="R181" i="30"/>
  <c r="T181" i="30" s="1"/>
  <c r="R182" i="30"/>
  <c r="T182" i="30" s="1"/>
  <c r="R183" i="30"/>
  <c r="T183" i="30" s="1"/>
  <c r="R184" i="30"/>
  <c r="T184" i="30" s="1"/>
  <c r="R185" i="30"/>
  <c r="T185" i="30" s="1"/>
  <c r="R186" i="30"/>
  <c r="T186" i="30" s="1"/>
  <c r="R187" i="30"/>
  <c r="T187" i="30" s="1"/>
  <c r="R188" i="30"/>
  <c r="T188" i="30" s="1"/>
  <c r="R189" i="30"/>
  <c r="T189" i="30" s="1"/>
  <c r="R190" i="30"/>
  <c r="T190" i="30" s="1"/>
  <c r="R191" i="30"/>
  <c r="T191" i="30" s="1"/>
  <c r="R192" i="30"/>
  <c r="T192" i="30" s="1"/>
  <c r="R193" i="30"/>
  <c r="T193" i="30" s="1"/>
  <c r="R194" i="30"/>
  <c r="T194" i="30" s="1"/>
  <c r="R195" i="30"/>
  <c r="T195" i="30" s="1"/>
  <c r="R196" i="30"/>
  <c r="T196" i="30" s="1"/>
  <c r="R197" i="30"/>
  <c r="T197" i="30" s="1"/>
  <c r="R198" i="30"/>
  <c r="T198" i="30" s="1"/>
  <c r="R199" i="30"/>
  <c r="T199" i="30" s="1"/>
  <c r="R200" i="30"/>
  <c r="T200" i="30" s="1"/>
  <c r="R201" i="30"/>
  <c r="T201" i="30" s="1"/>
  <c r="R202" i="30"/>
  <c r="T202" i="30" s="1"/>
  <c r="R203" i="30"/>
  <c r="T203" i="30" s="1"/>
  <c r="R204" i="30"/>
  <c r="T204" i="30" s="1"/>
  <c r="R205" i="30"/>
  <c r="T205" i="30" s="1"/>
  <c r="R206" i="30"/>
  <c r="T206" i="30" s="1"/>
  <c r="R207" i="30"/>
  <c r="T207" i="30" s="1"/>
  <c r="R208" i="30"/>
  <c r="T208" i="30" s="1"/>
  <c r="R209" i="30"/>
  <c r="T209" i="30" s="1"/>
  <c r="R210" i="30"/>
  <c r="T210" i="30" s="1"/>
  <c r="R211" i="30"/>
  <c r="T211" i="30" s="1"/>
  <c r="R212" i="30"/>
  <c r="T212" i="30" s="1"/>
  <c r="R213" i="30"/>
  <c r="T213" i="30" s="1"/>
  <c r="R214" i="30"/>
  <c r="T214" i="30" s="1"/>
  <c r="R215" i="30"/>
  <c r="T215" i="30" s="1"/>
  <c r="R216" i="30"/>
  <c r="T216" i="30" s="1"/>
  <c r="R217" i="30"/>
  <c r="T217" i="30" s="1"/>
  <c r="R218" i="30"/>
  <c r="T218" i="30" s="1"/>
  <c r="R219" i="30"/>
  <c r="T219" i="30" s="1"/>
  <c r="R220" i="30"/>
  <c r="T220" i="30" s="1"/>
  <c r="R221" i="30"/>
  <c r="T221" i="30" s="1"/>
  <c r="R222" i="30"/>
  <c r="T222" i="30" s="1"/>
  <c r="R223" i="30"/>
  <c r="T223" i="30" s="1"/>
  <c r="R224" i="30"/>
  <c r="T224" i="30" s="1"/>
  <c r="R225" i="30"/>
  <c r="T225" i="30" s="1"/>
  <c r="R226" i="30"/>
  <c r="T226" i="30" s="1"/>
  <c r="R227" i="30"/>
  <c r="T227" i="30" s="1"/>
  <c r="R228" i="30"/>
  <c r="T228" i="30" s="1"/>
  <c r="R229" i="30"/>
  <c r="T229" i="30" s="1"/>
  <c r="R230" i="30"/>
  <c r="T230" i="30" s="1"/>
  <c r="R231" i="30"/>
  <c r="T231" i="30" s="1"/>
  <c r="R232" i="30"/>
  <c r="T232" i="30" s="1"/>
  <c r="R233" i="30"/>
  <c r="T233" i="30" s="1"/>
  <c r="R234" i="30"/>
  <c r="T234" i="30" s="1"/>
  <c r="R235" i="30"/>
  <c r="T235" i="30" s="1"/>
  <c r="R236" i="30"/>
  <c r="T236" i="30" s="1"/>
  <c r="R237" i="30"/>
  <c r="T237" i="30" s="1"/>
  <c r="R238" i="30"/>
  <c r="T238" i="30" s="1"/>
  <c r="R239" i="30"/>
  <c r="T239" i="30" s="1"/>
  <c r="R240" i="30"/>
  <c r="T240" i="30" s="1"/>
  <c r="R241" i="30"/>
  <c r="T241" i="30" s="1"/>
  <c r="R242" i="30"/>
  <c r="T242" i="30" s="1"/>
  <c r="R243" i="30"/>
  <c r="T243" i="30" s="1"/>
  <c r="R244" i="30"/>
  <c r="T244" i="30" s="1"/>
  <c r="R245" i="30"/>
  <c r="T245" i="30" s="1"/>
  <c r="R246" i="30"/>
  <c r="T246" i="30" s="1"/>
  <c r="R247" i="30"/>
  <c r="T247" i="30" s="1"/>
  <c r="R248" i="30"/>
  <c r="T248" i="30" s="1"/>
  <c r="R249" i="30"/>
  <c r="T249" i="30" s="1"/>
  <c r="R250" i="30"/>
  <c r="T250" i="30" s="1"/>
  <c r="R251" i="30"/>
  <c r="T251" i="30" s="1"/>
  <c r="R252" i="30"/>
  <c r="T252" i="30" s="1"/>
  <c r="R253" i="30"/>
  <c r="T253" i="30" s="1"/>
  <c r="R254" i="30"/>
  <c r="T254" i="30" s="1"/>
  <c r="R255" i="30"/>
  <c r="T255" i="30" s="1"/>
  <c r="R256" i="30"/>
  <c r="T256" i="30" s="1"/>
  <c r="R257" i="30"/>
  <c r="T257" i="30" s="1"/>
  <c r="R258" i="30"/>
  <c r="T258" i="30" s="1"/>
  <c r="R259" i="30"/>
  <c r="T259" i="30" s="1"/>
  <c r="R260" i="30"/>
  <c r="T260" i="30" s="1"/>
  <c r="R261" i="30"/>
  <c r="T261" i="30" s="1"/>
  <c r="R262" i="30"/>
  <c r="T262" i="30" s="1"/>
  <c r="R263" i="30"/>
  <c r="T263" i="30" s="1"/>
  <c r="R264" i="30"/>
  <c r="T264" i="30" s="1"/>
  <c r="R265" i="30"/>
  <c r="T265" i="30" s="1"/>
  <c r="R266" i="30"/>
  <c r="T266" i="30" s="1"/>
  <c r="R267" i="30"/>
  <c r="T267" i="30" s="1"/>
  <c r="R268" i="30"/>
  <c r="T268" i="30" s="1"/>
  <c r="R269" i="30"/>
  <c r="T269" i="30" s="1"/>
  <c r="R270" i="30"/>
  <c r="T270" i="30" s="1"/>
  <c r="R271" i="30"/>
  <c r="T271" i="30" s="1"/>
  <c r="R272" i="30"/>
  <c r="T272" i="30" s="1"/>
  <c r="R273" i="30"/>
  <c r="T273" i="30" s="1"/>
  <c r="R274" i="30"/>
  <c r="T274" i="30" s="1"/>
  <c r="R275" i="30"/>
  <c r="T275" i="30" s="1"/>
  <c r="R276" i="30"/>
  <c r="T276" i="30" s="1"/>
  <c r="R277" i="30"/>
  <c r="T277" i="30" s="1"/>
  <c r="R278" i="30"/>
  <c r="T278" i="30" s="1"/>
  <c r="R279" i="30"/>
  <c r="T279" i="30" s="1"/>
  <c r="R280" i="30"/>
  <c r="T280" i="30" s="1"/>
  <c r="R281" i="30"/>
  <c r="T281" i="30" s="1"/>
  <c r="R282" i="30"/>
  <c r="T282" i="30" s="1"/>
  <c r="R283" i="30"/>
  <c r="T283" i="30" s="1"/>
  <c r="R284" i="30"/>
  <c r="T284" i="30" s="1"/>
  <c r="R285" i="30"/>
  <c r="T285" i="30" s="1"/>
  <c r="R286" i="30"/>
  <c r="T286" i="30" s="1"/>
  <c r="R287" i="30"/>
  <c r="T287" i="30" s="1"/>
  <c r="R288" i="30"/>
  <c r="T288" i="30" s="1"/>
  <c r="R289" i="30"/>
  <c r="T289" i="30" s="1"/>
  <c r="R290" i="30"/>
  <c r="T290" i="30" s="1"/>
  <c r="R291" i="30"/>
  <c r="T291" i="30" s="1"/>
  <c r="R292" i="30"/>
  <c r="T292" i="30" s="1"/>
  <c r="R293" i="30"/>
  <c r="T293" i="30" s="1"/>
  <c r="R294" i="30"/>
  <c r="T294" i="30" s="1"/>
  <c r="R295" i="30"/>
  <c r="T295" i="30" s="1"/>
  <c r="R296" i="30"/>
  <c r="T296" i="30" s="1"/>
  <c r="R297" i="30"/>
  <c r="T297" i="30" s="1"/>
  <c r="R298" i="30"/>
  <c r="T298" i="30" s="1"/>
  <c r="R299" i="30"/>
  <c r="T299" i="30" s="1"/>
  <c r="R300" i="30"/>
  <c r="T300" i="30" s="1"/>
  <c r="R301" i="30"/>
  <c r="T301" i="30" s="1"/>
  <c r="R302" i="30"/>
  <c r="T302" i="30" s="1"/>
  <c r="R303" i="30"/>
  <c r="T303" i="30" s="1"/>
  <c r="R304" i="30"/>
  <c r="T304" i="30" s="1"/>
  <c r="R305" i="30"/>
  <c r="T305" i="30" s="1"/>
  <c r="R306" i="30"/>
  <c r="T306" i="30" s="1"/>
  <c r="R307" i="30"/>
  <c r="T307" i="30" s="1"/>
  <c r="R308" i="30"/>
  <c r="T308" i="30" s="1"/>
  <c r="R309" i="30"/>
  <c r="T309" i="30" s="1"/>
  <c r="R310" i="30"/>
  <c r="T310" i="30" s="1"/>
  <c r="R311" i="30"/>
  <c r="T311" i="30" s="1"/>
  <c r="R312" i="30"/>
  <c r="T312" i="30" s="1"/>
  <c r="R313" i="30"/>
  <c r="T313" i="30" s="1"/>
  <c r="R314" i="30"/>
  <c r="T314" i="30" s="1"/>
  <c r="R315" i="30"/>
  <c r="T315" i="30" s="1"/>
  <c r="R316" i="30"/>
  <c r="T316" i="30" s="1"/>
  <c r="R317" i="30"/>
  <c r="T317" i="30" s="1"/>
  <c r="R318" i="30"/>
  <c r="T318" i="30" s="1"/>
  <c r="R319" i="30"/>
  <c r="T319" i="30" s="1"/>
  <c r="R320" i="30"/>
  <c r="T320" i="30" s="1"/>
  <c r="R321" i="30"/>
  <c r="T321" i="30" s="1"/>
  <c r="R322" i="30"/>
  <c r="T322" i="30" s="1"/>
  <c r="R323" i="30"/>
  <c r="T323" i="30" s="1"/>
  <c r="R324" i="30"/>
  <c r="T324" i="30" s="1"/>
  <c r="R325" i="30"/>
  <c r="T325" i="30" s="1"/>
  <c r="R326" i="30"/>
  <c r="T326" i="30" s="1"/>
  <c r="R327" i="30"/>
  <c r="T327" i="30" s="1"/>
  <c r="R328" i="30"/>
  <c r="T328" i="30" s="1"/>
  <c r="R329" i="30"/>
  <c r="T329" i="30" s="1"/>
  <c r="R330" i="30"/>
  <c r="T330" i="30" s="1"/>
  <c r="R331" i="30"/>
  <c r="T331" i="30" s="1"/>
  <c r="R332" i="30"/>
  <c r="T332" i="30" s="1"/>
  <c r="R333" i="30"/>
  <c r="T333" i="30" s="1"/>
  <c r="R334" i="30"/>
  <c r="T334" i="30" s="1"/>
  <c r="R335" i="30"/>
  <c r="T335" i="30" s="1"/>
  <c r="R336" i="30"/>
  <c r="T336" i="30" s="1"/>
  <c r="R337" i="30"/>
  <c r="T337" i="30" s="1"/>
  <c r="R338" i="30"/>
  <c r="T338" i="30" s="1"/>
  <c r="R339" i="30"/>
  <c r="T339" i="30" s="1"/>
  <c r="R340" i="30"/>
  <c r="T340" i="30" s="1"/>
  <c r="R341" i="30"/>
  <c r="T341" i="30" s="1"/>
  <c r="R342" i="30"/>
  <c r="T342" i="30" s="1"/>
  <c r="R343" i="30"/>
  <c r="T343" i="30" s="1"/>
  <c r="R344" i="30"/>
  <c r="T344" i="30" s="1"/>
  <c r="R345" i="30"/>
  <c r="T345" i="30" s="1"/>
  <c r="R346" i="30"/>
  <c r="T346" i="30" s="1"/>
  <c r="R347" i="30"/>
  <c r="T347" i="30" s="1"/>
  <c r="R348" i="30"/>
  <c r="T348" i="30" s="1"/>
  <c r="R349" i="30"/>
  <c r="T349" i="30" s="1"/>
  <c r="R350" i="30"/>
  <c r="T350" i="30" s="1"/>
  <c r="R351" i="30"/>
  <c r="T351" i="30" s="1"/>
  <c r="R352" i="30"/>
  <c r="T352" i="30" s="1"/>
  <c r="R353" i="30"/>
  <c r="T353" i="30" s="1"/>
  <c r="R354" i="30"/>
  <c r="T354" i="30" s="1"/>
  <c r="R355" i="30"/>
  <c r="T355" i="30" s="1"/>
  <c r="R356" i="30"/>
  <c r="T356" i="30" s="1"/>
  <c r="R357" i="30"/>
  <c r="T357" i="30" s="1"/>
  <c r="R358" i="30"/>
  <c r="T358" i="30" s="1"/>
  <c r="R359" i="30"/>
  <c r="T359" i="30" s="1"/>
  <c r="R360" i="30"/>
  <c r="T360" i="30" s="1"/>
  <c r="R361" i="30"/>
  <c r="T361" i="30" s="1"/>
  <c r="R362" i="30"/>
  <c r="T362" i="30" s="1"/>
  <c r="R363" i="30"/>
  <c r="T363" i="30" s="1"/>
  <c r="R364" i="30"/>
  <c r="T364" i="30" s="1"/>
  <c r="R365" i="30"/>
  <c r="T365" i="30" s="1"/>
  <c r="R366" i="30"/>
  <c r="T366" i="30" s="1"/>
  <c r="R367" i="30"/>
  <c r="T367" i="30" s="1"/>
  <c r="R368" i="30"/>
  <c r="T368" i="30" s="1"/>
  <c r="R369" i="30"/>
  <c r="T369" i="30" s="1"/>
  <c r="R370" i="30"/>
  <c r="T370" i="30" s="1"/>
  <c r="R371" i="30"/>
  <c r="T371" i="30" s="1"/>
  <c r="R372" i="30"/>
  <c r="T372" i="30" s="1"/>
  <c r="R373" i="30"/>
  <c r="T373" i="30" s="1"/>
  <c r="R374" i="30"/>
  <c r="T374" i="30" s="1"/>
  <c r="R375" i="30"/>
  <c r="T375" i="30" s="1"/>
  <c r="R376" i="30"/>
  <c r="T376" i="30" s="1"/>
  <c r="R377" i="30"/>
  <c r="T377" i="30" s="1"/>
  <c r="R378" i="30"/>
  <c r="T378" i="30" s="1"/>
  <c r="R379" i="30"/>
  <c r="T379" i="30" s="1"/>
  <c r="R380" i="30"/>
  <c r="T380" i="30" s="1"/>
  <c r="R381" i="30"/>
  <c r="T381" i="30" s="1"/>
  <c r="R382" i="30"/>
  <c r="T382" i="30" s="1"/>
  <c r="R383" i="30"/>
  <c r="T383" i="30" s="1"/>
  <c r="R384" i="30"/>
  <c r="T384" i="30" s="1"/>
  <c r="R385" i="30"/>
  <c r="T385" i="30" s="1"/>
  <c r="R386" i="30"/>
  <c r="T386" i="30" s="1"/>
  <c r="R387" i="30"/>
  <c r="T387" i="30" s="1"/>
  <c r="R388" i="30"/>
  <c r="T388" i="30" s="1"/>
  <c r="R389" i="30"/>
  <c r="T389" i="30" s="1"/>
  <c r="R390" i="30"/>
  <c r="T390" i="30" s="1"/>
  <c r="R391" i="30"/>
  <c r="T391" i="30" s="1"/>
  <c r="R392" i="30"/>
  <c r="T392" i="30" s="1"/>
  <c r="R393" i="30"/>
  <c r="T393" i="30" s="1"/>
  <c r="R394" i="30"/>
  <c r="T394" i="30" s="1"/>
  <c r="R395" i="30"/>
  <c r="T395" i="30" s="1"/>
  <c r="R396" i="30"/>
  <c r="T396" i="30" s="1"/>
  <c r="R397" i="30"/>
  <c r="T397" i="30" s="1"/>
  <c r="R398" i="30"/>
  <c r="T398" i="30" s="1"/>
  <c r="R399" i="30"/>
  <c r="T399" i="30" s="1"/>
  <c r="R400" i="30"/>
  <c r="T400" i="30" s="1"/>
  <c r="N4" i="30"/>
  <c r="N5" i="30"/>
  <c r="N6" i="30"/>
  <c r="P6" i="30" s="1"/>
  <c r="N7" i="30"/>
  <c r="P7" i="30" s="1"/>
  <c r="N8" i="30"/>
  <c r="P8" i="30" s="1"/>
  <c r="N9" i="30"/>
  <c r="P9" i="30" s="1"/>
  <c r="N10" i="30"/>
  <c r="P10" i="30" s="1"/>
  <c r="N11" i="30"/>
  <c r="N12" i="30"/>
  <c r="N13" i="30"/>
  <c r="P13" i="30" s="1"/>
  <c r="N14" i="30"/>
  <c r="P14" i="30" s="1"/>
  <c r="N15" i="30"/>
  <c r="P15" i="30" s="1"/>
  <c r="N16" i="30"/>
  <c r="N17" i="30"/>
  <c r="P17" i="30" s="1"/>
  <c r="N18" i="30"/>
  <c r="P18" i="30" s="1"/>
  <c r="N19" i="30"/>
  <c r="P19" i="30" s="1"/>
  <c r="N20" i="30"/>
  <c r="P20" i="30" s="1"/>
  <c r="N21" i="30"/>
  <c r="P21" i="30" s="1"/>
  <c r="N22" i="30"/>
  <c r="N23" i="30"/>
  <c r="N24" i="30"/>
  <c r="N25" i="30"/>
  <c r="N26" i="30"/>
  <c r="N27" i="30"/>
  <c r="N28" i="30"/>
  <c r="P28" i="30" s="1"/>
  <c r="N29" i="30"/>
  <c r="P29" i="30" s="1"/>
  <c r="N30" i="30"/>
  <c r="P30" i="30" s="1"/>
  <c r="N31" i="30"/>
  <c r="P31" i="30" s="1"/>
  <c r="N32" i="30"/>
  <c r="P32" i="30" s="1"/>
  <c r="N33" i="30"/>
  <c r="N34" i="30"/>
  <c r="P34" i="30" s="1"/>
  <c r="N35" i="30"/>
  <c r="P35" i="30" s="1"/>
  <c r="N36" i="30"/>
  <c r="N37" i="30"/>
  <c r="N38" i="30"/>
  <c r="N39" i="30"/>
  <c r="N40" i="30"/>
  <c r="N41" i="30"/>
  <c r="P41" i="30" s="1"/>
  <c r="N42" i="30"/>
  <c r="P42" i="30" s="1"/>
  <c r="N43" i="30"/>
  <c r="P43" i="30" s="1"/>
  <c r="N44" i="30"/>
  <c r="P44" i="30" s="1"/>
  <c r="N45" i="30"/>
  <c r="N46" i="30"/>
  <c r="P46" i="30" s="1"/>
  <c r="N47" i="30"/>
  <c r="N48" i="30"/>
  <c r="P48" i="30" s="1"/>
  <c r="N49" i="30"/>
  <c r="P49" i="30" s="1"/>
  <c r="N50" i="30"/>
  <c r="P50" i="30" s="1"/>
  <c r="N51" i="30"/>
  <c r="P51" i="30" s="1"/>
  <c r="N52" i="30"/>
  <c r="P52" i="30" s="1"/>
  <c r="N53" i="30"/>
  <c r="P53" i="30" s="1"/>
  <c r="N54" i="30"/>
  <c r="P54" i="30" s="1"/>
  <c r="N55" i="30"/>
  <c r="P55" i="30" s="1"/>
  <c r="N56" i="30"/>
  <c r="P56" i="30" s="1"/>
  <c r="N57" i="30"/>
  <c r="P57" i="30" s="1"/>
  <c r="N58" i="30"/>
  <c r="P58" i="30" s="1"/>
  <c r="N59" i="30"/>
  <c r="P59" i="30" s="1"/>
  <c r="N60" i="30"/>
  <c r="P60" i="30" s="1"/>
  <c r="N61" i="30"/>
  <c r="N62" i="30"/>
  <c r="P62" i="30" s="1"/>
  <c r="N63" i="30"/>
  <c r="P63" i="30" s="1"/>
  <c r="N64" i="30"/>
  <c r="P64" i="30" s="1"/>
  <c r="N65" i="30"/>
  <c r="N66" i="30"/>
  <c r="N67" i="30"/>
  <c r="N68" i="30"/>
  <c r="N69" i="30"/>
  <c r="N70" i="30"/>
  <c r="N71" i="30"/>
  <c r="P71" i="30" s="1"/>
  <c r="N72" i="30"/>
  <c r="P72" i="30" s="1"/>
  <c r="N73" i="30"/>
  <c r="P73" i="30" s="1"/>
  <c r="N74" i="30"/>
  <c r="N75" i="30"/>
  <c r="N76" i="30"/>
  <c r="P76" i="30" s="1"/>
  <c r="N77" i="30"/>
  <c r="P77" i="30" s="1"/>
  <c r="N78" i="30"/>
  <c r="P78" i="30" s="1"/>
  <c r="N79" i="30"/>
  <c r="P79" i="30" s="1"/>
  <c r="N80" i="30"/>
  <c r="P80" i="30" s="1"/>
  <c r="N81" i="30"/>
  <c r="N82" i="30"/>
  <c r="N83" i="30"/>
  <c r="P83" i="30" s="1"/>
  <c r="N84" i="30"/>
  <c r="P84" i="30" s="1"/>
  <c r="N85" i="30"/>
  <c r="P85" i="30" s="1"/>
  <c r="N86" i="30"/>
  <c r="N87" i="30"/>
  <c r="N88" i="30"/>
  <c r="N89" i="30"/>
  <c r="N90" i="30"/>
  <c r="P90" i="30" s="1"/>
  <c r="N91" i="30"/>
  <c r="P91" i="30" s="1"/>
  <c r="N92" i="30"/>
  <c r="P92" i="30" s="1"/>
  <c r="N93" i="30"/>
  <c r="P93" i="30" s="1"/>
  <c r="N94" i="30"/>
  <c r="P94" i="30" s="1"/>
  <c r="N95" i="30"/>
  <c r="P95" i="30" s="1"/>
  <c r="N96" i="30"/>
  <c r="P96" i="30" s="1"/>
  <c r="N97" i="30"/>
  <c r="P97" i="30" s="1"/>
  <c r="N98" i="30"/>
  <c r="P98" i="30" s="1"/>
  <c r="N99" i="30"/>
  <c r="P99" i="30" s="1"/>
  <c r="N100" i="30"/>
  <c r="P100" i="30" s="1"/>
  <c r="N101" i="30"/>
  <c r="P101" i="30" s="1"/>
  <c r="N102" i="30"/>
  <c r="P102" i="30" s="1"/>
  <c r="N103" i="30"/>
  <c r="P103" i="30" s="1"/>
  <c r="N104" i="30"/>
  <c r="N105" i="30"/>
  <c r="P105" i="30" s="1"/>
  <c r="N106" i="30"/>
  <c r="P106" i="30" s="1"/>
  <c r="N107" i="30"/>
  <c r="P107" i="30" s="1"/>
  <c r="N108" i="30"/>
  <c r="P108" i="30" s="1"/>
  <c r="N109" i="30"/>
  <c r="P109" i="30" s="1"/>
  <c r="N110" i="30"/>
  <c r="P110" i="30" s="1"/>
  <c r="N111" i="30"/>
  <c r="N112" i="30"/>
  <c r="N113" i="30"/>
  <c r="P113" i="30" s="1"/>
  <c r="N114" i="30"/>
  <c r="P114" i="30" s="1"/>
  <c r="N115" i="30"/>
  <c r="P115" i="30" s="1"/>
  <c r="N116" i="30"/>
  <c r="N117" i="30"/>
  <c r="N118" i="30"/>
  <c r="P118" i="30" s="1"/>
  <c r="N119" i="30"/>
  <c r="P119" i="30" s="1"/>
  <c r="N120" i="30"/>
  <c r="P120" i="30" s="1"/>
  <c r="N121" i="30"/>
  <c r="N122" i="30"/>
  <c r="P122" i="30" s="1"/>
  <c r="N123" i="30"/>
  <c r="P123" i="30" s="1"/>
  <c r="N124" i="30"/>
  <c r="P124" i="30" s="1"/>
  <c r="N125" i="30"/>
  <c r="P125" i="30" s="1"/>
  <c r="N126" i="30"/>
  <c r="P126" i="30" s="1"/>
  <c r="N127" i="30"/>
  <c r="P127" i="30" s="1"/>
  <c r="N128" i="30"/>
  <c r="P128" i="30" s="1"/>
  <c r="N129" i="30"/>
  <c r="N130" i="30"/>
  <c r="N131" i="30"/>
  <c r="N132" i="30"/>
  <c r="N133" i="30"/>
  <c r="N134" i="30"/>
  <c r="P134" i="30" s="1"/>
  <c r="N135" i="30"/>
  <c r="P135" i="30" s="1"/>
  <c r="N136" i="30"/>
  <c r="P136" i="30" s="1"/>
  <c r="N137" i="30"/>
  <c r="P137" i="30" s="1"/>
  <c r="N138" i="30"/>
  <c r="N139" i="30"/>
  <c r="P139" i="30" s="1"/>
  <c r="N140" i="30"/>
  <c r="P140" i="30" s="1"/>
  <c r="N141" i="30"/>
  <c r="P141" i="30" s="1"/>
  <c r="N142" i="30"/>
  <c r="N143" i="30"/>
  <c r="P143" i="30" s="1"/>
  <c r="N144" i="30"/>
  <c r="P144" i="30" s="1"/>
  <c r="N145" i="30"/>
  <c r="P145" i="30" s="1"/>
  <c r="N146" i="30"/>
  <c r="P146" i="30" s="1"/>
  <c r="N147" i="30"/>
  <c r="P147" i="30" s="1"/>
  <c r="N148" i="30"/>
  <c r="N149" i="30"/>
  <c r="P149" i="30" s="1"/>
  <c r="N150" i="30"/>
  <c r="P150" i="30" s="1"/>
  <c r="N151" i="30"/>
  <c r="N152" i="30"/>
  <c r="P152" i="30" s="1"/>
  <c r="N153" i="30"/>
  <c r="P153" i="30" s="1"/>
  <c r="N154" i="30"/>
  <c r="P154" i="30" s="1"/>
  <c r="N155" i="30"/>
  <c r="P155" i="30" s="1"/>
  <c r="N156" i="30"/>
  <c r="P156" i="30" s="1"/>
  <c r="N157" i="30"/>
  <c r="P157" i="30" s="1"/>
  <c r="N158" i="30"/>
  <c r="P158" i="30" s="1"/>
  <c r="N159" i="30"/>
  <c r="P159" i="30" s="1"/>
  <c r="N160" i="30"/>
  <c r="P160" i="30" s="1"/>
  <c r="N161" i="30"/>
  <c r="P161" i="30" s="1"/>
  <c r="N162" i="30"/>
  <c r="P162" i="30" s="1"/>
  <c r="N163" i="30"/>
  <c r="P163" i="30" s="1"/>
  <c r="N164" i="30"/>
  <c r="P164" i="30" s="1"/>
  <c r="N165" i="30"/>
  <c r="P165" i="30" s="1"/>
  <c r="N166" i="30"/>
  <c r="P166" i="30" s="1"/>
  <c r="N167" i="30"/>
  <c r="P167" i="30" s="1"/>
  <c r="N168" i="30"/>
  <c r="P168" i="30" s="1"/>
  <c r="N169" i="30"/>
  <c r="P169" i="30" s="1"/>
  <c r="N170" i="30"/>
  <c r="P170" i="30" s="1"/>
  <c r="N171" i="30"/>
  <c r="P171" i="30" s="1"/>
  <c r="N172" i="30"/>
  <c r="P172" i="30" s="1"/>
  <c r="N173" i="30"/>
  <c r="P173" i="30" s="1"/>
  <c r="N174" i="30"/>
  <c r="P174" i="30" s="1"/>
  <c r="N175" i="30"/>
  <c r="P175" i="30" s="1"/>
  <c r="N176" i="30"/>
  <c r="P176" i="30" s="1"/>
  <c r="N177" i="30"/>
  <c r="P177" i="30" s="1"/>
  <c r="N178" i="30"/>
  <c r="P178" i="30" s="1"/>
  <c r="N179" i="30"/>
  <c r="P179" i="30" s="1"/>
  <c r="N180" i="30"/>
  <c r="P180" i="30" s="1"/>
  <c r="N181" i="30"/>
  <c r="P181" i="30" s="1"/>
  <c r="N182" i="30"/>
  <c r="P182" i="30" s="1"/>
  <c r="N183" i="30"/>
  <c r="P183" i="30" s="1"/>
  <c r="N184" i="30"/>
  <c r="P184" i="30" s="1"/>
  <c r="N185" i="30"/>
  <c r="P185" i="30" s="1"/>
  <c r="N186" i="30"/>
  <c r="P186" i="30" s="1"/>
  <c r="N187" i="30"/>
  <c r="P187" i="30" s="1"/>
  <c r="N188" i="30"/>
  <c r="P188" i="30" s="1"/>
  <c r="N189" i="30"/>
  <c r="P189" i="30" s="1"/>
  <c r="N190" i="30"/>
  <c r="P190" i="30" s="1"/>
  <c r="N191" i="30"/>
  <c r="P191" i="30" s="1"/>
  <c r="N192" i="30"/>
  <c r="P192" i="30" s="1"/>
  <c r="N193" i="30"/>
  <c r="P193" i="30" s="1"/>
  <c r="N194" i="30"/>
  <c r="P194" i="30" s="1"/>
  <c r="N195" i="30"/>
  <c r="P195" i="30" s="1"/>
  <c r="N196" i="30"/>
  <c r="P196" i="30" s="1"/>
  <c r="N197" i="30"/>
  <c r="P197" i="30" s="1"/>
  <c r="N198" i="30"/>
  <c r="P198" i="30" s="1"/>
  <c r="N199" i="30"/>
  <c r="P199" i="30" s="1"/>
  <c r="N200" i="30"/>
  <c r="P200" i="30" s="1"/>
  <c r="N201" i="30"/>
  <c r="P201" i="30" s="1"/>
  <c r="N202" i="30"/>
  <c r="P202" i="30" s="1"/>
  <c r="N203" i="30"/>
  <c r="P203" i="30" s="1"/>
  <c r="N204" i="30"/>
  <c r="P204" i="30" s="1"/>
  <c r="N205" i="30"/>
  <c r="P205" i="30" s="1"/>
  <c r="N206" i="30"/>
  <c r="P206" i="30" s="1"/>
  <c r="N207" i="30"/>
  <c r="P207" i="30" s="1"/>
  <c r="N208" i="30"/>
  <c r="P208" i="30" s="1"/>
  <c r="N209" i="30"/>
  <c r="P209" i="30" s="1"/>
  <c r="N210" i="30"/>
  <c r="P210" i="30" s="1"/>
  <c r="N211" i="30"/>
  <c r="P211" i="30" s="1"/>
  <c r="N212" i="30"/>
  <c r="P212" i="30" s="1"/>
  <c r="N213" i="30"/>
  <c r="P213" i="30" s="1"/>
  <c r="N214" i="30"/>
  <c r="P214" i="30" s="1"/>
  <c r="N215" i="30"/>
  <c r="P215" i="30" s="1"/>
  <c r="N216" i="30"/>
  <c r="P216" i="30" s="1"/>
  <c r="N217" i="30"/>
  <c r="P217" i="30" s="1"/>
  <c r="N218" i="30"/>
  <c r="P218" i="30" s="1"/>
  <c r="N219" i="30"/>
  <c r="P219" i="30" s="1"/>
  <c r="N220" i="30"/>
  <c r="P220" i="30" s="1"/>
  <c r="N221" i="30"/>
  <c r="P221" i="30" s="1"/>
  <c r="N222" i="30"/>
  <c r="P222" i="30" s="1"/>
  <c r="N223" i="30"/>
  <c r="P223" i="30" s="1"/>
  <c r="N224" i="30"/>
  <c r="P224" i="30" s="1"/>
  <c r="N225" i="30"/>
  <c r="P225" i="30" s="1"/>
  <c r="N226" i="30"/>
  <c r="P226" i="30" s="1"/>
  <c r="N227" i="30"/>
  <c r="P227" i="30" s="1"/>
  <c r="N228" i="30"/>
  <c r="P228" i="30" s="1"/>
  <c r="N229" i="30"/>
  <c r="P229" i="30" s="1"/>
  <c r="N230" i="30"/>
  <c r="P230" i="30" s="1"/>
  <c r="N231" i="30"/>
  <c r="P231" i="30" s="1"/>
  <c r="N232" i="30"/>
  <c r="P232" i="30" s="1"/>
  <c r="N233" i="30"/>
  <c r="P233" i="30" s="1"/>
  <c r="N234" i="30"/>
  <c r="P234" i="30" s="1"/>
  <c r="N235" i="30"/>
  <c r="P235" i="30" s="1"/>
  <c r="N236" i="30"/>
  <c r="P236" i="30" s="1"/>
  <c r="N237" i="30"/>
  <c r="P237" i="30" s="1"/>
  <c r="N238" i="30"/>
  <c r="P238" i="30" s="1"/>
  <c r="N239" i="30"/>
  <c r="P239" i="30" s="1"/>
  <c r="N240" i="30"/>
  <c r="P240" i="30" s="1"/>
  <c r="N241" i="30"/>
  <c r="P241" i="30" s="1"/>
  <c r="N242" i="30"/>
  <c r="P242" i="30" s="1"/>
  <c r="N243" i="30"/>
  <c r="P243" i="30" s="1"/>
  <c r="N244" i="30"/>
  <c r="P244" i="30" s="1"/>
  <c r="N245" i="30"/>
  <c r="P245" i="30" s="1"/>
  <c r="N246" i="30"/>
  <c r="P246" i="30" s="1"/>
  <c r="N247" i="30"/>
  <c r="P247" i="30" s="1"/>
  <c r="N248" i="30"/>
  <c r="P248" i="30" s="1"/>
  <c r="N249" i="30"/>
  <c r="P249" i="30" s="1"/>
  <c r="N250" i="30"/>
  <c r="P250" i="30" s="1"/>
  <c r="N251" i="30"/>
  <c r="P251" i="30" s="1"/>
  <c r="N252" i="30"/>
  <c r="P252" i="30" s="1"/>
  <c r="N253" i="30"/>
  <c r="P253" i="30" s="1"/>
  <c r="N254" i="30"/>
  <c r="P254" i="30" s="1"/>
  <c r="N255" i="30"/>
  <c r="P255" i="30" s="1"/>
  <c r="N256" i="30"/>
  <c r="P256" i="30" s="1"/>
  <c r="N257" i="30"/>
  <c r="P257" i="30" s="1"/>
  <c r="N258" i="30"/>
  <c r="P258" i="30" s="1"/>
  <c r="N259" i="30"/>
  <c r="P259" i="30" s="1"/>
  <c r="N260" i="30"/>
  <c r="P260" i="30" s="1"/>
  <c r="N261" i="30"/>
  <c r="P261" i="30" s="1"/>
  <c r="N262" i="30"/>
  <c r="P262" i="30" s="1"/>
  <c r="N263" i="30"/>
  <c r="P263" i="30" s="1"/>
  <c r="N264" i="30"/>
  <c r="P264" i="30" s="1"/>
  <c r="N265" i="30"/>
  <c r="P265" i="30" s="1"/>
  <c r="N266" i="30"/>
  <c r="P266" i="30" s="1"/>
  <c r="N267" i="30"/>
  <c r="P267" i="30" s="1"/>
  <c r="N268" i="30"/>
  <c r="P268" i="30" s="1"/>
  <c r="N269" i="30"/>
  <c r="P269" i="30" s="1"/>
  <c r="N270" i="30"/>
  <c r="P270" i="30" s="1"/>
  <c r="N271" i="30"/>
  <c r="P271" i="30" s="1"/>
  <c r="N272" i="30"/>
  <c r="P272" i="30" s="1"/>
  <c r="N273" i="30"/>
  <c r="P273" i="30" s="1"/>
  <c r="N274" i="30"/>
  <c r="P274" i="30" s="1"/>
  <c r="N275" i="30"/>
  <c r="P275" i="30" s="1"/>
  <c r="N276" i="30"/>
  <c r="P276" i="30" s="1"/>
  <c r="N277" i="30"/>
  <c r="P277" i="30" s="1"/>
  <c r="N278" i="30"/>
  <c r="P278" i="30" s="1"/>
  <c r="N279" i="30"/>
  <c r="P279" i="30" s="1"/>
  <c r="N280" i="30"/>
  <c r="P280" i="30" s="1"/>
  <c r="N281" i="30"/>
  <c r="P281" i="30" s="1"/>
  <c r="N282" i="30"/>
  <c r="P282" i="30" s="1"/>
  <c r="N283" i="30"/>
  <c r="P283" i="30" s="1"/>
  <c r="N284" i="30"/>
  <c r="P284" i="30" s="1"/>
  <c r="N285" i="30"/>
  <c r="P285" i="30" s="1"/>
  <c r="N286" i="30"/>
  <c r="P286" i="30" s="1"/>
  <c r="N287" i="30"/>
  <c r="P287" i="30" s="1"/>
  <c r="N288" i="30"/>
  <c r="P288" i="30" s="1"/>
  <c r="N289" i="30"/>
  <c r="P289" i="30" s="1"/>
  <c r="N290" i="30"/>
  <c r="P290" i="30" s="1"/>
  <c r="N291" i="30"/>
  <c r="P291" i="30" s="1"/>
  <c r="N292" i="30"/>
  <c r="P292" i="30" s="1"/>
  <c r="N293" i="30"/>
  <c r="P293" i="30" s="1"/>
  <c r="N294" i="30"/>
  <c r="P294" i="30" s="1"/>
  <c r="N295" i="30"/>
  <c r="P295" i="30" s="1"/>
  <c r="N296" i="30"/>
  <c r="P296" i="30" s="1"/>
  <c r="N297" i="30"/>
  <c r="P297" i="30" s="1"/>
  <c r="N298" i="30"/>
  <c r="P298" i="30" s="1"/>
  <c r="N299" i="30"/>
  <c r="P299" i="30" s="1"/>
  <c r="N300" i="30"/>
  <c r="P300" i="30" s="1"/>
  <c r="N301" i="30"/>
  <c r="P301" i="30" s="1"/>
  <c r="N302" i="30"/>
  <c r="P302" i="30" s="1"/>
  <c r="N303" i="30"/>
  <c r="P303" i="30" s="1"/>
  <c r="N304" i="30"/>
  <c r="P304" i="30" s="1"/>
  <c r="N305" i="30"/>
  <c r="P305" i="30" s="1"/>
  <c r="N306" i="30"/>
  <c r="P306" i="30" s="1"/>
  <c r="N307" i="30"/>
  <c r="P307" i="30" s="1"/>
  <c r="N308" i="30"/>
  <c r="P308" i="30" s="1"/>
  <c r="N309" i="30"/>
  <c r="P309" i="30" s="1"/>
  <c r="N310" i="30"/>
  <c r="P310" i="30" s="1"/>
  <c r="N311" i="30"/>
  <c r="P311" i="30" s="1"/>
  <c r="N312" i="30"/>
  <c r="P312" i="30" s="1"/>
  <c r="N313" i="30"/>
  <c r="P313" i="30" s="1"/>
  <c r="N314" i="30"/>
  <c r="P314" i="30" s="1"/>
  <c r="N315" i="30"/>
  <c r="P315" i="30" s="1"/>
  <c r="N316" i="30"/>
  <c r="P316" i="30" s="1"/>
  <c r="N317" i="30"/>
  <c r="P317" i="30" s="1"/>
  <c r="N318" i="30"/>
  <c r="P318" i="30" s="1"/>
  <c r="N319" i="30"/>
  <c r="P319" i="30" s="1"/>
  <c r="N320" i="30"/>
  <c r="P320" i="30" s="1"/>
  <c r="N321" i="30"/>
  <c r="P321" i="30" s="1"/>
  <c r="N322" i="30"/>
  <c r="P322" i="30" s="1"/>
  <c r="N323" i="30"/>
  <c r="P323" i="30" s="1"/>
  <c r="N324" i="30"/>
  <c r="P324" i="30" s="1"/>
  <c r="N325" i="30"/>
  <c r="P325" i="30" s="1"/>
  <c r="N326" i="30"/>
  <c r="P326" i="30" s="1"/>
  <c r="N327" i="30"/>
  <c r="P327" i="30" s="1"/>
  <c r="N328" i="30"/>
  <c r="P328" i="30" s="1"/>
  <c r="N329" i="30"/>
  <c r="P329" i="30" s="1"/>
  <c r="N330" i="30"/>
  <c r="P330" i="30" s="1"/>
  <c r="N331" i="30"/>
  <c r="P331" i="30" s="1"/>
  <c r="N332" i="30"/>
  <c r="P332" i="30" s="1"/>
  <c r="N333" i="30"/>
  <c r="P333" i="30" s="1"/>
  <c r="N334" i="30"/>
  <c r="P334" i="30" s="1"/>
  <c r="N335" i="30"/>
  <c r="P335" i="30" s="1"/>
  <c r="N336" i="30"/>
  <c r="P336" i="30" s="1"/>
  <c r="N337" i="30"/>
  <c r="P337" i="30" s="1"/>
  <c r="N338" i="30"/>
  <c r="P338" i="30" s="1"/>
  <c r="N339" i="30"/>
  <c r="P339" i="30" s="1"/>
  <c r="N340" i="30"/>
  <c r="P340" i="30" s="1"/>
  <c r="N341" i="30"/>
  <c r="P341" i="30" s="1"/>
  <c r="N342" i="30"/>
  <c r="P342" i="30" s="1"/>
  <c r="N343" i="30"/>
  <c r="P343" i="30" s="1"/>
  <c r="N344" i="30"/>
  <c r="P344" i="30" s="1"/>
  <c r="N345" i="30"/>
  <c r="P345" i="30" s="1"/>
  <c r="N346" i="30"/>
  <c r="P346" i="30" s="1"/>
  <c r="N347" i="30"/>
  <c r="P347" i="30" s="1"/>
  <c r="N348" i="30"/>
  <c r="P348" i="30" s="1"/>
  <c r="N349" i="30"/>
  <c r="P349" i="30" s="1"/>
  <c r="N350" i="30"/>
  <c r="P350" i="30" s="1"/>
  <c r="N351" i="30"/>
  <c r="P351" i="30" s="1"/>
  <c r="N352" i="30"/>
  <c r="P352" i="30" s="1"/>
  <c r="N353" i="30"/>
  <c r="P353" i="30" s="1"/>
  <c r="N354" i="30"/>
  <c r="P354" i="30" s="1"/>
  <c r="N355" i="30"/>
  <c r="P355" i="30" s="1"/>
  <c r="N356" i="30"/>
  <c r="P356" i="30" s="1"/>
  <c r="N357" i="30"/>
  <c r="P357" i="30" s="1"/>
  <c r="N358" i="30"/>
  <c r="P358" i="30" s="1"/>
  <c r="N359" i="30"/>
  <c r="P359" i="30" s="1"/>
  <c r="N360" i="30"/>
  <c r="P360" i="30" s="1"/>
  <c r="N361" i="30"/>
  <c r="P361" i="30" s="1"/>
  <c r="N362" i="30"/>
  <c r="P362" i="30" s="1"/>
  <c r="N363" i="30"/>
  <c r="P363" i="30" s="1"/>
  <c r="N364" i="30"/>
  <c r="P364" i="30" s="1"/>
  <c r="N365" i="30"/>
  <c r="P365" i="30" s="1"/>
  <c r="N366" i="30"/>
  <c r="P366" i="30" s="1"/>
  <c r="N367" i="30"/>
  <c r="P367" i="30" s="1"/>
  <c r="N368" i="30"/>
  <c r="P368" i="30" s="1"/>
  <c r="N369" i="30"/>
  <c r="P369" i="30" s="1"/>
  <c r="N370" i="30"/>
  <c r="P370" i="30" s="1"/>
  <c r="N371" i="30"/>
  <c r="P371" i="30" s="1"/>
  <c r="N372" i="30"/>
  <c r="P372" i="30" s="1"/>
  <c r="N373" i="30"/>
  <c r="P373" i="30" s="1"/>
  <c r="N374" i="30"/>
  <c r="P374" i="30" s="1"/>
  <c r="N375" i="30"/>
  <c r="P375" i="30" s="1"/>
  <c r="N376" i="30"/>
  <c r="P376" i="30" s="1"/>
  <c r="N377" i="30"/>
  <c r="P377" i="30" s="1"/>
  <c r="N378" i="30"/>
  <c r="P378" i="30" s="1"/>
  <c r="N379" i="30"/>
  <c r="P379" i="30" s="1"/>
  <c r="N380" i="30"/>
  <c r="P380" i="30" s="1"/>
  <c r="N381" i="30"/>
  <c r="P381" i="30" s="1"/>
  <c r="N382" i="30"/>
  <c r="P382" i="30" s="1"/>
  <c r="N383" i="30"/>
  <c r="P383" i="30" s="1"/>
  <c r="N384" i="30"/>
  <c r="P384" i="30" s="1"/>
  <c r="N385" i="30"/>
  <c r="P385" i="30" s="1"/>
  <c r="N386" i="30"/>
  <c r="P386" i="30" s="1"/>
  <c r="N387" i="30"/>
  <c r="P387" i="30" s="1"/>
  <c r="N388" i="30"/>
  <c r="P388" i="30" s="1"/>
  <c r="N389" i="30"/>
  <c r="P389" i="30" s="1"/>
  <c r="N390" i="30"/>
  <c r="P390" i="30" s="1"/>
  <c r="N391" i="30"/>
  <c r="P391" i="30" s="1"/>
  <c r="N392" i="30"/>
  <c r="P392" i="30" s="1"/>
  <c r="N393" i="30"/>
  <c r="P393" i="30" s="1"/>
  <c r="N394" i="30"/>
  <c r="P394" i="30" s="1"/>
  <c r="N395" i="30"/>
  <c r="P395" i="30" s="1"/>
  <c r="N396" i="30"/>
  <c r="P396" i="30" s="1"/>
  <c r="N397" i="30"/>
  <c r="P397" i="30" s="1"/>
  <c r="N398" i="30"/>
  <c r="P398" i="30" s="1"/>
  <c r="N399" i="30"/>
  <c r="P399" i="30" s="1"/>
  <c r="N400" i="30"/>
  <c r="P400" i="30" s="1"/>
  <c r="J4" i="30"/>
  <c r="J5" i="30"/>
  <c r="J6" i="30"/>
  <c r="L6" i="30" s="1"/>
  <c r="J7" i="30"/>
  <c r="L7" i="30" s="1"/>
  <c r="J8" i="30"/>
  <c r="L8" i="30" s="1"/>
  <c r="J9" i="30"/>
  <c r="L9" i="30" s="1"/>
  <c r="J10" i="30"/>
  <c r="L10" i="30" s="1"/>
  <c r="J11" i="30"/>
  <c r="J12" i="30"/>
  <c r="J13" i="30"/>
  <c r="L13" i="30" s="1"/>
  <c r="J14" i="30"/>
  <c r="L14" i="30" s="1"/>
  <c r="J15" i="30"/>
  <c r="L15" i="30" s="1"/>
  <c r="J16" i="30"/>
  <c r="J17" i="30"/>
  <c r="L17" i="30" s="1"/>
  <c r="J18" i="30"/>
  <c r="L18" i="30" s="1"/>
  <c r="J19" i="30"/>
  <c r="L19" i="30" s="1"/>
  <c r="J20" i="30"/>
  <c r="L20" i="30" s="1"/>
  <c r="J21" i="30"/>
  <c r="L21" i="30" s="1"/>
  <c r="J22" i="30"/>
  <c r="J23" i="30"/>
  <c r="J24" i="30"/>
  <c r="J25" i="30"/>
  <c r="J26" i="30"/>
  <c r="J27" i="30"/>
  <c r="J28" i="30"/>
  <c r="L28" i="30" s="1"/>
  <c r="J29" i="30"/>
  <c r="L29" i="30" s="1"/>
  <c r="J30" i="30"/>
  <c r="L30" i="30" s="1"/>
  <c r="J31" i="30"/>
  <c r="L31" i="30" s="1"/>
  <c r="J32" i="30"/>
  <c r="L32" i="30" s="1"/>
  <c r="J33" i="30"/>
  <c r="J34" i="30"/>
  <c r="L34" i="30" s="1"/>
  <c r="J35" i="30"/>
  <c r="L35" i="30" s="1"/>
  <c r="J36" i="30"/>
  <c r="J37" i="30"/>
  <c r="J38" i="30"/>
  <c r="J39" i="30"/>
  <c r="J40" i="30"/>
  <c r="J41" i="30"/>
  <c r="L41" i="30" s="1"/>
  <c r="J42" i="30"/>
  <c r="L42" i="30" s="1"/>
  <c r="J43" i="30"/>
  <c r="L43" i="30" s="1"/>
  <c r="J44" i="30"/>
  <c r="L44" i="30" s="1"/>
  <c r="J45" i="30"/>
  <c r="J46" i="30"/>
  <c r="L46" i="30" s="1"/>
  <c r="J47" i="30"/>
  <c r="J48" i="30"/>
  <c r="L48" i="30" s="1"/>
  <c r="J49" i="30"/>
  <c r="L49" i="30" s="1"/>
  <c r="J50" i="30"/>
  <c r="L50" i="30" s="1"/>
  <c r="J51" i="30"/>
  <c r="L51" i="30" s="1"/>
  <c r="J52" i="30"/>
  <c r="L52" i="30" s="1"/>
  <c r="J53" i="30"/>
  <c r="L53" i="30" s="1"/>
  <c r="J54" i="30"/>
  <c r="L54" i="30" s="1"/>
  <c r="J55" i="30"/>
  <c r="L55" i="30" s="1"/>
  <c r="J56" i="30"/>
  <c r="L56" i="30" s="1"/>
  <c r="J57" i="30"/>
  <c r="L57" i="30" s="1"/>
  <c r="J58" i="30"/>
  <c r="L58" i="30" s="1"/>
  <c r="J59" i="30"/>
  <c r="L59" i="30" s="1"/>
  <c r="J60" i="30"/>
  <c r="L60" i="30" s="1"/>
  <c r="J61" i="30"/>
  <c r="J62" i="30"/>
  <c r="L62" i="30" s="1"/>
  <c r="J63" i="30"/>
  <c r="L63" i="30" s="1"/>
  <c r="J64" i="30"/>
  <c r="L64" i="30" s="1"/>
  <c r="J65" i="30"/>
  <c r="J66" i="30"/>
  <c r="J67" i="30"/>
  <c r="J68" i="30"/>
  <c r="J69" i="30"/>
  <c r="J70" i="30"/>
  <c r="J71" i="30"/>
  <c r="L71" i="30" s="1"/>
  <c r="J72" i="30"/>
  <c r="L72" i="30" s="1"/>
  <c r="J73" i="30"/>
  <c r="L73" i="30" s="1"/>
  <c r="J74" i="30"/>
  <c r="J75" i="30"/>
  <c r="J76" i="30"/>
  <c r="L76" i="30" s="1"/>
  <c r="J77" i="30"/>
  <c r="L77" i="30" s="1"/>
  <c r="J78" i="30"/>
  <c r="L78" i="30" s="1"/>
  <c r="J79" i="30"/>
  <c r="L79" i="30" s="1"/>
  <c r="J80" i="30"/>
  <c r="L80" i="30" s="1"/>
  <c r="J81" i="30"/>
  <c r="J82" i="30"/>
  <c r="J83" i="30"/>
  <c r="L83" i="30" s="1"/>
  <c r="J84" i="30"/>
  <c r="L84" i="30" s="1"/>
  <c r="J85" i="30"/>
  <c r="L85" i="30" s="1"/>
  <c r="J86" i="30"/>
  <c r="J87" i="30"/>
  <c r="J88" i="30"/>
  <c r="J89" i="30"/>
  <c r="J90" i="30"/>
  <c r="L90" i="30" s="1"/>
  <c r="J91" i="30"/>
  <c r="L91" i="30" s="1"/>
  <c r="J92" i="30"/>
  <c r="L92" i="30" s="1"/>
  <c r="J93" i="30"/>
  <c r="L93" i="30" s="1"/>
  <c r="J94" i="30"/>
  <c r="L94" i="30" s="1"/>
  <c r="J95" i="30"/>
  <c r="L95" i="30" s="1"/>
  <c r="J96" i="30"/>
  <c r="L96" i="30" s="1"/>
  <c r="J97" i="30"/>
  <c r="L97" i="30" s="1"/>
  <c r="J98" i="30"/>
  <c r="L98" i="30" s="1"/>
  <c r="J99" i="30"/>
  <c r="L99" i="30" s="1"/>
  <c r="J100" i="30"/>
  <c r="L100" i="30" s="1"/>
  <c r="J101" i="30"/>
  <c r="L101" i="30" s="1"/>
  <c r="J102" i="30"/>
  <c r="L102" i="30" s="1"/>
  <c r="J103" i="30"/>
  <c r="L103" i="30" s="1"/>
  <c r="J104" i="30"/>
  <c r="J105" i="30"/>
  <c r="L105" i="30" s="1"/>
  <c r="J106" i="30"/>
  <c r="L106" i="30" s="1"/>
  <c r="J107" i="30"/>
  <c r="L107" i="30" s="1"/>
  <c r="J108" i="30"/>
  <c r="L108" i="30" s="1"/>
  <c r="J109" i="30"/>
  <c r="L109" i="30" s="1"/>
  <c r="J110" i="30"/>
  <c r="L110" i="30" s="1"/>
  <c r="J111" i="30"/>
  <c r="J112" i="30"/>
  <c r="J113" i="30"/>
  <c r="L113" i="30" s="1"/>
  <c r="J114" i="30"/>
  <c r="L114" i="30" s="1"/>
  <c r="J115" i="30"/>
  <c r="L115" i="30" s="1"/>
  <c r="J116" i="30"/>
  <c r="J117" i="30"/>
  <c r="J118" i="30"/>
  <c r="L118" i="30" s="1"/>
  <c r="J119" i="30"/>
  <c r="L119" i="30" s="1"/>
  <c r="J120" i="30"/>
  <c r="L120" i="30" s="1"/>
  <c r="J121" i="30"/>
  <c r="J122" i="30"/>
  <c r="L122" i="30" s="1"/>
  <c r="J123" i="30"/>
  <c r="L123" i="30" s="1"/>
  <c r="J124" i="30"/>
  <c r="L124" i="30" s="1"/>
  <c r="J125" i="30"/>
  <c r="L125" i="30" s="1"/>
  <c r="J126" i="30"/>
  <c r="L126" i="30" s="1"/>
  <c r="J127" i="30"/>
  <c r="L127" i="30" s="1"/>
  <c r="J128" i="30"/>
  <c r="L128" i="30" s="1"/>
  <c r="J129" i="30"/>
  <c r="J130" i="30"/>
  <c r="J131" i="30"/>
  <c r="J132" i="30"/>
  <c r="J133" i="30"/>
  <c r="J134" i="30"/>
  <c r="L134" i="30" s="1"/>
  <c r="J135" i="30"/>
  <c r="L135" i="30" s="1"/>
  <c r="J136" i="30"/>
  <c r="L136" i="30" s="1"/>
  <c r="J137" i="30"/>
  <c r="L137" i="30" s="1"/>
  <c r="J138" i="30"/>
  <c r="J139" i="30"/>
  <c r="L139" i="30" s="1"/>
  <c r="J140" i="30"/>
  <c r="L140" i="30" s="1"/>
  <c r="J141" i="30"/>
  <c r="L141" i="30" s="1"/>
  <c r="J142" i="30"/>
  <c r="J143" i="30"/>
  <c r="L143" i="30" s="1"/>
  <c r="J144" i="30"/>
  <c r="L144" i="30" s="1"/>
  <c r="J145" i="30"/>
  <c r="L145" i="30" s="1"/>
  <c r="J146" i="30"/>
  <c r="L146" i="30" s="1"/>
  <c r="J147" i="30"/>
  <c r="L147" i="30" s="1"/>
  <c r="J148" i="30"/>
  <c r="J149" i="30"/>
  <c r="L149" i="30" s="1"/>
  <c r="J150" i="30"/>
  <c r="L150" i="30" s="1"/>
  <c r="J151" i="30"/>
  <c r="J152" i="30"/>
  <c r="L152" i="30" s="1"/>
  <c r="J153" i="30"/>
  <c r="L153" i="30" s="1"/>
  <c r="J154" i="30"/>
  <c r="L154" i="30" s="1"/>
  <c r="J155" i="30"/>
  <c r="L155" i="30" s="1"/>
  <c r="J156" i="30"/>
  <c r="L156" i="30" s="1"/>
  <c r="J157" i="30"/>
  <c r="L157" i="30" s="1"/>
  <c r="J158" i="30"/>
  <c r="L158" i="30" s="1"/>
  <c r="J159" i="30"/>
  <c r="L159" i="30" s="1"/>
  <c r="J160" i="30"/>
  <c r="L160" i="30" s="1"/>
  <c r="J161" i="30"/>
  <c r="L161" i="30" s="1"/>
  <c r="J162" i="30"/>
  <c r="L162" i="30" s="1"/>
  <c r="J163" i="30"/>
  <c r="L163" i="30" s="1"/>
  <c r="J164" i="30"/>
  <c r="L164" i="30" s="1"/>
  <c r="J165" i="30"/>
  <c r="L165" i="30" s="1"/>
  <c r="J166" i="30"/>
  <c r="L166" i="30" s="1"/>
  <c r="J167" i="30"/>
  <c r="L167" i="30" s="1"/>
  <c r="J168" i="30"/>
  <c r="L168" i="30" s="1"/>
  <c r="J169" i="30"/>
  <c r="L169" i="30" s="1"/>
  <c r="J170" i="30"/>
  <c r="L170" i="30" s="1"/>
  <c r="J171" i="30"/>
  <c r="L171" i="30" s="1"/>
  <c r="J172" i="30"/>
  <c r="L172" i="30" s="1"/>
  <c r="J173" i="30"/>
  <c r="L173" i="30" s="1"/>
  <c r="J174" i="30"/>
  <c r="L174" i="30" s="1"/>
  <c r="J175" i="30"/>
  <c r="L175" i="30" s="1"/>
  <c r="J176" i="30"/>
  <c r="L176" i="30" s="1"/>
  <c r="J177" i="30"/>
  <c r="L177" i="30" s="1"/>
  <c r="J178" i="30"/>
  <c r="L178" i="30" s="1"/>
  <c r="J179" i="30"/>
  <c r="L179" i="30" s="1"/>
  <c r="J180" i="30"/>
  <c r="L180" i="30" s="1"/>
  <c r="J181" i="30"/>
  <c r="L181" i="30" s="1"/>
  <c r="J182" i="30"/>
  <c r="L182" i="30" s="1"/>
  <c r="J183" i="30"/>
  <c r="L183" i="30" s="1"/>
  <c r="J184" i="30"/>
  <c r="L184" i="30" s="1"/>
  <c r="J185" i="30"/>
  <c r="L185" i="30" s="1"/>
  <c r="J186" i="30"/>
  <c r="L186" i="30" s="1"/>
  <c r="J187" i="30"/>
  <c r="L187" i="30" s="1"/>
  <c r="J188" i="30"/>
  <c r="L188" i="30" s="1"/>
  <c r="J189" i="30"/>
  <c r="L189" i="30" s="1"/>
  <c r="J190" i="30"/>
  <c r="L190" i="30" s="1"/>
  <c r="J191" i="30"/>
  <c r="L191" i="30" s="1"/>
  <c r="J192" i="30"/>
  <c r="L192" i="30" s="1"/>
  <c r="J193" i="30"/>
  <c r="L193" i="30" s="1"/>
  <c r="J194" i="30"/>
  <c r="L194" i="30" s="1"/>
  <c r="J195" i="30"/>
  <c r="L195" i="30" s="1"/>
  <c r="J196" i="30"/>
  <c r="L196" i="30" s="1"/>
  <c r="J197" i="30"/>
  <c r="L197" i="30" s="1"/>
  <c r="J198" i="30"/>
  <c r="L198" i="30" s="1"/>
  <c r="J199" i="30"/>
  <c r="L199" i="30" s="1"/>
  <c r="J200" i="30"/>
  <c r="L200" i="30" s="1"/>
  <c r="J201" i="30"/>
  <c r="L201" i="30" s="1"/>
  <c r="J202" i="30"/>
  <c r="L202" i="30" s="1"/>
  <c r="J203" i="30"/>
  <c r="L203" i="30" s="1"/>
  <c r="J204" i="30"/>
  <c r="L204" i="30" s="1"/>
  <c r="J205" i="30"/>
  <c r="L205" i="30" s="1"/>
  <c r="J206" i="30"/>
  <c r="L206" i="30" s="1"/>
  <c r="J207" i="30"/>
  <c r="L207" i="30" s="1"/>
  <c r="J208" i="30"/>
  <c r="L208" i="30" s="1"/>
  <c r="J209" i="30"/>
  <c r="L209" i="30" s="1"/>
  <c r="J210" i="30"/>
  <c r="L210" i="30" s="1"/>
  <c r="J211" i="30"/>
  <c r="L211" i="30" s="1"/>
  <c r="J212" i="30"/>
  <c r="L212" i="30" s="1"/>
  <c r="J213" i="30"/>
  <c r="L213" i="30" s="1"/>
  <c r="J214" i="30"/>
  <c r="L214" i="30" s="1"/>
  <c r="J215" i="30"/>
  <c r="L215" i="30" s="1"/>
  <c r="J216" i="30"/>
  <c r="L216" i="30" s="1"/>
  <c r="J217" i="30"/>
  <c r="L217" i="30" s="1"/>
  <c r="J218" i="30"/>
  <c r="L218" i="30" s="1"/>
  <c r="J219" i="30"/>
  <c r="L219" i="30" s="1"/>
  <c r="J220" i="30"/>
  <c r="L220" i="30" s="1"/>
  <c r="J221" i="30"/>
  <c r="L221" i="30" s="1"/>
  <c r="J222" i="30"/>
  <c r="L222" i="30" s="1"/>
  <c r="J223" i="30"/>
  <c r="L223" i="30" s="1"/>
  <c r="J224" i="30"/>
  <c r="L224" i="30" s="1"/>
  <c r="J225" i="30"/>
  <c r="L225" i="30" s="1"/>
  <c r="J226" i="30"/>
  <c r="L226" i="30" s="1"/>
  <c r="J227" i="30"/>
  <c r="L227" i="30" s="1"/>
  <c r="J228" i="30"/>
  <c r="L228" i="30" s="1"/>
  <c r="J229" i="30"/>
  <c r="L229" i="30" s="1"/>
  <c r="J230" i="30"/>
  <c r="L230" i="30" s="1"/>
  <c r="J231" i="30"/>
  <c r="L231" i="30" s="1"/>
  <c r="J232" i="30"/>
  <c r="L232" i="30" s="1"/>
  <c r="J233" i="30"/>
  <c r="L233" i="30" s="1"/>
  <c r="J234" i="30"/>
  <c r="L234" i="30" s="1"/>
  <c r="J235" i="30"/>
  <c r="L235" i="30" s="1"/>
  <c r="J236" i="30"/>
  <c r="L236" i="30" s="1"/>
  <c r="J237" i="30"/>
  <c r="L237" i="30" s="1"/>
  <c r="J238" i="30"/>
  <c r="L238" i="30" s="1"/>
  <c r="J239" i="30"/>
  <c r="L239" i="30" s="1"/>
  <c r="J240" i="30"/>
  <c r="L240" i="30" s="1"/>
  <c r="J241" i="30"/>
  <c r="L241" i="30" s="1"/>
  <c r="J242" i="30"/>
  <c r="L242" i="30" s="1"/>
  <c r="J243" i="30"/>
  <c r="L243" i="30" s="1"/>
  <c r="J244" i="30"/>
  <c r="L244" i="30" s="1"/>
  <c r="J245" i="30"/>
  <c r="L245" i="30" s="1"/>
  <c r="J246" i="30"/>
  <c r="L246" i="30" s="1"/>
  <c r="J247" i="30"/>
  <c r="L247" i="30" s="1"/>
  <c r="J248" i="30"/>
  <c r="L248" i="30" s="1"/>
  <c r="J249" i="30"/>
  <c r="L249" i="30" s="1"/>
  <c r="J250" i="30"/>
  <c r="L250" i="30" s="1"/>
  <c r="J251" i="30"/>
  <c r="L251" i="30" s="1"/>
  <c r="J252" i="30"/>
  <c r="L252" i="30" s="1"/>
  <c r="J253" i="30"/>
  <c r="L253" i="30" s="1"/>
  <c r="J254" i="30"/>
  <c r="L254" i="30" s="1"/>
  <c r="J255" i="30"/>
  <c r="L255" i="30" s="1"/>
  <c r="J256" i="30"/>
  <c r="L256" i="30" s="1"/>
  <c r="J257" i="30"/>
  <c r="L257" i="30" s="1"/>
  <c r="J258" i="30"/>
  <c r="L258" i="30" s="1"/>
  <c r="J259" i="30"/>
  <c r="L259" i="30" s="1"/>
  <c r="J260" i="30"/>
  <c r="L260" i="30" s="1"/>
  <c r="J261" i="30"/>
  <c r="L261" i="30" s="1"/>
  <c r="J262" i="30"/>
  <c r="L262" i="30" s="1"/>
  <c r="J263" i="30"/>
  <c r="L263" i="30" s="1"/>
  <c r="J264" i="30"/>
  <c r="L264" i="30" s="1"/>
  <c r="J265" i="30"/>
  <c r="L265" i="30" s="1"/>
  <c r="J266" i="30"/>
  <c r="L266" i="30" s="1"/>
  <c r="J267" i="30"/>
  <c r="L267" i="30" s="1"/>
  <c r="J268" i="30"/>
  <c r="L268" i="30" s="1"/>
  <c r="J269" i="30"/>
  <c r="L269" i="30" s="1"/>
  <c r="J270" i="30"/>
  <c r="L270" i="30" s="1"/>
  <c r="J271" i="30"/>
  <c r="L271" i="30" s="1"/>
  <c r="J272" i="30"/>
  <c r="L272" i="30" s="1"/>
  <c r="J273" i="30"/>
  <c r="L273" i="30" s="1"/>
  <c r="J274" i="30"/>
  <c r="L274" i="30" s="1"/>
  <c r="J275" i="30"/>
  <c r="L275" i="30" s="1"/>
  <c r="J276" i="30"/>
  <c r="L276" i="30" s="1"/>
  <c r="J277" i="30"/>
  <c r="L277" i="30" s="1"/>
  <c r="J278" i="30"/>
  <c r="L278" i="30" s="1"/>
  <c r="J279" i="30"/>
  <c r="L279" i="30" s="1"/>
  <c r="J280" i="30"/>
  <c r="L280" i="30" s="1"/>
  <c r="J281" i="30"/>
  <c r="L281" i="30" s="1"/>
  <c r="J282" i="30"/>
  <c r="L282" i="30" s="1"/>
  <c r="J283" i="30"/>
  <c r="L283" i="30" s="1"/>
  <c r="J284" i="30"/>
  <c r="L284" i="30" s="1"/>
  <c r="J285" i="30"/>
  <c r="L285" i="30" s="1"/>
  <c r="J286" i="30"/>
  <c r="L286" i="30" s="1"/>
  <c r="J287" i="30"/>
  <c r="L287" i="30" s="1"/>
  <c r="J288" i="30"/>
  <c r="L288" i="30" s="1"/>
  <c r="J289" i="30"/>
  <c r="L289" i="30" s="1"/>
  <c r="J290" i="30"/>
  <c r="L290" i="30" s="1"/>
  <c r="J291" i="30"/>
  <c r="L291" i="30" s="1"/>
  <c r="J292" i="30"/>
  <c r="L292" i="30" s="1"/>
  <c r="J293" i="30"/>
  <c r="L293" i="30" s="1"/>
  <c r="J294" i="30"/>
  <c r="L294" i="30" s="1"/>
  <c r="J295" i="30"/>
  <c r="L295" i="30" s="1"/>
  <c r="J296" i="30"/>
  <c r="L296" i="30" s="1"/>
  <c r="J297" i="30"/>
  <c r="L297" i="30" s="1"/>
  <c r="J298" i="30"/>
  <c r="L298" i="30" s="1"/>
  <c r="J299" i="30"/>
  <c r="L299" i="30" s="1"/>
  <c r="J300" i="30"/>
  <c r="L300" i="30" s="1"/>
  <c r="J301" i="30"/>
  <c r="L301" i="30" s="1"/>
  <c r="J302" i="30"/>
  <c r="L302" i="30" s="1"/>
  <c r="J303" i="30"/>
  <c r="L303" i="30" s="1"/>
  <c r="J304" i="30"/>
  <c r="L304" i="30" s="1"/>
  <c r="J305" i="30"/>
  <c r="L305" i="30" s="1"/>
  <c r="J306" i="30"/>
  <c r="L306" i="30" s="1"/>
  <c r="J307" i="30"/>
  <c r="L307" i="30" s="1"/>
  <c r="J308" i="30"/>
  <c r="L308" i="30" s="1"/>
  <c r="J309" i="30"/>
  <c r="L309" i="30" s="1"/>
  <c r="J310" i="30"/>
  <c r="L310" i="30" s="1"/>
  <c r="J311" i="30"/>
  <c r="L311" i="30" s="1"/>
  <c r="J312" i="30"/>
  <c r="L312" i="30" s="1"/>
  <c r="J313" i="30"/>
  <c r="L313" i="30" s="1"/>
  <c r="J314" i="30"/>
  <c r="L314" i="30" s="1"/>
  <c r="J315" i="30"/>
  <c r="L315" i="30" s="1"/>
  <c r="J316" i="30"/>
  <c r="L316" i="30" s="1"/>
  <c r="J317" i="30"/>
  <c r="L317" i="30" s="1"/>
  <c r="J318" i="30"/>
  <c r="L318" i="30" s="1"/>
  <c r="J319" i="30"/>
  <c r="L319" i="30" s="1"/>
  <c r="J320" i="30"/>
  <c r="L320" i="30" s="1"/>
  <c r="J321" i="30"/>
  <c r="L321" i="30" s="1"/>
  <c r="J322" i="30"/>
  <c r="L322" i="30" s="1"/>
  <c r="J323" i="30"/>
  <c r="L323" i="30" s="1"/>
  <c r="J324" i="30"/>
  <c r="L324" i="30" s="1"/>
  <c r="J325" i="30"/>
  <c r="L325" i="30" s="1"/>
  <c r="J326" i="30"/>
  <c r="L326" i="30" s="1"/>
  <c r="J327" i="30"/>
  <c r="L327" i="30" s="1"/>
  <c r="J328" i="30"/>
  <c r="L328" i="30" s="1"/>
  <c r="J329" i="30"/>
  <c r="L329" i="30" s="1"/>
  <c r="J330" i="30"/>
  <c r="L330" i="30" s="1"/>
  <c r="J331" i="30"/>
  <c r="L331" i="30" s="1"/>
  <c r="J332" i="30"/>
  <c r="L332" i="30" s="1"/>
  <c r="J333" i="30"/>
  <c r="L333" i="30" s="1"/>
  <c r="J334" i="30"/>
  <c r="L334" i="30" s="1"/>
  <c r="J335" i="30"/>
  <c r="L335" i="30" s="1"/>
  <c r="J336" i="30"/>
  <c r="L336" i="30" s="1"/>
  <c r="J337" i="30"/>
  <c r="L337" i="30" s="1"/>
  <c r="J338" i="30"/>
  <c r="L338" i="30" s="1"/>
  <c r="J339" i="30"/>
  <c r="L339" i="30" s="1"/>
  <c r="J340" i="30"/>
  <c r="L340" i="30" s="1"/>
  <c r="J341" i="30"/>
  <c r="L341" i="30" s="1"/>
  <c r="J342" i="30"/>
  <c r="L342" i="30" s="1"/>
  <c r="J343" i="30"/>
  <c r="L343" i="30" s="1"/>
  <c r="J344" i="30"/>
  <c r="L344" i="30" s="1"/>
  <c r="J345" i="30"/>
  <c r="L345" i="30" s="1"/>
  <c r="J346" i="30"/>
  <c r="L346" i="30" s="1"/>
  <c r="J347" i="30"/>
  <c r="L347" i="30" s="1"/>
  <c r="J348" i="30"/>
  <c r="L348" i="30" s="1"/>
  <c r="J349" i="30"/>
  <c r="L349" i="30" s="1"/>
  <c r="J350" i="30"/>
  <c r="L350" i="30" s="1"/>
  <c r="J351" i="30"/>
  <c r="L351" i="30" s="1"/>
  <c r="J352" i="30"/>
  <c r="L352" i="30" s="1"/>
  <c r="J353" i="30"/>
  <c r="L353" i="30" s="1"/>
  <c r="J354" i="30"/>
  <c r="L354" i="30" s="1"/>
  <c r="J355" i="30"/>
  <c r="L355" i="30" s="1"/>
  <c r="J356" i="30"/>
  <c r="L356" i="30" s="1"/>
  <c r="J357" i="30"/>
  <c r="L357" i="30" s="1"/>
  <c r="J358" i="30"/>
  <c r="L358" i="30" s="1"/>
  <c r="J359" i="30"/>
  <c r="L359" i="30" s="1"/>
  <c r="J360" i="30"/>
  <c r="L360" i="30" s="1"/>
  <c r="J361" i="30"/>
  <c r="L361" i="30" s="1"/>
  <c r="J362" i="30"/>
  <c r="L362" i="30" s="1"/>
  <c r="J363" i="30"/>
  <c r="L363" i="30" s="1"/>
  <c r="J364" i="30"/>
  <c r="L364" i="30" s="1"/>
  <c r="J365" i="30"/>
  <c r="L365" i="30" s="1"/>
  <c r="J366" i="30"/>
  <c r="L366" i="30" s="1"/>
  <c r="J367" i="30"/>
  <c r="L367" i="30" s="1"/>
  <c r="J368" i="30"/>
  <c r="L368" i="30" s="1"/>
  <c r="J369" i="30"/>
  <c r="L369" i="30" s="1"/>
  <c r="J370" i="30"/>
  <c r="L370" i="30" s="1"/>
  <c r="J371" i="30"/>
  <c r="L371" i="30" s="1"/>
  <c r="J372" i="30"/>
  <c r="L372" i="30" s="1"/>
  <c r="J373" i="30"/>
  <c r="L373" i="30" s="1"/>
  <c r="J374" i="30"/>
  <c r="L374" i="30" s="1"/>
  <c r="J375" i="30"/>
  <c r="L375" i="30" s="1"/>
  <c r="J376" i="30"/>
  <c r="L376" i="30" s="1"/>
  <c r="J377" i="30"/>
  <c r="L377" i="30" s="1"/>
  <c r="J378" i="30"/>
  <c r="L378" i="30" s="1"/>
  <c r="J379" i="30"/>
  <c r="L379" i="30" s="1"/>
  <c r="J380" i="30"/>
  <c r="L380" i="30" s="1"/>
  <c r="J381" i="30"/>
  <c r="L381" i="30" s="1"/>
  <c r="J382" i="30"/>
  <c r="L382" i="30" s="1"/>
  <c r="J383" i="30"/>
  <c r="L383" i="30" s="1"/>
  <c r="J384" i="30"/>
  <c r="L384" i="30" s="1"/>
  <c r="J385" i="30"/>
  <c r="L385" i="30" s="1"/>
  <c r="J386" i="30"/>
  <c r="L386" i="30" s="1"/>
  <c r="J387" i="30"/>
  <c r="L387" i="30" s="1"/>
  <c r="J388" i="30"/>
  <c r="L388" i="30" s="1"/>
  <c r="J389" i="30"/>
  <c r="L389" i="30" s="1"/>
  <c r="J390" i="30"/>
  <c r="L390" i="30" s="1"/>
  <c r="J391" i="30"/>
  <c r="L391" i="30" s="1"/>
  <c r="J392" i="30"/>
  <c r="L392" i="30" s="1"/>
  <c r="J393" i="30"/>
  <c r="L393" i="30" s="1"/>
  <c r="J394" i="30"/>
  <c r="L394" i="30" s="1"/>
  <c r="J395" i="30"/>
  <c r="L395" i="30" s="1"/>
  <c r="J396" i="30"/>
  <c r="L396" i="30" s="1"/>
  <c r="J397" i="30"/>
  <c r="L397" i="30" s="1"/>
  <c r="J398" i="30"/>
  <c r="L398" i="30" s="1"/>
  <c r="J399" i="30"/>
  <c r="L399" i="30" s="1"/>
  <c r="J400" i="30"/>
  <c r="L400" i="30" s="1"/>
  <c r="F4" i="30"/>
  <c r="F5" i="30"/>
  <c r="F6" i="30"/>
  <c r="H6" i="30" s="1"/>
  <c r="F7" i="30"/>
  <c r="H7" i="30" s="1"/>
  <c r="F8" i="30"/>
  <c r="H8" i="30" s="1"/>
  <c r="F9" i="30"/>
  <c r="H9" i="30" s="1"/>
  <c r="F10" i="30"/>
  <c r="H10" i="30" s="1"/>
  <c r="F11" i="30"/>
  <c r="F12" i="30"/>
  <c r="F13" i="30"/>
  <c r="H13" i="30" s="1"/>
  <c r="F14" i="30"/>
  <c r="H14" i="30" s="1"/>
  <c r="F15" i="30"/>
  <c r="H15" i="30" s="1"/>
  <c r="F16" i="30"/>
  <c r="F17" i="30"/>
  <c r="H17" i="30" s="1"/>
  <c r="F18" i="30"/>
  <c r="H18" i="30" s="1"/>
  <c r="F19" i="30"/>
  <c r="H19" i="30" s="1"/>
  <c r="F20" i="30"/>
  <c r="H20" i="30" s="1"/>
  <c r="F21" i="30"/>
  <c r="H21" i="30" s="1"/>
  <c r="F22" i="30"/>
  <c r="F23" i="30"/>
  <c r="F24" i="30"/>
  <c r="F25" i="30"/>
  <c r="F26" i="30"/>
  <c r="F27" i="30"/>
  <c r="F28" i="30"/>
  <c r="H28" i="30" s="1"/>
  <c r="F29" i="30"/>
  <c r="H29" i="30" s="1"/>
  <c r="F30" i="30"/>
  <c r="H30" i="30" s="1"/>
  <c r="F31" i="30"/>
  <c r="H31" i="30" s="1"/>
  <c r="F32" i="30"/>
  <c r="H32" i="30" s="1"/>
  <c r="F33" i="30"/>
  <c r="F34" i="30"/>
  <c r="H34" i="30" s="1"/>
  <c r="F35" i="30"/>
  <c r="H35" i="30" s="1"/>
  <c r="F36" i="30"/>
  <c r="F37" i="30"/>
  <c r="F38" i="30"/>
  <c r="F39" i="30"/>
  <c r="F40" i="30"/>
  <c r="F41" i="30"/>
  <c r="H41" i="30" s="1"/>
  <c r="F42" i="30"/>
  <c r="H42" i="30" s="1"/>
  <c r="F43" i="30"/>
  <c r="H43" i="30" s="1"/>
  <c r="F44" i="30"/>
  <c r="H44" i="30" s="1"/>
  <c r="F45" i="30"/>
  <c r="F46" i="30"/>
  <c r="H46" i="30" s="1"/>
  <c r="F47" i="30"/>
  <c r="F48" i="30"/>
  <c r="H48" i="30" s="1"/>
  <c r="F49" i="30"/>
  <c r="H49" i="30" s="1"/>
  <c r="F50" i="30"/>
  <c r="H50" i="30" s="1"/>
  <c r="F51" i="30"/>
  <c r="H51" i="30" s="1"/>
  <c r="F52" i="30"/>
  <c r="H52" i="30" s="1"/>
  <c r="F53" i="30"/>
  <c r="H53" i="30" s="1"/>
  <c r="F54" i="30"/>
  <c r="H54" i="30" s="1"/>
  <c r="F55" i="30"/>
  <c r="H55" i="30" s="1"/>
  <c r="F56" i="30"/>
  <c r="H56" i="30" s="1"/>
  <c r="F57" i="30"/>
  <c r="H57" i="30" s="1"/>
  <c r="F58" i="30"/>
  <c r="H58" i="30" s="1"/>
  <c r="F59" i="30"/>
  <c r="H59" i="30" s="1"/>
  <c r="F60" i="30"/>
  <c r="H60" i="30" s="1"/>
  <c r="F61" i="30"/>
  <c r="F62" i="30"/>
  <c r="H62" i="30" s="1"/>
  <c r="F63" i="30"/>
  <c r="H63" i="30" s="1"/>
  <c r="F64" i="30"/>
  <c r="H64" i="30" s="1"/>
  <c r="F65" i="30"/>
  <c r="F66" i="30"/>
  <c r="F67" i="30"/>
  <c r="F68" i="30"/>
  <c r="F69" i="30"/>
  <c r="F70" i="30"/>
  <c r="F71" i="30"/>
  <c r="H71" i="30" s="1"/>
  <c r="F72" i="30"/>
  <c r="H72" i="30" s="1"/>
  <c r="F73" i="30"/>
  <c r="H73" i="30" s="1"/>
  <c r="F74" i="30"/>
  <c r="F75" i="30"/>
  <c r="F76" i="30"/>
  <c r="H76" i="30" s="1"/>
  <c r="F77" i="30"/>
  <c r="H77" i="30" s="1"/>
  <c r="F78" i="30"/>
  <c r="H78" i="30" s="1"/>
  <c r="F79" i="30"/>
  <c r="H79" i="30" s="1"/>
  <c r="F80" i="30"/>
  <c r="H80" i="30" s="1"/>
  <c r="F81" i="30"/>
  <c r="F82" i="30"/>
  <c r="F83" i="30"/>
  <c r="H83" i="30" s="1"/>
  <c r="F84" i="30"/>
  <c r="H84" i="30" s="1"/>
  <c r="F85" i="30"/>
  <c r="H85" i="30" s="1"/>
  <c r="F86" i="30"/>
  <c r="F87" i="30"/>
  <c r="F88" i="30"/>
  <c r="F89" i="30"/>
  <c r="F90" i="30"/>
  <c r="H90" i="30" s="1"/>
  <c r="F91" i="30"/>
  <c r="H91" i="30" s="1"/>
  <c r="F92" i="30"/>
  <c r="H92" i="30" s="1"/>
  <c r="F93" i="30"/>
  <c r="H93" i="30" s="1"/>
  <c r="F94" i="30"/>
  <c r="H94" i="30" s="1"/>
  <c r="F95" i="30"/>
  <c r="H95" i="30" s="1"/>
  <c r="F96" i="30"/>
  <c r="H96" i="30" s="1"/>
  <c r="F97" i="30"/>
  <c r="H97" i="30" s="1"/>
  <c r="F98" i="30"/>
  <c r="H98" i="30" s="1"/>
  <c r="F99" i="30"/>
  <c r="H99" i="30" s="1"/>
  <c r="F100" i="30"/>
  <c r="H100" i="30" s="1"/>
  <c r="F101" i="30"/>
  <c r="H101" i="30" s="1"/>
  <c r="F102" i="30"/>
  <c r="H102" i="30" s="1"/>
  <c r="F103" i="30"/>
  <c r="H103" i="30" s="1"/>
  <c r="F104" i="30"/>
  <c r="F105" i="30"/>
  <c r="H105" i="30" s="1"/>
  <c r="F106" i="30"/>
  <c r="H106" i="30" s="1"/>
  <c r="F107" i="30"/>
  <c r="H107" i="30" s="1"/>
  <c r="F108" i="30"/>
  <c r="H108" i="30" s="1"/>
  <c r="F109" i="30"/>
  <c r="H109" i="30" s="1"/>
  <c r="F110" i="30"/>
  <c r="H110" i="30" s="1"/>
  <c r="F111" i="30"/>
  <c r="F112" i="30"/>
  <c r="F113" i="30"/>
  <c r="H113" i="30" s="1"/>
  <c r="F114" i="30"/>
  <c r="H114" i="30" s="1"/>
  <c r="F115" i="30"/>
  <c r="H115" i="30" s="1"/>
  <c r="F116" i="30"/>
  <c r="F117" i="30"/>
  <c r="F118" i="30"/>
  <c r="H118" i="30" s="1"/>
  <c r="F119" i="30"/>
  <c r="H119" i="30" s="1"/>
  <c r="F120" i="30"/>
  <c r="H120" i="30" s="1"/>
  <c r="F121" i="30"/>
  <c r="F122" i="30"/>
  <c r="H122" i="30" s="1"/>
  <c r="F123" i="30"/>
  <c r="H123" i="30" s="1"/>
  <c r="F124" i="30"/>
  <c r="H124" i="30" s="1"/>
  <c r="F125" i="30"/>
  <c r="H125" i="30" s="1"/>
  <c r="F126" i="30"/>
  <c r="H126" i="30" s="1"/>
  <c r="F127" i="30"/>
  <c r="H127" i="30" s="1"/>
  <c r="F128" i="30"/>
  <c r="H128" i="30" s="1"/>
  <c r="F129" i="30"/>
  <c r="F130" i="30"/>
  <c r="F131" i="30"/>
  <c r="F132" i="30"/>
  <c r="F133" i="30"/>
  <c r="F134" i="30"/>
  <c r="H134" i="30" s="1"/>
  <c r="F135" i="30"/>
  <c r="H135" i="30" s="1"/>
  <c r="F136" i="30"/>
  <c r="H136" i="30" s="1"/>
  <c r="F137" i="30"/>
  <c r="H137" i="30" s="1"/>
  <c r="F138" i="30"/>
  <c r="F139" i="30"/>
  <c r="H139" i="30" s="1"/>
  <c r="F140" i="30"/>
  <c r="H140" i="30" s="1"/>
  <c r="F141" i="30"/>
  <c r="H141" i="30" s="1"/>
  <c r="F142" i="30"/>
  <c r="F143" i="30"/>
  <c r="H143" i="30" s="1"/>
  <c r="F144" i="30"/>
  <c r="H144" i="30" s="1"/>
  <c r="F145" i="30"/>
  <c r="H145" i="30" s="1"/>
  <c r="F146" i="30"/>
  <c r="H146" i="30" s="1"/>
  <c r="F147" i="30"/>
  <c r="H147" i="30" s="1"/>
  <c r="F148" i="30"/>
  <c r="F149" i="30"/>
  <c r="H149" i="30" s="1"/>
  <c r="F150" i="30"/>
  <c r="H150" i="30" s="1"/>
  <c r="F151" i="30"/>
  <c r="F152" i="30"/>
  <c r="H152" i="30" s="1"/>
  <c r="F153" i="30"/>
  <c r="H153" i="30" s="1"/>
  <c r="F154" i="30"/>
  <c r="H154" i="30" s="1"/>
  <c r="F155" i="30"/>
  <c r="H155" i="30" s="1"/>
  <c r="F156" i="30"/>
  <c r="H156" i="30" s="1"/>
  <c r="F157" i="30"/>
  <c r="H157" i="30" s="1"/>
  <c r="F158" i="30"/>
  <c r="H158" i="30" s="1"/>
  <c r="F159" i="30"/>
  <c r="H159" i="30" s="1"/>
  <c r="F160" i="30"/>
  <c r="H160" i="30" s="1"/>
  <c r="F161" i="30"/>
  <c r="H161" i="30" s="1"/>
  <c r="F162" i="30"/>
  <c r="H162" i="30" s="1"/>
  <c r="F163" i="30"/>
  <c r="H163" i="30" s="1"/>
  <c r="F164" i="30"/>
  <c r="H164" i="30" s="1"/>
  <c r="F165" i="30"/>
  <c r="H165" i="30" s="1"/>
  <c r="F166" i="30"/>
  <c r="H166" i="30" s="1"/>
  <c r="F167" i="30"/>
  <c r="H167" i="30" s="1"/>
  <c r="F168" i="30"/>
  <c r="H168" i="30" s="1"/>
  <c r="F169" i="30"/>
  <c r="H169" i="30" s="1"/>
  <c r="F170" i="30"/>
  <c r="H170" i="30" s="1"/>
  <c r="F171" i="30"/>
  <c r="H171" i="30" s="1"/>
  <c r="F172" i="30"/>
  <c r="H172" i="30" s="1"/>
  <c r="F173" i="30"/>
  <c r="H173" i="30" s="1"/>
  <c r="F174" i="30"/>
  <c r="H174" i="30" s="1"/>
  <c r="F175" i="30"/>
  <c r="H175" i="30" s="1"/>
  <c r="F176" i="30"/>
  <c r="H176" i="30" s="1"/>
  <c r="F177" i="30"/>
  <c r="H177" i="30" s="1"/>
  <c r="F178" i="30"/>
  <c r="H178" i="30" s="1"/>
  <c r="F179" i="30"/>
  <c r="H179" i="30" s="1"/>
  <c r="F180" i="30"/>
  <c r="H180" i="30" s="1"/>
  <c r="F181" i="30"/>
  <c r="H181" i="30" s="1"/>
  <c r="F182" i="30"/>
  <c r="H182" i="30" s="1"/>
  <c r="F183" i="30"/>
  <c r="H183" i="30" s="1"/>
  <c r="F184" i="30"/>
  <c r="H184" i="30" s="1"/>
  <c r="F185" i="30"/>
  <c r="H185" i="30" s="1"/>
  <c r="F186" i="30"/>
  <c r="H186" i="30" s="1"/>
  <c r="F187" i="30"/>
  <c r="H187" i="30" s="1"/>
  <c r="F188" i="30"/>
  <c r="H188" i="30" s="1"/>
  <c r="F189" i="30"/>
  <c r="H189" i="30" s="1"/>
  <c r="F190" i="30"/>
  <c r="H190" i="30" s="1"/>
  <c r="F191" i="30"/>
  <c r="H191" i="30" s="1"/>
  <c r="F192" i="30"/>
  <c r="H192" i="30" s="1"/>
  <c r="F193" i="30"/>
  <c r="H193" i="30" s="1"/>
  <c r="F194" i="30"/>
  <c r="H194" i="30" s="1"/>
  <c r="F195" i="30"/>
  <c r="H195" i="30" s="1"/>
  <c r="F196" i="30"/>
  <c r="H196" i="30" s="1"/>
  <c r="F197" i="30"/>
  <c r="H197" i="30" s="1"/>
  <c r="F198" i="30"/>
  <c r="H198" i="30" s="1"/>
  <c r="F199" i="30"/>
  <c r="H199" i="30" s="1"/>
  <c r="F200" i="30"/>
  <c r="H200" i="30" s="1"/>
  <c r="F201" i="30"/>
  <c r="H201" i="30" s="1"/>
  <c r="F202" i="30"/>
  <c r="H202" i="30" s="1"/>
  <c r="F203" i="30"/>
  <c r="H203" i="30" s="1"/>
  <c r="F204" i="30"/>
  <c r="H204" i="30" s="1"/>
  <c r="F205" i="30"/>
  <c r="H205" i="30" s="1"/>
  <c r="F206" i="30"/>
  <c r="H206" i="30" s="1"/>
  <c r="F207" i="30"/>
  <c r="H207" i="30" s="1"/>
  <c r="F208" i="30"/>
  <c r="H208" i="30" s="1"/>
  <c r="F209" i="30"/>
  <c r="H209" i="30" s="1"/>
  <c r="F210" i="30"/>
  <c r="H210" i="30" s="1"/>
  <c r="F211" i="30"/>
  <c r="H211" i="30" s="1"/>
  <c r="F212" i="30"/>
  <c r="H212" i="30" s="1"/>
  <c r="F213" i="30"/>
  <c r="H213" i="30" s="1"/>
  <c r="F214" i="30"/>
  <c r="H214" i="30" s="1"/>
  <c r="F215" i="30"/>
  <c r="H215" i="30" s="1"/>
  <c r="F216" i="30"/>
  <c r="H216" i="30" s="1"/>
  <c r="F217" i="30"/>
  <c r="H217" i="30" s="1"/>
  <c r="F218" i="30"/>
  <c r="H218" i="30" s="1"/>
  <c r="F219" i="30"/>
  <c r="H219" i="30" s="1"/>
  <c r="F220" i="30"/>
  <c r="H220" i="30" s="1"/>
  <c r="F221" i="30"/>
  <c r="H221" i="30" s="1"/>
  <c r="F222" i="30"/>
  <c r="H222" i="30" s="1"/>
  <c r="F223" i="30"/>
  <c r="H223" i="30" s="1"/>
  <c r="F224" i="30"/>
  <c r="H224" i="30" s="1"/>
  <c r="F225" i="30"/>
  <c r="H225" i="30" s="1"/>
  <c r="F226" i="30"/>
  <c r="H226" i="30" s="1"/>
  <c r="F227" i="30"/>
  <c r="H227" i="30" s="1"/>
  <c r="F228" i="30"/>
  <c r="H228" i="30" s="1"/>
  <c r="F229" i="30"/>
  <c r="H229" i="30" s="1"/>
  <c r="F230" i="30"/>
  <c r="H230" i="30" s="1"/>
  <c r="F231" i="30"/>
  <c r="H231" i="30" s="1"/>
  <c r="F232" i="30"/>
  <c r="H232" i="30" s="1"/>
  <c r="F233" i="30"/>
  <c r="H233" i="30" s="1"/>
  <c r="F234" i="30"/>
  <c r="H234" i="30" s="1"/>
  <c r="F235" i="30"/>
  <c r="H235" i="30" s="1"/>
  <c r="F236" i="30"/>
  <c r="H236" i="30" s="1"/>
  <c r="F237" i="30"/>
  <c r="H237" i="30" s="1"/>
  <c r="F238" i="30"/>
  <c r="H238" i="30" s="1"/>
  <c r="F239" i="30"/>
  <c r="H239" i="30" s="1"/>
  <c r="F240" i="30"/>
  <c r="H240" i="30" s="1"/>
  <c r="F241" i="30"/>
  <c r="H241" i="30" s="1"/>
  <c r="F242" i="30"/>
  <c r="H242" i="30" s="1"/>
  <c r="F243" i="30"/>
  <c r="H243" i="30" s="1"/>
  <c r="F244" i="30"/>
  <c r="H244" i="30" s="1"/>
  <c r="F245" i="30"/>
  <c r="H245" i="30" s="1"/>
  <c r="F246" i="30"/>
  <c r="H246" i="30" s="1"/>
  <c r="F247" i="30"/>
  <c r="H247" i="30" s="1"/>
  <c r="F248" i="30"/>
  <c r="H248" i="30" s="1"/>
  <c r="F249" i="30"/>
  <c r="H249" i="30" s="1"/>
  <c r="F250" i="30"/>
  <c r="H250" i="30" s="1"/>
  <c r="F251" i="30"/>
  <c r="H251" i="30" s="1"/>
  <c r="F252" i="30"/>
  <c r="H252" i="30" s="1"/>
  <c r="F253" i="30"/>
  <c r="H253" i="30" s="1"/>
  <c r="F254" i="30"/>
  <c r="H254" i="30" s="1"/>
  <c r="F255" i="30"/>
  <c r="H255" i="30" s="1"/>
  <c r="F256" i="30"/>
  <c r="H256" i="30" s="1"/>
  <c r="F257" i="30"/>
  <c r="H257" i="30" s="1"/>
  <c r="F258" i="30"/>
  <c r="H258" i="30" s="1"/>
  <c r="F259" i="30"/>
  <c r="H259" i="30" s="1"/>
  <c r="F260" i="30"/>
  <c r="H260" i="30" s="1"/>
  <c r="F261" i="30"/>
  <c r="H261" i="30" s="1"/>
  <c r="F262" i="30"/>
  <c r="H262" i="30" s="1"/>
  <c r="F263" i="30"/>
  <c r="H263" i="30" s="1"/>
  <c r="F264" i="30"/>
  <c r="H264" i="30" s="1"/>
  <c r="F265" i="30"/>
  <c r="H265" i="30" s="1"/>
  <c r="F266" i="30"/>
  <c r="H266" i="30" s="1"/>
  <c r="F267" i="30"/>
  <c r="H267" i="30" s="1"/>
  <c r="F268" i="30"/>
  <c r="H268" i="30" s="1"/>
  <c r="F269" i="30"/>
  <c r="H269" i="30" s="1"/>
  <c r="F270" i="30"/>
  <c r="H270" i="30" s="1"/>
  <c r="F271" i="30"/>
  <c r="H271" i="30" s="1"/>
  <c r="F272" i="30"/>
  <c r="H272" i="30" s="1"/>
  <c r="F273" i="30"/>
  <c r="H273" i="30" s="1"/>
  <c r="F274" i="30"/>
  <c r="H274" i="30" s="1"/>
  <c r="F275" i="30"/>
  <c r="H275" i="30" s="1"/>
  <c r="F276" i="30"/>
  <c r="H276" i="30" s="1"/>
  <c r="F277" i="30"/>
  <c r="H277" i="30" s="1"/>
  <c r="F278" i="30"/>
  <c r="H278" i="30" s="1"/>
  <c r="F279" i="30"/>
  <c r="H279" i="30" s="1"/>
  <c r="F280" i="30"/>
  <c r="H280" i="30" s="1"/>
  <c r="F281" i="30"/>
  <c r="H281" i="30" s="1"/>
  <c r="F282" i="30"/>
  <c r="H282" i="30" s="1"/>
  <c r="F283" i="30"/>
  <c r="H283" i="30" s="1"/>
  <c r="F284" i="30"/>
  <c r="H284" i="30" s="1"/>
  <c r="F285" i="30"/>
  <c r="H285" i="30" s="1"/>
  <c r="F286" i="30"/>
  <c r="H286" i="30" s="1"/>
  <c r="F287" i="30"/>
  <c r="H287" i="30" s="1"/>
  <c r="F288" i="30"/>
  <c r="H288" i="30" s="1"/>
  <c r="F289" i="30"/>
  <c r="H289" i="30" s="1"/>
  <c r="F290" i="30"/>
  <c r="H290" i="30" s="1"/>
  <c r="F291" i="30"/>
  <c r="H291" i="30" s="1"/>
  <c r="F292" i="30"/>
  <c r="H292" i="30" s="1"/>
  <c r="F293" i="30"/>
  <c r="H293" i="30" s="1"/>
  <c r="F294" i="30"/>
  <c r="H294" i="30" s="1"/>
  <c r="F295" i="30"/>
  <c r="H295" i="30" s="1"/>
  <c r="F296" i="30"/>
  <c r="H296" i="30" s="1"/>
  <c r="F297" i="30"/>
  <c r="H297" i="30" s="1"/>
  <c r="F298" i="30"/>
  <c r="H298" i="30" s="1"/>
  <c r="F299" i="30"/>
  <c r="H299" i="30" s="1"/>
  <c r="F300" i="30"/>
  <c r="H300" i="30" s="1"/>
  <c r="F301" i="30"/>
  <c r="H301" i="30" s="1"/>
  <c r="F302" i="30"/>
  <c r="H302" i="30" s="1"/>
  <c r="F303" i="30"/>
  <c r="H303" i="30" s="1"/>
  <c r="F304" i="30"/>
  <c r="H304" i="30" s="1"/>
  <c r="F305" i="30"/>
  <c r="H305" i="30" s="1"/>
  <c r="F306" i="30"/>
  <c r="H306" i="30" s="1"/>
  <c r="F307" i="30"/>
  <c r="H307" i="30" s="1"/>
  <c r="F308" i="30"/>
  <c r="H308" i="30" s="1"/>
  <c r="F309" i="30"/>
  <c r="H309" i="30" s="1"/>
  <c r="F310" i="30"/>
  <c r="H310" i="30" s="1"/>
  <c r="F311" i="30"/>
  <c r="H311" i="30" s="1"/>
  <c r="F312" i="30"/>
  <c r="H312" i="30" s="1"/>
  <c r="F313" i="30"/>
  <c r="H313" i="30" s="1"/>
  <c r="F314" i="30"/>
  <c r="H314" i="30" s="1"/>
  <c r="F315" i="30"/>
  <c r="H315" i="30" s="1"/>
  <c r="F316" i="30"/>
  <c r="H316" i="30" s="1"/>
  <c r="F317" i="30"/>
  <c r="H317" i="30" s="1"/>
  <c r="F318" i="30"/>
  <c r="H318" i="30" s="1"/>
  <c r="F319" i="30"/>
  <c r="H319" i="30" s="1"/>
  <c r="F320" i="30"/>
  <c r="H320" i="30" s="1"/>
  <c r="F321" i="30"/>
  <c r="H321" i="30" s="1"/>
  <c r="F322" i="30"/>
  <c r="H322" i="30" s="1"/>
  <c r="F323" i="30"/>
  <c r="H323" i="30" s="1"/>
  <c r="F324" i="30"/>
  <c r="H324" i="30" s="1"/>
  <c r="F325" i="30"/>
  <c r="H325" i="30" s="1"/>
  <c r="F326" i="30"/>
  <c r="H326" i="30" s="1"/>
  <c r="F327" i="30"/>
  <c r="H327" i="30" s="1"/>
  <c r="F328" i="30"/>
  <c r="H328" i="30" s="1"/>
  <c r="F329" i="30"/>
  <c r="H329" i="30" s="1"/>
  <c r="F330" i="30"/>
  <c r="H330" i="30" s="1"/>
  <c r="F331" i="30"/>
  <c r="H331" i="30" s="1"/>
  <c r="F332" i="30"/>
  <c r="H332" i="30" s="1"/>
  <c r="F333" i="30"/>
  <c r="H333" i="30" s="1"/>
  <c r="F334" i="30"/>
  <c r="H334" i="30" s="1"/>
  <c r="F335" i="30"/>
  <c r="H335" i="30" s="1"/>
  <c r="F336" i="30"/>
  <c r="H336" i="30" s="1"/>
  <c r="F337" i="30"/>
  <c r="H337" i="30" s="1"/>
  <c r="F338" i="30"/>
  <c r="H338" i="30" s="1"/>
  <c r="F339" i="30"/>
  <c r="H339" i="30" s="1"/>
  <c r="F340" i="30"/>
  <c r="H340" i="30" s="1"/>
  <c r="F341" i="30"/>
  <c r="H341" i="30" s="1"/>
  <c r="F342" i="30"/>
  <c r="H342" i="30" s="1"/>
  <c r="F343" i="30"/>
  <c r="H343" i="30" s="1"/>
  <c r="F344" i="30"/>
  <c r="H344" i="30" s="1"/>
  <c r="F345" i="30"/>
  <c r="H345" i="30" s="1"/>
  <c r="F346" i="30"/>
  <c r="H346" i="30" s="1"/>
  <c r="F347" i="30"/>
  <c r="H347" i="30" s="1"/>
  <c r="F348" i="30"/>
  <c r="H348" i="30" s="1"/>
  <c r="F349" i="30"/>
  <c r="H349" i="30" s="1"/>
  <c r="F350" i="30"/>
  <c r="H350" i="30" s="1"/>
  <c r="F351" i="30"/>
  <c r="H351" i="30" s="1"/>
  <c r="F352" i="30"/>
  <c r="H352" i="30" s="1"/>
  <c r="F353" i="30"/>
  <c r="H353" i="30" s="1"/>
  <c r="F354" i="30"/>
  <c r="H354" i="30" s="1"/>
  <c r="F355" i="30"/>
  <c r="H355" i="30" s="1"/>
  <c r="F356" i="30"/>
  <c r="H356" i="30" s="1"/>
  <c r="F357" i="30"/>
  <c r="H357" i="30" s="1"/>
  <c r="F358" i="30"/>
  <c r="H358" i="30" s="1"/>
  <c r="F359" i="30"/>
  <c r="H359" i="30" s="1"/>
  <c r="F360" i="30"/>
  <c r="H360" i="30" s="1"/>
  <c r="F361" i="30"/>
  <c r="H361" i="30" s="1"/>
  <c r="F362" i="30"/>
  <c r="H362" i="30" s="1"/>
  <c r="F363" i="30"/>
  <c r="H363" i="30" s="1"/>
  <c r="F364" i="30"/>
  <c r="H364" i="30" s="1"/>
  <c r="F365" i="30"/>
  <c r="H365" i="30" s="1"/>
  <c r="F366" i="30"/>
  <c r="H366" i="30" s="1"/>
  <c r="F367" i="30"/>
  <c r="H367" i="30" s="1"/>
  <c r="F368" i="30"/>
  <c r="H368" i="30" s="1"/>
  <c r="F369" i="30"/>
  <c r="H369" i="30" s="1"/>
  <c r="F370" i="30"/>
  <c r="H370" i="30" s="1"/>
  <c r="F371" i="30"/>
  <c r="H371" i="30" s="1"/>
  <c r="F372" i="30"/>
  <c r="H372" i="30" s="1"/>
  <c r="F373" i="30"/>
  <c r="H373" i="30" s="1"/>
  <c r="F374" i="30"/>
  <c r="H374" i="30" s="1"/>
  <c r="F375" i="30"/>
  <c r="H375" i="30" s="1"/>
  <c r="F376" i="30"/>
  <c r="H376" i="30" s="1"/>
  <c r="F377" i="30"/>
  <c r="H377" i="30" s="1"/>
  <c r="F378" i="30"/>
  <c r="H378" i="30" s="1"/>
  <c r="F379" i="30"/>
  <c r="H379" i="30" s="1"/>
  <c r="F380" i="30"/>
  <c r="H380" i="30" s="1"/>
  <c r="F381" i="30"/>
  <c r="H381" i="30" s="1"/>
  <c r="F382" i="30"/>
  <c r="H382" i="30" s="1"/>
  <c r="F383" i="30"/>
  <c r="H383" i="30" s="1"/>
  <c r="F384" i="30"/>
  <c r="H384" i="30" s="1"/>
  <c r="F385" i="30"/>
  <c r="H385" i="30" s="1"/>
  <c r="F386" i="30"/>
  <c r="H386" i="30" s="1"/>
  <c r="F387" i="30"/>
  <c r="H387" i="30" s="1"/>
  <c r="F388" i="30"/>
  <c r="H388" i="30" s="1"/>
  <c r="F389" i="30"/>
  <c r="H389" i="30" s="1"/>
  <c r="F390" i="30"/>
  <c r="H390" i="30" s="1"/>
  <c r="F391" i="30"/>
  <c r="H391" i="30" s="1"/>
  <c r="F392" i="30"/>
  <c r="H392" i="30" s="1"/>
  <c r="F393" i="30"/>
  <c r="H393" i="30" s="1"/>
  <c r="F394" i="30"/>
  <c r="H394" i="30" s="1"/>
  <c r="F395" i="30"/>
  <c r="H395" i="30" s="1"/>
  <c r="F396" i="30"/>
  <c r="H396" i="30" s="1"/>
  <c r="F397" i="30"/>
  <c r="H397" i="30" s="1"/>
  <c r="F398" i="30"/>
  <c r="H398" i="30" s="1"/>
  <c r="F399" i="30"/>
  <c r="H399" i="30" s="1"/>
  <c r="F400" i="30"/>
  <c r="H400" i="30" s="1"/>
  <c r="AT3" i="30"/>
  <c r="AV3" i="30" s="1"/>
  <c r="AP3" i="30"/>
  <c r="AR3" i="30" s="1"/>
  <c r="AL3" i="30"/>
  <c r="AN3" i="30" s="1"/>
  <c r="AH3" i="30"/>
  <c r="AJ3" i="30" s="1"/>
  <c r="AD3" i="30"/>
  <c r="AF3" i="30" s="1"/>
  <c r="Z3" i="30"/>
  <c r="AB3" i="30" s="1"/>
  <c r="V3" i="30"/>
  <c r="X3" i="30" s="1"/>
  <c r="R3" i="30"/>
  <c r="T3" i="30" s="1"/>
  <c r="N3" i="30"/>
  <c r="P3" i="30" s="1"/>
  <c r="J3" i="30"/>
  <c r="L3" i="30" s="1"/>
  <c r="F3" i="30"/>
  <c r="H3" i="30" s="1"/>
  <c r="B4" i="30"/>
  <c r="B5" i="30"/>
  <c r="B6" i="30"/>
  <c r="D6" i="30" s="1"/>
  <c r="B7" i="30"/>
  <c r="D7" i="30" s="1"/>
  <c r="B8" i="30"/>
  <c r="D8" i="30" s="1"/>
  <c r="B9" i="30"/>
  <c r="D9" i="30" s="1"/>
  <c r="B10" i="30"/>
  <c r="D10" i="30" s="1"/>
  <c r="B11" i="30"/>
  <c r="B12" i="30"/>
  <c r="B13" i="30"/>
  <c r="D13" i="30" s="1"/>
  <c r="B14" i="30"/>
  <c r="D14" i="30" s="1"/>
  <c r="B15" i="30"/>
  <c r="D15" i="30" s="1"/>
  <c r="B16" i="30"/>
  <c r="B17" i="30"/>
  <c r="D17" i="30" s="1"/>
  <c r="B18" i="30"/>
  <c r="D18" i="30" s="1"/>
  <c r="B19" i="30"/>
  <c r="D19" i="30" s="1"/>
  <c r="B20" i="30"/>
  <c r="D20" i="30" s="1"/>
  <c r="B21" i="30"/>
  <c r="D21" i="30" s="1"/>
  <c r="B22" i="30"/>
  <c r="B23" i="30"/>
  <c r="B24" i="30"/>
  <c r="B25" i="30"/>
  <c r="B26" i="30"/>
  <c r="B27" i="30"/>
  <c r="B28" i="30"/>
  <c r="D28" i="30" s="1"/>
  <c r="B29" i="30"/>
  <c r="D29" i="30" s="1"/>
  <c r="B30" i="30"/>
  <c r="D30" i="30" s="1"/>
  <c r="B31" i="30"/>
  <c r="D31" i="30" s="1"/>
  <c r="B32" i="30"/>
  <c r="D32" i="30" s="1"/>
  <c r="B33" i="30"/>
  <c r="B34" i="30"/>
  <c r="D34" i="30" s="1"/>
  <c r="B35" i="30"/>
  <c r="D35" i="30" s="1"/>
  <c r="B36" i="30"/>
  <c r="B37" i="30"/>
  <c r="B38" i="30"/>
  <c r="B39" i="30"/>
  <c r="B40" i="30"/>
  <c r="B41" i="30"/>
  <c r="D41" i="30" s="1"/>
  <c r="B42" i="30"/>
  <c r="D42" i="30" s="1"/>
  <c r="B43" i="30"/>
  <c r="D43" i="30" s="1"/>
  <c r="B44" i="30"/>
  <c r="D44" i="30" s="1"/>
  <c r="B45" i="30"/>
  <c r="B46" i="30"/>
  <c r="D46" i="30" s="1"/>
  <c r="B47" i="30"/>
  <c r="B48" i="30"/>
  <c r="D48" i="30" s="1"/>
  <c r="B49" i="30"/>
  <c r="D49" i="30" s="1"/>
  <c r="B50" i="30"/>
  <c r="D50" i="30" s="1"/>
  <c r="B51" i="30"/>
  <c r="D51" i="30" s="1"/>
  <c r="B52" i="30"/>
  <c r="D52" i="30" s="1"/>
  <c r="B53" i="30"/>
  <c r="D53" i="30" s="1"/>
  <c r="B54" i="30"/>
  <c r="D54" i="30" s="1"/>
  <c r="B55" i="30"/>
  <c r="D55" i="30" s="1"/>
  <c r="B56" i="30"/>
  <c r="D56" i="30" s="1"/>
  <c r="B57" i="30"/>
  <c r="D57" i="30" s="1"/>
  <c r="B58" i="30"/>
  <c r="D58" i="30" s="1"/>
  <c r="B59" i="30"/>
  <c r="D59" i="30" s="1"/>
  <c r="B60" i="30"/>
  <c r="D60" i="30" s="1"/>
  <c r="B61" i="30"/>
  <c r="B62" i="30"/>
  <c r="D62" i="30" s="1"/>
  <c r="B63" i="30"/>
  <c r="D63" i="30" s="1"/>
  <c r="B64" i="30"/>
  <c r="D64" i="30" s="1"/>
  <c r="B65" i="30"/>
  <c r="B66" i="30"/>
  <c r="B67" i="30"/>
  <c r="B68" i="30"/>
  <c r="B69" i="30"/>
  <c r="B70" i="30"/>
  <c r="B71" i="30"/>
  <c r="D71" i="30" s="1"/>
  <c r="B72" i="30"/>
  <c r="D72" i="30" s="1"/>
  <c r="B73" i="30"/>
  <c r="D73" i="30" s="1"/>
  <c r="B74" i="30"/>
  <c r="B75" i="30"/>
  <c r="B76" i="30"/>
  <c r="D76" i="30" s="1"/>
  <c r="B77" i="30"/>
  <c r="D77" i="30" s="1"/>
  <c r="B78" i="30"/>
  <c r="D78" i="30" s="1"/>
  <c r="B79" i="30"/>
  <c r="D79" i="30" s="1"/>
  <c r="B80" i="30"/>
  <c r="D80" i="30" s="1"/>
  <c r="B81" i="30"/>
  <c r="B82" i="30"/>
  <c r="B83" i="30"/>
  <c r="D83" i="30" s="1"/>
  <c r="B84" i="30"/>
  <c r="D84" i="30" s="1"/>
  <c r="B85" i="30"/>
  <c r="D85" i="30" s="1"/>
  <c r="B86" i="30"/>
  <c r="B87" i="30"/>
  <c r="B88" i="30"/>
  <c r="B89" i="30"/>
  <c r="B90" i="30"/>
  <c r="D90" i="30" s="1"/>
  <c r="B91" i="30"/>
  <c r="D91" i="30" s="1"/>
  <c r="B92" i="30"/>
  <c r="D92" i="30" s="1"/>
  <c r="B93" i="30"/>
  <c r="D93" i="30" s="1"/>
  <c r="B94" i="30"/>
  <c r="D94" i="30" s="1"/>
  <c r="B95" i="30"/>
  <c r="D95" i="30" s="1"/>
  <c r="B96" i="30"/>
  <c r="D96" i="30" s="1"/>
  <c r="B97" i="30"/>
  <c r="D97" i="30" s="1"/>
  <c r="B98" i="30"/>
  <c r="D98" i="30" s="1"/>
  <c r="B99" i="30"/>
  <c r="D99" i="30" s="1"/>
  <c r="B100" i="30"/>
  <c r="D100" i="30" s="1"/>
  <c r="B101" i="30"/>
  <c r="D101" i="30" s="1"/>
  <c r="B102" i="30"/>
  <c r="D102" i="30" s="1"/>
  <c r="B103" i="30"/>
  <c r="D103" i="30" s="1"/>
  <c r="B104" i="30"/>
  <c r="B105" i="30"/>
  <c r="D105" i="30" s="1"/>
  <c r="B106" i="30"/>
  <c r="D106" i="30" s="1"/>
  <c r="B107" i="30"/>
  <c r="D107" i="30" s="1"/>
  <c r="B108" i="30"/>
  <c r="D108" i="30" s="1"/>
  <c r="B109" i="30"/>
  <c r="D109" i="30" s="1"/>
  <c r="B110" i="30"/>
  <c r="D110" i="30" s="1"/>
  <c r="B111" i="30"/>
  <c r="B112" i="30"/>
  <c r="B113" i="30"/>
  <c r="D113" i="30" s="1"/>
  <c r="B114" i="30"/>
  <c r="D114" i="30" s="1"/>
  <c r="B115" i="30"/>
  <c r="D115" i="30" s="1"/>
  <c r="B116" i="30"/>
  <c r="B117" i="30"/>
  <c r="B118" i="30"/>
  <c r="D118" i="30" s="1"/>
  <c r="B119" i="30"/>
  <c r="D119" i="30" s="1"/>
  <c r="B120" i="30"/>
  <c r="D120" i="30" s="1"/>
  <c r="B121" i="30"/>
  <c r="B122" i="30"/>
  <c r="D122" i="30" s="1"/>
  <c r="B123" i="30"/>
  <c r="D123" i="30" s="1"/>
  <c r="B124" i="30"/>
  <c r="D124" i="30" s="1"/>
  <c r="B125" i="30"/>
  <c r="D125" i="30" s="1"/>
  <c r="B126" i="30"/>
  <c r="D126" i="30" s="1"/>
  <c r="B127" i="30"/>
  <c r="D127" i="30" s="1"/>
  <c r="B128" i="30"/>
  <c r="D128" i="30" s="1"/>
  <c r="B129" i="30"/>
  <c r="B130" i="30"/>
  <c r="B131" i="30"/>
  <c r="B132" i="30"/>
  <c r="B133" i="30"/>
  <c r="B134" i="30"/>
  <c r="D134" i="30" s="1"/>
  <c r="B135" i="30"/>
  <c r="D135" i="30" s="1"/>
  <c r="B136" i="30"/>
  <c r="D136" i="30" s="1"/>
  <c r="B137" i="30"/>
  <c r="D137" i="30" s="1"/>
  <c r="B138" i="30"/>
  <c r="B139" i="30"/>
  <c r="D139" i="30" s="1"/>
  <c r="B140" i="30"/>
  <c r="D140" i="30" s="1"/>
  <c r="B141" i="30"/>
  <c r="D141" i="30" s="1"/>
  <c r="B142" i="30"/>
  <c r="B143" i="30"/>
  <c r="D143" i="30" s="1"/>
  <c r="B144" i="30"/>
  <c r="D144" i="30" s="1"/>
  <c r="B145" i="30"/>
  <c r="D145" i="30" s="1"/>
  <c r="B146" i="30"/>
  <c r="D146" i="30" s="1"/>
  <c r="B147" i="30"/>
  <c r="D147" i="30" s="1"/>
  <c r="B148" i="30"/>
  <c r="B149" i="30"/>
  <c r="D149" i="30" s="1"/>
  <c r="B150" i="30"/>
  <c r="D150" i="30" s="1"/>
  <c r="B151" i="30"/>
  <c r="B152" i="30"/>
  <c r="D152" i="30" s="1"/>
  <c r="B153" i="30"/>
  <c r="D153" i="30" s="1"/>
  <c r="B154" i="30"/>
  <c r="D154" i="30" s="1"/>
  <c r="B155" i="30"/>
  <c r="D155" i="30" s="1"/>
  <c r="B156" i="30"/>
  <c r="D156" i="30" s="1"/>
  <c r="B157" i="30"/>
  <c r="D157" i="30" s="1"/>
  <c r="B158" i="30"/>
  <c r="D158" i="30" s="1"/>
  <c r="B159" i="30"/>
  <c r="D159" i="30" s="1"/>
  <c r="B160" i="30"/>
  <c r="D160" i="30" s="1"/>
  <c r="B161" i="30"/>
  <c r="D161" i="30" s="1"/>
  <c r="B162" i="30"/>
  <c r="D162" i="30" s="1"/>
  <c r="B163" i="30"/>
  <c r="D163" i="30" s="1"/>
  <c r="B164" i="30"/>
  <c r="D164" i="30" s="1"/>
  <c r="B165" i="30"/>
  <c r="D165" i="30" s="1"/>
  <c r="B166" i="30"/>
  <c r="D166" i="30" s="1"/>
  <c r="B167" i="30"/>
  <c r="D167" i="30" s="1"/>
  <c r="B168" i="30"/>
  <c r="D168" i="30" s="1"/>
  <c r="B169" i="30"/>
  <c r="D169" i="30" s="1"/>
  <c r="B170" i="30"/>
  <c r="D170" i="30" s="1"/>
  <c r="B171" i="30"/>
  <c r="D171" i="30" s="1"/>
  <c r="B172" i="30"/>
  <c r="D172" i="30" s="1"/>
  <c r="B173" i="30"/>
  <c r="D173" i="30" s="1"/>
  <c r="B174" i="30"/>
  <c r="D174" i="30" s="1"/>
  <c r="B175" i="30"/>
  <c r="D175" i="30" s="1"/>
  <c r="B176" i="30"/>
  <c r="D176" i="30" s="1"/>
  <c r="B177" i="30"/>
  <c r="D177" i="30" s="1"/>
  <c r="B178" i="30"/>
  <c r="D178" i="30" s="1"/>
  <c r="B179" i="30"/>
  <c r="D179" i="30" s="1"/>
  <c r="B180" i="30"/>
  <c r="D180" i="30" s="1"/>
  <c r="B181" i="30"/>
  <c r="D181" i="30" s="1"/>
  <c r="B182" i="30"/>
  <c r="D182" i="30" s="1"/>
  <c r="B183" i="30"/>
  <c r="D183" i="30" s="1"/>
  <c r="B184" i="30"/>
  <c r="D184" i="30" s="1"/>
  <c r="B185" i="30"/>
  <c r="D185" i="30" s="1"/>
  <c r="B186" i="30"/>
  <c r="D186" i="30" s="1"/>
  <c r="B187" i="30"/>
  <c r="D187" i="30" s="1"/>
  <c r="B188" i="30"/>
  <c r="D188" i="30" s="1"/>
  <c r="B189" i="30"/>
  <c r="D189" i="30" s="1"/>
  <c r="B190" i="30"/>
  <c r="D190" i="30" s="1"/>
  <c r="B191" i="30"/>
  <c r="D191" i="30" s="1"/>
  <c r="B192" i="30"/>
  <c r="D192" i="30" s="1"/>
  <c r="B193" i="30"/>
  <c r="D193" i="30" s="1"/>
  <c r="B194" i="30"/>
  <c r="D194" i="30" s="1"/>
  <c r="B195" i="30"/>
  <c r="D195" i="30" s="1"/>
  <c r="B196" i="30"/>
  <c r="D196" i="30" s="1"/>
  <c r="B197" i="30"/>
  <c r="D197" i="30" s="1"/>
  <c r="B198" i="30"/>
  <c r="D198" i="30" s="1"/>
  <c r="B199" i="30"/>
  <c r="D199" i="30" s="1"/>
  <c r="B200" i="30"/>
  <c r="D200" i="30" s="1"/>
  <c r="B201" i="30"/>
  <c r="D201" i="30" s="1"/>
  <c r="B202" i="30"/>
  <c r="D202" i="30" s="1"/>
  <c r="B203" i="30"/>
  <c r="D203" i="30" s="1"/>
  <c r="B204" i="30"/>
  <c r="D204" i="30" s="1"/>
  <c r="B205" i="30"/>
  <c r="D205" i="30" s="1"/>
  <c r="B206" i="30"/>
  <c r="D206" i="30" s="1"/>
  <c r="B207" i="30"/>
  <c r="D207" i="30" s="1"/>
  <c r="B208" i="30"/>
  <c r="D208" i="30" s="1"/>
  <c r="B209" i="30"/>
  <c r="D209" i="30" s="1"/>
  <c r="B210" i="30"/>
  <c r="D210" i="30" s="1"/>
  <c r="B211" i="30"/>
  <c r="D211" i="30" s="1"/>
  <c r="B212" i="30"/>
  <c r="D212" i="30" s="1"/>
  <c r="B213" i="30"/>
  <c r="D213" i="30" s="1"/>
  <c r="B214" i="30"/>
  <c r="D214" i="30" s="1"/>
  <c r="B215" i="30"/>
  <c r="D215" i="30" s="1"/>
  <c r="B216" i="30"/>
  <c r="D216" i="30" s="1"/>
  <c r="B217" i="30"/>
  <c r="D217" i="30" s="1"/>
  <c r="B218" i="30"/>
  <c r="D218" i="30" s="1"/>
  <c r="B219" i="30"/>
  <c r="D219" i="30" s="1"/>
  <c r="B220" i="30"/>
  <c r="D220" i="30" s="1"/>
  <c r="B221" i="30"/>
  <c r="D221" i="30" s="1"/>
  <c r="B222" i="30"/>
  <c r="D222" i="30" s="1"/>
  <c r="B223" i="30"/>
  <c r="D223" i="30" s="1"/>
  <c r="B224" i="30"/>
  <c r="D224" i="30" s="1"/>
  <c r="B225" i="30"/>
  <c r="D225" i="30" s="1"/>
  <c r="B226" i="30"/>
  <c r="D226" i="30" s="1"/>
  <c r="B227" i="30"/>
  <c r="D227" i="30" s="1"/>
  <c r="B228" i="30"/>
  <c r="D228" i="30" s="1"/>
  <c r="B229" i="30"/>
  <c r="D229" i="30" s="1"/>
  <c r="B230" i="30"/>
  <c r="D230" i="30" s="1"/>
  <c r="B231" i="30"/>
  <c r="D231" i="30" s="1"/>
  <c r="B232" i="30"/>
  <c r="D232" i="30" s="1"/>
  <c r="B233" i="30"/>
  <c r="D233" i="30" s="1"/>
  <c r="B234" i="30"/>
  <c r="D234" i="30" s="1"/>
  <c r="B235" i="30"/>
  <c r="D235" i="30" s="1"/>
  <c r="B236" i="30"/>
  <c r="D236" i="30" s="1"/>
  <c r="B237" i="30"/>
  <c r="D237" i="30" s="1"/>
  <c r="B238" i="30"/>
  <c r="D238" i="30" s="1"/>
  <c r="B239" i="30"/>
  <c r="D239" i="30" s="1"/>
  <c r="B240" i="30"/>
  <c r="D240" i="30" s="1"/>
  <c r="B241" i="30"/>
  <c r="D241" i="30" s="1"/>
  <c r="B242" i="30"/>
  <c r="D242" i="30" s="1"/>
  <c r="B243" i="30"/>
  <c r="D243" i="30" s="1"/>
  <c r="B244" i="30"/>
  <c r="D244" i="30" s="1"/>
  <c r="B245" i="30"/>
  <c r="D245" i="30" s="1"/>
  <c r="B246" i="30"/>
  <c r="D246" i="30" s="1"/>
  <c r="B247" i="30"/>
  <c r="D247" i="30" s="1"/>
  <c r="B248" i="30"/>
  <c r="D248" i="30" s="1"/>
  <c r="B249" i="30"/>
  <c r="D249" i="30" s="1"/>
  <c r="B250" i="30"/>
  <c r="D250" i="30" s="1"/>
  <c r="B251" i="30"/>
  <c r="D251" i="30" s="1"/>
  <c r="B252" i="30"/>
  <c r="D252" i="30" s="1"/>
  <c r="B253" i="30"/>
  <c r="D253" i="30" s="1"/>
  <c r="B254" i="30"/>
  <c r="D254" i="30" s="1"/>
  <c r="B255" i="30"/>
  <c r="D255" i="30" s="1"/>
  <c r="B256" i="30"/>
  <c r="D256" i="30" s="1"/>
  <c r="B257" i="30"/>
  <c r="D257" i="30" s="1"/>
  <c r="B258" i="30"/>
  <c r="D258" i="30" s="1"/>
  <c r="B259" i="30"/>
  <c r="D259" i="30" s="1"/>
  <c r="B260" i="30"/>
  <c r="D260" i="30" s="1"/>
  <c r="B261" i="30"/>
  <c r="D261" i="30" s="1"/>
  <c r="B262" i="30"/>
  <c r="D262" i="30" s="1"/>
  <c r="B263" i="30"/>
  <c r="D263" i="30" s="1"/>
  <c r="B264" i="30"/>
  <c r="D264" i="30" s="1"/>
  <c r="B265" i="30"/>
  <c r="D265" i="30" s="1"/>
  <c r="B266" i="30"/>
  <c r="D266" i="30" s="1"/>
  <c r="B267" i="30"/>
  <c r="D267" i="30" s="1"/>
  <c r="B268" i="30"/>
  <c r="D268" i="30" s="1"/>
  <c r="B269" i="30"/>
  <c r="D269" i="30" s="1"/>
  <c r="B270" i="30"/>
  <c r="D270" i="30" s="1"/>
  <c r="B271" i="30"/>
  <c r="D271" i="30" s="1"/>
  <c r="B272" i="30"/>
  <c r="D272" i="30" s="1"/>
  <c r="B273" i="30"/>
  <c r="D273" i="30" s="1"/>
  <c r="B274" i="30"/>
  <c r="D274" i="30" s="1"/>
  <c r="B275" i="30"/>
  <c r="D275" i="30" s="1"/>
  <c r="B276" i="30"/>
  <c r="D276" i="30" s="1"/>
  <c r="B277" i="30"/>
  <c r="D277" i="30" s="1"/>
  <c r="B278" i="30"/>
  <c r="D278" i="30" s="1"/>
  <c r="B279" i="30"/>
  <c r="D279" i="30" s="1"/>
  <c r="B280" i="30"/>
  <c r="D280" i="30" s="1"/>
  <c r="B281" i="30"/>
  <c r="D281" i="30" s="1"/>
  <c r="B282" i="30"/>
  <c r="D282" i="30" s="1"/>
  <c r="B283" i="30"/>
  <c r="D283" i="30" s="1"/>
  <c r="B284" i="30"/>
  <c r="D284" i="30" s="1"/>
  <c r="B285" i="30"/>
  <c r="D285" i="30" s="1"/>
  <c r="B286" i="30"/>
  <c r="D286" i="30" s="1"/>
  <c r="B287" i="30"/>
  <c r="D287" i="30" s="1"/>
  <c r="B288" i="30"/>
  <c r="D288" i="30" s="1"/>
  <c r="B289" i="30"/>
  <c r="D289" i="30" s="1"/>
  <c r="B290" i="30"/>
  <c r="D290" i="30" s="1"/>
  <c r="B291" i="30"/>
  <c r="D291" i="30" s="1"/>
  <c r="B292" i="30"/>
  <c r="D292" i="30" s="1"/>
  <c r="B293" i="30"/>
  <c r="D293" i="30" s="1"/>
  <c r="B294" i="30"/>
  <c r="D294" i="30" s="1"/>
  <c r="B295" i="30"/>
  <c r="D295" i="30" s="1"/>
  <c r="B296" i="30"/>
  <c r="D296" i="30" s="1"/>
  <c r="B297" i="30"/>
  <c r="D297" i="30" s="1"/>
  <c r="B298" i="30"/>
  <c r="D298" i="30" s="1"/>
  <c r="B299" i="30"/>
  <c r="D299" i="30" s="1"/>
  <c r="B300" i="30"/>
  <c r="D300" i="30" s="1"/>
  <c r="B301" i="30"/>
  <c r="D301" i="30" s="1"/>
  <c r="B302" i="30"/>
  <c r="D302" i="30" s="1"/>
  <c r="B303" i="30"/>
  <c r="D303" i="30" s="1"/>
  <c r="B304" i="30"/>
  <c r="D304" i="30" s="1"/>
  <c r="B305" i="30"/>
  <c r="D305" i="30" s="1"/>
  <c r="B306" i="30"/>
  <c r="D306" i="30" s="1"/>
  <c r="B307" i="30"/>
  <c r="D307" i="30" s="1"/>
  <c r="B308" i="30"/>
  <c r="D308" i="30" s="1"/>
  <c r="B309" i="30"/>
  <c r="D309" i="30" s="1"/>
  <c r="B310" i="30"/>
  <c r="D310" i="30" s="1"/>
  <c r="B311" i="30"/>
  <c r="D311" i="30" s="1"/>
  <c r="B312" i="30"/>
  <c r="D312" i="30" s="1"/>
  <c r="B313" i="30"/>
  <c r="D313" i="30" s="1"/>
  <c r="B314" i="30"/>
  <c r="D314" i="30" s="1"/>
  <c r="B315" i="30"/>
  <c r="D315" i="30" s="1"/>
  <c r="B316" i="30"/>
  <c r="D316" i="30" s="1"/>
  <c r="B317" i="30"/>
  <c r="D317" i="30" s="1"/>
  <c r="B318" i="30"/>
  <c r="D318" i="30" s="1"/>
  <c r="B319" i="30"/>
  <c r="D319" i="30" s="1"/>
  <c r="B320" i="30"/>
  <c r="D320" i="30" s="1"/>
  <c r="B321" i="30"/>
  <c r="D321" i="30" s="1"/>
  <c r="B322" i="30"/>
  <c r="D322" i="30" s="1"/>
  <c r="B323" i="30"/>
  <c r="D323" i="30" s="1"/>
  <c r="B324" i="30"/>
  <c r="D324" i="30" s="1"/>
  <c r="B325" i="30"/>
  <c r="D325" i="30" s="1"/>
  <c r="B326" i="30"/>
  <c r="D326" i="30" s="1"/>
  <c r="B327" i="30"/>
  <c r="D327" i="30" s="1"/>
  <c r="B328" i="30"/>
  <c r="D328" i="30" s="1"/>
  <c r="B329" i="30"/>
  <c r="D329" i="30" s="1"/>
  <c r="B330" i="30"/>
  <c r="D330" i="30" s="1"/>
  <c r="B331" i="30"/>
  <c r="D331" i="30" s="1"/>
  <c r="B332" i="30"/>
  <c r="D332" i="30" s="1"/>
  <c r="B333" i="30"/>
  <c r="D333" i="30" s="1"/>
  <c r="B334" i="30"/>
  <c r="D334" i="30" s="1"/>
  <c r="B335" i="30"/>
  <c r="D335" i="30" s="1"/>
  <c r="B336" i="30"/>
  <c r="D336" i="30" s="1"/>
  <c r="B337" i="30"/>
  <c r="D337" i="30" s="1"/>
  <c r="B338" i="30"/>
  <c r="D338" i="30" s="1"/>
  <c r="B339" i="30"/>
  <c r="D339" i="30" s="1"/>
  <c r="B340" i="30"/>
  <c r="D340" i="30" s="1"/>
  <c r="B341" i="30"/>
  <c r="D341" i="30" s="1"/>
  <c r="B342" i="30"/>
  <c r="D342" i="30" s="1"/>
  <c r="B343" i="30"/>
  <c r="D343" i="30" s="1"/>
  <c r="B344" i="30"/>
  <c r="D344" i="30" s="1"/>
  <c r="B345" i="30"/>
  <c r="D345" i="30" s="1"/>
  <c r="B346" i="30"/>
  <c r="D346" i="30" s="1"/>
  <c r="B347" i="30"/>
  <c r="D347" i="30" s="1"/>
  <c r="B348" i="30"/>
  <c r="D348" i="30" s="1"/>
  <c r="B349" i="30"/>
  <c r="D349" i="30" s="1"/>
  <c r="B350" i="30"/>
  <c r="D350" i="30" s="1"/>
  <c r="B351" i="30"/>
  <c r="D351" i="30" s="1"/>
  <c r="B352" i="30"/>
  <c r="D352" i="30" s="1"/>
  <c r="B353" i="30"/>
  <c r="D353" i="30" s="1"/>
  <c r="B354" i="30"/>
  <c r="D354" i="30" s="1"/>
  <c r="B355" i="30"/>
  <c r="D355" i="30" s="1"/>
  <c r="B356" i="30"/>
  <c r="D356" i="30" s="1"/>
  <c r="B357" i="30"/>
  <c r="D357" i="30" s="1"/>
  <c r="B358" i="30"/>
  <c r="D358" i="30" s="1"/>
  <c r="B359" i="30"/>
  <c r="D359" i="30" s="1"/>
  <c r="B360" i="30"/>
  <c r="D360" i="30" s="1"/>
  <c r="B361" i="30"/>
  <c r="D361" i="30" s="1"/>
  <c r="B362" i="30"/>
  <c r="D362" i="30" s="1"/>
  <c r="B363" i="30"/>
  <c r="D363" i="30" s="1"/>
  <c r="B364" i="30"/>
  <c r="D364" i="30" s="1"/>
  <c r="B365" i="30"/>
  <c r="D365" i="30" s="1"/>
  <c r="B366" i="30"/>
  <c r="D366" i="30" s="1"/>
  <c r="B367" i="30"/>
  <c r="D367" i="30" s="1"/>
  <c r="B368" i="30"/>
  <c r="D368" i="30" s="1"/>
  <c r="B369" i="30"/>
  <c r="D369" i="30" s="1"/>
  <c r="B370" i="30"/>
  <c r="D370" i="30" s="1"/>
  <c r="B371" i="30"/>
  <c r="D371" i="30" s="1"/>
  <c r="B372" i="30"/>
  <c r="D372" i="30" s="1"/>
  <c r="B373" i="30"/>
  <c r="D373" i="30" s="1"/>
  <c r="B374" i="30"/>
  <c r="D374" i="30" s="1"/>
  <c r="B375" i="30"/>
  <c r="D375" i="30" s="1"/>
  <c r="B376" i="30"/>
  <c r="D376" i="30" s="1"/>
  <c r="B377" i="30"/>
  <c r="D377" i="30" s="1"/>
  <c r="B378" i="30"/>
  <c r="D378" i="30" s="1"/>
  <c r="B379" i="30"/>
  <c r="D379" i="30" s="1"/>
  <c r="B380" i="30"/>
  <c r="D380" i="30" s="1"/>
  <c r="B381" i="30"/>
  <c r="D381" i="30" s="1"/>
  <c r="B382" i="30"/>
  <c r="D382" i="30" s="1"/>
  <c r="B383" i="30"/>
  <c r="D383" i="30" s="1"/>
  <c r="B384" i="30"/>
  <c r="D384" i="30" s="1"/>
  <c r="B385" i="30"/>
  <c r="D385" i="30" s="1"/>
  <c r="B386" i="30"/>
  <c r="D386" i="30" s="1"/>
  <c r="B387" i="30"/>
  <c r="D387" i="30" s="1"/>
  <c r="B388" i="30"/>
  <c r="D388" i="30" s="1"/>
  <c r="B389" i="30"/>
  <c r="D389" i="30" s="1"/>
  <c r="B390" i="30"/>
  <c r="D390" i="30" s="1"/>
  <c r="B391" i="30"/>
  <c r="D391" i="30" s="1"/>
  <c r="B392" i="30"/>
  <c r="D392" i="30" s="1"/>
  <c r="B393" i="30"/>
  <c r="D393" i="30" s="1"/>
  <c r="B394" i="30"/>
  <c r="D394" i="30" s="1"/>
  <c r="B395" i="30"/>
  <c r="D395" i="30" s="1"/>
  <c r="B396" i="30"/>
  <c r="D396" i="30" s="1"/>
  <c r="B397" i="30"/>
  <c r="D397" i="30" s="1"/>
  <c r="B398" i="30"/>
  <c r="D398" i="30" s="1"/>
  <c r="B399" i="30"/>
  <c r="D399" i="30" s="1"/>
  <c r="B400" i="30"/>
  <c r="D400" i="30" s="1"/>
  <c r="B3" i="30"/>
  <c r="D3" i="30" s="1"/>
  <c r="C129" i="30" l="1"/>
  <c r="D129" i="30"/>
  <c r="C121" i="30"/>
  <c r="D121" i="30"/>
  <c r="C69" i="30"/>
  <c r="D69" i="30"/>
  <c r="C61" i="30"/>
  <c r="D61" i="30"/>
  <c r="C45" i="30"/>
  <c r="D45" i="30"/>
  <c r="G133" i="30"/>
  <c r="H133" i="30"/>
  <c r="G117" i="30"/>
  <c r="H117" i="30"/>
  <c r="G89" i="30"/>
  <c r="H89" i="30"/>
  <c r="G81" i="30"/>
  <c r="H81" i="30"/>
  <c r="G65" i="30"/>
  <c r="H65" i="30"/>
  <c r="G45" i="30"/>
  <c r="H45" i="30"/>
  <c r="K138" i="30"/>
  <c r="L138" i="30"/>
  <c r="K86" i="30"/>
  <c r="L86" i="30"/>
  <c r="K70" i="30"/>
  <c r="L70" i="30"/>
  <c r="O151" i="30"/>
  <c r="P151" i="30"/>
  <c r="O131" i="30"/>
  <c r="P131" i="30"/>
  <c r="O111" i="30"/>
  <c r="P111" i="30"/>
  <c r="O87" i="30"/>
  <c r="P87" i="30"/>
  <c r="O75" i="30"/>
  <c r="P75" i="30"/>
  <c r="O67" i="30"/>
  <c r="P67" i="30"/>
  <c r="O47" i="30"/>
  <c r="P47" i="30"/>
  <c r="O39" i="30"/>
  <c r="P39" i="30"/>
  <c r="S148" i="30"/>
  <c r="T148" i="30"/>
  <c r="S132" i="30"/>
  <c r="T132" i="30"/>
  <c r="S116" i="30"/>
  <c r="T116" i="30"/>
  <c r="S112" i="30"/>
  <c r="T112" i="30"/>
  <c r="S104" i="30"/>
  <c r="T104" i="30"/>
  <c r="S88" i="30"/>
  <c r="T88" i="30"/>
  <c r="S68" i="30"/>
  <c r="T68" i="30"/>
  <c r="S40" i="30"/>
  <c r="T40" i="30"/>
  <c r="W133" i="30"/>
  <c r="X133" i="30"/>
  <c r="W129" i="30"/>
  <c r="X129" i="30"/>
  <c r="W121" i="30"/>
  <c r="X121" i="30"/>
  <c r="W117" i="30"/>
  <c r="X117" i="30"/>
  <c r="W89" i="30"/>
  <c r="X89" i="30"/>
  <c r="W81" i="30"/>
  <c r="X81" i="30"/>
  <c r="W69" i="30"/>
  <c r="X69" i="30"/>
  <c r="W65" i="30"/>
  <c r="X65" i="30"/>
  <c r="W61" i="30"/>
  <c r="X61" i="30"/>
  <c r="W45" i="30"/>
  <c r="X45" i="30"/>
  <c r="AA142" i="30"/>
  <c r="AB142" i="30"/>
  <c r="AA138" i="30"/>
  <c r="AB138" i="30"/>
  <c r="AA130" i="30"/>
  <c r="AB130" i="30"/>
  <c r="AA86" i="30"/>
  <c r="AB86" i="30"/>
  <c r="AA82" i="30"/>
  <c r="AB82" i="30"/>
  <c r="AA74" i="30"/>
  <c r="AB74" i="30"/>
  <c r="AA70" i="30"/>
  <c r="AB70" i="30"/>
  <c r="AA66" i="30"/>
  <c r="AB66" i="30"/>
  <c r="AE151" i="30"/>
  <c r="AF151" i="30"/>
  <c r="AE131" i="30"/>
  <c r="AF131" i="30"/>
  <c r="AE111" i="30"/>
  <c r="AF111" i="30"/>
  <c r="AE87" i="30"/>
  <c r="AF87" i="30"/>
  <c r="AE75" i="30"/>
  <c r="AF75" i="30"/>
  <c r="AE67" i="30"/>
  <c r="AF67" i="30"/>
  <c r="AE47" i="30"/>
  <c r="AF47" i="30"/>
  <c r="AE39" i="30"/>
  <c r="AF39" i="30"/>
  <c r="AI148" i="30"/>
  <c r="AJ148" i="30"/>
  <c r="AI132" i="30"/>
  <c r="AJ132" i="30"/>
  <c r="AI116" i="30"/>
  <c r="AJ116" i="30"/>
  <c r="AI112" i="30"/>
  <c r="AJ112" i="30"/>
  <c r="AI104" i="30"/>
  <c r="AJ104" i="30"/>
  <c r="AI88" i="30"/>
  <c r="AJ88" i="30"/>
  <c r="AI68" i="30"/>
  <c r="AJ68" i="30"/>
  <c r="AI40" i="30"/>
  <c r="AJ40" i="30"/>
  <c r="AM133" i="30"/>
  <c r="AN133" i="30"/>
  <c r="AM129" i="30"/>
  <c r="AN129" i="30"/>
  <c r="AM121" i="30"/>
  <c r="AN121" i="30"/>
  <c r="AM117" i="30"/>
  <c r="AN117" i="30"/>
  <c r="AM89" i="30"/>
  <c r="AN89" i="30"/>
  <c r="AM81" i="30"/>
  <c r="AN81" i="30"/>
  <c r="AM69" i="30"/>
  <c r="AN69" i="30"/>
  <c r="AM65" i="30"/>
  <c r="AN65" i="30"/>
  <c r="AM61" i="30"/>
  <c r="AN61" i="30"/>
  <c r="AM45" i="30"/>
  <c r="AN45" i="30"/>
  <c r="AQ142" i="30"/>
  <c r="AR142" i="30"/>
  <c r="AQ138" i="30"/>
  <c r="AR138" i="30"/>
  <c r="AQ130" i="30"/>
  <c r="AR130" i="30"/>
  <c r="AQ86" i="30"/>
  <c r="AR86" i="30"/>
  <c r="AQ82" i="30"/>
  <c r="AR82" i="30"/>
  <c r="AQ74" i="30"/>
  <c r="AR74" i="30"/>
  <c r="AQ70" i="30"/>
  <c r="AR70" i="30"/>
  <c r="AQ66" i="30"/>
  <c r="AR66" i="30"/>
  <c r="AU151" i="30"/>
  <c r="AV151" i="30"/>
  <c r="AU131" i="30"/>
  <c r="AV131" i="30"/>
  <c r="AU111" i="30"/>
  <c r="AV111" i="30"/>
  <c r="AU87" i="30"/>
  <c r="AV87" i="30"/>
  <c r="AU75" i="30"/>
  <c r="AV75" i="30"/>
  <c r="AU67" i="30"/>
  <c r="AV67" i="30"/>
  <c r="AU47" i="30"/>
  <c r="AV47" i="30"/>
  <c r="AU39" i="30"/>
  <c r="AV39" i="30"/>
  <c r="C133" i="30"/>
  <c r="D133" i="30"/>
  <c r="C117" i="30"/>
  <c r="D117" i="30"/>
  <c r="C89" i="30"/>
  <c r="D89" i="30"/>
  <c r="C81" i="30"/>
  <c r="D81" i="30"/>
  <c r="C65" i="30"/>
  <c r="D65" i="30"/>
  <c r="G129" i="30"/>
  <c r="H129" i="30"/>
  <c r="G121" i="30"/>
  <c r="H121" i="30"/>
  <c r="G69" i="30"/>
  <c r="H69" i="30"/>
  <c r="G61" i="30"/>
  <c r="H61" i="30"/>
  <c r="K142" i="30"/>
  <c r="L142" i="30"/>
  <c r="K130" i="30"/>
  <c r="L130" i="30"/>
  <c r="K82" i="30"/>
  <c r="L82" i="30"/>
  <c r="K74" i="30"/>
  <c r="L74" i="30"/>
  <c r="K66" i="30"/>
  <c r="L66" i="30"/>
  <c r="C148" i="30"/>
  <c r="D148" i="30"/>
  <c r="C132" i="30"/>
  <c r="D132" i="30"/>
  <c r="C116" i="30"/>
  <c r="D116" i="30"/>
  <c r="C112" i="30"/>
  <c r="D112" i="30"/>
  <c r="C104" i="30"/>
  <c r="D104" i="30"/>
  <c r="C88" i="30"/>
  <c r="D88" i="30"/>
  <c r="C68" i="30"/>
  <c r="D68" i="30"/>
  <c r="C40" i="30"/>
  <c r="D40" i="30"/>
  <c r="G148" i="30"/>
  <c r="H148" i="30"/>
  <c r="G132" i="30"/>
  <c r="H132" i="30"/>
  <c r="G116" i="30"/>
  <c r="H116" i="30"/>
  <c r="G112" i="30"/>
  <c r="H112" i="30"/>
  <c r="G104" i="30"/>
  <c r="H104" i="30"/>
  <c r="G88" i="30"/>
  <c r="H88" i="30"/>
  <c r="G68" i="30"/>
  <c r="H68" i="30"/>
  <c r="G40" i="30"/>
  <c r="H40" i="30"/>
  <c r="K133" i="30"/>
  <c r="L133" i="30"/>
  <c r="K129" i="30"/>
  <c r="L129" i="30"/>
  <c r="K121" i="30"/>
  <c r="L121" i="30"/>
  <c r="K117" i="30"/>
  <c r="L117" i="30"/>
  <c r="K89" i="30"/>
  <c r="L89" i="30"/>
  <c r="K81" i="30"/>
  <c r="L81" i="30"/>
  <c r="K69" i="30"/>
  <c r="L69" i="30"/>
  <c r="K65" i="30"/>
  <c r="L65" i="30"/>
  <c r="K61" i="30"/>
  <c r="L61" i="30"/>
  <c r="K45" i="30"/>
  <c r="L45" i="30"/>
  <c r="O142" i="30"/>
  <c r="P142" i="30"/>
  <c r="O138" i="30"/>
  <c r="P138" i="30"/>
  <c r="O130" i="30"/>
  <c r="P130" i="30"/>
  <c r="O86" i="30"/>
  <c r="P86" i="30"/>
  <c r="O82" i="30"/>
  <c r="P82" i="30"/>
  <c r="O74" i="30"/>
  <c r="P74" i="30"/>
  <c r="O70" i="30"/>
  <c r="P70" i="30"/>
  <c r="O66" i="30"/>
  <c r="P66" i="30"/>
  <c r="S151" i="30"/>
  <c r="T151" i="30"/>
  <c r="S131" i="30"/>
  <c r="T131" i="30"/>
  <c r="S111" i="30"/>
  <c r="T111" i="30"/>
  <c r="S87" i="30"/>
  <c r="T87" i="30"/>
  <c r="S75" i="30"/>
  <c r="T75" i="30"/>
  <c r="S67" i="30"/>
  <c r="T67" i="30"/>
  <c r="S47" i="30"/>
  <c r="T47" i="30"/>
  <c r="S39" i="30"/>
  <c r="T39" i="30"/>
  <c r="W148" i="30"/>
  <c r="X148" i="30"/>
  <c r="W132" i="30"/>
  <c r="X132" i="30"/>
  <c r="W116" i="30"/>
  <c r="X116" i="30"/>
  <c r="W112" i="30"/>
  <c r="X112" i="30"/>
  <c r="W104" i="30"/>
  <c r="X104" i="30"/>
  <c r="W88" i="30"/>
  <c r="X88" i="30"/>
  <c r="W68" i="30"/>
  <c r="X68" i="30"/>
  <c r="W40" i="30"/>
  <c r="X40" i="30"/>
  <c r="AA133" i="30"/>
  <c r="AB133" i="30"/>
  <c r="AA129" i="30"/>
  <c r="AB129" i="30"/>
  <c r="AA121" i="30"/>
  <c r="AB121" i="30"/>
  <c r="AA117" i="30"/>
  <c r="AB117" i="30"/>
  <c r="AA89" i="30"/>
  <c r="AB89" i="30"/>
  <c r="AA81" i="30"/>
  <c r="AB81" i="30"/>
  <c r="AA69" i="30"/>
  <c r="AB69" i="30"/>
  <c r="AA65" i="30"/>
  <c r="AB65" i="30"/>
  <c r="AA61" i="30"/>
  <c r="AB61" i="30"/>
  <c r="AA45" i="30"/>
  <c r="AB45" i="30"/>
  <c r="AE142" i="30"/>
  <c r="AF142" i="30"/>
  <c r="AE138" i="30"/>
  <c r="AF138" i="30"/>
  <c r="AE130" i="30"/>
  <c r="AF130" i="30"/>
  <c r="AE86" i="30"/>
  <c r="AF86" i="30"/>
  <c r="AE82" i="30"/>
  <c r="AF82" i="30"/>
  <c r="AE74" i="30"/>
  <c r="AF74" i="30"/>
  <c r="AE70" i="30"/>
  <c r="AF70" i="30"/>
  <c r="AE66" i="30"/>
  <c r="AF66" i="30"/>
  <c r="AI151" i="30"/>
  <c r="AJ151" i="30"/>
  <c r="AI131" i="30"/>
  <c r="AJ131" i="30"/>
  <c r="AI111" i="30"/>
  <c r="AJ111" i="30"/>
  <c r="AI87" i="30"/>
  <c r="AJ87" i="30"/>
  <c r="AI75" i="30"/>
  <c r="AJ75" i="30"/>
  <c r="AI67" i="30"/>
  <c r="AJ67" i="30"/>
  <c r="AI47" i="30"/>
  <c r="AJ47" i="30"/>
  <c r="AI39" i="30"/>
  <c r="AJ39" i="30"/>
  <c r="AM148" i="30"/>
  <c r="AN148" i="30"/>
  <c r="AM132" i="30"/>
  <c r="AN132" i="30"/>
  <c r="AM116" i="30"/>
  <c r="AN116" i="30"/>
  <c r="AM112" i="30"/>
  <c r="AN112" i="30"/>
  <c r="AM104" i="30"/>
  <c r="AN104" i="30"/>
  <c r="AM88" i="30"/>
  <c r="AN88" i="30"/>
  <c r="AM68" i="30"/>
  <c r="AN68" i="30"/>
  <c r="AM40" i="30"/>
  <c r="AN40" i="30"/>
  <c r="AQ133" i="30"/>
  <c r="AR133" i="30"/>
  <c r="AQ129" i="30"/>
  <c r="AR129" i="30"/>
  <c r="AQ121" i="30"/>
  <c r="AR121" i="30"/>
  <c r="AQ117" i="30"/>
  <c r="AR117" i="30"/>
  <c r="AQ89" i="30"/>
  <c r="AR89" i="30"/>
  <c r="AQ81" i="30"/>
  <c r="AR81" i="30"/>
  <c r="AQ69" i="30"/>
  <c r="AR69" i="30"/>
  <c r="AQ65" i="30"/>
  <c r="AR65" i="30"/>
  <c r="AQ61" i="30"/>
  <c r="AR61" i="30"/>
  <c r="AQ45" i="30"/>
  <c r="AR45" i="30"/>
  <c r="AU142" i="30"/>
  <c r="AV142" i="30"/>
  <c r="AU138" i="30"/>
  <c r="AV138" i="30"/>
  <c r="AU130" i="30"/>
  <c r="AV130" i="30"/>
  <c r="AU86" i="30"/>
  <c r="AV86" i="30"/>
  <c r="AU82" i="30"/>
  <c r="AV82" i="30"/>
  <c r="AU74" i="30"/>
  <c r="AV74" i="30"/>
  <c r="AU70" i="30"/>
  <c r="AV70" i="30"/>
  <c r="AU66" i="30"/>
  <c r="AV66" i="30"/>
  <c r="C131" i="30"/>
  <c r="D131" i="30"/>
  <c r="C87" i="30"/>
  <c r="D87" i="30"/>
  <c r="G151" i="30"/>
  <c r="H151" i="30"/>
  <c r="G111" i="30"/>
  <c r="H111" i="30"/>
  <c r="G75" i="30"/>
  <c r="H75" i="30"/>
  <c r="G67" i="30"/>
  <c r="H67" i="30"/>
  <c r="K148" i="30"/>
  <c r="L148" i="30"/>
  <c r="K132" i="30"/>
  <c r="L132" i="30"/>
  <c r="K40" i="30"/>
  <c r="L40" i="30"/>
  <c r="O133" i="30"/>
  <c r="P133" i="30"/>
  <c r="O129" i="30"/>
  <c r="P129" i="30"/>
  <c r="O121" i="30"/>
  <c r="P121" i="30"/>
  <c r="O117" i="30"/>
  <c r="P117" i="30"/>
  <c r="O89" i="30"/>
  <c r="P89" i="30"/>
  <c r="O81" i="30"/>
  <c r="P81" i="30"/>
  <c r="O69" i="30"/>
  <c r="P69" i="30"/>
  <c r="O65" i="30"/>
  <c r="P65" i="30"/>
  <c r="O61" i="30"/>
  <c r="P61" i="30"/>
  <c r="O45" i="30"/>
  <c r="P45" i="30"/>
  <c r="S142" i="30"/>
  <c r="T142" i="30"/>
  <c r="S138" i="30"/>
  <c r="T138" i="30"/>
  <c r="S130" i="30"/>
  <c r="T130" i="30"/>
  <c r="S86" i="30"/>
  <c r="T86" i="30"/>
  <c r="S82" i="30"/>
  <c r="T82" i="30"/>
  <c r="S74" i="30"/>
  <c r="T74" i="30"/>
  <c r="S70" i="30"/>
  <c r="T70" i="30"/>
  <c r="S66" i="30"/>
  <c r="T66" i="30"/>
  <c r="W151" i="30"/>
  <c r="X151" i="30"/>
  <c r="W131" i="30"/>
  <c r="X131" i="30"/>
  <c r="W111" i="30"/>
  <c r="X111" i="30"/>
  <c r="W87" i="30"/>
  <c r="X87" i="30"/>
  <c r="W75" i="30"/>
  <c r="X75" i="30"/>
  <c r="W67" i="30"/>
  <c r="X67" i="30"/>
  <c r="W47" i="30"/>
  <c r="X47" i="30"/>
  <c r="W39" i="30"/>
  <c r="X39" i="30"/>
  <c r="AA148" i="30"/>
  <c r="AB148" i="30"/>
  <c r="AA132" i="30"/>
  <c r="AB132" i="30"/>
  <c r="AA116" i="30"/>
  <c r="AB116" i="30"/>
  <c r="AA112" i="30"/>
  <c r="AB112" i="30"/>
  <c r="AA104" i="30"/>
  <c r="AB104" i="30"/>
  <c r="AA88" i="30"/>
  <c r="AB88" i="30"/>
  <c r="AA68" i="30"/>
  <c r="AB68" i="30"/>
  <c r="AA40" i="30"/>
  <c r="AB40" i="30"/>
  <c r="AE133" i="30"/>
  <c r="AF133" i="30"/>
  <c r="AE129" i="30"/>
  <c r="AF129" i="30"/>
  <c r="AE121" i="30"/>
  <c r="AF121" i="30"/>
  <c r="AE117" i="30"/>
  <c r="AF117" i="30"/>
  <c r="AE89" i="30"/>
  <c r="AF89" i="30"/>
  <c r="AE81" i="30"/>
  <c r="AF81" i="30"/>
  <c r="AE69" i="30"/>
  <c r="AF69" i="30"/>
  <c r="AE65" i="30"/>
  <c r="AF65" i="30"/>
  <c r="AE61" i="30"/>
  <c r="AF61" i="30"/>
  <c r="AE45" i="30"/>
  <c r="AF45" i="30"/>
  <c r="AI142" i="30"/>
  <c r="AJ142" i="30"/>
  <c r="AI138" i="30"/>
  <c r="AJ138" i="30"/>
  <c r="AI130" i="30"/>
  <c r="AJ130" i="30"/>
  <c r="AI86" i="30"/>
  <c r="AJ86" i="30"/>
  <c r="AI82" i="30"/>
  <c r="AJ82" i="30"/>
  <c r="AI74" i="30"/>
  <c r="AJ74" i="30"/>
  <c r="AI70" i="30"/>
  <c r="AJ70" i="30"/>
  <c r="AI66" i="30"/>
  <c r="AJ66" i="30"/>
  <c r="AM151" i="30"/>
  <c r="AN151" i="30"/>
  <c r="AM131" i="30"/>
  <c r="AN131" i="30"/>
  <c r="AM111" i="30"/>
  <c r="AN111" i="30"/>
  <c r="AM87" i="30"/>
  <c r="AN87" i="30"/>
  <c r="AM75" i="30"/>
  <c r="AN75" i="30"/>
  <c r="AM67" i="30"/>
  <c r="AN67" i="30"/>
  <c r="AM47" i="30"/>
  <c r="AN47" i="30"/>
  <c r="AM39" i="30"/>
  <c r="AN39" i="30"/>
  <c r="AQ148" i="30"/>
  <c r="AR148" i="30"/>
  <c r="AQ132" i="30"/>
  <c r="AR132" i="30"/>
  <c r="AQ116" i="30"/>
  <c r="AR116" i="30"/>
  <c r="AQ112" i="30"/>
  <c r="AR112" i="30"/>
  <c r="AQ104" i="30"/>
  <c r="AR104" i="30"/>
  <c r="AQ88" i="30"/>
  <c r="AR88" i="30"/>
  <c r="AQ68" i="30"/>
  <c r="AR68" i="30"/>
  <c r="AQ40" i="30"/>
  <c r="AR40" i="30"/>
  <c r="AU133" i="30"/>
  <c r="AV133" i="30"/>
  <c r="AU129" i="30"/>
  <c r="AV129" i="30"/>
  <c r="AU121" i="30"/>
  <c r="AV121" i="30"/>
  <c r="AU117" i="30"/>
  <c r="AV117" i="30"/>
  <c r="AU89" i="30"/>
  <c r="AV89" i="30"/>
  <c r="AU81" i="30"/>
  <c r="AV81" i="30"/>
  <c r="AU69" i="30"/>
  <c r="AV69" i="30"/>
  <c r="AU65" i="30"/>
  <c r="AV65" i="30"/>
  <c r="AU61" i="30"/>
  <c r="AV61" i="30"/>
  <c r="AU45" i="30"/>
  <c r="AV45" i="30"/>
  <c r="C151" i="30"/>
  <c r="D151" i="30"/>
  <c r="C111" i="30"/>
  <c r="D111" i="30"/>
  <c r="C75" i="30"/>
  <c r="D75" i="30"/>
  <c r="C67" i="30"/>
  <c r="D67" i="30"/>
  <c r="C47" i="30"/>
  <c r="D47" i="30"/>
  <c r="C39" i="30"/>
  <c r="D39" i="30"/>
  <c r="G131" i="30"/>
  <c r="H131" i="30"/>
  <c r="G87" i="30"/>
  <c r="H87" i="30"/>
  <c r="G47" i="30"/>
  <c r="H47" i="30"/>
  <c r="G39" i="30"/>
  <c r="H39" i="30"/>
  <c r="K116" i="30"/>
  <c r="L116" i="30"/>
  <c r="K112" i="30"/>
  <c r="L112" i="30"/>
  <c r="K104" i="30"/>
  <c r="L104" i="30"/>
  <c r="K88" i="30"/>
  <c r="L88" i="30"/>
  <c r="K68" i="30"/>
  <c r="L68" i="30"/>
  <c r="C142" i="30"/>
  <c r="D142" i="30"/>
  <c r="C138" i="30"/>
  <c r="D138" i="30"/>
  <c r="C130" i="30"/>
  <c r="D130" i="30"/>
  <c r="C86" i="30"/>
  <c r="D86" i="30"/>
  <c r="C82" i="30"/>
  <c r="D82" i="30"/>
  <c r="C74" i="30"/>
  <c r="D74" i="30"/>
  <c r="C70" i="30"/>
  <c r="D70" i="30"/>
  <c r="C66" i="30"/>
  <c r="D66" i="30"/>
  <c r="G142" i="30"/>
  <c r="H142" i="30"/>
  <c r="G138" i="30"/>
  <c r="H138" i="30"/>
  <c r="G130" i="30"/>
  <c r="H130" i="30"/>
  <c r="G86" i="30"/>
  <c r="H86" i="30"/>
  <c r="G82" i="30"/>
  <c r="H82" i="30"/>
  <c r="G74" i="30"/>
  <c r="H74" i="30"/>
  <c r="G70" i="30"/>
  <c r="H70" i="30"/>
  <c r="G66" i="30"/>
  <c r="H66" i="30"/>
  <c r="K151" i="30"/>
  <c r="L151" i="30"/>
  <c r="K131" i="30"/>
  <c r="L131" i="30"/>
  <c r="K111" i="30"/>
  <c r="L111" i="30"/>
  <c r="K87" i="30"/>
  <c r="L87" i="30"/>
  <c r="K75" i="30"/>
  <c r="L75" i="30"/>
  <c r="K67" i="30"/>
  <c r="L67" i="30"/>
  <c r="K47" i="30"/>
  <c r="L47" i="30"/>
  <c r="K39" i="30"/>
  <c r="L39" i="30"/>
  <c r="O148" i="30"/>
  <c r="P148" i="30"/>
  <c r="O132" i="30"/>
  <c r="P132" i="30"/>
  <c r="O116" i="30"/>
  <c r="P116" i="30"/>
  <c r="O112" i="30"/>
  <c r="P112" i="30"/>
  <c r="O104" i="30"/>
  <c r="P104" i="30"/>
  <c r="O88" i="30"/>
  <c r="P88" i="30"/>
  <c r="O68" i="30"/>
  <c r="P68" i="30"/>
  <c r="O40" i="30"/>
  <c r="P40" i="30"/>
  <c r="S133" i="30"/>
  <c r="T133" i="30"/>
  <c r="S129" i="30"/>
  <c r="T129" i="30"/>
  <c r="S121" i="30"/>
  <c r="T121" i="30"/>
  <c r="S117" i="30"/>
  <c r="T117" i="30"/>
  <c r="S89" i="30"/>
  <c r="T89" i="30"/>
  <c r="S81" i="30"/>
  <c r="T81" i="30"/>
  <c r="S69" i="30"/>
  <c r="T69" i="30"/>
  <c r="S65" i="30"/>
  <c r="T65" i="30"/>
  <c r="S61" i="30"/>
  <c r="T61" i="30"/>
  <c r="S45" i="30"/>
  <c r="T45" i="30"/>
  <c r="W142" i="30"/>
  <c r="X142" i="30"/>
  <c r="W138" i="30"/>
  <c r="X138" i="30"/>
  <c r="W130" i="30"/>
  <c r="X130" i="30"/>
  <c r="W86" i="30"/>
  <c r="X86" i="30"/>
  <c r="W82" i="30"/>
  <c r="X82" i="30"/>
  <c r="W74" i="30"/>
  <c r="X74" i="30"/>
  <c r="W70" i="30"/>
  <c r="X70" i="30"/>
  <c r="W66" i="30"/>
  <c r="X66" i="30"/>
  <c r="AA151" i="30"/>
  <c r="AB151" i="30"/>
  <c r="AA131" i="30"/>
  <c r="AB131" i="30"/>
  <c r="AA111" i="30"/>
  <c r="AB111" i="30"/>
  <c r="AA87" i="30"/>
  <c r="AB87" i="30"/>
  <c r="AA75" i="30"/>
  <c r="AB75" i="30"/>
  <c r="AA67" i="30"/>
  <c r="AB67" i="30"/>
  <c r="AA47" i="30"/>
  <c r="AB47" i="30"/>
  <c r="AA39" i="30"/>
  <c r="AB39" i="30"/>
  <c r="AE148" i="30"/>
  <c r="AF148" i="30"/>
  <c r="AE132" i="30"/>
  <c r="AF132" i="30"/>
  <c r="AE116" i="30"/>
  <c r="AF116" i="30"/>
  <c r="AE112" i="30"/>
  <c r="AF112" i="30"/>
  <c r="AE104" i="30"/>
  <c r="AF104" i="30"/>
  <c r="AE88" i="30"/>
  <c r="AF88" i="30"/>
  <c r="AE68" i="30"/>
  <c r="AF68" i="30"/>
  <c r="AE40" i="30"/>
  <c r="AF40" i="30"/>
  <c r="AI133" i="30"/>
  <c r="AJ133" i="30"/>
  <c r="AI129" i="30"/>
  <c r="AJ129" i="30"/>
  <c r="AI121" i="30"/>
  <c r="AJ121" i="30"/>
  <c r="AI117" i="30"/>
  <c r="AJ117" i="30"/>
  <c r="AI89" i="30"/>
  <c r="AJ89" i="30"/>
  <c r="AI81" i="30"/>
  <c r="AJ81" i="30"/>
  <c r="AI69" i="30"/>
  <c r="AJ69" i="30"/>
  <c r="AI65" i="30"/>
  <c r="AJ65" i="30"/>
  <c r="AI61" i="30"/>
  <c r="AJ61" i="30"/>
  <c r="AI45" i="30"/>
  <c r="AJ45" i="30"/>
  <c r="AM142" i="30"/>
  <c r="AN142" i="30"/>
  <c r="AM138" i="30"/>
  <c r="AN138" i="30"/>
  <c r="AM130" i="30"/>
  <c r="AN130" i="30"/>
  <c r="AM86" i="30"/>
  <c r="AN86" i="30"/>
  <c r="AM82" i="30"/>
  <c r="AN82" i="30"/>
  <c r="AM74" i="30"/>
  <c r="AN74" i="30"/>
  <c r="AM70" i="30"/>
  <c r="AN70" i="30"/>
  <c r="AM66" i="30"/>
  <c r="AN66" i="30"/>
  <c r="AQ151" i="30"/>
  <c r="AR151" i="30"/>
  <c r="AQ131" i="30"/>
  <c r="AR131" i="30"/>
  <c r="AQ111" i="30"/>
  <c r="AR111" i="30"/>
  <c r="AQ87" i="30"/>
  <c r="AR87" i="30"/>
  <c r="AQ75" i="30"/>
  <c r="AR75" i="30"/>
  <c r="AQ67" i="30"/>
  <c r="AR67" i="30"/>
  <c r="AQ47" i="30"/>
  <c r="AR47" i="30"/>
  <c r="AQ39" i="30"/>
  <c r="AR39" i="30"/>
  <c r="AU148" i="30"/>
  <c r="AV148" i="30"/>
  <c r="AU132" i="30"/>
  <c r="AV132" i="30"/>
  <c r="AU116" i="30"/>
  <c r="AV116" i="30"/>
  <c r="AU112" i="30"/>
  <c r="AV112" i="30"/>
  <c r="AU104" i="30"/>
  <c r="AV104" i="30"/>
  <c r="AU88" i="30"/>
  <c r="AV88" i="30"/>
  <c r="AU68" i="30"/>
  <c r="AV68" i="30"/>
  <c r="AU40" i="30"/>
  <c r="AV40" i="30"/>
  <c r="D36" i="30"/>
  <c r="C36" i="30"/>
  <c r="D24" i="30"/>
  <c r="C24" i="30"/>
  <c r="D16" i="30"/>
  <c r="C16" i="30"/>
  <c r="D12" i="30"/>
  <c r="C12" i="30"/>
  <c r="D4" i="30"/>
  <c r="C4" i="30"/>
  <c r="H36" i="30"/>
  <c r="G36" i="30"/>
  <c r="H24" i="30"/>
  <c r="G24" i="30"/>
  <c r="H16" i="30"/>
  <c r="G16" i="30"/>
  <c r="H12" i="30"/>
  <c r="G12" i="30"/>
  <c r="H4" i="30"/>
  <c r="G4" i="30"/>
  <c r="L37" i="30"/>
  <c r="K37" i="30"/>
  <c r="L33" i="30"/>
  <c r="K33" i="30"/>
  <c r="L25" i="30"/>
  <c r="K25" i="30"/>
  <c r="L5" i="30"/>
  <c r="K5" i="30"/>
  <c r="P38" i="30"/>
  <c r="O38" i="30"/>
  <c r="P26" i="30"/>
  <c r="O26" i="30"/>
  <c r="P22" i="30"/>
  <c r="O22" i="30"/>
  <c r="T27" i="30"/>
  <c r="S27" i="30"/>
  <c r="T23" i="30"/>
  <c r="S23" i="30"/>
  <c r="T11" i="30"/>
  <c r="S11" i="30"/>
  <c r="X36" i="30"/>
  <c r="W36" i="30"/>
  <c r="X24" i="30"/>
  <c r="W24" i="30"/>
  <c r="X16" i="30"/>
  <c r="W16" i="30"/>
  <c r="X12" i="30"/>
  <c r="W12" i="30"/>
  <c r="X4" i="30"/>
  <c r="W4" i="30"/>
  <c r="AB37" i="30"/>
  <c r="AA37" i="30"/>
  <c r="AB33" i="30"/>
  <c r="AA33" i="30"/>
  <c r="AB25" i="30"/>
  <c r="AA25" i="30"/>
  <c r="AB5" i="30"/>
  <c r="AA5" i="30"/>
  <c r="AF38" i="30"/>
  <c r="AE38" i="30"/>
  <c r="AF26" i="30"/>
  <c r="AE26" i="30"/>
  <c r="AF22" i="30"/>
  <c r="AE22" i="30"/>
  <c r="AJ27" i="30"/>
  <c r="AI27" i="30"/>
  <c r="AJ23" i="30"/>
  <c r="AI23" i="30"/>
  <c r="AJ11" i="30"/>
  <c r="AI11" i="30"/>
  <c r="AN36" i="30"/>
  <c r="AM36" i="30"/>
  <c r="AN24" i="30"/>
  <c r="AM24" i="30"/>
  <c r="AN16" i="30"/>
  <c r="AM16" i="30"/>
  <c r="AN12" i="30"/>
  <c r="AM12" i="30"/>
  <c r="AN4" i="30"/>
  <c r="AM4" i="30"/>
  <c r="AR37" i="30"/>
  <c r="AQ37" i="30"/>
  <c r="AR33" i="30"/>
  <c r="AQ33" i="30"/>
  <c r="AR25" i="30"/>
  <c r="AQ25" i="30"/>
  <c r="AR5" i="30"/>
  <c r="AQ5" i="30"/>
  <c r="AV38" i="30"/>
  <c r="AU38" i="30"/>
  <c r="AV26" i="30"/>
  <c r="AU26" i="30"/>
  <c r="AV22" i="30"/>
  <c r="AU22" i="30"/>
  <c r="H23" i="30"/>
  <c r="G23" i="30"/>
  <c r="L36" i="30"/>
  <c r="K36" i="30"/>
  <c r="L24" i="30"/>
  <c r="K24" i="30"/>
  <c r="L16" i="30"/>
  <c r="K16" i="30"/>
  <c r="L12" i="30"/>
  <c r="K12" i="30"/>
  <c r="L4" i="30"/>
  <c r="K4" i="30"/>
  <c r="P37" i="30"/>
  <c r="O37" i="30"/>
  <c r="P33" i="30"/>
  <c r="O33" i="30"/>
  <c r="P25" i="30"/>
  <c r="O25" i="30"/>
  <c r="P5" i="30"/>
  <c r="O5" i="30"/>
  <c r="T38" i="30"/>
  <c r="S38" i="30"/>
  <c r="T26" i="30"/>
  <c r="S26" i="30"/>
  <c r="T22" i="30"/>
  <c r="S22" i="30"/>
  <c r="X27" i="30"/>
  <c r="W27" i="30"/>
  <c r="X23" i="30"/>
  <c r="W23" i="30"/>
  <c r="X11" i="30"/>
  <c r="W11" i="30"/>
  <c r="AB36" i="30"/>
  <c r="AA36" i="30"/>
  <c r="AB24" i="30"/>
  <c r="AA24" i="30"/>
  <c r="AB16" i="30"/>
  <c r="AA16" i="30"/>
  <c r="AB12" i="30"/>
  <c r="AA12" i="30"/>
  <c r="AB4" i="30"/>
  <c r="AA4" i="30"/>
  <c r="AF37" i="30"/>
  <c r="AE37" i="30"/>
  <c r="AF33" i="30"/>
  <c r="AE33" i="30"/>
  <c r="AF25" i="30"/>
  <c r="AE25" i="30"/>
  <c r="AF5" i="30"/>
  <c r="AE5" i="30"/>
  <c r="AJ38" i="30"/>
  <c r="AI38" i="30"/>
  <c r="AJ26" i="30"/>
  <c r="AI26" i="30"/>
  <c r="AJ22" i="30"/>
  <c r="AI22" i="30"/>
  <c r="AN27" i="30"/>
  <c r="AM27" i="30"/>
  <c r="AN23" i="30"/>
  <c r="AM23" i="30"/>
  <c r="AN11" i="30"/>
  <c r="AM11" i="30"/>
  <c r="AR36" i="30"/>
  <c r="AQ36" i="30"/>
  <c r="AR24" i="30"/>
  <c r="AQ24" i="30"/>
  <c r="AR16" i="30"/>
  <c r="AQ16" i="30"/>
  <c r="AR12" i="30"/>
  <c r="AQ12" i="30"/>
  <c r="AR4" i="30"/>
  <c r="AQ4" i="30"/>
  <c r="AV37" i="30"/>
  <c r="AU37" i="30"/>
  <c r="AV33" i="30"/>
  <c r="AU33" i="30"/>
  <c r="AV25" i="30"/>
  <c r="AU25" i="30"/>
  <c r="AV5" i="30"/>
  <c r="AU5" i="30"/>
  <c r="H27" i="30"/>
  <c r="G27" i="30"/>
  <c r="H11" i="30"/>
  <c r="G11" i="30"/>
  <c r="D38" i="30"/>
  <c r="C38" i="30"/>
  <c r="D26" i="30"/>
  <c r="C26" i="30"/>
  <c r="D22" i="30"/>
  <c r="C22" i="30"/>
  <c r="H38" i="30"/>
  <c r="G38" i="30"/>
  <c r="H26" i="30"/>
  <c r="G26" i="30"/>
  <c r="H22" i="30"/>
  <c r="G22" i="30"/>
  <c r="L27" i="30"/>
  <c r="K27" i="30"/>
  <c r="L23" i="30"/>
  <c r="K23" i="30"/>
  <c r="L11" i="30"/>
  <c r="K11" i="30"/>
  <c r="P36" i="30"/>
  <c r="O36" i="30"/>
  <c r="P24" i="30"/>
  <c r="O24" i="30"/>
  <c r="P16" i="30"/>
  <c r="O16" i="30"/>
  <c r="P12" i="30"/>
  <c r="O12" i="30"/>
  <c r="P4" i="30"/>
  <c r="O4" i="30"/>
  <c r="T37" i="30"/>
  <c r="S37" i="30"/>
  <c r="T33" i="30"/>
  <c r="S33" i="30"/>
  <c r="T25" i="30"/>
  <c r="S25" i="30"/>
  <c r="T5" i="30"/>
  <c r="S5" i="30"/>
  <c r="X38" i="30"/>
  <c r="W38" i="30"/>
  <c r="X26" i="30"/>
  <c r="W26" i="30"/>
  <c r="X22" i="30"/>
  <c r="W22" i="30"/>
  <c r="AB27" i="30"/>
  <c r="AA27" i="30"/>
  <c r="AB23" i="30"/>
  <c r="AA23" i="30"/>
  <c r="AB11" i="30"/>
  <c r="AA11" i="30"/>
  <c r="AF36" i="30"/>
  <c r="AE36" i="30"/>
  <c r="AF24" i="30"/>
  <c r="AE24" i="30"/>
  <c r="AF16" i="30"/>
  <c r="AE16" i="30"/>
  <c r="AF12" i="30"/>
  <c r="AE12" i="30"/>
  <c r="AF4" i="30"/>
  <c r="AE4" i="30"/>
  <c r="AJ37" i="30"/>
  <c r="AI37" i="30"/>
  <c r="AJ33" i="30"/>
  <c r="AI33" i="30"/>
  <c r="AJ25" i="30"/>
  <c r="AI25" i="30"/>
  <c r="AJ5" i="30"/>
  <c r="AI5" i="30"/>
  <c r="AN38" i="30"/>
  <c r="AM38" i="30"/>
  <c r="AN26" i="30"/>
  <c r="AM26" i="30"/>
  <c r="AN22" i="30"/>
  <c r="AM22" i="30"/>
  <c r="AR27" i="30"/>
  <c r="AQ27" i="30"/>
  <c r="AR23" i="30"/>
  <c r="AQ23" i="30"/>
  <c r="AR11" i="30"/>
  <c r="AQ11" i="30"/>
  <c r="AV36" i="30"/>
  <c r="AU36" i="30"/>
  <c r="AV24" i="30"/>
  <c r="AU24" i="30"/>
  <c r="AV16" i="30"/>
  <c r="AU16" i="30"/>
  <c r="AV12" i="30"/>
  <c r="AU12" i="30"/>
  <c r="AV4" i="30"/>
  <c r="AU4" i="30"/>
  <c r="D27" i="30"/>
  <c r="C27" i="30"/>
  <c r="D23" i="30"/>
  <c r="C23" i="30"/>
  <c r="D11" i="30"/>
  <c r="C11" i="30"/>
  <c r="D37" i="30"/>
  <c r="C37" i="30"/>
  <c r="D33" i="30"/>
  <c r="C33" i="30"/>
  <c r="D25" i="30"/>
  <c r="C25" i="30"/>
  <c r="D5" i="30"/>
  <c r="C5" i="30"/>
  <c r="H37" i="30"/>
  <c r="G37" i="30"/>
  <c r="H33" i="30"/>
  <c r="G33" i="30"/>
  <c r="H25" i="30"/>
  <c r="G25" i="30"/>
  <c r="H5" i="30"/>
  <c r="G5" i="30"/>
  <c r="L38" i="30"/>
  <c r="K38" i="30"/>
  <c r="L26" i="30"/>
  <c r="K26" i="30"/>
  <c r="L22" i="30"/>
  <c r="K22" i="30"/>
  <c r="P27" i="30"/>
  <c r="O27" i="30"/>
  <c r="P23" i="30"/>
  <c r="O23" i="30"/>
  <c r="P11" i="30"/>
  <c r="O11" i="30"/>
  <c r="T36" i="30"/>
  <c r="S36" i="30"/>
  <c r="T24" i="30"/>
  <c r="S24" i="30"/>
  <c r="T16" i="30"/>
  <c r="S16" i="30"/>
  <c r="T12" i="30"/>
  <c r="S12" i="30"/>
  <c r="T4" i="30"/>
  <c r="S4" i="30"/>
  <c r="X37" i="30"/>
  <c r="W37" i="30"/>
  <c r="X33" i="30"/>
  <c r="W33" i="30"/>
  <c r="X25" i="30"/>
  <c r="W25" i="30"/>
  <c r="X5" i="30"/>
  <c r="W5" i="30"/>
  <c r="AB38" i="30"/>
  <c r="AA38" i="30"/>
  <c r="AB26" i="30"/>
  <c r="AA26" i="30"/>
  <c r="AB22" i="30"/>
  <c r="AA22" i="30"/>
  <c r="AF27" i="30"/>
  <c r="AE27" i="30"/>
  <c r="AF23" i="30"/>
  <c r="AE23" i="30"/>
  <c r="AF11" i="30"/>
  <c r="AE11" i="30"/>
  <c r="AJ36" i="30"/>
  <c r="AI36" i="30"/>
  <c r="AJ24" i="30"/>
  <c r="AI24" i="30"/>
  <c r="AJ16" i="30"/>
  <c r="AI16" i="30"/>
  <c r="AJ12" i="30"/>
  <c r="AI12" i="30"/>
  <c r="AJ4" i="30"/>
  <c r="AI4" i="30"/>
  <c r="AN37" i="30"/>
  <c r="AM37" i="30"/>
  <c r="AN33" i="30"/>
  <c r="AM33" i="30"/>
  <c r="AN25" i="30"/>
  <c r="AM25" i="30"/>
  <c r="AN5" i="30"/>
  <c r="AM5" i="30"/>
  <c r="AR38" i="30"/>
  <c r="AQ38" i="30"/>
  <c r="AR26" i="30"/>
  <c r="AQ26" i="30"/>
  <c r="AR22" i="30"/>
  <c r="AQ22" i="30"/>
  <c r="AV27" i="30"/>
  <c r="AU27" i="30"/>
  <c r="AV23" i="30"/>
  <c r="AU23" i="30"/>
  <c r="AV11" i="30"/>
  <c r="AU11" i="30"/>
  <c r="A4" i="30"/>
  <c r="E4" i="30"/>
  <c r="I4" i="30"/>
  <c r="M4" i="30"/>
  <c r="Q4" i="30"/>
  <c r="U4" i="30"/>
  <c r="Y4" i="30"/>
  <c r="AC4" i="30"/>
  <c r="AG4" i="30"/>
  <c r="AK4" i="30"/>
  <c r="AO4" i="30"/>
  <c r="AS4" i="30"/>
  <c r="A5" i="30"/>
  <c r="E5" i="30"/>
  <c r="I5" i="30"/>
  <c r="M5" i="30"/>
  <c r="Q5" i="30"/>
  <c r="U5" i="30"/>
  <c r="Y5" i="30"/>
  <c r="AC5" i="30"/>
  <c r="AG5" i="30"/>
  <c r="AK5" i="30"/>
  <c r="AO5" i="30"/>
  <c r="AS5" i="30"/>
  <c r="A6" i="30"/>
  <c r="E6" i="30"/>
  <c r="I6" i="30"/>
  <c r="M6" i="30"/>
  <c r="Q6" i="30"/>
  <c r="U6" i="30"/>
  <c r="Y6" i="30"/>
  <c r="AC6" i="30"/>
  <c r="AG6" i="30"/>
  <c r="AK6" i="30"/>
  <c r="AO6" i="30"/>
  <c r="AS6" i="30"/>
  <c r="A7" i="30"/>
  <c r="E7" i="30"/>
  <c r="I7" i="30"/>
  <c r="M7" i="30"/>
  <c r="Q7" i="30"/>
  <c r="U7" i="30"/>
  <c r="Y7" i="30"/>
  <c r="AC7" i="30"/>
  <c r="AG7" i="30"/>
  <c r="AK7" i="30"/>
  <c r="AO7" i="30"/>
  <c r="AS7" i="30"/>
  <c r="A8" i="30"/>
  <c r="E8" i="30"/>
  <c r="I8" i="30"/>
  <c r="M8" i="30"/>
  <c r="Q8" i="30"/>
  <c r="U8" i="30"/>
  <c r="Y8" i="30"/>
  <c r="AC8" i="30"/>
  <c r="AG8" i="30"/>
  <c r="AK8" i="30"/>
  <c r="AO8" i="30"/>
  <c r="AS8" i="30"/>
  <c r="A9" i="30"/>
  <c r="E9" i="30"/>
  <c r="I9" i="30"/>
  <c r="M9" i="30"/>
  <c r="Q9" i="30"/>
  <c r="U9" i="30"/>
  <c r="Y9" i="30"/>
  <c r="AC9" i="30"/>
  <c r="AG9" i="30"/>
  <c r="AK9" i="30"/>
  <c r="AO9" i="30"/>
  <c r="AS9" i="30"/>
  <c r="A10" i="30"/>
  <c r="E10" i="30"/>
  <c r="I10" i="30"/>
  <c r="M10" i="30"/>
  <c r="Q10" i="30"/>
  <c r="U10" i="30"/>
  <c r="Y10" i="30"/>
  <c r="AC10" i="30"/>
  <c r="AG10" i="30"/>
  <c r="AK10" i="30"/>
  <c r="AO10" i="30"/>
  <c r="AS10" i="30"/>
  <c r="A11" i="30"/>
  <c r="E11" i="30"/>
  <c r="I11" i="30"/>
  <c r="M11" i="30"/>
  <c r="Q11" i="30"/>
  <c r="U11" i="30"/>
  <c r="Y11" i="30"/>
  <c r="AC11" i="30"/>
  <c r="AG11" i="30"/>
  <c r="AK11" i="30"/>
  <c r="AO11" i="30"/>
  <c r="AS11" i="30"/>
  <c r="A12" i="30"/>
  <c r="E12" i="30"/>
  <c r="I12" i="30"/>
  <c r="M12" i="30"/>
  <c r="Q12" i="30"/>
  <c r="U12" i="30"/>
  <c r="Y12" i="30"/>
  <c r="AC12" i="30"/>
  <c r="AG12" i="30"/>
  <c r="AK12" i="30"/>
  <c r="AO12" i="30"/>
  <c r="AS12" i="30"/>
  <c r="A13" i="30"/>
  <c r="E13" i="30"/>
  <c r="I13" i="30"/>
  <c r="M13" i="30"/>
  <c r="Q13" i="30"/>
  <c r="U13" i="30"/>
  <c r="Y13" i="30"/>
  <c r="AC13" i="30"/>
  <c r="AG13" i="30"/>
  <c r="AK13" i="30"/>
  <c r="AO13" i="30"/>
  <c r="AS13" i="30"/>
  <c r="A14" i="30"/>
  <c r="E14" i="30"/>
  <c r="I14" i="30"/>
  <c r="M14" i="30"/>
  <c r="Q14" i="30"/>
  <c r="U14" i="30"/>
  <c r="Y14" i="30"/>
  <c r="AC14" i="30"/>
  <c r="AG14" i="30"/>
  <c r="AK14" i="30"/>
  <c r="AO14" i="30"/>
  <c r="AS14" i="30"/>
  <c r="A15" i="30"/>
  <c r="E15" i="30"/>
  <c r="I15" i="30"/>
  <c r="M15" i="30"/>
  <c r="Q15" i="30"/>
  <c r="U15" i="30"/>
  <c r="Y15" i="30"/>
  <c r="AC15" i="30"/>
  <c r="AG15" i="30"/>
  <c r="AK15" i="30"/>
  <c r="AO15" i="30"/>
  <c r="AS15" i="30"/>
  <c r="A16" i="30"/>
  <c r="E16" i="30"/>
  <c r="I16" i="30"/>
  <c r="M16" i="30"/>
  <c r="Q16" i="30"/>
  <c r="U16" i="30"/>
  <c r="Y16" i="30"/>
  <c r="AC16" i="30"/>
  <c r="AG16" i="30"/>
  <c r="AK16" i="30"/>
  <c r="AO16" i="30"/>
  <c r="AS16" i="30"/>
  <c r="A17" i="30"/>
  <c r="E17" i="30"/>
  <c r="I17" i="30"/>
  <c r="M17" i="30"/>
  <c r="Q17" i="30"/>
  <c r="U17" i="30"/>
  <c r="Y17" i="30"/>
  <c r="AC17" i="30"/>
  <c r="AG17" i="30"/>
  <c r="AK17" i="30"/>
  <c r="AO17" i="30"/>
  <c r="AS17" i="30"/>
  <c r="A18" i="30"/>
  <c r="E18" i="30"/>
  <c r="I18" i="30"/>
  <c r="M18" i="30"/>
  <c r="Q18" i="30"/>
  <c r="U18" i="30"/>
  <c r="Y18" i="30"/>
  <c r="AC18" i="30"/>
  <c r="AG18" i="30"/>
  <c r="AK18" i="30"/>
  <c r="AO18" i="30"/>
  <c r="AS18" i="30"/>
  <c r="A19" i="30"/>
  <c r="E19" i="30"/>
  <c r="I19" i="30"/>
  <c r="M19" i="30"/>
  <c r="Q19" i="30"/>
  <c r="U19" i="30"/>
  <c r="Y19" i="30"/>
  <c r="AC19" i="30"/>
  <c r="AG19" i="30"/>
  <c r="AK19" i="30"/>
  <c r="AO19" i="30"/>
  <c r="AS19" i="30"/>
  <c r="A20" i="30"/>
  <c r="E20" i="30"/>
  <c r="I20" i="30"/>
  <c r="M20" i="30"/>
  <c r="Q20" i="30"/>
  <c r="U20" i="30"/>
  <c r="Y20" i="30"/>
  <c r="AC20" i="30"/>
  <c r="AG20" i="30"/>
  <c r="AK20" i="30"/>
  <c r="AO20" i="30"/>
  <c r="AS20" i="30"/>
  <c r="A21" i="30"/>
  <c r="E21" i="30"/>
  <c r="I21" i="30"/>
  <c r="M21" i="30"/>
  <c r="Q21" i="30"/>
  <c r="U21" i="30"/>
  <c r="Y21" i="30"/>
  <c r="AC21" i="30"/>
  <c r="AG21" i="30"/>
  <c r="AK21" i="30"/>
  <c r="AO21" i="30"/>
  <c r="AS21" i="30"/>
  <c r="A22" i="30"/>
  <c r="E22" i="30"/>
  <c r="I22" i="30"/>
  <c r="M22" i="30"/>
  <c r="Q22" i="30"/>
  <c r="U22" i="30"/>
  <c r="Y22" i="30"/>
  <c r="AC22" i="30"/>
  <c r="AG22" i="30"/>
  <c r="AK22" i="30"/>
  <c r="AO22" i="30"/>
  <c r="AS22" i="30"/>
  <c r="A23" i="30"/>
  <c r="E23" i="30"/>
  <c r="I23" i="30"/>
  <c r="M23" i="30"/>
  <c r="Q23" i="30"/>
  <c r="U23" i="30"/>
  <c r="Y23" i="30"/>
  <c r="AC23" i="30"/>
  <c r="AG23" i="30"/>
  <c r="AK23" i="30"/>
  <c r="AO23" i="30"/>
  <c r="AS23" i="30"/>
  <c r="A24" i="30"/>
  <c r="E24" i="30"/>
  <c r="I24" i="30"/>
  <c r="M24" i="30"/>
  <c r="Q24" i="30"/>
  <c r="U24" i="30"/>
  <c r="Y24" i="30"/>
  <c r="AC24" i="30"/>
  <c r="AG24" i="30"/>
  <c r="AK24" i="30"/>
  <c r="AO24" i="30"/>
  <c r="AS24" i="30"/>
  <c r="A25" i="30"/>
  <c r="E25" i="30"/>
  <c r="I25" i="30"/>
  <c r="M25" i="30"/>
  <c r="Q25" i="30"/>
  <c r="U25" i="30"/>
  <c r="Y25" i="30"/>
  <c r="AC25" i="30"/>
  <c r="AG25" i="30"/>
  <c r="AK25" i="30"/>
  <c r="AO25" i="30"/>
  <c r="AS25" i="30"/>
  <c r="A26" i="30"/>
  <c r="E26" i="30"/>
  <c r="I26" i="30"/>
  <c r="M26" i="30"/>
  <c r="Q26" i="30"/>
  <c r="U26" i="30"/>
  <c r="Y26" i="30"/>
  <c r="AC26" i="30"/>
  <c r="AG26" i="30"/>
  <c r="AK26" i="30"/>
  <c r="AO26" i="30"/>
  <c r="AS26" i="30"/>
  <c r="A27" i="30"/>
  <c r="E27" i="30"/>
  <c r="I27" i="30"/>
  <c r="M27" i="30"/>
  <c r="Q27" i="30"/>
  <c r="U27" i="30"/>
  <c r="Y27" i="30"/>
  <c r="AC27" i="30"/>
  <c r="AG27" i="30"/>
  <c r="AK27" i="30"/>
  <c r="AO27" i="30"/>
  <c r="AS27" i="30"/>
  <c r="A28" i="30"/>
  <c r="E28" i="30"/>
  <c r="I28" i="30"/>
  <c r="M28" i="30"/>
  <c r="Q28" i="30"/>
  <c r="U28" i="30"/>
  <c r="Y28" i="30"/>
  <c r="AC28" i="30"/>
  <c r="AG28" i="30"/>
  <c r="AK28" i="30"/>
  <c r="AO28" i="30"/>
  <c r="AS28" i="30"/>
  <c r="A29" i="30"/>
  <c r="E29" i="30"/>
  <c r="I29" i="30"/>
  <c r="M29" i="30"/>
  <c r="Q29" i="30"/>
  <c r="U29" i="30"/>
  <c r="Y29" i="30"/>
  <c r="AC29" i="30"/>
  <c r="AG29" i="30"/>
  <c r="AK29" i="30"/>
  <c r="AO29" i="30"/>
  <c r="AS29" i="30"/>
  <c r="A30" i="30"/>
  <c r="E30" i="30"/>
  <c r="I30" i="30"/>
  <c r="M30" i="30"/>
  <c r="Q30" i="30"/>
  <c r="U30" i="30"/>
  <c r="Y30" i="30"/>
  <c r="AC30" i="30"/>
  <c r="AG30" i="30"/>
  <c r="AK30" i="30"/>
  <c r="AO30" i="30"/>
  <c r="AS30" i="30"/>
  <c r="A31" i="30"/>
  <c r="E31" i="30"/>
  <c r="I31" i="30"/>
  <c r="M31" i="30"/>
  <c r="Q31" i="30"/>
  <c r="U31" i="30"/>
  <c r="Y31" i="30"/>
  <c r="AC31" i="30"/>
  <c r="AG31" i="30"/>
  <c r="AK31" i="30"/>
  <c r="AO31" i="30"/>
  <c r="AS31" i="30"/>
  <c r="A32" i="30"/>
  <c r="E32" i="30"/>
  <c r="I32" i="30"/>
  <c r="M32" i="30"/>
  <c r="Q32" i="30"/>
  <c r="U32" i="30"/>
  <c r="Y32" i="30"/>
  <c r="AC32" i="30"/>
  <c r="AG32" i="30"/>
  <c r="AK32" i="30"/>
  <c r="AO32" i="30"/>
  <c r="AS32" i="30"/>
  <c r="A33" i="30"/>
  <c r="E33" i="30"/>
  <c r="I33" i="30"/>
  <c r="M33" i="30"/>
  <c r="Q33" i="30"/>
  <c r="U33" i="30"/>
  <c r="Y33" i="30"/>
  <c r="AC33" i="30"/>
  <c r="AG33" i="30"/>
  <c r="AK33" i="30"/>
  <c r="AO33" i="30"/>
  <c r="AS33" i="30"/>
  <c r="A34" i="30"/>
  <c r="E34" i="30"/>
  <c r="I34" i="30"/>
  <c r="M34" i="30"/>
  <c r="Q34" i="30"/>
  <c r="U34" i="30"/>
  <c r="Y34" i="30"/>
  <c r="AC34" i="30"/>
  <c r="AG34" i="30"/>
  <c r="AK34" i="30"/>
  <c r="AO34" i="30"/>
  <c r="AS34" i="30"/>
  <c r="A35" i="30"/>
  <c r="E35" i="30"/>
  <c r="I35" i="30"/>
  <c r="M35" i="30"/>
  <c r="Q35" i="30"/>
  <c r="U35" i="30"/>
  <c r="Y35" i="30"/>
  <c r="AC35" i="30"/>
  <c r="AG35" i="30"/>
  <c r="AK35" i="30"/>
  <c r="AO35" i="30"/>
  <c r="AS35" i="30"/>
  <c r="A36" i="30"/>
  <c r="E36" i="30"/>
  <c r="I36" i="30"/>
  <c r="M36" i="30"/>
  <c r="Q36" i="30"/>
  <c r="U36" i="30"/>
  <c r="Y36" i="30"/>
  <c r="AC36" i="30"/>
  <c r="AG36" i="30"/>
  <c r="AK36" i="30"/>
  <c r="AO36" i="30"/>
  <c r="AS36" i="30"/>
  <c r="A37" i="30"/>
  <c r="E37" i="30"/>
  <c r="I37" i="30"/>
  <c r="M37" i="30"/>
  <c r="Q37" i="30"/>
  <c r="U37" i="30"/>
  <c r="Y37" i="30"/>
  <c r="AC37" i="30"/>
  <c r="AG37" i="30"/>
  <c r="AK37" i="30"/>
  <c r="AO37" i="30"/>
  <c r="AS37" i="30"/>
  <c r="A38" i="30"/>
  <c r="E38" i="30"/>
  <c r="I38" i="30"/>
  <c r="M38" i="30"/>
  <c r="Q38" i="30"/>
  <c r="U38" i="30"/>
  <c r="Y38" i="30"/>
  <c r="AC38" i="30"/>
  <c r="AG38" i="30"/>
  <c r="AK38" i="30"/>
  <c r="AO38" i="30"/>
  <c r="AS38" i="30"/>
  <c r="A39" i="30"/>
  <c r="E39" i="30"/>
  <c r="I39" i="30"/>
  <c r="M39" i="30"/>
  <c r="Q39" i="30"/>
  <c r="U39" i="30"/>
  <c r="Y39" i="30"/>
  <c r="AC39" i="30"/>
  <c r="AG39" i="30"/>
  <c r="AK39" i="30"/>
  <c r="AO39" i="30"/>
  <c r="AS39" i="30"/>
  <c r="A40" i="30"/>
  <c r="E40" i="30"/>
  <c r="I40" i="30"/>
  <c r="M40" i="30"/>
  <c r="Q40" i="30"/>
  <c r="U40" i="30"/>
  <c r="Y40" i="30"/>
  <c r="AC40" i="30"/>
  <c r="AG40" i="30"/>
  <c r="AK40" i="30"/>
  <c r="AO40" i="30"/>
  <c r="AS40" i="30"/>
  <c r="A41" i="30"/>
  <c r="E41" i="30"/>
  <c r="I41" i="30"/>
  <c r="M41" i="30"/>
  <c r="Q41" i="30"/>
  <c r="U41" i="30"/>
  <c r="Y41" i="30"/>
  <c r="AC41" i="30"/>
  <c r="AG41" i="30"/>
  <c r="AK41" i="30"/>
  <c r="AO41" i="30"/>
  <c r="AS41" i="30"/>
  <c r="A42" i="30"/>
  <c r="E42" i="30"/>
  <c r="I42" i="30"/>
  <c r="M42" i="30"/>
  <c r="Q42" i="30"/>
  <c r="U42" i="30"/>
  <c r="Y42" i="30"/>
  <c r="AC42" i="30"/>
  <c r="AG42" i="30"/>
  <c r="AK42" i="30"/>
  <c r="AO42" i="30"/>
  <c r="AS42" i="30"/>
  <c r="A43" i="30"/>
  <c r="E43" i="30"/>
  <c r="I43" i="30"/>
  <c r="M43" i="30"/>
  <c r="Q43" i="30"/>
  <c r="U43" i="30"/>
  <c r="Y43" i="30"/>
  <c r="AC43" i="30"/>
  <c r="AG43" i="30"/>
  <c r="AK43" i="30"/>
  <c r="AO43" i="30"/>
  <c r="AS43" i="30"/>
  <c r="A44" i="30"/>
  <c r="E44" i="30"/>
  <c r="I44" i="30"/>
  <c r="M44" i="30"/>
  <c r="Q44" i="30"/>
  <c r="U44" i="30"/>
  <c r="Y44" i="30"/>
  <c r="AC44" i="30"/>
  <c r="AG44" i="30"/>
  <c r="AK44" i="30"/>
  <c r="AO44" i="30"/>
  <c r="AS44" i="30"/>
  <c r="A45" i="30"/>
  <c r="E45" i="30"/>
  <c r="I45" i="30"/>
  <c r="M45" i="30"/>
  <c r="Q45" i="30"/>
  <c r="U45" i="30"/>
  <c r="Y45" i="30"/>
  <c r="AC45" i="30"/>
  <c r="AG45" i="30"/>
  <c r="AK45" i="30"/>
  <c r="AO45" i="30"/>
  <c r="AS45" i="30"/>
  <c r="A46" i="30"/>
  <c r="E46" i="30"/>
  <c r="I46" i="30"/>
  <c r="M46" i="30"/>
  <c r="Q46" i="30"/>
  <c r="U46" i="30"/>
  <c r="Y46" i="30"/>
  <c r="AC46" i="30"/>
  <c r="AG46" i="30"/>
  <c r="AK46" i="30"/>
  <c r="AO46" i="30"/>
  <c r="AS46" i="30"/>
  <c r="A47" i="30"/>
  <c r="E47" i="30"/>
  <c r="I47" i="30"/>
  <c r="M47" i="30"/>
  <c r="Q47" i="30"/>
  <c r="U47" i="30"/>
  <c r="Y47" i="30"/>
  <c r="AC47" i="30"/>
  <c r="AG47" i="30"/>
  <c r="AK47" i="30"/>
  <c r="AO47" i="30"/>
  <c r="AS47" i="30"/>
  <c r="A48" i="30"/>
  <c r="E48" i="30"/>
  <c r="I48" i="30"/>
  <c r="M48" i="30"/>
  <c r="Q48" i="30"/>
  <c r="U48" i="30"/>
  <c r="Y48" i="30"/>
  <c r="AC48" i="30"/>
  <c r="AG48" i="30"/>
  <c r="AK48" i="30"/>
  <c r="AO48" i="30"/>
  <c r="AS48" i="30"/>
  <c r="A49" i="30"/>
  <c r="E49" i="30"/>
  <c r="I49" i="30"/>
  <c r="M49" i="30"/>
  <c r="Q49" i="30"/>
  <c r="U49" i="30"/>
  <c r="Y49" i="30"/>
  <c r="AC49" i="30"/>
  <c r="AG49" i="30"/>
  <c r="AK49" i="30"/>
  <c r="AO49" i="30"/>
  <c r="AS49" i="30"/>
  <c r="A50" i="30"/>
  <c r="E50" i="30"/>
  <c r="I50" i="30"/>
  <c r="M50" i="30"/>
  <c r="Q50" i="30"/>
  <c r="U50" i="30"/>
  <c r="Y50" i="30"/>
  <c r="AC50" i="30"/>
  <c r="AG50" i="30"/>
  <c r="AK50" i="30"/>
  <c r="AO50" i="30"/>
  <c r="AS50" i="30"/>
  <c r="A51" i="30"/>
  <c r="E51" i="30"/>
  <c r="I51" i="30"/>
  <c r="M51" i="30"/>
  <c r="Q51" i="30"/>
  <c r="U51" i="30"/>
  <c r="Y51" i="30"/>
  <c r="AC51" i="30"/>
  <c r="AG51" i="30"/>
  <c r="AK51" i="30"/>
  <c r="AO51" i="30"/>
  <c r="AS51" i="30"/>
  <c r="A52" i="30"/>
  <c r="E52" i="30"/>
  <c r="I52" i="30"/>
  <c r="M52" i="30"/>
  <c r="Q52" i="30"/>
  <c r="U52" i="30"/>
  <c r="Y52" i="30"/>
  <c r="AC52" i="30"/>
  <c r="AG52" i="30"/>
  <c r="AK52" i="30"/>
  <c r="AO52" i="30"/>
  <c r="AS52" i="30"/>
  <c r="A53" i="30"/>
  <c r="E53" i="30"/>
  <c r="I53" i="30"/>
  <c r="M53" i="30"/>
  <c r="Q53" i="30"/>
  <c r="U53" i="30"/>
  <c r="Y53" i="30"/>
  <c r="AC53" i="30"/>
  <c r="AG53" i="30"/>
  <c r="AK53" i="30"/>
  <c r="AO53" i="30"/>
  <c r="AS53" i="30"/>
  <c r="A54" i="30"/>
  <c r="E54" i="30"/>
  <c r="I54" i="30"/>
  <c r="M54" i="30"/>
  <c r="Q54" i="30"/>
  <c r="U54" i="30"/>
  <c r="Y54" i="30"/>
  <c r="AC54" i="30"/>
  <c r="AG54" i="30"/>
  <c r="AK54" i="30"/>
  <c r="AO54" i="30"/>
  <c r="AS54" i="30"/>
  <c r="A55" i="30"/>
  <c r="E55" i="30"/>
  <c r="I55" i="30"/>
  <c r="M55" i="30"/>
  <c r="Q55" i="30"/>
  <c r="U55" i="30"/>
  <c r="Y55" i="30"/>
  <c r="AC55" i="30"/>
  <c r="AG55" i="30"/>
  <c r="AK55" i="30"/>
  <c r="AO55" i="30"/>
  <c r="AS55" i="30"/>
  <c r="A56" i="30"/>
  <c r="E56" i="30"/>
  <c r="I56" i="30"/>
  <c r="M56" i="30"/>
  <c r="Q56" i="30"/>
  <c r="U56" i="30"/>
  <c r="Y56" i="30"/>
  <c r="AC56" i="30"/>
  <c r="AG56" i="30"/>
  <c r="AK56" i="30"/>
  <c r="AO56" i="30"/>
  <c r="AS56" i="30"/>
  <c r="A57" i="30"/>
  <c r="E57" i="30"/>
  <c r="I57" i="30"/>
  <c r="M57" i="30"/>
  <c r="Q57" i="30"/>
  <c r="U57" i="30"/>
  <c r="Y57" i="30"/>
  <c r="AC57" i="30"/>
  <c r="AG57" i="30"/>
  <c r="AK57" i="30"/>
  <c r="AO57" i="30"/>
  <c r="AS57" i="30"/>
  <c r="A58" i="30"/>
  <c r="E58" i="30"/>
  <c r="I58" i="30"/>
  <c r="M58" i="30"/>
  <c r="Q58" i="30"/>
  <c r="U58" i="30"/>
  <c r="Y58" i="30"/>
  <c r="AC58" i="30"/>
  <c r="AG58" i="30"/>
  <c r="AK58" i="30"/>
  <c r="AO58" i="30"/>
  <c r="AS58" i="30"/>
  <c r="A59" i="30"/>
  <c r="E59" i="30"/>
  <c r="I59" i="30"/>
  <c r="M59" i="30"/>
  <c r="Q59" i="30"/>
  <c r="U59" i="30"/>
  <c r="Y59" i="30"/>
  <c r="AC59" i="30"/>
  <c r="AG59" i="30"/>
  <c r="AK59" i="30"/>
  <c r="AO59" i="30"/>
  <c r="AS59" i="30"/>
  <c r="A60" i="30"/>
  <c r="E60" i="30"/>
  <c r="I60" i="30"/>
  <c r="M60" i="30"/>
  <c r="Q60" i="30"/>
  <c r="U60" i="30"/>
  <c r="Y60" i="30"/>
  <c r="AC60" i="30"/>
  <c r="AG60" i="30"/>
  <c r="AK60" i="30"/>
  <c r="AO60" i="30"/>
  <c r="AS60" i="30"/>
  <c r="A61" i="30"/>
  <c r="E61" i="30"/>
  <c r="I61" i="30"/>
  <c r="M61" i="30"/>
  <c r="Q61" i="30"/>
  <c r="U61" i="30"/>
  <c r="Y61" i="30"/>
  <c r="AC61" i="30"/>
  <c r="AG61" i="30"/>
  <c r="AK61" i="30"/>
  <c r="AO61" i="30"/>
  <c r="AS61" i="30"/>
  <c r="A62" i="30"/>
  <c r="E62" i="30"/>
  <c r="I62" i="30"/>
  <c r="M62" i="30"/>
  <c r="Q62" i="30"/>
  <c r="U62" i="30"/>
  <c r="Y62" i="30"/>
  <c r="AC62" i="30"/>
  <c r="AG62" i="30"/>
  <c r="AK62" i="30"/>
  <c r="AO62" i="30"/>
  <c r="AS62" i="30"/>
  <c r="A63" i="30"/>
  <c r="E63" i="30"/>
  <c r="I63" i="30"/>
  <c r="M63" i="30"/>
  <c r="Q63" i="30"/>
  <c r="U63" i="30"/>
  <c r="Y63" i="30"/>
  <c r="AC63" i="30"/>
  <c r="AG63" i="30"/>
  <c r="AK63" i="30"/>
  <c r="AO63" i="30"/>
  <c r="AS63" i="30"/>
  <c r="A64" i="30"/>
  <c r="E64" i="30"/>
  <c r="I64" i="30"/>
  <c r="M64" i="30"/>
  <c r="Q64" i="30"/>
  <c r="U64" i="30"/>
  <c r="Y64" i="30"/>
  <c r="AC64" i="30"/>
  <c r="AG64" i="30"/>
  <c r="AK64" i="30"/>
  <c r="AO64" i="30"/>
  <c r="AS64" i="30"/>
  <c r="A65" i="30"/>
  <c r="E65" i="30"/>
  <c r="I65" i="30"/>
  <c r="M65" i="30"/>
  <c r="Q65" i="30"/>
  <c r="U65" i="30"/>
  <c r="Y65" i="30"/>
  <c r="AC65" i="30"/>
  <c r="AG65" i="30"/>
  <c r="AK65" i="30"/>
  <c r="AO65" i="30"/>
  <c r="AS65" i="30"/>
  <c r="A66" i="30"/>
  <c r="E66" i="30"/>
  <c r="I66" i="30"/>
  <c r="M66" i="30"/>
  <c r="Q66" i="30"/>
  <c r="U66" i="30"/>
  <c r="Y66" i="30"/>
  <c r="AC66" i="30"/>
  <c r="AG66" i="30"/>
  <c r="AK66" i="30"/>
  <c r="AO66" i="30"/>
  <c r="AS66" i="30"/>
  <c r="A67" i="30"/>
  <c r="E67" i="30"/>
  <c r="I67" i="30"/>
  <c r="M67" i="30"/>
  <c r="Q67" i="30"/>
  <c r="U67" i="30"/>
  <c r="Y67" i="30"/>
  <c r="AC67" i="30"/>
  <c r="AG67" i="30"/>
  <c r="AK67" i="30"/>
  <c r="AO67" i="30"/>
  <c r="AS67" i="30"/>
  <c r="A68" i="30"/>
  <c r="E68" i="30"/>
  <c r="I68" i="30"/>
  <c r="M68" i="30"/>
  <c r="Q68" i="30"/>
  <c r="U68" i="30"/>
  <c r="Y68" i="30"/>
  <c r="AC68" i="30"/>
  <c r="AG68" i="30"/>
  <c r="AK68" i="30"/>
  <c r="AO68" i="30"/>
  <c r="AS68" i="30"/>
  <c r="A69" i="30"/>
  <c r="E69" i="30"/>
  <c r="I69" i="30"/>
  <c r="M69" i="30"/>
  <c r="Q69" i="30"/>
  <c r="U69" i="30"/>
  <c r="Y69" i="30"/>
  <c r="AC69" i="30"/>
  <c r="AG69" i="30"/>
  <c r="AK69" i="30"/>
  <c r="AO69" i="30"/>
  <c r="AS69" i="30"/>
  <c r="A70" i="30"/>
  <c r="E70" i="30"/>
  <c r="I70" i="30"/>
  <c r="M70" i="30"/>
  <c r="Q70" i="30"/>
  <c r="U70" i="30"/>
  <c r="Y70" i="30"/>
  <c r="AC70" i="30"/>
  <c r="AG70" i="30"/>
  <c r="AK70" i="30"/>
  <c r="AO70" i="30"/>
  <c r="AS70" i="30"/>
  <c r="A71" i="30"/>
  <c r="E71" i="30"/>
  <c r="I71" i="30"/>
  <c r="M71" i="30"/>
  <c r="Q71" i="30"/>
  <c r="U71" i="30"/>
  <c r="Y71" i="30"/>
  <c r="AC71" i="30"/>
  <c r="AG71" i="30"/>
  <c r="AK71" i="30"/>
  <c r="AO71" i="30"/>
  <c r="AS71" i="30"/>
  <c r="A72" i="30"/>
  <c r="E72" i="30"/>
  <c r="I72" i="30"/>
  <c r="M72" i="30"/>
  <c r="Q72" i="30"/>
  <c r="U72" i="30"/>
  <c r="Y72" i="30"/>
  <c r="AC72" i="30"/>
  <c r="AG72" i="30"/>
  <c r="AK72" i="30"/>
  <c r="AO72" i="30"/>
  <c r="AS72" i="30"/>
  <c r="A73" i="30"/>
  <c r="E73" i="30"/>
  <c r="I73" i="30"/>
  <c r="M73" i="30"/>
  <c r="Q73" i="30"/>
  <c r="U73" i="30"/>
  <c r="Y73" i="30"/>
  <c r="AC73" i="30"/>
  <c r="AG73" i="30"/>
  <c r="AK73" i="30"/>
  <c r="AO73" i="30"/>
  <c r="AS73" i="30"/>
  <c r="A74" i="30"/>
  <c r="E74" i="30"/>
  <c r="I74" i="30"/>
  <c r="M74" i="30"/>
  <c r="Q74" i="30"/>
  <c r="U74" i="30"/>
  <c r="Y74" i="30"/>
  <c r="AC74" i="30"/>
  <c r="AG74" i="30"/>
  <c r="AK74" i="30"/>
  <c r="AO74" i="30"/>
  <c r="AS74" i="30"/>
  <c r="A75" i="30"/>
  <c r="E75" i="30"/>
  <c r="I75" i="30"/>
  <c r="M75" i="30"/>
  <c r="Q75" i="30"/>
  <c r="U75" i="30"/>
  <c r="Y75" i="30"/>
  <c r="AC75" i="30"/>
  <c r="AG75" i="30"/>
  <c r="AK75" i="30"/>
  <c r="AO75" i="30"/>
  <c r="AS75" i="30"/>
  <c r="A76" i="30"/>
  <c r="E76" i="30"/>
  <c r="I76" i="30"/>
  <c r="M76" i="30"/>
  <c r="Q76" i="30"/>
  <c r="U76" i="30"/>
  <c r="Y76" i="30"/>
  <c r="AC76" i="30"/>
  <c r="AG76" i="30"/>
  <c r="AK76" i="30"/>
  <c r="AO76" i="30"/>
  <c r="AS76" i="30"/>
  <c r="A77" i="30"/>
  <c r="E77" i="30"/>
  <c r="I77" i="30"/>
  <c r="M77" i="30"/>
  <c r="Q77" i="30"/>
  <c r="U77" i="30"/>
  <c r="Y77" i="30"/>
  <c r="AC77" i="30"/>
  <c r="AG77" i="30"/>
  <c r="AK77" i="30"/>
  <c r="AO77" i="30"/>
  <c r="AS77" i="30"/>
  <c r="A78" i="30"/>
  <c r="E78" i="30"/>
  <c r="I78" i="30"/>
  <c r="M78" i="30"/>
  <c r="Q78" i="30"/>
  <c r="U78" i="30"/>
  <c r="Y78" i="30"/>
  <c r="AC78" i="30"/>
  <c r="AG78" i="30"/>
  <c r="AK78" i="30"/>
  <c r="AO78" i="30"/>
  <c r="AS78" i="30"/>
  <c r="A79" i="30"/>
  <c r="E79" i="30"/>
  <c r="I79" i="30"/>
  <c r="M79" i="30"/>
  <c r="Q79" i="30"/>
  <c r="U79" i="30"/>
  <c r="Y79" i="30"/>
  <c r="AC79" i="30"/>
  <c r="AG79" i="30"/>
  <c r="AK79" i="30"/>
  <c r="AO79" i="30"/>
  <c r="AS79" i="30"/>
  <c r="A80" i="30"/>
  <c r="E80" i="30"/>
  <c r="I80" i="30"/>
  <c r="M80" i="30"/>
  <c r="Q80" i="30"/>
  <c r="U80" i="30"/>
  <c r="Y80" i="30"/>
  <c r="AC80" i="30"/>
  <c r="AG80" i="30"/>
  <c r="AK80" i="30"/>
  <c r="AO80" i="30"/>
  <c r="AS80" i="30"/>
  <c r="A81" i="30"/>
  <c r="E81" i="30"/>
  <c r="I81" i="30"/>
  <c r="M81" i="30"/>
  <c r="Q81" i="30"/>
  <c r="U81" i="30"/>
  <c r="Y81" i="30"/>
  <c r="AC81" i="30"/>
  <c r="AG81" i="30"/>
  <c r="AK81" i="30"/>
  <c r="AO81" i="30"/>
  <c r="AS81" i="30"/>
  <c r="A82" i="30"/>
  <c r="E82" i="30"/>
  <c r="I82" i="30"/>
  <c r="M82" i="30"/>
  <c r="Q82" i="30"/>
  <c r="U82" i="30"/>
  <c r="Y82" i="30"/>
  <c r="AC82" i="30"/>
  <c r="AG82" i="30"/>
  <c r="AK82" i="30"/>
  <c r="AO82" i="30"/>
  <c r="AS82" i="30"/>
  <c r="A83" i="30"/>
  <c r="E83" i="30"/>
  <c r="I83" i="30"/>
  <c r="M83" i="30"/>
  <c r="Q83" i="30"/>
  <c r="U83" i="30"/>
  <c r="Y83" i="30"/>
  <c r="AC83" i="30"/>
  <c r="AG83" i="30"/>
  <c r="AK83" i="30"/>
  <c r="AO83" i="30"/>
  <c r="AS83" i="30"/>
  <c r="A84" i="30"/>
  <c r="E84" i="30"/>
  <c r="I84" i="30"/>
  <c r="M84" i="30"/>
  <c r="Q84" i="30"/>
  <c r="U84" i="30"/>
  <c r="Y84" i="30"/>
  <c r="AC84" i="30"/>
  <c r="AG84" i="30"/>
  <c r="AK84" i="30"/>
  <c r="AO84" i="30"/>
  <c r="AS84" i="30"/>
  <c r="A85" i="30"/>
  <c r="E85" i="30"/>
  <c r="I85" i="30"/>
  <c r="M85" i="30"/>
  <c r="Q85" i="30"/>
  <c r="U85" i="30"/>
  <c r="Y85" i="30"/>
  <c r="AC85" i="30"/>
  <c r="AG85" i="30"/>
  <c r="AK85" i="30"/>
  <c r="AO85" i="30"/>
  <c r="AS85" i="30"/>
  <c r="A86" i="30"/>
  <c r="E86" i="30"/>
  <c r="I86" i="30"/>
  <c r="M86" i="30"/>
  <c r="Q86" i="30"/>
  <c r="U86" i="30"/>
  <c r="Y86" i="30"/>
  <c r="AC86" i="30"/>
  <c r="AG86" i="30"/>
  <c r="AK86" i="30"/>
  <c r="AO86" i="30"/>
  <c r="AS86" i="30"/>
  <c r="A87" i="30"/>
  <c r="E87" i="30"/>
  <c r="I87" i="30"/>
  <c r="M87" i="30"/>
  <c r="Q87" i="30"/>
  <c r="U87" i="30"/>
  <c r="Y87" i="30"/>
  <c r="AC87" i="30"/>
  <c r="AG87" i="30"/>
  <c r="AK87" i="30"/>
  <c r="AO87" i="30"/>
  <c r="AS87" i="30"/>
  <c r="A88" i="30"/>
  <c r="E88" i="30"/>
  <c r="I88" i="30"/>
  <c r="M88" i="30"/>
  <c r="Q88" i="30"/>
  <c r="U88" i="30"/>
  <c r="Y88" i="30"/>
  <c r="AC88" i="30"/>
  <c r="AG88" i="30"/>
  <c r="AK88" i="30"/>
  <c r="AO88" i="30"/>
  <c r="AS88" i="30"/>
  <c r="A89" i="30"/>
  <c r="E89" i="30"/>
  <c r="I89" i="30"/>
  <c r="M89" i="30"/>
  <c r="Q89" i="30"/>
  <c r="U89" i="30"/>
  <c r="Y89" i="30"/>
  <c r="AC89" i="30"/>
  <c r="AG89" i="30"/>
  <c r="AK89" i="30"/>
  <c r="AO89" i="30"/>
  <c r="AS89" i="30"/>
  <c r="A90" i="30"/>
  <c r="E90" i="30"/>
  <c r="I90" i="30"/>
  <c r="M90" i="30"/>
  <c r="Q90" i="30"/>
  <c r="U90" i="30"/>
  <c r="Y90" i="30"/>
  <c r="AC90" i="30"/>
  <c r="AG90" i="30"/>
  <c r="AK90" i="30"/>
  <c r="AO90" i="30"/>
  <c r="AS90" i="30"/>
  <c r="A91" i="30"/>
  <c r="E91" i="30"/>
  <c r="I91" i="30"/>
  <c r="M91" i="30"/>
  <c r="Q91" i="30"/>
  <c r="U91" i="30"/>
  <c r="Y91" i="30"/>
  <c r="AC91" i="30"/>
  <c r="AG91" i="30"/>
  <c r="AK91" i="30"/>
  <c r="AO91" i="30"/>
  <c r="AS91" i="30"/>
  <c r="A92" i="30"/>
  <c r="E92" i="30"/>
  <c r="I92" i="30"/>
  <c r="M92" i="30"/>
  <c r="Q92" i="30"/>
  <c r="U92" i="30"/>
  <c r="Y92" i="30"/>
  <c r="AC92" i="30"/>
  <c r="AG92" i="30"/>
  <c r="AK92" i="30"/>
  <c r="AO92" i="30"/>
  <c r="AS92" i="30"/>
  <c r="A93" i="30"/>
  <c r="E93" i="30"/>
  <c r="I93" i="30"/>
  <c r="M93" i="30"/>
  <c r="Q93" i="30"/>
  <c r="U93" i="30"/>
  <c r="Y93" i="30"/>
  <c r="AC93" i="30"/>
  <c r="AG93" i="30"/>
  <c r="AK93" i="30"/>
  <c r="AO93" i="30"/>
  <c r="AS93" i="30"/>
  <c r="A94" i="30"/>
  <c r="E94" i="30"/>
  <c r="I94" i="30"/>
  <c r="M94" i="30"/>
  <c r="Q94" i="30"/>
  <c r="U94" i="30"/>
  <c r="Y94" i="30"/>
  <c r="AC94" i="30"/>
  <c r="AG94" i="30"/>
  <c r="AK94" i="30"/>
  <c r="AO94" i="30"/>
  <c r="AS94" i="30"/>
  <c r="A95" i="30"/>
  <c r="E95" i="30"/>
  <c r="I95" i="30"/>
  <c r="M95" i="30"/>
  <c r="Q95" i="30"/>
  <c r="U95" i="30"/>
  <c r="Y95" i="30"/>
  <c r="AC95" i="30"/>
  <c r="AG95" i="30"/>
  <c r="AK95" i="30"/>
  <c r="AO95" i="30"/>
  <c r="AS95" i="30"/>
  <c r="A96" i="30"/>
  <c r="E96" i="30"/>
  <c r="I96" i="30"/>
  <c r="M96" i="30"/>
  <c r="Q96" i="30"/>
  <c r="U96" i="30"/>
  <c r="Y96" i="30"/>
  <c r="AC96" i="30"/>
  <c r="AG96" i="30"/>
  <c r="AK96" i="30"/>
  <c r="AO96" i="30"/>
  <c r="AS96" i="30"/>
  <c r="A97" i="30"/>
  <c r="E97" i="30"/>
  <c r="I97" i="30"/>
  <c r="M97" i="30"/>
  <c r="Q97" i="30"/>
  <c r="U97" i="30"/>
  <c r="Y97" i="30"/>
  <c r="AC97" i="30"/>
  <c r="AG97" i="30"/>
  <c r="AK97" i="30"/>
  <c r="AO97" i="30"/>
  <c r="AS97" i="30"/>
  <c r="A98" i="30"/>
  <c r="E98" i="30"/>
  <c r="I98" i="30"/>
  <c r="M98" i="30"/>
  <c r="Q98" i="30"/>
  <c r="U98" i="30"/>
  <c r="Y98" i="30"/>
  <c r="AC98" i="30"/>
  <c r="AG98" i="30"/>
  <c r="AK98" i="30"/>
  <c r="AO98" i="30"/>
  <c r="AS98" i="30"/>
  <c r="A99" i="30"/>
  <c r="E99" i="30"/>
  <c r="I99" i="30"/>
  <c r="M99" i="30"/>
  <c r="Q99" i="30"/>
  <c r="U99" i="30"/>
  <c r="Y99" i="30"/>
  <c r="AC99" i="30"/>
  <c r="AG99" i="30"/>
  <c r="AK99" i="30"/>
  <c r="AO99" i="30"/>
  <c r="AS99" i="30"/>
  <c r="A100" i="30"/>
  <c r="E100" i="30"/>
  <c r="I100" i="30"/>
  <c r="M100" i="30"/>
  <c r="Q100" i="30"/>
  <c r="U100" i="30"/>
  <c r="Y100" i="30"/>
  <c r="AC100" i="30"/>
  <c r="AG100" i="30"/>
  <c r="AK100" i="30"/>
  <c r="AO100" i="30"/>
  <c r="AS100" i="30"/>
  <c r="A101" i="30"/>
  <c r="E101" i="30"/>
  <c r="I101" i="30"/>
  <c r="M101" i="30"/>
  <c r="Q101" i="30"/>
  <c r="U101" i="30"/>
  <c r="Y101" i="30"/>
  <c r="AC101" i="30"/>
  <c r="AG101" i="30"/>
  <c r="AK101" i="30"/>
  <c r="AO101" i="30"/>
  <c r="AS101" i="30"/>
  <c r="A102" i="30"/>
  <c r="E102" i="30"/>
  <c r="I102" i="30"/>
  <c r="M102" i="30"/>
  <c r="Q102" i="30"/>
  <c r="U102" i="30"/>
  <c r="Y102" i="30"/>
  <c r="AC102" i="30"/>
  <c r="AG102" i="30"/>
  <c r="AK102" i="30"/>
  <c r="AO102" i="30"/>
  <c r="AS102" i="30"/>
  <c r="A103" i="30"/>
  <c r="E103" i="30"/>
  <c r="I103" i="30"/>
  <c r="M103" i="30"/>
  <c r="Q103" i="30"/>
  <c r="U103" i="30"/>
  <c r="Y103" i="30"/>
  <c r="AC103" i="30"/>
  <c r="AG103" i="30"/>
  <c r="AK103" i="30"/>
  <c r="AO103" i="30"/>
  <c r="AS103" i="30"/>
  <c r="A104" i="30"/>
  <c r="E104" i="30"/>
  <c r="I104" i="30"/>
  <c r="M104" i="30"/>
  <c r="Q104" i="30"/>
  <c r="U104" i="30"/>
  <c r="Y104" i="30"/>
  <c r="AC104" i="30"/>
  <c r="AG104" i="30"/>
  <c r="AK104" i="30"/>
  <c r="AO104" i="30"/>
  <c r="AS104" i="30"/>
  <c r="A105" i="30"/>
  <c r="E105" i="30"/>
  <c r="I105" i="30"/>
  <c r="M105" i="30"/>
  <c r="Q105" i="30"/>
  <c r="U105" i="30"/>
  <c r="Y105" i="30"/>
  <c r="AC105" i="30"/>
  <c r="AG105" i="30"/>
  <c r="AK105" i="30"/>
  <c r="AO105" i="30"/>
  <c r="AS105" i="30"/>
  <c r="A106" i="30"/>
  <c r="E106" i="30"/>
  <c r="I106" i="30"/>
  <c r="M106" i="30"/>
  <c r="Q106" i="30"/>
  <c r="U106" i="30"/>
  <c r="Y106" i="30"/>
  <c r="AC106" i="30"/>
  <c r="AG106" i="30"/>
  <c r="AK106" i="30"/>
  <c r="AO106" i="30"/>
  <c r="AS106" i="30"/>
  <c r="A107" i="30"/>
  <c r="E107" i="30"/>
  <c r="I107" i="30"/>
  <c r="M107" i="30"/>
  <c r="Q107" i="30"/>
  <c r="U107" i="30"/>
  <c r="Y107" i="30"/>
  <c r="AC107" i="30"/>
  <c r="AG107" i="30"/>
  <c r="AK107" i="30"/>
  <c r="AO107" i="30"/>
  <c r="AS107" i="30"/>
  <c r="A108" i="30"/>
  <c r="E108" i="30"/>
  <c r="I108" i="30"/>
  <c r="M108" i="30"/>
  <c r="Q108" i="30"/>
  <c r="U108" i="30"/>
  <c r="Y108" i="30"/>
  <c r="AC108" i="30"/>
  <c r="AG108" i="30"/>
  <c r="AK108" i="30"/>
  <c r="AO108" i="30"/>
  <c r="AS108" i="30"/>
  <c r="A109" i="30"/>
  <c r="E109" i="30"/>
  <c r="I109" i="30"/>
  <c r="M109" i="30"/>
  <c r="Q109" i="30"/>
  <c r="U109" i="30"/>
  <c r="Y109" i="30"/>
  <c r="AC109" i="30"/>
  <c r="AG109" i="30"/>
  <c r="AK109" i="30"/>
  <c r="AO109" i="30"/>
  <c r="AS109" i="30"/>
  <c r="A110" i="30"/>
  <c r="E110" i="30"/>
  <c r="I110" i="30"/>
  <c r="M110" i="30"/>
  <c r="Q110" i="30"/>
  <c r="U110" i="30"/>
  <c r="Y110" i="30"/>
  <c r="AC110" i="30"/>
  <c r="AG110" i="30"/>
  <c r="AK110" i="30"/>
  <c r="AO110" i="30"/>
  <c r="AS110" i="30"/>
  <c r="A111" i="30"/>
  <c r="E111" i="30"/>
  <c r="I111" i="30"/>
  <c r="M111" i="30"/>
  <c r="Q111" i="30"/>
  <c r="U111" i="30"/>
  <c r="Y111" i="30"/>
  <c r="AC111" i="30"/>
  <c r="AG111" i="30"/>
  <c r="AK111" i="30"/>
  <c r="AO111" i="30"/>
  <c r="AS111" i="30"/>
  <c r="A112" i="30"/>
  <c r="E112" i="30"/>
  <c r="I112" i="30"/>
  <c r="M112" i="30"/>
  <c r="Q112" i="30"/>
  <c r="U112" i="30"/>
  <c r="Y112" i="30"/>
  <c r="AC112" i="30"/>
  <c r="AG112" i="30"/>
  <c r="AK112" i="30"/>
  <c r="AO112" i="30"/>
  <c r="AS112" i="30"/>
  <c r="A113" i="30"/>
  <c r="E113" i="30"/>
  <c r="I113" i="30"/>
  <c r="M113" i="30"/>
  <c r="Q113" i="30"/>
  <c r="U113" i="30"/>
  <c r="Y113" i="30"/>
  <c r="AC113" i="30"/>
  <c r="AG113" i="30"/>
  <c r="AK113" i="30"/>
  <c r="AO113" i="30"/>
  <c r="AS113" i="30"/>
  <c r="A114" i="30"/>
  <c r="E114" i="30"/>
  <c r="I114" i="30"/>
  <c r="M114" i="30"/>
  <c r="Q114" i="30"/>
  <c r="U114" i="30"/>
  <c r="Y114" i="30"/>
  <c r="AC114" i="30"/>
  <c r="AG114" i="30"/>
  <c r="AK114" i="30"/>
  <c r="AO114" i="30"/>
  <c r="AS114" i="30"/>
  <c r="A115" i="30"/>
  <c r="E115" i="30"/>
  <c r="I115" i="30"/>
  <c r="M115" i="30"/>
  <c r="Q115" i="30"/>
  <c r="U115" i="30"/>
  <c r="Y115" i="30"/>
  <c r="AC115" i="30"/>
  <c r="AG115" i="30"/>
  <c r="AK115" i="30"/>
  <c r="AO115" i="30"/>
  <c r="AS115" i="30"/>
  <c r="A116" i="30"/>
  <c r="E116" i="30"/>
  <c r="I116" i="30"/>
  <c r="M116" i="30"/>
  <c r="Q116" i="30"/>
  <c r="U116" i="30"/>
  <c r="Y116" i="30"/>
  <c r="AC116" i="30"/>
  <c r="AG116" i="30"/>
  <c r="AK116" i="30"/>
  <c r="AO116" i="30"/>
  <c r="AS116" i="30"/>
  <c r="A117" i="30"/>
  <c r="E117" i="30"/>
  <c r="I117" i="30"/>
  <c r="M117" i="30"/>
  <c r="Q117" i="30"/>
  <c r="U117" i="30"/>
  <c r="Y117" i="30"/>
  <c r="AC117" i="30"/>
  <c r="AG117" i="30"/>
  <c r="AK117" i="30"/>
  <c r="AO117" i="30"/>
  <c r="AS117" i="30"/>
  <c r="A118" i="30"/>
  <c r="E118" i="30"/>
  <c r="I118" i="30"/>
  <c r="M118" i="30"/>
  <c r="Q118" i="30"/>
  <c r="U118" i="30"/>
  <c r="Y118" i="30"/>
  <c r="AC118" i="30"/>
  <c r="AG118" i="30"/>
  <c r="AK118" i="30"/>
  <c r="AO118" i="30"/>
  <c r="AS118" i="30"/>
  <c r="A119" i="30"/>
  <c r="E119" i="30"/>
  <c r="I119" i="30"/>
  <c r="M119" i="30"/>
  <c r="Q119" i="30"/>
  <c r="U119" i="30"/>
  <c r="Y119" i="30"/>
  <c r="AC119" i="30"/>
  <c r="AG119" i="30"/>
  <c r="AK119" i="30"/>
  <c r="AO119" i="30"/>
  <c r="AS119" i="30"/>
  <c r="A120" i="30"/>
  <c r="E120" i="30"/>
  <c r="I120" i="30"/>
  <c r="M120" i="30"/>
  <c r="Q120" i="30"/>
  <c r="U120" i="30"/>
  <c r="Y120" i="30"/>
  <c r="AC120" i="30"/>
  <c r="AG120" i="30"/>
  <c r="AK120" i="30"/>
  <c r="AO120" i="30"/>
  <c r="AS120" i="30"/>
  <c r="A121" i="30"/>
  <c r="E121" i="30"/>
  <c r="I121" i="30"/>
  <c r="M121" i="30"/>
  <c r="Q121" i="30"/>
  <c r="U121" i="30"/>
  <c r="Y121" i="30"/>
  <c r="AC121" i="30"/>
  <c r="AG121" i="30"/>
  <c r="AK121" i="30"/>
  <c r="AO121" i="30"/>
  <c r="AS121" i="30"/>
  <c r="A122" i="30"/>
  <c r="E122" i="30"/>
  <c r="I122" i="30"/>
  <c r="M122" i="30"/>
  <c r="Q122" i="30"/>
  <c r="U122" i="30"/>
  <c r="Y122" i="30"/>
  <c r="AC122" i="30"/>
  <c r="AG122" i="30"/>
  <c r="AK122" i="30"/>
  <c r="AO122" i="30"/>
  <c r="AS122" i="30"/>
  <c r="A123" i="30"/>
  <c r="E123" i="30"/>
  <c r="I123" i="30"/>
  <c r="M123" i="30"/>
  <c r="Q123" i="30"/>
  <c r="U123" i="30"/>
  <c r="Y123" i="30"/>
  <c r="AC123" i="30"/>
  <c r="AG123" i="30"/>
  <c r="AK123" i="30"/>
  <c r="AO123" i="30"/>
  <c r="AS123" i="30"/>
  <c r="A124" i="30"/>
  <c r="E124" i="30"/>
  <c r="I124" i="30"/>
  <c r="M124" i="30"/>
  <c r="Q124" i="30"/>
  <c r="U124" i="30"/>
  <c r="Y124" i="30"/>
  <c r="AC124" i="30"/>
  <c r="AG124" i="30"/>
  <c r="AK124" i="30"/>
  <c r="AO124" i="30"/>
  <c r="AS124" i="30"/>
  <c r="A125" i="30"/>
  <c r="E125" i="30"/>
  <c r="I125" i="30"/>
  <c r="M125" i="30"/>
  <c r="Q125" i="30"/>
  <c r="U125" i="30"/>
  <c r="Y125" i="30"/>
  <c r="AC125" i="30"/>
  <c r="AG125" i="30"/>
  <c r="AK125" i="30"/>
  <c r="AO125" i="30"/>
  <c r="AS125" i="30"/>
  <c r="A126" i="30"/>
  <c r="E126" i="30"/>
  <c r="I126" i="30"/>
  <c r="M126" i="30"/>
  <c r="Q126" i="30"/>
  <c r="U126" i="30"/>
  <c r="Y126" i="30"/>
  <c r="AC126" i="30"/>
  <c r="AG126" i="30"/>
  <c r="AK126" i="30"/>
  <c r="AO126" i="30"/>
  <c r="AS126" i="30"/>
  <c r="A127" i="30"/>
  <c r="E127" i="30"/>
  <c r="I127" i="30"/>
  <c r="M127" i="30"/>
  <c r="Q127" i="30"/>
  <c r="U127" i="30"/>
  <c r="Y127" i="30"/>
  <c r="AC127" i="30"/>
  <c r="AG127" i="30"/>
  <c r="AK127" i="30"/>
  <c r="AO127" i="30"/>
  <c r="AS127" i="30"/>
  <c r="A128" i="30"/>
  <c r="E128" i="30"/>
  <c r="I128" i="30"/>
  <c r="M128" i="30"/>
  <c r="Q128" i="30"/>
  <c r="U128" i="30"/>
  <c r="Y128" i="30"/>
  <c r="AC128" i="30"/>
  <c r="AG128" i="30"/>
  <c r="AK128" i="30"/>
  <c r="AO128" i="30"/>
  <c r="AS128" i="30"/>
  <c r="A129" i="30"/>
  <c r="E129" i="30"/>
  <c r="I129" i="30"/>
  <c r="M129" i="30"/>
  <c r="Q129" i="30"/>
  <c r="U129" i="30"/>
  <c r="Y129" i="30"/>
  <c r="AC129" i="30"/>
  <c r="AG129" i="30"/>
  <c r="AK129" i="30"/>
  <c r="AO129" i="30"/>
  <c r="AS129" i="30"/>
  <c r="A130" i="30"/>
  <c r="E130" i="30"/>
  <c r="I130" i="30"/>
  <c r="M130" i="30"/>
  <c r="Q130" i="30"/>
  <c r="U130" i="30"/>
  <c r="Y130" i="30"/>
  <c r="AC130" i="30"/>
  <c r="AG130" i="30"/>
  <c r="AK130" i="30"/>
  <c r="AO130" i="30"/>
  <c r="AS130" i="30"/>
  <c r="A131" i="30"/>
  <c r="E131" i="30"/>
  <c r="I131" i="30"/>
  <c r="M131" i="30"/>
  <c r="Q131" i="30"/>
  <c r="U131" i="30"/>
  <c r="Y131" i="30"/>
  <c r="AC131" i="30"/>
  <c r="AG131" i="30"/>
  <c r="AK131" i="30"/>
  <c r="AO131" i="30"/>
  <c r="AS131" i="30"/>
  <c r="A132" i="30"/>
  <c r="E132" i="30"/>
  <c r="I132" i="30"/>
  <c r="M132" i="30"/>
  <c r="Q132" i="30"/>
  <c r="U132" i="30"/>
  <c r="Y132" i="30"/>
  <c r="AC132" i="30"/>
  <c r="AG132" i="30"/>
  <c r="AK132" i="30"/>
  <c r="AO132" i="30"/>
  <c r="AS132" i="30"/>
  <c r="A133" i="30"/>
  <c r="E133" i="30"/>
  <c r="I133" i="30"/>
  <c r="M133" i="30"/>
  <c r="Q133" i="30"/>
  <c r="U133" i="30"/>
  <c r="Y133" i="30"/>
  <c r="AC133" i="30"/>
  <c r="AG133" i="30"/>
  <c r="AK133" i="30"/>
  <c r="AO133" i="30"/>
  <c r="AS133" i="30"/>
  <c r="A134" i="30"/>
  <c r="E134" i="30"/>
  <c r="I134" i="30"/>
  <c r="M134" i="30"/>
  <c r="Q134" i="30"/>
  <c r="U134" i="30"/>
  <c r="Y134" i="30"/>
  <c r="AC134" i="30"/>
  <c r="AG134" i="30"/>
  <c r="AK134" i="30"/>
  <c r="AO134" i="30"/>
  <c r="AS134" i="30"/>
  <c r="A135" i="30"/>
  <c r="E135" i="30"/>
  <c r="I135" i="30"/>
  <c r="M135" i="30"/>
  <c r="Q135" i="30"/>
  <c r="U135" i="30"/>
  <c r="Y135" i="30"/>
  <c r="AC135" i="30"/>
  <c r="AG135" i="30"/>
  <c r="AK135" i="30"/>
  <c r="AO135" i="30"/>
  <c r="AS135" i="30"/>
  <c r="A136" i="30"/>
  <c r="E136" i="30"/>
  <c r="I136" i="30"/>
  <c r="M136" i="30"/>
  <c r="Q136" i="30"/>
  <c r="U136" i="30"/>
  <c r="Y136" i="30"/>
  <c r="AC136" i="30"/>
  <c r="AG136" i="30"/>
  <c r="AK136" i="30"/>
  <c r="AO136" i="30"/>
  <c r="AS136" i="30"/>
  <c r="A137" i="30"/>
  <c r="E137" i="30"/>
  <c r="I137" i="30"/>
  <c r="M137" i="30"/>
  <c r="Q137" i="30"/>
  <c r="U137" i="30"/>
  <c r="Y137" i="30"/>
  <c r="AC137" i="30"/>
  <c r="AG137" i="30"/>
  <c r="AK137" i="30"/>
  <c r="AO137" i="30"/>
  <c r="AS137" i="30"/>
  <c r="A138" i="30"/>
  <c r="E138" i="30"/>
  <c r="I138" i="30"/>
  <c r="M138" i="30"/>
  <c r="Q138" i="30"/>
  <c r="U138" i="30"/>
  <c r="Y138" i="30"/>
  <c r="AC138" i="30"/>
  <c r="AG138" i="30"/>
  <c r="AK138" i="30"/>
  <c r="AO138" i="30"/>
  <c r="AS138" i="30"/>
  <c r="A139" i="30"/>
  <c r="E139" i="30"/>
  <c r="I139" i="30"/>
  <c r="M139" i="30"/>
  <c r="Q139" i="30"/>
  <c r="U139" i="30"/>
  <c r="Y139" i="30"/>
  <c r="AC139" i="30"/>
  <c r="AG139" i="30"/>
  <c r="AK139" i="30"/>
  <c r="AO139" i="30"/>
  <c r="AS139" i="30"/>
  <c r="A140" i="30"/>
  <c r="E140" i="30"/>
  <c r="I140" i="30"/>
  <c r="M140" i="30"/>
  <c r="Q140" i="30"/>
  <c r="U140" i="30"/>
  <c r="Y140" i="30"/>
  <c r="AC140" i="30"/>
  <c r="AG140" i="30"/>
  <c r="AK140" i="30"/>
  <c r="AO140" i="30"/>
  <c r="AS140" i="30"/>
  <c r="A141" i="30"/>
  <c r="E141" i="30"/>
  <c r="I141" i="30"/>
  <c r="M141" i="30"/>
  <c r="Q141" i="30"/>
  <c r="U141" i="30"/>
  <c r="Y141" i="30"/>
  <c r="AC141" i="30"/>
  <c r="AG141" i="30"/>
  <c r="AK141" i="30"/>
  <c r="AO141" i="30"/>
  <c r="AS141" i="30"/>
  <c r="A142" i="30"/>
  <c r="E142" i="30"/>
  <c r="I142" i="30"/>
  <c r="M142" i="30"/>
  <c r="Q142" i="30"/>
  <c r="U142" i="30"/>
  <c r="Y142" i="30"/>
  <c r="AC142" i="30"/>
  <c r="AG142" i="30"/>
  <c r="AK142" i="30"/>
  <c r="AO142" i="30"/>
  <c r="AS142" i="30"/>
  <c r="A143" i="30"/>
  <c r="E143" i="30"/>
  <c r="I143" i="30"/>
  <c r="M143" i="30"/>
  <c r="Q143" i="30"/>
  <c r="U143" i="30"/>
  <c r="Y143" i="30"/>
  <c r="AC143" i="30"/>
  <c r="AG143" i="30"/>
  <c r="AK143" i="30"/>
  <c r="AO143" i="30"/>
  <c r="AS143" i="30"/>
  <c r="A144" i="30"/>
  <c r="E144" i="30"/>
  <c r="I144" i="30"/>
  <c r="M144" i="30"/>
  <c r="Q144" i="30"/>
  <c r="U144" i="30"/>
  <c r="Y144" i="30"/>
  <c r="AC144" i="30"/>
  <c r="AG144" i="30"/>
  <c r="AK144" i="30"/>
  <c r="AO144" i="30"/>
  <c r="AS144" i="30"/>
  <c r="A145" i="30"/>
  <c r="E145" i="30"/>
  <c r="I145" i="30"/>
  <c r="M145" i="30"/>
  <c r="Q145" i="30"/>
  <c r="U145" i="30"/>
  <c r="Y145" i="30"/>
  <c r="AC145" i="30"/>
  <c r="AG145" i="30"/>
  <c r="AK145" i="30"/>
  <c r="AO145" i="30"/>
  <c r="AS145" i="30"/>
  <c r="A146" i="30"/>
  <c r="E146" i="30"/>
  <c r="I146" i="30"/>
  <c r="M146" i="30"/>
  <c r="Q146" i="30"/>
  <c r="U146" i="30"/>
  <c r="Y146" i="30"/>
  <c r="AC146" i="30"/>
  <c r="AG146" i="30"/>
  <c r="AK146" i="30"/>
  <c r="AO146" i="30"/>
  <c r="AS146" i="30"/>
  <c r="A147" i="30"/>
  <c r="E147" i="30"/>
  <c r="I147" i="30"/>
  <c r="M147" i="30"/>
  <c r="Q147" i="30"/>
  <c r="U147" i="30"/>
  <c r="Y147" i="30"/>
  <c r="AC147" i="30"/>
  <c r="AG147" i="30"/>
  <c r="AK147" i="30"/>
  <c r="AO147" i="30"/>
  <c r="AS147" i="30"/>
  <c r="A148" i="30"/>
  <c r="E148" i="30"/>
  <c r="I148" i="30"/>
  <c r="M148" i="30"/>
  <c r="Q148" i="30"/>
  <c r="U148" i="30"/>
  <c r="Y148" i="30"/>
  <c r="AC148" i="30"/>
  <c r="AG148" i="30"/>
  <c r="AK148" i="30"/>
  <c r="AO148" i="30"/>
  <c r="AS148" i="30"/>
  <c r="A149" i="30"/>
  <c r="E149" i="30"/>
  <c r="I149" i="30"/>
  <c r="M149" i="30"/>
  <c r="Q149" i="30"/>
  <c r="U149" i="30"/>
  <c r="Y149" i="30"/>
  <c r="AC149" i="30"/>
  <c r="AG149" i="30"/>
  <c r="AK149" i="30"/>
  <c r="AO149" i="30"/>
  <c r="AS149" i="30"/>
  <c r="A150" i="30"/>
  <c r="E150" i="30"/>
  <c r="I150" i="30"/>
  <c r="M150" i="30"/>
  <c r="Q150" i="30"/>
  <c r="U150" i="30"/>
  <c r="Y150" i="30"/>
  <c r="AC150" i="30"/>
  <c r="AG150" i="30"/>
  <c r="AK150" i="30"/>
  <c r="AO150" i="30"/>
  <c r="AS150" i="30"/>
  <c r="A151" i="30"/>
  <c r="E151" i="30"/>
  <c r="I151" i="30"/>
  <c r="M151" i="30"/>
  <c r="Q151" i="30"/>
  <c r="U151" i="30"/>
  <c r="Y151" i="30"/>
  <c r="AC151" i="30"/>
  <c r="AG151" i="30"/>
  <c r="AK151" i="30"/>
  <c r="AO151" i="30"/>
  <c r="AS151" i="30"/>
  <c r="A152" i="30"/>
  <c r="E152" i="30"/>
  <c r="I152" i="30"/>
  <c r="M152" i="30"/>
  <c r="Q152" i="30"/>
  <c r="U152" i="30"/>
  <c r="Y152" i="30"/>
  <c r="AC152" i="30"/>
  <c r="AG152" i="30"/>
  <c r="AK152" i="30"/>
  <c r="AO152" i="30"/>
  <c r="AS152" i="30"/>
  <c r="A153" i="30"/>
  <c r="E153" i="30"/>
  <c r="I153" i="30"/>
  <c r="M153" i="30"/>
  <c r="Q153" i="30"/>
  <c r="U153" i="30"/>
  <c r="Y153" i="30"/>
  <c r="AC153" i="30"/>
  <c r="AG153" i="30"/>
  <c r="AK153" i="30"/>
  <c r="AO153" i="30"/>
  <c r="AS153" i="30"/>
  <c r="A154" i="30"/>
  <c r="E154" i="30"/>
  <c r="I154" i="30"/>
  <c r="M154" i="30"/>
  <c r="Q154" i="30"/>
  <c r="U154" i="30"/>
  <c r="Y154" i="30"/>
  <c r="AC154" i="30"/>
  <c r="AG154" i="30"/>
  <c r="AK154" i="30"/>
  <c r="AO154" i="30"/>
  <c r="AS154" i="30"/>
  <c r="A155" i="30"/>
  <c r="E155" i="30"/>
  <c r="I155" i="30"/>
  <c r="M155" i="30"/>
  <c r="Q155" i="30"/>
  <c r="U155" i="30"/>
  <c r="Y155" i="30"/>
  <c r="AC155" i="30"/>
  <c r="AG155" i="30"/>
  <c r="AK155" i="30"/>
  <c r="AO155" i="30"/>
  <c r="AS155" i="30"/>
  <c r="A156" i="30"/>
  <c r="E156" i="30"/>
  <c r="I156" i="30"/>
  <c r="M156" i="30"/>
  <c r="Q156" i="30"/>
  <c r="U156" i="30"/>
  <c r="Y156" i="30"/>
  <c r="AC156" i="30"/>
  <c r="AG156" i="30"/>
  <c r="AK156" i="30"/>
  <c r="AO156" i="30"/>
  <c r="AS156" i="30"/>
  <c r="A157" i="30"/>
  <c r="E157" i="30"/>
  <c r="I157" i="30"/>
  <c r="M157" i="30"/>
  <c r="Q157" i="30"/>
  <c r="U157" i="30"/>
  <c r="Y157" i="30"/>
  <c r="AC157" i="30"/>
  <c r="AG157" i="30"/>
  <c r="AK157" i="30"/>
  <c r="AO157" i="30"/>
  <c r="AS157" i="30"/>
  <c r="A158" i="30"/>
  <c r="E158" i="30"/>
  <c r="I158" i="30"/>
  <c r="M158" i="30"/>
  <c r="Q158" i="30"/>
  <c r="U158" i="30"/>
  <c r="Y158" i="30"/>
  <c r="AC158" i="30"/>
  <c r="AG158" i="30"/>
  <c r="AK158" i="30"/>
  <c r="AO158" i="30"/>
  <c r="AS158" i="30"/>
  <c r="A159" i="30"/>
  <c r="E159" i="30"/>
  <c r="I159" i="30"/>
  <c r="M159" i="30"/>
  <c r="Q159" i="30"/>
  <c r="U159" i="30"/>
  <c r="Y159" i="30"/>
  <c r="AC159" i="30"/>
  <c r="AG159" i="30"/>
  <c r="AK159" i="30"/>
  <c r="AO159" i="30"/>
  <c r="AS159" i="30"/>
  <c r="A160" i="30"/>
  <c r="E160" i="30"/>
  <c r="I160" i="30"/>
  <c r="M160" i="30"/>
  <c r="Q160" i="30"/>
  <c r="U160" i="30"/>
  <c r="Y160" i="30"/>
  <c r="AC160" i="30"/>
  <c r="AG160" i="30"/>
  <c r="AK160" i="30"/>
  <c r="AO160" i="30"/>
  <c r="AS160" i="30"/>
  <c r="A161" i="30"/>
  <c r="E161" i="30"/>
  <c r="I161" i="30"/>
  <c r="M161" i="30"/>
  <c r="Q161" i="30"/>
  <c r="U161" i="30"/>
  <c r="Y161" i="30"/>
  <c r="AC161" i="30"/>
  <c r="AG161" i="30"/>
  <c r="AK161" i="30"/>
  <c r="AO161" i="30"/>
  <c r="AS161" i="30"/>
  <c r="A162" i="30"/>
  <c r="E162" i="30"/>
  <c r="I162" i="30"/>
  <c r="M162" i="30"/>
  <c r="Q162" i="30"/>
  <c r="U162" i="30"/>
  <c r="Y162" i="30"/>
  <c r="AC162" i="30"/>
  <c r="AG162" i="30"/>
  <c r="AK162" i="30"/>
  <c r="AO162" i="30"/>
  <c r="AS162" i="30"/>
  <c r="A163" i="30"/>
  <c r="E163" i="30"/>
  <c r="I163" i="30"/>
  <c r="M163" i="30"/>
  <c r="Q163" i="30"/>
  <c r="U163" i="30"/>
  <c r="Y163" i="30"/>
  <c r="AC163" i="30"/>
  <c r="AG163" i="30"/>
  <c r="AK163" i="30"/>
  <c r="AO163" i="30"/>
  <c r="AS163" i="30"/>
  <c r="A164" i="30"/>
  <c r="E164" i="30"/>
  <c r="I164" i="30"/>
  <c r="M164" i="30"/>
  <c r="Q164" i="30"/>
  <c r="U164" i="30"/>
  <c r="Y164" i="30"/>
  <c r="AC164" i="30"/>
  <c r="AG164" i="30"/>
  <c r="AK164" i="30"/>
  <c r="AO164" i="30"/>
  <c r="AS164" i="30"/>
  <c r="A165" i="30"/>
  <c r="E165" i="30"/>
  <c r="I165" i="30"/>
  <c r="M165" i="30"/>
  <c r="Q165" i="30"/>
  <c r="U165" i="30"/>
  <c r="Y165" i="30"/>
  <c r="AC165" i="30"/>
  <c r="AG165" i="30"/>
  <c r="AK165" i="30"/>
  <c r="AO165" i="30"/>
  <c r="AS165" i="30"/>
  <c r="A166" i="30"/>
  <c r="E166" i="30"/>
  <c r="I166" i="30"/>
  <c r="M166" i="30"/>
  <c r="Q166" i="30"/>
  <c r="U166" i="30"/>
  <c r="Y166" i="30"/>
  <c r="AC166" i="30"/>
  <c r="AG166" i="30"/>
  <c r="AK166" i="30"/>
  <c r="AO166" i="30"/>
  <c r="AS166" i="30"/>
  <c r="A167" i="30"/>
  <c r="E167" i="30"/>
  <c r="I167" i="30"/>
  <c r="M167" i="30"/>
  <c r="Q167" i="30"/>
  <c r="U167" i="30"/>
  <c r="Y167" i="30"/>
  <c r="AC167" i="30"/>
  <c r="AG167" i="30"/>
  <c r="AK167" i="30"/>
  <c r="AO167" i="30"/>
  <c r="AS167" i="30"/>
  <c r="A168" i="30"/>
  <c r="E168" i="30"/>
  <c r="I168" i="30"/>
  <c r="M168" i="30"/>
  <c r="Q168" i="30"/>
  <c r="U168" i="30"/>
  <c r="Y168" i="30"/>
  <c r="AC168" i="30"/>
  <c r="AG168" i="30"/>
  <c r="AK168" i="30"/>
  <c r="AO168" i="30"/>
  <c r="AS168" i="30"/>
  <c r="A169" i="30"/>
  <c r="E169" i="30"/>
  <c r="I169" i="30"/>
  <c r="M169" i="30"/>
  <c r="Q169" i="30"/>
  <c r="U169" i="30"/>
  <c r="Y169" i="30"/>
  <c r="AC169" i="30"/>
  <c r="AG169" i="30"/>
  <c r="AK169" i="30"/>
  <c r="AO169" i="30"/>
  <c r="AS169" i="30"/>
  <c r="A170" i="30"/>
  <c r="E170" i="30"/>
  <c r="I170" i="30"/>
  <c r="M170" i="30"/>
  <c r="Q170" i="30"/>
  <c r="U170" i="30"/>
  <c r="Y170" i="30"/>
  <c r="AC170" i="30"/>
  <c r="AG170" i="30"/>
  <c r="AK170" i="30"/>
  <c r="AO170" i="30"/>
  <c r="AS170" i="30"/>
  <c r="A171" i="30"/>
  <c r="E171" i="30"/>
  <c r="I171" i="30"/>
  <c r="M171" i="30"/>
  <c r="Q171" i="30"/>
  <c r="U171" i="30"/>
  <c r="Y171" i="30"/>
  <c r="AC171" i="30"/>
  <c r="AG171" i="30"/>
  <c r="AK171" i="30"/>
  <c r="AO171" i="30"/>
  <c r="AS171" i="30"/>
  <c r="A172" i="30"/>
  <c r="E172" i="30"/>
  <c r="I172" i="30"/>
  <c r="M172" i="30"/>
  <c r="Q172" i="30"/>
  <c r="U172" i="30"/>
  <c r="Y172" i="30"/>
  <c r="AC172" i="30"/>
  <c r="AG172" i="30"/>
  <c r="AK172" i="30"/>
  <c r="AO172" i="30"/>
  <c r="AS172" i="30"/>
  <c r="A173" i="30"/>
  <c r="E173" i="30"/>
  <c r="I173" i="30"/>
  <c r="M173" i="30"/>
  <c r="Q173" i="30"/>
  <c r="U173" i="30"/>
  <c r="Y173" i="30"/>
  <c r="AC173" i="30"/>
  <c r="AG173" i="30"/>
  <c r="AK173" i="30"/>
  <c r="AO173" i="30"/>
  <c r="AS173" i="30"/>
  <c r="A174" i="30"/>
  <c r="E174" i="30"/>
  <c r="I174" i="30"/>
  <c r="M174" i="30"/>
  <c r="Q174" i="30"/>
  <c r="U174" i="30"/>
  <c r="Y174" i="30"/>
  <c r="AC174" i="30"/>
  <c r="AG174" i="30"/>
  <c r="AK174" i="30"/>
  <c r="AO174" i="30"/>
  <c r="AS174" i="30"/>
  <c r="A175" i="30"/>
  <c r="E175" i="30"/>
  <c r="I175" i="30"/>
  <c r="M175" i="30"/>
  <c r="Q175" i="30"/>
  <c r="U175" i="30"/>
  <c r="Y175" i="30"/>
  <c r="AC175" i="30"/>
  <c r="AG175" i="30"/>
  <c r="AK175" i="30"/>
  <c r="AO175" i="30"/>
  <c r="AS175" i="30"/>
  <c r="A176" i="30"/>
  <c r="E176" i="30"/>
  <c r="I176" i="30"/>
  <c r="M176" i="30"/>
  <c r="Q176" i="30"/>
  <c r="U176" i="30"/>
  <c r="Y176" i="30"/>
  <c r="AC176" i="30"/>
  <c r="AG176" i="30"/>
  <c r="AK176" i="30"/>
  <c r="AO176" i="30"/>
  <c r="AS176" i="30"/>
  <c r="A177" i="30"/>
  <c r="E177" i="30"/>
  <c r="I177" i="30"/>
  <c r="M177" i="30"/>
  <c r="Q177" i="30"/>
  <c r="U177" i="30"/>
  <c r="Y177" i="30"/>
  <c r="AC177" i="30"/>
  <c r="AG177" i="30"/>
  <c r="AK177" i="30"/>
  <c r="AO177" i="30"/>
  <c r="AS177" i="30"/>
  <c r="A178" i="30"/>
  <c r="E178" i="30"/>
  <c r="I178" i="30"/>
  <c r="M178" i="30"/>
  <c r="Q178" i="30"/>
  <c r="U178" i="30"/>
  <c r="Y178" i="30"/>
  <c r="AC178" i="30"/>
  <c r="AG178" i="30"/>
  <c r="AK178" i="30"/>
  <c r="AO178" i="30"/>
  <c r="AS178" i="30"/>
  <c r="A179" i="30"/>
  <c r="E179" i="30"/>
  <c r="I179" i="30"/>
  <c r="M179" i="30"/>
  <c r="Q179" i="30"/>
  <c r="U179" i="30"/>
  <c r="Y179" i="30"/>
  <c r="AC179" i="30"/>
  <c r="AG179" i="30"/>
  <c r="AK179" i="30"/>
  <c r="AO179" i="30"/>
  <c r="AS179" i="30"/>
  <c r="A180" i="30"/>
  <c r="E180" i="30"/>
  <c r="I180" i="30"/>
  <c r="M180" i="30"/>
  <c r="Q180" i="30"/>
  <c r="U180" i="30"/>
  <c r="Y180" i="30"/>
  <c r="AC180" i="30"/>
  <c r="AG180" i="30"/>
  <c r="AK180" i="30"/>
  <c r="AO180" i="30"/>
  <c r="AS180" i="30"/>
  <c r="A181" i="30"/>
  <c r="E181" i="30"/>
  <c r="I181" i="30"/>
  <c r="M181" i="30"/>
  <c r="Q181" i="30"/>
  <c r="U181" i="30"/>
  <c r="Y181" i="30"/>
  <c r="AC181" i="30"/>
  <c r="AG181" i="30"/>
  <c r="AK181" i="30"/>
  <c r="AO181" i="30"/>
  <c r="AS181" i="30"/>
  <c r="A182" i="30"/>
  <c r="E182" i="30"/>
  <c r="I182" i="30"/>
  <c r="M182" i="30"/>
  <c r="Q182" i="30"/>
  <c r="U182" i="30"/>
  <c r="Y182" i="30"/>
  <c r="AC182" i="30"/>
  <c r="AG182" i="30"/>
  <c r="AK182" i="30"/>
  <c r="AO182" i="30"/>
  <c r="AS182" i="30"/>
  <c r="A183" i="30"/>
  <c r="E183" i="30"/>
  <c r="I183" i="30"/>
  <c r="M183" i="30"/>
  <c r="Q183" i="30"/>
  <c r="U183" i="30"/>
  <c r="Y183" i="30"/>
  <c r="AC183" i="30"/>
  <c r="AG183" i="30"/>
  <c r="AK183" i="30"/>
  <c r="AO183" i="30"/>
  <c r="AS183" i="30"/>
  <c r="A184" i="30"/>
  <c r="E184" i="30"/>
  <c r="I184" i="30"/>
  <c r="M184" i="30"/>
  <c r="Q184" i="30"/>
  <c r="U184" i="30"/>
  <c r="Y184" i="30"/>
  <c r="AC184" i="30"/>
  <c r="AG184" i="30"/>
  <c r="AK184" i="30"/>
  <c r="AO184" i="30"/>
  <c r="AS184" i="30"/>
  <c r="A185" i="30"/>
  <c r="E185" i="30"/>
  <c r="I185" i="30"/>
  <c r="M185" i="30"/>
  <c r="Q185" i="30"/>
  <c r="U185" i="30"/>
  <c r="Y185" i="30"/>
  <c r="AC185" i="30"/>
  <c r="AG185" i="30"/>
  <c r="AK185" i="30"/>
  <c r="AO185" i="30"/>
  <c r="AS185" i="30"/>
  <c r="A186" i="30"/>
  <c r="E186" i="30"/>
  <c r="I186" i="30"/>
  <c r="M186" i="30"/>
  <c r="Q186" i="30"/>
  <c r="U186" i="30"/>
  <c r="Y186" i="30"/>
  <c r="AC186" i="30"/>
  <c r="AG186" i="30"/>
  <c r="AK186" i="30"/>
  <c r="AO186" i="30"/>
  <c r="AS186" i="30"/>
  <c r="A187" i="30"/>
  <c r="E187" i="30"/>
  <c r="I187" i="30"/>
  <c r="M187" i="30"/>
  <c r="Q187" i="30"/>
  <c r="U187" i="30"/>
  <c r="Y187" i="30"/>
  <c r="AC187" i="30"/>
  <c r="AG187" i="30"/>
  <c r="AK187" i="30"/>
  <c r="AO187" i="30"/>
  <c r="AS187" i="30"/>
  <c r="A188" i="30"/>
  <c r="E188" i="30"/>
  <c r="I188" i="30"/>
  <c r="M188" i="30"/>
  <c r="Q188" i="30"/>
  <c r="U188" i="30"/>
  <c r="Y188" i="30"/>
  <c r="AC188" i="30"/>
  <c r="AG188" i="30"/>
  <c r="AK188" i="30"/>
  <c r="AO188" i="30"/>
  <c r="AS188" i="30"/>
  <c r="A189" i="30"/>
  <c r="E189" i="30"/>
  <c r="I189" i="30"/>
  <c r="M189" i="30"/>
  <c r="Q189" i="30"/>
  <c r="U189" i="30"/>
  <c r="Y189" i="30"/>
  <c r="AC189" i="30"/>
  <c r="AG189" i="30"/>
  <c r="AK189" i="30"/>
  <c r="AO189" i="30"/>
  <c r="AS189" i="30"/>
  <c r="A190" i="30"/>
  <c r="E190" i="30"/>
  <c r="I190" i="30"/>
  <c r="M190" i="30"/>
  <c r="Q190" i="30"/>
  <c r="U190" i="30"/>
  <c r="Y190" i="30"/>
  <c r="AC190" i="30"/>
  <c r="AG190" i="30"/>
  <c r="AK190" i="30"/>
  <c r="AO190" i="30"/>
  <c r="AS190" i="30"/>
  <c r="A191" i="30"/>
  <c r="E191" i="30"/>
  <c r="I191" i="30"/>
  <c r="M191" i="30"/>
  <c r="Q191" i="30"/>
  <c r="U191" i="30"/>
  <c r="Y191" i="30"/>
  <c r="AC191" i="30"/>
  <c r="AG191" i="30"/>
  <c r="AK191" i="30"/>
  <c r="AO191" i="30"/>
  <c r="AS191" i="30"/>
  <c r="A192" i="30"/>
  <c r="E192" i="30"/>
  <c r="I192" i="30"/>
  <c r="M192" i="30"/>
  <c r="Q192" i="30"/>
  <c r="U192" i="30"/>
  <c r="Y192" i="30"/>
  <c r="AC192" i="30"/>
  <c r="AG192" i="30"/>
  <c r="AK192" i="30"/>
  <c r="AO192" i="30"/>
  <c r="AS192" i="30"/>
  <c r="A193" i="30"/>
  <c r="E193" i="30"/>
  <c r="I193" i="30"/>
  <c r="M193" i="30"/>
  <c r="Q193" i="30"/>
  <c r="U193" i="30"/>
  <c r="Y193" i="30"/>
  <c r="AC193" i="30"/>
  <c r="AG193" i="30"/>
  <c r="AK193" i="30"/>
  <c r="AO193" i="30"/>
  <c r="AS193" i="30"/>
  <c r="A194" i="30"/>
  <c r="E194" i="30"/>
  <c r="I194" i="30"/>
  <c r="M194" i="30"/>
  <c r="Q194" i="30"/>
  <c r="U194" i="30"/>
  <c r="Y194" i="30"/>
  <c r="AC194" i="30"/>
  <c r="AG194" i="30"/>
  <c r="AK194" i="30"/>
  <c r="AO194" i="30"/>
  <c r="AS194" i="30"/>
  <c r="A195" i="30"/>
  <c r="E195" i="30"/>
  <c r="I195" i="30"/>
  <c r="M195" i="30"/>
  <c r="Q195" i="30"/>
  <c r="U195" i="30"/>
  <c r="Y195" i="30"/>
  <c r="AC195" i="30"/>
  <c r="AG195" i="30"/>
  <c r="AK195" i="30"/>
  <c r="AO195" i="30"/>
  <c r="AS195" i="30"/>
  <c r="A196" i="30"/>
  <c r="E196" i="30"/>
  <c r="I196" i="30"/>
  <c r="M196" i="30"/>
  <c r="Q196" i="30"/>
  <c r="U196" i="30"/>
  <c r="Y196" i="30"/>
  <c r="AC196" i="30"/>
  <c r="AG196" i="30"/>
  <c r="AK196" i="30"/>
  <c r="AO196" i="30"/>
  <c r="AS196" i="30"/>
  <c r="A197" i="30"/>
  <c r="E197" i="30"/>
  <c r="I197" i="30"/>
  <c r="M197" i="30"/>
  <c r="Q197" i="30"/>
  <c r="U197" i="30"/>
  <c r="Y197" i="30"/>
  <c r="AC197" i="30"/>
  <c r="AG197" i="30"/>
  <c r="AK197" i="30"/>
  <c r="AO197" i="30"/>
  <c r="AS197" i="30"/>
  <c r="A198" i="30"/>
  <c r="E198" i="30"/>
  <c r="I198" i="30"/>
  <c r="M198" i="30"/>
  <c r="Q198" i="30"/>
  <c r="U198" i="30"/>
  <c r="Y198" i="30"/>
  <c r="AC198" i="30"/>
  <c r="AG198" i="30"/>
  <c r="AK198" i="30"/>
  <c r="AO198" i="30"/>
  <c r="AS198" i="30"/>
  <c r="A199" i="30"/>
  <c r="E199" i="30"/>
  <c r="I199" i="30"/>
  <c r="M199" i="30"/>
  <c r="Q199" i="30"/>
  <c r="U199" i="30"/>
  <c r="Y199" i="30"/>
  <c r="AC199" i="30"/>
  <c r="AG199" i="30"/>
  <c r="AK199" i="30"/>
  <c r="AO199" i="30"/>
  <c r="AS199" i="30"/>
  <c r="A200" i="30"/>
  <c r="E200" i="30"/>
  <c r="I200" i="30"/>
  <c r="M200" i="30"/>
  <c r="Q200" i="30"/>
  <c r="U200" i="30"/>
  <c r="Y200" i="30"/>
  <c r="AC200" i="30"/>
  <c r="AG200" i="30"/>
  <c r="AK200" i="30"/>
  <c r="AO200" i="30"/>
  <c r="AS200" i="30"/>
  <c r="A201" i="30"/>
  <c r="E201" i="30"/>
  <c r="I201" i="30"/>
  <c r="M201" i="30"/>
  <c r="Q201" i="30"/>
  <c r="U201" i="30"/>
  <c r="Y201" i="30"/>
  <c r="AC201" i="30"/>
  <c r="AG201" i="30"/>
  <c r="AK201" i="30"/>
  <c r="AO201" i="30"/>
  <c r="AS201" i="30"/>
  <c r="A202" i="30"/>
  <c r="E202" i="30"/>
  <c r="I202" i="30"/>
  <c r="M202" i="30"/>
  <c r="Q202" i="30"/>
  <c r="U202" i="30"/>
  <c r="Y202" i="30"/>
  <c r="AC202" i="30"/>
  <c r="AG202" i="30"/>
  <c r="AK202" i="30"/>
  <c r="AO202" i="30"/>
  <c r="AS202" i="30"/>
  <c r="A203" i="30"/>
  <c r="E203" i="30"/>
  <c r="I203" i="30"/>
  <c r="M203" i="30"/>
  <c r="Q203" i="30"/>
  <c r="U203" i="30"/>
  <c r="Y203" i="30"/>
  <c r="AC203" i="30"/>
  <c r="AG203" i="30"/>
  <c r="AK203" i="30"/>
  <c r="AO203" i="30"/>
  <c r="AS203" i="30"/>
  <c r="A204" i="30"/>
  <c r="E204" i="30"/>
  <c r="I204" i="30"/>
  <c r="M204" i="30"/>
  <c r="Q204" i="30"/>
  <c r="U204" i="30"/>
  <c r="Y204" i="30"/>
  <c r="AC204" i="30"/>
  <c r="AG204" i="30"/>
  <c r="AK204" i="30"/>
  <c r="AO204" i="30"/>
  <c r="AS204" i="30"/>
  <c r="A205" i="30"/>
  <c r="E205" i="30"/>
  <c r="I205" i="30"/>
  <c r="M205" i="30"/>
  <c r="Q205" i="30"/>
  <c r="U205" i="30"/>
  <c r="Y205" i="30"/>
  <c r="AC205" i="30"/>
  <c r="AG205" i="30"/>
  <c r="AK205" i="30"/>
  <c r="AO205" i="30"/>
  <c r="AS205" i="30"/>
  <c r="A206" i="30"/>
  <c r="E206" i="30"/>
  <c r="I206" i="30"/>
  <c r="M206" i="30"/>
  <c r="Q206" i="30"/>
  <c r="U206" i="30"/>
  <c r="Y206" i="30"/>
  <c r="AC206" i="30"/>
  <c r="AG206" i="30"/>
  <c r="AK206" i="30"/>
  <c r="AO206" i="30"/>
  <c r="AS206" i="30"/>
  <c r="A207" i="30"/>
  <c r="E207" i="30"/>
  <c r="I207" i="30"/>
  <c r="M207" i="30"/>
  <c r="Q207" i="30"/>
  <c r="U207" i="30"/>
  <c r="Y207" i="30"/>
  <c r="AC207" i="30"/>
  <c r="AG207" i="30"/>
  <c r="AK207" i="30"/>
  <c r="AO207" i="30"/>
  <c r="AS207" i="30"/>
  <c r="A208" i="30"/>
  <c r="E208" i="30"/>
  <c r="I208" i="30"/>
  <c r="M208" i="30"/>
  <c r="Q208" i="30"/>
  <c r="U208" i="30"/>
  <c r="Y208" i="30"/>
  <c r="AC208" i="30"/>
  <c r="AG208" i="30"/>
  <c r="AK208" i="30"/>
  <c r="AO208" i="30"/>
  <c r="AS208" i="30"/>
  <c r="A209" i="30"/>
  <c r="E209" i="30"/>
  <c r="I209" i="30"/>
  <c r="M209" i="30"/>
  <c r="Q209" i="30"/>
  <c r="U209" i="30"/>
  <c r="Y209" i="30"/>
  <c r="AC209" i="30"/>
  <c r="AG209" i="30"/>
  <c r="AK209" i="30"/>
  <c r="AO209" i="30"/>
  <c r="AS209" i="30"/>
  <c r="A210" i="30"/>
  <c r="E210" i="30"/>
  <c r="I210" i="30"/>
  <c r="M210" i="30"/>
  <c r="Q210" i="30"/>
  <c r="U210" i="30"/>
  <c r="Y210" i="30"/>
  <c r="AC210" i="30"/>
  <c r="AG210" i="30"/>
  <c r="AK210" i="30"/>
  <c r="AO210" i="30"/>
  <c r="AS210" i="30"/>
  <c r="A211" i="30"/>
  <c r="E211" i="30"/>
  <c r="I211" i="30"/>
  <c r="M211" i="30"/>
  <c r="Q211" i="30"/>
  <c r="U211" i="30"/>
  <c r="Y211" i="30"/>
  <c r="AC211" i="30"/>
  <c r="AG211" i="30"/>
  <c r="AK211" i="30"/>
  <c r="AO211" i="30"/>
  <c r="AS211" i="30"/>
  <c r="A212" i="30"/>
  <c r="E212" i="30"/>
  <c r="I212" i="30"/>
  <c r="M212" i="30"/>
  <c r="Q212" i="30"/>
  <c r="U212" i="30"/>
  <c r="Y212" i="30"/>
  <c r="AC212" i="30"/>
  <c r="AG212" i="30"/>
  <c r="AK212" i="30"/>
  <c r="AO212" i="30"/>
  <c r="AS212" i="30"/>
  <c r="A213" i="30"/>
  <c r="E213" i="30"/>
  <c r="I213" i="30"/>
  <c r="M213" i="30"/>
  <c r="Q213" i="30"/>
  <c r="U213" i="30"/>
  <c r="Y213" i="30"/>
  <c r="AC213" i="30"/>
  <c r="AG213" i="30"/>
  <c r="AK213" i="30"/>
  <c r="AO213" i="30"/>
  <c r="AS213" i="30"/>
  <c r="A214" i="30"/>
  <c r="E214" i="30"/>
  <c r="I214" i="30"/>
  <c r="M214" i="30"/>
  <c r="Q214" i="30"/>
  <c r="U214" i="30"/>
  <c r="Y214" i="30"/>
  <c r="AC214" i="30"/>
  <c r="AG214" i="30"/>
  <c r="AK214" i="30"/>
  <c r="AO214" i="30"/>
  <c r="AS214" i="30"/>
  <c r="A215" i="30"/>
  <c r="E215" i="30"/>
  <c r="I215" i="30"/>
  <c r="M215" i="30"/>
  <c r="Q215" i="30"/>
  <c r="U215" i="30"/>
  <c r="Y215" i="30"/>
  <c r="AC215" i="30"/>
  <c r="AG215" i="30"/>
  <c r="AK215" i="30"/>
  <c r="AO215" i="30"/>
  <c r="AS215" i="30"/>
  <c r="A216" i="30"/>
  <c r="E216" i="30"/>
  <c r="I216" i="30"/>
  <c r="M216" i="30"/>
  <c r="Q216" i="30"/>
  <c r="U216" i="30"/>
  <c r="Y216" i="30"/>
  <c r="AC216" i="30"/>
  <c r="AG216" i="30"/>
  <c r="AK216" i="30"/>
  <c r="AO216" i="30"/>
  <c r="AS216" i="30"/>
  <c r="A217" i="30"/>
  <c r="E217" i="30"/>
  <c r="I217" i="30"/>
  <c r="M217" i="30"/>
  <c r="Q217" i="30"/>
  <c r="U217" i="30"/>
  <c r="Y217" i="30"/>
  <c r="AC217" i="30"/>
  <c r="AG217" i="30"/>
  <c r="AK217" i="30"/>
  <c r="AO217" i="30"/>
  <c r="AS217" i="30"/>
  <c r="A218" i="30"/>
  <c r="E218" i="30"/>
  <c r="I218" i="30"/>
  <c r="M218" i="30"/>
  <c r="Q218" i="30"/>
  <c r="U218" i="30"/>
  <c r="Y218" i="30"/>
  <c r="AC218" i="30"/>
  <c r="AG218" i="30"/>
  <c r="AK218" i="30"/>
  <c r="AO218" i="30"/>
  <c r="AS218" i="30"/>
  <c r="A219" i="30"/>
  <c r="E219" i="30"/>
  <c r="I219" i="30"/>
  <c r="M219" i="30"/>
  <c r="Q219" i="30"/>
  <c r="U219" i="30"/>
  <c r="Y219" i="30"/>
  <c r="AC219" i="30"/>
  <c r="AG219" i="30"/>
  <c r="AK219" i="30"/>
  <c r="AO219" i="30"/>
  <c r="AS219" i="30"/>
  <c r="A220" i="30"/>
  <c r="E220" i="30"/>
  <c r="I220" i="30"/>
  <c r="M220" i="30"/>
  <c r="Q220" i="30"/>
  <c r="U220" i="30"/>
  <c r="Y220" i="30"/>
  <c r="AC220" i="30"/>
  <c r="AG220" i="30"/>
  <c r="AK220" i="30"/>
  <c r="AO220" i="30"/>
  <c r="AS220" i="30"/>
  <c r="A221" i="30"/>
  <c r="E221" i="30"/>
  <c r="I221" i="30"/>
  <c r="M221" i="30"/>
  <c r="Q221" i="30"/>
  <c r="U221" i="30"/>
  <c r="Y221" i="30"/>
  <c r="AC221" i="30"/>
  <c r="AG221" i="30"/>
  <c r="AK221" i="30"/>
  <c r="AO221" i="30"/>
  <c r="AS221" i="30"/>
  <c r="A222" i="30"/>
  <c r="E222" i="30"/>
  <c r="I222" i="30"/>
  <c r="M222" i="30"/>
  <c r="Q222" i="30"/>
  <c r="U222" i="30"/>
  <c r="Y222" i="30"/>
  <c r="AC222" i="30"/>
  <c r="AG222" i="30"/>
  <c r="AK222" i="30"/>
  <c r="AO222" i="30"/>
  <c r="AS222" i="30"/>
  <c r="A223" i="30"/>
  <c r="E223" i="30"/>
  <c r="I223" i="30"/>
  <c r="M223" i="30"/>
  <c r="Q223" i="30"/>
  <c r="U223" i="30"/>
  <c r="Y223" i="30"/>
  <c r="AC223" i="30"/>
  <c r="AG223" i="30"/>
  <c r="AK223" i="30"/>
  <c r="AO223" i="30"/>
  <c r="AS223" i="30"/>
  <c r="A224" i="30"/>
  <c r="E224" i="30"/>
  <c r="I224" i="30"/>
  <c r="M224" i="30"/>
  <c r="Q224" i="30"/>
  <c r="U224" i="30"/>
  <c r="Y224" i="30"/>
  <c r="AC224" i="30"/>
  <c r="AG224" i="30"/>
  <c r="AK224" i="30"/>
  <c r="AO224" i="30"/>
  <c r="AS224" i="30"/>
  <c r="A225" i="30"/>
  <c r="E225" i="30"/>
  <c r="I225" i="30"/>
  <c r="M225" i="30"/>
  <c r="Q225" i="30"/>
  <c r="U225" i="30"/>
  <c r="Y225" i="30"/>
  <c r="AC225" i="30"/>
  <c r="AG225" i="30"/>
  <c r="AK225" i="30"/>
  <c r="AO225" i="30"/>
  <c r="AS225" i="30"/>
  <c r="A226" i="30"/>
  <c r="E226" i="30"/>
  <c r="I226" i="30"/>
  <c r="M226" i="30"/>
  <c r="Q226" i="30"/>
  <c r="U226" i="30"/>
  <c r="Y226" i="30"/>
  <c r="AC226" i="30"/>
  <c r="AG226" i="30"/>
  <c r="AK226" i="30"/>
  <c r="AO226" i="30"/>
  <c r="AS226" i="30"/>
  <c r="A227" i="30"/>
  <c r="E227" i="30"/>
  <c r="I227" i="30"/>
  <c r="M227" i="30"/>
  <c r="Q227" i="30"/>
  <c r="U227" i="30"/>
  <c r="Y227" i="30"/>
  <c r="AC227" i="30"/>
  <c r="AG227" i="30"/>
  <c r="AK227" i="30"/>
  <c r="AO227" i="30"/>
  <c r="AS227" i="30"/>
  <c r="A228" i="30"/>
  <c r="E228" i="30"/>
  <c r="I228" i="30"/>
  <c r="M228" i="30"/>
  <c r="Q228" i="30"/>
  <c r="U228" i="30"/>
  <c r="Y228" i="30"/>
  <c r="AC228" i="30"/>
  <c r="AG228" i="30"/>
  <c r="AK228" i="30"/>
  <c r="AO228" i="30"/>
  <c r="AS228" i="30"/>
  <c r="A229" i="30"/>
  <c r="E229" i="30"/>
  <c r="I229" i="30"/>
  <c r="M229" i="30"/>
  <c r="Q229" i="30"/>
  <c r="U229" i="30"/>
  <c r="Y229" i="30"/>
  <c r="AC229" i="30"/>
  <c r="AG229" i="30"/>
  <c r="AK229" i="30"/>
  <c r="AO229" i="30"/>
  <c r="AS229" i="30"/>
  <c r="A230" i="30"/>
  <c r="E230" i="30"/>
  <c r="I230" i="30"/>
  <c r="M230" i="30"/>
  <c r="Q230" i="30"/>
  <c r="U230" i="30"/>
  <c r="Y230" i="30"/>
  <c r="AC230" i="30"/>
  <c r="AG230" i="30"/>
  <c r="AK230" i="30"/>
  <c r="AO230" i="30"/>
  <c r="AS230" i="30"/>
  <c r="A231" i="30"/>
  <c r="E231" i="30"/>
  <c r="I231" i="30"/>
  <c r="M231" i="30"/>
  <c r="Q231" i="30"/>
  <c r="U231" i="30"/>
  <c r="Y231" i="30"/>
  <c r="AC231" i="30"/>
  <c r="AG231" i="30"/>
  <c r="AK231" i="30"/>
  <c r="AO231" i="30"/>
  <c r="AS231" i="30"/>
  <c r="A232" i="30"/>
  <c r="E232" i="30"/>
  <c r="I232" i="30"/>
  <c r="M232" i="30"/>
  <c r="Q232" i="30"/>
  <c r="U232" i="30"/>
  <c r="Y232" i="30"/>
  <c r="AC232" i="30"/>
  <c r="AG232" i="30"/>
  <c r="AK232" i="30"/>
  <c r="AO232" i="30"/>
  <c r="AS232" i="30"/>
  <c r="A233" i="30"/>
  <c r="E233" i="30"/>
  <c r="I233" i="30"/>
  <c r="M233" i="30"/>
  <c r="Q233" i="30"/>
  <c r="U233" i="30"/>
  <c r="Y233" i="30"/>
  <c r="AC233" i="30"/>
  <c r="AG233" i="30"/>
  <c r="AK233" i="30"/>
  <c r="AO233" i="30"/>
  <c r="AS233" i="30"/>
  <c r="A234" i="30"/>
  <c r="E234" i="30"/>
  <c r="I234" i="30"/>
  <c r="M234" i="30"/>
  <c r="Q234" i="30"/>
  <c r="U234" i="30"/>
  <c r="Y234" i="30"/>
  <c r="AC234" i="30"/>
  <c r="AG234" i="30"/>
  <c r="AK234" i="30"/>
  <c r="AO234" i="30"/>
  <c r="AS234" i="30"/>
  <c r="A235" i="30"/>
  <c r="E235" i="30"/>
  <c r="I235" i="30"/>
  <c r="M235" i="30"/>
  <c r="Q235" i="30"/>
  <c r="U235" i="30"/>
  <c r="Y235" i="30"/>
  <c r="AC235" i="30"/>
  <c r="AG235" i="30"/>
  <c r="AK235" i="30"/>
  <c r="AO235" i="30"/>
  <c r="AS235" i="30"/>
  <c r="A236" i="30"/>
  <c r="E236" i="30"/>
  <c r="I236" i="30"/>
  <c r="M236" i="30"/>
  <c r="Q236" i="30"/>
  <c r="U236" i="30"/>
  <c r="Y236" i="30"/>
  <c r="AC236" i="30"/>
  <c r="AG236" i="30"/>
  <c r="AK236" i="30"/>
  <c r="AO236" i="30"/>
  <c r="AS236" i="30"/>
  <c r="A237" i="30"/>
  <c r="E237" i="30"/>
  <c r="I237" i="30"/>
  <c r="M237" i="30"/>
  <c r="Q237" i="30"/>
  <c r="U237" i="30"/>
  <c r="Y237" i="30"/>
  <c r="AC237" i="30"/>
  <c r="AG237" i="30"/>
  <c r="AK237" i="30"/>
  <c r="AO237" i="30"/>
  <c r="AS237" i="30"/>
  <c r="A238" i="30"/>
  <c r="E238" i="30"/>
  <c r="I238" i="30"/>
  <c r="M238" i="30"/>
  <c r="Q238" i="30"/>
  <c r="U238" i="30"/>
  <c r="Y238" i="30"/>
  <c r="AC238" i="30"/>
  <c r="AG238" i="30"/>
  <c r="AK238" i="30"/>
  <c r="AO238" i="30"/>
  <c r="AS238" i="30"/>
  <c r="A239" i="30"/>
  <c r="E239" i="30"/>
  <c r="I239" i="30"/>
  <c r="M239" i="30"/>
  <c r="Q239" i="30"/>
  <c r="U239" i="30"/>
  <c r="Y239" i="30"/>
  <c r="AC239" i="30"/>
  <c r="AG239" i="30"/>
  <c r="AK239" i="30"/>
  <c r="AO239" i="30"/>
  <c r="AS239" i="30"/>
  <c r="A240" i="30"/>
  <c r="E240" i="30"/>
  <c r="I240" i="30"/>
  <c r="M240" i="30"/>
  <c r="Q240" i="30"/>
  <c r="U240" i="30"/>
  <c r="Y240" i="30"/>
  <c r="AC240" i="30"/>
  <c r="AG240" i="30"/>
  <c r="AK240" i="30"/>
  <c r="AO240" i="30"/>
  <c r="AS240" i="30"/>
  <c r="A241" i="30"/>
  <c r="E241" i="30"/>
  <c r="I241" i="30"/>
  <c r="M241" i="30"/>
  <c r="Q241" i="30"/>
  <c r="U241" i="30"/>
  <c r="Y241" i="30"/>
  <c r="AC241" i="30"/>
  <c r="AG241" i="30"/>
  <c r="AK241" i="30"/>
  <c r="AO241" i="30"/>
  <c r="AS241" i="30"/>
  <c r="A242" i="30"/>
  <c r="E242" i="30"/>
  <c r="I242" i="30"/>
  <c r="M242" i="30"/>
  <c r="Q242" i="30"/>
  <c r="U242" i="30"/>
  <c r="Y242" i="30"/>
  <c r="AC242" i="30"/>
  <c r="AG242" i="30"/>
  <c r="AK242" i="30"/>
  <c r="AO242" i="30"/>
  <c r="AS242" i="30"/>
  <c r="A243" i="30"/>
  <c r="E243" i="30"/>
  <c r="I243" i="30"/>
  <c r="M243" i="30"/>
  <c r="Q243" i="30"/>
  <c r="U243" i="30"/>
  <c r="Y243" i="30"/>
  <c r="AC243" i="30"/>
  <c r="AG243" i="30"/>
  <c r="AK243" i="30"/>
  <c r="AO243" i="30"/>
  <c r="AS243" i="30"/>
  <c r="A244" i="30"/>
  <c r="E244" i="30"/>
  <c r="I244" i="30"/>
  <c r="M244" i="30"/>
  <c r="Q244" i="30"/>
  <c r="U244" i="30"/>
  <c r="Y244" i="30"/>
  <c r="AC244" i="30"/>
  <c r="AG244" i="30"/>
  <c r="AK244" i="30"/>
  <c r="AO244" i="30"/>
  <c r="AS244" i="30"/>
  <c r="A245" i="30"/>
  <c r="E245" i="30"/>
  <c r="I245" i="30"/>
  <c r="M245" i="30"/>
  <c r="Q245" i="30"/>
  <c r="U245" i="30"/>
  <c r="Y245" i="30"/>
  <c r="AC245" i="30"/>
  <c r="AG245" i="30"/>
  <c r="AK245" i="30"/>
  <c r="AO245" i="30"/>
  <c r="AS245" i="30"/>
  <c r="A246" i="30"/>
  <c r="E246" i="30"/>
  <c r="I246" i="30"/>
  <c r="M246" i="30"/>
  <c r="Q246" i="30"/>
  <c r="U246" i="30"/>
  <c r="Y246" i="30"/>
  <c r="AC246" i="30"/>
  <c r="AG246" i="30"/>
  <c r="AK246" i="30"/>
  <c r="AO246" i="30"/>
  <c r="AS246" i="30"/>
  <c r="A247" i="30"/>
  <c r="E247" i="30"/>
  <c r="I247" i="30"/>
  <c r="M247" i="30"/>
  <c r="Q247" i="30"/>
  <c r="U247" i="30"/>
  <c r="Y247" i="30"/>
  <c r="AC247" i="30"/>
  <c r="AG247" i="30"/>
  <c r="AK247" i="30"/>
  <c r="AO247" i="30"/>
  <c r="AS247" i="30"/>
  <c r="A248" i="30"/>
  <c r="E248" i="30"/>
  <c r="I248" i="30"/>
  <c r="M248" i="30"/>
  <c r="Q248" i="30"/>
  <c r="U248" i="30"/>
  <c r="Y248" i="30"/>
  <c r="AC248" i="30"/>
  <c r="AG248" i="30"/>
  <c r="AK248" i="30"/>
  <c r="AO248" i="30"/>
  <c r="AS248" i="30"/>
  <c r="A249" i="30"/>
  <c r="E249" i="30"/>
  <c r="I249" i="30"/>
  <c r="M249" i="30"/>
  <c r="Q249" i="30"/>
  <c r="U249" i="30"/>
  <c r="Y249" i="30"/>
  <c r="AC249" i="30"/>
  <c r="AG249" i="30"/>
  <c r="AK249" i="30"/>
  <c r="AO249" i="30"/>
  <c r="AS249" i="30"/>
  <c r="A250" i="30"/>
  <c r="E250" i="30"/>
  <c r="I250" i="30"/>
  <c r="M250" i="30"/>
  <c r="Q250" i="30"/>
  <c r="U250" i="30"/>
  <c r="Y250" i="30"/>
  <c r="AC250" i="30"/>
  <c r="AG250" i="30"/>
  <c r="AK250" i="30"/>
  <c r="AO250" i="30"/>
  <c r="AS250" i="30"/>
  <c r="A251" i="30"/>
  <c r="E251" i="30"/>
  <c r="I251" i="30"/>
  <c r="M251" i="30"/>
  <c r="Q251" i="30"/>
  <c r="U251" i="30"/>
  <c r="Y251" i="30"/>
  <c r="AC251" i="30"/>
  <c r="AG251" i="30"/>
  <c r="AK251" i="30"/>
  <c r="AO251" i="30"/>
  <c r="AS251" i="30"/>
  <c r="A252" i="30"/>
  <c r="E252" i="30"/>
  <c r="I252" i="30"/>
  <c r="M252" i="30"/>
  <c r="Q252" i="30"/>
  <c r="U252" i="30"/>
  <c r="Y252" i="30"/>
  <c r="AC252" i="30"/>
  <c r="AG252" i="30"/>
  <c r="AK252" i="30"/>
  <c r="AO252" i="30"/>
  <c r="AS252" i="30"/>
  <c r="A253" i="30"/>
  <c r="E253" i="30"/>
  <c r="I253" i="30"/>
  <c r="M253" i="30"/>
  <c r="Q253" i="30"/>
  <c r="U253" i="30"/>
  <c r="Y253" i="30"/>
  <c r="AC253" i="30"/>
  <c r="AG253" i="30"/>
  <c r="AK253" i="30"/>
  <c r="AO253" i="30"/>
  <c r="AS253" i="30"/>
  <c r="A254" i="30"/>
  <c r="E254" i="30"/>
  <c r="I254" i="30"/>
  <c r="M254" i="30"/>
  <c r="Q254" i="30"/>
  <c r="U254" i="30"/>
  <c r="Y254" i="30"/>
  <c r="AC254" i="30"/>
  <c r="AG254" i="30"/>
  <c r="AK254" i="30"/>
  <c r="AO254" i="30"/>
  <c r="AS254" i="30"/>
  <c r="A255" i="30"/>
  <c r="E255" i="30"/>
  <c r="I255" i="30"/>
  <c r="M255" i="30"/>
  <c r="Q255" i="30"/>
  <c r="U255" i="30"/>
  <c r="Y255" i="30"/>
  <c r="AC255" i="30"/>
  <c r="AG255" i="30"/>
  <c r="AK255" i="30"/>
  <c r="AO255" i="30"/>
  <c r="AS255" i="30"/>
  <c r="A256" i="30"/>
  <c r="E256" i="30"/>
  <c r="I256" i="30"/>
  <c r="M256" i="30"/>
  <c r="Q256" i="30"/>
  <c r="U256" i="30"/>
  <c r="Y256" i="30"/>
  <c r="AC256" i="30"/>
  <c r="AG256" i="30"/>
  <c r="AK256" i="30"/>
  <c r="AO256" i="30"/>
  <c r="AS256" i="30"/>
  <c r="A257" i="30"/>
  <c r="E257" i="30"/>
  <c r="I257" i="30"/>
  <c r="M257" i="30"/>
  <c r="Q257" i="30"/>
  <c r="U257" i="30"/>
  <c r="Y257" i="30"/>
  <c r="AC257" i="30"/>
  <c r="AG257" i="30"/>
  <c r="AK257" i="30"/>
  <c r="AO257" i="30"/>
  <c r="AS257" i="30"/>
  <c r="A258" i="30"/>
  <c r="E258" i="30"/>
  <c r="I258" i="30"/>
  <c r="M258" i="30"/>
  <c r="Q258" i="30"/>
  <c r="U258" i="30"/>
  <c r="Y258" i="30"/>
  <c r="AC258" i="30"/>
  <c r="AG258" i="30"/>
  <c r="AK258" i="30"/>
  <c r="AO258" i="30"/>
  <c r="AS258" i="30"/>
  <c r="A259" i="30"/>
  <c r="E259" i="30"/>
  <c r="I259" i="30"/>
  <c r="M259" i="30"/>
  <c r="Q259" i="30"/>
  <c r="U259" i="30"/>
  <c r="Y259" i="30"/>
  <c r="AC259" i="30"/>
  <c r="AG259" i="30"/>
  <c r="AK259" i="30"/>
  <c r="AO259" i="30"/>
  <c r="AS259" i="30"/>
  <c r="A260" i="30"/>
  <c r="E260" i="30"/>
  <c r="I260" i="30"/>
  <c r="M260" i="30"/>
  <c r="Q260" i="30"/>
  <c r="U260" i="30"/>
  <c r="Y260" i="30"/>
  <c r="AC260" i="30"/>
  <c r="AG260" i="30"/>
  <c r="AK260" i="30"/>
  <c r="AO260" i="30"/>
  <c r="AS260" i="30"/>
  <c r="A261" i="30"/>
  <c r="E261" i="30"/>
  <c r="I261" i="30"/>
  <c r="M261" i="30"/>
  <c r="Q261" i="30"/>
  <c r="U261" i="30"/>
  <c r="Y261" i="30"/>
  <c r="AC261" i="30"/>
  <c r="AG261" i="30"/>
  <c r="AK261" i="30"/>
  <c r="AO261" i="30"/>
  <c r="AS261" i="30"/>
  <c r="A262" i="30"/>
  <c r="E262" i="30"/>
  <c r="I262" i="30"/>
  <c r="M262" i="30"/>
  <c r="Q262" i="30"/>
  <c r="U262" i="30"/>
  <c r="Y262" i="30"/>
  <c r="AC262" i="30"/>
  <c r="AG262" i="30"/>
  <c r="AK262" i="30"/>
  <c r="AO262" i="30"/>
  <c r="AS262" i="30"/>
  <c r="A263" i="30"/>
  <c r="E263" i="30"/>
  <c r="I263" i="30"/>
  <c r="M263" i="30"/>
  <c r="Q263" i="30"/>
  <c r="U263" i="30"/>
  <c r="Y263" i="30"/>
  <c r="AC263" i="30"/>
  <c r="AG263" i="30"/>
  <c r="AK263" i="30"/>
  <c r="AO263" i="30"/>
  <c r="AS263" i="30"/>
  <c r="A264" i="30"/>
  <c r="E264" i="30"/>
  <c r="I264" i="30"/>
  <c r="M264" i="30"/>
  <c r="Q264" i="30"/>
  <c r="U264" i="30"/>
  <c r="Y264" i="30"/>
  <c r="AC264" i="30"/>
  <c r="AG264" i="30"/>
  <c r="AK264" i="30"/>
  <c r="AO264" i="30"/>
  <c r="AS264" i="30"/>
  <c r="A265" i="30"/>
  <c r="E265" i="30"/>
  <c r="I265" i="30"/>
  <c r="M265" i="30"/>
  <c r="Q265" i="30"/>
  <c r="U265" i="30"/>
  <c r="Y265" i="30"/>
  <c r="AC265" i="30"/>
  <c r="AG265" i="30"/>
  <c r="AK265" i="30"/>
  <c r="AO265" i="30"/>
  <c r="AS265" i="30"/>
  <c r="A266" i="30"/>
  <c r="E266" i="30"/>
  <c r="I266" i="30"/>
  <c r="M266" i="30"/>
  <c r="Q266" i="30"/>
  <c r="U266" i="30"/>
  <c r="Y266" i="30"/>
  <c r="AC266" i="30"/>
  <c r="AG266" i="30"/>
  <c r="AK266" i="30"/>
  <c r="AO266" i="30"/>
  <c r="AS266" i="30"/>
  <c r="A267" i="30"/>
  <c r="E267" i="30"/>
  <c r="I267" i="30"/>
  <c r="M267" i="30"/>
  <c r="Q267" i="30"/>
  <c r="U267" i="30"/>
  <c r="Y267" i="30"/>
  <c r="AC267" i="30"/>
  <c r="AG267" i="30"/>
  <c r="AK267" i="30"/>
  <c r="AO267" i="30"/>
  <c r="AS267" i="30"/>
  <c r="A268" i="30"/>
  <c r="E268" i="30"/>
  <c r="I268" i="30"/>
  <c r="M268" i="30"/>
  <c r="Q268" i="30"/>
  <c r="U268" i="30"/>
  <c r="Y268" i="30"/>
  <c r="AC268" i="30"/>
  <c r="AG268" i="30"/>
  <c r="AK268" i="30"/>
  <c r="AO268" i="30"/>
  <c r="AS268" i="30"/>
  <c r="A269" i="30"/>
  <c r="E269" i="30"/>
  <c r="I269" i="30"/>
  <c r="M269" i="30"/>
  <c r="Q269" i="30"/>
  <c r="U269" i="30"/>
  <c r="Y269" i="30"/>
  <c r="AC269" i="30"/>
  <c r="AG269" i="30"/>
  <c r="AK269" i="30"/>
  <c r="AO269" i="30"/>
  <c r="AS269" i="30"/>
  <c r="A270" i="30"/>
  <c r="E270" i="30"/>
  <c r="I270" i="30"/>
  <c r="M270" i="30"/>
  <c r="Q270" i="30"/>
  <c r="U270" i="30"/>
  <c r="Y270" i="30"/>
  <c r="AC270" i="30"/>
  <c r="AG270" i="30"/>
  <c r="AK270" i="30"/>
  <c r="AO270" i="30"/>
  <c r="AS270" i="30"/>
  <c r="A271" i="30"/>
  <c r="E271" i="30"/>
  <c r="I271" i="30"/>
  <c r="M271" i="30"/>
  <c r="Q271" i="30"/>
  <c r="U271" i="30"/>
  <c r="Y271" i="30"/>
  <c r="AC271" i="30"/>
  <c r="AG271" i="30"/>
  <c r="AK271" i="30"/>
  <c r="AO271" i="30"/>
  <c r="AS271" i="30"/>
  <c r="A272" i="30"/>
  <c r="E272" i="30"/>
  <c r="I272" i="30"/>
  <c r="M272" i="30"/>
  <c r="Q272" i="30"/>
  <c r="U272" i="30"/>
  <c r="Y272" i="30"/>
  <c r="AC272" i="30"/>
  <c r="AG272" i="30"/>
  <c r="AK272" i="30"/>
  <c r="AO272" i="30"/>
  <c r="AS272" i="30"/>
  <c r="A273" i="30"/>
  <c r="E273" i="30"/>
  <c r="I273" i="30"/>
  <c r="M273" i="30"/>
  <c r="Q273" i="30"/>
  <c r="U273" i="30"/>
  <c r="Y273" i="30"/>
  <c r="AC273" i="30"/>
  <c r="AG273" i="30"/>
  <c r="AK273" i="30"/>
  <c r="AO273" i="30"/>
  <c r="AS273" i="30"/>
  <c r="A274" i="30"/>
  <c r="E274" i="30"/>
  <c r="I274" i="30"/>
  <c r="M274" i="30"/>
  <c r="Q274" i="30"/>
  <c r="U274" i="30"/>
  <c r="Y274" i="30"/>
  <c r="AC274" i="30"/>
  <c r="AG274" i="30"/>
  <c r="AK274" i="30"/>
  <c r="AO274" i="30"/>
  <c r="AS274" i="30"/>
  <c r="A275" i="30"/>
  <c r="E275" i="30"/>
  <c r="I275" i="30"/>
  <c r="M275" i="30"/>
  <c r="Q275" i="30"/>
  <c r="U275" i="30"/>
  <c r="Y275" i="30"/>
  <c r="AC275" i="30"/>
  <c r="AG275" i="30"/>
  <c r="AK275" i="30"/>
  <c r="AO275" i="30"/>
  <c r="AS275" i="30"/>
  <c r="A276" i="30"/>
  <c r="E276" i="30"/>
  <c r="I276" i="30"/>
  <c r="M276" i="30"/>
  <c r="Q276" i="30"/>
  <c r="U276" i="30"/>
  <c r="Y276" i="30"/>
  <c r="AC276" i="30"/>
  <c r="AG276" i="30"/>
  <c r="AK276" i="30"/>
  <c r="AO276" i="30"/>
  <c r="AS276" i="30"/>
  <c r="A277" i="30"/>
  <c r="E277" i="30"/>
  <c r="I277" i="30"/>
  <c r="M277" i="30"/>
  <c r="Q277" i="30"/>
  <c r="U277" i="30"/>
  <c r="Y277" i="30"/>
  <c r="AC277" i="30"/>
  <c r="AG277" i="30"/>
  <c r="AK277" i="30"/>
  <c r="AO277" i="30"/>
  <c r="AS277" i="30"/>
  <c r="A278" i="30"/>
  <c r="E278" i="30"/>
  <c r="I278" i="30"/>
  <c r="M278" i="30"/>
  <c r="Q278" i="30"/>
  <c r="U278" i="30"/>
  <c r="Y278" i="30"/>
  <c r="AC278" i="30"/>
  <c r="AG278" i="30"/>
  <c r="AK278" i="30"/>
  <c r="AO278" i="30"/>
  <c r="AS278" i="30"/>
  <c r="A279" i="30"/>
  <c r="E279" i="30"/>
  <c r="I279" i="30"/>
  <c r="M279" i="30"/>
  <c r="Q279" i="30"/>
  <c r="U279" i="30"/>
  <c r="Y279" i="30"/>
  <c r="AC279" i="30"/>
  <c r="AG279" i="30"/>
  <c r="AK279" i="30"/>
  <c r="AO279" i="30"/>
  <c r="AS279" i="30"/>
  <c r="A280" i="30"/>
  <c r="E280" i="30"/>
  <c r="I280" i="30"/>
  <c r="M280" i="30"/>
  <c r="Q280" i="30"/>
  <c r="U280" i="30"/>
  <c r="Y280" i="30"/>
  <c r="AC280" i="30"/>
  <c r="AG280" i="30"/>
  <c r="AK280" i="30"/>
  <c r="AO280" i="30"/>
  <c r="AS280" i="30"/>
  <c r="A281" i="30"/>
  <c r="E281" i="30"/>
  <c r="I281" i="30"/>
  <c r="M281" i="30"/>
  <c r="Q281" i="30"/>
  <c r="U281" i="30"/>
  <c r="Y281" i="30"/>
  <c r="AC281" i="30"/>
  <c r="AG281" i="30"/>
  <c r="AK281" i="30"/>
  <c r="AO281" i="30"/>
  <c r="AS281" i="30"/>
  <c r="A282" i="30"/>
  <c r="E282" i="30"/>
  <c r="I282" i="30"/>
  <c r="M282" i="30"/>
  <c r="Q282" i="30"/>
  <c r="U282" i="30"/>
  <c r="Y282" i="30"/>
  <c r="AC282" i="30"/>
  <c r="AG282" i="30"/>
  <c r="AK282" i="30"/>
  <c r="AO282" i="30"/>
  <c r="AS282" i="30"/>
  <c r="A283" i="30"/>
  <c r="E283" i="30"/>
  <c r="I283" i="30"/>
  <c r="M283" i="30"/>
  <c r="Q283" i="30"/>
  <c r="U283" i="30"/>
  <c r="Y283" i="30"/>
  <c r="AC283" i="30"/>
  <c r="AG283" i="30"/>
  <c r="AK283" i="30"/>
  <c r="AO283" i="30"/>
  <c r="AS283" i="30"/>
  <c r="A284" i="30"/>
  <c r="E284" i="30"/>
  <c r="I284" i="30"/>
  <c r="M284" i="30"/>
  <c r="Q284" i="30"/>
  <c r="U284" i="30"/>
  <c r="Y284" i="30"/>
  <c r="AC284" i="30"/>
  <c r="AG284" i="30"/>
  <c r="AK284" i="30"/>
  <c r="AO284" i="30"/>
  <c r="AS284" i="30"/>
  <c r="A285" i="30"/>
  <c r="E285" i="30"/>
  <c r="I285" i="30"/>
  <c r="M285" i="30"/>
  <c r="Q285" i="30"/>
  <c r="U285" i="30"/>
  <c r="Y285" i="30"/>
  <c r="AC285" i="30"/>
  <c r="AG285" i="30"/>
  <c r="AK285" i="30"/>
  <c r="AO285" i="30"/>
  <c r="AS285" i="30"/>
  <c r="A286" i="30"/>
  <c r="E286" i="30"/>
  <c r="I286" i="30"/>
  <c r="M286" i="30"/>
  <c r="Q286" i="30"/>
  <c r="U286" i="30"/>
  <c r="Y286" i="30"/>
  <c r="AC286" i="30"/>
  <c r="AG286" i="30"/>
  <c r="AK286" i="30"/>
  <c r="AO286" i="30"/>
  <c r="AS286" i="30"/>
  <c r="A287" i="30"/>
  <c r="E287" i="30"/>
  <c r="I287" i="30"/>
  <c r="M287" i="30"/>
  <c r="Q287" i="30"/>
  <c r="U287" i="30"/>
  <c r="Y287" i="30"/>
  <c r="AC287" i="30"/>
  <c r="AG287" i="30"/>
  <c r="AK287" i="30"/>
  <c r="AO287" i="30"/>
  <c r="AS287" i="30"/>
  <c r="A288" i="30"/>
  <c r="E288" i="30"/>
  <c r="I288" i="30"/>
  <c r="M288" i="30"/>
  <c r="Q288" i="30"/>
  <c r="U288" i="30"/>
  <c r="Y288" i="30"/>
  <c r="AC288" i="30"/>
  <c r="AG288" i="30"/>
  <c r="AK288" i="30"/>
  <c r="AO288" i="30"/>
  <c r="AS288" i="30"/>
  <c r="A289" i="30"/>
  <c r="E289" i="30"/>
  <c r="I289" i="30"/>
  <c r="M289" i="30"/>
  <c r="Q289" i="30"/>
  <c r="U289" i="30"/>
  <c r="Y289" i="30"/>
  <c r="AC289" i="30"/>
  <c r="AG289" i="30"/>
  <c r="AK289" i="30"/>
  <c r="AO289" i="30"/>
  <c r="AS289" i="30"/>
  <c r="A290" i="30"/>
  <c r="E290" i="30"/>
  <c r="I290" i="30"/>
  <c r="M290" i="30"/>
  <c r="Q290" i="30"/>
  <c r="U290" i="30"/>
  <c r="Y290" i="30"/>
  <c r="AC290" i="30"/>
  <c r="AG290" i="30"/>
  <c r="AK290" i="30"/>
  <c r="AO290" i="30"/>
  <c r="AS290" i="30"/>
  <c r="A291" i="30"/>
  <c r="E291" i="30"/>
  <c r="I291" i="30"/>
  <c r="M291" i="30"/>
  <c r="Q291" i="30"/>
  <c r="U291" i="30"/>
  <c r="Y291" i="30"/>
  <c r="AC291" i="30"/>
  <c r="AG291" i="30"/>
  <c r="AK291" i="30"/>
  <c r="AO291" i="30"/>
  <c r="AS291" i="30"/>
  <c r="A292" i="30"/>
  <c r="E292" i="30"/>
  <c r="I292" i="30"/>
  <c r="M292" i="30"/>
  <c r="Q292" i="30"/>
  <c r="U292" i="30"/>
  <c r="Y292" i="30"/>
  <c r="AC292" i="30"/>
  <c r="AG292" i="30"/>
  <c r="AK292" i="30"/>
  <c r="AO292" i="30"/>
  <c r="AS292" i="30"/>
  <c r="A293" i="30"/>
  <c r="E293" i="30"/>
  <c r="I293" i="30"/>
  <c r="M293" i="30"/>
  <c r="Q293" i="30"/>
  <c r="U293" i="30"/>
  <c r="Y293" i="30"/>
  <c r="AC293" i="30"/>
  <c r="AG293" i="30"/>
  <c r="AK293" i="30"/>
  <c r="AO293" i="30"/>
  <c r="AS293" i="30"/>
  <c r="A294" i="30"/>
  <c r="E294" i="30"/>
  <c r="I294" i="30"/>
  <c r="M294" i="30"/>
  <c r="Q294" i="30"/>
  <c r="U294" i="30"/>
  <c r="Y294" i="30"/>
  <c r="AC294" i="30"/>
  <c r="AG294" i="30"/>
  <c r="AK294" i="30"/>
  <c r="AO294" i="30"/>
  <c r="AS294" i="30"/>
  <c r="A295" i="30"/>
  <c r="E295" i="30"/>
  <c r="I295" i="30"/>
  <c r="M295" i="30"/>
  <c r="Q295" i="30"/>
  <c r="U295" i="30"/>
  <c r="Y295" i="30"/>
  <c r="AC295" i="30"/>
  <c r="AG295" i="30"/>
  <c r="AK295" i="30"/>
  <c r="AO295" i="30"/>
  <c r="AS295" i="30"/>
  <c r="A296" i="30"/>
  <c r="E296" i="30"/>
  <c r="I296" i="30"/>
  <c r="M296" i="30"/>
  <c r="Q296" i="30"/>
  <c r="U296" i="30"/>
  <c r="Y296" i="30"/>
  <c r="AC296" i="30"/>
  <c r="AG296" i="30"/>
  <c r="AK296" i="30"/>
  <c r="AO296" i="30"/>
  <c r="AS296" i="30"/>
  <c r="A297" i="30"/>
  <c r="E297" i="30"/>
  <c r="I297" i="30"/>
  <c r="M297" i="30"/>
  <c r="Q297" i="30"/>
  <c r="U297" i="30"/>
  <c r="Y297" i="30"/>
  <c r="AC297" i="30"/>
  <c r="AG297" i="30"/>
  <c r="AK297" i="30"/>
  <c r="AO297" i="30"/>
  <c r="AS297" i="30"/>
  <c r="A298" i="30"/>
  <c r="E298" i="30"/>
  <c r="I298" i="30"/>
  <c r="M298" i="30"/>
  <c r="Q298" i="30"/>
  <c r="U298" i="30"/>
  <c r="Y298" i="30"/>
  <c r="AC298" i="30"/>
  <c r="AG298" i="30"/>
  <c r="AK298" i="30"/>
  <c r="AO298" i="30"/>
  <c r="AS298" i="30"/>
  <c r="A299" i="30"/>
  <c r="E299" i="30"/>
  <c r="I299" i="30"/>
  <c r="M299" i="30"/>
  <c r="Q299" i="30"/>
  <c r="U299" i="30"/>
  <c r="Y299" i="30"/>
  <c r="AC299" i="30"/>
  <c r="AG299" i="30"/>
  <c r="AK299" i="30"/>
  <c r="AO299" i="30"/>
  <c r="AS299" i="30"/>
  <c r="A300" i="30"/>
  <c r="E300" i="30"/>
  <c r="I300" i="30"/>
  <c r="M300" i="30"/>
  <c r="Q300" i="30"/>
  <c r="U300" i="30"/>
  <c r="Y300" i="30"/>
  <c r="AC300" i="30"/>
  <c r="AG300" i="30"/>
  <c r="AK300" i="30"/>
  <c r="AO300" i="30"/>
  <c r="AS300" i="30"/>
  <c r="A301" i="30"/>
  <c r="E301" i="30"/>
  <c r="I301" i="30"/>
  <c r="M301" i="30"/>
  <c r="Q301" i="30"/>
  <c r="U301" i="30"/>
  <c r="Y301" i="30"/>
  <c r="AC301" i="30"/>
  <c r="AG301" i="30"/>
  <c r="AK301" i="30"/>
  <c r="AO301" i="30"/>
  <c r="AS301" i="30"/>
  <c r="A302" i="30"/>
  <c r="E302" i="30"/>
  <c r="I302" i="30"/>
  <c r="M302" i="30"/>
  <c r="Q302" i="30"/>
  <c r="U302" i="30"/>
  <c r="Y302" i="30"/>
  <c r="AC302" i="30"/>
  <c r="AG302" i="30"/>
  <c r="AK302" i="30"/>
  <c r="AO302" i="30"/>
  <c r="AS302" i="30"/>
  <c r="A303" i="30"/>
  <c r="E303" i="30"/>
  <c r="I303" i="30"/>
  <c r="M303" i="30"/>
  <c r="Q303" i="30"/>
  <c r="U303" i="30"/>
  <c r="Y303" i="30"/>
  <c r="AC303" i="30"/>
  <c r="AG303" i="30"/>
  <c r="AK303" i="30"/>
  <c r="AO303" i="30"/>
  <c r="AS303" i="30"/>
  <c r="A304" i="30"/>
  <c r="E304" i="30"/>
  <c r="I304" i="30"/>
  <c r="M304" i="30"/>
  <c r="Q304" i="30"/>
  <c r="U304" i="30"/>
  <c r="Y304" i="30"/>
  <c r="AC304" i="30"/>
  <c r="AG304" i="30"/>
  <c r="AK304" i="30"/>
  <c r="AO304" i="30"/>
  <c r="AS304" i="30"/>
  <c r="A305" i="30"/>
  <c r="E305" i="30"/>
  <c r="I305" i="30"/>
  <c r="M305" i="30"/>
  <c r="Q305" i="30"/>
  <c r="U305" i="30"/>
  <c r="Y305" i="30"/>
  <c r="AC305" i="30"/>
  <c r="AG305" i="30"/>
  <c r="AK305" i="30"/>
  <c r="AO305" i="30"/>
  <c r="AS305" i="30"/>
  <c r="A306" i="30"/>
  <c r="E306" i="30"/>
  <c r="I306" i="30"/>
  <c r="M306" i="30"/>
  <c r="Q306" i="30"/>
  <c r="U306" i="30"/>
  <c r="Y306" i="30"/>
  <c r="AC306" i="30"/>
  <c r="AG306" i="30"/>
  <c r="AK306" i="30"/>
  <c r="AO306" i="30"/>
  <c r="AS306" i="30"/>
  <c r="A307" i="30"/>
  <c r="E307" i="30"/>
  <c r="I307" i="30"/>
  <c r="M307" i="30"/>
  <c r="Q307" i="30"/>
  <c r="U307" i="30"/>
  <c r="Y307" i="30"/>
  <c r="AC307" i="30"/>
  <c r="AG307" i="30"/>
  <c r="AK307" i="30"/>
  <c r="AO307" i="30"/>
  <c r="AS307" i="30"/>
  <c r="A308" i="30"/>
  <c r="E308" i="30"/>
  <c r="I308" i="30"/>
  <c r="M308" i="30"/>
  <c r="Q308" i="30"/>
  <c r="U308" i="30"/>
  <c r="Y308" i="30"/>
  <c r="AC308" i="30"/>
  <c r="AG308" i="30"/>
  <c r="AK308" i="30"/>
  <c r="AO308" i="30"/>
  <c r="AS308" i="30"/>
  <c r="A309" i="30"/>
  <c r="E309" i="30"/>
  <c r="I309" i="30"/>
  <c r="M309" i="30"/>
  <c r="Q309" i="30"/>
  <c r="U309" i="30"/>
  <c r="Y309" i="30"/>
  <c r="AC309" i="30"/>
  <c r="AG309" i="30"/>
  <c r="AK309" i="30"/>
  <c r="AO309" i="30"/>
  <c r="AS309" i="30"/>
  <c r="A310" i="30"/>
  <c r="E310" i="30"/>
  <c r="I310" i="30"/>
  <c r="M310" i="30"/>
  <c r="Q310" i="30"/>
  <c r="U310" i="30"/>
  <c r="Y310" i="30"/>
  <c r="AC310" i="30"/>
  <c r="AG310" i="30"/>
  <c r="AK310" i="30"/>
  <c r="AO310" i="30"/>
  <c r="AS310" i="30"/>
  <c r="A311" i="30"/>
  <c r="E311" i="30"/>
  <c r="I311" i="30"/>
  <c r="M311" i="30"/>
  <c r="Q311" i="30"/>
  <c r="U311" i="30"/>
  <c r="Y311" i="30"/>
  <c r="AC311" i="30"/>
  <c r="AG311" i="30"/>
  <c r="AK311" i="30"/>
  <c r="AO311" i="30"/>
  <c r="AS311" i="30"/>
  <c r="A312" i="30"/>
  <c r="E312" i="30"/>
  <c r="I312" i="30"/>
  <c r="M312" i="30"/>
  <c r="Q312" i="30"/>
  <c r="U312" i="30"/>
  <c r="Y312" i="30"/>
  <c r="AC312" i="30"/>
  <c r="AG312" i="30"/>
  <c r="AK312" i="30"/>
  <c r="AO312" i="30"/>
  <c r="AS312" i="30"/>
  <c r="A313" i="30"/>
  <c r="E313" i="30"/>
  <c r="I313" i="30"/>
  <c r="M313" i="30"/>
  <c r="Q313" i="30"/>
  <c r="U313" i="30"/>
  <c r="Y313" i="30"/>
  <c r="AC313" i="30"/>
  <c r="AG313" i="30"/>
  <c r="AK313" i="30"/>
  <c r="AO313" i="30"/>
  <c r="AS313" i="30"/>
  <c r="A314" i="30"/>
  <c r="E314" i="30"/>
  <c r="I314" i="30"/>
  <c r="M314" i="30"/>
  <c r="Q314" i="30"/>
  <c r="U314" i="30"/>
  <c r="Y314" i="30"/>
  <c r="AC314" i="30"/>
  <c r="AG314" i="30"/>
  <c r="AK314" i="30"/>
  <c r="AO314" i="30"/>
  <c r="AS314" i="30"/>
  <c r="A315" i="30"/>
  <c r="E315" i="30"/>
  <c r="I315" i="30"/>
  <c r="M315" i="30"/>
  <c r="Q315" i="30"/>
  <c r="U315" i="30"/>
  <c r="Y315" i="30"/>
  <c r="AC315" i="30"/>
  <c r="AG315" i="30"/>
  <c r="AK315" i="30"/>
  <c r="AO315" i="30"/>
  <c r="AS315" i="30"/>
  <c r="A316" i="30"/>
  <c r="E316" i="30"/>
  <c r="I316" i="30"/>
  <c r="M316" i="30"/>
  <c r="Q316" i="30"/>
  <c r="U316" i="30"/>
  <c r="Y316" i="30"/>
  <c r="AC316" i="30"/>
  <c r="AG316" i="30"/>
  <c r="AK316" i="30"/>
  <c r="AO316" i="30"/>
  <c r="AS316" i="30"/>
  <c r="A317" i="30"/>
  <c r="E317" i="30"/>
  <c r="I317" i="30"/>
  <c r="M317" i="30"/>
  <c r="Q317" i="30"/>
  <c r="U317" i="30"/>
  <c r="Y317" i="30"/>
  <c r="AC317" i="30"/>
  <c r="AG317" i="30"/>
  <c r="AK317" i="30"/>
  <c r="AO317" i="30"/>
  <c r="AS317" i="30"/>
  <c r="A318" i="30"/>
  <c r="E318" i="30"/>
  <c r="I318" i="30"/>
  <c r="M318" i="30"/>
  <c r="Q318" i="30"/>
  <c r="U318" i="30"/>
  <c r="Y318" i="30"/>
  <c r="AC318" i="30"/>
  <c r="AG318" i="30"/>
  <c r="AK318" i="30"/>
  <c r="AO318" i="30"/>
  <c r="AS318" i="30"/>
  <c r="A319" i="30"/>
  <c r="E319" i="30"/>
  <c r="I319" i="30"/>
  <c r="M319" i="30"/>
  <c r="Q319" i="30"/>
  <c r="U319" i="30"/>
  <c r="Y319" i="30"/>
  <c r="AC319" i="30"/>
  <c r="AG319" i="30"/>
  <c r="AK319" i="30"/>
  <c r="AO319" i="30"/>
  <c r="AS319" i="30"/>
  <c r="A320" i="30"/>
  <c r="E320" i="30"/>
  <c r="I320" i="30"/>
  <c r="M320" i="30"/>
  <c r="Q320" i="30"/>
  <c r="U320" i="30"/>
  <c r="Y320" i="30"/>
  <c r="AC320" i="30"/>
  <c r="AG320" i="30"/>
  <c r="AK320" i="30"/>
  <c r="AO320" i="30"/>
  <c r="AS320" i="30"/>
  <c r="A321" i="30"/>
  <c r="E321" i="30"/>
  <c r="I321" i="30"/>
  <c r="M321" i="30"/>
  <c r="Q321" i="30"/>
  <c r="U321" i="30"/>
  <c r="Y321" i="30"/>
  <c r="AC321" i="30"/>
  <c r="AG321" i="30"/>
  <c r="AK321" i="30"/>
  <c r="AO321" i="30"/>
  <c r="AS321" i="30"/>
  <c r="A322" i="30"/>
  <c r="E322" i="30"/>
  <c r="I322" i="30"/>
  <c r="M322" i="30"/>
  <c r="Q322" i="30"/>
  <c r="U322" i="30"/>
  <c r="Y322" i="30"/>
  <c r="AC322" i="30"/>
  <c r="AG322" i="30"/>
  <c r="AK322" i="30"/>
  <c r="AO322" i="30"/>
  <c r="AS322" i="30"/>
  <c r="A323" i="30"/>
  <c r="E323" i="30"/>
  <c r="I323" i="30"/>
  <c r="M323" i="30"/>
  <c r="Q323" i="30"/>
  <c r="U323" i="30"/>
  <c r="Y323" i="30"/>
  <c r="AC323" i="30"/>
  <c r="AG323" i="30"/>
  <c r="AK323" i="30"/>
  <c r="AO323" i="30"/>
  <c r="AS323" i="30"/>
  <c r="A324" i="30"/>
  <c r="E324" i="30"/>
  <c r="I324" i="30"/>
  <c r="M324" i="30"/>
  <c r="Q324" i="30"/>
  <c r="U324" i="30"/>
  <c r="Y324" i="30"/>
  <c r="AC324" i="30"/>
  <c r="AG324" i="30"/>
  <c r="AK324" i="30"/>
  <c r="AO324" i="30"/>
  <c r="AS324" i="30"/>
  <c r="A325" i="30"/>
  <c r="E325" i="30"/>
  <c r="I325" i="30"/>
  <c r="M325" i="30"/>
  <c r="Q325" i="30"/>
  <c r="U325" i="30"/>
  <c r="Y325" i="30"/>
  <c r="AC325" i="30"/>
  <c r="AG325" i="30"/>
  <c r="AK325" i="30"/>
  <c r="AO325" i="30"/>
  <c r="AS325" i="30"/>
  <c r="A326" i="30"/>
  <c r="E326" i="30"/>
  <c r="I326" i="30"/>
  <c r="M326" i="30"/>
  <c r="Q326" i="30"/>
  <c r="U326" i="30"/>
  <c r="Y326" i="30"/>
  <c r="AC326" i="30"/>
  <c r="AG326" i="30"/>
  <c r="AK326" i="30"/>
  <c r="AO326" i="30"/>
  <c r="AS326" i="30"/>
  <c r="A327" i="30"/>
  <c r="E327" i="30"/>
  <c r="I327" i="30"/>
  <c r="M327" i="30"/>
  <c r="Q327" i="30"/>
  <c r="U327" i="30"/>
  <c r="Y327" i="30"/>
  <c r="AC327" i="30"/>
  <c r="AG327" i="30"/>
  <c r="AK327" i="30"/>
  <c r="AO327" i="30"/>
  <c r="AS327" i="30"/>
  <c r="A328" i="30"/>
  <c r="E328" i="30"/>
  <c r="I328" i="30"/>
  <c r="M328" i="30"/>
  <c r="Q328" i="30"/>
  <c r="U328" i="30"/>
  <c r="Y328" i="30"/>
  <c r="AC328" i="30"/>
  <c r="AG328" i="30"/>
  <c r="AK328" i="30"/>
  <c r="AO328" i="30"/>
  <c r="AS328" i="30"/>
  <c r="A329" i="30"/>
  <c r="E329" i="30"/>
  <c r="I329" i="30"/>
  <c r="M329" i="30"/>
  <c r="Q329" i="30"/>
  <c r="U329" i="30"/>
  <c r="Y329" i="30"/>
  <c r="AC329" i="30"/>
  <c r="AG329" i="30"/>
  <c r="AK329" i="30"/>
  <c r="AO329" i="30"/>
  <c r="AS329" i="30"/>
  <c r="A330" i="30"/>
  <c r="E330" i="30"/>
  <c r="I330" i="30"/>
  <c r="M330" i="30"/>
  <c r="Q330" i="30"/>
  <c r="U330" i="30"/>
  <c r="Y330" i="30"/>
  <c r="AC330" i="30"/>
  <c r="AG330" i="30"/>
  <c r="AK330" i="30"/>
  <c r="AO330" i="30"/>
  <c r="AS330" i="30"/>
  <c r="A331" i="30"/>
  <c r="E331" i="30"/>
  <c r="I331" i="30"/>
  <c r="M331" i="30"/>
  <c r="Q331" i="30"/>
  <c r="U331" i="30"/>
  <c r="Y331" i="30"/>
  <c r="AC331" i="30"/>
  <c r="AG331" i="30"/>
  <c r="AK331" i="30"/>
  <c r="AO331" i="30"/>
  <c r="AS331" i="30"/>
  <c r="A332" i="30"/>
  <c r="E332" i="30"/>
  <c r="I332" i="30"/>
  <c r="M332" i="30"/>
  <c r="Q332" i="30"/>
  <c r="U332" i="30"/>
  <c r="Y332" i="30"/>
  <c r="AC332" i="30"/>
  <c r="AG332" i="30"/>
  <c r="AK332" i="30"/>
  <c r="AO332" i="30"/>
  <c r="AS332" i="30"/>
  <c r="A333" i="30"/>
  <c r="E333" i="30"/>
  <c r="I333" i="30"/>
  <c r="M333" i="30"/>
  <c r="Q333" i="30"/>
  <c r="U333" i="30"/>
  <c r="Y333" i="30"/>
  <c r="AC333" i="30"/>
  <c r="AG333" i="30"/>
  <c r="AK333" i="30"/>
  <c r="AO333" i="30"/>
  <c r="AS333" i="30"/>
  <c r="A334" i="30"/>
  <c r="E334" i="30"/>
  <c r="I334" i="30"/>
  <c r="M334" i="30"/>
  <c r="Q334" i="30"/>
  <c r="U334" i="30"/>
  <c r="Y334" i="30"/>
  <c r="AC334" i="30"/>
  <c r="AG334" i="30"/>
  <c r="AK334" i="30"/>
  <c r="AO334" i="30"/>
  <c r="AS334" i="30"/>
  <c r="A335" i="30"/>
  <c r="E335" i="30"/>
  <c r="I335" i="30"/>
  <c r="M335" i="30"/>
  <c r="Q335" i="30"/>
  <c r="U335" i="30"/>
  <c r="Y335" i="30"/>
  <c r="AC335" i="30"/>
  <c r="AG335" i="30"/>
  <c r="AK335" i="30"/>
  <c r="AO335" i="30"/>
  <c r="AS335" i="30"/>
  <c r="A336" i="30"/>
  <c r="E336" i="30"/>
  <c r="I336" i="30"/>
  <c r="M336" i="30"/>
  <c r="Q336" i="30"/>
  <c r="U336" i="30"/>
  <c r="Y336" i="30"/>
  <c r="AC336" i="30"/>
  <c r="AG336" i="30"/>
  <c r="AK336" i="30"/>
  <c r="AO336" i="30"/>
  <c r="AS336" i="30"/>
  <c r="A337" i="30"/>
  <c r="E337" i="30"/>
  <c r="I337" i="30"/>
  <c r="M337" i="30"/>
  <c r="Q337" i="30"/>
  <c r="U337" i="30"/>
  <c r="Y337" i="30"/>
  <c r="AC337" i="30"/>
  <c r="AG337" i="30"/>
  <c r="AK337" i="30"/>
  <c r="AO337" i="30"/>
  <c r="AS337" i="30"/>
  <c r="A338" i="30"/>
  <c r="E338" i="30"/>
  <c r="I338" i="30"/>
  <c r="M338" i="30"/>
  <c r="Q338" i="30"/>
  <c r="U338" i="30"/>
  <c r="Y338" i="30"/>
  <c r="AC338" i="30"/>
  <c r="AG338" i="30"/>
  <c r="AK338" i="30"/>
  <c r="AO338" i="30"/>
  <c r="AS338" i="30"/>
  <c r="A339" i="30"/>
  <c r="E339" i="30"/>
  <c r="I339" i="30"/>
  <c r="M339" i="30"/>
  <c r="Q339" i="30"/>
  <c r="U339" i="30"/>
  <c r="Y339" i="30"/>
  <c r="AC339" i="30"/>
  <c r="AG339" i="30"/>
  <c r="AK339" i="30"/>
  <c r="AO339" i="30"/>
  <c r="AS339" i="30"/>
  <c r="A340" i="30"/>
  <c r="E340" i="30"/>
  <c r="I340" i="30"/>
  <c r="M340" i="30"/>
  <c r="Q340" i="30"/>
  <c r="U340" i="30"/>
  <c r="Y340" i="30"/>
  <c r="AC340" i="30"/>
  <c r="AG340" i="30"/>
  <c r="AK340" i="30"/>
  <c r="AO340" i="30"/>
  <c r="AS340" i="30"/>
  <c r="A341" i="30"/>
  <c r="E341" i="30"/>
  <c r="I341" i="30"/>
  <c r="M341" i="30"/>
  <c r="Q341" i="30"/>
  <c r="U341" i="30"/>
  <c r="Y341" i="30"/>
  <c r="AC341" i="30"/>
  <c r="AG341" i="30"/>
  <c r="AK341" i="30"/>
  <c r="AO341" i="30"/>
  <c r="AS341" i="30"/>
  <c r="A342" i="30"/>
  <c r="E342" i="30"/>
  <c r="I342" i="30"/>
  <c r="M342" i="30"/>
  <c r="Q342" i="30"/>
  <c r="U342" i="30"/>
  <c r="Y342" i="30"/>
  <c r="AC342" i="30"/>
  <c r="AG342" i="30"/>
  <c r="AK342" i="30"/>
  <c r="AO342" i="30"/>
  <c r="AS342" i="30"/>
  <c r="A343" i="30"/>
  <c r="E343" i="30"/>
  <c r="I343" i="30"/>
  <c r="M343" i="30"/>
  <c r="Q343" i="30"/>
  <c r="U343" i="30"/>
  <c r="Y343" i="30"/>
  <c r="AC343" i="30"/>
  <c r="AG343" i="30"/>
  <c r="AK343" i="30"/>
  <c r="AO343" i="30"/>
  <c r="AS343" i="30"/>
  <c r="A344" i="30"/>
  <c r="E344" i="30"/>
  <c r="I344" i="30"/>
  <c r="M344" i="30"/>
  <c r="Q344" i="30"/>
  <c r="U344" i="30"/>
  <c r="Y344" i="30"/>
  <c r="AC344" i="30"/>
  <c r="AG344" i="30"/>
  <c r="AK344" i="30"/>
  <c r="AO344" i="30"/>
  <c r="AS344" i="30"/>
  <c r="A345" i="30"/>
  <c r="E345" i="30"/>
  <c r="I345" i="30"/>
  <c r="M345" i="30"/>
  <c r="Q345" i="30"/>
  <c r="U345" i="30"/>
  <c r="Y345" i="30"/>
  <c r="AC345" i="30"/>
  <c r="AG345" i="30"/>
  <c r="AK345" i="30"/>
  <c r="AO345" i="30"/>
  <c r="AS345" i="30"/>
  <c r="A346" i="30"/>
  <c r="E346" i="30"/>
  <c r="I346" i="30"/>
  <c r="M346" i="30"/>
  <c r="Q346" i="30"/>
  <c r="U346" i="30"/>
  <c r="Y346" i="30"/>
  <c r="AC346" i="30"/>
  <c r="AG346" i="30"/>
  <c r="AK346" i="30"/>
  <c r="AO346" i="30"/>
  <c r="AS346" i="30"/>
  <c r="A347" i="30"/>
  <c r="E347" i="30"/>
  <c r="I347" i="30"/>
  <c r="M347" i="30"/>
  <c r="Q347" i="30"/>
  <c r="U347" i="30"/>
  <c r="Y347" i="30"/>
  <c r="AC347" i="30"/>
  <c r="AG347" i="30"/>
  <c r="AK347" i="30"/>
  <c r="AO347" i="30"/>
  <c r="AS347" i="30"/>
  <c r="A348" i="30"/>
  <c r="E348" i="30"/>
  <c r="I348" i="30"/>
  <c r="M348" i="30"/>
  <c r="Q348" i="30"/>
  <c r="U348" i="30"/>
  <c r="Y348" i="30"/>
  <c r="AC348" i="30"/>
  <c r="AG348" i="30"/>
  <c r="AK348" i="30"/>
  <c r="AO348" i="30"/>
  <c r="AS348" i="30"/>
  <c r="A349" i="30"/>
  <c r="E349" i="30"/>
  <c r="I349" i="30"/>
  <c r="M349" i="30"/>
  <c r="Q349" i="30"/>
  <c r="U349" i="30"/>
  <c r="Y349" i="30"/>
  <c r="AC349" i="30"/>
  <c r="AG349" i="30"/>
  <c r="AK349" i="30"/>
  <c r="AO349" i="30"/>
  <c r="AS349" i="30"/>
  <c r="A350" i="30"/>
  <c r="E350" i="30"/>
  <c r="I350" i="30"/>
  <c r="M350" i="30"/>
  <c r="Q350" i="30"/>
  <c r="U350" i="30"/>
  <c r="Y350" i="30"/>
  <c r="AC350" i="30"/>
  <c r="AG350" i="30"/>
  <c r="AK350" i="30"/>
  <c r="AO350" i="30"/>
  <c r="AS350" i="30"/>
  <c r="A351" i="30"/>
  <c r="E351" i="30"/>
  <c r="I351" i="30"/>
  <c r="M351" i="30"/>
  <c r="Q351" i="30"/>
  <c r="U351" i="30"/>
  <c r="Y351" i="30"/>
  <c r="AC351" i="30"/>
  <c r="AG351" i="30"/>
  <c r="AK351" i="30"/>
  <c r="AO351" i="30"/>
  <c r="AS351" i="30"/>
  <c r="A352" i="30"/>
  <c r="E352" i="30"/>
  <c r="I352" i="30"/>
  <c r="M352" i="30"/>
  <c r="Q352" i="30"/>
  <c r="U352" i="30"/>
  <c r="Y352" i="30"/>
  <c r="AC352" i="30"/>
  <c r="AG352" i="30"/>
  <c r="AK352" i="30"/>
  <c r="AO352" i="30"/>
  <c r="AS352" i="30"/>
  <c r="A353" i="30"/>
  <c r="E353" i="30"/>
  <c r="I353" i="30"/>
  <c r="M353" i="30"/>
  <c r="Q353" i="30"/>
  <c r="U353" i="30"/>
  <c r="Y353" i="30"/>
  <c r="AC353" i="30"/>
  <c r="AG353" i="30"/>
  <c r="AK353" i="30"/>
  <c r="AO353" i="30"/>
  <c r="AS353" i="30"/>
  <c r="A354" i="30"/>
  <c r="E354" i="30"/>
  <c r="I354" i="30"/>
  <c r="M354" i="30"/>
  <c r="Q354" i="30"/>
  <c r="U354" i="30"/>
  <c r="Y354" i="30"/>
  <c r="AC354" i="30"/>
  <c r="AG354" i="30"/>
  <c r="AK354" i="30"/>
  <c r="AO354" i="30"/>
  <c r="AS354" i="30"/>
  <c r="A355" i="30"/>
  <c r="E355" i="30"/>
  <c r="I355" i="30"/>
  <c r="M355" i="30"/>
  <c r="Q355" i="30"/>
  <c r="U355" i="30"/>
  <c r="Y355" i="30"/>
  <c r="AC355" i="30"/>
  <c r="AG355" i="30"/>
  <c r="AK355" i="30"/>
  <c r="AO355" i="30"/>
  <c r="AS355" i="30"/>
  <c r="A356" i="30"/>
  <c r="E356" i="30"/>
  <c r="I356" i="30"/>
  <c r="M356" i="30"/>
  <c r="Q356" i="30"/>
  <c r="U356" i="30"/>
  <c r="Y356" i="30"/>
  <c r="AC356" i="30"/>
  <c r="AG356" i="30"/>
  <c r="AK356" i="30"/>
  <c r="AO356" i="30"/>
  <c r="AS356" i="30"/>
  <c r="A357" i="30"/>
  <c r="E357" i="30"/>
  <c r="I357" i="30"/>
  <c r="M357" i="30"/>
  <c r="Q357" i="30"/>
  <c r="U357" i="30"/>
  <c r="Y357" i="30"/>
  <c r="AC357" i="30"/>
  <c r="AG357" i="30"/>
  <c r="AK357" i="30"/>
  <c r="AO357" i="30"/>
  <c r="AS357" i="30"/>
  <c r="A358" i="30"/>
  <c r="E358" i="30"/>
  <c r="I358" i="30"/>
  <c r="M358" i="30"/>
  <c r="Q358" i="30"/>
  <c r="U358" i="30"/>
  <c r="Y358" i="30"/>
  <c r="AC358" i="30"/>
  <c r="AG358" i="30"/>
  <c r="AK358" i="30"/>
  <c r="AO358" i="30"/>
  <c r="AS358" i="30"/>
  <c r="A359" i="30"/>
  <c r="E359" i="30"/>
  <c r="I359" i="30"/>
  <c r="M359" i="30"/>
  <c r="Q359" i="30"/>
  <c r="U359" i="30"/>
  <c r="Y359" i="30"/>
  <c r="AC359" i="30"/>
  <c r="AG359" i="30"/>
  <c r="AK359" i="30"/>
  <c r="AO359" i="30"/>
  <c r="AS359" i="30"/>
  <c r="A360" i="30"/>
  <c r="E360" i="30"/>
  <c r="I360" i="30"/>
  <c r="M360" i="30"/>
  <c r="Q360" i="30"/>
  <c r="U360" i="30"/>
  <c r="Y360" i="30"/>
  <c r="AC360" i="30"/>
  <c r="AG360" i="30"/>
  <c r="AK360" i="30"/>
  <c r="AO360" i="30"/>
  <c r="AS360" i="30"/>
  <c r="A361" i="30"/>
  <c r="E361" i="30"/>
  <c r="I361" i="30"/>
  <c r="M361" i="30"/>
  <c r="Q361" i="30"/>
  <c r="U361" i="30"/>
  <c r="Y361" i="30"/>
  <c r="AC361" i="30"/>
  <c r="AG361" i="30"/>
  <c r="AK361" i="30"/>
  <c r="AO361" i="30"/>
  <c r="AS361" i="30"/>
  <c r="A362" i="30"/>
  <c r="E362" i="30"/>
  <c r="I362" i="30"/>
  <c r="M362" i="30"/>
  <c r="Q362" i="30"/>
  <c r="U362" i="30"/>
  <c r="Y362" i="30"/>
  <c r="AC362" i="30"/>
  <c r="AG362" i="30"/>
  <c r="AK362" i="30"/>
  <c r="AO362" i="30"/>
  <c r="AS362" i="30"/>
  <c r="A363" i="30"/>
  <c r="E363" i="30"/>
  <c r="I363" i="30"/>
  <c r="M363" i="30"/>
  <c r="Q363" i="30"/>
  <c r="U363" i="30"/>
  <c r="Y363" i="30"/>
  <c r="AC363" i="30"/>
  <c r="AG363" i="30"/>
  <c r="AK363" i="30"/>
  <c r="AO363" i="30"/>
  <c r="AS363" i="30"/>
  <c r="A364" i="30"/>
  <c r="E364" i="30"/>
  <c r="I364" i="30"/>
  <c r="M364" i="30"/>
  <c r="Q364" i="30"/>
  <c r="U364" i="30"/>
  <c r="Y364" i="30"/>
  <c r="AC364" i="30"/>
  <c r="AG364" i="30"/>
  <c r="AK364" i="30"/>
  <c r="AO364" i="30"/>
  <c r="AS364" i="30"/>
  <c r="A365" i="30"/>
  <c r="E365" i="30"/>
  <c r="I365" i="30"/>
  <c r="M365" i="30"/>
  <c r="Q365" i="30"/>
  <c r="U365" i="30"/>
  <c r="Y365" i="30"/>
  <c r="AC365" i="30"/>
  <c r="AG365" i="30"/>
  <c r="AK365" i="30"/>
  <c r="AO365" i="30"/>
  <c r="AS365" i="30"/>
  <c r="A366" i="30"/>
  <c r="E366" i="30"/>
  <c r="I366" i="30"/>
  <c r="M366" i="30"/>
  <c r="Q366" i="30"/>
  <c r="U366" i="30"/>
  <c r="Y366" i="30"/>
  <c r="AC366" i="30"/>
  <c r="AG366" i="30"/>
  <c r="AK366" i="30"/>
  <c r="AO366" i="30"/>
  <c r="AS366" i="30"/>
  <c r="A367" i="30"/>
  <c r="E367" i="30"/>
  <c r="I367" i="30"/>
  <c r="M367" i="30"/>
  <c r="Q367" i="30"/>
  <c r="U367" i="30"/>
  <c r="Y367" i="30"/>
  <c r="AC367" i="30"/>
  <c r="AG367" i="30"/>
  <c r="AK367" i="30"/>
  <c r="AO367" i="30"/>
  <c r="AS367" i="30"/>
  <c r="A368" i="30"/>
  <c r="E368" i="30"/>
  <c r="I368" i="30"/>
  <c r="M368" i="30"/>
  <c r="Q368" i="30"/>
  <c r="U368" i="30"/>
  <c r="Y368" i="30"/>
  <c r="AC368" i="30"/>
  <c r="AG368" i="30"/>
  <c r="AK368" i="30"/>
  <c r="AO368" i="30"/>
  <c r="AS368" i="30"/>
  <c r="A369" i="30"/>
  <c r="E369" i="30"/>
  <c r="I369" i="30"/>
  <c r="M369" i="30"/>
  <c r="Q369" i="30"/>
  <c r="U369" i="30"/>
  <c r="Y369" i="30"/>
  <c r="AC369" i="30"/>
  <c r="AG369" i="30"/>
  <c r="AK369" i="30"/>
  <c r="AO369" i="30"/>
  <c r="AS369" i="30"/>
  <c r="A370" i="30"/>
  <c r="E370" i="30"/>
  <c r="I370" i="30"/>
  <c r="M370" i="30"/>
  <c r="Q370" i="30"/>
  <c r="U370" i="30"/>
  <c r="Y370" i="30"/>
  <c r="AC370" i="30"/>
  <c r="AG370" i="30"/>
  <c r="AK370" i="30"/>
  <c r="AO370" i="30"/>
  <c r="AS370" i="30"/>
  <c r="A371" i="30"/>
  <c r="E371" i="30"/>
  <c r="I371" i="30"/>
  <c r="M371" i="30"/>
  <c r="Q371" i="30"/>
  <c r="U371" i="30"/>
  <c r="Y371" i="30"/>
  <c r="AC371" i="30"/>
  <c r="AG371" i="30"/>
  <c r="AK371" i="30"/>
  <c r="AO371" i="30"/>
  <c r="AS371" i="30"/>
  <c r="A372" i="30"/>
  <c r="E372" i="30"/>
  <c r="I372" i="30"/>
  <c r="M372" i="30"/>
  <c r="Q372" i="30"/>
  <c r="U372" i="30"/>
  <c r="Y372" i="30"/>
  <c r="AC372" i="30"/>
  <c r="AG372" i="30"/>
  <c r="AK372" i="30"/>
  <c r="AO372" i="30"/>
  <c r="AS372" i="30"/>
  <c r="A373" i="30"/>
  <c r="E373" i="30"/>
  <c r="I373" i="30"/>
  <c r="M373" i="30"/>
  <c r="Q373" i="30"/>
  <c r="U373" i="30"/>
  <c r="Y373" i="30"/>
  <c r="AC373" i="30"/>
  <c r="AG373" i="30"/>
  <c r="AK373" i="30"/>
  <c r="AO373" i="30"/>
  <c r="AS373" i="30"/>
  <c r="A374" i="30"/>
  <c r="E374" i="30"/>
  <c r="I374" i="30"/>
  <c r="M374" i="30"/>
  <c r="Q374" i="30"/>
  <c r="U374" i="30"/>
  <c r="Y374" i="30"/>
  <c r="AC374" i="30"/>
  <c r="AG374" i="30"/>
  <c r="AK374" i="30"/>
  <c r="AO374" i="30"/>
  <c r="AS374" i="30"/>
  <c r="A375" i="30"/>
  <c r="E375" i="30"/>
  <c r="I375" i="30"/>
  <c r="M375" i="30"/>
  <c r="Q375" i="30"/>
  <c r="U375" i="30"/>
  <c r="Y375" i="30"/>
  <c r="AC375" i="30"/>
  <c r="AG375" i="30"/>
  <c r="AK375" i="30"/>
  <c r="AO375" i="30"/>
  <c r="AS375" i="30"/>
  <c r="A376" i="30"/>
  <c r="E376" i="30"/>
  <c r="I376" i="30"/>
  <c r="M376" i="30"/>
  <c r="Q376" i="30"/>
  <c r="U376" i="30"/>
  <c r="Y376" i="30"/>
  <c r="AC376" i="30"/>
  <c r="AG376" i="30"/>
  <c r="AK376" i="30"/>
  <c r="AO376" i="30"/>
  <c r="AS376" i="30"/>
  <c r="A377" i="30"/>
  <c r="E377" i="30"/>
  <c r="I377" i="30"/>
  <c r="M377" i="30"/>
  <c r="Q377" i="30"/>
  <c r="U377" i="30"/>
  <c r="Y377" i="30"/>
  <c r="AC377" i="30"/>
  <c r="AG377" i="30"/>
  <c r="AK377" i="30"/>
  <c r="AO377" i="30"/>
  <c r="AS377" i="30"/>
  <c r="A378" i="30"/>
  <c r="E378" i="30"/>
  <c r="I378" i="30"/>
  <c r="M378" i="30"/>
  <c r="Q378" i="30"/>
  <c r="U378" i="30"/>
  <c r="Y378" i="30"/>
  <c r="AC378" i="30"/>
  <c r="AG378" i="30"/>
  <c r="AK378" i="30"/>
  <c r="AO378" i="30"/>
  <c r="AS378" i="30"/>
  <c r="A379" i="30"/>
  <c r="E379" i="30"/>
  <c r="I379" i="30"/>
  <c r="M379" i="30"/>
  <c r="Q379" i="30"/>
  <c r="U379" i="30"/>
  <c r="Y379" i="30"/>
  <c r="AC379" i="30"/>
  <c r="AG379" i="30"/>
  <c r="AK379" i="30"/>
  <c r="AO379" i="30"/>
  <c r="AS379" i="30"/>
  <c r="A380" i="30"/>
  <c r="E380" i="30"/>
  <c r="I380" i="30"/>
  <c r="M380" i="30"/>
  <c r="Q380" i="30"/>
  <c r="U380" i="30"/>
  <c r="Y380" i="30"/>
  <c r="AC380" i="30"/>
  <c r="AG380" i="30"/>
  <c r="AK380" i="30"/>
  <c r="AO380" i="30"/>
  <c r="AS380" i="30"/>
  <c r="A381" i="30"/>
  <c r="E381" i="30"/>
  <c r="I381" i="30"/>
  <c r="M381" i="30"/>
  <c r="Q381" i="30"/>
  <c r="U381" i="30"/>
  <c r="Y381" i="30"/>
  <c r="AC381" i="30"/>
  <c r="AG381" i="30"/>
  <c r="AK381" i="30"/>
  <c r="AO381" i="30"/>
  <c r="AS381" i="30"/>
  <c r="A382" i="30"/>
  <c r="E382" i="30"/>
  <c r="I382" i="30"/>
  <c r="M382" i="30"/>
  <c r="Q382" i="30"/>
  <c r="U382" i="30"/>
  <c r="Y382" i="30"/>
  <c r="AC382" i="30"/>
  <c r="AG382" i="30"/>
  <c r="AK382" i="30"/>
  <c r="AO382" i="30"/>
  <c r="AS382" i="30"/>
  <c r="A383" i="30"/>
  <c r="E383" i="30"/>
  <c r="I383" i="30"/>
  <c r="M383" i="30"/>
  <c r="Q383" i="30"/>
  <c r="U383" i="30"/>
  <c r="Y383" i="30"/>
  <c r="AC383" i="30"/>
  <c r="AG383" i="30"/>
  <c r="AK383" i="30"/>
  <c r="AO383" i="30"/>
  <c r="AS383" i="30"/>
  <c r="A384" i="30"/>
  <c r="E384" i="30"/>
  <c r="I384" i="30"/>
  <c r="M384" i="30"/>
  <c r="Q384" i="30"/>
  <c r="U384" i="30"/>
  <c r="Y384" i="30"/>
  <c r="AC384" i="30"/>
  <c r="AG384" i="30"/>
  <c r="AK384" i="30"/>
  <c r="AO384" i="30"/>
  <c r="AS384" i="30"/>
  <c r="A385" i="30"/>
  <c r="E385" i="30"/>
  <c r="I385" i="30"/>
  <c r="M385" i="30"/>
  <c r="Q385" i="30"/>
  <c r="U385" i="30"/>
  <c r="Y385" i="30"/>
  <c r="AC385" i="30"/>
  <c r="AG385" i="30"/>
  <c r="AK385" i="30"/>
  <c r="AO385" i="30"/>
  <c r="AS385" i="30"/>
  <c r="A386" i="30"/>
  <c r="E386" i="30"/>
  <c r="I386" i="30"/>
  <c r="M386" i="30"/>
  <c r="Q386" i="30"/>
  <c r="U386" i="30"/>
  <c r="Y386" i="30"/>
  <c r="AC386" i="30"/>
  <c r="AG386" i="30"/>
  <c r="AK386" i="30"/>
  <c r="AO386" i="30"/>
  <c r="AS386" i="30"/>
  <c r="A387" i="30"/>
  <c r="E387" i="30"/>
  <c r="I387" i="30"/>
  <c r="M387" i="30"/>
  <c r="Q387" i="30"/>
  <c r="U387" i="30"/>
  <c r="Y387" i="30"/>
  <c r="AC387" i="30"/>
  <c r="AG387" i="30"/>
  <c r="AK387" i="30"/>
  <c r="AO387" i="30"/>
  <c r="AS387" i="30"/>
  <c r="A388" i="30"/>
  <c r="E388" i="30"/>
  <c r="I388" i="30"/>
  <c r="M388" i="30"/>
  <c r="Q388" i="30"/>
  <c r="U388" i="30"/>
  <c r="Y388" i="30"/>
  <c r="AC388" i="30"/>
  <c r="AG388" i="30"/>
  <c r="AK388" i="30"/>
  <c r="AO388" i="30"/>
  <c r="AS388" i="30"/>
  <c r="A389" i="30"/>
  <c r="E389" i="30"/>
  <c r="I389" i="30"/>
  <c r="M389" i="30"/>
  <c r="Q389" i="30"/>
  <c r="U389" i="30"/>
  <c r="Y389" i="30"/>
  <c r="AC389" i="30"/>
  <c r="AG389" i="30"/>
  <c r="AK389" i="30"/>
  <c r="AO389" i="30"/>
  <c r="AS389" i="30"/>
  <c r="A390" i="30"/>
  <c r="E390" i="30"/>
  <c r="I390" i="30"/>
  <c r="M390" i="30"/>
  <c r="Q390" i="30"/>
  <c r="U390" i="30"/>
  <c r="Y390" i="30"/>
  <c r="AC390" i="30"/>
  <c r="AG390" i="30"/>
  <c r="AK390" i="30"/>
  <c r="AO390" i="30"/>
  <c r="AS390" i="30"/>
  <c r="A391" i="30"/>
  <c r="E391" i="30"/>
  <c r="I391" i="30"/>
  <c r="M391" i="30"/>
  <c r="Q391" i="30"/>
  <c r="U391" i="30"/>
  <c r="Y391" i="30"/>
  <c r="AC391" i="30"/>
  <c r="AG391" i="30"/>
  <c r="AK391" i="30"/>
  <c r="AO391" i="30"/>
  <c r="AS391" i="30"/>
  <c r="A392" i="30"/>
  <c r="E392" i="30"/>
  <c r="I392" i="30"/>
  <c r="M392" i="30"/>
  <c r="Q392" i="30"/>
  <c r="U392" i="30"/>
  <c r="Y392" i="30"/>
  <c r="AC392" i="30"/>
  <c r="AG392" i="30"/>
  <c r="AK392" i="30"/>
  <c r="AO392" i="30"/>
  <c r="AS392" i="30"/>
  <c r="A393" i="30"/>
  <c r="E393" i="30"/>
  <c r="I393" i="30"/>
  <c r="M393" i="30"/>
  <c r="Q393" i="30"/>
  <c r="U393" i="30"/>
  <c r="Y393" i="30"/>
  <c r="AC393" i="30"/>
  <c r="AG393" i="30"/>
  <c r="AK393" i="30"/>
  <c r="AO393" i="30"/>
  <c r="AS393" i="30"/>
  <c r="A394" i="30"/>
  <c r="E394" i="30"/>
  <c r="I394" i="30"/>
  <c r="M394" i="30"/>
  <c r="Q394" i="30"/>
  <c r="U394" i="30"/>
  <c r="Y394" i="30"/>
  <c r="AC394" i="30"/>
  <c r="AG394" i="30"/>
  <c r="AK394" i="30"/>
  <c r="AO394" i="30"/>
  <c r="AS394" i="30"/>
  <c r="A395" i="30"/>
  <c r="E395" i="30"/>
  <c r="I395" i="30"/>
  <c r="M395" i="30"/>
  <c r="Q395" i="30"/>
  <c r="U395" i="30"/>
  <c r="Y395" i="30"/>
  <c r="AC395" i="30"/>
  <c r="AG395" i="30"/>
  <c r="AK395" i="30"/>
  <c r="AO395" i="30"/>
  <c r="AS395" i="30"/>
  <c r="A396" i="30"/>
  <c r="E396" i="30"/>
  <c r="I396" i="30"/>
  <c r="M396" i="30"/>
  <c r="Q396" i="30"/>
  <c r="U396" i="30"/>
  <c r="Y396" i="30"/>
  <c r="AC396" i="30"/>
  <c r="AG396" i="30"/>
  <c r="AK396" i="30"/>
  <c r="AO396" i="30"/>
  <c r="AS396" i="30"/>
  <c r="A397" i="30"/>
  <c r="E397" i="30"/>
  <c r="I397" i="30"/>
  <c r="M397" i="30"/>
  <c r="Q397" i="30"/>
  <c r="U397" i="30"/>
  <c r="Y397" i="30"/>
  <c r="AC397" i="30"/>
  <c r="AG397" i="30"/>
  <c r="AK397" i="30"/>
  <c r="AO397" i="30"/>
  <c r="AS397" i="30"/>
  <c r="A398" i="30"/>
  <c r="E398" i="30"/>
  <c r="I398" i="30"/>
  <c r="M398" i="30"/>
  <c r="Q398" i="30"/>
  <c r="U398" i="30"/>
  <c r="Y398" i="30"/>
  <c r="AC398" i="30"/>
  <c r="AG398" i="30"/>
  <c r="AK398" i="30"/>
  <c r="AO398" i="30"/>
  <c r="AS398" i="30"/>
  <c r="A399" i="30"/>
  <c r="E399" i="30"/>
  <c r="I399" i="30"/>
  <c r="M399" i="30"/>
  <c r="Q399" i="30"/>
  <c r="U399" i="30"/>
  <c r="Y399" i="30"/>
  <c r="AC399" i="30"/>
  <c r="AG399" i="30"/>
  <c r="AK399" i="30"/>
  <c r="AO399" i="30"/>
  <c r="AS399" i="30"/>
  <c r="A400" i="30"/>
  <c r="E400" i="30"/>
  <c r="I400" i="30"/>
  <c r="M400" i="30"/>
  <c r="Q400" i="30"/>
  <c r="U400" i="30"/>
  <c r="Y400" i="30"/>
  <c r="AC400" i="30"/>
  <c r="AG400" i="30"/>
  <c r="AK400" i="30"/>
  <c r="AO400" i="30"/>
  <c r="AS400" i="30"/>
  <c r="AS3" i="30"/>
  <c r="AO3" i="30"/>
  <c r="AK3" i="30"/>
  <c r="AG3" i="30"/>
  <c r="AC3" i="30"/>
  <c r="Y3" i="30"/>
  <c r="U3" i="30"/>
  <c r="Q3" i="30"/>
  <c r="M3" i="30"/>
  <c r="I3" i="30"/>
  <c r="A3" i="30"/>
  <c r="E3" i="30"/>
  <c r="BY13" i="22"/>
  <c r="S1" i="30" l="1" a="1"/>
  <c r="S1" i="30" s="1"/>
  <c r="AH1" i="30"/>
  <c r="AM1" i="30" a="1"/>
  <c r="AM1" i="30" s="1"/>
  <c r="AI1" i="30" a="1"/>
  <c r="AI1" i="30" s="1"/>
  <c r="AG1" i="30" s="1"/>
  <c r="C1" i="30" a="1"/>
  <c r="C1" i="30" s="1"/>
  <c r="AE1" i="30" a="1"/>
  <c r="AE1" i="30" s="1"/>
  <c r="G1" i="30" a="1"/>
  <c r="G1" i="30" s="1"/>
  <c r="AU1" i="30" a="1"/>
  <c r="AU1" i="30" s="1"/>
  <c r="AA1" i="30" a="1"/>
  <c r="AA1" i="30" s="1"/>
  <c r="O1" i="30" a="1"/>
  <c r="O1" i="30" s="1"/>
  <c r="AQ1" i="30" a="1"/>
  <c r="AQ1" i="30" s="1"/>
  <c r="K1" i="30" a="1"/>
  <c r="K1" i="30" s="1"/>
  <c r="W1" i="30" a="1"/>
  <c r="W1" i="30" s="1"/>
  <c r="AT1" i="30"/>
  <c r="AS1" i="30" s="1"/>
  <c r="N1" i="30"/>
  <c r="M1" i="30" s="1"/>
  <c r="AP1" i="30"/>
  <c r="AO1" i="30" s="1"/>
  <c r="J1" i="30"/>
  <c r="V1" i="30"/>
  <c r="AD1" i="30"/>
  <c r="AC1" i="30" s="1"/>
  <c r="Z1" i="30"/>
  <c r="R1" i="30"/>
  <c r="Q1" i="30" s="1"/>
  <c r="AL1" i="30"/>
  <c r="AK1" i="30" s="1"/>
  <c r="F1" i="30"/>
  <c r="E1" i="30" s="1"/>
  <c r="B1" i="30"/>
  <c r="BJ15" i="22"/>
  <c r="BJ14" i="22"/>
  <c r="BJ12" i="22"/>
  <c r="BJ11" i="22"/>
  <c r="A1" i="30" l="1"/>
  <c r="Y1" i="30"/>
  <c r="I1" i="30"/>
  <c r="U1" i="30"/>
  <c r="BZ10" i="22"/>
  <c r="BZ12" i="22"/>
  <c r="BZ11" i="22"/>
  <c r="BZ14" i="22"/>
  <c r="BZ13" i="22"/>
  <c r="BZ15" i="22"/>
  <c r="AO2" i="30" l="1"/>
  <c r="AK2" i="30"/>
  <c r="BJ13" i="22" s="1"/>
  <c r="AG2" i="30"/>
  <c r="BD13" i="22" s="1"/>
  <c r="Y2" i="30"/>
  <c r="AR13" i="22" s="1"/>
  <c r="Q2" i="30"/>
  <c r="AF13" i="22" s="1"/>
  <c r="I2" i="30"/>
  <c r="T13" i="22" s="1"/>
  <c r="G13" i="22"/>
  <c r="AS2" i="30"/>
  <c r="BV13" i="22" s="1"/>
  <c r="AC2" i="30"/>
  <c r="AX13" i="22" s="1"/>
  <c r="U2" i="30"/>
  <c r="AL13" i="22" s="1"/>
  <c r="M2" i="30"/>
  <c r="Z13" i="22" s="1"/>
  <c r="BU13" i="22"/>
  <c r="BI13" i="22"/>
  <c r="BC13" i="22"/>
  <c r="AW13" i="22"/>
  <c r="AK13" i="22"/>
  <c r="AE13" i="22"/>
  <c r="Y13" i="22"/>
  <c r="M13" i="22"/>
  <c r="C13" i="22"/>
  <c r="D13" i="22"/>
  <c r="BP13" i="22" l="1"/>
  <c r="A2" i="30"/>
  <c r="H13" i="22" s="1"/>
  <c r="AQ13" i="22"/>
  <c r="BO13" i="22"/>
  <c r="E2" i="30"/>
  <c r="N13" i="22" s="1"/>
  <c r="CA13" i="22"/>
  <c r="CB13" i="22"/>
  <c r="S13" i="22"/>
  <c r="D12" i="22"/>
  <c r="C12" i="22"/>
  <c r="BY12" i="22"/>
  <c r="C14" i="22"/>
  <c r="BY15" i="22"/>
  <c r="BY11" i="22"/>
  <c r="D11" i="22"/>
  <c r="C11" i="22"/>
  <c r="C15" i="22"/>
  <c r="D15" i="22"/>
  <c r="BY10" i="22"/>
  <c r="BY14" i="22"/>
  <c r="D14" i="22"/>
  <c r="X9" i="22" l="1"/>
  <c r="W9" i="22"/>
  <c r="BV14" i="22"/>
  <c r="BI14" i="22"/>
  <c r="AX14" i="22"/>
  <c r="AR14" i="22"/>
  <c r="AK14" i="22"/>
  <c r="AF14" i="22"/>
  <c r="Z14" i="22"/>
  <c r="T14" i="22"/>
  <c r="N14" i="22"/>
  <c r="H14" i="22"/>
  <c r="BU15" i="22"/>
  <c r="BO15" i="22"/>
  <c r="BI15" i="22"/>
  <c r="BC15" i="22"/>
  <c r="AW15" i="22"/>
  <c r="AQ15" i="22"/>
  <c r="AK15" i="22"/>
  <c r="AE15" i="22"/>
  <c r="Y15" i="22"/>
  <c r="S15" i="22"/>
  <c r="M15" i="22"/>
  <c r="H15" i="22"/>
  <c r="BV15" i="22"/>
  <c r="BD15" i="22"/>
  <c r="AX15" i="22"/>
  <c r="AR15" i="22"/>
  <c r="AL15" i="22"/>
  <c r="AF15" i="22"/>
  <c r="Z15" i="22"/>
  <c r="T15" i="22"/>
  <c r="N15" i="22"/>
  <c r="BD14" i="22"/>
  <c r="BU12" i="22"/>
  <c r="BI12" i="22"/>
  <c r="BD12" i="22"/>
  <c r="AX12" i="22"/>
  <c r="AQ12" i="22"/>
  <c r="AK12" i="22"/>
  <c r="AF12" i="22"/>
  <c r="Z12" i="22"/>
  <c r="T12" i="22"/>
  <c r="N12" i="22"/>
  <c r="G12" i="22"/>
  <c r="BV12" i="22"/>
  <c r="AL12" i="22"/>
  <c r="BU11" i="22"/>
  <c r="BO11" i="22"/>
  <c r="AW11" i="22"/>
  <c r="AR11" i="22"/>
  <c r="AK11" i="22"/>
  <c r="AF11" i="22"/>
  <c r="Y11" i="22"/>
  <c r="T11" i="22"/>
  <c r="N11" i="22"/>
  <c r="BV11" i="22"/>
  <c r="AX11" i="22"/>
  <c r="AL11" i="22"/>
  <c r="Z11" i="22"/>
  <c r="G15" i="22" l="1"/>
  <c r="AQ14" i="22"/>
  <c r="AL14" i="22"/>
  <c r="BC14" i="22"/>
  <c r="S14" i="22"/>
  <c r="H12" i="22"/>
  <c r="BP11" i="22"/>
  <c r="B1" i="24"/>
  <c r="M10" i="22" s="1"/>
  <c r="F1" i="24"/>
  <c r="AK10" i="22" s="1"/>
  <c r="AK9" i="22" s="1"/>
  <c r="J1" i="24"/>
  <c r="BI10" i="22" s="1"/>
  <c r="CA11" i="22"/>
  <c r="CA12" i="22"/>
  <c r="CA14" i="22"/>
  <c r="CA15" i="22"/>
  <c r="CA10" i="22"/>
  <c r="BP15" i="22"/>
  <c r="BP14" i="22"/>
  <c r="BO14" i="22"/>
  <c r="Y14" i="22"/>
  <c r="BU14" i="22"/>
  <c r="G14" i="22"/>
  <c r="AE14" i="22"/>
  <c r="AW14" i="22"/>
  <c r="M14" i="22"/>
  <c r="M12" i="22"/>
  <c r="BP12" i="22"/>
  <c r="S12" i="22"/>
  <c r="BO12" i="22"/>
  <c r="Y12" i="22"/>
  <c r="AW12" i="22"/>
  <c r="AE12" i="22"/>
  <c r="BC12" i="22"/>
  <c r="BD11" i="22"/>
  <c r="C1" i="24"/>
  <c r="S10" i="22" s="1"/>
  <c r="G1" i="24"/>
  <c r="AQ10" i="22" s="1"/>
  <c r="K1" i="24"/>
  <c r="BO10" i="22" s="1"/>
  <c r="A1" i="24"/>
  <c r="G10" i="22" s="1"/>
  <c r="D1" i="24"/>
  <c r="Y10" i="22" s="1"/>
  <c r="H1" i="24"/>
  <c r="AW10" i="22" s="1"/>
  <c r="L1" i="24"/>
  <c r="BU10" i="22" s="1"/>
  <c r="E1" i="24"/>
  <c r="AE10" i="22" s="1"/>
  <c r="I1" i="24"/>
  <c r="BC10" i="22" s="1"/>
  <c r="B2" i="24"/>
  <c r="N10" i="22" s="1"/>
  <c r="N9" i="22" s="1"/>
  <c r="F2" i="24"/>
  <c r="AL10" i="22" s="1"/>
  <c r="J2" i="24"/>
  <c r="BJ10" i="22" s="1"/>
  <c r="G11" i="22"/>
  <c r="AE11" i="22"/>
  <c r="BC11" i="22"/>
  <c r="M11" i="22"/>
  <c r="BI11" i="22"/>
  <c r="S11" i="22"/>
  <c r="AQ11" i="22"/>
  <c r="H11" i="22"/>
  <c r="AR12" i="22"/>
  <c r="K2" i="24"/>
  <c r="G2" i="24"/>
  <c r="AR10" i="22" s="1"/>
  <c r="C2" i="24"/>
  <c r="T10" i="22" s="1"/>
  <c r="T9" i="22" s="1"/>
  <c r="I2" i="24"/>
  <c r="BD10" i="22" s="1"/>
  <c r="E2" i="24"/>
  <c r="AF10" i="22" s="1"/>
  <c r="AF9" i="22" s="1"/>
  <c r="L2" i="24"/>
  <c r="BV10" i="22" s="1"/>
  <c r="BV9" i="22" s="1"/>
  <c r="H2" i="24"/>
  <c r="AX10" i="22" s="1"/>
  <c r="AX9" i="22" s="1"/>
  <c r="D2" i="24"/>
  <c r="Z10" i="22" s="1"/>
  <c r="Z9" i="22" s="1"/>
  <c r="A2" i="24"/>
  <c r="AL9" i="22" l="1"/>
  <c r="BI9" i="22"/>
  <c r="M9" i="22"/>
  <c r="H10" i="22"/>
  <c r="H9" i="22" s="1"/>
  <c r="Y9" i="22"/>
  <c r="G9" i="22"/>
  <c r="AW9" i="22"/>
  <c r="BO9" i="22"/>
  <c r="AR9" i="22"/>
  <c r="S9" i="22"/>
  <c r="AE9" i="22"/>
  <c r="AQ9" i="22"/>
  <c r="BZ9" i="22"/>
  <c r="BP10" i="22"/>
  <c r="BP9" i="22" s="1"/>
  <c r="BJ9" i="22"/>
  <c r="BY9" i="22"/>
  <c r="C9" i="22"/>
  <c r="CB15" i="22" l="1"/>
  <c r="CB14" i="22"/>
  <c r="CB12" i="22"/>
  <c r="CB11" i="22"/>
  <c r="CB10" i="22"/>
  <c r="CA9" i="22"/>
  <c r="D9" i="22"/>
  <c r="CB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</author>
  </authors>
  <commentList>
    <comment ref="B1" authorId="0" shapeId="0" xr:uid="{00000000-0006-0000-0100-000001000000}">
      <text>
        <r>
          <rPr>
            <sz val="9"/>
            <color indexed="81"/>
            <rFont val="Tahoma"/>
            <family val="2"/>
          </rPr>
          <t>Đếm số dòng có công việc được thực hiện trực tiếp, tương đương với số công việc đã thực hiện</t>
        </r>
      </text>
    </comment>
    <comment ref="C1" authorId="0" shapeId="0" xr:uid="{00000000-0006-0000-0100-000002000000}">
      <text>
        <r>
          <rPr>
            <sz val="9"/>
            <color indexed="81"/>
            <rFont val="Tahoma"/>
            <family val="2"/>
          </rPr>
          <t>Đếm số lần giá trị trong cột D thay đổi so với dòng ngay phía trên, đồng thời bỏ qua các ô trống và ô có giá trị 0.
Ý nghĩa của nó là xác định xem có bao nhiêu lần thực hiện công việc có cấp 5. Mỗi lần thực hiện thì thường đi theo mảng</t>
        </r>
      </text>
    </comment>
    <comment ref="A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1
</t>
        </r>
      </text>
    </comment>
    <comment ref="A3" authorId="0" shapeId="0" xr:uid="{00000000-0006-0000-0100-000004000000}">
      <text>
        <r>
          <rPr>
            <sz val="9"/>
            <color indexed="81"/>
            <rFont val="Tahoma"/>
            <family val="2"/>
          </rPr>
          <t>Tìm tháng 1 lấy thành tiền</t>
        </r>
      </text>
    </comment>
    <comment ref="B3" authorId="0" shapeId="0" xr:uid="{00000000-0006-0000-0100-000005000000}">
      <text>
        <r>
          <rPr>
            <sz val="9"/>
            <color indexed="81"/>
            <rFont val="Tahoma"/>
            <charset val="1"/>
          </rPr>
          <t xml:space="preserve">Tìm trong 4 ô XT!U3, XT!Y3, XT!AC3, XT!AG3 ô nào có tháng bằng 1 (tháng 1), rồi trả về số ngày của ô đó. Nếu không có ô nào thuộc tháng 1 thì trả về chuỗi rỗng ""
</t>
        </r>
      </text>
    </comment>
    <comment ref="C3" authorId="0" shapeId="0" xr:uid="{00000000-0006-0000-0100-000006000000}">
      <text>
        <r>
          <rPr>
            <sz val="9"/>
            <color indexed="81"/>
            <rFont val="Tahoma"/>
            <family val="2"/>
          </rPr>
          <t>Tìm cấp độ, nếu cấp độ &gt;0 thì lấy giá trị cột B. Ý nghĩa là xác định công việc thực hiện trực tiếp, không có chi tiết</t>
        </r>
      </text>
    </comment>
    <comment ref="D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Nếu cấp độ =0 thì đó là chi tiết (tức cấp5) thì lấygiá trị ngày trong tháng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</author>
  </authors>
  <commentList>
    <comment ref="E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t5</t>
        </r>
      </text>
    </comment>
    <comment ref="H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8</t>
        </r>
      </text>
    </comment>
    <comment ref="A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</author>
  </authors>
  <commentList>
    <comment ref="E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t5</t>
        </r>
      </text>
    </comment>
    <comment ref="H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8</t>
        </r>
      </text>
    </comment>
    <comment ref="A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1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</author>
  </authors>
  <commentList>
    <comment ref="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t5</t>
        </r>
      </text>
    </comment>
    <comment ref="H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8</t>
        </r>
      </text>
    </comment>
    <comment ref="A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1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</author>
  </authors>
  <commentList>
    <comment ref="E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t5</t>
        </r>
      </text>
    </comment>
    <comment ref="H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8</t>
        </r>
      </text>
    </comment>
    <comment ref="A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1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</author>
  </authors>
  <commentList>
    <comment ref="E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t5</t>
        </r>
      </text>
    </comment>
    <comment ref="H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8</t>
        </r>
      </text>
    </comment>
    <comment ref="A2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Hai:</t>
        </r>
        <r>
          <rPr>
            <sz val="9"/>
            <color indexed="81"/>
            <rFont val="Tahoma"/>
            <family val="2"/>
          </rPr>
          <t xml:space="preserve">
thang 1
</t>
        </r>
      </text>
    </comment>
  </commentList>
</comments>
</file>

<file path=xl/sharedStrings.xml><?xml version="1.0" encoding="utf-8"?>
<sst xmlns="http://schemas.openxmlformats.org/spreadsheetml/2006/main" count="196" uniqueCount="54">
  <si>
    <t>Ghi chú</t>
  </si>
  <si>
    <t>Số lượng</t>
  </si>
  <si>
    <t>TT</t>
  </si>
  <si>
    <t>NỘI DUNG CÔNG VIỆC</t>
  </si>
  <si>
    <t>TRẠM NẠP LPG HÀ NỘI</t>
  </si>
  <si>
    <t>TRẠM NẠP LPG NAM ĐỊNH</t>
  </si>
  <si>
    <t>SL</t>
  </si>
  <si>
    <t>BÁO CÁO TỔNG HỢP 
KẾT QUẢ THỰC HIỆN CÔNG TÁC BẢO DƯỠNG SỬA CHỮA TẠI CHI NHÁNH MIỀN BẮC</t>
  </si>
  <si>
    <t>Lũy kế từ 01/01 đến tháng báo cáo</t>
  </si>
  <si>
    <t>So sánh % LKTH so với KH</t>
  </si>
  <si>
    <t>Kế hoạch</t>
  </si>
  <si>
    <t>Thực hiện</t>
  </si>
  <si>
    <t>%</t>
  </si>
  <si>
    <t>Giá trị (VNĐ)</t>
  </si>
  <si>
    <t>Giá trị</t>
  </si>
  <si>
    <t>%SL</t>
  </si>
  <si>
    <t>%Giá trị</t>
  </si>
  <si>
    <t>CỘNG</t>
  </si>
  <si>
    <t>TTSSKĐ NAM ĐỊNH</t>
  </si>
  <si>
    <t>BẢO DƯỠNG XE Ô TÔ</t>
  </si>
  <si>
    <t xml:space="preserve">KHO LPG HẢI PHÒNG </t>
  </si>
  <si>
    <t xml:space="preserve">KHO LPG MIỀN BẮC </t>
  </si>
  <si>
    <t>NĂM 20xy</t>
  </si>
  <si>
    <t>(Ban hành kèm theo Quyết định số …….…/QĐ-CNMB ngày …….…tháng …...… năm 20xy của Giám đốc Chi nhánh)</t>
  </si>
  <si>
    <t>Chi phí KH 20xy</t>
  </si>
  <si>
    <t>Tháng 01/20xy</t>
  </si>
  <si>
    <t>Tháng 02/20xy</t>
  </si>
  <si>
    <t>Tháng 03/20xy</t>
  </si>
  <si>
    <t>Tháng 04/20xy</t>
  </si>
  <si>
    <t>Tháng 05/20xy</t>
  </si>
  <si>
    <t>Tháng 06/20xy</t>
  </si>
  <si>
    <t>Tháng 07/20xy</t>
  </si>
  <si>
    <t>Tháng 08/20xy</t>
  </si>
  <si>
    <t>Tháng 09/20xy</t>
  </si>
  <si>
    <t>Tháng 10/20xy</t>
  </si>
  <si>
    <t>Tháng 11/20xy</t>
  </si>
  <si>
    <t>Tháng 12/20xy</t>
  </si>
  <si>
    <t>Đơn vị</t>
  </si>
  <si>
    <t>Thời gian thực hiện</t>
  </si>
  <si>
    <t>Đơn vị thực hiện</t>
  </si>
  <si>
    <t>Năm phân bổ</t>
  </si>
  <si>
    <t>Chi phí phân bổ 2026</t>
  </si>
  <si>
    <t>Cấp độ Công việc</t>
  </si>
  <si>
    <t>Chi phí cấp độ 1</t>
  </si>
  <si>
    <t>Chi phí cấp độ 2</t>
  </si>
  <si>
    <t>KH 20xy</t>
  </si>
  <si>
    <t>Chi phí kế hoạch 20xy</t>
  </si>
  <si>
    <t>Ước TH 20za</t>
  </si>
  <si>
    <t>Kế hoạch năm 20za</t>
  </si>
  <si>
    <t>Năm 20za</t>
  </si>
  <si>
    <r>
      <t>(Ban hành kèm theo Quyết định số …</t>
    </r>
    <r>
      <rPr>
        <sz val="12"/>
        <rFont val="Times New Roman"/>
        <family val="1"/>
      </rPr>
      <t>….…</t>
    </r>
    <r>
      <rPr>
        <i/>
        <sz val="12"/>
        <rFont val="Times New Roman"/>
        <family val="1"/>
      </rPr>
      <t>/QĐ-CNMB ngày …</t>
    </r>
    <r>
      <rPr>
        <sz val="12"/>
        <rFont val="Times New Roman"/>
        <family val="1"/>
      </rPr>
      <t>….</t>
    </r>
    <r>
      <rPr>
        <i/>
        <sz val="12"/>
        <rFont val="Times New Roman"/>
        <family val="1"/>
      </rPr>
      <t xml:space="preserve">…tháng </t>
    </r>
    <r>
      <rPr>
        <sz val="12"/>
        <rFont val="Times New Roman"/>
        <family val="1"/>
      </rPr>
      <t>…...</t>
    </r>
    <r>
      <rPr>
        <i/>
        <sz val="12"/>
        <rFont val="Times New Roman"/>
        <family val="1"/>
      </rPr>
      <t>…  năm 20xy của Giám đốc Chi nhánh)</t>
    </r>
  </si>
  <si>
    <t>PHỤ LỤC I: KẾ HOẠCH BẢO DƯỠNG - SỬA CHỮA  NĂM 20xy</t>
  </si>
  <si>
    <t>Chi phí đã thực hiện</t>
  </si>
  <si>
    <t>PHỤ LỤC I: KẾ HOẠCH BẢO DƯỠNG - SỬA CHỮA ĐIỀU CHỈNH NĂM 20xy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</si>
</sst>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₫_-;\-* #,##0.00\ _₫_-;_-* &quot;-&quot;??\ _₫_-;_-@_-"/>
    <numFmt numFmtId="165" formatCode="_-* #,##0.00_-;\-* #,##0.00_-;_-* &quot;-&quot;??_-;_-@_-"/>
    <numFmt numFmtId="166" formatCode="_-* #,##0\ _₫_-;\-* #,##0\ _₫_-;_-* &quot;-&quot;??\ _₫_-;_-@_-"/>
    <numFmt numFmtId="167" formatCode="_(* #,##0_);_(* \(#,##0\);_(* &quot;-&quot;??_);_(@_)"/>
    <numFmt numFmtId="168" formatCode="0.0"/>
  </numFmts>
  <fonts count="46"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.VnTime"/>
      <family val="2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color theme="1"/>
      <name val="VnBravo Times"/>
      <family val="2"/>
    </font>
    <font>
      <sz val="10"/>
      <name val="Times New Roman"/>
      <family val="1"/>
    </font>
    <font>
      <sz val="10"/>
      <name val="VnBravo Times"/>
      <family val="1"/>
    </font>
    <font>
      <sz val="11"/>
      <color indexed="8"/>
      <name val="Calibri"/>
      <family val="2"/>
    </font>
    <font>
      <sz val="12"/>
      <color theme="1"/>
      <name val="Tahoma"/>
      <family val="2"/>
    </font>
    <font>
      <sz val="12"/>
      <color indexed="8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9"/>
      <color indexed="81"/>
      <name val="Tahoma"/>
      <charset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3">
    <xf numFmtId="0" fontId="0" fillId="0" borderId="0"/>
    <xf numFmtId="164" fontId="5" fillId="0" borderId="0" applyFont="0" applyFill="0" applyBorder="0" applyAlignment="0" applyProtection="0"/>
    <xf numFmtId="0" fontId="3" fillId="0" borderId="0"/>
    <xf numFmtId="0" fontId="4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167" fontId="8" fillId="0" borderId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4" fillId="0" borderId="1" quotePrefix="1">
      <alignment horizontal="justify" vertical="justify" textRotation="127" wrapText="1" justifyLastLine="1"/>
      <protection hidden="1"/>
    </xf>
    <xf numFmtId="43" fontId="4" fillId="0" borderId="0" applyFont="0" applyFill="0" applyBorder="0" applyAlignment="0" applyProtection="0"/>
    <xf numFmtId="0" fontId="10" fillId="0" borderId="0"/>
    <xf numFmtId="0" fontId="2" fillId="0" borderId="0"/>
    <xf numFmtId="0" fontId="4" fillId="0" borderId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/>
    <xf numFmtId="0" fontId="8" fillId="0" borderId="0"/>
    <xf numFmtId="0" fontId="4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8" fillId="0" borderId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7" fillId="0" borderId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6" applyNumberFormat="0" applyAlignment="0" applyProtection="0"/>
    <xf numFmtId="0" fontId="28" fillId="8" borderId="7" applyNumberFormat="0" applyAlignment="0" applyProtection="0"/>
    <xf numFmtId="0" fontId="29" fillId="8" borderId="6" applyNumberFormat="0" applyAlignment="0" applyProtection="0"/>
    <xf numFmtId="0" fontId="30" fillId="0" borderId="8" applyNumberFormat="0" applyFill="0" applyAlignment="0" applyProtection="0"/>
    <xf numFmtId="0" fontId="31" fillId="9" borderId="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5" fillId="34" borderId="0" applyNumberFormat="0" applyBorder="0" applyAlignment="0" applyProtection="0"/>
    <xf numFmtId="0" fontId="1" fillId="0" borderId="0"/>
    <xf numFmtId="0" fontId="1" fillId="10" borderId="10" applyNumberFormat="0" applyFont="0" applyAlignment="0" applyProtection="0"/>
    <xf numFmtId="9" fontId="36" fillId="0" borderId="0" applyFont="0" applyFill="0" applyBorder="0" applyAlignment="0" applyProtection="0"/>
    <xf numFmtId="0" fontId="8" fillId="0" borderId="0"/>
  </cellStyleXfs>
  <cellXfs count="49">
    <xf numFmtId="0" fontId="0" fillId="0" borderId="0" xfId="0"/>
    <xf numFmtId="0" fontId="13" fillId="0" borderId="2" xfId="0" applyFont="1" applyBorder="1" applyAlignment="1">
      <alignment horizontal="center" vertical="center" wrapText="1"/>
    </xf>
    <xf numFmtId="0" fontId="15" fillId="0" borderId="0" xfId="0" applyFont="1"/>
    <xf numFmtId="0" fontId="13" fillId="0" borderId="2" xfId="0" applyFont="1" applyBorder="1" applyAlignment="1">
      <alignment wrapText="1"/>
    </xf>
    <xf numFmtId="0" fontId="13" fillId="0" borderId="2" xfId="0" applyFont="1" applyBorder="1" applyAlignment="1">
      <alignment horizontal="right" vertical="center" wrapText="1"/>
    </xf>
    <xf numFmtId="0" fontId="15" fillId="0" borderId="2" xfId="0" applyFont="1" applyBorder="1" applyAlignment="1">
      <alignment vertical="center" wrapText="1"/>
    </xf>
    <xf numFmtId="166" fontId="18" fillId="0" borderId="2" xfId="1" applyNumberFormat="1" applyFont="1" applyBorder="1" applyAlignment="1">
      <alignment horizontal="right" vertical="center" wrapText="1"/>
    </xf>
    <xf numFmtId="0" fontId="15" fillId="0" borderId="2" xfId="0" applyFont="1" applyBorder="1" applyAlignment="1">
      <alignment wrapText="1"/>
    </xf>
    <xf numFmtId="166" fontId="13" fillId="0" borderId="2" xfId="1" applyNumberFormat="1" applyFont="1" applyBorder="1" applyAlignment="1">
      <alignment horizontal="right" vertical="center" wrapText="1"/>
    </xf>
    <xf numFmtId="9" fontId="13" fillId="0" borderId="2" xfId="81" applyFont="1" applyBorder="1" applyAlignment="1">
      <alignment horizontal="right" vertical="center" wrapText="1"/>
    </xf>
    <xf numFmtId="0" fontId="39" fillId="0" borderId="0" xfId="0" applyFont="1"/>
    <xf numFmtId="0" fontId="39" fillId="35" borderId="0" xfId="0" applyFont="1" applyFill="1"/>
    <xf numFmtId="0" fontId="0" fillId="0" borderId="0" xfId="0" quotePrefix="1"/>
    <xf numFmtId="0" fontId="41" fillId="0" borderId="0" xfId="82" applyFont="1"/>
    <xf numFmtId="0" fontId="41" fillId="0" borderId="0" xfId="82" applyFont="1" applyAlignment="1">
      <alignment horizontal="center" vertical="center"/>
    </xf>
    <xf numFmtId="0" fontId="41" fillId="0" borderId="0" xfId="82" applyFont="1" applyAlignment="1">
      <alignment horizontal="center"/>
    </xf>
    <xf numFmtId="0" fontId="41" fillId="0" borderId="0" xfId="82" applyFont="1" applyAlignment="1">
      <alignment horizontal="right"/>
    </xf>
    <xf numFmtId="0" fontId="41" fillId="0" borderId="0" xfId="0" applyFont="1"/>
    <xf numFmtId="166" fontId="41" fillId="0" borderId="0" xfId="1" applyNumberFormat="1" applyFont="1"/>
    <xf numFmtId="0" fontId="44" fillId="0" borderId="12" xfId="82" applyFont="1" applyBorder="1" applyAlignment="1">
      <alignment horizontal="center" vertical="center" wrapText="1"/>
    </xf>
    <xf numFmtId="3" fontId="44" fillId="0" borderId="12" xfId="82" applyNumberFormat="1" applyFont="1" applyBorder="1" applyAlignment="1" applyProtection="1">
      <alignment horizontal="center" vertical="center" wrapText="1"/>
      <protection locked="0"/>
    </xf>
    <xf numFmtId="167" fontId="44" fillId="0" borderId="12" xfId="24" applyNumberFormat="1" applyFont="1" applyFill="1" applyBorder="1" applyAlignment="1" applyProtection="1">
      <alignment horizontal="center" vertical="center" wrapText="1"/>
      <protection locked="0"/>
    </xf>
    <xf numFmtId="4" fontId="44" fillId="0" borderId="12" xfId="82" applyNumberFormat="1" applyFont="1" applyBorder="1" applyAlignment="1" applyProtection="1">
      <alignment horizontal="center" vertical="center" wrapText="1"/>
      <protection locked="0"/>
    </xf>
    <xf numFmtId="166" fontId="44" fillId="0" borderId="12" xfId="1" applyNumberFormat="1" applyFont="1" applyBorder="1" applyAlignment="1">
      <alignment horizontal="center" vertical="center" wrapText="1"/>
    </xf>
    <xf numFmtId="0" fontId="45" fillId="0" borderId="0" xfId="0" applyFont="1"/>
    <xf numFmtId="0" fontId="1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2" borderId="13" xfId="0" applyFont="1" applyFill="1" applyBorder="1" applyAlignment="1">
      <alignment vertical="center" wrapText="1"/>
    </xf>
    <xf numFmtId="0" fontId="14" fillId="2" borderId="13" xfId="0" applyFont="1" applyFill="1" applyBorder="1" applyAlignment="1">
      <alignment vertical="center" wrapText="1"/>
    </xf>
    <xf numFmtId="166" fontId="17" fillId="2" borderId="13" xfId="1" applyNumberFormat="1" applyFont="1" applyFill="1" applyBorder="1" applyAlignment="1">
      <alignment horizontal="right" vertical="center" wrapText="1"/>
    </xf>
    <xf numFmtId="0" fontId="14" fillId="2" borderId="13" xfId="0" applyFont="1" applyFill="1" applyBorder="1" applyAlignment="1">
      <alignment horizontal="right" vertical="center" wrapText="1"/>
    </xf>
    <xf numFmtId="166" fontId="14" fillId="2" borderId="13" xfId="1" applyNumberFormat="1" applyFont="1" applyFill="1" applyBorder="1" applyAlignment="1">
      <alignment horizontal="right" vertical="center" wrapText="1"/>
    </xf>
    <xf numFmtId="9" fontId="14" fillId="2" borderId="13" xfId="81" applyFont="1" applyFill="1" applyBorder="1" applyAlignment="1">
      <alignment horizontal="right" vertical="center" wrapText="1"/>
    </xf>
    <xf numFmtId="0" fontId="14" fillId="0" borderId="12" xfId="0" applyFont="1" applyBorder="1" applyAlignment="1">
      <alignment horizontal="center" vertical="center" wrapText="1"/>
    </xf>
    <xf numFmtId="0" fontId="0" fillId="0" borderId="12" xfId="0" applyBorder="1"/>
    <xf numFmtId="0" fontId="15" fillId="0" borderId="0" xfId="0" applyFont="1" applyAlignment="1">
      <alignment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42" fillId="0" borderId="0" xfId="82" applyFont="1" applyAlignment="1">
      <alignment horizontal="center" vertical="center" wrapText="1"/>
    </xf>
    <xf numFmtId="0" fontId="43" fillId="0" borderId="0" xfId="82" applyFont="1" applyAlignment="1">
      <alignment horizontal="center" vertical="center" wrapText="1"/>
    </xf>
    <xf numFmtId="168" fontId="44" fillId="0" borderId="12" xfId="82" applyNumberFormat="1" applyFont="1" applyBorder="1" applyAlignment="1" applyProtection="1">
      <alignment horizontal="center" vertical="center" wrapText="1"/>
      <protection locked="0"/>
    </xf>
    <xf numFmtId="0" fontId="44" fillId="0" borderId="12" xfId="82" applyFont="1" applyBorder="1" applyAlignment="1">
      <alignment horizontal="center" vertical="center"/>
    </xf>
    <xf numFmtId="0" fontId="44" fillId="0" borderId="12" xfId="82" applyFont="1" applyBorder="1" applyAlignment="1">
      <alignment horizontal="center" vertical="center" wrapText="1"/>
    </xf>
    <xf numFmtId="0" fontId="44" fillId="0" borderId="14" xfId="82" applyFont="1" applyBorder="1" applyAlignment="1">
      <alignment horizontal="center" vertical="center"/>
    </xf>
    <xf numFmtId="0" fontId="44" fillId="0" borderId="15" xfId="82" applyFont="1" applyBorder="1" applyAlignment="1">
      <alignment horizontal="center" vertical="center"/>
    </xf>
    <xf numFmtId="0" fontId="44" fillId="0" borderId="16" xfId="82" applyFont="1" applyBorder="1" applyAlignment="1">
      <alignment horizontal="center" vertical="center"/>
    </xf>
  </cellXfs>
  <cellStyles count="83">
    <cellStyle name="20% - Accent1" xfId="56" builtinId="30" customBuiltin="1"/>
    <cellStyle name="20% - Accent2" xfId="60" builtinId="34" customBuiltin="1"/>
    <cellStyle name="20% - Accent3" xfId="64" builtinId="38" customBuiltin="1"/>
    <cellStyle name="20% - Accent4" xfId="68" builtinId="42" customBuiltin="1"/>
    <cellStyle name="20% - Accent5" xfId="72" builtinId="46" customBuiltin="1"/>
    <cellStyle name="20% - Accent6" xfId="76" builtinId="50" customBuiltin="1"/>
    <cellStyle name="40% - Accent1" xfId="57" builtinId="31" customBuiltin="1"/>
    <cellStyle name="40% - Accent2" xfId="61" builtinId="35" customBuiltin="1"/>
    <cellStyle name="40% - Accent3" xfId="65" builtinId="39" customBuiltin="1"/>
    <cellStyle name="40% - Accent4" xfId="69" builtinId="43" customBuiltin="1"/>
    <cellStyle name="40% - Accent5" xfId="73" builtinId="47" customBuiltin="1"/>
    <cellStyle name="40% - Accent6" xfId="77" builtinId="51" customBuiltin="1"/>
    <cellStyle name="60% - Accent1" xfId="58" builtinId="32" customBuiltin="1"/>
    <cellStyle name="60% - Accent2" xfId="62" builtinId="36" customBuiltin="1"/>
    <cellStyle name="60% - Accent3" xfId="66" builtinId="40" customBuiltin="1"/>
    <cellStyle name="60% - Accent4" xfId="70" builtinId="44" customBuiltin="1"/>
    <cellStyle name="60% - Accent5" xfId="74" builtinId="48" customBuiltin="1"/>
    <cellStyle name="60% - Accent6" xfId="78" builtinId="52" customBuiltin="1"/>
    <cellStyle name="Accent1" xfId="55" builtinId="29" customBuiltin="1"/>
    <cellStyle name="Accent2" xfId="59" builtinId="33" customBuiltin="1"/>
    <cellStyle name="Accent3" xfId="63" builtinId="37" customBuiltin="1"/>
    <cellStyle name="Accent4" xfId="67" builtinId="41" customBuiltin="1"/>
    <cellStyle name="Accent5" xfId="71" builtinId="45" customBuiltin="1"/>
    <cellStyle name="Accent6" xfId="75" builtinId="49" customBuiltin="1"/>
    <cellStyle name="Bad" xfId="45" builtinId="27" customBuiltin="1"/>
    <cellStyle name="C:\Data\MS\Excel 2" xfId="19" xr:uid="{00000000-0005-0000-0000-000019000000}"/>
    <cellStyle name="Calculation" xfId="49" builtinId="22" customBuiltin="1"/>
    <cellStyle name="Check Cell" xfId="51" builtinId="23" customBuiltin="1"/>
    <cellStyle name="Comma" xfId="1" builtinId="3"/>
    <cellStyle name="Comma 10 2" xfId="15" xr:uid="{00000000-0005-0000-0000-00001D000000}"/>
    <cellStyle name="Comma 14 2" xfId="24" xr:uid="{00000000-0005-0000-0000-00001E000000}"/>
    <cellStyle name="Comma 15" xfId="16" xr:uid="{00000000-0005-0000-0000-00001F000000}"/>
    <cellStyle name="Comma 2" xfId="8" xr:uid="{00000000-0005-0000-0000-000020000000}"/>
    <cellStyle name="Comma 2 2 2 2" xfId="32" xr:uid="{00000000-0005-0000-0000-000021000000}"/>
    <cellStyle name="Comma 2 6" xfId="34" xr:uid="{00000000-0005-0000-0000-000022000000}"/>
    <cellStyle name="Comma 22 2" xfId="31" xr:uid="{00000000-0005-0000-0000-000023000000}"/>
    <cellStyle name="Comma 24 2" xfId="13" xr:uid="{00000000-0005-0000-0000-000024000000}"/>
    <cellStyle name="Comma 3" xfId="20" xr:uid="{00000000-0005-0000-0000-000025000000}"/>
    <cellStyle name="Comma 3 17 2 2" xfId="5" xr:uid="{00000000-0005-0000-0000-000026000000}"/>
    <cellStyle name="Comma 3 18 2" xfId="4" xr:uid="{00000000-0005-0000-0000-000027000000}"/>
    <cellStyle name="Comma 3 2" xfId="35" xr:uid="{00000000-0005-0000-0000-000028000000}"/>
    <cellStyle name="Comma 4" xfId="38" xr:uid="{00000000-0005-0000-0000-000029000000}"/>
    <cellStyle name="Comma 7" xfId="25" xr:uid="{00000000-0005-0000-0000-00002A000000}"/>
    <cellStyle name="Comma 70" xfId="6" xr:uid="{00000000-0005-0000-0000-00002B000000}"/>
    <cellStyle name="Comma 8" xfId="33" xr:uid="{00000000-0005-0000-0000-00002C000000}"/>
    <cellStyle name="Comma 9" xfId="11" xr:uid="{00000000-0005-0000-0000-00002D000000}"/>
    <cellStyle name="Explanatory Text" xfId="53" builtinId="53" customBuiltin="1"/>
    <cellStyle name="Good" xfId="44" builtinId="26" customBuiltin="1"/>
    <cellStyle name="Heading 1" xfId="40" builtinId="16" customBuiltin="1"/>
    <cellStyle name="Heading 2" xfId="41" builtinId="17" customBuiltin="1"/>
    <cellStyle name="Heading 3" xfId="42" builtinId="18" customBuiltin="1"/>
    <cellStyle name="Heading 4" xfId="43" builtinId="19" customBuiltin="1"/>
    <cellStyle name="Input" xfId="47" builtinId="20" customBuiltin="1"/>
    <cellStyle name="Linked Cell" xfId="50" builtinId="24" customBuiltin="1"/>
    <cellStyle name="Neutral" xfId="46" builtinId="28" customBuiltin="1"/>
    <cellStyle name="Normal" xfId="0" builtinId="0"/>
    <cellStyle name="Normal 100" xfId="23" xr:uid="{00000000-0005-0000-0000-000038000000}"/>
    <cellStyle name="Normal 11" xfId="7" xr:uid="{00000000-0005-0000-0000-000039000000}"/>
    <cellStyle name="Normal 11 3" xfId="2" xr:uid="{00000000-0005-0000-0000-00003A000000}"/>
    <cellStyle name="Normal 2" xfId="10" xr:uid="{00000000-0005-0000-0000-00003B000000}"/>
    <cellStyle name="Normal 2 2" xfId="37" xr:uid="{00000000-0005-0000-0000-00003C000000}"/>
    <cellStyle name="Normal 2 2 2" xfId="21" xr:uid="{00000000-0005-0000-0000-00003D000000}"/>
    <cellStyle name="Normal 3" xfId="36" xr:uid="{00000000-0005-0000-0000-00003E000000}"/>
    <cellStyle name="Normal 3 2" xfId="3" xr:uid="{00000000-0005-0000-0000-00003F000000}"/>
    <cellStyle name="Normal 3 3" xfId="29" xr:uid="{00000000-0005-0000-0000-000040000000}"/>
    <cellStyle name="Normal 38 2" xfId="12" xr:uid="{00000000-0005-0000-0000-000041000000}"/>
    <cellStyle name="Normal 4" xfId="22" xr:uid="{00000000-0005-0000-0000-000042000000}"/>
    <cellStyle name="Normal 5" xfId="79" xr:uid="{00000000-0005-0000-0000-000043000000}"/>
    <cellStyle name="Normal 53 2" xfId="26" xr:uid="{00000000-0005-0000-0000-000044000000}"/>
    <cellStyle name="Normal 54" xfId="18" xr:uid="{00000000-0005-0000-0000-000045000000}"/>
    <cellStyle name="Normal 6" xfId="27" xr:uid="{00000000-0005-0000-0000-000046000000}"/>
    <cellStyle name="Normal 60" xfId="14" xr:uid="{00000000-0005-0000-0000-000047000000}"/>
    <cellStyle name="Normal 71" xfId="28" xr:uid="{00000000-0005-0000-0000-000048000000}"/>
    <cellStyle name="Normal 74" xfId="30" xr:uid="{00000000-0005-0000-0000-000049000000}"/>
    <cellStyle name="Normal_Sheet1" xfId="82" xr:uid="{4218FEF3-745B-46F3-ACF3-1D7E68B55EC5}"/>
    <cellStyle name="Note 2" xfId="80" xr:uid="{00000000-0005-0000-0000-00004A000000}"/>
    <cellStyle name="Output" xfId="48" builtinId="21" customBuiltin="1"/>
    <cellStyle name="Percent" xfId="81" builtinId="5"/>
    <cellStyle name="Percent 12" xfId="17" xr:uid="{00000000-0005-0000-0000-00004D000000}"/>
    <cellStyle name="Percent 2" xfId="9" xr:uid="{00000000-0005-0000-0000-00004E000000}"/>
    <cellStyle name="Title" xfId="39" builtinId="15" customBuiltin="1"/>
    <cellStyle name="Total" xfId="54" builtinId="25" customBuiltin="1"/>
    <cellStyle name="Warning Text" xfId="5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8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3CB529-393D-49F9-B231-EB589F7DDE27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63058b8a-5656-481e-841e-147228ca60b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C15"/>
  <sheetViews>
    <sheetView workbookViewId="0">
      <pane xSplit="4" topLeftCell="E1" activePane="topRight" state="frozen"/>
      <selection pane="topRight" activeCell="D13" sqref="D13"/>
    </sheetView>
  </sheetViews>
  <sheetFormatPr defaultRowHeight="13.6"/>
  <cols>
    <col min="1" max="1" width="6.28515625" customWidth="1"/>
    <col min="2" max="2" width="29.7109375" bestFit="1" customWidth="1"/>
    <col min="3" max="3" width="11.42578125" customWidth="1"/>
    <col min="4" max="4" width="20.140625" customWidth="1"/>
    <col min="6" max="6" width="15.7109375" customWidth="1"/>
    <col min="8" max="8" width="16.85546875" customWidth="1"/>
    <col min="12" max="12" width="14.85546875" customWidth="1"/>
    <col min="14" max="14" width="16" customWidth="1"/>
    <col min="18" max="18" width="15" customWidth="1"/>
    <col min="20" max="20" width="17.140625" customWidth="1"/>
    <col min="24" max="24" width="15.28515625" customWidth="1"/>
    <col min="26" max="26" width="16" bestFit="1" customWidth="1"/>
    <col min="32" max="32" width="16" bestFit="1" customWidth="1"/>
    <col min="36" max="36" width="16" customWidth="1"/>
    <col min="38" max="38" width="17.42578125" bestFit="1" customWidth="1"/>
    <col min="44" max="44" width="16" bestFit="1" customWidth="1"/>
    <col min="50" max="50" width="16" bestFit="1" customWidth="1"/>
    <col min="56" max="56" width="14.28515625" bestFit="1" customWidth="1"/>
    <col min="62" max="62" width="17.42578125" bestFit="1" customWidth="1"/>
    <col min="68" max="68" width="17.42578125" bestFit="1" customWidth="1"/>
    <col min="74" max="74" width="21" customWidth="1"/>
    <col min="77" max="77" width="7.85546875" customWidth="1"/>
    <col min="78" max="78" width="21.42578125" customWidth="1"/>
    <col min="79" max="79" width="11.7109375" customWidth="1"/>
    <col min="80" max="80" width="11.42578125" bestFit="1" customWidth="1"/>
  </cols>
  <sheetData>
    <row r="1" spans="1:81">
      <c r="A1" s="25"/>
      <c r="B1" s="25"/>
      <c r="C1" s="26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</row>
    <row r="2" spans="1:81">
      <c r="A2" s="36"/>
      <c r="B2" s="36"/>
      <c r="C2" s="36"/>
      <c r="D2" s="36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</row>
    <row r="3" spans="1:81" ht="71.5" customHeight="1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</row>
    <row r="4" spans="1:81" ht="14.95" customHeight="1">
      <c r="A4" s="38" t="s">
        <v>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</row>
    <row r="5" spans="1:81" ht="34.299999999999997" customHeight="1">
      <c r="A5" s="39" t="s">
        <v>23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</row>
    <row r="6" spans="1:81" s="35" customFormat="1" ht="27.7" customHeight="1">
      <c r="A6" s="37" t="s">
        <v>2</v>
      </c>
      <c r="B6" s="37" t="s">
        <v>3</v>
      </c>
      <c r="C6" s="37" t="s">
        <v>1</v>
      </c>
      <c r="D6" s="37" t="s">
        <v>24</v>
      </c>
      <c r="E6" s="40" t="s">
        <v>25</v>
      </c>
      <c r="F6" s="40"/>
      <c r="G6" s="40"/>
      <c r="H6" s="40"/>
      <c r="I6" s="40"/>
      <c r="J6" s="40"/>
      <c r="K6" s="40" t="s">
        <v>26</v>
      </c>
      <c r="L6" s="40"/>
      <c r="M6" s="40"/>
      <c r="N6" s="40"/>
      <c r="O6" s="40"/>
      <c r="P6" s="40"/>
      <c r="Q6" s="40" t="s">
        <v>27</v>
      </c>
      <c r="R6" s="40"/>
      <c r="S6" s="40"/>
      <c r="T6" s="40"/>
      <c r="U6" s="40"/>
      <c r="V6" s="40"/>
      <c r="W6" s="40" t="s">
        <v>28</v>
      </c>
      <c r="X6" s="40"/>
      <c r="Y6" s="40"/>
      <c r="Z6" s="40"/>
      <c r="AA6" s="40"/>
      <c r="AB6" s="40"/>
      <c r="AC6" s="40" t="s">
        <v>29</v>
      </c>
      <c r="AD6" s="40"/>
      <c r="AE6" s="40"/>
      <c r="AF6" s="40"/>
      <c r="AG6" s="40"/>
      <c r="AH6" s="40"/>
      <c r="AI6" s="40" t="s">
        <v>30</v>
      </c>
      <c r="AJ6" s="40"/>
      <c r="AK6" s="40"/>
      <c r="AL6" s="40"/>
      <c r="AM6" s="40"/>
      <c r="AN6" s="40"/>
      <c r="AO6" s="40" t="s">
        <v>31</v>
      </c>
      <c r="AP6" s="40"/>
      <c r="AQ6" s="40"/>
      <c r="AR6" s="40"/>
      <c r="AS6" s="40"/>
      <c r="AT6" s="40"/>
      <c r="AU6" s="40" t="s">
        <v>32</v>
      </c>
      <c r="AV6" s="40"/>
      <c r="AW6" s="40"/>
      <c r="AX6" s="40"/>
      <c r="AY6" s="40"/>
      <c r="AZ6" s="40"/>
      <c r="BA6" s="40" t="s">
        <v>33</v>
      </c>
      <c r="BB6" s="40"/>
      <c r="BC6" s="40"/>
      <c r="BD6" s="40"/>
      <c r="BE6" s="40"/>
      <c r="BF6" s="40"/>
      <c r="BG6" s="40" t="s">
        <v>34</v>
      </c>
      <c r="BH6" s="40"/>
      <c r="BI6" s="40"/>
      <c r="BJ6" s="40"/>
      <c r="BK6" s="40"/>
      <c r="BL6" s="40"/>
      <c r="BM6" s="40" t="s">
        <v>35</v>
      </c>
      <c r="BN6" s="40"/>
      <c r="BO6" s="40"/>
      <c r="BP6" s="40"/>
      <c r="BQ6" s="40"/>
      <c r="BR6" s="40"/>
      <c r="BS6" s="40" t="s">
        <v>36</v>
      </c>
      <c r="BT6" s="40"/>
      <c r="BU6" s="40"/>
      <c r="BV6" s="40"/>
      <c r="BW6" s="40"/>
      <c r="BX6" s="40"/>
      <c r="BY6" s="40" t="s">
        <v>8</v>
      </c>
      <c r="BZ6" s="40"/>
      <c r="CA6" s="40" t="s">
        <v>9</v>
      </c>
      <c r="CB6" s="40"/>
      <c r="CC6" s="40" t="s">
        <v>0</v>
      </c>
    </row>
    <row r="7" spans="1:81" s="35" customFormat="1" ht="14.3">
      <c r="A7" s="37"/>
      <c r="B7" s="37"/>
      <c r="C7" s="37"/>
      <c r="D7" s="37"/>
      <c r="E7" s="40" t="s">
        <v>10</v>
      </c>
      <c r="F7" s="40"/>
      <c r="G7" s="40" t="s">
        <v>11</v>
      </c>
      <c r="H7" s="40"/>
      <c r="I7" s="40" t="s">
        <v>12</v>
      </c>
      <c r="J7" s="40"/>
      <c r="K7" s="40" t="s">
        <v>10</v>
      </c>
      <c r="L7" s="40"/>
      <c r="M7" s="40" t="s">
        <v>11</v>
      </c>
      <c r="N7" s="40"/>
      <c r="O7" s="40" t="s">
        <v>12</v>
      </c>
      <c r="P7" s="40"/>
      <c r="Q7" s="40" t="s">
        <v>10</v>
      </c>
      <c r="R7" s="40"/>
      <c r="S7" s="40" t="s">
        <v>11</v>
      </c>
      <c r="T7" s="40"/>
      <c r="U7" s="40" t="s">
        <v>12</v>
      </c>
      <c r="V7" s="40"/>
      <c r="W7" s="40" t="s">
        <v>10</v>
      </c>
      <c r="X7" s="40"/>
      <c r="Y7" s="40" t="s">
        <v>11</v>
      </c>
      <c r="Z7" s="40"/>
      <c r="AA7" s="40" t="s">
        <v>12</v>
      </c>
      <c r="AB7" s="40"/>
      <c r="AC7" s="40" t="s">
        <v>10</v>
      </c>
      <c r="AD7" s="40"/>
      <c r="AE7" s="40" t="s">
        <v>11</v>
      </c>
      <c r="AF7" s="40"/>
      <c r="AG7" s="40" t="s">
        <v>12</v>
      </c>
      <c r="AH7" s="40"/>
      <c r="AI7" s="40" t="s">
        <v>10</v>
      </c>
      <c r="AJ7" s="40"/>
      <c r="AK7" s="40" t="s">
        <v>11</v>
      </c>
      <c r="AL7" s="40"/>
      <c r="AM7" s="40" t="s">
        <v>12</v>
      </c>
      <c r="AN7" s="40"/>
      <c r="AO7" s="40" t="s">
        <v>10</v>
      </c>
      <c r="AP7" s="40"/>
      <c r="AQ7" s="40" t="s">
        <v>11</v>
      </c>
      <c r="AR7" s="40"/>
      <c r="AS7" s="40" t="s">
        <v>12</v>
      </c>
      <c r="AT7" s="40"/>
      <c r="AU7" s="40" t="s">
        <v>10</v>
      </c>
      <c r="AV7" s="40"/>
      <c r="AW7" s="40" t="s">
        <v>11</v>
      </c>
      <c r="AX7" s="40"/>
      <c r="AY7" s="40" t="s">
        <v>12</v>
      </c>
      <c r="AZ7" s="40"/>
      <c r="BA7" s="40" t="s">
        <v>10</v>
      </c>
      <c r="BB7" s="40"/>
      <c r="BC7" s="40" t="s">
        <v>11</v>
      </c>
      <c r="BD7" s="40"/>
      <c r="BE7" s="40" t="s">
        <v>12</v>
      </c>
      <c r="BF7" s="40"/>
      <c r="BG7" s="40" t="s">
        <v>10</v>
      </c>
      <c r="BH7" s="40"/>
      <c r="BI7" s="40" t="s">
        <v>11</v>
      </c>
      <c r="BJ7" s="40"/>
      <c r="BK7" s="40" t="s">
        <v>12</v>
      </c>
      <c r="BL7" s="40"/>
      <c r="BM7" s="40" t="s">
        <v>10</v>
      </c>
      <c r="BN7" s="40"/>
      <c r="BO7" s="40" t="s">
        <v>11</v>
      </c>
      <c r="BP7" s="40"/>
      <c r="BQ7" s="40" t="s">
        <v>12</v>
      </c>
      <c r="BR7" s="40"/>
      <c r="BS7" s="40" t="s">
        <v>10</v>
      </c>
      <c r="BT7" s="40"/>
      <c r="BU7" s="40" t="s">
        <v>11</v>
      </c>
      <c r="BV7" s="40"/>
      <c r="BW7" s="40" t="s">
        <v>12</v>
      </c>
      <c r="BX7" s="40"/>
      <c r="BY7" s="40"/>
      <c r="BZ7" s="40"/>
      <c r="CA7" s="40"/>
      <c r="CB7" s="40"/>
      <c r="CC7" s="40"/>
    </row>
    <row r="8" spans="1:81" s="35" customFormat="1" ht="28.55">
      <c r="A8" s="37"/>
      <c r="B8" s="37"/>
      <c r="C8" s="37"/>
      <c r="D8" s="37"/>
      <c r="E8" s="34" t="s">
        <v>6</v>
      </c>
      <c r="F8" s="34" t="s">
        <v>13</v>
      </c>
      <c r="G8" s="34" t="s">
        <v>6</v>
      </c>
      <c r="H8" s="34" t="s">
        <v>13</v>
      </c>
      <c r="I8" s="34" t="s">
        <v>6</v>
      </c>
      <c r="J8" s="34" t="s">
        <v>14</v>
      </c>
      <c r="K8" s="34" t="s">
        <v>6</v>
      </c>
      <c r="L8" s="34" t="s">
        <v>13</v>
      </c>
      <c r="M8" s="34" t="s">
        <v>6</v>
      </c>
      <c r="N8" s="34" t="s">
        <v>13</v>
      </c>
      <c r="O8" s="34" t="s">
        <v>6</v>
      </c>
      <c r="P8" s="34" t="s">
        <v>14</v>
      </c>
      <c r="Q8" s="34" t="s">
        <v>6</v>
      </c>
      <c r="R8" s="34" t="s">
        <v>13</v>
      </c>
      <c r="S8" s="34" t="s">
        <v>6</v>
      </c>
      <c r="T8" s="34" t="s">
        <v>13</v>
      </c>
      <c r="U8" s="34" t="s">
        <v>6</v>
      </c>
      <c r="V8" s="34" t="s">
        <v>14</v>
      </c>
      <c r="W8" s="34" t="s">
        <v>6</v>
      </c>
      <c r="X8" s="34" t="s">
        <v>13</v>
      </c>
      <c r="Y8" s="34" t="s">
        <v>6</v>
      </c>
      <c r="Z8" s="34" t="s">
        <v>13</v>
      </c>
      <c r="AA8" s="34" t="s">
        <v>6</v>
      </c>
      <c r="AB8" s="34" t="s">
        <v>14</v>
      </c>
      <c r="AC8" s="34" t="s">
        <v>6</v>
      </c>
      <c r="AD8" s="34" t="s">
        <v>13</v>
      </c>
      <c r="AE8" s="34" t="s">
        <v>6</v>
      </c>
      <c r="AF8" s="34" t="s">
        <v>13</v>
      </c>
      <c r="AG8" s="34" t="s">
        <v>6</v>
      </c>
      <c r="AH8" s="34" t="s">
        <v>14</v>
      </c>
      <c r="AI8" s="34" t="s">
        <v>6</v>
      </c>
      <c r="AJ8" s="34" t="s">
        <v>13</v>
      </c>
      <c r="AK8" s="34" t="s">
        <v>6</v>
      </c>
      <c r="AL8" s="34" t="s">
        <v>13</v>
      </c>
      <c r="AM8" s="34" t="s">
        <v>6</v>
      </c>
      <c r="AN8" s="34" t="s">
        <v>14</v>
      </c>
      <c r="AO8" s="34" t="s">
        <v>6</v>
      </c>
      <c r="AP8" s="34" t="s">
        <v>13</v>
      </c>
      <c r="AQ8" s="34" t="s">
        <v>6</v>
      </c>
      <c r="AR8" s="34" t="s">
        <v>13</v>
      </c>
      <c r="AS8" s="34" t="s">
        <v>6</v>
      </c>
      <c r="AT8" s="34" t="s">
        <v>14</v>
      </c>
      <c r="AU8" s="34" t="s">
        <v>6</v>
      </c>
      <c r="AV8" s="34" t="s">
        <v>13</v>
      </c>
      <c r="AW8" s="34" t="s">
        <v>6</v>
      </c>
      <c r="AX8" s="34" t="s">
        <v>13</v>
      </c>
      <c r="AY8" s="34" t="s">
        <v>6</v>
      </c>
      <c r="AZ8" s="34" t="s">
        <v>14</v>
      </c>
      <c r="BA8" s="34" t="s">
        <v>6</v>
      </c>
      <c r="BB8" s="34" t="s">
        <v>13</v>
      </c>
      <c r="BC8" s="34" t="s">
        <v>6</v>
      </c>
      <c r="BD8" s="34" t="s">
        <v>13</v>
      </c>
      <c r="BE8" s="34" t="s">
        <v>6</v>
      </c>
      <c r="BF8" s="34" t="s">
        <v>14</v>
      </c>
      <c r="BG8" s="34" t="s">
        <v>6</v>
      </c>
      <c r="BH8" s="34" t="s">
        <v>13</v>
      </c>
      <c r="BI8" s="34" t="s">
        <v>6</v>
      </c>
      <c r="BJ8" s="34" t="s">
        <v>13</v>
      </c>
      <c r="BK8" s="34" t="s">
        <v>6</v>
      </c>
      <c r="BL8" s="34" t="s">
        <v>14</v>
      </c>
      <c r="BM8" s="34" t="s">
        <v>6</v>
      </c>
      <c r="BN8" s="34" t="s">
        <v>13</v>
      </c>
      <c r="BO8" s="34" t="s">
        <v>6</v>
      </c>
      <c r="BP8" s="34" t="s">
        <v>13</v>
      </c>
      <c r="BQ8" s="34" t="s">
        <v>6</v>
      </c>
      <c r="BR8" s="34" t="s">
        <v>14</v>
      </c>
      <c r="BS8" s="34" t="s">
        <v>6</v>
      </c>
      <c r="BT8" s="34" t="s">
        <v>13</v>
      </c>
      <c r="BU8" s="34" t="s">
        <v>6</v>
      </c>
      <c r="BV8" s="34" t="s">
        <v>13</v>
      </c>
      <c r="BW8" s="34" t="s">
        <v>6</v>
      </c>
      <c r="BX8" s="34" t="s">
        <v>14</v>
      </c>
      <c r="BY8" s="34" t="s">
        <v>6</v>
      </c>
      <c r="BZ8" s="34" t="s">
        <v>13</v>
      </c>
      <c r="CA8" s="34" t="s">
        <v>15</v>
      </c>
      <c r="CB8" s="34" t="s">
        <v>16</v>
      </c>
      <c r="CC8" s="40"/>
    </row>
    <row r="9" spans="1:81" ht="25.85" customHeight="1">
      <c r="A9" s="28"/>
      <c r="B9" s="29" t="s">
        <v>17</v>
      </c>
      <c r="C9" s="30">
        <f ca="1">SUM(C10:C15)</f>
        <v>0</v>
      </c>
      <c r="D9" s="30">
        <f ca="1">SUM(D10:D15)</f>
        <v>0</v>
      </c>
      <c r="E9" s="31"/>
      <c r="F9" s="31"/>
      <c r="G9" s="31">
        <f>SUM(G10:G15)</f>
        <v>0</v>
      </c>
      <c r="H9" s="32">
        <f>SUM(H10:H15)</f>
        <v>0</v>
      </c>
      <c r="I9" s="31"/>
      <c r="J9" s="31"/>
      <c r="K9" s="31"/>
      <c r="L9" s="31"/>
      <c r="M9" s="31">
        <f>SUM(M10:M15)</f>
        <v>0</v>
      </c>
      <c r="N9" s="32">
        <f>SUM(N10:N15)</f>
        <v>0</v>
      </c>
      <c r="O9" s="31"/>
      <c r="P9" s="31"/>
      <c r="Q9" s="31"/>
      <c r="R9" s="31"/>
      <c r="S9" s="31">
        <f>SUM(S10:S15)</f>
        <v>0</v>
      </c>
      <c r="T9" s="32">
        <f>SUM(T10:T15)</f>
        <v>0</v>
      </c>
      <c r="U9" s="31"/>
      <c r="V9" s="31"/>
      <c r="W9" s="31">
        <f>SUM(W10:W15)</f>
        <v>0</v>
      </c>
      <c r="X9" s="31">
        <f>SUM(X10:X15)</f>
        <v>0</v>
      </c>
      <c r="Y9" s="31">
        <f>SUM(Y10:Y15)</f>
        <v>0</v>
      </c>
      <c r="Z9" s="32">
        <f>SUM(Z10:Z15)</f>
        <v>0</v>
      </c>
      <c r="AA9" s="31"/>
      <c r="AB9" s="31"/>
      <c r="AC9" s="31"/>
      <c r="AD9" s="31"/>
      <c r="AE9" s="31">
        <f>SUM(AE10:AE15)</f>
        <v>0</v>
      </c>
      <c r="AF9" s="32">
        <f>SUM(AF10:AF15)</f>
        <v>0</v>
      </c>
      <c r="AG9" s="31"/>
      <c r="AH9" s="31"/>
      <c r="AI9" s="31"/>
      <c r="AJ9" s="31"/>
      <c r="AK9" s="31">
        <f>SUM(AK10:AK15)</f>
        <v>0</v>
      </c>
      <c r="AL9" s="32">
        <f>SUM(AL10:AL15)</f>
        <v>0</v>
      </c>
      <c r="AM9" s="31"/>
      <c r="AN9" s="31"/>
      <c r="AO9" s="31"/>
      <c r="AP9" s="31"/>
      <c r="AQ9" s="31">
        <f>SUM(AQ10:AQ15)</f>
        <v>0</v>
      </c>
      <c r="AR9" s="32">
        <f>SUM(AR10:AR15)</f>
        <v>0</v>
      </c>
      <c r="AS9" s="31"/>
      <c r="AT9" s="31"/>
      <c r="AU9" s="31"/>
      <c r="AV9" s="31"/>
      <c r="AW9" s="31">
        <f>SUM(AW10:AW15)</f>
        <v>0</v>
      </c>
      <c r="AX9" s="32">
        <f>SUM(AX10:AX15)</f>
        <v>0</v>
      </c>
      <c r="AY9" s="31"/>
      <c r="AZ9" s="31"/>
      <c r="BA9" s="31"/>
      <c r="BB9" s="31"/>
      <c r="BC9" s="31"/>
      <c r="BD9" s="32"/>
      <c r="BE9" s="31"/>
      <c r="BF9" s="31"/>
      <c r="BG9" s="31"/>
      <c r="BH9" s="31"/>
      <c r="BI9" s="31">
        <f>SUM(BI10:BI15)</f>
        <v>0</v>
      </c>
      <c r="BJ9" s="32">
        <f>SUM(BJ10:BJ15)</f>
        <v>0</v>
      </c>
      <c r="BK9" s="31"/>
      <c r="BL9" s="31"/>
      <c r="BM9" s="31"/>
      <c r="BN9" s="31"/>
      <c r="BO9" s="31">
        <f>SUM(BO10:BO15)</f>
        <v>0</v>
      </c>
      <c r="BP9" s="32">
        <f>SUM(BP10:BP15)</f>
        <v>0</v>
      </c>
      <c r="BQ9" s="31"/>
      <c r="BR9" s="31"/>
      <c r="BS9" s="31"/>
      <c r="BT9" s="31"/>
      <c r="BU9" s="31"/>
      <c r="BV9" s="32">
        <f>SUM(BV10:BV15)</f>
        <v>0</v>
      </c>
      <c r="BW9" s="31"/>
      <c r="BX9" s="31"/>
      <c r="BY9" s="31">
        <f ca="1">SUM(BY10:BY15)</f>
        <v>0</v>
      </c>
      <c r="BZ9" s="32">
        <f ca="1">SUM(BZ10:BZ15)</f>
        <v>0</v>
      </c>
      <c r="CA9" s="33" t="e">
        <f ca="1">BY9/C9</f>
        <v>#DIV/0!</v>
      </c>
      <c r="CB9" s="33" t="e">
        <f ca="1">BZ9/D9</f>
        <v>#DIV/0!</v>
      </c>
      <c r="CC9" s="28"/>
    </row>
    <row r="10" spans="1:81" s="2" customFormat="1" ht="25.3" customHeight="1">
      <c r="A10" s="1">
        <v>1</v>
      </c>
      <c r="B10" s="3" t="s">
        <v>4</v>
      </c>
      <c r="C10" s="6">
        <f>HN!I2</f>
        <v>0</v>
      </c>
      <c r="D10" s="6">
        <f>HN!K2</f>
        <v>0</v>
      </c>
      <c r="E10" s="4"/>
      <c r="F10" s="4"/>
      <c r="G10" s="4">
        <f>HNTH!A1</f>
        <v>0</v>
      </c>
      <c r="H10" s="8">
        <f>HNTH!A2</f>
        <v>0</v>
      </c>
      <c r="I10" s="4"/>
      <c r="J10" s="4"/>
      <c r="K10" s="4"/>
      <c r="L10" s="4"/>
      <c r="M10" s="4">
        <f>HNTH!B1</f>
        <v>0</v>
      </c>
      <c r="N10" s="8">
        <f>HNTH!B2</f>
        <v>0</v>
      </c>
      <c r="O10" s="4"/>
      <c r="P10" s="4"/>
      <c r="Q10" s="4"/>
      <c r="R10" s="4"/>
      <c r="S10" s="4">
        <f>HNTH!C1</f>
        <v>0</v>
      </c>
      <c r="T10" s="8">
        <f>HNTH!C2</f>
        <v>0</v>
      </c>
      <c r="U10" s="4"/>
      <c r="V10" s="4"/>
      <c r="W10" s="4"/>
      <c r="X10" s="4"/>
      <c r="Y10" s="4">
        <f>HNTH!D1</f>
        <v>0</v>
      </c>
      <c r="Z10" s="8">
        <f>HNTH!D2</f>
        <v>0</v>
      </c>
      <c r="AA10" s="4"/>
      <c r="AB10" s="4"/>
      <c r="AC10" s="4"/>
      <c r="AD10" s="4"/>
      <c r="AE10" s="4">
        <f>HNTH!E1</f>
        <v>0</v>
      </c>
      <c r="AF10" s="8">
        <f>HNTH!E2</f>
        <v>0</v>
      </c>
      <c r="AG10" s="4"/>
      <c r="AH10" s="4"/>
      <c r="AI10" s="4"/>
      <c r="AJ10" s="4"/>
      <c r="AK10" s="4">
        <f>HNTH!F1</f>
        <v>0</v>
      </c>
      <c r="AL10" s="8">
        <f>HNTH!F2</f>
        <v>0</v>
      </c>
      <c r="AM10" s="4"/>
      <c r="AN10" s="4"/>
      <c r="AO10" s="4"/>
      <c r="AP10" s="4"/>
      <c r="AQ10" s="4">
        <f>HNTH!G1</f>
        <v>0</v>
      </c>
      <c r="AR10" s="8">
        <f>HNTH!G2</f>
        <v>0</v>
      </c>
      <c r="AS10" s="4"/>
      <c r="AT10" s="4"/>
      <c r="AU10" s="4"/>
      <c r="AV10" s="4"/>
      <c r="AW10" s="4">
        <f>HNTH!H1</f>
        <v>0</v>
      </c>
      <c r="AX10" s="8">
        <f>HNTH!H2</f>
        <v>0</v>
      </c>
      <c r="AY10" s="4"/>
      <c r="AZ10" s="4"/>
      <c r="BA10" s="4"/>
      <c r="BB10" s="4"/>
      <c r="BC10" s="4">
        <f>HNTH!I1</f>
        <v>0</v>
      </c>
      <c r="BD10" s="8">
        <f>HNTH!I2</f>
        <v>0</v>
      </c>
      <c r="BE10" s="4"/>
      <c r="BF10" s="4"/>
      <c r="BG10" s="4"/>
      <c r="BH10" s="4"/>
      <c r="BI10" s="4">
        <f>HNTH!J1</f>
        <v>0</v>
      </c>
      <c r="BJ10" s="8">
        <f>HNTH!J2</f>
        <v>0</v>
      </c>
      <c r="BK10" s="4"/>
      <c r="BL10" s="4"/>
      <c r="BM10" s="4"/>
      <c r="BN10" s="4"/>
      <c r="BO10" s="4">
        <f>HNTH!K1</f>
        <v>0</v>
      </c>
      <c r="BP10" s="8">
        <f>HNTH!K2</f>
        <v>0</v>
      </c>
      <c r="BQ10" s="4"/>
      <c r="BR10" s="4"/>
      <c r="BS10" s="4"/>
      <c r="BT10" s="4"/>
      <c r="BU10" s="4">
        <f>HNTH!L1</f>
        <v>0</v>
      </c>
      <c r="BV10" s="8">
        <f>HNTH!L2</f>
        <v>0</v>
      </c>
      <c r="BW10" s="4"/>
      <c r="BX10" s="4"/>
      <c r="BY10" s="8">
        <f ca="1">INDIRECT("'HN'!R2")</f>
        <v>0</v>
      </c>
      <c r="BZ10" s="8">
        <f ca="1">INDIRECT("HN!L2")</f>
        <v>0</v>
      </c>
      <c r="CA10" s="9" t="e">
        <f ca="1">BY10/C10</f>
        <v>#DIV/0!</v>
      </c>
      <c r="CB10" s="9" t="e">
        <f ca="1">BZ10/D10</f>
        <v>#DIV/0!</v>
      </c>
      <c r="CC10" s="5"/>
    </row>
    <row r="11" spans="1:81" s="2" customFormat="1" ht="25.3" customHeight="1">
      <c r="A11" s="1">
        <v>2</v>
      </c>
      <c r="B11" s="3" t="s">
        <v>5</v>
      </c>
      <c r="C11" s="6">
        <f ca="1">INDIRECT("'NĐ'!I2")</f>
        <v>0</v>
      </c>
      <c r="D11" s="6">
        <f ca="1">INDIRECT("'NĐ'!K2")</f>
        <v>0</v>
      </c>
      <c r="E11" s="4"/>
      <c r="F11" s="4"/>
      <c r="G11" s="4">
        <f>NĐTH!A1</f>
        <v>0</v>
      </c>
      <c r="H11" s="8">
        <f>NĐTH!A2</f>
        <v>0</v>
      </c>
      <c r="I11" s="4"/>
      <c r="J11" s="4"/>
      <c r="K11" s="4"/>
      <c r="L11" s="4"/>
      <c r="M11" s="4">
        <f>NĐTH!B1</f>
        <v>0</v>
      </c>
      <c r="N11" s="8">
        <f>NĐTH!B2</f>
        <v>0</v>
      </c>
      <c r="O11" s="4"/>
      <c r="P11" s="4"/>
      <c r="Q11" s="4"/>
      <c r="R11" s="4"/>
      <c r="S11" s="4">
        <f>NĐTH!C1</f>
        <v>0</v>
      </c>
      <c r="T11" s="8">
        <f>NĐTH!C2</f>
        <v>0</v>
      </c>
      <c r="U11" s="4"/>
      <c r="V11" s="4"/>
      <c r="W11" s="4"/>
      <c r="X11" s="4"/>
      <c r="Y11" s="4">
        <f>NĐTH!D1</f>
        <v>0</v>
      </c>
      <c r="Z11" s="8">
        <f>NĐTH!D2</f>
        <v>0</v>
      </c>
      <c r="AA11" s="4"/>
      <c r="AB11" s="4"/>
      <c r="AC11" s="4"/>
      <c r="AD11" s="4"/>
      <c r="AE11" s="4">
        <f>NĐTH!E1</f>
        <v>0</v>
      </c>
      <c r="AF11" s="8">
        <f>NĐTH!E2</f>
        <v>0</v>
      </c>
      <c r="AG11" s="4"/>
      <c r="AH11" s="4"/>
      <c r="AI11" s="4"/>
      <c r="AJ11" s="4"/>
      <c r="AK11" s="4">
        <f>NĐTH!F1</f>
        <v>0</v>
      </c>
      <c r="AL11" s="8">
        <f>NĐTH!F2</f>
        <v>0</v>
      </c>
      <c r="AM11" s="4"/>
      <c r="AN11" s="4"/>
      <c r="AO11" s="4"/>
      <c r="AP11" s="4"/>
      <c r="AQ11" s="4">
        <f>NĐTH!G1</f>
        <v>0</v>
      </c>
      <c r="AR11" s="8">
        <f>NĐTH!G2</f>
        <v>0</v>
      </c>
      <c r="AS11" s="4"/>
      <c r="AT11" s="4"/>
      <c r="AU11" s="4"/>
      <c r="AV11" s="4"/>
      <c r="AW11" s="4">
        <f>NĐTH!H1</f>
        <v>0</v>
      </c>
      <c r="AX11" s="8">
        <f>NĐTH!H2</f>
        <v>0</v>
      </c>
      <c r="AY11" s="4"/>
      <c r="AZ11" s="4"/>
      <c r="BA11" s="4"/>
      <c r="BB11" s="4"/>
      <c r="BC11" s="4">
        <f>NĐTH!I1</f>
        <v>0</v>
      </c>
      <c r="BD11" s="8">
        <f>NĐTH!I2</f>
        <v>0</v>
      </c>
      <c r="BE11" s="4"/>
      <c r="BF11" s="4"/>
      <c r="BG11" s="4"/>
      <c r="BH11" s="4"/>
      <c r="BI11" s="4">
        <f>NĐTH!J1</f>
        <v>0</v>
      </c>
      <c r="BJ11" s="8">
        <f>NĐTH!J2</f>
        <v>0</v>
      </c>
      <c r="BK11" s="4"/>
      <c r="BL11" s="4"/>
      <c r="BM11" s="4"/>
      <c r="BN11" s="4"/>
      <c r="BO11" s="4">
        <f>NĐTH!K1</f>
        <v>0</v>
      </c>
      <c r="BP11" s="8">
        <f>NĐTH!K2</f>
        <v>0</v>
      </c>
      <c r="BQ11" s="4"/>
      <c r="BR11" s="4"/>
      <c r="BS11" s="4"/>
      <c r="BT11" s="4"/>
      <c r="BU11" s="4">
        <f>NĐTH!L1</f>
        <v>0</v>
      </c>
      <c r="BV11" s="8">
        <f>NĐTH!L2</f>
        <v>0</v>
      </c>
      <c r="BW11" s="4"/>
      <c r="BX11" s="4"/>
      <c r="BY11" s="8">
        <f ca="1">INDIRECT("'NĐ'!R2")</f>
        <v>0</v>
      </c>
      <c r="BZ11" s="8">
        <f ca="1">INDIRECT("NĐ!L2")</f>
        <v>0</v>
      </c>
      <c r="CA11" s="9" t="e">
        <f t="shared" ref="CA11:CA15" ca="1" si="0">BY11/C11</f>
        <v>#DIV/0!</v>
      </c>
      <c r="CB11" s="9" t="e">
        <f t="shared" ref="CB11:CB15" ca="1" si="1">BZ11/D11</f>
        <v>#DIV/0!</v>
      </c>
      <c r="CC11" s="5"/>
    </row>
    <row r="12" spans="1:81" s="2" customFormat="1" ht="25.3" customHeight="1">
      <c r="A12" s="1">
        <v>3</v>
      </c>
      <c r="B12" s="3" t="s">
        <v>18</v>
      </c>
      <c r="C12" s="6">
        <f ca="1">INDIRECT("'TTSSKĐ'!I2")</f>
        <v>0</v>
      </c>
      <c r="D12" s="6">
        <f ca="1">INDIRECT("'TTSSKĐ'!K2")</f>
        <v>0</v>
      </c>
      <c r="E12" s="4"/>
      <c r="F12" s="4"/>
      <c r="G12" s="4">
        <f>TTSSKĐTH!A1</f>
        <v>0</v>
      </c>
      <c r="H12" s="8">
        <f>TTSSKĐTH!A2</f>
        <v>0</v>
      </c>
      <c r="I12" s="4"/>
      <c r="J12" s="4"/>
      <c r="K12" s="4"/>
      <c r="L12" s="4"/>
      <c r="M12" s="4">
        <f>TTSSKĐTH!B1</f>
        <v>0</v>
      </c>
      <c r="N12" s="8">
        <f>TTSSKĐTH!B2</f>
        <v>0</v>
      </c>
      <c r="O12" s="4"/>
      <c r="P12" s="4"/>
      <c r="Q12" s="4"/>
      <c r="R12" s="4"/>
      <c r="S12" s="4">
        <f>TTSSKĐTH!C1</f>
        <v>0</v>
      </c>
      <c r="T12" s="8">
        <f>TTSSKĐTH!C2</f>
        <v>0</v>
      </c>
      <c r="U12" s="4"/>
      <c r="V12" s="4"/>
      <c r="W12" s="4"/>
      <c r="X12" s="4"/>
      <c r="Y12" s="4">
        <f>TTSSKĐTH!D1</f>
        <v>0</v>
      </c>
      <c r="Z12" s="8">
        <f>TTSSKĐTH!D2</f>
        <v>0</v>
      </c>
      <c r="AA12" s="4"/>
      <c r="AB12" s="4"/>
      <c r="AC12" s="4"/>
      <c r="AD12" s="4"/>
      <c r="AE12" s="4">
        <f>TTSSKĐTH!E1</f>
        <v>0</v>
      </c>
      <c r="AF12" s="8">
        <f>TTSSKĐTH!E2</f>
        <v>0</v>
      </c>
      <c r="AG12" s="4"/>
      <c r="AH12" s="4"/>
      <c r="AI12" s="4"/>
      <c r="AJ12" s="4"/>
      <c r="AK12" s="4">
        <f>TTSSKĐTH!F1</f>
        <v>0</v>
      </c>
      <c r="AL12" s="8">
        <f>TTSSKĐTH!F2</f>
        <v>0</v>
      </c>
      <c r="AM12" s="4"/>
      <c r="AN12" s="4"/>
      <c r="AO12" s="4"/>
      <c r="AP12" s="4"/>
      <c r="AQ12" s="4">
        <f>TTSSKĐTH!G1</f>
        <v>0</v>
      </c>
      <c r="AR12" s="8">
        <f>TTSSKĐTH!G2</f>
        <v>0</v>
      </c>
      <c r="AS12" s="4"/>
      <c r="AT12" s="4"/>
      <c r="AU12" s="4"/>
      <c r="AV12" s="4"/>
      <c r="AW12" s="4">
        <f>TTSSKĐTH!H1</f>
        <v>0</v>
      </c>
      <c r="AX12" s="8">
        <f>TTSSKĐTH!H2</f>
        <v>0</v>
      </c>
      <c r="AY12" s="4"/>
      <c r="AZ12" s="4"/>
      <c r="BA12" s="4"/>
      <c r="BB12" s="4"/>
      <c r="BC12" s="4">
        <f>TTSSKĐTH!I1</f>
        <v>0</v>
      </c>
      <c r="BD12" s="8">
        <f>TTSSKĐTH!I2</f>
        <v>0</v>
      </c>
      <c r="BE12" s="4"/>
      <c r="BF12" s="4"/>
      <c r="BG12" s="4"/>
      <c r="BH12" s="4"/>
      <c r="BI12" s="4">
        <f>TTSSKĐTH!J1</f>
        <v>0</v>
      </c>
      <c r="BJ12" s="8">
        <f>TTSSKĐTH!J2</f>
        <v>0</v>
      </c>
      <c r="BK12" s="4"/>
      <c r="BL12" s="4"/>
      <c r="BM12" s="4"/>
      <c r="BN12" s="4"/>
      <c r="BO12" s="4">
        <f>TTSSKĐTH!K1</f>
        <v>0</v>
      </c>
      <c r="BP12" s="8">
        <f>TTSSKĐTH!K2</f>
        <v>0</v>
      </c>
      <c r="BQ12" s="4"/>
      <c r="BR12" s="4"/>
      <c r="BS12" s="4"/>
      <c r="BT12" s="4"/>
      <c r="BU12" s="4">
        <f>TTSSKĐTH!L1</f>
        <v>0</v>
      </c>
      <c r="BV12" s="8">
        <f>TTSSKĐTH!L2</f>
        <v>0</v>
      </c>
      <c r="BW12" s="4"/>
      <c r="BX12" s="4"/>
      <c r="BY12" s="8">
        <f ca="1">INDIRECT("'TTSSKĐ'!R2")</f>
        <v>0</v>
      </c>
      <c r="BZ12" s="8">
        <f ca="1">INDIRECT("TTSSKĐ!L2")</f>
        <v>0</v>
      </c>
      <c r="CA12" s="9" t="e">
        <f t="shared" ca="1" si="0"/>
        <v>#DIV/0!</v>
      </c>
      <c r="CB12" s="9" t="e">
        <f t="shared" ca="1" si="1"/>
        <v>#DIV/0!</v>
      </c>
      <c r="CC12" s="5"/>
    </row>
    <row r="13" spans="1:81" s="2" customFormat="1" ht="25.3" customHeight="1">
      <c r="A13" s="1">
        <v>4</v>
      </c>
      <c r="B13" s="3" t="s">
        <v>19</v>
      </c>
      <c r="C13" s="6">
        <f ca="1">INDIRECT("'XT'!I2")</f>
        <v>0</v>
      </c>
      <c r="D13" s="6">
        <f ca="1">INDIRECT("'XT'!K2")</f>
        <v>0</v>
      </c>
      <c r="E13" s="4"/>
      <c r="F13" s="4"/>
      <c r="G13" s="4">
        <f>XTTH!A$1</f>
        <v>0</v>
      </c>
      <c r="H13" s="8">
        <f>XTTH!A$2</f>
        <v>0</v>
      </c>
      <c r="I13" s="4"/>
      <c r="J13" s="4"/>
      <c r="K13" s="4"/>
      <c r="L13" s="4"/>
      <c r="M13" s="4">
        <f>XTTH!E$1</f>
        <v>0</v>
      </c>
      <c r="N13" s="8">
        <f>XTTH!E$2</f>
        <v>0</v>
      </c>
      <c r="O13" s="4"/>
      <c r="P13" s="4"/>
      <c r="Q13" s="4"/>
      <c r="R13" s="4"/>
      <c r="S13" s="4">
        <f>XTTH!I$1</f>
        <v>0</v>
      </c>
      <c r="T13" s="8">
        <f>XTTH!I$2</f>
        <v>0</v>
      </c>
      <c r="U13" s="4"/>
      <c r="V13" s="4"/>
      <c r="W13" s="4"/>
      <c r="X13" s="4"/>
      <c r="Y13" s="4">
        <f>XTTH!M$1</f>
        <v>0</v>
      </c>
      <c r="Z13" s="8">
        <f>XTTH!M$2</f>
        <v>0</v>
      </c>
      <c r="AA13" s="4"/>
      <c r="AB13" s="4"/>
      <c r="AC13" s="4"/>
      <c r="AD13" s="4"/>
      <c r="AE13" s="4">
        <f>XTTH!Q$1</f>
        <v>0</v>
      </c>
      <c r="AF13" s="8">
        <f>XTTH!Q$2</f>
        <v>0</v>
      </c>
      <c r="AG13" s="4"/>
      <c r="AH13" s="4"/>
      <c r="AI13" s="4"/>
      <c r="AJ13" s="4"/>
      <c r="AK13" s="4">
        <f>XTTH!U$1</f>
        <v>0</v>
      </c>
      <c r="AL13" s="8">
        <f>XTTH!U$2</f>
        <v>0</v>
      </c>
      <c r="AM13" s="4"/>
      <c r="AN13" s="4"/>
      <c r="AO13" s="4"/>
      <c r="AP13" s="4"/>
      <c r="AQ13" s="4">
        <f>XTTH!Y$1</f>
        <v>0</v>
      </c>
      <c r="AR13" s="8">
        <f>XTTH!Y$2</f>
        <v>0</v>
      </c>
      <c r="AS13" s="4"/>
      <c r="AT13" s="4"/>
      <c r="AU13" s="4"/>
      <c r="AV13" s="4"/>
      <c r="AW13" s="4">
        <f>XTTH!AC$1</f>
        <v>0</v>
      </c>
      <c r="AX13" s="8">
        <f>XTTH!AC$2</f>
        <v>0</v>
      </c>
      <c r="AY13" s="4"/>
      <c r="AZ13" s="4"/>
      <c r="BA13" s="4"/>
      <c r="BB13" s="4"/>
      <c r="BC13" s="4">
        <f>XTTH!AG$1</f>
        <v>0</v>
      </c>
      <c r="BD13" s="8">
        <f>XTTH!AG$2</f>
        <v>0</v>
      </c>
      <c r="BE13" s="4"/>
      <c r="BF13" s="4"/>
      <c r="BG13" s="4"/>
      <c r="BH13" s="4"/>
      <c r="BI13" s="4">
        <f>XTTH!AK$1</f>
        <v>0</v>
      </c>
      <c r="BJ13" s="8">
        <f>XTTH!AK$2</f>
        <v>0</v>
      </c>
      <c r="BK13" s="4"/>
      <c r="BL13" s="4"/>
      <c r="BM13" s="4"/>
      <c r="BN13" s="4"/>
      <c r="BO13" s="4">
        <f>XTTH!AO$1</f>
        <v>0</v>
      </c>
      <c r="BP13" s="8">
        <f>XTTH!AO$2</f>
        <v>0</v>
      </c>
      <c r="BQ13" s="4"/>
      <c r="BR13" s="4"/>
      <c r="BS13" s="4"/>
      <c r="BT13" s="4"/>
      <c r="BU13" s="4">
        <f>XTTH!AS$1</f>
        <v>0</v>
      </c>
      <c r="BV13" s="8">
        <f>XTTH!AS$2</f>
        <v>0</v>
      </c>
      <c r="BW13" s="4"/>
      <c r="BX13" s="4"/>
      <c r="BY13" s="8">
        <f ca="1">INDIRECT("'XT'!R2")</f>
        <v>0</v>
      </c>
      <c r="BZ13" s="8">
        <f ca="1">INDIRECT("XT!L2")</f>
        <v>0</v>
      </c>
      <c r="CA13" s="9" t="e">
        <f t="shared" ref="CA13" ca="1" si="2">BY13/C13</f>
        <v>#DIV/0!</v>
      </c>
      <c r="CB13" s="9" t="e">
        <f t="shared" ref="CB13" ca="1" si="3">BZ13/D13</f>
        <v>#DIV/0!</v>
      </c>
      <c r="CC13" s="5"/>
    </row>
    <row r="14" spans="1:81" ht="25.3" customHeight="1">
      <c r="A14" s="1">
        <v>5</v>
      </c>
      <c r="B14" s="3" t="s">
        <v>20</v>
      </c>
      <c r="C14" s="6">
        <f ca="1">INDIRECT("'KHP'!I2")</f>
        <v>0</v>
      </c>
      <c r="D14" s="6">
        <f ca="1">INDIRECT("'KHP'!K2")</f>
        <v>0</v>
      </c>
      <c r="E14" s="7"/>
      <c r="F14" s="7"/>
      <c r="G14" s="4">
        <f>KHPTH!A1</f>
        <v>0</v>
      </c>
      <c r="H14" s="8">
        <f>KHPTH!A2</f>
        <v>0</v>
      </c>
      <c r="I14" s="4"/>
      <c r="J14" s="4"/>
      <c r="K14" s="4"/>
      <c r="L14" s="4"/>
      <c r="M14" s="4">
        <f>KHPTH!B1</f>
        <v>0</v>
      </c>
      <c r="N14" s="8">
        <f>KHPTH!B2</f>
        <v>0</v>
      </c>
      <c r="O14" s="4"/>
      <c r="P14" s="4"/>
      <c r="Q14" s="4"/>
      <c r="R14" s="4"/>
      <c r="S14" s="4">
        <f>KHPTH!C1</f>
        <v>0</v>
      </c>
      <c r="T14" s="8">
        <f>KHPTH!C2</f>
        <v>0</v>
      </c>
      <c r="U14" s="4"/>
      <c r="V14" s="4"/>
      <c r="W14" s="4"/>
      <c r="X14" s="4"/>
      <c r="Y14" s="4">
        <f>KHPTH!D1</f>
        <v>0</v>
      </c>
      <c r="Z14" s="8">
        <f>KHPTH!D2</f>
        <v>0</v>
      </c>
      <c r="AA14" s="4"/>
      <c r="AB14" s="4"/>
      <c r="AC14" s="4"/>
      <c r="AD14" s="4"/>
      <c r="AE14" s="4">
        <f>KHPTH!E1</f>
        <v>0</v>
      </c>
      <c r="AF14" s="8">
        <f>KHPTH!E2</f>
        <v>0</v>
      </c>
      <c r="AG14" s="4"/>
      <c r="AH14" s="4"/>
      <c r="AI14" s="4"/>
      <c r="AJ14" s="4"/>
      <c r="AK14" s="4">
        <f>KHPTH!F1</f>
        <v>0</v>
      </c>
      <c r="AL14" s="8">
        <f>KHPTH!F2</f>
        <v>0</v>
      </c>
      <c r="AM14" s="4"/>
      <c r="AN14" s="4"/>
      <c r="AO14" s="4"/>
      <c r="AP14" s="4"/>
      <c r="AQ14" s="4">
        <f>KHPTH!G1</f>
        <v>0</v>
      </c>
      <c r="AR14" s="8">
        <f>KHPTH!G2</f>
        <v>0</v>
      </c>
      <c r="AS14" s="4"/>
      <c r="AT14" s="4"/>
      <c r="AU14" s="4"/>
      <c r="AV14" s="4"/>
      <c r="AW14" s="4">
        <f>KHPTH!H1</f>
        <v>0</v>
      </c>
      <c r="AX14" s="8">
        <f>KHPTH!H2</f>
        <v>0</v>
      </c>
      <c r="AY14" s="4"/>
      <c r="AZ14" s="4"/>
      <c r="BA14" s="4"/>
      <c r="BB14" s="4"/>
      <c r="BC14" s="4">
        <f>KHPTH!I1</f>
        <v>0</v>
      </c>
      <c r="BD14" s="8">
        <f>KHPTH!I2</f>
        <v>0</v>
      </c>
      <c r="BE14" s="4"/>
      <c r="BF14" s="4"/>
      <c r="BG14" s="4"/>
      <c r="BH14" s="4"/>
      <c r="BI14" s="4">
        <f>KHPTH!J1</f>
        <v>0</v>
      </c>
      <c r="BJ14" s="8">
        <f>KHPTH!J2</f>
        <v>0</v>
      </c>
      <c r="BK14" s="4"/>
      <c r="BL14" s="4"/>
      <c r="BM14" s="4"/>
      <c r="BN14" s="4"/>
      <c r="BO14" s="4">
        <f>KHPTH!K1</f>
        <v>0</v>
      </c>
      <c r="BP14" s="8">
        <f>KHPTH!K2</f>
        <v>0</v>
      </c>
      <c r="BQ14" s="4"/>
      <c r="BR14" s="4"/>
      <c r="BS14" s="4"/>
      <c r="BT14" s="4"/>
      <c r="BU14" s="4">
        <f>KHPTH!L1</f>
        <v>0</v>
      </c>
      <c r="BV14" s="8">
        <f>KHPTH!L2</f>
        <v>0</v>
      </c>
      <c r="BW14" s="7"/>
      <c r="BX14" s="7"/>
      <c r="BY14" s="8">
        <f ca="1">INDIRECT("'KHP'!R2")</f>
        <v>0</v>
      </c>
      <c r="BZ14" s="8">
        <f ca="1">INDIRECT("KHP!L2")</f>
        <v>0</v>
      </c>
      <c r="CA14" s="9" t="e">
        <f t="shared" ca="1" si="0"/>
        <v>#DIV/0!</v>
      </c>
      <c r="CB14" s="9" t="e">
        <f t="shared" ca="1" si="1"/>
        <v>#DIV/0!</v>
      </c>
      <c r="CC14" s="7"/>
    </row>
    <row r="15" spans="1:81" ht="25.3" customHeight="1">
      <c r="A15" s="1">
        <v>6</v>
      </c>
      <c r="B15" s="3" t="s">
        <v>21</v>
      </c>
      <c r="C15" s="6">
        <f ca="1">INDIRECT("'KMB'!I2")</f>
        <v>0</v>
      </c>
      <c r="D15" s="6">
        <f ca="1">INDIRECT("'KMB'!K2")</f>
        <v>0</v>
      </c>
      <c r="E15" s="7"/>
      <c r="F15" s="7"/>
      <c r="G15" s="4">
        <f>KMBTH!A1</f>
        <v>0</v>
      </c>
      <c r="H15" s="8">
        <f>KMBTH!A2</f>
        <v>0</v>
      </c>
      <c r="I15" s="4"/>
      <c r="J15" s="4"/>
      <c r="K15" s="4"/>
      <c r="L15" s="4"/>
      <c r="M15" s="4">
        <f>KMBTH!B1</f>
        <v>0</v>
      </c>
      <c r="N15" s="8">
        <f>KMBTH!B2</f>
        <v>0</v>
      </c>
      <c r="O15" s="4"/>
      <c r="P15" s="4"/>
      <c r="Q15" s="4"/>
      <c r="R15" s="4"/>
      <c r="S15" s="4">
        <f>KMBTH!C1</f>
        <v>0</v>
      </c>
      <c r="T15" s="8">
        <f>KMBTH!C2</f>
        <v>0</v>
      </c>
      <c r="U15" s="4"/>
      <c r="V15" s="4"/>
      <c r="W15" s="4"/>
      <c r="X15" s="4"/>
      <c r="Y15" s="4">
        <f>KMBTH!D1</f>
        <v>0</v>
      </c>
      <c r="Z15" s="8">
        <f>KMBTH!D2</f>
        <v>0</v>
      </c>
      <c r="AA15" s="4"/>
      <c r="AB15" s="4"/>
      <c r="AC15" s="4"/>
      <c r="AD15" s="4"/>
      <c r="AE15" s="4">
        <f>KMBTH!E1</f>
        <v>0</v>
      </c>
      <c r="AF15" s="8">
        <f>KMBTH!E2</f>
        <v>0</v>
      </c>
      <c r="AG15" s="4"/>
      <c r="AH15" s="4"/>
      <c r="AI15" s="4"/>
      <c r="AJ15" s="4"/>
      <c r="AK15" s="4">
        <f>KMBTH!F1</f>
        <v>0</v>
      </c>
      <c r="AL15" s="8">
        <f>KMBTH!F2</f>
        <v>0</v>
      </c>
      <c r="AM15" s="4"/>
      <c r="AN15" s="4"/>
      <c r="AO15" s="4"/>
      <c r="AP15" s="4"/>
      <c r="AQ15" s="4">
        <f>KMBTH!G1</f>
        <v>0</v>
      </c>
      <c r="AR15" s="8">
        <f>KMBTH!G2</f>
        <v>0</v>
      </c>
      <c r="AS15" s="4"/>
      <c r="AT15" s="4"/>
      <c r="AU15" s="4"/>
      <c r="AV15" s="4"/>
      <c r="AW15" s="4">
        <f>KMBTH!H1</f>
        <v>0</v>
      </c>
      <c r="AX15" s="8">
        <f>KMBTH!H2</f>
        <v>0</v>
      </c>
      <c r="AY15" s="4"/>
      <c r="AZ15" s="4"/>
      <c r="BA15" s="4"/>
      <c r="BB15" s="4"/>
      <c r="BC15" s="4">
        <f>KMBTH!I1</f>
        <v>0</v>
      </c>
      <c r="BD15" s="8">
        <f>KMBTH!I2</f>
        <v>0</v>
      </c>
      <c r="BE15" s="4"/>
      <c r="BF15" s="4"/>
      <c r="BG15" s="4"/>
      <c r="BH15" s="4"/>
      <c r="BI15" s="4">
        <f>KMBTH!J1</f>
        <v>0</v>
      </c>
      <c r="BJ15" s="8">
        <f>KMBTH!J2</f>
        <v>0</v>
      </c>
      <c r="BK15" s="4"/>
      <c r="BL15" s="4"/>
      <c r="BM15" s="4"/>
      <c r="BN15" s="4"/>
      <c r="BO15" s="4">
        <f>KMBTH!K1</f>
        <v>0</v>
      </c>
      <c r="BP15" s="8">
        <f>KMBTH!K2</f>
        <v>0</v>
      </c>
      <c r="BQ15" s="4"/>
      <c r="BR15" s="4"/>
      <c r="BS15" s="4"/>
      <c r="BT15" s="4"/>
      <c r="BU15" s="4">
        <f>KMBTH!L1</f>
        <v>0</v>
      </c>
      <c r="BV15" s="8">
        <f>KMBTH!L2</f>
        <v>0</v>
      </c>
      <c r="BW15" s="7"/>
      <c r="BX15" s="7"/>
      <c r="BY15" s="8">
        <f ca="1">INDIRECT("'KMB'!R2")</f>
        <v>0</v>
      </c>
      <c r="BZ15" s="8">
        <f ca="1">INDIRECT("KMB!L2")</f>
        <v>0</v>
      </c>
      <c r="CA15" s="9" t="e">
        <f t="shared" ca="1" si="0"/>
        <v>#DIV/0!</v>
      </c>
      <c r="CB15" s="9" t="e">
        <f t="shared" ca="1" si="1"/>
        <v>#DIV/0!</v>
      </c>
      <c r="CC15" s="7"/>
    </row>
  </sheetData>
  <mergeCells count="59">
    <mergeCell ref="BO7:BP7"/>
    <mergeCell ref="BQ7:BR7"/>
    <mergeCell ref="BS7:BT7"/>
    <mergeCell ref="BU7:BV7"/>
    <mergeCell ref="BW7:BX7"/>
    <mergeCell ref="AG7:AH7"/>
    <mergeCell ref="AI7:AJ7"/>
    <mergeCell ref="AK7:AL7"/>
    <mergeCell ref="AM7:AN7"/>
    <mergeCell ref="AO7:AP7"/>
    <mergeCell ref="BI7:BJ7"/>
    <mergeCell ref="BK7:BL7"/>
    <mergeCell ref="BM7:BN7"/>
    <mergeCell ref="AQ7:AR7"/>
    <mergeCell ref="AS7:AT7"/>
    <mergeCell ref="AU7:AV7"/>
    <mergeCell ref="AW7:AX7"/>
    <mergeCell ref="AY7:AZ7"/>
    <mergeCell ref="BA7:BB7"/>
    <mergeCell ref="BC7:BD7"/>
    <mergeCell ref="BE7:BF7"/>
    <mergeCell ref="BY6:BZ7"/>
    <mergeCell ref="CA6:CB7"/>
    <mergeCell ref="CC6:CC8"/>
    <mergeCell ref="E7:F7"/>
    <mergeCell ref="G7:H7"/>
    <mergeCell ref="I7:J7"/>
    <mergeCell ref="K7:L7"/>
    <mergeCell ref="M7:N7"/>
    <mergeCell ref="O7:P7"/>
    <mergeCell ref="Q7:R7"/>
    <mergeCell ref="AO6:AT6"/>
    <mergeCell ref="AU6:AZ6"/>
    <mergeCell ref="BA6:BF6"/>
    <mergeCell ref="BG6:BL6"/>
    <mergeCell ref="BM6:BR6"/>
    <mergeCell ref="BG7:BH7"/>
    <mergeCell ref="BS6:BX6"/>
    <mergeCell ref="E6:J6"/>
    <mergeCell ref="K6:P6"/>
    <mergeCell ref="Q6:V6"/>
    <mergeCell ref="W6:AB6"/>
    <mergeCell ref="AC6:AH6"/>
    <mergeCell ref="AI6:AN6"/>
    <mergeCell ref="A2:D2"/>
    <mergeCell ref="A6:A8"/>
    <mergeCell ref="B6:B8"/>
    <mergeCell ref="C6:C8"/>
    <mergeCell ref="D6:D8"/>
    <mergeCell ref="A4:AF4"/>
    <mergeCell ref="A5:AF5"/>
    <mergeCell ref="A3:AF3"/>
    <mergeCell ref="AE7:AF7"/>
    <mergeCell ref="S7:T7"/>
    <mergeCell ref="U7:V7"/>
    <mergeCell ref="W7:X7"/>
    <mergeCell ref="Y7:Z7"/>
    <mergeCell ref="AA7:AB7"/>
    <mergeCell ref="AC7:AD7"/>
  </mergeCells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FE09-2DB9-4347-8728-BB87FB2386B7}">
  <dimension ref="A1:O6"/>
  <sheetViews>
    <sheetView workbookViewId="0">
      <selection activeCell="J11" sqref="J11"/>
    </sheetView>
  </sheetViews>
  <sheetFormatPr defaultRowHeight="13.6"/>
  <sheetData>
    <row r="1" spans="1:15" s="17" customFormat="1" ht="6.8" customHeight="1">
      <c r="A1" s="13"/>
      <c r="B1" s="13"/>
      <c r="C1" s="14"/>
      <c r="D1" s="14"/>
      <c r="E1" s="14"/>
      <c r="F1" s="14"/>
      <c r="G1" s="13"/>
      <c r="H1" s="15"/>
      <c r="I1" s="16"/>
      <c r="J1" s="14"/>
      <c r="M1" s="18"/>
      <c r="N1" s="18"/>
    </row>
    <row r="2" spans="1:15" s="17" customFormat="1" ht="20.399999999999999" customHeight="1">
      <c r="A2" s="41" t="s">
        <v>51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17" customFormat="1" ht="18.7" customHeight="1">
      <c r="A3" s="42" t="s">
        <v>50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s="17" customFormat="1" ht="7.5" customHeight="1">
      <c r="A4" s="13"/>
      <c r="B4" s="13"/>
      <c r="C4" s="14"/>
      <c r="D4" s="14"/>
      <c r="E4" s="14"/>
      <c r="F4" s="14"/>
      <c r="G4" s="13"/>
      <c r="H4" s="15"/>
      <c r="I4" s="16"/>
      <c r="J4" s="14"/>
      <c r="M4" s="18"/>
      <c r="N4" s="18"/>
    </row>
    <row r="5" spans="1:15" s="17" customFormat="1" ht="25.15" customHeight="1">
      <c r="A5" s="43" t="s">
        <v>2</v>
      </c>
      <c r="B5" s="44" t="s">
        <v>3</v>
      </c>
      <c r="C5" s="45" t="s">
        <v>37</v>
      </c>
      <c r="D5" s="44" t="s">
        <v>49</v>
      </c>
      <c r="E5" s="44"/>
      <c r="F5" s="44" t="s">
        <v>45</v>
      </c>
      <c r="G5" s="44"/>
      <c r="H5" s="44"/>
      <c r="I5" s="44"/>
      <c r="J5" s="44"/>
      <c r="K5" s="44"/>
      <c r="L5" s="44"/>
      <c r="M5" s="44"/>
      <c r="N5" s="44"/>
      <c r="O5" s="44"/>
    </row>
    <row r="6" spans="1:15" s="24" customFormat="1" ht="53.35" customHeight="1">
      <c r="A6" s="43"/>
      <c r="B6" s="44"/>
      <c r="C6" s="45"/>
      <c r="D6" s="20" t="s">
        <v>48</v>
      </c>
      <c r="E6" s="19" t="s">
        <v>47</v>
      </c>
      <c r="F6" s="19" t="s">
        <v>1</v>
      </c>
      <c r="G6" s="21" t="s">
        <v>38</v>
      </c>
      <c r="H6" s="22" t="s">
        <v>39</v>
      </c>
      <c r="I6" s="20" t="s">
        <v>46</v>
      </c>
      <c r="J6" s="19" t="s">
        <v>40</v>
      </c>
      <c r="K6" s="19" t="s">
        <v>41</v>
      </c>
      <c r="L6" s="19" t="s">
        <v>42</v>
      </c>
      <c r="M6" s="23" t="s">
        <v>43</v>
      </c>
      <c r="N6" s="23" t="s">
        <v>44</v>
      </c>
      <c r="O6" s="19" t="s">
        <v>0</v>
      </c>
    </row>
  </sheetData>
  <mergeCells count="7">
    <mergeCell ref="A2:O2"/>
    <mergeCell ref="A3:O3"/>
    <mergeCell ref="A5:A6"/>
    <mergeCell ref="B5:B6"/>
    <mergeCell ref="C5:C6"/>
    <mergeCell ref="D5:E5"/>
    <mergeCell ref="F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5B7A-FDA1-4FE7-8C53-614D085CF0B9}">
  <dimension ref="A1:O6"/>
  <sheetViews>
    <sheetView workbookViewId="0">
      <selection sqref="A1:XFD6"/>
    </sheetView>
  </sheetViews>
  <sheetFormatPr defaultRowHeight="13.6"/>
  <sheetData>
    <row r="1" spans="1:15" s="17" customFormat="1" ht="6.8" customHeight="1">
      <c r="A1" s="13"/>
      <c r="B1" s="13"/>
      <c r="C1" s="14"/>
      <c r="D1" s="14"/>
      <c r="E1" s="14"/>
      <c r="F1" s="14"/>
      <c r="G1" s="13"/>
      <c r="H1" s="15"/>
      <c r="I1" s="16"/>
      <c r="J1" s="14"/>
      <c r="M1" s="18"/>
      <c r="N1" s="18"/>
    </row>
    <row r="2" spans="1:15" s="17" customFormat="1" ht="20.399999999999999" customHeight="1">
      <c r="A2" s="41" t="s">
        <v>51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17" customFormat="1" ht="18.7" customHeight="1">
      <c r="A3" s="42" t="s">
        <v>50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s="17" customFormat="1" ht="7.5" customHeight="1">
      <c r="A4" s="13"/>
      <c r="B4" s="13"/>
      <c r="C4" s="14"/>
      <c r="D4" s="14"/>
      <c r="E4" s="14"/>
      <c r="F4" s="14"/>
      <c r="G4" s="13"/>
      <c r="H4" s="15"/>
      <c r="I4" s="16"/>
      <c r="J4" s="14"/>
      <c r="M4" s="18"/>
      <c r="N4" s="18"/>
    </row>
    <row r="5" spans="1:15" s="17" customFormat="1" ht="25.15" customHeight="1">
      <c r="A5" s="43" t="s">
        <v>2</v>
      </c>
      <c r="B5" s="44" t="s">
        <v>3</v>
      </c>
      <c r="C5" s="45" t="s">
        <v>37</v>
      </c>
      <c r="D5" s="44" t="s">
        <v>49</v>
      </c>
      <c r="E5" s="44"/>
      <c r="F5" s="44" t="s">
        <v>45</v>
      </c>
      <c r="G5" s="44"/>
      <c r="H5" s="44"/>
      <c r="I5" s="44"/>
      <c r="J5" s="44"/>
      <c r="K5" s="44"/>
      <c r="L5" s="44"/>
      <c r="M5" s="44"/>
      <c r="N5" s="44"/>
      <c r="O5" s="44"/>
    </row>
    <row r="6" spans="1:15" s="24" customFormat="1" ht="53.35" customHeight="1">
      <c r="A6" s="43"/>
      <c r="B6" s="44"/>
      <c r="C6" s="45"/>
      <c r="D6" s="20" t="s">
        <v>48</v>
      </c>
      <c r="E6" s="19" t="s">
        <v>47</v>
      </c>
      <c r="F6" s="19" t="s">
        <v>1</v>
      </c>
      <c r="G6" s="21" t="s">
        <v>38</v>
      </c>
      <c r="H6" s="22" t="s">
        <v>39</v>
      </c>
      <c r="I6" s="20" t="s">
        <v>46</v>
      </c>
      <c r="J6" s="19" t="s">
        <v>40</v>
      </c>
      <c r="K6" s="19" t="s">
        <v>41</v>
      </c>
      <c r="L6" s="19" t="s">
        <v>42</v>
      </c>
      <c r="M6" s="23" t="s">
        <v>43</v>
      </c>
      <c r="N6" s="23" t="s">
        <v>44</v>
      </c>
      <c r="O6" s="19" t="s">
        <v>0</v>
      </c>
    </row>
  </sheetData>
  <mergeCells count="7">
    <mergeCell ref="A2:O2"/>
    <mergeCell ref="A3:O3"/>
    <mergeCell ref="A5:A6"/>
    <mergeCell ref="B5:B6"/>
    <mergeCell ref="C5:C6"/>
    <mergeCell ref="D5:E5"/>
    <mergeCell ref="F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2AE2-5C88-407F-9EB6-583114126FC2}">
  <dimension ref="A1:N6"/>
  <sheetViews>
    <sheetView workbookViewId="0">
      <selection activeCell="A3" sqref="A3:N3"/>
    </sheetView>
  </sheetViews>
  <sheetFormatPr defaultRowHeight="13.6"/>
  <sheetData>
    <row r="1" spans="1:14" s="17" customFormat="1" ht="6.8" customHeight="1">
      <c r="A1" s="13"/>
      <c r="B1" s="13"/>
      <c r="C1" s="14"/>
      <c r="D1" s="14"/>
      <c r="E1" s="14"/>
      <c r="F1" s="13"/>
      <c r="G1" s="15"/>
      <c r="H1" s="16"/>
      <c r="I1" s="14"/>
      <c r="L1" s="18"/>
      <c r="M1" s="18"/>
    </row>
    <row r="2" spans="1:14" s="17" customFormat="1" ht="20.399999999999999" customHeight="1">
      <c r="A2" s="41" t="s">
        <v>53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s="17" customFormat="1" ht="18.7" customHeight="1">
      <c r="A3" s="42" t="s">
        <v>50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s="17" customFormat="1" ht="7.5" customHeight="1">
      <c r="A4" s="13"/>
      <c r="B4" s="13"/>
      <c r="C4" s="14"/>
      <c r="D4" s="14"/>
      <c r="E4" s="14"/>
      <c r="F4" s="13"/>
      <c r="G4" s="15"/>
      <c r="H4" s="16"/>
      <c r="I4" s="14"/>
      <c r="L4" s="18"/>
      <c r="M4" s="18"/>
    </row>
    <row r="5" spans="1:14" s="17" customFormat="1" ht="25.15" customHeight="1">
      <c r="A5" s="43" t="s">
        <v>2</v>
      </c>
      <c r="B5" s="44" t="s">
        <v>3</v>
      </c>
      <c r="C5" s="45" t="s">
        <v>37</v>
      </c>
      <c r="D5" s="46" t="s">
        <v>45</v>
      </c>
      <c r="E5" s="47"/>
      <c r="F5" s="47"/>
      <c r="G5" s="47"/>
      <c r="H5" s="47"/>
      <c r="I5" s="47"/>
      <c r="J5" s="47"/>
      <c r="K5" s="47"/>
      <c r="L5" s="47"/>
      <c r="M5" s="47"/>
      <c r="N5" s="48"/>
    </row>
    <row r="6" spans="1:14" s="24" customFormat="1" ht="53.35" customHeight="1">
      <c r="A6" s="43"/>
      <c r="B6" s="44"/>
      <c r="C6" s="45"/>
      <c r="D6" s="20" t="s">
        <v>52</v>
      </c>
      <c r="E6" s="19" t="s">
        <v>1</v>
      </c>
      <c r="F6" s="21" t="s">
        <v>38</v>
      </c>
      <c r="G6" s="22" t="s">
        <v>39</v>
      </c>
      <c r="H6" s="20" t="s">
        <v>46</v>
      </c>
      <c r="I6" s="19" t="s">
        <v>40</v>
      </c>
      <c r="J6" s="19" t="s">
        <v>41</v>
      </c>
      <c r="K6" s="19" t="s">
        <v>42</v>
      </c>
      <c r="L6" s="23" t="s">
        <v>43</v>
      </c>
      <c r="M6" s="23" t="s">
        <v>44</v>
      </c>
      <c r="N6" s="19" t="s">
        <v>0</v>
      </c>
    </row>
  </sheetData>
  <mergeCells count="6">
    <mergeCell ref="A2:N2"/>
    <mergeCell ref="A3:N3"/>
    <mergeCell ref="A5:A6"/>
    <mergeCell ref="B5:B6"/>
    <mergeCell ref="C5:C6"/>
    <mergeCell ref="D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7D47-8661-48BB-B8CB-FDE757DB5101}">
  <dimension ref="A1"/>
  <sheetViews>
    <sheetView workbookViewId="0"/>
  </sheetViews>
  <sheetFormatPr defaultRowHeight="13.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V400"/>
  <sheetViews>
    <sheetView workbookViewId="0">
      <selection activeCell="A3" sqref="A3"/>
    </sheetView>
  </sheetViews>
  <sheetFormatPr defaultRowHeight="13.6"/>
  <cols>
    <col min="1" max="1" width="9.28515625" customWidth="1"/>
    <col min="2" max="4" width="7.7109375" customWidth="1"/>
    <col min="5" max="5" width="11" customWidth="1"/>
    <col min="6" max="8" width="7.85546875" customWidth="1"/>
    <col min="26" max="28" width="8" customWidth="1"/>
    <col min="30" max="32" width="7.85546875" customWidth="1"/>
    <col min="34" max="36" width="7.85546875" customWidth="1"/>
    <col min="38" max="40" width="7.85546875" customWidth="1"/>
    <col min="46" max="46" width="8.7109375" customWidth="1"/>
  </cols>
  <sheetData>
    <row r="1" spans="1:48">
      <c r="A1">
        <f>B1+C1</f>
        <v>0</v>
      </c>
      <c r="B1">
        <f>COUNTIF(C3:C400, "&gt;0")</f>
        <v>0</v>
      </c>
      <c r="C1">
        <f t="array" ref="C1">SUM(IF((D3:D400&lt;&gt;0)*(D3:D400&lt;&gt;"")*(D3:D400&lt;&gt;D2:D399), 1, 0))</f>
        <v>0</v>
      </c>
      <c r="E1">
        <f>F1+G1</f>
        <v>0</v>
      </c>
      <c r="F1">
        <f>COUNTIF(G3:G400, "&gt;0")</f>
        <v>0</v>
      </c>
      <c r="G1">
        <f t="array" ref="G1">SUM(IF((H3:H400&lt;&gt;0)*(H3:H400&lt;&gt;"")*(H3:H400&lt;&gt;H2:H399), 1, 0))</f>
        <v>0</v>
      </c>
      <c r="I1">
        <f>J1+K1</f>
        <v>0</v>
      </c>
      <c r="J1">
        <f>COUNTIF(K3:K400, "&gt;0")</f>
        <v>0</v>
      </c>
      <c r="K1">
        <f t="array" ref="K1">SUM(IF((L3:L400&lt;&gt;0)*(L3:L400&lt;&gt;"")*(L3:L400&lt;&gt;L2:L399), 1, 0))</f>
        <v>0</v>
      </c>
      <c r="M1">
        <f>N1+O1</f>
        <v>0</v>
      </c>
      <c r="N1">
        <f>COUNTIF(O3:O400, "&gt;0")</f>
        <v>0</v>
      </c>
      <c r="O1">
        <f t="array" ref="O1">SUM(IF((P3:P400&lt;&gt;0)*(P3:P400&lt;&gt;"")*(P3:P400&lt;&gt;P2:P399), 1, 0))</f>
        <v>0</v>
      </c>
      <c r="Q1">
        <f>R1+S1</f>
        <v>0</v>
      </c>
      <c r="R1">
        <f>COUNTIF(S3:S400, "&gt;0")</f>
        <v>0</v>
      </c>
      <c r="S1">
        <f t="array" ref="S1">SUM(IF((T3:T400&lt;&gt;0)*(T3:T400&lt;&gt;"")*(T3:T400&lt;&gt;T2:T399), 1, 0))</f>
        <v>0</v>
      </c>
      <c r="U1">
        <f>V1+W1</f>
        <v>0</v>
      </c>
      <c r="V1">
        <f>COUNTIF(W3:W400, "&gt;0")</f>
        <v>0</v>
      </c>
      <c r="W1">
        <f t="array" ref="W1">SUM(IF((X3:X400&lt;&gt;0)*(X3:X400&lt;&gt;"")*(X3:X400&lt;&gt;X2:X399), 1, 0))</f>
        <v>0</v>
      </c>
      <c r="Y1">
        <f>Z1+AA1</f>
        <v>0</v>
      </c>
      <c r="Z1">
        <f>COUNTIF(AA3:AA400, "&gt;0")</f>
        <v>0</v>
      </c>
      <c r="AA1">
        <f t="array" ref="AA1">SUM(IF((AB3:AB400&lt;&gt;0)*(AB3:AB400&lt;&gt;"")*(AB3:AB400&lt;&gt;AB2:AB399), 1, 0))</f>
        <v>0</v>
      </c>
      <c r="AC1">
        <f>AD1+AE1</f>
        <v>0</v>
      </c>
      <c r="AD1">
        <f>COUNTIF(AE3:AE400, "&gt;0")</f>
        <v>0</v>
      </c>
      <c r="AE1">
        <f t="array" ref="AE1">SUM(IF((AF3:AF400&lt;&gt;0)*(AF3:AF400&lt;&gt;"")*(AF3:AF400&lt;&gt;AF2:AF399), 1, 0))</f>
        <v>0</v>
      </c>
      <c r="AG1">
        <f>AH1+AI1</f>
        <v>0</v>
      </c>
      <c r="AH1">
        <f>COUNTIF(AI3:AI400, "&gt;0")</f>
        <v>0</v>
      </c>
      <c r="AI1">
        <f t="array" ref="AI1">SUM(IF((AJ3:AJ400&lt;&gt;0)*(AJ3:AJ400&lt;&gt;"")*(AJ3:AJ400&lt;&gt;AJ2:AJ399), 1, 0))</f>
        <v>0</v>
      </c>
      <c r="AK1">
        <f>AL1+AM1</f>
        <v>0</v>
      </c>
      <c r="AL1">
        <f>COUNTIF(AM3:AM400, "&gt;0")</f>
        <v>0</v>
      </c>
      <c r="AM1">
        <f t="array" ref="AM1">SUM(IF((AN3:AN400&lt;&gt;0)*(AN3:AN400&lt;&gt;"")*(AN3:AN400&lt;&gt;AN2:AN399), 1, 0))</f>
        <v>0</v>
      </c>
      <c r="AO1">
        <f>AP1+AQ1</f>
        <v>0</v>
      </c>
      <c r="AP1">
        <f>COUNTIF(AQ3:AQ400, "&gt;0")</f>
        <v>0</v>
      </c>
      <c r="AQ1">
        <f t="array" ref="AQ1">SUM(IF((AR3:AR400&lt;&gt;0)*(AR3:AR400&lt;&gt;"")*(AR3:AR400&lt;&gt;AR2:AR399), 1, 0))</f>
        <v>0</v>
      </c>
      <c r="AS1">
        <f>AT1+AU1</f>
        <v>0</v>
      </c>
      <c r="AT1">
        <f>COUNTIF(AU3:AU400, "&gt;0")</f>
        <v>0</v>
      </c>
      <c r="AU1">
        <f t="array" ref="AU1">SUM(IF((AV3:AV400&lt;&gt;0)*(AV3:AV400&lt;&gt;"")*(AV3:AV400&lt;&gt;AV2:AV399), 1, 0))</f>
        <v>0</v>
      </c>
    </row>
    <row r="2" spans="1:48" s="10" customFormat="1" ht="12.9">
      <c r="A2" s="11">
        <f>SUM(A3:A444)</f>
        <v>0</v>
      </c>
      <c r="E2" s="11">
        <f t="shared" ref="E2:AS2" si="0">SUM(E3:E444)</f>
        <v>0</v>
      </c>
      <c r="I2" s="11">
        <f>SUM(I3:I444)</f>
        <v>0</v>
      </c>
      <c r="M2" s="11">
        <f t="shared" si="0"/>
        <v>0</v>
      </c>
      <c r="Q2" s="11">
        <f t="shared" si="0"/>
        <v>0</v>
      </c>
      <c r="U2" s="11">
        <f t="shared" si="0"/>
        <v>0</v>
      </c>
      <c r="Y2" s="11">
        <f t="shared" si="0"/>
        <v>0</v>
      </c>
      <c r="AC2" s="11">
        <f t="shared" si="0"/>
        <v>0</v>
      </c>
      <c r="AG2" s="11">
        <f t="shared" si="0"/>
        <v>0</v>
      </c>
      <c r="AK2" s="11">
        <f t="shared" si="0"/>
        <v>0</v>
      </c>
      <c r="AO2" s="11">
        <f t="shared" si="0"/>
        <v>0</v>
      </c>
      <c r="AS2" s="11">
        <f t="shared" si="0"/>
        <v>0</v>
      </c>
    </row>
    <row r="3" spans="1:48" ht="15.8" customHeight="1">
      <c r="A3">
        <f>SUMPRODUCT((MONTH(CHOOSE({1,2,3,4},XT!U3,XT!Y3,XT!AC3,XT!AG3))=1)*(CHOOSE({1,2,3,4},XT!X3,XT!AB3,XT!AF3,XT!AJ3)))</f>
        <v>0</v>
      </c>
      <c r="B3">
        <f>IFERROR(INDEX(CHOOSE({1,2,3,4}, DAY(XT!U3), DAY(XT!Y3), DAY(XT!AC3), DAY(XT!AG3)), MATCH(1, INDEX(--(MONTH(CHOOSE({1,2,3,4}, XT!U3,XT!Y3,XT!AC3,XT!AG3))=1), 0), 0)), "")</f>
        <v>0</v>
      </c>
      <c r="C3" s="12" t="str">
        <f>IF(XT!$P3&gt;0,B3,"")</f>
        <v/>
      </c>
      <c r="D3" s="12">
        <f>IF(XT!$P3=0,B3,"")</f>
        <v>0</v>
      </c>
      <c r="E3">
        <f>SUMPRODUCT((MONTH(CHOOSE({1,2,3,4},XT!U3,XT!Y3,XT!AC3,XT!AG3))=2)*(CHOOSE({1,2,3,4},XT!X3,XT!AB3,XT!AF3,XT!AJ3)))</f>
        <v>0</v>
      </c>
      <c r="F3" t="str">
        <f>IFERROR(INDEX(CHOOSE({1,2,3,4}, DAY(XT!U3), DAY(XT!Y3), DAY(XT!AC3), DAY(XT!AG3)), MATCH(1, INDEX(--(MONTH(CHOOSE({1,2,3,4}, XT!U3,XT!Y3,XT!AC3,XT!AG3))=2), 0), 0)), "")</f>
        <v/>
      </c>
      <c r="G3" s="12" t="str">
        <f>IF(XT!$P3&gt;0,F3,"")</f>
        <v/>
      </c>
      <c r="H3" s="12" t="str">
        <f>IF(XT!$P3=0,F3,"")</f>
        <v/>
      </c>
      <c r="I3">
        <f>SUMPRODUCT((MONTH(CHOOSE({1,2,3,4},XT!U3,XT!Y3,XT!AC3,XT!AG3))=3)*(CHOOSE({1,2,3,4},XT!X3,XT!AB3,XT!AF3,XT!AJ3)))</f>
        <v>0</v>
      </c>
      <c r="J3" t="str">
        <f>IFERROR(INDEX(CHOOSE({1,2,3,4}, DAY(XT!U3), DAY(XT!Y3), DAY(XT!AC3), DAY(XT!AG3)), MATCH(1, INDEX(--(MONTH(CHOOSE({1,2,3,4}, XT!U3,XT!Y3,XT!AC3,XT!AG3))=3), 0), 0)), "")</f>
        <v/>
      </c>
      <c r="K3" s="12" t="str">
        <f>IF(XT!$P3&gt;0,J3,"")</f>
        <v/>
      </c>
      <c r="L3" s="12" t="str">
        <f>IF(XT!$P3=0,J3,"")</f>
        <v/>
      </c>
      <c r="M3">
        <f>SUMPRODUCT((MONTH(CHOOSE({1,2,3,4},XT!U3,XT!Y3,XT!AC3,XT!AG3))=4)*(CHOOSE({1,2,3,4},XT!X3,XT!AB3,XT!AF3,XT!AJ3)))</f>
        <v>0</v>
      </c>
      <c r="N3" t="str">
        <f>IFERROR(INDEX(CHOOSE({1,2,3,4}, DAY(XT!U3), DAY(XT!Y3), DAY(XT!AC3), DAY(XT!AG3)), MATCH(1, INDEX(--(MONTH(CHOOSE({1,2,3,4}, XT!U3,XT!Y3,XT!AC3,XT!AG3))=4), 0), 0)), "")</f>
        <v/>
      </c>
      <c r="O3" s="12" t="str">
        <f>IF(XT!$P3&gt;0,N3,"")</f>
        <v/>
      </c>
      <c r="P3" s="12" t="str">
        <f>IF(XT!$P3=0,N3,"")</f>
        <v/>
      </c>
      <c r="Q3">
        <f>SUMPRODUCT((MONTH(CHOOSE({1,2,3,4},XT!U3,XT!Y3,XT!AC3,XT!AG3))=5)*(CHOOSE({1,2,3,4},XT!X3,XT!AB3,XT!AF3,XT!AJ3)))</f>
        <v>0</v>
      </c>
      <c r="R3" t="str">
        <f>IFERROR(INDEX(CHOOSE({1,2,3,4}, DAY(XT!U3), DAY(XT!Y3), DAY(XT!AC3), DAY(XT!AG3)), MATCH(1, INDEX(--(MONTH(CHOOSE({1,2,3,4}, XT!U3,XT!Y3,XT!AC3,XT!AG3))=5), 0), 0)), "")</f>
        <v/>
      </c>
      <c r="S3" s="12" t="str">
        <f>IF(XT!$P3&gt;0,R3,"")</f>
        <v/>
      </c>
      <c r="T3" s="12" t="str">
        <f>IF(XT!$P3=0,R3,"")</f>
        <v/>
      </c>
      <c r="U3">
        <f>SUMPRODUCT((MONTH(CHOOSE({1,2,3,4},XT!U3,XT!Y3,XT!AC3,XT!AG3))=6)*(CHOOSE({1,2,3,4},XT!X3,XT!AB3,XT!AF3,XT!AJ3)))</f>
        <v>0</v>
      </c>
      <c r="V3" t="str">
        <f>IFERROR(INDEX(CHOOSE({1,2,3,4}, DAY(XT!U3), DAY(XT!Y3), DAY(XT!AC3), DAY(XT!AG3)), MATCH(1, INDEX(--(MONTH(CHOOSE({1,2,3,4}, XT!U3,XT!Y3,XT!AC3,XT!AG3))=6), 0), 0)), "")</f>
        <v/>
      </c>
      <c r="W3" s="12" t="str">
        <f>IF(XT!$P3&gt;0,V3,"")</f>
        <v/>
      </c>
      <c r="X3" s="12" t="str">
        <f>IF(XT!$P3=0,V3,"")</f>
        <v/>
      </c>
      <c r="Y3">
        <f>SUMPRODUCT((MONTH(CHOOSE({1,2,3,4},XT!U3,XT!Y3,XT!AC3,XT!AG3))=7)*(CHOOSE({1,2,3,4},XT!X3,XT!AB3,XT!AF3,XT!AJ3)))</f>
        <v>0</v>
      </c>
      <c r="Z3" t="str">
        <f>IFERROR(INDEX(CHOOSE({1,2,3,4}, DAY(XT!U3), DAY(XT!Y3), DAY(XT!AC3), DAY(XT!AG3)), MATCH(1, INDEX(--(MONTH(CHOOSE({1,2,3,4}, XT!U3,XT!Y3,XT!AC3,XT!AG3))=7), 0), 0)), "")</f>
        <v/>
      </c>
      <c r="AA3" s="12" t="str">
        <f>IF(XT!$P3&gt;0,Z3,"")</f>
        <v/>
      </c>
      <c r="AB3" s="12" t="str">
        <f>IF(XT!$P3=0,Z3,"")</f>
        <v/>
      </c>
      <c r="AC3">
        <f>SUMPRODUCT((MONTH(CHOOSE({1,2,3,4},XT!U3,XT!Y3,XT!AC3,XT!AG3))=8)*(CHOOSE({1,2,3,4},XT!X3,XT!AB3,XT!AF3,XT!AJ3)))</f>
        <v>0</v>
      </c>
      <c r="AD3" t="str">
        <f>IFERROR(INDEX(CHOOSE({1,2,3,4}, DAY(XT!U3), DAY(XT!Y3), DAY(XT!AC3), DAY(XT!AG3)), MATCH(1, INDEX(--(MONTH(CHOOSE({1,2,3,4}, XT!U3,XT!Y3,XT!AC3,XT!AG3))=8), 0), 0)), "")</f>
        <v/>
      </c>
      <c r="AE3" s="12" t="str">
        <f>IF(XT!$P3&gt;0,AD3,"")</f>
        <v/>
      </c>
      <c r="AF3" s="12" t="str">
        <f>IF(XT!$P3=0,AD3,"")</f>
        <v/>
      </c>
      <c r="AG3">
        <f>SUMPRODUCT((MONTH(CHOOSE({1,2,3,4},XT!U3,XT!Y3,XT!AC3,XT!AG3))=9)*(CHOOSE({1,2,3,4},XT!X3,XT!AB3,XT!AF3,XT!AJ3)))</f>
        <v>0</v>
      </c>
      <c r="AH3" t="str">
        <f>IFERROR(INDEX(CHOOSE({1,2,3,4}, DAY(XT!U3), DAY(XT!Y3), DAY(XT!AC3), DAY(XT!AG3)), MATCH(1, INDEX(--(MONTH(CHOOSE({1,2,3,4}, XT!U3,XT!Y3,XT!AC3,XT!AG3))=9), 0), 0)), "")</f>
        <v/>
      </c>
      <c r="AI3" s="12" t="str">
        <f>IF(XT!$P3&gt;0,AH3,"")</f>
        <v/>
      </c>
      <c r="AJ3" s="12" t="str">
        <f>IF(XT!$P3=0,AH3,"")</f>
        <v/>
      </c>
      <c r="AK3">
        <f>SUMPRODUCT((MONTH(CHOOSE({1,2,3,4},XT!U3,XT!Y3,XT!AC3,XT!AG3))=10)*(CHOOSE({1,2,3,4},XT!X3,XT!AB3,XT!AF3,XT!AJ3)))</f>
        <v>0</v>
      </c>
      <c r="AL3" t="str">
        <f>IFERROR(INDEX(CHOOSE({1,2,3,4}, DAY(XT!U3), DAY(XT!Y3), DAY(XT!AC3), DAY(XT!AG3)), MATCH(1, INDEX(--(MONTH(CHOOSE({1,2,3,4}, XT!U3,XT!Y3,XT!AC3,XT!AG3))=10), 0), 0)), "")</f>
        <v/>
      </c>
      <c r="AM3" s="12" t="str">
        <f>IF(XT!$P3&gt;0,AL3,"")</f>
        <v/>
      </c>
      <c r="AN3" s="12" t="str">
        <f>IF(XT!$P3=0,AL3,"")</f>
        <v/>
      </c>
      <c r="AO3">
        <f>SUMPRODUCT((MONTH(CHOOSE({1,2,3,4},XT!U3,XT!Y3,XT!AC3,XT!AG3))=11)*(CHOOSE({1,2,3,4},XT!X3,XT!AB3,XT!AF3,XT!AJ3)))</f>
        <v>0</v>
      </c>
      <c r="AP3" t="str">
        <f>IFERROR(INDEX(CHOOSE({1,2,3,4}, DAY(XT!U3), DAY(XT!Y3), DAY(XT!AC3), DAY(XT!AG3)), MATCH(1, INDEX(--(MONTH(CHOOSE({1,2,3,4}, XT!U3,XT!Y3,XT!AC3,XT!AG3))=11), 0), 0)), "")</f>
        <v/>
      </c>
      <c r="AQ3" s="12" t="str">
        <f>IF(XT!$P3&gt;0,AP3,"")</f>
        <v/>
      </c>
      <c r="AR3" s="12" t="str">
        <f>IF(XT!$P3=0,AP3,"")</f>
        <v/>
      </c>
      <c r="AS3">
        <f>SUMPRODUCT((MONTH(CHOOSE({1,2,3,4},XT!U3,XT!Y3,XT!AC3,XT!AG3))=12)*(CHOOSE({1,2,3,4},XT!X3,XT!AB3,XT!AF3,XT!AJ3)))</f>
        <v>0</v>
      </c>
      <c r="AT3" t="str">
        <f>IFERROR(INDEX(CHOOSE({1,2,3,4}, DAY(XT!U3), DAY(XT!Y3), DAY(XT!AC3), DAY(XT!AG3)), MATCH(1, INDEX(--(MONTH(CHOOSE({1,2,3,4}, XT!U3,XT!Y3,XT!AC3,XT!AG3))=12), 0), 0)), "")</f>
        <v/>
      </c>
      <c r="AU3" s="12" t="str">
        <f>IF(XT!$P3&gt;0,AT3,"")</f>
        <v/>
      </c>
      <c r="AV3" s="12" t="str">
        <f>IF(XT!$P3=0,AT3,"")</f>
        <v/>
      </c>
    </row>
    <row r="4" spans="1:48">
      <c r="A4">
        <f>SUMPRODUCT((MONTH(CHOOSE({1,2,3,4},XT!U4,XT!Y4,XT!AC4,XT!AG4))=1)*(CHOOSE({1,2,3,4},XT!X4,XT!AB4,XT!AF4,XT!AJ4)))</f>
        <v>0</v>
      </c>
      <c r="B4">
        <f>IFERROR(INDEX(CHOOSE({1,2,3,4}, DAY(XT!U4), DAY(XT!Y4), DAY(XT!AC4), DAY(XT!AG4)), MATCH(1, INDEX(--(MONTH(CHOOSE({1,2,3,4}, XT!U4,XT!Y4,XT!AC4,XT!AG4))=1), 0), 0)), "")</f>
        <v>0</v>
      </c>
      <c r="C4" s="12" t="str">
        <f>IF(XT!$P4&gt;0,B4,"")</f>
        <v/>
      </c>
      <c r="D4" s="12">
        <f>IF(XT!$P4=0,B4,"")</f>
        <v>0</v>
      </c>
      <c r="E4">
        <f>SUMPRODUCT((MONTH(CHOOSE({1,2,3,4},XT!U4,XT!Y4,XT!AC4,XT!AG4))=2)*(CHOOSE({1,2,3,4},XT!X4,XT!AB4,XT!AF4,XT!AJ4)))</f>
        <v>0</v>
      </c>
      <c r="F4" t="str">
        <f>IFERROR(INDEX(CHOOSE({1,2,3,4}, DAY(XT!U4), DAY(XT!Y4), DAY(XT!AC4), DAY(XT!AG4)), MATCH(1, INDEX(--(MONTH(CHOOSE({1,2,3,4}, XT!U4,XT!Y4,XT!AC4,XT!AG4))=2), 0), 0)), "")</f>
        <v/>
      </c>
      <c r="G4" s="12" t="str">
        <f>IF(XT!$P4&gt;0,F4,"")</f>
        <v/>
      </c>
      <c r="H4" s="12" t="str">
        <f>IF(XT!$P4=0,F4,"")</f>
        <v/>
      </c>
      <c r="I4">
        <f>SUMPRODUCT((MONTH(CHOOSE({1,2,3,4},XT!U4,XT!Y4,XT!AC4,XT!AG4))=3)*(CHOOSE({1,2,3,4},XT!X4,XT!AB4,XT!AF4,XT!AJ4)))</f>
        <v>0</v>
      </c>
      <c r="J4" t="str">
        <f>IFERROR(INDEX(CHOOSE({1,2,3,4}, DAY(XT!U4), DAY(XT!Y4), DAY(XT!AC4), DAY(XT!AG4)), MATCH(1, INDEX(--(MONTH(CHOOSE({1,2,3,4}, XT!U4,XT!Y4,XT!AC4,XT!AG4))=3), 0), 0)), "")</f>
        <v/>
      </c>
      <c r="K4" s="12" t="str">
        <f>IF(XT!$P4&gt;0,J4,"")</f>
        <v/>
      </c>
      <c r="L4" s="12" t="str">
        <f>IF(XT!$P4=0,J4,"")</f>
        <v/>
      </c>
      <c r="M4">
        <f>SUMPRODUCT((MONTH(CHOOSE({1,2,3,4},XT!U4,XT!Y4,XT!AC4,XT!AG4))=4)*(CHOOSE({1,2,3,4},XT!X4,XT!AB4,XT!AF4,XT!AJ4)))</f>
        <v>0</v>
      </c>
      <c r="N4" t="str">
        <f>IFERROR(INDEX(CHOOSE({1,2,3,4}, DAY(XT!U4), DAY(XT!Y4), DAY(XT!AC4), DAY(XT!AG4)), MATCH(1, INDEX(--(MONTH(CHOOSE({1,2,3,4}, XT!U4,XT!Y4,XT!AC4,XT!AG4))=4), 0), 0)), "")</f>
        <v/>
      </c>
      <c r="O4" s="12" t="str">
        <f>IF(XT!$P4&gt;0,N4,"")</f>
        <v/>
      </c>
      <c r="P4" s="12" t="str">
        <f>IF(XT!$P4=0,N4,"")</f>
        <v/>
      </c>
      <c r="Q4">
        <f>SUMPRODUCT((MONTH(CHOOSE({1,2,3,4},XT!U4,XT!Y4,XT!AC4,XT!AG4))=5)*(CHOOSE({1,2,3,4},XT!X4,XT!AB4,XT!AF4,XT!AJ4)))</f>
        <v>0</v>
      </c>
      <c r="R4" t="str">
        <f>IFERROR(INDEX(CHOOSE({1,2,3,4}, DAY(XT!U4), DAY(XT!Y4), DAY(XT!AC4), DAY(XT!AG4)), MATCH(1, INDEX(--(MONTH(CHOOSE({1,2,3,4}, XT!U4,XT!Y4,XT!AC4,XT!AG4))=5), 0), 0)), "")</f>
        <v/>
      </c>
      <c r="S4" s="12" t="str">
        <f>IF(XT!$P4&gt;0,R4,"")</f>
        <v/>
      </c>
      <c r="T4" s="12" t="str">
        <f>IF(XT!$P4=0,R4,"")</f>
        <v/>
      </c>
      <c r="U4">
        <f>SUMPRODUCT((MONTH(CHOOSE({1,2,3,4},XT!U4,XT!Y4,XT!AC4,XT!AG4))=6)*(CHOOSE({1,2,3,4},XT!X4,XT!AB4,XT!AF4,XT!AJ4)))</f>
        <v>0</v>
      </c>
      <c r="V4" t="str">
        <f>IFERROR(INDEX(CHOOSE({1,2,3,4}, DAY(XT!U4), DAY(XT!Y4), DAY(XT!AC4), DAY(XT!AG4)), MATCH(1, INDEX(--(MONTH(CHOOSE({1,2,3,4}, XT!U4,XT!Y4,XT!AC4,XT!AG4))=6), 0), 0)), "")</f>
        <v/>
      </c>
      <c r="W4" s="12" t="str">
        <f>IF(XT!$P4&gt;0,V4,"")</f>
        <v/>
      </c>
      <c r="X4" s="12" t="str">
        <f>IF(XT!$P4=0,V4,"")</f>
        <v/>
      </c>
      <c r="Y4">
        <f>SUMPRODUCT((MONTH(CHOOSE({1,2,3,4},XT!U4,XT!Y4,XT!AC4,XT!AG4))=7)*(CHOOSE({1,2,3,4},XT!X4,XT!AB4,XT!AF4,XT!AJ4)))</f>
        <v>0</v>
      </c>
      <c r="Z4" t="str">
        <f>IFERROR(INDEX(CHOOSE({1,2,3,4}, DAY(XT!U4), DAY(XT!Y4), DAY(XT!AC4), DAY(XT!AG4)), MATCH(1, INDEX(--(MONTH(CHOOSE({1,2,3,4}, XT!U4,XT!Y4,XT!AC4,XT!AG4))=7), 0), 0)), "")</f>
        <v/>
      </c>
      <c r="AA4" s="12" t="str">
        <f>IF(XT!$P4&gt;0,Z4,"")</f>
        <v/>
      </c>
      <c r="AB4" s="12" t="str">
        <f>IF(XT!$P4=0,Z4,"")</f>
        <v/>
      </c>
      <c r="AC4">
        <f>SUMPRODUCT((MONTH(CHOOSE({1,2,3,4},XT!U4,XT!Y4,XT!AC4,XT!AG4))=8)*(CHOOSE({1,2,3,4},XT!X4,XT!AB4,XT!AF4,XT!AJ4)))</f>
        <v>0</v>
      </c>
      <c r="AD4" t="str">
        <f>IFERROR(INDEX(CHOOSE({1,2,3,4}, DAY(XT!U4), DAY(XT!Y4), DAY(XT!AC4), DAY(XT!AG4)), MATCH(1, INDEX(--(MONTH(CHOOSE({1,2,3,4}, XT!U4,XT!Y4,XT!AC4,XT!AG4))=8), 0), 0)), "")</f>
        <v/>
      </c>
      <c r="AE4" s="12" t="str">
        <f>IF(XT!$P4&gt;0,AD4,"")</f>
        <v/>
      </c>
      <c r="AF4" s="12" t="str">
        <f>IF(XT!$P4=0,AD4,"")</f>
        <v/>
      </c>
      <c r="AG4">
        <f>SUMPRODUCT((MONTH(CHOOSE({1,2,3,4},XT!U4,XT!Y4,XT!AC4,XT!AG4))=9)*(CHOOSE({1,2,3,4},XT!X4,XT!AB4,XT!AF4,XT!AJ4)))</f>
        <v>0</v>
      </c>
      <c r="AH4" t="str">
        <f>IFERROR(INDEX(CHOOSE({1,2,3,4}, DAY(XT!U4), DAY(XT!Y4), DAY(XT!AC4), DAY(XT!AG4)), MATCH(1, INDEX(--(MONTH(CHOOSE({1,2,3,4}, XT!U4,XT!Y4,XT!AC4,XT!AG4))=9), 0), 0)), "")</f>
        <v/>
      </c>
      <c r="AI4" s="12" t="str">
        <f>IF(XT!$P4&gt;0,AH4,"")</f>
        <v/>
      </c>
      <c r="AJ4" s="12" t="str">
        <f>IF(XT!$P4=0,AH4,"")</f>
        <v/>
      </c>
      <c r="AK4">
        <f>SUMPRODUCT((MONTH(CHOOSE({1,2,3,4},XT!U4,XT!Y4,XT!AC4,XT!AG4))=10)*(CHOOSE({1,2,3,4},XT!X4,XT!AB4,XT!AF4,XT!AJ4)))</f>
        <v>0</v>
      </c>
      <c r="AL4" t="str">
        <f>IFERROR(INDEX(CHOOSE({1,2,3,4}, DAY(XT!U4), DAY(XT!Y4), DAY(XT!AC4), DAY(XT!AG4)), MATCH(1, INDEX(--(MONTH(CHOOSE({1,2,3,4}, XT!U4,XT!Y4,XT!AC4,XT!AG4))=10), 0), 0)), "")</f>
        <v/>
      </c>
      <c r="AM4" s="12" t="str">
        <f>IF(XT!$P4&gt;0,AL4,"")</f>
        <v/>
      </c>
      <c r="AN4" s="12" t="str">
        <f>IF(XT!$P4=0,AL4,"")</f>
        <v/>
      </c>
      <c r="AO4">
        <f>SUMPRODUCT((MONTH(CHOOSE({1,2,3,4},XT!U4,XT!Y4,XT!AC4,XT!AG4))=11)*(CHOOSE({1,2,3,4},XT!X4,XT!AB4,XT!AF4,XT!AJ4)))</f>
        <v>0</v>
      </c>
      <c r="AP4" t="str">
        <f>IFERROR(INDEX(CHOOSE({1,2,3,4}, DAY(XT!U4), DAY(XT!Y4), DAY(XT!AC4), DAY(XT!AG4)), MATCH(1, INDEX(--(MONTH(CHOOSE({1,2,3,4}, XT!U4,XT!Y4,XT!AC4,XT!AG4))=11), 0), 0)), "")</f>
        <v/>
      </c>
      <c r="AQ4" s="12" t="str">
        <f>IF(XT!$P4&gt;0,AP4,"")</f>
        <v/>
      </c>
      <c r="AR4" s="12" t="str">
        <f>IF(XT!$P4=0,AP4,"")</f>
        <v/>
      </c>
      <c r="AS4">
        <f>SUMPRODUCT((MONTH(CHOOSE({1,2,3,4},XT!U4,XT!Y4,XT!AC4,XT!AG4))=12)*(CHOOSE({1,2,3,4},XT!X4,XT!AB4,XT!AF4,XT!AJ4)))</f>
        <v>0</v>
      </c>
      <c r="AT4" t="str">
        <f>IFERROR(INDEX(CHOOSE({1,2,3,4}, DAY(XT!U4), DAY(XT!Y4), DAY(XT!AC4), DAY(XT!AG4)), MATCH(1, INDEX(--(MONTH(CHOOSE({1,2,3,4}, XT!U4,XT!Y4,XT!AC4,XT!AG4))=12), 0), 0)), "")</f>
        <v/>
      </c>
      <c r="AU4" s="12" t="str">
        <f>IF(XT!$P4&gt;0,AT4,"")</f>
        <v/>
      </c>
      <c r="AV4" s="12" t="str">
        <f>IF(XT!$P4=0,AT4,"")</f>
        <v/>
      </c>
    </row>
    <row r="5" spans="1:48">
      <c r="A5">
        <f>SUMPRODUCT((MONTH(CHOOSE({1,2,3,4},XT!U5,XT!Y5,XT!AC5,XT!AG5))=1)*(CHOOSE({1,2,3,4},XT!X5,XT!AB5,XT!AF5,XT!AJ5)))</f>
        <v>0</v>
      </c>
      <c r="B5">
        <f>IFERROR(INDEX(CHOOSE({1,2,3,4}, DAY(XT!U5), DAY(XT!Y5), DAY(XT!AC5), DAY(XT!AG5)), MATCH(1, INDEX(--(MONTH(CHOOSE({1,2,3,4}, XT!U5,XT!Y5,XT!AC5,XT!AG5))=1), 0), 0)), "")</f>
        <v>0</v>
      </c>
      <c r="C5" s="12" t="str">
        <f>IF(XT!$P5&gt;0,B5,"")</f>
        <v/>
      </c>
      <c r="D5" s="12">
        <f>IF(XT!$P5=0,B5,"")</f>
        <v>0</v>
      </c>
      <c r="E5">
        <f>SUMPRODUCT((MONTH(CHOOSE({1,2,3,4},XT!U5,XT!Y5,XT!AC5,XT!AG5))=2)*(CHOOSE({1,2,3,4},XT!X5,XT!AB5,XT!AF5,XT!AJ5)))</f>
        <v>0</v>
      </c>
      <c r="F5" t="str">
        <f>IFERROR(INDEX(CHOOSE({1,2,3,4}, DAY(XT!U5), DAY(XT!Y5), DAY(XT!AC5), DAY(XT!AG5)), MATCH(1, INDEX(--(MONTH(CHOOSE({1,2,3,4}, XT!U5,XT!Y5,XT!AC5,XT!AG5))=2), 0), 0)), "")</f>
        <v/>
      </c>
      <c r="G5" s="12" t="str">
        <f>IF(XT!$P5&gt;0,F5,"")</f>
        <v/>
      </c>
      <c r="H5" s="12" t="str">
        <f>IF(XT!$P5=0,F5,"")</f>
        <v/>
      </c>
      <c r="I5">
        <f>SUMPRODUCT((MONTH(CHOOSE({1,2,3,4},XT!U5,XT!Y5,XT!AC5,XT!AG5))=3)*(CHOOSE({1,2,3,4},XT!X5,XT!AB5,XT!AF5,XT!AJ5)))</f>
        <v>0</v>
      </c>
      <c r="J5" t="str">
        <f>IFERROR(INDEX(CHOOSE({1,2,3,4}, DAY(XT!U5), DAY(XT!Y5), DAY(XT!AC5), DAY(XT!AG5)), MATCH(1, INDEX(--(MONTH(CHOOSE({1,2,3,4}, XT!U5,XT!Y5,XT!AC5,XT!AG5))=3), 0), 0)), "")</f>
        <v/>
      </c>
      <c r="K5" s="12" t="str">
        <f>IF(XT!$P5&gt;0,J5,"")</f>
        <v/>
      </c>
      <c r="L5" s="12" t="str">
        <f>IF(XT!$P5=0,J5,"")</f>
        <v/>
      </c>
      <c r="M5">
        <f>SUMPRODUCT((MONTH(CHOOSE({1,2,3,4},XT!U5,XT!Y5,XT!AC5,XT!AG5))=4)*(CHOOSE({1,2,3,4},XT!X5,XT!AB5,XT!AF5,XT!AJ5)))</f>
        <v>0</v>
      </c>
      <c r="N5" t="str">
        <f>IFERROR(INDEX(CHOOSE({1,2,3,4}, DAY(XT!U5), DAY(XT!Y5), DAY(XT!AC5), DAY(XT!AG5)), MATCH(1, INDEX(--(MONTH(CHOOSE({1,2,3,4}, XT!U5,XT!Y5,XT!AC5,XT!AG5))=4), 0), 0)), "")</f>
        <v/>
      </c>
      <c r="O5" s="12" t="str">
        <f>IF(XT!$P5&gt;0,N5,"")</f>
        <v/>
      </c>
      <c r="P5" s="12" t="str">
        <f>IF(XT!$P5=0,N5,"")</f>
        <v/>
      </c>
      <c r="Q5">
        <f>SUMPRODUCT((MONTH(CHOOSE({1,2,3,4},XT!U5,XT!Y5,XT!AC5,XT!AG5))=5)*(CHOOSE({1,2,3,4},XT!X5,XT!AB5,XT!AF5,XT!AJ5)))</f>
        <v>0</v>
      </c>
      <c r="R5" t="str">
        <f>IFERROR(INDEX(CHOOSE({1,2,3,4}, DAY(XT!U5), DAY(XT!Y5), DAY(XT!AC5), DAY(XT!AG5)), MATCH(1, INDEX(--(MONTH(CHOOSE({1,2,3,4}, XT!U5,XT!Y5,XT!AC5,XT!AG5))=5), 0), 0)), "")</f>
        <v/>
      </c>
      <c r="S5" s="12" t="str">
        <f>IF(XT!$P5&gt;0,R5,"")</f>
        <v/>
      </c>
      <c r="T5" s="12" t="str">
        <f>IF(XT!$P5=0,R5,"")</f>
        <v/>
      </c>
      <c r="U5">
        <f>SUMPRODUCT((MONTH(CHOOSE({1,2,3,4},XT!U5,XT!Y5,XT!AC5,XT!AG5))=6)*(CHOOSE({1,2,3,4},XT!X5,XT!AB5,XT!AF5,XT!AJ5)))</f>
        <v>0</v>
      </c>
      <c r="V5" t="str">
        <f>IFERROR(INDEX(CHOOSE({1,2,3,4}, DAY(XT!U5), DAY(XT!Y5), DAY(XT!AC5), DAY(XT!AG5)), MATCH(1, INDEX(--(MONTH(CHOOSE({1,2,3,4}, XT!U5,XT!Y5,XT!AC5,XT!AG5))=6), 0), 0)), "")</f>
        <v/>
      </c>
      <c r="W5" s="12" t="str">
        <f>IF(XT!$P5&gt;0,V5,"")</f>
        <v/>
      </c>
      <c r="X5" s="12" t="str">
        <f>IF(XT!$P5=0,V5,"")</f>
        <v/>
      </c>
      <c r="Y5">
        <f>SUMPRODUCT((MONTH(CHOOSE({1,2,3,4},XT!U5,XT!Y5,XT!AC5,XT!AG5))=7)*(CHOOSE({1,2,3,4},XT!X5,XT!AB5,XT!AF5,XT!AJ5)))</f>
        <v>0</v>
      </c>
      <c r="Z5" t="str">
        <f>IFERROR(INDEX(CHOOSE({1,2,3,4}, DAY(XT!U5), DAY(XT!Y5), DAY(XT!AC5), DAY(XT!AG5)), MATCH(1, INDEX(--(MONTH(CHOOSE({1,2,3,4}, XT!U5,XT!Y5,XT!AC5,XT!AG5))=7), 0), 0)), "")</f>
        <v/>
      </c>
      <c r="AA5" s="12" t="str">
        <f>IF(XT!$P5&gt;0,Z5,"")</f>
        <v/>
      </c>
      <c r="AB5" s="12" t="str">
        <f>IF(XT!$P5=0,Z5,"")</f>
        <v/>
      </c>
      <c r="AC5">
        <f>SUMPRODUCT((MONTH(CHOOSE({1,2,3,4},XT!U5,XT!Y5,XT!AC5,XT!AG5))=8)*(CHOOSE({1,2,3,4},XT!X5,XT!AB5,XT!AF5,XT!AJ5)))</f>
        <v>0</v>
      </c>
      <c r="AD5" t="str">
        <f>IFERROR(INDEX(CHOOSE({1,2,3,4}, DAY(XT!U5), DAY(XT!Y5), DAY(XT!AC5), DAY(XT!AG5)), MATCH(1, INDEX(--(MONTH(CHOOSE({1,2,3,4}, XT!U5,XT!Y5,XT!AC5,XT!AG5))=8), 0), 0)), "")</f>
        <v/>
      </c>
      <c r="AE5" s="12" t="str">
        <f>IF(XT!$P5&gt;0,AD5,"")</f>
        <v/>
      </c>
      <c r="AF5" s="12" t="str">
        <f>IF(XT!$P5=0,AD5,"")</f>
        <v/>
      </c>
      <c r="AG5">
        <f>SUMPRODUCT((MONTH(CHOOSE({1,2,3,4},XT!U5,XT!Y5,XT!AC5,XT!AG5))=9)*(CHOOSE({1,2,3,4},XT!X5,XT!AB5,XT!AF5,XT!AJ5)))</f>
        <v>0</v>
      </c>
      <c r="AH5" t="str">
        <f>IFERROR(INDEX(CHOOSE({1,2,3,4}, DAY(XT!U5), DAY(XT!Y5), DAY(XT!AC5), DAY(XT!AG5)), MATCH(1, INDEX(--(MONTH(CHOOSE({1,2,3,4}, XT!U5,XT!Y5,XT!AC5,XT!AG5))=9), 0), 0)), "")</f>
        <v/>
      </c>
      <c r="AI5" s="12" t="str">
        <f>IF(XT!$P5&gt;0,AH5,"")</f>
        <v/>
      </c>
      <c r="AJ5" s="12" t="str">
        <f>IF(XT!$P5=0,AH5,"")</f>
        <v/>
      </c>
      <c r="AK5">
        <f>SUMPRODUCT((MONTH(CHOOSE({1,2,3,4},XT!U5,XT!Y5,XT!AC5,XT!AG5))=10)*(CHOOSE({1,2,3,4},XT!X5,XT!AB5,XT!AF5,XT!AJ5)))</f>
        <v>0</v>
      </c>
      <c r="AL5" t="str">
        <f>IFERROR(INDEX(CHOOSE({1,2,3,4}, DAY(XT!U5), DAY(XT!Y5), DAY(XT!AC5), DAY(XT!AG5)), MATCH(1, INDEX(--(MONTH(CHOOSE({1,2,3,4}, XT!U5,XT!Y5,XT!AC5,XT!AG5))=10), 0), 0)), "")</f>
        <v/>
      </c>
      <c r="AM5" s="12" t="str">
        <f>IF(XT!$P5&gt;0,AL5,"")</f>
        <v/>
      </c>
      <c r="AN5" s="12" t="str">
        <f>IF(XT!$P5=0,AL5,"")</f>
        <v/>
      </c>
      <c r="AO5">
        <f>SUMPRODUCT((MONTH(CHOOSE({1,2,3,4},XT!U5,XT!Y5,XT!AC5,XT!AG5))=11)*(CHOOSE({1,2,3,4},XT!X5,XT!AB5,XT!AF5,XT!AJ5)))</f>
        <v>0</v>
      </c>
      <c r="AP5" t="str">
        <f>IFERROR(INDEX(CHOOSE({1,2,3,4}, DAY(XT!U5), DAY(XT!Y5), DAY(XT!AC5), DAY(XT!AG5)), MATCH(1, INDEX(--(MONTH(CHOOSE({1,2,3,4}, XT!U5,XT!Y5,XT!AC5,XT!AG5))=11), 0), 0)), "")</f>
        <v/>
      </c>
      <c r="AQ5" s="12" t="str">
        <f>IF(XT!$P5&gt;0,AP5,"")</f>
        <v/>
      </c>
      <c r="AR5" s="12" t="str">
        <f>IF(XT!$P5=0,AP5,"")</f>
        <v/>
      </c>
      <c r="AS5">
        <f>SUMPRODUCT((MONTH(CHOOSE({1,2,3,4},XT!U5,XT!Y5,XT!AC5,XT!AG5))=12)*(CHOOSE({1,2,3,4},XT!X5,XT!AB5,XT!AF5,XT!AJ5)))</f>
        <v>0</v>
      </c>
      <c r="AT5" t="str">
        <f>IFERROR(INDEX(CHOOSE({1,2,3,4}, DAY(XT!U5), DAY(XT!Y5), DAY(XT!AC5), DAY(XT!AG5)), MATCH(1, INDEX(--(MONTH(CHOOSE({1,2,3,4}, XT!U5,XT!Y5,XT!AC5,XT!AG5))=12), 0), 0)), "")</f>
        <v/>
      </c>
      <c r="AU5" s="12" t="str">
        <f>IF(XT!$P5&gt;0,AT5,"")</f>
        <v/>
      </c>
      <c r="AV5" s="12" t="str">
        <f>IF(XT!$P5=0,AT5,"")</f>
        <v/>
      </c>
    </row>
    <row r="6" spans="1:48">
      <c r="A6">
        <f>SUMPRODUCT((MONTH(CHOOSE({1,2,3,4},XT!U6,XT!Y6,XT!AC6,XT!AG6))=1)*(CHOOSE({1,2,3,4},XT!X6,XT!AB6,XT!AF6,XT!AJ6)))</f>
        <v>0</v>
      </c>
      <c r="B6">
        <f>IFERROR(INDEX(CHOOSE({1,2,3,4}, DAY(XT!U6), DAY(XT!Y6), DAY(XT!AC6), DAY(XT!AG6)), MATCH(1, INDEX(--(MONTH(CHOOSE({1,2,3,4}, XT!U6,XT!Y6,XT!AC6,XT!AG6))=1), 0), 0)), "")</f>
        <v>0</v>
      </c>
      <c r="C6" s="12" t="str">
        <f>IF(XT!$P6&gt;0,B6,"")</f>
        <v/>
      </c>
      <c r="D6" s="12">
        <f>IF(XT!$P6=0,B6,"")</f>
        <v>0</v>
      </c>
      <c r="E6">
        <f>SUMPRODUCT((MONTH(CHOOSE({1,2,3,4},XT!U6,XT!Y6,XT!AC6,XT!AG6))=2)*(CHOOSE({1,2,3,4},XT!X6,XT!AB6,XT!AF6,XT!AJ6)))</f>
        <v>0</v>
      </c>
      <c r="F6" t="str">
        <f>IFERROR(INDEX(CHOOSE({1,2,3,4}, DAY(XT!U6), DAY(XT!Y6), DAY(XT!AC6), DAY(XT!AG6)), MATCH(1, INDEX(--(MONTH(CHOOSE({1,2,3,4}, XT!U6,XT!Y6,XT!AC6,XT!AG6))=2), 0), 0)), "")</f>
        <v/>
      </c>
      <c r="G6" s="12" t="str">
        <f>IF(XT!$P6&gt;0,F6,"")</f>
        <v/>
      </c>
      <c r="H6" s="12" t="str">
        <f>IF(XT!$P6=0,F6,"")</f>
        <v/>
      </c>
      <c r="I6">
        <f>SUMPRODUCT((MONTH(CHOOSE({1,2,3,4},XT!U6,XT!Y6,XT!AC6,XT!AG6))=3)*(CHOOSE({1,2,3,4},XT!X6,XT!AB6,XT!AF6,XT!AJ6)))</f>
        <v>0</v>
      </c>
      <c r="J6" t="str">
        <f>IFERROR(INDEX(CHOOSE({1,2,3,4}, DAY(XT!U6), DAY(XT!Y6), DAY(XT!AC6), DAY(XT!AG6)), MATCH(1, INDEX(--(MONTH(CHOOSE({1,2,3,4}, XT!U6,XT!Y6,XT!AC6,XT!AG6))=3), 0), 0)), "")</f>
        <v/>
      </c>
      <c r="K6" s="12" t="str">
        <f>IF(XT!$P6&gt;0,J6,"")</f>
        <v/>
      </c>
      <c r="L6" s="12" t="str">
        <f>IF(XT!$P6=0,J6,"")</f>
        <v/>
      </c>
      <c r="M6">
        <f>SUMPRODUCT((MONTH(CHOOSE({1,2,3,4},XT!U6,XT!Y6,XT!AC6,XT!AG6))=4)*(CHOOSE({1,2,3,4},XT!X6,XT!AB6,XT!AF6,XT!AJ6)))</f>
        <v>0</v>
      </c>
      <c r="N6" t="str">
        <f>IFERROR(INDEX(CHOOSE({1,2,3,4}, DAY(XT!U6), DAY(XT!Y6), DAY(XT!AC6), DAY(XT!AG6)), MATCH(1, INDEX(--(MONTH(CHOOSE({1,2,3,4}, XT!U6,XT!Y6,XT!AC6,XT!AG6))=4), 0), 0)), "")</f>
        <v/>
      </c>
      <c r="O6" s="12" t="str">
        <f>IF(XT!$P6&gt;0,N6,"")</f>
        <v/>
      </c>
      <c r="P6" s="12" t="str">
        <f>IF(XT!$P6=0,N6,"")</f>
        <v/>
      </c>
      <c r="Q6">
        <f>SUMPRODUCT((MONTH(CHOOSE({1,2,3,4},XT!U6,XT!Y6,XT!AC6,XT!AG6))=5)*(CHOOSE({1,2,3,4},XT!X6,XT!AB6,XT!AF6,XT!AJ6)))</f>
        <v>0</v>
      </c>
      <c r="R6" t="str">
        <f>IFERROR(INDEX(CHOOSE({1,2,3,4}, DAY(XT!U6), DAY(XT!Y6), DAY(XT!AC6), DAY(XT!AG6)), MATCH(1, INDEX(--(MONTH(CHOOSE({1,2,3,4}, XT!U6,XT!Y6,XT!AC6,XT!AG6))=5), 0), 0)), "")</f>
        <v/>
      </c>
      <c r="S6" s="12" t="str">
        <f>IF(XT!$P6&gt;0,R6,"")</f>
        <v/>
      </c>
      <c r="T6" s="12" t="str">
        <f>IF(XT!$P6=0,R6,"")</f>
        <v/>
      </c>
      <c r="U6">
        <f>SUMPRODUCT((MONTH(CHOOSE({1,2,3,4},XT!U6,XT!Y6,XT!AC6,XT!AG6))=6)*(CHOOSE({1,2,3,4},XT!X6,XT!AB6,XT!AF6,XT!AJ6)))</f>
        <v>0</v>
      </c>
      <c r="V6" t="str">
        <f>IFERROR(INDEX(CHOOSE({1,2,3,4}, DAY(XT!U6), DAY(XT!Y6), DAY(XT!AC6), DAY(XT!AG6)), MATCH(1, INDEX(--(MONTH(CHOOSE({1,2,3,4}, XT!U6,XT!Y6,XT!AC6,XT!AG6))=6), 0), 0)), "")</f>
        <v/>
      </c>
      <c r="W6" s="12" t="str">
        <f>IF(XT!$P6&gt;0,V6,"")</f>
        <v/>
      </c>
      <c r="X6" s="12" t="str">
        <f>IF(XT!$P6=0,V6,"")</f>
        <v/>
      </c>
      <c r="Y6">
        <f>SUMPRODUCT((MONTH(CHOOSE({1,2,3,4},XT!U6,XT!Y6,XT!AC6,XT!AG6))=7)*(CHOOSE({1,2,3,4},XT!X6,XT!AB6,XT!AF6,XT!AJ6)))</f>
        <v>0</v>
      </c>
      <c r="Z6" t="str">
        <f>IFERROR(INDEX(CHOOSE({1,2,3,4}, DAY(XT!U6), DAY(XT!Y6), DAY(XT!AC6), DAY(XT!AG6)), MATCH(1, INDEX(--(MONTH(CHOOSE({1,2,3,4}, XT!U6,XT!Y6,XT!AC6,XT!AG6))=7), 0), 0)), "")</f>
        <v/>
      </c>
      <c r="AA6" s="12" t="str">
        <f>IF(XT!$P6&gt;0,Z6,"")</f>
        <v/>
      </c>
      <c r="AB6" s="12" t="str">
        <f>IF(XT!$P6=0,Z6,"")</f>
        <v/>
      </c>
      <c r="AC6">
        <f>SUMPRODUCT((MONTH(CHOOSE({1,2,3,4},XT!U6,XT!Y6,XT!AC6,XT!AG6))=8)*(CHOOSE({1,2,3,4},XT!X6,XT!AB6,XT!AF6,XT!AJ6)))</f>
        <v>0</v>
      </c>
      <c r="AD6" t="str">
        <f>IFERROR(INDEX(CHOOSE({1,2,3,4}, DAY(XT!U6), DAY(XT!Y6), DAY(XT!AC6), DAY(XT!AG6)), MATCH(1, INDEX(--(MONTH(CHOOSE({1,2,3,4}, XT!U6,XT!Y6,XT!AC6,XT!AG6))=8), 0), 0)), "")</f>
        <v/>
      </c>
      <c r="AE6" s="12" t="str">
        <f>IF(XT!$P6&gt;0,AD6,"")</f>
        <v/>
      </c>
      <c r="AF6" s="12" t="str">
        <f>IF(XT!$P6=0,AD6,"")</f>
        <v/>
      </c>
      <c r="AG6">
        <f>SUMPRODUCT((MONTH(CHOOSE({1,2,3,4},XT!U6,XT!Y6,XT!AC6,XT!AG6))=9)*(CHOOSE({1,2,3,4},XT!X6,XT!AB6,XT!AF6,XT!AJ6)))</f>
        <v>0</v>
      </c>
      <c r="AH6" t="str">
        <f>IFERROR(INDEX(CHOOSE({1,2,3,4}, DAY(XT!U6), DAY(XT!Y6), DAY(XT!AC6), DAY(XT!AG6)), MATCH(1, INDEX(--(MONTH(CHOOSE({1,2,3,4}, XT!U6,XT!Y6,XT!AC6,XT!AG6))=9), 0), 0)), "")</f>
        <v/>
      </c>
      <c r="AI6" s="12" t="str">
        <f>IF(XT!$P6&gt;0,AH6,"")</f>
        <v/>
      </c>
      <c r="AJ6" s="12" t="str">
        <f>IF(XT!$P6=0,AH6,"")</f>
        <v/>
      </c>
      <c r="AK6">
        <f>SUMPRODUCT((MONTH(CHOOSE({1,2,3,4},XT!U6,XT!Y6,XT!AC6,XT!AG6))=10)*(CHOOSE({1,2,3,4},XT!X6,XT!AB6,XT!AF6,XT!AJ6)))</f>
        <v>0</v>
      </c>
      <c r="AL6" t="str">
        <f>IFERROR(INDEX(CHOOSE({1,2,3,4}, DAY(XT!U6), DAY(XT!Y6), DAY(XT!AC6), DAY(XT!AG6)), MATCH(1, INDEX(--(MONTH(CHOOSE({1,2,3,4}, XT!U6,XT!Y6,XT!AC6,XT!AG6))=10), 0), 0)), "")</f>
        <v/>
      </c>
      <c r="AM6" s="12" t="str">
        <f>IF(XT!$P6&gt;0,AL6,"")</f>
        <v/>
      </c>
      <c r="AN6" s="12" t="str">
        <f>IF(XT!$P6=0,AL6,"")</f>
        <v/>
      </c>
      <c r="AO6">
        <f>SUMPRODUCT((MONTH(CHOOSE({1,2,3,4},XT!U6,XT!Y6,XT!AC6,XT!AG6))=11)*(CHOOSE({1,2,3,4},XT!X6,XT!AB6,XT!AF6,XT!AJ6)))</f>
        <v>0</v>
      </c>
      <c r="AP6" t="str">
        <f>IFERROR(INDEX(CHOOSE({1,2,3,4}, DAY(XT!U6), DAY(XT!Y6), DAY(XT!AC6), DAY(XT!AG6)), MATCH(1, INDEX(--(MONTH(CHOOSE({1,2,3,4}, XT!U6,XT!Y6,XT!AC6,XT!AG6))=11), 0), 0)), "")</f>
        <v/>
      </c>
      <c r="AQ6" s="12" t="str">
        <f>IF(XT!$P6&gt;0,AP6,"")</f>
        <v/>
      </c>
      <c r="AR6" s="12" t="str">
        <f>IF(XT!$P6=0,AP6,"")</f>
        <v/>
      </c>
      <c r="AS6">
        <f>SUMPRODUCT((MONTH(CHOOSE({1,2,3,4},XT!U6,XT!Y6,XT!AC6,XT!AG6))=12)*(CHOOSE({1,2,3,4},XT!X6,XT!AB6,XT!AF6,XT!AJ6)))</f>
        <v>0</v>
      </c>
      <c r="AT6" t="str">
        <f>IFERROR(INDEX(CHOOSE({1,2,3,4}, DAY(XT!U6), DAY(XT!Y6), DAY(XT!AC6), DAY(XT!AG6)), MATCH(1, INDEX(--(MONTH(CHOOSE({1,2,3,4}, XT!U6,XT!Y6,XT!AC6,XT!AG6))=12), 0), 0)), "")</f>
        <v/>
      </c>
      <c r="AU6" s="12" t="str">
        <f>IF(XT!$P6&gt;0,AT6,"")</f>
        <v/>
      </c>
      <c r="AV6" s="12" t="str">
        <f>IF(XT!$P6=0,AT6,"")</f>
        <v/>
      </c>
    </row>
    <row r="7" spans="1:48">
      <c r="A7">
        <f>SUMPRODUCT((MONTH(CHOOSE({1,2,3,4},XT!U7,XT!Y7,XT!AC7,XT!AG7))=1)*(CHOOSE({1,2,3,4},XT!X7,XT!AB7,XT!AF7,XT!AJ7)))</f>
        <v>0</v>
      </c>
      <c r="B7">
        <f>IFERROR(INDEX(CHOOSE({1,2,3,4}, DAY(XT!U7), DAY(XT!Y7), DAY(XT!AC7), DAY(XT!AG7)), MATCH(1, INDEX(--(MONTH(CHOOSE({1,2,3,4}, XT!U7,XT!Y7,XT!AC7,XT!AG7))=1), 0), 0)), "")</f>
        <v>0</v>
      </c>
      <c r="C7" s="12" t="str">
        <f>IF(XT!$P7&gt;0,B7,"")</f>
        <v/>
      </c>
      <c r="D7" s="12">
        <f>IF(XT!$P7=0,B7,"")</f>
        <v>0</v>
      </c>
      <c r="E7">
        <f>SUMPRODUCT((MONTH(CHOOSE({1,2,3,4},XT!U7,XT!Y7,XT!AC7,XT!AG7))=2)*(CHOOSE({1,2,3,4},XT!X7,XT!AB7,XT!AF7,XT!AJ7)))</f>
        <v>0</v>
      </c>
      <c r="F7" t="str">
        <f>IFERROR(INDEX(CHOOSE({1,2,3,4}, DAY(XT!U7), DAY(XT!Y7), DAY(XT!AC7), DAY(XT!AG7)), MATCH(1, INDEX(--(MONTH(CHOOSE({1,2,3,4}, XT!U7,XT!Y7,XT!AC7,XT!AG7))=2), 0), 0)), "")</f>
        <v/>
      </c>
      <c r="G7" s="12" t="str">
        <f>IF(XT!$P7&gt;0,F7,"")</f>
        <v/>
      </c>
      <c r="H7" s="12" t="str">
        <f>IF(XT!$P7=0,F7,"")</f>
        <v/>
      </c>
      <c r="I7">
        <f>SUMPRODUCT((MONTH(CHOOSE({1,2,3,4},XT!U7,XT!Y7,XT!AC7,XT!AG7))=3)*(CHOOSE({1,2,3,4},XT!X7,XT!AB7,XT!AF7,XT!AJ7)))</f>
        <v>0</v>
      </c>
      <c r="J7" t="str">
        <f>IFERROR(INDEX(CHOOSE({1,2,3,4}, DAY(XT!U7), DAY(XT!Y7), DAY(XT!AC7), DAY(XT!AG7)), MATCH(1, INDEX(--(MONTH(CHOOSE({1,2,3,4}, XT!U7,XT!Y7,XT!AC7,XT!AG7))=3), 0), 0)), "")</f>
        <v/>
      </c>
      <c r="K7" s="12" t="str">
        <f>IF(XT!$P7&gt;0,J7,"")</f>
        <v/>
      </c>
      <c r="L7" s="12" t="str">
        <f>IF(XT!$P7=0,J7,"")</f>
        <v/>
      </c>
      <c r="M7">
        <f>SUMPRODUCT((MONTH(CHOOSE({1,2,3,4},XT!U7,XT!Y7,XT!AC7,XT!AG7))=4)*(CHOOSE({1,2,3,4},XT!X7,XT!AB7,XT!AF7,XT!AJ7)))</f>
        <v>0</v>
      </c>
      <c r="N7" t="str">
        <f>IFERROR(INDEX(CHOOSE({1,2,3,4}, DAY(XT!U7), DAY(XT!Y7), DAY(XT!AC7), DAY(XT!AG7)), MATCH(1, INDEX(--(MONTH(CHOOSE({1,2,3,4}, XT!U7,XT!Y7,XT!AC7,XT!AG7))=4), 0), 0)), "")</f>
        <v/>
      </c>
      <c r="O7" s="12" t="str">
        <f>IF(XT!$P7&gt;0,N7,"")</f>
        <v/>
      </c>
      <c r="P7" s="12" t="str">
        <f>IF(XT!$P7=0,N7,"")</f>
        <v/>
      </c>
      <c r="Q7">
        <f>SUMPRODUCT((MONTH(CHOOSE({1,2,3,4},XT!U7,XT!Y7,XT!AC7,XT!AG7))=5)*(CHOOSE({1,2,3,4},XT!X7,XT!AB7,XT!AF7,XT!AJ7)))</f>
        <v>0</v>
      </c>
      <c r="R7" t="str">
        <f>IFERROR(INDEX(CHOOSE({1,2,3,4}, DAY(XT!U7), DAY(XT!Y7), DAY(XT!AC7), DAY(XT!AG7)), MATCH(1, INDEX(--(MONTH(CHOOSE({1,2,3,4}, XT!U7,XT!Y7,XT!AC7,XT!AG7))=5), 0), 0)), "")</f>
        <v/>
      </c>
      <c r="S7" s="12" t="str">
        <f>IF(XT!$P7&gt;0,R7,"")</f>
        <v/>
      </c>
      <c r="T7" s="12" t="str">
        <f>IF(XT!$P7=0,R7,"")</f>
        <v/>
      </c>
      <c r="U7">
        <f>SUMPRODUCT((MONTH(CHOOSE({1,2,3,4},XT!U7,XT!Y7,XT!AC7,XT!AG7))=6)*(CHOOSE({1,2,3,4},XT!X7,XT!AB7,XT!AF7,XT!AJ7)))</f>
        <v>0</v>
      </c>
      <c r="V7" t="str">
        <f>IFERROR(INDEX(CHOOSE({1,2,3,4}, DAY(XT!U7), DAY(XT!Y7), DAY(XT!AC7), DAY(XT!AG7)), MATCH(1, INDEX(--(MONTH(CHOOSE({1,2,3,4}, XT!U7,XT!Y7,XT!AC7,XT!AG7))=6), 0), 0)), "")</f>
        <v/>
      </c>
      <c r="W7" s="12" t="str">
        <f>IF(XT!$P7&gt;0,V7,"")</f>
        <v/>
      </c>
      <c r="X7" s="12" t="str">
        <f>IF(XT!$P7=0,V7,"")</f>
        <v/>
      </c>
      <c r="Y7">
        <f>SUMPRODUCT((MONTH(CHOOSE({1,2,3,4},XT!U7,XT!Y7,XT!AC7,XT!AG7))=7)*(CHOOSE({1,2,3,4},XT!X7,XT!AB7,XT!AF7,XT!AJ7)))</f>
        <v>0</v>
      </c>
      <c r="Z7" t="str">
        <f>IFERROR(INDEX(CHOOSE({1,2,3,4}, DAY(XT!U7), DAY(XT!Y7), DAY(XT!AC7), DAY(XT!AG7)), MATCH(1, INDEX(--(MONTH(CHOOSE({1,2,3,4}, XT!U7,XT!Y7,XT!AC7,XT!AG7))=7), 0), 0)), "")</f>
        <v/>
      </c>
      <c r="AA7" s="12" t="str">
        <f>IF(XT!$P7&gt;0,Z7,"")</f>
        <v/>
      </c>
      <c r="AB7" s="12" t="str">
        <f>IF(XT!$P7=0,Z7,"")</f>
        <v/>
      </c>
      <c r="AC7">
        <f>SUMPRODUCT((MONTH(CHOOSE({1,2,3,4},XT!U7,XT!Y7,XT!AC7,XT!AG7))=8)*(CHOOSE({1,2,3,4},XT!X7,XT!AB7,XT!AF7,XT!AJ7)))</f>
        <v>0</v>
      </c>
      <c r="AD7" t="str">
        <f>IFERROR(INDEX(CHOOSE({1,2,3,4}, DAY(XT!U7), DAY(XT!Y7), DAY(XT!AC7), DAY(XT!AG7)), MATCH(1, INDEX(--(MONTH(CHOOSE({1,2,3,4}, XT!U7,XT!Y7,XT!AC7,XT!AG7))=8), 0), 0)), "")</f>
        <v/>
      </c>
      <c r="AE7" s="12" t="str">
        <f>IF(XT!$P7&gt;0,AD7,"")</f>
        <v/>
      </c>
      <c r="AF7" s="12" t="str">
        <f>IF(XT!$P7=0,AD7,"")</f>
        <v/>
      </c>
      <c r="AG7">
        <f>SUMPRODUCT((MONTH(CHOOSE({1,2,3,4},XT!U7,XT!Y7,XT!AC7,XT!AG7))=9)*(CHOOSE({1,2,3,4},XT!X7,XT!AB7,XT!AF7,XT!AJ7)))</f>
        <v>0</v>
      </c>
      <c r="AH7" t="str">
        <f>IFERROR(INDEX(CHOOSE({1,2,3,4}, DAY(XT!U7), DAY(XT!Y7), DAY(XT!AC7), DAY(XT!AG7)), MATCH(1, INDEX(--(MONTH(CHOOSE({1,2,3,4}, XT!U7,XT!Y7,XT!AC7,XT!AG7))=9), 0), 0)), "")</f>
        <v/>
      </c>
      <c r="AI7" s="12" t="str">
        <f>IF(XT!$P7&gt;0,AH7,"")</f>
        <v/>
      </c>
      <c r="AJ7" s="12" t="str">
        <f>IF(XT!$P7=0,AH7,"")</f>
        <v/>
      </c>
      <c r="AK7">
        <f>SUMPRODUCT((MONTH(CHOOSE({1,2,3,4},XT!U7,XT!Y7,XT!AC7,XT!AG7))=10)*(CHOOSE({1,2,3,4},XT!X7,XT!AB7,XT!AF7,XT!AJ7)))</f>
        <v>0</v>
      </c>
      <c r="AL7" t="str">
        <f>IFERROR(INDEX(CHOOSE({1,2,3,4}, DAY(XT!U7), DAY(XT!Y7), DAY(XT!AC7), DAY(XT!AG7)), MATCH(1, INDEX(--(MONTH(CHOOSE({1,2,3,4}, XT!U7,XT!Y7,XT!AC7,XT!AG7))=10), 0), 0)), "")</f>
        <v/>
      </c>
      <c r="AM7" s="12" t="str">
        <f>IF(XT!$P7&gt;0,AL7,"")</f>
        <v/>
      </c>
      <c r="AN7" s="12" t="str">
        <f>IF(XT!$P7=0,AL7,"")</f>
        <v/>
      </c>
      <c r="AO7">
        <f>SUMPRODUCT((MONTH(CHOOSE({1,2,3,4},XT!U7,XT!Y7,XT!AC7,XT!AG7))=11)*(CHOOSE({1,2,3,4},XT!X7,XT!AB7,XT!AF7,XT!AJ7)))</f>
        <v>0</v>
      </c>
      <c r="AP7" t="str">
        <f>IFERROR(INDEX(CHOOSE({1,2,3,4}, DAY(XT!U7), DAY(XT!Y7), DAY(XT!AC7), DAY(XT!AG7)), MATCH(1, INDEX(--(MONTH(CHOOSE({1,2,3,4}, XT!U7,XT!Y7,XT!AC7,XT!AG7))=11), 0), 0)), "")</f>
        <v/>
      </c>
      <c r="AQ7" s="12" t="str">
        <f>IF(XT!$P7&gt;0,AP7,"")</f>
        <v/>
      </c>
      <c r="AR7" s="12" t="str">
        <f>IF(XT!$P7=0,AP7,"")</f>
        <v/>
      </c>
      <c r="AS7">
        <f>SUMPRODUCT((MONTH(CHOOSE({1,2,3,4},XT!U7,XT!Y7,XT!AC7,XT!AG7))=12)*(CHOOSE({1,2,3,4},XT!X7,XT!AB7,XT!AF7,XT!AJ7)))</f>
        <v>0</v>
      </c>
      <c r="AT7" t="str">
        <f>IFERROR(INDEX(CHOOSE({1,2,3,4}, DAY(XT!U7), DAY(XT!Y7), DAY(XT!AC7), DAY(XT!AG7)), MATCH(1, INDEX(--(MONTH(CHOOSE({1,2,3,4}, XT!U7,XT!Y7,XT!AC7,XT!AG7))=12), 0), 0)), "")</f>
        <v/>
      </c>
      <c r="AU7" s="12" t="str">
        <f>IF(XT!$P7&gt;0,AT7,"")</f>
        <v/>
      </c>
      <c r="AV7" s="12" t="str">
        <f>IF(XT!$P7=0,AT7,"")</f>
        <v/>
      </c>
    </row>
    <row r="8" spans="1:48">
      <c r="A8">
        <f>SUMPRODUCT((MONTH(CHOOSE({1,2,3,4},XT!U8,XT!Y8,XT!AC8,XT!AG8))=1)*(CHOOSE({1,2,3,4},XT!X8,XT!AB8,XT!AF8,XT!AJ8)))</f>
        <v>0</v>
      </c>
      <c r="B8">
        <f>IFERROR(INDEX(CHOOSE({1,2,3,4}, DAY(XT!U8), DAY(XT!Y8), DAY(XT!AC8), DAY(XT!AG8)), MATCH(1, INDEX(--(MONTH(CHOOSE({1,2,3,4}, XT!U8,XT!Y8,XT!AC8,XT!AG8))=1), 0), 0)), "")</f>
        <v>0</v>
      </c>
      <c r="C8" s="12" t="str">
        <f>IF(XT!$P8&gt;0,B8,"")</f>
        <v/>
      </c>
      <c r="D8" s="12">
        <f>IF(XT!$P8=0,B8,"")</f>
        <v>0</v>
      </c>
      <c r="E8">
        <f>SUMPRODUCT((MONTH(CHOOSE({1,2,3,4},XT!U8,XT!Y8,XT!AC8,XT!AG8))=2)*(CHOOSE({1,2,3,4},XT!X8,XT!AB8,XT!AF8,XT!AJ8)))</f>
        <v>0</v>
      </c>
      <c r="F8" t="str">
        <f>IFERROR(INDEX(CHOOSE({1,2,3,4}, DAY(XT!U8), DAY(XT!Y8), DAY(XT!AC8), DAY(XT!AG8)), MATCH(1, INDEX(--(MONTH(CHOOSE({1,2,3,4}, XT!U8,XT!Y8,XT!AC8,XT!AG8))=2), 0), 0)), "")</f>
        <v/>
      </c>
      <c r="G8" s="12" t="str">
        <f>IF(XT!$P8&gt;0,F8,"")</f>
        <v/>
      </c>
      <c r="H8" s="12" t="str">
        <f>IF(XT!$P8=0,F8,"")</f>
        <v/>
      </c>
      <c r="I8">
        <f>SUMPRODUCT((MONTH(CHOOSE({1,2,3,4},XT!U8,XT!Y8,XT!AC8,XT!AG8))=3)*(CHOOSE({1,2,3,4},XT!X8,XT!AB8,XT!AF8,XT!AJ8)))</f>
        <v>0</v>
      </c>
      <c r="J8" t="str">
        <f>IFERROR(INDEX(CHOOSE({1,2,3,4}, DAY(XT!U8), DAY(XT!Y8), DAY(XT!AC8), DAY(XT!AG8)), MATCH(1, INDEX(--(MONTH(CHOOSE({1,2,3,4}, XT!U8,XT!Y8,XT!AC8,XT!AG8))=3), 0), 0)), "")</f>
        <v/>
      </c>
      <c r="K8" s="12" t="str">
        <f>IF(XT!$P8&gt;0,J8,"")</f>
        <v/>
      </c>
      <c r="L8" s="12" t="str">
        <f>IF(XT!$P8=0,J8,"")</f>
        <v/>
      </c>
      <c r="M8">
        <f>SUMPRODUCT((MONTH(CHOOSE({1,2,3,4},XT!U8,XT!Y8,XT!AC8,XT!AG8))=4)*(CHOOSE({1,2,3,4},XT!X8,XT!AB8,XT!AF8,XT!AJ8)))</f>
        <v>0</v>
      </c>
      <c r="N8" t="str">
        <f>IFERROR(INDEX(CHOOSE({1,2,3,4}, DAY(XT!U8), DAY(XT!Y8), DAY(XT!AC8), DAY(XT!AG8)), MATCH(1, INDEX(--(MONTH(CHOOSE({1,2,3,4}, XT!U8,XT!Y8,XT!AC8,XT!AG8))=4), 0), 0)), "")</f>
        <v/>
      </c>
      <c r="O8" s="12" t="str">
        <f>IF(XT!$P8&gt;0,N8,"")</f>
        <v/>
      </c>
      <c r="P8" s="12" t="str">
        <f>IF(XT!$P8=0,N8,"")</f>
        <v/>
      </c>
      <c r="Q8">
        <f>SUMPRODUCT((MONTH(CHOOSE({1,2,3,4},XT!U8,XT!Y8,XT!AC8,XT!AG8))=5)*(CHOOSE({1,2,3,4},XT!X8,XT!AB8,XT!AF8,XT!AJ8)))</f>
        <v>0</v>
      </c>
      <c r="R8" t="str">
        <f>IFERROR(INDEX(CHOOSE({1,2,3,4}, DAY(XT!U8), DAY(XT!Y8), DAY(XT!AC8), DAY(XT!AG8)), MATCH(1, INDEX(--(MONTH(CHOOSE({1,2,3,4}, XT!U8,XT!Y8,XT!AC8,XT!AG8))=5), 0), 0)), "")</f>
        <v/>
      </c>
      <c r="S8" s="12" t="str">
        <f>IF(XT!$P8&gt;0,R8,"")</f>
        <v/>
      </c>
      <c r="T8" s="12" t="str">
        <f>IF(XT!$P8=0,R8,"")</f>
        <v/>
      </c>
      <c r="U8">
        <f>SUMPRODUCT((MONTH(CHOOSE({1,2,3,4},XT!U8,XT!Y8,XT!AC8,XT!AG8))=6)*(CHOOSE({1,2,3,4},XT!X8,XT!AB8,XT!AF8,XT!AJ8)))</f>
        <v>0</v>
      </c>
      <c r="V8" t="str">
        <f>IFERROR(INDEX(CHOOSE({1,2,3,4}, DAY(XT!U8), DAY(XT!Y8), DAY(XT!AC8), DAY(XT!AG8)), MATCH(1, INDEX(--(MONTH(CHOOSE({1,2,3,4}, XT!U8,XT!Y8,XT!AC8,XT!AG8))=6), 0), 0)), "")</f>
        <v/>
      </c>
      <c r="W8" s="12" t="str">
        <f>IF(XT!$P8&gt;0,V8,"")</f>
        <v/>
      </c>
      <c r="X8" s="12" t="str">
        <f>IF(XT!$P8=0,V8,"")</f>
        <v/>
      </c>
      <c r="Y8">
        <f>SUMPRODUCT((MONTH(CHOOSE({1,2,3,4},XT!U8,XT!Y8,XT!AC8,XT!AG8))=7)*(CHOOSE({1,2,3,4},XT!X8,XT!AB8,XT!AF8,XT!AJ8)))</f>
        <v>0</v>
      </c>
      <c r="Z8" t="str">
        <f>IFERROR(INDEX(CHOOSE({1,2,3,4}, DAY(XT!U8), DAY(XT!Y8), DAY(XT!AC8), DAY(XT!AG8)), MATCH(1, INDEX(--(MONTH(CHOOSE({1,2,3,4}, XT!U8,XT!Y8,XT!AC8,XT!AG8))=7), 0), 0)), "")</f>
        <v/>
      </c>
      <c r="AA8" s="12" t="str">
        <f>IF(XT!$P8&gt;0,Z8,"")</f>
        <v/>
      </c>
      <c r="AB8" s="12" t="str">
        <f>IF(XT!$P8=0,Z8,"")</f>
        <v/>
      </c>
      <c r="AC8">
        <f>SUMPRODUCT((MONTH(CHOOSE({1,2,3,4},XT!U8,XT!Y8,XT!AC8,XT!AG8))=8)*(CHOOSE({1,2,3,4},XT!X8,XT!AB8,XT!AF8,XT!AJ8)))</f>
        <v>0</v>
      </c>
      <c r="AD8" t="str">
        <f>IFERROR(INDEX(CHOOSE({1,2,3,4}, DAY(XT!U8), DAY(XT!Y8), DAY(XT!AC8), DAY(XT!AG8)), MATCH(1, INDEX(--(MONTH(CHOOSE({1,2,3,4}, XT!U8,XT!Y8,XT!AC8,XT!AG8))=8), 0), 0)), "")</f>
        <v/>
      </c>
      <c r="AE8" s="12" t="str">
        <f>IF(XT!$P8&gt;0,AD8,"")</f>
        <v/>
      </c>
      <c r="AF8" s="12" t="str">
        <f>IF(XT!$P8=0,AD8,"")</f>
        <v/>
      </c>
      <c r="AG8">
        <f>SUMPRODUCT((MONTH(CHOOSE({1,2,3,4},XT!U8,XT!Y8,XT!AC8,XT!AG8))=9)*(CHOOSE({1,2,3,4},XT!X8,XT!AB8,XT!AF8,XT!AJ8)))</f>
        <v>0</v>
      </c>
      <c r="AH8" t="str">
        <f>IFERROR(INDEX(CHOOSE({1,2,3,4}, DAY(XT!U8), DAY(XT!Y8), DAY(XT!AC8), DAY(XT!AG8)), MATCH(1, INDEX(--(MONTH(CHOOSE({1,2,3,4}, XT!U8,XT!Y8,XT!AC8,XT!AG8))=9), 0), 0)), "")</f>
        <v/>
      </c>
      <c r="AI8" s="12" t="str">
        <f>IF(XT!$P8&gt;0,AH8,"")</f>
        <v/>
      </c>
      <c r="AJ8" s="12" t="str">
        <f>IF(XT!$P8=0,AH8,"")</f>
        <v/>
      </c>
      <c r="AK8">
        <f>SUMPRODUCT((MONTH(CHOOSE({1,2,3,4},XT!U8,XT!Y8,XT!AC8,XT!AG8))=10)*(CHOOSE({1,2,3,4},XT!X8,XT!AB8,XT!AF8,XT!AJ8)))</f>
        <v>0</v>
      </c>
      <c r="AL8" t="str">
        <f>IFERROR(INDEX(CHOOSE({1,2,3,4}, DAY(XT!U8), DAY(XT!Y8), DAY(XT!AC8), DAY(XT!AG8)), MATCH(1, INDEX(--(MONTH(CHOOSE({1,2,3,4}, XT!U8,XT!Y8,XT!AC8,XT!AG8))=10), 0), 0)), "")</f>
        <v/>
      </c>
      <c r="AM8" s="12" t="str">
        <f>IF(XT!$P8&gt;0,AL8,"")</f>
        <v/>
      </c>
      <c r="AN8" s="12" t="str">
        <f>IF(XT!$P8=0,AL8,"")</f>
        <v/>
      </c>
      <c r="AO8">
        <f>SUMPRODUCT((MONTH(CHOOSE({1,2,3,4},XT!U8,XT!Y8,XT!AC8,XT!AG8))=11)*(CHOOSE({1,2,3,4},XT!X8,XT!AB8,XT!AF8,XT!AJ8)))</f>
        <v>0</v>
      </c>
      <c r="AP8" t="str">
        <f>IFERROR(INDEX(CHOOSE({1,2,3,4}, DAY(XT!U8), DAY(XT!Y8), DAY(XT!AC8), DAY(XT!AG8)), MATCH(1, INDEX(--(MONTH(CHOOSE({1,2,3,4}, XT!U8,XT!Y8,XT!AC8,XT!AG8))=11), 0), 0)), "")</f>
        <v/>
      </c>
      <c r="AQ8" s="12" t="str">
        <f>IF(XT!$P8&gt;0,AP8,"")</f>
        <v/>
      </c>
      <c r="AR8" s="12" t="str">
        <f>IF(XT!$P8=0,AP8,"")</f>
        <v/>
      </c>
      <c r="AS8">
        <f>SUMPRODUCT((MONTH(CHOOSE({1,2,3,4},XT!U8,XT!Y8,XT!AC8,XT!AG8))=12)*(CHOOSE({1,2,3,4},XT!X8,XT!AB8,XT!AF8,XT!AJ8)))</f>
        <v>0</v>
      </c>
      <c r="AT8" t="str">
        <f>IFERROR(INDEX(CHOOSE({1,2,3,4}, DAY(XT!U8), DAY(XT!Y8), DAY(XT!AC8), DAY(XT!AG8)), MATCH(1, INDEX(--(MONTH(CHOOSE({1,2,3,4}, XT!U8,XT!Y8,XT!AC8,XT!AG8))=12), 0), 0)), "")</f>
        <v/>
      </c>
      <c r="AU8" s="12" t="str">
        <f>IF(XT!$P8&gt;0,AT8,"")</f>
        <v/>
      </c>
      <c r="AV8" s="12" t="str">
        <f>IF(XT!$P8=0,AT8,"")</f>
        <v/>
      </c>
    </row>
    <row r="9" spans="1:48">
      <c r="A9">
        <f>SUMPRODUCT((MONTH(CHOOSE({1,2,3,4},XT!U9,XT!Y9,XT!AC9,XT!AG9))=1)*(CHOOSE({1,2,3,4},XT!X9,XT!AB9,XT!AF9,XT!AJ9)))</f>
        <v>0</v>
      </c>
      <c r="B9">
        <f>IFERROR(INDEX(CHOOSE({1,2,3,4}, DAY(XT!U9), DAY(XT!Y9), DAY(XT!AC9), DAY(XT!AG9)), MATCH(1, INDEX(--(MONTH(CHOOSE({1,2,3,4}, XT!U9,XT!Y9,XT!AC9,XT!AG9))=1), 0), 0)), "")</f>
        <v>0</v>
      </c>
      <c r="C9" s="12" t="str">
        <f>IF(XT!$P9&gt;0,B9,"")</f>
        <v/>
      </c>
      <c r="D9" s="12">
        <f>IF(XT!$P9=0,B9,"")</f>
        <v>0</v>
      </c>
      <c r="E9">
        <f>SUMPRODUCT((MONTH(CHOOSE({1,2,3,4},XT!U9,XT!Y9,XT!AC9,XT!AG9))=2)*(CHOOSE({1,2,3,4},XT!X9,XT!AB9,XT!AF9,XT!AJ9)))</f>
        <v>0</v>
      </c>
      <c r="F9" t="str">
        <f>IFERROR(INDEX(CHOOSE({1,2,3,4}, DAY(XT!U9), DAY(XT!Y9), DAY(XT!AC9), DAY(XT!AG9)), MATCH(1, INDEX(--(MONTH(CHOOSE({1,2,3,4}, XT!U9,XT!Y9,XT!AC9,XT!AG9))=2), 0), 0)), "")</f>
        <v/>
      </c>
      <c r="G9" s="12" t="str">
        <f>IF(XT!$P9&gt;0,F9,"")</f>
        <v/>
      </c>
      <c r="H9" s="12" t="str">
        <f>IF(XT!$P9=0,F9,"")</f>
        <v/>
      </c>
      <c r="I9">
        <f>SUMPRODUCT((MONTH(CHOOSE({1,2,3,4},XT!U9,XT!Y9,XT!AC9,XT!AG9))=3)*(CHOOSE({1,2,3,4},XT!X9,XT!AB9,XT!AF9,XT!AJ9)))</f>
        <v>0</v>
      </c>
      <c r="J9" t="str">
        <f>IFERROR(INDEX(CHOOSE({1,2,3,4}, DAY(XT!U9), DAY(XT!Y9), DAY(XT!AC9), DAY(XT!AG9)), MATCH(1, INDEX(--(MONTH(CHOOSE({1,2,3,4}, XT!U9,XT!Y9,XT!AC9,XT!AG9))=3), 0), 0)), "")</f>
        <v/>
      </c>
      <c r="K9" s="12" t="str">
        <f>IF(XT!$P9&gt;0,J9,"")</f>
        <v/>
      </c>
      <c r="L9" s="12" t="str">
        <f>IF(XT!$P9=0,J9,"")</f>
        <v/>
      </c>
      <c r="M9">
        <f>SUMPRODUCT((MONTH(CHOOSE({1,2,3,4},XT!U9,XT!Y9,XT!AC9,XT!AG9))=4)*(CHOOSE({1,2,3,4},XT!X9,XT!AB9,XT!AF9,XT!AJ9)))</f>
        <v>0</v>
      </c>
      <c r="N9" t="str">
        <f>IFERROR(INDEX(CHOOSE({1,2,3,4}, DAY(XT!U9), DAY(XT!Y9), DAY(XT!AC9), DAY(XT!AG9)), MATCH(1, INDEX(--(MONTH(CHOOSE({1,2,3,4}, XT!U9,XT!Y9,XT!AC9,XT!AG9))=4), 0), 0)), "")</f>
        <v/>
      </c>
      <c r="O9" s="12" t="str">
        <f>IF(XT!$P9&gt;0,N9,"")</f>
        <v/>
      </c>
      <c r="P9" s="12" t="str">
        <f>IF(XT!$P9=0,N9,"")</f>
        <v/>
      </c>
      <c r="Q9">
        <f>SUMPRODUCT((MONTH(CHOOSE({1,2,3,4},XT!U9,XT!Y9,XT!AC9,XT!AG9))=5)*(CHOOSE({1,2,3,4},XT!X9,XT!AB9,XT!AF9,XT!AJ9)))</f>
        <v>0</v>
      </c>
      <c r="R9" t="str">
        <f>IFERROR(INDEX(CHOOSE({1,2,3,4}, DAY(XT!U9), DAY(XT!Y9), DAY(XT!AC9), DAY(XT!AG9)), MATCH(1, INDEX(--(MONTH(CHOOSE({1,2,3,4}, XT!U9,XT!Y9,XT!AC9,XT!AG9))=5), 0), 0)), "")</f>
        <v/>
      </c>
      <c r="S9" s="12" t="str">
        <f>IF(XT!$P9&gt;0,R9,"")</f>
        <v/>
      </c>
      <c r="T9" s="12" t="str">
        <f>IF(XT!$P9=0,R9,"")</f>
        <v/>
      </c>
      <c r="U9">
        <f>SUMPRODUCT((MONTH(CHOOSE({1,2,3,4},XT!U9,XT!Y9,XT!AC9,XT!AG9))=6)*(CHOOSE({1,2,3,4},XT!X9,XT!AB9,XT!AF9,XT!AJ9)))</f>
        <v>0</v>
      </c>
      <c r="V9" t="str">
        <f>IFERROR(INDEX(CHOOSE({1,2,3,4}, DAY(XT!U9), DAY(XT!Y9), DAY(XT!AC9), DAY(XT!AG9)), MATCH(1, INDEX(--(MONTH(CHOOSE({1,2,3,4}, XT!U9,XT!Y9,XT!AC9,XT!AG9))=6), 0), 0)), "")</f>
        <v/>
      </c>
      <c r="W9" s="12" t="str">
        <f>IF(XT!$P9&gt;0,V9,"")</f>
        <v/>
      </c>
      <c r="X9" s="12" t="str">
        <f>IF(XT!$P9=0,V9,"")</f>
        <v/>
      </c>
      <c r="Y9">
        <f>SUMPRODUCT((MONTH(CHOOSE({1,2,3,4},XT!U9,XT!Y9,XT!AC9,XT!AG9))=7)*(CHOOSE({1,2,3,4},XT!X9,XT!AB9,XT!AF9,XT!AJ9)))</f>
        <v>0</v>
      </c>
      <c r="Z9" t="str">
        <f>IFERROR(INDEX(CHOOSE({1,2,3,4}, DAY(XT!U9), DAY(XT!Y9), DAY(XT!AC9), DAY(XT!AG9)), MATCH(1, INDEX(--(MONTH(CHOOSE({1,2,3,4}, XT!U9,XT!Y9,XT!AC9,XT!AG9))=7), 0), 0)), "")</f>
        <v/>
      </c>
      <c r="AA9" s="12" t="str">
        <f>IF(XT!$P9&gt;0,Z9,"")</f>
        <v/>
      </c>
      <c r="AB9" s="12" t="str">
        <f>IF(XT!$P9=0,Z9,"")</f>
        <v/>
      </c>
      <c r="AC9">
        <f>SUMPRODUCT((MONTH(CHOOSE({1,2,3,4},XT!U9,XT!Y9,XT!AC9,XT!AG9))=8)*(CHOOSE({1,2,3,4},XT!X9,XT!AB9,XT!AF9,XT!AJ9)))</f>
        <v>0</v>
      </c>
      <c r="AD9" t="str">
        <f>IFERROR(INDEX(CHOOSE({1,2,3,4}, DAY(XT!U9), DAY(XT!Y9), DAY(XT!AC9), DAY(XT!AG9)), MATCH(1, INDEX(--(MONTH(CHOOSE({1,2,3,4}, XT!U9,XT!Y9,XT!AC9,XT!AG9))=8), 0), 0)), "")</f>
        <v/>
      </c>
      <c r="AE9" s="12" t="str">
        <f>IF(XT!$P9&gt;0,AD9,"")</f>
        <v/>
      </c>
      <c r="AF9" s="12" t="str">
        <f>IF(XT!$P9=0,AD9,"")</f>
        <v/>
      </c>
      <c r="AG9">
        <f>SUMPRODUCT((MONTH(CHOOSE({1,2,3,4},XT!U9,XT!Y9,XT!AC9,XT!AG9))=9)*(CHOOSE({1,2,3,4},XT!X9,XT!AB9,XT!AF9,XT!AJ9)))</f>
        <v>0</v>
      </c>
      <c r="AH9" t="str">
        <f>IFERROR(INDEX(CHOOSE({1,2,3,4}, DAY(XT!U9), DAY(XT!Y9), DAY(XT!AC9), DAY(XT!AG9)), MATCH(1, INDEX(--(MONTH(CHOOSE({1,2,3,4}, XT!U9,XT!Y9,XT!AC9,XT!AG9))=9), 0), 0)), "")</f>
        <v/>
      </c>
      <c r="AI9" s="12" t="str">
        <f>IF(XT!$P9&gt;0,AH9,"")</f>
        <v/>
      </c>
      <c r="AJ9" s="12" t="str">
        <f>IF(XT!$P9=0,AH9,"")</f>
        <v/>
      </c>
      <c r="AK9">
        <f>SUMPRODUCT((MONTH(CHOOSE({1,2,3,4},XT!U9,XT!Y9,XT!AC9,XT!AG9))=10)*(CHOOSE({1,2,3,4},XT!X9,XT!AB9,XT!AF9,XT!AJ9)))</f>
        <v>0</v>
      </c>
      <c r="AL9" t="str">
        <f>IFERROR(INDEX(CHOOSE({1,2,3,4}, DAY(XT!U9), DAY(XT!Y9), DAY(XT!AC9), DAY(XT!AG9)), MATCH(1, INDEX(--(MONTH(CHOOSE({1,2,3,4}, XT!U9,XT!Y9,XT!AC9,XT!AG9))=10), 0), 0)), "")</f>
        <v/>
      </c>
      <c r="AM9" s="12" t="str">
        <f>IF(XT!$P9&gt;0,AL9,"")</f>
        <v/>
      </c>
      <c r="AN9" s="12" t="str">
        <f>IF(XT!$P9=0,AL9,"")</f>
        <v/>
      </c>
      <c r="AO9">
        <f>SUMPRODUCT((MONTH(CHOOSE({1,2,3,4},XT!U9,XT!Y9,XT!AC9,XT!AG9))=11)*(CHOOSE({1,2,3,4},XT!X9,XT!AB9,XT!AF9,XT!AJ9)))</f>
        <v>0</v>
      </c>
      <c r="AP9" t="str">
        <f>IFERROR(INDEX(CHOOSE({1,2,3,4}, DAY(XT!U9), DAY(XT!Y9), DAY(XT!AC9), DAY(XT!AG9)), MATCH(1, INDEX(--(MONTH(CHOOSE({1,2,3,4}, XT!U9,XT!Y9,XT!AC9,XT!AG9))=11), 0), 0)), "")</f>
        <v/>
      </c>
      <c r="AQ9" s="12" t="str">
        <f>IF(XT!$P9&gt;0,AP9,"")</f>
        <v/>
      </c>
      <c r="AR9" s="12" t="str">
        <f>IF(XT!$P9=0,AP9,"")</f>
        <v/>
      </c>
      <c r="AS9">
        <f>SUMPRODUCT((MONTH(CHOOSE({1,2,3,4},XT!U9,XT!Y9,XT!AC9,XT!AG9))=12)*(CHOOSE({1,2,3,4},XT!X9,XT!AB9,XT!AF9,XT!AJ9)))</f>
        <v>0</v>
      </c>
      <c r="AT9" t="str">
        <f>IFERROR(INDEX(CHOOSE({1,2,3,4}, DAY(XT!U9), DAY(XT!Y9), DAY(XT!AC9), DAY(XT!AG9)), MATCH(1, INDEX(--(MONTH(CHOOSE({1,2,3,4}, XT!U9,XT!Y9,XT!AC9,XT!AG9))=12), 0), 0)), "")</f>
        <v/>
      </c>
      <c r="AU9" s="12" t="str">
        <f>IF(XT!$P9&gt;0,AT9,"")</f>
        <v/>
      </c>
      <c r="AV9" s="12" t="str">
        <f>IF(XT!$P9=0,AT9,"")</f>
        <v/>
      </c>
    </row>
    <row r="10" spans="1:48">
      <c r="A10">
        <f>SUMPRODUCT((MONTH(CHOOSE({1,2,3,4},XT!U10,XT!Y10,XT!AC10,XT!AG10))=1)*(CHOOSE({1,2,3,4},XT!X10,XT!AB10,XT!AF10,XT!AJ10)))</f>
        <v>0</v>
      </c>
      <c r="B10">
        <f>IFERROR(INDEX(CHOOSE({1,2,3,4}, DAY(XT!U10), DAY(XT!Y10), DAY(XT!AC10), DAY(XT!AG10)), MATCH(1, INDEX(--(MONTH(CHOOSE({1,2,3,4}, XT!U10,XT!Y10,XT!AC10,XT!AG10))=1), 0), 0)), "")</f>
        <v>0</v>
      </c>
      <c r="C10" s="12" t="str">
        <f>IF(XT!$P10&gt;0,B10,"")</f>
        <v/>
      </c>
      <c r="D10" s="12">
        <f>IF(XT!$P10=0,B10,"")</f>
        <v>0</v>
      </c>
      <c r="E10">
        <f>SUMPRODUCT((MONTH(CHOOSE({1,2,3,4},XT!U10,XT!Y10,XT!AC10,XT!AG10))=2)*(CHOOSE({1,2,3,4},XT!X10,XT!AB10,XT!AF10,XT!AJ10)))</f>
        <v>0</v>
      </c>
      <c r="F10" t="str">
        <f>IFERROR(INDEX(CHOOSE({1,2,3,4}, DAY(XT!U10), DAY(XT!Y10), DAY(XT!AC10), DAY(XT!AG10)), MATCH(1, INDEX(--(MONTH(CHOOSE({1,2,3,4}, XT!U10,XT!Y10,XT!AC10,XT!AG10))=2), 0), 0)), "")</f>
        <v/>
      </c>
      <c r="G10" s="12" t="str">
        <f>IF(XT!$P10&gt;0,F10,"")</f>
        <v/>
      </c>
      <c r="H10" s="12" t="str">
        <f>IF(XT!$P10=0,F10,"")</f>
        <v/>
      </c>
      <c r="I10">
        <f>SUMPRODUCT((MONTH(CHOOSE({1,2,3,4},XT!U10,XT!Y10,XT!AC10,XT!AG10))=3)*(CHOOSE({1,2,3,4},XT!X10,XT!AB10,XT!AF10,XT!AJ10)))</f>
        <v>0</v>
      </c>
      <c r="J10" t="str">
        <f>IFERROR(INDEX(CHOOSE({1,2,3,4}, DAY(XT!U10), DAY(XT!Y10), DAY(XT!AC10), DAY(XT!AG10)), MATCH(1, INDEX(--(MONTH(CHOOSE({1,2,3,4}, XT!U10,XT!Y10,XT!AC10,XT!AG10))=3), 0), 0)), "")</f>
        <v/>
      </c>
      <c r="K10" s="12" t="str">
        <f>IF(XT!$P10&gt;0,J10,"")</f>
        <v/>
      </c>
      <c r="L10" s="12" t="str">
        <f>IF(XT!$P10=0,J10,"")</f>
        <v/>
      </c>
      <c r="M10">
        <f>SUMPRODUCT((MONTH(CHOOSE({1,2,3,4},XT!U10,XT!Y10,XT!AC10,XT!AG10))=4)*(CHOOSE({1,2,3,4},XT!X10,XT!AB10,XT!AF10,XT!AJ10)))</f>
        <v>0</v>
      </c>
      <c r="N10" t="str">
        <f>IFERROR(INDEX(CHOOSE({1,2,3,4}, DAY(XT!U10), DAY(XT!Y10), DAY(XT!AC10), DAY(XT!AG10)), MATCH(1, INDEX(--(MONTH(CHOOSE({1,2,3,4}, XT!U10,XT!Y10,XT!AC10,XT!AG10))=4), 0), 0)), "")</f>
        <v/>
      </c>
      <c r="O10" s="12" t="str">
        <f>IF(XT!$P10&gt;0,N10,"")</f>
        <v/>
      </c>
      <c r="P10" s="12" t="str">
        <f>IF(XT!$P10=0,N10,"")</f>
        <v/>
      </c>
      <c r="Q10">
        <f>SUMPRODUCT((MONTH(CHOOSE({1,2,3,4},XT!U10,XT!Y10,XT!AC10,XT!AG10))=5)*(CHOOSE({1,2,3,4},XT!X10,XT!AB10,XT!AF10,XT!AJ10)))</f>
        <v>0</v>
      </c>
      <c r="R10" t="str">
        <f>IFERROR(INDEX(CHOOSE({1,2,3,4}, DAY(XT!U10), DAY(XT!Y10), DAY(XT!AC10), DAY(XT!AG10)), MATCH(1, INDEX(--(MONTH(CHOOSE({1,2,3,4}, XT!U10,XT!Y10,XT!AC10,XT!AG10))=5), 0), 0)), "")</f>
        <v/>
      </c>
      <c r="S10" s="12" t="str">
        <f>IF(XT!$P10&gt;0,R10,"")</f>
        <v/>
      </c>
      <c r="T10" s="12" t="str">
        <f>IF(XT!$P10=0,R10,"")</f>
        <v/>
      </c>
      <c r="U10">
        <f>SUMPRODUCT((MONTH(CHOOSE({1,2,3,4},XT!U10,XT!Y10,XT!AC10,XT!AG10))=6)*(CHOOSE({1,2,3,4},XT!X10,XT!AB10,XT!AF10,XT!AJ10)))</f>
        <v>0</v>
      </c>
      <c r="V10" t="str">
        <f>IFERROR(INDEX(CHOOSE({1,2,3,4}, DAY(XT!U10), DAY(XT!Y10), DAY(XT!AC10), DAY(XT!AG10)), MATCH(1, INDEX(--(MONTH(CHOOSE({1,2,3,4}, XT!U10,XT!Y10,XT!AC10,XT!AG10))=6), 0), 0)), "")</f>
        <v/>
      </c>
      <c r="W10" s="12" t="str">
        <f>IF(XT!$P10&gt;0,V10,"")</f>
        <v/>
      </c>
      <c r="X10" s="12" t="str">
        <f>IF(XT!$P10=0,V10,"")</f>
        <v/>
      </c>
      <c r="Y10">
        <f>SUMPRODUCT((MONTH(CHOOSE({1,2,3,4},XT!U10,XT!Y10,XT!AC10,XT!AG10))=7)*(CHOOSE({1,2,3,4},XT!X10,XT!AB10,XT!AF10,XT!AJ10)))</f>
        <v>0</v>
      </c>
      <c r="Z10" t="str">
        <f>IFERROR(INDEX(CHOOSE({1,2,3,4}, DAY(XT!U10), DAY(XT!Y10), DAY(XT!AC10), DAY(XT!AG10)), MATCH(1, INDEX(--(MONTH(CHOOSE({1,2,3,4}, XT!U10,XT!Y10,XT!AC10,XT!AG10))=7), 0), 0)), "")</f>
        <v/>
      </c>
      <c r="AA10" s="12" t="str">
        <f>IF(XT!$P10&gt;0,Z10,"")</f>
        <v/>
      </c>
      <c r="AB10" s="12" t="str">
        <f>IF(XT!$P10=0,Z10,"")</f>
        <v/>
      </c>
      <c r="AC10">
        <f>SUMPRODUCT((MONTH(CHOOSE({1,2,3,4},XT!U10,XT!Y10,XT!AC10,XT!AG10))=8)*(CHOOSE({1,2,3,4},XT!X10,XT!AB10,XT!AF10,XT!AJ10)))</f>
        <v>0</v>
      </c>
      <c r="AD10" t="str">
        <f>IFERROR(INDEX(CHOOSE({1,2,3,4}, DAY(XT!U10), DAY(XT!Y10), DAY(XT!AC10), DAY(XT!AG10)), MATCH(1, INDEX(--(MONTH(CHOOSE({1,2,3,4}, XT!U10,XT!Y10,XT!AC10,XT!AG10))=8), 0), 0)), "")</f>
        <v/>
      </c>
      <c r="AE10" s="12" t="str">
        <f>IF(XT!$P10&gt;0,AD10,"")</f>
        <v/>
      </c>
      <c r="AF10" s="12" t="str">
        <f>IF(XT!$P10=0,AD10,"")</f>
        <v/>
      </c>
      <c r="AG10">
        <f>SUMPRODUCT((MONTH(CHOOSE({1,2,3,4},XT!U10,XT!Y10,XT!AC10,XT!AG10))=9)*(CHOOSE({1,2,3,4},XT!X10,XT!AB10,XT!AF10,XT!AJ10)))</f>
        <v>0</v>
      </c>
      <c r="AH10" t="str">
        <f>IFERROR(INDEX(CHOOSE({1,2,3,4}, DAY(XT!U10), DAY(XT!Y10), DAY(XT!AC10), DAY(XT!AG10)), MATCH(1, INDEX(--(MONTH(CHOOSE({1,2,3,4}, XT!U10,XT!Y10,XT!AC10,XT!AG10))=9), 0), 0)), "")</f>
        <v/>
      </c>
      <c r="AI10" s="12" t="str">
        <f>IF(XT!$P10&gt;0,AH10,"")</f>
        <v/>
      </c>
      <c r="AJ10" s="12" t="str">
        <f>IF(XT!$P10=0,AH10,"")</f>
        <v/>
      </c>
      <c r="AK10">
        <f>SUMPRODUCT((MONTH(CHOOSE({1,2,3,4},XT!U10,XT!Y10,XT!AC10,XT!AG10))=10)*(CHOOSE({1,2,3,4},XT!X10,XT!AB10,XT!AF10,XT!AJ10)))</f>
        <v>0</v>
      </c>
      <c r="AL10" t="str">
        <f>IFERROR(INDEX(CHOOSE({1,2,3,4}, DAY(XT!U10), DAY(XT!Y10), DAY(XT!AC10), DAY(XT!AG10)), MATCH(1, INDEX(--(MONTH(CHOOSE({1,2,3,4}, XT!U10,XT!Y10,XT!AC10,XT!AG10))=10), 0), 0)), "")</f>
        <v/>
      </c>
      <c r="AM10" s="12" t="str">
        <f>IF(XT!$P10&gt;0,AL10,"")</f>
        <v/>
      </c>
      <c r="AN10" s="12" t="str">
        <f>IF(XT!$P10=0,AL10,"")</f>
        <v/>
      </c>
      <c r="AO10">
        <f>SUMPRODUCT((MONTH(CHOOSE({1,2,3,4},XT!U10,XT!Y10,XT!AC10,XT!AG10))=11)*(CHOOSE({1,2,3,4},XT!X10,XT!AB10,XT!AF10,XT!AJ10)))</f>
        <v>0</v>
      </c>
      <c r="AP10" t="str">
        <f>IFERROR(INDEX(CHOOSE({1,2,3,4}, DAY(XT!U10), DAY(XT!Y10), DAY(XT!AC10), DAY(XT!AG10)), MATCH(1, INDEX(--(MONTH(CHOOSE({1,2,3,4}, XT!U10,XT!Y10,XT!AC10,XT!AG10))=11), 0), 0)), "")</f>
        <v/>
      </c>
      <c r="AQ10" s="12" t="str">
        <f>IF(XT!$P10&gt;0,AP10,"")</f>
        <v/>
      </c>
      <c r="AR10" s="12" t="str">
        <f>IF(XT!$P10=0,AP10,"")</f>
        <v/>
      </c>
      <c r="AS10">
        <f>SUMPRODUCT((MONTH(CHOOSE({1,2,3,4},XT!U10,XT!Y10,XT!AC10,XT!AG10))=12)*(CHOOSE({1,2,3,4},XT!X10,XT!AB10,XT!AF10,XT!AJ10)))</f>
        <v>0</v>
      </c>
      <c r="AT10" t="str">
        <f>IFERROR(INDEX(CHOOSE({1,2,3,4}, DAY(XT!U10), DAY(XT!Y10), DAY(XT!AC10), DAY(XT!AG10)), MATCH(1, INDEX(--(MONTH(CHOOSE({1,2,3,4}, XT!U10,XT!Y10,XT!AC10,XT!AG10))=12), 0), 0)), "")</f>
        <v/>
      </c>
      <c r="AU10" s="12" t="str">
        <f>IF(XT!$P10&gt;0,AT10,"")</f>
        <v/>
      </c>
      <c r="AV10" s="12" t="str">
        <f>IF(XT!$P10=0,AT10,"")</f>
        <v/>
      </c>
    </row>
    <row r="11" spans="1:48">
      <c r="A11">
        <f>SUMPRODUCT((MONTH(CHOOSE({1,2,3,4},XT!U11,XT!Y11,XT!AC11,XT!AG11))=1)*(CHOOSE({1,2,3,4},XT!X11,XT!AB11,XT!AF11,XT!AJ11)))</f>
        <v>0</v>
      </c>
      <c r="B11">
        <f>IFERROR(INDEX(CHOOSE({1,2,3,4}, DAY(XT!U11), DAY(XT!Y11), DAY(XT!AC11), DAY(XT!AG11)), MATCH(1, INDEX(--(MONTH(CHOOSE({1,2,3,4}, XT!U11,XT!Y11,XT!AC11,XT!AG11))=1), 0), 0)), "")</f>
        <v>0</v>
      </c>
      <c r="C11" s="12" t="str">
        <f>IF(XT!$P11&gt;0,B11,"")</f>
        <v/>
      </c>
      <c r="D11" s="12">
        <f>IF(XT!$P11=0,B11,"")</f>
        <v>0</v>
      </c>
      <c r="E11">
        <f>SUMPRODUCT((MONTH(CHOOSE({1,2,3,4},XT!U11,XT!Y11,XT!AC11,XT!AG11))=2)*(CHOOSE({1,2,3,4},XT!X11,XT!AB11,XT!AF11,XT!AJ11)))</f>
        <v>0</v>
      </c>
      <c r="F11" t="str">
        <f>IFERROR(INDEX(CHOOSE({1,2,3,4}, DAY(XT!U11), DAY(XT!Y11), DAY(XT!AC11), DAY(XT!AG11)), MATCH(1, INDEX(--(MONTH(CHOOSE({1,2,3,4}, XT!U11,XT!Y11,XT!AC11,XT!AG11))=2), 0), 0)), "")</f>
        <v/>
      </c>
      <c r="G11" s="12" t="str">
        <f>IF(XT!$P11&gt;0,F11,"")</f>
        <v/>
      </c>
      <c r="H11" s="12" t="str">
        <f>IF(XT!$P11=0,F11,"")</f>
        <v/>
      </c>
      <c r="I11">
        <f>SUMPRODUCT((MONTH(CHOOSE({1,2,3,4},XT!U11,XT!Y11,XT!AC11,XT!AG11))=3)*(CHOOSE({1,2,3,4},XT!X11,XT!AB11,XT!AF11,XT!AJ11)))</f>
        <v>0</v>
      </c>
      <c r="J11" t="str">
        <f>IFERROR(INDEX(CHOOSE({1,2,3,4}, DAY(XT!U11), DAY(XT!Y11), DAY(XT!AC11), DAY(XT!AG11)), MATCH(1, INDEX(--(MONTH(CHOOSE({1,2,3,4}, XT!U11,XT!Y11,XT!AC11,XT!AG11))=3), 0), 0)), "")</f>
        <v/>
      </c>
      <c r="K11" s="12" t="str">
        <f>IF(XT!$P11&gt;0,J11,"")</f>
        <v/>
      </c>
      <c r="L11" s="12" t="str">
        <f>IF(XT!$P11=0,J11,"")</f>
        <v/>
      </c>
      <c r="M11">
        <f>SUMPRODUCT((MONTH(CHOOSE({1,2,3,4},XT!U11,XT!Y11,XT!AC11,XT!AG11))=4)*(CHOOSE({1,2,3,4},XT!X11,XT!AB11,XT!AF11,XT!AJ11)))</f>
        <v>0</v>
      </c>
      <c r="N11" t="str">
        <f>IFERROR(INDEX(CHOOSE({1,2,3,4}, DAY(XT!U11), DAY(XT!Y11), DAY(XT!AC11), DAY(XT!AG11)), MATCH(1, INDEX(--(MONTH(CHOOSE({1,2,3,4}, XT!U11,XT!Y11,XT!AC11,XT!AG11))=4), 0), 0)), "")</f>
        <v/>
      </c>
      <c r="O11" s="12" t="str">
        <f>IF(XT!$P11&gt;0,N11,"")</f>
        <v/>
      </c>
      <c r="P11" s="12" t="str">
        <f>IF(XT!$P11=0,N11,"")</f>
        <v/>
      </c>
      <c r="Q11">
        <f>SUMPRODUCT((MONTH(CHOOSE({1,2,3,4},XT!U11,XT!Y11,XT!AC11,XT!AG11))=5)*(CHOOSE({1,2,3,4},XT!X11,XT!AB11,XT!AF11,XT!AJ11)))</f>
        <v>0</v>
      </c>
      <c r="R11" t="str">
        <f>IFERROR(INDEX(CHOOSE({1,2,3,4}, DAY(XT!U11), DAY(XT!Y11), DAY(XT!AC11), DAY(XT!AG11)), MATCH(1, INDEX(--(MONTH(CHOOSE({1,2,3,4}, XT!U11,XT!Y11,XT!AC11,XT!AG11))=5), 0), 0)), "")</f>
        <v/>
      </c>
      <c r="S11" s="12" t="str">
        <f>IF(XT!$P11&gt;0,R11,"")</f>
        <v/>
      </c>
      <c r="T11" s="12" t="str">
        <f>IF(XT!$P11=0,R11,"")</f>
        <v/>
      </c>
      <c r="U11">
        <f>SUMPRODUCT((MONTH(CHOOSE({1,2,3,4},XT!U11,XT!Y11,XT!AC11,XT!AG11))=6)*(CHOOSE({1,2,3,4},XT!X11,XT!AB11,XT!AF11,XT!AJ11)))</f>
        <v>0</v>
      </c>
      <c r="V11" t="str">
        <f>IFERROR(INDEX(CHOOSE({1,2,3,4}, DAY(XT!U11), DAY(XT!Y11), DAY(XT!AC11), DAY(XT!AG11)), MATCH(1, INDEX(--(MONTH(CHOOSE({1,2,3,4}, XT!U11,XT!Y11,XT!AC11,XT!AG11))=6), 0), 0)), "")</f>
        <v/>
      </c>
      <c r="W11" s="12" t="str">
        <f>IF(XT!$P11&gt;0,V11,"")</f>
        <v/>
      </c>
      <c r="X11" s="12" t="str">
        <f>IF(XT!$P11=0,V11,"")</f>
        <v/>
      </c>
      <c r="Y11">
        <f>SUMPRODUCT((MONTH(CHOOSE({1,2,3,4},XT!U11,XT!Y11,XT!AC11,XT!AG11))=7)*(CHOOSE({1,2,3,4},XT!X11,XT!AB11,XT!AF11,XT!AJ11)))</f>
        <v>0</v>
      </c>
      <c r="Z11" t="str">
        <f>IFERROR(INDEX(CHOOSE({1,2,3,4}, DAY(XT!U11), DAY(XT!Y11), DAY(XT!AC11), DAY(XT!AG11)), MATCH(1, INDEX(--(MONTH(CHOOSE({1,2,3,4}, XT!U11,XT!Y11,XT!AC11,XT!AG11))=7), 0), 0)), "")</f>
        <v/>
      </c>
      <c r="AA11" s="12" t="str">
        <f>IF(XT!$P11&gt;0,Z11,"")</f>
        <v/>
      </c>
      <c r="AB11" s="12" t="str">
        <f>IF(XT!$P11=0,Z11,"")</f>
        <v/>
      </c>
      <c r="AC11">
        <f>SUMPRODUCT((MONTH(CHOOSE({1,2,3,4},XT!U11,XT!Y11,XT!AC11,XT!AG11))=8)*(CHOOSE({1,2,3,4},XT!X11,XT!AB11,XT!AF11,XT!AJ11)))</f>
        <v>0</v>
      </c>
      <c r="AD11" t="str">
        <f>IFERROR(INDEX(CHOOSE({1,2,3,4}, DAY(XT!U11), DAY(XT!Y11), DAY(XT!AC11), DAY(XT!AG11)), MATCH(1, INDEX(--(MONTH(CHOOSE({1,2,3,4}, XT!U11,XT!Y11,XT!AC11,XT!AG11))=8), 0), 0)), "")</f>
        <v/>
      </c>
      <c r="AE11" s="12" t="str">
        <f>IF(XT!$P11&gt;0,AD11,"")</f>
        <v/>
      </c>
      <c r="AF11" s="12" t="str">
        <f>IF(XT!$P11=0,AD11,"")</f>
        <v/>
      </c>
      <c r="AG11">
        <f>SUMPRODUCT((MONTH(CHOOSE({1,2,3,4},XT!U11,XT!Y11,XT!AC11,XT!AG11))=9)*(CHOOSE({1,2,3,4},XT!X11,XT!AB11,XT!AF11,XT!AJ11)))</f>
        <v>0</v>
      </c>
      <c r="AH11" t="str">
        <f>IFERROR(INDEX(CHOOSE({1,2,3,4}, DAY(XT!U11), DAY(XT!Y11), DAY(XT!AC11), DAY(XT!AG11)), MATCH(1, INDEX(--(MONTH(CHOOSE({1,2,3,4}, XT!U11,XT!Y11,XT!AC11,XT!AG11))=9), 0), 0)), "")</f>
        <v/>
      </c>
      <c r="AI11" s="12" t="str">
        <f>IF(XT!$P11&gt;0,AH11,"")</f>
        <v/>
      </c>
      <c r="AJ11" s="12" t="str">
        <f>IF(XT!$P11=0,AH11,"")</f>
        <v/>
      </c>
      <c r="AK11">
        <f>SUMPRODUCT((MONTH(CHOOSE({1,2,3,4},XT!U11,XT!Y11,XT!AC11,XT!AG11))=10)*(CHOOSE({1,2,3,4},XT!X11,XT!AB11,XT!AF11,XT!AJ11)))</f>
        <v>0</v>
      </c>
      <c r="AL11" t="str">
        <f>IFERROR(INDEX(CHOOSE({1,2,3,4}, DAY(XT!U11), DAY(XT!Y11), DAY(XT!AC11), DAY(XT!AG11)), MATCH(1, INDEX(--(MONTH(CHOOSE({1,2,3,4}, XT!U11,XT!Y11,XT!AC11,XT!AG11))=10), 0), 0)), "")</f>
        <v/>
      </c>
      <c r="AM11" s="12" t="str">
        <f>IF(XT!$P11&gt;0,AL11,"")</f>
        <v/>
      </c>
      <c r="AN11" s="12" t="str">
        <f>IF(XT!$P11=0,AL11,"")</f>
        <v/>
      </c>
      <c r="AO11">
        <f>SUMPRODUCT((MONTH(CHOOSE({1,2,3,4},XT!U11,XT!Y11,XT!AC11,XT!AG11))=11)*(CHOOSE({1,2,3,4},XT!X11,XT!AB11,XT!AF11,XT!AJ11)))</f>
        <v>0</v>
      </c>
      <c r="AP11" t="str">
        <f>IFERROR(INDEX(CHOOSE({1,2,3,4}, DAY(XT!U11), DAY(XT!Y11), DAY(XT!AC11), DAY(XT!AG11)), MATCH(1, INDEX(--(MONTH(CHOOSE({1,2,3,4}, XT!U11,XT!Y11,XT!AC11,XT!AG11))=11), 0), 0)), "")</f>
        <v/>
      </c>
      <c r="AQ11" s="12" t="str">
        <f>IF(XT!$P11&gt;0,AP11,"")</f>
        <v/>
      </c>
      <c r="AR11" s="12" t="str">
        <f>IF(XT!$P11=0,AP11,"")</f>
        <v/>
      </c>
      <c r="AS11">
        <f>SUMPRODUCT((MONTH(CHOOSE({1,2,3,4},XT!U11,XT!Y11,XT!AC11,XT!AG11))=12)*(CHOOSE({1,2,3,4},XT!X11,XT!AB11,XT!AF11,XT!AJ11)))</f>
        <v>0</v>
      </c>
      <c r="AT11" t="str">
        <f>IFERROR(INDEX(CHOOSE({1,2,3,4}, DAY(XT!U11), DAY(XT!Y11), DAY(XT!AC11), DAY(XT!AG11)), MATCH(1, INDEX(--(MONTH(CHOOSE({1,2,3,4}, XT!U11,XT!Y11,XT!AC11,XT!AG11))=12), 0), 0)), "")</f>
        <v/>
      </c>
      <c r="AU11" s="12" t="str">
        <f>IF(XT!$P11&gt;0,AT11,"")</f>
        <v/>
      </c>
      <c r="AV11" s="12" t="str">
        <f>IF(XT!$P11=0,AT11,"")</f>
        <v/>
      </c>
    </row>
    <row r="12" spans="1:48">
      <c r="A12">
        <f>SUMPRODUCT((MONTH(CHOOSE({1,2,3,4},XT!U12,XT!Y12,XT!AC12,XT!AG12))=1)*(CHOOSE({1,2,3,4},XT!X12,XT!AB12,XT!AF12,XT!AJ12)))</f>
        <v>0</v>
      </c>
      <c r="B12">
        <f>IFERROR(INDEX(CHOOSE({1,2,3,4}, DAY(XT!U12), DAY(XT!Y12), DAY(XT!AC12), DAY(XT!AG12)), MATCH(1, INDEX(--(MONTH(CHOOSE({1,2,3,4}, XT!U12,XT!Y12,XT!AC12,XT!AG12))=1), 0), 0)), "")</f>
        <v>0</v>
      </c>
      <c r="C12" s="12" t="str">
        <f>IF(XT!$P12&gt;0,B12,"")</f>
        <v/>
      </c>
      <c r="D12" s="12">
        <f>IF(XT!$P12=0,B12,"")</f>
        <v>0</v>
      </c>
      <c r="E12">
        <f>SUMPRODUCT((MONTH(CHOOSE({1,2,3,4},XT!U12,XT!Y12,XT!AC12,XT!AG12))=2)*(CHOOSE({1,2,3,4},XT!X12,XT!AB12,XT!AF12,XT!AJ12)))</f>
        <v>0</v>
      </c>
      <c r="F12" t="str">
        <f>IFERROR(INDEX(CHOOSE({1,2,3,4}, DAY(XT!U12), DAY(XT!Y12), DAY(XT!AC12), DAY(XT!AG12)), MATCH(1, INDEX(--(MONTH(CHOOSE({1,2,3,4}, XT!U12,XT!Y12,XT!AC12,XT!AG12))=2), 0), 0)), "")</f>
        <v/>
      </c>
      <c r="G12" s="12" t="str">
        <f>IF(XT!$P12&gt;0,F12,"")</f>
        <v/>
      </c>
      <c r="H12" s="12" t="str">
        <f>IF(XT!$P12=0,F12,"")</f>
        <v/>
      </c>
      <c r="I12">
        <f>SUMPRODUCT((MONTH(CHOOSE({1,2,3,4},XT!U12,XT!Y12,XT!AC12,XT!AG12))=3)*(CHOOSE({1,2,3,4},XT!X12,XT!AB12,XT!AF12,XT!AJ12)))</f>
        <v>0</v>
      </c>
      <c r="J12" t="str">
        <f>IFERROR(INDEX(CHOOSE({1,2,3,4}, DAY(XT!U12), DAY(XT!Y12), DAY(XT!AC12), DAY(XT!AG12)), MATCH(1, INDEX(--(MONTH(CHOOSE({1,2,3,4}, XT!U12,XT!Y12,XT!AC12,XT!AG12))=3), 0), 0)), "")</f>
        <v/>
      </c>
      <c r="K12" s="12" t="str">
        <f>IF(XT!$P12&gt;0,J12,"")</f>
        <v/>
      </c>
      <c r="L12" s="12" t="str">
        <f>IF(XT!$P12=0,J12,"")</f>
        <v/>
      </c>
      <c r="M12">
        <f>SUMPRODUCT((MONTH(CHOOSE({1,2,3,4},XT!U12,XT!Y12,XT!AC12,XT!AG12))=4)*(CHOOSE({1,2,3,4},XT!X12,XT!AB12,XT!AF12,XT!AJ12)))</f>
        <v>0</v>
      </c>
      <c r="N12" t="str">
        <f>IFERROR(INDEX(CHOOSE({1,2,3,4}, DAY(XT!U12), DAY(XT!Y12), DAY(XT!AC12), DAY(XT!AG12)), MATCH(1, INDEX(--(MONTH(CHOOSE({1,2,3,4}, XT!U12,XT!Y12,XT!AC12,XT!AG12))=4), 0), 0)), "")</f>
        <v/>
      </c>
      <c r="O12" s="12" t="str">
        <f>IF(XT!$P12&gt;0,N12,"")</f>
        <v/>
      </c>
      <c r="P12" s="12" t="str">
        <f>IF(XT!$P12=0,N12,"")</f>
        <v/>
      </c>
      <c r="Q12">
        <f>SUMPRODUCT((MONTH(CHOOSE({1,2,3,4},XT!U12,XT!Y12,XT!AC12,XT!AG12))=5)*(CHOOSE({1,2,3,4},XT!X12,XT!AB12,XT!AF12,XT!AJ12)))</f>
        <v>0</v>
      </c>
      <c r="R12" t="str">
        <f>IFERROR(INDEX(CHOOSE({1,2,3,4}, DAY(XT!U12), DAY(XT!Y12), DAY(XT!AC12), DAY(XT!AG12)), MATCH(1, INDEX(--(MONTH(CHOOSE({1,2,3,4}, XT!U12,XT!Y12,XT!AC12,XT!AG12))=5), 0), 0)), "")</f>
        <v/>
      </c>
      <c r="S12" s="12" t="str">
        <f>IF(XT!$P12&gt;0,R12,"")</f>
        <v/>
      </c>
      <c r="T12" s="12" t="str">
        <f>IF(XT!$P12=0,R12,"")</f>
        <v/>
      </c>
      <c r="U12">
        <f>SUMPRODUCT((MONTH(CHOOSE({1,2,3,4},XT!U12,XT!Y12,XT!AC12,XT!AG12))=6)*(CHOOSE({1,2,3,4},XT!X12,XT!AB12,XT!AF12,XT!AJ12)))</f>
        <v>0</v>
      </c>
      <c r="V12" t="str">
        <f>IFERROR(INDEX(CHOOSE({1,2,3,4}, DAY(XT!U12), DAY(XT!Y12), DAY(XT!AC12), DAY(XT!AG12)), MATCH(1, INDEX(--(MONTH(CHOOSE({1,2,3,4}, XT!U12,XT!Y12,XT!AC12,XT!AG12))=6), 0), 0)), "")</f>
        <v/>
      </c>
      <c r="W12" s="12" t="str">
        <f>IF(XT!$P12&gt;0,V12,"")</f>
        <v/>
      </c>
      <c r="X12" s="12" t="str">
        <f>IF(XT!$P12=0,V12,"")</f>
        <v/>
      </c>
      <c r="Y12">
        <f>SUMPRODUCT((MONTH(CHOOSE({1,2,3,4},XT!U12,XT!Y12,XT!AC12,XT!AG12))=7)*(CHOOSE({1,2,3,4},XT!X12,XT!AB12,XT!AF12,XT!AJ12)))</f>
        <v>0</v>
      </c>
      <c r="Z12" t="str">
        <f>IFERROR(INDEX(CHOOSE({1,2,3,4}, DAY(XT!U12), DAY(XT!Y12), DAY(XT!AC12), DAY(XT!AG12)), MATCH(1, INDEX(--(MONTH(CHOOSE({1,2,3,4}, XT!U12,XT!Y12,XT!AC12,XT!AG12))=7), 0), 0)), "")</f>
        <v/>
      </c>
      <c r="AA12" s="12" t="str">
        <f>IF(XT!$P12&gt;0,Z12,"")</f>
        <v/>
      </c>
      <c r="AB12" s="12" t="str">
        <f>IF(XT!$P12=0,Z12,"")</f>
        <v/>
      </c>
      <c r="AC12">
        <f>SUMPRODUCT((MONTH(CHOOSE({1,2,3,4},XT!U12,XT!Y12,XT!AC12,XT!AG12))=8)*(CHOOSE({1,2,3,4},XT!X12,XT!AB12,XT!AF12,XT!AJ12)))</f>
        <v>0</v>
      </c>
      <c r="AD12" t="str">
        <f>IFERROR(INDEX(CHOOSE({1,2,3,4}, DAY(XT!U12), DAY(XT!Y12), DAY(XT!AC12), DAY(XT!AG12)), MATCH(1, INDEX(--(MONTH(CHOOSE({1,2,3,4}, XT!U12,XT!Y12,XT!AC12,XT!AG12))=8), 0), 0)), "")</f>
        <v/>
      </c>
      <c r="AE12" s="12" t="str">
        <f>IF(XT!$P12&gt;0,AD12,"")</f>
        <v/>
      </c>
      <c r="AF12" s="12" t="str">
        <f>IF(XT!$P12=0,AD12,"")</f>
        <v/>
      </c>
      <c r="AG12">
        <f>SUMPRODUCT((MONTH(CHOOSE({1,2,3,4},XT!U12,XT!Y12,XT!AC12,XT!AG12))=9)*(CHOOSE({1,2,3,4},XT!X12,XT!AB12,XT!AF12,XT!AJ12)))</f>
        <v>0</v>
      </c>
      <c r="AH12" t="str">
        <f>IFERROR(INDEX(CHOOSE({1,2,3,4}, DAY(XT!U12), DAY(XT!Y12), DAY(XT!AC12), DAY(XT!AG12)), MATCH(1, INDEX(--(MONTH(CHOOSE({1,2,3,4}, XT!U12,XT!Y12,XT!AC12,XT!AG12))=9), 0), 0)), "")</f>
        <v/>
      </c>
      <c r="AI12" s="12" t="str">
        <f>IF(XT!$P12&gt;0,AH12,"")</f>
        <v/>
      </c>
      <c r="AJ12" s="12" t="str">
        <f>IF(XT!$P12=0,AH12,"")</f>
        <v/>
      </c>
      <c r="AK12">
        <f>SUMPRODUCT((MONTH(CHOOSE({1,2,3,4},XT!U12,XT!Y12,XT!AC12,XT!AG12))=10)*(CHOOSE({1,2,3,4},XT!X12,XT!AB12,XT!AF12,XT!AJ12)))</f>
        <v>0</v>
      </c>
      <c r="AL12" t="str">
        <f>IFERROR(INDEX(CHOOSE({1,2,3,4}, DAY(XT!U12), DAY(XT!Y12), DAY(XT!AC12), DAY(XT!AG12)), MATCH(1, INDEX(--(MONTH(CHOOSE({1,2,3,4}, XT!U12,XT!Y12,XT!AC12,XT!AG12))=10), 0), 0)), "")</f>
        <v/>
      </c>
      <c r="AM12" s="12" t="str">
        <f>IF(XT!$P12&gt;0,AL12,"")</f>
        <v/>
      </c>
      <c r="AN12" s="12" t="str">
        <f>IF(XT!$P12=0,AL12,"")</f>
        <v/>
      </c>
      <c r="AO12">
        <f>SUMPRODUCT((MONTH(CHOOSE({1,2,3,4},XT!U12,XT!Y12,XT!AC12,XT!AG12))=11)*(CHOOSE({1,2,3,4},XT!X12,XT!AB12,XT!AF12,XT!AJ12)))</f>
        <v>0</v>
      </c>
      <c r="AP12" t="str">
        <f>IFERROR(INDEX(CHOOSE({1,2,3,4}, DAY(XT!U12), DAY(XT!Y12), DAY(XT!AC12), DAY(XT!AG12)), MATCH(1, INDEX(--(MONTH(CHOOSE({1,2,3,4}, XT!U12,XT!Y12,XT!AC12,XT!AG12))=11), 0), 0)), "")</f>
        <v/>
      </c>
      <c r="AQ12" s="12" t="str">
        <f>IF(XT!$P12&gt;0,AP12,"")</f>
        <v/>
      </c>
      <c r="AR12" s="12" t="str">
        <f>IF(XT!$P12=0,AP12,"")</f>
        <v/>
      </c>
      <c r="AS12">
        <f>SUMPRODUCT((MONTH(CHOOSE({1,2,3,4},XT!U12,XT!Y12,XT!AC12,XT!AG12))=12)*(CHOOSE({1,2,3,4},XT!X12,XT!AB12,XT!AF12,XT!AJ12)))</f>
        <v>0</v>
      </c>
      <c r="AT12" t="str">
        <f>IFERROR(INDEX(CHOOSE({1,2,3,4}, DAY(XT!U12), DAY(XT!Y12), DAY(XT!AC12), DAY(XT!AG12)), MATCH(1, INDEX(--(MONTH(CHOOSE({1,2,3,4}, XT!U12,XT!Y12,XT!AC12,XT!AG12))=12), 0), 0)), "")</f>
        <v/>
      </c>
      <c r="AU12" s="12" t="str">
        <f>IF(XT!$P12&gt;0,AT12,"")</f>
        <v/>
      </c>
      <c r="AV12" s="12" t="str">
        <f>IF(XT!$P12=0,AT12,"")</f>
        <v/>
      </c>
    </row>
    <row r="13" spans="1:48">
      <c r="A13">
        <f>SUMPRODUCT((MONTH(CHOOSE({1,2,3,4},XT!U13,XT!Y13,XT!AC13,XT!AG13))=1)*(CHOOSE({1,2,3,4},XT!X13,XT!AB13,XT!AF13,XT!AJ13)))</f>
        <v>0</v>
      </c>
      <c r="B13">
        <f>IFERROR(INDEX(CHOOSE({1,2,3,4}, DAY(XT!U13), DAY(XT!Y13), DAY(XT!AC13), DAY(XT!AG13)), MATCH(1, INDEX(--(MONTH(CHOOSE({1,2,3,4}, XT!U13,XT!Y13,XT!AC13,XT!AG13))=1), 0), 0)), "")</f>
        <v>0</v>
      </c>
      <c r="C13" s="12" t="str">
        <f>IF(XT!$P13&gt;0,B13,"")</f>
        <v/>
      </c>
      <c r="D13" s="12">
        <f>IF(XT!$P13=0,B13,"")</f>
        <v>0</v>
      </c>
      <c r="E13">
        <f>SUMPRODUCT((MONTH(CHOOSE({1,2,3,4},XT!U13,XT!Y13,XT!AC13,XT!AG13))=2)*(CHOOSE({1,2,3,4},XT!X13,XT!AB13,XT!AF13,XT!AJ13)))</f>
        <v>0</v>
      </c>
      <c r="F13" t="str">
        <f>IFERROR(INDEX(CHOOSE({1,2,3,4}, DAY(XT!U13), DAY(XT!Y13), DAY(XT!AC13), DAY(XT!AG13)), MATCH(1, INDEX(--(MONTH(CHOOSE({1,2,3,4}, XT!U13,XT!Y13,XT!AC13,XT!AG13))=2), 0), 0)), "")</f>
        <v/>
      </c>
      <c r="G13" s="12" t="str">
        <f>IF(XT!$P13&gt;0,F13,"")</f>
        <v/>
      </c>
      <c r="H13" s="12" t="str">
        <f>IF(XT!$P13=0,F13,"")</f>
        <v/>
      </c>
      <c r="I13">
        <f>SUMPRODUCT((MONTH(CHOOSE({1,2,3,4},XT!U13,XT!Y13,XT!AC13,XT!AG13))=3)*(CHOOSE({1,2,3,4},XT!X13,XT!AB13,XT!AF13,XT!AJ13)))</f>
        <v>0</v>
      </c>
      <c r="J13" t="str">
        <f>IFERROR(INDEX(CHOOSE({1,2,3,4}, DAY(XT!U13), DAY(XT!Y13), DAY(XT!AC13), DAY(XT!AG13)), MATCH(1, INDEX(--(MONTH(CHOOSE({1,2,3,4}, XT!U13,XT!Y13,XT!AC13,XT!AG13))=3), 0), 0)), "")</f>
        <v/>
      </c>
      <c r="K13" s="12" t="str">
        <f>IF(XT!$P13&gt;0,J13,"")</f>
        <v/>
      </c>
      <c r="L13" s="12" t="str">
        <f>IF(XT!$P13=0,J13,"")</f>
        <v/>
      </c>
      <c r="M13">
        <f>SUMPRODUCT((MONTH(CHOOSE({1,2,3,4},XT!U13,XT!Y13,XT!AC13,XT!AG13))=4)*(CHOOSE({1,2,3,4},XT!X13,XT!AB13,XT!AF13,XT!AJ13)))</f>
        <v>0</v>
      </c>
      <c r="N13" t="str">
        <f>IFERROR(INDEX(CHOOSE({1,2,3,4}, DAY(XT!U13), DAY(XT!Y13), DAY(XT!AC13), DAY(XT!AG13)), MATCH(1, INDEX(--(MONTH(CHOOSE({1,2,3,4}, XT!U13,XT!Y13,XT!AC13,XT!AG13))=4), 0), 0)), "")</f>
        <v/>
      </c>
      <c r="O13" s="12" t="str">
        <f>IF(XT!$P13&gt;0,N13,"")</f>
        <v/>
      </c>
      <c r="P13" s="12" t="str">
        <f>IF(XT!$P13=0,N13,"")</f>
        <v/>
      </c>
      <c r="Q13">
        <f>SUMPRODUCT((MONTH(CHOOSE({1,2,3,4},XT!U13,XT!Y13,XT!AC13,XT!AG13))=5)*(CHOOSE({1,2,3,4},XT!X13,XT!AB13,XT!AF13,XT!AJ13)))</f>
        <v>0</v>
      </c>
      <c r="R13" t="str">
        <f>IFERROR(INDEX(CHOOSE({1,2,3,4}, DAY(XT!U13), DAY(XT!Y13), DAY(XT!AC13), DAY(XT!AG13)), MATCH(1, INDEX(--(MONTH(CHOOSE({1,2,3,4}, XT!U13,XT!Y13,XT!AC13,XT!AG13))=5), 0), 0)), "")</f>
        <v/>
      </c>
      <c r="S13" s="12" t="str">
        <f>IF(XT!$P13&gt;0,R13,"")</f>
        <v/>
      </c>
      <c r="T13" s="12" t="str">
        <f>IF(XT!$P13=0,R13,"")</f>
        <v/>
      </c>
      <c r="U13">
        <f>SUMPRODUCT((MONTH(CHOOSE({1,2,3,4},XT!U13,XT!Y13,XT!AC13,XT!AG13))=6)*(CHOOSE({1,2,3,4},XT!X13,XT!AB13,XT!AF13,XT!AJ13)))</f>
        <v>0</v>
      </c>
      <c r="V13" t="str">
        <f>IFERROR(INDEX(CHOOSE({1,2,3,4}, DAY(XT!U13), DAY(XT!Y13), DAY(XT!AC13), DAY(XT!AG13)), MATCH(1, INDEX(--(MONTH(CHOOSE({1,2,3,4}, XT!U13,XT!Y13,XT!AC13,XT!AG13))=6), 0), 0)), "")</f>
        <v/>
      </c>
      <c r="W13" s="12" t="str">
        <f>IF(XT!$P13&gt;0,V13,"")</f>
        <v/>
      </c>
      <c r="X13" s="12" t="str">
        <f>IF(XT!$P13=0,V13,"")</f>
        <v/>
      </c>
      <c r="Y13">
        <f>SUMPRODUCT((MONTH(CHOOSE({1,2,3,4},XT!U13,XT!Y13,XT!AC13,XT!AG13))=7)*(CHOOSE({1,2,3,4},XT!X13,XT!AB13,XT!AF13,XT!AJ13)))</f>
        <v>0</v>
      </c>
      <c r="Z13" t="str">
        <f>IFERROR(INDEX(CHOOSE({1,2,3,4}, DAY(XT!U13), DAY(XT!Y13), DAY(XT!AC13), DAY(XT!AG13)), MATCH(1, INDEX(--(MONTH(CHOOSE({1,2,3,4}, XT!U13,XT!Y13,XT!AC13,XT!AG13))=7), 0), 0)), "")</f>
        <v/>
      </c>
      <c r="AA13" s="12" t="str">
        <f>IF(XT!$P13&gt;0,Z13,"")</f>
        <v/>
      </c>
      <c r="AB13" s="12" t="str">
        <f>IF(XT!$P13=0,Z13,"")</f>
        <v/>
      </c>
      <c r="AC13">
        <f>SUMPRODUCT((MONTH(CHOOSE({1,2,3,4},XT!U13,XT!Y13,XT!AC13,XT!AG13))=8)*(CHOOSE({1,2,3,4},XT!X13,XT!AB13,XT!AF13,XT!AJ13)))</f>
        <v>0</v>
      </c>
      <c r="AD13" t="str">
        <f>IFERROR(INDEX(CHOOSE({1,2,3,4}, DAY(XT!U13), DAY(XT!Y13), DAY(XT!AC13), DAY(XT!AG13)), MATCH(1, INDEX(--(MONTH(CHOOSE({1,2,3,4}, XT!U13,XT!Y13,XT!AC13,XT!AG13))=8), 0), 0)), "")</f>
        <v/>
      </c>
      <c r="AE13" s="12" t="str">
        <f>IF(XT!$P13&gt;0,AD13,"")</f>
        <v/>
      </c>
      <c r="AF13" s="12" t="str">
        <f>IF(XT!$P13=0,AD13,"")</f>
        <v/>
      </c>
      <c r="AG13">
        <f>SUMPRODUCT((MONTH(CHOOSE({1,2,3,4},XT!U13,XT!Y13,XT!AC13,XT!AG13))=9)*(CHOOSE({1,2,3,4},XT!X13,XT!AB13,XT!AF13,XT!AJ13)))</f>
        <v>0</v>
      </c>
      <c r="AH13" t="str">
        <f>IFERROR(INDEX(CHOOSE({1,2,3,4}, DAY(XT!U13), DAY(XT!Y13), DAY(XT!AC13), DAY(XT!AG13)), MATCH(1, INDEX(--(MONTH(CHOOSE({1,2,3,4}, XT!U13,XT!Y13,XT!AC13,XT!AG13))=9), 0), 0)), "")</f>
        <v/>
      </c>
      <c r="AI13" s="12" t="str">
        <f>IF(XT!$P13&gt;0,AH13,"")</f>
        <v/>
      </c>
      <c r="AJ13" s="12" t="str">
        <f>IF(XT!$P13=0,AH13,"")</f>
        <v/>
      </c>
      <c r="AK13">
        <f>SUMPRODUCT((MONTH(CHOOSE({1,2,3,4},XT!U13,XT!Y13,XT!AC13,XT!AG13))=10)*(CHOOSE({1,2,3,4},XT!X13,XT!AB13,XT!AF13,XT!AJ13)))</f>
        <v>0</v>
      </c>
      <c r="AL13" t="str">
        <f>IFERROR(INDEX(CHOOSE({1,2,3,4}, DAY(XT!U13), DAY(XT!Y13), DAY(XT!AC13), DAY(XT!AG13)), MATCH(1, INDEX(--(MONTH(CHOOSE({1,2,3,4}, XT!U13,XT!Y13,XT!AC13,XT!AG13))=10), 0), 0)), "")</f>
        <v/>
      </c>
      <c r="AM13" s="12" t="str">
        <f>IF(XT!$P13&gt;0,AL13,"")</f>
        <v/>
      </c>
      <c r="AN13" s="12" t="str">
        <f>IF(XT!$P13=0,AL13,"")</f>
        <v/>
      </c>
      <c r="AO13">
        <f>SUMPRODUCT((MONTH(CHOOSE({1,2,3,4},XT!U13,XT!Y13,XT!AC13,XT!AG13))=11)*(CHOOSE({1,2,3,4},XT!X13,XT!AB13,XT!AF13,XT!AJ13)))</f>
        <v>0</v>
      </c>
      <c r="AP13" t="str">
        <f>IFERROR(INDEX(CHOOSE({1,2,3,4}, DAY(XT!U13), DAY(XT!Y13), DAY(XT!AC13), DAY(XT!AG13)), MATCH(1, INDEX(--(MONTH(CHOOSE({1,2,3,4}, XT!U13,XT!Y13,XT!AC13,XT!AG13))=11), 0), 0)), "")</f>
        <v/>
      </c>
      <c r="AQ13" s="12" t="str">
        <f>IF(XT!$P13&gt;0,AP13,"")</f>
        <v/>
      </c>
      <c r="AR13" s="12" t="str">
        <f>IF(XT!$P13=0,AP13,"")</f>
        <v/>
      </c>
      <c r="AS13">
        <f>SUMPRODUCT((MONTH(CHOOSE({1,2,3,4},XT!U13,XT!Y13,XT!AC13,XT!AG13))=12)*(CHOOSE({1,2,3,4},XT!X13,XT!AB13,XT!AF13,XT!AJ13)))</f>
        <v>0</v>
      </c>
      <c r="AT13" t="str">
        <f>IFERROR(INDEX(CHOOSE({1,2,3,4}, DAY(XT!U13), DAY(XT!Y13), DAY(XT!AC13), DAY(XT!AG13)), MATCH(1, INDEX(--(MONTH(CHOOSE({1,2,3,4}, XT!U13,XT!Y13,XT!AC13,XT!AG13))=12), 0), 0)), "")</f>
        <v/>
      </c>
      <c r="AU13" s="12" t="str">
        <f>IF(XT!$P13&gt;0,AT13,"")</f>
        <v/>
      </c>
      <c r="AV13" s="12" t="str">
        <f>IF(XT!$P13=0,AT13,"")</f>
        <v/>
      </c>
    </row>
    <row r="14" spans="1:48">
      <c r="A14">
        <f>SUMPRODUCT((MONTH(CHOOSE({1,2,3,4},XT!U14,XT!Y14,XT!AC14,XT!AG14))=1)*(CHOOSE({1,2,3,4},XT!X14,XT!AB14,XT!AF14,XT!AJ14)))</f>
        <v>0</v>
      </c>
      <c r="B14">
        <f>IFERROR(INDEX(CHOOSE({1,2,3,4}, DAY(XT!U14), DAY(XT!Y14), DAY(XT!AC14), DAY(XT!AG14)), MATCH(1, INDEX(--(MONTH(CHOOSE({1,2,3,4}, XT!U14,XT!Y14,XT!AC14,XT!AG14))=1), 0), 0)), "")</f>
        <v>0</v>
      </c>
      <c r="C14" s="12" t="str">
        <f>IF(XT!$P14&gt;0,B14,"")</f>
        <v/>
      </c>
      <c r="D14" s="12">
        <f>IF(XT!$P14=0,B14,"")</f>
        <v>0</v>
      </c>
      <c r="E14">
        <f>SUMPRODUCT((MONTH(CHOOSE({1,2,3,4},XT!U14,XT!Y14,XT!AC14,XT!AG14))=2)*(CHOOSE({1,2,3,4},XT!X14,XT!AB14,XT!AF14,XT!AJ14)))</f>
        <v>0</v>
      </c>
      <c r="F14" t="str">
        <f>IFERROR(INDEX(CHOOSE({1,2,3,4}, DAY(XT!U14), DAY(XT!Y14), DAY(XT!AC14), DAY(XT!AG14)), MATCH(1, INDEX(--(MONTH(CHOOSE({1,2,3,4}, XT!U14,XT!Y14,XT!AC14,XT!AG14))=2), 0), 0)), "")</f>
        <v/>
      </c>
      <c r="G14" s="12" t="str">
        <f>IF(XT!$P14&gt;0,F14,"")</f>
        <v/>
      </c>
      <c r="H14" s="12" t="str">
        <f>IF(XT!$P14=0,F14,"")</f>
        <v/>
      </c>
      <c r="I14">
        <f>SUMPRODUCT((MONTH(CHOOSE({1,2,3,4},XT!U14,XT!Y14,XT!AC14,XT!AG14))=3)*(CHOOSE({1,2,3,4},XT!X14,XT!AB14,XT!AF14,XT!AJ14)))</f>
        <v>0</v>
      </c>
      <c r="J14" t="str">
        <f>IFERROR(INDEX(CHOOSE({1,2,3,4}, DAY(XT!U14), DAY(XT!Y14), DAY(XT!AC14), DAY(XT!AG14)), MATCH(1, INDEX(--(MONTH(CHOOSE({1,2,3,4}, XT!U14,XT!Y14,XT!AC14,XT!AG14))=3), 0), 0)), "")</f>
        <v/>
      </c>
      <c r="K14" s="12" t="str">
        <f>IF(XT!$P14&gt;0,J14,"")</f>
        <v/>
      </c>
      <c r="L14" s="12" t="str">
        <f>IF(XT!$P14=0,J14,"")</f>
        <v/>
      </c>
      <c r="M14">
        <f>SUMPRODUCT((MONTH(CHOOSE({1,2,3,4},XT!U14,XT!Y14,XT!AC14,XT!AG14))=4)*(CHOOSE({1,2,3,4},XT!X14,XT!AB14,XT!AF14,XT!AJ14)))</f>
        <v>0</v>
      </c>
      <c r="N14" t="str">
        <f>IFERROR(INDEX(CHOOSE({1,2,3,4}, DAY(XT!U14), DAY(XT!Y14), DAY(XT!AC14), DAY(XT!AG14)), MATCH(1, INDEX(--(MONTH(CHOOSE({1,2,3,4}, XT!U14,XT!Y14,XT!AC14,XT!AG14))=4), 0), 0)), "")</f>
        <v/>
      </c>
      <c r="O14" s="12" t="str">
        <f>IF(XT!$P14&gt;0,N14,"")</f>
        <v/>
      </c>
      <c r="P14" s="12" t="str">
        <f>IF(XT!$P14=0,N14,"")</f>
        <v/>
      </c>
      <c r="Q14">
        <f>SUMPRODUCT((MONTH(CHOOSE({1,2,3,4},XT!U14,XT!Y14,XT!AC14,XT!AG14))=5)*(CHOOSE({1,2,3,4},XT!X14,XT!AB14,XT!AF14,XT!AJ14)))</f>
        <v>0</v>
      </c>
      <c r="R14" t="str">
        <f>IFERROR(INDEX(CHOOSE({1,2,3,4}, DAY(XT!U14), DAY(XT!Y14), DAY(XT!AC14), DAY(XT!AG14)), MATCH(1, INDEX(--(MONTH(CHOOSE({1,2,3,4}, XT!U14,XT!Y14,XT!AC14,XT!AG14))=5), 0), 0)), "")</f>
        <v/>
      </c>
      <c r="S14" s="12" t="str">
        <f>IF(XT!$P14&gt;0,R14,"")</f>
        <v/>
      </c>
      <c r="T14" s="12" t="str">
        <f>IF(XT!$P14=0,R14,"")</f>
        <v/>
      </c>
      <c r="U14">
        <f>SUMPRODUCT((MONTH(CHOOSE({1,2,3,4},XT!U14,XT!Y14,XT!AC14,XT!AG14))=6)*(CHOOSE({1,2,3,4},XT!X14,XT!AB14,XT!AF14,XT!AJ14)))</f>
        <v>0</v>
      </c>
      <c r="V14" t="str">
        <f>IFERROR(INDEX(CHOOSE({1,2,3,4}, DAY(XT!U14), DAY(XT!Y14), DAY(XT!AC14), DAY(XT!AG14)), MATCH(1, INDEX(--(MONTH(CHOOSE({1,2,3,4}, XT!U14,XT!Y14,XT!AC14,XT!AG14))=6), 0), 0)), "")</f>
        <v/>
      </c>
      <c r="W14" s="12" t="str">
        <f>IF(XT!$P14&gt;0,V14,"")</f>
        <v/>
      </c>
      <c r="X14" s="12" t="str">
        <f>IF(XT!$P14=0,V14,"")</f>
        <v/>
      </c>
      <c r="Y14">
        <f>SUMPRODUCT((MONTH(CHOOSE({1,2,3,4},XT!U14,XT!Y14,XT!AC14,XT!AG14))=7)*(CHOOSE({1,2,3,4},XT!X14,XT!AB14,XT!AF14,XT!AJ14)))</f>
        <v>0</v>
      </c>
      <c r="Z14" t="str">
        <f>IFERROR(INDEX(CHOOSE({1,2,3,4}, DAY(XT!U14), DAY(XT!Y14), DAY(XT!AC14), DAY(XT!AG14)), MATCH(1, INDEX(--(MONTH(CHOOSE({1,2,3,4}, XT!U14,XT!Y14,XT!AC14,XT!AG14))=7), 0), 0)), "")</f>
        <v/>
      </c>
      <c r="AA14" s="12" t="str">
        <f>IF(XT!$P14&gt;0,Z14,"")</f>
        <v/>
      </c>
      <c r="AB14" s="12" t="str">
        <f>IF(XT!$P14=0,Z14,"")</f>
        <v/>
      </c>
      <c r="AC14">
        <f>SUMPRODUCT((MONTH(CHOOSE({1,2,3,4},XT!U14,XT!Y14,XT!AC14,XT!AG14))=8)*(CHOOSE({1,2,3,4},XT!X14,XT!AB14,XT!AF14,XT!AJ14)))</f>
        <v>0</v>
      </c>
      <c r="AD14" t="str">
        <f>IFERROR(INDEX(CHOOSE({1,2,3,4}, DAY(XT!U14), DAY(XT!Y14), DAY(XT!AC14), DAY(XT!AG14)), MATCH(1, INDEX(--(MONTH(CHOOSE({1,2,3,4}, XT!U14,XT!Y14,XT!AC14,XT!AG14))=8), 0), 0)), "")</f>
        <v/>
      </c>
      <c r="AE14" s="12" t="str">
        <f>IF(XT!$P14&gt;0,AD14,"")</f>
        <v/>
      </c>
      <c r="AF14" s="12" t="str">
        <f>IF(XT!$P14=0,AD14,"")</f>
        <v/>
      </c>
      <c r="AG14">
        <f>SUMPRODUCT((MONTH(CHOOSE({1,2,3,4},XT!U14,XT!Y14,XT!AC14,XT!AG14))=9)*(CHOOSE({1,2,3,4},XT!X14,XT!AB14,XT!AF14,XT!AJ14)))</f>
        <v>0</v>
      </c>
      <c r="AH14" t="str">
        <f>IFERROR(INDEX(CHOOSE({1,2,3,4}, DAY(XT!U14), DAY(XT!Y14), DAY(XT!AC14), DAY(XT!AG14)), MATCH(1, INDEX(--(MONTH(CHOOSE({1,2,3,4}, XT!U14,XT!Y14,XT!AC14,XT!AG14))=9), 0), 0)), "")</f>
        <v/>
      </c>
      <c r="AI14" s="12" t="str">
        <f>IF(XT!$P14&gt;0,AH14,"")</f>
        <v/>
      </c>
      <c r="AJ14" s="12" t="str">
        <f>IF(XT!$P14=0,AH14,"")</f>
        <v/>
      </c>
      <c r="AK14">
        <f>SUMPRODUCT((MONTH(CHOOSE({1,2,3,4},XT!U14,XT!Y14,XT!AC14,XT!AG14))=10)*(CHOOSE({1,2,3,4},XT!X14,XT!AB14,XT!AF14,XT!AJ14)))</f>
        <v>0</v>
      </c>
      <c r="AL14" t="str">
        <f>IFERROR(INDEX(CHOOSE({1,2,3,4}, DAY(XT!U14), DAY(XT!Y14), DAY(XT!AC14), DAY(XT!AG14)), MATCH(1, INDEX(--(MONTH(CHOOSE({1,2,3,4}, XT!U14,XT!Y14,XT!AC14,XT!AG14))=10), 0), 0)), "")</f>
        <v/>
      </c>
      <c r="AM14" s="12" t="str">
        <f>IF(XT!$P14&gt;0,AL14,"")</f>
        <v/>
      </c>
      <c r="AN14" s="12" t="str">
        <f>IF(XT!$P14=0,AL14,"")</f>
        <v/>
      </c>
      <c r="AO14">
        <f>SUMPRODUCT((MONTH(CHOOSE({1,2,3,4},XT!U14,XT!Y14,XT!AC14,XT!AG14))=11)*(CHOOSE({1,2,3,4},XT!X14,XT!AB14,XT!AF14,XT!AJ14)))</f>
        <v>0</v>
      </c>
      <c r="AP14" t="str">
        <f>IFERROR(INDEX(CHOOSE({1,2,3,4}, DAY(XT!U14), DAY(XT!Y14), DAY(XT!AC14), DAY(XT!AG14)), MATCH(1, INDEX(--(MONTH(CHOOSE({1,2,3,4}, XT!U14,XT!Y14,XT!AC14,XT!AG14))=11), 0), 0)), "")</f>
        <v/>
      </c>
      <c r="AQ14" s="12" t="str">
        <f>IF(XT!$P14&gt;0,AP14,"")</f>
        <v/>
      </c>
      <c r="AR14" s="12" t="str">
        <f>IF(XT!$P14=0,AP14,"")</f>
        <v/>
      </c>
      <c r="AS14">
        <f>SUMPRODUCT((MONTH(CHOOSE({1,2,3,4},XT!U14,XT!Y14,XT!AC14,XT!AG14))=12)*(CHOOSE({1,2,3,4},XT!X14,XT!AB14,XT!AF14,XT!AJ14)))</f>
        <v>0</v>
      </c>
      <c r="AT14" t="str">
        <f>IFERROR(INDEX(CHOOSE({1,2,3,4}, DAY(XT!U14), DAY(XT!Y14), DAY(XT!AC14), DAY(XT!AG14)), MATCH(1, INDEX(--(MONTH(CHOOSE({1,2,3,4}, XT!U14,XT!Y14,XT!AC14,XT!AG14))=12), 0), 0)), "")</f>
        <v/>
      </c>
      <c r="AU14" s="12" t="str">
        <f>IF(XT!$P14&gt;0,AT14,"")</f>
        <v/>
      </c>
      <c r="AV14" s="12" t="str">
        <f>IF(XT!$P14=0,AT14,"")</f>
        <v/>
      </c>
    </row>
    <row r="15" spans="1:48">
      <c r="A15">
        <f>SUMPRODUCT((MONTH(CHOOSE({1,2,3,4},XT!U15,XT!Y15,XT!AC15,XT!AG15))=1)*(CHOOSE({1,2,3,4},XT!X15,XT!AB15,XT!AF15,XT!AJ15)))</f>
        <v>0</v>
      </c>
      <c r="B15">
        <f>IFERROR(INDEX(CHOOSE({1,2,3,4}, DAY(XT!U15), DAY(XT!Y15), DAY(XT!AC15), DAY(XT!AG15)), MATCH(1, INDEX(--(MONTH(CHOOSE({1,2,3,4}, XT!U15,XT!Y15,XT!AC15,XT!AG15))=1), 0), 0)), "")</f>
        <v>0</v>
      </c>
      <c r="C15" s="12" t="str">
        <f>IF(XT!$P15&gt;0,B15,"")</f>
        <v/>
      </c>
      <c r="D15" s="12">
        <f>IF(XT!$P15=0,B15,"")</f>
        <v>0</v>
      </c>
      <c r="E15">
        <f>SUMPRODUCT((MONTH(CHOOSE({1,2,3,4},XT!U15,XT!Y15,XT!AC15,XT!AG15))=2)*(CHOOSE({1,2,3,4},XT!X15,XT!AB15,XT!AF15,XT!AJ15)))</f>
        <v>0</v>
      </c>
      <c r="F15" t="str">
        <f>IFERROR(INDEX(CHOOSE({1,2,3,4}, DAY(XT!U15), DAY(XT!Y15), DAY(XT!AC15), DAY(XT!AG15)), MATCH(1, INDEX(--(MONTH(CHOOSE({1,2,3,4}, XT!U15,XT!Y15,XT!AC15,XT!AG15))=2), 0), 0)), "")</f>
        <v/>
      </c>
      <c r="G15" s="12" t="str">
        <f>IF(XT!$P15&gt;0,F15,"")</f>
        <v/>
      </c>
      <c r="H15" s="12" t="str">
        <f>IF(XT!$P15=0,F15,"")</f>
        <v/>
      </c>
      <c r="I15">
        <f>SUMPRODUCT((MONTH(CHOOSE({1,2,3,4},XT!U15,XT!Y15,XT!AC15,XT!AG15))=3)*(CHOOSE({1,2,3,4},XT!X15,XT!AB15,XT!AF15,XT!AJ15)))</f>
        <v>0</v>
      </c>
      <c r="J15" t="str">
        <f>IFERROR(INDEX(CHOOSE({1,2,3,4}, DAY(XT!U15), DAY(XT!Y15), DAY(XT!AC15), DAY(XT!AG15)), MATCH(1, INDEX(--(MONTH(CHOOSE({1,2,3,4}, XT!U15,XT!Y15,XT!AC15,XT!AG15))=3), 0), 0)), "")</f>
        <v/>
      </c>
      <c r="K15" s="12" t="str">
        <f>IF(XT!$P15&gt;0,J15,"")</f>
        <v/>
      </c>
      <c r="L15" s="12" t="str">
        <f>IF(XT!$P15=0,J15,"")</f>
        <v/>
      </c>
      <c r="M15">
        <f>SUMPRODUCT((MONTH(CHOOSE({1,2,3,4},XT!U15,XT!Y15,XT!AC15,XT!AG15))=4)*(CHOOSE({1,2,3,4},XT!X15,XT!AB15,XT!AF15,XT!AJ15)))</f>
        <v>0</v>
      </c>
      <c r="N15" t="str">
        <f>IFERROR(INDEX(CHOOSE({1,2,3,4}, DAY(XT!U15), DAY(XT!Y15), DAY(XT!AC15), DAY(XT!AG15)), MATCH(1, INDEX(--(MONTH(CHOOSE({1,2,3,4}, XT!U15,XT!Y15,XT!AC15,XT!AG15))=4), 0), 0)), "")</f>
        <v/>
      </c>
      <c r="O15" s="12" t="str">
        <f>IF(XT!$P15&gt;0,N15,"")</f>
        <v/>
      </c>
      <c r="P15" s="12" t="str">
        <f>IF(XT!$P15=0,N15,"")</f>
        <v/>
      </c>
      <c r="Q15">
        <f>SUMPRODUCT((MONTH(CHOOSE({1,2,3,4},XT!U15,XT!Y15,XT!AC15,XT!AG15))=5)*(CHOOSE({1,2,3,4},XT!X15,XT!AB15,XT!AF15,XT!AJ15)))</f>
        <v>0</v>
      </c>
      <c r="R15" t="str">
        <f>IFERROR(INDEX(CHOOSE({1,2,3,4}, DAY(XT!U15), DAY(XT!Y15), DAY(XT!AC15), DAY(XT!AG15)), MATCH(1, INDEX(--(MONTH(CHOOSE({1,2,3,4}, XT!U15,XT!Y15,XT!AC15,XT!AG15))=5), 0), 0)), "")</f>
        <v/>
      </c>
      <c r="S15" s="12" t="str">
        <f>IF(XT!$P15&gt;0,R15,"")</f>
        <v/>
      </c>
      <c r="T15" s="12" t="str">
        <f>IF(XT!$P15=0,R15,"")</f>
        <v/>
      </c>
      <c r="U15">
        <f>SUMPRODUCT((MONTH(CHOOSE({1,2,3,4},XT!U15,XT!Y15,XT!AC15,XT!AG15))=6)*(CHOOSE({1,2,3,4},XT!X15,XT!AB15,XT!AF15,XT!AJ15)))</f>
        <v>0</v>
      </c>
      <c r="V15" t="str">
        <f>IFERROR(INDEX(CHOOSE({1,2,3,4}, DAY(XT!U15), DAY(XT!Y15), DAY(XT!AC15), DAY(XT!AG15)), MATCH(1, INDEX(--(MONTH(CHOOSE({1,2,3,4}, XT!U15,XT!Y15,XT!AC15,XT!AG15))=6), 0), 0)), "")</f>
        <v/>
      </c>
      <c r="W15" s="12" t="str">
        <f>IF(XT!$P15&gt;0,V15,"")</f>
        <v/>
      </c>
      <c r="X15" s="12" t="str">
        <f>IF(XT!$P15=0,V15,"")</f>
        <v/>
      </c>
      <c r="Y15">
        <f>SUMPRODUCT((MONTH(CHOOSE({1,2,3,4},XT!U15,XT!Y15,XT!AC15,XT!AG15))=7)*(CHOOSE({1,2,3,4},XT!X15,XT!AB15,XT!AF15,XT!AJ15)))</f>
        <v>0</v>
      </c>
      <c r="Z15" t="str">
        <f>IFERROR(INDEX(CHOOSE({1,2,3,4}, DAY(XT!U15), DAY(XT!Y15), DAY(XT!AC15), DAY(XT!AG15)), MATCH(1, INDEX(--(MONTH(CHOOSE({1,2,3,4}, XT!U15,XT!Y15,XT!AC15,XT!AG15))=7), 0), 0)), "")</f>
        <v/>
      </c>
      <c r="AA15" s="12" t="str">
        <f>IF(XT!$P15&gt;0,Z15,"")</f>
        <v/>
      </c>
      <c r="AB15" s="12" t="str">
        <f>IF(XT!$P15=0,Z15,"")</f>
        <v/>
      </c>
      <c r="AC15">
        <f>SUMPRODUCT((MONTH(CHOOSE({1,2,3,4},XT!U15,XT!Y15,XT!AC15,XT!AG15))=8)*(CHOOSE({1,2,3,4},XT!X15,XT!AB15,XT!AF15,XT!AJ15)))</f>
        <v>0</v>
      </c>
      <c r="AD15" t="str">
        <f>IFERROR(INDEX(CHOOSE({1,2,3,4}, DAY(XT!U15), DAY(XT!Y15), DAY(XT!AC15), DAY(XT!AG15)), MATCH(1, INDEX(--(MONTH(CHOOSE({1,2,3,4}, XT!U15,XT!Y15,XT!AC15,XT!AG15))=8), 0), 0)), "")</f>
        <v/>
      </c>
      <c r="AE15" s="12" t="str">
        <f>IF(XT!$P15&gt;0,AD15,"")</f>
        <v/>
      </c>
      <c r="AF15" s="12" t="str">
        <f>IF(XT!$P15=0,AD15,"")</f>
        <v/>
      </c>
      <c r="AG15">
        <f>SUMPRODUCT((MONTH(CHOOSE({1,2,3,4},XT!U15,XT!Y15,XT!AC15,XT!AG15))=9)*(CHOOSE({1,2,3,4},XT!X15,XT!AB15,XT!AF15,XT!AJ15)))</f>
        <v>0</v>
      </c>
      <c r="AH15" t="str">
        <f>IFERROR(INDEX(CHOOSE({1,2,3,4}, DAY(XT!U15), DAY(XT!Y15), DAY(XT!AC15), DAY(XT!AG15)), MATCH(1, INDEX(--(MONTH(CHOOSE({1,2,3,4}, XT!U15,XT!Y15,XT!AC15,XT!AG15))=9), 0), 0)), "")</f>
        <v/>
      </c>
      <c r="AI15" s="12" t="str">
        <f>IF(XT!$P15&gt;0,AH15,"")</f>
        <v/>
      </c>
      <c r="AJ15" s="12" t="str">
        <f>IF(XT!$P15=0,AH15,"")</f>
        <v/>
      </c>
      <c r="AK15">
        <f>SUMPRODUCT((MONTH(CHOOSE({1,2,3,4},XT!U15,XT!Y15,XT!AC15,XT!AG15))=10)*(CHOOSE({1,2,3,4},XT!X15,XT!AB15,XT!AF15,XT!AJ15)))</f>
        <v>0</v>
      </c>
      <c r="AL15" t="str">
        <f>IFERROR(INDEX(CHOOSE({1,2,3,4}, DAY(XT!U15), DAY(XT!Y15), DAY(XT!AC15), DAY(XT!AG15)), MATCH(1, INDEX(--(MONTH(CHOOSE({1,2,3,4}, XT!U15,XT!Y15,XT!AC15,XT!AG15))=10), 0), 0)), "")</f>
        <v/>
      </c>
      <c r="AM15" s="12" t="str">
        <f>IF(XT!$P15&gt;0,AL15,"")</f>
        <v/>
      </c>
      <c r="AN15" s="12" t="str">
        <f>IF(XT!$P15=0,AL15,"")</f>
        <v/>
      </c>
      <c r="AO15">
        <f>SUMPRODUCT((MONTH(CHOOSE({1,2,3,4},XT!U15,XT!Y15,XT!AC15,XT!AG15))=11)*(CHOOSE({1,2,3,4},XT!X15,XT!AB15,XT!AF15,XT!AJ15)))</f>
        <v>0</v>
      </c>
      <c r="AP15" t="str">
        <f>IFERROR(INDEX(CHOOSE({1,2,3,4}, DAY(XT!U15), DAY(XT!Y15), DAY(XT!AC15), DAY(XT!AG15)), MATCH(1, INDEX(--(MONTH(CHOOSE({1,2,3,4}, XT!U15,XT!Y15,XT!AC15,XT!AG15))=11), 0), 0)), "")</f>
        <v/>
      </c>
      <c r="AQ15" s="12" t="str">
        <f>IF(XT!$P15&gt;0,AP15,"")</f>
        <v/>
      </c>
      <c r="AR15" s="12" t="str">
        <f>IF(XT!$P15=0,AP15,"")</f>
        <v/>
      </c>
      <c r="AS15">
        <f>SUMPRODUCT((MONTH(CHOOSE({1,2,3,4},XT!U15,XT!Y15,XT!AC15,XT!AG15))=12)*(CHOOSE({1,2,3,4},XT!X15,XT!AB15,XT!AF15,XT!AJ15)))</f>
        <v>0</v>
      </c>
      <c r="AT15" t="str">
        <f>IFERROR(INDEX(CHOOSE({1,2,3,4}, DAY(XT!U15), DAY(XT!Y15), DAY(XT!AC15), DAY(XT!AG15)), MATCH(1, INDEX(--(MONTH(CHOOSE({1,2,3,4}, XT!U15,XT!Y15,XT!AC15,XT!AG15))=12), 0), 0)), "")</f>
        <v/>
      </c>
      <c r="AU15" s="12" t="str">
        <f>IF(XT!$P15&gt;0,AT15,"")</f>
        <v/>
      </c>
      <c r="AV15" s="12" t="str">
        <f>IF(XT!$P15=0,AT15,"")</f>
        <v/>
      </c>
    </row>
    <row r="16" spans="1:48">
      <c r="A16">
        <f>SUMPRODUCT((MONTH(CHOOSE({1,2,3,4},XT!U16,XT!Y16,XT!AC16,XT!AG16))=1)*(CHOOSE({1,2,3,4},XT!X16,XT!AB16,XT!AF16,XT!AJ16)))</f>
        <v>0</v>
      </c>
      <c r="B16">
        <f>IFERROR(INDEX(CHOOSE({1,2,3,4}, DAY(XT!U16), DAY(XT!Y16), DAY(XT!AC16), DAY(XT!AG16)), MATCH(1, INDEX(--(MONTH(CHOOSE({1,2,3,4}, XT!U16,XT!Y16,XT!AC16,XT!AG16))=1), 0), 0)), "")</f>
        <v>0</v>
      </c>
      <c r="C16" s="12" t="str">
        <f>IF(XT!$P16&gt;0,B16,"")</f>
        <v/>
      </c>
      <c r="D16" s="12">
        <f>IF(XT!$P16=0,B16,"")</f>
        <v>0</v>
      </c>
      <c r="E16">
        <f>SUMPRODUCT((MONTH(CHOOSE({1,2,3,4},XT!U16,XT!Y16,XT!AC16,XT!AG16))=2)*(CHOOSE({1,2,3,4},XT!X16,XT!AB16,XT!AF16,XT!AJ16)))</f>
        <v>0</v>
      </c>
      <c r="F16" t="str">
        <f>IFERROR(INDEX(CHOOSE({1,2,3,4}, DAY(XT!U16), DAY(XT!Y16), DAY(XT!AC16), DAY(XT!AG16)), MATCH(1, INDEX(--(MONTH(CHOOSE({1,2,3,4}, XT!U16,XT!Y16,XT!AC16,XT!AG16))=2), 0), 0)), "")</f>
        <v/>
      </c>
      <c r="G16" s="12" t="str">
        <f>IF(XT!$P16&gt;0,F16,"")</f>
        <v/>
      </c>
      <c r="H16" s="12" t="str">
        <f>IF(XT!$P16=0,F16,"")</f>
        <v/>
      </c>
      <c r="I16">
        <f>SUMPRODUCT((MONTH(CHOOSE({1,2,3,4},XT!U16,XT!Y16,XT!AC16,XT!AG16))=3)*(CHOOSE({1,2,3,4},XT!X16,XT!AB16,XT!AF16,XT!AJ16)))</f>
        <v>0</v>
      </c>
      <c r="J16" t="str">
        <f>IFERROR(INDEX(CHOOSE({1,2,3,4}, DAY(XT!U16), DAY(XT!Y16), DAY(XT!AC16), DAY(XT!AG16)), MATCH(1, INDEX(--(MONTH(CHOOSE({1,2,3,4}, XT!U16,XT!Y16,XT!AC16,XT!AG16))=3), 0), 0)), "")</f>
        <v/>
      </c>
      <c r="K16" s="12" t="str">
        <f>IF(XT!$P16&gt;0,J16,"")</f>
        <v/>
      </c>
      <c r="L16" s="12" t="str">
        <f>IF(XT!$P16=0,J16,"")</f>
        <v/>
      </c>
      <c r="M16">
        <f>SUMPRODUCT((MONTH(CHOOSE({1,2,3,4},XT!U16,XT!Y16,XT!AC16,XT!AG16))=4)*(CHOOSE({1,2,3,4},XT!X16,XT!AB16,XT!AF16,XT!AJ16)))</f>
        <v>0</v>
      </c>
      <c r="N16" t="str">
        <f>IFERROR(INDEX(CHOOSE({1,2,3,4}, DAY(XT!U16), DAY(XT!Y16), DAY(XT!AC16), DAY(XT!AG16)), MATCH(1, INDEX(--(MONTH(CHOOSE({1,2,3,4}, XT!U16,XT!Y16,XT!AC16,XT!AG16))=4), 0), 0)), "")</f>
        <v/>
      </c>
      <c r="O16" s="12" t="str">
        <f>IF(XT!$P16&gt;0,N16,"")</f>
        <v/>
      </c>
      <c r="P16" s="12" t="str">
        <f>IF(XT!$P16=0,N16,"")</f>
        <v/>
      </c>
      <c r="Q16">
        <f>SUMPRODUCT((MONTH(CHOOSE({1,2,3,4},XT!U16,XT!Y16,XT!AC16,XT!AG16))=5)*(CHOOSE({1,2,3,4},XT!X16,XT!AB16,XT!AF16,XT!AJ16)))</f>
        <v>0</v>
      </c>
      <c r="R16" t="str">
        <f>IFERROR(INDEX(CHOOSE({1,2,3,4}, DAY(XT!U16), DAY(XT!Y16), DAY(XT!AC16), DAY(XT!AG16)), MATCH(1, INDEX(--(MONTH(CHOOSE({1,2,3,4}, XT!U16,XT!Y16,XT!AC16,XT!AG16))=5), 0), 0)), "")</f>
        <v/>
      </c>
      <c r="S16" s="12" t="str">
        <f>IF(XT!$P16&gt;0,R16,"")</f>
        <v/>
      </c>
      <c r="T16" s="12" t="str">
        <f>IF(XT!$P16=0,R16,"")</f>
        <v/>
      </c>
      <c r="U16">
        <f>SUMPRODUCT((MONTH(CHOOSE({1,2,3,4},XT!U16,XT!Y16,XT!AC16,XT!AG16))=6)*(CHOOSE({1,2,3,4},XT!X16,XT!AB16,XT!AF16,XT!AJ16)))</f>
        <v>0</v>
      </c>
      <c r="V16" t="str">
        <f>IFERROR(INDEX(CHOOSE({1,2,3,4}, DAY(XT!U16), DAY(XT!Y16), DAY(XT!AC16), DAY(XT!AG16)), MATCH(1, INDEX(--(MONTH(CHOOSE({1,2,3,4}, XT!U16,XT!Y16,XT!AC16,XT!AG16))=6), 0), 0)), "")</f>
        <v/>
      </c>
      <c r="W16" s="12" t="str">
        <f>IF(XT!$P16&gt;0,V16,"")</f>
        <v/>
      </c>
      <c r="X16" s="12" t="str">
        <f>IF(XT!$P16=0,V16,"")</f>
        <v/>
      </c>
      <c r="Y16">
        <f>SUMPRODUCT((MONTH(CHOOSE({1,2,3,4},XT!U16,XT!Y16,XT!AC16,XT!AG16))=7)*(CHOOSE({1,2,3,4},XT!X16,XT!AB16,XT!AF16,XT!AJ16)))</f>
        <v>0</v>
      </c>
      <c r="Z16" t="str">
        <f>IFERROR(INDEX(CHOOSE({1,2,3,4}, DAY(XT!U16), DAY(XT!Y16), DAY(XT!AC16), DAY(XT!AG16)), MATCH(1, INDEX(--(MONTH(CHOOSE({1,2,3,4}, XT!U16,XT!Y16,XT!AC16,XT!AG16))=7), 0), 0)), "")</f>
        <v/>
      </c>
      <c r="AA16" s="12" t="str">
        <f>IF(XT!$P16&gt;0,Z16,"")</f>
        <v/>
      </c>
      <c r="AB16" s="12" t="str">
        <f>IF(XT!$P16=0,Z16,"")</f>
        <v/>
      </c>
      <c r="AC16">
        <f>SUMPRODUCT((MONTH(CHOOSE({1,2,3,4},XT!U16,XT!Y16,XT!AC16,XT!AG16))=8)*(CHOOSE({1,2,3,4},XT!X16,XT!AB16,XT!AF16,XT!AJ16)))</f>
        <v>0</v>
      </c>
      <c r="AD16" t="str">
        <f>IFERROR(INDEX(CHOOSE({1,2,3,4}, DAY(XT!U16), DAY(XT!Y16), DAY(XT!AC16), DAY(XT!AG16)), MATCH(1, INDEX(--(MONTH(CHOOSE({1,2,3,4}, XT!U16,XT!Y16,XT!AC16,XT!AG16))=8), 0), 0)), "")</f>
        <v/>
      </c>
      <c r="AE16" s="12" t="str">
        <f>IF(XT!$P16&gt;0,AD16,"")</f>
        <v/>
      </c>
      <c r="AF16" s="12" t="str">
        <f>IF(XT!$P16=0,AD16,"")</f>
        <v/>
      </c>
      <c r="AG16">
        <f>SUMPRODUCT((MONTH(CHOOSE({1,2,3,4},XT!U16,XT!Y16,XT!AC16,XT!AG16))=9)*(CHOOSE({1,2,3,4},XT!X16,XT!AB16,XT!AF16,XT!AJ16)))</f>
        <v>0</v>
      </c>
      <c r="AH16" t="str">
        <f>IFERROR(INDEX(CHOOSE({1,2,3,4}, DAY(XT!U16), DAY(XT!Y16), DAY(XT!AC16), DAY(XT!AG16)), MATCH(1, INDEX(--(MONTH(CHOOSE({1,2,3,4}, XT!U16,XT!Y16,XT!AC16,XT!AG16))=9), 0), 0)), "")</f>
        <v/>
      </c>
      <c r="AI16" s="12" t="str">
        <f>IF(XT!$P16&gt;0,AH16,"")</f>
        <v/>
      </c>
      <c r="AJ16" s="12" t="str">
        <f>IF(XT!$P16=0,AH16,"")</f>
        <v/>
      </c>
      <c r="AK16">
        <f>SUMPRODUCT((MONTH(CHOOSE({1,2,3,4},XT!U16,XT!Y16,XT!AC16,XT!AG16))=10)*(CHOOSE({1,2,3,4},XT!X16,XT!AB16,XT!AF16,XT!AJ16)))</f>
        <v>0</v>
      </c>
      <c r="AL16" t="str">
        <f>IFERROR(INDEX(CHOOSE({1,2,3,4}, DAY(XT!U16), DAY(XT!Y16), DAY(XT!AC16), DAY(XT!AG16)), MATCH(1, INDEX(--(MONTH(CHOOSE({1,2,3,4}, XT!U16,XT!Y16,XT!AC16,XT!AG16))=10), 0), 0)), "")</f>
        <v/>
      </c>
      <c r="AM16" s="12" t="str">
        <f>IF(XT!$P16&gt;0,AL16,"")</f>
        <v/>
      </c>
      <c r="AN16" s="12" t="str">
        <f>IF(XT!$P16=0,AL16,"")</f>
        <v/>
      </c>
      <c r="AO16">
        <f>SUMPRODUCT((MONTH(CHOOSE({1,2,3,4},XT!U16,XT!Y16,XT!AC16,XT!AG16))=11)*(CHOOSE({1,2,3,4},XT!X16,XT!AB16,XT!AF16,XT!AJ16)))</f>
        <v>0</v>
      </c>
      <c r="AP16" t="str">
        <f>IFERROR(INDEX(CHOOSE({1,2,3,4}, DAY(XT!U16), DAY(XT!Y16), DAY(XT!AC16), DAY(XT!AG16)), MATCH(1, INDEX(--(MONTH(CHOOSE({1,2,3,4}, XT!U16,XT!Y16,XT!AC16,XT!AG16))=11), 0), 0)), "")</f>
        <v/>
      </c>
      <c r="AQ16" s="12" t="str">
        <f>IF(XT!$P16&gt;0,AP16,"")</f>
        <v/>
      </c>
      <c r="AR16" s="12" t="str">
        <f>IF(XT!$P16=0,AP16,"")</f>
        <v/>
      </c>
      <c r="AS16">
        <f>SUMPRODUCT((MONTH(CHOOSE({1,2,3,4},XT!U16,XT!Y16,XT!AC16,XT!AG16))=12)*(CHOOSE({1,2,3,4},XT!X16,XT!AB16,XT!AF16,XT!AJ16)))</f>
        <v>0</v>
      </c>
      <c r="AT16" t="str">
        <f>IFERROR(INDEX(CHOOSE({1,2,3,4}, DAY(XT!U16), DAY(XT!Y16), DAY(XT!AC16), DAY(XT!AG16)), MATCH(1, INDEX(--(MONTH(CHOOSE({1,2,3,4}, XT!U16,XT!Y16,XT!AC16,XT!AG16))=12), 0), 0)), "")</f>
        <v/>
      </c>
      <c r="AU16" s="12" t="str">
        <f>IF(XT!$P16&gt;0,AT16,"")</f>
        <v/>
      </c>
      <c r="AV16" s="12" t="str">
        <f>IF(XT!$P16=0,AT16,"")</f>
        <v/>
      </c>
    </row>
    <row r="17" spans="1:48">
      <c r="A17">
        <f>SUMPRODUCT((MONTH(CHOOSE({1,2,3,4},XT!U17,XT!Y17,XT!AC17,XT!AG17))=1)*(CHOOSE({1,2,3,4},XT!X17,XT!AB17,XT!AF17,XT!AJ17)))</f>
        <v>0</v>
      </c>
      <c r="B17">
        <f>IFERROR(INDEX(CHOOSE({1,2,3,4}, DAY(XT!U17), DAY(XT!Y17), DAY(XT!AC17), DAY(XT!AG17)), MATCH(1, INDEX(--(MONTH(CHOOSE({1,2,3,4}, XT!U17,XT!Y17,XT!AC17,XT!AG17))=1), 0), 0)), "")</f>
        <v>0</v>
      </c>
      <c r="C17" s="12" t="str">
        <f>IF(XT!$P17&gt;0,B17,"")</f>
        <v/>
      </c>
      <c r="D17" s="12">
        <f>IF(XT!$P17=0,B17,"")</f>
        <v>0</v>
      </c>
      <c r="E17">
        <f>SUMPRODUCT((MONTH(CHOOSE({1,2,3,4},XT!U17,XT!Y17,XT!AC17,XT!AG17))=2)*(CHOOSE({1,2,3,4},XT!X17,XT!AB17,XT!AF17,XT!AJ17)))</f>
        <v>0</v>
      </c>
      <c r="F17" t="str">
        <f>IFERROR(INDEX(CHOOSE({1,2,3,4}, DAY(XT!U17), DAY(XT!Y17), DAY(XT!AC17), DAY(XT!AG17)), MATCH(1, INDEX(--(MONTH(CHOOSE({1,2,3,4}, XT!U17,XT!Y17,XT!AC17,XT!AG17))=2), 0), 0)), "")</f>
        <v/>
      </c>
      <c r="G17" s="12" t="str">
        <f>IF(XT!$P17&gt;0,F17,"")</f>
        <v/>
      </c>
      <c r="H17" s="12" t="str">
        <f>IF(XT!$P17=0,F17,"")</f>
        <v/>
      </c>
      <c r="I17">
        <f>SUMPRODUCT((MONTH(CHOOSE({1,2,3,4},XT!U17,XT!Y17,XT!AC17,XT!AG17))=3)*(CHOOSE({1,2,3,4},XT!X17,XT!AB17,XT!AF17,XT!AJ17)))</f>
        <v>0</v>
      </c>
      <c r="J17" t="str">
        <f>IFERROR(INDEX(CHOOSE({1,2,3,4}, DAY(XT!U17), DAY(XT!Y17), DAY(XT!AC17), DAY(XT!AG17)), MATCH(1, INDEX(--(MONTH(CHOOSE({1,2,3,4}, XT!U17,XT!Y17,XT!AC17,XT!AG17))=3), 0), 0)), "")</f>
        <v/>
      </c>
      <c r="K17" s="12" t="str">
        <f>IF(XT!$P17&gt;0,J17,"")</f>
        <v/>
      </c>
      <c r="L17" s="12" t="str">
        <f>IF(XT!$P17=0,J17,"")</f>
        <v/>
      </c>
      <c r="M17">
        <f>SUMPRODUCT((MONTH(CHOOSE({1,2,3,4},XT!U17,XT!Y17,XT!AC17,XT!AG17))=4)*(CHOOSE({1,2,3,4},XT!X17,XT!AB17,XT!AF17,XT!AJ17)))</f>
        <v>0</v>
      </c>
      <c r="N17" t="str">
        <f>IFERROR(INDEX(CHOOSE({1,2,3,4}, DAY(XT!U17), DAY(XT!Y17), DAY(XT!AC17), DAY(XT!AG17)), MATCH(1, INDEX(--(MONTH(CHOOSE({1,2,3,4}, XT!U17,XT!Y17,XT!AC17,XT!AG17))=4), 0), 0)), "")</f>
        <v/>
      </c>
      <c r="O17" s="12" t="str">
        <f>IF(XT!$P17&gt;0,N17,"")</f>
        <v/>
      </c>
      <c r="P17" s="12" t="str">
        <f>IF(XT!$P17=0,N17,"")</f>
        <v/>
      </c>
      <c r="Q17">
        <f>SUMPRODUCT((MONTH(CHOOSE({1,2,3,4},XT!U17,XT!Y17,XT!AC17,XT!AG17))=5)*(CHOOSE({1,2,3,4},XT!X17,XT!AB17,XT!AF17,XT!AJ17)))</f>
        <v>0</v>
      </c>
      <c r="R17" t="str">
        <f>IFERROR(INDEX(CHOOSE({1,2,3,4}, DAY(XT!U17), DAY(XT!Y17), DAY(XT!AC17), DAY(XT!AG17)), MATCH(1, INDEX(--(MONTH(CHOOSE({1,2,3,4}, XT!U17,XT!Y17,XT!AC17,XT!AG17))=5), 0), 0)), "")</f>
        <v/>
      </c>
      <c r="S17" s="12" t="str">
        <f>IF(XT!$P17&gt;0,R17,"")</f>
        <v/>
      </c>
      <c r="T17" s="12" t="str">
        <f>IF(XT!$P17=0,R17,"")</f>
        <v/>
      </c>
      <c r="U17">
        <f>SUMPRODUCT((MONTH(CHOOSE({1,2,3,4},XT!U17,XT!Y17,XT!AC17,XT!AG17))=6)*(CHOOSE({1,2,3,4},XT!X17,XT!AB17,XT!AF17,XT!AJ17)))</f>
        <v>0</v>
      </c>
      <c r="V17" t="str">
        <f>IFERROR(INDEX(CHOOSE({1,2,3,4}, DAY(XT!U17), DAY(XT!Y17), DAY(XT!AC17), DAY(XT!AG17)), MATCH(1, INDEX(--(MONTH(CHOOSE({1,2,3,4}, XT!U17,XT!Y17,XT!AC17,XT!AG17))=6), 0), 0)), "")</f>
        <v/>
      </c>
      <c r="W17" s="12" t="str">
        <f>IF(XT!$P17&gt;0,V17,"")</f>
        <v/>
      </c>
      <c r="X17" s="12" t="str">
        <f>IF(XT!$P17=0,V17,"")</f>
        <v/>
      </c>
      <c r="Y17">
        <f>SUMPRODUCT((MONTH(CHOOSE({1,2,3,4},XT!U17,XT!Y17,XT!AC17,XT!AG17))=7)*(CHOOSE({1,2,3,4},XT!X17,XT!AB17,XT!AF17,XT!AJ17)))</f>
        <v>0</v>
      </c>
      <c r="Z17" t="str">
        <f>IFERROR(INDEX(CHOOSE({1,2,3,4}, DAY(XT!U17), DAY(XT!Y17), DAY(XT!AC17), DAY(XT!AG17)), MATCH(1, INDEX(--(MONTH(CHOOSE({1,2,3,4}, XT!U17,XT!Y17,XT!AC17,XT!AG17))=7), 0), 0)), "")</f>
        <v/>
      </c>
      <c r="AA17" s="12" t="str">
        <f>IF(XT!$P17&gt;0,Z17,"")</f>
        <v/>
      </c>
      <c r="AB17" s="12" t="str">
        <f>IF(XT!$P17=0,Z17,"")</f>
        <v/>
      </c>
      <c r="AC17">
        <f>SUMPRODUCT((MONTH(CHOOSE({1,2,3,4},XT!U17,XT!Y17,XT!AC17,XT!AG17))=8)*(CHOOSE({1,2,3,4},XT!X17,XT!AB17,XT!AF17,XT!AJ17)))</f>
        <v>0</v>
      </c>
      <c r="AD17" t="str">
        <f>IFERROR(INDEX(CHOOSE({1,2,3,4}, DAY(XT!U17), DAY(XT!Y17), DAY(XT!AC17), DAY(XT!AG17)), MATCH(1, INDEX(--(MONTH(CHOOSE({1,2,3,4}, XT!U17,XT!Y17,XT!AC17,XT!AG17))=8), 0), 0)), "")</f>
        <v/>
      </c>
      <c r="AE17" s="12" t="str">
        <f>IF(XT!$P17&gt;0,AD17,"")</f>
        <v/>
      </c>
      <c r="AF17" s="12" t="str">
        <f>IF(XT!$P17=0,AD17,"")</f>
        <v/>
      </c>
      <c r="AG17">
        <f>SUMPRODUCT((MONTH(CHOOSE({1,2,3,4},XT!U17,XT!Y17,XT!AC17,XT!AG17))=9)*(CHOOSE({1,2,3,4},XT!X17,XT!AB17,XT!AF17,XT!AJ17)))</f>
        <v>0</v>
      </c>
      <c r="AH17" t="str">
        <f>IFERROR(INDEX(CHOOSE({1,2,3,4}, DAY(XT!U17), DAY(XT!Y17), DAY(XT!AC17), DAY(XT!AG17)), MATCH(1, INDEX(--(MONTH(CHOOSE({1,2,3,4}, XT!U17,XT!Y17,XT!AC17,XT!AG17))=9), 0), 0)), "")</f>
        <v/>
      </c>
      <c r="AI17" s="12" t="str">
        <f>IF(XT!$P17&gt;0,AH17,"")</f>
        <v/>
      </c>
      <c r="AJ17" s="12" t="str">
        <f>IF(XT!$P17=0,AH17,"")</f>
        <v/>
      </c>
      <c r="AK17">
        <f>SUMPRODUCT((MONTH(CHOOSE({1,2,3,4},XT!U17,XT!Y17,XT!AC17,XT!AG17))=10)*(CHOOSE({1,2,3,4},XT!X17,XT!AB17,XT!AF17,XT!AJ17)))</f>
        <v>0</v>
      </c>
      <c r="AL17" t="str">
        <f>IFERROR(INDEX(CHOOSE({1,2,3,4}, DAY(XT!U17), DAY(XT!Y17), DAY(XT!AC17), DAY(XT!AG17)), MATCH(1, INDEX(--(MONTH(CHOOSE({1,2,3,4}, XT!U17,XT!Y17,XT!AC17,XT!AG17))=10), 0), 0)), "")</f>
        <v/>
      </c>
      <c r="AM17" s="12" t="str">
        <f>IF(XT!$P17&gt;0,AL17,"")</f>
        <v/>
      </c>
      <c r="AN17" s="12" t="str">
        <f>IF(XT!$P17=0,AL17,"")</f>
        <v/>
      </c>
      <c r="AO17">
        <f>SUMPRODUCT((MONTH(CHOOSE({1,2,3,4},XT!U17,XT!Y17,XT!AC17,XT!AG17))=11)*(CHOOSE({1,2,3,4},XT!X17,XT!AB17,XT!AF17,XT!AJ17)))</f>
        <v>0</v>
      </c>
      <c r="AP17" t="str">
        <f>IFERROR(INDEX(CHOOSE({1,2,3,4}, DAY(XT!U17), DAY(XT!Y17), DAY(XT!AC17), DAY(XT!AG17)), MATCH(1, INDEX(--(MONTH(CHOOSE({1,2,3,4}, XT!U17,XT!Y17,XT!AC17,XT!AG17))=11), 0), 0)), "")</f>
        <v/>
      </c>
      <c r="AQ17" s="12" t="str">
        <f>IF(XT!$P17&gt;0,AP17,"")</f>
        <v/>
      </c>
      <c r="AR17" s="12" t="str">
        <f>IF(XT!$P17=0,AP17,"")</f>
        <v/>
      </c>
      <c r="AS17">
        <f>SUMPRODUCT((MONTH(CHOOSE({1,2,3,4},XT!U17,XT!Y17,XT!AC17,XT!AG17))=12)*(CHOOSE({1,2,3,4},XT!X17,XT!AB17,XT!AF17,XT!AJ17)))</f>
        <v>0</v>
      </c>
      <c r="AT17" t="str">
        <f>IFERROR(INDEX(CHOOSE({1,2,3,4}, DAY(XT!U17), DAY(XT!Y17), DAY(XT!AC17), DAY(XT!AG17)), MATCH(1, INDEX(--(MONTH(CHOOSE({1,2,3,4}, XT!U17,XT!Y17,XT!AC17,XT!AG17))=12), 0), 0)), "")</f>
        <v/>
      </c>
      <c r="AU17" s="12" t="str">
        <f>IF(XT!$P17&gt;0,AT17,"")</f>
        <v/>
      </c>
      <c r="AV17" s="12" t="str">
        <f>IF(XT!$P17=0,AT17,"")</f>
        <v/>
      </c>
    </row>
    <row r="18" spans="1:48">
      <c r="A18">
        <f>SUMPRODUCT((MONTH(CHOOSE({1,2,3,4},XT!U18,XT!Y18,XT!AC18,XT!AG18))=1)*(CHOOSE({1,2,3,4},XT!X18,XT!AB18,XT!AF18,XT!AJ18)))</f>
        <v>0</v>
      </c>
      <c r="B18">
        <f>IFERROR(INDEX(CHOOSE({1,2,3,4}, DAY(XT!U18), DAY(XT!Y18), DAY(XT!AC18), DAY(XT!AG18)), MATCH(1, INDEX(--(MONTH(CHOOSE({1,2,3,4}, XT!U18,XT!Y18,XT!AC18,XT!AG18))=1), 0), 0)), "")</f>
        <v>0</v>
      </c>
      <c r="C18" s="12" t="str">
        <f>IF(XT!$P18&gt;0,B18,"")</f>
        <v/>
      </c>
      <c r="D18" s="12">
        <f>IF(XT!$P18=0,B18,"")</f>
        <v>0</v>
      </c>
      <c r="E18">
        <f>SUMPRODUCT((MONTH(CHOOSE({1,2,3,4},XT!U18,XT!Y18,XT!AC18,XT!AG18))=2)*(CHOOSE({1,2,3,4},XT!X18,XT!AB18,XT!AF18,XT!AJ18)))</f>
        <v>0</v>
      </c>
      <c r="F18" t="str">
        <f>IFERROR(INDEX(CHOOSE({1,2,3,4}, DAY(XT!U18), DAY(XT!Y18), DAY(XT!AC18), DAY(XT!AG18)), MATCH(1, INDEX(--(MONTH(CHOOSE({1,2,3,4}, XT!U18,XT!Y18,XT!AC18,XT!AG18))=2), 0), 0)), "")</f>
        <v/>
      </c>
      <c r="G18" s="12" t="str">
        <f>IF(XT!$P18&gt;0,F18,"")</f>
        <v/>
      </c>
      <c r="H18" s="12" t="str">
        <f>IF(XT!$P18=0,F18,"")</f>
        <v/>
      </c>
      <c r="I18">
        <f>SUMPRODUCT((MONTH(CHOOSE({1,2,3,4},XT!U18,XT!Y18,XT!AC18,XT!AG18))=3)*(CHOOSE({1,2,3,4},XT!X18,XT!AB18,XT!AF18,XT!AJ18)))</f>
        <v>0</v>
      </c>
      <c r="J18" t="str">
        <f>IFERROR(INDEX(CHOOSE({1,2,3,4}, DAY(XT!U18), DAY(XT!Y18), DAY(XT!AC18), DAY(XT!AG18)), MATCH(1, INDEX(--(MONTH(CHOOSE({1,2,3,4}, XT!U18,XT!Y18,XT!AC18,XT!AG18))=3), 0), 0)), "")</f>
        <v/>
      </c>
      <c r="K18" s="12" t="str">
        <f>IF(XT!$P18&gt;0,J18,"")</f>
        <v/>
      </c>
      <c r="L18" s="12" t="str">
        <f>IF(XT!$P18=0,J18,"")</f>
        <v/>
      </c>
      <c r="M18">
        <f>SUMPRODUCT((MONTH(CHOOSE({1,2,3,4},XT!U18,XT!Y18,XT!AC18,XT!AG18))=4)*(CHOOSE({1,2,3,4},XT!X18,XT!AB18,XT!AF18,XT!AJ18)))</f>
        <v>0</v>
      </c>
      <c r="N18" t="str">
        <f>IFERROR(INDEX(CHOOSE({1,2,3,4}, DAY(XT!U18), DAY(XT!Y18), DAY(XT!AC18), DAY(XT!AG18)), MATCH(1, INDEX(--(MONTH(CHOOSE({1,2,3,4}, XT!U18,XT!Y18,XT!AC18,XT!AG18))=4), 0), 0)), "")</f>
        <v/>
      </c>
      <c r="O18" s="12" t="str">
        <f>IF(XT!$P18&gt;0,N18,"")</f>
        <v/>
      </c>
      <c r="P18" s="12" t="str">
        <f>IF(XT!$P18=0,N18,"")</f>
        <v/>
      </c>
      <c r="Q18">
        <f>SUMPRODUCT((MONTH(CHOOSE({1,2,3,4},XT!U18,XT!Y18,XT!AC18,XT!AG18))=5)*(CHOOSE({1,2,3,4},XT!X18,XT!AB18,XT!AF18,XT!AJ18)))</f>
        <v>0</v>
      </c>
      <c r="R18" t="str">
        <f>IFERROR(INDEX(CHOOSE({1,2,3,4}, DAY(XT!U18), DAY(XT!Y18), DAY(XT!AC18), DAY(XT!AG18)), MATCH(1, INDEX(--(MONTH(CHOOSE({1,2,3,4}, XT!U18,XT!Y18,XT!AC18,XT!AG18))=5), 0), 0)), "")</f>
        <v/>
      </c>
      <c r="S18" s="12" t="str">
        <f>IF(XT!$P18&gt;0,R18,"")</f>
        <v/>
      </c>
      <c r="T18" s="12" t="str">
        <f>IF(XT!$P18=0,R18,"")</f>
        <v/>
      </c>
      <c r="U18">
        <f>SUMPRODUCT((MONTH(CHOOSE({1,2,3,4},XT!U18,XT!Y18,XT!AC18,XT!AG18))=6)*(CHOOSE({1,2,3,4},XT!X18,XT!AB18,XT!AF18,XT!AJ18)))</f>
        <v>0</v>
      </c>
      <c r="V18" t="str">
        <f>IFERROR(INDEX(CHOOSE({1,2,3,4}, DAY(XT!U18), DAY(XT!Y18), DAY(XT!AC18), DAY(XT!AG18)), MATCH(1, INDEX(--(MONTH(CHOOSE({1,2,3,4}, XT!U18,XT!Y18,XT!AC18,XT!AG18))=6), 0), 0)), "")</f>
        <v/>
      </c>
      <c r="W18" s="12" t="str">
        <f>IF(XT!$P18&gt;0,V18,"")</f>
        <v/>
      </c>
      <c r="X18" s="12" t="str">
        <f>IF(XT!$P18=0,V18,"")</f>
        <v/>
      </c>
      <c r="Y18">
        <f>SUMPRODUCT((MONTH(CHOOSE({1,2,3,4},XT!U18,XT!Y18,XT!AC18,XT!AG18))=7)*(CHOOSE({1,2,3,4},XT!X18,XT!AB18,XT!AF18,XT!AJ18)))</f>
        <v>0</v>
      </c>
      <c r="Z18" t="str">
        <f>IFERROR(INDEX(CHOOSE({1,2,3,4}, DAY(XT!U18), DAY(XT!Y18), DAY(XT!AC18), DAY(XT!AG18)), MATCH(1, INDEX(--(MONTH(CHOOSE({1,2,3,4}, XT!U18,XT!Y18,XT!AC18,XT!AG18))=7), 0), 0)), "")</f>
        <v/>
      </c>
      <c r="AA18" s="12" t="str">
        <f>IF(XT!$P18&gt;0,Z18,"")</f>
        <v/>
      </c>
      <c r="AB18" s="12" t="str">
        <f>IF(XT!$P18=0,Z18,"")</f>
        <v/>
      </c>
      <c r="AC18">
        <f>SUMPRODUCT((MONTH(CHOOSE({1,2,3,4},XT!U18,XT!Y18,XT!AC18,XT!AG18))=8)*(CHOOSE({1,2,3,4},XT!X18,XT!AB18,XT!AF18,XT!AJ18)))</f>
        <v>0</v>
      </c>
      <c r="AD18" t="str">
        <f>IFERROR(INDEX(CHOOSE({1,2,3,4}, DAY(XT!U18), DAY(XT!Y18), DAY(XT!AC18), DAY(XT!AG18)), MATCH(1, INDEX(--(MONTH(CHOOSE({1,2,3,4}, XT!U18,XT!Y18,XT!AC18,XT!AG18))=8), 0), 0)), "")</f>
        <v/>
      </c>
      <c r="AE18" s="12" t="str">
        <f>IF(XT!$P18&gt;0,AD18,"")</f>
        <v/>
      </c>
      <c r="AF18" s="12" t="str">
        <f>IF(XT!$P18=0,AD18,"")</f>
        <v/>
      </c>
      <c r="AG18">
        <f>SUMPRODUCT((MONTH(CHOOSE({1,2,3,4},XT!U18,XT!Y18,XT!AC18,XT!AG18))=9)*(CHOOSE({1,2,3,4},XT!X18,XT!AB18,XT!AF18,XT!AJ18)))</f>
        <v>0</v>
      </c>
      <c r="AH18" t="str">
        <f>IFERROR(INDEX(CHOOSE({1,2,3,4}, DAY(XT!U18), DAY(XT!Y18), DAY(XT!AC18), DAY(XT!AG18)), MATCH(1, INDEX(--(MONTH(CHOOSE({1,2,3,4}, XT!U18,XT!Y18,XT!AC18,XT!AG18))=9), 0), 0)), "")</f>
        <v/>
      </c>
      <c r="AI18" s="12" t="str">
        <f>IF(XT!$P18&gt;0,AH18,"")</f>
        <v/>
      </c>
      <c r="AJ18" s="12" t="str">
        <f>IF(XT!$P18=0,AH18,"")</f>
        <v/>
      </c>
      <c r="AK18">
        <f>SUMPRODUCT((MONTH(CHOOSE({1,2,3,4},XT!U18,XT!Y18,XT!AC18,XT!AG18))=10)*(CHOOSE({1,2,3,4},XT!X18,XT!AB18,XT!AF18,XT!AJ18)))</f>
        <v>0</v>
      </c>
      <c r="AL18" t="str">
        <f>IFERROR(INDEX(CHOOSE({1,2,3,4}, DAY(XT!U18), DAY(XT!Y18), DAY(XT!AC18), DAY(XT!AG18)), MATCH(1, INDEX(--(MONTH(CHOOSE({1,2,3,4}, XT!U18,XT!Y18,XT!AC18,XT!AG18))=10), 0), 0)), "")</f>
        <v/>
      </c>
      <c r="AM18" s="12" t="str">
        <f>IF(XT!$P18&gt;0,AL18,"")</f>
        <v/>
      </c>
      <c r="AN18" s="12" t="str">
        <f>IF(XT!$P18=0,AL18,"")</f>
        <v/>
      </c>
      <c r="AO18">
        <f>SUMPRODUCT((MONTH(CHOOSE({1,2,3,4},XT!U18,XT!Y18,XT!AC18,XT!AG18))=11)*(CHOOSE({1,2,3,4},XT!X18,XT!AB18,XT!AF18,XT!AJ18)))</f>
        <v>0</v>
      </c>
      <c r="AP18" t="str">
        <f>IFERROR(INDEX(CHOOSE({1,2,3,4}, DAY(XT!U18), DAY(XT!Y18), DAY(XT!AC18), DAY(XT!AG18)), MATCH(1, INDEX(--(MONTH(CHOOSE({1,2,3,4}, XT!U18,XT!Y18,XT!AC18,XT!AG18))=11), 0), 0)), "")</f>
        <v/>
      </c>
      <c r="AQ18" s="12" t="str">
        <f>IF(XT!$P18&gt;0,AP18,"")</f>
        <v/>
      </c>
      <c r="AR18" s="12" t="str">
        <f>IF(XT!$P18=0,AP18,"")</f>
        <v/>
      </c>
      <c r="AS18">
        <f>SUMPRODUCT((MONTH(CHOOSE({1,2,3,4},XT!U18,XT!Y18,XT!AC18,XT!AG18))=12)*(CHOOSE({1,2,3,4},XT!X18,XT!AB18,XT!AF18,XT!AJ18)))</f>
        <v>0</v>
      </c>
      <c r="AT18" t="str">
        <f>IFERROR(INDEX(CHOOSE({1,2,3,4}, DAY(XT!U18), DAY(XT!Y18), DAY(XT!AC18), DAY(XT!AG18)), MATCH(1, INDEX(--(MONTH(CHOOSE({1,2,3,4}, XT!U18,XT!Y18,XT!AC18,XT!AG18))=12), 0), 0)), "")</f>
        <v/>
      </c>
      <c r="AU18" s="12" t="str">
        <f>IF(XT!$P18&gt;0,AT18,"")</f>
        <v/>
      </c>
      <c r="AV18" s="12" t="str">
        <f>IF(XT!$P18=0,AT18,"")</f>
        <v/>
      </c>
    </row>
    <row r="19" spans="1:48">
      <c r="A19">
        <f>SUMPRODUCT((MONTH(CHOOSE({1,2,3,4},XT!U19,XT!Y19,XT!AC19,XT!AG19))=1)*(CHOOSE({1,2,3,4},XT!X19,XT!AB19,XT!AF19,XT!AJ19)))</f>
        <v>0</v>
      </c>
      <c r="B19">
        <f>IFERROR(INDEX(CHOOSE({1,2,3,4}, DAY(XT!U19), DAY(XT!Y19), DAY(XT!AC19), DAY(XT!AG19)), MATCH(1, INDEX(--(MONTH(CHOOSE({1,2,3,4}, XT!U19,XT!Y19,XT!AC19,XT!AG19))=1), 0), 0)), "")</f>
        <v>0</v>
      </c>
      <c r="C19" s="12" t="str">
        <f>IF(XT!$P19&gt;0,B19,"")</f>
        <v/>
      </c>
      <c r="D19" s="12">
        <f>IF(XT!$P19=0,B19,"")</f>
        <v>0</v>
      </c>
      <c r="E19">
        <f>SUMPRODUCT((MONTH(CHOOSE({1,2,3,4},XT!U19,XT!Y19,XT!AC19,XT!AG19))=2)*(CHOOSE({1,2,3,4},XT!X19,XT!AB19,XT!AF19,XT!AJ19)))</f>
        <v>0</v>
      </c>
      <c r="F19" t="str">
        <f>IFERROR(INDEX(CHOOSE({1,2,3,4}, DAY(XT!U19), DAY(XT!Y19), DAY(XT!AC19), DAY(XT!AG19)), MATCH(1, INDEX(--(MONTH(CHOOSE({1,2,3,4}, XT!U19,XT!Y19,XT!AC19,XT!AG19))=2), 0), 0)), "")</f>
        <v/>
      </c>
      <c r="G19" s="12" t="str">
        <f>IF(XT!$P19&gt;0,F19,"")</f>
        <v/>
      </c>
      <c r="H19" s="12" t="str">
        <f>IF(XT!$P19=0,F19,"")</f>
        <v/>
      </c>
      <c r="I19">
        <f>SUMPRODUCT((MONTH(CHOOSE({1,2,3,4},XT!U19,XT!Y19,XT!AC19,XT!AG19))=3)*(CHOOSE({1,2,3,4},XT!X19,XT!AB19,XT!AF19,XT!AJ19)))</f>
        <v>0</v>
      </c>
      <c r="J19" t="str">
        <f>IFERROR(INDEX(CHOOSE({1,2,3,4}, DAY(XT!U19), DAY(XT!Y19), DAY(XT!AC19), DAY(XT!AG19)), MATCH(1, INDEX(--(MONTH(CHOOSE({1,2,3,4}, XT!U19,XT!Y19,XT!AC19,XT!AG19))=3), 0), 0)), "")</f>
        <v/>
      </c>
      <c r="K19" s="12" t="str">
        <f>IF(XT!$P19&gt;0,J19,"")</f>
        <v/>
      </c>
      <c r="L19" s="12" t="str">
        <f>IF(XT!$P19=0,J19,"")</f>
        <v/>
      </c>
      <c r="M19">
        <f>SUMPRODUCT((MONTH(CHOOSE({1,2,3,4},XT!U19,XT!Y19,XT!AC19,XT!AG19))=4)*(CHOOSE({1,2,3,4},XT!X19,XT!AB19,XT!AF19,XT!AJ19)))</f>
        <v>0</v>
      </c>
      <c r="N19" t="str">
        <f>IFERROR(INDEX(CHOOSE({1,2,3,4}, DAY(XT!U19), DAY(XT!Y19), DAY(XT!AC19), DAY(XT!AG19)), MATCH(1, INDEX(--(MONTH(CHOOSE({1,2,3,4}, XT!U19,XT!Y19,XT!AC19,XT!AG19))=4), 0), 0)), "")</f>
        <v/>
      </c>
      <c r="O19" s="12" t="str">
        <f>IF(XT!$P19&gt;0,N19,"")</f>
        <v/>
      </c>
      <c r="P19" s="12" t="str">
        <f>IF(XT!$P19=0,N19,"")</f>
        <v/>
      </c>
      <c r="Q19">
        <f>SUMPRODUCT((MONTH(CHOOSE({1,2,3,4},XT!U19,XT!Y19,XT!AC19,XT!AG19))=5)*(CHOOSE({1,2,3,4},XT!X19,XT!AB19,XT!AF19,XT!AJ19)))</f>
        <v>0</v>
      </c>
      <c r="R19" t="str">
        <f>IFERROR(INDEX(CHOOSE({1,2,3,4}, DAY(XT!U19), DAY(XT!Y19), DAY(XT!AC19), DAY(XT!AG19)), MATCH(1, INDEX(--(MONTH(CHOOSE({1,2,3,4}, XT!U19,XT!Y19,XT!AC19,XT!AG19))=5), 0), 0)), "")</f>
        <v/>
      </c>
      <c r="S19" s="12" t="str">
        <f>IF(XT!$P19&gt;0,R19,"")</f>
        <v/>
      </c>
      <c r="T19" s="12" t="str">
        <f>IF(XT!$P19=0,R19,"")</f>
        <v/>
      </c>
      <c r="U19">
        <f>SUMPRODUCT((MONTH(CHOOSE({1,2,3,4},XT!U19,XT!Y19,XT!AC19,XT!AG19))=6)*(CHOOSE({1,2,3,4},XT!X19,XT!AB19,XT!AF19,XT!AJ19)))</f>
        <v>0</v>
      </c>
      <c r="V19" t="str">
        <f>IFERROR(INDEX(CHOOSE({1,2,3,4}, DAY(XT!U19), DAY(XT!Y19), DAY(XT!AC19), DAY(XT!AG19)), MATCH(1, INDEX(--(MONTH(CHOOSE({1,2,3,4}, XT!U19,XT!Y19,XT!AC19,XT!AG19))=6), 0), 0)), "")</f>
        <v/>
      </c>
      <c r="W19" s="12" t="str">
        <f>IF(XT!$P19&gt;0,V19,"")</f>
        <v/>
      </c>
      <c r="X19" s="12" t="str">
        <f>IF(XT!$P19=0,V19,"")</f>
        <v/>
      </c>
      <c r="Y19">
        <f>SUMPRODUCT((MONTH(CHOOSE({1,2,3,4},XT!U19,XT!Y19,XT!AC19,XT!AG19))=7)*(CHOOSE({1,2,3,4},XT!X19,XT!AB19,XT!AF19,XT!AJ19)))</f>
        <v>0</v>
      </c>
      <c r="Z19" t="str">
        <f>IFERROR(INDEX(CHOOSE({1,2,3,4}, DAY(XT!U19), DAY(XT!Y19), DAY(XT!AC19), DAY(XT!AG19)), MATCH(1, INDEX(--(MONTH(CHOOSE({1,2,3,4}, XT!U19,XT!Y19,XT!AC19,XT!AG19))=7), 0), 0)), "")</f>
        <v/>
      </c>
      <c r="AA19" s="12" t="str">
        <f>IF(XT!$P19&gt;0,Z19,"")</f>
        <v/>
      </c>
      <c r="AB19" s="12" t="str">
        <f>IF(XT!$P19=0,Z19,"")</f>
        <v/>
      </c>
      <c r="AC19">
        <f>SUMPRODUCT((MONTH(CHOOSE({1,2,3,4},XT!U19,XT!Y19,XT!AC19,XT!AG19))=8)*(CHOOSE({1,2,3,4},XT!X19,XT!AB19,XT!AF19,XT!AJ19)))</f>
        <v>0</v>
      </c>
      <c r="AD19" t="str">
        <f>IFERROR(INDEX(CHOOSE({1,2,3,4}, DAY(XT!U19), DAY(XT!Y19), DAY(XT!AC19), DAY(XT!AG19)), MATCH(1, INDEX(--(MONTH(CHOOSE({1,2,3,4}, XT!U19,XT!Y19,XT!AC19,XT!AG19))=8), 0), 0)), "")</f>
        <v/>
      </c>
      <c r="AE19" s="12" t="str">
        <f>IF(XT!$P19&gt;0,AD19,"")</f>
        <v/>
      </c>
      <c r="AF19" s="12" t="str">
        <f>IF(XT!$P19=0,AD19,"")</f>
        <v/>
      </c>
      <c r="AG19">
        <f>SUMPRODUCT((MONTH(CHOOSE({1,2,3,4},XT!U19,XT!Y19,XT!AC19,XT!AG19))=9)*(CHOOSE({1,2,3,4},XT!X19,XT!AB19,XT!AF19,XT!AJ19)))</f>
        <v>0</v>
      </c>
      <c r="AH19" t="str">
        <f>IFERROR(INDEX(CHOOSE({1,2,3,4}, DAY(XT!U19), DAY(XT!Y19), DAY(XT!AC19), DAY(XT!AG19)), MATCH(1, INDEX(--(MONTH(CHOOSE({1,2,3,4}, XT!U19,XT!Y19,XT!AC19,XT!AG19))=9), 0), 0)), "")</f>
        <v/>
      </c>
      <c r="AI19" s="12" t="str">
        <f>IF(XT!$P19&gt;0,AH19,"")</f>
        <v/>
      </c>
      <c r="AJ19" s="12" t="str">
        <f>IF(XT!$P19=0,AH19,"")</f>
        <v/>
      </c>
      <c r="AK19">
        <f>SUMPRODUCT((MONTH(CHOOSE({1,2,3,4},XT!U19,XT!Y19,XT!AC19,XT!AG19))=10)*(CHOOSE({1,2,3,4},XT!X19,XT!AB19,XT!AF19,XT!AJ19)))</f>
        <v>0</v>
      </c>
      <c r="AL19" t="str">
        <f>IFERROR(INDEX(CHOOSE({1,2,3,4}, DAY(XT!U19), DAY(XT!Y19), DAY(XT!AC19), DAY(XT!AG19)), MATCH(1, INDEX(--(MONTH(CHOOSE({1,2,3,4}, XT!U19,XT!Y19,XT!AC19,XT!AG19))=10), 0), 0)), "")</f>
        <v/>
      </c>
      <c r="AM19" s="12" t="str">
        <f>IF(XT!$P19&gt;0,AL19,"")</f>
        <v/>
      </c>
      <c r="AN19" s="12" t="str">
        <f>IF(XT!$P19=0,AL19,"")</f>
        <v/>
      </c>
      <c r="AO19">
        <f>SUMPRODUCT((MONTH(CHOOSE({1,2,3,4},XT!U19,XT!Y19,XT!AC19,XT!AG19))=11)*(CHOOSE({1,2,3,4},XT!X19,XT!AB19,XT!AF19,XT!AJ19)))</f>
        <v>0</v>
      </c>
      <c r="AP19" t="str">
        <f>IFERROR(INDEX(CHOOSE({1,2,3,4}, DAY(XT!U19), DAY(XT!Y19), DAY(XT!AC19), DAY(XT!AG19)), MATCH(1, INDEX(--(MONTH(CHOOSE({1,2,3,4}, XT!U19,XT!Y19,XT!AC19,XT!AG19))=11), 0), 0)), "")</f>
        <v/>
      </c>
      <c r="AQ19" s="12" t="str">
        <f>IF(XT!$P19&gt;0,AP19,"")</f>
        <v/>
      </c>
      <c r="AR19" s="12" t="str">
        <f>IF(XT!$P19=0,AP19,"")</f>
        <v/>
      </c>
      <c r="AS19">
        <f>SUMPRODUCT((MONTH(CHOOSE({1,2,3,4},XT!U19,XT!Y19,XT!AC19,XT!AG19))=12)*(CHOOSE({1,2,3,4},XT!X19,XT!AB19,XT!AF19,XT!AJ19)))</f>
        <v>0</v>
      </c>
      <c r="AT19" t="str">
        <f>IFERROR(INDEX(CHOOSE({1,2,3,4}, DAY(XT!U19), DAY(XT!Y19), DAY(XT!AC19), DAY(XT!AG19)), MATCH(1, INDEX(--(MONTH(CHOOSE({1,2,3,4}, XT!U19,XT!Y19,XT!AC19,XT!AG19))=12), 0), 0)), "")</f>
        <v/>
      </c>
      <c r="AU19" s="12" t="str">
        <f>IF(XT!$P19&gt;0,AT19,"")</f>
        <v/>
      </c>
      <c r="AV19" s="12" t="str">
        <f>IF(XT!$P19=0,AT19,"")</f>
        <v/>
      </c>
    </row>
    <row r="20" spans="1:48">
      <c r="A20">
        <f>SUMPRODUCT((MONTH(CHOOSE({1,2,3,4},XT!U20,XT!Y20,XT!AC20,XT!AG20))=1)*(CHOOSE({1,2,3,4},XT!X20,XT!AB20,XT!AF20,XT!AJ20)))</f>
        <v>0</v>
      </c>
      <c r="B20">
        <f>IFERROR(INDEX(CHOOSE({1,2,3,4}, DAY(XT!U20), DAY(XT!Y20), DAY(XT!AC20), DAY(XT!AG20)), MATCH(1, INDEX(--(MONTH(CHOOSE({1,2,3,4}, XT!U20,XT!Y20,XT!AC20,XT!AG20))=1), 0), 0)), "")</f>
        <v>0</v>
      </c>
      <c r="C20" s="12" t="str">
        <f>IF(XT!$P20&gt;0,B20,"")</f>
        <v/>
      </c>
      <c r="D20" s="12">
        <f>IF(XT!$P20=0,B20,"")</f>
        <v>0</v>
      </c>
      <c r="E20">
        <f>SUMPRODUCT((MONTH(CHOOSE({1,2,3,4},XT!U20,XT!Y20,XT!AC20,XT!AG20))=2)*(CHOOSE({1,2,3,4},XT!X20,XT!AB20,XT!AF20,XT!AJ20)))</f>
        <v>0</v>
      </c>
      <c r="F20" t="str">
        <f>IFERROR(INDEX(CHOOSE({1,2,3,4}, DAY(XT!U20), DAY(XT!Y20), DAY(XT!AC20), DAY(XT!AG20)), MATCH(1, INDEX(--(MONTH(CHOOSE({1,2,3,4}, XT!U20,XT!Y20,XT!AC20,XT!AG20))=2), 0), 0)), "")</f>
        <v/>
      </c>
      <c r="G20" s="12" t="str">
        <f>IF(XT!$P20&gt;0,F20,"")</f>
        <v/>
      </c>
      <c r="H20" s="12" t="str">
        <f>IF(XT!$P20=0,F20,"")</f>
        <v/>
      </c>
      <c r="I20">
        <f>SUMPRODUCT((MONTH(CHOOSE({1,2,3,4},XT!U20,XT!Y20,XT!AC20,XT!AG20))=3)*(CHOOSE({1,2,3,4},XT!X20,XT!AB20,XT!AF20,XT!AJ20)))</f>
        <v>0</v>
      </c>
      <c r="J20" t="str">
        <f>IFERROR(INDEX(CHOOSE({1,2,3,4}, DAY(XT!U20), DAY(XT!Y20), DAY(XT!AC20), DAY(XT!AG20)), MATCH(1, INDEX(--(MONTH(CHOOSE({1,2,3,4}, XT!U20,XT!Y20,XT!AC20,XT!AG20))=3), 0), 0)), "")</f>
        <v/>
      </c>
      <c r="K20" s="12" t="str">
        <f>IF(XT!$P20&gt;0,J20,"")</f>
        <v/>
      </c>
      <c r="L20" s="12" t="str">
        <f>IF(XT!$P20=0,J20,"")</f>
        <v/>
      </c>
      <c r="M20">
        <f>SUMPRODUCT((MONTH(CHOOSE({1,2,3,4},XT!U20,XT!Y20,XT!AC20,XT!AG20))=4)*(CHOOSE({1,2,3,4},XT!X20,XT!AB20,XT!AF20,XT!AJ20)))</f>
        <v>0</v>
      </c>
      <c r="N20" t="str">
        <f>IFERROR(INDEX(CHOOSE({1,2,3,4}, DAY(XT!U20), DAY(XT!Y20), DAY(XT!AC20), DAY(XT!AG20)), MATCH(1, INDEX(--(MONTH(CHOOSE({1,2,3,4}, XT!U20,XT!Y20,XT!AC20,XT!AG20))=4), 0), 0)), "")</f>
        <v/>
      </c>
      <c r="O20" s="12" t="str">
        <f>IF(XT!$P20&gt;0,N20,"")</f>
        <v/>
      </c>
      <c r="P20" s="12" t="str">
        <f>IF(XT!$P20=0,N20,"")</f>
        <v/>
      </c>
      <c r="Q20">
        <f>SUMPRODUCT((MONTH(CHOOSE({1,2,3,4},XT!U20,XT!Y20,XT!AC20,XT!AG20))=5)*(CHOOSE({1,2,3,4},XT!X20,XT!AB20,XT!AF20,XT!AJ20)))</f>
        <v>0</v>
      </c>
      <c r="R20" t="str">
        <f>IFERROR(INDEX(CHOOSE({1,2,3,4}, DAY(XT!U20), DAY(XT!Y20), DAY(XT!AC20), DAY(XT!AG20)), MATCH(1, INDEX(--(MONTH(CHOOSE({1,2,3,4}, XT!U20,XT!Y20,XT!AC20,XT!AG20))=5), 0), 0)), "")</f>
        <v/>
      </c>
      <c r="S20" s="12" t="str">
        <f>IF(XT!$P20&gt;0,R20,"")</f>
        <v/>
      </c>
      <c r="T20" s="12" t="str">
        <f>IF(XT!$P20=0,R20,"")</f>
        <v/>
      </c>
      <c r="U20">
        <f>SUMPRODUCT((MONTH(CHOOSE({1,2,3,4},XT!U20,XT!Y20,XT!AC20,XT!AG20))=6)*(CHOOSE({1,2,3,4},XT!X20,XT!AB20,XT!AF20,XT!AJ20)))</f>
        <v>0</v>
      </c>
      <c r="V20" t="str">
        <f>IFERROR(INDEX(CHOOSE({1,2,3,4}, DAY(XT!U20), DAY(XT!Y20), DAY(XT!AC20), DAY(XT!AG20)), MATCH(1, INDEX(--(MONTH(CHOOSE({1,2,3,4}, XT!U20,XT!Y20,XT!AC20,XT!AG20))=6), 0), 0)), "")</f>
        <v/>
      </c>
      <c r="W20" s="12" t="str">
        <f>IF(XT!$P20&gt;0,V20,"")</f>
        <v/>
      </c>
      <c r="X20" s="12" t="str">
        <f>IF(XT!$P20=0,V20,"")</f>
        <v/>
      </c>
      <c r="Y20">
        <f>SUMPRODUCT((MONTH(CHOOSE({1,2,3,4},XT!U20,XT!Y20,XT!AC20,XT!AG20))=7)*(CHOOSE({1,2,3,4},XT!X20,XT!AB20,XT!AF20,XT!AJ20)))</f>
        <v>0</v>
      </c>
      <c r="Z20" t="str">
        <f>IFERROR(INDEX(CHOOSE({1,2,3,4}, DAY(XT!U20), DAY(XT!Y20), DAY(XT!AC20), DAY(XT!AG20)), MATCH(1, INDEX(--(MONTH(CHOOSE({1,2,3,4}, XT!U20,XT!Y20,XT!AC20,XT!AG20))=7), 0), 0)), "")</f>
        <v/>
      </c>
      <c r="AA20" s="12" t="str">
        <f>IF(XT!$P20&gt;0,Z20,"")</f>
        <v/>
      </c>
      <c r="AB20" s="12" t="str">
        <f>IF(XT!$P20=0,Z20,"")</f>
        <v/>
      </c>
      <c r="AC20">
        <f>SUMPRODUCT((MONTH(CHOOSE({1,2,3,4},XT!U20,XT!Y20,XT!AC20,XT!AG20))=8)*(CHOOSE({1,2,3,4},XT!X20,XT!AB20,XT!AF20,XT!AJ20)))</f>
        <v>0</v>
      </c>
      <c r="AD20" t="str">
        <f>IFERROR(INDEX(CHOOSE({1,2,3,4}, DAY(XT!U20), DAY(XT!Y20), DAY(XT!AC20), DAY(XT!AG20)), MATCH(1, INDEX(--(MONTH(CHOOSE({1,2,3,4}, XT!U20,XT!Y20,XT!AC20,XT!AG20))=8), 0), 0)), "")</f>
        <v/>
      </c>
      <c r="AE20" s="12" t="str">
        <f>IF(XT!$P20&gt;0,AD20,"")</f>
        <v/>
      </c>
      <c r="AF20" s="12" t="str">
        <f>IF(XT!$P20=0,AD20,"")</f>
        <v/>
      </c>
      <c r="AG20">
        <f>SUMPRODUCT((MONTH(CHOOSE({1,2,3,4},XT!U20,XT!Y20,XT!AC20,XT!AG20))=9)*(CHOOSE({1,2,3,4},XT!X20,XT!AB20,XT!AF20,XT!AJ20)))</f>
        <v>0</v>
      </c>
      <c r="AH20" t="str">
        <f>IFERROR(INDEX(CHOOSE({1,2,3,4}, DAY(XT!U20), DAY(XT!Y20), DAY(XT!AC20), DAY(XT!AG20)), MATCH(1, INDEX(--(MONTH(CHOOSE({1,2,3,4}, XT!U20,XT!Y20,XT!AC20,XT!AG20))=9), 0), 0)), "")</f>
        <v/>
      </c>
      <c r="AI20" s="12" t="str">
        <f>IF(XT!$P20&gt;0,AH20,"")</f>
        <v/>
      </c>
      <c r="AJ20" s="12" t="str">
        <f>IF(XT!$P20=0,AH20,"")</f>
        <v/>
      </c>
      <c r="AK20">
        <f>SUMPRODUCT((MONTH(CHOOSE({1,2,3,4},XT!U20,XT!Y20,XT!AC20,XT!AG20))=10)*(CHOOSE({1,2,3,4},XT!X20,XT!AB20,XT!AF20,XT!AJ20)))</f>
        <v>0</v>
      </c>
      <c r="AL20" t="str">
        <f>IFERROR(INDEX(CHOOSE({1,2,3,4}, DAY(XT!U20), DAY(XT!Y20), DAY(XT!AC20), DAY(XT!AG20)), MATCH(1, INDEX(--(MONTH(CHOOSE({1,2,3,4}, XT!U20,XT!Y20,XT!AC20,XT!AG20))=10), 0), 0)), "")</f>
        <v/>
      </c>
      <c r="AM20" s="12" t="str">
        <f>IF(XT!$P20&gt;0,AL20,"")</f>
        <v/>
      </c>
      <c r="AN20" s="12" t="str">
        <f>IF(XT!$P20=0,AL20,"")</f>
        <v/>
      </c>
      <c r="AO20">
        <f>SUMPRODUCT((MONTH(CHOOSE({1,2,3,4},XT!U20,XT!Y20,XT!AC20,XT!AG20))=11)*(CHOOSE({1,2,3,4},XT!X20,XT!AB20,XT!AF20,XT!AJ20)))</f>
        <v>0</v>
      </c>
      <c r="AP20" t="str">
        <f>IFERROR(INDEX(CHOOSE({1,2,3,4}, DAY(XT!U20), DAY(XT!Y20), DAY(XT!AC20), DAY(XT!AG20)), MATCH(1, INDEX(--(MONTH(CHOOSE({1,2,3,4}, XT!U20,XT!Y20,XT!AC20,XT!AG20))=11), 0), 0)), "")</f>
        <v/>
      </c>
      <c r="AQ20" s="12" t="str">
        <f>IF(XT!$P20&gt;0,AP20,"")</f>
        <v/>
      </c>
      <c r="AR20" s="12" t="str">
        <f>IF(XT!$P20=0,AP20,"")</f>
        <v/>
      </c>
      <c r="AS20">
        <f>SUMPRODUCT((MONTH(CHOOSE({1,2,3,4},XT!U20,XT!Y20,XT!AC20,XT!AG20))=12)*(CHOOSE({1,2,3,4},XT!X20,XT!AB20,XT!AF20,XT!AJ20)))</f>
        <v>0</v>
      </c>
      <c r="AT20" t="str">
        <f>IFERROR(INDEX(CHOOSE({1,2,3,4}, DAY(XT!U20), DAY(XT!Y20), DAY(XT!AC20), DAY(XT!AG20)), MATCH(1, INDEX(--(MONTH(CHOOSE({1,2,3,4}, XT!U20,XT!Y20,XT!AC20,XT!AG20))=12), 0), 0)), "")</f>
        <v/>
      </c>
      <c r="AU20" s="12" t="str">
        <f>IF(XT!$P20&gt;0,AT20,"")</f>
        <v/>
      </c>
      <c r="AV20" s="12" t="str">
        <f>IF(XT!$P20=0,AT20,"")</f>
        <v/>
      </c>
    </row>
    <row r="21" spans="1:48">
      <c r="A21">
        <f>SUMPRODUCT((MONTH(CHOOSE({1,2,3,4},XT!U21,XT!Y21,XT!AC21,XT!AG21))=1)*(CHOOSE({1,2,3,4},XT!X21,XT!AB21,XT!AF21,XT!AJ21)))</f>
        <v>0</v>
      </c>
      <c r="B21">
        <f>IFERROR(INDEX(CHOOSE({1,2,3,4}, DAY(XT!U21), DAY(XT!Y21), DAY(XT!AC21), DAY(XT!AG21)), MATCH(1, INDEX(--(MONTH(CHOOSE({1,2,3,4}, XT!U21,XT!Y21,XT!AC21,XT!AG21))=1), 0), 0)), "")</f>
        <v>0</v>
      </c>
      <c r="C21" s="12" t="str">
        <f>IF(XT!$P21&gt;0,B21,"")</f>
        <v/>
      </c>
      <c r="D21" s="12">
        <f>IF(XT!$P21=0,B21,"")</f>
        <v>0</v>
      </c>
      <c r="E21">
        <f>SUMPRODUCT((MONTH(CHOOSE({1,2,3,4},XT!U21,XT!Y21,XT!AC21,XT!AG21))=2)*(CHOOSE({1,2,3,4},XT!X21,XT!AB21,XT!AF21,XT!AJ21)))</f>
        <v>0</v>
      </c>
      <c r="F21" t="str">
        <f>IFERROR(INDEX(CHOOSE({1,2,3,4}, DAY(XT!U21), DAY(XT!Y21), DAY(XT!AC21), DAY(XT!AG21)), MATCH(1, INDEX(--(MONTH(CHOOSE({1,2,3,4}, XT!U21,XT!Y21,XT!AC21,XT!AG21))=2), 0), 0)), "")</f>
        <v/>
      </c>
      <c r="G21" s="12" t="str">
        <f>IF(XT!$P21&gt;0,F21,"")</f>
        <v/>
      </c>
      <c r="H21" s="12" t="str">
        <f>IF(XT!$P21=0,F21,"")</f>
        <v/>
      </c>
      <c r="I21">
        <f>SUMPRODUCT((MONTH(CHOOSE({1,2,3,4},XT!U21,XT!Y21,XT!AC21,XT!AG21))=3)*(CHOOSE({1,2,3,4},XT!X21,XT!AB21,XT!AF21,XT!AJ21)))</f>
        <v>0</v>
      </c>
      <c r="J21" t="str">
        <f>IFERROR(INDEX(CHOOSE({1,2,3,4}, DAY(XT!U21), DAY(XT!Y21), DAY(XT!AC21), DAY(XT!AG21)), MATCH(1, INDEX(--(MONTH(CHOOSE({1,2,3,4}, XT!U21,XT!Y21,XT!AC21,XT!AG21))=3), 0), 0)), "")</f>
        <v/>
      </c>
      <c r="K21" s="12" t="str">
        <f>IF(XT!$P21&gt;0,J21,"")</f>
        <v/>
      </c>
      <c r="L21" s="12" t="str">
        <f>IF(XT!$P21=0,J21,"")</f>
        <v/>
      </c>
      <c r="M21">
        <f>SUMPRODUCT((MONTH(CHOOSE({1,2,3,4},XT!U21,XT!Y21,XT!AC21,XT!AG21))=4)*(CHOOSE({1,2,3,4},XT!X21,XT!AB21,XT!AF21,XT!AJ21)))</f>
        <v>0</v>
      </c>
      <c r="N21" t="str">
        <f>IFERROR(INDEX(CHOOSE({1,2,3,4}, DAY(XT!U21), DAY(XT!Y21), DAY(XT!AC21), DAY(XT!AG21)), MATCH(1, INDEX(--(MONTH(CHOOSE({1,2,3,4}, XT!U21,XT!Y21,XT!AC21,XT!AG21))=4), 0), 0)), "")</f>
        <v/>
      </c>
      <c r="O21" s="12" t="str">
        <f>IF(XT!$P21&gt;0,N21,"")</f>
        <v/>
      </c>
      <c r="P21" s="12" t="str">
        <f>IF(XT!$P21=0,N21,"")</f>
        <v/>
      </c>
      <c r="Q21">
        <f>SUMPRODUCT((MONTH(CHOOSE({1,2,3,4},XT!U21,XT!Y21,XT!AC21,XT!AG21))=5)*(CHOOSE({1,2,3,4},XT!X21,XT!AB21,XT!AF21,XT!AJ21)))</f>
        <v>0</v>
      </c>
      <c r="R21" t="str">
        <f>IFERROR(INDEX(CHOOSE({1,2,3,4}, DAY(XT!U21), DAY(XT!Y21), DAY(XT!AC21), DAY(XT!AG21)), MATCH(1, INDEX(--(MONTH(CHOOSE({1,2,3,4}, XT!U21,XT!Y21,XT!AC21,XT!AG21))=5), 0), 0)), "")</f>
        <v/>
      </c>
      <c r="S21" s="12" t="str">
        <f>IF(XT!$P21&gt;0,R21,"")</f>
        <v/>
      </c>
      <c r="T21" s="12" t="str">
        <f>IF(XT!$P21=0,R21,"")</f>
        <v/>
      </c>
      <c r="U21">
        <f>SUMPRODUCT((MONTH(CHOOSE({1,2,3,4},XT!U21,XT!Y21,XT!AC21,XT!AG21))=6)*(CHOOSE({1,2,3,4},XT!X21,XT!AB21,XT!AF21,XT!AJ21)))</f>
        <v>0</v>
      </c>
      <c r="V21" t="str">
        <f>IFERROR(INDEX(CHOOSE({1,2,3,4}, DAY(XT!U21), DAY(XT!Y21), DAY(XT!AC21), DAY(XT!AG21)), MATCH(1, INDEX(--(MONTH(CHOOSE({1,2,3,4}, XT!U21,XT!Y21,XT!AC21,XT!AG21))=6), 0), 0)), "")</f>
        <v/>
      </c>
      <c r="W21" s="12" t="str">
        <f>IF(XT!$P21&gt;0,V21,"")</f>
        <v/>
      </c>
      <c r="X21" s="12" t="str">
        <f>IF(XT!$P21=0,V21,"")</f>
        <v/>
      </c>
      <c r="Y21">
        <f>SUMPRODUCT((MONTH(CHOOSE({1,2,3,4},XT!U21,XT!Y21,XT!AC21,XT!AG21))=7)*(CHOOSE({1,2,3,4},XT!X21,XT!AB21,XT!AF21,XT!AJ21)))</f>
        <v>0</v>
      </c>
      <c r="Z21" t="str">
        <f>IFERROR(INDEX(CHOOSE({1,2,3,4}, DAY(XT!U21), DAY(XT!Y21), DAY(XT!AC21), DAY(XT!AG21)), MATCH(1, INDEX(--(MONTH(CHOOSE({1,2,3,4}, XT!U21,XT!Y21,XT!AC21,XT!AG21))=7), 0), 0)), "")</f>
        <v/>
      </c>
      <c r="AA21" s="12" t="str">
        <f>IF(XT!$P21&gt;0,Z21,"")</f>
        <v/>
      </c>
      <c r="AB21" s="12" t="str">
        <f>IF(XT!$P21=0,Z21,"")</f>
        <v/>
      </c>
      <c r="AC21">
        <f>SUMPRODUCT((MONTH(CHOOSE({1,2,3,4},XT!U21,XT!Y21,XT!AC21,XT!AG21))=8)*(CHOOSE({1,2,3,4},XT!X21,XT!AB21,XT!AF21,XT!AJ21)))</f>
        <v>0</v>
      </c>
      <c r="AD21" t="str">
        <f>IFERROR(INDEX(CHOOSE({1,2,3,4}, DAY(XT!U21), DAY(XT!Y21), DAY(XT!AC21), DAY(XT!AG21)), MATCH(1, INDEX(--(MONTH(CHOOSE({1,2,3,4}, XT!U21,XT!Y21,XT!AC21,XT!AG21))=8), 0), 0)), "")</f>
        <v/>
      </c>
      <c r="AE21" s="12" t="str">
        <f>IF(XT!$P21&gt;0,AD21,"")</f>
        <v/>
      </c>
      <c r="AF21" s="12" t="str">
        <f>IF(XT!$P21=0,AD21,"")</f>
        <v/>
      </c>
      <c r="AG21">
        <f>SUMPRODUCT((MONTH(CHOOSE({1,2,3,4},XT!U21,XT!Y21,XT!AC21,XT!AG21))=9)*(CHOOSE({1,2,3,4},XT!X21,XT!AB21,XT!AF21,XT!AJ21)))</f>
        <v>0</v>
      </c>
      <c r="AH21" t="str">
        <f>IFERROR(INDEX(CHOOSE({1,2,3,4}, DAY(XT!U21), DAY(XT!Y21), DAY(XT!AC21), DAY(XT!AG21)), MATCH(1, INDEX(--(MONTH(CHOOSE({1,2,3,4}, XT!U21,XT!Y21,XT!AC21,XT!AG21))=9), 0), 0)), "")</f>
        <v/>
      </c>
      <c r="AI21" s="12" t="str">
        <f>IF(XT!$P21&gt;0,AH21,"")</f>
        <v/>
      </c>
      <c r="AJ21" s="12" t="str">
        <f>IF(XT!$P21=0,AH21,"")</f>
        <v/>
      </c>
      <c r="AK21">
        <f>SUMPRODUCT((MONTH(CHOOSE({1,2,3,4},XT!U21,XT!Y21,XT!AC21,XT!AG21))=10)*(CHOOSE({1,2,3,4},XT!X21,XT!AB21,XT!AF21,XT!AJ21)))</f>
        <v>0</v>
      </c>
      <c r="AL21" t="str">
        <f>IFERROR(INDEX(CHOOSE({1,2,3,4}, DAY(XT!U21), DAY(XT!Y21), DAY(XT!AC21), DAY(XT!AG21)), MATCH(1, INDEX(--(MONTH(CHOOSE({1,2,3,4}, XT!U21,XT!Y21,XT!AC21,XT!AG21))=10), 0), 0)), "")</f>
        <v/>
      </c>
      <c r="AM21" s="12" t="str">
        <f>IF(XT!$P21&gt;0,AL21,"")</f>
        <v/>
      </c>
      <c r="AN21" s="12" t="str">
        <f>IF(XT!$P21=0,AL21,"")</f>
        <v/>
      </c>
      <c r="AO21">
        <f>SUMPRODUCT((MONTH(CHOOSE({1,2,3,4},XT!U21,XT!Y21,XT!AC21,XT!AG21))=11)*(CHOOSE({1,2,3,4},XT!X21,XT!AB21,XT!AF21,XT!AJ21)))</f>
        <v>0</v>
      </c>
      <c r="AP21" t="str">
        <f>IFERROR(INDEX(CHOOSE({1,2,3,4}, DAY(XT!U21), DAY(XT!Y21), DAY(XT!AC21), DAY(XT!AG21)), MATCH(1, INDEX(--(MONTH(CHOOSE({1,2,3,4}, XT!U21,XT!Y21,XT!AC21,XT!AG21))=11), 0), 0)), "")</f>
        <v/>
      </c>
      <c r="AQ21" s="12" t="str">
        <f>IF(XT!$P21&gt;0,AP21,"")</f>
        <v/>
      </c>
      <c r="AR21" s="12" t="str">
        <f>IF(XT!$P21=0,AP21,"")</f>
        <v/>
      </c>
      <c r="AS21">
        <f>SUMPRODUCT((MONTH(CHOOSE({1,2,3,4},XT!U21,XT!Y21,XT!AC21,XT!AG21))=12)*(CHOOSE({1,2,3,4},XT!X21,XT!AB21,XT!AF21,XT!AJ21)))</f>
        <v>0</v>
      </c>
      <c r="AT21" t="str">
        <f>IFERROR(INDEX(CHOOSE({1,2,3,4}, DAY(XT!U21), DAY(XT!Y21), DAY(XT!AC21), DAY(XT!AG21)), MATCH(1, INDEX(--(MONTH(CHOOSE({1,2,3,4}, XT!U21,XT!Y21,XT!AC21,XT!AG21))=12), 0), 0)), "")</f>
        <v/>
      </c>
      <c r="AU21" s="12" t="str">
        <f>IF(XT!$P21&gt;0,AT21,"")</f>
        <v/>
      </c>
      <c r="AV21" s="12" t="str">
        <f>IF(XT!$P21=0,AT21,"")</f>
        <v/>
      </c>
    </row>
    <row r="22" spans="1:48">
      <c r="A22">
        <f>SUMPRODUCT((MONTH(CHOOSE({1,2,3,4},XT!U22,XT!Y22,XT!AC22,XT!AG22))=1)*(CHOOSE({1,2,3,4},XT!X22,XT!AB22,XT!AF22,XT!AJ22)))</f>
        <v>0</v>
      </c>
      <c r="B22">
        <f>IFERROR(INDEX(CHOOSE({1,2,3,4}, DAY(XT!U22), DAY(XT!Y22), DAY(XT!AC22), DAY(XT!AG22)), MATCH(1, INDEX(--(MONTH(CHOOSE({1,2,3,4}, XT!U22,XT!Y22,XT!AC22,XT!AG22))=1), 0), 0)), "")</f>
        <v>0</v>
      </c>
      <c r="C22" s="12" t="str">
        <f>IF(XT!$P22&gt;0,B22,"")</f>
        <v/>
      </c>
      <c r="D22" s="12">
        <f>IF(XT!$P22=0,B22,"")</f>
        <v>0</v>
      </c>
      <c r="E22">
        <f>SUMPRODUCT((MONTH(CHOOSE({1,2,3,4},XT!U22,XT!Y22,XT!AC22,XT!AG22))=2)*(CHOOSE({1,2,3,4},XT!X22,XT!AB22,XT!AF22,XT!AJ22)))</f>
        <v>0</v>
      </c>
      <c r="F22" t="str">
        <f>IFERROR(INDEX(CHOOSE({1,2,3,4}, DAY(XT!U22), DAY(XT!Y22), DAY(XT!AC22), DAY(XT!AG22)), MATCH(1, INDEX(--(MONTH(CHOOSE({1,2,3,4}, XT!U22,XT!Y22,XT!AC22,XT!AG22))=2), 0), 0)), "")</f>
        <v/>
      </c>
      <c r="G22" s="12" t="str">
        <f>IF(XT!$P22&gt;0,F22,"")</f>
        <v/>
      </c>
      <c r="H22" s="12" t="str">
        <f>IF(XT!$P22=0,F22,"")</f>
        <v/>
      </c>
      <c r="I22">
        <f>SUMPRODUCT((MONTH(CHOOSE({1,2,3,4},XT!U22,XT!Y22,XT!AC22,XT!AG22))=3)*(CHOOSE({1,2,3,4},XT!X22,XT!AB22,XT!AF22,XT!AJ22)))</f>
        <v>0</v>
      </c>
      <c r="J22" t="str">
        <f>IFERROR(INDEX(CHOOSE({1,2,3,4}, DAY(XT!U22), DAY(XT!Y22), DAY(XT!AC22), DAY(XT!AG22)), MATCH(1, INDEX(--(MONTH(CHOOSE({1,2,3,4}, XT!U22,XT!Y22,XT!AC22,XT!AG22))=3), 0), 0)), "")</f>
        <v/>
      </c>
      <c r="K22" s="12" t="str">
        <f>IF(XT!$P22&gt;0,J22,"")</f>
        <v/>
      </c>
      <c r="L22" s="12" t="str">
        <f>IF(XT!$P22=0,J22,"")</f>
        <v/>
      </c>
      <c r="M22">
        <f>SUMPRODUCT((MONTH(CHOOSE({1,2,3,4},XT!U22,XT!Y22,XT!AC22,XT!AG22))=4)*(CHOOSE({1,2,3,4},XT!X22,XT!AB22,XT!AF22,XT!AJ22)))</f>
        <v>0</v>
      </c>
      <c r="N22" t="str">
        <f>IFERROR(INDEX(CHOOSE({1,2,3,4}, DAY(XT!U22), DAY(XT!Y22), DAY(XT!AC22), DAY(XT!AG22)), MATCH(1, INDEX(--(MONTH(CHOOSE({1,2,3,4}, XT!U22,XT!Y22,XT!AC22,XT!AG22))=4), 0), 0)), "")</f>
        <v/>
      </c>
      <c r="O22" s="12" t="str">
        <f>IF(XT!$P22&gt;0,N22,"")</f>
        <v/>
      </c>
      <c r="P22" s="12" t="str">
        <f>IF(XT!$P22=0,N22,"")</f>
        <v/>
      </c>
      <c r="Q22">
        <f>SUMPRODUCT((MONTH(CHOOSE({1,2,3,4},XT!U22,XT!Y22,XT!AC22,XT!AG22))=5)*(CHOOSE({1,2,3,4},XT!X22,XT!AB22,XT!AF22,XT!AJ22)))</f>
        <v>0</v>
      </c>
      <c r="R22" t="str">
        <f>IFERROR(INDEX(CHOOSE({1,2,3,4}, DAY(XT!U22), DAY(XT!Y22), DAY(XT!AC22), DAY(XT!AG22)), MATCH(1, INDEX(--(MONTH(CHOOSE({1,2,3,4}, XT!U22,XT!Y22,XT!AC22,XT!AG22))=5), 0), 0)), "")</f>
        <v/>
      </c>
      <c r="S22" s="12" t="str">
        <f>IF(XT!$P22&gt;0,R22,"")</f>
        <v/>
      </c>
      <c r="T22" s="12" t="str">
        <f>IF(XT!$P22=0,R22,"")</f>
        <v/>
      </c>
      <c r="U22">
        <f>SUMPRODUCT((MONTH(CHOOSE({1,2,3,4},XT!U22,XT!Y22,XT!AC22,XT!AG22))=6)*(CHOOSE({1,2,3,4},XT!X22,XT!AB22,XT!AF22,XT!AJ22)))</f>
        <v>0</v>
      </c>
      <c r="V22" t="str">
        <f>IFERROR(INDEX(CHOOSE({1,2,3,4}, DAY(XT!U22), DAY(XT!Y22), DAY(XT!AC22), DAY(XT!AG22)), MATCH(1, INDEX(--(MONTH(CHOOSE({1,2,3,4}, XT!U22,XT!Y22,XT!AC22,XT!AG22))=6), 0), 0)), "")</f>
        <v/>
      </c>
      <c r="W22" s="12" t="str">
        <f>IF(XT!$P22&gt;0,V22,"")</f>
        <v/>
      </c>
      <c r="X22" s="12" t="str">
        <f>IF(XT!$P22=0,V22,"")</f>
        <v/>
      </c>
      <c r="Y22">
        <f>SUMPRODUCT((MONTH(CHOOSE({1,2,3,4},XT!U22,XT!Y22,XT!AC22,XT!AG22))=7)*(CHOOSE({1,2,3,4},XT!X22,XT!AB22,XT!AF22,XT!AJ22)))</f>
        <v>0</v>
      </c>
      <c r="Z22" t="str">
        <f>IFERROR(INDEX(CHOOSE({1,2,3,4}, DAY(XT!U22), DAY(XT!Y22), DAY(XT!AC22), DAY(XT!AG22)), MATCH(1, INDEX(--(MONTH(CHOOSE({1,2,3,4}, XT!U22,XT!Y22,XT!AC22,XT!AG22))=7), 0), 0)), "")</f>
        <v/>
      </c>
      <c r="AA22" s="12" t="str">
        <f>IF(XT!$P22&gt;0,Z22,"")</f>
        <v/>
      </c>
      <c r="AB22" s="12" t="str">
        <f>IF(XT!$P22=0,Z22,"")</f>
        <v/>
      </c>
      <c r="AC22">
        <f>SUMPRODUCT((MONTH(CHOOSE({1,2,3,4},XT!U22,XT!Y22,XT!AC22,XT!AG22))=8)*(CHOOSE({1,2,3,4},XT!X22,XT!AB22,XT!AF22,XT!AJ22)))</f>
        <v>0</v>
      </c>
      <c r="AD22" t="str">
        <f>IFERROR(INDEX(CHOOSE({1,2,3,4}, DAY(XT!U22), DAY(XT!Y22), DAY(XT!AC22), DAY(XT!AG22)), MATCH(1, INDEX(--(MONTH(CHOOSE({1,2,3,4}, XT!U22,XT!Y22,XT!AC22,XT!AG22))=8), 0), 0)), "")</f>
        <v/>
      </c>
      <c r="AE22" s="12" t="str">
        <f>IF(XT!$P22&gt;0,AD22,"")</f>
        <v/>
      </c>
      <c r="AF22" s="12" t="str">
        <f>IF(XT!$P22=0,AD22,"")</f>
        <v/>
      </c>
      <c r="AG22">
        <f>SUMPRODUCT((MONTH(CHOOSE({1,2,3,4},XT!U22,XT!Y22,XT!AC22,XT!AG22))=9)*(CHOOSE({1,2,3,4},XT!X22,XT!AB22,XT!AF22,XT!AJ22)))</f>
        <v>0</v>
      </c>
      <c r="AH22" t="str">
        <f>IFERROR(INDEX(CHOOSE({1,2,3,4}, DAY(XT!U22), DAY(XT!Y22), DAY(XT!AC22), DAY(XT!AG22)), MATCH(1, INDEX(--(MONTH(CHOOSE({1,2,3,4}, XT!U22,XT!Y22,XT!AC22,XT!AG22))=9), 0), 0)), "")</f>
        <v/>
      </c>
      <c r="AI22" s="12" t="str">
        <f>IF(XT!$P22&gt;0,AH22,"")</f>
        <v/>
      </c>
      <c r="AJ22" s="12" t="str">
        <f>IF(XT!$P22=0,AH22,"")</f>
        <v/>
      </c>
      <c r="AK22">
        <f>SUMPRODUCT((MONTH(CHOOSE({1,2,3,4},XT!U22,XT!Y22,XT!AC22,XT!AG22))=10)*(CHOOSE({1,2,3,4},XT!X22,XT!AB22,XT!AF22,XT!AJ22)))</f>
        <v>0</v>
      </c>
      <c r="AL22" t="str">
        <f>IFERROR(INDEX(CHOOSE({1,2,3,4}, DAY(XT!U22), DAY(XT!Y22), DAY(XT!AC22), DAY(XT!AG22)), MATCH(1, INDEX(--(MONTH(CHOOSE({1,2,3,4}, XT!U22,XT!Y22,XT!AC22,XT!AG22))=10), 0), 0)), "")</f>
        <v/>
      </c>
      <c r="AM22" s="12" t="str">
        <f>IF(XT!$P22&gt;0,AL22,"")</f>
        <v/>
      </c>
      <c r="AN22" s="12" t="str">
        <f>IF(XT!$P22=0,AL22,"")</f>
        <v/>
      </c>
      <c r="AO22">
        <f>SUMPRODUCT((MONTH(CHOOSE({1,2,3,4},XT!U22,XT!Y22,XT!AC22,XT!AG22))=11)*(CHOOSE({1,2,3,4},XT!X22,XT!AB22,XT!AF22,XT!AJ22)))</f>
        <v>0</v>
      </c>
      <c r="AP22" t="str">
        <f>IFERROR(INDEX(CHOOSE({1,2,3,4}, DAY(XT!U22), DAY(XT!Y22), DAY(XT!AC22), DAY(XT!AG22)), MATCH(1, INDEX(--(MONTH(CHOOSE({1,2,3,4}, XT!U22,XT!Y22,XT!AC22,XT!AG22))=11), 0), 0)), "")</f>
        <v/>
      </c>
      <c r="AQ22" s="12" t="str">
        <f>IF(XT!$P22&gt;0,AP22,"")</f>
        <v/>
      </c>
      <c r="AR22" s="12" t="str">
        <f>IF(XT!$P22=0,AP22,"")</f>
        <v/>
      </c>
      <c r="AS22">
        <f>SUMPRODUCT((MONTH(CHOOSE({1,2,3,4},XT!U22,XT!Y22,XT!AC22,XT!AG22))=12)*(CHOOSE({1,2,3,4},XT!X22,XT!AB22,XT!AF22,XT!AJ22)))</f>
        <v>0</v>
      </c>
      <c r="AT22" t="str">
        <f>IFERROR(INDEX(CHOOSE({1,2,3,4}, DAY(XT!U22), DAY(XT!Y22), DAY(XT!AC22), DAY(XT!AG22)), MATCH(1, INDEX(--(MONTH(CHOOSE({1,2,3,4}, XT!U22,XT!Y22,XT!AC22,XT!AG22))=12), 0), 0)), "")</f>
        <v/>
      </c>
      <c r="AU22" s="12" t="str">
        <f>IF(XT!$P22&gt;0,AT22,"")</f>
        <v/>
      </c>
      <c r="AV22" s="12" t="str">
        <f>IF(XT!$P22=0,AT22,"")</f>
        <v/>
      </c>
    </row>
    <row r="23" spans="1:48">
      <c r="A23">
        <f>SUMPRODUCT((MONTH(CHOOSE({1,2,3,4},XT!U23,XT!Y23,XT!AC23,XT!AG23))=1)*(CHOOSE({1,2,3,4},XT!X23,XT!AB23,XT!AF23,XT!AJ23)))</f>
        <v>0</v>
      </c>
      <c r="B23">
        <f>IFERROR(INDEX(CHOOSE({1,2,3,4}, DAY(XT!U23), DAY(XT!Y23), DAY(XT!AC23), DAY(XT!AG23)), MATCH(1, INDEX(--(MONTH(CHOOSE({1,2,3,4}, XT!U23,XT!Y23,XT!AC23,XT!AG23))=1), 0), 0)), "")</f>
        <v>0</v>
      </c>
      <c r="C23" s="12" t="str">
        <f>IF(XT!$P23&gt;0,B23,"")</f>
        <v/>
      </c>
      <c r="D23" s="12">
        <f>IF(XT!$P23=0,B23,"")</f>
        <v>0</v>
      </c>
      <c r="E23">
        <f>SUMPRODUCT((MONTH(CHOOSE({1,2,3,4},XT!U23,XT!Y23,XT!AC23,XT!AG23))=2)*(CHOOSE({1,2,3,4},XT!X23,XT!AB23,XT!AF23,XT!AJ23)))</f>
        <v>0</v>
      </c>
      <c r="F23" t="str">
        <f>IFERROR(INDEX(CHOOSE({1,2,3,4}, DAY(XT!U23), DAY(XT!Y23), DAY(XT!AC23), DAY(XT!AG23)), MATCH(1, INDEX(--(MONTH(CHOOSE({1,2,3,4}, XT!U23,XT!Y23,XT!AC23,XT!AG23))=2), 0), 0)), "")</f>
        <v/>
      </c>
      <c r="G23" s="12" t="str">
        <f>IF(XT!$P23&gt;0,F23,"")</f>
        <v/>
      </c>
      <c r="H23" s="12" t="str">
        <f>IF(XT!$P23=0,F23,"")</f>
        <v/>
      </c>
      <c r="I23">
        <f>SUMPRODUCT((MONTH(CHOOSE({1,2,3,4},XT!U23,XT!Y23,XT!AC23,XT!AG23))=3)*(CHOOSE({1,2,3,4},XT!X23,XT!AB23,XT!AF23,XT!AJ23)))</f>
        <v>0</v>
      </c>
      <c r="J23" t="str">
        <f>IFERROR(INDEX(CHOOSE({1,2,3,4}, DAY(XT!U23), DAY(XT!Y23), DAY(XT!AC23), DAY(XT!AG23)), MATCH(1, INDEX(--(MONTH(CHOOSE({1,2,3,4}, XT!U23,XT!Y23,XT!AC23,XT!AG23))=3), 0), 0)), "")</f>
        <v/>
      </c>
      <c r="K23" s="12" t="str">
        <f>IF(XT!$P23&gt;0,J23,"")</f>
        <v/>
      </c>
      <c r="L23" s="12" t="str">
        <f>IF(XT!$P23=0,J23,"")</f>
        <v/>
      </c>
      <c r="M23">
        <f>SUMPRODUCT((MONTH(CHOOSE({1,2,3,4},XT!U23,XT!Y23,XT!AC23,XT!AG23))=4)*(CHOOSE({1,2,3,4},XT!X23,XT!AB23,XT!AF23,XT!AJ23)))</f>
        <v>0</v>
      </c>
      <c r="N23" t="str">
        <f>IFERROR(INDEX(CHOOSE({1,2,3,4}, DAY(XT!U23), DAY(XT!Y23), DAY(XT!AC23), DAY(XT!AG23)), MATCH(1, INDEX(--(MONTH(CHOOSE({1,2,3,4}, XT!U23,XT!Y23,XT!AC23,XT!AG23))=4), 0), 0)), "")</f>
        <v/>
      </c>
      <c r="O23" s="12" t="str">
        <f>IF(XT!$P23&gt;0,N23,"")</f>
        <v/>
      </c>
      <c r="P23" s="12" t="str">
        <f>IF(XT!$P23=0,N23,"")</f>
        <v/>
      </c>
      <c r="Q23">
        <f>SUMPRODUCT((MONTH(CHOOSE({1,2,3,4},XT!U23,XT!Y23,XT!AC23,XT!AG23))=5)*(CHOOSE({1,2,3,4},XT!X23,XT!AB23,XT!AF23,XT!AJ23)))</f>
        <v>0</v>
      </c>
      <c r="R23" t="str">
        <f>IFERROR(INDEX(CHOOSE({1,2,3,4}, DAY(XT!U23), DAY(XT!Y23), DAY(XT!AC23), DAY(XT!AG23)), MATCH(1, INDEX(--(MONTH(CHOOSE({1,2,3,4}, XT!U23,XT!Y23,XT!AC23,XT!AG23))=5), 0), 0)), "")</f>
        <v/>
      </c>
      <c r="S23" s="12" t="str">
        <f>IF(XT!$P23&gt;0,R23,"")</f>
        <v/>
      </c>
      <c r="T23" s="12" t="str">
        <f>IF(XT!$P23=0,R23,"")</f>
        <v/>
      </c>
      <c r="U23">
        <f>SUMPRODUCT((MONTH(CHOOSE({1,2,3,4},XT!U23,XT!Y23,XT!AC23,XT!AG23))=6)*(CHOOSE({1,2,3,4},XT!X23,XT!AB23,XT!AF23,XT!AJ23)))</f>
        <v>0</v>
      </c>
      <c r="V23" t="str">
        <f>IFERROR(INDEX(CHOOSE({1,2,3,4}, DAY(XT!U23), DAY(XT!Y23), DAY(XT!AC23), DAY(XT!AG23)), MATCH(1, INDEX(--(MONTH(CHOOSE({1,2,3,4}, XT!U23,XT!Y23,XT!AC23,XT!AG23))=6), 0), 0)), "")</f>
        <v/>
      </c>
      <c r="W23" s="12" t="str">
        <f>IF(XT!$P23&gt;0,V23,"")</f>
        <v/>
      </c>
      <c r="X23" s="12" t="str">
        <f>IF(XT!$P23=0,V23,"")</f>
        <v/>
      </c>
      <c r="Y23">
        <f>SUMPRODUCT((MONTH(CHOOSE({1,2,3,4},XT!U23,XT!Y23,XT!AC23,XT!AG23))=7)*(CHOOSE({1,2,3,4},XT!X23,XT!AB23,XT!AF23,XT!AJ23)))</f>
        <v>0</v>
      </c>
      <c r="Z23" t="str">
        <f>IFERROR(INDEX(CHOOSE({1,2,3,4}, DAY(XT!U23), DAY(XT!Y23), DAY(XT!AC23), DAY(XT!AG23)), MATCH(1, INDEX(--(MONTH(CHOOSE({1,2,3,4}, XT!U23,XT!Y23,XT!AC23,XT!AG23))=7), 0), 0)), "")</f>
        <v/>
      </c>
      <c r="AA23" s="12" t="str">
        <f>IF(XT!$P23&gt;0,Z23,"")</f>
        <v/>
      </c>
      <c r="AB23" s="12" t="str">
        <f>IF(XT!$P23=0,Z23,"")</f>
        <v/>
      </c>
      <c r="AC23">
        <f>SUMPRODUCT((MONTH(CHOOSE({1,2,3,4},XT!U23,XT!Y23,XT!AC23,XT!AG23))=8)*(CHOOSE({1,2,3,4},XT!X23,XT!AB23,XT!AF23,XT!AJ23)))</f>
        <v>0</v>
      </c>
      <c r="AD23" t="str">
        <f>IFERROR(INDEX(CHOOSE({1,2,3,4}, DAY(XT!U23), DAY(XT!Y23), DAY(XT!AC23), DAY(XT!AG23)), MATCH(1, INDEX(--(MONTH(CHOOSE({1,2,3,4}, XT!U23,XT!Y23,XT!AC23,XT!AG23))=8), 0), 0)), "")</f>
        <v/>
      </c>
      <c r="AE23" s="12" t="str">
        <f>IF(XT!$P23&gt;0,AD23,"")</f>
        <v/>
      </c>
      <c r="AF23" s="12" t="str">
        <f>IF(XT!$P23=0,AD23,"")</f>
        <v/>
      </c>
      <c r="AG23">
        <f>SUMPRODUCT((MONTH(CHOOSE({1,2,3,4},XT!U23,XT!Y23,XT!AC23,XT!AG23))=9)*(CHOOSE({1,2,3,4},XT!X23,XT!AB23,XT!AF23,XT!AJ23)))</f>
        <v>0</v>
      </c>
      <c r="AH23" t="str">
        <f>IFERROR(INDEX(CHOOSE({1,2,3,4}, DAY(XT!U23), DAY(XT!Y23), DAY(XT!AC23), DAY(XT!AG23)), MATCH(1, INDEX(--(MONTH(CHOOSE({1,2,3,4}, XT!U23,XT!Y23,XT!AC23,XT!AG23))=9), 0), 0)), "")</f>
        <v/>
      </c>
      <c r="AI23" s="12" t="str">
        <f>IF(XT!$P23&gt;0,AH23,"")</f>
        <v/>
      </c>
      <c r="AJ23" s="12" t="str">
        <f>IF(XT!$P23=0,AH23,"")</f>
        <v/>
      </c>
      <c r="AK23">
        <f>SUMPRODUCT((MONTH(CHOOSE({1,2,3,4},XT!U23,XT!Y23,XT!AC23,XT!AG23))=10)*(CHOOSE({1,2,3,4},XT!X23,XT!AB23,XT!AF23,XT!AJ23)))</f>
        <v>0</v>
      </c>
      <c r="AL23" t="str">
        <f>IFERROR(INDEX(CHOOSE({1,2,3,4}, DAY(XT!U23), DAY(XT!Y23), DAY(XT!AC23), DAY(XT!AG23)), MATCH(1, INDEX(--(MONTH(CHOOSE({1,2,3,4}, XT!U23,XT!Y23,XT!AC23,XT!AG23))=10), 0), 0)), "")</f>
        <v/>
      </c>
      <c r="AM23" s="12" t="str">
        <f>IF(XT!$P23&gt;0,AL23,"")</f>
        <v/>
      </c>
      <c r="AN23" s="12" t="str">
        <f>IF(XT!$P23=0,AL23,"")</f>
        <v/>
      </c>
      <c r="AO23">
        <f>SUMPRODUCT((MONTH(CHOOSE({1,2,3,4},XT!U23,XT!Y23,XT!AC23,XT!AG23))=11)*(CHOOSE({1,2,3,4},XT!X23,XT!AB23,XT!AF23,XT!AJ23)))</f>
        <v>0</v>
      </c>
      <c r="AP23" t="str">
        <f>IFERROR(INDEX(CHOOSE({1,2,3,4}, DAY(XT!U23), DAY(XT!Y23), DAY(XT!AC23), DAY(XT!AG23)), MATCH(1, INDEX(--(MONTH(CHOOSE({1,2,3,4}, XT!U23,XT!Y23,XT!AC23,XT!AG23))=11), 0), 0)), "")</f>
        <v/>
      </c>
      <c r="AQ23" s="12" t="str">
        <f>IF(XT!$P23&gt;0,AP23,"")</f>
        <v/>
      </c>
      <c r="AR23" s="12" t="str">
        <f>IF(XT!$P23=0,AP23,"")</f>
        <v/>
      </c>
      <c r="AS23">
        <f>SUMPRODUCT((MONTH(CHOOSE({1,2,3,4},XT!U23,XT!Y23,XT!AC23,XT!AG23))=12)*(CHOOSE({1,2,3,4},XT!X23,XT!AB23,XT!AF23,XT!AJ23)))</f>
        <v>0</v>
      </c>
      <c r="AT23" t="str">
        <f>IFERROR(INDEX(CHOOSE({1,2,3,4}, DAY(XT!U23), DAY(XT!Y23), DAY(XT!AC23), DAY(XT!AG23)), MATCH(1, INDEX(--(MONTH(CHOOSE({1,2,3,4}, XT!U23,XT!Y23,XT!AC23,XT!AG23))=12), 0), 0)), "")</f>
        <v/>
      </c>
      <c r="AU23" s="12" t="str">
        <f>IF(XT!$P23&gt;0,AT23,"")</f>
        <v/>
      </c>
      <c r="AV23" s="12" t="str">
        <f>IF(XT!$P23=0,AT23,"")</f>
        <v/>
      </c>
    </row>
    <row r="24" spans="1:48">
      <c r="A24">
        <f>SUMPRODUCT((MONTH(CHOOSE({1,2,3,4},XT!U24,XT!Y24,XT!AC24,XT!AG24))=1)*(CHOOSE({1,2,3,4},XT!X24,XT!AB24,XT!AF24,XT!AJ24)))</f>
        <v>0</v>
      </c>
      <c r="B24">
        <f>IFERROR(INDEX(CHOOSE({1,2,3,4}, DAY(XT!U24), DAY(XT!Y24), DAY(XT!AC24), DAY(XT!AG24)), MATCH(1, INDEX(--(MONTH(CHOOSE({1,2,3,4}, XT!U24,XT!Y24,XT!AC24,XT!AG24))=1), 0), 0)), "")</f>
        <v>0</v>
      </c>
      <c r="C24" s="12" t="str">
        <f>IF(XT!$P24&gt;0,B24,"")</f>
        <v/>
      </c>
      <c r="D24" s="12">
        <f>IF(XT!$P24=0,B24,"")</f>
        <v>0</v>
      </c>
      <c r="E24">
        <f>SUMPRODUCT((MONTH(CHOOSE({1,2,3,4},XT!U24,XT!Y24,XT!AC24,XT!AG24))=2)*(CHOOSE({1,2,3,4},XT!X24,XT!AB24,XT!AF24,XT!AJ24)))</f>
        <v>0</v>
      </c>
      <c r="F24" t="str">
        <f>IFERROR(INDEX(CHOOSE({1,2,3,4}, DAY(XT!U24), DAY(XT!Y24), DAY(XT!AC24), DAY(XT!AG24)), MATCH(1, INDEX(--(MONTH(CHOOSE({1,2,3,4}, XT!U24,XT!Y24,XT!AC24,XT!AG24))=2), 0), 0)), "")</f>
        <v/>
      </c>
      <c r="G24" s="12" t="str">
        <f>IF(XT!$P24&gt;0,F24,"")</f>
        <v/>
      </c>
      <c r="H24" s="12" t="str">
        <f>IF(XT!$P24=0,F24,"")</f>
        <v/>
      </c>
      <c r="I24">
        <f>SUMPRODUCT((MONTH(CHOOSE({1,2,3,4},XT!U24,XT!Y24,XT!AC24,XT!AG24))=3)*(CHOOSE({1,2,3,4},XT!X24,XT!AB24,XT!AF24,XT!AJ24)))</f>
        <v>0</v>
      </c>
      <c r="J24" t="str">
        <f>IFERROR(INDEX(CHOOSE({1,2,3,4}, DAY(XT!U24), DAY(XT!Y24), DAY(XT!AC24), DAY(XT!AG24)), MATCH(1, INDEX(--(MONTH(CHOOSE({1,2,3,4}, XT!U24,XT!Y24,XT!AC24,XT!AG24))=3), 0), 0)), "")</f>
        <v/>
      </c>
      <c r="K24" s="12" t="str">
        <f>IF(XT!$P24&gt;0,J24,"")</f>
        <v/>
      </c>
      <c r="L24" s="12" t="str">
        <f>IF(XT!$P24=0,J24,"")</f>
        <v/>
      </c>
      <c r="M24">
        <f>SUMPRODUCT((MONTH(CHOOSE({1,2,3,4},XT!U24,XT!Y24,XT!AC24,XT!AG24))=4)*(CHOOSE({1,2,3,4},XT!X24,XT!AB24,XT!AF24,XT!AJ24)))</f>
        <v>0</v>
      </c>
      <c r="N24" t="str">
        <f>IFERROR(INDEX(CHOOSE({1,2,3,4}, DAY(XT!U24), DAY(XT!Y24), DAY(XT!AC24), DAY(XT!AG24)), MATCH(1, INDEX(--(MONTH(CHOOSE({1,2,3,4}, XT!U24,XT!Y24,XT!AC24,XT!AG24))=4), 0), 0)), "")</f>
        <v/>
      </c>
      <c r="O24" s="12" t="str">
        <f>IF(XT!$P24&gt;0,N24,"")</f>
        <v/>
      </c>
      <c r="P24" s="12" t="str">
        <f>IF(XT!$P24=0,N24,"")</f>
        <v/>
      </c>
      <c r="Q24">
        <f>SUMPRODUCT((MONTH(CHOOSE({1,2,3,4},XT!U24,XT!Y24,XT!AC24,XT!AG24))=5)*(CHOOSE({1,2,3,4},XT!X24,XT!AB24,XT!AF24,XT!AJ24)))</f>
        <v>0</v>
      </c>
      <c r="R24" t="str">
        <f>IFERROR(INDEX(CHOOSE({1,2,3,4}, DAY(XT!U24), DAY(XT!Y24), DAY(XT!AC24), DAY(XT!AG24)), MATCH(1, INDEX(--(MONTH(CHOOSE({1,2,3,4}, XT!U24,XT!Y24,XT!AC24,XT!AG24))=5), 0), 0)), "")</f>
        <v/>
      </c>
      <c r="S24" s="12" t="str">
        <f>IF(XT!$P24&gt;0,R24,"")</f>
        <v/>
      </c>
      <c r="T24" s="12" t="str">
        <f>IF(XT!$P24=0,R24,"")</f>
        <v/>
      </c>
      <c r="U24">
        <f>SUMPRODUCT((MONTH(CHOOSE({1,2,3,4},XT!U24,XT!Y24,XT!AC24,XT!AG24))=6)*(CHOOSE({1,2,3,4},XT!X24,XT!AB24,XT!AF24,XT!AJ24)))</f>
        <v>0</v>
      </c>
      <c r="V24" t="str">
        <f>IFERROR(INDEX(CHOOSE({1,2,3,4}, DAY(XT!U24), DAY(XT!Y24), DAY(XT!AC24), DAY(XT!AG24)), MATCH(1, INDEX(--(MONTH(CHOOSE({1,2,3,4}, XT!U24,XT!Y24,XT!AC24,XT!AG24))=6), 0), 0)), "")</f>
        <v/>
      </c>
      <c r="W24" s="12" t="str">
        <f>IF(XT!$P24&gt;0,V24,"")</f>
        <v/>
      </c>
      <c r="X24" s="12" t="str">
        <f>IF(XT!$P24=0,V24,"")</f>
        <v/>
      </c>
      <c r="Y24">
        <f>SUMPRODUCT((MONTH(CHOOSE({1,2,3,4},XT!U24,XT!Y24,XT!AC24,XT!AG24))=7)*(CHOOSE({1,2,3,4},XT!X24,XT!AB24,XT!AF24,XT!AJ24)))</f>
        <v>0</v>
      </c>
      <c r="Z24" t="str">
        <f>IFERROR(INDEX(CHOOSE({1,2,3,4}, DAY(XT!U24), DAY(XT!Y24), DAY(XT!AC24), DAY(XT!AG24)), MATCH(1, INDEX(--(MONTH(CHOOSE({1,2,3,4}, XT!U24,XT!Y24,XT!AC24,XT!AG24))=7), 0), 0)), "")</f>
        <v/>
      </c>
      <c r="AA24" s="12" t="str">
        <f>IF(XT!$P24&gt;0,Z24,"")</f>
        <v/>
      </c>
      <c r="AB24" s="12" t="str">
        <f>IF(XT!$P24=0,Z24,"")</f>
        <v/>
      </c>
      <c r="AC24">
        <f>SUMPRODUCT((MONTH(CHOOSE({1,2,3,4},XT!U24,XT!Y24,XT!AC24,XT!AG24))=8)*(CHOOSE({1,2,3,4},XT!X24,XT!AB24,XT!AF24,XT!AJ24)))</f>
        <v>0</v>
      </c>
      <c r="AD24" t="str">
        <f>IFERROR(INDEX(CHOOSE({1,2,3,4}, DAY(XT!U24), DAY(XT!Y24), DAY(XT!AC24), DAY(XT!AG24)), MATCH(1, INDEX(--(MONTH(CHOOSE({1,2,3,4}, XT!U24,XT!Y24,XT!AC24,XT!AG24))=8), 0), 0)), "")</f>
        <v/>
      </c>
      <c r="AE24" s="12" t="str">
        <f>IF(XT!$P24&gt;0,AD24,"")</f>
        <v/>
      </c>
      <c r="AF24" s="12" t="str">
        <f>IF(XT!$P24=0,AD24,"")</f>
        <v/>
      </c>
      <c r="AG24">
        <f>SUMPRODUCT((MONTH(CHOOSE({1,2,3,4},XT!U24,XT!Y24,XT!AC24,XT!AG24))=9)*(CHOOSE({1,2,3,4},XT!X24,XT!AB24,XT!AF24,XT!AJ24)))</f>
        <v>0</v>
      </c>
      <c r="AH24" t="str">
        <f>IFERROR(INDEX(CHOOSE({1,2,3,4}, DAY(XT!U24), DAY(XT!Y24), DAY(XT!AC24), DAY(XT!AG24)), MATCH(1, INDEX(--(MONTH(CHOOSE({1,2,3,4}, XT!U24,XT!Y24,XT!AC24,XT!AG24))=9), 0), 0)), "")</f>
        <v/>
      </c>
      <c r="AI24" s="12" t="str">
        <f>IF(XT!$P24&gt;0,AH24,"")</f>
        <v/>
      </c>
      <c r="AJ24" s="12" t="str">
        <f>IF(XT!$P24=0,AH24,"")</f>
        <v/>
      </c>
      <c r="AK24">
        <f>SUMPRODUCT((MONTH(CHOOSE({1,2,3,4},XT!U24,XT!Y24,XT!AC24,XT!AG24))=10)*(CHOOSE({1,2,3,4},XT!X24,XT!AB24,XT!AF24,XT!AJ24)))</f>
        <v>0</v>
      </c>
      <c r="AL24" t="str">
        <f>IFERROR(INDEX(CHOOSE({1,2,3,4}, DAY(XT!U24), DAY(XT!Y24), DAY(XT!AC24), DAY(XT!AG24)), MATCH(1, INDEX(--(MONTH(CHOOSE({1,2,3,4}, XT!U24,XT!Y24,XT!AC24,XT!AG24))=10), 0), 0)), "")</f>
        <v/>
      </c>
      <c r="AM24" s="12" t="str">
        <f>IF(XT!$P24&gt;0,AL24,"")</f>
        <v/>
      </c>
      <c r="AN24" s="12" t="str">
        <f>IF(XT!$P24=0,AL24,"")</f>
        <v/>
      </c>
      <c r="AO24">
        <f>SUMPRODUCT((MONTH(CHOOSE({1,2,3,4},XT!U24,XT!Y24,XT!AC24,XT!AG24))=11)*(CHOOSE({1,2,3,4},XT!X24,XT!AB24,XT!AF24,XT!AJ24)))</f>
        <v>0</v>
      </c>
      <c r="AP24" t="str">
        <f>IFERROR(INDEX(CHOOSE({1,2,3,4}, DAY(XT!U24), DAY(XT!Y24), DAY(XT!AC24), DAY(XT!AG24)), MATCH(1, INDEX(--(MONTH(CHOOSE({1,2,3,4}, XT!U24,XT!Y24,XT!AC24,XT!AG24))=11), 0), 0)), "")</f>
        <v/>
      </c>
      <c r="AQ24" s="12" t="str">
        <f>IF(XT!$P24&gt;0,AP24,"")</f>
        <v/>
      </c>
      <c r="AR24" s="12" t="str">
        <f>IF(XT!$P24=0,AP24,"")</f>
        <v/>
      </c>
      <c r="AS24">
        <f>SUMPRODUCT((MONTH(CHOOSE({1,2,3,4},XT!U24,XT!Y24,XT!AC24,XT!AG24))=12)*(CHOOSE({1,2,3,4},XT!X24,XT!AB24,XT!AF24,XT!AJ24)))</f>
        <v>0</v>
      </c>
      <c r="AT24" t="str">
        <f>IFERROR(INDEX(CHOOSE({1,2,3,4}, DAY(XT!U24), DAY(XT!Y24), DAY(XT!AC24), DAY(XT!AG24)), MATCH(1, INDEX(--(MONTH(CHOOSE({1,2,3,4}, XT!U24,XT!Y24,XT!AC24,XT!AG24))=12), 0), 0)), "")</f>
        <v/>
      </c>
      <c r="AU24" s="12" t="str">
        <f>IF(XT!$P24&gt;0,AT24,"")</f>
        <v/>
      </c>
      <c r="AV24" s="12" t="str">
        <f>IF(XT!$P24=0,AT24,"")</f>
        <v/>
      </c>
    </row>
    <row r="25" spans="1:48">
      <c r="A25">
        <f>SUMPRODUCT((MONTH(CHOOSE({1,2,3,4},XT!U25,XT!Y25,XT!AC25,XT!AG25))=1)*(CHOOSE({1,2,3,4},XT!X25,XT!AB25,XT!AF25,XT!AJ25)))</f>
        <v>0</v>
      </c>
      <c r="B25">
        <f>IFERROR(INDEX(CHOOSE({1,2,3,4}, DAY(XT!U25), DAY(XT!Y25), DAY(XT!AC25), DAY(XT!AG25)), MATCH(1, INDEX(--(MONTH(CHOOSE({1,2,3,4}, XT!U25,XT!Y25,XT!AC25,XT!AG25))=1), 0), 0)), "")</f>
        <v>0</v>
      </c>
      <c r="C25" s="12" t="str">
        <f>IF(XT!$P25&gt;0,B25,"")</f>
        <v/>
      </c>
      <c r="D25" s="12">
        <f>IF(XT!$P25=0,B25,"")</f>
        <v>0</v>
      </c>
      <c r="E25">
        <f>SUMPRODUCT((MONTH(CHOOSE({1,2,3,4},XT!U25,XT!Y25,XT!AC25,XT!AG25))=2)*(CHOOSE({1,2,3,4},XT!X25,XT!AB25,XT!AF25,XT!AJ25)))</f>
        <v>0</v>
      </c>
      <c r="F25" t="str">
        <f>IFERROR(INDEX(CHOOSE({1,2,3,4}, DAY(XT!U25), DAY(XT!Y25), DAY(XT!AC25), DAY(XT!AG25)), MATCH(1, INDEX(--(MONTH(CHOOSE({1,2,3,4}, XT!U25,XT!Y25,XT!AC25,XT!AG25))=2), 0), 0)), "")</f>
        <v/>
      </c>
      <c r="G25" s="12" t="str">
        <f>IF(XT!$P25&gt;0,F25,"")</f>
        <v/>
      </c>
      <c r="H25" s="12" t="str">
        <f>IF(XT!$P25=0,F25,"")</f>
        <v/>
      </c>
      <c r="I25">
        <f>SUMPRODUCT((MONTH(CHOOSE({1,2,3,4},XT!U25,XT!Y25,XT!AC25,XT!AG25))=3)*(CHOOSE({1,2,3,4},XT!X25,XT!AB25,XT!AF25,XT!AJ25)))</f>
        <v>0</v>
      </c>
      <c r="J25" t="str">
        <f>IFERROR(INDEX(CHOOSE({1,2,3,4}, DAY(XT!U25), DAY(XT!Y25), DAY(XT!AC25), DAY(XT!AG25)), MATCH(1, INDEX(--(MONTH(CHOOSE({1,2,3,4}, XT!U25,XT!Y25,XT!AC25,XT!AG25))=3), 0), 0)), "")</f>
        <v/>
      </c>
      <c r="K25" s="12" t="str">
        <f>IF(XT!$P25&gt;0,J25,"")</f>
        <v/>
      </c>
      <c r="L25" s="12" t="str">
        <f>IF(XT!$P25=0,J25,"")</f>
        <v/>
      </c>
      <c r="M25">
        <f>SUMPRODUCT((MONTH(CHOOSE({1,2,3,4},XT!U25,XT!Y25,XT!AC25,XT!AG25))=4)*(CHOOSE({1,2,3,4},XT!X25,XT!AB25,XT!AF25,XT!AJ25)))</f>
        <v>0</v>
      </c>
      <c r="N25" t="str">
        <f>IFERROR(INDEX(CHOOSE({1,2,3,4}, DAY(XT!U25), DAY(XT!Y25), DAY(XT!AC25), DAY(XT!AG25)), MATCH(1, INDEX(--(MONTH(CHOOSE({1,2,3,4}, XT!U25,XT!Y25,XT!AC25,XT!AG25))=4), 0), 0)), "")</f>
        <v/>
      </c>
      <c r="O25" s="12" t="str">
        <f>IF(XT!$P25&gt;0,N25,"")</f>
        <v/>
      </c>
      <c r="P25" s="12" t="str">
        <f>IF(XT!$P25=0,N25,"")</f>
        <v/>
      </c>
      <c r="Q25">
        <f>SUMPRODUCT((MONTH(CHOOSE({1,2,3,4},XT!U25,XT!Y25,XT!AC25,XT!AG25))=5)*(CHOOSE({1,2,3,4},XT!X25,XT!AB25,XT!AF25,XT!AJ25)))</f>
        <v>0</v>
      </c>
      <c r="R25" t="str">
        <f>IFERROR(INDEX(CHOOSE({1,2,3,4}, DAY(XT!U25), DAY(XT!Y25), DAY(XT!AC25), DAY(XT!AG25)), MATCH(1, INDEX(--(MONTH(CHOOSE({1,2,3,4}, XT!U25,XT!Y25,XT!AC25,XT!AG25))=5), 0), 0)), "")</f>
        <v/>
      </c>
      <c r="S25" s="12" t="str">
        <f>IF(XT!$P25&gt;0,R25,"")</f>
        <v/>
      </c>
      <c r="T25" s="12" t="str">
        <f>IF(XT!$P25=0,R25,"")</f>
        <v/>
      </c>
      <c r="U25">
        <f>SUMPRODUCT((MONTH(CHOOSE({1,2,3,4},XT!U25,XT!Y25,XT!AC25,XT!AG25))=6)*(CHOOSE({1,2,3,4},XT!X25,XT!AB25,XT!AF25,XT!AJ25)))</f>
        <v>0</v>
      </c>
      <c r="V25" t="str">
        <f>IFERROR(INDEX(CHOOSE({1,2,3,4}, DAY(XT!U25), DAY(XT!Y25), DAY(XT!AC25), DAY(XT!AG25)), MATCH(1, INDEX(--(MONTH(CHOOSE({1,2,3,4}, XT!U25,XT!Y25,XT!AC25,XT!AG25))=6), 0), 0)), "")</f>
        <v/>
      </c>
      <c r="W25" s="12" t="str">
        <f>IF(XT!$P25&gt;0,V25,"")</f>
        <v/>
      </c>
      <c r="X25" s="12" t="str">
        <f>IF(XT!$P25=0,V25,"")</f>
        <v/>
      </c>
      <c r="Y25">
        <f>SUMPRODUCT((MONTH(CHOOSE({1,2,3,4},XT!U25,XT!Y25,XT!AC25,XT!AG25))=7)*(CHOOSE({1,2,3,4},XT!X25,XT!AB25,XT!AF25,XT!AJ25)))</f>
        <v>0</v>
      </c>
      <c r="Z25" t="str">
        <f>IFERROR(INDEX(CHOOSE({1,2,3,4}, DAY(XT!U25), DAY(XT!Y25), DAY(XT!AC25), DAY(XT!AG25)), MATCH(1, INDEX(--(MONTH(CHOOSE({1,2,3,4}, XT!U25,XT!Y25,XT!AC25,XT!AG25))=7), 0), 0)), "")</f>
        <v/>
      </c>
      <c r="AA25" s="12" t="str">
        <f>IF(XT!$P25&gt;0,Z25,"")</f>
        <v/>
      </c>
      <c r="AB25" s="12" t="str">
        <f>IF(XT!$P25=0,Z25,"")</f>
        <v/>
      </c>
      <c r="AC25">
        <f>SUMPRODUCT((MONTH(CHOOSE({1,2,3,4},XT!U25,XT!Y25,XT!AC25,XT!AG25))=8)*(CHOOSE({1,2,3,4},XT!X25,XT!AB25,XT!AF25,XT!AJ25)))</f>
        <v>0</v>
      </c>
      <c r="AD25" t="str">
        <f>IFERROR(INDEX(CHOOSE({1,2,3,4}, DAY(XT!U25), DAY(XT!Y25), DAY(XT!AC25), DAY(XT!AG25)), MATCH(1, INDEX(--(MONTH(CHOOSE({1,2,3,4}, XT!U25,XT!Y25,XT!AC25,XT!AG25))=8), 0), 0)), "")</f>
        <v/>
      </c>
      <c r="AE25" s="12" t="str">
        <f>IF(XT!$P25&gt;0,AD25,"")</f>
        <v/>
      </c>
      <c r="AF25" s="12" t="str">
        <f>IF(XT!$P25=0,AD25,"")</f>
        <v/>
      </c>
      <c r="AG25">
        <f>SUMPRODUCT((MONTH(CHOOSE({1,2,3,4},XT!U25,XT!Y25,XT!AC25,XT!AG25))=9)*(CHOOSE({1,2,3,4},XT!X25,XT!AB25,XT!AF25,XT!AJ25)))</f>
        <v>0</v>
      </c>
      <c r="AH25" t="str">
        <f>IFERROR(INDEX(CHOOSE({1,2,3,4}, DAY(XT!U25), DAY(XT!Y25), DAY(XT!AC25), DAY(XT!AG25)), MATCH(1, INDEX(--(MONTH(CHOOSE({1,2,3,4}, XT!U25,XT!Y25,XT!AC25,XT!AG25))=9), 0), 0)), "")</f>
        <v/>
      </c>
      <c r="AI25" s="12" t="str">
        <f>IF(XT!$P25&gt;0,AH25,"")</f>
        <v/>
      </c>
      <c r="AJ25" s="12" t="str">
        <f>IF(XT!$P25=0,AH25,"")</f>
        <v/>
      </c>
      <c r="AK25">
        <f>SUMPRODUCT((MONTH(CHOOSE({1,2,3,4},XT!U25,XT!Y25,XT!AC25,XT!AG25))=10)*(CHOOSE({1,2,3,4},XT!X25,XT!AB25,XT!AF25,XT!AJ25)))</f>
        <v>0</v>
      </c>
      <c r="AL25" t="str">
        <f>IFERROR(INDEX(CHOOSE({1,2,3,4}, DAY(XT!U25), DAY(XT!Y25), DAY(XT!AC25), DAY(XT!AG25)), MATCH(1, INDEX(--(MONTH(CHOOSE({1,2,3,4}, XT!U25,XT!Y25,XT!AC25,XT!AG25))=10), 0), 0)), "")</f>
        <v/>
      </c>
      <c r="AM25" s="12" t="str">
        <f>IF(XT!$P25&gt;0,AL25,"")</f>
        <v/>
      </c>
      <c r="AN25" s="12" t="str">
        <f>IF(XT!$P25=0,AL25,"")</f>
        <v/>
      </c>
      <c r="AO25">
        <f>SUMPRODUCT((MONTH(CHOOSE({1,2,3,4},XT!U25,XT!Y25,XT!AC25,XT!AG25))=11)*(CHOOSE({1,2,3,4},XT!X25,XT!AB25,XT!AF25,XT!AJ25)))</f>
        <v>0</v>
      </c>
      <c r="AP25" t="str">
        <f>IFERROR(INDEX(CHOOSE({1,2,3,4}, DAY(XT!U25), DAY(XT!Y25), DAY(XT!AC25), DAY(XT!AG25)), MATCH(1, INDEX(--(MONTH(CHOOSE({1,2,3,4}, XT!U25,XT!Y25,XT!AC25,XT!AG25))=11), 0), 0)), "")</f>
        <v/>
      </c>
      <c r="AQ25" s="12" t="str">
        <f>IF(XT!$P25&gt;0,AP25,"")</f>
        <v/>
      </c>
      <c r="AR25" s="12" t="str">
        <f>IF(XT!$P25=0,AP25,"")</f>
        <v/>
      </c>
      <c r="AS25">
        <f>SUMPRODUCT((MONTH(CHOOSE({1,2,3,4},XT!U25,XT!Y25,XT!AC25,XT!AG25))=12)*(CHOOSE({1,2,3,4},XT!X25,XT!AB25,XT!AF25,XT!AJ25)))</f>
        <v>0</v>
      </c>
      <c r="AT25" t="str">
        <f>IFERROR(INDEX(CHOOSE({1,2,3,4}, DAY(XT!U25), DAY(XT!Y25), DAY(XT!AC25), DAY(XT!AG25)), MATCH(1, INDEX(--(MONTH(CHOOSE({1,2,3,4}, XT!U25,XT!Y25,XT!AC25,XT!AG25))=12), 0), 0)), "")</f>
        <v/>
      </c>
      <c r="AU25" s="12" t="str">
        <f>IF(XT!$P25&gt;0,AT25,"")</f>
        <v/>
      </c>
      <c r="AV25" s="12" t="str">
        <f>IF(XT!$P25=0,AT25,"")</f>
        <v/>
      </c>
    </row>
    <row r="26" spans="1:48">
      <c r="A26">
        <f>SUMPRODUCT((MONTH(CHOOSE({1,2,3,4},XT!U26,XT!Y26,XT!AC26,XT!AG26))=1)*(CHOOSE({1,2,3,4},XT!X26,XT!AB26,XT!AF26,XT!AJ26)))</f>
        <v>0</v>
      </c>
      <c r="B26">
        <f>IFERROR(INDEX(CHOOSE({1,2,3,4}, DAY(XT!U26), DAY(XT!Y26), DAY(XT!AC26), DAY(XT!AG26)), MATCH(1, INDEX(--(MONTH(CHOOSE({1,2,3,4}, XT!U26,XT!Y26,XT!AC26,XT!AG26))=1), 0), 0)), "")</f>
        <v>0</v>
      </c>
      <c r="C26" s="12" t="str">
        <f>IF(XT!$P26&gt;0,B26,"")</f>
        <v/>
      </c>
      <c r="D26" s="12">
        <f>IF(XT!$P26=0,B26,"")</f>
        <v>0</v>
      </c>
      <c r="E26">
        <f>SUMPRODUCT((MONTH(CHOOSE({1,2,3,4},XT!U26,XT!Y26,XT!AC26,XT!AG26))=2)*(CHOOSE({1,2,3,4},XT!X26,XT!AB26,XT!AF26,XT!AJ26)))</f>
        <v>0</v>
      </c>
      <c r="F26" t="str">
        <f>IFERROR(INDEX(CHOOSE({1,2,3,4}, DAY(XT!U26), DAY(XT!Y26), DAY(XT!AC26), DAY(XT!AG26)), MATCH(1, INDEX(--(MONTH(CHOOSE({1,2,3,4}, XT!U26,XT!Y26,XT!AC26,XT!AG26))=2), 0), 0)), "")</f>
        <v/>
      </c>
      <c r="G26" s="12" t="str">
        <f>IF(XT!$P26&gt;0,F26,"")</f>
        <v/>
      </c>
      <c r="H26" s="12" t="str">
        <f>IF(XT!$P26=0,F26,"")</f>
        <v/>
      </c>
      <c r="I26">
        <f>SUMPRODUCT((MONTH(CHOOSE({1,2,3,4},XT!U26,XT!Y26,XT!AC26,XT!AG26))=3)*(CHOOSE({1,2,3,4},XT!X26,XT!AB26,XT!AF26,XT!AJ26)))</f>
        <v>0</v>
      </c>
      <c r="J26" t="str">
        <f>IFERROR(INDEX(CHOOSE({1,2,3,4}, DAY(XT!U26), DAY(XT!Y26), DAY(XT!AC26), DAY(XT!AG26)), MATCH(1, INDEX(--(MONTH(CHOOSE({1,2,3,4}, XT!U26,XT!Y26,XT!AC26,XT!AG26))=3), 0), 0)), "")</f>
        <v/>
      </c>
      <c r="K26" s="12" t="str">
        <f>IF(XT!$P26&gt;0,J26,"")</f>
        <v/>
      </c>
      <c r="L26" s="12" t="str">
        <f>IF(XT!$P26=0,J26,"")</f>
        <v/>
      </c>
      <c r="M26">
        <f>SUMPRODUCT((MONTH(CHOOSE({1,2,3,4},XT!U26,XT!Y26,XT!AC26,XT!AG26))=4)*(CHOOSE({1,2,3,4},XT!X26,XT!AB26,XT!AF26,XT!AJ26)))</f>
        <v>0</v>
      </c>
      <c r="N26" t="str">
        <f>IFERROR(INDEX(CHOOSE({1,2,3,4}, DAY(XT!U26), DAY(XT!Y26), DAY(XT!AC26), DAY(XT!AG26)), MATCH(1, INDEX(--(MONTH(CHOOSE({1,2,3,4}, XT!U26,XT!Y26,XT!AC26,XT!AG26))=4), 0), 0)), "")</f>
        <v/>
      </c>
      <c r="O26" s="12" t="str">
        <f>IF(XT!$P26&gt;0,N26,"")</f>
        <v/>
      </c>
      <c r="P26" s="12" t="str">
        <f>IF(XT!$P26=0,N26,"")</f>
        <v/>
      </c>
      <c r="Q26">
        <f>SUMPRODUCT((MONTH(CHOOSE({1,2,3,4},XT!U26,XT!Y26,XT!AC26,XT!AG26))=5)*(CHOOSE({1,2,3,4},XT!X26,XT!AB26,XT!AF26,XT!AJ26)))</f>
        <v>0</v>
      </c>
      <c r="R26" t="str">
        <f>IFERROR(INDEX(CHOOSE({1,2,3,4}, DAY(XT!U26), DAY(XT!Y26), DAY(XT!AC26), DAY(XT!AG26)), MATCH(1, INDEX(--(MONTH(CHOOSE({1,2,3,4}, XT!U26,XT!Y26,XT!AC26,XT!AG26))=5), 0), 0)), "")</f>
        <v/>
      </c>
      <c r="S26" s="12" t="str">
        <f>IF(XT!$P26&gt;0,R26,"")</f>
        <v/>
      </c>
      <c r="T26" s="12" t="str">
        <f>IF(XT!$P26=0,R26,"")</f>
        <v/>
      </c>
      <c r="U26">
        <f>SUMPRODUCT((MONTH(CHOOSE({1,2,3,4},XT!U26,XT!Y26,XT!AC26,XT!AG26))=6)*(CHOOSE({1,2,3,4},XT!X26,XT!AB26,XT!AF26,XT!AJ26)))</f>
        <v>0</v>
      </c>
      <c r="V26" t="str">
        <f>IFERROR(INDEX(CHOOSE({1,2,3,4}, DAY(XT!U26), DAY(XT!Y26), DAY(XT!AC26), DAY(XT!AG26)), MATCH(1, INDEX(--(MONTH(CHOOSE({1,2,3,4}, XT!U26,XT!Y26,XT!AC26,XT!AG26))=6), 0), 0)), "")</f>
        <v/>
      </c>
      <c r="W26" s="12" t="str">
        <f>IF(XT!$P26&gt;0,V26,"")</f>
        <v/>
      </c>
      <c r="X26" s="12" t="str">
        <f>IF(XT!$P26=0,V26,"")</f>
        <v/>
      </c>
      <c r="Y26">
        <f>SUMPRODUCT((MONTH(CHOOSE({1,2,3,4},XT!U26,XT!Y26,XT!AC26,XT!AG26))=7)*(CHOOSE({1,2,3,4},XT!X26,XT!AB26,XT!AF26,XT!AJ26)))</f>
        <v>0</v>
      </c>
      <c r="Z26" t="str">
        <f>IFERROR(INDEX(CHOOSE({1,2,3,4}, DAY(XT!U26), DAY(XT!Y26), DAY(XT!AC26), DAY(XT!AG26)), MATCH(1, INDEX(--(MONTH(CHOOSE({1,2,3,4}, XT!U26,XT!Y26,XT!AC26,XT!AG26))=7), 0), 0)), "")</f>
        <v/>
      </c>
      <c r="AA26" s="12" t="str">
        <f>IF(XT!$P26&gt;0,Z26,"")</f>
        <v/>
      </c>
      <c r="AB26" s="12" t="str">
        <f>IF(XT!$P26=0,Z26,"")</f>
        <v/>
      </c>
      <c r="AC26">
        <f>SUMPRODUCT((MONTH(CHOOSE({1,2,3,4},XT!U26,XT!Y26,XT!AC26,XT!AG26))=8)*(CHOOSE({1,2,3,4},XT!X26,XT!AB26,XT!AF26,XT!AJ26)))</f>
        <v>0</v>
      </c>
      <c r="AD26" t="str">
        <f>IFERROR(INDEX(CHOOSE({1,2,3,4}, DAY(XT!U26), DAY(XT!Y26), DAY(XT!AC26), DAY(XT!AG26)), MATCH(1, INDEX(--(MONTH(CHOOSE({1,2,3,4}, XT!U26,XT!Y26,XT!AC26,XT!AG26))=8), 0), 0)), "")</f>
        <v/>
      </c>
      <c r="AE26" s="12" t="str">
        <f>IF(XT!$P26&gt;0,AD26,"")</f>
        <v/>
      </c>
      <c r="AF26" s="12" t="str">
        <f>IF(XT!$P26=0,AD26,"")</f>
        <v/>
      </c>
      <c r="AG26">
        <f>SUMPRODUCT((MONTH(CHOOSE({1,2,3,4},XT!U26,XT!Y26,XT!AC26,XT!AG26))=9)*(CHOOSE({1,2,3,4},XT!X26,XT!AB26,XT!AF26,XT!AJ26)))</f>
        <v>0</v>
      </c>
      <c r="AH26" t="str">
        <f>IFERROR(INDEX(CHOOSE({1,2,3,4}, DAY(XT!U26), DAY(XT!Y26), DAY(XT!AC26), DAY(XT!AG26)), MATCH(1, INDEX(--(MONTH(CHOOSE({1,2,3,4}, XT!U26,XT!Y26,XT!AC26,XT!AG26))=9), 0), 0)), "")</f>
        <v/>
      </c>
      <c r="AI26" s="12" t="str">
        <f>IF(XT!$P26&gt;0,AH26,"")</f>
        <v/>
      </c>
      <c r="AJ26" s="12" t="str">
        <f>IF(XT!$P26=0,AH26,"")</f>
        <v/>
      </c>
      <c r="AK26">
        <f>SUMPRODUCT((MONTH(CHOOSE({1,2,3,4},XT!U26,XT!Y26,XT!AC26,XT!AG26))=10)*(CHOOSE({1,2,3,4},XT!X26,XT!AB26,XT!AF26,XT!AJ26)))</f>
        <v>0</v>
      </c>
      <c r="AL26" t="str">
        <f>IFERROR(INDEX(CHOOSE({1,2,3,4}, DAY(XT!U26), DAY(XT!Y26), DAY(XT!AC26), DAY(XT!AG26)), MATCH(1, INDEX(--(MONTH(CHOOSE({1,2,3,4}, XT!U26,XT!Y26,XT!AC26,XT!AG26))=10), 0), 0)), "")</f>
        <v/>
      </c>
      <c r="AM26" s="12" t="str">
        <f>IF(XT!$P26&gt;0,AL26,"")</f>
        <v/>
      </c>
      <c r="AN26" s="12" t="str">
        <f>IF(XT!$P26=0,AL26,"")</f>
        <v/>
      </c>
      <c r="AO26">
        <f>SUMPRODUCT((MONTH(CHOOSE({1,2,3,4},XT!U26,XT!Y26,XT!AC26,XT!AG26))=11)*(CHOOSE({1,2,3,4},XT!X26,XT!AB26,XT!AF26,XT!AJ26)))</f>
        <v>0</v>
      </c>
      <c r="AP26" t="str">
        <f>IFERROR(INDEX(CHOOSE({1,2,3,4}, DAY(XT!U26), DAY(XT!Y26), DAY(XT!AC26), DAY(XT!AG26)), MATCH(1, INDEX(--(MONTH(CHOOSE({1,2,3,4}, XT!U26,XT!Y26,XT!AC26,XT!AG26))=11), 0), 0)), "")</f>
        <v/>
      </c>
      <c r="AQ26" s="12" t="str">
        <f>IF(XT!$P26&gt;0,AP26,"")</f>
        <v/>
      </c>
      <c r="AR26" s="12" t="str">
        <f>IF(XT!$P26=0,AP26,"")</f>
        <v/>
      </c>
      <c r="AS26">
        <f>SUMPRODUCT((MONTH(CHOOSE({1,2,3,4},XT!U26,XT!Y26,XT!AC26,XT!AG26))=12)*(CHOOSE({1,2,3,4},XT!X26,XT!AB26,XT!AF26,XT!AJ26)))</f>
        <v>0</v>
      </c>
      <c r="AT26" t="str">
        <f>IFERROR(INDEX(CHOOSE({1,2,3,4}, DAY(XT!U26), DAY(XT!Y26), DAY(XT!AC26), DAY(XT!AG26)), MATCH(1, INDEX(--(MONTH(CHOOSE({1,2,3,4}, XT!U26,XT!Y26,XT!AC26,XT!AG26))=12), 0), 0)), "")</f>
        <v/>
      </c>
      <c r="AU26" s="12" t="str">
        <f>IF(XT!$P26&gt;0,AT26,"")</f>
        <v/>
      </c>
      <c r="AV26" s="12" t="str">
        <f>IF(XT!$P26=0,AT26,"")</f>
        <v/>
      </c>
    </row>
    <row r="27" spans="1:48">
      <c r="A27">
        <f>SUMPRODUCT((MONTH(CHOOSE({1,2,3,4},XT!U27,XT!Y27,XT!AC27,XT!AG27))=1)*(CHOOSE({1,2,3,4},XT!X27,XT!AB27,XT!AF27,XT!AJ27)))</f>
        <v>0</v>
      </c>
      <c r="B27">
        <f>IFERROR(INDEX(CHOOSE({1,2,3,4}, DAY(XT!U27), DAY(XT!Y27), DAY(XT!AC27), DAY(XT!AG27)), MATCH(1, INDEX(--(MONTH(CHOOSE({1,2,3,4}, XT!U27,XT!Y27,XT!AC27,XT!AG27))=1), 0), 0)), "")</f>
        <v>0</v>
      </c>
      <c r="C27" s="12" t="str">
        <f>IF(XT!$P27&gt;0,B27,"")</f>
        <v/>
      </c>
      <c r="D27" s="12">
        <f>IF(XT!$P27=0,B27,"")</f>
        <v>0</v>
      </c>
      <c r="E27">
        <f>SUMPRODUCT((MONTH(CHOOSE({1,2,3,4},XT!U27,XT!Y27,XT!AC27,XT!AG27))=2)*(CHOOSE({1,2,3,4},XT!X27,XT!AB27,XT!AF27,XT!AJ27)))</f>
        <v>0</v>
      </c>
      <c r="F27" t="str">
        <f>IFERROR(INDEX(CHOOSE({1,2,3,4}, DAY(XT!U27), DAY(XT!Y27), DAY(XT!AC27), DAY(XT!AG27)), MATCH(1, INDEX(--(MONTH(CHOOSE({1,2,3,4}, XT!U27,XT!Y27,XT!AC27,XT!AG27))=2), 0), 0)), "")</f>
        <v/>
      </c>
      <c r="G27" s="12" t="str">
        <f>IF(XT!$P27&gt;0,F27,"")</f>
        <v/>
      </c>
      <c r="H27" s="12" t="str">
        <f>IF(XT!$P27=0,F27,"")</f>
        <v/>
      </c>
      <c r="I27">
        <f>SUMPRODUCT((MONTH(CHOOSE({1,2,3,4},XT!U27,XT!Y27,XT!AC27,XT!AG27))=3)*(CHOOSE({1,2,3,4},XT!X27,XT!AB27,XT!AF27,XT!AJ27)))</f>
        <v>0</v>
      </c>
      <c r="J27" t="str">
        <f>IFERROR(INDEX(CHOOSE({1,2,3,4}, DAY(XT!U27), DAY(XT!Y27), DAY(XT!AC27), DAY(XT!AG27)), MATCH(1, INDEX(--(MONTH(CHOOSE({1,2,3,4}, XT!U27,XT!Y27,XT!AC27,XT!AG27))=3), 0), 0)), "")</f>
        <v/>
      </c>
      <c r="K27" s="12" t="str">
        <f>IF(XT!$P27&gt;0,J27,"")</f>
        <v/>
      </c>
      <c r="L27" s="12" t="str">
        <f>IF(XT!$P27=0,J27,"")</f>
        <v/>
      </c>
      <c r="M27">
        <f>SUMPRODUCT((MONTH(CHOOSE({1,2,3,4},XT!U27,XT!Y27,XT!AC27,XT!AG27))=4)*(CHOOSE({1,2,3,4},XT!X27,XT!AB27,XT!AF27,XT!AJ27)))</f>
        <v>0</v>
      </c>
      <c r="N27" t="str">
        <f>IFERROR(INDEX(CHOOSE({1,2,3,4}, DAY(XT!U27), DAY(XT!Y27), DAY(XT!AC27), DAY(XT!AG27)), MATCH(1, INDEX(--(MONTH(CHOOSE({1,2,3,4}, XT!U27,XT!Y27,XT!AC27,XT!AG27))=4), 0), 0)), "")</f>
        <v/>
      </c>
      <c r="O27" s="12" t="str">
        <f>IF(XT!$P27&gt;0,N27,"")</f>
        <v/>
      </c>
      <c r="P27" s="12" t="str">
        <f>IF(XT!$P27=0,N27,"")</f>
        <v/>
      </c>
      <c r="Q27">
        <f>SUMPRODUCT((MONTH(CHOOSE({1,2,3,4},XT!U27,XT!Y27,XT!AC27,XT!AG27))=5)*(CHOOSE({1,2,3,4},XT!X27,XT!AB27,XT!AF27,XT!AJ27)))</f>
        <v>0</v>
      </c>
      <c r="R27" t="str">
        <f>IFERROR(INDEX(CHOOSE({1,2,3,4}, DAY(XT!U27), DAY(XT!Y27), DAY(XT!AC27), DAY(XT!AG27)), MATCH(1, INDEX(--(MONTH(CHOOSE({1,2,3,4}, XT!U27,XT!Y27,XT!AC27,XT!AG27))=5), 0), 0)), "")</f>
        <v/>
      </c>
      <c r="S27" s="12" t="str">
        <f>IF(XT!$P27&gt;0,R27,"")</f>
        <v/>
      </c>
      <c r="T27" s="12" t="str">
        <f>IF(XT!$P27=0,R27,"")</f>
        <v/>
      </c>
      <c r="U27">
        <f>SUMPRODUCT((MONTH(CHOOSE({1,2,3,4},XT!U27,XT!Y27,XT!AC27,XT!AG27))=6)*(CHOOSE({1,2,3,4},XT!X27,XT!AB27,XT!AF27,XT!AJ27)))</f>
        <v>0</v>
      </c>
      <c r="V27" t="str">
        <f>IFERROR(INDEX(CHOOSE({1,2,3,4}, DAY(XT!U27), DAY(XT!Y27), DAY(XT!AC27), DAY(XT!AG27)), MATCH(1, INDEX(--(MONTH(CHOOSE({1,2,3,4}, XT!U27,XT!Y27,XT!AC27,XT!AG27))=6), 0), 0)), "")</f>
        <v/>
      </c>
      <c r="W27" s="12" t="str">
        <f>IF(XT!$P27&gt;0,V27,"")</f>
        <v/>
      </c>
      <c r="X27" s="12" t="str">
        <f>IF(XT!$P27=0,V27,"")</f>
        <v/>
      </c>
      <c r="Y27">
        <f>SUMPRODUCT((MONTH(CHOOSE({1,2,3,4},XT!U27,XT!Y27,XT!AC27,XT!AG27))=7)*(CHOOSE({1,2,3,4},XT!X27,XT!AB27,XT!AF27,XT!AJ27)))</f>
        <v>0</v>
      </c>
      <c r="Z27" t="str">
        <f>IFERROR(INDEX(CHOOSE({1,2,3,4}, DAY(XT!U27), DAY(XT!Y27), DAY(XT!AC27), DAY(XT!AG27)), MATCH(1, INDEX(--(MONTH(CHOOSE({1,2,3,4}, XT!U27,XT!Y27,XT!AC27,XT!AG27))=7), 0), 0)), "")</f>
        <v/>
      </c>
      <c r="AA27" s="12" t="str">
        <f>IF(XT!$P27&gt;0,Z27,"")</f>
        <v/>
      </c>
      <c r="AB27" s="12" t="str">
        <f>IF(XT!$P27=0,Z27,"")</f>
        <v/>
      </c>
      <c r="AC27">
        <f>SUMPRODUCT((MONTH(CHOOSE({1,2,3,4},XT!U27,XT!Y27,XT!AC27,XT!AG27))=8)*(CHOOSE({1,2,3,4},XT!X27,XT!AB27,XT!AF27,XT!AJ27)))</f>
        <v>0</v>
      </c>
      <c r="AD27" t="str">
        <f>IFERROR(INDEX(CHOOSE({1,2,3,4}, DAY(XT!U27), DAY(XT!Y27), DAY(XT!AC27), DAY(XT!AG27)), MATCH(1, INDEX(--(MONTH(CHOOSE({1,2,3,4}, XT!U27,XT!Y27,XT!AC27,XT!AG27))=8), 0), 0)), "")</f>
        <v/>
      </c>
      <c r="AE27" s="12" t="str">
        <f>IF(XT!$P27&gt;0,AD27,"")</f>
        <v/>
      </c>
      <c r="AF27" s="12" t="str">
        <f>IF(XT!$P27=0,AD27,"")</f>
        <v/>
      </c>
      <c r="AG27">
        <f>SUMPRODUCT((MONTH(CHOOSE({1,2,3,4},XT!U27,XT!Y27,XT!AC27,XT!AG27))=9)*(CHOOSE({1,2,3,4},XT!X27,XT!AB27,XT!AF27,XT!AJ27)))</f>
        <v>0</v>
      </c>
      <c r="AH27" t="str">
        <f>IFERROR(INDEX(CHOOSE({1,2,3,4}, DAY(XT!U27), DAY(XT!Y27), DAY(XT!AC27), DAY(XT!AG27)), MATCH(1, INDEX(--(MONTH(CHOOSE({1,2,3,4}, XT!U27,XT!Y27,XT!AC27,XT!AG27))=9), 0), 0)), "")</f>
        <v/>
      </c>
      <c r="AI27" s="12" t="str">
        <f>IF(XT!$P27&gt;0,AH27,"")</f>
        <v/>
      </c>
      <c r="AJ27" s="12" t="str">
        <f>IF(XT!$P27=0,AH27,"")</f>
        <v/>
      </c>
      <c r="AK27">
        <f>SUMPRODUCT((MONTH(CHOOSE({1,2,3,4},XT!U27,XT!Y27,XT!AC27,XT!AG27))=10)*(CHOOSE({1,2,3,4},XT!X27,XT!AB27,XT!AF27,XT!AJ27)))</f>
        <v>0</v>
      </c>
      <c r="AL27" t="str">
        <f>IFERROR(INDEX(CHOOSE({1,2,3,4}, DAY(XT!U27), DAY(XT!Y27), DAY(XT!AC27), DAY(XT!AG27)), MATCH(1, INDEX(--(MONTH(CHOOSE({1,2,3,4}, XT!U27,XT!Y27,XT!AC27,XT!AG27))=10), 0), 0)), "")</f>
        <v/>
      </c>
      <c r="AM27" s="12" t="str">
        <f>IF(XT!$P27&gt;0,AL27,"")</f>
        <v/>
      </c>
      <c r="AN27" s="12" t="str">
        <f>IF(XT!$P27=0,AL27,"")</f>
        <v/>
      </c>
      <c r="AO27">
        <f>SUMPRODUCT((MONTH(CHOOSE({1,2,3,4},XT!U27,XT!Y27,XT!AC27,XT!AG27))=11)*(CHOOSE({1,2,3,4},XT!X27,XT!AB27,XT!AF27,XT!AJ27)))</f>
        <v>0</v>
      </c>
      <c r="AP27" t="str">
        <f>IFERROR(INDEX(CHOOSE({1,2,3,4}, DAY(XT!U27), DAY(XT!Y27), DAY(XT!AC27), DAY(XT!AG27)), MATCH(1, INDEX(--(MONTH(CHOOSE({1,2,3,4}, XT!U27,XT!Y27,XT!AC27,XT!AG27))=11), 0), 0)), "")</f>
        <v/>
      </c>
      <c r="AQ27" s="12" t="str">
        <f>IF(XT!$P27&gt;0,AP27,"")</f>
        <v/>
      </c>
      <c r="AR27" s="12" t="str">
        <f>IF(XT!$P27=0,AP27,"")</f>
        <v/>
      </c>
      <c r="AS27">
        <f>SUMPRODUCT((MONTH(CHOOSE({1,2,3,4},XT!U27,XT!Y27,XT!AC27,XT!AG27))=12)*(CHOOSE({1,2,3,4},XT!X27,XT!AB27,XT!AF27,XT!AJ27)))</f>
        <v>0</v>
      </c>
      <c r="AT27" t="str">
        <f>IFERROR(INDEX(CHOOSE({1,2,3,4}, DAY(XT!U27), DAY(XT!Y27), DAY(XT!AC27), DAY(XT!AG27)), MATCH(1, INDEX(--(MONTH(CHOOSE({1,2,3,4}, XT!U27,XT!Y27,XT!AC27,XT!AG27))=12), 0), 0)), "")</f>
        <v/>
      </c>
      <c r="AU27" s="12" t="str">
        <f>IF(XT!$P27&gt;0,AT27,"")</f>
        <v/>
      </c>
      <c r="AV27" s="12" t="str">
        <f>IF(XT!$P27=0,AT27,"")</f>
        <v/>
      </c>
    </row>
    <row r="28" spans="1:48">
      <c r="A28">
        <f>SUMPRODUCT((MONTH(CHOOSE({1,2,3,4},XT!U28,XT!Y28,XT!AC28,XT!AG28))=1)*(CHOOSE({1,2,3,4},XT!X28,XT!AB28,XT!AF28,XT!AJ28)))</f>
        <v>0</v>
      </c>
      <c r="B28">
        <f>IFERROR(INDEX(CHOOSE({1,2,3,4}, DAY(XT!U28), DAY(XT!Y28), DAY(XT!AC28), DAY(XT!AG28)), MATCH(1, INDEX(--(MONTH(CHOOSE({1,2,3,4}, XT!U28,XT!Y28,XT!AC28,XT!AG28))=1), 0), 0)), "")</f>
        <v>0</v>
      </c>
      <c r="C28" s="12" t="str">
        <f>IF(XT!$P28&gt;0,B28,"")</f>
        <v/>
      </c>
      <c r="D28" s="12">
        <f>IF(XT!$P28=0,B28,"")</f>
        <v>0</v>
      </c>
      <c r="E28">
        <f>SUMPRODUCT((MONTH(CHOOSE({1,2,3,4},XT!U28,XT!Y28,XT!AC28,XT!AG28))=2)*(CHOOSE({1,2,3,4},XT!X28,XT!AB28,XT!AF28,XT!AJ28)))</f>
        <v>0</v>
      </c>
      <c r="F28" t="str">
        <f>IFERROR(INDEX(CHOOSE({1,2,3,4}, DAY(XT!U28), DAY(XT!Y28), DAY(XT!AC28), DAY(XT!AG28)), MATCH(1, INDEX(--(MONTH(CHOOSE({1,2,3,4}, XT!U28,XT!Y28,XT!AC28,XT!AG28))=2), 0), 0)), "")</f>
        <v/>
      </c>
      <c r="G28" s="12" t="str">
        <f>IF(XT!$P28&gt;0,F28,"")</f>
        <v/>
      </c>
      <c r="H28" s="12" t="str">
        <f>IF(XT!$P28=0,F28,"")</f>
        <v/>
      </c>
      <c r="I28">
        <f>SUMPRODUCT((MONTH(CHOOSE({1,2,3,4},XT!U28,XT!Y28,XT!AC28,XT!AG28))=3)*(CHOOSE({1,2,3,4},XT!X28,XT!AB28,XT!AF28,XT!AJ28)))</f>
        <v>0</v>
      </c>
      <c r="J28" t="str">
        <f>IFERROR(INDEX(CHOOSE({1,2,3,4}, DAY(XT!U28), DAY(XT!Y28), DAY(XT!AC28), DAY(XT!AG28)), MATCH(1, INDEX(--(MONTH(CHOOSE({1,2,3,4}, XT!U28,XT!Y28,XT!AC28,XT!AG28))=3), 0), 0)), "")</f>
        <v/>
      </c>
      <c r="K28" s="12" t="str">
        <f>IF(XT!$P28&gt;0,J28,"")</f>
        <v/>
      </c>
      <c r="L28" s="12" t="str">
        <f>IF(XT!$P28=0,J28,"")</f>
        <v/>
      </c>
      <c r="M28">
        <f>SUMPRODUCT((MONTH(CHOOSE({1,2,3,4},XT!U28,XT!Y28,XT!AC28,XT!AG28))=4)*(CHOOSE({1,2,3,4},XT!X28,XT!AB28,XT!AF28,XT!AJ28)))</f>
        <v>0</v>
      </c>
      <c r="N28" t="str">
        <f>IFERROR(INDEX(CHOOSE({1,2,3,4}, DAY(XT!U28), DAY(XT!Y28), DAY(XT!AC28), DAY(XT!AG28)), MATCH(1, INDEX(--(MONTH(CHOOSE({1,2,3,4}, XT!U28,XT!Y28,XT!AC28,XT!AG28))=4), 0), 0)), "")</f>
        <v/>
      </c>
      <c r="O28" s="12" t="str">
        <f>IF(XT!$P28&gt;0,N28,"")</f>
        <v/>
      </c>
      <c r="P28" s="12" t="str">
        <f>IF(XT!$P28=0,N28,"")</f>
        <v/>
      </c>
      <c r="Q28">
        <f>SUMPRODUCT((MONTH(CHOOSE({1,2,3,4},XT!U28,XT!Y28,XT!AC28,XT!AG28))=5)*(CHOOSE({1,2,3,4},XT!X28,XT!AB28,XT!AF28,XT!AJ28)))</f>
        <v>0</v>
      </c>
      <c r="R28" t="str">
        <f>IFERROR(INDEX(CHOOSE({1,2,3,4}, DAY(XT!U28), DAY(XT!Y28), DAY(XT!AC28), DAY(XT!AG28)), MATCH(1, INDEX(--(MONTH(CHOOSE({1,2,3,4}, XT!U28,XT!Y28,XT!AC28,XT!AG28))=5), 0), 0)), "")</f>
        <v/>
      </c>
      <c r="S28" s="12" t="str">
        <f>IF(XT!$P28&gt;0,R28,"")</f>
        <v/>
      </c>
      <c r="T28" s="12" t="str">
        <f>IF(XT!$P28=0,R28,"")</f>
        <v/>
      </c>
      <c r="U28">
        <f>SUMPRODUCT((MONTH(CHOOSE({1,2,3,4},XT!U28,XT!Y28,XT!AC28,XT!AG28))=6)*(CHOOSE({1,2,3,4},XT!X28,XT!AB28,XT!AF28,XT!AJ28)))</f>
        <v>0</v>
      </c>
      <c r="V28" t="str">
        <f>IFERROR(INDEX(CHOOSE({1,2,3,4}, DAY(XT!U28), DAY(XT!Y28), DAY(XT!AC28), DAY(XT!AG28)), MATCH(1, INDEX(--(MONTH(CHOOSE({1,2,3,4}, XT!U28,XT!Y28,XT!AC28,XT!AG28))=6), 0), 0)), "")</f>
        <v/>
      </c>
      <c r="W28" s="12" t="str">
        <f>IF(XT!$P28&gt;0,V28,"")</f>
        <v/>
      </c>
      <c r="X28" s="12" t="str">
        <f>IF(XT!$P28=0,V28,"")</f>
        <v/>
      </c>
      <c r="Y28">
        <f>SUMPRODUCT((MONTH(CHOOSE({1,2,3,4},XT!U28,XT!Y28,XT!AC28,XT!AG28))=7)*(CHOOSE({1,2,3,4},XT!X28,XT!AB28,XT!AF28,XT!AJ28)))</f>
        <v>0</v>
      </c>
      <c r="Z28" t="str">
        <f>IFERROR(INDEX(CHOOSE({1,2,3,4}, DAY(XT!U28), DAY(XT!Y28), DAY(XT!AC28), DAY(XT!AG28)), MATCH(1, INDEX(--(MONTH(CHOOSE({1,2,3,4}, XT!U28,XT!Y28,XT!AC28,XT!AG28))=7), 0), 0)), "")</f>
        <v/>
      </c>
      <c r="AA28" s="12" t="str">
        <f>IF(XT!$P28&gt;0,Z28,"")</f>
        <v/>
      </c>
      <c r="AB28" s="12" t="str">
        <f>IF(XT!$P28=0,Z28,"")</f>
        <v/>
      </c>
      <c r="AC28">
        <f>SUMPRODUCT((MONTH(CHOOSE({1,2,3,4},XT!U28,XT!Y28,XT!AC28,XT!AG28))=8)*(CHOOSE({1,2,3,4},XT!X28,XT!AB28,XT!AF28,XT!AJ28)))</f>
        <v>0</v>
      </c>
      <c r="AD28" t="str">
        <f>IFERROR(INDEX(CHOOSE({1,2,3,4}, DAY(XT!U28), DAY(XT!Y28), DAY(XT!AC28), DAY(XT!AG28)), MATCH(1, INDEX(--(MONTH(CHOOSE({1,2,3,4}, XT!U28,XT!Y28,XT!AC28,XT!AG28))=8), 0), 0)), "")</f>
        <v/>
      </c>
      <c r="AE28" s="12" t="str">
        <f>IF(XT!$P28&gt;0,AD28,"")</f>
        <v/>
      </c>
      <c r="AF28" s="12" t="str">
        <f>IF(XT!$P28=0,AD28,"")</f>
        <v/>
      </c>
      <c r="AG28">
        <f>SUMPRODUCT((MONTH(CHOOSE({1,2,3,4},XT!U28,XT!Y28,XT!AC28,XT!AG28))=9)*(CHOOSE({1,2,3,4},XT!X28,XT!AB28,XT!AF28,XT!AJ28)))</f>
        <v>0</v>
      </c>
      <c r="AH28" t="str">
        <f>IFERROR(INDEX(CHOOSE({1,2,3,4}, DAY(XT!U28), DAY(XT!Y28), DAY(XT!AC28), DAY(XT!AG28)), MATCH(1, INDEX(--(MONTH(CHOOSE({1,2,3,4}, XT!U28,XT!Y28,XT!AC28,XT!AG28))=9), 0), 0)), "")</f>
        <v/>
      </c>
      <c r="AI28" s="12" t="str">
        <f>IF(XT!$P28&gt;0,AH28,"")</f>
        <v/>
      </c>
      <c r="AJ28" s="12" t="str">
        <f>IF(XT!$P28=0,AH28,"")</f>
        <v/>
      </c>
      <c r="AK28">
        <f>SUMPRODUCT((MONTH(CHOOSE({1,2,3,4},XT!U28,XT!Y28,XT!AC28,XT!AG28))=10)*(CHOOSE({1,2,3,4},XT!X28,XT!AB28,XT!AF28,XT!AJ28)))</f>
        <v>0</v>
      </c>
      <c r="AL28" t="str">
        <f>IFERROR(INDEX(CHOOSE({1,2,3,4}, DAY(XT!U28), DAY(XT!Y28), DAY(XT!AC28), DAY(XT!AG28)), MATCH(1, INDEX(--(MONTH(CHOOSE({1,2,3,4}, XT!U28,XT!Y28,XT!AC28,XT!AG28))=10), 0), 0)), "")</f>
        <v/>
      </c>
      <c r="AM28" s="12" t="str">
        <f>IF(XT!$P28&gt;0,AL28,"")</f>
        <v/>
      </c>
      <c r="AN28" s="12" t="str">
        <f>IF(XT!$P28=0,AL28,"")</f>
        <v/>
      </c>
      <c r="AO28">
        <f>SUMPRODUCT((MONTH(CHOOSE({1,2,3,4},XT!U28,XT!Y28,XT!AC28,XT!AG28))=11)*(CHOOSE({1,2,3,4},XT!X28,XT!AB28,XT!AF28,XT!AJ28)))</f>
        <v>0</v>
      </c>
      <c r="AP28" t="str">
        <f>IFERROR(INDEX(CHOOSE({1,2,3,4}, DAY(XT!U28), DAY(XT!Y28), DAY(XT!AC28), DAY(XT!AG28)), MATCH(1, INDEX(--(MONTH(CHOOSE({1,2,3,4}, XT!U28,XT!Y28,XT!AC28,XT!AG28))=11), 0), 0)), "")</f>
        <v/>
      </c>
      <c r="AQ28" s="12" t="str">
        <f>IF(XT!$P28&gt;0,AP28,"")</f>
        <v/>
      </c>
      <c r="AR28" s="12" t="str">
        <f>IF(XT!$P28=0,AP28,"")</f>
        <v/>
      </c>
      <c r="AS28">
        <f>SUMPRODUCT((MONTH(CHOOSE({1,2,3,4},XT!U28,XT!Y28,XT!AC28,XT!AG28))=12)*(CHOOSE({1,2,3,4},XT!X28,XT!AB28,XT!AF28,XT!AJ28)))</f>
        <v>0</v>
      </c>
      <c r="AT28" t="str">
        <f>IFERROR(INDEX(CHOOSE({1,2,3,4}, DAY(XT!U28), DAY(XT!Y28), DAY(XT!AC28), DAY(XT!AG28)), MATCH(1, INDEX(--(MONTH(CHOOSE({1,2,3,4}, XT!U28,XT!Y28,XT!AC28,XT!AG28))=12), 0), 0)), "")</f>
        <v/>
      </c>
      <c r="AU28" s="12" t="str">
        <f>IF(XT!$P28&gt;0,AT28,"")</f>
        <v/>
      </c>
      <c r="AV28" s="12" t="str">
        <f>IF(XT!$P28=0,AT28,"")</f>
        <v/>
      </c>
    </row>
    <row r="29" spans="1:48">
      <c r="A29">
        <f>SUMPRODUCT((MONTH(CHOOSE({1,2,3,4},XT!U29,XT!Y29,XT!AC29,XT!AG29))=1)*(CHOOSE({1,2,3,4},XT!X29,XT!AB29,XT!AF29,XT!AJ29)))</f>
        <v>0</v>
      </c>
      <c r="B29">
        <f>IFERROR(INDEX(CHOOSE({1,2,3,4}, DAY(XT!U29), DAY(XT!Y29), DAY(XT!AC29), DAY(XT!AG29)), MATCH(1, INDEX(--(MONTH(CHOOSE({1,2,3,4}, XT!U29,XT!Y29,XT!AC29,XT!AG29))=1), 0), 0)), "")</f>
        <v>0</v>
      </c>
      <c r="C29" s="12" t="str">
        <f>IF(XT!$P29&gt;0,B29,"")</f>
        <v/>
      </c>
      <c r="D29" s="12">
        <f>IF(XT!$P29=0,B29,"")</f>
        <v>0</v>
      </c>
      <c r="E29">
        <f>SUMPRODUCT((MONTH(CHOOSE({1,2,3,4},XT!U29,XT!Y29,XT!AC29,XT!AG29))=2)*(CHOOSE({1,2,3,4},XT!X29,XT!AB29,XT!AF29,XT!AJ29)))</f>
        <v>0</v>
      </c>
      <c r="F29" t="str">
        <f>IFERROR(INDEX(CHOOSE({1,2,3,4}, DAY(XT!U29), DAY(XT!Y29), DAY(XT!AC29), DAY(XT!AG29)), MATCH(1, INDEX(--(MONTH(CHOOSE({1,2,3,4}, XT!U29,XT!Y29,XT!AC29,XT!AG29))=2), 0), 0)), "")</f>
        <v/>
      </c>
      <c r="G29" s="12" t="str">
        <f>IF(XT!$P29&gt;0,F29,"")</f>
        <v/>
      </c>
      <c r="H29" s="12" t="str">
        <f>IF(XT!$P29=0,F29,"")</f>
        <v/>
      </c>
      <c r="I29">
        <f>SUMPRODUCT((MONTH(CHOOSE({1,2,3,4},XT!U29,XT!Y29,XT!AC29,XT!AG29))=3)*(CHOOSE({1,2,3,4},XT!X29,XT!AB29,XT!AF29,XT!AJ29)))</f>
        <v>0</v>
      </c>
      <c r="J29" t="str">
        <f>IFERROR(INDEX(CHOOSE({1,2,3,4}, DAY(XT!U29), DAY(XT!Y29), DAY(XT!AC29), DAY(XT!AG29)), MATCH(1, INDEX(--(MONTH(CHOOSE({1,2,3,4}, XT!U29,XT!Y29,XT!AC29,XT!AG29))=3), 0), 0)), "")</f>
        <v/>
      </c>
      <c r="K29" s="12" t="str">
        <f>IF(XT!$P29&gt;0,J29,"")</f>
        <v/>
      </c>
      <c r="L29" s="12" t="str">
        <f>IF(XT!$P29=0,J29,"")</f>
        <v/>
      </c>
      <c r="M29">
        <f>SUMPRODUCT((MONTH(CHOOSE({1,2,3,4},XT!U29,XT!Y29,XT!AC29,XT!AG29))=4)*(CHOOSE({1,2,3,4},XT!X29,XT!AB29,XT!AF29,XT!AJ29)))</f>
        <v>0</v>
      </c>
      <c r="N29" t="str">
        <f>IFERROR(INDEX(CHOOSE({1,2,3,4}, DAY(XT!U29), DAY(XT!Y29), DAY(XT!AC29), DAY(XT!AG29)), MATCH(1, INDEX(--(MONTH(CHOOSE({1,2,3,4}, XT!U29,XT!Y29,XT!AC29,XT!AG29))=4), 0), 0)), "")</f>
        <v/>
      </c>
      <c r="O29" s="12" t="str">
        <f>IF(XT!$P29&gt;0,N29,"")</f>
        <v/>
      </c>
      <c r="P29" s="12" t="str">
        <f>IF(XT!$P29=0,N29,"")</f>
        <v/>
      </c>
      <c r="Q29">
        <f>SUMPRODUCT((MONTH(CHOOSE({1,2,3,4},XT!U29,XT!Y29,XT!AC29,XT!AG29))=5)*(CHOOSE({1,2,3,4},XT!X29,XT!AB29,XT!AF29,XT!AJ29)))</f>
        <v>0</v>
      </c>
      <c r="R29" t="str">
        <f>IFERROR(INDEX(CHOOSE({1,2,3,4}, DAY(XT!U29), DAY(XT!Y29), DAY(XT!AC29), DAY(XT!AG29)), MATCH(1, INDEX(--(MONTH(CHOOSE({1,2,3,4}, XT!U29,XT!Y29,XT!AC29,XT!AG29))=5), 0), 0)), "")</f>
        <v/>
      </c>
      <c r="S29" s="12" t="str">
        <f>IF(XT!$P29&gt;0,R29,"")</f>
        <v/>
      </c>
      <c r="T29" s="12" t="str">
        <f>IF(XT!$P29=0,R29,"")</f>
        <v/>
      </c>
      <c r="U29">
        <f>SUMPRODUCT((MONTH(CHOOSE({1,2,3,4},XT!U29,XT!Y29,XT!AC29,XT!AG29))=6)*(CHOOSE({1,2,3,4},XT!X29,XT!AB29,XT!AF29,XT!AJ29)))</f>
        <v>0</v>
      </c>
      <c r="V29" t="str">
        <f>IFERROR(INDEX(CHOOSE({1,2,3,4}, DAY(XT!U29), DAY(XT!Y29), DAY(XT!AC29), DAY(XT!AG29)), MATCH(1, INDEX(--(MONTH(CHOOSE({1,2,3,4}, XT!U29,XT!Y29,XT!AC29,XT!AG29))=6), 0), 0)), "")</f>
        <v/>
      </c>
      <c r="W29" s="12" t="str">
        <f>IF(XT!$P29&gt;0,V29,"")</f>
        <v/>
      </c>
      <c r="X29" s="12" t="str">
        <f>IF(XT!$P29=0,V29,"")</f>
        <v/>
      </c>
      <c r="Y29">
        <f>SUMPRODUCT((MONTH(CHOOSE({1,2,3,4},XT!U29,XT!Y29,XT!AC29,XT!AG29))=7)*(CHOOSE({1,2,3,4},XT!X29,XT!AB29,XT!AF29,XT!AJ29)))</f>
        <v>0</v>
      </c>
      <c r="Z29" t="str">
        <f>IFERROR(INDEX(CHOOSE({1,2,3,4}, DAY(XT!U29), DAY(XT!Y29), DAY(XT!AC29), DAY(XT!AG29)), MATCH(1, INDEX(--(MONTH(CHOOSE({1,2,3,4}, XT!U29,XT!Y29,XT!AC29,XT!AG29))=7), 0), 0)), "")</f>
        <v/>
      </c>
      <c r="AA29" s="12" t="str">
        <f>IF(XT!$P29&gt;0,Z29,"")</f>
        <v/>
      </c>
      <c r="AB29" s="12" t="str">
        <f>IF(XT!$P29=0,Z29,"")</f>
        <v/>
      </c>
      <c r="AC29">
        <f>SUMPRODUCT((MONTH(CHOOSE({1,2,3,4},XT!U29,XT!Y29,XT!AC29,XT!AG29))=8)*(CHOOSE({1,2,3,4},XT!X29,XT!AB29,XT!AF29,XT!AJ29)))</f>
        <v>0</v>
      </c>
      <c r="AD29" t="str">
        <f>IFERROR(INDEX(CHOOSE({1,2,3,4}, DAY(XT!U29), DAY(XT!Y29), DAY(XT!AC29), DAY(XT!AG29)), MATCH(1, INDEX(--(MONTH(CHOOSE({1,2,3,4}, XT!U29,XT!Y29,XT!AC29,XT!AG29))=8), 0), 0)), "")</f>
        <v/>
      </c>
      <c r="AE29" s="12" t="str">
        <f>IF(XT!$P29&gt;0,AD29,"")</f>
        <v/>
      </c>
      <c r="AF29" s="12" t="str">
        <f>IF(XT!$P29=0,AD29,"")</f>
        <v/>
      </c>
      <c r="AG29">
        <f>SUMPRODUCT((MONTH(CHOOSE({1,2,3,4},XT!U29,XT!Y29,XT!AC29,XT!AG29))=9)*(CHOOSE({1,2,3,4},XT!X29,XT!AB29,XT!AF29,XT!AJ29)))</f>
        <v>0</v>
      </c>
      <c r="AH29" t="str">
        <f>IFERROR(INDEX(CHOOSE({1,2,3,4}, DAY(XT!U29), DAY(XT!Y29), DAY(XT!AC29), DAY(XT!AG29)), MATCH(1, INDEX(--(MONTH(CHOOSE({1,2,3,4}, XT!U29,XT!Y29,XT!AC29,XT!AG29))=9), 0), 0)), "")</f>
        <v/>
      </c>
      <c r="AI29" s="12" t="str">
        <f>IF(XT!$P29&gt;0,AH29,"")</f>
        <v/>
      </c>
      <c r="AJ29" s="12" t="str">
        <f>IF(XT!$P29=0,AH29,"")</f>
        <v/>
      </c>
      <c r="AK29">
        <f>SUMPRODUCT((MONTH(CHOOSE({1,2,3,4},XT!U29,XT!Y29,XT!AC29,XT!AG29))=10)*(CHOOSE({1,2,3,4},XT!X29,XT!AB29,XT!AF29,XT!AJ29)))</f>
        <v>0</v>
      </c>
      <c r="AL29" t="str">
        <f>IFERROR(INDEX(CHOOSE({1,2,3,4}, DAY(XT!U29), DAY(XT!Y29), DAY(XT!AC29), DAY(XT!AG29)), MATCH(1, INDEX(--(MONTH(CHOOSE({1,2,3,4}, XT!U29,XT!Y29,XT!AC29,XT!AG29))=10), 0), 0)), "")</f>
        <v/>
      </c>
      <c r="AM29" s="12" t="str">
        <f>IF(XT!$P29&gt;0,AL29,"")</f>
        <v/>
      </c>
      <c r="AN29" s="12" t="str">
        <f>IF(XT!$P29=0,AL29,"")</f>
        <v/>
      </c>
      <c r="AO29">
        <f>SUMPRODUCT((MONTH(CHOOSE({1,2,3,4},XT!U29,XT!Y29,XT!AC29,XT!AG29))=11)*(CHOOSE({1,2,3,4},XT!X29,XT!AB29,XT!AF29,XT!AJ29)))</f>
        <v>0</v>
      </c>
      <c r="AP29" t="str">
        <f>IFERROR(INDEX(CHOOSE({1,2,3,4}, DAY(XT!U29), DAY(XT!Y29), DAY(XT!AC29), DAY(XT!AG29)), MATCH(1, INDEX(--(MONTH(CHOOSE({1,2,3,4}, XT!U29,XT!Y29,XT!AC29,XT!AG29))=11), 0), 0)), "")</f>
        <v/>
      </c>
      <c r="AQ29" s="12" t="str">
        <f>IF(XT!$P29&gt;0,AP29,"")</f>
        <v/>
      </c>
      <c r="AR29" s="12" t="str">
        <f>IF(XT!$P29=0,AP29,"")</f>
        <v/>
      </c>
      <c r="AS29">
        <f>SUMPRODUCT((MONTH(CHOOSE({1,2,3,4},XT!U29,XT!Y29,XT!AC29,XT!AG29))=12)*(CHOOSE({1,2,3,4},XT!X29,XT!AB29,XT!AF29,XT!AJ29)))</f>
        <v>0</v>
      </c>
      <c r="AT29" t="str">
        <f>IFERROR(INDEX(CHOOSE({1,2,3,4}, DAY(XT!U29), DAY(XT!Y29), DAY(XT!AC29), DAY(XT!AG29)), MATCH(1, INDEX(--(MONTH(CHOOSE({1,2,3,4}, XT!U29,XT!Y29,XT!AC29,XT!AG29))=12), 0), 0)), "")</f>
        <v/>
      </c>
      <c r="AU29" s="12" t="str">
        <f>IF(XT!$P29&gt;0,AT29,"")</f>
        <v/>
      </c>
      <c r="AV29" s="12" t="str">
        <f>IF(XT!$P29=0,AT29,"")</f>
        <v/>
      </c>
    </row>
    <row r="30" spans="1:48">
      <c r="A30">
        <f>SUMPRODUCT((MONTH(CHOOSE({1,2,3,4},XT!U30,XT!Y30,XT!AC30,XT!AG30))=1)*(CHOOSE({1,2,3,4},XT!X30,XT!AB30,XT!AF30,XT!AJ30)))</f>
        <v>0</v>
      </c>
      <c r="B30">
        <f>IFERROR(INDEX(CHOOSE({1,2,3,4}, DAY(XT!U30), DAY(XT!Y30), DAY(XT!AC30), DAY(XT!AG30)), MATCH(1, INDEX(--(MONTH(CHOOSE({1,2,3,4}, XT!U30,XT!Y30,XT!AC30,XT!AG30))=1), 0), 0)), "")</f>
        <v>0</v>
      </c>
      <c r="C30" s="12" t="str">
        <f>IF(XT!$P30&gt;0,B30,"")</f>
        <v/>
      </c>
      <c r="D30" s="12">
        <f>IF(XT!$P30=0,B30,"")</f>
        <v>0</v>
      </c>
      <c r="E30">
        <f>SUMPRODUCT((MONTH(CHOOSE({1,2,3,4},XT!U30,XT!Y30,XT!AC30,XT!AG30))=2)*(CHOOSE({1,2,3,4},XT!X30,XT!AB30,XT!AF30,XT!AJ30)))</f>
        <v>0</v>
      </c>
      <c r="F30" t="str">
        <f>IFERROR(INDEX(CHOOSE({1,2,3,4}, DAY(XT!U30), DAY(XT!Y30), DAY(XT!AC30), DAY(XT!AG30)), MATCH(1, INDEX(--(MONTH(CHOOSE({1,2,3,4}, XT!U30,XT!Y30,XT!AC30,XT!AG30))=2), 0), 0)), "")</f>
        <v/>
      </c>
      <c r="G30" s="12" t="str">
        <f>IF(XT!$P30&gt;0,F30,"")</f>
        <v/>
      </c>
      <c r="H30" s="12" t="str">
        <f>IF(XT!$P30=0,F30,"")</f>
        <v/>
      </c>
      <c r="I30">
        <f>SUMPRODUCT((MONTH(CHOOSE({1,2,3,4},XT!U30,XT!Y30,XT!AC30,XT!AG30))=3)*(CHOOSE({1,2,3,4},XT!X30,XT!AB30,XT!AF30,XT!AJ30)))</f>
        <v>0</v>
      </c>
      <c r="J30" t="str">
        <f>IFERROR(INDEX(CHOOSE({1,2,3,4}, DAY(XT!U30), DAY(XT!Y30), DAY(XT!AC30), DAY(XT!AG30)), MATCH(1, INDEX(--(MONTH(CHOOSE({1,2,3,4}, XT!U30,XT!Y30,XT!AC30,XT!AG30))=3), 0), 0)), "")</f>
        <v/>
      </c>
      <c r="K30" s="12" t="str">
        <f>IF(XT!$P30&gt;0,J30,"")</f>
        <v/>
      </c>
      <c r="L30" s="12" t="str">
        <f>IF(XT!$P30=0,J30,"")</f>
        <v/>
      </c>
      <c r="M30">
        <f>SUMPRODUCT((MONTH(CHOOSE({1,2,3,4},XT!U30,XT!Y30,XT!AC30,XT!AG30))=4)*(CHOOSE({1,2,3,4},XT!X30,XT!AB30,XT!AF30,XT!AJ30)))</f>
        <v>0</v>
      </c>
      <c r="N30" t="str">
        <f>IFERROR(INDEX(CHOOSE({1,2,3,4}, DAY(XT!U30), DAY(XT!Y30), DAY(XT!AC30), DAY(XT!AG30)), MATCH(1, INDEX(--(MONTH(CHOOSE({1,2,3,4}, XT!U30,XT!Y30,XT!AC30,XT!AG30))=4), 0), 0)), "")</f>
        <v/>
      </c>
      <c r="O30" s="12" t="str">
        <f>IF(XT!$P30&gt;0,N30,"")</f>
        <v/>
      </c>
      <c r="P30" s="12" t="str">
        <f>IF(XT!$P30=0,N30,"")</f>
        <v/>
      </c>
      <c r="Q30">
        <f>SUMPRODUCT((MONTH(CHOOSE({1,2,3,4},XT!U30,XT!Y30,XT!AC30,XT!AG30))=5)*(CHOOSE({1,2,3,4},XT!X30,XT!AB30,XT!AF30,XT!AJ30)))</f>
        <v>0</v>
      </c>
      <c r="R30" t="str">
        <f>IFERROR(INDEX(CHOOSE({1,2,3,4}, DAY(XT!U30), DAY(XT!Y30), DAY(XT!AC30), DAY(XT!AG30)), MATCH(1, INDEX(--(MONTH(CHOOSE({1,2,3,4}, XT!U30,XT!Y30,XT!AC30,XT!AG30))=5), 0), 0)), "")</f>
        <v/>
      </c>
      <c r="S30" s="12" t="str">
        <f>IF(XT!$P30&gt;0,R30,"")</f>
        <v/>
      </c>
      <c r="T30" s="12" t="str">
        <f>IF(XT!$P30=0,R30,"")</f>
        <v/>
      </c>
      <c r="U30">
        <f>SUMPRODUCT((MONTH(CHOOSE({1,2,3,4},XT!U30,XT!Y30,XT!AC30,XT!AG30))=6)*(CHOOSE({1,2,3,4},XT!X30,XT!AB30,XT!AF30,XT!AJ30)))</f>
        <v>0</v>
      </c>
      <c r="V30" t="str">
        <f>IFERROR(INDEX(CHOOSE({1,2,3,4}, DAY(XT!U30), DAY(XT!Y30), DAY(XT!AC30), DAY(XT!AG30)), MATCH(1, INDEX(--(MONTH(CHOOSE({1,2,3,4}, XT!U30,XT!Y30,XT!AC30,XT!AG30))=6), 0), 0)), "")</f>
        <v/>
      </c>
      <c r="W30" s="12" t="str">
        <f>IF(XT!$P30&gt;0,V30,"")</f>
        <v/>
      </c>
      <c r="X30" s="12" t="str">
        <f>IF(XT!$P30=0,V30,"")</f>
        <v/>
      </c>
      <c r="Y30">
        <f>SUMPRODUCT((MONTH(CHOOSE({1,2,3,4},XT!U30,XT!Y30,XT!AC30,XT!AG30))=7)*(CHOOSE({1,2,3,4},XT!X30,XT!AB30,XT!AF30,XT!AJ30)))</f>
        <v>0</v>
      </c>
      <c r="Z30" t="str">
        <f>IFERROR(INDEX(CHOOSE({1,2,3,4}, DAY(XT!U30), DAY(XT!Y30), DAY(XT!AC30), DAY(XT!AG30)), MATCH(1, INDEX(--(MONTH(CHOOSE({1,2,3,4}, XT!U30,XT!Y30,XT!AC30,XT!AG30))=7), 0), 0)), "")</f>
        <v/>
      </c>
      <c r="AA30" s="12" t="str">
        <f>IF(XT!$P30&gt;0,Z30,"")</f>
        <v/>
      </c>
      <c r="AB30" s="12" t="str">
        <f>IF(XT!$P30=0,Z30,"")</f>
        <v/>
      </c>
      <c r="AC30">
        <f>SUMPRODUCT((MONTH(CHOOSE({1,2,3,4},XT!U30,XT!Y30,XT!AC30,XT!AG30))=8)*(CHOOSE({1,2,3,4},XT!X30,XT!AB30,XT!AF30,XT!AJ30)))</f>
        <v>0</v>
      </c>
      <c r="AD30" t="str">
        <f>IFERROR(INDEX(CHOOSE({1,2,3,4}, DAY(XT!U30), DAY(XT!Y30), DAY(XT!AC30), DAY(XT!AG30)), MATCH(1, INDEX(--(MONTH(CHOOSE({1,2,3,4}, XT!U30,XT!Y30,XT!AC30,XT!AG30))=8), 0), 0)), "")</f>
        <v/>
      </c>
      <c r="AE30" s="12" t="str">
        <f>IF(XT!$P30&gt;0,AD30,"")</f>
        <v/>
      </c>
      <c r="AF30" s="12" t="str">
        <f>IF(XT!$P30=0,AD30,"")</f>
        <v/>
      </c>
      <c r="AG30">
        <f>SUMPRODUCT((MONTH(CHOOSE({1,2,3,4},XT!U30,XT!Y30,XT!AC30,XT!AG30))=9)*(CHOOSE({1,2,3,4},XT!X30,XT!AB30,XT!AF30,XT!AJ30)))</f>
        <v>0</v>
      </c>
      <c r="AH30" t="str">
        <f>IFERROR(INDEX(CHOOSE({1,2,3,4}, DAY(XT!U30), DAY(XT!Y30), DAY(XT!AC30), DAY(XT!AG30)), MATCH(1, INDEX(--(MONTH(CHOOSE({1,2,3,4}, XT!U30,XT!Y30,XT!AC30,XT!AG30))=9), 0), 0)), "")</f>
        <v/>
      </c>
      <c r="AI30" s="12" t="str">
        <f>IF(XT!$P30&gt;0,AH30,"")</f>
        <v/>
      </c>
      <c r="AJ30" s="12" t="str">
        <f>IF(XT!$P30=0,AH30,"")</f>
        <v/>
      </c>
      <c r="AK30">
        <f>SUMPRODUCT((MONTH(CHOOSE({1,2,3,4},XT!U30,XT!Y30,XT!AC30,XT!AG30))=10)*(CHOOSE({1,2,3,4},XT!X30,XT!AB30,XT!AF30,XT!AJ30)))</f>
        <v>0</v>
      </c>
      <c r="AL30" t="str">
        <f>IFERROR(INDEX(CHOOSE({1,2,3,4}, DAY(XT!U30), DAY(XT!Y30), DAY(XT!AC30), DAY(XT!AG30)), MATCH(1, INDEX(--(MONTH(CHOOSE({1,2,3,4}, XT!U30,XT!Y30,XT!AC30,XT!AG30))=10), 0), 0)), "")</f>
        <v/>
      </c>
      <c r="AM30" s="12" t="str">
        <f>IF(XT!$P30&gt;0,AL30,"")</f>
        <v/>
      </c>
      <c r="AN30" s="12" t="str">
        <f>IF(XT!$P30=0,AL30,"")</f>
        <v/>
      </c>
      <c r="AO30">
        <f>SUMPRODUCT((MONTH(CHOOSE({1,2,3,4},XT!U30,XT!Y30,XT!AC30,XT!AG30))=11)*(CHOOSE({1,2,3,4},XT!X30,XT!AB30,XT!AF30,XT!AJ30)))</f>
        <v>0</v>
      </c>
      <c r="AP30" t="str">
        <f>IFERROR(INDEX(CHOOSE({1,2,3,4}, DAY(XT!U30), DAY(XT!Y30), DAY(XT!AC30), DAY(XT!AG30)), MATCH(1, INDEX(--(MONTH(CHOOSE({1,2,3,4}, XT!U30,XT!Y30,XT!AC30,XT!AG30))=11), 0), 0)), "")</f>
        <v/>
      </c>
      <c r="AQ30" s="12" t="str">
        <f>IF(XT!$P30&gt;0,AP30,"")</f>
        <v/>
      </c>
      <c r="AR30" s="12" t="str">
        <f>IF(XT!$P30=0,AP30,"")</f>
        <v/>
      </c>
      <c r="AS30">
        <f>SUMPRODUCT((MONTH(CHOOSE({1,2,3,4},XT!U30,XT!Y30,XT!AC30,XT!AG30))=12)*(CHOOSE({1,2,3,4},XT!X30,XT!AB30,XT!AF30,XT!AJ30)))</f>
        <v>0</v>
      </c>
      <c r="AT30" t="str">
        <f>IFERROR(INDEX(CHOOSE({1,2,3,4}, DAY(XT!U30), DAY(XT!Y30), DAY(XT!AC30), DAY(XT!AG30)), MATCH(1, INDEX(--(MONTH(CHOOSE({1,2,3,4}, XT!U30,XT!Y30,XT!AC30,XT!AG30))=12), 0), 0)), "")</f>
        <v/>
      </c>
      <c r="AU30" s="12" t="str">
        <f>IF(XT!$P30&gt;0,AT30,"")</f>
        <v/>
      </c>
      <c r="AV30" s="12" t="str">
        <f>IF(XT!$P30=0,AT30,"")</f>
        <v/>
      </c>
    </row>
    <row r="31" spans="1:48">
      <c r="A31">
        <f>SUMPRODUCT((MONTH(CHOOSE({1,2,3,4},XT!U31,XT!Y31,XT!AC31,XT!AG31))=1)*(CHOOSE({1,2,3,4},XT!X31,XT!AB31,XT!AF31,XT!AJ31)))</f>
        <v>0</v>
      </c>
      <c r="B31">
        <f>IFERROR(INDEX(CHOOSE({1,2,3,4}, DAY(XT!U31), DAY(XT!Y31), DAY(XT!AC31), DAY(XT!AG31)), MATCH(1, INDEX(--(MONTH(CHOOSE({1,2,3,4}, XT!U31,XT!Y31,XT!AC31,XT!AG31))=1), 0), 0)), "")</f>
        <v>0</v>
      </c>
      <c r="C31" s="12" t="str">
        <f>IF(XT!$P31&gt;0,B31,"")</f>
        <v/>
      </c>
      <c r="D31" s="12">
        <f>IF(XT!$P31=0,B31,"")</f>
        <v>0</v>
      </c>
      <c r="E31">
        <f>SUMPRODUCT((MONTH(CHOOSE({1,2,3,4},XT!U31,XT!Y31,XT!AC31,XT!AG31))=2)*(CHOOSE({1,2,3,4},XT!X31,XT!AB31,XT!AF31,XT!AJ31)))</f>
        <v>0</v>
      </c>
      <c r="F31" t="str">
        <f>IFERROR(INDEX(CHOOSE({1,2,3,4}, DAY(XT!U31), DAY(XT!Y31), DAY(XT!AC31), DAY(XT!AG31)), MATCH(1, INDEX(--(MONTH(CHOOSE({1,2,3,4}, XT!U31,XT!Y31,XT!AC31,XT!AG31))=2), 0), 0)), "")</f>
        <v/>
      </c>
      <c r="G31" s="12" t="str">
        <f>IF(XT!$P31&gt;0,F31,"")</f>
        <v/>
      </c>
      <c r="H31" s="12" t="str">
        <f>IF(XT!$P31=0,F31,"")</f>
        <v/>
      </c>
      <c r="I31">
        <f>SUMPRODUCT((MONTH(CHOOSE({1,2,3,4},XT!U31,XT!Y31,XT!AC31,XT!AG31))=3)*(CHOOSE({1,2,3,4},XT!X31,XT!AB31,XT!AF31,XT!AJ31)))</f>
        <v>0</v>
      </c>
      <c r="J31" t="str">
        <f>IFERROR(INDEX(CHOOSE({1,2,3,4}, DAY(XT!U31), DAY(XT!Y31), DAY(XT!AC31), DAY(XT!AG31)), MATCH(1, INDEX(--(MONTH(CHOOSE({1,2,3,4}, XT!U31,XT!Y31,XT!AC31,XT!AG31))=3), 0), 0)), "")</f>
        <v/>
      </c>
      <c r="K31" s="12" t="str">
        <f>IF(XT!$P31&gt;0,J31,"")</f>
        <v/>
      </c>
      <c r="L31" s="12" t="str">
        <f>IF(XT!$P31=0,J31,"")</f>
        <v/>
      </c>
      <c r="M31">
        <f>SUMPRODUCT((MONTH(CHOOSE({1,2,3,4},XT!U31,XT!Y31,XT!AC31,XT!AG31))=4)*(CHOOSE({1,2,3,4},XT!X31,XT!AB31,XT!AF31,XT!AJ31)))</f>
        <v>0</v>
      </c>
      <c r="N31" t="str">
        <f>IFERROR(INDEX(CHOOSE({1,2,3,4}, DAY(XT!U31), DAY(XT!Y31), DAY(XT!AC31), DAY(XT!AG31)), MATCH(1, INDEX(--(MONTH(CHOOSE({1,2,3,4}, XT!U31,XT!Y31,XT!AC31,XT!AG31))=4), 0), 0)), "")</f>
        <v/>
      </c>
      <c r="O31" s="12" t="str">
        <f>IF(XT!$P31&gt;0,N31,"")</f>
        <v/>
      </c>
      <c r="P31" s="12" t="str">
        <f>IF(XT!$P31=0,N31,"")</f>
        <v/>
      </c>
      <c r="Q31">
        <f>SUMPRODUCT((MONTH(CHOOSE({1,2,3,4},XT!U31,XT!Y31,XT!AC31,XT!AG31))=5)*(CHOOSE({1,2,3,4},XT!X31,XT!AB31,XT!AF31,XT!AJ31)))</f>
        <v>0</v>
      </c>
      <c r="R31" t="str">
        <f>IFERROR(INDEX(CHOOSE({1,2,3,4}, DAY(XT!U31), DAY(XT!Y31), DAY(XT!AC31), DAY(XT!AG31)), MATCH(1, INDEX(--(MONTH(CHOOSE({1,2,3,4}, XT!U31,XT!Y31,XT!AC31,XT!AG31))=5), 0), 0)), "")</f>
        <v/>
      </c>
      <c r="S31" s="12" t="str">
        <f>IF(XT!$P31&gt;0,R31,"")</f>
        <v/>
      </c>
      <c r="T31" s="12" t="str">
        <f>IF(XT!$P31=0,R31,"")</f>
        <v/>
      </c>
      <c r="U31">
        <f>SUMPRODUCT((MONTH(CHOOSE({1,2,3,4},XT!U31,XT!Y31,XT!AC31,XT!AG31))=6)*(CHOOSE({1,2,3,4},XT!X31,XT!AB31,XT!AF31,XT!AJ31)))</f>
        <v>0</v>
      </c>
      <c r="V31" t="str">
        <f>IFERROR(INDEX(CHOOSE({1,2,3,4}, DAY(XT!U31), DAY(XT!Y31), DAY(XT!AC31), DAY(XT!AG31)), MATCH(1, INDEX(--(MONTH(CHOOSE({1,2,3,4}, XT!U31,XT!Y31,XT!AC31,XT!AG31))=6), 0), 0)), "")</f>
        <v/>
      </c>
      <c r="W31" s="12" t="str">
        <f>IF(XT!$P31&gt;0,V31,"")</f>
        <v/>
      </c>
      <c r="X31" s="12" t="str">
        <f>IF(XT!$P31=0,V31,"")</f>
        <v/>
      </c>
      <c r="Y31">
        <f>SUMPRODUCT((MONTH(CHOOSE({1,2,3,4},XT!U31,XT!Y31,XT!AC31,XT!AG31))=7)*(CHOOSE({1,2,3,4},XT!X31,XT!AB31,XT!AF31,XT!AJ31)))</f>
        <v>0</v>
      </c>
      <c r="Z31" t="str">
        <f>IFERROR(INDEX(CHOOSE({1,2,3,4}, DAY(XT!U31), DAY(XT!Y31), DAY(XT!AC31), DAY(XT!AG31)), MATCH(1, INDEX(--(MONTH(CHOOSE({1,2,3,4}, XT!U31,XT!Y31,XT!AC31,XT!AG31))=7), 0), 0)), "")</f>
        <v/>
      </c>
      <c r="AA31" s="12" t="str">
        <f>IF(XT!$P31&gt;0,Z31,"")</f>
        <v/>
      </c>
      <c r="AB31" s="12" t="str">
        <f>IF(XT!$P31=0,Z31,"")</f>
        <v/>
      </c>
      <c r="AC31">
        <f>SUMPRODUCT((MONTH(CHOOSE({1,2,3,4},XT!U31,XT!Y31,XT!AC31,XT!AG31))=8)*(CHOOSE({1,2,3,4},XT!X31,XT!AB31,XT!AF31,XT!AJ31)))</f>
        <v>0</v>
      </c>
      <c r="AD31" t="str">
        <f>IFERROR(INDEX(CHOOSE({1,2,3,4}, DAY(XT!U31), DAY(XT!Y31), DAY(XT!AC31), DAY(XT!AG31)), MATCH(1, INDEX(--(MONTH(CHOOSE({1,2,3,4}, XT!U31,XT!Y31,XT!AC31,XT!AG31))=8), 0), 0)), "")</f>
        <v/>
      </c>
      <c r="AE31" s="12" t="str">
        <f>IF(XT!$P31&gt;0,AD31,"")</f>
        <v/>
      </c>
      <c r="AF31" s="12" t="str">
        <f>IF(XT!$P31=0,AD31,"")</f>
        <v/>
      </c>
      <c r="AG31">
        <f>SUMPRODUCT((MONTH(CHOOSE({1,2,3,4},XT!U31,XT!Y31,XT!AC31,XT!AG31))=9)*(CHOOSE({1,2,3,4},XT!X31,XT!AB31,XT!AF31,XT!AJ31)))</f>
        <v>0</v>
      </c>
      <c r="AH31" t="str">
        <f>IFERROR(INDEX(CHOOSE({1,2,3,4}, DAY(XT!U31), DAY(XT!Y31), DAY(XT!AC31), DAY(XT!AG31)), MATCH(1, INDEX(--(MONTH(CHOOSE({1,2,3,4}, XT!U31,XT!Y31,XT!AC31,XT!AG31))=9), 0), 0)), "")</f>
        <v/>
      </c>
      <c r="AI31" s="12" t="str">
        <f>IF(XT!$P31&gt;0,AH31,"")</f>
        <v/>
      </c>
      <c r="AJ31" s="12" t="str">
        <f>IF(XT!$P31=0,AH31,"")</f>
        <v/>
      </c>
      <c r="AK31">
        <f>SUMPRODUCT((MONTH(CHOOSE({1,2,3,4},XT!U31,XT!Y31,XT!AC31,XT!AG31))=10)*(CHOOSE({1,2,3,4},XT!X31,XT!AB31,XT!AF31,XT!AJ31)))</f>
        <v>0</v>
      </c>
      <c r="AL31" t="str">
        <f>IFERROR(INDEX(CHOOSE({1,2,3,4}, DAY(XT!U31), DAY(XT!Y31), DAY(XT!AC31), DAY(XT!AG31)), MATCH(1, INDEX(--(MONTH(CHOOSE({1,2,3,4}, XT!U31,XT!Y31,XT!AC31,XT!AG31))=10), 0), 0)), "")</f>
        <v/>
      </c>
      <c r="AM31" s="12" t="str">
        <f>IF(XT!$P31&gt;0,AL31,"")</f>
        <v/>
      </c>
      <c r="AN31" s="12" t="str">
        <f>IF(XT!$P31=0,AL31,"")</f>
        <v/>
      </c>
      <c r="AO31">
        <f>SUMPRODUCT((MONTH(CHOOSE({1,2,3,4},XT!U31,XT!Y31,XT!AC31,XT!AG31))=11)*(CHOOSE({1,2,3,4},XT!X31,XT!AB31,XT!AF31,XT!AJ31)))</f>
        <v>0</v>
      </c>
      <c r="AP31" t="str">
        <f>IFERROR(INDEX(CHOOSE({1,2,3,4}, DAY(XT!U31), DAY(XT!Y31), DAY(XT!AC31), DAY(XT!AG31)), MATCH(1, INDEX(--(MONTH(CHOOSE({1,2,3,4}, XT!U31,XT!Y31,XT!AC31,XT!AG31))=11), 0), 0)), "")</f>
        <v/>
      </c>
      <c r="AQ31" s="12" t="str">
        <f>IF(XT!$P31&gt;0,AP31,"")</f>
        <v/>
      </c>
      <c r="AR31" s="12" t="str">
        <f>IF(XT!$P31=0,AP31,"")</f>
        <v/>
      </c>
      <c r="AS31">
        <f>SUMPRODUCT((MONTH(CHOOSE({1,2,3,4},XT!U31,XT!Y31,XT!AC31,XT!AG31))=12)*(CHOOSE({1,2,3,4},XT!X31,XT!AB31,XT!AF31,XT!AJ31)))</f>
        <v>0</v>
      </c>
      <c r="AT31" t="str">
        <f>IFERROR(INDEX(CHOOSE({1,2,3,4}, DAY(XT!U31), DAY(XT!Y31), DAY(XT!AC31), DAY(XT!AG31)), MATCH(1, INDEX(--(MONTH(CHOOSE({1,2,3,4}, XT!U31,XT!Y31,XT!AC31,XT!AG31))=12), 0), 0)), "")</f>
        <v/>
      </c>
      <c r="AU31" s="12" t="str">
        <f>IF(XT!$P31&gt;0,AT31,"")</f>
        <v/>
      </c>
      <c r="AV31" s="12" t="str">
        <f>IF(XT!$P31=0,AT31,"")</f>
        <v/>
      </c>
    </row>
    <row r="32" spans="1:48">
      <c r="A32">
        <f>SUMPRODUCT((MONTH(CHOOSE({1,2,3,4},XT!U32,XT!Y32,XT!AC32,XT!AG32))=1)*(CHOOSE({1,2,3,4},XT!X32,XT!AB32,XT!AF32,XT!AJ32)))</f>
        <v>0</v>
      </c>
      <c r="B32">
        <f>IFERROR(INDEX(CHOOSE({1,2,3,4}, DAY(XT!U32), DAY(XT!Y32), DAY(XT!AC32), DAY(XT!AG32)), MATCH(1, INDEX(--(MONTH(CHOOSE({1,2,3,4}, XT!U32,XT!Y32,XT!AC32,XT!AG32))=1), 0), 0)), "")</f>
        <v>0</v>
      </c>
      <c r="C32" s="12" t="str">
        <f>IF(XT!$P32&gt;0,B32,"")</f>
        <v/>
      </c>
      <c r="D32" s="12">
        <f>IF(XT!$P32=0,B32,"")</f>
        <v>0</v>
      </c>
      <c r="E32">
        <f>SUMPRODUCT((MONTH(CHOOSE({1,2,3,4},XT!U32,XT!Y32,XT!AC32,XT!AG32))=2)*(CHOOSE({1,2,3,4},XT!X32,XT!AB32,XT!AF32,XT!AJ32)))</f>
        <v>0</v>
      </c>
      <c r="F32" t="str">
        <f>IFERROR(INDEX(CHOOSE({1,2,3,4}, DAY(XT!U32), DAY(XT!Y32), DAY(XT!AC32), DAY(XT!AG32)), MATCH(1, INDEX(--(MONTH(CHOOSE({1,2,3,4}, XT!U32,XT!Y32,XT!AC32,XT!AG32))=2), 0), 0)), "")</f>
        <v/>
      </c>
      <c r="G32" s="12" t="str">
        <f>IF(XT!$P32&gt;0,F32,"")</f>
        <v/>
      </c>
      <c r="H32" s="12" t="str">
        <f>IF(XT!$P32=0,F32,"")</f>
        <v/>
      </c>
      <c r="I32">
        <f>SUMPRODUCT((MONTH(CHOOSE({1,2,3,4},XT!U32,XT!Y32,XT!AC32,XT!AG32))=3)*(CHOOSE({1,2,3,4},XT!X32,XT!AB32,XT!AF32,XT!AJ32)))</f>
        <v>0</v>
      </c>
      <c r="J32" t="str">
        <f>IFERROR(INDEX(CHOOSE({1,2,3,4}, DAY(XT!U32), DAY(XT!Y32), DAY(XT!AC32), DAY(XT!AG32)), MATCH(1, INDEX(--(MONTH(CHOOSE({1,2,3,4}, XT!U32,XT!Y32,XT!AC32,XT!AG32))=3), 0), 0)), "")</f>
        <v/>
      </c>
      <c r="K32" s="12" t="str">
        <f>IF(XT!$P32&gt;0,J32,"")</f>
        <v/>
      </c>
      <c r="L32" s="12" t="str">
        <f>IF(XT!$P32=0,J32,"")</f>
        <v/>
      </c>
      <c r="M32">
        <f>SUMPRODUCT((MONTH(CHOOSE({1,2,3,4},XT!U32,XT!Y32,XT!AC32,XT!AG32))=4)*(CHOOSE({1,2,3,4},XT!X32,XT!AB32,XT!AF32,XT!AJ32)))</f>
        <v>0</v>
      </c>
      <c r="N32" t="str">
        <f>IFERROR(INDEX(CHOOSE({1,2,3,4}, DAY(XT!U32), DAY(XT!Y32), DAY(XT!AC32), DAY(XT!AG32)), MATCH(1, INDEX(--(MONTH(CHOOSE({1,2,3,4}, XT!U32,XT!Y32,XT!AC32,XT!AG32))=4), 0), 0)), "")</f>
        <v/>
      </c>
      <c r="O32" s="12" t="str">
        <f>IF(XT!$P32&gt;0,N32,"")</f>
        <v/>
      </c>
      <c r="P32" s="12" t="str">
        <f>IF(XT!$P32=0,N32,"")</f>
        <v/>
      </c>
      <c r="Q32">
        <f>SUMPRODUCT((MONTH(CHOOSE({1,2,3,4},XT!U32,XT!Y32,XT!AC32,XT!AG32))=5)*(CHOOSE({1,2,3,4},XT!X32,XT!AB32,XT!AF32,XT!AJ32)))</f>
        <v>0</v>
      </c>
      <c r="R32" t="str">
        <f>IFERROR(INDEX(CHOOSE({1,2,3,4}, DAY(XT!U32), DAY(XT!Y32), DAY(XT!AC32), DAY(XT!AG32)), MATCH(1, INDEX(--(MONTH(CHOOSE({1,2,3,4}, XT!U32,XT!Y32,XT!AC32,XT!AG32))=5), 0), 0)), "")</f>
        <v/>
      </c>
      <c r="S32" s="12" t="str">
        <f>IF(XT!$P32&gt;0,R32,"")</f>
        <v/>
      </c>
      <c r="T32" s="12" t="str">
        <f>IF(XT!$P32=0,R32,"")</f>
        <v/>
      </c>
      <c r="U32">
        <f>SUMPRODUCT((MONTH(CHOOSE({1,2,3,4},XT!U32,XT!Y32,XT!AC32,XT!AG32))=6)*(CHOOSE({1,2,3,4},XT!X32,XT!AB32,XT!AF32,XT!AJ32)))</f>
        <v>0</v>
      </c>
      <c r="V32" t="str">
        <f>IFERROR(INDEX(CHOOSE({1,2,3,4}, DAY(XT!U32), DAY(XT!Y32), DAY(XT!AC32), DAY(XT!AG32)), MATCH(1, INDEX(--(MONTH(CHOOSE({1,2,3,4}, XT!U32,XT!Y32,XT!AC32,XT!AG32))=6), 0), 0)), "")</f>
        <v/>
      </c>
      <c r="W32" s="12" t="str">
        <f>IF(XT!$P32&gt;0,V32,"")</f>
        <v/>
      </c>
      <c r="X32" s="12" t="str">
        <f>IF(XT!$P32=0,V32,"")</f>
        <v/>
      </c>
      <c r="Y32">
        <f>SUMPRODUCT((MONTH(CHOOSE({1,2,3,4},XT!U32,XT!Y32,XT!AC32,XT!AG32))=7)*(CHOOSE({1,2,3,4},XT!X32,XT!AB32,XT!AF32,XT!AJ32)))</f>
        <v>0</v>
      </c>
      <c r="Z32" t="str">
        <f>IFERROR(INDEX(CHOOSE({1,2,3,4}, DAY(XT!U32), DAY(XT!Y32), DAY(XT!AC32), DAY(XT!AG32)), MATCH(1, INDEX(--(MONTH(CHOOSE({1,2,3,4}, XT!U32,XT!Y32,XT!AC32,XT!AG32))=7), 0), 0)), "")</f>
        <v/>
      </c>
      <c r="AA32" s="12" t="str">
        <f>IF(XT!$P32&gt;0,Z32,"")</f>
        <v/>
      </c>
      <c r="AB32" s="12" t="str">
        <f>IF(XT!$P32=0,Z32,"")</f>
        <v/>
      </c>
      <c r="AC32">
        <f>SUMPRODUCT((MONTH(CHOOSE({1,2,3,4},XT!U32,XT!Y32,XT!AC32,XT!AG32))=8)*(CHOOSE({1,2,3,4},XT!X32,XT!AB32,XT!AF32,XT!AJ32)))</f>
        <v>0</v>
      </c>
      <c r="AD32" t="str">
        <f>IFERROR(INDEX(CHOOSE({1,2,3,4}, DAY(XT!U32), DAY(XT!Y32), DAY(XT!AC32), DAY(XT!AG32)), MATCH(1, INDEX(--(MONTH(CHOOSE({1,2,3,4}, XT!U32,XT!Y32,XT!AC32,XT!AG32))=8), 0), 0)), "")</f>
        <v/>
      </c>
      <c r="AE32" s="12" t="str">
        <f>IF(XT!$P32&gt;0,AD32,"")</f>
        <v/>
      </c>
      <c r="AF32" s="12" t="str">
        <f>IF(XT!$P32=0,AD32,"")</f>
        <v/>
      </c>
      <c r="AG32">
        <f>SUMPRODUCT((MONTH(CHOOSE({1,2,3,4},XT!U32,XT!Y32,XT!AC32,XT!AG32))=9)*(CHOOSE({1,2,3,4},XT!X32,XT!AB32,XT!AF32,XT!AJ32)))</f>
        <v>0</v>
      </c>
      <c r="AH32" t="str">
        <f>IFERROR(INDEX(CHOOSE({1,2,3,4}, DAY(XT!U32), DAY(XT!Y32), DAY(XT!AC32), DAY(XT!AG32)), MATCH(1, INDEX(--(MONTH(CHOOSE({1,2,3,4}, XT!U32,XT!Y32,XT!AC32,XT!AG32))=9), 0), 0)), "")</f>
        <v/>
      </c>
      <c r="AI32" s="12" t="str">
        <f>IF(XT!$P32&gt;0,AH32,"")</f>
        <v/>
      </c>
      <c r="AJ32" s="12" t="str">
        <f>IF(XT!$P32=0,AH32,"")</f>
        <v/>
      </c>
      <c r="AK32">
        <f>SUMPRODUCT((MONTH(CHOOSE({1,2,3,4},XT!U32,XT!Y32,XT!AC32,XT!AG32))=10)*(CHOOSE({1,2,3,4},XT!X32,XT!AB32,XT!AF32,XT!AJ32)))</f>
        <v>0</v>
      </c>
      <c r="AL32" t="str">
        <f>IFERROR(INDEX(CHOOSE({1,2,3,4}, DAY(XT!U32), DAY(XT!Y32), DAY(XT!AC32), DAY(XT!AG32)), MATCH(1, INDEX(--(MONTH(CHOOSE({1,2,3,4}, XT!U32,XT!Y32,XT!AC32,XT!AG32))=10), 0), 0)), "")</f>
        <v/>
      </c>
      <c r="AM32" s="12" t="str">
        <f>IF(XT!$P32&gt;0,AL32,"")</f>
        <v/>
      </c>
      <c r="AN32" s="12" t="str">
        <f>IF(XT!$P32=0,AL32,"")</f>
        <v/>
      </c>
      <c r="AO32">
        <f>SUMPRODUCT((MONTH(CHOOSE({1,2,3,4},XT!U32,XT!Y32,XT!AC32,XT!AG32))=11)*(CHOOSE({1,2,3,4},XT!X32,XT!AB32,XT!AF32,XT!AJ32)))</f>
        <v>0</v>
      </c>
      <c r="AP32" t="str">
        <f>IFERROR(INDEX(CHOOSE({1,2,3,4}, DAY(XT!U32), DAY(XT!Y32), DAY(XT!AC32), DAY(XT!AG32)), MATCH(1, INDEX(--(MONTH(CHOOSE({1,2,3,4}, XT!U32,XT!Y32,XT!AC32,XT!AG32))=11), 0), 0)), "")</f>
        <v/>
      </c>
      <c r="AQ32" s="12" t="str">
        <f>IF(XT!$P32&gt;0,AP32,"")</f>
        <v/>
      </c>
      <c r="AR32" s="12" t="str">
        <f>IF(XT!$P32=0,AP32,"")</f>
        <v/>
      </c>
      <c r="AS32">
        <f>SUMPRODUCT((MONTH(CHOOSE({1,2,3,4},XT!U32,XT!Y32,XT!AC32,XT!AG32))=12)*(CHOOSE({1,2,3,4},XT!X32,XT!AB32,XT!AF32,XT!AJ32)))</f>
        <v>0</v>
      </c>
      <c r="AT32" t="str">
        <f>IFERROR(INDEX(CHOOSE({1,2,3,4}, DAY(XT!U32), DAY(XT!Y32), DAY(XT!AC32), DAY(XT!AG32)), MATCH(1, INDEX(--(MONTH(CHOOSE({1,2,3,4}, XT!U32,XT!Y32,XT!AC32,XT!AG32))=12), 0), 0)), "")</f>
        <v/>
      </c>
      <c r="AU32" s="12" t="str">
        <f>IF(XT!$P32&gt;0,AT32,"")</f>
        <v/>
      </c>
      <c r="AV32" s="12" t="str">
        <f>IF(XT!$P32=0,AT32,"")</f>
        <v/>
      </c>
    </row>
    <row r="33" spans="1:48">
      <c r="A33">
        <f>SUMPRODUCT((MONTH(CHOOSE({1,2,3,4},XT!U33,XT!Y33,XT!AC33,XT!AG33))=1)*(CHOOSE({1,2,3,4},XT!X33,XT!AB33,XT!AF33,XT!AJ33)))</f>
        <v>0</v>
      </c>
      <c r="B33">
        <f>IFERROR(INDEX(CHOOSE({1,2,3,4}, DAY(XT!U33), DAY(XT!Y33), DAY(XT!AC33), DAY(XT!AG33)), MATCH(1, INDEX(--(MONTH(CHOOSE({1,2,3,4}, XT!U33,XT!Y33,XT!AC33,XT!AG33))=1), 0), 0)), "")</f>
        <v>0</v>
      </c>
      <c r="C33" s="12" t="str">
        <f>IF(XT!$P33&gt;0,B33,"")</f>
        <v/>
      </c>
      <c r="D33" s="12">
        <f>IF(XT!$P33=0,B33,"")</f>
        <v>0</v>
      </c>
      <c r="E33">
        <f>SUMPRODUCT((MONTH(CHOOSE({1,2,3,4},XT!U33,XT!Y33,XT!AC33,XT!AG33))=2)*(CHOOSE({1,2,3,4},XT!X33,XT!AB33,XT!AF33,XT!AJ33)))</f>
        <v>0</v>
      </c>
      <c r="F33" t="str">
        <f>IFERROR(INDEX(CHOOSE({1,2,3,4}, DAY(XT!U33), DAY(XT!Y33), DAY(XT!AC33), DAY(XT!AG33)), MATCH(1, INDEX(--(MONTH(CHOOSE({1,2,3,4}, XT!U33,XT!Y33,XT!AC33,XT!AG33))=2), 0), 0)), "")</f>
        <v/>
      </c>
      <c r="G33" s="12" t="str">
        <f>IF(XT!$P33&gt;0,F33,"")</f>
        <v/>
      </c>
      <c r="H33" s="12" t="str">
        <f>IF(XT!$P33=0,F33,"")</f>
        <v/>
      </c>
      <c r="I33">
        <f>SUMPRODUCT((MONTH(CHOOSE({1,2,3,4},XT!U33,XT!Y33,XT!AC33,XT!AG33))=3)*(CHOOSE({1,2,3,4},XT!X33,XT!AB33,XT!AF33,XT!AJ33)))</f>
        <v>0</v>
      </c>
      <c r="J33" t="str">
        <f>IFERROR(INDEX(CHOOSE({1,2,3,4}, DAY(XT!U33), DAY(XT!Y33), DAY(XT!AC33), DAY(XT!AG33)), MATCH(1, INDEX(--(MONTH(CHOOSE({1,2,3,4}, XT!U33,XT!Y33,XT!AC33,XT!AG33))=3), 0), 0)), "")</f>
        <v/>
      </c>
      <c r="K33" s="12" t="str">
        <f>IF(XT!$P33&gt;0,J33,"")</f>
        <v/>
      </c>
      <c r="L33" s="12" t="str">
        <f>IF(XT!$P33=0,J33,"")</f>
        <v/>
      </c>
      <c r="M33">
        <f>SUMPRODUCT((MONTH(CHOOSE({1,2,3,4},XT!U33,XT!Y33,XT!AC33,XT!AG33))=4)*(CHOOSE({1,2,3,4},XT!X33,XT!AB33,XT!AF33,XT!AJ33)))</f>
        <v>0</v>
      </c>
      <c r="N33" t="str">
        <f>IFERROR(INDEX(CHOOSE({1,2,3,4}, DAY(XT!U33), DAY(XT!Y33), DAY(XT!AC33), DAY(XT!AG33)), MATCH(1, INDEX(--(MONTH(CHOOSE({1,2,3,4}, XT!U33,XT!Y33,XT!AC33,XT!AG33))=4), 0), 0)), "")</f>
        <v/>
      </c>
      <c r="O33" s="12" t="str">
        <f>IF(XT!$P33&gt;0,N33,"")</f>
        <v/>
      </c>
      <c r="P33" s="12" t="str">
        <f>IF(XT!$P33=0,N33,"")</f>
        <v/>
      </c>
      <c r="Q33">
        <f>SUMPRODUCT((MONTH(CHOOSE({1,2,3,4},XT!U33,XT!Y33,XT!AC33,XT!AG33))=5)*(CHOOSE({1,2,3,4},XT!X33,XT!AB33,XT!AF33,XT!AJ33)))</f>
        <v>0</v>
      </c>
      <c r="R33" t="str">
        <f>IFERROR(INDEX(CHOOSE({1,2,3,4}, DAY(XT!U33), DAY(XT!Y33), DAY(XT!AC33), DAY(XT!AG33)), MATCH(1, INDEX(--(MONTH(CHOOSE({1,2,3,4}, XT!U33,XT!Y33,XT!AC33,XT!AG33))=5), 0), 0)), "")</f>
        <v/>
      </c>
      <c r="S33" s="12" t="str">
        <f>IF(XT!$P33&gt;0,R33,"")</f>
        <v/>
      </c>
      <c r="T33" s="12" t="str">
        <f>IF(XT!$P33=0,R33,"")</f>
        <v/>
      </c>
      <c r="U33">
        <f>SUMPRODUCT((MONTH(CHOOSE({1,2,3,4},XT!U33,XT!Y33,XT!AC33,XT!AG33))=6)*(CHOOSE({1,2,3,4},XT!X33,XT!AB33,XT!AF33,XT!AJ33)))</f>
        <v>0</v>
      </c>
      <c r="V33" t="str">
        <f>IFERROR(INDEX(CHOOSE({1,2,3,4}, DAY(XT!U33), DAY(XT!Y33), DAY(XT!AC33), DAY(XT!AG33)), MATCH(1, INDEX(--(MONTH(CHOOSE({1,2,3,4}, XT!U33,XT!Y33,XT!AC33,XT!AG33))=6), 0), 0)), "")</f>
        <v/>
      </c>
      <c r="W33" s="12" t="str">
        <f>IF(XT!$P33&gt;0,V33,"")</f>
        <v/>
      </c>
      <c r="X33" s="12" t="str">
        <f>IF(XT!$P33=0,V33,"")</f>
        <v/>
      </c>
      <c r="Y33">
        <f>SUMPRODUCT((MONTH(CHOOSE({1,2,3,4},XT!U33,XT!Y33,XT!AC33,XT!AG33))=7)*(CHOOSE({1,2,3,4},XT!X33,XT!AB33,XT!AF33,XT!AJ33)))</f>
        <v>0</v>
      </c>
      <c r="Z33" t="str">
        <f>IFERROR(INDEX(CHOOSE({1,2,3,4}, DAY(XT!U33), DAY(XT!Y33), DAY(XT!AC33), DAY(XT!AG33)), MATCH(1, INDEX(--(MONTH(CHOOSE({1,2,3,4}, XT!U33,XT!Y33,XT!AC33,XT!AG33))=7), 0), 0)), "")</f>
        <v/>
      </c>
      <c r="AA33" s="12" t="str">
        <f>IF(XT!$P33&gt;0,Z33,"")</f>
        <v/>
      </c>
      <c r="AB33" s="12" t="str">
        <f>IF(XT!$P33=0,Z33,"")</f>
        <v/>
      </c>
      <c r="AC33">
        <f>SUMPRODUCT((MONTH(CHOOSE({1,2,3,4},XT!U33,XT!Y33,XT!AC33,XT!AG33))=8)*(CHOOSE({1,2,3,4},XT!X33,XT!AB33,XT!AF33,XT!AJ33)))</f>
        <v>0</v>
      </c>
      <c r="AD33" t="str">
        <f>IFERROR(INDEX(CHOOSE({1,2,3,4}, DAY(XT!U33), DAY(XT!Y33), DAY(XT!AC33), DAY(XT!AG33)), MATCH(1, INDEX(--(MONTH(CHOOSE({1,2,3,4}, XT!U33,XT!Y33,XT!AC33,XT!AG33))=8), 0), 0)), "")</f>
        <v/>
      </c>
      <c r="AE33" s="12" t="str">
        <f>IF(XT!$P33&gt;0,AD33,"")</f>
        <v/>
      </c>
      <c r="AF33" s="12" t="str">
        <f>IF(XT!$P33=0,AD33,"")</f>
        <v/>
      </c>
      <c r="AG33">
        <f>SUMPRODUCT((MONTH(CHOOSE({1,2,3,4},XT!U33,XT!Y33,XT!AC33,XT!AG33))=9)*(CHOOSE({1,2,3,4},XT!X33,XT!AB33,XT!AF33,XT!AJ33)))</f>
        <v>0</v>
      </c>
      <c r="AH33" t="str">
        <f>IFERROR(INDEX(CHOOSE({1,2,3,4}, DAY(XT!U33), DAY(XT!Y33), DAY(XT!AC33), DAY(XT!AG33)), MATCH(1, INDEX(--(MONTH(CHOOSE({1,2,3,4}, XT!U33,XT!Y33,XT!AC33,XT!AG33))=9), 0), 0)), "")</f>
        <v/>
      </c>
      <c r="AI33" s="12" t="str">
        <f>IF(XT!$P33&gt;0,AH33,"")</f>
        <v/>
      </c>
      <c r="AJ33" s="12" t="str">
        <f>IF(XT!$P33=0,AH33,"")</f>
        <v/>
      </c>
      <c r="AK33">
        <f>SUMPRODUCT((MONTH(CHOOSE({1,2,3,4},XT!U33,XT!Y33,XT!AC33,XT!AG33))=10)*(CHOOSE({1,2,3,4},XT!X33,XT!AB33,XT!AF33,XT!AJ33)))</f>
        <v>0</v>
      </c>
      <c r="AL33" t="str">
        <f>IFERROR(INDEX(CHOOSE({1,2,3,4}, DAY(XT!U33), DAY(XT!Y33), DAY(XT!AC33), DAY(XT!AG33)), MATCH(1, INDEX(--(MONTH(CHOOSE({1,2,3,4}, XT!U33,XT!Y33,XT!AC33,XT!AG33))=10), 0), 0)), "")</f>
        <v/>
      </c>
      <c r="AM33" s="12" t="str">
        <f>IF(XT!$P33&gt;0,AL33,"")</f>
        <v/>
      </c>
      <c r="AN33" s="12" t="str">
        <f>IF(XT!$P33=0,AL33,"")</f>
        <v/>
      </c>
      <c r="AO33">
        <f>SUMPRODUCT((MONTH(CHOOSE({1,2,3,4},XT!U33,XT!Y33,XT!AC33,XT!AG33))=11)*(CHOOSE({1,2,3,4},XT!X33,XT!AB33,XT!AF33,XT!AJ33)))</f>
        <v>0</v>
      </c>
      <c r="AP33" t="str">
        <f>IFERROR(INDEX(CHOOSE({1,2,3,4}, DAY(XT!U33), DAY(XT!Y33), DAY(XT!AC33), DAY(XT!AG33)), MATCH(1, INDEX(--(MONTH(CHOOSE({1,2,3,4}, XT!U33,XT!Y33,XT!AC33,XT!AG33))=11), 0), 0)), "")</f>
        <v/>
      </c>
      <c r="AQ33" s="12" t="str">
        <f>IF(XT!$P33&gt;0,AP33,"")</f>
        <v/>
      </c>
      <c r="AR33" s="12" t="str">
        <f>IF(XT!$P33=0,AP33,"")</f>
        <v/>
      </c>
      <c r="AS33">
        <f>SUMPRODUCT((MONTH(CHOOSE({1,2,3,4},XT!U33,XT!Y33,XT!AC33,XT!AG33))=12)*(CHOOSE({1,2,3,4},XT!X33,XT!AB33,XT!AF33,XT!AJ33)))</f>
        <v>0</v>
      </c>
      <c r="AT33" t="str">
        <f>IFERROR(INDEX(CHOOSE({1,2,3,4}, DAY(XT!U33), DAY(XT!Y33), DAY(XT!AC33), DAY(XT!AG33)), MATCH(1, INDEX(--(MONTH(CHOOSE({1,2,3,4}, XT!U33,XT!Y33,XT!AC33,XT!AG33))=12), 0), 0)), "")</f>
        <v/>
      </c>
      <c r="AU33" s="12" t="str">
        <f>IF(XT!$P33&gt;0,AT33,"")</f>
        <v/>
      </c>
      <c r="AV33" s="12" t="str">
        <f>IF(XT!$P33=0,AT33,"")</f>
        <v/>
      </c>
    </row>
    <row r="34" spans="1:48">
      <c r="A34">
        <f>SUMPRODUCT((MONTH(CHOOSE({1,2,3,4},XT!U34,XT!Y34,XT!AC34,XT!AG34))=1)*(CHOOSE({1,2,3,4},XT!X34,XT!AB34,XT!AF34,XT!AJ34)))</f>
        <v>0</v>
      </c>
      <c r="B34">
        <f>IFERROR(INDEX(CHOOSE({1,2,3,4}, DAY(XT!U34), DAY(XT!Y34), DAY(XT!AC34), DAY(XT!AG34)), MATCH(1, INDEX(--(MONTH(CHOOSE({1,2,3,4}, XT!U34,XT!Y34,XT!AC34,XT!AG34))=1), 0), 0)), "")</f>
        <v>0</v>
      </c>
      <c r="C34" s="12" t="str">
        <f>IF(XT!$P34&gt;0,B34,"")</f>
        <v/>
      </c>
      <c r="D34" s="12">
        <f>IF(XT!$P34=0,B34,"")</f>
        <v>0</v>
      </c>
      <c r="E34">
        <f>SUMPRODUCT((MONTH(CHOOSE({1,2,3,4},XT!U34,XT!Y34,XT!AC34,XT!AG34))=2)*(CHOOSE({1,2,3,4},XT!X34,XT!AB34,XT!AF34,XT!AJ34)))</f>
        <v>0</v>
      </c>
      <c r="F34" t="str">
        <f>IFERROR(INDEX(CHOOSE({1,2,3,4}, DAY(XT!U34), DAY(XT!Y34), DAY(XT!AC34), DAY(XT!AG34)), MATCH(1, INDEX(--(MONTH(CHOOSE({1,2,3,4}, XT!U34,XT!Y34,XT!AC34,XT!AG34))=2), 0), 0)), "")</f>
        <v/>
      </c>
      <c r="G34" s="12" t="str">
        <f>IF(XT!$P34&gt;0,F34,"")</f>
        <v/>
      </c>
      <c r="H34" s="12" t="str">
        <f>IF(XT!$P34=0,F34,"")</f>
        <v/>
      </c>
      <c r="I34">
        <f>SUMPRODUCT((MONTH(CHOOSE({1,2,3,4},XT!U34,XT!Y34,XT!AC34,XT!AG34))=3)*(CHOOSE({1,2,3,4},XT!X34,XT!AB34,XT!AF34,XT!AJ34)))</f>
        <v>0</v>
      </c>
      <c r="J34" t="str">
        <f>IFERROR(INDEX(CHOOSE({1,2,3,4}, DAY(XT!U34), DAY(XT!Y34), DAY(XT!AC34), DAY(XT!AG34)), MATCH(1, INDEX(--(MONTH(CHOOSE({1,2,3,4}, XT!U34,XT!Y34,XT!AC34,XT!AG34))=3), 0), 0)), "")</f>
        <v/>
      </c>
      <c r="K34" s="12" t="str">
        <f>IF(XT!$P34&gt;0,J34,"")</f>
        <v/>
      </c>
      <c r="L34" s="12" t="str">
        <f>IF(XT!$P34=0,J34,"")</f>
        <v/>
      </c>
      <c r="M34">
        <f>SUMPRODUCT((MONTH(CHOOSE({1,2,3,4},XT!U34,XT!Y34,XT!AC34,XT!AG34))=4)*(CHOOSE({1,2,3,4},XT!X34,XT!AB34,XT!AF34,XT!AJ34)))</f>
        <v>0</v>
      </c>
      <c r="N34" t="str">
        <f>IFERROR(INDEX(CHOOSE({1,2,3,4}, DAY(XT!U34), DAY(XT!Y34), DAY(XT!AC34), DAY(XT!AG34)), MATCH(1, INDEX(--(MONTH(CHOOSE({1,2,3,4}, XT!U34,XT!Y34,XT!AC34,XT!AG34))=4), 0), 0)), "")</f>
        <v/>
      </c>
      <c r="O34" s="12" t="str">
        <f>IF(XT!$P34&gt;0,N34,"")</f>
        <v/>
      </c>
      <c r="P34" s="12" t="str">
        <f>IF(XT!$P34=0,N34,"")</f>
        <v/>
      </c>
      <c r="Q34">
        <f>SUMPRODUCT((MONTH(CHOOSE({1,2,3,4},XT!U34,XT!Y34,XT!AC34,XT!AG34))=5)*(CHOOSE({1,2,3,4},XT!X34,XT!AB34,XT!AF34,XT!AJ34)))</f>
        <v>0</v>
      </c>
      <c r="R34" t="str">
        <f>IFERROR(INDEX(CHOOSE({1,2,3,4}, DAY(XT!U34), DAY(XT!Y34), DAY(XT!AC34), DAY(XT!AG34)), MATCH(1, INDEX(--(MONTH(CHOOSE({1,2,3,4}, XT!U34,XT!Y34,XT!AC34,XT!AG34))=5), 0), 0)), "")</f>
        <v/>
      </c>
      <c r="S34" s="12" t="str">
        <f>IF(XT!$P34&gt;0,R34,"")</f>
        <v/>
      </c>
      <c r="T34" s="12" t="str">
        <f>IF(XT!$P34=0,R34,"")</f>
        <v/>
      </c>
      <c r="U34">
        <f>SUMPRODUCT((MONTH(CHOOSE({1,2,3,4},XT!U34,XT!Y34,XT!AC34,XT!AG34))=6)*(CHOOSE({1,2,3,4},XT!X34,XT!AB34,XT!AF34,XT!AJ34)))</f>
        <v>0</v>
      </c>
      <c r="V34" t="str">
        <f>IFERROR(INDEX(CHOOSE({1,2,3,4}, DAY(XT!U34), DAY(XT!Y34), DAY(XT!AC34), DAY(XT!AG34)), MATCH(1, INDEX(--(MONTH(CHOOSE({1,2,3,4}, XT!U34,XT!Y34,XT!AC34,XT!AG34))=6), 0), 0)), "")</f>
        <v/>
      </c>
      <c r="W34" s="12" t="str">
        <f>IF(XT!$P34&gt;0,V34,"")</f>
        <v/>
      </c>
      <c r="X34" s="12" t="str">
        <f>IF(XT!$P34=0,V34,"")</f>
        <v/>
      </c>
      <c r="Y34">
        <f>SUMPRODUCT((MONTH(CHOOSE({1,2,3,4},XT!U34,XT!Y34,XT!AC34,XT!AG34))=7)*(CHOOSE({1,2,3,4},XT!X34,XT!AB34,XT!AF34,XT!AJ34)))</f>
        <v>0</v>
      </c>
      <c r="Z34" t="str">
        <f>IFERROR(INDEX(CHOOSE({1,2,3,4}, DAY(XT!U34), DAY(XT!Y34), DAY(XT!AC34), DAY(XT!AG34)), MATCH(1, INDEX(--(MONTH(CHOOSE({1,2,3,4}, XT!U34,XT!Y34,XT!AC34,XT!AG34))=7), 0), 0)), "")</f>
        <v/>
      </c>
      <c r="AA34" s="12" t="str">
        <f>IF(XT!$P34&gt;0,Z34,"")</f>
        <v/>
      </c>
      <c r="AB34" s="12" t="str">
        <f>IF(XT!$P34=0,Z34,"")</f>
        <v/>
      </c>
      <c r="AC34">
        <f>SUMPRODUCT((MONTH(CHOOSE({1,2,3,4},XT!U34,XT!Y34,XT!AC34,XT!AG34))=8)*(CHOOSE({1,2,3,4},XT!X34,XT!AB34,XT!AF34,XT!AJ34)))</f>
        <v>0</v>
      </c>
      <c r="AD34" t="str">
        <f>IFERROR(INDEX(CHOOSE({1,2,3,4}, DAY(XT!U34), DAY(XT!Y34), DAY(XT!AC34), DAY(XT!AG34)), MATCH(1, INDEX(--(MONTH(CHOOSE({1,2,3,4}, XT!U34,XT!Y34,XT!AC34,XT!AG34))=8), 0), 0)), "")</f>
        <v/>
      </c>
      <c r="AE34" s="12" t="str">
        <f>IF(XT!$P34&gt;0,AD34,"")</f>
        <v/>
      </c>
      <c r="AF34" s="12" t="str">
        <f>IF(XT!$P34=0,AD34,"")</f>
        <v/>
      </c>
      <c r="AG34">
        <f>SUMPRODUCT((MONTH(CHOOSE({1,2,3,4},XT!U34,XT!Y34,XT!AC34,XT!AG34))=9)*(CHOOSE({1,2,3,4},XT!X34,XT!AB34,XT!AF34,XT!AJ34)))</f>
        <v>0</v>
      </c>
      <c r="AH34" t="str">
        <f>IFERROR(INDEX(CHOOSE({1,2,3,4}, DAY(XT!U34), DAY(XT!Y34), DAY(XT!AC34), DAY(XT!AG34)), MATCH(1, INDEX(--(MONTH(CHOOSE({1,2,3,4}, XT!U34,XT!Y34,XT!AC34,XT!AG34))=9), 0), 0)), "")</f>
        <v/>
      </c>
      <c r="AI34" s="12" t="str">
        <f>IF(XT!$P34&gt;0,AH34,"")</f>
        <v/>
      </c>
      <c r="AJ34" s="12" t="str">
        <f>IF(XT!$P34=0,AH34,"")</f>
        <v/>
      </c>
      <c r="AK34">
        <f>SUMPRODUCT((MONTH(CHOOSE({1,2,3,4},XT!U34,XT!Y34,XT!AC34,XT!AG34))=10)*(CHOOSE({1,2,3,4},XT!X34,XT!AB34,XT!AF34,XT!AJ34)))</f>
        <v>0</v>
      </c>
      <c r="AL34" t="str">
        <f>IFERROR(INDEX(CHOOSE({1,2,3,4}, DAY(XT!U34), DAY(XT!Y34), DAY(XT!AC34), DAY(XT!AG34)), MATCH(1, INDEX(--(MONTH(CHOOSE({1,2,3,4}, XT!U34,XT!Y34,XT!AC34,XT!AG34))=10), 0), 0)), "")</f>
        <v/>
      </c>
      <c r="AM34" s="12" t="str">
        <f>IF(XT!$P34&gt;0,AL34,"")</f>
        <v/>
      </c>
      <c r="AN34" s="12" t="str">
        <f>IF(XT!$P34=0,AL34,"")</f>
        <v/>
      </c>
      <c r="AO34">
        <f>SUMPRODUCT((MONTH(CHOOSE({1,2,3,4},XT!U34,XT!Y34,XT!AC34,XT!AG34))=11)*(CHOOSE({1,2,3,4},XT!X34,XT!AB34,XT!AF34,XT!AJ34)))</f>
        <v>0</v>
      </c>
      <c r="AP34" t="str">
        <f>IFERROR(INDEX(CHOOSE({1,2,3,4}, DAY(XT!U34), DAY(XT!Y34), DAY(XT!AC34), DAY(XT!AG34)), MATCH(1, INDEX(--(MONTH(CHOOSE({1,2,3,4}, XT!U34,XT!Y34,XT!AC34,XT!AG34))=11), 0), 0)), "")</f>
        <v/>
      </c>
      <c r="AQ34" s="12" t="str">
        <f>IF(XT!$P34&gt;0,AP34,"")</f>
        <v/>
      </c>
      <c r="AR34" s="12" t="str">
        <f>IF(XT!$P34=0,AP34,"")</f>
        <v/>
      </c>
      <c r="AS34">
        <f>SUMPRODUCT((MONTH(CHOOSE({1,2,3,4},XT!U34,XT!Y34,XT!AC34,XT!AG34))=12)*(CHOOSE({1,2,3,4},XT!X34,XT!AB34,XT!AF34,XT!AJ34)))</f>
        <v>0</v>
      </c>
      <c r="AT34" t="str">
        <f>IFERROR(INDEX(CHOOSE({1,2,3,4}, DAY(XT!U34), DAY(XT!Y34), DAY(XT!AC34), DAY(XT!AG34)), MATCH(1, INDEX(--(MONTH(CHOOSE({1,2,3,4}, XT!U34,XT!Y34,XT!AC34,XT!AG34))=12), 0), 0)), "")</f>
        <v/>
      </c>
      <c r="AU34" s="12" t="str">
        <f>IF(XT!$P34&gt;0,AT34,"")</f>
        <v/>
      </c>
      <c r="AV34" s="12" t="str">
        <f>IF(XT!$P34=0,AT34,"")</f>
        <v/>
      </c>
    </row>
    <row r="35" spans="1:48">
      <c r="A35">
        <f>SUMPRODUCT((MONTH(CHOOSE({1,2,3,4},XT!U35,XT!Y35,XT!AC35,XT!AG35))=1)*(CHOOSE({1,2,3,4},XT!X35,XT!AB35,XT!AF35,XT!AJ35)))</f>
        <v>0</v>
      </c>
      <c r="B35">
        <f>IFERROR(INDEX(CHOOSE({1,2,3,4}, DAY(XT!U35), DAY(XT!Y35), DAY(XT!AC35), DAY(XT!AG35)), MATCH(1, INDEX(--(MONTH(CHOOSE({1,2,3,4}, XT!U35,XT!Y35,XT!AC35,XT!AG35))=1), 0), 0)), "")</f>
        <v>0</v>
      </c>
      <c r="C35" s="12" t="str">
        <f>IF(XT!$P35&gt;0,B35,"")</f>
        <v/>
      </c>
      <c r="D35" s="12">
        <f>IF(XT!$P35=0,B35,"")</f>
        <v>0</v>
      </c>
      <c r="E35">
        <f>SUMPRODUCT((MONTH(CHOOSE({1,2,3,4},XT!U35,XT!Y35,XT!AC35,XT!AG35))=2)*(CHOOSE({1,2,3,4},XT!X35,XT!AB35,XT!AF35,XT!AJ35)))</f>
        <v>0</v>
      </c>
      <c r="F35" t="str">
        <f>IFERROR(INDEX(CHOOSE({1,2,3,4}, DAY(XT!U35), DAY(XT!Y35), DAY(XT!AC35), DAY(XT!AG35)), MATCH(1, INDEX(--(MONTH(CHOOSE({1,2,3,4}, XT!U35,XT!Y35,XT!AC35,XT!AG35))=2), 0), 0)), "")</f>
        <v/>
      </c>
      <c r="G35" s="12" t="str">
        <f>IF(XT!$P35&gt;0,F35,"")</f>
        <v/>
      </c>
      <c r="H35" s="12" t="str">
        <f>IF(XT!$P35=0,F35,"")</f>
        <v/>
      </c>
      <c r="I35">
        <f>SUMPRODUCT((MONTH(CHOOSE({1,2,3,4},XT!U35,XT!Y35,XT!AC35,XT!AG35))=3)*(CHOOSE({1,2,3,4},XT!X35,XT!AB35,XT!AF35,XT!AJ35)))</f>
        <v>0</v>
      </c>
      <c r="J35" t="str">
        <f>IFERROR(INDEX(CHOOSE({1,2,3,4}, DAY(XT!U35), DAY(XT!Y35), DAY(XT!AC35), DAY(XT!AG35)), MATCH(1, INDEX(--(MONTH(CHOOSE({1,2,3,4}, XT!U35,XT!Y35,XT!AC35,XT!AG35))=3), 0), 0)), "")</f>
        <v/>
      </c>
      <c r="K35" s="12" t="str">
        <f>IF(XT!$P35&gt;0,J35,"")</f>
        <v/>
      </c>
      <c r="L35" s="12" t="str">
        <f>IF(XT!$P35=0,J35,"")</f>
        <v/>
      </c>
      <c r="M35">
        <f>SUMPRODUCT((MONTH(CHOOSE({1,2,3,4},XT!U35,XT!Y35,XT!AC35,XT!AG35))=4)*(CHOOSE({1,2,3,4},XT!X35,XT!AB35,XT!AF35,XT!AJ35)))</f>
        <v>0</v>
      </c>
      <c r="N35" t="str">
        <f>IFERROR(INDEX(CHOOSE({1,2,3,4}, DAY(XT!U35), DAY(XT!Y35), DAY(XT!AC35), DAY(XT!AG35)), MATCH(1, INDEX(--(MONTH(CHOOSE({1,2,3,4}, XT!U35,XT!Y35,XT!AC35,XT!AG35))=4), 0), 0)), "")</f>
        <v/>
      </c>
      <c r="O35" s="12" t="str">
        <f>IF(XT!$P35&gt;0,N35,"")</f>
        <v/>
      </c>
      <c r="P35" s="12" t="str">
        <f>IF(XT!$P35=0,N35,"")</f>
        <v/>
      </c>
      <c r="Q35">
        <f>SUMPRODUCT((MONTH(CHOOSE({1,2,3,4},XT!U35,XT!Y35,XT!AC35,XT!AG35))=5)*(CHOOSE({1,2,3,4},XT!X35,XT!AB35,XT!AF35,XT!AJ35)))</f>
        <v>0</v>
      </c>
      <c r="R35" t="str">
        <f>IFERROR(INDEX(CHOOSE({1,2,3,4}, DAY(XT!U35), DAY(XT!Y35), DAY(XT!AC35), DAY(XT!AG35)), MATCH(1, INDEX(--(MONTH(CHOOSE({1,2,3,4}, XT!U35,XT!Y35,XT!AC35,XT!AG35))=5), 0), 0)), "")</f>
        <v/>
      </c>
      <c r="S35" s="12" t="str">
        <f>IF(XT!$P35&gt;0,R35,"")</f>
        <v/>
      </c>
      <c r="T35" s="12" t="str">
        <f>IF(XT!$P35=0,R35,"")</f>
        <v/>
      </c>
      <c r="U35">
        <f>SUMPRODUCT((MONTH(CHOOSE({1,2,3,4},XT!U35,XT!Y35,XT!AC35,XT!AG35))=6)*(CHOOSE({1,2,3,4},XT!X35,XT!AB35,XT!AF35,XT!AJ35)))</f>
        <v>0</v>
      </c>
      <c r="V35" t="str">
        <f>IFERROR(INDEX(CHOOSE({1,2,3,4}, DAY(XT!U35), DAY(XT!Y35), DAY(XT!AC35), DAY(XT!AG35)), MATCH(1, INDEX(--(MONTH(CHOOSE({1,2,3,4}, XT!U35,XT!Y35,XT!AC35,XT!AG35))=6), 0), 0)), "")</f>
        <v/>
      </c>
      <c r="W35" s="12" t="str">
        <f>IF(XT!$P35&gt;0,V35,"")</f>
        <v/>
      </c>
      <c r="X35" s="12" t="str">
        <f>IF(XT!$P35=0,V35,"")</f>
        <v/>
      </c>
      <c r="Y35">
        <f>SUMPRODUCT((MONTH(CHOOSE({1,2,3,4},XT!U35,XT!Y35,XT!AC35,XT!AG35))=7)*(CHOOSE({1,2,3,4},XT!X35,XT!AB35,XT!AF35,XT!AJ35)))</f>
        <v>0</v>
      </c>
      <c r="Z35" t="str">
        <f>IFERROR(INDEX(CHOOSE({1,2,3,4}, DAY(XT!U35), DAY(XT!Y35), DAY(XT!AC35), DAY(XT!AG35)), MATCH(1, INDEX(--(MONTH(CHOOSE({1,2,3,4}, XT!U35,XT!Y35,XT!AC35,XT!AG35))=7), 0), 0)), "")</f>
        <v/>
      </c>
      <c r="AA35" s="12" t="str">
        <f>IF(XT!$P35&gt;0,Z35,"")</f>
        <v/>
      </c>
      <c r="AB35" s="12" t="str">
        <f>IF(XT!$P35=0,Z35,"")</f>
        <v/>
      </c>
      <c r="AC35">
        <f>SUMPRODUCT((MONTH(CHOOSE({1,2,3,4},XT!U35,XT!Y35,XT!AC35,XT!AG35))=8)*(CHOOSE({1,2,3,4},XT!X35,XT!AB35,XT!AF35,XT!AJ35)))</f>
        <v>0</v>
      </c>
      <c r="AD35" t="str">
        <f>IFERROR(INDEX(CHOOSE({1,2,3,4}, DAY(XT!U35), DAY(XT!Y35), DAY(XT!AC35), DAY(XT!AG35)), MATCH(1, INDEX(--(MONTH(CHOOSE({1,2,3,4}, XT!U35,XT!Y35,XT!AC35,XT!AG35))=8), 0), 0)), "")</f>
        <v/>
      </c>
      <c r="AE35" s="12" t="str">
        <f>IF(XT!$P35&gt;0,AD35,"")</f>
        <v/>
      </c>
      <c r="AF35" s="12" t="str">
        <f>IF(XT!$P35=0,AD35,"")</f>
        <v/>
      </c>
      <c r="AG35">
        <f>SUMPRODUCT((MONTH(CHOOSE({1,2,3,4},XT!U35,XT!Y35,XT!AC35,XT!AG35))=9)*(CHOOSE({1,2,3,4},XT!X35,XT!AB35,XT!AF35,XT!AJ35)))</f>
        <v>0</v>
      </c>
      <c r="AH35" t="str">
        <f>IFERROR(INDEX(CHOOSE({1,2,3,4}, DAY(XT!U35), DAY(XT!Y35), DAY(XT!AC35), DAY(XT!AG35)), MATCH(1, INDEX(--(MONTH(CHOOSE({1,2,3,4}, XT!U35,XT!Y35,XT!AC35,XT!AG35))=9), 0), 0)), "")</f>
        <v/>
      </c>
      <c r="AI35" s="12" t="str">
        <f>IF(XT!$P35&gt;0,AH35,"")</f>
        <v/>
      </c>
      <c r="AJ35" s="12" t="str">
        <f>IF(XT!$P35=0,AH35,"")</f>
        <v/>
      </c>
      <c r="AK35">
        <f>SUMPRODUCT((MONTH(CHOOSE({1,2,3,4},XT!U35,XT!Y35,XT!AC35,XT!AG35))=10)*(CHOOSE({1,2,3,4},XT!X35,XT!AB35,XT!AF35,XT!AJ35)))</f>
        <v>0</v>
      </c>
      <c r="AL35" t="str">
        <f>IFERROR(INDEX(CHOOSE({1,2,3,4}, DAY(XT!U35), DAY(XT!Y35), DAY(XT!AC35), DAY(XT!AG35)), MATCH(1, INDEX(--(MONTH(CHOOSE({1,2,3,4}, XT!U35,XT!Y35,XT!AC35,XT!AG35))=10), 0), 0)), "")</f>
        <v/>
      </c>
      <c r="AM35" s="12" t="str">
        <f>IF(XT!$P35&gt;0,AL35,"")</f>
        <v/>
      </c>
      <c r="AN35" s="12" t="str">
        <f>IF(XT!$P35=0,AL35,"")</f>
        <v/>
      </c>
      <c r="AO35">
        <f>SUMPRODUCT((MONTH(CHOOSE({1,2,3,4},XT!U35,XT!Y35,XT!AC35,XT!AG35))=11)*(CHOOSE({1,2,3,4},XT!X35,XT!AB35,XT!AF35,XT!AJ35)))</f>
        <v>0</v>
      </c>
      <c r="AP35" t="str">
        <f>IFERROR(INDEX(CHOOSE({1,2,3,4}, DAY(XT!U35), DAY(XT!Y35), DAY(XT!AC35), DAY(XT!AG35)), MATCH(1, INDEX(--(MONTH(CHOOSE({1,2,3,4}, XT!U35,XT!Y35,XT!AC35,XT!AG35))=11), 0), 0)), "")</f>
        <v/>
      </c>
      <c r="AQ35" s="12" t="str">
        <f>IF(XT!$P35&gt;0,AP35,"")</f>
        <v/>
      </c>
      <c r="AR35" s="12" t="str">
        <f>IF(XT!$P35=0,AP35,"")</f>
        <v/>
      </c>
      <c r="AS35">
        <f>SUMPRODUCT((MONTH(CHOOSE({1,2,3,4},XT!U35,XT!Y35,XT!AC35,XT!AG35))=12)*(CHOOSE({1,2,3,4},XT!X35,XT!AB35,XT!AF35,XT!AJ35)))</f>
        <v>0</v>
      </c>
      <c r="AT35" t="str">
        <f>IFERROR(INDEX(CHOOSE({1,2,3,4}, DAY(XT!U35), DAY(XT!Y35), DAY(XT!AC35), DAY(XT!AG35)), MATCH(1, INDEX(--(MONTH(CHOOSE({1,2,3,4}, XT!U35,XT!Y35,XT!AC35,XT!AG35))=12), 0), 0)), "")</f>
        <v/>
      </c>
      <c r="AU35" s="12" t="str">
        <f>IF(XT!$P35&gt;0,AT35,"")</f>
        <v/>
      </c>
      <c r="AV35" s="12" t="str">
        <f>IF(XT!$P35=0,AT35,"")</f>
        <v/>
      </c>
    </row>
    <row r="36" spans="1:48">
      <c r="A36">
        <f>SUMPRODUCT((MONTH(CHOOSE({1,2,3,4},XT!U36,XT!Y36,XT!AC36,XT!AG36))=1)*(CHOOSE({1,2,3,4},XT!X36,XT!AB36,XT!AF36,XT!AJ36)))</f>
        <v>0</v>
      </c>
      <c r="B36">
        <f>IFERROR(INDEX(CHOOSE({1,2,3,4}, DAY(XT!U36), DAY(XT!Y36), DAY(XT!AC36), DAY(XT!AG36)), MATCH(1, INDEX(--(MONTH(CHOOSE({1,2,3,4}, XT!U36,XT!Y36,XT!AC36,XT!AG36))=1), 0), 0)), "")</f>
        <v>0</v>
      </c>
      <c r="C36" s="12" t="str">
        <f>IF(XT!$P36&gt;0,B36,"")</f>
        <v/>
      </c>
      <c r="D36" s="12">
        <f>IF(XT!$P36=0,B36,"")</f>
        <v>0</v>
      </c>
      <c r="E36">
        <f>SUMPRODUCT((MONTH(CHOOSE({1,2,3,4},XT!U36,XT!Y36,XT!AC36,XT!AG36))=2)*(CHOOSE({1,2,3,4},XT!X36,XT!AB36,XT!AF36,XT!AJ36)))</f>
        <v>0</v>
      </c>
      <c r="F36" t="str">
        <f>IFERROR(INDEX(CHOOSE({1,2,3,4}, DAY(XT!U36), DAY(XT!Y36), DAY(XT!AC36), DAY(XT!AG36)), MATCH(1, INDEX(--(MONTH(CHOOSE({1,2,3,4}, XT!U36,XT!Y36,XT!AC36,XT!AG36))=2), 0), 0)), "")</f>
        <v/>
      </c>
      <c r="G36" s="12" t="str">
        <f>IF(XT!$P36&gt;0,F36,"")</f>
        <v/>
      </c>
      <c r="H36" s="12" t="str">
        <f>IF(XT!$P36=0,F36,"")</f>
        <v/>
      </c>
      <c r="I36">
        <f>SUMPRODUCT((MONTH(CHOOSE({1,2,3,4},XT!U36,XT!Y36,XT!AC36,XT!AG36))=3)*(CHOOSE({1,2,3,4},XT!X36,XT!AB36,XT!AF36,XT!AJ36)))</f>
        <v>0</v>
      </c>
      <c r="J36" t="str">
        <f>IFERROR(INDEX(CHOOSE({1,2,3,4}, DAY(XT!U36), DAY(XT!Y36), DAY(XT!AC36), DAY(XT!AG36)), MATCH(1, INDEX(--(MONTH(CHOOSE({1,2,3,4}, XT!U36,XT!Y36,XT!AC36,XT!AG36))=3), 0), 0)), "")</f>
        <v/>
      </c>
      <c r="K36" s="12" t="str">
        <f>IF(XT!$P36&gt;0,J36,"")</f>
        <v/>
      </c>
      <c r="L36" s="12" t="str">
        <f>IF(XT!$P36=0,J36,"")</f>
        <v/>
      </c>
      <c r="M36">
        <f>SUMPRODUCT((MONTH(CHOOSE({1,2,3,4},XT!U36,XT!Y36,XT!AC36,XT!AG36))=4)*(CHOOSE({1,2,3,4},XT!X36,XT!AB36,XT!AF36,XT!AJ36)))</f>
        <v>0</v>
      </c>
      <c r="N36" t="str">
        <f>IFERROR(INDEX(CHOOSE({1,2,3,4}, DAY(XT!U36), DAY(XT!Y36), DAY(XT!AC36), DAY(XT!AG36)), MATCH(1, INDEX(--(MONTH(CHOOSE({1,2,3,4}, XT!U36,XT!Y36,XT!AC36,XT!AG36))=4), 0), 0)), "")</f>
        <v/>
      </c>
      <c r="O36" s="12" t="str">
        <f>IF(XT!$P36&gt;0,N36,"")</f>
        <v/>
      </c>
      <c r="P36" s="12" t="str">
        <f>IF(XT!$P36=0,N36,"")</f>
        <v/>
      </c>
      <c r="Q36">
        <f>SUMPRODUCT((MONTH(CHOOSE({1,2,3,4},XT!U36,XT!Y36,XT!AC36,XT!AG36))=5)*(CHOOSE({1,2,3,4},XT!X36,XT!AB36,XT!AF36,XT!AJ36)))</f>
        <v>0</v>
      </c>
      <c r="R36" t="str">
        <f>IFERROR(INDEX(CHOOSE({1,2,3,4}, DAY(XT!U36), DAY(XT!Y36), DAY(XT!AC36), DAY(XT!AG36)), MATCH(1, INDEX(--(MONTH(CHOOSE({1,2,3,4}, XT!U36,XT!Y36,XT!AC36,XT!AG36))=5), 0), 0)), "")</f>
        <v/>
      </c>
      <c r="S36" s="12" t="str">
        <f>IF(XT!$P36&gt;0,R36,"")</f>
        <v/>
      </c>
      <c r="T36" s="12" t="str">
        <f>IF(XT!$P36=0,R36,"")</f>
        <v/>
      </c>
      <c r="U36">
        <f>SUMPRODUCT((MONTH(CHOOSE({1,2,3,4},XT!U36,XT!Y36,XT!AC36,XT!AG36))=6)*(CHOOSE({1,2,3,4},XT!X36,XT!AB36,XT!AF36,XT!AJ36)))</f>
        <v>0</v>
      </c>
      <c r="V36" t="str">
        <f>IFERROR(INDEX(CHOOSE({1,2,3,4}, DAY(XT!U36), DAY(XT!Y36), DAY(XT!AC36), DAY(XT!AG36)), MATCH(1, INDEX(--(MONTH(CHOOSE({1,2,3,4}, XT!U36,XT!Y36,XT!AC36,XT!AG36))=6), 0), 0)), "")</f>
        <v/>
      </c>
      <c r="W36" s="12" t="str">
        <f>IF(XT!$P36&gt;0,V36,"")</f>
        <v/>
      </c>
      <c r="X36" s="12" t="str">
        <f>IF(XT!$P36=0,V36,"")</f>
        <v/>
      </c>
      <c r="Y36">
        <f>SUMPRODUCT((MONTH(CHOOSE({1,2,3,4},XT!U36,XT!Y36,XT!AC36,XT!AG36))=7)*(CHOOSE({1,2,3,4},XT!X36,XT!AB36,XT!AF36,XT!AJ36)))</f>
        <v>0</v>
      </c>
      <c r="Z36" t="str">
        <f>IFERROR(INDEX(CHOOSE({1,2,3,4}, DAY(XT!U36), DAY(XT!Y36), DAY(XT!AC36), DAY(XT!AG36)), MATCH(1, INDEX(--(MONTH(CHOOSE({1,2,3,4}, XT!U36,XT!Y36,XT!AC36,XT!AG36))=7), 0), 0)), "")</f>
        <v/>
      </c>
      <c r="AA36" s="12" t="str">
        <f>IF(XT!$P36&gt;0,Z36,"")</f>
        <v/>
      </c>
      <c r="AB36" s="12" t="str">
        <f>IF(XT!$P36=0,Z36,"")</f>
        <v/>
      </c>
      <c r="AC36">
        <f>SUMPRODUCT((MONTH(CHOOSE({1,2,3,4},XT!U36,XT!Y36,XT!AC36,XT!AG36))=8)*(CHOOSE({1,2,3,4},XT!X36,XT!AB36,XT!AF36,XT!AJ36)))</f>
        <v>0</v>
      </c>
      <c r="AD36" t="str">
        <f>IFERROR(INDEX(CHOOSE({1,2,3,4}, DAY(XT!U36), DAY(XT!Y36), DAY(XT!AC36), DAY(XT!AG36)), MATCH(1, INDEX(--(MONTH(CHOOSE({1,2,3,4}, XT!U36,XT!Y36,XT!AC36,XT!AG36))=8), 0), 0)), "")</f>
        <v/>
      </c>
      <c r="AE36" s="12" t="str">
        <f>IF(XT!$P36&gt;0,AD36,"")</f>
        <v/>
      </c>
      <c r="AF36" s="12" t="str">
        <f>IF(XT!$P36=0,AD36,"")</f>
        <v/>
      </c>
      <c r="AG36">
        <f>SUMPRODUCT((MONTH(CHOOSE({1,2,3,4},XT!U36,XT!Y36,XT!AC36,XT!AG36))=9)*(CHOOSE({1,2,3,4},XT!X36,XT!AB36,XT!AF36,XT!AJ36)))</f>
        <v>0</v>
      </c>
      <c r="AH36" t="str">
        <f>IFERROR(INDEX(CHOOSE({1,2,3,4}, DAY(XT!U36), DAY(XT!Y36), DAY(XT!AC36), DAY(XT!AG36)), MATCH(1, INDEX(--(MONTH(CHOOSE({1,2,3,4}, XT!U36,XT!Y36,XT!AC36,XT!AG36))=9), 0), 0)), "")</f>
        <v/>
      </c>
      <c r="AI36" s="12" t="str">
        <f>IF(XT!$P36&gt;0,AH36,"")</f>
        <v/>
      </c>
      <c r="AJ36" s="12" t="str">
        <f>IF(XT!$P36=0,AH36,"")</f>
        <v/>
      </c>
      <c r="AK36">
        <f>SUMPRODUCT((MONTH(CHOOSE({1,2,3,4},XT!U36,XT!Y36,XT!AC36,XT!AG36))=10)*(CHOOSE({1,2,3,4},XT!X36,XT!AB36,XT!AF36,XT!AJ36)))</f>
        <v>0</v>
      </c>
      <c r="AL36" t="str">
        <f>IFERROR(INDEX(CHOOSE({1,2,3,4}, DAY(XT!U36), DAY(XT!Y36), DAY(XT!AC36), DAY(XT!AG36)), MATCH(1, INDEX(--(MONTH(CHOOSE({1,2,3,4}, XT!U36,XT!Y36,XT!AC36,XT!AG36))=10), 0), 0)), "")</f>
        <v/>
      </c>
      <c r="AM36" s="12" t="str">
        <f>IF(XT!$P36&gt;0,AL36,"")</f>
        <v/>
      </c>
      <c r="AN36" s="12" t="str">
        <f>IF(XT!$P36=0,AL36,"")</f>
        <v/>
      </c>
      <c r="AO36">
        <f>SUMPRODUCT((MONTH(CHOOSE({1,2,3,4},XT!U36,XT!Y36,XT!AC36,XT!AG36))=11)*(CHOOSE({1,2,3,4},XT!X36,XT!AB36,XT!AF36,XT!AJ36)))</f>
        <v>0</v>
      </c>
      <c r="AP36" t="str">
        <f>IFERROR(INDEX(CHOOSE({1,2,3,4}, DAY(XT!U36), DAY(XT!Y36), DAY(XT!AC36), DAY(XT!AG36)), MATCH(1, INDEX(--(MONTH(CHOOSE({1,2,3,4}, XT!U36,XT!Y36,XT!AC36,XT!AG36))=11), 0), 0)), "")</f>
        <v/>
      </c>
      <c r="AQ36" s="12" t="str">
        <f>IF(XT!$P36&gt;0,AP36,"")</f>
        <v/>
      </c>
      <c r="AR36" s="12" t="str">
        <f>IF(XT!$P36=0,AP36,"")</f>
        <v/>
      </c>
      <c r="AS36">
        <f>SUMPRODUCT((MONTH(CHOOSE({1,2,3,4},XT!U36,XT!Y36,XT!AC36,XT!AG36))=12)*(CHOOSE({1,2,3,4},XT!X36,XT!AB36,XT!AF36,XT!AJ36)))</f>
        <v>0</v>
      </c>
      <c r="AT36" t="str">
        <f>IFERROR(INDEX(CHOOSE({1,2,3,4}, DAY(XT!U36), DAY(XT!Y36), DAY(XT!AC36), DAY(XT!AG36)), MATCH(1, INDEX(--(MONTH(CHOOSE({1,2,3,4}, XT!U36,XT!Y36,XT!AC36,XT!AG36))=12), 0), 0)), "")</f>
        <v/>
      </c>
      <c r="AU36" s="12" t="str">
        <f>IF(XT!$P36&gt;0,AT36,"")</f>
        <v/>
      </c>
      <c r="AV36" s="12" t="str">
        <f>IF(XT!$P36=0,AT36,"")</f>
        <v/>
      </c>
    </row>
    <row r="37" spans="1:48">
      <c r="A37">
        <f>SUMPRODUCT((MONTH(CHOOSE({1,2,3,4},XT!U37,XT!Y37,XT!AC37,XT!AG37))=1)*(CHOOSE({1,2,3,4},XT!X37,XT!AB37,XT!AF37,XT!AJ37)))</f>
        <v>0</v>
      </c>
      <c r="B37">
        <f>IFERROR(INDEX(CHOOSE({1,2,3,4}, DAY(XT!U37), DAY(XT!Y37), DAY(XT!AC37), DAY(XT!AG37)), MATCH(1, INDEX(--(MONTH(CHOOSE({1,2,3,4}, XT!U37,XT!Y37,XT!AC37,XT!AG37))=1), 0), 0)), "")</f>
        <v>0</v>
      </c>
      <c r="C37" s="12" t="str">
        <f>IF(XT!$P37&gt;0,B37,"")</f>
        <v/>
      </c>
      <c r="D37" s="12">
        <f>IF(XT!$P37=0,B37,"")</f>
        <v>0</v>
      </c>
      <c r="E37">
        <f>SUMPRODUCT((MONTH(CHOOSE({1,2,3,4},XT!U37,XT!Y37,XT!AC37,XT!AG37))=2)*(CHOOSE({1,2,3,4},XT!X37,XT!AB37,XT!AF37,XT!AJ37)))</f>
        <v>0</v>
      </c>
      <c r="F37" t="str">
        <f>IFERROR(INDEX(CHOOSE({1,2,3,4}, DAY(XT!U37), DAY(XT!Y37), DAY(XT!AC37), DAY(XT!AG37)), MATCH(1, INDEX(--(MONTH(CHOOSE({1,2,3,4}, XT!U37,XT!Y37,XT!AC37,XT!AG37))=2), 0), 0)), "")</f>
        <v/>
      </c>
      <c r="G37" s="12" t="str">
        <f>IF(XT!$P37&gt;0,F37,"")</f>
        <v/>
      </c>
      <c r="H37" s="12" t="str">
        <f>IF(XT!$P37=0,F37,"")</f>
        <v/>
      </c>
      <c r="I37">
        <f>SUMPRODUCT((MONTH(CHOOSE({1,2,3,4},XT!U37,XT!Y37,XT!AC37,XT!AG37))=3)*(CHOOSE({1,2,3,4},XT!X37,XT!AB37,XT!AF37,XT!AJ37)))</f>
        <v>0</v>
      </c>
      <c r="J37" t="str">
        <f>IFERROR(INDEX(CHOOSE({1,2,3,4}, DAY(XT!U37), DAY(XT!Y37), DAY(XT!AC37), DAY(XT!AG37)), MATCH(1, INDEX(--(MONTH(CHOOSE({1,2,3,4}, XT!U37,XT!Y37,XT!AC37,XT!AG37))=3), 0), 0)), "")</f>
        <v/>
      </c>
      <c r="K37" s="12" t="str">
        <f>IF(XT!$P37&gt;0,J37,"")</f>
        <v/>
      </c>
      <c r="L37" s="12" t="str">
        <f>IF(XT!$P37=0,J37,"")</f>
        <v/>
      </c>
      <c r="M37">
        <f>SUMPRODUCT((MONTH(CHOOSE({1,2,3,4},XT!U37,XT!Y37,XT!AC37,XT!AG37))=4)*(CHOOSE({1,2,3,4},XT!X37,XT!AB37,XT!AF37,XT!AJ37)))</f>
        <v>0</v>
      </c>
      <c r="N37" t="str">
        <f>IFERROR(INDEX(CHOOSE({1,2,3,4}, DAY(XT!U37), DAY(XT!Y37), DAY(XT!AC37), DAY(XT!AG37)), MATCH(1, INDEX(--(MONTH(CHOOSE({1,2,3,4}, XT!U37,XT!Y37,XT!AC37,XT!AG37))=4), 0), 0)), "")</f>
        <v/>
      </c>
      <c r="O37" s="12" t="str">
        <f>IF(XT!$P37&gt;0,N37,"")</f>
        <v/>
      </c>
      <c r="P37" s="12" t="str">
        <f>IF(XT!$P37=0,N37,"")</f>
        <v/>
      </c>
      <c r="Q37">
        <f>SUMPRODUCT((MONTH(CHOOSE({1,2,3,4},XT!U37,XT!Y37,XT!AC37,XT!AG37))=5)*(CHOOSE({1,2,3,4},XT!X37,XT!AB37,XT!AF37,XT!AJ37)))</f>
        <v>0</v>
      </c>
      <c r="R37" t="str">
        <f>IFERROR(INDEX(CHOOSE({1,2,3,4}, DAY(XT!U37), DAY(XT!Y37), DAY(XT!AC37), DAY(XT!AG37)), MATCH(1, INDEX(--(MONTH(CHOOSE({1,2,3,4}, XT!U37,XT!Y37,XT!AC37,XT!AG37))=5), 0), 0)), "")</f>
        <v/>
      </c>
      <c r="S37" s="12" t="str">
        <f>IF(XT!$P37&gt;0,R37,"")</f>
        <v/>
      </c>
      <c r="T37" s="12" t="str">
        <f>IF(XT!$P37=0,R37,"")</f>
        <v/>
      </c>
      <c r="U37">
        <f>SUMPRODUCT((MONTH(CHOOSE({1,2,3,4},XT!U37,XT!Y37,XT!AC37,XT!AG37))=6)*(CHOOSE({1,2,3,4},XT!X37,XT!AB37,XT!AF37,XT!AJ37)))</f>
        <v>0</v>
      </c>
      <c r="V37" t="str">
        <f>IFERROR(INDEX(CHOOSE({1,2,3,4}, DAY(XT!U37), DAY(XT!Y37), DAY(XT!AC37), DAY(XT!AG37)), MATCH(1, INDEX(--(MONTH(CHOOSE({1,2,3,4}, XT!U37,XT!Y37,XT!AC37,XT!AG37))=6), 0), 0)), "")</f>
        <v/>
      </c>
      <c r="W37" s="12" t="str">
        <f>IF(XT!$P37&gt;0,V37,"")</f>
        <v/>
      </c>
      <c r="X37" s="12" t="str">
        <f>IF(XT!$P37=0,V37,"")</f>
        <v/>
      </c>
      <c r="Y37">
        <f>SUMPRODUCT((MONTH(CHOOSE({1,2,3,4},XT!U37,XT!Y37,XT!AC37,XT!AG37))=7)*(CHOOSE({1,2,3,4},XT!X37,XT!AB37,XT!AF37,XT!AJ37)))</f>
        <v>0</v>
      </c>
      <c r="Z37" t="str">
        <f>IFERROR(INDEX(CHOOSE({1,2,3,4}, DAY(XT!U37), DAY(XT!Y37), DAY(XT!AC37), DAY(XT!AG37)), MATCH(1, INDEX(--(MONTH(CHOOSE({1,2,3,4}, XT!U37,XT!Y37,XT!AC37,XT!AG37))=7), 0), 0)), "")</f>
        <v/>
      </c>
      <c r="AA37" s="12" t="str">
        <f>IF(XT!$P37&gt;0,Z37,"")</f>
        <v/>
      </c>
      <c r="AB37" s="12" t="str">
        <f>IF(XT!$P37=0,Z37,"")</f>
        <v/>
      </c>
      <c r="AC37">
        <f>SUMPRODUCT((MONTH(CHOOSE({1,2,3,4},XT!U37,XT!Y37,XT!AC37,XT!AG37))=8)*(CHOOSE({1,2,3,4},XT!X37,XT!AB37,XT!AF37,XT!AJ37)))</f>
        <v>0</v>
      </c>
      <c r="AD37" t="str">
        <f>IFERROR(INDEX(CHOOSE({1,2,3,4}, DAY(XT!U37), DAY(XT!Y37), DAY(XT!AC37), DAY(XT!AG37)), MATCH(1, INDEX(--(MONTH(CHOOSE({1,2,3,4}, XT!U37,XT!Y37,XT!AC37,XT!AG37))=8), 0), 0)), "")</f>
        <v/>
      </c>
      <c r="AE37" s="12" t="str">
        <f>IF(XT!$P37&gt;0,AD37,"")</f>
        <v/>
      </c>
      <c r="AF37" s="12" t="str">
        <f>IF(XT!$P37=0,AD37,"")</f>
        <v/>
      </c>
      <c r="AG37">
        <f>SUMPRODUCT((MONTH(CHOOSE({1,2,3,4},XT!U37,XT!Y37,XT!AC37,XT!AG37))=9)*(CHOOSE({1,2,3,4},XT!X37,XT!AB37,XT!AF37,XT!AJ37)))</f>
        <v>0</v>
      </c>
      <c r="AH37" t="str">
        <f>IFERROR(INDEX(CHOOSE({1,2,3,4}, DAY(XT!U37), DAY(XT!Y37), DAY(XT!AC37), DAY(XT!AG37)), MATCH(1, INDEX(--(MONTH(CHOOSE({1,2,3,4}, XT!U37,XT!Y37,XT!AC37,XT!AG37))=9), 0), 0)), "")</f>
        <v/>
      </c>
      <c r="AI37" s="12" t="str">
        <f>IF(XT!$P37&gt;0,AH37,"")</f>
        <v/>
      </c>
      <c r="AJ37" s="12" t="str">
        <f>IF(XT!$P37=0,AH37,"")</f>
        <v/>
      </c>
      <c r="AK37">
        <f>SUMPRODUCT((MONTH(CHOOSE({1,2,3,4},XT!U37,XT!Y37,XT!AC37,XT!AG37))=10)*(CHOOSE({1,2,3,4},XT!X37,XT!AB37,XT!AF37,XT!AJ37)))</f>
        <v>0</v>
      </c>
      <c r="AL37" t="str">
        <f>IFERROR(INDEX(CHOOSE({1,2,3,4}, DAY(XT!U37), DAY(XT!Y37), DAY(XT!AC37), DAY(XT!AG37)), MATCH(1, INDEX(--(MONTH(CHOOSE({1,2,3,4}, XT!U37,XT!Y37,XT!AC37,XT!AG37))=10), 0), 0)), "")</f>
        <v/>
      </c>
      <c r="AM37" s="12" t="str">
        <f>IF(XT!$P37&gt;0,AL37,"")</f>
        <v/>
      </c>
      <c r="AN37" s="12" t="str">
        <f>IF(XT!$P37=0,AL37,"")</f>
        <v/>
      </c>
      <c r="AO37">
        <f>SUMPRODUCT((MONTH(CHOOSE({1,2,3,4},XT!U37,XT!Y37,XT!AC37,XT!AG37))=11)*(CHOOSE({1,2,3,4},XT!X37,XT!AB37,XT!AF37,XT!AJ37)))</f>
        <v>0</v>
      </c>
      <c r="AP37" t="str">
        <f>IFERROR(INDEX(CHOOSE({1,2,3,4}, DAY(XT!U37), DAY(XT!Y37), DAY(XT!AC37), DAY(XT!AG37)), MATCH(1, INDEX(--(MONTH(CHOOSE({1,2,3,4}, XT!U37,XT!Y37,XT!AC37,XT!AG37))=11), 0), 0)), "")</f>
        <v/>
      </c>
      <c r="AQ37" s="12" t="str">
        <f>IF(XT!$P37&gt;0,AP37,"")</f>
        <v/>
      </c>
      <c r="AR37" s="12" t="str">
        <f>IF(XT!$P37=0,AP37,"")</f>
        <v/>
      </c>
      <c r="AS37">
        <f>SUMPRODUCT((MONTH(CHOOSE({1,2,3,4},XT!U37,XT!Y37,XT!AC37,XT!AG37))=12)*(CHOOSE({1,2,3,4},XT!X37,XT!AB37,XT!AF37,XT!AJ37)))</f>
        <v>0</v>
      </c>
      <c r="AT37" t="str">
        <f>IFERROR(INDEX(CHOOSE({1,2,3,4}, DAY(XT!U37), DAY(XT!Y37), DAY(XT!AC37), DAY(XT!AG37)), MATCH(1, INDEX(--(MONTH(CHOOSE({1,2,3,4}, XT!U37,XT!Y37,XT!AC37,XT!AG37))=12), 0), 0)), "")</f>
        <v/>
      </c>
      <c r="AU37" s="12" t="str">
        <f>IF(XT!$P37&gt;0,AT37,"")</f>
        <v/>
      </c>
      <c r="AV37" s="12" t="str">
        <f>IF(XT!$P37=0,AT37,"")</f>
        <v/>
      </c>
    </row>
    <row r="38" spans="1:48">
      <c r="A38">
        <f>SUMPRODUCT((MONTH(CHOOSE({1,2,3,4},XT!U38,XT!Y38,XT!AC38,XT!AG38))=1)*(CHOOSE({1,2,3,4},XT!X38,XT!AB38,XT!AF38,XT!AJ38)))</f>
        <v>0</v>
      </c>
      <c r="B38">
        <f>IFERROR(INDEX(CHOOSE({1,2,3,4}, DAY(XT!U38), DAY(XT!Y38), DAY(XT!AC38), DAY(XT!AG38)), MATCH(1, INDEX(--(MONTH(CHOOSE({1,2,3,4}, XT!U38,XT!Y38,XT!AC38,XT!AG38))=1), 0), 0)), "")</f>
        <v>0</v>
      </c>
      <c r="C38" s="12" t="str">
        <f>IF(XT!$P38&gt;0,B38,"")</f>
        <v/>
      </c>
      <c r="D38" s="12">
        <f>IF(XT!$P38=0,B38,"")</f>
        <v>0</v>
      </c>
      <c r="E38">
        <f>SUMPRODUCT((MONTH(CHOOSE({1,2,3,4},XT!U38,XT!Y38,XT!AC38,XT!AG38))=2)*(CHOOSE({1,2,3,4},XT!X38,XT!AB38,XT!AF38,XT!AJ38)))</f>
        <v>0</v>
      </c>
      <c r="F38" t="str">
        <f>IFERROR(INDEX(CHOOSE({1,2,3,4}, DAY(XT!U38), DAY(XT!Y38), DAY(XT!AC38), DAY(XT!AG38)), MATCH(1, INDEX(--(MONTH(CHOOSE({1,2,3,4}, XT!U38,XT!Y38,XT!AC38,XT!AG38))=2), 0), 0)), "")</f>
        <v/>
      </c>
      <c r="G38" s="12" t="str">
        <f>IF(XT!$P38&gt;0,F38,"")</f>
        <v/>
      </c>
      <c r="H38" s="12" t="str">
        <f>IF(XT!$P38=0,F38,"")</f>
        <v/>
      </c>
      <c r="I38">
        <f>SUMPRODUCT((MONTH(CHOOSE({1,2,3,4},XT!U38,XT!Y38,XT!AC38,XT!AG38))=3)*(CHOOSE({1,2,3,4},XT!X38,XT!AB38,XT!AF38,XT!AJ38)))</f>
        <v>0</v>
      </c>
      <c r="J38" t="str">
        <f>IFERROR(INDEX(CHOOSE({1,2,3,4}, DAY(XT!U38), DAY(XT!Y38), DAY(XT!AC38), DAY(XT!AG38)), MATCH(1, INDEX(--(MONTH(CHOOSE({1,2,3,4}, XT!U38,XT!Y38,XT!AC38,XT!AG38))=3), 0), 0)), "")</f>
        <v/>
      </c>
      <c r="K38" s="12" t="str">
        <f>IF(XT!$P38&gt;0,J38,"")</f>
        <v/>
      </c>
      <c r="L38" s="12" t="str">
        <f>IF(XT!$P38=0,J38,"")</f>
        <v/>
      </c>
      <c r="M38">
        <f>SUMPRODUCT((MONTH(CHOOSE({1,2,3,4},XT!U38,XT!Y38,XT!AC38,XT!AG38))=4)*(CHOOSE({1,2,3,4},XT!X38,XT!AB38,XT!AF38,XT!AJ38)))</f>
        <v>0</v>
      </c>
      <c r="N38" t="str">
        <f>IFERROR(INDEX(CHOOSE({1,2,3,4}, DAY(XT!U38), DAY(XT!Y38), DAY(XT!AC38), DAY(XT!AG38)), MATCH(1, INDEX(--(MONTH(CHOOSE({1,2,3,4}, XT!U38,XT!Y38,XT!AC38,XT!AG38))=4), 0), 0)), "")</f>
        <v/>
      </c>
      <c r="O38" s="12" t="str">
        <f>IF(XT!$P38&gt;0,N38,"")</f>
        <v/>
      </c>
      <c r="P38" s="12" t="str">
        <f>IF(XT!$P38=0,N38,"")</f>
        <v/>
      </c>
      <c r="Q38">
        <f>SUMPRODUCT((MONTH(CHOOSE({1,2,3,4},XT!U38,XT!Y38,XT!AC38,XT!AG38))=5)*(CHOOSE({1,2,3,4},XT!X38,XT!AB38,XT!AF38,XT!AJ38)))</f>
        <v>0</v>
      </c>
      <c r="R38" t="str">
        <f>IFERROR(INDEX(CHOOSE({1,2,3,4}, DAY(XT!U38), DAY(XT!Y38), DAY(XT!AC38), DAY(XT!AG38)), MATCH(1, INDEX(--(MONTH(CHOOSE({1,2,3,4}, XT!U38,XT!Y38,XT!AC38,XT!AG38))=5), 0), 0)), "")</f>
        <v/>
      </c>
      <c r="S38" s="12" t="str">
        <f>IF(XT!$P38&gt;0,R38,"")</f>
        <v/>
      </c>
      <c r="T38" s="12" t="str">
        <f>IF(XT!$P38=0,R38,"")</f>
        <v/>
      </c>
      <c r="U38">
        <f>SUMPRODUCT((MONTH(CHOOSE({1,2,3,4},XT!U38,XT!Y38,XT!AC38,XT!AG38))=6)*(CHOOSE({1,2,3,4},XT!X38,XT!AB38,XT!AF38,XT!AJ38)))</f>
        <v>0</v>
      </c>
      <c r="V38" t="str">
        <f>IFERROR(INDEX(CHOOSE({1,2,3,4}, DAY(XT!U38), DAY(XT!Y38), DAY(XT!AC38), DAY(XT!AG38)), MATCH(1, INDEX(--(MONTH(CHOOSE({1,2,3,4}, XT!U38,XT!Y38,XT!AC38,XT!AG38))=6), 0), 0)), "")</f>
        <v/>
      </c>
      <c r="W38" s="12" t="str">
        <f>IF(XT!$P38&gt;0,V38,"")</f>
        <v/>
      </c>
      <c r="X38" s="12" t="str">
        <f>IF(XT!$P38=0,V38,"")</f>
        <v/>
      </c>
      <c r="Y38">
        <f>SUMPRODUCT((MONTH(CHOOSE({1,2,3,4},XT!U38,XT!Y38,XT!AC38,XT!AG38))=7)*(CHOOSE({1,2,3,4},XT!X38,XT!AB38,XT!AF38,XT!AJ38)))</f>
        <v>0</v>
      </c>
      <c r="Z38" t="str">
        <f>IFERROR(INDEX(CHOOSE({1,2,3,4}, DAY(XT!U38), DAY(XT!Y38), DAY(XT!AC38), DAY(XT!AG38)), MATCH(1, INDEX(--(MONTH(CHOOSE({1,2,3,4}, XT!U38,XT!Y38,XT!AC38,XT!AG38))=7), 0), 0)), "")</f>
        <v/>
      </c>
      <c r="AA38" s="12" t="str">
        <f>IF(XT!$P38&gt;0,Z38,"")</f>
        <v/>
      </c>
      <c r="AB38" s="12" t="str">
        <f>IF(XT!$P38=0,Z38,"")</f>
        <v/>
      </c>
      <c r="AC38">
        <f>SUMPRODUCT((MONTH(CHOOSE({1,2,3,4},XT!U38,XT!Y38,XT!AC38,XT!AG38))=8)*(CHOOSE({1,2,3,4},XT!X38,XT!AB38,XT!AF38,XT!AJ38)))</f>
        <v>0</v>
      </c>
      <c r="AD38" t="str">
        <f>IFERROR(INDEX(CHOOSE({1,2,3,4}, DAY(XT!U38), DAY(XT!Y38), DAY(XT!AC38), DAY(XT!AG38)), MATCH(1, INDEX(--(MONTH(CHOOSE({1,2,3,4}, XT!U38,XT!Y38,XT!AC38,XT!AG38))=8), 0), 0)), "")</f>
        <v/>
      </c>
      <c r="AE38" s="12" t="str">
        <f>IF(XT!$P38&gt;0,AD38,"")</f>
        <v/>
      </c>
      <c r="AF38" s="12" t="str">
        <f>IF(XT!$P38=0,AD38,"")</f>
        <v/>
      </c>
      <c r="AG38">
        <f>SUMPRODUCT((MONTH(CHOOSE({1,2,3,4},XT!U38,XT!Y38,XT!AC38,XT!AG38))=9)*(CHOOSE({1,2,3,4},XT!X38,XT!AB38,XT!AF38,XT!AJ38)))</f>
        <v>0</v>
      </c>
      <c r="AH38" t="str">
        <f>IFERROR(INDEX(CHOOSE({1,2,3,4}, DAY(XT!U38), DAY(XT!Y38), DAY(XT!AC38), DAY(XT!AG38)), MATCH(1, INDEX(--(MONTH(CHOOSE({1,2,3,4}, XT!U38,XT!Y38,XT!AC38,XT!AG38))=9), 0), 0)), "")</f>
        <v/>
      </c>
      <c r="AI38" s="12" t="str">
        <f>IF(XT!$P38&gt;0,AH38,"")</f>
        <v/>
      </c>
      <c r="AJ38" s="12" t="str">
        <f>IF(XT!$P38=0,AH38,"")</f>
        <v/>
      </c>
      <c r="AK38">
        <f>SUMPRODUCT((MONTH(CHOOSE({1,2,3,4},XT!U38,XT!Y38,XT!AC38,XT!AG38))=10)*(CHOOSE({1,2,3,4},XT!X38,XT!AB38,XT!AF38,XT!AJ38)))</f>
        <v>0</v>
      </c>
      <c r="AL38" t="str">
        <f>IFERROR(INDEX(CHOOSE({1,2,3,4}, DAY(XT!U38), DAY(XT!Y38), DAY(XT!AC38), DAY(XT!AG38)), MATCH(1, INDEX(--(MONTH(CHOOSE({1,2,3,4}, XT!U38,XT!Y38,XT!AC38,XT!AG38))=10), 0), 0)), "")</f>
        <v/>
      </c>
      <c r="AM38" s="12" t="str">
        <f>IF(XT!$P38&gt;0,AL38,"")</f>
        <v/>
      </c>
      <c r="AN38" s="12" t="str">
        <f>IF(XT!$P38=0,AL38,"")</f>
        <v/>
      </c>
      <c r="AO38">
        <f>SUMPRODUCT((MONTH(CHOOSE({1,2,3,4},XT!U38,XT!Y38,XT!AC38,XT!AG38))=11)*(CHOOSE({1,2,3,4},XT!X38,XT!AB38,XT!AF38,XT!AJ38)))</f>
        <v>0</v>
      </c>
      <c r="AP38" t="str">
        <f>IFERROR(INDEX(CHOOSE({1,2,3,4}, DAY(XT!U38), DAY(XT!Y38), DAY(XT!AC38), DAY(XT!AG38)), MATCH(1, INDEX(--(MONTH(CHOOSE({1,2,3,4}, XT!U38,XT!Y38,XT!AC38,XT!AG38))=11), 0), 0)), "")</f>
        <v/>
      </c>
      <c r="AQ38" s="12" t="str">
        <f>IF(XT!$P38&gt;0,AP38,"")</f>
        <v/>
      </c>
      <c r="AR38" s="12" t="str">
        <f>IF(XT!$P38=0,AP38,"")</f>
        <v/>
      </c>
      <c r="AS38">
        <f>SUMPRODUCT((MONTH(CHOOSE({1,2,3,4},XT!U38,XT!Y38,XT!AC38,XT!AG38))=12)*(CHOOSE({1,2,3,4},XT!X38,XT!AB38,XT!AF38,XT!AJ38)))</f>
        <v>0</v>
      </c>
      <c r="AT38" t="str">
        <f>IFERROR(INDEX(CHOOSE({1,2,3,4}, DAY(XT!U38), DAY(XT!Y38), DAY(XT!AC38), DAY(XT!AG38)), MATCH(1, INDEX(--(MONTH(CHOOSE({1,2,3,4}, XT!U38,XT!Y38,XT!AC38,XT!AG38))=12), 0), 0)), "")</f>
        <v/>
      </c>
      <c r="AU38" s="12" t="str">
        <f>IF(XT!$P38&gt;0,AT38,"")</f>
        <v/>
      </c>
      <c r="AV38" s="12" t="str">
        <f>IF(XT!$P38=0,AT38,"")</f>
        <v/>
      </c>
    </row>
    <row r="39" spans="1:48">
      <c r="A39">
        <f>SUMPRODUCT((MONTH(CHOOSE({1,2,3,4},XT!U39,XT!Y39,XT!AC39,XT!AG39))=1)*(CHOOSE({1,2,3,4},XT!X39,XT!AB39,XT!AF39,XT!AJ39)))</f>
        <v>0</v>
      </c>
      <c r="B39">
        <f>IFERROR(INDEX(CHOOSE({1,2,3,4}, DAY(XT!U39), DAY(XT!Y39), DAY(XT!AC39), DAY(XT!AG39)), MATCH(1, INDEX(--(MONTH(CHOOSE({1,2,3,4}, XT!U39,XT!Y39,XT!AC39,XT!AG39))=1), 0), 0)), "")</f>
        <v>0</v>
      </c>
      <c r="C39" s="12" t="str">
        <f>IF(XT!$P39&gt;0,B39,"")</f>
        <v/>
      </c>
      <c r="D39" s="12">
        <f>IF(XT!$P39=0,B39,"")</f>
        <v>0</v>
      </c>
      <c r="E39">
        <f>SUMPRODUCT((MONTH(CHOOSE({1,2,3,4},XT!U39,XT!Y39,XT!AC39,XT!AG39))=2)*(CHOOSE({1,2,3,4},XT!X39,XT!AB39,XT!AF39,XT!AJ39)))</f>
        <v>0</v>
      </c>
      <c r="F39" t="str">
        <f>IFERROR(INDEX(CHOOSE({1,2,3,4}, DAY(XT!U39), DAY(XT!Y39), DAY(XT!AC39), DAY(XT!AG39)), MATCH(1, INDEX(--(MONTH(CHOOSE({1,2,3,4}, XT!U39,XT!Y39,XT!AC39,XT!AG39))=2), 0), 0)), "")</f>
        <v/>
      </c>
      <c r="G39" s="12" t="str">
        <f>IF(XT!$P39&gt;0,F39,"")</f>
        <v/>
      </c>
      <c r="H39" s="12" t="str">
        <f>IF(XT!$P39=0,F39,"")</f>
        <v/>
      </c>
      <c r="I39">
        <f>SUMPRODUCT((MONTH(CHOOSE({1,2,3,4},XT!U39,XT!Y39,XT!AC39,XT!AG39))=3)*(CHOOSE({1,2,3,4},XT!X39,XT!AB39,XT!AF39,XT!AJ39)))</f>
        <v>0</v>
      </c>
      <c r="J39" t="str">
        <f>IFERROR(INDEX(CHOOSE({1,2,3,4}, DAY(XT!U39), DAY(XT!Y39), DAY(XT!AC39), DAY(XT!AG39)), MATCH(1, INDEX(--(MONTH(CHOOSE({1,2,3,4}, XT!U39,XT!Y39,XT!AC39,XT!AG39))=3), 0), 0)), "")</f>
        <v/>
      </c>
      <c r="K39" s="12" t="str">
        <f>IF(XT!$P39&gt;0,J39,"")</f>
        <v/>
      </c>
      <c r="L39" s="12" t="str">
        <f>IF(XT!$P39=0,J39,"")</f>
        <v/>
      </c>
      <c r="M39">
        <f>SUMPRODUCT((MONTH(CHOOSE({1,2,3,4},XT!U39,XT!Y39,XT!AC39,XT!AG39))=4)*(CHOOSE({1,2,3,4},XT!X39,XT!AB39,XT!AF39,XT!AJ39)))</f>
        <v>0</v>
      </c>
      <c r="N39" t="str">
        <f>IFERROR(INDEX(CHOOSE({1,2,3,4}, DAY(XT!U39), DAY(XT!Y39), DAY(XT!AC39), DAY(XT!AG39)), MATCH(1, INDEX(--(MONTH(CHOOSE({1,2,3,4}, XT!U39,XT!Y39,XT!AC39,XT!AG39))=4), 0), 0)), "")</f>
        <v/>
      </c>
      <c r="O39" s="12" t="str">
        <f>IF(XT!$P39&gt;0,N39,"")</f>
        <v/>
      </c>
      <c r="P39" s="12" t="str">
        <f>IF(XT!$P39=0,N39,"")</f>
        <v/>
      </c>
      <c r="Q39">
        <f>SUMPRODUCT((MONTH(CHOOSE({1,2,3,4},XT!U39,XT!Y39,XT!AC39,XT!AG39))=5)*(CHOOSE({1,2,3,4},XT!X39,XT!AB39,XT!AF39,XT!AJ39)))</f>
        <v>0</v>
      </c>
      <c r="R39" t="str">
        <f>IFERROR(INDEX(CHOOSE({1,2,3,4}, DAY(XT!U39), DAY(XT!Y39), DAY(XT!AC39), DAY(XT!AG39)), MATCH(1, INDEX(--(MONTH(CHOOSE({1,2,3,4}, XT!U39,XT!Y39,XT!AC39,XT!AG39))=5), 0), 0)), "")</f>
        <v/>
      </c>
      <c r="S39" s="12" t="str">
        <f>IF(XT!$P39&gt;0,R39,"")</f>
        <v/>
      </c>
      <c r="T39" s="12" t="str">
        <f>IF(XT!$P39=0,R39,"")</f>
        <v/>
      </c>
      <c r="U39">
        <f>SUMPRODUCT((MONTH(CHOOSE({1,2,3,4},XT!U39,XT!Y39,XT!AC39,XT!AG39))=6)*(CHOOSE({1,2,3,4},XT!X39,XT!AB39,XT!AF39,XT!AJ39)))</f>
        <v>0</v>
      </c>
      <c r="V39" t="str">
        <f>IFERROR(INDEX(CHOOSE({1,2,3,4}, DAY(XT!U39), DAY(XT!Y39), DAY(XT!AC39), DAY(XT!AG39)), MATCH(1, INDEX(--(MONTH(CHOOSE({1,2,3,4}, XT!U39,XT!Y39,XT!AC39,XT!AG39))=6), 0), 0)), "")</f>
        <v/>
      </c>
      <c r="W39" s="12" t="str">
        <f>IF(XT!$P39&gt;0,V39,"")</f>
        <v/>
      </c>
      <c r="X39" s="12" t="str">
        <f>IF(XT!$P39=0,V39,"")</f>
        <v/>
      </c>
      <c r="Y39">
        <f>SUMPRODUCT((MONTH(CHOOSE({1,2,3,4},XT!U39,XT!Y39,XT!AC39,XT!AG39))=7)*(CHOOSE({1,2,3,4},XT!X39,XT!AB39,XT!AF39,XT!AJ39)))</f>
        <v>0</v>
      </c>
      <c r="Z39" t="str">
        <f>IFERROR(INDEX(CHOOSE({1,2,3,4}, DAY(XT!U39), DAY(XT!Y39), DAY(XT!AC39), DAY(XT!AG39)), MATCH(1, INDEX(--(MONTH(CHOOSE({1,2,3,4}, XT!U39,XT!Y39,XT!AC39,XT!AG39))=7), 0), 0)), "")</f>
        <v/>
      </c>
      <c r="AA39" s="12" t="str">
        <f>IF(XT!$P39&gt;0,Z39,"")</f>
        <v/>
      </c>
      <c r="AB39" s="12" t="str">
        <f>IF(XT!$P39=0,Z39,"")</f>
        <v/>
      </c>
      <c r="AC39">
        <f>SUMPRODUCT((MONTH(CHOOSE({1,2,3,4},XT!U39,XT!Y39,XT!AC39,XT!AG39))=8)*(CHOOSE({1,2,3,4},XT!X39,XT!AB39,XT!AF39,XT!AJ39)))</f>
        <v>0</v>
      </c>
      <c r="AD39" t="str">
        <f>IFERROR(INDEX(CHOOSE({1,2,3,4}, DAY(XT!U39), DAY(XT!Y39), DAY(XT!AC39), DAY(XT!AG39)), MATCH(1, INDEX(--(MONTH(CHOOSE({1,2,3,4}, XT!U39,XT!Y39,XT!AC39,XT!AG39))=8), 0), 0)), "")</f>
        <v/>
      </c>
      <c r="AE39" s="12" t="str">
        <f>IF(XT!$P39&gt;0,AD39,"")</f>
        <v/>
      </c>
      <c r="AF39" s="12" t="str">
        <f>IF(XT!$P39=0,AD39,"")</f>
        <v/>
      </c>
      <c r="AG39">
        <f>SUMPRODUCT((MONTH(CHOOSE({1,2,3,4},XT!U39,XT!Y39,XT!AC39,XT!AG39))=9)*(CHOOSE({1,2,3,4},XT!X39,XT!AB39,XT!AF39,XT!AJ39)))</f>
        <v>0</v>
      </c>
      <c r="AH39" t="str">
        <f>IFERROR(INDEX(CHOOSE({1,2,3,4}, DAY(XT!U39), DAY(XT!Y39), DAY(XT!AC39), DAY(XT!AG39)), MATCH(1, INDEX(--(MONTH(CHOOSE({1,2,3,4}, XT!U39,XT!Y39,XT!AC39,XT!AG39))=9), 0), 0)), "")</f>
        <v/>
      </c>
      <c r="AI39" s="12" t="str">
        <f>IF(XT!$P39&gt;0,AH39,"")</f>
        <v/>
      </c>
      <c r="AJ39" s="12" t="str">
        <f>IF(XT!$P39=0,AH39,"")</f>
        <v/>
      </c>
      <c r="AK39">
        <f>SUMPRODUCT((MONTH(CHOOSE({1,2,3,4},XT!U39,XT!Y39,XT!AC39,XT!AG39))=10)*(CHOOSE({1,2,3,4},XT!X39,XT!AB39,XT!AF39,XT!AJ39)))</f>
        <v>0</v>
      </c>
      <c r="AL39" t="str">
        <f>IFERROR(INDEX(CHOOSE({1,2,3,4}, DAY(XT!U39), DAY(XT!Y39), DAY(XT!AC39), DAY(XT!AG39)), MATCH(1, INDEX(--(MONTH(CHOOSE({1,2,3,4}, XT!U39,XT!Y39,XT!AC39,XT!AG39))=10), 0), 0)), "")</f>
        <v/>
      </c>
      <c r="AM39" s="12" t="str">
        <f>IF(XT!$P39&gt;0,AL39,"")</f>
        <v/>
      </c>
      <c r="AN39" s="12" t="str">
        <f>IF(XT!$P39=0,AL39,"")</f>
        <v/>
      </c>
      <c r="AO39">
        <f>SUMPRODUCT((MONTH(CHOOSE({1,2,3,4},XT!U39,XT!Y39,XT!AC39,XT!AG39))=11)*(CHOOSE({1,2,3,4},XT!X39,XT!AB39,XT!AF39,XT!AJ39)))</f>
        <v>0</v>
      </c>
      <c r="AP39" t="str">
        <f>IFERROR(INDEX(CHOOSE({1,2,3,4}, DAY(XT!U39), DAY(XT!Y39), DAY(XT!AC39), DAY(XT!AG39)), MATCH(1, INDEX(--(MONTH(CHOOSE({1,2,3,4}, XT!U39,XT!Y39,XT!AC39,XT!AG39))=11), 0), 0)), "")</f>
        <v/>
      </c>
      <c r="AQ39" s="12" t="str">
        <f>IF(XT!$P39&gt;0,AP39,"")</f>
        <v/>
      </c>
      <c r="AR39" s="12" t="str">
        <f>IF(XT!$P39=0,AP39,"")</f>
        <v/>
      </c>
      <c r="AS39">
        <f>SUMPRODUCT((MONTH(CHOOSE({1,2,3,4},XT!U39,XT!Y39,XT!AC39,XT!AG39))=12)*(CHOOSE({1,2,3,4},XT!X39,XT!AB39,XT!AF39,XT!AJ39)))</f>
        <v>0</v>
      </c>
      <c r="AT39" t="str">
        <f>IFERROR(INDEX(CHOOSE({1,2,3,4}, DAY(XT!U39), DAY(XT!Y39), DAY(XT!AC39), DAY(XT!AG39)), MATCH(1, INDEX(--(MONTH(CHOOSE({1,2,3,4}, XT!U39,XT!Y39,XT!AC39,XT!AG39))=12), 0), 0)), "")</f>
        <v/>
      </c>
      <c r="AU39" s="12" t="str">
        <f>IF(XT!$P39&gt;0,AT39,"")</f>
        <v/>
      </c>
      <c r="AV39" s="12" t="str">
        <f>IF(XT!$P39=0,AT39,"")</f>
        <v/>
      </c>
    </row>
    <row r="40" spans="1:48">
      <c r="A40">
        <f>SUMPRODUCT((MONTH(CHOOSE({1,2,3,4},XT!U40,XT!Y40,XT!AC40,XT!AG40))=1)*(CHOOSE({1,2,3,4},XT!X40,XT!AB40,XT!AF40,XT!AJ40)))</f>
        <v>0</v>
      </c>
      <c r="B40">
        <f>IFERROR(INDEX(CHOOSE({1,2,3,4}, DAY(XT!U40), DAY(XT!Y40), DAY(XT!AC40), DAY(XT!AG40)), MATCH(1, INDEX(--(MONTH(CHOOSE({1,2,3,4}, XT!U40,XT!Y40,XT!AC40,XT!AG40))=1), 0), 0)), "")</f>
        <v>0</v>
      </c>
      <c r="C40" s="12" t="str">
        <f>IF(XT!$P40&gt;0,B40,"")</f>
        <v/>
      </c>
      <c r="D40" s="12">
        <f>IF(XT!$P40=0,B40,"")</f>
        <v>0</v>
      </c>
      <c r="E40">
        <f>SUMPRODUCT((MONTH(CHOOSE({1,2,3,4},XT!U40,XT!Y40,XT!AC40,XT!AG40))=2)*(CHOOSE({1,2,3,4},XT!X40,XT!AB40,XT!AF40,XT!AJ40)))</f>
        <v>0</v>
      </c>
      <c r="F40" t="str">
        <f>IFERROR(INDEX(CHOOSE({1,2,3,4}, DAY(XT!U40), DAY(XT!Y40), DAY(XT!AC40), DAY(XT!AG40)), MATCH(1, INDEX(--(MONTH(CHOOSE({1,2,3,4}, XT!U40,XT!Y40,XT!AC40,XT!AG40))=2), 0), 0)), "")</f>
        <v/>
      </c>
      <c r="G40" s="12" t="str">
        <f>IF(XT!$P40&gt;0,F40,"")</f>
        <v/>
      </c>
      <c r="H40" s="12" t="str">
        <f>IF(XT!$P40=0,F40,"")</f>
        <v/>
      </c>
      <c r="I40">
        <f>SUMPRODUCT((MONTH(CHOOSE({1,2,3,4},XT!U40,XT!Y40,XT!AC40,XT!AG40))=3)*(CHOOSE({1,2,3,4},XT!X40,XT!AB40,XT!AF40,XT!AJ40)))</f>
        <v>0</v>
      </c>
      <c r="J40" t="str">
        <f>IFERROR(INDEX(CHOOSE({1,2,3,4}, DAY(XT!U40), DAY(XT!Y40), DAY(XT!AC40), DAY(XT!AG40)), MATCH(1, INDEX(--(MONTH(CHOOSE({1,2,3,4}, XT!U40,XT!Y40,XT!AC40,XT!AG40))=3), 0), 0)), "")</f>
        <v/>
      </c>
      <c r="K40" s="12" t="str">
        <f>IF(XT!$P40&gt;0,J40,"")</f>
        <v/>
      </c>
      <c r="L40" s="12" t="str">
        <f>IF(XT!$P40=0,J40,"")</f>
        <v/>
      </c>
      <c r="M40">
        <f>SUMPRODUCT((MONTH(CHOOSE({1,2,3,4},XT!U40,XT!Y40,XT!AC40,XT!AG40))=4)*(CHOOSE({1,2,3,4},XT!X40,XT!AB40,XT!AF40,XT!AJ40)))</f>
        <v>0</v>
      </c>
      <c r="N40" t="str">
        <f>IFERROR(INDEX(CHOOSE({1,2,3,4}, DAY(XT!U40), DAY(XT!Y40), DAY(XT!AC40), DAY(XT!AG40)), MATCH(1, INDEX(--(MONTH(CHOOSE({1,2,3,4}, XT!U40,XT!Y40,XT!AC40,XT!AG40))=4), 0), 0)), "")</f>
        <v/>
      </c>
      <c r="O40" s="12" t="str">
        <f>IF(XT!$P40&gt;0,N40,"")</f>
        <v/>
      </c>
      <c r="P40" s="12" t="str">
        <f>IF(XT!$P40=0,N40,"")</f>
        <v/>
      </c>
      <c r="Q40">
        <f>SUMPRODUCT((MONTH(CHOOSE({1,2,3,4},XT!U40,XT!Y40,XT!AC40,XT!AG40))=5)*(CHOOSE({1,2,3,4},XT!X40,XT!AB40,XT!AF40,XT!AJ40)))</f>
        <v>0</v>
      </c>
      <c r="R40" t="str">
        <f>IFERROR(INDEX(CHOOSE({1,2,3,4}, DAY(XT!U40), DAY(XT!Y40), DAY(XT!AC40), DAY(XT!AG40)), MATCH(1, INDEX(--(MONTH(CHOOSE({1,2,3,4}, XT!U40,XT!Y40,XT!AC40,XT!AG40))=5), 0), 0)), "")</f>
        <v/>
      </c>
      <c r="S40" s="12" t="str">
        <f>IF(XT!$P40&gt;0,R40,"")</f>
        <v/>
      </c>
      <c r="T40" s="12" t="str">
        <f>IF(XT!$P40=0,R40,"")</f>
        <v/>
      </c>
      <c r="U40">
        <f>SUMPRODUCT((MONTH(CHOOSE({1,2,3,4},XT!U40,XT!Y40,XT!AC40,XT!AG40))=6)*(CHOOSE({1,2,3,4},XT!X40,XT!AB40,XT!AF40,XT!AJ40)))</f>
        <v>0</v>
      </c>
      <c r="V40" t="str">
        <f>IFERROR(INDEX(CHOOSE({1,2,3,4}, DAY(XT!U40), DAY(XT!Y40), DAY(XT!AC40), DAY(XT!AG40)), MATCH(1, INDEX(--(MONTH(CHOOSE({1,2,3,4}, XT!U40,XT!Y40,XT!AC40,XT!AG40))=6), 0), 0)), "")</f>
        <v/>
      </c>
      <c r="W40" s="12" t="str">
        <f>IF(XT!$P40&gt;0,V40,"")</f>
        <v/>
      </c>
      <c r="X40" s="12" t="str">
        <f>IF(XT!$P40=0,V40,"")</f>
        <v/>
      </c>
      <c r="Y40">
        <f>SUMPRODUCT((MONTH(CHOOSE({1,2,3,4},XT!U40,XT!Y40,XT!AC40,XT!AG40))=7)*(CHOOSE({1,2,3,4},XT!X40,XT!AB40,XT!AF40,XT!AJ40)))</f>
        <v>0</v>
      </c>
      <c r="Z40" t="str">
        <f>IFERROR(INDEX(CHOOSE({1,2,3,4}, DAY(XT!U40), DAY(XT!Y40), DAY(XT!AC40), DAY(XT!AG40)), MATCH(1, INDEX(--(MONTH(CHOOSE({1,2,3,4}, XT!U40,XT!Y40,XT!AC40,XT!AG40))=7), 0), 0)), "")</f>
        <v/>
      </c>
      <c r="AA40" s="12" t="str">
        <f>IF(XT!$P40&gt;0,Z40,"")</f>
        <v/>
      </c>
      <c r="AB40" s="12" t="str">
        <f>IF(XT!$P40=0,Z40,"")</f>
        <v/>
      </c>
      <c r="AC40">
        <f>SUMPRODUCT((MONTH(CHOOSE({1,2,3,4},XT!U40,XT!Y40,XT!AC40,XT!AG40))=8)*(CHOOSE({1,2,3,4},XT!X40,XT!AB40,XT!AF40,XT!AJ40)))</f>
        <v>0</v>
      </c>
      <c r="AD40" t="str">
        <f>IFERROR(INDEX(CHOOSE({1,2,3,4}, DAY(XT!U40), DAY(XT!Y40), DAY(XT!AC40), DAY(XT!AG40)), MATCH(1, INDEX(--(MONTH(CHOOSE({1,2,3,4}, XT!U40,XT!Y40,XT!AC40,XT!AG40))=8), 0), 0)), "")</f>
        <v/>
      </c>
      <c r="AE40" s="12" t="str">
        <f>IF(XT!$P40&gt;0,AD40,"")</f>
        <v/>
      </c>
      <c r="AF40" s="12" t="str">
        <f>IF(XT!$P40=0,AD40,"")</f>
        <v/>
      </c>
      <c r="AG40">
        <f>SUMPRODUCT((MONTH(CHOOSE({1,2,3,4},XT!U40,XT!Y40,XT!AC40,XT!AG40))=9)*(CHOOSE({1,2,3,4},XT!X40,XT!AB40,XT!AF40,XT!AJ40)))</f>
        <v>0</v>
      </c>
      <c r="AH40" t="str">
        <f>IFERROR(INDEX(CHOOSE({1,2,3,4}, DAY(XT!U40), DAY(XT!Y40), DAY(XT!AC40), DAY(XT!AG40)), MATCH(1, INDEX(--(MONTH(CHOOSE({1,2,3,4}, XT!U40,XT!Y40,XT!AC40,XT!AG40))=9), 0), 0)), "")</f>
        <v/>
      </c>
      <c r="AI40" s="12" t="str">
        <f>IF(XT!$P40&gt;0,AH40,"")</f>
        <v/>
      </c>
      <c r="AJ40" s="12" t="str">
        <f>IF(XT!$P40=0,AH40,"")</f>
        <v/>
      </c>
      <c r="AK40">
        <f>SUMPRODUCT((MONTH(CHOOSE({1,2,3,4},XT!U40,XT!Y40,XT!AC40,XT!AG40))=10)*(CHOOSE({1,2,3,4},XT!X40,XT!AB40,XT!AF40,XT!AJ40)))</f>
        <v>0</v>
      </c>
      <c r="AL40" t="str">
        <f>IFERROR(INDEX(CHOOSE({1,2,3,4}, DAY(XT!U40), DAY(XT!Y40), DAY(XT!AC40), DAY(XT!AG40)), MATCH(1, INDEX(--(MONTH(CHOOSE({1,2,3,4}, XT!U40,XT!Y40,XT!AC40,XT!AG40))=10), 0), 0)), "")</f>
        <v/>
      </c>
      <c r="AM40" s="12" t="str">
        <f>IF(XT!$P40&gt;0,AL40,"")</f>
        <v/>
      </c>
      <c r="AN40" s="12" t="str">
        <f>IF(XT!$P40=0,AL40,"")</f>
        <v/>
      </c>
      <c r="AO40">
        <f>SUMPRODUCT((MONTH(CHOOSE({1,2,3,4},XT!U40,XT!Y40,XT!AC40,XT!AG40))=11)*(CHOOSE({1,2,3,4},XT!X40,XT!AB40,XT!AF40,XT!AJ40)))</f>
        <v>0</v>
      </c>
      <c r="AP40" t="str">
        <f>IFERROR(INDEX(CHOOSE({1,2,3,4}, DAY(XT!U40), DAY(XT!Y40), DAY(XT!AC40), DAY(XT!AG40)), MATCH(1, INDEX(--(MONTH(CHOOSE({1,2,3,4}, XT!U40,XT!Y40,XT!AC40,XT!AG40))=11), 0), 0)), "")</f>
        <v/>
      </c>
      <c r="AQ40" s="12" t="str">
        <f>IF(XT!$P40&gt;0,AP40,"")</f>
        <v/>
      </c>
      <c r="AR40" s="12" t="str">
        <f>IF(XT!$P40=0,AP40,"")</f>
        <v/>
      </c>
      <c r="AS40">
        <f>SUMPRODUCT((MONTH(CHOOSE({1,2,3,4},XT!U40,XT!Y40,XT!AC40,XT!AG40))=12)*(CHOOSE({1,2,3,4},XT!X40,XT!AB40,XT!AF40,XT!AJ40)))</f>
        <v>0</v>
      </c>
      <c r="AT40" t="str">
        <f>IFERROR(INDEX(CHOOSE({1,2,3,4}, DAY(XT!U40), DAY(XT!Y40), DAY(XT!AC40), DAY(XT!AG40)), MATCH(1, INDEX(--(MONTH(CHOOSE({1,2,3,4}, XT!U40,XT!Y40,XT!AC40,XT!AG40))=12), 0), 0)), "")</f>
        <v/>
      </c>
      <c r="AU40" s="12" t="str">
        <f>IF(XT!$P40&gt;0,AT40,"")</f>
        <v/>
      </c>
      <c r="AV40" s="12" t="str">
        <f>IF(XT!$P40=0,AT40,"")</f>
        <v/>
      </c>
    </row>
    <row r="41" spans="1:48">
      <c r="A41">
        <f>SUMPRODUCT((MONTH(CHOOSE({1,2,3,4},XT!U41,XT!Y41,XT!AC41,XT!AG41))=1)*(CHOOSE({1,2,3,4},XT!X41,XT!AB41,XT!AF41,XT!AJ41)))</f>
        <v>0</v>
      </c>
      <c r="B41">
        <f>IFERROR(INDEX(CHOOSE({1,2,3,4}, DAY(XT!U41), DAY(XT!Y41), DAY(XT!AC41), DAY(XT!AG41)), MATCH(1, INDEX(--(MONTH(CHOOSE({1,2,3,4}, XT!U41,XT!Y41,XT!AC41,XT!AG41))=1), 0), 0)), "")</f>
        <v>0</v>
      </c>
      <c r="C41" s="12" t="str">
        <f>IF(XT!$P41&gt;0,B41,"")</f>
        <v/>
      </c>
      <c r="D41" s="12">
        <f>IF(XT!$P41=0,B41,"")</f>
        <v>0</v>
      </c>
      <c r="E41">
        <f>SUMPRODUCT((MONTH(CHOOSE({1,2,3,4},XT!U41,XT!Y41,XT!AC41,XT!AG41))=2)*(CHOOSE({1,2,3,4},XT!X41,XT!AB41,XT!AF41,XT!AJ41)))</f>
        <v>0</v>
      </c>
      <c r="F41" t="str">
        <f>IFERROR(INDEX(CHOOSE({1,2,3,4}, DAY(XT!U41), DAY(XT!Y41), DAY(XT!AC41), DAY(XT!AG41)), MATCH(1, INDEX(--(MONTH(CHOOSE({1,2,3,4}, XT!U41,XT!Y41,XT!AC41,XT!AG41))=2), 0), 0)), "")</f>
        <v/>
      </c>
      <c r="G41" s="12" t="str">
        <f>IF(XT!$P41&gt;0,F41,"")</f>
        <v/>
      </c>
      <c r="H41" s="12" t="str">
        <f>IF(XT!$P41=0,F41,"")</f>
        <v/>
      </c>
      <c r="I41">
        <f>SUMPRODUCT((MONTH(CHOOSE({1,2,3,4},XT!U41,XT!Y41,XT!AC41,XT!AG41))=3)*(CHOOSE({1,2,3,4},XT!X41,XT!AB41,XT!AF41,XT!AJ41)))</f>
        <v>0</v>
      </c>
      <c r="J41" t="str">
        <f>IFERROR(INDEX(CHOOSE({1,2,3,4}, DAY(XT!U41), DAY(XT!Y41), DAY(XT!AC41), DAY(XT!AG41)), MATCH(1, INDEX(--(MONTH(CHOOSE({1,2,3,4}, XT!U41,XT!Y41,XT!AC41,XT!AG41))=3), 0), 0)), "")</f>
        <v/>
      </c>
      <c r="K41" s="12" t="str">
        <f>IF(XT!$P41&gt;0,J41,"")</f>
        <v/>
      </c>
      <c r="L41" s="12" t="str">
        <f>IF(XT!$P41=0,J41,"")</f>
        <v/>
      </c>
      <c r="M41">
        <f>SUMPRODUCT((MONTH(CHOOSE({1,2,3,4},XT!U41,XT!Y41,XT!AC41,XT!AG41))=4)*(CHOOSE({1,2,3,4},XT!X41,XT!AB41,XT!AF41,XT!AJ41)))</f>
        <v>0</v>
      </c>
      <c r="N41" t="str">
        <f>IFERROR(INDEX(CHOOSE({1,2,3,4}, DAY(XT!U41), DAY(XT!Y41), DAY(XT!AC41), DAY(XT!AG41)), MATCH(1, INDEX(--(MONTH(CHOOSE({1,2,3,4}, XT!U41,XT!Y41,XT!AC41,XT!AG41))=4), 0), 0)), "")</f>
        <v/>
      </c>
      <c r="O41" s="12" t="str">
        <f>IF(XT!$P41&gt;0,N41,"")</f>
        <v/>
      </c>
      <c r="P41" s="12" t="str">
        <f>IF(XT!$P41=0,N41,"")</f>
        <v/>
      </c>
      <c r="Q41">
        <f>SUMPRODUCT((MONTH(CHOOSE({1,2,3,4},XT!U41,XT!Y41,XT!AC41,XT!AG41))=5)*(CHOOSE({1,2,3,4},XT!X41,XT!AB41,XT!AF41,XT!AJ41)))</f>
        <v>0</v>
      </c>
      <c r="R41" t="str">
        <f>IFERROR(INDEX(CHOOSE({1,2,3,4}, DAY(XT!U41), DAY(XT!Y41), DAY(XT!AC41), DAY(XT!AG41)), MATCH(1, INDEX(--(MONTH(CHOOSE({1,2,3,4}, XT!U41,XT!Y41,XT!AC41,XT!AG41))=5), 0), 0)), "")</f>
        <v/>
      </c>
      <c r="S41" s="12" t="str">
        <f>IF(XT!$P41&gt;0,R41,"")</f>
        <v/>
      </c>
      <c r="T41" s="12" t="str">
        <f>IF(XT!$P41=0,R41,"")</f>
        <v/>
      </c>
      <c r="U41">
        <f>SUMPRODUCT((MONTH(CHOOSE({1,2,3,4},XT!U41,XT!Y41,XT!AC41,XT!AG41))=6)*(CHOOSE({1,2,3,4},XT!X41,XT!AB41,XT!AF41,XT!AJ41)))</f>
        <v>0</v>
      </c>
      <c r="V41" t="str">
        <f>IFERROR(INDEX(CHOOSE({1,2,3,4}, DAY(XT!U41), DAY(XT!Y41), DAY(XT!AC41), DAY(XT!AG41)), MATCH(1, INDEX(--(MONTH(CHOOSE({1,2,3,4}, XT!U41,XT!Y41,XT!AC41,XT!AG41))=6), 0), 0)), "")</f>
        <v/>
      </c>
      <c r="W41" s="12" t="str">
        <f>IF(XT!$P41&gt;0,V41,"")</f>
        <v/>
      </c>
      <c r="X41" s="12" t="str">
        <f>IF(XT!$P41=0,V41,"")</f>
        <v/>
      </c>
      <c r="Y41">
        <f>SUMPRODUCT((MONTH(CHOOSE({1,2,3,4},XT!U41,XT!Y41,XT!AC41,XT!AG41))=7)*(CHOOSE({1,2,3,4},XT!X41,XT!AB41,XT!AF41,XT!AJ41)))</f>
        <v>0</v>
      </c>
      <c r="Z41" t="str">
        <f>IFERROR(INDEX(CHOOSE({1,2,3,4}, DAY(XT!U41), DAY(XT!Y41), DAY(XT!AC41), DAY(XT!AG41)), MATCH(1, INDEX(--(MONTH(CHOOSE({1,2,3,4}, XT!U41,XT!Y41,XT!AC41,XT!AG41))=7), 0), 0)), "")</f>
        <v/>
      </c>
      <c r="AA41" s="12" t="str">
        <f>IF(XT!$P41&gt;0,Z41,"")</f>
        <v/>
      </c>
      <c r="AB41" s="12" t="str">
        <f>IF(XT!$P41=0,Z41,"")</f>
        <v/>
      </c>
      <c r="AC41">
        <f>SUMPRODUCT((MONTH(CHOOSE({1,2,3,4},XT!U41,XT!Y41,XT!AC41,XT!AG41))=8)*(CHOOSE({1,2,3,4},XT!X41,XT!AB41,XT!AF41,XT!AJ41)))</f>
        <v>0</v>
      </c>
      <c r="AD41" t="str">
        <f>IFERROR(INDEX(CHOOSE({1,2,3,4}, DAY(XT!U41), DAY(XT!Y41), DAY(XT!AC41), DAY(XT!AG41)), MATCH(1, INDEX(--(MONTH(CHOOSE({1,2,3,4}, XT!U41,XT!Y41,XT!AC41,XT!AG41))=8), 0), 0)), "")</f>
        <v/>
      </c>
      <c r="AE41" s="12" t="str">
        <f>IF(XT!$P41&gt;0,AD41,"")</f>
        <v/>
      </c>
      <c r="AF41" s="12" t="str">
        <f>IF(XT!$P41=0,AD41,"")</f>
        <v/>
      </c>
      <c r="AG41">
        <f>SUMPRODUCT((MONTH(CHOOSE({1,2,3,4},XT!U41,XT!Y41,XT!AC41,XT!AG41))=9)*(CHOOSE({1,2,3,4},XT!X41,XT!AB41,XT!AF41,XT!AJ41)))</f>
        <v>0</v>
      </c>
      <c r="AH41" t="str">
        <f>IFERROR(INDEX(CHOOSE({1,2,3,4}, DAY(XT!U41), DAY(XT!Y41), DAY(XT!AC41), DAY(XT!AG41)), MATCH(1, INDEX(--(MONTH(CHOOSE({1,2,3,4}, XT!U41,XT!Y41,XT!AC41,XT!AG41))=9), 0), 0)), "")</f>
        <v/>
      </c>
      <c r="AI41" s="12" t="str">
        <f>IF(XT!$P41&gt;0,AH41,"")</f>
        <v/>
      </c>
      <c r="AJ41" s="12" t="str">
        <f>IF(XT!$P41=0,AH41,"")</f>
        <v/>
      </c>
      <c r="AK41">
        <f>SUMPRODUCT((MONTH(CHOOSE({1,2,3,4},XT!U41,XT!Y41,XT!AC41,XT!AG41))=10)*(CHOOSE({1,2,3,4},XT!X41,XT!AB41,XT!AF41,XT!AJ41)))</f>
        <v>0</v>
      </c>
      <c r="AL41" t="str">
        <f>IFERROR(INDEX(CHOOSE({1,2,3,4}, DAY(XT!U41), DAY(XT!Y41), DAY(XT!AC41), DAY(XT!AG41)), MATCH(1, INDEX(--(MONTH(CHOOSE({1,2,3,4}, XT!U41,XT!Y41,XT!AC41,XT!AG41))=10), 0), 0)), "")</f>
        <v/>
      </c>
      <c r="AM41" s="12" t="str">
        <f>IF(XT!$P41&gt;0,AL41,"")</f>
        <v/>
      </c>
      <c r="AN41" s="12" t="str">
        <f>IF(XT!$P41=0,AL41,"")</f>
        <v/>
      </c>
      <c r="AO41">
        <f>SUMPRODUCT((MONTH(CHOOSE({1,2,3,4},XT!U41,XT!Y41,XT!AC41,XT!AG41))=11)*(CHOOSE({1,2,3,4},XT!X41,XT!AB41,XT!AF41,XT!AJ41)))</f>
        <v>0</v>
      </c>
      <c r="AP41" t="str">
        <f>IFERROR(INDEX(CHOOSE({1,2,3,4}, DAY(XT!U41), DAY(XT!Y41), DAY(XT!AC41), DAY(XT!AG41)), MATCH(1, INDEX(--(MONTH(CHOOSE({1,2,3,4}, XT!U41,XT!Y41,XT!AC41,XT!AG41))=11), 0), 0)), "")</f>
        <v/>
      </c>
      <c r="AQ41" s="12" t="str">
        <f>IF(XT!$P41&gt;0,AP41,"")</f>
        <v/>
      </c>
      <c r="AR41" s="12" t="str">
        <f>IF(XT!$P41=0,AP41,"")</f>
        <v/>
      </c>
      <c r="AS41">
        <f>SUMPRODUCT((MONTH(CHOOSE({1,2,3,4},XT!U41,XT!Y41,XT!AC41,XT!AG41))=12)*(CHOOSE({1,2,3,4},XT!X41,XT!AB41,XT!AF41,XT!AJ41)))</f>
        <v>0</v>
      </c>
      <c r="AT41" t="str">
        <f>IFERROR(INDEX(CHOOSE({1,2,3,4}, DAY(XT!U41), DAY(XT!Y41), DAY(XT!AC41), DAY(XT!AG41)), MATCH(1, INDEX(--(MONTH(CHOOSE({1,2,3,4}, XT!U41,XT!Y41,XT!AC41,XT!AG41))=12), 0), 0)), "")</f>
        <v/>
      </c>
      <c r="AU41" s="12" t="str">
        <f>IF(XT!$P41&gt;0,AT41,"")</f>
        <v/>
      </c>
      <c r="AV41" s="12" t="str">
        <f>IF(XT!$P41=0,AT41,"")</f>
        <v/>
      </c>
    </row>
    <row r="42" spans="1:48">
      <c r="A42">
        <f>SUMPRODUCT((MONTH(CHOOSE({1,2,3,4},XT!U42,XT!Y42,XT!AC42,XT!AG42))=1)*(CHOOSE({1,2,3,4},XT!X42,XT!AB42,XT!AF42,XT!AJ42)))</f>
        <v>0</v>
      </c>
      <c r="B42">
        <f>IFERROR(INDEX(CHOOSE({1,2,3,4}, DAY(XT!U42), DAY(XT!Y42), DAY(XT!AC42), DAY(XT!AG42)), MATCH(1, INDEX(--(MONTH(CHOOSE({1,2,3,4}, XT!U42,XT!Y42,XT!AC42,XT!AG42))=1), 0), 0)), "")</f>
        <v>0</v>
      </c>
      <c r="C42" s="12" t="str">
        <f>IF(XT!$P42&gt;0,B42,"")</f>
        <v/>
      </c>
      <c r="D42" s="12">
        <f>IF(XT!$P42=0,B42,"")</f>
        <v>0</v>
      </c>
      <c r="E42">
        <f>SUMPRODUCT((MONTH(CHOOSE({1,2,3,4},XT!U42,XT!Y42,XT!AC42,XT!AG42))=2)*(CHOOSE({1,2,3,4},XT!X42,XT!AB42,XT!AF42,XT!AJ42)))</f>
        <v>0</v>
      </c>
      <c r="F42" t="str">
        <f>IFERROR(INDEX(CHOOSE({1,2,3,4}, DAY(XT!U42), DAY(XT!Y42), DAY(XT!AC42), DAY(XT!AG42)), MATCH(1, INDEX(--(MONTH(CHOOSE({1,2,3,4}, XT!U42,XT!Y42,XT!AC42,XT!AG42))=2), 0), 0)), "")</f>
        <v/>
      </c>
      <c r="G42" s="12" t="str">
        <f>IF(XT!$P42&gt;0,F42,"")</f>
        <v/>
      </c>
      <c r="H42" s="12" t="str">
        <f>IF(XT!$P42=0,F42,"")</f>
        <v/>
      </c>
      <c r="I42">
        <f>SUMPRODUCT((MONTH(CHOOSE({1,2,3,4},XT!U42,XT!Y42,XT!AC42,XT!AG42))=3)*(CHOOSE({1,2,3,4},XT!X42,XT!AB42,XT!AF42,XT!AJ42)))</f>
        <v>0</v>
      </c>
      <c r="J42" t="str">
        <f>IFERROR(INDEX(CHOOSE({1,2,3,4}, DAY(XT!U42), DAY(XT!Y42), DAY(XT!AC42), DAY(XT!AG42)), MATCH(1, INDEX(--(MONTH(CHOOSE({1,2,3,4}, XT!U42,XT!Y42,XT!AC42,XT!AG42))=3), 0), 0)), "")</f>
        <v/>
      </c>
      <c r="K42" s="12" t="str">
        <f>IF(XT!$P42&gt;0,J42,"")</f>
        <v/>
      </c>
      <c r="L42" s="12" t="str">
        <f>IF(XT!$P42=0,J42,"")</f>
        <v/>
      </c>
      <c r="M42">
        <f>SUMPRODUCT((MONTH(CHOOSE({1,2,3,4},XT!U42,XT!Y42,XT!AC42,XT!AG42))=4)*(CHOOSE({1,2,3,4},XT!X42,XT!AB42,XT!AF42,XT!AJ42)))</f>
        <v>0</v>
      </c>
      <c r="N42" t="str">
        <f>IFERROR(INDEX(CHOOSE({1,2,3,4}, DAY(XT!U42), DAY(XT!Y42), DAY(XT!AC42), DAY(XT!AG42)), MATCH(1, INDEX(--(MONTH(CHOOSE({1,2,3,4}, XT!U42,XT!Y42,XT!AC42,XT!AG42))=4), 0), 0)), "")</f>
        <v/>
      </c>
      <c r="O42" s="12" t="str">
        <f>IF(XT!$P42&gt;0,N42,"")</f>
        <v/>
      </c>
      <c r="P42" s="12" t="str">
        <f>IF(XT!$P42=0,N42,"")</f>
        <v/>
      </c>
      <c r="Q42">
        <f>SUMPRODUCT((MONTH(CHOOSE({1,2,3,4},XT!U42,XT!Y42,XT!AC42,XT!AG42))=5)*(CHOOSE({1,2,3,4},XT!X42,XT!AB42,XT!AF42,XT!AJ42)))</f>
        <v>0</v>
      </c>
      <c r="R42" t="str">
        <f>IFERROR(INDEX(CHOOSE({1,2,3,4}, DAY(XT!U42), DAY(XT!Y42), DAY(XT!AC42), DAY(XT!AG42)), MATCH(1, INDEX(--(MONTH(CHOOSE({1,2,3,4}, XT!U42,XT!Y42,XT!AC42,XT!AG42))=5), 0), 0)), "")</f>
        <v/>
      </c>
      <c r="S42" s="12" t="str">
        <f>IF(XT!$P42&gt;0,R42,"")</f>
        <v/>
      </c>
      <c r="T42" s="12" t="str">
        <f>IF(XT!$P42=0,R42,"")</f>
        <v/>
      </c>
      <c r="U42">
        <f>SUMPRODUCT((MONTH(CHOOSE({1,2,3,4},XT!U42,XT!Y42,XT!AC42,XT!AG42))=6)*(CHOOSE({1,2,3,4},XT!X42,XT!AB42,XT!AF42,XT!AJ42)))</f>
        <v>0</v>
      </c>
      <c r="V42" t="str">
        <f>IFERROR(INDEX(CHOOSE({1,2,3,4}, DAY(XT!U42), DAY(XT!Y42), DAY(XT!AC42), DAY(XT!AG42)), MATCH(1, INDEX(--(MONTH(CHOOSE({1,2,3,4}, XT!U42,XT!Y42,XT!AC42,XT!AG42))=6), 0), 0)), "")</f>
        <v/>
      </c>
      <c r="W42" s="12" t="str">
        <f>IF(XT!$P42&gt;0,V42,"")</f>
        <v/>
      </c>
      <c r="X42" s="12" t="str">
        <f>IF(XT!$P42=0,V42,"")</f>
        <v/>
      </c>
      <c r="Y42">
        <f>SUMPRODUCT((MONTH(CHOOSE({1,2,3,4},XT!U42,XT!Y42,XT!AC42,XT!AG42))=7)*(CHOOSE({1,2,3,4},XT!X42,XT!AB42,XT!AF42,XT!AJ42)))</f>
        <v>0</v>
      </c>
      <c r="Z42" t="str">
        <f>IFERROR(INDEX(CHOOSE({1,2,3,4}, DAY(XT!U42), DAY(XT!Y42), DAY(XT!AC42), DAY(XT!AG42)), MATCH(1, INDEX(--(MONTH(CHOOSE({1,2,3,4}, XT!U42,XT!Y42,XT!AC42,XT!AG42))=7), 0), 0)), "")</f>
        <v/>
      </c>
      <c r="AA42" s="12" t="str">
        <f>IF(XT!$P42&gt;0,Z42,"")</f>
        <v/>
      </c>
      <c r="AB42" s="12" t="str">
        <f>IF(XT!$P42=0,Z42,"")</f>
        <v/>
      </c>
      <c r="AC42">
        <f>SUMPRODUCT((MONTH(CHOOSE({1,2,3,4},XT!U42,XT!Y42,XT!AC42,XT!AG42))=8)*(CHOOSE({1,2,3,4},XT!X42,XT!AB42,XT!AF42,XT!AJ42)))</f>
        <v>0</v>
      </c>
      <c r="AD42" t="str">
        <f>IFERROR(INDEX(CHOOSE({1,2,3,4}, DAY(XT!U42), DAY(XT!Y42), DAY(XT!AC42), DAY(XT!AG42)), MATCH(1, INDEX(--(MONTH(CHOOSE({1,2,3,4}, XT!U42,XT!Y42,XT!AC42,XT!AG42))=8), 0), 0)), "")</f>
        <v/>
      </c>
      <c r="AE42" s="12" t="str">
        <f>IF(XT!$P42&gt;0,AD42,"")</f>
        <v/>
      </c>
      <c r="AF42" s="12" t="str">
        <f>IF(XT!$P42=0,AD42,"")</f>
        <v/>
      </c>
      <c r="AG42">
        <f>SUMPRODUCT((MONTH(CHOOSE({1,2,3,4},XT!U42,XT!Y42,XT!AC42,XT!AG42))=9)*(CHOOSE({1,2,3,4},XT!X42,XT!AB42,XT!AF42,XT!AJ42)))</f>
        <v>0</v>
      </c>
      <c r="AH42" t="str">
        <f>IFERROR(INDEX(CHOOSE({1,2,3,4}, DAY(XT!U42), DAY(XT!Y42), DAY(XT!AC42), DAY(XT!AG42)), MATCH(1, INDEX(--(MONTH(CHOOSE({1,2,3,4}, XT!U42,XT!Y42,XT!AC42,XT!AG42))=9), 0), 0)), "")</f>
        <v/>
      </c>
      <c r="AI42" s="12" t="str">
        <f>IF(XT!$P42&gt;0,AH42,"")</f>
        <v/>
      </c>
      <c r="AJ42" s="12" t="str">
        <f>IF(XT!$P42=0,AH42,"")</f>
        <v/>
      </c>
      <c r="AK42">
        <f>SUMPRODUCT((MONTH(CHOOSE({1,2,3,4},XT!U42,XT!Y42,XT!AC42,XT!AG42))=10)*(CHOOSE({1,2,3,4},XT!X42,XT!AB42,XT!AF42,XT!AJ42)))</f>
        <v>0</v>
      </c>
      <c r="AL42" t="str">
        <f>IFERROR(INDEX(CHOOSE({1,2,3,4}, DAY(XT!U42), DAY(XT!Y42), DAY(XT!AC42), DAY(XT!AG42)), MATCH(1, INDEX(--(MONTH(CHOOSE({1,2,3,4}, XT!U42,XT!Y42,XT!AC42,XT!AG42))=10), 0), 0)), "")</f>
        <v/>
      </c>
      <c r="AM42" s="12" t="str">
        <f>IF(XT!$P42&gt;0,AL42,"")</f>
        <v/>
      </c>
      <c r="AN42" s="12" t="str">
        <f>IF(XT!$P42=0,AL42,"")</f>
        <v/>
      </c>
      <c r="AO42">
        <f>SUMPRODUCT((MONTH(CHOOSE({1,2,3,4},XT!U42,XT!Y42,XT!AC42,XT!AG42))=11)*(CHOOSE({1,2,3,4},XT!X42,XT!AB42,XT!AF42,XT!AJ42)))</f>
        <v>0</v>
      </c>
      <c r="AP42" t="str">
        <f>IFERROR(INDEX(CHOOSE({1,2,3,4}, DAY(XT!U42), DAY(XT!Y42), DAY(XT!AC42), DAY(XT!AG42)), MATCH(1, INDEX(--(MONTH(CHOOSE({1,2,3,4}, XT!U42,XT!Y42,XT!AC42,XT!AG42))=11), 0), 0)), "")</f>
        <v/>
      </c>
      <c r="AQ42" s="12" t="str">
        <f>IF(XT!$P42&gt;0,AP42,"")</f>
        <v/>
      </c>
      <c r="AR42" s="12" t="str">
        <f>IF(XT!$P42=0,AP42,"")</f>
        <v/>
      </c>
      <c r="AS42">
        <f>SUMPRODUCT((MONTH(CHOOSE({1,2,3,4},XT!U42,XT!Y42,XT!AC42,XT!AG42))=12)*(CHOOSE({1,2,3,4},XT!X42,XT!AB42,XT!AF42,XT!AJ42)))</f>
        <v>0</v>
      </c>
      <c r="AT42" t="str">
        <f>IFERROR(INDEX(CHOOSE({1,2,3,4}, DAY(XT!U42), DAY(XT!Y42), DAY(XT!AC42), DAY(XT!AG42)), MATCH(1, INDEX(--(MONTH(CHOOSE({1,2,3,4}, XT!U42,XT!Y42,XT!AC42,XT!AG42))=12), 0), 0)), "")</f>
        <v/>
      </c>
      <c r="AU42" s="12" t="str">
        <f>IF(XT!$P42&gt;0,AT42,"")</f>
        <v/>
      </c>
      <c r="AV42" s="12" t="str">
        <f>IF(XT!$P42=0,AT42,"")</f>
        <v/>
      </c>
    </row>
    <row r="43" spans="1:48">
      <c r="A43">
        <f>SUMPRODUCT((MONTH(CHOOSE({1,2,3,4},XT!U43,XT!Y43,XT!AC43,XT!AG43))=1)*(CHOOSE({1,2,3,4},XT!X43,XT!AB43,XT!AF43,XT!AJ43)))</f>
        <v>0</v>
      </c>
      <c r="B43">
        <f>IFERROR(INDEX(CHOOSE({1,2,3,4}, DAY(XT!U43), DAY(XT!Y43), DAY(XT!AC43), DAY(XT!AG43)), MATCH(1, INDEX(--(MONTH(CHOOSE({1,2,3,4}, XT!U43,XT!Y43,XT!AC43,XT!AG43))=1), 0), 0)), "")</f>
        <v>0</v>
      </c>
      <c r="C43" s="12" t="str">
        <f>IF(XT!$P43&gt;0,B43,"")</f>
        <v/>
      </c>
      <c r="D43" s="12">
        <f>IF(XT!$P43=0,B43,"")</f>
        <v>0</v>
      </c>
      <c r="E43">
        <f>SUMPRODUCT((MONTH(CHOOSE({1,2,3,4},XT!U43,XT!Y43,XT!AC43,XT!AG43))=2)*(CHOOSE({1,2,3,4},XT!X43,XT!AB43,XT!AF43,XT!AJ43)))</f>
        <v>0</v>
      </c>
      <c r="F43" t="str">
        <f>IFERROR(INDEX(CHOOSE({1,2,3,4}, DAY(XT!U43), DAY(XT!Y43), DAY(XT!AC43), DAY(XT!AG43)), MATCH(1, INDEX(--(MONTH(CHOOSE({1,2,3,4}, XT!U43,XT!Y43,XT!AC43,XT!AG43))=2), 0), 0)), "")</f>
        <v/>
      </c>
      <c r="G43" s="12" t="str">
        <f>IF(XT!$P43&gt;0,F43,"")</f>
        <v/>
      </c>
      <c r="H43" s="12" t="str">
        <f>IF(XT!$P43=0,F43,"")</f>
        <v/>
      </c>
      <c r="I43">
        <f>SUMPRODUCT((MONTH(CHOOSE({1,2,3,4},XT!U43,XT!Y43,XT!AC43,XT!AG43))=3)*(CHOOSE({1,2,3,4},XT!X43,XT!AB43,XT!AF43,XT!AJ43)))</f>
        <v>0</v>
      </c>
      <c r="J43" t="str">
        <f>IFERROR(INDEX(CHOOSE({1,2,3,4}, DAY(XT!U43), DAY(XT!Y43), DAY(XT!AC43), DAY(XT!AG43)), MATCH(1, INDEX(--(MONTH(CHOOSE({1,2,3,4}, XT!U43,XT!Y43,XT!AC43,XT!AG43))=3), 0), 0)), "")</f>
        <v/>
      </c>
      <c r="K43" s="12" t="str">
        <f>IF(XT!$P43&gt;0,J43,"")</f>
        <v/>
      </c>
      <c r="L43" s="12" t="str">
        <f>IF(XT!$P43=0,J43,"")</f>
        <v/>
      </c>
      <c r="M43">
        <f>SUMPRODUCT((MONTH(CHOOSE({1,2,3,4},XT!U43,XT!Y43,XT!AC43,XT!AG43))=4)*(CHOOSE({1,2,3,4},XT!X43,XT!AB43,XT!AF43,XT!AJ43)))</f>
        <v>0</v>
      </c>
      <c r="N43" t="str">
        <f>IFERROR(INDEX(CHOOSE({1,2,3,4}, DAY(XT!U43), DAY(XT!Y43), DAY(XT!AC43), DAY(XT!AG43)), MATCH(1, INDEX(--(MONTH(CHOOSE({1,2,3,4}, XT!U43,XT!Y43,XT!AC43,XT!AG43))=4), 0), 0)), "")</f>
        <v/>
      </c>
      <c r="O43" s="12" t="str">
        <f>IF(XT!$P43&gt;0,N43,"")</f>
        <v/>
      </c>
      <c r="P43" s="12" t="str">
        <f>IF(XT!$P43=0,N43,"")</f>
        <v/>
      </c>
      <c r="Q43">
        <f>SUMPRODUCT((MONTH(CHOOSE({1,2,3,4},XT!U43,XT!Y43,XT!AC43,XT!AG43))=5)*(CHOOSE({1,2,3,4},XT!X43,XT!AB43,XT!AF43,XT!AJ43)))</f>
        <v>0</v>
      </c>
      <c r="R43" t="str">
        <f>IFERROR(INDEX(CHOOSE({1,2,3,4}, DAY(XT!U43), DAY(XT!Y43), DAY(XT!AC43), DAY(XT!AG43)), MATCH(1, INDEX(--(MONTH(CHOOSE({1,2,3,4}, XT!U43,XT!Y43,XT!AC43,XT!AG43))=5), 0), 0)), "")</f>
        <v/>
      </c>
      <c r="S43" s="12" t="str">
        <f>IF(XT!$P43&gt;0,R43,"")</f>
        <v/>
      </c>
      <c r="T43" s="12" t="str">
        <f>IF(XT!$P43=0,R43,"")</f>
        <v/>
      </c>
      <c r="U43">
        <f>SUMPRODUCT((MONTH(CHOOSE({1,2,3,4},XT!U43,XT!Y43,XT!AC43,XT!AG43))=6)*(CHOOSE({1,2,3,4},XT!X43,XT!AB43,XT!AF43,XT!AJ43)))</f>
        <v>0</v>
      </c>
      <c r="V43" t="str">
        <f>IFERROR(INDEX(CHOOSE({1,2,3,4}, DAY(XT!U43), DAY(XT!Y43), DAY(XT!AC43), DAY(XT!AG43)), MATCH(1, INDEX(--(MONTH(CHOOSE({1,2,3,4}, XT!U43,XT!Y43,XT!AC43,XT!AG43))=6), 0), 0)), "")</f>
        <v/>
      </c>
      <c r="W43" s="12" t="str">
        <f>IF(XT!$P43&gt;0,V43,"")</f>
        <v/>
      </c>
      <c r="X43" s="12" t="str">
        <f>IF(XT!$P43=0,V43,"")</f>
        <v/>
      </c>
      <c r="Y43">
        <f>SUMPRODUCT((MONTH(CHOOSE({1,2,3,4},XT!U43,XT!Y43,XT!AC43,XT!AG43))=7)*(CHOOSE({1,2,3,4},XT!X43,XT!AB43,XT!AF43,XT!AJ43)))</f>
        <v>0</v>
      </c>
      <c r="Z43" t="str">
        <f>IFERROR(INDEX(CHOOSE({1,2,3,4}, DAY(XT!U43), DAY(XT!Y43), DAY(XT!AC43), DAY(XT!AG43)), MATCH(1, INDEX(--(MONTH(CHOOSE({1,2,3,4}, XT!U43,XT!Y43,XT!AC43,XT!AG43))=7), 0), 0)), "")</f>
        <v/>
      </c>
      <c r="AA43" s="12" t="str">
        <f>IF(XT!$P43&gt;0,Z43,"")</f>
        <v/>
      </c>
      <c r="AB43" s="12" t="str">
        <f>IF(XT!$P43=0,Z43,"")</f>
        <v/>
      </c>
      <c r="AC43">
        <f>SUMPRODUCT((MONTH(CHOOSE({1,2,3,4},XT!U43,XT!Y43,XT!AC43,XT!AG43))=8)*(CHOOSE({1,2,3,4},XT!X43,XT!AB43,XT!AF43,XT!AJ43)))</f>
        <v>0</v>
      </c>
      <c r="AD43" t="str">
        <f>IFERROR(INDEX(CHOOSE({1,2,3,4}, DAY(XT!U43), DAY(XT!Y43), DAY(XT!AC43), DAY(XT!AG43)), MATCH(1, INDEX(--(MONTH(CHOOSE({1,2,3,4}, XT!U43,XT!Y43,XT!AC43,XT!AG43))=8), 0), 0)), "")</f>
        <v/>
      </c>
      <c r="AE43" s="12" t="str">
        <f>IF(XT!$P43&gt;0,AD43,"")</f>
        <v/>
      </c>
      <c r="AF43" s="12" t="str">
        <f>IF(XT!$P43=0,AD43,"")</f>
        <v/>
      </c>
      <c r="AG43">
        <f>SUMPRODUCT((MONTH(CHOOSE({1,2,3,4},XT!U43,XT!Y43,XT!AC43,XT!AG43))=9)*(CHOOSE({1,2,3,4},XT!X43,XT!AB43,XT!AF43,XT!AJ43)))</f>
        <v>0</v>
      </c>
      <c r="AH43" t="str">
        <f>IFERROR(INDEX(CHOOSE({1,2,3,4}, DAY(XT!U43), DAY(XT!Y43), DAY(XT!AC43), DAY(XT!AG43)), MATCH(1, INDEX(--(MONTH(CHOOSE({1,2,3,4}, XT!U43,XT!Y43,XT!AC43,XT!AG43))=9), 0), 0)), "")</f>
        <v/>
      </c>
      <c r="AI43" s="12" t="str">
        <f>IF(XT!$P43&gt;0,AH43,"")</f>
        <v/>
      </c>
      <c r="AJ43" s="12" t="str">
        <f>IF(XT!$P43=0,AH43,"")</f>
        <v/>
      </c>
      <c r="AK43">
        <f>SUMPRODUCT((MONTH(CHOOSE({1,2,3,4},XT!U43,XT!Y43,XT!AC43,XT!AG43))=10)*(CHOOSE({1,2,3,4},XT!X43,XT!AB43,XT!AF43,XT!AJ43)))</f>
        <v>0</v>
      </c>
      <c r="AL43" t="str">
        <f>IFERROR(INDEX(CHOOSE({1,2,3,4}, DAY(XT!U43), DAY(XT!Y43), DAY(XT!AC43), DAY(XT!AG43)), MATCH(1, INDEX(--(MONTH(CHOOSE({1,2,3,4}, XT!U43,XT!Y43,XT!AC43,XT!AG43))=10), 0), 0)), "")</f>
        <v/>
      </c>
      <c r="AM43" s="12" t="str">
        <f>IF(XT!$P43&gt;0,AL43,"")</f>
        <v/>
      </c>
      <c r="AN43" s="12" t="str">
        <f>IF(XT!$P43=0,AL43,"")</f>
        <v/>
      </c>
      <c r="AO43">
        <f>SUMPRODUCT((MONTH(CHOOSE({1,2,3,4},XT!U43,XT!Y43,XT!AC43,XT!AG43))=11)*(CHOOSE({1,2,3,4},XT!X43,XT!AB43,XT!AF43,XT!AJ43)))</f>
        <v>0</v>
      </c>
      <c r="AP43" t="str">
        <f>IFERROR(INDEX(CHOOSE({1,2,3,4}, DAY(XT!U43), DAY(XT!Y43), DAY(XT!AC43), DAY(XT!AG43)), MATCH(1, INDEX(--(MONTH(CHOOSE({1,2,3,4}, XT!U43,XT!Y43,XT!AC43,XT!AG43))=11), 0), 0)), "")</f>
        <v/>
      </c>
      <c r="AQ43" s="12" t="str">
        <f>IF(XT!$P43&gt;0,AP43,"")</f>
        <v/>
      </c>
      <c r="AR43" s="12" t="str">
        <f>IF(XT!$P43=0,AP43,"")</f>
        <v/>
      </c>
      <c r="AS43">
        <f>SUMPRODUCT((MONTH(CHOOSE({1,2,3,4},XT!U43,XT!Y43,XT!AC43,XT!AG43))=12)*(CHOOSE({1,2,3,4},XT!X43,XT!AB43,XT!AF43,XT!AJ43)))</f>
        <v>0</v>
      </c>
      <c r="AT43" t="str">
        <f>IFERROR(INDEX(CHOOSE({1,2,3,4}, DAY(XT!U43), DAY(XT!Y43), DAY(XT!AC43), DAY(XT!AG43)), MATCH(1, INDEX(--(MONTH(CHOOSE({1,2,3,4}, XT!U43,XT!Y43,XT!AC43,XT!AG43))=12), 0), 0)), "")</f>
        <v/>
      </c>
      <c r="AU43" s="12" t="str">
        <f>IF(XT!$P43&gt;0,AT43,"")</f>
        <v/>
      </c>
      <c r="AV43" s="12" t="str">
        <f>IF(XT!$P43=0,AT43,"")</f>
        <v/>
      </c>
    </row>
    <row r="44" spans="1:48">
      <c r="A44">
        <f>SUMPRODUCT((MONTH(CHOOSE({1,2,3,4},XT!U44,XT!Y44,XT!AC44,XT!AG44))=1)*(CHOOSE({1,2,3,4},XT!X44,XT!AB44,XT!AF44,XT!AJ44)))</f>
        <v>0</v>
      </c>
      <c r="B44">
        <f>IFERROR(INDEX(CHOOSE({1,2,3,4}, DAY(XT!U44), DAY(XT!Y44), DAY(XT!AC44), DAY(XT!AG44)), MATCH(1, INDEX(--(MONTH(CHOOSE({1,2,3,4}, XT!U44,XT!Y44,XT!AC44,XT!AG44))=1), 0), 0)), "")</f>
        <v>0</v>
      </c>
      <c r="C44" s="12" t="str">
        <f>IF(XT!$P44&gt;0,B44,"")</f>
        <v/>
      </c>
      <c r="D44" s="12">
        <f>IF(XT!$P44=0,B44,"")</f>
        <v>0</v>
      </c>
      <c r="E44">
        <f>SUMPRODUCT((MONTH(CHOOSE({1,2,3,4},XT!U44,XT!Y44,XT!AC44,XT!AG44))=2)*(CHOOSE({1,2,3,4},XT!X44,XT!AB44,XT!AF44,XT!AJ44)))</f>
        <v>0</v>
      </c>
      <c r="F44" t="str">
        <f>IFERROR(INDEX(CHOOSE({1,2,3,4}, DAY(XT!U44), DAY(XT!Y44), DAY(XT!AC44), DAY(XT!AG44)), MATCH(1, INDEX(--(MONTH(CHOOSE({1,2,3,4}, XT!U44,XT!Y44,XT!AC44,XT!AG44))=2), 0), 0)), "")</f>
        <v/>
      </c>
      <c r="G44" s="12" t="str">
        <f>IF(XT!$P44&gt;0,F44,"")</f>
        <v/>
      </c>
      <c r="H44" s="12" t="str">
        <f>IF(XT!$P44=0,F44,"")</f>
        <v/>
      </c>
      <c r="I44">
        <f>SUMPRODUCT((MONTH(CHOOSE({1,2,3,4},XT!U44,XT!Y44,XT!AC44,XT!AG44))=3)*(CHOOSE({1,2,3,4},XT!X44,XT!AB44,XT!AF44,XT!AJ44)))</f>
        <v>0</v>
      </c>
      <c r="J44" t="str">
        <f>IFERROR(INDEX(CHOOSE({1,2,3,4}, DAY(XT!U44), DAY(XT!Y44), DAY(XT!AC44), DAY(XT!AG44)), MATCH(1, INDEX(--(MONTH(CHOOSE({1,2,3,4}, XT!U44,XT!Y44,XT!AC44,XT!AG44))=3), 0), 0)), "")</f>
        <v/>
      </c>
      <c r="K44" s="12" t="str">
        <f>IF(XT!$P44&gt;0,J44,"")</f>
        <v/>
      </c>
      <c r="L44" s="12" t="str">
        <f>IF(XT!$P44=0,J44,"")</f>
        <v/>
      </c>
      <c r="M44">
        <f>SUMPRODUCT((MONTH(CHOOSE({1,2,3,4},XT!U44,XT!Y44,XT!AC44,XT!AG44))=4)*(CHOOSE({1,2,3,4},XT!X44,XT!AB44,XT!AF44,XT!AJ44)))</f>
        <v>0</v>
      </c>
      <c r="N44" t="str">
        <f>IFERROR(INDEX(CHOOSE({1,2,3,4}, DAY(XT!U44), DAY(XT!Y44), DAY(XT!AC44), DAY(XT!AG44)), MATCH(1, INDEX(--(MONTH(CHOOSE({1,2,3,4}, XT!U44,XT!Y44,XT!AC44,XT!AG44))=4), 0), 0)), "")</f>
        <v/>
      </c>
      <c r="O44" s="12" t="str">
        <f>IF(XT!$P44&gt;0,N44,"")</f>
        <v/>
      </c>
      <c r="P44" s="12" t="str">
        <f>IF(XT!$P44=0,N44,"")</f>
        <v/>
      </c>
      <c r="Q44">
        <f>SUMPRODUCT((MONTH(CHOOSE({1,2,3,4},XT!U44,XT!Y44,XT!AC44,XT!AG44))=5)*(CHOOSE({1,2,3,4},XT!X44,XT!AB44,XT!AF44,XT!AJ44)))</f>
        <v>0</v>
      </c>
      <c r="R44" t="str">
        <f>IFERROR(INDEX(CHOOSE({1,2,3,4}, DAY(XT!U44), DAY(XT!Y44), DAY(XT!AC44), DAY(XT!AG44)), MATCH(1, INDEX(--(MONTH(CHOOSE({1,2,3,4}, XT!U44,XT!Y44,XT!AC44,XT!AG44))=5), 0), 0)), "")</f>
        <v/>
      </c>
      <c r="S44" s="12" t="str">
        <f>IF(XT!$P44&gt;0,R44,"")</f>
        <v/>
      </c>
      <c r="T44" s="12" t="str">
        <f>IF(XT!$P44=0,R44,"")</f>
        <v/>
      </c>
      <c r="U44">
        <f>SUMPRODUCT((MONTH(CHOOSE({1,2,3,4},XT!U44,XT!Y44,XT!AC44,XT!AG44))=6)*(CHOOSE({1,2,3,4},XT!X44,XT!AB44,XT!AF44,XT!AJ44)))</f>
        <v>0</v>
      </c>
      <c r="V44" t="str">
        <f>IFERROR(INDEX(CHOOSE({1,2,3,4}, DAY(XT!U44), DAY(XT!Y44), DAY(XT!AC44), DAY(XT!AG44)), MATCH(1, INDEX(--(MONTH(CHOOSE({1,2,3,4}, XT!U44,XT!Y44,XT!AC44,XT!AG44))=6), 0), 0)), "")</f>
        <v/>
      </c>
      <c r="W44" s="12" t="str">
        <f>IF(XT!$P44&gt;0,V44,"")</f>
        <v/>
      </c>
      <c r="X44" s="12" t="str">
        <f>IF(XT!$P44=0,V44,"")</f>
        <v/>
      </c>
      <c r="Y44">
        <f>SUMPRODUCT((MONTH(CHOOSE({1,2,3,4},XT!U44,XT!Y44,XT!AC44,XT!AG44))=7)*(CHOOSE({1,2,3,4},XT!X44,XT!AB44,XT!AF44,XT!AJ44)))</f>
        <v>0</v>
      </c>
      <c r="Z44" t="str">
        <f>IFERROR(INDEX(CHOOSE({1,2,3,4}, DAY(XT!U44), DAY(XT!Y44), DAY(XT!AC44), DAY(XT!AG44)), MATCH(1, INDEX(--(MONTH(CHOOSE({1,2,3,4}, XT!U44,XT!Y44,XT!AC44,XT!AG44))=7), 0), 0)), "")</f>
        <v/>
      </c>
      <c r="AA44" s="12" t="str">
        <f>IF(XT!$P44&gt;0,Z44,"")</f>
        <v/>
      </c>
      <c r="AB44" s="12" t="str">
        <f>IF(XT!$P44=0,Z44,"")</f>
        <v/>
      </c>
      <c r="AC44">
        <f>SUMPRODUCT((MONTH(CHOOSE({1,2,3,4},XT!U44,XT!Y44,XT!AC44,XT!AG44))=8)*(CHOOSE({1,2,3,4},XT!X44,XT!AB44,XT!AF44,XT!AJ44)))</f>
        <v>0</v>
      </c>
      <c r="AD44" t="str">
        <f>IFERROR(INDEX(CHOOSE({1,2,3,4}, DAY(XT!U44), DAY(XT!Y44), DAY(XT!AC44), DAY(XT!AG44)), MATCH(1, INDEX(--(MONTH(CHOOSE({1,2,3,4}, XT!U44,XT!Y44,XT!AC44,XT!AG44))=8), 0), 0)), "")</f>
        <v/>
      </c>
      <c r="AE44" s="12" t="str">
        <f>IF(XT!$P44&gt;0,AD44,"")</f>
        <v/>
      </c>
      <c r="AF44" s="12" t="str">
        <f>IF(XT!$P44=0,AD44,"")</f>
        <v/>
      </c>
      <c r="AG44">
        <f>SUMPRODUCT((MONTH(CHOOSE({1,2,3,4},XT!U44,XT!Y44,XT!AC44,XT!AG44))=9)*(CHOOSE({1,2,3,4},XT!X44,XT!AB44,XT!AF44,XT!AJ44)))</f>
        <v>0</v>
      </c>
      <c r="AH44" t="str">
        <f>IFERROR(INDEX(CHOOSE({1,2,3,4}, DAY(XT!U44), DAY(XT!Y44), DAY(XT!AC44), DAY(XT!AG44)), MATCH(1, INDEX(--(MONTH(CHOOSE({1,2,3,4}, XT!U44,XT!Y44,XT!AC44,XT!AG44))=9), 0), 0)), "")</f>
        <v/>
      </c>
      <c r="AI44" s="12" t="str">
        <f>IF(XT!$P44&gt;0,AH44,"")</f>
        <v/>
      </c>
      <c r="AJ44" s="12" t="str">
        <f>IF(XT!$P44=0,AH44,"")</f>
        <v/>
      </c>
      <c r="AK44">
        <f>SUMPRODUCT((MONTH(CHOOSE({1,2,3,4},XT!U44,XT!Y44,XT!AC44,XT!AG44))=10)*(CHOOSE({1,2,3,4},XT!X44,XT!AB44,XT!AF44,XT!AJ44)))</f>
        <v>0</v>
      </c>
      <c r="AL44" t="str">
        <f>IFERROR(INDEX(CHOOSE({1,2,3,4}, DAY(XT!U44), DAY(XT!Y44), DAY(XT!AC44), DAY(XT!AG44)), MATCH(1, INDEX(--(MONTH(CHOOSE({1,2,3,4}, XT!U44,XT!Y44,XT!AC44,XT!AG44))=10), 0), 0)), "")</f>
        <v/>
      </c>
      <c r="AM44" s="12" t="str">
        <f>IF(XT!$P44&gt;0,AL44,"")</f>
        <v/>
      </c>
      <c r="AN44" s="12" t="str">
        <f>IF(XT!$P44=0,AL44,"")</f>
        <v/>
      </c>
      <c r="AO44">
        <f>SUMPRODUCT((MONTH(CHOOSE({1,2,3,4},XT!U44,XT!Y44,XT!AC44,XT!AG44))=11)*(CHOOSE({1,2,3,4},XT!X44,XT!AB44,XT!AF44,XT!AJ44)))</f>
        <v>0</v>
      </c>
      <c r="AP44" t="str">
        <f>IFERROR(INDEX(CHOOSE({1,2,3,4}, DAY(XT!U44), DAY(XT!Y44), DAY(XT!AC44), DAY(XT!AG44)), MATCH(1, INDEX(--(MONTH(CHOOSE({1,2,3,4}, XT!U44,XT!Y44,XT!AC44,XT!AG44))=11), 0), 0)), "")</f>
        <v/>
      </c>
      <c r="AQ44" s="12" t="str">
        <f>IF(XT!$P44&gt;0,AP44,"")</f>
        <v/>
      </c>
      <c r="AR44" s="12" t="str">
        <f>IF(XT!$P44=0,AP44,"")</f>
        <v/>
      </c>
      <c r="AS44">
        <f>SUMPRODUCT((MONTH(CHOOSE({1,2,3,4},XT!U44,XT!Y44,XT!AC44,XT!AG44))=12)*(CHOOSE({1,2,3,4},XT!X44,XT!AB44,XT!AF44,XT!AJ44)))</f>
        <v>0</v>
      </c>
      <c r="AT44" t="str">
        <f>IFERROR(INDEX(CHOOSE({1,2,3,4}, DAY(XT!U44), DAY(XT!Y44), DAY(XT!AC44), DAY(XT!AG44)), MATCH(1, INDEX(--(MONTH(CHOOSE({1,2,3,4}, XT!U44,XT!Y44,XT!AC44,XT!AG44))=12), 0), 0)), "")</f>
        <v/>
      </c>
      <c r="AU44" s="12" t="str">
        <f>IF(XT!$P44&gt;0,AT44,"")</f>
        <v/>
      </c>
      <c r="AV44" s="12" t="str">
        <f>IF(XT!$P44=0,AT44,"")</f>
        <v/>
      </c>
    </row>
    <row r="45" spans="1:48">
      <c r="A45">
        <f>SUMPRODUCT((MONTH(CHOOSE({1,2,3,4},XT!U45,XT!Y45,XT!AC45,XT!AG45))=1)*(CHOOSE({1,2,3,4},XT!X45,XT!AB45,XT!AF45,XT!AJ45)))</f>
        <v>0</v>
      </c>
      <c r="B45">
        <f>IFERROR(INDEX(CHOOSE({1,2,3,4}, DAY(XT!U45), DAY(XT!Y45), DAY(XT!AC45), DAY(XT!AG45)), MATCH(1, INDEX(--(MONTH(CHOOSE({1,2,3,4}, XT!U45,XT!Y45,XT!AC45,XT!AG45))=1), 0), 0)), "")</f>
        <v>0</v>
      </c>
      <c r="C45" s="12" t="str">
        <f>IF(XT!$P45&gt;0,B45,"")</f>
        <v/>
      </c>
      <c r="D45" s="12">
        <f>IF(XT!$P45=0,B45,"")</f>
        <v>0</v>
      </c>
      <c r="E45">
        <f>SUMPRODUCT((MONTH(CHOOSE({1,2,3,4},XT!U45,XT!Y45,XT!AC45,XT!AG45))=2)*(CHOOSE({1,2,3,4},XT!X45,XT!AB45,XT!AF45,XT!AJ45)))</f>
        <v>0</v>
      </c>
      <c r="F45" t="str">
        <f>IFERROR(INDEX(CHOOSE({1,2,3,4}, DAY(XT!U45), DAY(XT!Y45), DAY(XT!AC45), DAY(XT!AG45)), MATCH(1, INDEX(--(MONTH(CHOOSE({1,2,3,4}, XT!U45,XT!Y45,XT!AC45,XT!AG45))=2), 0), 0)), "")</f>
        <v/>
      </c>
      <c r="G45" s="12" t="str">
        <f>IF(XT!$P45&gt;0,F45,"")</f>
        <v/>
      </c>
      <c r="H45" s="12" t="str">
        <f>IF(XT!$P45=0,F45,"")</f>
        <v/>
      </c>
      <c r="I45">
        <f>SUMPRODUCT((MONTH(CHOOSE({1,2,3,4},XT!U45,XT!Y45,XT!AC45,XT!AG45))=3)*(CHOOSE({1,2,3,4},XT!X45,XT!AB45,XT!AF45,XT!AJ45)))</f>
        <v>0</v>
      </c>
      <c r="J45" t="str">
        <f>IFERROR(INDEX(CHOOSE({1,2,3,4}, DAY(XT!U45), DAY(XT!Y45), DAY(XT!AC45), DAY(XT!AG45)), MATCH(1, INDEX(--(MONTH(CHOOSE({1,2,3,4}, XT!U45,XT!Y45,XT!AC45,XT!AG45))=3), 0), 0)), "")</f>
        <v/>
      </c>
      <c r="K45" s="12" t="str">
        <f>IF(XT!$P45&gt;0,J45,"")</f>
        <v/>
      </c>
      <c r="L45" s="12" t="str">
        <f>IF(XT!$P45=0,J45,"")</f>
        <v/>
      </c>
      <c r="M45">
        <f>SUMPRODUCT((MONTH(CHOOSE({1,2,3,4},XT!U45,XT!Y45,XT!AC45,XT!AG45))=4)*(CHOOSE({1,2,3,4},XT!X45,XT!AB45,XT!AF45,XT!AJ45)))</f>
        <v>0</v>
      </c>
      <c r="N45" t="str">
        <f>IFERROR(INDEX(CHOOSE({1,2,3,4}, DAY(XT!U45), DAY(XT!Y45), DAY(XT!AC45), DAY(XT!AG45)), MATCH(1, INDEX(--(MONTH(CHOOSE({1,2,3,4}, XT!U45,XT!Y45,XT!AC45,XT!AG45))=4), 0), 0)), "")</f>
        <v/>
      </c>
      <c r="O45" s="12" t="str">
        <f>IF(XT!$P45&gt;0,N45,"")</f>
        <v/>
      </c>
      <c r="P45" s="12" t="str">
        <f>IF(XT!$P45=0,N45,"")</f>
        <v/>
      </c>
      <c r="Q45">
        <f>SUMPRODUCT((MONTH(CHOOSE({1,2,3,4},XT!U45,XT!Y45,XT!AC45,XT!AG45))=5)*(CHOOSE({1,2,3,4},XT!X45,XT!AB45,XT!AF45,XT!AJ45)))</f>
        <v>0</v>
      </c>
      <c r="R45" t="str">
        <f>IFERROR(INDEX(CHOOSE({1,2,3,4}, DAY(XT!U45), DAY(XT!Y45), DAY(XT!AC45), DAY(XT!AG45)), MATCH(1, INDEX(--(MONTH(CHOOSE({1,2,3,4}, XT!U45,XT!Y45,XT!AC45,XT!AG45))=5), 0), 0)), "")</f>
        <v/>
      </c>
      <c r="S45" s="12" t="str">
        <f>IF(XT!$P45&gt;0,R45,"")</f>
        <v/>
      </c>
      <c r="T45" s="12" t="str">
        <f>IF(XT!$P45=0,R45,"")</f>
        <v/>
      </c>
      <c r="U45">
        <f>SUMPRODUCT((MONTH(CHOOSE({1,2,3,4},XT!U45,XT!Y45,XT!AC45,XT!AG45))=6)*(CHOOSE({1,2,3,4},XT!X45,XT!AB45,XT!AF45,XT!AJ45)))</f>
        <v>0</v>
      </c>
      <c r="V45" t="str">
        <f>IFERROR(INDEX(CHOOSE({1,2,3,4}, DAY(XT!U45), DAY(XT!Y45), DAY(XT!AC45), DAY(XT!AG45)), MATCH(1, INDEX(--(MONTH(CHOOSE({1,2,3,4}, XT!U45,XT!Y45,XT!AC45,XT!AG45))=6), 0), 0)), "")</f>
        <v/>
      </c>
      <c r="W45" s="12" t="str">
        <f>IF(XT!$P45&gt;0,V45,"")</f>
        <v/>
      </c>
      <c r="X45" s="12" t="str">
        <f>IF(XT!$P45=0,V45,"")</f>
        <v/>
      </c>
      <c r="Y45">
        <f>SUMPRODUCT((MONTH(CHOOSE({1,2,3,4},XT!U45,XT!Y45,XT!AC45,XT!AG45))=7)*(CHOOSE({1,2,3,4},XT!X45,XT!AB45,XT!AF45,XT!AJ45)))</f>
        <v>0</v>
      </c>
      <c r="Z45" t="str">
        <f>IFERROR(INDEX(CHOOSE({1,2,3,4}, DAY(XT!U45), DAY(XT!Y45), DAY(XT!AC45), DAY(XT!AG45)), MATCH(1, INDEX(--(MONTH(CHOOSE({1,2,3,4}, XT!U45,XT!Y45,XT!AC45,XT!AG45))=7), 0), 0)), "")</f>
        <v/>
      </c>
      <c r="AA45" s="12" t="str">
        <f>IF(XT!$P45&gt;0,Z45,"")</f>
        <v/>
      </c>
      <c r="AB45" s="12" t="str">
        <f>IF(XT!$P45=0,Z45,"")</f>
        <v/>
      </c>
      <c r="AC45">
        <f>SUMPRODUCT((MONTH(CHOOSE({1,2,3,4},XT!U45,XT!Y45,XT!AC45,XT!AG45))=8)*(CHOOSE({1,2,3,4},XT!X45,XT!AB45,XT!AF45,XT!AJ45)))</f>
        <v>0</v>
      </c>
      <c r="AD45" t="str">
        <f>IFERROR(INDEX(CHOOSE({1,2,3,4}, DAY(XT!U45), DAY(XT!Y45), DAY(XT!AC45), DAY(XT!AG45)), MATCH(1, INDEX(--(MONTH(CHOOSE({1,2,3,4}, XT!U45,XT!Y45,XT!AC45,XT!AG45))=8), 0), 0)), "")</f>
        <v/>
      </c>
      <c r="AE45" s="12" t="str">
        <f>IF(XT!$P45&gt;0,AD45,"")</f>
        <v/>
      </c>
      <c r="AF45" s="12" t="str">
        <f>IF(XT!$P45=0,AD45,"")</f>
        <v/>
      </c>
      <c r="AG45">
        <f>SUMPRODUCT((MONTH(CHOOSE({1,2,3,4},XT!U45,XT!Y45,XT!AC45,XT!AG45))=9)*(CHOOSE({1,2,3,4},XT!X45,XT!AB45,XT!AF45,XT!AJ45)))</f>
        <v>0</v>
      </c>
      <c r="AH45" t="str">
        <f>IFERROR(INDEX(CHOOSE({1,2,3,4}, DAY(XT!U45), DAY(XT!Y45), DAY(XT!AC45), DAY(XT!AG45)), MATCH(1, INDEX(--(MONTH(CHOOSE({1,2,3,4}, XT!U45,XT!Y45,XT!AC45,XT!AG45))=9), 0), 0)), "")</f>
        <v/>
      </c>
      <c r="AI45" s="12" t="str">
        <f>IF(XT!$P45&gt;0,AH45,"")</f>
        <v/>
      </c>
      <c r="AJ45" s="12" t="str">
        <f>IF(XT!$P45=0,AH45,"")</f>
        <v/>
      </c>
      <c r="AK45">
        <f>SUMPRODUCT((MONTH(CHOOSE({1,2,3,4},XT!U45,XT!Y45,XT!AC45,XT!AG45))=10)*(CHOOSE({1,2,3,4},XT!X45,XT!AB45,XT!AF45,XT!AJ45)))</f>
        <v>0</v>
      </c>
      <c r="AL45" t="str">
        <f>IFERROR(INDEX(CHOOSE({1,2,3,4}, DAY(XT!U45), DAY(XT!Y45), DAY(XT!AC45), DAY(XT!AG45)), MATCH(1, INDEX(--(MONTH(CHOOSE({1,2,3,4}, XT!U45,XT!Y45,XT!AC45,XT!AG45))=10), 0), 0)), "")</f>
        <v/>
      </c>
      <c r="AM45" s="12" t="str">
        <f>IF(XT!$P45&gt;0,AL45,"")</f>
        <v/>
      </c>
      <c r="AN45" s="12" t="str">
        <f>IF(XT!$P45=0,AL45,"")</f>
        <v/>
      </c>
      <c r="AO45">
        <f>SUMPRODUCT((MONTH(CHOOSE({1,2,3,4},XT!U45,XT!Y45,XT!AC45,XT!AG45))=11)*(CHOOSE({1,2,3,4},XT!X45,XT!AB45,XT!AF45,XT!AJ45)))</f>
        <v>0</v>
      </c>
      <c r="AP45" t="str">
        <f>IFERROR(INDEX(CHOOSE({1,2,3,4}, DAY(XT!U45), DAY(XT!Y45), DAY(XT!AC45), DAY(XT!AG45)), MATCH(1, INDEX(--(MONTH(CHOOSE({1,2,3,4}, XT!U45,XT!Y45,XT!AC45,XT!AG45))=11), 0), 0)), "")</f>
        <v/>
      </c>
      <c r="AQ45" s="12" t="str">
        <f>IF(XT!$P45&gt;0,AP45,"")</f>
        <v/>
      </c>
      <c r="AR45" s="12" t="str">
        <f>IF(XT!$P45=0,AP45,"")</f>
        <v/>
      </c>
      <c r="AS45">
        <f>SUMPRODUCT((MONTH(CHOOSE({1,2,3,4},XT!U45,XT!Y45,XT!AC45,XT!AG45))=12)*(CHOOSE({1,2,3,4},XT!X45,XT!AB45,XT!AF45,XT!AJ45)))</f>
        <v>0</v>
      </c>
      <c r="AT45" t="str">
        <f>IFERROR(INDEX(CHOOSE({1,2,3,4}, DAY(XT!U45), DAY(XT!Y45), DAY(XT!AC45), DAY(XT!AG45)), MATCH(1, INDEX(--(MONTH(CHOOSE({1,2,3,4}, XT!U45,XT!Y45,XT!AC45,XT!AG45))=12), 0), 0)), "")</f>
        <v/>
      </c>
      <c r="AU45" s="12" t="str">
        <f>IF(XT!$P45&gt;0,AT45,"")</f>
        <v/>
      </c>
      <c r="AV45" s="12" t="str">
        <f>IF(XT!$P45=0,AT45,"")</f>
        <v/>
      </c>
    </row>
    <row r="46" spans="1:48">
      <c r="A46">
        <f>SUMPRODUCT((MONTH(CHOOSE({1,2,3,4},XT!U46,XT!Y46,XT!AC46,XT!AG46))=1)*(CHOOSE({1,2,3,4},XT!X46,XT!AB46,XT!AF46,XT!AJ46)))</f>
        <v>0</v>
      </c>
      <c r="B46">
        <f>IFERROR(INDEX(CHOOSE({1,2,3,4}, DAY(XT!U46), DAY(XT!Y46), DAY(XT!AC46), DAY(XT!AG46)), MATCH(1, INDEX(--(MONTH(CHOOSE({1,2,3,4}, XT!U46,XT!Y46,XT!AC46,XT!AG46))=1), 0), 0)), "")</f>
        <v>0</v>
      </c>
      <c r="C46" s="12" t="str">
        <f>IF(XT!$P46&gt;0,B46,"")</f>
        <v/>
      </c>
      <c r="D46" s="12">
        <f>IF(XT!$P46=0,B46,"")</f>
        <v>0</v>
      </c>
      <c r="E46">
        <f>SUMPRODUCT((MONTH(CHOOSE({1,2,3,4},XT!U46,XT!Y46,XT!AC46,XT!AG46))=2)*(CHOOSE({1,2,3,4},XT!X46,XT!AB46,XT!AF46,XT!AJ46)))</f>
        <v>0</v>
      </c>
      <c r="F46" t="str">
        <f>IFERROR(INDEX(CHOOSE({1,2,3,4}, DAY(XT!U46), DAY(XT!Y46), DAY(XT!AC46), DAY(XT!AG46)), MATCH(1, INDEX(--(MONTH(CHOOSE({1,2,3,4}, XT!U46,XT!Y46,XT!AC46,XT!AG46))=2), 0), 0)), "")</f>
        <v/>
      </c>
      <c r="G46" s="12" t="str">
        <f>IF(XT!$P46&gt;0,F46,"")</f>
        <v/>
      </c>
      <c r="H46" s="12" t="str">
        <f>IF(XT!$P46=0,F46,"")</f>
        <v/>
      </c>
      <c r="I46">
        <f>SUMPRODUCT((MONTH(CHOOSE({1,2,3,4},XT!U46,XT!Y46,XT!AC46,XT!AG46))=3)*(CHOOSE({1,2,3,4},XT!X46,XT!AB46,XT!AF46,XT!AJ46)))</f>
        <v>0</v>
      </c>
      <c r="J46" t="str">
        <f>IFERROR(INDEX(CHOOSE({1,2,3,4}, DAY(XT!U46), DAY(XT!Y46), DAY(XT!AC46), DAY(XT!AG46)), MATCH(1, INDEX(--(MONTH(CHOOSE({1,2,3,4}, XT!U46,XT!Y46,XT!AC46,XT!AG46))=3), 0), 0)), "")</f>
        <v/>
      </c>
      <c r="K46" s="12" t="str">
        <f>IF(XT!$P46&gt;0,J46,"")</f>
        <v/>
      </c>
      <c r="L46" s="12" t="str">
        <f>IF(XT!$P46=0,J46,"")</f>
        <v/>
      </c>
      <c r="M46">
        <f>SUMPRODUCT((MONTH(CHOOSE({1,2,3,4},XT!U46,XT!Y46,XT!AC46,XT!AG46))=4)*(CHOOSE({1,2,3,4},XT!X46,XT!AB46,XT!AF46,XT!AJ46)))</f>
        <v>0</v>
      </c>
      <c r="N46" t="str">
        <f>IFERROR(INDEX(CHOOSE({1,2,3,4}, DAY(XT!U46), DAY(XT!Y46), DAY(XT!AC46), DAY(XT!AG46)), MATCH(1, INDEX(--(MONTH(CHOOSE({1,2,3,4}, XT!U46,XT!Y46,XT!AC46,XT!AG46))=4), 0), 0)), "")</f>
        <v/>
      </c>
      <c r="O46" s="12" t="str">
        <f>IF(XT!$P46&gt;0,N46,"")</f>
        <v/>
      </c>
      <c r="P46" s="12" t="str">
        <f>IF(XT!$P46=0,N46,"")</f>
        <v/>
      </c>
      <c r="Q46">
        <f>SUMPRODUCT((MONTH(CHOOSE({1,2,3,4},XT!U46,XT!Y46,XT!AC46,XT!AG46))=5)*(CHOOSE({1,2,3,4},XT!X46,XT!AB46,XT!AF46,XT!AJ46)))</f>
        <v>0</v>
      </c>
      <c r="R46" t="str">
        <f>IFERROR(INDEX(CHOOSE({1,2,3,4}, DAY(XT!U46), DAY(XT!Y46), DAY(XT!AC46), DAY(XT!AG46)), MATCH(1, INDEX(--(MONTH(CHOOSE({1,2,3,4}, XT!U46,XT!Y46,XT!AC46,XT!AG46))=5), 0), 0)), "")</f>
        <v/>
      </c>
      <c r="S46" s="12" t="str">
        <f>IF(XT!$P46&gt;0,R46,"")</f>
        <v/>
      </c>
      <c r="T46" s="12" t="str">
        <f>IF(XT!$P46=0,R46,"")</f>
        <v/>
      </c>
      <c r="U46">
        <f>SUMPRODUCT((MONTH(CHOOSE({1,2,3,4},XT!U46,XT!Y46,XT!AC46,XT!AG46))=6)*(CHOOSE({1,2,3,4},XT!X46,XT!AB46,XT!AF46,XT!AJ46)))</f>
        <v>0</v>
      </c>
      <c r="V46" t="str">
        <f>IFERROR(INDEX(CHOOSE({1,2,3,4}, DAY(XT!U46), DAY(XT!Y46), DAY(XT!AC46), DAY(XT!AG46)), MATCH(1, INDEX(--(MONTH(CHOOSE({1,2,3,4}, XT!U46,XT!Y46,XT!AC46,XT!AG46))=6), 0), 0)), "")</f>
        <v/>
      </c>
      <c r="W46" s="12" t="str">
        <f>IF(XT!$P46&gt;0,V46,"")</f>
        <v/>
      </c>
      <c r="X46" s="12" t="str">
        <f>IF(XT!$P46=0,V46,"")</f>
        <v/>
      </c>
      <c r="Y46">
        <f>SUMPRODUCT((MONTH(CHOOSE({1,2,3,4},XT!U46,XT!Y46,XT!AC46,XT!AG46))=7)*(CHOOSE({1,2,3,4},XT!X46,XT!AB46,XT!AF46,XT!AJ46)))</f>
        <v>0</v>
      </c>
      <c r="Z46" t="str">
        <f>IFERROR(INDEX(CHOOSE({1,2,3,4}, DAY(XT!U46), DAY(XT!Y46), DAY(XT!AC46), DAY(XT!AG46)), MATCH(1, INDEX(--(MONTH(CHOOSE({1,2,3,4}, XT!U46,XT!Y46,XT!AC46,XT!AG46))=7), 0), 0)), "")</f>
        <v/>
      </c>
      <c r="AA46" s="12" t="str">
        <f>IF(XT!$P46&gt;0,Z46,"")</f>
        <v/>
      </c>
      <c r="AB46" s="12" t="str">
        <f>IF(XT!$P46=0,Z46,"")</f>
        <v/>
      </c>
      <c r="AC46">
        <f>SUMPRODUCT((MONTH(CHOOSE({1,2,3,4},XT!U46,XT!Y46,XT!AC46,XT!AG46))=8)*(CHOOSE({1,2,3,4},XT!X46,XT!AB46,XT!AF46,XT!AJ46)))</f>
        <v>0</v>
      </c>
      <c r="AD46" t="str">
        <f>IFERROR(INDEX(CHOOSE({1,2,3,4}, DAY(XT!U46), DAY(XT!Y46), DAY(XT!AC46), DAY(XT!AG46)), MATCH(1, INDEX(--(MONTH(CHOOSE({1,2,3,4}, XT!U46,XT!Y46,XT!AC46,XT!AG46))=8), 0), 0)), "")</f>
        <v/>
      </c>
      <c r="AE46" s="12" t="str">
        <f>IF(XT!$P46&gt;0,AD46,"")</f>
        <v/>
      </c>
      <c r="AF46" s="12" t="str">
        <f>IF(XT!$P46=0,AD46,"")</f>
        <v/>
      </c>
      <c r="AG46">
        <f>SUMPRODUCT((MONTH(CHOOSE({1,2,3,4},XT!U46,XT!Y46,XT!AC46,XT!AG46))=9)*(CHOOSE({1,2,3,4},XT!X46,XT!AB46,XT!AF46,XT!AJ46)))</f>
        <v>0</v>
      </c>
      <c r="AH46" t="str">
        <f>IFERROR(INDEX(CHOOSE({1,2,3,4}, DAY(XT!U46), DAY(XT!Y46), DAY(XT!AC46), DAY(XT!AG46)), MATCH(1, INDEX(--(MONTH(CHOOSE({1,2,3,4}, XT!U46,XT!Y46,XT!AC46,XT!AG46))=9), 0), 0)), "")</f>
        <v/>
      </c>
      <c r="AI46" s="12" t="str">
        <f>IF(XT!$P46&gt;0,AH46,"")</f>
        <v/>
      </c>
      <c r="AJ46" s="12" t="str">
        <f>IF(XT!$P46=0,AH46,"")</f>
        <v/>
      </c>
      <c r="AK46">
        <f>SUMPRODUCT((MONTH(CHOOSE({1,2,3,4},XT!U46,XT!Y46,XT!AC46,XT!AG46))=10)*(CHOOSE({1,2,3,4},XT!X46,XT!AB46,XT!AF46,XT!AJ46)))</f>
        <v>0</v>
      </c>
      <c r="AL46" t="str">
        <f>IFERROR(INDEX(CHOOSE({1,2,3,4}, DAY(XT!U46), DAY(XT!Y46), DAY(XT!AC46), DAY(XT!AG46)), MATCH(1, INDEX(--(MONTH(CHOOSE({1,2,3,4}, XT!U46,XT!Y46,XT!AC46,XT!AG46))=10), 0), 0)), "")</f>
        <v/>
      </c>
      <c r="AM46" s="12" t="str">
        <f>IF(XT!$P46&gt;0,AL46,"")</f>
        <v/>
      </c>
      <c r="AN46" s="12" t="str">
        <f>IF(XT!$P46=0,AL46,"")</f>
        <v/>
      </c>
      <c r="AO46">
        <f>SUMPRODUCT((MONTH(CHOOSE({1,2,3,4},XT!U46,XT!Y46,XT!AC46,XT!AG46))=11)*(CHOOSE({1,2,3,4},XT!X46,XT!AB46,XT!AF46,XT!AJ46)))</f>
        <v>0</v>
      </c>
      <c r="AP46" t="str">
        <f>IFERROR(INDEX(CHOOSE({1,2,3,4}, DAY(XT!U46), DAY(XT!Y46), DAY(XT!AC46), DAY(XT!AG46)), MATCH(1, INDEX(--(MONTH(CHOOSE({1,2,3,4}, XT!U46,XT!Y46,XT!AC46,XT!AG46))=11), 0), 0)), "")</f>
        <v/>
      </c>
      <c r="AQ46" s="12" t="str">
        <f>IF(XT!$P46&gt;0,AP46,"")</f>
        <v/>
      </c>
      <c r="AR46" s="12" t="str">
        <f>IF(XT!$P46=0,AP46,"")</f>
        <v/>
      </c>
      <c r="AS46">
        <f>SUMPRODUCT((MONTH(CHOOSE({1,2,3,4},XT!U46,XT!Y46,XT!AC46,XT!AG46))=12)*(CHOOSE({1,2,3,4},XT!X46,XT!AB46,XT!AF46,XT!AJ46)))</f>
        <v>0</v>
      </c>
      <c r="AT46" t="str">
        <f>IFERROR(INDEX(CHOOSE({1,2,3,4}, DAY(XT!U46), DAY(XT!Y46), DAY(XT!AC46), DAY(XT!AG46)), MATCH(1, INDEX(--(MONTH(CHOOSE({1,2,3,4}, XT!U46,XT!Y46,XT!AC46,XT!AG46))=12), 0), 0)), "")</f>
        <v/>
      </c>
      <c r="AU46" s="12" t="str">
        <f>IF(XT!$P46&gt;0,AT46,"")</f>
        <v/>
      </c>
      <c r="AV46" s="12" t="str">
        <f>IF(XT!$P46=0,AT46,"")</f>
        <v/>
      </c>
    </row>
    <row r="47" spans="1:48">
      <c r="A47">
        <f>SUMPRODUCT((MONTH(CHOOSE({1,2,3,4},XT!U47,XT!Y47,XT!AC47,XT!AG47))=1)*(CHOOSE({1,2,3,4},XT!X47,XT!AB47,XT!AF47,XT!AJ47)))</f>
        <v>0</v>
      </c>
      <c r="B47">
        <f>IFERROR(INDEX(CHOOSE({1,2,3,4}, DAY(XT!U47), DAY(XT!Y47), DAY(XT!AC47), DAY(XT!AG47)), MATCH(1, INDEX(--(MONTH(CHOOSE({1,2,3,4}, XT!U47,XT!Y47,XT!AC47,XT!AG47))=1), 0), 0)), "")</f>
        <v>0</v>
      </c>
      <c r="C47" s="12" t="str">
        <f>IF(XT!$P47&gt;0,B47,"")</f>
        <v/>
      </c>
      <c r="D47" s="12">
        <f>IF(XT!$P47=0,B47,"")</f>
        <v>0</v>
      </c>
      <c r="E47">
        <f>SUMPRODUCT((MONTH(CHOOSE({1,2,3,4},XT!U47,XT!Y47,XT!AC47,XT!AG47))=2)*(CHOOSE({1,2,3,4},XT!X47,XT!AB47,XT!AF47,XT!AJ47)))</f>
        <v>0</v>
      </c>
      <c r="F47" t="str">
        <f>IFERROR(INDEX(CHOOSE({1,2,3,4}, DAY(XT!U47), DAY(XT!Y47), DAY(XT!AC47), DAY(XT!AG47)), MATCH(1, INDEX(--(MONTH(CHOOSE({1,2,3,4}, XT!U47,XT!Y47,XT!AC47,XT!AG47))=2), 0), 0)), "")</f>
        <v/>
      </c>
      <c r="G47" s="12" t="str">
        <f>IF(XT!$P47&gt;0,F47,"")</f>
        <v/>
      </c>
      <c r="H47" s="12" t="str">
        <f>IF(XT!$P47=0,F47,"")</f>
        <v/>
      </c>
      <c r="I47">
        <f>SUMPRODUCT((MONTH(CHOOSE({1,2,3,4},XT!U47,XT!Y47,XT!AC47,XT!AG47))=3)*(CHOOSE({1,2,3,4},XT!X47,XT!AB47,XT!AF47,XT!AJ47)))</f>
        <v>0</v>
      </c>
      <c r="J47" t="str">
        <f>IFERROR(INDEX(CHOOSE({1,2,3,4}, DAY(XT!U47), DAY(XT!Y47), DAY(XT!AC47), DAY(XT!AG47)), MATCH(1, INDEX(--(MONTH(CHOOSE({1,2,3,4}, XT!U47,XT!Y47,XT!AC47,XT!AG47))=3), 0), 0)), "")</f>
        <v/>
      </c>
      <c r="K47" s="12" t="str">
        <f>IF(XT!$P47&gt;0,J47,"")</f>
        <v/>
      </c>
      <c r="L47" s="12" t="str">
        <f>IF(XT!$P47=0,J47,"")</f>
        <v/>
      </c>
      <c r="M47">
        <f>SUMPRODUCT((MONTH(CHOOSE({1,2,3,4},XT!U47,XT!Y47,XT!AC47,XT!AG47))=4)*(CHOOSE({1,2,3,4},XT!X47,XT!AB47,XT!AF47,XT!AJ47)))</f>
        <v>0</v>
      </c>
      <c r="N47" t="str">
        <f>IFERROR(INDEX(CHOOSE({1,2,3,4}, DAY(XT!U47), DAY(XT!Y47), DAY(XT!AC47), DAY(XT!AG47)), MATCH(1, INDEX(--(MONTH(CHOOSE({1,2,3,4}, XT!U47,XT!Y47,XT!AC47,XT!AG47))=4), 0), 0)), "")</f>
        <v/>
      </c>
      <c r="O47" s="12" t="str">
        <f>IF(XT!$P47&gt;0,N47,"")</f>
        <v/>
      </c>
      <c r="P47" s="12" t="str">
        <f>IF(XT!$P47=0,N47,"")</f>
        <v/>
      </c>
      <c r="Q47">
        <f>SUMPRODUCT((MONTH(CHOOSE({1,2,3,4},XT!U47,XT!Y47,XT!AC47,XT!AG47))=5)*(CHOOSE({1,2,3,4},XT!X47,XT!AB47,XT!AF47,XT!AJ47)))</f>
        <v>0</v>
      </c>
      <c r="R47" t="str">
        <f>IFERROR(INDEX(CHOOSE({1,2,3,4}, DAY(XT!U47), DAY(XT!Y47), DAY(XT!AC47), DAY(XT!AG47)), MATCH(1, INDEX(--(MONTH(CHOOSE({1,2,3,4}, XT!U47,XT!Y47,XT!AC47,XT!AG47))=5), 0), 0)), "")</f>
        <v/>
      </c>
      <c r="S47" s="12" t="str">
        <f>IF(XT!$P47&gt;0,R47,"")</f>
        <v/>
      </c>
      <c r="T47" s="12" t="str">
        <f>IF(XT!$P47=0,R47,"")</f>
        <v/>
      </c>
      <c r="U47">
        <f>SUMPRODUCT((MONTH(CHOOSE({1,2,3,4},XT!U47,XT!Y47,XT!AC47,XT!AG47))=6)*(CHOOSE({1,2,3,4},XT!X47,XT!AB47,XT!AF47,XT!AJ47)))</f>
        <v>0</v>
      </c>
      <c r="V47" t="str">
        <f>IFERROR(INDEX(CHOOSE({1,2,3,4}, DAY(XT!U47), DAY(XT!Y47), DAY(XT!AC47), DAY(XT!AG47)), MATCH(1, INDEX(--(MONTH(CHOOSE({1,2,3,4}, XT!U47,XT!Y47,XT!AC47,XT!AG47))=6), 0), 0)), "")</f>
        <v/>
      </c>
      <c r="W47" s="12" t="str">
        <f>IF(XT!$P47&gt;0,V47,"")</f>
        <v/>
      </c>
      <c r="X47" s="12" t="str">
        <f>IF(XT!$P47=0,V47,"")</f>
        <v/>
      </c>
      <c r="Y47">
        <f>SUMPRODUCT((MONTH(CHOOSE({1,2,3,4},XT!U47,XT!Y47,XT!AC47,XT!AG47))=7)*(CHOOSE({1,2,3,4},XT!X47,XT!AB47,XT!AF47,XT!AJ47)))</f>
        <v>0</v>
      </c>
      <c r="Z47" t="str">
        <f>IFERROR(INDEX(CHOOSE({1,2,3,4}, DAY(XT!U47), DAY(XT!Y47), DAY(XT!AC47), DAY(XT!AG47)), MATCH(1, INDEX(--(MONTH(CHOOSE({1,2,3,4}, XT!U47,XT!Y47,XT!AC47,XT!AG47))=7), 0), 0)), "")</f>
        <v/>
      </c>
      <c r="AA47" s="12" t="str">
        <f>IF(XT!$P47&gt;0,Z47,"")</f>
        <v/>
      </c>
      <c r="AB47" s="12" t="str">
        <f>IF(XT!$P47=0,Z47,"")</f>
        <v/>
      </c>
      <c r="AC47">
        <f>SUMPRODUCT((MONTH(CHOOSE({1,2,3,4},XT!U47,XT!Y47,XT!AC47,XT!AG47))=8)*(CHOOSE({1,2,3,4},XT!X47,XT!AB47,XT!AF47,XT!AJ47)))</f>
        <v>0</v>
      </c>
      <c r="AD47" t="str">
        <f>IFERROR(INDEX(CHOOSE({1,2,3,4}, DAY(XT!U47), DAY(XT!Y47), DAY(XT!AC47), DAY(XT!AG47)), MATCH(1, INDEX(--(MONTH(CHOOSE({1,2,3,4}, XT!U47,XT!Y47,XT!AC47,XT!AG47))=8), 0), 0)), "")</f>
        <v/>
      </c>
      <c r="AE47" s="12" t="str">
        <f>IF(XT!$P47&gt;0,AD47,"")</f>
        <v/>
      </c>
      <c r="AF47" s="12" t="str">
        <f>IF(XT!$P47=0,AD47,"")</f>
        <v/>
      </c>
      <c r="AG47">
        <f>SUMPRODUCT((MONTH(CHOOSE({1,2,3,4},XT!U47,XT!Y47,XT!AC47,XT!AG47))=9)*(CHOOSE({1,2,3,4},XT!X47,XT!AB47,XT!AF47,XT!AJ47)))</f>
        <v>0</v>
      </c>
      <c r="AH47" t="str">
        <f>IFERROR(INDEX(CHOOSE({1,2,3,4}, DAY(XT!U47), DAY(XT!Y47), DAY(XT!AC47), DAY(XT!AG47)), MATCH(1, INDEX(--(MONTH(CHOOSE({1,2,3,4}, XT!U47,XT!Y47,XT!AC47,XT!AG47))=9), 0), 0)), "")</f>
        <v/>
      </c>
      <c r="AI47" s="12" t="str">
        <f>IF(XT!$P47&gt;0,AH47,"")</f>
        <v/>
      </c>
      <c r="AJ47" s="12" t="str">
        <f>IF(XT!$P47=0,AH47,"")</f>
        <v/>
      </c>
      <c r="AK47">
        <f>SUMPRODUCT((MONTH(CHOOSE({1,2,3,4},XT!U47,XT!Y47,XT!AC47,XT!AG47))=10)*(CHOOSE({1,2,3,4},XT!X47,XT!AB47,XT!AF47,XT!AJ47)))</f>
        <v>0</v>
      </c>
      <c r="AL47" t="str">
        <f>IFERROR(INDEX(CHOOSE({1,2,3,4}, DAY(XT!U47), DAY(XT!Y47), DAY(XT!AC47), DAY(XT!AG47)), MATCH(1, INDEX(--(MONTH(CHOOSE({1,2,3,4}, XT!U47,XT!Y47,XT!AC47,XT!AG47))=10), 0), 0)), "")</f>
        <v/>
      </c>
      <c r="AM47" s="12" t="str">
        <f>IF(XT!$P47&gt;0,AL47,"")</f>
        <v/>
      </c>
      <c r="AN47" s="12" t="str">
        <f>IF(XT!$P47=0,AL47,"")</f>
        <v/>
      </c>
      <c r="AO47">
        <f>SUMPRODUCT((MONTH(CHOOSE({1,2,3,4},XT!U47,XT!Y47,XT!AC47,XT!AG47))=11)*(CHOOSE({1,2,3,4},XT!X47,XT!AB47,XT!AF47,XT!AJ47)))</f>
        <v>0</v>
      </c>
      <c r="AP47" t="str">
        <f>IFERROR(INDEX(CHOOSE({1,2,3,4}, DAY(XT!U47), DAY(XT!Y47), DAY(XT!AC47), DAY(XT!AG47)), MATCH(1, INDEX(--(MONTH(CHOOSE({1,2,3,4}, XT!U47,XT!Y47,XT!AC47,XT!AG47))=11), 0), 0)), "")</f>
        <v/>
      </c>
      <c r="AQ47" s="12" t="str">
        <f>IF(XT!$P47&gt;0,AP47,"")</f>
        <v/>
      </c>
      <c r="AR47" s="12" t="str">
        <f>IF(XT!$P47=0,AP47,"")</f>
        <v/>
      </c>
      <c r="AS47">
        <f>SUMPRODUCT((MONTH(CHOOSE({1,2,3,4},XT!U47,XT!Y47,XT!AC47,XT!AG47))=12)*(CHOOSE({1,2,3,4},XT!X47,XT!AB47,XT!AF47,XT!AJ47)))</f>
        <v>0</v>
      </c>
      <c r="AT47" t="str">
        <f>IFERROR(INDEX(CHOOSE({1,2,3,4}, DAY(XT!U47), DAY(XT!Y47), DAY(XT!AC47), DAY(XT!AG47)), MATCH(1, INDEX(--(MONTH(CHOOSE({1,2,3,4}, XT!U47,XT!Y47,XT!AC47,XT!AG47))=12), 0), 0)), "")</f>
        <v/>
      </c>
      <c r="AU47" s="12" t="str">
        <f>IF(XT!$P47&gt;0,AT47,"")</f>
        <v/>
      </c>
      <c r="AV47" s="12" t="str">
        <f>IF(XT!$P47=0,AT47,"")</f>
        <v/>
      </c>
    </row>
    <row r="48" spans="1:48">
      <c r="A48">
        <f>SUMPRODUCT((MONTH(CHOOSE({1,2,3,4},XT!U48,XT!Y48,XT!AC48,XT!AG48))=1)*(CHOOSE({1,2,3,4},XT!X48,XT!AB48,XT!AF48,XT!AJ48)))</f>
        <v>0</v>
      </c>
      <c r="B48">
        <f>IFERROR(INDEX(CHOOSE({1,2,3,4}, DAY(XT!U48), DAY(XT!Y48), DAY(XT!AC48), DAY(XT!AG48)), MATCH(1, INDEX(--(MONTH(CHOOSE({1,2,3,4}, XT!U48,XT!Y48,XT!AC48,XT!AG48))=1), 0), 0)), "")</f>
        <v>0</v>
      </c>
      <c r="C48" s="12" t="str">
        <f>IF(XT!$P48&gt;0,B48,"")</f>
        <v/>
      </c>
      <c r="D48" s="12">
        <f>IF(XT!$P48=0,B48,"")</f>
        <v>0</v>
      </c>
      <c r="E48">
        <f>SUMPRODUCT((MONTH(CHOOSE({1,2,3,4},XT!U48,XT!Y48,XT!AC48,XT!AG48))=2)*(CHOOSE({1,2,3,4},XT!X48,XT!AB48,XT!AF48,XT!AJ48)))</f>
        <v>0</v>
      </c>
      <c r="F48" t="str">
        <f>IFERROR(INDEX(CHOOSE({1,2,3,4}, DAY(XT!U48), DAY(XT!Y48), DAY(XT!AC48), DAY(XT!AG48)), MATCH(1, INDEX(--(MONTH(CHOOSE({1,2,3,4}, XT!U48,XT!Y48,XT!AC48,XT!AG48))=2), 0), 0)), "")</f>
        <v/>
      </c>
      <c r="G48" s="12" t="str">
        <f>IF(XT!$P48&gt;0,F48,"")</f>
        <v/>
      </c>
      <c r="H48" s="12" t="str">
        <f>IF(XT!$P48=0,F48,"")</f>
        <v/>
      </c>
      <c r="I48">
        <f>SUMPRODUCT((MONTH(CHOOSE({1,2,3,4},XT!U48,XT!Y48,XT!AC48,XT!AG48))=3)*(CHOOSE({1,2,3,4},XT!X48,XT!AB48,XT!AF48,XT!AJ48)))</f>
        <v>0</v>
      </c>
      <c r="J48" t="str">
        <f>IFERROR(INDEX(CHOOSE({1,2,3,4}, DAY(XT!U48), DAY(XT!Y48), DAY(XT!AC48), DAY(XT!AG48)), MATCH(1, INDEX(--(MONTH(CHOOSE({1,2,3,4}, XT!U48,XT!Y48,XT!AC48,XT!AG48))=3), 0), 0)), "")</f>
        <v/>
      </c>
      <c r="K48" s="12" t="str">
        <f>IF(XT!$P48&gt;0,J48,"")</f>
        <v/>
      </c>
      <c r="L48" s="12" t="str">
        <f>IF(XT!$P48=0,J48,"")</f>
        <v/>
      </c>
      <c r="M48">
        <f>SUMPRODUCT((MONTH(CHOOSE({1,2,3,4},XT!U48,XT!Y48,XT!AC48,XT!AG48))=4)*(CHOOSE({1,2,3,4},XT!X48,XT!AB48,XT!AF48,XT!AJ48)))</f>
        <v>0</v>
      </c>
      <c r="N48" t="str">
        <f>IFERROR(INDEX(CHOOSE({1,2,3,4}, DAY(XT!U48), DAY(XT!Y48), DAY(XT!AC48), DAY(XT!AG48)), MATCH(1, INDEX(--(MONTH(CHOOSE({1,2,3,4}, XT!U48,XT!Y48,XT!AC48,XT!AG48))=4), 0), 0)), "")</f>
        <v/>
      </c>
      <c r="O48" s="12" t="str">
        <f>IF(XT!$P48&gt;0,N48,"")</f>
        <v/>
      </c>
      <c r="P48" s="12" t="str">
        <f>IF(XT!$P48=0,N48,"")</f>
        <v/>
      </c>
      <c r="Q48">
        <f>SUMPRODUCT((MONTH(CHOOSE({1,2,3,4},XT!U48,XT!Y48,XT!AC48,XT!AG48))=5)*(CHOOSE({1,2,3,4},XT!X48,XT!AB48,XT!AF48,XT!AJ48)))</f>
        <v>0</v>
      </c>
      <c r="R48" t="str">
        <f>IFERROR(INDEX(CHOOSE({1,2,3,4}, DAY(XT!U48), DAY(XT!Y48), DAY(XT!AC48), DAY(XT!AG48)), MATCH(1, INDEX(--(MONTH(CHOOSE({1,2,3,4}, XT!U48,XT!Y48,XT!AC48,XT!AG48))=5), 0), 0)), "")</f>
        <v/>
      </c>
      <c r="S48" s="12" t="str">
        <f>IF(XT!$P48&gt;0,R48,"")</f>
        <v/>
      </c>
      <c r="T48" s="12" t="str">
        <f>IF(XT!$P48=0,R48,"")</f>
        <v/>
      </c>
      <c r="U48">
        <f>SUMPRODUCT((MONTH(CHOOSE({1,2,3,4},XT!U48,XT!Y48,XT!AC48,XT!AG48))=6)*(CHOOSE({1,2,3,4},XT!X48,XT!AB48,XT!AF48,XT!AJ48)))</f>
        <v>0</v>
      </c>
      <c r="V48" t="str">
        <f>IFERROR(INDEX(CHOOSE({1,2,3,4}, DAY(XT!U48), DAY(XT!Y48), DAY(XT!AC48), DAY(XT!AG48)), MATCH(1, INDEX(--(MONTH(CHOOSE({1,2,3,4}, XT!U48,XT!Y48,XT!AC48,XT!AG48))=6), 0), 0)), "")</f>
        <v/>
      </c>
      <c r="W48" s="12" t="str">
        <f>IF(XT!$P48&gt;0,V48,"")</f>
        <v/>
      </c>
      <c r="X48" s="12" t="str">
        <f>IF(XT!$P48=0,V48,"")</f>
        <v/>
      </c>
      <c r="Y48">
        <f>SUMPRODUCT((MONTH(CHOOSE({1,2,3,4},XT!U48,XT!Y48,XT!AC48,XT!AG48))=7)*(CHOOSE({1,2,3,4},XT!X48,XT!AB48,XT!AF48,XT!AJ48)))</f>
        <v>0</v>
      </c>
      <c r="Z48" t="str">
        <f>IFERROR(INDEX(CHOOSE({1,2,3,4}, DAY(XT!U48), DAY(XT!Y48), DAY(XT!AC48), DAY(XT!AG48)), MATCH(1, INDEX(--(MONTH(CHOOSE({1,2,3,4}, XT!U48,XT!Y48,XT!AC48,XT!AG48))=7), 0), 0)), "")</f>
        <v/>
      </c>
      <c r="AA48" s="12" t="str">
        <f>IF(XT!$P48&gt;0,Z48,"")</f>
        <v/>
      </c>
      <c r="AB48" s="12" t="str">
        <f>IF(XT!$P48=0,Z48,"")</f>
        <v/>
      </c>
      <c r="AC48">
        <f>SUMPRODUCT((MONTH(CHOOSE({1,2,3,4},XT!U48,XT!Y48,XT!AC48,XT!AG48))=8)*(CHOOSE({1,2,3,4},XT!X48,XT!AB48,XT!AF48,XT!AJ48)))</f>
        <v>0</v>
      </c>
      <c r="AD48" t="str">
        <f>IFERROR(INDEX(CHOOSE({1,2,3,4}, DAY(XT!U48), DAY(XT!Y48), DAY(XT!AC48), DAY(XT!AG48)), MATCH(1, INDEX(--(MONTH(CHOOSE({1,2,3,4}, XT!U48,XT!Y48,XT!AC48,XT!AG48))=8), 0), 0)), "")</f>
        <v/>
      </c>
      <c r="AE48" s="12" t="str">
        <f>IF(XT!$P48&gt;0,AD48,"")</f>
        <v/>
      </c>
      <c r="AF48" s="12" t="str">
        <f>IF(XT!$P48=0,AD48,"")</f>
        <v/>
      </c>
      <c r="AG48">
        <f>SUMPRODUCT((MONTH(CHOOSE({1,2,3,4},XT!U48,XT!Y48,XT!AC48,XT!AG48))=9)*(CHOOSE({1,2,3,4},XT!X48,XT!AB48,XT!AF48,XT!AJ48)))</f>
        <v>0</v>
      </c>
      <c r="AH48" t="str">
        <f>IFERROR(INDEX(CHOOSE({1,2,3,4}, DAY(XT!U48), DAY(XT!Y48), DAY(XT!AC48), DAY(XT!AG48)), MATCH(1, INDEX(--(MONTH(CHOOSE({1,2,3,4}, XT!U48,XT!Y48,XT!AC48,XT!AG48))=9), 0), 0)), "")</f>
        <v/>
      </c>
      <c r="AI48" s="12" t="str">
        <f>IF(XT!$P48&gt;0,AH48,"")</f>
        <v/>
      </c>
      <c r="AJ48" s="12" t="str">
        <f>IF(XT!$P48=0,AH48,"")</f>
        <v/>
      </c>
      <c r="AK48">
        <f>SUMPRODUCT((MONTH(CHOOSE({1,2,3,4},XT!U48,XT!Y48,XT!AC48,XT!AG48))=10)*(CHOOSE({1,2,3,4},XT!X48,XT!AB48,XT!AF48,XT!AJ48)))</f>
        <v>0</v>
      </c>
      <c r="AL48" t="str">
        <f>IFERROR(INDEX(CHOOSE({1,2,3,4}, DAY(XT!U48), DAY(XT!Y48), DAY(XT!AC48), DAY(XT!AG48)), MATCH(1, INDEX(--(MONTH(CHOOSE({1,2,3,4}, XT!U48,XT!Y48,XT!AC48,XT!AG48))=10), 0), 0)), "")</f>
        <v/>
      </c>
      <c r="AM48" s="12" t="str">
        <f>IF(XT!$P48&gt;0,AL48,"")</f>
        <v/>
      </c>
      <c r="AN48" s="12" t="str">
        <f>IF(XT!$P48=0,AL48,"")</f>
        <v/>
      </c>
      <c r="AO48">
        <f>SUMPRODUCT((MONTH(CHOOSE({1,2,3,4},XT!U48,XT!Y48,XT!AC48,XT!AG48))=11)*(CHOOSE({1,2,3,4},XT!X48,XT!AB48,XT!AF48,XT!AJ48)))</f>
        <v>0</v>
      </c>
      <c r="AP48" t="str">
        <f>IFERROR(INDEX(CHOOSE({1,2,3,4}, DAY(XT!U48), DAY(XT!Y48), DAY(XT!AC48), DAY(XT!AG48)), MATCH(1, INDEX(--(MONTH(CHOOSE({1,2,3,4}, XT!U48,XT!Y48,XT!AC48,XT!AG48))=11), 0), 0)), "")</f>
        <v/>
      </c>
      <c r="AQ48" s="12" t="str">
        <f>IF(XT!$P48&gt;0,AP48,"")</f>
        <v/>
      </c>
      <c r="AR48" s="12" t="str">
        <f>IF(XT!$P48=0,AP48,"")</f>
        <v/>
      </c>
      <c r="AS48">
        <f>SUMPRODUCT((MONTH(CHOOSE({1,2,3,4},XT!U48,XT!Y48,XT!AC48,XT!AG48))=12)*(CHOOSE({1,2,3,4},XT!X48,XT!AB48,XT!AF48,XT!AJ48)))</f>
        <v>0</v>
      </c>
      <c r="AT48" t="str">
        <f>IFERROR(INDEX(CHOOSE({1,2,3,4}, DAY(XT!U48), DAY(XT!Y48), DAY(XT!AC48), DAY(XT!AG48)), MATCH(1, INDEX(--(MONTH(CHOOSE({1,2,3,4}, XT!U48,XT!Y48,XT!AC48,XT!AG48))=12), 0), 0)), "")</f>
        <v/>
      </c>
      <c r="AU48" s="12" t="str">
        <f>IF(XT!$P48&gt;0,AT48,"")</f>
        <v/>
      </c>
      <c r="AV48" s="12" t="str">
        <f>IF(XT!$P48=0,AT48,"")</f>
        <v/>
      </c>
    </row>
    <row r="49" spans="1:48">
      <c r="A49">
        <f>SUMPRODUCT((MONTH(CHOOSE({1,2,3,4},XT!U49,XT!Y49,XT!AC49,XT!AG49))=1)*(CHOOSE({1,2,3,4},XT!X49,XT!AB49,XT!AF49,XT!AJ49)))</f>
        <v>0</v>
      </c>
      <c r="B49">
        <f>IFERROR(INDEX(CHOOSE({1,2,3,4}, DAY(XT!U49), DAY(XT!Y49), DAY(XT!AC49), DAY(XT!AG49)), MATCH(1, INDEX(--(MONTH(CHOOSE({1,2,3,4}, XT!U49,XT!Y49,XT!AC49,XT!AG49))=1), 0), 0)), "")</f>
        <v>0</v>
      </c>
      <c r="C49" s="12" t="str">
        <f>IF(XT!$P49&gt;0,B49,"")</f>
        <v/>
      </c>
      <c r="D49" s="12">
        <f>IF(XT!$P49=0,B49,"")</f>
        <v>0</v>
      </c>
      <c r="E49">
        <f>SUMPRODUCT((MONTH(CHOOSE({1,2,3,4},XT!U49,XT!Y49,XT!AC49,XT!AG49))=2)*(CHOOSE({1,2,3,4},XT!X49,XT!AB49,XT!AF49,XT!AJ49)))</f>
        <v>0</v>
      </c>
      <c r="F49" t="str">
        <f>IFERROR(INDEX(CHOOSE({1,2,3,4}, DAY(XT!U49), DAY(XT!Y49), DAY(XT!AC49), DAY(XT!AG49)), MATCH(1, INDEX(--(MONTH(CHOOSE({1,2,3,4}, XT!U49,XT!Y49,XT!AC49,XT!AG49))=2), 0), 0)), "")</f>
        <v/>
      </c>
      <c r="G49" s="12" t="str">
        <f>IF(XT!$P49&gt;0,F49,"")</f>
        <v/>
      </c>
      <c r="H49" s="12" t="str">
        <f>IF(XT!$P49=0,F49,"")</f>
        <v/>
      </c>
      <c r="I49">
        <f>SUMPRODUCT((MONTH(CHOOSE({1,2,3,4},XT!U49,XT!Y49,XT!AC49,XT!AG49))=3)*(CHOOSE({1,2,3,4},XT!X49,XT!AB49,XT!AF49,XT!AJ49)))</f>
        <v>0</v>
      </c>
      <c r="J49" t="str">
        <f>IFERROR(INDEX(CHOOSE({1,2,3,4}, DAY(XT!U49), DAY(XT!Y49), DAY(XT!AC49), DAY(XT!AG49)), MATCH(1, INDEX(--(MONTH(CHOOSE({1,2,3,4}, XT!U49,XT!Y49,XT!AC49,XT!AG49))=3), 0), 0)), "")</f>
        <v/>
      </c>
      <c r="K49" s="12" t="str">
        <f>IF(XT!$P49&gt;0,J49,"")</f>
        <v/>
      </c>
      <c r="L49" s="12" t="str">
        <f>IF(XT!$P49=0,J49,"")</f>
        <v/>
      </c>
      <c r="M49">
        <f>SUMPRODUCT((MONTH(CHOOSE({1,2,3,4},XT!U49,XT!Y49,XT!AC49,XT!AG49))=4)*(CHOOSE({1,2,3,4},XT!X49,XT!AB49,XT!AF49,XT!AJ49)))</f>
        <v>0</v>
      </c>
      <c r="N49" t="str">
        <f>IFERROR(INDEX(CHOOSE({1,2,3,4}, DAY(XT!U49), DAY(XT!Y49), DAY(XT!AC49), DAY(XT!AG49)), MATCH(1, INDEX(--(MONTH(CHOOSE({1,2,3,4}, XT!U49,XT!Y49,XT!AC49,XT!AG49))=4), 0), 0)), "")</f>
        <v/>
      </c>
      <c r="O49" s="12" t="str">
        <f>IF(XT!$P49&gt;0,N49,"")</f>
        <v/>
      </c>
      <c r="P49" s="12" t="str">
        <f>IF(XT!$P49=0,N49,"")</f>
        <v/>
      </c>
      <c r="Q49">
        <f>SUMPRODUCT((MONTH(CHOOSE({1,2,3,4},XT!U49,XT!Y49,XT!AC49,XT!AG49))=5)*(CHOOSE({1,2,3,4},XT!X49,XT!AB49,XT!AF49,XT!AJ49)))</f>
        <v>0</v>
      </c>
      <c r="R49" t="str">
        <f>IFERROR(INDEX(CHOOSE({1,2,3,4}, DAY(XT!U49), DAY(XT!Y49), DAY(XT!AC49), DAY(XT!AG49)), MATCH(1, INDEX(--(MONTH(CHOOSE({1,2,3,4}, XT!U49,XT!Y49,XT!AC49,XT!AG49))=5), 0), 0)), "")</f>
        <v/>
      </c>
      <c r="S49" s="12" t="str">
        <f>IF(XT!$P49&gt;0,R49,"")</f>
        <v/>
      </c>
      <c r="T49" s="12" t="str">
        <f>IF(XT!$P49=0,R49,"")</f>
        <v/>
      </c>
      <c r="U49">
        <f>SUMPRODUCT((MONTH(CHOOSE({1,2,3,4},XT!U49,XT!Y49,XT!AC49,XT!AG49))=6)*(CHOOSE({1,2,3,4},XT!X49,XT!AB49,XT!AF49,XT!AJ49)))</f>
        <v>0</v>
      </c>
      <c r="V49" t="str">
        <f>IFERROR(INDEX(CHOOSE({1,2,3,4}, DAY(XT!U49), DAY(XT!Y49), DAY(XT!AC49), DAY(XT!AG49)), MATCH(1, INDEX(--(MONTH(CHOOSE({1,2,3,4}, XT!U49,XT!Y49,XT!AC49,XT!AG49))=6), 0), 0)), "")</f>
        <v/>
      </c>
      <c r="W49" s="12" t="str">
        <f>IF(XT!$P49&gt;0,V49,"")</f>
        <v/>
      </c>
      <c r="X49" s="12" t="str">
        <f>IF(XT!$P49=0,V49,"")</f>
        <v/>
      </c>
      <c r="Y49">
        <f>SUMPRODUCT((MONTH(CHOOSE({1,2,3,4},XT!U49,XT!Y49,XT!AC49,XT!AG49))=7)*(CHOOSE({1,2,3,4},XT!X49,XT!AB49,XT!AF49,XT!AJ49)))</f>
        <v>0</v>
      </c>
      <c r="Z49" t="str">
        <f>IFERROR(INDEX(CHOOSE({1,2,3,4}, DAY(XT!U49), DAY(XT!Y49), DAY(XT!AC49), DAY(XT!AG49)), MATCH(1, INDEX(--(MONTH(CHOOSE({1,2,3,4}, XT!U49,XT!Y49,XT!AC49,XT!AG49))=7), 0), 0)), "")</f>
        <v/>
      </c>
      <c r="AA49" s="12" t="str">
        <f>IF(XT!$P49&gt;0,Z49,"")</f>
        <v/>
      </c>
      <c r="AB49" s="12" t="str">
        <f>IF(XT!$P49=0,Z49,"")</f>
        <v/>
      </c>
      <c r="AC49">
        <f>SUMPRODUCT((MONTH(CHOOSE({1,2,3,4},XT!U49,XT!Y49,XT!AC49,XT!AG49))=8)*(CHOOSE({1,2,3,4},XT!X49,XT!AB49,XT!AF49,XT!AJ49)))</f>
        <v>0</v>
      </c>
      <c r="AD49" t="str">
        <f>IFERROR(INDEX(CHOOSE({1,2,3,4}, DAY(XT!U49), DAY(XT!Y49), DAY(XT!AC49), DAY(XT!AG49)), MATCH(1, INDEX(--(MONTH(CHOOSE({1,2,3,4}, XT!U49,XT!Y49,XT!AC49,XT!AG49))=8), 0), 0)), "")</f>
        <v/>
      </c>
      <c r="AE49" s="12" t="str">
        <f>IF(XT!$P49&gt;0,AD49,"")</f>
        <v/>
      </c>
      <c r="AF49" s="12" t="str">
        <f>IF(XT!$P49=0,AD49,"")</f>
        <v/>
      </c>
      <c r="AG49">
        <f>SUMPRODUCT((MONTH(CHOOSE({1,2,3,4},XT!U49,XT!Y49,XT!AC49,XT!AG49))=9)*(CHOOSE({1,2,3,4},XT!X49,XT!AB49,XT!AF49,XT!AJ49)))</f>
        <v>0</v>
      </c>
      <c r="AH49" t="str">
        <f>IFERROR(INDEX(CHOOSE({1,2,3,4}, DAY(XT!U49), DAY(XT!Y49), DAY(XT!AC49), DAY(XT!AG49)), MATCH(1, INDEX(--(MONTH(CHOOSE({1,2,3,4}, XT!U49,XT!Y49,XT!AC49,XT!AG49))=9), 0), 0)), "")</f>
        <v/>
      </c>
      <c r="AI49" s="12" t="str">
        <f>IF(XT!$P49&gt;0,AH49,"")</f>
        <v/>
      </c>
      <c r="AJ49" s="12" t="str">
        <f>IF(XT!$P49=0,AH49,"")</f>
        <v/>
      </c>
      <c r="AK49">
        <f>SUMPRODUCT((MONTH(CHOOSE({1,2,3,4},XT!U49,XT!Y49,XT!AC49,XT!AG49))=10)*(CHOOSE({1,2,3,4},XT!X49,XT!AB49,XT!AF49,XT!AJ49)))</f>
        <v>0</v>
      </c>
      <c r="AL49" t="str">
        <f>IFERROR(INDEX(CHOOSE({1,2,3,4}, DAY(XT!U49), DAY(XT!Y49), DAY(XT!AC49), DAY(XT!AG49)), MATCH(1, INDEX(--(MONTH(CHOOSE({1,2,3,4}, XT!U49,XT!Y49,XT!AC49,XT!AG49))=10), 0), 0)), "")</f>
        <v/>
      </c>
      <c r="AM49" s="12" t="str">
        <f>IF(XT!$P49&gt;0,AL49,"")</f>
        <v/>
      </c>
      <c r="AN49" s="12" t="str">
        <f>IF(XT!$P49=0,AL49,"")</f>
        <v/>
      </c>
      <c r="AO49">
        <f>SUMPRODUCT((MONTH(CHOOSE({1,2,3,4},XT!U49,XT!Y49,XT!AC49,XT!AG49))=11)*(CHOOSE({1,2,3,4},XT!X49,XT!AB49,XT!AF49,XT!AJ49)))</f>
        <v>0</v>
      </c>
      <c r="AP49" t="str">
        <f>IFERROR(INDEX(CHOOSE({1,2,3,4}, DAY(XT!U49), DAY(XT!Y49), DAY(XT!AC49), DAY(XT!AG49)), MATCH(1, INDEX(--(MONTH(CHOOSE({1,2,3,4}, XT!U49,XT!Y49,XT!AC49,XT!AG49))=11), 0), 0)), "")</f>
        <v/>
      </c>
      <c r="AQ49" s="12" t="str">
        <f>IF(XT!$P49&gt;0,AP49,"")</f>
        <v/>
      </c>
      <c r="AR49" s="12" t="str">
        <f>IF(XT!$P49=0,AP49,"")</f>
        <v/>
      </c>
      <c r="AS49">
        <f>SUMPRODUCT((MONTH(CHOOSE({1,2,3,4},XT!U49,XT!Y49,XT!AC49,XT!AG49))=12)*(CHOOSE({1,2,3,4},XT!X49,XT!AB49,XT!AF49,XT!AJ49)))</f>
        <v>0</v>
      </c>
      <c r="AT49" t="str">
        <f>IFERROR(INDEX(CHOOSE({1,2,3,4}, DAY(XT!U49), DAY(XT!Y49), DAY(XT!AC49), DAY(XT!AG49)), MATCH(1, INDEX(--(MONTH(CHOOSE({1,2,3,4}, XT!U49,XT!Y49,XT!AC49,XT!AG49))=12), 0), 0)), "")</f>
        <v/>
      </c>
      <c r="AU49" s="12" t="str">
        <f>IF(XT!$P49&gt;0,AT49,"")</f>
        <v/>
      </c>
      <c r="AV49" s="12" t="str">
        <f>IF(XT!$P49=0,AT49,"")</f>
        <v/>
      </c>
    </row>
    <row r="50" spans="1:48">
      <c r="A50">
        <f>SUMPRODUCT((MONTH(CHOOSE({1,2,3,4},XT!U50,XT!Y50,XT!AC50,XT!AG50))=1)*(CHOOSE({1,2,3,4},XT!X50,XT!AB50,XT!AF50,XT!AJ50)))</f>
        <v>0</v>
      </c>
      <c r="B50">
        <f>IFERROR(INDEX(CHOOSE({1,2,3,4}, DAY(XT!U50), DAY(XT!Y50), DAY(XT!AC50), DAY(XT!AG50)), MATCH(1, INDEX(--(MONTH(CHOOSE({1,2,3,4}, XT!U50,XT!Y50,XT!AC50,XT!AG50))=1), 0), 0)), "")</f>
        <v>0</v>
      </c>
      <c r="C50" s="12" t="str">
        <f>IF(XT!$P50&gt;0,B50,"")</f>
        <v/>
      </c>
      <c r="D50" s="12">
        <f>IF(XT!$P50=0,B50,"")</f>
        <v>0</v>
      </c>
      <c r="E50">
        <f>SUMPRODUCT((MONTH(CHOOSE({1,2,3,4},XT!U50,XT!Y50,XT!AC50,XT!AG50))=2)*(CHOOSE({1,2,3,4},XT!X50,XT!AB50,XT!AF50,XT!AJ50)))</f>
        <v>0</v>
      </c>
      <c r="F50" t="str">
        <f>IFERROR(INDEX(CHOOSE({1,2,3,4}, DAY(XT!U50), DAY(XT!Y50), DAY(XT!AC50), DAY(XT!AG50)), MATCH(1, INDEX(--(MONTH(CHOOSE({1,2,3,4}, XT!U50,XT!Y50,XT!AC50,XT!AG50))=2), 0), 0)), "")</f>
        <v/>
      </c>
      <c r="G50" s="12" t="str">
        <f>IF(XT!$P50&gt;0,F50,"")</f>
        <v/>
      </c>
      <c r="H50" s="12" t="str">
        <f>IF(XT!$P50=0,F50,"")</f>
        <v/>
      </c>
      <c r="I50">
        <f>SUMPRODUCT((MONTH(CHOOSE({1,2,3,4},XT!U50,XT!Y50,XT!AC50,XT!AG50))=3)*(CHOOSE({1,2,3,4},XT!X50,XT!AB50,XT!AF50,XT!AJ50)))</f>
        <v>0</v>
      </c>
      <c r="J50" t="str">
        <f>IFERROR(INDEX(CHOOSE({1,2,3,4}, DAY(XT!U50), DAY(XT!Y50), DAY(XT!AC50), DAY(XT!AG50)), MATCH(1, INDEX(--(MONTH(CHOOSE({1,2,3,4}, XT!U50,XT!Y50,XT!AC50,XT!AG50))=3), 0), 0)), "")</f>
        <v/>
      </c>
      <c r="K50" s="12" t="str">
        <f>IF(XT!$P50&gt;0,J50,"")</f>
        <v/>
      </c>
      <c r="L50" s="12" t="str">
        <f>IF(XT!$P50=0,J50,"")</f>
        <v/>
      </c>
      <c r="M50">
        <f>SUMPRODUCT((MONTH(CHOOSE({1,2,3,4},XT!U50,XT!Y50,XT!AC50,XT!AG50))=4)*(CHOOSE({1,2,3,4},XT!X50,XT!AB50,XT!AF50,XT!AJ50)))</f>
        <v>0</v>
      </c>
      <c r="N50" t="str">
        <f>IFERROR(INDEX(CHOOSE({1,2,3,4}, DAY(XT!U50), DAY(XT!Y50), DAY(XT!AC50), DAY(XT!AG50)), MATCH(1, INDEX(--(MONTH(CHOOSE({1,2,3,4}, XT!U50,XT!Y50,XT!AC50,XT!AG50))=4), 0), 0)), "")</f>
        <v/>
      </c>
      <c r="O50" s="12" t="str">
        <f>IF(XT!$P50&gt;0,N50,"")</f>
        <v/>
      </c>
      <c r="P50" s="12" t="str">
        <f>IF(XT!$P50=0,N50,"")</f>
        <v/>
      </c>
      <c r="Q50">
        <f>SUMPRODUCT((MONTH(CHOOSE({1,2,3,4},XT!U50,XT!Y50,XT!AC50,XT!AG50))=5)*(CHOOSE({1,2,3,4},XT!X50,XT!AB50,XT!AF50,XT!AJ50)))</f>
        <v>0</v>
      </c>
      <c r="R50" t="str">
        <f>IFERROR(INDEX(CHOOSE({1,2,3,4}, DAY(XT!U50), DAY(XT!Y50), DAY(XT!AC50), DAY(XT!AG50)), MATCH(1, INDEX(--(MONTH(CHOOSE({1,2,3,4}, XT!U50,XT!Y50,XT!AC50,XT!AG50))=5), 0), 0)), "")</f>
        <v/>
      </c>
      <c r="S50" s="12" t="str">
        <f>IF(XT!$P50&gt;0,R50,"")</f>
        <v/>
      </c>
      <c r="T50" s="12" t="str">
        <f>IF(XT!$P50=0,R50,"")</f>
        <v/>
      </c>
      <c r="U50">
        <f>SUMPRODUCT((MONTH(CHOOSE({1,2,3,4},XT!U50,XT!Y50,XT!AC50,XT!AG50))=6)*(CHOOSE({1,2,3,4},XT!X50,XT!AB50,XT!AF50,XT!AJ50)))</f>
        <v>0</v>
      </c>
      <c r="V50" t="str">
        <f>IFERROR(INDEX(CHOOSE({1,2,3,4}, DAY(XT!U50), DAY(XT!Y50), DAY(XT!AC50), DAY(XT!AG50)), MATCH(1, INDEX(--(MONTH(CHOOSE({1,2,3,4}, XT!U50,XT!Y50,XT!AC50,XT!AG50))=6), 0), 0)), "")</f>
        <v/>
      </c>
      <c r="W50" s="12" t="str">
        <f>IF(XT!$P50&gt;0,V50,"")</f>
        <v/>
      </c>
      <c r="X50" s="12" t="str">
        <f>IF(XT!$P50=0,V50,"")</f>
        <v/>
      </c>
      <c r="Y50">
        <f>SUMPRODUCT((MONTH(CHOOSE({1,2,3,4},XT!U50,XT!Y50,XT!AC50,XT!AG50))=7)*(CHOOSE({1,2,3,4},XT!X50,XT!AB50,XT!AF50,XT!AJ50)))</f>
        <v>0</v>
      </c>
      <c r="Z50" t="str">
        <f>IFERROR(INDEX(CHOOSE({1,2,3,4}, DAY(XT!U50), DAY(XT!Y50), DAY(XT!AC50), DAY(XT!AG50)), MATCH(1, INDEX(--(MONTH(CHOOSE({1,2,3,4}, XT!U50,XT!Y50,XT!AC50,XT!AG50))=7), 0), 0)), "")</f>
        <v/>
      </c>
      <c r="AA50" s="12" t="str">
        <f>IF(XT!$P50&gt;0,Z50,"")</f>
        <v/>
      </c>
      <c r="AB50" s="12" t="str">
        <f>IF(XT!$P50=0,Z50,"")</f>
        <v/>
      </c>
      <c r="AC50">
        <f>SUMPRODUCT((MONTH(CHOOSE({1,2,3,4},XT!U50,XT!Y50,XT!AC50,XT!AG50))=8)*(CHOOSE({1,2,3,4},XT!X50,XT!AB50,XT!AF50,XT!AJ50)))</f>
        <v>0</v>
      </c>
      <c r="AD50" t="str">
        <f>IFERROR(INDEX(CHOOSE({1,2,3,4}, DAY(XT!U50), DAY(XT!Y50), DAY(XT!AC50), DAY(XT!AG50)), MATCH(1, INDEX(--(MONTH(CHOOSE({1,2,3,4}, XT!U50,XT!Y50,XT!AC50,XT!AG50))=8), 0), 0)), "")</f>
        <v/>
      </c>
      <c r="AE50" s="12" t="str">
        <f>IF(XT!$P50&gt;0,AD50,"")</f>
        <v/>
      </c>
      <c r="AF50" s="12" t="str">
        <f>IF(XT!$P50=0,AD50,"")</f>
        <v/>
      </c>
      <c r="AG50">
        <f>SUMPRODUCT((MONTH(CHOOSE({1,2,3,4},XT!U50,XT!Y50,XT!AC50,XT!AG50))=9)*(CHOOSE({1,2,3,4},XT!X50,XT!AB50,XT!AF50,XT!AJ50)))</f>
        <v>0</v>
      </c>
      <c r="AH50" t="str">
        <f>IFERROR(INDEX(CHOOSE({1,2,3,4}, DAY(XT!U50), DAY(XT!Y50), DAY(XT!AC50), DAY(XT!AG50)), MATCH(1, INDEX(--(MONTH(CHOOSE({1,2,3,4}, XT!U50,XT!Y50,XT!AC50,XT!AG50))=9), 0), 0)), "")</f>
        <v/>
      </c>
      <c r="AI50" s="12" t="str">
        <f>IF(XT!$P50&gt;0,AH50,"")</f>
        <v/>
      </c>
      <c r="AJ50" s="12" t="str">
        <f>IF(XT!$P50=0,AH50,"")</f>
        <v/>
      </c>
      <c r="AK50">
        <f>SUMPRODUCT((MONTH(CHOOSE({1,2,3,4},XT!U50,XT!Y50,XT!AC50,XT!AG50))=10)*(CHOOSE({1,2,3,4},XT!X50,XT!AB50,XT!AF50,XT!AJ50)))</f>
        <v>0</v>
      </c>
      <c r="AL50" t="str">
        <f>IFERROR(INDEX(CHOOSE({1,2,3,4}, DAY(XT!U50), DAY(XT!Y50), DAY(XT!AC50), DAY(XT!AG50)), MATCH(1, INDEX(--(MONTH(CHOOSE({1,2,3,4}, XT!U50,XT!Y50,XT!AC50,XT!AG50))=10), 0), 0)), "")</f>
        <v/>
      </c>
      <c r="AM50" s="12" t="str">
        <f>IF(XT!$P50&gt;0,AL50,"")</f>
        <v/>
      </c>
      <c r="AN50" s="12" t="str">
        <f>IF(XT!$P50=0,AL50,"")</f>
        <v/>
      </c>
      <c r="AO50">
        <f>SUMPRODUCT((MONTH(CHOOSE({1,2,3,4},XT!U50,XT!Y50,XT!AC50,XT!AG50))=11)*(CHOOSE({1,2,3,4},XT!X50,XT!AB50,XT!AF50,XT!AJ50)))</f>
        <v>0</v>
      </c>
      <c r="AP50" t="str">
        <f>IFERROR(INDEX(CHOOSE({1,2,3,4}, DAY(XT!U50), DAY(XT!Y50), DAY(XT!AC50), DAY(XT!AG50)), MATCH(1, INDEX(--(MONTH(CHOOSE({1,2,3,4}, XT!U50,XT!Y50,XT!AC50,XT!AG50))=11), 0), 0)), "")</f>
        <v/>
      </c>
      <c r="AQ50" s="12" t="str">
        <f>IF(XT!$P50&gt;0,AP50,"")</f>
        <v/>
      </c>
      <c r="AR50" s="12" t="str">
        <f>IF(XT!$P50=0,AP50,"")</f>
        <v/>
      </c>
      <c r="AS50">
        <f>SUMPRODUCT((MONTH(CHOOSE({1,2,3,4},XT!U50,XT!Y50,XT!AC50,XT!AG50))=12)*(CHOOSE({1,2,3,4},XT!X50,XT!AB50,XT!AF50,XT!AJ50)))</f>
        <v>0</v>
      </c>
      <c r="AT50" t="str">
        <f>IFERROR(INDEX(CHOOSE({1,2,3,4}, DAY(XT!U50), DAY(XT!Y50), DAY(XT!AC50), DAY(XT!AG50)), MATCH(1, INDEX(--(MONTH(CHOOSE({1,2,3,4}, XT!U50,XT!Y50,XT!AC50,XT!AG50))=12), 0), 0)), "")</f>
        <v/>
      </c>
      <c r="AU50" s="12" t="str">
        <f>IF(XT!$P50&gt;0,AT50,"")</f>
        <v/>
      </c>
      <c r="AV50" s="12" t="str">
        <f>IF(XT!$P50=0,AT50,"")</f>
        <v/>
      </c>
    </row>
    <row r="51" spans="1:48">
      <c r="A51">
        <f>SUMPRODUCT((MONTH(CHOOSE({1,2,3,4},XT!U51,XT!Y51,XT!AC51,XT!AG51))=1)*(CHOOSE({1,2,3,4},XT!X51,XT!AB51,XT!AF51,XT!AJ51)))</f>
        <v>0</v>
      </c>
      <c r="B51">
        <f>IFERROR(INDEX(CHOOSE({1,2,3,4}, DAY(XT!U51), DAY(XT!Y51), DAY(XT!AC51), DAY(XT!AG51)), MATCH(1, INDEX(--(MONTH(CHOOSE({1,2,3,4}, XT!U51,XT!Y51,XT!AC51,XT!AG51))=1), 0), 0)), "")</f>
        <v>0</v>
      </c>
      <c r="C51" s="12" t="str">
        <f>IF(XT!$P51&gt;0,B51,"")</f>
        <v/>
      </c>
      <c r="D51" s="12">
        <f>IF(XT!$P51=0,B51,"")</f>
        <v>0</v>
      </c>
      <c r="E51">
        <f>SUMPRODUCT((MONTH(CHOOSE({1,2,3,4},XT!U51,XT!Y51,XT!AC51,XT!AG51))=2)*(CHOOSE({1,2,3,4},XT!X51,XT!AB51,XT!AF51,XT!AJ51)))</f>
        <v>0</v>
      </c>
      <c r="F51" t="str">
        <f>IFERROR(INDEX(CHOOSE({1,2,3,4}, DAY(XT!U51), DAY(XT!Y51), DAY(XT!AC51), DAY(XT!AG51)), MATCH(1, INDEX(--(MONTH(CHOOSE({1,2,3,4}, XT!U51,XT!Y51,XT!AC51,XT!AG51))=2), 0), 0)), "")</f>
        <v/>
      </c>
      <c r="G51" s="12" t="str">
        <f>IF(XT!$P51&gt;0,F51,"")</f>
        <v/>
      </c>
      <c r="H51" s="12" t="str">
        <f>IF(XT!$P51=0,F51,"")</f>
        <v/>
      </c>
      <c r="I51">
        <f>SUMPRODUCT((MONTH(CHOOSE({1,2,3,4},XT!U51,XT!Y51,XT!AC51,XT!AG51))=3)*(CHOOSE({1,2,3,4},XT!X51,XT!AB51,XT!AF51,XT!AJ51)))</f>
        <v>0</v>
      </c>
      <c r="J51" t="str">
        <f>IFERROR(INDEX(CHOOSE({1,2,3,4}, DAY(XT!U51), DAY(XT!Y51), DAY(XT!AC51), DAY(XT!AG51)), MATCH(1, INDEX(--(MONTH(CHOOSE({1,2,3,4}, XT!U51,XT!Y51,XT!AC51,XT!AG51))=3), 0), 0)), "")</f>
        <v/>
      </c>
      <c r="K51" s="12" t="str">
        <f>IF(XT!$P51&gt;0,J51,"")</f>
        <v/>
      </c>
      <c r="L51" s="12" t="str">
        <f>IF(XT!$P51=0,J51,"")</f>
        <v/>
      </c>
      <c r="M51">
        <f>SUMPRODUCT((MONTH(CHOOSE({1,2,3,4},XT!U51,XT!Y51,XT!AC51,XT!AG51))=4)*(CHOOSE({1,2,3,4},XT!X51,XT!AB51,XT!AF51,XT!AJ51)))</f>
        <v>0</v>
      </c>
      <c r="N51" t="str">
        <f>IFERROR(INDEX(CHOOSE({1,2,3,4}, DAY(XT!U51), DAY(XT!Y51), DAY(XT!AC51), DAY(XT!AG51)), MATCH(1, INDEX(--(MONTH(CHOOSE({1,2,3,4}, XT!U51,XT!Y51,XT!AC51,XT!AG51))=4), 0), 0)), "")</f>
        <v/>
      </c>
      <c r="O51" s="12" t="str">
        <f>IF(XT!$P51&gt;0,N51,"")</f>
        <v/>
      </c>
      <c r="P51" s="12" t="str">
        <f>IF(XT!$P51=0,N51,"")</f>
        <v/>
      </c>
      <c r="Q51">
        <f>SUMPRODUCT((MONTH(CHOOSE({1,2,3,4},XT!U51,XT!Y51,XT!AC51,XT!AG51))=5)*(CHOOSE({1,2,3,4},XT!X51,XT!AB51,XT!AF51,XT!AJ51)))</f>
        <v>0</v>
      </c>
      <c r="R51" t="str">
        <f>IFERROR(INDEX(CHOOSE({1,2,3,4}, DAY(XT!U51), DAY(XT!Y51), DAY(XT!AC51), DAY(XT!AG51)), MATCH(1, INDEX(--(MONTH(CHOOSE({1,2,3,4}, XT!U51,XT!Y51,XT!AC51,XT!AG51))=5), 0), 0)), "")</f>
        <v/>
      </c>
      <c r="S51" s="12" t="str">
        <f>IF(XT!$P51&gt;0,R51,"")</f>
        <v/>
      </c>
      <c r="T51" s="12" t="str">
        <f>IF(XT!$P51=0,R51,"")</f>
        <v/>
      </c>
      <c r="U51">
        <f>SUMPRODUCT((MONTH(CHOOSE({1,2,3,4},XT!U51,XT!Y51,XT!AC51,XT!AG51))=6)*(CHOOSE({1,2,3,4},XT!X51,XT!AB51,XT!AF51,XT!AJ51)))</f>
        <v>0</v>
      </c>
      <c r="V51" t="str">
        <f>IFERROR(INDEX(CHOOSE({1,2,3,4}, DAY(XT!U51), DAY(XT!Y51), DAY(XT!AC51), DAY(XT!AG51)), MATCH(1, INDEX(--(MONTH(CHOOSE({1,2,3,4}, XT!U51,XT!Y51,XT!AC51,XT!AG51))=6), 0), 0)), "")</f>
        <v/>
      </c>
      <c r="W51" s="12" t="str">
        <f>IF(XT!$P51&gt;0,V51,"")</f>
        <v/>
      </c>
      <c r="X51" s="12" t="str">
        <f>IF(XT!$P51=0,V51,"")</f>
        <v/>
      </c>
      <c r="Y51">
        <f>SUMPRODUCT((MONTH(CHOOSE({1,2,3,4},XT!U51,XT!Y51,XT!AC51,XT!AG51))=7)*(CHOOSE({1,2,3,4},XT!X51,XT!AB51,XT!AF51,XT!AJ51)))</f>
        <v>0</v>
      </c>
      <c r="Z51" t="str">
        <f>IFERROR(INDEX(CHOOSE({1,2,3,4}, DAY(XT!U51), DAY(XT!Y51), DAY(XT!AC51), DAY(XT!AG51)), MATCH(1, INDEX(--(MONTH(CHOOSE({1,2,3,4}, XT!U51,XT!Y51,XT!AC51,XT!AG51))=7), 0), 0)), "")</f>
        <v/>
      </c>
      <c r="AA51" s="12" t="str">
        <f>IF(XT!$P51&gt;0,Z51,"")</f>
        <v/>
      </c>
      <c r="AB51" s="12" t="str">
        <f>IF(XT!$P51=0,Z51,"")</f>
        <v/>
      </c>
      <c r="AC51">
        <f>SUMPRODUCT((MONTH(CHOOSE({1,2,3,4},XT!U51,XT!Y51,XT!AC51,XT!AG51))=8)*(CHOOSE({1,2,3,4},XT!X51,XT!AB51,XT!AF51,XT!AJ51)))</f>
        <v>0</v>
      </c>
      <c r="AD51" t="str">
        <f>IFERROR(INDEX(CHOOSE({1,2,3,4}, DAY(XT!U51), DAY(XT!Y51), DAY(XT!AC51), DAY(XT!AG51)), MATCH(1, INDEX(--(MONTH(CHOOSE({1,2,3,4}, XT!U51,XT!Y51,XT!AC51,XT!AG51))=8), 0), 0)), "")</f>
        <v/>
      </c>
      <c r="AE51" s="12" t="str">
        <f>IF(XT!$P51&gt;0,AD51,"")</f>
        <v/>
      </c>
      <c r="AF51" s="12" t="str">
        <f>IF(XT!$P51=0,AD51,"")</f>
        <v/>
      </c>
      <c r="AG51">
        <f>SUMPRODUCT((MONTH(CHOOSE({1,2,3,4},XT!U51,XT!Y51,XT!AC51,XT!AG51))=9)*(CHOOSE({1,2,3,4},XT!X51,XT!AB51,XT!AF51,XT!AJ51)))</f>
        <v>0</v>
      </c>
      <c r="AH51" t="str">
        <f>IFERROR(INDEX(CHOOSE({1,2,3,4}, DAY(XT!U51), DAY(XT!Y51), DAY(XT!AC51), DAY(XT!AG51)), MATCH(1, INDEX(--(MONTH(CHOOSE({1,2,3,4}, XT!U51,XT!Y51,XT!AC51,XT!AG51))=9), 0), 0)), "")</f>
        <v/>
      </c>
      <c r="AI51" s="12" t="str">
        <f>IF(XT!$P51&gt;0,AH51,"")</f>
        <v/>
      </c>
      <c r="AJ51" s="12" t="str">
        <f>IF(XT!$P51=0,AH51,"")</f>
        <v/>
      </c>
      <c r="AK51">
        <f>SUMPRODUCT((MONTH(CHOOSE({1,2,3,4},XT!U51,XT!Y51,XT!AC51,XT!AG51))=10)*(CHOOSE({1,2,3,4},XT!X51,XT!AB51,XT!AF51,XT!AJ51)))</f>
        <v>0</v>
      </c>
      <c r="AL51" t="str">
        <f>IFERROR(INDEX(CHOOSE({1,2,3,4}, DAY(XT!U51), DAY(XT!Y51), DAY(XT!AC51), DAY(XT!AG51)), MATCH(1, INDEX(--(MONTH(CHOOSE({1,2,3,4}, XT!U51,XT!Y51,XT!AC51,XT!AG51))=10), 0), 0)), "")</f>
        <v/>
      </c>
      <c r="AM51" s="12" t="str">
        <f>IF(XT!$P51&gt;0,AL51,"")</f>
        <v/>
      </c>
      <c r="AN51" s="12" t="str">
        <f>IF(XT!$P51=0,AL51,"")</f>
        <v/>
      </c>
      <c r="AO51">
        <f>SUMPRODUCT((MONTH(CHOOSE({1,2,3,4},XT!U51,XT!Y51,XT!AC51,XT!AG51))=11)*(CHOOSE({1,2,3,4},XT!X51,XT!AB51,XT!AF51,XT!AJ51)))</f>
        <v>0</v>
      </c>
      <c r="AP51" t="str">
        <f>IFERROR(INDEX(CHOOSE({1,2,3,4}, DAY(XT!U51), DAY(XT!Y51), DAY(XT!AC51), DAY(XT!AG51)), MATCH(1, INDEX(--(MONTH(CHOOSE({1,2,3,4}, XT!U51,XT!Y51,XT!AC51,XT!AG51))=11), 0), 0)), "")</f>
        <v/>
      </c>
      <c r="AQ51" s="12" t="str">
        <f>IF(XT!$P51&gt;0,AP51,"")</f>
        <v/>
      </c>
      <c r="AR51" s="12" t="str">
        <f>IF(XT!$P51=0,AP51,"")</f>
        <v/>
      </c>
      <c r="AS51">
        <f>SUMPRODUCT((MONTH(CHOOSE({1,2,3,4},XT!U51,XT!Y51,XT!AC51,XT!AG51))=12)*(CHOOSE({1,2,3,4},XT!X51,XT!AB51,XT!AF51,XT!AJ51)))</f>
        <v>0</v>
      </c>
      <c r="AT51" t="str">
        <f>IFERROR(INDEX(CHOOSE({1,2,3,4}, DAY(XT!U51), DAY(XT!Y51), DAY(XT!AC51), DAY(XT!AG51)), MATCH(1, INDEX(--(MONTH(CHOOSE({1,2,3,4}, XT!U51,XT!Y51,XT!AC51,XT!AG51))=12), 0), 0)), "")</f>
        <v/>
      </c>
      <c r="AU51" s="12" t="str">
        <f>IF(XT!$P51&gt;0,AT51,"")</f>
        <v/>
      </c>
      <c r="AV51" s="12" t="str">
        <f>IF(XT!$P51=0,AT51,"")</f>
        <v/>
      </c>
    </row>
    <row r="52" spans="1:48">
      <c r="A52">
        <f>SUMPRODUCT((MONTH(CHOOSE({1,2,3,4},XT!U52,XT!Y52,XT!AC52,XT!AG52))=1)*(CHOOSE({1,2,3,4},XT!X52,XT!AB52,XT!AF52,XT!AJ52)))</f>
        <v>0</v>
      </c>
      <c r="B52">
        <f>IFERROR(INDEX(CHOOSE({1,2,3,4}, DAY(XT!U52), DAY(XT!Y52), DAY(XT!AC52), DAY(XT!AG52)), MATCH(1, INDEX(--(MONTH(CHOOSE({1,2,3,4}, XT!U52,XT!Y52,XT!AC52,XT!AG52))=1), 0), 0)), "")</f>
        <v>0</v>
      </c>
      <c r="C52" s="12" t="str">
        <f>IF(XT!$P52&gt;0,B52,"")</f>
        <v/>
      </c>
      <c r="D52" s="12">
        <f>IF(XT!$P52=0,B52,"")</f>
        <v>0</v>
      </c>
      <c r="E52">
        <f>SUMPRODUCT((MONTH(CHOOSE({1,2,3,4},XT!U52,XT!Y52,XT!AC52,XT!AG52))=2)*(CHOOSE({1,2,3,4},XT!X52,XT!AB52,XT!AF52,XT!AJ52)))</f>
        <v>0</v>
      </c>
      <c r="F52" t="str">
        <f>IFERROR(INDEX(CHOOSE({1,2,3,4}, DAY(XT!U52), DAY(XT!Y52), DAY(XT!AC52), DAY(XT!AG52)), MATCH(1, INDEX(--(MONTH(CHOOSE({1,2,3,4}, XT!U52,XT!Y52,XT!AC52,XT!AG52))=2), 0), 0)), "")</f>
        <v/>
      </c>
      <c r="G52" s="12" t="str">
        <f>IF(XT!$P52&gt;0,F52,"")</f>
        <v/>
      </c>
      <c r="H52" s="12" t="str">
        <f>IF(XT!$P52=0,F52,"")</f>
        <v/>
      </c>
      <c r="I52">
        <f>SUMPRODUCT((MONTH(CHOOSE({1,2,3,4},XT!U52,XT!Y52,XT!AC52,XT!AG52))=3)*(CHOOSE({1,2,3,4},XT!X52,XT!AB52,XT!AF52,XT!AJ52)))</f>
        <v>0</v>
      </c>
      <c r="J52" t="str">
        <f>IFERROR(INDEX(CHOOSE({1,2,3,4}, DAY(XT!U52), DAY(XT!Y52), DAY(XT!AC52), DAY(XT!AG52)), MATCH(1, INDEX(--(MONTH(CHOOSE({1,2,3,4}, XT!U52,XT!Y52,XT!AC52,XT!AG52))=3), 0), 0)), "")</f>
        <v/>
      </c>
      <c r="K52" s="12" t="str">
        <f>IF(XT!$P52&gt;0,J52,"")</f>
        <v/>
      </c>
      <c r="L52" s="12" t="str">
        <f>IF(XT!$P52=0,J52,"")</f>
        <v/>
      </c>
      <c r="M52">
        <f>SUMPRODUCT((MONTH(CHOOSE({1,2,3,4},XT!U52,XT!Y52,XT!AC52,XT!AG52))=4)*(CHOOSE({1,2,3,4},XT!X52,XT!AB52,XT!AF52,XT!AJ52)))</f>
        <v>0</v>
      </c>
      <c r="N52" t="str">
        <f>IFERROR(INDEX(CHOOSE({1,2,3,4}, DAY(XT!U52), DAY(XT!Y52), DAY(XT!AC52), DAY(XT!AG52)), MATCH(1, INDEX(--(MONTH(CHOOSE({1,2,3,4}, XT!U52,XT!Y52,XT!AC52,XT!AG52))=4), 0), 0)), "")</f>
        <v/>
      </c>
      <c r="O52" s="12" t="str">
        <f>IF(XT!$P52&gt;0,N52,"")</f>
        <v/>
      </c>
      <c r="P52" s="12" t="str">
        <f>IF(XT!$P52=0,N52,"")</f>
        <v/>
      </c>
      <c r="Q52">
        <f>SUMPRODUCT((MONTH(CHOOSE({1,2,3,4},XT!U52,XT!Y52,XT!AC52,XT!AG52))=5)*(CHOOSE({1,2,3,4},XT!X52,XT!AB52,XT!AF52,XT!AJ52)))</f>
        <v>0</v>
      </c>
      <c r="R52" t="str">
        <f>IFERROR(INDEX(CHOOSE({1,2,3,4}, DAY(XT!U52), DAY(XT!Y52), DAY(XT!AC52), DAY(XT!AG52)), MATCH(1, INDEX(--(MONTH(CHOOSE({1,2,3,4}, XT!U52,XT!Y52,XT!AC52,XT!AG52))=5), 0), 0)), "")</f>
        <v/>
      </c>
      <c r="S52" s="12" t="str">
        <f>IF(XT!$P52&gt;0,R52,"")</f>
        <v/>
      </c>
      <c r="T52" s="12" t="str">
        <f>IF(XT!$P52=0,R52,"")</f>
        <v/>
      </c>
      <c r="U52">
        <f>SUMPRODUCT((MONTH(CHOOSE({1,2,3,4},XT!U52,XT!Y52,XT!AC52,XT!AG52))=6)*(CHOOSE({1,2,3,4},XT!X52,XT!AB52,XT!AF52,XT!AJ52)))</f>
        <v>0</v>
      </c>
      <c r="V52" t="str">
        <f>IFERROR(INDEX(CHOOSE({1,2,3,4}, DAY(XT!U52), DAY(XT!Y52), DAY(XT!AC52), DAY(XT!AG52)), MATCH(1, INDEX(--(MONTH(CHOOSE({1,2,3,4}, XT!U52,XT!Y52,XT!AC52,XT!AG52))=6), 0), 0)), "")</f>
        <v/>
      </c>
      <c r="W52" s="12" t="str">
        <f>IF(XT!$P52&gt;0,V52,"")</f>
        <v/>
      </c>
      <c r="X52" s="12" t="str">
        <f>IF(XT!$P52=0,V52,"")</f>
        <v/>
      </c>
      <c r="Y52">
        <f>SUMPRODUCT((MONTH(CHOOSE({1,2,3,4},XT!U52,XT!Y52,XT!AC52,XT!AG52))=7)*(CHOOSE({1,2,3,4},XT!X52,XT!AB52,XT!AF52,XT!AJ52)))</f>
        <v>0</v>
      </c>
      <c r="Z52" t="str">
        <f>IFERROR(INDEX(CHOOSE({1,2,3,4}, DAY(XT!U52), DAY(XT!Y52), DAY(XT!AC52), DAY(XT!AG52)), MATCH(1, INDEX(--(MONTH(CHOOSE({1,2,3,4}, XT!U52,XT!Y52,XT!AC52,XT!AG52))=7), 0), 0)), "")</f>
        <v/>
      </c>
      <c r="AA52" s="12" t="str">
        <f>IF(XT!$P52&gt;0,Z52,"")</f>
        <v/>
      </c>
      <c r="AB52" s="12" t="str">
        <f>IF(XT!$P52=0,Z52,"")</f>
        <v/>
      </c>
      <c r="AC52">
        <f>SUMPRODUCT((MONTH(CHOOSE({1,2,3,4},XT!U52,XT!Y52,XT!AC52,XT!AG52))=8)*(CHOOSE({1,2,3,4},XT!X52,XT!AB52,XT!AF52,XT!AJ52)))</f>
        <v>0</v>
      </c>
      <c r="AD52" t="str">
        <f>IFERROR(INDEX(CHOOSE({1,2,3,4}, DAY(XT!U52), DAY(XT!Y52), DAY(XT!AC52), DAY(XT!AG52)), MATCH(1, INDEX(--(MONTH(CHOOSE({1,2,3,4}, XT!U52,XT!Y52,XT!AC52,XT!AG52))=8), 0), 0)), "")</f>
        <v/>
      </c>
      <c r="AE52" s="12" t="str">
        <f>IF(XT!$P52&gt;0,AD52,"")</f>
        <v/>
      </c>
      <c r="AF52" s="12" t="str">
        <f>IF(XT!$P52=0,AD52,"")</f>
        <v/>
      </c>
      <c r="AG52">
        <f>SUMPRODUCT((MONTH(CHOOSE({1,2,3,4},XT!U52,XT!Y52,XT!AC52,XT!AG52))=9)*(CHOOSE({1,2,3,4},XT!X52,XT!AB52,XT!AF52,XT!AJ52)))</f>
        <v>0</v>
      </c>
      <c r="AH52" t="str">
        <f>IFERROR(INDEX(CHOOSE({1,2,3,4}, DAY(XT!U52), DAY(XT!Y52), DAY(XT!AC52), DAY(XT!AG52)), MATCH(1, INDEX(--(MONTH(CHOOSE({1,2,3,4}, XT!U52,XT!Y52,XT!AC52,XT!AG52))=9), 0), 0)), "")</f>
        <v/>
      </c>
      <c r="AI52" s="12" t="str">
        <f>IF(XT!$P52&gt;0,AH52,"")</f>
        <v/>
      </c>
      <c r="AJ52" s="12" t="str">
        <f>IF(XT!$P52=0,AH52,"")</f>
        <v/>
      </c>
      <c r="AK52">
        <f>SUMPRODUCT((MONTH(CHOOSE({1,2,3,4},XT!U52,XT!Y52,XT!AC52,XT!AG52))=10)*(CHOOSE({1,2,3,4},XT!X52,XT!AB52,XT!AF52,XT!AJ52)))</f>
        <v>0</v>
      </c>
      <c r="AL52" t="str">
        <f>IFERROR(INDEX(CHOOSE({1,2,3,4}, DAY(XT!U52), DAY(XT!Y52), DAY(XT!AC52), DAY(XT!AG52)), MATCH(1, INDEX(--(MONTH(CHOOSE({1,2,3,4}, XT!U52,XT!Y52,XT!AC52,XT!AG52))=10), 0), 0)), "")</f>
        <v/>
      </c>
      <c r="AM52" s="12" t="str">
        <f>IF(XT!$P52&gt;0,AL52,"")</f>
        <v/>
      </c>
      <c r="AN52" s="12" t="str">
        <f>IF(XT!$P52=0,AL52,"")</f>
        <v/>
      </c>
      <c r="AO52">
        <f>SUMPRODUCT((MONTH(CHOOSE({1,2,3,4},XT!U52,XT!Y52,XT!AC52,XT!AG52))=11)*(CHOOSE({1,2,3,4},XT!X52,XT!AB52,XT!AF52,XT!AJ52)))</f>
        <v>0</v>
      </c>
      <c r="AP52" t="str">
        <f>IFERROR(INDEX(CHOOSE({1,2,3,4}, DAY(XT!U52), DAY(XT!Y52), DAY(XT!AC52), DAY(XT!AG52)), MATCH(1, INDEX(--(MONTH(CHOOSE({1,2,3,4}, XT!U52,XT!Y52,XT!AC52,XT!AG52))=11), 0), 0)), "")</f>
        <v/>
      </c>
      <c r="AQ52" s="12" t="str">
        <f>IF(XT!$P52&gt;0,AP52,"")</f>
        <v/>
      </c>
      <c r="AR52" s="12" t="str">
        <f>IF(XT!$P52=0,AP52,"")</f>
        <v/>
      </c>
      <c r="AS52">
        <f>SUMPRODUCT((MONTH(CHOOSE({1,2,3,4},XT!U52,XT!Y52,XT!AC52,XT!AG52))=12)*(CHOOSE({1,2,3,4},XT!X52,XT!AB52,XT!AF52,XT!AJ52)))</f>
        <v>0</v>
      </c>
      <c r="AT52" t="str">
        <f>IFERROR(INDEX(CHOOSE({1,2,3,4}, DAY(XT!U52), DAY(XT!Y52), DAY(XT!AC52), DAY(XT!AG52)), MATCH(1, INDEX(--(MONTH(CHOOSE({1,2,3,4}, XT!U52,XT!Y52,XT!AC52,XT!AG52))=12), 0), 0)), "")</f>
        <v/>
      </c>
      <c r="AU52" s="12" t="str">
        <f>IF(XT!$P52&gt;0,AT52,"")</f>
        <v/>
      </c>
      <c r="AV52" s="12" t="str">
        <f>IF(XT!$P52=0,AT52,"")</f>
        <v/>
      </c>
    </row>
    <row r="53" spans="1:48">
      <c r="A53">
        <f>SUMPRODUCT((MONTH(CHOOSE({1,2,3,4},XT!U53,XT!Y53,XT!AC53,XT!AG53))=1)*(CHOOSE({1,2,3,4},XT!X53,XT!AB53,XT!AF53,XT!AJ53)))</f>
        <v>0</v>
      </c>
      <c r="B53">
        <f>IFERROR(INDEX(CHOOSE({1,2,3,4}, DAY(XT!U53), DAY(XT!Y53), DAY(XT!AC53), DAY(XT!AG53)), MATCH(1, INDEX(--(MONTH(CHOOSE({1,2,3,4}, XT!U53,XT!Y53,XT!AC53,XT!AG53))=1), 0), 0)), "")</f>
        <v>0</v>
      </c>
      <c r="C53" s="12" t="str">
        <f>IF(XT!$P53&gt;0,B53,"")</f>
        <v/>
      </c>
      <c r="D53" s="12">
        <f>IF(XT!$P53=0,B53,"")</f>
        <v>0</v>
      </c>
      <c r="E53">
        <f>SUMPRODUCT((MONTH(CHOOSE({1,2,3,4},XT!U53,XT!Y53,XT!AC53,XT!AG53))=2)*(CHOOSE({1,2,3,4},XT!X53,XT!AB53,XT!AF53,XT!AJ53)))</f>
        <v>0</v>
      </c>
      <c r="F53" t="str">
        <f>IFERROR(INDEX(CHOOSE({1,2,3,4}, DAY(XT!U53), DAY(XT!Y53), DAY(XT!AC53), DAY(XT!AG53)), MATCH(1, INDEX(--(MONTH(CHOOSE({1,2,3,4}, XT!U53,XT!Y53,XT!AC53,XT!AG53))=2), 0), 0)), "")</f>
        <v/>
      </c>
      <c r="G53" s="12" t="str">
        <f>IF(XT!$P53&gt;0,F53,"")</f>
        <v/>
      </c>
      <c r="H53" s="12" t="str">
        <f>IF(XT!$P53=0,F53,"")</f>
        <v/>
      </c>
      <c r="I53">
        <f>SUMPRODUCT((MONTH(CHOOSE({1,2,3,4},XT!U53,XT!Y53,XT!AC53,XT!AG53))=3)*(CHOOSE({1,2,3,4},XT!X53,XT!AB53,XT!AF53,XT!AJ53)))</f>
        <v>0</v>
      </c>
      <c r="J53" t="str">
        <f>IFERROR(INDEX(CHOOSE({1,2,3,4}, DAY(XT!U53), DAY(XT!Y53), DAY(XT!AC53), DAY(XT!AG53)), MATCH(1, INDEX(--(MONTH(CHOOSE({1,2,3,4}, XT!U53,XT!Y53,XT!AC53,XT!AG53))=3), 0), 0)), "")</f>
        <v/>
      </c>
      <c r="K53" s="12" t="str">
        <f>IF(XT!$P53&gt;0,J53,"")</f>
        <v/>
      </c>
      <c r="L53" s="12" t="str">
        <f>IF(XT!$P53=0,J53,"")</f>
        <v/>
      </c>
      <c r="M53">
        <f>SUMPRODUCT((MONTH(CHOOSE({1,2,3,4},XT!U53,XT!Y53,XT!AC53,XT!AG53))=4)*(CHOOSE({1,2,3,4},XT!X53,XT!AB53,XT!AF53,XT!AJ53)))</f>
        <v>0</v>
      </c>
      <c r="N53" t="str">
        <f>IFERROR(INDEX(CHOOSE({1,2,3,4}, DAY(XT!U53), DAY(XT!Y53), DAY(XT!AC53), DAY(XT!AG53)), MATCH(1, INDEX(--(MONTH(CHOOSE({1,2,3,4}, XT!U53,XT!Y53,XT!AC53,XT!AG53))=4), 0), 0)), "")</f>
        <v/>
      </c>
      <c r="O53" s="12" t="str">
        <f>IF(XT!$P53&gt;0,N53,"")</f>
        <v/>
      </c>
      <c r="P53" s="12" t="str">
        <f>IF(XT!$P53=0,N53,"")</f>
        <v/>
      </c>
      <c r="Q53">
        <f>SUMPRODUCT((MONTH(CHOOSE({1,2,3,4},XT!U53,XT!Y53,XT!AC53,XT!AG53))=5)*(CHOOSE({1,2,3,4},XT!X53,XT!AB53,XT!AF53,XT!AJ53)))</f>
        <v>0</v>
      </c>
      <c r="R53" t="str">
        <f>IFERROR(INDEX(CHOOSE({1,2,3,4}, DAY(XT!U53), DAY(XT!Y53), DAY(XT!AC53), DAY(XT!AG53)), MATCH(1, INDEX(--(MONTH(CHOOSE({1,2,3,4}, XT!U53,XT!Y53,XT!AC53,XT!AG53))=5), 0), 0)), "")</f>
        <v/>
      </c>
      <c r="S53" s="12" t="str">
        <f>IF(XT!$P53&gt;0,R53,"")</f>
        <v/>
      </c>
      <c r="T53" s="12" t="str">
        <f>IF(XT!$P53=0,R53,"")</f>
        <v/>
      </c>
      <c r="U53">
        <f>SUMPRODUCT((MONTH(CHOOSE({1,2,3,4},XT!U53,XT!Y53,XT!AC53,XT!AG53))=6)*(CHOOSE({1,2,3,4},XT!X53,XT!AB53,XT!AF53,XT!AJ53)))</f>
        <v>0</v>
      </c>
      <c r="V53" t="str">
        <f>IFERROR(INDEX(CHOOSE({1,2,3,4}, DAY(XT!U53), DAY(XT!Y53), DAY(XT!AC53), DAY(XT!AG53)), MATCH(1, INDEX(--(MONTH(CHOOSE({1,2,3,4}, XT!U53,XT!Y53,XT!AC53,XT!AG53))=6), 0), 0)), "")</f>
        <v/>
      </c>
      <c r="W53" s="12" t="str">
        <f>IF(XT!$P53&gt;0,V53,"")</f>
        <v/>
      </c>
      <c r="X53" s="12" t="str">
        <f>IF(XT!$P53=0,V53,"")</f>
        <v/>
      </c>
      <c r="Y53">
        <f>SUMPRODUCT((MONTH(CHOOSE({1,2,3,4},XT!U53,XT!Y53,XT!AC53,XT!AG53))=7)*(CHOOSE({1,2,3,4},XT!X53,XT!AB53,XT!AF53,XT!AJ53)))</f>
        <v>0</v>
      </c>
      <c r="Z53" t="str">
        <f>IFERROR(INDEX(CHOOSE({1,2,3,4}, DAY(XT!U53), DAY(XT!Y53), DAY(XT!AC53), DAY(XT!AG53)), MATCH(1, INDEX(--(MONTH(CHOOSE({1,2,3,4}, XT!U53,XT!Y53,XT!AC53,XT!AG53))=7), 0), 0)), "")</f>
        <v/>
      </c>
      <c r="AA53" s="12" t="str">
        <f>IF(XT!$P53&gt;0,Z53,"")</f>
        <v/>
      </c>
      <c r="AB53" s="12" t="str">
        <f>IF(XT!$P53=0,Z53,"")</f>
        <v/>
      </c>
      <c r="AC53">
        <f>SUMPRODUCT((MONTH(CHOOSE({1,2,3,4},XT!U53,XT!Y53,XT!AC53,XT!AG53))=8)*(CHOOSE({1,2,3,4},XT!X53,XT!AB53,XT!AF53,XT!AJ53)))</f>
        <v>0</v>
      </c>
      <c r="AD53" t="str">
        <f>IFERROR(INDEX(CHOOSE({1,2,3,4}, DAY(XT!U53), DAY(XT!Y53), DAY(XT!AC53), DAY(XT!AG53)), MATCH(1, INDEX(--(MONTH(CHOOSE({1,2,3,4}, XT!U53,XT!Y53,XT!AC53,XT!AG53))=8), 0), 0)), "")</f>
        <v/>
      </c>
      <c r="AE53" s="12" t="str">
        <f>IF(XT!$P53&gt;0,AD53,"")</f>
        <v/>
      </c>
      <c r="AF53" s="12" t="str">
        <f>IF(XT!$P53=0,AD53,"")</f>
        <v/>
      </c>
      <c r="AG53">
        <f>SUMPRODUCT((MONTH(CHOOSE({1,2,3,4},XT!U53,XT!Y53,XT!AC53,XT!AG53))=9)*(CHOOSE({1,2,3,4},XT!X53,XT!AB53,XT!AF53,XT!AJ53)))</f>
        <v>0</v>
      </c>
      <c r="AH53" t="str">
        <f>IFERROR(INDEX(CHOOSE({1,2,3,4}, DAY(XT!U53), DAY(XT!Y53), DAY(XT!AC53), DAY(XT!AG53)), MATCH(1, INDEX(--(MONTH(CHOOSE({1,2,3,4}, XT!U53,XT!Y53,XT!AC53,XT!AG53))=9), 0), 0)), "")</f>
        <v/>
      </c>
      <c r="AI53" s="12" t="str">
        <f>IF(XT!$P53&gt;0,AH53,"")</f>
        <v/>
      </c>
      <c r="AJ53" s="12" t="str">
        <f>IF(XT!$P53=0,AH53,"")</f>
        <v/>
      </c>
      <c r="AK53">
        <f>SUMPRODUCT((MONTH(CHOOSE({1,2,3,4},XT!U53,XT!Y53,XT!AC53,XT!AG53))=10)*(CHOOSE({1,2,3,4},XT!X53,XT!AB53,XT!AF53,XT!AJ53)))</f>
        <v>0</v>
      </c>
      <c r="AL53" t="str">
        <f>IFERROR(INDEX(CHOOSE({1,2,3,4}, DAY(XT!U53), DAY(XT!Y53), DAY(XT!AC53), DAY(XT!AG53)), MATCH(1, INDEX(--(MONTH(CHOOSE({1,2,3,4}, XT!U53,XT!Y53,XT!AC53,XT!AG53))=10), 0), 0)), "")</f>
        <v/>
      </c>
      <c r="AM53" s="12" t="str">
        <f>IF(XT!$P53&gt;0,AL53,"")</f>
        <v/>
      </c>
      <c r="AN53" s="12" t="str">
        <f>IF(XT!$P53=0,AL53,"")</f>
        <v/>
      </c>
      <c r="AO53">
        <f>SUMPRODUCT((MONTH(CHOOSE({1,2,3,4},XT!U53,XT!Y53,XT!AC53,XT!AG53))=11)*(CHOOSE({1,2,3,4},XT!X53,XT!AB53,XT!AF53,XT!AJ53)))</f>
        <v>0</v>
      </c>
      <c r="AP53" t="str">
        <f>IFERROR(INDEX(CHOOSE({1,2,3,4}, DAY(XT!U53), DAY(XT!Y53), DAY(XT!AC53), DAY(XT!AG53)), MATCH(1, INDEX(--(MONTH(CHOOSE({1,2,3,4}, XT!U53,XT!Y53,XT!AC53,XT!AG53))=11), 0), 0)), "")</f>
        <v/>
      </c>
      <c r="AQ53" s="12" t="str">
        <f>IF(XT!$P53&gt;0,AP53,"")</f>
        <v/>
      </c>
      <c r="AR53" s="12" t="str">
        <f>IF(XT!$P53=0,AP53,"")</f>
        <v/>
      </c>
      <c r="AS53">
        <f>SUMPRODUCT((MONTH(CHOOSE({1,2,3,4},XT!U53,XT!Y53,XT!AC53,XT!AG53))=12)*(CHOOSE({1,2,3,4},XT!X53,XT!AB53,XT!AF53,XT!AJ53)))</f>
        <v>0</v>
      </c>
      <c r="AT53" t="str">
        <f>IFERROR(INDEX(CHOOSE({1,2,3,4}, DAY(XT!U53), DAY(XT!Y53), DAY(XT!AC53), DAY(XT!AG53)), MATCH(1, INDEX(--(MONTH(CHOOSE({1,2,3,4}, XT!U53,XT!Y53,XT!AC53,XT!AG53))=12), 0), 0)), "")</f>
        <v/>
      </c>
      <c r="AU53" s="12" t="str">
        <f>IF(XT!$P53&gt;0,AT53,"")</f>
        <v/>
      </c>
      <c r="AV53" s="12" t="str">
        <f>IF(XT!$P53=0,AT53,"")</f>
        <v/>
      </c>
    </row>
    <row r="54" spans="1:48">
      <c r="A54">
        <f>SUMPRODUCT((MONTH(CHOOSE({1,2,3,4},XT!U54,XT!Y54,XT!AC54,XT!AG54))=1)*(CHOOSE({1,2,3,4},XT!X54,XT!AB54,XT!AF54,XT!AJ54)))</f>
        <v>0</v>
      </c>
      <c r="B54">
        <f>IFERROR(INDEX(CHOOSE({1,2,3,4}, DAY(XT!U54), DAY(XT!Y54), DAY(XT!AC54), DAY(XT!AG54)), MATCH(1, INDEX(--(MONTH(CHOOSE({1,2,3,4}, XT!U54,XT!Y54,XT!AC54,XT!AG54))=1), 0), 0)), "")</f>
        <v>0</v>
      </c>
      <c r="C54" s="12" t="str">
        <f>IF(XT!$P54&gt;0,B54,"")</f>
        <v/>
      </c>
      <c r="D54" s="12">
        <f>IF(XT!$P54=0,B54,"")</f>
        <v>0</v>
      </c>
      <c r="E54">
        <f>SUMPRODUCT((MONTH(CHOOSE({1,2,3,4},XT!U54,XT!Y54,XT!AC54,XT!AG54))=2)*(CHOOSE({1,2,3,4},XT!X54,XT!AB54,XT!AF54,XT!AJ54)))</f>
        <v>0</v>
      </c>
      <c r="F54" t="str">
        <f>IFERROR(INDEX(CHOOSE({1,2,3,4}, DAY(XT!U54), DAY(XT!Y54), DAY(XT!AC54), DAY(XT!AG54)), MATCH(1, INDEX(--(MONTH(CHOOSE({1,2,3,4}, XT!U54,XT!Y54,XT!AC54,XT!AG54))=2), 0), 0)), "")</f>
        <v/>
      </c>
      <c r="G54" s="12" t="str">
        <f>IF(XT!$P54&gt;0,F54,"")</f>
        <v/>
      </c>
      <c r="H54" s="12" t="str">
        <f>IF(XT!$P54=0,F54,"")</f>
        <v/>
      </c>
      <c r="I54">
        <f>SUMPRODUCT((MONTH(CHOOSE({1,2,3,4},XT!U54,XT!Y54,XT!AC54,XT!AG54))=3)*(CHOOSE({1,2,3,4},XT!X54,XT!AB54,XT!AF54,XT!AJ54)))</f>
        <v>0</v>
      </c>
      <c r="J54" t="str">
        <f>IFERROR(INDEX(CHOOSE({1,2,3,4}, DAY(XT!U54), DAY(XT!Y54), DAY(XT!AC54), DAY(XT!AG54)), MATCH(1, INDEX(--(MONTH(CHOOSE({1,2,3,4}, XT!U54,XT!Y54,XT!AC54,XT!AG54))=3), 0), 0)), "")</f>
        <v/>
      </c>
      <c r="K54" s="12" t="str">
        <f>IF(XT!$P54&gt;0,J54,"")</f>
        <v/>
      </c>
      <c r="L54" s="12" t="str">
        <f>IF(XT!$P54=0,J54,"")</f>
        <v/>
      </c>
      <c r="M54">
        <f>SUMPRODUCT((MONTH(CHOOSE({1,2,3,4},XT!U54,XT!Y54,XT!AC54,XT!AG54))=4)*(CHOOSE({1,2,3,4},XT!X54,XT!AB54,XT!AF54,XT!AJ54)))</f>
        <v>0</v>
      </c>
      <c r="N54" t="str">
        <f>IFERROR(INDEX(CHOOSE({1,2,3,4}, DAY(XT!U54), DAY(XT!Y54), DAY(XT!AC54), DAY(XT!AG54)), MATCH(1, INDEX(--(MONTH(CHOOSE({1,2,3,4}, XT!U54,XT!Y54,XT!AC54,XT!AG54))=4), 0), 0)), "")</f>
        <v/>
      </c>
      <c r="O54" s="12" t="str">
        <f>IF(XT!$P54&gt;0,N54,"")</f>
        <v/>
      </c>
      <c r="P54" s="12" t="str">
        <f>IF(XT!$P54=0,N54,"")</f>
        <v/>
      </c>
      <c r="Q54">
        <f>SUMPRODUCT((MONTH(CHOOSE({1,2,3,4},XT!U54,XT!Y54,XT!AC54,XT!AG54))=5)*(CHOOSE({1,2,3,4},XT!X54,XT!AB54,XT!AF54,XT!AJ54)))</f>
        <v>0</v>
      </c>
      <c r="R54" t="str">
        <f>IFERROR(INDEX(CHOOSE({1,2,3,4}, DAY(XT!U54), DAY(XT!Y54), DAY(XT!AC54), DAY(XT!AG54)), MATCH(1, INDEX(--(MONTH(CHOOSE({1,2,3,4}, XT!U54,XT!Y54,XT!AC54,XT!AG54))=5), 0), 0)), "")</f>
        <v/>
      </c>
      <c r="S54" s="12" t="str">
        <f>IF(XT!$P54&gt;0,R54,"")</f>
        <v/>
      </c>
      <c r="T54" s="12" t="str">
        <f>IF(XT!$P54=0,R54,"")</f>
        <v/>
      </c>
      <c r="U54">
        <f>SUMPRODUCT((MONTH(CHOOSE({1,2,3,4},XT!U54,XT!Y54,XT!AC54,XT!AG54))=6)*(CHOOSE({1,2,3,4},XT!X54,XT!AB54,XT!AF54,XT!AJ54)))</f>
        <v>0</v>
      </c>
      <c r="V54" t="str">
        <f>IFERROR(INDEX(CHOOSE({1,2,3,4}, DAY(XT!U54), DAY(XT!Y54), DAY(XT!AC54), DAY(XT!AG54)), MATCH(1, INDEX(--(MONTH(CHOOSE({1,2,3,4}, XT!U54,XT!Y54,XT!AC54,XT!AG54))=6), 0), 0)), "")</f>
        <v/>
      </c>
      <c r="W54" s="12" t="str">
        <f>IF(XT!$P54&gt;0,V54,"")</f>
        <v/>
      </c>
      <c r="X54" s="12" t="str">
        <f>IF(XT!$P54=0,V54,"")</f>
        <v/>
      </c>
      <c r="Y54">
        <f>SUMPRODUCT((MONTH(CHOOSE({1,2,3,4},XT!U54,XT!Y54,XT!AC54,XT!AG54))=7)*(CHOOSE({1,2,3,4},XT!X54,XT!AB54,XT!AF54,XT!AJ54)))</f>
        <v>0</v>
      </c>
      <c r="Z54" t="str">
        <f>IFERROR(INDEX(CHOOSE({1,2,3,4}, DAY(XT!U54), DAY(XT!Y54), DAY(XT!AC54), DAY(XT!AG54)), MATCH(1, INDEX(--(MONTH(CHOOSE({1,2,3,4}, XT!U54,XT!Y54,XT!AC54,XT!AG54))=7), 0), 0)), "")</f>
        <v/>
      </c>
      <c r="AA54" s="12" t="str">
        <f>IF(XT!$P54&gt;0,Z54,"")</f>
        <v/>
      </c>
      <c r="AB54" s="12" t="str">
        <f>IF(XT!$P54=0,Z54,"")</f>
        <v/>
      </c>
      <c r="AC54">
        <f>SUMPRODUCT((MONTH(CHOOSE({1,2,3,4},XT!U54,XT!Y54,XT!AC54,XT!AG54))=8)*(CHOOSE({1,2,3,4},XT!X54,XT!AB54,XT!AF54,XT!AJ54)))</f>
        <v>0</v>
      </c>
      <c r="AD54" t="str">
        <f>IFERROR(INDEX(CHOOSE({1,2,3,4}, DAY(XT!U54), DAY(XT!Y54), DAY(XT!AC54), DAY(XT!AG54)), MATCH(1, INDEX(--(MONTH(CHOOSE({1,2,3,4}, XT!U54,XT!Y54,XT!AC54,XT!AG54))=8), 0), 0)), "")</f>
        <v/>
      </c>
      <c r="AE54" s="12" t="str">
        <f>IF(XT!$P54&gt;0,AD54,"")</f>
        <v/>
      </c>
      <c r="AF54" s="12" t="str">
        <f>IF(XT!$P54=0,AD54,"")</f>
        <v/>
      </c>
      <c r="AG54">
        <f>SUMPRODUCT((MONTH(CHOOSE({1,2,3,4},XT!U54,XT!Y54,XT!AC54,XT!AG54))=9)*(CHOOSE({1,2,3,4},XT!X54,XT!AB54,XT!AF54,XT!AJ54)))</f>
        <v>0</v>
      </c>
      <c r="AH54" t="str">
        <f>IFERROR(INDEX(CHOOSE({1,2,3,4}, DAY(XT!U54), DAY(XT!Y54), DAY(XT!AC54), DAY(XT!AG54)), MATCH(1, INDEX(--(MONTH(CHOOSE({1,2,3,4}, XT!U54,XT!Y54,XT!AC54,XT!AG54))=9), 0), 0)), "")</f>
        <v/>
      </c>
      <c r="AI54" s="12" t="str">
        <f>IF(XT!$P54&gt;0,AH54,"")</f>
        <v/>
      </c>
      <c r="AJ54" s="12" t="str">
        <f>IF(XT!$P54=0,AH54,"")</f>
        <v/>
      </c>
      <c r="AK54">
        <f>SUMPRODUCT((MONTH(CHOOSE({1,2,3,4},XT!U54,XT!Y54,XT!AC54,XT!AG54))=10)*(CHOOSE({1,2,3,4},XT!X54,XT!AB54,XT!AF54,XT!AJ54)))</f>
        <v>0</v>
      </c>
      <c r="AL54" t="str">
        <f>IFERROR(INDEX(CHOOSE({1,2,3,4}, DAY(XT!U54), DAY(XT!Y54), DAY(XT!AC54), DAY(XT!AG54)), MATCH(1, INDEX(--(MONTH(CHOOSE({1,2,3,4}, XT!U54,XT!Y54,XT!AC54,XT!AG54))=10), 0), 0)), "")</f>
        <v/>
      </c>
      <c r="AM54" s="12" t="str">
        <f>IF(XT!$P54&gt;0,AL54,"")</f>
        <v/>
      </c>
      <c r="AN54" s="12" t="str">
        <f>IF(XT!$P54=0,AL54,"")</f>
        <v/>
      </c>
      <c r="AO54">
        <f>SUMPRODUCT((MONTH(CHOOSE({1,2,3,4},XT!U54,XT!Y54,XT!AC54,XT!AG54))=11)*(CHOOSE({1,2,3,4},XT!X54,XT!AB54,XT!AF54,XT!AJ54)))</f>
        <v>0</v>
      </c>
      <c r="AP54" t="str">
        <f>IFERROR(INDEX(CHOOSE({1,2,3,4}, DAY(XT!U54), DAY(XT!Y54), DAY(XT!AC54), DAY(XT!AG54)), MATCH(1, INDEX(--(MONTH(CHOOSE({1,2,3,4}, XT!U54,XT!Y54,XT!AC54,XT!AG54))=11), 0), 0)), "")</f>
        <v/>
      </c>
      <c r="AQ54" s="12" t="str">
        <f>IF(XT!$P54&gt;0,AP54,"")</f>
        <v/>
      </c>
      <c r="AR54" s="12" t="str">
        <f>IF(XT!$P54=0,AP54,"")</f>
        <v/>
      </c>
      <c r="AS54">
        <f>SUMPRODUCT((MONTH(CHOOSE({1,2,3,4},XT!U54,XT!Y54,XT!AC54,XT!AG54))=12)*(CHOOSE({1,2,3,4},XT!X54,XT!AB54,XT!AF54,XT!AJ54)))</f>
        <v>0</v>
      </c>
      <c r="AT54" t="str">
        <f>IFERROR(INDEX(CHOOSE({1,2,3,4}, DAY(XT!U54), DAY(XT!Y54), DAY(XT!AC54), DAY(XT!AG54)), MATCH(1, INDEX(--(MONTH(CHOOSE({1,2,3,4}, XT!U54,XT!Y54,XT!AC54,XT!AG54))=12), 0), 0)), "")</f>
        <v/>
      </c>
      <c r="AU54" s="12" t="str">
        <f>IF(XT!$P54&gt;0,AT54,"")</f>
        <v/>
      </c>
      <c r="AV54" s="12" t="str">
        <f>IF(XT!$P54=0,AT54,"")</f>
        <v/>
      </c>
    </row>
    <row r="55" spans="1:48">
      <c r="A55">
        <f>SUMPRODUCT((MONTH(CHOOSE({1,2,3,4},XT!U55,XT!Y55,XT!AC55,XT!AG55))=1)*(CHOOSE({1,2,3,4},XT!X55,XT!AB55,XT!AF55,XT!AJ55)))</f>
        <v>0</v>
      </c>
      <c r="B55">
        <f>IFERROR(INDEX(CHOOSE({1,2,3,4}, DAY(XT!U55), DAY(XT!Y55), DAY(XT!AC55), DAY(XT!AG55)), MATCH(1, INDEX(--(MONTH(CHOOSE({1,2,3,4}, XT!U55,XT!Y55,XT!AC55,XT!AG55))=1), 0), 0)), "")</f>
        <v>0</v>
      </c>
      <c r="C55" s="12" t="str">
        <f>IF(XT!$P55&gt;0,B55,"")</f>
        <v/>
      </c>
      <c r="D55" s="12">
        <f>IF(XT!$P55=0,B55,"")</f>
        <v>0</v>
      </c>
      <c r="E55">
        <f>SUMPRODUCT((MONTH(CHOOSE({1,2,3,4},XT!U55,XT!Y55,XT!AC55,XT!AG55))=2)*(CHOOSE({1,2,3,4},XT!X55,XT!AB55,XT!AF55,XT!AJ55)))</f>
        <v>0</v>
      </c>
      <c r="F55" t="str">
        <f>IFERROR(INDEX(CHOOSE({1,2,3,4}, DAY(XT!U55), DAY(XT!Y55), DAY(XT!AC55), DAY(XT!AG55)), MATCH(1, INDEX(--(MONTH(CHOOSE({1,2,3,4}, XT!U55,XT!Y55,XT!AC55,XT!AG55))=2), 0), 0)), "")</f>
        <v/>
      </c>
      <c r="G55" s="12" t="str">
        <f>IF(XT!$P55&gt;0,F55,"")</f>
        <v/>
      </c>
      <c r="H55" s="12" t="str">
        <f>IF(XT!$P55=0,F55,"")</f>
        <v/>
      </c>
      <c r="I55">
        <f>SUMPRODUCT((MONTH(CHOOSE({1,2,3,4},XT!U55,XT!Y55,XT!AC55,XT!AG55))=3)*(CHOOSE({1,2,3,4},XT!X55,XT!AB55,XT!AF55,XT!AJ55)))</f>
        <v>0</v>
      </c>
      <c r="J55" t="str">
        <f>IFERROR(INDEX(CHOOSE({1,2,3,4}, DAY(XT!U55), DAY(XT!Y55), DAY(XT!AC55), DAY(XT!AG55)), MATCH(1, INDEX(--(MONTH(CHOOSE({1,2,3,4}, XT!U55,XT!Y55,XT!AC55,XT!AG55))=3), 0), 0)), "")</f>
        <v/>
      </c>
      <c r="K55" s="12" t="str">
        <f>IF(XT!$P55&gt;0,J55,"")</f>
        <v/>
      </c>
      <c r="L55" s="12" t="str">
        <f>IF(XT!$P55=0,J55,"")</f>
        <v/>
      </c>
      <c r="M55">
        <f>SUMPRODUCT((MONTH(CHOOSE({1,2,3,4},XT!U55,XT!Y55,XT!AC55,XT!AG55))=4)*(CHOOSE({1,2,3,4},XT!X55,XT!AB55,XT!AF55,XT!AJ55)))</f>
        <v>0</v>
      </c>
      <c r="N55" t="str">
        <f>IFERROR(INDEX(CHOOSE({1,2,3,4}, DAY(XT!U55), DAY(XT!Y55), DAY(XT!AC55), DAY(XT!AG55)), MATCH(1, INDEX(--(MONTH(CHOOSE({1,2,3,4}, XT!U55,XT!Y55,XT!AC55,XT!AG55))=4), 0), 0)), "")</f>
        <v/>
      </c>
      <c r="O55" s="12" t="str">
        <f>IF(XT!$P55&gt;0,N55,"")</f>
        <v/>
      </c>
      <c r="P55" s="12" t="str">
        <f>IF(XT!$P55=0,N55,"")</f>
        <v/>
      </c>
      <c r="Q55">
        <f>SUMPRODUCT((MONTH(CHOOSE({1,2,3,4},XT!U55,XT!Y55,XT!AC55,XT!AG55))=5)*(CHOOSE({1,2,3,4},XT!X55,XT!AB55,XT!AF55,XT!AJ55)))</f>
        <v>0</v>
      </c>
      <c r="R55" t="str">
        <f>IFERROR(INDEX(CHOOSE({1,2,3,4}, DAY(XT!U55), DAY(XT!Y55), DAY(XT!AC55), DAY(XT!AG55)), MATCH(1, INDEX(--(MONTH(CHOOSE({1,2,3,4}, XT!U55,XT!Y55,XT!AC55,XT!AG55))=5), 0), 0)), "")</f>
        <v/>
      </c>
      <c r="S55" s="12" t="str">
        <f>IF(XT!$P55&gt;0,R55,"")</f>
        <v/>
      </c>
      <c r="T55" s="12" t="str">
        <f>IF(XT!$P55=0,R55,"")</f>
        <v/>
      </c>
      <c r="U55">
        <f>SUMPRODUCT((MONTH(CHOOSE({1,2,3,4},XT!U55,XT!Y55,XT!AC55,XT!AG55))=6)*(CHOOSE({1,2,3,4},XT!X55,XT!AB55,XT!AF55,XT!AJ55)))</f>
        <v>0</v>
      </c>
      <c r="V55" t="str">
        <f>IFERROR(INDEX(CHOOSE({1,2,3,4}, DAY(XT!U55), DAY(XT!Y55), DAY(XT!AC55), DAY(XT!AG55)), MATCH(1, INDEX(--(MONTH(CHOOSE({1,2,3,4}, XT!U55,XT!Y55,XT!AC55,XT!AG55))=6), 0), 0)), "")</f>
        <v/>
      </c>
      <c r="W55" s="12" t="str">
        <f>IF(XT!$P55&gt;0,V55,"")</f>
        <v/>
      </c>
      <c r="X55" s="12" t="str">
        <f>IF(XT!$P55=0,V55,"")</f>
        <v/>
      </c>
      <c r="Y55">
        <f>SUMPRODUCT((MONTH(CHOOSE({1,2,3,4},XT!U55,XT!Y55,XT!AC55,XT!AG55))=7)*(CHOOSE({1,2,3,4},XT!X55,XT!AB55,XT!AF55,XT!AJ55)))</f>
        <v>0</v>
      </c>
      <c r="Z55" t="str">
        <f>IFERROR(INDEX(CHOOSE({1,2,3,4}, DAY(XT!U55), DAY(XT!Y55), DAY(XT!AC55), DAY(XT!AG55)), MATCH(1, INDEX(--(MONTH(CHOOSE({1,2,3,4}, XT!U55,XT!Y55,XT!AC55,XT!AG55))=7), 0), 0)), "")</f>
        <v/>
      </c>
      <c r="AA55" s="12" t="str">
        <f>IF(XT!$P55&gt;0,Z55,"")</f>
        <v/>
      </c>
      <c r="AB55" s="12" t="str">
        <f>IF(XT!$P55=0,Z55,"")</f>
        <v/>
      </c>
      <c r="AC55">
        <f>SUMPRODUCT((MONTH(CHOOSE({1,2,3,4},XT!U55,XT!Y55,XT!AC55,XT!AG55))=8)*(CHOOSE({1,2,3,4},XT!X55,XT!AB55,XT!AF55,XT!AJ55)))</f>
        <v>0</v>
      </c>
      <c r="AD55" t="str">
        <f>IFERROR(INDEX(CHOOSE({1,2,3,4}, DAY(XT!U55), DAY(XT!Y55), DAY(XT!AC55), DAY(XT!AG55)), MATCH(1, INDEX(--(MONTH(CHOOSE({1,2,3,4}, XT!U55,XT!Y55,XT!AC55,XT!AG55))=8), 0), 0)), "")</f>
        <v/>
      </c>
      <c r="AE55" s="12" t="str">
        <f>IF(XT!$P55&gt;0,AD55,"")</f>
        <v/>
      </c>
      <c r="AF55" s="12" t="str">
        <f>IF(XT!$P55=0,AD55,"")</f>
        <v/>
      </c>
      <c r="AG55">
        <f>SUMPRODUCT((MONTH(CHOOSE({1,2,3,4},XT!U55,XT!Y55,XT!AC55,XT!AG55))=9)*(CHOOSE({1,2,3,4},XT!X55,XT!AB55,XT!AF55,XT!AJ55)))</f>
        <v>0</v>
      </c>
      <c r="AH55" t="str">
        <f>IFERROR(INDEX(CHOOSE({1,2,3,4}, DAY(XT!U55), DAY(XT!Y55), DAY(XT!AC55), DAY(XT!AG55)), MATCH(1, INDEX(--(MONTH(CHOOSE({1,2,3,4}, XT!U55,XT!Y55,XT!AC55,XT!AG55))=9), 0), 0)), "")</f>
        <v/>
      </c>
      <c r="AI55" s="12" t="str">
        <f>IF(XT!$P55&gt;0,AH55,"")</f>
        <v/>
      </c>
      <c r="AJ55" s="12" t="str">
        <f>IF(XT!$P55=0,AH55,"")</f>
        <v/>
      </c>
      <c r="AK55">
        <f>SUMPRODUCT((MONTH(CHOOSE({1,2,3,4},XT!U55,XT!Y55,XT!AC55,XT!AG55))=10)*(CHOOSE({1,2,3,4},XT!X55,XT!AB55,XT!AF55,XT!AJ55)))</f>
        <v>0</v>
      </c>
      <c r="AL55" t="str">
        <f>IFERROR(INDEX(CHOOSE({1,2,3,4}, DAY(XT!U55), DAY(XT!Y55), DAY(XT!AC55), DAY(XT!AG55)), MATCH(1, INDEX(--(MONTH(CHOOSE({1,2,3,4}, XT!U55,XT!Y55,XT!AC55,XT!AG55))=10), 0), 0)), "")</f>
        <v/>
      </c>
      <c r="AM55" s="12" t="str">
        <f>IF(XT!$P55&gt;0,AL55,"")</f>
        <v/>
      </c>
      <c r="AN55" s="12" t="str">
        <f>IF(XT!$P55=0,AL55,"")</f>
        <v/>
      </c>
      <c r="AO55">
        <f>SUMPRODUCT((MONTH(CHOOSE({1,2,3,4},XT!U55,XT!Y55,XT!AC55,XT!AG55))=11)*(CHOOSE({1,2,3,4},XT!X55,XT!AB55,XT!AF55,XT!AJ55)))</f>
        <v>0</v>
      </c>
      <c r="AP55" t="str">
        <f>IFERROR(INDEX(CHOOSE({1,2,3,4}, DAY(XT!U55), DAY(XT!Y55), DAY(XT!AC55), DAY(XT!AG55)), MATCH(1, INDEX(--(MONTH(CHOOSE({1,2,3,4}, XT!U55,XT!Y55,XT!AC55,XT!AG55))=11), 0), 0)), "")</f>
        <v/>
      </c>
      <c r="AQ55" s="12" t="str">
        <f>IF(XT!$P55&gt;0,AP55,"")</f>
        <v/>
      </c>
      <c r="AR55" s="12" t="str">
        <f>IF(XT!$P55=0,AP55,"")</f>
        <v/>
      </c>
      <c r="AS55">
        <f>SUMPRODUCT((MONTH(CHOOSE({1,2,3,4},XT!U55,XT!Y55,XT!AC55,XT!AG55))=12)*(CHOOSE({1,2,3,4},XT!X55,XT!AB55,XT!AF55,XT!AJ55)))</f>
        <v>0</v>
      </c>
      <c r="AT55" t="str">
        <f>IFERROR(INDEX(CHOOSE({1,2,3,4}, DAY(XT!U55), DAY(XT!Y55), DAY(XT!AC55), DAY(XT!AG55)), MATCH(1, INDEX(--(MONTH(CHOOSE({1,2,3,4}, XT!U55,XT!Y55,XT!AC55,XT!AG55))=12), 0), 0)), "")</f>
        <v/>
      </c>
      <c r="AU55" s="12" t="str">
        <f>IF(XT!$P55&gt;0,AT55,"")</f>
        <v/>
      </c>
      <c r="AV55" s="12" t="str">
        <f>IF(XT!$P55=0,AT55,"")</f>
        <v/>
      </c>
    </row>
    <row r="56" spans="1:48">
      <c r="A56">
        <f>SUMPRODUCT((MONTH(CHOOSE({1,2,3,4},XT!U56,XT!Y56,XT!AC56,XT!AG56))=1)*(CHOOSE({1,2,3,4},XT!X56,XT!AB56,XT!AF56,XT!AJ56)))</f>
        <v>0</v>
      </c>
      <c r="B56">
        <f>IFERROR(INDEX(CHOOSE({1,2,3,4}, DAY(XT!U56), DAY(XT!Y56), DAY(XT!AC56), DAY(XT!AG56)), MATCH(1, INDEX(--(MONTH(CHOOSE({1,2,3,4}, XT!U56,XT!Y56,XT!AC56,XT!AG56))=1), 0), 0)), "")</f>
        <v>0</v>
      </c>
      <c r="C56" s="12" t="str">
        <f>IF(XT!$P56&gt;0,B56,"")</f>
        <v/>
      </c>
      <c r="D56" s="12">
        <f>IF(XT!$P56=0,B56,"")</f>
        <v>0</v>
      </c>
      <c r="E56">
        <f>SUMPRODUCT((MONTH(CHOOSE({1,2,3,4},XT!U56,XT!Y56,XT!AC56,XT!AG56))=2)*(CHOOSE({1,2,3,4},XT!X56,XT!AB56,XT!AF56,XT!AJ56)))</f>
        <v>0</v>
      </c>
      <c r="F56" t="str">
        <f>IFERROR(INDEX(CHOOSE({1,2,3,4}, DAY(XT!U56), DAY(XT!Y56), DAY(XT!AC56), DAY(XT!AG56)), MATCH(1, INDEX(--(MONTH(CHOOSE({1,2,3,4}, XT!U56,XT!Y56,XT!AC56,XT!AG56))=2), 0), 0)), "")</f>
        <v/>
      </c>
      <c r="G56" s="12" t="str">
        <f>IF(XT!$P56&gt;0,F56,"")</f>
        <v/>
      </c>
      <c r="H56" s="12" t="str">
        <f>IF(XT!$P56=0,F56,"")</f>
        <v/>
      </c>
      <c r="I56">
        <f>SUMPRODUCT((MONTH(CHOOSE({1,2,3,4},XT!U56,XT!Y56,XT!AC56,XT!AG56))=3)*(CHOOSE({1,2,3,4},XT!X56,XT!AB56,XT!AF56,XT!AJ56)))</f>
        <v>0</v>
      </c>
      <c r="J56" t="str">
        <f>IFERROR(INDEX(CHOOSE({1,2,3,4}, DAY(XT!U56), DAY(XT!Y56), DAY(XT!AC56), DAY(XT!AG56)), MATCH(1, INDEX(--(MONTH(CHOOSE({1,2,3,4}, XT!U56,XT!Y56,XT!AC56,XT!AG56))=3), 0), 0)), "")</f>
        <v/>
      </c>
      <c r="K56" s="12" t="str">
        <f>IF(XT!$P56&gt;0,J56,"")</f>
        <v/>
      </c>
      <c r="L56" s="12" t="str">
        <f>IF(XT!$P56=0,J56,"")</f>
        <v/>
      </c>
      <c r="M56">
        <f>SUMPRODUCT((MONTH(CHOOSE({1,2,3,4},XT!U56,XT!Y56,XT!AC56,XT!AG56))=4)*(CHOOSE({1,2,3,4},XT!X56,XT!AB56,XT!AF56,XT!AJ56)))</f>
        <v>0</v>
      </c>
      <c r="N56" t="str">
        <f>IFERROR(INDEX(CHOOSE({1,2,3,4}, DAY(XT!U56), DAY(XT!Y56), DAY(XT!AC56), DAY(XT!AG56)), MATCH(1, INDEX(--(MONTH(CHOOSE({1,2,3,4}, XT!U56,XT!Y56,XT!AC56,XT!AG56))=4), 0), 0)), "")</f>
        <v/>
      </c>
      <c r="O56" s="12" t="str">
        <f>IF(XT!$P56&gt;0,N56,"")</f>
        <v/>
      </c>
      <c r="P56" s="12" t="str">
        <f>IF(XT!$P56=0,N56,"")</f>
        <v/>
      </c>
      <c r="Q56">
        <f>SUMPRODUCT((MONTH(CHOOSE({1,2,3,4},XT!U56,XT!Y56,XT!AC56,XT!AG56))=5)*(CHOOSE({1,2,3,4},XT!X56,XT!AB56,XT!AF56,XT!AJ56)))</f>
        <v>0</v>
      </c>
      <c r="R56" t="str">
        <f>IFERROR(INDEX(CHOOSE({1,2,3,4}, DAY(XT!U56), DAY(XT!Y56), DAY(XT!AC56), DAY(XT!AG56)), MATCH(1, INDEX(--(MONTH(CHOOSE({1,2,3,4}, XT!U56,XT!Y56,XT!AC56,XT!AG56))=5), 0), 0)), "")</f>
        <v/>
      </c>
      <c r="S56" s="12" t="str">
        <f>IF(XT!$P56&gt;0,R56,"")</f>
        <v/>
      </c>
      <c r="T56" s="12" t="str">
        <f>IF(XT!$P56=0,R56,"")</f>
        <v/>
      </c>
      <c r="U56">
        <f>SUMPRODUCT((MONTH(CHOOSE({1,2,3,4},XT!U56,XT!Y56,XT!AC56,XT!AG56))=6)*(CHOOSE({1,2,3,4},XT!X56,XT!AB56,XT!AF56,XT!AJ56)))</f>
        <v>0</v>
      </c>
      <c r="V56" t="str">
        <f>IFERROR(INDEX(CHOOSE({1,2,3,4}, DAY(XT!U56), DAY(XT!Y56), DAY(XT!AC56), DAY(XT!AG56)), MATCH(1, INDEX(--(MONTH(CHOOSE({1,2,3,4}, XT!U56,XT!Y56,XT!AC56,XT!AG56))=6), 0), 0)), "")</f>
        <v/>
      </c>
      <c r="W56" s="12" t="str">
        <f>IF(XT!$P56&gt;0,V56,"")</f>
        <v/>
      </c>
      <c r="X56" s="12" t="str">
        <f>IF(XT!$P56=0,V56,"")</f>
        <v/>
      </c>
      <c r="Y56">
        <f>SUMPRODUCT((MONTH(CHOOSE({1,2,3,4},XT!U56,XT!Y56,XT!AC56,XT!AG56))=7)*(CHOOSE({1,2,3,4},XT!X56,XT!AB56,XT!AF56,XT!AJ56)))</f>
        <v>0</v>
      </c>
      <c r="Z56" t="str">
        <f>IFERROR(INDEX(CHOOSE({1,2,3,4}, DAY(XT!U56), DAY(XT!Y56), DAY(XT!AC56), DAY(XT!AG56)), MATCH(1, INDEX(--(MONTH(CHOOSE({1,2,3,4}, XT!U56,XT!Y56,XT!AC56,XT!AG56))=7), 0), 0)), "")</f>
        <v/>
      </c>
      <c r="AA56" s="12" t="str">
        <f>IF(XT!$P56&gt;0,Z56,"")</f>
        <v/>
      </c>
      <c r="AB56" s="12" t="str">
        <f>IF(XT!$P56=0,Z56,"")</f>
        <v/>
      </c>
      <c r="AC56">
        <f>SUMPRODUCT((MONTH(CHOOSE({1,2,3,4},XT!U56,XT!Y56,XT!AC56,XT!AG56))=8)*(CHOOSE({1,2,3,4},XT!X56,XT!AB56,XT!AF56,XT!AJ56)))</f>
        <v>0</v>
      </c>
      <c r="AD56" t="str">
        <f>IFERROR(INDEX(CHOOSE({1,2,3,4}, DAY(XT!U56), DAY(XT!Y56), DAY(XT!AC56), DAY(XT!AG56)), MATCH(1, INDEX(--(MONTH(CHOOSE({1,2,3,4}, XT!U56,XT!Y56,XT!AC56,XT!AG56))=8), 0), 0)), "")</f>
        <v/>
      </c>
      <c r="AE56" s="12" t="str">
        <f>IF(XT!$P56&gt;0,AD56,"")</f>
        <v/>
      </c>
      <c r="AF56" s="12" t="str">
        <f>IF(XT!$P56=0,AD56,"")</f>
        <v/>
      </c>
      <c r="AG56">
        <f>SUMPRODUCT((MONTH(CHOOSE({1,2,3,4},XT!U56,XT!Y56,XT!AC56,XT!AG56))=9)*(CHOOSE({1,2,3,4},XT!X56,XT!AB56,XT!AF56,XT!AJ56)))</f>
        <v>0</v>
      </c>
      <c r="AH56" t="str">
        <f>IFERROR(INDEX(CHOOSE({1,2,3,4}, DAY(XT!U56), DAY(XT!Y56), DAY(XT!AC56), DAY(XT!AG56)), MATCH(1, INDEX(--(MONTH(CHOOSE({1,2,3,4}, XT!U56,XT!Y56,XT!AC56,XT!AG56))=9), 0), 0)), "")</f>
        <v/>
      </c>
      <c r="AI56" s="12" t="str">
        <f>IF(XT!$P56&gt;0,AH56,"")</f>
        <v/>
      </c>
      <c r="AJ56" s="12" t="str">
        <f>IF(XT!$P56=0,AH56,"")</f>
        <v/>
      </c>
      <c r="AK56">
        <f>SUMPRODUCT((MONTH(CHOOSE({1,2,3,4},XT!U56,XT!Y56,XT!AC56,XT!AG56))=10)*(CHOOSE({1,2,3,4},XT!X56,XT!AB56,XT!AF56,XT!AJ56)))</f>
        <v>0</v>
      </c>
      <c r="AL56" t="str">
        <f>IFERROR(INDEX(CHOOSE({1,2,3,4}, DAY(XT!U56), DAY(XT!Y56), DAY(XT!AC56), DAY(XT!AG56)), MATCH(1, INDEX(--(MONTH(CHOOSE({1,2,3,4}, XT!U56,XT!Y56,XT!AC56,XT!AG56))=10), 0), 0)), "")</f>
        <v/>
      </c>
      <c r="AM56" s="12" t="str">
        <f>IF(XT!$P56&gt;0,AL56,"")</f>
        <v/>
      </c>
      <c r="AN56" s="12" t="str">
        <f>IF(XT!$P56=0,AL56,"")</f>
        <v/>
      </c>
      <c r="AO56">
        <f>SUMPRODUCT((MONTH(CHOOSE({1,2,3,4},XT!U56,XT!Y56,XT!AC56,XT!AG56))=11)*(CHOOSE({1,2,3,4},XT!X56,XT!AB56,XT!AF56,XT!AJ56)))</f>
        <v>0</v>
      </c>
      <c r="AP56" t="str">
        <f>IFERROR(INDEX(CHOOSE({1,2,3,4}, DAY(XT!U56), DAY(XT!Y56), DAY(XT!AC56), DAY(XT!AG56)), MATCH(1, INDEX(--(MONTH(CHOOSE({1,2,3,4}, XT!U56,XT!Y56,XT!AC56,XT!AG56))=11), 0), 0)), "")</f>
        <v/>
      </c>
      <c r="AQ56" s="12" t="str">
        <f>IF(XT!$P56&gt;0,AP56,"")</f>
        <v/>
      </c>
      <c r="AR56" s="12" t="str">
        <f>IF(XT!$P56=0,AP56,"")</f>
        <v/>
      </c>
      <c r="AS56">
        <f>SUMPRODUCT((MONTH(CHOOSE({1,2,3,4},XT!U56,XT!Y56,XT!AC56,XT!AG56))=12)*(CHOOSE({1,2,3,4},XT!X56,XT!AB56,XT!AF56,XT!AJ56)))</f>
        <v>0</v>
      </c>
      <c r="AT56" t="str">
        <f>IFERROR(INDEX(CHOOSE({1,2,3,4}, DAY(XT!U56), DAY(XT!Y56), DAY(XT!AC56), DAY(XT!AG56)), MATCH(1, INDEX(--(MONTH(CHOOSE({1,2,3,4}, XT!U56,XT!Y56,XT!AC56,XT!AG56))=12), 0), 0)), "")</f>
        <v/>
      </c>
      <c r="AU56" s="12" t="str">
        <f>IF(XT!$P56&gt;0,AT56,"")</f>
        <v/>
      </c>
      <c r="AV56" s="12" t="str">
        <f>IF(XT!$P56=0,AT56,"")</f>
        <v/>
      </c>
    </row>
    <row r="57" spans="1:48">
      <c r="A57">
        <f>SUMPRODUCT((MONTH(CHOOSE({1,2,3,4},XT!U57,XT!Y57,XT!AC57,XT!AG57))=1)*(CHOOSE({1,2,3,4},XT!X57,XT!AB57,XT!AF57,XT!AJ57)))</f>
        <v>0</v>
      </c>
      <c r="B57">
        <f>IFERROR(INDEX(CHOOSE({1,2,3,4}, DAY(XT!U57), DAY(XT!Y57), DAY(XT!AC57), DAY(XT!AG57)), MATCH(1, INDEX(--(MONTH(CHOOSE({1,2,3,4}, XT!U57,XT!Y57,XT!AC57,XT!AG57))=1), 0), 0)), "")</f>
        <v>0</v>
      </c>
      <c r="C57" s="12" t="str">
        <f>IF(XT!$P57&gt;0,B57,"")</f>
        <v/>
      </c>
      <c r="D57" s="12">
        <f>IF(XT!$P57=0,B57,"")</f>
        <v>0</v>
      </c>
      <c r="E57">
        <f>SUMPRODUCT((MONTH(CHOOSE({1,2,3,4},XT!U57,XT!Y57,XT!AC57,XT!AG57))=2)*(CHOOSE({1,2,3,4},XT!X57,XT!AB57,XT!AF57,XT!AJ57)))</f>
        <v>0</v>
      </c>
      <c r="F57" t="str">
        <f>IFERROR(INDEX(CHOOSE({1,2,3,4}, DAY(XT!U57), DAY(XT!Y57), DAY(XT!AC57), DAY(XT!AG57)), MATCH(1, INDEX(--(MONTH(CHOOSE({1,2,3,4}, XT!U57,XT!Y57,XT!AC57,XT!AG57))=2), 0), 0)), "")</f>
        <v/>
      </c>
      <c r="G57" s="12" t="str">
        <f>IF(XT!$P57&gt;0,F57,"")</f>
        <v/>
      </c>
      <c r="H57" s="12" t="str">
        <f>IF(XT!$P57=0,F57,"")</f>
        <v/>
      </c>
      <c r="I57">
        <f>SUMPRODUCT((MONTH(CHOOSE({1,2,3,4},XT!U57,XT!Y57,XT!AC57,XT!AG57))=3)*(CHOOSE({1,2,3,4},XT!X57,XT!AB57,XT!AF57,XT!AJ57)))</f>
        <v>0</v>
      </c>
      <c r="J57" t="str">
        <f>IFERROR(INDEX(CHOOSE({1,2,3,4}, DAY(XT!U57), DAY(XT!Y57), DAY(XT!AC57), DAY(XT!AG57)), MATCH(1, INDEX(--(MONTH(CHOOSE({1,2,3,4}, XT!U57,XT!Y57,XT!AC57,XT!AG57))=3), 0), 0)), "")</f>
        <v/>
      </c>
      <c r="K57" s="12" t="str">
        <f>IF(XT!$P57&gt;0,J57,"")</f>
        <v/>
      </c>
      <c r="L57" s="12" t="str">
        <f>IF(XT!$P57=0,J57,"")</f>
        <v/>
      </c>
      <c r="M57">
        <f>SUMPRODUCT((MONTH(CHOOSE({1,2,3,4},XT!U57,XT!Y57,XT!AC57,XT!AG57))=4)*(CHOOSE({1,2,3,4},XT!X57,XT!AB57,XT!AF57,XT!AJ57)))</f>
        <v>0</v>
      </c>
      <c r="N57" t="str">
        <f>IFERROR(INDEX(CHOOSE({1,2,3,4}, DAY(XT!U57), DAY(XT!Y57), DAY(XT!AC57), DAY(XT!AG57)), MATCH(1, INDEX(--(MONTH(CHOOSE({1,2,3,4}, XT!U57,XT!Y57,XT!AC57,XT!AG57))=4), 0), 0)), "")</f>
        <v/>
      </c>
      <c r="O57" s="12" t="str">
        <f>IF(XT!$P57&gt;0,N57,"")</f>
        <v/>
      </c>
      <c r="P57" s="12" t="str">
        <f>IF(XT!$P57=0,N57,"")</f>
        <v/>
      </c>
      <c r="Q57">
        <f>SUMPRODUCT((MONTH(CHOOSE({1,2,3,4},XT!U57,XT!Y57,XT!AC57,XT!AG57))=5)*(CHOOSE({1,2,3,4},XT!X57,XT!AB57,XT!AF57,XT!AJ57)))</f>
        <v>0</v>
      </c>
      <c r="R57" t="str">
        <f>IFERROR(INDEX(CHOOSE({1,2,3,4}, DAY(XT!U57), DAY(XT!Y57), DAY(XT!AC57), DAY(XT!AG57)), MATCH(1, INDEX(--(MONTH(CHOOSE({1,2,3,4}, XT!U57,XT!Y57,XT!AC57,XT!AG57))=5), 0), 0)), "")</f>
        <v/>
      </c>
      <c r="S57" s="12" t="str">
        <f>IF(XT!$P57&gt;0,R57,"")</f>
        <v/>
      </c>
      <c r="T57" s="12" t="str">
        <f>IF(XT!$P57=0,R57,"")</f>
        <v/>
      </c>
      <c r="U57">
        <f>SUMPRODUCT((MONTH(CHOOSE({1,2,3,4},XT!U57,XT!Y57,XT!AC57,XT!AG57))=6)*(CHOOSE({1,2,3,4},XT!X57,XT!AB57,XT!AF57,XT!AJ57)))</f>
        <v>0</v>
      </c>
      <c r="V57" t="str">
        <f>IFERROR(INDEX(CHOOSE({1,2,3,4}, DAY(XT!U57), DAY(XT!Y57), DAY(XT!AC57), DAY(XT!AG57)), MATCH(1, INDEX(--(MONTH(CHOOSE({1,2,3,4}, XT!U57,XT!Y57,XT!AC57,XT!AG57))=6), 0), 0)), "")</f>
        <v/>
      </c>
      <c r="W57" s="12" t="str">
        <f>IF(XT!$P57&gt;0,V57,"")</f>
        <v/>
      </c>
      <c r="X57" s="12" t="str">
        <f>IF(XT!$P57=0,V57,"")</f>
        <v/>
      </c>
      <c r="Y57">
        <f>SUMPRODUCT((MONTH(CHOOSE({1,2,3,4},XT!U57,XT!Y57,XT!AC57,XT!AG57))=7)*(CHOOSE({1,2,3,4},XT!X57,XT!AB57,XT!AF57,XT!AJ57)))</f>
        <v>0</v>
      </c>
      <c r="Z57" t="str">
        <f>IFERROR(INDEX(CHOOSE({1,2,3,4}, DAY(XT!U57), DAY(XT!Y57), DAY(XT!AC57), DAY(XT!AG57)), MATCH(1, INDEX(--(MONTH(CHOOSE({1,2,3,4}, XT!U57,XT!Y57,XT!AC57,XT!AG57))=7), 0), 0)), "")</f>
        <v/>
      </c>
      <c r="AA57" s="12" t="str">
        <f>IF(XT!$P57&gt;0,Z57,"")</f>
        <v/>
      </c>
      <c r="AB57" s="12" t="str">
        <f>IF(XT!$P57=0,Z57,"")</f>
        <v/>
      </c>
      <c r="AC57">
        <f>SUMPRODUCT((MONTH(CHOOSE({1,2,3,4},XT!U57,XT!Y57,XT!AC57,XT!AG57))=8)*(CHOOSE({1,2,3,4},XT!X57,XT!AB57,XT!AF57,XT!AJ57)))</f>
        <v>0</v>
      </c>
      <c r="AD57" t="str">
        <f>IFERROR(INDEX(CHOOSE({1,2,3,4}, DAY(XT!U57), DAY(XT!Y57), DAY(XT!AC57), DAY(XT!AG57)), MATCH(1, INDEX(--(MONTH(CHOOSE({1,2,3,4}, XT!U57,XT!Y57,XT!AC57,XT!AG57))=8), 0), 0)), "")</f>
        <v/>
      </c>
      <c r="AE57" s="12" t="str">
        <f>IF(XT!$P57&gt;0,AD57,"")</f>
        <v/>
      </c>
      <c r="AF57" s="12" t="str">
        <f>IF(XT!$P57=0,AD57,"")</f>
        <v/>
      </c>
      <c r="AG57">
        <f>SUMPRODUCT((MONTH(CHOOSE({1,2,3,4},XT!U57,XT!Y57,XT!AC57,XT!AG57))=9)*(CHOOSE({1,2,3,4},XT!X57,XT!AB57,XT!AF57,XT!AJ57)))</f>
        <v>0</v>
      </c>
      <c r="AH57" t="str">
        <f>IFERROR(INDEX(CHOOSE({1,2,3,4}, DAY(XT!U57), DAY(XT!Y57), DAY(XT!AC57), DAY(XT!AG57)), MATCH(1, INDEX(--(MONTH(CHOOSE({1,2,3,4}, XT!U57,XT!Y57,XT!AC57,XT!AG57))=9), 0), 0)), "")</f>
        <v/>
      </c>
      <c r="AI57" s="12" t="str">
        <f>IF(XT!$P57&gt;0,AH57,"")</f>
        <v/>
      </c>
      <c r="AJ57" s="12" t="str">
        <f>IF(XT!$P57=0,AH57,"")</f>
        <v/>
      </c>
      <c r="AK57">
        <f>SUMPRODUCT((MONTH(CHOOSE({1,2,3,4},XT!U57,XT!Y57,XT!AC57,XT!AG57))=10)*(CHOOSE({1,2,3,4},XT!X57,XT!AB57,XT!AF57,XT!AJ57)))</f>
        <v>0</v>
      </c>
      <c r="AL57" t="str">
        <f>IFERROR(INDEX(CHOOSE({1,2,3,4}, DAY(XT!U57), DAY(XT!Y57), DAY(XT!AC57), DAY(XT!AG57)), MATCH(1, INDEX(--(MONTH(CHOOSE({1,2,3,4}, XT!U57,XT!Y57,XT!AC57,XT!AG57))=10), 0), 0)), "")</f>
        <v/>
      </c>
      <c r="AM57" s="12" t="str">
        <f>IF(XT!$P57&gt;0,AL57,"")</f>
        <v/>
      </c>
      <c r="AN57" s="12" t="str">
        <f>IF(XT!$P57=0,AL57,"")</f>
        <v/>
      </c>
      <c r="AO57">
        <f>SUMPRODUCT((MONTH(CHOOSE({1,2,3,4},XT!U57,XT!Y57,XT!AC57,XT!AG57))=11)*(CHOOSE({1,2,3,4},XT!X57,XT!AB57,XT!AF57,XT!AJ57)))</f>
        <v>0</v>
      </c>
      <c r="AP57" t="str">
        <f>IFERROR(INDEX(CHOOSE({1,2,3,4}, DAY(XT!U57), DAY(XT!Y57), DAY(XT!AC57), DAY(XT!AG57)), MATCH(1, INDEX(--(MONTH(CHOOSE({1,2,3,4}, XT!U57,XT!Y57,XT!AC57,XT!AG57))=11), 0), 0)), "")</f>
        <v/>
      </c>
      <c r="AQ57" s="12" t="str">
        <f>IF(XT!$P57&gt;0,AP57,"")</f>
        <v/>
      </c>
      <c r="AR57" s="12" t="str">
        <f>IF(XT!$P57=0,AP57,"")</f>
        <v/>
      </c>
      <c r="AS57">
        <f>SUMPRODUCT((MONTH(CHOOSE({1,2,3,4},XT!U57,XT!Y57,XT!AC57,XT!AG57))=12)*(CHOOSE({1,2,3,4},XT!X57,XT!AB57,XT!AF57,XT!AJ57)))</f>
        <v>0</v>
      </c>
      <c r="AT57" t="str">
        <f>IFERROR(INDEX(CHOOSE({1,2,3,4}, DAY(XT!U57), DAY(XT!Y57), DAY(XT!AC57), DAY(XT!AG57)), MATCH(1, INDEX(--(MONTH(CHOOSE({1,2,3,4}, XT!U57,XT!Y57,XT!AC57,XT!AG57))=12), 0), 0)), "")</f>
        <v/>
      </c>
      <c r="AU57" s="12" t="str">
        <f>IF(XT!$P57&gt;0,AT57,"")</f>
        <v/>
      </c>
      <c r="AV57" s="12" t="str">
        <f>IF(XT!$P57=0,AT57,"")</f>
        <v/>
      </c>
    </row>
    <row r="58" spans="1:48">
      <c r="A58">
        <f>SUMPRODUCT((MONTH(CHOOSE({1,2,3,4},XT!U58,XT!Y58,XT!AC58,XT!AG58))=1)*(CHOOSE({1,2,3,4},XT!X58,XT!AB58,XT!AF58,XT!AJ58)))</f>
        <v>0</v>
      </c>
      <c r="B58">
        <f>IFERROR(INDEX(CHOOSE({1,2,3,4}, DAY(XT!U58), DAY(XT!Y58), DAY(XT!AC58), DAY(XT!AG58)), MATCH(1, INDEX(--(MONTH(CHOOSE({1,2,3,4}, XT!U58,XT!Y58,XT!AC58,XT!AG58))=1), 0), 0)), "")</f>
        <v>0</v>
      </c>
      <c r="C58" s="12" t="str">
        <f>IF(XT!$P58&gt;0,B58,"")</f>
        <v/>
      </c>
      <c r="D58" s="12">
        <f>IF(XT!$P58=0,B58,"")</f>
        <v>0</v>
      </c>
      <c r="E58">
        <f>SUMPRODUCT((MONTH(CHOOSE({1,2,3,4},XT!U58,XT!Y58,XT!AC58,XT!AG58))=2)*(CHOOSE({1,2,3,4},XT!X58,XT!AB58,XT!AF58,XT!AJ58)))</f>
        <v>0</v>
      </c>
      <c r="F58" t="str">
        <f>IFERROR(INDEX(CHOOSE({1,2,3,4}, DAY(XT!U58), DAY(XT!Y58), DAY(XT!AC58), DAY(XT!AG58)), MATCH(1, INDEX(--(MONTH(CHOOSE({1,2,3,4}, XT!U58,XT!Y58,XT!AC58,XT!AG58))=2), 0), 0)), "")</f>
        <v/>
      </c>
      <c r="G58" s="12" t="str">
        <f>IF(XT!$P58&gt;0,F58,"")</f>
        <v/>
      </c>
      <c r="H58" s="12" t="str">
        <f>IF(XT!$P58=0,F58,"")</f>
        <v/>
      </c>
      <c r="I58">
        <f>SUMPRODUCT((MONTH(CHOOSE({1,2,3,4},XT!U58,XT!Y58,XT!AC58,XT!AG58))=3)*(CHOOSE({1,2,3,4},XT!X58,XT!AB58,XT!AF58,XT!AJ58)))</f>
        <v>0</v>
      </c>
      <c r="J58" t="str">
        <f>IFERROR(INDEX(CHOOSE({1,2,3,4}, DAY(XT!U58), DAY(XT!Y58), DAY(XT!AC58), DAY(XT!AG58)), MATCH(1, INDEX(--(MONTH(CHOOSE({1,2,3,4}, XT!U58,XT!Y58,XT!AC58,XT!AG58))=3), 0), 0)), "")</f>
        <v/>
      </c>
      <c r="K58" s="12" t="str">
        <f>IF(XT!$P58&gt;0,J58,"")</f>
        <v/>
      </c>
      <c r="L58" s="12" t="str">
        <f>IF(XT!$P58=0,J58,"")</f>
        <v/>
      </c>
      <c r="M58">
        <f>SUMPRODUCT((MONTH(CHOOSE({1,2,3,4},XT!U58,XT!Y58,XT!AC58,XT!AG58))=4)*(CHOOSE({1,2,3,4},XT!X58,XT!AB58,XT!AF58,XT!AJ58)))</f>
        <v>0</v>
      </c>
      <c r="N58" t="str">
        <f>IFERROR(INDEX(CHOOSE({1,2,3,4}, DAY(XT!U58), DAY(XT!Y58), DAY(XT!AC58), DAY(XT!AG58)), MATCH(1, INDEX(--(MONTH(CHOOSE({1,2,3,4}, XT!U58,XT!Y58,XT!AC58,XT!AG58))=4), 0), 0)), "")</f>
        <v/>
      </c>
      <c r="O58" s="12" t="str">
        <f>IF(XT!$P58&gt;0,N58,"")</f>
        <v/>
      </c>
      <c r="P58" s="12" t="str">
        <f>IF(XT!$P58=0,N58,"")</f>
        <v/>
      </c>
      <c r="Q58">
        <f>SUMPRODUCT((MONTH(CHOOSE({1,2,3,4},XT!U58,XT!Y58,XT!AC58,XT!AG58))=5)*(CHOOSE({1,2,3,4},XT!X58,XT!AB58,XT!AF58,XT!AJ58)))</f>
        <v>0</v>
      </c>
      <c r="R58" t="str">
        <f>IFERROR(INDEX(CHOOSE({1,2,3,4}, DAY(XT!U58), DAY(XT!Y58), DAY(XT!AC58), DAY(XT!AG58)), MATCH(1, INDEX(--(MONTH(CHOOSE({1,2,3,4}, XT!U58,XT!Y58,XT!AC58,XT!AG58))=5), 0), 0)), "")</f>
        <v/>
      </c>
      <c r="S58" s="12" t="str">
        <f>IF(XT!$P58&gt;0,R58,"")</f>
        <v/>
      </c>
      <c r="T58" s="12" t="str">
        <f>IF(XT!$P58=0,R58,"")</f>
        <v/>
      </c>
      <c r="U58">
        <f>SUMPRODUCT((MONTH(CHOOSE({1,2,3,4},XT!U58,XT!Y58,XT!AC58,XT!AG58))=6)*(CHOOSE({1,2,3,4},XT!X58,XT!AB58,XT!AF58,XT!AJ58)))</f>
        <v>0</v>
      </c>
      <c r="V58" t="str">
        <f>IFERROR(INDEX(CHOOSE({1,2,3,4}, DAY(XT!U58), DAY(XT!Y58), DAY(XT!AC58), DAY(XT!AG58)), MATCH(1, INDEX(--(MONTH(CHOOSE({1,2,3,4}, XT!U58,XT!Y58,XT!AC58,XT!AG58))=6), 0), 0)), "")</f>
        <v/>
      </c>
      <c r="W58" s="12" t="str">
        <f>IF(XT!$P58&gt;0,V58,"")</f>
        <v/>
      </c>
      <c r="X58" s="12" t="str">
        <f>IF(XT!$P58=0,V58,"")</f>
        <v/>
      </c>
      <c r="Y58">
        <f>SUMPRODUCT((MONTH(CHOOSE({1,2,3,4},XT!U58,XT!Y58,XT!AC58,XT!AG58))=7)*(CHOOSE({1,2,3,4},XT!X58,XT!AB58,XT!AF58,XT!AJ58)))</f>
        <v>0</v>
      </c>
      <c r="Z58" t="str">
        <f>IFERROR(INDEX(CHOOSE({1,2,3,4}, DAY(XT!U58), DAY(XT!Y58), DAY(XT!AC58), DAY(XT!AG58)), MATCH(1, INDEX(--(MONTH(CHOOSE({1,2,3,4}, XT!U58,XT!Y58,XT!AC58,XT!AG58))=7), 0), 0)), "")</f>
        <v/>
      </c>
      <c r="AA58" s="12" t="str">
        <f>IF(XT!$P58&gt;0,Z58,"")</f>
        <v/>
      </c>
      <c r="AB58" s="12" t="str">
        <f>IF(XT!$P58=0,Z58,"")</f>
        <v/>
      </c>
      <c r="AC58">
        <f>SUMPRODUCT((MONTH(CHOOSE({1,2,3,4},XT!U58,XT!Y58,XT!AC58,XT!AG58))=8)*(CHOOSE({1,2,3,4},XT!X58,XT!AB58,XT!AF58,XT!AJ58)))</f>
        <v>0</v>
      </c>
      <c r="AD58" t="str">
        <f>IFERROR(INDEX(CHOOSE({1,2,3,4}, DAY(XT!U58), DAY(XT!Y58), DAY(XT!AC58), DAY(XT!AG58)), MATCH(1, INDEX(--(MONTH(CHOOSE({1,2,3,4}, XT!U58,XT!Y58,XT!AC58,XT!AG58))=8), 0), 0)), "")</f>
        <v/>
      </c>
      <c r="AE58" s="12" t="str">
        <f>IF(XT!$P58&gt;0,AD58,"")</f>
        <v/>
      </c>
      <c r="AF58" s="12" t="str">
        <f>IF(XT!$P58=0,AD58,"")</f>
        <v/>
      </c>
      <c r="AG58">
        <f>SUMPRODUCT((MONTH(CHOOSE({1,2,3,4},XT!U58,XT!Y58,XT!AC58,XT!AG58))=9)*(CHOOSE({1,2,3,4},XT!X58,XT!AB58,XT!AF58,XT!AJ58)))</f>
        <v>0</v>
      </c>
      <c r="AH58" t="str">
        <f>IFERROR(INDEX(CHOOSE({1,2,3,4}, DAY(XT!U58), DAY(XT!Y58), DAY(XT!AC58), DAY(XT!AG58)), MATCH(1, INDEX(--(MONTH(CHOOSE({1,2,3,4}, XT!U58,XT!Y58,XT!AC58,XT!AG58))=9), 0), 0)), "")</f>
        <v/>
      </c>
      <c r="AI58" s="12" t="str">
        <f>IF(XT!$P58&gt;0,AH58,"")</f>
        <v/>
      </c>
      <c r="AJ58" s="12" t="str">
        <f>IF(XT!$P58=0,AH58,"")</f>
        <v/>
      </c>
      <c r="AK58">
        <f>SUMPRODUCT((MONTH(CHOOSE({1,2,3,4},XT!U58,XT!Y58,XT!AC58,XT!AG58))=10)*(CHOOSE({1,2,3,4},XT!X58,XT!AB58,XT!AF58,XT!AJ58)))</f>
        <v>0</v>
      </c>
      <c r="AL58" t="str">
        <f>IFERROR(INDEX(CHOOSE({1,2,3,4}, DAY(XT!U58), DAY(XT!Y58), DAY(XT!AC58), DAY(XT!AG58)), MATCH(1, INDEX(--(MONTH(CHOOSE({1,2,3,4}, XT!U58,XT!Y58,XT!AC58,XT!AG58))=10), 0), 0)), "")</f>
        <v/>
      </c>
      <c r="AM58" s="12" t="str">
        <f>IF(XT!$P58&gt;0,AL58,"")</f>
        <v/>
      </c>
      <c r="AN58" s="12" t="str">
        <f>IF(XT!$P58=0,AL58,"")</f>
        <v/>
      </c>
      <c r="AO58">
        <f>SUMPRODUCT((MONTH(CHOOSE({1,2,3,4},XT!U58,XT!Y58,XT!AC58,XT!AG58))=11)*(CHOOSE({1,2,3,4},XT!X58,XT!AB58,XT!AF58,XT!AJ58)))</f>
        <v>0</v>
      </c>
      <c r="AP58" t="str">
        <f>IFERROR(INDEX(CHOOSE({1,2,3,4}, DAY(XT!U58), DAY(XT!Y58), DAY(XT!AC58), DAY(XT!AG58)), MATCH(1, INDEX(--(MONTH(CHOOSE({1,2,3,4}, XT!U58,XT!Y58,XT!AC58,XT!AG58))=11), 0), 0)), "")</f>
        <v/>
      </c>
      <c r="AQ58" s="12" t="str">
        <f>IF(XT!$P58&gt;0,AP58,"")</f>
        <v/>
      </c>
      <c r="AR58" s="12" t="str">
        <f>IF(XT!$P58=0,AP58,"")</f>
        <v/>
      </c>
      <c r="AS58">
        <f>SUMPRODUCT((MONTH(CHOOSE({1,2,3,4},XT!U58,XT!Y58,XT!AC58,XT!AG58))=12)*(CHOOSE({1,2,3,4},XT!X58,XT!AB58,XT!AF58,XT!AJ58)))</f>
        <v>0</v>
      </c>
      <c r="AT58" t="str">
        <f>IFERROR(INDEX(CHOOSE({1,2,3,4}, DAY(XT!U58), DAY(XT!Y58), DAY(XT!AC58), DAY(XT!AG58)), MATCH(1, INDEX(--(MONTH(CHOOSE({1,2,3,4}, XT!U58,XT!Y58,XT!AC58,XT!AG58))=12), 0), 0)), "")</f>
        <v/>
      </c>
      <c r="AU58" s="12" t="str">
        <f>IF(XT!$P58&gt;0,AT58,"")</f>
        <v/>
      </c>
      <c r="AV58" s="12" t="str">
        <f>IF(XT!$P58=0,AT58,"")</f>
        <v/>
      </c>
    </row>
    <row r="59" spans="1:48">
      <c r="A59">
        <f>SUMPRODUCT((MONTH(CHOOSE({1,2,3,4},XT!U59,XT!Y59,XT!AC59,XT!AG59))=1)*(CHOOSE({1,2,3,4},XT!X59,XT!AB59,XT!AF59,XT!AJ59)))</f>
        <v>0</v>
      </c>
      <c r="B59">
        <f>IFERROR(INDEX(CHOOSE({1,2,3,4}, DAY(XT!U59), DAY(XT!Y59), DAY(XT!AC59), DAY(XT!AG59)), MATCH(1, INDEX(--(MONTH(CHOOSE({1,2,3,4}, XT!U59,XT!Y59,XT!AC59,XT!AG59))=1), 0), 0)), "")</f>
        <v>0</v>
      </c>
      <c r="C59" s="12" t="str">
        <f>IF(XT!$P59&gt;0,B59,"")</f>
        <v/>
      </c>
      <c r="D59" s="12">
        <f>IF(XT!$P59=0,B59,"")</f>
        <v>0</v>
      </c>
      <c r="E59">
        <f>SUMPRODUCT((MONTH(CHOOSE({1,2,3,4},XT!U59,XT!Y59,XT!AC59,XT!AG59))=2)*(CHOOSE({1,2,3,4},XT!X59,XT!AB59,XT!AF59,XT!AJ59)))</f>
        <v>0</v>
      </c>
      <c r="F59" t="str">
        <f>IFERROR(INDEX(CHOOSE({1,2,3,4}, DAY(XT!U59), DAY(XT!Y59), DAY(XT!AC59), DAY(XT!AG59)), MATCH(1, INDEX(--(MONTH(CHOOSE({1,2,3,4}, XT!U59,XT!Y59,XT!AC59,XT!AG59))=2), 0), 0)), "")</f>
        <v/>
      </c>
      <c r="G59" s="12" t="str">
        <f>IF(XT!$P59&gt;0,F59,"")</f>
        <v/>
      </c>
      <c r="H59" s="12" t="str">
        <f>IF(XT!$P59=0,F59,"")</f>
        <v/>
      </c>
      <c r="I59">
        <f>SUMPRODUCT((MONTH(CHOOSE({1,2,3,4},XT!U59,XT!Y59,XT!AC59,XT!AG59))=3)*(CHOOSE({1,2,3,4},XT!X59,XT!AB59,XT!AF59,XT!AJ59)))</f>
        <v>0</v>
      </c>
      <c r="J59" t="str">
        <f>IFERROR(INDEX(CHOOSE({1,2,3,4}, DAY(XT!U59), DAY(XT!Y59), DAY(XT!AC59), DAY(XT!AG59)), MATCH(1, INDEX(--(MONTH(CHOOSE({1,2,3,4}, XT!U59,XT!Y59,XT!AC59,XT!AG59))=3), 0), 0)), "")</f>
        <v/>
      </c>
      <c r="K59" s="12" t="str">
        <f>IF(XT!$P59&gt;0,J59,"")</f>
        <v/>
      </c>
      <c r="L59" s="12" t="str">
        <f>IF(XT!$P59=0,J59,"")</f>
        <v/>
      </c>
      <c r="M59">
        <f>SUMPRODUCT((MONTH(CHOOSE({1,2,3,4},XT!U59,XT!Y59,XT!AC59,XT!AG59))=4)*(CHOOSE({1,2,3,4},XT!X59,XT!AB59,XT!AF59,XT!AJ59)))</f>
        <v>0</v>
      </c>
      <c r="N59" t="str">
        <f>IFERROR(INDEX(CHOOSE({1,2,3,4}, DAY(XT!U59), DAY(XT!Y59), DAY(XT!AC59), DAY(XT!AG59)), MATCH(1, INDEX(--(MONTH(CHOOSE({1,2,3,4}, XT!U59,XT!Y59,XT!AC59,XT!AG59))=4), 0), 0)), "")</f>
        <v/>
      </c>
      <c r="O59" s="12" t="str">
        <f>IF(XT!$P59&gt;0,N59,"")</f>
        <v/>
      </c>
      <c r="P59" s="12" t="str">
        <f>IF(XT!$P59=0,N59,"")</f>
        <v/>
      </c>
      <c r="Q59">
        <f>SUMPRODUCT((MONTH(CHOOSE({1,2,3,4},XT!U59,XT!Y59,XT!AC59,XT!AG59))=5)*(CHOOSE({1,2,3,4},XT!X59,XT!AB59,XT!AF59,XT!AJ59)))</f>
        <v>0</v>
      </c>
      <c r="R59" t="str">
        <f>IFERROR(INDEX(CHOOSE({1,2,3,4}, DAY(XT!U59), DAY(XT!Y59), DAY(XT!AC59), DAY(XT!AG59)), MATCH(1, INDEX(--(MONTH(CHOOSE({1,2,3,4}, XT!U59,XT!Y59,XT!AC59,XT!AG59))=5), 0), 0)), "")</f>
        <v/>
      </c>
      <c r="S59" s="12" t="str">
        <f>IF(XT!$P59&gt;0,R59,"")</f>
        <v/>
      </c>
      <c r="T59" s="12" t="str">
        <f>IF(XT!$P59=0,R59,"")</f>
        <v/>
      </c>
      <c r="U59">
        <f>SUMPRODUCT((MONTH(CHOOSE({1,2,3,4},XT!U59,XT!Y59,XT!AC59,XT!AG59))=6)*(CHOOSE({1,2,3,4},XT!X59,XT!AB59,XT!AF59,XT!AJ59)))</f>
        <v>0</v>
      </c>
      <c r="V59" t="str">
        <f>IFERROR(INDEX(CHOOSE({1,2,3,4}, DAY(XT!U59), DAY(XT!Y59), DAY(XT!AC59), DAY(XT!AG59)), MATCH(1, INDEX(--(MONTH(CHOOSE({1,2,3,4}, XT!U59,XT!Y59,XT!AC59,XT!AG59))=6), 0), 0)), "")</f>
        <v/>
      </c>
      <c r="W59" s="12" t="str">
        <f>IF(XT!$P59&gt;0,V59,"")</f>
        <v/>
      </c>
      <c r="X59" s="12" t="str">
        <f>IF(XT!$P59=0,V59,"")</f>
        <v/>
      </c>
      <c r="Y59">
        <f>SUMPRODUCT((MONTH(CHOOSE({1,2,3,4},XT!U59,XT!Y59,XT!AC59,XT!AG59))=7)*(CHOOSE({1,2,3,4},XT!X59,XT!AB59,XT!AF59,XT!AJ59)))</f>
        <v>0</v>
      </c>
      <c r="Z59" t="str">
        <f>IFERROR(INDEX(CHOOSE({1,2,3,4}, DAY(XT!U59), DAY(XT!Y59), DAY(XT!AC59), DAY(XT!AG59)), MATCH(1, INDEX(--(MONTH(CHOOSE({1,2,3,4}, XT!U59,XT!Y59,XT!AC59,XT!AG59))=7), 0), 0)), "")</f>
        <v/>
      </c>
      <c r="AA59" s="12" t="str">
        <f>IF(XT!$P59&gt;0,Z59,"")</f>
        <v/>
      </c>
      <c r="AB59" s="12" t="str">
        <f>IF(XT!$P59=0,Z59,"")</f>
        <v/>
      </c>
      <c r="AC59">
        <f>SUMPRODUCT((MONTH(CHOOSE({1,2,3,4},XT!U59,XT!Y59,XT!AC59,XT!AG59))=8)*(CHOOSE({1,2,3,4},XT!X59,XT!AB59,XT!AF59,XT!AJ59)))</f>
        <v>0</v>
      </c>
      <c r="AD59" t="str">
        <f>IFERROR(INDEX(CHOOSE({1,2,3,4}, DAY(XT!U59), DAY(XT!Y59), DAY(XT!AC59), DAY(XT!AG59)), MATCH(1, INDEX(--(MONTH(CHOOSE({1,2,3,4}, XT!U59,XT!Y59,XT!AC59,XT!AG59))=8), 0), 0)), "")</f>
        <v/>
      </c>
      <c r="AE59" s="12" t="str">
        <f>IF(XT!$P59&gt;0,AD59,"")</f>
        <v/>
      </c>
      <c r="AF59" s="12" t="str">
        <f>IF(XT!$P59=0,AD59,"")</f>
        <v/>
      </c>
      <c r="AG59">
        <f>SUMPRODUCT((MONTH(CHOOSE({1,2,3,4},XT!U59,XT!Y59,XT!AC59,XT!AG59))=9)*(CHOOSE({1,2,3,4},XT!X59,XT!AB59,XT!AF59,XT!AJ59)))</f>
        <v>0</v>
      </c>
      <c r="AH59" t="str">
        <f>IFERROR(INDEX(CHOOSE({1,2,3,4}, DAY(XT!U59), DAY(XT!Y59), DAY(XT!AC59), DAY(XT!AG59)), MATCH(1, INDEX(--(MONTH(CHOOSE({1,2,3,4}, XT!U59,XT!Y59,XT!AC59,XT!AG59))=9), 0), 0)), "")</f>
        <v/>
      </c>
      <c r="AI59" s="12" t="str">
        <f>IF(XT!$P59&gt;0,AH59,"")</f>
        <v/>
      </c>
      <c r="AJ59" s="12" t="str">
        <f>IF(XT!$P59=0,AH59,"")</f>
        <v/>
      </c>
      <c r="AK59">
        <f>SUMPRODUCT((MONTH(CHOOSE({1,2,3,4},XT!U59,XT!Y59,XT!AC59,XT!AG59))=10)*(CHOOSE({1,2,3,4},XT!X59,XT!AB59,XT!AF59,XT!AJ59)))</f>
        <v>0</v>
      </c>
      <c r="AL59" t="str">
        <f>IFERROR(INDEX(CHOOSE({1,2,3,4}, DAY(XT!U59), DAY(XT!Y59), DAY(XT!AC59), DAY(XT!AG59)), MATCH(1, INDEX(--(MONTH(CHOOSE({1,2,3,4}, XT!U59,XT!Y59,XT!AC59,XT!AG59))=10), 0), 0)), "")</f>
        <v/>
      </c>
      <c r="AM59" s="12" t="str">
        <f>IF(XT!$P59&gt;0,AL59,"")</f>
        <v/>
      </c>
      <c r="AN59" s="12" t="str">
        <f>IF(XT!$P59=0,AL59,"")</f>
        <v/>
      </c>
      <c r="AO59">
        <f>SUMPRODUCT((MONTH(CHOOSE({1,2,3,4},XT!U59,XT!Y59,XT!AC59,XT!AG59))=11)*(CHOOSE({1,2,3,4},XT!X59,XT!AB59,XT!AF59,XT!AJ59)))</f>
        <v>0</v>
      </c>
      <c r="AP59" t="str">
        <f>IFERROR(INDEX(CHOOSE({1,2,3,4}, DAY(XT!U59), DAY(XT!Y59), DAY(XT!AC59), DAY(XT!AG59)), MATCH(1, INDEX(--(MONTH(CHOOSE({1,2,3,4}, XT!U59,XT!Y59,XT!AC59,XT!AG59))=11), 0), 0)), "")</f>
        <v/>
      </c>
      <c r="AQ59" s="12" t="str">
        <f>IF(XT!$P59&gt;0,AP59,"")</f>
        <v/>
      </c>
      <c r="AR59" s="12" t="str">
        <f>IF(XT!$P59=0,AP59,"")</f>
        <v/>
      </c>
      <c r="AS59">
        <f>SUMPRODUCT((MONTH(CHOOSE({1,2,3,4},XT!U59,XT!Y59,XT!AC59,XT!AG59))=12)*(CHOOSE({1,2,3,4},XT!X59,XT!AB59,XT!AF59,XT!AJ59)))</f>
        <v>0</v>
      </c>
      <c r="AT59" t="str">
        <f>IFERROR(INDEX(CHOOSE({1,2,3,4}, DAY(XT!U59), DAY(XT!Y59), DAY(XT!AC59), DAY(XT!AG59)), MATCH(1, INDEX(--(MONTH(CHOOSE({1,2,3,4}, XT!U59,XT!Y59,XT!AC59,XT!AG59))=12), 0), 0)), "")</f>
        <v/>
      </c>
      <c r="AU59" s="12" t="str">
        <f>IF(XT!$P59&gt;0,AT59,"")</f>
        <v/>
      </c>
      <c r="AV59" s="12" t="str">
        <f>IF(XT!$P59=0,AT59,"")</f>
        <v/>
      </c>
    </row>
    <row r="60" spans="1:48">
      <c r="A60">
        <f>SUMPRODUCT((MONTH(CHOOSE({1,2,3,4},XT!U60,XT!Y60,XT!AC60,XT!AG60))=1)*(CHOOSE({1,2,3,4},XT!X60,XT!AB60,XT!AF60,XT!AJ60)))</f>
        <v>0</v>
      </c>
      <c r="B60">
        <f>IFERROR(INDEX(CHOOSE({1,2,3,4}, DAY(XT!U60), DAY(XT!Y60), DAY(XT!AC60), DAY(XT!AG60)), MATCH(1, INDEX(--(MONTH(CHOOSE({1,2,3,4}, XT!U60,XT!Y60,XT!AC60,XT!AG60))=1), 0), 0)), "")</f>
        <v>0</v>
      </c>
      <c r="C60" s="12" t="str">
        <f>IF(XT!$P60&gt;0,B60,"")</f>
        <v/>
      </c>
      <c r="D60" s="12">
        <f>IF(XT!$P60=0,B60,"")</f>
        <v>0</v>
      </c>
      <c r="E60">
        <f>SUMPRODUCT((MONTH(CHOOSE({1,2,3,4},XT!U60,XT!Y60,XT!AC60,XT!AG60))=2)*(CHOOSE({1,2,3,4},XT!X60,XT!AB60,XT!AF60,XT!AJ60)))</f>
        <v>0</v>
      </c>
      <c r="F60" t="str">
        <f>IFERROR(INDEX(CHOOSE({1,2,3,4}, DAY(XT!U60), DAY(XT!Y60), DAY(XT!AC60), DAY(XT!AG60)), MATCH(1, INDEX(--(MONTH(CHOOSE({1,2,3,4}, XT!U60,XT!Y60,XT!AC60,XT!AG60))=2), 0), 0)), "")</f>
        <v/>
      </c>
      <c r="G60" s="12" t="str">
        <f>IF(XT!$P60&gt;0,F60,"")</f>
        <v/>
      </c>
      <c r="H60" s="12" t="str">
        <f>IF(XT!$P60=0,F60,"")</f>
        <v/>
      </c>
      <c r="I60">
        <f>SUMPRODUCT((MONTH(CHOOSE({1,2,3,4},XT!U60,XT!Y60,XT!AC60,XT!AG60))=3)*(CHOOSE({1,2,3,4},XT!X60,XT!AB60,XT!AF60,XT!AJ60)))</f>
        <v>0</v>
      </c>
      <c r="J60" t="str">
        <f>IFERROR(INDEX(CHOOSE({1,2,3,4}, DAY(XT!U60), DAY(XT!Y60), DAY(XT!AC60), DAY(XT!AG60)), MATCH(1, INDEX(--(MONTH(CHOOSE({1,2,3,4}, XT!U60,XT!Y60,XT!AC60,XT!AG60))=3), 0), 0)), "")</f>
        <v/>
      </c>
      <c r="K60" s="12" t="str">
        <f>IF(XT!$P60&gt;0,J60,"")</f>
        <v/>
      </c>
      <c r="L60" s="12" t="str">
        <f>IF(XT!$P60=0,J60,"")</f>
        <v/>
      </c>
      <c r="M60">
        <f>SUMPRODUCT((MONTH(CHOOSE({1,2,3,4},XT!U60,XT!Y60,XT!AC60,XT!AG60))=4)*(CHOOSE({1,2,3,4},XT!X60,XT!AB60,XT!AF60,XT!AJ60)))</f>
        <v>0</v>
      </c>
      <c r="N60" t="str">
        <f>IFERROR(INDEX(CHOOSE({1,2,3,4}, DAY(XT!U60), DAY(XT!Y60), DAY(XT!AC60), DAY(XT!AG60)), MATCH(1, INDEX(--(MONTH(CHOOSE({1,2,3,4}, XT!U60,XT!Y60,XT!AC60,XT!AG60))=4), 0), 0)), "")</f>
        <v/>
      </c>
      <c r="O60" s="12" t="str">
        <f>IF(XT!$P60&gt;0,N60,"")</f>
        <v/>
      </c>
      <c r="P60" s="12" t="str">
        <f>IF(XT!$P60=0,N60,"")</f>
        <v/>
      </c>
      <c r="Q60">
        <f>SUMPRODUCT((MONTH(CHOOSE({1,2,3,4},XT!U60,XT!Y60,XT!AC60,XT!AG60))=5)*(CHOOSE({1,2,3,4},XT!X60,XT!AB60,XT!AF60,XT!AJ60)))</f>
        <v>0</v>
      </c>
      <c r="R60" t="str">
        <f>IFERROR(INDEX(CHOOSE({1,2,3,4}, DAY(XT!U60), DAY(XT!Y60), DAY(XT!AC60), DAY(XT!AG60)), MATCH(1, INDEX(--(MONTH(CHOOSE({1,2,3,4}, XT!U60,XT!Y60,XT!AC60,XT!AG60))=5), 0), 0)), "")</f>
        <v/>
      </c>
      <c r="S60" s="12" t="str">
        <f>IF(XT!$P60&gt;0,R60,"")</f>
        <v/>
      </c>
      <c r="T60" s="12" t="str">
        <f>IF(XT!$P60=0,R60,"")</f>
        <v/>
      </c>
      <c r="U60">
        <f>SUMPRODUCT((MONTH(CHOOSE({1,2,3,4},XT!U60,XT!Y60,XT!AC60,XT!AG60))=6)*(CHOOSE({1,2,3,4},XT!X60,XT!AB60,XT!AF60,XT!AJ60)))</f>
        <v>0</v>
      </c>
      <c r="V60" t="str">
        <f>IFERROR(INDEX(CHOOSE({1,2,3,4}, DAY(XT!U60), DAY(XT!Y60), DAY(XT!AC60), DAY(XT!AG60)), MATCH(1, INDEX(--(MONTH(CHOOSE({1,2,3,4}, XT!U60,XT!Y60,XT!AC60,XT!AG60))=6), 0), 0)), "")</f>
        <v/>
      </c>
      <c r="W60" s="12" t="str">
        <f>IF(XT!$P60&gt;0,V60,"")</f>
        <v/>
      </c>
      <c r="X60" s="12" t="str">
        <f>IF(XT!$P60=0,V60,"")</f>
        <v/>
      </c>
      <c r="Y60">
        <f>SUMPRODUCT((MONTH(CHOOSE({1,2,3,4},XT!U60,XT!Y60,XT!AC60,XT!AG60))=7)*(CHOOSE({1,2,3,4},XT!X60,XT!AB60,XT!AF60,XT!AJ60)))</f>
        <v>0</v>
      </c>
      <c r="Z60" t="str">
        <f>IFERROR(INDEX(CHOOSE({1,2,3,4}, DAY(XT!U60), DAY(XT!Y60), DAY(XT!AC60), DAY(XT!AG60)), MATCH(1, INDEX(--(MONTH(CHOOSE({1,2,3,4}, XT!U60,XT!Y60,XT!AC60,XT!AG60))=7), 0), 0)), "")</f>
        <v/>
      </c>
      <c r="AA60" s="12" t="str">
        <f>IF(XT!$P60&gt;0,Z60,"")</f>
        <v/>
      </c>
      <c r="AB60" s="12" t="str">
        <f>IF(XT!$P60=0,Z60,"")</f>
        <v/>
      </c>
      <c r="AC60">
        <f>SUMPRODUCT((MONTH(CHOOSE({1,2,3,4},XT!U60,XT!Y60,XT!AC60,XT!AG60))=8)*(CHOOSE({1,2,3,4},XT!X60,XT!AB60,XT!AF60,XT!AJ60)))</f>
        <v>0</v>
      </c>
      <c r="AD60" t="str">
        <f>IFERROR(INDEX(CHOOSE({1,2,3,4}, DAY(XT!U60), DAY(XT!Y60), DAY(XT!AC60), DAY(XT!AG60)), MATCH(1, INDEX(--(MONTH(CHOOSE({1,2,3,4}, XT!U60,XT!Y60,XT!AC60,XT!AG60))=8), 0), 0)), "")</f>
        <v/>
      </c>
      <c r="AE60" s="12" t="str">
        <f>IF(XT!$P60&gt;0,AD60,"")</f>
        <v/>
      </c>
      <c r="AF60" s="12" t="str">
        <f>IF(XT!$P60=0,AD60,"")</f>
        <v/>
      </c>
      <c r="AG60">
        <f>SUMPRODUCT((MONTH(CHOOSE({1,2,3,4},XT!U60,XT!Y60,XT!AC60,XT!AG60))=9)*(CHOOSE({1,2,3,4},XT!X60,XT!AB60,XT!AF60,XT!AJ60)))</f>
        <v>0</v>
      </c>
      <c r="AH60" t="str">
        <f>IFERROR(INDEX(CHOOSE({1,2,3,4}, DAY(XT!U60), DAY(XT!Y60), DAY(XT!AC60), DAY(XT!AG60)), MATCH(1, INDEX(--(MONTH(CHOOSE({1,2,3,4}, XT!U60,XT!Y60,XT!AC60,XT!AG60))=9), 0), 0)), "")</f>
        <v/>
      </c>
      <c r="AI60" s="12" t="str">
        <f>IF(XT!$P60&gt;0,AH60,"")</f>
        <v/>
      </c>
      <c r="AJ60" s="12" t="str">
        <f>IF(XT!$P60=0,AH60,"")</f>
        <v/>
      </c>
      <c r="AK60">
        <f>SUMPRODUCT((MONTH(CHOOSE({1,2,3,4},XT!U60,XT!Y60,XT!AC60,XT!AG60))=10)*(CHOOSE({1,2,3,4},XT!X60,XT!AB60,XT!AF60,XT!AJ60)))</f>
        <v>0</v>
      </c>
      <c r="AL60" t="str">
        <f>IFERROR(INDEX(CHOOSE({1,2,3,4}, DAY(XT!U60), DAY(XT!Y60), DAY(XT!AC60), DAY(XT!AG60)), MATCH(1, INDEX(--(MONTH(CHOOSE({1,2,3,4}, XT!U60,XT!Y60,XT!AC60,XT!AG60))=10), 0), 0)), "")</f>
        <v/>
      </c>
      <c r="AM60" s="12" t="str">
        <f>IF(XT!$P60&gt;0,AL60,"")</f>
        <v/>
      </c>
      <c r="AN60" s="12" t="str">
        <f>IF(XT!$P60=0,AL60,"")</f>
        <v/>
      </c>
      <c r="AO60">
        <f>SUMPRODUCT((MONTH(CHOOSE({1,2,3,4},XT!U60,XT!Y60,XT!AC60,XT!AG60))=11)*(CHOOSE({1,2,3,4},XT!X60,XT!AB60,XT!AF60,XT!AJ60)))</f>
        <v>0</v>
      </c>
      <c r="AP60" t="str">
        <f>IFERROR(INDEX(CHOOSE({1,2,3,4}, DAY(XT!U60), DAY(XT!Y60), DAY(XT!AC60), DAY(XT!AG60)), MATCH(1, INDEX(--(MONTH(CHOOSE({1,2,3,4}, XT!U60,XT!Y60,XT!AC60,XT!AG60))=11), 0), 0)), "")</f>
        <v/>
      </c>
      <c r="AQ60" s="12" t="str">
        <f>IF(XT!$P60&gt;0,AP60,"")</f>
        <v/>
      </c>
      <c r="AR60" s="12" t="str">
        <f>IF(XT!$P60=0,AP60,"")</f>
        <v/>
      </c>
      <c r="AS60">
        <f>SUMPRODUCT((MONTH(CHOOSE({1,2,3,4},XT!U60,XT!Y60,XT!AC60,XT!AG60))=12)*(CHOOSE({1,2,3,4},XT!X60,XT!AB60,XT!AF60,XT!AJ60)))</f>
        <v>0</v>
      </c>
      <c r="AT60" t="str">
        <f>IFERROR(INDEX(CHOOSE({1,2,3,4}, DAY(XT!U60), DAY(XT!Y60), DAY(XT!AC60), DAY(XT!AG60)), MATCH(1, INDEX(--(MONTH(CHOOSE({1,2,3,4}, XT!U60,XT!Y60,XT!AC60,XT!AG60))=12), 0), 0)), "")</f>
        <v/>
      </c>
      <c r="AU60" s="12" t="str">
        <f>IF(XT!$P60&gt;0,AT60,"")</f>
        <v/>
      </c>
      <c r="AV60" s="12" t="str">
        <f>IF(XT!$P60=0,AT60,"")</f>
        <v/>
      </c>
    </row>
    <row r="61" spans="1:48">
      <c r="A61">
        <f>SUMPRODUCT((MONTH(CHOOSE({1,2,3,4},XT!U61,XT!Y61,XT!AC61,XT!AG61))=1)*(CHOOSE({1,2,3,4},XT!X61,XT!AB61,XT!AF61,XT!AJ61)))</f>
        <v>0</v>
      </c>
      <c r="B61">
        <f>IFERROR(INDEX(CHOOSE({1,2,3,4}, DAY(XT!U61), DAY(XT!Y61), DAY(XT!AC61), DAY(XT!AG61)), MATCH(1, INDEX(--(MONTH(CHOOSE({1,2,3,4}, XT!U61,XT!Y61,XT!AC61,XT!AG61))=1), 0), 0)), "")</f>
        <v>0</v>
      </c>
      <c r="C61" s="12" t="str">
        <f>IF(XT!$P61&gt;0,B61,"")</f>
        <v/>
      </c>
      <c r="D61" s="12">
        <f>IF(XT!$P61=0,B61,"")</f>
        <v>0</v>
      </c>
      <c r="E61">
        <f>SUMPRODUCT((MONTH(CHOOSE({1,2,3,4},XT!U61,XT!Y61,XT!AC61,XT!AG61))=2)*(CHOOSE({1,2,3,4},XT!X61,XT!AB61,XT!AF61,XT!AJ61)))</f>
        <v>0</v>
      </c>
      <c r="F61" t="str">
        <f>IFERROR(INDEX(CHOOSE({1,2,3,4}, DAY(XT!U61), DAY(XT!Y61), DAY(XT!AC61), DAY(XT!AG61)), MATCH(1, INDEX(--(MONTH(CHOOSE({1,2,3,4}, XT!U61,XT!Y61,XT!AC61,XT!AG61))=2), 0), 0)), "")</f>
        <v/>
      </c>
      <c r="G61" s="12" t="str">
        <f>IF(XT!$P61&gt;0,F61,"")</f>
        <v/>
      </c>
      <c r="H61" s="12" t="str">
        <f>IF(XT!$P61=0,F61,"")</f>
        <v/>
      </c>
      <c r="I61">
        <f>SUMPRODUCT((MONTH(CHOOSE({1,2,3,4},XT!U61,XT!Y61,XT!AC61,XT!AG61))=3)*(CHOOSE({1,2,3,4},XT!X61,XT!AB61,XT!AF61,XT!AJ61)))</f>
        <v>0</v>
      </c>
      <c r="J61" t="str">
        <f>IFERROR(INDEX(CHOOSE({1,2,3,4}, DAY(XT!U61), DAY(XT!Y61), DAY(XT!AC61), DAY(XT!AG61)), MATCH(1, INDEX(--(MONTH(CHOOSE({1,2,3,4}, XT!U61,XT!Y61,XT!AC61,XT!AG61))=3), 0), 0)), "")</f>
        <v/>
      </c>
      <c r="K61" s="12" t="str">
        <f>IF(XT!$P61&gt;0,J61,"")</f>
        <v/>
      </c>
      <c r="L61" s="12" t="str">
        <f>IF(XT!$P61=0,J61,"")</f>
        <v/>
      </c>
      <c r="M61">
        <f>SUMPRODUCT((MONTH(CHOOSE({1,2,3,4},XT!U61,XT!Y61,XT!AC61,XT!AG61))=4)*(CHOOSE({1,2,3,4},XT!X61,XT!AB61,XT!AF61,XT!AJ61)))</f>
        <v>0</v>
      </c>
      <c r="N61" t="str">
        <f>IFERROR(INDEX(CHOOSE({1,2,3,4}, DAY(XT!U61), DAY(XT!Y61), DAY(XT!AC61), DAY(XT!AG61)), MATCH(1, INDEX(--(MONTH(CHOOSE({1,2,3,4}, XT!U61,XT!Y61,XT!AC61,XT!AG61))=4), 0), 0)), "")</f>
        <v/>
      </c>
      <c r="O61" s="12" t="str">
        <f>IF(XT!$P61&gt;0,N61,"")</f>
        <v/>
      </c>
      <c r="P61" s="12" t="str">
        <f>IF(XT!$P61=0,N61,"")</f>
        <v/>
      </c>
      <c r="Q61">
        <f>SUMPRODUCT((MONTH(CHOOSE({1,2,3,4},XT!U61,XT!Y61,XT!AC61,XT!AG61))=5)*(CHOOSE({1,2,3,4},XT!X61,XT!AB61,XT!AF61,XT!AJ61)))</f>
        <v>0</v>
      </c>
      <c r="R61" t="str">
        <f>IFERROR(INDEX(CHOOSE({1,2,3,4}, DAY(XT!U61), DAY(XT!Y61), DAY(XT!AC61), DAY(XT!AG61)), MATCH(1, INDEX(--(MONTH(CHOOSE({1,2,3,4}, XT!U61,XT!Y61,XT!AC61,XT!AG61))=5), 0), 0)), "")</f>
        <v/>
      </c>
      <c r="S61" s="12" t="str">
        <f>IF(XT!$P61&gt;0,R61,"")</f>
        <v/>
      </c>
      <c r="T61" s="12" t="str">
        <f>IF(XT!$P61=0,R61,"")</f>
        <v/>
      </c>
      <c r="U61">
        <f>SUMPRODUCT((MONTH(CHOOSE({1,2,3,4},XT!U61,XT!Y61,XT!AC61,XT!AG61))=6)*(CHOOSE({1,2,3,4},XT!X61,XT!AB61,XT!AF61,XT!AJ61)))</f>
        <v>0</v>
      </c>
      <c r="V61" t="str">
        <f>IFERROR(INDEX(CHOOSE({1,2,3,4}, DAY(XT!U61), DAY(XT!Y61), DAY(XT!AC61), DAY(XT!AG61)), MATCH(1, INDEX(--(MONTH(CHOOSE({1,2,3,4}, XT!U61,XT!Y61,XT!AC61,XT!AG61))=6), 0), 0)), "")</f>
        <v/>
      </c>
      <c r="W61" s="12" t="str">
        <f>IF(XT!$P61&gt;0,V61,"")</f>
        <v/>
      </c>
      <c r="X61" s="12" t="str">
        <f>IF(XT!$P61=0,V61,"")</f>
        <v/>
      </c>
      <c r="Y61">
        <f>SUMPRODUCT((MONTH(CHOOSE({1,2,3,4},XT!U61,XT!Y61,XT!AC61,XT!AG61))=7)*(CHOOSE({1,2,3,4},XT!X61,XT!AB61,XT!AF61,XT!AJ61)))</f>
        <v>0</v>
      </c>
      <c r="Z61" t="str">
        <f>IFERROR(INDEX(CHOOSE({1,2,3,4}, DAY(XT!U61), DAY(XT!Y61), DAY(XT!AC61), DAY(XT!AG61)), MATCH(1, INDEX(--(MONTH(CHOOSE({1,2,3,4}, XT!U61,XT!Y61,XT!AC61,XT!AG61))=7), 0), 0)), "")</f>
        <v/>
      </c>
      <c r="AA61" s="12" t="str">
        <f>IF(XT!$P61&gt;0,Z61,"")</f>
        <v/>
      </c>
      <c r="AB61" s="12" t="str">
        <f>IF(XT!$P61=0,Z61,"")</f>
        <v/>
      </c>
      <c r="AC61">
        <f>SUMPRODUCT((MONTH(CHOOSE({1,2,3,4},XT!U61,XT!Y61,XT!AC61,XT!AG61))=8)*(CHOOSE({1,2,3,4},XT!X61,XT!AB61,XT!AF61,XT!AJ61)))</f>
        <v>0</v>
      </c>
      <c r="AD61" t="str">
        <f>IFERROR(INDEX(CHOOSE({1,2,3,4}, DAY(XT!U61), DAY(XT!Y61), DAY(XT!AC61), DAY(XT!AG61)), MATCH(1, INDEX(--(MONTH(CHOOSE({1,2,3,4}, XT!U61,XT!Y61,XT!AC61,XT!AG61))=8), 0), 0)), "")</f>
        <v/>
      </c>
      <c r="AE61" s="12" t="str">
        <f>IF(XT!$P61&gt;0,AD61,"")</f>
        <v/>
      </c>
      <c r="AF61" s="12" t="str">
        <f>IF(XT!$P61=0,AD61,"")</f>
        <v/>
      </c>
      <c r="AG61">
        <f>SUMPRODUCT((MONTH(CHOOSE({1,2,3,4},XT!U61,XT!Y61,XT!AC61,XT!AG61))=9)*(CHOOSE({1,2,3,4},XT!X61,XT!AB61,XT!AF61,XT!AJ61)))</f>
        <v>0</v>
      </c>
      <c r="AH61" t="str">
        <f>IFERROR(INDEX(CHOOSE({1,2,3,4}, DAY(XT!U61), DAY(XT!Y61), DAY(XT!AC61), DAY(XT!AG61)), MATCH(1, INDEX(--(MONTH(CHOOSE({1,2,3,4}, XT!U61,XT!Y61,XT!AC61,XT!AG61))=9), 0), 0)), "")</f>
        <v/>
      </c>
      <c r="AI61" s="12" t="str">
        <f>IF(XT!$P61&gt;0,AH61,"")</f>
        <v/>
      </c>
      <c r="AJ61" s="12" t="str">
        <f>IF(XT!$P61=0,AH61,"")</f>
        <v/>
      </c>
      <c r="AK61">
        <f>SUMPRODUCT((MONTH(CHOOSE({1,2,3,4},XT!U61,XT!Y61,XT!AC61,XT!AG61))=10)*(CHOOSE({1,2,3,4},XT!X61,XT!AB61,XT!AF61,XT!AJ61)))</f>
        <v>0</v>
      </c>
      <c r="AL61" t="str">
        <f>IFERROR(INDEX(CHOOSE({1,2,3,4}, DAY(XT!U61), DAY(XT!Y61), DAY(XT!AC61), DAY(XT!AG61)), MATCH(1, INDEX(--(MONTH(CHOOSE({1,2,3,4}, XT!U61,XT!Y61,XT!AC61,XT!AG61))=10), 0), 0)), "")</f>
        <v/>
      </c>
      <c r="AM61" s="12" t="str">
        <f>IF(XT!$P61&gt;0,AL61,"")</f>
        <v/>
      </c>
      <c r="AN61" s="12" t="str">
        <f>IF(XT!$P61=0,AL61,"")</f>
        <v/>
      </c>
      <c r="AO61">
        <f>SUMPRODUCT((MONTH(CHOOSE({1,2,3,4},XT!U61,XT!Y61,XT!AC61,XT!AG61))=11)*(CHOOSE({1,2,3,4},XT!X61,XT!AB61,XT!AF61,XT!AJ61)))</f>
        <v>0</v>
      </c>
      <c r="AP61" t="str">
        <f>IFERROR(INDEX(CHOOSE({1,2,3,4}, DAY(XT!U61), DAY(XT!Y61), DAY(XT!AC61), DAY(XT!AG61)), MATCH(1, INDEX(--(MONTH(CHOOSE({1,2,3,4}, XT!U61,XT!Y61,XT!AC61,XT!AG61))=11), 0), 0)), "")</f>
        <v/>
      </c>
      <c r="AQ61" s="12" t="str">
        <f>IF(XT!$P61&gt;0,AP61,"")</f>
        <v/>
      </c>
      <c r="AR61" s="12" t="str">
        <f>IF(XT!$P61=0,AP61,"")</f>
        <v/>
      </c>
      <c r="AS61">
        <f>SUMPRODUCT((MONTH(CHOOSE({1,2,3,4},XT!U61,XT!Y61,XT!AC61,XT!AG61))=12)*(CHOOSE({1,2,3,4},XT!X61,XT!AB61,XT!AF61,XT!AJ61)))</f>
        <v>0</v>
      </c>
      <c r="AT61" t="str">
        <f>IFERROR(INDEX(CHOOSE({1,2,3,4}, DAY(XT!U61), DAY(XT!Y61), DAY(XT!AC61), DAY(XT!AG61)), MATCH(1, INDEX(--(MONTH(CHOOSE({1,2,3,4}, XT!U61,XT!Y61,XT!AC61,XT!AG61))=12), 0), 0)), "")</f>
        <v/>
      </c>
      <c r="AU61" s="12" t="str">
        <f>IF(XT!$P61&gt;0,AT61,"")</f>
        <v/>
      </c>
      <c r="AV61" s="12" t="str">
        <f>IF(XT!$P61=0,AT61,"")</f>
        <v/>
      </c>
    </row>
    <row r="62" spans="1:48">
      <c r="A62">
        <f>SUMPRODUCT((MONTH(CHOOSE({1,2,3,4},XT!U62,XT!Y62,XT!AC62,XT!AG62))=1)*(CHOOSE({1,2,3,4},XT!X62,XT!AB62,XT!AF62,XT!AJ62)))</f>
        <v>0</v>
      </c>
      <c r="B62">
        <f>IFERROR(INDEX(CHOOSE({1,2,3,4}, DAY(XT!U62), DAY(XT!Y62), DAY(XT!AC62), DAY(XT!AG62)), MATCH(1, INDEX(--(MONTH(CHOOSE({1,2,3,4}, XT!U62,XT!Y62,XT!AC62,XT!AG62))=1), 0), 0)), "")</f>
        <v>0</v>
      </c>
      <c r="C62" s="12" t="str">
        <f>IF(XT!$P62&gt;0,B62,"")</f>
        <v/>
      </c>
      <c r="D62" s="12">
        <f>IF(XT!$P62=0,B62,"")</f>
        <v>0</v>
      </c>
      <c r="E62">
        <f>SUMPRODUCT((MONTH(CHOOSE({1,2,3,4},XT!U62,XT!Y62,XT!AC62,XT!AG62))=2)*(CHOOSE({1,2,3,4},XT!X62,XT!AB62,XT!AF62,XT!AJ62)))</f>
        <v>0</v>
      </c>
      <c r="F62" t="str">
        <f>IFERROR(INDEX(CHOOSE({1,2,3,4}, DAY(XT!U62), DAY(XT!Y62), DAY(XT!AC62), DAY(XT!AG62)), MATCH(1, INDEX(--(MONTH(CHOOSE({1,2,3,4}, XT!U62,XT!Y62,XT!AC62,XT!AG62))=2), 0), 0)), "")</f>
        <v/>
      </c>
      <c r="G62" s="12" t="str">
        <f>IF(XT!$P62&gt;0,F62,"")</f>
        <v/>
      </c>
      <c r="H62" s="12" t="str">
        <f>IF(XT!$P62=0,F62,"")</f>
        <v/>
      </c>
      <c r="I62">
        <f>SUMPRODUCT((MONTH(CHOOSE({1,2,3,4},XT!U62,XT!Y62,XT!AC62,XT!AG62))=3)*(CHOOSE({1,2,3,4},XT!X62,XT!AB62,XT!AF62,XT!AJ62)))</f>
        <v>0</v>
      </c>
      <c r="J62" t="str">
        <f>IFERROR(INDEX(CHOOSE({1,2,3,4}, DAY(XT!U62), DAY(XT!Y62), DAY(XT!AC62), DAY(XT!AG62)), MATCH(1, INDEX(--(MONTH(CHOOSE({1,2,3,4}, XT!U62,XT!Y62,XT!AC62,XT!AG62))=3), 0), 0)), "")</f>
        <v/>
      </c>
      <c r="K62" s="12" t="str">
        <f>IF(XT!$P62&gt;0,J62,"")</f>
        <v/>
      </c>
      <c r="L62" s="12" t="str">
        <f>IF(XT!$P62=0,J62,"")</f>
        <v/>
      </c>
      <c r="M62">
        <f>SUMPRODUCT((MONTH(CHOOSE({1,2,3,4},XT!U62,XT!Y62,XT!AC62,XT!AG62))=4)*(CHOOSE({1,2,3,4},XT!X62,XT!AB62,XT!AF62,XT!AJ62)))</f>
        <v>0</v>
      </c>
      <c r="N62" t="str">
        <f>IFERROR(INDEX(CHOOSE({1,2,3,4}, DAY(XT!U62), DAY(XT!Y62), DAY(XT!AC62), DAY(XT!AG62)), MATCH(1, INDEX(--(MONTH(CHOOSE({1,2,3,4}, XT!U62,XT!Y62,XT!AC62,XT!AG62))=4), 0), 0)), "")</f>
        <v/>
      </c>
      <c r="O62" s="12" t="str">
        <f>IF(XT!$P62&gt;0,N62,"")</f>
        <v/>
      </c>
      <c r="P62" s="12" t="str">
        <f>IF(XT!$P62=0,N62,"")</f>
        <v/>
      </c>
      <c r="Q62">
        <f>SUMPRODUCT((MONTH(CHOOSE({1,2,3,4},XT!U62,XT!Y62,XT!AC62,XT!AG62))=5)*(CHOOSE({1,2,3,4},XT!X62,XT!AB62,XT!AF62,XT!AJ62)))</f>
        <v>0</v>
      </c>
      <c r="R62" t="str">
        <f>IFERROR(INDEX(CHOOSE({1,2,3,4}, DAY(XT!U62), DAY(XT!Y62), DAY(XT!AC62), DAY(XT!AG62)), MATCH(1, INDEX(--(MONTH(CHOOSE({1,2,3,4}, XT!U62,XT!Y62,XT!AC62,XT!AG62))=5), 0), 0)), "")</f>
        <v/>
      </c>
      <c r="S62" s="12" t="str">
        <f>IF(XT!$P62&gt;0,R62,"")</f>
        <v/>
      </c>
      <c r="T62" s="12" t="str">
        <f>IF(XT!$P62=0,R62,"")</f>
        <v/>
      </c>
      <c r="U62">
        <f>SUMPRODUCT((MONTH(CHOOSE({1,2,3,4},XT!U62,XT!Y62,XT!AC62,XT!AG62))=6)*(CHOOSE({1,2,3,4},XT!X62,XT!AB62,XT!AF62,XT!AJ62)))</f>
        <v>0</v>
      </c>
      <c r="V62" t="str">
        <f>IFERROR(INDEX(CHOOSE({1,2,3,4}, DAY(XT!U62), DAY(XT!Y62), DAY(XT!AC62), DAY(XT!AG62)), MATCH(1, INDEX(--(MONTH(CHOOSE({1,2,3,4}, XT!U62,XT!Y62,XT!AC62,XT!AG62))=6), 0), 0)), "")</f>
        <v/>
      </c>
      <c r="W62" s="12" t="str">
        <f>IF(XT!$P62&gt;0,V62,"")</f>
        <v/>
      </c>
      <c r="X62" s="12" t="str">
        <f>IF(XT!$P62=0,V62,"")</f>
        <v/>
      </c>
      <c r="Y62">
        <f>SUMPRODUCT((MONTH(CHOOSE({1,2,3,4},XT!U62,XT!Y62,XT!AC62,XT!AG62))=7)*(CHOOSE({1,2,3,4},XT!X62,XT!AB62,XT!AF62,XT!AJ62)))</f>
        <v>0</v>
      </c>
      <c r="Z62" t="str">
        <f>IFERROR(INDEX(CHOOSE({1,2,3,4}, DAY(XT!U62), DAY(XT!Y62), DAY(XT!AC62), DAY(XT!AG62)), MATCH(1, INDEX(--(MONTH(CHOOSE({1,2,3,4}, XT!U62,XT!Y62,XT!AC62,XT!AG62))=7), 0), 0)), "")</f>
        <v/>
      </c>
      <c r="AA62" s="12" t="str">
        <f>IF(XT!$P62&gt;0,Z62,"")</f>
        <v/>
      </c>
      <c r="AB62" s="12" t="str">
        <f>IF(XT!$P62=0,Z62,"")</f>
        <v/>
      </c>
      <c r="AC62">
        <f>SUMPRODUCT((MONTH(CHOOSE({1,2,3,4},XT!U62,XT!Y62,XT!AC62,XT!AG62))=8)*(CHOOSE({1,2,3,4},XT!X62,XT!AB62,XT!AF62,XT!AJ62)))</f>
        <v>0</v>
      </c>
      <c r="AD62" t="str">
        <f>IFERROR(INDEX(CHOOSE({1,2,3,4}, DAY(XT!U62), DAY(XT!Y62), DAY(XT!AC62), DAY(XT!AG62)), MATCH(1, INDEX(--(MONTH(CHOOSE({1,2,3,4}, XT!U62,XT!Y62,XT!AC62,XT!AG62))=8), 0), 0)), "")</f>
        <v/>
      </c>
      <c r="AE62" s="12" t="str">
        <f>IF(XT!$P62&gt;0,AD62,"")</f>
        <v/>
      </c>
      <c r="AF62" s="12" t="str">
        <f>IF(XT!$P62=0,AD62,"")</f>
        <v/>
      </c>
      <c r="AG62">
        <f>SUMPRODUCT((MONTH(CHOOSE({1,2,3,4},XT!U62,XT!Y62,XT!AC62,XT!AG62))=9)*(CHOOSE({1,2,3,4},XT!X62,XT!AB62,XT!AF62,XT!AJ62)))</f>
        <v>0</v>
      </c>
      <c r="AH62" t="str">
        <f>IFERROR(INDEX(CHOOSE({1,2,3,4}, DAY(XT!U62), DAY(XT!Y62), DAY(XT!AC62), DAY(XT!AG62)), MATCH(1, INDEX(--(MONTH(CHOOSE({1,2,3,4}, XT!U62,XT!Y62,XT!AC62,XT!AG62))=9), 0), 0)), "")</f>
        <v/>
      </c>
      <c r="AI62" s="12" t="str">
        <f>IF(XT!$P62&gt;0,AH62,"")</f>
        <v/>
      </c>
      <c r="AJ62" s="12" t="str">
        <f>IF(XT!$P62=0,AH62,"")</f>
        <v/>
      </c>
      <c r="AK62">
        <f>SUMPRODUCT((MONTH(CHOOSE({1,2,3,4},XT!U62,XT!Y62,XT!AC62,XT!AG62))=10)*(CHOOSE({1,2,3,4},XT!X62,XT!AB62,XT!AF62,XT!AJ62)))</f>
        <v>0</v>
      </c>
      <c r="AL62" t="str">
        <f>IFERROR(INDEX(CHOOSE({1,2,3,4}, DAY(XT!U62), DAY(XT!Y62), DAY(XT!AC62), DAY(XT!AG62)), MATCH(1, INDEX(--(MONTH(CHOOSE({1,2,3,4}, XT!U62,XT!Y62,XT!AC62,XT!AG62))=10), 0), 0)), "")</f>
        <v/>
      </c>
      <c r="AM62" s="12" t="str">
        <f>IF(XT!$P62&gt;0,AL62,"")</f>
        <v/>
      </c>
      <c r="AN62" s="12" t="str">
        <f>IF(XT!$P62=0,AL62,"")</f>
        <v/>
      </c>
      <c r="AO62">
        <f>SUMPRODUCT((MONTH(CHOOSE({1,2,3,4},XT!U62,XT!Y62,XT!AC62,XT!AG62))=11)*(CHOOSE({1,2,3,4},XT!X62,XT!AB62,XT!AF62,XT!AJ62)))</f>
        <v>0</v>
      </c>
      <c r="AP62" t="str">
        <f>IFERROR(INDEX(CHOOSE({1,2,3,4}, DAY(XT!U62), DAY(XT!Y62), DAY(XT!AC62), DAY(XT!AG62)), MATCH(1, INDEX(--(MONTH(CHOOSE({1,2,3,4}, XT!U62,XT!Y62,XT!AC62,XT!AG62))=11), 0), 0)), "")</f>
        <v/>
      </c>
      <c r="AQ62" s="12" t="str">
        <f>IF(XT!$P62&gt;0,AP62,"")</f>
        <v/>
      </c>
      <c r="AR62" s="12" t="str">
        <f>IF(XT!$P62=0,AP62,"")</f>
        <v/>
      </c>
      <c r="AS62">
        <f>SUMPRODUCT((MONTH(CHOOSE({1,2,3,4},XT!U62,XT!Y62,XT!AC62,XT!AG62))=12)*(CHOOSE({1,2,3,4},XT!X62,XT!AB62,XT!AF62,XT!AJ62)))</f>
        <v>0</v>
      </c>
      <c r="AT62" t="str">
        <f>IFERROR(INDEX(CHOOSE({1,2,3,4}, DAY(XT!U62), DAY(XT!Y62), DAY(XT!AC62), DAY(XT!AG62)), MATCH(1, INDEX(--(MONTH(CHOOSE({1,2,3,4}, XT!U62,XT!Y62,XT!AC62,XT!AG62))=12), 0), 0)), "")</f>
        <v/>
      </c>
      <c r="AU62" s="12" t="str">
        <f>IF(XT!$P62&gt;0,AT62,"")</f>
        <v/>
      </c>
      <c r="AV62" s="12" t="str">
        <f>IF(XT!$P62=0,AT62,"")</f>
        <v/>
      </c>
    </row>
    <row r="63" spans="1:48">
      <c r="A63">
        <f>SUMPRODUCT((MONTH(CHOOSE({1,2,3,4},XT!U63,XT!Y63,XT!AC63,XT!AG63))=1)*(CHOOSE({1,2,3,4},XT!X63,XT!AB63,XT!AF63,XT!AJ63)))</f>
        <v>0</v>
      </c>
      <c r="B63">
        <f>IFERROR(INDEX(CHOOSE({1,2,3,4}, DAY(XT!U63), DAY(XT!Y63), DAY(XT!AC63), DAY(XT!AG63)), MATCH(1, INDEX(--(MONTH(CHOOSE({1,2,3,4}, XT!U63,XT!Y63,XT!AC63,XT!AG63))=1), 0), 0)), "")</f>
        <v>0</v>
      </c>
      <c r="C63" s="12" t="str">
        <f>IF(XT!$P63&gt;0,B63,"")</f>
        <v/>
      </c>
      <c r="D63" s="12">
        <f>IF(XT!$P63=0,B63,"")</f>
        <v>0</v>
      </c>
      <c r="E63">
        <f>SUMPRODUCT((MONTH(CHOOSE({1,2,3,4},XT!U63,XT!Y63,XT!AC63,XT!AG63))=2)*(CHOOSE({1,2,3,4},XT!X63,XT!AB63,XT!AF63,XT!AJ63)))</f>
        <v>0</v>
      </c>
      <c r="F63" t="str">
        <f>IFERROR(INDEX(CHOOSE({1,2,3,4}, DAY(XT!U63), DAY(XT!Y63), DAY(XT!AC63), DAY(XT!AG63)), MATCH(1, INDEX(--(MONTH(CHOOSE({1,2,3,4}, XT!U63,XT!Y63,XT!AC63,XT!AG63))=2), 0), 0)), "")</f>
        <v/>
      </c>
      <c r="G63" s="12" t="str">
        <f>IF(XT!$P63&gt;0,F63,"")</f>
        <v/>
      </c>
      <c r="H63" s="12" t="str">
        <f>IF(XT!$P63=0,F63,"")</f>
        <v/>
      </c>
      <c r="I63">
        <f>SUMPRODUCT((MONTH(CHOOSE({1,2,3,4},XT!U63,XT!Y63,XT!AC63,XT!AG63))=3)*(CHOOSE({1,2,3,4},XT!X63,XT!AB63,XT!AF63,XT!AJ63)))</f>
        <v>0</v>
      </c>
      <c r="J63" t="str">
        <f>IFERROR(INDEX(CHOOSE({1,2,3,4}, DAY(XT!U63), DAY(XT!Y63), DAY(XT!AC63), DAY(XT!AG63)), MATCH(1, INDEX(--(MONTH(CHOOSE({1,2,3,4}, XT!U63,XT!Y63,XT!AC63,XT!AG63))=3), 0), 0)), "")</f>
        <v/>
      </c>
      <c r="K63" s="12" t="str">
        <f>IF(XT!$P63&gt;0,J63,"")</f>
        <v/>
      </c>
      <c r="L63" s="12" t="str">
        <f>IF(XT!$P63=0,J63,"")</f>
        <v/>
      </c>
      <c r="M63">
        <f>SUMPRODUCT((MONTH(CHOOSE({1,2,3,4},XT!U63,XT!Y63,XT!AC63,XT!AG63))=4)*(CHOOSE({1,2,3,4},XT!X63,XT!AB63,XT!AF63,XT!AJ63)))</f>
        <v>0</v>
      </c>
      <c r="N63" t="str">
        <f>IFERROR(INDEX(CHOOSE({1,2,3,4}, DAY(XT!U63), DAY(XT!Y63), DAY(XT!AC63), DAY(XT!AG63)), MATCH(1, INDEX(--(MONTH(CHOOSE({1,2,3,4}, XT!U63,XT!Y63,XT!AC63,XT!AG63))=4), 0), 0)), "")</f>
        <v/>
      </c>
      <c r="O63" s="12" t="str">
        <f>IF(XT!$P63&gt;0,N63,"")</f>
        <v/>
      </c>
      <c r="P63" s="12" t="str">
        <f>IF(XT!$P63=0,N63,"")</f>
        <v/>
      </c>
      <c r="Q63">
        <f>SUMPRODUCT((MONTH(CHOOSE({1,2,3,4},XT!U63,XT!Y63,XT!AC63,XT!AG63))=5)*(CHOOSE({1,2,3,4},XT!X63,XT!AB63,XT!AF63,XT!AJ63)))</f>
        <v>0</v>
      </c>
      <c r="R63" t="str">
        <f>IFERROR(INDEX(CHOOSE({1,2,3,4}, DAY(XT!U63), DAY(XT!Y63), DAY(XT!AC63), DAY(XT!AG63)), MATCH(1, INDEX(--(MONTH(CHOOSE({1,2,3,4}, XT!U63,XT!Y63,XT!AC63,XT!AG63))=5), 0), 0)), "")</f>
        <v/>
      </c>
      <c r="S63" s="12" t="str">
        <f>IF(XT!$P63&gt;0,R63,"")</f>
        <v/>
      </c>
      <c r="T63" s="12" t="str">
        <f>IF(XT!$P63=0,R63,"")</f>
        <v/>
      </c>
      <c r="U63">
        <f>SUMPRODUCT((MONTH(CHOOSE({1,2,3,4},XT!U63,XT!Y63,XT!AC63,XT!AG63))=6)*(CHOOSE({1,2,3,4},XT!X63,XT!AB63,XT!AF63,XT!AJ63)))</f>
        <v>0</v>
      </c>
      <c r="V63" t="str">
        <f>IFERROR(INDEX(CHOOSE({1,2,3,4}, DAY(XT!U63), DAY(XT!Y63), DAY(XT!AC63), DAY(XT!AG63)), MATCH(1, INDEX(--(MONTH(CHOOSE({1,2,3,4}, XT!U63,XT!Y63,XT!AC63,XT!AG63))=6), 0), 0)), "")</f>
        <v/>
      </c>
      <c r="W63" s="12" t="str">
        <f>IF(XT!$P63&gt;0,V63,"")</f>
        <v/>
      </c>
      <c r="X63" s="12" t="str">
        <f>IF(XT!$P63=0,V63,"")</f>
        <v/>
      </c>
      <c r="Y63">
        <f>SUMPRODUCT((MONTH(CHOOSE({1,2,3,4},XT!U63,XT!Y63,XT!AC63,XT!AG63))=7)*(CHOOSE({1,2,3,4},XT!X63,XT!AB63,XT!AF63,XT!AJ63)))</f>
        <v>0</v>
      </c>
      <c r="Z63" t="str">
        <f>IFERROR(INDEX(CHOOSE({1,2,3,4}, DAY(XT!U63), DAY(XT!Y63), DAY(XT!AC63), DAY(XT!AG63)), MATCH(1, INDEX(--(MONTH(CHOOSE({1,2,3,4}, XT!U63,XT!Y63,XT!AC63,XT!AG63))=7), 0), 0)), "")</f>
        <v/>
      </c>
      <c r="AA63" s="12" t="str">
        <f>IF(XT!$P63&gt;0,Z63,"")</f>
        <v/>
      </c>
      <c r="AB63" s="12" t="str">
        <f>IF(XT!$P63=0,Z63,"")</f>
        <v/>
      </c>
      <c r="AC63">
        <f>SUMPRODUCT((MONTH(CHOOSE({1,2,3,4},XT!U63,XT!Y63,XT!AC63,XT!AG63))=8)*(CHOOSE({1,2,3,4},XT!X63,XT!AB63,XT!AF63,XT!AJ63)))</f>
        <v>0</v>
      </c>
      <c r="AD63" t="str">
        <f>IFERROR(INDEX(CHOOSE({1,2,3,4}, DAY(XT!U63), DAY(XT!Y63), DAY(XT!AC63), DAY(XT!AG63)), MATCH(1, INDEX(--(MONTH(CHOOSE({1,2,3,4}, XT!U63,XT!Y63,XT!AC63,XT!AG63))=8), 0), 0)), "")</f>
        <v/>
      </c>
      <c r="AE63" s="12" t="str">
        <f>IF(XT!$P63&gt;0,AD63,"")</f>
        <v/>
      </c>
      <c r="AF63" s="12" t="str">
        <f>IF(XT!$P63=0,AD63,"")</f>
        <v/>
      </c>
      <c r="AG63">
        <f>SUMPRODUCT((MONTH(CHOOSE({1,2,3,4},XT!U63,XT!Y63,XT!AC63,XT!AG63))=9)*(CHOOSE({1,2,3,4},XT!X63,XT!AB63,XT!AF63,XT!AJ63)))</f>
        <v>0</v>
      </c>
      <c r="AH63" t="str">
        <f>IFERROR(INDEX(CHOOSE({1,2,3,4}, DAY(XT!U63), DAY(XT!Y63), DAY(XT!AC63), DAY(XT!AG63)), MATCH(1, INDEX(--(MONTH(CHOOSE({1,2,3,4}, XT!U63,XT!Y63,XT!AC63,XT!AG63))=9), 0), 0)), "")</f>
        <v/>
      </c>
      <c r="AI63" s="12" t="str">
        <f>IF(XT!$P63&gt;0,AH63,"")</f>
        <v/>
      </c>
      <c r="AJ63" s="12" t="str">
        <f>IF(XT!$P63=0,AH63,"")</f>
        <v/>
      </c>
      <c r="AK63">
        <f>SUMPRODUCT((MONTH(CHOOSE({1,2,3,4},XT!U63,XT!Y63,XT!AC63,XT!AG63))=10)*(CHOOSE({1,2,3,4},XT!X63,XT!AB63,XT!AF63,XT!AJ63)))</f>
        <v>0</v>
      </c>
      <c r="AL63" t="str">
        <f>IFERROR(INDEX(CHOOSE({1,2,3,4}, DAY(XT!U63), DAY(XT!Y63), DAY(XT!AC63), DAY(XT!AG63)), MATCH(1, INDEX(--(MONTH(CHOOSE({1,2,3,4}, XT!U63,XT!Y63,XT!AC63,XT!AG63))=10), 0), 0)), "")</f>
        <v/>
      </c>
      <c r="AM63" s="12" t="str">
        <f>IF(XT!$P63&gt;0,AL63,"")</f>
        <v/>
      </c>
      <c r="AN63" s="12" t="str">
        <f>IF(XT!$P63=0,AL63,"")</f>
        <v/>
      </c>
      <c r="AO63">
        <f>SUMPRODUCT((MONTH(CHOOSE({1,2,3,4},XT!U63,XT!Y63,XT!AC63,XT!AG63))=11)*(CHOOSE({1,2,3,4},XT!X63,XT!AB63,XT!AF63,XT!AJ63)))</f>
        <v>0</v>
      </c>
      <c r="AP63" t="str">
        <f>IFERROR(INDEX(CHOOSE({1,2,3,4}, DAY(XT!U63), DAY(XT!Y63), DAY(XT!AC63), DAY(XT!AG63)), MATCH(1, INDEX(--(MONTH(CHOOSE({1,2,3,4}, XT!U63,XT!Y63,XT!AC63,XT!AG63))=11), 0), 0)), "")</f>
        <v/>
      </c>
      <c r="AQ63" s="12" t="str">
        <f>IF(XT!$P63&gt;0,AP63,"")</f>
        <v/>
      </c>
      <c r="AR63" s="12" t="str">
        <f>IF(XT!$P63=0,AP63,"")</f>
        <v/>
      </c>
      <c r="AS63">
        <f>SUMPRODUCT((MONTH(CHOOSE({1,2,3,4},XT!U63,XT!Y63,XT!AC63,XT!AG63))=12)*(CHOOSE({1,2,3,4},XT!X63,XT!AB63,XT!AF63,XT!AJ63)))</f>
        <v>0</v>
      </c>
      <c r="AT63" t="str">
        <f>IFERROR(INDEX(CHOOSE({1,2,3,4}, DAY(XT!U63), DAY(XT!Y63), DAY(XT!AC63), DAY(XT!AG63)), MATCH(1, INDEX(--(MONTH(CHOOSE({1,2,3,4}, XT!U63,XT!Y63,XT!AC63,XT!AG63))=12), 0), 0)), "")</f>
        <v/>
      </c>
      <c r="AU63" s="12" t="str">
        <f>IF(XT!$P63&gt;0,AT63,"")</f>
        <v/>
      </c>
      <c r="AV63" s="12" t="str">
        <f>IF(XT!$P63=0,AT63,"")</f>
        <v/>
      </c>
    </row>
    <row r="64" spans="1:48">
      <c r="A64">
        <f>SUMPRODUCT((MONTH(CHOOSE({1,2,3,4},XT!U64,XT!Y64,XT!AC64,XT!AG64))=1)*(CHOOSE({1,2,3,4},XT!X64,XT!AB64,XT!AF64,XT!AJ64)))</f>
        <v>0</v>
      </c>
      <c r="B64">
        <f>IFERROR(INDEX(CHOOSE({1,2,3,4}, DAY(XT!U64), DAY(XT!Y64), DAY(XT!AC64), DAY(XT!AG64)), MATCH(1, INDEX(--(MONTH(CHOOSE({1,2,3,4}, XT!U64,XT!Y64,XT!AC64,XT!AG64))=1), 0), 0)), "")</f>
        <v>0</v>
      </c>
      <c r="C64" s="12" t="str">
        <f>IF(XT!$P64&gt;0,B64,"")</f>
        <v/>
      </c>
      <c r="D64" s="12">
        <f>IF(XT!$P64=0,B64,"")</f>
        <v>0</v>
      </c>
      <c r="E64">
        <f>SUMPRODUCT((MONTH(CHOOSE({1,2,3,4},XT!U64,XT!Y64,XT!AC64,XT!AG64))=2)*(CHOOSE({1,2,3,4},XT!X64,XT!AB64,XT!AF64,XT!AJ64)))</f>
        <v>0</v>
      </c>
      <c r="F64" t="str">
        <f>IFERROR(INDEX(CHOOSE({1,2,3,4}, DAY(XT!U64), DAY(XT!Y64), DAY(XT!AC64), DAY(XT!AG64)), MATCH(1, INDEX(--(MONTH(CHOOSE({1,2,3,4}, XT!U64,XT!Y64,XT!AC64,XT!AG64))=2), 0), 0)), "")</f>
        <v/>
      </c>
      <c r="G64" s="12" t="str">
        <f>IF(XT!$P64&gt;0,F64,"")</f>
        <v/>
      </c>
      <c r="H64" s="12" t="str">
        <f>IF(XT!$P64=0,F64,"")</f>
        <v/>
      </c>
      <c r="I64">
        <f>SUMPRODUCT((MONTH(CHOOSE({1,2,3,4},XT!U64,XT!Y64,XT!AC64,XT!AG64))=3)*(CHOOSE({1,2,3,4},XT!X64,XT!AB64,XT!AF64,XT!AJ64)))</f>
        <v>0</v>
      </c>
      <c r="J64" t="str">
        <f>IFERROR(INDEX(CHOOSE({1,2,3,4}, DAY(XT!U64), DAY(XT!Y64), DAY(XT!AC64), DAY(XT!AG64)), MATCH(1, INDEX(--(MONTH(CHOOSE({1,2,3,4}, XT!U64,XT!Y64,XT!AC64,XT!AG64))=3), 0), 0)), "")</f>
        <v/>
      </c>
      <c r="K64" s="12" t="str">
        <f>IF(XT!$P64&gt;0,J64,"")</f>
        <v/>
      </c>
      <c r="L64" s="12" t="str">
        <f>IF(XT!$P64=0,J64,"")</f>
        <v/>
      </c>
      <c r="M64">
        <f>SUMPRODUCT((MONTH(CHOOSE({1,2,3,4},XT!U64,XT!Y64,XT!AC64,XT!AG64))=4)*(CHOOSE({1,2,3,4},XT!X64,XT!AB64,XT!AF64,XT!AJ64)))</f>
        <v>0</v>
      </c>
      <c r="N64" t="str">
        <f>IFERROR(INDEX(CHOOSE({1,2,3,4}, DAY(XT!U64), DAY(XT!Y64), DAY(XT!AC64), DAY(XT!AG64)), MATCH(1, INDEX(--(MONTH(CHOOSE({1,2,3,4}, XT!U64,XT!Y64,XT!AC64,XT!AG64))=4), 0), 0)), "")</f>
        <v/>
      </c>
      <c r="O64" s="12" t="str">
        <f>IF(XT!$P64&gt;0,N64,"")</f>
        <v/>
      </c>
      <c r="P64" s="12" t="str">
        <f>IF(XT!$P64=0,N64,"")</f>
        <v/>
      </c>
      <c r="Q64">
        <f>SUMPRODUCT((MONTH(CHOOSE({1,2,3,4},XT!U64,XT!Y64,XT!AC64,XT!AG64))=5)*(CHOOSE({1,2,3,4},XT!X64,XT!AB64,XT!AF64,XT!AJ64)))</f>
        <v>0</v>
      </c>
      <c r="R64" t="str">
        <f>IFERROR(INDEX(CHOOSE({1,2,3,4}, DAY(XT!U64), DAY(XT!Y64), DAY(XT!AC64), DAY(XT!AG64)), MATCH(1, INDEX(--(MONTH(CHOOSE({1,2,3,4}, XT!U64,XT!Y64,XT!AC64,XT!AG64))=5), 0), 0)), "")</f>
        <v/>
      </c>
      <c r="S64" s="12" t="str">
        <f>IF(XT!$P64&gt;0,R64,"")</f>
        <v/>
      </c>
      <c r="T64" s="12" t="str">
        <f>IF(XT!$P64=0,R64,"")</f>
        <v/>
      </c>
      <c r="U64">
        <f>SUMPRODUCT((MONTH(CHOOSE({1,2,3,4},XT!U64,XT!Y64,XT!AC64,XT!AG64))=6)*(CHOOSE({1,2,3,4},XT!X64,XT!AB64,XT!AF64,XT!AJ64)))</f>
        <v>0</v>
      </c>
      <c r="V64" t="str">
        <f>IFERROR(INDEX(CHOOSE({1,2,3,4}, DAY(XT!U64), DAY(XT!Y64), DAY(XT!AC64), DAY(XT!AG64)), MATCH(1, INDEX(--(MONTH(CHOOSE({1,2,3,4}, XT!U64,XT!Y64,XT!AC64,XT!AG64))=6), 0), 0)), "")</f>
        <v/>
      </c>
      <c r="W64" s="12" t="str">
        <f>IF(XT!$P64&gt;0,V64,"")</f>
        <v/>
      </c>
      <c r="X64" s="12" t="str">
        <f>IF(XT!$P64=0,V64,"")</f>
        <v/>
      </c>
      <c r="Y64">
        <f>SUMPRODUCT((MONTH(CHOOSE({1,2,3,4},XT!U64,XT!Y64,XT!AC64,XT!AG64))=7)*(CHOOSE({1,2,3,4},XT!X64,XT!AB64,XT!AF64,XT!AJ64)))</f>
        <v>0</v>
      </c>
      <c r="Z64" t="str">
        <f>IFERROR(INDEX(CHOOSE({1,2,3,4}, DAY(XT!U64), DAY(XT!Y64), DAY(XT!AC64), DAY(XT!AG64)), MATCH(1, INDEX(--(MONTH(CHOOSE({1,2,3,4}, XT!U64,XT!Y64,XT!AC64,XT!AG64))=7), 0), 0)), "")</f>
        <v/>
      </c>
      <c r="AA64" s="12" t="str">
        <f>IF(XT!$P64&gt;0,Z64,"")</f>
        <v/>
      </c>
      <c r="AB64" s="12" t="str">
        <f>IF(XT!$P64=0,Z64,"")</f>
        <v/>
      </c>
      <c r="AC64">
        <f>SUMPRODUCT((MONTH(CHOOSE({1,2,3,4},XT!U64,XT!Y64,XT!AC64,XT!AG64))=8)*(CHOOSE({1,2,3,4},XT!X64,XT!AB64,XT!AF64,XT!AJ64)))</f>
        <v>0</v>
      </c>
      <c r="AD64" t="str">
        <f>IFERROR(INDEX(CHOOSE({1,2,3,4}, DAY(XT!U64), DAY(XT!Y64), DAY(XT!AC64), DAY(XT!AG64)), MATCH(1, INDEX(--(MONTH(CHOOSE({1,2,3,4}, XT!U64,XT!Y64,XT!AC64,XT!AG64))=8), 0), 0)), "")</f>
        <v/>
      </c>
      <c r="AE64" s="12" t="str">
        <f>IF(XT!$P64&gt;0,AD64,"")</f>
        <v/>
      </c>
      <c r="AF64" s="12" t="str">
        <f>IF(XT!$P64=0,AD64,"")</f>
        <v/>
      </c>
      <c r="AG64">
        <f>SUMPRODUCT((MONTH(CHOOSE({1,2,3,4},XT!U64,XT!Y64,XT!AC64,XT!AG64))=9)*(CHOOSE({1,2,3,4},XT!X64,XT!AB64,XT!AF64,XT!AJ64)))</f>
        <v>0</v>
      </c>
      <c r="AH64" t="str">
        <f>IFERROR(INDEX(CHOOSE({1,2,3,4}, DAY(XT!U64), DAY(XT!Y64), DAY(XT!AC64), DAY(XT!AG64)), MATCH(1, INDEX(--(MONTH(CHOOSE({1,2,3,4}, XT!U64,XT!Y64,XT!AC64,XT!AG64))=9), 0), 0)), "")</f>
        <v/>
      </c>
      <c r="AI64" s="12" t="str">
        <f>IF(XT!$P64&gt;0,AH64,"")</f>
        <v/>
      </c>
      <c r="AJ64" s="12" t="str">
        <f>IF(XT!$P64=0,AH64,"")</f>
        <v/>
      </c>
      <c r="AK64">
        <f>SUMPRODUCT((MONTH(CHOOSE({1,2,3,4},XT!U64,XT!Y64,XT!AC64,XT!AG64))=10)*(CHOOSE({1,2,3,4},XT!X64,XT!AB64,XT!AF64,XT!AJ64)))</f>
        <v>0</v>
      </c>
      <c r="AL64" t="str">
        <f>IFERROR(INDEX(CHOOSE({1,2,3,4}, DAY(XT!U64), DAY(XT!Y64), DAY(XT!AC64), DAY(XT!AG64)), MATCH(1, INDEX(--(MONTH(CHOOSE({1,2,3,4}, XT!U64,XT!Y64,XT!AC64,XT!AG64))=10), 0), 0)), "")</f>
        <v/>
      </c>
      <c r="AM64" s="12" t="str">
        <f>IF(XT!$P64&gt;0,AL64,"")</f>
        <v/>
      </c>
      <c r="AN64" s="12" t="str">
        <f>IF(XT!$P64=0,AL64,"")</f>
        <v/>
      </c>
      <c r="AO64">
        <f>SUMPRODUCT((MONTH(CHOOSE({1,2,3,4},XT!U64,XT!Y64,XT!AC64,XT!AG64))=11)*(CHOOSE({1,2,3,4},XT!X64,XT!AB64,XT!AF64,XT!AJ64)))</f>
        <v>0</v>
      </c>
      <c r="AP64" t="str">
        <f>IFERROR(INDEX(CHOOSE({1,2,3,4}, DAY(XT!U64), DAY(XT!Y64), DAY(XT!AC64), DAY(XT!AG64)), MATCH(1, INDEX(--(MONTH(CHOOSE({1,2,3,4}, XT!U64,XT!Y64,XT!AC64,XT!AG64))=11), 0), 0)), "")</f>
        <v/>
      </c>
      <c r="AQ64" s="12" t="str">
        <f>IF(XT!$P64&gt;0,AP64,"")</f>
        <v/>
      </c>
      <c r="AR64" s="12" t="str">
        <f>IF(XT!$P64=0,AP64,"")</f>
        <v/>
      </c>
      <c r="AS64">
        <f>SUMPRODUCT((MONTH(CHOOSE({1,2,3,4},XT!U64,XT!Y64,XT!AC64,XT!AG64))=12)*(CHOOSE({1,2,3,4},XT!X64,XT!AB64,XT!AF64,XT!AJ64)))</f>
        <v>0</v>
      </c>
      <c r="AT64" t="str">
        <f>IFERROR(INDEX(CHOOSE({1,2,3,4}, DAY(XT!U64), DAY(XT!Y64), DAY(XT!AC64), DAY(XT!AG64)), MATCH(1, INDEX(--(MONTH(CHOOSE({1,2,3,4}, XT!U64,XT!Y64,XT!AC64,XT!AG64))=12), 0), 0)), "")</f>
        <v/>
      </c>
      <c r="AU64" s="12" t="str">
        <f>IF(XT!$P64&gt;0,AT64,"")</f>
        <v/>
      </c>
      <c r="AV64" s="12" t="str">
        <f>IF(XT!$P64=0,AT64,"")</f>
        <v/>
      </c>
    </row>
    <row r="65" spans="1:48">
      <c r="A65">
        <f>SUMPRODUCT((MONTH(CHOOSE({1,2,3,4},XT!U65,XT!Y65,XT!AC65,XT!AG65))=1)*(CHOOSE({1,2,3,4},XT!X65,XT!AB65,XT!AF65,XT!AJ65)))</f>
        <v>0</v>
      </c>
      <c r="B65">
        <f>IFERROR(INDEX(CHOOSE({1,2,3,4}, DAY(XT!U65), DAY(XT!Y65), DAY(XT!AC65), DAY(XT!AG65)), MATCH(1, INDEX(--(MONTH(CHOOSE({1,2,3,4}, XT!U65,XT!Y65,XT!AC65,XT!AG65))=1), 0), 0)), "")</f>
        <v>0</v>
      </c>
      <c r="C65" s="12" t="str">
        <f>IF(XT!$P65&gt;0,B65,"")</f>
        <v/>
      </c>
      <c r="D65" s="12">
        <f>IF(XT!$P65=0,B65,"")</f>
        <v>0</v>
      </c>
      <c r="E65">
        <f>SUMPRODUCT((MONTH(CHOOSE({1,2,3,4},XT!U65,XT!Y65,XT!AC65,XT!AG65))=2)*(CHOOSE({1,2,3,4},XT!X65,XT!AB65,XT!AF65,XT!AJ65)))</f>
        <v>0</v>
      </c>
      <c r="F65" t="str">
        <f>IFERROR(INDEX(CHOOSE({1,2,3,4}, DAY(XT!U65), DAY(XT!Y65), DAY(XT!AC65), DAY(XT!AG65)), MATCH(1, INDEX(--(MONTH(CHOOSE({1,2,3,4}, XT!U65,XT!Y65,XT!AC65,XT!AG65))=2), 0), 0)), "")</f>
        <v/>
      </c>
      <c r="G65" s="12" t="str">
        <f>IF(XT!$P65&gt;0,F65,"")</f>
        <v/>
      </c>
      <c r="H65" s="12" t="str">
        <f>IF(XT!$P65=0,F65,"")</f>
        <v/>
      </c>
      <c r="I65">
        <f>SUMPRODUCT((MONTH(CHOOSE({1,2,3,4},XT!U65,XT!Y65,XT!AC65,XT!AG65))=3)*(CHOOSE({1,2,3,4},XT!X65,XT!AB65,XT!AF65,XT!AJ65)))</f>
        <v>0</v>
      </c>
      <c r="J65" t="str">
        <f>IFERROR(INDEX(CHOOSE({1,2,3,4}, DAY(XT!U65), DAY(XT!Y65), DAY(XT!AC65), DAY(XT!AG65)), MATCH(1, INDEX(--(MONTH(CHOOSE({1,2,3,4}, XT!U65,XT!Y65,XT!AC65,XT!AG65))=3), 0), 0)), "")</f>
        <v/>
      </c>
      <c r="K65" s="12" t="str">
        <f>IF(XT!$P65&gt;0,J65,"")</f>
        <v/>
      </c>
      <c r="L65" s="12" t="str">
        <f>IF(XT!$P65=0,J65,"")</f>
        <v/>
      </c>
      <c r="M65">
        <f>SUMPRODUCT((MONTH(CHOOSE({1,2,3,4},XT!U65,XT!Y65,XT!AC65,XT!AG65))=4)*(CHOOSE({1,2,3,4},XT!X65,XT!AB65,XT!AF65,XT!AJ65)))</f>
        <v>0</v>
      </c>
      <c r="N65" t="str">
        <f>IFERROR(INDEX(CHOOSE({1,2,3,4}, DAY(XT!U65), DAY(XT!Y65), DAY(XT!AC65), DAY(XT!AG65)), MATCH(1, INDEX(--(MONTH(CHOOSE({1,2,3,4}, XT!U65,XT!Y65,XT!AC65,XT!AG65))=4), 0), 0)), "")</f>
        <v/>
      </c>
      <c r="O65" s="12" t="str">
        <f>IF(XT!$P65&gt;0,N65,"")</f>
        <v/>
      </c>
      <c r="P65" s="12" t="str">
        <f>IF(XT!$P65=0,N65,"")</f>
        <v/>
      </c>
      <c r="Q65">
        <f>SUMPRODUCT((MONTH(CHOOSE({1,2,3,4},XT!U65,XT!Y65,XT!AC65,XT!AG65))=5)*(CHOOSE({1,2,3,4},XT!X65,XT!AB65,XT!AF65,XT!AJ65)))</f>
        <v>0</v>
      </c>
      <c r="R65" t="str">
        <f>IFERROR(INDEX(CHOOSE({1,2,3,4}, DAY(XT!U65), DAY(XT!Y65), DAY(XT!AC65), DAY(XT!AG65)), MATCH(1, INDEX(--(MONTH(CHOOSE({1,2,3,4}, XT!U65,XT!Y65,XT!AC65,XT!AG65))=5), 0), 0)), "")</f>
        <v/>
      </c>
      <c r="S65" s="12" t="str">
        <f>IF(XT!$P65&gt;0,R65,"")</f>
        <v/>
      </c>
      <c r="T65" s="12" t="str">
        <f>IF(XT!$P65=0,R65,"")</f>
        <v/>
      </c>
      <c r="U65">
        <f>SUMPRODUCT((MONTH(CHOOSE({1,2,3,4},XT!U65,XT!Y65,XT!AC65,XT!AG65))=6)*(CHOOSE({1,2,3,4},XT!X65,XT!AB65,XT!AF65,XT!AJ65)))</f>
        <v>0</v>
      </c>
      <c r="V65" t="str">
        <f>IFERROR(INDEX(CHOOSE({1,2,3,4}, DAY(XT!U65), DAY(XT!Y65), DAY(XT!AC65), DAY(XT!AG65)), MATCH(1, INDEX(--(MONTH(CHOOSE({1,2,3,4}, XT!U65,XT!Y65,XT!AC65,XT!AG65))=6), 0), 0)), "")</f>
        <v/>
      </c>
      <c r="W65" s="12" t="str">
        <f>IF(XT!$P65&gt;0,V65,"")</f>
        <v/>
      </c>
      <c r="X65" s="12" t="str">
        <f>IF(XT!$P65=0,V65,"")</f>
        <v/>
      </c>
      <c r="Y65">
        <f>SUMPRODUCT((MONTH(CHOOSE({1,2,3,4},XT!U65,XT!Y65,XT!AC65,XT!AG65))=7)*(CHOOSE({1,2,3,4},XT!X65,XT!AB65,XT!AF65,XT!AJ65)))</f>
        <v>0</v>
      </c>
      <c r="Z65" t="str">
        <f>IFERROR(INDEX(CHOOSE({1,2,3,4}, DAY(XT!U65), DAY(XT!Y65), DAY(XT!AC65), DAY(XT!AG65)), MATCH(1, INDEX(--(MONTH(CHOOSE({1,2,3,4}, XT!U65,XT!Y65,XT!AC65,XT!AG65))=7), 0), 0)), "")</f>
        <v/>
      </c>
      <c r="AA65" s="12" t="str">
        <f>IF(XT!$P65&gt;0,Z65,"")</f>
        <v/>
      </c>
      <c r="AB65" s="12" t="str">
        <f>IF(XT!$P65=0,Z65,"")</f>
        <v/>
      </c>
      <c r="AC65">
        <f>SUMPRODUCT((MONTH(CHOOSE({1,2,3,4},XT!U65,XT!Y65,XT!AC65,XT!AG65))=8)*(CHOOSE({1,2,3,4},XT!X65,XT!AB65,XT!AF65,XT!AJ65)))</f>
        <v>0</v>
      </c>
      <c r="AD65" t="str">
        <f>IFERROR(INDEX(CHOOSE({1,2,3,4}, DAY(XT!U65), DAY(XT!Y65), DAY(XT!AC65), DAY(XT!AG65)), MATCH(1, INDEX(--(MONTH(CHOOSE({1,2,3,4}, XT!U65,XT!Y65,XT!AC65,XT!AG65))=8), 0), 0)), "")</f>
        <v/>
      </c>
      <c r="AE65" s="12" t="str">
        <f>IF(XT!$P65&gt;0,AD65,"")</f>
        <v/>
      </c>
      <c r="AF65" s="12" t="str">
        <f>IF(XT!$P65=0,AD65,"")</f>
        <v/>
      </c>
      <c r="AG65">
        <f>SUMPRODUCT((MONTH(CHOOSE({1,2,3,4},XT!U65,XT!Y65,XT!AC65,XT!AG65))=9)*(CHOOSE({1,2,3,4},XT!X65,XT!AB65,XT!AF65,XT!AJ65)))</f>
        <v>0</v>
      </c>
      <c r="AH65" t="str">
        <f>IFERROR(INDEX(CHOOSE({1,2,3,4}, DAY(XT!U65), DAY(XT!Y65), DAY(XT!AC65), DAY(XT!AG65)), MATCH(1, INDEX(--(MONTH(CHOOSE({1,2,3,4}, XT!U65,XT!Y65,XT!AC65,XT!AG65))=9), 0), 0)), "")</f>
        <v/>
      </c>
      <c r="AI65" s="12" t="str">
        <f>IF(XT!$P65&gt;0,AH65,"")</f>
        <v/>
      </c>
      <c r="AJ65" s="12" t="str">
        <f>IF(XT!$P65=0,AH65,"")</f>
        <v/>
      </c>
      <c r="AK65">
        <f>SUMPRODUCT((MONTH(CHOOSE({1,2,3,4},XT!U65,XT!Y65,XT!AC65,XT!AG65))=10)*(CHOOSE({1,2,3,4},XT!X65,XT!AB65,XT!AF65,XT!AJ65)))</f>
        <v>0</v>
      </c>
      <c r="AL65" t="str">
        <f>IFERROR(INDEX(CHOOSE({1,2,3,4}, DAY(XT!U65), DAY(XT!Y65), DAY(XT!AC65), DAY(XT!AG65)), MATCH(1, INDEX(--(MONTH(CHOOSE({1,2,3,4}, XT!U65,XT!Y65,XT!AC65,XT!AG65))=10), 0), 0)), "")</f>
        <v/>
      </c>
      <c r="AM65" s="12" t="str">
        <f>IF(XT!$P65&gt;0,AL65,"")</f>
        <v/>
      </c>
      <c r="AN65" s="12" t="str">
        <f>IF(XT!$P65=0,AL65,"")</f>
        <v/>
      </c>
      <c r="AO65">
        <f>SUMPRODUCT((MONTH(CHOOSE({1,2,3,4},XT!U65,XT!Y65,XT!AC65,XT!AG65))=11)*(CHOOSE({1,2,3,4},XT!X65,XT!AB65,XT!AF65,XT!AJ65)))</f>
        <v>0</v>
      </c>
      <c r="AP65" t="str">
        <f>IFERROR(INDEX(CHOOSE({1,2,3,4}, DAY(XT!U65), DAY(XT!Y65), DAY(XT!AC65), DAY(XT!AG65)), MATCH(1, INDEX(--(MONTH(CHOOSE({1,2,3,4}, XT!U65,XT!Y65,XT!AC65,XT!AG65))=11), 0), 0)), "")</f>
        <v/>
      </c>
      <c r="AQ65" s="12" t="str">
        <f>IF(XT!$P65&gt;0,AP65,"")</f>
        <v/>
      </c>
      <c r="AR65" s="12" t="str">
        <f>IF(XT!$P65=0,AP65,"")</f>
        <v/>
      </c>
      <c r="AS65">
        <f>SUMPRODUCT((MONTH(CHOOSE({1,2,3,4},XT!U65,XT!Y65,XT!AC65,XT!AG65))=12)*(CHOOSE({1,2,3,4},XT!X65,XT!AB65,XT!AF65,XT!AJ65)))</f>
        <v>0</v>
      </c>
      <c r="AT65" t="str">
        <f>IFERROR(INDEX(CHOOSE({1,2,3,4}, DAY(XT!U65), DAY(XT!Y65), DAY(XT!AC65), DAY(XT!AG65)), MATCH(1, INDEX(--(MONTH(CHOOSE({1,2,3,4}, XT!U65,XT!Y65,XT!AC65,XT!AG65))=12), 0), 0)), "")</f>
        <v/>
      </c>
      <c r="AU65" s="12" t="str">
        <f>IF(XT!$P65&gt;0,AT65,"")</f>
        <v/>
      </c>
      <c r="AV65" s="12" t="str">
        <f>IF(XT!$P65=0,AT65,"")</f>
        <v/>
      </c>
    </row>
    <row r="66" spans="1:48">
      <c r="A66">
        <f>SUMPRODUCT((MONTH(CHOOSE({1,2,3,4},XT!U66,XT!Y66,XT!AC66,XT!AG66))=1)*(CHOOSE({1,2,3,4},XT!X66,XT!AB66,XT!AF66,XT!AJ66)))</f>
        <v>0</v>
      </c>
      <c r="B66">
        <f>IFERROR(INDEX(CHOOSE({1,2,3,4}, DAY(XT!U66), DAY(XT!Y66), DAY(XT!AC66), DAY(XT!AG66)), MATCH(1, INDEX(--(MONTH(CHOOSE({1,2,3,4}, XT!U66,XT!Y66,XT!AC66,XT!AG66))=1), 0), 0)), "")</f>
        <v>0</v>
      </c>
      <c r="C66" s="12" t="str">
        <f>IF(XT!$P66&gt;0,B66,"")</f>
        <v/>
      </c>
      <c r="D66" s="12">
        <f>IF(XT!$P66=0,B66,"")</f>
        <v>0</v>
      </c>
      <c r="E66">
        <f>SUMPRODUCT((MONTH(CHOOSE({1,2,3,4},XT!U66,XT!Y66,XT!AC66,XT!AG66))=2)*(CHOOSE({1,2,3,4},XT!X66,XT!AB66,XT!AF66,XT!AJ66)))</f>
        <v>0</v>
      </c>
      <c r="F66" t="str">
        <f>IFERROR(INDEX(CHOOSE({1,2,3,4}, DAY(XT!U66), DAY(XT!Y66), DAY(XT!AC66), DAY(XT!AG66)), MATCH(1, INDEX(--(MONTH(CHOOSE({1,2,3,4}, XT!U66,XT!Y66,XT!AC66,XT!AG66))=2), 0), 0)), "")</f>
        <v/>
      </c>
      <c r="G66" s="12" t="str">
        <f>IF(XT!$P66&gt;0,F66,"")</f>
        <v/>
      </c>
      <c r="H66" s="12" t="str">
        <f>IF(XT!$P66=0,F66,"")</f>
        <v/>
      </c>
      <c r="I66">
        <f>SUMPRODUCT((MONTH(CHOOSE({1,2,3,4},XT!U66,XT!Y66,XT!AC66,XT!AG66))=3)*(CHOOSE({1,2,3,4},XT!X66,XT!AB66,XT!AF66,XT!AJ66)))</f>
        <v>0</v>
      </c>
      <c r="J66" t="str">
        <f>IFERROR(INDEX(CHOOSE({1,2,3,4}, DAY(XT!U66), DAY(XT!Y66), DAY(XT!AC66), DAY(XT!AG66)), MATCH(1, INDEX(--(MONTH(CHOOSE({1,2,3,4}, XT!U66,XT!Y66,XT!AC66,XT!AG66))=3), 0), 0)), "")</f>
        <v/>
      </c>
      <c r="K66" s="12" t="str">
        <f>IF(XT!$P66&gt;0,J66,"")</f>
        <v/>
      </c>
      <c r="L66" s="12" t="str">
        <f>IF(XT!$P66=0,J66,"")</f>
        <v/>
      </c>
      <c r="M66">
        <f>SUMPRODUCT((MONTH(CHOOSE({1,2,3,4},XT!U66,XT!Y66,XT!AC66,XT!AG66))=4)*(CHOOSE({1,2,3,4},XT!X66,XT!AB66,XT!AF66,XT!AJ66)))</f>
        <v>0</v>
      </c>
      <c r="N66" t="str">
        <f>IFERROR(INDEX(CHOOSE({1,2,3,4}, DAY(XT!U66), DAY(XT!Y66), DAY(XT!AC66), DAY(XT!AG66)), MATCH(1, INDEX(--(MONTH(CHOOSE({1,2,3,4}, XT!U66,XT!Y66,XT!AC66,XT!AG66))=4), 0), 0)), "")</f>
        <v/>
      </c>
      <c r="O66" s="12" t="str">
        <f>IF(XT!$P66&gt;0,N66,"")</f>
        <v/>
      </c>
      <c r="P66" s="12" t="str">
        <f>IF(XT!$P66=0,N66,"")</f>
        <v/>
      </c>
      <c r="Q66">
        <f>SUMPRODUCT((MONTH(CHOOSE({1,2,3,4},XT!U66,XT!Y66,XT!AC66,XT!AG66))=5)*(CHOOSE({1,2,3,4},XT!X66,XT!AB66,XT!AF66,XT!AJ66)))</f>
        <v>0</v>
      </c>
      <c r="R66" t="str">
        <f>IFERROR(INDEX(CHOOSE({1,2,3,4}, DAY(XT!U66), DAY(XT!Y66), DAY(XT!AC66), DAY(XT!AG66)), MATCH(1, INDEX(--(MONTH(CHOOSE({1,2,3,4}, XT!U66,XT!Y66,XT!AC66,XT!AG66))=5), 0), 0)), "")</f>
        <v/>
      </c>
      <c r="S66" s="12" t="str">
        <f>IF(XT!$P66&gt;0,R66,"")</f>
        <v/>
      </c>
      <c r="T66" s="12" t="str">
        <f>IF(XT!$P66=0,R66,"")</f>
        <v/>
      </c>
      <c r="U66">
        <f>SUMPRODUCT((MONTH(CHOOSE({1,2,3,4},XT!U66,XT!Y66,XT!AC66,XT!AG66))=6)*(CHOOSE({1,2,3,4},XT!X66,XT!AB66,XT!AF66,XT!AJ66)))</f>
        <v>0</v>
      </c>
      <c r="V66" t="str">
        <f>IFERROR(INDEX(CHOOSE({1,2,3,4}, DAY(XT!U66), DAY(XT!Y66), DAY(XT!AC66), DAY(XT!AG66)), MATCH(1, INDEX(--(MONTH(CHOOSE({1,2,3,4}, XT!U66,XT!Y66,XT!AC66,XT!AG66))=6), 0), 0)), "")</f>
        <v/>
      </c>
      <c r="W66" s="12" t="str">
        <f>IF(XT!$P66&gt;0,V66,"")</f>
        <v/>
      </c>
      <c r="X66" s="12" t="str">
        <f>IF(XT!$P66=0,V66,"")</f>
        <v/>
      </c>
      <c r="Y66">
        <f>SUMPRODUCT((MONTH(CHOOSE({1,2,3,4},XT!U66,XT!Y66,XT!AC66,XT!AG66))=7)*(CHOOSE({1,2,3,4},XT!X66,XT!AB66,XT!AF66,XT!AJ66)))</f>
        <v>0</v>
      </c>
      <c r="Z66" t="str">
        <f>IFERROR(INDEX(CHOOSE({1,2,3,4}, DAY(XT!U66), DAY(XT!Y66), DAY(XT!AC66), DAY(XT!AG66)), MATCH(1, INDEX(--(MONTH(CHOOSE({1,2,3,4}, XT!U66,XT!Y66,XT!AC66,XT!AG66))=7), 0), 0)), "")</f>
        <v/>
      </c>
      <c r="AA66" s="12" t="str">
        <f>IF(XT!$P66&gt;0,Z66,"")</f>
        <v/>
      </c>
      <c r="AB66" s="12" t="str">
        <f>IF(XT!$P66=0,Z66,"")</f>
        <v/>
      </c>
      <c r="AC66">
        <f>SUMPRODUCT((MONTH(CHOOSE({1,2,3,4},XT!U66,XT!Y66,XT!AC66,XT!AG66))=8)*(CHOOSE({1,2,3,4},XT!X66,XT!AB66,XT!AF66,XT!AJ66)))</f>
        <v>0</v>
      </c>
      <c r="AD66" t="str">
        <f>IFERROR(INDEX(CHOOSE({1,2,3,4}, DAY(XT!U66), DAY(XT!Y66), DAY(XT!AC66), DAY(XT!AG66)), MATCH(1, INDEX(--(MONTH(CHOOSE({1,2,3,4}, XT!U66,XT!Y66,XT!AC66,XT!AG66))=8), 0), 0)), "")</f>
        <v/>
      </c>
      <c r="AE66" s="12" t="str">
        <f>IF(XT!$P66&gt;0,AD66,"")</f>
        <v/>
      </c>
      <c r="AF66" s="12" t="str">
        <f>IF(XT!$P66=0,AD66,"")</f>
        <v/>
      </c>
      <c r="AG66">
        <f>SUMPRODUCT((MONTH(CHOOSE({1,2,3,4},XT!U66,XT!Y66,XT!AC66,XT!AG66))=9)*(CHOOSE({1,2,3,4},XT!X66,XT!AB66,XT!AF66,XT!AJ66)))</f>
        <v>0</v>
      </c>
      <c r="AH66" t="str">
        <f>IFERROR(INDEX(CHOOSE({1,2,3,4}, DAY(XT!U66), DAY(XT!Y66), DAY(XT!AC66), DAY(XT!AG66)), MATCH(1, INDEX(--(MONTH(CHOOSE({1,2,3,4}, XT!U66,XT!Y66,XT!AC66,XT!AG66))=9), 0), 0)), "")</f>
        <v/>
      </c>
      <c r="AI66" s="12" t="str">
        <f>IF(XT!$P66&gt;0,AH66,"")</f>
        <v/>
      </c>
      <c r="AJ66" s="12" t="str">
        <f>IF(XT!$P66=0,AH66,"")</f>
        <v/>
      </c>
      <c r="AK66">
        <f>SUMPRODUCT((MONTH(CHOOSE({1,2,3,4},XT!U66,XT!Y66,XT!AC66,XT!AG66))=10)*(CHOOSE({1,2,3,4},XT!X66,XT!AB66,XT!AF66,XT!AJ66)))</f>
        <v>0</v>
      </c>
      <c r="AL66" t="str">
        <f>IFERROR(INDEX(CHOOSE({1,2,3,4}, DAY(XT!U66), DAY(XT!Y66), DAY(XT!AC66), DAY(XT!AG66)), MATCH(1, INDEX(--(MONTH(CHOOSE({1,2,3,4}, XT!U66,XT!Y66,XT!AC66,XT!AG66))=10), 0), 0)), "")</f>
        <v/>
      </c>
      <c r="AM66" s="12" t="str">
        <f>IF(XT!$P66&gt;0,AL66,"")</f>
        <v/>
      </c>
      <c r="AN66" s="12" t="str">
        <f>IF(XT!$P66=0,AL66,"")</f>
        <v/>
      </c>
      <c r="AO66">
        <f>SUMPRODUCT((MONTH(CHOOSE({1,2,3,4},XT!U66,XT!Y66,XT!AC66,XT!AG66))=11)*(CHOOSE({1,2,3,4},XT!X66,XT!AB66,XT!AF66,XT!AJ66)))</f>
        <v>0</v>
      </c>
      <c r="AP66" t="str">
        <f>IFERROR(INDEX(CHOOSE({1,2,3,4}, DAY(XT!U66), DAY(XT!Y66), DAY(XT!AC66), DAY(XT!AG66)), MATCH(1, INDEX(--(MONTH(CHOOSE({1,2,3,4}, XT!U66,XT!Y66,XT!AC66,XT!AG66))=11), 0), 0)), "")</f>
        <v/>
      </c>
      <c r="AQ66" s="12" t="str">
        <f>IF(XT!$P66&gt;0,AP66,"")</f>
        <v/>
      </c>
      <c r="AR66" s="12" t="str">
        <f>IF(XT!$P66=0,AP66,"")</f>
        <v/>
      </c>
      <c r="AS66">
        <f>SUMPRODUCT((MONTH(CHOOSE({1,2,3,4},XT!U66,XT!Y66,XT!AC66,XT!AG66))=12)*(CHOOSE({1,2,3,4},XT!X66,XT!AB66,XT!AF66,XT!AJ66)))</f>
        <v>0</v>
      </c>
      <c r="AT66" t="str">
        <f>IFERROR(INDEX(CHOOSE({1,2,3,4}, DAY(XT!U66), DAY(XT!Y66), DAY(XT!AC66), DAY(XT!AG66)), MATCH(1, INDEX(--(MONTH(CHOOSE({1,2,3,4}, XT!U66,XT!Y66,XT!AC66,XT!AG66))=12), 0), 0)), "")</f>
        <v/>
      </c>
      <c r="AU66" s="12" t="str">
        <f>IF(XT!$P66&gt;0,AT66,"")</f>
        <v/>
      </c>
      <c r="AV66" s="12" t="str">
        <f>IF(XT!$P66=0,AT66,"")</f>
        <v/>
      </c>
    </row>
    <row r="67" spans="1:48">
      <c r="A67">
        <f>SUMPRODUCT((MONTH(CHOOSE({1,2,3,4},XT!U67,XT!Y67,XT!AC67,XT!AG67))=1)*(CHOOSE({1,2,3,4},XT!X67,XT!AB67,XT!AF67,XT!AJ67)))</f>
        <v>0</v>
      </c>
      <c r="B67">
        <f>IFERROR(INDEX(CHOOSE({1,2,3,4}, DAY(XT!U67), DAY(XT!Y67), DAY(XT!AC67), DAY(XT!AG67)), MATCH(1, INDEX(--(MONTH(CHOOSE({1,2,3,4}, XT!U67,XT!Y67,XT!AC67,XT!AG67))=1), 0), 0)), "")</f>
        <v>0</v>
      </c>
      <c r="C67" s="12" t="str">
        <f>IF(XT!$P67&gt;0,B67,"")</f>
        <v/>
      </c>
      <c r="D67" s="12">
        <f>IF(XT!$P67=0,B67,"")</f>
        <v>0</v>
      </c>
      <c r="E67">
        <f>SUMPRODUCT((MONTH(CHOOSE({1,2,3,4},XT!U67,XT!Y67,XT!AC67,XT!AG67))=2)*(CHOOSE({1,2,3,4},XT!X67,XT!AB67,XT!AF67,XT!AJ67)))</f>
        <v>0</v>
      </c>
      <c r="F67" t="str">
        <f>IFERROR(INDEX(CHOOSE({1,2,3,4}, DAY(XT!U67), DAY(XT!Y67), DAY(XT!AC67), DAY(XT!AG67)), MATCH(1, INDEX(--(MONTH(CHOOSE({1,2,3,4}, XT!U67,XT!Y67,XT!AC67,XT!AG67))=2), 0), 0)), "")</f>
        <v/>
      </c>
      <c r="G67" s="12" t="str">
        <f>IF(XT!$P67&gt;0,F67,"")</f>
        <v/>
      </c>
      <c r="H67" s="12" t="str">
        <f>IF(XT!$P67=0,F67,"")</f>
        <v/>
      </c>
      <c r="I67">
        <f>SUMPRODUCT((MONTH(CHOOSE({1,2,3,4},XT!U67,XT!Y67,XT!AC67,XT!AG67))=3)*(CHOOSE({1,2,3,4},XT!X67,XT!AB67,XT!AF67,XT!AJ67)))</f>
        <v>0</v>
      </c>
      <c r="J67" t="str">
        <f>IFERROR(INDEX(CHOOSE({1,2,3,4}, DAY(XT!U67), DAY(XT!Y67), DAY(XT!AC67), DAY(XT!AG67)), MATCH(1, INDEX(--(MONTH(CHOOSE({1,2,3,4}, XT!U67,XT!Y67,XT!AC67,XT!AG67))=3), 0), 0)), "")</f>
        <v/>
      </c>
      <c r="K67" s="12" t="str">
        <f>IF(XT!$P67&gt;0,J67,"")</f>
        <v/>
      </c>
      <c r="L67" s="12" t="str">
        <f>IF(XT!$P67=0,J67,"")</f>
        <v/>
      </c>
      <c r="M67">
        <f>SUMPRODUCT((MONTH(CHOOSE({1,2,3,4},XT!U67,XT!Y67,XT!AC67,XT!AG67))=4)*(CHOOSE({1,2,3,4},XT!X67,XT!AB67,XT!AF67,XT!AJ67)))</f>
        <v>0</v>
      </c>
      <c r="N67" t="str">
        <f>IFERROR(INDEX(CHOOSE({1,2,3,4}, DAY(XT!U67), DAY(XT!Y67), DAY(XT!AC67), DAY(XT!AG67)), MATCH(1, INDEX(--(MONTH(CHOOSE({1,2,3,4}, XT!U67,XT!Y67,XT!AC67,XT!AG67))=4), 0), 0)), "")</f>
        <v/>
      </c>
      <c r="O67" s="12" t="str">
        <f>IF(XT!$P67&gt;0,N67,"")</f>
        <v/>
      </c>
      <c r="P67" s="12" t="str">
        <f>IF(XT!$P67=0,N67,"")</f>
        <v/>
      </c>
      <c r="Q67">
        <f>SUMPRODUCT((MONTH(CHOOSE({1,2,3,4},XT!U67,XT!Y67,XT!AC67,XT!AG67))=5)*(CHOOSE({1,2,3,4},XT!X67,XT!AB67,XT!AF67,XT!AJ67)))</f>
        <v>0</v>
      </c>
      <c r="R67" t="str">
        <f>IFERROR(INDEX(CHOOSE({1,2,3,4}, DAY(XT!U67), DAY(XT!Y67), DAY(XT!AC67), DAY(XT!AG67)), MATCH(1, INDEX(--(MONTH(CHOOSE({1,2,3,4}, XT!U67,XT!Y67,XT!AC67,XT!AG67))=5), 0), 0)), "")</f>
        <v/>
      </c>
      <c r="S67" s="12" t="str">
        <f>IF(XT!$P67&gt;0,R67,"")</f>
        <v/>
      </c>
      <c r="T67" s="12" t="str">
        <f>IF(XT!$P67=0,R67,"")</f>
        <v/>
      </c>
      <c r="U67">
        <f>SUMPRODUCT((MONTH(CHOOSE({1,2,3,4},XT!U67,XT!Y67,XT!AC67,XT!AG67))=6)*(CHOOSE({1,2,3,4},XT!X67,XT!AB67,XT!AF67,XT!AJ67)))</f>
        <v>0</v>
      </c>
      <c r="V67" t="str">
        <f>IFERROR(INDEX(CHOOSE({1,2,3,4}, DAY(XT!U67), DAY(XT!Y67), DAY(XT!AC67), DAY(XT!AG67)), MATCH(1, INDEX(--(MONTH(CHOOSE({1,2,3,4}, XT!U67,XT!Y67,XT!AC67,XT!AG67))=6), 0), 0)), "")</f>
        <v/>
      </c>
      <c r="W67" s="12" t="str">
        <f>IF(XT!$P67&gt;0,V67,"")</f>
        <v/>
      </c>
      <c r="X67" s="12" t="str">
        <f>IF(XT!$P67=0,V67,"")</f>
        <v/>
      </c>
      <c r="Y67">
        <f>SUMPRODUCT((MONTH(CHOOSE({1,2,3,4},XT!U67,XT!Y67,XT!AC67,XT!AG67))=7)*(CHOOSE({1,2,3,4},XT!X67,XT!AB67,XT!AF67,XT!AJ67)))</f>
        <v>0</v>
      </c>
      <c r="Z67" t="str">
        <f>IFERROR(INDEX(CHOOSE({1,2,3,4}, DAY(XT!U67), DAY(XT!Y67), DAY(XT!AC67), DAY(XT!AG67)), MATCH(1, INDEX(--(MONTH(CHOOSE({1,2,3,4}, XT!U67,XT!Y67,XT!AC67,XT!AG67))=7), 0), 0)), "")</f>
        <v/>
      </c>
      <c r="AA67" s="12" t="str">
        <f>IF(XT!$P67&gt;0,Z67,"")</f>
        <v/>
      </c>
      <c r="AB67" s="12" t="str">
        <f>IF(XT!$P67=0,Z67,"")</f>
        <v/>
      </c>
      <c r="AC67">
        <f>SUMPRODUCT((MONTH(CHOOSE({1,2,3,4},XT!U67,XT!Y67,XT!AC67,XT!AG67))=8)*(CHOOSE({1,2,3,4},XT!X67,XT!AB67,XT!AF67,XT!AJ67)))</f>
        <v>0</v>
      </c>
      <c r="AD67" t="str">
        <f>IFERROR(INDEX(CHOOSE({1,2,3,4}, DAY(XT!U67), DAY(XT!Y67), DAY(XT!AC67), DAY(XT!AG67)), MATCH(1, INDEX(--(MONTH(CHOOSE({1,2,3,4}, XT!U67,XT!Y67,XT!AC67,XT!AG67))=8), 0), 0)), "")</f>
        <v/>
      </c>
      <c r="AE67" s="12" t="str">
        <f>IF(XT!$P67&gt;0,AD67,"")</f>
        <v/>
      </c>
      <c r="AF67" s="12" t="str">
        <f>IF(XT!$P67=0,AD67,"")</f>
        <v/>
      </c>
      <c r="AG67">
        <f>SUMPRODUCT((MONTH(CHOOSE({1,2,3,4},XT!U67,XT!Y67,XT!AC67,XT!AG67))=9)*(CHOOSE({1,2,3,4},XT!X67,XT!AB67,XT!AF67,XT!AJ67)))</f>
        <v>0</v>
      </c>
      <c r="AH67" t="str">
        <f>IFERROR(INDEX(CHOOSE({1,2,3,4}, DAY(XT!U67), DAY(XT!Y67), DAY(XT!AC67), DAY(XT!AG67)), MATCH(1, INDEX(--(MONTH(CHOOSE({1,2,3,4}, XT!U67,XT!Y67,XT!AC67,XT!AG67))=9), 0), 0)), "")</f>
        <v/>
      </c>
      <c r="AI67" s="12" t="str">
        <f>IF(XT!$P67&gt;0,AH67,"")</f>
        <v/>
      </c>
      <c r="AJ67" s="12" t="str">
        <f>IF(XT!$P67=0,AH67,"")</f>
        <v/>
      </c>
      <c r="AK67">
        <f>SUMPRODUCT((MONTH(CHOOSE({1,2,3,4},XT!U67,XT!Y67,XT!AC67,XT!AG67))=10)*(CHOOSE({1,2,3,4},XT!X67,XT!AB67,XT!AF67,XT!AJ67)))</f>
        <v>0</v>
      </c>
      <c r="AL67" t="str">
        <f>IFERROR(INDEX(CHOOSE({1,2,3,4}, DAY(XT!U67), DAY(XT!Y67), DAY(XT!AC67), DAY(XT!AG67)), MATCH(1, INDEX(--(MONTH(CHOOSE({1,2,3,4}, XT!U67,XT!Y67,XT!AC67,XT!AG67))=10), 0), 0)), "")</f>
        <v/>
      </c>
      <c r="AM67" s="12" t="str">
        <f>IF(XT!$P67&gt;0,AL67,"")</f>
        <v/>
      </c>
      <c r="AN67" s="12" t="str">
        <f>IF(XT!$P67=0,AL67,"")</f>
        <v/>
      </c>
      <c r="AO67">
        <f>SUMPRODUCT((MONTH(CHOOSE({1,2,3,4},XT!U67,XT!Y67,XT!AC67,XT!AG67))=11)*(CHOOSE({1,2,3,4},XT!X67,XT!AB67,XT!AF67,XT!AJ67)))</f>
        <v>0</v>
      </c>
      <c r="AP67" t="str">
        <f>IFERROR(INDEX(CHOOSE({1,2,3,4}, DAY(XT!U67), DAY(XT!Y67), DAY(XT!AC67), DAY(XT!AG67)), MATCH(1, INDEX(--(MONTH(CHOOSE({1,2,3,4}, XT!U67,XT!Y67,XT!AC67,XT!AG67))=11), 0), 0)), "")</f>
        <v/>
      </c>
      <c r="AQ67" s="12" t="str">
        <f>IF(XT!$P67&gt;0,AP67,"")</f>
        <v/>
      </c>
      <c r="AR67" s="12" t="str">
        <f>IF(XT!$P67=0,AP67,"")</f>
        <v/>
      </c>
      <c r="AS67">
        <f>SUMPRODUCT((MONTH(CHOOSE({1,2,3,4},XT!U67,XT!Y67,XT!AC67,XT!AG67))=12)*(CHOOSE({1,2,3,4},XT!X67,XT!AB67,XT!AF67,XT!AJ67)))</f>
        <v>0</v>
      </c>
      <c r="AT67" t="str">
        <f>IFERROR(INDEX(CHOOSE({1,2,3,4}, DAY(XT!U67), DAY(XT!Y67), DAY(XT!AC67), DAY(XT!AG67)), MATCH(1, INDEX(--(MONTH(CHOOSE({1,2,3,4}, XT!U67,XT!Y67,XT!AC67,XT!AG67))=12), 0), 0)), "")</f>
        <v/>
      </c>
      <c r="AU67" s="12" t="str">
        <f>IF(XT!$P67&gt;0,AT67,"")</f>
        <v/>
      </c>
      <c r="AV67" s="12" t="str">
        <f>IF(XT!$P67=0,AT67,"")</f>
        <v/>
      </c>
    </row>
    <row r="68" spans="1:48">
      <c r="A68">
        <f>SUMPRODUCT((MONTH(CHOOSE({1,2,3,4},XT!U68,XT!Y68,XT!AC68,XT!AG68))=1)*(CHOOSE({1,2,3,4},XT!X68,XT!AB68,XT!AF68,XT!AJ68)))</f>
        <v>0</v>
      </c>
      <c r="B68">
        <f>IFERROR(INDEX(CHOOSE({1,2,3,4}, DAY(XT!U68), DAY(XT!Y68), DAY(XT!AC68), DAY(XT!AG68)), MATCH(1, INDEX(--(MONTH(CHOOSE({1,2,3,4}, XT!U68,XT!Y68,XT!AC68,XT!AG68))=1), 0), 0)), "")</f>
        <v>0</v>
      </c>
      <c r="C68" s="12" t="str">
        <f>IF(XT!$P68&gt;0,B68,"")</f>
        <v/>
      </c>
      <c r="D68" s="12">
        <f>IF(XT!$P68=0,B68,"")</f>
        <v>0</v>
      </c>
      <c r="E68">
        <f>SUMPRODUCT((MONTH(CHOOSE({1,2,3,4},XT!U68,XT!Y68,XT!AC68,XT!AG68))=2)*(CHOOSE({1,2,3,4},XT!X68,XT!AB68,XT!AF68,XT!AJ68)))</f>
        <v>0</v>
      </c>
      <c r="F68" t="str">
        <f>IFERROR(INDEX(CHOOSE({1,2,3,4}, DAY(XT!U68), DAY(XT!Y68), DAY(XT!AC68), DAY(XT!AG68)), MATCH(1, INDEX(--(MONTH(CHOOSE({1,2,3,4}, XT!U68,XT!Y68,XT!AC68,XT!AG68))=2), 0), 0)), "")</f>
        <v/>
      </c>
      <c r="G68" s="12" t="str">
        <f>IF(XT!$P68&gt;0,F68,"")</f>
        <v/>
      </c>
      <c r="H68" s="12" t="str">
        <f>IF(XT!$P68=0,F68,"")</f>
        <v/>
      </c>
      <c r="I68">
        <f>SUMPRODUCT((MONTH(CHOOSE({1,2,3,4},XT!U68,XT!Y68,XT!AC68,XT!AG68))=3)*(CHOOSE({1,2,3,4},XT!X68,XT!AB68,XT!AF68,XT!AJ68)))</f>
        <v>0</v>
      </c>
      <c r="J68" t="str">
        <f>IFERROR(INDEX(CHOOSE({1,2,3,4}, DAY(XT!U68), DAY(XT!Y68), DAY(XT!AC68), DAY(XT!AG68)), MATCH(1, INDEX(--(MONTH(CHOOSE({1,2,3,4}, XT!U68,XT!Y68,XT!AC68,XT!AG68))=3), 0), 0)), "")</f>
        <v/>
      </c>
      <c r="K68" s="12" t="str">
        <f>IF(XT!$P68&gt;0,J68,"")</f>
        <v/>
      </c>
      <c r="L68" s="12" t="str">
        <f>IF(XT!$P68=0,J68,"")</f>
        <v/>
      </c>
      <c r="M68">
        <f>SUMPRODUCT((MONTH(CHOOSE({1,2,3,4},XT!U68,XT!Y68,XT!AC68,XT!AG68))=4)*(CHOOSE({1,2,3,4},XT!X68,XT!AB68,XT!AF68,XT!AJ68)))</f>
        <v>0</v>
      </c>
      <c r="N68" t="str">
        <f>IFERROR(INDEX(CHOOSE({1,2,3,4}, DAY(XT!U68), DAY(XT!Y68), DAY(XT!AC68), DAY(XT!AG68)), MATCH(1, INDEX(--(MONTH(CHOOSE({1,2,3,4}, XT!U68,XT!Y68,XT!AC68,XT!AG68))=4), 0), 0)), "")</f>
        <v/>
      </c>
      <c r="O68" s="12" t="str">
        <f>IF(XT!$P68&gt;0,N68,"")</f>
        <v/>
      </c>
      <c r="P68" s="12" t="str">
        <f>IF(XT!$P68=0,N68,"")</f>
        <v/>
      </c>
      <c r="Q68">
        <f>SUMPRODUCT((MONTH(CHOOSE({1,2,3,4},XT!U68,XT!Y68,XT!AC68,XT!AG68))=5)*(CHOOSE({1,2,3,4},XT!X68,XT!AB68,XT!AF68,XT!AJ68)))</f>
        <v>0</v>
      </c>
      <c r="R68" t="str">
        <f>IFERROR(INDEX(CHOOSE({1,2,3,4}, DAY(XT!U68), DAY(XT!Y68), DAY(XT!AC68), DAY(XT!AG68)), MATCH(1, INDEX(--(MONTH(CHOOSE({1,2,3,4}, XT!U68,XT!Y68,XT!AC68,XT!AG68))=5), 0), 0)), "")</f>
        <v/>
      </c>
      <c r="S68" s="12" t="str">
        <f>IF(XT!$P68&gt;0,R68,"")</f>
        <v/>
      </c>
      <c r="T68" s="12" t="str">
        <f>IF(XT!$P68=0,R68,"")</f>
        <v/>
      </c>
      <c r="U68">
        <f>SUMPRODUCT((MONTH(CHOOSE({1,2,3,4},XT!U68,XT!Y68,XT!AC68,XT!AG68))=6)*(CHOOSE({1,2,3,4},XT!X68,XT!AB68,XT!AF68,XT!AJ68)))</f>
        <v>0</v>
      </c>
      <c r="V68" t="str">
        <f>IFERROR(INDEX(CHOOSE({1,2,3,4}, DAY(XT!U68), DAY(XT!Y68), DAY(XT!AC68), DAY(XT!AG68)), MATCH(1, INDEX(--(MONTH(CHOOSE({1,2,3,4}, XT!U68,XT!Y68,XT!AC68,XT!AG68))=6), 0), 0)), "")</f>
        <v/>
      </c>
      <c r="W68" s="12" t="str">
        <f>IF(XT!$P68&gt;0,V68,"")</f>
        <v/>
      </c>
      <c r="X68" s="12" t="str">
        <f>IF(XT!$P68=0,V68,"")</f>
        <v/>
      </c>
      <c r="Y68">
        <f>SUMPRODUCT((MONTH(CHOOSE({1,2,3,4},XT!U68,XT!Y68,XT!AC68,XT!AG68))=7)*(CHOOSE({1,2,3,4},XT!X68,XT!AB68,XT!AF68,XT!AJ68)))</f>
        <v>0</v>
      </c>
      <c r="Z68" t="str">
        <f>IFERROR(INDEX(CHOOSE({1,2,3,4}, DAY(XT!U68), DAY(XT!Y68), DAY(XT!AC68), DAY(XT!AG68)), MATCH(1, INDEX(--(MONTH(CHOOSE({1,2,3,4}, XT!U68,XT!Y68,XT!AC68,XT!AG68))=7), 0), 0)), "")</f>
        <v/>
      </c>
      <c r="AA68" s="12" t="str">
        <f>IF(XT!$P68&gt;0,Z68,"")</f>
        <v/>
      </c>
      <c r="AB68" s="12" t="str">
        <f>IF(XT!$P68=0,Z68,"")</f>
        <v/>
      </c>
      <c r="AC68">
        <f>SUMPRODUCT((MONTH(CHOOSE({1,2,3,4},XT!U68,XT!Y68,XT!AC68,XT!AG68))=8)*(CHOOSE({1,2,3,4},XT!X68,XT!AB68,XT!AF68,XT!AJ68)))</f>
        <v>0</v>
      </c>
      <c r="AD68" t="str">
        <f>IFERROR(INDEX(CHOOSE({1,2,3,4}, DAY(XT!U68), DAY(XT!Y68), DAY(XT!AC68), DAY(XT!AG68)), MATCH(1, INDEX(--(MONTH(CHOOSE({1,2,3,4}, XT!U68,XT!Y68,XT!AC68,XT!AG68))=8), 0), 0)), "")</f>
        <v/>
      </c>
      <c r="AE68" s="12" t="str">
        <f>IF(XT!$P68&gt;0,AD68,"")</f>
        <v/>
      </c>
      <c r="AF68" s="12" t="str">
        <f>IF(XT!$P68=0,AD68,"")</f>
        <v/>
      </c>
      <c r="AG68">
        <f>SUMPRODUCT((MONTH(CHOOSE({1,2,3,4},XT!U68,XT!Y68,XT!AC68,XT!AG68))=9)*(CHOOSE({1,2,3,4},XT!X68,XT!AB68,XT!AF68,XT!AJ68)))</f>
        <v>0</v>
      </c>
      <c r="AH68" t="str">
        <f>IFERROR(INDEX(CHOOSE({1,2,3,4}, DAY(XT!U68), DAY(XT!Y68), DAY(XT!AC68), DAY(XT!AG68)), MATCH(1, INDEX(--(MONTH(CHOOSE({1,2,3,4}, XT!U68,XT!Y68,XT!AC68,XT!AG68))=9), 0), 0)), "")</f>
        <v/>
      </c>
      <c r="AI68" s="12" t="str">
        <f>IF(XT!$P68&gt;0,AH68,"")</f>
        <v/>
      </c>
      <c r="AJ68" s="12" t="str">
        <f>IF(XT!$P68=0,AH68,"")</f>
        <v/>
      </c>
      <c r="AK68">
        <f>SUMPRODUCT((MONTH(CHOOSE({1,2,3,4},XT!U68,XT!Y68,XT!AC68,XT!AG68))=10)*(CHOOSE({1,2,3,4},XT!X68,XT!AB68,XT!AF68,XT!AJ68)))</f>
        <v>0</v>
      </c>
      <c r="AL68" t="str">
        <f>IFERROR(INDEX(CHOOSE({1,2,3,4}, DAY(XT!U68), DAY(XT!Y68), DAY(XT!AC68), DAY(XT!AG68)), MATCH(1, INDEX(--(MONTH(CHOOSE({1,2,3,4}, XT!U68,XT!Y68,XT!AC68,XT!AG68))=10), 0), 0)), "")</f>
        <v/>
      </c>
      <c r="AM68" s="12" t="str">
        <f>IF(XT!$P68&gt;0,AL68,"")</f>
        <v/>
      </c>
      <c r="AN68" s="12" t="str">
        <f>IF(XT!$P68=0,AL68,"")</f>
        <v/>
      </c>
      <c r="AO68">
        <f>SUMPRODUCT((MONTH(CHOOSE({1,2,3,4},XT!U68,XT!Y68,XT!AC68,XT!AG68))=11)*(CHOOSE({1,2,3,4},XT!X68,XT!AB68,XT!AF68,XT!AJ68)))</f>
        <v>0</v>
      </c>
      <c r="AP68" t="str">
        <f>IFERROR(INDEX(CHOOSE({1,2,3,4}, DAY(XT!U68), DAY(XT!Y68), DAY(XT!AC68), DAY(XT!AG68)), MATCH(1, INDEX(--(MONTH(CHOOSE({1,2,3,4}, XT!U68,XT!Y68,XT!AC68,XT!AG68))=11), 0), 0)), "")</f>
        <v/>
      </c>
      <c r="AQ68" s="12" t="str">
        <f>IF(XT!$P68&gt;0,AP68,"")</f>
        <v/>
      </c>
      <c r="AR68" s="12" t="str">
        <f>IF(XT!$P68=0,AP68,"")</f>
        <v/>
      </c>
      <c r="AS68">
        <f>SUMPRODUCT((MONTH(CHOOSE({1,2,3,4},XT!U68,XT!Y68,XT!AC68,XT!AG68))=12)*(CHOOSE({1,2,3,4},XT!X68,XT!AB68,XT!AF68,XT!AJ68)))</f>
        <v>0</v>
      </c>
      <c r="AT68" t="str">
        <f>IFERROR(INDEX(CHOOSE({1,2,3,4}, DAY(XT!U68), DAY(XT!Y68), DAY(XT!AC68), DAY(XT!AG68)), MATCH(1, INDEX(--(MONTH(CHOOSE({1,2,3,4}, XT!U68,XT!Y68,XT!AC68,XT!AG68))=12), 0), 0)), "")</f>
        <v/>
      </c>
      <c r="AU68" s="12" t="str">
        <f>IF(XT!$P68&gt;0,AT68,"")</f>
        <v/>
      </c>
      <c r="AV68" s="12" t="str">
        <f>IF(XT!$P68=0,AT68,"")</f>
        <v/>
      </c>
    </row>
    <row r="69" spans="1:48">
      <c r="A69">
        <f>SUMPRODUCT((MONTH(CHOOSE({1,2,3,4},XT!U69,XT!Y69,XT!AC69,XT!AG69))=1)*(CHOOSE({1,2,3,4},XT!X69,XT!AB69,XT!AF69,XT!AJ69)))</f>
        <v>0</v>
      </c>
      <c r="B69">
        <f>IFERROR(INDEX(CHOOSE({1,2,3,4}, DAY(XT!U69), DAY(XT!Y69), DAY(XT!AC69), DAY(XT!AG69)), MATCH(1, INDEX(--(MONTH(CHOOSE({1,2,3,4}, XT!U69,XT!Y69,XT!AC69,XT!AG69))=1), 0), 0)), "")</f>
        <v>0</v>
      </c>
      <c r="C69" s="12" t="str">
        <f>IF(XT!$P69&gt;0,B69,"")</f>
        <v/>
      </c>
      <c r="D69" s="12">
        <f>IF(XT!$P69=0,B69,"")</f>
        <v>0</v>
      </c>
      <c r="E69">
        <f>SUMPRODUCT((MONTH(CHOOSE({1,2,3,4},XT!U69,XT!Y69,XT!AC69,XT!AG69))=2)*(CHOOSE({1,2,3,4},XT!X69,XT!AB69,XT!AF69,XT!AJ69)))</f>
        <v>0</v>
      </c>
      <c r="F69" t="str">
        <f>IFERROR(INDEX(CHOOSE({1,2,3,4}, DAY(XT!U69), DAY(XT!Y69), DAY(XT!AC69), DAY(XT!AG69)), MATCH(1, INDEX(--(MONTH(CHOOSE({1,2,3,4}, XT!U69,XT!Y69,XT!AC69,XT!AG69))=2), 0), 0)), "")</f>
        <v/>
      </c>
      <c r="G69" s="12" t="str">
        <f>IF(XT!$P69&gt;0,F69,"")</f>
        <v/>
      </c>
      <c r="H69" s="12" t="str">
        <f>IF(XT!$P69=0,F69,"")</f>
        <v/>
      </c>
      <c r="I69">
        <f>SUMPRODUCT((MONTH(CHOOSE({1,2,3,4},XT!U69,XT!Y69,XT!AC69,XT!AG69))=3)*(CHOOSE({1,2,3,4},XT!X69,XT!AB69,XT!AF69,XT!AJ69)))</f>
        <v>0</v>
      </c>
      <c r="J69" t="str">
        <f>IFERROR(INDEX(CHOOSE({1,2,3,4}, DAY(XT!U69), DAY(XT!Y69), DAY(XT!AC69), DAY(XT!AG69)), MATCH(1, INDEX(--(MONTH(CHOOSE({1,2,3,4}, XT!U69,XT!Y69,XT!AC69,XT!AG69))=3), 0), 0)), "")</f>
        <v/>
      </c>
      <c r="K69" s="12" t="str">
        <f>IF(XT!$P69&gt;0,J69,"")</f>
        <v/>
      </c>
      <c r="L69" s="12" t="str">
        <f>IF(XT!$P69=0,J69,"")</f>
        <v/>
      </c>
      <c r="M69">
        <f>SUMPRODUCT((MONTH(CHOOSE({1,2,3,4},XT!U69,XT!Y69,XT!AC69,XT!AG69))=4)*(CHOOSE({1,2,3,4},XT!X69,XT!AB69,XT!AF69,XT!AJ69)))</f>
        <v>0</v>
      </c>
      <c r="N69" t="str">
        <f>IFERROR(INDEX(CHOOSE({1,2,3,4}, DAY(XT!U69), DAY(XT!Y69), DAY(XT!AC69), DAY(XT!AG69)), MATCH(1, INDEX(--(MONTH(CHOOSE({1,2,3,4}, XT!U69,XT!Y69,XT!AC69,XT!AG69))=4), 0), 0)), "")</f>
        <v/>
      </c>
      <c r="O69" s="12" t="str">
        <f>IF(XT!$P69&gt;0,N69,"")</f>
        <v/>
      </c>
      <c r="P69" s="12" t="str">
        <f>IF(XT!$P69=0,N69,"")</f>
        <v/>
      </c>
      <c r="Q69">
        <f>SUMPRODUCT((MONTH(CHOOSE({1,2,3,4},XT!U69,XT!Y69,XT!AC69,XT!AG69))=5)*(CHOOSE({1,2,3,4},XT!X69,XT!AB69,XT!AF69,XT!AJ69)))</f>
        <v>0</v>
      </c>
      <c r="R69" t="str">
        <f>IFERROR(INDEX(CHOOSE({1,2,3,4}, DAY(XT!U69), DAY(XT!Y69), DAY(XT!AC69), DAY(XT!AG69)), MATCH(1, INDEX(--(MONTH(CHOOSE({1,2,3,4}, XT!U69,XT!Y69,XT!AC69,XT!AG69))=5), 0), 0)), "")</f>
        <v/>
      </c>
      <c r="S69" s="12" t="str">
        <f>IF(XT!$P69&gt;0,R69,"")</f>
        <v/>
      </c>
      <c r="T69" s="12" t="str">
        <f>IF(XT!$P69=0,R69,"")</f>
        <v/>
      </c>
      <c r="U69">
        <f>SUMPRODUCT((MONTH(CHOOSE({1,2,3,4},XT!U69,XT!Y69,XT!AC69,XT!AG69))=6)*(CHOOSE({1,2,3,4},XT!X69,XT!AB69,XT!AF69,XT!AJ69)))</f>
        <v>0</v>
      </c>
      <c r="V69" t="str">
        <f>IFERROR(INDEX(CHOOSE({1,2,3,4}, DAY(XT!U69), DAY(XT!Y69), DAY(XT!AC69), DAY(XT!AG69)), MATCH(1, INDEX(--(MONTH(CHOOSE({1,2,3,4}, XT!U69,XT!Y69,XT!AC69,XT!AG69))=6), 0), 0)), "")</f>
        <v/>
      </c>
      <c r="W69" s="12" t="str">
        <f>IF(XT!$P69&gt;0,V69,"")</f>
        <v/>
      </c>
      <c r="X69" s="12" t="str">
        <f>IF(XT!$P69=0,V69,"")</f>
        <v/>
      </c>
      <c r="Y69">
        <f>SUMPRODUCT((MONTH(CHOOSE({1,2,3,4},XT!U69,XT!Y69,XT!AC69,XT!AG69))=7)*(CHOOSE({1,2,3,4},XT!X69,XT!AB69,XT!AF69,XT!AJ69)))</f>
        <v>0</v>
      </c>
      <c r="Z69" t="str">
        <f>IFERROR(INDEX(CHOOSE({1,2,3,4}, DAY(XT!U69), DAY(XT!Y69), DAY(XT!AC69), DAY(XT!AG69)), MATCH(1, INDEX(--(MONTH(CHOOSE({1,2,3,4}, XT!U69,XT!Y69,XT!AC69,XT!AG69))=7), 0), 0)), "")</f>
        <v/>
      </c>
      <c r="AA69" s="12" t="str">
        <f>IF(XT!$P69&gt;0,Z69,"")</f>
        <v/>
      </c>
      <c r="AB69" s="12" t="str">
        <f>IF(XT!$P69=0,Z69,"")</f>
        <v/>
      </c>
      <c r="AC69">
        <f>SUMPRODUCT((MONTH(CHOOSE({1,2,3,4},XT!U69,XT!Y69,XT!AC69,XT!AG69))=8)*(CHOOSE({1,2,3,4},XT!X69,XT!AB69,XT!AF69,XT!AJ69)))</f>
        <v>0</v>
      </c>
      <c r="AD69" t="str">
        <f>IFERROR(INDEX(CHOOSE({1,2,3,4}, DAY(XT!U69), DAY(XT!Y69), DAY(XT!AC69), DAY(XT!AG69)), MATCH(1, INDEX(--(MONTH(CHOOSE({1,2,3,4}, XT!U69,XT!Y69,XT!AC69,XT!AG69))=8), 0), 0)), "")</f>
        <v/>
      </c>
      <c r="AE69" s="12" t="str">
        <f>IF(XT!$P69&gt;0,AD69,"")</f>
        <v/>
      </c>
      <c r="AF69" s="12" t="str">
        <f>IF(XT!$P69=0,AD69,"")</f>
        <v/>
      </c>
      <c r="AG69">
        <f>SUMPRODUCT((MONTH(CHOOSE({1,2,3,4},XT!U69,XT!Y69,XT!AC69,XT!AG69))=9)*(CHOOSE({1,2,3,4},XT!X69,XT!AB69,XT!AF69,XT!AJ69)))</f>
        <v>0</v>
      </c>
      <c r="AH69" t="str">
        <f>IFERROR(INDEX(CHOOSE({1,2,3,4}, DAY(XT!U69), DAY(XT!Y69), DAY(XT!AC69), DAY(XT!AG69)), MATCH(1, INDEX(--(MONTH(CHOOSE({1,2,3,4}, XT!U69,XT!Y69,XT!AC69,XT!AG69))=9), 0), 0)), "")</f>
        <v/>
      </c>
      <c r="AI69" s="12" t="str">
        <f>IF(XT!$P69&gt;0,AH69,"")</f>
        <v/>
      </c>
      <c r="AJ69" s="12" t="str">
        <f>IF(XT!$P69=0,AH69,"")</f>
        <v/>
      </c>
      <c r="AK69">
        <f>SUMPRODUCT((MONTH(CHOOSE({1,2,3,4},XT!U69,XT!Y69,XT!AC69,XT!AG69))=10)*(CHOOSE({1,2,3,4},XT!X69,XT!AB69,XT!AF69,XT!AJ69)))</f>
        <v>0</v>
      </c>
      <c r="AL69" t="str">
        <f>IFERROR(INDEX(CHOOSE({1,2,3,4}, DAY(XT!U69), DAY(XT!Y69), DAY(XT!AC69), DAY(XT!AG69)), MATCH(1, INDEX(--(MONTH(CHOOSE({1,2,3,4}, XT!U69,XT!Y69,XT!AC69,XT!AG69))=10), 0), 0)), "")</f>
        <v/>
      </c>
      <c r="AM69" s="12" t="str">
        <f>IF(XT!$P69&gt;0,AL69,"")</f>
        <v/>
      </c>
      <c r="AN69" s="12" t="str">
        <f>IF(XT!$P69=0,AL69,"")</f>
        <v/>
      </c>
      <c r="AO69">
        <f>SUMPRODUCT((MONTH(CHOOSE({1,2,3,4},XT!U69,XT!Y69,XT!AC69,XT!AG69))=11)*(CHOOSE({1,2,3,4},XT!X69,XT!AB69,XT!AF69,XT!AJ69)))</f>
        <v>0</v>
      </c>
      <c r="AP69" t="str">
        <f>IFERROR(INDEX(CHOOSE({1,2,3,4}, DAY(XT!U69), DAY(XT!Y69), DAY(XT!AC69), DAY(XT!AG69)), MATCH(1, INDEX(--(MONTH(CHOOSE({1,2,3,4}, XT!U69,XT!Y69,XT!AC69,XT!AG69))=11), 0), 0)), "")</f>
        <v/>
      </c>
      <c r="AQ69" s="12" t="str">
        <f>IF(XT!$P69&gt;0,AP69,"")</f>
        <v/>
      </c>
      <c r="AR69" s="12" t="str">
        <f>IF(XT!$P69=0,AP69,"")</f>
        <v/>
      </c>
      <c r="AS69">
        <f>SUMPRODUCT((MONTH(CHOOSE({1,2,3,4},XT!U69,XT!Y69,XT!AC69,XT!AG69))=12)*(CHOOSE({1,2,3,4},XT!X69,XT!AB69,XT!AF69,XT!AJ69)))</f>
        <v>0</v>
      </c>
      <c r="AT69" t="str">
        <f>IFERROR(INDEX(CHOOSE({1,2,3,4}, DAY(XT!U69), DAY(XT!Y69), DAY(XT!AC69), DAY(XT!AG69)), MATCH(1, INDEX(--(MONTH(CHOOSE({1,2,3,4}, XT!U69,XT!Y69,XT!AC69,XT!AG69))=12), 0), 0)), "")</f>
        <v/>
      </c>
      <c r="AU69" s="12" t="str">
        <f>IF(XT!$P69&gt;0,AT69,"")</f>
        <v/>
      </c>
      <c r="AV69" s="12" t="str">
        <f>IF(XT!$P69=0,AT69,"")</f>
        <v/>
      </c>
    </row>
    <row r="70" spans="1:48">
      <c r="A70">
        <f>SUMPRODUCT((MONTH(CHOOSE({1,2,3,4},XT!U70,XT!Y70,XT!AC70,XT!AG70))=1)*(CHOOSE({1,2,3,4},XT!X70,XT!AB70,XT!AF70,XT!AJ70)))</f>
        <v>0</v>
      </c>
      <c r="B70">
        <f>IFERROR(INDEX(CHOOSE({1,2,3,4}, DAY(XT!U70), DAY(XT!Y70), DAY(XT!AC70), DAY(XT!AG70)), MATCH(1, INDEX(--(MONTH(CHOOSE({1,2,3,4}, XT!U70,XT!Y70,XT!AC70,XT!AG70))=1), 0), 0)), "")</f>
        <v>0</v>
      </c>
      <c r="C70" s="12" t="str">
        <f>IF(XT!$P70&gt;0,B70,"")</f>
        <v/>
      </c>
      <c r="D70" s="12">
        <f>IF(XT!$P70=0,B70,"")</f>
        <v>0</v>
      </c>
      <c r="E70">
        <f>SUMPRODUCT((MONTH(CHOOSE({1,2,3,4},XT!U70,XT!Y70,XT!AC70,XT!AG70))=2)*(CHOOSE({1,2,3,4},XT!X70,XT!AB70,XT!AF70,XT!AJ70)))</f>
        <v>0</v>
      </c>
      <c r="F70" t="str">
        <f>IFERROR(INDEX(CHOOSE({1,2,3,4}, DAY(XT!U70), DAY(XT!Y70), DAY(XT!AC70), DAY(XT!AG70)), MATCH(1, INDEX(--(MONTH(CHOOSE({1,2,3,4}, XT!U70,XT!Y70,XT!AC70,XT!AG70))=2), 0), 0)), "")</f>
        <v/>
      </c>
      <c r="G70" s="12" t="str">
        <f>IF(XT!$P70&gt;0,F70,"")</f>
        <v/>
      </c>
      <c r="H70" s="12" t="str">
        <f>IF(XT!$P70=0,F70,"")</f>
        <v/>
      </c>
      <c r="I70">
        <f>SUMPRODUCT((MONTH(CHOOSE({1,2,3,4},XT!U70,XT!Y70,XT!AC70,XT!AG70))=3)*(CHOOSE({1,2,3,4},XT!X70,XT!AB70,XT!AF70,XT!AJ70)))</f>
        <v>0</v>
      </c>
      <c r="J70" t="str">
        <f>IFERROR(INDEX(CHOOSE({1,2,3,4}, DAY(XT!U70), DAY(XT!Y70), DAY(XT!AC70), DAY(XT!AG70)), MATCH(1, INDEX(--(MONTH(CHOOSE({1,2,3,4}, XT!U70,XT!Y70,XT!AC70,XT!AG70))=3), 0), 0)), "")</f>
        <v/>
      </c>
      <c r="K70" s="12" t="str">
        <f>IF(XT!$P70&gt;0,J70,"")</f>
        <v/>
      </c>
      <c r="L70" s="12" t="str">
        <f>IF(XT!$P70=0,J70,"")</f>
        <v/>
      </c>
      <c r="M70">
        <f>SUMPRODUCT((MONTH(CHOOSE({1,2,3,4},XT!U70,XT!Y70,XT!AC70,XT!AG70))=4)*(CHOOSE({1,2,3,4},XT!X70,XT!AB70,XT!AF70,XT!AJ70)))</f>
        <v>0</v>
      </c>
      <c r="N70" t="str">
        <f>IFERROR(INDEX(CHOOSE({1,2,3,4}, DAY(XT!U70), DAY(XT!Y70), DAY(XT!AC70), DAY(XT!AG70)), MATCH(1, INDEX(--(MONTH(CHOOSE({1,2,3,4}, XT!U70,XT!Y70,XT!AC70,XT!AG70))=4), 0), 0)), "")</f>
        <v/>
      </c>
      <c r="O70" s="12" t="str">
        <f>IF(XT!$P70&gt;0,N70,"")</f>
        <v/>
      </c>
      <c r="P70" s="12" t="str">
        <f>IF(XT!$P70=0,N70,"")</f>
        <v/>
      </c>
      <c r="Q70">
        <f>SUMPRODUCT((MONTH(CHOOSE({1,2,3,4},XT!U70,XT!Y70,XT!AC70,XT!AG70))=5)*(CHOOSE({1,2,3,4},XT!X70,XT!AB70,XT!AF70,XT!AJ70)))</f>
        <v>0</v>
      </c>
      <c r="R70" t="str">
        <f>IFERROR(INDEX(CHOOSE({1,2,3,4}, DAY(XT!U70), DAY(XT!Y70), DAY(XT!AC70), DAY(XT!AG70)), MATCH(1, INDEX(--(MONTH(CHOOSE({1,2,3,4}, XT!U70,XT!Y70,XT!AC70,XT!AG70))=5), 0), 0)), "")</f>
        <v/>
      </c>
      <c r="S70" s="12" t="str">
        <f>IF(XT!$P70&gt;0,R70,"")</f>
        <v/>
      </c>
      <c r="T70" s="12" t="str">
        <f>IF(XT!$P70=0,R70,"")</f>
        <v/>
      </c>
      <c r="U70">
        <f>SUMPRODUCT((MONTH(CHOOSE({1,2,3,4},XT!U70,XT!Y70,XT!AC70,XT!AG70))=6)*(CHOOSE({1,2,3,4},XT!X70,XT!AB70,XT!AF70,XT!AJ70)))</f>
        <v>0</v>
      </c>
      <c r="V70" t="str">
        <f>IFERROR(INDEX(CHOOSE({1,2,3,4}, DAY(XT!U70), DAY(XT!Y70), DAY(XT!AC70), DAY(XT!AG70)), MATCH(1, INDEX(--(MONTH(CHOOSE({1,2,3,4}, XT!U70,XT!Y70,XT!AC70,XT!AG70))=6), 0), 0)), "")</f>
        <v/>
      </c>
      <c r="W70" s="12" t="str">
        <f>IF(XT!$P70&gt;0,V70,"")</f>
        <v/>
      </c>
      <c r="X70" s="12" t="str">
        <f>IF(XT!$P70=0,V70,"")</f>
        <v/>
      </c>
      <c r="Y70">
        <f>SUMPRODUCT((MONTH(CHOOSE({1,2,3,4},XT!U70,XT!Y70,XT!AC70,XT!AG70))=7)*(CHOOSE({1,2,3,4},XT!X70,XT!AB70,XT!AF70,XT!AJ70)))</f>
        <v>0</v>
      </c>
      <c r="Z70" t="str">
        <f>IFERROR(INDEX(CHOOSE({1,2,3,4}, DAY(XT!U70), DAY(XT!Y70), DAY(XT!AC70), DAY(XT!AG70)), MATCH(1, INDEX(--(MONTH(CHOOSE({1,2,3,4}, XT!U70,XT!Y70,XT!AC70,XT!AG70))=7), 0), 0)), "")</f>
        <v/>
      </c>
      <c r="AA70" s="12" t="str">
        <f>IF(XT!$P70&gt;0,Z70,"")</f>
        <v/>
      </c>
      <c r="AB70" s="12" t="str">
        <f>IF(XT!$P70=0,Z70,"")</f>
        <v/>
      </c>
      <c r="AC70">
        <f>SUMPRODUCT((MONTH(CHOOSE({1,2,3,4},XT!U70,XT!Y70,XT!AC70,XT!AG70))=8)*(CHOOSE({1,2,3,4},XT!X70,XT!AB70,XT!AF70,XT!AJ70)))</f>
        <v>0</v>
      </c>
      <c r="AD70" t="str">
        <f>IFERROR(INDEX(CHOOSE({1,2,3,4}, DAY(XT!U70), DAY(XT!Y70), DAY(XT!AC70), DAY(XT!AG70)), MATCH(1, INDEX(--(MONTH(CHOOSE({1,2,3,4}, XT!U70,XT!Y70,XT!AC70,XT!AG70))=8), 0), 0)), "")</f>
        <v/>
      </c>
      <c r="AE70" s="12" t="str">
        <f>IF(XT!$P70&gt;0,AD70,"")</f>
        <v/>
      </c>
      <c r="AF70" s="12" t="str">
        <f>IF(XT!$P70=0,AD70,"")</f>
        <v/>
      </c>
      <c r="AG70">
        <f>SUMPRODUCT((MONTH(CHOOSE({1,2,3,4},XT!U70,XT!Y70,XT!AC70,XT!AG70))=9)*(CHOOSE({1,2,3,4},XT!X70,XT!AB70,XT!AF70,XT!AJ70)))</f>
        <v>0</v>
      </c>
      <c r="AH70" t="str">
        <f>IFERROR(INDEX(CHOOSE({1,2,3,4}, DAY(XT!U70), DAY(XT!Y70), DAY(XT!AC70), DAY(XT!AG70)), MATCH(1, INDEX(--(MONTH(CHOOSE({1,2,3,4}, XT!U70,XT!Y70,XT!AC70,XT!AG70))=9), 0), 0)), "")</f>
        <v/>
      </c>
      <c r="AI70" s="12" t="str">
        <f>IF(XT!$P70&gt;0,AH70,"")</f>
        <v/>
      </c>
      <c r="AJ70" s="12" t="str">
        <f>IF(XT!$P70=0,AH70,"")</f>
        <v/>
      </c>
      <c r="AK70">
        <f>SUMPRODUCT((MONTH(CHOOSE({1,2,3,4},XT!U70,XT!Y70,XT!AC70,XT!AG70))=10)*(CHOOSE({1,2,3,4},XT!X70,XT!AB70,XT!AF70,XT!AJ70)))</f>
        <v>0</v>
      </c>
      <c r="AL70" t="str">
        <f>IFERROR(INDEX(CHOOSE({1,2,3,4}, DAY(XT!U70), DAY(XT!Y70), DAY(XT!AC70), DAY(XT!AG70)), MATCH(1, INDEX(--(MONTH(CHOOSE({1,2,3,4}, XT!U70,XT!Y70,XT!AC70,XT!AG70))=10), 0), 0)), "")</f>
        <v/>
      </c>
      <c r="AM70" s="12" t="str">
        <f>IF(XT!$P70&gt;0,AL70,"")</f>
        <v/>
      </c>
      <c r="AN70" s="12" t="str">
        <f>IF(XT!$P70=0,AL70,"")</f>
        <v/>
      </c>
      <c r="AO70">
        <f>SUMPRODUCT((MONTH(CHOOSE({1,2,3,4},XT!U70,XT!Y70,XT!AC70,XT!AG70))=11)*(CHOOSE({1,2,3,4},XT!X70,XT!AB70,XT!AF70,XT!AJ70)))</f>
        <v>0</v>
      </c>
      <c r="AP70" t="str">
        <f>IFERROR(INDEX(CHOOSE({1,2,3,4}, DAY(XT!U70), DAY(XT!Y70), DAY(XT!AC70), DAY(XT!AG70)), MATCH(1, INDEX(--(MONTH(CHOOSE({1,2,3,4}, XT!U70,XT!Y70,XT!AC70,XT!AG70))=11), 0), 0)), "")</f>
        <v/>
      </c>
      <c r="AQ70" s="12" t="str">
        <f>IF(XT!$P70&gt;0,AP70,"")</f>
        <v/>
      </c>
      <c r="AR70" s="12" t="str">
        <f>IF(XT!$P70=0,AP70,"")</f>
        <v/>
      </c>
      <c r="AS70">
        <f>SUMPRODUCT((MONTH(CHOOSE({1,2,3,4},XT!U70,XT!Y70,XT!AC70,XT!AG70))=12)*(CHOOSE({1,2,3,4},XT!X70,XT!AB70,XT!AF70,XT!AJ70)))</f>
        <v>0</v>
      </c>
      <c r="AT70" t="str">
        <f>IFERROR(INDEX(CHOOSE({1,2,3,4}, DAY(XT!U70), DAY(XT!Y70), DAY(XT!AC70), DAY(XT!AG70)), MATCH(1, INDEX(--(MONTH(CHOOSE({1,2,3,4}, XT!U70,XT!Y70,XT!AC70,XT!AG70))=12), 0), 0)), "")</f>
        <v/>
      </c>
      <c r="AU70" s="12" t="str">
        <f>IF(XT!$P70&gt;0,AT70,"")</f>
        <v/>
      </c>
      <c r="AV70" s="12" t="str">
        <f>IF(XT!$P70=0,AT70,"")</f>
        <v/>
      </c>
    </row>
    <row r="71" spans="1:48">
      <c r="A71">
        <f>SUMPRODUCT((MONTH(CHOOSE({1,2,3,4},XT!U71,XT!Y71,XT!AC71,XT!AG71))=1)*(CHOOSE({1,2,3,4},XT!X71,XT!AB71,XT!AF71,XT!AJ71)))</f>
        <v>0</v>
      </c>
      <c r="B71">
        <f>IFERROR(INDEX(CHOOSE({1,2,3,4}, DAY(XT!U71), DAY(XT!Y71), DAY(XT!AC71), DAY(XT!AG71)), MATCH(1, INDEX(--(MONTH(CHOOSE({1,2,3,4}, XT!U71,XT!Y71,XT!AC71,XT!AG71))=1), 0), 0)), "")</f>
        <v>0</v>
      </c>
      <c r="C71" s="12" t="str">
        <f>IF(XT!$P71&gt;0,B71,"")</f>
        <v/>
      </c>
      <c r="D71" s="12">
        <f>IF(XT!$P71=0,B71,"")</f>
        <v>0</v>
      </c>
      <c r="E71">
        <f>SUMPRODUCT((MONTH(CHOOSE({1,2,3,4},XT!U71,XT!Y71,XT!AC71,XT!AG71))=2)*(CHOOSE({1,2,3,4},XT!X71,XT!AB71,XT!AF71,XT!AJ71)))</f>
        <v>0</v>
      </c>
      <c r="F71" t="str">
        <f>IFERROR(INDEX(CHOOSE({1,2,3,4}, DAY(XT!U71), DAY(XT!Y71), DAY(XT!AC71), DAY(XT!AG71)), MATCH(1, INDEX(--(MONTH(CHOOSE({1,2,3,4}, XT!U71,XT!Y71,XT!AC71,XT!AG71))=2), 0), 0)), "")</f>
        <v/>
      </c>
      <c r="G71" s="12" t="str">
        <f>IF(XT!$P71&gt;0,F71,"")</f>
        <v/>
      </c>
      <c r="H71" s="12" t="str">
        <f>IF(XT!$P71=0,F71,"")</f>
        <v/>
      </c>
      <c r="I71">
        <f>SUMPRODUCT((MONTH(CHOOSE({1,2,3,4},XT!U71,XT!Y71,XT!AC71,XT!AG71))=3)*(CHOOSE({1,2,3,4},XT!X71,XT!AB71,XT!AF71,XT!AJ71)))</f>
        <v>0</v>
      </c>
      <c r="J71" t="str">
        <f>IFERROR(INDEX(CHOOSE({1,2,3,4}, DAY(XT!U71), DAY(XT!Y71), DAY(XT!AC71), DAY(XT!AG71)), MATCH(1, INDEX(--(MONTH(CHOOSE({1,2,3,4}, XT!U71,XT!Y71,XT!AC71,XT!AG71))=3), 0), 0)), "")</f>
        <v/>
      </c>
      <c r="K71" s="12" t="str">
        <f>IF(XT!$P71&gt;0,J71,"")</f>
        <v/>
      </c>
      <c r="L71" s="12" t="str">
        <f>IF(XT!$P71=0,J71,"")</f>
        <v/>
      </c>
      <c r="M71">
        <f>SUMPRODUCT((MONTH(CHOOSE({1,2,3,4},XT!U71,XT!Y71,XT!AC71,XT!AG71))=4)*(CHOOSE({1,2,3,4},XT!X71,XT!AB71,XT!AF71,XT!AJ71)))</f>
        <v>0</v>
      </c>
      <c r="N71" t="str">
        <f>IFERROR(INDEX(CHOOSE({1,2,3,4}, DAY(XT!U71), DAY(XT!Y71), DAY(XT!AC71), DAY(XT!AG71)), MATCH(1, INDEX(--(MONTH(CHOOSE({1,2,3,4}, XT!U71,XT!Y71,XT!AC71,XT!AG71))=4), 0), 0)), "")</f>
        <v/>
      </c>
      <c r="O71" s="12" t="str">
        <f>IF(XT!$P71&gt;0,N71,"")</f>
        <v/>
      </c>
      <c r="P71" s="12" t="str">
        <f>IF(XT!$P71=0,N71,"")</f>
        <v/>
      </c>
      <c r="Q71">
        <f>SUMPRODUCT((MONTH(CHOOSE({1,2,3,4},XT!U71,XT!Y71,XT!AC71,XT!AG71))=5)*(CHOOSE({1,2,3,4},XT!X71,XT!AB71,XT!AF71,XT!AJ71)))</f>
        <v>0</v>
      </c>
      <c r="R71" t="str">
        <f>IFERROR(INDEX(CHOOSE({1,2,3,4}, DAY(XT!U71), DAY(XT!Y71), DAY(XT!AC71), DAY(XT!AG71)), MATCH(1, INDEX(--(MONTH(CHOOSE({1,2,3,4}, XT!U71,XT!Y71,XT!AC71,XT!AG71))=5), 0), 0)), "")</f>
        <v/>
      </c>
      <c r="S71" s="12" t="str">
        <f>IF(XT!$P71&gt;0,R71,"")</f>
        <v/>
      </c>
      <c r="T71" s="12" t="str">
        <f>IF(XT!$P71=0,R71,"")</f>
        <v/>
      </c>
      <c r="U71">
        <f>SUMPRODUCT((MONTH(CHOOSE({1,2,3,4},XT!U71,XT!Y71,XT!AC71,XT!AG71))=6)*(CHOOSE({1,2,3,4},XT!X71,XT!AB71,XT!AF71,XT!AJ71)))</f>
        <v>0</v>
      </c>
      <c r="V71" t="str">
        <f>IFERROR(INDEX(CHOOSE({1,2,3,4}, DAY(XT!U71), DAY(XT!Y71), DAY(XT!AC71), DAY(XT!AG71)), MATCH(1, INDEX(--(MONTH(CHOOSE({1,2,3,4}, XT!U71,XT!Y71,XT!AC71,XT!AG71))=6), 0), 0)), "")</f>
        <v/>
      </c>
      <c r="W71" s="12" t="str">
        <f>IF(XT!$P71&gt;0,V71,"")</f>
        <v/>
      </c>
      <c r="X71" s="12" t="str">
        <f>IF(XT!$P71=0,V71,"")</f>
        <v/>
      </c>
      <c r="Y71">
        <f>SUMPRODUCT((MONTH(CHOOSE({1,2,3,4},XT!U71,XT!Y71,XT!AC71,XT!AG71))=7)*(CHOOSE({1,2,3,4},XT!X71,XT!AB71,XT!AF71,XT!AJ71)))</f>
        <v>0</v>
      </c>
      <c r="Z71" t="str">
        <f>IFERROR(INDEX(CHOOSE({1,2,3,4}, DAY(XT!U71), DAY(XT!Y71), DAY(XT!AC71), DAY(XT!AG71)), MATCH(1, INDEX(--(MONTH(CHOOSE({1,2,3,4}, XT!U71,XT!Y71,XT!AC71,XT!AG71))=7), 0), 0)), "")</f>
        <v/>
      </c>
      <c r="AA71" s="12" t="str">
        <f>IF(XT!$P71&gt;0,Z71,"")</f>
        <v/>
      </c>
      <c r="AB71" s="12" t="str">
        <f>IF(XT!$P71=0,Z71,"")</f>
        <v/>
      </c>
      <c r="AC71">
        <f>SUMPRODUCT((MONTH(CHOOSE({1,2,3,4},XT!U71,XT!Y71,XT!AC71,XT!AG71))=8)*(CHOOSE({1,2,3,4},XT!X71,XT!AB71,XT!AF71,XT!AJ71)))</f>
        <v>0</v>
      </c>
      <c r="AD71" t="str">
        <f>IFERROR(INDEX(CHOOSE({1,2,3,4}, DAY(XT!U71), DAY(XT!Y71), DAY(XT!AC71), DAY(XT!AG71)), MATCH(1, INDEX(--(MONTH(CHOOSE({1,2,3,4}, XT!U71,XT!Y71,XT!AC71,XT!AG71))=8), 0), 0)), "")</f>
        <v/>
      </c>
      <c r="AE71" s="12" t="str">
        <f>IF(XT!$P71&gt;0,AD71,"")</f>
        <v/>
      </c>
      <c r="AF71" s="12" t="str">
        <f>IF(XT!$P71=0,AD71,"")</f>
        <v/>
      </c>
      <c r="AG71">
        <f>SUMPRODUCT((MONTH(CHOOSE({1,2,3,4},XT!U71,XT!Y71,XT!AC71,XT!AG71))=9)*(CHOOSE({1,2,3,4},XT!X71,XT!AB71,XT!AF71,XT!AJ71)))</f>
        <v>0</v>
      </c>
      <c r="AH71" t="str">
        <f>IFERROR(INDEX(CHOOSE({1,2,3,4}, DAY(XT!U71), DAY(XT!Y71), DAY(XT!AC71), DAY(XT!AG71)), MATCH(1, INDEX(--(MONTH(CHOOSE({1,2,3,4}, XT!U71,XT!Y71,XT!AC71,XT!AG71))=9), 0), 0)), "")</f>
        <v/>
      </c>
      <c r="AI71" s="12" t="str">
        <f>IF(XT!$P71&gt;0,AH71,"")</f>
        <v/>
      </c>
      <c r="AJ71" s="12" t="str">
        <f>IF(XT!$P71=0,AH71,"")</f>
        <v/>
      </c>
      <c r="AK71">
        <f>SUMPRODUCT((MONTH(CHOOSE({1,2,3,4},XT!U71,XT!Y71,XT!AC71,XT!AG71))=10)*(CHOOSE({1,2,3,4},XT!X71,XT!AB71,XT!AF71,XT!AJ71)))</f>
        <v>0</v>
      </c>
      <c r="AL71" t="str">
        <f>IFERROR(INDEX(CHOOSE({1,2,3,4}, DAY(XT!U71), DAY(XT!Y71), DAY(XT!AC71), DAY(XT!AG71)), MATCH(1, INDEX(--(MONTH(CHOOSE({1,2,3,4}, XT!U71,XT!Y71,XT!AC71,XT!AG71))=10), 0), 0)), "")</f>
        <v/>
      </c>
      <c r="AM71" s="12" t="str">
        <f>IF(XT!$P71&gt;0,AL71,"")</f>
        <v/>
      </c>
      <c r="AN71" s="12" t="str">
        <f>IF(XT!$P71=0,AL71,"")</f>
        <v/>
      </c>
      <c r="AO71">
        <f>SUMPRODUCT((MONTH(CHOOSE({1,2,3,4},XT!U71,XT!Y71,XT!AC71,XT!AG71))=11)*(CHOOSE({1,2,3,4},XT!X71,XT!AB71,XT!AF71,XT!AJ71)))</f>
        <v>0</v>
      </c>
      <c r="AP71" t="str">
        <f>IFERROR(INDEX(CHOOSE({1,2,3,4}, DAY(XT!U71), DAY(XT!Y71), DAY(XT!AC71), DAY(XT!AG71)), MATCH(1, INDEX(--(MONTH(CHOOSE({1,2,3,4}, XT!U71,XT!Y71,XT!AC71,XT!AG71))=11), 0), 0)), "")</f>
        <v/>
      </c>
      <c r="AQ71" s="12" t="str">
        <f>IF(XT!$P71&gt;0,AP71,"")</f>
        <v/>
      </c>
      <c r="AR71" s="12" t="str">
        <f>IF(XT!$P71=0,AP71,"")</f>
        <v/>
      </c>
      <c r="AS71">
        <f>SUMPRODUCT((MONTH(CHOOSE({1,2,3,4},XT!U71,XT!Y71,XT!AC71,XT!AG71))=12)*(CHOOSE({1,2,3,4},XT!X71,XT!AB71,XT!AF71,XT!AJ71)))</f>
        <v>0</v>
      </c>
      <c r="AT71" t="str">
        <f>IFERROR(INDEX(CHOOSE({1,2,3,4}, DAY(XT!U71), DAY(XT!Y71), DAY(XT!AC71), DAY(XT!AG71)), MATCH(1, INDEX(--(MONTH(CHOOSE({1,2,3,4}, XT!U71,XT!Y71,XT!AC71,XT!AG71))=12), 0), 0)), "")</f>
        <v/>
      </c>
      <c r="AU71" s="12" t="str">
        <f>IF(XT!$P71&gt;0,AT71,"")</f>
        <v/>
      </c>
      <c r="AV71" s="12" t="str">
        <f>IF(XT!$P71=0,AT71,"")</f>
        <v/>
      </c>
    </row>
    <row r="72" spans="1:48">
      <c r="A72">
        <f>SUMPRODUCT((MONTH(CHOOSE({1,2,3,4},XT!U72,XT!Y72,XT!AC72,XT!AG72))=1)*(CHOOSE({1,2,3,4},XT!X72,XT!AB72,XT!AF72,XT!AJ72)))</f>
        <v>0</v>
      </c>
      <c r="B72">
        <f>IFERROR(INDEX(CHOOSE({1,2,3,4}, DAY(XT!U72), DAY(XT!Y72), DAY(XT!AC72), DAY(XT!AG72)), MATCH(1, INDEX(--(MONTH(CHOOSE({1,2,3,4}, XT!U72,XT!Y72,XT!AC72,XT!AG72))=1), 0), 0)), "")</f>
        <v>0</v>
      </c>
      <c r="C72" s="12" t="str">
        <f>IF(XT!$P72&gt;0,B72,"")</f>
        <v/>
      </c>
      <c r="D72" s="12">
        <f>IF(XT!$P72=0,B72,"")</f>
        <v>0</v>
      </c>
      <c r="E72">
        <f>SUMPRODUCT((MONTH(CHOOSE({1,2,3,4},XT!U72,XT!Y72,XT!AC72,XT!AG72))=2)*(CHOOSE({1,2,3,4},XT!X72,XT!AB72,XT!AF72,XT!AJ72)))</f>
        <v>0</v>
      </c>
      <c r="F72" t="str">
        <f>IFERROR(INDEX(CHOOSE({1,2,3,4}, DAY(XT!U72), DAY(XT!Y72), DAY(XT!AC72), DAY(XT!AG72)), MATCH(1, INDEX(--(MONTH(CHOOSE({1,2,3,4}, XT!U72,XT!Y72,XT!AC72,XT!AG72))=2), 0), 0)), "")</f>
        <v/>
      </c>
      <c r="G72" s="12" t="str">
        <f>IF(XT!$P72&gt;0,F72,"")</f>
        <v/>
      </c>
      <c r="H72" s="12" t="str">
        <f>IF(XT!$P72=0,F72,"")</f>
        <v/>
      </c>
      <c r="I72">
        <f>SUMPRODUCT((MONTH(CHOOSE({1,2,3,4},XT!U72,XT!Y72,XT!AC72,XT!AG72))=3)*(CHOOSE({1,2,3,4},XT!X72,XT!AB72,XT!AF72,XT!AJ72)))</f>
        <v>0</v>
      </c>
      <c r="J72" t="str">
        <f>IFERROR(INDEX(CHOOSE({1,2,3,4}, DAY(XT!U72), DAY(XT!Y72), DAY(XT!AC72), DAY(XT!AG72)), MATCH(1, INDEX(--(MONTH(CHOOSE({1,2,3,4}, XT!U72,XT!Y72,XT!AC72,XT!AG72))=3), 0), 0)), "")</f>
        <v/>
      </c>
      <c r="K72" s="12" t="str">
        <f>IF(XT!$P72&gt;0,J72,"")</f>
        <v/>
      </c>
      <c r="L72" s="12" t="str">
        <f>IF(XT!$P72=0,J72,"")</f>
        <v/>
      </c>
      <c r="M72">
        <f>SUMPRODUCT((MONTH(CHOOSE({1,2,3,4},XT!U72,XT!Y72,XT!AC72,XT!AG72))=4)*(CHOOSE({1,2,3,4},XT!X72,XT!AB72,XT!AF72,XT!AJ72)))</f>
        <v>0</v>
      </c>
      <c r="N72" t="str">
        <f>IFERROR(INDEX(CHOOSE({1,2,3,4}, DAY(XT!U72), DAY(XT!Y72), DAY(XT!AC72), DAY(XT!AG72)), MATCH(1, INDEX(--(MONTH(CHOOSE({1,2,3,4}, XT!U72,XT!Y72,XT!AC72,XT!AG72))=4), 0), 0)), "")</f>
        <v/>
      </c>
      <c r="O72" s="12" t="str">
        <f>IF(XT!$P72&gt;0,N72,"")</f>
        <v/>
      </c>
      <c r="P72" s="12" t="str">
        <f>IF(XT!$P72=0,N72,"")</f>
        <v/>
      </c>
      <c r="Q72">
        <f>SUMPRODUCT((MONTH(CHOOSE({1,2,3,4},XT!U72,XT!Y72,XT!AC72,XT!AG72))=5)*(CHOOSE({1,2,3,4},XT!X72,XT!AB72,XT!AF72,XT!AJ72)))</f>
        <v>0</v>
      </c>
      <c r="R72" t="str">
        <f>IFERROR(INDEX(CHOOSE({1,2,3,4}, DAY(XT!U72), DAY(XT!Y72), DAY(XT!AC72), DAY(XT!AG72)), MATCH(1, INDEX(--(MONTH(CHOOSE({1,2,3,4}, XT!U72,XT!Y72,XT!AC72,XT!AG72))=5), 0), 0)), "")</f>
        <v/>
      </c>
      <c r="S72" s="12" t="str">
        <f>IF(XT!$P72&gt;0,R72,"")</f>
        <v/>
      </c>
      <c r="T72" s="12" t="str">
        <f>IF(XT!$P72=0,R72,"")</f>
        <v/>
      </c>
      <c r="U72">
        <f>SUMPRODUCT((MONTH(CHOOSE({1,2,3,4},XT!U72,XT!Y72,XT!AC72,XT!AG72))=6)*(CHOOSE({1,2,3,4},XT!X72,XT!AB72,XT!AF72,XT!AJ72)))</f>
        <v>0</v>
      </c>
      <c r="V72" t="str">
        <f>IFERROR(INDEX(CHOOSE({1,2,3,4}, DAY(XT!U72), DAY(XT!Y72), DAY(XT!AC72), DAY(XT!AG72)), MATCH(1, INDEX(--(MONTH(CHOOSE({1,2,3,4}, XT!U72,XT!Y72,XT!AC72,XT!AG72))=6), 0), 0)), "")</f>
        <v/>
      </c>
      <c r="W72" s="12" t="str">
        <f>IF(XT!$P72&gt;0,V72,"")</f>
        <v/>
      </c>
      <c r="X72" s="12" t="str">
        <f>IF(XT!$P72=0,V72,"")</f>
        <v/>
      </c>
      <c r="Y72">
        <f>SUMPRODUCT((MONTH(CHOOSE({1,2,3,4},XT!U72,XT!Y72,XT!AC72,XT!AG72))=7)*(CHOOSE({1,2,3,4},XT!X72,XT!AB72,XT!AF72,XT!AJ72)))</f>
        <v>0</v>
      </c>
      <c r="Z72" t="str">
        <f>IFERROR(INDEX(CHOOSE({1,2,3,4}, DAY(XT!U72), DAY(XT!Y72), DAY(XT!AC72), DAY(XT!AG72)), MATCH(1, INDEX(--(MONTH(CHOOSE({1,2,3,4}, XT!U72,XT!Y72,XT!AC72,XT!AG72))=7), 0), 0)), "")</f>
        <v/>
      </c>
      <c r="AA72" s="12" t="str">
        <f>IF(XT!$P72&gt;0,Z72,"")</f>
        <v/>
      </c>
      <c r="AB72" s="12" t="str">
        <f>IF(XT!$P72=0,Z72,"")</f>
        <v/>
      </c>
      <c r="AC72">
        <f>SUMPRODUCT((MONTH(CHOOSE({1,2,3,4},XT!U72,XT!Y72,XT!AC72,XT!AG72))=8)*(CHOOSE({1,2,3,4},XT!X72,XT!AB72,XT!AF72,XT!AJ72)))</f>
        <v>0</v>
      </c>
      <c r="AD72" t="str">
        <f>IFERROR(INDEX(CHOOSE({1,2,3,4}, DAY(XT!U72), DAY(XT!Y72), DAY(XT!AC72), DAY(XT!AG72)), MATCH(1, INDEX(--(MONTH(CHOOSE({1,2,3,4}, XT!U72,XT!Y72,XT!AC72,XT!AG72))=8), 0), 0)), "")</f>
        <v/>
      </c>
      <c r="AE72" s="12" t="str">
        <f>IF(XT!$P72&gt;0,AD72,"")</f>
        <v/>
      </c>
      <c r="AF72" s="12" t="str">
        <f>IF(XT!$P72=0,AD72,"")</f>
        <v/>
      </c>
      <c r="AG72">
        <f>SUMPRODUCT((MONTH(CHOOSE({1,2,3,4},XT!U72,XT!Y72,XT!AC72,XT!AG72))=9)*(CHOOSE({1,2,3,4},XT!X72,XT!AB72,XT!AF72,XT!AJ72)))</f>
        <v>0</v>
      </c>
      <c r="AH72" t="str">
        <f>IFERROR(INDEX(CHOOSE({1,2,3,4}, DAY(XT!U72), DAY(XT!Y72), DAY(XT!AC72), DAY(XT!AG72)), MATCH(1, INDEX(--(MONTH(CHOOSE({1,2,3,4}, XT!U72,XT!Y72,XT!AC72,XT!AG72))=9), 0), 0)), "")</f>
        <v/>
      </c>
      <c r="AI72" s="12" t="str">
        <f>IF(XT!$P72&gt;0,AH72,"")</f>
        <v/>
      </c>
      <c r="AJ72" s="12" t="str">
        <f>IF(XT!$P72=0,AH72,"")</f>
        <v/>
      </c>
      <c r="AK72">
        <f>SUMPRODUCT((MONTH(CHOOSE({1,2,3,4},XT!U72,XT!Y72,XT!AC72,XT!AG72))=10)*(CHOOSE({1,2,3,4},XT!X72,XT!AB72,XT!AF72,XT!AJ72)))</f>
        <v>0</v>
      </c>
      <c r="AL72" t="str">
        <f>IFERROR(INDEX(CHOOSE({1,2,3,4}, DAY(XT!U72), DAY(XT!Y72), DAY(XT!AC72), DAY(XT!AG72)), MATCH(1, INDEX(--(MONTH(CHOOSE({1,2,3,4}, XT!U72,XT!Y72,XT!AC72,XT!AG72))=10), 0), 0)), "")</f>
        <v/>
      </c>
      <c r="AM72" s="12" t="str">
        <f>IF(XT!$P72&gt;0,AL72,"")</f>
        <v/>
      </c>
      <c r="AN72" s="12" t="str">
        <f>IF(XT!$P72=0,AL72,"")</f>
        <v/>
      </c>
      <c r="AO72">
        <f>SUMPRODUCT((MONTH(CHOOSE({1,2,3,4},XT!U72,XT!Y72,XT!AC72,XT!AG72))=11)*(CHOOSE({1,2,3,4},XT!X72,XT!AB72,XT!AF72,XT!AJ72)))</f>
        <v>0</v>
      </c>
      <c r="AP72" t="str">
        <f>IFERROR(INDEX(CHOOSE({1,2,3,4}, DAY(XT!U72), DAY(XT!Y72), DAY(XT!AC72), DAY(XT!AG72)), MATCH(1, INDEX(--(MONTH(CHOOSE({1,2,3,4}, XT!U72,XT!Y72,XT!AC72,XT!AG72))=11), 0), 0)), "")</f>
        <v/>
      </c>
      <c r="AQ72" s="12" t="str">
        <f>IF(XT!$P72&gt;0,AP72,"")</f>
        <v/>
      </c>
      <c r="AR72" s="12" t="str">
        <f>IF(XT!$P72=0,AP72,"")</f>
        <v/>
      </c>
      <c r="AS72">
        <f>SUMPRODUCT((MONTH(CHOOSE({1,2,3,4},XT!U72,XT!Y72,XT!AC72,XT!AG72))=12)*(CHOOSE({1,2,3,4},XT!X72,XT!AB72,XT!AF72,XT!AJ72)))</f>
        <v>0</v>
      </c>
      <c r="AT72" t="str">
        <f>IFERROR(INDEX(CHOOSE({1,2,3,4}, DAY(XT!U72), DAY(XT!Y72), DAY(XT!AC72), DAY(XT!AG72)), MATCH(1, INDEX(--(MONTH(CHOOSE({1,2,3,4}, XT!U72,XT!Y72,XT!AC72,XT!AG72))=12), 0), 0)), "")</f>
        <v/>
      </c>
      <c r="AU72" s="12" t="str">
        <f>IF(XT!$P72&gt;0,AT72,"")</f>
        <v/>
      </c>
      <c r="AV72" s="12" t="str">
        <f>IF(XT!$P72=0,AT72,"")</f>
        <v/>
      </c>
    </row>
    <row r="73" spans="1:48">
      <c r="A73">
        <f>SUMPRODUCT((MONTH(CHOOSE({1,2,3,4},XT!U73,XT!Y73,XT!AC73,XT!AG73))=1)*(CHOOSE({1,2,3,4},XT!X73,XT!AB73,XT!AF73,XT!AJ73)))</f>
        <v>0</v>
      </c>
      <c r="B73">
        <f>IFERROR(INDEX(CHOOSE({1,2,3,4}, DAY(XT!U73), DAY(XT!Y73), DAY(XT!AC73), DAY(XT!AG73)), MATCH(1, INDEX(--(MONTH(CHOOSE({1,2,3,4}, XT!U73,XT!Y73,XT!AC73,XT!AG73))=1), 0), 0)), "")</f>
        <v>0</v>
      </c>
      <c r="C73" s="12" t="str">
        <f>IF(XT!$P73&gt;0,B73,"")</f>
        <v/>
      </c>
      <c r="D73" s="12">
        <f>IF(XT!$P73=0,B73,"")</f>
        <v>0</v>
      </c>
      <c r="E73">
        <f>SUMPRODUCT((MONTH(CHOOSE({1,2,3,4},XT!U73,XT!Y73,XT!AC73,XT!AG73))=2)*(CHOOSE({1,2,3,4},XT!X73,XT!AB73,XT!AF73,XT!AJ73)))</f>
        <v>0</v>
      </c>
      <c r="F73" t="str">
        <f>IFERROR(INDEX(CHOOSE({1,2,3,4}, DAY(XT!U73), DAY(XT!Y73), DAY(XT!AC73), DAY(XT!AG73)), MATCH(1, INDEX(--(MONTH(CHOOSE({1,2,3,4}, XT!U73,XT!Y73,XT!AC73,XT!AG73))=2), 0), 0)), "")</f>
        <v/>
      </c>
      <c r="G73" s="12" t="str">
        <f>IF(XT!$P73&gt;0,F73,"")</f>
        <v/>
      </c>
      <c r="H73" s="12" t="str">
        <f>IF(XT!$P73=0,F73,"")</f>
        <v/>
      </c>
      <c r="I73">
        <f>SUMPRODUCT((MONTH(CHOOSE({1,2,3,4},XT!U73,XT!Y73,XT!AC73,XT!AG73))=3)*(CHOOSE({1,2,3,4},XT!X73,XT!AB73,XT!AF73,XT!AJ73)))</f>
        <v>0</v>
      </c>
      <c r="J73" t="str">
        <f>IFERROR(INDEX(CHOOSE({1,2,3,4}, DAY(XT!U73), DAY(XT!Y73), DAY(XT!AC73), DAY(XT!AG73)), MATCH(1, INDEX(--(MONTH(CHOOSE({1,2,3,4}, XT!U73,XT!Y73,XT!AC73,XT!AG73))=3), 0), 0)), "")</f>
        <v/>
      </c>
      <c r="K73" s="12" t="str">
        <f>IF(XT!$P73&gt;0,J73,"")</f>
        <v/>
      </c>
      <c r="L73" s="12" t="str">
        <f>IF(XT!$P73=0,J73,"")</f>
        <v/>
      </c>
      <c r="M73">
        <f>SUMPRODUCT((MONTH(CHOOSE({1,2,3,4},XT!U73,XT!Y73,XT!AC73,XT!AG73))=4)*(CHOOSE({1,2,3,4},XT!X73,XT!AB73,XT!AF73,XT!AJ73)))</f>
        <v>0</v>
      </c>
      <c r="N73" t="str">
        <f>IFERROR(INDEX(CHOOSE({1,2,3,4}, DAY(XT!U73), DAY(XT!Y73), DAY(XT!AC73), DAY(XT!AG73)), MATCH(1, INDEX(--(MONTH(CHOOSE({1,2,3,4}, XT!U73,XT!Y73,XT!AC73,XT!AG73))=4), 0), 0)), "")</f>
        <v/>
      </c>
      <c r="O73" s="12" t="str">
        <f>IF(XT!$P73&gt;0,N73,"")</f>
        <v/>
      </c>
      <c r="P73" s="12" t="str">
        <f>IF(XT!$P73=0,N73,"")</f>
        <v/>
      </c>
      <c r="Q73">
        <f>SUMPRODUCT((MONTH(CHOOSE({1,2,3,4},XT!U73,XT!Y73,XT!AC73,XT!AG73))=5)*(CHOOSE({1,2,3,4},XT!X73,XT!AB73,XT!AF73,XT!AJ73)))</f>
        <v>0</v>
      </c>
      <c r="R73" t="str">
        <f>IFERROR(INDEX(CHOOSE({1,2,3,4}, DAY(XT!U73), DAY(XT!Y73), DAY(XT!AC73), DAY(XT!AG73)), MATCH(1, INDEX(--(MONTH(CHOOSE({1,2,3,4}, XT!U73,XT!Y73,XT!AC73,XT!AG73))=5), 0), 0)), "")</f>
        <v/>
      </c>
      <c r="S73" s="12" t="str">
        <f>IF(XT!$P73&gt;0,R73,"")</f>
        <v/>
      </c>
      <c r="T73" s="12" t="str">
        <f>IF(XT!$P73=0,R73,"")</f>
        <v/>
      </c>
      <c r="U73">
        <f>SUMPRODUCT((MONTH(CHOOSE({1,2,3,4},XT!U73,XT!Y73,XT!AC73,XT!AG73))=6)*(CHOOSE({1,2,3,4},XT!X73,XT!AB73,XT!AF73,XT!AJ73)))</f>
        <v>0</v>
      </c>
      <c r="V73" t="str">
        <f>IFERROR(INDEX(CHOOSE({1,2,3,4}, DAY(XT!U73), DAY(XT!Y73), DAY(XT!AC73), DAY(XT!AG73)), MATCH(1, INDEX(--(MONTH(CHOOSE({1,2,3,4}, XT!U73,XT!Y73,XT!AC73,XT!AG73))=6), 0), 0)), "")</f>
        <v/>
      </c>
      <c r="W73" s="12" t="str">
        <f>IF(XT!$P73&gt;0,V73,"")</f>
        <v/>
      </c>
      <c r="X73" s="12" t="str">
        <f>IF(XT!$P73=0,V73,"")</f>
        <v/>
      </c>
      <c r="Y73">
        <f>SUMPRODUCT((MONTH(CHOOSE({1,2,3,4},XT!U73,XT!Y73,XT!AC73,XT!AG73))=7)*(CHOOSE({1,2,3,4},XT!X73,XT!AB73,XT!AF73,XT!AJ73)))</f>
        <v>0</v>
      </c>
      <c r="Z73" t="str">
        <f>IFERROR(INDEX(CHOOSE({1,2,3,4}, DAY(XT!U73), DAY(XT!Y73), DAY(XT!AC73), DAY(XT!AG73)), MATCH(1, INDEX(--(MONTH(CHOOSE({1,2,3,4}, XT!U73,XT!Y73,XT!AC73,XT!AG73))=7), 0), 0)), "")</f>
        <v/>
      </c>
      <c r="AA73" s="12" t="str">
        <f>IF(XT!$P73&gt;0,Z73,"")</f>
        <v/>
      </c>
      <c r="AB73" s="12" t="str">
        <f>IF(XT!$P73=0,Z73,"")</f>
        <v/>
      </c>
      <c r="AC73">
        <f>SUMPRODUCT((MONTH(CHOOSE({1,2,3,4},XT!U73,XT!Y73,XT!AC73,XT!AG73))=8)*(CHOOSE({1,2,3,4},XT!X73,XT!AB73,XT!AF73,XT!AJ73)))</f>
        <v>0</v>
      </c>
      <c r="AD73" t="str">
        <f>IFERROR(INDEX(CHOOSE({1,2,3,4}, DAY(XT!U73), DAY(XT!Y73), DAY(XT!AC73), DAY(XT!AG73)), MATCH(1, INDEX(--(MONTH(CHOOSE({1,2,3,4}, XT!U73,XT!Y73,XT!AC73,XT!AG73))=8), 0), 0)), "")</f>
        <v/>
      </c>
      <c r="AE73" s="12" t="str">
        <f>IF(XT!$P73&gt;0,AD73,"")</f>
        <v/>
      </c>
      <c r="AF73" s="12" t="str">
        <f>IF(XT!$P73=0,AD73,"")</f>
        <v/>
      </c>
      <c r="AG73">
        <f>SUMPRODUCT((MONTH(CHOOSE({1,2,3,4},XT!U73,XT!Y73,XT!AC73,XT!AG73))=9)*(CHOOSE({1,2,3,4},XT!X73,XT!AB73,XT!AF73,XT!AJ73)))</f>
        <v>0</v>
      </c>
      <c r="AH73" t="str">
        <f>IFERROR(INDEX(CHOOSE({1,2,3,4}, DAY(XT!U73), DAY(XT!Y73), DAY(XT!AC73), DAY(XT!AG73)), MATCH(1, INDEX(--(MONTH(CHOOSE({1,2,3,4}, XT!U73,XT!Y73,XT!AC73,XT!AG73))=9), 0), 0)), "")</f>
        <v/>
      </c>
      <c r="AI73" s="12" t="str">
        <f>IF(XT!$P73&gt;0,AH73,"")</f>
        <v/>
      </c>
      <c r="AJ73" s="12" t="str">
        <f>IF(XT!$P73=0,AH73,"")</f>
        <v/>
      </c>
      <c r="AK73">
        <f>SUMPRODUCT((MONTH(CHOOSE({1,2,3,4},XT!U73,XT!Y73,XT!AC73,XT!AG73))=10)*(CHOOSE({1,2,3,4},XT!X73,XT!AB73,XT!AF73,XT!AJ73)))</f>
        <v>0</v>
      </c>
      <c r="AL73" t="str">
        <f>IFERROR(INDEX(CHOOSE({1,2,3,4}, DAY(XT!U73), DAY(XT!Y73), DAY(XT!AC73), DAY(XT!AG73)), MATCH(1, INDEX(--(MONTH(CHOOSE({1,2,3,4}, XT!U73,XT!Y73,XT!AC73,XT!AG73))=10), 0), 0)), "")</f>
        <v/>
      </c>
      <c r="AM73" s="12" t="str">
        <f>IF(XT!$P73&gt;0,AL73,"")</f>
        <v/>
      </c>
      <c r="AN73" s="12" t="str">
        <f>IF(XT!$P73=0,AL73,"")</f>
        <v/>
      </c>
      <c r="AO73">
        <f>SUMPRODUCT((MONTH(CHOOSE({1,2,3,4},XT!U73,XT!Y73,XT!AC73,XT!AG73))=11)*(CHOOSE({1,2,3,4},XT!X73,XT!AB73,XT!AF73,XT!AJ73)))</f>
        <v>0</v>
      </c>
      <c r="AP73" t="str">
        <f>IFERROR(INDEX(CHOOSE({1,2,3,4}, DAY(XT!U73), DAY(XT!Y73), DAY(XT!AC73), DAY(XT!AG73)), MATCH(1, INDEX(--(MONTH(CHOOSE({1,2,3,4}, XT!U73,XT!Y73,XT!AC73,XT!AG73))=11), 0), 0)), "")</f>
        <v/>
      </c>
      <c r="AQ73" s="12" t="str">
        <f>IF(XT!$P73&gt;0,AP73,"")</f>
        <v/>
      </c>
      <c r="AR73" s="12" t="str">
        <f>IF(XT!$P73=0,AP73,"")</f>
        <v/>
      </c>
      <c r="AS73">
        <f>SUMPRODUCT((MONTH(CHOOSE({1,2,3,4},XT!U73,XT!Y73,XT!AC73,XT!AG73))=12)*(CHOOSE({1,2,3,4},XT!X73,XT!AB73,XT!AF73,XT!AJ73)))</f>
        <v>0</v>
      </c>
      <c r="AT73" t="str">
        <f>IFERROR(INDEX(CHOOSE({1,2,3,4}, DAY(XT!U73), DAY(XT!Y73), DAY(XT!AC73), DAY(XT!AG73)), MATCH(1, INDEX(--(MONTH(CHOOSE({1,2,3,4}, XT!U73,XT!Y73,XT!AC73,XT!AG73))=12), 0), 0)), "")</f>
        <v/>
      </c>
      <c r="AU73" s="12" t="str">
        <f>IF(XT!$P73&gt;0,AT73,"")</f>
        <v/>
      </c>
      <c r="AV73" s="12" t="str">
        <f>IF(XT!$P73=0,AT73,"")</f>
        <v/>
      </c>
    </row>
    <row r="74" spans="1:48">
      <c r="A74">
        <f>SUMPRODUCT((MONTH(CHOOSE({1,2,3,4},XT!U74,XT!Y74,XT!AC74,XT!AG74))=1)*(CHOOSE({1,2,3,4},XT!X74,XT!AB74,XT!AF74,XT!AJ74)))</f>
        <v>0</v>
      </c>
      <c r="B74">
        <f>IFERROR(INDEX(CHOOSE({1,2,3,4}, DAY(XT!U74), DAY(XT!Y74), DAY(XT!AC74), DAY(XT!AG74)), MATCH(1, INDEX(--(MONTH(CHOOSE({1,2,3,4}, XT!U74,XT!Y74,XT!AC74,XT!AG74))=1), 0), 0)), "")</f>
        <v>0</v>
      </c>
      <c r="C74" s="12" t="str">
        <f>IF(XT!$P74&gt;0,B74,"")</f>
        <v/>
      </c>
      <c r="D74" s="12">
        <f>IF(XT!$P74=0,B74,"")</f>
        <v>0</v>
      </c>
      <c r="E74">
        <f>SUMPRODUCT((MONTH(CHOOSE({1,2,3,4},XT!U74,XT!Y74,XT!AC74,XT!AG74))=2)*(CHOOSE({1,2,3,4},XT!X74,XT!AB74,XT!AF74,XT!AJ74)))</f>
        <v>0</v>
      </c>
      <c r="F74" t="str">
        <f>IFERROR(INDEX(CHOOSE({1,2,3,4}, DAY(XT!U74), DAY(XT!Y74), DAY(XT!AC74), DAY(XT!AG74)), MATCH(1, INDEX(--(MONTH(CHOOSE({1,2,3,4}, XT!U74,XT!Y74,XT!AC74,XT!AG74))=2), 0), 0)), "")</f>
        <v/>
      </c>
      <c r="G74" s="12" t="str">
        <f>IF(XT!$P74&gt;0,F74,"")</f>
        <v/>
      </c>
      <c r="H74" s="12" t="str">
        <f>IF(XT!$P74=0,F74,"")</f>
        <v/>
      </c>
      <c r="I74">
        <f>SUMPRODUCT((MONTH(CHOOSE({1,2,3,4},XT!U74,XT!Y74,XT!AC74,XT!AG74))=3)*(CHOOSE({1,2,3,4},XT!X74,XT!AB74,XT!AF74,XT!AJ74)))</f>
        <v>0</v>
      </c>
      <c r="J74" t="str">
        <f>IFERROR(INDEX(CHOOSE({1,2,3,4}, DAY(XT!U74), DAY(XT!Y74), DAY(XT!AC74), DAY(XT!AG74)), MATCH(1, INDEX(--(MONTH(CHOOSE({1,2,3,4}, XT!U74,XT!Y74,XT!AC74,XT!AG74))=3), 0), 0)), "")</f>
        <v/>
      </c>
      <c r="K74" s="12" t="str">
        <f>IF(XT!$P74&gt;0,J74,"")</f>
        <v/>
      </c>
      <c r="L74" s="12" t="str">
        <f>IF(XT!$P74=0,J74,"")</f>
        <v/>
      </c>
      <c r="M74">
        <f>SUMPRODUCT((MONTH(CHOOSE({1,2,3,4},XT!U74,XT!Y74,XT!AC74,XT!AG74))=4)*(CHOOSE({1,2,3,4},XT!X74,XT!AB74,XT!AF74,XT!AJ74)))</f>
        <v>0</v>
      </c>
      <c r="N74" t="str">
        <f>IFERROR(INDEX(CHOOSE({1,2,3,4}, DAY(XT!U74), DAY(XT!Y74), DAY(XT!AC74), DAY(XT!AG74)), MATCH(1, INDEX(--(MONTH(CHOOSE({1,2,3,4}, XT!U74,XT!Y74,XT!AC74,XT!AG74))=4), 0), 0)), "")</f>
        <v/>
      </c>
      <c r="O74" s="12" t="str">
        <f>IF(XT!$P74&gt;0,N74,"")</f>
        <v/>
      </c>
      <c r="P74" s="12" t="str">
        <f>IF(XT!$P74=0,N74,"")</f>
        <v/>
      </c>
      <c r="Q74">
        <f>SUMPRODUCT((MONTH(CHOOSE({1,2,3,4},XT!U74,XT!Y74,XT!AC74,XT!AG74))=5)*(CHOOSE({1,2,3,4},XT!X74,XT!AB74,XT!AF74,XT!AJ74)))</f>
        <v>0</v>
      </c>
      <c r="R74" t="str">
        <f>IFERROR(INDEX(CHOOSE({1,2,3,4}, DAY(XT!U74), DAY(XT!Y74), DAY(XT!AC74), DAY(XT!AG74)), MATCH(1, INDEX(--(MONTH(CHOOSE({1,2,3,4}, XT!U74,XT!Y74,XT!AC74,XT!AG74))=5), 0), 0)), "")</f>
        <v/>
      </c>
      <c r="S74" s="12" t="str">
        <f>IF(XT!$P74&gt;0,R74,"")</f>
        <v/>
      </c>
      <c r="T74" s="12" t="str">
        <f>IF(XT!$P74=0,R74,"")</f>
        <v/>
      </c>
      <c r="U74">
        <f>SUMPRODUCT((MONTH(CHOOSE({1,2,3,4},XT!U74,XT!Y74,XT!AC74,XT!AG74))=6)*(CHOOSE({1,2,3,4},XT!X74,XT!AB74,XT!AF74,XT!AJ74)))</f>
        <v>0</v>
      </c>
      <c r="V74" t="str">
        <f>IFERROR(INDEX(CHOOSE({1,2,3,4}, DAY(XT!U74), DAY(XT!Y74), DAY(XT!AC74), DAY(XT!AG74)), MATCH(1, INDEX(--(MONTH(CHOOSE({1,2,3,4}, XT!U74,XT!Y74,XT!AC74,XT!AG74))=6), 0), 0)), "")</f>
        <v/>
      </c>
      <c r="W74" s="12" t="str">
        <f>IF(XT!$P74&gt;0,V74,"")</f>
        <v/>
      </c>
      <c r="X74" s="12" t="str">
        <f>IF(XT!$P74=0,V74,"")</f>
        <v/>
      </c>
      <c r="Y74">
        <f>SUMPRODUCT((MONTH(CHOOSE({1,2,3,4},XT!U74,XT!Y74,XT!AC74,XT!AG74))=7)*(CHOOSE({1,2,3,4},XT!X74,XT!AB74,XT!AF74,XT!AJ74)))</f>
        <v>0</v>
      </c>
      <c r="Z74" t="str">
        <f>IFERROR(INDEX(CHOOSE({1,2,3,4}, DAY(XT!U74), DAY(XT!Y74), DAY(XT!AC74), DAY(XT!AG74)), MATCH(1, INDEX(--(MONTH(CHOOSE({1,2,3,4}, XT!U74,XT!Y74,XT!AC74,XT!AG74))=7), 0), 0)), "")</f>
        <v/>
      </c>
      <c r="AA74" s="12" t="str">
        <f>IF(XT!$P74&gt;0,Z74,"")</f>
        <v/>
      </c>
      <c r="AB74" s="12" t="str">
        <f>IF(XT!$P74=0,Z74,"")</f>
        <v/>
      </c>
      <c r="AC74">
        <f>SUMPRODUCT((MONTH(CHOOSE({1,2,3,4},XT!U74,XT!Y74,XT!AC74,XT!AG74))=8)*(CHOOSE({1,2,3,4},XT!X74,XT!AB74,XT!AF74,XT!AJ74)))</f>
        <v>0</v>
      </c>
      <c r="AD74" t="str">
        <f>IFERROR(INDEX(CHOOSE({1,2,3,4}, DAY(XT!U74), DAY(XT!Y74), DAY(XT!AC74), DAY(XT!AG74)), MATCH(1, INDEX(--(MONTH(CHOOSE({1,2,3,4}, XT!U74,XT!Y74,XT!AC74,XT!AG74))=8), 0), 0)), "")</f>
        <v/>
      </c>
      <c r="AE74" s="12" t="str">
        <f>IF(XT!$P74&gt;0,AD74,"")</f>
        <v/>
      </c>
      <c r="AF74" s="12" t="str">
        <f>IF(XT!$P74=0,AD74,"")</f>
        <v/>
      </c>
      <c r="AG74">
        <f>SUMPRODUCT((MONTH(CHOOSE({1,2,3,4},XT!U74,XT!Y74,XT!AC74,XT!AG74))=9)*(CHOOSE({1,2,3,4},XT!X74,XT!AB74,XT!AF74,XT!AJ74)))</f>
        <v>0</v>
      </c>
      <c r="AH74" t="str">
        <f>IFERROR(INDEX(CHOOSE({1,2,3,4}, DAY(XT!U74), DAY(XT!Y74), DAY(XT!AC74), DAY(XT!AG74)), MATCH(1, INDEX(--(MONTH(CHOOSE({1,2,3,4}, XT!U74,XT!Y74,XT!AC74,XT!AG74))=9), 0), 0)), "")</f>
        <v/>
      </c>
      <c r="AI74" s="12" t="str">
        <f>IF(XT!$P74&gt;0,AH74,"")</f>
        <v/>
      </c>
      <c r="AJ74" s="12" t="str">
        <f>IF(XT!$P74=0,AH74,"")</f>
        <v/>
      </c>
      <c r="AK74">
        <f>SUMPRODUCT((MONTH(CHOOSE({1,2,3,4},XT!U74,XT!Y74,XT!AC74,XT!AG74))=10)*(CHOOSE({1,2,3,4},XT!X74,XT!AB74,XT!AF74,XT!AJ74)))</f>
        <v>0</v>
      </c>
      <c r="AL74" t="str">
        <f>IFERROR(INDEX(CHOOSE({1,2,3,4}, DAY(XT!U74), DAY(XT!Y74), DAY(XT!AC74), DAY(XT!AG74)), MATCH(1, INDEX(--(MONTH(CHOOSE({1,2,3,4}, XT!U74,XT!Y74,XT!AC74,XT!AG74))=10), 0), 0)), "")</f>
        <v/>
      </c>
      <c r="AM74" s="12" t="str">
        <f>IF(XT!$P74&gt;0,AL74,"")</f>
        <v/>
      </c>
      <c r="AN74" s="12" t="str">
        <f>IF(XT!$P74=0,AL74,"")</f>
        <v/>
      </c>
      <c r="AO74">
        <f>SUMPRODUCT((MONTH(CHOOSE({1,2,3,4},XT!U74,XT!Y74,XT!AC74,XT!AG74))=11)*(CHOOSE({1,2,3,4},XT!X74,XT!AB74,XT!AF74,XT!AJ74)))</f>
        <v>0</v>
      </c>
      <c r="AP74" t="str">
        <f>IFERROR(INDEX(CHOOSE({1,2,3,4}, DAY(XT!U74), DAY(XT!Y74), DAY(XT!AC74), DAY(XT!AG74)), MATCH(1, INDEX(--(MONTH(CHOOSE({1,2,3,4}, XT!U74,XT!Y74,XT!AC74,XT!AG74))=11), 0), 0)), "")</f>
        <v/>
      </c>
      <c r="AQ74" s="12" t="str">
        <f>IF(XT!$P74&gt;0,AP74,"")</f>
        <v/>
      </c>
      <c r="AR74" s="12" t="str">
        <f>IF(XT!$P74=0,AP74,"")</f>
        <v/>
      </c>
      <c r="AS74">
        <f>SUMPRODUCT((MONTH(CHOOSE({1,2,3,4},XT!U74,XT!Y74,XT!AC74,XT!AG74))=12)*(CHOOSE({1,2,3,4},XT!X74,XT!AB74,XT!AF74,XT!AJ74)))</f>
        <v>0</v>
      </c>
      <c r="AT74" t="str">
        <f>IFERROR(INDEX(CHOOSE({1,2,3,4}, DAY(XT!U74), DAY(XT!Y74), DAY(XT!AC74), DAY(XT!AG74)), MATCH(1, INDEX(--(MONTH(CHOOSE({1,2,3,4}, XT!U74,XT!Y74,XT!AC74,XT!AG74))=12), 0), 0)), "")</f>
        <v/>
      </c>
      <c r="AU74" s="12" t="str">
        <f>IF(XT!$P74&gt;0,AT74,"")</f>
        <v/>
      </c>
      <c r="AV74" s="12" t="str">
        <f>IF(XT!$P74=0,AT74,"")</f>
        <v/>
      </c>
    </row>
    <row r="75" spans="1:48">
      <c r="A75">
        <f>SUMPRODUCT((MONTH(CHOOSE({1,2,3,4},XT!U75,XT!Y75,XT!AC75,XT!AG75))=1)*(CHOOSE({1,2,3,4},XT!X75,XT!AB75,XT!AF75,XT!AJ75)))</f>
        <v>0</v>
      </c>
      <c r="B75">
        <f>IFERROR(INDEX(CHOOSE({1,2,3,4}, DAY(XT!U75), DAY(XT!Y75), DAY(XT!AC75), DAY(XT!AG75)), MATCH(1, INDEX(--(MONTH(CHOOSE({1,2,3,4}, XT!U75,XT!Y75,XT!AC75,XT!AG75))=1), 0), 0)), "")</f>
        <v>0</v>
      </c>
      <c r="C75" s="12" t="str">
        <f>IF(XT!$P75&gt;0,B75,"")</f>
        <v/>
      </c>
      <c r="D75" s="12">
        <f>IF(XT!$P75=0,B75,"")</f>
        <v>0</v>
      </c>
      <c r="E75">
        <f>SUMPRODUCT((MONTH(CHOOSE({1,2,3,4},XT!U75,XT!Y75,XT!AC75,XT!AG75))=2)*(CHOOSE({1,2,3,4},XT!X75,XT!AB75,XT!AF75,XT!AJ75)))</f>
        <v>0</v>
      </c>
      <c r="F75" t="str">
        <f>IFERROR(INDEX(CHOOSE({1,2,3,4}, DAY(XT!U75), DAY(XT!Y75), DAY(XT!AC75), DAY(XT!AG75)), MATCH(1, INDEX(--(MONTH(CHOOSE({1,2,3,4}, XT!U75,XT!Y75,XT!AC75,XT!AG75))=2), 0), 0)), "")</f>
        <v/>
      </c>
      <c r="G75" s="12" t="str">
        <f>IF(XT!$P75&gt;0,F75,"")</f>
        <v/>
      </c>
      <c r="H75" s="12" t="str">
        <f>IF(XT!$P75=0,F75,"")</f>
        <v/>
      </c>
      <c r="I75">
        <f>SUMPRODUCT((MONTH(CHOOSE({1,2,3,4},XT!U75,XT!Y75,XT!AC75,XT!AG75))=3)*(CHOOSE({1,2,3,4},XT!X75,XT!AB75,XT!AF75,XT!AJ75)))</f>
        <v>0</v>
      </c>
      <c r="J75" t="str">
        <f>IFERROR(INDEX(CHOOSE({1,2,3,4}, DAY(XT!U75), DAY(XT!Y75), DAY(XT!AC75), DAY(XT!AG75)), MATCH(1, INDEX(--(MONTH(CHOOSE({1,2,3,4}, XT!U75,XT!Y75,XT!AC75,XT!AG75))=3), 0), 0)), "")</f>
        <v/>
      </c>
      <c r="K75" s="12" t="str">
        <f>IF(XT!$P75&gt;0,J75,"")</f>
        <v/>
      </c>
      <c r="L75" s="12" t="str">
        <f>IF(XT!$P75=0,J75,"")</f>
        <v/>
      </c>
      <c r="M75">
        <f>SUMPRODUCT((MONTH(CHOOSE({1,2,3,4},XT!U75,XT!Y75,XT!AC75,XT!AG75))=4)*(CHOOSE({1,2,3,4},XT!X75,XT!AB75,XT!AF75,XT!AJ75)))</f>
        <v>0</v>
      </c>
      <c r="N75" t="str">
        <f>IFERROR(INDEX(CHOOSE({1,2,3,4}, DAY(XT!U75), DAY(XT!Y75), DAY(XT!AC75), DAY(XT!AG75)), MATCH(1, INDEX(--(MONTH(CHOOSE({1,2,3,4}, XT!U75,XT!Y75,XT!AC75,XT!AG75))=4), 0), 0)), "")</f>
        <v/>
      </c>
      <c r="O75" s="12" t="str">
        <f>IF(XT!$P75&gt;0,N75,"")</f>
        <v/>
      </c>
      <c r="P75" s="12" t="str">
        <f>IF(XT!$P75=0,N75,"")</f>
        <v/>
      </c>
      <c r="Q75">
        <f>SUMPRODUCT((MONTH(CHOOSE({1,2,3,4},XT!U75,XT!Y75,XT!AC75,XT!AG75))=5)*(CHOOSE({1,2,3,4},XT!X75,XT!AB75,XT!AF75,XT!AJ75)))</f>
        <v>0</v>
      </c>
      <c r="R75" t="str">
        <f>IFERROR(INDEX(CHOOSE({1,2,3,4}, DAY(XT!U75), DAY(XT!Y75), DAY(XT!AC75), DAY(XT!AG75)), MATCH(1, INDEX(--(MONTH(CHOOSE({1,2,3,4}, XT!U75,XT!Y75,XT!AC75,XT!AG75))=5), 0), 0)), "")</f>
        <v/>
      </c>
      <c r="S75" s="12" t="str">
        <f>IF(XT!$P75&gt;0,R75,"")</f>
        <v/>
      </c>
      <c r="T75" s="12" t="str">
        <f>IF(XT!$P75=0,R75,"")</f>
        <v/>
      </c>
      <c r="U75">
        <f>SUMPRODUCT((MONTH(CHOOSE({1,2,3,4},XT!U75,XT!Y75,XT!AC75,XT!AG75))=6)*(CHOOSE({1,2,3,4},XT!X75,XT!AB75,XT!AF75,XT!AJ75)))</f>
        <v>0</v>
      </c>
      <c r="V75" t="str">
        <f>IFERROR(INDEX(CHOOSE({1,2,3,4}, DAY(XT!U75), DAY(XT!Y75), DAY(XT!AC75), DAY(XT!AG75)), MATCH(1, INDEX(--(MONTH(CHOOSE({1,2,3,4}, XT!U75,XT!Y75,XT!AC75,XT!AG75))=6), 0), 0)), "")</f>
        <v/>
      </c>
      <c r="W75" s="12" t="str">
        <f>IF(XT!$P75&gt;0,V75,"")</f>
        <v/>
      </c>
      <c r="X75" s="12" t="str">
        <f>IF(XT!$P75=0,V75,"")</f>
        <v/>
      </c>
      <c r="Y75">
        <f>SUMPRODUCT((MONTH(CHOOSE({1,2,3,4},XT!U75,XT!Y75,XT!AC75,XT!AG75))=7)*(CHOOSE({1,2,3,4},XT!X75,XT!AB75,XT!AF75,XT!AJ75)))</f>
        <v>0</v>
      </c>
      <c r="Z75" t="str">
        <f>IFERROR(INDEX(CHOOSE({1,2,3,4}, DAY(XT!U75), DAY(XT!Y75), DAY(XT!AC75), DAY(XT!AG75)), MATCH(1, INDEX(--(MONTH(CHOOSE({1,2,3,4}, XT!U75,XT!Y75,XT!AC75,XT!AG75))=7), 0), 0)), "")</f>
        <v/>
      </c>
      <c r="AA75" s="12" t="str">
        <f>IF(XT!$P75&gt;0,Z75,"")</f>
        <v/>
      </c>
      <c r="AB75" s="12" t="str">
        <f>IF(XT!$P75=0,Z75,"")</f>
        <v/>
      </c>
      <c r="AC75">
        <f>SUMPRODUCT((MONTH(CHOOSE({1,2,3,4},XT!U75,XT!Y75,XT!AC75,XT!AG75))=8)*(CHOOSE({1,2,3,4},XT!X75,XT!AB75,XT!AF75,XT!AJ75)))</f>
        <v>0</v>
      </c>
      <c r="AD75" t="str">
        <f>IFERROR(INDEX(CHOOSE({1,2,3,4}, DAY(XT!U75), DAY(XT!Y75), DAY(XT!AC75), DAY(XT!AG75)), MATCH(1, INDEX(--(MONTH(CHOOSE({1,2,3,4}, XT!U75,XT!Y75,XT!AC75,XT!AG75))=8), 0), 0)), "")</f>
        <v/>
      </c>
      <c r="AE75" s="12" t="str">
        <f>IF(XT!$P75&gt;0,AD75,"")</f>
        <v/>
      </c>
      <c r="AF75" s="12" t="str">
        <f>IF(XT!$P75=0,AD75,"")</f>
        <v/>
      </c>
      <c r="AG75">
        <f>SUMPRODUCT((MONTH(CHOOSE({1,2,3,4},XT!U75,XT!Y75,XT!AC75,XT!AG75))=9)*(CHOOSE({1,2,3,4},XT!X75,XT!AB75,XT!AF75,XT!AJ75)))</f>
        <v>0</v>
      </c>
      <c r="AH75" t="str">
        <f>IFERROR(INDEX(CHOOSE({1,2,3,4}, DAY(XT!U75), DAY(XT!Y75), DAY(XT!AC75), DAY(XT!AG75)), MATCH(1, INDEX(--(MONTH(CHOOSE({1,2,3,4}, XT!U75,XT!Y75,XT!AC75,XT!AG75))=9), 0), 0)), "")</f>
        <v/>
      </c>
      <c r="AI75" s="12" t="str">
        <f>IF(XT!$P75&gt;0,AH75,"")</f>
        <v/>
      </c>
      <c r="AJ75" s="12" t="str">
        <f>IF(XT!$P75=0,AH75,"")</f>
        <v/>
      </c>
      <c r="AK75">
        <f>SUMPRODUCT((MONTH(CHOOSE({1,2,3,4},XT!U75,XT!Y75,XT!AC75,XT!AG75))=10)*(CHOOSE({1,2,3,4},XT!X75,XT!AB75,XT!AF75,XT!AJ75)))</f>
        <v>0</v>
      </c>
      <c r="AL75" t="str">
        <f>IFERROR(INDEX(CHOOSE({1,2,3,4}, DAY(XT!U75), DAY(XT!Y75), DAY(XT!AC75), DAY(XT!AG75)), MATCH(1, INDEX(--(MONTH(CHOOSE({1,2,3,4}, XT!U75,XT!Y75,XT!AC75,XT!AG75))=10), 0), 0)), "")</f>
        <v/>
      </c>
      <c r="AM75" s="12" t="str">
        <f>IF(XT!$P75&gt;0,AL75,"")</f>
        <v/>
      </c>
      <c r="AN75" s="12" t="str">
        <f>IF(XT!$P75=0,AL75,"")</f>
        <v/>
      </c>
      <c r="AO75">
        <f>SUMPRODUCT((MONTH(CHOOSE({1,2,3,4},XT!U75,XT!Y75,XT!AC75,XT!AG75))=11)*(CHOOSE({1,2,3,4},XT!X75,XT!AB75,XT!AF75,XT!AJ75)))</f>
        <v>0</v>
      </c>
      <c r="AP75" t="str">
        <f>IFERROR(INDEX(CHOOSE({1,2,3,4}, DAY(XT!U75), DAY(XT!Y75), DAY(XT!AC75), DAY(XT!AG75)), MATCH(1, INDEX(--(MONTH(CHOOSE({1,2,3,4}, XT!U75,XT!Y75,XT!AC75,XT!AG75))=11), 0), 0)), "")</f>
        <v/>
      </c>
      <c r="AQ75" s="12" t="str">
        <f>IF(XT!$P75&gt;0,AP75,"")</f>
        <v/>
      </c>
      <c r="AR75" s="12" t="str">
        <f>IF(XT!$P75=0,AP75,"")</f>
        <v/>
      </c>
      <c r="AS75">
        <f>SUMPRODUCT((MONTH(CHOOSE({1,2,3,4},XT!U75,XT!Y75,XT!AC75,XT!AG75))=12)*(CHOOSE({1,2,3,4},XT!X75,XT!AB75,XT!AF75,XT!AJ75)))</f>
        <v>0</v>
      </c>
      <c r="AT75" t="str">
        <f>IFERROR(INDEX(CHOOSE({1,2,3,4}, DAY(XT!U75), DAY(XT!Y75), DAY(XT!AC75), DAY(XT!AG75)), MATCH(1, INDEX(--(MONTH(CHOOSE({1,2,3,4}, XT!U75,XT!Y75,XT!AC75,XT!AG75))=12), 0), 0)), "")</f>
        <v/>
      </c>
      <c r="AU75" s="12" t="str">
        <f>IF(XT!$P75&gt;0,AT75,"")</f>
        <v/>
      </c>
      <c r="AV75" s="12" t="str">
        <f>IF(XT!$P75=0,AT75,"")</f>
        <v/>
      </c>
    </row>
    <row r="76" spans="1:48">
      <c r="A76">
        <f>SUMPRODUCT((MONTH(CHOOSE({1,2,3,4},XT!U76,XT!Y76,XT!AC76,XT!AG76))=1)*(CHOOSE({1,2,3,4},XT!X76,XT!AB76,XT!AF76,XT!AJ76)))</f>
        <v>0</v>
      </c>
      <c r="B76">
        <f>IFERROR(INDEX(CHOOSE({1,2,3,4}, DAY(XT!U76), DAY(XT!Y76), DAY(XT!AC76), DAY(XT!AG76)), MATCH(1, INDEX(--(MONTH(CHOOSE({1,2,3,4}, XT!U76,XT!Y76,XT!AC76,XT!AG76))=1), 0), 0)), "")</f>
        <v>0</v>
      </c>
      <c r="C76" s="12" t="str">
        <f>IF(XT!$P76&gt;0,B76,"")</f>
        <v/>
      </c>
      <c r="D76" s="12">
        <f>IF(XT!$P76=0,B76,"")</f>
        <v>0</v>
      </c>
      <c r="E76">
        <f>SUMPRODUCT((MONTH(CHOOSE({1,2,3,4},XT!U76,XT!Y76,XT!AC76,XT!AG76))=2)*(CHOOSE({1,2,3,4},XT!X76,XT!AB76,XT!AF76,XT!AJ76)))</f>
        <v>0</v>
      </c>
      <c r="F76" t="str">
        <f>IFERROR(INDEX(CHOOSE({1,2,3,4}, DAY(XT!U76), DAY(XT!Y76), DAY(XT!AC76), DAY(XT!AG76)), MATCH(1, INDEX(--(MONTH(CHOOSE({1,2,3,4}, XT!U76,XT!Y76,XT!AC76,XT!AG76))=2), 0), 0)), "")</f>
        <v/>
      </c>
      <c r="G76" s="12" t="str">
        <f>IF(XT!$P76&gt;0,F76,"")</f>
        <v/>
      </c>
      <c r="H76" s="12" t="str">
        <f>IF(XT!$P76=0,F76,"")</f>
        <v/>
      </c>
      <c r="I76">
        <f>SUMPRODUCT((MONTH(CHOOSE({1,2,3,4},XT!U76,XT!Y76,XT!AC76,XT!AG76))=3)*(CHOOSE({1,2,3,4},XT!X76,XT!AB76,XT!AF76,XT!AJ76)))</f>
        <v>0</v>
      </c>
      <c r="J76" t="str">
        <f>IFERROR(INDEX(CHOOSE({1,2,3,4}, DAY(XT!U76), DAY(XT!Y76), DAY(XT!AC76), DAY(XT!AG76)), MATCH(1, INDEX(--(MONTH(CHOOSE({1,2,3,4}, XT!U76,XT!Y76,XT!AC76,XT!AG76))=3), 0), 0)), "")</f>
        <v/>
      </c>
      <c r="K76" s="12" t="str">
        <f>IF(XT!$P76&gt;0,J76,"")</f>
        <v/>
      </c>
      <c r="L76" s="12" t="str">
        <f>IF(XT!$P76=0,J76,"")</f>
        <v/>
      </c>
      <c r="M76">
        <f>SUMPRODUCT((MONTH(CHOOSE({1,2,3,4},XT!U76,XT!Y76,XT!AC76,XT!AG76))=4)*(CHOOSE({1,2,3,4},XT!X76,XT!AB76,XT!AF76,XT!AJ76)))</f>
        <v>0</v>
      </c>
      <c r="N76" t="str">
        <f>IFERROR(INDEX(CHOOSE({1,2,3,4}, DAY(XT!U76), DAY(XT!Y76), DAY(XT!AC76), DAY(XT!AG76)), MATCH(1, INDEX(--(MONTH(CHOOSE({1,2,3,4}, XT!U76,XT!Y76,XT!AC76,XT!AG76))=4), 0), 0)), "")</f>
        <v/>
      </c>
      <c r="O76" s="12" t="str">
        <f>IF(XT!$P76&gt;0,N76,"")</f>
        <v/>
      </c>
      <c r="P76" s="12" t="str">
        <f>IF(XT!$P76=0,N76,"")</f>
        <v/>
      </c>
      <c r="Q76">
        <f>SUMPRODUCT((MONTH(CHOOSE({1,2,3,4},XT!U76,XT!Y76,XT!AC76,XT!AG76))=5)*(CHOOSE({1,2,3,4},XT!X76,XT!AB76,XT!AF76,XT!AJ76)))</f>
        <v>0</v>
      </c>
      <c r="R76" t="str">
        <f>IFERROR(INDEX(CHOOSE({1,2,3,4}, DAY(XT!U76), DAY(XT!Y76), DAY(XT!AC76), DAY(XT!AG76)), MATCH(1, INDEX(--(MONTH(CHOOSE({1,2,3,4}, XT!U76,XT!Y76,XT!AC76,XT!AG76))=5), 0), 0)), "")</f>
        <v/>
      </c>
      <c r="S76" s="12" t="str">
        <f>IF(XT!$P76&gt;0,R76,"")</f>
        <v/>
      </c>
      <c r="T76" s="12" t="str">
        <f>IF(XT!$P76=0,R76,"")</f>
        <v/>
      </c>
      <c r="U76">
        <f>SUMPRODUCT((MONTH(CHOOSE({1,2,3,4},XT!U76,XT!Y76,XT!AC76,XT!AG76))=6)*(CHOOSE({1,2,3,4},XT!X76,XT!AB76,XT!AF76,XT!AJ76)))</f>
        <v>0</v>
      </c>
      <c r="V76" t="str">
        <f>IFERROR(INDEX(CHOOSE({1,2,3,4}, DAY(XT!U76), DAY(XT!Y76), DAY(XT!AC76), DAY(XT!AG76)), MATCH(1, INDEX(--(MONTH(CHOOSE({1,2,3,4}, XT!U76,XT!Y76,XT!AC76,XT!AG76))=6), 0), 0)), "")</f>
        <v/>
      </c>
      <c r="W76" s="12" t="str">
        <f>IF(XT!$P76&gt;0,V76,"")</f>
        <v/>
      </c>
      <c r="X76" s="12" t="str">
        <f>IF(XT!$P76=0,V76,"")</f>
        <v/>
      </c>
      <c r="Y76">
        <f>SUMPRODUCT((MONTH(CHOOSE({1,2,3,4},XT!U76,XT!Y76,XT!AC76,XT!AG76))=7)*(CHOOSE({1,2,3,4},XT!X76,XT!AB76,XT!AF76,XT!AJ76)))</f>
        <v>0</v>
      </c>
      <c r="Z76" t="str">
        <f>IFERROR(INDEX(CHOOSE({1,2,3,4}, DAY(XT!U76), DAY(XT!Y76), DAY(XT!AC76), DAY(XT!AG76)), MATCH(1, INDEX(--(MONTH(CHOOSE({1,2,3,4}, XT!U76,XT!Y76,XT!AC76,XT!AG76))=7), 0), 0)), "")</f>
        <v/>
      </c>
      <c r="AA76" s="12" t="str">
        <f>IF(XT!$P76&gt;0,Z76,"")</f>
        <v/>
      </c>
      <c r="AB76" s="12" t="str">
        <f>IF(XT!$P76=0,Z76,"")</f>
        <v/>
      </c>
      <c r="AC76">
        <f>SUMPRODUCT((MONTH(CHOOSE({1,2,3,4},XT!U76,XT!Y76,XT!AC76,XT!AG76))=8)*(CHOOSE({1,2,3,4},XT!X76,XT!AB76,XT!AF76,XT!AJ76)))</f>
        <v>0</v>
      </c>
      <c r="AD76" t="str">
        <f>IFERROR(INDEX(CHOOSE({1,2,3,4}, DAY(XT!U76), DAY(XT!Y76), DAY(XT!AC76), DAY(XT!AG76)), MATCH(1, INDEX(--(MONTH(CHOOSE({1,2,3,4}, XT!U76,XT!Y76,XT!AC76,XT!AG76))=8), 0), 0)), "")</f>
        <v/>
      </c>
      <c r="AE76" s="12" t="str">
        <f>IF(XT!$P76&gt;0,AD76,"")</f>
        <v/>
      </c>
      <c r="AF76" s="12" t="str">
        <f>IF(XT!$P76=0,AD76,"")</f>
        <v/>
      </c>
      <c r="AG76">
        <f>SUMPRODUCT((MONTH(CHOOSE({1,2,3,4},XT!U76,XT!Y76,XT!AC76,XT!AG76))=9)*(CHOOSE({1,2,3,4},XT!X76,XT!AB76,XT!AF76,XT!AJ76)))</f>
        <v>0</v>
      </c>
      <c r="AH76" t="str">
        <f>IFERROR(INDEX(CHOOSE({1,2,3,4}, DAY(XT!U76), DAY(XT!Y76), DAY(XT!AC76), DAY(XT!AG76)), MATCH(1, INDEX(--(MONTH(CHOOSE({1,2,3,4}, XT!U76,XT!Y76,XT!AC76,XT!AG76))=9), 0), 0)), "")</f>
        <v/>
      </c>
      <c r="AI76" s="12" t="str">
        <f>IF(XT!$P76&gt;0,AH76,"")</f>
        <v/>
      </c>
      <c r="AJ76" s="12" t="str">
        <f>IF(XT!$P76=0,AH76,"")</f>
        <v/>
      </c>
      <c r="AK76">
        <f>SUMPRODUCT((MONTH(CHOOSE({1,2,3,4},XT!U76,XT!Y76,XT!AC76,XT!AG76))=10)*(CHOOSE({1,2,3,4},XT!X76,XT!AB76,XT!AF76,XT!AJ76)))</f>
        <v>0</v>
      </c>
      <c r="AL76" t="str">
        <f>IFERROR(INDEX(CHOOSE({1,2,3,4}, DAY(XT!U76), DAY(XT!Y76), DAY(XT!AC76), DAY(XT!AG76)), MATCH(1, INDEX(--(MONTH(CHOOSE({1,2,3,4}, XT!U76,XT!Y76,XT!AC76,XT!AG76))=10), 0), 0)), "")</f>
        <v/>
      </c>
      <c r="AM76" s="12" t="str">
        <f>IF(XT!$P76&gt;0,AL76,"")</f>
        <v/>
      </c>
      <c r="AN76" s="12" t="str">
        <f>IF(XT!$P76=0,AL76,"")</f>
        <v/>
      </c>
      <c r="AO76">
        <f>SUMPRODUCT((MONTH(CHOOSE({1,2,3,4},XT!U76,XT!Y76,XT!AC76,XT!AG76))=11)*(CHOOSE({1,2,3,4},XT!X76,XT!AB76,XT!AF76,XT!AJ76)))</f>
        <v>0</v>
      </c>
      <c r="AP76" t="str">
        <f>IFERROR(INDEX(CHOOSE({1,2,3,4}, DAY(XT!U76), DAY(XT!Y76), DAY(XT!AC76), DAY(XT!AG76)), MATCH(1, INDEX(--(MONTH(CHOOSE({1,2,3,4}, XT!U76,XT!Y76,XT!AC76,XT!AG76))=11), 0), 0)), "")</f>
        <v/>
      </c>
      <c r="AQ76" s="12" t="str">
        <f>IF(XT!$P76&gt;0,AP76,"")</f>
        <v/>
      </c>
      <c r="AR76" s="12" t="str">
        <f>IF(XT!$P76=0,AP76,"")</f>
        <v/>
      </c>
      <c r="AS76">
        <f>SUMPRODUCT((MONTH(CHOOSE({1,2,3,4},XT!U76,XT!Y76,XT!AC76,XT!AG76))=12)*(CHOOSE({1,2,3,4},XT!X76,XT!AB76,XT!AF76,XT!AJ76)))</f>
        <v>0</v>
      </c>
      <c r="AT76" t="str">
        <f>IFERROR(INDEX(CHOOSE({1,2,3,4}, DAY(XT!U76), DAY(XT!Y76), DAY(XT!AC76), DAY(XT!AG76)), MATCH(1, INDEX(--(MONTH(CHOOSE({1,2,3,4}, XT!U76,XT!Y76,XT!AC76,XT!AG76))=12), 0), 0)), "")</f>
        <v/>
      </c>
      <c r="AU76" s="12" t="str">
        <f>IF(XT!$P76&gt;0,AT76,"")</f>
        <v/>
      </c>
      <c r="AV76" s="12" t="str">
        <f>IF(XT!$P76=0,AT76,"")</f>
        <v/>
      </c>
    </row>
    <row r="77" spans="1:48">
      <c r="A77">
        <f>SUMPRODUCT((MONTH(CHOOSE({1,2,3,4},XT!U77,XT!Y77,XT!AC77,XT!AG77))=1)*(CHOOSE({1,2,3,4},XT!X77,XT!AB77,XT!AF77,XT!AJ77)))</f>
        <v>0</v>
      </c>
      <c r="B77">
        <f>IFERROR(INDEX(CHOOSE({1,2,3,4}, DAY(XT!U77), DAY(XT!Y77), DAY(XT!AC77), DAY(XT!AG77)), MATCH(1, INDEX(--(MONTH(CHOOSE({1,2,3,4}, XT!U77,XT!Y77,XT!AC77,XT!AG77))=1), 0), 0)), "")</f>
        <v>0</v>
      </c>
      <c r="C77" s="12" t="str">
        <f>IF(XT!$P77&gt;0,B77,"")</f>
        <v/>
      </c>
      <c r="D77" s="12">
        <f>IF(XT!$P77=0,B77,"")</f>
        <v>0</v>
      </c>
      <c r="E77">
        <f>SUMPRODUCT((MONTH(CHOOSE({1,2,3,4},XT!U77,XT!Y77,XT!AC77,XT!AG77))=2)*(CHOOSE({1,2,3,4},XT!X77,XT!AB77,XT!AF77,XT!AJ77)))</f>
        <v>0</v>
      </c>
      <c r="F77" t="str">
        <f>IFERROR(INDEX(CHOOSE({1,2,3,4}, DAY(XT!U77), DAY(XT!Y77), DAY(XT!AC77), DAY(XT!AG77)), MATCH(1, INDEX(--(MONTH(CHOOSE({1,2,3,4}, XT!U77,XT!Y77,XT!AC77,XT!AG77))=2), 0), 0)), "")</f>
        <v/>
      </c>
      <c r="G77" s="12" t="str">
        <f>IF(XT!$P77&gt;0,F77,"")</f>
        <v/>
      </c>
      <c r="H77" s="12" t="str">
        <f>IF(XT!$P77=0,F77,"")</f>
        <v/>
      </c>
      <c r="I77">
        <f>SUMPRODUCT((MONTH(CHOOSE({1,2,3,4},XT!U77,XT!Y77,XT!AC77,XT!AG77))=3)*(CHOOSE({1,2,3,4},XT!X77,XT!AB77,XT!AF77,XT!AJ77)))</f>
        <v>0</v>
      </c>
      <c r="J77" t="str">
        <f>IFERROR(INDEX(CHOOSE({1,2,3,4}, DAY(XT!U77), DAY(XT!Y77), DAY(XT!AC77), DAY(XT!AG77)), MATCH(1, INDEX(--(MONTH(CHOOSE({1,2,3,4}, XT!U77,XT!Y77,XT!AC77,XT!AG77))=3), 0), 0)), "")</f>
        <v/>
      </c>
      <c r="K77" s="12" t="str">
        <f>IF(XT!$P77&gt;0,J77,"")</f>
        <v/>
      </c>
      <c r="L77" s="12" t="str">
        <f>IF(XT!$P77=0,J77,"")</f>
        <v/>
      </c>
      <c r="M77">
        <f>SUMPRODUCT((MONTH(CHOOSE({1,2,3,4},XT!U77,XT!Y77,XT!AC77,XT!AG77))=4)*(CHOOSE({1,2,3,4},XT!X77,XT!AB77,XT!AF77,XT!AJ77)))</f>
        <v>0</v>
      </c>
      <c r="N77" t="str">
        <f>IFERROR(INDEX(CHOOSE({1,2,3,4}, DAY(XT!U77), DAY(XT!Y77), DAY(XT!AC77), DAY(XT!AG77)), MATCH(1, INDEX(--(MONTH(CHOOSE({1,2,3,4}, XT!U77,XT!Y77,XT!AC77,XT!AG77))=4), 0), 0)), "")</f>
        <v/>
      </c>
      <c r="O77" s="12" t="str">
        <f>IF(XT!$P77&gt;0,N77,"")</f>
        <v/>
      </c>
      <c r="P77" s="12" t="str">
        <f>IF(XT!$P77=0,N77,"")</f>
        <v/>
      </c>
      <c r="Q77">
        <f>SUMPRODUCT((MONTH(CHOOSE({1,2,3,4},XT!U77,XT!Y77,XT!AC77,XT!AG77))=5)*(CHOOSE({1,2,3,4},XT!X77,XT!AB77,XT!AF77,XT!AJ77)))</f>
        <v>0</v>
      </c>
      <c r="R77" t="str">
        <f>IFERROR(INDEX(CHOOSE({1,2,3,4}, DAY(XT!U77), DAY(XT!Y77), DAY(XT!AC77), DAY(XT!AG77)), MATCH(1, INDEX(--(MONTH(CHOOSE({1,2,3,4}, XT!U77,XT!Y77,XT!AC77,XT!AG77))=5), 0), 0)), "")</f>
        <v/>
      </c>
      <c r="S77" s="12" t="str">
        <f>IF(XT!$P77&gt;0,R77,"")</f>
        <v/>
      </c>
      <c r="T77" s="12" t="str">
        <f>IF(XT!$P77=0,R77,"")</f>
        <v/>
      </c>
      <c r="U77">
        <f>SUMPRODUCT((MONTH(CHOOSE({1,2,3,4},XT!U77,XT!Y77,XT!AC77,XT!AG77))=6)*(CHOOSE({1,2,3,4},XT!X77,XT!AB77,XT!AF77,XT!AJ77)))</f>
        <v>0</v>
      </c>
      <c r="V77" t="str">
        <f>IFERROR(INDEX(CHOOSE({1,2,3,4}, DAY(XT!U77), DAY(XT!Y77), DAY(XT!AC77), DAY(XT!AG77)), MATCH(1, INDEX(--(MONTH(CHOOSE({1,2,3,4}, XT!U77,XT!Y77,XT!AC77,XT!AG77))=6), 0), 0)), "")</f>
        <v/>
      </c>
      <c r="W77" s="12" t="str">
        <f>IF(XT!$P77&gt;0,V77,"")</f>
        <v/>
      </c>
      <c r="X77" s="12" t="str">
        <f>IF(XT!$P77=0,V77,"")</f>
        <v/>
      </c>
      <c r="Y77">
        <f>SUMPRODUCT((MONTH(CHOOSE({1,2,3,4},XT!U77,XT!Y77,XT!AC77,XT!AG77))=7)*(CHOOSE({1,2,3,4},XT!X77,XT!AB77,XT!AF77,XT!AJ77)))</f>
        <v>0</v>
      </c>
      <c r="Z77" t="str">
        <f>IFERROR(INDEX(CHOOSE({1,2,3,4}, DAY(XT!U77), DAY(XT!Y77), DAY(XT!AC77), DAY(XT!AG77)), MATCH(1, INDEX(--(MONTH(CHOOSE({1,2,3,4}, XT!U77,XT!Y77,XT!AC77,XT!AG77))=7), 0), 0)), "")</f>
        <v/>
      </c>
      <c r="AA77" s="12" t="str">
        <f>IF(XT!$P77&gt;0,Z77,"")</f>
        <v/>
      </c>
      <c r="AB77" s="12" t="str">
        <f>IF(XT!$P77=0,Z77,"")</f>
        <v/>
      </c>
      <c r="AC77">
        <f>SUMPRODUCT((MONTH(CHOOSE({1,2,3,4},XT!U77,XT!Y77,XT!AC77,XT!AG77))=8)*(CHOOSE({1,2,3,4},XT!X77,XT!AB77,XT!AF77,XT!AJ77)))</f>
        <v>0</v>
      </c>
      <c r="AD77" t="str">
        <f>IFERROR(INDEX(CHOOSE({1,2,3,4}, DAY(XT!U77), DAY(XT!Y77), DAY(XT!AC77), DAY(XT!AG77)), MATCH(1, INDEX(--(MONTH(CHOOSE({1,2,3,4}, XT!U77,XT!Y77,XT!AC77,XT!AG77))=8), 0), 0)), "")</f>
        <v/>
      </c>
      <c r="AE77" s="12" t="str">
        <f>IF(XT!$P77&gt;0,AD77,"")</f>
        <v/>
      </c>
      <c r="AF77" s="12" t="str">
        <f>IF(XT!$P77=0,AD77,"")</f>
        <v/>
      </c>
      <c r="AG77">
        <f>SUMPRODUCT((MONTH(CHOOSE({1,2,3,4},XT!U77,XT!Y77,XT!AC77,XT!AG77))=9)*(CHOOSE({1,2,3,4},XT!X77,XT!AB77,XT!AF77,XT!AJ77)))</f>
        <v>0</v>
      </c>
      <c r="AH77" t="str">
        <f>IFERROR(INDEX(CHOOSE({1,2,3,4}, DAY(XT!U77), DAY(XT!Y77), DAY(XT!AC77), DAY(XT!AG77)), MATCH(1, INDEX(--(MONTH(CHOOSE({1,2,3,4}, XT!U77,XT!Y77,XT!AC77,XT!AG77))=9), 0), 0)), "")</f>
        <v/>
      </c>
      <c r="AI77" s="12" t="str">
        <f>IF(XT!$P77&gt;0,AH77,"")</f>
        <v/>
      </c>
      <c r="AJ77" s="12" t="str">
        <f>IF(XT!$P77=0,AH77,"")</f>
        <v/>
      </c>
      <c r="AK77">
        <f>SUMPRODUCT((MONTH(CHOOSE({1,2,3,4},XT!U77,XT!Y77,XT!AC77,XT!AG77))=10)*(CHOOSE({1,2,3,4},XT!X77,XT!AB77,XT!AF77,XT!AJ77)))</f>
        <v>0</v>
      </c>
      <c r="AL77" t="str">
        <f>IFERROR(INDEX(CHOOSE({1,2,3,4}, DAY(XT!U77), DAY(XT!Y77), DAY(XT!AC77), DAY(XT!AG77)), MATCH(1, INDEX(--(MONTH(CHOOSE({1,2,3,4}, XT!U77,XT!Y77,XT!AC77,XT!AG77))=10), 0), 0)), "")</f>
        <v/>
      </c>
      <c r="AM77" s="12" t="str">
        <f>IF(XT!$P77&gt;0,AL77,"")</f>
        <v/>
      </c>
      <c r="AN77" s="12" t="str">
        <f>IF(XT!$P77=0,AL77,"")</f>
        <v/>
      </c>
      <c r="AO77">
        <f>SUMPRODUCT((MONTH(CHOOSE({1,2,3,4},XT!U77,XT!Y77,XT!AC77,XT!AG77))=11)*(CHOOSE({1,2,3,4},XT!X77,XT!AB77,XT!AF77,XT!AJ77)))</f>
        <v>0</v>
      </c>
      <c r="AP77" t="str">
        <f>IFERROR(INDEX(CHOOSE({1,2,3,4}, DAY(XT!U77), DAY(XT!Y77), DAY(XT!AC77), DAY(XT!AG77)), MATCH(1, INDEX(--(MONTH(CHOOSE({1,2,3,4}, XT!U77,XT!Y77,XT!AC77,XT!AG77))=11), 0), 0)), "")</f>
        <v/>
      </c>
      <c r="AQ77" s="12" t="str">
        <f>IF(XT!$P77&gt;0,AP77,"")</f>
        <v/>
      </c>
      <c r="AR77" s="12" t="str">
        <f>IF(XT!$P77=0,AP77,"")</f>
        <v/>
      </c>
      <c r="AS77">
        <f>SUMPRODUCT((MONTH(CHOOSE({1,2,3,4},XT!U77,XT!Y77,XT!AC77,XT!AG77))=12)*(CHOOSE({1,2,3,4},XT!X77,XT!AB77,XT!AF77,XT!AJ77)))</f>
        <v>0</v>
      </c>
      <c r="AT77" t="str">
        <f>IFERROR(INDEX(CHOOSE({1,2,3,4}, DAY(XT!U77), DAY(XT!Y77), DAY(XT!AC77), DAY(XT!AG77)), MATCH(1, INDEX(--(MONTH(CHOOSE({1,2,3,4}, XT!U77,XT!Y77,XT!AC77,XT!AG77))=12), 0), 0)), "")</f>
        <v/>
      </c>
      <c r="AU77" s="12" t="str">
        <f>IF(XT!$P77&gt;0,AT77,"")</f>
        <v/>
      </c>
      <c r="AV77" s="12" t="str">
        <f>IF(XT!$P77=0,AT77,"")</f>
        <v/>
      </c>
    </row>
    <row r="78" spans="1:48">
      <c r="A78">
        <f>SUMPRODUCT((MONTH(CHOOSE({1,2,3,4},XT!U78,XT!Y78,XT!AC78,XT!AG78))=1)*(CHOOSE({1,2,3,4},XT!X78,XT!AB78,XT!AF78,XT!AJ78)))</f>
        <v>0</v>
      </c>
      <c r="B78">
        <f>IFERROR(INDEX(CHOOSE({1,2,3,4}, DAY(XT!U78), DAY(XT!Y78), DAY(XT!AC78), DAY(XT!AG78)), MATCH(1, INDEX(--(MONTH(CHOOSE({1,2,3,4}, XT!U78,XT!Y78,XT!AC78,XT!AG78))=1), 0), 0)), "")</f>
        <v>0</v>
      </c>
      <c r="C78" s="12" t="str">
        <f>IF(XT!$P78&gt;0,B78,"")</f>
        <v/>
      </c>
      <c r="D78" s="12">
        <f>IF(XT!$P78=0,B78,"")</f>
        <v>0</v>
      </c>
      <c r="E78">
        <f>SUMPRODUCT((MONTH(CHOOSE({1,2,3,4},XT!U78,XT!Y78,XT!AC78,XT!AG78))=2)*(CHOOSE({1,2,3,4},XT!X78,XT!AB78,XT!AF78,XT!AJ78)))</f>
        <v>0</v>
      </c>
      <c r="F78" t="str">
        <f>IFERROR(INDEX(CHOOSE({1,2,3,4}, DAY(XT!U78), DAY(XT!Y78), DAY(XT!AC78), DAY(XT!AG78)), MATCH(1, INDEX(--(MONTH(CHOOSE({1,2,3,4}, XT!U78,XT!Y78,XT!AC78,XT!AG78))=2), 0), 0)), "")</f>
        <v/>
      </c>
      <c r="G78" s="12" t="str">
        <f>IF(XT!$P78&gt;0,F78,"")</f>
        <v/>
      </c>
      <c r="H78" s="12" t="str">
        <f>IF(XT!$P78=0,F78,"")</f>
        <v/>
      </c>
      <c r="I78">
        <f>SUMPRODUCT((MONTH(CHOOSE({1,2,3,4},XT!U78,XT!Y78,XT!AC78,XT!AG78))=3)*(CHOOSE({1,2,3,4},XT!X78,XT!AB78,XT!AF78,XT!AJ78)))</f>
        <v>0</v>
      </c>
      <c r="J78" t="str">
        <f>IFERROR(INDEX(CHOOSE({1,2,3,4}, DAY(XT!U78), DAY(XT!Y78), DAY(XT!AC78), DAY(XT!AG78)), MATCH(1, INDEX(--(MONTH(CHOOSE({1,2,3,4}, XT!U78,XT!Y78,XT!AC78,XT!AG78))=3), 0), 0)), "")</f>
        <v/>
      </c>
      <c r="K78" s="12" t="str">
        <f>IF(XT!$P78&gt;0,J78,"")</f>
        <v/>
      </c>
      <c r="L78" s="12" t="str">
        <f>IF(XT!$P78=0,J78,"")</f>
        <v/>
      </c>
      <c r="M78">
        <f>SUMPRODUCT((MONTH(CHOOSE({1,2,3,4},XT!U78,XT!Y78,XT!AC78,XT!AG78))=4)*(CHOOSE({1,2,3,4},XT!X78,XT!AB78,XT!AF78,XT!AJ78)))</f>
        <v>0</v>
      </c>
      <c r="N78" t="str">
        <f>IFERROR(INDEX(CHOOSE({1,2,3,4}, DAY(XT!U78), DAY(XT!Y78), DAY(XT!AC78), DAY(XT!AG78)), MATCH(1, INDEX(--(MONTH(CHOOSE({1,2,3,4}, XT!U78,XT!Y78,XT!AC78,XT!AG78))=4), 0), 0)), "")</f>
        <v/>
      </c>
      <c r="O78" s="12" t="str">
        <f>IF(XT!$P78&gt;0,N78,"")</f>
        <v/>
      </c>
      <c r="P78" s="12" t="str">
        <f>IF(XT!$P78=0,N78,"")</f>
        <v/>
      </c>
      <c r="Q78">
        <f>SUMPRODUCT((MONTH(CHOOSE({1,2,3,4},XT!U78,XT!Y78,XT!AC78,XT!AG78))=5)*(CHOOSE({1,2,3,4},XT!X78,XT!AB78,XT!AF78,XT!AJ78)))</f>
        <v>0</v>
      </c>
      <c r="R78" t="str">
        <f>IFERROR(INDEX(CHOOSE({1,2,3,4}, DAY(XT!U78), DAY(XT!Y78), DAY(XT!AC78), DAY(XT!AG78)), MATCH(1, INDEX(--(MONTH(CHOOSE({1,2,3,4}, XT!U78,XT!Y78,XT!AC78,XT!AG78))=5), 0), 0)), "")</f>
        <v/>
      </c>
      <c r="S78" s="12" t="str">
        <f>IF(XT!$P78&gt;0,R78,"")</f>
        <v/>
      </c>
      <c r="T78" s="12" t="str">
        <f>IF(XT!$P78=0,R78,"")</f>
        <v/>
      </c>
      <c r="U78">
        <f>SUMPRODUCT((MONTH(CHOOSE({1,2,3,4},XT!U78,XT!Y78,XT!AC78,XT!AG78))=6)*(CHOOSE({1,2,3,4},XT!X78,XT!AB78,XT!AF78,XT!AJ78)))</f>
        <v>0</v>
      </c>
      <c r="V78" t="str">
        <f>IFERROR(INDEX(CHOOSE({1,2,3,4}, DAY(XT!U78), DAY(XT!Y78), DAY(XT!AC78), DAY(XT!AG78)), MATCH(1, INDEX(--(MONTH(CHOOSE({1,2,3,4}, XT!U78,XT!Y78,XT!AC78,XT!AG78))=6), 0), 0)), "")</f>
        <v/>
      </c>
      <c r="W78" s="12" t="str">
        <f>IF(XT!$P78&gt;0,V78,"")</f>
        <v/>
      </c>
      <c r="X78" s="12" t="str">
        <f>IF(XT!$P78=0,V78,"")</f>
        <v/>
      </c>
      <c r="Y78">
        <f>SUMPRODUCT((MONTH(CHOOSE({1,2,3,4},XT!U78,XT!Y78,XT!AC78,XT!AG78))=7)*(CHOOSE({1,2,3,4},XT!X78,XT!AB78,XT!AF78,XT!AJ78)))</f>
        <v>0</v>
      </c>
      <c r="Z78" t="str">
        <f>IFERROR(INDEX(CHOOSE({1,2,3,4}, DAY(XT!U78), DAY(XT!Y78), DAY(XT!AC78), DAY(XT!AG78)), MATCH(1, INDEX(--(MONTH(CHOOSE({1,2,3,4}, XT!U78,XT!Y78,XT!AC78,XT!AG78))=7), 0), 0)), "")</f>
        <v/>
      </c>
      <c r="AA78" s="12" t="str">
        <f>IF(XT!$P78&gt;0,Z78,"")</f>
        <v/>
      </c>
      <c r="AB78" s="12" t="str">
        <f>IF(XT!$P78=0,Z78,"")</f>
        <v/>
      </c>
      <c r="AC78">
        <f>SUMPRODUCT((MONTH(CHOOSE({1,2,3,4},XT!U78,XT!Y78,XT!AC78,XT!AG78))=8)*(CHOOSE({1,2,3,4},XT!X78,XT!AB78,XT!AF78,XT!AJ78)))</f>
        <v>0</v>
      </c>
      <c r="AD78" t="str">
        <f>IFERROR(INDEX(CHOOSE({1,2,3,4}, DAY(XT!U78), DAY(XT!Y78), DAY(XT!AC78), DAY(XT!AG78)), MATCH(1, INDEX(--(MONTH(CHOOSE({1,2,3,4}, XT!U78,XT!Y78,XT!AC78,XT!AG78))=8), 0), 0)), "")</f>
        <v/>
      </c>
      <c r="AE78" s="12" t="str">
        <f>IF(XT!$P78&gt;0,AD78,"")</f>
        <v/>
      </c>
      <c r="AF78" s="12" t="str">
        <f>IF(XT!$P78=0,AD78,"")</f>
        <v/>
      </c>
      <c r="AG78">
        <f>SUMPRODUCT((MONTH(CHOOSE({1,2,3,4},XT!U78,XT!Y78,XT!AC78,XT!AG78))=9)*(CHOOSE({1,2,3,4},XT!X78,XT!AB78,XT!AF78,XT!AJ78)))</f>
        <v>0</v>
      </c>
      <c r="AH78" t="str">
        <f>IFERROR(INDEX(CHOOSE({1,2,3,4}, DAY(XT!U78), DAY(XT!Y78), DAY(XT!AC78), DAY(XT!AG78)), MATCH(1, INDEX(--(MONTH(CHOOSE({1,2,3,4}, XT!U78,XT!Y78,XT!AC78,XT!AG78))=9), 0), 0)), "")</f>
        <v/>
      </c>
      <c r="AI78" s="12" t="str">
        <f>IF(XT!$P78&gt;0,AH78,"")</f>
        <v/>
      </c>
      <c r="AJ78" s="12" t="str">
        <f>IF(XT!$P78=0,AH78,"")</f>
        <v/>
      </c>
      <c r="AK78">
        <f>SUMPRODUCT((MONTH(CHOOSE({1,2,3,4},XT!U78,XT!Y78,XT!AC78,XT!AG78))=10)*(CHOOSE({1,2,3,4},XT!X78,XT!AB78,XT!AF78,XT!AJ78)))</f>
        <v>0</v>
      </c>
      <c r="AL78" t="str">
        <f>IFERROR(INDEX(CHOOSE({1,2,3,4}, DAY(XT!U78), DAY(XT!Y78), DAY(XT!AC78), DAY(XT!AG78)), MATCH(1, INDEX(--(MONTH(CHOOSE({1,2,3,4}, XT!U78,XT!Y78,XT!AC78,XT!AG78))=10), 0), 0)), "")</f>
        <v/>
      </c>
      <c r="AM78" s="12" t="str">
        <f>IF(XT!$P78&gt;0,AL78,"")</f>
        <v/>
      </c>
      <c r="AN78" s="12" t="str">
        <f>IF(XT!$P78=0,AL78,"")</f>
        <v/>
      </c>
      <c r="AO78">
        <f>SUMPRODUCT((MONTH(CHOOSE({1,2,3,4},XT!U78,XT!Y78,XT!AC78,XT!AG78))=11)*(CHOOSE({1,2,3,4},XT!X78,XT!AB78,XT!AF78,XT!AJ78)))</f>
        <v>0</v>
      </c>
      <c r="AP78" t="str">
        <f>IFERROR(INDEX(CHOOSE({1,2,3,4}, DAY(XT!U78), DAY(XT!Y78), DAY(XT!AC78), DAY(XT!AG78)), MATCH(1, INDEX(--(MONTH(CHOOSE({1,2,3,4}, XT!U78,XT!Y78,XT!AC78,XT!AG78))=11), 0), 0)), "")</f>
        <v/>
      </c>
      <c r="AQ78" s="12" t="str">
        <f>IF(XT!$P78&gt;0,AP78,"")</f>
        <v/>
      </c>
      <c r="AR78" s="12" t="str">
        <f>IF(XT!$P78=0,AP78,"")</f>
        <v/>
      </c>
      <c r="AS78">
        <f>SUMPRODUCT((MONTH(CHOOSE({1,2,3,4},XT!U78,XT!Y78,XT!AC78,XT!AG78))=12)*(CHOOSE({1,2,3,4},XT!X78,XT!AB78,XT!AF78,XT!AJ78)))</f>
        <v>0</v>
      </c>
      <c r="AT78" t="str">
        <f>IFERROR(INDEX(CHOOSE({1,2,3,4}, DAY(XT!U78), DAY(XT!Y78), DAY(XT!AC78), DAY(XT!AG78)), MATCH(1, INDEX(--(MONTH(CHOOSE({1,2,3,4}, XT!U78,XT!Y78,XT!AC78,XT!AG78))=12), 0), 0)), "")</f>
        <v/>
      </c>
      <c r="AU78" s="12" t="str">
        <f>IF(XT!$P78&gt;0,AT78,"")</f>
        <v/>
      </c>
      <c r="AV78" s="12" t="str">
        <f>IF(XT!$P78=0,AT78,"")</f>
        <v/>
      </c>
    </row>
    <row r="79" spans="1:48">
      <c r="A79">
        <f>SUMPRODUCT((MONTH(CHOOSE({1,2,3,4},XT!U79,XT!Y79,XT!AC79,XT!AG79))=1)*(CHOOSE({1,2,3,4},XT!X79,XT!AB79,XT!AF79,XT!AJ79)))</f>
        <v>0</v>
      </c>
      <c r="B79">
        <f>IFERROR(INDEX(CHOOSE({1,2,3,4}, DAY(XT!U79), DAY(XT!Y79), DAY(XT!AC79), DAY(XT!AG79)), MATCH(1, INDEX(--(MONTH(CHOOSE({1,2,3,4}, XT!U79,XT!Y79,XT!AC79,XT!AG79))=1), 0), 0)), "")</f>
        <v>0</v>
      </c>
      <c r="C79" s="12" t="str">
        <f>IF(XT!$P79&gt;0,B79,"")</f>
        <v/>
      </c>
      <c r="D79" s="12">
        <f>IF(XT!$P79=0,B79,"")</f>
        <v>0</v>
      </c>
      <c r="E79">
        <f>SUMPRODUCT((MONTH(CHOOSE({1,2,3,4},XT!U79,XT!Y79,XT!AC79,XT!AG79))=2)*(CHOOSE({1,2,3,4},XT!X79,XT!AB79,XT!AF79,XT!AJ79)))</f>
        <v>0</v>
      </c>
      <c r="F79" t="str">
        <f>IFERROR(INDEX(CHOOSE({1,2,3,4}, DAY(XT!U79), DAY(XT!Y79), DAY(XT!AC79), DAY(XT!AG79)), MATCH(1, INDEX(--(MONTH(CHOOSE({1,2,3,4}, XT!U79,XT!Y79,XT!AC79,XT!AG79))=2), 0), 0)), "")</f>
        <v/>
      </c>
      <c r="G79" s="12" t="str">
        <f>IF(XT!$P79&gt;0,F79,"")</f>
        <v/>
      </c>
      <c r="H79" s="12" t="str">
        <f>IF(XT!$P79=0,F79,"")</f>
        <v/>
      </c>
      <c r="I79">
        <f>SUMPRODUCT((MONTH(CHOOSE({1,2,3,4},XT!U79,XT!Y79,XT!AC79,XT!AG79))=3)*(CHOOSE({1,2,3,4},XT!X79,XT!AB79,XT!AF79,XT!AJ79)))</f>
        <v>0</v>
      </c>
      <c r="J79" t="str">
        <f>IFERROR(INDEX(CHOOSE({1,2,3,4}, DAY(XT!U79), DAY(XT!Y79), DAY(XT!AC79), DAY(XT!AG79)), MATCH(1, INDEX(--(MONTH(CHOOSE({1,2,3,4}, XT!U79,XT!Y79,XT!AC79,XT!AG79))=3), 0), 0)), "")</f>
        <v/>
      </c>
      <c r="K79" s="12" t="str">
        <f>IF(XT!$P79&gt;0,J79,"")</f>
        <v/>
      </c>
      <c r="L79" s="12" t="str">
        <f>IF(XT!$P79=0,J79,"")</f>
        <v/>
      </c>
      <c r="M79">
        <f>SUMPRODUCT((MONTH(CHOOSE({1,2,3,4},XT!U79,XT!Y79,XT!AC79,XT!AG79))=4)*(CHOOSE({1,2,3,4},XT!X79,XT!AB79,XT!AF79,XT!AJ79)))</f>
        <v>0</v>
      </c>
      <c r="N79" t="str">
        <f>IFERROR(INDEX(CHOOSE({1,2,3,4}, DAY(XT!U79), DAY(XT!Y79), DAY(XT!AC79), DAY(XT!AG79)), MATCH(1, INDEX(--(MONTH(CHOOSE({1,2,3,4}, XT!U79,XT!Y79,XT!AC79,XT!AG79))=4), 0), 0)), "")</f>
        <v/>
      </c>
      <c r="O79" s="12" t="str">
        <f>IF(XT!$P79&gt;0,N79,"")</f>
        <v/>
      </c>
      <c r="P79" s="12" t="str">
        <f>IF(XT!$P79=0,N79,"")</f>
        <v/>
      </c>
      <c r="Q79">
        <f>SUMPRODUCT((MONTH(CHOOSE({1,2,3,4},XT!U79,XT!Y79,XT!AC79,XT!AG79))=5)*(CHOOSE({1,2,3,4},XT!X79,XT!AB79,XT!AF79,XT!AJ79)))</f>
        <v>0</v>
      </c>
      <c r="R79" t="str">
        <f>IFERROR(INDEX(CHOOSE({1,2,3,4}, DAY(XT!U79), DAY(XT!Y79), DAY(XT!AC79), DAY(XT!AG79)), MATCH(1, INDEX(--(MONTH(CHOOSE({1,2,3,4}, XT!U79,XT!Y79,XT!AC79,XT!AG79))=5), 0), 0)), "")</f>
        <v/>
      </c>
      <c r="S79" s="12" t="str">
        <f>IF(XT!$P79&gt;0,R79,"")</f>
        <v/>
      </c>
      <c r="T79" s="12" t="str">
        <f>IF(XT!$P79=0,R79,"")</f>
        <v/>
      </c>
      <c r="U79">
        <f>SUMPRODUCT((MONTH(CHOOSE({1,2,3,4},XT!U79,XT!Y79,XT!AC79,XT!AG79))=6)*(CHOOSE({1,2,3,4},XT!X79,XT!AB79,XT!AF79,XT!AJ79)))</f>
        <v>0</v>
      </c>
      <c r="V79" t="str">
        <f>IFERROR(INDEX(CHOOSE({1,2,3,4}, DAY(XT!U79), DAY(XT!Y79), DAY(XT!AC79), DAY(XT!AG79)), MATCH(1, INDEX(--(MONTH(CHOOSE({1,2,3,4}, XT!U79,XT!Y79,XT!AC79,XT!AG79))=6), 0), 0)), "")</f>
        <v/>
      </c>
      <c r="W79" s="12" t="str">
        <f>IF(XT!$P79&gt;0,V79,"")</f>
        <v/>
      </c>
      <c r="X79" s="12" t="str">
        <f>IF(XT!$P79=0,V79,"")</f>
        <v/>
      </c>
      <c r="Y79">
        <f>SUMPRODUCT((MONTH(CHOOSE({1,2,3,4},XT!U79,XT!Y79,XT!AC79,XT!AG79))=7)*(CHOOSE({1,2,3,4},XT!X79,XT!AB79,XT!AF79,XT!AJ79)))</f>
        <v>0</v>
      </c>
      <c r="Z79" t="str">
        <f>IFERROR(INDEX(CHOOSE({1,2,3,4}, DAY(XT!U79), DAY(XT!Y79), DAY(XT!AC79), DAY(XT!AG79)), MATCH(1, INDEX(--(MONTH(CHOOSE({1,2,3,4}, XT!U79,XT!Y79,XT!AC79,XT!AG79))=7), 0), 0)), "")</f>
        <v/>
      </c>
      <c r="AA79" s="12" t="str">
        <f>IF(XT!$P79&gt;0,Z79,"")</f>
        <v/>
      </c>
      <c r="AB79" s="12" t="str">
        <f>IF(XT!$P79=0,Z79,"")</f>
        <v/>
      </c>
      <c r="AC79">
        <f>SUMPRODUCT((MONTH(CHOOSE({1,2,3,4},XT!U79,XT!Y79,XT!AC79,XT!AG79))=8)*(CHOOSE({1,2,3,4},XT!X79,XT!AB79,XT!AF79,XT!AJ79)))</f>
        <v>0</v>
      </c>
      <c r="AD79" t="str">
        <f>IFERROR(INDEX(CHOOSE({1,2,3,4}, DAY(XT!U79), DAY(XT!Y79), DAY(XT!AC79), DAY(XT!AG79)), MATCH(1, INDEX(--(MONTH(CHOOSE({1,2,3,4}, XT!U79,XT!Y79,XT!AC79,XT!AG79))=8), 0), 0)), "")</f>
        <v/>
      </c>
      <c r="AE79" s="12" t="str">
        <f>IF(XT!$P79&gt;0,AD79,"")</f>
        <v/>
      </c>
      <c r="AF79" s="12" t="str">
        <f>IF(XT!$P79=0,AD79,"")</f>
        <v/>
      </c>
      <c r="AG79">
        <f>SUMPRODUCT((MONTH(CHOOSE({1,2,3,4},XT!U79,XT!Y79,XT!AC79,XT!AG79))=9)*(CHOOSE({1,2,3,4},XT!X79,XT!AB79,XT!AF79,XT!AJ79)))</f>
        <v>0</v>
      </c>
      <c r="AH79" t="str">
        <f>IFERROR(INDEX(CHOOSE({1,2,3,4}, DAY(XT!U79), DAY(XT!Y79), DAY(XT!AC79), DAY(XT!AG79)), MATCH(1, INDEX(--(MONTH(CHOOSE({1,2,3,4}, XT!U79,XT!Y79,XT!AC79,XT!AG79))=9), 0), 0)), "")</f>
        <v/>
      </c>
      <c r="AI79" s="12" t="str">
        <f>IF(XT!$P79&gt;0,AH79,"")</f>
        <v/>
      </c>
      <c r="AJ79" s="12" t="str">
        <f>IF(XT!$P79=0,AH79,"")</f>
        <v/>
      </c>
      <c r="AK79">
        <f>SUMPRODUCT((MONTH(CHOOSE({1,2,3,4},XT!U79,XT!Y79,XT!AC79,XT!AG79))=10)*(CHOOSE({1,2,3,4},XT!X79,XT!AB79,XT!AF79,XT!AJ79)))</f>
        <v>0</v>
      </c>
      <c r="AL79" t="str">
        <f>IFERROR(INDEX(CHOOSE({1,2,3,4}, DAY(XT!U79), DAY(XT!Y79), DAY(XT!AC79), DAY(XT!AG79)), MATCH(1, INDEX(--(MONTH(CHOOSE({1,2,3,4}, XT!U79,XT!Y79,XT!AC79,XT!AG79))=10), 0), 0)), "")</f>
        <v/>
      </c>
      <c r="AM79" s="12" t="str">
        <f>IF(XT!$P79&gt;0,AL79,"")</f>
        <v/>
      </c>
      <c r="AN79" s="12" t="str">
        <f>IF(XT!$P79=0,AL79,"")</f>
        <v/>
      </c>
      <c r="AO79">
        <f>SUMPRODUCT((MONTH(CHOOSE({1,2,3,4},XT!U79,XT!Y79,XT!AC79,XT!AG79))=11)*(CHOOSE({1,2,3,4},XT!X79,XT!AB79,XT!AF79,XT!AJ79)))</f>
        <v>0</v>
      </c>
      <c r="AP79" t="str">
        <f>IFERROR(INDEX(CHOOSE({1,2,3,4}, DAY(XT!U79), DAY(XT!Y79), DAY(XT!AC79), DAY(XT!AG79)), MATCH(1, INDEX(--(MONTH(CHOOSE({1,2,3,4}, XT!U79,XT!Y79,XT!AC79,XT!AG79))=11), 0), 0)), "")</f>
        <v/>
      </c>
      <c r="AQ79" s="12" t="str">
        <f>IF(XT!$P79&gt;0,AP79,"")</f>
        <v/>
      </c>
      <c r="AR79" s="12" t="str">
        <f>IF(XT!$P79=0,AP79,"")</f>
        <v/>
      </c>
      <c r="AS79">
        <f>SUMPRODUCT((MONTH(CHOOSE({1,2,3,4},XT!U79,XT!Y79,XT!AC79,XT!AG79))=12)*(CHOOSE({1,2,3,4},XT!X79,XT!AB79,XT!AF79,XT!AJ79)))</f>
        <v>0</v>
      </c>
      <c r="AT79" t="str">
        <f>IFERROR(INDEX(CHOOSE({1,2,3,4}, DAY(XT!U79), DAY(XT!Y79), DAY(XT!AC79), DAY(XT!AG79)), MATCH(1, INDEX(--(MONTH(CHOOSE({1,2,3,4}, XT!U79,XT!Y79,XT!AC79,XT!AG79))=12), 0), 0)), "")</f>
        <v/>
      </c>
      <c r="AU79" s="12" t="str">
        <f>IF(XT!$P79&gt;0,AT79,"")</f>
        <v/>
      </c>
      <c r="AV79" s="12" t="str">
        <f>IF(XT!$P79=0,AT79,"")</f>
        <v/>
      </c>
    </row>
    <row r="80" spans="1:48">
      <c r="A80">
        <f>SUMPRODUCT((MONTH(CHOOSE({1,2,3,4},XT!U80,XT!Y80,XT!AC80,XT!AG80))=1)*(CHOOSE({1,2,3,4},XT!X80,XT!AB80,XT!AF80,XT!AJ80)))</f>
        <v>0</v>
      </c>
      <c r="B80">
        <f>IFERROR(INDEX(CHOOSE({1,2,3,4}, DAY(XT!U80), DAY(XT!Y80), DAY(XT!AC80), DAY(XT!AG80)), MATCH(1, INDEX(--(MONTH(CHOOSE({1,2,3,4}, XT!U80,XT!Y80,XT!AC80,XT!AG80))=1), 0), 0)), "")</f>
        <v>0</v>
      </c>
      <c r="C80" s="12" t="str">
        <f>IF(XT!$P80&gt;0,B80,"")</f>
        <v/>
      </c>
      <c r="D80" s="12">
        <f>IF(XT!$P80=0,B80,"")</f>
        <v>0</v>
      </c>
      <c r="E80">
        <f>SUMPRODUCT((MONTH(CHOOSE({1,2,3,4},XT!U80,XT!Y80,XT!AC80,XT!AG80))=2)*(CHOOSE({1,2,3,4},XT!X80,XT!AB80,XT!AF80,XT!AJ80)))</f>
        <v>0</v>
      </c>
      <c r="F80" t="str">
        <f>IFERROR(INDEX(CHOOSE({1,2,3,4}, DAY(XT!U80), DAY(XT!Y80), DAY(XT!AC80), DAY(XT!AG80)), MATCH(1, INDEX(--(MONTH(CHOOSE({1,2,3,4}, XT!U80,XT!Y80,XT!AC80,XT!AG80))=2), 0), 0)), "")</f>
        <v/>
      </c>
      <c r="G80" s="12" t="str">
        <f>IF(XT!$P80&gt;0,F80,"")</f>
        <v/>
      </c>
      <c r="H80" s="12" t="str">
        <f>IF(XT!$P80=0,F80,"")</f>
        <v/>
      </c>
      <c r="I80">
        <f>SUMPRODUCT((MONTH(CHOOSE({1,2,3,4},XT!U80,XT!Y80,XT!AC80,XT!AG80))=3)*(CHOOSE({1,2,3,4},XT!X80,XT!AB80,XT!AF80,XT!AJ80)))</f>
        <v>0</v>
      </c>
      <c r="J80" t="str">
        <f>IFERROR(INDEX(CHOOSE({1,2,3,4}, DAY(XT!U80), DAY(XT!Y80), DAY(XT!AC80), DAY(XT!AG80)), MATCH(1, INDEX(--(MONTH(CHOOSE({1,2,3,4}, XT!U80,XT!Y80,XT!AC80,XT!AG80))=3), 0), 0)), "")</f>
        <v/>
      </c>
      <c r="K80" s="12" t="str">
        <f>IF(XT!$P80&gt;0,J80,"")</f>
        <v/>
      </c>
      <c r="L80" s="12" t="str">
        <f>IF(XT!$P80=0,J80,"")</f>
        <v/>
      </c>
      <c r="M80">
        <f>SUMPRODUCT((MONTH(CHOOSE({1,2,3,4},XT!U80,XT!Y80,XT!AC80,XT!AG80))=4)*(CHOOSE({1,2,3,4},XT!X80,XT!AB80,XT!AF80,XT!AJ80)))</f>
        <v>0</v>
      </c>
      <c r="N80" t="str">
        <f>IFERROR(INDEX(CHOOSE({1,2,3,4}, DAY(XT!U80), DAY(XT!Y80), DAY(XT!AC80), DAY(XT!AG80)), MATCH(1, INDEX(--(MONTH(CHOOSE({1,2,3,4}, XT!U80,XT!Y80,XT!AC80,XT!AG80))=4), 0), 0)), "")</f>
        <v/>
      </c>
      <c r="O80" s="12" t="str">
        <f>IF(XT!$P80&gt;0,N80,"")</f>
        <v/>
      </c>
      <c r="P80" s="12" t="str">
        <f>IF(XT!$P80=0,N80,"")</f>
        <v/>
      </c>
      <c r="Q80">
        <f>SUMPRODUCT((MONTH(CHOOSE({1,2,3,4},XT!U80,XT!Y80,XT!AC80,XT!AG80))=5)*(CHOOSE({1,2,3,4},XT!X80,XT!AB80,XT!AF80,XT!AJ80)))</f>
        <v>0</v>
      </c>
      <c r="R80" t="str">
        <f>IFERROR(INDEX(CHOOSE({1,2,3,4}, DAY(XT!U80), DAY(XT!Y80), DAY(XT!AC80), DAY(XT!AG80)), MATCH(1, INDEX(--(MONTH(CHOOSE({1,2,3,4}, XT!U80,XT!Y80,XT!AC80,XT!AG80))=5), 0), 0)), "")</f>
        <v/>
      </c>
      <c r="S80" s="12" t="str">
        <f>IF(XT!$P80&gt;0,R80,"")</f>
        <v/>
      </c>
      <c r="T80" s="12" t="str">
        <f>IF(XT!$P80=0,R80,"")</f>
        <v/>
      </c>
      <c r="U80">
        <f>SUMPRODUCT((MONTH(CHOOSE({1,2,3,4},XT!U80,XT!Y80,XT!AC80,XT!AG80))=6)*(CHOOSE({1,2,3,4},XT!X80,XT!AB80,XT!AF80,XT!AJ80)))</f>
        <v>0</v>
      </c>
      <c r="V80" t="str">
        <f>IFERROR(INDEX(CHOOSE({1,2,3,4}, DAY(XT!U80), DAY(XT!Y80), DAY(XT!AC80), DAY(XT!AG80)), MATCH(1, INDEX(--(MONTH(CHOOSE({1,2,3,4}, XT!U80,XT!Y80,XT!AC80,XT!AG80))=6), 0), 0)), "")</f>
        <v/>
      </c>
      <c r="W80" s="12" t="str">
        <f>IF(XT!$P80&gt;0,V80,"")</f>
        <v/>
      </c>
      <c r="X80" s="12" t="str">
        <f>IF(XT!$P80=0,V80,"")</f>
        <v/>
      </c>
      <c r="Y80">
        <f>SUMPRODUCT((MONTH(CHOOSE({1,2,3,4},XT!U80,XT!Y80,XT!AC80,XT!AG80))=7)*(CHOOSE({1,2,3,4},XT!X80,XT!AB80,XT!AF80,XT!AJ80)))</f>
        <v>0</v>
      </c>
      <c r="Z80" t="str">
        <f>IFERROR(INDEX(CHOOSE({1,2,3,4}, DAY(XT!U80), DAY(XT!Y80), DAY(XT!AC80), DAY(XT!AG80)), MATCH(1, INDEX(--(MONTH(CHOOSE({1,2,3,4}, XT!U80,XT!Y80,XT!AC80,XT!AG80))=7), 0), 0)), "")</f>
        <v/>
      </c>
      <c r="AA80" s="12" t="str">
        <f>IF(XT!$P80&gt;0,Z80,"")</f>
        <v/>
      </c>
      <c r="AB80" s="12" t="str">
        <f>IF(XT!$P80=0,Z80,"")</f>
        <v/>
      </c>
      <c r="AC80">
        <f>SUMPRODUCT((MONTH(CHOOSE({1,2,3,4},XT!U80,XT!Y80,XT!AC80,XT!AG80))=8)*(CHOOSE({1,2,3,4},XT!X80,XT!AB80,XT!AF80,XT!AJ80)))</f>
        <v>0</v>
      </c>
      <c r="AD80" t="str">
        <f>IFERROR(INDEX(CHOOSE({1,2,3,4}, DAY(XT!U80), DAY(XT!Y80), DAY(XT!AC80), DAY(XT!AG80)), MATCH(1, INDEX(--(MONTH(CHOOSE({1,2,3,4}, XT!U80,XT!Y80,XT!AC80,XT!AG80))=8), 0), 0)), "")</f>
        <v/>
      </c>
      <c r="AE80" s="12" t="str">
        <f>IF(XT!$P80&gt;0,AD80,"")</f>
        <v/>
      </c>
      <c r="AF80" s="12" t="str">
        <f>IF(XT!$P80=0,AD80,"")</f>
        <v/>
      </c>
      <c r="AG80">
        <f>SUMPRODUCT((MONTH(CHOOSE({1,2,3,4},XT!U80,XT!Y80,XT!AC80,XT!AG80))=9)*(CHOOSE({1,2,3,4},XT!X80,XT!AB80,XT!AF80,XT!AJ80)))</f>
        <v>0</v>
      </c>
      <c r="AH80" t="str">
        <f>IFERROR(INDEX(CHOOSE({1,2,3,4}, DAY(XT!U80), DAY(XT!Y80), DAY(XT!AC80), DAY(XT!AG80)), MATCH(1, INDEX(--(MONTH(CHOOSE({1,2,3,4}, XT!U80,XT!Y80,XT!AC80,XT!AG80))=9), 0), 0)), "")</f>
        <v/>
      </c>
      <c r="AI80" s="12" t="str">
        <f>IF(XT!$P80&gt;0,AH80,"")</f>
        <v/>
      </c>
      <c r="AJ80" s="12" t="str">
        <f>IF(XT!$P80=0,AH80,"")</f>
        <v/>
      </c>
      <c r="AK80">
        <f>SUMPRODUCT((MONTH(CHOOSE({1,2,3,4},XT!U80,XT!Y80,XT!AC80,XT!AG80))=10)*(CHOOSE({1,2,3,4},XT!X80,XT!AB80,XT!AF80,XT!AJ80)))</f>
        <v>0</v>
      </c>
      <c r="AL80" t="str">
        <f>IFERROR(INDEX(CHOOSE({1,2,3,4}, DAY(XT!U80), DAY(XT!Y80), DAY(XT!AC80), DAY(XT!AG80)), MATCH(1, INDEX(--(MONTH(CHOOSE({1,2,3,4}, XT!U80,XT!Y80,XT!AC80,XT!AG80))=10), 0), 0)), "")</f>
        <v/>
      </c>
      <c r="AM80" s="12" t="str">
        <f>IF(XT!$P80&gt;0,AL80,"")</f>
        <v/>
      </c>
      <c r="AN80" s="12" t="str">
        <f>IF(XT!$P80=0,AL80,"")</f>
        <v/>
      </c>
      <c r="AO80">
        <f>SUMPRODUCT((MONTH(CHOOSE({1,2,3,4},XT!U80,XT!Y80,XT!AC80,XT!AG80))=11)*(CHOOSE({1,2,3,4},XT!X80,XT!AB80,XT!AF80,XT!AJ80)))</f>
        <v>0</v>
      </c>
      <c r="AP80" t="str">
        <f>IFERROR(INDEX(CHOOSE({1,2,3,4}, DAY(XT!U80), DAY(XT!Y80), DAY(XT!AC80), DAY(XT!AG80)), MATCH(1, INDEX(--(MONTH(CHOOSE({1,2,3,4}, XT!U80,XT!Y80,XT!AC80,XT!AG80))=11), 0), 0)), "")</f>
        <v/>
      </c>
      <c r="AQ80" s="12" t="str">
        <f>IF(XT!$P80&gt;0,AP80,"")</f>
        <v/>
      </c>
      <c r="AR80" s="12" t="str">
        <f>IF(XT!$P80=0,AP80,"")</f>
        <v/>
      </c>
      <c r="AS80">
        <f>SUMPRODUCT((MONTH(CHOOSE({1,2,3,4},XT!U80,XT!Y80,XT!AC80,XT!AG80))=12)*(CHOOSE({1,2,3,4},XT!X80,XT!AB80,XT!AF80,XT!AJ80)))</f>
        <v>0</v>
      </c>
      <c r="AT80" t="str">
        <f>IFERROR(INDEX(CHOOSE({1,2,3,4}, DAY(XT!U80), DAY(XT!Y80), DAY(XT!AC80), DAY(XT!AG80)), MATCH(1, INDEX(--(MONTH(CHOOSE({1,2,3,4}, XT!U80,XT!Y80,XT!AC80,XT!AG80))=12), 0), 0)), "")</f>
        <v/>
      </c>
      <c r="AU80" s="12" t="str">
        <f>IF(XT!$P80&gt;0,AT80,"")</f>
        <v/>
      </c>
      <c r="AV80" s="12" t="str">
        <f>IF(XT!$P80=0,AT80,"")</f>
        <v/>
      </c>
    </row>
    <row r="81" spans="1:48">
      <c r="A81">
        <f>SUMPRODUCT((MONTH(CHOOSE({1,2,3,4},XT!U81,XT!Y81,XT!AC81,XT!AG81))=1)*(CHOOSE({1,2,3,4},XT!X81,XT!AB81,XT!AF81,XT!AJ81)))</f>
        <v>0</v>
      </c>
      <c r="B81">
        <f>IFERROR(INDEX(CHOOSE({1,2,3,4}, DAY(XT!U81), DAY(XT!Y81), DAY(XT!AC81), DAY(XT!AG81)), MATCH(1, INDEX(--(MONTH(CHOOSE({1,2,3,4}, XT!U81,XT!Y81,XT!AC81,XT!AG81))=1), 0), 0)), "")</f>
        <v>0</v>
      </c>
      <c r="C81" s="12" t="str">
        <f>IF(XT!$P81&gt;0,B81,"")</f>
        <v/>
      </c>
      <c r="D81" s="12">
        <f>IF(XT!$P81=0,B81,"")</f>
        <v>0</v>
      </c>
      <c r="E81">
        <f>SUMPRODUCT((MONTH(CHOOSE({1,2,3,4},XT!U81,XT!Y81,XT!AC81,XT!AG81))=2)*(CHOOSE({1,2,3,4},XT!X81,XT!AB81,XT!AF81,XT!AJ81)))</f>
        <v>0</v>
      </c>
      <c r="F81" t="str">
        <f>IFERROR(INDEX(CHOOSE({1,2,3,4}, DAY(XT!U81), DAY(XT!Y81), DAY(XT!AC81), DAY(XT!AG81)), MATCH(1, INDEX(--(MONTH(CHOOSE({1,2,3,4}, XT!U81,XT!Y81,XT!AC81,XT!AG81))=2), 0), 0)), "")</f>
        <v/>
      </c>
      <c r="G81" s="12" t="str">
        <f>IF(XT!$P81&gt;0,F81,"")</f>
        <v/>
      </c>
      <c r="H81" s="12" t="str">
        <f>IF(XT!$P81=0,F81,"")</f>
        <v/>
      </c>
      <c r="I81">
        <f>SUMPRODUCT((MONTH(CHOOSE({1,2,3,4},XT!U81,XT!Y81,XT!AC81,XT!AG81))=3)*(CHOOSE({1,2,3,4},XT!X81,XT!AB81,XT!AF81,XT!AJ81)))</f>
        <v>0</v>
      </c>
      <c r="J81" t="str">
        <f>IFERROR(INDEX(CHOOSE({1,2,3,4}, DAY(XT!U81), DAY(XT!Y81), DAY(XT!AC81), DAY(XT!AG81)), MATCH(1, INDEX(--(MONTH(CHOOSE({1,2,3,4}, XT!U81,XT!Y81,XT!AC81,XT!AG81))=3), 0), 0)), "")</f>
        <v/>
      </c>
      <c r="K81" s="12" t="str">
        <f>IF(XT!$P81&gt;0,J81,"")</f>
        <v/>
      </c>
      <c r="L81" s="12" t="str">
        <f>IF(XT!$P81=0,J81,"")</f>
        <v/>
      </c>
      <c r="M81">
        <f>SUMPRODUCT((MONTH(CHOOSE({1,2,3,4},XT!U81,XT!Y81,XT!AC81,XT!AG81))=4)*(CHOOSE({1,2,3,4},XT!X81,XT!AB81,XT!AF81,XT!AJ81)))</f>
        <v>0</v>
      </c>
      <c r="N81" t="str">
        <f>IFERROR(INDEX(CHOOSE({1,2,3,4}, DAY(XT!U81), DAY(XT!Y81), DAY(XT!AC81), DAY(XT!AG81)), MATCH(1, INDEX(--(MONTH(CHOOSE({1,2,3,4}, XT!U81,XT!Y81,XT!AC81,XT!AG81))=4), 0), 0)), "")</f>
        <v/>
      </c>
      <c r="O81" s="12" t="str">
        <f>IF(XT!$P81&gt;0,N81,"")</f>
        <v/>
      </c>
      <c r="P81" s="12" t="str">
        <f>IF(XT!$P81=0,N81,"")</f>
        <v/>
      </c>
      <c r="Q81">
        <f>SUMPRODUCT((MONTH(CHOOSE({1,2,3,4},XT!U81,XT!Y81,XT!AC81,XT!AG81))=5)*(CHOOSE({1,2,3,4},XT!X81,XT!AB81,XT!AF81,XT!AJ81)))</f>
        <v>0</v>
      </c>
      <c r="R81" t="str">
        <f>IFERROR(INDEX(CHOOSE({1,2,3,4}, DAY(XT!U81), DAY(XT!Y81), DAY(XT!AC81), DAY(XT!AG81)), MATCH(1, INDEX(--(MONTH(CHOOSE({1,2,3,4}, XT!U81,XT!Y81,XT!AC81,XT!AG81))=5), 0), 0)), "")</f>
        <v/>
      </c>
      <c r="S81" s="12" t="str">
        <f>IF(XT!$P81&gt;0,R81,"")</f>
        <v/>
      </c>
      <c r="T81" s="12" t="str">
        <f>IF(XT!$P81=0,R81,"")</f>
        <v/>
      </c>
      <c r="U81">
        <f>SUMPRODUCT((MONTH(CHOOSE({1,2,3,4},XT!U81,XT!Y81,XT!AC81,XT!AG81))=6)*(CHOOSE({1,2,3,4},XT!X81,XT!AB81,XT!AF81,XT!AJ81)))</f>
        <v>0</v>
      </c>
      <c r="V81" t="str">
        <f>IFERROR(INDEX(CHOOSE({1,2,3,4}, DAY(XT!U81), DAY(XT!Y81), DAY(XT!AC81), DAY(XT!AG81)), MATCH(1, INDEX(--(MONTH(CHOOSE({1,2,3,4}, XT!U81,XT!Y81,XT!AC81,XT!AG81))=6), 0), 0)), "")</f>
        <v/>
      </c>
      <c r="W81" s="12" t="str">
        <f>IF(XT!$P81&gt;0,V81,"")</f>
        <v/>
      </c>
      <c r="X81" s="12" t="str">
        <f>IF(XT!$P81=0,V81,"")</f>
        <v/>
      </c>
      <c r="Y81">
        <f>SUMPRODUCT((MONTH(CHOOSE({1,2,3,4},XT!U81,XT!Y81,XT!AC81,XT!AG81))=7)*(CHOOSE({1,2,3,4},XT!X81,XT!AB81,XT!AF81,XT!AJ81)))</f>
        <v>0</v>
      </c>
      <c r="Z81" t="str">
        <f>IFERROR(INDEX(CHOOSE({1,2,3,4}, DAY(XT!U81), DAY(XT!Y81), DAY(XT!AC81), DAY(XT!AG81)), MATCH(1, INDEX(--(MONTH(CHOOSE({1,2,3,4}, XT!U81,XT!Y81,XT!AC81,XT!AG81))=7), 0), 0)), "")</f>
        <v/>
      </c>
      <c r="AA81" s="12" t="str">
        <f>IF(XT!$P81&gt;0,Z81,"")</f>
        <v/>
      </c>
      <c r="AB81" s="12" t="str">
        <f>IF(XT!$P81=0,Z81,"")</f>
        <v/>
      </c>
      <c r="AC81">
        <f>SUMPRODUCT((MONTH(CHOOSE({1,2,3,4},XT!U81,XT!Y81,XT!AC81,XT!AG81))=8)*(CHOOSE({1,2,3,4},XT!X81,XT!AB81,XT!AF81,XT!AJ81)))</f>
        <v>0</v>
      </c>
      <c r="AD81" t="str">
        <f>IFERROR(INDEX(CHOOSE({1,2,3,4}, DAY(XT!U81), DAY(XT!Y81), DAY(XT!AC81), DAY(XT!AG81)), MATCH(1, INDEX(--(MONTH(CHOOSE({1,2,3,4}, XT!U81,XT!Y81,XT!AC81,XT!AG81))=8), 0), 0)), "")</f>
        <v/>
      </c>
      <c r="AE81" s="12" t="str">
        <f>IF(XT!$P81&gt;0,AD81,"")</f>
        <v/>
      </c>
      <c r="AF81" s="12" t="str">
        <f>IF(XT!$P81=0,AD81,"")</f>
        <v/>
      </c>
      <c r="AG81">
        <f>SUMPRODUCT((MONTH(CHOOSE({1,2,3,4},XT!U81,XT!Y81,XT!AC81,XT!AG81))=9)*(CHOOSE({1,2,3,4},XT!X81,XT!AB81,XT!AF81,XT!AJ81)))</f>
        <v>0</v>
      </c>
      <c r="AH81" t="str">
        <f>IFERROR(INDEX(CHOOSE({1,2,3,4}, DAY(XT!U81), DAY(XT!Y81), DAY(XT!AC81), DAY(XT!AG81)), MATCH(1, INDEX(--(MONTH(CHOOSE({1,2,3,4}, XT!U81,XT!Y81,XT!AC81,XT!AG81))=9), 0), 0)), "")</f>
        <v/>
      </c>
      <c r="AI81" s="12" t="str">
        <f>IF(XT!$P81&gt;0,AH81,"")</f>
        <v/>
      </c>
      <c r="AJ81" s="12" t="str">
        <f>IF(XT!$P81=0,AH81,"")</f>
        <v/>
      </c>
      <c r="AK81">
        <f>SUMPRODUCT((MONTH(CHOOSE({1,2,3,4},XT!U81,XT!Y81,XT!AC81,XT!AG81))=10)*(CHOOSE({1,2,3,4},XT!X81,XT!AB81,XT!AF81,XT!AJ81)))</f>
        <v>0</v>
      </c>
      <c r="AL81" t="str">
        <f>IFERROR(INDEX(CHOOSE({1,2,3,4}, DAY(XT!U81), DAY(XT!Y81), DAY(XT!AC81), DAY(XT!AG81)), MATCH(1, INDEX(--(MONTH(CHOOSE({1,2,3,4}, XT!U81,XT!Y81,XT!AC81,XT!AG81))=10), 0), 0)), "")</f>
        <v/>
      </c>
      <c r="AM81" s="12" t="str">
        <f>IF(XT!$P81&gt;0,AL81,"")</f>
        <v/>
      </c>
      <c r="AN81" s="12" t="str">
        <f>IF(XT!$P81=0,AL81,"")</f>
        <v/>
      </c>
      <c r="AO81">
        <f>SUMPRODUCT((MONTH(CHOOSE({1,2,3,4},XT!U81,XT!Y81,XT!AC81,XT!AG81))=11)*(CHOOSE({1,2,3,4},XT!X81,XT!AB81,XT!AF81,XT!AJ81)))</f>
        <v>0</v>
      </c>
      <c r="AP81" t="str">
        <f>IFERROR(INDEX(CHOOSE({1,2,3,4}, DAY(XT!U81), DAY(XT!Y81), DAY(XT!AC81), DAY(XT!AG81)), MATCH(1, INDEX(--(MONTH(CHOOSE({1,2,3,4}, XT!U81,XT!Y81,XT!AC81,XT!AG81))=11), 0), 0)), "")</f>
        <v/>
      </c>
      <c r="AQ81" s="12" t="str">
        <f>IF(XT!$P81&gt;0,AP81,"")</f>
        <v/>
      </c>
      <c r="AR81" s="12" t="str">
        <f>IF(XT!$P81=0,AP81,"")</f>
        <v/>
      </c>
      <c r="AS81">
        <f>SUMPRODUCT((MONTH(CHOOSE({1,2,3,4},XT!U81,XT!Y81,XT!AC81,XT!AG81))=12)*(CHOOSE({1,2,3,4},XT!X81,XT!AB81,XT!AF81,XT!AJ81)))</f>
        <v>0</v>
      </c>
      <c r="AT81" t="str">
        <f>IFERROR(INDEX(CHOOSE({1,2,3,4}, DAY(XT!U81), DAY(XT!Y81), DAY(XT!AC81), DAY(XT!AG81)), MATCH(1, INDEX(--(MONTH(CHOOSE({1,2,3,4}, XT!U81,XT!Y81,XT!AC81,XT!AG81))=12), 0), 0)), "")</f>
        <v/>
      </c>
      <c r="AU81" s="12" t="str">
        <f>IF(XT!$P81&gt;0,AT81,"")</f>
        <v/>
      </c>
      <c r="AV81" s="12" t="str">
        <f>IF(XT!$P81=0,AT81,"")</f>
        <v/>
      </c>
    </row>
    <row r="82" spans="1:48">
      <c r="A82">
        <f>SUMPRODUCT((MONTH(CHOOSE({1,2,3,4},XT!U82,XT!Y82,XT!AC82,XT!AG82))=1)*(CHOOSE({1,2,3,4},XT!X82,XT!AB82,XT!AF82,XT!AJ82)))</f>
        <v>0</v>
      </c>
      <c r="B82">
        <f>IFERROR(INDEX(CHOOSE({1,2,3,4}, DAY(XT!U82), DAY(XT!Y82), DAY(XT!AC82), DAY(XT!AG82)), MATCH(1, INDEX(--(MONTH(CHOOSE({1,2,3,4}, XT!U82,XT!Y82,XT!AC82,XT!AG82))=1), 0), 0)), "")</f>
        <v>0</v>
      </c>
      <c r="C82" s="12" t="str">
        <f>IF(XT!$P82&gt;0,B82,"")</f>
        <v/>
      </c>
      <c r="D82" s="12">
        <f>IF(XT!$P82=0,B82,"")</f>
        <v>0</v>
      </c>
      <c r="E82">
        <f>SUMPRODUCT((MONTH(CHOOSE({1,2,3,4},XT!U82,XT!Y82,XT!AC82,XT!AG82))=2)*(CHOOSE({1,2,3,4},XT!X82,XT!AB82,XT!AF82,XT!AJ82)))</f>
        <v>0</v>
      </c>
      <c r="F82" t="str">
        <f>IFERROR(INDEX(CHOOSE({1,2,3,4}, DAY(XT!U82), DAY(XT!Y82), DAY(XT!AC82), DAY(XT!AG82)), MATCH(1, INDEX(--(MONTH(CHOOSE({1,2,3,4}, XT!U82,XT!Y82,XT!AC82,XT!AG82))=2), 0), 0)), "")</f>
        <v/>
      </c>
      <c r="G82" s="12" t="str">
        <f>IF(XT!$P82&gt;0,F82,"")</f>
        <v/>
      </c>
      <c r="H82" s="12" t="str">
        <f>IF(XT!$P82=0,F82,"")</f>
        <v/>
      </c>
      <c r="I82">
        <f>SUMPRODUCT((MONTH(CHOOSE({1,2,3,4},XT!U82,XT!Y82,XT!AC82,XT!AG82))=3)*(CHOOSE({1,2,3,4},XT!X82,XT!AB82,XT!AF82,XT!AJ82)))</f>
        <v>0</v>
      </c>
      <c r="J82" t="str">
        <f>IFERROR(INDEX(CHOOSE({1,2,3,4}, DAY(XT!U82), DAY(XT!Y82), DAY(XT!AC82), DAY(XT!AG82)), MATCH(1, INDEX(--(MONTH(CHOOSE({1,2,3,4}, XT!U82,XT!Y82,XT!AC82,XT!AG82))=3), 0), 0)), "")</f>
        <v/>
      </c>
      <c r="K82" s="12" t="str">
        <f>IF(XT!$P82&gt;0,J82,"")</f>
        <v/>
      </c>
      <c r="L82" s="12" t="str">
        <f>IF(XT!$P82=0,J82,"")</f>
        <v/>
      </c>
      <c r="M82">
        <f>SUMPRODUCT((MONTH(CHOOSE({1,2,3,4},XT!U82,XT!Y82,XT!AC82,XT!AG82))=4)*(CHOOSE({1,2,3,4},XT!X82,XT!AB82,XT!AF82,XT!AJ82)))</f>
        <v>0</v>
      </c>
      <c r="N82" t="str">
        <f>IFERROR(INDEX(CHOOSE({1,2,3,4}, DAY(XT!U82), DAY(XT!Y82), DAY(XT!AC82), DAY(XT!AG82)), MATCH(1, INDEX(--(MONTH(CHOOSE({1,2,3,4}, XT!U82,XT!Y82,XT!AC82,XT!AG82))=4), 0), 0)), "")</f>
        <v/>
      </c>
      <c r="O82" s="12" t="str">
        <f>IF(XT!$P82&gt;0,N82,"")</f>
        <v/>
      </c>
      <c r="P82" s="12" t="str">
        <f>IF(XT!$P82=0,N82,"")</f>
        <v/>
      </c>
      <c r="Q82">
        <f>SUMPRODUCT((MONTH(CHOOSE({1,2,3,4},XT!U82,XT!Y82,XT!AC82,XT!AG82))=5)*(CHOOSE({1,2,3,4},XT!X82,XT!AB82,XT!AF82,XT!AJ82)))</f>
        <v>0</v>
      </c>
      <c r="R82" t="str">
        <f>IFERROR(INDEX(CHOOSE({1,2,3,4}, DAY(XT!U82), DAY(XT!Y82), DAY(XT!AC82), DAY(XT!AG82)), MATCH(1, INDEX(--(MONTH(CHOOSE({1,2,3,4}, XT!U82,XT!Y82,XT!AC82,XT!AG82))=5), 0), 0)), "")</f>
        <v/>
      </c>
      <c r="S82" s="12" t="str">
        <f>IF(XT!$P82&gt;0,R82,"")</f>
        <v/>
      </c>
      <c r="T82" s="12" t="str">
        <f>IF(XT!$P82=0,R82,"")</f>
        <v/>
      </c>
      <c r="U82">
        <f>SUMPRODUCT((MONTH(CHOOSE({1,2,3,4},XT!U82,XT!Y82,XT!AC82,XT!AG82))=6)*(CHOOSE({1,2,3,4},XT!X82,XT!AB82,XT!AF82,XT!AJ82)))</f>
        <v>0</v>
      </c>
      <c r="V82" t="str">
        <f>IFERROR(INDEX(CHOOSE({1,2,3,4}, DAY(XT!U82), DAY(XT!Y82), DAY(XT!AC82), DAY(XT!AG82)), MATCH(1, INDEX(--(MONTH(CHOOSE({1,2,3,4}, XT!U82,XT!Y82,XT!AC82,XT!AG82))=6), 0), 0)), "")</f>
        <v/>
      </c>
      <c r="W82" s="12" t="str">
        <f>IF(XT!$P82&gt;0,V82,"")</f>
        <v/>
      </c>
      <c r="X82" s="12" t="str">
        <f>IF(XT!$P82=0,V82,"")</f>
        <v/>
      </c>
      <c r="Y82">
        <f>SUMPRODUCT((MONTH(CHOOSE({1,2,3,4},XT!U82,XT!Y82,XT!AC82,XT!AG82))=7)*(CHOOSE({1,2,3,4},XT!X82,XT!AB82,XT!AF82,XT!AJ82)))</f>
        <v>0</v>
      </c>
      <c r="Z82" t="str">
        <f>IFERROR(INDEX(CHOOSE({1,2,3,4}, DAY(XT!U82), DAY(XT!Y82), DAY(XT!AC82), DAY(XT!AG82)), MATCH(1, INDEX(--(MONTH(CHOOSE({1,2,3,4}, XT!U82,XT!Y82,XT!AC82,XT!AG82))=7), 0), 0)), "")</f>
        <v/>
      </c>
      <c r="AA82" s="12" t="str">
        <f>IF(XT!$P82&gt;0,Z82,"")</f>
        <v/>
      </c>
      <c r="AB82" s="12" t="str">
        <f>IF(XT!$P82=0,Z82,"")</f>
        <v/>
      </c>
      <c r="AC82">
        <f>SUMPRODUCT((MONTH(CHOOSE({1,2,3,4},XT!U82,XT!Y82,XT!AC82,XT!AG82))=8)*(CHOOSE({1,2,3,4},XT!X82,XT!AB82,XT!AF82,XT!AJ82)))</f>
        <v>0</v>
      </c>
      <c r="AD82" t="str">
        <f>IFERROR(INDEX(CHOOSE({1,2,3,4}, DAY(XT!U82), DAY(XT!Y82), DAY(XT!AC82), DAY(XT!AG82)), MATCH(1, INDEX(--(MONTH(CHOOSE({1,2,3,4}, XT!U82,XT!Y82,XT!AC82,XT!AG82))=8), 0), 0)), "")</f>
        <v/>
      </c>
      <c r="AE82" s="12" t="str">
        <f>IF(XT!$P82&gt;0,AD82,"")</f>
        <v/>
      </c>
      <c r="AF82" s="12" t="str">
        <f>IF(XT!$P82=0,AD82,"")</f>
        <v/>
      </c>
      <c r="AG82">
        <f>SUMPRODUCT((MONTH(CHOOSE({1,2,3,4},XT!U82,XT!Y82,XT!AC82,XT!AG82))=9)*(CHOOSE({1,2,3,4},XT!X82,XT!AB82,XT!AF82,XT!AJ82)))</f>
        <v>0</v>
      </c>
      <c r="AH82" t="str">
        <f>IFERROR(INDEX(CHOOSE({1,2,3,4}, DAY(XT!U82), DAY(XT!Y82), DAY(XT!AC82), DAY(XT!AG82)), MATCH(1, INDEX(--(MONTH(CHOOSE({1,2,3,4}, XT!U82,XT!Y82,XT!AC82,XT!AG82))=9), 0), 0)), "")</f>
        <v/>
      </c>
      <c r="AI82" s="12" t="str">
        <f>IF(XT!$P82&gt;0,AH82,"")</f>
        <v/>
      </c>
      <c r="AJ82" s="12" t="str">
        <f>IF(XT!$P82=0,AH82,"")</f>
        <v/>
      </c>
      <c r="AK82">
        <f>SUMPRODUCT((MONTH(CHOOSE({1,2,3,4},XT!U82,XT!Y82,XT!AC82,XT!AG82))=10)*(CHOOSE({1,2,3,4},XT!X82,XT!AB82,XT!AF82,XT!AJ82)))</f>
        <v>0</v>
      </c>
      <c r="AL82" t="str">
        <f>IFERROR(INDEX(CHOOSE({1,2,3,4}, DAY(XT!U82), DAY(XT!Y82), DAY(XT!AC82), DAY(XT!AG82)), MATCH(1, INDEX(--(MONTH(CHOOSE({1,2,3,4}, XT!U82,XT!Y82,XT!AC82,XT!AG82))=10), 0), 0)), "")</f>
        <v/>
      </c>
      <c r="AM82" s="12" t="str">
        <f>IF(XT!$P82&gt;0,AL82,"")</f>
        <v/>
      </c>
      <c r="AN82" s="12" t="str">
        <f>IF(XT!$P82=0,AL82,"")</f>
        <v/>
      </c>
      <c r="AO82">
        <f>SUMPRODUCT((MONTH(CHOOSE({1,2,3,4},XT!U82,XT!Y82,XT!AC82,XT!AG82))=11)*(CHOOSE({1,2,3,4},XT!X82,XT!AB82,XT!AF82,XT!AJ82)))</f>
        <v>0</v>
      </c>
      <c r="AP82" t="str">
        <f>IFERROR(INDEX(CHOOSE({1,2,3,4}, DAY(XT!U82), DAY(XT!Y82), DAY(XT!AC82), DAY(XT!AG82)), MATCH(1, INDEX(--(MONTH(CHOOSE({1,2,3,4}, XT!U82,XT!Y82,XT!AC82,XT!AG82))=11), 0), 0)), "")</f>
        <v/>
      </c>
      <c r="AQ82" s="12" t="str">
        <f>IF(XT!$P82&gt;0,AP82,"")</f>
        <v/>
      </c>
      <c r="AR82" s="12" t="str">
        <f>IF(XT!$P82=0,AP82,"")</f>
        <v/>
      </c>
      <c r="AS82">
        <f>SUMPRODUCT((MONTH(CHOOSE({1,2,3,4},XT!U82,XT!Y82,XT!AC82,XT!AG82))=12)*(CHOOSE({1,2,3,4},XT!X82,XT!AB82,XT!AF82,XT!AJ82)))</f>
        <v>0</v>
      </c>
      <c r="AT82" t="str">
        <f>IFERROR(INDEX(CHOOSE({1,2,3,4}, DAY(XT!U82), DAY(XT!Y82), DAY(XT!AC82), DAY(XT!AG82)), MATCH(1, INDEX(--(MONTH(CHOOSE({1,2,3,4}, XT!U82,XT!Y82,XT!AC82,XT!AG82))=12), 0), 0)), "")</f>
        <v/>
      </c>
      <c r="AU82" s="12" t="str">
        <f>IF(XT!$P82&gt;0,AT82,"")</f>
        <v/>
      </c>
      <c r="AV82" s="12" t="str">
        <f>IF(XT!$P82=0,AT82,"")</f>
        <v/>
      </c>
    </row>
    <row r="83" spans="1:48">
      <c r="A83">
        <f>SUMPRODUCT((MONTH(CHOOSE({1,2,3,4},XT!U83,XT!Y83,XT!AC83,XT!AG83))=1)*(CHOOSE({1,2,3,4},XT!X83,XT!AB83,XT!AF83,XT!AJ83)))</f>
        <v>0</v>
      </c>
      <c r="B83">
        <f>IFERROR(INDEX(CHOOSE({1,2,3,4}, DAY(XT!U83), DAY(XT!Y83), DAY(XT!AC83), DAY(XT!AG83)), MATCH(1, INDEX(--(MONTH(CHOOSE({1,2,3,4}, XT!U83,XT!Y83,XT!AC83,XT!AG83))=1), 0), 0)), "")</f>
        <v>0</v>
      </c>
      <c r="C83" s="12" t="str">
        <f>IF(XT!$P83&gt;0,B83,"")</f>
        <v/>
      </c>
      <c r="D83" s="12">
        <f>IF(XT!$P83=0,B83,"")</f>
        <v>0</v>
      </c>
      <c r="E83">
        <f>SUMPRODUCT((MONTH(CHOOSE({1,2,3,4},XT!U83,XT!Y83,XT!AC83,XT!AG83))=2)*(CHOOSE({1,2,3,4},XT!X83,XT!AB83,XT!AF83,XT!AJ83)))</f>
        <v>0</v>
      </c>
      <c r="F83" t="str">
        <f>IFERROR(INDEX(CHOOSE({1,2,3,4}, DAY(XT!U83), DAY(XT!Y83), DAY(XT!AC83), DAY(XT!AG83)), MATCH(1, INDEX(--(MONTH(CHOOSE({1,2,3,4}, XT!U83,XT!Y83,XT!AC83,XT!AG83))=2), 0), 0)), "")</f>
        <v/>
      </c>
      <c r="G83" s="12" t="str">
        <f>IF(XT!$P83&gt;0,F83,"")</f>
        <v/>
      </c>
      <c r="H83" s="12" t="str">
        <f>IF(XT!$P83=0,F83,"")</f>
        <v/>
      </c>
      <c r="I83">
        <f>SUMPRODUCT((MONTH(CHOOSE({1,2,3,4},XT!U83,XT!Y83,XT!AC83,XT!AG83))=3)*(CHOOSE({1,2,3,4},XT!X83,XT!AB83,XT!AF83,XT!AJ83)))</f>
        <v>0</v>
      </c>
      <c r="J83" t="str">
        <f>IFERROR(INDEX(CHOOSE({1,2,3,4}, DAY(XT!U83), DAY(XT!Y83), DAY(XT!AC83), DAY(XT!AG83)), MATCH(1, INDEX(--(MONTH(CHOOSE({1,2,3,4}, XT!U83,XT!Y83,XT!AC83,XT!AG83))=3), 0), 0)), "")</f>
        <v/>
      </c>
      <c r="K83" s="12" t="str">
        <f>IF(XT!$P83&gt;0,J83,"")</f>
        <v/>
      </c>
      <c r="L83" s="12" t="str">
        <f>IF(XT!$P83=0,J83,"")</f>
        <v/>
      </c>
      <c r="M83">
        <f>SUMPRODUCT((MONTH(CHOOSE({1,2,3,4},XT!U83,XT!Y83,XT!AC83,XT!AG83))=4)*(CHOOSE({1,2,3,4},XT!X83,XT!AB83,XT!AF83,XT!AJ83)))</f>
        <v>0</v>
      </c>
      <c r="N83" t="str">
        <f>IFERROR(INDEX(CHOOSE({1,2,3,4}, DAY(XT!U83), DAY(XT!Y83), DAY(XT!AC83), DAY(XT!AG83)), MATCH(1, INDEX(--(MONTH(CHOOSE({1,2,3,4}, XT!U83,XT!Y83,XT!AC83,XT!AG83))=4), 0), 0)), "")</f>
        <v/>
      </c>
      <c r="O83" s="12" t="str">
        <f>IF(XT!$P83&gt;0,N83,"")</f>
        <v/>
      </c>
      <c r="P83" s="12" t="str">
        <f>IF(XT!$P83=0,N83,"")</f>
        <v/>
      </c>
      <c r="Q83">
        <f>SUMPRODUCT((MONTH(CHOOSE({1,2,3,4},XT!U83,XT!Y83,XT!AC83,XT!AG83))=5)*(CHOOSE({1,2,3,4},XT!X83,XT!AB83,XT!AF83,XT!AJ83)))</f>
        <v>0</v>
      </c>
      <c r="R83" t="str">
        <f>IFERROR(INDEX(CHOOSE({1,2,3,4}, DAY(XT!U83), DAY(XT!Y83), DAY(XT!AC83), DAY(XT!AG83)), MATCH(1, INDEX(--(MONTH(CHOOSE({1,2,3,4}, XT!U83,XT!Y83,XT!AC83,XT!AG83))=5), 0), 0)), "")</f>
        <v/>
      </c>
      <c r="S83" s="12" t="str">
        <f>IF(XT!$P83&gt;0,R83,"")</f>
        <v/>
      </c>
      <c r="T83" s="12" t="str">
        <f>IF(XT!$P83=0,R83,"")</f>
        <v/>
      </c>
      <c r="U83">
        <f>SUMPRODUCT((MONTH(CHOOSE({1,2,3,4},XT!U83,XT!Y83,XT!AC83,XT!AG83))=6)*(CHOOSE({1,2,3,4},XT!X83,XT!AB83,XT!AF83,XT!AJ83)))</f>
        <v>0</v>
      </c>
      <c r="V83" t="str">
        <f>IFERROR(INDEX(CHOOSE({1,2,3,4}, DAY(XT!U83), DAY(XT!Y83), DAY(XT!AC83), DAY(XT!AG83)), MATCH(1, INDEX(--(MONTH(CHOOSE({1,2,3,4}, XT!U83,XT!Y83,XT!AC83,XT!AG83))=6), 0), 0)), "")</f>
        <v/>
      </c>
      <c r="W83" s="12" t="str">
        <f>IF(XT!$P83&gt;0,V83,"")</f>
        <v/>
      </c>
      <c r="X83" s="12" t="str">
        <f>IF(XT!$P83=0,V83,"")</f>
        <v/>
      </c>
      <c r="Y83">
        <f>SUMPRODUCT((MONTH(CHOOSE({1,2,3,4},XT!U83,XT!Y83,XT!AC83,XT!AG83))=7)*(CHOOSE({1,2,3,4},XT!X83,XT!AB83,XT!AF83,XT!AJ83)))</f>
        <v>0</v>
      </c>
      <c r="Z83" t="str">
        <f>IFERROR(INDEX(CHOOSE({1,2,3,4}, DAY(XT!U83), DAY(XT!Y83), DAY(XT!AC83), DAY(XT!AG83)), MATCH(1, INDEX(--(MONTH(CHOOSE({1,2,3,4}, XT!U83,XT!Y83,XT!AC83,XT!AG83))=7), 0), 0)), "")</f>
        <v/>
      </c>
      <c r="AA83" s="12" t="str">
        <f>IF(XT!$P83&gt;0,Z83,"")</f>
        <v/>
      </c>
      <c r="AB83" s="12" t="str">
        <f>IF(XT!$P83=0,Z83,"")</f>
        <v/>
      </c>
      <c r="AC83">
        <f>SUMPRODUCT((MONTH(CHOOSE({1,2,3,4},XT!U83,XT!Y83,XT!AC83,XT!AG83))=8)*(CHOOSE({1,2,3,4},XT!X83,XT!AB83,XT!AF83,XT!AJ83)))</f>
        <v>0</v>
      </c>
      <c r="AD83" t="str">
        <f>IFERROR(INDEX(CHOOSE({1,2,3,4}, DAY(XT!U83), DAY(XT!Y83), DAY(XT!AC83), DAY(XT!AG83)), MATCH(1, INDEX(--(MONTH(CHOOSE({1,2,3,4}, XT!U83,XT!Y83,XT!AC83,XT!AG83))=8), 0), 0)), "")</f>
        <v/>
      </c>
      <c r="AE83" s="12" t="str">
        <f>IF(XT!$P83&gt;0,AD83,"")</f>
        <v/>
      </c>
      <c r="AF83" s="12" t="str">
        <f>IF(XT!$P83=0,AD83,"")</f>
        <v/>
      </c>
      <c r="AG83">
        <f>SUMPRODUCT((MONTH(CHOOSE({1,2,3,4},XT!U83,XT!Y83,XT!AC83,XT!AG83))=9)*(CHOOSE({1,2,3,4},XT!X83,XT!AB83,XT!AF83,XT!AJ83)))</f>
        <v>0</v>
      </c>
      <c r="AH83" t="str">
        <f>IFERROR(INDEX(CHOOSE({1,2,3,4}, DAY(XT!U83), DAY(XT!Y83), DAY(XT!AC83), DAY(XT!AG83)), MATCH(1, INDEX(--(MONTH(CHOOSE({1,2,3,4}, XT!U83,XT!Y83,XT!AC83,XT!AG83))=9), 0), 0)), "")</f>
        <v/>
      </c>
      <c r="AI83" s="12" t="str">
        <f>IF(XT!$P83&gt;0,AH83,"")</f>
        <v/>
      </c>
      <c r="AJ83" s="12" t="str">
        <f>IF(XT!$P83=0,AH83,"")</f>
        <v/>
      </c>
      <c r="AK83">
        <f>SUMPRODUCT((MONTH(CHOOSE({1,2,3,4},XT!U83,XT!Y83,XT!AC83,XT!AG83))=10)*(CHOOSE({1,2,3,4},XT!X83,XT!AB83,XT!AF83,XT!AJ83)))</f>
        <v>0</v>
      </c>
      <c r="AL83" t="str">
        <f>IFERROR(INDEX(CHOOSE({1,2,3,4}, DAY(XT!U83), DAY(XT!Y83), DAY(XT!AC83), DAY(XT!AG83)), MATCH(1, INDEX(--(MONTH(CHOOSE({1,2,3,4}, XT!U83,XT!Y83,XT!AC83,XT!AG83))=10), 0), 0)), "")</f>
        <v/>
      </c>
      <c r="AM83" s="12" t="str">
        <f>IF(XT!$P83&gt;0,AL83,"")</f>
        <v/>
      </c>
      <c r="AN83" s="12" t="str">
        <f>IF(XT!$P83=0,AL83,"")</f>
        <v/>
      </c>
      <c r="AO83">
        <f>SUMPRODUCT((MONTH(CHOOSE({1,2,3,4},XT!U83,XT!Y83,XT!AC83,XT!AG83))=11)*(CHOOSE({1,2,3,4},XT!X83,XT!AB83,XT!AF83,XT!AJ83)))</f>
        <v>0</v>
      </c>
      <c r="AP83" t="str">
        <f>IFERROR(INDEX(CHOOSE({1,2,3,4}, DAY(XT!U83), DAY(XT!Y83), DAY(XT!AC83), DAY(XT!AG83)), MATCH(1, INDEX(--(MONTH(CHOOSE({1,2,3,4}, XT!U83,XT!Y83,XT!AC83,XT!AG83))=11), 0), 0)), "")</f>
        <v/>
      </c>
      <c r="AQ83" s="12" t="str">
        <f>IF(XT!$P83&gt;0,AP83,"")</f>
        <v/>
      </c>
      <c r="AR83" s="12" t="str">
        <f>IF(XT!$P83=0,AP83,"")</f>
        <v/>
      </c>
      <c r="AS83">
        <f>SUMPRODUCT((MONTH(CHOOSE({1,2,3,4},XT!U83,XT!Y83,XT!AC83,XT!AG83))=12)*(CHOOSE({1,2,3,4},XT!X83,XT!AB83,XT!AF83,XT!AJ83)))</f>
        <v>0</v>
      </c>
      <c r="AT83" t="str">
        <f>IFERROR(INDEX(CHOOSE({1,2,3,4}, DAY(XT!U83), DAY(XT!Y83), DAY(XT!AC83), DAY(XT!AG83)), MATCH(1, INDEX(--(MONTH(CHOOSE({1,2,3,4}, XT!U83,XT!Y83,XT!AC83,XT!AG83))=12), 0), 0)), "")</f>
        <v/>
      </c>
      <c r="AU83" s="12" t="str">
        <f>IF(XT!$P83&gt;0,AT83,"")</f>
        <v/>
      </c>
      <c r="AV83" s="12" t="str">
        <f>IF(XT!$P83=0,AT83,"")</f>
        <v/>
      </c>
    </row>
    <row r="84" spans="1:48">
      <c r="A84">
        <f>SUMPRODUCT((MONTH(CHOOSE({1,2,3,4},XT!U84,XT!Y84,XT!AC84,XT!AG84))=1)*(CHOOSE({1,2,3,4},XT!X84,XT!AB84,XT!AF84,XT!AJ84)))</f>
        <v>0</v>
      </c>
      <c r="B84">
        <f>IFERROR(INDEX(CHOOSE({1,2,3,4}, DAY(XT!U84), DAY(XT!Y84), DAY(XT!AC84), DAY(XT!AG84)), MATCH(1, INDEX(--(MONTH(CHOOSE({1,2,3,4}, XT!U84,XT!Y84,XT!AC84,XT!AG84))=1), 0), 0)), "")</f>
        <v>0</v>
      </c>
      <c r="C84" s="12" t="str">
        <f>IF(XT!$P84&gt;0,B84,"")</f>
        <v/>
      </c>
      <c r="D84" s="12">
        <f>IF(XT!$P84=0,B84,"")</f>
        <v>0</v>
      </c>
      <c r="E84">
        <f>SUMPRODUCT((MONTH(CHOOSE({1,2,3,4},XT!U84,XT!Y84,XT!AC84,XT!AG84))=2)*(CHOOSE({1,2,3,4},XT!X84,XT!AB84,XT!AF84,XT!AJ84)))</f>
        <v>0</v>
      </c>
      <c r="F84" t="str">
        <f>IFERROR(INDEX(CHOOSE({1,2,3,4}, DAY(XT!U84), DAY(XT!Y84), DAY(XT!AC84), DAY(XT!AG84)), MATCH(1, INDEX(--(MONTH(CHOOSE({1,2,3,4}, XT!U84,XT!Y84,XT!AC84,XT!AG84))=2), 0), 0)), "")</f>
        <v/>
      </c>
      <c r="G84" s="12" t="str">
        <f>IF(XT!$P84&gt;0,F84,"")</f>
        <v/>
      </c>
      <c r="H84" s="12" t="str">
        <f>IF(XT!$P84=0,F84,"")</f>
        <v/>
      </c>
      <c r="I84">
        <f>SUMPRODUCT((MONTH(CHOOSE({1,2,3,4},XT!U84,XT!Y84,XT!AC84,XT!AG84))=3)*(CHOOSE({1,2,3,4},XT!X84,XT!AB84,XT!AF84,XT!AJ84)))</f>
        <v>0</v>
      </c>
      <c r="J84" t="str">
        <f>IFERROR(INDEX(CHOOSE({1,2,3,4}, DAY(XT!U84), DAY(XT!Y84), DAY(XT!AC84), DAY(XT!AG84)), MATCH(1, INDEX(--(MONTH(CHOOSE({1,2,3,4}, XT!U84,XT!Y84,XT!AC84,XT!AG84))=3), 0), 0)), "")</f>
        <v/>
      </c>
      <c r="K84" s="12" t="str">
        <f>IF(XT!$P84&gt;0,J84,"")</f>
        <v/>
      </c>
      <c r="L84" s="12" t="str">
        <f>IF(XT!$P84=0,J84,"")</f>
        <v/>
      </c>
      <c r="M84">
        <f>SUMPRODUCT((MONTH(CHOOSE({1,2,3,4},XT!U84,XT!Y84,XT!AC84,XT!AG84))=4)*(CHOOSE({1,2,3,4},XT!X84,XT!AB84,XT!AF84,XT!AJ84)))</f>
        <v>0</v>
      </c>
      <c r="N84" t="str">
        <f>IFERROR(INDEX(CHOOSE({1,2,3,4}, DAY(XT!U84), DAY(XT!Y84), DAY(XT!AC84), DAY(XT!AG84)), MATCH(1, INDEX(--(MONTH(CHOOSE({1,2,3,4}, XT!U84,XT!Y84,XT!AC84,XT!AG84))=4), 0), 0)), "")</f>
        <v/>
      </c>
      <c r="O84" s="12" t="str">
        <f>IF(XT!$P84&gt;0,N84,"")</f>
        <v/>
      </c>
      <c r="P84" s="12" t="str">
        <f>IF(XT!$P84=0,N84,"")</f>
        <v/>
      </c>
      <c r="Q84">
        <f>SUMPRODUCT((MONTH(CHOOSE({1,2,3,4},XT!U84,XT!Y84,XT!AC84,XT!AG84))=5)*(CHOOSE({1,2,3,4},XT!X84,XT!AB84,XT!AF84,XT!AJ84)))</f>
        <v>0</v>
      </c>
      <c r="R84" t="str">
        <f>IFERROR(INDEX(CHOOSE({1,2,3,4}, DAY(XT!U84), DAY(XT!Y84), DAY(XT!AC84), DAY(XT!AG84)), MATCH(1, INDEX(--(MONTH(CHOOSE({1,2,3,4}, XT!U84,XT!Y84,XT!AC84,XT!AG84))=5), 0), 0)), "")</f>
        <v/>
      </c>
      <c r="S84" s="12" t="str">
        <f>IF(XT!$P84&gt;0,R84,"")</f>
        <v/>
      </c>
      <c r="T84" s="12" t="str">
        <f>IF(XT!$P84=0,R84,"")</f>
        <v/>
      </c>
      <c r="U84">
        <f>SUMPRODUCT((MONTH(CHOOSE({1,2,3,4},XT!U84,XT!Y84,XT!AC84,XT!AG84))=6)*(CHOOSE({1,2,3,4},XT!X84,XT!AB84,XT!AF84,XT!AJ84)))</f>
        <v>0</v>
      </c>
      <c r="V84" t="str">
        <f>IFERROR(INDEX(CHOOSE({1,2,3,4}, DAY(XT!U84), DAY(XT!Y84), DAY(XT!AC84), DAY(XT!AG84)), MATCH(1, INDEX(--(MONTH(CHOOSE({1,2,3,4}, XT!U84,XT!Y84,XT!AC84,XT!AG84))=6), 0), 0)), "")</f>
        <v/>
      </c>
      <c r="W84" s="12" t="str">
        <f>IF(XT!$P84&gt;0,V84,"")</f>
        <v/>
      </c>
      <c r="X84" s="12" t="str">
        <f>IF(XT!$P84=0,V84,"")</f>
        <v/>
      </c>
      <c r="Y84">
        <f>SUMPRODUCT((MONTH(CHOOSE({1,2,3,4},XT!U84,XT!Y84,XT!AC84,XT!AG84))=7)*(CHOOSE({1,2,3,4},XT!X84,XT!AB84,XT!AF84,XT!AJ84)))</f>
        <v>0</v>
      </c>
      <c r="Z84" t="str">
        <f>IFERROR(INDEX(CHOOSE({1,2,3,4}, DAY(XT!U84), DAY(XT!Y84), DAY(XT!AC84), DAY(XT!AG84)), MATCH(1, INDEX(--(MONTH(CHOOSE({1,2,3,4}, XT!U84,XT!Y84,XT!AC84,XT!AG84))=7), 0), 0)), "")</f>
        <v/>
      </c>
      <c r="AA84" s="12" t="str">
        <f>IF(XT!$P84&gt;0,Z84,"")</f>
        <v/>
      </c>
      <c r="AB84" s="12" t="str">
        <f>IF(XT!$P84=0,Z84,"")</f>
        <v/>
      </c>
      <c r="AC84">
        <f>SUMPRODUCT((MONTH(CHOOSE({1,2,3,4},XT!U84,XT!Y84,XT!AC84,XT!AG84))=8)*(CHOOSE({1,2,3,4},XT!X84,XT!AB84,XT!AF84,XT!AJ84)))</f>
        <v>0</v>
      </c>
      <c r="AD84" t="str">
        <f>IFERROR(INDEX(CHOOSE({1,2,3,4}, DAY(XT!U84), DAY(XT!Y84), DAY(XT!AC84), DAY(XT!AG84)), MATCH(1, INDEX(--(MONTH(CHOOSE({1,2,3,4}, XT!U84,XT!Y84,XT!AC84,XT!AG84))=8), 0), 0)), "")</f>
        <v/>
      </c>
      <c r="AE84" s="12" t="str">
        <f>IF(XT!$P84&gt;0,AD84,"")</f>
        <v/>
      </c>
      <c r="AF84" s="12" t="str">
        <f>IF(XT!$P84=0,AD84,"")</f>
        <v/>
      </c>
      <c r="AG84">
        <f>SUMPRODUCT((MONTH(CHOOSE({1,2,3,4},XT!U84,XT!Y84,XT!AC84,XT!AG84))=9)*(CHOOSE({1,2,3,4},XT!X84,XT!AB84,XT!AF84,XT!AJ84)))</f>
        <v>0</v>
      </c>
      <c r="AH84" t="str">
        <f>IFERROR(INDEX(CHOOSE({1,2,3,4}, DAY(XT!U84), DAY(XT!Y84), DAY(XT!AC84), DAY(XT!AG84)), MATCH(1, INDEX(--(MONTH(CHOOSE({1,2,3,4}, XT!U84,XT!Y84,XT!AC84,XT!AG84))=9), 0), 0)), "")</f>
        <v/>
      </c>
      <c r="AI84" s="12" t="str">
        <f>IF(XT!$P84&gt;0,AH84,"")</f>
        <v/>
      </c>
      <c r="AJ84" s="12" t="str">
        <f>IF(XT!$P84=0,AH84,"")</f>
        <v/>
      </c>
      <c r="AK84">
        <f>SUMPRODUCT((MONTH(CHOOSE({1,2,3,4},XT!U84,XT!Y84,XT!AC84,XT!AG84))=10)*(CHOOSE({1,2,3,4},XT!X84,XT!AB84,XT!AF84,XT!AJ84)))</f>
        <v>0</v>
      </c>
      <c r="AL84" t="str">
        <f>IFERROR(INDEX(CHOOSE({1,2,3,4}, DAY(XT!U84), DAY(XT!Y84), DAY(XT!AC84), DAY(XT!AG84)), MATCH(1, INDEX(--(MONTH(CHOOSE({1,2,3,4}, XT!U84,XT!Y84,XT!AC84,XT!AG84))=10), 0), 0)), "")</f>
        <v/>
      </c>
      <c r="AM84" s="12" t="str">
        <f>IF(XT!$P84&gt;0,AL84,"")</f>
        <v/>
      </c>
      <c r="AN84" s="12" t="str">
        <f>IF(XT!$P84=0,AL84,"")</f>
        <v/>
      </c>
      <c r="AO84">
        <f>SUMPRODUCT((MONTH(CHOOSE({1,2,3,4},XT!U84,XT!Y84,XT!AC84,XT!AG84))=11)*(CHOOSE({1,2,3,4},XT!X84,XT!AB84,XT!AF84,XT!AJ84)))</f>
        <v>0</v>
      </c>
      <c r="AP84" t="str">
        <f>IFERROR(INDEX(CHOOSE({1,2,3,4}, DAY(XT!U84), DAY(XT!Y84), DAY(XT!AC84), DAY(XT!AG84)), MATCH(1, INDEX(--(MONTH(CHOOSE({1,2,3,4}, XT!U84,XT!Y84,XT!AC84,XT!AG84))=11), 0), 0)), "")</f>
        <v/>
      </c>
      <c r="AQ84" s="12" t="str">
        <f>IF(XT!$P84&gt;0,AP84,"")</f>
        <v/>
      </c>
      <c r="AR84" s="12" t="str">
        <f>IF(XT!$P84=0,AP84,"")</f>
        <v/>
      </c>
      <c r="AS84">
        <f>SUMPRODUCT((MONTH(CHOOSE({1,2,3,4},XT!U84,XT!Y84,XT!AC84,XT!AG84))=12)*(CHOOSE({1,2,3,4},XT!X84,XT!AB84,XT!AF84,XT!AJ84)))</f>
        <v>0</v>
      </c>
      <c r="AT84" t="str">
        <f>IFERROR(INDEX(CHOOSE({1,2,3,4}, DAY(XT!U84), DAY(XT!Y84), DAY(XT!AC84), DAY(XT!AG84)), MATCH(1, INDEX(--(MONTH(CHOOSE({1,2,3,4}, XT!U84,XT!Y84,XT!AC84,XT!AG84))=12), 0), 0)), "")</f>
        <v/>
      </c>
      <c r="AU84" s="12" t="str">
        <f>IF(XT!$P84&gt;0,AT84,"")</f>
        <v/>
      </c>
      <c r="AV84" s="12" t="str">
        <f>IF(XT!$P84=0,AT84,"")</f>
        <v/>
      </c>
    </row>
    <row r="85" spans="1:48">
      <c r="A85">
        <f>SUMPRODUCT((MONTH(CHOOSE({1,2,3,4},XT!U85,XT!Y85,XT!AC85,XT!AG85))=1)*(CHOOSE({1,2,3,4},XT!X85,XT!AB85,XT!AF85,XT!AJ85)))</f>
        <v>0</v>
      </c>
      <c r="B85">
        <f>IFERROR(INDEX(CHOOSE({1,2,3,4}, DAY(XT!U85), DAY(XT!Y85), DAY(XT!AC85), DAY(XT!AG85)), MATCH(1, INDEX(--(MONTH(CHOOSE({1,2,3,4}, XT!U85,XT!Y85,XT!AC85,XT!AG85))=1), 0), 0)), "")</f>
        <v>0</v>
      </c>
      <c r="C85" s="12" t="str">
        <f>IF(XT!$P85&gt;0,B85,"")</f>
        <v/>
      </c>
      <c r="D85" s="12">
        <f>IF(XT!$P85=0,B85,"")</f>
        <v>0</v>
      </c>
      <c r="E85">
        <f>SUMPRODUCT((MONTH(CHOOSE({1,2,3,4},XT!U85,XT!Y85,XT!AC85,XT!AG85))=2)*(CHOOSE({1,2,3,4},XT!X85,XT!AB85,XT!AF85,XT!AJ85)))</f>
        <v>0</v>
      </c>
      <c r="F85" t="str">
        <f>IFERROR(INDEX(CHOOSE({1,2,3,4}, DAY(XT!U85), DAY(XT!Y85), DAY(XT!AC85), DAY(XT!AG85)), MATCH(1, INDEX(--(MONTH(CHOOSE({1,2,3,4}, XT!U85,XT!Y85,XT!AC85,XT!AG85))=2), 0), 0)), "")</f>
        <v/>
      </c>
      <c r="G85" s="12" t="str">
        <f>IF(XT!$P85&gt;0,F85,"")</f>
        <v/>
      </c>
      <c r="H85" s="12" t="str">
        <f>IF(XT!$P85=0,F85,"")</f>
        <v/>
      </c>
      <c r="I85">
        <f>SUMPRODUCT((MONTH(CHOOSE({1,2,3,4},XT!U85,XT!Y85,XT!AC85,XT!AG85))=3)*(CHOOSE({1,2,3,4},XT!X85,XT!AB85,XT!AF85,XT!AJ85)))</f>
        <v>0</v>
      </c>
      <c r="J85" t="str">
        <f>IFERROR(INDEX(CHOOSE({1,2,3,4}, DAY(XT!U85), DAY(XT!Y85), DAY(XT!AC85), DAY(XT!AG85)), MATCH(1, INDEX(--(MONTH(CHOOSE({1,2,3,4}, XT!U85,XT!Y85,XT!AC85,XT!AG85))=3), 0), 0)), "")</f>
        <v/>
      </c>
      <c r="K85" s="12" t="str">
        <f>IF(XT!$P85&gt;0,J85,"")</f>
        <v/>
      </c>
      <c r="L85" s="12" t="str">
        <f>IF(XT!$P85=0,J85,"")</f>
        <v/>
      </c>
      <c r="M85">
        <f>SUMPRODUCT((MONTH(CHOOSE({1,2,3,4},XT!U85,XT!Y85,XT!AC85,XT!AG85))=4)*(CHOOSE({1,2,3,4},XT!X85,XT!AB85,XT!AF85,XT!AJ85)))</f>
        <v>0</v>
      </c>
      <c r="N85" t="str">
        <f>IFERROR(INDEX(CHOOSE({1,2,3,4}, DAY(XT!U85), DAY(XT!Y85), DAY(XT!AC85), DAY(XT!AG85)), MATCH(1, INDEX(--(MONTH(CHOOSE({1,2,3,4}, XT!U85,XT!Y85,XT!AC85,XT!AG85))=4), 0), 0)), "")</f>
        <v/>
      </c>
      <c r="O85" s="12" t="str">
        <f>IF(XT!$P85&gt;0,N85,"")</f>
        <v/>
      </c>
      <c r="P85" s="12" t="str">
        <f>IF(XT!$P85=0,N85,"")</f>
        <v/>
      </c>
      <c r="Q85">
        <f>SUMPRODUCT((MONTH(CHOOSE({1,2,3,4},XT!U85,XT!Y85,XT!AC85,XT!AG85))=5)*(CHOOSE({1,2,3,4},XT!X85,XT!AB85,XT!AF85,XT!AJ85)))</f>
        <v>0</v>
      </c>
      <c r="R85" t="str">
        <f>IFERROR(INDEX(CHOOSE({1,2,3,4}, DAY(XT!U85), DAY(XT!Y85), DAY(XT!AC85), DAY(XT!AG85)), MATCH(1, INDEX(--(MONTH(CHOOSE({1,2,3,4}, XT!U85,XT!Y85,XT!AC85,XT!AG85))=5), 0), 0)), "")</f>
        <v/>
      </c>
      <c r="S85" s="12" t="str">
        <f>IF(XT!$P85&gt;0,R85,"")</f>
        <v/>
      </c>
      <c r="T85" s="12" t="str">
        <f>IF(XT!$P85=0,R85,"")</f>
        <v/>
      </c>
      <c r="U85">
        <f>SUMPRODUCT((MONTH(CHOOSE({1,2,3,4},XT!U85,XT!Y85,XT!AC85,XT!AG85))=6)*(CHOOSE({1,2,3,4},XT!X85,XT!AB85,XT!AF85,XT!AJ85)))</f>
        <v>0</v>
      </c>
      <c r="V85" t="str">
        <f>IFERROR(INDEX(CHOOSE({1,2,3,4}, DAY(XT!U85), DAY(XT!Y85), DAY(XT!AC85), DAY(XT!AG85)), MATCH(1, INDEX(--(MONTH(CHOOSE({1,2,3,4}, XT!U85,XT!Y85,XT!AC85,XT!AG85))=6), 0), 0)), "")</f>
        <v/>
      </c>
      <c r="W85" s="12" t="str">
        <f>IF(XT!$P85&gt;0,V85,"")</f>
        <v/>
      </c>
      <c r="X85" s="12" t="str">
        <f>IF(XT!$P85=0,V85,"")</f>
        <v/>
      </c>
      <c r="Y85">
        <f>SUMPRODUCT((MONTH(CHOOSE({1,2,3,4},XT!U85,XT!Y85,XT!AC85,XT!AG85))=7)*(CHOOSE({1,2,3,4},XT!X85,XT!AB85,XT!AF85,XT!AJ85)))</f>
        <v>0</v>
      </c>
      <c r="Z85" t="str">
        <f>IFERROR(INDEX(CHOOSE({1,2,3,4}, DAY(XT!U85), DAY(XT!Y85), DAY(XT!AC85), DAY(XT!AG85)), MATCH(1, INDEX(--(MONTH(CHOOSE({1,2,3,4}, XT!U85,XT!Y85,XT!AC85,XT!AG85))=7), 0), 0)), "")</f>
        <v/>
      </c>
      <c r="AA85" s="12" t="str">
        <f>IF(XT!$P85&gt;0,Z85,"")</f>
        <v/>
      </c>
      <c r="AB85" s="12" t="str">
        <f>IF(XT!$P85=0,Z85,"")</f>
        <v/>
      </c>
      <c r="AC85">
        <f>SUMPRODUCT((MONTH(CHOOSE({1,2,3,4},XT!U85,XT!Y85,XT!AC85,XT!AG85))=8)*(CHOOSE({1,2,3,4},XT!X85,XT!AB85,XT!AF85,XT!AJ85)))</f>
        <v>0</v>
      </c>
      <c r="AD85" t="str">
        <f>IFERROR(INDEX(CHOOSE({1,2,3,4}, DAY(XT!U85), DAY(XT!Y85), DAY(XT!AC85), DAY(XT!AG85)), MATCH(1, INDEX(--(MONTH(CHOOSE({1,2,3,4}, XT!U85,XT!Y85,XT!AC85,XT!AG85))=8), 0), 0)), "")</f>
        <v/>
      </c>
      <c r="AE85" s="12" t="str">
        <f>IF(XT!$P85&gt;0,AD85,"")</f>
        <v/>
      </c>
      <c r="AF85" s="12" t="str">
        <f>IF(XT!$P85=0,AD85,"")</f>
        <v/>
      </c>
      <c r="AG85">
        <f>SUMPRODUCT((MONTH(CHOOSE({1,2,3,4},XT!U85,XT!Y85,XT!AC85,XT!AG85))=9)*(CHOOSE({1,2,3,4},XT!X85,XT!AB85,XT!AF85,XT!AJ85)))</f>
        <v>0</v>
      </c>
      <c r="AH85" t="str">
        <f>IFERROR(INDEX(CHOOSE({1,2,3,4}, DAY(XT!U85), DAY(XT!Y85), DAY(XT!AC85), DAY(XT!AG85)), MATCH(1, INDEX(--(MONTH(CHOOSE({1,2,3,4}, XT!U85,XT!Y85,XT!AC85,XT!AG85))=9), 0), 0)), "")</f>
        <v/>
      </c>
      <c r="AI85" s="12" t="str">
        <f>IF(XT!$P85&gt;0,AH85,"")</f>
        <v/>
      </c>
      <c r="AJ85" s="12" t="str">
        <f>IF(XT!$P85=0,AH85,"")</f>
        <v/>
      </c>
      <c r="AK85">
        <f>SUMPRODUCT((MONTH(CHOOSE({1,2,3,4},XT!U85,XT!Y85,XT!AC85,XT!AG85))=10)*(CHOOSE({1,2,3,4},XT!X85,XT!AB85,XT!AF85,XT!AJ85)))</f>
        <v>0</v>
      </c>
      <c r="AL85" t="str">
        <f>IFERROR(INDEX(CHOOSE({1,2,3,4}, DAY(XT!U85), DAY(XT!Y85), DAY(XT!AC85), DAY(XT!AG85)), MATCH(1, INDEX(--(MONTH(CHOOSE({1,2,3,4}, XT!U85,XT!Y85,XT!AC85,XT!AG85))=10), 0), 0)), "")</f>
        <v/>
      </c>
      <c r="AM85" s="12" t="str">
        <f>IF(XT!$P85&gt;0,AL85,"")</f>
        <v/>
      </c>
      <c r="AN85" s="12" t="str">
        <f>IF(XT!$P85=0,AL85,"")</f>
        <v/>
      </c>
      <c r="AO85">
        <f>SUMPRODUCT((MONTH(CHOOSE({1,2,3,4},XT!U85,XT!Y85,XT!AC85,XT!AG85))=11)*(CHOOSE({1,2,3,4},XT!X85,XT!AB85,XT!AF85,XT!AJ85)))</f>
        <v>0</v>
      </c>
      <c r="AP85" t="str">
        <f>IFERROR(INDEX(CHOOSE({1,2,3,4}, DAY(XT!U85), DAY(XT!Y85), DAY(XT!AC85), DAY(XT!AG85)), MATCH(1, INDEX(--(MONTH(CHOOSE({1,2,3,4}, XT!U85,XT!Y85,XT!AC85,XT!AG85))=11), 0), 0)), "")</f>
        <v/>
      </c>
      <c r="AQ85" s="12" t="str">
        <f>IF(XT!$P85&gt;0,AP85,"")</f>
        <v/>
      </c>
      <c r="AR85" s="12" t="str">
        <f>IF(XT!$P85=0,AP85,"")</f>
        <v/>
      </c>
      <c r="AS85">
        <f>SUMPRODUCT((MONTH(CHOOSE({1,2,3,4},XT!U85,XT!Y85,XT!AC85,XT!AG85))=12)*(CHOOSE({1,2,3,4},XT!X85,XT!AB85,XT!AF85,XT!AJ85)))</f>
        <v>0</v>
      </c>
      <c r="AT85" t="str">
        <f>IFERROR(INDEX(CHOOSE({1,2,3,4}, DAY(XT!U85), DAY(XT!Y85), DAY(XT!AC85), DAY(XT!AG85)), MATCH(1, INDEX(--(MONTH(CHOOSE({1,2,3,4}, XT!U85,XT!Y85,XT!AC85,XT!AG85))=12), 0), 0)), "")</f>
        <v/>
      </c>
      <c r="AU85" s="12" t="str">
        <f>IF(XT!$P85&gt;0,AT85,"")</f>
        <v/>
      </c>
      <c r="AV85" s="12" t="str">
        <f>IF(XT!$P85=0,AT85,"")</f>
        <v/>
      </c>
    </row>
    <row r="86" spans="1:48">
      <c r="A86">
        <f>SUMPRODUCT((MONTH(CHOOSE({1,2,3,4},XT!U86,XT!Y86,XT!AC86,XT!AG86))=1)*(CHOOSE({1,2,3,4},XT!X86,XT!AB86,XT!AF86,XT!AJ86)))</f>
        <v>0</v>
      </c>
      <c r="B86">
        <f>IFERROR(INDEX(CHOOSE({1,2,3,4}, DAY(XT!U86), DAY(XT!Y86), DAY(XT!AC86), DAY(XT!AG86)), MATCH(1, INDEX(--(MONTH(CHOOSE({1,2,3,4}, XT!U86,XT!Y86,XT!AC86,XT!AG86))=1), 0), 0)), "")</f>
        <v>0</v>
      </c>
      <c r="C86" s="12" t="str">
        <f>IF(XT!$P86&gt;0,B86,"")</f>
        <v/>
      </c>
      <c r="D86" s="12">
        <f>IF(XT!$P86=0,B86,"")</f>
        <v>0</v>
      </c>
      <c r="E86">
        <f>SUMPRODUCT((MONTH(CHOOSE({1,2,3,4},XT!U86,XT!Y86,XT!AC86,XT!AG86))=2)*(CHOOSE({1,2,3,4},XT!X86,XT!AB86,XT!AF86,XT!AJ86)))</f>
        <v>0</v>
      </c>
      <c r="F86" t="str">
        <f>IFERROR(INDEX(CHOOSE({1,2,3,4}, DAY(XT!U86), DAY(XT!Y86), DAY(XT!AC86), DAY(XT!AG86)), MATCH(1, INDEX(--(MONTH(CHOOSE({1,2,3,4}, XT!U86,XT!Y86,XT!AC86,XT!AG86))=2), 0), 0)), "")</f>
        <v/>
      </c>
      <c r="G86" s="12" t="str">
        <f>IF(XT!$P86&gt;0,F86,"")</f>
        <v/>
      </c>
      <c r="H86" s="12" t="str">
        <f>IF(XT!$P86=0,F86,"")</f>
        <v/>
      </c>
      <c r="I86">
        <f>SUMPRODUCT((MONTH(CHOOSE({1,2,3,4},XT!U86,XT!Y86,XT!AC86,XT!AG86))=3)*(CHOOSE({1,2,3,4},XT!X86,XT!AB86,XT!AF86,XT!AJ86)))</f>
        <v>0</v>
      </c>
      <c r="J86" t="str">
        <f>IFERROR(INDEX(CHOOSE({1,2,3,4}, DAY(XT!U86), DAY(XT!Y86), DAY(XT!AC86), DAY(XT!AG86)), MATCH(1, INDEX(--(MONTH(CHOOSE({1,2,3,4}, XT!U86,XT!Y86,XT!AC86,XT!AG86))=3), 0), 0)), "")</f>
        <v/>
      </c>
      <c r="K86" s="12" t="str">
        <f>IF(XT!$P86&gt;0,J86,"")</f>
        <v/>
      </c>
      <c r="L86" s="12" t="str">
        <f>IF(XT!$P86=0,J86,"")</f>
        <v/>
      </c>
      <c r="M86">
        <f>SUMPRODUCT((MONTH(CHOOSE({1,2,3,4},XT!U86,XT!Y86,XT!AC86,XT!AG86))=4)*(CHOOSE({1,2,3,4},XT!X86,XT!AB86,XT!AF86,XT!AJ86)))</f>
        <v>0</v>
      </c>
      <c r="N86" t="str">
        <f>IFERROR(INDEX(CHOOSE({1,2,3,4}, DAY(XT!U86), DAY(XT!Y86), DAY(XT!AC86), DAY(XT!AG86)), MATCH(1, INDEX(--(MONTH(CHOOSE({1,2,3,4}, XT!U86,XT!Y86,XT!AC86,XT!AG86))=4), 0), 0)), "")</f>
        <v/>
      </c>
      <c r="O86" s="12" t="str">
        <f>IF(XT!$P86&gt;0,N86,"")</f>
        <v/>
      </c>
      <c r="P86" s="12" t="str">
        <f>IF(XT!$P86=0,N86,"")</f>
        <v/>
      </c>
      <c r="Q86">
        <f>SUMPRODUCT((MONTH(CHOOSE({1,2,3,4},XT!U86,XT!Y86,XT!AC86,XT!AG86))=5)*(CHOOSE({1,2,3,4},XT!X86,XT!AB86,XT!AF86,XT!AJ86)))</f>
        <v>0</v>
      </c>
      <c r="R86" t="str">
        <f>IFERROR(INDEX(CHOOSE({1,2,3,4}, DAY(XT!U86), DAY(XT!Y86), DAY(XT!AC86), DAY(XT!AG86)), MATCH(1, INDEX(--(MONTH(CHOOSE({1,2,3,4}, XT!U86,XT!Y86,XT!AC86,XT!AG86))=5), 0), 0)), "")</f>
        <v/>
      </c>
      <c r="S86" s="12" t="str">
        <f>IF(XT!$P86&gt;0,R86,"")</f>
        <v/>
      </c>
      <c r="T86" s="12" t="str">
        <f>IF(XT!$P86=0,R86,"")</f>
        <v/>
      </c>
      <c r="U86">
        <f>SUMPRODUCT((MONTH(CHOOSE({1,2,3,4},XT!U86,XT!Y86,XT!AC86,XT!AG86))=6)*(CHOOSE({1,2,3,4},XT!X86,XT!AB86,XT!AF86,XT!AJ86)))</f>
        <v>0</v>
      </c>
      <c r="V86" t="str">
        <f>IFERROR(INDEX(CHOOSE({1,2,3,4}, DAY(XT!U86), DAY(XT!Y86), DAY(XT!AC86), DAY(XT!AG86)), MATCH(1, INDEX(--(MONTH(CHOOSE({1,2,3,4}, XT!U86,XT!Y86,XT!AC86,XT!AG86))=6), 0), 0)), "")</f>
        <v/>
      </c>
      <c r="W86" s="12" t="str">
        <f>IF(XT!$P86&gt;0,V86,"")</f>
        <v/>
      </c>
      <c r="X86" s="12" t="str">
        <f>IF(XT!$P86=0,V86,"")</f>
        <v/>
      </c>
      <c r="Y86">
        <f>SUMPRODUCT((MONTH(CHOOSE({1,2,3,4},XT!U86,XT!Y86,XT!AC86,XT!AG86))=7)*(CHOOSE({1,2,3,4},XT!X86,XT!AB86,XT!AF86,XT!AJ86)))</f>
        <v>0</v>
      </c>
      <c r="Z86" t="str">
        <f>IFERROR(INDEX(CHOOSE({1,2,3,4}, DAY(XT!U86), DAY(XT!Y86), DAY(XT!AC86), DAY(XT!AG86)), MATCH(1, INDEX(--(MONTH(CHOOSE({1,2,3,4}, XT!U86,XT!Y86,XT!AC86,XT!AG86))=7), 0), 0)), "")</f>
        <v/>
      </c>
      <c r="AA86" s="12" t="str">
        <f>IF(XT!$P86&gt;0,Z86,"")</f>
        <v/>
      </c>
      <c r="AB86" s="12" t="str">
        <f>IF(XT!$P86=0,Z86,"")</f>
        <v/>
      </c>
      <c r="AC86">
        <f>SUMPRODUCT((MONTH(CHOOSE({1,2,3,4},XT!U86,XT!Y86,XT!AC86,XT!AG86))=8)*(CHOOSE({1,2,3,4},XT!X86,XT!AB86,XT!AF86,XT!AJ86)))</f>
        <v>0</v>
      </c>
      <c r="AD86" t="str">
        <f>IFERROR(INDEX(CHOOSE({1,2,3,4}, DAY(XT!U86), DAY(XT!Y86), DAY(XT!AC86), DAY(XT!AG86)), MATCH(1, INDEX(--(MONTH(CHOOSE({1,2,3,4}, XT!U86,XT!Y86,XT!AC86,XT!AG86))=8), 0), 0)), "")</f>
        <v/>
      </c>
      <c r="AE86" s="12" t="str">
        <f>IF(XT!$P86&gt;0,AD86,"")</f>
        <v/>
      </c>
      <c r="AF86" s="12" t="str">
        <f>IF(XT!$P86=0,AD86,"")</f>
        <v/>
      </c>
      <c r="AG86">
        <f>SUMPRODUCT((MONTH(CHOOSE({1,2,3,4},XT!U86,XT!Y86,XT!AC86,XT!AG86))=9)*(CHOOSE({1,2,3,4},XT!X86,XT!AB86,XT!AF86,XT!AJ86)))</f>
        <v>0</v>
      </c>
      <c r="AH86" t="str">
        <f>IFERROR(INDEX(CHOOSE({1,2,3,4}, DAY(XT!U86), DAY(XT!Y86), DAY(XT!AC86), DAY(XT!AG86)), MATCH(1, INDEX(--(MONTH(CHOOSE({1,2,3,4}, XT!U86,XT!Y86,XT!AC86,XT!AG86))=9), 0), 0)), "")</f>
        <v/>
      </c>
      <c r="AI86" s="12" t="str">
        <f>IF(XT!$P86&gt;0,AH86,"")</f>
        <v/>
      </c>
      <c r="AJ86" s="12" t="str">
        <f>IF(XT!$P86=0,AH86,"")</f>
        <v/>
      </c>
      <c r="AK86">
        <f>SUMPRODUCT((MONTH(CHOOSE({1,2,3,4},XT!U86,XT!Y86,XT!AC86,XT!AG86))=10)*(CHOOSE({1,2,3,4},XT!X86,XT!AB86,XT!AF86,XT!AJ86)))</f>
        <v>0</v>
      </c>
      <c r="AL86" t="str">
        <f>IFERROR(INDEX(CHOOSE({1,2,3,4}, DAY(XT!U86), DAY(XT!Y86), DAY(XT!AC86), DAY(XT!AG86)), MATCH(1, INDEX(--(MONTH(CHOOSE({1,2,3,4}, XT!U86,XT!Y86,XT!AC86,XT!AG86))=10), 0), 0)), "")</f>
        <v/>
      </c>
      <c r="AM86" s="12" t="str">
        <f>IF(XT!$P86&gt;0,AL86,"")</f>
        <v/>
      </c>
      <c r="AN86" s="12" t="str">
        <f>IF(XT!$P86=0,AL86,"")</f>
        <v/>
      </c>
      <c r="AO86">
        <f>SUMPRODUCT((MONTH(CHOOSE({1,2,3,4},XT!U86,XT!Y86,XT!AC86,XT!AG86))=11)*(CHOOSE({1,2,3,4},XT!X86,XT!AB86,XT!AF86,XT!AJ86)))</f>
        <v>0</v>
      </c>
      <c r="AP86" t="str">
        <f>IFERROR(INDEX(CHOOSE({1,2,3,4}, DAY(XT!U86), DAY(XT!Y86), DAY(XT!AC86), DAY(XT!AG86)), MATCH(1, INDEX(--(MONTH(CHOOSE({1,2,3,4}, XT!U86,XT!Y86,XT!AC86,XT!AG86))=11), 0), 0)), "")</f>
        <v/>
      </c>
      <c r="AQ86" s="12" t="str">
        <f>IF(XT!$P86&gt;0,AP86,"")</f>
        <v/>
      </c>
      <c r="AR86" s="12" t="str">
        <f>IF(XT!$P86=0,AP86,"")</f>
        <v/>
      </c>
      <c r="AS86">
        <f>SUMPRODUCT((MONTH(CHOOSE({1,2,3,4},XT!U86,XT!Y86,XT!AC86,XT!AG86))=12)*(CHOOSE({1,2,3,4},XT!X86,XT!AB86,XT!AF86,XT!AJ86)))</f>
        <v>0</v>
      </c>
      <c r="AT86" t="str">
        <f>IFERROR(INDEX(CHOOSE({1,2,3,4}, DAY(XT!U86), DAY(XT!Y86), DAY(XT!AC86), DAY(XT!AG86)), MATCH(1, INDEX(--(MONTH(CHOOSE({1,2,3,4}, XT!U86,XT!Y86,XT!AC86,XT!AG86))=12), 0), 0)), "")</f>
        <v/>
      </c>
      <c r="AU86" s="12" t="str">
        <f>IF(XT!$P86&gt;0,AT86,"")</f>
        <v/>
      </c>
      <c r="AV86" s="12" t="str">
        <f>IF(XT!$P86=0,AT86,"")</f>
        <v/>
      </c>
    </row>
    <row r="87" spans="1:48">
      <c r="A87">
        <f>SUMPRODUCT((MONTH(CHOOSE({1,2,3,4},XT!U87,XT!Y87,XT!AC87,XT!AG87))=1)*(CHOOSE({1,2,3,4},XT!X87,XT!AB87,XT!AF87,XT!AJ87)))</f>
        <v>0</v>
      </c>
      <c r="B87">
        <f>IFERROR(INDEX(CHOOSE({1,2,3,4}, DAY(XT!U87), DAY(XT!Y87), DAY(XT!AC87), DAY(XT!AG87)), MATCH(1, INDEX(--(MONTH(CHOOSE({1,2,3,4}, XT!U87,XT!Y87,XT!AC87,XT!AG87))=1), 0), 0)), "")</f>
        <v>0</v>
      </c>
      <c r="C87" s="12" t="str">
        <f>IF(XT!$P87&gt;0,B87,"")</f>
        <v/>
      </c>
      <c r="D87" s="12">
        <f>IF(XT!$P87=0,B87,"")</f>
        <v>0</v>
      </c>
      <c r="E87">
        <f>SUMPRODUCT((MONTH(CHOOSE({1,2,3,4},XT!U87,XT!Y87,XT!AC87,XT!AG87))=2)*(CHOOSE({1,2,3,4},XT!X87,XT!AB87,XT!AF87,XT!AJ87)))</f>
        <v>0</v>
      </c>
      <c r="F87" t="str">
        <f>IFERROR(INDEX(CHOOSE({1,2,3,4}, DAY(XT!U87), DAY(XT!Y87), DAY(XT!AC87), DAY(XT!AG87)), MATCH(1, INDEX(--(MONTH(CHOOSE({1,2,3,4}, XT!U87,XT!Y87,XT!AC87,XT!AG87))=2), 0), 0)), "")</f>
        <v/>
      </c>
      <c r="G87" s="12" t="str">
        <f>IF(XT!$P87&gt;0,F87,"")</f>
        <v/>
      </c>
      <c r="H87" s="12" t="str">
        <f>IF(XT!$P87=0,F87,"")</f>
        <v/>
      </c>
      <c r="I87">
        <f>SUMPRODUCT((MONTH(CHOOSE({1,2,3,4},XT!U87,XT!Y87,XT!AC87,XT!AG87))=3)*(CHOOSE({1,2,3,4},XT!X87,XT!AB87,XT!AF87,XT!AJ87)))</f>
        <v>0</v>
      </c>
      <c r="J87" t="str">
        <f>IFERROR(INDEX(CHOOSE({1,2,3,4}, DAY(XT!U87), DAY(XT!Y87), DAY(XT!AC87), DAY(XT!AG87)), MATCH(1, INDEX(--(MONTH(CHOOSE({1,2,3,4}, XT!U87,XT!Y87,XT!AC87,XT!AG87))=3), 0), 0)), "")</f>
        <v/>
      </c>
      <c r="K87" s="12" t="str">
        <f>IF(XT!$P87&gt;0,J87,"")</f>
        <v/>
      </c>
      <c r="L87" s="12" t="str">
        <f>IF(XT!$P87=0,J87,"")</f>
        <v/>
      </c>
      <c r="M87">
        <f>SUMPRODUCT((MONTH(CHOOSE({1,2,3,4},XT!U87,XT!Y87,XT!AC87,XT!AG87))=4)*(CHOOSE({1,2,3,4},XT!X87,XT!AB87,XT!AF87,XT!AJ87)))</f>
        <v>0</v>
      </c>
      <c r="N87" t="str">
        <f>IFERROR(INDEX(CHOOSE({1,2,3,4}, DAY(XT!U87), DAY(XT!Y87), DAY(XT!AC87), DAY(XT!AG87)), MATCH(1, INDEX(--(MONTH(CHOOSE({1,2,3,4}, XT!U87,XT!Y87,XT!AC87,XT!AG87))=4), 0), 0)), "")</f>
        <v/>
      </c>
      <c r="O87" s="12" t="str">
        <f>IF(XT!$P87&gt;0,N87,"")</f>
        <v/>
      </c>
      <c r="P87" s="12" t="str">
        <f>IF(XT!$P87=0,N87,"")</f>
        <v/>
      </c>
      <c r="Q87">
        <f>SUMPRODUCT((MONTH(CHOOSE({1,2,3,4},XT!U87,XT!Y87,XT!AC87,XT!AG87))=5)*(CHOOSE({1,2,3,4},XT!X87,XT!AB87,XT!AF87,XT!AJ87)))</f>
        <v>0</v>
      </c>
      <c r="R87" t="str">
        <f>IFERROR(INDEX(CHOOSE({1,2,3,4}, DAY(XT!U87), DAY(XT!Y87), DAY(XT!AC87), DAY(XT!AG87)), MATCH(1, INDEX(--(MONTH(CHOOSE({1,2,3,4}, XT!U87,XT!Y87,XT!AC87,XT!AG87))=5), 0), 0)), "")</f>
        <v/>
      </c>
      <c r="S87" s="12" t="str">
        <f>IF(XT!$P87&gt;0,R87,"")</f>
        <v/>
      </c>
      <c r="T87" s="12" t="str">
        <f>IF(XT!$P87=0,R87,"")</f>
        <v/>
      </c>
      <c r="U87">
        <f>SUMPRODUCT((MONTH(CHOOSE({1,2,3,4},XT!U87,XT!Y87,XT!AC87,XT!AG87))=6)*(CHOOSE({1,2,3,4},XT!X87,XT!AB87,XT!AF87,XT!AJ87)))</f>
        <v>0</v>
      </c>
      <c r="V87" t="str">
        <f>IFERROR(INDEX(CHOOSE({1,2,3,4}, DAY(XT!U87), DAY(XT!Y87), DAY(XT!AC87), DAY(XT!AG87)), MATCH(1, INDEX(--(MONTH(CHOOSE({1,2,3,4}, XT!U87,XT!Y87,XT!AC87,XT!AG87))=6), 0), 0)), "")</f>
        <v/>
      </c>
      <c r="W87" s="12" t="str">
        <f>IF(XT!$P87&gt;0,V87,"")</f>
        <v/>
      </c>
      <c r="X87" s="12" t="str">
        <f>IF(XT!$P87=0,V87,"")</f>
        <v/>
      </c>
      <c r="Y87">
        <f>SUMPRODUCT((MONTH(CHOOSE({1,2,3,4},XT!U87,XT!Y87,XT!AC87,XT!AG87))=7)*(CHOOSE({1,2,3,4},XT!X87,XT!AB87,XT!AF87,XT!AJ87)))</f>
        <v>0</v>
      </c>
      <c r="Z87" t="str">
        <f>IFERROR(INDEX(CHOOSE({1,2,3,4}, DAY(XT!U87), DAY(XT!Y87), DAY(XT!AC87), DAY(XT!AG87)), MATCH(1, INDEX(--(MONTH(CHOOSE({1,2,3,4}, XT!U87,XT!Y87,XT!AC87,XT!AG87))=7), 0), 0)), "")</f>
        <v/>
      </c>
      <c r="AA87" s="12" t="str">
        <f>IF(XT!$P87&gt;0,Z87,"")</f>
        <v/>
      </c>
      <c r="AB87" s="12" t="str">
        <f>IF(XT!$P87=0,Z87,"")</f>
        <v/>
      </c>
      <c r="AC87">
        <f>SUMPRODUCT((MONTH(CHOOSE({1,2,3,4},XT!U87,XT!Y87,XT!AC87,XT!AG87))=8)*(CHOOSE({1,2,3,4},XT!X87,XT!AB87,XT!AF87,XT!AJ87)))</f>
        <v>0</v>
      </c>
      <c r="AD87" t="str">
        <f>IFERROR(INDEX(CHOOSE({1,2,3,4}, DAY(XT!U87), DAY(XT!Y87), DAY(XT!AC87), DAY(XT!AG87)), MATCH(1, INDEX(--(MONTH(CHOOSE({1,2,3,4}, XT!U87,XT!Y87,XT!AC87,XT!AG87))=8), 0), 0)), "")</f>
        <v/>
      </c>
      <c r="AE87" s="12" t="str">
        <f>IF(XT!$P87&gt;0,AD87,"")</f>
        <v/>
      </c>
      <c r="AF87" s="12" t="str">
        <f>IF(XT!$P87=0,AD87,"")</f>
        <v/>
      </c>
      <c r="AG87">
        <f>SUMPRODUCT((MONTH(CHOOSE({1,2,3,4},XT!U87,XT!Y87,XT!AC87,XT!AG87))=9)*(CHOOSE({1,2,3,4},XT!X87,XT!AB87,XT!AF87,XT!AJ87)))</f>
        <v>0</v>
      </c>
      <c r="AH87" t="str">
        <f>IFERROR(INDEX(CHOOSE({1,2,3,4}, DAY(XT!U87), DAY(XT!Y87), DAY(XT!AC87), DAY(XT!AG87)), MATCH(1, INDEX(--(MONTH(CHOOSE({1,2,3,4}, XT!U87,XT!Y87,XT!AC87,XT!AG87))=9), 0), 0)), "")</f>
        <v/>
      </c>
      <c r="AI87" s="12" t="str">
        <f>IF(XT!$P87&gt;0,AH87,"")</f>
        <v/>
      </c>
      <c r="AJ87" s="12" t="str">
        <f>IF(XT!$P87=0,AH87,"")</f>
        <v/>
      </c>
      <c r="AK87">
        <f>SUMPRODUCT((MONTH(CHOOSE({1,2,3,4},XT!U87,XT!Y87,XT!AC87,XT!AG87))=10)*(CHOOSE({1,2,3,4},XT!X87,XT!AB87,XT!AF87,XT!AJ87)))</f>
        <v>0</v>
      </c>
      <c r="AL87" t="str">
        <f>IFERROR(INDEX(CHOOSE({1,2,3,4}, DAY(XT!U87), DAY(XT!Y87), DAY(XT!AC87), DAY(XT!AG87)), MATCH(1, INDEX(--(MONTH(CHOOSE({1,2,3,4}, XT!U87,XT!Y87,XT!AC87,XT!AG87))=10), 0), 0)), "")</f>
        <v/>
      </c>
      <c r="AM87" s="12" t="str">
        <f>IF(XT!$P87&gt;0,AL87,"")</f>
        <v/>
      </c>
      <c r="AN87" s="12" t="str">
        <f>IF(XT!$P87=0,AL87,"")</f>
        <v/>
      </c>
      <c r="AO87">
        <f>SUMPRODUCT((MONTH(CHOOSE({1,2,3,4},XT!U87,XT!Y87,XT!AC87,XT!AG87))=11)*(CHOOSE({1,2,3,4},XT!X87,XT!AB87,XT!AF87,XT!AJ87)))</f>
        <v>0</v>
      </c>
      <c r="AP87" t="str">
        <f>IFERROR(INDEX(CHOOSE({1,2,3,4}, DAY(XT!U87), DAY(XT!Y87), DAY(XT!AC87), DAY(XT!AG87)), MATCH(1, INDEX(--(MONTH(CHOOSE({1,2,3,4}, XT!U87,XT!Y87,XT!AC87,XT!AG87))=11), 0), 0)), "")</f>
        <v/>
      </c>
      <c r="AQ87" s="12" t="str">
        <f>IF(XT!$P87&gt;0,AP87,"")</f>
        <v/>
      </c>
      <c r="AR87" s="12" t="str">
        <f>IF(XT!$P87=0,AP87,"")</f>
        <v/>
      </c>
      <c r="AS87">
        <f>SUMPRODUCT((MONTH(CHOOSE({1,2,3,4},XT!U87,XT!Y87,XT!AC87,XT!AG87))=12)*(CHOOSE({1,2,3,4},XT!X87,XT!AB87,XT!AF87,XT!AJ87)))</f>
        <v>0</v>
      </c>
      <c r="AT87" t="str">
        <f>IFERROR(INDEX(CHOOSE({1,2,3,4}, DAY(XT!U87), DAY(XT!Y87), DAY(XT!AC87), DAY(XT!AG87)), MATCH(1, INDEX(--(MONTH(CHOOSE({1,2,3,4}, XT!U87,XT!Y87,XT!AC87,XT!AG87))=12), 0), 0)), "")</f>
        <v/>
      </c>
      <c r="AU87" s="12" t="str">
        <f>IF(XT!$P87&gt;0,AT87,"")</f>
        <v/>
      </c>
      <c r="AV87" s="12" t="str">
        <f>IF(XT!$P87=0,AT87,"")</f>
        <v/>
      </c>
    </row>
    <row r="88" spans="1:48">
      <c r="A88">
        <f>SUMPRODUCT((MONTH(CHOOSE({1,2,3,4},XT!U88,XT!Y88,XT!AC88,XT!AG88))=1)*(CHOOSE({1,2,3,4},XT!X88,XT!AB88,XT!AF88,XT!AJ88)))</f>
        <v>0</v>
      </c>
      <c r="B88">
        <f>IFERROR(INDEX(CHOOSE({1,2,3,4}, DAY(XT!U88), DAY(XT!Y88), DAY(XT!AC88), DAY(XT!AG88)), MATCH(1, INDEX(--(MONTH(CHOOSE({1,2,3,4}, XT!U88,XT!Y88,XT!AC88,XT!AG88))=1), 0), 0)), "")</f>
        <v>0</v>
      </c>
      <c r="C88" s="12" t="str">
        <f>IF(XT!$P88&gt;0,B88,"")</f>
        <v/>
      </c>
      <c r="D88" s="12">
        <f>IF(XT!$P88=0,B88,"")</f>
        <v>0</v>
      </c>
      <c r="E88">
        <f>SUMPRODUCT((MONTH(CHOOSE({1,2,3,4},XT!U88,XT!Y88,XT!AC88,XT!AG88))=2)*(CHOOSE({1,2,3,4},XT!X88,XT!AB88,XT!AF88,XT!AJ88)))</f>
        <v>0</v>
      </c>
      <c r="F88" t="str">
        <f>IFERROR(INDEX(CHOOSE({1,2,3,4}, DAY(XT!U88), DAY(XT!Y88), DAY(XT!AC88), DAY(XT!AG88)), MATCH(1, INDEX(--(MONTH(CHOOSE({1,2,3,4}, XT!U88,XT!Y88,XT!AC88,XT!AG88))=2), 0), 0)), "")</f>
        <v/>
      </c>
      <c r="G88" s="12" t="str">
        <f>IF(XT!$P88&gt;0,F88,"")</f>
        <v/>
      </c>
      <c r="H88" s="12" t="str">
        <f>IF(XT!$P88=0,F88,"")</f>
        <v/>
      </c>
      <c r="I88">
        <f>SUMPRODUCT((MONTH(CHOOSE({1,2,3,4},XT!U88,XT!Y88,XT!AC88,XT!AG88))=3)*(CHOOSE({1,2,3,4},XT!X88,XT!AB88,XT!AF88,XT!AJ88)))</f>
        <v>0</v>
      </c>
      <c r="J88" t="str">
        <f>IFERROR(INDEX(CHOOSE({1,2,3,4}, DAY(XT!U88), DAY(XT!Y88), DAY(XT!AC88), DAY(XT!AG88)), MATCH(1, INDEX(--(MONTH(CHOOSE({1,2,3,4}, XT!U88,XT!Y88,XT!AC88,XT!AG88))=3), 0), 0)), "")</f>
        <v/>
      </c>
      <c r="K88" s="12" t="str">
        <f>IF(XT!$P88&gt;0,J88,"")</f>
        <v/>
      </c>
      <c r="L88" s="12" t="str">
        <f>IF(XT!$P88=0,J88,"")</f>
        <v/>
      </c>
      <c r="M88">
        <f>SUMPRODUCT((MONTH(CHOOSE({1,2,3,4},XT!U88,XT!Y88,XT!AC88,XT!AG88))=4)*(CHOOSE({1,2,3,4},XT!X88,XT!AB88,XT!AF88,XT!AJ88)))</f>
        <v>0</v>
      </c>
      <c r="N88" t="str">
        <f>IFERROR(INDEX(CHOOSE({1,2,3,4}, DAY(XT!U88), DAY(XT!Y88), DAY(XT!AC88), DAY(XT!AG88)), MATCH(1, INDEX(--(MONTH(CHOOSE({1,2,3,4}, XT!U88,XT!Y88,XT!AC88,XT!AG88))=4), 0), 0)), "")</f>
        <v/>
      </c>
      <c r="O88" s="12" t="str">
        <f>IF(XT!$P88&gt;0,N88,"")</f>
        <v/>
      </c>
      <c r="P88" s="12" t="str">
        <f>IF(XT!$P88=0,N88,"")</f>
        <v/>
      </c>
      <c r="Q88">
        <f>SUMPRODUCT((MONTH(CHOOSE({1,2,3,4},XT!U88,XT!Y88,XT!AC88,XT!AG88))=5)*(CHOOSE({1,2,3,4},XT!X88,XT!AB88,XT!AF88,XT!AJ88)))</f>
        <v>0</v>
      </c>
      <c r="R88" t="str">
        <f>IFERROR(INDEX(CHOOSE({1,2,3,4}, DAY(XT!U88), DAY(XT!Y88), DAY(XT!AC88), DAY(XT!AG88)), MATCH(1, INDEX(--(MONTH(CHOOSE({1,2,3,4}, XT!U88,XT!Y88,XT!AC88,XT!AG88))=5), 0), 0)), "")</f>
        <v/>
      </c>
      <c r="S88" s="12" t="str">
        <f>IF(XT!$P88&gt;0,R88,"")</f>
        <v/>
      </c>
      <c r="T88" s="12" t="str">
        <f>IF(XT!$P88=0,R88,"")</f>
        <v/>
      </c>
      <c r="U88">
        <f>SUMPRODUCT((MONTH(CHOOSE({1,2,3,4},XT!U88,XT!Y88,XT!AC88,XT!AG88))=6)*(CHOOSE({1,2,3,4},XT!X88,XT!AB88,XT!AF88,XT!AJ88)))</f>
        <v>0</v>
      </c>
      <c r="V88" t="str">
        <f>IFERROR(INDEX(CHOOSE({1,2,3,4}, DAY(XT!U88), DAY(XT!Y88), DAY(XT!AC88), DAY(XT!AG88)), MATCH(1, INDEX(--(MONTH(CHOOSE({1,2,3,4}, XT!U88,XT!Y88,XT!AC88,XT!AG88))=6), 0), 0)), "")</f>
        <v/>
      </c>
      <c r="W88" s="12" t="str">
        <f>IF(XT!$P88&gt;0,V88,"")</f>
        <v/>
      </c>
      <c r="X88" s="12" t="str">
        <f>IF(XT!$P88=0,V88,"")</f>
        <v/>
      </c>
      <c r="Y88">
        <f>SUMPRODUCT((MONTH(CHOOSE({1,2,3,4},XT!U88,XT!Y88,XT!AC88,XT!AG88))=7)*(CHOOSE({1,2,3,4},XT!X88,XT!AB88,XT!AF88,XT!AJ88)))</f>
        <v>0</v>
      </c>
      <c r="Z88" t="str">
        <f>IFERROR(INDEX(CHOOSE({1,2,3,4}, DAY(XT!U88), DAY(XT!Y88), DAY(XT!AC88), DAY(XT!AG88)), MATCH(1, INDEX(--(MONTH(CHOOSE({1,2,3,4}, XT!U88,XT!Y88,XT!AC88,XT!AG88))=7), 0), 0)), "")</f>
        <v/>
      </c>
      <c r="AA88" s="12" t="str">
        <f>IF(XT!$P88&gt;0,Z88,"")</f>
        <v/>
      </c>
      <c r="AB88" s="12" t="str">
        <f>IF(XT!$P88=0,Z88,"")</f>
        <v/>
      </c>
      <c r="AC88">
        <f>SUMPRODUCT((MONTH(CHOOSE({1,2,3,4},XT!U88,XT!Y88,XT!AC88,XT!AG88))=8)*(CHOOSE({1,2,3,4},XT!X88,XT!AB88,XT!AF88,XT!AJ88)))</f>
        <v>0</v>
      </c>
      <c r="AD88" t="str">
        <f>IFERROR(INDEX(CHOOSE({1,2,3,4}, DAY(XT!U88), DAY(XT!Y88), DAY(XT!AC88), DAY(XT!AG88)), MATCH(1, INDEX(--(MONTH(CHOOSE({1,2,3,4}, XT!U88,XT!Y88,XT!AC88,XT!AG88))=8), 0), 0)), "")</f>
        <v/>
      </c>
      <c r="AE88" s="12" t="str">
        <f>IF(XT!$P88&gt;0,AD88,"")</f>
        <v/>
      </c>
      <c r="AF88" s="12" t="str">
        <f>IF(XT!$P88=0,AD88,"")</f>
        <v/>
      </c>
      <c r="AG88">
        <f>SUMPRODUCT((MONTH(CHOOSE({1,2,3,4},XT!U88,XT!Y88,XT!AC88,XT!AG88))=9)*(CHOOSE({1,2,3,4},XT!X88,XT!AB88,XT!AF88,XT!AJ88)))</f>
        <v>0</v>
      </c>
      <c r="AH88" t="str">
        <f>IFERROR(INDEX(CHOOSE({1,2,3,4}, DAY(XT!U88), DAY(XT!Y88), DAY(XT!AC88), DAY(XT!AG88)), MATCH(1, INDEX(--(MONTH(CHOOSE({1,2,3,4}, XT!U88,XT!Y88,XT!AC88,XT!AG88))=9), 0), 0)), "")</f>
        <v/>
      </c>
      <c r="AI88" s="12" t="str">
        <f>IF(XT!$P88&gt;0,AH88,"")</f>
        <v/>
      </c>
      <c r="AJ88" s="12" t="str">
        <f>IF(XT!$P88=0,AH88,"")</f>
        <v/>
      </c>
      <c r="AK88">
        <f>SUMPRODUCT((MONTH(CHOOSE({1,2,3,4},XT!U88,XT!Y88,XT!AC88,XT!AG88))=10)*(CHOOSE({1,2,3,4},XT!X88,XT!AB88,XT!AF88,XT!AJ88)))</f>
        <v>0</v>
      </c>
      <c r="AL88" t="str">
        <f>IFERROR(INDEX(CHOOSE({1,2,3,4}, DAY(XT!U88), DAY(XT!Y88), DAY(XT!AC88), DAY(XT!AG88)), MATCH(1, INDEX(--(MONTH(CHOOSE({1,2,3,4}, XT!U88,XT!Y88,XT!AC88,XT!AG88))=10), 0), 0)), "")</f>
        <v/>
      </c>
      <c r="AM88" s="12" t="str">
        <f>IF(XT!$P88&gt;0,AL88,"")</f>
        <v/>
      </c>
      <c r="AN88" s="12" t="str">
        <f>IF(XT!$P88=0,AL88,"")</f>
        <v/>
      </c>
      <c r="AO88">
        <f>SUMPRODUCT((MONTH(CHOOSE({1,2,3,4},XT!U88,XT!Y88,XT!AC88,XT!AG88))=11)*(CHOOSE({1,2,3,4},XT!X88,XT!AB88,XT!AF88,XT!AJ88)))</f>
        <v>0</v>
      </c>
      <c r="AP88" t="str">
        <f>IFERROR(INDEX(CHOOSE({1,2,3,4}, DAY(XT!U88), DAY(XT!Y88), DAY(XT!AC88), DAY(XT!AG88)), MATCH(1, INDEX(--(MONTH(CHOOSE({1,2,3,4}, XT!U88,XT!Y88,XT!AC88,XT!AG88))=11), 0), 0)), "")</f>
        <v/>
      </c>
      <c r="AQ88" s="12" t="str">
        <f>IF(XT!$P88&gt;0,AP88,"")</f>
        <v/>
      </c>
      <c r="AR88" s="12" t="str">
        <f>IF(XT!$P88=0,AP88,"")</f>
        <v/>
      </c>
      <c r="AS88">
        <f>SUMPRODUCT((MONTH(CHOOSE({1,2,3,4},XT!U88,XT!Y88,XT!AC88,XT!AG88))=12)*(CHOOSE({1,2,3,4},XT!X88,XT!AB88,XT!AF88,XT!AJ88)))</f>
        <v>0</v>
      </c>
      <c r="AT88" t="str">
        <f>IFERROR(INDEX(CHOOSE({1,2,3,4}, DAY(XT!U88), DAY(XT!Y88), DAY(XT!AC88), DAY(XT!AG88)), MATCH(1, INDEX(--(MONTH(CHOOSE({1,2,3,4}, XT!U88,XT!Y88,XT!AC88,XT!AG88))=12), 0), 0)), "")</f>
        <v/>
      </c>
      <c r="AU88" s="12" t="str">
        <f>IF(XT!$P88&gt;0,AT88,"")</f>
        <v/>
      </c>
      <c r="AV88" s="12" t="str">
        <f>IF(XT!$P88=0,AT88,"")</f>
        <v/>
      </c>
    </row>
    <row r="89" spans="1:48">
      <c r="A89">
        <f>SUMPRODUCT((MONTH(CHOOSE({1,2,3,4},XT!U89,XT!Y89,XT!AC89,XT!AG89))=1)*(CHOOSE({1,2,3,4},XT!X89,XT!AB89,XT!AF89,XT!AJ89)))</f>
        <v>0</v>
      </c>
      <c r="B89">
        <f>IFERROR(INDEX(CHOOSE({1,2,3,4}, DAY(XT!U89), DAY(XT!Y89), DAY(XT!AC89), DAY(XT!AG89)), MATCH(1, INDEX(--(MONTH(CHOOSE({1,2,3,4}, XT!U89,XT!Y89,XT!AC89,XT!AG89))=1), 0), 0)), "")</f>
        <v>0</v>
      </c>
      <c r="C89" s="12" t="str">
        <f>IF(XT!$P89&gt;0,B89,"")</f>
        <v/>
      </c>
      <c r="D89" s="12">
        <f>IF(XT!$P89=0,B89,"")</f>
        <v>0</v>
      </c>
      <c r="E89">
        <f>SUMPRODUCT((MONTH(CHOOSE({1,2,3,4},XT!U89,XT!Y89,XT!AC89,XT!AG89))=2)*(CHOOSE({1,2,3,4},XT!X89,XT!AB89,XT!AF89,XT!AJ89)))</f>
        <v>0</v>
      </c>
      <c r="F89" t="str">
        <f>IFERROR(INDEX(CHOOSE({1,2,3,4}, DAY(XT!U89), DAY(XT!Y89), DAY(XT!AC89), DAY(XT!AG89)), MATCH(1, INDEX(--(MONTH(CHOOSE({1,2,3,4}, XT!U89,XT!Y89,XT!AC89,XT!AG89))=2), 0), 0)), "")</f>
        <v/>
      </c>
      <c r="G89" s="12" t="str">
        <f>IF(XT!$P89&gt;0,F89,"")</f>
        <v/>
      </c>
      <c r="H89" s="12" t="str">
        <f>IF(XT!$P89=0,F89,"")</f>
        <v/>
      </c>
      <c r="I89">
        <f>SUMPRODUCT((MONTH(CHOOSE({1,2,3,4},XT!U89,XT!Y89,XT!AC89,XT!AG89))=3)*(CHOOSE({1,2,3,4},XT!X89,XT!AB89,XT!AF89,XT!AJ89)))</f>
        <v>0</v>
      </c>
      <c r="J89" t="str">
        <f>IFERROR(INDEX(CHOOSE({1,2,3,4}, DAY(XT!U89), DAY(XT!Y89), DAY(XT!AC89), DAY(XT!AG89)), MATCH(1, INDEX(--(MONTH(CHOOSE({1,2,3,4}, XT!U89,XT!Y89,XT!AC89,XT!AG89))=3), 0), 0)), "")</f>
        <v/>
      </c>
      <c r="K89" s="12" t="str">
        <f>IF(XT!$P89&gt;0,J89,"")</f>
        <v/>
      </c>
      <c r="L89" s="12" t="str">
        <f>IF(XT!$P89=0,J89,"")</f>
        <v/>
      </c>
      <c r="M89">
        <f>SUMPRODUCT((MONTH(CHOOSE({1,2,3,4},XT!U89,XT!Y89,XT!AC89,XT!AG89))=4)*(CHOOSE({1,2,3,4},XT!X89,XT!AB89,XT!AF89,XT!AJ89)))</f>
        <v>0</v>
      </c>
      <c r="N89" t="str">
        <f>IFERROR(INDEX(CHOOSE({1,2,3,4}, DAY(XT!U89), DAY(XT!Y89), DAY(XT!AC89), DAY(XT!AG89)), MATCH(1, INDEX(--(MONTH(CHOOSE({1,2,3,4}, XT!U89,XT!Y89,XT!AC89,XT!AG89))=4), 0), 0)), "")</f>
        <v/>
      </c>
      <c r="O89" s="12" t="str">
        <f>IF(XT!$P89&gt;0,N89,"")</f>
        <v/>
      </c>
      <c r="P89" s="12" t="str">
        <f>IF(XT!$P89=0,N89,"")</f>
        <v/>
      </c>
      <c r="Q89">
        <f>SUMPRODUCT((MONTH(CHOOSE({1,2,3,4},XT!U89,XT!Y89,XT!AC89,XT!AG89))=5)*(CHOOSE({1,2,3,4},XT!X89,XT!AB89,XT!AF89,XT!AJ89)))</f>
        <v>0</v>
      </c>
      <c r="R89" t="str">
        <f>IFERROR(INDEX(CHOOSE({1,2,3,4}, DAY(XT!U89), DAY(XT!Y89), DAY(XT!AC89), DAY(XT!AG89)), MATCH(1, INDEX(--(MONTH(CHOOSE({1,2,3,4}, XT!U89,XT!Y89,XT!AC89,XT!AG89))=5), 0), 0)), "")</f>
        <v/>
      </c>
      <c r="S89" s="12" t="str">
        <f>IF(XT!$P89&gt;0,R89,"")</f>
        <v/>
      </c>
      <c r="T89" s="12" t="str">
        <f>IF(XT!$P89=0,R89,"")</f>
        <v/>
      </c>
      <c r="U89">
        <f>SUMPRODUCT((MONTH(CHOOSE({1,2,3,4},XT!U89,XT!Y89,XT!AC89,XT!AG89))=6)*(CHOOSE({1,2,3,4},XT!X89,XT!AB89,XT!AF89,XT!AJ89)))</f>
        <v>0</v>
      </c>
      <c r="V89" t="str">
        <f>IFERROR(INDEX(CHOOSE({1,2,3,4}, DAY(XT!U89), DAY(XT!Y89), DAY(XT!AC89), DAY(XT!AG89)), MATCH(1, INDEX(--(MONTH(CHOOSE({1,2,3,4}, XT!U89,XT!Y89,XT!AC89,XT!AG89))=6), 0), 0)), "")</f>
        <v/>
      </c>
      <c r="W89" s="12" t="str">
        <f>IF(XT!$P89&gt;0,V89,"")</f>
        <v/>
      </c>
      <c r="X89" s="12" t="str">
        <f>IF(XT!$P89=0,V89,"")</f>
        <v/>
      </c>
      <c r="Y89">
        <f>SUMPRODUCT((MONTH(CHOOSE({1,2,3,4},XT!U89,XT!Y89,XT!AC89,XT!AG89))=7)*(CHOOSE({1,2,3,4},XT!X89,XT!AB89,XT!AF89,XT!AJ89)))</f>
        <v>0</v>
      </c>
      <c r="Z89" t="str">
        <f>IFERROR(INDEX(CHOOSE({1,2,3,4}, DAY(XT!U89), DAY(XT!Y89), DAY(XT!AC89), DAY(XT!AG89)), MATCH(1, INDEX(--(MONTH(CHOOSE({1,2,3,4}, XT!U89,XT!Y89,XT!AC89,XT!AG89))=7), 0), 0)), "")</f>
        <v/>
      </c>
      <c r="AA89" s="12" t="str">
        <f>IF(XT!$P89&gt;0,Z89,"")</f>
        <v/>
      </c>
      <c r="AB89" s="12" t="str">
        <f>IF(XT!$P89=0,Z89,"")</f>
        <v/>
      </c>
      <c r="AC89">
        <f>SUMPRODUCT((MONTH(CHOOSE({1,2,3,4},XT!U89,XT!Y89,XT!AC89,XT!AG89))=8)*(CHOOSE({1,2,3,4},XT!X89,XT!AB89,XT!AF89,XT!AJ89)))</f>
        <v>0</v>
      </c>
      <c r="AD89" t="str">
        <f>IFERROR(INDEX(CHOOSE({1,2,3,4}, DAY(XT!U89), DAY(XT!Y89), DAY(XT!AC89), DAY(XT!AG89)), MATCH(1, INDEX(--(MONTH(CHOOSE({1,2,3,4}, XT!U89,XT!Y89,XT!AC89,XT!AG89))=8), 0), 0)), "")</f>
        <v/>
      </c>
      <c r="AE89" s="12" t="str">
        <f>IF(XT!$P89&gt;0,AD89,"")</f>
        <v/>
      </c>
      <c r="AF89" s="12" t="str">
        <f>IF(XT!$P89=0,AD89,"")</f>
        <v/>
      </c>
      <c r="AG89">
        <f>SUMPRODUCT((MONTH(CHOOSE({1,2,3,4},XT!U89,XT!Y89,XT!AC89,XT!AG89))=9)*(CHOOSE({1,2,3,4},XT!X89,XT!AB89,XT!AF89,XT!AJ89)))</f>
        <v>0</v>
      </c>
      <c r="AH89" t="str">
        <f>IFERROR(INDEX(CHOOSE({1,2,3,4}, DAY(XT!U89), DAY(XT!Y89), DAY(XT!AC89), DAY(XT!AG89)), MATCH(1, INDEX(--(MONTH(CHOOSE({1,2,3,4}, XT!U89,XT!Y89,XT!AC89,XT!AG89))=9), 0), 0)), "")</f>
        <v/>
      </c>
      <c r="AI89" s="12" t="str">
        <f>IF(XT!$P89&gt;0,AH89,"")</f>
        <v/>
      </c>
      <c r="AJ89" s="12" t="str">
        <f>IF(XT!$P89=0,AH89,"")</f>
        <v/>
      </c>
      <c r="AK89">
        <f>SUMPRODUCT((MONTH(CHOOSE({1,2,3,4},XT!U89,XT!Y89,XT!AC89,XT!AG89))=10)*(CHOOSE({1,2,3,4},XT!X89,XT!AB89,XT!AF89,XT!AJ89)))</f>
        <v>0</v>
      </c>
      <c r="AL89" t="str">
        <f>IFERROR(INDEX(CHOOSE({1,2,3,4}, DAY(XT!U89), DAY(XT!Y89), DAY(XT!AC89), DAY(XT!AG89)), MATCH(1, INDEX(--(MONTH(CHOOSE({1,2,3,4}, XT!U89,XT!Y89,XT!AC89,XT!AG89))=10), 0), 0)), "")</f>
        <v/>
      </c>
      <c r="AM89" s="12" t="str">
        <f>IF(XT!$P89&gt;0,AL89,"")</f>
        <v/>
      </c>
      <c r="AN89" s="12" t="str">
        <f>IF(XT!$P89=0,AL89,"")</f>
        <v/>
      </c>
      <c r="AO89">
        <f>SUMPRODUCT((MONTH(CHOOSE({1,2,3,4},XT!U89,XT!Y89,XT!AC89,XT!AG89))=11)*(CHOOSE({1,2,3,4},XT!X89,XT!AB89,XT!AF89,XT!AJ89)))</f>
        <v>0</v>
      </c>
      <c r="AP89" t="str">
        <f>IFERROR(INDEX(CHOOSE({1,2,3,4}, DAY(XT!U89), DAY(XT!Y89), DAY(XT!AC89), DAY(XT!AG89)), MATCH(1, INDEX(--(MONTH(CHOOSE({1,2,3,4}, XT!U89,XT!Y89,XT!AC89,XT!AG89))=11), 0), 0)), "")</f>
        <v/>
      </c>
      <c r="AQ89" s="12" t="str">
        <f>IF(XT!$P89&gt;0,AP89,"")</f>
        <v/>
      </c>
      <c r="AR89" s="12" t="str">
        <f>IF(XT!$P89=0,AP89,"")</f>
        <v/>
      </c>
      <c r="AS89">
        <f>SUMPRODUCT((MONTH(CHOOSE({1,2,3,4},XT!U89,XT!Y89,XT!AC89,XT!AG89))=12)*(CHOOSE({1,2,3,4},XT!X89,XT!AB89,XT!AF89,XT!AJ89)))</f>
        <v>0</v>
      </c>
      <c r="AT89" t="str">
        <f>IFERROR(INDEX(CHOOSE({1,2,3,4}, DAY(XT!U89), DAY(XT!Y89), DAY(XT!AC89), DAY(XT!AG89)), MATCH(1, INDEX(--(MONTH(CHOOSE({1,2,3,4}, XT!U89,XT!Y89,XT!AC89,XT!AG89))=12), 0), 0)), "")</f>
        <v/>
      </c>
      <c r="AU89" s="12" t="str">
        <f>IF(XT!$P89&gt;0,AT89,"")</f>
        <v/>
      </c>
      <c r="AV89" s="12" t="str">
        <f>IF(XT!$P89=0,AT89,"")</f>
        <v/>
      </c>
    </row>
    <row r="90" spans="1:48">
      <c r="A90">
        <f>SUMPRODUCT((MONTH(CHOOSE({1,2,3,4},XT!U90,XT!Y90,XT!AC90,XT!AG90))=1)*(CHOOSE({1,2,3,4},XT!X90,XT!AB90,XT!AF90,XT!AJ90)))</f>
        <v>0</v>
      </c>
      <c r="B90">
        <f>IFERROR(INDEX(CHOOSE({1,2,3,4}, DAY(XT!U90), DAY(XT!Y90), DAY(XT!AC90), DAY(XT!AG90)), MATCH(1, INDEX(--(MONTH(CHOOSE({1,2,3,4}, XT!U90,XT!Y90,XT!AC90,XT!AG90))=1), 0), 0)), "")</f>
        <v>0</v>
      </c>
      <c r="C90" s="12" t="str">
        <f>IF(XT!$P90&gt;0,B90,"")</f>
        <v/>
      </c>
      <c r="D90" s="12">
        <f>IF(XT!$P90=0,B90,"")</f>
        <v>0</v>
      </c>
      <c r="E90">
        <f>SUMPRODUCT((MONTH(CHOOSE({1,2,3,4},XT!U90,XT!Y90,XT!AC90,XT!AG90))=2)*(CHOOSE({1,2,3,4},XT!X90,XT!AB90,XT!AF90,XT!AJ90)))</f>
        <v>0</v>
      </c>
      <c r="F90" t="str">
        <f>IFERROR(INDEX(CHOOSE({1,2,3,4}, DAY(XT!U90), DAY(XT!Y90), DAY(XT!AC90), DAY(XT!AG90)), MATCH(1, INDEX(--(MONTH(CHOOSE({1,2,3,4}, XT!U90,XT!Y90,XT!AC90,XT!AG90))=2), 0), 0)), "")</f>
        <v/>
      </c>
      <c r="G90" s="12" t="str">
        <f>IF(XT!$P90&gt;0,F90,"")</f>
        <v/>
      </c>
      <c r="H90" s="12" t="str">
        <f>IF(XT!$P90=0,F90,"")</f>
        <v/>
      </c>
      <c r="I90">
        <f>SUMPRODUCT((MONTH(CHOOSE({1,2,3,4},XT!U90,XT!Y90,XT!AC90,XT!AG90))=3)*(CHOOSE({1,2,3,4},XT!X90,XT!AB90,XT!AF90,XT!AJ90)))</f>
        <v>0</v>
      </c>
      <c r="J90" t="str">
        <f>IFERROR(INDEX(CHOOSE({1,2,3,4}, DAY(XT!U90), DAY(XT!Y90), DAY(XT!AC90), DAY(XT!AG90)), MATCH(1, INDEX(--(MONTH(CHOOSE({1,2,3,4}, XT!U90,XT!Y90,XT!AC90,XT!AG90))=3), 0), 0)), "")</f>
        <v/>
      </c>
      <c r="K90" s="12" t="str">
        <f>IF(XT!$P90&gt;0,J90,"")</f>
        <v/>
      </c>
      <c r="L90" s="12" t="str">
        <f>IF(XT!$P90=0,J90,"")</f>
        <v/>
      </c>
      <c r="M90">
        <f>SUMPRODUCT((MONTH(CHOOSE({1,2,3,4},XT!U90,XT!Y90,XT!AC90,XT!AG90))=4)*(CHOOSE({1,2,3,4},XT!X90,XT!AB90,XT!AF90,XT!AJ90)))</f>
        <v>0</v>
      </c>
      <c r="N90" t="str">
        <f>IFERROR(INDEX(CHOOSE({1,2,3,4}, DAY(XT!U90), DAY(XT!Y90), DAY(XT!AC90), DAY(XT!AG90)), MATCH(1, INDEX(--(MONTH(CHOOSE({1,2,3,4}, XT!U90,XT!Y90,XT!AC90,XT!AG90))=4), 0), 0)), "")</f>
        <v/>
      </c>
      <c r="O90" s="12" t="str">
        <f>IF(XT!$P90&gt;0,N90,"")</f>
        <v/>
      </c>
      <c r="P90" s="12" t="str">
        <f>IF(XT!$P90=0,N90,"")</f>
        <v/>
      </c>
      <c r="Q90">
        <f>SUMPRODUCT((MONTH(CHOOSE({1,2,3,4},XT!U90,XT!Y90,XT!AC90,XT!AG90))=5)*(CHOOSE({1,2,3,4},XT!X90,XT!AB90,XT!AF90,XT!AJ90)))</f>
        <v>0</v>
      </c>
      <c r="R90" t="str">
        <f>IFERROR(INDEX(CHOOSE({1,2,3,4}, DAY(XT!U90), DAY(XT!Y90), DAY(XT!AC90), DAY(XT!AG90)), MATCH(1, INDEX(--(MONTH(CHOOSE({1,2,3,4}, XT!U90,XT!Y90,XT!AC90,XT!AG90))=5), 0), 0)), "")</f>
        <v/>
      </c>
      <c r="S90" s="12" t="str">
        <f>IF(XT!$P90&gt;0,R90,"")</f>
        <v/>
      </c>
      <c r="T90" s="12" t="str">
        <f>IF(XT!$P90=0,R90,"")</f>
        <v/>
      </c>
      <c r="U90">
        <f>SUMPRODUCT((MONTH(CHOOSE({1,2,3,4},XT!U90,XT!Y90,XT!AC90,XT!AG90))=6)*(CHOOSE({1,2,3,4},XT!X90,XT!AB90,XT!AF90,XT!AJ90)))</f>
        <v>0</v>
      </c>
      <c r="V90" t="str">
        <f>IFERROR(INDEX(CHOOSE({1,2,3,4}, DAY(XT!U90), DAY(XT!Y90), DAY(XT!AC90), DAY(XT!AG90)), MATCH(1, INDEX(--(MONTH(CHOOSE({1,2,3,4}, XT!U90,XT!Y90,XT!AC90,XT!AG90))=6), 0), 0)), "")</f>
        <v/>
      </c>
      <c r="W90" s="12" t="str">
        <f>IF(XT!$P90&gt;0,V90,"")</f>
        <v/>
      </c>
      <c r="X90" s="12" t="str">
        <f>IF(XT!$P90=0,V90,"")</f>
        <v/>
      </c>
      <c r="Y90">
        <f>SUMPRODUCT((MONTH(CHOOSE({1,2,3,4},XT!U90,XT!Y90,XT!AC90,XT!AG90))=7)*(CHOOSE({1,2,3,4},XT!X90,XT!AB90,XT!AF90,XT!AJ90)))</f>
        <v>0</v>
      </c>
      <c r="Z90" t="str">
        <f>IFERROR(INDEX(CHOOSE({1,2,3,4}, DAY(XT!U90), DAY(XT!Y90), DAY(XT!AC90), DAY(XT!AG90)), MATCH(1, INDEX(--(MONTH(CHOOSE({1,2,3,4}, XT!U90,XT!Y90,XT!AC90,XT!AG90))=7), 0), 0)), "")</f>
        <v/>
      </c>
      <c r="AA90" s="12" t="str">
        <f>IF(XT!$P90&gt;0,Z90,"")</f>
        <v/>
      </c>
      <c r="AB90" s="12" t="str">
        <f>IF(XT!$P90=0,Z90,"")</f>
        <v/>
      </c>
      <c r="AC90">
        <f>SUMPRODUCT((MONTH(CHOOSE({1,2,3,4},XT!U90,XT!Y90,XT!AC90,XT!AG90))=8)*(CHOOSE({1,2,3,4},XT!X90,XT!AB90,XT!AF90,XT!AJ90)))</f>
        <v>0</v>
      </c>
      <c r="AD90" t="str">
        <f>IFERROR(INDEX(CHOOSE({1,2,3,4}, DAY(XT!U90), DAY(XT!Y90), DAY(XT!AC90), DAY(XT!AG90)), MATCH(1, INDEX(--(MONTH(CHOOSE({1,2,3,4}, XT!U90,XT!Y90,XT!AC90,XT!AG90))=8), 0), 0)), "")</f>
        <v/>
      </c>
      <c r="AE90" s="12" t="str">
        <f>IF(XT!$P90&gt;0,AD90,"")</f>
        <v/>
      </c>
      <c r="AF90" s="12" t="str">
        <f>IF(XT!$P90=0,AD90,"")</f>
        <v/>
      </c>
      <c r="AG90">
        <f>SUMPRODUCT((MONTH(CHOOSE({1,2,3,4},XT!U90,XT!Y90,XT!AC90,XT!AG90))=9)*(CHOOSE({1,2,3,4},XT!X90,XT!AB90,XT!AF90,XT!AJ90)))</f>
        <v>0</v>
      </c>
      <c r="AH90" t="str">
        <f>IFERROR(INDEX(CHOOSE({1,2,3,4}, DAY(XT!U90), DAY(XT!Y90), DAY(XT!AC90), DAY(XT!AG90)), MATCH(1, INDEX(--(MONTH(CHOOSE({1,2,3,4}, XT!U90,XT!Y90,XT!AC90,XT!AG90))=9), 0), 0)), "")</f>
        <v/>
      </c>
      <c r="AI90" s="12" t="str">
        <f>IF(XT!$P90&gt;0,AH90,"")</f>
        <v/>
      </c>
      <c r="AJ90" s="12" t="str">
        <f>IF(XT!$P90=0,AH90,"")</f>
        <v/>
      </c>
      <c r="AK90">
        <f>SUMPRODUCT((MONTH(CHOOSE({1,2,3,4},XT!U90,XT!Y90,XT!AC90,XT!AG90))=10)*(CHOOSE({1,2,3,4},XT!X90,XT!AB90,XT!AF90,XT!AJ90)))</f>
        <v>0</v>
      </c>
      <c r="AL90" t="str">
        <f>IFERROR(INDEX(CHOOSE({1,2,3,4}, DAY(XT!U90), DAY(XT!Y90), DAY(XT!AC90), DAY(XT!AG90)), MATCH(1, INDEX(--(MONTH(CHOOSE({1,2,3,4}, XT!U90,XT!Y90,XT!AC90,XT!AG90))=10), 0), 0)), "")</f>
        <v/>
      </c>
      <c r="AM90" s="12" t="str">
        <f>IF(XT!$P90&gt;0,AL90,"")</f>
        <v/>
      </c>
      <c r="AN90" s="12" t="str">
        <f>IF(XT!$P90=0,AL90,"")</f>
        <v/>
      </c>
      <c r="AO90">
        <f>SUMPRODUCT((MONTH(CHOOSE({1,2,3,4},XT!U90,XT!Y90,XT!AC90,XT!AG90))=11)*(CHOOSE({1,2,3,4},XT!X90,XT!AB90,XT!AF90,XT!AJ90)))</f>
        <v>0</v>
      </c>
      <c r="AP90" t="str">
        <f>IFERROR(INDEX(CHOOSE({1,2,3,4}, DAY(XT!U90), DAY(XT!Y90), DAY(XT!AC90), DAY(XT!AG90)), MATCH(1, INDEX(--(MONTH(CHOOSE({1,2,3,4}, XT!U90,XT!Y90,XT!AC90,XT!AG90))=11), 0), 0)), "")</f>
        <v/>
      </c>
      <c r="AQ90" s="12" t="str">
        <f>IF(XT!$P90&gt;0,AP90,"")</f>
        <v/>
      </c>
      <c r="AR90" s="12" t="str">
        <f>IF(XT!$P90=0,AP90,"")</f>
        <v/>
      </c>
      <c r="AS90">
        <f>SUMPRODUCT((MONTH(CHOOSE({1,2,3,4},XT!U90,XT!Y90,XT!AC90,XT!AG90))=12)*(CHOOSE({1,2,3,4},XT!X90,XT!AB90,XT!AF90,XT!AJ90)))</f>
        <v>0</v>
      </c>
      <c r="AT90" t="str">
        <f>IFERROR(INDEX(CHOOSE({1,2,3,4}, DAY(XT!U90), DAY(XT!Y90), DAY(XT!AC90), DAY(XT!AG90)), MATCH(1, INDEX(--(MONTH(CHOOSE({1,2,3,4}, XT!U90,XT!Y90,XT!AC90,XT!AG90))=12), 0), 0)), "")</f>
        <v/>
      </c>
      <c r="AU90" s="12" t="str">
        <f>IF(XT!$P90&gt;0,AT90,"")</f>
        <v/>
      </c>
      <c r="AV90" s="12" t="str">
        <f>IF(XT!$P90=0,AT90,"")</f>
        <v/>
      </c>
    </row>
    <row r="91" spans="1:48">
      <c r="A91">
        <f>SUMPRODUCT((MONTH(CHOOSE({1,2,3,4},XT!U91,XT!Y91,XT!AC91,XT!AG91))=1)*(CHOOSE({1,2,3,4},XT!X91,XT!AB91,XT!AF91,XT!AJ91)))</f>
        <v>0</v>
      </c>
      <c r="B91">
        <f>IFERROR(INDEX(CHOOSE({1,2,3,4}, DAY(XT!U91), DAY(XT!Y91), DAY(XT!AC91), DAY(XT!AG91)), MATCH(1, INDEX(--(MONTH(CHOOSE({1,2,3,4}, XT!U91,XT!Y91,XT!AC91,XT!AG91))=1), 0), 0)), "")</f>
        <v>0</v>
      </c>
      <c r="C91" s="12" t="str">
        <f>IF(XT!$P91&gt;0,B91,"")</f>
        <v/>
      </c>
      <c r="D91" s="12">
        <f>IF(XT!$P91=0,B91,"")</f>
        <v>0</v>
      </c>
      <c r="E91">
        <f>SUMPRODUCT((MONTH(CHOOSE({1,2,3,4},XT!U91,XT!Y91,XT!AC91,XT!AG91))=2)*(CHOOSE({1,2,3,4},XT!X91,XT!AB91,XT!AF91,XT!AJ91)))</f>
        <v>0</v>
      </c>
      <c r="F91" t="str">
        <f>IFERROR(INDEX(CHOOSE({1,2,3,4}, DAY(XT!U91), DAY(XT!Y91), DAY(XT!AC91), DAY(XT!AG91)), MATCH(1, INDEX(--(MONTH(CHOOSE({1,2,3,4}, XT!U91,XT!Y91,XT!AC91,XT!AG91))=2), 0), 0)), "")</f>
        <v/>
      </c>
      <c r="G91" s="12" t="str">
        <f>IF(XT!$P91&gt;0,F91,"")</f>
        <v/>
      </c>
      <c r="H91" s="12" t="str">
        <f>IF(XT!$P91=0,F91,"")</f>
        <v/>
      </c>
      <c r="I91">
        <f>SUMPRODUCT((MONTH(CHOOSE({1,2,3,4},XT!U91,XT!Y91,XT!AC91,XT!AG91))=3)*(CHOOSE({1,2,3,4},XT!X91,XT!AB91,XT!AF91,XT!AJ91)))</f>
        <v>0</v>
      </c>
      <c r="J91" t="str">
        <f>IFERROR(INDEX(CHOOSE({1,2,3,4}, DAY(XT!U91), DAY(XT!Y91), DAY(XT!AC91), DAY(XT!AG91)), MATCH(1, INDEX(--(MONTH(CHOOSE({1,2,3,4}, XT!U91,XT!Y91,XT!AC91,XT!AG91))=3), 0), 0)), "")</f>
        <v/>
      </c>
      <c r="K91" s="12" t="str">
        <f>IF(XT!$P91&gt;0,J91,"")</f>
        <v/>
      </c>
      <c r="L91" s="12" t="str">
        <f>IF(XT!$P91=0,J91,"")</f>
        <v/>
      </c>
      <c r="M91">
        <f>SUMPRODUCT((MONTH(CHOOSE({1,2,3,4},XT!U91,XT!Y91,XT!AC91,XT!AG91))=4)*(CHOOSE({1,2,3,4},XT!X91,XT!AB91,XT!AF91,XT!AJ91)))</f>
        <v>0</v>
      </c>
      <c r="N91" t="str">
        <f>IFERROR(INDEX(CHOOSE({1,2,3,4}, DAY(XT!U91), DAY(XT!Y91), DAY(XT!AC91), DAY(XT!AG91)), MATCH(1, INDEX(--(MONTH(CHOOSE({1,2,3,4}, XT!U91,XT!Y91,XT!AC91,XT!AG91))=4), 0), 0)), "")</f>
        <v/>
      </c>
      <c r="O91" s="12" t="str">
        <f>IF(XT!$P91&gt;0,N91,"")</f>
        <v/>
      </c>
      <c r="P91" s="12" t="str">
        <f>IF(XT!$P91=0,N91,"")</f>
        <v/>
      </c>
      <c r="Q91">
        <f>SUMPRODUCT((MONTH(CHOOSE({1,2,3,4},XT!U91,XT!Y91,XT!AC91,XT!AG91))=5)*(CHOOSE({1,2,3,4},XT!X91,XT!AB91,XT!AF91,XT!AJ91)))</f>
        <v>0</v>
      </c>
      <c r="R91" t="str">
        <f>IFERROR(INDEX(CHOOSE({1,2,3,4}, DAY(XT!U91), DAY(XT!Y91), DAY(XT!AC91), DAY(XT!AG91)), MATCH(1, INDEX(--(MONTH(CHOOSE({1,2,3,4}, XT!U91,XT!Y91,XT!AC91,XT!AG91))=5), 0), 0)), "")</f>
        <v/>
      </c>
      <c r="S91" s="12" t="str">
        <f>IF(XT!$P91&gt;0,R91,"")</f>
        <v/>
      </c>
      <c r="T91" s="12" t="str">
        <f>IF(XT!$P91=0,R91,"")</f>
        <v/>
      </c>
      <c r="U91">
        <f>SUMPRODUCT((MONTH(CHOOSE({1,2,3,4},XT!U91,XT!Y91,XT!AC91,XT!AG91))=6)*(CHOOSE({1,2,3,4},XT!X91,XT!AB91,XT!AF91,XT!AJ91)))</f>
        <v>0</v>
      </c>
      <c r="V91" t="str">
        <f>IFERROR(INDEX(CHOOSE({1,2,3,4}, DAY(XT!U91), DAY(XT!Y91), DAY(XT!AC91), DAY(XT!AG91)), MATCH(1, INDEX(--(MONTH(CHOOSE({1,2,3,4}, XT!U91,XT!Y91,XT!AC91,XT!AG91))=6), 0), 0)), "")</f>
        <v/>
      </c>
      <c r="W91" s="12" t="str">
        <f>IF(XT!$P91&gt;0,V91,"")</f>
        <v/>
      </c>
      <c r="X91" s="12" t="str">
        <f>IF(XT!$P91=0,V91,"")</f>
        <v/>
      </c>
      <c r="Y91">
        <f>SUMPRODUCT((MONTH(CHOOSE({1,2,3,4},XT!U91,XT!Y91,XT!AC91,XT!AG91))=7)*(CHOOSE({1,2,3,4},XT!X91,XT!AB91,XT!AF91,XT!AJ91)))</f>
        <v>0</v>
      </c>
      <c r="Z91" t="str">
        <f>IFERROR(INDEX(CHOOSE({1,2,3,4}, DAY(XT!U91), DAY(XT!Y91), DAY(XT!AC91), DAY(XT!AG91)), MATCH(1, INDEX(--(MONTH(CHOOSE({1,2,3,4}, XT!U91,XT!Y91,XT!AC91,XT!AG91))=7), 0), 0)), "")</f>
        <v/>
      </c>
      <c r="AA91" s="12" t="str">
        <f>IF(XT!$P91&gt;0,Z91,"")</f>
        <v/>
      </c>
      <c r="AB91" s="12" t="str">
        <f>IF(XT!$P91=0,Z91,"")</f>
        <v/>
      </c>
      <c r="AC91">
        <f>SUMPRODUCT((MONTH(CHOOSE({1,2,3,4},XT!U91,XT!Y91,XT!AC91,XT!AG91))=8)*(CHOOSE({1,2,3,4},XT!X91,XT!AB91,XT!AF91,XT!AJ91)))</f>
        <v>0</v>
      </c>
      <c r="AD91" t="str">
        <f>IFERROR(INDEX(CHOOSE({1,2,3,4}, DAY(XT!U91), DAY(XT!Y91), DAY(XT!AC91), DAY(XT!AG91)), MATCH(1, INDEX(--(MONTH(CHOOSE({1,2,3,4}, XT!U91,XT!Y91,XT!AC91,XT!AG91))=8), 0), 0)), "")</f>
        <v/>
      </c>
      <c r="AE91" s="12" t="str">
        <f>IF(XT!$P91&gt;0,AD91,"")</f>
        <v/>
      </c>
      <c r="AF91" s="12" t="str">
        <f>IF(XT!$P91=0,AD91,"")</f>
        <v/>
      </c>
      <c r="AG91">
        <f>SUMPRODUCT((MONTH(CHOOSE({1,2,3,4},XT!U91,XT!Y91,XT!AC91,XT!AG91))=9)*(CHOOSE({1,2,3,4},XT!X91,XT!AB91,XT!AF91,XT!AJ91)))</f>
        <v>0</v>
      </c>
      <c r="AH91" t="str">
        <f>IFERROR(INDEX(CHOOSE({1,2,3,4}, DAY(XT!U91), DAY(XT!Y91), DAY(XT!AC91), DAY(XT!AG91)), MATCH(1, INDEX(--(MONTH(CHOOSE({1,2,3,4}, XT!U91,XT!Y91,XT!AC91,XT!AG91))=9), 0), 0)), "")</f>
        <v/>
      </c>
      <c r="AI91" s="12" t="str">
        <f>IF(XT!$P91&gt;0,AH91,"")</f>
        <v/>
      </c>
      <c r="AJ91" s="12" t="str">
        <f>IF(XT!$P91=0,AH91,"")</f>
        <v/>
      </c>
      <c r="AK91">
        <f>SUMPRODUCT((MONTH(CHOOSE({1,2,3,4},XT!U91,XT!Y91,XT!AC91,XT!AG91))=10)*(CHOOSE({1,2,3,4},XT!X91,XT!AB91,XT!AF91,XT!AJ91)))</f>
        <v>0</v>
      </c>
      <c r="AL91" t="str">
        <f>IFERROR(INDEX(CHOOSE({1,2,3,4}, DAY(XT!U91), DAY(XT!Y91), DAY(XT!AC91), DAY(XT!AG91)), MATCH(1, INDEX(--(MONTH(CHOOSE({1,2,3,4}, XT!U91,XT!Y91,XT!AC91,XT!AG91))=10), 0), 0)), "")</f>
        <v/>
      </c>
      <c r="AM91" s="12" t="str">
        <f>IF(XT!$P91&gt;0,AL91,"")</f>
        <v/>
      </c>
      <c r="AN91" s="12" t="str">
        <f>IF(XT!$P91=0,AL91,"")</f>
        <v/>
      </c>
      <c r="AO91">
        <f>SUMPRODUCT((MONTH(CHOOSE({1,2,3,4},XT!U91,XT!Y91,XT!AC91,XT!AG91))=11)*(CHOOSE({1,2,3,4},XT!X91,XT!AB91,XT!AF91,XT!AJ91)))</f>
        <v>0</v>
      </c>
      <c r="AP91" t="str">
        <f>IFERROR(INDEX(CHOOSE({1,2,3,4}, DAY(XT!U91), DAY(XT!Y91), DAY(XT!AC91), DAY(XT!AG91)), MATCH(1, INDEX(--(MONTH(CHOOSE({1,2,3,4}, XT!U91,XT!Y91,XT!AC91,XT!AG91))=11), 0), 0)), "")</f>
        <v/>
      </c>
      <c r="AQ91" s="12" t="str">
        <f>IF(XT!$P91&gt;0,AP91,"")</f>
        <v/>
      </c>
      <c r="AR91" s="12" t="str">
        <f>IF(XT!$P91=0,AP91,"")</f>
        <v/>
      </c>
      <c r="AS91">
        <f>SUMPRODUCT((MONTH(CHOOSE({1,2,3,4},XT!U91,XT!Y91,XT!AC91,XT!AG91))=12)*(CHOOSE({1,2,3,4},XT!X91,XT!AB91,XT!AF91,XT!AJ91)))</f>
        <v>0</v>
      </c>
      <c r="AT91" t="str">
        <f>IFERROR(INDEX(CHOOSE({1,2,3,4}, DAY(XT!U91), DAY(XT!Y91), DAY(XT!AC91), DAY(XT!AG91)), MATCH(1, INDEX(--(MONTH(CHOOSE({1,2,3,4}, XT!U91,XT!Y91,XT!AC91,XT!AG91))=12), 0), 0)), "")</f>
        <v/>
      </c>
      <c r="AU91" s="12" t="str">
        <f>IF(XT!$P91&gt;0,AT91,"")</f>
        <v/>
      </c>
      <c r="AV91" s="12" t="str">
        <f>IF(XT!$P91=0,AT91,"")</f>
        <v/>
      </c>
    </row>
    <row r="92" spans="1:48">
      <c r="A92">
        <f>SUMPRODUCT((MONTH(CHOOSE({1,2,3,4},XT!U92,XT!Y92,XT!AC92,XT!AG92))=1)*(CHOOSE({1,2,3,4},XT!X92,XT!AB92,XT!AF92,XT!AJ92)))</f>
        <v>0</v>
      </c>
      <c r="B92">
        <f>IFERROR(INDEX(CHOOSE({1,2,3,4}, DAY(XT!U92), DAY(XT!Y92), DAY(XT!AC92), DAY(XT!AG92)), MATCH(1, INDEX(--(MONTH(CHOOSE({1,2,3,4}, XT!U92,XT!Y92,XT!AC92,XT!AG92))=1), 0), 0)), "")</f>
        <v>0</v>
      </c>
      <c r="C92" s="12" t="str">
        <f>IF(XT!$P92&gt;0,B92,"")</f>
        <v/>
      </c>
      <c r="D92" s="12">
        <f>IF(XT!$P92=0,B92,"")</f>
        <v>0</v>
      </c>
      <c r="E92">
        <f>SUMPRODUCT((MONTH(CHOOSE({1,2,3,4},XT!U92,XT!Y92,XT!AC92,XT!AG92))=2)*(CHOOSE({1,2,3,4},XT!X92,XT!AB92,XT!AF92,XT!AJ92)))</f>
        <v>0</v>
      </c>
      <c r="F92" t="str">
        <f>IFERROR(INDEX(CHOOSE({1,2,3,4}, DAY(XT!U92), DAY(XT!Y92), DAY(XT!AC92), DAY(XT!AG92)), MATCH(1, INDEX(--(MONTH(CHOOSE({1,2,3,4}, XT!U92,XT!Y92,XT!AC92,XT!AG92))=2), 0), 0)), "")</f>
        <v/>
      </c>
      <c r="G92" s="12" t="str">
        <f>IF(XT!$P92&gt;0,F92,"")</f>
        <v/>
      </c>
      <c r="H92" s="12" t="str">
        <f>IF(XT!$P92=0,F92,"")</f>
        <v/>
      </c>
      <c r="I92">
        <f>SUMPRODUCT((MONTH(CHOOSE({1,2,3,4},XT!U92,XT!Y92,XT!AC92,XT!AG92))=3)*(CHOOSE({1,2,3,4},XT!X92,XT!AB92,XT!AF92,XT!AJ92)))</f>
        <v>0</v>
      </c>
      <c r="J92" t="str">
        <f>IFERROR(INDEX(CHOOSE({1,2,3,4}, DAY(XT!U92), DAY(XT!Y92), DAY(XT!AC92), DAY(XT!AG92)), MATCH(1, INDEX(--(MONTH(CHOOSE({1,2,3,4}, XT!U92,XT!Y92,XT!AC92,XT!AG92))=3), 0), 0)), "")</f>
        <v/>
      </c>
      <c r="K92" s="12" t="str">
        <f>IF(XT!$P92&gt;0,J92,"")</f>
        <v/>
      </c>
      <c r="L92" s="12" t="str">
        <f>IF(XT!$P92=0,J92,"")</f>
        <v/>
      </c>
      <c r="M92">
        <f>SUMPRODUCT((MONTH(CHOOSE({1,2,3,4},XT!U92,XT!Y92,XT!AC92,XT!AG92))=4)*(CHOOSE({1,2,3,4},XT!X92,XT!AB92,XT!AF92,XT!AJ92)))</f>
        <v>0</v>
      </c>
      <c r="N92" t="str">
        <f>IFERROR(INDEX(CHOOSE({1,2,3,4}, DAY(XT!U92), DAY(XT!Y92), DAY(XT!AC92), DAY(XT!AG92)), MATCH(1, INDEX(--(MONTH(CHOOSE({1,2,3,4}, XT!U92,XT!Y92,XT!AC92,XT!AG92))=4), 0), 0)), "")</f>
        <v/>
      </c>
      <c r="O92" s="12" t="str">
        <f>IF(XT!$P92&gt;0,N92,"")</f>
        <v/>
      </c>
      <c r="P92" s="12" t="str">
        <f>IF(XT!$P92=0,N92,"")</f>
        <v/>
      </c>
      <c r="Q92">
        <f>SUMPRODUCT((MONTH(CHOOSE({1,2,3,4},XT!U92,XT!Y92,XT!AC92,XT!AG92))=5)*(CHOOSE({1,2,3,4},XT!X92,XT!AB92,XT!AF92,XT!AJ92)))</f>
        <v>0</v>
      </c>
      <c r="R92" t="str">
        <f>IFERROR(INDEX(CHOOSE({1,2,3,4}, DAY(XT!U92), DAY(XT!Y92), DAY(XT!AC92), DAY(XT!AG92)), MATCH(1, INDEX(--(MONTH(CHOOSE({1,2,3,4}, XT!U92,XT!Y92,XT!AC92,XT!AG92))=5), 0), 0)), "")</f>
        <v/>
      </c>
      <c r="S92" s="12" t="str">
        <f>IF(XT!$P92&gt;0,R92,"")</f>
        <v/>
      </c>
      <c r="T92" s="12" t="str">
        <f>IF(XT!$P92=0,R92,"")</f>
        <v/>
      </c>
      <c r="U92">
        <f>SUMPRODUCT((MONTH(CHOOSE({1,2,3,4},XT!U92,XT!Y92,XT!AC92,XT!AG92))=6)*(CHOOSE({1,2,3,4},XT!X92,XT!AB92,XT!AF92,XT!AJ92)))</f>
        <v>0</v>
      </c>
      <c r="V92" t="str">
        <f>IFERROR(INDEX(CHOOSE({1,2,3,4}, DAY(XT!U92), DAY(XT!Y92), DAY(XT!AC92), DAY(XT!AG92)), MATCH(1, INDEX(--(MONTH(CHOOSE({1,2,3,4}, XT!U92,XT!Y92,XT!AC92,XT!AG92))=6), 0), 0)), "")</f>
        <v/>
      </c>
      <c r="W92" s="12" t="str">
        <f>IF(XT!$P92&gt;0,V92,"")</f>
        <v/>
      </c>
      <c r="X92" s="12" t="str">
        <f>IF(XT!$P92=0,V92,"")</f>
        <v/>
      </c>
      <c r="Y92">
        <f>SUMPRODUCT((MONTH(CHOOSE({1,2,3,4},XT!U92,XT!Y92,XT!AC92,XT!AG92))=7)*(CHOOSE({1,2,3,4},XT!X92,XT!AB92,XT!AF92,XT!AJ92)))</f>
        <v>0</v>
      </c>
      <c r="Z92" t="str">
        <f>IFERROR(INDEX(CHOOSE({1,2,3,4}, DAY(XT!U92), DAY(XT!Y92), DAY(XT!AC92), DAY(XT!AG92)), MATCH(1, INDEX(--(MONTH(CHOOSE({1,2,3,4}, XT!U92,XT!Y92,XT!AC92,XT!AG92))=7), 0), 0)), "")</f>
        <v/>
      </c>
      <c r="AA92" s="12" t="str">
        <f>IF(XT!$P92&gt;0,Z92,"")</f>
        <v/>
      </c>
      <c r="AB92" s="12" t="str">
        <f>IF(XT!$P92=0,Z92,"")</f>
        <v/>
      </c>
      <c r="AC92">
        <f>SUMPRODUCT((MONTH(CHOOSE({1,2,3,4},XT!U92,XT!Y92,XT!AC92,XT!AG92))=8)*(CHOOSE({1,2,3,4},XT!X92,XT!AB92,XT!AF92,XT!AJ92)))</f>
        <v>0</v>
      </c>
      <c r="AD92" t="str">
        <f>IFERROR(INDEX(CHOOSE({1,2,3,4}, DAY(XT!U92), DAY(XT!Y92), DAY(XT!AC92), DAY(XT!AG92)), MATCH(1, INDEX(--(MONTH(CHOOSE({1,2,3,4}, XT!U92,XT!Y92,XT!AC92,XT!AG92))=8), 0), 0)), "")</f>
        <v/>
      </c>
      <c r="AE92" s="12" t="str">
        <f>IF(XT!$P92&gt;0,AD92,"")</f>
        <v/>
      </c>
      <c r="AF92" s="12" t="str">
        <f>IF(XT!$P92=0,AD92,"")</f>
        <v/>
      </c>
      <c r="AG92">
        <f>SUMPRODUCT((MONTH(CHOOSE({1,2,3,4},XT!U92,XT!Y92,XT!AC92,XT!AG92))=9)*(CHOOSE({1,2,3,4},XT!X92,XT!AB92,XT!AF92,XT!AJ92)))</f>
        <v>0</v>
      </c>
      <c r="AH92" t="str">
        <f>IFERROR(INDEX(CHOOSE({1,2,3,4}, DAY(XT!U92), DAY(XT!Y92), DAY(XT!AC92), DAY(XT!AG92)), MATCH(1, INDEX(--(MONTH(CHOOSE({1,2,3,4}, XT!U92,XT!Y92,XT!AC92,XT!AG92))=9), 0), 0)), "")</f>
        <v/>
      </c>
      <c r="AI92" s="12" t="str">
        <f>IF(XT!$P92&gt;0,AH92,"")</f>
        <v/>
      </c>
      <c r="AJ92" s="12" t="str">
        <f>IF(XT!$P92=0,AH92,"")</f>
        <v/>
      </c>
      <c r="AK92">
        <f>SUMPRODUCT((MONTH(CHOOSE({1,2,3,4},XT!U92,XT!Y92,XT!AC92,XT!AG92))=10)*(CHOOSE({1,2,3,4},XT!X92,XT!AB92,XT!AF92,XT!AJ92)))</f>
        <v>0</v>
      </c>
      <c r="AL92" t="str">
        <f>IFERROR(INDEX(CHOOSE({1,2,3,4}, DAY(XT!U92), DAY(XT!Y92), DAY(XT!AC92), DAY(XT!AG92)), MATCH(1, INDEX(--(MONTH(CHOOSE({1,2,3,4}, XT!U92,XT!Y92,XT!AC92,XT!AG92))=10), 0), 0)), "")</f>
        <v/>
      </c>
      <c r="AM92" s="12" t="str">
        <f>IF(XT!$P92&gt;0,AL92,"")</f>
        <v/>
      </c>
      <c r="AN92" s="12" t="str">
        <f>IF(XT!$P92=0,AL92,"")</f>
        <v/>
      </c>
      <c r="AO92">
        <f>SUMPRODUCT((MONTH(CHOOSE({1,2,3,4},XT!U92,XT!Y92,XT!AC92,XT!AG92))=11)*(CHOOSE({1,2,3,4},XT!X92,XT!AB92,XT!AF92,XT!AJ92)))</f>
        <v>0</v>
      </c>
      <c r="AP92" t="str">
        <f>IFERROR(INDEX(CHOOSE({1,2,3,4}, DAY(XT!U92), DAY(XT!Y92), DAY(XT!AC92), DAY(XT!AG92)), MATCH(1, INDEX(--(MONTH(CHOOSE({1,2,3,4}, XT!U92,XT!Y92,XT!AC92,XT!AG92))=11), 0), 0)), "")</f>
        <v/>
      </c>
      <c r="AQ92" s="12" t="str">
        <f>IF(XT!$P92&gt;0,AP92,"")</f>
        <v/>
      </c>
      <c r="AR92" s="12" t="str">
        <f>IF(XT!$P92=0,AP92,"")</f>
        <v/>
      </c>
      <c r="AS92">
        <f>SUMPRODUCT((MONTH(CHOOSE({1,2,3,4},XT!U92,XT!Y92,XT!AC92,XT!AG92))=12)*(CHOOSE({1,2,3,4},XT!X92,XT!AB92,XT!AF92,XT!AJ92)))</f>
        <v>0</v>
      </c>
      <c r="AT92" t="str">
        <f>IFERROR(INDEX(CHOOSE({1,2,3,4}, DAY(XT!U92), DAY(XT!Y92), DAY(XT!AC92), DAY(XT!AG92)), MATCH(1, INDEX(--(MONTH(CHOOSE({1,2,3,4}, XT!U92,XT!Y92,XT!AC92,XT!AG92))=12), 0), 0)), "")</f>
        <v/>
      </c>
      <c r="AU92" s="12" t="str">
        <f>IF(XT!$P92&gt;0,AT92,"")</f>
        <v/>
      </c>
      <c r="AV92" s="12" t="str">
        <f>IF(XT!$P92=0,AT92,"")</f>
        <v/>
      </c>
    </row>
    <row r="93" spans="1:48">
      <c r="A93">
        <f>SUMPRODUCT((MONTH(CHOOSE({1,2,3,4},XT!U93,XT!Y93,XT!AC93,XT!AG93))=1)*(CHOOSE({1,2,3,4},XT!X93,XT!AB93,XT!AF93,XT!AJ93)))</f>
        <v>0</v>
      </c>
      <c r="B93">
        <f>IFERROR(INDEX(CHOOSE({1,2,3,4}, DAY(XT!U93), DAY(XT!Y93), DAY(XT!AC93), DAY(XT!AG93)), MATCH(1, INDEX(--(MONTH(CHOOSE({1,2,3,4}, XT!U93,XT!Y93,XT!AC93,XT!AG93))=1), 0), 0)), "")</f>
        <v>0</v>
      </c>
      <c r="C93" s="12" t="str">
        <f>IF(XT!$P93&gt;0,B93,"")</f>
        <v/>
      </c>
      <c r="D93" s="12">
        <f>IF(XT!$P93=0,B93,"")</f>
        <v>0</v>
      </c>
      <c r="E93">
        <f>SUMPRODUCT((MONTH(CHOOSE({1,2,3,4},XT!U93,XT!Y93,XT!AC93,XT!AG93))=2)*(CHOOSE({1,2,3,4},XT!X93,XT!AB93,XT!AF93,XT!AJ93)))</f>
        <v>0</v>
      </c>
      <c r="F93" t="str">
        <f>IFERROR(INDEX(CHOOSE({1,2,3,4}, DAY(XT!U93), DAY(XT!Y93), DAY(XT!AC93), DAY(XT!AG93)), MATCH(1, INDEX(--(MONTH(CHOOSE({1,2,3,4}, XT!U93,XT!Y93,XT!AC93,XT!AG93))=2), 0), 0)), "")</f>
        <v/>
      </c>
      <c r="G93" s="12" t="str">
        <f>IF(XT!$P93&gt;0,F93,"")</f>
        <v/>
      </c>
      <c r="H93" s="12" t="str">
        <f>IF(XT!$P93=0,F93,"")</f>
        <v/>
      </c>
      <c r="I93">
        <f>SUMPRODUCT((MONTH(CHOOSE({1,2,3,4},XT!U93,XT!Y93,XT!AC93,XT!AG93))=3)*(CHOOSE({1,2,3,4},XT!X93,XT!AB93,XT!AF93,XT!AJ93)))</f>
        <v>0</v>
      </c>
      <c r="J93" t="str">
        <f>IFERROR(INDEX(CHOOSE({1,2,3,4}, DAY(XT!U93), DAY(XT!Y93), DAY(XT!AC93), DAY(XT!AG93)), MATCH(1, INDEX(--(MONTH(CHOOSE({1,2,3,4}, XT!U93,XT!Y93,XT!AC93,XT!AG93))=3), 0), 0)), "")</f>
        <v/>
      </c>
      <c r="K93" s="12" t="str">
        <f>IF(XT!$P93&gt;0,J93,"")</f>
        <v/>
      </c>
      <c r="L93" s="12" t="str">
        <f>IF(XT!$P93=0,J93,"")</f>
        <v/>
      </c>
      <c r="M93">
        <f>SUMPRODUCT((MONTH(CHOOSE({1,2,3,4},XT!U93,XT!Y93,XT!AC93,XT!AG93))=4)*(CHOOSE({1,2,3,4},XT!X93,XT!AB93,XT!AF93,XT!AJ93)))</f>
        <v>0</v>
      </c>
      <c r="N93" t="str">
        <f>IFERROR(INDEX(CHOOSE({1,2,3,4}, DAY(XT!U93), DAY(XT!Y93), DAY(XT!AC93), DAY(XT!AG93)), MATCH(1, INDEX(--(MONTH(CHOOSE({1,2,3,4}, XT!U93,XT!Y93,XT!AC93,XT!AG93))=4), 0), 0)), "")</f>
        <v/>
      </c>
      <c r="O93" s="12" t="str">
        <f>IF(XT!$P93&gt;0,N93,"")</f>
        <v/>
      </c>
      <c r="P93" s="12" t="str">
        <f>IF(XT!$P93=0,N93,"")</f>
        <v/>
      </c>
      <c r="Q93">
        <f>SUMPRODUCT((MONTH(CHOOSE({1,2,3,4},XT!U93,XT!Y93,XT!AC93,XT!AG93))=5)*(CHOOSE({1,2,3,4},XT!X93,XT!AB93,XT!AF93,XT!AJ93)))</f>
        <v>0</v>
      </c>
      <c r="R93" t="str">
        <f>IFERROR(INDEX(CHOOSE({1,2,3,4}, DAY(XT!U93), DAY(XT!Y93), DAY(XT!AC93), DAY(XT!AG93)), MATCH(1, INDEX(--(MONTH(CHOOSE({1,2,3,4}, XT!U93,XT!Y93,XT!AC93,XT!AG93))=5), 0), 0)), "")</f>
        <v/>
      </c>
      <c r="S93" s="12" t="str">
        <f>IF(XT!$P93&gt;0,R93,"")</f>
        <v/>
      </c>
      <c r="T93" s="12" t="str">
        <f>IF(XT!$P93=0,R93,"")</f>
        <v/>
      </c>
      <c r="U93">
        <f>SUMPRODUCT((MONTH(CHOOSE({1,2,3,4},XT!U93,XT!Y93,XT!AC93,XT!AG93))=6)*(CHOOSE({1,2,3,4},XT!X93,XT!AB93,XT!AF93,XT!AJ93)))</f>
        <v>0</v>
      </c>
      <c r="V93" t="str">
        <f>IFERROR(INDEX(CHOOSE({1,2,3,4}, DAY(XT!U93), DAY(XT!Y93), DAY(XT!AC93), DAY(XT!AG93)), MATCH(1, INDEX(--(MONTH(CHOOSE({1,2,3,4}, XT!U93,XT!Y93,XT!AC93,XT!AG93))=6), 0), 0)), "")</f>
        <v/>
      </c>
      <c r="W93" s="12" t="str">
        <f>IF(XT!$P93&gt;0,V93,"")</f>
        <v/>
      </c>
      <c r="X93" s="12" t="str">
        <f>IF(XT!$P93=0,V93,"")</f>
        <v/>
      </c>
      <c r="Y93">
        <f>SUMPRODUCT((MONTH(CHOOSE({1,2,3,4},XT!U93,XT!Y93,XT!AC93,XT!AG93))=7)*(CHOOSE({1,2,3,4},XT!X93,XT!AB93,XT!AF93,XT!AJ93)))</f>
        <v>0</v>
      </c>
      <c r="Z93" t="str">
        <f>IFERROR(INDEX(CHOOSE({1,2,3,4}, DAY(XT!U93), DAY(XT!Y93), DAY(XT!AC93), DAY(XT!AG93)), MATCH(1, INDEX(--(MONTH(CHOOSE({1,2,3,4}, XT!U93,XT!Y93,XT!AC93,XT!AG93))=7), 0), 0)), "")</f>
        <v/>
      </c>
      <c r="AA93" s="12" t="str">
        <f>IF(XT!$P93&gt;0,Z93,"")</f>
        <v/>
      </c>
      <c r="AB93" s="12" t="str">
        <f>IF(XT!$P93=0,Z93,"")</f>
        <v/>
      </c>
      <c r="AC93">
        <f>SUMPRODUCT((MONTH(CHOOSE({1,2,3,4},XT!U93,XT!Y93,XT!AC93,XT!AG93))=8)*(CHOOSE({1,2,3,4},XT!X93,XT!AB93,XT!AF93,XT!AJ93)))</f>
        <v>0</v>
      </c>
      <c r="AD93" t="str">
        <f>IFERROR(INDEX(CHOOSE({1,2,3,4}, DAY(XT!U93), DAY(XT!Y93), DAY(XT!AC93), DAY(XT!AG93)), MATCH(1, INDEX(--(MONTH(CHOOSE({1,2,3,4}, XT!U93,XT!Y93,XT!AC93,XT!AG93))=8), 0), 0)), "")</f>
        <v/>
      </c>
      <c r="AE93" s="12" t="str">
        <f>IF(XT!$P93&gt;0,AD93,"")</f>
        <v/>
      </c>
      <c r="AF93" s="12" t="str">
        <f>IF(XT!$P93=0,AD93,"")</f>
        <v/>
      </c>
      <c r="AG93">
        <f>SUMPRODUCT((MONTH(CHOOSE({1,2,3,4},XT!U93,XT!Y93,XT!AC93,XT!AG93))=9)*(CHOOSE({1,2,3,4},XT!X93,XT!AB93,XT!AF93,XT!AJ93)))</f>
        <v>0</v>
      </c>
      <c r="AH93" t="str">
        <f>IFERROR(INDEX(CHOOSE({1,2,3,4}, DAY(XT!U93), DAY(XT!Y93), DAY(XT!AC93), DAY(XT!AG93)), MATCH(1, INDEX(--(MONTH(CHOOSE({1,2,3,4}, XT!U93,XT!Y93,XT!AC93,XT!AG93))=9), 0), 0)), "")</f>
        <v/>
      </c>
      <c r="AI93" s="12" t="str">
        <f>IF(XT!$P93&gt;0,AH93,"")</f>
        <v/>
      </c>
      <c r="AJ93" s="12" t="str">
        <f>IF(XT!$P93=0,AH93,"")</f>
        <v/>
      </c>
      <c r="AK93">
        <f>SUMPRODUCT((MONTH(CHOOSE({1,2,3,4},XT!U93,XT!Y93,XT!AC93,XT!AG93))=10)*(CHOOSE({1,2,3,4},XT!X93,XT!AB93,XT!AF93,XT!AJ93)))</f>
        <v>0</v>
      </c>
      <c r="AL93" t="str">
        <f>IFERROR(INDEX(CHOOSE({1,2,3,4}, DAY(XT!U93), DAY(XT!Y93), DAY(XT!AC93), DAY(XT!AG93)), MATCH(1, INDEX(--(MONTH(CHOOSE({1,2,3,4}, XT!U93,XT!Y93,XT!AC93,XT!AG93))=10), 0), 0)), "")</f>
        <v/>
      </c>
      <c r="AM93" s="12" t="str">
        <f>IF(XT!$P93&gt;0,AL93,"")</f>
        <v/>
      </c>
      <c r="AN93" s="12" t="str">
        <f>IF(XT!$P93=0,AL93,"")</f>
        <v/>
      </c>
      <c r="AO93">
        <f>SUMPRODUCT((MONTH(CHOOSE({1,2,3,4},XT!U93,XT!Y93,XT!AC93,XT!AG93))=11)*(CHOOSE({1,2,3,4},XT!X93,XT!AB93,XT!AF93,XT!AJ93)))</f>
        <v>0</v>
      </c>
      <c r="AP93" t="str">
        <f>IFERROR(INDEX(CHOOSE({1,2,3,4}, DAY(XT!U93), DAY(XT!Y93), DAY(XT!AC93), DAY(XT!AG93)), MATCH(1, INDEX(--(MONTH(CHOOSE({1,2,3,4}, XT!U93,XT!Y93,XT!AC93,XT!AG93))=11), 0), 0)), "")</f>
        <v/>
      </c>
      <c r="AQ93" s="12" t="str">
        <f>IF(XT!$P93&gt;0,AP93,"")</f>
        <v/>
      </c>
      <c r="AR93" s="12" t="str">
        <f>IF(XT!$P93=0,AP93,"")</f>
        <v/>
      </c>
      <c r="AS93">
        <f>SUMPRODUCT((MONTH(CHOOSE({1,2,3,4},XT!U93,XT!Y93,XT!AC93,XT!AG93))=12)*(CHOOSE({1,2,3,4},XT!X93,XT!AB93,XT!AF93,XT!AJ93)))</f>
        <v>0</v>
      </c>
      <c r="AT93" t="str">
        <f>IFERROR(INDEX(CHOOSE({1,2,3,4}, DAY(XT!U93), DAY(XT!Y93), DAY(XT!AC93), DAY(XT!AG93)), MATCH(1, INDEX(--(MONTH(CHOOSE({1,2,3,4}, XT!U93,XT!Y93,XT!AC93,XT!AG93))=12), 0), 0)), "")</f>
        <v/>
      </c>
      <c r="AU93" s="12" t="str">
        <f>IF(XT!$P93&gt;0,AT93,"")</f>
        <v/>
      </c>
      <c r="AV93" s="12" t="str">
        <f>IF(XT!$P93=0,AT93,"")</f>
        <v/>
      </c>
    </row>
    <row r="94" spans="1:48">
      <c r="A94">
        <f>SUMPRODUCT((MONTH(CHOOSE({1,2,3,4},XT!U94,XT!Y94,XT!AC94,XT!AG94))=1)*(CHOOSE({1,2,3,4},XT!X94,XT!AB94,XT!AF94,XT!AJ94)))</f>
        <v>0</v>
      </c>
      <c r="B94">
        <f>IFERROR(INDEX(CHOOSE({1,2,3,4}, DAY(XT!U94), DAY(XT!Y94), DAY(XT!AC94), DAY(XT!AG94)), MATCH(1, INDEX(--(MONTH(CHOOSE({1,2,3,4}, XT!U94,XT!Y94,XT!AC94,XT!AG94))=1), 0), 0)), "")</f>
        <v>0</v>
      </c>
      <c r="C94" s="12" t="str">
        <f>IF(XT!$P94&gt;0,B94,"")</f>
        <v/>
      </c>
      <c r="D94" s="12">
        <f>IF(XT!$P94=0,B94,"")</f>
        <v>0</v>
      </c>
      <c r="E94">
        <f>SUMPRODUCT((MONTH(CHOOSE({1,2,3,4},XT!U94,XT!Y94,XT!AC94,XT!AG94))=2)*(CHOOSE({1,2,3,4},XT!X94,XT!AB94,XT!AF94,XT!AJ94)))</f>
        <v>0</v>
      </c>
      <c r="F94" t="str">
        <f>IFERROR(INDEX(CHOOSE({1,2,3,4}, DAY(XT!U94), DAY(XT!Y94), DAY(XT!AC94), DAY(XT!AG94)), MATCH(1, INDEX(--(MONTH(CHOOSE({1,2,3,4}, XT!U94,XT!Y94,XT!AC94,XT!AG94))=2), 0), 0)), "")</f>
        <v/>
      </c>
      <c r="G94" s="12" t="str">
        <f>IF(XT!$P94&gt;0,F94,"")</f>
        <v/>
      </c>
      <c r="H94" s="12" t="str">
        <f>IF(XT!$P94=0,F94,"")</f>
        <v/>
      </c>
      <c r="I94">
        <f>SUMPRODUCT((MONTH(CHOOSE({1,2,3,4},XT!U94,XT!Y94,XT!AC94,XT!AG94))=3)*(CHOOSE({1,2,3,4},XT!X94,XT!AB94,XT!AF94,XT!AJ94)))</f>
        <v>0</v>
      </c>
      <c r="J94" t="str">
        <f>IFERROR(INDEX(CHOOSE({1,2,3,4}, DAY(XT!U94), DAY(XT!Y94), DAY(XT!AC94), DAY(XT!AG94)), MATCH(1, INDEX(--(MONTH(CHOOSE({1,2,3,4}, XT!U94,XT!Y94,XT!AC94,XT!AG94))=3), 0), 0)), "")</f>
        <v/>
      </c>
      <c r="K94" s="12" t="str">
        <f>IF(XT!$P94&gt;0,J94,"")</f>
        <v/>
      </c>
      <c r="L94" s="12" t="str">
        <f>IF(XT!$P94=0,J94,"")</f>
        <v/>
      </c>
      <c r="M94">
        <f>SUMPRODUCT((MONTH(CHOOSE({1,2,3,4},XT!U94,XT!Y94,XT!AC94,XT!AG94))=4)*(CHOOSE({1,2,3,4},XT!X94,XT!AB94,XT!AF94,XT!AJ94)))</f>
        <v>0</v>
      </c>
      <c r="N94" t="str">
        <f>IFERROR(INDEX(CHOOSE({1,2,3,4}, DAY(XT!U94), DAY(XT!Y94), DAY(XT!AC94), DAY(XT!AG94)), MATCH(1, INDEX(--(MONTH(CHOOSE({1,2,3,4}, XT!U94,XT!Y94,XT!AC94,XT!AG94))=4), 0), 0)), "")</f>
        <v/>
      </c>
      <c r="O94" s="12" t="str">
        <f>IF(XT!$P94&gt;0,N94,"")</f>
        <v/>
      </c>
      <c r="P94" s="12" t="str">
        <f>IF(XT!$P94=0,N94,"")</f>
        <v/>
      </c>
      <c r="Q94">
        <f>SUMPRODUCT((MONTH(CHOOSE({1,2,3,4},XT!U94,XT!Y94,XT!AC94,XT!AG94))=5)*(CHOOSE({1,2,3,4},XT!X94,XT!AB94,XT!AF94,XT!AJ94)))</f>
        <v>0</v>
      </c>
      <c r="R94" t="str">
        <f>IFERROR(INDEX(CHOOSE({1,2,3,4}, DAY(XT!U94), DAY(XT!Y94), DAY(XT!AC94), DAY(XT!AG94)), MATCH(1, INDEX(--(MONTH(CHOOSE({1,2,3,4}, XT!U94,XT!Y94,XT!AC94,XT!AG94))=5), 0), 0)), "")</f>
        <v/>
      </c>
      <c r="S94" s="12" t="str">
        <f>IF(XT!$P94&gt;0,R94,"")</f>
        <v/>
      </c>
      <c r="T94" s="12" t="str">
        <f>IF(XT!$P94=0,R94,"")</f>
        <v/>
      </c>
      <c r="U94">
        <f>SUMPRODUCT((MONTH(CHOOSE({1,2,3,4},XT!U94,XT!Y94,XT!AC94,XT!AG94))=6)*(CHOOSE({1,2,3,4},XT!X94,XT!AB94,XT!AF94,XT!AJ94)))</f>
        <v>0</v>
      </c>
      <c r="V94" t="str">
        <f>IFERROR(INDEX(CHOOSE({1,2,3,4}, DAY(XT!U94), DAY(XT!Y94), DAY(XT!AC94), DAY(XT!AG94)), MATCH(1, INDEX(--(MONTH(CHOOSE({1,2,3,4}, XT!U94,XT!Y94,XT!AC94,XT!AG94))=6), 0), 0)), "")</f>
        <v/>
      </c>
      <c r="W94" s="12" t="str">
        <f>IF(XT!$P94&gt;0,V94,"")</f>
        <v/>
      </c>
      <c r="X94" s="12" t="str">
        <f>IF(XT!$P94=0,V94,"")</f>
        <v/>
      </c>
      <c r="Y94">
        <f>SUMPRODUCT((MONTH(CHOOSE({1,2,3,4},XT!U94,XT!Y94,XT!AC94,XT!AG94))=7)*(CHOOSE({1,2,3,4},XT!X94,XT!AB94,XT!AF94,XT!AJ94)))</f>
        <v>0</v>
      </c>
      <c r="Z94" t="str">
        <f>IFERROR(INDEX(CHOOSE({1,2,3,4}, DAY(XT!U94), DAY(XT!Y94), DAY(XT!AC94), DAY(XT!AG94)), MATCH(1, INDEX(--(MONTH(CHOOSE({1,2,3,4}, XT!U94,XT!Y94,XT!AC94,XT!AG94))=7), 0), 0)), "")</f>
        <v/>
      </c>
      <c r="AA94" s="12" t="str">
        <f>IF(XT!$P94&gt;0,Z94,"")</f>
        <v/>
      </c>
      <c r="AB94" s="12" t="str">
        <f>IF(XT!$P94=0,Z94,"")</f>
        <v/>
      </c>
      <c r="AC94">
        <f>SUMPRODUCT((MONTH(CHOOSE({1,2,3,4},XT!U94,XT!Y94,XT!AC94,XT!AG94))=8)*(CHOOSE({1,2,3,4},XT!X94,XT!AB94,XT!AF94,XT!AJ94)))</f>
        <v>0</v>
      </c>
      <c r="AD94" t="str">
        <f>IFERROR(INDEX(CHOOSE({1,2,3,4}, DAY(XT!U94), DAY(XT!Y94), DAY(XT!AC94), DAY(XT!AG94)), MATCH(1, INDEX(--(MONTH(CHOOSE({1,2,3,4}, XT!U94,XT!Y94,XT!AC94,XT!AG94))=8), 0), 0)), "")</f>
        <v/>
      </c>
      <c r="AE94" s="12" t="str">
        <f>IF(XT!$P94&gt;0,AD94,"")</f>
        <v/>
      </c>
      <c r="AF94" s="12" t="str">
        <f>IF(XT!$P94=0,AD94,"")</f>
        <v/>
      </c>
      <c r="AG94">
        <f>SUMPRODUCT((MONTH(CHOOSE({1,2,3,4},XT!U94,XT!Y94,XT!AC94,XT!AG94))=9)*(CHOOSE({1,2,3,4},XT!X94,XT!AB94,XT!AF94,XT!AJ94)))</f>
        <v>0</v>
      </c>
      <c r="AH94" t="str">
        <f>IFERROR(INDEX(CHOOSE({1,2,3,4}, DAY(XT!U94), DAY(XT!Y94), DAY(XT!AC94), DAY(XT!AG94)), MATCH(1, INDEX(--(MONTH(CHOOSE({1,2,3,4}, XT!U94,XT!Y94,XT!AC94,XT!AG94))=9), 0), 0)), "")</f>
        <v/>
      </c>
      <c r="AI94" s="12" t="str">
        <f>IF(XT!$P94&gt;0,AH94,"")</f>
        <v/>
      </c>
      <c r="AJ94" s="12" t="str">
        <f>IF(XT!$P94=0,AH94,"")</f>
        <v/>
      </c>
      <c r="AK94">
        <f>SUMPRODUCT((MONTH(CHOOSE({1,2,3,4},XT!U94,XT!Y94,XT!AC94,XT!AG94))=10)*(CHOOSE({1,2,3,4},XT!X94,XT!AB94,XT!AF94,XT!AJ94)))</f>
        <v>0</v>
      </c>
      <c r="AL94" t="str">
        <f>IFERROR(INDEX(CHOOSE({1,2,3,4}, DAY(XT!U94), DAY(XT!Y94), DAY(XT!AC94), DAY(XT!AG94)), MATCH(1, INDEX(--(MONTH(CHOOSE({1,2,3,4}, XT!U94,XT!Y94,XT!AC94,XT!AG94))=10), 0), 0)), "")</f>
        <v/>
      </c>
      <c r="AM94" s="12" t="str">
        <f>IF(XT!$P94&gt;0,AL94,"")</f>
        <v/>
      </c>
      <c r="AN94" s="12" t="str">
        <f>IF(XT!$P94=0,AL94,"")</f>
        <v/>
      </c>
      <c r="AO94">
        <f>SUMPRODUCT((MONTH(CHOOSE({1,2,3,4},XT!U94,XT!Y94,XT!AC94,XT!AG94))=11)*(CHOOSE({1,2,3,4},XT!X94,XT!AB94,XT!AF94,XT!AJ94)))</f>
        <v>0</v>
      </c>
      <c r="AP94" t="str">
        <f>IFERROR(INDEX(CHOOSE({1,2,3,4}, DAY(XT!U94), DAY(XT!Y94), DAY(XT!AC94), DAY(XT!AG94)), MATCH(1, INDEX(--(MONTH(CHOOSE({1,2,3,4}, XT!U94,XT!Y94,XT!AC94,XT!AG94))=11), 0), 0)), "")</f>
        <v/>
      </c>
      <c r="AQ94" s="12" t="str">
        <f>IF(XT!$P94&gt;0,AP94,"")</f>
        <v/>
      </c>
      <c r="AR94" s="12" t="str">
        <f>IF(XT!$P94=0,AP94,"")</f>
        <v/>
      </c>
      <c r="AS94">
        <f>SUMPRODUCT((MONTH(CHOOSE({1,2,3,4},XT!U94,XT!Y94,XT!AC94,XT!AG94))=12)*(CHOOSE({1,2,3,4},XT!X94,XT!AB94,XT!AF94,XT!AJ94)))</f>
        <v>0</v>
      </c>
      <c r="AT94" t="str">
        <f>IFERROR(INDEX(CHOOSE({1,2,3,4}, DAY(XT!U94), DAY(XT!Y94), DAY(XT!AC94), DAY(XT!AG94)), MATCH(1, INDEX(--(MONTH(CHOOSE({1,2,3,4}, XT!U94,XT!Y94,XT!AC94,XT!AG94))=12), 0), 0)), "")</f>
        <v/>
      </c>
      <c r="AU94" s="12" t="str">
        <f>IF(XT!$P94&gt;0,AT94,"")</f>
        <v/>
      </c>
      <c r="AV94" s="12" t="str">
        <f>IF(XT!$P94=0,AT94,"")</f>
        <v/>
      </c>
    </row>
    <row r="95" spans="1:48">
      <c r="A95">
        <f>SUMPRODUCT((MONTH(CHOOSE({1,2,3,4},XT!U95,XT!Y95,XT!AC95,XT!AG95))=1)*(CHOOSE({1,2,3,4},XT!X95,XT!AB95,XT!AF95,XT!AJ95)))</f>
        <v>0</v>
      </c>
      <c r="B95">
        <f>IFERROR(INDEX(CHOOSE({1,2,3,4}, DAY(XT!U95), DAY(XT!Y95), DAY(XT!AC95), DAY(XT!AG95)), MATCH(1, INDEX(--(MONTH(CHOOSE({1,2,3,4}, XT!U95,XT!Y95,XT!AC95,XT!AG95))=1), 0), 0)), "")</f>
        <v>0</v>
      </c>
      <c r="C95" s="12" t="str">
        <f>IF(XT!$P95&gt;0,B95,"")</f>
        <v/>
      </c>
      <c r="D95" s="12">
        <f>IF(XT!$P95=0,B95,"")</f>
        <v>0</v>
      </c>
      <c r="E95">
        <f>SUMPRODUCT((MONTH(CHOOSE({1,2,3,4},XT!U95,XT!Y95,XT!AC95,XT!AG95))=2)*(CHOOSE({1,2,3,4},XT!X95,XT!AB95,XT!AF95,XT!AJ95)))</f>
        <v>0</v>
      </c>
      <c r="F95" t="str">
        <f>IFERROR(INDEX(CHOOSE({1,2,3,4}, DAY(XT!U95), DAY(XT!Y95), DAY(XT!AC95), DAY(XT!AG95)), MATCH(1, INDEX(--(MONTH(CHOOSE({1,2,3,4}, XT!U95,XT!Y95,XT!AC95,XT!AG95))=2), 0), 0)), "")</f>
        <v/>
      </c>
      <c r="G95" s="12" t="str">
        <f>IF(XT!$P95&gt;0,F95,"")</f>
        <v/>
      </c>
      <c r="H95" s="12" t="str">
        <f>IF(XT!$P95=0,F95,"")</f>
        <v/>
      </c>
      <c r="I95">
        <f>SUMPRODUCT((MONTH(CHOOSE({1,2,3,4},XT!U95,XT!Y95,XT!AC95,XT!AG95))=3)*(CHOOSE({1,2,3,4},XT!X95,XT!AB95,XT!AF95,XT!AJ95)))</f>
        <v>0</v>
      </c>
      <c r="J95" t="str">
        <f>IFERROR(INDEX(CHOOSE({1,2,3,4}, DAY(XT!U95), DAY(XT!Y95), DAY(XT!AC95), DAY(XT!AG95)), MATCH(1, INDEX(--(MONTH(CHOOSE({1,2,3,4}, XT!U95,XT!Y95,XT!AC95,XT!AG95))=3), 0), 0)), "")</f>
        <v/>
      </c>
      <c r="K95" s="12" t="str">
        <f>IF(XT!$P95&gt;0,J95,"")</f>
        <v/>
      </c>
      <c r="L95" s="12" t="str">
        <f>IF(XT!$P95=0,J95,"")</f>
        <v/>
      </c>
      <c r="M95">
        <f>SUMPRODUCT((MONTH(CHOOSE({1,2,3,4},XT!U95,XT!Y95,XT!AC95,XT!AG95))=4)*(CHOOSE({1,2,3,4},XT!X95,XT!AB95,XT!AF95,XT!AJ95)))</f>
        <v>0</v>
      </c>
      <c r="N95" t="str">
        <f>IFERROR(INDEX(CHOOSE({1,2,3,4}, DAY(XT!U95), DAY(XT!Y95), DAY(XT!AC95), DAY(XT!AG95)), MATCH(1, INDEX(--(MONTH(CHOOSE({1,2,3,4}, XT!U95,XT!Y95,XT!AC95,XT!AG95))=4), 0), 0)), "")</f>
        <v/>
      </c>
      <c r="O95" s="12" t="str">
        <f>IF(XT!$P95&gt;0,N95,"")</f>
        <v/>
      </c>
      <c r="P95" s="12" t="str">
        <f>IF(XT!$P95=0,N95,"")</f>
        <v/>
      </c>
      <c r="Q95">
        <f>SUMPRODUCT((MONTH(CHOOSE({1,2,3,4},XT!U95,XT!Y95,XT!AC95,XT!AG95))=5)*(CHOOSE({1,2,3,4},XT!X95,XT!AB95,XT!AF95,XT!AJ95)))</f>
        <v>0</v>
      </c>
      <c r="R95" t="str">
        <f>IFERROR(INDEX(CHOOSE({1,2,3,4}, DAY(XT!U95), DAY(XT!Y95), DAY(XT!AC95), DAY(XT!AG95)), MATCH(1, INDEX(--(MONTH(CHOOSE({1,2,3,4}, XT!U95,XT!Y95,XT!AC95,XT!AG95))=5), 0), 0)), "")</f>
        <v/>
      </c>
      <c r="S95" s="12" t="str">
        <f>IF(XT!$P95&gt;0,R95,"")</f>
        <v/>
      </c>
      <c r="T95" s="12" t="str">
        <f>IF(XT!$P95=0,R95,"")</f>
        <v/>
      </c>
      <c r="U95">
        <f>SUMPRODUCT((MONTH(CHOOSE({1,2,3,4},XT!U95,XT!Y95,XT!AC95,XT!AG95))=6)*(CHOOSE({1,2,3,4},XT!X95,XT!AB95,XT!AF95,XT!AJ95)))</f>
        <v>0</v>
      </c>
      <c r="V95" t="str">
        <f>IFERROR(INDEX(CHOOSE({1,2,3,4}, DAY(XT!U95), DAY(XT!Y95), DAY(XT!AC95), DAY(XT!AG95)), MATCH(1, INDEX(--(MONTH(CHOOSE({1,2,3,4}, XT!U95,XT!Y95,XT!AC95,XT!AG95))=6), 0), 0)), "")</f>
        <v/>
      </c>
      <c r="W95" s="12" t="str">
        <f>IF(XT!$P95&gt;0,V95,"")</f>
        <v/>
      </c>
      <c r="X95" s="12" t="str">
        <f>IF(XT!$P95=0,V95,"")</f>
        <v/>
      </c>
      <c r="Y95">
        <f>SUMPRODUCT((MONTH(CHOOSE({1,2,3,4},XT!U95,XT!Y95,XT!AC95,XT!AG95))=7)*(CHOOSE({1,2,3,4},XT!X95,XT!AB95,XT!AF95,XT!AJ95)))</f>
        <v>0</v>
      </c>
      <c r="Z95" t="str">
        <f>IFERROR(INDEX(CHOOSE({1,2,3,4}, DAY(XT!U95), DAY(XT!Y95), DAY(XT!AC95), DAY(XT!AG95)), MATCH(1, INDEX(--(MONTH(CHOOSE({1,2,3,4}, XT!U95,XT!Y95,XT!AC95,XT!AG95))=7), 0), 0)), "")</f>
        <v/>
      </c>
      <c r="AA95" s="12" t="str">
        <f>IF(XT!$P95&gt;0,Z95,"")</f>
        <v/>
      </c>
      <c r="AB95" s="12" t="str">
        <f>IF(XT!$P95=0,Z95,"")</f>
        <v/>
      </c>
      <c r="AC95">
        <f>SUMPRODUCT((MONTH(CHOOSE({1,2,3,4},XT!U95,XT!Y95,XT!AC95,XT!AG95))=8)*(CHOOSE({1,2,3,4},XT!X95,XT!AB95,XT!AF95,XT!AJ95)))</f>
        <v>0</v>
      </c>
      <c r="AD95" t="str">
        <f>IFERROR(INDEX(CHOOSE({1,2,3,4}, DAY(XT!U95), DAY(XT!Y95), DAY(XT!AC95), DAY(XT!AG95)), MATCH(1, INDEX(--(MONTH(CHOOSE({1,2,3,4}, XT!U95,XT!Y95,XT!AC95,XT!AG95))=8), 0), 0)), "")</f>
        <v/>
      </c>
      <c r="AE95" s="12" t="str">
        <f>IF(XT!$P95&gt;0,AD95,"")</f>
        <v/>
      </c>
      <c r="AF95" s="12" t="str">
        <f>IF(XT!$P95=0,AD95,"")</f>
        <v/>
      </c>
      <c r="AG95">
        <f>SUMPRODUCT((MONTH(CHOOSE({1,2,3,4},XT!U95,XT!Y95,XT!AC95,XT!AG95))=9)*(CHOOSE({1,2,3,4},XT!X95,XT!AB95,XT!AF95,XT!AJ95)))</f>
        <v>0</v>
      </c>
      <c r="AH95" t="str">
        <f>IFERROR(INDEX(CHOOSE({1,2,3,4}, DAY(XT!U95), DAY(XT!Y95), DAY(XT!AC95), DAY(XT!AG95)), MATCH(1, INDEX(--(MONTH(CHOOSE({1,2,3,4}, XT!U95,XT!Y95,XT!AC95,XT!AG95))=9), 0), 0)), "")</f>
        <v/>
      </c>
      <c r="AI95" s="12" t="str">
        <f>IF(XT!$P95&gt;0,AH95,"")</f>
        <v/>
      </c>
      <c r="AJ95" s="12" t="str">
        <f>IF(XT!$P95=0,AH95,"")</f>
        <v/>
      </c>
      <c r="AK95">
        <f>SUMPRODUCT((MONTH(CHOOSE({1,2,3,4},XT!U95,XT!Y95,XT!AC95,XT!AG95))=10)*(CHOOSE({1,2,3,4},XT!X95,XT!AB95,XT!AF95,XT!AJ95)))</f>
        <v>0</v>
      </c>
      <c r="AL95" t="str">
        <f>IFERROR(INDEX(CHOOSE({1,2,3,4}, DAY(XT!U95), DAY(XT!Y95), DAY(XT!AC95), DAY(XT!AG95)), MATCH(1, INDEX(--(MONTH(CHOOSE({1,2,3,4}, XT!U95,XT!Y95,XT!AC95,XT!AG95))=10), 0), 0)), "")</f>
        <v/>
      </c>
      <c r="AM95" s="12" t="str">
        <f>IF(XT!$P95&gt;0,AL95,"")</f>
        <v/>
      </c>
      <c r="AN95" s="12" t="str">
        <f>IF(XT!$P95=0,AL95,"")</f>
        <v/>
      </c>
      <c r="AO95">
        <f>SUMPRODUCT((MONTH(CHOOSE({1,2,3,4},XT!U95,XT!Y95,XT!AC95,XT!AG95))=11)*(CHOOSE({1,2,3,4},XT!X95,XT!AB95,XT!AF95,XT!AJ95)))</f>
        <v>0</v>
      </c>
      <c r="AP95" t="str">
        <f>IFERROR(INDEX(CHOOSE({1,2,3,4}, DAY(XT!U95), DAY(XT!Y95), DAY(XT!AC95), DAY(XT!AG95)), MATCH(1, INDEX(--(MONTH(CHOOSE({1,2,3,4}, XT!U95,XT!Y95,XT!AC95,XT!AG95))=11), 0), 0)), "")</f>
        <v/>
      </c>
      <c r="AQ95" s="12" t="str">
        <f>IF(XT!$P95&gt;0,AP95,"")</f>
        <v/>
      </c>
      <c r="AR95" s="12" t="str">
        <f>IF(XT!$P95=0,AP95,"")</f>
        <v/>
      </c>
      <c r="AS95">
        <f>SUMPRODUCT((MONTH(CHOOSE({1,2,3,4},XT!U95,XT!Y95,XT!AC95,XT!AG95))=12)*(CHOOSE({1,2,3,4},XT!X95,XT!AB95,XT!AF95,XT!AJ95)))</f>
        <v>0</v>
      </c>
      <c r="AT95" t="str">
        <f>IFERROR(INDEX(CHOOSE({1,2,3,4}, DAY(XT!U95), DAY(XT!Y95), DAY(XT!AC95), DAY(XT!AG95)), MATCH(1, INDEX(--(MONTH(CHOOSE({1,2,3,4}, XT!U95,XT!Y95,XT!AC95,XT!AG95))=12), 0), 0)), "")</f>
        <v/>
      </c>
      <c r="AU95" s="12" t="str">
        <f>IF(XT!$P95&gt;0,AT95,"")</f>
        <v/>
      </c>
      <c r="AV95" s="12" t="str">
        <f>IF(XT!$P95=0,AT95,"")</f>
        <v/>
      </c>
    </row>
    <row r="96" spans="1:48">
      <c r="A96">
        <f>SUMPRODUCT((MONTH(CHOOSE({1,2,3,4},XT!U96,XT!Y96,XT!AC96,XT!AG96))=1)*(CHOOSE({1,2,3,4},XT!X96,XT!AB96,XT!AF96,XT!AJ96)))</f>
        <v>0</v>
      </c>
      <c r="B96">
        <f>IFERROR(INDEX(CHOOSE({1,2,3,4}, DAY(XT!U96), DAY(XT!Y96), DAY(XT!AC96), DAY(XT!AG96)), MATCH(1, INDEX(--(MONTH(CHOOSE({1,2,3,4}, XT!U96,XT!Y96,XT!AC96,XT!AG96))=1), 0), 0)), "")</f>
        <v>0</v>
      </c>
      <c r="C96" s="12" t="str">
        <f>IF(XT!$P96&gt;0,B96,"")</f>
        <v/>
      </c>
      <c r="D96" s="12">
        <f>IF(XT!$P96=0,B96,"")</f>
        <v>0</v>
      </c>
      <c r="E96">
        <f>SUMPRODUCT((MONTH(CHOOSE({1,2,3,4},XT!U96,XT!Y96,XT!AC96,XT!AG96))=2)*(CHOOSE({1,2,3,4},XT!X96,XT!AB96,XT!AF96,XT!AJ96)))</f>
        <v>0</v>
      </c>
      <c r="F96" t="str">
        <f>IFERROR(INDEX(CHOOSE({1,2,3,4}, DAY(XT!U96), DAY(XT!Y96), DAY(XT!AC96), DAY(XT!AG96)), MATCH(1, INDEX(--(MONTH(CHOOSE({1,2,3,4}, XT!U96,XT!Y96,XT!AC96,XT!AG96))=2), 0), 0)), "")</f>
        <v/>
      </c>
      <c r="G96" s="12" t="str">
        <f>IF(XT!$P96&gt;0,F96,"")</f>
        <v/>
      </c>
      <c r="H96" s="12" t="str">
        <f>IF(XT!$P96=0,F96,"")</f>
        <v/>
      </c>
      <c r="I96">
        <f>SUMPRODUCT((MONTH(CHOOSE({1,2,3,4},XT!U96,XT!Y96,XT!AC96,XT!AG96))=3)*(CHOOSE({1,2,3,4},XT!X96,XT!AB96,XT!AF96,XT!AJ96)))</f>
        <v>0</v>
      </c>
      <c r="J96" t="str">
        <f>IFERROR(INDEX(CHOOSE({1,2,3,4}, DAY(XT!U96), DAY(XT!Y96), DAY(XT!AC96), DAY(XT!AG96)), MATCH(1, INDEX(--(MONTH(CHOOSE({1,2,3,4}, XT!U96,XT!Y96,XT!AC96,XT!AG96))=3), 0), 0)), "")</f>
        <v/>
      </c>
      <c r="K96" s="12" t="str">
        <f>IF(XT!$P96&gt;0,J96,"")</f>
        <v/>
      </c>
      <c r="L96" s="12" t="str">
        <f>IF(XT!$P96=0,J96,"")</f>
        <v/>
      </c>
      <c r="M96">
        <f>SUMPRODUCT((MONTH(CHOOSE({1,2,3,4},XT!U96,XT!Y96,XT!AC96,XT!AG96))=4)*(CHOOSE({1,2,3,4},XT!X96,XT!AB96,XT!AF96,XT!AJ96)))</f>
        <v>0</v>
      </c>
      <c r="N96" t="str">
        <f>IFERROR(INDEX(CHOOSE({1,2,3,4}, DAY(XT!U96), DAY(XT!Y96), DAY(XT!AC96), DAY(XT!AG96)), MATCH(1, INDEX(--(MONTH(CHOOSE({1,2,3,4}, XT!U96,XT!Y96,XT!AC96,XT!AG96))=4), 0), 0)), "")</f>
        <v/>
      </c>
      <c r="O96" s="12" t="str">
        <f>IF(XT!$P96&gt;0,N96,"")</f>
        <v/>
      </c>
      <c r="P96" s="12" t="str">
        <f>IF(XT!$P96=0,N96,"")</f>
        <v/>
      </c>
      <c r="Q96">
        <f>SUMPRODUCT((MONTH(CHOOSE({1,2,3,4},XT!U96,XT!Y96,XT!AC96,XT!AG96))=5)*(CHOOSE({1,2,3,4},XT!X96,XT!AB96,XT!AF96,XT!AJ96)))</f>
        <v>0</v>
      </c>
      <c r="R96" t="str">
        <f>IFERROR(INDEX(CHOOSE({1,2,3,4}, DAY(XT!U96), DAY(XT!Y96), DAY(XT!AC96), DAY(XT!AG96)), MATCH(1, INDEX(--(MONTH(CHOOSE({1,2,3,4}, XT!U96,XT!Y96,XT!AC96,XT!AG96))=5), 0), 0)), "")</f>
        <v/>
      </c>
      <c r="S96" s="12" t="str">
        <f>IF(XT!$P96&gt;0,R96,"")</f>
        <v/>
      </c>
      <c r="T96" s="12" t="str">
        <f>IF(XT!$P96=0,R96,"")</f>
        <v/>
      </c>
      <c r="U96">
        <f>SUMPRODUCT((MONTH(CHOOSE({1,2,3,4},XT!U96,XT!Y96,XT!AC96,XT!AG96))=6)*(CHOOSE({1,2,3,4},XT!X96,XT!AB96,XT!AF96,XT!AJ96)))</f>
        <v>0</v>
      </c>
      <c r="V96" t="str">
        <f>IFERROR(INDEX(CHOOSE({1,2,3,4}, DAY(XT!U96), DAY(XT!Y96), DAY(XT!AC96), DAY(XT!AG96)), MATCH(1, INDEX(--(MONTH(CHOOSE({1,2,3,4}, XT!U96,XT!Y96,XT!AC96,XT!AG96))=6), 0), 0)), "")</f>
        <v/>
      </c>
      <c r="W96" s="12" t="str">
        <f>IF(XT!$P96&gt;0,V96,"")</f>
        <v/>
      </c>
      <c r="X96" s="12" t="str">
        <f>IF(XT!$P96=0,V96,"")</f>
        <v/>
      </c>
      <c r="Y96">
        <f>SUMPRODUCT((MONTH(CHOOSE({1,2,3,4},XT!U96,XT!Y96,XT!AC96,XT!AG96))=7)*(CHOOSE({1,2,3,4},XT!X96,XT!AB96,XT!AF96,XT!AJ96)))</f>
        <v>0</v>
      </c>
      <c r="Z96" t="str">
        <f>IFERROR(INDEX(CHOOSE({1,2,3,4}, DAY(XT!U96), DAY(XT!Y96), DAY(XT!AC96), DAY(XT!AG96)), MATCH(1, INDEX(--(MONTH(CHOOSE({1,2,3,4}, XT!U96,XT!Y96,XT!AC96,XT!AG96))=7), 0), 0)), "")</f>
        <v/>
      </c>
      <c r="AA96" s="12" t="str">
        <f>IF(XT!$P96&gt;0,Z96,"")</f>
        <v/>
      </c>
      <c r="AB96" s="12" t="str">
        <f>IF(XT!$P96=0,Z96,"")</f>
        <v/>
      </c>
      <c r="AC96">
        <f>SUMPRODUCT((MONTH(CHOOSE({1,2,3,4},XT!U96,XT!Y96,XT!AC96,XT!AG96))=8)*(CHOOSE({1,2,3,4},XT!X96,XT!AB96,XT!AF96,XT!AJ96)))</f>
        <v>0</v>
      </c>
      <c r="AD96" t="str">
        <f>IFERROR(INDEX(CHOOSE({1,2,3,4}, DAY(XT!U96), DAY(XT!Y96), DAY(XT!AC96), DAY(XT!AG96)), MATCH(1, INDEX(--(MONTH(CHOOSE({1,2,3,4}, XT!U96,XT!Y96,XT!AC96,XT!AG96))=8), 0), 0)), "")</f>
        <v/>
      </c>
      <c r="AE96" s="12" t="str">
        <f>IF(XT!$P96&gt;0,AD96,"")</f>
        <v/>
      </c>
      <c r="AF96" s="12" t="str">
        <f>IF(XT!$P96=0,AD96,"")</f>
        <v/>
      </c>
      <c r="AG96">
        <f>SUMPRODUCT((MONTH(CHOOSE({1,2,3,4},XT!U96,XT!Y96,XT!AC96,XT!AG96))=9)*(CHOOSE({1,2,3,4},XT!X96,XT!AB96,XT!AF96,XT!AJ96)))</f>
        <v>0</v>
      </c>
      <c r="AH96" t="str">
        <f>IFERROR(INDEX(CHOOSE({1,2,3,4}, DAY(XT!U96), DAY(XT!Y96), DAY(XT!AC96), DAY(XT!AG96)), MATCH(1, INDEX(--(MONTH(CHOOSE({1,2,3,4}, XT!U96,XT!Y96,XT!AC96,XT!AG96))=9), 0), 0)), "")</f>
        <v/>
      </c>
      <c r="AI96" s="12" t="str">
        <f>IF(XT!$P96&gt;0,AH96,"")</f>
        <v/>
      </c>
      <c r="AJ96" s="12" t="str">
        <f>IF(XT!$P96=0,AH96,"")</f>
        <v/>
      </c>
      <c r="AK96">
        <f>SUMPRODUCT((MONTH(CHOOSE({1,2,3,4},XT!U96,XT!Y96,XT!AC96,XT!AG96))=10)*(CHOOSE({1,2,3,4},XT!X96,XT!AB96,XT!AF96,XT!AJ96)))</f>
        <v>0</v>
      </c>
      <c r="AL96" t="str">
        <f>IFERROR(INDEX(CHOOSE({1,2,3,4}, DAY(XT!U96), DAY(XT!Y96), DAY(XT!AC96), DAY(XT!AG96)), MATCH(1, INDEX(--(MONTH(CHOOSE({1,2,3,4}, XT!U96,XT!Y96,XT!AC96,XT!AG96))=10), 0), 0)), "")</f>
        <v/>
      </c>
      <c r="AM96" s="12" t="str">
        <f>IF(XT!$P96&gt;0,AL96,"")</f>
        <v/>
      </c>
      <c r="AN96" s="12" t="str">
        <f>IF(XT!$P96=0,AL96,"")</f>
        <v/>
      </c>
      <c r="AO96">
        <f>SUMPRODUCT((MONTH(CHOOSE({1,2,3,4},XT!U96,XT!Y96,XT!AC96,XT!AG96))=11)*(CHOOSE({1,2,3,4},XT!X96,XT!AB96,XT!AF96,XT!AJ96)))</f>
        <v>0</v>
      </c>
      <c r="AP96" t="str">
        <f>IFERROR(INDEX(CHOOSE({1,2,3,4}, DAY(XT!U96), DAY(XT!Y96), DAY(XT!AC96), DAY(XT!AG96)), MATCH(1, INDEX(--(MONTH(CHOOSE({1,2,3,4}, XT!U96,XT!Y96,XT!AC96,XT!AG96))=11), 0), 0)), "")</f>
        <v/>
      </c>
      <c r="AQ96" s="12" t="str">
        <f>IF(XT!$P96&gt;0,AP96,"")</f>
        <v/>
      </c>
      <c r="AR96" s="12" t="str">
        <f>IF(XT!$P96=0,AP96,"")</f>
        <v/>
      </c>
      <c r="AS96">
        <f>SUMPRODUCT((MONTH(CHOOSE({1,2,3,4},XT!U96,XT!Y96,XT!AC96,XT!AG96))=12)*(CHOOSE({1,2,3,4},XT!X96,XT!AB96,XT!AF96,XT!AJ96)))</f>
        <v>0</v>
      </c>
      <c r="AT96" t="str">
        <f>IFERROR(INDEX(CHOOSE({1,2,3,4}, DAY(XT!U96), DAY(XT!Y96), DAY(XT!AC96), DAY(XT!AG96)), MATCH(1, INDEX(--(MONTH(CHOOSE({1,2,3,4}, XT!U96,XT!Y96,XT!AC96,XT!AG96))=12), 0), 0)), "")</f>
        <v/>
      </c>
      <c r="AU96" s="12" t="str">
        <f>IF(XT!$P96&gt;0,AT96,"")</f>
        <v/>
      </c>
      <c r="AV96" s="12" t="str">
        <f>IF(XT!$P96=0,AT96,"")</f>
        <v/>
      </c>
    </row>
    <row r="97" spans="1:48">
      <c r="A97">
        <f>SUMPRODUCT((MONTH(CHOOSE({1,2,3,4},XT!U97,XT!Y97,XT!AC97,XT!AG97))=1)*(CHOOSE({1,2,3,4},XT!X97,XT!AB97,XT!AF97,XT!AJ97)))</f>
        <v>0</v>
      </c>
      <c r="B97">
        <f>IFERROR(INDEX(CHOOSE({1,2,3,4}, DAY(XT!U97), DAY(XT!Y97), DAY(XT!AC97), DAY(XT!AG97)), MATCH(1, INDEX(--(MONTH(CHOOSE({1,2,3,4}, XT!U97,XT!Y97,XT!AC97,XT!AG97))=1), 0), 0)), "")</f>
        <v>0</v>
      </c>
      <c r="C97" s="12" t="str">
        <f>IF(XT!$P97&gt;0,B97,"")</f>
        <v/>
      </c>
      <c r="D97" s="12">
        <f>IF(XT!$P97=0,B97,"")</f>
        <v>0</v>
      </c>
      <c r="E97">
        <f>SUMPRODUCT((MONTH(CHOOSE({1,2,3,4},XT!U97,XT!Y97,XT!AC97,XT!AG97))=2)*(CHOOSE({1,2,3,4},XT!X97,XT!AB97,XT!AF97,XT!AJ97)))</f>
        <v>0</v>
      </c>
      <c r="F97" t="str">
        <f>IFERROR(INDEX(CHOOSE({1,2,3,4}, DAY(XT!U97), DAY(XT!Y97), DAY(XT!AC97), DAY(XT!AG97)), MATCH(1, INDEX(--(MONTH(CHOOSE({1,2,3,4}, XT!U97,XT!Y97,XT!AC97,XT!AG97))=2), 0), 0)), "")</f>
        <v/>
      </c>
      <c r="G97" s="12" t="str">
        <f>IF(XT!$P97&gt;0,F97,"")</f>
        <v/>
      </c>
      <c r="H97" s="12" t="str">
        <f>IF(XT!$P97=0,F97,"")</f>
        <v/>
      </c>
      <c r="I97">
        <f>SUMPRODUCT((MONTH(CHOOSE({1,2,3,4},XT!U97,XT!Y97,XT!AC97,XT!AG97))=3)*(CHOOSE({1,2,3,4},XT!X97,XT!AB97,XT!AF97,XT!AJ97)))</f>
        <v>0</v>
      </c>
      <c r="J97" t="str">
        <f>IFERROR(INDEX(CHOOSE({1,2,3,4}, DAY(XT!U97), DAY(XT!Y97), DAY(XT!AC97), DAY(XT!AG97)), MATCH(1, INDEX(--(MONTH(CHOOSE({1,2,3,4}, XT!U97,XT!Y97,XT!AC97,XT!AG97))=3), 0), 0)), "")</f>
        <v/>
      </c>
      <c r="K97" s="12" t="str">
        <f>IF(XT!$P97&gt;0,J97,"")</f>
        <v/>
      </c>
      <c r="L97" s="12" t="str">
        <f>IF(XT!$P97=0,J97,"")</f>
        <v/>
      </c>
      <c r="M97">
        <f>SUMPRODUCT((MONTH(CHOOSE({1,2,3,4},XT!U97,XT!Y97,XT!AC97,XT!AG97))=4)*(CHOOSE({1,2,3,4},XT!X97,XT!AB97,XT!AF97,XT!AJ97)))</f>
        <v>0</v>
      </c>
      <c r="N97" t="str">
        <f>IFERROR(INDEX(CHOOSE({1,2,3,4}, DAY(XT!U97), DAY(XT!Y97), DAY(XT!AC97), DAY(XT!AG97)), MATCH(1, INDEX(--(MONTH(CHOOSE({1,2,3,4}, XT!U97,XT!Y97,XT!AC97,XT!AG97))=4), 0), 0)), "")</f>
        <v/>
      </c>
      <c r="O97" s="12" t="str">
        <f>IF(XT!$P97&gt;0,N97,"")</f>
        <v/>
      </c>
      <c r="P97" s="12" t="str">
        <f>IF(XT!$P97=0,N97,"")</f>
        <v/>
      </c>
      <c r="Q97">
        <f>SUMPRODUCT((MONTH(CHOOSE({1,2,3,4},XT!U97,XT!Y97,XT!AC97,XT!AG97))=5)*(CHOOSE({1,2,3,4},XT!X97,XT!AB97,XT!AF97,XT!AJ97)))</f>
        <v>0</v>
      </c>
      <c r="R97" t="str">
        <f>IFERROR(INDEX(CHOOSE({1,2,3,4}, DAY(XT!U97), DAY(XT!Y97), DAY(XT!AC97), DAY(XT!AG97)), MATCH(1, INDEX(--(MONTH(CHOOSE({1,2,3,4}, XT!U97,XT!Y97,XT!AC97,XT!AG97))=5), 0), 0)), "")</f>
        <v/>
      </c>
      <c r="S97" s="12" t="str">
        <f>IF(XT!$P97&gt;0,R97,"")</f>
        <v/>
      </c>
      <c r="T97" s="12" t="str">
        <f>IF(XT!$P97=0,R97,"")</f>
        <v/>
      </c>
      <c r="U97">
        <f>SUMPRODUCT((MONTH(CHOOSE({1,2,3,4},XT!U97,XT!Y97,XT!AC97,XT!AG97))=6)*(CHOOSE({1,2,3,4},XT!X97,XT!AB97,XT!AF97,XT!AJ97)))</f>
        <v>0</v>
      </c>
      <c r="V97" t="str">
        <f>IFERROR(INDEX(CHOOSE({1,2,3,4}, DAY(XT!U97), DAY(XT!Y97), DAY(XT!AC97), DAY(XT!AG97)), MATCH(1, INDEX(--(MONTH(CHOOSE({1,2,3,4}, XT!U97,XT!Y97,XT!AC97,XT!AG97))=6), 0), 0)), "")</f>
        <v/>
      </c>
      <c r="W97" s="12" t="str">
        <f>IF(XT!$P97&gt;0,V97,"")</f>
        <v/>
      </c>
      <c r="X97" s="12" t="str">
        <f>IF(XT!$P97=0,V97,"")</f>
        <v/>
      </c>
      <c r="Y97">
        <f>SUMPRODUCT((MONTH(CHOOSE({1,2,3,4},XT!U97,XT!Y97,XT!AC97,XT!AG97))=7)*(CHOOSE({1,2,3,4},XT!X97,XT!AB97,XT!AF97,XT!AJ97)))</f>
        <v>0</v>
      </c>
      <c r="Z97" t="str">
        <f>IFERROR(INDEX(CHOOSE({1,2,3,4}, DAY(XT!U97), DAY(XT!Y97), DAY(XT!AC97), DAY(XT!AG97)), MATCH(1, INDEX(--(MONTH(CHOOSE({1,2,3,4}, XT!U97,XT!Y97,XT!AC97,XT!AG97))=7), 0), 0)), "")</f>
        <v/>
      </c>
      <c r="AA97" s="12" t="str">
        <f>IF(XT!$P97&gt;0,Z97,"")</f>
        <v/>
      </c>
      <c r="AB97" s="12" t="str">
        <f>IF(XT!$P97=0,Z97,"")</f>
        <v/>
      </c>
      <c r="AC97">
        <f>SUMPRODUCT((MONTH(CHOOSE({1,2,3,4},XT!U97,XT!Y97,XT!AC97,XT!AG97))=8)*(CHOOSE({1,2,3,4},XT!X97,XT!AB97,XT!AF97,XT!AJ97)))</f>
        <v>0</v>
      </c>
      <c r="AD97" t="str">
        <f>IFERROR(INDEX(CHOOSE({1,2,3,4}, DAY(XT!U97), DAY(XT!Y97), DAY(XT!AC97), DAY(XT!AG97)), MATCH(1, INDEX(--(MONTH(CHOOSE({1,2,3,4}, XT!U97,XT!Y97,XT!AC97,XT!AG97))=8), 0), 0)), "")</f>
        <v/>
      </c>
      <c r="AE97" s="12" t="str">
        <f>IF(XT!$P97&gt;0,AD97,"")</f>
        <v/>
      </c>
      <c r="AF97" s="12" t="str">
        <f>IF(XT!$P97=0,AD97,"")</f>
        <v/>
      </c>
      <c r="AG97">
        <f>SUMPRODUCT((MONTH(CHOOSE({1,2,3,4},XT!U97,XT!Y97,XT!AC97,XT!AG97))=9)*(CHOOSE({1,2,3,4},XT!X97,XT!AB97,XT!AF97,XT!AJ97)))</f>
        <v>0</v>
      </c>
      <c r="AH97" t="str">
        <f>IFERROR(INDEX(CHOOSE({1,2,3,4}, DAY(XT!U97), DAY(XT!Y97), DAY(XT!AC97), DAY(XT!AG97)), MATCH(1, INDEX(--(MONTH(CHOOSE({1,2,3,4}, XT!U97,XT!Y97,XT!AC97,XT!AG97))=9), 0), 0)), "")</f>
        <v/>
      </c>
      <c r="AI97" s="12" t="str">
        <f>IF(XT!$P97&gt;0,AH97,"")</f>
        <v/>
      </c>
      <c r="AJ97" s="12" t="str">
        <f>IF(XT!$P97=0,AH97,"")</f>
        <v/>
      </c>
      <c r="AK97">
        <f>SUMPRODUCT((MONTH(CHOOSE({1,2,3,4},XT!U97,XT!Y97,XT!AC97,XT!AG97))=10)*(CHOOSE({1,2,3,4},XT!X97,XT!AB97,XT!AF97,XT!AJ97)))</f>
        <v>0</v>
      </c>
      <c r="AL97" t="str">
        <f>IFERROR(INDEX(CHOOSE({1,2,3,4}, DAY(XT!U97), DAY(XT!Y97), DAY(XT!AC97), DAY(XT!AG97)), MATCH(1, INDEX(--(MONTH(CHOOSE({1,2,3,4}, XT!U97,XT!Y97,XT!AC97,XT!AG97))=10), 0), 0)), "")</f>
        <v/>
      </c>
      <c r="AM97" s="12" t="str">
        <f>IF(XT!$P97&gt;0,AL97,"")</f>
        <v/>
      </c>
      <c r="AN97" s="12" t="str">
        <f>IF(XT!$P97=0,AL97,"")</f>
        <v/>
      </c>
      <c r="AO97">
        <f>SUMPRODUCT((MONTH(CHOOSE({1,2,3,4},XT!U97,XT!Y97,XT!AC97,XT!AG97))=11)*(CHOOSE({1,2,3,4},XT!X97,XT!AB97,XT!AF97,XT!AJ97)))</f>
        <v>0</v>
      </c>
      <c r="AP97" t="str">
        <f>IFERROR(INDEX(CHOOSE({1,2,3,4}, DAY(XT!U97), DAY(XT!Y97), DAY(XT!AC97), DAY(XT!AG97)), MATCH(1, INDEX(--(MONTH(CHOOSE({1,2,3,4}, XT!U97,XT!Y97,XT!AC97,XT!AG97))=11), 0), 0)), "")</f>
        <v/>
      </c>
      <c r="AQ97" s="12" t="str">
        <f>IF(XT!$P97&gt;0,AP97,"")</f>
        <v/>
      </c>
      <c r="AR97" s="12" t="str">
        <f>IF(XT!$P97=0,AP97,"")</f>
        <v/>
      </c>
      <c r="AS97">
        <f>SUMPRODUCT((MONTH(CHOOSE({1,2,3,4},XT!U97,XT!Y97,XT!AC97,XT!AG97))=12)*(CHOOSE({1,2,3,4},XT!X97,XT!AB97,XT!AF97,XT!AJ97)))</f>
        <v>0</v>
      </c>
      <c r="AT97" t="str">
        <f>IFERROR(INDEX(CHOOSE({1,2,3,4}, DAY(XT!U97), DAY(XT!Y97), DAY(XT!AC97), DAY(XT!AG97)), MATCH(1, INDEX(--(MONTH(CHOOSE({1,2,3,4}, XT!U97,XT!Y97,XT!AC97,XT!AG97))=12), 0), 0)), "")</f>
        <v/>
      </c>
      <c r="AU97" s="12" t="str">
        <f>IF(XT!$P97&gt;0,AT97,"")</f>
        <v/>
      </c>
      <c r="AV97" s="12" t="str">
        <f>IF(XT!$P97=0,AT97,"")</f>
        <v/>
      </c>
    </row>
    <row r="98" spans="1:48">
      <c r="A98">
        <f>SUMPRODUCT((MONTH(CHOOSE({1,2,3,4},XT!U98,XT!Y98,XT!AC98,XT!AG98))=1)*(CHOOSE({1,2,3,4},XT!X98,XT!AB98,XT!AF98,XT!AJ98)))</f>
        <v>0</v>
      </c>
      <c r="B98">
        <f>IFERROR(INDEX(CHOOSE({1,2,3,4}, DAY(XT!U98), DAY(XT!Y98), DAY(XT!AC98), DAY(XT!AG98)), MATCH(1, INDEX(--(MONTH(CHOOSE({1,2,3,4}, XT!U98,XT!Y98,XT!AC98,XT!AG98))=1), 0), 0)), "")</f>
        <v>0</v>
      </c>
      <c r="C98" s="12" t="str">
        <f>IF(XT!$P98&gt;0,B98,"")</f>
        <v/>
      </c>
      <c r="D98" s="12">
        <f>IF(XT!$P98=0,B98,"")</f>
        <v>0</v>
      </c>
      <c r="E98">
        <f>SUMPRODUCT((MONTH(CHOOSE({1,2,3,4},XT!U98,XT!Y98,XT!AC98,XT!AG98))=2)*(CHOOSE({1,2,3,4},XT!X98,XT!AB98,XT!AF98,XT!AJ98)))</f>
        <v>0</v>
      </c>
      <c r="F98" t="str">
        <f>IFERROR(INDEX(CHOOSE({1,2,3,4}, DAY(XT!U98), DAY(XT!Y98), DAY(XT!AC98), DAY(XT!AG98)), MATCH(1, INDEX(--(MONTH(CHOOSE({1,2,3,4}, XT!U98,XT!Y98,XT!AC98,XT!AG98))=2), 0), 0)), "")</f>
        <v/>
      </c>
      <c r="G98" s="12" t="str">
        <f>IF(XT!$P98&gt;0,F98,"")</f>
        <v/>
      </c>
      <c r="H98" s="12" t="str">
        <f>IF(XT!$P98=0,F98,"")</f>
        <v/>
      </c>
      <c r="I98">
        <f>SUMPRODUCT((MONTH(CHOOSE({1,2,3,4},XT!U98,XT!Y98,XT!AC98,XT!AG98))=3)*(CHOOSE({1,2,3,4},XT!X98,XT!AB98,XT!AF98,XT!AJ98)))</f>
        <v>0</v>
      </c>
      <c r="J98" t="str">
        <f>IFERROR(INDEX(CHOOSE({1,2,3,4}, DAY(XT!U98), DAY(XT!Y98), DAY(XT!AC98), DAY(XT!AG98)), MATCH(1, INDEX(--(MONTH(CHOOSE({1,2,3,4}, XT!U98,XT!Y98,XT!AC98,XT!AG98))=3), 0), 0)), "")</f>
        <v/>
      </c>
      <c r="K98" s="12" t="str">
        <f>IF(XT!$P98&gt;0,J98,"")</f>
        <v/>
      </c>
      <c r="L98" s="12" t="str">
        <f>IF(XT!$P98=0,J98,"")</f>
        <v/>
      </c>
      <c r="M98">
        <f>SUMPRODUCT((MONTH(CHOOSE({1,2,3,4},XT!U98,XT!Y98,XT!AC98,XT!AG98))=4)*(CHOOSE({1,2,3,4},XT!X98,XT!AB98,XT!AF98,XT!AJ98)))</f>
        <v>0</v>
      </c>
      <c r="N98" t="str">
        <f>IFERROR(INDEX(CHOOSE({1,2,3,4}, DAY(XT!U98), DAY(XT!Y98), DAY(XT!AC98), DAY(XT!AG98)), MATCH(1, INDEX(--(MONTH(CHOOSE({1,2,3,4}, XT!U98,XT!Y98,XT!AC98,XT!AG98))=4), 0), 0)), "")</f>
        <v/>
      </c>
      <c r="O98" s="12" t="str">
        <f>IF(XT!$P98&gt;0,N98,"")</f>
        <v/>
      </c>
      <c r="P98" s="12" t="str">
        <f>IF(XT!$P98=0,N98,"")</f>
        <v/>
      </c>
      <c r="Q98">
        <f>SUMPRODUCT((MONTH(CHOOSE({1,2,3,4},XT!U98,XT!Y98,XT!AC98,XT!AG98))=5)*(CHOOSE({1,2,3,4},XT!X98,XT!AB98,XT!AF98,XT!AJ98)))</f>
        <v>0</v>
      </c>
      <c r="R98" t="str">
        <f>IFERROR(INDEX(CHOOSE({1,2,3,4}, DAY(XT!U98), DAY(XT!Y98), DAY(XT!AC98), DAY(XT!AG98)), MATCH(1, INDEX(--(MONTH(CHOOSE({1,2,3,4}, XT!U98,XT!Y98,XT!AC98,XT!AG98))=5), 0), 0)), "")</f>
        <v/>
      </c>
      <c r="S98" s="12" t="str">
        <f>IF(XT!$P98&gt;0,R98,"")</f>
        <v/>
      </c>
      <c r="T98" s="12" t="str">
        <f>IF(XT!$P98=0,R98,"")</f>
        <v/>
      </c>
      <c r="U98">
        <f>SUMPRODUCT((MONTH(CHOOSE({1,2,3,4},XT!U98,XT!Y98,XT!AC98,XT!AG98))=6)*(CHOOSE({1,2,3,4},XT!X98,XT!AB98,XT!AF98,XT!AJ98)))</f>
        <v>0</v>
      </c>
      <c r="V98" t="str">
        <f>IFERROR(INDEX(CHOOSE({1,2,3,4}, DAY(XT!U98), DAY(XT!Y98), DAY(XT!AC98), DAY(XT!AG98)), MATCH(1, INDEX(--(MONTH(CHOOSE({1,2,3,4}, XT!U98,XT!Y98,XT!AC98,XT!AG98))=6), 0), 0)), "")</f>
        <v/>
      </c>
      <c r="W98" s="12" t="str">
        <f>IF(XT!$P98&gt;0,V98,"")</f>
        <v/>
      </c>
      <c r="X98" s="12" t="str">
        <f>IF(XT!$P98=0,V98,"")</f>
        <v/>
      </c>
      <c r="Y98">
        <f>SUMPRODUCT((MONTH(CHOOSE({1,2,3,4},XT!U98,XT!Y98,XT!AC98,XT!AG98))=7)*(CHOOSE({1,2,3,4},XT!X98,XT!AB98,XT!AF98,XT!AJ98)))</f>
        <v>0</v>
      </c>
      <c r="Z98" t="str">
        <f>IFERROR(INDEX(CHOOSE({1,2,3,4}, DAY(XT!U98), DAY(XT!Y98), DAY(XT!AC98), DAY(XT!AG98)), MATCH(1, INDEX(--(MONTH(CHOOSE({1,2,3,4}, XT!U98,XT!Y98,XT!AC98,XT!AG98))=7), 0), 0)), "")</f>
        <v/>
      </c>
      <c r="AA98" s="12" t="str">
        <f>IF(XT!$P98&gt;0,Z98,"")</f>
        <v/>
      </c>
      <c r="AB98" s="12" t="str">
        <f>IF(XT!$P98=0,Z98,"")</f>
        <v/>
      </c>
      <c r="AC98">
        <f>SUMPRODUCT((MONTH(CHOOSE({1,2,3,4},XT!U98,XT!Y98,XT!AC98,XT!AG98))=8)*(CHOOSE({1,2,3,4},XT!X98,XT!AB98,XT!AF98,XT!AJ98)))</f>
        <v>0</v>
      </c>
      <c r="AD98" t="str">
        <f>IFERROR(INDEX(CHOOSE({1,2,3,4}, DAY(XT!U98), DAY(XT!Y98), DAY(XT!AC98), DAY(XT!AG98)), MATCH(1, INDEX(--(MONTH(CHOOSE({1,2,3,4}, XT!U98,XT!Y98,XT!AC98,XT!AG98))=8), 0), 0)), "")</f>
        <v/>
      </c>
      <c r="AE98" s="12" t="str">
        <f>IF(XT!$P98&gt;0,AD98,"")</f>
        <v/>
      </c>
      <c r="AF98" s="12" t="str">
        <f>IF(XT!$P98=0,AD98,"")</f>
        <v/>
      </c>
      <c r="AG98">
        <f>SUMPRODUCT((MONTH(CHOOSE({1,2,3,4},XT!U98,XT!Y98,XT!AC98,XT!AG98))=9)*(CHOOSE({1,2,3,4},XT!X98,XT!AB98,XT!AF98,XT!AJ98)))</f>
        <v>0</v>
      </c>
      <c r="AH98" t="str">
        <f>IFERROR(INDEX(CHOOSE({1,2,3,4}, DAY(XT!U98), DAY(XT!Y98), DAY(XT!AC98), DAY(XT!AG98)), MATCH(1, INDEX(--(MONTH(CHOOSE({1,2,3,4}, XT!U98,XT!Y98,XT!AC98,XT!AG98))=9), 0), 0)), "")</f>
        <v/>
      </c>
      <c r="AI98" s="12" t="str">
        <f>IF(XT!$P98&gt;0,AH98,"")</f>
        <v/>
      </c>
      <c r="AJ98" s="12" t="str">
        <f>IF(XT!$P98=0,AH98,"")</f>
        <v/>
      </c>
      <c r="AK98">
        <f>SUMPRODUCT((MONTH(CHOOSE({1,2,3,4},XT!U98,XT!Y98,XT!AC98,XT!AG98))=10)*(CHOOSE({1,2,3,4},XT!X98,XT!AB98,XT!AF98,XT!AJ98)))</f>
        <v>0</v>
      </c>
      <c r="AL98" t="str">
        <f>IFERROR(INDEX(CHOOSE({1,2,3,4}, DAY(XT!U98), DAY(XT!Y98), DAY(XT!AC98), DAY(XT!AG98)), MATCH(1, INDEX(--(MONTH(CHOOSE({1,2,3,4}, XT!U98,XT!Y98,XT!AC98,XT!AG98))=10), 0), 0)), "")</f>
        <v/>
      </c>
      <c r="AM98" s="12" t="str">
        <f>IF(XT!$P98&gt;0,AL98,"")</f>
        <v/>
      </c>
      <c r="AN98" s="12" t="str">
        <f>IF(XT!$P98=0,AL98,"")</f>
        <v/>
      </c>
      <c r="AO98">
        <f>SUMPRODUCT((MONTH(CHOOSE({1,2,3,4},XT!U98,XT!Y98,XT!AC98,XT!AG98))=11)*(CHOOSE({1,2,3,4},XT!X98,XT!AB98,XT!AF98,XT!AJ98)))</f>
        <v>0</v>
      </c>
      <c r="AP98" t="str">
        <f>IFERROR(INDEX(CHOOSE({1,2,3,4}, DAY(XT!U98), DAY(XT!Y98), DAY(XT!AC98), DAY(XT!AG98)), MATCH(1, INDEX(--(MONTH(CHOOSE({1,2,3,4}, XT!U98,XT!Y98,XT!AC98,XT!AG98))=11), 0), 0)), "")</f>
        <v/>
      </c>
      <c r="AQ98" s="12" t="str">
        <f>IF(XT!$P98&gt;0,AP98,"")</f>
        <v/>
      </c>
      <c r="AR98" s="12" t="str">
        <f>IF(XT!$P98=0,AP98,"")</f>
        <v/>
      </c>
      <c r="AS98">
        <f>SUMPRODUCT((MONTH(CHOOSE({1,2,3,4},XT!U98,XT!Y98,XT!AC98,XT!AG98))=12)*(CHOOSE({1,2,3,4},XT!X98,XT!AB98,XT!AF98,XT!AJ98)))</f>
        <v>0</v>
      </c>
      <c r="AT98" t="str">
        <f>IFERROR(INDEX(CHOOSE({1,2,3,4}, DAY(XT!U98), DAY(XT!Y98), DAY(XT!AC98), DAY(XT!AG98)), MATCH(1, INDEX(--(MONTH(CHOOSE({1,2,3,4}, XT!U98,XT!Y98,XT!AC98,XT!AG98))=12), 0), 0)), "")</f>
        <v/>
      </c>
      <c r="AU98" s="12" t="str">
        <f>IF(XT!$P98&gt;0,AT98,"")</f>
        <v/>
      </c>
      <c r="AV98" s="12" t="str">
        <f>IF(XT!$P98=0,AT98,"")</f>
        <v/>
      </c>
    </row>
    <row r="99" spans="1:48">
      <c r="A99">
        <f>SUMPRODUCT((MONTH(CHOOSE({1,2,3,4},XT!U99,XT!Y99,XT!AC99,XT!AG99))=1)*(CHOOSE({1,2,3,4},XT!X99,XT!AB99,XT!AF99,XT!AJ99)))</f>
        <v>0</v>
      </c>
      <c r="B99">
        <f>IFERROR(INDEX(CHOOSE({1,2,3,4}, DAY(XT!U99), DAY(XT!Y99), DAY(XT!AC99), DAY(XT!AG99)), MATCH(1, INDEX(--(MONTH(CHOOSE({1,2,3,4}, XT!U99,XT!Y99,XT!AC99,XT!AG99))=1), 0), 0)), "")</f>
        <v>0</v>
      </c>
      <c r="C99" s="12" t="str">
        <f>IF(XT!$P99&gt;0,B99,"")</f>
        <v/>
      </c>
      <c r="D99" s="12">
        <f>IF(XT!$P99=0,B99,"")</f>
        <v>0</v>
      </c>
      <c r="E99">
        <f>SUMPRODUCT((MONTH(CHOOSE({1,2,3,4},XT!U99,XT!Y99,XT!AC99,XT!AG99))=2)*(CHOOSE({1,2,3,4},XT!X99,XT!AB99,XT!AF99,XT!AJ99)))</f>
        <v>0</v>
      </c>
      <c r="F99" t="str">
        <f>IFERROR(INDEX(CHOOSE({1,2,3,4}, DAY(XT!U99), DAY(XT!Y99), DAY(XT!AC99), DAY(XT!AG99)), MATCH(1, INDEX(--(MONTH(CHOOSE({1,2,3,4}, XT!U99,XT!Y99,XT!AC99,XT!AG99))=2), 0), 0)), "")</f>
        <v/>
      </c>
      <c r="G99" s="12" t="str">
        <f>IF(XT!$P99&gt;0,F99,"")</f>
        <v/>
      </c>
      <c r="H99" s="12" t="str">
        <f>IF(XT!$P99=0,F99,"")</f>
        <v/>
      </c>
      <c r="I99">
        <f>SUMPRODUCT((MONTH(CHOOSE({1,2,3,4},XT!U99,XT!Y99,XT!AC99,XT!AG99))=3)*(CHOOSE({1,2,3,4},XT!X99,XT!AB99,XT!AF99,XT!AJ99)))</f>
        <v>0</v>
      </c>
      <c r="J99" t="str">
        <f>IFERROR(INDEX(CHOOSE({1,2,3,4}, DAY(XT!U99), DAY(XT!Y99), DAY(XT!AC99), DAY(XT!AG99)), MATCH(1, INDEX(--(MONTH(CHOOSE({1,2,3,4}, XT!U99,XT!Y99,XT!AC99,XT!AG99))=3), 0), 0)), "")</f>
        <v/>
      </c>
      <c r="K99" s="12" t="str">
        <f>IF(XT!$P99&gt;0,J99,"")</f>
        <v/>
      </c>
      <c r="L99" s="12" t="str">
        <f>IF(XT!$P99=0,J99,"")</f>
        <v/>
      </c>
      <c r="M99">
        <f>SUMPRODUCT((MONTH(CHOOSE({1,2,3,4},XT!U99,XT!Y99,XT!AC99,XT!AG99))=4)*(CHOOSE({1,2,3,4},XT!X99,XT!AB99,XT!AF99,XT!AJ99)))</f>
        <v>0</v>
      </c>
      <c r="N99" t="str">
        <f>IFERROR(INDEX(CHOOSE({1,2,3,4}, DAY(XT!U99), DAY(XT!Y99), DAY(XT!AC99), DAY(XT!AG99)), MATCH(1, INDEX(--(MONTH(CHOOSE({1,2,3,4}, XT!U99,XT!Y99,XT!AC99,XT!AG99))=4), 0), 0)), "")</f>
        <v/>
      </c>
      <c r="O99" s="12" t="str">
        <f>IF(XT!$P99&gt;0,N99,"")</f>
        <v/>
      </c>
      <c r="P99" s="12" t="str">
        <f>IF(XT!$P99=0,N99,"")</f>
        <v/>
      </c>
      <c r="Q99">
        <f>SUMPRODUCT((MONTH(CHOOSE({1,2,3,4},XT!U99,XT!Y99,XT!AC99,XT!AG99))=5)*(CHOOSE({1,2,3,4},XT!X99,XT!AB99,XT!AF99,XT!AJ99)))</f>
        <v>0</v>
      </c>
      <c r="R99" t="str">
        <f>IFERROR(INDEX(CHOOSE({1,2,3,4}, DAY(XT!U99), DAY(XT!Y99), DAY(XT!AC99), DAY(XT!AG99)), MATCH(1, INDEX(--(MONTH(CHOOSE({1,2,3,4}, XT!U99,XT!Y99,XT!AC99,XT!AG99))=5), 0), 0)), "")</f>
        <v/>
      </c>
      <c r="S99" s="12" t="str">
        <f>IF(XT!$P99&gt;0,R99,"")</f>
        <v/>
      </c>
      <c r="T99" s="12" t="str">
        <f>IF(XT!$P99=0,R99,"")</f>
        <v/>
      </c>
      <c r="U99">
        <f>SUMPRODUCT((MONTH(CHOOSE({1,2,3,4},XT!U99,XT!Y99,XT!AC99,XT!AG99))=6)*(CHOOSE({1,2,3,4},XT!X99,XT!AB99,XT!AF99,XT!AJ99)))</f>
        <v>0</v>
      </c>
      <c r="V99" t="str">
        <f>IFERROR(INDEX(CHOOSE({1,2,3,4}, DAY(XT!U99), DAY(XT!Y99), DAY(XT!AC99), DAY(XT!AG99)), MATCH(1, INDEX(--(MONTH(CHOOSE({1,2,3,4}, XT!U99,XT!Y99,XT!AC99,XT!AG99))=6), 0), 0)), "")</f>
        <v/>
      </c>
      <c r="W99" s="12" t="str">
        <f>IF(XT!$P99&gt;0,V99,"")</f>
        <v/>
      </c>
      <c r="X99" s="12" t="str">
        <f>IF(XT!$P99=0,V99,"")</f>
        <v/>
      </c>
      <c r="Y99">
        <f>SUMPRODUCT((MONTH(CHOOSE({1,2,3,4},XT!U99,XT!Y99,XT!AC99,XT!AG99))=7)*(CHOOSE({1,2,3,4},XT!X99,XT!AB99,XT!AF99,XT!AJ99)))</f>
        <v>0</v>
      </c>
      <c r="Z99" t="str">
        <f>IFERROR(INDEX(CHOOSE({1,2,3,4}, DAY(XT!U99), DAY(XT!Y99), DAY(XT!AC99), DAY(XT!AG99)), MATCH(1, INDEX(--(MONTH(CHOOSE({1,2,3,4}, XT!U99,XT!Y99,XT!AC99,XT!AG99))=7), 0), 0)), "")</f>
        <v/>
      </c>
      <c r="AA99" s="12" t="str">
        <f>IF(XT!$P99&gt;0,Z99,"")</f>
        <v/>
      </c>
      <c r="AB99" s="12" t="str">
        <f>IF(XT!$P99=0,Z99,"")</f>
        <v/>
      </c>
      <c r="AC99">
        <f>SUMPRODUCT((MONTH(CHOOSE({1,2,3,4},XT!U99,XT!Y99,XT!AC99,XT!AG99))=8)*(CHOOSE({1,2,3,4},XT!X99,XT!AB99,XT!AF99,XT!AJ99)))</f>
        <v>0</v>
      </c>
      <c r="AD99" t="str">
        <f>IFERROR(INDEX(CHOOSE({1,2,3,4}, DAY(XT!U99), DAY(XT!Y99), DAY(XT!AC99), DAY(XT!AG99)), MATCH(1, INDEX(--(MONTH(CHOOSE({1,2,3,4}, XT!U99,XT!Y99,XT!AC99,XT!AG99))=8), 0), 0)), "")</f>
        <v/>
      </c>
      <c r="AE99" s="12" t="str">
        <f>IF(XT!$P99&gt;0,AD99,"")</f>
        <v/>
      </c>
      <c r="AF99" s="12" t="str">
        <f>IF(XT!$P99=0,AD99,"")</f>
        <v/>
      </c>
      <c r="AG99">
        <f>SUMPRODUCT((MONTH(CHOOSE({1,2,3,4},XT!U99,XT!Y99,XT!AC99,XT!AG99))=9)*(CHOOSE({1,2,3,4},XT!X99,XT!AB99,XT!AF99,XT!AJ99)))</f>
        <v>0</v>
      </c>
      <c r="AH99" t="str">
        <f>IFERROR(INDEX(CHOOSE({1,2,3,4}, DAY(XT!U99), DAY(XT!Y99), DAY(XT!AC99), DAY(XT!AG99)), MATCH(1, INDEX(--(MONTH(CHOOSE({1,2,3,4}, XT!U99,XT!Y99,XT!AC99,XT!AG99))=9), 0), 0)), "")</f>
        <v/>
      </c>
      <c r="AI99" s="12" t="str">
        <f>IF(XT!$P99&gt;0,AH99,"")</f>
        <v/>
      </c>
      <c r="AJ99" s="12" t="str">
        <f>IF(XT!$P99=0,AH99,"")</f>
        <v/>
      </c>
      <c r="AK99">
        <f>SUMPRODUCT((MONTH(CHOOSE({1,2,3,4},XT!U99,XT!Y99,XT!AC99,XT!AG99))=10)*(CHOOSE({1,2,3,4},XT!X99,XT!AB99,XT!AF99,XT!AJ99)))</f>
        <v>0</v>
      </c>
      <c r="AL99" t="str">
        <f>IFERROR(INDEX(CHOOSE({1,2,3,4}, DAY(XT!U99), DAY(XT!Y99), DAY(XT!AC99), DAY(XT!AG99)), MATCH(1, INDEX(--(MONTH(CHOOSE({1,2,3,4}, XT!U99,XT!Y99,XT!AC99,XT!AG99))=10), 0), 0)), "")</f>
        <v/>
      </c>
      <c r="AM99" s="12" t="str">
        <f>IF(XT!$P99&gt;0,AL99,"")</f>
        <v/>
      </c>
      <c r="AN99" s="12" t="str">
        <f>IF(XT!$P99=0,AL99,"")</f>
        <v/>
      </c>
      <c r="AO99">
        <f>SUMPRODUCT((MONTH(CHOOSE({1,2,3,4},XT!U99,XT!Y99,XT!AC99,XT!AG99))=11)*(CHOOSE({1,2,3,4},XT!X99,XT!AB99,XT!AF99,XT!AJ99)))</f>
        <v>0</v>
      </c>
      <c r="AP99" t="str">
        <f>IFERROR(INDEX(CHOOSE({1,2,3,4}, DAY(XT!U99), DAY(XT!Y99), DAY(XT!AC99), DAY(XT!AG99)), MATCH(1, INDEX(--(MONTH(CHOOSE({1,2,3,4}, XT!U99,XT!Y99,XT!AC99,XT!AG99))=11), 0), 0)), "")</f>
        <v/>
      </c>
      <c r="AQ99" s="12" t="str">
        <f>IF(XT!$P99&gt;0,AP99,"")</f>
        <v/>
      </c>
      <c r="AR99" s="12" t="str">
        <f>IF(XT!$P99=0,AP99,"")</f>
        <v/>
      </c>
      <c r="AS99">
        <f>SUMPRODUCT((MONTH(CHOOSE({1,2,3,4},XT!U99,XT!Y99,XT!AC99,XT!AG99))=12)*(CHOOSE({1,2,3,4},XT!X99,XT!AB99,XT!AF99,XT!AJ99)))</f>
        <v>0</v>
      </c>
      <c r="AT99" t="str">
        <f>IFERROR(INDEX(CHOOSE({1,2,3,4}, DAY(XT!U99), DAY(XT!Y99), DAY(XT!AC99), DAY(XT!AG99)), MATCH(1, INDEX(--(MONTH(CHOOSE({1,2,3,4}, XT!U99,XT!Y99,XT!AC99,XT!AG99))=12), 0), 0)), "")</f>
        <v/>
      </c>
      <c r="AU99" s="12" t="str">
        <f>IF(XT!$P99&gt;0,AT99,"")</f>
        <v/>
      </c>
      <c r="AV99" s="12" t="str">
        <f>IF(XT!$P99=0,AT99,"")</f>
        <v/>
      </c>
    </row>
    <row r="100" spans="1:48">
      <c r="A100">
        <f>SUMPRODUCT((MONTH(CHOOSE({1,2,3,4},XT!U100,XT!Y100,XT!AC100,XT!AG100))=1)*(CHOOSE({1,2,3,4},XT!X100,XT!AB100,XT!AF100,XT!AJ100)))</f>
        <v>0</v>
      </c>
      <c r="B100">
        <f>IFERROR(INDEX(CHOOSE({1,2,3,4}, DAY(XT!U100), DAY(XT!Y100), DAY(XT!AC100), DAY(XT!AG100)), MATCH(1, INDEX(--(MONTH(CHOOSE({1,2,3,4}, XT!U100,XT!Y100,XT!AC100,XT!AG100))=1), 0), 0)), "")</f>
        <v>0</v>
      </c>
      <c r="C100" s="12" t="str">
        <f>IF(XT!$P100&gt;0,B100,"")</f>
        <v/>
      </c>
      <c r="D100" s="12">
        <f>IF(XT!$P100=0,B100,"")</f>
        <v>0</v>
      </c>
      <c r="E100">
        <f>SUMPRODUCT((MONTH(CHOOSE({1,2,3,4},XT!U100,XT!Y100,XT!AC100,XT!AG100))=2)*(CHOOSE({1,2,3,4},XT!X100,XT!AB100,XT!AF100,XT!AJ100)))</f>
        <v>0</v>
      </c>
      <c r="F100" t="str">
        <f>IFERROR(INDEX(CHOOSE({1,2,3,4}, DAY(XT!U100), DAY(XT!Y100), DAY(XT!AC100), DAY(XT!AG100)), MATCH(1, INDEX(--(MONTH(CHOOSE({1,2,3,4}, XT!U100,XT!Y100,XT!AC100,XT!AG100))=2), 0), 0)), "")</f>
        <v/>
      </c>
      <c r="G100" s="12" t="str">
        <f>IF(XT!$P100&gt;0,F100,"")</f>
        <v/>
      </c>
      <c r="H100" s="12" t="str">
        <f>IF(XT!$P100=0,F100,"")</f>
        <v/>
      </c>
      <c r="I100">
        <f>SUMPRODUCT((MONTH(CHOOSE({1,2,3,4},XT!U100,XT!Y100,XT!AC100,XT!AG100))=3)*(CHOOSE({1,2,3,4},XT!X100,XT!AB100,XT!AF100,XT!AJ100)))</f>
        <v>0</v>
      </c>
      <c r="J100" t="str">
        <f>IFERROR(INDEX(CHOOSE({1,2,3,4}, DAY(XT!U100), DAY(XT!Y100), DAY(XT!AC100), DAY(XT!AG100)), MATCH(1, INDEX(--(MONTH(CHOOSE({1,2,3,4}, XT!U100,XT!Y100,XT!AC100,XT!AG100))=3), 0), 0)), "")</f>
        <v/>
      </c>
      <c r="K100" s="12" t="str">
        <f>IF(XT!$P100&gt;0,J100,"")</f>
        <v/>
      </c>
      <c r="L100" s="12" t="str">
        <f>IF(XT!$P100=0,J100,"")</f>
        <v/>
      </c>
      <c r="M100">
        <f>SUMPRODUCT((MONTH(CHOOSE({1,2,3,4},XT!U100,XT!Y100,XT!AC100,XT!AG100))=4)*(CHOOSE({1,2,3,4},XT!X100,XT!AB100,XT!AF100,XT!AJ100)))</f>
        <v>0</v>
      </c>
      <c r="N100" t="str">
        <f>IFERROR(INDEX(CHOOSE({1,2,3,4}, DAY(XT!U100), DAY(XT!Y100), DAY(XT!AC100), DAY(XT!AG100)), MATCH(1, INDEX(--(MONTH(CHOOSE({1,2,3,4}, XT!U100,XT!Y100,XT!AC100,XT!AG100))=4), 0), 0)), "")</f>
        <v/>
      </c>
      <c r="O100" s="12" t="str">
        <f>IF(XT!$P100&gt;0,N100,"")</f>
        <v/>
      </c>
      <c r="P100" s="12" t="str">
        <f>IF(XT!$P100=0,N100,"")</f>
        <v/>
      </c>
      <c r="Q100">
        <f>SUMPRODUCT((MONTH(CHOOSE({1,2,3,4},XT!U100,XT!Y100,XT!AC100,XT!AG100))=5)*(CHOOSE({1,2,3,4},XT!X100,XT!AB100,XT!AF100,XT!AJ100)))</f>
        <v>0</v>
      </c>
      <c r="R100" t="str">
        <f>IFERROR(INDEX(CHOOSE({1,2,3,4}, DAY(XT!U100), DAY(XT!Y100), DAY(XT!AC100), DAY(XT!AG100)), MATCH(1, INDEX(--(MONTH(CHOOSE({1,2,3,4}, XT!U100,XT!Y100,XT!AC100,XT!AG100))=5), 0), 0)), "")</f>
        <v/>
      </c>
      <c r="S100" s="12" t="str">
        <f>IF(XT!$P100&gt;0,R100,"")</f>
        <v/>
      </c>
      <c r="T100" s="12" t="str">
        <f>IF(XT!$P100=0,R100,"")</f>
        <v/>
      </c>
      <c r="U100">
        <f>SUMPRODUCT((MONTH(CHOOSE({1,2,3,4},XT!U100,XT!Y100,XT!AC100,XT!AG100))=6)*(CHOOSE({1,2,3,4},XT!X100,XT!AB100,XT!AF100,XT!AJ100)))</f>
        <v>0</v>
      </c>
      <c r="V100" t="str">
        <f>IFERROR(INDEX(CHOOSE({1,2,3,4}, DAY(XT!U100), DAY(XT!Y100), DAY(XT!AC100), DAY(XT!AG100)), MATCH(1, INDEX(--(MONTH(CHOOSE({1,2,3,4}, XT!U100,XT!Y100,XT!AC100,XT!AG100))=6), 0), 0)), "")</f>
        <v/>
      </c>
      <c r="W100" s="12" t="str">
        <f>IF(XT!$P100&gt;0,V100,"")</f>
        <v/>
      </c>
      <c r="X100" s="12" t="str">
        <f>IF(XT!$P100=0,V100,"")</f>
        <v/>
      </c>
      <c r="Y100">
        <f>SUMPRODUCT((MONTH(CHOOSE({1,2,3,4},XT!U100,XT!Y100,XT!AC100,XT!AG100))=7)*(CHOOSE({1,2,3,4},XT!X100,XT!AB100,XT!AF100,XT!AJ100)))</f>
        <v>0</v>
      </c>
      <c r="Z100" t="str">
        <f>IFERROR(INDEX(CHOOSE({1,2,3,4}, DAY(XT!U100), DAY(XT!Y100), DAY(XT!AC100), DAY(XT!AG100)), MATCH(1, INDEX(--(MONTH(CHOOSE({1,2,3,4}, XT!U100,XT!Y100,XT!AC100,XT!AG100))=7), 0), 0)), "")</f>
        <v/>
      </c>
      <c r="AA100" s="12" t="str">
        <f>IF(XT!$P100&gt;0,Z100,"")</f>
        <v/>
      </c>
      <c r="AB100" s="12" t="str">
        <f>IF(XT!$P100=0,Z100,"")</f>
        <v/>
      </c>
      <c r="AC100">
        <f>SUMPRODUCT((MONTH(CHOOSE({1,2,3,4},XT!U100,XT!Y100,XT!AC100,XT!AG100))=8)*(CHOOSE({1,2,3,4},XT!X100,XT!AB100,XT!AF100,XT!AJ100)))</f>
        <v>0</v>
      </c>
      <c r="AD100" t="str">
        <f>IFERROR(INDEX(CHOOSE({1,2,3,4}, DAY(XT!U100), DAY(XT!Y100), DAY(XT!AC100), DAY(XT!AG100)), MATCH(1, INDEX(--(MONTH(CHOOSE({1,2,3,4}, XT!U100,XT!Y100,XT!AC100,XT!AG100))=8), 0), 0)), "")</f>
        <v/>
      </c>
      <c r="AE100" s="12" t="str">
        <f>IF(XT!$P100&gt;0,AD100,"")</f>
        <v/>
      </c>
      <c r="AF100" s="12" t="str">
        <f>IF(XT!$P100=0,AD100,"")</f>
        <v/>
      </c>
      <c r="AG100">
        <f>SUMPRODUCT((MONTH(CHOOSE({1,2,3,4},XT!U100,XT!Y100,XT!AC100,XT!AG100))=9)*(CHOOSE({1,2,3,4},XT!X100,XT!AB100,XT!AF100,XT!AJ100)))</f>
        <v>0</v>
      </c>
      <c r="AH100" t="str">
        <f>IFERROR(INDEX(CHOOSE({1,2,3,4}, DAY(XT!U100), DAY(XT!Y100), DAY(XT!AC100), DAY(XT!AG100)), MATCH(1, INDEX(--(MONTH(CHOOSE({1,2,3,4}, XT!U100,XT!Y100,XT!AC100,XT!AG100))=9), 0), 0)), "")</f>
        <v/>
      </c>
      <c r="AI100" s="12" t="str">
        <f>IF(XT!$P100&gt;0,AH100,"")</f>
        <v/>
      </c>
      <c r="AJ100" s="12" t="str">
        <f>IF(XT!$P100=0,AH100,"")</f>
        <v/>
      </c>
      <c r="AK100">
        <f>SUMPRODUCT((MONTH(CHOOSE({1,2,3,4},XT!U100,XT!Y100,XT!AC100,XT!AG100))=10)*(CHOOSE({1,2,3,4},XT!X100,XT!AB100,XT!AF100,XT!AJ100)))</f>
        <v>0</v>
      </c>
      <c r="AL100" t="str">
        <f>IFERROR(INDEX(CHOOSE({1,2,3,4}, DAY(XT!U100), DAY(XT!Y100), DAY(XT!AC100), DAY(XT!AG100)), MATCH(1, INDEX(--(MONTH(CHOOSE({1,2,3,4}, XT!U100,XT!Y100,XT!AC100,XT!AG100))=10), 0), 0)), "")</f>
        <v/>
      </c>
      <c r="AM100" s="12" t="str">
        <f>IF(XT!$P100&gt;0,AL100,"")</f>
        <v/>
      </c>
      <c r="AN100" s="12" t="str">
        <f>IF(XT!$P100=0,AL100,"")</f>
        <v/>
      </c>
      <c r="AO100">
        <f>SUMPRODUCT((MONTH(CHOOSE({1,2,3,4},XT!U100,XT!Y100,XT!AC100,XT!AG100))=11)*(CHOOSE({1,2,3,4},XT!X100,XT!AB100,XT!AF100,XT!AJ100)))</f>
        <v>0</v>
      </c>
      <c r="AP100" t="str">
        <f>IFERROR(INDEX(CHOOSE({1,2,3,4}, DAY(XT!U100), DAY(XT!Y100), DAY(XT!AC100), DAY(XT!AG100)), MATCH(1, INDEX(--(MONTH(CHOOSE({1,2,3,4}, XT!U100,XT!Y100,XT!AC100,XT!AG100))=11), 0), 0)), "")</f>
        <v/>
      </c>
      <c r="AQ100" s="12" t="str">
        <f>IF(XT!$P100&gt;0,AP100,"")</f>
        <v/>
      </c>
      <c r="AR100" s="12" t="str">
        <f>IF(XT!$P100=0,AP100,"")</f>
        <v/>
      </c>
      <c r="AS100">
        <f>SUMPRODUCT((MONTH(CHOOSE({1,2,3,4},XT!U100,XT!Y100,XT!AC100,XT!AG100))=12)*(CHOOSE({1,2,3,4},XT!X100,XT!AB100,XT!AF100,XT!AJ100)))</f>
        <v>0</v>
      </c>
      <c r="AT100" t="str">
        <f>IFERROR(INDEX(CHOOSE({1,2,3,4}, DAY(XT!U100), DAY(XT!Y100), DAY(XT!AC100), DAY(XT!AG100)), MATCH(1, INDEX(--(MONTH(CHOOSE({1,2,3,4}, XT!U100,XT!Y100,XT!AC100,XT!AG100))=12), 0), 0)), "")</f>
        <v/>
      </c>
      <c r="AU100" s="12" t="str">
        <f>IF(XT!$P100&gt;0,AT100,"")</f>
        <v/>
      </c>
      <c r="AV100" s="12" t="str">
        <f>IF(XT!$P100=0,AT100,"")</f>
        <v/>
      </c>
    </row>
    <row r="101" spans="1:48">
      <c r="A101">
        <f>SUMPRODUCT((MONTH(CHOOSE({1,2,3,4},XT!U101,XT!Y101,XT!AC101,XT!AG101))=1)*(CHOOSE({1,2,3,4},XT!X101,XT!AB101,XT!AF101,XT!AJ101)))</f>
        <v>0</v>
      </c>
      <c r="B101">
        <f>IFERROR(INDEX(CHOOSE({1,2,3,4}, DAY(XT!U101), DAY(XT!Y101), DAY(XT!AC101), DAY(XT!AG101)), MATCH(1, INDEX(--(MONTH(CHOOSE({1,2,3,4}, XT!U101,XT!Y101,XT!AC101,XT!AG101))=1), 0), 0)), "")</f>
        <v>0</v>
      </c>
      <c r="C101" s="12" t="str">
        <f>IF(XT!$P101&gt;0,B101,"")</f>
        <v/>
      </c>
      <c r="D101" s="12">
        <f>IF(XT!$P101=0,B101,"")</f>
        <v>0</v>
      </c>
      <c r="E101">
        <f>SUMPRODUCT((MONTH(CHOOSE({1,2,3,4},XT!U101,XT!Y101,XT!AC101,XT!AG101))=2)*(CHOOSE({1,2,3,4},XT!X101,XT!AB101,XT!AF101,XT!AJ101)))</f>
        <v>0</v>
      </c>
      <c r="F101" t="str">
        <f>IFERROR(INDEX(CHOOSE({1,2,3,4}, DAY(XT!U101), DAY(XT!Y101), DAY(XT!AC101), DAY(XT!AG101)), MATCH(1, INDEX(--(MONTH(CHOOSE({1,2,3,4}, XT!U101,XT!Y101,XT!AC101,XT!AG101))=2), 0), 0)), "")</f>
        <v/>
      </c>
      <c r="G101" s="12" t="str">
        <f>IF(XT!$P101&gt;0,F101,"")</f>
        <v/>
      </c>
      <c r="H101" s="12" t="str">
        <f>IF(XT!$P101=0,F101,"")</f>
        <v/>
      </c>
      <c r="I101">
        <f>SUMPRODUCT((MONTH(CHOOSE({1,2,3,4},XT!U101,XT!Y101,XT!AC101,XT!AG101))=3)*(CHOOSE({1,2,3,4},XT!X101,XT!AB101,XT!AF101,XT!AJ101)))</f>
        <v>0</v>
      </c>
      <c r="J101" t="str">
        <f>IFERROR(INDEX(CHOOSE({1,2,3,4}, DAY(XT!U101), DAY(XT!Y101), DAY(XT!AC101), DAY(XT!AG101)), MATCH(1, INDEX(--(MONTH(CHOOSE({1,2,3,4}, XT!U101,XT!Y101,XT!AC101,XT!AG101))=3), 0), 0)), "")</f>
        <v/>
      </c>
      <c r="K101" s="12" t="str">
        <f>IF(XT!$P101&gt;0,J101,"")</f>
        <v/>
      </c>
      <c r="L101" s="12" t="str">
        <f>IF(XT!$P101=0,J101,"")</f>
        <v/>
      </c>
      <c r="M101">
        <f>SUMPRODUCT((MONTH(CHOOSE({1,2,3,4},XT!U101,XT!Y101,XT!AC101,XT!AG101))=4)*(CHOOSE({1,2,3,4},XT!X101,XT!AB101,XT!AF101,XT!AJ101)))</f>
        <v>0</v>
      </c>
      <c r="N101" t="str">
        <f>IFERROR(INDEX(CHOOSE({1,2,3,4}, DAY(XT!U101), DAY(XT!Y101), DAY(XT!AC101), DAY(XT!AG101)), MATCH(1, INDEX(--(MONTH(CHOOSE({1,2,3,4}, XT!U101,XT!Y101,XT!AC101,XT!AG101))=4), 0), 0)), "")</f>
        <v/>
      </c>
      <c r="O101" s="12" t="str">
        <f>IF(XT!$P101&gt;0,N101,"")</f>
        <v/>
      </c>
      <c r="P101" s="12" t="str">
        <f>IF(XT!$P101=0,N101,"")</f>
        <v/>
      </c>
      <c r="Q101">
        <f>SUMPRODUCT((MONTH(CHOOSE({1,2,3,4},XT!U101,XT!Y101,XT!AC101,XT!AG101))=5)*(CHOOSE({1,2,3,4},XT!X101,XT!AB101,XT!AF101,XT!AJ101)))</f>
        <v>0</v>
      </c>
      <c r="R101" t="str">
        <f>IFERROR(INDEX(CHOOSE({1,2,3,4}, DAY(XT!U101), DAY(XT!Y101), DAY(XT!AC101), DAY(XT!AG101)), MATCH(1, INDEX(--(MONTH(CHOOSE({1,2,3,4}, XT!U101,XT!Y101,XT!AC101,XT!AG101))=5), 0), 0)), "")</f>
        <v/>
      </c>
      <c r="S101" s="12" t="str">
        <f>IF(XT!$P101&gt;0,R101,"")</f>
        <v/>
      </c>
      <c r="T101" s="12" t="str">
        <f>IF(XT!$P101=0,R101,"")</f>
        <v/>
      </c>
      <c r="U101">
        <f>SUMPRODUCT((MONTH(CHOOSE({1,2,3,4},XT!U101,XT!Y101,XT!AC101,XT!AG101))=6)*(CHOOSE({1,2,3,4},XT!X101,XT!AB101,XT!AF101,XT!AJ101)))</f>
        <v>0</v>
      </c>
      <c r="V101" t="str">
        <f>IFERROR(INDEX(CHOOSE({1,2,3,4}, DAY(XT!U101), DAY(XT!Y101), DAY(XT!AC101), DAY(XT!AG101)), MATCH(1, INDEX(--(MONTH(CHOOSE({1,2,3,4}, XT!U101,XT!Y101,XT!AC101,XT!AG101))=6), 0), 0)), "")</f>
        <v/>
      </c>
      <c r="W101" s="12" t="str">
        <f>IF(XT!$P101&gt;0,V101,"")</f>
        <v/>
      </c>
      <c r="X101" s="12" t="str">
        <f>IF(XT!$P101=0,V101,"")</f>
        <v/>
      </c>
      <c r="Y101">
        <f>SUMPRODUCT((MONTH(CHOOSE({1,2,3,4},XT!U101,XT!Y101,XT!AC101,XT!AG101))=7)*(CHOOSE({1,2,3,4},XT!X101,XT!AB101,XT!AF101,XT!AJ101)))</f>
        <v>0</v>
      </c>
      <c r="Z101" t="str">
        <f>IFERROR(INDEX(CHOOSE({1,2,3,4}, DAY(XT!U101), DAY(XT!Y101), DAY(XT!AC101), DAY(XT!AG101)), MATCH(1, INDEX(--(MONTH(CHOOSE({1,2,3,4}, XT!U101,XT!Y101,XT!AC101,XT!AG101))=7), 0), 0)), "")</f>
        <v/>
      </c>
      <c r="AA101" s="12" t="str">
        <f>IF(XT!$P101&gt;0,Z101,"")</f>
        <v/>
      </c>
      <c r="AB101" s="12" t="str">
        <f>IF(XT!$P101=0,Z101,"")</f>
        <v/>
      </c>
      <c r="AC101">
        <f>SUMPRODUCT((MONTH(CHOOSE({1,2,3,4},XT!U101,XT!Y101,XT!AC101,XT!AG101))=8)*(CHOOSE({1,2,3,4},XT!X101,XT!AB101,XT!AF101,XT!AJ101)))</f>
        <v>0</v>
      </c>
      <c r="AD101" t="str">
        <f>IFERROR(INDEX(CHOOSE({1,2,3,4}, DAY(XT!U101), DAY(XT!Y101), DAY(XT!AC101), DAY(XT!AG101)), MATCH(1, INDEX(--(MONTH(CHOOSE({1,2,3,4}, XT!U101,XT!Y101,XT!AC101,XT!AG101))=8), 0), 0)), "")</f>
        <v/>
      </c>
      <c r="AE101" s="12" t="str">
        <f>IF(XT!$P101&gt;0,AD101,"")</f>
        <v/>
      </c>
      <c r="AF101" s="12" t="str">
        <f>IF(XT!$P101=0,AD101,"")</f>
        <v/>
      </c>
      <c r="AG101">
        <f>SUMPRODUCT((MONTH(CHOOSE({1,2,3,4},XT!U101,XT!Y101,XT!AC101,XT!AG101))=9)*(CHOOSE({1,2,3,4},XT!X101,XT!AB101,XT!AF101,XT!AJ101)))</f>
        <v>0</v>
      </c>
      <c r="AH101" t="str">
        <f>IFERROR(INDEX(CHOOSE({1,2,3,4}, DAY(XT!U101), DAY(XT!Y101), DAY(XT!AC101), DAY(XT!AG101)), MATCH(1, INDEX(--(MONTH(CHOOSE({1,2,3,4}, XT!U101,XT!Y101,XT!AC101,XT!AG101))=9), 0), 0)), "")</f>
        <v/>
      </c>
      <c r="AI101" s="12" t="str">
        <f>IF(XT!$P101&gt;0,AH101,"")</f>
        <v/>
      </c>
      <c r="AJ101" s="12" t="str">
        <f>IF(XT!$P101=0,AH101,"")</f>
        <v/>
      </c>
      <c r="AK101">
        <f>SUMPRODUCT((MONTH(CHOOSE({1,2,3,4},XT!U101,XT!Y101,XT!AC101,XT!AG101))=10)*(CHOOSE({1,2,3,4},XT!X101,XT!AB101,XT!AF101,XT!AJ101)))</f>
        <v>0</v>
      </c>
      <c r="AL101" t="str">
        <f>IFERROR(INDEX(CHOOSE({1,2,3,4}, DAY(XT!U101), DAY(XT!Y101), DAY(XT!AC101), DAY(XT!AG101)), MATCH(1, INDEX(--(MONTH(CHOOSE({1,2,3,4}, XT!U101,XT!Y101,XT!AC101,XT!AG101))=10), 0), 0)), "")</f>
        <v/>
      </c>
      <c r="AM101" s="12" t="str">
        <f>IF(XT!$P101&gt;0,AL101,"")</f>
        <v/>
      </c>
      <c r="AN101" s="12" t="str">
        <f>IF(XT!$P101=0,AL101,"")</f>
        <v/>
      </c>
      <c r="AO101">
        <f>SUMPRODUCT((MONTH(CHOOSE({1,2,3,4},XT!U101,XT!Y101,XT!AC101,XT!AG101))=11)*(CHOOSE({1,2,3,4},XT!X101,XT!AB101,XT!AF101,XT!AJ101)))</f>
        <v>0</v>
      </c>
      <c r="AP101" t="str">
        <f>IFERROR(INDEX(CHOOSE({1,2,3,4}, DAY(XT!U101), DAY(XT!Y101), DAY(XT!AC101), DAY(XT!AG101)), MATCH(1, INDEX(--(MONTH(CHOOSE({1,2,3,4}, XT!U101,XT!Y101,XT!AC101,XT!AG101))=11), 0), 0)), "")</f>
        <v/>
      </c>
      <c r="AQ101" s="12" t="str">
        <f>IF(XT!$P101&gt;0,AP101,"")</f>
        <v/>
      </c>
      <c r="AR101" s="12" t="str">
        <f>IF(XT!$P101=0,AP101,"")</f>
        <v/>
      </c>
      <c r="AS101">
        <f>SUMPRODUCT((MONTH(CHOOSE({1,2,3,4},XT!U101,XT!Y101,XT!AC101,XT!AG101))=12)*(CHOOSE({1,2,3,4},XT!X101,XT!AB101,XT!AF101,XT!AJ101)))</f>
        <v>0</v>
      </c>
      <c r="AT101" t="str">
        <f>IFERROR(INDEX(CHOOSE({1,2,3,4}, DAY(XT!U101), DAY(XT!Y101), DAY(XT!AC101), DAY(XT!AG101)), MATCH(1, INDEX(--(MONTH(CHOOSE({1,2,3,4}, XT!U101,XT!Y101,XT!AC101,XT!AG101))=12), 0), 0)), "")</f>
        <v/>
      </c>
      <c r="AU101" s="12" t="str">
        <f>IF(XT!$P101&gt;0,AT101,"")</f>
        <v/>
      </c>
      <c r="AV101" s="12" t="str">
        <f>IF(XT!$P101=0,AT101,"")</f>
        <v/>
      </c>
    </row>
    <row r="102" spans="1:48">
      <c r="A102">
        <f>SUMPRODUCT((MONTH(CHOOSE({1,2,3,4},XT!U102,XT!Y102,XT!AC102,XT!AG102))=1)*(CHOOSE({1,2,3,4},XT!X102,XT!AB102,XT!AF102,XT!AJ102)))</f>
        <v>0</v>
      </c>
      <c r="B102">
        <f>IFERROR(INDEX(CHOOSE({1,2,3,4}, DAY(XT!U102), DAY(XT!Y102), DAY(XT!AC102), DAY(XT!AG102)), MATCH(1, INDEX(--(MONTH(CHOOSE({1,2,3,4}, XT!U102,XT!Y102,XT!AC102,XT!AG102))=1), 0), 0)), "")</f>
        <v>0</v>
      </c>
      <c r="C102" s="12" t="str">
        <f>IF(XT!$P102&gt;0,B102,"")</f>
        <v/>
      </c>
      <c r="D102" s="12">
        <f>IF(XT!$P102=0,B102,"")</f>
        <v>0</v>
      </c>
      <c r="E102">
        <f>SUMPRODUCT((MONTH(CHOOSE({1,2,3,4},XT!U102,XT!Y102,XT!AC102,XT!AG102))=2)*(CHOOSE({1,2,3,4},XT!X102,XT!AB102,XT!AF102,XT!AJ102)))</f>
        <v>0</v>
      </c>
      <c r="F102" t="str">
        <f>IFERROR(INDEX(CHOOSE({1,2,3,4}, DAY(XT!U102), DAY(XT!Y102), DAY(XT!AC102), DAY(XT!AG102)), MATCH(1, INDEX(--(MONTH(CHOOSE({1,2,3,4}, XT!U102,XT!Y102,XT!AC102,XT!AG102))=2), 0), 0)), "")</f>
        <v/>
      </c>
      <c r="G102" s="12" t="str">
        <f>IF(XT!$P102&gt;0,F102,"")</f>
        <v/>
      </c>
      <c r="H102" s="12" t="str">
        <f>IF(XT!$P102=0,F102,"")</f>
        <v/>
      </c>
      <c r="I102">
        <f>SUMPRODUCT((MONTH(CHOOSE({1,2,3,4},XT!U102,XT!Y102,XT!AC102,XT!AG102))=3)*(CHOOSE({1,2,3,4},XT!X102,XT!AB102,XT!AF102,XT!AJ102)))</f>
        <v>0</v>
      </c>
      <c r="J102" t="str">
        <f>IFERROR(INDEX(CHOOSE({1,2,3,4}, DAY(XT!U102), DAY(XT!Y102), DAY(XT!AC102), DAY(XT!AG102)), MATCH(1, INDEX(--(MONTH(CHOOSE({1,2,3,4}, XT!U102,XT!Y102,XT!AC102,XT!AG102))=3), 0), 0)), "")</f>
        <v/>
      </c>
      <c r="K102" s="12" t="str">
        <f>IF(XT!$P102&gt;0,J102,"")</f>
        <v/>
      </c>
      <c r="L102" s="12" t="str">
        <f>IF(XT!$P102=0,J102,"")</f>
        <v/>
      </c>
      <c r="M102">
        <f>SUMPRODUCT((MONTH(CHOOSE({1,2,3,4},XT!U102,XT!Y102,XT!AC102,XT!AG102))=4)*(CHOOSE({1,2,3,4},XT!X102,XT!AB102,XT!AF102,XT!AJ102)))</f>
        <v>0</v>
      </c>
      <c r="N102" t="str">
        <f>IFERROR(INDEX(CHOOSE({1,2,3,4}, DAY(XT!U102), DAY(XT!Y102), DAY(XT!AC102), DAY(XT!AG102)), MATCH(1, INDEX(--(MONTH(CHOOSE({1,2,3,4}, XT!U102,XT!Y102,XT!AC102,XT!AG102))=4), 0), 0)), "")</f>
        <v/>
      </c>
      <c r="O102" s="12" t="str">
        <f>IF(XT!$P102&gt;0,N102,"")</f>
        <v/>
      </c>
      <c r="P102" s="12" t="str">
        <f>IF(XT!$P102=0,N102,"")</f>
        <v/>
      </c>
      <c r="Q102">
        <f>SUMPRODUCT((MONTH(CHOOSE({1,2,3,4},XT!U102,XT!Y102,XT!AC102,XT!AG102))=5)*(CHOOSE({1,2,3,4},XT!X102,XT!AB102,XT!AF102,XT!AJ102)))</f>
        <v>0</v>
      </c>
      <c r="R102" t="str">
        <f>IFERROR(INDEX(CHOOSE({1,2,3,4}, DAY(XT!U102), DAY(XT!Y102), DAY(XT!AC102), DAY(XT!AG102)), MATCH(1, INDEX(--(MONTH(CHOOSE({1,2,3,4}, XT!U102,XT!Y102,XT!AC102,XT!AG102))=5), 0), 0)), "")</f>
        <v/>
      </c>
      <c r="S102" s="12" t="str">
        <f>IF(XT!$P102&gt;0,R102,"")</f>
        <v/>
      </c>
      <c r="T102" s="12" t="str">
        <f>IF(XT!$P102=0,R102,"")</f>
        <v/>
      </c>
      <c r="U102">
        <f>SUMPRODUCT((MONTH(CHOOSE({1,2,3,4},XT!U102,XT!Y102,XT!AC102,XT!AG102))=6)*(CHOOSE({1,2,3,4},XT!X102,XT!AB102,XT!AF102,XT!AJ102)))</f>
        <v>0</v>
      </c>
      <c r="V102" t="str">
        <f>IFERROR(INDEX(CHOOSE({1,2,3,4}, DAY(XT!U102), DAY(XT!Y102), DAY(XT!AC102), DAY(XT!AG102)), MATCH(1, INDEX(--(MONTH(CHOOSE({1,2,3,4}, XT!U102,XT!Y102,XT!AC102,XT!AG102))=6), 0), 0)), "")</f>
        <v/>
      </c>
      <c r="W102" s="12" t="str">
        <f>IF(XT!$P102&gt;0,V102,"")</f>
        <v/>
      </c>
      <c r="X102" s="12" t="str">
        <f>IF(XT!$P102=0,V102,"")</f>
        <v/>
      </c>
      <c r="Y102">
        <f>SUMPRODUCT((MONTH(CHOOSE({1,2,3,4},XT!U102,XT!Y102,XT!AC102,XT!AG102))=7)*(CHOOSE({1,2,3,4},XT!X102,XT!AB102,XT!AF102,XT!AJ102)))</f>
        <v>0</v>
      </c>
      <c r="Z102" t="str">
        <f>IFERROR(INDEX(CHOOSE({1,2,3,4}, DAY(XT!U102), DAY(XT!Y102), DAY(XT!AC102), DAY(XT!AG102)), MATCH(1, INDEX(--(MONTH(CHOOSE({1,2,3,4}, XT!U102,XT!Y102,XT!AC102,XT!AG102))=7), 0), 0)), "")</f>
        <v/>
      </c>
      <c r="AA102" s="12" t="str">
        <f>IF(XT!$P102&gt;0,Z102,"")</f>
        <v/>
      </c>
      <c r="AB102" s="12" t="str">
        <f>IF(XT!$P102=0,Z102,"")</f>
        <v/>
      </c>
      <c r="AC102">
        <f>SUMPRODUCT((MONTH(CHOOSE({1,2,3,4},XT!U102,XT!Y102,XT!AC102,XT!AG102))=8)*(CHOOSE({1,2,3,4},XT!X102,XT!AB102,XT!AF102,XT!AJ102)))</f>
        <v>0</v>
      </c>
      <c r="AD102" t="str">
        <f>IFERROR(INDEX(CHOOSE({1,2,3,4}, DAY(XT!U102), DAY(XT!Y102), DAY(XT!AC102), DAY(XT!AG102)), MATCH(1, INDEX(--(MONTH(CHOOSE({1,2,3,4}, XT!U102,XT!Y102,XT!AC102,XT!AG102))=8), 0), 0)), "")</f>
        <v/>
      </c>
      <c r="AE102" s="12" t="str">
        <f>IF(XT!$P102&gt;0,AD102,"")</f>
        <v/>
      </c>
      <c r="AF102" s="12" t="str">
        <f>IF(XT!$P102=0,AD102,"")</f>
        <v/>
      </c>
      <c r="AG102">
        <f>SUMPRODUCT((MONTH(CHOOSE({1,2,3,4},XT!U102,XT!Y102,XT!AC102,XT!AG102))=9)*(CHOOSE({1,2,3,4},XT!X102,XT!AB102,XT!AF102,XT!AJ102)))</f>
        <v>0</v>
      </c>
      <c r="AH102" t="str">
        <f>IFERROR(INDEX(CHOOSE({1,2,3,4}, DAY(XT!U102), DAY(XT!Y102), DAY(XT!AC102), DAY(XT!AG102)), MATCH(1, INDEX(--(MONTH(CHOOSE({1,2,3,4}, XT!U102,XT!Y102,XT!AC102,XT!AG102))=9), 0), 0)), "")</f>
        <v/>
      </c>
      <c r="AI102" s="12" t="str">
        <f>IF(XT!$P102&gt;0,AH102,"")</f>
        <v/>
      </c>
      <c r="AJ102" s="12" t="str">
        <f>IF(XT!$P102=0,AH102,"")</f>
        <v/>
      </c>
      <c r="AK102">
        <f>SUMPRODUCT((MONTH(CHOOSE({1,2,3,4},XT!U102,XT!Y102,XT!AC102,XT!AG102))=10)*(CHOOSE({1,2,3,4},XT!X102,XT!AB102,XT!AF102,XT!AJ102)))</f>
        <v>0</v>
      </c>
      <c r="AL102" t="str">
        <f>IFERROR(INDEX(CHOOSE({1,2,3,4}, DAY(XT!U102), DAY(XT!Y102), DAY(XT!AC102), DAY(XT!AG102)), MATCH(1, INDEX(--(MONTH(CHOOSE({1,2,3,4}, XT!U102,XT!Y102,XT!AC102,XT!AG102))=10), 0), 0)), "")</f>
        <v/>
      </c>
      <c r="AM102" s="12" t="str">
        <f>IF(XT!$P102&gt;0,AL102,"")</f>
        <v/>
      </c>
      <c r="AN102" s="12" t="str">
        <f>IF(XT!$P102=0,AL102,"")</f>
        <v/>
      </c>
      <c r="AO102">
        <f>SUMPRODUCT((MONTH(CHOOSE({1,2,3,4},XT!U102,XT!Y102,XT!AC102,XT!AG102))=11)*(CHOOSE({1,2,3,4},XT!X102,XT!AB102,XT!AF102,XT!AJ102)))</f>
        <v>0</v>
      </c>
      <c r="AP102" t="str">
        <f>IFERROR(INDEX(CHOOSE({1,2,3,4}, DAY(XT!U102), DAY(XT!Y102), DAY(XT!AC102), DAY(XT!AG102)), MATCH(1, INDEX(--(MONTH(CHOOSE({1,2,3,4}, XT!U102,XT!Y102,XT!AC102,XT!AG102))=11), 0), 0)), "")</f>
        <v/>
      </c>
      <c r="AQ102" s="12" t="str">
        <f>IF(XT!$P102&gt;0,AP102,"")</f>
        <v/>
      </c>
      <c r="AR102" s="12" t="str">
        <f>IF(XT!$P102=0,AP102,"")</f>
        <v/>
      </c>
      <c r="AS102">
        <f>SUMPRODUCT((MONTH(CHOOSE({1,2,3,4},XT!U102,XT!Y102,XT!AC102,XT!AG102))=12)*(CHOOSE({1,2,3,4},XT!X102,XT!AB102,XT!AF102,XT!AJ102)))</f>
        <v>0</v>
      </c>
      <c r="AT102" t="str">
        <f>IFERROR(INDEX(CHOOSE({1,2,3,4}, DAY(XT!U102), DAY(XT!Y102), DAY(XT!AC102), DAY(XT!AG102)), MATCH(1, INDEX(--(MONTH(CHOOSE({1,2,3,4}, XT!U102,XT!Y102,XT!AC102,XT!AG102))=12), 0), 0)), "")</f>
        <v/>
      </c>
      <c r="AU102" s="12" t="str">
        <f>IF(XT!$P102&gt;0,AT102,"")</f>
        <v/>
      </c>
      <c r="AV102" s="12" t="str">
        <f>IF(XT!$P102=0,AT102,"")</f>
        <v/>
      </c>
    </row>
    <row r="103" spans="1:48">
      <c r="A103">
        <f>SUMPRODUCT((MONTH(CHOOSE({1,2,3,4},XT!U103,XT!Y103,XT!AC103,XT!AG103))=1)*(CHOOSE({1,2,3,4},XT!X103,XT!AB103,XT!AF103,XT!AJ103)))</f>
        <v>0</v>
      </c>
      <c r="B103">
        <f>IFERROR(INDEX(CHOOSE({1,2,3,4}, DAY(XT!U103), DAY(XT!Y103), DAY(XT!AC103), DAY(XT!AG103)), MATCH(1, INDEX(--(MONTH(CHOOSE({1,2,3,4}, XT!U103,XT!Y103,XT!AC103,XT!AG103))=1), 0), 0)), "")</f>
        <v>0</v>
      </c>
      <c r="C103" s="12" t="str">
        <f>IF(XT!$P103&gt;0,B103,"")</f>
        <v/>
      </c>
      <c r="D103" s="12">
        <f>IF(XT!$P103=0,B103,"")</f>
        <v>0</v>
      </c>
      <c r="E103">
        <f>SUMPRODUCT((MONTH(CHOOSE({1,2,3,4},XT!U103,XT!Y103,XT!AC103,XT!AG103))=2)*(CHOOSE({1,2,3,4},XT!X103,XT!AB103,XT!AF103,XT!AJ103)))</f>
        <v>0</v>
      </c>
      <c r="F103" t="str">
        <f>IFERROR(INDEX(CHOOSE({1,2,3,4}, DAY(XT!U103), DAY(XT!Y103), DAY(XT!AC103), DAY(XT!AG103)), MATCH(1, INDEX(--(MONTH(CHOOSE({1,2,3,4}, XT!U103,XT!Y103,XT!AC103,XT!AG103))=2), 0), 0)), "")</f>
        <v/>
      </c>
      <c r="G103" s="12" t="str">
        <f>IF(XT!$P103&gt;0,F103,"")</f>
        <v/>
      </c>
      <c r="H103" s="12" t="str">
        <f>IF(XT!$P103=0,F103,"")</f>
        <v/>
      </c>
      <c r="I103">
        <f>SUMPRODUCT((MONTH(CHOOSE({1,2,3,4},XT!U103,XT!Y103,XT!AC103,XT!AG103))=3)*(CHOOSE({1,2,3,4},XT!X103,XT!AB103,XT!AF103,XT!AJ103)))</f>
        <v>0</v>
      </c>
      <c r="J103" t="str">
        <f>IFERROR(INDEX(CHOOSE({1,2,3,4}, DAY(XT!U103), DAY(XT!Y103), DAY(XT!AC103), DAY(XT!AG103)), MATCH(1, INDEX(--(MONTH(CHOOSE({1,2,3,4}, XT!U103,XT!Y103,XT!AC103,XT!AG103))=3), 0), 0)), "")</f>
        <v/>
      </c>
      <c r="K103" s="12" t="str">
        <f>IF(XT!$P103&gt;0,J103,"")</f>
        <v/>
      </c>
      <c r="L103" s="12" t="str">
        <f>IF(XT!$P103=0,J103,"")</f>
        <v/>
      </c>
      <c r="M103">
        <f>SUMPRODUCT((MONTH(CHOOSE({1,2,3,4},XT!U103,XT!Y103,XT!AC103,XT!AG103))=4)*(CHOOSE({1,2,3,4},XT!X103,XT!AB103,XT!AF103,XT!AJ103)))</f>
        <v>0</v>
      </c>
      <c r="N103" t="str">
        <f>IFERROR(INDEX(CHOOSE({1,2,3,4}, DAY(XT!U103), DAY(XT!Y103), DAY(XT!AC103), DAY(XT!AG103)), MATCH(1, INDEX(--(MONTH(CHOOSE({1,2,3,4}, XT!U103,XT!Y103,XT!AC103,XT!AG103))=4), 0), 0)), "")</f>
        <v/>
      </c>
      <c r="O103" s="12" t="str">
        <f>IF(XT!$P103&gt;0,N103,"")</f>
        <v/>
      </c>
      <c r="P103" s="12" t="str">
        <f>IF(XT!$P103=0,N103,"")</f>
        <v/>
      </c>
      <c r="Q103">
        <f>SUMPRODUCT((MONTH(CHOOSE({1,2,3,4},XT!U103,XT!Y103,XT!AC103,XT!AG103))=5)*(CHOOSE({1,2,3,4},XT!X103,XT!AB103,XT!AF103,XT!AJ103)))</f>
        <v>0</v>
      </c>
      <c r="R103" t="str">
        <f>IFERROR(INDEX(CHOOSE({1,2,3,4}, DAY(XT!U103), DAY(XT!Y103), DAY(XT!AC103), DAY(XT!AG103)), MATCH(1, INDEX(--(MONTH(CHOOSE({1,2,3,4}, XT!U103,XT!Y103,XT!AC103,XT!AG103))=5), 0), 0)), "")</f>
        <v/>
      </c>
      <c r="S103" s="12" t="str">
        <f>IF(XT!$P103&gt;0,R103,"")</f>
        <v/>
      </c>
      <c r="T103" s="12" t="str">
        <f>IF(XT!$P103=0,R103,"")</f>
        <v/>
      </c>
      <c r="U103">
        <f>SUMPRODUCT((MONTH(CHOOSE({1,2,3,4},XT!U103,XT!Y103,XT!AC103,XT!AG103))=6)*(CHOOSE({1,2,3,4},XT!X103,XT!AB103,XT!AF103,XT!AJ103)))</f>
        <v>0</v>
      </c>
      <c r="V103" t="str">
        <f>IFERROR(INDEX(CHOOSE({1,2,3,4}, DAY(XT!U103), DAY(XT!Y103), DAY(XT!AC103), DAY(XT!AG103)), MATCH(1, INDEX(--(MONTH(CHOOSE({1,2,3,4}, XT!U103,XT!Y103,XT!AC103,XT!AG103))=6), 0), 0)), "")</f>
        <v/>
      </c>
      <c r="W103" s="12" t="str">
        <f>IF(XT!$P103&gt;0,V103,"")</f>
        <v/>
      </c>
      <c r="X103" s="12" t="str">
        <f>IF(XT!$P103=0,V103,"")</f>
        <v/>
      </c>
      <c r="Y103">
        <f>SUMPRODUCT((MONTH(CHOOSE({1,2,3,4},XT!U103,XT!Y103,XT!AC103,XT!AG103))=7)*(CHOOSE({1,2,3,4},XT!X103,XT!AB103,XT!AF103,XT!AJ103)))</f>
        <v>0</v>
      </c>
      <c r="Z103" t="str">
        <f>IFERROR(INDEX(CHOOSE({1,2,3,4}, DAY(XT!U103), DAY(XT!Y103), DAY(XT!AC103), DAY(XT!AG103)), MATCH(1, INDEX(--(MONTH(CHOOSE({1,2,3,4}, XT!U103,XT!Y103,XT!AC103,XT!AG103))=7), 0), 0)), "")</f>
        <v/>
      </c>
      <c r="AA103" s="12" t="str">
        <f>IF(XT!$P103&gt;0,Z103,"")</f>
        <v/>
      </c>
      <c r="AB103" s="12" t="str">
        <f>IF(XT!$P103=0,Z103,"")</f>
        <v/>
      </c>
      <c r="AC103">
        <f>SUMPRODUCT((MONTH(CHOOSE({1,2,3,4},XT!U103,XT!Y103,XT!AC103,XT!AG103))=8)*(CHOOSE({1,2,3,4},XT!X103,XT!AB103,XT!AF103,XT!AJ103)))</f>
        <v>0</v>
      </c>
      <c r="AD103" t="str">
        <f>IFERROR(INDEX(CHOOSE({1,2,3,4}, DAY(XT!U103), DAY(XT!Y103), DAY(XT!AC103), DAY(XT!AG103)), MATCH(1, INDEX(--(MONTH(CHOOSE({1,2,3,4}, XT!U103,XT!Y103,XT!AC103,XT!AG103))=8), 0), 0)), "")</f>
        <v/>
      </c>
      <c r="AE103" s="12" t="str">
        <f>IF(XT!$P103&gt;0,AD103,"")</f>
        <v/>
      </c>
      <c r="AF103" s="12" t="str">
        <f>IF(XT!$P103=0,AD103,"")</f>
        <v/>
      </c>
      <c r="AG103">
        <f>SUMPRODUCT((MONTH(CHOOSE({1,2,3,4},XT!U103,XT!Y103,XT!AC103,XT!AG103))=9)*(CHOOSE({1,2,3,4},XT!X103,XT!AB103,XT!AF103,XT!AJ103)))</f>
        <v>0</v>
      </c>
      <c r="AH103" t="str">
        <f>IFERROR(INDEX(CHOOSE({1,2,3,4}, DAY(XT!U103), DAY(XT!Y103), DAY(XT!AC103), DAY(XT!AG103)), MATCH(1, INDEX(--(MONTH(CHOOSE({1,2,3,4}, XT!U103,XT!Y103,XT!AC103,XT!AG103))=9), 0), 0)), "")</f>
        <v/>
      </c>
      <c r="AI103" s="12" t="str">
        <f>IF(XT!$P103&gt;0,AH103,"")</f>
        <v/>
      </c>
      <c r="AJ103" s="12" t="str">
        <f>IF(XT!$P103=0,AH103,"")</f>
        <v/>
      </c>
      <c r="AK103">
        <f>SUMPRODUCT((MONTH(CHOOSE({1,2,3,4},XT!U103,XT!Y103,XT!AC103,XT!AG103))=10)*(CHOOSE({1,2,3,4},XT!X103,XT!AB103,XT!AF103,XT!AJ103)))</f>
        <v>0</v>
      </c>
      <c r="AL103" t="str">
        <f>IFERROR(INDEX(CHOOSE({1,2,3,4}, DAY(XT!U103), DAY(XT!Y103), DAY(XT!AC103), DAY(XT!AG103)), MATCH(1, INDEX(--(MONTH(CHOOSE({1,2,3,4}, XT!U103,XT!Y103,XT!AC103,XT!AG103))=10), 0), 0)), "")</f>
        <v/>
      </c>
      <c r="AM103" s="12" t="str">
        <f>IF(XT!$P103&gt;0,AL103,"")</f>
        <v/>
      </c>
      <c r="AN103" s="12" t="str">
        <f>IF(XT!$P103=0,AL103,"")</f>
        <v/>
      </c>
      <c r="AO103">
        <f>SUMPRODUCT((MONTH(CHOOSE({1,2,3,4},XT!U103,XT!Y103,XT!AC103,XT!AG103))=11)*(CHOOSE({1,2,3,4},XT!X103,XT!AB103,XT!AF103,XT!AJ103)))</f>
        <v>0</v>
      </c>
      <c r="AP103" t="str">
        <f>IFERROR(INDEX(CHOOSE({1,2,3,4}, DAY(XT!U103), DAY(XT!Y103), DAY(XT!AC103), DAY(XT!AG103)), MATCH(1, INDEX(--(MONTH(CHOOSE({1,2,3,4}, XT!U103,XT!Y103,XT!AC103,XT!AG103))=11), 0), 0)), "")</f>
        <v/>
      </c>
      <c r="AQ103" s="12" t="str">
        <f>IF(XT!$P103&gt;0,AP103,"")</f>
        <v/>
      </c>
      <c r="AR103" s="12" t="str">
        <f>IF(XT!$P103=0,AP103,"")</f>
        <v/>
      </c>
      <c r="AS103">
        <f>SUMPRODUCT((MONTH(CHOOSE({1,2,3,4},XT!U103,XT!Y103,XT!AC103,XT!AG103))=12)*(CHOOSE({1,2,3,4},XT!X103,XT!AB103,XT!AF103,XT!AJ103)))</f>
        <v>0</v>
      </c>
      <c r="AT103" t="str">
        <f>IFERROR(INDEX(CHOOSE({1,2,3,4}, DAY(XT!U103), DAY(XT!Y103), DAY(XT!AC103), DAY(XT!AG103)), MATCH(1, INDEX(--(MONTH(CHOOSE({1,2,3,4}, XT!U103,XT!Y103,XT!AC103,XT!AG103))=12), 0), 0)), "")</f>
        <v/>
      </c>
      <c r="AU103" s="12" t="str">
        <f>IF(XT!$P103&gt;0,AT103,"")</f>
        <v/>
      </c>
      <c r="AV103" s="12" t="str">
        <f>IF(XT!$P103=0,AT103,"")</f>
        <v/>
      </c>
    </row>
    <row r="104" spans="1:48">
      <c r="A104">
        <f>SUMPRODUCT((MONTH(CHOOSE({1,2,3,4},XT!U104,XT!Y104,XT!AC104,XT!AG104))=1)*(CHOOSE({1,2,3,4},XT!X104,XT!AB104,XT!AF104,XT!AJ104)))</f>
        <v>0</v>
      </c>
      <c r="B104">
        <f>IFERROR(INDEX(CHOOSE({1,2,3,4}, DAY(XT!U104), DAY(XT!Y104), DAY(XT!AC104), DAY(XT!AG104)), MATCH(1, INDEX(--(MONTH(CHOOSE({1,2,3,4}, XT!U104,XT!Y104,XT!AC104,XT!AG104))=1), 0), 0)), "")</f>
        <v>0</v>
      </c>
      <c r="C104" s="12" t="str">
        <f>IF(XT!$P104&gt;0,B104,"")</f>
        <v/>
      </c>
      <c r="D104" s="12">
        <f>IF(XT!$P104=0,B104,"")</f>
        <v>0</v>
      </c>
      <c r="E104">
        <f>SUMPRODUCT((MONTH(CHOOSE({1,2,3,4},XT!U104,XT!Y104,XT!AC104,XT!AG104))=2)*(CHOOSE({1,2,3,4},XT!X104,XT!AB104,XT!AF104,XT!AJ104)))</f>
        <v>0</v>
      </c>
      <c r="F104" t="str">
        <f>IFERROR(INDEX(CHOOSE({1,2,3,4}, DAY(XT!U104), DAY(XT!Y104), DAY(XT!AC104), DAY(XT!AG104)), MATCH(1, INDEX(--(MONTH(CHOOSE({1,2,3,4}, XT!U104,XT!Y104,XT!AC104,XT!AG104))=2), 0), 0)), "")</f>
        <v/>
      </c>
      <c r="G104" s="12" t="str">
        <f>IF(XT!$P104&gt;0,F104,"")</f>
        <v/>
      </c>
      <c r="H104" s="12" t="str">
        <f>IF(XT!$P104=0,F104,"")</f>
        <v/>
      </c>
      <c r="I104">
        <f>SUMPRODUCT((MONTH(CHOOSE({1,2,3,4},XT!U104,XT!Y104,XT!AC104,XT!AG104))=3)*(CHOOSE({1,2,3,4},XT!X104,XT!AB104,XT!AF104,XT!AJ104)))</f>
        <v>0</v>
      </c>
      <c r="J104" t="str">
        <f>IFERROR(INDEX(CHOOSE({1,2,3,4}, DAY(XT!U104), DAY(XT!Y104), DAY(XT!AC104), DAY(XT!AG104)), MATCH(1, INDEX(--(MONTH(CHOOSE({1,2,3,4}, XT!U104,XT!Y104,XT!AC104,XT!AG104))=3), 0), 0)), "")</f>
        <v/>
      </c>
      <c r="K104" s="12" t="str">
        <f>IF(XT!$P104&gt;0,J104,"")</f>
        <v/>
      </c>
      <c r="L104" s="12" t="str">
        <f>IF(XT!$P104=0,J104,"")</f>
        <v/>
      </c>
      <c r="M104">
        <f>SUMPRODUCT((MONTH(CHOOSE({1,2,3,4},XT!U104,XT!Y104,XT!AC104,XT!AG104))=4)*(CHOOSE({1,2,3,4},XT!X104,XT!AB104,XT!AF104,XT!AJ104)))</f>
        <v>0</v>
      </c>
      <c r="N104" t="str">
        <f>IFERROR(INDEX(CHOOSE({1,2,3,4}, DAY(XT!U104), DAY(XT!Y104), DAY(XT!AC104), DAY(XT!AG104)), MATCH(1, INDEX(--(MONTH(CHOOSE({1,2,3,4}, XT!U104,XT!Y104,XT!AC104,XT!AG104))=4), 0), 0)), "")</f>
        <v/>
      </c>
      <c r="O104" s="12" t="str">
        <f>IF(XT!$P104&gt;0,N104,"")</f>
        <v/>
      </c>
      <c r="P104" s="12" t="str">
        <f>IF(XT!$P104=0,N104,"")</f>
        <v/>
      </c>
      <c r="Q104">
        <f>SUMPRODUCT((MONTH(CHOOSE({1,2,3,4},XT!U104,XT!Y104,XT!AC104,XT!AG104))=5)*(CHOOSE({1,2,3,4},XT!X104,XT!AB104,XT!AF104,XT!AJ104)))</f>
        <v>0</v>
      </c>
      <c r="R104" t="str">
        <f>IFERROR(INDEX(CHOOSE({1,2,3,4}, DAY(XT!U104), DAY(XT!Y104), DAY(XT!AC104), DAY(XT!AG104)), MATCH(1, INDEX(--(MONTH(CHOOSE({1,2,3,4}, XT!U104,XT!Y104,XT!AC104,XT!AG104))=5), 0), 0)), "")</f>
        <v/>
      </c>
      <c r="S104" s="12" t="str">
        <f>IF(XT!$P104&gt;0,R104,"")</f>
        <v/>
      </c>
      <c r="T104" s="12" t="str">
        <f>IF(XT!$P104=0,R104,"")</f>
        <v/>
      </c>
      <c r="U104">
        <f>SUMPRODUCT((MONTH(CHOOSE({1,2,3,4},XT!U104,XT!Y104,XT!AC104,XT!AG104))=6)*(CHOOSE({1,2,3,4},XT!X104,XT!AB104,XT!AF104,XT!AJ104)))</f>
        <v>0</v>
      </c>
      <c r="V104" t="str">
        <f>IFERROR(INDEX(CHOOSE({1,2,3,4}, DAY(XT!U104), DAY(XT!Y104), DAY(XT!AC104), DAY(XT!AG104)), MATCH(1, INDEX(--(MONTH(CHOOSE({1,2,3,4}, XT!U104,XT!Y104,XT!AC104,XT!AG104))=6), 0), 0)), "")</f>
        <v/>
      </c>
      <c r="W104" s="12" t="str">
        <f>IF(XT!$P104&gt;0,V104,"")</f>
        <v/>
      </c>
      <c r="X104" s="12" t="str">
        <f>IF(XT!$P104=0,V104,"")</f>
        <v/>
      </c>
      <c r="Y104">
        <f>SUMPRODUCT((MONTH(CHOOSE({1,2,3,4},XT!U104,XT!Y104,XT!AC104,XT!AG104))=7)*(CHOOSE({1,2,3,4},XT!X104,XT!AB104,XT!AF104,XT!AJ104)))</f>
        <v>0</v>
      </c>
      <c r="Z104" t="str">
        <f>IFERROR(INDEX(CHOOSE({1,2,3,4}, DAY(XT!U104), DAY(XT!Y104), DAY(XT!AC104), DAY(XT!AG104)), MATCH(1, INDEX(--(MONTH(CHOOSE({1,2,3,4}, XT!U104,XT!Y104,XT!AC104,XT!AG104))=7), 0), 0)), "")</f>
        <v/>
      </c>
      <c r="AA104" s="12" t="str">
        <f>IF(XT!$P104&gt;0,Z104,"")</f>
        <v/>
      </c>
      <c r="AB104" s="12" t="str">
        <f>IF(XT!$P104=0,Z104,"")</f>
        <v/>
      </c>
      <c r="AC104">
        <f>SUMPRODUCT((MONTH(CHOOSE({1,2,3,4},XT!U104,XT!Y104,XT!AC104,XT!AG104))=8)*(CHOOSE({1,2,3,4},XT!X104,XT!AB104,XT!AF104,XT!AJ104)))</f>
        <v>0</v>
      </c>
      <c r="AD104" t="str">
        <f>IFERROR(INDEX(CHOOSE({1,2,3,4}, DAY(XT!U104), DAY(XT!Y104), DAY(XT!AC104), DAY(XT!AG104)), MATCH(1, INDEX(--(MONTH(CHOOSE({1,2,3,4}, XT!U104,XT!Y104,XT!AC104,XT!AG104))=8), 0), 0)), "")</f>
        <v/>
      </c>
      <c r="AE104" s="12" t="str">
        <f>IF(XT!$P104&gt;0,AD104,"")</f>
        <v/>
      </c>
      <c r="AF104" s="12" t="str">
        <f>IF(XT!$P104=0,AD104,"")</f>
        <v/>
      </c>
      <c r="AG104">
        <f>SUMPRODUCT((MONTH(CHOOSE({1,2,3,4},XT!U104,XT!Y104,XT!AC104,XT!AG104))=9)*(CHOOSE({1,2,3,4},XT!X104,XT!AB104,XT!AF104,XT!AJ104)))</f>
        <v>0</v>
      </c>
      <c r="AH104" t="str">
        <f>IFERROR(INDEX(CHOOSE({1,2,3,4}, DAY(XT!U104), DAY(XT!Y104), DAY(XT!AC104), DAY(XT!AG104)), MATCH(1, INDEX(--(MONTH(CHOOSE({1,2,3,4}, XT!U104,XT!Y104,XT!AC104,XT!AG104))=9), 0), 0)), "")</f>
        <v/>
      </c>
      <c r="AI104" s="12" t="str">
        <f>IF(XT!$P104&gt;0,AH104,"")</f>
        <v/>
      </c>
      <c r="AJ104" s="12" t="str">
        <f>IF(XT!$P104=0,AH104,"")</f>
        <v/>
      </c>
      <c r="AK104">
        <f>SUMPRODUCT((MONTH(CHOOSE({1,2,3,4},XT!U104,XT!Y104,XT!AC104,XT!AG104))=10)*(CHOOSE({1,2,3,4},XT!X104,XT!AB104,XT!AF104,XT!AJ104)))</f>
        <v>0</v>
      </c>
      <c r="AL104" t="str">
        <f>IFERROR(INDEX(CHOOSE({1,2,3,4}, DAY(XT!U104), DAY(XT!Y104), DAY(XT!AC104), DAY(XT!AG104)), MATCH(1, INDEX(--(MONTH(CHOOSE({1,2,3,4}, XT!U104,XT!Y104,XT!AC104,XT!AG104))=10), 0), 0)), "")</f>
        <v/>
      </c>
      <c r="AM104" s="12" t="str">
        <f>IF(XT!$P104&gt;0,AL104,"")</f>
        <v/>
      </c>
      <c r="AN104" s="12" t="str">
        <f>IF(XT!$P104=0,AL104,"")</f>
        <v/>
      </c>
      <c r="AO104">
        <f>SUMPRODUCT((MONTH(CHOOSE({1,2,3,4},XT!U104,XT!Y104,XT!AC104,XT!AG104))=11)*(CHOOSE({1,2,3,4},XT!X104,XT!AB104,XT!AF104,XT!AJ104)))</f>
        <v>0</v>
      </c>
      <c r="AP104" t="str">
        <f>IFERROR(INDEX(CHOOSE({1,2,3,4}, DAY(XT!U104), DAY(XT!Y104), DAY(XT!AC104), DAY(XT!AG104)), MATCH(1, INDEX(--(MONTH(CHOOSE({1,2,3,4}, XT!U104,XT!Y104,XT!AC104,XT!AG104))=11), 0), 0)), "")</f>
        <v/>
      </c>
      <c r="AQ104" s="12" t="str">
        <f>IF(XT!$P104&gt;0,AP104,"")</f>
        <v/>
      </c>
      <c r="AR104" s="12" t="str">
        <f>IF(XT!$P104=0,AP104,"")</f>
        <v/>
      </c>
      <c r="AS104">
        <f>SUMPRODUCT((MONTH(CHOOSE({1,2,3,4},XT!U104,XT!Y104,XT!AC104,XT!AG104))=12)*(CHOOSE({1,2,3,4},XT!X104,XT!AB104,XT!AF104,XT!AJ104)))</f>
        <v>0</v>
      </c>
      <c r="AT104" t="str">
        <f>IFERROR(INDEX(CHOOSE({1,2,3,4}, DAY(XT!U104), DAY(XT!Y104), DAY(XT!AC104), DAY(XT!AG104)), MATCH(1, INDEX(--(MONTH(CHOOSE({1,2,3,4}, XT!U104,XT!Y104,XT!AC104,XT!AG104))=12), 0), 0)), "")</f>
        <v/>
      </c>
      <c r="AU104" s="12" t="str">
        <f>IF(XT!$P104&gt;0,AT104,"")</f>
        <v/>
      </c>
      <c r="AV104" s="12" t="str">
        <f>IF(XT!$P104=0,AT104,"")</f>
        <v/>
      </c>
    </row>
    <row r="105" spans="1:48">
      <c r="A105">
        <f>SUMPRODUCT((MONTH(CHOOSE({1,2,3,4},XT!U105,XT!Y105,XT!AC105,XT!AG105))=1)*(CHOOSE({1,2,3,4},XT!X105,XT!AB105,XT!AF105,XT!AJ105)))</f>
        <v>0</v>
      </c>
      <c r="B105">
        <f>IFERROR(INDEX(CHOOSE({1,2,3,4}, DAY(XT!U105), DAY(XT!Y105), DAY(XT!AC105), DAY(XT!AG105)), MATCH(1, INDEX(--(MONTH(CHOOSE({1,2,3,4}, XT!U105,XT!Y105,XT!AC105,XT!AG105))=1), 0), 0)), "")</f>
        <v>0</v>
      </c>
      <c r="C105" s="12" t="str">
        <f>IF(XT!$P105&gt;0,B105,"")</f>
        <v/>
      </c>
      <c r="D105" s="12">
        <f>IF(XT!$P105=0,B105,"")</f>
        <v>0</v>
      </c>
      <c r="E105">
        <f>SUMPRODUCT((MONTH(CHOOSE({1,2,3,4},XT!U105,XT!Y105,XT!AC105,XT!AG105))=2)*(CHOOSE({1,2,3,4},XT!X105,XT!AB105,XT!AF105,XT!AJ105)))</f>
        <v>0</v>
      </c>
      <c r="F105" t="str">
        <f>IFERROR(INDEX(CHOOSE({1,2,3,4}, DAY(XT!U105), DAY(XT!Y105), DAY(XT!AC105), DAY(XT!AG105)), MATCH(1, INDEX(--(MONTH(CHOOSE({1,2,3,4}, XT!U105,XT!Y105,XT!AC105,XT!AG105))=2), 0), 0)), "")</f>
        <v/>
      </c>
      <c r="G105" s="12" t="str">
        <f>IF(XT!$P105&gt;0,F105,"")</f>
        <v/>
      </c>
      <c r="H105" s="12" t="str">
        <f>IF(XT!$P105=0,F105,"")</f>
        <v/>
      </c>
      <c r="I105">
        <f>SUMPRODUCT((MONTH(CHOOSE({1,2,3,4},XT!U105,XT!Y105,XT!AC105,XT!AG105))=3)*(CHOOSE({1,2,3,4},XT!X105,XT!AB105,XT!AF105,XT!AJ105)))</f>
        <v>0</v>
      </c>
      <c r="J105" t="str">
        <f>IFERROR(INDEX(CHOOSE({1,2,3,4}, DAY(XT!U105), DAY(XT!Y105), DAY(XT!AC105), DAY(XT!AG105)), MATCH(1, INDEX(--(MONTH(CHOOSE({1,2,3,4}, XT!U105,XT!Y105,XT!AC105,XT!AG105))=3), 0), 0)), "")</f>
        <v/>
      </c>
      <c r="K105" s="12" t="str">
        <f>IF(XT!$P105&gt;0,J105,"")</f>
        <v/>
      </c>
      <c r="L105" s="12" t="str">
        <f>IF(XT!$P105=0,J105,"")</f>
        <v/>
      </c>
      <c r="M105">
        <f>SUMPRODUCT((MONTH(CHOOSE({1,2,3,4},XT!U105,XT!Y105,XT!AC105,XT!AG105))=4)*(CHOOSE({1,2,3,4},XT!X105,XT!AB105,XT!AF105,XT!AJ105)))</f>
        <v>0</v>
      </c>
      <c r="N105" t="str">
        <f>IFERROR(INDEX(CHOOSE({1,2,3,4}, DAY(XT!U105), DAY(XT!Y105), DAY(XT!AC105), DAY(XT!AG105)), MATCH(1, INDEX(--(MONTH(CHOOSE({1,2,3,4}, XT!U105,XT!Y105,XT!AC105,XT!AG105))=4), 0), 0)), "")</f>
        <v/>
      </c>
      <c r="O105" s="12" t="str">
        <f>IF(XT!$P105&gt;0,N105,"")</f>
        <v/>
      </c>
      <c r="P105" s="12" t="str">
        <f>IF(XT!$P105=0,N105,"")</f>
        <v/>
      </c>
      <c r="Q105">
        <f>SUMPRODUCT((MONTH(CHOOSE({1,2,3,4},XT!U105,XT!Y105,XT!AC105,XT!AG105))=5)*(CHOOSE({1,2,3,4},XT!X105,XT!AB105,XT!AF105,XT!AJ105)))</f>
        <v>0</v>
      </c>
      <c r="R105" t="str">
        <f>IFERROR(INDEX(CHOOSE({1,2,3,4}, DAY(XT!U105), DAY(XT!Y105), DAY(XT!AC105), DAY(XT!AG105)), MATCH(1, INDEX(--(MONTH(CHOOSE({1,2,3,4}, XT!U105,XT!Y105,XT!AC105,XT!AG105))=5), 0), 0)), "")</f>
        <v/>
      </c>
      <c r="S105" s="12" t="str">
        <f>IF(XT!$P105&gt;0,R105,"")</f>
        <v/>
      </c>
      <c r="T105" s="12" t="str">
        <f>IF(XT!$P105=0,R105,"")</f>
        <v/>
      </c>
      <c r="U105">
        <f>SUMPRODUCT((MONTH(CHOOSE({1,2,3,4},XT!U105,XT!Y105,XT!AC105,XT!AG105))=6)*(CHOOSE({1,2,3,4},XT!X105,XT!AB105,XT!AF105,XT!AJ105)))</f>
        <v>0</v>
      </c>
      <c r="V105" t="str">
        <f>IFERROR(INDEX(CHOOSE({1,2,3,4}, DAY(XT!U105), DAY(XT!Y105), DAY(XT!AC105), DAY(XT!AG105)), MATCH(1, INDEX(--(MONTH(CHOOSE({1,2,3,4}, XT!U105,XT!Y105,XT!AC105,XT!AG105))=6), 0), 0)), "")</f>
        <v/>
      </c>
      <c r="W105" s="12" t="str">
        <f>IF(XT!$P105&gt;0,V105,"")</f>
        <v/>
      </c>
      <c r="X105" s="12" t="str">
        <f>IF(XT!$P105=0,V105,"")</f>
        <v/>
      </c>
      <c r="Y105">
        <f>SUMPRODUCT((MONTH(CHOOSE({1,2,3,4},XT!U105,XT!Y105,XT!AC105,XT!AG105))=7)*(CHOOSE({1,2,3,4},XT!X105,XT!AB105,XT!AF105,XT!AJ105)))</f>
        <v>0</v>
      </c>
      <c r="Z105" t="str">
        <f>IFERROR(INDEX(CHOOSE({1,2,3,4}, DAY(XT!U105), DAY(XT!Y105), DAY(XT!AC105), DAY(XT!AG105)), MATCH(1, INDEX(--(MONTH(CHOOSE({1,2,3,4}, XT!U105,XT!Y105,XT!AC105,XT!AG105))=7), 0), 0)), "")</f>
        <v/>
      </c>
      <c r="AA105" s="12" t="str">
        <f>IF(XT!$P105&gt;0,Z105,"")</f>
        <v/>
      </c>
      <c r="AB105" s="12" t="str">
        <f>IF(XT!$P105=0,Z105,"")</f>
        <v/>
      </c>
      <c r="AC105">
        <f>SUMPRODUCT((MONTH(CHOOSE({1,2,3,4},XT!U105,XT!Y105,XT!AC105,XT!AG105))=8)*(CHOOSE({1,2,3,4},XT!X105,XT!AB105,XT!AF105,XT!AJ105)))</f>
        <v>0</v>
      </c>
      <c r="AD105" t="str">
        <f>IFERROR(INDEX(CHOOSE({1,2,3,4}, DAY(XT!U105), DAY(XT!Y105), DAY(XT!AC105), DAY(XT!AG105)), MATCH(1, INDEX(--(MONTH(CHOOSE({1,2,3,4}, XT!U105,XT!Y105,XT!AC105,XT!AG105))=8), 0), 0)), "")</f>
        <v/>
      </c>
      <c r="AE105" s="12" t="str">
        <f>IF(XT!$P105&gt;0,AD105,"")</f>
        <v/>
      </c>
      <c r="AF105" s="12" t="str">
        <f>IF(XT!$P105=0,AD105,"")</f>
        <v/>
      </c>
      <c r="AG105">
        <f>SUMPRODUCT((MONTH(CHOOSE({1,2,3,4},XT!U105,XT!Y105,XT!AC105,XT!AG105))=9)*(CHOOSE({1,2,3,4},XT!X105,XT!AB105,XT!AF105,XT!AJ105)))</f>
        <v>0</v>
      </c>
      <c r="AH105" t="str">
        <f>IFERROR(INDEX(CHOOSE({1,2,3,4}, DAY(XT!U105), DAY(XT!Y105), DAY(XT!AC105), DAY(XT!AG105)), MATCH(1, INDEX(--(MONTH(CHOOSE({1,2,3,4}, XT!U105,XT!Y105,XT!AC105,XT!AG105))=9), 0), 0)), "")</f>
        <v/>
      </c>
      <c r="AI105" s="12" t="str">
        <f>IF(XT!$P105&gt;0,AH105,"")</f>
        <v/>
      </c>
      <c r="AJ105" s="12" t="str">
        <f>IF(XT!$P105=0,AH105,"")</f>
        <v/>
      </c>
      <c r="AK105">
        <f>SUMPRODUCT((MONTH(CHOOSE({1,2,3,4},XT!U105,XT!Y105,XT!AC105,XT!AG105))=10)*(CHOOSE({1,2,3,4},XT!X105,XT!AB105,XT!AF105,XT!AJ105)))</f>
        <v>0</v>
      </c>
      <c r="AL105" t="str">
        <f>IFERROR(INDEX(CHOOSE({1,2,3,4}, DAY(XT!U105), DAY(XT!Y105), DAY(XT!AC105), DAY(XT!AG105)), MATCH(1, INDEX(--(MONTH(CHOOSE({1,2,3,4}, XT!U105,XT!Y105,XT!AC105,XT!AG105))=10), 0), 0)), "")</f>
        <v/>
      </c>
      <c r="AM105" s="12" t="str">
        <f>IF(XT!$P105&gt;0,AL105,"")</f>
        <v/>
      </c>
      <c r="AN105" s="12" t="str">
        <f>IF(XT!$P105=0,AL105,"")</f>
        <v/>
      </c>
      <c r="AO105">
        <f>SUMPRODUCT((MONTH(CHOOSE({1,2,3,4},XT!U105,XT!Y105,XT!AC105,XT!AG105))=11)*(CHOOSE({1,2,3,4},XT!X105,XT!AB105,XT!AF105,XT!AJ105)))</f>
        <v>0</v>
      </c>
      <c r="AP105" t="str">
        <f>IFERROR(INDEX(CHOOSE({1,2,3,4}, DAY(XT!U105), DAY(XT!Y105), DAY(XT!AC105), DAY(XT!AG105)), MATCH(1, INDEX(--(MONTH(CHOOSE({1,2,3,4}, XT!U105,XT!Y105,XT!AC105,XT!AG105))=11), 0), 0)), "")</f>
        <v/>
      </c>
      <c r="AQ105" s="12" t="str">
        <f>IF(XT!$P105&gt;0,AP105,"")</f>
        <v/>
      </c>
      <c r="AR105" s="12" t="str">
        <f>IF(XT!$P105=0,AP105,"")</f>
        <v/>
      </c>
      <c r="AS105">
        <f>SUMPRODUCT((MONTH(CHOOSE({1,2,3,4},XT!U105,XT!Y105,XT!AC105,XT!AG105))=12)*(CHOOSE({1,2,3,4},XT!X105,XT!AB105,XT!AF105,XT!AJ105)))</f>
        <v>0</v>
      </c>
      <c r="AT105" t="str">
        <f>IFERROR(INDEX(CHOOSE({1,2,3,4}, DAY(XT!U105), DAY(XT!Y105), DAY(XT!AC105), DAY(XT!AG105)), MATCH(1, INDEX(--(MONTH(CHOOSE({1,2,3,4}, XT!U105,XT!Y105,XT!AC105,XT!AG105))=12), 0), 0)), "")</f>
        <v/>
      </c>
      <c r="AU105" s="12" t="str">
        <f>IF(XT!$P105&gt;0,AT105,"")</f>
        <v/>
      </c>
      <c r="AV105" s="12" t="str">
        <f>IF(XT!$P105=0,AT105,"")</f>
        <v/>
      </c>
    </row>
    <row r="106" spans="1:48">
      <c r="A106">
        <f>SUMPRODUCT((MONTH(CHOOSE({1,2,3,4},XT!U106,XT!Y106,XT!AC106,XT!AG106))=1)*(CHOOSE({1,2,3,4},XT!X106,XT!AB106,XT!AF106,XT!AJ106)))</f>
        <v>0</v>
      </c>
      <c r="B106">
        <f>IFERROR(INDEX(CHOOSE({1,2,3,4}, DAY(XT!U106), DAY(XT!Y106), DAY(XT!AC106), DAY(XT!AG106)), MATCH(1, INDEX(--(MONTH(CHOOSE({1,2,3,4}, XT!U106,XT!Y106,XT!AC106,XT!AG106))=1), 0), 0)), "")</f>
        <v>0</v>
      </c>
      <c r="C106" s="12" t="str">
        <f>IF(XT!$P106&gt;0,B106,"")</f>
        <v/>
      </c>
      <c r="D106" s="12">
        <f>IF(XT!$P106=0,B106,"")</f>
        <v>0</v>
      </c>
      <c r="E106">
        <f>SUMPRODUCT((MONTH(CHOOSE({1,2,3,4},XT!U106,XT!Y106,XT!AC106,XT!AG106))=2)*(CHOOSE({1,2,3,4},XT!X106,XT!AB106,XT!AF106,XT!AJ106)))</f>
        <v>0</v>
      </c>
      <c r="F106" t="str">
        <f>IFERROR(INDEX(CHOOSE({1,2,3,4}, DAY(XT!U106), DAY(XT!Y106), DAY(XT!AC106), DAY(XT!AG106)), MATCH(1, INDEX(--(MONTH(CHOOSE({1,2,3,4}, XT!U106,XT!Y106,XT!AC106,XT!AG106))=2), 0), 0)), "")</f>
        <v/>
      </c>
      <c r="G106" s="12" t="str">
        <f>IF(XT!$P106&gt;0,F106,"")</f>
        <v/>
      </c>
      <c r="H106" s="12" t="str">
        <f>IF(XT!$P106=0,F106,"")</f>
        <v/>
      </c>
      <c r="I106">
        <f>SUMPRODUCT((MONTH(CHOOSE({1,2,3,4},XT!U106,XT!Y106,XT!AC106,XT!AG106))=3)*(CHOOSE({1,2,3,4},XT!X106,XT!AB106,XT!AF106,XT!AJ106)))</f>
        <v>0</v>
      </c>
      <c r="J106" t="str">
        <f>IFERROR(INDEX(CHOOSE({1,2,3,4}, DAY(XT!U106), DAY(XT!Y106), DAY(XT!AC106), DAY(XT!AG106)), MATCH(1, INDEX(--(MONTH(CHOOSE({1,2,3,4}, XT!U106,XT!Y106,XT!AC106,XT!AG106))=3), 0), 0)), "")</f>
        <v/>
      </c>
      <c r="K106" s="12" t="str">
        <f>IF(XT!$P106&gt;0,J106,"")</f>
        <v/>
      </c>
      <c r="L106" s="12" t="str">
        <f>IF(XT!$P106=0,J106,"")</f>
        <v/>
      </c>
      <c r="M106">
        <f>SUMPRODUCT((MONTH(CHOOSE({1,2,3,4},XT!U106,XT!Y106,XT!AC106,XT!AG106))=4)*(CHOOSE({1,2,3,4},XT!X106,XT!AB106,XT!AF106,XT!AJ106)))</f>
        <v>0</v>
      </c>
      <c r="N106" t="str">
        <f>IFERROR(INDEX(CHOOSE({1,2,3,4}, DAY(XT!U106), DAY(XT!Y106), DAY(XT!AC106), DAY(XT!AG106)), MATCH(1, INDEX(--(MONTH(CHOOSE({1,2,3,4}, XT!U106,XT!Y106,XT!AC106,XT!AG106))=4), 0), 0)), "")</f>
        <v/>
      </c>
      <c r="O106" s="12" t="str">
        <f>IF(XT!$P106&gt;0,N106,"")</f>
        <v/>
      </c>
      <c r="P106" s="12" t="str">
        <f>IF(XT!$P106=0,N106,"")</f>
        <v/>
      </c>
      <c r="Q106">
        <f>SUMPRODUCT((MONTH(CHOOSE({1,2,3,4},XT!U106,XT!Y106,XT!AC106,XT!AG106))=5)*(CHOOSE({1,2,3,4},XT!X106,XT!AB106,XT!AF106,XT!AJ106)))</f>
        <v>0</v>
      </c>
      <c r="R106" t="str">
        <f>IFERROR(INDEX(CHOOSE({1,2,3,4}, DAY(XT!U106), DAY(XT!Y106), DAY(XT!AC106), DAY(XT!AG106)), MATCH(1, INDEX(--(MONTH(CHOOSE({1,2,3,4}, XT!U106,XT!Y106,XT!AC106,XT!AG106))=5), 0), 0)), "")</f>
        <v/>
      </c>
      <c r="S106" s="12" t="str">
        <f>IF(XT!$P106&gt;0,R106,"")</f>
        <v/>
      </c>
      <c r="T106" s="12" t="str">
        <f>IF(XT!$P106=0,R106,"")</f>
        <v/>
      </c>
      <c r="U106">
        <f>SUMPRODUCT((MONTH(CHOOSE({1,2,3,4},XT!U106,XT!Y106,XT!AC106,XT!AG106))=6)*(CHOOSE({1,2,3,4},XT!X106,XT!AB106,XT!AF106,XT!AJ106)))</f>
        <v>0</v>
      </c>
      <c r="V106" t="str">
        <f>IFERROR(INDEX(CHOOSE({1,2,3,4}, DAY(XT!U106), DAY(XT!Y106), DAY(XT!AC106), DAY(XT!AG106)), MATCH(1, INDEX(--(MONTH(CHOOSE({1,2,3,4}, XT!U106,XT!Y106,XT!AC106,XT!AG106))=6), 0), 0)), "")</f>
        <v/>
      </c>
      <c r="W106" s="12" t="str">
        <f>IF(XT!$P106&gt;0,V106,"")</f>
        <v/>
      </c>
      <c r="X106" s="12" t="str">
        <f>IF(XT!$P106=0,V106,"")</f>
        <v/>
      </c>
      <c r="Y106">
        <f>SUMPRODUCT((MONTH(CHOOSE({1,2,3,4},XT!U106,XT!Y106,XT!AC106,XT!AG106))=7)*(CHOOSE({1,2,3,4},XT!X106,XT!AB106,XT!AF106,XT!AJ106)))</f>
        <v>0</v>
      </c>
      <c r="Z106" t="str">
        <f>IFERROR(INDEX(CHOOSE({1,2,3,4}, DAY(XT!U106), DAY(XT!Y106), DAY(XT!AC106), DAY(XT!AG106)), MATCH(1, INDEX(--(MONTH(CHOOSE({1,2,3,4}, XT!U106,XT!Y106,XT!AC106,XT!AG106))=7), 0), 0)), "")</f>
        <v/>
      </c>
      <c r="AA106" s="12" t="str">
        <f>IF(XT!$P106&gt;0,Z106,"")</f>
        <v/>
      </c>
      <c r="AB106" s="12" t="str">
        <f>IF(XT!$P106=0,Z106,"")</f>
        <v/>
      </c>
      <c r="AC106">
        <f>SUMPRODUCT((MONTH(CHOOSE({1,2,3,4},XT!U106,XT!Y106,XT!AC106,XT!AG106))=8)*(CHOOSE({1,2,3,4},XT!X106,XT!AB106,XT!AF106,XT!AJ106)))</f>
        <v>0</v>
      </c>
      <c r="AD106" t="str">
        <f>IFERROR(INDEX(CHOOSE({1,2,3,4}, DAY(XT!U106), DAY(XT!Y106), DAY(XT!AC106), DAY(XT!AG106)), MATCH(1, INDEX(--(MONTH(CHOOSE({1,2,3,4}, XT!U106,XT!Y106,XT!AC106,XT!AG106))=8), 0), 0)), "")</f>
        <v/>
      </c>
      <c r="AE106" s="12" t="str">
        <f>IF(XT!$P106&gt;0,AD106,"")</f>
        <v/>
      </c>
      <c r="AF106" s="12" t="str">
        <f>IF(XT!$P106=0,AD106,"")</f>
        <v/>
      </c>
      <c r="AG106">
        <f>SUMPRODUCT((MONTH(CHOOSE({1,2,3,4},XT!U106,XT!Y106,XT!AC106,XT!AG106))=9)*(CHOOSE({1,2,3,4},XT!X106,XT!AB106,XT!AF106,XT!AJ106)))</f>
        <v>0</v>
      </c>
      <c r="AH106" t="str">
        <f>IFERROR(INDEX(CHOOSE({1,2,3,4}, DAY(XT!U106), DAY(XT!Y106), DAY(XT!AC106), DAY(XT!AG106)), MATCH(1, INDEX(--(MONTH(CHOOSE({1,2,3,4}, XT!U106,XT!Y106,XT!AC106,XT!AG106))=9), 0), 0)), "")</f>
        <v/>
      </c>
      <c r="AI106" s="12" t="str">
        <f>IF(XT!$P106&gt;0,AH106,"")</f>
        <v/>
      </c>
      <c r="AJ106" s="12" t="str">
        <f>IF(XT!$P106=0,AH106,"")</f>
        <v/>
      </c>
      <c r="AK106">
        <f>SUMPRODUCT((MONTH(CHOOSE({1,2,3,4},XT!U106,XT!Y106,XT!AC106,XT!AG106))=10)*(CHOOSE({1,2,3,4},XT!X106,XT!AB106,XT!AF106,XT!AJ106)))</f>
        <v>0</v>
      </c>
      <c r="AL106" t="str">
        <f>IFERROR(INDEX(CHOOSE({1,2,3,4}, DAY(XT!U106), DAY(XT!Y106), DAY(XT!AC106), DAY(XT!AG106)), MATCH(1, INDEX(--(MONTH(CHOOSE({1,2,3,4}, XT!U106,XT!Y106,XT!AC106,XT!AG106))=10), 0), 0)), "")</f>
        <v/>
      </c>
      <c r="AM106" s="12" t="str">
        <f>IF(XT!$P106&gt;0,AL106,"")</f>
        <v/>
      </c>
      <c r="AN106" s="12" t="str">
        <f>IF(XT!$P106=0,AL106,"")</f>
        <v/>
      </c>
      <c r="AO106">
        <f>SUMPRODUCT((MONTH(CHOOSE({1,2,3,4},XT!U106,XT!Y106,XT!AC106,XT!AG106))=11)*(CHOOSE({1,2,3,4},XT!X106,XT!AB106,XT!AF106,XT!AJ106)))</f>
        <v>0</v>
      </c>
      <c r="AP106" t="str">
        <f>IFERROR(INDEX(CHOOSE({1,2,3,4}, DAY(XT!U106), DAY(XT!Y106), DAY(XT!AC106), DAY(XT!AG106)), MATCH(1, INDEX(--(MONTH(CHOOSE({1,2,3,4}, XT!U106,XT!Y106,XT!AC106,XT!AG106))=11), 0), 0)), "")</f>
        <v/>
      </c>
      <c r="AQ106" s="12" t="str">
        <f>IF(XT!$P106&gt;0,AP106,"")</f>
        <v/>
      </c>
      <c r="AR106" s="12" t="str">
        <f>IF(XT!$P106=0,AP106,"")</f>
        <v/>
      </c>
      <c r="AS106">
        <f>SUMPRODUCT((MONTH(CHOOSE({1,2,3,4},XT!U106,XT!Y106,XT!AC106,XT!AG106))=12)*(CHOOSE({1,2,3,4},XT!X106,XT!AB106,XT!AF106,XT!AJ106)))</f>
        <v>0</v>
      </c>
      <c r="AT106" t="str">
        <f>IFERROR(INDEX(CHOOSE({1,2,3,4}, DAY(XT!U106), DAY(XT!Y106), DAY(XT!AC106), DAY(XT!AG106)), MATCH(1, INDEX(--(MONTH(CHOOSE({1,2,3,4}, XT!U106,XT!Y106,XT!AC106,XT!AG106))=12), 0), 0)), "")</f>
        <v/>
      </c>
      <c r="AU106" s="12" t="str">
        <f>IF(XT!$P106&gt;0,AT106,"")</f>
        <v/>
      </c>
      <c r="AV106" s="12" t="str">
        <f>IF(XT!$P106=0,AT106,"")</f>
        <v/>
      </c>
    </row>
    <row r="107" spans="1:48">
      <c r="A107">
        <f>SUMPRODUCT((MONTH(CHOOSE({1,2,3,4},XT!U107,XT!Y107,XT!AC107,XT!AG107))=1)*(CHOOSE({1,2,3,4},XT!X107,XT!AB107,XT!AF107,XT!AJ107)))</f>
        <v>0</v>
      </c>
      <c r="B107">
        <f>IFERROR(INDEX(CHOOSE({1,2,3,4}, DAY(XT!U107), DAY(XT!Y107), DAY(XT!AC107), DAY(XT!AG107)), MATCH(1, INDEX(--(MONTH(CHOOSE({1,2,3,4}, XT!U107,XT!Y107,XT!AC107,XT!AG107))=1), 0), 0)), "")</f>
        <v>0</v>
      </c>
      <c r="C107" s="12" t="str">
        <f>IF(XT!$P107&gt;0,B107,"")</f>
        <v/>
      </c>
      <c r="D107" s="12">
        <f>IF(XT!$P107=0,B107,"")</f>
        <v>0</v>
      </c>
      <c r="E107">
        <f>SUMPRODUCT((MONTH(CHOOSE({1,2,3,4},XT!U107,XT!Y107,XT!AC107,XT!AG107))=2)*(CHOOSE({1,2,3,4},XT!X107,XT!AB107,XT!AF107,XT!AJ107)))</f>
        <v>0</v>
      </c>
      <c r="F107" t="str">
        <f>IFERROR(INDEX(CHOOSE({1,2,3,4}, DAY(XT!U107), DAY(XT!Y107), DAY(XT!AC107), DAY(XT!AG107)), MATCH(1, INDEX(--(MONTH(CHOOSE({1,2,3,4}, XT!U107,XT!Y107,XT!AC107,XT!AG107))=2), 0), 0)), "")</f>
        <v/>
      </c>
      <c r="G107" s="12" t="str">
        <f>IF(XT!$P107&gt;0,F107,"")</f>
        <v/>
      </c>
      <c r="H107" s="12" t="str">
        <f>IF(XT!$P107=0,F107,"")</f>
        <v/>
      </c>
      <c r="I107">
        <f>SUMPRODUCT((MONTH(CHOOSE({1,2,3,4},XT!U107,XT!Y107,XT!AC107,XT!AG107))=3)*(CHOOSE({1,2,3,4},XT!X107,XT!AB107,XT!AF107,XT!AJ107)))</f>
        <v>0</v>
      </c>
      <c r="J107" t="str">
        <f>IFERROR(INDEX(CHOOSE({1,2,3,4}, DAY(XT!U107), DAY(XT!Y107), DAY(XT!AC107), DAY(XT!AG107)), MATCH(1, INDEX(--(MONTH(CHOOSE({1,2,3,4}, XT!U107,XT!Y107,XT!AC107,XT!AG107))=3), 0), 0)), "")</f>
        <v/>
      </c>
      <c r="K107" s="12" t="str">
        <f>IF(XT!$P107&gt;0,J107,"")</f>
        <v/>
      </c>
      <c r="L107" s="12" t="str">
        <f>IF(XT!$P107=0,J107,"")</f>
        <v/>
      </c>
      <c r="M107">
        <f>SUMPRODUCT((MONTH(CHOOSE({1,2,3,4},XT!U107,XT!Y107,XT!AC107,XT!AG107))=4)*(CHOOSE({1,2,3,4},XT!X107,XT!AB107,XT!AF107,XT!AJ107)))</f>
        <v>0</v>
      </c>
      <c r="N107" t="str">
        <f>IFERROR(INDEX(CHOOSE({1,2,3,4}, DAY(XT!U107), DAY(XT!Y107), DAY(XT!AC107), DAY(XT!AG107)), MATCH(1, INDEX(--(MONTH(CHOOSE({1,2,3,4}, XT!U107,XT!Y107,XT!AC107,XT!AG107))=4), 0), 0)), "")</f>
        <v/>
      </c>
      <c r="O107" s="12" t="str">
        <f>IF(XT!$P107&gt;0,N107,"")</f>
        <v/>
      </c>
      <c r="P107" s="12" t="str">
        <f>IF(XT!$P107=0,N107,"")</f>
        <v/>
      </c>
      <c r="Q107">
        <f>SUMPRODUCT((MONTH(CHOOSE({1,2,3,4},XT!U107,XT!Y107,XT!AC107,XT!AG107))=5)*(CHOOSE({1,2,3,4},XT!X107,XT!AB107,XT!AF107,XT!AJ107)))</f>
        <v>0</v>
      </c>
      <c r="R107" t="str">
        <f>IFERROR(INDEX(CHOOSE({1,2,3,4}, DAY(XT!U107), DAY(XT!Y107), DAY(XT!AC107), DAY(XT!AG107)), MATCH(1, INDEX(--(MONTH(CHOOSE({1,2,3,4}, XT!U107,XT!Y107,XT!AC107,XT!AG107))=5), 0), 0)), "")</f>
        <v/>
      </c>
      <c r="S107" s="12" t="str">
        <f>IF(XT!$P107&gt;0,R107,"")</f>
        <v/>
      </c>
      <c r="T107" s="12" t="str">
        <f>IF(XT!$P107=0,R107,"")</f>
        <v/>
      </c>
      <c r="U107">
        <f>SUMPRODUCT((MONTH(CHOOSE({1,2,3,4},XT!U107,XT!Y107,XT!AC107,XT!AG107))=6)*(CHOOSE({1,2,3,4},XT!X107,XT!AB107,XT!AF107,XT!AJ107)))</f>
        <v>0</v>
      </c>
      <c r="V107" t="str">
        <f>IFERROR(INDEX(CHOOSE({1,2,3,4}, DAY(XT!U107), DAY(XT!Y107), DAY(XT!AC107), DAY(XT!AG107)), MATCH(1, INDEX(--(MONTH(CHOOSE({1,2,3,4}, XT!U107,XT!Y107,XT!AC107,XT!AG107))=6), 0), 0)), "")</f>
        <v/>
      </c>
      <c r="W107" s="12" t="str">
        <f>IF(XT!$P107&gt;0,V107,"")</f>
        <v/>
      </c>
      <c r="X107" s="12" t="str">
        <f>IF(XT!$P107=0,V107,"")</f>
        <v/>
      </c>
      <c r="Y107">
        <f>SUMPRODUCT((MONTH(CHOOSE({1,2,3,4},XT!U107,XT!Y107,XT!AC107,XT!AG107))=7)*(CHOOSE({1,2,3,4},XT!X107,XT!AB107,XT!AF107,XT!AJ107)))</f>
        <v>0</v>
      </c>
      <c r="Z107" t="str">
        <f>IFERROR(INDEX(CHOOSE({1,2,3,4}, DAY(XT!U107), DAY(XT!Y107), DAY(XT!AC107), DAY(XT!AG107)), MATCH(1, INDEX(--(MONTH(CHOOSE({1,2,3,4}, XT!U107,XT!Y107,XT!AC107,XT!AG107))=7), 0), 0)), "")</f>
        <v/>
      </c>
      <c r="AA107" s="12" t="str">
        <f>IF(XT!$P107&gt;0,Z107,"")</f>
        <v/>
      </c>
      <c r="AB107" s="12" t="str">
        <f>IF(XT!$P107=0,Z107,"")</f>
        <v/>
      </c>
      <c r="AC107">
        <f>SUMPRODUCT((MONTH(CHOOSE({1,2,3,4},XT!U107,XT!Y107,XT!AC107,XT!AG107))=8)*(CHOOSE({1,2,3,4},XT!X107,XT!AB107,XT!AF107,XT!AJ107)))</f>
        <v>0</v>
      </c>
      <c r="AD107" t="str">
        <f>IFERROR(INDEX(CHOOSE({1,2,3,4}, DAY(XT!U107), DAY(XT!Y107), DAY(XT!AC107), DAY(XT!AG107)), MATCH(1, INDEX(--(MONTH(CHOOSE({1,2,3,4}, XT!U107,XT!Y107,XT!AC107,XT!AG107))=8), 0), 0)), "")</f>
        <v/>
      </c>
      <c r="AE107" s="12" t="str">
        <f>IF(XT!$P107&gt;0,AD107,"")</f>
        <v/>
      </c>
      <c r="AF107" s="12" t="str">
        <f>IF(XT!$P107=0,AD107,"")</f>
        <v/>
      </c>
      <c r="AG107">
        <f>SUMPRODUCT((MONTH(CHOOSE({1,2,3,4},XT!U107,XT!Y107,XT!AC107,XT!AG107))=9)*(CHOOSE({1,2,3,4},XT!X107,XT!AB107,XT!AF107,XT!AJ107)))</f>
        <v>0</v>
      </c>
      <c r="AH107" t="str">
        <f>IFERROR(INDEX(CHOOSE({1,2,3,4}, DAY(XT!U107), DAY(XT!Y107), DAY(XT!AC107), DAY(XT!AG107)), MATCH(1, INDEX(--(MONTH(CHOOSE({1,2,3,4}, XT!U107,XT!Y107,XT!AC107,XT!AG107))=9), 0), 0)), "")</f>
        <v/>
      </c>
      <c r="AI107" s="12" t="str">
        <f>IF(XT!$P107&gt;0,AH107,"")</f>
        <v/>
      </c>
      <c r="AJ107" s="12" t="str">
        <f>IF(XT!$P107=0,AH107,"")</f>
        <v/>
      </c>
      <c r="AK107">
        <f>SUMPRODUCT((MONTH(CHOOSE({1,2,3,4},XT!U107,XT!Y107,XT!AC107,XT!AG107))=10)*(CHOOSE({1,2,3,4},XT!X107,XT!AB107,XT!AF107,XT!AJ107)))</f>
        <v>0</v>
      </c>
      <c r="AL107" t="str">
        <f>IFERROR(INDEX(CHOOSE({1,2,3,4}, DAY(XT!U107), DAY(XT!Y107), DAY(XT!AC107), DAY(XT!AG107)), MATCH(1, INDEX(--(MONTH(CHOOSE({1,2,3,4}, XT!U107,XT!Y107,XT!AC107,XT!AG107))=10), 0), 0)), "")</f>
        <v/>
      </c>
      <c r="AM107" s="12" t="str">
        <f>IF(XT!$P107&gt;0,AL107,"")</f>
        <v/>
      </c>
      <c r="AN107" s="12" t="str">
        <f>IF(XT!$P107=0,AL107,"")</f>
        <v/>
      </c>
      <c r="AO107">
        <f>SUMPRODUCT((MONTH(CHOOSE({1,2,3,4},XT!U107,XT!Y107,XT!AC107,XT!AG107))=11)*(CHOOSE({1,2,3,4},XT!X107,XT!AB107,XT!AF107,XT!AJ107)))</f>
        <v>0</v>
      </c>
      <c r="AP107" t="str">
        <f>IFERROR(INDEX(CHOOSE({1,2,3,4}, DAY(XT!U107), DAY(XT!Y107), DAY(XT!AC107), DAY(XT!AG107)), MATCH(1, INDEX(--(MONTH(CHOOSE({1,2,3,4}, XT!U107,XT!Y107,XT!AC107,XT!AG107))=11), 0), 0)), "")</f>
        <v/>
      </c>
      <c r="AQ107" s="12" t="str">
        <f>IF(XT!$P107&gt;0,AP107,"")</f>
        <v/>
      </c>
      <c r="AR107" s="12" t="str">
        <f>IF(XT!$P107=0,AP107,"")</f>
        <v/>
      </c>
      <c r="AS107">
        <f>SUMPRODUCT((MONTH(CHOOSE({1,2,3,4},XT!U107,XT!Y107,XT!AC107,XT!AG107))=12)*(CHOOSE({1,2,3,4},XT!X107,XT!AB107,XT!AF107,XT!AJ107)))</f>
        <v>0</v>
      </c>
      <c r="AT107" t="str">
        <f>IFERROR(INDEX(CHOOSE({1,2,3,4}, DAY(XT!U107), DAY(XT!Y107), DAY(XT!AC107), DAY(XT!AG107)), MATCH(1, INDEX(--(MONTH(CHOOSE({1,2,3,4}, XT!U107,XT!Y107,XT!AC107,XT!AG107))=12), 0), 0)), "")</f>
        <v/>
      </c>
      <c r="AU107" s="12" t="str">
        <f>IF(XT!$P107&gt;0,AT107,"")</f>
        <v/>
      </c>
      <c r="AV107" s="12" t="str">
        <f>IF(XT!$P107=0,AT107,"")</f>
        <v/>
      </c>
    </row>
    <row r="108" spans="1:48">
      <c r="A108">
        <f>SUMPRODUCT((MONTH(CHOOSE({1,2,3,4},XT!U108,XT!Y108,XT!AC108,XT!AG108))=1)*(CHOOSE({1,2,3,4},XT!X108,XT!AB108,XT!AF108,XT!AJ108)))</f>
        <v>0</v>
      </c>
      <c r="B108">
        <f>IFERROR(INDEX(CHOOSE({1,2,3,4}, DAY(XT!U108), DAY(XT!Y108), DAY(XT!AC108), DAY(XT!AG108)), MATCH(1, INDEX(--(MONTH(CHOOSE({1,2,3,4}, XT!U108,XT!Y108,XT!AC108,XT!AG108))=1), 0), 0)), "")</f>
        <v>0</v>
      </c>
      <c r="C108" s="12" t="str">
        <f>IF(XT!$P108&gt;0,B108,"")</f>
        <v/>
      </c>
      <c r="D108" s="12">
        <f>IF(XT!$P108=0,B108,"")</f>
        <v>0</v>
      </c>
      <c r="E108">
        <f>SUMPRODUCT((MONTH(CHOOSE({1,2,3,4},XT!U108,XT!Y108,XT!AC108,XT!AG108))=2)*(CHOOSE({1,2,3,4},XT!X108,XT!AB108,XT!AF108,XT!AJ108)))</f>
        <v>0</v>
      </c>
      <c r="F108" t="str">
        <f>IFERROR(INDEX(CHOOSE({1,2,3,4}, DAY(XT!U108), DAY(XT!Y108), DAY(XT!AC108), DAY(XT!AG108)), MATCH(1, INDEX(--(MONTH(CHOOSE({1,2,3,4}, XT!U108,XT!Y108,XT!AC108,XT!AG108))=2), 0), 0)), "")</f>
        <v/>
      </c>
      <c r="G108" s="12" t="str">
        <f>IF(XT!$P108&gt;0,F108,"")</f>
        <v/>
      </c>
      <c r="H108" s="12" t="str">
        <f>IF(XT!$P108=0,F108,"")</f>
        <v/>
      </c>
      <c r="I108">
        <f>SUMPRODUCT((MONTH(CHOOSE({1,2,3,4},XT!U108,XT!Y108,XT!AC108,XT!AG108))=3)*(CHOOSE({1,2,3,4},XT!X108,XT!AB108,XT!AF108,XT!AJ108)))</f>
        <v>0</v>
      </c>
      <c r="J108" t="str">
        <f>IFERROR(INDEX(CHOOSE({1,2,3,4}, DAY(XT!U108), DAY(XT!Y108), DAY(XT!AC108), DAY(XT!AG108)), MATCH(1, INDEX(--(MONTH(CHOOSE({1,2,3,4}, XT!U108,XT!Y108,XT!AC108,XT!AG108))=3), 0), 0)), "")</f>
        <v/>
      </c>
      <c r="K108" s="12" t="str">
        <f>IF(XT!$P108&gt;0,J108,"")</f>
        <v/>
      </c>
      <c r="L108" s="12" t="str">
        <f>IF(XT!$P108=0,J108,"")</f>
        <v/>
      </c>
      <c r="M108">
        <f>SUMPRODUCT((MONTH(CHOOSE({1,2,3,4},XT!U108,XT!Y108,XT!AC108,XT!AG108))=4)*(CHOOSE({1,2,3,4},XT!X108,XT!AB108,XT!AF108,XT!AJ108)))</f>
        <v>0</v>
      </c>
      <c r="N108" t="str">
        <f>IFERROR(INDEX(CHOOSE({1,2,3,4}, DAY(XT!U108), DAY(XT!Y108), DAY(XT!AC108), DAY(XT!AG108)), MATCH(1, INDEX(--(MONTH(CHOOSE({1,2,3,4}, XT!U108,XT!Y108,XT!AC108,XT!AG108))=4), 0), 0)), "")</f>
        <v/>
      </c>
      <c r="O108" s="12" t="str">
        <f>IF(XT!$P108&gt;0,N108,"")</f>
        <v/>
      </c>
      <c r="P108" s="12" t="str">
        <f>IF(XT!$P108=0,N108,"")</f>
        <v/>
      </c>
      <c r="Q108">
        <f>SUMPRODUCT((MONTH(CHOOSE({1,2,3,4},XT!U108,XT!Y108,XT!AC108,XT!AG108))=5)*(CHOOSE({1,2,3,4},XT!X108,XT!AB108,XT!AF108,XT!AJ108)))</f>
        <v>0</v>
      </c>
      <c r="R108" t="str">
        <f>IFERROR(INDEX(CHOOSE({1,2,3,4}, DAY(XT!U108), DAY(XT!Y108), DAY(XT!AC108), DAY(XT!AG108)), MATCH(1, INDEX(--(MONTH(CHOOSE({1,2,3,4}, XT!U108,XT!Y108,XT!AC108,XT!AG108))=5), 0), 0)), "")</f>
        <v/>
      </c>
      <c r="S108" s="12" t="str">
        <f>IF(XT!$P108&gt;0,R108,"")</f>
        <v/>
      </c>
      <c r="T108" s="12" t="str">
        <f>IF(XT!$P108=0,R108,"")</f>
        <v/>
      </c>
      <c r="U108">
        <f>SUMPRODUCT((MONTH(CHOOSE({1,2,3,4},XT!U108,XT!Y108,XT!AC108,XT!AG108))=6)*(CHOOSE({1,2,3,4},XT!X108,XT!AB108,XT!AF108,XT!AJ108)))</f>
        <v>0</v>
      </c>
      <c r="V108" t="str">
        <f>IFERROR(INDEX(CHOOSE({1,2,3,4}, DAY(XT!U108), DAY(XT!Y108), DAY(XT!AC108), DAY(XT!AG108)), MATCH(1, INDEX(--(MONTH(CHOOSE({1,2,3,4}, XT!U108,XT!Y108,XT!AC108,XT!AG108))=6), 0), 0)), "")</f>
        <v/>
      </c>
      <c r="W108" s="12" t="str">
        <f>IF(XT!$P108&gt;0,V108,"")</f>
        <v/>
      </c>
      <c r="X108" s="12" t="str">
        <f>IF(XT!$P108=0,V108,"")</f>
        <v/>
      </c>
      <c r="Y108">
        <f>SUMPRODUCT((MONTH(CHOOSE({1,2,3,4},XT!U108,XT!Y108,XT!AC108,XT!AG108))=7)*(CHOOSE({1,2,3,4},XT!X108,XT!AB108,XT!AF108,XT!AJ108)))</f>
        <v>0</v>
      </c>
      <c r="Z108" t="str">
        <f>IFERROR(INDEX(CHOOSE({1,2,3,4}, DAY(XT!U108), DAY(XT!Y108), DAY(XT!AC108), DAY(XT!AG108)), MATCH(1, INDEX(--(MONTH(CHOOSE({1,2,3,4}, XT!U108,XT!Y108,XT!AC108,XT!AG108))=7), 0), 0)), "")</f>
        <v/>
      </c>
      <c r="AA108" s="12" t="str">
        <f>IF(XT!$P108&gt;0,Z108,"")</f>
        <v/>
      </c>
      <c r="AB108" s="12" t="str">
        <f>IF(XT!$P108=0,Z108,"")</f>
        <v/>
      </c>
      <c r="AC108">
        <f>SUMPRODUCT((MONTH(CHOOSE({1,2,3,4},XT!U108,XT!Y108,XT!AC108,XT!AG108))=8)*(CHOOSE({1,2,3,4},XT!X108,XT!AB108,XT!AF108,XT!AJ108)))</f>
        <v>0</v>
      </c>
      <c r="AD108" t="str">
        <f>IFERROR(INDEX(CHOOSE({1,2,3,4}, DAY(XT!U108), DAY(XT!Y108), DAY(XT!AC108), DAY(XT!AG108)), MATCH(1, INDEX(--(MONTH(CHOOSE({1,2,3,4}, XT!U108,XT!Y108,XT!AC108,XT!AG108))=8), 0), 0)), "")</f>
        <v/>
      </c>
      <c r="AE108" s="12" t="str">
        <f>IF(XT!$P108&gt;0,AD108,"")</f>
        <v/>
      </c>
      <c r="AF108" s="12" t="str">
        <f>IF(XT!$P108=0,AD108,"")</f>
        <v/>
      </c>
      <c r="AG108">
        <f>SUMPRODUCT((MONTH(CHOOSE({1,2,3,4},XT!U108,XT!Y108,XT!AC108,XT!AG108))=9)*(CHOOSE({1,2,3,4},XT!X108,XT!AB108,XT!AF108,XT!AJ108)))</f>
        <v>0</v>
      </c>
      <c r="AH108" t="str">
        <f>IFERROR(INDEX(CHOOSE({1,2,3,4}, DAY(XT!U108), DAY(XT!Y108), DAY(XT!AC108), DAY(XT!AG108)), MATCH(1, INDEX(--(MONTH(CHOOSE({1,2,3,4}, XT!U108,XT!Y108,XT!AC108,XT!AG108))=9), 0), 0)), "")</f>
        <v/>
      </c>
      <c r="AI108" s="12" t="str">
        <f>IF(XT!$P108&gt;0,AH108,"")</f>
        <v/>
      </c>
      <c r="AJ108" s="12" t="str">
        <f>IF(XT!$P108=0,AH108,"")</f>
        <v/>
      </c>
      <c r="AK108">
        <f>SUMPRODUCT((MONTH(CHOOSE({1,2,3,4},XT!U108,XT!Y108,XT!AC108,XT!AG108))=10)*(CHOOSE({1,2,3,4},XT!X108,XT!AB108,XT!AF108,XT!AJ108)))</f>
        <v>0</v>
      </c>
      <c r="AL108" t="str">
        <f>IFERROR(INDEX(CHOOSE({1,2,3,4}, DAY(XT!U108), DAY(XT!Y108), DAY(XT!AC108), DAY(XT!AG108)), MATCH(1, INDEX(--(MONTH(CHOOSE({1,2,3,4}, XT!U108,XT!Y108,XT!AC108,XT!AG108))=10), 0), 0)), "")</f>
        <v/>
      </c>
      <c r="AM108" s="12" t="str">
        <f>IF(XT!$P108&gt;0,AL108,"")</f>
        <v/>
      </c>
      <c r="AN108" s="12" t="str">
        <f>IF(XT!$P108=0,AL108,"")</f>
        <v/>
      </c>
      <c r="AO108">
        <f>SUMPRODUCT((MONTH(CHOOSE({1,2,3,4},XT!U108,XT!Y108,XT!AC108,XT!AG108))=11)*(CHOOSE({1,2,3,4},XT!X108,XT!AB108,XT!AF108,XT!AJ108)))</f>
        <v>0</v>
      </c>
      <c r="AP108" t="str">
        <f>IFERROR(INDEX(CHOOSE({1,2,3,4}, DAY(XT!U108), DAY(XT!Y108), DAY(XT!AC108), DAY(XT!AG108)), MATCH(1, INDEX(--(MONTH(CHOOSE({1,2,3,4}, XT!U108,XT!Y108,XT!AC108,XT!AG108))=11), 0), 0)), "")</f>
        <v/>
      </c>
      <c r="AQ108" s="12" t="str">
        <f>IF(XT!$P108&gt;0,AP108,"")</f>
        <v/>
      </c>
      <c r="AR108" s="12" t="str">
        <f>IF(XT!$P108=0,AP108,"")</f>
        <v/>
      </c>
      <c r="AS108">
        <f>SUMPRODUCT((MONTH(CHOOSE({1,2,3,4},XT!U108,XT!Y108,XT!AC108,XT!AG108))=12)*(CHOOSE({1,2,3,4},XT!X108,XT!AB108,XT!AF108,XT!AJ108)))</f>
        <v>0</v>
      </c>
      <c r="AT108" t="str">
        <f>IFERROR(INDEX(CHOOSE({1,2,3,4}, DAY(XT!U108), DAY(XT!Y108), DAY(XT!AC108), DAY(XT!AG108)), MATCH(1, INDEX(--(MONTH(CHOOSE({1,2,3,4}, XT!U108,XT!Y108,XT!AC108,XT!AG108))=12), 0), 0)), "")</f>
        <v/>
      </c>
      <c r="AU108" s="12" t="str">
        <f>IF(XT!$P108&gt;0,AT108,"")</f>
        <v/>
      </c>
      <c r="AV108" s="12" t="str">
        <f>IF(XT!$P108=0,AT108,"")</f>
        <v/>
      </c>
    </row>
    <row r="109" spans="1:48">
      <c r="A109">
        <f>SUMPRODUCT((MONTH(CHOOSE({1,2,3,4},XT!U109,XT!Y109,XT!AC109,XT!AG109))=1)*(CHOOSE({1,2,3,4},XT!X109,XT!AB109,XT!AF109,XT!AJ109)))</f>
        <v>0</v>
      </c>
      <c r="B109">
        <f>IFERROR(INDEX(CHOOSE({1,2,3,4}, DAY(XT!U109), DAY(XT!Y109), DAY(XT!AC109), DAY(XT!AG109)), MATCH(1, INDEX(--(MONTH(CHOOSE({1,2,3,4}, XT!U109,XT!Y109,XT!AC109,XT!AG109))=1), 0), 0)), "")</f>
        <v>0</v>
      </c>
      <c r="C109" s="12" t="str">
        <f>IF(XT!$P109&gt;0,B109,"")</f>
        <v/>
      </c>
      <c r="D109" s="12">
        <f>IF(XT!$P109=0,B109,"")</f>
        <v>0</v>
      </c>
      <c r="E109">
        <f>SUMPRODUCT((MONTH(CHOOSE({1,2,3,4},XT!U109,XT!Y109,XT!AC109,XT!AG109))=2)*(CHOOSE({1,2,3,4},XT!X109,XT!AB109,XT!AF109,XT!AJ109)))</f>
        <v>0</v>
      </c>
      <c r="F109" t="str">
        <f>IFERROR(INDEX(CHOOSE({1,2,3,4}, DAY(XT!U109), DAY(XT!Y109), DAY(XT!AC109), DAY(XT!AG109)), MATCH(1, INDEX(--(MONTH(CHOOSE({1,2,3,4}, XT!U109,XT!Y109,XT!AC109,XT!AG109))=2), 0), 0)), "")</f>
        <v/>
      </c>
      <c r="G109" s="12" t="str">
        <f>IF(XT!$P109&gt;0,F109,"")</f>
        <v/>
      </c>
      <c r="H109" s="12" t="str">
        <f>IF(XT!$P109=0,F109,"")</f>
        <v/>
      </c>
      <c r="I109">
        <f>SUMPRODUCT((MONTH(CHOOSE({1,2,3,4},XT!U109,XT!Y109,XT!AC109,XT!AG109))=3)*(CHOOSE({1,2,3,4},XT!X109,XT!AB109,XT!AF109,XT!AJ109)))</f>
        <v>0</v>
      </c>
      <c r="J109" t="str">
        <f>IFERROR(INDEX(CHOOSE({1,2,3,4}, DAY(XT!U109), DAY(XT!Y109), DAY(XT!AC109), DAY(XT!AG109)), MATCH(1, INDEX(--(MONTH(CHOOSE({1,2,3,4}, XT!U109,XT!Y109,XT!AC109,XT!AG109))=3), 0), 0)), "")</f>
        <v/>
      </c>
      <c r="K109" s="12" t="str">
        <f>IF(XT!$P109&gt;0,J109,"")</f>
        <v/>
      </c>
      <c r="L109" s="12" t="str">
        <f>IF(XT!$P109=0,J109,"")</f>
        <v/>
      </c>
      <c r="M109">
        <f>SUMPRODUCT((MONTH(CHOOSE({1,2,3,4},XT!U109,XT!Y109,XT!AC109,XT!AG109))=4)*(CHOOSE({1,2,3,4},XT!X109,XT!AB109,XT!AF109,XT!AJ109)))</f>
        <v>0</v>
      </c>
      <c r="N109" t="str">
        <f>IFERROR(INDEX(CHOOSE({1,2,3,4}, DAY(XT!U109), DAY(XT!Y109), DAY(XT!AC109), DAY(XT!AG109)), MATCH(1, INDEX(--(MONTH(CHOOSE({1,2,3,4}, XT!U109,XT!Y109,XT!AC109,XT!AG109))=4), 0), 0)), "")</f>
        <v/>
      </c>
      <c r="O109" s="12" t="str">
        <f>IF(XT!$P109&gt;0,N109,"")</f>
        <v/>
      </c>
      <c r="P109" s="12" t="str">
        <f>IF(XT!$P109=0,N109,"")</f>
        <v/>
      </c>
      <c r="Q109">
        <f>SUMPRODUCT((MONTH(CHOOSE({1,2,3,4},XT!U109,XT!Y109,XT!AC109,XT!AG109))=5)*(CHOOSE({1,2,3,4},XT!X109,XT!AB109,XT!AF109,XT!AJ109)))</f>
        <v>0</v>
      </c>
      <c r="R109" t="str">
        <f>IFERROR(INDEX(CHOOSE({1,2,3,4}, DAY(XT!U109), DAY(XT!Y109), DAY(XT!AC109), DAY(XT!AG109)), MATCH(1, INDEX(--(MONTH(CHOOSE({1,2,3,4}, XT!U109,XT!Y109,XT!AC109,XT!AG109))=5), 0), 0)), "")</f>
        <v/>
      </c>
      <c r="S109" s="12" t="str">
        <f>IF(XT!$P109&gt;0,R109,"")</f>
        <v/>
      </c>
      <c r="T109" s="12" t="str">
        <f>IF(XT!$P109=0,R109,"")</f>
        <v/>
      </c>
      <c r="U109">
        <f>SUMPRODUCT((MONTH(CHOOSE({1,2,3,4},XT!U109,XT!Y109,XT!AC109,XT!AG109))=6)*(CHOOSE({1,2,3,4},XT!X109,XT!AB109,XT!AF109,XT!AJ109)))</f>
        <v>0</v>
      </c>
      <c r="V109" t="str">
        <f>IFERROR(INDEX(CHOOSE({1,2,3,4}, DAY(XT!U109), DAY(XT!Y109), DAY(XT!AC109), DAY(XT!AG109)), MATCH(1, INDEX(--(MONTH(CHOOSE({1,2,3,4}, XT!U109,XT!Y109,XT!AC109,XT!AG109))=6), 0), 0)), "")</f>
        <v/>
      </c>
      <c r="W109" s="12" t="str">
        <f>IF(XT!$P109&gt;0,V109,"")</f>
        <v/>
      </c>
      <c r="X109" s="12" t="str">
        <f>IF(XT!$P109=0,V109,"")</f>
        <v/>
      </c>
      <c r="Y109">
        <f>SUMPRODUCT((MONTH(CHOOSE({1,2,3,4},XT!U109,XT!Y109,XT!AC109,XT!AG109))=7)*(CHOOSE({1,2,3,4},XT!X109,XT!AB109,XT!AF109,XT!AJ109)))</f>
        <v>0</v>
      </c>
      <c r="Z109" t="str">
        <f>IFERROR(INDEX(CHOOSE({1,2,3,4}, DAY(XT!U109), DAY(XT!Y109), DAY(XT!AC109), DAY(XT!AG109)), MATCH(1, INDEX(--(MONTH(CHOOSE({1,2,3,4}, XT!U109,XT!Y109,XT!AC109,XT!AG109))=7), 0), 0)), "")</f>
        <v/>
      </c>
      <c r="AA109" s="12" t="str">
        <f>IF(XT!$P109&gt;0,Z109,"")</f>
        <v/>
      </c>
      <c r="AB109" s="12" t="str">
        <f>IF(XT!$P109=0,Z109,"")</f>
        <v/>
      </c>
      <c r="AC109">
        <f>SUMPRODUCT((MONTH(CHOOSE({1,2,3,4},XT!U109,XT!Y109,XT!AC109,XT!AG109))=8)*(CHOOSE({1,2,3,4},XT!X109,XT!AB109,XT!AF109,XT!AJ109)))</f>
        <v>0</v>
      </c>
      <c r="AD109" t="str">
        <f>IFERROR(INDEX(CHOOSE({1,2,3,4}, DAY(XT!U109), DAY(XT!Y109), DAY(XT!AC109), DAY(XT!AG109)), MATCH(1, INDEX(--(MONTH(CHOOSE({1,2,3,4}, XT!U109,XT!Y109,XT!AC109,XT!AG109))=8), 0), 0)), "")</f>
        <v/>
      </c>
      <c r="AE109" s="12" t="str">
        <f>IF(XT!$P109&gt;0,AD109,"")</f>
        <v/>
      </c>
      <c r="AF109" s="12" t="str">
        <f>IF(XT!$P109=0,AD109,"")</f>
        <v/>
      </c>
      <c r="AG109">
        <f>SUMPRODUCT((MONTH(CHOOSE({1,2,3,4},XT!U109,XT!Y109,XT!AC109,XT!AG109))=9)*(CHOOSE({1,2,3,4},XT!X109,XT!AB109,XT!AF109,XT!AJ109)))</f>
        <v>0</v>
      </c>
      <c r="AH109" t="str">
        <f>IFERROR(INDEX(CHOOSE({1,2,3,4}, DAY(XT!U109), DAY(XT!Y109), DAY(XT!AC109), DAY(XT!AG109)), MATCH(1, INDEX(--(MONTH(CHOOSE({1,2,3,4}, XT!U109,XT!Y109,XT!AC109,XT!AG109))=9), 0), 0)), "")</f>
        <v/>
      </c>
      <c r="AI109" s="12" t="str">
        <f>IF(XT!$P109&gt;0,AH109,"")</f>
        <v/>
      </c>
      <c r="AJ109" s="12" t="str">
        <f>IF(XT!$P109=0,AH109,"")</f>
        <v/>
      </c>
      <c r="AK109">
        <f>SUMPRODUCT((MONTH(CHOOSE({1,2,3,4},XT!U109,XT!Y109,XT!AC109,XT!AG109))=10)*(CHOOSE({1,2,3,4},XT!X109,XT!AB109,XT!AF109,XT!AJ109)))</f>
        <v>0</v>
      </c>
      <c r="AL109" t="str">
        <f>IFERROR(INDEX(CHOOSE({1,2,3,4}, DAY(XT!U109), DAY(XT!Y109), DAY(XT!AC109), DAY(XT!AG109)), MATCH(1, INDEX(--(MONTH(CHOOSE({1,2,3,4}, XT!U109,XT!Y109,XT!AC109,XT!AG109))=10), 0), 0)), "")</f>
        <v/>
      </c>
      <c r="AM109" s="12" t="str">
        <f>IF(XT!$P109&gt;0,AL109,"")</f>
        <v/>
      </c>
      <c r="AN109" s="12" t="str">
        <f>IF(XT!$P109=0,AL109,"")</f>
        <v/>
      </c>
      <c r="AO109">
        <f>SUMPRODUCT((MONTH(CHOOSE({1,2,3,4},XT!U109,XT!Y109,XT!AC109,XT!AG109))=11)*(CHOOSE({1,2,3,4},XT!X109,XT!AB109,XT!AF109,XT!AJ109)))</f>
        <v>0</v>
      </c>
      <c r="AP109" t="str">
        <f>IFERROR(INDEX(CHOOSE({1,2,3,4}, DAY(XT!U109), DAY(XT!Y109), DAY(XT!AC109), DAY(XT!AG109)), MATCH(1, INDEX(--(MONTH(CHOOSE({1,2,3,4}, XT!U109,XT!Y109,XT!AC109,XT!AG109))=11), 0), 0)), "")</f>
        <v/>
      </c>
      <c r="AQ109" s="12" t="str">
        <f>IF(XT!$P109&gt;0,AP109,"")</f>
        <v/>
      </c>
      <c r="AR109" s="12" t="str">
        <f>IF(XT!$P109=0,AP109,"")</f>
        <v/>
      </c>
      <c r="AS109">
        <f>SUMPRODUCT((MONTH(CHOOSE({1,2,3,4},XT!U109,XT!Y109,XT!AC109,XT!AG109))=12)*(CHOOSE({1,2,3,4},XT!X109,XT!AB109,XT!AF109,XT!AJ109)))</f>
        <v>0</v>
      </c>
      <c r="AT109" t="str">
        <f>IFERROR(INDEX(CHOOSE({1,2,3,4}, DAY(XT!U109), DAY(XT!Y109), DAY(XT!AC109), DAY(XT!AG109)), MATCH(1, INDEX(--(MONTH(CHOOSE({1,2,3,4}, XT!U109,XT!Y109,XT!AC109,XT!AG109))=12), 0), 0)), "")</f>
        <v/>
      </c>
      <c r="AU109" s="12" t="str">
        <f>IF(XT!$P109&gt;0,AT109,"")</f>
        <v/>
      </c>
      <c r="AV109" s="12" t="str">
        <f>IF(XT!$P109=0,AT109,"")</f>
        <v/>
      </c>
    </row>
    <row r="110" spans="1:48">
      <c r="A110">
        <f>SUMPRODUCT((MONTH(CHOOSE({1,2,3,4},XT!U110,XT!Y110,XT!AC110,XT!AG110))=1)*(CHOOSE({1,2,3,4},XT!X110,XT!AB110,XT!AF110,XT!AJ110)))</f>
        <v>0</v>
      </c>
      <c r="B110">
        <f>IFERROR(INDEX(CHOOSE({1,2,3,4}, DAY(XT!U110), DAY(XT!Y110), DAY(XT!AC110), DAY(XT!AG110)), MATCH(1, INDEX(--(MONTH(CHOOSE({1,2,3,4}, XT!U110,XT!Y110,XT!AC110,XT!AG110))=1), 0), 0)), "")</f>
        <v>0</v>
      </c>
      <c r="C110" s="12" t="str">
        <f>IF(XT!$P110&gt;0,B110,"")</f>
        <v/>
      </c>
      <c r="D110" s="12">
        <f>IF(XT!$P110=0,B110,"")</f>
        <v>0</v>
      </c>
      <c r="E110">
        <f>SUMPRODUCT((MONTH(CHOOSE({1,2,3,4},XT!U110,XT!Y110,XT!AC110,XT!AG110))=2)*(CHOOSE({1,2,3,4},XT!X110,XT!AB110,XT!AF110,XT!AJ110)))</f>
        <v>0</v>
      </c>
      <c r="F110" t="str">
        <f>IFERROR(INDEX(CHOOSE({1,2,3,4}, DAY(XT!U110), DAY(XT!Y110), DAY(XT!AC110), DAY(XT!AG110)), MATCH(1, INDEX(--(MONTH(CHOOSE({1,2,3,4}, XT!U110,XT!Y110,XT!AC110,XT!AG110))=2), 0), 0)), "")</f>
        <v/>
      </c>
      <c r="G110" s="12" t="str">
        <f>IF(XT!$P110&gt;0,F110,"")</f>
        <v/>
      </c>
      <c r="H110" s="12" t="str">
        <f>IF(XT!$P110=0,F110,"")</f>
        <v/>
      </c>
      <c r="I110">
        <f>SUMPRODUCT((MONTH(CHOOSE({1,2,3,4},XT!U110,XT!Y110,XT!AC110,XT!AG110))=3)*(CHOOSE({1,2,3,4},XT!X110,XT!AB110,XT!AF110,XT!AJ110)))</f>
        <v>0</v>
      </c>
      <c r="J110" t="str">
        <f>IFERROR(INDEX(CHOOSE({1,2,3,4}, DAY(XT!U110), DAY(XT!Y110), DAY(XT!AC110), DAY(XT!AG110)), MATCH(1, INDEX(--(MONTH(CHOOSE({1,2,3,4}, XT!U110,XT!Y110,XT!AC110,XT!AG110))=3), 0), 0)), "")</f>
        <v/>
      </c>
      <c r="K110" s="12" t="str">
        <f>IF(XT!$P110&gt;0,J110,"")</f>
        <v/>
      </c>
      <c r="L110" s="12" t="str">
        <f>IF(XT!$P110=0,J110,"")</f>
        <v/>
      </c>
      <c r="M110">
        <f>SUMPRODUCT((MONTH(CHOOSE({1,2,3,4},XT!U110,XT!Y110,XT!AC110,XT!AG110))=4)*(CHOOSE({1,2,3,4},XT!X110,XT!AB110,XT!AF110,XT!AJ110)))</f>
        <v>0</v>
      </c>
      <c r="N110" t="str">
        <f>IFERROR(INDEX(CHOOSE({1,2,3,4}, DAY(XT!U110), DAY(XT!Y110), DAY(XT!AC110), DAY(XT!AG110)), MATCH(1, INDEX(--(MONTH(CHOOSE({1,2,3,4}, XT!U110,XT!Y110,XT!AC110,XT!AG110))=4), 0), 0)), "")</f>
        <v/>
      </c>
      <c r="O110" s="12" t="str">
        <f>IF(XT!$P110&gt;0,N110,"")</f>
        <v/>
      </c>
      <c r="P110" s="12" t="str">
        <f>IF(XT!$P110=0,N110,"")</f>
        <v/>
      </c>
      <c r="Q110">
        <f>SUMPRODUCT((MONTH(CHOOSE({1,2,3,4},XT!U110,XT!Y110,XT!AC110,XT!AG110))=5)*(CHOOSE({1,2,3,4},XT!X110,XT!AB110,XT!AF110,XT!AJ110)))</f>
        <v>0</v>
      </c>
      <c r="R110" t="str">
        <f>IFERROR(INDEX(CHOOSE({1,2,3,4}, DAY(XT!U110), DAY(XT!Y110), DAY(XT!AC110), DAY(XT!AG110)), MATCH(1, INDEX(--(MONTH(CHOOSE({1,2,3,4}, XT!U110,XT!Y110,XT!AC110,XT!AG110))=5), 0), 0)), "")</f>
        <v/>
      </c>
      <c r="S110" s="12" t="str">
        <f>IF(XT!$P110&gt;0,R110,"")</f>
        <v/>
      </c>
      <c r="T110" s="12" t="str">
        <f>IF(XT!$P110=0,R110,"")</f>
        <v/>
      </c>
      <c r="U110">
        <f>SUMPRODUCT((MONTH(CHOOSE({1,2,3,4},XT!U110,XT!Y110,XT!AC110,XT!AG110))=6)*(CHOOSE({1,2,3,4},XT!X110,XT!AB110,XT!AF110,XT!AJ110)))</f>
        <v>0</v>
      </c>
      <c r="V110" t="str">
        <f>IFERROR(INDEX(CHOOSE({1,2,3,4}, DAY(XT!U110), DAY(XT!Y110), DAY(XT!AC110), DAY(XT!AG110)), MATCH(1, INDEX(--(MONTH(CHOOSE({1,2,3,4}, XT!U110,XT!Y110,XT!AC110,XT!AG110))=6), 0), 0)), "")</f>
        <v/>
      </c>
      <c r="W110" s="12" t="str">
        <f>IF(XT!$P110&gt;0,V110,"")</f>
        <v/>
      </c>
      <c r="X110" s="12" t="str">
        <f>IF(XT!$P110=0,V110,"")</f>
        <v/>
      </c>
      <c r="Y110">
        <f>SUMPRODUCT((MONTH(CHOOSE({1,2,3,4},XT!U110,XT!Y110,XT!AC110,XT!AG110))=7)*(CHOOSE({1,2,3,4},XT!X110,XT!AB110,XT!AF110,XT!AJ110)))</f>
        <v>0</v>
      </c>
      <c r="Z110" t="str">
        <f>IFERROR(INDEX(CHOOSE({1,2,3,4}, DAY(XT!U110), DAY(XT!Y110), DAY(XT!AC110), DAY(XT!AG110)), MATCH(1, INDEX(--(MONTH(CHOOSE({1,2,3,4}, XT!U110,XT!Y110,XT!AC110,XT!AG110))=7), 0), 0)), "")</f>
        <v/>
      </c>
      <c r="AA110" s="12" t="str">
        <f>IF(XT!$P110&gt;0,Z110,"")</f>
        <v/>
      </c>
      <c r="AB110" s="12" t="str">
        <f>IF(XT!$P110=0,Z110,"")</f>
        <v/>
      </c>
      <c r="AC110">
        <f>SUMPRODUCT((MONTH(CHOOSE({1,2,3,4},XT!U110,XT!Y110,XT!AC110,XT!AG110))=8)*(CHOOSE({1,2,3,4},XT!X110,XT!AB110,XT!AF110,XT!AJ110)))</f>
        <v>0</v>
      </c>
      <c r="AD110" t="str">
        <f>IFERROR(INDEX(CHOOSE({1,2,3,4}, DAY(XT!U110), DAY(XT!Y110), DAY(XT!AC110), DAY(XT!AG110)), MATCH(1, INDEX(--(MONTH(CHOOSE({1,2,3,4}, XT!U110,XT!Y110,XT!AC110,XT!AG110))=8), 0), 0)), "")</f>
        <v/>
      </c>
      <c r="AE110" s="12" t="str">
        <f>IF(XT!$P110&gt;0,AD110,"")</f>
        <v/>
      </c>
      <c r="AF110" s="12" t="str">
        <f>IF(XT!$P110=0,AD110,"")</f>
        <v/>
      </c>
      <c r="AG110">
        <f>SUMPRODUCT((MONTH(CHOOSE({1,2,3,4},XT!U110,XT!Y110,XT!AC110,XT!AG110))=9)*(CHOOSE({1,2,3,4},XT!X110,XT!AB110,XT!AF110,XT!AJ110)))</f>
        <v>0</v>
      </c>
      <c r="AH110" t="str">
        <f>IFERROR(INDEX(CHOOSE({1,2,3,4}, DAY(XT!U110), DAY(XT!Y110), DAY(XT!AC110), DAY(XT!AG110)), MATCH(1, INDEX(--(MONTH(CHOOSE({1,2,3,4}, XT!U110,XT!Y110,XT!AC110,XT!AG110))=9), 0), 0)), "")</f>
        <v/>
      </c>
      <c r="AI110" s="12" t="str">
        <f>IF(XT!$P110&gt;0,AH110,"")</f>
        <v/>
      </c>
      <c r="AJ110" s="12" t="str">
        <f>IF(XT!$P110=0,AH110,"")</f>
        <v/>
      </c>
      <c r="AK110">
        <f>SUMPRODUCT((MONTH(CHOOSE({1,2,3,4},XT!U110,XT!Y110,XT!AC110,XT!AG110))=10)*(CHOOSE({1,2,3,4},XT!X110,XT!AB110,XT!AF110,XT!AJ110)))</f>
        <v>0</v>
      </c>
      <c r="AL110" t="str">
        <f>IFERROR(INDEX(CHOOSE({1,2,3,4}, DAY(XT!U110), DAY(XT!Y110), DAY(XT!AC110), DAY(XT!AG110)), MATCH(1, INDEX(--(MONTH(CHOOSE({1,2,3,4}, XT!U110,XT!Y110,XT!AC110,XT!AG110))=10), 0), 0)), "")</f>
        <v/>
      </c>
      <c r="AM110" s="12" t="str">
        <f>IF(XT!$P110&gt;0,AL110,"")</f>
        <v/>
      </c>
      <c r="AN110" s="12" t="str">
        <f>IF(XT!$P110=0,AL110,"")</f>
        <v/>
      </c>
      <c r="AO110">
        <f>SUMPRODUCT((MONTH(CHOOSE({1,2,3,4},XT!U110,XT!Y110,XT!AC110,XT!AG110))=11)*(CHOOSE({1,2,3,4},XT!X110,XT!AB110,XT!AF110,XT!AJ110)))</f>
        <v>0</v>
      </c>
      <c r="AP110" t="str">
        <f>IFERROR(INDEX(CHOOSE({1,2,3,4}, DAY(XT!U110), DAY(XT!Y110), DAY(XT!AC110), DAY(XT!AG110)), MATCH(1, INDEX(--(MONTH(CHOOSE({1,2,3,4}, XT!U110,XT!Y110,XT!AC110,XT!AG110))=11), 0), 0)), "")</f>
        <v/>
      </c>
      <c r="AQ110" s="12" t="str">
        <f>IF(XT!$P110&gt;0,AP110,"")</f>
        <v/>
      </c>
      <c r="AR110" s="12" t="str">
        <f>IF(XT!$P110=0,AP110,"")</f>
        <v/>
      </c>
      <c r="AS110">
        <f>SUMPRODUCT((MONTH(CHOOSE({1,2,3,4},XT!U110,XT!Y110,XT!AC110,XT!AG110))=12)*(CHOOSE({1,2,3,4},XT!X110,XT!AB110,XT!AF110,XT!AJ110)))</f>
        <v>0</v>
      </c>
      <c r="AT110" t="str">
        <f>IFERROR(INDEX(CHOOSE({1,2,3,4}, DAY(XT!U110), DAY(XT!Y110), DAY(XT!AC110), DAY(XT!AG110)), MATCH(1, INDEX(--(MONTH(CHOOSE({1,2,3,4}, XT!U110,XT!Y110,XT!AC110,XT!AG110))=12), 0), 0)), "")</f>
        <v/>
      </c>
      <c r="AU110" s="12" t="str">
        <f>IF(XT!$P110&gt;0,AT110,"")</f>
        <v/>
      </c>
      <c r="AV110" s="12" t="str">
        <f>IF(XT!$P110=0,AT110,"")</f>
        <v/>
      </c>
    </row>
    <row r="111" spans="1:48">
      <c r="A111">
        <f>SUMPRODUCT((MONTH(CHOOSE({1,2,3,4},XT!U111,XT!Y111,XT!AC111,XT!AG111))=1)*(CHOOSE({1,2,3,4},XT!X111,XT!AB111,XT!AF111,XT!AJ111)))</f>
        <v>0</v>
      </c>
      <c r="B111">
        <f>IFERROR(INDEX(CHOOSE({1,2,3,4}, DAY(XT!U111), DAY(XT!Y111), DAY(XT!AC111), DAY(XT!AG111)), MATCH(1, INDEX(--(MONTH(CHOOSE({1,2,3,4}, XT!U111,XT!Y111,XT!AC111,XT!AG111))=1), 0), 0)), "")</f>
        <v>0</v>
      </c>
      <c r="C111" s="12" t="str">
        <f>IF(XT!$P111&gt;0,B111,"")</f>
        <v/>
      </c>
      <c r="D111" s="12">
        <f>IF(XT!$P111=0,B111,"")</f>
        <v>0</v>
      </c>
      <c r="E111">
        <f>SUMPRODUCT((MONTH(CHOOSE({1,2,3,4},XT!U111,XT!Y111,XT!AC111,XT!AG111))=2)*(CHOOSE({1,2,3,4},XT!X111,XT!AB111,XT!AF111,XT!AJ111)))</f>
        <v>0</v>
      </c>
      <c r="F111" t="str">
        <f>IFERROR(INDEX(CHOOSE({1,2,3,4}, DAY(XT!U111), DAY(XT!Y111), DAY(XT!AC111), DAY(XT!AG111)), MATCH(1, INDEX(--(MONTH(CHOOSE({1,2,3,4}, XT!U111,XT!Y111,XT!AC111,XT!AG111))=2), 0), 0)), "")</f>
        <v/>
      </c>
      <c r="G111" s="12" t="str">
        <f>IF(XT!$P111&gt;0,F111,"")</f>
        <v/>
      </c>
      <c r="H111" s="12" t="str">
        <f>IF(XT!$P111=0,F111,"")</f>
        <v/>
      </c>
      <c r="I111">
        <f>SUMPRODUCT((MONTH(CHOOSE({1,2,3,4},XT!U111,XT!Y111,XT!AC111,XT!AG111))=3)*(CHOOSE({1,2,3,4},XT!X111,XT!AB111,XT!AF111,XT!AJ111)))</f>
        <v>0</v>
      </c>
      <c r="J111" t="str">
        <f>IFERROR(INDEX(CHOOSE({1,2,3,4}, DAY(XT!U111), DAY(XT!Y111), DAY(XT!AC111), DAY(XT!AG111)), MATCH(1, INDEX(--(MONTH(CHOOSE({1,2,3,4}, XT!U111,XT!Y111,XT!AC111,XT!AG111))=3), 0), 0)), "")</f>
        <v/>
      </c>
      <c r="K111" s="12" t="str">
        <f>IF(XT!$P111&gt;0,J111,"")</f>
        <v/>
      </c>
      <c r="L111" s="12" t="str">
        <f>IF(XT!$P111=0,J111,"")</f>
        <v/>
      </c>
      <c r="M111">
        <f>SUMPRODUCT((MONTH(CHOOSE({1,2,3,4},XT!U111,XT!Y111,XT!AC111,XT!AG111))=4)*(CHOOSE({1,2,3,4},XT!X111,XT!AB111,XT!AF111,XT!AJ111)))</f>
        <v>0</v>
      </c>
      <c r="N111" t="str">
        <f>IFERROR(INDEX(CHOOSE({1,2,3,4}, DAY(XT!U111), DAY(XT!Y111), DAY(XT!AC111), DAY(XT!AG111)), MATCH(1, INDEX(--(MONTH(CHOOSE({1,2,3,4}, XT!U111,XT!Y111,XT!AC111,XT!AG111))=4), 0), 0)), "")</f>
        <v/>
      </c>
      <c r="O111" s="12" t="str">
        <f>IF(XT!$P111&gt;0,N111,"")</f>
        <v/>
      </c>
      <c r="P111" s="12" t="str">
        <f>IF(XT!$P111=0,N111,"")</f>
        <v/>
      </c>
      <c r="Q111">
        <f>SUMPRODUCT((MONTH(CHOOSE({1,2,3,4},XT!U111,XT!Y111,XT!AC111,XT!AG111))=5)*(CHOOSE({1,2,3,4},XT!X111,XT!AB111,XT!AF111,XT!AJ111)))</f>
        <v>0</v>
      </c>
      <c r="R111" t="str">
        <f>IFERROR(INDEX(CHOOSE({1,2,3,4}, DAY(XT!U111), DAY(XT!Y111), DAY(XT!AC111), DAY(XT!AG111)), MATCH(1, INDEX(--(MONTH(CHOOSE({1,2,3,4}, XT!U111,XT!Y111,XT!AC111,XT!AG111))=5), 0), 0)), "")</f>
        <v/>
      </c>
      <c r="S111" s="12" t="str">
        <f>IF(XT!$P111&gt;0,R111,"")</f>
        <v/>
      </c>
      <c r="T111" s="12" t="str">
        <f>IF(XT!$P111=0,R111,"")</f>
        <v/>
      </c>
      <c r="U111">
        <f>SUMPRODUCT((MONTH(CHOOSE({1,2,3,4},XT!U111,XT!Y111,XT!AC111,XT!AG111))=6)*(CHOOSE({1,2,3,4},XT!X111,XT!AB111,XT!AF111,XT!AJ111)))</f>
        <v>0</v>
      </c>
      <c r="V111" t="str">
        <f>IFERROR(INDEX(CHOOSE({1,2,3,4}, DAY(XT!U111), DAY(XT!Y111), DAY(XT!AC111), DAY(XT!AG111)), MATCH(1, INDEX(--(MONTH(CHOOSE({1,2,3,4}, XT!U111,XT!Y111,XT!AC111,XT!AG111))=6), 0), 0)), "")</f>
        <v/>
      </c>
      <c r="W111" s="12" t="str">
        <f>IF(XT!$P111&gt;0,V111,"")</f>
        <v/>
      </c>
      <c r="X111" s="12" t="str">
        <f>IF(XT!$P111=0,V111,"")</f>
        <v/>
      </c>
      <c r="Y111">
        <f>SUMPRODUCT((MONTH(CHOOSE({1,2,3,4},XT!U111,XT!Y111,XT!AC111,XT!AG111))=7)*(CHOOSE({1,2,3,4},XT!X111,XT!AB111,XT!AF111,XT!AJ111)))</f>
        <v>0</v>
      </c>
      <c r="Z111" t="str">
        <f>IFERROR(INDEX(CHOOSE({1,2,3,4}, DAY(XT!U111), DAY(XT!Y111), DAY(XT!AC111), DAY(XT!AG111)), MATCH(1, INDEX(--(MONTH(CHOOSE({1,2,3,4}, XT!U111,XT!Y111,XT!AC111,XT!AG111))=7), 0), 0)), "")</f>
        <v/>
      </c>
      <c r="AA111" s="12" t="str">
        <f>IF(XT!$P111&gt;0,Z111,"")</f>
        <v/>
      </c>
      <c r="AB111" s="12" t="str">
        <f>IF(XT!$P111=0,Z111,"")</f>
        <v/>
      </c>
      <c r="AC111">
        <f>SUMPRODUCT((MONTH(CHOOSE({1,2,3,4},XT!U111,XT!Y111,XT!AC111,XT!AG111))=8)*(CHOOSE({1,2,3,4},XT!X111,XT!AB111,XT!AF111,XT!AJ111)))</f>
        <v>0</v>
      </c>
      <c r="AD111" t="str">
        <f>IFERROR(INDEX(CHOOSE({1,2,3,4}, DAY(XT!U111), DAY(XT!Y111), DAY(XT!AC111), DAY(XT!AG111)), MATCH(1, INDEX(--(MONTH(CHOOSE({1,2,3,4}, XT!U111,XT!Y111,XT!AC111,XT!AG111))=8), 0), 0)), "")</f>
        <v/>
      </c>
      <c r="AE111" s="12" t="str">
        <f>IF(XT!$P111&gt;0,AD111,"")</f>
        <v/>
      </c>
      <c r="AF111" s="12" t="str">
        <f>IF(XT!$P111=0,AD111,"")</f>
        <v/>
      </c>
      <c r="AG111">
        <f>SUMPRODUCT((MONTH(CHOOSE({1,2,3,4},XT!U111,XT!Y111,XT!AC111,XT!AG111))=9)*(CHOOSE({1,2,3,4},XT!X111,XT!AB111,XT!AF111,XT!AJ111)))</f>
        <v>0</v>
      </c>
      <c r="AH111" t="str">
        <f>IFERROR(INDEX(CHOOSE({1,2,3,4}, DAY(XT!U111), DAY(XT!Y111), DAY(XT!AC111), DAY(XT!AG111)), MATCH(1, INDEX(--(MONTH(CHOOSE({1,2,3,4}, XT!U111,XT!Y111,XT!AC111,XT!AG111))=9), 0), 0)), "")</f>
        <v/>
      </c>
      <c r="AI111" s="12" t="str">
        <f>IF(XT!$P111&gt;0,AH111,"")</f>
        <v/>
      </c>
      <c r="AJ111" s="12" t="str">
        <f>IF(XT!$P111=0,AH111,"")</f>
        <v/>
      </c>
      <c r="AK111">
        <f>SUMPRODUCT((MONTH(CHOOSE({1,2,3,4},XT!U111,XT!Y111,XT!AC111,XT!AG111))=10)*(CHOOSE({1,2,3,4},XT!X111,XT!AB111,XT!AF111,XT!AJ111)))</f>
        <v>0</v>
      </c>
      <c r="AL111" t="str">
        <f>IFERROR(INDEX(CHOOSE({1,2,3,4}, DAY(XT!U111), DAY(XT!Y111), DAY(XT!AC111), DAY(XT!AG111)), MATCH(1, INDEX(--(MONTH(CHOOSE({1,2,3,4}, XT!U111,XT!Y111,XT!AC111,XT!AG111))=10), 0), 0)), "")</f>
        <v/>
      </c>
      <c r="AM111" s="12" t="str">
        <f>IF(XT!$P111&gt;0,AL111,"")</f>
        <v/>
      </c>
      <c r="AN111" s="12" t="str">
        <f>IF(XT!$P111=0,AL111,"")</f>
        <v/>
      </c>
      <c r="AO111">
        <f>SUMPRODUCT((MONTH(CHOOSE({1,2,3,4},XT!U111,XT!Y111,XT!AC111,XT!AG111))=11)*(CHOOSE({1,2,3,4},XT!X111,XT!AB111,XT!AF111,XT!AJ111)))</f>
        <v>0</v>
      </c>
      <c r="AP111" t="str">
        <f>IFERROR(INDEX(CHOOSE({1,2,3,4}, DAY(XT!U111), DAY(XT!Y111), DAY(XT!AC111), DAY(XT!AG111)), MATCH(1, INDEX(--(MONTH(CHOOSE({1,2,3,4}, XT!U111,XT!Y111,XT!AC111,XT!AG111))=11), 0), 0)), "")</f>
        <v/>
      </c>
      <c r="AQ111" s="12" t="str">
        <f>IF(XT!$P111&gt;0,AP111,"")</f>
        <v/>
      </c>
      <c r="AR111" s="12" t="str">
        <f>IF(XT!$P111=0,AP111,"")</f>
        <v/>
      </c>
      <c r="AS111">
        <f>SUMPRODUCT((MONTH(CHOOSE({1,2,3,4},XT!U111,XT!Y111,XT!AC111,XT!AG111))=12)*(CHOOSE({1,2,3,4},XT!X111,XT!AB111,XT!AF111,XT!AJ111)))</f>
        <v>0</v>
      </c>
      <c r="AT111" t="str">
        <f>IFERROR(INDEX(CHOOSE({1,2,3,4}, DAY(XT!U111), DAY(XT!Y111), DAY(XT!AC111), DAY(XT!AG111)), MATCH(1, INDEX(--(MONTH(CHOOSE({1,2,3,4}, XT!U111,XT!Y111,XT!AC111,XT!AG111))=12), 0), 0)), "")</f>
        <v/>
      </c>
      <c r="AU111" s="12" t="str">
        <f>IF(XT!$P111&gt;0,AT111,"")</f>
        <v/>
      </c>
      <c r="AV111" s="12" t="str">
        <f>IF(XT!$P111=0,AT111,"")</f>
        <v/>
      </c>
    </row>
    <row r="112" spans="1:48">
      <c r="A112">
        <f>SUMPRODUCT((MONTH(CHOOSE({1,2,3,4},XT!U112,XT!Y112,XT!AC112,XT!AG112))=1)*(CHOOSE({1,2,3,4},XT!X112,XT!AB112,XT!AF112,XT!AJ112)))</f>
        <v>0</v>
      </c>
      <c r="B112">
        <f>IFERROR(INDEX(CHOOSE({1,2,3,4}, DAY(XT!U112), DAY(XT!Y112), DAY(XT!AC112), DAY(XT!AG112)), MATCH(1, INDEX(--(MONTH(CHOOSE({1,2,3,4}, XT!U112,XT!Y112,XT!AC112,XT!AG112))=1), 0), 0)), "")</f>
        <v>0</v>
      </c>
      <c r="C112" s="12" t="str">
        <f>IF(XT!$P112&gt;0,B112,"")</f>
        <v/>
      </c>
      <c r="D112" s="12">
        <f>IF(XT!$P112=0,B112,"")</f>
        <v>0</v>
      </c>
      <c r="E112">
        <f>SUMPRODUCT((MONTH(CHOOSE({1,2,3,4},XT!U112,XT!Y112,XT!AC112,XT!AG112))=2)*(CHOOSE({1,2,3,4},XT!X112,XT!AB112,XT!AF112,XT!AJ112)))</f>
        <v>0</v>
      </c>
      <c r="F112" t="str">
        <f>IFERROR(INDEX(CHOOSE({1,2,3,4}, DAY(XT!U112), DAY(XT!Y112), DAY(XT!AC112), DAY(XT!AG112)), MATCH(1, INDEX(--(MONTH(CHOOSE({1,2,3,4}, XT!U112,XT!Y112,XT!AC112,XT!AG112))=2), 0), 0)), "")</f>
        <v/>
      </c>
      <c r="G112" s="12" t="str">
        <f>IF(XT!$P112&gt;0,F112,"")</f>
        <v/>
      </c>
      <c r="H112" s="12" t="str">
        <f>IF(XT!$P112=0,F112,"")</f>
        <v/>
      </c>
      <c r="I112">
        <f>SUMPRODUCT((MONTH(CHOOSE({1,2,3,4},XT!U112,XT!Y112,XT!AC112,XT!AG112))=3)*(CHOOSE({1,2,3,4},XT!X112,XT!AB112,XT!AF112,XT!AJ112)))</f>
        <v>0</v>
      </c>
      <c r="J112" t="str">
        <f>IFERROR(INDEX(CHOOSE({1,2,3,4}, DAY(XT!U112), DAY(XT!Y112), DAY(XT!AC112), DAY(XT!AG112)), MATCH(1, INDEX(--(MONTH(CHOOSE({1,2,3,4}, XT!U112,XT!Y112,XT!AC112,XT!AG112))=3), 0), 0)), "")</f>
        <v/>
      </c>
      <c r="K112" s="12" t="str">
        <f>IF(XT!$P112&gt;0,J112,"")</f>
        <v/>
      </c>
      <c r="L112" s="12" t="str">
        <f>IF(XT!$P112=0,J112,"")</f>
        <v/>
      </c>
      <c r="M112">
        <f>SUMPRODUCT((MONTH(CHOOSE({1,2,3,4},XT!U112,XT!Y112,XT!AC112,XT!AG112))=4)*(CHOOSE({1,2,3,4},XT!X112,XT!AB112,XT!AF112,XT!AJ112)))</f>
        <v>0</v>
      </c>
      <c r="N112" t="str">
        <f>IFERROR(INDEX(CHOOSE({1,2,3,4}, DAY(XT!U112), DAY(XT!Y112), DAY(XT!AC112), DAY(XT!AG112)), MATCH(1, INDEX(--(MONTH(CHOOSE({1,2,3,4}, XT!U112,XT!Y112,XT!AC112,XT!AG112))=4), 0), 0)), "")</f>
        <v/>
      </c>
      <c r="O112" s="12" t="str">
        <f>IF(XT!$P112&gt;0,N112,"")</f>
        <v/>
      </c>
      <c r="P112" s="12" t="str">
        <f>IF(XT!$P112=0,N112,"")</f>
        <v/>
      </c>
      <c r="Q112">
        <f>SUMPRODUCT((MONTH(CHOOSE({1,2,3,4},XT!U112,XT!Y112,XT!AC112,XT!AG112))=5)*(CHOOSE({1,2,3,4},XT!X112,XT!AB112,XT!AF112,XT!AJ112)))</f>
        <v>0</v>
      </c>
      <c r="R112" t="str">
        <f>IFERROR(INDEX(CHOOSE({1,2,3,4}, DAY(XT!U112), DAY(XT!Y112), DAY(XT!AC112), DAY(XT!AG112)), MATCH(1, INDEX(--(MONTH(CHOOSE({1,2,3,4}, XT!U112,XT!Y112,XT!AC112,XT!AG112))=5), 0), 0)), "")</f>
        <v/>
      </c>
      <c r="S112" s="12" t="str">
        <f>IF(XT!$P112&gt;0,R112,"")</f>
        <v/>
      </c>
      <c r="T112" s="12" t="str">
        <f>IF(XT!$P112=0,R112,"")</f>
        <v/>
      </c>
      <c r="U112">
        <f>SUMPRODUCT((MONTH(CHOOSE({1,2,3,4},XT!U112,XT!Y112,XT!AC112,XT!AG112))=6)*(CHOOSE({1,2,3,4},XT!X112,XT!AB112,XT!AF112,XT!AJ112)))</f>
        <v>0</v>
      </c>
      <c r="V112" t="str">
        <f>IFERROR(INDEX(CHOOSE({1,2,3,4}, DAY(XT!U112), DAY(XT!Y112), DAY(XT!AC112), DAY(XT!AG112)), MATCH(1, INDEX(--(MONTH(CHOOSE({1,2,3,4}, XT!U112,XT!Y112,XT!AC112,XT!AG112))=6), 0), 0)), "")</f>
        <v/>
      </c>
      <c r="W112" s="12" t="str">
        <f>IF(XT!$P112&gt;0,V112,"")</f>
        <v/>
      </c>
      <c r="X112" s="12" t="str">
        <f>IF(XT!$P112=0,V112,"")</f>
        <v/>
      </c>
      <c r="Y112">
        <f>SUMPRODUCT((MONTH(CHOOSE({1,2,3,4},XT!U112,XT!Y112,XT!AC112,XT!AG112))=7)*(CHOOSE({1,2,3,4},XT!X112,XT!AB112,XT!AF112,XT!AJ112)))</f>
        <v>0</v>
      </c>
      <c r="Z112" t="str">
        <f>IFERROR(INDEX(CHOOSE({1,2,3,4}, DAY(XT!U112), DAY(XT!Y112), DAY(XT!AC112), DAY(XT!AG112)), MATCH(1, INDEX(--(MONTH(CHOOSE({1,2,3,4}, XT!U112,XT!Y112,XT!AC112,XT!AG112))=7), 0), 0)), "")</f>
        <v/>
      </c>
      <c r="AA112" s="12" t="str">
        <f>IF(XT!$P112&gt;0,Z112,"")</f>
        <v/>
      </c>
      <c r="AB112" s="12" t="str">
        <f>IF(XT!$P112=0,Z112,"")</f>
        <v/>
      </c>
      <c r="AC112">
        <f>SUMPRODUCT((MONTH(CHOOSE({1,2,3,4},XT!U112,XT!Y112,XT!AC112,XT!AG112))=8)*(CHOOSE({1,2,3,4},XT!X112,XT!AB112,XT!AF112,XT!AJ112)))</f>
        <v>0</v>
      </c>
      <c r="AD112" t="str">
        <f>IFERROR(INDEX(CHOOSE({1,2,3,4}, DAY(XT!U112), DAY(XT!Y112), DAY(XT!AC112), DAY(XT!AG112)), MATCH(1, INDEX(--(MONTH(CHOOSE({1,2,3,4}, XT!U112,XT!Y112,XT!AC112,XT!AG112))=8), 0), 0)), "")</f>
        <v/>
      </c>
      <c r="AE112" s="12" t="str">
        <f>IF(XT!$P112&gt;0,AD112,"")</f>
        <v/>
      </c>
      <c r="AF112" s="12" t="str">
        <f>IF(XT!$P112=0,AD112,"")</f>
        <v/>
      </c>
      <c r="AG112">
        <f>SUMPRODUCT((MONTH(CHOOSE({1,2,3,4},XT!U112,XT!Y112,XT!AC112,XT!AG112))=9)*(CHOOSE({1,2,3,4},XT!X112,XT!AB112,XT!AF112,XT!AJ112)))</f>
        <v>0</v>
      </c>
      <c r="AH112" t="str">
        <f>IFERROR(INDEX(CHOOSE({1,2,3,4}, DAY(XT!U112), DAY(XT!Y112), DAY(XT!AC112), DAY(XT!AG112)), MATCH(1, INDEX(--(MONTH(CHOOSE({1,2,3,4}, XT!U112,XT!Y112,XT!AC112,XT!AG112))=9), 0), 0)), "")</f>
        <v/>
      </c>
      <c r="AI112" s="12" t="str">
        <f>IF(XT!$P112&gt;0,AH112,"")</f>
        <v/>
      </c>
      <c r="AJ112" s="12" t="str">
        <f>IF(XT!$P112=0,AH112,"")</f>
        <v/>
      </c>
      <c r="AK112">
        <f>SUMPRODUCT((MONTH(CHOOSE({1,2,3,4},XT!U112,XT!Y112,XT!AC112,XT!AG112))=10)*(CHOOSE({1,2,3,4},XT!X112,XT!AB112,XT!AF112,XT!AJ112)))</f>
        <v>0</v>
      </c>
      <c r="AL112" t="str">
        <f>IFERROR(INDEX(CHOOSE({1,2,3,4}, DAY(XT!U112), DAY(XT!Y112), DAY(XT!AC112), DAY(XT!AG112)), MATCH(1, INDEX(--(MONTH(CHOOSE({1,2,3,4}, XT!U112,XT!Y112,XT!AC112,XT!AG112))=10), 0), 0)), "")</f>
        <v/>
      </c>
      <c r="AM112" s="12" t="str">
        <f>IF(XT!$P112&gt;0,AL112,"")</f>
        <v/>
      </c>
      <c r="AN112" s="12" t="str">
        <f>IF(XT!$P112=0,AL112,"")</f>
        <v/>
      </c>
      <c r="AO112">
        <f>SUMPRODUCT((MONTH(CHOOSE({1,2,3,4},XT!U112,XT!Y112,XT!AC112,XT!AG112))=11)*(CHOOSE({1,2,3,4},XT!X112,XT!AB112,XT!AF112,XT!AJ112)))</f>
        <v>0</v>
      </c>
      <c r="AP112" t="str">
        <f>IFERROR(INDEX(CHOOSE({1,2,3,4}, DAY(XT!U112), DAY(XT!Y112), DAY(XT!AC112), DAY(XT!AG112)), MATCH(1, INDEX(--(MONTH(CHOOSE({1,2,3,4}, XT!U112,XT!Y112,XT!AC112,XT!AG112))=11), 0), 0)), "")</f>
        <v/>
      </c>
      <c r="AQ112" s="12" t="str">
        <f>IF(XT!$P112&gt;0,AP112,"")</f>
        <v/>
      </c>
      <c r="AR112" s="12" t="str">
        <f>IF(XT!$P112=0,AP112,"")</f>
        <v/>
      </c>
      <c r="AS112">
        <f>SUMPRODUCT((MONTH(CHOOSE({1,2,3,4},XT!U112,XT!Y112,XT!AC112,XT!AG112))=12)*(CHOOSE({1,2,3,4},XT!X112,XT!AB112,XT!AF112,XT!AJ112)))</f>
        <v>0</v>
      </c>
      <c r="AT112" t="str">
        <f>IFERROR(INDEX(CHOOSE({1,2,3,4}, DAY(XT!U112), DAY(XT!Y112), DAY(XT!AC112), DAY(XT!AG112)), MATCH(1, INDEX(--(MONTH(CHOOSE({1,2,3,4}, XT!U112,XT!Y112,XT!AC112,XT!AG112))=12), 0), 0)), "")</f>
        <v/>
      </c>
      <c r="AU112" s="12" t="str">
        <f>IF(XT!$P112&gt;0,AT112,"")</f>
        <v/>
      </c>
      <c r="AV112" s="12" t="str">
        <f>IF(XT!$P112=0,AT112,"")</f>
        <v/>
      </c>
    </row>
    <row r="113" spans="1:48">
      <c r="A113">
        <f>SUMPRODUCT((MONTH(CHOOSE({1,2,3,4},XT!U113,XT!Y113,XT!AC113,XT!AG113))=1)*(CHOOSE({1,2,3,4},XT!X113,XT!AB113,XT!AF113,XT!AJ113)))</f>
        <v>0</v>
      </c>
      <c r="B113">
        <f>IFERROR(INDEX(CHOOSE({1,2,3,4}, DAY(XT!U113), DAY(XT!Y113), DAY(XT!AC113), DAY(XT!AG113)), MATCH(1, INDEX(--(MONTH(CHOOSE({1,2,3,4}, XT!U113,XT!Y113,XT!AC113,XT!AG113))=1), 0), 0)), "")</f>
        <v>0</v>
      </c>
      <c r="C113" s="12" t="str">
        <f>IF(XT!$P113&gt;0,B113,"")</f>
        <v/>
      </c>
      <c r="D113" s="12">
        <f>IF(XT!$P113=0,B113,"")</f>
        <v>0</v>
      </c>
      <c r="E113">
        <f>SUMPRODUCT((MONTH(CHOOSE({1,2,3,4},XT!U113,XT!Y113,XT!AC113,XT!AG113))=2)*(CHOOSE({1,2,3,4},XT!X113,XT!AB113,XT!AF113,XT!AJ113)))</f>
        <v>0</v>
      </c>
      <c r="F113" t="str">
        <f>IFERROR(INDEX(CHOOSE({1,2,3,4}, DAY(XT!U113), DAY(XT!Y113), DAY(XT!AC113), DAY(XT!AG113)), MATCH(1, INDEX(--(MONTH(CHOOSE({1,2,3,4}, XT!U113,XT!Y113,XT!AC113,XT!AG113))=2), 0), 0)), "")</f>
        <v/>
      </c>
      <c r="G113" s="12" t="str">
        <f>IF(XT!$P113&gt;0,F113,"")</f>
        <v/>
      </c>
      <c r="H113" s="12" t="str">
        <f>IF(XT!$P113=0,F113,"")</f>
        <v/>
      </c>
      <c r="I113">
        <f>SUMPRODUCT((MONTH(CHOOSE({1,2,3,4},XT!U113,XT!Y113,XT!AC113,XT!AG113))=3)*(CHOOSE({1,2,3,4},XT!X113,XT!AB113,XT!AF113,XT!AJ113)))</f>
        <v>0</v>
      </c>
      <c r="J113" t="str">
        <f>IFERROR(INDEX(CHOOSE({1,2,3,4}, DAY(XT!U113), DAY(XT!Y113), DAY(XT!AC113), DAY(XT!AG113)), MATCH(1, INDEX(--(MONTH(CHOOSE({1,2,3,4}, XT!U113,XT!Y113,XT!AC113,XT!AG113))=3), 0), 0)), "")</f>
        <v/>
      </c>
      <c r="K113" s="12" t="str">
        <f>IF(XT!$P113&gt;0,J113,"")</f>
        <v/>
      </c>
      <c r="L113" s="12" t="str">
        <f>IF(XT!$P113=0,J113,"")</f>
        <v/>
      </c>
      <c r="M113">
        <f>SUMPRODUCT((MONTH(CHOOSE({1,2,3,4},XT!U113,XT!Y113,XT!AC113,XT!AG113))=4)*(CHOOSE({1,2,3,4},XT!X113,XT!AB113,XT!AF113,XT!AJ113)))</f>
        <v>0</v>
      </c>
      <c r="N113" t="str">
        <f>IFERROR(INDEX(CHOOSE({1,2,3,4}, DAY(XT!U113), DAY(XT!Y113), DAY(XT!AC113), DAY(XT!AG113)), MATCH(1, INDEX(--(MONTH(CHOOSE({1,2,3,4}, XT!U113,XT!Y113,XT!AC113,XT!AG113))=4), 0), 0)), "")</f>
        <v/>
      </c>
      <c r="O113" s="12" t="str">
        <f>IF(XT!$P113&gt;0,N113,"")</f>
        <v/>
      </c>
      <c r="P113" s="12" t="str">
        <f>IF(XT!$P113=0,N113,"")</f>
        <v/>
      </c>
      <c r="Q113">
        <f>SUMPRODUCT((MONTH(CHOOSE({1,2,3,4},XT!U113,XT!Y113,XT!AC113,XT!AG113))=5)*(CHOOSE({1,2,3,4},XT!X113,XT!AB113,XT!AF113,XT!AJ113)))</f>
        <v>0</v>
      </c>
      <c r="R113" t="str">
        <f>IFERROR(INDEX(CHOOSE({1,2,3,4}, DAY(XT!U113), DAY(XT!Y113), DAY(XT!AC113), DAY(XT!AG113)), MATCH(1, INDEX(--(MONTH(CHOOSE({1,2,3,4}, XT!U113,XT!Y113,XT!AC113,XT!AG113))=5), 0), 0)), "")</f>
        <v/>
      </c>
      <c r="S113" s="12" t="str">
        <f>IF(XT!$P113&gt;0,R113,"")</f>
        <v/>
      </c>
      <c r="T113" s="12" t="str">
        <f>IF(XT!$P113=0,R113,"")</f>
        <v/>
      </c>
      <c r="U113">
        <f>SUMPRODUCT((MONTH(CHOOSE({1,2,3,4},XT!U113,XT!Y113,XT!AC113,XT!AG113))=6)*(CHOOSE({1,2,3,4},XT!X113,XT!AB113,XT!AF113,XT!AJ113)))</f>
        <v>0</v>
      </c>
      <c r="V113" t="str">
        <f>IFERROR(INDEX(CHOOSE({1,2,3,4}, DAY(XT!U113), DAY(XT!Y113), DAY(XT!AC113), DAY(XT!AG113)), MATCH(1, INDEX(--(MONTH(CHOOSE({1,2,3,4}, XT!U113,XT!Y113,XT!AC113,XT!AG113))=6), 0), 0)), "")</f>
        <v/>
      </c>
      <c r="W113" s="12" t="str">
        <f>IF(XT!$P113&gt;0,V113,"")</f>
        <v/>
      </c>
      <c r="X113" s="12" t="str">
        <f>IF(XT!$P113=0,V113,"")</f>
        <v/>
      </c>
      <c r="Y113">
        <f>SUMPRODUCT((MONTH(CHOOSE({1,2,3,4},XT!U113,XT!Y113,XT!AC113,XT!AG113))=7)*(CHOOSE({1,2,3,4},XT!X113,XT!AB113,XT!AF113,XT!AJ113)))</f>
        <v>0</v>
      </c>
      <c r="Z113" t="str">
        <f>IFERROR(INDEX(CHOOSE({1,2,3,4}, DAY(XT!U113), DAY(XT!Y113), DAY(XT!AC113), DAY(XT!AG113)), MATCH(1, INDEX(--(MONTH(CHOOSE({1,2,3,4}, XT!U113,XT!Y113,XT!AC113,XT!AG113))=7), 0), 0)), "")</f>
        <v/>
      </c>
      <c r="AA113" s="12" t="str">
        <f>IF(XT!$P113&gt;0,Z113,"")</f>
        <v/>
      </c>
      <c r="AB113" s="12" t="str">
        <f>IF(XT!$P113=0,Z113,"")</f>
        <v/>
      </c>
      <c r="AC113">
        <f>SUMPRODUCT((MONTH(CHOOSE({1,2,3,4},XT!U113,XT!Y113,XT!AC113,XT!AG113))=8)*(CHOOSE({1,2,3,4},XT!X113,XT!AB113,XT!AF113,XT!AJ113)))</f>
        <v>0</v>
      </c>
      <c r="AD113" t="str">
        <f>IFERROR(INDEX(CHOOSE({1,2,3,4}, DAY(XT!U113), DAY(XT!Y113), DAY(XT!AC113), DAY(XT!AG113)), MATCH(1, INDEX(--(MONTH(CHOOSE({1,2,3,4}, XT!U113,XT!Y113,XT!AC113,XT!AG113))=8), 0), 0)), "")</f>
        <v/>
      </c>
      <c r="AE113" s="12" t="str">
        <f>IF(XT!$P113&gt;0,AD113,"")</f>
        <v/>
      </c>
      <c r="AF113" s="12" t="str">
        <f>IF(XT!$P113=0,AD113,"")</f>
        <v/>
      </c>
      <c r="AG113">
        <f>SUMPRODUCT((MONTH(CHOOSE({1,2,3,4},XT!U113,XT!Y113,XT!AC113,XT!AG113))=9)*(CHOOSE({1,2,3,4},XT!X113,XT!AB113,XT!AF113,XT!AJ113)))</f>
        <v>0</v>
      </c>
      <c r="AH113" t="str">
        <f>IFERROR(INDEX(CHOOSE({1,2,3,4}, DAY(XT!U113), DAY(XT!Y113), DAY(XT!AC113), DAY(XT!AG113)), MATCH(1, INDEX(--(MONTH(CHOOSE({1,2,3,4}, XT!U113,XT!Y113,XT!AC113,XT!AG113))=9), 0), 0)), "")</f>
        <v/>
      </c>
      <c r="AI113" s="12" t="str">
        <f>IF(XT!$P113&gt;0,AH113,"")</f>
        <v/>
      </c>
      <c r="AJ113" s="12" t="str">
        <f>IF(XT!$P113=0,AH113,"")</f>
        <v/>
      </c>
      <c r="AK113">
        <f>SUMPRODUCT((MONTH(CHOOSE({1,2,3,4},XT!U113,XT!Y113,XT!AC113,XT!AG113))=10)*(CHOOSE({1,2,3,4},XT!X113,XT!AB113,XT!AF113,XT!AJ113)))</f>
        <v>0</v>
      </c>
      <c r="AL113" t="str">
        <f>IFERROR(INDEX(CHOOSE({1,2,3,4}, DAY(XT!U113), DAY(XT!Y113), DAY(XT!AC113), DAY(XT!AG113)), MATCH(1, INDEX(--(MONTH(CHOOSE({1,2,3,4}, XT!U113,XT!Y113,XT!AC113,XT!AG113))=10), 0), 0)), "")</f>
        <v/>
      </c>
      <c r="AM113" s="12" t="str">
        <f>IF(XT!$P113&gt;0,AL113,"")</f>
        <v/>
      </c>
      <c r="AN113" s="12" t="str">
        <f>IF(XT!$P113=0,AL113,"")</f>
        <v/>
      </c>
      <c r="AO113">
        <f>SUMPRODUCT((MONTH(CHOOSE({1,2,3,4},XT!U113,XT!Y113,XT!AC113,XT!AG113))=11)*(CHOOSE({1,2,3,4},XT!X113,XT!AB113,XT!AF113,XT!AJ113)))</f>
        <v>0</v>
      </c>
      <c r="AP113" t="str">
        <f>IFERROR(INDEX(CHOOSE({1,2,3,4}, DAY(XT!U113), DAY(XT!Y113), DAY(XT!AC113), DAY(XT!AG113)), MATCH(1, INDEX(--(MONTH(CHOOSE({1,2,3,4}, XT!U113,XT!Y113,XT!AC113,XT!AG113))=11), 0), 0)), "")</f>
        <v/>
      </c>
      <c r="AQ113" s="12" t="str">
        <f>IF(XT!$P113&gt;0,AP113,"")</f>
        <v/>
      </c>
      <c r="AR113" s="12" t="str">
        <f>IF(XT!$P113=0,AP113,"")</f>
        <v/>
      </c>
      <c r="AS113">
        <f>SUMPRODUCT((MONTH(CHOOSE({1,2,3,4},XT!U113,XT!Y113,XT!AC113,XT!AG113))=12)*(CHOOSE({1,2,3,4},XT!X113,XT!AB113,XT!AF113,XT!AJ113)))</f>
        <v>0</v>
      </c>
      <c r="AT113" t="str">
        <f>IFERROR(INDEX(CHOOSE({1,2,3,4}, DAY(XT!U113), DAY(XT!Y113), DAY(XT!AC113), DAY(XT!AG113)), MATCH(1, INDEX(--(MONTH(CHOOSE({1,2,3,4}, XT!U113,XT!Y113,XT!AC113,XT!AG113))=12), 0), 0)), "")</f>
        <v/>
      </c>
      <c r="AU113" s="12" t="str">
        <f>IF(XT!$P113&gt;0,AT113,"")</f>
        <v/>
      </c>
      <c r="AV113" s="12" t="str">
        <f>IF(XT!$P113=0,AT113,"")</f>
        <v/>
      </c>
    </row>
    <row r="114" spans="1:48">
      <c r="A114">
        <f>SUMPRODUCT((MONTH(CHOOSE({1,2,3,4},XT!U114,XT!Y114,XT!AC114,XT!AG114))=1)*(CHOOSE({1,2,3,4},XT!X114,XT!AB114,XT!AF114,XT!AJ114)))</f>
        <v>0</v>
      </c>
      <c r="B114">
        <f>IFERROR(INDEX(CHOOSE({1,2,3,4}, DAY(XT!U114), DAY(XT!Y114), DAY(XT!AC114), DAY(XT!AG114)), MATCH(1, INDEX(--(MONTH(CHOOSE({1,2,3,4}, XT!U114,XT!Y114,XT!AC114,XT!AG114))=1), 0), 0)), "")</f>
        <v>0</v>
      </c>
      <c r="C114" s="12" t="str">
        <f>IF(XT!$P114&gt;0,B114,"")</f>
        <v/>
      </c>
      <c r="D114" s="12">
        <f>IF(XT!$P114=0,B114,"")</f>
        <v>0</v>
      </c>
      <c r="E114">
        <f>SUMPRODUCT((MONTH(CHOOSE({1,2,3,4},XT!U114,XT!Y114,XT!AC114,XT!AG114))=2)*(CHOOSE({1,2,3,4},XT!X114,XT!AB114,XT!AF114,XT!AJ114)))</f>
        <v>0</v>
      </c>
      <c r="F114" t="str">
        <f>IFERROR(INDEX(CHOOSE({1,2,3,4}, DAY(XT!U114), DAY(XT!Y114), DAY(XT!AC114), DAY(XT!AG114)), MATCH(1, INDEX(--(MONTH(CHOOSE({1,2,3,4}, XT!U114,XT!Y114,XT!AC114,XT!AG114))=2), 0), 0)), "")</f>
        <v/>
      </c>
      <c r="G114" s="12" t="str">
        <f>IF(XT!$P114&gt;0,F114,"")</f>
        <v/>
      </c>
      <c r="H114" s="12" t="str">
        <f>IF(XT!$P114=0,F114,"")</f>
        <v/>
      </c>
      <c r="I114">
        <f>SUMPRODUCT((MONTH(CHOOSE({1,2,3,4},XT!U114,XT!Y114,XT!AC114,XT!AG114))=3)*(CHOOSE({1,2,3,4},XT!X114,XT!AB114,XT!AF114,XT!AJ114)))</f>
        <v>0</v>
      </c>
      <c r="J114" t="str">
        <f>IFERROR(INDEX(CHOOSE({1,2,3,4}, DAY(XT!U114), DAY(XT!Y114), DAY(XT!AC114), DAY(XT!AG114)), MATCH(1, INDEX(--(MONTH(CHOOSE({1,2,3,4}, XT!U114,XT!Y114,XT!AC114,XT!AG114))=3), 0), 0)), "")</f>
        <v/>
      </c>
      <c r="K114" s="12" t="str">
        <f>IF(XT!$P114&gt;0,J114,"")</f>
        <v/>
      </c>
      <c r="L114" s="12" t="str">
        <f>IF(XT!$P114=0,J114,"")</f>
        <v/>
      </c>
      <c r="M114">
        <f>SUMPRODUCT((MONTH(CHOOSE({1,2,3,4},XT!U114,XT!Y114,XT!AC114,XT!AG114))=4)*(CHOOSE({1,2,3,4},XT!X114,XT!AB114,XT!AF114,XT!AJ114)))</f>
        <v>0</v>
      </c>
      <c r="N114" t="str">
        <f>IFERROR(INDEX(CHOOSE({1,2,3,4}, DAY(XT!U114), DAY(XT!Y114), DAY(XT!AC114), DAY(XT!AG114)), MATCH(1, INDEX(--(MONTH(CHOOSE({1,2,3,4}, XT!U114,XT!Y114,XT!AC114,XT!AG114))=4), 0), 0)), "")</f>
        <v/>
      </c>
      <c r="O114" s="12" t="str">
        <f>IF(XT!$P114&gt;0,N114,"")</f>
        <v/>
      </c>
      <c r="P114" s="12" t="str">
        <f>IF(XT!$P114=0,N114,"")</f>
        <v/>
      </c>
      <c r="Q114">
        <f>SUMPRODUCT((MONTH(CHOOSE({1,2,3,4},XT!U114,XT!Y114,XT!AC114,XT!AG114))=5)*(CHOOSE({1,2,3,4},XT!X114,XT!AB114,XT!AF114,XT!AJ114)))</f>
        <v>0</v>
      </c>
      <c r="R114" t="str">
        <f>IFERROR(INDEX(CHOOSE({1,2,3,4}, DAY(XT!U114), DAY(XT!Y114), DAY(XT!AC114), DAY(XT!AG114)), MATCH(1, INDEX(--(MONTH(CHOOSE({1,2,3,4}, XT!U114,XT!Y114,XT!AC114,XT!AG114))=5), 0), 0)), "")</f>
        <v/>
      </c>
      <c r="S114" s="12" t="str">
        <f>IF(XT!$P114&gt;0,R114,"")</f>
        <v/>
      </c>
      <c r="T114" s="12" t="str">
        <f>IF(XT!$P114=0,R114,"")</f>
        <v/>
      </c>
      <c r="U114">
        <f>SUMPRODUCT((MONTH(CHOOSE({1,2,3,4},XT!U114,XT!Y114,XT!AC114,XT!AG114))=6)*(CHOOSE({1,2,3,4},XT!X114,XT!AB114,XT!AF114,XT!AJ114)))</f>
        <v>0</v>
      </c>
      <c r="V114" t="str">
        <f>IFERROR(INDEX(CHOOSE({1,2,3,4}, DAY(XT!U114), DAY(XT!Y114), DAY(XT!AC114), DAY(XT!AG114)), MATCH(1, INDEX(--(MONTH(CHOOSE({1,2,3,4}, XT!U114,XT!Y114,XT!AC114,XT!AG114))=6), 0), 0)), "")</f>
        <v/>
      </c>
      <c r="W114" s="12" t="str">
        <f>IF(XT!$P114&gt;0,V114,"")</f>
        <v/>
      </c>
      <c r="X114" s="12" t="str">
        <f>IF(XT!$P114=0,V114,"")</f>
        <v/>
      </c>
      <c r="Y114">
        <f>SUMPRODUCT((MONTH(CHOOSE({1,2,3,4},XT!U114,XT!Y114,XT!AC114,XT!AG114))=7)*(CHOOSE({1,2,3,4},XT!X114,XT!AB114,XT!AF114,XT!AJ114)))</f>
        <v>0</v>
      </c>
      <c r="Z114" t="str">
        <f>IFERROR(INDEX(CHOOSE({1,2,3,4}, DAY(XT!U114), DAY(XT!Y114), DAY(XT!AC114), DAY(XT!AG114)), MATCH(1, INDEX(--(MONTH(CHOOSE({1,2,3,4}, XT!U114,XT!Y114,XT!AC114,XT!AG114))=7), 0), 0)), "")</f>
        <v/>
      </c>
      <c r="AA114" s="12" t="str">
        <f>IF(XT!$P114&gt;0,Z114,"")</f>
        <v/>
      </c>
      <c r="AB114" s="12" t="str">
        <f>IF(XT!$P114=0,Z114,"")</f>
        <v/>
      </c>
      <c r="AC114">
        <f>SUMPRODUCT((MONTH(CHOOSE({1,2,3,4},XT!U114,XT!Y114,XT!AC114,XT!AG114))=8)*(CHOOSE({1,2,3,4},XT!X114,XT!AB114,XT!AF114,XT!AJ114)))</f>
        <v>0</v>
      </c>
      <c r="AD114" t="str">
        <f>IFERROR(INDEX(CHOOSE({1,2,3,4}, DAY(XT!U114), DAY(XT!Y114), DAY(XT!AC114), DAY(XT!AG114)), MATCH(1, INDEX(--(MONTH(CHOOSE({1,2,3,4}, XT!U114,XT!Y114,XT!AC114,XT!AG114))=8), 0), 0)), "")</f>
        <v/>
      </c>
      <c r="AE114" s="12" t="str">
        <f>IF(XT!$P114&gt;0,AD114,"")</f>
        <v/>
      </c>
      <c r="AF114" s="12" t="str">
        <f>IF(XT!$P114=0,AD114,"")</f>
        <v/>
      </c>
      <c r="AG114">
        <f>SUMPRODUCT((MONTH(CHOOSE({1,2,3,4},XT!U114,XT!Y114,XT!AC114,XT!AG114))=9)*(CHOOSE({1,2,3,4},XT!X114,XT!AB114,XT!AF114,XT!AJ114)))</f>
        <v>0</v>
      </c>
      <c r="AH114" t="str">
        <f>IFERROR(INDEX(CHOOSE({1,2,3,4}, DAY(XT!U114), DAY(XT!Y114), DAY(XT!AC114), DAY(XT!AG114)), MATCH(1, INDEX(--(MONTH(CHOOSE({1,2,3,4}, XT!U114,XT!Y114,XT!AC114,XT!AG114))=9), 0), 0)), "")</f>
        <v/>
      </c>
      <c r="AI114" s="12" t="str">
        <f>IF(XT!$P114&gt;0,AH114,"")</f>
        <v/>
      </c>
      <c r="AJ114" s="12" t="str">
        <f>IF(XT!$P114=0,AH114,"")</f>
        <v/>
      </c>
      <c r="AK114">
        <f>SUMPRODUCT((MONTH(CHOOSE({1,2,3,4},XT!U114,XT!Y114,XT!AC114,XT!AG114))=10)*(CHOOSE({1,2,3,4},XT!X114,XT!AB114,XT!AF114,XT!AJ114)))</f>
        <v>0</v>
      </c>
      <c r="AL114" t="str">
        <f>IFERROR(INDEX(CHOOSE({1,2,3,4}, DAY(XT!U114), DAY(XT!Y114), DAY(XT!AC114), DAY(XT!AG114)), MATCH(1, INDEX(--(MONTH(CHOOSE({1,2,3,4}, XT!U114,XT!Y114,XT!AC114,XT!AG114))=10), 0), 0)), "")</f>
        <v/>
      </c>
      <c r="AM114" s="12" t="str">
        <f>IF(XT!$P114&gt;0,AL114,"")</f>
        <v/>
      </c>
      <c r="AN114" s="12" t="str">
        <f>IF(XT!$P114=0,AL114,"")</f>
        <v/>
      </c>
      <c r="AO114">
        <f>SUMPRODUCT((MONTH(CHOOSE({1,2,3,4},XT!U114,XT!Y114,XT!AC114,XT!AG114))=11)*(CHOOSE({1,2,3,4},XT!X114,XT!AB114,XT!AF114,XT!AJ114)))</f>
        <v>0</v>
      </c>
      <c r="AP114" t="str">
        <f>IFERROR(INDEX(CHOOSE({1,2,3,4}, DAY(XT!U114), DAY(XT!Y114), DAY(XT!AC114), DAY(XT!AG114)), MATCH(1, INDEX(--(MONTH(CHOOSE({1,2,3,4}, XT!U114,XT!Y114,XT!AC114,XT!AG114))=11), 0), 0)), "")</f>
        <v/>
      </c>
      <c r="AQ114" s="12" t="str">
        <f>IF(XT!$P114&gt;0,AP114,"")</f>
        <v/>
      </c>
      <c r="AR114" s="12" t="str">
        <f>IF(XT!$P114=0,AP114,"")</f>
        <v/>
      </c>
      <c r="AS114">
        <f>SUMPRODUCT((MONTH(CHOOSE({1,2,3,4},XT!U114,XT!Y114,XT!AC114,XT!AG114))=12)*(CHOOSE({1,2,3,4},XT!X114,XT!AB114,XT!AF114,XT!AJ114)))</f>
        <v>0</v>
      </c>
      <c r="AT114" t="str">
        <f>IFERROR(INDEX(CHOOSE({1,2,3,4}, DAY(XT!U114), DAY(XT!Y114), DAY(XT!AC114), DAY(XT!AG114)), MATCH(1, INDEX(--(MONTH(CHOOSE({1,2,3,4}, XT!U114,XT!Y114,XT!AC114,XT!AG114))=12), 0), 0)), "")</f>
        <v/>
      </c>
      <c r="AU114" s="12" t="str">
        <f>IF(XT!$P114&gt;0,AT114,"")</f>
        <v/>
      </c>
      <c r="AV114" s="12" t="str">
        <f>IF(XT!$P114=0,AT114,"")</f>
        <v/>
      </c>
    </row>
    <row r="115" spans="1:48">
      <c r="A115">
        <f>SUMPRODUCT((MONTH(CHOOSE({1,2,3,4},XT!U115,XT!Y115,XT!AC115,XT!AG115))=1)*(CHOOSE({1,2,3,4},XT!X115,XT!AB115,XT!AF115,XT!AJ115)))</f>
        <v>0</v>
      </c>
      <c r="B115">
        <f>IFERROR(INDEX(CHOOSE({1,2,3,4}, DAY(XT!U115), DAY(XT!Y115), DAY(XT!AC115), DAY(XT!AG115)), MATCH(1, INDEX(--(MONTH(CHOOSE({1,2,3,4}, XT!U115,XT!Y115,XT!AC115,XT!AG115))=1), 0), 0)), "")</f>
        <v>0</v>
      </c>
      <c r="C115" s="12" t="str">
        <f>IF(XT!$P115&gt;0,B115,"")</f>
        <v/>
      </c>
      <c r="D115" s="12">
        <f>IF(XT!$P115=0,B115,"")</f>
        <v>0</v>
      </c>
      <c r="E115">
        <f>SUMPRODUCT((MONTH(CHOOSE({1,2,3,4},XT!U115,XT!Y115,XT!AC115,XT!AG115))=2)*(CHOOSE({1,2,3,4},XT!X115,XT!AB115,XT!AF115,XT!AJ115)))</f>
        <v>0</v>
      </c>
      <c r="F115" t="str">
        <f>IFERROR(INDEX(CHOOSE({1,2,3,4}, DAY(XT!U115), DAY(XT!Y115), DAY(XT!AC115), DAY(XT!AG115)), MATCH(1, INDEX(--(MONTH(CHOOSE({1,2,3,4}, XT!U115,XT!Y115,XT!AC115,XT!AG115))=2), 0), 0)), "")</f>
        <v/>
      </c>
      <c r="G115" s="12" t="str">
        <f>IF(XT!$P115&gt;0,F115,"")</f>
        <v/>
      </c>
      <c r="H115" s="12" t="str">
        <f>IF(XT!$P115=0,F115,"")</f>
        <v/>
      </c>
      <c r="I115">
        <f>SUMPRODUCT((MONTH(CHOOSE({1,2,3,4},XT!U115,XT!Y115,XT!AC115,XT!AG115))=3)*(CHOOSE({1,2,3,4},XT!X115,XT!AB115,XT!AF115,XT!AJ115)))</f>
        <v>0</v>
      </c>
      <c r="J115" t="str">
        <f>IFERROR(INDEX(CHOOSE({1,2,3,4}, DAY(XT!U115), DAY(XT!Y115), DAY(XT!AC115), DAY(XT!AG115)), MATCH(1, INDEX(--(MONTH(CHOOSE({1,2,3,4}, XT!U115,XT!Y115,XT!AC115,XT!AG115))=3), 0), 0)), "")</f>
        <v/>
      </c>
      <c r="K115" s="12" t="str">
        <f>IF(XT!$P115&gt;0,J115,"")</f>
        <v/>
      </c>
      <c r="L115" s="12" t="str">
        <f>IF(XT!$P115=0,J115,"")</f>
        <v/>
      </c>
      <c r="M115">
        <f>SUMPRODUCT((MONTH(CHOOSE({1,2,3,4},XT!U115,XT!Y115,XT!AC115,XT!AG115))=4)*(CHOOSE({1,2,3,4},XT!X115,XT!AB115,XT!AF115,XT!AJ115)))</f>
        <v>0</v>
      </c>
      <c r="N115" t="str">
        <f>IFERROR(INDEX(CHOOSE({1,2,3,4}, DAY(XT!U115), DAY(XT!Y115), DAY(XT!AC115), DAY(XT!AG115)), MATCH(1, INDEX(--(MONTH(CHOOSE({1,2,3,4}, XT!U115,XT!Y115,XT!AC115,XT!AG115))=4), 0), 0)), "")</f>
        <v/>
      </c>
      <c r="O115" s="12" t="str">
        <f>IF(XT!$P115&gt;0,N115,"")</f>
        <v/>
      </c>
      <c r="P115" s="12" t="str">
        <f>IF(XT!$P115=0,N115,"")</f>
        <v/>
      </c>
      <c r="Q115">
        <f>SUMPRODUCT((MONTH(CHOOSE({1,2,3,4},XT!U115,XT!Y115,XT!AC115,XT!AG115))=5)*(CHOOSE({1,2,3,4},XT!X115,XT!AB115,XT!AF115,XT!AJ115)))</f>
        <v>0</v>
      </c>
      <c r="R115" t="str">
        <f>IFERROR(INDEX(CHOOSE({1,2,3,4}, DAY(XT!U115), DAY(XT!Y115), DAY(XT!AC115), DAY(XT!AG115)), MATCH(1, INDEX(--(MONTH(CHOOSE({1,2,3,4}, XT!U115,XT!Y115,XT!AC115,XT!AG115))=5), 0), 0)), "")</f>
        <v/>
      </c>
      <c r="S115" s="12" t="str">
        <f>IF(XT!$P115&gt;0,R115,"")</f>
        <v/>
      </c>
      <c r="T115" s="12" t="str">
        <f>IF(XT!$P115=0,R115,"")</f>
        <v/>
      </c>
      <c r="U115">
        <f>SUMPRODUCT((MONTH(CHOOSE({1,2,3,4},XT!U115,XT!Y115,XT!AC115,XT!AG115))=6)*(CHOOSE({1,2,3,4},XT!X115,XT!AB115,XT!AF115,XT!AJ115)))</f>
        <v>0</v>
      </c>
      <c r="V115" t="str">
        <f>IFERROR(INDEX(CHOOSE({1,2,3,4}, DAY(XT!U115), DAY(XT!Y115), DAY(XT!AC115), DAY(XT!AG115)), MATCH(1, INDEX(--(MONTH(CHOOSE({1,2,3,4}, XT!U115,XT!Y115,XT!AC115,XT!AG115))=6), 0), 0)), "")</f>
        <v/>
      </c>
      <c r="W115" s="12" t="str">
        <f>IF(XT!$P115&gt;0,V115,"")</f>
        <v/>
      </c>
      <c r="X115" s="12" t="str">
        <f>IF(XT!$P115=0,V115,"")</f>
        <v/>
      </c>
      <c r="Y115">
        <f>SUMPRODUCT((MONTH(CHOOSE({1,2,3,4},XT!U115,XT!Y115,XT!AC115,XT!AG115))=7)*(CHOOSE({1,2,3,4},XT!X115,XT!AB115,XT!AF115,XT!AJ115)))</f>
        <v>0</v>
      </c>
      <c r="Z115" t="str">
        <f>IFERROR(INDEX(CHOOSE({1,2,3,4}, DAY(XT!U115), DAY(XT!Y115), DAY(XT!AC115), DAY(XT!AG115)), MATCH(1, INDEX(--(MONTH(CHOOSE({1,2,3,4}, XT!U115,XT!Y115,XT!AC115,XT!AG115))=7), 0), 0)), "")</f>
        <v/>
      </c>
      <c r="AA115" s="12" t="str">
        <f>IF(XT!$P115&gt;0,Z115,"")</f>
        <v/>
      </c>
      <c r="AB115" s="12" t="str">
        <f>IF(XT!$P115=0,Z115,"")</f>
        <v/>
      </c>
      <c r="AC115">
        <f>SUMPRODUCT((MONTH(CHOOSE({1,2,3,4},XT!U115,XT!Y115,XT!AC115,XT!AG115))=8)*(CHOOSE({1,2,3,4},XT!X115,XT!AB115,XT!AF115,XT!AJ115)))</f>
        <v>0</v>
      </c>
      <c r="AD115" t="str">
        <f>IFERROR(INDEX(CHOOSE({1,2,3,4}, DAY(XT!U115), DAY(XT!Y115), DAY(XT!AC115), DAY(XT!AG115)), MATCH(1, INDEX(--(MONTH(CHOOSE({1,2,3,4}, XT!U115,XT!Y115,XT!AC115,XT!AG115))=8), 0), 0)), "")</f>
        <v/>
      </c>
      <c r="AE115" s="12" t="str">
        <f>IF(XT!$P115&gt;0,AD115,"")</f>
        <v/>
      </c>
      <c r="AF115" s="12" t="str">
        <f>IF(XT!$P115=0,AD115,"")</f>
        <v/>
      </c>
      <c r="AG115">
        <f>SUMPRODUCT((MONTH(CHOOSE({1,2,3,4},XT!U115,XT!Y115,XT!AC115,XT!AG115))=9)*(CHOOSE({1,2,3,4},XT!X115,XT!AB115,XT!AF115,XT!AJ115)))</f>
        <v>0</v>
      </c>
      <c r="AH115" t="str">
        <f>IFERROR(INDEX(CHOOSE({1,2,3,4}, DAY(XT!U115), DAY(XT!Y115), DAY(XT!AC115), DAY(XT!AG115)), MATCH(1, INDEX(--(MONTH(CHOOSE({1,2,3,4}, XT!U115,XT!Y115,XT!AC115,XT!AG115))=9), 0), 0)), "")</f>
        <v/>
      </c>
      <c r="AI115" s="12" t="str">
        <f>IF(XT!$P115&gt;0,AH115,"")</f>
        <v/>
      </c>
      <c r="AJ115" s="12" t="str">
        <f>IF(XT!$P115=0,AH115,"")</f>
        <v/>
      </c>
      <c r="AK115">
        <f>SUMPRODUCT((MONTH(CHOOSE({1,2,3,4},XT!U115,XT!Y115,XT!AC115,XT!AG115))=10)*(CHOOSE({1,2,3,4},XT!X115,XT!AB115,XT!AF115,XT!AJ115)))</f>
        <v>0</v>
      </c>
      <c r="AL115" t="str">
        <f>IFERROR(INDEX(CHOOSE({1,2,3,4}, DAY(XT!U115), DAY(XT!Y115), DAY(XT!AC115), DAY(XT!AG115)), MATCH(1, INDEX(--(MONTH(CHOOSE({1,2,3,4}, XT!U115,XT!Y115,XT!AC115,XT!AG115))=10), 0), 0)), "")</f>
        <v/>
      </c>
      <c r="AM115" s="12" t="str">
        <f>IF(XT!$P115&gt;0,AL115,"")</f>
        <v/>
      </c>
      <c r="AN115" s="12" t="str">
        <f>IF(XT!$P115=0,AL115,"")</f>
        <v/>
      </c>
      <c r="AO115">
        <f>SUMPRODUCT((MONTH(CHOOSE({1,2,3,4},XT!U115,XT!Y115,XT!AC115,XT!AG115))=11)*(CHOOSE({1,2,3,4},XT!X115,XT!AB115,XT!AF115,XT!AJ115)))</f>
        <v>0</v>
      </c>
      <c r="AP115" t="str">
        <f>IFERROR(INDEX(CHOOSE({1,2,3,4}, DAY(XT!U115), DAY(XT!Y115), DAY(XT!AC115), DAY(XT!AG115)), MATCH(1, INDEX(--(MONTH(CHOOSE({1,2,3,4}, XT!U115,XT!Y115,XT!AC115,XT!AG115))=11), 0), 0)), "")</f>
        <v/>
      </c>
      <c r="AQ115" s="12" t="str">
        <f>IF(XT!$P115&gt;0,AP115,"")</f>
        <v/>
      </c>
      <c r="AR115" s="12" t="str">
        <f>IF(XT!$P115=0,AP115,"")</f>
        <v/>
      </c>
      <c r="AS115">
        <f>SUMPRODUCT((MONTH(CHOOSE({1,2,3,4},XT!U115,XT!Y115,XT!AC115,XT!AG115))=12)*(CHOOSE({1,2,3,4},XT!X115,XT!AB115,XT!AF115,XT!AJ115)))</f>
        <v>0</v>
      </c>
      <c r="AT115" t="str">
        <f>IFERROR(INDEX(CHOOSE({1,2,3,4}, DAY(XT!U115), DAY(XT!Y115), DAY(XT!AC115), DAY(XT!AG115)), MATCH(1, INDEX(--(MONTH(CHOOSE({1,2,3,4}, XT!U115,XT!Y115,XT!AC115,XT!AG115))=12), 0), 0)), "")</f>
        <v/>
      </c>
      <c r="AU115" s="12" t="str">
        <f>IF(XT!$P115&gt;0,AT115,"")</f>
        <v/>
      </c>
      <c r="AV115" s="12" t="str">
        <f>IF(XT!$P115=0,AT115,"")</f>
        <v/>
      </c>
    </row>
    <row r="116" spans="1:48">
      <c r="A116">
        <f>SUMPRODUCT((MONTH(CHOOSE({1,2,3,4},XT!U116,XT!Y116,XT!AC116,XT!AG116))=1)*(CHOOSE({1,2,3,4},XT!X116,XT!AB116,XT!AF116,XT!AJ116)))</f>
        <v>0</v>
      </c>
      <c r="B116">
        <f>IFERROR(INDEX(CHOOSE({1,2,3,4}, DAY(XT!U116), DAY(XT!Y116), DAY(XT!AC116), DAY(XT!AG116)), MATCH(1, INDEX(--(MONTH(CHOOSE({1,2,3,4}, XT!U116,XT!Y116,XT!AC116,XT!AG116))=1), 0), 0)), "")</f>
        <v>0</v>
      </c>
      <c r="C116" s="12" t="str">
        <f>IF(XT!$P116&gt;0,B116,"")</f>
        <v/>
      </c>
      <c r="D116" s="12">
        <f>IF(XT!$P116=0,B116,"")</f>
        <v>0</v>
      </c>
      <c r="E116">
        <f>SUMPRODUCT((MONTH(CHOOSE({1,2,3,4},XT!U116,XT!Y116,XT!AC116,XT!AG116))=2)*(CHOOSE({1,2,3,4},XT!X116,XT!AB116,XT!AF116,XT!AJ116)))</f>
        <v>0</v>
      </c>
      <c r="F116" t="str">
        <f>IFERROR(INDEX(CHOOSE({1,2,3,4}, DAY(XT!U116), DAY(XT!Y116), DAY(XT!AC116), DAY(XT!AG116)), MATCH(1, INDEX(--(MONTH(CHOOSE({1,2,3,4}, XT!U116,XT!Y116,XT!AC116,XT!AG116))=2), 0), 0)), "")</f>
        <v/>
      </c>
      <c r="G116" s="12" t="str">
        <f>IF(XT!$P116&gt;0,F116,"")</f>
        <v/>
      </c>
      <c r="H116" s="12" t="str">
        <f>IF(XT!$P116=0,F116,"")</f>
        <v/>
      </c>
      <c r="I116">
        <f>SUMPRODUCT((MONTH(CHOOSE({1,2,3,4},XT!U116,XT!Y116,XT!AC116,XT!AG116))=3)*(CHOOSE({1,2,3,4},XT!X116,XT!AB116,XT!AF116,XT!AJ116)))</f>
        <v>0</v>
      </c>
      <c r="J116" t="str">
        <f>IFERROR(INDEX(CHOOSE({1,2,3,4}, DAY(XT!U116), DAY(XT!Y116), DAY(XT!AC116), DAY(XT!AG116)), MATCH(1, INDEX(--(MONTH(CHOOSE({1,2,3,4}, XT!U116,XT!Y116,XT!AC116,XT!AG116))=3), 0), 0)), "")</f>
        <v/>
      </c>
      <c r="K116" s="12" t="str">
        <f>IF(XT!$P116&gt;0,J116,"")</f>
        <v/>
      </c>
      <c r="L116" s="12" t="str">
        <f>IF(XT!$P116=0,J116,"")</f>
        <v/>
      </c>
      <c r="M116">
        <f>SUMPRODUCT((MONTH(CHOOSE({1,2,3,4},XT!U116,XT!Y116,XT!AC116,XT!AG116))=4)*(CHOOSE({1,2,3,4},XT!X116,XT!AB116,XT!AF116,XT!AJ116)))</f>
        <v>0</v>
      </c>
      <c r="N116" t="str">
        <f>IFERROR(INDEX(CHOOSE({1,2,3,4}, DAY(XT!U116), DAY(XT!Y116), DAY(XT!AC116), DAY(XT!AG116)), MATCH(1, INDEX(--(MONTH(CHOOSE({1,2,3,4}, XT!U116,XT!Y116,XT!AC116,XT!AG116))=4), 0), 0)), "")</f>
        <v/>
      </c>
      <c r="O116" s="12" t="str">
        <f>IF(XT!$P116&gt;0,N116,"")</f>
        <v/>
      </c>
      <c r="P116" s="12" t="str">
        <f>IF(XT!$P116=0,N116,"")</f>
        <v/>
      </c>
      <c r="Q116">
        <f>SUMPRODUCT((MONTH(CHOOSE({1,2,3,4},XT!U116,XT!Y116,XT!AC116,XT!AG116))=5)*(CHOOSE({1,2,3,4},XT!X116,XT!AB116,XT!AF116,XT!AJ116)))</f>
        <v>0</v>
      </c>
      <c r="R116" t="str">
        <f>IFERROR(INDEX(CHOOSE({1,2,3,4}, DAY(XT!U116), DAY(XT!Y116), DAY(XT!AC116), DAY(XT!AG116)), MATCH(1, INDEX(--(MONTH(CHOOSE({1,2,3,4}, XT!U116,XT!Y116,XT!AC116,XT!AG116))=5), 0), 0)), "")</f>
        <v/>
      </c>
      <c r="S116" s="12" t="str">
        <f>IF(XT!$P116&gt;0,R116,"")</f>
        <v/>
      </c>
      <c r="T116" s="12" t="str">
        <f>IF(XT!$P116=0,R116,"")</f>
        <v/>
      </c>
      <c r="U116">
        <f>SUMPRODUCT((MONTH(CHOOSE({1,2,3,4},XT!U116,XT!Y116,XT!AC116,XT!AG116))=6)*(CHOOSE({1,2,3,4},XT!X116,XT!AB116,XT!AF116,XT!AJ116)))</f>
        <v>0</v>
      </c>
      <c r="V116" t="str">
        <f>IFERROR(INDEX(CHOOSE({1,2,3,4}, DAY(XT!U116), DAY(XT!Y116), DAY(XT!AC116), DAY(XT!AG116)), MATCH(1, INDEX(--(MONTH(CHOOSE({1,2,3,4}, XT!U116,XT!Y116,XT!AC116,XT!AG116))=6), 0), 0)), "")</f>
        <v/>
      </c>
      <c r="W116" s="12" t="str">
        <f>IF(XT!$P116&gt;0,V116,"")</f>
        <v/>
      </c>
      <c r="X116" s="12" t="str">
        <f>IF(XT!$P116=0,V116,"")</f>
        <v/>
      </c>
      <c r="Y116">
        <f>SUMPRODUCT((MONTH(CHOOSE({1,2,3,4},XT!U116,XT!Y116,XT!AC116,XT!AG116))=7)*(CHOOSE({1,2,3,4},XT!X116,XT!AB116,XT!AF116,XT!AJ116)))</f>
        <v>0</v>
      </c>
      <c r="Z116" t="str">
        <f>IFERROR(INDEX(CHOOSE({1,2,3,4}, DAY(XT!U116), DAY(XT!Y116), DAY(XT!AC116), DAY(XT!AG116)), MATCH(1, INDEX(--(MONTH(CHOOSE({1,2,3,4}, XT!U116,XT!Y116,XT!AC116,XT!AG116))=7), 0), 0)), "")</f>
        <v/>
      </c>
      <c r="AA116" s="12" t="str">
        <f>IF(XT!$P116&gt;0,Z116,"")</f>
        <v/>
      </c>
      <c r="AB116" s="12" t="str">
        <f>IF(XT!$P116=0,Z116,"")</f>
        <v/>
      </c>
      <c r="AC116">
        <f>SUMPRODUCT((MONTH(CHOOSE({1,2,3,4},XT!U116,XT!Y116,XT!AC116,XT!AG116))=8)*(CHOOSE({1,2,3,4},XT!X116,XT!AB116,XT!AF116,XT!AJ116)))</f>
        <v>0</v>
      </c>
      <c r="AD116" t="str">
        <f>IFERROR(INDEX(CHOOSE({1,2,3,4}, DAY(XT!U116), DAY(XT!Y116), DAY(XT!AC116), DAY(XT!AG116)), MATCH(1, INDEX(--(MONTH(CHOOSE({1,2,3,4}, XT!U116,XT!Y116,XT!AC116,XT!AG116))=8), 0), 0)), "")</f>
        <v/>
      </c>
      <c r="AE116" s="12" t="str">
        <f>IF(XT!$P116&gt;0,AD116,"")</f>
        <v/>
      </c>
      <c r="AF116" s="12" t="str">
        <f>IF(XT!$P116=0,AD116,"")</f>
        <v/>
      </c>
      <c r="AG116">
        <f>SUMPRODUCT((MONTH(CHOOSE({1,2,3,4},XT!U116,XT!Y116,XT!AC116,XT!AG116))=9)*(CHOOSE({1,2,3,4},XT!X116,XT!AB116,XT!AF116,XT!AJ116)))</f>
        <v>0</v>
      </c>
      <c r="AH116" t="str">
        <f>IFERROR(INDEX(CHOOSE({1,2,3,4}, DAY(XT!U116), DAY(XT!Y116), DAY(XT!AC116), DAY(XT!AG116)), MATCH(1, INDEX(--(MONTH(CHOOSE({1,2,3,4}, XT!U116,XT!Y116,XT!AC116,XT!AG116))=9), 0), 0)), "")</f>
        <v/>
      </c>
      <c r="AI116" s="12" t="str">
        <f>IF(XT!$P116&gt;0,AH116,"")</f>
        <v/>
      </c>
      <c r="AJ116" s="12" t="str">
        <f>IF(XT!$P116=0,AH116,"")</f>
        <v/>
      </c>
      <c r="AK116">
        <f>SUMPRODUCT((MONTH(CHOOSE({1,2,3,4},XT!U116,XT!Y116,XT!AC116,XT!AG116))=10)*(CHOOSE({1,2,3,4},XT!X116,XT!AB116,XT!AF116,XT!AJ116)))</f>
        <v>0</v>
      </c>
      <c r="AL116" t="str">
        <f>IFERROR(INDEX(CHOOSE({1,2,3,4}, DAY(XT!U116), DAY(XT!Y116), DAY(XT!AC116), DAY(XT!AG116)), MATCH(1, INDEX(--(MONTH(CHOOSE({1,2,3,4}, XT!U116,XT!Y116,XT!AC116,XT!AG116))=10), 0), 0)), "")</f>
        <v/>
      </c>
      <c r="AM116" s="12" t="str">
        <f>IF(XT!$P116&gt;0,AL116,"")</f>
        <v/>
      </c>
      <c r="AN116" s="12" t="str">
        <f>IF(XT!$P116=0,AL116,"")</f>
        <v/>
      </c>
      <c r="AO116">
        <f>SUMPRODUCT((MONTH(CHOOSE({1,2,3,4},XT!U116,XT!Y116,XT!AC116,XT!AG116))=11)*(CHOOSE({1,2,3,4},XT!X116,XT!AB116,XT!AF116,XT!AJ116)))</f>
        <v>0</v>
      </c>
      <c r="AP116" t="str">
        <f>IFERROR(INDEX(CHOOSE({1,2,3,4}, DAY(XT!U116), DAY(XT!Y116), DAY(XT!AC116), DAY(XT!AG116)), MATCH(1, INDEX(--(MONTH(CHOOSE({1,2,3,4}, XT!U116,XT!Y116,XT!AC116,XT!AG116))=11), 0), 0)), "")</f>
        <v/>
      </c>
      <c r="AQ116" s="12" t="str">
        <f>IF(XT!$P116&gt;0,AP116,"")</f>
        <v/>
      </c>
      <c r="AR116" s="12" t="str">
        <f>IF(XT!$P116=0,AP116,"")</f>
        <v/>
      </c>
      <c r="AS116">
        <f>SUMPRODUCT((MONTH(CHOOSE({1,2,3,4},XT!U116,XT!Y116,XT!AC116,XT!AG116))=12)*(CHOOSE({1,2,3,4},XT!X116,XT!AB116,XT!AF116,XT!AJ116)))</f>
        <v>0</v>
      </c>
      <c r="AT116" t="str">
        <f>IFERROR(INDEX(CHOOSE({1,2,3,4}, DAY(XT!U116), DAY(XT!Y116), DAY(XT!AC116), DAY(XT!AG116)), MATCH(1, INDEX(--(MONTH(CHOOSE({1,2,3,4}, XT!U116,XT!Y116,XT!AC116,XT!AG116))=12), 0), 0)), "")</f>
        <v/>
      </c>
      <c r="AU116" s="12" t="str">
        <f>IF(XT!$P116&gt;0,AT116,"")</f>
        <v/>
      </c>
      <c r="AV116" s="12" t="str">
        <f>IF(XT!$P116=0,AT116,"")</f>
        <v/>
      </c>
    </row>
    <row r="117" spans="1:48">
      <c r="A117">
        <f>SUMPRODUCT((MONTH(CHOOSE({1,2,3,4},XT!U117,XT!Y117,XT!AC117,XT!AG117))=1)*(CHOOSE({1,2,3,4},XT!X117,XT!AB117,XT!AF117,XT!AJ117)))</f>
        <v>0</v>
      </c>
      <c r="B117">
        <f>IFERROR(INDEX(CHOOSE({1,2,3,4}, DAY(XT!U117), DAY(XT!Y117), DAY(XT!AC117), DAY(XT!AG117)), MATCH(1, INDEX(--(MONTH(CHOOSE({1,2,3,4}, XT!U117,XT!Y117,XT!AC117,XT!AG117))=1), 0), 0)), "")</f>
        <v>0</v>
      </c>
      <c r="C117" s="12" t="str">
        <f>IF(XT!$P117&gt;0,B117,"")</f>
        <v/>
      </c>
      <c r="D117" s="12">
        <f>IF(XT!$P117=0,B117,"")</f>
        <v>0</v>
      </c>
      <c r="E117">
        <f>SUMPRODUCT((MONTH(CHOOSE({1,2,3,4},XT!U117,XT!Y117,XT!AC117,XT!AG117))=2)*(CHOOSE({1,2,3,4},XT!X117,XT!AB117,XT!AF117,XT!AJ117)))</f>
        <v>0</v>
      </c>
      <c r="F117" t="str">
        <f>IFERROR(INDEX(CHOOSE({1,2,3,4}, DAY(XT!U117), DAY(XT!Y117), DAY(XT!AC117), DAY(XT!AG117)), MATCH(1, INDEX(--(MONTH(CHOOSE({1,2,3,4}, XT!U117,XT!Y117,XT!AC117,XT!AG117))=2), 0), 0)), "")</f>
        <v/>
      </c>
      <c r="G117" s="12" t="str">
        <f>IF(XT!$P117&gt;0,F117,"")</f>
        <v/>
      </c>
      <c r="H117" s="12" t="str">
        <f>IF(XT!$P117=0,F117,"")</f>
        <v/>
      </c>
      <c r="I117">
        <f>SUMPRODUCT((MONTH(CHOOSE({1,2,3,4},XT!U117,XT!Y117,XT!AC117,XT!AG117))=3)*(CHOOSE({1,2,3,4},XT!X117,XT!AB117,XT!AF117,XT!AJ117)))</f>
        <v>0</v>
      </c>
      <c r="J117" t="str">
        <f>IFERROR(INDEX(CHOOSE({1,2,3,4}, DAY(XT!U117), DAY(XT!Y117), DAY(XT!AC117), DAY(XT!AG117)), MATCH(1, INDEX(--(MONTH(CHOOSE({1,2,3,4}, XT!U117,XT!Y117,XT!AC117,XT!AG117))=3), 0), 0)), "")</f>
        <v/>
      </c>
      <c r="K117" s="12" t="str">
        <f>IF(XT!$P117&gt;0,J117,"")</f>
        <v/>
      </c>
      <c r="L117" s="12" t="str">
        <f>IF(XT!$P117=0,J117,"")</f>
        <v/>
      </c>
      <c r="M117">
        <f>SUMPRODUCT((MONTH(CHOOSE({1,2,3,4},XT!U117,XT!Y117,XT!AC117,XT!AG117))=4)*(CHOOSE({1,2,3,4},XT!X117,XT!AB117,XT!AF117,XT!AJ117)))</f>
        <v>0</v>
      </c>
      <c r="N117" t="str">
        <f>IFERROR(INDEX(CHOOSE({1,2,3,4}, DAY(XT!U117), DAY(XT!Y117), DAY(XT!AC117), DAY(XT!AG117)), MATCH(1, INDEX(--(MONTH(CHOOSE({1,2,3,4}, XT!U117,XT!Y117,XT!AC117,XT!AG117))=4), 0), 0)), "")</f>
        <v/>
      </c>
      <c r="O117" s="12" t="str">
        <f>IF(XT!$P117&gt;0,N117,"")</f>
        <v/>
      </c>
      <c r="P117" s="12" t="str">
        <f>IF(XT!$P117=0,N117,"")</f>
        <v/>
      </c>
      <c r="Q117">
        <f>SUMPRODUCT((MONTH(CHOOSE({1,2,3,4},XT!U117,XT!Y117,XT!AC117,XT!AG117))=5)*(CHOOSE({1,2,3,4},XT!X117,XT!AB117,XT!AF117,XT!AJ117)))</f>
        <v>0</v>
      </c>
      <c r="R117" t="str">
        <f>IFERROR(INDEX(CHOOSE({1,2,3,4}, DAY(XT!U117), DAY(XT!Y117), DAY(XT!AC117), DAY(XT!AG117)), MATCH(1, INDEX(--(MONTH(CHOOSE({1,2,3,4}, XT!U117,XT!Y117,XT!AC117,XT!AG117))=5), 0), 0)), "")</f>
        <v/>
      </c>
      <c r="S117" s="12" t="str">
        <f>IF(XT!$P117&gt;0,R117,"")</f>
        <v/>
      </c>
      <c r="T117" s="12" t="str">
        <f>IF(XT!$P117=0,R117,"")</f>
        <v/>
      </c>
      <c r="U117">
        <f>SUMPRODUCT((MONTH(CHOOSE({1,2,3,4},XT!U117,XT!Y117,XT!AC117,XT!AG117))=6)*(CHOOSE({1,2,3,4},XT!X117,XT!AB117,XT!AF117,XT!AJ117)))</f>
        <v>0</v>
      </c>
      <c r="V117" t="str">
        <f>IFERROR(INDEX(CHOOSE({1,2,3,4}, DAY(XT!U117), DAY(XT!Y117), DAY(XT!AC117), DAY(XT!AG117)), MATCH(1, INDEX(--(MONTH(CHOOSE({1,2,3,4}, XT!U117,XT!Y117,XT!AC117,XT!AG117))=6), 0), 0)), "")</f>
        <v/>
      </c>
      <c r="W117" s="12" t="str">
        <f>IF(XT!$P117&gt;0,V117,"")</f>
        <v/>
      </c>
      <c r="X117" s="12" t="str">
        <f>IF(XT!$P117=0,V117,"")</f>
        <v/>
      </c>
      <c r="Y117">
        <f>SUMPRODUCT((MONTH(CHOOSE({1,2,3,4},XT!U117,XT!Y117,XT!AC117,XT!AG117))=7)*(CHOOSE({1,2,3,4},XT!X117,XT!AB117,XT!AF117,XT!AJ117)))</f>
        <v>0</v>
      </c>
      <c r="Z117" t="str">
        <f>IFERROR(INDEX(CHOOSE({1,2,3,4}, DAY(XT!U117), DAY(XT!Y117), DAY(XT!AC117), DAY(XT!AG117)), MATCH(1, INDEX(--(MONTH(CHOOSE({1,2,3,4}, XT!U117,XT!Y117,XT!AC117,XT!AG117))=7), 0), 0)), "")</f>
        <v/>
      </c>
      <c r="AA117" s="12" t="str">
        <f>IF(XT!$P117&gt;0,Z117,"")</f>
        <v/>
      </c>
      <c r="AB117" s="12" t="str">
        <f>IF(XT!$P117=0,Z117,"")</f>
        <v/>
      </c>
      <c r="AC117">
        <f>SUMPRODUCT((MONTH(CHOOSE({1,2,3,4},XT!U117,XT!Y117,XT!AC117,XT!AG117))=8)*(CHOOSE({1,2,3,4},XT!X117,XT!AB117,XT!AF117,XT!AJ117)))</f>
        <v>0</v>
      </c>
      <c r="AD117" t="str">
        <f>IFERROR(INDEX(CHOOSE({1,2,3,4}, DAY(XT!U117), DAY(XT!Y117), DAY(XT!AC117), DAY(XT!AG117)), MATCH(1, INDEX(--(MONTH(CHOOSE({1,2,3,4}, XT!U117,XT!Y117,XT!AC117,XT!AG117))=8), 0), 0)), "")</f>
        <v/>
      </c>
      <c r="AE117" s="12" t="str">
        <f>IF(XT!$P117&gt;0,AD117,"")</f>
        <v/>
      </c>
      <c r="AF117" s="12" t="str">
        <f>IF(XT!$P117=0,AD117,"")</f>
        <v/>
      </c>
      <c r="AG117">
        <f>SUMPRODUCT((MONTH(CHOOSE({1,2,3,4},XT!U117,XT!Y117,XT!AC117,XT!AG117))=9)*(CHOOSE({1,2,3,4},XT!X117,XT!AB117,XT!AF117,XT!AJ117)))</f>
        <v>0</v>
      </c>
      <c r="AH117" t="str">
        <f>IFERROR(INDEX(CHOOSE({1,2,3,4}, DAY(XT!U117), DAY(XT!Y117), DAY(XT!AC117), DAY(XT!AG117)), MATCH(1, INDEX(--(MONTH(CHOOSE({1,2,3,4}, XT!U117,XT!Y117,XT!AC117,XT!AG117))=9), 0), 0)), "")</f>
        <v/>
      </c>
      <c r="AI117" s="12" t="str">
        <f>IF(XT!$P117&gt;0,AH117,"")</f>
        <v/>
      </c>
      <c r="AJ117" s="12" t="str">
        <f>IF(XT!$P117=0,AH117,"")</f>
        <v/>
      </c>
      <c r="AK117">
        <f>SUMPRODUCT((MONTH(CHOOSE({1,2,3,4},XT!U117,XT!Y117,XT!AC117,XT!AG117))=10)*(CHOOSE({1,2,3,4},XT!X117,XT!AB117,XT!AF117,XT!AJ117)))</f>
        <v>0</v>
      </c>
      <c r="AL117" t="str">
        <f>IFERROR(INDEX(CHOOSE({1,2,3,4}, DAY(XT!U117), DAY(XT!Y117), DAY(XT!AC117), DAY(XT!AG117)), MATCH(1, INDEX(--(MONTH(CHOOSE({1,2,3,4}, XT!U117,XT!Y117,XT!AC117,XT!AG117))=10), 0), 0)), "")</f>
        <v/>
      </c>
      <c r="AM117" s="12" t="str">
        <f>IF(XT!$P117&gt;0,AL117,"")</f>
        <v/>
      </c>
      <c r="AN117" s="12" t="str">
        <f>IF(XT!$P117=0,AL117,"")</f>
        <v/>
      </c>
      <c r="AO117">
        <f>SUMPRODUCT((MONTH(CHOOSE({1,2,3,4},XT!U117,XT!Y117,XT!AC117,XT!AG117))=11)*(CHOOSE({1,2,3,4},XT!X117,XT!AB117,XT!AF117,XT!AJ117)))</f>
        <v>0</v>
      </c>
      <c r="AP117" t="str">
        <f>IFERROR(INDEX(CHOOSE({1,2,3,4}, DAY(XT!U117), DAY(XT!Y117), DAY(XT!AC117), DAY(XT!AG117)), MATCH(1, INDEX(--(MONTH(CHOOSE({1,2,3,4}, XT!U117,XT!Y117,XT!AC117,XT!AG117))=11), 0), 0)), "")</f>
        <v/>
      </c>
      <c r="AQ117" s="12" t="str">
        <f>IF(XT!$P117&gt;0,AP117,"")</f>
        <v/>
      </c>
      <c r="AR117" s="12" t="str">
        <f>IF(XT!$P117=0,AP117,"")</f>
        <v/>
      </c>
      <c r="AS117">
        <f>SUMPRODUCT((MONTH(CHOOSE({1,2,3,4},XT!U117,XT!Y117,XT!AC117,XT!AG117))=12)*(CHOOSE({1,2,3,4},XT!X117,XT!AB117,XT!AF117,XT!AJ117)))</f>
        <v>0</v>
      </c>
      <c r="AT117" t="str">
        <f>IFERROR(INDEX(CHOOSE({1,2,3,4}, DAY(XT!U117), DAY(XT!Y117), DAY(XT!AC117), DAY(XT!AG117)), MATCH(1, INDEX(--(MONTH(CHOOSE({1,2,3,4}, XT!U117,XT!Y117,XT!AC117,XT!AG117))=12), 0), 0)), "")</f>
        <v/>
      </c>
      <c r="AU117" s="12" t="str">
        <f>IF(XT!$P117&gt;0,AT117,"")</f>
        <v/>
      </c>
      <c r="AV117" s="12" t="str">
        <f>IF(XT!$P117=0,AT117,"")</f>
        <v/>
      </c>
    </row>
    <row r="118" spans="1:48">
      <c r="A118">
        <f>SUMPRODUCT((MONTH(CHOOSE({1,2,3,4},XT!U118,XT!Y118,XT!AC118,XT!AG118))=1)*(CHOOSE({1,2,3,4},XT!X118,XT!AB118,XT!AF118,XT!AJ118)))</f>
        <v>0</v>
      </c>
      <c r="B118">
        <f>IFERROR(INDEX(CHOOSE({1,2,3,4}, DAY(XT!U118), DAY(XT!Y118), DAY(XT!AC118), DAY(XT!AG118)), MATCH(1, INDEX(--(MONTH(CHOOSE({1,2,3,4}, XT!U118,XT!Y118,XT!AC118,XT!AG118))=1), 0), 0)), "")</f>
        <v>0</v>
      </c>
      <c r="C118" s="12" t="str">
        <f>IF(XT!$P118&gt;0,B118,"")</f>
        <v/>
      </c>
      <c r="D118" s="12">
        <f>IF(XT!$P118=0,B118,"")</f>
        <v>0</v>
      </c>
      <c r="E118">
        <f>SUMPRODUCT((MONTH(CHOOSE({1,2,3,4},XT!U118,XT!Y118,XT!AC118,XT!AG118))=2)*(CHOOSE({1,2,3,4},XT!X118,XT!AB118,XT!AF118,XT!AJ118)))</f>
        <v>0</v>
      </c>
      <c r="F118" t="str">
        <f>IFERROR(INDEX(CHOOSE({1,2,3,4}, DAY(XT!U118), DAY(XT!Y118), DAY(XT!AC118), DAY(XT!AG118)), MATCH(1, INDEX(--(MONTH(CHOOSE({1,2,3,4}, XT!U118,XT!Y118,XT!AC118,XT!AG118))=2), 0), 0)), "")</f>
        <v/>
      </c>
      <c r="G118" s="12" t="str">
        <f>IF(XT!$P118&gt;0,F118,"")</f>
        <v/>
      </c>
      <c r="H118" s="12" t="str">
        <f>IF(XT!$P118=0,F118,"")</f>
        <v/>
      </c>
      <c r="I118">
        <f>SUMPRODUCT((MONTH(CHOOSE({1,2,3,4},XT!U118,XT!Y118,XT!AC118,XT!AG118))=3)*(CHOOSE({1,2,3,4},XT!X118,XT!AB118,XT!AF118,XT!AJ118)))</f>
        <v>0</v>
      </c>
      <c r="J118" t="str">
        <f>IFERROR(INDEX(CHOOSE({1,2,3,4}, DAY(XT!U118), DAY(XT!Y118), DAY(XT!AC118), DAY(XT!AG118)), MATCH(1, INDEX(--(MONTH(CHOOSE({1,2,3,4}, XT!U118,XT!Y118,XT!AC118,XT!AG118))=3), 0), 0)), "")</f>
        <v/>
      </c>
      <c r="K118" s="12" t="str">
        <f>IF(XT!$P118&gt;0,J118,"")</f>
        <v/>
      </c>
      <c r="L118" s="12" t="str">
        <f>IF(XT!$P118=0,J118,"")</f>
        <v/>
      </c>
      <c r="M118">
        <f>SUMPRODUCT((MONTH(CHOOSE({1,2,3,4},XT!U118,XT!Y118,XT!AC118,XT!AG118))=4)*(CHOOSE({1,2,3,4},XT!X118,XT!AB118,XT!AF118,XT!AJ118)))</f>
        <v>0</v>
      </c>
      <c r="N118" t="str">
        <f>IFERROR(INDEX(CHOOSE({1,2,3,4}, DAY(XT!U118), DAY(XT!Y118), DAY(XT!AC118), DAY(XT!AG118)), MATCH(1, INDEX(--(MONTH(CHOOSE({1,2,3,4}, XT!U118,XT!Y118,XT!AC118,XT!AG118))=4), 0), 0)), "")</f>
        <v/>
      </c>
      <c r="O118" s="12" t="str">
        <f>IF(XT!$P118&gt;0,N118,"")</f>
        <v/>
      </c>
      <c r="P118" s="12" t="str">
        <f>IF(XT!$P118=0,N118,"")</f>
        <v/>
      </c>
      <c r="Q118">
        <f>SUMPRODUCT((MONTH(CHOOSE({1,2,3,4},XT!U118,XT!Y118,XT!AC118,XT!AG118))=5)*(CHOOSE({1,2,3,4},XT!X118,XT!AB118,XT!AF118,XT!AJ118)))</f>
        <v>0</v>
      </c>
      <c r="R118" t="str">
        <f>IFERROR(INDEX(CHOOSE({1,2,3,4}, DAY(XT!U118), DAY(XT!Y118), DAY(XT!AC118), DAY(XT!AG118)), MATCH(1, INDEX(--(MONTH(CHOOSE({1,2,3,4}, XT!U118,XT!Y118,XT!AC118,XT!AG118))=5), 0), 0)), "")</f>
        <v/>
      </c>
      <c r="S118" s="12" t="str">
        <f>IF(XT!$P118&gt;0,R118,"")</f>
        <v/>
      </c>
      <c r="T118" s="12" t="str">
        <f>IF(XT!$P118=0,R118,"")</f>
        <v/>
      </c>
      <c r="U118">
        <f>SUMPRODUCT((MONTH(CHOOSE({1,2,3,4},XT!U118,XT!Y118,XT!AC118,XT!AG118))=6)*(CHOOSE({1,2,3,4},XT!X118,XT!AB118,XT!AF118,XT!AJ118)))</f>
        <v>0</v>
      </c>
      <c r="V118" t="str">
        <f>IFERROR(INDEX(CHOOSE({1,2,3,4}, DAY(XT!U118), DAY(XT!Y118), DAY(XT!AC118), DAY(XT!AG118)), MATCH(1, INDEX(--(MONTH(CHOOSE({1,2,3,4}, XT!U118,XT!Y118,XT!AC118,XT!AG118))=6), 0), 0)), "")</f>
        <v/>
      </c>
      <c r="W118" s="12" t="str">
        <f>IF(XT!$P118&gt;0,V118,"")</f>
        <v/>
      </c>
      <c r="X118" s="12" t="str">
        <f>IF(XT!$P118=0,V118,"")</f>
        <v/>
      </c>
      <c r="Y118">
        <f>SUMPRODUCT((MONTH(CHOOSE({1,2,3,4},XT!U118,XT!Y118,XT!AC118,XT!AG118))=7)*(CHOOSE({1,2,3,4},XT!X118,XT!AB118,XT!AF118,XT!AJ118)))</f>
        <v>0</v>
      </c>
      <c r="Z118" t="str">
        <f>IFERROR(INDEX(CHOOSE({1,2,3,4}, DAY(XT!U118), DAY(XT!Y118), DAY(XT!AC118), DAY(XT!AG118)), MATCH(1, INDEX(--(MONTH(CHOOSE({1,2,3,4}, XT!U118,XT!Y118,XT!AC118,XT!AG118))=7), 0), 0)), "")</f>
        <v/>
      </c>
      <c r="AA118" s="12" t="str">
        <f>IF(XT!$P118&gt;0,Z118,"")</f>
        <v/>
      </c>
      <c r="AB118" s="12" t="str">
        <f>IF(XT!$P118=0,Z118,"")</f>
        <v/>
      </c>
      <c r="AC118">
        <f>SUMPRODUCT((MONTH(CHOOSE({1,2,3,4},XT!U118,XT!Y118,XT!AC118,XT!AG118))=8)*(CHOOSE({1,2,3,4},XT!X118,XT!AB118,XT!AF118,XT!AJ118)))</f>
        <v>0</v>
      </c>
      <c r="AD118" t="str">
        <f>IFERROR(INDEX(CHOOSE({1,2,3,4}, DAY(XT!U118), DAY(XT!Y118), DAY(XT!AC118), DAY(XT!AG118)), MATCH(1, INDEX(--(MONTH(CHOOSE({1,2,3,4}, XT!U118,XT!Y118,XT!AC118,XT!AG118))=8), 0), 0)), "")</f>
        <v/>
      </c>
      <c r="AE118" s="12" t="str">
        <f>IF(XT!$P118&gt;0,AD118,"")</f>
        <v/>
      </c>
      <c r="AF118" s="12" t="str">
        <f>IF(XT!$P118=0,AD118,"")</f>
        <v/>
      </c>
      <c r="AG118">
        <f>SUMPRODUCT((MONTH(CHOOSE({1,2,3,4},XT!U118,XT!Y118,XT!AC118,XT!AG118))=9)*(CHOOSE({1,2,3,4},XT!X118,XT!AB118,XT!AF118,XT!AJ118)))</f>
        <v>0</v>
      </c>
      <c r="AH118" t="str">
        <f>IFERROR(INDEX(CHOOSE({1,2,3,4}, DAY(XT!U118), DAY(XT!Y118), DAY(XT!AC118), DAY(XT!AG118)), MATCH(1, INDEX(--(MONTH(CHOOSE({1,2,3,4}, XT!U118,XT!Y118,XT!AC118,XT!AG118))=9), 0), 0)), "")</f>
        <v/>
      </c>
      <c r="AI118" s="12" t="str">
        <f>IF(XT!$P118&gt;0,AH118,"")</f>
        <v/>
      </c>
      <c r="AJ118" s="12" t="str">
        <f>IF(XT!$P118=0,AH118,"")</f>
        <v/>
      </c>
      <c r="AK118">
        <f>SUMPRODUCT((MONTH(CHOOSE({1,2,3,4},XT!U118,XT!Y118,XT!AC118,XT!AG118))=10)*(CHOOSE({1,2,3,4},XT!X118,XT!AB118,XT!AF118,XT!AJ118)))</f>
        <v>0</v>
      </c>
      <c r="AL118" t="str">
        <f>IFERROR(INDEX(CHOOSE({1,2,3,4}, DAY(XT!U118), DAY(XT!Y118), DAY(XT!AC118), DAY(XT!AG118)), MATCH(1, INDEX(--(MONTH(CHOOSE({1,2,3,4}, XT!U118,XT!Y118,XT!AC118,XT!AG118))=10), 0), 0)), "")</f>
        <v/>
      </c>
      <c r="AM118" s="12" t="str">
        <f>IF(XT!$P118&gt;0,AL118,"")</f>
        <v/>
      </c>
      <c r="AN118" s="12" t="str">
        <f>IF(XT!$P118=0,AL118,"")</f>
        <v/>
      </c>
      <c r="AO118">
        <f>SUMPRODUCT((MONTH(CHOOSE({1,2,3,4},XT!U118,XT!Y118,XT!AC118,XT!AG118))=11)*(CHOOSE({1,2,3,4},XT!X118,XT!AB118,XT!AF118,XT!AJ118)))</f>
        <v>0</v>
      </c>
      <c r="AP118" t="str">
        <f>IFERROR(INDEX(CHOOSE({1,2,3,4}, DAY(XT!U118), DAY(XT!Y118), DAY(XT!AC118), DAY(XT!AG118)), MATCH(1, INDEX(--(MONTH(CHOOSE({1,2,3,4}, XT!U118,XT!Y118,XT!AC118,XT!AG118))=11), 0), 0)), "")</f>
        <v/>
      </c>
      <c r="AQ118" s="12" t="str">
        <f>IF(XT!$P118&gt;0,AP118,"")</f>
        <v/>
      </c>
      <c r="AR118" s="12" t="str">
        <f>IF(XT!$P118=0,AP118,"")</f>
        <v/>
      </c>
      <c r="AS118">
        <f>SUMPRODUCT((MONTH(CHOOSE({1,2,3,4},XT!U118,XT!Y118,XT!AC118,XT!AG118))=12)*(CHOOSE({1,2,3,4},XT!X118,XT!AB118,XT!AF118,XT!AJ118)))</f>
        <v>0</v>
      </c>
      <c r="AT118" t="str">
        <f>IFERROR(INDEX(CHOOSE({1,2,3,4}, DAY(XT!U118), DAY(XT!Y118), DAY(XT!AC118), DAY(XT!AG118)), MATCH(1, INDEX(--(MONTH(CHOOSE({1,2,3,4}, XT!U118,XT!Y118,XT!AC118,XT!AG118))=12), 0), 0)), "")</f>
        <v/>
      </c>
      <c r="AU118" s="12" t="str">
        <f>IF(XT!$P118&gt;0,AT118,"")</f>
        <v/>
      </c>
      <c r="AV118" s="12" t="str">
        <f>IF(XT!$P118=0,AT118,"")</f>
        <v/>
      </c>
    </row>
    <row r="119" spans="1:48">
      <c r="A119">
        <f>SUMPRODUCT((MONTH(CHOOSE({1,2,3,4},XT!U119,XT!Y119,XT!AC119,XT!AG119))=1)*(CHOOSE({1,2,3,4},XT!X119,XT!AB119,XT!AF119,XT!AJ119)))</f>
        <v>0</v>
      </c>
      <c r="B119">
        <f>IFERROR(INDEX(CHOOSE({1,2,3,4}, DAY(XT!U119), DAY(XT!Y119), DAY(XT!AC119), DAY(XT!AG119)), MATCH(1, INDEX(--(MONTH(CHOOSE({1,2,3,4}, XT!U119,XT!Y119,XT!AC119,XT!AG119))=1), 0), 0)), "")</f>
        <v>0</v>
      </c>
      <c r="C119" s="12" t="str">
        <f>IF(XT!$P119&gt;0,B119,"")</f>
        <v/>
      </c>
      <c r="D119" s="12">
        <f>IF(XT!$P119=0,B119,"")</f>
        <v>0</v>
      </c>
      <c r="E119">
        <f>SUMPRODUCT((MONTH(CHOOSE({1,2,3,4},XT!U119,XT!Y119,XT!AC119,XT!AG119))=2)*(CHOOSE({1,2,3,4},XT!X119,XT!AB119,XT!AF119,XT!AJ119)))</f>
        <v>0</v>
      </c>
      <c r="F119" t="str">
        <f>IFERROR(INDEX(CHOOSE({1,2,3,4}, DAY(XT!U119), DAY(XT!Y119), DAY(XT!AC119), DAY(XT!AG119)), MATCH(1, INDEX(--(MONTH(CHOOSE({1,2,3,4}, XT!U119,XT!Y119,XT!AC119,XT!AG119))=2), 0), 0)), "")</f>
        <v/>
      </c>
      <c r="G119" s="12" t="str">
        <f>IF(XT!$P119&gt;0,F119,"")</f>
        <v/>
      </c>
      <c r="H119" s="12" t="str">
        <f>IF(XT!$P119=0,F119,"")</f>
        <v/>
      </c>
      <c r="I119">
        <f>SUMPRODUCT((MONTH(CHOOSE({1,2,3,4},XT!U119,XT!Y119,XT!AC119,XT!AG119))=3)*(CHOOSE({1,2,3,4},XT!X119,XT!AB119,XT!AF119,XT!AJ119)))</f>
        <v>0</v>
      </c>
      <c r="J119" t="str">
        <f>IFERROR(INDEX(CHOOSE({1,2,3,4}, DAY(XT!U119), DAY(XT!Y119), DAY(XT!AC119), DAY(XT!AG119)), MATCH(1, INDEX(--(MONTH(CHOOSE({1,2,3,4}, XT!U119,XT!Y119,XT!AC119,XT!AG119))=3), 0), 0)), "")</f>
        <v/>
      </c>
      <c r="K119" s="12" t="str">
        <f>IF(XT!$P119&gt;0,J119,"")</f>
        <v/>
      </c>
      <c r="L119" s="12" t="str">
        <f>IF(XT!$P119=0,J119,"")</f>
        <v/>
      </c>
      <c r="M119">
        <f>SUMPRODUCT((MONTH(CHOOSE({1,2,3,4},XT!U119,XT!Y119,XT!AC119,XT!AG119))=4)*(CHOOSE({1,2,3,4},XT!X119,XT!AB119,XT!AF119,XT!AJ119)))</f>
        <v>0</v>
      </c>
      <c r="N119" t="str">
        <f>IFERROR(INDEX(CHOOSE({1,2,3,4}, DAY(XT!U119), DAY(XT!Y119), DAY(XT!AC119), DAY(XT!AG119)), MATCH(1, INDEX(--(MONTH(CHOOSE({1,2,3,4}, XT!U119,XT!Y119,XT!AC119,XT!AG119))=4), 0), 0)), "")</f>
        <v/>
      </c>
      <c r="O119" s="12" t="str">
        <f>IF(XT!$P119&gt;0,N119,"")</f>
        <v/>
      </c>
      <c r="P119" s="12" t="str">
        <f>IF(XT!$P119=0,N119,"")</f>
        <v/>
      </c>
      <c r="Q119">
        <f>SUMPRODUCT((MONTH(CHOOSE({1,2,3,4},XT!U119,XT!Y119,XT!AC119,XT!AG119))=5)*(CHOOSE({1,2,3,4},XT!X119,XT!AB119,XT!AF119,XT!AJ119)))</f>
        <v>0</v>
      </c>
      <c r="R119" t="str">
        <f>IFERROR(INDEX(CHOOSE({1,2,3,4}, DAY(XT!U119), DAY(XT!Y119), DAY(XT!AC119), DAY(XT!AG119)), MATCH(1, INDEX(--(MONTH(CHOOSE({1,2,3,4}, XT!U119,XT!Y119,XT!AC119,XT!AG119))=5), 0), 0)), "")</f>
        <v/>
      </c>
      <c r="S119" s="12" t="str">
        <f>IF(XT!$P119&gt;0,R119,"")</f>
        <v/>
      </c>
      <c r="T119" s="12" t="str">
        <f>IF(XT!$P119=0,R119,"")</f>
        <v/>
      </c>
      <c r="U119">
        <f>SUMPRODUCT((MONTH(CHOOSE({1,2,3,4},XT!U119,XT!Y119,XT!AC119,XT!AG119))=6)*(CHOOSE({1,2,3,4},XT!X119,XT!AB119,XT!AF119,XT!AJ119)))</f>
        <v>0</v>
      </c>
      <c r="V119" t="str">
        <f>IFERROR(INDEX(CHOOSE({1,2,3,4}, DAY(XT!U119), DAY(XT!Y119), DAY(XT!AC119), DAY(XT!AG119)), MATCH(1, INDEX(--(MONTH(CHOOSE({1,2,3,4}, XT!U119,XT!Y119,XT!AC119,XT!AG119))=6), 0), 0)), "")</f>
        <v/>
      </c>
      <c r="W119" s="12" t="str">
        <f>IF(XT!$P119&gt;0,V119,"")</f>
        <v/>
      </c>
      <c r="X119" s="12" t="str">
        <f>IF(XT!$P119=0,V119,"")</f>
        <v/>
      </c>
      <c r="Y119">
        <f>SUMPRODUCT((MONTH(CHOOSE({1,2,3,4},XT!U119,XT!Y119,XT!AC119,XT!AG119))=7)*(CHOOSE({1,2,3,4},XT!X119,XT!AB119,XT!AF119,XT!AJ119)))</f>
        <v>0</v>
      </c>
      <c r="Z119" t="str">
        <f>IFERROR(INDEX(CHOOSE({1,2,3,4}, DAY(XT!U119), DAY(XT!Y119), DAY(XT!AC119), DAY(XT!AG119)), MATCH(1, INDEX(--(MONTH(CHOOSE({1,2,3,4}, XT!U119,XT!Y119,XT!AC119,XT!AG119))=7), 0), 0)), "")</f>
        <v/>
      </c>
      <c r="AA119" s="12" t="str">
        <f>IF(XT!$P119&gt;0,Z119,"")</f>
        <v/>
      </c>
      <c r="AB119" s="12" t="str">
        <f>IF(XT!$P119=0,Z119,"")</f>
        <v/>
      </c>
      <c r="AC119">
        <f>SUMPRODUCT((MONTH(CHOOSE({1,2,3,4},XT!U119,XT!Y119,XT!AC119,XT!AG119))=8)*(CHOOSE({1,2,3,4},XT!X119,XT!AB119,XT!AF119,XT!AJ119)))</f>
        <v>0</v>
      </c>
      <c r="AD119" t="str">
        <f>IFERROR(INDEX(CHOOSE({1,2,3,4}, DAY(XT!U119), DAY(XT!Y119), DAY(XT!AC119), DAY(XT!AG119)), MATCH(1, INDEX(--(MONTH(CHOOSE({1,2,3,4}, XT!U119,XT!Y119,XT!AC119,XT!AG119))=8), 0), 0)), "")</f>
        <v/>
      </c>
      <c r="AE119" s="12" t="str">
        <f>IF(XT!$P119&gt;0,AD119,"")</f>
        <v/>
      </c>
      <c r="AF119" s="12" t="str">
        <f>IF(XT!$P119=0,AD119,"")</f>
        <v/>
      </c>
      <c r="AG119">
        <f>SUMPRODUCT((MONTH(CHOOSE({1,2,3,4},XT!U119,XT!Y119,XT!AC119,XT!AG119))=9)*(CHOOSE({1,2,3,4},XT!X119,XT!AB119,XT!AF119,XT!AJ119)))</f>
        <v>0</v>
      </c>
      <c r="AH119" t="str">
        <f>IFERROR(INDEX(CHOOSE({1,2,3,4}, DAY(XT!U119), DAY(XT!Y119), DAY(XT!AC119), DAY(XT!AG119)), MATCH(1, INDEX(--(MONTH(CHOOSE({1,2,3,4}, XT!U119,XT!Y119,XT!AC119,XT!AG119))=9), 0), 0)), "")</f>
        <v/>
      </c>
      <c r="AI119" s="12" t="str">
        <f>IF(XT!$P119&gt;0,AH119,"")</f>
        <v/>
      </c>
      <c r="AJ119" s="12" t="str">
        <f>IF(XT!$P119=0,AH119,"")</f>
        <v/>
      </c>
      <c r="AK119">
        <f>SUMPRODUCT((MONTH(CHOOSE({1,2,3,4},XT!U119,XT!Y119,XT!AC119,XT!AG119))=10)*(CHOOSE({1,2,3,4},XT!X119,XT!AB119,XT!AF119,XT!AJ119)))</f>
        <v>0</v>
      </c>
      <c r="AL119" t="str">
        <f>IFERROR(INDEX(CHOOSE({1,2,3,4}, DAY(XT!U119), DAY(XT!Y119), DAY(XT!AC119), DAY(XT!AG119)), MATCH(1, INDEX(--(MONTH(CHOOSE({1,2,3,4}, XT!U119,XT!Y119,XT!AC119,XT!AG119))=10), 0), 0)), "")</f>
        <v/>
      </c>
      <c r="AM119" s="12" t="str">
        <f>IF(XT!$P119&gt;0,AL119,"")</f>
        <v/>
      </c>
      <c r="AN119" s="12" t="str">
        <f>IF(XT!$P119=0,AL119,"")</f>
        <v/>
      </c>
      <c r="AO119">
        <f>SUMPRODUCT((MONTH(CHOOSE({1,2,3,4},XT!U119,XT!Y119,XT!AC119,XT!AG119))=11)*(CHOOSE({1,2,3,4},XT!X119,XT!AB119,XT!AF119,XT!AJ119)))</f>
        <v>0</v>
      </c>
      <c r="AP119" t="str">
        <f>IFERROR(INDEX(CHOOSE({1,2,3,4}, DAY(XT!U119), DAY(XT!Y119), DAY(XT!AC119), DAY(XT!AG119)), MATCH(1, INDEX(--(MONTH(CHOOSE({1,2,3,4}, XT!U119,XT!Y119,XT!AC119,XT!AG119))=11), 0), 0)), "")</f>
        <v/>
      </c>
      <c r="AQ119" s="12" t="str">
        <f>IF(XT!$P119&gt;0,AP119,"")</f>
        <v/>
      </c>
      <c r="AR119" s="12" t="str">
        <f>IF(XT!$P119=0,AP119,"")</f>
        <v/>
      </c>
      <c r="AS119">
        <f>SUMPRODUCT((MONTH(CHOOSE({1,2,3,4},XT!U119,XT!Y119,XT!AC119,XT!AG119))=12)*(CHOOSE({1,2,3,4},XT!X119,XT!AB119,XT!AF119,XT!AJ119)))</f>
        <v>0</v>
      </c>
      <c r="AT119" t="str">
        <f>IFERROR(INDEX(CHOOSE({1,2,3,4}, DAY(XT!U119), DAY(XT!Y119), DAY(XT!AC119), DAY(XT!AG119)), MATCH(1, INDEX(--(MONTH(CHOOSE({1,2,3,4}, XT!U119,XT!Y119,XT!AC119,XT!AG119))=12), 0), 0)), "")</f>
        <v/>
      </c>
      <c r="AU119" s="12" t="str">
        <f>IF(XT!$P119&gt;0,AT119,"")</f>
        <v/>
      </c>
      <c r="AV119" s="12" t="str">
        <f>IF(XT!$P119=0,AT119,"")</f>
        <v/>
      </c>
    </row>
    <row r="120" spans="1:48">
      <c r="A120">
        <f>SUMPRODUCT((MONTH(CHOOSE({1,2,3,4},XT!U120,XT!Y120,XT!AC120,XT!AG120))=1)*(CHOOSE({1,2,3,4},XT!X120,XT!AB120,XT!AF120,XT!AJ120)))</f>
        <v>0</v>
      </c>
      <c r="B120">
        <f>IFERROR(INDEX(CHOOSE({1,2,3,4}, DAY(XT!U120), DAY(XT!Y120), DAY(XT!AC120), DAY(XT!AG120)), MATCH(1, INDEX(--(MONTH(CHOOSE({1,2,3,4}, XT!U120,XT!Y120,XT!AC120,XT!AG120))=1), 0), 0)), "")</f>
        <v>0</v>
      </c>
      <c r="C120" s="12" t="str">
        <f>IF(XT!$P120&gt;0,B120,"")</f>
        <v/>
      </c>
      <c r="D120" s="12">
        <f>IF(XT!$P120=0,B120,"")</f>
        <v>0</v>
      </c>
      <c r="E120">
        <f>SUMPRODUCT((MONTH(CHOOSE({1,2,3,4},XT!U120,XT!Y120,XT!AC120,XT!AG120))=2)*(CHOOSE({1,2,3,4},XT!X120,XT!AB120,XT!AF120,XT!AJ120)))</f>
        <v>0</v>
      </c>
      <c r="F120" t="str">
        <f>IFERROR(INDEX(CHOOSE({1,2,3,4}, DAY(XT!U120), DAY(XT!Y120), DAY(XT!AC120), DAY(XT!AG120)), MATCH(1, INDEX(--(MONTH(CHOOSE({1,2,3,4}, XT!U120,XT!Y120,XT!AC120,XT!AG120))=2), 0), 0)), "")</f>
        <v/>
      </c>
      <c r="G120" s="12" t="str">
        <f>IF(XT!$P120&gt;0,F120,"")</f>
        <v/>
      </c>
      <c r="H120" s="12" t="str">
        <f>IF(XT!$P120=0,F120,"")</f>
        <v/>
      </c>
      <c r="I120">
        <f>SUMPRODUCT((MONTH(CHOOSE({1,2,3,4},XT!U120,XT!Y120,XT!AC120,XT!AG120))=3)*(CHOOSE({1,2,3,4},XT!X120,XT!AB120,XT!AF120,XT!AJ120)))</f>
        <v>0</v>
      </c>
      <c r="J120" t="str">
        <f>IFERROR(INDEX(CHOOSE({1,2,3,4}, DAY(XT!U120), DAY(XT!Y120), DAY(XT!AC120), DAY(XT!AG120)), MATCH(1, INDEX(--(MONTH(CHOOSE({1,2,3,4}, XT!U120,XT!Y120,XT!AC120,XT!AG120))=3), 0), 0)), "")</f>
        <v/>
      </c>
      <c r="K120" s="12" t="str">
        <f>IF(XT!$P120&gt;0,J120,"")</f>
        <v/>
      </c>
      <c r="L120" s="12" t="str">
        <f>IF(XT!$P120=0,J120,"")</f>
        <v/>
      </c>
      <c r="M120">
        <f>SUMPRODUCT((MONTH(CHOOSE({1,2,3,4},XT!U120,XT!Y120,XT!AC120,XT!AG120))=4)*(CHOOSE({1,2,3,4},XT!X120,XT!AB120,XT!AF120,XT!AJ120)))</f>
        <v>0</v>
      </c>
      <c r="N120" t="str">
        <f>IFERROR(INDEX(CHOOSE({1,2,3,4}, DAY(XT!U120), DAY(XT!Y120), DAY(XT!AC120), DAY(XT!AG120)), MATCH(1, INDEX(--(MONTH(CHOOSE({1,2,3,4}, XT!U120,XT!Y120,XT!AC120,XT!AG120))=4), 0), 0)), "")</f>
        <v/>
      </c>
      <c r="O120" s="12" t="str">
        <f>IF(XT!$P120&gt;0,N120,"")</f>
        <v/>
      </c>
      <c r="P120" s="12" t="str">
        <f>IF(XT!$P120=0,N120,"")</f>
        <v/>
      </c>
      <c r="Q120">
        <f>SUMPRODUCT((MONTH(CHOOSE({1,2,3,4},XT!U120,XT!Y120,XT!AC120,XT!AG120))=5)*(CHOOSE({1,2,3,4},XT!X120,XT!AB120,XT!AF120,XT!AJ120)))</f>
        <v>0</v>
      </c>
      <c r="R120" t="str">
        <f>IFERROR(INDEX(CHOOSE({1,2,3,4}, DAY(XT!U120), DAY(XT!Y120), DAY(XT!AC120), DAY(XT!AG120)), MATCH(1, INDEX(--(MONTH(CHOOSE({1,2,3,4}, XT!U120,XT!Y120,XT!AC120,XT!AG120))=5), 0), 0)), "")</f>
        <v/>
      </c>
      <c r="S120" s="12" t="str">
        <f>IF(XT!$P120&gt;0,R120,"")</f>
        <v/>
      </c>
      <c r="T120" s="12" t="str">
        <f>IF(XT!$P120=0,R120,"")</f>
        <v/>
      </c>
      <c r="U120">
        <f>SUMPRODUCT((MONTH(CHOOSE({1,2,3,4},XT!U120,XT!Y120,XT!AC120,XT!AG120))=6)*(CHOOSE({1,2,3,4},XT!X120,XT!AB120,XT!AF120,XT!AJ120)))</f>
        <v>0</v>
      </c>
      <c r="V120" t="str">
        <f>IFERROR(INDEX(CHOOSE({1,2,3,4}, DAY(XT!U120), DAY(XT!Y120), DAY(XT!AC120), DAY(XT!AG120)), MATCH(1, INDEX(--(MONTH(CHOOSE({1,2,3,4}, XT!U120,XT!Y120,XT!AC120,XT!AG120))=6), 0), 0)), "")</f>
        <v/>
      </c>
      <c r="W120" s="12" t="str">
        <f>IF(XT!$P120&gt;0,V120,"")</f>
        <v/>
      </c>
      <c r="X120" s="12" t="str">
        <f>IF(XT!$P120=0,V120,"")</f>
        <v/>
      </c>
      <c r="Y120">
        <f>SUMPRODUCT((MONTH(CHOOSE({1,2,3,4},XT!U120,XT!Y120,XT!AC120,XT!AG120))=7)*(CHOOSE({1,2,3,4},XT!X120,XT!AB120,XT!AF120,XT!AJ120)))</f>
        <v>0</v>
      </c>
      <c r="Z120" t="str">
        <f>IFERROR(INDEX(CHOOSE({1,2,3,4}, DAY(XT!U120), DAY(XT!Y120), DAY(XT!AC120), DAY(XT!AG120)), MATCH(1, INDEX(--(MONTH(CHOOSE({1,2,3,4}, XT!U120,XT!Y120,XT!AC120,XT!AG120))=7), 0), 0)), "")</f>
        <v/>
      </c>
      <c r="AA120" s="12" t="str">
        <f>IF(XT!$P120&gt;0,Z120,"")</f>
        <v/>
      </c>
      <c r="AB120" s="12" t="str">
        <f>IF(XT!$P120=0,Z120,"")</f>
        <v/>
      </c>
      <c r="AC120">
        <f>SUMPRODUCT((MONTH(CHOOSE({1,2,3,4},XT!U120,XT!Y120,XT!AC120,XT!AG120))=8)*(CHOOSE({1,2,3,4},XT!X120,XT!AB120,XT!AF120,XT!AJ120)))</f>
        <v>0</v>
      </c>
      <c r="AD120" t="str">
        <f>IFERROR(INDEX(CHOOSE({1,2,3,4}, DAY(XT!U120), DAY(XT!Y120), DAY(XT!AC120), DAY(XT!AG120)), MATCH(1, INDEX(--(MONTH(CHOOSE({1,2,3,4}, XT!U120,XT!Y120,XT!AC120,XT!AG120))=8), 0), 0)), "")</f>
        <v/>
      </c>
      <c r="AE120" s="12" t="str">
        <f>IF(XT!$P120&gt;0,AD120,"")</f>
        <v/>
      </c>
      <c r="AF120" s="12" t="str">
        <f>IF(XT!$P120=0,AD120,"")</f>
        <v/>
      </c>
      <c r="AG120">
        <f>SUMPRODUCT((MONTH(CHOOSE({1,2,3,4},XT!U120,XT!Y120,XT!AC120,XT!AG120))=9)*(CHOOSE({1,2,3,4},XT!X120,XT!AB120,XT!AF120,XT!AJ120)))</f>
        <v>0</v>
      </c>
      <c r="AH120" t="str">
        <f>IFERROR(INDEX(CHOOSE({1,2,3,4}, DAY(XT!U120), DAY(XT!Y120), DAY(XT!AC120), DAY(XT!AG120)), MATCH(1, INDEX(--(MONTH(CHOOSE({1,2,3,4}, XT!U120,XT!Y120,XT!AC120,XT!AG120))=9), 0), 0)), "")</f>
        <v/>
      </c>
      <c r="AI120" s="12" t="str">
        <f>IF(XT!$P120&gt;0,AH120,"")</f>
        <v/>
      </c>
      <c r="AJ120" s="12" t="str">
        <f>IF(XT!$P120=0,AH120,"")</f>
        <v/>
      </c>
      <c r="AK120">
        <f>SUMPRODUCT((MONTH(CHOOSE({1,2,3,4},XT!U120,XT!Y120,XT!AC120,XT!AG120))=10)*(CHOOSE({1,2,3,4},XT!X120,XT!AB120,XT!AF120,XT!AJ120)))</f>
        <v>0</v>
      </c>
      <c r="AL120" t="str">
        <f>IFERROR(INDEX(CHOOSE({1,2,3,4}, DAY(XT!U120), DAY(XT!Y120), DAY(XT!AC120), DAY(XT!AG120)), MATCH(1, INDEX(--(MONTH(CHOOSE({1,2,3,4}, XT!U120,XT!Y120,XT!AC120,XT!AG120))=10), 0), 0)), "")</f>
        <v/>
      </c>
      <c r="AM120" s="12" t="str">
        <f>IF(XT!$P120&gt;0,AL120,"")</f>
        <v/>
      </c>
      <c r="AN120" s="12" t="str">
        <f>IF(XT!$P120=0,AL120,"")</f>
        <v/>
      </c>
      <c r="AO120">
        <f>SUMPRODUCT((MONTH(CHOOSE({1,2,3,4},XT!U120,XT!Y120,XT!AC120,XT!AG120))=11)*(CHOOSE({1,2,3,4},XT!X120,XT!AB120,XT!AF120,XT!AJ120)))</f>
        <v>0</v>
      </c>
      <c r="AP120" t="str">
        <f>IFERROR(INDEX(CHOOSE({1,2,3,4}, DAY(XT!U120), DAY(XT!Y120), DAY(XT!AC120), DAY(XT!AG120)), MATCH(1, INDEX(--(MONTH(CHOOSE({1,2,3,4}, XT!U120,XT!Y120,XT!AC120,XT!AG120))=11), 0), 0)), "")</f>
        <v/>
      </c>
      <c r="AQ120" s="12" t="str">
        <f>IF(XT!$P120&gt;0,AP120,"")</f>
        <v/>
      </c>
      <c r="AR120" s="12" t="str">
        <f>IF(XT!$P120=0,AP120,"")</f>
        <v/>
      </c>
      <c r="AS120">
        <f>SUMPRODUCT((MONTH(CHOOSE({1,2,3,4},XT!U120,XT!Y120,XT!AC120,XT!AG120))=12)*(CHOOSE({1,2,3,4},XT!X120,XT!AB120,XT!AF120,XT!AJ120)))</f>
        <v>0</v>
      </c>
      <c r="AT120" t="str">
        <f>IFERROR(INDEX(CHOOSE({1,2,3,4}, DAY(XT!U120), DAY(XT!Y120), DAY(XT!AC120), DAY(XT!AG120)), MATCH(1, INDEX(--(MONTH(CHOOSE({1,2,3,4}, XT!U120,XT!Y120,XT!AC120,XT!AG120))=12), 0), 0)), "")</f>
        <v/>
      </c>
      <c r="AU120" s="12" t="str">
        <f>IF(XT!$P120&gt;0,AT120,"")</f>
        <v/>
      </c>
      <c r="AV120" s="12" t="str">
        <f>IF(XT!$P120=0,AT120,"")</f>
        <v/>
      </c>
    </row>
    <row r="121" spans="1:48">
      <c r="A121">
        <f>SUMPRODUCT((MONTH(CHOOSE({1,2,3,4},XT!U121,XT!Y121,XT!AC121,XT!AG121))=1)*(CHOOSE({1,2,3,4},XT!X121,XT!AB121,XT!AF121,XT!AJ121)))</f>
        <v>0</v>
      </c>
      <c r="B121">
        <f>IFERROR(INDEX(CHOOSE({1,2,3,4}, DAY(XT!U121), DAY(XT!Y121), DAY(XT!AC121), DAY(XT!AG121)), MATCH(1, INDEX(--(MONTH(CHOOSE({1,2,3,4}, XT!U121,XT!Y121,XT!AC121,XT!AG121))=1), 0), 0)), "")</f>
        <v>0</v>
      </c>
      <c r="C121" s="12" t="str">
        <f>IF(XT!$P121&gt;0,B121,"")</f>
        <v/>
      </c>
      <c r="D121" s="12">
        <f>IF(XT!$P121=0,B121,"")</f>
        <v>0</v>
      </c>
      <c r="E121">
        <f>SUMPRODUCT((MONTH(CHOOSE({1,2,3,4},XT!U121,XT!Y121,XT!AC121,XT!AG121))=2)*(CHOOSE({1,2,3,4},XT!X121,XT!AB121,XT!AF121,XT!AJ121)))</f>
        <v>0</v>
      </c>
      <c r="F121" t="str">
        <f>IFERROR(INDEX(CHOOSE({1,2,3,4}, DAY(XT!U121), DAY(XT!Y121), DAY(XT!AC121), DAY(XT!AG121)), MATCH(1, INDEX(--(MONTH(CHOOSE({1,2,3,4}, XT!U121,XT!Y121,XT!AC121,XT!AG121))=2), 0), 0)), "")</f>
        <v/>
      </c>
      <c r="G121" s="12" t="str">
        <f>IF(XT!$P121&gt;0,F121,"")</f>
        <v/>
      </c>
      <c r="H121" s="12" t="str">
        <f>IF(XT!$P121=0,F121,"")</f>
        <v/>
      </c>
      <c r="I121">
        <f>SUMPRODUCT((MONTH(CHOOSE({1,2,3,4},XT!U121,XT!Y121,XT!AC121,XT!AG121))=3)*(CHOOSE({1,2,3,4},XT!X121,XT!AB121,XT!AF121,XT!AJ121)))</f>
        <v>0</v>
      </c>
      <c r="J121" t="str">
        <f>IFERROR(INDEX(CHOOSE({1,2,3,4}, DAY(XT!U121), DAY(XT!Y121), DAY(XT!AC121), DAY(XT!AG121)), MATCH(1, INDEX(--(MONTH(CHOOSE({1,2,3,4}, XT!U121,XT!Y121,XT!AC121,XT!AG121))=3), 0), 0)), "")</f>
        <v/>
      </c>
      <c r="K121" s="12" t="str">
        <f>IF(XT!$P121&gt;0,J121,"")</f>
        <v/>
      </c>
      <c r="L121" s="12" t="str">
        <f>IF(XT!$P121=0,J121,"")</f>
        <v/>
      </c>
      <c r="M121">
        <f>SUMPRODUCT((MONTH(CHOOSE({1,2,3,4},XT!U121,XT!Y121,XT!AC121,XT!AG121))=4)*(CHOOSE({1,2,3,4},XT!X121,XT!AB121,XT!AF121,XT!AJ121)))</f>
        <v>0</v>
      </c>
      <c r="N121" t="str">
        <f>IFERROR(INDEX(CHOOSE({1,2,3,4}, DAY(XT!U121), DAY(XT!Y121), DAY(XT!AC121), DAY(XT!AG121)), MATCH(1, INDEX(--(MONTH(CHOOSE({1,2,3,4}, XT!U121,XT!Y121,XT!AC121,XT!AG121))=4), 0), 0)), "")</f>
        <v/>
      </c>
      <c r="O121" s="12" t="str">
        <f>IF(XT!$P121&gt;0,N121,"")</f>
        <v/>
      </c>
      <c r="P121" s="12" t="str">
        <f>IF(XT!$P121=0,N121,"")</f>
        <v/>
      </c>
      <c r="Q121">
        <f>SUMPRODUCT((MONTH(CHOOSE({1,2,3,4},XT!U121,XT!Y121,XT!AC121,XT!AG121))=5)*(CHOOSE({1,2,3,4},XT!X121,XT!AB121,XT!AF121,XT!AJ121)))</f>
        <v>0</v>
      </c>
      <c r="R121" t="str">
        <f>IFERROR(INDEX(CHOOSE({1,2,3,4}, DAY(XT!U121), DAY(XT!Y121), DAY(XT!AC121), DAY(XT!AG121)), MATCH(1, INDEX(--(MONTH(CHOOSE({1,2,3,4}, XT!U121,XT!Y121,XT!AC121,XT!AG121))=5), 0), 0)), "")</f>
        <v/>
      </c>
      <c r="S121" s="12" t="str">
        <f>IF(XT!$P121&gt;0,R121,"")</f>
        <v/>
      </c>
      <c r="T121" s="12" t="str">
        <f>IF(XT!$P121=0,R121,"")</f>
        <v/>
      </c>
      <c r="U121">
        <f>SUMPRODUCT((MONTH(CHOOSE({1,2,3,4},XT!U121,XT!Y121,XT!AC121,XT!AG121))=6)*(CHOOSE({1,2,3,4},XT!X121,XT!AB121,XT!AF121,XT!AJ121)))</f>
        <v>0</v>
      </c>
      <c r="V121" t="str">
        <f>IFERROR(INDEX(CHOOSE({1,2,3,4}, DAY(XT!U121), DAY(XT!Y121), DAY(XT!AC121), DAY(XT!AG121)), MATCH(1, INDEX(--(MONTH(CHOOSE({1,2,3,4}, XT!U121,XT!Y121,XT!AC121,XT!AG121))=6), 0), 0)), "")</f>
        <v/>
      </c>
      <c r="W121" s="12" t="str">
        <f>IF(XT!$P121&gt;0,V121,"")</f>
        <v/>
      </c>
      <c r="X121" s="12" t="str">
        <f>IF(XT!$P121=0,V121,"")</f>
        <v/>
      </c>
      <c r="Y121">
        <f>SUMPRODUCT((MONTH(CHOOSE({1,2,3,4},XT!U121,XT!Y121,XT!AC121,XT!AG121))=7)*(CHOOSE({1,2,3,4},XT!X121,XT!AB121,XT!AF121,XT!AJ121)))</f>
        <v>0</v>
      </c>
      <c r="Z121" t="str">
        <f>IFERROR(INDEX(CHOOSE({1,2,3,4}, DAY(XT!U121), DAY(XT!Y121), DAY(XT!AC121), DAY(XT!AG121)), MATCH(1, INDEX(--(MONTH(CHOOSE({1,2,3,4}, XT!U121,XT!Y121,XT!AC121,XT!AG121))=7), 0), 0)), "")</f>
        <v/>
      </c>
      <c r="AA121" s="12" t="str">
        <f>IF(XT!$P121&gt;0,Z121,"")</f>
        <v/>
      </c>
      <c r="AB121" s="12" t="str">
        <f>IF(XT!$P121=0,Z121,"")</f>
        <v/>
      </c>
      <c r="AC121">
        <f>SUMPRODUCT((MONTH(CHOOSE({1,2,3,4},XT!U121,XT!Y121,XT!AC121,XT!AG121))=8)*(CHOOSE({1,2,3,4},XT!X121,XT!AB121,XT!AF121,XT!AJ121)))</f>
        <v>0</v>
      </c>
      <c r="AD121" t="str">
        <f>IFERROR(INDEX(CHOOSE({1,2,3,4}, DAY(XT!U121), DAY(XT!Y121), DAY(XT!AC121), DAY(XT!AG121)), MATCH(1, INDEX(--(MONTH(CHOOSE({1,2,3,4}, XT!U121,XT!Y121,XT!AC121,XT!AG121))=8), 0), 0)), "")</f>
        <v/>
      </c>
      <c r="AE121" s="12" t="str">
        <f>IF(XT!$P121&gt;0,AD121,"")</f>
        <v/>
      </c>
      <c r="AF121" s="12" t="str">
        <f>IF(XT!$P121=0,AD121,"")</f>
        <v/>
      </c>
      <c r="AG121">
        <f>SUMPRODUCT((MONTH(CHOOSE({1,2,3,4},XT!U121,XT!Y121,XT!AC121,XT!AG121))=9)*(CHOOSE({1,2,3,4},XT!X121,XT!AB121,XT!AF121,XT!AJ121)))</f>
        <v>0</v>
      </c>
      <c r="AH121" t="str">
        <f>IFERROR(INDEX(CHOOSE({1,2,3,4}, DAY(XT!U121), DAY(XT!Y121), DAY(XT!AC121), DAY(XT!AG121)), MATCH(1, INDEX(--(MONTH(CHOOSE({1,2,3,4}, XT!U121,XT!Y121,XT!AC121,XT!AG121))=9), 0), 0)), "")</f>
        <v/>
      </c>
      <c r="AI121" s="12" t="str">
        <f>IF(XT!$P121&gt;0,AH121,"")</f>
        <v/>
      </c>
      <c r="AJ121" s="12" t="str">
        <f>IF(XT!$P121=0,AH121,"")</f>
        <v/>
      </c>
      <c r="AK121">
        <f>SUMPRODUCT((MONTH(CHOOSE({1,2,3,4},XT!U121,XT!Y121,XT!AC121,XT!AG121))=10)*(CHOOSE({1,2,3,4},XT!X121,XT!AB121,XT!AF121,XT!AJ121)))</f>
        <v>0</v>
      </c>
      <c r="AL121" t="str">
        <f>IFERROR(INDEX(CHOOSE({1,2,3,4}, DAY(XT!U121), DAY(XT!Y121), DAY(XT!AC121), DAY(XT!AG121)), MATCH(1, INDEX(--(MONTH(CHOOSE({1,2,3,4}, XT!U121,XT!Y121,XT!AC121,XT!AG121))=10), 0), 0)), "")</f>
        <v/>
      </c>
      <c r="AM121" s="12" t="str">
        <f>IF(XT!$P121&gt;0,AL121,"")</f>
        <v/>
      </c>
      <c r="AN121" s="12" t="str">
        <f>IF(XT!$P121=0,AL121,"")</f>
        <v/>
      </c>
      <c r="AO121">
        <f>SUMPRODUCT((MONTH(CHOOSE({1,2,3,4},XT!U121,XT!Y121,XT!AC121,XT!AG121))=11)*(CHOOSE({1,2,3,4},XT!X121,XT!AB121,XT!AF121,XT!AJ121)))</f>
        <v>0</v>
      </c>
      <c r="AP121" t="str">
        <f>IFERROR(INDEX(CHOOSE({1,2,3,4}, DAY(XT!U121), DAY(XT!Y121), DAY(XT!AC121), DAY(XT!AG121)), MATCH(1, INDEX(--(MONTH(CHOOSE({1,2,3,4}, XT!U121,XT!Y121,XT!AC121,XT!AG121))=11), 0), 0)), "")</f>
        <v/>
      </c>
      <c r="AQ121" s="12" t="str">
        <f>IF(XT!$P121&gt;0,AP121,"")</f>
        <v/>
      </c>
      <c r="AR121" s="12" t="str">
        <f>IF(XT!$P121=0,AP121,"")</f>
        <v/>
      </c>
      <c r="AS121">
        <f>SUMPRODUCT((MONTH(CHOOSE({1,2,3,4},XT!U121,XT!Y121,XT!AC121,XT!AG121))=12)*(CHOOSE({1,2,3,4},XT!X121,XT!AB121,XT!AF121,XT!AJ121)))</f>
        <v>0</v>
      </c>
      <c r="AT121" t="str">
        <f>IFERROR(INDEX(CHOOSE({1,2,3,4}, DAY(XT!U121), DAY(XT!Y121), DAY(XT!AC121), DAY(XT!AG121)), MATCH(1, INDEX(--(MONTH(CHOOSE({1,2,3,4}, XT!U121,XT!Y121,XT!AC121,XT!AG121))=12), 0), 0)), "")</f>
        <v/>
      </c>
      <c r="AU121" s="12" t="str">
        <f>IF(XT!$P121&gt;0,AT121,"")</f>
        <v/>
      </c>
      <c r="AV121" s="12" t="str">
        <f>IF(XT!$P121=0,AT121,"")</f>
        <v/>
      </c>
    </row>
    <row r="122" spans="1:48">
      <c r="A122">
        <f>SUMPRODUCT((MONTH(CHOOSE({1,2,3,4},XT!U122,XT!Y122,XT!AC122,XT!AG122))=1)*(CHOOSE({1,2,3,4},XT!X122,XT!AB122,XT!AF122,XT!AJ122)))</f>
        <v>0</v>
      </c>
      <c r="B122">
        <f>IFERROR(INDEX(CHOOSE({1,2,3,4}, DAY(XT!U122), DAY(XT!Y122), DAY(XT!AC122), DAY(XT!AG122)), MATCH(1, INDEX(--(MONTH(CHOOSE({1,2,3,4}, XT!U122,XT!Y122,XT!AC122,XT!AG122))=1), 0), 0)), "")</f>
        <v>0</v>
      </c>
      <c r="C122" s="12" t="str">
        <f>IF(XT!$P122&gt;0,B122,"")</f>
        <v/>
      </c>
      <c r="D122" s="12">
        <f>IF(XT!$P122=0,B122,"")</f>
        <v>0</v>
      </c>
      <c r="E122">
        <f>SUMPRODUCT((MONTH(CHOOSE({1,2,3,4},XT!U122,XT!Y122,XT!AC122,XT!AG122))=2)*(CHOOSE({1,2,3,4},XT!X122,XT!AB122,XT!AF122,XT!AJ122)))</f>
        <v>0</v>
      </c>
      <c r="F122" t="str">
        <f>IFERROR(INDEX(CHOOSE({1,2,3,4}, DAY(XT!U122), DAY(XT!Y122), DAY(XT!AC122), DAY(XT!AG122)), MATCH(1, INDEX(--(MONTH(CHOOSE({1,2,3,4}, XT!U122,XT!Y122,XT!AC122,XT!AG122))=2), 0), 0)), "")</f>
        <v/>
      </c>
      <c r="G122" s="12" t="str">
        <f>IF(XT!$P122&gt;0,F122,"")</f>
        <v/>
      </c>
      <c r="H122" s="12" t="str">
        <f>IF(XT!$P122=0,F122,"")</f>
        <v/>
      </c>
      <c r="I122">
        <f>SUMPRODUCT((MONTH(CHOOSE({1,2,3,4},XT!U122,XT!Y122,XT!AC122,XT!AG122))=3)*(CHOOSE({1,2,3,4},XT!X122,XT!AB122,XT!AF122,XT!AJ122)))</f>
        <v>0</v>
      </c>
      <c r="J122" t="str">
        <f>IFERROR(INDEX(CHOOSE({1,2,3,4}, DAY(XT!U122), DAY(XT!Y122), DAY(XT!AC122), DAY(XT!AG122)), MATCH(1, INDEX(--(MONTH(CHOOSE({1,2,3,4}, XT!U122,XT!Y122,XT!AC122,XT!AG122))=3), 0), 0)), "")</f>
        <v/>
      </c>
      <c r="K122" s="12" t="str">
        <f>IF(XT!$P122&gt;0,J122,"")</f>
        <v/>
      </c>
      <c r="L122" s="12" t="str">
        <f>IF(XT!$P122=0,J122,"")</f>
        <v/>
      </c>
      <c r="M122">
        <f>SUMPRODUCT((MONTH(CHOOSE({1,2,3,4},XT!U122,XT!Y122,XT!AC122,XT!AG122))=4)*(CHOOSE({1,2,3,4},XT!X122,XT!AB122,XT!AF122,XT!AJ122)))</f>
        <v>0</v>
      </c>
      <c r="N122" t="str">
        <f>IFERROR(INDEX(CHOOSE({1,2,3,4}, DAY(XT!U122), DAY(XT!Y122), DAY(XT!AC122), DAY(XT!AG122)), MATCH(1, INDEX(--(MONTH(CHOOSE({1,2,3,4}, XT!U122,XT!Y122,XT!AC122,XT!AG122))=4), 0), 0)), "")</f>
        <v/>
      </c>
      <c r="O122" s="12" t="str">
        <f>IF(XT!$P122&gt;0,N122,"")</f>
        <v/>
      </c>
      <c r="P122" s="12" t="str">
        <f>IF(XT!$P122=0,N122,"")</f>
        <v/>
      </c>
      <c r="Q122">
        <f>SUMPRODUCT((MONTH(CHOOSE({1,2,3,4},XT!U122,XT!Y122,XT!AC122,XT!AG122))=5)*(CHOOSE({1,2,3,4},XT!X122,XT!AB122,XT!AF122,XT!AJ122)))</f>
        <v>0</v>
      </c>
      <c r="R122" t="str">
        <f>IFERROR(INDEX(CHOOSE({1,2,3,4}, DAY(XT!U122), DAY(XT!Y122), DAY(XT!AC122), DAY(XT!AG122)), MATCH(1, INDEX(--(MONTH(CHOOSE({1,2,3,4}, XT!U122,XT!Y122,XT!AC122,XT!AG122))=5), 0), 0)), "")</f>
        <v/>
      </c>
      <c r="S122" s="12" t="str">
        <f>IF(XT!$P122&gt;0,R122,"")</f>
        <v/>
      </c>
      <c r="T122" s="12" t="str">
        <f>IF(XT!$P122=0,R122,"")</f>
        <v/>
      </c>
      <c r="U122">
        <f>SUMPRODUCT((MONTH(CHOOSE({1,2,3,4},XT!U122,XT!Y122,XT!AC122,XT!AG122))=6)*(CHOOSE({1,2,3,4},XT!X122,XT!AB122,XT!AF122,XT!AJ122)))</f>
        <v>0</v>
      </c>
      <c r="V122" t="str">
        <f>IFERROR(INDEX(CHOOSE({1,2,3,4}, DAY(XT!U122), DAY(XT!Y122), DAY(XT!AC122), DAY(XT!AG122)), MATCH(1, INDEX(--(MONTH(CHOOSE({1,2,3,4}, XT!U122,XT!Y122,XT!AC122,XT!AG122))=6), 0), 0)), "")</f>
        <v/>
      </c>
      <c r="W122" s="12" t="str">
        <f>IF(XT!$P122&gt;0,V122,"")</f>
        <v/>
      </c>
      <c r="X122" s="12" t="str">
        <f>IF(XT!$P122=0,V122,"")</f>
        <v/>
      </c>
      <c r="Y122">
        <f>SUMPRODUCT((MONTH(CHOOSE({1,2,3,4},XT!U122,XT!Y122,XT!AC122,XT!AG122))=7)*(CHOOSE({1,2,3,4},XT!X122,XT!AB122,XT!AF122,XT!AJ122)))</f>
        <v>0</v>
      </c>
      <c r="Z122" t="str">
        <f>IFERROR(INDEX(CHOOSE({1,2,3,4}, DAY(XT!U122), DAY(XT!Y122), DAY(XT!AC122), DAY(XT!AG122)), MATCH(1, INDEX(--(MONTH(CHOOSE({1,2,3,4}, XT!U122,XT!Y122,XT!AC122,XT!AG122))=7), 0), 0)), "")</f>
        <v/>
      </c>
      <c r="AA122" s="12" t="str">
        <f>IF(XT!$P122&gt;0,Z122,"")</f>
        <v/>
      </c>
      <c r="AB122" s="12" t="str">
        <f>IF(XT!$P122=0,Z122,"")</f>
        <v/>
      </c>
      <c r="AC122">
        <f>SUMPRODUCT((MONTH(CHOOSE({1,2,3,4},XT!U122,XT!Y122,XT!AC122,XT!AG122))=8)*(CHOOSE({1,2,3,4},XT!X122,XT!AB122,XT!AF122,XT!AJ122)))</f>
        <v>0</v>
      </c>
      <c r="AD122" t="str">
        <f>IFERROR(INDEX(CHOOSE({1,2,3,4}, DAY(XT!U122), DAY(XT!Y122), DAY(XT!AC122), DAY(XT!AG122)), MATCH(1, INDEX(--(MONTH(CHOOSE({1,2,3,4}, XT!U122,XT!Y122,XT!AC122,XT!AG122))=8), 0), 0)), "")</f>
        <v/>
      </c>
      <c r="AE122" s="12" t="str">
        <f>IF(XT!$P122&gt;0,AD122,"")</f>
        <v/>
      </c>
      <c r="AF122" s="12" t="str">
        <f>IF(XT!$P122=0,AD122,"")</f>
        <v/>
      </c>
      <c r="AG122">
        <f>SUMPRODUCT((MONTH(CHOOSE({1,2,3,4},XT!U122,XT!Y122,XT!AC122,XT!AG122))=9)*(CHOOSE({1,2,3,4},XT!X122,XT!AB122,XT!AF122,XT!AJ122)))</f>
        <v>0</v>
      </c>
      <c r="AH122" t="str">
        <f>IFERROR(INDEX(CHOOSE({1,2,3,4}, DAY(XT!U122), DAY(XT!Y122), DAY(XT!AC122), DAY(XT!AG122)), MATCH(1, INDEX(--(MONTH(CHOOSE({1,2,3,4}, XT!U122,XT!Y122,XT!AC122,XT!AG122))=9), 0), 0)), "")</f>
        <v/>
      </c>
      <c r="AI122" s="12" t="str">
        <f>IF(XT!$P122&gt;0,AH122,"")</f>
        <v/>
      </c>
      <c r="AJ122" s="12" t="str">
        <f>IF(XT!$P122=0,AH122,"")</f>
        <v/>
      </c>
      <c r="AK122">
        <f>SUMPRODUCT((MONTH(CHOOSE({1,2,3,4},XT!U122,XT!Y122,XT!AC122,XT!AG122))=10)*(CHOOSE({1,2,3,4},XT!X122,XT!AB122,XT!AF122,XT!AJ122)))</f>
        <v>0</v>
      </c>
      <c r="AL122" t="str">
        <f>IFERROR(INDEX(CHOOSE({1,2,3,4}, DAY(XT!U122), DAY(XT!Y122), DAY(XT!AC122), DAY(XT!AG122)), MATCH(1, INDEX(--(MONTH(CHOOSE({1,2,3,4}, XT!U122,XT!Y122,XT!AC122,XT!AG122))=10), 0), 0)), "")</f>
        <v/>
      </c>
      <c r="AM122" s="12" t="str">
        <f>IF(XT!$P122&gt;0,AL122,"")</f>
        <v/>
      </c>
      <c r="AN122" s="12" t="str">
        <f>IF(XT!$P122=0,AL122,"")</f>
        <v/>
      </c>
      <c r="AO122">
        <f>SUMPRODUCT((MONTH(CHOOSE({1,2,3,4},XT!U122,XT!Y122,XT!AC122,XT!AG122))=11)*(CHOOSE({1,2,3,4},XT!X122,XT!AB122,XT!AF122,XT!AJ122)))</f>
        <v>0</v>
      </c>
      <c r="AP122" t="str">
        <f>IFERROR(INDEX(CHOOSE({1,2,3,4}, DAY(XT!U122), DAY(XT!Y122), DAY(XT!AC122), DAY(XT!AG122)), MATCH(1, INDEX(--(MONTH(CHOOSE({1,2,3,4}, XT!U122,XT!Y122,XT!AC122,XT!AG122))=11), 0), 0)), "")</f>
        <v/>
      </c>
      <c r="AQ122" s="12" t="str">
        <f>IF(XT!$P122&gt;0,AP122,"")</f>
        <v/>
      </c>
      <c r="AR122" s="12" t="str">
        <f>IF(XT!$P122=0,AP122,"")</f>
        <v/>
      </c>
      <c r="AS122">
        <f>SUMPRODUCT((MONTH(CHOOSE({1,2,3,4},XT!U122,XT!Y122,XT!AC122,XT!AG122))=12)*(CHOOSE({1,2,3,4},XT!X122,XT!AB122,XT!AF122,XT!AJ122)))</f>
        <v>0</v>
      </c>
      <c r="AT122" t="str">
        <f>IFERROR(INDEX(CHOOSE({1,2,3,4}, DAY(XT!U122), DAY(XT!Y122), DAY(XT!AC122), DAY(XT!AG122)), MATCH(1, INDEX(--(MONTH(CHOOSE({1,2,3,4}, XT!U122,XT!Y122,XT!AC122,XT!AG122))=12), 0), 0)), "")</f>
        <v/>
      </c>
      <c r="AU122" s="12" t="str">
        <f>IF(XT!$P122&gt;0,AT122,"")</f>
        <v/>
      </c>
      <c r="AV122" s="12" t="str">
        <f>IF(XT!$P122=0,AT122,"")</f>
        <v/>
      </c>
    </row>
    <row r="123" spans="1:48">
      <c r="A123">
        <f>SUMPRODUCT((MONTH(CHOOSE({1,2,3,4},XT!U123,XT!Y123,XT!AC123,XT!AG123))=1)*(CHOOSE({1,2,3,4},XT!X123,XT!AB123,XT!AF123,XT!AJ123)))</f>
        <v>0</v>
      </c>
      <c r="B123">
        <f>IFERROR(INDEX(CHOOSE({1,2,3,4}, DAY(XT!U123), DAY(XT!Y123), DAY(XT!AC123), DAY(XT!AG123)), MATCH(1, INDEX(--(MONTH(CHOOSE({1,2,3,4}, XT!U123,XT!Y123,XT!AC123,XT!AG123))=1), 0), 0)), "")</f>
        <v>0</v>
      </c>
      <c r="C123" s="12" t="str">
        <f>IF(XT!$P123&gt;0,B123,"")</f>
        <v/>
      </c>
      <c r="D123" s="12">
        <f>IF(XT!$P123=0,B123,"")</f>
        <v>0</v>
      </c>
      <c r="E123">
        <f>SUMPRODUCT((MONTH(CHOOSE({1,2,3,4},XT!U123,XT!Y123,XT!AC123,XT!AG123))=2)*(CHOOSE({1,2,3,4},XT!X123,XT!AB123,XT!AF123,XT!AJ123)))</f>
        <v>0</v>
      </c>
      <c r="F123" t="str">
        <f>IFERROR(INDEX(CHOOSE({1,2,3,4}, DAY(XT!U123), DAY(XT!Y123), DAY(XT!AC123), DAY(XT!AG123)), MATCH(1, INDEX(--(MONTH(CHOOSE({1,2,3,4}, XT!U123,XT!Y123,XT!AC123,XT!AG123))=2), 0), 0)), "")</f>
        <v/>
      </c>
      <c r="G123" s="12" t="str">
        <f>IF(XT!$P123&gt;0,F123,"")</f>
        <v/>
      </c>
      <c r="H123" s="12" t="str">
        <f>IF(XT!$P123=0,F123,"")</f>
        <v/>
      </c>
      <c r="I123">
        <f>SUMPRODUCT((MONTH(CHOOSE({1,2,3,4},XT!U123,XT!Y123,XT!AC123,XT!AG123))=3)*(CHOOSE({1,2,3,4},XT!X123,XT!AB123,XT!AF123,XT!AJ123)))</f>
        <v>0</v>
      </c>
      <c r="J123" t="str">
        <f>IFERROR(INDEX(CHOOSE({1,2,3,4}, DAY(XT!U123), DAY(XT!Y123), DAY(XT!AC123), DAY(XT!AG123)), MATCH(1, INDEX(--(MONTH(CHOOSE({1,2,3,4}, XT!U123,XT!Y123,XT!AC123,XT!AG123))=3), 0), 0)), "")</f>
        <v/>
      </c>
      <c r="K123" s="12" t="str">
        <f>IF(XT!$P123&gt;0,J123,"")</f>
        <v/>
      </c>
      <c r="L123" s="12" t="str">
        <f>IF(XT!$P123=0,J123,"")</f>
        <v/>
      </c>
      <c r="M123">
        <f>SUMPRODUCT((MONTH(CHOOSE({1,2,3,4},XT!U123,XT!Y123,XT!AC123,XT!AG123))=4)*(CHOOSE({1,2,3,4},XT!X123,XT!AB123,XT!AF123,XT!AJ123)))</f>
        <v>0</v>
      </c>
      <c r="N123" t="str">
        <f>IFERROR(INDEX(CHOOSE({1,2,3,4}, DAY(XT!U123), DAY(XT!Y123), DAY(XT!AC123), DAY(XT!AG123)), MATCH(1, INDEX(--(MONTH(CHOOSE({1,2,3,4}, XT!U123,XT!Y123,XT!AC123,XT!AG123))=4), 0), 0)), "")</f>
        <v/>
      </c>
      <c r="O123" s="12" t="str">
        <f>IF(XT!$P123&gt;0,N123,"")</f>
        <v/>
      </c>
      <c r="P123" s="12" t="str">
        <f>IF(XT!$P123=0,N123,"")</f>
        <v/>
      </c>
      <c r="Q123">
        <f>SUMPRODUCT((MONTH(CHOOSE({1,2,3,4},XT!U123,XT!Y123,XT!AC123,XT!AG123))=5)*(CHOOSE({1,2,3,4},XT!X123,XT!AB123,XT!AF123,XT!AJ123)))</f>
        <v>0</v>
      </c>
      <c r="R123" t="str">
        <f>IFERROR(INDEX(CHOOSE({1,2,3,4}, DAY(XT!U123), DAY(XT!Y123), DAY(XT!AC123), DAY(XT!AG123)), MATCH(1, INDEX(--(MONTH(CHOOSE({1,2,3,4}, XT!U123,XT!Y123,XT!AC123,XT!AG123))=5), 0), 0)), "")</f>
        <v/>
      </c>
      <c r="S123" s="12" t="str">
        <f>IF(XT!$P123&gt;0,R123,"")</f>
        <v/>
      </c>
      <c r="T123" s="12" t="str">
        <f>IF(XT!$P123=0,R123,"")</f>
        <v/>
      </c>
      <c r="U123">
        <f>SUMPRODUCT((MONTH(CHOOSE({1,2,3,4},XT!U123,XT!Y123,XT!AC123,XT!AG123))=6)*(CHOOSE({1,2,3,4},XT!X123,XT!AB123,XT!AF123,XT!AJ123)))</f>
        <v>0</v>
      </c>
      <c r="V123" t="str">
        <f>IFERROR(INDEX(CHOOSE({1,2,3,4}, DAY(XT!U123), DAY(XT!Y123), DAY(XT!AC123), DAY(XT!AG123)), MATCH(1, INDEX(--(MONTH(CHOOSE({1,2,3,4}, XT!U123,XT!Y123,XT!AC123,XT!AG123))=6), 0), 0)), "")</f>
        <v/>
      </c>
      <c r="W123" s="12" t="str">
        <f>IF(XT!$P123&gt;0,V123,"")</f>
        <v/>
      </c>
      <c r="X123" s="12" t="str">
        <f>IF(XT!$P123=0,V123,"")</f>
        <v/>
      </c>
      <c r="Y123">
        <f>SUMPRODUCT((MONTH(CHOOSE({1,2,3,4},XT!U123,XT!Y123,XT!AC123,XT!AG123))=7)*(CHOOSE({1,2,3,4},XT!X123,XT!AB123,XT!AF123,XT!AJ123)))</f>
        <v>0</v>
      </c>
      <c r="Z123" t="str">
        <f>IFERROR(INDEX(CHOOSE({1,2,3,4}, DAY(XT!U123), DAY(XT!Y123), DAY(XT!AC123), DAY(XT!AG123)), MATCH(1, INDEX(--(MONTH(CHOOSE({1,2,3,4}, XT!U123,XT!Y123,XT!AC123,XT!AG123))=7), 0), 0)), "")</f>
        <v/>
      </c>
      <c r="AA123" s="12" t="str">
        <f>IF(XT!$P123&gt;0,Z123,"")</f>
        <v/>
      </c>
      <c r="AB123" s="12" t="str">
        <f>IF(XT!$P123=0,Z123,"")</f>
        <v/>
      </c>
      <c r="AC123">
        <f>SUMPRODUCT((MONTH(CHOOSE({1,2,3,4},XT!U123,XT!Y123,XT!AC123,XT!AG123))=8)*(CHOOSE({1,2,3,4},XT!X123,XT!AB123,XT!AF123,XT!AJ123)))</f>
        <v>0</v>
      </c>
      <c r="AD123" t="str">
        <f>IFERROR(INDEX(CHOOSE({1,2,3,4}, DAY(XT!U123), DAY(XT!Y123), DAY(XT!AC123), DAY(XT!AG123)), MATCH(1, INDEX(--(MONTH(CHOOSE({1,2,3,4}, XT!U123,XT!Y123,XT!AC123,XT!AG123))=8), 0), 0)), "")</f>
        <v/>
      </c>
      <c r="AE123" s="12" t="str">
        <f>IF(XT!$P123&gt;0,AD123,"")</f>
        <v/>
      </c>
      <c r="AF123" s="12" t="str">
        <f>IF(XT!$P123=0,AD123,"")</f>
        <v/>
      </c>
      <c r="AG123">
        <f>SUMPRODUCT((MONTH(CHOOSE({1,2,3,4},XT!U123,XT!Y123,XT!AC123,XT!AG123))=9)*(CHOOSE({1,2,3,4},XT!X123,XT!AB123,XT!AF123,XT!AJ123)))</f>
        <v>0</v>
      </c>
      <c r="AH123" t="str">
        <f>IFERROR(INDEX(CHOOSE({1,2,3,4}, DAY(XT!U123), DAY(XT!Y123), DAY(XT!AC123), DAY(XT!AG123)), MATCH(1, INDEX(--(MONTH(CHOOSE({1,2,3,4}, XT!U123,XT!Y123,XT!AC123,XT!AG123))=9), 0), 0)), "")</f>
        <v/>
      </c>
      <c r="AI123" s="12" t="str">
        <f>IF(XT!$P123&gt;0,AH123,"")</f>
        <v/>
      </c>
      <c r="AJ123" s="12" t="str">
        <f>IF(XT!$P123=0,AH123,"")</f>
        <v/>
      </c>
      <c r="AK123">
        <f>SUMPRODUCT((MONTH(CHOOSE({1,2,3,4},XT!U123,XT!Y123,XT!AC123,XT!AG123))=10)*(CHOOSE({1,2,3,4},XT!X123,XT!AB123,XT!AF123,XT!AJ123)))</f>
        <v>0</v>
      </c>
      <c r="AL123" t="str">
        <f>IFERROR(INDEX(CHOOSE({1,2,3,4}, DAY(XT!U123), DAY(XT!Y123), DAY(XT!AC123), DAY(XT!AG123)), MATCH(1, INDEX(--(MONTH(CHOOSE({1,2,3,4}, XT!U123,XT!Y123,XT!AC123,XT!AG123))=10), 0), 0)), "")</f>
        <v/>
      </c>
      <c r="AM123" s="12" t="str">
        <f>IF(XT!$P123&gt;0,AL123,"")</f>
        <v/>
      </c>
      <c r="AN123" s="12" t="str">
        <f>IF(XT!$P123=0,AL123,"")</f>
        <v/>
      </c>
      <c r="AO123">
        <f>SUMPRODUCT((MONTH(CHOOSE({1,2,3,4},XT!U123,XT!Y123,XT!AC123,XT!AG123))=11)*(CHOOSE({1,2,3,4},XT!X123,XT!AB123,XT!AF123,XT!AJ123)))</f>
        <v>0</v>
      </c>
      <c r="AP123" t="str">
        <f>IFERROR(INDEX(CHOOSE({1,2,3,4}, DAY(XT!U123), DAY(XT!Y123), DAY(XT!AC123), DAY(XT!AG123)), MATCH(1, INDEX(--(MONTH(CHOOSE({1,2,3,4}, XT!U123,XT!Y123,XT!AC123,XT!AG123))=11), 0), 0)), "")</f>
        <v/>
      </c>
      <c r="AQ123" s="12" t="str">
        <f>IF(XT!$P123&gt;0,AP123,"")</f>
        <v/>
      </c>
      <c r="AR123" s="12" t="str">
        <f>IF(XT!$P123=0,AP123,"")</f>
        <v/>
      </c>
      <c r="AS123">
        <f>SUMPRODUCT((MONTH(CHOOSE({1,2,3,4},XT!U123,XT!Y123,XT!AC123,XT!AG123))=12)*(CHOOSE({1,2,3,4},XT!X123,XT!AB123,XT!AF123,XT!AJ123)))</f>
        <v>0</v>
      </c>
      <c r="AT123" t="str">
        <f>IFERROR(INDEX(CHOOSE({1,2,3,4}, DAY(XT!U123), DAY(XT!Y123), DAY(XT!AC123), DAY(XT!AG123)), MATCH(1, INDEX(--(MONTH(CHOOSE({1,2,3,4}, XT!U123,XT!Y123,XT!AC123,XT!AG123))=12), 0), 0)), "")</f>
        <v/>
      </c>
      <c r="AU123" s="12" t="str">
        <f>IF(XT!$P123&gt;0,AT123,"")</f>
        <v/>
      </c>
      <c r="AV123" s="12" t="str">
        <f>IF(XT!$P123=0,AT123,"")</f>
        <v/>
      </c>
    </row>
    <row r="124" spans="1:48">
      <c r="A124">
        <f>SUMPRODUCT((MONTH(CHOOSE({1,2,3,4},XT!U124,XT!Y124,XT!AC124,XT!AG124))=1)*(CHOOSE({1,2,3,4},XT!X124,XT!AB124,XT!AF124,XT!AJ124)))</f>
        <v>0</v>
      </c>
      <c r="B124">
        <f>IFERROR(INDEX(CHOOSE({1,2,3,4}, DAY(XT!U124), DAY(XT!Y124), DAY(XT!AC124), DAY(XT!AG124)), MATCH(1, INDEX(--(MONTH(CHOOSE({1,2,3,4}, XT!U124,XT!Y124,XT!AC124,XT!AG124))=1), 0), 0)), "")</f>
        <v>0</v>
      </c>
      <c r="C124" s="12" t="str">
        <f>IF(XT!$P124&gt;0,B124,"")</f>
        <v/>
      </c>
      <c r="D124" s="12">
        <f>IF(XT!$P124=0,B124,"")</f>
        <v>0</v>
      </c>
      <c r="E124">
        <f>SUMPRODUCT((MONTH(CHOOSE({1,2,3,4},XT!U124,XT!Y124,XT!AC124,XT!AG124))=2)*(CHOOSE({1,2,3,4},XT!X124,XT!AB124,XT!AF124,XT!AJ124)))</f>
        <v>0</v>
      </c>
      <c r="F124" t="str">
        <f>IFERROR(INDEX(CHOOSE({1,2,3,4}, DAY(XT!U124), DAY(XT!Y124), DAY(XT!AC124), DAY(XT!AG124)), MATCH(1, INDEX(--(MONTH(CHOOSE({1,2,3,4}, XT!U124,XT!Y124,XT!AC124,XT!AG124))=2), 0), 0)), "")</f>
        <v/>
      </c>
      <c r="G124" s="12" t="str">
        <f>IF(XT!$P124&gt;0,F124,"")</f>
        <v/>
      </c>
      <c r="H124" s="12" t="str">
        <f>IF(XT!$P124=0,F124,"")</f>
        <v/>
      </c>
      <c r="I124">
        <f>SUMPRODUCT((MONTH(CHOOSE({1,2,3,4},XT!U124,XT!Y124,XT!AC124,XT!AG124))=3)*(CHOOSE({1,2,3,4},XT!X124,XT!AB124,XT!AF124,XT!AJ124)))</f>
        <v>0</v>
      </c>
      <c r="J124" t="str">
        <f>IFERROR(INDEX(CHOOSE({1,2,3,4}, DAY(XT!U124), DAY(XT!Y124), DAY(XT!AC124), DAY(XT!AG124)), MATCH(1, INDEX(--(MONTH(CHOOSE({1,2,3,4}, XT!U124,XT!Y124,XT!AC124,XT!AG124))=3), 0), 0)), "")</f>
        <v/>
      </c>
      <c r="K124" s="12" t="str">
        <f>IF(XT!$P124&gt;0,J124,"")</f>
        <v/>
      </c>
      <c r="L124" s="12" t="str">
        <f>IF(XT!$P124=0,J124,"")</f>
        <v/>
      </c>
      <c r="M124">
        <f>SUMPRODUCT((MONTH(CHOOSE({1,2,3,4},XT!U124,XT!Y124,XT!AC124,XT!AG124))=4)*(CHOOSE({1,2,3,4},XT!X124,XT!AB124,XT!AF124,XT!AJ124)))</f>
        <v>0</v>
      </c>
      <c r="N124" t="str">
        <f>IFERROR(INDEX(CHOOSE({1,2,3,4}, DAY(XT!U124), DAY(XT!Y124), DAY(XT!AC124), DAY(XT!AG124)), MATCH(1, INDEX(--(MONTH(CHOOSE({1,2,3,4}, XT!U124,XT!Y124,XT!AC124,XT!AG124))=4), 0), 0)), "")</f>
        <v/>
      </c>
      <c r="O124" s="12" t="str">
        <f>IF(XT!$P124&gt;0,N124,"")</f>
        <v/>
      </c>
      <c r="P124" s="12" t="str">
        <f>IF(XT!$P124=0,N124,"")</f>
        <v/>
      </c>
      <c r="Q124">
        <f>SUMPRODUCT((MONTH(CHOOSE({1,2,3,4},XT!U124,XT!Y124,XT!AC124,XT!AG124))=5)*(CHOOSE({1,2,3,4},XT!X124,XT!AB124,XT!AF124,XT!AJ124)))</f>
        <v>0</v>
      </c>
      <c r="R124" t="str">
        <f>IFERROR(INDEX(CHOOSE({1,2,3,4}, DAY(XT!U124), DAY(XT!Y124), DAY(XT!AC124), DAY(XT!AG124)), MATCH(1, INDEX(--(MONTH(CHOOSE({1,2,3,4}, XT!U124,XT!Y124,XT!AC124,XT!AG124))=5), 0), 0)), "")</f>
        <v/>
      </c>
      <c r="S124" s="12" t="str">
        <f>IF(XT!$P124&gt;0,R124,"")</f>
        <v/>
      </c>
      <c r="T124" s="12" t="str">
        <f>IF(XT!$P124=0,R124,"")</f>
        <v/>
      </c>
      <c r="U124">
        <f>SUMPRODUCT((MONTH(CHOOSE({1,2,3,4},XT!U124,XT!Y124,XT!AC124,XT!AG124))=6)*(CHOOSE({1,2,3,4},XT!X124,XT!AB124,XT!AF124,XT!AJ124)))</f>
        <v>0</v>
      </c>
      <c r="V124" t="str">
        <f>IFERROR(INDEX(CHOOSE({1,2,3,4}, DAY(XT!U124), DAY(XT!Y124), DAY(XT!AC124), DAY(XT!AG124)), MATCH(1, INDEX(--(MONTH(CHOOSE({1,2,3,4}, XT!U124,XT!Y124,XT!AC124,XT!AG124))=6), 0), 0)), "")</f>
        <v/>
      </c>
      <c r="W124" s="12" t="str">
        <f>IF(XT!$P124&gt;0,V124,"")</f>
        <v/>
      </c>
      <c r="X124" s="12" t="str">
        <f>IF(XT!$P124=0,V124,"")</f>
        <v/>
      </c>
      <c r="Y124">
        <f>SUMPRODUCT((MONTH(CHOOSE({1,2,3,4},XT!U124,XT!Y124,XT!AC124,XT!AG124))=7)*(CHOOSE({1,2,3,4},XT!X124,XT!AB124,XT!AF124,XT!AJ124)))</f>
        <v>0</v>
      </c>
      <c r="Z124" t="str">
        <f>IFERROR(INDEX(CHOOSE({1,2,3,4}, DAY(XT!U124), DAY(XT!Y124), DAY(XT!AC124), DAY(XT!AG124)), MATCH(1, INDEX(--(MONTH(CHOOSE({1,2,3,4}, XT!U124,XT!Y124,XT!AC124,XT!AG124))=7), 0), 0)), "")</f>
        <v/>
      </c>
      <c r="AA124" s="12" t="str">
        <f>IF(XT!$P124&gt;0,Z124,"")</f>
        <v/>
      </c>
      <c r="AB124" s="12" t="str">
        <f>IF(XT!$P124=0,Z124,"")</f>
        <v/>
      </c>
      <c r="AC124">
        <f>SUMPRODUCT((MONTH(CHOOSE({1,2,3,4},XT!U124,XT!Y124,XT!AC124,XT!AG124))=8)*(CHOOSE({1,2,3,4},XT!X124,XT!AB124,XT!AF124,XT!AJ124)))</f>
        <v>0</v>
      </c>
      <c r="AD124" t="str">
        <f>IFERROR(INDEX(CHOOSE({1,2,3,4}, DAY(XT!U124), DAY(XT!Y124), DAY(XT!AC124), DAY(XT!AG124)), MATCH(1, INDEX(--(MONTH(CHOOSE({1,2,3,4}, XT!U124,XT!Y124,XT!AC124,XT!AG124))=8), 0), 0)), "")</f>
        <v/>
      </c>
      <c r="AE124" s="12" t="str">
        <f>IF(XT!$P124&gt;0,AD124,"")</f>
        <v/>
      </c>
      <c r="AF124" s="12" t="str">
        <f>IF(XT!$P124=0,AD124,"")</f>
        <v/>
      </c>
      <c r="AG124">
        <f>SUMPRODUCT((MONTH(CHOOSE({1,2,3,4},XT!U124,XT!Y124,XT!AC124,XT!AG124))=9)*(CHOOSE({1,2,3,4},XT!X124,XT!AB124,XT!AF124,XT!AJ124)))</f>
        <v>0</v>
      </c>
      <c r="AH124" t="str">
        <f>IFERROR(INDEX(CHOOSE({1,2,3,4}, DAY(XT!U124), DAY(XT!Y124), DAY(XT!AC124), DAY(XT!AG124)), MATCH(1, INDEX(--(MONTH(CHOOSE({1,2,3,4}, XT!U124,XT!Y124,XT!AC124,XT!AG124))=9), 0), 0)), "")</f>
        <v/>
      </c>
      <c r="AI124" s="12" t="str">
        <f>IF(XT!$P124&gt;0,AH124,"")</f>
        <v/>
      </c>
      <c r="AJ124" s="12" t="str">
        <f>IF(XT!$P124=0,AH124,"")</f>
        <v/>
      </c>
      <c r="AK124">
        <f>SUMPRODUCT((MONTH(CHOOSE({1,2,3,4},XT!U124,XT!Y124,XT!AC124,XT!AG124))=10)*(CHOOSE({1,2,3,4},XT!X124,XT!AB124,XT!AF124,XT!AJ124)))</f>
        <v>0</v>
      </c>
      <c r="AL124" t="str">
        <f>IFERROR(INDEX(CHOOSE({1,2,3,4}, DAY(XT!U124), DAY(XT!Y124), DAY(XT!AC124), DAY(XT!AG124)), MATCH(1, INDEX(--(MONTH(CHOOSE({1,2,3,4}, XT!U124,XT!Y124,XT!AC124,XT!AG124))=10), 0), 0)), "")</f>
        <v/>
      </c>
      <c r="AM124" s="12" t="str">
        <f>IF(XT!$P124&gt;0,AL124,"")</f>
        <v/>
      </c>
      <c r="AN124" s="12" t="str">
        <f>IF(XT!$P124=0,AL124,"")</f>
        <v/>
      </c>
      <c r="AO124">
        <f>SUMPRODUCT((MONTH(CHOOSE({1,2,3,4},XT!U124,XT!Y124,XT!AC124,XT!AG124))=11)*(CHOOSE({1,2,3,4},XT!X124,XT!AB124,XT!AF124,XT!AJ124)))</f>
        <v>0</v>
      </c>
      <c r="AP124" t="str">
        <f>IFERROR(INDEX(CHOOSE({1,2,3,4}, DAY(XT!U124), DAY(XT!Y124), DAY(XT!AC124), DAY(XT!AG124)), MATCH(1, INDEX(--(MONTH(CHOOSE({1,2,3,4}, XT!U124,XT!Y124,XT!AC124,XT!AG124))=11), 0), 0)), "")</f>
        <v/>
      </c>
      <c r="AQ124" s="12" t="str">
        <f>IF(XT!$P124&gt;0,AP124,"")</f>
        <v/>
      </c>
      <c r="AR124" s="12" t="str">
        <f>IF(XT!$P124=0,AP124,"")</f>
        <v/>
      </c>
      <c r="AS124">
        <f>SUMPRODUCT((MONTH(CHOOSE({1,2,3,4},XT!U124,XT!Y124,XT!AC124,XT!AG124))=12)*(CHOOSE({1,2,3,4},XT!X124,XT!AB124,XT!AF124,XT!AJ124)))</f>
        <v>0</v>
      </c>
      <c r="AT124" t="str">
        <f>IFERROR(INDEX(CHOOSE({1,2,3,4}, DAY(XT!U124), DAY(XT!Y124), DAY(XT!AC124), DAY(XT!AG124)), MATCH(1, INDEX(--(MONTH(CHOOSE({1,2,3,4}, XT!U124,XT!Y124,XT!AC124,XT!AG124))=12), 0), 0)), "")</f>
        <v/>
      </c>
      <c r="AU124" s="12" t="str">
        <f>IF(XT!$P124&gt;0,AT124,"")</f>
        <v/>
      </c>
      <c r="AV124" s="12" t="str">
        <f>IF(XT!$P124=0,AT124,"")</f>
        <v/>
      </c>
    </row>
    <row r="125" spans="1:48">
      <c r="A125">
        <f>SUMPRODUCT((MONTH(CHOOSE({1,2,3,4},XT!U125,XT!Y125,XT!AC125,XT!AG125))=1)*(CHOOSE({1,2,3,4},XT!X125,XT!AB125,XT!AF125,XT!AJ125)))</f>
        <v>0</v>
      </c>
      <c r="B125">
        <f>IFERROR(INDEX(CHOOSE({1,2,3,4}, DAY(XT!U125), DAY(XT!Y125), DAY(XT!AC125), DAY(XT!AG125)), MATCH(1, INDEX(--(MONTH(CHOOSE({1,2,3,4}, XT!U125,XT!Y125,XT!AC125,XT!AG125))=1), 0), 0)), "")</f>
        <v>0</v>
      </c>
      <c r="C125" s="12" t="str">
        <f>IF(XT!$P125&gt;0,B125,"")</f>
        <v/>
      </c>
      <c r="D125" s="12">
        <f>IF(XT!$P125=0,B125,"")</f>
        <v>0</v>
      </c>
      <c r="E125">
        <f>SUMPRODUCT((MONTH(CHOOSE({1,2,3,4},XT!U125,XT!Y125,XT!AC125,XT!AG125))=2)*(CHOOSE({1,2,3,4},XT!X125,XT!AB125,XT!AF125,XT!AJ125)))</f>
        <v>0</v>
      </c>
      <c r="F125" t="str">
        <f>IFERROR(INDEX(CHOOSE({1,2,3,4}, DAY(XT!U125), DAY(XT!Y125), DAY(XT!AC125), DAY(XT!AG125)), MATCH(1, INDEX(--(MONTH(CHOOSE({1,2,3,4}, XT!U125,XT!Y125,XT!AC125,XT!AG125))=2), 0), 0)), "")</f>
        <v/>
      </c>
      <c r="G125" s="12" t="str">
        <f>IF(XT!$P125&gt;0,F125,"")</f>
        <v/>
      </c>
      <c r="H125" s="12" t="str">
        <f>IF(XT!$P125=0,F125,"")</f>
        <v/>
      </c>
      <c r="I125">
        <f>SUMPRODUCT((MONTH(CHOOSE({1,2,3,4},XT!U125,XT!Y125,XT!AC125,XT!AG125))=3)*(CHOOSE({1,2,3,4},XT!X125,XT!AB125,XT!AF125,XT!AJ125)))</f>
        <v>0</v>
      </c>
      <c r="J125" t="str">
        <f>IFERROR(INDEX(CHOOSE({1,2,3,4}, DAY(XT!U125), DAY(XT!Y125), DAY(XT!AC125), DAY(XT!AG125)), MATCH(1, INDEX(--(MONTH(CHOOSE({1,2,3,4}, XT!U125,XT!Y125,XT!AC125,XT!AG125))=3), 0), 0)), "")</f>
        <v/>
      </c>
      <c r="K125" s="12" t="str">
        <f>IF(XT!$P125&gt;0,J125,"")</f>
        <v/>
      </c>
      <c r="L125" s="12" t="str">
        <f>IF(XT!$P125=0,J125,"")</f>
        <v/>
      </c>
      <c r="M125">
        <f>SUMPRODUCT((MONTH(CHOOSE({1,2,3,4},XT!U125,XT!Y125,XT!AC125,XT!AG125))=4)*(CHOOSE({1,2,3,4},XT!X125,XT!AB125,XT!AF125,XT!AJ125)))</f>
        <v>0</v>
      </c>
      <c r="N125" t="str">
        <f>IFERROR(INDEX(CHOOSE({1,2,3,4}, DAY(XT!U125), DAY(XT!Y125), DAY(XT!AC125), DAY(XT!AG125)), MATCH(1, INDEX(--(MONTH(CHOOSE({1,2,3,4}, XT!U125,XT!Y125,XT!AC125,XT!AG125))=4), 0), 0)), "")</f>
        <v/>
      </c>
      <c r="O125" s="12" t="str">
        <f>IF(XT!$P125&gt;0,N125,"")</f>
        <v/>
      </c>
      <c r="P125" s="12" t="str">
        <f>IF(XT!$P125=0,N125,"")</f>
        <v/>
      </c>
      <c r="Q125">
        <f>SUMPRODUCT((MONTH(CHOOSE({1,2,3,4},XT!U125,XT!Y125,XT!AC125,XT!AG125))=5)*(CHOOSE({1,2,3,4},XT!X125,XT!AB125,XT!AF125,XT!AJ125)))</f>
        <v>0</v>
      </c>
      <c r="R125" t="str">
        <f>IFERROR(INDEX(CHOOSE({1,2,3,4}, DAY(XT!U125), DAY(XT!Y125), DAY(XT!AC125), DAY(XT!AG125)), MATCH(1, INDEX(--(MONTH(CHOOSE({1,2,3,4}, XT!U125,XT!Y125,XT!AC125,XT!AG125))=5), 0), 0)), "")</f>
        <v/>
      </c>
      <c r="S125" s="12" t="str">
        <f>IF(XT!$P125&gt;0,R125,"")</f>
        <v/>
      </c>
      <c r="T125" s="12" t="str">
        <f>IF(XT!$P125=0,R125,"")</f>
        <v/>
      </c>
      <c r="U125">
        <f>SUMPRODUCT((MONTH(CHOOSE({1,2,3,4},XT!U125,XT!Y125,XT!AC125,XT!AG125))=6)*(CHOOSE({1,2,3,4},XT!X125,XT!AB125,XT!AF125,XT!AJ125)))</f>
        <v>0</v>
      </c>
      <c r="V125" t="str">
        <f>IFERROR(INDEX(CHOOSE({1,2,3,4}, DAY(XT!U125), DAY(XT!Y125), DAY(XT!AC125), DAY(XT!AG125)), MATCH(1, INDEX(--(MONTH(CHOOSE({1,2,3,4}, XT!U125,XT!Y125,XT!AC125,XT!AG125))=6), 0), 0)), "")</f>
        <v/>
      </c>
      <c r="W125" s="12" t="str">
        <f>IF(XT!$P125&gt;0,V125,"")</f>
        <v/>
      </c>
      <c r="X125" s="12" t="str">
        <f>IF(XT!$P125=0,V125,"")</f>
        <v/>
      </c>
      <c r="Y125">
        <f>SUMPRODUCT((MONTH(CHOOSE({1,2,3,4},XT!U125,XT!Y125,XT!AC125,XT!AG125))=7)*(CHOOSE({1,2,3,4},XT!X125,XT!AB125,XT!AF125,XT!AJ125)))</f>
        <v>0</v>
      </c>
      <c r="Z125" t="str">
        <f>IFERROR(INDEX(CHOOSE({1,2,3,4}, DAY(XT!U125), DAY(XT!Y125), DAY(XT!AC125), DAY(XT!AG125)), MATCH(1, INDEX(--(MONTH(CHOOSE({1,2,3,4}, XT!U125,XT!Y125,XT!AC125,XT!AG125))=7), 0), 0)), "")</f>
        <v/>
      </c>
      <c r="AA125" s="12" t="str">
        <f>IF(XT!$P125&gt;0,Z125,"")</f>
        <v/>
      </c>
      <c r="AB125" s="12" t="str">
        <f>IF(XT!$P125=0,Z125,"")</f>
        <v/>
      </c>
      <c r="AC125">
        <f>SUMPRODUCT((MONTH(CHOOSE({1,2,3,4},XT!U125,XT!Y125,XT!AC125,XT!AG125))=8)*(CHOOSE({1,2,3,4},XT!X125,XT!AB125,XT!AF125,XT!AJ125)))</f>
        <v>0</v>
      </c>
      <c r="AD125" t="str">
        <f>IFERROR(INDEX(CHOOSE({1,2,3,4}, DAY(XT!U125), DAY(XT!Y125), DAY(XT!AC125), DAY(XT!AG125)), MATCH(1, INDEX(--(MONTH(CHOOSE({1,2,3,4}, XT!U125,XT!Y125,XT!AC125,XT!AG125))=8), 0), 0)), "")</f>
        <v/>
      </c>
      <c r="AE125" s="12" t="str">
        <f>IF(XT!$P125&gt;0,AD125,"")</f>
        <v/>
      </c>
      <c r="AF125" s="12" t="str">
        <f>IF(XT!$P125=0,AD125,"")</f>
        <v/>
      </c>
      <c r="AG125">
        <f>SUMPRODUCT((MONTH(CHOOSE({1,2,3,4},XT!U125,XT!Y125,XT!AC125,XT!AG125))=9)*(CHOOSE({1,2,3,4},XT!X125,XT!AB125,XT!AF125,XT!AJ125)))</f>
        <v>0</v>
      </c>
      <c r="AH125" t="str">
        <f>IFERROR(INDEX(CHOOSE({1,2,3,4}, DAY(XT!U125), DAY(XT!Y125), DAY(XT!AC125), DAY(XT!AG125)), MATCH(1, INDEX(--(MONTH(CHOOSE({1,2,3,4}, XT!U125,XT!Y125,XT!AC125,XT!AG125))=9), 0), 0)), "")</f>
        <v/>
      </c>
      <c r="AI125" s="12" t="str">
        <f>IF(XT!$P125&gt;0,AH125,"")</f>
        <v/>
      </c>
      <c r="AJ125" s="12" t="str">
        <f>IF(XT!$P125=0,AH125,"")</f>
        <v/>
      </c>
      <c r="AK125">
        <f>SUMPRODUCT((MONTH(CHOOSE({1,2,3,4},XT!U125,XT!Y125,XT!AC125,XT!AG125))=10)*(CHOOSE({1,2,3,4},XT!X125,XT!AB125,XT!AF125,XT!AJ125)))</f>
        <v>0</v>
      </c>
      <c r="AL125" t="str">
        <f>IFERROR(INDEX(CHOOSE({1,2,3,4}, DAY(XT!U125), DAY(XT!Y125), DAY(XT!AC125), DAY(XT!AG125)), MATCH(1, INDEX(--(MONTH(CHOOSE({1,2,3,4}, XT!U125,XT!Y125,XT!AC125,XT!AG125))=10), 0), 0)), "")</f>
        <v/>
      </c>
      <c r="AM125" s="12" t="str">
        <f>IF(XT!$P125&gt;0,AL125,"")</f>
        <v/>
      </c>
      <c r="AN125" s="12" t="str">
        <f>IF(XT!$P125=0,AL125,"")</f>
        <v/>
      </c>
      <c r="AO125">
        <f>SUMPRODUCT((MONTH(CHOOSE({1,2,3,4},XT!U125,XT!Y125,XT!AC125,XT!AG125))=11)*(CHOOSE({1,2,3,4},XT!X125,XT!AB125,XT!AF125,XT!AJ125)))</f>
        <v>0</v>
      </c>
      <c r="AP125" t="str">
        <f>IFERROR(INDEX(CHOOSE({1,2,3,4}, DAY(XT!U125), DAY(XT!Y125), DAY(XT!AC125), DAY(XT!AG125)), MATCH(1, INDEX(--(MONTH(CHOOSE({1,2,3,4}, XT!U125,XT!Y125,XT!AC125,XT!AG125))=11), 0), 0)), "")</f>
        <v/>
      </c>
      <c r="AQ125" s="12" t="str">
        <f>IF(XT!$P125&gt;0,AP125,"")</f>
        <v/>
      </c>
      <c r="AR125" s="12" t="str">
        <f>IF(XT!$P125=0,AP125,"")</f>
        <v/>
      </c>
      <c r="AS125">
        <f>SUMPRODUCT((MONTH(CHOOSE({1,2,3,4},XT!U125,XT!Y125,XT!AC125,XT!AG125))=12)*(CHOOSE({1,2,3,4},XT!X125,XT!AB125,XT!AF125,XT!AJ125)))</f>
        <v>0</v>
      </c>
      <c r="AT125" t="str">
        <f>IFERROR(INDEX(CHOOSE({1,2,3,4}, DAY(XT!U125), DAY(XT!Y125), DAY(XT!AC125), DAY(XT!AG125)), MATCH(1, INDEX(--(MONTH(CHOOSE({1,2,3,4}, XT!U125,XT!Y125,XT!AC125,XT!AG125))=12), 0), 0)), "")</f>
        <v/>
      </c>
      <c r="AU125" s="12" t="str">
        <f>IF(XT!$P125&gt;0,AT125,"")</f>
        <v/>
      </c>
      <c r="AV125" s="12" t="str">
        <f>IF(XT!$P125=0,AT125,"")</f>
        <v/>
      </c>
    </row>
    <row r="126" spans="1:48">
      <c r="A126">
        <f>SUMPRODUCT((MONTH(CHOOSE({1,2,3,4},XT!U126,XT!Y126,XT!AC126,XT!AG126))=1)*(CHOOSE({1,2,3,4},XT!X126,XT!AB126,XT!AF126,XT!AJ126)))</f>
        <v>0</v>
      </c>
      <c r="B126">
        <f>IFERROR(INDEX(CHOOSE({1,2,3,4}, DAY(XT!U126), DAY(XT!Y126), DAY(XT!AC126), DAY(XT!AG126)), MATCH(1, INDEX(--(MONTH(CHOOSE({1,2,3,4}, XT!U126,XT!Y126,XT!AC126,XT!AG126))=1), 0), 0)), "")</f>
        <v>0</v>
      </c>
      <c r="C126" s="12" t="str">
        <f>IF(XT!$P126&gt;0,B126,"")</f>
        <v/>
      </c>
      <c r="D126" s="12">
        <f>IF(XT!$P126=0,B126,"")</f>
        <v>0</v>
      </c>
      <c r="E126">
        <f>SUMPRODUCT((MONTH(CHOOSE({1,2,3,4},XT!U126,XT!Y126,XT!AC126,XT!AG126))=2)*(CHOOSE({1,2,3,4},XT!X126,XT!AB126,XT!AF126,XT!AJ126)))</f>
        <v>0</v>
      </c>
      <c r="F126" t="str">
        <f>IFERROR(INDEX(CHOOSE({1,2,3,4}, DAY(XT!U126), DAY(XT!Y126), DAY(XT!AC126), DAY(XT!AG126)), MATCH(1, INDEX(--(MONTH(CHOOSE({1,2,3,4}, XT!U126,XT!Y126,XT!AC126,XT!AG126))=2), 0), 0)), "")</f>
        <v/>
      </c>
      <c r="G126" s="12" t="str">
        <f>IF(XT!$P126&gt;0,F126,"")</f>
        <v/>
      </c>
      <c r="H126" s="12" t="str">
        <f>IF(XT!$P126=0,F126,"")</f>
        <v/>
      </c>
      <c r="I126">
        <f>SUMPRODUCT((MONTH(CHOOSE({1,2,3,4},XT!U126,XT!Y126,XT!AC126,XT!AG126))=3)*(CHOOSE({1,2,3,4},XT!X126,XT!AB126,XT!AF126,XT!AJ126)))</f>
        <v>0</v>
      </c>
      <c r="J126" t="str">
        <f>IFERROR(INDEX(CHOOSE({1,2,3,4}, DAY(XT!U126), DAY(XT!Y126), DAY(XT!AC126), DAY(XT!AG126)), MATCH(1, INDEX(--(MONTH(CHOOSE({1,2,3,4}, XT!U126,XT!Y126,XT!AC126,XT!AG126))=3), 0), 0)), "")</f>
        <v/>
      </c>
      <c r="K126" s="12" t="str">
        <f>IF(XT!$P126&gt;0,J126,"")</f>
        <v/>
      </c>
      <c r="L126" s="12" t="str">
        <f>IF(XT!$P126=0,J126,"")</f>
        <v/>
      </c>
      <c r="M126">
        <f>SUMPRODUCT((MONTH(CHOOSE({1,2,3,4},XT!U126,XT!Y126,XT!AC126,XT!AG126))=4)*(CHOOSE({1,2,3,4},XT!X126,XT!AB126,XT!AF126,XT!AJ126)))</f>
        <v>0</v>
      </c>
      <c r="N126" t="str">
        <f>IFERROR(INDEX(CHOOSE({1,2,3,4}, DAY(XT!U126), DAY(XT!Y126), DAY(XT!AC126), DAY(XT!AG126)), MATCH(1, INDEX(--(MONTH(CHOOSE({1,2,3,4}, XT!U126,XT!Y126,XT!AC126,XT!AG126))=4), 0), 0)), "")</f>
        <v/>
      </c>
      <c r="O126" s="12" t="str">
        <f>IF(XT!$P126&gt;0,N126,"")</f>
        <v/>
      </c>
      <c r="P126" s="12" t="str">
        <f>IF(XT!$P126=0,N126,"")</f>
        <v/>
      </c>
      <c r="Q126">
        <f>SUMPRODUCT((MONTH(CHOOSE({1,2,3,4},XT!U126,XT!Y126,XT!AC126,XT!AG126))=5)*(CHOOSE({1,2,3,4},XT!X126,XT!AB126,XT!AF126,XT!AJ126)))</f>
        <v>0</v>
      </c>
      <c r="R126" t="str">
        <f>IFERROR(INDEX(CHOOSE({1,2,3,4}, DAY(XT!U126), DAY(XT!Y126), DAY(XT!AC126), DAY(XT!AG126)), MATCH(1, INDEX(--(MONTH(CHOOSE({1,2,3,4}, XT!U126,XT!Y126,XT!AC126,XT!AG126))=5), 0), 0)), "")</f>
        <v/>
      </c>
      <c r="S126" s="12" t="str">
        <f>IF(XT!$P126&gt;0,R126,"")</f>
        <v/>
      </c>
      <c r="T126" s="12" t="str">
        <f>IF(XT!$P126=0,R126,"")</f>
        <v/>
      </c>
      <c r="U126">
        <f>SUMPRODUCT((MONTH(CHOOSE({1,2,3,4},XT!U126,XT!Y126,XT!AC126,XT!AG126))=6)*(CHOOSE({1,2,3,4},XT!X126,XT!AB126,XT!AF126,XT!AJ126)))</f>
        <v>0</v>
      </c>
      <c r="V126" t="str">
        <f>IFERROR(INDEX(CHOOSE({1,2,3,4}, DAY(XT!U126), DAY(XT!Y126), DAY(XT!AC126), DAY(XT!AG126)), MATCH(1, INDEX(--(MONTH(CHOOSE({1,2,3,4}, XT!U126,XT!Y126,XT!AC126,XT!AG126))=6), 0), 0)), "")</f>
        <v/>
      </c>
      <c r="W126" s="12" t="str">
        <f>IF(XT!$P126&gt;0,V126,"")</f>
        <v/>
      </c>
      <c r="X126" s="12" t="str">
        <f>IF(XT!$P126=0,V126,"")</f>
        <v/>
      </c>
      <c r="Y126">
        <f>SUMPRODUCT((MONTH(CHOOSE({1,2,3,4},XT!U126,XT!Y126,XT!AC126,XT!AG126))=7)*(CHOOSE({1,2,3,4},XT!X126,XT!AB126,XT!AF126,XT!AJ126)))</f>
        <v>0</v>
      </c>
      <c r="Z126" t="str">
        <f>IFERROR(INDEX(CHOOSE({1,2,3,4}, DAY(XT!U126), DAY(XT!Y126), DAY(XT!AC126), DAY(XT!AG126)), MATCH(1, INDEX(--(MONTH(CHOOSE({1,2,3,4}, XT!U126,XT!Y126,XT!AC126,XT!AG126))=7), 0), 0)), "")</f>
        <v/>
      </c>
      <c r="AA126" s="12" t="str">
        <f>IF(XT!$P126&gt;0,Z126,"")</f>
        <v/>
      </c>
      <c r="AB126" s="12" t="str">
        <f>IF(XT!$P126=0,Z126,"")</f>
        <v/>
      </c>
      <c r="AC126">
        <f>SUMPRODUCT((MONTH(CHOOSE({1,2,3,4},XT!U126,XT!Y126,XT!AC126,XT!AG126))=8)*(CHOOSE({1,2,3,4},XT!X126,XT!AB126,XT!AF126,XT!AJ126)))</f>
        <v>0</v>
      </c>
      <c r="AD126" t="str">
        <f>IFERROR(INDEX(CHOOSE({1,2,3,4}, DAY(XT!U126), DAY(XT!Y126), DAY(XT!AC126), DAY(XT!AG126)), MATCH(1, INDEX(--(MONTH(CHOOSE({1,2,3,4}, XT!U126,XT!Y126,XT!AC126,XT!AG126))=8), 0), 0)), "")</f>
        <v/>
      </c>
      <c r="AE126" s="12" t="str">
        <f>IF(XT!$P126&gt;0,AD126,"")</f>
        <v/>
      </c>
      <c r="AF126" s="12" t="str">
        <f>IF(XT!$P126=0,AD126,"")</f>
        <v/>
      </c>
      <c r="AG126">
        <f>SUMPRODUCT((MONTH(CHOOSE({1,2,3,4},XT!U126,XT!Y126,XT!AC126,XT!AG126))=9)*(CHOOSE({1,2,3,4},XT!X126,XT!AB126,XT!AF126,XT!AJ126)))</f>
        <v>0</v>
      </c>
      <c r="AH126" t="str">
        <f>IFERROR(INDEX(CHOOSE({1,2,3,4}, DAY(XT!U126), DAY(XT!Y126), DAY(XT!AC126), DAY(XT!AG126)), MATCH(1, INDEX(--(MONTH(CHOOSE({1,2,3,4}, XT!U126,XT!Y126,XT!AC126,XT!AG126))=9), 0), 0)), "")</f>
        <v/>
      </c>
      <c r="AI126" s="12" t="str">
        <f>IF(XT!$P126&gt;0,AH126,"")</f>
        <v/>
      </c>
      <c r="AJ126" s="12" t="str">
        <f>IF(XT!$P126=0,AH126,"")</f>
        <v/>
      </c>
      <c r="AK126">
        <f>SUMPRODUCT((MONTH(CHOOSE({1,2,3,4},XT!U126,XT!Y126,XT!AC126,XT!AG126))=10)*(CHOOSE({1,2,3,4},XT!X126,XT!AB126,XT!AF126,XT!AJ126)))</f>
        <v>0</v>
      </c>
      <c r="AL126" t="str">
        <f>IFERROR(INDEX(CHOOSE({1,2,3,4}, DAY(XT!U126), DAY(XT!Y126), DAY(XT!AC126), DAY(XT!AG126)), MATCH(1, INDEX(--(MONTH(CHOOSE({1,2,3,4}, XT!U126,XT!Y126,XT!AC126,XT!AG126))=10), 0), 0)), "")</f>
        <v/>
      </c>
      <c r="AM126" s="12" t="str">
        <f>IF(XT!$P126&gt;0,AL126,"")</f>
        <v/>
      </c>
      <c r="AN126" s="12" t="str">
        <f>IF(XT!$P126=0,AL126,"")</f>
        <v/>
      </c>
      <c r="AO126">
        <f>SUMPRODUCT((MONTH(CHOOSE({1,2,3,4},XT!U126,XT!Y126,XT!AC126,XT!AG126))=11)*(CHOOSE({1,2,3,4},XT!X126,XT!AB126,XT!AF126,XT!AJ126)))</f>
        <v>0</v>
      </c>
      <c r="AP126" t="str">
        <f>IFERROR(INDEX(CHOOSE({1,2,3,4}, DAY(XT!U126), DAY(XT!Y126), DAY(XT!AC126), DAY(XT!AG126)), MATCH(1, INDEX(--(MONTH(CHOOSE({1,2,3,4}, XT!U126,XT!Y126,XT!AC126,XT!AG126))=11), 0), 0)), "")</f>
        <v/>
      </c>
      <c r="AQ126" s="12" t="str">
        <f>IF(XT!$P126&gt;0,AP126,"")</f>
        <v/>
      </c>
      <c r="AR126" s="12" t="str">
        <f>IF(XT!$P126=0,AP126,"")</f>
        <v/>
      </c>
      <c r="AS126">
        <f>SUMPRODUCT((MONTH(CHOOSE({1,2,3,4},XT!U126,XT!Y126,XT!AC126,XT!AG126))=12)*(CHOOSE({1,2,3,4},XT!X126,XT!AB126,XT!AF126,XT!AJ126)))</f>
        <v>0</v>
      </c>
      <c r="AT126" t="str">
        <f>IFERROR(INDEX(CHOOSE({1,2,3,4}, DAY(XT!U126), DAY(XT!Y126), DAY(XT!AC126), DAY(XT!AG126)), MATCH(1, INDEX(--(MONTH(CHOOSE({1,2,3,4}, XT!U126,XT!Y126,XT!AC126,XT!AG126))=12), 0), 0)), "")</f>
        <v/>
      </c>
      <c r="AU126" s="12" t="str">
        <f>IF(XT!$P126&gt;0,AT126,"")</f>
        <v/>
      </c>
      <c r="AV126" s="12" t="str">
        <f>IF(XT!$P126=0,AT126,"")</f>
        <v/>
      </c>
    </row>
    <row r="127" spans="1:48">
      <c r="A127">
        <f>SUMPRODUCT((MONTH(CHOOSE({1,2,3,4},XT!U127,XT!Y127,XT!AC127,XT!AG127))=1)*(CHOOSE({1,2,3,4},XT!X127,XT!AB127,XT!AF127,XT!AJ127)))</f>
        <v>0</v>
      </c>
      <c r="B127">
        <f>IFERROR(INDEX(CHOOSE({1,2,3,4}, DAY(XT!U127), DAY(XT!Y127), DAY(XT!AC127), DAY(XT!AG127)), MATCH(1, INDEX(--(MONTH(CHOOSE({1,2,3,4}, XT!U127,XT!Y127,XT!AC127,XT!AG127))=1), 0), 0)), "")</f>
        <v>0</v>
      </c>
      <c r="C127" s="12" t="str">
        <f>IF(XT!$P127&gt;0,B127,"")</f>
        <v/>
      </c>
      <c r="D127" s="12">
        <f>IF(XT!$P127=0,B127,"")</f>
        <v>0</v>
      </c>
      <c r="E127">
        <f>SUMPRODUCT((MONTH(CHOOSE({1,2,3,4},XT!U127,XT!Y127,XT!AC127,XT!AG127))=2)*(CHOOSE({1,2,3,4},XT!X127,XT!AB127,XT!AF127,XT!AJ127)))</f>
        <v>0</v>
      </c>
      <c r="F127" t="str">
        <f>IFERROR(INDEX(CHOOSE({1,2,3,4}, DAY(XT!U127), DAY(XT!Y127), DAY(XT!AC127), DAY(XT!AG127)), MATCH(1, INDEX(--(MONTH(CHOOSE({1,2,3,4}, XT!U127,XT!Y127,XT!AC127,XT!AG127))=2), 0), 0)), "")</f>
        <v/>
      </c>
      <c r="G127" s="12" t="str">
        <f>IF(XT!$P127&gt;0,F127,"")</f>
        <v/>
      </c>
      <c r="H127" s="12" t="str">
        <f>IF(XT!$P127=0,F127,"")</f>
        <v/>
      </c>
      <c r="I127">
        <f>SUMPRODUCT((MONTH(CHOOSE({1,2,3,4},XT!U127,XT!Y127,XT!AC127,XT!AG127))=3)*(CHOOSE({1,2,3,4},XT!X127,XT!AB127,XT!AF127,XT!AJ127)))</f>
        <v>0</v>
      </c>
      <c r="J127" t="str">
        <f>IFERROR(INDEX(CHOOSE({1,2,3,4}, DAY(XT!U127), DAY(XT!Y127), DAY(XT!AC127), DAY(XT!AG127)), MATCH(1, INDEX(--(MONTH(CHOOSE({1,2,3,4}, XT!U127,XT!Y127,XT!AC127,XT!AG127))=3), 0), 0)), "")</f>
        <v/>
      </c>
      <c r="K127" s="12" t="str">
        <f>IF(XT!$P127&gt;0,J127,"")</f>
        <v/>
      </c>
      <c r="L127" s="12" t="str">
        <f>IF(XT!$P127=0,J127,"")</f>
        <v/>
      </c>
      <c r="M127">
        <f>SUMPRODUCT((MONTH(CHOOSE({1,2,3,4},XT!U127,XT!Y127,XT!AC127,XT!AG127))=4)*(CHOOSE({1,2,3,4},XT!X127,XT!AB127,XT!AF127,XT!AJ127)))</f>
        <v>0</v>
      </c>
      <c r="N127" t="str">
        <f>IFERROR(INDEX(CHOOSE({1,2,3,4}, DAY(XT!U127), DAY(XT!Y127), DAY(XT!AC127), DAY(XT!AG127)), MATCH(1, INDEX(--(MONTH(CHOOSE({1,2,3,4}, XT!U127,XT!Y127,XT!AC127,XT!AG127))=4), 0), 0)), "")</f>
        <v/>
      </c>
      <c r="O127" s="12" t="str">
        <f>IF(XT!$P127&gt;0,N127,"")</f>
        <v/>
      </c>
      <c r="P127" s="12" t="str">
        <f>IF(XT!$P127=0,N127,"")</f>
        <v/>
      </c>
      <c r="Q127">
        <f>SUMPRODUCT((MONTH(CHOOSE({1,2,3,4},XT!U127,XT!Y127,XT!AC127,XT!AG127))=5)*(CHOOSE({1,2,3,4},XT!X127,XT!AB127,XT!AF127,XT!AJ127)))</f>
        <v>0</v>
      </c>
      <c r="R127" t="str">
        <f>IFERROR(INDEX(CHOOSE({1,2,3,4}, DAY(XT!U127), DAY(XT!Y127), DAY(XT!AC127), DAY(XT!AG127)), MATCH(1, INDEX(--(MONTH(CHOOSE({1,2,3,4}, XT!U127,XT!Y127,XT!AC127,XT!AG127))=5), 0), 0)), "")</f>
        <v/>
      </c>
      <c r="S127" s="12" t="str">
        <f>IF(XT!$P127&gt;0,R127,"")</f>
        <v/>
      </c>
      <c r="T127" s="12" t="str">
        <f>IF(XT!$P127=0,R127,"")</f>
        <v/>
      </c>
      <c r="U127">
        <f>SUMPRODUCT((MONTH(CHOOSE({1,2,3,4},XT!U127,XT!Y127,XT!AC127,XT!AG127))=6)*(CHOOSE({1,2,3,4},XT!X127,XT!AB127,XT!AF127,XT!AJ127)))</f>
        <v>0</v>
      </c>
      <c r="V127" t="str">
        <f>IFERROR(INDEX(CHOOSE({1,2,3,4}, DAY(XT!U127), DAY(XT!Y127), DAY(XT!AC127), DAY(XT!AG127)), MATCH(1, INDEX(--(MONTH(CHOOSE({1,2,3,4}, XT!U127,XT!Y127,XT!AC127,XT!AG127))=6), 0), 0)), "")</f>
        <v/>
      </c>
      <c r="W127" s="12" t="str">
        <f>IF(XT!$P127&gt;0,V127,"")</f>
        <v/>
      </c>
      <c r="X127" s="12" t="str">
        <f>IF(XT!$P127=0,V127,"")</f>
        <v/>
      </c>
      <c r="Y127">
        <f>SUMPRODUCT((MONTH(CHOOSE({1,2,3,4},XT!U127,XT!Y127,XT!AC127,XT!AG127))=7)*(CHOOSE({1,2,3,4},XT!X127,XT!AB127,XT!AF127,XT!AJ127)))</f>
        <v>0</v>
      </c>
      <c r="Z127" t="str">
        <f>IFERROR(INDEX(CHOOSE({1,2,3,4}, DAY(XT!U127), DAY(XT!Y127), DAY(XT!AC127), DAY(XT!AG127)), MATCH(1, INDEX(--(MONTH(CHOOSE({1,2,3,4}, XT!U127,XT!Y127,XT!AC127,XT!AG127))=7), 0), 0)), "")</f>
        <v/>
      </c>
      <c r="AA127" s="12" t="str">
        <f>IF(XT!$P127&gt;0,Z127,"")</f>
        <v/>
      </c>
      <c r="AB127" s="12" t="str">
        <f>IF(XT!$P127=0,Z127,"")</f>
        <v/>
      </c>
      <c r="AC127">
        <f>SUMPRODUCT((MONTH(CHOOSE({1,2,3,4},XT!U127,XT!Y127,XT!AC127,XT!AG127))=8)*(CHOOSE({1,2,3,4},XT!X127,XT!AB127,XT!AF127,XT!AJ127)))</f>
        <v>0</v>
      </c>
      <c r="AD127" t="str">
        <f>IFERROR(INDEX(CHOOSE({1,2,3,4}, DAY(XT!U127), DAY(XT!Y127), DAY(XT!AC127), DAY(XT!AG127)), MATCH(1, INDEX(--(MONTH(CHOOSE({1,2,3,4}, XT!U127,XT!Y127,XT!AC127,XT!AG127))=8), 0), 0)), "")</f>
        <v/>
      </c>
      <c r="AE127" s="12" t="str">
        <f>IF(XT!$P127&gt;0,AD127,"")</f>
        <v/>
      </c>
      <c r="AF127" s="12" t="str">
        <f>IF(XT!$P127=0,AD127,"")</f>
        <v/>
      </c>
      <c r="AG127">
        <f>SUMPRODUCT((MONTH(CHOOSE({1,2,3,4},XT!U127,XT!Y127,XT!AC127,XT!AG127))=9)*(CHOOSE({1,2,3,4},XT!X127,XT!AB127,XT!AF127,XT!AJ127)))</f>
        <v>0</v>
      </c>
      <c r="AH127" t="str">
        <f>IFERROR(INDEX(CHOOSE({1,2,3,4}, DAY(XT!U127), DAY(XT!Y127), DAY(XT!AC127), DAY(XT!AG127)), MATCH(1, INDEX(--(MONTH(CHOOSE({1,2,3,4}, XT!U127,XT!Y127,XT!AC127,XT!AG127))=9), 0), 0)), "")</f>
        <v/>
      </c>
      <c r="AI127" s="12" t="str">
        <f>IF(XT!$P127&gt;0,AH127,"")</f>
        <v/>
      </c>
      <c r="AJ127" s="12" t="str">
        <f>IF(XT!$P127=0,AH127,"")</f>
        <v/>
      </c>
      <c r="AK127">
        <f>SUMPRODUCT((MONTH(CHOOSE({1,2,3,4},XT!U127,XT!Y127,XT!AC127,XT!AG127))=10)*(CHOOSE({1,2,3,4},XT!X127,XT!AB127,XT!AF127,XT!AJ127)))</f>
        <v>0</v>
      </c>
      <c r="AL127" t="str">
        <f>IFERROR(INDEX(CHOOSE({1,2,3,4}, DAY(XT!U127), DAY(XT!Y127), DAY(XT!AC127), DAY(XT!AG127)), MATCH(1, INDEX(--(MONTH(CHOOSE({1,2,3,4}, XT!U127,XT!Y127,XT!AC127,XT!AG127))=10), 0), 0)), "")</f>
        <v/>
      </c>
      <c r="AM127" s="12" t="str">
        <f>IF(XT!$P127&gt;0,AL127,"")</f>
        <v/>
      </c>
      <c r="AN127" s="12" t="str">
        <f>IF(XT!$P127=0,AL127,"")</f>
        <v/>
      </c>
      <c r="AO127">
        <f>SUMPRODUCT((MONTH(CHOOSE({1,2,3,4},XT!U127,XT!Y127,XT!AC127,XT!AG127))=11)*(CHOOSE({1,2,3,4},XT!X127,XT!AB127,XT!AF127,XT!AJ127)))</f>
        <v>0</v>
      </c>
      <c r="AP127" t="str">
        <f>IFERROR(INDEX(CHOOSE({1,2,3,4}, DAY(XT!U127), DAY(XT!Y127), DAY(XT!AC127), DAY(XT!AG127)), MATCH(1, INDEX(--(MONTH(CHOOSE({1,2,3,4}, XT!U127,XT!Y127,XT!AC127,XT!AG127))=11), 0), 0)), "")</f>
        <v/>
      </c>
      <c r="AQ127" s="12" t="str">
        <f>IF(XT!$P127&gt;0,AP127,"")</f>
        <v/>
      </c>
      <c r="AR127" s="12" t="str">
        <f>IF(XT!$P127=0,AP127,"")</f>
        <v/>
      </c>
      <c r="AS127">
        <f>SUMPRODUCT((MONTH(CHOOSE({1,2,3,4},XT!U127,XT!Y127,XT!AC127,XT!AG127))=12)*(CHOOSE({1,2,3,4},XT!X127,XT!AB127,XT!AF127,XT!AJ127)))</f>
        <v>0</v>
      </c>
      <c r="AT127" t="str">
        <f>IFERROR(INDEX(CHOOSE({1,2,3,4}, DAY(XT!U127), DAY(XT!Y127), DAY(XT!AC127), DAY(XT!AG127)), MATCH(1, INDEX(--(MONTH(CHOOSE({1,2,3,4}, XT!U127,XT!Y127,XT!AC127,XT!AG127))=12), 0), 0)), "")</f>
        <v/>
      </c>
      <c r="AU127" s="12" t="str">
        <f>IF(XT!$P127&gt;0,AT127,"")</f>
        <v/>
      </c>
      <c r="AV127" s="12" t="str">
        <f>IF(XT!$P127=0,AT127,"")</f>
        <v/>
      </c>
    </row>
    <row r="128" spans="1:48">
      <c r="A128">
        <f>SUMPRODUCT((MONTH(CHOOSE({1,2,3,4},XT!U128,XT!Y128,XT!AC128,XT!AG128))=1)*(CHOOSE({1,2,3,4},XT!X128,XT!AB128,XT!AF128,XT!AJ128)))</f>
        <v>0</v>
      </c>
      <c r="B128">
        <f>IFERROR(INDEX(CHOOSE({1,2,3,4}, DAY(XT!U128), DAY(XT!Y128), DAY(XT!AC128), DAY(XT!AG128)), MATCH(1, INDEX(--(MONTH(CHOOSE({1,2,3,4}, XT!U128,XT!Y128,XT!AC128,XT!AG128))=1), 0), 0)), "")</f>
        <v>0</v>
      </c>
      <c r="C128" s="12" t="str">
        <f>IF(XT!$P128&gt;0,B128,"")</f>
        <v/>
      </c>
      <c r="D128" s="12">
        <f>IF(XT!$P128=0,B128,"")</f>
        <v>0</v>
      </c>
      <c r="E128">
        <f>SUMPRODUCT((MONTH(CHOOSE({1,2,3,4},XT!U128,XT!Y128,XT!AC128,XT!AG128))=2)*(CHOOSE({1,2,3,4},XT!X128,XT!AB128,XT!AF128,XT!AJ128)))</f>
        <v>0</v>
      </c>
      <c r="F128" t="str">
        <f>IFERROR(INDEX(CHOOSE({1,2,3,4}, DAY(XT!U128), DAY(XT!Y128), DAY(XT!AC128), DAY(XT!AG128)), MATCH(1, INDEX(--(MONTH(CHOOSE({1,2,3,4}, XT!U128,XT!Y128,XT!AC128,XT!AG128))=2), 0), 0)), "")</f>
        <v/>
      </c>
      <c r="G128" s="12" t="str">
        <f>IF(XT!$P128&gt;0,F128,"")</f>
        <v/>
      </c>
      <c r="H128" s="12" t="str">
        <f>IF(XT!$P128=0,F128,"")</f>
        <v/>
      </c>
      <c r="I128">
        <f>SUMPRODUCT((MONTH(CHOOSE({1,2,3,4},XT!U128,XT!Y128,XT!AC128,XT!AG128))=3)*(CHOOSE({1,2,3,4},XT!X128,XT!AB128,XT!AF128,XT!AJ128)))</f>
        <v>0</v>
      </c>
      <c r="J128" t="str">
        <f>IFERROR(INDEX(CHOOSE({1,2,3,4}, DAY(XT!U128), DAY(XT!Y128), DAY(XT!AC128), DAY(XT!AG128)), MATCH(1, INDEX(--(MONTH(CHOOSE({1,2,3,4}, XT!U128,XT!Y128,XT!AC128,XT!AG128))=3), 0), 0)), "")</f>
        <v/>
      </c>
      <c r="K128" s="12" t="str">
        <f>IF(XT!$P128&gt;0,J128,"")</f>
        <v/>
      </c>
      <c r="L128" s="12" t="str">
        <f>IF(XT!$P128=0,J128,"")</f>
        <v/>
      </c>
      <c r="M128">
        <f>SUMPRODUCT((MONTH(CHOOSE({1,2,3,4},XT!U128,XT!Y128,XT!AC128,XT!AG128))=4)*(CHOOSE({1,2,3,4},XT!X128,XT!AB128,XT!AF128,XT!AJ128)))</f>
        <v>0</v>
      </c>
      <c r="N128" t="str">
        <f>IFERROR(INDEX(CHOOSE({1,2,3,4}, DAY(XT!U128), DAY(XT!Y128), DAY(XT!AC128), DAY(XT!AG128)), MATCH(1, INDEX(--(MONTH(CHOOSE({1,2,3,4}, XT!U128,XT!Y128,XT!AC128,XT!AG128))=4), 0), 0)), "")</f>
        <v/>
      </c>
      <c r="O128" s="12" t="str">
        <f>IF(XT!$P128&gt;0,N128,"")</f>
        <v/>
      </c>
      <c r="P128" s="12" t="str">
        <f>IF(XT!$P128=0,N128,"")</f>
        <v/>
      </c>
      <c r="Q128">
        <f>SUMPRODUCT((MONTH(CHOOSE({1,2,3,4},XT!U128,XT!Y128,XT!AC128,XT!AG128))=5)*(CHOOSE({1,2,3,4},XT!X128,XT!AB128,XT!AF128,XT!AJ128)))</f>
        <v>0</v>
      </c>
      <c r="R128" t="str">
        <f>IFERROR(INDEX(CHOOSE({1,2,3,4}, DAY(XT!U128), DAY(XT!Y128), DAY(XT!AC128), DAY(XT!AG128)), MATCH(1, INDEX(--(MONTH(CHOOSE({1,2,3,4}, XT!U128,XT!Y128,XT!AC128,XT!AG128))=5), 0), 0)), "")</f>
        <v/>
      </c>
      <c r="S128" s="12" t="str">
        <f>IF(XT!$P128&gt;0,R128,"")</f>
        <v/>
      </c>
      <c r="T128" s="12" t="str">
        <f>IF(XT!$P128=0,R128,"")</f>
        <v/>
      </c>
      <c r="U128">
        <f>SUMPRODUCT((MONTH(CHOOSE({1,2,3,4},XT!U128,XT!Y128,XT!AC128,XT!AG128))=6)*(CHOOSE({1,2,3,4},XT!X128,XT!AB128,XT!AF128,XT!AJ128)))</f>
        <v>0</v>
      </c>
      <c r="V128" t="str">
        <f>IFERROR(INDEX(CHOOSE({1,2,3,4}, DAY(XT!U128), DAY(XT!Y128), DAY(XT!AC128), DAY(XT!AG128)), MATCH(1, INDEX(--(MONTH(CHOOSE({1,2,3,4}, XT!U128,XT!Y128,XT!AC128,XT!AG128))=6), 0), 0)), "")</f>
        <v/>
      </c>
      <c r="W128" s="12" t="str">
        <f>IF(XT!$P128&gt;0,V128,"")</f>
        <v/>
      </c>
      <c r="X128" s="12" t="str">
        <f>IF(XT!$P128=0,V128,"")</f>
        <v/>
      </c>
      <c r="Y128">
        <f>SUMPRODUCT((MONTH(CHOOSE({1,2,3,4},XT!U128,XT!Y128,XT!AC128,XT!AG128))=7)*(CHOOSE({1,2,3,4},XT!X128,XT!AB128,XT!AF128,XT!AJ128)))</f>
        <v>0</v>
      </c>
      <c r="Z128" t="str">
        <f>IFERROR(INDEX(CHOOSE({1,2,3,4}, DAY(XT!U128), DAY(XT!Y128), DAY(XT!AC128), DAY(XT!AG128)), MATCH(1, INDEX(--(MONTH(CHOOSE({1,2,3,4}, XT!U128,XT!Y128,XT!AC128,XT!AG128))=7), 0), 0)), "")</f>
        <v/>
      </c>
      <c r="AA128" s="12" t="str">
        <f>IF(XT!$P128&gt;0,Z128,"")</f>
        <v/>
      </c>
      <c r="AB128" s="12" t="str">
        <f>IF(XT!$P128=0,Z128,"")</f>
        <v/>
      </c>
      <c r="AC128">
        <f>SUMPRODUCT((MONTH(CHOOSE({1,2,3,4},XT!U128,XT!Y128,XT!AC128,XT!AG128))=8)*(CHOOSE({1,2,3,4},XT!X128,XT!AB128,XT!AF128,XT!AJ128)))</f>
        <v>0</v>
      </c>
      <c r="AD128" t="str">
        <f>IFERROR(INDEX(CHOOSE({1,2,3,4}, DAY(XT!U128), DAY(XT!Y128), DAY(XT!AC128), DAY(XT!AG128)), MATCH(1, INDEX(--(MONTH(CHOOSE({1,2,3,4}, XT!U128,XT!Y128,XT!AC128,XT!AG128))=8), 0), 0)), "")</f>
        <v/>
      </c>
      <c r="AE128" s="12" t="str">
        <f>IF(XT!$P128&gt;0,AD128,"")</f>
        <v/>
      </c>
      <c r="AF128" s="12" t="str">
        <f>IF(XT!$P128=0,AD128,"")</f>
        <v/>
      </c>
      <c r="AG128">
        <f>SUMPRODUCT((MONTH(CHOOSE({1,2,3,4},XT!U128,XT!Y128,XT!AC128,XT!AG128))=9)*(CHOOSE({1,2,3,4},XT!X128,XT!AB128,XT!AF128,XT!AJ128)))</f>
        <v>0</v>
      </c>
      <c r="AH128" t="str">
        <f>IFERROR(INDEX(CHOOSE({1,2,3,4}, DAY(XT!U128), DAY(XT!Y128), DAY(XT!AC128), DAY(XT!AG128)), MATCH(1, INDEX(--(MONTH(CHOOSE({1,2,3,4}, XT!U128,XT!Y128,XT!AC128,XT!AG128))=9), 0), 0)), "")</f>
        <v/>
      </c>
      <c r="AI128" s="12" t="str">
        <f>IF(XT!$P128&gt;0,AH128,"")</f>
        <v/>
      </c>
      <c r="AJ128" s="12" t="str">
        <f>IF(XT!$P128=0,AH128,"")</f>
        <v/>
      </c>
      <c r="AK128">
        <f>SUMPRODUCT((MONTH(CHOOSE({1,2,3,4},XT!U128,XT!Y128,XT!AC128,XT!AG128))=10)*(CHOOSE({1,2,3,4},XT!X128,XT!AB128,XT!AF128,XT!AJ128)))</f>
        <v>0</v>
      </c>
      <c r="AL128" t="str">
        <f>IFERROR(INDEX(CHOOSE({1,2,3,4}, DAY(XT!U128), DAY(XT!Y128), DAY(XT!AC128), DAY(XT!AG128)), MATCH(1, INDEX(--(MONTH(CHOOSE({1,2,3,4}, XT!U128,XT!Y128,XT!AC128,XT!AG128))=10), 0), 0)), "")</f>
        <v/>
      </c>
      <c r="AM128" s="12" t="str">
        <f>IF(XT!$P128&gt;0,AL128,"")</f>
        <v/>
      </c>
      <c r="AN128" s="12" t="str">
        <f>IF(XT!$P128=0,AL128,"")</f>
        <v/>
      </c>
      <c r="AO128">
        <f>SUMPRODUCT((MONTH(CHOOSE({1,2,3,4},XT!U128,XT!Y128,XT!AC128,XT!AG128))=11)*(CHOOSE({1,2,3,4},XT!X128,XT!AB128,XT!AF128,XT!AJ128)))</f>
        <v>0</v>
      </c>
      <c r="AP128" t="str">
        <f>IFERROR(INDEX(CHOOSE({1,2,3,4}, DAY(XT!U128), DAY(XT!Y128), DAY(XT!AC128), DAY(XT!AG128)), MATCH(1, INDEX(--(MONTH(CHOOSE({1,2,3,4}, XT!U128,XT!Y128,XT!AC128,XT!AG128))=11), 0), 0)), "")</f>
        <v/>
      </c>
      <c r="AQ128" s="12" t="str">
        <f>IF(XT!$P128&gt;0,AP128,"")</f>
        <v/>
      </c>
      <c r="AR128" s="12" t="str">
        <f>IF(XT!$P128=0,AP128,"")</f>
        <v/>
      </c>
      <c r="AS128">
        <f>SUMPRODUCT((MONTH(CHOOSE({1,2,3,4},XT!U128,XT!Y128,XT!AC128,XT!AG128))=12)*(CHOOSE({1,2,3,4},XT!X128,XT!AB128,XT!AF128,XT!AJ128)))</f>
        <v>0</v>
      </c>
      <c r="AT128" t="str">
        <f>IFERROR(INDEX(CHOOSE({1,2,3,4}, DAY(XT!U128), DAY(XT!Y128), DAY(XT!AC128), DAY(XT!AG128)), MATCH(1, INDEX(--(MONTH(CHOOSE({1,2,3,4}, XT!U128,XT!Y128,XT!AC128,XT!AG128))=12), 0), 0)), "")</f>
        <v/>
      </c>
      <c r="AU128" s="12" t="str">
        <f>IF(XT!$P128&gt;0,AT128,"")</f>
        <v/>
      </c>
      <c r="AV128" s="12" t="str">
        <f>IF(XT!$P128=0,AT128,"")</f>
        <v/>
      </c>
    </row>
    <row r="129" spans="1:48">
      <c r="A129">
        <f>SUMPRODUCT((MONTH(CHOOSE({1,2,3,4},XT!U129,XT!Y129,XT!AC129,XT!AG129))=1)*(CHOOSE({1,2,3,4},XT!X129,XT!AB129,XT!AF129,XT!AJ129)))</f>
        <v>0</v>
      </c>
      <c r="B129">
        <f>IFERROR(INDEX(CHOOSE({1,2,3,4}, DAY(XT!U129), DAY(XT!Y129), DAY(XT!AC129), DAY(XT!AG129)), MATCH(1, INDEX(--(MONTH(CHOOSE({1,2,3,4}, XT!U129,XT!Y129,XT!AC129,XT!AG129))=1), 0), 0)), "")</f>
        <v>0</v>
      </c>
      <c r="C129" s="12" t="str">
        <f>IF(XT!$P129&gt;0,B129,"")</f>
        <v/>
      </c>
      <c r="D129" s="12">
        <f>IF(XT!$P129=0,B129,"")</f>
        <v>0</v>
      </c>
      <c r="E129">
        <f>SUMPRODUCT((MONTH(CHOOSE({1,2,3,4},XT!U129,XT!Y129,XT!AC129,XT!AG129))=2)*(CHOOSE({1,2,3,4},XT!X129,XT!AB129,XT!AF129,XT!AJ129)))</f>
        <v>0</v>
      </c>
      <c r="F129" t="str">
        <f>IFERROR(INDEX(CHOOSE({1,2,3,4}, DAY(XT!U129), DAY(XT!Y129), DAY(XT!AC129), DAY(XT!AG129)), MATCH(1, INDEX(--(MONTH(CHOOSE({1,2,3,4}, XT!U129,XT!Y129,XT!AC129,XT!AG129))=2), 0), 0)), "")</f>
        <v/>
      </c>
      <c r="G129" s="12" t="str">
        <f>IF(XT!$P129&gt;0,F129,"")</f>
        <v/>
      </c>
      <c r="H129" s="12" t="str">
        <f>IF(XT!$P129=0,F129,"")</f>
        <v/>
      </c>
      <c r="I129">
        <f>SUMPRODUCT((MONTH(CHOOSE({1,2,3,4},XT!U129,XT!Y129,XT!AC129,XT!AG129))=3)*(CHOOSE({1,2,3,4},XT!X129,XT!AB129,XT!AF129,XT!AJ129)))</f>
        <v>0</v>
      </c>
      <c r="J129" t="str">
        <f>IFERROR(INDEX(CHOOSE({1,2,3,4}, DAY(XT!U129), DAY(XT!Y129), DAY(XT!AC129), DAY(XT!AG129)), MATCH(1, INDEX(--(MONTH(CHOOSE({1,2,3,4}, XT!U129,XT!Y129,XT!AC129,XT!AG129))=3), 0), 0)), "")</f>
        <v/>
      </c>
      <c r="K129" s="12" t="str">
        <f>IF(XT!$P129&gt;0,J129,"")</f>
        <v/>
      </c>
      <c r="L129" s="12" t="str">
        <f>IF(XT!$P129=0,J129,"")</f>
        <v/>
      </c>
      <c r="M129">
        <f>SUMPRODUCT((MONTH(CHOOSE({1,2,3,4},XT!U129,XT!Y129,XT!AC129,XT!AG129))=4)*(CHOOSE({1,2,3,4},XT!X129,XT!AB129,XT!AF129,XT!AJ129)))</f>
        <v>0</v>
      </c>
      <c r="N129" t="str">
        <f>IFERROR(INDEX(CHOOSE({1,2,3,4}, DAY(XT!U129), DAY(XT!Y129), DAY(XT!AC129), DAY(XT!AG129)), MATCH(1, INDEX(--(MONTH(CHOOSE({1,2,3,4}, XT!U129,XT!Y129,XT!AC129,XT!AG129))=4), 0), 0)), "")</f>
        <v/>
      </c>
      <c r="O129" s="12" t="str">
        <f>IF(XT!$P129&gt;0,N129,"")</f>
        <v/>
      </c>
      <c r="P129" s="12" t="str">
        <f>IF(XT!$P129=0,N129,"")</f>
        <v/>
      </c>
      <c r="Q129">
        <f>SUMPRODUCT((MONTH(CHOOSE({1,2,3,4},XT!U129,XT!Y129,XT!AC129,XT!AG129))=5)*(CHOOSE({1,2,3,4},XT!X129,XT!AB129,XT!AF129,XT!AJ129)))</f>
        <v>0</v>
      </c>
      <c r="R129" t="str">
        <f>IFERROR(INDEX(CHOOSE({1,2,3,4}, DAY(XT!U129), DAY(XT!Y129), DAY(XT!AC129), DAY(XT!AG129)), MATCH(1, INDEX(--(MONTH(CHOOSE({1,2,3,4}, XT!U129,XT!Y129,XT!AC129,XT!AG129))=5), 0), 0)), "")</f>
        <v/>
      </c>
      <c r="S129" s="12" t="str">
        <f>IF(XT!$P129&gt;0,R129,"")</f>
        <v/>
      </c>
      <c r="T129" s="12" t="str">
        <f>IF(XT!$P129=0,R129,"")</f>
        <v/>
      </c>
      <c r="U129">
        <f>SUMPRODUCT((MONTH(CHOOSE({1,2,3,4},XT!U129,XT!Y129,XT!AC129,XT!AG129))=6)*(CHOOSE({1,2,3,4},XT!X129,XT!AB129,XT!AF129,XT!AJ129)))</f>
        <v>0</v>
      </c>
      <c r="V129" t="str">
        <f>IFERROR(INDEX(CHOOSE({1,2,3,4}, DAY(XT!U129), DAY(XT!Y129), DAY(XT!AC129), DAY(XT!AG129)), MATCH(1, INDEX(--(MONTH(CHOOSE({1,2,3,4}, XT!U129,XT!Y129,XT!AC129,XT!AG129))=6), 0), 0)), "")</f>
        <v/>
      </c>
      <c r="W129" s="12" t="str">
        <f>IF(XT!$P129&gt;0,V129,"")</f>
        <v/>
      </c>
      <c r="X129" s="12" t="str">
        <f>IF(XT!$P129=0,V129,"")</f>
        <v/>
      </c>
      <c r="Y129">
        <f>SUMPRODUCT((MONTH(CHOOSE({1,2,3,4},XT!U129,XT!Y129,XT!AC129,XT!AG129))=7)*(CHOOSE({1,2,3,4},XT!X129,XT!AB129,XT!AF129,XT!AJ129)))</f>
        <v>0</v>
      </c>
      <c r="Z129" t="str">
        <f>IFERROR(INDEX(CHOOSE({1,2,3,4}, DAY(XT!U129), DAY(XT!Y129), DAY(XT!AC129), DAY(XT!AG129)), MATCH(1, INDEX(--(MONTH(CHOOSE({1,2,3,4}, XT!U129,XT!Y129,XT!AC129,XT!AG129))=7), 0), 0)), "")</f>
        <v/>
      </c>
      <c r="AA129" s="12" t="str">
        <f>IF(XT!$P129&gt;0,Z129,"")</f>
        <v/>
      </c>
      <c r="AB129" s="12" t="str">
        <f>IF(XT!$P129=0,Z129,"")</f>
        <v/>
      </c>
      <c r="AC129">
        <f>SUMPRODUCT((MONTH(CHOOSE({1,2,3,4},XT!U129,XT!Y129,XT!AC129,XT!AG129))=8)*(CHOOSE({1,2,3,4},XT!X129,XT!AB129,XT!AF129,XT!AJ129)))</f>
        <v>0</v>
      </c>
      <c r="AD129" t="str">
        <f>IFERROR(INDEX(CHOOSE({1,2,3,4}, DAY(XT!U129), DAY(XT!Y129), DAY(XT!AC129), DAY(XT!AG129)), MATCH(1, INDEX(--(MONTH(CHOOSE({1,2,3,4}, XT!U129,XT!Y129,XT!AC129,XT!AG129))=8), 0), 0)), "")</f>
        <v/>
      </c>
      <c r="AE129" s="12" t="str">
        <f>IF(XT!$P129&gt;0,AD129,"")</f>
        <v/>
      </c>
      <c r="AF129" s="12" t="str">
        <f>IF(XT!$P129=0,AD129,"")</f>
        <v/>
      </c>
      <c r="AG129">
        <f>SUMPRODUCT((MONTH(CHOOSE({1,2,3,4},XT!U129,XT!Y129,XT!AC129,XT!AG129))=9)*(CHOOSE({1,2,3,4},XT!X129,XT!AB129,XT!AF129,XT!AJ129)))</f>
        <v>0</v>
      </c>
      <c r="AH129" t="str">
        <f>IFERROR(INDEX(CHOOSE({1,2,3,4}, DAY(XT!U129), DAY(XT!Y129), DAY(XT!AC129), DAY(XT!AG129)), MATCH(1, INDEX(--(MONTH(CHOOSE({1,2,3,4}, XT!U129,XT!Y129,XT!AC129,XT!AG129))=9), 0), 0)), "")</f>
        <v/>
      </c>
      <c r="AI129" s="12" t="str">
        <f>IF(XT!$P129&gt;0,AH129,"")</f>
        <v/>
      </c>
      <c r="AJ129" s="12" t="str">
        <f>IF(XT!$P129=0,AH129,"")</f>
        <v/>
      </c>
      <c r="AK129">
        <f>SUMPRODUCT((MONTH(CHOOSE({1,2,3,4},XT!U129,XT!Y129,XT!AC129,XT!AG129))=10)*(CHOOSE({1,2,3,4},XT!X129,XT!AB129,XT!AF129,XT!AJ129)))</f>
        <v>0</v>
      </c>
      <c r="AL129" t="str">
        <f>IFERROR(INDEX(CHOOSE({1,2,3,4}, DAY(XT!U129), DAY(XT!Y129), DAY(XT!AC129), DAY(XT!AG129)), MATCH(1, INDEX(--(MONTH(CHOOSE({1,2,3,4}, XT!U129,XT!Y129,XT!AC129,XT!AG129))=10), 0), 0)), "")</f>
        <v/>
      </c>
      <c r="AM129" s="12" t="str">
        <f>IF(XT!$P129&gt;0,AL129,"")</f>
        <v/>
      </c>
      <c r="AN129" s="12" t="str">
        <f>IF(XT!$P129=0,AL129,"")</f>
        <v/>
      </c>
      <c r="AO129">
        <f>SUMPRODUCT((MONTH(CHOOSE({1,2,3,4},XT!U129,XT!Y129,XT!AC129,XT!AG129))=11)*(CHOOSE({1,2,3,4},XT!X129,XT!AB129,XT!AF129,XT!AJ129)))</f>
        <v>0</v>
      </c>
      <c r="AP129" t="str">
        <f>IFERROR(INDEX(CHOOSE({1,2,3,4}, DAY(XT!U129), DAY(XT!Y129), DAY(XT!AC129), DAY(XT!AG129)), MATCH(1, INDEX(--(MONTH(CHOOSE({1,2,3,4}, XT!U129,XT!Y129,XT!AC129,XT!AG129))=11), 0), 0)), "")</f>
        <v/>
      </c>
      <c r="AQ129" s="12" t="str">
        <f>IF(XT!$P129&gt;0,AP129,"")</f>
        <v/>
      </c>
      <c r="AR129" s="12" t="str">
        <f>IF(XT!$P129=0,AP129,"")</f>
        <v/>
      </c>
      <c r="AS129">
        <f>SUMPRODUCT((MONTH(CHOOSE({1,2,3,4},XT!U129,XT!Y129,XT!AC129,XT!AG129))=12)*(CHOOSE({1,2,3,4},XT!X129,XT!AB129,XT!AF129,XT!AJ129)))</f>
        <v>0</v>
      </c>
      <c r="AT129" t="str">
        <f>IFERROR(INDEX(CHOOSE({1,2,3,4}, DAY(XT!U129), DAY(XT!Y129), DAY(XT!AC129), DAY(XT!AG129)), MATCH(1, INDEX(--(MONTH(CHOOSE({1,2,3,4}, XT!U129,XT!Y129,XT!AC129,XT!AG129))=12), 0), 0)), "")</f>
        <v/>
      </c>
      <c r="AU129" s="12" t="str">
        <f>IF(XT!$P129&gt;0,AT129,"")</f>
        <v/>
      </c>
      <c r="AV129" s="12" t="str">
        <f>IF(XT!$P129=0,AT129,"")</f>
        <v/>
      </c>
    </row>
    <row r="130" spans="1:48">
      <c r="A130">
        <f>SUMPRODUCT((MONTH(CHOOSE({1,2,3,4},XT!U130,XT!Y130,XT!AC130,XT!AG130))=1)*(CHOOSE({1,2,3,4},XT!X130,XT!AB130,XT!AF130,XT!AJ130)))</f>
        <v>0</v>
      </c>
      <c r="B130">
        <f>IFERROR(INDEX(CHOOSE({1,2,3,4}, DAY(XT!U130), DAY(XT!Y130), DAY(XT!AC130), DAY(XT!AG130)), MATCH(1, INDEX(--(MONTH(CHOOSE({1,2,3,4}, XT!U130,XT!Y130,XT!AC130,XT!AG130))=1), 0), 0)), "")</f>
        <v>0</v>
      </c>
      <c r="C130" s="12" t="str">
        <f>IF(XT!$P130&gt;0,B130,"")</f>
        <v/>
      </c>
      <c r="D130" s="12">
        <f>IF(XT!$P130=0,B130,"")</f>
        <v>0</v>
      </c>
      <c r="E130">
        <f>SUMPRODUCT((MONTH(CHOOSE({1,2,3,4},XT!U130,XT!Y130,XT!AC130,XT!AG130))=2)*(CHOOSE({1,2,3,4},XT!X130,XT!AB130,XT!AF130,XT!AJ130)))</f>
        <v>0</v>
      </c>
      <c r="F130" t="str">
        <f>IFERROR(INDEX(CHOOSE({1,2,3,4}, DAY(XT!U130), DAY(XT!Y130), DAY(XT!AC130), DAY(XT!AG130)), MATCH(1, INDEX(--(MONTH(CHOOSE({1,2,3,4}, XT!U130,XT!Y130,XT!AC130,XT!AG130))=2), 0), 0)), "")</f>
        <v/>
      </c>
      <c r="G130" s="12" t="str">
        <f>IF(XT!$P130&gt;0,F130,"")</f>
        <v/>
      </c>
      <c r="H130" s="12" t="str">
        <f>IF(XT!$P130=0,F130,"")</f>
        <v/>
      </c>
      <c r="I130">
        <f>SUMPRODUCT((MONTH(CHOOSE({1,2,3,4},XT!U130,XT!Y130,XT!AC130,XT!AG130))=3)*(CHOOSE({1,2,3,4},XT!X130,XT!AB130,XT!AF130,XT!AJ130)))</f>
        <v>0</v>
      </c>
      <c r="J130" t="str">
        <f>IFERROR(INDEX(CHOOSE({1,2,3,4}, DAY(XT!U130), DAY(XT!Y130), DAY(XT!AC130), DAY(XT!AG130)), MATCH(1, INDEX(--(MONTH(CHOOSE({1,2,3,4}, XT!U130,XT!Y130,XT!AC130,XT!AG130))=3), 0), 0)), "")</f>
        <v/>
      </c>
      <c r="K130" s="12" t="str">
        <f>IF(XT!$P130&gt;0,J130,"")</f>
        <v/>
      </c>
      <c r="L130" s="12" t="str">
        <f>IF(XT!$P130=0,J130,"")</f>
        <v/>
      </c>
      <c r="M130">
        <f>SUMPRODUCT((MONTH(CHOOSE({1,2,3,4},XT!U130,XT!Y130,XT!AC130,XT!AG130))=4)*(CHOOSE({1,2,3,4},XT!X130,XT!AB130,XT!AF130,XT!AJ130)))</f>
        <v>0</v>
      </c>
      <c r="N130" t="str">
        <f>IFERROR(INDEX(CHOOSE({1,2,3,4}, DAY(XT!U130), DAY(XT!Y130), DAY(XT!AC130), DAY(XT!AG130)), MATCH(1, INDEX(--(MONTH(CHOOSE({1,2,3,4}, XT!U130,XT!Y130,XT!AC130,XT!AG130))=4), 0), 0)), "")</f>
        <v/>
      </c>
      <c r="O130" s="12" t="str">
        <f>IF(XT!$P130&gt;0,N130,"")</f>
        <v/>
      </c>
      <c r="P130" s="12" t="str">
        <f>IF(XT!$P130=0,N130,"")</f>
        <v/>
      </c>
      <c r="Q130">
        <f>SUMPRODUCT((MONTH(CHOOSE({1,2,3,4},XT!U130,XT!Y130,XT!AC130,XT!AG130))=5)*(CHOOSE({1,2,3,4},XT!X130,XT!AB130,XT!AF130,XT!AJ130)))</f>
        <v>0</v>
      </c>
      <c r="R130" t="str">
        <f>IFERROR(INDEX(CHOOSE({1,2,3,4}, DAY(XT!U130), DAY(XT!Y130), DAY(XT!AC130), DAY(XT!AG130)), MATCH(1, INDEX(--(MONTH(CHOOSE({1,2,3,4}, XT!U130,XT!Y130,XT!AC130,XT!AG130))=5), 0), 0)), "")</f>
        <v/>
      </c>
      <c r="S130" s="12" t="str">
        <f>IF(XT!$P130&gt;0,R130,"")</f>
        <v/>
      </c>
      <c r="T130" s="12" t="str">
        <f>IF(XT!$P130=0,R130,"")</f>
        <v/>
      </c>
      <c r="U130">
        <f>SUMPRODUCT((MONTH(CHOOSE({1,2,3,4},XT!U130,XT!Y130,XT!AC130,XT!AG130))=6)*(CHOOSE({1,2,3,4},XT!X130,XT!AB130,XT!AF130,XT!AJ130)))</f>
        <v>0</v>
      </c>
      <c r="V130" t="str">
        <f>IFERROR(INDEX(CHOOSE({1,2,3,4}, DAY(XT!U130), DAY(XT!Y130), DAY(XT!AC130), DAY(XT!AG130)), MATCH(1, INDEX(--(MONTH(CHOOSE({1,2,3,4}, XT!U130,XT!Y130,XT!AC130,XT!AG130))=6), 0), 0)), "")</f>
        <v/>
      </c>
      <c r="W130" s="12" t="str">
        <f>IF(XT!$P130&gt;0,V130,"")</f>
        <v/>
      </c>
      <c r="X130" s="12" t="str">
        <f>IF(XT!$P130=0,V130,"")</f>
        <v/>
      </c>
      <c r="Y130">
        <f>SUMPRODUCT((MONTH(CHOOSE({1,2,3,4},XT!U130,XT!Y130,XT!AC130,XT!AG130))=7)*(CHOOSE({1,2,3,4},XT!X130,XT!AB130,XT!AF130,XT!AJ130)))</f>
        <v>0</v>
      </c>
      <c r="Z130" t="str">
        <f>IFERROR(INDEX(CHOOSE({1,2,3,4}, DAY(XT!U130), DAY(XT!Y130), DAY(XT!AC130), DAY(XT!AG130)), MATCH(1, INDEX(--(MONTH(CHOOSE({1,2,3,4}, XT!U130,XT!Y130,XT!AC130,XT!AG130))=7), 0), 0)), "")</f>
        <v/>
      </c>
      <c r="AA130" s="12" t="str">
        <f>IF(XT!$P130&gt;0,Z130,"")</f>
        <v/>
      </c>
      <c r="AB130" s="12" t="str">
        <f>IF(XT!$P130=0,Z130,"")</f>
        <v/>
      </c>
      <c r="AC130">
        <f>SUMPRODUCT((MONTH(CHOOSE({1,2,3,4},XT!U130,XT!Y130,XT!AC130,XT!AG130))=8)*(CHOOSE({1,2,3,4},XT!X130,XT!AB130,XT!AF130,XT!AJ130)))</f>
        <v>0</v>
      </c>
      <c r="AD130" t="str">
        <f>IFERROR(INDEX(CHOOSE({1,2,3,4}, DAY(XT!U130), DAY(XT!Y130), DAY(XT!AC130), DAY(XT!AG130)), MATCH(1, INDEX(--(MONTH(CHOOSE({1,2,3,4}, XT!U130,XT!Y130,XT!AC130,XT!AG130))=8), 0), 0)), "")</f>
        <v/>
      </c>
      <c r="AE130" s="12" t="str">
        <f>IF(XT!$P130&gt;0,AD130,"")</f>
        <v/>
      </c>
      <c r="AF130" s="12" t="str">
        <f>IF(XT!$P130=0,AD130,"")</f>
        <v/>
      </c>
      <c r="AG130">
        <f>SUMPRODUCT((MONTH(CHOOSE({1,2,3,4},XT!U130,XT!Y130,XT!AC130,XT!AG130))=9)*(CHOOSE({1,2,3,4},XT!X130,XT!AB130,XT!AF130,XT!AJ130)))</f>
        <v>0</v>
      </c>
      <c r="AH130" t="str">
        <f>IFERROR(INDEX(CHOOSE({1,2,3,4}, DAY(XT!U130), DAY(XT!Y130), DAY(XT!AC130), DAY(XT!AG130)), MATCH(1, INDEX(--(MONTH(CHOOSE({1,2,3,4}, XT!U130,XT!Y130,XT!AC130,XT!AG130))=9), 0), 0)), "")</f>
        <v/>
      </c>
      <c r="AI130" s="12" t="str">
        <f>IF(XT!$P130&gt;0,AH130,"")</f>
        <v/>
      </c>
      <c r="AJ130" s="12" t="str">
        <f>IF(XT!$P130=0,AH130,"")</f>
        <v/>
      </c>
      <c r="AK130">
        <f>SUMPRODUCT((MONTH(CHOOSE({1,2,3,4},XT!U130,XT!Y130,XT!AC130,XT!AG130))=10)*(CHOOSE({1,2,3,4},XT!X130,XT!AB130,XT!AF130,XT!AJ130)))</f>
        <v>0</v>
      </c>
      <c r="AL130" t="str">
        <f>IFERROR(INDEX(CHOOSE({1,2,3,4}, DAY(XT!U130), DAY(XT!Y130), DAY(XT!AC130), DAY(XT!AG130)), MATCH(1, INDEX(--(MONTH(CHOOSE({1,2,3,4}, XT!U130,XT!Y130,XT!AC130,XT!AG130))=10), 0), 0)), "")</f>
        <v/>
      </c>
      <c r="AM130" s="12" t="str">
        <f>IF(XT!$P130&gt;0,AL130,"")</f>
        <v/>
      </c>
      <c r="AN130" s="12" t="str">
        <f>IF(XT!$P130=0,AL130,"")</f>
        <v/>
      </c>
      <c r="AO130">
        <f>SUMPRODUCT((MONTH(CHOOSE({1,2,3,4},XT!U130,XT!Y130,XT!AC130,XT!AG130))=11)*(CHOOSE({1,2,3,4},XT!X130,XT!AB130,XT!AF130,XT!AJ130)))</f>
        <v>0</v>
      </c>
      <c r="AP130" t="str">
        <f>IFERROR(INDEX(CHOOSE({1,2,3,4}, DAY(XT!U130), DAY(XT!Y130), DAY(XT!AC130), DAY(XT!AG130)), MATCH(1, INDEX(--(MONTH(CHOOSE({1,2,3,4}, XT!U130,XT!Y130,XT!AC130,XT!AG130))=11), 0), 0)), "")</f>
        <v/>
      </c>
      <c r="AQ130" s="12" t="str">
        <f>IF(XT!$P130&gt;0,AP130,"")</f>
        <v/>
      </c>
      <c r="AR130" s="12" t="str">
        <f>IF(XT!$P130=0,AP130,"")</f>
        <v/>
      </c>
      <c r="AS130">
        <f>SUMPRODUCT((MONTH(CHOOSE({1,2,3,4},XT!U130,XT!Y130,XT!AC130,XT!AG130))=12)*(CHOOSE({1,2,3,4},XT!X130,XT!AB130,XT!AF130,XT!AJ130)))</f>
        <v>0</v>
      </c>
      <c r="AT130" t="str">
        <f>IFERROR(INDEX(CHOOSE({1,2,3,4}, DAY(XT!U130), DAY(XT!Y130), DAY(XT!AC130), DAY(XT!AG130)), MATCH(1, INDEX(--(MONTH(CHOOSE({1,2,3,4}, XT!U130,XT!Y130,XT!AC130,XT!AG130))=12), 0), 0)), "")</f>
        <v/>
      </c>
      <c r="AU130" s="12" t="str">
        <f>IF(XT!$P130&gt;0,AT130,"")</f>
        <v/>
      </c>
      <c r="AV130" s="12" t="str">
        <f>IF(XT!$P130=0,AT130,"")</f>
        <v/>
      </c>
    </row>
    <row r="131" spans="1:48">
      <c r="A131">
        <f>SUMPRODUCT((MONTH(CHOOSE({1,2,3,4},XT!U131,XT!Y131,XT!AC131,XT!AG131))=1)*(CHOOSE({1,2,3,4},XT!X131,XT!AB131,XT!AF131,XT!AJ131)))</f>
        <v>0</v>
      </c>
      <c r="B131">
        <f>IFERROR(INDEX(CHOOSE({1,2,3,4}, DAY(XT!U131), DAY(XT!Y131), DAY(XT!AC131), DAY(XT!AG131)), MATCH(1, INDEX(--(MONTH(CHOOSE({1,2,3,4}, XT!U131,XT!Y131,XT!AC131,XT!AG131))=1), 0), 0)), "")</f>
        <v>0</v>
      </c>
      <c r="C131" s="12" t="str">
        <f>IF(XT!$P131&gt;0,B131,"")</f>
        <v/>
      </c>
      <c r="D131" s="12">
        <f>IF(XT!$P131=0,B131,"")</f>
        <v>0</v>
      </c>
      <c r="E131">
        <f>SUMPRODUCT((MONTH(CHOOSE({1,2,3,4},XT!U131,XT!Y131,XT!AC131,XT!AG131))=2)*(CHOOSE({1,2,3,4},XT!X131,XT!AB131,XT!AF131,XT!AJ131)))</f>
        <v>0</v>
      </c>
      <c r="F131" t="str">
        <f>IFERROR(INDEX(CHOOSE({1,2,3,4}, DAY(XT!U131), DAY(XT!Y131), DAY(XT!AC131), DAY(XT!AG131)), MATCH(1, INDEX(--(MONTH(CHOOSE({1,2,3,4}, XT!U131,XT!Y131,XT!AC131,XT!AG131))=2), 0), 0)), "")</f>
        <v/>
      </c>
      <c r="G131" s="12" t="str">
        <f>IF(XT!$P131&gt;0,F131,"")</f>
        <v/>
      </c>
      <c r="H131" s="12" t="str">
        <f>IF(XT!$P131=0,F131,"")</f>
        <v/>
      </c>
      <c r="I131">
        <f>SUMPRODUCT((MONTH(CHOOSE({1,2,3,4},XT!U131,XT!Y131,XT!AC131,XT!AG131))=3)*(CHOOSE({1,2,3,4},XT!X131,XT!AB131,XT!AF131,XT!AJ131)))</f>
        <v>0</v>
      </c>
      <c r="J131" t="str">
        <f>IFERROR(INDEX(CHOOSE({1,2,3,4}, DAY(XT!U131), DAY(XT!Y131), DAY(XT!AC131), DAY(XT!AG131)), MATCH(1, INDEX(--(MONTH(CHOOSE({1,2,3,4}, XT!U131,XT!Y131,XT!AC131,XT!AG131))=3), 0), 0)), "")</f>
        <v/>
      </c>
      <c r="K131" s="12" t="str">
        <f>IF(XT!$P131&gt;0,J131,"")</f>
        <v/>
      </c>
      <c r="L131" s="12" t="str">
        <f>IF(XT!$P131=0,J131,"")</f>
        <v/>
      </c>
      <c r="M131">
        <f>SUMPRODUCT((MONTH(CHOOSE({1,2,3,4},XT!U131,XT!Y131,XT!AC131,XT!AG131))=4)*(CHOOSE({1,2,3,4},XT!X131,XT!AB131,XT!AF131,XT!AJ131)))</f>
        <v>0</v>
      </c>
      <c r="N131" t="str">
        <f>IFERROR(INDEX(CHOOSE({1,2,3,4}, DAY(XT!U131), DAY(XT!Y131), DAY(XT!AC131), DAY(XT!AG131)), MATCH(1, INDEX(--(MONTH(CHOOSE({1,2,3,4}, XT!U131,XT!Y131,XT!AC131,XT!AG131))=4), 0), 0)), "")</f>
        <v/>
      </c>
      <c r="O131" s="12" t="str">
        <f>IF(XT!$P131&gt;0,N131,"")</f>
        <v/>
      </c>
      <c r="P131" s="12" t="str">
        <f>IF(XT!$P131=0,N131,"")</f>
        <v/>
      </c>
      <c r="Q131">
        <f>SUMPRODUCT((MONTH(CHOOSE({1,2,3,4},XT!U131,XT!Y131,XT!AC131,XT!AG131))=5)*(CHOOSE({1,2,3,4},XT!X131,XT!AB131,XT!AF131,XT!AJ131)))</f>
        <v>0</v>
      </c>
      <c r="R131" t="str">
        <f>IFERROR(INDEX(CHOOSE({1,2,3,4}, DAY(XT!U131), DAY(XT!Y131), DAY(XT!AC131), DAY(XT!AG131)), MATCH(1, INDEX(--(MONTH(CHOOSE({1,2,3,4}, XT!U131,XT!Y131,XT!AC131,XT!AG131))=5), 0), 0)), "")</f>
        <v/>
      </c>
      <c r="S131" s="12" t="str">
        <f>IF(XT!$P131&gt;0,R131,"")</f>
        <v/>
      </c>
      <c r="T131" s="12" t="str">
        <f>IF(XT!$P131=0,R131,"")</f>
        <v/>
      </c>
      <c r="U131">
        <f>SUMPRODUCT((MONTH(CHOOSE({1,2,3,4},XT!U131,XT!Y131,XT!AC131,XT!AG131))=6)*(CHOOSE({1,2,3,4},XT!X131,XT!AB131,XT!AF131,XT!AJ131)))</f>
        <v>0</v>
      </c>
      <c r="V131" t="str">
        <f>IFERROR(INDEX(CHOOSE({1,2,3,4}, DAY(XT!U131), DAY(XT!Y131), DAY(XT!AC131), DAY(XT!AG131)), MATCH(1, INDEX(--(MONTH(CHOOSE({1,2,3,4}, XT!U131,XT!Y131,XT!AC131,XT!AG131))=6), 0), 0)), "")</f>
        <v/>
      </c>
      <c r="W131" s="12" t="str">
        <f>IF(XT!$P131&gt;0,V131,"")</f>
        <v/>
      </c>
      <c r="X131" s="12" t="str">
        <f>IF(XT!$P131=0,V131,"")</f>
        <v/>
      </c>
      <c r="Y131">
        <f>SUMPRODUCT((MONTH(CHOOSE({1,2,3,4},XT!U131,XT!Y131,XT!AC131,XT!AG131))=7)*(CHOOSE({1,2,3,4},XT!X131,XT!AB131,XT!AF131,XT!AJ131)))</f>
        <v>0</v>
      </c>
      <c r="Z131" t="str">
        <f>IFERROR(INDEX(CHOOSE({1,2,3,4}, DAY(XT!U131), DAY(XT!Y131), DAY(XT!AC131), DAY(XT!AG131)), MATCH(1, INDEX(--(MONTH(CHOOSE({1,2,3,4}, XT!U131,XT!Y131,XT!AC131,XT!AG131))=7), 0), 0)), "")</f>
        <v/>
      </c>
      <c r="AA131" s="12" t="str">
        <f>IF(XT!$P131&gt;0,Z131,"")</f>
        <v/>
      </c>
      <c r="AB131" s="12" t="str">
        <f>IF(XT!$P131=0,Z131,"")</f>
        <v/>
      </c>
      <c r="AC131">
        <f>SUMPRODUCT((MONTH(CHOOSE({1,2,3,4},XT!U131,XT!Y131,XT!AC131,XT!AG131))=8)*(CHOOSE({1,2,3,4},XT!X131,XT!AB131,XT!AF131,XT!AJ131)))</f>
        <v>0</v>
      </c>
      <c r="AD131" t="str">
        <f>IFERROR(INDEX(CHOOSE({1,2,3,4}, DAY(XT!U131), DAY(XT!Y131), DAY(XT!AC131), DAY(XT!AG131)), MATCH(1, INDEX(--(MONTH(CHOOSE({1,2,3,4}, XT!U131,XT!Y131,XT!AC131,XT!AG131))=8), 0), 0)), "")</f>
        <v/>
      </c>
      <c r="AE131" s="12" t="str">
        <f>IF(XT!$P131&gt;0,AD131,"")</f>
        <v/>
      </c>
      <c r="AF131" s="12" t="str">
        <f>IF(XT!$P131=0,AD131,"")</f>
        <v/>
      </c>
      <c r="AG131">
        <f>SUMPRODUCT((MONTH(CHOOSE({1,2,3,4},XT!U131,XT!Y131,XT!AC131,XT!AG131))=9)*(CHOOSE({1,2,3,4},XT!X131,XT!AB131,XT!AF131,XT!AJ131)))</f>
        <v>0</v>
      </c>
      <c r="AH131" t="str">
        <f>IFERROR(INDEX(CHOOSE({1,2,3,4}, DAY(XT!U131), DAY(XT!Y131), DAY(XT!AC131), DAY(XT!AG131)), MATCH(1, INDEX(--(MONTH(CHOOSE({1,2,3,4}, XT!U131,XT!Y131,XT!AC131,XT!AG131))=9), 0), 0)), "")</f>
        <v/>
      </c>
      <c r="AI131" s="12" t="str">
        <f>IF(XT!$P131&gt;0,AH131,"")</f>
        <v/>
      </c>
      <c r="AJ131" s="12" t="str">
        <f>IF(XT!$P131=0,AH131,"")</f>
        <v/>
      </c>
      <c r="AK131">
        <f>SUMPRODUCT((MONTH(CHOOSE({1,2,3,4},XT!U131,XT!Y131,XT!AC131,XT!AG131))=10)*(CHOOSE({1,2,3,4},XT!X131,XT!AB131,XT!AF131,XT!AJ131)))</f>
        <v>0</v>
      </c>
      <c r="AL131" t="str">
        <f>IFERROR(INDEX(CHOOSE({1,2,3,4}, DAY(XT!U131), DAY(XT!Y131), DAY(XT!AC131), DAY(XT!AG131)), MATCH(1, INDEX(--(MONTH(CHOOSE({1,2,3,4}, XT!U131,XT!Y131,XT!AC131,XT!AG131))=10), 0), 0)), "")</f>
        <v/>
      </c>
      <c r="AM131" s="12" t="str">
        <f>IF(XT!$P131&gt;0,AL131,"")</f>
        <v/>
      </c>
      <c r="AN131" s="12" t="str">
        <f>IF(XT!$P131=0,AL131,"")</f>
        <v/>
      </c>
      <c r="AO131">
        <f>SUMPRODUCT((MONTH(CHOOSE({1,2,3,4},XT!U131,XT!Y131,XT!AC131,XT!AG131))=11)*(CHOOSE({1,2,3,4},XT!X131,XT!AB131,XT!AF131,XT!AJ131)))</f>
        <v>0</v>
      </c>
      <c r="AP131" t="str">
        <f>IFERROR(INDEX(CHOOSE({1,2,3,4}, DAY(XT!U131), DAY(XT!Y131), DAY(XT!AC131), DAY(XT!AG131)), MATCH(1, INDEX(--(MONTH(CHOOSE({1,2,3,4}, XT!U131,XT!Y131,XT!AC131,XT!AG131))=11), 0), 0)), "")</f>
        <v/>
      </c>
      <c r="AQ131" s="12" t="str">
        <f>IF(XT!$P131&gt;0,AP131,"")</f>
        <v/>
      </c>
      <c r="AR131" s="12" t="str">
        <f>IF(XT!$P131=0,AP131,"")</f>
        <v/>
      </c>
      <c r="AS131">
        <f>SUMPRODUCT((MONTH(CHOOSE({1,2,3,4},XT!U131,XT!Y131,XT!AC131,XT!AG131))=12)*(CHOOSE({1,2,3,4},XT!X131,XT!AB131,XT!AF131,XT!AJ131)))</f>
        <v>0</v>
      </c>
      <c r="AT131" t="str">
        <f>IFERROR(INDEX(CHOOSE({1,2,3,4}, DAY(XT!U131), DAY(XT!Y131), DAY(XT!AC131), DAY(XT!AG131)), MATCH(1, INDEX(--(MONTH(CHOOSE({1,2,3,4}, XT!U131,XT!Y131,XT!AC131,XT!AG131))=12), 0), 0)), "")</f>
        <v/>
      </c>
      <c r="AU131" s="12" t="str">
        <f>IF(XT!$P131&gt;0,AT131,"")</f>
        <v/>
      </c>
      <c r="AV131" s="12" t="str">
        <f>IF(XT!$P131=0,AT131,"")</f>
        <v/>
      </c>
    </row>
    <row r="132" spans="1:48">
      <c r="A132">
        <f>SUMPRODUCT((MONTH(CHOOSE({1,2,3,4},XT!U132,XT!Y132,XT!AC132,XT!AG132))=1)*(CHOOSE({1,2,3,4},XT!X132,XT!AB132,XT!AF132,XT!AJ132)))</f>
        <v>0</v>
      </c>
      <c r="B132">
        <f>IFERROR(INDEX(CHOOSE({1,2,3,4}, DAY(XT!U132), DAY(XT!Y132), DAY(XT!AC132), DAY(XT!AG132)), MATCH(1, INDEX(--(MONTH(CHOOSE({1,2,3,4}, XT!U132,XT!Y132,XT!AC132,XT!AG132))=1), 0), 0)), "")</f>
        <v>0</v>
      </c>
      <c r="C132" s="12" t="str">
        <f>IF(XT!$P132&gt;0,B132,"")</f>
        <v/>
      </c>
      <c r="D132" s="12">
        <f>IF(XT!$P132=0,B132,"")</f>
        <v>0</v>
      </c>
      <c r="E132">
        <f>SUMPRODUCT((MONTH(CHOOSE({1,2,3,4},XT!U132,XT!Y132,XT!AC132,XT!AG132))=2)*(CHOOSE({1,2,3,4},XT!X132,XT!AB132,XT!AF132,XT!AJ132)))</f>
        <v>0</v>
      </c>
      <c r="F132" t="str">
        <f>IFERROR(INDEX(CHOOSE({1,2,3,4}, DAY(XT!U132), DAY(XT!Y132), DAY(XT!AC132), DAY(XT!AG132)), MATCH(1, INDEX(--(MONTH(CHOOSE({1,2,3,4}, XT!U132,XT!Y132,XT!AC132,XT!AG132))=2), 0), 0)), "")</f>
        <v/>
      </c>
      <c r="G132" s="12" t="str">
        <f>IF(XT!$P132&gt;0,F132,"")</f>
        <v/>
      </c>
      <c r="H132" s="12" t="str">
        <f>IF(XT!$P132=0,F132,"")</f>
        <v/>
      </c>
      <c r="I132">
        <f>SUMPRODUCT((MONTH(CHOOSE({1,2,3,4},XT!U132,XT!Y132,XT!AC132,XT!AG132))=3)*(CHOOSE({1,2,3,4},XT!X132,XT!AB132,XT!AF132,XT!AJ132)))</f>
        <v>0</v>
      </c>
      <c r="J132" t="str">
        <f>IFERROR(INDEX(CHOOSE({1,2,3,4}, DAY(XT!U132), DAY(XT!Y132), DAY(XT!AC132), DAY(XT!AG132)), MATCH(1, INDEX(--(MONTH(CHOOSE({1,2,3,4}, XT!U132,XT!Y132,XT!AC132,XT!AG132))=3), 0), 0)), "")</f>
        <v/>
      </c>
      <c r="K132" s="12" t="str">
        <f>IF(XT!$P132&gt;0,J132,"")</f>
        <v/>
      </c>
      <c r="L132" s="12" t="str">
        <f>IF(XT!$P132=0,J132,"")</f>
        <v/>
      </c>
      <c r="M132">
        <f>SUMPRODUCT((MONTH(CHOOSE({1,2,3,4},XT!U132,XT!Y132,XT!AC132,XT!AG132))=4)*(CHOOSE({1,2,3,4},XT!X132,XT!AB132,XT!AF132,XT!AJ132)))</f>
        <v>0</v>
      </c>
      <c r="N132" t="str">
        <f>IFERROR(INDEX(CHOOSE({1,2,3,4}, DAY(XT!U132), DAY(XT!Y132), DAY(XT!AC132), DAY(XT!AG132)), MATCH(1, INDEX(--(MONTH(CHOOSE({1,2,3,4}, XT!U132,XT!Y132,XT!AC132,XT!AG132))=4), 0), 0)), "")</f>
        <v/>
      </c>
      <c r="O132" s="12" t="str">
        <f>IF(XT!$P132&gt;0,N132,"")</f>
        <v/>
      </c>
      <c r="P132" s="12" t="str">
        <f>IF(XT!$P132=0,N132,"")</f>
        <v/>
      </c>
      <c r="Q132">
        <f>SUMPRODUCT((MONTH(CHOOSE({1,2,3,4},XT!U132,XT!Y132,XT!AC132,XT!AG132))=5)*(CHOOSE({1,2,3,4},XT!X132,XT!AB132,XT!AF132,XT!AJ132)))</f>
        <v>0</v>
      </c>
      <c r="R132" t="str">
        <f>IFERROR(INDEX(CHOOSE({1,2,3,4}, DAY(XT!U132), DAY(XT!Y132), DAY(XT!AC132), DAY(XT!AG132)), MATCH(1, INDEX(--(MONTH(CHOOSE({1,2,3,4}, XT!U132,XT!Y132,XT!AC132,XT!AG132))=5), 0), 0)), "")</f>
        <v/>
      </c>
      <c r="S132" s="12" t="str">
        <f>IF(XT!$P132&gt;0,R132,"")</f>
        <v/>
      </c>
      <c r="T132" s="12" t="str">
        <f>IF(XT!$P132=0,R132,"")</f>
        <v/>
      </c>
      <c r="U132">
        <f>SUMPRODUCT((MONTH(CHOOSE({1,2,3,4},XT!U132,XT!Y132,XT!AC132,XT!AG132))=6)*(CHOOSE({1,2,3,4},XT!X132,XT!AB132,XT!AF132,XT!AJ132)))</f>
        <v>0</v>
      </c>
      <c r="V132" t="str">
        <f>IFERROR(INDEX(CHOOSE({1,2,3,4}, DAY(XT!U132), DAY(XT!Y132), DAY(XT!AC132), DAY(XT!AG132)), MATCH(1, INDEX(--(MONTH(CHOOSE({1,2,3,4}, XT!U132,XT!Y132,XT!AC132,XT!AG132))=6), 0), 0)), "")</f>
        <v/>
      </c>
      <c r="W132" s="12" t="str">
        <f>IF(XT!$P132&gt;0,V132,"")</f>
        <v/>
      </c>
      <c r="X132" s="12" t="str">
        <f>IF(XT!$P132=0,V132,"")</f>
        <v/>
      </c>
      <c r="Y132">
        <f>SUMPRODUCT((MONTH(CHOOSE({1,2,3,4},XT!U132,XT!Y132,XT!AC132,XT!AG132))=7)*(CHOOSE({1,2,3,4},XT!X132,XT!AB132,XT!AF132,XT!AJ132)))</f>
        <v>0</v>
      </c>
      <c r="Z132" t="str">
        <f>IFERROR(INDEX(CHOOSE({1,2,3,4}, DAY(XT!U132), DAY(XT!Y132), DAY(XT!AC132), DAY(XT!AG132)), MATCH(1, INDEX(--(MONTH(CHOOSE({1,2,3,4}, XT!U132,XT!Y132,XT!AC132,XT!AG132))=7), 0), 0)), "")</f>
        <v/>
      </c>
      <c r="AA132" s="12" t="str">
        <f>IF(XT!$P132&gt;0,Z132,"")</f>
        <v/>
      </c>
      <c r="AB132" s="12" t="str">
        <f>IF(XT!$P132=0,Z132,"")</f>
        <v/>
      </c>
      <c r="AC132">
        <f>SUMPRODUCT((MONTH(CHOOSE({1,2,3,4},XT!U132,XT!Y132,XT!AC132,XT!AG132))=8)*(CHOOSE({1,2,3,4},XT!X132,XT!AB132,XT!AF132,XT!AJ132)))</f>
        <v>0</v>
      </c>
      <c r="AD132" t="str">
        <f>IFERROR(INDEX(CHOOSE({1,2,3,4}, DAY(XT!U132), DAY(XT!Y132), DAY(XT!AC132), DAY(XT!AG132)), MATCH(1, INDEX(--(MONTH(CHOOSE({1,2,3,4}, XT!U132,XT!Y132,XT!AC132,XT!AG132))=8), 0), 0)), "")</f>
        <v/>
      </c>
      <c r="AE132" s="12" t="str">
        <f>IF(XT!$P132&gt;0,AD132,"")</f>
        <v/>
      </c>
      <c r="AF132" s="12" t="str">
        <f>IF(XT!$P132=0,AD132,"")</f>
        <v/>
      </c>
      <c r="AG132">
        <f>SUMPRODUCT((MONTH(CHOOSE({1,2,3,4},XT!U132,XT!Y132,XT!AC132,XT!AG132))=9)*(CHOOSE({1,2,3,4},XT!X132,XT!AB132,XT!AF132,XT!AJ132)))</f>
        <v>0</v>
      </c>
      <c r="AH132" t="str">
        <f>IFERROR(INDEX(CHOOSE({1,2,3,4}, DAY(XT!U132), DAY(XT!Y132), DAY(XT!AC132), DAY(XT!AG132)), MATCH(1, INDEX(--(MONTH(CHOOSE({1,2,3,4}, XT!U132,XT!Y132,XT!AC132,XT!AG132))=9), 0), 0)), "")</f>
        <v/>
      </c>
      <c r="AI132" s="12" t="str">
        <f>IF(XT!$P132&gt;0,AH132,"")</f>
        <v/>
      </c>
      <c r="AJ132" s="12" t="str">
        <f>IF(XT!$P132=0,AH132,"")</f>
        <v/>
      </c>
      <c r="AK132">
        <f>SUMPRODUCT((MONTH(CHOOSE({1,2,3,4},XT!U132,XT!Y132,XT!AC132,XT!AG132))=10)*(CHOOSE({1,2,3,4},XT!X132,XT!AB132,XT!AF132,XT!AJ132)))</f>
        <v>0</v>
      </c>
      <c r="AL132" t="str">
        <f>IFERROR(INDEX(CHOOSE({1,2,3,4}, DAY(XT!U132), DAY(XT!Y132), DAY(XT!AC132), DAY(XT!AG132)), MATCH(1, INDEX(--(MONTH(CHOOSE({1,2,3,4}, XT!U132,XT!Y132,XT!AC132,XT!AG132))=10), 0), 0)), "")</f>
        <v/>
      </c>
      <c r="AM132" s="12" t="str">
        <f>IF(XT!$P132&gt;0,AL132,"")</f>
        <v/>
      </c>
      <c r="AN132" s="12" t="str">
        <f>IF(XT!$P132=0,AL132,"")</f>
        <v/>
      </c>
      <c r="AO132">
        <f>SUMPRODUCT((MONTH(CHOOSE({1,2,3,4},XT!U132,XT!Y132,XT!AC132,XT!AG132))=11)*(CHOOSE({1,2,3,4},XT!X132,XT!AB132,XT!AF132,XT!AJ132)))</f>
        <v>0</v>
      </c>
      <c r="AP132" t="str">
        <f>IFERROR(INDEX(CHOOSE({1,2,3,4}, DAY(XT!U132), DAY(XT!Y132), DAY(XT!AC132), DAY(XT!AG132)), MATCH(1, INDEX(--(MONTH(CHOOSE({1,2,3,4}, XT!U132,XT!Y132,XT!AC132,XT!AG132))=11), 0), 0)), "")</f>
        <v/>
      </c>
      <c r="AQ132" s="12" t="str">
        <f>IF(XT!$P132&gt;0,AP132,"")</f>
        <v/>
      </c>
      <c r="AR132" s="12" t="str">
        <f>IF(XT!$P132=0,AP132,"")</f>
        <v/>
      </c>
      <c r="AS132">
        <f>SUMPRODUCT((MONTH(CHOOSE({1,2,3,4},XT!U132,XT!Y132,XT!AC132,XT!AG132))=12)*(CHOOSE({1,2,3,4},XT!X132,XT!AB132,XT!AF132,XT!AJ132)))</f>
        <v>0</v>
      </c>
      <c r="AT132" t="str">
        <f>IFERROR(INDEX(CHOOSE({1,2,3,4}, DAY(XT!U132), DAY(XT!Y132), DAY(XT!AC132), DAY(XT!AG132)), MATCH(1, INDEX(--(MONTH(CHOOSE({1,2,3,4}, XT!U132,XT!Y132,XT!AC132,XT!AG132))=12), 0), 0)), "")</f>
        <v/>
      </c>
      <c r="AU132" s="12" t="str">
        <f>IF(XT!$P132&gt;0,AT132,"")</f>
        <v/>
      </c>
      <c r="AV132" s="12" t="str">
        <f>IF(XT!$P132=0,AT132,"")</f>
        <v/>
      </c>
    </row>
    <row r="133" spans="1:48">
      <c r="A133">
        <f>SUMPRODUCT((MONTH(CHOOSE({1,2,3,4},XT!U133,XT!Y133,XT!AC133,XT!AG133))=1)*(CHOOSE({1,2,3,4},XT!X133,XT!AB133,XT!AF133,XT!AJ133)))</f>
        <v>0</v>
      </c>
      <c r="B133">
        <f>IFERROR(INDEX(CHOOSE({1,2,3,4}, DAY(XT!U133), DAY(XT!Y133), DAY(XT!AC133), DAY(XT!AG133)), MATCH(1, INDEX(--(MONTH(CHOOSE({1,2,3,4}, XT!U133,XT!Y133,XT!AC133,XT!AG133))=1), 0), 0)), "")</f>
        <v>0</v>
      </c>
      <c r="C133" s="12" t="str">
        <f>IF(XT!$P133&gt;0,B133,"")</f>
        <v/>
      </c>
      <c r="D133" s="12">
        <f>IF(XT!$P133=0,B133,"")</f>
        <v>0</v>
      </c>
      <c r="E133">
        <f>SUMPRODUCT((MONTH(CHOOSE({1,2,3,4},XT!U133,XT!Y133,XT!AC133,XT!AG133))=2)*(CHOOSE({1,2,3,4},XT!X133,XT!AB133,XT!AF133,XT!AJ133)))</f>
        <v>0</v>
      </c>
      <c r="F133" t="str">
        <f>IFERROR(INDEX(CHOOSE({1,2,3,4}, DAY(XT!U133), DAY(XT!Y133), DAY(XT!AC133), DAY(XT!AG133)), MATCH(1, INDEX(--(MONTH(CHOOSE({1,2,3,4}, XT!U133,XT!Y133,XT!AC133,XT!AG133))=2), 0), 0)), "")</f>
        <v/>
      </c>
      <c r="G133" s="12" t="str">
        <f>IF(XT!$P133&gt;0,F133,"")</f>
        <v/>
      </c>
      <c r="H133" s="12" t="str">
        <f>IF(XT!$P133=0,F133,"")</f>
        <v/>
      </c>
      <c r="I133">
        <f>SUMPRODUCT((MONTH(CHOOSE({1,2,3,4},XT!U133,XT!Y133,XT!AC133,XT!AG133))=3)*(CHOOSE({1,2,3,4},XT!X133,XT!AB133,XT!AF133,XT!AJ133)))</f>
        <v>0</v>
      </c>
      <c r="J133" t="str">
        <f>IFERROR(INDEX(CHOOSE({1,2,3,4}, DAY(XT!U133), DAY(XT!Y133), DAY(XT!AC133), DAY(XT!AG133)), MATCH(1, INDEX(--(MONTH(CHOOSE({1,2,3,4}, XT!U133,XT!Y133,XT!AC133,XT!AG133))=3), 0), 0)), "")</f>
        <v/>
      </c>
      <c r="K133" s="12" t="str">
        <f>IF(XT!$P133&gt;0,J133,"")</f>
        <v/>
      </c>
      <c r="L133" s="12" t="str">
        <f>IF(XT!$P133=0,J133,"")</f>
        <v/>
      </c>
      <c r="M133">
        <f>SUMPRODUCT((MONTH(CHOOSE({1,2,3,4},XT!U133,XT!Y133,XT!AC133,XT!AG133))=4)*(CHOOSE({1,2,3,4},XT!X133,XT!AB133,XT!AF133,XT!AJ133)))</f>
        <v>0</v>
      </c>
      <c r="N133" t="str">
        <f>IFERROR(INDEX(CHOOSE({1,2,3,4}, DAY(XT!U133), DAY(XT!Y133), DAY(XT!AC133), DAY(XT!AG133)), MATCH(1, INDEX(--(MONTH(CHOOSE({1,2,3,4}, XT!U133,XT!Y133,XT!AC133,XT!AG133))=4), 0), 0)), "")</f>
        <v/>
      </c>
      <c r="O133" s="12" t="str">
        <f>IF(XT!$P133&gt;0,N133,"")</f>
        <v/>
      </c>
      <c r="P133" s="12" t="str">
        <f>IF(XT!$P133=0,N133,"")</f>
        <v/>
      </c>
      <c r="Q133">
        <f>SUMPRODUCT((MONTH(CHOOSE({1,2,3,4},XT!U133,XT!Y133,XT!AC133,XT!AG133))=5)*(CHOOSE({1,2,3,4},XT!X133,XT!AB133,XT!AF133,XT!AJ133)))</f>
        <v>0</v>
      </c>
      <c r="R133" t="str">
        <f>IFERROR(INDEX(CHOOSE({1,2,3,4}, DAY(XT!U133), DAY(XT!Y133), DAY(XT!AC133), DAY(XT!AG133)), MATCH(1, INDEX(--(MONTH(CHOOSE({1,2,3,4}, XT!U133,XT!Y133,XT!AC133,XT!AG133))=5), 0), 0)), "")</f>
        <v/>
      </c>
      <c r="S133" s="12" t="str">
        <f>IF(XT!$P133&gt;0,R133,"")</f>
        <v/>
      </c>
      <c r="T133" s="12" t="str">
        <f>IF(XT!$P133=0,R133,"")</f>
        <v/>
      </c>
      <c r="U133">
        <f>SUMPRODUCT((MONTH(CHOOSE({1,2,3,4},XT!U133,XT!Y133,XT!AC133,XT!AG133))=6)*(CHOOSE({1,2,3,4},XT!X133,XT!AB133,XT!AF133,XT!AJ133)))</f>
        <v>0</v>
      </c>
      <c r="V133" t="str">
        <f>IFERROR(INDEX(CHOOSE({1,2,3,4}, DAY(XT!U133), DAY(XT!Y133), DAY(XT!AC133), DAY(XT!AG133)), MATCH(1, INDEX(--(MONTH(CHOOSE({1,2,3,4}, XT!U133,XT!Y133,XT!AC133,XT!AG133))=6), 0), 0)), "")</f>
        <v/>
      </c>
      <c r="W133" s="12" t="str">
        <f>IF(XT!$P133&gt;0,V133,"")</f>
        <v/>
      </c>
      <c r="X133" s="12" t="str">
        <f>IF(XT!$P133=0,V133,"")</f>
        <v/>
      </c>
      <c r="Y133">
        <f>SUMPRODUCT((MONTH(CHOOSE({1,2,3,4},XT!U133,XT!Y133,XT!AC133,XT!AG133))=7)*(CHOOSE({1,2,3,4},XT!X133,XT!AB133,XT!AF133,XT!AJ133)))</f>
        <v>0</v>
      </c>
      <c r="Z133" t="str">
        <f>IFERROR(INDEX(CHOOSE({1,2,3,4}, DAY(XT!U133), DAY(XT!Y133), DAY(XT!AC133), DAY(XT!AG133)), MATCH(1, INDEX(--(MONTH(CHOOSE({1,2,3,4}, XT!U133,XT!Y133,XT!AC133,XT!AG133))=7), 0), 0)), "")</f>
        <v/>
      </c>
      <c r="AA133" s="12" t="str">
        <f>IF(XT!$P133&gt;0,Z133,"")</f>
        <v/>
      </c>
      <c r="AB133" s="12" t="str">
        <f>IF(XT!$P133=0,Z133,"")</f>
        <v/>
      </c>
      <c r="AC133">
        <f>SUMPRODUCT((MONTH(CHOOSE({1,2,3,4},XT!U133,XT!Y133,XT!AC133,XT!AG133))=8)*(CHOOSE({1,2,3,4},XT!X133,XT!AB133,XT!AF133,XT!AJ133)))</f>
        <v>0</v>
      </c>
      <c r="AD133" t="str">
        <f>IFERROR(INDEX(CHOOSE({1,2,3,4}, DAY(XT!U133), DAY(XT!Y133), DAY(XT!AC133), DAY(XT!AG133)), MATCH(1, INDEX(--(MONTH(CHOOSE({1,2,3,4}, XT!U133,XT!Y133,XT!AC133,XT!AG133))=8), 0), 0)), "")</f>
        <v/>
      </c>
      <c r="AE133" s="12" t="str">
        <f>IF(XT!$P133&gt;0,AD133,"")</f>
        <v/>
      </c>
      <c r="AF133" s="12" t="str">
        <f>IF(XT!$P133=0,AD133,"")</f>
        <v/>
      </c>
      <c r="AG133">
        <f>SUMPRODUCT((MONTH(CHOOSE({1,2,3,4},XT!U133,XT!Y133,XT!AC133,XT!AG133))=9)*(CHOOSE({1,2,3,4},XT!X133,XT!AB133,XT!AF133,XT!AJ133)))</f>
        <v>0</v>
      </c>
      <c r="AH133" t="str">
        <f>IFERROR(INDEX(CHOOSE({1,2,3,4}, DAY(XT!U133), DAY(XT!Y133), DAY(XT!AC133), DAY(XT!AG133)), MATCH(1, INDEX(--(MONTH(CHOOSE({1,2,3,4}, XT!U133,XT!Y133,XT!AC133,XT!AG133))=9), 0), 0)), "")</f>
        <v/>
      </c>
      <c r="AI133" s="12" t="str">
        <f>IF(XT!$P133&gt;0,AH133,"")</f>
        <v/>
      </c>
      <c r="AJ133" s="12" t="str">
        <f>IF(XT!$P133=0,AH133,"")</f>
        <v/>
      </c>
      <c r="AK133">
        <f>SUMPRODUCT((MONTH(CHOOSE({1,2,3,4},XT!U133,XT!Y133,XT!AC133,XT!AG133))=10)*(CHOOSE({1,2,3,4},XT!X133,XT!AB133,XT!AF133,XT!AJ133)))</f>
        <v>0</v>
      </c>
      <c r="AL133" t="str">
        <f>IFERROR(INDEX(CHOOSE({1,2,3,4}, DAY(XT!U133), DAY(XT!Y133), DAY(XT!AC133), DAY(XT!AG133)), MATCH(1, INDEX(--(MONTH(CHOOSE({1,2,3,4}, XT!U133,XT!Y133,XT!AC133,XT!AG133))=10), 0), 0)), "")</f>
        <v/>
      </c>
      <c r="AM133" s="12" t="str">
        <f>IF(XT!$P133&gt;0,AL133,"")</f>
        <v/>
      </c>
      <c r="AN133" s="12" t="str">
        <f>IF(XT!$P133=0,AL133,"")</f>
        <v/>
      </c>
      <c r="AO133">
        <f>SUMPRODUCT((MONTH(CHOOSE({1,2,3,4},XT!U133,XT!Y133,XT!AC133,XT!AG133))=11)*(CHOOSE({1,2,3,4},XT!X133,XT!AB133,XT!AF133,XT!AJ133)))</f>
        <v>0</v>
      </c>
      <c r="AP133" t="str">
        <f>IFERROR(INDEX(CHOOSE({1,2,3,4}, DAY(XT!U133), DAY(XT!Y133), DAY(XT!AC133), DAY(XT!AG133)), MATCH(1, INDEX(--(MONTH(CHOOSE({1,2,3,4}, XT!U133,XT!Y133,XT!AC133,XT!AG133))=11), 0), 0)), "")</f>
        <v/>
      </c>
      <c r="AQ133" s="12" t="str">
        <f>IF(XT!$P133&gt;0,AP133,"")</f>
        <v/>
      </c>
      <c r="AR133" s="12" t="str">
        <f>IF(XT!$P133=0,AP133,"")</f>
        <v/>
      </c>
      <c r="AS133">
        <f>SUMPRODUCT((MONTH(CHOOSE({1,2,3,4},XT!U133,XT!Y133,XT!AC133,XT!AG133))=12)*(CHOOSE({1,2,3,4},XT!X133,XT!AB133,XT!AF133,XT!AJ133)))</f>
        <v>0</v>
      </c>
      <c r="AT133" t="str">
        <f>IFERROR(INDEX(CHOOSE({1,2,3,4}, DAY(XT!U133), DAY(XT!Y133), DAY(XT!AC133), DAY(XT!AG133)), MATCH(1, INDEX(--(MONTH(CHOOSE({1,2,3,4}, XT!U133,XT!Y133,XT!AC133,XT!AG133))=12), 0), 0)), "")</f>
        <v/>
      </c>
      <c r="AU133" s="12" t="str">
        <f>IF(XT!$P133&gt;0,AT133,"")</f>
        <v/>
      </c>
      <c r="AV133" s="12" t="str">
        <f>IF(XT!$P133=0,AT133,"")</f>
        <v/>
      </c>
    </row>
    <row r="134" spans="1:48">
      <c r="A134">
        <f>SUMPRODUCT((MONTH(CHOOSE({1,2,3,4},XT!U134,XT!Y134,XT!AC134,XT!AG134))=1)*(CHOOSE({1,2,3,4},XT!X134,XT!AB134,XT!AF134,XT!AJ134)))</f>
        <v>0</v>
      </c>
      <c r="B134">
        <f>IFERROR(INDEX(CHOOSE({1,2,3,4}, DAY(XT!U134), DAY(XT!Y134), DAY(XT!AC134), DAY(XT!AG134)), MATCH(1, INDEX(--(MONTH(CHOOSE({1,2,3,4}, XT!U134,XT!Y134,XT!AC134,XT!AG134))=1), 0), 0)), "")</f>
        <v>0</v>
      </c>
      <c r="C134" s="12" t="str">
        <f>IF(XT!$P134&gt;0,B134,"")</f>
        <v/>
      </c>
      <c r="D134" s="12">
        <f>IF(XT!$P134=0,B134,"")</f>
        <v>0</v>
      </c>
      <c r="E134">
        <f>SUMPRODUCT((MONTH(CHOOSE({1,2,3,4},XT!U134,XT!Y134,XT!AC134,XT!AG134))=2)*(CHOOSE({1,2,3,4},XT!X134,XT!AB134,XT!AF134,XT!AJ134)))</f>
        <v>0</v>
      </c>
      <c r="F134" t="str">
        <f>IFERROR(INDEX(CHOOSE({1,2,3,4}, DAY(XT!U134), DAY(XT!Y134), DAY(XT!AC134), DAY(XT!AG134)), MATCH(1, INDEX(--(MONTH(CHOOSE({1,2,3,4}, XT!U134,XT!Y134,XT!AC134,XT!AG134))=2), 0), 0)), "")</f>
        <v/>
      </c>
      <c r="G134" s="12" t="str">
        <f>IF(XT!$P134&gt;0,F134,"")</f>
        <v/>
      </c>
      <c r="H134" s="12" t="str">
        <f>IF(XT!$P134=0,F134,"")</f>
        <v/>
      </c>
      <c r="I134">
        <f>SUMPRODUCT((MONTH(CHOOSE({1,2,3,4},XT!U134,XT!Y134,XT!AC134,XT!AG134))=3)*(CHOOSE({1,2,3,4},XT!X134,XT!AB134,XT!AF134,XT!AJ134)))</f>
        <v>0</v>
      </c>
      <c r="J134" t="str">
        <f>IFERROR(INDEX(CHOOSE({1,2,3,4}, DAY(XT!U134), DAY(XT!Y134), DAY(XT!AC134), DAY(XT!AG134)), MATCH(1, INDEX(--(MONTH(CHOOSE({1,2,3,4}, XT!U134,XT!Y134,XT!AC134,XT!AG134))=3), 0), 0)), "")</f>
        <v/>
      </c>
      <c r="K134" s="12" t="str">
        <f>IF(XT!$P134&gt;0,J134,"")</f>
        <v/>
      </c>
      <c r="L134" s="12" t="str">
        <f>IF(XT!$P134=0,J134,"")</f>
        <v/>
      </c>
      <c r="M134">
        <f>SUMPRODUCT((MONTH(CHOOSE({1,2,3,4},XT!U134,XT!Y134,XT!AC134,XT!AG134))=4)*(CHOOSE({1,2,3,4},XT!X134,XT!AB134,XT!AF134,XT!AJ134)))</f>
        <v>0</v>
      </c>
      <c r="N134" t="str">
        <f>IFERROR(INDEX(CHOOSE({1,2,3,4}, DAY(XT!U134), DAY(XT!Y134), DAY(XT!AC134), DAY(XT!AG134)), MATCH(1, INDEX(--(MONTH(CHOOSE({1,2,3,4}, XT!U134,XT!Y134,XT!AC134,XT!AG134))=4), 0), 0)), "")</f>
        <v/>
      </c>
      <c r="O134" s="12" t="str">
        <f>IF(XT!$P134&gt;0,N134,"")</f>
        <v/>
      </c>
      <c r="P134" s="12" t="str">
        <f>IF(XT!$P134=0,N134,"")</f>
        <v/>
      </c>
      <c r="Q134">
        <f>SUMPRODUCT((MONTH(CHOOSE({1,2,3,4},XT!U134,XT!Y134,XT!AC134,XT!AG134))=5)*(CHOOSE({1,2,3,4},XT!X134,XT!AB134,XT!AF134,XT!AJ134)))</f>
        <v>0</v>
      </c>
      <c r="R134" t="str">
        <f>IFERROR(INDEX(CHOOSE({1,2,3,4}, DAY(XT!U134), DAY(XT!Y134), DAY(XT!AC134), DAY(XT!AG134)), MATCH(1, INDEX(--(MONTH(CHOOSE({1,2,3,4}, XT!U134,XT!Y134,XT!AC134,XT!AG134))=5), 0), 0)), "")</f>
        <v/>
      </c>
      <c r="S134" s="12" t="str">
        <f>IF(XT!$P134&gt;0,R134,"")</f>
        <v/>
      </c>
      <c r="T134" s="12" t="str">
        <f>IF(XT!$P134=0,R134,"")</f>
        <v/>
      </c>
      <c r="U134">
        <f>SUMPRODUCT((MONTH(CHOOSE({1,2,3,4},XT!U134,XT!Y134,XT!AC134,XT!AG134))=6)*(CHOOSE({1,2,3,4},XT!X134,XT!AB134,XT!AF134,XT!AJ134)))</f>
        <v>0</v>
      </c>
      <c r="V134" t="str">
        <f>IFERROR(INDEX(CHOOSE({1,2,3,4}, DAY(XT!U134), DAY(XT!Y134), DAY(XT!AC134), DAY(XT!AG134)), MATCH(1, INDEX(--(MONTH(CHOOSE({1,2,3,4}, XT!U134,XT!Y134,XT!AC134,XT!AG134))=6), 0), 0)), "")</f>
        <v/>
      </c>
      <c r="W134" s="12" t="str">
        <f>IF(XT!$P134&gt;0,V134,"")</f>
        <v/>
      </c>
      <c r="X134" s="12" t="str">
        <f>IF(XT!$P134=0,V134,"")</f>
        <v/>
      </c>
      <c r="Y134">
        <f>SUMPRODUCT((MONTH(CHOOSE({1,2,3,4},XT!U134,XT!Y134,XT!AC134,XT!AG134))=7)*(CHOOSE({1,2,3,4},XT!X134,XT!AB134,XT!AF134,XT!AJ134)))</f>
        <v>0</v>
      </c>
      <c r="Z134" t="str">
        <f>IFERROR(INDEX(CHOOSE({1,2,3,4}, DAY(XT!U134), DAY(XT!Y134), DAY(XT!AC134), DAY(XT!AG134)), MATCH(1, INDEX(--(MONTH(CHOOSE({1,2,3,4}, XT!U134,XT!Y134,XT!AC134,XT!AG134))=7), 0), 0)), "")</f>
        <v/>
      </c>
      <c r="AA134" s="12" t="str">
        <f>IF(XT!$P134&gt;0,Z134,"")</f>
        <v/>
      </c>
      <c r="AB134" s="12" t="str">
        <f>IF(XT!$P134=0,Z134,"")</f>
        <v/>
      </c>
      <c r="AC134">
        <f>SUMPRODUCT((MONTH(CHOOSE({1,2,3,4},XT!U134,XT!Y134,XT!AC134,XT!AG134))=8)*(CHOOSE({1,2,3,4},XT!X134,XT!AB134,XT!AF134,XT!AJ134)))</f>
        <v>0</v>
      </c>
      <c r="AD134" t="str">
        <f>IFERROR(INDEX(CHOOSE({1,2,3,4}, DAY(XT!U134), DAY(XT!Y134), DAY(XT!AC134), DAY(XT!AG134)), MATCH(1, INDEX(--(MONTH(CHOOSE({1,2,3,4}, XT!U134,XT!Y134,XT!AC134,XT!AG134))=8), 0), 0)), "")</f>
        <v/>
      </c>
      <c r="AE134" s="12" t="str">
        <f>IF(XT!$P134&gt;0,AD134,"")</f>
        <v/>
      </c>
      <c r="AF134" s="12" t="str">
        <f>IF(XT!$P134=0,AD134,"")</f>
        <v/>
      </c>
      <c r="AG134">
        <f>SUMPRODUCT((MONTH(CHOOSE({1,2,3,4},XT!U134,XT!Y134,XT!AC134,XT!AG134))=9)*(CHOOSE({1,2,3,4},XT!X134,XT!AB134,XT!AF134,XT!AJ134)))</f>
        <v>0</v>
      </c>
      <c r="AH134" t="str">
        <f>IFERROR(INDEX(CHOOSE({1,2,3,4}, DAY(XT!U134), DAY(XT!Y134), DAY(XT!AC134), DAY(XT!AG134)), MATCH(1, INDEX(--(MONTH(CHOOSE({1,2,3,4}, XT!U134,XT!Y134,XT!AC134,XT!AG134))=9), 0), 0)), "")</f>
        <v/>
      </c>
      <c r="AI134" s="12" t="str">
        <f>IF(XT!$P134&gt;0,AH134,"")</f>
        <v/>
      </c>
      <c r="AJ134" s="12" t="str">
        <f>IF(XT!$P134=0,AH134,"")</f>
        <v/>
      </c>
      <c r="AK134">
        <f>SUMPRODUCT((MONTH(CHOOSE({1,2,3,4},XT!U134,XT!Y134,XT!AC134,XT!AG134))=10)*(CHOOSE({1,2,3,4},XT!X134,XT!AB134,XT!AF134,XT!AJ134)))</f>
        <v>0</v>
      </c>
      <c r="AL134" t="str">
        <f>IFERROR(INDEX(CHOOSE({1,2,3,4}, DAY(XT!U134), DAY(XT!Y134), DAY(XT!AC134), DAY(XT!AG134)), MATCH(1, INDEX(--(MONTH(CHOOSE({1,2,3,4}, XT!U134,XT!Y134,XT!AC134,XT!AG134))=10), 0), 0)), "")</f>
        <v/>
      </c>
      <c r="AM134" s="12" t="str">
        <f>IF(XT!$P134&gt;0,AL134,"")</f>
        <v/>
      </c>
      <c r="AN134" s="12" t="str">
        <f>IF(XT!$P134=0,AL134,"")</f>
        <v/>
      </c>
      <c r="AO134">
        <f>SUMPRODUCT((MONTH(CHOOSE({1,2,3,4},XT!U134,XT!Y134,XT!AC134,XT!AG134))=11)*(CHOOSE({1,2,3,4},XT!X134,XT!AB134,XT!AF134,XT!AJ134)))</f>
        <v>0</v>
      </c>
      <c r="AP134" t="str">
        <f>IFERROR(INDEX(CHOOSE({1,2,3,4}, DAY(XT!U134), DAY(XT!Y134), DAY(XT!AC134), DAY(XT!AG134)), MATCH(1, INDEX(--(MONTH(CHOOSE({1,2,3,4}, XT!U134,XT!Y134,XT!AC134,XT!AG134))=11), 0), 0)), "")</f>
        <v/>
      </c>
      <c r="AQ134" s="12" t="str">
        <f>IF(XT!$P134&gt;0,AP134,"")</f>
        <v/>
      </c>
      <c r="AR134" s="12" t="str">
        <f>IF(XT!$P134=0,AP134,"")</f>
        <v/>
      </c>
      <c r="AS134">
        <f>SUMPRODUCT((MONTH(CHOOSE({1,2,3,4},XT!U134,XT!Y134,XT!AC134,XT!AG134))=12)*(CHOOSE({1,2,3,4},XT!X134,XT!AB134,XT!AF134,XT!AJ134)))</f>
        <v>0</v>
      </c>
      <c r="AT134" t="str">
        <f>IFERROR(INDEX(CHOOSE({1,2,3,4}, DAY(XT!U134), DAY(XT!Y134), DAY(XT!AC134), DAY(XT!AG134)), MATCH(1, INDEX(--(MONTH(CHOOSE({1,2,3,4}, XT!U134,XT!Y134,XT!AC134,XT!AG134))=12), 0), 0)), "")</f>
        <v/>
      </c>
      <c r="AU134" s="12" t="str">
        <f>IF(XT!$P134&gt;0,AT134,"")</f>
        <v/>
      </c>
      <c r="AV134" s="12" t="str">
        <f>IF(XT!$P134=0,AT134,"")</f>
        <v/>
      </c>
    </row>
    <row r="135" spans="1:48">
      <c r="A135">
        <f>SUMPRODUCT((MONTH(CHOOSE({1,2,3,4},XT!U135,XT!Y135,XT!AC135,XT!AG135))=1)*(CHOOSE({1,2,3,4},XT!X135,XT!AB135,XT!AF135,XT!AJ135)))</f>
        <v>0</v>
      </c>
      <c r="B135">
        <f>IFERROR(INDEX(CHOOSE({1,2,3,4}, DAY(XT!U135), DAY(XT!Y135), DAY(XT!AC135), DAY(XT!AG135)), MATCH(1, INDEX(--(MONTH(CHOOSE({1,2,3,4}, XT!U135,XT!Y135,XT!AC135,XT!AG135))=1), 0), 0)), "")</f>
        <v>0</v>
      </c>
      <c r="C135" s="12" t="str">
        <f>IF(XT!$P135&gt;0,B135,"")</f>
        <v/>
      </c>
      <c r="D135" s="12">
        <f>IF(XT!$P135=0,B135,"")</f>
        <v>0</v>
      </c>
      <c r="E135">
        <f>SUMPRODUCT((MONTH(CHOOSE({1,2,3,4},XT!U135,XT!Y135,XT!AC135,XT!AG135))=2)*(CHOOSE({1,2,3,4},XT!X135,XT!AB135,XT!AF135,XT!AJ135)))</f>
        <v>0</v>
      </c>
      <c r="F135" t="str">
        <f>IFERROR(INDEX(CHOOSE({1,2,3,4}, DAY(XT!U135), DAY(XT!Y135), DAY(XT!AC135), DAY(XT!AG135)), MATCH(1, INDEX(--(MONTH(CHOOSE({1,2,3,4}, XT!U135,XT!Y135,XT!AC135,XT!AG135))=2), 0), 0)), "")</f>
        <v/>
      </c>
      <c r="G135" s="12" t="str">
        <f>IF(XT!$P135&gt;0,F135,"")</f>
        <v/>
      </c>
      <c r="H135" s="12" t="str">
        <f>IF(XT!$P135=0,F135,"")</f>
        <v/>
      </c>
      <c r="I135">
        <f>SUMPRODUCT((MONTH(CHOOSE({1,2,3,4},XT!U135,XT!Y135,XT!AC135,XT!AG135))=3)*(CHOOSE({1,2,3,4},XT!X135,XT!AB135,XT!AF135,XT!AJ135)))</f>
        <v>0</v>
      </c>
      <c r="J135" t="str">
        <f>IFERROR(INDEX(CHOOSE({1,2,3,4}, DAY(XT!U135), DAY(XT!Y135), DAY(XT!AC135), DAY(XT!AG135)), MATCH(1, INDEX(--(MONTH(CHOOSE({1,2,3,4}, XT!U135,XT!Y135,XT!AC135,XT!AG135))=3), 0), 0)), "")</f>
        <v/>
      </c>
      <c r="K135" s="12" t="str">
        <f>IF(XT!$P135&gt;0,J135,"")</f>
        <v/>
      </c>
      <c r="L135" s="12" t="str">
        <f>IF(XT!$P135=0,J135,"")</f>
        <v/>
      </c>
      <c r="M135">
        <f>SUMPRODUCT((MONTH(CHOOSE({1,2,3,4},XT!U135,XT!Y135,XT!AC135,XT!AG135))=4)*(CHOOSE({1,2,3,4},XT!X135,XT!AB135,XT!AF135,XT!AJ135)))</f>
        <v>0</v>
      </c>
      <c r="N135" t="str">
        <f>IFERROR(INDEX(CHOOSE({1,2,3,4}, DAY(XT!U135), DAY(XT!Y135), DAY(XT!AC135), DAY(XT!AG135)), MATCH(1, INDEX(--(MONTH(CHOOSE({1,2,3,4}, XT!U135,XT!Y135,XT!AC135,XT!AG135))=4), 0), 0)), "")</f>
        <v/>
      </c>
      <c r="O135" s="12" t="str">
        <f>IF(XT!$P135&gt;0,N135,"")</f>
        <v/>
      </c>
      <c r="P135" s="12" t="str">
        <f>IF(XT!$P135=0,N135,"")</f>
        <v/>
      </c>
      <c r="Q135">
        <f>SUMPRODUCT((MONTH(CHOOSE({1,2,3,4},XT!U135,XT!Y135,XT!AC135,XT!AG135))=5)*(CHOOSE({1,2,3,4},XT!X135,XT!AB135,XT!AF135,XT!AJ135)))</f>
        <v>0</v>
      </c>
      <c r="R135" t="str">
        <f>IFERROR(INDEX(CHOOSE({1,2,3,4}, DAY(XT!U135), DAY(XT!Y135), DAY(XT!AC135), DAY(XT!AG135)), MATCH(1, INDEX(--(MONTH(CHOOSE({1,2,3,4}, XT!U135,XT!Y135,XT!AC135,XT!AG135))=5), 0), 0)), "")</f>
        <v/>
      </c>
      <c r="S135" s="12" t="str">
        <f>IF(XT!$P135&gt;0,R135,"")</f>
        <v/>
      </c>
      <c r="T135" s="12" t="str">
        <f>IF(XT!$P135=0,R135,"")</f>
        <v/>
      </c>
      <c r="U135">
        <f>SUMPRODUCT((MONTH(CHOOSE({1,2,3,4},XT!U135,XT!Y135,XT!AC135,XT!AG135))=6)*(CHOOSE({1,2,3,4},XT!X135,XT!AB135,XT!AF135,XT!AJ135)))</f>
        <v>0</v>
      </c>
      <c r="V135" t="str">
        <f>IFERROR(INDEX(CHOOSE({1,2,3,4}, DAY(XT!U135), DAY(XT!Y135), DAY(XT!AC135), DAY(XT!AG135)), MATCH(1, INDEX(--(MONTH(CHOOSE({1,2,3,4}, XT!U135,XT!Y135,XT!AC135,XT!AG135))=6), 0), 0)), "")</f>
        <v/>
      </c>
      <c r="W135" s="12" t="str">
        <f>IF(XT!$P135&gt;0,V135,"")</f>
        <v/>
      </c>
      <c r="X135" s="12" t="str">
        <f>IF(XT!$P135=0,V135,"")</f>
        <v/>
      </c>
      <c r="Y135">
        <f>SUMPRODUCT((MONTH(CHOOSE({1,2,3,4},XT!U135,XT!Y135,XT!AC135,XT!AG135))=7)*(CHOOSE({1,2,3,4},XT!X135,XT!AB135,XT!AF135,XT!AJ135)))</f>
        <v>0</v>
      </c>
      <c r="Z135" t="str">
        <f>IFERROR(INDEX(CHOOSE({1,2,3,4}, DAY(XT!U135), DAY(XT!Y135), DAY(XT!AC135), DAY(XT!AG135)), MATCH(1, INDEX(--(MONTH(CHOOSE({1,2,3,4}, XT!U135,XT!Y135,XT!AC135,XT!AG135))=7), 0), 0)), "")</f>
        <v/>
      </c>
      <c r="AA135" s="12" t="str">
        <f>IF(XT!$P135&gt;0,Z135,"")</f>
        <v/>
      </c>
      <c r="AB135" s="12" t="str">
        <f>IF(XT!$P135=0,Z135,"")</f>
        <v/>
      </c>
      <c r="AC135">
        <f>SUMPRODUCT((MONTH(CHOOSE({1,2,3,4},XT!U135,XT!Y135,XT!AC135,XT!AG135))=8)*(CHOOSE({1,2,3,4},XT!X135,XT!AB135,XT!AF135,XT!AJ135)))</f>
        <v>0</v>
      </c>
      <c r="AD135" t="str">
        <f>IFERROR(INDEX(CHOOSE({1,2,3,4}, DAY(XT!U135), DAY(XT!Y135), DAY(XT!AC135), DAY(XT!AG135)), MATCH(1, INDEX(--(MONTH(CHOOSE({1,2,3,4}, XT!U135,XT!Y135,XT!AC135,XT!AG135))=8), 0), 0)), "")</f>
        <v/>
      </c>
      <c r="AE135" s="12" t="str">
        <f>IF(XT!$P135&gt;0,AD135,"")</f>
        <v/>
      </c>
      <c r="AF135" s="12" t="str">
        <f>IF(XT!$P135=0,AD135,"")</f>
        <v/>
      </c>
      <c r="AG135">
        <f>SUMPRODUCT((MONTH(CHOOSE({1,2,3,4},XT!U135,XT!Y135,XT!AC135,XT!AG135))=9)*(CHOOSE({1,2,3,4},XT!X135,XT!AB135,XT!AF135,XT!AJ135)))</f>
        <v>0</v>
      </c>
      <c r="AH135" t="str">
        <f>IFERROR(INDEX(CHOOSE({1,2,3,4}, DAY(XT!U135), DAY(XT!Y135), DAY(XT!AC135), DAY(XT!AG135)), MATCH(1, INDEX(--(MONTH(CHOOSE({1,2,3,4}, XT!U135,XT!Y135,XT!AC135,XT!AG135))=9), 0), 0)), "")</f>
        <v/>
      </c>
      <c r="AI135" s="12" t="str">
        <f>IF(XT!$P135&gt;0,AH135,"")</f>
        <v/>
      </c>
      <c r="AJ135" s="12" t="str">
        <f>IF(XT!$P135=0,AH135,"")</f>
        <v/>
      </c>
      <c r="AK135">
        <f>SUMPRODUCT((MONTH(CHOOSE({1,2,3,4},XT!U135,XT!Y135,XT!AC135,XT!AG135))=10)*(CHOOSE({1,2,3,4},XT!X135,XT!AB135,XT!AF135,XT!AJ135)))</f>
        <v>0</v>
      </c>
      <c r="AL135" t="str">
        <f>IFERROR(INDEX(CHOOSE({1,2,3,4}, DAY(XT!U135), DAY(XT!Y135), DAY(XT!AC135), DAY(XT!AG135)), MATCH(1, INDEX(--(MONTH(CHOOSE({1,2,3,4}, XT!U135,XT!Y135,XT!AC135,XT!AG135))=10), 0), 0)), "")</f>
        <v/>
      </c>
      <c r="AM135" s="12" t="str">
        <f>IF(XT!$P135&gt;0,AL135,"")</f>
        <v/>
      </c>
      <c r="AN135" s="12" t="str">
        <f>IF(XT!$P135=0,AL135,"")</f>
        <v/>
      </c>
      <c r="AO135">
        <f>SUMPRODUCT((MONTH(CHOOSE({1,2,3,4},XT!U135,XT!Y135,XT!AC135,XT!AG135))=11)*(CHOOSE({1,2,3,4},XT!X135,XT!AB135,XT!AF135,XT!AJ135)))</f>
        <v>0</v>
      </c>
      <c r="AP135" t="str">
        <f>IFERROR(INDEX(CHOOSE({1,2,3,4}, DAY(XT!U135), DAY(XT!Y135), DAY(XT!AC135), DAY(XT!AG135)), MATCH(1, INDEX(--(MONTH(CHOOSE({1,2,3,4}, XT!U135,XT!Y135,XT!AC135,XT!AG135))=11), 0), 0)), "")</f>
        <v/>
      </c>
      <c r="AQ135" s="12" t="str">
        <f>IF(XT!$P135&gt;0,AP135,"")</f>
        <v/>
      </c>
      <c r="AR135" s="12" t="str">
        <f>IF(XT!$P135=0,AP135,"")</f>
        <v/>
      </c>
      <c r="AS135">
        <f>SUMPRODUCT((MONTH(CHOOSE({1,2,3,4},XT!U135,XT!Y135,XT!AC135,XT!AG135))=12)*(CHOOSE({1,2,3,4},XT!X135,XT!AB135,XT!AF135,XT!AJ135)))</f>
        <v>0</v>
      </c>
      <c r="AT135" t="str">
        <f>IFERROR(INDEX(CHOOSE({1,2,3,4}, DAY(XT!U135), DAY(XT!Y135), DAY(XT!AC135), DAY(XT!AG135)), MATCH(1, INDEX(--(MONTH(CHOOSE({1,2,3,4}, XT!U135,XT!Y135,XT!AC135,XT!AG135))=12), 0), 0)), "")</f>
        <v/>
      </c>
      <c r="AU135" s="12" t="str">
        <f>IF(XT!$P135&gt;0,AT135,"")</f>
        <v/>
      </c>
      <c r="AV135" s="12" t="str">
        <f>IF(XT!$P135=0,AT135,"")</f>
        <v/>
      </c>
    </row>
    <row r="136" spans="1:48">
      <c r="A136">
        <f>SUMPRODUCT((MONTH(CHOOSE({1,2,3,4},XT!U136,XT!Y136,XT!AC136,XT!AG136))=1)*(CHOOSE({1,2,3,4},XT!X136,XT!AB136,XT!AF136,XT!AJ136)))</f>
        <v>0</v>
      </c>
      <c r="B136">
        <f>IFERROR(INDEX(CHOOSE({1,2,3,4}, DAY(XT!U136), DAY(XT!Y136), DAY(XT!AC136), DAY(XT!AG136)), MATCH(1, INDEX(--(MONTH(CHOOSE({1,2,3,4}, XT!U136,XT!Y136,XT!AC136,XT!AG136))=1), 0), 0)), "")</f>
        <v>0</v>
      </c>
      <c r="C136" s="12" t="str">
        <f>IF(XT!$P136&gt;0,B136,"")</f>
        <v/>
      </c>
      <c r="D136" s="12">
        <f>IF(XT!$P136=0,B136,"")</f>
        <v>0</v>
      </c>
      <c r="E136">
        <f>SUMPRODUCT((MONTH(CHOOSE({1,2,3,4},XT!U136,XT!Y136,XT!AC136,XT!AG136))=2)*(CHOOSE({1,2,3,4},XT!X136,XT!AB136,XT!AF136,XT!AJ136)))</f>
        <v>0</v>
      </c>
      <c r="F136" t="str">
        <f>IFERROR(INDEX(CHOOSE({1,2,3,4}, DAY(XT!U136), DAY(XT!Y136), DAY(XT!AC136), DAY(XT!AG136)), MATCH(1, INDEX(--(MONTH(CHOOSE({1,2,3,4}, XT!U136,XT!Y136,XT!AC136,XT!AG136))=2), 0), 0)), "")</f>
        <v/>
      </c>
      <c r="G136" s="12" t="str">
        <f>IF(XT!$P136&gt;0,F136,"")</f>
        <v/>
      </c>
      <c r="H136" s="12" t="str">
        <f>IF(XT!$P136=0,F136,"")</f>
        <v/>
      </c>
      <c r="I136">
        <f>SUMPRODUCT((MONTH(CHOOSE({1,2,3,4},XT!U136,XT!Y136,XT!AC136,XT!AG136))=3)*(CHOOSE({1,2,3,4},XT!X136,XT!AB136,XT!AF136,XT!AJ136)))</f>
        <v>0</v>
      </c>
      <c r="J136" t="str">
        <f>IFERROR(INDEX(CHOOSE({1,2,3,4}, DAY(XT!U136), DAY(XT!Y136), DAY(XT!AC136), DAY(XT!AG136)), MATCH(1, INDEX(--(MONTH(CHOOSE({1,2,3,4}, XT!U136,XT!Y136,XT!AC136,XT!AG136))=3), 0), 0)), "")</f>
        <v/>
      </c>
      <c r="K136" s="12" t="str">
        <f>IF(XT!$P136&gt;0,J136,"")</f>
        <v/>
      </c>
      <c r="L136" s="12" t="str">
        <f>IF(XT!$P136=0,J136,"")</f>
        <v/>
      </c>
      <c r="M136">
        <f>SUMPRODUCT((MONTH(CHOOSE({1,2,3,4},XT!U136,XT!Y136,XT!AC136,XT!AG136))=4)*(CHOOSE({1,2,3,4},XT!X136,XT!AB136,XT!AF136,XT!AJ136)))</f>
        <v>0</v>
      </c>
      <c r="N136" t="str">
        <f>IFERROR(INDEX(CHOOSE({1,2,3,4}, DAY(XT!U136), DAY(XT!Y136), DAY(XT!AC136), DAY(XT!AG136)), MATCH(1, INDEX(--(MONTH(CHOOSE({1,2,3,4}, XT!U136,XT!Y136,XT!AC136,XT!AG136))=4), 0), 0)), "")</f>
        <v/>
      </c>
      <c r="O136" s="12" t="str">
        <f>IF(XT!$P136&gt;0,N136,"")</f>
        <v/>
      </c>
      <c r="P136" s="12" t="str">
        <f>IF(XT!$P136=0,N136,"")</f>
        <v/>
      </c>
      <c r="Q136">
        <f>SUMPRODUCT((MONTH(CHOOSE({1,2,3,4},XT!U136,XT!Y136,XT!AC136,XT!AG136))=5)*(CHOOSE({1,2,3,4},XT!X136,XT!AB136,XT!AF136,XT!AJ136)))</f>
        <v>0</v>
      </c>
      <c r="R136" t="str">
        <f>IFERROR(INDEX(CHOOSE({1,2,3,4}, DAY(XT!U136), DAY(XT!Y136), DAY(XT!AC136), DAY(XT!AG136)), MATCH(1, INDEX(--(MONTH(CHOOSE({1,2,3,4}, XT!U136,XT!Y136,XT!AC136,XT!AG136))=5), 0), 0)), "")</f>
        <v/>
      </c>
      <c r="S136" s="12" t="str">
        <f>IF(XT!$P136&gt;0,R136,"")</f>
        <v/>
      </c>
      <c r="T136" s="12" t="str">
        <f>IF(XT!$P136=0,R136,"")</f>
        <v/>
      </c>
      <c r="U136">
        <f>SUMPRODUCT((MONTH(CHOOSE({1,2,3,4},XT!U136,XT!Y136,XT!AC136,XT!AG136))=6)*(CHOOSE({1,2,3,4},XT!X136,XT!AB136,XT!AF136,XT!AJ136)))</f>
        <v>0</v>
      </c>
      <c r="V136" t="str">
        <f>IFERROR(INDEX(CHOOSE({1,2,3,4}, DAY(XT!U136), DAY(XT!Y136), DAY(XT!AC136), DAY(XT!AG136)), MATCH(1, INDEX(--(MONTH(CHOOSE({1,2,3,4}, XT!U136,XT!Y136,XT!AC136,XT!AG136))=6), 0), 0)), "")</f>
        <v/>
      </c>
      <c r="W136" s="12" t="str">
        <f>IF(XT!$P136&gt;0,V136,"")</f>
        <v/>
      </c>
      <c r="X136" s="12" t="str">
        <f>IF(XT!$P136=0,V136,"")</f>
        <v/>
      </c>
      <c r="Y136">
        <f>SUMPRODUCT((MONTH(CHOOSE({1,2,3,4},XT!U136,XT!Y136,XT!AC136,XT!AG136))=7)*(CHOOSE({1,2,3,4},XT!X136,XT!AB136,XT!AF136,XT!AJ136)))</f>
        <v>0</v>
      </c>
      <c r="Z136" t="str">
        <f>IFERROR(INDEX(CHOOSE({1,2,3,4}, DAY(XT!U136), DAY(XT!Y136), DAY(XT!AC136), DAY(XT!AG136)), MATCH(1, INDEX(--(MONTH(CHOOSE({1,2,3,4}, XT!U136,XT!Y136,XT!AC136,XT!AG136))=7), 0), 0)), "")</f>
        <v/>
      </c>
      <c r="AA136" s="12" t="str">
        <f>IF(XT!$P136&gt;0,Z136,"")</f>
        <v/>
      </c>
      <c r="AB136" s="12" t="str">
        <f>IF(XT!$P136=0,Z136,"")</f>
        <v/>
      </c>
      <c r="AC136">
        <f>SUMPRODUCT((MONTH(CHOOSE({1,2,3,4},XT!U136,XT!Y136,XT!AC136,XT!AG136))=8)*(CHOOSE({1,2,3,4},XT!X136,XT!AB136,XT!AF136,XT!AJ136)))</f>
        <v>0</v>
      </c>
      <c r="AD136" t="str">
        <f>IFERROR(INDEX(CHOOSE({1,2,3,4}, DAY(XT!U136), DAY(XT!Y136), DAY(XT!AC136), DAY(XT!AG136)), MATCH(1, INDEX(--(MONTH(CHOOSE({1,2,3,4}, XT!U136,XT!Y136,XT!AC136,XT!AG136))=8), 0), 0)), "")</f>
        <v/>
      </c>
      <c r="AE136" s="12" t="str">
        <f>IF(XT!$P136&gt;0,AD136,"")</f>
        <v/>
      </c>
      <c r="AF136" s="12" t="str">
        <f>IF(XT!$P136=0,AD136,"")</f>
        <v/>
      </c>
      <c r="AG136">
        <f>SUMPRODUCT((MONTH(CHOOSE({1,2,3,4},XT!U136,XT!Y136,XT!AC136,XT!AG136))=9)*(CHOOSE({1,2,3,4},XT!X136,XT!AB136,XT!AF136,XT!AJ136)))</f>
        <v>0</v>
      </c>
      <c r="AH136" t="str">
        <f>IFERROR(INDEX(CHOOSE({1,2,3,4}, DAY(XT!U136), DAY(XT!Y136), DAY(XT!AC136), DAY(XT!AG136)), MATCH(1, INDEX(--(MONTH(CHOOSE({1,2,3,4}, XT!U136,XT!Y136,XT!AC136,XT!AG136))=9), 0), 0)), "")</f>
        <v/>
      </c>
      <c r="AI136" s="12" t="str">
        <f>IF(XT!$P136&gt;0,AH136,"")</f>
        <v/>
      </c>
      <c r="AJ136" s="12" t="str">
        <f>IF(XT!$P136=0,AH136,"")</f>
        <v/>
      </c>
      <c r="AK136">
        <f>SUMPRODUCT((MONTH(CHOOSE({1,2,3,4},XT!U136,XT!Y136,XT!AC136,XT!AG136))=10)*(CHOOSE({1,2,3,4},XT!X136,XT!AB136,XT!AF136,XT!AJ136)))</f>
        <v>0</v>
      </c>
      <c r="AL136" t="str">
        <f>IFERROR(INDEX(CHOOSE({1,2,3,4}, DAY(XT!U136), DAY(XT!Y136), DAY(XT!AC136), DAY(XT!AG136)), MATCH(1, INDEX(--(MONTH(CHOOSE({1,2,3,4}, XT!U136,XT!Y136,XT!AC136,XT!AG136))=10), 0), 0)), "")</f>
        <v/>
      </c>
      <c r="AM136" s="12" t="str">
        <f>IF(XT!$P136&gt;0,AL136,"")</f>
        <v/>
      </c>
      <c r="AN136" s="12" t="str">
        <f>IF(XT!$P136=0,AL136,"")</f>
        <v/>
      </c>
      <c r="AO136">
        <f>SUMPRODUCT((MONTH(CHOOSE({1,2,3,4},XT!U136,XT!Y136,XT!AC136,XT!AG136))=11)*(CHOOSE({1,2,3,4},XT!X136,XT!AB136,XT!AF136,XT!AJ136)))</f>
        <v>0</v>
      </c>
      <c r="AP136" t="str">
        <f>IFERROR(INDEX(CHOOSE({1,2,3,4}, DAY(XT!U136), DAY(XT!Y136), DAY(XT!AC136), DAY(XT!AG136)), MATCH(1, INDEX(--(MONTH(CHOOSE({1,2,3,4}, XT!U136,XT!Y136,XT!AC136,XT!AG136))=11), 0), 0)), "")</f>
        <v/>
      </c>
      <c r="AQ136" s="12" t="str">
        <f>IF(XT!$P136&gt;0,AP136,"")</f>
        <v/>
      </c>
      <c r="AR136" s="12" t="str">
        <f>IF(XT!$P136=0,AP136,"")</f>
        <v/>
      </c>
      <c r="AS136">
        <f>SUMPRODUCT((MONTH(CHOOSE({1,2,3,4},XT!U136,XT!Y136,XT!AC136,XT!AG136))=12)*(CHOOSE({1,2,3,4},XT!X136,XT!AB136,XT!AF136,XT!AJ136)))</f>
        <v>0</v>
      </c>
      <c r="AT136" t="str">
        <f>IFERROR(INDEX(CHOOSE({1,2,3,4}, DAY(XT!U136), DAY(XT!Y136), DAY(XT!AC136), DAY(XT!AG136)), MATCH(1, INDEX(--(MONTH(CHOOSE({1,2,3,4}, XT!U136,XT!Y136,XT!AC136,XT!AG136))=12), 0), 0)), "")</f>
        <v/>
      </c>
      <c r="AU136" s="12" t="str">
        <f>IF(XT!$P136&gt;0,AT136,"")</f>
        <v/>
      </c>
      <c r="AV136" s="12" t="str">
        <f>IF(XT!$P136=0,AT136,"")</f>
        <v/>
      </c>
    </row>
    <row r="137" spans="1:48">
      <c r="A137">
        <f>SUMPRODUCT((MONTH(CHOOSE({1,2,3,4},XT!U137,XT!Y137,XT!AC137,XT!AG137))=1)*(CHOOSE({1,2,3,4},XT!X137,XT!AB137,XT!AF137,XT!AJ137)))</f>
        <v>0</v>
      </c>
      <c r="B137">
        <f>IFERROR(INDEX(CHOOSE({1,2,3,4}, DAY(XT!U137), DAY(XT!Y137), DAY(XT!AC137), DAY(XT!AG137)), MATCH(1, INDEX(--(MONTH(CHOOSE({1,2,3,4}, XT!U137,XT!Y137,XT!AC137,XT!AG137))=1), 0), 0)), "")</f>
        <v>0</v>
      </c>
      <c r="C137" s="12" t="str">
        <f>IF(XT!$P137&gt;0,B137,"")</f>
        <v/>
      </c>
      <c r="D137" s="12">
        <f>IF(XT!$P137=0,B137,"")</f>
        <v>0</v>
      </c>
      <c r="E137">
        <f>SUMPRODUCT((MONTH(CHOOSE({1,2,3,4},XT!U137,XT!Y137,XT!AC137,XT!AG137))=2)*(CHOOSE({1,2,3,4},XT!X137,XT!AB137,XT!AF137,XT!AJ137)))</f>
        <v>0</v>
      </c>
      <c r="F137" t="str">
        <f>IFERROR(INDEX(CHOOSE({1,2,3,4}, DAY(XT!U137), DAY(XT!Y137), DAY(XT!AC137), DAY(XT!AG137)), MATCH(1, INDEX(--(MONTH(CHOOSE({1,2,3,4}, XT!U137,XT!Y137,XT!AC137,XT!AG137))=2), 0), 0)), "")</f>
        <v/>
      </c>
      <c r="G137" s="12" t="str">
        <f>IF(XT!$P137&gt;0,F137,"")</f>
        <v/>
      </c>
      <c r="H137" s="12" t="str">
        <f>IF(XT!$P137=0,F137,"")</f>
        <v/>
      </c>
      <c r="I137">
        <f>SUMPRODUCT((MONTH(CHOOSE({1,2,3,4},XT!U137,XT!Y137,XT!AC137,XT!AG137))=3)*(CHOOSE({1,2,3,4},XT!X137,XT!AB137,XT!AF137,XT!AJ137)))</f>
        <v>0</v>
      </c>
      <c r="J137" t="str">
        <f>IFERROR(INDEX(CHOOSE({1,2,3,4}, DAY(XT!U137), DAY(XT!Y137), DAY(XT!AC137), DAY(XT!AG137)), MATCH(1, INDEX(--(MONTH(CHOOSE({1,2,3,4}, XT!U137,XT!Y137,XT!AC137,XT!AG137))=3), 0), 0)), "")</f>
        <v/>
      </c>
      <c r="K137" s="12" t="str">
        <f>IF(XT!$P137&gt;0,J137,"")</f>
        <v/>
      </c>
      <c r="L137" s="12" t="str">
        <f>IF(XT!$P137=0,J137,"")</f>
        <v/>
      </c>
      <c r="M137">
        <f>SUMPRODUCT((MONTH(CHOOSE({1,2,3,4},XT!U137,XT!Y137,XT!AC137,XT!AG137))=4)*(CHOOSE({1,2,3,4},XT!X137,XT!AB137,XT!AF137,XT!AJ137)))</f>
        <v>0</v>
      </c>
      <c r="N137" t="str">
        <f>IFERROR(INDEX(CHOOSE({1,2,3,4}, DAY(XT!U137), DAY(XT!Y137), DAY(XT!AC137), DAY(XT!AG137)), MATCH(1, INDEX(--(MONTH(CHOOSE({1,2,3,4}, XT!U137,XT!Y137,XT!AC137,XT!AG137))=4), 0), 0)), "")</f>
        <v/>
      </c>
      <c r="O137" s="12" t="str">
        <f>IF(XT!$P137&gt;0,N137,"")</f>
        <v/>
      </c>
      <c r="P137" s="12" t="str">
        <f>IF(XT!$P137=0,N137,"")</f>
        <v/>
      </c>
      <c r="Q137">
        <f>SUMPRODUCT((MONTH(CHOOSE({1,2,3,4},XT!U137,XT!Y137,XT!AC137,XT!AG137))=5)*(CHOOSE({1,2,3,4},XT!X137,XT!AB137,XT!AF137,XT!AJ137)))</f>
        <v>0</v>
      </c>
      <c r="R137" t="str">
        <f>IFERROR(INDEX(CHOOSE({1,2,3,4}, DAY(XT!U137), DAY(XT!Y137), DAY(XT!AC137), DAY(XT!AG137)), MATCH(1, INDEX(--(MONTH(CHOOSE({1,2,3,4}, XT!U137,XT!Y137,XT!AC137,XT!AG137))=5), 0), 0)), "")</f>
        <v/>
      </c>
      <c r="S137" s="12" t="str">
        <f>IF(XT!$P137&gt;0,R137,"")</f>
        <v/>
      </c>
      <c r="T137" s="12" t="str">
        <f>IF(XT!$P137=0,R137,"")</f>
        <v/>
      </c>
      <c r="U137">
        <f>SUMPRODUCT((MONTH(CHOOSE({1,2,3,4},XT!U137,XT!Y137,XT!AC137,XT!AG137))=6)*(CHOOSE({1,2,3,4},XT!X137,XT!AB137,XT!AF137,XT!AJ137)))</f>
        <v>0</v>
      </c>
      <c r="V137" t="str">
        <f>IFERROR(INDEX(CHOOSE({1,2,3,4}, DAY(XT!U137), DAY(XT!Y137), DAY(XT!AC137), DAY(XT!AG137)), MATCH(1, INDEX(--(MONTH(CHOOSE({1,2,3,4}, XT!U137,XT!Y137,XT!AC137,XT!AG137))=6), 0), 0)), "")</f>
        <v/>
      </c>
      <c r="W137" s="12" t="str">
        <f>IF(XT!$P137&gt;0,V137,"")</f>
        <v/>
      </c>
      <c r="X137" s="12" t="str">
        <f>IF(XT!$P137=0,V137,"")</f>
        <v/>
      </c>
      <c r="Y137">
        <f>SUMPRODUCT((MONTH(CHOOSE({1,2,3,4},XT!U137,XT!Y137,XT!AC137,XT!AG137))=7)*(CHOOSE({1,2,3,4},XT!X137,XT!AB137,XT!AF137,XT!AJ137)))</f>
        <v>0</v>
      </c>
      <c r="Z137" t="str">
        <f>IFERROR(INDEX(CHOOSE({1,2,3,4}, DAY(XT!U137), DAY(XT!Y137), DAY(XT!AC137), DAY(XT!AG137)), MATCH(1, INDEX(--(MONTH(CHOOSE({1,2,3,4}, XT!U137,XT!Y137,XT!AC137,XT!AG137))=7), 0), 0)), "")</f>
        <v/>
      </c>
      <c r="AA137" s="12" t="str">
        <f>IF(XT!$P137&gt;0,Z137,"")</f>
        <v/>
      </c>
      <c r="AB137" s="12" t="str">
        <f>IF(XT!$P137=0,Z137,"")</f>
        <v/>
      </c>
      <c r="AC137">
        <f>SUMPRODUCT((MONTH(CHOOSE({1,2,3,4},XT!U137,XT!Y137,XT!AC137,XT!AG137))=8)*(CHOOSE({1,2,3,4},XT!X137,XT!AB137,XT!AF137,XT!AJ137)))</f>
        <v>0</v>
      </c>
      <c r="AD137" t="str">
        <f>IFERROR(INDEX(CHOOSE({1,2,3,4}, DAY(XT!U137), DAY(XT!Y137), DAY(XT!AC137), DAY(XT!AG137)), MATCH(1, INDEX(--(MONTH(CHOOSE({1,2,3,4}, XT!U137,XT!Y137,XT!AC137,XT!AG137))=8), 0), 0)), "")</f>
        <v/>
      </c>
      <c r="AE137" s="12" t="str">
        <f>IF(XT!$P137&gt;0,AD137,"")</f>
        <v/>
      </c>
      <c r="AF137" s="12" t="str">
        <f>IF(XT!$P137=0,AD137,"")</f>
        <v/>
      </c>
      <c r="AG137">
        <f>SUMPRODUCT((MONTH(CHOOSE({1,2,3,4},XT!U137,XT!Y137,XT!AC137,XT!AG137))=9)*(CHOOSE({1,2,3,4},XT!X137,XT!AB137,XT!AF137,XT!AJ137)))</f>
        <v>0</v>
      </c>
      <c r="AH137" t="str">
        <f>IFERROR(INDEX(CHOOSE({1,2,3,4}, DAY(XT!U137), DAY(XT!Y137), DAY(XT!AC137), DAY(XT!AG137)), MATCH(1, INDEX(--(MONTH(CHOOSE({1,2,3,4}, XT!U137,XT!Y137,XT!AC137,XT!AG137))=9), 0), 0)), "")</f>
        <v/>
      </c>
      <c r="AI137" s="12" t="str">
        <f>IF(XT!$P137&gt;0,AH137,"")</f>
        <v/>
      </c>
      <c r="AJ137" s="12" t="str">
        <f>IF(XT!$P137=0,AH137,"")</f>
        <v/>
      </c>
      <c r="AK137">
        <f>SUMPRODUCT((MONTH(CHOOSE({1,2,3,4},XT!U137,XT!Y137,XT!AC137,XT!AG137))=10)*(CHOOSE({1,2,3,4},XT!X137,XT!AB137,XT!AF137,XT!AJ137)))</f>
        <v>0</v>
      </c>
      <c r="AL137" t="str">
        <f>IFERROR(INDEX(CHOOSE({1,2,3,4}, DAY(XT!U137), DAY(XT!Y137), DAY(XT!AC137), DAY(XT!AG137)), MATCH(1, INDEX(--(MONTH(CHOOSE({1,2,3,4}, XT!U137,XT!Y137,XT!AC137,XT!AG137))=10), 0), 0)), "")</f>
        <v/>
      </c>
      <c r="AM137" s="12" t="str">
        <f>IF(XT!$P137&gt;0,AL137,"")</f>
        <v/>
      </c>
      <c r="AN137" s="12" t="str">
        <f>IF(XT!$P137=0,AL137,"")</f>
        <v/>
      </c>
      <c r="AO137">
        <f>SUMPRODUCT((MONTH(CHOOSE({1,2,3,4},XT!U137,XT!Y137,XT!AC137,XT!AG137))=11)*(CHOOSE({1,2,3,4},XT!X137,XT!AB137,XT!AF137,XT!AJ137)))</f>
        <v>0</v>
      </c>
      <c r="AP137" t="str">
        <f>IFERROR(INDEX(CHOOSE({1,2,3,4}, DAY(XT!U137), DAY(XT!Y137), DAY(XT!AC137), DAY(XT!AG137)), MATCH(1, INDEX(--(MONTH(CHOOSE({1,2,3,4}, XT!U137,XT!Y137,XT!AC137,XT!AG137))=11), 0), 0)), "")</f>
        <v/>
      </c>
      <c r="AQ137" s="12" t="str">
        <f>IF(XT!$P137&gt;0,AP137,"")</f>
        <v/>
      </c>
      <c r="AR137" s="12" t="str">
        <f>IF(XT!$P137=0,AP137,"")</f>
        <v/>
      </c>
      <c r="AS137">
        <f>SUMPRODUCT((MONTH(CHOOSE({1,2,3,4},XT!U137,XT!Y137,XT!AC137,XT!AG137))=12)*(CHOOSE({1,2,3,4},XT!X137,XT!AB137,XT!AF137,XT!AJ137)))</f>
        <v>0</v>
      </c>
      <c r="AT137" t="str">
        <f>IFERROR(INDEX(CHOOSE({1,2,3,4}, DAY(XT!U137), DAY(XT!Y137), DAY(XT!AC137), DAY(XT!AG137)), MATCH(1, INDEX(--(MONTH(CHOOSE({1,2,3,4}, XT!U137,XT!Y137,XT!AC137,XT!AG137))=12), 0), 0)), "")</f>
        <v/>
      </c>
      <c r="AU137" s="12" t="str">
        <f>IF(XT!$P137&gt;0,AT137,"")</f>
        <v/>
      </c>
      <c r="AV137" s="12" t="str">
        <f>IF(XT!$P137=0,AT137,"")</f>
        <v/>
      </c>
    </row>
    <row r="138" spans="1:48">
      <c r="A138">
        <f>SUMPRODUCT((MONTH(CHOOSE({1,2,3,4},XT!U138,XT!Y138,XT!AC138,XT!AG138))=1)*(CHOOSE({1,2,3,4},XT!X138,XT!AB138,XT!AF138,XT!AJ138)))</f>
        <v>0</v>
      </c>
      <c r="B138">
        <f>IFERROR(INDEX(CHOOSE({1,2,3,4}, DAY(XT!U138), DAY(XT!Y138), DAY(XT!AC138), DAY(XT!AG138)), MATCH(1, INDEX(--(MONTH(CHOOSE({1,2,3,4}, XT!U138,XT!Y138,XT!AC138,XT!AG138))=1), 0), 0)), "")</f>
        <v>0</v>
      </c>
      <c r="C138" s="12" t="str">
        <f>IF(XT!$P138&gt;0,B138,"")</f>
        <v/>
      </c>
      <c r="D138" s="12">
        <f>IF(XT!$P138=0,B138,"")</f>
        <v>0</v>
      </c>
      <c r="E138">
        <f>SUMPRODUCT((MONTH(CHOOSE({1,2,3,4},XT!U138,XT!Y138,XT!AC138,XT!AG138))=2)*(CHOOSE({1,2,3,4},XT!X138,XT!AB138,XT!AF138,XT!AJ138)))</f>
        <v>0</v>
      </c>
      <c r="F138" t="str">
        <f>IFERROR(INDEX(CHOOSE({1,2,3,4}, DAY(XT!U138), DAY(XT!Y138), DAY(XT!AC138), DAY(XT!AG138)), MATCH(1, INDEX(--(MONTH(CHOOSE({1,2,3,4}, XT!U138,XT!Y138,XT!AC138,XT!AG138))=2), 0), 0)), "")</f>
        <v/>
      </c>
      <c r="G138" s="12" t="str">
        <f>IF(XT!$P138&gt;0,F138,"")</f>
        <v/>
      </c>
      <c r="H138" s="12" t="str">
        <f>IF(XT!$P138=0,F138,"")</f>
        <v/>
      </c>
      <c r="I138">
        <f>SUMPRODUCT((MONTH(CHOOSE({1,2,3,4},XT!U138,XT!Y138,XT!AC138,XT!AG138))=3)*(CHOOSE({1,2,3,4},XT!X138,XT!AB138,XT!AF138,XT!AJ138)))</f>
        <v>0</v>
      </c>
      <c r="J138" t="str">
        <f>IFERROR(INDEX(CHOOSE({1,2,3,4}, DAY(XT!U138), DAY(XT!Y138), DAY(XT!AC138), DAY(XT!AG138)), MATCH(1, INDEX(--(MONTH(CHOOSE({1,2,3,4}, XT!U138,XT!Y138,XT!AC138,XT!AG138))=3), 0), 0)), "")</f>
        <v/>
      </c>
      <c r="K138" s="12" t="str">
        <f>IF(XT!$P138&gt;0,J138,"")</f>
        <v/>
      </c>
      <c r="L138" s="12" t="str">
        <f>IF(XT!$P138=0,J138,"")</f>
        <v/>
      </c>
      <c r="M138">
        <f>SUMPRODUCT((MONTH(CHOOSE({1,2,3,4},XT!U138,XT!Y138,XT!AC138,XT!AG138))=4)*(CHOOSE({1,2,3,4},XT!X138,XT!AB138,XT!AF138,XT!AJ138)))</f>
        <v>0</v>
      </c>
      <c r="N138" t="str">
        <f>IFERROR(INDEX(CHOOSE({1,2,3,4}, DAY(XT!U138), DAY(XT!Y138), DAY(XT!AC138), DAY(XT!AG138)), MATCH(1, INDEX(--(MONTH(CHOOSE({1,2,3,4}, XT!U138,XT!Y138,XT!AC138,XT!AG138))=4), 0), 0)), "")</f>
        <v/>
      </c>
      <c r="O138" s="12" t="str">
        <f>IF(XT!$P138&gt;0,N138,"")</f>
        <v/>
      </c>
      <c r="P138" s="12" t="str">
        <f>IF(XT!$P138=0,N138,"")</f>
        <v/>
      </c>
      <c r="Q138">
        <f>SUMPRODUCT((MONTH(CHOOSE({1,2,3,4},XT!U138,XT!Y138,XT!AC138,XT!AG138))=5)*(CHOOSE({1,2,3,4},XT!X138,XT!AB138,XT!AF138,XT!AJ138)))</f>
        <v>0</v>
      </c>
      <c r="R138" t="str">
        <f>IFERROR(INDEX(CHOOSE({1,2,3,4}, DAY(XT!U138), DAY(XT!Y138), DAY(XT!AC138), DAY(XT!AG138)), MATCH(1, INDEX(--(MONTH(CHOOSE({1,2,3,4}, XT!U138,XT!Y138,XT!AC138,XT!AG138))=5), 0), 0)), "")</f>
        <v/>
      </c>
      <c r="S138" s="12" t="str">
        <f>IF(XT!$P138&gt;0,R138,"")</f>
        <v/>
      </c>
      <c r="T138" s="12" t="str">
        <f>IF(XT!$P138=0,R138,"")</f>
        <v/>
      </c>
      <c r="U138">
        <f>SUMPRODUCT((MONTH(CHOOSE({1,2,3,4},XT!U138,XT!Y138,XT!AC138,XT!AG138))=6)*(CHOOSE({1,2,3,4},XT!X138,XT!AB138,XT!AF138,XT!AJ138)))</f>
        <v>0</v>
      </c>
      <c r="V138" t="str">
        <f>IFERROR(INDEX(CHOOSE({1,2,3,4}, DAY(XT!U138), DAY(XT!Y138), DAY(XT!AC138), DAY(XT!AG138)), MATCH(1, INDEX(--(MONTH(CHOOSE({1,2,3,4}, XT!U138,XT!Y138,XT!AC138,XT!AG138))=6), 0), 0)), "")</f>
        <v/>
      </c>
      <c r="W138" s="12" t="str">
        <f>IF(XT!$P138&gt;0,V138,"")</f>
        <v/>
      </c>
      <c r="X138" s="12" t="str">
        <f>IF(XT!$P138=0,V138,"")</f>
        <v/>
      </c>
      <c r="Y138">
        <f>SUMPRODUCT((MONTH(CHOOSE({1,2,3,4},XT!U138,XT!Y138,XT!AC138,XT!AG138))=7)*(CHOOSE({1,2,3,4},XT!X138,XT!AB138,XT!AF138,XT!AJ138)))</f>
        <v>0</v>
      </c>
      <c r="Z138" t="str">
        <f>IFERROR(INDEX(CHOOSE({1,2,3,4}, DAY(XT!U138), DAY(XT!Y138), DAY(XT!AC138), DAY(XT!AG138)), MATCH(1, INDEX(--(MONTH(CHOOSE({1,2,3,4}, XT!U138,XT!Y138,XT!AC138,XT!AG138))=7), 0), 0)), "")</f>
        <v/>
      </c>
      <c r="AA138" s="12" t="str">
        <f>IF(XT!$P138&gt;0,Z138,"")</f>
        <v/>
      </c>
      <c r="AB138" s="12" t="str">
        <f>IF(XT!$P138=0,Z138,"")</f>
        <v/>
      </c>
      <c r="AC138">
        <f>SUMPRODUCT((MONTH(CHOOSE({1,2,3,4},XT!U138,XT!Y138,XT!AC138,XT!AG138))=8)*(CHOOSE({1,2,3,4},XT!X138,XT!AB138,XT!AF138,XT!AJ138)))</f>
        <v>0</v>
      </c>
      <c r="AD138" t="str">
        <f>IFERROR(INDEX(CHOOSE({1,2,3,4}, DAY(XT!U138), DAY(XT!Y138), DAY(XT!AC138), DAY(XT!AG138)), MATCH(1, INDEX(--(MONTH(CHOOSE({1,2,3,4}, XT!U138,XT!Y138,XT!AC138,XT!AG138))=8), 0), 0)), "")</f>
        <v/>
      </c>
      <c r="AE138" s="12" t="str">
        <f>IF(XT!$P138&gt;0,AD138,"")</f>
        <v/>
      </c>
      <c r="AF138" s="12" t="str">
        <f>IF(XT!$P138=0,AD138,"")</f>
        <v/>
      </c>
      <c r="AG138">
        <f>SUMPRODUCT((MONTH(CHOOSE({1,2,3,4},XT!U138,XT!Y138,XT!AC138,XT!AG138))=9)*(CHOOSE({1,2,3,4},XT!X138,XT!AB138,XT!AF138,XT!AJ138)))</f>
        <v>0</v>
      </c>
      <c r="AH138" t="str">
        <f>IFERROR(INDEX(CHOOSE({1,2,3,4}, DAY(XT!U138), DAY(XT!Y138), DAY(XT!AC138), DAY(XT!AG138)), MATCH(1, INDEX(--(MONTH(CHOOSE({1,2,3,4}, XT!U138,XT!Y138,XT!AC138,XT!AG138))=9), 0), 0)), "")</f>
        <v/>
      </c>
      <c r="AI138" s="12" t="str">
        <f>IF(XT!$P138&gt;0,AH138,"")</f>
        <v/>
      </c>
      <c r="AJ138" s="12" t="str">
        <f>IF(XT!$P138=0,AH138,"")</f>
        <v/>
      </c>
      <c r="AK138">
        <f>SUMPRODUCT((MONTH(CHOOSE({1,2,3,4},XT!U138,XT!Y138,XT!AC138,XT!AG138))=10)*(CHOOSE({1,2,3,4},XT!X138,XT!AB138,XT!AF138,XT!AJ138)))</f>
        <v>0</v>
      </c>
      <c r="AL138" t="str">
        <f>IFERROR(INDEX(CHOOSE({1,2,3,4}, DAY(XT!U138), DAY(XT!Y138), DAY(XT!AC138), DAY(XT!AG138)), MATCH(1, INDEX(--(MONTH(CHOOSE({1,2,3,4}, XT!U138,XT!Y138,XT!AC138,XT!AG138))=10), 0), 0)), "")</f>
        <v/>
      </c>
      <c r="AM138" s="12" t="str">
        <f>IF(XT!$P138&gt;0,AL138,"")</f>
        <v/>
      </c>
      <c r="AN138" s="12" t="str">
        <f>IF(XT!$P138=0,AL138,"")</f>
        <v/>
      </c>
      <c r="AO138">
        <f>SUMPRODUCT((MONTH(CHOOSE({1,2,3,4},XT!U138,XT!Y138,XT!AC138,XT!AG138))=11)*(CHOOSE({1,2,3,4},XT!X138,XT!AB138,XT!AF138,XT!AJ138)))</f>
        <v>0</v>
      </c>
      <c r="AP138" t="str">
        <f>IFERROR(INDEX(CHOOSE({1,2,3,4}, DAY(XT!U138), DAY(XT!Y138), DAY(XT!AC138), DAY(XT!AG138)), MATCH(1, INDEX(--(MONTH(CHOOSE({1,2,3,4}, XT!U138,XT!Y138,XT!AC138,XT!AG138))=11), 0), 0)), "")</f>
        <v/>
      </c>
      <c r="AQ138" s="12" t="str">
        <f>IF(XT!$P138&gt;0,AP138,"")</f>
        <v/>
      </c>
      <c r="AR138" s="12" t="str">
        <f>IF(XT!$P138=0,AP138,"")</f>
        <v/>
      </c>
      <c r="AS138">
        <f>SUMPRODUCT((MONTH(CHOOSE({1,2,3,4},XT!U138,XT!Y138,XT!AC138,XT!AG138))=12)*(CHOOSE({1,2,3,4},XT!X138,XT!AB138,XT!AF138,XT!AJ138)))</f>
        <v>0</v>
      </c>
      <c r="AT138" t="str">
        <f>IFERROR(INDEX(CHOOSE({1,2,3,4}, DAY(XT!U138), DAY(XT!Y138), DAY(XT!AC138), DAY(XT!AG138)), MATCH(1, INDEX(--(MONTH(CHOOSE({1,2,3,4}, XT!U138,XT!Y138,XT!AC138,XT!AG138))=12), 0), 0)), "")</f>
        <v/>
      </c>
      <c r="AU138" s="12" t="str">
        <f>IF(XT!$P138&gt;0,AT138,"")</f>
        <v/>
      </c>
      <c r="AV138" s="12" t="str">
        <f>IF(XT!$P138=0,AT138,"")</f>
        <v/>
      </c>
    </row>
    <row r="139" spans="1:48">
      <c r="A139">
        <f>SUMPRODUCT((MONTH(CHOOSE({1,2,3,4},XT!U139,XT!Y139,XT!AC139,XT!AG139))=1)*(CHOOSE({1,2,3,4},XT!X139,XT!AB139,XT!AF139,XT!AJ139)))</f>
        <v>0</v>
      </c>
      <c r="B139">
        <f>IFERROR(INDEX(CHOOSE({1,2,3,4}, DAY(XT!U139), DAY(XT!Y139), DAY(XT!AC139), DAY(XT!AG139)), MATCH(1, INDEX(--(MONTH(CHOOSE({1,2,3,4}, XT!U139,XT!Y139,XT!AC139,XT!AG139))=1), 0), 0)), "")</f>
        <v>0</v>
      </c>
      <c r="C139" s="12" t="str">
        <f>IF(XT!$P139&gt;0,B139,"")</f>
        <v/>
      </c>
      <c r="D139" s="12">
        <f>IF(XT!$P139=0,B139,"")</f>
        <v>0</v>
      </c>
      <c r="E139">
        <f>SUMPRODUCT((MONTH(CHOOSE({1,2,3,4},XT!U139,XT!Y139,XT!AC139,XT!AG139))=2)*(CHOOSE({1,2,3,4},XT!X139,XT!AB139,XT!AF139,XT!AJ139)))</f>
        <v>0</v>
      </c>
      <c r="F139" t="str">
        <f>IFERROR(INDEX(CHOOSE({1,2,3,4}, DAY(XT!U139), DAY(XT!Y139), DAY(XT!AC139), DAY(XT!AG139)), MATCH(1, INDEX(--(MONTH(CHOOSE({1,2,3,4}, XT!U139,XT!Y139,XT!AC139,XT!AG139))=2), 0), 0)), "")</f>
        <v/>
      </c>
      <c r="G139" s="12" t="str">
        <f>IF(XT!$P139&gt;0,F139,"")</f>
        <v/>
      </c>
      <c r="H139" s="12" t="str">
        <f>IF(XT!$P139=0,F139,"")</f>
        <v/>
      </c>
      <c r="I139">
        <f>SUMPRODUCT((MONTH(CHOOSE({1,2,3,4},XT!U139,XT!Y139,XT!AC139,XT!AG139))=3)*(CHOOSE({1,2,3,4},XT!X139,XT!AB139,XT!AF139,XT!AJ139)))</f>
        <v>0</v>
      </c>
      <c r="J139" t="str">
        <f>IFERROR(INDEX(CHOOSE({1,2,3,4}, DAY(XT!U139), DAY(XT!Y139), DAY(XT!AC139), DAY(XT!AG139)), MATCH(1, INDEX(--(MONTH(CHOOSE({1,2,3,4}, XT!U139,XT!Y139,XT!AC139,XT!AG139))=3), 0), 0)), "")</f>
        <v/>
      </c>
      <c r="K139" s="12" t="str">
        <f>IF(XT!$P139&gt;0,J139,"")</f>
        <v/>
      </c>
      <c r="L139" s="12" t="str">
        <f>IF(XT!$P139=0,J139,"")</f>
        <v/>
      </c>
      <c r="M139">
        <f>SUMPRODUCT((MONTH(CHOOSE({1,2,3,4},XT!U139,XT!Y139,XT!AC139,XT!AG139))=4)*(CHOOSE({1,2,3,4},XT!X139,XT!AB139,XT!AF139,XT!AJ139)))</f>
        <v>0</v>
      </c>
      <c r="N139" t="str">
        <f>IFERROR(INDEX(CHOOSE({1,2,3,4}, DAY(XT!U139), DAY(XT!Y139), DAY(XT!AC139), DAY(XT!AG139)), MATCH(1, INDEX(--(MONTH(CHOOSE({1,2,3,4}, XT!U139,XT!Y139,XT!AC139,XT!AG139))=4), 0), 0)), "")</f>
        <v/>
      </c>
      <c r="O139" s="12" t="str">
        <f>IF(XT!$P139&gt;0,N139,"")</f>
        <v/>
      </c>
      <c r="P139" s="12" t="str">
        <f>IF(XT!$P139=0,N139,"")</f>
        <v/>
      </c>
      <c r="Q139">
        <f>SUMPRODUCT((MONTH(CHOOSE({1,2,3,4},XT!U139,XT!Y139,XT!AC139,XT!AG139))=5)*(CHOOSE({1,2,3,4},XT!X139,XT!AB139,XT!AF139,XT!AJ139)))</f>
        <v>0</v>
      </c>
      <c r="R139" t="str">
        <f>IFERROR(INDEX(CHOOSE({1,2,3,4}, DAY(XT!U139), DAY(XT!Y139), DAY(XT!AC139), DAY(XT!AG139)), MATCH(1, INDEX(--(MONTH(CHOOSE({1,2,3,4}, XT!U139,XT!Y139,XT!AC139,XT!AG139))=5), 0), 0)), "")</f>
        <v/>
      </c>
      <c r="S139" s="12" t="str">
        <f>IF(XT!$P139&gt;0,R139,"")</f>
        <v/>
      </c>
      <c r="T139" s="12" t="str">
        <f>IF(XT!$P139=0,R139,"")</f>
        <v/>
      </c>
      <c r="U139">
        <f>SUMPRODUCT((MONTH(CHOOSE({1,2,3,4},XT!U139,XT!Y139,XT!AC139,XT!AG139))=6)*(CHOOSE({1,2,3,4},XT!X139,XT!AB139,XT!AF139,XT!AJ139)))</f>
        <v>0</v>
      </c>
      <c r="V139" t="str">
        <f>IFERROR(INDEX(CHOOSE({1,2,3,4}, DAY(XT!U139), DAY(XT!Y139), DAY(XT!AC139), DAY(XT!AG139)), MATCH(1, INDEX(--(MONTH(CHOOSE({1,2,3,4}, XT!U139,XT!Y139,XT!AC139,XT!AG139))=6), 0), 0)), "")</f>
        <v/>
      </c>
      <c r="W139" s="12" t="str">
        <f>IF(XT!$P139&gt;0,V139,"")</f>
        <v/>
      </c>
      <c r="X139" s="12" t="str">
        <f>IF(XT!$P139=0,V139,"")</f>
        <v/>
      </c>
      <c r="Y139">
        <f>SUMPRODUCT((MONTH(CHOOSE({1,2,3,4},XT!U139,XT!Y139,XT!AC139,XT!AG139))=7)*(CHOOSE({1,2,3,4},XT!X139,XT!AB139,XT!AF139,XT!AJ139)))</f>
        <v>0</v>
      </c>
      <c r="Z139" t="str">
        <f>IFERROR(INDEX(CHOOSE({1,2,3,4}, DAY(XT!U139), DAY(XT!Y139), DAY(XT!AC139), DAY(XT!AG139)), MATCH(1, INDEX(--(MONTH(CHOOSE({1,2,3,4}, XT!U139,XT!Y139,XT!AC139,XT!AG139))=7), 0), 0)), "")</f>
        <v/>
      </c>
      <c r="AA139" s="12" t="str">
        <f>IF(XT!$P139&gt;0,Z139,"")</f>
        <v/>
      </c>
      <c r="AB139" s="12" t="str">
        <f>IF(XT!$P139=0,Z139,"")</f>
        <v/>
      </c>
      <c r="AC139">
        <f>SUMPRODUCT((MONTH(CHOOSE({1,2,3,4},XT!U139,XT!Y139,XT!AC139,XT!AG139))=8)*(CHOOSE({1,2,3,4},XT!X139,XT!AB139,XT!AF139,XT!AJ139)))</f>
        <v>0</v>
      </c>
      <c r="AD139" t="str">
        <f>IFERROR(INDEX(CHOOSE({1,2,3,4}, DAY(XT!U139), DAY(XT!Y139), DAY(XT!AC139), DAY(XT!AG139)), MATCH(1, INDEX(--(MONTH(CHOOSE({1,2,3,4}, XT!U139,XT!Y139,XT!AC139,XT!AG139))=8), 0), 0)), "")</f>
        <v/>
      </c>
      <c r="AE139" s="12" t="str">
        <f>IF(XT!$P139&gt;0,AD139,"")</f>
        <v/>
      </c>
      <c r="AF139" s="12" t="str">
        <f>IF(XT!$P139=0,AD139,"")</f>
        <v/>
      </c>
      <c r="AG139">
        <f>SUMPRODUCT((MONTH(CHOOSE({1,2,3,4},XT!U139,XT!Y139,XT!AC139,XT!AG139))=9)*(CHOOSE({1,2,3,4},XT!X139,XT!AB139,XT!AF139,XT!AJ139)))</f>
        <v>0</v>
      </c>
      <c r="AH139" t="str">
        <f>IFERROR(INDEX(CHOOSE({1,2,3,4}, DAY(XT!U139), DAY(XT!Y139), DAY(XT!AC139), DAY(XT!AG139)), MATCH(1, INDEX(--(MONTH(CHOOSE({1,2,3,4}, XT!U139,XT!Y139,XT!AC139,XT!AG139))=9), 0), 0)), "")</f>
        <v/>
      </c>
      <c r="AI139" s="12" t="str">
        <f>IF(XT!$P139&gt;0,AH139,"")</f>
        <v/>
      </c>
      <c r="AJ139" s="12" t="str">
        <f>IF(XT!$P139=0,AH139,"")</f>
        <v/>
      </c>
      <c r="AK139">
        <f>SUMPRODUCT((MONTH(CHOOSE({1,2,3,4},XT!U139,XT!Y139,XT!AC139,XT!AG139))=10)*(CHOOSE({1,2,3,4},XT!X139,XT!AB139,XT!AF139,XT!AJ139)))</f>
        <v>0</v>
      </c>
      <c r="AL139" t="str">
        <f>IFERROR(INDEX(CHOOSE({1,2,3,4}, DAY(XT!U139), DAY(XT!Y139), DAY(XT!AC139), DAY(XT!AG139)), MATCH(1, INDEX(--(MONTH(CHOOSE({1,2,3,4}, XT!U139,XT!Y139,XT!AC139,XT!AG139))=10), 0), 0)), "")</f>
        <v/>
      </c>
      <c r="AM139" s="12" t="str">
        <f>IF(XT!$P139&gt;0,AL139,"")</f>
        <v/>
      </c>
      <c r="AN139" s="12" t="str">
        <f>IF(XT!$P139=0,AL139,"")</f>
        <v/>
      </c>
      <c r="AO139">
        <f>SUMPRODUCT((MONTH(CHOOSE({1,2,3,4},XT!U139,XT!Y139,XT!AC139,XT!AG139))=11)*(CHOOSE({1,2,3,4},XT!X139,XT!AB139,XT!AF139,XT!AJ139)))</f>
        <v>0</v>
      </c>
      <c r="AP139" t="str">
        <f>IFERROR(INDEX(CHOOSE({1,2,3,4}, DAY(XT!U139), DAY(XT!Y139), DAY(XT!AC139), DAY(XT!AG139)), MATCH(1, INDEX(--(MONTH(CHOOSE({1,2,3,4}, XT!U139,XT!Y139,XT!AC139,XT!AG139))=11), 0), 0)), "")</f>
        <v/>
      </c>
      <c r="AQ139" s="12" t="str">
        <f>IF(XT!$P139&gt;0,AP139,"")</f>
        <v/>
      </c>
      <c r="AR139" s="12" t="str">
        <f>IF(XT!$P139=0,AP139,"")</f>
        <v/>
      </c>
      <c r="AS139">
        <f>SUMPRODUCT((MONTH(CHOOSE({1,2,3,4},XT!U139,XT!Y139,XT!AC139,XT!AG139))=12)*(CHOOSE({1,2,3,4},XT!X139,XT!AB139,XT!AF139,XT!AJ139)))</f>
        <v>0</v>
      </c>
      <c r="AT139" t="str">
        <f>IFERROR(INDEX(CHOOSE({1,2,3,4}, DAY(XT!U139), DAY(XT!Y139), DAY(XT!AC139), DAY(XT!AG139)), MATCH(1, INDEX(--(MONTH(CHOOSE({1,2,3,4}, XT!U139,XT!Y139,XT!AC139,XT!AG139))=12), 0), 0)), "")</f>
        <v/>
      </c>
      <c r="AU139" s="12" t="str">
        <f>IF(XT!$P139&gt;0,AT139,"")</f>
        <v/>
      </c>
      <c r="AV139" s="12" t="str">
        <f>IF(XT!$P139=0,AT139,"")</f>
        <v/>
      </c>
    </row>
    <row r="140" spans="1:48">
      <c r="A140">
        <f>SUMPRODUCT((MONTH(CHOOSE({1,2,3,4},XT!U140,XT!Y140,XT!AC140,XT!AG140))=1)*(CHOOSE({1,2,3,4},XT!X140,XT!AB140,XT!AF140,XT!AJ140)))</f>
        <v>0</v>
      </c>
      <c r="B140">
        <f>IFERROR(INDEX(CHOOSE({1,2,3,4}, DAY(XT!U140), DAY(XT!Y140), DAY(XT!AC140), DAY(XT!AG140)), MATCH(1, INDEX(--(MONTH(CHOOSE({1,2,3,4}, XT!U140,XT!Y140,XT!AC140,XT!AG140))=1), 0), 0)), "")</f>
        <v>0</v>
      </c>
      <c r="C140" s="12" t="str">
        <f>IF(XT!$P140&gt;0,B140,"")</f>
        <v/>
      </c>
      <c r="D140" s="12">
        <f>IF(XT!$P140=0,B140,"")</f>
        <v>0</v>
      </c>
      <c r="E140">
        <f>SUMPRODUCT((MONTH(CHOOSE({1,2,3,4},XT!U140,XT!Y140,XT!AC140,XT!AG140))=2)*(CHOOSE({1,2,3,4},XT!X140,XT!AB140,XT!AF140,XT!AJ140)))</f>
        <v>0</v>
      </c>
      <c r="F140" t="str">
        <f>IFERROR(INDEX(CHOOSE({1,2,3,4}, DAY(XT!U140), DAY(XT!Y140), DAY(XT!AC140), DAY(XT!AG140)), MATCH(1, INDEX(--(MONTH(CHOOSE({1,2,3,4}, XT!U140,XT!Y140,XT!AC140,XT!AG140))=2), 0), 0)), "")</f>
        <v/>
      </c>
      <c r="G140" s="12" t="str">
        <f>IF(XT!$P140&gt;0,F140,"")</f>
        <v/>
      </c>
      <c r="H140" s="12" t="str">
        <f>IF(XT!$P140=0,F140,"")</f>
        <v/>
      </c>
      <c r="I140">
        <f>SUMPRODUCT((MONTH(CHOOSE({1,2,3,4},XT!U140,XT!Y140,XT!AC140,XT!AG140))=3)*(CHOOSE({1,2,3,4},XT!X140,XT!AB140,XT!AF140,XT!AJ140)))</f>
        <v>0</v>
      </c>
      <c r="J140" t="str">
        <f>IFERROR(INDEX(CHOOSE({1,2,3,4}, DAY(XT!U140), DAY(XT!Y140), DAY(XT!AC140), DAY(XT!AG140)), MATCH(1, INDEX(--(MONTH(CHOOSE({1,2,3,4}, XT!U140,XT!Y140,XT!AC140,XT!AG140))=3), 0), 0)), "")</f>
        <v/>
      </c>
      <c r="K140" s="12" t="str">
        <f>IF(XT!$P140&gt;0,J140,"")</f>
        <v/>
      </c>
      <c r="L140" s="12" t="str">
        <f>IF(XT!$P140=0,J140,"")</f>
        <v/>
      </c>
      <c r="M140">
        <f>SUMPRODUCT((MONTH(CHOOSE({1,2,3,4},XT!U140,XT!Y140,XT!AC140,XT!AG140))=4)*(CHOOSE({1,2,3,4},XT!X140,XT!AB140,XT!AF140,XT!AJ140)))</f>
        <v>0</v>
      </c>
      <c r="N140" t="str">
        <f>IFERROR(INDEX(CHOOSE({1,2,3,4}, DAY(XT!U140), DAY(XT!Y140), DAY(XT!AC140), DAY(XT!AG140)), MATCH(1, INDEX(--(MONTH(CHOOSE({1,2,3,4}, XT!U140,XT!Y140,XT!AC140,XT!AG140))=4), 0), 0)), "")</f>
        <v/>
      </c>
      <c r="O140" s="12" t="str">
        <f>IF(XT!$P140&gt;0,N140,"")</f>
        <v/>
      </c>
      <c r="P140" s="12" t="str">
        <f>IF(XT!$P140=0,N140,"")</f>
        <v/>
      </c>
      <c r="Q140">
        <f>SUMPRODUCT((MONTH(CHOOSE({1,2,3,4},XT!U140,XT!Y140,XT!AC140,XT!AG140))=5)*(CHOOSE({1,2,3,4},XT!X140,XT!AB140,XT!AF140,XT!AJ140)))</f>
        <v>0</v>
      </c>
      <c r="R140" t="str">
        <f>IFERROR(INDEX(CHOOSE({1,2,3,4}, DAY(XT!U140), DAY(XT!Y140), DAY(XT!AC140), DAY(XT!AG140)), MATCH(1, INDEX(--(MONTH(CHOOSE({1,2,3,4}, XT!U140,XT!Y140,XT!AC140,XT!AG140))=5), 0), 0)), "")</f>
        <v/>
      </c>
      <c r="S140" s="12" t="str">
        <f>IF(XT!$P140&gt;0,R140,"")</f>
        <v/>
      </c>
      <c r="T140" s="12" t="str">
        <f>IF(XT!$P140=0,R140,"")</f>
        <v/>
      </c>
      <c r="U140">
        <f>SUMPRODUCT((MONTH(CHOOSE({1,2,3,4},XT!U140,XT!Y140,XT!AC140,XT!AG140))=6)*(CHOOSE({1,2,3,4},XT!X140,XT!AB140,XT!AF140,XT!AJ140)))</f>
        <v>0</v>
      </c>
      <c r="V140" t="str">
        <f>IFERROR(INDEX(CHOOSE({1,2,3,4}, DAY(XT!U140), DAY(XT!Y140), DAY(XT!AC140), DAY(XT!AG140)), MATCH(1, INDEX(--(MONTH(CHOOSE({1,2,3,4}, XT!U140,XT!Y140,XT!AC140,XT!AG140))=6), 0), 0)), "")</f>
        <v/>
      </c>
      <c r="W140" s="12" t="str">
        <f>IF(XT!$P140&gt;0,V140,"")</f>
        <v/>
      </c>
      <c r="X140" s="12" t="str">
        <f>IF(XT!$P140=0,V140,"")</f>
        <v/>
      </c>
      <c r="Y140">
        <f>SUMPRODUCT((MONTH(CHOOSE({1,2,3,4},XT!U140,XT!Y140,XT!AC140,XT!AG140))=7)*(CHOOSE({1,2,3,4},XT!X140,XT!AB140,XT!AF140,XT!AJ140)))</f>
        <v>0</v>
      </c>
      <c r="Z140" t="str">
        <f>IFERROR(INDEX(CHOOSE({1,2,3,4}, DAY(XT!U140), DAY(XT!Y140), DAY(XT!AC140), DAY(XT!AG140)), MATCH(1, INDEX(--(MONTH(CHOOSE({1,2,3,4}, XT!U140,XT!Y140,XT!AC140,XT!AG140))=7), 0), 0)), "")</f>
        <v/>
      </c>
      <c r="AA140" s="12" t="str">
        <f>IF(XT!$P140&gt;0,Z140,"")</f>
        <v/>
      </c>
      <c r="AB140" s="12" t="str">
        <f>IF(XT!$P140=0,Z140,"")</f>
        <v/>
      </c>
      <c r="AC140">
        <f>SUMPRODUCT((MONTH(CHOOSE({1,2,3,4},XT!U140,XT!Y140,XT!AC140,XT!AG140))=8)*(CHOOSE({1,2,3,4},XT!X140,XT!AB140,XT!AF140,XT!AJ140)))</f>
        <v>0</v>
      </c>
      <c r="AD140" t="str">
        <f>IFERROR(INDEX(CHOOSE({1,2,3,4}, DAY(XT!U140), DAY(XT!Y140), DAY(XT!AC140), DAY(XT!AG140)), MATCH(1, INDEX(--(MONTH(CHOOSE({1,2,3,4}, XT!U140,XT!Y140,XT!AC140,XT!AG140))=8), 0), 0)), "")</f>
        <v/>
      </c>
      <c r="AE140" s="12" t="str">
        <f>IF(XT!$P140&gt;0,AD140,"")</f>
        <v/>
      </c>
      <c r="AF140" s="12" t="str">
        <f>IF(XT!$P140=0,AD140,"")</f>
        <v/>
      </c>
      <c r="AG140">
        <f>SUMPRODUCT((MONTH(CHOOSE({1,2,3,4},XT!U140,XT!Y140,XT!AC140,XT!AG140))=9)*(CHOOSE({1,2,3,4},XT!X140,XT!AB140,XT!AF140,XT!AJ140)))</f>
        <v>0</v>
      </c>
      <c r="AH140" t="str">
        <f>IFERROR(INDEX(CHOOSE({1,2,3,4}, DAY(XT!U140), DAY(XT!Y140), DAY(XT!AC140), DAY(XT!AG140)), MATCH(1, INDEX(--(MONTH(CHOOSE({1,2,3,4}, XT!U140,XT!Y140,XT!AC140,XT!AG140))=9), 0), 0)), "")</f>
        <v/>
      </c>
      <c r="AI140" s="12" t="str">
        <f>IF(XT!$P140&gt;0,AH140,"")</f>
        <v/>
      </c>
      <c r="AJ140" s="12" t="str">
        <f>IF(XT!$P140=0,AH140,"")</f>
        <v/>
      </c>
      <c r="AK140">
        <f>SUMPRODUCT((MONTH(CHOOSE({1,2,3,4},XT!U140,XT!Y140,XT!AC140,XT!AG140))=10)*(CHOOSE({1,2,3,4},XT!X140,XT!AB140,XT!AF140,XT!AJ140)))</f>
        <v>0</v>
      </c>
      <c r="AL140" t="str">
        <f>IFERROR(INDEX(CHOOSE({1,2,3,4}, DAY(XT!U140), DAY(XT!Y140), DAY(XT!AC140), DAY(XT!AG140)), MATCH(1, INDEX(--(MONTH(CHOOSE({1,2,3,4}, XT!U140,XT!Y140,XT!AC140,XT!AG140))=10), 0), 0)), "")</f>
        <v/>
      </c>
      <c r="AM140" s="12" t="str">
        <f>IF(XT!$P140&gt;0,AL140,"")</f>
        <v/>
      </c>
      <c r="AN140" s="12" t="str">
        <f>IF(XT!$P140=0,AL140,"")</f>
        <v/>
      </c>
      <c r="AO140">
        <f>SUMPRODUCT((MONTH(CHOOSE({1,2,3,4},XT!U140,XT!Y140,XT!AC140,XT!AG140))=11)*(CHOOSE({1,2,3,4},XT!X140,XT!AB140,XT!AF140,XT!AJ140)))</f>
        <v>0</v>
      </c>
      <c r="AP140" t="str">
        <f>IFERROR(INDEX(CHOOSE({1,2,3,4}, DAY(XT!U140), DAY(XT!Y140), DAY(XT!AC140), DAY(XT!AG140)), MATCH(1, INDEX(--(MONTH(CHOOSE({1,2,3,4}, XT!U140,XT!Y140,XT!AC140,XT!AG140))=11), 0), 0)), "")</f>
        <v/>
      </c>
      <c r="AQ140" s="12" t="str">
        <f>IF(XT!$P140&gt;0,AP140,"")</f>
        <v/>
      </c>
      <c r="AR140" s="12" t="str">
        <f>IF(XT!$P140=0,AP140,"")</f>
        <v/>
      </c>
      <c r="AS140">
        <f>SUMPRODUCT((MONTH(CHOOSE({1,2,3,4},XT!U140,XT!Y140,XT!AC140,XT!AG140))=12)*(CHOOSE({1,2,3,4},XT!X140,XT!AB140,XT!AF140,XT!AJ140)))</f>
        <v>0</v>
      </c>
      <c r="AT140" t="str">
        <f>IFERROR(INDEX(CHOOSE({1,2,3,4}, DAY(XT!U140), DAY(XT!Y140), DAY(XT!AC140), DAY(XT!AG140)), MATCH(1, INDEX(--(MONTH(CHOOSE({1,2,3,4}, XT!U140,XT!Y140,XT!AC140,XT!AG140))=12), 0), 0)), "")</f>
        <v/>
      </c>
      <c r="AU140" s="12" t="str">
        <f>IF(XT!$P140&gt;0,AT140,"")</f>
        <v/>
      </c>
      <c r="AV140" s="12" t="str">
        <f>IF(XT!$P140=0,AT140,"")</f>
        <v/>
      </c>
    </row>
    <row r="141" spans="1:48">
      <c r="A141">
        <f>SUMPRODUCT((MONTH(CHOOSE({1,2,3,4},XT!U141,XT!Y141,XT!AC141,XT!AG141))=1)*(CHOOSE({1,2,3,4},XT!X141,XT!AB141,XT!AF141,XT!AJ141)))</f>
        <v>0</v>
      </c>
      <c r="B141">
        <f>IFERROR(INDEX(CHOOSE({1,2,3,4}, DAY(XT!U141), DAY(XT!Y141), DAY(XT!AC141), DAY(XT!AG141)), MATCH(1, INDEX(--(MONTH(CHOOSE({1,2,3,4}, XT!U141,XT!Y141,XT!AC141,XT!AG141))=1), 0), 0)), "")</f>
        <v>0</v>
      </c>
      <c r="C141" s="12" t="str">
        <f>IF(XT!$P141&gt;0,B141,"")</f>
        <v/>
      </c>
      <c r="D141" s="12">
        <f>IF(XT!$P141=0,B141,"")</f>
        <v>0</v>
      </c>
      <c r="E141">
        <f>SUMPRODUCT((MONTH(CHOOSE({1,2,3,4},XT!U141,XT!Y141,XT!AC141,XT!AG141))=2)*(CHOOSE({1,2,3,4},XT!X141,XT!AB141,XT!AF141,XT!AJ141)))</f>
        <v>0</v>
      </c>
      <c r="F141" t="str">
        <f>IFERROR(INDEX(CHOOSE({1,2,3,4}, DAY(XT!U141), DAY(XT!Y141), DAY(XT!AC141), DAY(XT!AG141)), MATCH(1, INDEX(--(MONTH(CHOOSE({1,2,3,4}, XT!U141,XT!Y141,XT!AC141,XT!AG141))=2), 0), 0)), "")</f>
        <v/>
      </c>
      <c r="G141" s="12" t="str">
        <f>IF(XT!$P141&gt;0,F141,"")</f>
        <v/>
      </c>
      <c r="H141" s="12" t="str">
        <f>IF(XT!$P141=0,F141,"")</f>
        <v/>
      </c>
      <c r="I141">
        <f>SUMPRODUCT((MONTH(CHOOSE({1,2,3,4},XT!U141,XT!Y141,XT!AC141,XT!AG141))=3)*(CHOOSE({1,2,3,4},XT!X141,XT!AB141,XT!AF141,XT!AJ141)))</f>
        <v>0</v>
      </c>
      <c r="J141" t="str">
        <f>IFERROR(INDEX(CHOOSE({1,2,3,4}, DAY(XT!U141), DAY(XT!Y141), DAY(XT!AC141), DAY(XT!AG141)), MATCH(1, INDEX(--(MONTH(CHOOSE({1,2,3,4}, XT!U141,XT!Y141,XT!AC141,XT!AG141))=3), 0), 0)), "")</f>
        <v/>
      </c>
      <c r="K141" s="12" t="str">
        <f>IF(XT!$P141&gt;0,J141,"")</f>
        <v/>
      </c>
      <c r="L141" s="12" t="str">
        <f>IF(XT!$P141=0,J141,"")</f>
        <v/>
      </c>
      <c r="M141">
        <f>SUMPRODUCT((MONTH(CHOOSE({1,2,3,4},XT!U141,XT!Y141,XT!AC141,XT!AG141))=4)*(CHOOSE({1,2,3,4},XT!X141,XT!AB141,XT!AF141,XT!AJ141)))</f>
        <v>0</v>
      </c>
      <c r="N141" t="str">
        <f>IFERROR(INDEX(CHOOSE({1,2,3,4}, DAY(XT!U141), DAY(XT!Y141), DAY(XT!AC141), DAY(XT!AG141)), MATCH(1, INDEX(--(MONTH(CHOOSE({1,2,3,4}, XT!U141,XT!Y141,XT!AC141,XT!AG141))=4), 0), 0)), "")</f>
        <v/>
      </c>
      <c r="O141" s="12" t="str">
        <f>IF(XT!$P141&gt;0,N141,"")</f>
        <v/>
      </c>
      <c r="P141" s="12" t="str">
        <f>IF(XT!$P141=0,N141,"")</f>
        <v/>
      </c>
      <c r="Q141">
        <f>SUMPRODUCT((MONTH(CHOOSE({1,2,3,4},XT!U141,XT!Y141,XT!AC141,XT!AG141))=5)*(CHOOSE({1,2,3,4},XT!X141,XT!AB141,XT!AF141,XT!AJ141)))</f>
        <v>0</v>
      </c>
      <c r="R141" t="str">
        <f>IFERROR(INDEX(CHOOSE({1,2,3,4}, DAY(XT!U141), DAY(XT!Y141), DAY(XT!AC141), DAY(XT!AG141)), MATCH(1, INDEX(--(MONTH(CHOOSE({1,2,3,4}, XT!U141,XT!Y141,XT!AC141,XT!AG141))=5), 0), 0)), "")</f>
        <v/>
      </c>
      <c r="S141" s="12" t="str">
        <f>IF(XT!$P141&gt;0,R141,"")</f>
        <v/>
      </c>
      <c r="T141" s="12" t="str">
        <f>IF(XT!$P141=0,R141,"")</f>
        <v/>
      </c>
      <c r="U141">
        <f>SUMPRODUCT((MONTH(CHOOSE({1,2,3,4},XT!U141,XT!Y141,XT!AC141,XT!AG141))=6)*(CHOOSE({1,2,3,4},XT!X141,XT!AB141,XT!AF141,XT!AJ141)))</f>
        <v>0</v>
      </c>
      <c r="V141" t="str">
        <f>IFERROR(INDEX(CHOOSE({1,2,3,4}, DAY(XT!U141), DAY(XT!Y141), DAY(XT!AC141), DAY(XT!AG141)), MATCH(1, INDEX(--(MONTH(CHOOSE({1,2,3,4}, XT!U141,XT!Y141,XT!AC141,XT!AG141))=6), 0), 0)), "")</f>
        <v/>
      </c>
      <c r="W141" s="12" t="str">
        <f>IF(XT!$P141&gt;0,V141,"")</f>
        <v/>
      </c>
      <c r="X141" s="12" t="str">
        <f>IF(XT!$P141=0,V141,"")</f>
        <v/>
      </c>
      <c r="Y141">
        <f>SUMPRODUCT((MONTH(CHOOSE({1,2,3,4},XT!U141,XT!Y141,XT!AC141,XT!AG141))=7)*(CHOOSE({1,2,3,4},XT!X141,XT!AB141,XT!AF141,XT!AJ141)))</f>
        <v>0</v>
      </c>
      <c r="Z141" t="str">
        <f>IFERROR(INDEX(CHOOSE({1,2,3,4}, DAY(XT!U141), DAY(XT!Y141), DAY(XT!AC141), DAY(XT!AG141)), MATCH(1, INDEX(--(MONTH(CHOOSE({1,2,3,4}, XT!U141,XT!Y141,XT!AC141,XT!AG141))=7), 0), 0)), "")</f>
        <v/>
      </c>
      <c r="AA141" s="12" t="str">
        <f>IF(XT!$P141&gt;0,Z141,"")</f>
        <v/>
      </c>
      <c r="AB141" s="12" t="str">
        <f>IF(XT!$P141=0,Z141,"")</f>
        <v/>
      </c>
      <c r="AC141">
        <f>SUMPRODUCT((MONTH(CHOOSE({1,2,3,4},XT!U141,XT!Y141,XT!AC141,XT!AG141))=8)*(CHOOSE({1,2,3,4},XT!X141,XT!AB141,XT!AF141,XT!AJ141)))</f>
        <v>0</v>
      </c>
      <c r="AD141" t="str">
        <f>IFERROR(INDEX(CHOOSE({1,2,3,4}, DAY(XT!U141), DAY(XT!Y141), DAY(XT!AC141), DAY(XT!AG141)), MATCH(1, INDEX(--(MONTH(CHOOSE({1,2,3,4}, XT!U141,XT!Y141,XT!AC141,XT!AG141))=8), 0), 0)), "")</f>
        <v/>
      </c>
      <c r="AE141" s="12" t="str">
        <f>IF(XT!$P141&gt;0,AD141,"")</f>
        <v/>
      </c>
      <c r="AF141" s="12" t="str">
        <f>IF(XT!$P141=0,AD141,"")</f>
        <v/>
      </c>
      <c r="AG141">
        <f>SUMPRODUCT((MONTH(CHOOSE({1,2,3,4},XT!U141,XT!Y141,XT!AC141,XT!AG141))=9)*(CHOOSE({1,2,3,4},XT!X141,XT!AB141,XT!AF141,XT!AJ141)))</f>
        <v>0</v>
      </c>
      <c r="AH141" t="str">
        <f>IFERROR(INDEX(CHOOSE({1,2,3,4}, DAY(XT!U141), DAY(XT!Y141), DAY(XT!AC141), DAY(XT!AG141)), MATCH(1, INDEX(--(MONTH(CHOOSE({1,2,3,4}, XT!U141,XT!Y141,XT!AC141,XT!AG141))=9), 0), 0)), "")</f>
        <v/>
      </c>
      <c r="AI141" s="12" t="str">
        <f>IF(XT!$P141&gt;0,AH141,"")</f>
        <v/>
      </c>
      <c r="AJ141" s="12" t="str">
        <f>IF(XT!$P141=0,AH141,"")</f>
        <v/>
      </c>
      <c r="AK141">
        <f>SUMPRODUCT((MONTH(CHOOSE({1,2,3,4},XT!U141,XT!Y141,XT!AC141,XT!AG141))=10)*(CHOOSE({1,2,3,4},XT!X141,XT!AB141,XT!AF141,XT!AJ141)))</f>
        <v>0</v>
      </c>
      <c r="AL141" t="str">
        <f>IFERROR(INDEX(CHOOSE({1,2,3,4}, DAY(XT!U141), DAY(XT!Y141), DAY(XT!AC141), DAY(XT!AG141)), MATCH(1, INDEX(--(MONTH(CHOOSE({1,2,3,4}, XT!U141,XT!Y141,XT!AC141,XT!AG141))=10), 0), 0)), "")</f>
        <v/>
      </c>
      <c r="AM141" s="12" t="str">
        <f>IF(XT!$P141&gt;0,AL141,"")</f>
        <v/>
      </c>
      <c r="AN141" s="12" t="str">
        <f>IF(XT!$P141=0,AL141,"")</f>
        <v/>
      </c>
      <c r="AO141">
        <f>SUMPRODUCT((MONTH(CHOOSE({1,2,3,4},XT!U141,XT!Y141,XT!AC141,XT!AG141))=11)*(CHOOSE({1,2,3,4},XT!X141,XT!AB141,XT!AF141,XT!AJ141)))</f>
        <v>0</v>
      </c>
      <c r="AP141" t="str">
        <f>IFERROR(INDEX(CHOOSE({1,2,3,4}, DAY(XT!U141), DAY(XT!Y141), DAY(XT!AC141), DAY(XT!AG141)), MATCH(1, INDEX(--(MONTH(CHOOSE({1,2,3,4}, XT!U141,XT!Y141,XT!AC141,XT!AG141))=11), 0), 0)), "")</f>
        <v/>
      </c>
      <c r="AQ141" s="12" t="str">
        <f>IF(XT!$P141&gt;0,AP141,"")</f>
        <v/>
      </c>
      <c r="AR141" s="12" t="str">
        <f>IF(XT!$P141=0,AP141,"")</f>
        <v/>
      </c>
      <c r="AS141">
        <f>SUMPRODUCT((MONTH(CHOOSE({1,2,3,4},XT!U141,XT!Y141,XT!AC141,XT!AG141))=12)*(CHOOSE({1,2,3,4},XT!X141,XT!AB141,XT!AF141,XT!AJ141)))</f>
        <v>0</v>
      </c>
      <c r="AT141" t="str">
        <f>IFERROR(INDEX(CHOOSE({1,2,3,4}, DAY(XT!U141), DAY(XT!Y141), DAY(XT!AC141), DAY(XT!AG141)), MATCH(1, INDEX(--(MONTH(CHOOSE({1,2,3,4}, XT!U141,XT!Y141,XT!AC141,XT!AG141))=12), 0), 0)), "")</f>
        <v/>
      </c>
      <c r="AU141" s="12" t="str">
        <f>IF(XT!$P141&gt;0,AT141,"")</f>
        <v/>
      </c>
      <c r="AV141" s="12" t="str">
        <f>IF(XT!$P141=0,AT141,"")</f>
        <v/>
      </c>
    </row>
    <row r="142" spans="1:48">
      <c r="A142">
        <f>SUMPRODUCT((MONTH(CHOOSE({1,2,3,4},XT!U142,XT!Y142,XT!AC142,XT!AG142))=1)*(CHOOSE({1,2,3,4},XT!X142,XT!AB142,XT!AF142,XT!AJ142)))</f>
        <v>0</v>
      </c>
      <c r="B142">
        <f>IFERROR(INDEX(CHOOSE({1,2,3,4}, DAY(XT!U142), DAY(XT!Y142), DAY(XT!AC142), DAY(XT!AG142)), MATCH(1, INDEX(--(MONTH(CHOOSE({1,2,3,4}, XT!U142,XT!Y142,XT!AC142,XT!AG142))=1), 0), 0)), "")</f>
        <v>0</v>
      </c>
      <c r="C142" s="12" t="str">
        <f>IF(XT!$P142&gt;0,B142,"")</f>
        <v/>
      </c>
      <c r="D142" s="12">
        <f>IF(XT!$P142=0,B142,"")</f>
        <v>0</v>
      </c>
      <c r="E142">
        <f>SUMPRODUCT((MONTH(CHOOSE({1,2,3,4},XT!U142,XT!Y142,XT!AC142,XT!AG142))=2)*(CHOOSE({1,2,3,4},XT!X142,XT!AB142,XT!AF142,XT!AJ142)))</f>
        <v>0</v>
      </c>
      <c r="F142" t="str">
        <f>IFERROR(INDEX(CHOOSE({1,2,3,4}, DAY(XT!U142), DAY(XT!Y142), DAY(XT!AC142), DAY(XT!AG142)), MATCH(1, INDEX(--(MONTH(CHOOSE({1,2,3,4}, XT!U142,XT!Y142,XT!AC142,XT!AG142))=2), 0), 0)), "")</f>
        <v/>
      </c>
      <c r="G142" s="12" t="str">
        <f>IF(XT!$P142&gt;0,F142,"")</f>
        <v/>
      </c>
      <c r="H142" s="12" t="str">
        <f>IF(XT!$P142=0,F142,"")</f>
        <v/>
      </c>
      <c r="I142">
        <f>SUMPRODUCT((MONTH(CHOOSE({1,2,3,4},XT!U142,XT!Y142,XT!AC142,XT!AG142))=3)*(CHOOSE({1,2,3,4},XT!X142,XT!AB142,XT!AF142,XT!AJ142)))</f>
        <v>0</v>
      </c>
      <c r="J142" t="str">
        <f>IFERROR(INDEX(CHOOSE({1,2,3,4}, DAY(XT!U142), DAY(XT!Y142), DAY(XT!AC142), DAY(XT!AG142)), MATCH(1, INDEX(--(MONTH(CHOOSE({1,2,3,4}, XT!U142,XT!Y142,XT!AC142,XT!AG142))=3), 0), 0)), "")</f>
        <v/>
      </c>
      <c r="K142" s="12" t="str">
        <f>IF(XT!$P142&gt;0,J142,"")</f>
        <v/>
      </c>
      <c r="L142" s="12" t="str">
        <f>IF(XT!$P142=0,J142,"")</f>
        <v/>
      </c>
      <c r="M142">
        <f>SUMPRODUCT((MONTH(CHOOSE({1,2,3,4},XT!U142,XT!Y142,XT!AC142,XT!AG142))=4)*(CHOOSE({1,2,3,4},XT!X142,XT!AB142,XT!AF142,XT!AJ142)))</f>
        <v>0</v>
      </c>
      <c r="N142" t="str">
        <f>IFERROR(INDEX(CHOOSE({1,2,3,4}, DAY(XT!U142), DAY(XT!Y142), DAY(XT!AC142), DAY(XT!AG142)), MATCH(1, INDEX(--(MONTH(CHOOSE({1,2,3,4}, XT!U142,XT!Y142,XT!AC142,XT!AG142))=4), 0), 0)), "")</f>
        <v/>
      </c>
      <c r="O142" s="12" t="str">
        <f>IF(XT!$P142&gt;0,N142,"")</f>
        <v/>
      </c>
      <c r="P142" s="12" t="str">
        <f>IF(XT!$P142=0,N142,"")</f>
        <v/>
      </c>
      <c r="Q142">
        <f>SUMPRODUCT((MONTH(CHOOSE({1,2,3,4},XT!U142,XT!Y142,XT!AC142,XT!AG142))=5)*(CHOOSE({1,2,3,4},XT!X142,XT!AB142,XT!AF142,XT!AJ142)))</f>
        <v>0</v>
      </c>
      <c r="R142" t="str">
        <f>IFERROR(INDEX(CHOOSE({1,2,3,4}, DAY(XT!U142), DAY(XT!Y142), DAY(XT!AC142), DAY(XT!AG142)), MATCH(1, INDEX(--(MONTH(CHOOSE({1,2,3,4}, XT!U142,XT!Y142,XT!AC142,XT!AG142))=5), 0), 0)), "")</f>
        <v/>
      </c>
      <c r="S142" s="12" t="str">
        <f>IF(XT!$P142&gt;0,R142,"")</f>
        <v/>
      </c>
      <c r="T142" s="12" t="str">
        <f>IF(XT!$P142=0,R142,"")</f>
        <v/>
      </c>
      <c r="U142">
        <f>SUMPRODUCT((MONTH(CHOOSE({1,2,3,4},XT!U142,XT!Y142,XT!AC142,XT!AG142))=6)*(CHOOSE({1,2,3,4},XT!X142,XT!AB142,XT!AF142,XT!AJ142)))</f>
        <v>0</v>
      </c>
      <c r="V142" t="str">
        <f>IFERROR(INDEX(CHOOSE({1,2,3,4}, DAY(XT!U142), DAY(XT!Y142), DAY(XT!AC142), DAY(XT!AG142)), MATCH(1, INDEX(--(MONTH(CHOOSE({1,2,3,4}, XT!U142,XT!Y142,XT!AC142,XT!AG142))=6), 0), 0)), "")</f>
        <v/>
      </c>
      <c r="W142" s="12" t="str">
        <f>IF(XT!$P142&gt;0,V142,"")</f>
        <v/>
      </c>
      <c r="X142" s="12" t="str">
        <f>IF(XT!$P142=0,V142,"")</f>
        <v/>
      </c>
      <c r="Y142">
        <f>SUMPRODUCT((MONTH(CHOOSE({1,2,3,4},XT!U142,XT!Y142,XT!AC142,XT!AG142))=7)*(CHOOSE({1,2,3,4},XT!X142,XT!AB142,XT!AF142,XT!AJ142)))</f>
        <v>0</v>
      </c>
      <c r="Z142" t="str">
        <f>IFERROR(INDEX(CHOOSE({1,2,3,4}, DAY(XT!U142), DAY(XT!Y142), DAY(XT!AC142), DAY(XT!AG142)), MATCH(1, INDEX(--(MONTH(CHOOSE({1,2,3,4}, XT!U142,XT!Y142,XT!AC142,XT!AG142))=7), 0), 0)), "")</f>
        <v/>
      </c>
      <c r="AA142" s="12" t="str">
        <f>IF(XT!$P142&gt;0,Z142,"")</f>
        <v/>
      </c>
      <c r="AB142" s="12" t="str">
        <f>IF(XT!$P142=0,Z142,"")</f>
        <v/>
      </c>
      <c r="AC142">
        <f>SUMPRODUCT((MONTH(CHOOSE({1,2,3,4},XT!U142,XT!Y142,XT!AC142,XT!AG142))=8)*(CHOOSE({1,2,3,4},XT!X142,XT!AB142,XT!AF142,XT!AJ142)))</f>
        <v>0</v>
      </c>
      <c r="AD142" t="str">
        <f>IFERROR(INDEX(CHOOSE({1,2,3,4}, DAY(XT!U142), DAY(XT!Y142), DAY(XT!AC142), DAY(XT!AG142)), MATCH(1, INDEX(--(MONTH(CHOOSE({1,2,3,4}, XT!U142,XT!Y142,XT!AC142,XT!AG142))=8), 0), 0)), "")</f>
        <v/>
      </c>
      <c r="AE142" s="12" t="str">
        <f>IF(XT!$P142&gt;0,AD142,"")</f>
        <v/>
      </c>
      <c r="AF142" s="12" t="str">
        <f>IF(XT!$P142=0,AD142,"")</f>
        <v/>
      </c>
      <c r="AG142">
        <f>SUMPRODUCT((MONTH(CHOOSE({1,2,3,4},XT!U142,XT!Y142,XT!AC142,XT!AG142))=9)*(CHOOSE({1,2,3,4},XT!X142,XT!AB142,XT!AF142,XT!AJ142)))</f>
        <v>0</v>
      </c>
      <c r="AH142" t="str">
        <f>IFERROR(INDEX(CHOOSE({1,2,3,4}, DAY(XT!U142), DAY(XT!Y142), DAY(XT!AC142), DAY(XT!AG142)), MATCH(1, INDEX(--(MONTH(CHOOSE({1,2,3,4}, XT!U142,XT!Y142,XT!AC142,XT!AG142))=9), 0), 0)), "")</f>
        <v/>
      </c>
      <c r="AI142" s="12" t="str">
        <f>IF(XT!$P142&gt;0,AH142,"")</f>
        <v/>
      </c>
      <c r="AJ142" s="12" t="str">
        <f>IF(XT!$P142=0,AH142,"")</f>
        <v/>
      </c>
      <c r="AK142">
        <f>SUMPRODUCT((MONTH(CHOOSE({1,2,3,4},XT!U142,XT!Y142,XT!AC142,XT!AG142))=10)*(CHOOSE({1,2,3,4},XT!X142,XT!AB142,XT!AF142,XT!AJ142)))</f>
        <v>0</v>
      </c>
      <c r="AL142" t="str">
        <f>IFERROR(INDEX(CHOOSE({1,2,3,4}, DAY(XT!U142), DAY(XT!Y142), DAY(XT!AC142), DAY(XT!AG142)), MATCH(1, INDEX(--(MONTH(CHOOSE({1,2,3,4}, XT!U142,XT!Y142,XT!AC142,XT!AG142))=10), 0), 0)), "")</f>
        <v/>
      </c>
      <c r="AM142" s="12" t="str">
        <f>IF(XT!$P142&gt;0,AL142,"")</f>
        <v/>
      </c>
      <c r="AN142" s="12" t="str">
        <f>IF(XT!$P142=0,AL142,"")</f>
        <v/>
      </c>
      <c r="AO142">
        <f>SUMPRODUCT((MONTH(CHOOSE({1,2,3,4},XT!U142,XT!Y142,XT!AC142,XT!AG142))=11)*(CHOOSE({1,2,3,4},XT!X142,XT!AB142,XT!AF142,XT!AJ142)))</f>
        <v>0</v>
      </c>
      <c r="AP142" t="str">
        <f>IFERROR(INDEX(CHOOSE({1,2,3,4}, DAY(XT!U142), DAY(XT!Y142), DAY(XT!AC142), DAY(XT!AG142)), MATCH(1, INDEX(--(MONTH(CHOOSE({1,2,3,4}, XT!U142,XT!Y142,XT!AC142,XT!AG142))=11), 0), 0)), "")</f>
        <v/>
      </c>
      <c r="AQ142" s="12" t="str">
        <f>IF(XT!$P142&gt;0,AP142,"")</f>
        <v/>
      </c>
      <c r="AR142" s="12" t="str">
        <f>IF(XT!$P142=0,AP142,"")</f>
        <v/>
      </c>
      <c r="AS142">
        <f>SUMPRODUCT((MONTH(CHOOSE({1,2,3,4},XT!U142,XT!Y142,XT!AC142,XT!AG142))=12)*(CHOOSE({1,2,3,4},XT!X142,XT!AB142,XT!AF142,XT!AJ142)))</f>
        <v>0</v>
      </c>
      <c r="AT142" t="str">
        <f>IFERROR(INDEX(CHOOSE({1,2,3,4}, DAY(XT!U142), DAY(XT!Y142), DAY(XT!AC142), DAY(XT!AG142)), MATCH(1, INDEX(--(MONTH(CHOOSE({1,2,3,4}, XT!U142,XT!Y142,XT!AC142,XT!AG142))=12), 0), 0)), "")</f>
        <v/>
      </c>
      <c r="AU142" s="12" t="str">
        <f>IF(XT!$P142&gt;0,AT142,"")</f>
        <v/>
      </c>
      <c r="AV142" s="12" t="str">
        <f>IF(XT!$P142=0,AT142,"")</f>
        <v/>
      </c>
    </row>
    <row r="143" spans="1:48">
      <c r="A143">
        <f>SUMPRODUCT((MONTH(CHOOSE({1,2,3,4},XT!U143,XT!Y143,XT!AC143,XT!AG143))=1)*(CHOOSE({1,2,3,4},XT!X143,XT!AB143,XT!AF143,XT!AJ143)))</f>
        <v>0</v>
      </c>
      <c r="B143">
        <f>IFERROR(INDEX(CHOOSE({1,2,3,4}, DAY(XT!U143), DAY(XT!Y143), DAY(XT!AC143), DAY(XT!AG143)), MATCH(1, INDEX(--(MONTH(CHOOSE({1,2,3,4}, XT!U143,XT!Y143,XT!AC143,XT!AG143))=1), 0), 0)), "")</f>
        <v>0</v>
      </c>
      <c r="C143" s="12" t="str">
        <f>IF(XT!$P143&gt;0,B143,"")</f>
        <v/>
      </c>
      <c r="D143" s="12">
        <f>IF(XT!$P143=0,B143,"")</f>
        <v>0</v>
      </c>
      <c r="E143">
        <f>SUMPRODUCT((MONTH(CHOOSE({1,2,3,4},XT!U143,XT!Y143,XT!AC143,XT!AG143))=2)*(CHOOSE({1,2,3,4},XT!X143,XT!AB143,XT!AF143,XT!AJ143)))</f>
        <v>0</v>
      </c>
      <c r="F143" t="str">
        <f>IFERROR(INDEX(CHOOSE({1,2,3,4}, DAY(XT!U143), DAY(XT!Y143), DAY(XT!AC143), DAY(XT!AG143)), MATCH(1, INDEX(--(MONTH(CHOOSE({1,2,3,4}, XT!U143,XT!Y143,XT!AC143,XT!AG143))=2), 0), 0)), "")</f>
        <v/>
      </c>
      <c r="G143" s="12" t="str">
        <f>IF(XT!$P143&gt;0,F143,"")</f>
        <v/>
      </c>
      <c r="H143" s="12" t="str">
        <f>IF(XT!$P143=0,F143,"")</f>
        <v/>
      </c>
      <c r="I143">
        <f>SUMPRODUCT((MONTH(CHOOSE({1,2,3,4},XT!U143,XT!Y143,XT!AC143,XT!AG143))=3)*(CHOOSE({1,2,3,4},XT!X143,XT!AB143,XT!AF143,XT!AJ143)))</f>
        <v>0</v>
      </c>
      <c r="J143" t="str">
        <f>IFERROR(INDEX(CHOOSE({1,2,3,4}, DAY(XT!U143), DAY(XT!Y143), DAY(XT!AC143), DAY(XT!AG143)), MATCH(1, INDEX(--(MONTH(CHOOSE({1,2,3,4}, XT!U143,XT!Y143,XT!AC143,XT!AG143))=3), 0), 0)), "")</f>
        <v/>
      </c>
      <c r="K143" s="12" t="str">
        <f>IF(XT!$P143&gt;0,J143,"")</f>
        <v/>
      </c>
      <c r="L143" s="12" t="str">
        <f>IF(XT!$P143=0,J143,"")</f>
        <v/>
      </c>
      <c r="M143">
        <f>SUMPRODUCT((MONTH(CHOOSE({1,2,3,4},XT!U143,XT!Y143,XT!AC143,XT!AG143))=4)*(CHOOSE({1,2,3,4},XT!X143,XT!AB143,XT!AF143,XT!AJ143)))</f>
        <v>0</v>
      </c>
      <c r="N143" t="str">
        <f>IFERROR(INDEX(CHOOSE({1,2,3,4}, DAY(XT!U143), DAY(XT!Y143), DAY(XT!AC143), DAY(XT!AG143)), MATCH(1, INDEX(--(MONTH(CHOOSE({1,2,3,4}, XT!U143,XT!Y143,XT!AC143,XT!AG143))=4), 0), 0)), "")</f>
        <v/>
      </c>
      <c r="O143" s="12" t="str">
        <f>IF(XT!$P143&gt;0,N143,"")</f>
        <v/>
      </c>
      <c r="P143" s="12" t="str">
        <f>IF(XT!$P143=0,N143,"")</f>
        <v/>
      </c>
      <c r="Q143">
        <f>SUMPRODUCT((MONTH(CHOOSE({1,2,3,4},XT!U143,XT!Y143,XT!AC143,XT!AG143))=5)*(CHOOSE({1,2,3,4},XT!X143,XT!AB143,XT!AF143,XT!AJ143)))</f>
        <v>0</v>
      </c>
      <c r="R143" t="str">
        <f>IFERROR(INDEX(CHOOSE({1,2,3,4}, DAY(XT!U143), DAY(XT!Y143), DAY(XT!AC143), DAY(XT!AG143)), MATCH(1, INDEX(--(MONTH(CHOOSE({1,2,3,4}, XT!U143,XT!Y143,XT!AC143,XT!AG143))=5), 0), 0)), "")</f>
        <v/>
      </c>
      <c r="S143" s="12" t="str">
        <f>IF(XT!$P143&gt;0,R143,"")</f>
        <v/>
      </c>
      <c r="T143" s="12" t="str">
        <f>IF(XT!$P143=0,R143,"")</f>
        <v/>
      </c>
      <c r="U143">
        <f>SUMPRODUCT((MONTH(CHOOSE({1,2,3,4},XT!U143,XT!Y143,XT!AC143,XT!AG143))=6)*(CHOOSE({1,2,3,4},XT!X143,XT!AB143,XT!AF143,XT!AJ143)))</f>
        <v>0</v>
      </c>
      <c r="V143" t="str">
        <f>IFERROR(INDEX(CHOOSE({1,2,3,4}, DAY(XT!U143), DAY(XT!Y143), DAY(XT!AC143), DAY(XT!AG143)), MATCH(1, INDEX(--(MONTH(CHOOSE({1,2,3,4}, XT!U143,XT!Y143,XT!AC143,XT!AG143))=6), 0), 0)), "")</f>
        <v/>
      </c>
      <c r="W143" s="12" t="str">
        <f>IF(XT!$P143&gt;0,V143,"")</f>
        <v/>
      </c>
      <c r="X143" s="12" t="str">
        <f>IF(XT!$P143=0,V143,"")</f>
        <v/>
      </c>
      <c r="Y143">
        <f>SUMPRODUCT((MONTH(CHOOSE({1,2,3,4},XT!U143,XT!Y143,XT!AC143,XT!AG143))=7)*(CHOOSE({1,2,3,4},XT!X143,XT!AB143,XT!AF143,XT!AJ143)))</f>
        <v>0</v>
      </c>
      <c r="Z143" t="str">
        <f>IFERROR(INDEX(CHOOSE({1,2,3,4}, DAY(XT!U143), DAY(XT!Y143), DAY(XT!AC143), DAY(XT!AG143)), MATCH(1, INDEX(--(MONTH(CHOOSE({1,2,3,4}, XT!U143,XT!Y143,XT!AC143,XT!AG143))=7), 0), 0)), "")</f>
        <v/>
      </c>
      <c r="AA143" s="12" t="str">
        <f>IF(XT!$P143&gt;0,Z143,"")</f>
        <v/>
      </c>
      <c r="AB143" s="12" t="str">
        <f>IF(XT!$P143=0,Z143,"")</f>
        <v/>
      </c>
      <c r="AC143">
        <f>SUMPRODUCT((MONTH(CHOOSE({1,2,3,4},XT!U143,XT!Y143,XT!AC143,XT!AG143))=8)*(CHOOSE({1,2,3,4},XT!X143,XT!AB143,XT!AF143,XT!AJ143)))</f>
        <v>0</v>
      </c>
      <c r="AD143" t="str">
        <f>IFERROR(INDEX(CHOOSE({1,2,3,4}, DAY(XT!U143), DAY(XT!Y143), DAY(XT!AC143), DAY(XT!AG143)), MATCH(1, INDEX(--(MONTH(CHOOSE({1,2,3,4}, XT!U143,XT!Y143,XT!AC143,XT!AG143))=8), 0), 0)), "")</f>
        <v/>
      </c>
      <c r="AE143" s="12" t="str">
        <f>IF(XT!$P143&gt;0,AD143,"")</f>
        <v/>
      </c>
      <c r="AF143" s="12" t="str">
        <f>IF(XT!$P143=0,AD143,"")</f>
        <v/>
      </c>
      <c r="AG143">
        <f>SUMPRODUCT((MONTH(CHOOSE({1,2,3,4},XT!U143,XT!Y143,XT!AC143,XT!AG143))=9)*(CHOOSE({1,2,3,4},XT!X143,XT!AB143,XT!AF143,XT!AJ143)))</f>
        <v>0</v>
      </c>
      <c r="AH143" t="str">
        <f>IFERROR(INDEX(CHOOSE({1,2,3,4}, DAY(XT!U143), DAY(XT!Y143), DAY(XT!AC143), DAY(XT!AG143)), MATCH(1, INDEX(--(MONTH(CHOOSE({1,2,3,4}, XT!U143,XT!Y143,XT!AC143,XT!AG143))=9), 0), 0)), "")</f>
        <v/>
      </c>
      <c r="AI143" s="12" t="str">
        <f>IF(XT!$P143&gt;0,AH143,"")</f>
        <v/>
      </c>
      <c r="AJ143" s="12" t="str">
        <f>IF(XT!$P143=0,AH143,"")</f>
        <v/>
      </c>
      <c r="AK143">
        <f>SUMPRODUCT((MONTH(CHOOSE({1,2,3,4},XT!U143,XT!Y143,XT!AC143,XT!AG143))=10)*(CHOOSE({1,2,3,4},XT!X143,XT!AB143,XT!AF143,XT!AJ143)))</f>
        <v>0</v>
      </c>
      <c r="AL143" t="str">
        <f>IFERROR(INDEX(CHOOSE({1,2,3,4}, DAY(XT!U143), DAY(XT!Y143), DAY(XT!AC143), DAY(XT!AG143)), MATCH(1, INDEX(--(MONTH(CHOOSE({1,2,3,4}, XT!U143,XT!Y143,XT!AC143,XT!AG143))=10), 0), 0)), "")</f>
        <v/>
      </c>
      <c r="AM143" s="12" t="str">
        <f>IF(XT!$P143&gt;0,AL143,"")</f>
        <v/>
      </c>
      <c r="AN143" s="12" t="str">
        <f>IF(XT!$P143=0,AL143,"")</f>
        <v/>
      </c>
      <c r="AO143">
        <f>SUMPRODUCT((MONTH(CHOOSE({1,2,3,4},XT!U143,XT!Y143,XT!AC143,XT!AG143))=11)*(CHOOSE({1,2,3,4},XT!X143,XT!AB143,XT!AF143,XT!AJ143)))</f>
        <v>0</v>
      </c>
      <c r="AP143" t="str">
        <f>IFERROR(INDEX(CHOOSE({1,2,3,4}, DAY(XT!U143), DAY(XT!Y143), DAY(XT!AC143), DAY(XT!AG143)), MATCH(1, INDEX(--(MONTH(CHOOSE({1,2,3,4}, XT!U143,XT!Y143,XT!AC143,XT!AG143))=11), 0), 0)), "")</f>
        <v/>
      </c>
      <c r="AQ143" s="12" t="str">
        <f>IF(XT!$P143&gt;0,AP143,"")</f>
        <v/>
      </c>
      <c r="AR143" s="12" t="str">
        <f>IF(XT!$P143=0,AP143,"")</f>
        <v/>
      </c>
      <c r="AS143">
        <f>SUMPRODUCT((MONTH(CHOOSE({1,2,3,4},XT!U143,XT!Y143,XT!AC143,XT!AG143))=12)*(CHOOSE({1,2,3,4},XT!X143,XT!AB143,XT!AF143,XT!AJ143)))</f>
        <v>0</v>
      </c>
      <c r="AT143" t="str">
        <f>IFERROR(INDEX(CHOOSE({1,2,3,4}, DAY(XT!U143), DAY(XT!Y143), DAY(XT!AC143), DAY(XT!AG143)), MATCH(1, INDEX(--(MONTH(CHOOSE({1,2,3,4}, XT!U143,XT!Y143,XT!AC143,XT!AG143))=12), 0), 0)), "")</f>
        <v/>
      </c>
      <c r="AU143" s="12" t="str">
        <f>IF(XT!$P143&gt;0,AT143,"")</f>
        <v/>
      </c>
      <c r="AV143" s="12" t="str">
        <f>IF(XT!$P143=0,AT143,"")</f>
        <v/>
      </c>
    </row>
    <row r="144" spans="1:48">
      <c r="A144">
        <f>SUMPRODUCT((MONTH(CHOOSE({1,2,3,4},XT!U144,XT!Y144,XT!AC144,XT!AG144))=1)*(CHOOSE({1,2,3,4},XT!X144,XT!AB144,XT!AF144,XT!AJ144)))</f>
        <v>0</v>
      </c>
      <c r="B144">
        <f>IFERROR(INDEX(CHOOSE({1,2,3,4}, DAY(XT!U144), DAY(XT!Y144), DAY(XT!AC144), DAY(XT!AG144)), MATCH(1, INDEX(--(MONTH(CHOOSE({1,2,3,4}, XT!U144,XT!Y144,XT!AC144,XT!AG144))=1), 0), 0)), "")</f>
        <v>0</v>
      </c>
      <c r="C144" s="12" t="str">
        <f>IF(XT!$P144&gt;0,B144,"")</f>
        <v/>
      </c>
      <c r="D144" s="12">
        <f>IF(XT!$P144=0,B144,"")</f>
        <v>0</v>
      </c>
      <c r="E144">
        <f>SUMPRODUCT((MONTH(CHOOSE({1,2,3,4},XT!U144,XT!Y144,XT!AC144,XT!AG144))=2)*(CHOOSE({1,2,3,4},XT!X144,XT!AB144,XT!AF144,XT!AJ144)))</f>
        <v>0</v>
      </c>
      <c r="F144" t="str">
        <f>IFERROR(INDEX(CHOOSE({1,2,3,4}, DAY(XT!U144), DAY(XT!Y144), DAY(XT!AC144), DAY(XT!AG144)), MATCH(1, INDEX(--(MONTH(CHOOSE({1,2,3,4}, XT!U144,XT!Y144,XT!AC144,XT!AG144))=2), 0), 0)), "")</f>
        <v/>
      </c>
      <c r="G144" s="12" t="str">
        <f>IF(XT!$P144&gt;0,F144,"")</f>
        <v/>
      </c>
      <c r="H144" s="12" t="str">
        <f>IF(XT!$P144=0,F144,"")</f>
        <v/>
      </c>
      <c r="I144">
        <f>SUMPRODUCT((MONTH(CHOOSE({1,2,3,4},XT!U144,XT!Y144,XT!AC144,XT!AG144))=3)*(CHOOSE({1,2,3,4},XT!X144,XT!AB144,XT!AF144,XT!AJ144)))</f>
        <v>0</v>
      </c>
      <c r="J144" t="str">
        <f>IFERROR(INDEX(CHOOSE({1,2,3,4}, DAY(XT!U144), DAY(XT!Y144), DAY(XT!AC144), DAY(XT!AG144)), MATCH(1, INDEX(--(MONTH(CHOOSE({1,2,3,4}, XT!U144,XT!Y144,XT!AC144,XT!AG144))=3), 0), 0)), "")</f>
        <v/>
      </c>
      <c r="K144" s="12" t="str">
        <f>IF(XT!$P144&gt;0,J144,"")</f>
        <v/>
      </c>
      <c r="L144" s="12" t="str">
        <f>IF(XT!$P144=0,J144,"")</f>
        <v/>
      </c>
      <c r="M144">
        <f>SUMPRODUCT((MONTH(CHOOSE({1,2,3,4},XT!U144,XT!Y144,XT!AC144,XT!AG144))=4)*(CHOOSE({1,2,3,4},XT!X144,XT!AB144,XT!AF144,XT!AJ144)))</f>
        <v>0</v>
      </c>
      <c r="N144" t="str">
        <f>IFERROR(INDEX(CHOOSE({1,2,3,4}, DAY(XT!U144), DAY(XT!Y144), DAY(XT!AC144), DAY(XT!AG144)), MATCH(1, INDEX(--(MONTH(CHOOSE({1,2,3,4}, XT!U144,XT!Y144,XT!AC144,XT!AG144))=4), 0), 0)), "")</f>
        <v/>
      </c>
      <c r="O144" s="12" t="str">
        <f>IF(XT!$P144&gt;0,N144,"")</f>
        <v/>
      </c>
      <c r="P144" s="12" t="str">
        <f>IF(XT!$P144=0,N144,"")</f>
        <v/>
      </c>
      <c r="Q144">
        <f>SUMPRODUCT((MONTH(CHOOSE({1,2,3,4},XT!U144,XT!Y144,XT!AC144,XT!AG144))=5)*(CHOOSE({1,2,3,4},XT!X144,XT!AB144,XT!AF144,XT!AJ144)))</f>
        <v>0</v>
      </c>
      <c r="R144" t="str">
        <f>IFERROR(INDEX(CHOOSE({1,2,3,4}, DAY(XT!U144), DAY(XT!Y144), DAY(XT!AC144), DAY(XT!AG144)), MATCH(1, INDEX(--(MONTH(CHOOSE({1,2,3,4}, XT!U144,XT!Y144,XT!AC144,XT!AG144))=5), 0), 0)), "")</f>
        <v/>
      </c>
      <c r="S144" s="12" t="str">
        <f>IF(XT!$P144&gt;0,R144,"")</f>
        <v/>
      </c>
      <c r="T144" s="12" t="str">
        <f>IF(XT!$P144=0,R144,"")</f>
        <v/>
      </c>
      <c r="U144">
        <f>SUMPRODUCT((MONTH(CHOOSE({1,2,3,4},XT!U144,XT!Y144,XT!AC144,XT!AG144))=6)*(CHOOSE({1,2,3,4},XT!X144,XT!AB144,XT!AF144,XT!AJ144)))</f>
        <v>0</v>
      </c>
      <c r="V144" t="str">
        <f>IFERROR(INDEX(CHOOSE({1,2,3,4}, DAY(XT!U144), DAY(XT!Y144), DAY(XT!AC144), DAY(XT!AG144)), MATCH(1, INDEX(--(MONTH(CHOOSE({1,2,3,4}, XT!U144,XT!Y144,XT!AC144,XT!AG144))=6), 0), 0)), "")</f>
        <v/>
      </c>
      <c r="W144" s="12" t="str">
        <f>IF(XT!$P144&gt;0,V144,"")</f>
        <v/>
      </c>
      <c r="X144" s="12" t="str">
        <f>IF(XT!$P144=0,V144,"")</f>
        <v/>
      </c>
      <c r="Y144">
        <f>SUMPRODUCT((MONTH(CHOOSE({1,2,3,4},XT!U144,XT!Y144,XT!AC144,XT!AG144))=7)*(CHOOSE({1,2,3,4},XT!X144,XT!AB144,XT!AF144,XT!AJ144)))</f>
        <v>0</v>
      </c>
      <c r="Z144" t="str">
        <f>IFERROR(INDEX(CHOOSE({1,2,3,4}, DAY(XT!U144), DAY(XT!Y144), DAY(XT!AC144), DAY(XT!AG144)), MATCH(1, INDEX(--(MONTH(CHOOSE({1,2,3,4}, XT!U144,XT!Y144,XT!AC144,XT!AG144))=7), 0), 0)), "")</f>
        <v/>
      </c>
      <c r="AA144" s="12" t="str">
        <f>IF(XT!$P144&gt;0,Z144,"")</f>
        <v/>
      </c>
      <c r="AB144" s="12" t="str">
        <f>IF(XT!$P144=0,Z144,"")</f>
        <v/>
      </c>
      <c r="AC144">
        <f>SUMPRODUCT((MONTH(CHOOSE({1,2,3,4},XT!U144,XT!Y144,XT!AC144,XT!AG144))=8)*(CHOOSE({1,2,3,4},XT!X144,XT!AB144,XT!AF144,XT!AJ144)))</f>
        <v>0</v>
      </c>
      <c r="AD144" t="str">
        <f>IFERROR(INDEX(CHOOSE({1,2,3,4}, DAY(XT!U144), DAY(XT!Y144), DAY(XT!AC144), DAY(XT!AG144)), MATCH(1, INDEX(--(MONTH(CHOOSE({1,2,3,4}, XT!U144,XT!Y144,XT!AC144,XT!AG144))=8), 0), 0)), "")</f>
        <v/>
      </c>
      <c r="AE144" s="12" t="str">
        <f>IF(XT!$P144&gt;0,AD144,"")</f>
        <v/>
      </c>
      <c r="AF144" s="12" t="str">
        <f>IF(XT!$P144=0,AD144,"")</f>
        <v/>
      </c>
      <c r="AG144">
        <f>SUMPRODUCT((MONTH(CHOOSE({1,2,3,4},XT!U144,XT!Y144,XT!AC144,XT!AG144))=9)*(CHOOSE({1,2,3,4},XT!X144,XT!AB144,XT!AF144,XT!AJ144)))</f>
        <v>0</v>
      </c>
      <c r="AH144" t="str">
        <f>IFERROR(INDEX(CHOOSE({1,2,3,4}, DAY(XT!U144), DAY(XT!Y144), DAY(XT!AC144), DAY(XT!AG144)), MATCH(1, INDEX(--(MONTH(CHOOSE({1,2,3,4}, XT!U144,XT!Y144,XT!AC144,XT!AG144))=9), 0), 0)), "")</f>
        <v/>
      </c>
      <c r="AI144" s="12" t="str">
        <f>IF(XT!$P144&gt;0,AH144,"")</f>
        <v/>
      </c>
      <c r="AJ144" s="12" t="str">
        <f>IF(XT!$P144=0,AH144,"")</f>
        <v/>
      </c>
      <c r="AK144">
        <f>SUMPRODUCT((MONTH(CHOOSE({1,2,3,4},XT!U144,XT!Y144,XT!AC144,XT!AG144))=10)*(CHOOSE({1,2,3,4},XT!X144,XT!AB144,XT!AF144,XT!AJ144)))</f>
        <v>0</v>
      </c>
      <c r="AL144" t="str">
        <f>IFERROR(INDEX(CHOOSE({1,2,3,4}, DAY(XT!U144), DAY(XT!Y144), DAY(XT!AC144), DAY(XT!AG144)), MATCH(1, INDEX(--(MONTH(CHOOSE({1,2,3,4}, XT!U144,XT!Y144,XT!AC144,XT!AG144))=10), 0), 0)), "")</f>
        <v/>
      </c>
      <c r="AM144" s="12" t="str">
        <f>IF(XT!$P144&gt;0,AL144,"")</f>
        <v/>
      </c>
      <c r="AN144" s="12" t="str">
        <f>IF(XT!$P144=0,AL144,"")</f>
        <v/>
      </c>
      <c r="AO144">
        <f>SUMPRODUCT((MONTH(CHOOSE({1,2,3,4},XT!U144,XT!Y144,XT!AC144,XT!AG144))=11)*(CHOOSE({1,2,3,4},XT!X144,XT!AB144,XT!AF144,XT!AJ144)))</f>
        <v>0</v>
      </c>
      <c r="AP144" t="str">
        <f>IFERROR(INDEX(CHOOSE({1,2,3,4}, DAY(XT!U144), DAY(XT!Y144), DAY(XT!AC144), DAY(XT!AG144)), MATCH(1, INDEX(--(MONTH(CHOOSE({1,2,3,4}, XT!U144,XT!Y144,XT!AC144,XT!AG144))=11), 0), 0)), "")</f>
        <v/>
      </c>
      <c r="AQ144" s="12" t="str">
        <f>IF(XT!$P144&gt;0,AP144,"")</f>
        <v/>
      </c>
      <c r="AR144" s="12" t="str">
        <f>IF(XT!$P144=0,AP144,"")</f>
        <v/>
      </c>
      <c r="AS144">
        <f>SUMPRODUCT((MONTH(CHOOSE({1,2,3,4},XT!U144,XT!Y144,XT!AC144,XT!AG144))=12)*(CHOOSE({1,2,3,4},XT!X144,XT!AB144,XT!AF144,XT!AJ144)))</f>
        <v>0</v>
      </c>
      <c r="AT144" t="str">
        <f>IFERROR(INDEX(CHOOSE({1,2,3,4}, DAY(XT!U144), DAY(XT!Y144), DAY(XT!AC144), DAY(XT!AG144)), MATCH(1, INDEX(--(MONTH(CHOOSE({1,2,3,4}, XT!U144,XT!Y144,XT!AC144,XT!AG144))=12), 0), 0)), "")</f>
        <v/>
      </c>
      <c r="AU144" s="12" t="str">
        <f>IF(XT!$P144&gt;0,AT144,"")</f>
        <v/>
      </c>
      <c r="AV144" s="12" t="str">
        <f>IF(XT!$P144=0,AT144,"")</f>
        <v/>
      </c>
    </row>
    <row r="145" spans="1:48">
      <c r="A145">
        <f>SUMPRODUCT((MONTH(CHOOSE({1,2,3,4},XT!U145,XT!Y145,XT!AC145,XT!AG145))=1)*(CHOOSE({1,2,3,4},XT!X145,XT!AB145,XT!AF145,XT!AJ145)))</f>
        <v>0</v>
      </c>
      <c r="B145">
        <f>IFERROR(INDEX(CHOOSE({1,2,3,4}, DAY(XT!U145), DAY(XT!Y145), DAY(XT!AC145), DAY(XT!AG145)), MATCH(1, INDEX(--(MONTH(CHOOSE({1,2,3,4}, XT!U145,XT!Y145,XT!AC145,XT!AG145))=1), 0), 0)), "")</f>
        <v>0</v>
      </c>
      <c r="C145" s="12" t="str">
        <f>IF(XT!$P145&gt;0,B145,"")</f>
        <v/>
      </c>
      <c r="D145" s="12">
        <f>IF(XT!$P145=0,B145,"")</f>
        <v>0</v>
      </c>
      <c r="E145">
        <f>SUMPRODUCT((MONTH(CHOOSE({1,2,3,4},XT!U145,XT!Y145,XT!AC145,XT!AG145))=2)*(CHOOSE({1,2,3,4},XT!X145,XT!AB145,XT!AF145,XT!AJ145)))</f>
        <v>0</v>
      </c>
      <c r="F145" t="str">
        <f>IFERROR(INDEX(CHOOSE({1,2,3,4}, DAY(XT!U145), DAY(XT!Y145), DAY(XT!AC145), DAY(XT!AG145)), MATCH(1, INDEX(--(MONTH(CHOOSE({1,2,3,4}, XT!U145,XT!Y145,XT!AC145,XT!AG145))=2), 0), 0)), "")</f>
        <v/>
      </c>
      <c r="G145" s="12" t="str">
        <f>IF(XT!$P145&gt;0,F145,"")</f>
        <v/>
      </c>
      <c r="H145" s="12" t="str">
        <f>IF(XT!$P145=0,F145,"")</f>
        <v/>
      </c>
      <c r="I145">
        <f>SUMPRODUCT((MONTH(CHOOSE({1,2,3,4},XT!U145,XT!Y145,XT!AC145,XT!AG145))=3)*(CHOOSE({1,2,3,4},XT!X145,XT!AB145,XT!AF145,XT!AJ145)))</f>
        <v>0</v>
      </c>
      <c r="J145" t="str">
        <f>IFERROR(INDEX(CHOOSE({1,2,3,4}, DAY(XT!U145), DAY(XT!Y145), DAY(XT!AC145), DAY(XT!AG145)), MATCH(1, INDEX(--(MONTH(CHOOSE({1,2,3,4}, XT!U145,XT!Y145,XT!AC145,XT!AG145))=3), 0), 0)), "")</f>
        <v/>
      </c>
      <c r="K145" s="12" t="str">
        <f>IF(XT!$P145&gt;0,J145,"")</f>
        <v/>
      </c>
      <c r="L145" s="12" t="str">
        <f>IF(XT!$P145=0,J145,"")</f>
        <v/>
      </c>
      <c r="M145">
        <f>SUMPRODUCT((MONTH(CHOOSE({1,2,3,4},XT!U145,XT!Y145,XT!AC145,XT!AG145))=4)*(CHOOSE({1,2,3,4},XT!X145,XT!AB145,XT!AF145,XT!AJ145)))</f>
        <v>0</v>
      </c>
      <c r="N145" t="str">
        <f>IFERROR(INDEX(CHOOSE({1,2,3,4}, DAY(XT!U145), DAY(XT!Y145), DAY(XT!AC145), DAY(XT!AG145)), MATCH(1, INDEX(--(MONTH(CHOOSE({1,2,3,4}, XT!U145,XT!Y145,XT!AC145,XT!AG145))=4), 0), 0)), "")</f>
        <v/>
      </c>
      <c r="O145" s="12" t="str">
        <f>IF(XT!$P145&gt;0,N145,"")</f>
        <v/>
      </c>
      <c r="P145" s="12" t="str">
        <f>IF(XT!$P145=0,N145,"")</f>
        <v/>
      </c>
      <c r="Q145">
        <f>SUMPRODUCT((MONTH(CHOOSE({1,2,3,4},XT!U145,XT!Y145,XT!AC145,XT!AG145))=5)*(CHOOSE({1,2,3,4},XT!X145,XT!AB145,XT!AF145,XT!AJ145)))</f>
        <v>0</v>
      </c>
      <c r="R145" t="str">
        <f>IFERROR(INDEX(CHOOSE({1,2,3,4}, DAY(XT!U145), DAY(XT!Y145), DAY(XT!AC145), DAY(XT!AG145)), MATCH(1, INDEX(--(MONTH(CHOOSE({1,2,3,4}, XT!U145,XT!Y145,XT!AC145,XT!AG145))=5), 0), 0)), "")</f>
        <v/>
      </c>
      <c r="S145" s="12" t="str">
        <f>IF(XT!$P145&gt;0,R145,"")</f>
        <v/>
      </c>
      <c r="T145" s="12" t="str">
        <f>IF(XT!$P145=0,R145,"")</f>
        <v/>
      </c>
      <c r="U145">
        <f>SUMPRODUCT((MONTH(CHOOSE({1,2,3,4},XT!U145,XT!Y145,XT!AC145,XT!AG145))=6)*(CHOOSE({1,2,3,4},XT!X145,XT!AB145,XT!AF145,XT!AJ145)))</f>
        <v>0</v>
      </c>
      <c r="V145" t="str">
        <f>IFERROR(INDEX(CHOOSE({1,2,3,4}, DAY(XT!U145), DAY(XT!Y145), DAY(XT!AC145), DAY(XT!AG145)), MATCH(1, INDEX(--(MONTH(CHOOSE({1,2,3,4}, XT!U145,XT!Y145,XT!AC145,XT!AG145))=6), 0), 0)), "")</f>
        <v/>
      </c>
      <c r="W145" s="12" t="str">
        <f>IF(XT!$P145&gt;0,V145,"")</f>
        <v/>
      </c>
      <c r="X145" s="12" t="str">
        <f>IF(XT!$P145=0,V145,"")</f>
        <v/>
      </c>
      <c r="Y145">
        <f>SUMPRODUCT((MONTH(CHOOSE({1,2,3,4},XT!U145,XT!Y145,XT!AC145,XT!AG145))=7)*(CHOOSE({1,2,3,4},XT!X145,XT!AB145,XT!AF145,XT!AJ145)))</f>
        <v>0</v>
      </c>
      <c r="Z145" t="str">
        <f>IFERROR(INDEX(CHOOSE({1,2,3,4}, DAY(XT!U145), DAY(XT!Y145), DAY(XT!AC145), DAY(XT!AG145)), MATCH(1, INDEX(--(MONTH(CHOOSE({1,2,3,4}, XT!U145,XT!Y145,XT!AC145,XT!AG145))=7), 0), 0)), "")</f>
        <v/>
      </c>
      <c r="AA145" s="12" t="str">
        <f>IF(XT!$P145&gt;0,Z145,"")</f>
        <v/>
      </c>
      <c r="AB145" s="12" t="str">
        <f>IF(XT!$P145=0,Z145,"")</f>
        <v/>
      </c>
      <c r="AC145">
        <f>SUMPRODUCT((MONTH(CHOOSE({1,2,3,4},XT!U145,XT!Y145,XT!AC145,XT!AG145))=8)*(CHOOSE({1,2,3,4},XT!X145,XT!AB145,XT!AF145,XT!AJ145)))</f>
        <v>0</v>
      </c>
      <c r="AD145" t="str">
        <f>IFERROR(INDEX(CHOOSE({1,2,3,4}, DAY(XT!U145), DAY(XT!Y145), DAY(XT!AC145), DAY(XT!AG145)), MATCH(1, INDEX(--(MONTH(CHOOSE({1,2,3,4}, XT!U145,XT!Y145,XT!AC145,XT!AG145))=8), 0), 0)), "")</f>
        <v/>
      </c>
      <c r="AE145" s="12" t="str">
        <f>IF(XT!$P145&gt;0,AD145,"")</f>
        <v/>
      </c>
      <c r="AF145" s="12" t="str">
        <f>IF(XT!$P145=0,AD145,"")</f>
        <v/>
      </c>
      <c r="AG145">
        <f>SUMPRODUCT((MONTH(CHOOSE({1,2,3,4},XT!U145,XT!Y145,XT!AC145,XT!AG145))=9)*(CHOOSE({1,2,3,4},XT!X145,XT!AB145,XT!AF145,XT!AJ145)))</f>
        <v>0</v>
      </c>
      <c r="AH145" t="str">
        <f>IFERROR(INDEX(CHOOSE({1,2,3,4}, DAY(XT!U145), DAY(XT!Y145), DAY(XT!AC145), DAY(XT!AG145)), MATCH(1, INDEX(--(MONTH(CHOOSE({1,2,3,4}, XT!U145,XT!Y145,XT!AC145,XT!AG145))=9), 0), 0)), "")</f>
        <v/>
      </c>
      <c r="AI145" s="12" t="str">
        <f>IF(XT!$P145&gt;0,AH145,"")</f>
        <v/>
      </c>
      <c r="AJ145" s="12" t="str">
        <f>IF(XT!$P145=0,AH145,"")</f>
        <v/>
      </c>
      <c r="AK145">
        <f>SUMPRODUCT((MONTH(CHOOSE({1,2,3,4},XT!U145,XT!Y145,XT!AC145,XT!AG145))=10)*(CHOOSE({1,2,3,4},XT!X145,XT!AB145,XT!AF145,XT!AJ145)))</f>
        <v>0</v>
      </c>
      <c r="AL145" t="str">
        <f>IFERROR(INDEX(CHOOSE({1,2,3,4}, DAY(XT!U145), DAY(XT!Y145), DAY(XT!AC145), DAY(XT!AG145)), MATCH(1, INDEX(--(MONTH(CHOOSE({1,2,3,4}, XT!U145,XT!Y145,XT!AC145,XT!AG145))=10), 0), 0)), "")</f>
        <v/>
      </c>
      <c r="AM145" s="12" t="str">
        <f>IF(XT!$P145&gt;0,AL145,"")</f>
        <v/>
      </c>
      <c r="AN145" s="12" t="str">
        <f>IF(XT!$P145=0,AL145,"")</f>
        <v/>
      </c>
      <c r="AO145">
        <f>SUMPRODUCT((MONTH(CHOOSE({1,2,3,4},XT!U145,XT!Y145,XT!AC145,XT!AG145))=11)*(CHOOSE({1,2,3,4},XT!X145,XT!AB145,XT!AF145,XT!AJ145)))</f>
        <v>0</v>
      </c>
      <c r="AP145" t="str">
        <f>IFERROR(INDEX(CHOOSE({1,2,3,4}, DAY(XT!U145), DAY(XT!Y145), DAY(XT!AC145), DAY(XT!AG145)), MATCH(1, INDEX(--(MONTH(CHOOSE({1,2,3,4}, XT!U145,XT!Y145,XT!AC145,XT!AG145))=11), 0), 0)), "")</f>
        <v/>
      </c>
      <c r="AQ145" s="12" t="str">
        <f>IF(XT!$P145&gt;0,AP145,"")</f>
        <v/>
      </c>
      <c r="AR145" s="12" t="str">
        <f>IF(XT!$P145=0,AP145,"")</f>
        <v/>
      </c>
      <c r="AS145">
        <f>SUMPRODUCT((MONTH(CHOOSE({1,2,3,4},XT!U145,XT!Y145,XT!AC145,XT!AG145))=12)*(CHOOSE({1,2,3,4},XT!X145,XT!AB145,XT!AF145,XT!AJ145)))</f>
        <v>0</v>
      </c>
      <c r="AT145" t="str">
        <f>IFERROR(INDEX(CHOOSE({1,2,3,4}, DAY(XT!U145), DAY(XT!Y145), DAY(XT!AC145), DAY(XT!AG145)), MATCH(1, INDEX(--(MONTH(CHOOSE({1,2,3,4}, XT!U145,XT!Y145,XT!AC145,XT!AG145))=12), 0), 0)), "")</f>
        <v/>
      </c>
      <c r="AU145" s="12" t="str">
        <f>IF(XT!$P145&gt;0,AT145,"")</f>
        <v/>
      </c>
      <c r="AV145" s="12" t="str">
        <f>IF(XT!$P145=0,AT145,"")</f>
        <v/>
      </c>
    </row>
    <row r="146" spans="1:48">
      <c r="A146">
        <f>SUMPRODUCT((MONTH(CHOOSE({1,2,3,4},XT!U146,XT!Y146,XT!AC146,XT!AG146))=1)*(CHOOSE({1,2,3,4},XT!X146,XT!AB146,XT!AF146,XT!AJ146)))</f>
        <v>0</v>
      </c>
      <c r="B146">
        <f>IFERROR(INDEX(CHOOSE({1,2,3,4}, DAY(XT!U146), DAY(XT!Y146), DAY(XT!AC146), DAY(XT!AG146)), MATCH(1, INDEX(--(MONTH(CHOOSE({1,2,3,4}, XT!U146,XT!Y146,XT!AC146,XT!AG146))=1), 0), 0)), "")</f>
        <v>0</v>
      </c>
      <c r="C146" s="12" t="str">
        <f>IF(XT!$P146&gt;0,B146,"")</f>
        <v/>
      </c>
      <c r="D146" s="12">
        <f>IF(XT!$P146=0,B146,"")</f>
        <v>0</v>
      </c>
      <c r="E146">
        <f>SUMPRODUCT((MONTH(CHOOSE({1,2,3,4},XT!U146,XT!Y146,XT!AC146,XT!AG146))=2)*(CHOOSE({1,2,3,4},XT!X146,XT!AB146,XT!AF146,XT!AJ146)))</f>
        <v>0</v>
      </c>
      <c r="F146" t="str">
        <f>IFERROR(INDEX(CHOOSE({1,2,3,4}, DAY(XT!U146), DAY(XT!Y146), DAY(XT!AC146), DAY(XT!AG146)), MATCH(1, INDEX(--(MONTH(CHOOSE({1,2,3,4}, XT!U146,XT!Y146,XT!AC146,XT!AG146))=2), 0), 0)), "")</f>
        <v/>
      </c>
      <c r="G146" s="12" t="str">
        <f>IF(XT!$P146&gt;0,F146,"")</f>
        <v/>
      </c>
      <c r="H146" s="12" t="str">
        <f>IF(XT!$P146=0,F146,"")</f>
        <v/>
      </c>
      <c r="I146">
        <f>SUMPRODUCT((MONTH(CHOOSE({1,2,3,4},XT!U146,XT!Y146,XT!AC146,XT!AG146))=3)*(CHOOSE({1,2,3,4},XT!X146,XT!AB146,XT!AF146,XT!AJ146)))</f>
        <v>0</v>
      </c>
      <c r="J146" t="str">
        <f>IFERROR(INDEX(CHOOSE({1,2,3,4}, DAY(XT!U146), DAY(XT!Y146), DAY(XT!AC146), DAY(XT!AG146)), MATCH(1, INDEX(--(MONTH(CHOOSE({1,2,3,4}, XT!U146,XT!Y146,XT!AC146,XT!AG146))=3), 0), 0)), "")</f>
        <v/>
      </c>
      <c r="K146" s="12" t="str">
        <f>IF(XT!$P146&gt;0,J146,"")</f>
        <v/>
      </c>
      <c r="L146" s="12" t="str">
        <f>IF(XT!$P146=0,J146,"")</f>
        <v/>
      </c>
      <c r="M146">
        <f>SUMPRODUCT((MONTH(CHOOSE({1,2,3,4},XT!U146,XT!Y146,XT!AC146,XT!AG146))=4)*(CHOOSE({1,2,3,4},XT!X146,XT!AB146,XT!AF146,XT!AJ146)))</f>
        <v>0</v>
      </c>
      <c r="N146" t="str">
        <f>IFERROR(INDEX(CHOOSE({1,2,3,4}, DAY(XT!U146), DAY(XT!Y146), DAY(XT!AC146), DAY(XT!AG146)), MATCH(1, INDEX(--(MONTH(CHOOSE({1,2,3,4}, XT!U146,XT!Y146,XT!AC146,XT!AG146))=4), 0), 0)), "")</f>
        <v/>
      </c>
      <c r="O146" s="12" t="str">
        <f>IF(XT!$P146&gt;0,N146,"")</f>
        <v/>
      </c>
      <c r="P146" s="12" t="str">
        <f>IF(XT!$P146=0,N146,"")</f>
        <v/>
      </c>
      <c r="Q146">
        <f>SUMPRODUCT((MONTH(CHOOSE({1,2,3,4},XT!U146,XT!Y146,XT!AC146,XT!AG146))=5)*(CHOOSE({1,2,3,4},XT!X146,XT!AB146,XT!AF146,XT!AJ146)))</f>
        <v>0</v>
      </c>
      <c r="R146" t="str">
        <f>IFERROR(INDEX(CHOOSE({1,2,3,4}, DAY(XT!U146), DAY(XT!Y146), DAY(XT!AC146), DAY(XT!AG146)), MATCH(1, INDEX(--(MONTH(CHOOSE({1,2,3,4}, XT!U146,XT!Y146,XT!AC146,XT!AG146))=5), 0), 0)), "")</f>
        <v/>
      </c>
      <c r="S146" s="12" t="str">
        <f>IF(XT!$P146&gt;0,R146,"")</f>
        <v/>
      </c>
      <c r="T146" s="12" t="str">
        <f>IF(XT!$P146=0,R146,"")</f>
        <v/>
      </c>
      <c r="U146">
        <f>SUMPRODUCT((MONTH(CHOOSE({1,2,3,4},XT!U146,XT!Y146,XT!AC146,XT!AG146))=6)*(CHOOSE({1,2,3,4},XT!X146,XT!AB146,XT!AF146,XT!AJ146)))</f>
        <v>0</v>
      </c>
      <c r="V146" t="str">
        <f>IFERROR(INDEX(CHOOSE({1,2,3,4}, DAY(XT!U146), DAY(XT!Y146), DAY(XT!AC146), DAY(XT!AG146)), MATCH(1, INDEX(--(MONTH(CHOOSE({1,2,3,4}, XT!U146,XT!Y146,XT!AC146,XT!AG146))=6), 0), 0)), "")</f>
        <v/>
      </c>
      <c r="W146" s="12" t="str">
        <f>IF(XT!$P146&gt;0,V146,"")</f>
        <v/>
      </c>
      <c r="X146" s="12" t="str">
        <f>IF(XT!$P146=0,V146,"")</f>
        <v/>
      </c>
      <c r="Y146">
        <f>SUMPRODUCT((MONTH(CHOOSE({1,2,3,4},XT!U146,XT!Y146,XT!AC146,XT!AG146))=7)*(CHOOSE({1,2,3,4},XT!X146,XT!AB146,XT!AF146,XT!AJ146)))</f>
        <v>0</v>
      </c>
      <c r="Z146" t="str">
        <f>IFERROR(INDEX(CHOOSE({1,2,3,4}, DAY(XT!U146), DAY(XT!Y146), DAY(XT!AC146), DAY(XT!AG146)), MATCH(1, INDEX(--(MONTH(CHOOSE({1,2,3,4}, XT!U146,XT!Y146,XT!AC146,XT!AG146))=7), 0), 0)), "")</f>
        <v/>
      </c>
      <c r="AA146" s="12" t="str">
        <f>IF(XT!$P146&gt;0,Z146,"")</f>
        <v/>
      </c>
      <c r="AB146" s="12" t="str">
        <f>IF(XT!$P146=0,Z146,"")</f>
        <v/>
      </c>
      <c r="AC146">
        <f>SUMPRODUCT((MONTH(CHOOSE({1,2,3,4},XT!U146,XT!Y146,XT!AC146,XT!AG146))=8)*(CHOOSE({1,2,3,4},XT!X146,XT!AB146,XT!AF146,XT!AJ146)))</f>
        <v>0</v>
      </c>
      <c r="AD146" t="str">
        <f>IFERROR(INDEX(CHOOSE({1,2,3,4}, DAY(XT!U146), DAY(XT!Y146), DAY(XT!AC146), DAY(XT!AG146)), MATCH(1, INDEX(--(MONTH(CHOOSE({1,2,3,4}, XT!U146,XT!Y146,XT!AC146,XT!AG146))=8), 0), 0)), "")</f>
        <v/>
      </c>
      <c r="AE146" s="12" t="str">
        <f>IF(XT!$P146&gt;0,AD146,"")</f>
        <v/>
      </c>
      <c r="AF146" s="12" t="str">
        <f>IF(XT!$P146=0,AD146,"")</f>
        <v/>
      </c>
      <c r="AG146">
        <f>SUMPRODUCT((MONTH(CHOOSE({1,2,3,4},XT!U146,XT!Y146,XT!AC146,XT!AG146))=9)*(CHOOSE({1,2,3,4},XT!X146,XT!AB146,XT!AF146,XT!AJ146)))</f>
        <v>0</v>
      </c>
      <c r="AH146" t="str">
        <f>IFERROR(INDEX(CHOOSE({1,2,3,4}, DAY(XT!U146), DAY(XT!Y146), DAY(XT!AC146), DAY(XT!AG146)), MATCH(1, INDEX(--(MONTH(CHOOSE({1,2,3,4}, XT!U146,XT!Y146,XT!AC146,XT!AG146))=9), 0), 0)), "")</f>
        <v/>
      </c>
      <c r="AI146" s="12" t="str">
        <f>IF(XT!$P146&gt;0,AH146,"")</f>
        <v/>
      </c>
      <c r="AJ146" s="12" t="str">
        <f>IF(XT!$P146=0,AH146,"")</f>
        <v/>
      </c>
      <c r="AK146">
        <f>SUMPRODUCT((MONTH(CHOOSE({1,2,3,4},XT!U146,XT!Y146,XT!AC146,XT!AG146))=10)*(CHOOSE({1,2,3,4},XT!X146,XT!AB146,XT!AF146,XT!AJ146)))</f>
        <v>0</v>
      </c>
      <c r="AL146" t="str">
        <f>IFERROR(INDEX(CHOOSE({1,2,3,4}, DAY(XT!U146), DAY(XT!Y146), DAY(XT!AC146), DAY(XT!AG146)), MATCH(1, INDEX(--(MONTH(CHOOSE({1,2,3,4}, XT!U146,XT!Y146,XT!AC146,XT!AG146))=10), 0), 0)), "")</f>
        <v/>
      </c>
      <c r="AM146" s="12" t="str">
        <f>IF(XT!$P146&gt;0,AL146,"")</f>
        <v/>
      </c>
      <c r="AN146" s="12" t="str">
        <f>IF(XT!$P146=0,AL146,"")</f>
        <v/>
      </c>
      <c r="AO146">
        <f>SUMPRODUCT((MONTH(CHOOSE({1,2,3,4},XT!U146,XT!Y146,XT!AC146,XT!AG146))=11)*(CHOOSE({1,2,3,4},XT!X146,XT!AB146,XT!AF146,XT!AJ146)))</f>
        <v>0</v>
      </c>
      <c r="AP146" t="str">
        <f>IFERROR(INDEX(CHOOSE({1,2,3,4}, DAY(XT!U146), DAY(XT!Y146), DAY(XT!AC146), DAY(XT!AG146)), MATCH(1, INDEX(--(MONTH(CHOOSE({1,2,3,4}, XT!U146,XT!Y146,XT!AC146,XT!AG146))=11), 0), 0)), "")</f>
        <v/>
      </c>
      <c r="AQ146" s="12" t="str">
        <f>IF(XT!$P146&gt;0,AP146,"")</f>
        <v/>
      </c>
      <c r="AR146" s="12" t="str">
        <f>IF(XT!$P146=0,AP146,"")</f>
        <v/>
      </c>
      <c r="AS146">
        <f>SUMPRODUCT((MONTH(CHOOSE({1,2,3,4},XT!U146,XT!Y146,XT!AC146,XT!AG146))=12)*(CHOOSE({1,2,3,4},XT!X146,XT!AB146,XT!AF146,XT!AJ146)))</f>
        <v>0</v>
      </c>
      <c r="AT146" t="str">
        <f>IFERROR(INDEX(CHOOSE({1,2,3,4}, DAY(XT!U146), DAY(XT!Y146), DAY(XT!AC146), DAY(XT!AG146)), MATCH(1, INDEX(--(MONTH(CHOOSE({1,2,3,4}, XT!U146,XT!Y146,XT!AC146,XT!AG146))=12), 0), 0)), "")</f>
        <v/>
      </c>
      <c r="AU146" s="12" t="str">
        <f>IF(XT!$P146&gt;0,AT146,"")</f>
        <v/>
      </c>
      <c r="AV146" s="12" t="str">
        <f>IF(XT!$P146=0,AT146,"")</f>
        <v/>
      </c>
    </row>
    <row r="147" spans="1:48">
      <c r="A147">
        <f>SUMPRODUCT((MONTH(CHOOSE({1,2,3,4},XT!U147,XT!Y147,XT!AC147,XT!AG147))=1)*(CHOOSE({1,2,3,4},XT!X147,XT!AB147,XT!AF147,XT!AJ147)))</f>
        <v>0</v>
      </c>
      <c r="B147">
        <f>IFERROR(INDEX(CHOOSE({1,2,3,4}, DAY(XT!U147), DAY(XT!Y147), DAY(XT!AC147), DAY(XT!AG147)), MATCH(1, INDEX(--(MONTH(CHOOSE({1,2,3,4}, XT!U147,XT!Y147,XT!AC147,XT!AG147))=1), 0), 0)), "")</f>
        <v>0</v>
      </c>
      <c r="C147" s="12" t="str">
        <f>IF(XT!$P147&gt;0,B147,"")</f>
        <v/>
      </c>
      <c r="D147" s="12">
        <f>IF(XT!$P147=0,B147,"")</f>
        <v>0</v>
      </c>
      <c r="E147">
        <f>SUMPRODUCT((MONTH(CHOOSE({1,2,3,4},XT!U147,XT!Y147,XT!AC147,XT!AG147))=2)*(CHOOSE({1,2,3,4},XT!X147,XT!AB147,XT!AF147,XT!AJ147)))</f>
        <v>0</v>
      </c>
      <c r="F147" t="str">
        <f>IFERROR(INDEX(CHOOSE({1,2,3,4}, DAY(XT!U147), DAY(XT!Y147), DAY(XT!AC147), DAY(XT!AG147)), MATCH(1, INDEX(--(MONTH(CHOOSE({1,2,3,4}, XT!U147,XT!Y147,XT!AC147,XT!AG147))=2), 0), 0)), "")</f>
        <v/>
      </c>
      <c r="G147" s="12" t="str">
        <f>IF(XT!$P147&gt;0,F147,"")</f>
        <v/>
      </c>
      <c r="H147" s="12" t="str">
        <f>IF(XT!$P147=0,F147,"")</f>
        <v/>
      </c>
      <c r="I147">
        <f>SUMPRODUCT((MONTH(CHOOSE({1,2,3,4},XT!U147,XT!Y147,XT!AC147,XT!AG147))=3)*(CHOOSE({1,2,3,4},XT!X147,XT!AB147,XT!AF147,XT!AJ147)))</f>
        <v>0</v>
      </c>
      <c r="J147" t="str">
        <f>IFERROR(INDEX(CHOOSE({1,2,3,4}, DAY(XT!U147), DAY(XT!Y147), DAY(XT!AC147), DAY(XT!AG147)), MATCH(1, INDEX(--(MONTH(CHOOSE({1,2,3,4}, XT!U147,XT!Y147,XT!AC147,XT!AG147))=3), 0), 0)), "")</f>
        <v/>
      </c>
      <c r="K147" s="12" t="str">
        <f>IF(XT!$P147&gt;0,J147,"")</f>
        <v/>
      </c>
      <c r="L147" s="12" t="str">
        <f>IF(XT!$P147=0,J147,"")</f>
        <v/>
      </c>
      <c r="M147">
        <f>SUMPRODUCT((MONTH(CHOOSE({1,2,3,4},XT!U147,XT!Y147,XT!AC147,XT!AG147))=4)*(CHOOSE({1,2,3,4},XT!X147,XT!AB147,XT!AF147,XT!AJ147)))</f>
        <v>0</v>
      </c>
      <c r="N147" t="str">
        <f>IFERROR(INDEX(CHOOSE({1,2,3,4}, DAY(XT!U147), DAY(XT!Y147), DAY(XT!AC147), DAY(XT!AG147)), MATCH(1, INDEX(--(MONTH(CHOOSE({1,2,3,4}, XT!U147,XT!Y147,XT!AC147,XT!AG147))=4), 0), 0)), "")</f>
        <v/>
      </c>
      <c r="O147" s="12" t="str">
        <f>IF(XT!$P147&gt;0,N147,"")</f>
        <v/>
      </c>
      <c r="P147" s="12" t="str">
        <f>IF(XT!$P147=0,N147,"")</f>
        <v/>
      </c>
      <c r="Q147">
        <f>SUMPRODUCT((MONTH(CHOOSE({1,2,3,4},XT!U147,XT!Y147,XT!AC147,XT!AG147))=5)*(CHOOSE({1,2,3,4},XT!X147,XT!AB147,XT!AF147,XT!AJ147)))</f>
        <v>0</v>
      </c>
      <c r="R147" t="str">
        <f>IFERROR(INDEX(CHOOSE({1,2,3,4}, DAY(XT!U147), DAY(XT!Y147), DAY(XT!AC147), DAY(XT!AG147)), MATCH(1, INDEX(--(MONTH(CHOOSE({1,2,3,4}, XT!U147,XT!Y147,XT!AC147,XT!AG147))=5), 0), 0)), "")</f>
        <v/>
      </c>
      <c r="S147" s="12" t="str">
        <f>IF(XT!$P147&gt;0,R147,"")</f>
        <v/>
      </c>
      <c r="T147" s="12" t="str">
        <f>IF(XT!$P147=0,R147,"")</f>
        <v/>
      </c>
      <c r="U147">
        <f>SUMPRODUCT((MONTH(CHOOSE({1,2,3,4},XT!U147,XT!Y147,XT!AC147,XT!AG147))=6)*(CHOOSE({1,2,3,4},XT!X147,XT!AB147,XT!AF147,XT!AJ147)))</f>
        <v>0</v>
      </c>
      <c r="V147" t="str">
        <f>IFERROR(INDEX(CHOOSE({1,2,3,4}, DAY(XT!U147), DAY(XT!Y147), DAY(XT!AC147), DAY(XT!AG147)), MATCH(1, INDEX(--(MONTH(CHOOSE({1,2,3,4}, XT!U147,XT!Y147,XT!AC147,XT!AG147))=6), 0), 0)), "")</f>
        <v/>
      </c>
      <c r="W147" s="12" t="str">
        <f>IF(XT!$P147&gt;0,V147,"")</f>
        <v/>
      </c>
      <c r="X147" s="12" t="str">
        <f>IF(XT!$P147=0,V147,"")</f>
        <v/>
      </c>
      <c r="Y147">
        <f>SUMPRODUCT((MONTH(CHOOSE({1,2,3,4},XT!U147,XT!Y147,XT!AC147,XT!AG147))=7)*(CHOOSE({1,2,3,4},XT!X147,XT!AB147,XT!AF147,XT!AJ147)))</f>
        <v>0</v>
      </c>
      <c r="Z147" t="str">
        <f>IFERROR(INDEX(CHOOSE({1,2,3,4}, DAY(XT!U147), DAY(XT!Y147), DAY(XT!AC147), DAY(XT!AG147)), MATCH(1, INDEX(--(MONTH(CHOOSE({1,2,3,4}, XT!U147,XT!Y147,XT!AC147,XT!AG147))=7), 0), 0)), "")</f>
        <v/>
      </c>
      <c r="AA147" s="12" t="str">
        <f>IF(XT!$P147&gt;0,Z147,"")</f>
        <v/>
      </c>
      <c r="AB147" s="12" t="str">
        <f>IF(XT!$P147=0,Z147,"")</f>
        <v/>
      </c>
      <c r="AC147">
        <f>SUMPRODUCT((MONTH(CHOOSE({1,2,3,4},XT!U147,XT!Y147,XT!AC147,XT!AG147))=8)*(CHOOSE({1,2,3,4},XT!X147,XT!AB147,XT!AF147,XT!AJ147)))</f>
        <v>0</v>
      </c>
      <c r="AD147" t="str">
        <f>IFERROR(INDEX(CHOOSE({1,2,3,4}, DAY(XT!U147), DAY(XT!Y147), DAY(XT!AC147), DAY(XT!AG147)), MATCH(1, INDEX(--(MONTH(CHOOSE({1,2,3,4}, XT!U147,XT!Y147,XT!AC147,XT!AG147))=8), 0), 0)), "")</f>
        <v/>
      </c>
      <c r="AE147" s="12" t="str">
        <f>IF(XT!$P147&gt;0,AD147,"")</f>
        <v/>
      </c>
      <c r="AF147" s="12" t="str">
        <f>IF(XT!$P147=0,AD147,"")</f>
        <v/>
      </c>
      <c r="AG147">
        <f>SUMPRODUCT((MONTH(CHOOSE({1,2,3,4},XT!U147,XT!Y147,XT!AC147,XT!AG147))=9)*(CHOOSE({1,2,3,4},XT!X147,XT!AB147,XT!AF147,XT!AJ147)))</f>
        <v>0</v>
      </c>
      <c r="AH147" t="str">
        <f>IFERROR(INDEX(CHOOSE({1,2,3,4}, DAY(XT!U147), DAY(XT!Y147), DAY(XT!AC147), DAY(XT!AG147)), MATCH(1, INDEX(--(MONTH(CHOOSE({1,2,3,4}, XT!U147,XT!Y147,XT!AC147,XT!AG147))=9), 0), 0)), "")</f>
        <v/>
      </c>
      <c r="AI147" s="12" t="str">
        <f>IF(XT!$P147&gt;0,AH147,"")</f>
        <v/>
      </c>
      <c r="AJ147" s="12" t="str">
        <f>IF(XT!$P147=0,AH147,"")</f>
        <v/>
      </c>
      <c r="AK147">
        <f>SUMPRODUCT((MONTH(CHOOSE({1,2,3,4},XT!U147,XT!Y147,XT!AC147,XT!AG147))=10)*(CHOOSE({1,2,3,4},XT!X147,XT!AB147,XT!AF147,XT!AJ147)))</f>
        <v>0</v>
      </c>
      <c r="AL147" t="str">
        <f>IFERROR(INDEX(CHOOSE({1,2,3,4}, DAY(XT!U147), DAY(XT!Y147), DAY(XT!AC147), DAY(XT!AG147)), MATCH(1, INDEX(--(MONTH(CHOOSE({1,2,3,4}, XT!U147,XT!Y147,XT!AC147,XT!AG147))=10), 0), 0)), "")</f>
        <v/>
      </c>
      <c r="AM147" s="12" t="str">
        <f>IF(XT!$P147&gt;0,AL147,"")</f>
        <v/>
      </c>
      <c r="AN147" s="12" t="str">
        <f>IF(XT!$P147=0,AL147,"")</f>
        <v/>
      </c>
      <c r="AO147">
        <f>SUMPRODUCT((MONTH(CHOOSE({1,2,3,4},XT!U147,XT!Y147,XT!AC147,XT!AG147))=11)*(CHOOSE({1,2,3,4},XT!X147,XT!AB147,XT!AF147,XT!AJ147)))</f>
        <v>0</v>
      </c>
      <c r="AP147" t="str">
        <f>IFERROR(INDEX(CHOOSE({1,2,3,4}, DAY(XT!U147), DAY(XT!Y147), DAY(XT!AC147), DAY(XT!AG147)), MATCH(1, INDEX(--(MONTH(CHOOSE({1,2,3,4}, XT!U147,XT!Y147,XT!AC147,XT!AG147))=11), 0), 0)), "")</f>
        <v/>
      </c>
      <c r="AQ147" s="12" t="str">
        <f>IF(XT!$P147&gt;0,AP147,"")</f>
        <v/>
      </c>
      <c r="AR147" s="12" t="str">
        <f>IF(XT!$P147=0,AP147,"")</f>
        <v/>
      </c>
      <c r="AS147">
        <f>SUMPRODUCT((MONTH(CHOOSE({1,2,3,4},XT!U147,XT!Y147,XT!AC147,XT!AG147))=12)*(CHOOSE({1,2,3,4},XT!X147,XT!AB147,XT!AF147,XT!AJ147)))</f>
        <v>0</v>
      </c>
      <c r="AT147" t="str">
        <f>IFERROR(INDEX(CHOOSE({1,2,3,4}, DAY(XT!U147), DAY(XT!Y147), DAY(XT!AC147), DAY(XT!AG147)), MATCH(1, INDEX(--(MONTH(CHOOSE({1,2,3,4}, XT!U147,XT!Y147,XT!AC147,XT!AG147))=12), 0), 0)), "")</f>
        <v/>
      </c>
      <c r="AU147" s="12" t="str">
        <f>IF(XT!$P147&gt;0,AT147,"")</f>
        <v/>
      </c>
      <c r="AV147" s="12" t="str">
        <f>IF(XT!$P147=0,AT147,"")</f>
        <v/>
      </c>
    </row>
    <row r="148" spans="1:48">
      <c r="A148">
        <f>SUMPRODUCT((MONTH(CHOOSE({1,2,3,4},XT!U148,XT!Y148,XT!AC148,XT!AG148))=1)*(CHOOSE({1,2,3,4},XT!X148,XT!AB148,XT!AF148,XT!AJ148)))</f>
        <v>0</v>
      </c>
      <c r="B148">
        <f>IFERROR(INDEX(CHOOSE({1,2,3,4}, DAY(XT!U148), DAY(XT!Y148), DAY(XT!AC148), DAY(XT!AG148)), MATCH(1, INDEX(--(MONTH(CHOOSE({1,2,3,4}, XT!U148,XT!Y148,XT!AC148,XT!AG148))=1), 0), 0)), "")</f>
        <v>0</v>
      </c>
      <c r="C148" s="12" t="str">
        <f>IF(XT!$P148&gt;0,B148,"")</f>
        <v/>
      </c>
      <c r="D148" s="12">
        <f>IF(XT!$P148=0,B148,"")</f>
        <v>0</v>
      </c>
      <c r="E148">
        <f>SUMPRODUCT((MONTH(CHOOSE({1,2,3,4},XT!U148,XT!Y148,XT!AC148,XT!AG148))=2)*(CHOOSE({1,2,3,4},XT!X148,XT!AB148,XT!AF148,XT!AJ148)))</f>
        <v>0</v>
      </c>
      <c r="F148" t="str">
        <f>IFERROR(INDEX(CHOOSE({1,2,3,4}, DAY(XT!U148), DAY(XT!Y148), DAY(XT!AC148), DAY(XT!AG148)), MATCH(1, INDEX(--(MONTH(CHOOSE({1,2,3,4}, XT!U148,XT!Y148,XT!AC148,XT!AG148))=2), 0), 0)), "")</f>
        <v/>
      </c>
      <c r="G148" s="12" t="str">
        <f>IF(XT!$P148&gt;0,F148,"")</f>
        <v/>
      </c>
      <c r="H148" s="12" t="str">
        <f>IF(XT!$P148=0,F148,"")</f>
        <v/>
      </c>
      <c r="I148">
        <f>SUMPRODUCT((MONTH(CHOOSE({1,2,3,4},XT!U148,XT!Y148,XT!AC148,XT!AG148))=3)*(CHOOSE({1,2,3,4},XT!X148,XT!AB148,XT!AF148,XT!AJ148)))</f>
        <v>0</v>
      </c>
      <c r="J148" t="str">
        <f>IFERROR(INDEX(CHOOSE({1,2,3,4}, DAY(XT!U148), DAY(XT!Y148), DAY(XT!AC148), DAY(XT!AG148)), MATCH(1, INDEX(--(MONTH(CHOOSE({1,2,3,4}, XT!U148,XT!Y148,XT!AC148,XT!AG148))=3), 0), 0)), "")</f>
        <v/>
      </c>
      <c r="K148" s="12" t="str">
        <f>IF(XT!$P148&gt;0,J148,"")</f>
        <v/>
      </c>
      <c r="L148" s="12" t="str">
        <f>IF(XT!$P148=0,J148,"")</f>
        <v/>
      </c>
      <c r="M148">
        <f>SUMPRODUCT((MONTH(CHOOSE({1,2,3,4},XT!U148,XT!Y148,XT!AC148,XT!AG148))=4)*(CHOOSE({1,2,3,4},XT!X148,XT!AB148,XT!AF148,XT!AJ148)))</f>
        <v>0</v>
      </c>
      <c r="N148" t="str">
        <f>IFERROR(INDEX(CHOOSE({1,2,3,4}, DAY(XT!U148), DAY(XT!Y148), DAY(XT!AC148), DAY(XT!AG148)), MATCH(1, INDEX(--(MONTH(CHOOSE({1,2,3,4}, XT!U148,XT!Y148,XT!AC148,XT!AG148))=4), 0), 0)), "")</f>
        <v/>
      </c>
      <c r="O148" s="12" t="str">
        <f>IF(XT!$P148&gt;0,N148,"")</f>
        <v/>
      </c>
      <c r="P148" s="12" t="str">
        <f>IF(XT!$P148=0,N148,"")</f>
        <v/>
      </c>
      <c r="Q148">
        <f>SUMPRODUCT((MONTH(CHOOSE({1,2,3,4},XT!U148,XT!Y148,XT!AC148,XT!AG148))=5)*(CHOOSE({1,2,3,4},XT!X148,XT!AB148,XT!AF148,XT!AJ148)))</f>
        <v>0</v>
      </c>
      <c r="R148" t="str">
        <f>IFERROR(INDEX(CHOOSE({1,2,3,4}, DAY(XT!U148), DAY(XT!Y148), DAY(XT!AC148), DAY(XT!AG148)), MATCH(1, INDEX(--(MONTH(CHOOSE({1,2,3,4}, XT!U148,XT!Y148,XT!AC148,XT!AG148))=5), 0), 0)), "")</f>
        <v/>
      </c>
      <c r="S148" s="12" t="str">
        <f>IF(XT!$P148&gt;0,R148,"")</f>
        <v/>
      </c>
      <c r="T148" s="12" t="str">
        <f>IF(XT!$P148=0,R148,"")</f>
        <v/>
      </c>
      <c r="U148">
        <f>SUMPRODUCT((MONTH(CHOOSE({1,2,3,4},XT!U148,XT!Y148,XT!AC148,XT!AG148))=6)*(CHOOSE({1,2,3,4},XT!X148,XT!AB148,XT!AF148,XT!AJ148)))</f>
        <v>0</v>
      </c>
      <c r="V148" t="str">
        <f>IFERROR(INDEX(CHOOSE({1,2,3,4}, DAY(XT!U148), DAY(XT!Y148), DAY(XT!AC148), DAY(XT!AG148)), MATCH(1, INDEX(--(MONTH(CHOOSE({1,2,3,4}, XT!U148,XT!Y148,XT!AC148,XT!AG148))=6), 0), 0)), "")</f>
        <v/>
      </c>
      <c r="W148" s="12" t="str">
        <f>IF(XT!$P148&gt;0,V148,"")</f>
        <v/>
      </c>
      <c r="X148" s="12" t="str">
        <f>IF(XT!$P148=0,V148,"")</f>
        <v/>
      </c>
      <c r="Y148">
        <f>SUMPRODUCT((MONTH(CHOOSE({1,2,3,4},XT!U148,XT!Y148,XT!AC148,XT!AG148))=7)*(CHOOSE({1,2,3,4},XT!X148,XT!AB148,XT!AF148,XT!AJ148)))</f>
        <v>0</v>
      </c>
      <c r="Z148" t="str">
        <f>IFERROR(INDEX(CHOOSE({1,2,3,4}, DAY(XT!U148), DAY(XT!Y148), DAY(XT!AC148), DAY(XT!AG148)), MATCH(1, INDEX(--(MONTH(CHOOSE({1,2,3,4}, XT!U148,XT!Y148,XT!AC148,XT!AG148))=7), 0), 0)), "")</f>
        <v/>
      </c>
      <c r="AA148" s="12" t="str">
        <f>IF(XT!$P148&gt;0,Z148,"")</f>
        <v/>
      </c>
      <c r="AB148" s="12" t="str">
        <f>IF(XT!$P148=0,Z148,"")</f>
        <v/>
      </c>
      <c r="AC148">
        <f>SUMPRODUCT((MONTH(CHOOSE({1,2,3,4},XT!U148,XT!Y148,XT!AC148,XT!AG148))=8)*(CHOOSE({1,2,3,4},XT!X148,XT!AB148,XT!AF148,XT!AJ148)))</f>
        <v>0</v>
      </c>
      <c r="AD148" t="str">
        <f>IFERROR(INDEX(CHOOSE({1,2,3,4}, DAY(XT!U148), DAY(XT!Y148), DAY(XT!AC148), DAY(XT!AG148)), MATCH(1, INDEX(--(MONTH(CHOOSE({1,2,3,4}, XT!U148,XT!Y148,XT!AC148,XT!AG148))=8), 0), 0)), "")</f>
        <v/>
      </c>
      <c r="AE148" s="12" t="str">
        <f>IF(XT!$P148&gt;0,AD148,"")</f>
        <v/>
      </c>
      <c r="AF148" s="12" t="str">
        <f>IF(XT!$P148=0,AD148,"")</f>
        <v/>
      </c>
      <c r="AG148">
        <f>SUMPRODUCT((MONTH(CHOOSE({1,2,3,4},XT!U148,XT!Y148,XT!AC148,XT!AG148))=9)*(CHOOSE({1,2,3,4},XT!X148,XT!AB148,XT!AF148,XT!AJ148)))</f>
        <v>0</v>
      </c>
      <c r="AH148" t="str">
        <f>IFERROR(INDEX(CHOOSE({1,2,3,4}, DAY(XT!U148), DAY(XT!Y148), DAY(XT!AC148), DAY(XT!AG148)), MATCH(1, INDEX(--(MONTH(CHOOSE({1,2,3,4}, XT!U148,XT!Y148,XT!AC148,XT!AG148))=9), 0), 0)), "")</f>
        <v/>
      </c>
      <c r="AI148" s="12" t="str">
        <f>IF(XT!$P148&gt;0,AH148,"")</f>
        <v/>
      </c>
      <c r="AJ148" s="12" t="str">
        <f>IF(XT!$P148=0,AH148,"")</f>
        <v/>
      </c>
      <c r="AK148">
        <f>SUMPRODUCT((MONTH(CHOOSE({1,2,3,4},XT!U148,XT!Y148,XT!AC148,XT!AG148))=10)*(CHOOSE({1,2,3,4},XT!X148,XT!AB148,XT!AF148,XT!AJ148)))</f>
        <v>0</v>
      </c>
      <c r="AL148" t="str">
        <f>IFERROR(INDEX(CHOOSE({1,2,3,4}, DAY(XT!U148), DAY(XT!Y148), DAY(XT!AC148), DAY(XT!AG148)), MATCH(1, INDEX(--(MONTH(CHOOSE({1,2,3,4}, XT!U148,XT!Y148,XT!AC148,XT!AG148))=10), 0), 0)), "")</f>
        <v/>
      </c>
      <c r="AM148" s="12" t="str">
        <f>IF(XT!$P148&gt;0,AL148,"")</f>
        <v/>
      </c>
      <c r="AN148" s="12" t="str">
        <f>IF(XT!$P148=0,AL148,"")</f>
        <v/>
      </c>
      <c r="AO148">
        <f>SUMPRODUCT((MONTH(CHOOSE({1,2,3,4},XT!U148,XT!Y148,XT!AC148,XT!AG148))=11)*(CHOOSE({1,2,3,4},XT!X148,XT!AB148,XT!AF148,XT!AJ148)))</f>
        <v>0</v>
      </c>
      <c r="AP148" t="str">
        <f>IFERROR(INDEX(CHOOSE({1,2,3,4}, DAY(XT!U148), DAY(XT!Y148), DAY(XT!AC148), DAY(XT!AG148)), MATCH(1, INDEX(--(MONTH(CHOOSE({1,2,3,4}, XT!U148,XT!Y148,XT!AC148,XT!AG148))=11), 0), 0)), "")</f>
        <v/>
      </c>
      <c r="AQ148" s="12" t="str">
        <f>IF(XT!$P148&gt;0,AP148,"")</f>
        <v/>
      </c>
      <c r="AR148" s="12" t="str">
        <f>IF(XT!$P148=0,AP148,"")</f>
        <v/>
      </c>
      <c r="AS148">
        <f>SUMPRODUCT((MONTH(CHOOSE({1,2,3,4},XT!U148,XT!Y148,XT!AC148,XT!AG148))=12)*(CHOOSE({1,2,3,4},XT!X148,XT!AB148,XT!AF148,XT!AJ148)))</f>
        <v>0</v>
      </c>
      <c r="AT148" t="str">
        <f>IFERROR(INDEX(CHOOSE({1,2,3,4}, DAY(XT!U148), DAY(XT!Y148), DAY(XT!AC148), DAY(XT!AG148)), MATCH(1, INDEX(--(MONTH(CHOOSE({1,2,3,4}, XT!U148,XT!Y148,XT!AC148,XT!AG148))=12), 0), 0)), "")</f>
        <v/>
      </c>
      <c r="AU148" s="12" t="str">
        <f>IF(XT!$P148&gt;0,AT148,"")</f>
        <v/>
      </c>
      <c r="AV148" s="12" t="str">
        <f>IF(XT!$P148=0,AT148,"")</f>
        <v/>
      </c>
    </row>
    <row r="149" spans="1:48">
      <c r="A149">
        <f>SUMPRODUCT((MONTH(CHOOSE({1,2,3,4},XT!U149,XT!Y149,XT!AC149,XT!AG149))=1)*(CHOOSE({1,2,3,4},XT!X149,XT!AB149,XT!AF149,XT!AJ149)))</f>
        <v>0</v>
      </c>
      <c r="B149">
        <f>IFERROR(INDEX(CHOOSE({1,2,3,4}, DAY(XT!U149), DAY(XT!Y149), DAY(XT!AC149), DAY(XT!AG149)), MATCH(1, INDEX(--(MONTH(CHOOSE({1,2,3,4}, XT!U149,XT!Y149,XT!AC149,XT!AG149))=1), 0), 0)), "")</f>
        <v>0</v>
      </c>
      <c r="C149" s="12" t="str">
        <f>IF(XT!$P149&gt;0,B149,"")</f>
        <v/>
      </c>
      <c r="D149" s="12">
        <f>IF(XT!$P149=0,B149,"")</f>
        <v>0</v>
      </c>
      <c r="E149">
        <f>SUMPRODUCT((MONTH(CHOOSE({1,2,3,4},XT!U149,XT!Y149,XT!AC149,XT!AG149))=2)*(CHOOSE({1,2,3,4},XT!X149,XT!AB149,XT!AF149,XT!AJ149)))</f>
        <v>0</v>
      </c>
      <c r="F149" t="str">
        <f>IFERROR(INDEX(CHOOSE({1,2,3,4}, DAY(XT!U149), DAY(XT!Y149), DAY(XT!AC149), DAY(XT!AG149)), MATCH(1, INDEX(--(MONTH(CHOOSE({1,2,3,4}, XT!U149,XT!Y149,XT!AC149,XT!AG149))=2), 0), 0)), "")</f>
        <v/>
      </c>
      <c r="G149" s="12" t="str">
        <f>IF(XT!$P149&gt;0,F149,"")</f>
        <v/>
      </c>
      <c r="H149" s="12" t="str">
        <f>IF(XT!$P149=0,F149,"")</f>
        <v/>
      </c>
      <c r="I149">
        <f>SUMPRODUCT((MONTH(CHOOSE({1,2,3,4},XT!U149,XT!Y149,XT!AC149,XT!AG149))=3)*(CHOOSE({1,2,3,4},XT!X149,XT!AB149,XT!AF149,XT!AJ149)))</f>
        <v>0</v>
      </c>
      <c r="J149" t="str">
        <f>IFERROR(INDEX(CHOOSE({1,2,3,4}, DAY(XT!U149), DAY(XT!Y149), DAY(XT!AC149), DAY(XT!AG149)), MATCH(1, INDEX(--(MONTH(CHOOSE({1,2,3,4}, XT!U149,XT!Y149,XT!AC149,XT!AG149))=3), 0), 0)), "")</f>
        <v/>
      </c>
      <c r="K149" s="12" t="str">
        <f>IF(XT!$P149&gt;0,J149,"")</f>
        <v/>
      </c>
      <c r="L149" s="12" t="str">
        <f>IF(XT!$P149=0,J149,"")</f>
        <v/>
      </c>
      <c r="M149">
        <f>SUMPRODUCT((MONTH(CHOOSE({1,2,3,4},XT!U149,XT!Y149,XT!AC149,XT!AG149))=4)*(CHOOSE({1,2,3,4},XT!X149,XT!AB149,XT!AF149,XT!AJ149)))</f>
        <v>0</v>
      </c>
      <c r="N149" t="str">
        <f>IFERROR(INDEX(CHOOSE({1,2,3,4}, DAY(XT!U149), DAY(XT!Y149), DAY(XT!AC149), DAY(XT!AG149)), MATCH(1, INDEX(--(MONTH(CHOOSE({1,2,3,4}, XT!U149,XT!Y149,XT!AC149,XT!AG149))=4), 0), 0)), "")</f>
        <v/>
      </c>
      <c r="O149" s="12" t="str">
        <f>IF(XT!$P149&gt;0,N149,"")</f>
        <v/>
      </c>
      <c r="P149" s="12" t="str">
        <f>IF(XT!$P149=0,N149,"")</f>
        <v/>
      </c>
      <c r="Q149">
        <f>SUMPRODUCT((MONTH(CHOOSE({1,2,3,4},XT!U149,XT!Y149,XT!AC149,XT!AG149))=5)*(CHOOSE({1,2,3,4},XT!X149,XT!AB149,XT!AF149,XT!AJ149)))</f>
        <v>0</v>
      </c>
      <c r="R149" t="str">
        <f>IFERROR(INDEX(CHOOSE({1,2,3,4}, DAY(XT!U149), DAY(XT!Y149), DAY(XT!AC149), DAY(XT!AG149)), MATCH(1, INDEX(--(MONTH(CHOOSE({1,2,3,4}, XT!U149,XT!Y149,XT!AC149,XT!AG149))=5), 0), 0)), "")</f>
        <v/>
      </c>
      <c r="S149" s="12" t="str">
        <f>IF(XT!$P149&gt;0,R149,"")</f>
        <v/>
      </c>
      <c r="T149" s="12" t="str">
        <f>IF(XT!$P149=0,R149,"")</f>
        <v/>
      </c>
      <c r="U149">
        <f>SUMPRODUCT((MONTH(CHOOSE({1,2,3,4},XT!U149,XT!Y149,XT!AC149,XT!AG149))=6)*(CHOOSE({1,2,3,4},XT!X149,XT!AB149,XT!AF149,XT!AJ149)))</f>
        <v>0</v>
      </c>
      <c r="V149" t="str">
        <f>IFERROR(INDEX(CHOOSE({1,2,3,4}, DAY(XT!U149), DAY(XT!Y149), DAY(XT!AC149), DAY(XT!AG149)), MATCH(1, INDEX(--(MONTH(CHOOSE({1,2,3,4}, XT!U149,XT!Y149,XT!AC149,XT!AG149))=6), 0), 0)), "")</f>
        <v/>
      </c>
      <c r="W149" s="12" t="str">
        <f>IF(XT!$P149&gt;0,V149,"")</f>
        <v/>
      </c>
      <c r="X149" s="12" t="str">
        <f>IF(XT!$P149=0,V149,"")</f>
        <v/>
      </c>
      <c r="Y149">
        <f>SUMPRODUCT((MONTH(CHOOSE({1,2,3,4},XT!U149,XT!Y149,XT!AC149,XT!AG149))=7)*(CHOOSE({1,2,3,4},XT!X149,XT!AB149,XT!AF149,XT!AJ149)))</f>
        <v>0</v>
      </c>
      <c r="Z149" t="str">
        <f>IFERROR(INDEX(CHOOSE({1,2,3,4}, DAY(XT!U149), DAY(XT!Y149), DAY(XT!AC149), DAY(XT!AG149)), MATCH(1, INDEX(--(MONTH(CHOOSE({1,2,3,4}, XT!U149,XT!Y149,XT!AC149,XT!AG149))=7), 0), 0)), "")</f>
        <v/>
      </c>
      <c r="AA149" s="12" t="str">
        <f>IF(XT!$P149&gt;0,Z149,"")</f>
        <v/>
      </c>
      <c r="AB149" s="12" t="str">
        <f>IF(XT!$P149=0,Z149,"")</f>
        <v/>
      </c>
      <c r="AC149">
        <f>SUMPRODUCT((MONTH(CHOOSE({1,2,3,4},XT!U149,XT!Y149,XT!AC149,XT!AG149))=8)*(CHOOSE({1,2,3,4},XT!X149,XT!AB149,XT!AF149,XT!AJ149)))</f>
        <v>0</v>
      </c>
      <c r="AD149" t="str">
        <f>IFERROR(INDEX(CHOOSE({1,2,3,4}, DAY(XT!U149), DAY(XT!Y149), DAY(XT!AC149), DAY(XT!AG149)), MATCH(1, INDEX(--(MONTH(CHOOSE({1,2,3,4}, XT!U149,XT!Y149,XT!AC149,XT!AG149))=8), 0), 0)), "")</f>
        <v/>
      </c>
      <c r="AE149" s="12" t="str">
        <f>IF(XT!$P149&gt;0,AD149,"")</f>
        <v/>
      </c>
      <c r="AF149" s="12" t="str">
        <f>IF(XT!$P149=0,AD149,"")</f>
        <v/>
      </c>
      <c r="AG149">
        <f>SUMPRODUCT((MONTH(CHOOSE({1,2,3,4},XT!U149,XT!Y149,XT!AC149,XT!AG149))=9)*(CHOOSE({1,2,3,4},XT!X149,XT!AB149,XT!AF149,XT!AJ149)))</f>
        <v>0</v>
      </c>
      <c r="AH149" t="str">
        <f>IFERROR(INDEX(CHOOSE({1,2,3,4}, DAY(XT!U149), DAY(XT!Y149), DAY(XT!AC149), DAY(XT!AG149)), MATCH(1, INDEX(--(MONTH(CHOOSE({1,2,3,4}, XT!U149,XT!Y149,XT!AC149,XT!AG149))=9), 0), 0)), "")</f>
        <v/>
      </c>
      <c r="AI149" s="12" t="str">
        <f>IF(XT!$P149&gt;0,AH149,"")</f>
        <v/>
      </c>
      <c r="AJ149" s="12" t="str">
        <f>IF(XT!$P149=0,AH149,"")</f>
        <v/>
      </c>
      <c r="AK149">
        <f>SUMPRODUCT((MONTH(CHOOSE({1,2,3,4},XT!U149,XT!Y149,XT!AC149,XT!AG149))=10)*(CHOOSE({1,2,3,4},XT!X149,XT!AB149,XT!AF149,XT!AJ149)))</f>
        <v>0</v>
      </c>
      <c r="AL149" t="str">
        <f>IFERROR(INDEX(CHOOSE({1,2,3,4}, DAY(XT!U149), DAY(XT!Y149), DAY(XT!AC149), DAY(XT!AG149)), MATCH(1, INDEX(--(MONTH(CHOOSE({1,2,3,4}, XT!U149,XT!Y149,XT!AC149,XT!AG149))=10), 0), 0)), "")</f>
        <v/>
      </c>
      <c r="AM149" s="12" t="str">
        <f>IF(XT!$P149&gt;0,AL149,"")</f>
        <v/>
      </c>
      <c r="AN149" s="12" t="str">
        <f>IF(XT!$P149=0,AL149,"")</f>
        <v/>
      </c>
      <c r="AO149">
        <f>SUMPRODUCT((MONTH(CHOOSE({1,2,3,4},XT!U149,XT!Y149,XT!AC149,XT!AG149))=11)*(CHOOSE({1,2,3,4},XT!X149,XT!AB149,XT!AF149,XT!AJ149)))</f>
        <v>0</v>
      </c>
      <c r="AP149" t="str">
        <f>IFERROR(INDEX(CHOOSE({1,2,3,4}, DAY(XT!U149), DAY(XT!Y149), DAY(XT!AC149), DAY(XT!AG149)), MATCH(1, INDEX(--(MONTH(CHOOSE({1,2,3,4}, XT!U149,XT!Y149,XT!AC149,XT!AG149))=11), 0), 0)), "")</f>
        <v/>
      </c>
      <c r="AQ149" s="12" t="str">
        <f>IF(XT!$P149&gt;0,AP149,"")</f>
        <v/>
      </c>
      <c r="AR149" s="12" t="str">
        <f>IF(XT!$P149=0,AP149,"")</f>
        <v/>
      </c>
      <c r="AS149">
        <f>SUMPRODUCT((MONTH(CHOOSE({1,2,3,4},XT!U149,XT!Y149,XT!AC149,XT!AG149))=12)*(CHOOSE({1,2,3,4},XT!X149,XT!AB149,XT!AF149,XT!AJ149)))</f>
        <v>0</v>
      </c>
      <c r="AT149" t="str">
        <f>IFERROR(INDEX(CHOOSE({1,2,3,4}, DAY(XT!U149), DAY(XT!Y149), DAY(XT!AC149), DAY(XT!AG149)), MATCH(1, INDEX(--(MONTH(CHOOSE({1,2,3,4}, XT!U149,XT!Y149,XT!AC149,XT!AG149))=12), 0), 0)), "")</f>
        <v/>
      </c>
      <c r="AU149" s="12" t="str">
        <f>IF(XT!$P149&gt;0,AT149,"")</f>
        <v/>
      </c>
      <c r="AV149" s="12" t="str">
        <f>IF(XT!$P149=0,AT149,"")</f>
        <v/>
      </c>
    </row>
    <row r="150" spans="1:48">
      <c r="A150">
        <f>SUMPRODUCT((MONTH(CHOOSE({1,2,3,4},XT!U150,XT!Y150,XT!AC150,XT!AG150))=1)*(CHOOSE({1,2,3,4},XT!X150,XT!AB150,XT!AF150,XT!AJ150)))</f>
        <v>0</v>
      </c>
      <c r="B150">
        <f>IFERROR(INDEX(CHOOSE({1,2,3,4}, DAY(XT!U150), DAY(XT!Y150), DAY(XT!AC150), DAY(XT!AG150)), MATCH(1, INDEX(--(MONTH(CHOOSE({1,2,3,4}, XT!U150,XT!Y150,XT!AC150,XT!AG150))=1), 0), 0)), "")</f>
        <v>0</v>
      </c>
      <c r="C150" s="12" t="str">
        <f>IF(XT!$P150&gt;0,B150,"")</f>
        <v/>
      </c>
      <c r="D150" s="12">
        <f>IF(XT!$P150=0,B150,"")</f>
        <v>0</v>
      </c>
      <c r="E150">
        <f>SUMPRODUCT((MONTH(CHOOSE({1,2,3,4},XT!U150,XT!Y150,XT!AC150,XT!AG150))=2)*(CHOOSE({1,2,3,4},XT!X150,XT!AB150,XT!AF150,XT!AJ150)))</f>
        <v>0</v>
      </c>
      <c r="F150" t="str">
        <f>IFERROR(INDEX(CHOOSE({1,2,3,4}, DAY(XT!U150), DAY(XT!Y150), DAY(XT!AC150), DAY(XT!AG150)), MATCH(1, INDEX(--(MONTH(CHOOSE({1,2,3,4}, XT!U150,XT!Y150,XT!AC150,XT!AG150))=2), 0), 0)), "")</f>
        <v/>
      </c>
      <c r="G150" s="12" t="str">
        <f>IF(XT!$P150&gt;0,F150,"")</f>
        <v/>
      </c>
      <c r="H150" s="12" t="str">
        <f>IF(XT!$P150=0,F150,"")</f>
        <v/>
      </c>
      <c r="I150">
        <f>SUMPRODUCT((MONTH(CHOOSE({1,2,3,4},XT!U150,XT!Y150,XT!AC150,XT!AG150))=3)*(CHOOSE({1,2,3,4},XT!X150,XT!AB150,XT!AF150,XT!AJ150)))</f>
        <v>0</v>
      </c>
      <c r="J150" t="str">
        <f>IFERROR(INDEX(CHOOSE({1,2,3,4}, DAY(XT!U150), DAY(XT!Y150), DAY(XT!AC150), DAY(XT!AG150)), MATCH(1, INDEX(--(MONTH(CHOOSE({1,2,3,4}, XT!U150,XT!Y150,XT!AC150,XT!AG150))=3), 0), 0)), "")</f>
        <v/>
      </c>
      <c r="K150" s="12" t="str">
        <f>IF(XT!$P150&gt;0,J150,"")</f>
        <v/>
      </c>
      <c r="L150" s="12" t="str">
        <f>IF(XT!$P150=0,J150,"")</f>
        <v/>
      </c>
      <c r="M150">
        <f>SUMPRODUCT((MONTH(CHOOSE({1,2,3,4},XT!U150,XT!Y150,XT!AC150,XT!AG150))=4)*(CHOOSE({1,2,3,4},XT!X150,XT!AB150,XT!AF150,XT!AJ150)))</f>
        <v>0</v>
      </c>
      <c r="N150" t="str">
        <f>IFERROR(INDEX(CHOOSE({1,2,3,4}, DAY(XT!U150), DAY(XT!Y150), DAY(XT!AC150), DAY(XT!AG150)), MATCH(1, INDEX(--(MONTH(CHOOSE({1,2,3,4}, XT!U150,XT!Y150,XT!AC150,XT!AG150))=4), 0), 0)), "")</f>
        <v/>
      </c>
      <c r="O150" s="12" t="str">
        <f>IF(XT!$P150&gt;0,N150,"")</f>
        <v/>
      </c>
      <c r="P150" s="12" t="str">
        <f>IF(XT!$P150=0,N150,"")</f>
        <v/>
      </c>
      <c r="Q150">
        <f>SUMPRODUCT((MONTH(CHOOSE({1,2,3,4},XT!U150,XT!Y150,XT!AC150,XT!AG150))=5)*(CHOOSE({1,2,3,4},XT!X150,XT!AB150,XT!AF150,XT!AJ150)))</f>
        <v>0</v>
      </c>
      <c r="R150" t="str">
        <f>IFERROR(INDEX(CHOOSE({1,2,3,4}, DAY(XT!U150), DAY(XT!Y150), DAY(XT!AC150), DAY(XT!AG150)), MATCH(1, INDEX(--(MONTH(CHOOSE({1,2,3,4}, XT!U150,XT!Y150,XT!AC150,XT!AG150))=5), 0), 0)), "")</f>
        <v/>
      </c>
      <c r="S150" s="12" t="str">
        <f>IF(XT!$P150&gt;0,R150,"")</f>
        <v/>
      </c>
      <c r="T150" s="12" t="str">
        <f>IF(XT!$P150=0,R150,"")</f>
        <v/>
      </c>
      <c r="U150">
        <f>SUMPRODUCT((MONTH(CHOOSE({1,2,3,4},XT!U150,XT!Y150,XT!AC150,XT!AG150))=6)*(CHOOSE({1,2,3,4},XT!X150,XT!AB150,XT!AF150,XT!AJ150)))</f>
        <v>0</v>
      </c>
      <c r="V150" t="str">
        <f>IFERROR(INDEX(CHOOSE({1,2,3,4}, DAY(XT!U150), DAY(XT!Y150), DAY(XT!AC150), DAY(XT!AG150)), MATCH(1, INDEX(--(MONTH(CHOOSE({1,2,3,4}, XT!U150,XT!Y150,XT!AC150,XT!AG150))=6), 0), 0)), "")</f>
        <v/>
      </c>
      <c r="W150" s="12" t="str">
        <f>IF(XT!$P150&gt;0,V150,"")</f>
        <v/>
      </c>
      <c r="X150" s="12" t="str">
        <f>IF(XT!$P150=0,V150,"")</f>
        <v/>
      </c>
      <c r="Y150">
        <f>SUMPRODUCT((MONTH(CHOOSE({1,2,3,4},XT!U150,XT!Y150,XT!AC150,XT!AG150))=7)*(CHOOSE({1,2,3,4},XT!X150,XT!AB150,XT!AF150,XT!AJ150)))</f>
        <v>0</v>
      </c>
      <c r="Z150" t="str">
        <f>IFERROR(INDEX(CHOOSE({1,2,3,4}, DAY(XT!U150), DAY(XT!Y150), DAY(XT!AC150), DAY(XT!AG150)), MATCH(1, INDEX(--(MONTH(CHOOSE({1,2,3,4}, XT!U150,XT!Y150,XT!AC150,XT!AG150))=7), 0), 0)), "")</f>
        <v/>
      </c>
      <c r="AA150" s="12" t="str">
        <f>IF(XT!$P150&gt;0,Z150,"")</f>
        <v/>
      </c>
      <c r="AB150" s="12" t="str">
        <f>IF(XT!$P150=0,Z150,"")</f>
        <v/>
      </c>
      <c r="AC150">
        <f>SUMPRODUCT((MONTH(CHOOSE({1,2,3,4},XT!U150,XT!Y150,XT!AC150,XT!AG150))=8)*(CHOOSE({1,2,3,4},XT!X150,XT!AB150,XT!AF150,XT!AJ150)))</f>
        <v>0</v>
      </c>
      <c r="AD150" t="str">
        <f>IFERROR(INDEX(CHOOSE({1,2,3,4}, DAY(XT!U150), DAY(XT!Y150), DAY(XT!AC150), DAY(XT!AG150)), MATCH(1, INDEX(--(MONTH(CHOOSE({1,2,3,4}, XT!U150,XT!Y150,XT!AC150,XT!AG150))=8), 0), 0)), "")</f>
        <v/>
      </c>
      <c r="AE150" s="12" t="str">
        <f>IF(XT!$P150&gt;0,AD150,"")</f>
        <v/>
      </c>
      <c r="AF150" s="12" t="str">
        <f>IF(XT!$P150=0,AD150,"")</f>
        <v/>
      </c>
      <c r="AG150">
        <f>SUMPRODUCT((MONTH(CHOOSE({1,2,3,4},XT!U150,XT!Y150,XT!AC150,XT!AG150))=9)*(CHOOSE({1,2,3,4},XT!X150,XT!AB150,XT!AF150,XT!AJ150)))</f>
        <v>0</v>
      </c>
      <c r="AH150" t="str">
        <f>IFERROR(INDEX(CHOOSE({1,2,3,4}, DAY(XT!U150), DAY(XT!Y150), DAY(XT!AC150), DAY(XT!AG150)), MATCH(1, INDEX(--(MONTH(CHOOSE({1,2,3,4}, XT!U150,XT!Y150,XT!AC150,XT!AG150))=9), 0), 0)), "")</f>
        <v/>
      </c>
      <c r="AI150" s="12" t="str">
        <f>IF(XT!$P150&gt;0,AH150,"")</f>
        <v/>
      </c>
      <c r="AJ150" s="12" t="str">
        <f>IF(XT!$P150=0,AH150,"")</f>
        <v/>
      </c>
      <c r="AK150">
        <f>SUMPRODUCT((MONTH(CHOOSE({1,2,3,4},XT!U150,XT!Y150,XT!AC150,XT!AG150))=10)*(CHOOSE({1,2,3,4},XT!X150,XT!AB150,XT!AF150,XT!AJ150)))</f>
        <v>0</v>
      </c>
      <c r="AL150" t="str">
        <f>IFERROR(INDEX(CHOOSE({1,2,3,4}, DAY(XT!U150), DAY(XT!Y150), DAY(XT!AC150), DAY(XT!AG150)), MATCH(1, INDEX(--(MONTH(CHOOSE({1,2,3,4}, XT!U150,XT!Y150,XT!AC150,XT!AG150))=10), 0), 0)), "")</f>
        <v/>
      </c>
      <c r="AM150" s="12" t="str">
        <f>IF(XT!$P150&gt;0,AL150,"")</f>
        <v/>
      </c>
      <c r="AN150" s="12" t="str">
        <f>IF(XT!$P150=0,AL150,"")</f>
        <v/>
      </c>
      <c r="AO150">
        <f>SUMPRODUCT((MONTH(CHOOSE({1,2,3,4},XT!U150,XT!Y150,XT!AC150,XT!AG150))=11)*(CHOOSE({1,2,3,4},XT!X150,XT!AB150,XT!AF150,XT!AJ150)))</f>
        <v>0</v>
      </c>
      <c r="AP150" t="str">
        <f>IFERROR(INDEX(CHOOSE({1,2,3,4}, DAY(XT!U150), DAY(XT!Y150), DAY(XT!AC150), DAY(XT!AG150)), MATCH(1, INDEX(--(MONTH(CHOOSE({1,2,3,4}, XT!U150,XT!Y150,XT!AC150,XT!AG150))=11), 0), 0)), "")</f>
        <v/>
      </c>
      <c r="AQ150" s="12" t="str">
        <f>IF(XT!$P150&gt;0,AP150,"")</f>
        <v/>
      </c>
      <c r="AR150" s="12" t="str">
        <f>IF(XT!$P150=0,AP150,"")</f>
        <v/>
      </c>
      <c r="AS150">
        <f>SUMPRODUCT((MONTH(CHOOSE({1,2,3,4},XT!U150,XT!Y150,XT!AC150,XT!AG150))=12)*(CHOOSE({1,2,3,4},XT!X150,XT!AB150,XT!AF150,XT!AJ150)))</f>
        <v>0</v>
      </c>
      <c r="AT150" t="str">
        <f>IFERROR(INDEX(CHOOSE({1,2,3,4}, DAY(XT!U150), DAY(XT!Y150), DAY(XT!AC150), DAY(XT!AG150)), MATCH(1, INDEX(--(MONTH(CHOOSE({1,2,3,4}, XT!U150,XT!Y150,XT!AC150,XT!AG150))=12), 0), 0)), "")</f>
        <v/>
      </c>
      <c r="AU150" s="12" t="str">
        <f>IF(XT!$P150&gt;0,AT150,"")</f>
        <v/>
      </c>
      <c r="AV150" s="12" t="str">
        <f>IF(XT!$P150=0,AT150,"")</f>
        <v/>
      </c>
    </row>
    <row r="151" spans="1:48">
      <c r="A151">
        <f>SUMPRODUCT((MONTH(CHOOSE({1,2,3,4},XT!U151,XT!Y151,XT!AC151,XT!AG151))=1)*(CHOOSE({1,2,3,4},XT!X151,XT!AB151,XT!AF151,XT!AJ151)))</f>
        <v>0</v>
      </c>
      <c r="B151">
        <f>IFERROR(INDEX(CHOOSE({1,2,3,4}, DAY(XT!U151), DAY(XT!Y151), DAY(XT!AC151), DAY(XT!AG151)), MATCH(1, INDEX(--(MONTH(CHOOSE({1,2,3,4}, XT!U151,XT!Y151,XT!AC151,XT!AG151))=1), 0), 0)), "")</f>
        <v>0</v>
      </c>
      <c r="C151" s="12" t="str">
        <f>IF(XT!$P151&gt;0,B151,"")</f>
        <v/>
      </c>
      <c r="D151" s="12">
        <f>IF(XT!$P151=0,B151,"")</f>
        <v>0</v>
      </c>
      <c r="E151">
        <f>SUMPRODUCT((MONTH(CHOOSE({1,2,3,4},XT!U151,XT!Y151,XT!AC151,XT!AG151))=2)*(CHOOSE({1,2,3,4},XT!X151,XT!AB151,XT!AF151,XT!AJ151)))</f>
        <v>0</v>
      </c>
      <c r="F151" t="str">
        <f>IFERROR(INDEX(CHOOSE({1,2,3,4}, DAY(XT!U151), DAY(XT!Y151), DAY(XT!AC151), DAY(XT!AG151)), MATCH(1, INDEX(--(MONTH(CHOOSE({1,2,3,4}, XT!U151,XT!Y151,XT!AC151,XT!AG151))=2), 0), 0)), "")</f>
        <v/>
      </c>
      <c r="G151" s="12" t="str">
        <f>IF(XT!$P151&gt;0,F151,"")</f>
        <v/>
      </c>
      <c r="H151" s="12" t="str">
        <f>IF(XT!$P151=0,F151,"")</f>
        <v/>
      </c>
      <c r="I151">
        <f>SUMPRODUCT((MONTH(CHOOSE({1,2,3,4},XT!U151,XT!Y151,XT!AC151,XT!AG151))=3)*(CHOOSE({1,2,3,4},XT!X151,XT!AB151,XT!AF151,XT!AJ151)))</f>
        <v>0</v>
      </c>
      <c r="J151" t="str">
        <f>IFERROR(INDEX(CHOOSE({1,2,3,4}, DAY(XT!U151), DAY(XT!Y151), DAY(XT!AC151), DAY(XT!AG151)), MATCH(1, INDEX(--(MONTH(CHOOSE({1,2,3,4}, XT!U151,XT!Y151,XT!AC151,XT!AG151))=3), 0), 0)), "")</f>
        <v/>
      </c>
      <c r="K151" s="12" t="str">
        <f>IF(XT!$P151&gt;0,J151,"")</f>
        <v/>
      </c>
      <c r="L151" s="12" t="str">
        <f>IF(XT!$P151=0,J151,"")</f>
        <v/>
      </c>
      <c r="M151">
        <f>SUMPRODUCT((MONTH(CHOOSE({1,2,3,4},XT!U151,XT!Y151,XT!AC151,XT!AG151))=4)*(CHOOSE({1,2,3,4},XT!X151,XT!AB151,XT!AF151,XT!AJ151)))</f>
        <v>0</v>
      </c>
      <c r="N151" t="str">
        <f>IFERROR(INDEX(CHOOSE({1,2,3,4}, DAY(XT!U151), DAY(XT!Y151), DAY(XT!AC151), DAY(XT!AG151)), MATCH(1, INDEX(--(MONTH(CHOOSE({1,2,3,4}, XT!U151,XT!Y151,XT!AC151,XT!AG151))=4), 0), 0)), "")</f>
        <v/>
      </c>
      <c r="O151" s="12" t="str">
        <f>IF(XT!$P151&gt;0,N151,"")</f>
        <v/>
      </c>
      <c r="P151" s="12" t="str">
        <f>IF(XT!$P151=0,N151,"")</f>
        <v/>
      </c>
      <c r="Q151">
        <f>SUMPRODUCT((MONTH(CHOOSE({1,2,3,4},XT!U151,XT!Y151,XT!AC151,XT!AG151))=5)*(CHOOSE({1,2,3,4},XT!X151,XT!AB151,XT!AF151,XT!AJ151)))</f>
        <v>0</v>
      </c>
      <c r="R151" t="str">
        <f>IFERROR(INDEX(CHOOSE({1,2,3,4}, DAY(XT!U151), DAY(XT!Y151), DAY(XT!AC151), DAY(XT!AG151)), MATCH(1, INDEX(--(MONTH(CHOOSE({1,2,3,4}, XT!U151,XT!Y151,XT!AC151,XT!AG151))=5), 0), 0)), "")</f>
        <v/>
      </c>
      <c r="S151" s="12" t="str">
        <f>IF(XT!$P151&gt;0,R151,"")</f>
        <v/>
      </c>
      <c r="T151" s="12" t="str">
        <f>IF(XT!$P151=0,R151,"")</f>
        <v/>
      </c>
      <c r="U151">
        <f>SUMPRODUCT((MONTH(CHOOSE({1,2,3,4},XT!U151,XT!Y151,XT!AC151,XT!AG151))=6)*(CHOOSE({1,2,3,4},XT!X151,XT!AB151,XT!AF151,XT!AJ151)))</f>
        <v>0</v>
      </c>
      <c r="V151" t="str">
        <f>IFERROR(INDEX(CHOOSE({1,2,3,4}, DAY(XT!U151), DAY(XT!Y151), DAY(XT!AC151), DAY(XT!AG151)), MATCH(1, INDEX(--(MONTH(CHOOSE({1,2,3,4}, XT!U151,XT!Y151,XT!AC151,XT!AG151))=6), 0), 0)), "")</f>
        <v/>
      </c>
      <c r="W151" s="12" t="str">
        <f>IF(XT!$P151&gt;0,V151,"")</f>
        <v/>
      </c>
      <c r="X151" s="12" t="str">
        <f>IF(XT!$P151=0,V151,"")</f>
        <v/>
      </c>
      <c r="Y151">
        <f>SUMPRODUCT((MONTH(CHOOSE({1,2,3,4},XT!U151,XT!Y151,XT!AC151,XT!AG151))=7)*(CHOOSE({1,2,3,4},XT!X151,XT!AB151,XT!AF151,XT!AJ151)))</f>
        <v>0</v>
      </c>
      <c r="Z151" t="str">
        <f>IFERROR(INDEX(CHOOSE({1,2,3,4}, DAY(XT!U151), DAY(XT!Y151), DAY(XT!AC151), DAY(XT!AG151)), MATCH(1, INDEX(--(MONTH(CHOOSE({1,2,3,4}, XT!U151,XT!Y151,XT!AC151,XT!AG151))=7), 0), 0)), "")</f>
        <v/>
      </c>
      <c r="AA151" s="12" t="str">
        <f>IF(XT!$P151&gt;0,Z151,"")</f>
        <v/>
      </c>
      <c r="AB151" s="12" t="str">
        <f>IF(XT!$P151=0,Z151,"")</f>
        <v/>
      </c>
      <c r="AC151">
        <f>SUMPRODUCT((MONTH(CHOOSE({1,2,3,4},XT!U151,XT!Y151,XT!AC151,XT!AG151))=8)*(CHOOSE({1,2,3,4},XT!X151,XT!AB151,XT!AF151,XT!AJ151)))</f>
        <v>0</v>
      </c>
      <c r="AD151" t="str">
        <f>IFERROR(INDEX(CHOOSE({1,2,3,4}, DAY(XT!U151), DAY(XT!Y151), DAY(XT!AC151), DAY(XT!AG151)), MATCH(1, INDEX(--(MONTH(CHOOSE({1,2,3,4}, XT!U151,XT!Y151,XT!AC151,XT!AG151))=8), 0), 0)), "")</f>
        <v/>
      </c>
      <c r="AE151" s="12" t="str">
        <f>IF(XT!$P151&gt;0,AD151,"")</f>
        <v/>
      </c>
      <c r="AF151" s="12" t="str">
        <f>IF(XT!$P151=0,AD151,"")</f>
        <v/>
      </c>
      <c r="AG151">
        <f>SUMPRODUCT((MONTH(CHOOSE({1,2,3,4},XT!U151,XT!Y151,XT!AC151,XT!AG151))=9)*(CHOOSE({1,2,3,4},XT!X151,XT!AB151,XT!AF151,XT!AJ151)))</f>
        <v>0</v>
      </c>
      <c r="AH151" t="str">
        <f>IFERROR(INDEX(CHOOSE({1,2,3,4}, DAY(XT!U151), DAY(XT!Y151), DAY(XT!AC151), DAY(XT!AG151)), MATCH(1, INDEX(--(MONTH(CHOOSE({1,2,3,4}, XT!U151,XT!Y151,XT!AC151,XT!AG151))=9), 0), 0)), "")</f>
        <v/>
      </c>
      <c r="AI151" s="12" t="str">
        <f>IF(XT!$P151&gt;0,AH151,"")</f>
        <v/>
      </c>
      <c r="AJ151" s="12" t="str">
        <f>IF(XT!$P151=0,AH151,"")</f>
        <v/>
      </c>
      <c r="AK151">
        <f>SUMPRODUCT((MONTH(CHOOSE({1,2,3,4},XT!U151,XT!Y151,XT!AC151,XT!AG151))=10)*(CHOOSE({1,2,3,4},XT!X151,XT!AB151,XT!AF151,XT!AJ151)))</f>
        <v>0</v>
      </c>
      <c r="AL151" t="str">
        <f>IFERROR(INDEX(CHOOSE({1,2,3,4}, DAY(XT!U151), DAY(XT!Y151), DAY(XT!AC151), DAY(XT!AG151)), MATCH(1, INDEX(--(MONTH(CHOOSE({1,2,3,4}, XT!U151,XT!Y151,XT!AC151,XT!AG151))=10), 0), 0)), "")</f>
        <v/>
      </c>
      <c r="AM151" s="12" t="str">
        <f>IF(XT!$P151&gt;0,AL151,"")</f>
        <v/>
      </c>
      <c r="AN151" s="12" t="str">
        <f>IF(XT!$P151=0,AL151,"")</f>
        <v/>
      </c>
      <c r="AO151">
        <f>SUMPRODUCT((MONTH(CHOOSE({1,2,3,4},XT!U151,XT!Y151,XT!AC151,XT!AG151))=11)*(CHOOSE({1,2,3,4},XT!X151,XT!AB151,XT!AF151,XT!AJ151)))</f>
        <v>0</v>
      </c>
      <c r="AP151" t="str">
        <f>IFERROR(INDEX(CHOOSE({1,2,3,4}, DAY(XT!U151), DAY(XT!Y151), DAY(XT!AC151), DAY(XT!AG151)), MATCH(1, INDEX(--(MONTH(CHOOSE({1,2,3,4}, XT!U151,XT!Y151,XT!AC151,XT!AG151))=11), 0), 0)), "")</f>
        <v/>
      </c>
      <c r="AQ151" s="12" t="str">
        <f>IF(XT!$P151&gt;0,AP151,"")</f>
        <v/>
      </c>
      <c r="AR151" s="12" t="str">
        <f>IF(XT!$P151=0,AP151,"")</f>
        <v/>
      </c>
      <c r="AS151">
        <f>SUMPRODUCT((MONTH(CHOOSE({1,2,3,4},XT!U151,XT!Y151,XT!AC151,XT!AG151))=12)*(CHOOSE({1,2,3,4},XT!X151,XT!AB151,XT!AF151,XT!AJ151)))</f>
        <v>0</v>
      </c>
      <c r="AT151" t="str">
        <f>IFERROR(INDEX(CHOOSE({1,2,3,4}, DAY(XT!U151), DAY(XT!Y151), DAY(XT!AC151), DAY(XT!AG151)), MATCH(1, INDEX(--(MONTH(CHOOSE({1,2,3,4}, XT!U151,XT!Y151,XT!AC151,XT!AG151))=12), 0), 0)), "")</f>
        <v/>
      </c>
      <c r="AU151" s="12" t="str">
        <f>IF(XT!$P151&gt;0,AT151,"")</f>
        <v/>
      </c>
      <c r="AV151" s="12" t="str">
        <f>IF(XT!$P151=0,AT151,"")</f>
        <v/>
      </c>
    </row>
    <row r="152" spans="1:48">
      <c r="A152">
        <f>SUMPRODUCT((MONTH(CHOOSE({1,2,3,4},XT!U152,XT!Y152,XT!AC152,XT!AG152))=1)*(CHOOSE({1,2,3,4},XT!X152,XT!AB152,XT!AF152,XT!AJ152)))</f>
        <v>0</v>
      </c>
      <c r="B152">
        <f>IFERROR(INDEX(CHOOSE({1,2,3,4}, DAY(XT!U152), DAY(XT!Y152), DAY(XT!AC152), DAY(XT!AG152)), MATCH(1, INDEX(--(MONTH(CHOOSE({1,2,3,4}, XT!U152,XT!Y152,XT!AC152,XT!AG152))=1), 0), 0)), "")</f>
        <v>0</v>
      </c>
      <c r="C152" s="12" t="str">
        <f>IF(XT!$P152&gt;0,B152,"")</f>
        <v/>
      </c>
      <c r="D152" s="12">
        <f>IF(XT!$P152=0,B152,"")</f>
        <v>0</v>
      </c>
      <c r="E152">
        <f>SUMPRODUCT((MONTH(CHOOSE({1,2,3,4},XT!U152,XT!Y152,XT!AC152,XT!AG152))=2)*(CHOOSE({1,2,3,4},XT!X152,XT!AB152,XT!AF152,XT!AJ152)))</f>
        <v>0</v>
      </c>
      <c r="F152" t="str">
        <f>IFERROR(INDEX(CHOOSE({1,2,3,4}, DAY(XT!U152), DAY(XT!Y152), DAY(XT!AC152), DAY(XT!AG152)), MATCH(1, INDEX(--(MONTH(CHOOSE({1,2,3,4}, XT!U152,XT!Y152,XT!AC152,XT!AG152))=2), 0), 0)), "")</f>
        <v/>
      </c>
      <c r="G152" s="12" t="str">
        <f>IF(XT!$P152&gt;0,F152,"")</f>
        <v/>
      </c>
      <c r="H152" s="12" t="str">
        <f>IF(XT!$P152=0,F152,"")</f>
        <v/>
      </c>
      <c r="I152">
        <f>SUMPRODUCT((MONTH(CHOOSE({1,2,3,4},XT!U152,XT!Y152,XT!AC152,XT!AG152))=3)*(CHOOSE({1,2,3,4},XT!X152,XT!AB152,XT!AF152,XT!AJ152)))</f>
        <v>0</v>
      </c>
      <c r="J152" t="str">
        <f>IFERROR(INDEX(CHOOSE({1,2,3,4}, DAY(XT!U152), DAY(XT!Y152), DAY(XT!AC152), DAY(XT!AG152)), MATCH(1, INDEX(--(MONTH(CHOOSE({1,2,3,4}, XT!U152,XT!Y152,XT!AC152,XT!AG152))=3), 0), 0)), "")</f>
        <v/>
      </c>
      <c r="K152" s="12" t="str">
        <f>IF(XT!$P152&gt;0,J152,"")</f>
        <v/>
      </c>
      <c r="L152" s="12" t="str">
        <f>IF(XT!$P152=0,J152,"")</f>
        <v/>
      </c>
      <c r="M152">
        <f>SUMPRODUCT((MONTH(CHOOSE({1,2,3,4},XT!U152,XT!Y152,XT!AC152,XT!AG152))=4)*(CHOOSE({1,2,3,4},XT!X152,XT!AB152,XT!AF152,XT!AJ152)))</f>
        <v>0</v>
      </c>
      <c r="N152" t="str">
        <f>IFERROR(INDEX(CHOOSE({1,2,3,4}, DAY(XT!U152), DAY(XT!Y152), DAY(XT!AC152), DAY(XT!AG152)), MATCH(1, INDEX(--(MONTH(CHOOSE({1,2,3,4}, XT!U152,XT!Y152,XT!AC152,XT!AG152))=4), 0), 0)), "")</f>
        <v/>
      </c>
      <c r="O152" s="12" t="str">
        <f>IF(XT!$P152&gt;0,N152,"")</f>
        <v/>
      </c>
      <c r="P152" s="12" t="str">
        <f>IF(XT!$P152=0,N152,"")</f>
        <v/>
      </c>
      <c r="Q152">
        <f>SUMPRODUCT((MONTH(CHOOSE({1,2,3,4},XT!U152,XT!Y152,XT!AC152,XT!AG152))=5)*(CHOOSE({1,2,3,4},XT!X152,XT!AB152,XT!AF152,XT!AJ152)))</f>
        <v>0</v>
      </c>
      <c r="R152" t="str">
        <f>IFERROR(INDEX(CHOOSE({1,2,3,4}, DAY(XT!U152), DAY(XT!Y152), DAY(XT!AC152), DAY(XT!AG152)), MATCH(1, INDEX(--(MONTH(CHOOSE({1,2,3,4}, XT!U152,XT!Y152,XT!AC152,XT!AG152))=5), 0), 0)), "")</f>
        <v/>
      </c>
      <c r="S152" s="12" t="str">
        <f>IF(XT!$P152&gt;0,R152,"")</f>
        <v/>
      </c>
      <c r="T152" s="12" t="str">
        <f>IF(XT!$P152=0,R152,"")</f>
        <v/>
      </c>
      <c r="U152">
        <f>SUMPRODUCT((MONTH(CHOOSE({1,2,3,4},XT!U152,XT!Y152,XT!AC152,XT!AG152))=6)*(CHOOSE({1,2,3,4},XT!X152,XT!AB152,XT!AF152,XT!AJ152)))</f>
        <v>0</v>
      </c>
      <c r="V152" t="str">
        <f>IFERROR(INDEX(CHOOSE({1,2,3,4}, DAY(XT!U152), DAY(XT!Y152), DAY(XT!AC152), DAY(XT!AG152)), MATCH(1, INDEX(--(MONTH(CHOOSE({1,2,3,4}, XT!U152,XT!Y152,XT!AC152,XT!AG152))=6), 0), 0)), "")</f>
        <v/>
      </c>
      <c r="W152" s="12" t="str">
        <f>IF(XT!$P152&gt;0,V152,"")</f>
        <v/>
      </c>
      <c r="X152" s="12" t="str">
        <f>IF(XT!$P152=0,V152,"")</f>
        <v/>
      </c>
      <c r="Y152">
        <f>SUMPRODUCT((MONTH(CHOOSE({1,2,3,4},XT!U152,XT!Y152,XT!AC152,XT!AG152))=7)*(CHOOSE({1,2,3,4},XT!X152,XT!AB152,XT!AF152,XT!AJ152)))</f>
        <v>0</v>
      </c>
      <c r="Z152" t="str">
        <f>IFERROR(INDEX(CHOOSE({1,2,3,4}, DAY(XT!U152), DAY(XT!Y152), DAY(XT!AC152), DAY(XT!AG152)), MATCH(1, INDEX(--(MONTH(CHOOSE({1,2,3,4}, XT!U152,XT!Y152,XT!AC152,XT!AG152))=7), 0), 0)), "")</f>
        <v/>
      </c>
      <c r="AA152" s="12" t="str">
        <f>IF(XT!$P152&gt;0,Z152,"")</f>
        <v/>
      </c>
      <c r="AB152" s="12" t="str">
        <f>IF(XT!$P152=0,Z152,"")</f>
        <v/>
      </c>
      <c r="AC152">
        <f>SUMPRODUCT((MONTH(CHOOSE({1,2,3,4},XT!U152,XT!Y152,XT!AC152,XT!AG152))=8)*(CHOOSE({1,2,3,4},XT!X152,XT!AB152,XT!AF152,XT!AJ152)))</f>
        <v>0</v>
      </c>
      <c r="AD152" t="str">
        <f>IFERROR(INDEX(CHOOSE({1,2,3,4}, DAY(XT!U152), DAY(XT!Y152), DAY(XT!AC152), DAY(XT!AG152)), MATCH(1, INDEX(--(MONTH(CHOOSE({1,2,3,4}, XT!U152,XT!Y152,XT!AC152,XT!AG152))=8), 0), 0)), "")</f>
        <v/>
      </c>
      <c r="AE152" s="12" t="str">
        <f>IF(XT!$P152&gt;0,AD152,"")</f>
        <v/>
      </c>
      <c r="AF152" s="12" t="str">
        <f>IF(XT!$P152=0,AD152,"")</f>
        <v/>
      </c>
      <c r="AG152">
        <f>SUMPRODUCT((MONTH(CHOOSE({1,2,3,4},XT!U152,XT!Y152,XT!AC152,XT!AG152))=9)*(CHOOSE({1,2,3,4},XT!X152,XT!AB152,XT!AF152,XT!AJ152)))</f>
        <v>0</v>
      </c>
      <c r="AH152" t="str">
        <f>IFERROR(INDEX(CHOOSE({1,2,3,4}, DAY(XT!U152), DAY(XT!Y152), DAY(XT!AC152), DAY(XT!AG152)), MATCH(1, INDEX(--(MONTH(CHOOSE({1,2,3,4}, XT!U152,XT!Y152,XT!AC152,XT!AG152))=9), 0), 0)), "")</f>
        <v/>
      </c>
      <c r="AI152" s="12" t="str">
        <f>IF(XT!$P152&gt;0,AH152,"")</f>
        <v/>
      </c>
      <c r="AJ152" s="12" t="str">
        <f>IF(XT!$P152=0,AH152,"")</f>
        <v/>
      </c>
      <c r="AK152">
        <f>SUMPRODUCT((MONTH(CHOOSE({1,2,3,4},XT!U152,XT!Y152,XT!AC152,XT!AG152))=10)*(CHOOSE({1,2,3,4},XT!X152,XT!AB152,XT!AF152,XT!AJ152)))</f>
        <v>0</v>
      </c>
      <c r="AL152" t="str">
        <f>IFERROR(INDEX(CHOOSE({1,2,3,4}, DAY(XT!U152), DAY(XT!Y152), DAY(XT!AC152), DAY(XT!AG152)), MATCH(1, INDEX(--(MONTH(CHOOSE({1,2,3,4}, XT!U152,XT!Y152,XT!AC152,XT!AG152))=10), 0), 0)), "")</f>
        <v/>
      </c>
      <c r="AM152" s="12" t="str">
        <f>IF(XT!$P152&gt;0,AL152,"")</f>
        <v/>
      </c>
      <c r="AN152" s="12" t="str">
        <f>IF(XT!$P152=0,AL152,"")</f>
        <v/>
      </c>
      <c r="AO152">
        <f>SUMPRODUCT((MONTH(CHOOSE({1,2,3,4},XT!U152,XT!Y152,XT!AC152,XT!AG152))=11)*(CHOOSE({1,2,3,4},XT!X152,XT!AB152,XT!AF152,XT!AJ152)))</f>
        <v>0</v>
      </c>
      <c r="AP152" t="str">
        <f>IFERROR(INDEX(CHOOSE({1,2,3,4}, DAY(XT!U152), DAY(XT!Y152), DAY(XT!AC152), DAY(XT!AG152)), MATCH(1, INDEX(--(MONTH(CHOOSE({1,2,3,4}, XT!U152,XT!Y152,XT!AC152,XT!AG152))=11), 0), 0)), "")</f>
        <v/>
      </c>
      <c r="AQ152" s="12" t="str">
        <f>IF(XT!$P152&gt;0,AP152,"")</f>
        <v/>
      </c>
      <c r="AR152" s="12" t="str">
        <f>IF(XT!$P152=0,AP152,"")</f>
        <v/>
      </c>
      <c r="AS152">
        <f>SUMPRODUCT((MONTH(CHOOSE({1,2,3,4},XT!U152,XT!Y152,XT!AC152,XT!AG152))=12)*(CHOOSE({1,2,3,4},XT!X152,XT!AB152,XT!AF152,XT!AJ152)))</f>
        <v>0</v>
      </c>
      <c r="AT152" t="str">
        <f>IFERROR(INDEX(CHOOSE({1,2,3,4}, DAY(XT!U152), DAY(XT!Y152), DAY(XT!AC152), DAY(XT!AG152)), MATCH(1, INDEX(--(MONTH(CHOOSE({1,2,3,4}, XT!U152,XT!Y152,XT!AC152,XT!AG152))=12), 0), 0)), "")</f>
        <v/>
      </c>
      <c r="AU152" s="12" t="str">
        <f>IF(XT!$P152&gt;0,AT152,"")</f>
        <v/>
      </c>
      <c r="AV152" s="12" t="str">
        <f>IF(XT!$P152=0,AT152,"")</f>
        <v/>
      </c>
    </row>
    <row r="153" spans="1:48">
      <c r="A153">
        <f>SUMPRODUCT((MONTH(CHOOSE({1,2,3,4},XT!U153,XT!Y153,XT!AC153,XT!AG153))=1)*(CHOOSE({1,2,3,4},XT!X153,XT!AB153,XT!AF153,XT!AJ153)))</f>
        <v>0</v>
      </c>
      <c r="B153">
        <f>IFERROR(INDEX(CHOOSE({1,2,3,4}, DAY(XT!U153), DAY(XT!Y153), DAY(XT!AC153), DAY(XT!AG153)), MATCH(1, INDEX(--(MONTH(CHOOSE({1,2,3,4}, XT!U153,XT!Y153,XT!AC153,XT!AG153))=1), 0), 0)), "")</f>
        <v>0</v>
      </c>
      <c r="C153" s="12" t="str">
        <f>IF(XT!$P153&gt;0,B153,"")</f>
        <v/>
      </c>
      <c r="D153" s="12">
        <f>IF(XT!$P153=0,B153,"")</f>
        <v>0</v>
      </c>
      <c r="E153">
        <f>SUMPRODUCT((MONTH(CHOOSE({1,2,3,4},XT!U153,XT!Y153,XT!AC153,XT!AG153))=2)*(CHOOSE({1,2,3,4},XT!X153,XT!AB153,XT!AF153,XT!AJ153)))</f>
        <v>0</v>
      </c>
      <c r="F153" t="str">
        <f>IFERROR(INDEX(CHOOSE({1,2,3,4}, DAY(XT!U153), DAY(XT!Y153), DAY(XT!AC153), DAY(XT!AG153)), MATCH(1, INDEX(--(MONTH(CHOOSE({1,2,3,4}, XT!U153,XT!Y153,XT!AC153,XT!AG153))=2), 0), 0)), "")</f>
        <v/>
      </c>
      <c r="G153" s="12" t="str">
        <f>IF(XT!$P153&gt;0,F153,"")</f>
        <v/>
      </c>
      <c r="H153" s="12" t="str">
        <f>IF(XT!$P153=0,F153,"")</f>
        <v/>
      </c>
      <c r="I153">
        <f>SUMPRODUCT((MONTH(CHOOSE({1,2,3,4},XT!U153,XT!Y153,XT!AC153,XT!AG153))=3)*(CHOOSE({1,2,3,4},XT!X153,XT!AB153,XT!AF153,XT!AJ153)))</f>
        <v>0</v>
      </c>
      <c r="J153" t="str">
        <f>IFERROR(INDEX(CHOOSE({1,2,3,4}, DAY(XT!U153), DAY(XT!Y153), DAY(XT!AC153), DAY(XT!AG153)), MATCH(1, INDEX(--(MONTH(CHOOSE({1,2,3,4}, XT!U153,XT!Y153,XT!AC153,XT!AG153))=3), 0), 0)), "")</f>
        <v/>
      </c>
      <c r="K153" s="12" t="str">
        <f>IF(XT!$P153&gt;0,J153,"")</f>
        <v/>
      </c>
      <c r="L153" s="12" t="str">
        <f>IF(XT!$P153=0,J153,"")</f>
        <v/>
      </c>
      <c r="M153">
        <f>SUMPRODUCT((MONTH(CHOOSE({1,2,3,4},XT!U153,XT!Y153,XT!AC153,XT!AG153))=4)*(CHOOSE({1,2,3,4},XT!X153,XT!AB153,XT!AF153,XT!AJ153)))</f>
        <v>0</v>
      </c>
      <c r="N153" t="str">
        <f>IFERROR(INDEX(CHOOSE({1,2,3,4}, DAY(XT!U153), DAY(XT!Y153), DAY(XT!AC153), DAY(XT!AG153)), MATCH(1, INDEX(--(MONTH(CHOOSE({1,2,3,4}, XT!U153,XT!Y153,XT!AC153,XT!AG153))=4), 0), 0)), "")</f>
        <v/>
      </c>
      <c r="O153" s="12" t="str">
        <f>IF(XT!$P153&gt;0,N153,"")</f>
        <v/>
      </c>
      <c r="P153" s="12" t="str">
        <f>IF(XT!$P153=0,N153,"")</f>
        <v/>
      </c>
      <c r="Q153">
        <f>SUMPRODUCT((MONTH(CHOOSE({1,2,3,4},XT!U153,XT!Y153,XT!AC153,XT!AG153))=5)*(CHOOSE({1,2,3,4},XT!X153,XT!AB153,XT!AF153,XT!AJ153)))</f>
        <v>0</v>
      </c>
      <c r="R153" t="str">
        <f>IFERROR(INDEX(CHOOSE({1,2,3,4}, DAY(XT!U153), DAY(XT!Y153), DAY(XT!AC153), DAY(XT!AG153)), MATCH(1, INDEX(--(MONTH(CHOOSE({1,2,3,4}, XT!U153,XT!Y153,XT!AC153,XT!AG153))=5), 0), 0)), "")</f>
        <v/>
      </c>
      <c r="S153" s="12" t="str">
        <f>IF(XT!$P153&gt;0,R153,"")</f>
        <v/>
      </c>
      <c r="T153" s="12" t="str">
        <f>IF(XT!$P153=0,R153,"")</f>
        <v/>
      </c>
      <c r="U153">
        <f>SUMPRODUCT((MONTH(CHOOSE({1,2,3,4},XT!U153,XT!Y153,XT!AC153,XT!AG153))=6)*(CHOOSE({1,2,3,4},XT!X153,XT!AB153,XT!AF153,XT!AJ153)))</f>
        <v>0</v>
      </c>
      <c r="V153" t="str">
        <f>IFERROR(INDEX(CHOOSE({1,2,3,4}, DAY(XT!U153), DAY(XT!Y153), DAY(XT!AC153), DAY(XT!AG153)), MATCH(1, INDEX(--(MONTH(CHOOSE({1,2,3,4}, XT!U153,XT!Y153,XT!AC153,XT!AG153))=6), 0), 0)), "")</f>
        <v/>
      </c>
      <c r="W153" s="12" t="str">
        <f>IF(XT!$P153&gt;0,V153,"")</f>
        <v/>
      </c>
      <c r="X153" s="12" t="str">
        <f>IF(XT!$P153=0,V153,"")</f>
        <v/>
      </c>
      <c r="Y153">
        <f>SUMPRODUCT((MONTH(CHOOSE({1,2,3,4},XT!U153,XT!Y153,XT!AC153,XT!AG153))=7)*(CHOOSE({1,2,3,4},XT!X153,XT!AB153,XT!AF153,XT!AJ153)))</f>
        <v>0</v>
      </c>
      <c r="Z153" t="str">
        <f>IFERROR(INDEX(CHOOSE({1,2,3,4}, DAY(XT!U153), DAY(XT!Y153), DAY(XT!AC153), DAY(XT!AG153)), MATCH(1, INDEX(--(MONTH(CHOOSE({1,2,3,4}, XT!U153,XT!Y153,XT!AC153,XT!AG153))=7), 0), 0)), "")</f>
        <v/>
      </c>
      <c r="AA153" s="12" t="str">
        <f>IF(XT!$P153&gt;0,Z153,"")</f>
        <v/>
      </c>
      <c r="AB153" s="12" t="str">
        <f>IF(XT!$P153=0,Z153,"")</f>
        <v/>
      </c>
      <c r="AC153">
        <f>SUMPRODUCT((MONTH(CHOOSE({1,2,3,4},XT!U153,XT!Y153,XT!AC153,XT!AG153))=8)*(CHOOSE({1,2,3,4},XT!X153,XT!AB153,XT!AF153,XT!AJ153)))</f>
        <v>0</v>
      </c>
      <c r="AD153" t="str">
        <f>IFERROR(INDEX(CHOOSE({1,2,3,4}, DAY(XT!U153), DAY(XT!Y153), DAY(XT!AC153), DAY(XT!AG153)), MATCH(1, INDEX(--(MONTH(CHOOSE({1,2,3,4}, XT!U153,XT!Y153,XT!AC153,XT!AG153))=8), 0), 0)), "")</f>
        <v/>
      </c>
      <c r="AE153" s="12" t="str">
        <f>IF(XT!$P153&gt;0,AD153,"")</f>
        <v/>
      </c>
      <c r="AF153" s="12" t="str">
        <f>IF(XT!$P153=0,AD153,"")</f>
        <v/>
      </c>
      <c r="AG153">
        <f>SUMPRODUCT((MONTH(CHOOSE({1,2,3,4},XT!U153,XT!Y153,XT!AC153,XT!AG153))=9)*(CHOOSE({1,2,3,4},XT!X153,XT!AB153,XT!AF153,XT!AJ153)))</f>
        <v>0</v>
      </c>
      <c r="AH153" t="str">
        <f>IFERROR(INDEX(CHOOSE({1,2,3,4}, DAY(XT!U153), DAY(XT!Y153), DAY(XT!AC153), DAY(XT!AG153)), MATCH(1, INDEX(--(MONTH(CHOOSE({1,2,3,4}, XT!U153,XT!Y153,XT!AC153,XT!AG153))=9), 0), 0)), "")</f>
        <v/>
      </c>
      <c r="AI153" s="12" t="str">
        <f>IF(XT!$P153&gt;0,AH153,"")</f>
        <v/>
      </c>
      <c r="AJ153" s="12" t="str">
        <f>IF(XT!$P153=0,AH153,"")</f>
        <v/>
      </c>
      <c r="AK153">
        <f>SUMPRODUCT((MONTH(CHOOSE({1,2,3,4},XT!U153,XT!Y153,XT!AC153,XT!AG153))=10)*(CHOOSE({1,2,3,4},XT!X153,XT!AB153,XT!AF153,XT!AJ153)))</f>
        <v>0</v>
      </c>
      <c r="AL153" t="str">
        <f>IFERROR(INDEX(CHOOSE({1,2,3,4}, DAY(XT!U153), DAY(XT!Y153), DAY(XT!AC153), DAY(XT!AG153)), MATCH(1, INDEX(--(MONTH(CHOOSE({1,2,3,4}, XT!U153,XT!Y153,XT!AC153,XT!AG153))=10), 0), 0)), "")</f>
        <v/>
      </c>
      <c r="AM153" s="12" t="str">
        <f>IF(XT!$P153&gt;0,AL153,"")</f>
        <v/>
      </c>
      <c r="AN153" s="12" t="str">
        <f>IF(XT!$P153=0,AL153,"")</f>
        <v/>
      </c>
      <c r="AO153">
        <f>SUMPRODUCT((MONTH(CHOOSE({1,2,3,4},XT!U153,XT!Y153,XT!AC153,XT!AG153))=11)*(CHOOSE({1,2,3,4},XT!X153,XT!AB153,XT!AF153,XT!AJ153)))</f>
        <v>0</v>
      </c>
      <c r="AP153" t="str">
        <f>IFERROR(INDEX(CHOOSE({1,2,3,4}, DAY(XT!U153), DAY(XT!Y153), DAY(XT!AC153), DAY(XT!AG153)), MATCH(1, INDEX(--(MONTH(CHOOSE({1,2,3,4}, XT!U153,XT!Y153,XT!AC153,XT!AG153))=11), 0), 0)), "")</f>
        <v/>
      </c>
      <c r="AQ153" s="12" t="str">
        <f>IF(XT!$P153&gt;0,AP153,"")</f>
        <v/>
      </c>
      <c r="AR153" s="12" t="str">
        <f>IF(XT!$P153=0,AP153,"")</f>
        <v/>
      </c>
      <c r="AS153">
        <f>SUMPRODUCT((MONTH(CHOOSE({1,2,3,4},XT!U153,XT!Y153,XT!AC153,XT!AG153))=12)*(CHOOSE({1,2,3,4},XT!X153,XT!AB153,XT!AF153,XT!AJ153)))</f>
        <v>0</v>
      </c>
      <c r="AT153" t="str">
        <f>IFERROR(INDEX(CHOOSE({1,2,3,4}, DAY(XT!U153), DAY(XT!Y153), DAY(XT!AC153), DAY(XT!AG153)), MATCH(1, INDEX(--(MONTH(CHOOSE({1,2,3,4}, XT!U153,XT!Y153,XT!AC153,XT!AG153))=12), 0), 0)), "")</f>
        <v/>
      </c>
      <c r="AU153" s="12" t="str">
        <f>IF(XT!$P153&gt;0,AT153,"")</f>
        <v/>
      </c>
      <c r="AV153" s="12" t="str">
        <f>IF(XT!$P153=0,AT153,"")</f>
        <v/>
      </c>
    </row>
    <row r="154" spans="1:48">
      <c r="A154">
        <f>SUMPRODUCT((MONTH(CHOOSE({1,2,3,4},XT!U154,XT!Y154,XT!AC154,XT!AG154))=1)*(CHOOSE({1,2,3,4},XT!X154,XT!AB154,XT!AF154,XT!AJ154)))</f>
        <v>0</v>
      </c>
      <c r="B154">
        <f>IFERROR(INDEX(CHOOSE({1,2,3,4}, DAY(XT!U154), DAY(XT!Y154), DAY(XT!AC154), DAY(XT!AG154)), MATCH(1, INDEX(--(MONTH(CHOOSE({1,2,3,4}, XT!U154,XT!Y154,XT!AC154,XT!AG154))=1), 0), 0)), "")</f>
        <v>0</v>
      </c>
      <c r="C154" s="12" t="str">
        <f>IF(XT!$P154&gt;0,B154,"")</f>
        <v/>
      </c>
      <c r="D154" s="12">
        <f>IF(XT!$P154=0,B154,"")</f>
        <v>0</v>
      </c>
      <c r="E154">
        <f>SUMPRODUCT((MONTH(CHOOSE({1,2,3,4},XT!U154,XT!Y154,XT!AC154,XT!AG154))=2)*(CHOOSE({1,2,3,4},XT!X154,XT!AB154,XT!AF154,XT!AJ154)))</f>
        <v>0</v>
      </c>
      <c r="F154" t="str">
        <f>IFERROR(INDEX(CHOOSE({1,2,3,4}, DAY(XT!U154), DAY(XT!Y154), DAY(XT!AC154), DAY(XT!AG154)), MATCH(1, INDEX(--(MONTH(CHOOSE({1,2,3,4}, XT!U154,XT!Y154,XT!AC154,XT!AG154))=2), 0), 0)), "")</f>
        <v/>
      </c>
      <c r="G154" s="12" t="str">
        <f>IF(XT!$P154&gt;0,F154,"")</f>
        <v/>
      </c>
      <c r="H154" s="12" t="str">
        <f>IF(XT!$P154=0,F154,"")</f>
        <v/>
      </c>
      <c r="I154">
        <f>SUMPRODUCT((MONTH(CHOOSE({1,2,3,4},XT!U154,XT!Y154,XT!AC154,XT!AG154))=3)*(CHOOSE({1,2,3,4},XT!X154,XT!AB154,XT!AF154,XT!AJ154)))</f>
        <v>0</v>
      </c>
      <c r="J154" t="str">
        <f>IFERROR(INDEX(CHOOSE({1,2,3,4}, DAY(XT!U154), DAY(XT!Y154), DAY(XT!AC154), DAY(XT!AG154)), MATCH(1, INDEX(--(MONTH(CHOOSE({1,2,3,4}, XT!U154,XT!Y154,XT!AC154,XT!AG154))=3), 0), 0)), "")</f>
        <v/>
      </c>
      <c r="K154" s="12" t="str">
        <f>IF(XT!$P154&gt;0,J154,"")</f>
        <v/>
      </c>
      <c r="L154" s="12" t="str">
        <f>IF(XT!$P154=0,J154,"")</f>
        <v/>
      </c>
      <c r="M154">
        <f>SUMPRODUCT((MONTH(CHOOSE({1,2,3,4},XT!U154,XT!Y154,XT!AC154,XT!AG154))=4)*(CHOOSE({1,2,3,4},XT!X154,XT!AB154,XT!AF154,XT!AJ154)))</f>
        <v>0</v>
      </c>
      <c r="N154" t="str">
        <f>IFERROR(INDEX(CHOOSE({1,2,3,4}, DAY(XT!U154), DAY(XT!Y154), DAY(XT!AC154), DAY(XT!AG154)), MATCH(1, INDEX(--(MONTH(CHOOSE({1,2,3,4}, XT!U154,XT!Y154,XT!AC154,XT!AG154))=4), 0), 0)), "")</f>
        <v/>
      </c>
      <c r="O154" s="12" t="str">
        <f>IF(XT!$P154&gt;0,N154,"")</f>
        <v/>
      </c>
      <c r="P154" s="12" t="str">
        <f>IF(XT!$P154=0,N154,"")</f>
        <v/>
      </c>
      <c r="Q154">
        <f>SUMPRODUCT((MONTH(CHOOSE({1,2,3,4},XT!U154,XT!Y154,XT!AC154,XT!AG154))=5)*(CHOOSE({1,2,3,4},XT!X154,XT!AB154,XT!AF154,XT!AJ154)))</f>
        <v>0</v>
      </c>
      <c r="R154" t="str">
        <f>IFERROR(INDEX(CHOOSE({1,2,3,4}, DAY(XT!U154), DAY(XT!Y154), DAY(XT!AC154), DAY(XT!AG154)), MATCH(1, INDEX(--(MONTH(CHOOSE({1,2,3,4}, XT!U154,XT!Y154,XT!AC154,XT!AG154))=5), 0), 0)), "")</f>
        <v/>
      </c>
      <c r="S154" s="12" t="str">
        <f>IF(XT!$P154&gt;0,R154,"")</f>
        <v/>
      </c>
      <c r="T154" s="12" t="str">
        <f>IF(XT!$P154=0,R154,"")</f>
        <v/>
      </c>
      <c r="U154">
        <f>SUMPRODUCT((MONTH(CHOOSE({1,2,3,4},XT!U154,XT!Y154,XT!AC154,XT!AG154))=6)*(CHOOSE({1,2,3,4},XT!X154,XT!AB154,XT!AF154,XT!AJ154)))</f>
        <v>0</v>
      </c>
      <c r="V154" t="str">
        <f>IFERROR(INDEX(CHOOSE({1,2,3,4}, DAY(XT!U154), DAY(XT!Y154), DAY(XT!AC154), DAY(XT!AG154)), MATCH(1, INDEX(--(MONTH(CHOOSE({1,2,3,4}, XT!U154,XT!Y154,XT!AC154,XT!AG154))=6), 0), 0)), "")</f>
        <v/>
      </c>
      <c r="W154" s="12" t="str">
        <f>IF(XT!$P154&gt;0,V154,"")</f>
        <v/>
      </c>
      <c r="X154" s="12" t="str">
        <f>IF(XT!$P154=0,V154,"")</f>
        <v/>
      </c>
      <c r="Y154">
        <f>SUMPRODUCT((MONTH(CHOOSE({1,2,3,4},XT!U154,XT!Y154,XT!AC154,XT!AG154))=7)*(CHOOSE({1,2,3,4},XT!X154,XT!AB154,XT!AF154,XT!AJ154)))</f>
        <v>0</v>
      </c>
      <c r="Z154" t="str">
        <f>IFERROR(INDEX(CHOOSE({1,2,3,4}, DAY(XT!U154), DAY(XT!Y154), DAY(XT!AC154), DAY(XT!AG154)), MATCH(1, INDEX(--(MONTH(CHOOSE({1,2,3,4}, XT!U154,XT!Y154,XT!AC154,XT!AG154))=7), 0), 0)), "")</f>
        <v/>
      </c>
      <c r="AA154" s="12" t="str">
        <f>IF(XT!$P154&gt;0,Z154,"")</f>
        <v/>
      </c>
      <c r="AB154" s="12" t="str">
        <f>IF(XT!$P154=0,Z154,"")</f>
        <v/>
      </c>
      <c r="AC154">
        <f>SUMPRODUCT((MONTH(CHOOSE({1,2,3,4},XT!U154,XT!Y154,XT!AC154,XT!AG154))=8)*(CHOOSE({1,2,3,4},XT!X154,XT!AB154,XT!AF154,XT!AJ154)))</f>
        <v>0</v>
      </c>
      <c r="AD154" t="str">
        <f>IFERROR(INDEX(CHOOSE({1,2,3,4}, DAY(XT!U154), DAY(XT!Y154), DAY(XT!AC154), DAY(XT!AG154)), MATCH(1, INDEX(--(MONTH(CHOOSE({1,2,3,4}, XT!U154,XT!Y154,XT!AC154,XT!AG154))=8), 0), 0)), "")</f>
        <v/>
      </c>
      <c r="AE154" s="12" t="str">
        <f>IF(XT!$P154&gt;0,AD154,"")</f>
        <v/>
      </c>
      <c r="AF154" s="12" t="str">
        <f>IF(XT!$P154=0,AD154,"")</f>
        <v/>
      </c>
      <c r="AG154">
        <f>SUMPRODUCT((MONTH(CHOOSE({1,2,3,4},XT!U154,XT!Y154,XT!AC154,XT!AG154))=9)*(CHOOSE({1,2,3,4},XT!X154,XT!AB154,XT!AF154,XT!AJ154)))</f>
        <v>0</v>
      </c>
      <c r="AH154" t="str">
        <f>IFERROR(INDEX(CHOOSE({1,2,3,4}, DAY(XT!U154), DAY(XT!Y154), DAY(XT!AC154), DAY(XT!AG154)), MATCH(1, INDEX(--(MONTH(CHOOSE({1,2,3,4}, XT!U154,XT!Y154,XT!AC154,XT!AG154))=9), 0), 0)), "")</f>
        <v/>
      </c>
      <c r="AI154" s="12" t="str">
        <f>IF(XT!$P154&gt;0,AH154,"")</f>
        <v/>
      </c>
      <c r="AJ154" s="12" t="str">
        <f>IF(XT!$P154=0,AH154,"")</f>
        <v/>
      </c>
      <c r="AK154">
        <f>SUMPRODUCT((MONTH(CHOOSE({1,2,3,4},XT!U154,XT!Y154,XT!AC154,XT!AG154))=10)*(CHOOSE({1,2,3,4},XT!X154,XT!AB154,XT!AF154,XT!AJ154)))</f>
        <v>0</v>
      </c>
      <c r="AL154" t="str">
        <f>IFERROR(INDEX(CHOOSE({1,2,3,4}, DAY(XT!U154), DAY(XT!Y154), DAY(XT!AC154), DAY(XT!AG154)), MATCH(1, INDEX(--(MONTH(CHOOSE({1,2,3,4}, XT!U154,XT!Y154,XT!AC154,XT!AG154))=10), 0), 0)), "")</f>
        <v/>
      </c>
      <c r="AM154" s="12" t="str">
        <f>IF(XT!$P154&gt;0,AL154,"")</f>
        <v/>
      </c>
      <c r="AN154" s="12" t="str">
        <f>IF(XT!$P154=0,AL154,"")</f>
        <v/>
      </c>
      <c r="AO154">
        <f>SUMPRODUCT((MONTH(CHOOSE({1,2,3,4},XT!U154,XT!Y154,XT!AC154,XT!AG154))=11)*(CHOOSE({1,2,3,4},XT!X154,XT!AB154,XT!AF154,XT!AJ154)))</f>
        <v>0</v>
      </c>
      <c r="AP154" t="str">
        <f>IFERROR(INDEX(CHOOSE({1,2,3,4}, DAY(XT!U154), DAY(XT!Y154), DAY(XT!AC154), DAY(XT!AG154)), MATCH(1, INDEX(--(MONTH(CHOOSE({1,2,3,4}, XT!U154,XT!Y154,XT!AC154,XT!AG154))=11), 0), 0)), "")</f>
        <v/>
      </c>
      <c r="AQ154" s="12" t="str">
        <f>IF(XT!$P154&gt;0,AP154,"")</f>
        <v/>
      </c>
      <c r="AR154" s="12" t="str">
        <f>IF(XT!$P154=0,AP154,"")</f>
        <v/>
      </c>
      <c r="AS154">
        <f>SUMPRODUCT((MONTH(CHOOSE({1,2,3,4},XT!U154,XT!Y154,XT!AC154,XT!AG154))=12)*(CHOOSE({1,2,3,4},XT!X154,XT!AB154,XT!AF154,XT!AJ154)))</f>
        <v>0</v>
      </c>
      <c r="AT154" t="str">
        <f>IFERROR(INDEX(CHOOSE({1,2,3,4}, DAY(XT!U154), DAY(XT!Y154), DAY(XT!AC154), DAY(XT!AG154)), MATCH(1, INDEX(--(MONTH(CHOOSE({1,2,3,4}, XT!U154,XT!Y154,XT!AC154,XT!AG154))=12), 0), 0)), "")</f>
        <v/>
      </c>
      <c r="AU154" s="12" t="str">
        <f>IF(XT!$P154&gt;0,AT154,"")</f>
        <v/>
      </c>
      <c r="AV154" s="12" t="str">
        <f>IF(XT!$P154=0,AT154,"")</f>
        <v/>
      </c>
    </row>
    <row r="155" spans="1:48">
      <c r="A155">
        <f>SUMPRODUCT((MONTH(CHOOSE({1,2,3,4},XT!U155,XT!Y155,XT!AC155,XT!AG155))=1)*(CHOOSE({1,2,3,4},XT!X155,XT!AB155,XT!AF155,XT!AJ155)))</f>
        <v>0</v>
      </c>
      <c r="B155">
        <f>IFERROR(INDEX(CHOOSE({1,2,3,4}, DAY(XT!U155), DAY(XT!Y155), DAY(XT!AC155), DAY(XT!AG155)), MATCH(1, INDEX(--(MONTH(CHOOSE({1,2,3,4}, XT!U155,XT!Y155,XT!AC155,XT!AG155))=1), 0), 0)), "")</f>
        <v>0</v>
      </c>
      <c r="C155" s="12" t="str">
        <f>IF(XT!$P155&gt;0,B155,"")</f>
        <v/>
      </c>
      <c r="D155" s="12">
        <f>IF(XT!$P155=0,B155,"")</f>
        <v>0</v>
      </c>
      <c r="E155">
        <f>SUMPRODUCT((MONTH(CHOOSE({1,2,3,4},XT!U155,XT!Y155,XT!AC155,XT!AG155))=2)*(CHOOSE({1,2,3,4},XT!X155,XT!AB155,XT!AF155,XT!AJ155)))</f>
        <v>0</v>
      </c>
      <c r="F155" t="str">
        <f>IFERROR(INDEX(CHOOSE({1,2,3,4}, DAY(XT!U155), DAY(XT!Y155), DAY(XT!AC155), DAY(XT!AG155)), MATCH(1, INDEX(--(MONTH(CHOOSE({1,2,3,4}, XT!U155,XT!Y155,XT!AC155,XT!AG155))=2), 0), 0)), "")</f>
        <v/>
      </c>
      <c r="G155" s="12" t="str">
        <f>IF(XT!$P155&gt;0,F155,"")</f>
        <v/>
      </c>
      <c r="H155" s="12" t="str">
        <f>IF(XT!$P155=0,F155,"")</f>
        <v/>
      </c>
      <c r="I155">
        <f>SUMPRODUCT((MONTH(CHOOSE({1,2,3,4},XT!U155,XT!Y155,XT!AC155,XT!AG155))=3)*(CHOOSE({1,2,3,4},XT!X155,XT!AB155,XT!AF155,XT!AJ155)))</f>
        <v>0</v>
      </c>
      <c r="J155" t="str">
        <f>IFERROR(INDEX(CHOOSE({1,2,3,4}, DAY(XT!U155), DAY(XT!Y155), DAY(XT!AC155), DAY(XT!AG155)), MATCH(1, INDEX(--(MONTH(CHOOSE({1,2,3,4}, XT!U155,XT!Y155,XT!AC155,XT!AG155))=3), 0), 0)), "")</f>
        <v/>
      </c>
      <c r="K155" s="12" t="str">
        <f>IF(XT!$P155&gt;0,J155,"")</f>
        <v/>
      </c>
      <c r="L155" s="12" t="str">
        <f>IF(XT!$P155=0,J155,"")</f>
        <v/>
      </c>
      <c r="M155">
        <f>SUMPRODUCT((MONTH(CHOOSE({1,2,3,4},XT!U155,XT!Y155,XT!AC155,XT!AG155))=4)*(CHOOSE({1,2,3,4},XT!X155,XT!AB155,XT!AF155,XT!AJ155)))</f>
        <v>0</v>
      </c>
      <c r="N155" t="str">
        <f>IFERROR(INDEX(CHOOSE({1,2,3,4}, DAY(XT!U155), DAY(XT!Y155), DAY(XT!AC155), DAY(XT!AG155)), MATCH(1, INDEX(--(MONTH(CHOOSE({1,2,3,4}, XT!U155,XT!Y155,XT!AC155,XT!AG155))=4), 0), 0)), "")</f>
        <v/>
      </c>
      <c r="O155" s="12" t="str">
        <f>IF(XT!$P155&gt;0,N155,"")</f>
        <v/>
      </c>
      <c r="P155" s="12" t="str">
        <f>IF(XT!$P155=0,N155,"")</f>
        <v/>
      </c>
      <c r="Q155">
        <f>SUMPRODUCT((MONTH(CHOOSE({1,2,3,4},XT!U155,XT!Y155,XT!AC155,XT!AG155))=5)*(CHOOSE({1,2,3,4},XT!X155,XT!AB155,XT!AF155,XT!AJ155)))</f>
        <v>0</v>
      </c>
      <c r="R155" t="str">
        <f>IFERROR(INDEX(CHOOSE({1,2,3,4}, DAY(XT!U155), DAY(XT!Y155), DAY(XT!AC155), DAY(XT!AG155)), MATCH(1, INDEX(--(MONTH(CHOOSE({1,2,3,4}, XT!U155,XT!Y155,XT!AC155,XT!AG155))=5), 0), 0)), "")</f>
        <v/>
      </c>
      <c r="S155" s="12" t="str">
        <f>IF(XT!$P155&gt;0,R155,"")</f>
        <v/>
      </c>
      <c r="T155" s="12" t="str">
        <f>IF(XT!$P155=0,R155,"")</f>
        <v/>
      </c>
      <c r="U155">
        <f>SUMPRODUCT((MONTH(CHOOSE({1,2,3,4},XT!U155,XT!Y155,XT!AC155,XT!AG155))=6)*(CHOOSE({1,2,3,4},XT!X155,XT!AB155,XT!AF155,XT!AJ155)))</f>
        <v>0</v>
      </c>
      <c r="V155" t="str">
        <f>IFERROR(INDEX(CHOOSE({1,2,3,4}, DAY(XT!U155), DAY(XT!Y155), DAY(XT!AC155), DAY(XT!AG155)), MATCH(1, INDEX(--(MONTH(CHOOSE({1,2,3,4}, XT!U155,XT!Y155,XT!AC155,XT!AG155))=6), 0), 0)), "")</f>
        <v/>
      </c>
      <c r="W155" s="12" t="str">
        <f>IF(XT!$P155&gt;0,V155,"")</f>
        <v/>
      </c>
      <c r="X155" s="12" t="str">
        <f>IF(XT!$P155=0,V155,"")</f>
        <v/>
      </c>
      <c r="Y155">
        <f>SUMPRODUCT((MONTH(CHOOSE({1,2,3,4},XT!U155,XT!Y155,XT!AC155,XT!AG155))=7)*(CHOOSE({1,2,3,4},XT!X155,XT!AB155,XT!AF155,XT!AJ155)))</f>
        <v>0</v>
      </c>
      <c r="Z155" t="str">
        <f>IFERROR(INDEX(CHOOSE({1,2,3,4}, DAY(XT!U155), DAY(XT!Y155), DAY(XT!AC155), DAY(XT!AG155)), MATCH(1, INDEX(--(MONTH(CHOOSE({1,2,3,4}, XT!U155,XT!Y155,XT!AC155,XT!AG155))=7), 0), 0)), "")</f>
        <v/>
      </c>
      <c r="AA155" s="12" t="str">
        <f>IF(XT!$P155&gt;0,Z155,"")</f>
        <v/>
      </c>
      <c r="AB155" s="12" t="str">
        <f>IF(XT!$P155=0,Z155,"")</f>
        <v/>
      </c>
      <c r="AC155">
        <f>SUMPRODUCT((MONTH(CHOOSE({1,2,3,4},XT!U155,XT!Y155,XT!AC155,XT!AG155))=8)*(CHOOSE({1,2,3,4},XT!X155,XT!AB155,XT!AF155,XT!AJ155)))</f>
        <v>0</v>
      </c>
      <c r="AD155" t="str">
        <f>IFERROR(INDEX(CHOOSE({1,2,3,4}, DAY(XT!U155), DAY(XT!Y155), DAY(XT!AC155), DAY(XT!AG155)), MATCH(1, INDEX(--(MONTH(CHOOSE({1,2,3,4}, XT!U155,XT!Y155,XT!AC155,XT!AG155))=8), 0), 0)), "")</f>
        <v/>
      </c>
      <c r="AE155" s="12" t="str">
        <f>IF(XT!$P155&gt;0,AD155,"")</f>
        <v/>
      </c>
      <c r="AF155" s="12" t="str">
        <f>IF(XT!$P155=0,AD155,"")</f>
        <v/>
      </c>
      <c r="AG155">
        <f>SUMPRODUCT((MONTH(CHOOSE({1,2,3,4},XT!U155,XT!Y155,XT!AC155,XT!AG155))=9)*(CHOOSE({1,2,3,4},XT!X155,XT!AB155,XT!AF155,XT!AJ155)))</f>
        <v>0</v>
      </c>
      <c r="AH155" t="str">
        <f>IFERROR(INDEX(CHOOSE({1,2,3,4}, DAY(XT!U155), DAY(XT!Y155), DAY(XT!AC155), DAY(XT!AG155)), MATCH(1, INDEX(--(MONTH(CHOOSE({1,2,3,4}, XT!U155,XT!Y155,XT!AC155,XT!AG155))=9), 0), 0)), "")</f>
        <v/>
      </c>
      <c r="AI155" s="12" t="str">
        <f>IF(XT!$P155&gt;0,AH155,"")</f>
        <v/>
      </c>
      <c r="AJ155" s="12" t="str">
        <f>IF(XT!$P155=0,AH155,"")</f>
        <v/>
      </c>
      <c r="AK155">
        <f>SUMPRODUCT((MONTH(CHOOSE({1,2,3,4},XT!U155,XT!Y155,XT!AC155,XT!AG155))=10)*(CHOOSE({1,2,3,4},XT!X155,XT!AB155,XT!AF155,XT!AJ155)))</f>
        <v>0</v>
      </c>
      <c r="AL155" t="str">
        <f>IFERROR(INDEX(CHOOSE({1,2,3,4}, DAY(XT!U155), DAY(XT!Y155), DAY(XT!AC155), DAY(XT!AG155)), MATCH(1, INDEX(--(MONTH(CHOOSE({1,2,3,4}, XT!U155,XT!Y155,XT!AC155,XT!AG155))=10), 0), 0)), "")</f>
        <v/>
      </c>
      <c r="AM155" s="12" t="str">
        <f>IF(XT!$P155&gt;0,AL155,"")</f>
        <v/>
      </c>
      <c r="AN155" s="12" t="str">
        <f>IF(XT!$P155=0,AL155,"")</f>
        <v/>
      </c>
      <c r="AO155">
        <f>SUMPRODUCT((MONTH(CHOOSE({1,2,3,4},XT!U155,XT!Y155,XT!AC155,XT!AG155))=11)*(CHOOSE({1,2,3,4},XT!X155,XT!AB155,XT!AF155,XT!AJ155)))</f>
        <v>0</v>
      </c>
      <c r="AP155" t="str">
        <f>IFERROR(INDEX(CHOOSE({1,2,3,4}, DAY(XT!U155), DAY(XT!Y155), DAY(XT!AC155), DAY(XT!AG155)), MATCH(1, INDEX(--(MONTH(CHOOSE({1,2,3,4}, XT!U155,XT!Y155,XT!AC155,XT!AG155))=11), 0), 0)), "")</f>
        <v/>
      </c>
      <c r="AQ155" s="12" t="str">
        <f>IF(XT!$P155&gt;0,AP155,"")</f>
        <v/>
      </c>
      <c r="AR155" s="12" t="str">
        <f>IF(XT!$P155=0,AP155,"")</f>
        <v/>
      </c>
      <c r="AS155">
        <f>SUMPRODUCT((MONTH(CHOOSE({1,2,3,4},XT!U155,XT!Y155,XT!AC155,XT!AG155))=12)*(CHOOSE({1,2,3,4},XT!X155,XT!AB155,XT!AF155,XT!AJ155)))</f>
        <v>0</v>
      </c>
      <c r="AT155" t="str">
        <f>IFERROR(INDEX(CHOOSE({1,2,3,4}, DAY(XT!U155), DAY(XT!Y155), DAY(XT!AC155), DAY(XT!AG155)), MATCH(1, INDEX(--(MONTH(CHOOSE({1,2,3,4}, XT!U155,XT!Y155,XT!AC155,XT!AG155))=12), 0), 0)), "")</f>
        <v/>
      </c>
      <c r="AU155" s="12" t="str">
        <f>IF(XT!$P155&gt;0,AT155,"")</f>
        <v/>
      </c>
      <c r="AV155" s="12" t="str">
        <f>IF(XT!$P155=0,AT155,"")</f>
        <v/>
      </c>
    </row>
    <row r="156" spans="1:48">
      <c r="A156">
        <f>SUMPRODUCT((MONTH(CHOOSE({1,2,3,4},XT!U156,XT!Y156,XT!AC156,XT!AG156))=1)*(CHOOSE({1,2,3,4},XT!X156,XT!AB156,XT!AF156,XT!AJ156)))</f>
        <v>0</v>
      </c>
      <c r="B156">
        <f>IFERROR(INDEX(CHOOSE({1,2,3,4}, DAY(XT!U156), DAY(XT!Y156), DAY(XT!AC156), DAY(XT!AG156)), MATCH(1, INDEX(--(MONTH(CHOOSE({1,2,3,4}, XT!U156,XT!Y156,XT!AC156,XT!AG156))=1), 0), 0)), "")</f>
        <v>0</v>
      </c>
      <c r="C156" s="12" t="str">
        <f>IF(XT!$P156&gt;0,B156,"")</f>
        <v/>
      </c>
      <c r="D156" s="12">
        <f>IF(XT!$P156=0,B156,"")</f>
        <v>0</v>
      </c>
      <c r="E156">
        <f>SUMPRODUCT((MONTH(CHOOSE({1,2,3,4},XT!U156,XT!Y156,XT!AC156,XT!AG156))=2)*(CHOOSE({1,2,3,4},XT!X156,XT!AB156,XT!AF156,XT!AJ156)))</f>
        <v>0</v>
      </c>
      <c r="F156" t="str">
        <f>IFERROR(INDEX(CHOOSE({1,2,3,4}, DAY(XT!U156), DAY(XT!Y156), DAY(XT!AC156), DAY(XT!AG156)), MATCH(1, INDEX(--(MONTH(CHOOSE({1,2,3,4}, XT!U156,XT!Y156,XT!AC156,XT!AG156))=2), 0), 0)), "")</f>
        <v/>
      </c>
      <c r="G156" s="12" t="str">
        <f>IF(XT!$P156&gt;0,F156,"")</f>
        <v/>
      </c>
      <c r="H156" s="12" t="str">
        <f>IF(XT!$P156=0,F156,"")</f>
        <v/>
      </c>
      <c r="I156">
        <f>SUMPRODUCT((MONTH(CHOOSE({1,2,3,4},XT!U156,XT!Y156,XT!AC156,XT!AG156))=3)*(CHOOSE({1,2,3,4},XT!X156,XT!AB156,XT!AF156,XT!AJ156)))</f>
        <v>0</v>
      </c>
      <c r="J156" t="str">
        <f>IFERROR(INDEX(CHOOSE({1,2,3,4}, DAY(XT!U156), DAY(XT!Y156), DAY(XT!AC156), DAY(XT!AG156)), MATCH(1, INDEX(--(MONTH(CHOOSE({1,2,3,4}, XT!U156,XT!Y156,XT!AC156,XT!AG156))=3), 0), 0)), "")</f>
        <v/>
      </c>
      <c r="K156" s="12" t="str">
        <f>IF(XT!$P156&gt;0,J156,"")</f>
        <v/>
      </c>
      <c r="L156" s="12" t="str">
        <f>IF(XT!$P156=0,J156,"")</f>
        <v/>
      </c>
      <c r="M156">
        <f>SUMPRODUCT((MONTH(CHOOSE({1,2,3,4},XT!U156,XT!Y156,XT!AC156,XT!AG156))=4)*(CHOOSE({1,2,3,4},XT!X156,XT!AB156,XT!AF156,XT!AJ156)))</f>
        <v>0</v>
      </c>
      <c r="N156" t="str">
        <f>IFERROR(INDEX(CHOOSE({1,2,3,4}, DAY(XT!U156), DAY(XT!Y156), DAY(XT!AC156), DAY(XT!AG156)), MATCH(1, INDEX(--(MONTH(CHOOSE({1,2,3,4}, XT!U156,XT!Y156,XT!AC156,XT!AG156))=4), 0), 0)), "")</f>
        <v/>
      </c>
      <c r="O156" s="12" t="str">
        <f>IF(XT!$P156&gt;0,N156,"")</f>
        <v/>
      </c>
      <c r="P156" s="12" t="str">
        <f>IF(XT!$P156=0,N156,"")</f>
        <v/>
      </c>
      <c r="Q156">
        <f>SUMPRODUCT((MONTH(CHOOSE({1,2,3,4},XT!U156,XT!Y156,XT!AC156,XT!AG156))=5)*(CHOOSE({1,2,3,4},XT!X156,XT!AB156,XT!AF156,XT!AJ156)))</f>
        <v>0</v>
      </c>
      <c r="R156" t="str">
        <f>IFERROR(INDEX(CHOOSE({1,2,3,4}, DAY(XT!U156), DAY(XT!Y156), DAY(XT!AC156), DAY(XT!AG156)), MATCH(1, INDEX(--(MONTH(CHOOSE({1,2,3,4}, XT!U156,XT!Y156,XT!AC156,XT!AG156))=5), 0), 0)), "")</f>
        <v/>
      </c>
      <c r="S156" s="12" t="str">
        <f>IF(XT!$P156&gt;0,R156,"")</f>
        <v/>
      </c>
      <c r="T156" s="12" t="str">
        <f>IF(XT!$P156=0,R156,"")</f>
        <v/>
      </c>
      <c r="U156">
        <f>SUMPRODUCT((MONTH(CHOOSE({1,2,3,4},XT!U156,XT!Y156,XT!AC156,XT!AG156))=6)*(CHOOSE({1,2,3,4},XT!X156,XT!AB156,XT!AF156,XT!AJ156)))</f>
        <v>0</v>
      </c>
      <c r="V156" t="str">
        <f>IFERROR(INDEX(CHOOSE({1,2,3,4}, DAY(XT!U156), DAY(XT!Y156), DAY(XT!AC156), DAY(XT!AG156)), MATCH(1, INDEX(--(MONTH(CHOOSE({1,2,3,4}, XT!U156,XT!Y156,XT!AC156,XT!AG156))=6), 0), 0)), "")</f>
        <v/>
      </c>
      <c r="W156" s="12" t="str">
        <f>IF(XT!$P156&gt;0,V156,"")</f>
        <v/>
      </c>
      <c r="X156" s="12" t="str">
        <f>IF(XT!$P156=0,V156,"")</f>
        <v/>
      </c>
      <c r="Y156">
        <f>SUMPRODUCT((MONTH(CHOOSE({1,2,3,4},XT!U156,XT!Y156,XT!AC156,XT!AG156))=7)*(CHOOSE({1,2,3,4},XT!X156,XT!AB156,XT!AF156,XT!AJ156)))</f>
        <v>0</v>
      </c>
      <c r="Z156" t="str">
        <f>IFERROR(INDEX(CHOOSE({1,2,3,4}, DAY(XT!U156), DAY(XT!Y156), DAY(XT!AC156), DAY(XT!AG156)), MATCH(1, INDEX(--(MONTH(CHOOSE({1,2,3,4}, XT!U156,XT!Y156,XT!AC156,XT!AG156))=7), 0), 0)), "")</f>
        <v/>
      </c>
      <c r="AA156" s="12" t="str">
        <f>IF(XT!$P156&gt;0,Z156,"")</f>
        <v/>
      </c>
      <c r="AB156" s="12" t="str">
        <f>IF(XT!$P156=0,Z156,"")</f>
        <v/>
      </c>
      <c r="AC156">
        <f>SUMPRODUCT((MONTH(CHOOSE({1,2,3,4},XT!U156,XT!Y156,XT!AC156,XT!AG156))=8)*(CHOOSE({1,2,3,4},XT!X156,XT!AB156,XT!AF156,XT!AJ156)))</f>
        <v>0</v>
      </c>
      <c r="AD156" t="str">
        <f>IFERROR(INDEX(CHOOSE({1,2,3,4}, DAY(XT!U156), DAY(XT!Y156), DAY(XT!AC156), DAY(XT!AG156)), MATCH(1, INDEX(--(MONTH(CHOOSE({1,2,3,4}, XT!U156,XT!Y156,XT!AC156,XT!AG156))=8), 0), 0)), "")</f>
        <v/>
      </c>
      <c r="AE156" s="12" t="str">
        <f>IF(XT!$P156&gt;0,AD156,"")</f>
        <v/>
      </c>
      <c r="AF156" s="12" t="str">
        <f>IF(XT!$P156=0,AD156,"")</f>
        <v/>
      </c>
      <c r="AG156">
        <f>SUMPRODUCT((MONTH(CHOOSE({1,2,3,4},XT!U156,XT!Y156,XT!AC156,XT!AG156))=9)*(CHOOSE({1,2,3,4},XT!X156,XT!AB156,XT!AF156,XT!AJ156)))</f>
        <v>0</v>
      </c>
      <c r="AH156" t="str">
        <f>IFERROR(INDEX(CHOOSE({1,2,3,4}, DAY(XT!U156), DAY(XT!Y156), DAY(XT!AC156), DAY(XT!AG156)), MATCH(1, INDEX(--(MONTH(CHOOSE({1,2,3,4}, XT!U156,XT!Y156,XT!AC156,XT!AG156))=9), 0), 0)), "")</f>
        <v/>
      </c>
      <c r="AI156" s="12" t="str">
        <f>IF(XT!$P156&gt;0,AH156,"")</f>
        <v/>
      </c>
      <c r="AJ156" s="12" t="str">
        <f>IF(XT!$P156=0,AH156,"")</f>
        <v/>
      </c>
      <c r="AK156">
        <f>SUMPRODUCT((MONTH(CHOOSE({1,2,3,4},XT!U156,XT!Y156,XT!AC156,XT!AG156))=10)*(CHOOSE({1,2,3,4},XT!X156,XT!AB156,XT!AF156,XT!AJ156)))</f>
        <v>0</v>
      </c>
      <c r="AL156" t="str">
        <f>IFERROR(INDEX(CHOOSE({1,2,3,4}, DAY(XT!U156), DAY(XT!Y156), DAY(XT!AC156), DAY(XT!AG156)), MATCH(1, INDEX(--(MONTH(CHOOSE({1,2,3,4}, XT!U156,XT!Y156,XT!AC156,XT!AG156))=10), 0), 0)), "")</f>
        <v/>
      </c>
      <c r="AM156" s="12" t="str">
        <f>IF(XT!$P156&gt;0,AL156,"")</f>
        <v/>
      </c>
      <c r="AN156" s="12" t="str">
        <f>IF(XT!$P156=0,AL156,"")</f>
        <v/>
      </c>
      <c r="AO156">
        <f>SUMPRODUCT((MONTH(CHOOSE({1,2,3,4},XT!U156,XT!Y156,XT!AC156,XT!AG156))=11)*(CHOOSE({1,2,3,4},XT!X156,XT!AB156,XT!AF156,XT!AJ156)))</f>
        <v>0</v>
      </c>
      <c r="AP156" t="str">
        <f>IFERROR(INDEX(CHOOSE({1,2,3,4}, DAY(XT!U156), DAY(XT!Y156), DAY(XT!AC156), DAY(XT!AG156)), MATCH(1, INDEX(--(MONTH(CHOOSE({1,2,3,4}, XT!U156,XT!Y156,XT!AC156,XT!AG156))=11), 0), 0)), "")</f>
        <v/>
      </c>
      <c r="AQ156" s="12" t="str">
        <f>IF(XT!$P156&gt;0,AP156,"")</f>
        <v/>
      </c>
      <c r="AR156" s="12" t="str">
        <f>IF(XT!$P156=0,AP156,"")</f>
        <v/>
      </c>
      <c r="AS156">
        <f>SUMPRODUCT((MONTH(CHOOSE({1,2,3,4},XT!U156,XT!Y156,XT!AC156,XT!AG156))=12)*(CHOOSE({1,2,3,4},XT!X156,XT!AB156,XT!AF156,XT!AJ156)))</f>
        <v>0</v>
      </c>
      <c r="AT156" t="str">
        <f>IFERROR(INDEX(CHOOSE({1,2,3,4}, DAY(XT!U156), DAY(XT!Y156), DAY(XT!AC156), DAY(XT!AG156)), MATCH(1, INDEX(--(MONTH(CHOOSE({1,2,3,4}, XT!U156,XT!Y156,XT!AC156,XT!AG156))=12), 0), 0)), "")</f>
        <v/>
      </c>
      <c r="AU156" s="12" t="str">
        <f>IF(XT!$P156&gt;0,AT156,"")</f>
        <v/>
      </c>
      <c r="AV156" s="12" t="str">
        <f>IF(XT!$P156=0,AT156,"")</f>
        <v/>
      </c>
    </row>
    <row r="157" spans="1:48">
      <c r="A157">
        <f>SUMPRODUCT((MONTH(CHOOSE({1,2,3,4},XT!U157,XT!Y157,XT!AC157,XT!AG157))=1)*(CHOOSE({1,2,3,4},XT!X157,XT!AB157,XT!AF157,XT!AJ157)))</f>
        <v>0</v>
      </c>
      <c r="B157">
        <f>IFERROR(INDEX(CHOOSE({1,2,3,4}, DAY(XT!U157), DAY(XT!Y157), DAY(XT!AC157), DAY(XT!AG157)), MATCH(1, INDEX(--(MONTH(CHOOSE({1,2,3,4}, XT!U157,XT!Y157,XT!AC157,XT!AG157))=1), 0), 0)), "")</f>
        <v>0</v>
      </c>
      <c r="C157" s="12" t="str">
        <f>IF(XT!$P157&gt;0,B157,"")</f>
        <v/>
      </c>
      <c r="D157" s="12">
        <f>IF(XT!$P157=0,B157,"")</f>
        <v>0</v>
      </c>
      <c r="E157">
        <f>SUMPRODUCT((MONTH(CHOOSE({1,2,3,4},XT!U157,XT!Y157,XT!AC157,XT!AG157))=2)*(CHOOSE({1,2,3,4},XT!X157,XT!AB157,XT!AF157,XT!AJ157)))</f>
        <v>0</v>
      </c>
      <c r="F157" t="str">
        <f>IFERROR(INDEX(CHOOSE({1,2,3,4}, DAY(XT!U157), DAY(XT!Y157), DAY(XT!AC157), DAY(XT!AG157)), MATCH(1, INDEX(--(MONTH(CHOOSE({1,2,3,4}, XT!U157,XT!Y157,XT!AC157,XT!AG157))=2), 0), 0)), "")</f>
        <v/>
      </c>
      <c r="G157" s="12" t="str">
        <f>IF(XT!$P157&gt;0,F157,"")</f>
        <v/>
      </c>
      <c r="H157" s="12" t="str">
        <f>IF(XT!$P157=0,F157,"")</f>
        <v/>
      </c>
      <c r="I157">
        <f>SUMPRODUCT((MONTH(CHOOSE({1,2,3,4},XT!U157,XT!Y157,XT!AC157,XT!AG157))=3)*(CHOOSE({1,2,3,4},XT!X157,XT!AB157,XT!AF157,XT!AJ157)))</f>
        <v>0</v>
      </c>
      <c r="J157" t="str">
        <f>IFERROR(INDEX(CHOOSE({1,2,3,4}, DAY(XT!U157), DAY(XT!Y157), DAY(XT!AC157), DAY(XT!AG157)), MATCH(1, INDEX(--(MONTH(CHOOSE({1,2,3,4}, XT!U157,XT!Y157,XT!AC157,XT!AG157))=3), 0), 0)), "")</f>
        <v/>
      </c>
      <c r="K157" s="12" t="str">
        <f>IF(XT!$P157&gt;0,J157,"")</f>
        <v/>
      </c>
      <c r="L157" s="12" t="str">
        <f>IF(XT!$P157=0,J157,"")</f>
        <v/>
      </c>
      <c r="M157">
        <f>SUMPRODUCT((MONTH(CHOOSE({1,2,3,4},XT!U157,XT!Y157,XT!AC157,XT!AG157))=4)*(CHOOSE({1,2,3,4},XT!X157,XT!AB157,XT!AF157,XT!AJ157)))</f>
        <v>0</v>
      </c>
      <c r="N157" t="str">
        <f>IFERROR(INDEX(CHOOSE({1,2,3,4}, DAY(XT!U157), DAY(XT!Y157), DAY(XT!AC157), DAY(XT!AG157)), MATCH(1, INDEX(--(MONTH(CHOOSE({1,2,3,4}, XT!U157,XT!Y157,XT!AC157,XT!AG157))=4), 0), 0)), "")</f>
        <v/>
      </c>
      <c r="O157" s="12" t="str">
        <f>IF(XT!$P157&gt;0,N157,"")</f>
        <v/>
      </c>
      <c r="P157" s="12" t="str">
        <f>IF(XT!$P157=0,N157,"")</f>
        <v/>
      </c>
      <c r="Q157">
        <f>SUMPRODUCT((MONTH(CHOOSE({1,2,3,4},XT!U157,XT!Y157,XT!AC157,XT!AG157))=5)*(CHOOSE({1,2,3,4},XT!X157,XT!AB157,XT!AF157,XT!AJ157)))</f>
        <v>0</v>
      </c>
      <c r="R157" t="str">
        <f>IFERROR(INDEX(CHOOSE({1,2,3,4}, DAY(XT!U157), DAY(XT!Y157), DAY(XT!AC157), DAY(XT!AG157)), MATCH(1, INDEX(--(MONTH(CHOOSE({1,2,3,4}, XT!U157,XT!Y157,XT!AC157,XT!AG157))=5), 0), 0)), "")</f>
        <v/>
      </c>
      <c r="S157" s="12" t="str">
        <f>IF(XT!$P157&gt;0,R157,"")</f>
        <v/>
      </c>
      <c r="T157" s="12" t="str">
        <f>IF(XT!$P157=0,R157,"")</f>
        <v/>
      </c>
      <c r="U157">
        <f>SUMPRODUCT((MONTH(CHOOSE({1,2,3,4},XT!U157,XT!Y157,XT!AC157,XT!AG157))=6)*(CHOOSE({1,2,3,4},XT!X157,XT!AB157,XT!AF157,XT!AJ157)))</f>
        <v>0</v>
      </c>
      <c r="V157" t="str">
        <f>IFERROR(INDEX(CHOOSE({1,2,3,4}, DAY(XT!U157), DAY(XT!Y157), DAY(XT!AC157), DAY(XT!AG157)), MATCH(1, INDEX(--(MONTH(CHOOSE({1,2,3,4}, XT!U157,XT!Y157,XT!AC157,XT!AG157))=6), 0), 0)), "")</f>
        <v/>
      </c>
      <c r="W157" s="12" t="str">
        <f>IF(XT!$P157&gt;0,V157,"")</f>
        <v/>
      </c>
      <c r="X157" s="12" t="str">
        <f>IF(XT!$P157=0,V157,"")</f>
        <v/>
      </c>
      <c r="Y157">
        <f>SUMPRODUCT((MONTH(CHOOSE({1,2,3,4},XT!U157,XT!Y157,XT!AC157,XT!AG157))=7)*(CHOOSE({1,2,3,4},XT!X157,XT!AB157,XT!AF157,XT!AJ157)))</f>
        <v>0</v>
      </c>
      <c r="Z157" t="str">
        <f>IFERROR(INDEX(CHOOSE({1,2,3,4}, DAY(XT!U157), DAY(XT!Y157), DAY(XT!AC157), DAY(XT!AG157)), MATCH(1, INDEX(--(MONTH(CHOOSE({1,2,3,4}, XT!U157,XT!Y157,XT!AC157,XT!AG157))=7), 0), 0)), "")</f>
        <v/>
      </c>
      <c r="AA157" s="12" t="str">
        <f>IF(XT!$P157&gt;0,Z157,"")</f>
        <v/>
      </c>
      <c r="AB157" s="12" t="str">
        <f>IF(XT!$P157=0,Z157,"")</f>
        <v/>
      </c>
      <c r="AC157">
        <f>SUMPRODUCT((MONTH(CHOOSE({1,2,3,4},XT!U157,XT!Y157,XT!AC157,XT!AG157))=8)*(CHOOSE({1,2,3,4},XT!X157,XT!AB157,XT!AF157,XT!AJ157)))</f>
        <v>0</v>
      </c>
      <c r="AD157" t="str">
        <f>IFERROR(INDEX(CHOOSE({1,2,3,4}, DAY(XT!U157), DAY(XT!Y157), DAY(XT!AC157), DAY(XT!AG157)), MATCH(1, INDEX(--(MONTH(CHOOSE({1,2,3,4}, XT!U157,XT!Y157,XT!AC157,XT!AG157))=8), 0), 0)), "")</f>
        <v/>
      </c>
      <c r="AE157" s="12" t="str">
        <f>IF(XT!$P157&gt;0,AD157,"")</f>
        <v/>
      </c>
      <c r="AF157" s="12" t="str">
        <f>IF(XT!$P157=0,AD157,"")</f>
        <v/>
      </c>
      <c r="AG157">
        <f>SUMPRODUCT((MONTH(CHOOSE({1,2,3,4},XT!U157,XT!Y157,XT!AC157,XT!AG157))=9)*(CHOOSE({1,2,3,4},XT!X157,XT!AB157,XT!AF157,XT!AJ157)))</f>
        <v>0</v>
      </c>
      <c r="AH157" t="str">
        <f>IFERROR(INDEX(CHOOSE({1,2,3,4}, DAY(XT!U157), DAY(XT!Y157), DAY(XT!AC157), DAY(XT!AG157)), MATCH(1, INDEX(--(MONTH(CHOOSE({1,2,3,4}, XT!U157,XT!Y157,XT!AC157,XT!AG157))=9), 0), 0)), "")</f>
        <v/>
      </c>
      <c r="AI157" s="12" t="str">
        <f>IF(XT!$P157&gt;0,AH157,"")</f>
        <v/>
      </c>
      <c r="AJ157" s="12" t="str">
        <f>IF(XT!$P157=0,AH157,"")</f>
        <v/>
      </c>
      <c r="AK157">
        <f>SUMPRODUCT((MONTH(CHOOSE({1,2,3,4},XT!U157,XT!Y157,XT!AC157,XT!AG157))=10)*(CHOOSE({1,2,3,4},XT!X157,XT!AB157,XT!AF157,XT!AJ157)))</f>
        <v>0</v>
      </c>
      <c r="AL157" t="str">
        <f>IFERROR(INDEX(CHOOSE({1,2,3,4}, DAY(XT!U157), DAY(XT!Y157), DAY(XT!AC157), DAY(XT!AG157)), MATCH(1, INDEX(--(MONTH(CHOOSE({1,2,3,4}, XT!U157,XT!Y157,XT!AC157,XT!AG157))=10), 0), 0)), "")</f>
        <v/>
      </c>
      <c r="AM157" s="12" t="str">
        <f>IF(XT!$P157&gt;0,AL157,"")</f>
        <v/>
      </c>
      <c r="AN157" s="12" t="str">
        <f>IF(XT!$P157=0,AL157,"")</f>
        <v/>
      </c>
      <c r="AO157">
        <f>SUMPRODUCT((MONTH(CHOOSE({1,2,3,4},XT!U157,XT!Y157,XT!AC157,XT!AG157))=11)*(CHOOSE({1,2,3,4},XT!X157,XT!AB157,XT!AF157,XT!AJ157)))</f>
        <v>0</v>
      </c>
      <c r="AP157" t="str">
        <f>IFERROR(INDEX(CHOOSE({1,2,3,4}, DAY(XT!U157), DAY(XT!Y157), DAY(XT!AC157), DAY(XT!AG157)), MATCH(1, INDEX(--(MONTH(CHOOSE({1,2,3,4}, XT!U157,XT!Y157,XT!AC157,XT!AG157))=11), 0), 0)), "")</f>
        <v/>
      </c>
      <c r="AQ157" s="12" t="str">
        <f>IF(XT!$P157&gt;0,AP157,"")</f>
        <v/>
      </c>
      <c r="AR157" s="12" t="str">
        <f>IF(XT!$P157=0,AP157,"")</f>
        <v/>
      </c>
      <c r="AS157">
        <f>SUMPRODUCT((MONTH(CHOOSE({1,2,3,4},XT!U157,XT!Y157,XT!AC157,XT!AG157))=12)*(CHOOSE({1,2,3,4},XT!X157,XT!AB157,XT!AF157,XT!AJ157)))</f>
        <v>0</v>
      </c>
      <c r="AT157" t="str">
        <f>IFERROR(INDEX(CHOOSE({1,2,3,4}, DAY(XT!U157), DAY(XT!Y157), DAY(XT!AC157), DAY(XT!AG157)), MATCH(1, INDEX(--(MONTH(CHOOSE({1,2,3,4}, XT!U157,XT!Y157,XT!AC157,XT!AG157))=12), 0), 0)), "")</f>
        <v/>
      </c>
      <c r="AU157" s="12" t="str">
        <f>IF(XT!$P157&gt;0,AT157,"")</f>
        <v/>
      </c>
      <c r="AV157" s="12" t="str">
        <f>IF(XT!$P157=0,AT157,"")</f>
        <v/>
      </c>
    </row>
    <row r="158" spans="1:48">
      <c r="A158">
        <f>SUMPRODUCT((MONTH(CHOOSE({1,2,3,4},XT!U158,XT!Y158,XT!AC158,XT!AG158))=1)*(CHOOSE({1,2,3,4},XT!X158,XT!AB158,XT!AF158,XT!AJ158)))</f>
        <v>0</v>
      </c>
      <c r="B158">
        <f>IFERROR(INDEX(CHOOSE({1,2,3,4}, DAY(XT!U158), DAY(XT!Y158), DAY(XT!AC158), DAY(XT!AG158)), MATCH(1, INDEX(--(MONTH(CHOOSE({1,2,3,4}, XT!U158,XT!Y158,XT!AC158,XT!AG158))=1), 0), 0)), "")</f>
        <v>0</v>
      </c>
      <c r="C158" s="12" t="str">
        <f>IF(XT!$P158&gt;0,B158,"")</f>
        <v/>
      </c>
      <c r="D158" s="12">
        <f>IF(XT!$P158=0,B158,"")</f>
        <v>0</v>
      </c>
      <c r="E158">
        <f>SUMPRODUCT((MONTH(CHOOSE({1,2,3,4},XT!U158,XT!Y158,XT!AC158,XT!AG158))=2)*(CHOOSE({1,2,3,4},XT!X158,XT!AB158,XT!AF158,XT!AJ158)))</f>
        <v>0</v>
      </c>
      <c r="F158" t="str">
        <f>IFERROR(INDEX(CHOOSE({1,2,3,4}, DAY(XT!U158), DAY(XT!Y158), DAY(XT!AC158), DAY(XT!AG158)), MATCH(1, INDEX(--(MONTH(CHOOSE({1,2,3,4}, XT!U158,XT!Y158,XT!AC158,XT!AG158))=2), 0), 0)), "")</f>
        <v/>
      </c>
      <c r="G158" s="12" t="str">
        <f>IF(XT!$P158&gt;0,F158,"")</f>
        <v/>
      </c>
      <c r="H158" s="12" t="str">
        <f>IF(XT!$P158=0,F158,"")</f>
        <v/>
      </c>
      <c r="I158">
        <f>SUMPRODUCT((MONTH(CHOOSE({1,2,3,4},XT!U158,XT!Y158,XT!AC158,XT!AG158))=3)*(CHOOSE({1,2,3,4},XT!X158,XT!AB158,XT!AF158,XT!AJ158)))</f>
        <v>0</v>
      </c>
      <c r="J158" t="str">
        <f>IFERROR(INDEX(CHOOSE({1,2,3,4}, DAY(XT!U158), DAY(XT!Y158), DAY(XT!AC158), DAY(XT!AG158)), MATCH(1, INDEX(--(MONTH(CHOOSE({1,2,3,4}, XT!U158,XT!Y158,XT!AC158,XT!AG158))=3), 0), 0)), "")</f>
        <v/>
      </c>
      <c r="K158" s="12" t="str">
        <f>IF(XT!$P158&gt;0,J158,"")</f>
        <v/>
      </c>
      <c r="L158" s="12" t="str">
        <f>IF(XT!$P158=0,J158,"")</f>
        <v/>
      </c>
      <c r="M158">
        <f>SUMPRODUCT((MONTH(CHOOSE({1,2,3,4},XT!U158,XT!Y158,XT!AC158,XT!AG158))=4)*(CHOOSE({1,2,3,4},XT!X158,XT!AB158,XT!AF158,XT!AJ158)))</f>
        <v>0</v>
      </c>
      <c r="N158" t="str">
        <f>IFERROR(INDEX(CHOOSE({1,2,3,4}, DAY(XT!U158), DAY(XT!Y158), DAY(XT!AC158), DAY(XT!AG158)), MATCH(1, INDEX(--(MONTH(CHOOSE({1,2,3,4}, XT!U158,XT!Y158,XT!AC158,XT!AG158))=4), 0), 0)), "")</f>
        <v/>
      </c>
      <c r="O158" s="12" t="str">
        <f>IF(XT!$P158&gt;0,N158,"")</f>
        <v/>
      </c>
      <c r="P158" s="12" t="str">
        <f>IF(XT!$P158=0,N158,"")</f>
        <v/>
      </c>
      <c r="Q158">
        <f>SUMPRODUCT((MONTH(CHOOSE({1,2,3,4},XT!U158,XT!Y158,XT!AC158,XT!AG158))=5)*(CHOOSE({1,2,3,4},XT!X158,XT!AB158,XT!AF158,XT!AJ158)))</f>
        <v>0</v>
      </c>
      <c r="R158" t="str">
        <f>IFERROR(INDEX(CHOOSE({1,2,3,4}, DAY(XT!U158), DAY(XT!Y158), DAY(XT!AC158), DAY(XT!AG158)), MATCH(1, INDEX(--(MONTH(CHOOSE({1,2,3,4}, XT!U158,XT!Y158,XT!AC158,XT!AG158))=5), 0), 0)), "")</f>
        <v/>
      </c>
      <c r="S158" s="12" t="str">
        <f>IF(XT!$P158&gt;0,R158,"")</f>
        <v/>
      </c>
      <c r="T158" s="12" t="str">
        <f>IF(XT!$P158=0,R158,"")</f>
        <v/>
      </c>
      <c r="U158">
        <f>SUMPRODUCT((MONTH(CHOOSE({1,2,3,4},XT!U158,XT!Y158,XT!AC158,XT!AG158))=6)*(CHOOSE({1,2,3,4},XT!X158,XT!AB158,XT!AF158,XT!AJ158)))</f>
        <v>0</v>
      </c>
      <c r="V158" t="str">
        <f>IFERROR(INDEX(CHOOSE({1,2,3,4}, DAY(XT!U158), DAY(XT!Y158), DAY(XT!AC158), DAY(XT!AG158)), MATCH(1, INDEX(--(MONTH(CHOOSE({1,2,3,4}, XT!U158,XT!Y158,XT!AC158,XT!AG158))=6), 0), 0)), "")</f>
        <v/>
      </c>
      <c r="W158" s="12" t="str">
        <f>IF(XT!$P158&gt;0,V158,"")</f>
        <v/>
      </c>
      <c r="X158" s="12" t="str">
        <f>IF(XT!$P158=0,V158,"")</f>
        <v/>
      </c>
      <c r="Y158">
        <f>SUMPRODUCT((MONTH(CHOOSE({1,2,3,4},XT!U158,XT!Y158,XT!AC158,XT!AG158))=7)*(CHOOSE({1,2,3,4},XT!X158,XT!AB158,XT!AF158,XT!AJ158)))</f>
        <v>0</v>
      </c>
      <c r="Z158" t="str">
        <f>IFERROR(INDEX(CHOOSE({1,2,3,4}, DAY(XT!U158), DAY(XT!Y158), DAY(XT!AC158), DAY(XT!AG158)), MATCH(1, INDEX(--(MONTH(CHOOSE({1,2,3,4}, XT!U158,XT!Y158,XT!AC158,XT!AG158))=7), 0), 0)), "")</f>
        <v/>
      </c>
      <c r="AA158" s="12" t="str">
        <f>IF(XT!$P158&gt;0,Z158,"")</f>
        <v/>
      </c>
      <c r="AB158" s="12" t="str">
        <f>IF(XT!$P158=0,Z158,"")</f>
        <v/>
      </c>
      <c r="AC158">
        <f>SUMPRODUCT((MONTH(CHOOSE({1,2,3,4},XT!U158,XT!Y158,XT!AC158,XT!AG158))=8)*(CHOOSE({1,2,3,4},XT!X158,XT!AB158,XT!AF158,XT!AJ158)))</f>
        <v>0</v>
      </c>
      <c r="AD158" t="str">
        <f>IFERROR(INDEX(CHOOSE({1,2,3,4}, DAY(XT!U158), DAY(XT!Y158), DAY(XT!AC158), DAY(XT!AG158)), MATCH(1, INDEX(--(MONTH(CHOOSE({1,2,3,4}, XT!U158,XT!Y158,XT!AC158,XT!AG158))=8), 0), 0)), "")</f>
        <v/>
      </c>
      <c r="AE158" s="12" t="str">
        <f>IF(XT!$P158&gt;0,AD158,"")</f>
        <v/>
      </c>
      <c r="AF158" s="12" t="str">
        <f>IF(XT!$P158=0,AD158,"")</f>
        <v/>
      </c>
      <c r="AG158">
        <f>SUMPRODUCT((MONTH(CHOOSE({1,2,3,4},XT!U158,XT!Y158,XT!AC158,XT!AG158))=9)*(CHOOSE({1,2,3,4},XT!X158,XT!AB158,XT!AF158,XT!AJ158)))</f>
        <v>0</v>
      </c>
      <c r="AH158" t="str">
        <f>IFERROR(INDEX(CHOOSE({1,2,3,4}, DAY(XT!U158), DAY(XT!Y158), DAY(XT!AC158), DAY(XT!AG158)), MATCH(1, INDEX(--(MONTH(CHOOSE({1,2,3,4}, XT!U158,XT!Y158,XT!AC158,XT!AG158))=9), 0), 0)), "")</f>
        <v/>
      </c>
      <c r="AI158" s="12" t="str">
        <f>IF(XT!$P158&gt;0,AH158,"")</f>
        <v/>
      </c>
      <c r="AJ158" s="12" t="str">
        <f>IF(XT!$P158=0,AH158,"")</f>
        <v/>
      </c>
      <c r="AK158">
        <f>SUMPRODUCT((MONTH(CHOOSE({1,2,3,4},XT!U158,XT!Y158,XT!AC158,XT!AG158))=10)*(CHOOSE({1,2,3,4},XT!X158,XT!AB158,XT!AF158,XT!AJ158)))</f>
        <v>0</v>
      </c>
      <c r="AL158" t="str">
        <f>IFERROR(INDEX(CHOOSE({1,2,3,4}, DAY(XT!U158), DAY(XT!Y158), DAY(XT!AC158), DAY(XT!AG158)), MATCH(1, INDEX(--(MONTH(CHOOSE({1,2,3,4}, XT!U158,XT!Y158,XT!AC158,XT!AG158))=10), 0), 0)), "")</f>
        <v/>
      </c>
      <c r="AM158" s="12" t="str">
        <f>IF(XT!$P158&gt;0,AL158,"")</f>
        <v/>
      </c>
      <c r="AN158" s="12" t="str">
        <f>IF(XT!$P158=0,AL158,"")</f>
        <v/>
      </c>
      <c r="AO158">
        <f>SUMPRODUCT((MONTH(CHOOSE({1,2,3,4},XT!U158,XT!Y158,XT!AC158,XT!AG158))=11)*(CHOOSE({1,2,3,4},XT!X158,XT!AB158,XT!AF158,XT!AJ158)))</f>
        <v>0</v>
      </c>
      <c r="AP158" t="str">
        <f>IFERROR(INDEX(CHOOSE({1,2,3,4}, DAY(XT!U158), DAY(XT!Y158), DAY(XT!AC158), DAY(XT!AG158)), MATCH(1, INDEX(--(MONTH(CHOOSE({1,2,3,4}, XT!U158,XT!Y158,XT!AC158,XT!AG158))=11), 0), 0)), "")</f>
        <v/>
      </c>
      <c r="AQ158" s="12" t="str">
        <f>IF(XT!$P158&gt;0,AP158,"")</f>
        <v/>
      </c>
      <c r="AR158" s="12" t="str">
        <f>IF(XT!$P158=0,AP158,"")</f>
        <v/>
      </c>
      <c r="AS158">
        <f>SUMPRODUCT((MONTH(CHOOSE({1,2,3,4},XT!U158,XT!Y158,XT!AC158,XT!AG158))=12)*(CHOOSE({1,2,3,4},XT!X158,XT!AB158,XT!AF158,XT!AJ158)))</f>
        <v>0</v>
      </c>
      <c r="AT158" t="str">
        <f>IFERROR(INDEX(CHOOSE({1,2,3,4}, DAY(XT!U158), DAY(XT!Y158), DAY(XT!AC158), DAY(XT!AG158)), MATCH(1, INDEX(--(MONTH(CHOOSE({1,2,3,4}, XT!U158,XT!Y158,XT!AC158,XT!AG158))=12), 0), 0)), "")</f>
        <v/>
      </c>
      <c r="AU158" s="12" t="str">
        <f>IF(XT!$P158&gt;0,AT158,"")</f>
        <v/>
      </c>
      <c r="AV158" s="12" t="str">
        <f>IF(XT!$P158=0,AT158,"")</f>
        <v/>
      </c>
    </row>
    <row r="159" spans="1:48">
      <c r="A159">
        <f>SUMPRODUCT((MONTH(CHOOSE({1,2,3,4},XT!U159,XT!Y159,XT!AC159,XT!AG159))=1)*(CHOOSE({1,2,3,4},XT!X159,XT!AB159,XT!AF159,XT!AJ159)))</f>
        <v>0</v>
      </c>
      <c r="B159">
        <f>IFERROR(INDEX(CHOOSE({1,2,3,4}, DAY(XT!U159), DAY(XT!Y159), DAY(XT!AC159), DAY(XT!AG159)), MATCH(1, INDEX(--(MONTH(CHOOSE({1,2,3,4}, XT!U159,XT!Y159,XT!AC159,XT!AG159))=1), 0), 0)), "")</f>
        <v>0</v>
      </c>
      <c r="C159" s="12" t="str">
        <f>IF(XT!$P159&gt;0,B159,"")</f>
        <v/>
      </c>
      <c r="D159" s="12">
        <f>IF(XT!$P159=0,B159,"")</f>
        <v>0</v>
      </c>
      <c r="E159">
        <f>SUMPRODUCT((MONTH(CHOOSE({1,2,3,4},XT!U159,XT!Y159,XT!AC159,XT!AG159))=2)*(CHOOSE({1,2,3,4},XT!X159,XT!AB159,XT!AF159,XT!AJ159)))</f>
        <v>0</v>
      </c>
      <c r="F159" t="str">
        <f>IFERROR(INDEX(CHOOSE({1,2,3,4}, DAY(XT!U159), DAY(XT!Y159), DAY(XT!AC159), DAY(XT!AG159)), MATCH(1, INDEX(--(MONTH(CHOOSE({1,2,3,4}, XT!U159,XT!Y159,XT!AC159,XT!AG159))=2), 0), 0)), "")</f>
        <v/>
      </c>
      <c r="G159" s="12" t="str">
        <f>IF(XT!$P159&gt;0,F159,"")</f>
        <v/>
      </c>
      <c r="H159" s="12" t="str">
        <f>IF(XT!$P159=0,F159,"")</f>
        <v/>
      </c>
      <c r="I159">
        <f>SUMPRODUCT((MONTH(CHOOSE({1,2,3,4},XT!U159,XT!Y159,XT!AC159,XT!AG159))=3)*(CHOOSE({1,2,3,4},XT!X159,XT!AB159,XT!AF159,XT!AJ159)))</f>
        <v>0</v>
      </c>
      <c r="J159" t="str">
        <f>IFERROR(INDEX(CHOOSE({1,2,3,4}, DAY(XT!U159), DAY(XT!Y159), DAY(XT!AC159), DAY(XT!AG159)), MATCH(1, INDEX(--(MONTH(CHOOSE({1,2,3,4}, XT!U159,XT!Y159,XT!AC159,XT!AG159))=3), 0), 0)), "")</f>
        <v/>
      </c>
      <c r="K159" s="12" t="str">
        <f>IF(XT!$P159&gt;0,J159,"")</f>
        <v/>
      </c>
      <c r="L159" s="12" t="str">
        <f>IF(XT!$P159=0,J159,"")</f>
        <v/>
      </c>
      <c r="M159">
        <f>SUMPRODUCT((MONTH(CHOOSE({1,2,3,4},XT!U159,XT!Y159,XT!AC159,XT!AG159))=4)*(CHOOSE({1,2,3,4},XT!X159,XT!AB159,XT!AF159,XT!AJ159)))</f>
        <v>0</v>
      </c>
      <c r="N159" t="str">
        <f>IFERROR(INDEX(CHOOSE({1,2,3,4}, DAY(XT!U159), DAY(XT!Y159), DAY(XT!AC159), DAY(XT!AG159)), MATCH(1, INDEX(--(MONTH(CHOOSE({1,2,3,4}, XT!U159,XT!Y159,XT!AC159,XT!AG159))=4), 0), 0)), "")</f>
        <v/>
      </c>
      <c r="O159" s="12" t="str">
        <f>IF(XT!$P159&gt;0,N159,"")</f>
        <v/>
      </c>
      <c r="P159" s="12" t="str">
        <f>IF(XT!$P159=0,N159,"")</f>
        <v/>
      </c>
      <c r="Q159">
        <f>SUMPRODUCT((MONTH(CHOOSE({1,2,3,4},XT!U159,XT!Y159,XT!AC159,XT!AG159))=5)*(CHOOSE({1,2,3,4},XT!X159,XT!AB159,XT!AF159,XT!AJ159)))</f>
        <v>0</v>
      </c>
      <c r="R159" t="str">
        <f>IFERROR(INDEX(CHOOSE({1,2,3,4}, DAY(XT!U159), DAY(XT!Y159), DAY(XT!AC159), DAY(XT!AG159)), MATCH(1, INDEX(--(MONTH(CHOOSE({1,2,3,4}, XT!U159,XT!Y159,XT!AC159,XT!AG159))=5), 0), 0)), "")</f>
        <v/>
      </c>
      <c r="S159" s="12" t="str">
        <f>IF(XT!$P159&gt;0,R159,"")</f>
        <v/>
      </c>
      <c r="T159" s="12" t="str">
        <f>IF(XT!$P159=0,R159,"")</f>
        <v/>
      </c>
      <c r="U159">
        <f>SUMPRODUCT((MONTH(CHOOSE({1,2,3,4},XT!U159,XT!Y159,XT!AC159,XT!AG159))=6)*(CHOOSE({1,2,3,4},XT!X159,XT!AB159,XT!AF159,XT!AJ159)))</f>
        <v>0</v>
      </c>
      <c r="V159" t="str">
        <f>IFERROR(INDEX(CHOOSE({1,2,3,4}, DAY(XT!U159), DAY(XT!Y159), DAY(XT!AC159), DAY(XT!AG159)), MATCH(1, INDEX(--(MONTH(CHOOSE({1,2,3,4}, XT!U159,XT!Y159,XT!AC159,XT!AG159))=6), 0), 0)), "")</f>
        <v/>
      </c>
      <c r="W159" s="12" t="str">
        <f>IF(XT!$P159&gt;0,V159,"")</f>
        <v/>
      </c>
      <c r="X159" s="12" t="str">
        <f>IF(XT!$P159=0,V159,"")</f>
        <v/>
      </c>
      <c r="Y159">
        <f>SUMPRODUCT((MONTH(CHOOSE({1,2,3,4},XT!U159,XT!Y159,XT!AC159,XT!AG159))=7)*(CHOOSE({1,2,3,4},XT!X159,XT!AB159,XT!AF159,XT!AJ159)))</f>
        <v>0</v>
      </c>
      <c r="Z159" t="str">
        <f>IFERROR(INDEX(CHOOSE({1,2,3,4}, DAY(XT!U159), DAY(XT!Y159), DAY(XT!AC159), DAY(XT!AG159)), MATCH(1, INDEX(--(MONTH(CHOOSE({1,2,3,4}, XT!U159,XT!Y159,XT!AC159,XT!AG159))=7), 0), 0)), "")</f>
        <v/>
      </c>
      <c r="AA159" s="12" t="str">
        <f>IF(XT!$P159&gt;0,Z159,"")</f>
        <v/>
      </c>
      <c r="AB159" s="12" t="str">
        <f>IF(XT!$P159=0,Z159,"")</f>
        <v/>
      </c>
      <c r="AC159">
        <f>SUMPRODUCT((MONTH(CHOOSE({1,2,3,4},XT!U159,XT!Y159,XT!AC159,XT!AG159))=8)*(CHOOSE({1,2,3,4},XT!X159,XT!AB159,XT!AF159,XT!AJ159)))</f>
        <v>0</v>
      </c>
      <c r="AD159" t="str">
        <f>IFERROR(INDEX(CHOOSE({1,2,3,4}, DAY(XT!U159), DAY(XT!Y159), DAY(XT!AC159), DAY(XT!AG159)), MATCH(1, INDEX(--(MONTH(CHOOSE({1,2,3,4}, XT!U159,XT!Y159,XT!AC159,XT!AG159))=8), 0), 0)), "")</f>
        <v/>
      </c>
      <c r="AE159" s="12" t="str">
        <f>IF(XT!$P159&gt;0,AD159,"")</f>
        <v/>
      </c>
      <c r="AF159" s="12" t="str">
        <f>IF(XT!$P159=0,AD159,"")</f>
        <v/>
      </c>
      <c r="AG159">
        <f>SUMPRODUCT((MONTH(CHOOSE({1,2,3,4},XT!U159,XT!Y159,XT!AC159,XT!AG159))=9)*(CHOOSE({1,2,3,4},XT!X159,XT!AB159,XT!AF159,XT!AJ159)))</f>
        <v>0</v>
      </c>
      <c r="AH159" t="str">
        <f>IFERROR(INDEX(CHOOSE({1,2,3,4}, DAY(XT!U159), DAY(XT!Y159), DAY(XT!AC159), DAY(XT!AG159)), MATCH(1, INDEX(--(MONTH(CHOOSE({1,2,3,4}, XT!U159,XT!Y159,XT!AC159,XT!AG159))=9), 0), 0)), "")</f>
        <v/>
      </c>
      <c r="AI159" s="12" t="str">
        <f>IF(XT!$P159&gt;0,AH159,"")</f>
        <v/>
      </c>
      <c r="AJ159" s="12" t="str">
        <f>IF(XT!$P159=0,AH159,"")</f>
        <v/>
      </c>
      <c r="AK159">
        <f>SUMPRODUCT((MONTH(CHOOSE({1,2,3,4},XT!U159,XT!Y159,XT!AC159,XT!AG159))=10)*(CHOOSE({1,2,3,4},XT!X159,XT!AB159,XT!AF159,XT!AJ159)))</f>
        <v>0</v>
      </c>
      <c r="AL159" t="str">
        <f>IFERROR(INDEX(CHOOSE({1,2,3,4}, DAY(XT!U159), DAY(XT!Y159), DAY(XT!AC159), DAY(XT!AG159)), MATCH(1, INDEX(--(MONTH(CHOOSE({1,2,3,4}, XT!U159,XT!Y159,XT!AC159,XT!AG159))=10), 0), 0)), "")</f>
        <v/>
      </c>
      <c r="AM159" s="12" t="str">
        <f>IF(XT!$P159&gt;0,AL159,"")</f>
        <v/>
      </c>
      <c r="AN159" s="12" t="str">
        <f>IF(XT!$P159=0,AL159,"")</f>
        <v/>
      </c>
      <c r="AO159">
        <f>SUMPRODUCT((MONTH(CHOOSE({1,2,3,4},XT!U159,XT!Y159,XT!AC159,XT!AG159))=11)*(CHOOSE({1,2,3,4},XT!X159,XT!AB159,XT!AF159,XT!AJ159)))</f>
        <v>0</v>
      </c>
      <c r="AP159" t="str">
        <f>IFERROR(INDEX(CHOOSE({1,2,3,4}, DAY(XT!U159), DAY(XT!Y159), DAY(XT!AC159), DAY(XT!AG159)), MATCH(1, INDEX(--(MONTH(CHOOSE({1,2,3,4}, XT!U159,XT!Y159,XT!AC159,XT!AG159))=11), 0), 0)), "")</f>
        <v/>
      </c>
      <c r="AQ159" s="12" t="str">
        <f>IF(XT!$P159&gt;0,AP159,"")</f>
        <v/>
      </c>
      <c r="AR159" s="12" t="str">
        <f>IF(XT!$P159=0,AP159,"")</f>
        <v/>
      </c>
      <c r="AS159">
        <f>SUMPRODUCT((MONTH(CHOOSE({1,2,3,4},XT!U159,XT!Y159,XT!AC159,XT!AG159))=12)*(CHOOSE({1,2,3,4},XT!X159,XT!AB159,XT!AF159,XT!AJ159)))</f>
        <v>0</v>
      </c>
      <c r="AT159" t="str">
        <f>IFERROR(INDEX(CHOOSE({1,2,3,4}, DAY(XT!U159), DAY(XT!Y159), DAY(XT!AC159), DAY(XT!AG159)), MATCH(1, INDEX(--(MONTH(CHOOSE({1,2,3,4}, XT!U159,XT!Y159,XT!AC159,XT!AG159))=12), 0), 0)), "")</f>
        <v/>
      </c>
      <c r="AU159" s="12" t="str">
        <f>IF(XT!$P159&gt;0,AT159,"")</f>
        <v/>
      </c>
      <c r="AV159" s="12" t="str">
        <f>IF(XT!$P159=0,AT159,"")</f>
        <v/>
      </c>
    </row>
    <row r="160" spans="1:48">
      <c r="A160">
        <f>SUMPRODUCT((MONTH(CHOOSE({1,2,3,4},XT!U160,XT!Y160,XT!AC160,XT!AG160))=1)*(CHOOSE({1,2,3,4},XT!X160,XT!AB160,XT!AF160,XT!AJ160)))</f>
        <v>0</v>
      </c>
      <c r="B160">
        <f>IFERROR(INDEX(CHOOSE({1,2,3,4}, DAY(XT!U160), DAY(XT!Y160), DAY(XT!AC160), DAY(XT!AG160)), MATCH(1, INDEX(--(MONTH(CHOOSE({1,2,3,4}, XT!U160,XT!Y160,XT!AC160,XT!AG160))=1), 0), 0)), "")</f>
        <v>0</v>
      </c>
      <c r="C160" s="12" t="str">
        <f>IF(XT!$P160&gt;0,B160,"")</f>
        <v/>
      </c>
      <c r="D160" s="12">
        <f>IF(XT!$P160=0,B160,"")</f>
        <v>0</v>
      </c>
      <c r="E160">
        <f>SUMPRODUCT((MONTH(CHOOSE({1,2,3,4},XT!U160,XT!Y160,XT!AC160,XT!AG160))=2)*(CHOOSE({1,2,3,4},XT!X160,XT!AB160,XT!AF160,XT!AJ160)))</f>
        <v>0</v>
      </c>
      <c r="F160" t="str">
        <f>IFERROR(INDEX(CHOOSE({1,2,3,4}, DAY(XT!U160), DAY(XT!Y160), DAY(XT!AC160), DAY(XT!AG160)), MATCH(1, INDEX(--(MONTH(CHOOSE({1,2,3,4}, XT!U160,XT!Y160,XT!AC160,XT!AG160))=2), 0), 0)), "")</f>
        <v/>
      </c>
      <c r="G160" s="12" t="str">
        <f>IF(XT!$P160&gt;0,F160,"")</f>
        <v/>
      </c>
      <c r="H160" s="12" t="str">
        <f>IF(XT!$P160=0,F160,"")</f>
        <v/>
      </c>
      <c r="I160">
        <f>SUMPRODUCT((MONTH(CHOOSE({1,2,3,4},XT!U160,XT!Y160,XT!AC160,XT!AG160))=3)*(CHOOSE({1,2,3,4},XT!X160,XT!AB160,XT!AF160,XT!AJ160)))</f>
        <v>0</v>
      </c>
      <c r="J160" t="str">
        <f>IFERROR(INDEX(CHOOSE({1,2,3,4}, DAY(XT!U160), DAY(XT!Y160), DAY(XT!AC160), DAY(XT!AG160)), MATCH(1, INDEX(--(MONTH(CHOOSE({1,2,3,4}, XT!U160,XT!Y160,XT!AC160,XT!AG160))=3), 0), 0)), "")</f>
        <v/>
      </c>
      <c r="K160" s="12" t="str">
        <f>IF(XT!$P160&gt;0,J160,"")</f>
        <v/>
      </c>
      <c r="L160" s="12" t="str">
        <f>IF(XT!$P160=0,J160,"")</f>
        <v/>
      </c>
      <c r="M160">
        <f>SUMPRODUCT((MONTH(CHOOSE({1,2,3,4},XT!U160,XT!Y160,XT!AC160,XT!AG160))=4)*(CHOOSE({1,2,3,4},XT!X160,XT!AB160,XT!AF160,XT!AJ160)))</f>
        <v>0</v>
      </c>
      <c r="N160" t="str">
        <f>IFERROR(INDEX(CHOOSE({1,2,3,4}, DAY(XT!U160), DAY(XT!Y160), DAY(XT!AC160), DAY(XT!AG160)), MATCH(1, INDEX(--(MONTH(CHOOSE({1,2,3,4}, XT!U160,XT!Y160,XT!AC160,XT!AG160))=4), 0), 0)), "")</f>
        <v/>
      </c>
      <c r="O160" s="12" t="str">
        <f>IF(XT!$P160&gt;0,N160,"")</f>
        <v/>
      </c>
      <c r="P160" s="12" t="str">
        <f>IF(XT!$P160=0,N160,"")</f>
        <v/>
      </c>
      <c r="Q160">
        <f>SUMPRODUCT((MONTH(CHOOSE({1,2,3,4},XT!U160,XT!Y160,XT!AC160,XT!AG160))=5)*(CHOOSE({1,2,3,4},XT!X160,XT!AB160,XT!AF160,XT!AJ160)))</f>
        <v>0</v>
      </c>
      <c r="R160" t="str">
        <f>IFERROR(INDEX(CHOOSE({1,2,3,4}, DAY(XT!U160), DAY(XT!Y160), DAY(XT!AC160), DAY(XT!AG160)), MATCH(1, INDEX(--(MONTH(CHOOSE({1,2,3,4}, XT!U160,XT!Y160,XT!AC160,XT!AG160))=5), 0), 0)), "")</f>
        <v/>
      </c>
      <c r="S160" s="12" t="str">
        <f>IF(XT!$P160&gt;0,R160,"")</f>
        <v/>
      </c>
      <c r="T160" s="12" t="str">
        <f>IF(XT!$P160=0,R160,"")</f>
        <v/>
      </c>
      <c r="U160">
        <f>SUMPRODUCT((MONTH(CHOOSE({1,2,3,4},XT!U160,XT!Y160,XT!AC160,XT!AG160))=6)*(CHOOSE({1,2,3,4},XT!X160,XT!AB160,XT!AF160,XT!AJ160)))</f>
        <v>0</v>
      </c>
      <c r="V160" t="str">
        <f>IFERROR(INDEX(CHOOSE({1,2,3,4}, DAY(XT!U160), DAY(XT!Y160), DAY(XT!AC160), DAY(XT!AG160)), MATCH(1, INDEX(--(MONTH(CHOOSE({1,2,3,4}, XT!U160,XT!Y160,XT!AC160,XT!AG160))=6), 0), 0)), "")</f>
        <v/>
      </c>
      <c r="W160" s="12" t="str">
        <f>IF(XT!$P160&gt;0,V160,"")</f>
        <v/>
      </c>
      <c r="X160" s="12" t="str">
        <f>IF(XT!$P160=0,V160,"")</f>
        <v/>
      </c>
      <c r="Y160">
        <f>SUMPRODUCT((MONTH(CHOOSE({1,2,3,4},XT!U160,XT!Y160,XT!AC160,XT!AG160))=7)*(CHOOSE({1,2,3,4},XT!X160,XT!AB160,XT!AF160,XT!AJ160)))</f>
        <v>0</v>
      </c>
      <c r="Z160" t="str">
        <f>IFERROR(INDEX(CHOOSE({1,2,3,4}, DAY(XT!U160), DAY(XT!Y160), DAY(XT!AC160), DAY(XT!AG160)), MATCH(1, INDEX(--(MONTH(CHOOSE({1,2,3,4}, XT!U160,XT!Y160,XT!AC160,XT!AG160))=7), 0), 0)), "")</f>
        <v/>
      </c>
      <c r="AA160" s="12" t="str">
        <f>IF(XT!$P160&gt;0,Z160,"")</f>
        <v/>
      </c>
      <c r="AB160" s="12" t="str">
        <f>IF(XT!$P160=0,Z160,"")</f>
        <v/>
      </c>
      <c r="AC160">
        <f>SUMPRODUCT((MONTH(CHOOSE({1,2,3,4},XT!U160,XT!Y160,XT!AC160,XT!AG160))=8)*(CHOOSE({1,2,3,4},XT!X160,XT!AB160,XT!AF160,XT!AJ160)))</f>
        <v>0</v>
      </c>
      <c r="AD160" t="str">
        <f>IFERROR(INDEX(CHOOSE({1,2,3,4}, DAY(XT!U160), DAY(XT!Y160), DAY(XT!AC160), DAY(XT!AG160)), MATCH(1, INDEX(--(MONTH(CHOOSE({1,2,3,4}, XT!U160,XT!Y160,XT!AC160,XT!AG160))=8), 0), 0)), "")</f>
        <v/>
      </c>
      <c r="AE160" s="12" t="str">
        <f>IF(XT!$P160&gt;0,AD160,"")</f>
        <v/>
      </c>
      <c r="AF160" s="12" t="str">
        <f>IF(XT!$P160=0,AD160,"")</f>
        <v/>
      </c>
      <c r="AG160">
        <f>SUMPRODUCT((MONTH(CHOOSE({1,2,3,4},XT!U160,XT!Y160,XT!AC160,XT!AG160))=9)*(CHOOSE({1,2,3,4},XT!X160,XT!AB160,XT!AF160,XT!AJ160)))</f>
        <v>0</v>
      </c>
      <c r="AH160" t="str">
        <f>IFERROR(INDEX(CHOOSE({1,2,3,4}, DAY(XT!U160), DAY(XT!Y160), DAY(XT!AC160), DAY(XT!AG160)), MATCH(1, INDEX(--(MONTH(CHOOSE({1,2,3,4}, XT!U160,XT!Y160,XT!AC160,XT!AG160))=9), 0), 0)), "")</f>
        <v/>
      </c>
      <c r="AI160" s="12" t="str">
        <f>IF(XT!$P160&gt;0,AH160,"")</f>
        <v/>
      </c>
      <c r="AJ160" s="12" t="str">
        <f>IF(XT!$P160=0,AH160,"")</f>
        <v/>
      </c>
      <c r="AK160">
        <f>SUMPRODUCT((MONTH(CHOOSE({1,2,3,4},XT!U160,XT!Y160,XT!AC160,XT!AG160))=10)*(CHOOSE({1,2,3,4},XT!X160,XT!AB160,XT!AF160,XT!AJ160)))</f>
        <v>0</v>
      </c>
      <c r="AL160" t="str">
        <f>IFERROR(INDEX(CHOOSE({1,2,3,4}, DAY(XT!U160), DAY(XT!Y160), DAY(XT!AC160), DAY(XT!AG160)), MATCH(1, INDEX(--(MONTH(CHOOSE({1,2,3,4}, XT!U160,XT!Y160,XT!AC160,XT!AG160))=10), 0), 0)), "")</f>
        <v/>
      </c>
      <c r="AM160" s="12" t="str">
        <f>IF(XT!$P160&gt;0,AL160,"")</f>
        <v/>
      </c>
      <c r="AN160" s="12" t="str">
        <f>IF(XT!$P160=0,AL160,"")</f>
        <v/>
      </c>
      <c r="AO160">
        <f>SUMPRODUCT((MONTH(CHOOSE({1,2,3,4},XT!U160,XT!Y160,XT!AC160,XT!AG160))=11)*(CHOOSE({1,2,3,4},XT!X160,XT!AB160,XT!AF160,XT!AJ160)))</f>
        <v>0</v>
      </c>
      <c r="AP160" t="str">
        <f>IFERROR(INDEX(CHOOSE({1,2,3,4}, DAY(XT!U160), DAY(XT!Y160), DAY(XT!AC160), DAY(XT!AG160)), MATCH(1, INDEX(--(MONTH(CHOOSE({1,2,3,4}, XT!U160,XT!Y160,XT!AC160,XT!AG160))=11), 0), 0)), "")</f>
        <v/>
      </c>
      <c r="AQ160" s="12" t="str">
        <f>IF(XT!$P160&gt;0,AP160,"")</f>
        <v/>
      </c>
      <c r="AR160" s="12" t="str">
        <f>IF(XT!$P160=0,AP160,"")</f>
        <v/>
      </c>
      <c r="AS160">
        <f>SUMPRODUCT((MONTH(CHOOSE({1,2,3,4},XT!U160,XT!Y160,XT!AC160,XT!AG160))=12)*(CHOOSE({1,2,3,4},XT!X160,XT!AB160,XT!AF160,XT!AJ160)))</f>
        <v>0</v>
      </c>
      <c r="AT160" t="str">
        <f>IFERROR(INDEX(CHOOSE({1,2,3,4}, DAY(XT!U160), DAY(XT!Y160), DAY(XT!AC160), DAY(XT!AG160)), MATCH(1, INDEX(--(MONTH(CHOOSE({1,2,3,4}, XT!U160,XT!Y160,XT!AC160,XT!AG160))=12), 0), 0)), "")</f>
        <v/>
      </c>
      <c r="AU160" s="12" t="str">
        <f>IF(XT!$P160&gt;0,AT160,"")</f>
        <v/>
      </c>
      <c r="AV160" s="12" t="str">
        <f>IF(XT!$P160=0,AT160,"")</f>
        <v/>
      </c>
    </row>
    <row r="161" spans="1:48">
      <c r="A161">
        <f>SUMPRODUCT((MONTH(CHOOSE({1,2,3,4},XT!U161,XT!Y161,XT!AC161,XT!AG161))=1)*(CHOOSE({1,2,3,4},XT!X161,XT!AB161,XT!AF161,XT!AJ161)))</f>
        <v>0</v>
      </c>
      <c r="B161">
        <f>IFERROR(INDEX(CHOOSE({1,2,3,4}, DAY(XT!U161), DAY(XT!Y161), DAY(XT!AC161), DAY(XT!AG161)), MATCH(1, INDEX(--(MONTH(CHOOSE({1,2,3,4}, XT!U161,XT!Y161,XT!AC161,XT!AG161))=1), 0), 0)), "")</f>
        <v>0</v>
      </c>
      <c r="C161" s="12" t="str">
        <f>IF(XT!$P161&gt;0,B161,"")</f>
        <v/>
      </c>
      <c r="D161" s="12">
        <f>IF(XT!$P161=0,B161,"")</f>
        <v>0</v>
      </c>
      <c r="E161">
        <f>SUMPRODUCT((MONTH(CHOOSE({1,2,3,4},XT!U161,XT!Y161,XT!AC161,XT!AG161))=2)*(CHOOSE({1,2,3,4},XT!X161,XT!AB161,XT!AF161,XT!AJ161)))</f>
        <v>0</v>
      </c>
      <c r="F161" t="str">
        <f>IFERROR(INDEX(CHOOSE({1,2,3,4}, DAY(XT!U161), DAY(XT!Y161), DAY(XT!AC161), DAY(XT!AG161)), MATCH(1, INDEX(--(MONTH(CHOOSE({1,2,3,4}, XT!U161,XT!Y161,XT!AC161,XT!AG161))=2), 0), 0)), "")</f>
        <v/>
      </c>
      <c r="G161" s="12" t="str">
        <f>IF(XT!$P161&gt;0,F161,"")</f>
        <v/>
      </c>
      <c r="H161" s="12" t="str">
        <f>IF(XT!$P161=0,F161,"")</f>
        <v/>
      </c>
      <c r="I161">
        <f>SUMPRODUCT((MONTH(CHOOSE({1,2,3,4},XT!U161,XT!Y161,XT!AC161,XT!AG161))=3)*(CHOOSE({1,2,3,4},XT!X161,XT!AB161,XT!AF161,XT!AJ161)))</f>
        <v>0</v>
      </c>
      <c r="J161" t="str">
        <f>IFERROR(INDEX(CHOOSE({1,2,3,4}, DAY(XT!U161), DAY(XT!Y161), DAY(XT!AC161), DAY(XT!AG161)), MATCH(1, INDEX(--(MONTH(CHOOSE({1,2,3,4}, XT!U161,XT!Y161,XT!AC161,XT!AG161))=3), 0), 0)), "")</f>
        <v/>
      </c>
      <c r="K161" s="12" t="str">
        <f>IF(XT!$P161&gt;0,J161,"")</f>
        <v/>
      </c>
      <c r="L161" s="12" t="str">
        <f>IF(XT!$P161=0,J161,"")</f>
        <v/>
      </c>
      <c r="M161">
        <f>SUMPRODUCT((MONTH(CHOOSE({1,2,3,4},XT!U161,XT!Y161,XT!AC161,XT!AG161))=4)*(CHOOSE({1,2,3,4},XT!X161,XT!AB161,XT!AF161,XT!AJ161)))</f>
        <v>0</v>
      </c>
      <c r="N161" t="str">
        <f>IFERROR(INDEX(CHOOSE({1,2,3,4}, DAY(XT!U161), DAY(XT!Y161), DAY(XT!AC161), DAY(XT!AG161)), MATCH(1, INDEX(--(MONTH(CHOOSE({1,2,3,4}, XT!U161,XT!Y161,XT!AC161,XT!AG161))=4), 0), 0)), "")</f>
        <v/>
      </c>
      <c r="O161" s="12" t="str">
        <f>IF(XT!$P161&gt;0,N161,"")</f>
        <v/>
      </c>
      <c r="P161" s="12" t="str">
        <f>IF(XT!$P161=0,N161,"")</f>
        <v/>
      </c>
      <c r="Q161">
        <f>SUMPRODUCT((MONTH(CHOOSE({1,2,3,4},XT!U161,XT!Y161,XT!AC161,XT!AG161))=5)*(CHOOSE({1,2,3,4},XT!X161,XT!AB161,XT!AF161,XT!AJ161)))</f>
        <v>0</v>
      </c>
      <c r="R161" t="str">
        <f>IFERROR(INDEX(CHOOSE({1,2,3,4}, DAY(XT!U161), DAY(XT!Y161), DAY(XT!AC161), DAY(XT!AG161)), MATCH(1, INDEX(--(MONTH(CHOOSE({1,2,3,4}, XT!U161,XT!Y161,XT!AC161,XT!AG161))=5), 0), 0)), "")</f>
        <v/>
      </c>
      <c r="S161" s="12" t="str">
        <f>IF(XT!$P161&gt;0,R161,"")</f>
        <v/>
      </c>
      <c r="T161" s="12" t="str">
        <f>IF(XT!$P161=0,R161,"")</f>
        <v/>
      </c>
      <c r="U161">
        <f>SUMPRODUCT((MONTH(CHOOSE({1,2,3,4},XT!U161,XT!Y161,XT!AC161,XT!AG161))=6)*(CHOOSE({1,2,3,4},XT!X161,XT!AB161,XT!AF161,XT!AJ161)))</f>
        <v>0</v>
      </c>
      <c r="V161" t="str">
        <f>IFERROR(INDEX(CHOOSE({1,2,3,4}, DAY(XT!U161), DAY(XT!Y161), DAY(XT!AC161), DAY(XT!AG161)), MATCH(1, INDEX(--(MONTH(CHOOSE({1,2,3,4}, XT!U161,XT!Y161,XT!AC161,XT!AG161))=6), 0), 0)), "")</f>
        <v/>
      </c>
      <c r="W161" s="12" t="str">
        <f>IF(XT!$P161&gt;0,V161,"")</f>
        <v/>
      </c>
      <c r="X161" s="12" t="str">
        <f>IF(XT!$P161=0,V161,"")</f>
        <v/>
      </c>
      <c r="Y161">
        <f>SUMPRODUCT((MONTH(CHOOSE({1,2,3,4},XT!U161,XT!Y161,XT!AC161,XT!AG161))=7)*(CHOOSE({1,2,3,4},XT!X161,XT!AB161,XT!AF161,XT!AJ161)))</f>
        <v>0</v>
      </c>
      <c r="Z161" t="str">
        <f>IFERROR(INDEX(CHOOSE({1,2,3,4}, DAY(XT!U161), DAY(XT!Y161), DAY(XT!AC161), DAY(XT!AG161)), MATCH(1, INDEX(--(MONTH(CHOOSE({1,2,3,4}, XT!U161,XT!Y161,XT!AC161,XT!AG161))=7), 0), 0)), "")</f>
        <v/>
      </c>
      <c r="AA161" s="12" t="str">
        <f>IF(XT!$P161&gt;0,Z161,"")</f>
        <v/>
      </c>
      <c r="AB161" s="12" t="str">
        <f>IF(XT!$P161=0,Z161,"")</f>
        <v/>
      </c>
      <c r="AC161">
        <f>SUMPRODUCT((MONTH(CHOOSE({1,2,3,4},XT!U161,XT!Y161,XT!AC161,XT!AG161))=8)*(CHOOSE({1,2,3,4},XT!X161,XT!AB161,XT!AF161,XT!AJ161)))</f>
        <v>0</v>
      </c>
      <c r="AD161" t="str">
        <f>IFERROR(INDEX(CHOOSE({1,2,3,4}, DAY(XT!U161), DAY(XT!Y161), DAY(XT!AC161), DAY(XT!AG161)), MATCH(1, INDEX(--(MONTH(CHOOSE({1,2,3,4}, XT!U161,XT!Y161,XT!AC161,XT!AG161))=8), 0), 0)), "")</f>
        <v/>
      </c>
      <c r="AE161" s="12" t="str">
        <f>IF(XT!$P161&gt;0,AD161,"")</f>
        <v/>
      </c>
      <c r="AF161" s="12" t="str">
        <f>IF(XT!$P161=0,AD161,"")</f>
        <v/>
      </c>
      <c r="AG161">
        <f>SUMPRODUCT((MONTH(CHOOSE({1,2,3,4},XT!U161,XT!Y161,XT!AC161,XT!AG161))=9)*(CHOOSE({1,2,3,4},XT!X161,XT!AB161,XT!AF161,XT!AJ161)))</f>
        <v>0</v>
      </c>
      <c r="AH161" t="str">
        <f>IFERROR(INDEX(CHOOSE({1,2,3,4}, DAY(XT!U161), DAY(XT!Y161), DAY(XT!AC161), DAY(XT!AG161)), MATCH(1, INDEX(--(MONTH(CHOOSE({1,2,3,4}, XT!U161,XT!Y161,XT!AC161,XT!AG161))=9), 0), 0)), "")</f>
        <v/>
      </c>
      <c r="AI161" s="12" t="str">
        <f>IF(XT!$P161&gt;0,AH161,"")</f>
        <v/>
      </c>
      <c r="AJ161" s="12" t="str">
        <f>IF(XT!$P161=0,AH161,"")</f>
        <v/>
      </c>
      <c r="AK161">
        <f>SUMPRODUCT((MONTH(CHOOSE({1,2,3,4},XT!U161,XT!Y161,XT!AC161,XT!AG161))=10)*(CHOOSE({1,2,3,4},XT!X161,XT!AB161,XT!AF161,XT!AJ161)))</f>
        <v>0</v>
      </c>
      <c r="AL161" t="str">
        <f>IFERROR(INDEX(CHOOSE({1,2,3,4}, DAY(XT!U161), DAY(XT!Y161), DAY(XT!AC161), DAY(XT!AG161)), MATCH(1, INDEX(--(MONTH(CHOOSE({1,2,3,4}, XT!U161,XT!Y161,XT!AC161,XT!AG161))=10), 0), 0)), "")</f>
        <v/>
      </c>
      <c r="AM161" s="12" t="str">
        <f>IF(XT!$P161&gt;0,AL161,"")</f>
        <v/>
      </c>
      <c r="AN161" s="12" t="str">
        <f>IF(XT!$P161=0,AL161,"")</f>
        <v/>
      </c>
      <c r="AO161">
        <f>SUMPRODUCT((MONTH(CHOOSE({1,2,3,4},XT!U161,XT!Y161,XT!AC161,XT!AG161))=11)*(CHOOSE({1,2,3,4},XT!X161,XT!AB161,XT!AF161,XT!AJ161)))</f>
        <v>0</v>
      </c>
      <c r="AP161" t="str">
        <f>IFERROR(INDEX(CHOOSE({1,2,3,4}, DAY(XT!U161), DAY(XT!Y161), DAY(XT!AC161), DAY(XT!AG161)), MATCH(1, INDEX(--(MONTH(CHOOSE({1,2,3,4}, XT!U161,XT!Y161,XT!AC161,XT!AG161))=11), 0), 0)), "")</f>
        <v/>
      </c>
      <c r="AQ161" s="12" t="str">
        <f>IF(XT!$P161&gt;0,AP161,"")</f>
        <v/>
      </c>
      <c r="AR161" s="12" t="str">
        <f>IF(XT!$P161=0,AP161,"")</f>
        <v/>
      </c>
      <c r="AS161">
        <f>SUMPRODUCT((MONTH(CHOOSE({1,2,3,4},XT!U161,XT!Y161,XT!AC161,XT!AG161))=12)*(CHOOSE({1,2,3,4},XT!X161,XT!AB161,XT!AF161,XT!AJ161)))</f>
        <v>0</v>
      </c>
      <c r="AT161" t="str">
        <f>IFERROR(INDEX(CHOOSE({1,2,3,4}, DAY(XT!U161), DAY(XT!Y161), DAY(XT!AC161), DAY(XT!AG161)), MATCH(1, INDEX(--(MONTH(CHOOSE({1,2,3,4}, XT!U161,XT!Y161,XT!AC161,XT!AG161))=12), 0), 0)), "")</f>
        <v/>
      </c>
      <c r="AU161" s="12" t="str">
        <f>IF(XT!$P161&gt;0,AT161,"")</f>
        <v/>
      </c>
      <c r="AV161" s="12" t="str">
        <f>IF(XT!$P161=0,AT161,"")</f>
        <v/>
      </c>
    </row>
    <row r="162" spans="1:48">
      <c r="A162">
        <f>SUMPRODUCT((MONTH(CHOOSE({1,2,3,4},XT!U162,XT!Y162,XT!AC162,XT!AG162))=1)*(CHOOSE({1,2,3,4},XT!X162,XT!AB162,XT!AF162,XT!AJ162)))</f>
        <v>0</v>
      </c>
      <c r="B162">
        <f>IFERROR(INDEX(CHOOSE({1,2,3,4}, DAY(XT!U162), DAY(XT!Y162), DAY(XT!AC162), DAY(XT!AG162)), MATCH(1, INDEX(--(MONTH(CHOOSE({1,2,3,4}, XT!U162,XT!Y162,XT!AC162,XT!AG162))=1), 0), 0)), "")</f>
        <v>0</v>
      </c>
      <c r="C162" s="12" t="str">
        <f>IF(XT!$P162&gt;0,B162,"")</f>
        <v/>
      </c>
      <c r="D162" s="12">
        <f>IF(XT!$P162=0,B162,"")</f>
        <v>0</v>
      </c>
      <c r="E162">
        <f>SUMPRODUCT((MONTH(CHOOSE({1,2,3,4},XT!U162,XT!Y162,XT!AC162,XT!AG162))=2)*(CHOOSE({1,2,3,4},XT!X162,XT!AB162,XT!AF162,XT!AJ162)))</f>
        <v>0</v>
      </c>
      <c r="F162" t="str">
        <f>IFERROR(INDEX(CHOOSE({1,2,3,4}, DAY(XT!U162), DAY(XT!Y162), DAY(XT!AC162), DAY(XT!AG162)), MATCH(1, INDEX(--(MONTH(CHOOSE({1,2,3,4}, XT!U162,XT!Y162,XT!AC162,XT!AG162))=2), 0), 0)), "")</f>
        <v/>
      </c>
      <c r="G162" s="12" t="str">
        <f>IF(XT!$P162&gt;0,F162,"")</f>
        <v/>
      </c>
      <c r="H162" s="12" t="str">
        <f>IF(XT!$P162=0,F162,"")</f>
        <v/>
      </c>
      <c r="I162">
        <f>SUMPRODUCT((MONTH(CHOOSE({1,2,3,4},XT!U162,XT!Y162,XT!AC162,XT!AG162))=3)*(CHOOSE({1,2,3,4},XT!X162,XT!AB162,XT!AF162,XT!AJ162)))</f>
        <v>0</v>
      </c>
      <c r="J162" t="str">
        <f>IFERROR(INDEX(CHOOSE({1,2,3,4}, DAY(XT!U162), DAY(XT!Y162), DAY(XT!AC162), DAY(XT!AG162)), MATCH(1, INDEX(--(MONTH(CHOOSE({1,2,3,4}, XT!U162,XT!Y162,XT!AC162,XT!AG162))=3), 0), 0)), "")</f>
        <v/>
      </c>
      <c r="K162" s="12" t="str">
        <f>IF(XT!$P162&gt;0,J162,"")</f>
        <v/>
      </c>
      <c r="L162" s="12" t="str">
        <f>IF(XT!$P162=0,J162,"")</f>
        <v/>
      </c>
      <c r="M162">
        <f>SUMPRODUCT((MONTH(CHOOSE({1,2,3,4},XT!U162,XT!Y162,XT!AC162,XT!AG162))=4)*(CHOOSE({1,2,3,4},XT!X162,XT!AB162,XT!AF162,XT!AJ162)))</f>
        <v>0</v>
      </c>
      <c r="N162" t="str">
        <f>IFERROR(INDEX(CHOOSE({1,2,3,4}, DAY(XT!U162), DAY(XT!Y162), DAY(XT!AC162), DAY(XT!AG162)), MATCH(1, INDEX(--(MONTH(CHOOSE({1,2,3,4}, XT!U162,XT!Y162,XT!AC162,XT!AG162))=4), 0), 0)), "")</f>
        <v/>
      </c>
      <c r="O162" s="12" t="str">
        <f>IF(XT!$P162&gt;0,N162,"")</f>
        <v/>
      </c>
      <c r="P162" s="12" t="str">
        <f>IF(XT!$P162=0,N162,"")</f>
        <v/>
      </c>
      <c r="Q162">
        <f>SUMPRODUCT((MONTH(CHOOSE({1,2,3,4},XT!U162,XT!Y162,XT!AC162,XT!AG162))=5)*(CHOOSE({1,2,3,4},XT!X162,XT!AB162,XT!AF162,XT!AJ162)))</f>
        <v>0</v>
      </c>
      <c r="R162" t="str">
        <f>IFERROR(INDEX(CHOOSE({1,2,3,4}, DAY(XT!U162), DAY(XT!Y162), DAY(XT!AC162), DAY(XT!AG162)), MATCH(1, INDEX(--(MONTH(CHOOSE({1,2,3,4}, XT!U162,XT!Y162,XT!AC162,XT!AG162))=5), 0), 0)), "")</f>
        <v/>
      </c>
      <c r="S162" s="12" t="str">
        <f>IF(XT!$P162&gt;0,R162,"")</f>
        <v/>
      </c>
      <c r="T162" s="12" t="str">
        <f>IF(XT!$P162=0,R162,"")</f>
        <v/>
      </c>
      <c r="U162">
        <f>SUMPRODUCT((MONTH(CHOOSE({1,2,3,4},XT!U162,XT!Y162,XT!AC162,XT!AG162))=6)*(CHOOSE({1,2,3,4},XT!X162,XT!AB162,XT!AF162,XT!AJ162)))</f>
        <v>0</v>
      </c>
      <c r="V162" t="str">
        <f>IFERROR(INDEX(CHOOSE({1,2,3,4}, DAY(XT!U162), DAY(XT!Y162), DAY(XT!AC162), DAY(XT!AG162)), MATCH(1, INDEX(--(MONTH(CHOOSE({1,2,3,4}, XT!U162,XT!Y162,XT!AC162,XT!AG162))=6), 0), 0)), "")</f>
        <v/>
      </c>
      <c r="W162" s="12" t="str">
        <f>IF(XT!$P162&gt;0,V162,"")</f>
        <v/>
      </c>
      <c r="X162" s="12" t="str">
        <f>IF(XT!$P162=0,V162,"")</f>
        <v/>
      </c>
      <c r="Y162">
        <f>SUMPRODUCT((MONTH(CHOOSE({1,2,3,4},XT!U162,XT!Y162,XT!AC162,XT!AG162))=7)*(CHOOSE({1,2,3,4},XT!X162,XT!AB162,XT!AF162,XT!AJ162)))</f>
        <v>0</v>
      </c>
      <c r="Z162" t="str">
        <f>IFERROR(INDEX(CHOOSE({1,2,3,4}, DAY(XT!U162), DAY(XT!Y162), DAY(XT!AC162), DAY(XT!AG162)), MATCH(1, INDEX(--(MONTH(CHOOSE({1,2,3,4}, XT!U162,XT!Y162,XT!AC162,XT!AG162))=7), 0), 0)), "")</f>
        <v/>
      </c>
      <c r="AA162" s="12" t="str">
        <f>IF(XT!$P162&gt;0,Z162,"")</f>
        <v/>
      </c>
      <c r="AB162" s="12" t="str">
        <f>IF(XT!$P162=0,Z162,"")</f>
        <v/>
      </c>
      <c r="AC162">
        <f>SUMPRODUCT((MONTH(CHOOSE({1,2,3,4},XT!U162,XT!Y162,XT!AC162,XT!AG162))=8)*(CHOOSE({1,2,3,4},XT!X162,XT!AB162,XT!AF162,XT!AJ162)))</f>
        <v>0</v>
      </c>
      <c r="AD162" t="str">
        <f>IFERROR(INDEX(CHOOSE({1,2,3,4}, DAY(XT!U162), DAY(XT!Y162), DAY(XT!AC162), DAY(XT!AG162)), MATCH(1, INDEX(--(MONTH(CHOOSE({1,2,3,4}, XT!U162,XT!Y162,XT!AC162,XT!AG162))=8), 0), 0)), "")</f>
        <v/>
      </c>
      <c r="AE162" s="12" t="str">
        <f>IF(XT!$P162&gt;0,AD162,"")</f>
        <v/>
      </c>
      <c r="AF162" s="12" t="str">
        <f>IF(XT!$P162=0,AD162,"")</f>
        <v/>
      </c>
      <c r="AG162">
        <f>SUMPRODUCT((MONTH(CHOOSE({1,2,3,4},XT!U162,XT!Y162,XT!AC162,XT!AG162))=9)*(CHOOSE({1,2,3,4},XT!X162,XT!AB162,XT!AF162,XT!AJ162)))</f>
        <v>0</v>
      </c>
      <c r="AH162" t="str">
        <f>IFERROR(INDEX(CHOOSE({1,2,3,4}, DAY(XT!U162), DAY(XT!Y162), DAY(XT!AC162), DAY(XT!AG162)), MATCH(1, INDEX(--(MONTH(CHOOSE({1,2,3,4}, XT!U162,XT!Y162,XT!AC162,XT!AG162))=9), 0), 0)), "")</f>
        <v/>
      </c>
      <c r="AI162" s="12" t="str">
        <f>IF(XT!$P162&gt;0,AH162,"")</f>
        <v/>
      </c>
      <c r="AJ162" s="12" t="str">
        <f>IF(XT!$P162=0,AH162,"")</f>
        <v/>
      </c>
      <c r="AK162">
        <f>SUMPRODUCT((MONTH(CHOOSE({1,2,3,4},XT!U162,XT!Y162,XT!AC162,XT!AG162))=10)*(CHOOSE({1,2,3,4},XT!X162,XT!AB162,XT!AF162,XT!AJ162)))</f>
        <v>0</v>
      </c>
      <c r="AL162" t="str">
        <f>IFERROR(INDEX(CHOOSE({1,2,3,4}, DAY(XT!U162), DAY(XT!Y162), DAY(XT!AC162), DAY(XT!AG162)), MATCH(1, INDEX(--(MONTH(CHOOSE({1,2,3,4}, XT!U162,XT!Y162,XT!AC162,XT!AG162))=10), 0), 0)), "")</f>
        <v/>
      </c>
      <c r="AM162" s="12" t="str">
        <f>IF(XT!$P162&gt;0,AL162,"")</f>
        <v/>
      </c>
      <c r="AN162" s="12" t="str">
        <f>IF(XT!$P162=0,AL162,"")</f>
        <v/>
      </c>
      <c r="AO162">
        <f>SUMPRODUCT((MONTH(CHOOSE({1,2,3,4},XT!U162,XT!Y162,XT!AC162,XT!AG162))=11)*(CHOOSE({1,2,3,4},XT!X162,XT!AB162,XT!AF162,XT!AJ162)))</f>
        <v>0</v>
      </c>
      <c r="AP162" t="str">
        <f>IFERROR(INDEX(CHOOSE({1,2,3,4}, DAY(XT!U162), DAY(XT!Y162), DAY(XT!AC162), DAY(XT!AG162)), MATCH(1, INDEX(--(MONTH(CHOOSE({1,2,3,4}, XT!U162,XT!Y162,XT!AC162,XT!AG162))=11), 0), 0)), "")</f>
        <v/>
      </c>
      <c r="AQ162" s="12" t="str">
        <f>IF(XT!$P162&gt;0,AP162,"")</f>
        <v/>
      </c>
      <c r="AR162" s="12" t="str">
        <f>IF(XT!$P162=0,AP162,"")</f>
        <v/>
      </c>
      <c r="AS162">
        <f>SUMPRODUCT((MONTH(CHOOSE({1,2,3,4},XT!U162,XT!Y162,XT!AC162,XT!AG162))=12)*(CHOOSE({1,2,3,4},XT!X162,XT!AB162,XT!AF162,XT!AJ162)))</f>
        <v>0</v>
      </c>
      <c r="AT162" t="str">
        <f>IFERROR(INDEX(CHOOSE({1,2,3,4}, DAY(XT!U162), DAY(XT!Y162), DAY(XT!AC162), DAY(XT!AG162)), MATCH(1, INDEX(--(MONTH(CHOOSE({1,2,3,4}, XT!U162,XT!Y162,XT!AC162,XT!AG162))=12), 0), 0)), "")</f>
        <v/>
      </c>
      <c r="AU162" s="12" t="str">
        <f>IF(XT!$P162&gt;0,AT162,"")</f>
        <v/>
      </c>
      <c r="AV162" s="12" t="str">
        <f>IF(XT!$P162=0,AT162,"")</f>
        <v/>
      </c>
    </row>
    <row r="163" spans="1:48">
      <c r="A163">
        <f>SUMPRODUCT((MONTH(CHOOSE({1,2,3,4},XT!U163,XT!Y163,XT!AC163,XT!AG163))=1)*(CHOOSE({1,2,3,4},XT!X163,XT!AB163,XT!AF163,XT!AJ163)))</f>
        <v>0</v>
      </c>
      <c r="B163">
        <f>IFERROR(INDEX(CHOOSE({1,2,3,4}, DAY(XT!U163), DAY(XT!Y163), DAY(XT!AC163), DAY(XT!AG163)), MATCH(1, INDEX(--(MONTH(CHOOSE({1,2,3,4}, XT!U163,XT!Y163,XT!AC163,XT!AG163))=1), 0), 0)), "")</f>
        <v>0</v>
      </c>
      <c r="C163" s="12" t="str">
        <f>IF(XT!$P163&gt;0,B163,"")</f>
        <v/>
      </c>
      <c r="D163" s="12">
        <f>IF(XT!$P163=0,B163,"")</f>
        <v>0</v>
      </c>
      <c r="E163">
        <f>SUMPRODUCT((MONTH(CHOOSE({1,2,3,4},XT!U163,XT!Y163,XT!AC163,XT!AG163))=2)*(CHOOSE({1,2,3,4},XT!X163,XT!AB163,XT!AF163,XT!AJ163)))</f>
        <v>0</v>
      </c>
      <c r="F163" t="str">
        <f>IFERROR(INDEX(CHOOSE({1,2,3,4}, DAY(XT!U163), DAY(XT!Y163), DAY(XT!AC163), DAY(XT!AG163)), MATCH(1, INDEX(--(MONTH(CHOOSE({1,2,3,4}, XT!U163,XT!Y163,XT!AC163,XT!AG163))=2), 0), 0)), "")</f>
        <v/>
      </c>
      <c r="G163" s="12" t="str">
        <f>IF(XT!$P163&gt;0,F163,"")</f>
        <v/>
      </c>
      <c r="H163" s="12" t="str">
        <f>IF(XT!$P163=0,F163,"")</f>
        <v/>
      </c>
      <c r="I163">
        <f>SUMPRODUCT((MONTH(CHOOSE({1,2,3,4},XT!U163,XT!Y163,XT!AC163,XT!AG163))=3)*(CHOOSE({1,2,3,4},XT!X163,XT!AB163,XT!AF163,XT!AJ163)))</f>
        <v>0</v>
      </c>
      <c r="J163" t="str">
        <f>IFERROR(INDEX(CHOOSE({1,2,3,4}, DAY(XT!U163), DAY(XT!Y163), DAY(XT!AC163), DAY(XT!AG163)), MATCH(1, INDEX(--(MONTH(CHOOSE({1,2,3,4}, XT!U163,XT!Y163,XT!AC163,XT!AG163))=3), 0), 0)), "")</f>
        <v/>
      </c>
      <c r="K163" s="12" t="str">
        <f>IF(XT!$P163&gt;0,J163,"")</f>
        <v/>
      </c>
      <c r="L163" s="12" t="str">
        <f>IF(XT!$P163=0,J163,"")</f>
        <v/>
      </c>
      <c r="M163">
        <f>SUMPRODUCT((MONTH(CHOOSE({1,2,3,4},XT!U163,XT!Y163,XT!AC163,XT!AG163))=4)*(CHOOSE({1,2,3,4},XT!X163,XT!AB163,XT!AF163,XT!AJ163)))</f>
        <v>0</v>
      </c>
      <c r="N163" t="str">
        <f>IFERROR(INDEX(CHOOSE({1,2,3,4}, DAY(XT!U163), DAY(XT!Y163), DAY(XT!AC163), DAY(XT!AG163)), MATCH(1, INDEX(--(MONTH(CHOOSE({1,2,3,4}, XT!U163,XT!Y163,XT!AC163,XT!AG163))=4), 0), 0)), "")</f>
        <v/>
      </c>
      <c r="O163" s="12" t="str">
        <f>IF(XT!$P163&gt;0,N163,"")</f>
        <v/>
      </c>
      <c r="P163" s="12" t="str">
        <f>IF(XT!$P163=0,N163,"")</f>
        <v/>
      </c>
      <c r="Q163">
        <f>SUMPRODUCT((MONTH(CHOOSE({1,2,3,4},XT!U163,XT!Y163,XT!AC163,XT!AG163))=5)*(CHOOSE({1,2,3,4},XT!X163,XT!AB163,XT!AF163,XT!AJ163)))</f>
        <v>0</v>
      </c>
      <c r="R163" t="str">
        <f>IFERROR(INDEX(CHOOSE({1,2,3,4}, DAY(XT!U163), DAY(XT!Y163), DAY(XT!AC163), DAY(XT!AG163)), MATCH(1, INDEX(--(MONTH(CHOOSE({1,2,3,4}, XT!U163,XT!Y163,XT!AC163,XT!AG163))=5), 0), 0)), "")</f>
        <v/>
      </c>
      <c r="S163" s="12" t="str">
        <f>IF(XT!$P163&gt;0,R163,"")</f>
        <v/>
      </c>
      <c r="T163" s="12" t="str">
        <f>IF(XT!$P163=0,R163,"")</f>
        <v/>
      </c>
      <c r="U163">
        <f>SUMPRODUCT((MONTH(CHOOSE({1,2,3,4},XT!U163,XT!Y163,XT!AC163,XT!AG163))=6)*(CHOOSE({1,2,3,4},XT!X163,XT!AB163,XT!AF163,XT!AJ163)))</f>
        <v>0</v>
      </c>
      <c r="V163" t="str">
        <f>IFERROR(INDEX(CHOOSE({1,2,3,4}, DAY(XT!U163), DAY(XT!Y163), DAY(XT!AC163), DAY(XT!AG163)), MATCH(1, INDEX(--(MONTH(CHOOSE({1,2,3,4}, XT!U163,XT!Y163,XT!AC163,XT!AG163))=6), 0), 0)), "")</f>
        <v/>
      </c>
      <c r="W163" s="12" t="str">
        <f>IF(XT!$P163&gt;0,V163,"")</f>
        <v/>
      </c>
      <c r="X163" s="12" t="str">
        <f>IF(XT!$P163=0,V163,"")</f>
        <v/>
      </c>
      <c r="Y163">
        <f>SUMPRODUCT((MONTH(CHOOSE({1,2,3,4},XT!U163,XT!Y163,XT!AC163,XT!AG163))=7)*(CHOOSE({1,2,3,4},XT!X163,XT!AB163,XT!AF163,XT!AJ163)))</f>
        <v>0</v>
      </c>
      <c r="Z163" t="str">
        <f>IFERROR(INDEX(CHOOSE({1,2,3,4}, DAY(XT!U163), DAY(XT!Y163), DAY(XT!AC163), DAY(XT!AG163)), MATCH(1, INDEX(--(MONTH(CHOOSE({1,2,3,4}, XT!U163,XT!Y163,XT!AC163,XT!AG163))=7), 0), 0)), "")</f>
        <v/>
      </c>
      <c r="AA163" s="12" t="str">
        <f>IF(XT!$P163&gt;0,Z163,"")</f>
        <v/>
      </c>
      <c r="AB163" s="12" t="str">
        <f>IF(XT!$P163=0,Z163,"")</f>
        <v/>
      </c>
      <c r="AC163">
        <f>SUMPRODUCT((MONTH(CHOOSE({1,2,3,4},XT!U163,XT!Y163,XT!AC163,XT!AG163))=8)*(CHOOSE({1,2,3,4},XT!X163,XT!AB163,XT!AF163,XT!AJ163)))</f>
        <v>0</v>
      </c>
      <c r="AD163" t="str">
        <f>IFERROR(INDEX(CHOOSE({1,2,3,4}, DAY(XT!U163), DAY(XT!Y163), DAY(XT!AC163), DAY(XT!AG163)), MATCH(1, INDEX(--(MONTH(CHOOSE({1,2,3,4}, XT!U163,XT!Y163,XT!AC163,XT!AG163))=8), 0), 0)), "")</f>
        <v/>
      </c>
      <c r="AE163" s="12" t="str">
        <f>IF(XT!$P163&gt;0,AD163,"")</f>
        <v/>
      </c>
      <c r="AF163" s="12" t="str">
        <f>IF(XT!$P163=0,AD163,"")</f>
        <v/>
      </c>
      <c r="AG163">
        <f>SUMPRODUCT((MONTH(CHOOSE({1,2,3,4},XT!U163,XT!Y163,XT!AC163,XT!AG163))=9)*(CHOOSE({1,2,3,4},XT!X163,XT!AB163,XT!AF163,XT!AJ163)))</f>
        <v>0</v>
      </c>
      <c r="AH163" t="str">
        <f>IFERROR(INDEX(CHOOSE({1,2,3,4}, DAY(XT!U163), DAY(XT!Y163), DAY(XT!AC163), DAY(XT!AG163)), MATCH(1, INDEX(--(MONTH(CHOOSE({1,2,3,4}, XT!U163,XT!Y163,XT!AC163,XT!AG163))=9), 0), 0)), "")</f>
        <v/>
      </c>
      <c r="AI163" s="12" t="str">
        <f>IF(XT!$P163&gt;0,AH163,"")</f>
        <v/>
      </c>
      <c r="AJ163" s="12" t="str">
        <f>IF(XT!$P163=0,AH163,"")</f>
        <v/>
      </c>
      <c r="AK163">
        <f>SUMPRODUCT((MONTH(CHOOSE({1,2,3,4},XT!U163,XT!Y163,XT!AC163,XT!AG163))=10)*(CHOOSE({1,2,3,4},XT!X163,XT!AB163,XT!AF163,XT!AJ163)))</f>
        <v>0</v>
      </c>
      <c r="AL163" t="str">
        <f>IFERROR(INDEX(CHOOSE({1,2,3,4}, DAY(XT!U163), DAY(XT!Y163), DAY(XT!AC163), DAY(XT!AG163)), MATCH(1, INDEX(--(MONTH(CHOOSE({1,2,3,4}, XT!U163,XT!Y163,XT!AC163,XT!AG163))=10), 0), 0)), "")</f>
        <v/>
      </c>
      <c r="AM163" s="12" t="str">
        <f>IF(XT!$P163&gt;0,AL163,"")</f>
        <v/>
      </c>
      <c r="AN163" s="12" t="str">
        <f>IF(XT!$P163=0,AL163,"")</f>
        <v/>
      </c>
      <c r="AO163">
        <f>SUMPRODUCT((MONTH(CHOOSE({1,2,3,4},XT!U163,XT!Y163,XT!AC163,XT!AG163))=11)*(CHOOSE({1,2,3,4},XT!X163,XT!AB163,XT!AF163,XT!AJ163)))</f>
        <v>0</v>
      </c>
      <c r="AP163" t="str">
        <f>IFERROR(INDEX(CHOOSE({1,2,3,4}, DAY(XT!U163), DAY(XT!Y163), DAY(XT!AC163), DAY(XT!AG163)), MATCH(1, INDEX(--(MONTH(CHOOSE({1,2,3,4}, XT!U163,XT!Y163,XT!AC163,XT!AG163))=11), 0), 0)), "")</f>
        <v/>
      </c>
      <c r="AQ163" s="12" t="str">
        <f>IF(XT!$P163&gt;0,AP163,"")</f>
        <v/>
      </c>
      <c r="AR163" s="12" t="str">
        <f>IF(XT!$P163=0,AP163,"")</f>
        <v/>
      </c>
      <c r="AS163">
        <f>SUMPRODUCT((MONTH(CHOOSE({1,2,3,4},XT!U163,XT!Y163,XT!AC163,XT!AG163))=12)*(CHOOSE({1,2,3,4},XT!X163,XT!AB163,XT!AF163,XT!AJ163)))</f>
        <v>0</v>
      </c>
      <c r="AT163" t="str">
        <f>IFERROR(INDEX(CHOOSE({1,2,3,4}, DAY(XT!U163), DAY(XT!Y163), DAY(XT!AC163), DAY(XT!AG163)), MATCH(1, INDEX(--(MONTH(CHOOSE({1,2,3,4}, XT!U163,XT!Y163,XT!AC163,XT!AG163))=12), 0), 0)), "")</f>
        <v/>
      </c>
      <c r="AU163" s="12" t="str">
        <f>IF(XT!$P163&gt;0,AT163,"")</f>
        <v/>
      </c>
      <c r="AV163" s="12" t="str">
        <f>IF(XT!$P163=0,AT163,"")</f>
        <v/>
      </c>
    </row>
    <row r="164" spans="1:48">
      <c r="A164">
        <f>SUMPRODUCT((MONTH(CHOOSE({1,2,3,4},XT!U164,XT!Y164,XT!AC164,XT!AG164))=1)*(CHOOSE({1,2,3,4},XT!X164,XT!AB164,XT!AF164,XT!AJ164)))</f>
        <v>0</v>
      </c>
      <c r="B164">
        <f>IFERROR(INDEX(CHOOSE({1,2,3,4}, DAY(XT!U164), DAY(XT!Y164), DAY(XT!AC164), DAY(XT!AG164)), MATCH(1, INDEX(--(MONTH(CHOOSE({1,2,3,4}, XT!U164,XT!Y164,XT!AC164,XT!AG164))=1), 0), 0)), "")</f>
        <v>0</v>
      </c>
      <c r="C164" s="12" t="str">
        <f>IF(XT!$P164&gt;0,B164,"")</f>
        <v/>
      </c>
      <c r="D164" s="12">
        <f>IF(XT!$P164=0,B164,"")</f>
        <v>0</v>
      </c>
      <c r="E164">
        <f>SUMPRODUCT((MONTH(CHOOSE({1,2,3,4},XT!U164,XT!Y164,XT!AC164,XT!AG164))=2)*(CHOOSE({1,2,3,4},XT!X164,XT!AB164,XT!AF164,XT!AJ164)))</f>
        <v>0</v>
      </c>
      <c r="F164" t="str">
        <f>IFERROR(INDEX(CHOOSE({1,2,3,4}, DAY(XT!U164), DAY(XT!Y164), DAY(XT!AC164), DAY(XT!AG164)), MATCH(1, INDEX(--(MONTH(CHOOSE({1,2,3,4}, XT!U164,XT!Y164,XT!AC164,XT!AG164))=2), 0), 0)), "")</f>
        <v/>
      </c>
      <c r="G164" s="12" t="str">
        <f>IF(XT!$P164&gt;0,F164,"")</f>
        <v/>
      </c>
      <c r="H164" s="12" t="str">
        <f>IF(XT!$P164=0,F164,"")</f>
        <v/>
      </c>
      <c r="I164">
        <f>SUMPRODUCT((MONTH(CHOOSE({1,2,3,4},XT!U164,XT!Y164,XT!AC164,XT!AG164))=3)*(CHOOSE({1,2,3,4},XT!X164,XT!AB164,XT!AF164,XT!AJ164)))</f>
        <v>0</v>
      </c>
      <c r="J164" t="str">
        <f>IFERROR(INDEX(CHOOSE({1,2,3,4}, DAY(XT!U164), DAY(XT!Y164), DAY(XT!AC164), DAY(XT!AG164)), MATCH(1, INDEX(--(MONTH(CHOOSE({1,2,3,4}, XT!U164,XT!Y164,XT!AC164,XT!AG164))=3), 0), 0)), "")</f>
        <v/>
      </c>
      <c r="K164" s="12" t="str">
        <f>IF(XT!$P164&gt;0,J164,"")</f>
        <v/>
      </c>
      <c r="L164" s="12" t="str">
        <f>IF(XT!$P164=0,J164,"")</f>
        <v/>
      </c>
      <c r="M164">
        <f>SUMPRODUCT((MONTH(CHOOSE({1,2,3,4},XT!U164,XT!Y164,XT!AC164,XT!AG164))=4)*(CHOOSE({1,2,3,4},XT!X164,XT!AB164,XT!AF164,XT!AJ164)))</f>
        <v>0</v>
      </c>
      <c r="N164" t="str">
        <f>IFERROR(INDEX(CHOOSE({1,2,3,4}, DAY(XT!U164), DAY(XT!Y164), DAY(XT!AC164), DAY(XT!AG164)), MATCH(1, INDEX(--(MONTH(CHOOSE({1,2,3,4}, XT!U164,XT!Y164,XT!AC164,XT!AG164))=4), 0), 0)), "")</f>
        <v/>
      </c>
      <c r="O164" s="12" t="str">
        <f>IF(XT!$P164&gt;0,N164,"")</f>
        <v/>
      </c>
      <c r="P164" s="12" t="str">
        <f>IF(XT!$P164=0,N164,"")</f>
        <v/>
      </c>
      <c r="Q164">
        <f>SUMPRODUCT((MONTH(CHOOSE({1,2,3,4},XT!U164,XT!Y164,XT!AC164,XT!AG164))=5)*(CHOOSE({1,2,3,4},XT!X164,XT!AB164,XT!AF164,XT!AJ164)))</f>
        <v>0</v>
      </c>
      <c r="R164" t="str">
        <f>IFERROR(INDEX(CHOOSE({1,2,3,4}, DAY(XT!U164), DAY(XT!Y164), DAY(XT!AC164), DAY(XT!AG164)), MATCH(1, INDEX(--(MONTH(CHOOSE({1,2,3,4}, XT!U164,XT!Y164,XT!AC164,XT!AG164))=5), 0), 0)), "")</f>
        <v/>
      </c>
      <c r="S164" s="12" t="str">
        <f>IF(XT!$P164&gt;0,R164,"")</f>
        <v/>
      </c>
      <c r="T164" s="12" t="str">
        <f>IF(XT!$P164=0,R164,"")</f>
        <v/>
      </c>
      <c r="U164">
        <f>SUMPRODUCT((MONTH(CHOOSE({1,2,3,4},XT!U164,XT!Y164,XT!AC164,XT!AG164))=6)*(CHOOSE({1,2,3,4},XT!X164,XT!AB164,XT!AF164,XT!AJ164)))</f>
        <v>0</v>
      </c>
      <c r="V164" t="str">
        <f>IFERROR(INDEX(CHOOSE({1,2,3,4}, DAY(XT!U164), DAY(XT!Y164), DAY(XT!AC164), DAY(XT!AG164)), MATCH(1, INDEX(--(MONTH(CHOOSE({1,2,3,4}, XT!U164,XT!Y164,XT!AC164,XT!AG164))=6), 0), 0)), "")</f>
        <v/>
      </c>
      <c r="W164" s="12" t="str">
        <f>IF(XT!$P164&gt;0,V164,"")</f>
        <v/>
      </c>
      <c r="X164" s="12" t="str">
        <f>IF(XT!$P164=0,V164,"")</f>
        <v/>
      </c>
      <c r="Y164">
        <f>SUMPRODUCT((MONTH(CHOOSE({1,2,3,4},XT!U164,XT!Y164,XT!AC164,XT!AG164))=7)*(CHOOSE({1,2,3,4},XT!X164,XT!AB164,XT!AF164,XT!AJ164)))</f>
        <v>0</v>
      </c>
      <c r="Z164" t="str">
        <f>IFERROR(INDEX(CHOOSE({1,2,3,4}, DAY(XT!U164), DAY(XT!Y164), DAY(XT!AC164), DAY(XT!AG164)), MATCH(1, INDEX(--(MONTH(CHOOSE({1,2,3,4}, XT!U164,XT!Y164,XT!AC164,XT!AG164))=7), 0), 0)), "")</f>
        <v/>
      </c>
      <c r="AA164" s="12" t="str">
        <f>IF(XT!$P164&gt;0,Z164,"")</f>
        <v/>
      </c>
      <c r="AB164" s="12" t="str">
        <f>IF(XT!$P164=0,Z164,"")</f>
        <v/>
      </c>
      <c r="AC164">
        <f>SUMPRODUCT((MONTH(CHOOSE({1,2,3,4},XT!U164,XT!Y164,XT!AC164,XT!AG164))=8)*(CHOOSE({1,2,3,4},XT!X164,XT!AB164,XT!AF164,XT!AJ164)))</f>
        <v>0</v>
      </c>
      <c r="AD164" t="str">
        <f>IFERROR(INDEX(CHOOSE({1,2,3,4}, DAY(XT!U164), DAY(XT!Y164), DAY(XT!AC164), DAY(XT!AG164)), MATCH(1, INDEX(--(MONTH(CHOOSE({1,2,3,4}, XT!U164,XT!Y164,XT!AC164,XT!AG164))=8), 0), 0)), "")</f>
        <v/>
      </c>
      <c r="AE164" s="12" t="str">
        <f>IF(XT!$P164&gt;0,AD164,"")</f>
        <v/>
      </c>
      <c r="AF164" s="12" t="str">
        <f>IF(XT!$P164=0,AD164,"")</f>
        <v/>
      </c>
      <c r="AG164">
        <f>SUMPRODUCT((MONTH(CHOOSE({1,2,3,4},XT!U164,XT!Y164,XT!AC164,XT!AG164))=9)*(CHOOSE({1,2,3,4},XT!X164,XT!AB164,XT!AF164,XT!AJ164)))</f>
        <v>0</v>
      </c>
      <c r="AH164" t="str">
        <f>IFERROR(INDEX(CHOOSE({1,2,3,4}, DAY(XT!U164), DAY(XT!Y164), DAY(XT!AC164), DAY(XT!AG164)), MATCH(1, INDEX(--(MONTH(CHOOSE({1,2,3,4}, XT!U164,XT!Y164,XT!AC164,XT!AG164))=9), 0), 0)), "")</f>
        <v/>
      </c>
      <c r="AI164" s="12" t="str">
        <f>IF(XT!$P164&gt;0,AH164,"")</f>
        <v/>
      </c>
      <c r="AJ164" s="12" t="str">
        <f>IF(XT!$P164=0,AH164,"")</f>
        <v/>
      </c>
      <c r="AK164">
        <f>SUMPRODUCT((MONTH(CHOOSE({1,2,3,4},XT!U164,XT!Y164,XT!AC164,XT!AG164))=10)*(CHOOSE({1,2,3,4},XT!X164,XT!AB164,XT!AF164,XT!AJ164)))</f>
        <v>0</v>
      </c>
      <c r="AL164" t="str">
        <f>IFERROR(INDEX(CHOOSE({1,2,3,4}, DAY(XT!U164), DAY(XT!Y164), DAY(XT!AC164), DAY(XT!AG164)), MATCH(1, INDEX(--(MONTH(CHOOSE({1,2,3,4}, XT!U164,XT!Y164,XT!AC164,XT!AG164))=10), 0), 0)), "")</f>
        <v/>
      </c>
      <c r="AM164" s="12" t="str">
        <f>IF(XT!$P164&gt;0,AL164,"")</f>
        <v/>
      </c>
      <c r="AN164" s="12" t="str">
        <f>IF(XT!$P164=0,AL164,"")</f>
        <v/>
      </c>
      <c r="AO164">
        <f>SUMPRODUCT((MONTH(CHOOSE({1,2,3,4},XT!U164,XT!Y164,XT!AC164,XT!AG164))=11)*(CHOOSE({1,2,3,4},XT!X164,XT!AB164,XT!AF164,XT!AJ164)))</f>
        <v>0</v>
      </c>
      <c r="AP164" t="str">
        <f>IFERROR(INDEX(CHOOSE({1,2,3,4}, DAY(XT!U164), DAY(XT!Y164), DAY(XT!AC164), DAY(XT!AG164)), MATCH(1, INDEX(--(MONTH(CHOOSE({1,2,3,4}, XT!U164,XT!Y164,XT!AC164,XT!AG164))=11), 0), 0)), "")</f>
        <v/>
      </c>
      <c r="AQ164" s="12" t="str">
        <f>IF(XT!$P164&gt;0,AP164,"")</f>
        <v/>
      </c>
      <c r="AR164" s="12" t="str">
        <f>IF(XT!$P164=0,AP164,"")</f>
        <v/>
      </c>
      <c r="AS164">
        <f>SUMPRODUCT((MONTH(CHOOSE({1,2,3,4},XT!U164,XT!Y164,XT!AC164,XT!AG164))=12)*(CHOOSE({1,2,3,4},XT!X164,XT!AB164,XT!AF164,XT!AJ164)))</f>
        <v>0</v>
      </c>
      <c r="AT164" t="str">
        <f>IFERROR(INDEX(CHOOSE({1,2,3,4}, DAY(XT!U164), DAY(XT!Y164), DAY(XT!AC164), DAY(XT!AG164)), MATCH(1, INDEX(--(MONTH(CHOOSE({1,2,3,4}, XT!U164,XT!Y164,XT!AC164,XT!AG164))=12), 0), 0)), "")</f>
        <v/>
      </c>
      <c r="AU164" s="12" t="str">
        <f>IF(XT!$P164&gt;0,AT164,"")</f>
        <v/>
      </c>
      <c r="AV164" s="12" t="str">
        <f>IF(XT!$P164=0,AT164,"")</f>
        <v/>
      </c>
    </row>
    <row r="165" spans="1:48">
      <c r="A165">
        <f>SUMPRODUCT((MONTH(CHOOSE({1,2,3,4},XT!U165,XT!Y165,XT!AC165,XT!AG165))=1)*(CHOOSE({1,2,3,4},XT!X165,XT!AB165,XT!AF165,XT!AJ165)))</f>
        <v>0</v>
      </c>
      <c r="B165">
        <f>IFERROR(INDEX(CHOOSE({1,2,3,4}, DAY(XT!U165), DAY(XT!Y165), DAY(XT!AC165), DAY(XT!AG165)), MATCH(1, INDEX(--(MONTH(CHOOSE({1,2,3,4}, XT!U165,XT!Y165,XT!AC165,XT!AG165))=1), 0), 0)), "")</f>
        <v>0</v>
      </c>
      <c r="C165" s="12" t="str">
        <f>IF(XT!$P165&gt;0,B165,"")</f>
        <v/>
      </c>
      <c r="D165" s="12">
        <f>IF(XT!$P165=0,B165,"")</f>
        <v>0</v>
      </c>
      <c r="E165">
        <f>SUMPRODUCT((MONTH(CHOOSE({1,2,3,4},XT!U165,XT!Y165,XT!AC165,XT!AG165))=2)*(CHOOSE({1,2,3,4},XT!X165,XT!AB165,XT!AF165,XT!AJ165)))</f>
        <v>0</v>
      </c>
      <c r="F165" t="str">
        <f>IFERROR(INDEX(CHOOSE({1,2,3,4}, DAY(XT!U165), DAY(XT!Y165), DAY(XT!AC165), DAY(XT!AG165)), MATCH(1, INDEX(--(MONTH(CHOOSE({1,2,3,4}, XT!U165,XT!Y165,XT!AC165,XT!AG165))=2), 0), 0)), "")</f>
        <v/>
      </c>
      <c r="G165" s="12" t="str">
        <f>IF(XT!$P165&gt;0,F165,"")</f>
        <v/>
      </c>
      <c r="H165" s="12" t="str">
        <f>IF(XT!$P165=0,F165,"")</f>
        <v/>
      </c>
      <c r="I165">
        <f>SUMPRODUCT((MONTH(CHOOSE({1,2,3,4},XT!U165,XT!Y165,XT!AC165,XT!AG165))=3)*(CHOOSE({1,2,3,4},XT!X165,XT!AB165,XT!AF165,XT!AJ165)))</f>
        <v>0</v>
      </c>
      <c r="J165" t="str">
        <f>IFERROR(INDEX(CHOOSE({1,2,3,4}, DAY(XT!U165), DAY(XT!Y165), DAY(XT!AC165), DAY(XT!AG165)), MATCH(1, INDEX(--(MONTH(CHOOSE({1,2,3,4}, XT!U165,XT!Y165,XT!AC165,XT!AG165))=3), 0), 0)), "")</f>
        <v/>
      </c>
      <c r="K165" s="12" t="str">
        <f>IF(XT!$P165&gt;0,J165,"")</f>
        <v/>
      </c>
      <c r="L165" s="12" t="str">
        <f>IF(XT!$P165=0,J165,"")</f>
        <v/>
      </c>
      <c r="M165">
        <f>SUMPRODUCT((MONTH(CHOOSE({1,2,3,4},XT!U165,XT!Y165,XT!AC165,XT!AG165))=4)*(CHOOSE({1,2,3,4},XT!X165,XT!AB165,XT!AF165,XT!AJ165)))</f>
        <v>0</v>
      </c>
      <c r="N165" t="str">
        <f>IFERROR(INDEX(CHOOSE({1,2,3,4}, DAY(XT!U165), DAY(XT!Y165), DAY(XT!AC165), DAY(XT!AG165)), MATCH(1, INDEX(--(MONTH(CHOOSE({1,2,3,4}, XT!U165,XT!Y165,XT!AC165,XT!AG165))=4), 0), 0)), "")</f>
        <v/>
      </c>
      <c r="O165" s="12" t="str">
        <f>IF(XT!$P165&gt;0,N165,"")</f>
        <v/>
      </c>
      <c r="P165" s="12" t="str">
        <f>IF(XT!$P165=0,N165,"")</f>
        <v/>
      </c>
      <c r="Q165">
        <f>SUMPRODUCT((MONTH(CHOOSE({1,2,3,4},XT!U165,XT!Y165,XT!AC165,XT!AG165))=5)*(CHOOSE({1,2,3,4},XT!X165,XT!AB165,XT!AF165,XT!AJ165)))</f>
        <v>0</v>
      </c>
      <c r="R165" t="str">
        <f>IFERROR(INDEX(CHOOSE({1,2,3,4}, DAY(XT!U165), DAY(XT!Y165), DAY(XT!AC165), DAY(XT!AG165)), MATCH(1, INDEX(--(MONTH(CHOOSE({1,2,3,4}, XT!U165,XT!Y165,XT!AC165,XT!AG165))=5), 0), 0)), "")</f>
        <v/>
      </c>
      <c r="S165" s="12" t="str">
        <f>IF(XT!$P165&gt;0,R165,"")</f>
        <v/>
      </c>
      <c r="T165" s="12" t="str">
        <f>IF(XT!$P165=0,R165,"")</f>
        <v/>
      </c>
      <c r="U165">
        <f>SUMPRODUCT((MONTH(CHOOSE({1,2,3,4},XT!U165,XT!Y165,XT!AC165,XT!AG165))=6)*(CHOOSE({1,2,3,4},XT!X165,XT!AB165,XT!AF165,XT!AJ165)))</f>
        <v>0</v>
      </c>
      <c r="V165" t="str">
        <f>IFERROR(INDEX(CHOOSE({1,2,3,4}, DAY(XT!U165), DAY(XT!Y165), DAY(XT!AC165), DAY(XT!AG165)), MATCH(1, INDEX(--(MONTH(CHOOSE({1,2,3,4}, XT!U165,XT!Y165,XT!AC165,XT!AG165))=6), 0), 0)), "")</f>
        <v/>
      </c>
      <c r="W165" s="12" t="str">
        <f>IF(XT!$P165&gt;0,V165,"")</f>
        <v/>
      </c>
      <c r="X165" s="12" t="str">
        <f>IF(XT!$P165=0,V165,"")</f>
        <v/>
      </c>
      <c r="Y165">
        <f>SUMPRODUCT((MONTH(CHOOSE({1,2,3,4},XT!U165,XT!Y165,XT!AC165,XT!AG165))=7)*(CHOOSE({1,2,3,4},XT!X165,XT!AB165,XT!AF165,XT!AJ165)))</f>
        <v>0</v>
      </c>
      <c r="Z165" t="str">
        <f>IFERROR(INDEX(CHOOSE({1,2,3,4}, DAY(XT!U165), DAY(XT!Y165), DAY(XT!AC165), DAY(XT!AG165)), MATCH(1, INDEX(--(MONTH(CHOOSE({1,2,3,4}, XT!U165,XT!Y165,XT!AC165,XT!AG165))=7), 0), 0)), "")</f>
        <v/>
      </c>
      <c r="AA165" s="12" t="str">
        <f>IF(XT!$P165&gt;0,Z165,"")</f>
        <v/>
      </c>
      <c r="AB165" s="12" t="str">
        <f>IF(XT!$P165=0,Z165,"")</f>
        <v/>
      </c>
      <c r="AC165">
        <f>SUMPRODUCT((MONTH(CHOOSE({1,2,3,4},XT!U165,XT!Y165,XT!AC165,XT!AG165))=8)*(CHOOSE({1,2,3,4},XT!X165,XT!AB165,XT!AF165,XT!AJ165)))</f>
        <v>0</v>
      </c>
      <c r="AD165" t="str">
        <f>IFERROR(INDEX(CHOOSE({1,2,3,4}, DAY(XT!U165), DAY(XT!Y165), DAY(XT!AC165), DAY(XT!AG165)), MATCH(1, INDEX(--(MONTH(CHOOSE({1,2,3,4}, XT!U165,XT!Y165,XT!AC165,XT!AG165))=8), 0), 0)), "")</f>
        <v/>
      </c>
      <c r="AE165" s="12" t="str">
        <f>IF(XT!$P165&gt;0,AD165,"")</f>
        <v/>
      </c>
      <c r="AF165" s="12" t="str">
        <f>IF(XT!$P165=0,AD165,"")</f>
        <v/>
      </c>
      <c r="AG165">
        <f>SUMPRODUCT((MONTH(CHOOSE({1,2,3,4},XT!U165,XT!Y165,XT!AC165,XT!AG165))=9)*(CHOOSE({1,2,3,4},XT!X165,XT!AB165,XT!AF165,XT!AJ165)))</f>
        <v>0</v>
      </c>
      <c r="AH165" t="str">
        <f>IFERROR(INDEX(CHOOSE({1,2,3,4}, DAY(XT!U165), DAY(XT!Y165), DAY(XT!AC165), DAY(XT!AG165)), MATCH(1, INDEX(--(MONTH(CHOOSE({1,2,3,4}, XT!U165,XT!Y165,XT!AC165,XT!AG165))=9), 0), 0)), "")</f>
        <v/>
      </c>
      <c r="AI165" s="12" t="str">
        <f>IF(XT!$P165&gt;0,AH165,"")</f>
        <v/>
      </c>
      <c r="AJ165" s="12" t="str">
        <f>IF(XT!$P165=0,AH165,"")</f>
        <v/>
      </c>
      <c r="AK165">
        <f>SUMPRODUCT((MONTH(CHOOSE({1,2,3,4},XT!U165,XT!Y165,XT!AC165,XT!AG165))=10)*(CHOOSE({1,2,3,4},XT!X165,XT!AB165,XT!AF165,XT!AJ165)))</f>
        <v>0</v>
      </c>
      <c r="AL165" t="str">
        <f>IFERROR(INDEX(CHOOSE({1,2,3,4}, DAY(XT!U165), DAY(XT!Y165), DAY(XT!AC165), DAY(XT!AG165)), MATCH(1, INDEX(--(MONTH(CHOOSE({1,2,3,4}, XT!U165,XT!Y165,XT!AC165,XT!AG165))=10), 0), 0)), "")</f>
        <v/>
      </c>
      <c r="AM165" s="12" t="str">
        <f>IF(XT!$P165&gt;0,AL165,"")</f>
        <v/>
      </c>
      <c r="AN165" s="12" t="str">
        <f>IF(XT!$P165=0,AL165,"")</f>
        <v/>
      </c>
      <c r="AO165">
        <f>SUMPRODUCT((MONTH(CHOOSE({1,2,3,4},XT!U165,XT!Y165,XT!AC165,XT!AG165))=11)*(CHOOSE({1,2,3,4},XT!X165,XT!AB165,XT!AF165,XT!AJ165)))</f>
        <v>0</v>
      </c>
      <c r="AP165" t="str">
        <f>IFERROR(INDEX(CHOOSE({1,2,3,4}, DAY(XT!U165), DAY(XT!Y165), DAY(XT!AC165), DAY(XT!AG165)), MATCH(1, INDEX(--(MONTH(CHOOSE({1,2,3,4}, XT!U165,XT!Y165,XT!AC165,XT!AG165))=11), 0), 0)), "")</f>
        <v/>
      </c>
      <c r="AQ165" s="12" t="str">
        <f>IF(XT!$P165&gt;0,AP165,"")</f>
        <v/>
      </c>
      <c r="AR165" s="12" t="str">
        <f>IF(XT!$P165=0,AP165,"")</f>
        <v/>
      </c>
      <c r="AS165">
        <f>SUMPRODUCT((MONTH(CHOOSE({1,2,3,4},XT!U165,XT!Y165,XT!AC165,XT!AG165))=12)*(CHOOSE({1,2,3,4},XT!X165,XT!AB165,XT!AF165,XT!AJ165)))</f>
        <v>0</v>
      </c>
      <c r="AT165" t="str">
        <f>IFERROR(INDEX(CHOOSE({1,2,3,4}, DAY(XT!U165), DAY(XT!Y165), DAY(XT!AC165), DAY(XT!AG165)), MATCH(1, INDEX(--(MONTH(CHOOSE({1,2,3,4}, XT!U165,XT!Y165,XT!AC165,XT!AG165))=12), 0), 0)), "")</f>
        <v/>
      </c>
      <c r="AU165" s="12" t="str">
        <f>IF(XT!$P165&gt;0,AT165,"")</f>
        <v/>
      </c>
      <c r="AV165" s="12" t="str">
        <f>IF(XT!$P165=0,AT165,"")</f>
        <v/>
      </c>
    </row>
    <row r="166" spans="1:48">
      <c r="A166">
        <f>SUMPRODUCT((MONTH(CHOOSE({1,2,3,4},XT!U166,XT!Y166,XT!AC166,XT!AG166))=1)*(CHOOSE({1,2,3,4},XT!X166,XT!AB166,XT!AF166,XT!AJ166)))</f>
        <v>0</v>
      </c>
      <c r="B166">
        <f>IFERROR(INDEX(CHOOSE({1,2,3,4}, DAY(XT!U166), DAY(XT!Y166), DAY(XT!AC166), DAY(XT!AG166)), MATCH(1, INDEX(--(MONTH(CHOOSE({1,2,3,4}, XT!U166,XT!Y166,XT!AC166,XT!AG166))=1), 0), 0)), "")</f>
        <v>0</v>
      </c>
      <c r="C166" s="12" t="str">
        <f>IF(XT!$P166&gt;0,B166,"")</f>
        <v/>
      </c>
      <c r="D166" s="12">
        <f>IF(XT!$P166=0,B166,"")</f>
        <v>0</v>
      </c>
      <c r="E166">
        <f>SUMPRODUCT((MONTH(CHOOSE({1,2,3,4},XT!U166,XT!Y166,XT!AC166,XT!AG166))=2)*(CHOOSE({1,2,3,4},XT!X166,XT!AB166,XT!AF166,XT!AJ166)))</f>
        <v>0</v>
      </c>
      <c r="F166" t="str">
        <f>IFERROR(INDEX(CHOOSE({1,2,3,4}, DAY(XT!U166), DAY(XT!Y166), DAY(XT!AC166), DAY(XT!AG166)), MATCH(1, INDEX(--(MONTH(CHOOSE({1,2,3,4}, XT!U166,XT!Y166,XT!AC166,XT!AG166))=2), 0), 0)), "")</f>
        <v/>
      </c>
      <c r="G166" s="12" t="str">
        <f>IF(XT!$P166&gt;0,F166,"")</f>
        <v/>
      </c>
      <c r="H166" s="12" t="str">
        <f>IF(XT!$P166=0,F166,"")</f>
        <v/>
      </c>
      <c r="I166">
        <f>SUMPRODUCT((MONTH(CHOOSE({1,2,3,4},XT!U166,XT!Y166,XT!AC166,XT!AG166))=3)*(CHOOSE({1,2,3,4},XT!X166,XT!AB166,XT!AF166,XT!AJ166)))</f>
        <v>0</v>
      </c>
      <c r="J166" t="str">
        <f>IFERROR(INDEX(CHOOSE({1,2,3,4}, DAY(XT!U166), DAY(XT!Y166), DAY(XT!AC166), DAY(XT!AG166)), MATCH(1, INDEX(--(MONTH(CHOOSE({1,2,3,4}, XT!U166,XT!Y166,XT!AC166,XT!AG166))=3), 0), 0)), "")</f>
        <v/>
      </c>
      <c r="K166" s="12" t="str">
        <f>IF(XT!$P166&gt;0,J166,"")</f>
        <v/>
      </c>
      <c r="L166" s="12" t="str">
        <f>IF(XT!$P166=0,J166,"")</f>
        <v/>
      </c>
      <c r="M166">
        <f>SUMPRODUCT((MONTH(CHOOSE({1,2,3,4},XT!U166,XT!Y166,XT!AC166,XT!AG166))=4)*(CHOOSE({1,2,3,4},XT!X166,XT!AB166,XT!AF166,XT!AJ166)))</f>
        <v>0</v>
      </c>
      <c r="N166" t="str">
        <f>IFERROR(INDEX(CHOOSE({1,2,3,4}, DAY(XT!U166), DAY(XT!Y166), DAY(XT!AC166), DAY(XT!AG166)), MATCH(1, INDEX(--(MONTH(CHOOSE({1,2,3,4}, XT!U166,XT!Y166,XT!AC166,XT!AG166))=4), 0), 0)), "")</f>
        <v/>
      </c>
      <c r="O166" s="12" t="str">
        <f>IF(XT!$P166&gt;0,N166,"")</f>
        <v/>
      </c>
      <c r="P166" s="12" t="str">
        <f>IF(XT!$P166=0,N166,"")</f>
        <v/>
      </c>
      <c r="Q166">
        <f>SUMPRODUCT((MONTH(CHOOSE({1,2,3,4},XT!U166,XT!Y166,XT!AC166,XT!AG166))=5)*(CHOOSE({1,2,3,4},XT!X166,XT!AB166,XT!AF166,XT!AJ166)))</f>
        <v>0</v>
      </c>
      <c r="R166" t="str">
        <f>IFERROR(INDEX(CHOOSE({1,2,3,4}, DAY(XT!U166), DAY(XT!Y166), DAY(XT!AC166), DAY(XT!AG166)), MATCH(1, INDEX(--(MONTH(CHOOSE({1,2,3,4}, XT!U166,XT!Y166,XT!AC166,XT!AG166))=5), 0), 0)), "")</f>
        <v/>
      </c>
      <c r="S166" s="12" t="str">
        <f>IF(XT!$P166&gt;0,R166,"")</f>
        <v/>
      </c>
      <c r="T166" s="12" t="str">
        <f>IF(XT!$P166=0,R166,"")</f>
        <v/>
      </c>
      <c r="U166">
        <f>SUMPRODUCT((MONTH(CHOOSE({1,2,3,4},XT!U166,XT!Y166,XT!AC166,XT!AG166))=6)*(CHOOSE({1,2,3,4},XT!X166,XT!AB166,XT!AF166,XT!AJ166)))</f>
        <v>0</v>
      </c>
      <c r="V166" t="str">
        <f>IFERROR(INDEX(CHOOSE({1,2,3,4}, DAY(XT!U166), DAY(XT!Y166), DAY(XT!AC166), DAY(XT!AG166)), MATCH(1, INDEX(--(MONTH(CHOOSE({1,2,3,4}, XT!U166,XT!Y166,XT!AC166,XT!AG166))=6), 0), 0)), "")</f>
        <v/>
      </c>
      <c r="W166" s="12" t="str">
        <f>IF(XT!$P166&gt;0,V166,"")</f>
        <v/>
      </c>
      <c r="X166" s="12" t="str">
        <f>IF(XT!$P166=0,V166,"")</f>
        <v/>
      </c>
      <c r="Y166">
        <f>SUMPRODUCT((MONTH(CHOOSE({1,2,3,4},XT!U166,XT!Y166,XT!AC166,XT!AG166))=7)*(CHOOSE({1,2,3,4},XT!X166,XT!AB166,XT!AF166,XT!AJ166)))</f>
        <v>0</v>
      </c>
      <c r="Z166" t="str">
        <f>IFERROR(INDEX(CHOOSE({1,2,3,4}, DAY(XT!U166), DAY(XT!Y166), DAY(XT!AC166), DAY(XT!AG166)), MATCH(1, INDEX(--(MONTH(CHOOSE({1,2,3,4}, XT!U166,XT!Y166,XT!AC166,XT!AG166))=7), 0), 0)), "")</f>
        <v/>
      </c>
      <c r="AA166" s="12" t="str">
        <f>IF(XT!$P166&gt;0,Z166,"")</f>
        <v/>
      </c>
      <c r="AB166" s="12" t="str">
        <f>IF(XT!$P166=0,Z166,"")</f>
        <v/>
      </c>
      <c r="AC166">
        <f>SUMPRODUCT((MONTH(CHOOSE({1,2,3,4},XT!U166,XT!Y166,XT!AC166,XT!AG166))=8)*(CHOOSE({1,2,3,4},XT!X166,XT!AB166,XT!AF166,XT!AJ166)))</f>
        <v>0</v>
      </c>
      <c r="AD166" t="str">
        <f>IFERROR(INDEX(CHOOSE({1,2,3,4}, DAY(XT!U166), DAY(XT!Y166), DAY(XT!AC166), DAY(XT!AG166)), MATCH(1, INDEX(--(MONTH(CHOOSE({1,2,3,4}, XT!U166,XT!Y166,XT!AC166,XT!AG166))=8), 0), 0)), "")</f>
        <v/>
      </c>
      <c r="AE166" s="12" t="str">
        <f>IF(XT!$P166&gt;0,AD166,"")</f>
        <v/>
      </c>
      <c r="AF166" s="12" t="str">
        <f>IF(XT!$P166=0,AD166,"")</f>
        <v/>
      </c>
      <c r="AG166">
        <f>SUMPRODUCT((MONTH(CHOOSE({1,2,3,4},XT!U166,XT!Y166,XT!AC166,XT!AG166))=9)*(CHOOSE({1,2,3,4},XT!X166,XT!AB166,XT!AF166,XT!AJ166)))</f>
        <v>0</v>
      </c>
      <c r="AH166" t="str">
        <f>IFERROR(INDEX(CHOOSE({1,2,3,4}, DAY(XT!U166), DAY(XT!Y166), DAY(XT!AC166), DAY(XT!AG166)), MATCH(1, INDEX(--(MONTH(CHOOSE({1,2,3,4}, XT!U166,XT!Y166,XT!AC166,XT!AG166))=9), 0), 0)), "")</f>
        <v/>
      </c>
      <c r="AI166" s="12" t="str">
        <f>IF(XT!$P166&gt;0,AH166,"")</f>
        <v/>
      </c>
      <c r="AJ166" s="12" t="str">
        <f>IF(XT!$P166=0,AH166,"")</f>
        <v/>
      </c>
      <c r="AK166">
        <f>SUMPRODUCT((MONTH(CHOOSE({1,2,3,4},XT!U166,XT!Y166,XT!AC166,XT!AG166))=10)*(CHOOSE({1,2,3,4},XT!X166,XT!AB166,XT!AF166,XT!AJ166)))</f>
        <v>0</v>
      </c>
      <c r="AL166" t="str">
        <f>IFERROR(INDEX(CHOOSE({1,2,3,4}, DAY(XT!U166), DAY(XT!Y166), DAY(XT!AC166), DAY(XT!AG166)), MATCH(1, INDEX(--(MONTH(CHOOSE({1,2,3,4}, XT!U166,XT!Y166,XT!AC166,XT!AG166))=10), 0), 0)), "")</f>
        <v/>
      </c>
      <c r="AM166" s="12" t="str">
        <f>IF(XT!$P166&gt;0,AL166,"")</f>
        <v/>
      </c>
      <c r="AN166" s="12" t="str">
        <f>IF(XT!$P166=0,AL166,"")</f>
        <v/>
      </c>
      <c r="AO166">
        <f>SUMPRODUCT((MONTH(CHOOSE({1,2,3,4},XT!U166,XT!Y166,XT!AC166,XT!AG166))=11)*(CHOOSE({1,2,3,4},XT!X166,XT!AB166,XT!AF166,XT!AJ166)))</f>
        <v>0</v>
      </c>
      <c r="AP166" t="str">
        <f>IFERROR(INDEX(CHOOSE({1,2,3,4}, DAY(XT!U166), DAY(XT!Y166), DAY(XT!AC166), DAY(XT!AG166)), MATCH(1, INDEX(--(MONTH(CHOOSE({1,2,3,4}, XT!U166,XT!Y166,XT!AC166,XT!AG166))=11), 0), 0)), "")</f>
        <v/>
      </c>
      <c r="AQ166" s="12" t="str">
        <f>IF(XT!$P166&gt;0,AP166,"")</f>
        <v/>
      </c>
      <c r="AR166" s="12" t="str">
        <f>IF(XT!$P166=0,AP166,"")</f>
        <v/>
      </c>
      <c r="AS166">
        <f>SUMPRODUCT((MONTH(CHOOSE({1,2,3,4},XT!U166,XT!Y166,XT!AC166,XT!AG166))=12)*(CHOOSE({1,2,3,4},XT!X166,XT!AB166,XT!AF166,XT!AJ166)))</f>
        <v>0</v>
      </c>
      <c r="AT166" t="str">
        <f>IFERROR(INDEX(CHOOSE({1,2,3,4}, DAY(XT!U166), DAY(XT!Y166), DAY(XT!AC166), DAY(XT!AG166)), MATCH(1, INDEX(--(MONTH(CHOOSE({1,2,3,4}, XT!U166,XT!Y166,XT!AC166,XT!AG166))=12), 0), 0)), "")</f>
        <v/>
      </c>
      <c r="AU166" s="12" t="str">
        <f>IF(XT!$P166&gt;0,AT166,"")</f>
        <v/>
      </c>
      <c r="AV166" s="12" t="str">
        <f>IF(XT!$P166=0,AT166,"")</f>
        <v/>
      </c>
    </row>
    <row r="167" spans="1:48">
      <c r="A167">
        <f>SUMPRODUCT((MONTH(CHOOSE({1,2,3,4},XT!U167,XT!Y167,XT!AC167,XT!AG167))=1)*(CHOOSE({1,2,3,4},XT!X167,XT!AB167,XT!AF167,XT!AJ167)))</f>
        <v>0</v>
      </c>
      <c r="B167">
        <f>IFERROR(INDEX(CHOOSE({1,2,3,4}, DAY(XT!U167), DAY(XT!Y167), DAY(XT!AC167), DAY(XT!AG167)), MATCH(1, INDEX(--(MONTH(CHOOSE({1,2,3,4}, XT!U167,XT!Y167,XT!AC167,XT!AG167))=1), 0), 0)), "")</f>
        <v>0</v>
      </c>
      <c r="C167" s="12" t="str">
        <f>IF(XT!$P167&gt;0,B167,"")</f>
        <v/>
      </c>
      <c r="D167" s="12">
        <f>IF(XT!$P167=0,B167,"")</f>
        <v>0</v>
      </c>
      <c r="E167">
        <f>SUMPRODUCT((MONTH(CHOOSE({1,2,3,4},XT!U167,XT!Y167,XT!AC167,XT!AG167))=2)*(CHOOSE({1,2,3,4},XT!X167,XT!AB167,XT!AF167,XT!AJ167)))</f>
        <v>0</v>
      </c>
      <c r="F167" t="str">
        <f>IFERROR(INDEX(CHOOSE({1,2,3,4}, DAY(XT!U167), DAY(XT!Y167), DAY(XT!AC167), DAY(XT!AG167)), MATCH(1, INDEX(--(MONTH(CHOOSE({1,2,3,4}, XT!U167,XT!Y167,XT!AC167,XT!AG167))=2), 0), 0)), "")</f>
        <v/>
      </c>
      <c r="G167" s="12" t="str">
        <f>IF(XT!$P167&gt;0,F167,"")</f>
        <v/>
      </c>
      <c r="H167" s="12" t="str">
        <f>IF(XT!$P167=0,F167,"")</f>
        <v/>
      </c>
      <c r="I167">
        <f>SUMPRODUCT((MONTH(CHOOSE({1,2,3,4},XT!U167,XT!Y167,XT!AC167,XT!AG167))=3)*(CHOOSE({1,2,3,4},XT!X167,XT!AB167,XT!AF167,XT!AJ167)))</f>
        <v>0</v>
      </c>
      <c r="J167" t="str">
        <f>IFERROR(INDEX(CHOOSE({1,2,3,4}, DAY(XT!U167), DAY(XT!Y167), DAY(XT!AC167), DAY(XT!AG167)), MATCH(1, INDEX(--(MONTH(CHOOSE({1,2,3,4}, XT!U167,XT!Y167,XT!AC167,XT!AG167))=3), 0), 0)), "")</f>
        <v/>
      </c>
      <c r="K167" s="12" t="str">
        <f>IF(XT!$P167&gt;0,J167,"")</f>
        <v/>
      </c>
      <c r="L167" s="12" t="str">
        <f>IF(XT!$P167=0,J167,"")</f>
        <v/>
      </c>
      <c r="M167">
        <f>SUMPRODUCT((MONTH(CHOOSE({1,2,3,4},XT!U167,XT!Y167,XT!AC167,XT!AG167))=4)*(CHOOSE({1,2,3,4},XT!X167,XT!AB167,XT!AF167,XT!AJ167)))</f>
        <v>0</v>
      </c>
      <c r="N167" t="str">
        <f>IFERROR(INDEX(CHOOSE({1,2,3,4}, DAY(XT!U167), DAY(XT!Y167), DAY(XT!AC167), DAY(XT!AG167)), MATCH(1, INDEX(--(MONTH(CHOOSE({1,2,3,4}, XT!U167,XT!Y167,XT!AC167,XT!AG167))=4), 0), 0)), "")</f>
        <v/>
      </c>
      <c r="O167" s="12" t="str">
        <f>IF(XT!$P167&gt;0,N167,"")</f>
        <v/>
      </c>
      <c r="P167" s="12" t="str">
        <f>IF(XT!$P167=0,N167,"")</f>
        <v/>
      </c>
      <c r="Q167">
        <f>SUMPRODUCT((MONTH(CHOOSE({1,2,3,4},XT!U167,XT!Y167,XT!AC167,XT!AG167))=5)*(CHOOSE({1,2,3,4},XT!X167,XT!AB167,XT!AF167,XT!AJ167)))</f>
        <v>0</v>
      </c>
      <c r="R167" t="str">
        <f>IFERROR(INDEX(CHOOSE({1,2,3,4}, DAY(XT!U167), DAY(XT!Y167), DAY(XT!AC167), DAY(XT!AG167)), MATCH(1, INDEX(--(MONTH(CHOOSE({1,2,3,4}, XT!U167,XT!Y167,XT!AC167,XT!AG167))=5), 0), 0)), "")</f>
        <v/>
      </c>
      <c r="S167" s="12" t="str">
        <f>IF(XT!$P167&gt;0,R167,"")</f>
        <v/>
      </c>
      <c r="T167" s="12" t="str">
        <f>IF(XT!$P167=0,R167,"")</f>
        <v/>
      </c>
      <c r="U167">
        <f>SUMPRODUCT((MONTH(CHOOSE({1,2,3,4},XT!U167,XT!Y167,XT!AC167,XT!AG167))=6)*(CHOOSE({1,2,3,4},XT!X167,XT!AB167,XT!AF167,XT!AJ167)))</f>
        <v>0</v>
      </c>
      <c r="V167" t="str">
        <f>IFERROR(INDEX(CHOOSE({1,2,3,4}, DAY(XT!U167), DAY(XT!Y167), DAY(XT!AC167), DAY(XT!AG167)), MATCH(1, INDEX(--(MONTH(CHOOSE({1,2,3,4}, XT!U167,XT!Y167,XT!AC167,XT!AG167))=6), 0), 0)), "")</f>
        <v/>
      </c>
      <c r="W167" s="12" t="str">
        <f>IF(XT!$P167&gt;0,V167,"")</f>
        <v/>
      </c>
      <c r="X167" s="12" t="str">
        <f>IF(XT!$P167=0,V167,"")</f>
        <v/>
      </c>
      <c r="Y167">
        <f>SUMPRODUCT((MONTH(CHOOSE({1,2,3,4},XT!U167,XT!Y167,XT!AC167,XT!AG167))=7)*(CHOOSE({1,2,3,4},XT!X167,XT!AB167,XT!AF167,XT!AJ167)))</f>
        <v>0</v>
      </c>
      <c r="Z167" t="str">
        <f>IFERROR(INDEX(CHOOSE({1,2,3,4}, DAY(XT!U167), DAY(XT!Y167), DAY(XT!AC167), DAY(XT!AG167)), MATCH(1, INDEX(--(MONTH(CHOOSE({1,2,3,4}, XT!U167,XT!Y167,XT!AC167,XT!AG167))=7), 0), 0)), "")</f>
        <v/>
      </c>
      <c r="AA167" s="12" t="str">
        <f>IF(XT!$P167&gt;0,Z167,"")</f>
        <v/>
      </c>
      <c r="AB167" s="12" t="str">
        <f>IF(XT!$P167=0,Z167,"")</f>
        <v/>
      </c>
      <c r="AC167">
        <f>SUMPRODUCT((MONTH(CHOOSE({1,2,3,4},XT!U167,XT!Y167,XT!AC167,XT!AG167))=8)*(CHOOSE({1,2,3,4},XT!X167,XT!AB167,XT!AF167,XT!AJ167)))</f>
        <v>0</v>
      </c>
      <c r="AD167" t="str">
        <f>IFERROR(INDEX(CHOOSE({1,2,3,4}, DAY(XT!U167), DAY(XT!Y167), DAY(XT!AC167), DAY(XT!AG167)), MATCH(1, INDEX(--(MONTH(CHOOSE({1,2,3,4}, XT!U167,XT!Y167,XT!AC167,XT!AG167))=8), 0), 0)), "")</f>
        <v/>
      </c>
      <c r="AE167" s="12" t="str">
        <f>IF(XT!$P167&gt;0,AD167,"")</f>
        <v/>
      </c>
      <c r="AF167" s="12" t="str">
        <f>IF(XT!$P167=0,AD167,"")</f>
        <v/>
      </c>
      <c r="AG167">
        <f>SUMPRODUCT((MONTH(CHOOSE({1,2,3,4},XT!U167,XT!Y167,XT!AC167,XT!AG167))=9)*(CHOOSE({1,2,3,4},XT!X167,XT!AB167,XT!AF167,XT!AJ167)))</f>
        <v>0</v>
      </c>
      <c r="AH167" t="str">
        <f>IFERROR(INDEX(CHOOSE({1,2,3,4}, DAY(XT!U167), DAY(XT!Y167), DAY(XT!AC167), DAY(XT!AG167)), MATCH(1, INDEX(--(MONTH(CHOOSE({1,2,3,4}, XT!U167,XT!Y167,XT!AC167,XT!AG167))=9), 0), 0)), "")</f>
        <v/>
      </c>
      <c r="AI167" s="12" t="str">
        <f>IF(XT!$P167&gt;0,AH167,"")</f>
        <v/>
      </c>
      <c r="AJ167" s="12" t="str">
        <f>IF(XT!$P167=0,AH167,"")</f>
        <v/>
      </c>
      <c r="AK167">
        <f>SUMPRODUCT((MONTH(CHOOSE({1,2,3,4},XT!U167,XT!Y167,XT!AC167,XT!AG167))=10)*(CHOOSE({1,2,3,4},XT!X167,XT!AB167,XT!AF167,XT!AJ167)))</f>
        <v>0</v>
      </c>
      <c r="AL167" t="str">
        <f>IFERROR(INDEX(CHOOSE({1,2,3,4}, DAY(XT!U167), DAY(XT!Y167), DAY(XT!AC167), DAY(XT!AG167)), MATCH(1, INDEX(--(MONTH(CHOOSE({1,2,3,4}, XT!U167,XT!Y167,XT!AC167,XT!AG167))=10), 0), 0)), "")</f>
        <v/>
      </c>
      <c r="AM167" s="12" t="str">
        <f>IF(XT!$P167&gt;0,AL167,"")</f>
        <v/>
      </c>
      <c r="AN167" s="12" t="str">
        <f>IF(XT!$P167=0,AL167,"")</f>
        <v/>
      </c>
      <c r="AO167">
        <f>SUMPRODUCT((MONTH(CHOOSE({1,2,3,4},XT!U167,XT!Y167,XT!AC167,XT!AG167))=11)*(CHOOSE({1,2,3,4},XT!X167,XT!AB167,XT!AF167,XT!AJ167)))</f>
        <v>0</v>
      </c>
      <c r="AP167" t="str">
        <f>IFERROR(INDEX(CHOOSE({1,2,3,4}, DAY(XT!U167), DAY(XT!Y167), DAY(XT!AC167), DAY(XT!AG167)), MATCH(1, INDEX(--(MONTH(CHOOSE({1,2,3,4}, XT!U167,XT!Y167,XT!AC167,XT!AG167))=11), 0), 0)), "")</f>
        <v/>
      </c>
      <c r="AQ167" s="12" t="str">
        <f>IF(XT!$P167&gt;0,AP167,"")</f>
        <v/>
      </c>
      <c r="AR167" s="12" t="str">
        <f>IF(XT!$P167=0,AP167,"")</f>
        <v/>
      </c>
      <c r="AS167">
        <f>SUMPRODUCT((MONTH(CHOOSE({1,2,3,4},XT!U167,XT!Y167,XT!AC167,XT!AG167))=12)*(CHOOSE({1,2,3,4},XT!X167,XT!AB167,XT!AF167,XT!AJ167)))</f>
        <v>0</v>
      </c>
      <c r="AT167" t="str">
        <f>IFERROR(INDEX(CHOOSE({1,2,3,4}, DAY(XT!U167), DAY(XT!Y167), DAY(XT!AC167), DAY(XT!AG167)), MATCH(1, INDEX(--(MONTH(CHOOSE({1,2,3,4}, XT!U167,XT!Y167,XT!AC167,XT!AG167))=12), 0), 0)), "")</f>
        <v/>
      </c>
      <c r="AU167" s="12" t="str">
        <f>IF(XT!$P167&gt;0,AT167,"")</f>
        <v/>
      </c>
      <c r="AV167" s="12" t="str">
        <f>IF(XT!$P167=0,AT167,"")</f>
        <v/>
      </c>
    </row>
    <row r="168" spans="1:48">
      <c r="A168">
        <f>SUMPRODUCT((MONTH(CHOOSE({1,2,3,4},XT!U168,XT!Y168,XT!AC168,XT!AG168))=1)*(CHOOSE({1,2,3,4},XT!X168,XT!AB168,XT!AF168,XT!AJ168)))</f>
        <v>0</v>
      </c>
      <c r="B168">
        <f>IFERROR(INDEX(CHOOSE({1,2,3,4}, DAY(XT!U168), DAY(XT!Y168), DAY(XT!AC168), DAY(XT!AG168)), MATCH(1, INDEX(--(MONTH(CHOOSE({1,2,3,4}, XT!U168,XT!Y168,XT!AC168,XT!AG168))=1), 0), 0)), "")</f>
        <v>0</v>
      </c>
      <c r="C168" s="12" t="str">
        <f>IF(XT!$P168&gt;0,B168,"")</f>
        <v/>
      </c>
      <c r="D168" s="12">
        <f>IF(XT!$P168=0,B168,"")</f>
        <v>0</v>
      </c>
      <c r="E168">
        <f>SUMPRODUCT((MONTH(CHOOSE({1,2,3,4},XT!U168,XT!Y168,XT!AC168,XT!AG168))=2)*(CHOOSE({1,2,3,4},XT!X168,XT!AB168,XT!AF168,XT!AJ168)))</f>
        <v>0</v>
      </c>
      <c r="F168" t="str">
        <f>IFERROR(INDEX(CHOOSE({1,2,3,4}, DAY(XT!U168), DAY(XT!Y168), DAY(XT!AC168), DAY(XT!AG168)), MATCH(1, INDEX(--(MONTH(CHOOSE({1,2,3,4}, XT!U168,XT!Y168,XT!AC168,XT!AG168))=2), 0), 0)), "")</f>
        <v/>
      </c>
      <c r="G168" s="12" t="str">
        <f>IF(XT!$P168&gt;0,F168,"")</f>
        <v/>
      </c>
      <c r="H168" s="12" t="str">
        <f>IF(XT!$P168=0,F168,"")</f>
        <v/>
      </c>
      <c r="I168">
        <f>SUMPRODUCT((MONTH(CHOOSE({1,2,3,4},XT!U168,XT!Y168,XT!AC168,XT!AG168))=3)*(CHOOSE({1,2,3,4},XT!X168,XT!AB168,XT!AF168,XT!AJ168)))</f>
        <v>0</v>
      </c>
      <c r="J168" t="str">
        <f>IFERROR(INDEX(CHOOSE({1,2,3,4}, DAY(XT!U168), DAY(XT!Y168), DAY(XT!AC168), DAY(XT!AG168)), MATCH(1, INDEX(--(MONTH(CHOOSE({1,2,3,4}, XT!U168,XT!Y168,XT!AC168,XT!AG168))=3), 0), 0)), "")</f>
        <v/>
      </c>
      <c r="K168" s="12" t="str">
        <f>IF(XT!$P168&gt;0,J168,"")</f>
        <v/>
      </c>
      <c r="L168" s="12" t="str">
        <f>IF(XT!$P168=0,J168,"")</f>
        <v/>
      </c>
      <c r="M168">
        <f>SUMPRODUCT((MONTH(CHOOSE({1,2,3,4},XT!U168,XT!Y168,XT!AC168,XT!AG168))=4)*(CHOOSE({1,2,3,4},XT!X168,XT!AB168,XT!AF168,XT!AJ168)))</f>
        <v>0</v>
      </c>
      <c r="N168" t="str">
        <f>IFERROR(INDEX(CHOOSE({1,2,3,4}, DAY(XT!U168), DAY(XT!Y168), DAY(XT!AC168), DAY(XT!AG168)), MATCH(1, INDEX(--(MONTH(CHOOSE({1,2,3,4}, XT!U168,XT!Y168,XT!AC168,XT!AG168))=4), 0), 0)), "")</f>
        <v/>
      </c>
      <c r="O168" s="12" t="str">
        <f>IF(XT!$P168&gt;0,N168,"")</f>
        <v/>
      </c>
      <c r="P168" s="12" t="str">
        <f>IF(XT!$P168=0,N168,"")</f>
        <v/>
      </c>
      <c r="Q168">
        <f>SUMPRODUCT((MONTH(CHOOSE({1,2,3,4},XT!U168,XT!Y168,XT!AC168,XT!AG168))=5)*(CHOOSE({1,2,3,4},XT!X168,XT!AB168,XT!AF168,XT!AJ168)))</f>
        <v>0</v>
      </c>
      <c r="R168" t="str">
        <f>IFERROR(INDEX(CHOOSE({1,2,3,4}, DAY(XT!U168), DAY(XT!Y168), DAY(XT!AC168), DAY(XT!AG168)), MATCH(1, INDEX(--(MONTH(CHOOSE({1,2,3,4}, XT!U168,XT!Y168,XT!AC168,XT!AG168))=5), 0), 0)), "")</f>
        <v/>
      </c>
      <c r="S168" s="12" t="str">
        <f>IF(XT!$P168&gt;0,R168,"")</f>
        <v/>
      </c>
      <c r="T168" s="12" t="str">
        <f>IF(XT!$P168=0,R168,"")</f>
        <v/>
      </c>
      <c r="U168">
        <f>SUMPRODUCT((MONTH(CHOOSE({1,2,3,4},XT!U168,XT!Y168,XT!AC168,XT!AG168))=6)*(CHOOSE({1,2,3,4},XT!X168,XT!AB168,XT!AF168,XT!AJ168)))</f>
        <v>0</v>
      </c>
      <c r="V168" t="str">
        <f>IFERROR(INDEX(CHOOSE({1,2,3,4}, DAY(XT!U168), DAY(XT!Y168), DAY(XT!AC168), DAY(XT!AG168)), MATCH(1, INDEX(--(MONTH(CHOOSE({1,2,3,4}, XT!U168,XT!Y168,XT!AC168,XT!AG168))=6), 0), 0)), "")</f>
        <v/>
      </c>
      <c r="W168" s="12" t="str">
        <f>IF(XT!$P168&gt;0,V168,"")</f>
        <v/>
      </c>
      <c r="X168" s="12" t="str">
        <f>IF(XT!$P168=0,V168,"")</f>
        <v/>
      </c>
      <c r="Y168">
        <f>SUMPRODUCT((MONTH(CHOOSE({1,2,3,4},XT!U168,XT!Y168,XT!AC168,XT!AG168))=7)*(CHOOSE({1,2,3,4},XT!X168,XT!AB168,XT!AF168,XT!AJ168)))</f>
        <v>0</v>
      </c>
      <c r="Z168" t="str">
        <f>IFERROR(INDEX(CHOOSE({1,2,3,4}, DAY(XT!U168), DAY(XT!Y168), DAY(XT!AC168), DAY(XT!AG168)), MATCH(1, INDEX(--(MONTH(CHOOSE({1,2,3,4}, XT!U168,XT!Y168,XT!AC168,XT!AG168))=7), 0), 0)), "")</f>
        <v/>
      </c>
      <c r="AA168" s="12" t="str">
        <f>IF(XT!$P168&gt;0,Z168,"")</f>
        <v/>
      </c>
      <c r="AB168" s="12" t="str">
        <f>IF(XT!$P168=0,Z168,"")</f>
        <v/>
      </c>
      <c r="AC168">
        <f>SUMPRODUCT((MONTH(CHOOSE({1,2,3,4},XT!U168,XT!Y168,XT!AC168,XT!AG168))=8)*(CHOOSE({1,2,3,4},XT!X168,XT!AB168,XT!AF168,XT!AJ168)))</f>
        <v>0</v>
      </c>
      <c r="AD168" t="str">
        <f>IFERROR(INDEX(CHOOSE({1,2,3,4}, DAY(XT!U168), DAY(XT!Y168), DAY(XT!AC168), DAY(XT!AG168)), MATCH(1, INDEX(--(MONTH(CHOOSE({1,2,3,4}, XT!U168,XT!Y168,XT!AC168,XT!AG168))=8), 0), 0)), "")</f>
        <v/>
      </c>
      <c r="AE168" s="12" t="str">
        <f>IF(XT!$P168&gt;0,AD168,"")</f>
        <v/>
      </c>
      <c r="AF168" s="12" t="str">
        <f>IF(XT!$P168=0,AD168,"")</f>
        <v/>
      </c>
      <c r="AG168">
        <f>SUMPRODUCT((MONTH(CHOOSE({1,2,3,4},XT!U168,XT!Y168,XT!AC168,XT!AG168))=9)*(CHOOSE({1,2,3,4},XT!X168,XT!AB168,XT!AF168,XT!AJ168)))</f>
        <v>0</v>
      </c>
      <c r="AH168" t="str">
        <f>IFERROR(INDEX(CHOOSE({1,2,3,4}, DAY(XT!U168), DAY(XT!Y168), DAY(XT!AC168), DAY(XT!AG168)), MATCH(1, INDEX(--(MONTH(CHOOSE({1,2,3,4}, XT!U168,XT!Y168,XT!AC168,XT!AG168))=9), 0), 0)), "")</f>
        <v/>
      </c>
      <c r="AI168" s="12" t="str">
        <f>IF(XT!$P168&gt;0,AH168,"")</f>
        <v/>
      </c>
      <c r="AJ168" s="12" t="str">
        <f>IF(XT!$P168=0,AH168,"")</f>
        <v/>
      </c>
      <c r="AK168">
        <f>SUMPRODUCT((MONTH(CHOOSE({1,2,3,4},XT!U168,XT!Y168,XT!AC168,XT!AG168))=10)*(CHOOSE({1,2,3,4},XT!X168,XT!AB168,XT!AF168,XT!AJ168)))</f>
        <v>0</v>
      </c>
      <c r="AL168" t="str">
        <f>IFERROR(INDEX(CHOOSE({1,2,3,4}, DAY(XT!U168), DAY(XT!Y168), DAY(XT!AC168), DAY(XT!AG168)), MATCH(1, INDEX(--(MONTH(CHOOSE({1,2,3,4}, XT!U168,XT!Y168,XT!AC168,XT!AG168))=10), 0), 0)), "")</f>
        <v/>
      </c>
      <c r="AM168" s="12" t="str">
        <f>IF(XT!$P168&gt;0,AL168,"")</f>
        <v/>
      </c>
      <c r="AN168" s="12" t="str">
        <f>IF(XT!$P168=0,AL168,"")</f>
        <v/>
      </c>
      <c r="AO168">
        <f>SUMPRODUCT((MONTH(CHOOSE({1,2,3,4},XT!U168,XT!Y168,XT!AC168,XT!AG168))=11)*(CHOOSE({1,2,3,4},XT!X168,XT!AB168,XT!AF168,XT!AJ168)))</f>
        <v>0</v>
      </c>
      <c r="AP168" t="str">
        <f>IFERROR(INDEX(CHOOSE({1,2,3,4}, DAY(XT!U168), DAY(XT!Y168), DAY(XT!AC168), DAY(XT!AG168)), MATCH(1, INDEX(--(MONTH(CHOOSE({1,2,3,4}, XT!U168,XT!Y168,XT!AC168,XT!AG168))=11), 0), 0)), "")</f>
        <v/>
      </c>
      <c r="AQ168" s="12" t="str">
        <f>IF(XT!$P168&gt;0,AP168,"")</f>
        <v/>
      </c>
      <c r="AR168" s="12" t="str">
        <f>IF(XT!$P168=0,AP168,"")</f>
        <v/>
      </c>
      <c r="AS168">
        <f>SUMPRODUCT((MONTH(CHOOSE({1,2,3,4},XT!U168,XT!Y168,XT!AC168,XT!AG168))=12)*(CHOOSE({1,2,3,4},XT!X168,XT!AB168,XT!AF168,XT!AJ168)))</f>
        <v>0</v>
      </c>
      <c r="AT168" t="str">
        <f>IFERROR(INDEX(CHOOSE({1,2,3,4}, DAY(XT!U168), DAY(XT!Y168), DAY(XT!AC168), DAY(XT!AG168)), MATCH(1, INDEX(--(MONTH(CHOOSE({1,2,3,4}, XT!U168,XT!Y168,XT!AC168,XT!AG168))=12), 0), 0)), "")</f>
        <v/>
      </c>
      <c r="AU168" s="12" t="str">
        <f>IF(XT!$P168&gt;0,AT168,"")</f>
        <v/>
      </c>
      <c r="AV168" s="12" t="str">
        <f>IF(XT!$P168=0,AT168,"")</f>
        <v/>
      </c>
    </row>
    <row r="169" spans="1:48">
      <c r="A169">
        <f>SUMPRODUCT((MONTH(CHOOSE({1,2,3,4},XT!U169,XT!Y169,XT!AC169,XT!AG169))=1)*(CHOOSE({1,2,3,4},XT!X169,XT!AB169,XT!AF169,XT!AJ169)))</f>
        <v>0</v>
      </c>
      <c r="B169">
        <f>IFERROR(INDEX(CHOOSE({1,2,3,4}, DAY(XT!U169), DAY(XT!Y169), DAY(XT!AC169), DAY(XT!AG169)), MATCH(1, INDEX(--(MONTH(CHOOSE({1,2,3,4}, XT!U169,XT!Y169,XT!AC169,XT!AG169))=1), 0), 0)), "")</f>
        <v>0</v>
      </c>
      <c r="C169" s="12" t="str">
        <f>IF(XT!$P169&gt;0,B169,"")</f>
        <v/>
      </c>
      <c r="D169" s="12">
        <f>IF(XT!$P169=0,B169,"")</f>
        <v>0</v>
      </c>
      <c r="E169">
        <f>SUMPRODUCT((MONTH(CHOOSE({1,2,3,4},XT!U169,XT!Y169,XT!AC169,XT!AG169))=2)*(CHOOSE({1,2,3,4},XT!X169,XT!AB169,XT!AF169,XT!AJ169)))</f>
        <v>0</v>
      </c>
      <c r="F169" t="str">
        <f>IFERROR(INDEX(CHOOSE({1,2,3,4}, DAY(XT!U169), DAY(XT!Y169), DAY(XT!AC169), DAY(XT!AG169)), MATCH(1, INDEX(--(MONTH(CHOOSE({1,2,3,4}, XT!U169,XT!Y169,XT!AC169,XT!AG169))=2), 0), 0)), "")</f>
        <v/>
      </c>
      <c r="G169" s="12" t="str">
        <f>IF(XT!$P169&gt;0,F169,"")</f>
        <v/>
      </c>
      <c r="H169" s="12" t="str">
        <f>IF(XT!$P169=0,F169,"")</f>
        <v/>
      </c>
      <c r="I169">
        <f>SUMPRODUCT((MONTH(CHOOSE({1,2,3,4},XT!U169,XT!Y169,XT!AC169,XT!AG169))=3)*(CHOOSE({1,2,3,4},XT!X169,XT!AB169,XT!AF169,XT!AJ169)))</f>
        <v>0</v>
      </c>
      <c r="J169" t="str">
        <f>IFERROR(INDEX(CHOOSE({1,2,3,4}, DAY(XT!U169), DAY(XT!Y169), DAY(XT!AC169), DAY(XT!AG169)), MATCH(1, INDEX(--(MONTH(CHOOSE({1,2,3,4}, XT!U169,XT!Y169,XT!AC169,XT!AG169))=3), 0), 0)), "")</f>
        <v/>
      </c>
      <c r="K169" s="12" t="str">
        <f>IF(XT!$P169&gt;0,J169,"")</f>
        <v/>
      </c>
      <c r="L169" s="12" t="str">
        <f>IF(XT!$P169=0,J169,"")</f>
        <v/>
      </c>
      <c r="M169">
        <f>SUMPRODUCT((MONTH(CHOOSE({1,2,3,4},XT!U169,XT!Y169,XT!AC169,XT!AG169))=4)*(CHOOSE({1,2,3,4},XT!X169,XT!AB169,XT!AF169,XT!AJ169)))</f>
        <v>0</v>
      </c>
      <c r="N169" t="str">
        <f>IFERROR(INDEX(CHOOSE({1,2,3,4}, DAY(XT!U169), DAY(XT!Y169), DAY(XT!AC169), DAY(XT!AG169)), MATCH(1, INDEX(--(MONTH(CHOOSE({1,2,3,4}, XT!U169,XT!Y169,XT!AC169,XT!AG169))=4), 0), 0)), "")</f>
        <v/>
      </c>
      <c r="O169" s="12" t="str">
        <f>IF(XT!$P169&gt;0,N169,"")</f>
        <v/>
      </c>
      <c r="P169" s="12" t="str">
        <f>IF(XT!$P169=0,N169,"")</f>
        <v/>
      </c>
      <c r="Q169">
        <f>SUMPRODUCT((MONTH(CHOOSE({1,2,3,4},XT!U169,XT!Y169,XT!AC169,XT!AG169))=5)*(CHOOSE({1,2,3,4},XT!X169,XT!AB169,XT!AF169,XT!AJ169)))</f>
        <v>0</v>
      </c>
      <c r="R169" t="str">
        <f>IFERROR(INDEX(CHOOSE({1,2,3,4}, DAY(XT!U169), DAY(XT!Y169), DAY(XT!AC169), DAY(XT!AG169)), MATCH(1, INDEX(--(MONTH(CHOOSE({1,2,3,4}, XT!U169,XT!Y169,XT!AC169,XT!AG169))=5), 0), 0)), "")</f>
        <v/>
      </c>
      <c r="S169" s="12" t="str">
        <f>IF(XT!$P169&gt;0,R169,"")</f>
        <v/>
      </c>
      <c r="T169" s="12" t="str">
        <f>IF(XT!$P169=0,R169,"")</f>
        <v/>
      </c>
      <c r="U169">
        <f>SUMPRODUCT((MONTH(CHOOSE({1,2,3,4},XT!U169,XT!Y169,XT!AC169,XT!AG169))=6)*(CHOOSE({1,2,3,4},XT!X169,XT!AB169,XT!AF169,XT!AJ169)))</f>
        <v>0</v>
      </c>
      <c r="V169" t="str">
        <f>IFERROR(INDEX(CHOOSE({1,2,3,4}, DAY(XT!U169), DAY(XT!Y169), DAY(XT!AC169), DAY(XT!AG169)), MATCH(1, INDEX(--(MONTH(CHOOSE({1,2,3,4}, XT!U169,XT!Y169,XT!AC169,XT!AG169))=6), 0), 0)), "")</f>
        <v/>
      </c>
      <c r="W169" s="12" t="str">
        <f>IF(XT!$P169&gt;0,V169,"")</f>
        <v/>
      </c>
      <c r="X169" s="12" t="str">
        <f>IF(XT!$P169=0,V169,"")</f>
        <v/>
      </c>
      <c r="Y169">
        <f>SUMPRODUCT((MONTH(CHOOSE({1,2,3,4},XT!U169,XT!Y169,XT!AC169,XT!AG169))=7)*(CHOOSE({1,2,3,4},XT!X169,XT!AB169,XT!AF169,XT!AJ169)))</f>
        <v>0</v>
      </c>
      <c r="Z169" t="str">
        <f>IFERROR(INDEX(CHOOSE({1,2,3,4}, DAY(XT!U169), DAY(XT!Y169), DAY(XT!AC169), DAY(XT!AG169)), MATCH(1, INDEX(--(MONTH(CHOOSE({1,2,3,4}, XT!U169,XT!Y169,XT!AC169,XT!AG169))=7), 0), 0)), "")</f>
        <v/>
      </c>
      <c r="AA169" s="12" t="str">
        <f>IF(XT!$P169&gt;0,Z169,"")</f>
        <v/>
      </c>
      <c r="AB169" s="12" t="str">
        <f>IF(XT!$P169=0,Z169,"")</f>
        <v/>
      </c>
      <c r="AC169">
        <f>SUMPRODUCT((MONTH(CHOOSE({1,2,3,4},XT!U169,XT!Y169,XT!AC169,XT!AG169))=8)*(CHOOSE({1,2,3,4},XT!X169,XT!AB169,XT!AF169,XT!AJ169)))</f>
        <v>0</v>
      </c>
      <c r="AD169" t="str">
        <f>IFERROR(INDEX(CHOOSE({1,2,3,4}, DAY(XT!U169), DAY(XT!Y169), DAY(XT!AC169), DAY(XT!AG169)), MATCH(1, INDEX(--(MONTH(CHOOSE({1,2,3,4}, XT!U169,XT!Y169,XT!AC169,XT!AG169))=8), 0), 0)), "")</f>
        <v/>
      </c>
      <c r="AE169" s="12" t="str">
        <f>IF(XT!$P169&gt;0,AD169,"")</f>
        <v/>
      </c>
      <c r="AF169" s="12" t="str">
        <f>IF(XT!$P169=0,AD169,"")</f>
        <v/>
      </c>
      <c r="AG169">
        <f>SUMPRODUCT((MONTH(CHOOSE({1,2,3,4},XT!U169,XT!Y169,XT!AC169,XT!AG169))=9)*(CHOOSE({1,2,3,4},XT!X169,XT!AB169,XT!AF169,XT!AJ169)))</f>
        <v>0</v>
      </c>
      <c r="AH169" t="str">
        <f>IFERROR(INDEX(CHOOSE({1,2,3,4}, DAY(XT!U169), DAY(XT!Y169), DAY(XT!AC169), DAY(XT!AG169)), MATCH(1, INDEX(--(MONTH(CHOOSE({1,2,3,4}, XT!U169,XT!Y169,XT!AC169,XT!AG169))=9), 0), 0)), "")</f>
        <v/>
      </c>
      <c r="AI169" s="12" t="str">
        <f>IF(XT!$P169&gt;0,AH169,"")</f>
        <v/>
      </c>
      <c r="AJ169" s="12" t="str">
        <f>IF(XT!$P169=0,AH169,"")</f>
        <v/>
      </c>
      <c r="AK169">
        <f>SUMPRODUCT((MONTH(CHOOSE({1,2,3,4},XT!U169,XT!Y169,XT!AC169,XT!AG169))=10)*(CHOOSE({1,2,3,4},XT!X169,XT!AB169,XT!AF169,XT!AJ169)))</f>
        <v>0</v>
      </c>
      <c r="AL169" t="str">
        <f>IFERROR(INDEX(CHOOSE({1,2,3,4}, DAY(XT!U169), DAY(XT!Y169), DAY(XT!AC169), DAY(XT!AG169)), MATCH(1, INDEX(--(MONTH(CHOOSE({1,2,3,4}, XT!U169,XT!Y169,XT!AC169,XT!AG169))=10), 0), 0)), "")</f>
        <v/>
      </c>
      <c r="AM169" s="12" t="str">
        <f>IF(XT!$P169&gt;0,AL169,"")</f>
        <v/>
      </c>
      <c r="AN169" s="12" t="str">
        <f>IF(XT!$P169=0,AL169,"")</f>
        <v/>
      </c>
      <c r="AO169">
        <f>SUMPRODUCT((MONTH(CHOOSE({1,2,3,4},XT!U169,XT!Y169,XT!AC169,XT!AG169))=11)*(CHOOSE({1,2,3,4},XT!X169,XT!AB169,XT!AF169,XT!AJ169)))</f>
        <v>0</v>
      </c>
      <c r="AP169" t="str">
        <f>IFERROR(INDEX(CHOOSE({1,2,3,4}, DAY(XT!U169), DAY(XT!Y169), DAY(XT!AC169), DAY(XT!AG169)), MATCH(1, INDEX(--(MONTH(CHOOSE({1,2,3,4}, XT!U169,XT!Y169,XT!AC169,XT!AG169))=11), 0), 0)), "")</f>
        <v/>
      </c>
      <c r="AQ169" s="12" t="str">
        <f>IF(XT!$P169&gt;0,AP169,"")</f>
        <v/>
      </c>
      <c r="AR169" s="12" t="str">
        <f>IF(XT!$P169=0,AP169,"")</f>
        <v/>
      </c>
      <c r="AS169">
        <f>SUMPRODUCT((MONTH(CHOOSE({1,2,3,4},XT!U169,XT!Y169,XT!AC169,XT!AG169))=12)*(CHOOSE({1,2,3,4},XT!X169,XT!AB169,XT!AF169,XT!AJ169)))</f>
        <v>0</v>
      </c>
      <c r="AT169" t="str">
        <f>IFERROR(INDEX(CHOOSE({1,2,3,4}, DAY(XT!U169), DAY(XT!Y169), DAY(XT!AC169), DAY(XT!AG169)), MATCH(1, INDEX(--(MONTH(CHOOSE({1,2,3,4}, XT!U169,XT!Y169,XT!AC169,XT!AG169))=12), 0), 0)), "")</f>
        <v/>
      </c>
      <c r="AU169" s="12" t="str">
        <f>IF(XT!$P169&gt;0,AT169,"")</f>
        <v/>
      </c>
      <c r="AV169" s="12" t="str">
        <f>IF(XT!$P169=0,AT169,"")</f>
        <v/>
      </c>
    </row>
    <row r="170" spans="1:48">
      <c r="A170">
        <f>SUMPRODUCT((MONTH(CHOOSE({1,2,3,4},XT!U170,XT!Y170,XT!AC170,XT!AG170))=1)*(CHOOSE({1,2,3,4},XT!X170,XT!AB170,XT!AF170,XT!AJ170)))</f>
        <v>0</v>
      </c>
      <c r="B170">
        <f>IFERROR(INDEX(CHOOSE({1,2,3,4}, DAY(XT!U170), DAY(XT!Y170), DAY(XT!AC170), DAY(XT!AG170)), MATCH(1, INDEX(--(MONTH(CHOOSE({1,2,3,4}, XT!U170,XT!Y170,XT!AC170,XT!AG170))=1), 0), 0)), "")</f>
        <v>0</v>
      </c>
      <c r="C170" s="12" t="str">
        <f>IF(XT!$P170&gt;0,B170,"")</f>
        <v/>
      </c>
      <c r="D170" s="12">
        <f>IF(XT!$P170=0,B170,"")</f>
        <v>0</v>
      </c>
      <c r="E170">
        <f>SUMPRODUCT((MONTH(CHOOSE({1,2,3,4},XT!U170,XT!Y170,XT!AC170,XT!AG170))=2)*(CHOOSE({1,2,3,4},XT!X170,XT!AB170,XT!AF170,XT!AJ170)))</f>
        <v>0</v>
      </c>
      <c r="F170" t="str">
        <f>IFERROR(INDEX(CHOOSE({1,2,3,4}, DAY(XT!U170), DAY(XT!Y170), DAY(XT!AC170), DAY(XT!AG170)), MATCH(1, INDEX(--(MONTH(CHOOSE({1,2,3,4}, XT!U170,XT!Y170,XT!AC170,XT!AG170))=2), 0), 0)), "")</f>
        <v/>
      </c>
      <c r="G170" s="12" t="str">
        <f>IF(XT!$P170&gt;0,F170,"")</f>
        <v/>
      </c>
      <c r="H170" s="12" t="str">
        <f>IF(XT!$P170=0,F170,"")</f>
        <v/>
      </c>
      <c r="I170">
        <f>SUMPRODUCT((MONTH(CHOOSE({1,2,3,4},XT!U170,XT!Y170,XT!AC170,XT!AG170))=3)*(CHOOSE({1,2,3,4},XT!X170,XT!AB170,XT!AF170,XT!AJ170)))</f>
        <v>0</v>
      </c>
      <c r="J170" t="str">
        <f>IFERROR(INDEX(CHOOSE({1,2,3,4}, DAY(XT!U170), DAY(XT!Y170), DAY(XT!AC170), DAY(XT!AG170)), MATCH(1, INDEX(--(MONTH(CHOOSE({1,2,3,4}, XT!U170,XT!Y170,XT!AC170,XT!AG170))=3), 0), 0)), "")</f>
        <v/>
      </c>
      <c r="K170" s="12" t="str">
        <f>IF(XT!$P170&gt;0,J170,"")</f>
        <v/>
      </c>
      <c r="L170" s="12" t="str">
        <f>IF(XT!$P170=0,J170,"")</f>
        <v/>
      </c>
      <c r="M170">
        <f>SUMPRODUCT((MONTH(CHOOSE({1,2,3,4},XT!U170,XT!Y170,XT!AC170,XT!AG170))=4)*(CHOOSE({1,2,3,4},XT!X170,XT!AB170,XT!AF170,XT!AJ170)))</f>
        <v>0</v>
      </c>
      <c r="N170" t="str">
        <f>IFERROR(INDEX(CHOOSE({1,2,3,4}, DAY(XT!U170), DAY(XT!Y170), DAY(XT!AC170), DAY(XT!AG170)), MATCH(1, INDEX(--(MONTH(CHOOSE({1,2,3,4}, XT!U170,XT!Y170,XT!AC170,XT!AG170))=4), 0), 0)), "")</f>
        <v/>
      </c>
      <c r="O170" s="12" t="str">
        <f>IF(XT!$P170&gt;0,N170,"")</f>
        <v/>
      </c>
      <c r="P170" s="12" t="str">
        <f>IF(XT!$P170=0,N170,"")</f>
        <v/>
      </c>
      <c r="Q170">
        <f>SUMPRODUCT((MONTH(CHOOSE({1,2,3,4},XT!U170,XT!Y170,XT!AC170,XT!AG170))=5)*(CHOOSE({1,2,3,4},XT!X170,XT!AB170,XT!AF170,XT!AJ170)))</f>
        <v>0</v>
      </c>
      <c r="R170" t="str">
        <f>IFERROR(INDEX(CHOOSE({1,2,3,4}, DAY(XT!U170), DAY(XT!Y170), DAY(XT!AC170), DAY(XT!AG170)), MATCH(1, INDEX(--(MONTH(CHOOSE({1,2,3,4}, XT!U170,XT!Y170,XT!AC170,XT!AG170))=5), 0), 0)), "")</f>
        <v/>
      </c>
      <c r="S170" s="12" t="str">
        <f>IF(XT!$P170&gt;0,R170,"")</f>
        <v/>
      </c>
      <c r="T170" s="12" t="str">
        <f>IF(XT!$P170=0,R170,"")</f>
        <v/>
      </c>
      <c r="U170">
        <f>SUMPRODUCT((MONTH(CHOOSE({1,2,3,4},XT!U170,XT!Y170,XT!AC170,XT!AG170))=6)*(CHOOSE({1,2,3,4},XT!X170,XT!AB170,XT!AF170,XT!AJ170)))</f>
        <v>0</v>
      </c>
      <c r="V170" t="str">
        <f>IFERROR(INDEX(CHOOSE({1,2,3,4}, DAY(XT!U170), DAY(XT!Y170), DAY(XT!AC170), DAY(XT!AG170)), MATCH(1, INDEX(--(MONTH(CHOOSE({1,2,3,4}, XT!U170,XT!Y170,XT!AC170,XT!AG170))=6), 0), 0)), "")</f>
        <v/>
      </c>
      <c r="W170" s="12" t="str">
        <f>IF(XT!$P170&gt;0,V170,"")</f>
        <v/>
      </c>
      <c r="X170" s="12" t="str">
        <f>IF(XT!$P170=0,V170,"")</f>
        <v/>
      </c>
      <c r="Y170">
        <f>SUMPRODUCT((MONTH(CHOOSE({1,2,3,4},XT!U170,XT!Y170,XT!AC170,XT!AG170))=7)*(CHOOSE({1,2,3,4},XT!X170,XT!AB170,XT!AF170,XT!AJ170)))</f>
        <v>0</v>
      </c>
      <c r="Z170" t="str">
        <f>IFERROR(INDEX(CHOOSE({1,2,3,4}, DAY(XT!U170), DAY(XT!Y170), DAY(XT!AC170), DAY(XT!AG170)), MATCH(1, INDEX(--(MONTH(CHOOSE({1,2,3,4}, XT!U170,XT!Y170,XT!AC170,XT!AG170))=7), 0), 0)), "")</f>
        <v/>
      </c>
      <c r="AA170" s="12" t="str">
        <f>IF(XT!$P170&gt;0,Z170,"")</f>
        <v/>
      </c>
      <c r="AB170" s="12" t="str">
        <f>IF(XT!$P170=0,Z170,"")</f>
        <v/>
      </c>
      <c r="AC170">
        <f>SUMPRODUCT((MONTH(CHOOSE({1,2,3,4},XT!U170,XT!Y170,XT!AC170,XT!AG170))=8)*(CHOOSE({1,2,3,4},XT!X170,XT!AB170,XT!AF170,XT!AJ170)))</f>
        <v>0</v>
      </c>
      <c r="AD170" t="str">
        <f>IFERROR(INDEX(CHOOSE({1,2,3,4}, DAY(XT!U170), DAY(XT!Y170), DAY(XT!AC170), DAY(XT!AG170)), MATCH(1, INDEX(--(MONTH(CHOOSE({1,2,3,4}, XT!U170,XT!Y170,XT!AC170,XT!AG170))=8), 0), 0)), "")</f>
        <v/>
      </c>
      <c r="AE170" s="12" t="str">
        <f>IF(XT!$P170&gt;0,AD170,"")</f>
        <v/>
      </c>
      <c r="AF170" s="12" t="str">
        <f>IF(XT!$P170=0,AD170,"")</f>
        <v/>
      </c>
      <c r="AG170">
        <f>SUMPRODUCT((MONTH(CHOOSE({1,2,3,4},XT!U170,XT!Y170,XT!AC170,XT!AG170))=9)*(CHOOSE({1,2,3,4},XT!X170,XT!AB170,XT!AF170,XT!AJ170)))</f>
        <v>0</v>
      </c>
      <c r="AH170" t="str">
        <f>IFERROR(INDEX(CHOOSE({1,2,3,4}, DAY(XT!U170), DAY(XT!Y170), DAY(XT!AC170), DAY(XT!AG170)), MATCH(1, INDEX(--(MONTH(CHOOSE({1,2,3,4}, XT!U170,XT!Y170,XT!AC170,XT!AG170))=9), 0), 0)), "")</f>
        <v/>
      </c>
      <c r="AI170" s="12" t="str">
        <f>IF(XT!$P170&gt;0,AH170,"")</f>
        <v/>
      </c>
      <c r="AJ170" s="12" t="str">
        <f>IF(XT!$P170=0,AH170,"")</f>
        <v/>
      </c>
      <c r="AK170">
        <f>SUMPRODUCT((MONTH(CHOOSE({1,2,3,4},XT!U170,XT!Y170,XT!AC170,XT!AG170))=10)*(CHOOSE({1,2,3,4},XT!X170,XT!AB170,XT!AF170,XT!AJ170)))</f>
        <v>0</v>
      </c>
      <c r="AL170" t="str">
        <f>IFERROR(INDEX(CHOOSE({1,2,3,4}, DAY(XT!U170), DAY(XT!Y170), DAY(XT!AC170), DAY(XT!AG170)), MATCH(1, INDEX(--(MONTH(CHOOSE({1,2,3,4}, XT!U170,XT!Y170,XT!AC170,XT!AG170))=10), 0), 0)), "")</f>
        <v/>
      </c>
      <c r="AM170" s="12" t="str">
        <f>IF(XT!$P170&gt;0,AL170,"")</f>
        <v/>
      </c>
      <c r="AN170" s="12" t="str">
        <f>IF(XT!$P170=0,AL170,"")</f>
        <v/>
      </c>
      <c r="AO170">
        <f>SUMPRODUCT((MONTH(CHOOSE({1,2,3,4},XT!U170,XT!Y170,XT!AC170,XT!AG170))=11)*(CHOOSE({1,2,3,4},XT!X170,XT!AB170,XT!AF170,XT!AJ170)))</f>
        <v>0</v>
      </c>
      <c r="AP170" t="str">
        <f>IFERROR(INDEX(CHOOSE({1,2,3,4}, DAY(XT!U170), DAY(XT!Y170), DAY(XT!AC170), DAY(XT!AG170)), MATCH(1, INDEX(--(MONTH(CHOOSE({1,2,3,4}, XT!U170,XT!Y170,XT!AC170,XT!AG170))=11), 0), 0)), "")</f>
        <v/>
      </c>
      <c r="AQ170" s="12" t="str">
        <f>IF(XT!$P170&gt;0,AP170,"")</f>
        <v/>
      </c>
      <c r="AR170" s="12" t="str">
        <f>IF(XT!$P170=0,AP170,"")</f>
        <v/>
      </c>
      <c r="AS170">
        <f>SUMPRODUCT((MONTH(CHOOSE({1,2,3,4},XT!U170,XT!Y170,XT!AC170,XT!AG170))=12)*(CHOOSE({1,2,3,4},XT!X170,XT!AB170,XT!AF170,XT!AJ170)))</f>
        <v>0</v>
      </c>
      <c r="AT170" t="str">
        <f>IFERROR(INDEX(CHOOSE({1,2,3,4}, DAY(XT!U170), DAY(XT!Y170), DAY(XT!AC170), DAY(XT!AG170)), MATCH(1, INDEX(--(MONTH(CHOOSE({1,2,3,4}, XT!U170,XT!Y170,XT!AC170,XT!AG170))=12), 0), 0)), "")</f>
        <v/>
      </c>
      <c r="AU170" s="12" t="str">
        <f>IF(XT!$P170&gt;0,AT170,"")</f>
        <v/>
      </c>
      <c r="AV170" s="12" t="str">
        <f>IF(XT!$P170=0,AT170,"")</f>
        <v/>
      </c>
    </row>
    <row r="171" spans="1:48">
      <c r="A171">
        <f>SUMPRODUCT((MONTH(CHOOSE({1,2,3,4},XT!U171,XT!Y171,XT!AC171,XT!AG171))=1)*(CHOOSE({1,2,3,4},XT!X171,XT!AB171,XT!AF171,XT!AJ171)))</f>
        <v>0</v>
      </c>
      <c r="B171">
        <f>IFERROR(INDEX(CHOOSE({1,2,3,4}, DAY(XT!U171), DAY(XT!Y171), DAY(XT!AC171), DAY(XT!AG171)), MATCH(1, INDEX(--(MONTH(CHOOSE({1,2,3,4}, XT!U171,XT!Y171,XT!AC171,XT!AG171))=1), 0), 0)), "")</f>
        <v>0</v>
      </c>
      <c r="C171" s="12" t="str">
        <f>IF(XT!$P171&gt;0,B171,"")</f>
        <v/>
      </c>
      <c r="D171" s="12">
        <f>IF(XT!$P171=0,B171,"")</f>
        <v>0</v>
      </c>
      <c r="E171">
        <f>SUMPRODUCT((MONTH(CHOOSE({1,2,3,4},XT!U171,XT!Y171,XT!AC171,XT!AG171))=2)*(CHOOSE({1,2,3,4},XT!X171,XT!AB171,XT!AF171,XT!AJ171)))</f>
        <v>0</v>
      </c>
      <c r="F171" t="str">
        <f>IFERROR(INDEX(CHOOSE({1,2,3,4}, DAY(XT!U171), DAY(XT!Y171), DAY(XT!AC171), DAY(XT!AG171)), MATCH(1, INDEX(--(MONTH(CHOOSE({1,2,3,4}, XT!U171,XT!Y171,XT!AC171,XT!AG171))=2), 0), 0)), "")</f>
        <v/>
      </c>
      <c r="G171" s="12" t="str">
        <f>IF(XT!$P171&gt;0,F171,"")</f>
        <v/>
      </c>
      <c r="H171" s="12" t="str">
        <f>IF(XT!$P171=0,F171,"")</f>
        <v/>
      </c>
      <c r="I171">
        <f>SUMPRODUCT((MONTH(CHOOSE({1,2,3,4},XT!U171,XT!Y171,XT!AC171,XT!AG171))=3)*(CHOOSE({1,2,3,4},XT!X171,XT!AB171,XT!AF171,XT!AJ171)))</f>
        <v>0</v>
      </c>
      <c r="J171" t="str">
        <f>IFERROR(INDEX(CHOOSE({1,2,3,4}, DAY(XT!U171), DAY(XT!Y171), DAY(XT!AC171), DAY(XT!AG171)), MATCH(1, INDEX(--(MONTH(CHOOSE({1,2,3,4}, XT!U171,XT!Y171,XT!AC171,XT!AG171))=3), 0), 0)), "")</f>
        <v/>
      </c>
      <c r="K171" s="12" t="str">
        <f>IF(XT!$P171&gt;0,J171,"")</f>
        <v/>
      </c>
      <c r="L171" s="12" t="str">
        <f>IF(XT!$P171=0,J171,"")</f>
        <v/>
      </c>
      <c r="M171">
        <f>SUMPRODUCT((MONTH(CHOOSE({1,2,3,4},XT!U171,XT!Y171,XT!AC171,XT!AG171))=4)*(CHOOSE({1,2,3,4},XT!X171,XT!AB171,XT!AF171,XT!AJ171)))</f>
        <v>0</v>
      </c>
      <c r="N171" t="str">
        <f>IFERROR(INDEX(CHOOSE({1,2,3,4}, DAY(XT!U171), DAY(XT!Y171), DAY(XT!AC171), DAY(XT!AG171)), MATCH(1, INDEX(--(MONTH(CHOOSE({1,2,3,4}, XT!U171,XT!Y171,XT!AC171,XT!AG171))=4), 0), 0)), "")</f>
        <v/>
      </c>
      <c r="O171" s="12" t="str">
        <f>IF(XT!$P171&gt;0,N171,"")</f>
        <v/>
      </c>
      <c r="P171" s="12" t="str">
        <f>IF(XT!$P171=0,N171,"")</f>
        <v/>
      </c>
      <c r="Q171">
        <f>SUMPRODUCT((MONTH(CHOOSE({1,2,3,4},XT!U171,XT!Y171,XT!AC171,XT!AG171))=5)*(CHOOSE({1,2,3,4},XT!X171,XT!AB171,XT!AF171,XT!AJ171)))</f>
        <v>0</v>
      </c>
      <c r="R171" t="str">
        <f>IFERROR(INDEX(CHOOSE({1,2,3,4}, DAY(XT!U171), DAY(XT!Y171), DAY(XT!AC171), DAY(XT!AG171)), MATCH(1, INDEX(--(MONTH(CHOOSE({1,2,3,4}, XT!U171,XT!Y171,XT!AC171,XT!AG171))=5), 0), 0)), "")</f>
        <v/>
      </c>
      <c r="S171" s="12" t="str">
        <f>IF(XT!$P171&gt;0,R171,"")</f>
        <v/>
      </c>
      <c r="T171" s="12" t="str">
        <f>IF(XT!$P171=0,R171,"")</f>
        <v/>
      </c>
      <c r="U171">
        <f>SUMPRODUCT((MONTH(CHOOSE({1,2,3,4},XT!U171,XT!Y171,XT!AC171,XT!AG171))=6)*(CHOOSE({1,2,3,4},XT!X171,XT!AB171,XT!AF171,XT!AJ171)))</f>
        <v>0</v>
      </c>
      <c r="V171" t="str">
        <f>IFERROR(INDEX(CHOOSE({1,2,3,4}, DAY(XT!U171), DAY(XT!Y171), DAY(XT!AC171), DAY(XT!AG171)), MATCH(1, INDEX(--(MONTH(CHOOSE({1,2,3,4}, XT!U171,XT!Y171,XT!AC171,XT!AG171))=6), 0), 0)), "")</f>
        <v/>
      </c>
      <c r="W171" s="12" t="str">
        <f>IF(XT!$P171&gt;0,V171,"")</f>
        <v/>
      </c>
      <c r="X171" s="12" t="str">
        <f>IF(XT!$P171=0,V171,"")</f>
        <v/>
      </c>
      <c r="Y171">
        <f>SUMPRODUCT((MONTH(CHOOSE({1,2,3,4},XT!U171,XT!Y171,XT!AC171,XT!AG171))=7)*(CHOOSE({1,2,3,4},XT!X171,XT!AB171,XT!AF171,XT!AJ171)))</f>
        <v>0</v>
      </c>
      <c r="Z171" t="str">
        <f>IFERROR(INDEX(CHOOSE({1,2,3,4}, DAY(XT!U171), DAY(XT!Y171), DAY(XT!AC171), DAY(XT!AG171)), MATCH(1, INDEX(--(MONTH(CHOOSE({1,2,3,4}, XT!U171,XT!Y171,XT!AC171,XT!AG171))=7), 0), 0)), "")</f>
        <v/>
      </c>
      <c r="AA171" s="12" t="str">
        <f>IF(XT!$P171&gt;0,Z171,"")</f>
        <v/>
      </c>
      <c r="AB171" s="12" t="str">
        <f>IF(XT!$P171=0,Z171,"")</f>
        <v/>
      </c>
      <c r="AC171">
        <f>SUMPRODUCT((MONTH(CHOOSE({1,2,3,4},XT!U171,XT!Y171,XT!AC171,XT!AG171))=8)*(CHOOSE({1,2,3,4},XT!X171,XT!AB171,XT!AF171,XT!AJ171)))</f>
        <v>0</v>
      </c>
      <c r="AD171" t="str">
        <f>IFERROR(INDEX(CHOOSE({1,2,3,4}, DAY(XT!U171), DAY(XT!Y171), DAY(XT!AC171), DAY(XT!AG171)), MATCH(1, INDEX(--(MONTH(CHOOSE({1,2,3,4}, XT!U171,XT!Y171,XT!AC171,XT!AG171))=8), 0), 0)), "")</f>
        <v/>
      </c>
      <c r="AE171" s="12" t="str">
        <f>IF(XT!$P171&gt;0,AD171,"")</f>
        <v/>
      </c>
      <c r="AF171" s="12" t="str">
        <f>IF(XT!$P171=0,AD171,"")</f>
        <v/>
      </c>
      <c r="AG171">
        <f>SUMPRODUCT((MONTH(CHOOSE({1,2,3,4},XT!U171,XT!Y171,XT!AC171,XT!AG171))=9)*(CHOOSE({1,2,3,4},XT!X171,XT!AB171,XT!AF171,XT!AJ171)))</f>
        <v>0</v>
      </c>
      <c r="AH171" t="str">
        <f>IFERROR(INDEX(CHOOSE({1,2,3,4}, DAY(XT!U171), DAY(XT!Y171), DAY(XT!AC171), DAY(XT!AG171)), MATCH(1, INDEX(--(MONTH(CHOOSE({1,2,3,4}, XT!U171,XT!Y171,XT!AC171,XT!AG171))=9), 0), 0)), "")</f>
        <v/>
      </c>
      <c r="AI171" s="12" t="str">
        <f>IF(XT!$P171&gt;0,AH171,"")</f>
        <v/>
      </c>
      <c r="AJ171" s="12" t="str">
        <f>IF(XT!$P171=0,AH171,"")</f>
        <v/>
      </c>
      <c r="AK171">
        <f>SUMPRODUCT((MONTH(CHOOSE({1,2,3,4},XT!U171,XT!Y171,XT!AC171,XT!AG171))=10)*(CHOOSE({1,2,3,4},XT!X171,XT!AB171,XT!AF171,XT!AJ171)))</f>
        <v>0</v>
      </c>
      <c r="AL171" t="str">
        <f>IFERROR(INDEX(CHOOSE({1,2,3,4}, DAY(XT!U171), DAY(XT!Y171), DAY(XT!AC171), DAY(XT!AG171)), MATCH(1, INDEX(--(MONTH(CHOOSE({1,2,3,4}, XT!U171,XT!Y171,XT!AC171,XT!AG171))=10), 0), 0)), "")</f>
        <v/>
      </c>
      <c r="AM171" s="12" t="str">
        <f>IF(XT!$P171&gt;0,AL171,"")</f>
        <v/>
      </c>
      <c r="AN171" s="12" t="str">
        <f>IF(XT!$P171=0,AL171,"")</f>
        <v/>
      </c>
      <c r="AO171">
        <f>SUMPRODUCT((MONTH(CHOOSE({1,2,3,4},XT!U171,XT!Y171,XT!AC171,XT!AG171))=11)*(CHOOSE({1,2,3,4},XT!X171,XT!AB171,XT!AF171,XT!AJ171)))</f>
        <v>0</v>
      </c>
      <c r="AP171" t="str">
        <f>IFERROR(INDEX(CHOOSE({1,2,3,4}, DAY(XT!U171), DAY(XT!Y171), DAY(XT!AC171), DAY(XT!AG171)), MATCH(1, INDEX(--(MONTH(CHOOSE({1,2,3,4}, XT!U171,XT!Y171,XT!AC171,XT!AG171))=11), 0), 0)), "")</f>
        <v/>
      </c>
      <c r="AQ171" s="12" t="str">
        <f>IF(XT!$P171&gt;0,AP171,"")</f>
        <v/>
      </c>
      <c r="AR171" s="12" t="str">
        <f>IF(XT!$P171=0,AP171,"")</f>
        <v/>
      </c>
      <c r="AS171">
        <f>SUMPRODUCT((MONTH(CHOOSE({1,2,3,4},XT!U171,XT!Y171,XT!AC171,XT!AG171))=12)*(CHOOSE({1,2,3,4},XT!X171,XT!AB171,XT!AF171,XT!AJ171)))</f>
        <v>0</v>
      </c>
      <c r="AT171" t="str">
        <f>IFERROR(INDEX(CHOOSE({1,2,3,4}, DAY(XT!U171), DAY(XT!Y171), DAY(XT!AC171), DAY(XT!AG171)), MATCH(1, INDEX(--(MONTH(CHOOSE({1,2,3,4}, XT!U171,XT!Y171,XT!AC171,XT!AG171))=12), 0), 0)), "")</f>
        <v/>
      </c>
      <c r="AU171" s="12" t="str">
        <f>IF(XT!$P171&gt;0,AT171,"")</f>
        <v/>
      </c>
      <c r="AV171" s="12" t="str">
        <f>IF(XT!$P171=0,AT171,"")</f>
        <v/>
      </c>
    </row>
    <row r="172" spans="1:48">
      <c r="A172">
        <f>SUMPRODUCT((MONTH(CHOOSE({1,2,3,4},XT!U172,XT!Y172,XT!AC172,XT!AG172))=1)*(CHOOSE({1,2,3,4},XT!X172,XT!AB172,XT!AF172,XT!AJ172)))</f>
        <v>0</v>
      </c>
      <c r="B172">
        <f>IFERROR(INDEX(CHOOSE({1,2,3,4}, DAY(XT!U172), DAY(XT!Y172), DAY(XT!AC172), DAY(XT!AG172)), MATCH(1, INDEX(--(MONTH(CHOOSE({1,2,3,4}, XT!U172,XT!Y172,XT!AC172,XT!AG172))=1), 0), 0)), "")</f>
        <v>0</v>
      </c>
      <c r="C172" s="12" t="str">
        <f>IF(XT!$P172&gt;0,B172,"")</f>
        <v/>
      </c>
      <c r="D172" s="12">
        <f>IF(XT!$P172=0,B172,"")</f>
        <v>0</v>
      </c>
      <c r="E172">
        <f>SUMPRODUCT((MONTH(CHOOSE({1,2,3,4},XT!U172,XT!Y172,XT!AC172,XT!AG172))=2)*(CHOOSE({1,2,3,4},XT!X172,XT!AB172,XT!AF172,XT!AJ172)))</f>
        <v>0</v>
      </c>
      <c r="F172" t="str">
        <f>IFERROR(INDEX(CHOOSE({1,2,3,4}, DAY(XT!U172), DAY(XT!Y172), DAY(XT!AC172), DAY(XT!AG172)), MATCH(1, INDEX(--(MONTH(CHOOSE({1,2,3,4}, XT!U172,XT!Y172,XT!AC172,XT!AG172))=2), 0), 0)), "")</f>
        <v/>
      </c>
      <c r="G172" s="12" t="str">
        <f>IF(XT!$P172&gt;0,F172,"")</f>
        <v/>
      </c>
      <c r="H172" s="12" t="str">
        <f>IF(XT!$P172=0,F172,"")</f>
        <v/>
      </c>
      <c r="I172">
        <f>SUMPRODUCT((MONTH(CHOOSE({1,2,3,4},XT!U172,XT!Y172,XT!AC172,XT!AG172))=3)*(CHOOSE({1,2,3,4},XT!X172,XT!AB172,XT!AF172,XT!AJ172)))</f>
        <v>0</v>
      </c>
      <c r="J172" t="str">
        <f>IFERROR(INDEX(CHOOSE({1,2,3,4}, DAY(XT!U172), DAY(XT!Y172), DAY(XT!AC172), DAY(XT!AG172)), MATCH(1, INDEX(--(MONTH(CHOOSE({1,2,3,4}, XT!U172,XT!Y172,XT!AC172,XT!AG172))=3), 0), 0)), "")</f>
        <v/>
      </c>
      <c r="K172" s="12" t="str">
        <f>IF(XT!$P172&gt;0,J172,"")</f>
        <v/>
      </c>
      <c r="L172" s="12" t="str">
        <f>IF(XT!$P172=0,J172,"")</f>
        <v/>
      </c>
      <c r="M172">
        <f>SUMPRODUCT((MONTH(CHOOSE({1,2,3,4},XT!U172,XT!Y172,XT!AC172,XT!AG172))=4)*(CHOOSE({1,2,3,4},XT!X172,XT!AB172,XT!AF172,XT!AJ172)))</f>
        <v>0</v>
      </c>
      <c r="N172" t="str">
        <f>IFERROR(INDEX(CHOOSE({1,2,3,4}, DAY(XT!U172), DAY(XT!Y172), DAY(XT!AC172), DAY(XT!AG172)), MATCH(1, INDEX(--(MONTH(CHOOSE({1,2,3,4}, XT!U172,XT!Y172,XT!AC172,XT!AG172))=4), 0), 0)), "")</f>
        <v/>
      </c>
      <c r="O172" s="12" t="str">
        <f>IF(XT!$P172&gt;0,N172,"")</f>
        <v/>
      </c>
      <c r="P172" s="12" t="str">
        <f>IF(XT!$P172=0,N172,"")</f>
        <v/>
      </c>
      <c r="Q172">
        <f>SUMPRODUCT((MONTH(CHOOSE({1,2,3,4},XT!U172,XT!Y172,XT!AC172,XT!AG172))=5)*(CHOOSE({1,2,3,4},XT!X172,XT!AB172,XT!AF172,XT!AJ172)))</f>
        <v>0</v>
      </c>
      <c r="R172" t="str">
        <f>IFERROR(INDEX(CHOOSE({1,2,3,4}, DAY(XT!U172), DAY(XT!Y172), DAY(XT!AC172), DAY(XT!AG172)), MATCH(1, INDEX(--(MONTH(CHOOSE({1,2,3,4}, XT!U172,XT!Y172,XT!AC172,XT!AG172))=5), 0), 0)), "")</f>
        <v/>
      </c>
      <c r="S172" s="12" t="str">
        <f>IF(XT!$P172&gt;0,R172,"")</f>
        <v/>
      </c>
      <c r="T172" s="12" t="str">
        <f>IF(XT!$P172=0,R172,"")</f>
        <v/>
      </c>
      <c r="U172">
        <f>SUMPRODUCT((MONTH(CHOOSE({1,2,3,4},XT!U172,XT!Y172,XT!AC172,XT!AG172))=6)*(CHOOSE({1,2,3,4},XT!X172,XT!AB172,XT!AF172,XT!AJ172)))</f>
        <v>0</v>
      </c>
      <c r="V172" t="str">
        <f>IFERROR(INDEX(CHOOSE({1,2,3,4}, DAY(XT!U172), DAY(XT!Y172), DAY(XT!AC172), DAY(XT!AG172)), MATCH(1, INDEX(--(MONTH(CHOOSE({1,2,3,4}, XT!U172,XT!Y172,XT!AC172,XT!AG172))=6), 0), 0)), "")</f>
        <v/>
      </c>
      <c r="W172" s="12" t="str">
        <f>IF(XT!$P172&gt;0,V172,"")</f>
        <v/>
      </c>
      <c r="X172" s="12" t="str">
        <f>IF(XT!$P172=0,V172,"")</f>
        <v/>
      </c>
      <c r="Y172">
        <f>SUMPRODUCT((MONTH(CHOOSE({1,2,3,4},XT!U172,XT!Y172,XT!AC172,XT!AG172))=7)*(CHOOSE({1,2,3,4},XT!X172,XT!AB172,XT!AF172,XT!AJ172)))</f>
        <v>0</v>
      </c>
      <c r="Z172" t="str">
        <f>IFERROR(INDEX(CHOOSE({1,2,3,4}, DAY(XT!U172), DAY(XT!Y172), DAY(XT!AC172), DAY(XT!AG172)), MATCH(1, INDEX(--(MONTH(CHOOSE({1,2,3,4}, XT!U172,XT!Y172,XT!AC172,XT!AG172))=7), 0), 0)), "")</f>
        <v/>
      </c>
      <c r="AA172" s="12" t="str">
        <f>IF(XT!$P172&gt;0,Z172,"")</f>
        <v/>
      </c>
      <c r="AB172" s="12" t="str">
        <f>IF(XT!$P172=0,Z172,"")</f>
        <v/>
      </c>
      <c r="AC172">
        <f>SUMPRODUCT((MONTH(CHOOSE({1,2,3,4},XT!U172,XT!Y172,XT!AC172,XT!AG172))=8)*(CHOOSE({1,2,3,4},XT!X172,XT!AB172,XT!AF172,XT!AJ172)))</f>
        <v>0</v>
      </c>
      <c r="AD172" t="str">
        <f>IFERROR(INDEX(CHOOSE({1,2,3,4}, DAY(XT!U172), DAY(XT!Y172), DAY(XT!AC172), DAY(XT!AG172)), MATCH(1, INDEX(--(MONTH(CHOOSE({1,2,3,4}, XT!U172,XT!Y172,XT!AC172,XT!AG172))=8), 0), 0)), "")</f>
        <v/>
      </c>
      <c r="AE172" s="12" t="str">
        <f>IF(XT!$P172&gt;0,AD172,"")</f>
        <v/>
      </c>
      <c r="AF172" s="12" t="str">
        <f>IF(XT!$P172=0,AD172,"")</f>
        <v/>
      </c>
      <c r="AG172">
        <f>SUMPRODUCT((MONTH(CHOOSE({1,2,3,4},XT!U172,XT!Y172,XT!AC172,XT!AG172))=9)*(CHOOSE({1,2,3,4},XT!X172,XT!AB172,XT!AF172,XT!AJ172)))</f>
        <v>0</v>
      </c>
      <c r="AH172" t="str">
        <f>IFERROR(INDEX(CHOOSE({1,2,3,4}, DAY(XT!U172), DAY(XT!Y172), DAY(XT!AC172), DAY(XT!AG172)), MATCH(1, INDEX(--(MONTH(CHOOSE({1,2,3,4}, XT!U172,XT!Y172,XT!AC172,XT!AG172))=9), 0), 0)), "")</f>
        <v/>
      </c>
      <c r="AI172" s="12" t="str">
        <f>IF(XT!$P172&gt;0,AH172,"")</f>
        <v/>
      </c>
      <c r="AJ172" s="12" t="str">
        <f>IF(XT!$P172=0,AH172,"")</f>
        <v/>
      </c>
      <c r="AK172">
        <f>SUMPRODUCT((MONTH(CHOOSE({1,2,3,4},XT!U172,XT!Y172,XT!AC172,XT!AG172))=10)*(CHOOSE({1,2,3,4},XT!X172,XT!AB172,XT!AF172,XT!AJ172)))</f>
        <v>0</v>
      </c>
      <c r="AL172" t="str">
        <f>IFERROR(INDEX(CHOOSE({1,2,3,4}, DAY(XT!U172), DAY(XT!Y172), DAY(XT!AC172), DAY(XT!AG172)), MATCH(1, INDEX(--(MONTH(CHOOSE({1,2,3,4}, XT!U172,XT!Y172,XT!AC172,XT!AG172))=10), 0), 0)), "")</f>
        <v/>
      </c>
      <c r="AM172" s="12" t="str">
        <f>IF(XT!$P172&gt;0,AL172,"")</f>
        <v/>
      </c>
      <c r="AN172" s="12" t="str">
        <f>IF(XT!$P172=0,AL172,"")</f>
        <v/>
      </c>
      <c r="AO172">
        <f>SUMPRODUCT((MONTH(CHOOSE({1,2,3,4},XT!U172,XT!Y172,XT!AC172,XT!AG172))=11)*(CHOOSE({1,2,3,4},XT!X172,XT!AB172,XT!AF172,XT!AJ172)))</f>
        <v>0</v>
      </c>
      <c r="AP172" t="str">
        <f>IFERROR(INDEX(CHOOSE({1,2,3,4}, DAY(XT!U172), DAY(XT!Y172), DAY(XT!AC172), DAY(XT!AG172)), MATCH(1, INDEX(--(MONTH(CHOOSE({1,2,3,4}, XT!U172,XT!Y172,XT!AC172,XT!AG172))=11), 0), 0)), "")</f>
        <v/>
      </c>
      <c r="AQ172" s="12" t="str">
        <f>IF(XT!$P172&gt;0,AP172,"")</f>
        <v/>
      </c>
      <c r="AR172" s="12" t="str">
        <f>IF(XT!$P172=0,AP172,"")</f>
        <v/>
      </c>
      <c r="AS172">
        <f>SUMPRODUCT((MONTH(CHOOSE({1,2,3,4},XT!U172,XT!Y172,XT!AC172,XT!AG172))=12)*(CHOOSE({1,2,3,4},XT!X172,XT!AB172,XT!AF172,XT!AJ172)))</f>
        <v>0</v>
      </c>
      <c r="AT172" t="str">
        <f>IFERROR(INDEX(CHOOSE({1,2,3,4}, DAY(XT!U172), DAY(XT!Y172), DAY(XT!AC172), DAY(XT!AG172)), MATCH(1, INDEX(--(MONTH(CHOOSE({1,2,3,4}, XT!U172,XT!Y172,XT!AC172,XT!AG172))=12), 0), 0)), "")</f>
        <v/>
      </c>
      <c r="AU172" s="12" t="str">
        <f>IF(XT!$P172&gt;0,AT172,"")</f>
        <v/>
      </c>
      <c r="AV172" s="12" t="str">
        <f>IF(XT!$P172=0,AT172,"")</f>
        <v/>
      </c>
    </row>
    <row r="173" spans="1:48">
      <c r="A173">
        <f>SUMPRODUCT((MONTH(CHOOSE({1,2,3,4},XT!U173,XT!Y173,XT!AC173,XT!AG173))=1)*(CHOOSE({1,2,3,4},XT!X173,XT!AB173,XT!AF173,XT!AJ173)))</f>
        <v>0</v>
      </c>
      <c r="B173">
        <f>IFERROR(INDEX(CHOOSE({1,2,3,4}, DAY(XT!U173), DAY(XT!Y173), DAY(XT!AC173), DAY(XT!AG173)), MATCH(1, INDEX(--(MONTH(CHOOSE({1,2,3,4}, XT!U173,XT!Y173,XT!AC173,XT!AG173))=1), 0), 0)), "")</f>
        <v>0</v>
      </c>
      <c r="C173" s="12" t="str">
        <f>IF(XT!$P173&gt;0,B173,"")</f>
        <v/>
      </c>
      <c r="D173" s="12">
        <f>IF(XT!$P173=0,B173,"")</f>
        <v>0</v>
      </c>
      <c r="E173">
        <f>SUMPRODUCT((MONTH(CHOOSE({1,2,3,4},XT!U173,XT!Y173,XT!AC173,XT!AG173))=2)*(CHOOSE({1,2,3,4},XT!X173,XT!AB173,XT!AF173,XT!AJ173)))</f>
        <v>0</v>
      </c>
      <c r="F173" t="str">
        <f>IFERROR(INDEX(CHOOSE({1,2,3,4}, DAY(XT!U173), DAY(XT!Y173), DAY(XT!AC173), DAY(XT!AG173)), MATCH(1, INDEX(--(MONTH(CHOOSE({1,2,3,4}, XT!U173,XT!Y173,XT!AC173,XT!AG173))=2), 0), 0)), "")</f>
        <v/>
      </c>
      <c r="G173" s="12" t="str">
        <f>IF(XT!$P173&gt;0,F173,"")</f>
        <v/>
      </c>
      <c r="H173" s="12" t="str">
        <f>IF(XT!$P173=0,F173,"")</f>
        <v/>
      </c>
      <c r="I173">
        <f>SUMPRODUCT((MONTH(CHOOSE({1,2,3,4},XT!U173,XT!Y173,XT!AC173,XT!AG173))=3)*(CHOOSE({1,2,3,4},XT!X173,XT!AB173,XT!AF173,XT!AJ173)))</f>
        <v>0</v>
      </c>
      <c r="J173" t="str">
        <f>IFERROR(INDEX(CHOOSE({1,2,3,4}, DAY(XT!U173), DAY(XT!Y173), DAY(XT!AC173), DAY(XT!AG173)), MATCH(1, INDEX(--(MONTH(CHOOSE({1,2,3,4}, XT!U173,XT!Y173,XT!AC173,XT!AG173))=3), 0), 0)), "")</f>
        <v/>
      </c>
      <c r="K173" s="12" t="str">
        <f>IF(XT!$P173&gt;0,J173,"")</f>
        <v/>
      </c>
      <c r="L173" s="12" t="str">
        <f>IF(XT!$P173=0,J173,"")</f>
        <v/>
      </c>
      <c r="M173">
        <f>SUMPRODUCT((MONTH(CHOOSE({1,2,3,4},XT!U173,XT!Y173,XT!AC173,XT!AG173))=4)*(CHOOSE({1,2,3,4},XT!X173,XT!AB173,XT!AF173,XT!AJ173)))</f>
        <v>0</v>
      </c>
      <c r="N173" t="str">
        <f>IFERROR(INDEX(CHOOSE({1,2,3,4}, DAY(XT!U173), DAY(XT!Y173), DAY(XT!AC173), DAY(XT!AG173)), MATCH(1, INDEX(--(MONTH(CHOOSE({1,2,3,4}, XT!U173,XT!Y173,XT!AC173,XT!AG173))=4), 0), 0)), "")</f>
        <v/>
      </c>
      <c r="O173" s="12" t="str">
        <f>IF(XT!$P173&gt;0,N173,"")</f>
        <v/>
      </c>
      <c r="P173" s="12" t="str">
        <f>IF(XT!$P173=0,N173,"")</f>
        <v/>
      </c>
      <c r="Q173">
        <f>SUMPRODUCT((MONTH(CHOOSE({1,2,3,4},XT!U173,XT!Y173,XT!AC173,XT!AG173))=5)*(CHOOSE({1,2,3,4},XT!X173,XT!AB173,XT!AF173,XT!AJ173)))</f>
        <v>0</v>
      </c>
      <c r="R173" t="str">
        <f>IFERROR(INDEX(CHOOSE({1,2,3,4}, DAY(XT!U173), DAY(XT!Y173), DAY(XT!AC173), DAY(XT!AG173)), MATCH(1, INDEX(--(MONTH(CHOOSE({1,2,3,4}, XT!U173,XT!Y173,XT!AC173,XT!AG173))=5), 0), 0)), "")</f>
        <v/>
      </c>
      <c r="S173" s="12" t="str">
        <f>IF(XT!$P173&gt;0,R173,"")</f>
        <v/>
      </c>
      <c r="T173" s="12" t="str">
        <f>IF(XT!$P173=0,R173,"")</f>
        <v/>
      </c>
      <c r="U173">
        <f>SUMPRODUCT((MONTH(CHOOSE({1,2,3,4},XT!U173,XT!Y173,XT!AC173,XT!AG173))=6)*(CHOOSE({1,2,3,4},XT!X173,XT!AB173,XT!AF173,XT!AJ173)))</f>
        <v>0</v>
      </c>
      <c r="V173" t="str">
        <f>IFERROR(INDEX(CHOOSE({1,2,3,4}, DAY(XT!U173), DAY(XT!Y173), DAY(XT!AC173), DAY(XT!AG173)), MATCH(1, INDEX(--(MONTH(CHOOSE({1,2,3,4}, XT!U173,XT!Y173,XT!AC173,XT!AG173))=6), 0), 0)), "")</f>
        <v/>
      </c>
      <c r="W173" s="12" t="str">
        <f>IF(XT!$P173&gt;0,V173,"")</f>
        <v/>
      </c>
      <c r="X173" s="12" t="str">
        <f>IF(XT!$P173=0,V173,"")</f>
        <v/>
      </c>
      <c r="Y173">
        <f>SUMPRODUCT((MONTH(CHOOSE({1,2,3,4},XT!U173,XT!Y173,XT!AC173,XT!AG173))=7)*(CHOOSE({1,2,3,4},XT!X173,XT!AB173,XT!AF173,XT!AJ173)))</f>
        <v>0</v>
      </c>
      <c r="Z173" t="str">
        <f>IFERROR(INDEX(CHOOSE({1,2,3,4}, DAY(XT!U173), DAY(XT!Y173), DAY(XT!AC173), DAY(XT!AG173)), MATCH(1, INDEX(--(MONTH(CHOOSE({1,2,3,4}, XT!U173,XT!Y173,XT!AC173,XT!AG173))=7), 0), 0)), "")</f>
        <v/>
      </c>
      <c r="AA173" s="12" t="str">
        <f>IF(XT!$P173&gt;0,Z173,"")</f>
        <v/>
      </c>
      <c r="AB173" s="12" t="str">
        <f>IF(XT!$P173=0,Z173,"")</f>
        <v/>
      </c>
      <c r="AC173">
        <f>SUMPRODUCT((MONTH(CHOOSE({1,2,3,4},XT!U173,XT!Y173,XT!AC173,XT!AG173))=8)*(CHOOSE({1,2,3,4},XT!X173,XT!AB173,XT!AF173,XT!AJ173)))</f>
        <v>0</v>
      </c>
      <c r="AD173" t="str">
        <f>IFERROR(INDEX(CHOOSE({1,2,3,4}, DAY(XT!U173), DAY(XT!Y173), DAY(XT!AC173), DAY(XT!AG173)), MATCH(1, INDEX(--(MONTH(CHOOSE({1,2,3,4}, XT!U173,XT!Y173,XT!AC173,XT!AG173))=8), 0), 0)), "")</f>
        <v/>
      </c>
      <c r="AE173" s="12" t="str">
        <f>IF(XT!$P173&gt;0,AD173,"")</f>
        <v/>
      </c>
      <c r="AF173" s="12" t="str">
        <f>IF(XT!$P173=0,AD173,"")</f>
        <v/>
      </c>
      <c r="AG173">
        <f>SUMPRODUCT((MONTH(CHOOSE({1,2,3,4},XT!U173,XT!Y173,XT!AC173,XT!AG173))=9)*(CHOOSE({1,2,3,4},XT!X173,XT!AB173,XT!AF173,XT!AJ173)))</f>
        <v>0</v>
      </c>
      <c r="AH173" t="str">
        <f>IFERROR(INDEX(CHOOSE({1,2,3,4}, DAY(XT!U173), DAY(XT!Y173), DAY(XT!AC173), DAY(XT!AG173)), MATCH(1, INDEX(--(MONTH(CHOOSE({1,2,3,4}, XT!U173,XT!Y173,XT!AC173,XT!AG173))=9), 0), 0)), "")</f>
        <v/>
      </c>
      <c r="AI173" s="12" t="str">
        <f>IF(XT!$P173&gt;0,AH173,"")</f>
        <v/>
      </c>
      <c r="AJ173" s="12" t="str">
        <f>IF(XT!$P173=0,AH173,"")</f>
        <v/>
      </c>
      <c r="AK173">
        <f>SUMPRODUCT((MONTH(CHOOSE({1,2,3,4},XT!U173,XT!Y173,XT!AC173,XT!AG173))=10)*(CHOOSE({1,2,3,4},XT!X173,XT!AB173,XT!AF173,XT!AJ173)))</f>
        <v>0</v>
      </c>
      <c r="AL173" t="str">
        <f>IFERROR(INDEX(CHOOSE({1,2,3,4}, DAY(XT!U173), DAY(XT!Y173), DAY(XT!AC173), DAY(XT!AG173)), MATCH(1, INDEX(--(MONTH(CHOOSE({1,2,3,4}, XT!U173,XT!Y173,XT!AC173,XT!AG173))=10), 0), 0)), "")</f>
        <v/>
      </c>
      <c r="AM173" s="12" t="str">
        <f>IF(XT!$P173&gt;0,AL173,"")</f>
        <v/>
      </c>
      <c r="AN173" s="12" t="str">
        <f>IF(XT!$P173=0,AL173,"")</f>
        <v/>
      </c>
      <c r="AO173">
        <f>SUMPRODUCT((MONTH(CHOOSE({1,2,3,4},XT!U173,XT!Y173,XT!AC173,XT!AG173))=11)*(CHOOSE({1,2,3,4},XT!X173,XT!AB173,XT!AF173,XT!AJ173)))</f>
        <v>0</v>
      </c>
      <c r="AP173" t="str">
        <f>IFERROR(INDEX(CHOOSE({1,2,3,4}, DAY(XT!U173), DAY(XT!Y173), DAY(XT!AC173), DAY(XT!AG173)), MATCH(1, INDEX(--(MONTH(CHOOSE({1,2,3,4}, XT!U173,XT!Y173,XT!AC173,XT!AG173))=11), 0), 0)), "")</f>
        <v/>
      </c>
      <c r="AQ173" s="12" t="str">
        <f>IF(XT!$P173&gt;0,AP173,"")</f>
        <v/>
      </c>
      <c r="AR173" s="12" t="str">
        <f>IF(XT!$P173=0,AP173,"")</f>
        <v/>
      </c>
      <c r="AS173">
        <f>SUMPRODUCT((MONTH(CHOOSE({1,2,3,4},XT!U173,XT!Y173,XT!AC173,XT!AG173))=12)*(CHOOSE({1,2,3,4},XT!X173,XT!AB173,XT!AF173,XT!AJ173)))</f>
        <v>0</v>
      </c>
      <c r="AT173" t="str">
        <f>IFERROR(INDEX(CHOOSE({1,2,3,4}, DAY(XT!U173), DAY(XT!Y173), DAY(XT!AC173), DAY(XT!AG173)), MATCH(1, INDEX(--(MONTH(CHOOSE({1,2,3,4}, XT!U173,XT!Y173,XT!AC173,XT!AG173))=12), 0), 0)), "")</f>
        <v/>
      </c>
      <c r="AU173" s="12" t="str">
        <f>IF(XT!$P173&gt;0,AT173,"")</f>
        <v/>
      </c>
      <c r="AV173" s="12" t="str">
        <f>IF(XT!$P173=0,AT173,"")</f>
        <v/>
      </c>
    </row>
    <row r="174" spans="1:48">
      <c r="A174">
        <f>SUMPRODUCT((MONTH(CHOOSE({1,2,3,4},XT!U174,XT!Y174,XT!AC174,XT!AG174))=1)*(CHOOSE({1,2,3,4},XT!X174,XT!AB174,XT!AF174,XT!AJ174)))</f>
        <v>0</v>
      </c>
      <c r="B174">
        <f>IFERROR(INDEX(CHOOSE({1,2,3,4}, DAY(XT!U174), DAY(XT!Y174), DAY(XT!AC174), DAY(XT!AG174)), MATCH(1, INDEX(--(MONTH(CHOOSE({1,2,3,4}, XT!U174,XT!Y174,XT!AC174,XT!AG174))=1), 0), 0)), "")</f>
        <v>0</v>
      </c>
      <c r="C174" s="12" t="str">
        <f>IF(XT!$P174&gt;0,B174,"")</f>
        <v/>
      </c>
      <c r="D174" s="12">
        <f>IF(XT!$P174=0,B174,"")</f>
        <v>0</v>
      </c>
      <c r="E174">
        <f>SUMPRODUCT((MONTH(CHOOSE({1,2,3,4},XT!U174,XT!Y174,XT!AC174,XT!AG174))=2)*(CHOOSE({1,2,3,4},XT!X174,XT!AB174,XT!AF174,XT!AJ174)))</f>
        <v>0</v>
      </c>
      <c r="F174" t="str">
        <f>IFERROR(INDEX(CHOOSE({1,2,3,4}, DAY(XT!U174), DAY(XT!Y174), DAY(XT!AC174), DAY(XT!AG174)), MATCH(1, INDEX(--(MONTH(CHOOSE({1,2,3,4}, XT!U174,XT!Y174,XT!AC174,XT!AG174))=2), 0), 0)), "")</f>
        <v/>
      </c>
      <c r="G174" s="12" t="str">
        <f>IF(XT!$P174&gt;0,F174,"")</f>
        <v/>
      </c>
      <c r="H174" s="12" t="str">
        <f>IF(XT!$P174=0,F174,"")</f>
        <v/>
      </c>
      <c r="I174">
        <f>SUMPRODUCT((MONTH(CHOOSE({1,2,3,4},XT!U174,XT!Y174,XT!AC174,XT!AG174))=3)*(CHOOSE({1,2,3,4},XT!X174,XT!AB174,XT!AF174,XT!AJ174)))</f>
        <v>0</v>
      </c>
      <c r="J174" t="str">
        <f>IFERROR(INDEX(CHOOSE({1,2,3,4}, DAY(XT!U174), DAY(XT!Y174), DAY(XT!AC174), DAY(XT!AG174)), MATCH(1, INDEX(--(MONTH(CHOOSE({1,2,3,4}, XT!U174,XT!Y174,XT!AC174,XT!AG174))=3), 0), 0)), "")</f>
        <v/>
      </c>
      <c r="K174" s="12" t="str">
        <f>IF(XT!$P174&gt;0,J174,"")</f>
        <v/>
      </c>
      <c r="L174" s="12" t="str">
        <f>IF(XT!$P174=0,J174,"")</f>
        <v/>
      </c>
      <c r="M174">
        <f>SUMPRODUCT((MONTH(CHOOSE({1,2,3,4},XT!U174,XT!Y174,XT!AC174,XT!AG174))=4)*(CHOOSE({1,2,3,4},XT!X174,XT!AB174,XT!AF174,XT!AJ174)))</f>
        <v>0</v>
      </c>
      <c r="N174" t="str">
        <f>IFERROR(INDEX(CHOOSE({1,2,3,4}, DAY(XT!U174), DAY(XT!Y174), DAY(XT!AC174), DAY(XT!AG174)), MATCH(1, INDEX(--(MONTH(CHOOSE({1,2,3,4}, XT!U174,XT!Y174,XT!AC174,XT!AG174))=4), 0), 0)), "")</f>
        <v/>
      </c>
      <c r="O174" s="12" t="str">
        <f>IF(XT!$P174&gt;0,N174,"")</f>
        <v/>
      </c>
      <c r="P174" s="12" t="str">
        <f>IF(XT!$P174=0,N174,"")</f>
        <v/>
      </c>
      <c r="Q174">
        <f>SUMPRODUCT((MONTH(CHOOSE({1,2,3,4},XT!U174,XT!Y174,XT!AC174,XT!AG174))=5)*(CHOOSE({1,2,3,4},XT!X174,XT!AB174,XT!AF174,XT!AJ174)))</f>
        <v>0</v>
      </c>
      <c r="R174" t="str">
        <f>IFERROR(INDEX(CHOOSE({1,2,3,4}, DAY(XT!U174), DAY(XT!Y174), DAY(XT!AC174), DAY(XT!AG174)), MATCH(1, INDEX(--(MONTH(CHOOSE({1,2,3,4}, XT!U174,XT!Y174,XT!AC174,XT!AG174))=5), 0), 0)), "")</f>
        <v/>
      </c>
      <c r="S174" s="12" t="str">
        <f>IF(XT!$P174&gt;0,R174,"")</f>
        <v/>
      </c>
      <c r="T174" s="12" t="str">
        <f>IF(XT!$P174=0,R174,"")</f>
        <v/>
      </c>
      <c r="U174">
        <f>SUMPRODUCT((MONTH(CHOOSE({1,2,3,4},XT!U174,XT!Y174,XT!AC174,XT!AG174))=6)*(CHOOSE({1,2,3,4},XT!X174,XT!AB174,XT!AF174,XT!AJ174)))</f>
        <v>0</v>
      </c>
      <c r="V174" t="str">
        <f>IFERROR(INDEX(CHOOSE({1,2,3,4}, DAY(XT!U174), DAY(XT!Y174), DAY(XT!AC174), DAY(XT!AG174)), MATCH(1, INDEX(--(MONTH(CHOOSE({1,2,3,4}, XT!U174,XT!Y174,XT!AC174,XT!AG174))=6), 0), 0)), "")</f>
        <v/>
      </c>
      <c r="W174" s="12" t="str">
        <f>IF(XT!$P174&gt;0,V174,"")</f>
        <v/>
      </c>
      <c r="X174" s="12" t="str">
        <f>IF(XT!$P174=0,V174,"")</f>
        <v/>
      </c>
      <c r="Y174">
        <f>SUMPRODUCT((MONTH(CHOOSE({1,2,3,4},XT!U174,XT!Y174,XT!AC174,XT!AG174))=7)*(CHOOSE({1,2,3,4},XT!X174,XT!AB174,XT!AF174,XT!AJ174)))</f>
        <v>0</v>
      </c>
      <c r="Z174" t="str">
        <f>IFERROR(INDEX(CHOOSE({1,2,3,4}, DAY(XT!U174), DAY(XT!Y174), DAY(XT!AC174), DAY(XT!AG174)), MATCH(1, INDEX(--(MONTH(CHOOSE({1,2,3,4}, XT!U174,XT!Y174,XT!AC174,XT!AG174))=7), 0), 0)), "")</f>
        <v/>
      </c>
      <c r="AA174" s="12" t="str">
        <f>IF(XT!$P174&gt;0,Z174,"")</f>
        <v/>
      </c>
      <c r="AB174" s="12" t="str">
        <f>IF(XT!$P174=0,Z174,"")</f>
        <v/>
      </c>
      <c r="AC174">
        <f>SUMPRODUCT((MONTH(CHOOSE({1,2,3,4},XT!U174,XT!Y174,XT!AC174,XT!AG174))=8)*(CHOOSE({1,2,3,4},XT!X174,XT!AB174,XT!AF174,XT!AJ174)))</f>
        <v>0</v>
      </c>
      <c r="AD174" t="str">
        <f>IFERROR(INDEX(CHOOSE({1,2,3,4}, DAY(XT!U174), DAY(XT!Y174), DAY(XT!AC174), DAY(XT!AG174)), MATCH(1, INDEX(--(MONTH(CHOOSE({1,2,3,4}, XT!U174,XT!Y174,XT!AC174,XT!AG174))=8), 0), 0)), "")</f>
        <v/>
      </c>
      <c r="AE174" s="12" t="str">
        <f>IF(XT!$P174&gt;0,AD174,"")</f>
        <v/>
      </c>
      <c r="AF174" s="12" t="str">
        <f>IF(XT!$P174=0,AD174,"")</f>
        <v/>
      </c>
      <c r="AG174">
        <f>SUMPRODUCT((MONTH(CHOOSE({1,2,3,4},XT!U174,XT!Y174,XT!AC174,XT!AG174))=9)*(CHOOSE({1,2,3,4},XT!X174,XT!AB174,XT!AF174,XT!AJ174)))</f>
        <v>0</v>
      </c>
      <c r="AH174" t="str">
        <f>IFERROR(INDEX(CHOOSE({1,2,3,4}, DAY(XT!U174), DAY(XT!Y174), DAY(XT!AC174), DAY(XT!AG174)), MATCH(1, INDEX(--(MONTH(CHOOSE({1,2,3,4}, XT!U174,XT!Y174,XT!AC174,XT!AG174))=9), 0), 0)), "")</f>
        <v/>
      </c>
      <c r="AI174" s="12" t="str">
        <f>IF(XT!$P174&gt;0,AH174,"")</f>
        <v/>
      </c>
      <c r="AJ174" s="12" t="str">
        <f>IF(XT!$P174=0,AH174,"")</f>
        <v/>
      </c>
      <c r="AK174">
        <f>SUMPRODUCT((MONTH(CHOOSE({1,2,3,4},XT!U174,XT!Y174,XT!AC174,XT!AG174))=10)*(CHOOSE({1,2,3,4},XT!X174,XT!AB174,XT!AF174,XT!AJ174)))</f>
        <v>0</v>
      </c>
      <c r="AL174" t="str">
        <f>IFERROR(INDEX(CHOOSE({1,2,3,4}, DAY(XT!U174), DAY(XT!Y174), DAY(XT!AC174), DAY(XT!AG174)), MATCH(1, INDEX(--(MONTH(CHOOSE({1,2,3,4}, XT!U174,XT!Y174,XT!AC174,XT!AG174))=10), 0), 0)), "")</f>
        <v/>
      </c>
      <c r="AM174" s="12" t="str">
        <f>IF(XT!$P174&gt;0,AL174,"")</f>
        <v/>
      </c>
      <c r="AN174" s="12" t="str">
        <f>IF(XT!$P174=0,AL174,"")</f>
        <v/>
      </c>
      <c r="AO174">
        <f>SUMPRODUCT((MONTH(CHOOSE({1,2,3,4},XT!U174,XT!Y174,XT!AC174,XT!AG174))=11)*(CHOOSE({1,2,3,4},XT!X174,XT!AB174,XT!AF174,XT!AJ174)))</f>
        <v>0</v>
      </c>
      <c r="AP174" t="str">
        <f>IFERROR(INDEX(CHOOSE({1,2,3,4}, DAY(XT!U174), DAY(XT!Y174), DAY(XT!AC174), DAY(XT!AG174)), MATCH(1, INDEX(--(MONTH(CHOOSE({1,2,3,4}, XT!U174,XT!Y174,XT!AC174,XT!AG174))=11), 0), 0)), "")</f>
        <v/>
      </c>
      <c r="AQ174" s="12" t="str">
        <f>IF(XT!$P174&gt;0,AP174,"")</f>
        <v/>
      </c>
      <c r="AR174" s="12" t="str">
        <f>IF(XT!$P174=0,AP174,"")</f>
        <v/>
      </c>
      <c r="AS174">
        <f>SUMPRODUCT((MONTH(CHOOSE({1,2,3,4},XT!U174,XT!Y174,XT!AC174,XT!AG174))=12)*(CHOOSE({1,2,3,4},XT!X174,XT!AB174,XT!AF174,XT!AJ174)))</f>
        <v>0</v>
      </c>
      <c r="AT174" t="str">
        <f>IFERROR(INDEX(CHOOSE({1,2,3,4}, DAY(XT!U174), DAY(XT!Y174), DAY(XT!AC174), DAY(XT!AG174)), MATCH(1, INDEX(--(MONTH(CHOOSE({1,2,3,4}, XT!U174,XT!Y174,XT!AC174,XT!AG174))=12), 0), 0)), "")</f>
        <v/>
      </c>
      <c r="AU174" s="12" t="str">
        <f>IF(XT!$P174&gt;0,AT174,"")</f>
        <v/>
      </c>
      <c r="AV174" s="12" t="str">
        <f>IF(XT!$P174=0,AT174,"")</f>
        <v/>
      </c>
    </row>
    <row r="175" spans="1:48">
      <c r="A175">
        <f>SUMPRODUCT((MONTH(CHOOSE({1,2,3,4},XT!U175,XT!Y175,XT!AC175,XT!AG175))=1)*(CHOOSE({1,2,3,4},XT!X175,XT!AB175,XT!AF175,XT!AJ175)))</f>
        <v>0</v>
      </c>
      <c r="B175">
        <f>IFERROR(INDEX(CHOOSE({1,2,3,4}, DAY(XT!U175), DAY(XT!Y175), DAY(XT!AC175), DAY(XT!AG175)), MATCH(1, INDEX(--(MONTH(CHOOSE({1,2,3,4}, XT!U175,XT!Y175,XT!AC175,XT!AG175))=1), 0), 0)), "")</f>
        <v>0</v>
      </c>
      <c r="C175" s="12" t="str">
        <f>IF(XT!$P175&gt;0,B175,"")</f>
        <v/>
      </c>
      <c r="D175" s="12">
        <f>IF(XT!$P175=0,B175,"")</f>
        <v>0</v>
      </c>
      <c r="E175">
        <f>SUMPRODUCT((MONTH(CHOOSE({1,2,3,4},XT!U175,XT!Y175,XT!AC175,XT!AG175))=2)*(CHOOSE({1,2,3,4},XT!X175,XT!AB175,XT!AF175,XT!AJ175)))</f>
        <v>0</v>
      </c>
      <c r="F175" t="str">
        <f>IFERROR(INDEX(CHOOSE({1,2,3,4}, DAY(XT!U175), DAY(XT!Y175), DAY(XT!AC175), DAY(XT!AG175)), MATCH(1, INDEX(--(MONTH(CHOOSE({1,2,3,4}, XT!U175,XT!Y175,XT!AC175,XT!AG175))=2), 0), 0)), "")</f>
        <v/>
      </c>
      <c r="G175" s="12" t="str">
        <f>IF(XT!$P175&gt;0,F175,"")</f>
        <v/>
      </c>
      <c r="H175" s="12" t="str">
        <f>IF(XT!$P175=0,F175,"")</f>
        <v/>
      </c>
      <c r="I175">
        <f>SUMPRODUCT((MONTH(CHOOSE({1,2,3,4},XT!U175,XT!Y175,XT!AC175,XT!AG175))=3)*(CHOOSE({1,2,3,4},XT!X175,XT!AB175,XT!AF175,XT!AJ175)))</f>
        <v>0</v>
      </c>
      <c r="J175" t="str">
        <f>IFERROR(INDEX(CHOOSE({1,2,3,4}, DAY(XT!U175), DAY(XT!Y175), DAY(XT!AC175), DAY(XT!AG175)), MATCH(1, INDEX(--(MONTH(CHOOSE({1,2,3,4}, XT!U175,XT!Y175,XT!AC175,XT!AG175))=3), 0), 0)), "")</f>
        <v/>
      </c>
      <c r="K175" s="12" t="str">
        <f>IF(XT!$P175&gt;0,J175,"")</f>
        <v/>
      </c>
      <c r="L175" s="12" t="str">
        <f>IF(XT!$P175=0,J175,"")</f>
        <v/>
      </c>
      <c r="M175">
        <f>SUMPRODUCT((MONTH(CHOOSE({1,2,3,4},XT!U175,XT!Y175,XT!AC175,XT!AG175))=4)*(CHOOSE({1,2,3,4},XT!X175,XT!AB175,XT!AF175,XT!AJ175)))</f>
        <v>0</v>
      </c>
      <c r="N175" t="str">
        <f>IFERROR(INDEX(CHOOSE({1,2,3,4}, DAY(XT!U175), DAY(XT!Y175), DAY(XT!AC175), DAY(XT!AG175)), MATCH(1, INDEX(--(MONTH(CHOOSE({1,2,3,4}, XT!U175,XT!Y175,XT!AC175,XT!AG175))=4), 0), 0)), "")</f>
        <v/>
      </c>
      <c r="O175" s="12" t="str">
        <f>IF(XT!$P175&gt;0,N175,"")</f>
        <v/>
      </c>
      <c r="P175" s="12" t="str">
        <f>IF(XT!$P175=0,N175,"")</f>
        <v/>
      </c>
      <c r="Q175">
        <f>SUMPRODUCT((MONTH(CHOOSE({1,2,3,4},XT!U175,XT!Y175,XT!AC175,XT!AG175))=5)*(CHOOSE({1,2,3,4},XT!X175,XT!AB175,XT!AF175,XT!AJ175)))</f>
        <v>0</v>
      </c>
      <c r="R175" t="str">
        <f>IFERROR(INDEX(CHOOSE({1,2,3,4}, DAY(XT!U175), DAY(XT!Y175), DAY(XT!AC175), DAY(XT!AG175)), MATCH(1, INDEX(--(MONTH(CHOOSE({1,2,3,4}, XT!U175,XT!Y175,XT!AC175,XT!AG175))=5), 0), 0)), "")</f>
        <v/>
      </c>
      <c r="S175" s="12" t="str">
        <f>IF(XT!$P175&gt;0,R175,"")</f>
        <v/>
      </c>
      <c r="T175" s="12" t="str">
        <f>IF(XT!$P175=0,R175,"")</f>
        <v/>
      </c>
      <c r="U175">
        <f>SUMPRODUCT((MONTH(CHOOSE({1,2,3,4},XT!U175,XT!Y175,XT!AC175,XT!AG175))=6)*(CHOOSE({1,2,3,4},XT!X175,XT!AB175,XT!AF175,XT!AJ175)))</f>
        <v>0</v>
      </c>
      <c r="V175" t="str">
        <f>IFERROR(INDEX(CHOOSE({1,2,3,4}, DAY(XT!U175), DAY(XT!Y175), DAY(XT!AC175), DAY(XT!AG175)), MATCH(1, INDEX(--(MONTH(CHOOSE({1,2,3,4}, XT!U175,XT!Y175,XT!AC175,XT!AG175))=6), 0), 0)), "")</f>
        <v/>
      </c>
      <c r="W175" s="12" t="str">
        <f>IF(XT!$P175&gt;0,V175,"")</f>
        <v/>
      </c>
      <c r="X175" s="12" t="str">
        <f>IF(XT!$P175=0,V175,"")</f>
        <v/>
      </c>
      <c r="Y175">
        <f>SUMPRODUCT((MONTH(CHOOSE({1,2,3,4},XT!U175,XT!Y175,XT!AC175,XT!AG175))=7)*(CHOOSE({1,2,3,4},XT!X175,XT!AB175,XT!AF175,XT!AJ175)))</f>
        <v>0</v>
      </c>
      <c r="Z175" t="str">
        <f>IFERROR(INDEX(CHOOSE({1,2,3,4}, DAY(XT!U175), DAY(XT!Y175), DAY(XT!AC175), DAY(XT!AG175)), MATCH(1, INDEX(--(MONTH(CHOOSE({1,2,3,4}, XT!U175,XT!Y175,XT!AC175,XT!AG175))=7), 0), 0)), "")</f>
        <v/>
      </c>
      <c r="AA175" s="12" t="str">
        <f>IF(XT!$P175&gt;0,Z175,"")</f>
        <v/>
      </c>
      <c r="AB175" s="12" t="str">
        <f>IF(XT!$P175=0,Z175,"")</f>
        <v/>
      </c>
      <c r="AC175">
        <f>SUMPRODUCT((MONTH(CHOOSE({1,2,3,4},XT!U175,XT!Y175,XT!AC175,XT!AG175))=8)*(CHOOSE({1,2,3,4},XT!X175,XT!AB175,XT!AF175,XT!AJ175)))</f>
        <v>0</v>
      </c>
      <c r="AD175" t="str">
        <f>IFERROR(INDEX(CHOOSE({1,2,3,4}, DAY(XT!U175), DAY(XT!Y175), DAY(XT!AC175), DAY(XT!AG175)), MATCH(1, INDEX(--(MONTH(CHOOSE({1,2,3,4}, XT!U175,XT!Y175,XT!AC175,XT!AG175))=8), 0), 0)), "")</f>
        <v/>
      </c>
      <c r="AE175" s="12" t="str">
        <f>IF(XT!$P175&gt;0,AD175,"")</f>
        <v/>
      </c>
      <c r="AF175" s="12" t="str">
        <f>IF(XT!$P175=0,AD175,"")</f>
        <v/>
      </c>
      <c r="AG175">
        <f>SUMPRODUCT((MONTH(CHOOSE({1,2,3,4},XT!U175,XT!Y175,XT!AC175,XT!AG175))=9)*(CHOOSE({1,2,3,4},XT!X175,XT!AB175,XT!AF175,XT!AJ175)))</f>
        <v>0</v>
      </c>
      <c r="AH175" t="str">
        <f>IFERROR(INDEX(CHOOSE({1,2,3,4}, DAY(XT!U175), DAY(XT!Y175), DAY(XT!AC175), DAY(XT!AG175)), MATCH(1, INDEX(--(MONTH(CHOOSE({1,2,3,4}, XT!U175,XT!Y175,XT!AC175,XT!AG175))=9), 0), 0)), "")</f>
        <v/>
      </c>
      <c r="AI175" s="12" t="str">
        <f>IF(XT!$P175&gt;0,AH175,"")</f>
        <v/>
      </c>
      <c r="AJ175" s="12" t="str">
        <f>IF(XT!$P175=0,AH175,"")</f>
        <v/>
      </c>
      <c r="AK175">
        <f>SUMPRODUCT((MONTH(CHOOSE({1,2,3,4},XT!U175,XT!Y175,XT!AC175,XT!AG175))=10)*(CHOOSE({1,2,3,4},XT!X175,XT!AB175,XT!AF175,XT!AJ175)))</f>
        <v>0</v>
      </c>
      <c r="AL175" t="str">
        <f>IFERROR(INDEX(CHOOSE({1,2,3,4}, DAY(XT!U175), DAY(XT!Y175), DAY(XT!AC175), DAY(XT!AG175)), MATCH(1, INDEX(--(MONTH(CHOOSE({1,2,3,4}, XT!U175,XT!Y175,XT!AC175,XT!AG175))=10), 0), 0)), "")</f>
        <v/>
      </c>
      <c r="AM175" s="12" t="str">
        <f>IF(XT!$P175&gt;0,AL175,"")</f>
        <v/>
      </c>
      <c r="AN175" s="12" t="str">
        <f>IF(XT!$P175=0,AL175,"")</f>
        <v/>
      </c>
      <c r="AO175">
        <f>SUMPRODUCT((MONTH(CHOOSE({1,2,3,4},XT!U175,XT!Y175,XT!AC175,XT!AG175))=11)*(CHOOSE({1,2,3,4},XT!X175,XT!AB175,XT!AF175,XT!AJ175)))</f>
        <v>0</v>
      </c>
      <c r="AP175" t="str">
        <f>IFERROR(INDEX(CHOOSE({1,2,3,4}, DAY(XT!U175), DAY(XT!Y175), DAY(XT!AC175), DAY(XT!AG175)), MATCH(1, INDEX(--(MONTH(CHOOSE({1,2,3,4}, XT!U175,XT!Y175,XT!AC175,XT!AG175))=11), 0), 0)), "")</f>
        <v/>
      </c>
      <c r="AQ175" s="12" t="str">
        <f>IF(XT!$P175&gt;0,AP175,"")</f>
        <v/>
      </c>
      <c r="AR175" s="12" t="str">
        <f>IF(XT!$P175=0,AP175,"")</f>
        <v/>
      </c>
      <c r="AS175">
        <f>SUMPRODUCT((MONTH(CHOOSE({1,2,3,4},XT!U175,XT!Y175,XT!AC175,XT!AG175))=12)*(CHOOSE({1,2,3,4},XT!X175,XT!AB175,XT!AF175,XT!AJ175)))</f>
        <v>0</v>
      </c>
      <c r="AT175" t="str">
        <f>IFERROR(INDEX(CHOOSE({1,2,3,4}, DAY(XT!U175), DAY(XT!Y175), DAY(XT!AC175), DAY(XT!AG175)), MATCH(1, INDEX(--(MONTH(CHOOSE({1,2,3,4}, XT!U175,XT!Y175,XT!AC175,XT!AG175))=12), 0), 0)), "")</f>
        <v/>
      </c>
      <c r="AU175" s="12" t="str">
        <f>IF(XT!$P175&gt;0,AT175,"")</f>
        <v/>
      </c>
      <c r="AV175" s="12" t="str">
        <f>IF(XT!$P175=0,AT175,"")</f>
        <v/>
      </c>
    </row>
    <row r="176" spans="1:48">
      <c r="A176">
        <f>SUMPRODUCT((MONTH(CHOOSE({1,2,3,4},XT!U176,XT!Y176,XT!AC176,XT!AG176))=1)*(CHOOSE({1,2,3,4},XT!X176,XT!AB176,XT!AF176,XT!AJ176)))</f>
        <v>0</v>
      </c>
      <c r="B176">
        <f>IFERROR(INDEX(CHOOSE({1,2,3,4}, DAY(XT!U176), DAY(XT!Y176), DAY(XT!AC176), DAY(XT!AG176)), MATCH(1, INDEX(--(MONTH(CHOOSE({1,2,3,4}, XT!U176,XT!Y176,XT!AC176,XT!AG176))=1), 0), 0)), "")</f>
        <v>0</v>
      </c>
      <c r="C176" s="12" t="str">
        <f>IF(XT!$P176&gt;0,B176,"")</f>
        <v/>
      </c>
      <c r="D176" s="12">
        <f>IF(XT!$P176=0,B176,"")</f>
        <v>0</v>
      </c>
      <c r="E176">
        <f>SUMPRODUCT((MONTH(CHOOSE({1,2,3,4},XT!U176,XT!Y176,XT!AC176,XT!AG176))=2)*(CHOOSE({1,2,3,4},XT!X176,XT!AB176,XT!AF176,XT!AJ176)))</f>
        <v>0</v>
      </c>
      <c r="F176" t="str">
        <f>IFERROR(INDEX(CHOOSE({1,2,3,4}, DAY(XT!U176), DAY(XT!Y176), DAY(XT!AC176), DAY(XT!AG176)), MATCH(1, INDEX(--(MONTH(CHOOSE({1,2,3,4}, XT!U176,XT!Y176,XT!AC176,XT!AG176))=2), 0), 0)), "")</f>
        <v/>
      </c>
      <c r="G176" s="12" t="str">
        <f>IF(XT!$P176&gt;0,F176,"")</f>
        <v/>
      </c>
      <c r="H176" s="12" t="str">
        <f>IF(XT!$P176=0,F176,"")</f>
        <v/>
      </c>
      <c r="I176">
        <f>SUMPRODUCT((MONTH(CHOOSE({1,2,3,4},XT!U176,XT!Y176,XT!AC176,XT!AG176))=3)*(CHOOSE({1,2,3,4},XT!X176,XT!AB176,XT!AF176,XT!AJ176)))</f>
        <v>0</v>
      </c>
      <c r="J176" t="str">
        <f>IFERROR(INDEX(CHOOSE({1,2,3,4}, DAY(XT!U176), DAY(XT!Y176), DAY(XT!AC176), DAY(XT!AG176)), MATCH(1, INDEX(--(MONTH(CHOOSE({1,2,3,4}, XT!U176,XT!Y176,XT!AC176,XT!AG176))=3), 0), 0)), "")</f>
        <v/>
      </c>
      <c r="K176" s="12" t="str">
        <f>IF(XT!$P176&gt;0,J176,"")</f>
        <v/>
      </c>
      <c r="L176" s="12" t="str">
        <f>IF(XT!$P176=0,J176,"")</f>
        <v/>
      </c>
      <c r="M176">
        <f>SUMPRODUCT((MONTH(CHOOSE({1,2,3,4},XT!U176,XT!Y176,XT!AC176,XT!AG176))=4)*(CHOOSE({1,2,3,4},XT!X176,XT!AB176,XT!AF176,XT!AJ176)))</f>
        <v>0</v>
      </c>
      <c r="N176" t="str">
        <f>IFERROR(INDEX(CHOOSE({1,2,3,4}, DAY(XT!U176), DAY(XT!Y176), DAY(XT!AC176), DAY(XT!AG176)), MATCH(1, INDEX(--(MONTH(CHOOSE({1,2,3,4}, XT!U176,XT!Y176,XT!AC176,XT!AG176))=4), 0), 0)), "")</f>
        <v/>
      </c>
      <c r="O176" s="12" t="str">
        <f>IF(XT!$P176&gt;0,N176,"")</f>
        <v/>
      </c>
      <c r="P176" s="12" t="str">
        <f>IF(XT!$P176=0,N176,"")</f>
        <v/>
      </c>
      <c r="Q176">
        <f>SUMPRODUCT((MONTH(CHOOSE({1,2,3,4},XT!U176,XT!Y176,XT!AC176,XT!AG176))=5)*(CHOOSE({1,2,3,4},XT!X176,XT!AB176,XT!AF176,XT!AJ176)))</f>
        <v>0</v>
      </c>
      <c r="R176" t="str">
        <f>IFERROR(INDEX(CHOOSE({1,2,3,4}, DAY(XT!U176), DAY(XT!Y176), DAY(XT!AC176), DAY(XT!AG176)), MATCH(1, INDEX(--(MONTH(CHOOSE({1,2,3,4}, XT!U176,XT!Y176,XT!AC176,XT!AG176))=5), 0), 0)), "")</f>
        <v/>
      </c>
      <c r="S176" s="12" t="str">
        <f>IF(XT!$P176&gt;0,R176,"")</f>
        <v/>
      </c>
      <c r="T176" s="12" t="str">
        <f>IF(XT!$P176=0,R176,"")</f>
        <v/>
      </c>
      <c r="U176">
        <f>SUMPRODUCT((MONTH(CHOOSE({1,2,3,4},XT!U176,XT!Y176,XT!AC176,XT!AG176))=6)*(CHOOSE({1,2,3,4},XT!X176,XT!AB176,XT!AF176,XT!AJ176)))</f>
        <v>0</v>
      </c>
      <c r="V176" t="str">
        <f>IFERROR(INDEX(CHOOSE({1,2,3,4}, DAY(XT!U176), DAY(XT!Y176), DAY(XT!AC176), DAY(XT!AG176)), MATCH(1, INDEX(--(MONTH(CHOOSE({1,2,3,4}, XT!U176,XT!Y176,XT!AC176,XT!AG176))=6), 0), 0)), "")</f>
        <v/>
      </c>
      <c r="W176" s="12" t="str">
        <f>IF(XT!$P176&gt;0,V176,"")</f>
        <v/>
      </c>
      <c r="X176" s="12" t="str">
        <f>IF(XT!$P176=0,V176,"")</f>
        <v/>
      </c>
      <c r="Y176">
        <f>SUMPRODUCT((MONTH(CHOOSE({1,2,3,4},XT!U176,XT!Y176,XT!AC176,XT!AG176))=7)*(CHOOSE({1,2,3,4},XT!X176,XT!AB176,XT!AF176,XT!AJ176)))</f>
        <v>0</v>
      </c>
      <c r="Z176" t="str">
        <f>IFERROR(INDEX(CHOOSE({1,2,3,4}, DAY(XT!U176), DAY(XT!Y176), DAY(XT!AC176), DAY(XT!AG176)), MATCH(1, INDEX(--(MONTH(CHOOSE({1,2,3,4}, XT!U176,XT!Y176,XT!AC176,XT!AG176))=7), 0), 0)), "")</f>
        <v/>
      </c>
      <c r="AA176" s="12" t="str">
        <f>IF(XT!$P176&gt;0,Z176,"")</f>
        <v/>
      </c>
      <c r="AB176" s="12" t="str">
        <f>IF(XT!$P176=0,Z176,"")</f>
        <v/>
      </c>
      <c r="AC176">
        <f>SUMPRODUCT((MONTH(CHOOSE({1,2,3,4},XT!U176,XT!Y176,XT!AC176,XT!AG176))=8)*(CHOOSE({1,2,3,4},XT!X176,XT!AB176,XT!AF176,XT!AJ176)))</f>
        <v>0</v>
      </c>
      <c r="AD176" t="str">
        <f>IFERROR(INDEX(CHOOSE({1,2,3,4}, DAY(XT!U176), DAY(XT!Y176), DAY(XT!AC176), DAY(XT!AG176)), MATCH(1, INDEX(--(MONTH(CHOOSE({1,2,3,4}, XT!U176,XT!Y176,XT!AC176,XT!AG176))=8), 0), 0)), "")</f>
        <v/>
      </c>
      <c r="AE176" s="12" t="str">
        <f>IF(XT!$P176&gt;0,AD176,"")</f>
        <v/>
      </c>
      <c r="AF176" s="12" t="str">
        <f>IF(XT!$P176=0,AD176,"")</f>
        <v/>
      </c>
      <c r="AG176">
        <f>SUMPRODUCT((MONTH(CHOOSE({1,2,3,4},XT!U176,XT!Y176,XT!AC176,XT!AG176))=9)*(CHOOSE({1,2,3,4},XT!X176,XT!AB176,XT!AF176,XT!AJ176)))</f>
        <v>0</v>
      </c>
      <c r="AH176" t="str">
        <f>IFERROR(INDEX(CHOOSE({1,2,3,4}, DAY(XT!U176), DAY(XT!Y176), DAY(XT!AC176), DAY(XT!AG176)), MATCH(1, INDEX(--(MONTH(CHOOSE({1,2,3,4}, XT!U176,XT!Y176,XT!AC176,XT!AG176))=9), 0), 0)), "")</f>
        <v/>
      </c>
      <c r="AI176" s="12" t="str">
        <f>IF(XT!$P176&gt;0,AH176,"")</f>
        <v/>
      </c>
      <c r="AJ176" s="12" t="str">
        <f>IF(XT!$P176=0,AH176,"")</f>
        <v/>
      </c>
      <c r="AK176">
        <f>SUMPRODUCT((MONTH(CHOOSE({1,2,3,4},XT!U176,XT!Y176,XT!AC176,XT!AG176))=10)*(CHOOSE({1,2,3,4},XT!X176,XT!AB176,XT!AF176,XT!AJ176)))</f>
        <v>0</v>
      </c>
      <c r="AL176" t="str">
        <f>IFERROR(INDEX(CHOOSE({1,2,3,4}, DAY(XT!U176), DAY(XT!Y176), DAY(XT!AC176), DAY(XT!AG176)), MATCH(1, INDEX(--(MONTH(CHOOSE({1,2,3,4}, XT!U176,XT!Y176,XT!AC176,XT!AG176))=10), 0), 0)), "")</f>
        <v/>
      </c>
      <c r="AM176" s="12" t="str">
        <f>IF(XT!$P176&gt;0,AL176,"")</f>
        <v/>
      </c>
      <c r="AN176" s="12" t="str">
        <f>IF(XT!$P176=0,AL176,"")</f>
        <v/>
      </c>
      <c r="AO176">
        <f>SUMPRODUCT((MONTH(CHOOSE({1,2,3,4},XT!U176,XT!Y176,XT!AC176,XT!AG176))=11)*(CHOOSE({1,2,3,4},XT!X176,XT!AB176,XT!AF176,XT!AJ176)))</f>
        <v>0</v>
      </c>
      <c r="AP176" t="str">
        <f>IFERROR(INDEX(CHOOSE({1,2,3,4}, DAY(XT!U176), DAY(XT!Y176), DAY(XT!AC176), DAY(XT!AG176)), MATCH(1, INDEX(--(MONTH(CHOOSE({1,2,3,4}, XT!U176,XT!Y176,XT!AC176,XT!AG176))=11), 0), 0)), "")</f>
        <v/>
      </c>
      <c r="AQ176" s="12" t="str">
        <f>IF(XT!$P176&gt;0,AP176,"")</f>
        <v/>
      </c>
      <c r="AR176" s="12" t="str">
        <f>IF(XT!$P176=0,AP176,"")</f>
        <v/>
      </c>
      <c r="AS176">
        <f>SUMPRODUCT((MONTH(CHOOSE({1,2,3,4},XT!U176,XT!Y176,XT!AC176,XT!AG176))=12)*(CHOOSE({1,2,3,4},XT!X176,XT!AB176,XT!AF176,XT!AJ176)))</f>
        <v>0</v>
      </c>
      <c r="AT176" t="str">
        <f>IFERROR(INDEX(CHOOSE({1,2,3,4}, DAY(XT!U176), DAY(XT!Y176), DAY(XT!AC176), DAY(XT!AG176)), MATCH(1, INDEX(--(MONTH(CHOOSE({1,2,3,4}, XT!U176,XT!Y176,XT!AC176,XT!AG176))=12), 0), 0)), "")</f>
        <v/>
      </c>
      <c r="AU176" s="12" t="str">
        <f>IF(XT!$P176&gt;0,AT176,"")</f>
        <v/>
      </c>
      <c r="AV176" s="12" t="str">
        <f>IF(XT!$P176=0,AT176,"")</f>
        <v/>
      </c>
    </row>
    <row r="177" spans="1:48">
      <c r="A177">
        <f>SUMPRODUCT((MONTH(CHOOSE({1,2,3,4},XT!U177,XT!Y177,XT!AC177,XT!AG177))=1)*(CHOOSE({1,2,3,4},XT!X177,XT!AB177,XT!AF177,XT!AJ177)))</f>
        <v>0</v>
      </c>
      <c r="B177">
        <f>IFERROR(INDEX(CHOOSE({1,2,3,4}, DAY(XT!U177), DAY(XT!Y177), DAY(XT!AC177), DAY(XT!AG177)), MATCH(1, INDEX(--(MONTH(CHOOSE({1,2,3,4}, XT!U177,XT!Y177,XT!AC177,XT!AG177))=1), 0), 0)), "")</f>
        <v>0</v>
      </c>
      <c r="C177" s="12" t="str">
        <f>IF(XT!$P177&gt;0,B177,"")</f>
        <v/>
      </c>
      <c r="D177" s="12">
        <f>IF(XT!$P177=0,B177,"")</f>
        <v>0</v>
      </c>
      <c r="E177">
        <f>SUMPRODUCT((MONTH(CHOOSE({1,2,3,4},XT!U177,XT!Y177,XT!AC177,XT!AG177))=2)*(CHOOSE({1,2,3,4},XT!X177,XT!AB177,XT!AF177,XT!AJ177)))</f>
        <v>0</v>
      </c>
      <c r="F177" t="str">
        <f>IFERROR(INDEX(CHOOSE({1,2,3,4}, DAY(XT!U177), DAY(XT!Y177), DAY(XT!AC177), DAY(XT!AG177)), MATCH(1, INDEX(--(MONTH(CHOOSE({1,2,3,4}, XT!U177,XT!Y177,XT!AC177,XT!AG177))=2), 0), 0)), "")</f>
        <v/>
      </c>
      <c r="G177" s="12" t="str">
        <f>IF(XT!$P177&gt;0,F177,"")</f>
        <v/>
      </c>
      <c r="H177" s="12" t="str">
        <f>IF(XT!$P177=0,F177,"")</f>
        <v/>
      </c>
      <c r="I177">
        <f>SUMPRODUCT((MONTH(CHOOSE({1,2,3,4},XT!U177,XT!Y177,XT!AC177,XT!AG177))=3)*(CHOOSE({1,2,3,4},XT!X177,XT!AB177,XT!AF177,XT!AJ177)))</f>
        <v>0</v>
      </c>
      <c r="J177" t="str">
        <f>IFERROR(INDEX(CHOOSE({1,2,3,4}, DAY(XT!U177), DAY(XT!Y177), DAY(XT!AC177), DAY(XT!AG177)), MATCH(1, INDEX(--(MONTH(CHOOSE({1,2,3,4}, XT!U177,XT!Y177,XT!AC177,XT!AG177))=3), 0), 0)), "")</f>
        <v/>
      </c>
      <c r="K177" s="12" t="str">
        <f>IF(XT!$P177&gt;0,J177,"")</f>
        <v/>
      </c>
      <c r="L177" s="12" t="str">
        <f>IF(XT!$P177=0,J177,"")</f>
        <v/>
      </c>
      <c r="M177">
        <f>SUMPRODUCT((MONTH(CHOOSE({1,2,3,4},XT!U177,XT!Y177,XT!AC177,XT!AG177))=4)*(CHOOSE({1,2,3,4},XT!X177,XT!AB177,XT!AF177,XT!AJ177)))</f>
        <v>0</v>
      </c>
      <c r="N177" t="str">
        <f>IFERROR(INDEX(CHOOSE({1,2,3,4}, DAY(XT!U177), DAY(XT!Y177), DAY(XT!AC177), DAY(XT!AG177)), MATCH(1, INDEX(--(MONTH(CHOOSE({1,2,3,4}, XT!U177,XT!Y177,XT!AC177,XT!AG177))=4), 0), 0)), "")</f>
        <v/>
      </c>
      <c r="O177" s="12" t="str">
        <f>IF(XT!$P177&gt;0,N177,"")</f>
        <v/>
      </c>
      <c r="P177" s="12" t="str">
        <f>IF(XT!$P177=0,N177,"")</f>
        <v/>
      </c>
      <c r="Q177">
        <f>SUMPRODUCT((MONTH(CHOOSE({1,2,3,4},XT!U177,XT!Y177,XT!AC177,XT!AG177))=5)*(CHOOSE({1,2,3,4},XT!X177,XT!AB177,XT!AF177,XT!AJ177)))</f>
        <v>0</v>
      </c>
      <c r="R177" t="str">
        <f>IFERROR(INDEX(CHOOSE({1,2,3,4}, DAY(XT!U177), DAY(XT!Y177), DAY(XT!AC177), DAY(XT!AG177)), MATCH(1, INDEX(--(MONTH(CHOOSE({1,2,3,4}, XT!U177,XT!Y177,XT!AC177,XT!AG177))=5), 0), 0)), "")</f>
        <v/>
      </c>
      <c r="S177" s="12" t="str">
        <f>IF(XT!$P177&gt;0,R177,"")</f>
        <v/>
      </c>
      <c r="T177" s="12" t="str">
        <f>IF(XT!$P177=0,R177,"")</f>
        <v/>
      </c>
      <c r="U177">
        <f>SUMPRODUCT((MONTH(CHOOSE({1,2,3,4},XT!U177,XT!Y177,XT!AC177,XT!AG177))=6)*(CHOOSE({1,2,3,4},XT!X177,XT!AB177,XT!AF177,XT!AJ177)))</f>
        <v>0</v>
      </c>
      <c r="V177" t="str">
        <f>IFERROR(INDEX(CHOOSE({1,2,3,4}, DAY(XT!U177), DAY(XT!Y177), DAY(XT!AC177), DAY(XT!AG177)), MATCH(1, INDEX(--(MONTH(CHOOSE({1,2,3,4}, XT!U177,XT!Y177,XT!AC177,XT!AG177))=6), 0), 0)), "")</f>
        <v/>
      </c>
      <c r="W177" s="12" t="str">
        <f>IF(XT!$P177&gt;0,V177,"")</f>
        <v/>
      </c>
      <c r="X177" s="12" t="str">
        <f>IF(XT!$P177=0,V177,"")</f>
        <v/>
      </c>
      <c r="Y177">
        <f>SUMPRODUCT((MONTH(CHOOSE({1,2,3,4},XT!U177,XT!Y177,XT!AC177,XT!AG177))=7)*(CHOOSE({1,2,3,4},XT!X177,XT!AB177,XT!AF177,XT!AJ177)))</f>
        <v>0</v>
      </c>
      <c r="Z177" t="str">
        <f>IFERROR(INDEX(CHOOSE({1,2,3,4}, DAY(XT!U177), DAY(XT!Y177), DAY(XT!AC177), DAY(XT!AG177)), MATCH(1, INDEX(--(MONTH(CHOOSE({1,2,3,4}, XT!U177,XT!Y177,XT!AC177,XT!AG177))=7), 0), 0)), "")</f>
        <v/>
      </c>
      <c r="AA177" s="12" t="str">
        <f>IF(XT!$P177&gt;0,Z177,"")</f>
        <v/>
      </c>
      <c r="AB177" s="12" t="str">
        <f>IF(XT!$P177=0,Z177,"")</f>
        <v/>
      </c>
      <c r="AC177">
        <f>SUMPRODUCT((MONTH(CHOOSE({1,2,3,4},XT!U177,XT!Y177,XT!AC177,XT!AG177))=8)*(CHOOSE({1,2,3,4},XT!X177,XT!AB177,XT!AF177,XT!AJ177)))</f>
        <v>0</v>
      </c>
      <c r="AD177" t="str">
        <f>IFERROR(INDEX(CHOOSE({1,2,3,4}, DAY(XT!U177), DAY(XT!Y177), DAY(XT!AC177), DAY(XT!AG177)), MATCH(1, INDEX(--(MONTH(CHOOSE({1,2,3,4}, XT!U177,XT!Y177,XT!AC177,XT!AG177))=8), 0), 0)), "")</f>
        <v/>
      </c>
      <c r="AE177" s="12" t="str">
        <f>IF(XT!$P177&gt;0,AD177,"")</f>
        <v/>
      </c>
      <c r="AF177" s="12" t="str">
        <f>IF(XT!$P177=0,AD177,"")</f>
        <v/>
      </c>
      <c r="AG177">
        <f>SUMPRODUCT((MONTH(CHOOSE({1,2,3,4},XT!U177,XT!Y177,XT!AC177,XT!AG177))=9)*(CHOOSE({1,2,3,4},XT!X177,XT!AB177,XT!AF177,XT!AJ177)))</f>
        <v>0</v>
      </c>
      <c r="AH177" t="str">
        <f>IFERROR(INDEX(CHOOSE({1,2,3,4}, DAY(XT!U177), DAY(XT!Y177), DAY(XT!AC177), DAY(XT!AG177)), MATCH(1, INDEX(--(MONTH(CHOOSE({1,2,3,4}, XT!U177,XT!Y177,XT!AC177,XT!AG177))=9), 0), 0)), "")</f>
        <v/>
      </c>
      <c r="AI177" s="12" t="str">
        <f>IF(XT!$P177&gt;0,AH177,"")</f>
        <v/>
      </c>
      <c r="AJ177" s="12" t="str">
        <f>IF(XT!$P177=0,AH177,"")</f>
        <v/>
      </c>
      <c r="AK177">
        <f>SUMPRODUCT((MONTH(CHOOSE({1,2,3,4},XT!U177,XT!Y177,XT!AC177,XT!AG177))=10)*(CHOOSE({1,2,3,4},XT!X177,XT!AB177,XT!AF177,XT!AJ177)))</f>
        <v>0</v>
      </c>
      <c r="AL177" t="str">
        <f>IFERROR(INDEX(CHOOSE({1,2,3,4}, DAY(XT!U177), DAY(XT!Y177), DAY(XT!AC177), DAY(XT!AG177)), MATCH(1, INDEX(--(MONTH(CHOOSE({1,2,3,4}, XT!U177,XT!Y177,XT!AC177,XT!AG177))=10), 0), 0)), "")</f>
        <v/>
      </c>
      <c r="AM177" s="12" t="str">
        <f>IF(XT!$P177&gt;0,AL177,"")</f>
        <v/>
      </c>
      <c r="AN177" s="12" t="str">
        <f>IF(XT!$P177=0,AL177,"")</f>
        <v/>
      </c>
      <c r="AO177">
        <f>SUMPRODUCT((MONTH(CHOOSE({1,2,3,4},XT!U177,XT!Y177,XT!AC177,XT!AG177))=11)*(CHOOSE({1,2,3,4},XT!X177,XT!AB177,XT!AF177,XT!AJ177)))</f>
        <v>0</v>
      </c>
      <c r="AP177" t="str">
        <f>IFERROR(INDEX(CHOOSE({1,2,3,4}, DAY(XT!U177), DAY(XT!Y177), DAY(XT!AC177), DAY(XT!AG177)), MATCH(1, INDEX(--(MONTH(CHOOSE({1,2,3,4}, XT!U177,XT!Y177,XT!AC177,XT!AG177))=11), 0), 0)), "")</f>
        <v/>
      </c>
      <c r="AQ177" s="12" t="str">
        <f>IF(XT!$P177&gt;0,AP177,"")</f>
        <v/>
      </c>
      <c r="AR177" s="12" t="str">
        <f>IF(XT!$P177=0,AP177,"")</f>
        <v/>
      </c>
      <c r="AS177">
        <f>SUMPRODUCT((MONTH(CHOOSE({1,2,3,4},XT!U177,XT!Y177,XT!AC177,XT!AG177))=12)*(CHOOSE({1,2,3,4},XT!X177,XT!AB177,XT!AF177,XT!AJ177)))</f>
        <v>0</v>
      </c>
      <c r="AT177" t="str">
        <f>IFERROR(INDEX(CHOOSE({1,2,3,4}, DAY(XT!U177), DAY(XT!Y177), DAY(XT!AC177), DAY(XT!AG177)), MATCH(1, INDEX(--(MONTH(CHOOSE({1,2,3,4}, XT!U177,XT!Y177,XT!AC177,XT!AG177))=12), 0), 0)), "")</f>
        <v/>
      </c>
      <c r="AU177" s="12" t="str">
        <f>IF(XT!$P177&gt;0,AT177,"")</f>
        <v/>
      </c>
      <c r="AV177" s="12" t="str">
        <f>IF(XT!$P177=0,AT177,"")</f>
        <v/>
      </c>
    </row>
    <row r="178" spans="1:48">
      <c r="A178">
        <f>SUMPRODUCT((MONTH(CHOOSE({1,2,3,4},XT!U178,XT!Y178,XT!AC178,XT!AG178))=1)*(CHOOSE({1,2,3,4},XT!X178,XT!AB178,XT!AF178,XT!AJ178)))</f>
        <v>0</v>
      </c>
      <c r="B178">
        <f>IFERROR(INDEX(CHOOSE({1,2,3,4}, DAY(XT!U178), DAY(XT!Y178), DAY(XT!AC178), DAY(XT!AG178)), MATCH(1, INDEX(--(MONTH(CHOOSE({1,2,3,4}, XT!U178,XT!Y178,XT!AC178,XT!AG178))=1), 0), 0)), "")</f>
        <v>0</v>
      </c>
      <c r="C178" s="12" t="str">
        <f>IF(XT!$P178&gt;0,B178,"")</f>
        <v/>
      </c>
      <c r="D178" s="12">
        <f>IF(XT!$P178=0,B178,"")</f>
        <v>0</v>
      </c>
      <c r="E178">
        <f>SUMPRODUCT((MONTH(CHOOSE({1,2,3,4},XT!U178,XT!Y178,XT!AC178,XT!AG178))=2)*(CHOOSE({1,2,3,4},XT!X178,XT!AB178,XT!AF178,XT!AJ178)))</f>
        <v>0</v>
      </c>
      <c r="F178" t="str">
        <f>IFERROR(INDEX(CHOOSE({1,2,3,4}, DAY(XT!U178), DAY(XT!Y178), DAY(XT!AC178), DAY(XT!AG178)), MATCH(1, INDEX(--(MONTH(CHOOSE({1,2,3,4}, XT!U178,XT!Y178,XT!AC178,XT!AG178))=2), 0), 0)), "")</f>
        <v/>
      </c>
      <c r="G178" s="12" t="str">
        <f>IF(XT!$P178&gt;0,F178,"")</f>
        <v/>
      </c>
      <c r="H178" s="12" t="str">
        <f>IF(XT!$P178=0,F178,"")</f>
        <v/>
      </c>
      <c r="I178">
        <f>SUMPRODUCT((MONTH(CHOOSE({1,2,3,4},XT!U178,XT!Y178,XT!AC178,XT!AG178))=3)*(CHOOSE({1,2,3,4},XT!X178,XT!AB178,XT!AF178,XT!AJ178)))</f>
        <v>0</v>
      </c>
      <c r="J178" t="str">
        <f>IFERROR(INDEX(CHOOSE({1,2,3,4}, DAY(XT!U178), DAY(XT!Y178), DAY(XT!AC178), DAY(XT!AG178)), MATCH(1, INDEX(--(MONTH(CHOOSE({1,2,3,4}, XT!U178,XT!Y178,XT!AC178,XT!AG178))=3), 0), 0)), "")</f>
        <v/>
      </c>
      <c r="K178" s="12" t="str">
        <f>IF(XT!$P178&gt;0,J178,"")</f>
        <v/>
      </c>
      <c r="L178" s="12" t="str">
        <f>IF(XT!$P178=0,J178,"")</f>
        <v/>
      </c>
      <c r="M178">
        <f>SUMPRODUCT((MONTH(CHOOSE({1,2,3,4},XT!U178,XT!Y178,XT!AC178,XT!AG178))=4)*(CHOOSE({1,2,3,4},XT!X178,XT!AB178,XT!AF178,XT!AJ178)))</f>
        <v>0</v>
      </c>
      <c r="N178" t="str">
        <f>IFERROR(INDEX(CHOOSE({1,2,3,4}, DAY(XT!U178), DAY(XT!Y178), DAY(XT!AC178), DAY(XT!AG178)), MATCH(1, INDEX(--(MONTH(CHOOSE({1,2,3,4}, XT!U178,XT!Y178,XT!AC178,XT!AG178))=4), 0), 0)), "")</f>
        <v/>
      </c>
      <c r="O178" s="12" t="str">
        <f>IF(XT!$P178&gt;0,N178,"")</f>
        <v/>
      </c>
      <c r="P178" s="12" t="str">
        <f>IF(XT!$P178=0,N178,"")</f>
        <v/>
      </c>
      <c r="Q178">
        <f>SUMPRODUCT((MONTH(CHOOSE({1,2,3,4},XT!U178,XT!Y178,XT!AC178,XT!AG178))=5)*(CHOOSE({1,2,3,4},XT!X178,XT!AB178,XT!AF178,XT!AJ178)))</f>
        <v>0</v>
      </c>
      <c r="R178" t="str">
        <f>IFERROR(INDEX(CHOOSE({1,2,3,4}, DAY(XT!U178), DAY(XT!Y178), DAY(XT!AC178), DAY(XT!AG178)), MATCH(1, INDEX(--(MONTH(CHOOSE({1,2,3,4}, XT!U178,XT!Y178,XT!AC178,XT!AG178))=5), 0), 0)), "")</f>
        <v/>
      </c>
      <c r="S178" s="12" t="str">
        <f>IF(XT!$P178&gt;0,R178,"")</f>
        <v/>
      </c>
      <c r="T178" s="12" t="str">
        <f>IF(XT!$P178=0,R178,"")</f>
        <v/>
      </c>
      <c r="U178">
        <f>SUMPRODUCT((MONTH(CHOOSE({1,2,3,4},XT!U178,XT!Y178,XT!AC178,XT!AG178))=6)*(CHOOSE({1,2,3,4},XT!X178,XT!AB178,XT!AF178,XT!AJ178)))</f>
        <v>0</v>
      </c>
      <c r="V178" t="str">
        <f>IFERROR(INDEX(CHOOSE({1,2,3,4}, DAY(XT!U178), DAY(XT!Y178), DAY(XT!AC178), DAY(XT!AG178)), MATCH(1, INDEX(--(MONTH(CHOOSE({1,2,3,4}, XT!U178,XT!Y178,XT!AC178,XT!AG178))=6), 0), 0)), "")</f>
        <v/>
      </c>
      <c r="W178" s="12" t="str">
        <f>IF(XT!$P178&gt;0,V178,"")</f>
        <v/>
      </c>
      <c r="X178" s="12" t="str">
        <f>IF(XT!$P178=0,V178,"")</f>
        <v/>
      </c>
      <c r="Y178">
        <f>SUMPRODUCT((MONTH(CHOOSE({1,2,3,4},XT!U178,XT!Y178,XT!AC178,XT!AG178))=7)*(CHOOSE({1,2,3,4},XT!X178,XT!AB178,XT!AF178,XT!AJ178)))</f>
        <v>0</v>
      </c>
      <c r="Z178" t="str">
        <f>IFERROR(INDEX(CHOOSE({1,2,3,4}, DAY(XT!U178), DAY(XT!Y178), DAY(XT!AC178), DAY(XT!AG178)), MATCH(1, INDEX(--(MONTH(CHOOSE({1,2,3,4}, XT!U178,XT!Y178,XT!AC178,XT!AG178))=7), 0), 0)), "")</f>
        <v/>
      </c>
      <c r="AA178" s="12" t="str">
        <f>IF(XT!$P178&gt;0,Z178,"")</f>
        <v/>
      </c>
      <c r="AB178" s="12" t="str">
        <f>IF(XT!$P178=0,Z178,"")</f>
        <v/>
      </c>
      <c r="AC178">
        <f>SUMPRODUCT((MONTH(CHOOSE({1,2,3,4},XT!U178,XT!Y178,XT!AC178,XT!AG178))=8)*(CHOOSE({1,2,3,4},XT!X178,XT!AB178,XT!AF178,XT!AJ178)))</f>
        <v>0</v>
      </c>
      <c r="AD178" t="str">
        <f>IFERROR(INDEX(CHOOSE({1,2,3,4}, DAY(XT!U178), DAY(XT!Y178), DAY(XT!AC178), DAY(XT!AG178)), MATCH(1, INDEX(--(MONTH(CHOOSE({1,2,3,4}, XT!U178,XT!Y178,XT!AC178,XT!AG178))=8), 0), 0)), "")</f>
        <v/>
      </c>
      <c r="AE178" s="12" t="str">
        <f>IF(XT!$P178&gt;0,AD178,"")</f>
        <v/>
      </c>
      <c r="AF178" s="12" t="str">
        <f>IF(XT!$P178=0,AD178,"")</f>
        <v/>
      </c>
      <c r="AG178">
        <f>SUMPRODUCT((MONTH(CHOOSE({1,2,3,4},XT!U178,XT!Y178,XT!AC178,XT!AG178))=9)*(CHOOSE({1,2,3,4},XT!X178,XT!AB178,XT!AF178,XT!AJ178)))</f>
        <v>0</v>
      </c>
      <c r="AH178" t="str">
        <f>IFERROR(INDEX(CHOOSE({1,2,3,4}, DAY(XT!U178), DAY(XT!Y178), DAY(XT!AC178), DAY(XT!AG178)), MATCH(1, INDEX(--(MONTH(CHOOSE({1,2,3,4}, XT!U178,XT!Y178,XT!AC178,XT!AG178))=9), 0), 0)), "")</f>
        <v/>
      </c>
      <c r="AI178" s="12" t="str">
        <f>IF(XT!$P178&gt;0,AH178,"")</f>
        <v/>
      </c>
      <c r="AJ178" s="12" t="str">
        <f>IF(XT!$P178=0,AH178,"")</f>
        <v/>
      </c>
      <c r="AK178">
        <f>SUMPRODUCT((MONTH(CHOOSE({1,2,3,4},XT!U178,XT!Y178,XT!AC178,XT!AG178))=10)*(CHOOSE({1,2,3,4},XT!X178,XT!AB178,XT!AF178,XT!AJ178)))</f>
        <v>0</v>
      </c>
      <c r="AL178" t="str">
        <f>IFERROR(INDEX(CHOOSE({1,2,3,4}, DAY(XT!U178), DAY(XT!Y178), DAY(XT!AC178), DAY(XT!AG178)), MATCH(1, INDEX(--(MONTH(CHOOSE({1,2,3,4}, XT!U178,XT!Y178,XT!AC178,XT!AG178))=10), 0), 0)), "")</f>
        <v/>
      </c>
      <c r="AM178" s="12" t="str">
        <f>IF(XT!$P178&gt;0,AL178,"")</f>
        <v/>
      </c>
      <c r="AN178" s="12" t="str">
        <f>IF(XT!$P178=0,AL178,"")</f>
        <v/>
      </c>
      <c r="AO178">
        <f>SUMPRODUCT((MONTH(CHOOSE({1,2,3,4},XT!U178,XT!Y178,XT!AC178,XT!AG178))=11)*(CHOOSE({1,2,3,4},XT!X178,XT!AB178,XT!AF178,XT!AJ178)))</f>
        <v>0</v>
      </c>
      <c r="AP178" t="str">
        <f>IFERROR(INDEX(CHOOSE({1,2,3,4}, DAY(XT!U178), DAY(XT!Y178), DAY(XT!AC178), DAY(XT!AG178)), MATCH(1, INDEX(--(MONTH(CHOOSE({1,2,3,4}, XT!U178,XT!Y178,XT!AC178,XT!AG178))=11), 0), 0)), "")</f>
        <v/>
      </c>
      <c r="AQ178" s="12" t="str">
        <f>IF(XT!$P178&gt;0,AP178,"")</f>
        <v/>
      </c>
      <c r="AR178" s="12" t="str">
        <f>IF(XT!$P178=0,AP178,"")</f>
        <v/>
      </c>
      <c r="AS178">
        <f>SUMPRODUCT((MONTH(CHOOSE({1,2,3,4},XT!U178,XT!Y178,XT!AC178,XT!AG178))=12)*(CHOOSE({1,2,3,4},XT!X178,XT!AB178,XT!AF178,XT!AJ178)))</f>
        <v>0</v>
      </c>
      <c r="AT178" t="str">
        <f>IFERROR(INDEX(CHOOSE({1,2,3,4}, DAY(XT!U178), DAY(XT!Y178), DAY(XT!AC178), DAY(XT!AG178)), MATCH(1, INDEX(--(MONTH(CHOOSE({1,2,3,4}, XT!U178,XT!Y178,XT!AC178,XT!AG178))=12), 0), 0)), "")</f>
        <v/>
      </c>
      <c r="AU178" s="12" t="str">
        <f>IF(XT!$P178&gt;0,AT178,"")</f>
        <v/>
      </c>
      <c r="AV178" s="12" t="str">
        <f>IF(XT!$P178=0,AT178,"")</f>
        <v/>
      </c>
    </row>
    <row r="179" spans="1:48">
      <c r="A179">
        <f>SUMPRODUCT((MONTH(CHOOSE({1,2,3,4},XT!U179,XT!Y179,XT!AC179,XT!AG179))=1)*(CHOOSE({1,2,3,4},XT!X179,XT!AB179,XT!AF179,XT!AJ179)))</f>
        <v>0</v>
      </c>
      <c r="B179">
        <f>IFERROR(INDEX(CHOOSE({1,2,3,4}, DAY(XT!U179), DAY(XT!Y179), DAY(XT!AC179), DAY(XT!AG179)), MATCH(1, INDEX(--(MONTH(CHOOSE({1,2,3,4}, XT!U179,XT!Y179,XT!AC179,XT!AG179))=1), 0), 0)), "")</f>
        <v>0</v>
      </c>
      <c r="C179" s="12" t="str">
        <f>IF(XT!$P179&gt;0,B179,"")</f>
        <v/>
      </c>
      <c r="D179" s="12">
        <f>IF(XT!$P179=0,B179,"")</f>
        <v>0</v>
      </c>
      <c r="E179">
        <f>SUMPRODUCT((MONTH(CHOOSE({1,2,3,4},XT!U179,XT!Y179,XT!AC179,XT!AG179))=2)*(CHOOSE({1,2,3,4},XT!X179,XT!AB179,XT!AF179,XT!AJ179)))</f>
        <v>0</v>
      </c>
      <c r="F179" t="str">
        <f>IFERROR(INDEX(CHOOSE({1,2,3,4}, DAY(XT!U179), DAY(XT!Y179), DAY(XT!AC179), DAY(XT!AG179)), MATCH(1, INDEX(--(MONTH(CHOOSE({1,2,3,4}, XT!U179,XT!Y179,XT!AC179,XT!AG179))=2), 0), 0)), "")</f>
        <v/>
      </c>
      <c r="G179" s="12" t="str">
        <f>IF(XT!$P179&gt;0,F179,"")</f>
        <v/>
      </c>
      <c r="H179" s="12" t="str">
        <f>IF(XT!$P179=0,F179,"")</f>
        <v/>
      </c>
      <c r="I179">
        <f>SUMPRODUCT((MONTH(CHOOSE({1,2,3,4},XT!U179,XT!Y179,XT!AC179,XT!AG179))=3)*(CHOOSE({1,2,3,4},XT!X179,XT!AB179,XT!AF179,XT!AJ179)))</f>
        <v>0</v>
      </c>
      <c r="J179" t="str">
        <f>IFERROR(INDEX(CHOOSE({1,2,3,4}, DAY(XT!U179), DAY(XT!Y179), DAY(XT!AC179), DAY(XT!AG179)), MATCH(1, INDEX(--(MONTH(CHOOSE({1,2,3,4}, XT!U179,XT!Y179,XT!AC179,XT!AG179))=3), 0), 0)), "")</f>
        <v/>
      </c>
      <c r="K179" s="12" t="str">
        <f>IF(XT!$P179&gt;0,J179,"")</f>
        <v/>
      </c>
      <c r="L179" s="12" t="str">
        <f>IF(XT!$P179=0,J179,"")</f>
        <v/>
      </c>
      <c r="M179">
        <f>SUMPRODUCT((MONTH(CHOOSE({1,2,3,4},XT!U179,XT!Y179,XT!AC179,XT!AG179))=4)*(CHOOSE({1,2,3,4},XT!X179,XT!AB179,XT!AF179,XT!AJ179)))</f>
        <v>0</v>
      </c>
      <c r="N179" t="str">
        <f>IFERROR(INDEX(CHOOSE({1,2,3,4}, DAY(XT!U179), DAY(XT!Y179), DAY(XT!AC179), DAY(XT!AG179)), MATCH(1, INDEX(--(MONTH(CHOOSE({1,2,3,4}, XT!U179,XT!Y179,XT!AC179,XT!AG179))=4), 0), 0)), "")</f>
        <v/>
      </c>
      <c r="O179" s="12" t="str">
        <f>IF(XT!$P179&gt;0,N179,"")</f>
        <v/>
      </c>
      <c r="P179" s="12" t="str">
        <f>IF(XT!$P179=0,N179,"")</f>
        <v/>
      </c>
      <c r="Q179">
        <f>SUMPRODUCT((MONTH(CHOOSE({1,2,3,4},XT!U179,XT!Y179,XT!AC179,XT!AG179))=5)*(CHOOSE({1,2,3,4},XT!X179,XT!AB179,XT!AF179,XT!AJ179)))</f>
        <v>0</v>
      </c>
      <c r="R179" t="str">
        <f>IFERROR(INDEX(CHOOSE({1,2,3,4}, DAY(XT!U179), DAY(XT!Y179), DAY(XT!AC179), DAY(XT!AG179)), MATCH(1, INDEX(--(MONTH(CHOOSE({1,2,3,4}, XT!U179,XT!Y179,XT!AC179,XT!AG179))=5), 0), 0)), "")</f>
        <v/>
      </c>
      <c r="S179" s="12" t="str">
        <f>IF(XT!$P179&gt;0,R179,"")</f>
        <v/>
      </c>
      <c r="T179" s="12" t="str">
        <f>IF(XT!$P179=0,R179,"")</f>
        <v/>
      </c>
      <c r="U179">
        <f>SUMPRODUCT((MONTH(CHOOSE({1,2,3,4},XT!U179,XT!Y179,XT!AC179,XT!AG179))=6)*(CHOOSE({1,2,3,4},XT!X179,XT!AB179,XT!AF179,XT!AJ179)))</f>
        <v>0</v>
      </c>
      <c r="V179" t="str">
        <f>IFERROR(INDEX(CHOOSE({1,2,3,4}, DAY(XT!U179), DAY(XT!Y179), DAY(XT!AC179), DAY(XT!AG179)), MATCH(1, INDEX(--(MONTH(CHOOSE({1,2,3,4}, XT!U179,XT!Y179,XT!AC179,XT!AG179))=6), 0), 0)), "")</f>
        <v/>
      </c>
      <c r="W179" s="12" t="str">
        <f>IF(XT!$P179&gt;0,V179,"")</f>
        <v/>
      </c>
      <c r="X179" s="12" t="str">
        <f>IF(XT!$P179=0,V179,"")</f>
        <v/>
      </c>
      <c r="Y179">
        <f>SUMPRODUCT((MONTH(CHOOSE({1,2,3,4},XT!U179,XT!Y179,XT!AC179,XT!AG179))=7)*(CHOOSE({1,2,3,4},XT!X179,XT!AB179,XT!AF179,XT!AJ179)))</f>
        <v>0</v>
      </c>
      <c r="Z179" t="str">
        <f>IFERROR(INDEX(CHOOSE({1,2,3,4}, DAY(XT!U179), DAY(XT!Y179), DAY(XT!AC179), DAY(XT!AG179)), MATCH(1, INDEX(--(MONTH(CHOOSE({1,2,3,4}, XT!U179,XT!Y179,XT!AC179,XT!AG179))=7), 0), 0)), "")</f>
        <v/>
      </c>
      <c r="AA179" s="12" t="str">
        <f>IF(XT!$P179&gt;0,Z179,"")</f>
        <v/>
      </c>
      <c r="AB179" s="12" t="str">
        <f>IF(XT!$P179=0,Z179,"")</f>
        <v/>
      </c>
      <c r="AC179">
        <f>SUMPRODUCT((MONTH(CHOOSE({1,2,3,4},XT!U179,XT!Y179,XT!AC179,XT!AG179))=8)*(CHOOSE({1,2,3,4},XT!X179,XT!AB179,XT!AF179,XT!AJ179)))</f>
        <v>0</v>
      </c>
      <c r="AD179" t="str">
        <f>IFERROR(INDEX(CHOOSE({1,2,3,4}, DAY(XT!U179), DAY(XT!Y179), DAY(XT!AC179), DAY(XT!AG179)), MATCH(1, INDEX(--(MONTH(CHOOSE({1,2,3,4}, XT!U179,XT!Y179,XT!AC179,XT!AG179))=8), 0), 0)), "")</f>
        <v/>
      </c>
      <c r="AE179" s="12" t="str">
        <f>IF(XT!$P179&gt;0,AD179,"")</f>
        <v/>
      </c>
      <c r="AF179" s="12" t="str">
        <f>IF(XT!$P179=0,AD179,"")</f>
        <v/>
      </c>
      <c r="AG179">
        <f>SUMPRODUCT((MONTH(CHOOSE({1,2,3,4},XT!U179,XT!Y179,XT!AC179,XT!AG179))=9)*(CHOOSE({1,2,3,4},XT!X179,XT!AB179,XT!AF179,XT!AJ179)))</f>
        <v>0</v>
      </c>
      <c r="AH179" t="str">
        <f>IFERROR(INDEX(CHOOSE({1,2,3,4}, DAY(XT!U179), DAY(XT!Y179), DAY(XT!AC179), DAY(XT!AG179)), MATCH(1, INDEX(--(MONTH(CHOOSE({1,2,3,4}, XT!U179,XT!Y179,XT!AC179,XT!AG179))=9), 0), 0)), "")</f>
        <v/>
      </c>
      <c r="AI179" s="12" t="str">
        <f>IF(XT!$P179&gt;0,AH179,"")</f>
        <v/>
      </c>
      <c r="AJ179" s="12" t="str">
        <f>IF(XT!$P179=0,AH179,"")</f>
        <v/>
      </c>
      <c r="AK179">
        <f>SUMPRODUCT((MONTH(CHOOSE({1,2,3,4},XT!U179,XT!Y179,XT!AC179,XT!AG179))=10)*(CHOOSE({1,2,3,4},XT!X179,XT!AB179,XT!AF179,XT!AJ179)))</f>
        <v>0</v>
      </c>
      <c r="AL179" t="str">
        <f>IFERROR(INDEX(CHOOSE({1,2,3,4}, DAY(XT!U179), DAY(XT!Y179), DAY(XT!AC179), DAY(XT!AG179)), MATCH(1, INDEX(--(MONTH(CHOOSE({1,2,3,4}, XT!U179,XT!Y179,XT!AC179,XT!AG179))=10), 0), 0)), "")</f>
        <v/>
      </c>
      <c r="AM179" s="12" t="str">
        <f>IF(XT!$P179&gt;0,AL179,"")</f>
        <v/>
      </c>
      <c r="AN179" s="12" t="str">
        <f>IF(XT!$P179=0,AL179,"")</f>
        <v/>
      </c>
      <c r="AO179">
        <f>SUMPRODUCT((MONTH(CHOOSE({1,2,3,4},XT!U179,XT!Y179,XT!AC179,XT!AG179))=11)*(CHOOSE({1,2,3,4},XT!X179,XT!AB179,XT!AF179,XT!AJ179)))</f>
        <v>0</v>
      </c>
      <c r="AP179" t="str">
        <f>IFERROR(INDEX(CHOOSE({1,2,3,4}, DAY(XT!U179), DAY(XT!Y179), DAY(XT!AC179), DAY(XT!AG179)), MATCH(1, INDEX(--(MONTH(CHOOSE({1,2,3,4}, XT!U179,XT!Y179,XT!AC179,XT!AG179))=11), 0), 0)), "")</f>
        <v/>
      </c>
      <c r="AQ179" s="12" t="str">
        <f>IF(XT!$P179&gt;0,AP179,"")</f>
        <v/>
      </c>
      <c r="AR179" s="12" t="str">
        <f>IF(XT!$P179=0,AP179,"")</f>
        <v/>
      </c>
      <c r="AS179">
        <f>SUMPRODUCT((MONTH(CHOOSE({1,2,3,4},XT!U179,XT!Y179,XT!AC179,XT!AG179))=12)*(CHOOSE({1,2,3,4},XT!X179,XT!AB179,XT!AF179,XT!AJ179)))</f>
        <v>0</v>
      </c>
      <c r="AT179" t="str">
        <f>IFERROR(INDEX(CHOOSE({1,2,3,4}, DAY(XT!U179), DAY(XT!Y179), DAY(XT!AC179), DAY(XT!AG179)), MATCH(1, INDEX(--(MONTH(CHOOSE({1,2,3,4}, XT!U179,XT!Y179,XT!AC179,XT!AG179))=12), 0), 0)), "")</f>
        <v/>
      </c>
      <c r="AU179" s="12" t="str">
        <f>IF(XT!$P179&gt;0,AT179,"")</f>
        <v/>
      </c>
      <c r="AV179" s="12" t="str">
        <f>IF(XT!$P179=0,AT179,"")</f>
        <v/>
      </c>
    </row>
    <row r="180" spans="1:48">
      <c r="A180">
        <f>SUMPRODUCT((MONTH(CHOOSE({1,2,3,4},XT!U180,XT!Y180,XT!AC180,XT!AG180))=1)*(CHOOSE({1,2,3,4},XT!X180,XT!AB180,XT!AF180,XT!AJ180)))</f>
        <v>0</v>
      </c>
      <c r="B180">
        <f>IFERROR(INDEX(CHOOSE({1,2,3,4}, DAY(XT!U180), DAY(XT!Y180), DAY(XT!AC180), DAY(XT!AG180)), MATCH(1, INDEX(--(MONTH(CHOOSE({1,2,3,4}, XT!U180,XT!Y180,XT!AC180,XT!AG180))=1), 0), 0)), "")</f>
        <v>0</v>
      </c>
      <c r="C180" s="12" t="str">
        <f>IF(XT!$P180&gt;0,B180,"")</f>
        <v/>
      </c>
      <c r="D180" s="12">
        <f>IF(XT!$P180=0,B180,"")</f>
        <v>0</v>
      </c>
      <c r="E180">
        <f>SUMPRODUCT((MONTH(CHOOSE({1,2,3,4},XT!U180,XT!Y180,XT!AC180,XT!AG180))=2)*(CHOOSE({1,2,3,4},XT!X180,XT!AB180,XT!AF180,XT!AJ180)))</f>
        <v>0</v>
      </c>
      <c r="F180" t="str">
        <f>IFERROR(INDEX(CHOOSE({1,2,3,4}, DAY(XT!U180), DAY(XT!Y180), DAY(XT!AC180), DAY(XT!AG180)), MATCH(1, INDEX(--(MONTH(CHOOSE({1,2,3,4}, XT!U180,XT!Y180,XT!AC180,XT!AG180))=2), 0), 0)), "")</f>
        <v/>
      </c>
      <c r="G180" s="12" t="str">
        <f>IF(XT!$P180&gt;0,F180,"")</f>
        <v/>
      </c>
      <c r="H180" s="12" t="str">
        <f>IF(XT!$P180=0,F180,"")</f>
        <v/>
      </c>
      <c r="I180">
        <f>SUMPRODUCT((MONTH(CHOOSE({1,2,3,4},XT!U180,XT!Y180,XT!AC180,XT!AG180))=3)*(CHOOSE({1,2,3,4},XT!X180,XT!AB180,XT!AF180,XT!AJ180)))</f>
        <v>0</v>
      </c>
      <c r="J180" t="str">
        <f>IFERROR(INDEX(CHOOSE({1,2,3,4}, DAY(XT!U180), DAY(XT!Y180), DAY(XT!AC180), DAY(XT!AG180)), MATCH(1, INDEX(--(MONTH(CHOOSE({1,2,3,4}, XT!U180,XT!Y180,XT!AC180,XT!AG180))=3), 0), 0)), "")</f>
        <v/>
      </c>
      <c r="K180" s="12" t="str">
        <f>IF(XT!$P180&gt;0,J180,"")</f>
        <v/>
      </c>
      <c r="L180" s="12" t="str">
        <f>IF(XT!$P180=0,J180,"")</f>
        <v/>
      </c>
      <c r="M180">
        <f>SUMPRODUCT((MONTH(CHOOSE({1,2,3,4},XT!U180,XT!Y180,XT!AC180,XT!AG180))=4)*(CHOOSE({1,2,3,4},XT!X180,XT!AB180,XT!AF180,XT!AJ180)))</f>
        <v>0</v>
      </c>
      <c r="N180" t="str">
        <f>IFERROR(INDEX(CHOOSE({1,2,3,4}, DAY(XT!U180), DAY(XT!Y180), DAY(XT!AC180), DAY(XT!AG180)), MATCH(1, INDEX(--(MONTH(CHOOSE({1,2,3,4}, XT!U180,XT!Y180,XT!AC180,XT!AG180))=4), 0), 0)), "")</f>
        <v/>
      </c>
      <c r="O180" s="12" t="str">
        <f>IF(XT!$P180&gt;0,N180,"")</f>
        <v/>
      </c>
      <c r="P180" s="12" t="str">
        <f>IF(XT!$P180=0,N180,"")</f>
        <v/>
      </c>
      <c r="Q180">
        <f>SUMPRODUCT((MONTH(CHOOSE({1,2,3,4},XT!U180,XT!Y180,XT!AC180,XT!AG180))=5)*(CHOOSE({1,2,3,4},XT!X180,XT!AB180,XT!AF180,XT!AJ180)))</f>
        <v>0</v>
      </c>
      <c r="R180" t="str">
        <f>IFERROR(INDEX(CHOOSE({1,2,3,4}, DAY(XT!U180), DAY(XT!Y180), DAY(XT!AC180), DAY(XT!AG180)), MATCH(1, INDEX(--(MONTH(CHOOSE({1,2,3,4}, XT!U180,XT!Y180,XT!AC180,XT!AG180))=5), 0), 0)), "")</f>
        <v/>
      </c>
      <c r="S180" s="12" t="str">
        <f>IF(XT!$P180&gt;0,R180,"")</f>
        <v/>
      </c>
      <c r="T180" s="12" t="str">
        <f>IF(XT!$P180=0,R180,"")</f>
        <v/>
      </c>
      <c r="U180">
        <f>SUMPRODUCT((MONTH(CHOOSE({1,2,3,4},XT!U180,XT!Y180,XT!AC180,XT!AG180))=6)*(CHOOSE({1,2,3,4},XT!X180,XT!AB180,XT!AF180,XT!AJ180)))</f>
        <v>0</v>
      </c>
      <c r="V180" t="str">
        <f>IFERROR(INDEX(CHOOSE({1,2,3,4}, DAY(XT!U180), DAY(XT!Y180), DAY(XT!AC180), DAY(XT!AG180)), MATCH(1, INDEX(--(MONTH(CHOOSE({1,2,3,4}, XT!U180,XT!Y180,XT!AC180,XT!AG180))=6), 0), 0)), "")</f>
        <v/>
      </c>
      <c r="W180" s="12" t="str">
        <f>IF(XT!$P180&gt;0,V180,"")</f>
        <v/>
      </c>
      <c r="X180" s="12" t="str">
        <f>IF(XT!$P180=0,V180,"")</f>
        <v/>
      </c>
      <c r="Y180">
        <f>SUMPRODUCT((MONTH(CHOOSE({1,2,3,4},XT!U180,XT!Y180,XT!AC180,XT!AG180))=7)*(CHOOSE({1,2,3,4},XT!X180,XT!AB180,XT!AF180,XT!AJ180)))</f>
        <v>0</v>
      </c>
      <c r="Z180" t="str">
        <f>IFERROR(INDEX(CHOOSE({1,2,3,4}, DAY(XT!U180), DAY(XT!Y180), DAY(XT!AC180), DAY(XT!AG180)), MATCH(1, INDEX(--(MONTH(CHOOSE({1,2,3,4}, XT!U180,XT!Y180,XT!AC180,XT!AG180))=7), 0), 0)), "")</f>
        <v/>
      </c>
      <c r="AA180" s="12" t="str">
        <f>IF(XT!$P180&gt;0,Z180,"")</f>
        <v/>
      </c>
      <c r="AB180" s="12" t="str">
        <f>IF(XT!$P180=0,Z180,"")</f>
        <v/>
      </c>
      <c r="AC180">
        <f>SUMPRODUCT((MONTH(CHOOSE({1,2,3,4},XT!U180,XT!Y180,XT!AC180,XT!AG180))=8)*(CHOOSE({1,2,3,4},XT!X180,XT!AB180,XT!AF180,XT!AJ180)))</f>
        <v>0</v>
      </c>
      <c r="AD180" t="str">
        <f>IFERROR(INDEX(CHOOSE({1,2,3,4}, DAY(XT!U180), DAY(XT!Y180), DAY(XT!AC180), DAY(XT!AG180)), MATCH(1, INDEX(--(MONTH(CHOOSE({1,2,3,4}, XT!U180,XT!Y180,XT!AC180,XT!AG180))=8), 0), 0)), "")</f>
        <v/>
      </c>
      <c r="AE180" s="12" t="str">
        <f>IF(XT!$P180&gt;0,AD180,"")</f>
        <v/>
      </c>
      <c r="AF180" s="12" t="str">
        <f>IF(XT!$P180=0,AD180,"")</f>
        <v/>
      </c>
      <c r="AG180">
        <f>SUMPRODUCT((MONTH(CHOOSE({1,2,3,4},XT!U180,XT!Y180,XT!AC180,XT!AG180))=9)*(CHOOSE({1,2,3,4},XT!X180,XT!AB180,XT!AF180,XT!AJ180)))</f>
        <v>0</v>
      </c>
      <c r="AH180" t="str">
        <f>IFERROR(INDEX(CHOOSE({1,2,3,4}, DAY(XT!U180), DAY(XT!Y180), DAY(XT!AC180), DAY(XT!AG180)), MATCH(1, INDEX(--(MONTH(CHOOSE({1,2,3,4}, XT!U180,XT!Y180,XT!AC180,XT!AG180))=9), 0), 0)), "")</f>
        <v/>
      </c>
      <c r="AI180" s="12" t="str">
        <f>IF(XT!$P180&gt;0,AH180,"")</f>
        <v/>
      </c>
      <c r="AJ180" s="12" t="str">
        <f>IF(XT!$P180=0,AH180,"")</f>
        <v/>
      </c>
      <c r="AK180">
        <f>SUMPRODUCT((MONTH(CHOOSE({1,2,3,4},XT!U180,XT!Y180,XT!AC180,XT!AG180))=10)*(CHOOSE({1,2,3,4},XT!X180,XT!AB180,XT!AF180,XT!AJ180)))</f>
        <v>0</v>
      </c>
      <c r="AL180" t="str">
        <f>IFERROR(INDEX(CHOOSE({1,2,3,4}, DAY(XT!U180), DAY(XT!Y180), DAY(XT!AC180), DAY(XT!AG180)), MATCH(1, INDEX(--(MONTH(CHOOSE({1,2,3,4}, XT!U180,XT!Y180,XT!AC180,XT!AG180))=10), 0), 0)), "")</f>
        <v/>
      </c>
      <c r="AM180" s="12" t="str">
        <f>IF(XT!$P180&gt;0,AL180,"")</f>
        <v/>
      </c>
      <c r="AN180" s="12" t="str">
        <f>IF(XT!$P180=0,AL180,"")</f>
        <v/>
      </c>
      <c r="AO180">
        <f>SUMPRODUCT((MONTH(CHOOSE({1,2,3,4},XT!U180,XT!Y180,XT!AC180,XT!AG180))=11)*(CHOOSE({1,2,3,4},XT!X180,XT!AB180,XT!AF180,XT!AJ180)))</f>
        <v>0</v>
      </c>
      <c r="AP180" t="str">
        <f>IFERROR(INDEX(CHOOSE({1,2,3,4}, DAY(XT!U180), DAY(XT!Y180), DAY(XT!AC180), DAY(XT!AG180)), MATCH(1, INDEX(--(MONTH(CHOOSE({1,2,3,4}, XT!U180,XT!Y180,XT!AC180,XT!AG180))=11), 0), 0)), "")</f>
        <v/>
      </c>
      <c r="AQ180" s="12" t="str">
        <f>IF(XT!$P180&gt;0,AP180,"")</f>
        <v/>
      </c>
      <c r="AR180" s="12" t="str">
        <f>IF(XT!$P180=0,AP180,"")</f>
        <v/>
      </c>
      <c r="AS180">
        <f>SUMPRODUCT((MONTH(CHOOSE({1,2,3,4},XT!U180,XT!Y180,XT!AC180,XT!AG180))=12)*(CHOOSE({1,2,3,4},XT!X180,XT!AB180,XT!AF180,XT!AJ180)))</f>
        <v>0</v>
      </c>
      <c r="AT180" t="str">
        <f>IFERROR(INDEX(CHOOSE({1,2,3,4}, DAY(XT!U180), DAY(XT!Y180), DAY(XT!AC180), DAY(XT!AG180)), MATCH(1, INDEX(--(MONTH(CHOOSE({1,2,3,4}, XT!U180,XT!Y180,XT!AC180,XT!AG180))=12), 0), 0)), "")</f>
        <v/>
      </c>
      <c r="AU180" s="12" t="str">
        <f>IF(XT!$P180&gt;0,AT180,"")</f>
        <v/>
      </c>
      <c r="AV180" s="12" t="str">
        <f>IF(XT!$P180=0,AT180,"")</f>
        <v/>
      </c>
    </row>
    <row r="181" spans="1:48">
      <c r="A181">
        <f>SUMPRODUCT((MONTH(CHOOSE({1,2,3,4},XT!U181,XT!Y181,XT!AC181,XT!AG181))=1)*(CHOOSE({1,2,3,4},XT!X181,XT!AB181,XT!AF181,XT!AJ181)))</f>
        <v>0</v>
      </c>
      <c r="B181">
        <f>IFERROR(INDEX(CHOOSE({1,2,3,4}, DAY(XT!U181), DAY(XT!Y181), DAY(XT!AC181), DAY(XT!AG181)), MATCH(1, INDEX(--(MONTH(CHOOSE({1,2,3,4}, XT!U181,XT!Y181,XT!AC181,XT!AG181))=1), 0), 0)), "")</f>
        <v>0</v>
      </c>
      <c r="C181" s="12" t="str">
        <f>IF(XT!$P181&gt;0,B181,"")</f>
        <v/>
      </c>
      <c r="D181" s="12">
        <f>IF(XT!$P181=0,B181,"")</f>
        <v>0</v>
      </c>
      <c r="E181">
        <f>SUMPRODUCT((MONTH(CHOOSE({1,2,3,4},XT!U181,XT!Y181,XT!AC181,XT!AG181))=2)*(CHOOSE({1,2,3,4},XT!X181,XT!AB181,XT!AF181,XT!AJ181)))</f>
        <v>0</v>
      </c>
      <c r="F181" t="str">
        <f>IFERROR(INDEX(CHOOSE({1,2,3,4}, DAY(XT!U181), DAY(XT!Y181), DAY(XT!AC181), DAY(XT!AG181)), MATCH(1, INDEX(--(MONTH(CHOOSE({1,2,3,4}, XT!U181,XT!Y181,XT!AC181,XT!AG181))=2), 0), 0)), "")</f>
        <v/>
      </c>
      <c r="G181" s="12" t="str">
        <f>IF(XT!$P181&gt;0,F181,"")</f>
        <v/>
      </c>
      <c r="H181" s="12" t="str">
        <f>IF(XT!$P181=0,F181,"")</f>
        <v/>
      </c>
      <c r="I181">
        <f>SUMPRODUCT((MONTH(CHOOSE({1,2,3,4},XT!U181,XT!Y181,XT!AC181,XT!AG181))=3)*(CHOOSE({1,2,3,4},XT!X181,XT!AB181,XT!AF181,XT!AJ181)))</f>
        <v>0</v>
      </c>
      <c r="J181" t="str">
        <f>IFERROR(INDEX(CHOOSE({1,2,3,4}, DAY(XT!U181), DAY(XT!Y181), DAY(XT!AC181), DAY(XT!AG181)), MATCH(1, INDEX(--(MONTH(CHOOSE({1,2,3,4}, XT!U181,XT!Y181,XT!AC181,XT!AG181))=3), 0), 0)), "")</f>
        <v/>
      </c>
      <c r="K181" s="12" t="str">
        <f>IF(XT!$P181&gt;0,J181,"")</f>
        <v/>
      </c>
      <c r="L181" s="12" t="str">
        <f>IF(XT!$P181=0,J181,"")</f>
        <v/>
      </c>
      <c r="M181">
        <f>SUMPRODUCT((MONTH(CHOOSE({1,2,3,4},XT!U181,XT!Y181,XT!AC181,XT!AG181))=4)*(CHOOSE({1,2,3,4},XT!X181,XT!AB181,XT!AF181,XT!AJ181)))</f>
        <v>0</v>
      </c>
      <c r="N181" t="str">
        <f>IFERROR(INDEX(CHOOSE({1,2,3,4}, DAY(XT!U181), DAY(XT!Y181), DAY(XT!AC181), DAY(XT!AG181)), MATCH(1, INDEX(--(MONTH(CHOOSE({1,2,3,4}, XT!U181,XT!Y181,XT!AC181,XT!AG181))=4), 0), 0)), "")</f>
        <v/>
      </c>
      <c r="O181" s="12" t="str">
        <f>IF(XT!$P181&gt;0,N181,"")</f>
        <v/>
      </c>
      <c r="P181" s="12" t="str">
        <f>IF(XT!$P181=0,N181,"")</f>
        <v/>
      </c>
      <c r="Q181">
        <f>SUMPRODUCT((MONTH(CHOOSE({1,2,3,4},XT!U181,XT!Y181,XT!AC181,XT!AG181))=5)*(CHOOSE({1,2,3,4},XT!X181,XT!AB181,XT!AF181,XT!AJ181)))</f>
        <v>0</v>
      </c>
      <c r="R181" t="str">
        <f>IFERROR(INDEX(CHOOSE({1,2,3,4}, DAY(XT!U181), DAY(XT!Y181), DAY(XT!AC181), DAY(XT!AG181)), MATCH(1, INDEX(--(MONTH(CHOOSE({1,2,3,4}, XT!U181,XT!Y181,XT!AC181,XT!AG181))=5), 0), 0)), "")</f>
        <v/>
      </c>
      <c r="S181" s="12" t="str">
        <f>IF(XT!$P181&gt;0,R181,"")</f>
        <v/>
      </c>
      <c r="T181" s="12" t="str">
        <f>IF(XT!$P181=0,R181,"")</f>
        <v/>
      </c>
      <c r="U181">
        <f>SUMPRODUCT((MONTH(CHOOSE({1,2,3,4},XT!U181,XT!Y181,XT!AC181,XT!AG181))=6)*(CHOOSE({1,2,3,4},XT!X181,XT!AB181,XT!AF181,XT!AJ181)))</f>
        <v>0</v>
      </c>
      <c r="V181" t="str">
        <f>IFERROR(INDEX(CHOOSE({1,2,3,4}, DAY(XT!U181), DAY(XT!Y181), DAY(XT!AC181), DAY(XT!AG181)), MATCH(1, INDEX(--(MONTH(CHOOSE({1,2,3,4}, XT!U181,XT!Y181,XT!AC181,XT!AG181))=6), 0), 0)), "")</f>
        <v/>
      </c>
      <c r="W181" s="12" t="str">
        <f>IF(XT!$P181&gt;0,V181,"")</f>
        <v/>
      </c>
      <c r="X181" s="12" t="str">
        <f>IF(XT!$P181=0,V181,"")</f>
        <v/>
      </c>
      <c r="Y181">
        <f>SUMPRODUCT((MONTH(CHOOSE({1,2,3,4},XT!U181,XT!Y181,XT!AC181,XT!AG181))=7)*(CHOOSE({1,2,3,4},XT!X181,XT!AB181,XT!AF181,XT!AJ181)))</f>
        <v>0</v>
      </c>
      <c r="Z181" t="str">
        <f>IFERROR(INDEX(CHOOSE({1,2,3,4}, DAY(XT!U181), DAY(XT!Y181), DAY(XT!AC181), DAY(XT!AG181)), MATCH(1, INDEX(--(MONTH(CHOOSE({1,2,3,4}, XT!U181,XT!Y181,XT!AC181,XT!AG181))=7), 0), 0)), "")</f>
        <v/>
      </c>
      <c r="AA181" s="12" t="str">
        <f>IF(XT!$P181&gt;0,Z181,"")</f>
        <v/>
      </c>
      <c r="AB181" s="12" t="str">
        <f>IF(XT!$P181=0,Z181,"")</f>
        <v/>
      </c>
      <c r="AC181">
        <f>SUMPRODUCT((MONTH(CHOOSE({1,2,3,4},XT!U181,XT!Y181,XT!AC181,XT!AG181))=8)*(CHOOSE({1,2,3,4},XT!X181,XT!AB181,XT!AF181,XT!AJ181)))</f>
        <v>0</v>
      </c>
      <c r="AD181" t="str">
        <f>IFERROR(INDEX(CHOOSE({1,2,3,4}, DAY(XT!U181), DAY(XT!Y181), DAY(XT!AC181), DAY(XT!AG181)), MATCH(1, INDEX(--(MONTH(CHOOSE({1,2,3,4}, XT!U181,XT!Y181,XT!AC181,XT!AG181))=8), 0), 0)), "")</f>
        <v/>
      </c>
      <c r="AE181" s="12" t="str">
        <f>IF(XT!$P181&gt;0,AD181,"")</f>
        <v/>
      </c>
      <c r="AF181" s="12" t="str">
        <f>IF(XT!$P181=0,AD181,"")</f>
        <v/>
      </c>
      <c r="AG181">
        <f>SUMPRODUCT((MONTH(CHOOSE({1,2,3,4},XT!U181,XT!Y181,XT!AC181,XT!AG181))=9)*(CHOOSE({1,2,3,4},XT!X181,XT!AB181,XT!AF181,XT!AJ181)))</f>
        <v>0</v>
      </c>
      <c r="AH181" t="str">
        <f>IFERROR(INDEX(CHOOSE({1,2,3,4}, DAY(XT!U181), DAY(XT!Y181), DAY(XT!AC181), DAY(XT!AG181)), MATCH(1, INDEX(--(MONTH(CHOOSE({1,2,3,4}, XT!U181,XT!Y181,XT!AC181,XT!AG181))=9), 0), 0)), "")</f>
        <v/>
      </c>
      <c r="AI181" s="12" t="str">
        <f>IF(XT!$P181&gt;0,AH181,"")</f>
        <v/>
      </c>
      <c r="AJ181" s="12" t="str">
        <f>IF(XT!$P181=0,AH181,"")</f>
        <v/>
      </c>
      <c r="AK181">
        <f>SUMPRODUCT((MONTH(CHOOSE({1,2,3,4},XT!U181,XT!Y181,XT!AC181,XT!AG181))=10)*(CHOOSE({1,2,3,4},XT!X181,XT!AB181,XT!AF181,XT!AJ181)))</f>
        <v>0</v>
      </c>
      <c r="AL181" t="str">
        <f>IFERROR(INDEX(CHOOSE({1,2,3,4}, DAY(XT!U181), DAY(XT!Y181), DAY(XT!AC181), DAY(XT!AG181)), MATCH(1, INDEX(--(MONTH(CHOOSE({1,2,3,4}, XT!U181,XT!Y181,XT!AC181,XT!AG181))=10), 0), 0)), "")</f>
        <v/>
      </c>
      <c r="AM181" s="12" t="str">
        <f>IF(XT!$P181&gt;0,AL181,"")</f>
        <v/>
      </c>
      <c r="AN181" s="12" t="str">
        <f>IF(XT!$P181=0,AL181,"")</f>
        <v/>
      </c>
      <c r="AO181">
        <f>SUMPRODUCT((MONTH(CHOOSE({1,2,3,4},XT!U181,XT!Y181,XT!AC181,XT!AG181))=11)*(CHOOSE({1,2,3,4},XT!X181,XT!AB181,XT!AF181,XT!AJ181)))</f>
        <v>0</v>
      </c>
      <c r="AP181" t="str">
        <f>IFERROR(INDEX(CHOOSE({1,2,3,4}, DAY(XT!U181), DAY(XT!Y181), DAY(XT!AC181), DAY(XT!AG181)), MATCH(1, INDEX(--(MONTH(CHOOSE({1,2,3,4}, XT!U181,XT!Y181,XT!AC181,XT!AG181))=11), 0), 0)), "")</f>
        <v/>
      </c>
      <c r="AQ181" s="12" t="str">
        <f>IF(XT!$P181&gt;0,AP181,"")</f>
        <v/>
      </c>
      <c r="AR181" s="12" t="str">
        <f>IF(XT!$P181=0,AP181,"")</f>
        <v/>
      </c>
      <c r="AS181">
        <f>SUMPRODUCT((MONTH(CHOOSE({1,2,3,4},XT!U181,XT!Y181,XT!AC181,XT!AG181))=12)*(CHOOSE({1,2,3,4},XT!X181,XT!AB181,XT!AF181,XT!AJ181)))</f>
        <v>0</v>
      </c>
      <c r="AT181" t="str">
        <f>IFERROR(INDEX(CHOOSE({1,2,3,4}, DAY(XT!U181), DAY(XT!Y181), DAY(XT!AC181), DAY(XT!AG181)), MATCH(1, INDEX(--(MONTH(CHOOSE({1,2,3,4}, XT!U181,XT!Y181,XT!AC181,XT!AG181))=12), 0), 0)), "")</f>
        <v/>
      </c>
      <c r="AU181" s="12" t="str">
        <f>IF(XT!$P181&gt;0,AT181,"")</f>
        <v/>
      </c>
      <c r="AV181" s="12" t="str">
        <f>IF(XT!$P181=0,AT181,"")</f>
        <v/>
      </c>
    </row>
    <row r="182" spans="1:48">
      <c r="A182">
        <f>SUMPRODUCT((MONTH(CHOOSE({1,2,3,4},XT!U182,XT!Y182,XT!AC182,XT!AG182))=1)*(CHOOSE({1,2,3,4},XT!X182,XT!AB182,XT!AF182,XT!AJ182)))</f>
        <v>0</v>
      </c>
      <c r="B182">
        <f>IFERROR(INDEX(CHOOSE({1,2,3,4}, DAY(XT!U182), DAY(XT!Y182), DAY(XT!AC182), DAY(XT!AG182)), MATCH(1, INDEX(--(MONTH(CHOOSE({1,2,3,4}, XT!U182,XT!Y182,XT!AC182,XT!AG182))=1), 0), 0)), "")</f>
        <v>0</v>
      </c>
      <c r="C182" s="12" t="str">
        <f>IF(XT!$P182&gt;0,B182,"")</f>
        <v/>
      </c>
      <c r="D182" s="12">
        <f>IF(XT!$P182=0,B182,"")</f>
        <v>0</v>
      </c>
      <c r="E182">
        <f>SUMPRODUCT((MONTH(CHOOSE({1,2,3,4},XT!U182,XT!Y182,XT!AC182,XT!AG182))=2)*(CHOOSE({1,2,3,4},XT!X182,XT!AB182,XT!AF182,XT!AJ182)))</f>
        <v>0</v>
      </c>
      <c r="F182" t="str">
        <f>IFERROR(INDEX(CHOOSE({1,2,3,4}, DAY(XT!U182), DAY(XT!Y182), DAY(XT!AC182), DAY(XT!AG182)), MATCH(1, INDEX(--(MONTH(CHOOSE({1,2,3,4}, XT!U182,XT!Y182,XT!AC182,XT!AG182))=2), 0), 0)), "")</f>
        <v/>
      </c>
      <c r="G182" s="12" t="str">
        <f>IF(XT!$P182&gt;0,F182,"")</f>
        <v/>
      </c>
      <c r="H182" s="12" t="str">
        <f>IF(XT!$P182=0,F182,"")</f>
        <v/>
      </c>
      <c r="I182">
        <f>SUMPRODUCT((MONTH(CHOOSE({1,2,3,4},XT!U182,XT!Y182,XT!AC182,XT!AG182))=3)*(CHOOSE({1,2,3,4},XT!X182,XT!AB182,XT!AF182,XT!AJ182)))</f>
        <v>0</v>
      </c>
      <c r="J182" t="str">
        <f>IFERROR(INDEX(CHOOSE({1,2,3,4}, DAY(XT!U182), DAY(XT!Y182), DAY(XT!AC182), DAY(XT!AG182)), MATCH(1, INDEX(--(MONTH(CHOOSE({1,2,3,4}, XT!U182,XT!Y182,XT!AC182,XT!AG182))=3), 0), 0)), "")</f>
        <v/>
      </c>
      <c r="K182" s="12" t="str">
        <f>IF(XT!$P182&gt;0,J182,"")</f>
        <v/>
      </c>
      <c r="L182" s="12" t="str">
        <f>IF(XT!$P182=0,J182,"")</f>
        <v/>
      </c>
      <c r="M182">
        <f>SUMPRODUCT((MONTH(CHOOSE({1,2,3,4},XT!U182,XT!Y182,XT!AC182,XT!AG182))=4)*(CHOOSE({1,2,3,4},XT!X182,XT!AB182,XT!AF182,XT!AJ182)))</f>
        <v>0</v>
      </c>
      <c r="N182" t="str">
        <f>IFERROR(INDEX(CHOOSE({1,2,3,4}, DAY(XT!U182), DAY(XT!Y182), DAY(XT!AC182), DAY(XT!AG182)), MATCH(1, INDEX(--(MONTH(CHOOSE({1,2,3,4}, XT!U182,XT!Y182,XT!AC182,XT!AG182))=4), 0), 0)), "")</f>
        <v/>
      </c>
      <c r="O182" s="12" t="str">
        <f>IF(XT!$P182&gt;0,N182,"")</f>
        <v/>
      </c>
      <c r="P182" s="12" t="str">
        <f>IF(XT!$P182=0,N182,"")</f>
        <v/>
      </c>
      <c r="Q182">
        <f>SUMPRODUCT((MONTH(CHOOSE({1,2,3,4},XT!U182,XT!Y182,XT!AC182,XT!AG182))=5)*(CHOOSE({1,2,3,4},XT!X182,XT!AB182,XT!AF182,XT!AJ182)))</f>
        <v>0</v>
      </c>
      <c r="R182" t="str">
        <f>IFERROR(INDEX(CHOOSE({1,2,3,4}, DAY(XT!U182), DAY(XT!Y182), DAY(XT!AC182), DAY(XT!AG182)), MATCH(1, INDEX(--(MONTH(CHOOSE({1,2,3,4}, XT!U182,XT!Y182,XT!AC182,XT!AG182))=5), 0), 0)), "")</f>
        <v/>
      </c>
      <c r="S182" s="12" t="str">
        <f>IF(XT!$P182&gt;0,R182,"")</f>
        <v/>
      </c>
      <c r="T182" s="12" t="str">
        <f>IF(XT!$P182=0,R182,"")</f>
        <v/>
      </c>
      <c r="U182">
        <f>SUMPRODUCT((MONTH(CHOOSE({1,2,3,4},XT!U182,XT!Y182,XT!AC182,XT!AG182))=6)*(CHOOSE({1,2,3,4},XT!X182,XT!AB182,XT!AF182,XT!AJ182)))</f>
        <v>0</v>
      </c>
      <c r="V182" t="str">
        <f>IFERROR(INDEX(CHOOSE({1,2,3,4}, DAY(XT!U182), DAY(XT!Y182), DAY(XT!AC182), DAY(XT!AG182)), MATCH(1, INDEX(--(MONTH(CHOOSE({1,2,3,4}, XT!U182,XT!Y182,XT!AC182,XT!AG182))=6), 0), 0)), "")</f>
        <v/>
      </c>
      <c r="W182" s="12" t="str">
        <f>IF(XT!$P182&gt;0,V182,"")</f>
        <v/>
      </c>
      <c r="X182" s="12" t="str">
        <f>IF(XT!$P182=0,V182,"")</f>
        <v/>
      </c>
      <c r="Y182">
        <f>SUMPRODUCT((MONTH(CHOOSE({1,2,3,4},XT!U182,XT!Y182,XT!AC182,XT!AG182))=7)*(CHOOSE({1,2,3,4},XT!X182,XT!AB182,XT!AF182,XT!AJ182)))</f>
        <v>0</v>
      </c>
      <c r="Z182" t="str">
        <f>IFERROR(INDEX(CHOOSE({1,2,3,4}, DAY(XT!U182), DAY(XT!Y182), DAY(XT!AC182), DAY(XT!AG182)), MATCH(1, INDEX(--(MONTH(CHOOSE({1,2,3,4}, XT!U182,XT!Y182,XT!AC182,XT!AG182))=7), 0), 0)), "")</f>
        <v/>
      </c>
      <c r="AA182" s="12" t="str">
        <f>IF(XT!$P182&gt;0,Z182,"")</f>
        <v/>
      </c>
      <c r="AB182" s="12" t="str">
        <f>IF(XT!$P182=0,Z182,"")</f>
        <v/>
      </c>
      <c r="AC182">
        <f>SUMPRODUCT((MONTH(CHOOSE({1,2,3,4},XT!U182,XT!Y182,XT!AC182,XT!AG182))=8)*(CHOOSE({1,2,3,4},XT!X182,XT!AB182,XT!AF182,XT!AJ182)))</f>
        <v>0</v>
      </c>
      <c r="AD182" t="str">
        <f>IFERROR(INDEX(CHOOSE({1,2,3,4}, DAY(XT!U182), DAY(XT!Y182), DAY(XT!AC182), DAY(XT!AG182)), MATCH(1, INDEX(--(MONTH(CHOOSE({1,2,3,4}, XT!U182,XT!Y182,XT!AC182,XT!AG182))=8), 0), 0)), "")</f>
        <v/>
      </c>
      <c r="AE182" s="12" t="str">
        <f>IF(XT!$P182&gt;0,AD182,"")</f>
        <v/>
      </c>
      <c r="AF182" s="12" t="str">
        <f>IF(XT!$P182=0,AD182,"")</f>
        <v/>
      </c>
      <c r="AG182">
        <f>SUMPRODUCT((MONTH(CHOOSE({1,2,3,4},XT!U182,XT!Y182,XT!AC182,XT!AG182))=9)*(CHOOSE({1,2,3,4},XT!X182,XT!AB182,XT!AF182,XT!AJ182)))</f>
        <v>0</v>
      </c>
      <c r="AH182" t="str">
        <f>IFERROR(INDEX(CHOOSE({1,2,3,4}, DAY(XT!U182), DAY(XT!Y182), DAY(XT!AC182), DAY(XT!AG182)), MATCH(1, INDEX(--(MONTH(CHOOSE({1,2,3,4}, XT!U182,XT!Y182,XT!AC182,XT!AG182))=9), 0), 0)), "")</f>
        <v/>
      </c>
      <c r="AI182" s="12" t="str">
        <f>IF(XT!$P182&gt;0,AH182,"")</f>
        <v/>
      </c>
      <c r="AJ182" s="12" t="str">
        <f>IF(XT!$P182=0,AH182,"")</f>
        <v/>
      </c>
      <c r="AK182">
        <f>SUMPRODUCT((MONTH(CHOOSE({1,2,3,4},XT!U182,XT!Y182,XT!AC182,XT!AG182))=10)*(CHOOSE({1,2,3,4},XT!X182,XT!AB182,XT!AF182,XT!AJ182)))</f>
        <v>0</v>
      </c>
      <c r="AL182" t="str">
        <f>IFERROR(INDEX(CHOOSE({1,2,3,4}, DAY(XT!U182), DAY(XT!Y182), DAY(XT!AC182), DAY(XT!AG182)), MATCH(1, INDEX(--(MONTH(CHOOSE({1,2,3,4}, XT!U182,XT!Y182,XT!AC182,XT!AG182))=10), 0), 0)), "")</f>
        <v/>
      </c>
      <c r="AM182" s="12" t="str">
        <f>IF(XT!$P182&gt;0,AL182,"")</f>
        <v/>
      </c>
      <c r="AN182" s="12" t="str">
        <f>IF(XT!$P182=0,AL182,"")</f>
        <v/>
      </c>
      <c r="AO182">
        <f>SUMPRODUCT((MONTH(CHOOSE({1,2,3,4},XT!U182,XT!Y182,XT!AC182,XT!AG182))=11)*(CHOOSE({1,2,3,4},XT!X182,XT!AB182,XT!AF182,XT!AJ182)))</f>
        <v>0</v>
      </c>
      <c r="AP182" t="str">
        <f>IFERROR(INDEX(CHOOSE({1,2,3,4}, DAY(XT!U182), DAY(XT!Y182), DAY(XT!AC182), DAY(XT!AG182)), MATCH(1, INDEX(--(MONTH(CHOOSE({1,2,3,4}, XT!U182,XT!Y182,XT!AC182,XT!AG182))=11), 0), 0)), "")</f>
        <v/>
      </c>
      <c r="AQ182" s="12" t="str">
        <f>IF(XT!$P182&gt;0,AP182,"")</f>
        <v/>
      </c>
      <c r="AR182" s="12" t="str">
        <f>IF(XT!$P182=0,AP182,"")</f>
        <v/>
      </c>
      <c r="AS182">
        <f>SUMPRODUCT((MONTH(CHOOSE({1,2,3,4},XT!U182,XT!Y182,XT!AC182,XT!AG182))=12)*(CHOOSE({1,2,3,4},XT!X182,XT!AB182,XT!AF182,XT!AJ182)))</f>
        <v>0</v>
      </c>
      <c r="AT182" t="str">
        <f>IFERROR(INDEX(CHOOSE({1,2,3,4}, DAY(XT!U182), DAY(XT!Y182), DAY(XT!AC182), DAY(XT!AG182)), MATCH(1, INDEX(--(MONTH(CHOOSE({1,2,3,4}, XT!U182,XT!Y182,XT!AC182,XT!AG182))=12), 0), 0)), "")</f>
        <v/>
      </c>
      <c r="AU182" s="12" t="str">
        <f>IF(XT!$P182&gt;0,AT182,"")</f>
        <v/>
      </c>
      <c r="AV182" s="12" t="str">
        <f>IF(XT!$P182=0,AT182,"")</f>
        <v/>
      </c>
    </row>
    <row r="183" spans="1:48">
      <c r="A183">
        <f>SUMPRODUCT((MONTH(CHOOSE({1,2,3,4},XT!U183,XT!Y183,XT!AC183,XT!AG183))=1)*(CHOOSE({1,2,3,4},XT!X183,XT!AB183,XT!AF183,XT!AJ183)))</f>
        <v>0</v>
      </c>
      <c r="B183">
        <f>IFERROR(INDEX(CHOOSE({1,2,3,4}, DAY(XT!U183), DAY(XT!Y183), DAY(XT!AC183), DAY(XT!AG183)), MATCH(1, INDEX(--(MONTH(CHOOSE({1,2,3,4}, XT!U183,XT!Y183,XT!AC183,XT!AG183))=1), 0), 0)), "")</f>
        <v>0</v>
      </c>
      <c r="C183" s="12" t="str">
        <f>IF(XT!$P183&gt;0,B183,"")</f>
        <v/>
      </c>
      <c r="D183" s="12">
        <f>IF(XT!$P183=0,B183,"")</f>
        <v>0</v>
      </c>
      <c r="E183">
        <f>SUMPRODUCT((MONTH(CHOOSE({1,2,3,4},XT!U183,XT!Y183,XT!AC183,XT!AG183))=2)*(CHOOSE({1,2,3,4},XT!X183,XT!AB183,XT!AF183,XT!AJ183)))</f>
        <v>0</v>
      </c>
      <c r="F183" t="str">
        <f>IFERROR(INDEX(CHOOSE({1,2,3,4}, DAY(XT!U183), DAY(XT!Y183), DAY(XT!AC183), DAY(XT!AG183)), MATCH(1, INDEX(--(MONTH(CHOOSE({1,2,3,4}, XT!U183,XT!Y183,XT!AC183,XT!AG183))=2), 0), 0)), "")</f>
        <v/>
      </c>
      <c r="G183" s="12" t="str">
        <f>IF(XT!$P183&gt;0,F183,"")</f>
        <v/>
      </c>
      <c r="H183" s="12" t="str">
        <f>IF(XT!$P183=0,F183,"")</f>
        <v/>
      </c>
      <c r="I183">
        <f>SUMPRODUCT((MONTH(CHOOSE({1,2,3,4},XT!U183,XT!Y183,XT!AC183,XT!AG183))=3)*(CHOOSE({1,2,3,4},XT!X183,XT!AB183,XT!AF183,XT!AJ183)))</f>
        <v>0</v>
      </c>
      <c r="J183" t="str">
        <f>IFERROR(INDEX(CHOOSE({1,2,3,4}, DAY(XT!U183), DAY(XT!Y183), DAY(XT!AC183), DAY(XT!AG183)), MATCH(1, INDEX(--(MONTH(CHOOSE({1,2,3,4}, XT!U183,XT!Y183,XT!AC183,XT!AG183))=3), 0), 0)), "")</f>
        <v/>
      </c>
      <c r="K183" s="12" t="str">
        <f>IF(XT!$P183&gt;0,J183,"")</f>
        <v/>
      </c>
      <c r="L183" s="12" t="str">
        <f>IF(XT!$P183=0,J183,"")</f>
        <v/>
      </c>
      <c r="M183">
        <f>SUMPRODUCT((MONTH(CHOOSE({1,2,3,4},XT!U183,XT!Y183,XT!AC183,XT!AG183))=4)*(CHOOSE({1,2,3,4},XT!X183,XT!AB183,XT!AF183,XT!AJ183)))</f>
        <v>0</v>
      </c>
      <c r="N183" t="str">
        <f>IFERROR(INDEX(CHOOSE({1,2,3,4}, DAY(XT!U183), DAY(XT!Y183), DAY(XT!AC183), DAY(XT!AG183)), MATCH(1, INDEX(--(MONTH(CHOOSE({1,2,3,4}, XT!U183,XT!Y183,XT!AC183,XT!AG183))=4), 0), 0)), "")</f>
        <v/>
      </c>
      <c r="O183" s="12" t="str">
        <f>IF(XT!$P183&gt;0,N183,"")</f>
        <v/>
      </c>
      <c r="P183" s="12" t="str">
        <f>IF(XT!$P183=0,N183,"")</f>
        <v/>
      </c>
      <c r="Q183">
        <f>SUMPRODUCT((MONTH(CHOOSE({1,2,3,4},XT!U183,XT!Y183,XT!AC183,XT!AG183))=5)*(CHOOSE({1,2,3,4},XT!X183,XT!AB183,XT!AF183,XT!AJ183)))</f>
        <v>0</v>
      </c>
      <c r="R183" t="str">
        <f>IFERROR(INDEX(CHOOSE({1,2,3,4}, DAY(XT!U183), DAY(XT!Y183), DAY(XT!AC183), DAY(XT!AG183)), MATCH(1, INDEX(--(MONTH(CHOOSE({1,2,3,4}, XT!U183,XT!Y183,XT!AC183,XT!AG183))=5), 0), 0)), "")</f>
        <v/>
      </c>
      <c r="S183" s="12" t="str">
        <f>IF(XT!$P183&gt;0,R183,"")</f>
        <v/>
      </c>
      <c r="T183" s="12" t="str">
        <f>IF(XT!$P183=0,R183,"")</f>
        <v/>
      </c>
      <c r="U183">
        <f>SUMPRODUCT((MONTH(CHOOSE({1,2,3,4},XT!U183,XT!Y183,XT!AC183,XT!AG183))=6)*(CHOOSE({1,2,3,4},XT!X183,XT!AB183,XT!AF183,XT!AJ183)))</f>
        <v>0</v>
      </c>
      <c r="V183" t="str">
        <f>IFERROR(INDEX(CHOOSE({1,2,3,4}, DAY(XT!U183), DAY(XT!Y183), DAY(XT!AC183), DAY(XT!AG183)), MATCH(1, INDEX(--(MONTH(CHOOSE({1,2,3,4}, XT!U183,XT!Y183,XT!AC183,XT!AG183))=6), 0), 0)), "")</f>
        <v/>
      </c>
      <c r="W183" s="12" t="str">
        <f>IF(XT!$P183&gt;0,V183,"")</f>
        <v/>
      </c>
      <c r="X183" s="12" t="str">
        <f>IF(XT!$P183=0,V183,"")</f>
        <v/>
      </c>
      <c r="Y183">
        <f>SUMPRODUCT((MONTH(CHOOSE({1,2,3,4},XT!U183,XT!Y183,XT!AC183,XT!AG183))=7)*(CHOOSE({1,2,3,4},XT!X183,XT!AB183,XT!AF183,XT!AJ183)))</f>
        <v>0</v>
      </c>
      <c r="Z183" t="str">
        <f>IFERROR(INDEX(CHOOSE({1,2,3,4}, DAY(XT!U183), DAY(XT!Y183), DAY(XT!AC183), DAY(XT!AG183)), MATCH(1, INDEX(--(MONTH(CHOOSE({1,2,3,4}, XT!U183,XT!Y183,XT!AC183,XT!AG183))=7), 0), 0)), "")</f>
        <v/>
      </c>
      <c r="AA183" s="12" t="str">
        <f>IF(XT!$P183&gt;0,Z183,"")</f>
        <v/>
      </c>
      <c r="AB183" s="12" t="str">
        <f>IF(XT!$P183=0,Z183,"")</f>
        <v/>
      </c>
      <c r="AC183">
        <f>SUMPRODUCT((MONTH(CHOOSE({1,2,3,4},XT!U183,XT!Y183,XT!AC183,XT!AG183))=8)*(CHOOSE({1,2,3,4},XT!X183,XT!AB183,XT!AF183,XT!AJ183)))</f>
        <v>0</v>
      </c>
      <c r="AD183" t="str">
        <f>IFERROR(INDEX(CHOOSE({1,2,3,4}, DAY(XT!U183), DAY(XT!Y183), DAY(XT!AC183), DAY(XT!AG183)), MATCH(1, INDEX(--(MONTH(CHOOSE({1,2,3,4}, XT!U183,XT!Y183,XT!AC183,XT!AG183))=8), 0), 0)), "")</f>
        <v/>
      </c>
      <c r="AE183" s="12" t="str">
        <f>IF(XT!$P183&gt;0,AD183,"")</f>
        <v/>
      </c>
      <c r="AF183" s="12" t="str">
        <f>IF(XT!$P183=0,AD183,"")</f>
        <v/>
      </c>
      <c r="AG183">
        <f>SUMPRODUCT((MONTH(CHOOSE({1,2,3,4},XT!U183,XT!Y183,XT!AC183,XT!AG183))=9)*(CHOOSE({1,2,3,4},XT!X183,XT!AB183,XT!AF183,XT!AJ183)))</f>
        <v>0</v>
      </c>
      <c r="AH183" t="str">
        <f>IFERROR(INDEX(CHOOSE({1,2,3,4}, DAY(XT!U183), DAY(XT!Y183), DAY(XT!AC183), DAY(XT!AG183)), MATCH(1, INDEX(--(MONTH(CHOOSE({1,2,3,4}, XT!U183,XT!Y183,XT!AC183,XT!AG183))=9), 0), 0)), "")</f>
        <v/>
      </c>
      <c r="AI183" s="12" t="str">
        <f>IF(XT!$P183&gt;0,AH183,"")</f>
        <v/>
      </c>
      <c r="AJ183" s="12" t="str">
        <f>IF(XT!$P183=0,AH183,"")</f>
        <v/>
      </c>
      <c r="AK183">
        <f>SUMPRODUCT((MONTH(CHOOSE({1,2,3,4},XT!U183,XT!Y183,XT!AC183,XT!AG183))=10)*(CHOOSE({1,2,3,4},XT!X183,XT!AB183,XT!AF183,XT!AJ183)))</f>
        <v>0</v>
      </c>
      <c r="AL183" t="str">
        <f>IFERROR(INDEX(CHOOSE({1,2,3,4}, DAY(XT!U183), DAY(XT!Y183), DAY(XT!AC183), DAY(XT!AG183)), MATCH(1, INDEX(--(MONTH(CHOOSE({1,2,3,4}, XT!U183,XT!Y183,XT!AC183,XT!AG183))=10), 0), 0)), "")</f>
        <v/>
      </c>
      <c r="AM183" s="12" t="str">
        <f>IF(XT!$P183&gt;0,AL183,"")</f>
        <v/>
      </c>
      <c r="AN183" s="12" t="str">
        <f>IF(XT!$P183=0,AL183,"")</f>
        <v/>
      </c>
      <c r="AO183">
        <f>SUMPRODUCT((MONTH(CHOOSE({1,2,3,4},XT!U183,XT!Y183,XT!AC183,XT!AG183))=11)*(CHOOSE({1,2,3,4},XT!X183,XT!AB183,XT!AF183,XT!AJ183)))</f>
        <v>0</v>
      </c>
      <c r="AP183" t="str">
        <f>IFERROR(INDEX(CHOOSE({1,2,3,4}, DAY(XT!U183), DAY(XT!Y183), DAY(XT!AC183), DAY(XT!AG183)), MATCH(1, INDEX(--(MONTH(CHOOSE({1,2,3,4}, XT!U183,XT!Y183,XT!AC183,XT!AG183))=11), 0), 0)), "")</f>
        <v/>
      </c>
      <c r="AQ183" s="12" t="str">
        <f>IF(XT!$P183&gt;0,AP183,"")</f>
        <v/>
      </c>
      <c r="AR183" s="12" t="str">
        <f>IF(XT!$P183=0,AP183,"")</f>
        <v/>
      </c>
      <c r="AS183">
        <f>SUMPRODUCT((MONTH(CHOOSE({1,2,3,4},XT!U183,XT!Y183,XT!AC183,XT!AG183))=12)*(CHOOSE({1,2,3,4},XT!X183,XT!AB183,XT!AF183,XT!AJ183)))</f>
        <v>0</v>
      </c>
      <c r="AT183" t="str">
        <f>IFERROR(INDEX(CHOOSE({1,2,3,4}, DAY(XT!U183), DAY(XT!Y183), DAY(XT!AC183), DAY(XT!AG183)), MATCH(1, INDEX(--(MONTH(CHOOSE({1,2,3,4}, XT!U183,XT!Y183,XT!AC183,XT!AG183))=12), 0), 0)), "")</f>
        <v/>
      </c>
      <c r="AU183" s="12" t="str">
        <f>IF(XT!$P183&gt;0,AT183,"")</f>
        <v/>
      </c>
      <c r="AV183" s="12" t="str">
        <f>IF(XT!$P183=0,AT183,"")</f>
        <v/>
      </c>
    </row>
    <row r="184" spans="1:48">
      <c r="A184">
        <f>SUMPRODUCT((MONTH(CHOOSE({1,2,3,4},XT!U184,XT!Y184,XT!AC184,XT!AG184))=1)*(CHOOSE({1,2,3,4},XT!X184,XT!AB184,XT!AF184,XT!AJ184)))</f>
        <v>0</v>
      </c>
      <c r="B184">
        <f>IFERROR(INDEX(CHOOSE({1,2,3,4}, DAY(XT!U184), DAY(XT!Y184), DAY(XT!AC184), DAY(XT!AG184)), MATCH(1, INDEX(--(MONTH(CHOOSE({1,2,3,4}, XT!U184,XT!Y184,XT!AC184,XT!AG184))=1), 0), 0)), "")</f>
        <v>0</v>
      </c>
      <c r="C184" s="12" t="str">
        <f>IF(XT!$P184&gt;0,B184,"")</f>
        <v/>
      </c>
      <c r="D184" s="12">
        <f>IF(XT!$P184=0,B184,"")</f>
        <v>0</v>
      </c>
      <c r="E184">
        <f>SUMPRODUCT((MONTH(CHOOSE({1,2,3,4},XT!U184,XT!Y184,XT!AC184,XT!AG184))=2)*(CHOOSE({1,2,3,4},XT!X184,XT!AB184,XT!AF184,XT!AJ184)))</f>
        <v>0</v>
      </c>
      <c r="F184" t="str">
        <f>IFERROR(INDEX(CHOOSE({1,2,3,4}, DAY(XT!U184), DAY(XT!Y184), DAY(XT!AC184), DAY(XT!AG184)), MATCH(1, INDEX(--(MONTH(CHOOSE({1,2,3,4}, XT!U184,XT!Y184,XT!AC184,XT!AG184))=2), 0), 0)), "")</f>
        <v/>
      </c>
      <c r="G184" s="12" t="str">
        <f>IF(XT!$P184&gt;0,F184,"")</f>
        <v/>
      </c>
      <c r="H184" s="12" t="str">
        <f>IF(XT!$P184=0,F184,"")</f>
        <v/>
      </c>
      <c r="I184">
        <f>SUMPRODUCT((MONTH(CHOOSE({1,2,3,4},XT!U184,XT!Y184,XT!AC184,XT!AG184))=3)*(CHOOSE({1,2,3,4},XT!X184,XT!AB184,XT!AF184,XT!AJ184)))</f>
        <v>0</v>
      </c>
      <c r="J184" t="str">
        <f>IFERROR(INDEX(CHOOSE({1,2,3,4}, DAY(XT!U184), DAY(XT!Y184), DAY(XT!AC184), DAY(XT!AG184)), MATCH(1, INDEX(--(MONTH(CHOOSE({1,2,3,4}, XT!U184,XT!Y184,XT!AC184,XT!AG184))=3), 0), 0)), "")</f>
        <v/>
      </c>
      <c r="K184" s="12" t="str">
        <f>IF(XT!$P184&gt;0,J184,"")</f>
        <v/>
      </c>
      <c r="L184" s="12" t="str">
        <f>IF(XT!$P184=0,J184,"")</f>
        <v/>
      </c>
      <c r="M184">
        <f>SUMPRODUCT((MONTH(CHOOSE({1,2,3,4},XT!U184,XT!Y184,XT!AC184,XT!AG184))=4)*(CHOOSE({1,2,3,4},XT!X184,XT!AB184,XT!AF184,XT!AJ184)))</f>
        <v>0</v>
      </c>
      <c r="N184" t="str">
        <f>IFERROR(INDEX(CHOOSE({1,2,3,4}, DAY(XT!U184), DAY(XT!Y184), DAY(XT!AC184), DAY(XT!AG184)), MATCH(1, INDEX(--(MONTH(CHOOSE({1,2,3,4}, XT!U184,XT!Y184,XT!AC184,XT!AG184))=4), 0), 0)), "")</f>
        <v/>
      </c>
      <c r="O184" s="12" t="str">
        <f>IF(XT!$P184&gt;0,N184,"")</f>
        <v/>
      </c>
      <c r="P184" s="12" t="str">
        <f>IF(XT!$P184=0,N184,"")</f>
        <v/>
      </c>
      <c r="Q184">
        <f>SUMPRODUCT((MONTH(CHOOSE({1,2,3,4},XT!U184,XT!Y184,XT!AC184,XT!AG184))=5)*(CHOOSE({1,2,3,4},XT!X184,XT!AB184,XT!AF184,XT!AJ184)))</f>
        <v>0</v>
      </c>
      <c r="R184" t="str">
        <f>IFERROR(INDEX(CHOOSE({1,2,3,4}, DAY(XT!U184), DAY(XT!Y184), DAY(XT!AC184), DAY(XT!AG184)), MATCH(1, INDEX(--(MONTH(CHOOSE({1,2,3,4}, XT!U184,XT!Y184,XT!AC184,XT!AG184))=5), 0), 0)), "")</f>
        <v/>
      </c>
      <c r="S184" s="12" t="str">
        <f>IF(XT!$P184&gt;0,R184,"")</f>
        <v/>
      </c>
      <c r="T184" s="12" t="str">
        <f>IF(XT!$P184=0,R184,"")</f>
        <v/>
      </c>
      <c r="U184">
        <f>SUMPRODUCT((MONTH(CHOOSE({1,2,3,4},XT!U184,XT!Y184,XT!AC184,XT!AG184))=6)*(CHOOSE({1,2,3,4},XT!X184,XT!AB184,XT!AF184,XT!AJ184)))</f>
        <v>0</v>
      </c>
      <c r="V184" t="str">
        <f>IFERROR(INDEX(CHOOSE({1,2,3,4}, DAY(XT!U184), DAY(XT!Y184), DAY(XT!AC184), DAY(XT!AG184)), MATCH(1, INDEX(--(MONTH(CHOOSE({1,2,3,4}, XT!U184,XT!Y184,XT!AC184,XT!AG184))=6), 0), 0)), "")</f>
        <v/>
      </c>
      <c r="W184" s="12" t="str">
        <f>IF(XT!$P184&gt;0,V184,"")</f>
        <v/>
      </c>
      <c r="X184" s="12" t="str">
        <f>IF(XT!$P184=0,V184,"")</f>
        <v/>
      </c>
      <c r="Y184">
        <f>SUMPRODUCT((MONTH(CHOOSE({1,2,3,4},XT!U184,XT!Y184,XT!AC184,XT!AG184))=7)*(CHOOSE({1,2,3,4},XT!X184,XT!AB184,XT!AF184,XT!AJ184)))</f>
        <v>0</v>
      </c>
      <c r="Z184" t="str">
        <f>IFERROR(INDEX(CHOOSE({1,2,3,4}, DAY(XT!U184), DAY(XT!Y184), DAY(XT!AC184), DAY(XT!AG184)), MATCH(1, INDEX(--(MONTH(CHOOSE({1,2,3,4}, XT!U184,XT!Y184,XT!AC184,XT!AG184))=7), 0), 0)), "")</f>
        <v/>
      </c>
      <c r="AA184" s="12" t="str">
        <f>IF(XT!$P184&gt;0,Z184,"")</f>
        <v/>
      </c>
      <c r="AB184" s="12" t="str">
        <f>IF(XT!$P184=0,Z184,"")</f>
        <v/>
      </c>
      <c r="AC184">
        <f>SUMPRODUCT((MONTH(CHOOSE({1,2,3,4},XT!U184,XT!Y184,XT!AC184,XT!AG184))=8)*(CHOOSE({1,2,3,4},XT!X184,XT!AB184,XT!AF184,XT!AJ184)))</f>
        <v>0</v>
      </c>
      <c r="AD184" t="str">
        <f>IFERROR(INDEX(CHOOSE({1,2,3,4}, DAY(XT!U184), DAY(XT!Y184), DAY(XT!AC184), DAY(XT!AG184)), MATCH(1, INDEX(--(MONTH(CHOOSE({1,2,3,4}, XT!U184,XT!Y184,XT!AC184,XT!AG184))=8), 0), 0)), "")</f>
        <v/>
      </c>
      <c r="AE184" s="12" t="str">
        <f>IF(XT!$P184&gt;0,AD184,"")</f>
        <v/>
      </c>
      <c r="AF184" s="12" t="str">
        <f>IF(XT!$P184=0,AD184,"")</f>
        <v/>
      </c>
      <c r="AG184">
        <f>SUMPRODUCT((MONTH(CHOOSE({1,2,3,4},XT!U184,XT!Y184,XT!AC184,XT!AG184))=9)*(CHOOSE({1,2,3,4},XT!X184,XT!AB184,XT!AF184,XT!AJ184)))</f>
        <v>0</v>
      </c>
      <c r="AH184" t="str">
        <f>IFERROR(INDEX(CHOOSE({1,2,3,4}, DAY(XT!U184), DAY(XT!Y184), DAY(XT!AC184), DAY(XT!AG184)), MATCH(1, INDEX(--(MONTH(CHOOSE({1,2,3,4}, XT!U184,XT!Y184,XT!AC184,XT!AG184))=9), 0), 0)), "")</f>
        <v/>
      </c>
      <c r="AI184" s="12" t="str">
        <f>IF(XT!$P184&gt;0,AH184,"")</f>
        <v/>
      </c>
      <c r="AJ184" s="12" t="str">
        <f>IF(XT!$P184=0,AH184,"")</f>
        <v/>
      </c>
      <c r="AK184">
        <f>SUMPRODUCT((MONTH(CHOOSE({1,2,3,4},XT!U184,XT!Y184,XT!AC184,XT!AG184))=10)*(CHOOSE({1,2,3,4},XT!X184,XT!AB184,XT!AF184,XT!AJ184)))</f>
        <v>0</v>
      </c>
      <c r="AL184" t="str">
        <f>IFERROR(INDEX(CHOOSE({1,2,3,4}, DAY(XT!U184), DAY(XT!Y184), DAY(XT!AC184), DAY(XT!AG184)), MATCH(1, INDEX(--(MONTH(CHOOSE({1,2,3,4}, XT!U184,XT!Y184,XT!AC184,XT!AG184))=10), 0), 0)), "")</f>
        <v/>
      </c>
      <c r="AM184" s="12" t="str">
        <f>IF(XT!$P184&gt;0,AL184,"")</f>
        <v/>
      </c>
      <c r="AN184" s="12" t="str">
        <f>IF(XT!$P184=0,AL184,"")</f>
        <v/>
      </c>
      <c r="AO184">
        <f>SUMPRODUCT((MONTH(CHOOSE({1,2,3,4},XT!U184,XT!Y184,XT!AC184,XT!AG184))=11)*(CHOOSE({1,2,3,4},XT!X184,XT!AB184,XT!AF184,XT!AJ184)))</f>
        <v>0</v>
      </c>
      <c r="AP184" t="str">
        <f>IFERROR(INDEX(CHOOSE({1,2,3,4}, DAY(XT!U184), DAY(XT!Y184), DAY(XT!AC184), DAY(XT!AG184)), MATCH(1, INDEX(--(MONTH(CHOOSE({1,2,3,4}, XT!U184,XT!Y184,XT!AC184,XT!AG184))=11), 0), 0)), "")</f>
        <v/>
      </c>
      <c r="AQ184" s="12" t="str">
        <f>IF(XT!$P184&gt;0,AP184,"")</f>
        <v/>
      </c>
      <c r="AR184" s="12" t="str">
        <f>IF(XT!$P184=0,AP184,"")</f>
        <v/>
      </c>
      <c r="AS184">
        <f>SUMPRODUCT((MONTH(CHOOSE({1,2,3,4},XT!U184,XT!Y184,XT!AC184,XT!AG184))=12)*(CHOOSE({1,2,3,4},XT!X184,XT!AB184,XT!AF184,XT!AJ184)))</f>
        <v>0</v>
      </c>
      <c r="AT184" t="str">
        <f>IFERROR(INDEX(CHOOSE({1,2,3,4}, DAY(XT!U184), DAY(XT!Y184), DAY(XT!AC184), DAY(XT!AG184)), MATCH(1, INDEX(--(MONTH(CHOOSE({1,2,3,4}, XT!U184,XT!Y184,XT!AC184,XT!AG184))=12), 0), 0)), "")</f>
        <v/>
      </c>
      <c r="AU184" s="12" t="str">
        <f>IF(XT!$P184&gt;0,AT184,"")</f>
        <v/>
      </c>
      <c r="AV184" s="12" t="str">
        <f>IF(XT!$P184=0,AT184,"")</f>
        <v/>
      </c>
    </row>
    <row r="185" spans="1:48">
      <c r="A185">
        <f>SUMPRODUCT((MONTH(CHOOSE({1,2,3,4},XT!U185,XT!Y185,XT!AC185,XT!AG185))=1)*(CHOOSE({1,2,3,4},XT!X185,XT!AB185,XT!AF185,XT!AJ185)))</f>
        <v>0</v>
      </c>
      <c r="B185">
        <f>IFERROR(INDEX(CHOOSE({1,2,3,4}, DAY(XT!U185), DAY(XT!Y185), DAY(XT!AC185), DAY(XT!AG185)), MATCH(1, INDEX(--(MONTH(CHOOSE({1,2,3,4}, XT!U185,XT!Y185,XT!AC185,XT!AG185))=1), 0), 0)), "")</f>
        <v>0</v>
      </c>
      <c r="C185" s="12" t="str">
        <f>IF(XT!$P185&gt;0,B185,"")</f>
        <v/>
      </c>
      <c r="D185" s="12">
        <f>IF(XT!$P185=0,B185,"")</f>
        <v>0</v>
      </c>
      <c r="E185">
        <f>SUMPRODUCT((MONTH(CHOOSE({1,2,3,4},XT!U185,XT!Y185,XT!AC185,XT!AG185))=2)*(CHOOSE({1,2,3,4},XT!X185,XT!AB185,XT!AF185,XT!AJ185)))</f>
        <v>0</v>
      </c>
      <c r="F185" t="str">
        <f>IFERROR(INDEX(CHOOSE({1,2,3,4}, DAY(XT!U185), DAY(XT!Y185), DAY(XT!AC185), DAY(XT!AG185)), MATCH(1, INDEX(--(MONTH(CHOOSE({1,2,3,4}, XT!U185,XT!Y185,XT!AC185,XT!AG185))=2), 0), 0)), "")</f>
        <v/>
      </c>
      <c r="G185" s="12" t="str">
        <f>IF(XT!$P185&gt;0,F185,"")</f>
        <v/>
      </c>
      <c r="H185" s="12" t="str">
        <f>IF(XT!$P185=0,F185,"")</f>
        <v/>
      </c>
      <c r="I185">
        <f>SUMPRODUCT((MONTH(CHOOSE({1,2,3,4},XT!U185,XT!Y185,XT!AC185,XT!AG185))=3)*(CHOOSE({1,2,3,4},XT!X185,XT!AB185,XT!AF185,XT!AJ185)))</f>
        <v>0</v>
      </c>
      <c r="J185" t="str">
        <f>IFERROR(INDEX(CHOOSE({1,2,3,4}, DAY(XT!U185), DAY(XT!Y185), DAY(XT!AC185), DAY(XT!AG185)), MATCH(1, INDEX(--(MONTH(CHOOSE({1,2,3,4}, XT!U185,XT!Y185,XT!AC185,XT!AG185))=3), 0), 0)), "")</f>
        <v/>
      </c>
      <c r="K185" s="12" t="str">
        <f>IF(XT!$P185&gt;0,J185,"")</f>
        <v/>
      </c>
      <c r="L185" s="12" t="str">
        <f>IF(XT!$P185=0,J185,"")</f>
        <v/>
      </c>
      <c r="M185">
        <f>SUMPRODUCT((MONTH(CHOOSE({1,2,3,4},XT!U185,XT!Y185,XT!AC185,XT!AG185))=4)*(CHOOSE({1,2,3,4},XT!X185,XT!AB185,XT!AF185,XT!AJ185)))</f>
        <v>0</v>
      </c>
      <c r="N185" t="str">
        <f>IFERROR(INDEX(CHOOSE({1,2,3,4}, DAY(XT!U185), DAY(XT!Y185), DAY(XT!AC185), DAY(XT!AG185)), MATCH(1, INDEX(--(MONTH(CHOOSE({1,2,3,4}, XT!U185,XT!Y185,XT!AC185,XT!AG185))=4), 0), 0)), "")</f>
        <v/>
      </c>
      <c r="O185" s="12" t="str">
        <f>IF(XT!$P185&gt;0,N185,"")</f>
        <v/>
      </c>
      <c r="P185" s="12" t="str">
        <f>IF(XT!$P185=0,N185,"")</f>
        <v/>
      </c>
      <c r="Q185">
        <f>SUMPRODUCT((MONTH(CHOOSE({1,2,3,4},XT!U185,XT!Y185,XT!AC185,XT!AG185))=5)*(CHOOSE({1,2,3,4},XT!X185,XT!AB185,XT!AF185,XT!AJ185)))</f>
        <v>0</v>
      </c>
      <c r="R185" t="str">
        <f>IFERROR(INDEX(CHOOSE({1,2,3,4}, DAY(XT!U185), DAY(XT!Y185), DAY(XT!AC185), DAY(XT!AG185)), MATCH(1, INDEX(--(MONTH(CHOOSE({1,2,3,4}, XT!U185,XT!Y185,XT!AC185,XT!AG185))=5), 0), 0)), "")</f>
        <v/>
      </c>
      <c r="S185" s="12" t="str">
        <f>IF(XT!$P185&gt;0,R185,"")</f>
        <v/>
      </c>
      <c r="T185" s="12" t="str">
        <f>IF(XT!$P185=0,R185,"")</f>
        <v/>
      </c>
      <c r="U185">
        <f>SUMPRODUCT((MONTH(CHOOSE({1,2,3,4},XT!U185,XT!Y185,XT!AC185,XT!AG185))=6)*(CHOOSE({1,2,3,4},XT!X185,XT!AB185,XT!AF185,XT!AJ185)))</f>
        <v>0</v>
      </c>
      <c r="V185" t="str">
        <f>IFERROR(INDEX(CHOOSE({1,2,3,4}, DAY(XT!U185), DAY(XT!Y185), DAY(XT!AC185), DAY(XT!AG185)), MATCH(1, INDEX(--(MONTH(CHOOSE({1,2,3,4}, XT!U185,XT!Y185,XT!AC185,XT!AG185))=6), 0), 0)), "")</f>
        <v/>
      </c>
      <c r="W185" s="12" t="str">
        <f>IF(XT!$P185&gt;0,V185,"")</f>
        <v/>
      </c>
      <c r="X185" s="12" t="str">
        <f>IF(XT!$P185=0,V185,"")</f>
        <v/>
      </c>
      <c r="Y185">
        <f>SUMPRODUCT((MONTH(CHOOSE({1,2,3,4},XT!U185,XT!Y185,XT!AC185,XT!AG185))=7)*(CHOOSE({1,2,3,4},XT!X185,XT!AB185,XT!AF185,XT!AJ185)))</f>
        <v>0</v>
      </c>
      <c r="Z185" t="str">
        <f>IFERROR(INDEX(CHOOSE({1,2,3,4}, DAY(XT!U185), DAY(XT!Y185), DAY(XT!AC185), DAY(XT!AG185)), MATCH(1, INDEX(--(MONTH(CHOOSE({1,2,3,4}, XT!U185,XT!Y185,XT!AC185,XT!AG185))=7), 0), 0)), "")</f>
        <v/>
      </c>
      <c r="AA185" s="12" t="str">
        <f>IF(XT!$P185&gt;0,Z185,"")</f>
        <v/>
      </c>
      <c r="AB185" s="12" t="str">
        <f>IF(XT!$P185=0,Z185,"")</f>
        <v/>
      </c>
      <c r="AC185">
        <f>SUMPRODUCT((MONTH(CHOOSE({1,2,3,4},XT!U185,XT!Y185,XT!AC185,XT!AG185))=8)*(CHOOSE({1,2,3,4},XT!X185,XT!AB185,XT!AF185,XT!AJ185)))</f>
        <v>0</v>
      </c>
      <c r="AD185" t="str">
        <f>IFERROR(INDEX(CHOOSE({1,2,3,4}, DAY(XT!U185), DAY(XT!Y185), DAY(XT!AC185), DAY(XT!AG185)), MATCH(1, INDEX(--(MONTH(CHOOSE({1,2,3,4}, XT!U185,XT!Y185,XT!AC185,XT!AG185))=8), 0), 0)), "")</f>
        <v/>
      </c>
      <c r="AE185" s="12" t="str">
        <f>IF(XT!$P185&gt;0,AD185,"")</f>
        <v/>
      </c>
      <c r="AF185" s="12" t="str">
        <f>IF(XT!$P185=0,AD185,"")</f>
        <v/>
      </c>
      <c r="AG185">
        <f>SUMPRODUCT((MONTH(CHOOSE({1,2,3,4},XT!U185,XT!Y185,XT!AC185,XT!AG185))=9)*(CHOOSE({1,2,3,4},XT!X185,XT!AB185,XT!AF185,XT!AJ185)))</f>
        <v>0</v>
      </c>
      <c r="AH185" t="str">
        <f>IFERROR(INDEX(CHOOSE({1,2,3,4}, DAY(XT!U185), DAY(XT!Y185), DAY(XT!AC185), DAY(XT!AG185)), MATCH(1, INDEX(--(MONTH(CHOOSE({1,2,3,4}, XT!U185,XT!Y185,XT!AC185,XT!AG185))=9), 0), 0)), "")</f>
        <v/>
      </c>
      <c r="AI185" s="12" t="str">
        <f>IF(XT!$P185&gt;0,AH185,"")</f>
        <v/>
      </c>
      <c r="AJ185" s="12" t="str">
        <f>IF(XT!$P185=0,AH185,"")</f>
        <v/>
      </c>
      <c r="AK185">
        <f>SUMPRODUCT((MONTH(CHOOSE({1,2,3,4},XT!U185,XT!Y185,XT!AC185,XT!AG185))=10)*(CHOOSE({1,2,3,4},XT!X185,XT!AB185,XT!AF185,XT!AJ185)))</f>
        <v>0</v>
      </c>
      <c r="AL185" t="str">
        <f>IFERROR(INDEX(CHOOSE({1,2,3,4}, DAY(XT!U185), DAY(XT!Y185), DAY(XT!AC185), DAY(XT!AG185)), MATCH(1, INDEX(--(MONTH(CHOOSE({1,2,3,4}, XT!U185,XT!Y185,XT!AC185,XT!AG185))=10), 0), 0)), "")</f>
        <v/>
      </c>
      <c r="AM185" s="12" t="str">
        <f>IF(XT!$P185&gt;0,AL185,"")</f>
        <v/>
      </c>
      <c r="AN185" s="12" t="str">
        <f>IF(XT!$P185=0,AL185,"")</f>
        <v/>
      </c>
      <c r="AO185">
        <f>SUMPRODUCT((MONTH(CHOOSE({1,2,3,4},XT!U185,XT!Y185,XT!AC185,XT!AG185))=11)*(CHOOSE({1,2,3,4},XT!X185,XT!AB185,XT!AF185,XT!AJ185)))</f>
        <v>0</v>
      </c>
      <c r="AP185" t="str">
        <f>IFERROR(INDEX(CHOOSE({1,2,3,4}, DAY(XT!U185), DAY(XT!Y185), DAY(XT!AC185), DAY(XT!AG185)), MATCH(1, INDEX(--(MONTH(CHOOSE({1,2,3,4}, XT!U185,XT!Y185,XT!AC185,XT!AG185))=11), 0), 0)), "")</f>
        <v/>
      </c>
      <c r="AQ185" s="12" t="str">
        <f>IF(XT!$P185&gt;0,AP185,"")</f>
        <v/>
      </c>
      <c r="AR185" s="12" t="str">
        <f>IF(XT!$P185=0,AP185,"")</f>
        <v/>
      </c>
      <c r="AS185">
        <f>SUMPRODUCT((MONTH(CHOOSE({1,2,3,4},XT!U185,XT!Y185,XT!AC185,XT!AG185))=12)*(CHOOSE({1,2,3,4},XT!X185,XT!AB185,XT!AF185,XT!AJ185)))</f>
        <v>0</v>
      </c>
      <c r="AT185" t="str">
        <f>IFERROR(INDEX(CHOOSE({1,2,3,4}, DAY(XT!U185), DAY(XT!Y185), DAY(XT!AC185), DAY(XT!AG185)), MATCH(1, INDEX(--(MONTH(CHOOSE({1,2,3,4}, XT!U185,XT!Y185,XT!AC185,XT!AG185))=12), 0), 0)), "")</f>
        <v/>
      </c>
      <c r="AU185" s="12" t="str">
        <f>IF(XT!$P185&gt;0,AT185,"")</f>
        <v/>
      </c>
      <c r="AV185" s="12" t="str">
        <f>IF(XT!$P185=0,AT185,"")</f>
        <v/>
      </c>
    </row>
    <row r="186" spans="1:48">
      <c r="A186">
        <f>SUMPRODUCT((MONTH(CHOOSE({1,2,3,4},XT!U186,XT!Y186,XT!AC186,XT!AG186))=1)*(CHOOSE({1,2,3,4},XT!X186,XT!AB186,XT!AF186,XT!AJ186)))</f>
        <v>0</v>
      </c>
      <c r="B186">
        <f>IFERROR(INDEX(CHOOSE({1,2,3,4}, DAY(XT!U186), DAY(XT!Y186), DAY(XT!AC186), DAY(XT!AG186)), MATCH(1, INDEX(--(MONTH(CHOOSE({1,2,3,4}, XT!U186,XT!Y186,XT!AC186,XT!AG186))=1), 0), 0)), "")</f>
        <v>0</v>
      </c>
      <c r="C186" s="12" t="str">
        <f>IF(XT!$P186&gt;0,B186,"")</f>
        <v/>
      </c>
      <c r="D186" s="12">
        <f>IF(XT!$P186=0,B186,"")</f>
        <v>0</v>
      </c>
      <c r="E186">
        <f>SUMPRODUCT((MONTH(CHOOSE({1,2,3,4},XT!U186,XT!Y186,XT!AC186,XT!AG186))=2)*(CHOOSE({1,2,3,4},XT!X186,XT!AB186,XT!AF186,XT!AJ186)))</f>
        <v>0</v>
      </c>
      <c r="F186" t="str">
        <f>IFERROR(INDEX(CHOOSE({1,2,3,4}, DAY(XT!U186), DAY(XT!Y186), DAY(XT!AC186), DAY(XT!AG186)), MATCH(1, INDEX(--(MONTH(CHOOSE({1,2,3,4}, XT!U186,XT!Y186,XT!AC186,XT!AG186))=2), 0), 0)), "")</f>
        <v/>
      </c>
      <c r="G186" s="12" t="str">
        <f>IF(XT!$P186&gt;0,F186,"")</f>
        <v/>
      </c>
      <c r="H186" s="12" t="str">
        <f>IF(XT!$P186=0,F186,"")</f>
        <v/>
      </c>
      <c r="I186">
        <f>SUMPRODUCT((MONTH(CHOOSE({1,2,3,4},XT!U186,XT!Y186,XT!AC186,XT!AG186))=3)*(CHOOSE({1,2,3,4},XT!X186,XT!AB186,XT!AF186,XT!AJ186)))</f>
        <v>0</v>
      </c>
      <c r="J186" t="str">
        <f>IFERROR(INDEX(CHOOSE({1,2,3,4}, DAY(XT!U186), DAY(XT!Y186), DAY(XT!AC186), DAY(XT!AG186)), MATCH(1, INDEX(--(MONTH(CHOOSE({1,2,3,4}, XT!U186,XT!Y186,XT!AC186,XT!AG186))=3), 0), 0)), "")</f>
        <v/>
      </c>
      <c r="K186" s="12" t="str">
        <f>IF(XT!$P186&gt;0,J186,"")</f>
        <v/>
      </c>
      <c r="L186" s="12" t="str">
        <f>IF(XT!$P186=0,J186,"")</f>
        <v/>
      </c>
      <c r="M186">
        <f>SUMPRODUCT((MONTH(CHOOSE({1,2,3,4},XT!U186,XT!Y186,XT!AC186,XT!AG186))=4)*(CHOOSE({1,2,3,4},XT!X186,XT!AB186,XT!AF186,XT!AJ186)))</f>
        <v>0</v>
      </c>
      <c r="N186" t="str">
        <f>IFERROR(INDEX(CHOOSE({1,2,3,4}, DAY(XT!U186), DAY(XT!Y186), DAY(XT!AC186), DAY(XT!AG186)), MATCH(1, INDEX(--(MONTH(CHOOSE({1,2,3,4}, XT!U186,XT!Y186,XT!AC186,XT!AG186))=4), 0), 0)), "")</f>
        <v/>
      </c>
      <c r="O186" s="12" t="str">
        <f>IF(XT!$P186&gt;0,N186,"")</f>
        <v/>
      </c>
      <c r="P186" s="12" t="str">
        <f>IF(XT!$P186=0,N186,"")</f>
        <v/>
      </c>
      <c r="Q186">
        <f>SUMPRODUCT((MONTH(CHOOSE({1,2,3,4},XT!U186,XT!Y186,XT!AC186,XT!AG186))=5)*(CHOOSE({1,2,3,4},XT!X186,XT!AB186,XT!AF186,XT!AJ186)))</f>
        <v>0</v>
      </c>
      <c r="R186" t="str">
        <f>IFERROR(INDEX(CHOOSE({1,2,3,4}, DAY(XT!U186), DAY(XT!Y186), DAY(XT!AC186), DAY(XT!AG186)), MATCH(1, INDEX(--(MONTH(CHOOSE({1,2,3,4}, XT!U186,XT!Y186,XT!AC186,XT!AG186))=5), 0), 0)), "")</f>
        <v/>
      </c>
      <c r="S186" s="12" t="str">
        <f>IF(XT!$P186&gt;0,R186,"")</f>
        <v/>
      </c>
      <c r="T186" s="12" t="str">
        <f>IF(XT!$P186=0,R186,"")</f>
        <v/>
      </c>
      <c r="U186">
        <f>SUMPRODUCT((MONTH(CHOOSE({1,2,3,4},XT!U186,XT!Y186,XT!AC186,XT!AG186))=6)*(CHOOSE({1,2,3,4},XT!X186,XT!AB186,XT!AF186,XT!AJ186)))</f>
        <v>0</v>
      </c>
      <c r="V186" t="str">
        <f>IFERROR(INDEX(CHOOSE({1,2,3,4}, DAY(XT!U186), DAY(XT!Y186), DAY(XT!AC186), DAY(XT!AG186)), MATCH(1, INDEX(--(MONTH(CHOOSE({1,2,3,4}, XT!U186,XT!Y186,XT!AC186,XT!AG186))=6), 0), 0)), "")</f>
        <v/>
      </c>
      <c r="W186" s="12" t="str">
        <f>IF(XT!$P186&gt;0,V186,"")</f>
        <v/>
      </c>
      <c r="X186" s="12" t="str">
        <f>IF(XT!$P186=0,V186,"")</f>
        <v/>
      </c>
      <c r="Y186">
        <f>SUMPRODUCT((MONTH(CHOOSE({1,2,3,4},XT!U186,XT!Y186,XT!AC186,XT!AG186))=7)*(CHOOSE({1,2,3,4},XT!X186,XT!AB186,XT!AF186,XT!AJ186)))</f>
        <v>0</v>
      </c>
      <c r="Z186" t="str">
        <f>IFERROR(INDEX(CHOOSE({1,2,3,4}, DAY(XT!U186), DAY(XT!Y186), DAY(XT!AC186), DAY(XT!AG186)), MATCH(1, INDEX(--(MONTH(CHOOSE({1,2,3,4}, XT!U186,XT!Y186,XT!AC186,XT!AG186))=7), 0), 0)), "")</f>
        <v/>
      </c>
      <c r="AA186" s="12" t="str">
        <f>IF(XT!$P186&gt;0,Z186,"")</f>
        <v/>
      </c>
      <c r="AB186" s="12" t="str">
        <f>IF(XT!$P186=0,Z186,"")</f>
        <v/>
      </c>
      <c r="AC186">
        <f>SUMPRODUCT((MONTH(CHOOSE({1,2,3,4},XT!U186,XT!Y186,XT!AC186,XT!AG186))=8)*(CHOOSE({1,2,3,4},XT!X186,XT!AB186,XT!AF186,XT!AJ186)))</f>
        <v>0</v>
      </c>
      <c r="AD186" t="str">
        <f>IFERROR(INDEX(CHOOSE({1,2,3,4}, DAY(XT!U186), DAY(XT!Y186), DAY(XT!AC186), DAY(XT!AG186)), MATCH(1, INDEX(--(MONTH(CHOOSE({1,2,3,4}, XT!U186,XT!Y186,XT!AC186,XT!AG186))=8), 0), 0)), "")</f>
        <v/>
      </c>
      <c r="AE186" s="12" t="str">
        <f>IF(XT!$P186&gt;0,AD186,"")</f>
        <v/>
      </c>
      <c r="AF186" s="12" t="str">
        <f>IF(XT!$P186=0,AD186,"")</f>
        <v/>
      </c>
      <c r="AG186">
        <f>SUMPRODUCT((MONTH(CHOOSE({1,2,3,4},XT!U186,XT!Y186,XT!AC186,XT!AG186))=9)*(CHOOSE({1,2,3,4},XT!X186,XT!AB186,XT!AF186,XT!AJ186)))</f>
        <v>0</v>
      </c>
      <c r="AH186" t="str">
        <f>IFERROR(INDEX(CHOOSE({1,2,3,4}, DAY(XT!U186), DAY(XT!Y186), DAY(XT!AC186), DAY(XT!AG186)), MATCH(1, INDEX(--(MONTH(CHOOSE({1,2,3,4}, XT!U186,XT!Y186,XT!AC186,XT!AG186))=9), 0), 0)), "")</f>
        <v/>
      </c>
      <c r="AI186" s="12" t="str">
        <f>IF(XT!$P186&gt;0,AH186,"")</f>
        <v/>
      </c>
      <c r="AJ186" s="12" t="str">
        <f>IF(XT!$P186=0,AH186,"")</f>
        <v/>
      </c>
      <c r="AK186">
        <f>SUMPRODUCT((MONTH(CHOOSE({1,2,3,4},XT!U186,XT!Y186,XT!AC186,XT!AG186))=10)*(CHOOSE({1,2,3,4},XT!X186,XT!AB186,XT!AF186,XT!AJ186)))</f>
        <v>0</v>
      </c>
      <c r="AL186" t="str">
        <f>IFERROR(INDEX(CHOOSE({1,2,3,4}, DAY(XT!U186), DAY(XT!Y186), DAY(XT!AC186), DAY(XT!AG186)), MATCH(1, INDEX(--(MONTH(CHOOSE({1,2,3,4}, XT!U186,XT!Y186,XT!AC186,XT!AG186))=10), 0), 0)), "")</f>
        <v/>
      </c>
      <c r="AM186" s="12" t="str">
        <f>IF(XT!$P186&gt;0,AL186,"")</f>
        <v/>
      </c>
      <c r="AN186" s="12" t="str">
        <f>IF(XT!$P186=0,AL186,"")</f>
        <v/>
      </c>
      <c r="AO186">
        <f>SUMPRODUCT((MONTH(CHOOSE({1,2,3,4},XT!U186,XT!Y186,XT!AC186,XT!AG186))=11)*(CHOOSE({1,2,3,4},XT!X186,XT!AB186,XT!AF186,XT!AJ186)))</f>
        <v>0</v>
      </c>
      <c r="AP186" t="str">
        <f>IFERROR(INDEX(CHOOSE({1,2,3,4}, DAY(XT!U186), DAY(XT!Y186), DAY(XT!AC186), DAY(XT!AG186)), MATCH(1, INDEX(--(MONTH(CHOOSE({1,2,3,4}, XT!U186,XT!Y186,XT!AC186,XT!AG186))=11), 0), 0)), "")</f>
        <v/>
      </c>
      <c r="AQ186" s="12" t="str">
        <f>IF(XT!$P186&gt;0,AP186,"")</f>
        <v/>
      </c>
      <c r="AR186" s="12" t="str">
        <f>IF(XT!$P186=0,AP186,"")</f>
        <v/>
      </c>
      <c r="AS186">
        <f>SUMPRODUCT((MONTH(CHOOSE({1,2,3,4},XT!U186,XT!Y186,XT!AC186,XT!AG186))=12)*(CHOOSE({1,2,3,4},XT!X186,XT!AB186,XT!AF186,XT!AJ186)))</f>
        <v>0</v>
      </c>
      <c r="AT186" t="str">
        <f>IFERROR(INDEX(CHOOSE({1,2,3,4}, DAY(XT!U186), DAY(XT!Y186), DAY(XT!AC186), DAY(XT!AG186)), MATCH(1, INDEX(--(MONTH(CHOOSE({1,2,3,4}, XT!U186,XT!Y186,XT!AC186,XT!AG186))=12), 0), 0)), "")</f>
        <v/>
      </c>
      <c r="AU186" s="12" t="str">
        <f>IF(XT!$P186&gt;0,AT186,"")</f>
        <v/>
      </c>
      <c r="AV186" s="12" t="str">
        <f>IF(XT!$P186=0,AT186,"")</f>
        <v/>
      </c>
    </row>
    <row r="187" spans="1:48">
      <c r="A187">
        <f>SUMPRODUCT((MONTH(CHOOSE({1,2,3,4},XT!U187,XT!Y187,XT!AC187,XT!AG187))=1)*(CHOOSE({1,2,3,4},XT!X187,XT!AB187,XT!AF187,XT!AJ187)))</f>
        <v>0</v>
      </c>
      <c r="B187">
        <f>IFERROR(INDEX(CHOOSE({1,2,3,4}, DAY(XT!U187), DAY(XT!Y187), DAY(XT!AC187), DAY(XT!AG187)), MATCH(1, INDEX(--(MONTH(CHOOSE({1,2,3,4}, XT!U187,XT!Y187,XT!AC187,XT!AG187))=1), 0), 0)), "")</f>
        <v>0</v>
      </c>
      <c r="C187" s="12" t="str">
        <f>IF(XT!$P187&gt;0,B187,"")</f>
        <v/>
      </c>
      <c r="D187" s="12">
        <f>IF(XT!$P187=0,B187,"")</f>
        <v>0</v>
      </c>
      <c r="E187">
        <f>SUMPRODUCT((MONTH(CHOOSE({1,2,3,4},XT!U187,XT!Y187,XT!AC187,XT!AG187))=2)*(CHOOSE({1,2,3,4},XT!X187,XT!AB187,XT!AF187,XT!AJ187)))</f>
        <v>0</v>
      </c>
      <c r="F187" t="str">
        <f>IFERROR(INDEX(CHOOSE({1,2,3,4}, DAY(XT!U187), DAY(XT!Y187), DAY(XT!AC187), DAY(XT!AG187)), MATCH(1, INDEX(--(MONTH(CHOOSE({1,2,3,4}, XT!U187,XT!Y187,XT!AC187,XT!AG187))=2), 0), 0)), "")</f>
        <v/>
      </c>
      <c r="G187" s="12" t="str">
        <f>IF(XT!$P187&gt;0,F187,"")</f>
        <v/>
      </c>
      <c r="H187" s="12" t="str">
        <f>IF(XT!$P187=0,F187,"")</f>
        <v/>
      </c>
      <c r="I187">
        <f>SUMPRODUCT((MONTH(CHOOSE({1,2,3,4},XT!U187,XT!Y187,XT!AC187,XT!AG187))=3)*(CHOOSE({1,2,3,4},XT!X187,XT!AB187,XT!AF187,XT!AJ187)))</f>
        <v>0</v>
      </c>
      <c r="J187" t="str">
        <f>IFERROR(INDEX(CHOOSE({1,2,3,4}, DAY(XT!U187), DAY(XT!Y187), DAY(XT!AC187), DAY(XT!AG187)), MATCH(1, INDEX(--(MONTH(CHOOSE({1,2,3,4}, XT!U187,XT!Y187,XT!AC187,XT!AG187))=3), 0), 0)), "")</f>
        <v/>
      </c>
      <c r="K187" s="12" t="str">
        <f>IF(XT!$P187&gt;0,J187,"")</f>
        <v/>
      </c>
      <c r="L187" s="12" t="str">
        <f>IF(XT!$P187=0,J187,"")</f>
        <v/>
      </c>
      <c r="M187">
        <f>SUMPRODUCT((MONTH(CHOOSE({1,2,3,4},XT!U187,XT!Y187,XT!AC187,XT!AG187))=4)*(CHOOSE({1,2,3,4},XT!X187,XT!AB187,XT!AF187,XT!AJ187)))</f>
        <v>0</v>
      </c>
      <c r="N187" t="str">
        <f>IFERROR(INDEX(CHOOSE({1,2,3,4}, DAY(XT!U187), DAY(XT!Y187), DAY(XT!AC187), DAY(XT!AG187)), MATCH(1, INDEX(--(MONTH(CHOOSE({1,2,3,4}, XT!U187,XT!Y187,XT!AC187,XT!AG187))=4), 0), 0)), "")</f>
        <v/>
      </c>
      <c r="O187" s="12" t="str">
        <f>IF(XT!$P187&gt;0,N187,"")</f>
        <v/>
      </c>
      <c r="P187" s="12" t="str">
        <f>IF(XT!$P187=0,N187,"")</f>
        <v/>
      </c>
      <c r="Q187">
        <f>SUMPRODUCT((MONTH(CHOOSE({1,2,3,4},XT!U187,XT!Y187,XT!AC187,XT!AG187))=5)*(CHOOSE({1,2,3,4},XT!X187,XT!AB187,XT!AF187,XT!AJ187)))</f>
        <v>0</v>
      </c>
      <c r="R187" t="str">
        <f>IFERROR(INDEX(CHOOSE({1,2,3,4}, DAY(XT!U187), DAY(XT!Y187), DAY(XT!AC187), DAY(XT!AG187)), MATCH(1, INDEX(--(MONTH(CHOOSE({1,2,3,4}, XT!U187,XT!Y187,XT!AC187,XT!AG187))=5), 0), 0)), "")</f>
        <v/>
      </c>
      <c r="S187" s="12" t="str">
        <f>IF(XT!$P187&gt;0,R187,"")</f>
        <v/>
      </c>
      <c r="T187" s="12" t="str">
        <f>IF(XT!$P187=0,R187,"")</f>
        <v/>
      </c>
      <c r="U187">
        <f>SUMPRODUCT((MONTH(CHOOSE({1,2,3,4},XT!U187,XT!Y187,XT!AC187,XT!AG187))=6)*(CHOOSE({1,2,3,4},XT!X187,XT!AB187,XT!AF187,XT!AJ187)))</f>
        <v>0</v>
      </c>
      <c r="V187" t="str">
        <f>IFERROR(INDEX(CHOOSE({1,2,3,4}, DAY(XT!U187), DAY(XT!Y187), DAY(XT!AC187), DAY(XT!AG187)), MATCH(1, INDEX(--(MONTH(CHOOSE({1,2,3,4}, XT!U187,XT!Y187,XT!AC187,XT!AG187))=6), 0), 0)), "")</f>
        <v/>
      </c>
      <c r="W187" s="12" t="str">
        <f>IF(XT!$P187&gt;0,V187,"")</f>
        <v/>
      </c>
      <c r="X187" s="12" t="str">
        <f>IF(XT!$P187=0,V187,"")</f>
        <v/>
      </c>
      <c r="Y187">
        <f>SUMPRODUCT((MONTH(CHOOSE({1,2,3,4},XT!U187,XT!Y187,XT!AC187,XT!AG187))=7)*(CHOOSE({1,2,3,4},XT!X187,XT!AB187,XT!AF187,XT!AJ187)))</f>
        <v>0</v>
      </c>
      <c r="Z187" t="str">
        <f>IFERROR(INDEX(CHOOSE({1,2,3,4}, DAY(XT!U187), DAY(XT!Y187), DAY(XT!AC187), DAY(XT!AG187)), MATCH(1, INDEX(--(MONTH(CHOOSE({1,2,3,4}, XT!U187,XT!Y187,XT!AC187,XT!AG187))=7), 0), 0)), "")</f>
        <v/>
      </c>
      <c r="AA187" s="12" t="str">
        <f>IF(XT!$P187&gt;0,Z187,"")</f>
        <v/>
      </c>
      <c r="AB187" s="12" t="str">
        <f>IF(XT!$P187=0,Z187,"")</f>
        <v/>
      </c>
      <c r="AC187">
        <f>SUMPRODUCT((MONTH(CHOOSE({1,2,3,4},XT!U187,XT!Y187,XT!AC187,XT!AG187))=8)*(CHOOSE({1,2,3,4},XT!X187,XT!AB187,XT!AF187,XT!AJ187)))</f>
        <v>0</v>
      </c>
      <c r="AD187" t="str">
        <f>IFERROR(INDEX(CHOOSE({1,2,3,4}, DAY(XT!U187), DAY(XT!Y187), DAY(XT!AC187), DAY(XT!AG187)), MATCH(1, INDEX(--(MONTH(CHOOSE({1,2,3,4}, XT!U187,XT!Y187,XT!AC187,XT!AG187))=8), 0), 0)), "")</f>
        <v/>
      </c>
      <c r="AE187" s="12" t="str">
        <f>IF(XT!$P187&gt;0,AD187,"")</f>
        <v/>
      </c>
      <c r="AF187" s="12" t="str">
        <f>IF(XT!$P187=0,AD187,"")</f>
        <v/>
      </c>
      <c r="AG187">
        <f>SUMPRODUCT((MONTH(CHOOSE({1,2,3,4},XT!U187,XT!Y187,XT!AC187,XT!AG187))=9)*(CHOOSE({1,2,3,4},XT!X187,XT!AB187,XT!AF187,XT!AJ187)))</f>
        <v>0</v>
      </c>
      <c r="AH187" t="str">
        <f>IFERROR(INDEX(CHOOSE({1,2,3,4}, DAY(XT!U187), DAY(XT!Y187), DAY(XT!AC187), DAY(XT!AG187)), MATCH(1, INDEX(--(MONTH(CHOOSE({1,2,3,4}, XT!U187,XT!Y187,XT!AC187,XT!AG187))=9), 0), 0)), "")</f>
        <v/>
      </c>
      <c r="AI187" s="12" t="str">
        <f>IF(XT!$P187&gt;0,AH187,"")</f>
        <v/>
      </c>
      <c r="AJ187" s="12" t="str">
        <f>IF(XT!$P187=0,AH187,"")</f>
        <v/>
      </c>
      <c r="AK187">
        <f>SUMPRODUCT((MONTH(CHOOSE({1,2,3,4},XT!U187,XT!Y187,XT!AC187,XT!AG187))=10)*(CHOOSE({1,2,3,4},XT!X187,XT!AB187,XT!AF187,XT!AJ187)))</f>
        <v>0</v>
      </c>
      <c r="AL187" t="str">
        <f>IFERROR(INDEX(CHOOSE({1,2,3,4}, DAY(XT!U187), DAY(XT!Y187), DAY(XT!AC187), DAY(XT!AG187)), MATCH(1, INDEX(--(MONTH(CHOOSE({1,2,3,4}, XT!U187,XT!Y187,XT!AC187,XT!AG187))=10), 0), 0)), "")</f>
        <v/>
      </c>
      <c r="AM187" s="12" t="str">
        <f>IF(XT!$P187&gt;0,AL187,"")</f>
        <v/>
      </c>
      <c r="AN187" s="12" t="str">
        <f>IF(XT!$P187=0,AL187,"")</f>
        <v/>
      </c>
      <c r="AO187">
        <f>SUMPRODUCT((MONTH(CHOOSE({1,2,3,4},XT!U187,XT!Y187,XT!AC187,XT!AG187))=11)*(CHOOSE({1,2,3,4},XT!X187,XT!AB187,XT!AF187,XT!AJ187)))</f>
        <v>0</v>
      </c>
      <c r="AP187" t="str">
        <f>IFERROR(INDEX(CHOOSE({1,2,3,4}, DAY(XT!U187), DAY(XT!Y187), DAY(XT!AC187), DAY(XT!AG187)), MATCH(1, INDEX(--(MONTH(CHOOSE({1,2,3,4}, XT!U187,XT!Y187,XT!AC187,XT!AG187))=11), 0), 0)), "")</f>
        <v/>
      </c>
      <c r="AQ187" s="12" t="str">
        <f>IF(XT!$P187&gt;0,AP187,"")</f>
        <v/>
      </c>
      <c r="AR187" s="12" t="str">
        <f>IF(XT!$P187=0,AP187,"")</f>
        <v/>
      </c>
      <c r="AS187">
        <f>SUMPRODUCT((MONTH(CHOOSE({1,2,3,4},XT!U187,XT!Y187,XT!AC187,XT!AG187))=12)*(CHOOSE({1,2,3,4},XT!X187,XT!AB187,XT!AF187,XT!AJ187)))</f>
        <v>0</v>
      </c>
      <c r="AT187" t="str">
        <f>IFERROR(INDEX(CHOOSE({1,2,3,4}, DAY(XT!U187), DAY(XT!Y187), DAY(XT!AC187), DAY(XT!AG187)), MATCH(1, INDEX(--(MONTH(CHOOSE({1,2,3,4}, XT!U187,XT!Y187,XT!AC187,XT!AG187))=12), 0), 0)), "")</f>
        <v/>
      </c>
      <c r="AU187" s="12" t="str">
        <f>IF(XT!$P187&gt;0,AT187,"")</f>
        <v/>
      </c>
      <c r="AV187" s="12" t="str">
        <f>IF(XT!$P187=0,AT187,"")</f>
        <v/>
      </c>
    </row>
    <row r="188" spans="1:48">
      <c r="A188">
        <f>SUMPRODUCT((MONTH(CHOOSE({1,2,3,4},XT!U188,XT!Y188,XT!AC188,XT!AG188))=1)*(CHOOSE({1,2,3,4},XT!X188,XT!AB188,XT!AF188,XT!AJ188)))</f>
        <v>0</v>
      </c>
      <c r="B188">
        <f>IFERROR(INDEX(CHOOSE({1,2,3,4}, DAY(XT!U188), DAY(XT!Y188), DAY(XT!AC188), DAY(XT!AG188)), MATCH(1, INDEX(--(MONTH(CHOOSE({1,2,3,4}, XT!U188,XT!Y188,XT!AC188,XT!AG188))=1), 0), 0)), "")</f>
        <v>0</v>
      </c>
      <c r="C188" s="12" t="str">
        <f>IF(XT!$P188&gt;0,B188,"")</f>
        <v/>
      </c>
      <c r="D188" s="12">
        <f>IF(XT!$P188=0,B188,"")</f>
        <v>0</v>
      </c>
      <c r="E188">
        <f>SUMPRODUCT((MONTH(CHOOSE({1,2,3,4},XT!U188,XT!Y188,XT!AC188,XT!AG188))=2)*(CHOOSE({1,2,3,4},XT!X188,XT!AB188,XT!AF188,XT!AJ188)))</f>
        <v>0</v>
      </c>
      <c r="F188" t="str">
        <f>IFERROR(INDEX(CHOOSE({1,2,3,4}, DAY(XT!U188), DAY(XT!Y188), DAY(XT!AC188), DAY(XT!AG188)), MATCH(1, INDEX(--(MONTH(CHOOSE({1,2,3,4}, XT!U188,XT!Y188,XT!AC188,XT!AG188))=2), 0), 0)), "")</f>
        <v/>
      </c>
      <c r="G188" s="12" t="str">
        <f>IF(XT!$P188&gt;0,F188,"")</f>
        <v/>
      </c>
      <c r="H188" s="12" t="str">
        <f>IF(XT!$P188=0,F188,"")</f>
        <v/>
      </c>
      <c r="I188">
        <f>SUMPRODUCT((MONTH(CHOOSE({1,2,3,4},XT!U188,XT!Y188,XT!AC188,XT!AG188))=3)*(CHOOSE({1,2,3,4},XT!X188,XT!AB188,XT!AF188,XT!AJ188)))</f>
        <v>0</v>
      </c>
      <c r="J188" t="str">
        <f>IFERROR(INDEX(CHOOSE({1,2,3,4}, DAY(XT!U188), DAY(XT!Y188), DAY(XT!AC188), DAY(XT!AG188)), MATCH(1, INDEX(--(MONTH(CHOOSE({1,2,3,4}, XT!U188,XT!Y188,XT!AC188,XT!AG188))=3), 0), 0)), "")</f>
        <v/>
      </c>
      <c r="K188" s="12" t="str">
        <f>IF(XT!$P188&gt;0,J188,"")</f>
        <v/>
      </c>
      <c r="L188" s="12" t="str">
        <f>IF(XT!$P188=0,J188,"")</f>
        <v/>
      </c>
      <c r="M188">
        <f>SUMPRODUCT((MONTH(CHOOSE({1,2,3,4},XT!U188,XT!Y188,XT!AC188,XT!AG188))=4)*(CHOOSE({1,2,3,4},XT!X188,XT!AB188,XT!AF188,XT!AJ188)))</f>
        <v>0</v>
      </c>
      <c r="N188" t="str">
        <f>IFERROR(INDEX(CHOOSE({1,2,3,4}, DAY(XT!U188), DAY(XT!Y188), DAY(XT!AC188), DAY(XT!AG188)), MATCH(1, INDEX(--(MONTH(CHOOSE({1,2,3,4}, XT!U188,XT!Y188,XT!AC188,XT!AG188))=4), 0), 0)), "")</f>
        <v/>
      </c>
      <c r="O188" s="12" t="str">
        <f>IF(XT!$P188&gt;0,N188,"")</f>
        <v/>
      </c>
      <c r="P188" s="12" t="str">
        <f>IF(XT!$P188=0,N188,"")</f>
        <v/>
      </c>
      <c r="Q188">
        <f>SUMPRODUCT((MONTH(CHOOSE({1,2,3,4},XT!U188,XT!Y188,XT!AC188,XT!AG188))=5)*(CHOOSE({1,2,3,4},XT!X188,XT!AB188,XT!AF188,XT!AJ188)))</f>
        <v>0</v>
      </c>
      <c r="R188" t="str">
        <f>IFERROR(INDEX(CHOOSE({1,2,3,4}, DAY(XT!U188), DAY(XT!Y188), DAY(XT!AC188), DAY(XT!AG188)), MATCH(1, INDEX(--(MONTH(CHOOSE({1,2,3,4}, XT!U188,XT!Y188,XT!AC188,XT!AG188))=5), 0), 0)), "")</f>
        <v/>
      </c>
      <c r="S188" s="12" t="str">
        <f>IF(XT!$P188&gt;0,R188,"")</f>
        <v/>
      </c>
      <c r="T188" s="12" t="str">
        <f>IF(XT!$P188=0,R188,"")</f>
        <v/>
      </c>
      <c r="U188">
        <f>SUMPRODUCT((MONTH(CHOOSE({1,2,3,4},XT!U188,XT!Y188,XT!AC188,XT!AG188))=6)*(CHOOSE({1,2,3,4},XT!X188,XT!AB188,XT!AF188,XT!AJ188)))</f>
        <v>0</v>
      </c>
      <c r="V188" t="str">
        <f>IFERROR(INDEX(CHOOSE({1,2,3,4}, DAY(XT!U188), DAY(XT!Y188), DAY(XT!AC188), DAY(XT!AG188)), MATCH(1, INDEX(--(MONTH(CHOOSE({1,2,3,4}, XT!U188,XT!Y188,XT!AC188,XT!AG188))=6), 0), 0)), "")</f>
        <v/>
      </c>
      <c r="W188" s="12" t="str">
        <f>IF(XT!$P188&gt;0,V188,"")</f>
        <v/>
      </c>
      <c r="X188" s="12" t="str">
        <f>IF(XT!$P188=0,V188,"")</f>
        <v/>
      </c>
      <c r="Y188">
        <f>SUMPRODUCT((MONTH(CHOOSE({1,2,3,4},XT!U188,XT!Y188,XT!AC188,XT!AG188))=7)*(CHOOSE({1,2,3,4},XT!X188,XT!AB188,XT!AF188,XT!AJ188)))</f>
        <v>0</v>
      </c>
      <c r="Z188" t="str">
        <f>IFERROR(INDEX(CHOOSE({1,2,3,4}, DAY(XT!U188), DAY(XT!Y188), DAY(XT!AC188), DAY(XT!AG188)), MATCH(1, INDEX(--(MONTH(CHOOSE({1,2,3,4}, XT!U188,XT!Y188,XT!AC188,XT!AG188))=7), 0), 0)), "")</f>
        <v/>
      </c>
      <c r="AA188" s="12" t="str">
        <f>IF(XT!$P188&gt;0,Z188,"")</f>
        <v/>
      </c>
      <c r="AB188" s="12" t="str">
        <f>IF(XT!$P188=0,Z188,"")</f>
        <v/>
      </c>
      <c r="AC188">
        <f>SUMPRODUCT((MONTH(CHOOSE({1,2,3,4},XT!U188,XT!Y188,XT!AC188,XT!AG188))=8)*(CHOOSE({1,2,3,4},XT!X188,XT!AB188,XT!AF188,XT!AJ188)))</f>
        <v>0</v>
      </c>
      <c r="AD188" t="str">
        <f>IFERROR(INDEX(CHOOSE({1,2,3,4}, DAY(XT!U188), DAY(XT!Y188), DAY(XT!AC188), DAY(XT!AG188)), MATCH(1, INDEX(--(MONTH(CHOOSE({1,2,3,4}, XT!U188,XT!Y188,XT!AC188,XT!AG188))=8), 0), 0)), "")</f>
        <v/>
      </c>
      <c r="AE188" s="12" t="str">
        <f>IF(XT!$P188&gt;0,AD188,"")</f>
        <v/>
      </c>
      <c r="AF188" s="12" t="str">
        <f>IF(XT!$P188=0,AD188,"")</f>
        <v/>
      </c>
      <c r="AG188">
        <f>SUMPRODUCT((MONTH(CHOOSE({1,2,3,4},XT!U188,XT!Y188,XT!AC188,XT!AG188))=9)*(CHOOSE({1,2,3,4},XT!X188,XT!AB188,XT!AF188,XT!AJ188)))</f>
        <v>0</v>
      </c>
      <c r="AH188" t="str">
        <f>IFERROR(INDEX(CHOOSE({1,2,3,4}, DAY(XT!U188), DAY(XT!Y188), DAY(XT!AC188), DAY(XT!AG188)), MATCH(1, INDEX(--(MONTH(CHOOSE({1,2,3,4}, XT!U188,XT!Y188,XT!AC188,XT!AG188))=9), 0), 0)), "")</f>
        <v/>
      </c>
      <c r="AI188" s="12" t="str">
        <f>IF(XT!$P188&gt;0,AH188,"")</f>
        <v/>
      </c>
      <c r="AJ188" s="12" t="str">
        <f>IF(XT!$P188=0,AH188,"")</f>
        <v/>
      </c>
      <c r="AK188">
        <f>SUMPRODUCT((MONTH(CHOOSE({1,2,3,4},XT!U188,XT!Y188,XT!AC188,XT!AG188))=10)*(CHOOSE({1,2,3,4},XT!X188,XT!AB188,XT!AF188,XT!AJ188)))</f>
        <v>0</v>
      </c>
      <c r="AL188" t="str">
        <f>IFERROR(INDEX(CHOOSE({1,2,3,4}, DAY(XT!U188), DAY(XT!Y188), DAY(XT!AC188), DAY(XT!AG188)), MATCH(1, INDEX(--(MONTH(CHOOSE({1,2,3,4}, XT!U188,XT!Y188,XT!AC188,XT!AG188))=10), 0), 0)), "")</f>
        <v/>
      </c>
      <c r="AM188" s="12" t="str">
        <f>IF(XT!$P188&gt;0,AL188,"")</f>
        <v/>
      </c>
      <c r="AN188" s="12" t="str">
        <f>IF(XT!$P188=0,AL188,"")</f>
        <v/>
      </c>
      <c r="AO188">
        <f>SUMPRODUCT((MONTH(CHOOSE({1,2,3,4},XT!U188,XT!Y188,XT!AC188,XT!AG188))=11)*(CHOOSE({1,2,3,4},XT!X188,XT!AB188,XT!AF188,XT!AJ188)))</f>
        <v>0</v>
      </c>
      <c r="AP188" t="str">
        <f>IFERROR(INDEX(CHOOSE({1,2,3,4}, DAY(XT!U188), DAY(XT!Y188), DAY(XT!AC188), DAY(XT!AG188)), MATCH(1, INDEX(--(MONTH(CHOOSE({1,2,3,4}, XT!U188,XT!Y188,XT!AC188,XT!AG188))=11), 0), 0)), "")</f>
        <v/>
      </c>
      <c r="AQ188" s="12" t="str">
        <f>IF(XT!$P188&gt;0,AP188,"")</f>
        <v/>
      </c>
      <c r="AR188" s="12" t="str">
        <f>IF(XT!$P188=0,AP188,"")</f>
        <v/>
      </c>
      <c r="AS188">
        <f>SUMPRODUCT((MONTH(CHOOSE({1,2,3,4},XT!U188,XT!Y188,XT!AC188,XT!AG188))=12)*(CHOOSE({1,2,3,4},XT!X188,XT!AB188,XT!AF188,XT!AJ188)))</f>
        <v>0</v>
      </c>
      <c r="AT188" t="str">
        <f>IFERROR(INDEX(CHOOSE({1,2,3,4}, DAY(XT!U188), DAY(XT!Y188), DAY(XT!AC188), DAY(XT!AG188)), MATCH(1, INDEX(--(MONTH(CHOOSE({1,2,3,4}, XT!U188,XT!Y188,XT!AC188,XT!AG188))=12), 0), 0)), "")</f>
        <v/>
      </c>
      <c r="AU188" s="12" t="str">
        <f>IF(XT!$P188&gt;0,AT188,"")</f>
        <v/>
      </c>
      <c r="AV188" s="12" t="str">
        <f>IF(XT!$P188=0,AT188,"")</f>
        <v/>
      </c>
    </row>
    <row r="189" spans="1:48">
      <c r="A189">
        <f>SUMPRODUCT((MONTH(CHOOSE({1,2,3,4},XT!U189,XT!Y189,XT!AC189,XT!AG189))=1)*(CHOOSE({1,2,3,4},XT!X189,XT!AB189,XT!AF189,XT!AJ189)))</f>
        <v>0</v>
      </c>
      <c r="B189">
        <f>IFERROR(INDEX(CHOOSE({1,2,3,4}, DAY(XT!U189), DAY(XT!Y189), DAY(XT!AC189), DAY(XT!AG189)), MATCH(1, INDEX(--(MONTH(CHOOSE({1,2,3,4}, XT!U189,XT!Y189,XT!AC189,XT!AG189))=1), 0), 0)), "")</f>
        <v>0</v>
      </c>
      <c r="C189" s="12" t="str">
        <f>IF(XT!$P189&gt;0,B189,"")</f>
        <v/>
      </c>
      <c r="D189" s="12">
        <f>IF(XT!$P189=0,B189,"")</f>
        <v>0</v>
      </c>
      <c r="E189">
        <f>SUMPRODUCT((MONTH(CHOOSE({1,2,3,4},XT!U189,XT!Y189,XT!AC189,XT!AG189))=2)*(CHOOSE({1,2,3,4},XT!X189,XT!AB189,XT!AF189,XT!AJ189)))</f>
        <v>0</v>
      </c>
      <c r="F189" t="str">
        <f>IFERROR(INDEX(CHOOSE({1,2,3,4}, DAY(XT!U189), DAY(XT!Y189), DAY(XT!AC189), DAY(XT!AG189)), MATCH(1, INDEX(--(MONTH(CHOOSE({1,2,3,4}, XT!U189,XT!Y189,XT!AC189,XT!AG189))=2), 0), 0)), "")</f>
        <v/>
      </c>
      <c r="G189" s="12" t="str">
        <f>IF(XT!$P189&gt;0,F189,"")</f>
        <v/>
      </c>
      <c r="H189" s="12" t="str">
        <f>IF(XT!$P189=0,F189,"")</f>
        <v/>
      </c>
      <c r="I189">
        <f>SUMPRODUCT((MONTH(CHOOSE({1,2,3,4},XT!U189,XT!Y189,XT!AC189,XT!AG189))=3)*(CHOOSE({1,2,3,4},XT!X189,XT!AB189,XT!AF189,XT!AJ189)))</f>
        <v>0</v>
      </c>
      <c r="J189" t="str">
        <f>IFERROR(INDEX(CHOOSE({1,2,3,4}, DAY(XT!U189), DAY(XT!Y189), DAY(XT!AC189), DAY(XT!AG189)), MATCH(1, INDEX(--(MONTH(CHOOSE({1,2,3,4}, XT!U189,XT!Y189,XT!AC189,XT!AG189))=3), 0), 0)), "")</f>
        <v/>
      </c>
      <c r="K189" s="12" t="str">
        <f>IF(XT!$P189&gt;0,J189,"")</f>
        <v/>
      </c>
      <c r="L189" s="12" t="str">
        <f>IF(XT!$P189=0,J189,"")</f>
        <v/>
      </c>
      <c r="M189">
        <f>SUMPRODUCT((MONTH(CHOOSE({1,2,3,4},XT!U189,XT!Y189,XT!AC189,XT!AG189))=4)*(CHOOSE({1,2,3,4},XT!X189,XT!AB189,XT!AF189,XT!AJ189)))</f>
        <v>0</v>
      </c>
      <c r="N189" t="str">
        <f>IFERROR(INDEX(CHOOSE({1,2,3,4}, DAY(XT!U189), DAY(XT!Y189), DAY(XT!AC189), DAY(XT!AG189)), MATCH(1, INDEX(--(MONTH(CHOOSE({1,2,3,4}, XT!U189,XT!Y189,XT!AC189,XT!AG189))=4), 0), 0)), "")</f>
        <v/>
      </c>
      <c r="O189" s="12" t="str">
        <f>IF(XT!$P189&gt;0,N189,"")</f>
        <v/>
      </c>
      <c r="P189" s="12" t="str">
        <f>IF(XT!$P189=0,N189,"")</f>
        <v/>
      </c>
      <c r="Q189">
        <f>SUMPRODUCT((MONTH(CHOOSE({1,2,3,4},XT!U189,XT!Y189,XT!AC189,XT!AG189))=5)*(CHOOSE({1,2,3,4},XT!X189,XT!AB189,XT!AF189,XT!AJ189)))</f>
        <v>0</v>
      </c>
      <c r="R189" t="str">
        <f>IFERROR(INDEX(CHOOSE({1,2,3,4}, DAY(XT!U189), DAY(XT!Y189), DAY(XT!AC189), DAY(XT!AG189)), MATCH(1, INDEX(--(MONTH(CHOOSE({1,2,3,4}, XT!U189,XT!Y189,XT!AC189,XT!AG189))=5), 0), 0)), "")</f>
        <v/>
      </c>
      <c r="S189" s="12" t="str">
        <f>IF(XT!$P189&gt;0,R189,"")</f>
        <v/>
      </c>
      <c r="T189" s="12" t="str">
        <f>IF(XT!$P189=0,R189,"")</f>
        <v/>
      </c>
      <c r="U189">
        <f>SUMPRODUCT((MONTH(CHOOSE({1,2,3,4},XT!U189,XT!Y189,XT!AC189,XT!AG189))=6)*(CHOOSE({1,2,3,4},XT!X189,XT!AB189,XT!AF189,XT!AJ189)))</f>
        <v>0</v>
      </c>
      <c r="V189" t="str">
        <f>IFERROR(INDEX(CHOOSE({1,2,3,4}, DAY(XT!U189), DAY(XT!Y189), DAY(XT!AC189), DAY(XT!AG189)), MATCH(1, INDEX(--(MONTH(CHOOSE({1,2,3,4}, XT!U189,XT!Y189,XT!AC189,XT!AG189))=6), 0), 0)), "")</f>
        <v/>
      </c>
      <c r="W189" s="12" t="str">
        <f>IF(XT!$P189&gt;0,V189,"")</f>
        <v/>
      </c>
      <c r="X189" s="12" t="str">
        <f>IF(XT!$P189=0,V189,"")</f>
        <v/>
      </c>
      <c r="Y189">
        <f>SUMPRODUCT((MONTH(CHOOSE({1,2,3,4},XT!U189,XT!Y189,XT!AC189,XT!AG189))=7)*(CHOOSE({1,2,3,4},XT!X189,XT!AB189,XT!AF189,XT!AJ189)))</f>
        <v>0</v>
      </c>
      <c r="Z189" t="str">
        <f>IFERROR(INDEX(CHOOSE({1,2,3,4}, DAY(XT!U189), DAY(XT!Y189), DAY(XT!AC189), DAY(XT!AG189)), MATCH(1, INDEX(--(MONTH(CHOOSE({1,2,3,4}, XT!U189,XT!Y189,XT!AC189,XT!AG189))=7), 0), 0)), "")</f>
        <v/>
      </c>
      <c r="AA189" s="12" t="str">
        <f>IF(XT!$P189&gt;0,Z189,"")</f>
        <v/>
      </c>
      <c r="AB189" s="12" t="str">
        <f>IF(XT!$P189=0,Z189,"")</f>
        <v/>
      </c>
      <c r="AC189">
        <f>SUMPRODUCT((MONTH(CHOOSE({1,2,3,4},XT!U189,XT!Y189,XT!AC189,XT!AG189))=8)*(CHOOSE({1,2,3,4},XT!X189,XT!AB189,XT!AF189,XT!AJ189)))</f>
        <v>0</v>
      </c>
      <c r="AD189" t="str">
        <f>IFERROR(INDEX(CHOOSE({1,2,3,4}, DAY(XT!U189), DAY(XT!Y189), DAY(XT!AC189), DAY(XT!AG189)), MATCH(1, INDEX(--(MONTH(CHOOSE({1,2,3,4}, XT!U189,XT!Y189,XT!AC189,XT!AG189))=8), 0), 0)), "")</f>
        <v/>
      </c>
      <c r="AE189" s="12" t="str">
        <f>IF(XT!$P189&gt;0,AD189,"")</f>
        <v/>
      </c>
      <c r="AF189" s="12" t="str">
        <f>IF(XT!$P189=0,AD189,"")</f>
        <v/>
      </c>
      <c r="AG189">
        <f>SUMPRODUCT((MONTH(CHOOSE({1,2,3,4},XT!U189,XT!Y189,XT!AC189,XT!AG189))=9)*(CHOOSE({1,2,3,4},XT!X189,XT!AB189,XT!AF189,XT!AJ189)))</f>
        <v>0</v>
      </c>
      <c r="AH189" t="str">
        <f>IFERROR(INDEX(CHOOSE({1,2,3,4}, DAY(XT!U189), DAY(XT!Y189), DAY(XT!AC189), DAY(XT!AG189)), MATCH(1, INDEX(--(MONTH(CHOOSE({1,2,3,4}, XT!U189,XT!Y189,XT!AC189,XT!AG189))=9), 0), 0)), "")</f>
        <v/>
      </c>
      <c r="AI189" s="12" t="str">
        <f>IF(XT!$P189&gt;0,AH189,"")</f>
        <v/>
      </c>
      <c r="AJ189" s="12" t="str">
        <f>IF(XT!$P189=0,AH189,"")</f>
        <v/>
      </c>
      <c r="AK189">
        <f>SUMPRODUCT((MONTH(CHOOSE({1,2,3,4},XT!U189,XT!Y189,XT!AC189,XT!AG189))=10)*(CHOOSE({1,2,3,4},XT!X189,XT!AB189,XT!AF189,XT!AJ189)))</f>
        <v>0</v>
      </c>
      <c r="AL189" t="str">
        <f>IFERROR(INDEX(CHOOSE({1,2,3,4}, DAY(XT!U189), DAY(XT!Y189), DAY(XT!AC189), DAY(XT!AG189)), MATCH(1, INDEX(--(MONTH(CHOOSE({1,2,3,4}, XT!U189,XT!Y189,XT!AC189,XT!AG189))=10), 0), 0)), "")</f>
        <v/>
      </c>
      <c r="AM189" s="12" t="str">
        <f>IF(XT!$P189&gt;0,AL189,"")</f>
        <v/>
      </c>
      <c r="AN189" s="12" t="str">
        <f>IF(XT!$P189=0,AL189,"")</f>
        <v/>
      </c>
      <c r="AO189">
        <f>SUMPRODUCT((MONTH(CHOOSE({1,2,3,4},XT!U189,XT!Y189,XT!AC189,XT!AG189))=11)*(CHOOSE({1,2,3,4},XT!X189,XT!AB189,XT!AF189,XT!AJ189)))</f>
        <v>0</v>
      </c>
      <c r="AP189" t="str">
        <f>IFERROR(INDEX(CHOOSE({1,2,3,4}, DAY(XT!U189), DAY(XT!Y189), DAY(XT!AC189), DAY(XT!AG189)), MATCH(1, INDEX(--(MONTH(CHOOSE({1,2,3,4}, XT!U189,XT!Y189,XT!AC189,XT!AG189))=11), 0), 0)), "")</f>
        <v/>
      </c>
      <c r="AQ189" s="12" t="str">
        <f>IF(XT!$P189&gt;0,AP189,"")</f>
        <v/>
      </c>
      <c r="AR189" s="12" t="str">
        <f>IF(XT!$P189=0,AP189,"")</f>
        <v/>
      </c>
      <c r="AS189">
        <f>SUMPRODUCT((MONTH(CHOOSE({1,2,3,4},XT!U189,XT!Y189,XT!AC189,XT!AG189))=12)*(CHOOSE({1,2,3,4},XT!X189,XT!AB189,XT!AF189,XT!AJ189)))</f>
        <v>0</v>
      </c>
      <c r="AT189" t="str">
        <f>IFERROR(INDEX(CHOOSE({1,2,3,4}, DAY(XT!U189), DAY(XT!Y189), DAY(XT!AC189), DAY(XT!AG189)), MATCH(1, INDEX(--(MONTH(CHOOSE({1,2,3,4}, XT!U189,XT!Y189,XT!AC189,XT!AG189))=12), 0), 0)), "")</f>
        <v/>
      </c>
      <c r="AU189" s="12" t="str">
        <f>IF(XT!$P189&gt;0,AT189,"")</f>
        <v/>
      </c>
      <c r="AV189" s="12" t="str">
        <f>IF(XT!$P189=0,AT189,"")</f>
        <v/>
      </c>
    </row>
    <row r="190" spans="1:48">
      <c r="A190">
        <f>SUMPRODUCT((MONTH(CHOOSE({1,2,3,4},XT!U190,XT!Y190,XT!AC190,XT!AG190))=1)*(CHOOSE({1,2,3,4},XT!X190,XT!AB190,XT!AF190,XT!AJ190)))</f>
        <v>0</v>
      </c>
      <c r="B190">
        <f>IFERROR(INDEX(CHOOSE({1,2,3,4}, DAY(XT!U190), DAY(XT!Y190), DAY(XT!AC190), DAY(XT!AG190)), MATCH(1, INDEX(--(MONTH(CHOOSE({1,2,3,4}, XT!U190,XT!Y190,XT!AC190,XT!AG190))=1), 0), 0)), "")</f>
        <v>0</v>
      </c>
      <c r="C190" s="12" t="str">
        <f>IF(XT!$P190&gt;0,B190,"")</f>
        <v/>
      </c>
      <c r="D190" s="12">
        <f>IF(XT!$P190=0,B190,"")</f>
        <v>0</v>
      </c>
      <c r="E190">
        <f>SUMPRODUCT((MONTH(CHOOSE({1,2,3,4},XT!U190,XT!Y190,XT!AC190,XT!AG190))=2)*(CHOOSE({1,2,3,4},XT!X190,XT!AB190,XT!AF190,XT!AJ190)))</f>
        <v>0</v>
      </c>
      <c r="F190" t="str">
        <f>IFERROR(INDEX(CHOOSE({1,2,3,4}, DAY(XT!U190), DAY(XT!Y190), DAY(XT!AC190), DAY(XT!AG190)), MATCH(1, INDEX(--(MONTH(CHOOSE({1,2,3,4}, XT!U190,XT!Y190,XT!AC190,XT!AG190))=2), 0), 0)), "")</f>
        <v/>
      </c>
      <c r="G190" s="12" t="str">
        <f>IF(XT!$P190&gt;0,F190,"")</f>
        <v/>
      </c>
      <c r="H190" s="12" t="str">
        <f>IF(XT!$P190=0,F190,"")</f>
        <v/>
      </c>
      <c r="I190">
        <f>SUMPRODUCT((MONTH(CHOOSE({1,2,3,4},XT!U190,XT!Y190,XT!AC190,XT!AG190))=3)*(CHOOSE({1,2,3,4},XT!X190,XT!AB190,XT!AF190,XT!AJ190)))</f>
        <v>0</v>
      </c>
      <c r="J190" t="str">
        <f>IFERROR(INDEX(CHOOSE({1,2,3,4}, DAY(XT!U190), DAY(XT!Y190), DAY(XT!AC190), DAY(XT!AG190)), MATCH(1, INDEX(--(MONTH(CHOOSE({1,2,3,4}, XT!U190,XT!Y190,XT!AC190,XT!AG190))=3), 0), 0)), "")</f>
        <v/>
      </c>
      <c r="K190" s="12" t="str">
        <f>IF(XT!$P190&gt;0,J190,"")</f>
        <v/>
      </c>
      <c r="L190" s="12" t="str">
        <f>IF(XT!$P190=0,J190,"")</f>
        <v/>
      </c>
      <c r="M190">
        <f>SUMPRODUCT((MONTH(CHOOSE({1,2,3,4},XT!U190,XT!Y190,XT!AC190,XT!AG190))=4)*(CHOOSE({1,2,3,4},XT!X190,XT!AB190,XT!AF190,XT!AJ190)))</f>
        <v>0</v>
      </c>
      <c r="N190" t="str">
        <f>IFERROR(INDEX(CHOOSE({1,2,3,4}, DAY(XT!U190), DAY(XT!Y190), DAY(XT!AC190), DAY(XT!AG190)), MATCH(1, INDEX(--(MONTH(CHOOSE({1,2,3,4}, XT!U190,XT!Y190,XT!AC190,XT!AG190))=4), 0), 0)), "")</f>
        <v/>
      </c>
      <c r="O190" s="12" t="str">
        <f>IF(XT!$P190&gt;0,N190,"")</f>
        <v/>
      </c>
      <c r="P190" s="12" t="str">
        <f>IF(XT!$P190=0,N190,"")</f>
        <v/>
      </c>
      <c r="Q190">
        <f>SUMPRODUCT((MONTH(CHOOSE({1,2,3,4},XT!U190,XT!Y190,XT!AC190,XT!AG190))=5)*(CHOOSE({1,2,3,4},XT!X190,XT!AB190,XT!AF190,XT!AJ190)))</f>
        <v>0</v>
      </c>
      <c r="R190" t="str">
        <f>IFERROR(INDEX(CHOOSE({1,2,3,4}, DAY(XT!U190), DAY(XT!Y190), DAY(XT!AC190), DAY(XT!AG190)), MATCH(1, INDEX(--(MONTH(CHOOSE({1,2,3,4}, XT!U190,XT!Y190,XT!AC190,XT!AG190))=5), 0), 0)), "")</f>
        <v/>
      </c>
      <c r="S190" s="12" t="str">
        <f>IF(XT!$P190&gt;0,R190,"")</f>
        <v/>
      </c>
      <c r="T190" s="12" t="str">
        <f>IF(XT!$P190=0,R190,"")</f>
        <v/>
      </c>
      <c r="U190">
        <f>SUMPRODUCT((MONTH(CHOOSE({1,2,3,4},XT!U190,XT!Y190,XT!AC190,XT!AG190))=6)*(CHOOSE({1,2,3,4},XT!X190,XT!AB190,XT!AF190,XT!AJ190)))</f>
        <v>0</v>
      </c>
      <c r="V190" t="str">
        <f>IFERROR(INDEX(CHOOSE({1,2,3,4}, DAY(XT!U190), DAY(XT!Y190), DAY(XT!AC190), DAY(XT!AG190)), MATCH(1, INDEX(--(MONTH(CHOOSE({1,2,3,4}, XT!U190,XT!Y190,XT!AC190,XT!AG190))=6), 0), 0)), "")</f>
        <v/>
      </c>
      <c r="W190" s="12" t="str">
        <f>IF(XT!$P190&gt;0,V190,"")</f>
        <v/>
      </c>
      <c r="X190" s="12" t="str">
        <f>IF(XT!$P190=0,V190,"")</f>
        <v/>
      </c>
      <c r="Y190">
        <f>SUMPRODUCT((MONTH(CHOOSE({1,2,3,4},XT!U190,XT!Y190,XT!AC190,XT!AG190))=7)*(CHOOSE({1,2,3,4},XT!X190,XT!AB190,XT!AF190,XT!AJ190)))</f>
        <v>0</v>
      </c>
      <c r="Z190" t="str">
        <f>IFERROR(INDEX(CHOOSE({1,2,3,4}, DAY(XT!U190), DAY(XT!Y190), DAY(XT!AC190), DAY(XT!AG190)), MATCH(1, INDEX(--(MONTH(CHOOSE({1,2,3,4}, XT!U190,XT!Y190,XT!AC190,XT!AG190))=7), 0), 0)), "")</f>
        <v/>
      </c>
      <c r="AA190" s="12" t="str">
        <f>IF(XT!$P190&gt;0,Z190,"")</f>
        <v/>
      </c>
      <c r="AB190" s="12" t="str">
        <f>IF(XT!$P190=0,Z190,"")</f>
        <v/>
      </c>
      <c r="AC190">
        <f>SUMPRODUCT((MONTH(CHOOSE({1,2,3,4},XT!U190,XT!Y190,XT!AC190,XT!AG190))=8)*(CHOOSE({1,2,3,4},XT!X190,XT!AB190,XT!AF190,XT!AJ190)))</f>
        <v>0</v>
      </c>
      <c r="AD190" t="str">
        <f>IFERROR(INDEX(CHOOSE({1,2,3,4}, DAY(XT!U190), DAY(XT!Y190), DAY(XT!AC190), DAY(XT!AG190)), MATCH(1, INDEX(--(MONTH(CHOOSE({1,2,3,4}, XT!U190,XT!Y190,XT!AC190,XT!AG190))=8), 0), 0)), "")</f>
        <v/>
      </c>
      <c r="AE190" s="12" t="str">
        <f>IF(XT!$P190&gt;0,AD190,"")</f>
        <v/>
      </c>
      <c r="AF190" s="12" t="str">
        <f>IF(XT!$P190=0,AD190,"")</f>
        <v/>
      </c>
      <c r="AG190">
        <f>SUMPRODUCT((MONTH(CHOOSE({1,2,3,4},XT!U190,XT!Y190,XT!AC190,XT!AG190))=9)*(CHOOSE({1,2,3,4},XT!X190,XT!AB190,XT!AF190,XT!AJ190)))</f>
        <v>0</v>
      </c>
      <c r="AH190" t="str">
        <f>IFERROR(INDEX(CHOOSE({1,2,3,4}, DAY(XT!U190), DAY(XT!Y190), DAY(XT!AC190), DAY(XT!AG190)), MATCH(1, INDEX(--(MONTH(CHOOSE({1,2,3,4}, XT!U190,XT!Y190,XT!AC190,XT!AG190))=9), 0), 0)), "")</f>
        <v/>
      </c>
      <c r="AI190" s="12" t="str">
        <f>IF(XT!$P190&gt;0,AH190,"")</f>
        <v/>
      </c>
      <c r="AJ190" s="12" t="str">
        <f>IF(XT!$P190=0,AH190,"")</f>
        <v/>
      </c>
      <c r="AK190">
        <f>SUMPRODUCT((MONTH(CHOOSE({1,2,3,4},XT!U190,XT!Y190,XT!AC190,XT!AG190))=10)*(CHOOSE({1,2,3,4},XT!X190,XT!AB190,XT!AF190,XT!AJ190)))</f>
        <v>0</v>
      </c>
      <c r="AL190" t="str">
        <f>IFERROR(INDEX(CHOOSE({1,2,3,4}, DAY(XT!U190), DAY(XT!Y190), DAY(XT!AC190), DAY(XT!AG190)), MATCH(1, INDEX(--(MONTH(CHOOSE({1,2,3,4}, XT!U190,XT!Y190,XT!AC190,XT!AG190))=10), 0), 0)), "")</f>
        <v/>
      </c>
      <c r="AM190" s="12" t="str">
        <f>IF(XT!$P190&gt;0,AL190,"")</f>
        <v/>
      </c>
      <c r="AN190" s="12" t="str">
        <f>IF(XT!$P190=0,AL190,"")</f>
        <v/>
      </c>
      <c r="AO190">
        <f>SUMPRODUCT((MONTH(CHOOSE({1,2,3,4},XT!U190,XT!Y190,XT!AC190,XT!AG190))=11)*(CHOOSE({1,2,3,4},XT!X190,XT!AB190,XT!AF190,XT!AJ190)))</f>
        <v>0</v>
      </c>
      <c r="AP190" t="str">
        <f>IFERROR(INDEX(CHOOSE({1,2,3,4}, DAY(XT!U190), DAY(XT!Y190), DAY(XT!AC190), DAY(XT!AG190)), MATCH(1, INDEX(--(MONTH(CHOOSE({1,2,3,4}, XT!U190,XT!Y190,XT!AC190,XT!AG190))=11), 0), 0)), "")</f>
        <v/>
      </c>
      <c r="AQ190" s="12" t="str">
        <f>IF(XT!$P190&gt;0,AP190,"")</f>
        <v/>
      </c>
      <c r="AR190" s="12" t="str">
        <f>IF(XT!$P190=0,AP190,"")</f>
        <v/>
      </c>
      <c r="AS190">
        <f>SUMPRODUCT((MONTH(CHOOSE({1,2,3,4},XT!U190,XT!Y190,XT!AC190,XT!AG190))=12)*(CHOOSE({1,2,3,4},XT!X190,XT!AB190,XT!AF190,XT!AJ190)))</f>
        <v>0</v>
      </c>
      <c r="AT190" t="str">
        <f>IFERROR(INDEX(CHOOSE({1,2,3,4}, DAY(XT!U190), DAY(XT!Y190), DAY(XT!AC190), DAY(XT!AG190)), MATCH(1, INDEX(--(MONTH(CHOOSE({1,2,3,4}, XT!U190,XT!Y190,XT!AC190,XT!AG190))=12), 0), 0)), "")</f>
        <v/>
      </c>
      <c r="AU190" s="12" t="str">
        <f>IF(XT!$P190&gt;0,AT190,"")</f>
        <v/>
      </c>
      <c r="AV190" s="12" t="str">
        <f>IF(XT!$P190=0,AT190,"")</f>
        <v/>
      </c>
    </row>
    <row r="191" spans="1:48">
      <c r="A191">
        <f>SUMPRODUCT((MONTH(CHOOSE({1,2,3,4},XT!U191,XT!Y191,XT!AC191,XT!AG191))=1)*(CHOOSE({1,2,3,4},XT!X191,XT!AB191,XT!AF191,XT!AJ191)))</f>
        <v>0</v>
      </c>
      <c r="B191">
        <f>IFERROR(INDEX(CHOOSE({1,2,3,4}, DAY(XT!U191), DAY(XT!Y191), DAY(XT!AC191), DAY(XT!AG191)), MATCH(1, INDEX(--(MONTH(CHOOSE({1,2,3,4}, XT!U191,XT!Y191,XT!AC191,XT!AG191))=1), 0), 0)), "")</f>
        <v>0</v>
      </c>
      <c r="C191" s="12" t="str">
        <f>IF(XT!$P191&gt;0,B191,"")</f>
        <v/>
      </c>
      <c r="D191" s="12">
        <f>IF(XT!$P191=0,B191,"")</f>
        <v>0</v>
      </c>
      <c r="E191">
        <f>SUMPRODUCT((MONTH(CHOOSE({1,2,3,4},XT!U191,XT!Y191,XT!AC191,XT!AG191))=2)*(CHOOSE({1,2,3,4},XT!X191,XT!AB191,XT!AF191,XT!AJ191)))</f>
        <v>0</v>
      </c>
      <c r="F191" t="str">
        <f>IFERROR(INDEX(CHOOSE({1,2,3,4}, DAY(XT!U191), DAY(XT!Y191), DAY(XT!AC191), DAY(XT!AG191)), MATCH(1, INDEX(--(MONTH(CHOOSE({1,2,3,4}, XT!U191,XT!Y191,XT!AC191,XT!AG191))=2), 0), 0)), "")</f>
        <v/>
      </c>
      <c r="G191" s="12" t="str">
        <f>IF(XT!$P191&gt;0,F191,"")</f>
        <v/>
      </c>
      <c r="H191" s="12" t="str">
        <f>IF(XT!$P191=0,F191,"")</f>
        <v/>
      </c>
      <c r="I191">
        <f>SUMPRODUCT((MONTH(CHOOSE({1,2,3,4},XT!U191,XT!Y191,XT!AC191,XT!AG191))=3)*(CHOOSE({1,2,3,4},XT!X191,XT!AB191,XT!AF191,XT!AJ191)))</f>
        <v>0</v>
      </c>
      <c r="J191" t="str">
        <f>IFERROR(INDEX(CHOOSE({1,2,3,4}, DAY(XT!U191), DAY(XT!Y191), DAY(XT!AC191), DAY(XT!AG191)), MATCH(1, INDEX(--(MONTH(CHOOSE({1,2,3,4}, XT!U191,XT!Y191,XT!AC191,XT!AG191))=3), 0), 0)), "")</f>
        <v/>
      </c>
      <c r="K191" s="12" t="str">
        <f>IF(XT!$P191&gt;0,J191,"")</f>
        <v/>
      </c>
      <c r="L191" s="12" t="str">
        <f>IF(XT!$P191=0,J191,"")</f>
        <v/>
      </c>
      <c r="M191">
        <f>SUMPRODUCT((MONTH(CHOOSE({1,2,3,4},XT!U191,XT!Y191,XT!AC191,XT!AG191))=4)*(CHOOSE({1,2,3,4},XT!X191,XT!AB191,XT!AF191,XT!AJ191)))</f>
        <v>0</v>
      </c>
      <c r="N191" t="str">
        <f>IFERROR(INDEX(CHOOSE({1,2,3,4}, DAY(XT!U191), DAY(XT!Y191), DAY(XT!AC191), DAY(XT!AG191)), MATCH(1, INDEX(--(MONTH(CHOOSE({1,2,3,4}, XT!U191,XT!Y191,XT!AC191,XT!AG191))=4), 0), 0)), "")</f>
        <v/>
      </c>
      <c r="O191" s="12" t="str">
        <f>IF(XT!$P191&gt;0,N191,"")</f>
        <v/>
      </c>
      <c r="P191" s="12" t="str">
        <f>IF(XT!$P191=0,N191,"")</f>
        <v/>
      </c>
      <c r="Q191">
        <f>SUMPRODUCT((MONTH(CHOOSE({1,2,3,4},XT!U191,XT!Y191,XT!AC191,XT!AG191))=5)*(CHOOSE({1,2,3,4},XT!X191,XT!AB191,XT!AF191,XT!AJ191)))</f>
        <v>0</v>
      </c>
      <c r="R191" t="str">
        <f>IFERROR(INDEX(CHOOSE({1,2,3,4}, DAY(XT!U191), DAY(XT!Y191), DAY(XT!AC191), DAY(XT!AG191)), MATCH(1, INDEX(--(MONTH(CHOOSE({1,2,3,4}, XT!U191,XT!Y191,XT!AC191,XT!AG191))=5), 0), 0)), "")</f>
        <v/>
      </c>
      <c r="S191" s="12" t="str">
        <f>IF(XT!$P191&gt;0,R191,"")</f>
        <v/>
      </c>
      <c r="T191" s="12" t="str">
        <f>IF(XT!$P191=0,R191,"")</f>
        <v/>
      </c>
      <c r="U191">
        <f>SUMPRODUCT((MONTH(CHOOSE({1,2,3,4},XT!U191,XT!Y191,XT!AC191,XT!AG191))=6)*(CHOOSE({1,2,3,4},XT!X191,XT!AB191,XT!AF191,XT!AJ191)))</f>
        <v>0</v>
      </c>
      <c r="V191" t="str">
        <f>IFERROR(INDEX(CHOOSE({1,2,3,4}, DAY(XT!U191), DAY(XT!Y191), DAY(XT!AC191), DAY(XT!AG191)), MATCH(1, INDEX(--(MONTH(CHOOSE({1,2,3,4}, XT!U191,XT!Y191,XT!AC191,XT!AG191))=6), 0), 0)), "")</f>
        <v/>
      </c>
      <c r="W191" s="12" t="str">
        <f>IF(XT!$P191&gt;0,V191,"")</f>
        <v/>
      </c>
      <c r="X191" s="12" t="str">
        <f>IF(XT!$P191=0,V191,"")</f>
        <v/>
      </c>
      <c r="Y191">
        <f>SUMPRODUCT((MONTH(CHOOSE({1,2,3,4},XT!U191,XT!Y191,XT!AC191,XT!AG191))=7)*(CHOOSE({1,2,3,4},XT!X191,XT!AB191,XT!AF191,XT!AJ191)))</f>
        <v>0</v>
      </c>
      <c r="Z191" t="str">
        <f>IFERROR(INDEX(CHOOSE({1,2,3,4}, DAY(XT!U191), DAY(XT!Y191), DAY(XT!AC191), DAY(XT!AG191)), MATCH(1, INDEX(--(MONTH(CHOOSE({1,2,3,4}, XT!U191,XT!Y191,XT!AC191,XT!AG191))=7), 0), 0)), "")</f>
        <v/>
      </c>
      <c r="AA191" s="12" t="str">
        <f>IF(XT!$P191&gt;0,Z191,"")</f>
        <v/>
      </c>
      <c r="AB191" s="12" t="str">
        <f>IF(XT!$P191=0,Z191,"")</f>
        <v/>
      </c>
      <c r="AC191">
        <f>SUMPRODUCT((MONTH(CHOOSE({1,2,3,4},XT!U191,XT!Y191,XT!AC191,XT!AG191))=8)*(CHOOSE({1,2,3,4},XT!X191,XT!AB191,XT!AF191,XT!AJ191)))</f>
        <v>0</v>
      </c>
      <c r="AD191" t="str">
        <f>IFERROR(INDEX(CHOOSE({1,2,3,4}, DAY(XT!U191), DAY(XT!Y191), DAY(XT!AC191), DAY(XT!AG191)), MATCH(1, INDEX(--(MONTH(CHOOSE({1,2,3,4}, XT!U191,XT!Y191,XT!AC191,XT!AG191))=8), 0), 0)), "")</f>
        <v/>
      </c>
      <c r="AE191" s="12" t="str">
        <f>IF(XT!$P191&gt;0,AD191,"")</f>
        <v/>
      </c>
      <c r="AF191" s="12" t="str">
        <f>IF(XT!$P191=0,AD191,"")</f>
        <v/>
      </c>
      <c r="AG191">
        <f>SUMPRODUCT((MONTH(CHOOSE({1,2,3,4},XT!U191,XT!Y191,XT!AC191,XT!AG191))=9)*(CHOOSE({1,2,3,4},XT!X191,XT!AB191,XT!AF191,XT!AJ191)))</f>
        <v>0</v>
      </c>
      <c r="AH191" t="str">
        <f>IFERROR(INDEX(CHOOSE({1,2,3,4}, DAY(XT!U191), DAY(XT!Y191), DAY(XT!AC191), DAY(XT!AG191)), MATCH(1, INDEX(--(MONTH(CHOOSE({1,2,3,4}, XT!U191,XT!Y191,XT!AC191,XT!AG191))=9), 0), 0)), "")</f>
        <v/>
      </c>
      <c r="AI191" s="12" t="str">
        <f>IF(XT!$P191&gt;0,AH191,"")</f>
        <v/>
      </c>
      <c r="AJ191" s="12" t="str">
        <f>IF(XT!$P191=0,AH191,"")</f>
        <v/>
      </c>
      <c r="AK191">
        <f>SUMPRODUCT((MONTH(CHOOSE({1,2,3,4},XT!U191,XT!Y191,XT!AC191,XT!AG191))=10)*(CHOOSE({1,2,3,4},XT!X191,XT!AB191,XT!AF191,XT!AJ191)))</f>
        <v>0</v>
      </c>
      <c r="AL191" t="str">
        <f>IFERROR(INDEX(CHOOSE({1,2,3,4}, DAY(XT!U191), DAY(XT!Y191), DAY(XT!AC191), DAY(XT!AG191)), MATCH(1, INDEX(--(MONTH(CHOOSE({1,2,3,4}, XT!U191,XT!Y191,XT!AC191,XT!AG191))=10), 0), 0)), "")</f>
        <v/>
      </c>
      <c r="AM191" s="12" t="str">
        <f>IF(XT!$P191&gt;0,AL191,"")</f>
        <v/>
      </c>
      <c r="AN191" s="12" t="str">
        <f>IF(XT!$P191=0,AL191,"")</f>
        <v/>
      </c>
      <c r="AO191">
        <f>SUMPRODUCT((MONTH(CHOOSE({1,2,3,4},XT!U191,XT!Y191,XT!AC191,XT!AG191))=11)*(CHOOSE({1,2,3,4},XT!X191,XT!AB191,XT!AF191,XT!AJ191)))</f>
        <v>0</v>
      </c>
      <c r="AP191" t="str">
        <f>IFERROR(INDEX(CHOOSE({1,2,3,4}, DAY(XT!U191), DAY(XT!Y191), DAY(XT!AC191), DAY(XT!AG191)), MATCH(1, INDEX(--(MONTH(CHOOSE({1,2,3,4}, XT!U191,XT!Y191,XT!AC191,XT!AG191))=11), 0), 0)), "")</f>
        <v/>
      </c>
      <c r="AQ191" s="12" t="str">
        <f>IF(XT!$P191&gt;0,AP191,"")</f>
        <v/>
      </c>
      <c r="AR191" s="12" t="str">
        <f>IF(XT!$P191=0,AP191,"")</f>
        <v/>
      </c>
      <c r="AS191">
        <f>SUMPRODUCT((MONTH(CHOOSE({1,2,3,4},XT!U191,XT!Y191,XT!AC191,XT!AG191))=12)*(CHOOSE({1,2,3,4},XT!X191,XT!AB191,XT!AF191,XT!AJ191)))</f>
        <v>0</v>
      </c>
      <c r="AT191" t="str">
        <f>IFERROR(INDEX(CHOOSE({1,2,3,4}, DAY(XT!U191), DAY(XT!Y191), DAY(XT!AC191), DAY(XT!AG191)), MATCH(1, INDEX(--(MONTH(CHOOSE({1,2,3,4}, XT!U191,XT!Y191,XT!AC191,XT!AG191))=12), 0), 0)), "")</f>
        <v/>
      </c>
      <c r="AU191" s="12" t="str">
        <f>IF(XT!$P191&gt;0,AT191,"")</f>
        <v/>
      </c>
      <c r="AV191" s="12" t="str">
        <f>IF(XT!$P191=0,AT191,"")</f>
        <v/>
      </c>
    </row>
    <row r="192" spans="1:48">
      <c r="A192">
        <f>SUMPRODUCT((MONTH(CHOOSE({1,2,3,4},XT!U192,XT!Y192,XT!AC192,XT!AG192))=1)*(CHOOSE({1,2,3,4},XT!X192,XT!AB192,XT!AF192,XT!AJ192)))</f>
        <v>0</v>
      </c>
      <c r="B192">
        <f>IFERROR(INDEX(CHOOSE({1,2,3,4}, DAY(XT!U192), DAY(XT!Y192), DAY(XT!AC192), DAY(XT!AG192)), MATCH(1, INDEX(--(MONTH(CHOOSE({1,2,3,4}, XT!U192,XT!Y192,XT!AC192,XT!AG192))=1), 0), 0)), "")</f>
        <v>0</v>
      </c>
      <c r="C192" s="12" t="str">
        <f>IF(XT!$P192&gt;0,B192,"")</f>
        <v/>
      </c>
      <c r="D192" s="12">
        <f>IF(XT!$P192=0,B192,"")</f>
        <v>0</v>
      </c>
      <c r="E192">
        <f>SUMPRODUCT((MONTH(CHOOSE({1,2,3,4},XT!U192,XT!Y192,XT!AC192,XT!AG192))=2)*(CHOOSE({1,2,3,4},XT!X192,XT!AB192,XT!AF192,XT!AJ192)))</f>
        <v>0</v>
      </c>
      <c r="F192" t="str">
        <f>IFERROR(INDEX(CHOOSE({1,2,3,4}, DAY(XT!U192), DAY(XT!Y192), DAY(XT!AC192), DAY(XT!AG192)), MATCH(1, INDEX(--(MONTH(CHOOSE({1,2,3,4}, XT!U192,XT!Y192,XT!AC192,XT!AG192))=2), 0), 0)), "")</f>
        <v/>
      </c>
      <c r="G192" s="12" t="str">
        <f>IF(XT!$P192&gt;0,F192,"")</f>
        <v/>
      </c>
      <c r="H192" s="12" t="str">
        <f>IF(XT!$P192=0,F192,"")</f>
        <v/>
      </c>
      <c r="I192">
        <f>SUMPRODUCT((MONTH(CHOOSE({1,2,3,4},XT!U192,XT!Y192,XT!AC192,XT!AG192))=3)*(CHOOSE({1,2,3,4},XT!X192,XT!AB192,XT!AF192,XT!AJ192)))</f>
        <v>0</v>
      </c>
      <c r="J192" t="str">
        <f>IFERROR(INDEX(CHOOSE({1,2,3,4}, DAY(XT!U192), DAY(XT!Y192), DAY(XT!AC192), DAY(XT!AG192)), MATCH(1, INDEX(--(MONTH(CHOOSE({1,2,3,4}, XT!U192,XT!Y192,XT!AC192,XT!AG192))=3), 0), 0)), "")</f>
        <v/>
      </c>
      <c r="K192" s="12" t="str">
        <f>IF(XT!$P192&gt;0,J192,"")</f>
        <v/>
      </c>
      <c r="L192" s="12" t="str">
        <f>IF(XT!$P192=0,J192,"")</f>
        <v/>
      </c>
      <c r="M192">
        <f>SUMPRODUCT((MONTH(CHOOSE({1,2,3,4},XT!U192,XT!Y192,XT!AC192,XT!AG192))=4)*(CHOOSE({1,2,3,4},XT!X192,XT!AB192,XT!AF192,XT!AJ192)))</f>
        <v>0</v>
      </c>
      <c r="N192" t="str">
        <f>IFERROR(INDEX(CHOOSE({1,2,3,4}, DAY(XT!U192), DAY(XT!Y192), DAY(XT!AC192), DAY(XT!AG192)), MATCH(1, INDEX(--(MONTH(CHOOSE({1,2,3,4}, XT!U192,XT!Y192,XT!AC192,XT!AG192))=4), 0), 0)), "")</f>
        <v/>
      </c>
      <c r="O192" s="12" t="str">
        <f>IF(XT!$P192&gt;0,N192,"")</f>
        <v/>
      </c>
      <c r="P192" s="12" t="str">
        <f>IF(XT!$P192=0,N192,"")</f>
        <v/>
      </c>
      <c r="Q192">
        <f>SUMPRODUCT((MONTH(CHOOSE({1,2,3,4},XT!U192,XT!Y192,XT!AC192,XT!AG192))=5)*(CHOOSE({1,2,3,4},XT!X192,XT!AB192,XT!AF192,XT!AJ192)))</f>
        <v>0</v>
      </c>
      <c r="R192" t="str">
        <f>IFERROR(INDEX(CHOOSE({1,2,3,4}, DAY(XT!U192), DAY(XT!Y192), DAY(XT!AC192), DAY(XT!AG192)), MATCH(1, INDEX(--(MONTH(CHOOSE({1,2,3,4}, XT!U192,XT!Y192,XT!AC192,XT!AG192))=5), 0), 0)), "")</f>
        <v/>
      </c>
      <c r="S192" s="12" t="str">
        <f>IF(XT!$P192&gt;0,R192,"")</f>
        <v/>
      </c>
      <c r="T192" s="12" t="str">
        <f>IF(XT!$P192=0,R192,"")</f>
        <v/>
      </c>
      <c r="U192">
        <f>SUMPRODUCT((MONTH(CHOOSE({1,2,3,4},XT!U192,XT!Y192,XT!AC192,XT!AG192))=6)*(CHOOSE({1,2,3,4},XT!X192,XT!AB192,XT!AF192,XT!AJ192)))</f>
        <v>0</v>
      </c>
      <c r="V192" t="str">
        <f>IFERROR(INDEX(CHOOSE({1,2,3,4}, DAY(XT!U192), DAY(XT!Y192), DAY(XT!AC192), DAY(XT!AG192)), MATCH(1, INDEX(--(MONTH(CHOOSE({1,2,3,4}, XT!U192,XT!Y192,XT!AC192,XT!AG192))=6), 0), 0)), "")</f>
        <v/>
      </c>
      <c r="W192" s="12" t="str">
        <f>IF(XT!$P192&gt;0,V192,"")</f>
        <v/>
      </c>
      <c r="X192" s="12" t="str">
        <f>IF(XT!$P192=0,V192,"")</f>
        <v/>
      </c>
      <c r="Y192">
        <f>SUMPRODUCT((MONTH(CHOOSE({1,2,3,4},XT!U192,XT!Y192,XT!AC192,XT!AG192))=7)*(CHOOSE({1,2,3,4},XT!X192,XT!AB192,XT!AF192,XT!AJ192)))</f>
        <v>0</v>
      </c>
      <c r="Z192" t="str">
        <f>IFERROR(INDEX(CHOOSE({1,2,3,4}, DAY(XT!U192), DAY(XT!Y192), DAY(XT!AC192), DAY(XT!AG192)), MATCH(1, INDEX(--(MONTH(CHOOSE({1,2,3,4}, XT!U192,XT!Y192,XT!AC192,XT!AG192))=7), 0), 0)), "")</f>
        <v/>
      </c>
      <c r="AA192" s="12" t="str">
        <f>IF(XT!$P192&gt;0,Z192,"")</f>
        <v/>
      </c>
      <c r="AB192" s="12" t="str">
        <f>IF(XT!$P192=0,Z192,"")</f>
        <v/>
      </c>
      <c r="AC192">
        <f>SUMPRODUCT((MONTH(CHOOSE({1,2,3,4},XT!U192,XT!Y192,XT!AC192,XT!AG192))=8)*(CHOOSE({1,2,3,4},XT!X192,XT!AB192,XT!AF192,XT!AJ192)))</f>
        <v>0</v>
      </c>
      <c r="AD192" t="str">
        <f>IFERROR(INDEX(CHOOSE({1,2,3,4}, DAY(XT!U192), DAY(XT!Y192), DAY(XT!AC192), DAY(XT!AG192)), MATCH(1, INDEX(--(MONTH(CHOOSE({1,2,3,4}, XT!U192,XT!Y192,XT!AC192,XT!AG192))=8), 0), 0)), "")</f>
        <v/>
      </c>
      <c r="AE192" s="12" t="str">
        <f>IF(XT!$P192&gt;0,AD192,"")</f>
        <v/>
      </c>
      <c r="AF192" s="12" t="str">
        <f>IF(XT!$P192=0,AD192,"")</f>
        <v/>
      </c>
      <c r="AG192">
        <f>SUMPRODUCT((MONTH(CHOOSE({1,2,3,4},XT!U192,XT!Y192,XT!AC192,XT!AG192))=9)*(CHOOSE({1,2,3,4},XT!X192,XT!AB192,XT!AF192,XT!AJ192)))</f>
        <v>0</v>
      </c>
      <c r="AH192" t="str">
        <f>IFERROR(INDEX(CHOOSE({1,2,3,4}, DAY(XT!U192), DAY(XT!Y192), DAY(XT!AC192), DAY(XT!AG192)), MATCH(1, INDEX(--(MONTH(CHOOSE({1,2,3,4}, XT!U192,XT!Y192,XT!AC192,XT!AG192))=9), 0), 0)), "")</f>
        <v/>
      </c>
      <c r="AI192" s="12" t="str">
        <f>IF(XT!$P192&gt;0,AH192,"")</f>
        <v/>
      </c>
      <c r="AJ192" s="12" t="str">
        <f>IF(XT!$P192=0,AH192,"")</f>
        <v/>
      </c>
      <c r="AK192">
        <f>SUMPRODUCT((MONTH(CHOOSE({1,2,3,4},XT!U192,XT!Y192,XT!AC192,XT!AG192))=10)*(CHOOSE({1,2,3,4},XT!X192,XT!AB192,XT!AF192,XT!AJ192)))</f>
        <v>0</v>
      </c>
      <c r="AL192" t="str">
        <f>IFERROR(INDEX(CHOOSE({1,2,3,4}, DAY(XT!U192), DAY(XT!Y192), DAY(XT!AC192), DAY(XT!AG192)), MATCH(1, INDEX(--(MONTH(CHOOSE({1,2,3,4}, XT!U192,XT!Y192,XT!AC192,XT!AG192))=10), 0), 0)), "")</f>
        <v/>
      </c>
      <c r="AM192" s="12" t="str">
        <f>IF(XT!$P192&gt;0,AL192,"")</f>
        <v/>
      </c>
      <c r="AN192" s="12" t="str">
        <f>IF(XT!$P192=0,AL192,"")</f>
        <v/>
      </c>
      <c r="AO192">
        <f>SUMPRODUCT((MONTH(CHOOSE({1,2,3,4},XT!U192,XT!Y192,XT!AC192,XT!AG192))=11)*(CHOOSE({1,2,3,4},XT!X192,XT!AB192,XT!AF192,XT!AJ192)))</f>
        <v>0</v>
      </c>
      <c r="AP192" t="str">
        <f>IFERROR(INDEX(CHOOSE({1,2,3,4}, DAY(XT!U192), DAY(XT!Y192), DAY(XT!AC192), DAY(XT!AG192)), MATCH(1, INDEX(--(MONTH(CHOOSE({1,2,3,4}, XT!U192,XT!Y192,XT!AC192,XT!AG192))=11), 0), 0)), "")</f>
        <v/>
      </c>
      <c r="AQ192" s="12" t="str">
        <f>IF(XT!$P192&gt;0,AP192,"")</f>
        <v/>
      </c>
      <c r="AR192" s="12" t="str">
        <f>IF(XT!$P192=0,AP192,"")</f>
        <v/>
      </c>
      <c r="AS192">
        <f>SUMPRODUCT((MONTH(CHOOSE({1,2,3,4},XT!U192,XT!Y192,XT!AC192,XT!AG192))=12)*(CHOOSE({1,2,3,4},XT!X192,XT!AB192,XT!AF192,XT!AJ192)))</f>
        <v>0</v>
      </c>
      <c r="AT192" t="str">
        <f>IFERROR(INDEX(CHOOSE({1,2,3,4}, DAY(XT!U192), DAY(XT!Y192), DAY(XT!AC192), DAY(XT!AG192)), MATCH(1, INDEX(--(MONTH(CHOOSE({1,2,3,4}, XT!U192,XT!Y192,XT!AC192,XT!AG192))=12), 0), 0)), "")</f>
        <v/>
      </c>
      <c r="AU192" s="12" t="str">
        <f>IF(XT!$P192&gt;0,AT192,"")</f>
        <v/>
      </c>
      <c r="AV192" s="12" t="str">
        <f>IF(XT!$P192=0,AT192,"")</f>
        <v/>
      </c>
    </row>
    <row r="193" spans="1:48">
      <c r="A193">
        <f>SUMPRODUCT((MONTH(CHOOSE({1,2,3,4},XT!U193,XT!Y193,XT!AC193,XT!AG193))=1)*(CHOOSE({1,2,3,4},XT!X193,XT!AB193,XT!AF193,XT!AJ193)))</f>
        <v>0</v>
      </c>
      <c r="B193">
        <f>IFERROR(INDEX(CHOOSE({1,2,3,4}, DAY(XT!U193), DAY(XT!Y193), DAY(XT!AC193), DAY(XT!AG193)), MATCH(1, INDEX(--(MONTH(CHOOSE({1,2,3,4}, XT!U193,XT!Y193,XT!AC193,XT!AG193))=1), 0), 0)), "")</f>
        <v>0</v>
      </c>
      <c r="C193" s="12" t="str">
        <f>IF(XT!$P193&gt;0,B193,"")</f>
        <v/>
      </c>
      <c r="D193" s="12">
        <f>IF(XT!$P193=0,B193,"")</f>
        <v>0</v>
      </c>
      <c r="E193">
        <f>SUMPRODUCT((MONTH(CHOOSE({1,2,3,4},XT!U193,XT!Y193,XT!AC193,XT!AG193))=2)*(CHOOSE({1,2,3,4},XT!X193,XT!AB193,XT!AF193,XT!AJ193)))</f>
        <v>0</v>
      </c>
      <c r="F193" t="str">
        <f>IFERROR(INDEX(CHOOSE({1,2,3,4}, DAY(XT!U193), DAY(XT!Y193), DAY(XT!AC193), DAY(XT!AG193)), MATCH(1, INDEX(--(MONTH(CHOOSE({1,2,3,4}, XT!U193,XT!Y193,XT!AC193,XT!AG193))=2), 0), 0)), "")</f>
        <v/>
      </c>
      <c r="G193" s="12" t="str">
        <f>IF(XT!$P193&gt;0,F193,"")</f>
        <v/>
      </c>
      <c r="H193" s="12" t="str">
        <f>IF(XT!$P193=0,F193,"")</f>
        <v/>
      </c>
      <c r="I193">
        <f>SUMPRODUCT((MONTH(CHOOSE({1,2,3,4},XT!U193,XT!Y193,XT!AC193,XT!AG193))=3)*(CHOOSE({1,2,3,4},XT!X193,XT!AB193,XT!AF193,XT!AJ193)))</f>
        <v>0</v>
      </c>
      <c r="J193" t="str">
        <f>IFERROR(INDEX(CHOOSE({1,2,3,4}, DAY(XT!U193), DAY(XT!Y193), DAY(XT!AC193), DAY(XT!AG193)), MATCH(1, INDEX(--(MONTH(CHOOSE({1,2,3,4}, XT!U193,XT!Y193,XT!AC193,XT!AG193))=3), 0), 0)), "")</f>
        <v/>
      </c>
      <c r="K193" s="12" t="str">
        <f>IF(XT!$P193&gt;0,J193,"")</f>
        <v/>
      </c>
      <c r="L193" s="12" t="str">
        <f>IF(XT!$P193=0,J193,"")</f>
        <v/>
      </c>
      <c r="M193">
        <f>SUMPRODUCT((MONTH(CHOOSE({1,2,3,4},XT!U193,XT!Y193,XT!AC193,XT!AG193))=4)*(CHOOSE({1,2,3,4},XT!X193,XT!AB193,XT!AF193,XT!AJ193)))</f>
        <v>0</v>
      </c>
      <c r="N193" t="str">
        <f>IFERROR(INDEX(CHOOSE({1,2,3,4}, DAY(XT!U193), DAY(XT!Y193), DAY(XT!AC193), DAY(XT!AG193)), MATCH(1, INDEX(--(MONTH(CHOOSE({1,2,3,4}, XT!U193,XT!Y193,XT!AC193,XT!AG193))=4), 0), 0)), "")</f>
        <v/>
      </c>
      <c r="O193" s="12" t="str">
        <f>IF(XT!$P193&gt;0,N193,"")</f>
        <v/>
      </c>
      <c r="P193" s="12" t="str">
        <f>IF(XT!$P193=0,N193,"")</f>
        <v/>
      </c>
      <c r="Q193">
        <f>SUMPRODUCT((MONTH(CHOOSE({1,2,3,4},XT!U193,XT!Y193,XT!AC193,XT!AG193))=5)*(CHOOSE({1,2,3,4},XT!X193,XT!AB193,XT!AF193,XT!AJ193)))</f>
        <v>0</v>
      </c>
      <c r="R193" t="str">
        <f>IFERROR(INDEX(CHOOSE({1,2,3,4}, DAY(XT!U193), DAY(XT!Y193), DAY(XT!AC193), DAY(XT!AG193)), MATCH(1, INDEX(--(MONTH(CHOOSE({1,2,3,4}, XT!U193,XT!Y193,XT!AC193,XT!AG193))=5), 0), 0)), "")</f>
        <v/>
      </c>
      <c r="S193" s="12" t="str">
        <f>IF(XT!$P193&gt;0,R193,"")</f>
        <v/>
      </c>
      <c r="T193" s="12" t="str">
        <f>IF(XT!$P193=0,R193,"")</f>
        <v/>
      </c>
      <c r="U193">
        <f>SUMPRODUCT((MONTH(CHOOSE({1,2,3,4},XT!U193,XT!Y193,XT!AC193,XT!AG193))=6)*(CHOOSE({1,2,3,4},XT!X193,XT!AB193,XT!AF193,XT!AJ193)))</f>
        <v>0</v>
      </c>
      <c r="V193" t="str">
        <f>IFERROR(INDEX(CHOOSE({1,2,3,4}, DAY(XT!U193), DAY(XT!Y193), DAY(XT!AC193), DAY(XT!AG193)), MATCH(1, INDEX(--(MONTH(CHOOSE({1,2,3,4}, XT!U193,XT!Y193,XT!AC193,XT!AG193))=6), 0), 0)), "")</f>
        <v/>
      </c>
      <c r="W193" s="12" t="str">
        <f>IF(XT!$P193&gt;0,V193,"")</f>
        <v/>
      </c>
      <c r="X193" s="12" t="str">
        <f>IF(XT!$P193=0,V193,"")</f>
        <v/>
      </c>
      <c r="Y193">
        <f>SUMPRODUCT((MONTH(CHOOSE({1,2,3,4},XT!U193,XT!Y193,XT!AC193,XT!AG193))=7)*(CHOOSE({1,2,3,4},XT!X193,XT!AB193,XT!AF193,XT!AJ193)))</f>
        <v>0</v>
      </c>
      <c r="Z193" t="str">
        <f>IFERROR(INDEX(CHOOSE({1,2,3,4}, DAY(XT!U193), DAY(XT!Y193), DAY(XT!AC193), DAY(XT!AG193)), MATCH(1, INDEX(--(MONTH(CHOOSE({1,2,3,4}, XT!U193,XT!Y193,XT!AC193,XT!AG193))=7), 0), 0)), "")</f>
        <v/>
      </c>
      <c r="AA193" s="12" t="str">
        <f>IF(XT!$P193&gt;0,Z193,"")</f>
        <v/>
      </c>
      <c r="AB193" s="12" t="str">
        <f>IF(XT!$P193=0,Z193,"")</f>
        <v/>
      </c>
      <c r="AC193">
        <f>SUMPRODUCT((MONTH(CHOOSE({1,2,3,4},XT!U193,XT!Y193,XT!AC193,XT!AG193))=8)*(CHOOSE({1,2,3,4},XT!X193,XT!AB193,XT!AF193,XT!AJ193)))</f>
        <v>0</v>
      </c>
      <c r="AD193" t="str">
        <f>IFERROR(INDEX(CHOOSE({1,2,3,4}, DAY(XT!U193), DAY(XT!Y193), DAY(XT!AC193), DAY(XT!AG193)), MATCH(1, INDEX(--(MONTH(CHOOSE({1,2,3,4}, XT!U193,XT!Y193,XT!AC193,XT!AG193))=8), 0), 0)), "")</f>
        <v/>
      </c>
      <c r="AE193" s="12" t="str">
        <f>IF(XT!$P193&gt;0,AD193,"")</f>
        <v/>
      </c>
      <c r="AF193" s="12" t="str">
        <f>IF(XT!$P193=0,AD193,"")</f>
        <v/>
      </c>
      <c r="AG193">
        <f>SUMPRODUCT((MONTH(CHOOSE({1,2,3,4},XT!U193,XT!Y193,XT!AC193,XT!AG193))=9)*(CHOOSE({1,2,3,4},XT!X193,XT!AB193,XT!AF193,XT!AJ193)))</f>
        <v>0</v>
      </c>
      <c r="AH193" t="str">
        <f>IFERROR(INDEX(CHOOSE({1,2,3,4}, DAY(XT!U193), DAY(XT!Y193), DAY(XT!AC193), DAY(XT!AG193)), MATCH(1, INDEX(--(MONTH(CHOOSE({1,2,3,4}, XT!U193,XT!Y193,XT!AC193,XT!AG193))=9), 0), 0)), "")</f>
        <v/>
      </c>
      <c r="AI193" s="12" t="str">
        <f>IF(XT!$P193&gt;0,AH193,"")</f>
        <v/>
      </c>
      <c r="AJ193" s="12" t="str">
        <f>IF(XT!$P193=0,AH193,"")</f>
        <v/>
      </c>
      <c r="AK193">
        <f>SUMPRODUCT((MONTH(CHOOSE({1,2,3,4},XT!U193,XT!Y193,XT!AC193,XT!AG193))=10)*(CHOOSE({1,2,3,4},XT!X193,XT!AB193,XT!AF193,XT!AJ193)))</f>
        <v>0</v>
      </c>
      <c r="AL193" t="str">
        <f>IFERROR(INDEX(CHOOSE({1,2,3,4}, DAY(XT!U193), DAY(XT!Y193), DAY(XT!AC193), DAY(XT!AG193)), MATCH(1, INDEX(--(MONTH(CHOOSE({1,2,3,4}, XT!U193,XT!Y193,XT!AC193,XT!AG193))=10), 0), 0)), "")</f>
        <v/>
      </c>
      <c r="AM193" s="12" t="str">
        <f>IF(XT!$P193&gt;0,AL193,"")</f>
        <v/>
      </c>
      <c r="AN193" s="12" t="str">
        <f>IF(XT!$P193=0,AL193,"")</f>
        <v/>
      </c>
      <c r="AO193">
        <f>SUMPRODUCT((MONTH(CHOOSE({1,2,3,4},XT!U193,XT!Y193,XT!AC193,XT!AG193))=11)*(CHOOSE({1,2,3,4},XT!X193,XT!AB193,XT!AF193,XT!AJ193)))</f>
        <v>0</v>
      </c>
      <c r="AP193" t="str">
        <f>IFERROR(INDEX(CHOOSE({1,2,3,4}, DAY(XT!U193), DAY(XT!Y193), DAY(XT!AC193), DAY(XT!AG193)), MATCH(1, INDEX(--(MONTH(CHOOSE({1,2,3,4}, XT!U193,XT!Y193,XT!AC193,XT!AG193))=11), 0), 0)), "")</f>
        <v/>
      </c>
      <c r="AQ193" s="12" t="str">
        <f>IF(XT!$P193&gt;0,AP193,"")</f>
        <v/>
      </c>
      <c r="AR193" s="12" t="str">
        <f>IF(XT!$P193=0,AP193,"")</f>
        <v/>
      </c>
      <c r="AS193">
        <f>SUMPRODUCT((MONTH(CHOOSE({1,2,3,4},XT!U193,XT!Y193,XT!AC193,XT!AG193))=12)*(CHOOSE({1,2,3,4},XT!X193,XT!AB193,XT!AF193,XT!AJ193)))</f>
        <v>0</v>
      </c>
      <c r="AT193" t="str">
        <f>IFERROR(INDEX(CHOOSE({1,2,3,4}, DAY(XT!U193), DAY(XT!Y193), DAY(XT!AC193), DAY(XT!AG193)), MATCH(1, INDEX(--(MONTH(CHOOSE({1,2,3,4}, XT!U193,XT!Y193,XT!AC193,XT!AG193))=12), 0), 0)), "")</f>
        <v/>
      </c>
      <c r="AU193" s="12" t="str">
        <f>IF(XT!$P193&gt;0,AT193,"")</f>
        <v/>
      </c>
      <c r="AV193" s="12" t="str">
        <f>IF(XT!$P193=0,AT193,"")</f>
        <v/>
      </c>
    </row>
    <row r="194" spans="1:48">
      <c r="A194">
        <f>SUMPRODUCT((MONTH(CHOOSE({1,2,3,4},XT!U194,XT!Y194,XT!AC194,XT!AG194))=1)*(CHOOSE({1,2,3,4},XT!X194,XT!AB194,XT!AF194,XT!AJ194)))</f>
        <v>0</v>
      </c>
      <c r="B194">
        <f>IFERROR(INDEX(CHOOSE({1,2,3,4}, DAY(XT!U194), DAY(XT!Y194), DAY(XT!AC194), DAY(XT!AG194)), MATCH(1, INDEX(--(MONTH(CHOOSE({1,2,3,4}, XT!U194,XT!Y194,XT!AC194,XT!AG194))=1), 0), 0)), "")</f>
        <v>0</v>
      </c>
      <c r="C194" s="12" t="str">
        <f>IF(XT!$P194&gt;0,B194,"")</f>
        <v/>
      </c>
      <c r="D194" s="12">
        <f>IF(XT!$P194=0,B194,"")</f>
        <v>0</v>
      </c>
      <c r="E194">
        <f>SUMPRODUCT((MONTH(CHOOSE({1,2,3,4},XT!U194,XT!Y194,XT!AC194,XT!AG194))=2)*(CHOOSE({1,2,3,4},XT!X194,XT!AB194,XT!AF194,XT!AJ194)))</f>
        <v>0</v>
      </c>
      <c r="F194" t="str">
        <f>IFERROR(INDEX(CHOOSE({1,2,3,4}, DAY(XT!U194), DAY(XT!Y194), DAY(XT!AC194), DAY(XT!AG194)), MATCH(1, INDEX(--(MONTH(CHOOSE({1,2,3,4}, XT!U194,XT!Y194,XT!AC194,XT!AG194))=2), 0), 0)), "")</f>
        <v/>
      </c>
      <c r="G194" s="12" t="str">
        <f>IF(XT!$P194&gt;0,F194,"")</f>
        <v/>
      </c>
      <c r="H194" s="12" t="str">
        <f>IF(XT!$P194=0,F194,"")</f>
        <v/>
      </c>
      <c r="I194">
        <f>SUMPRODUCT((MONTH(CHOOSE({1,2,3,4},XT!U194,XT!Y194,XT!AC194,XT!AG194))=3)*(CHOOSE({1,2,3,4},XT!X194,XT!AB194,XT!AF194,XT!AJ194)))</f>
        <v>0</v>
      </c>
      <c r="J194" t="str">
        <f>IFERROR(INDEX(CHOOSE({1,2,3,4}, DAY(XT!U194), DAY(XT!Y194), DAY(XT!AC194), DAY(XT!AG194)), MATCH(1, INDEX(--(MONTH(CHOOSE({1,2,3,4}, XT!U194,XT!Y194,XT!AC194,XT!AG194))=3), 0), 0)), "")</f>
        <v/>
      </c>
      <c r="K194" s="12" t="str">
        <f>IF(XT!$P194&gt;0,J194,"")</f>
        <v/>
      </c>
      <c r="L194" s="12" t="str">
        <f>IF(XT!$P194=0,J194,"")</f>
        <v/>
      </c>
      <c r="M194">
        <f>SUMPRODUCT((MONTH(CHOOSE({1,2,3,4},XT!U194,XT!Y194,XT!AC194,XT!AG194))=4)*(CHOOSE({1,2,3,4},XT!X194,XT!AB194,XT!AF194,XT!AJ194)))</f>
        <v>0</v>
      </c>
      <c r="N194" t="str">
        <f>IFERROR(INDEX(CHOOSE({1,2,3,4}, DAY(XT!U194), DAY(XT!Y194), DAY(XT!AC194), DAY(XT!AG194)), MATCH(1, INDEX(--(MONTH(CHOOSE({1,2,3,4}, XT!U194,XT!Y194,XT!AC194,XT!AG194))=4), 0), 0)), "")</f>
        <v/>
      </c>
      <c r="O194" s="12" t="str">
        <f>IF(XT!$P194&gt;0,N194,"")</f>
        <v/>
      </c>
      <c r="P194" s="12" t="str">
        <f>IF(XT!$P194=0,N194,"")</f>
        <v/>
      </c>
      <c r="Q194">
        <f>SUMPRODUCT((MONTH(CHOOSE({1,2,3,4},XT!U194,XT!Y194,XT!AC194,XT!AG194))=5)*(CHOOSE({1,2,3,4},XT!X194,XT!AB194,XT!AF194,XT!AJ194)))</f>
        <v>0</v>
      </c>
      <c r="R194" t="str">
        <f>IFERROR(INDEX(CHOOSE({1,2,3,4}, DAY(XT!U194), DAY(XT!Y194), DAY(XT!AC194), DAY(XT!AG194)), MATCH(1, INDEX(--(MONTH(CHOOSE({1,2,3,4}, XT!U194,XT!Y194,XT!AC194,XT!AG194))=5), 0), 0)), "")</f>
        <v/>
      </c>
      <c r="S194" s="12" t="str">
        <f>IF(XT!$P194&gt;0,R194,"")</f>
        <v/>
      </c>
      <c r="T194" s="12" t="str">
        <f>IF(XT!$P194=0,R194,"")</f>
        <v/>
      </c>
      <c r="U194">
        <f>SUMPRODUCT((MONTH(CHOOSE({1,2,3,4},XT!U194,XT!Y194,XT!AC194,XT!AG194))=6)*(CHOOSE({1,2,3,4},XT!X194,XT!AB194,XT!AF194,XT!AJ194)))</f>
        <v>0</v>
      </c>
      <c r="V194" t="str">
        <f>IFERROR(INDEX(CHOOSE({1,2,3,4}, DAY(XT!U194), DAY(XT!Y194), DAY(XT!AC194), DAY(XT!AG194)), MATCH(1, INDEX(--(MONTH(CHOOSE({1,2,3,4}, XT!U194,XT!Y194,XT!AC194,XT!AG194))=6), 0), 0)), "")</f>
        <v/>
      </c>
      <c r="W194" s="12" t="str">
        <f>IF(XT!$P194&gt;0,V194,"")</f>
        <v/>
      </c>
      <c r="X194" s="12" t="str">
        <f>IF(XT!$P194=0,V194,"")</f>
        <v/>
      </c>
      <c r="Y194">
        <f>SUMPRODUCT((MONTH(CHOOSE({1,2,3,4},XT!U194,XT!Y194,XT!AC194,XT!AG194))=7)*(CHOOSE({1,2,3,4},XT!X194,XT!AB194,XT!AF194,XT!AJ194)))</f>
        <v>0</v>
      </c>
      <c r="Z194" t="str">
        <f>IFERROR(INDEX(CHOOSE({1,2,3,4}, DAY(XT!U194), DAY(XT!Y194), DAY(XT!AC194), DAY(XT!AG194)), MATCH(1, INDEX(--(MONTH(CHOOSE({1,2,3,4}, XT!U194,XT!Y194,XT!AC194,XT!AG194))=7), 0), 0)), "")</f>
        <v/>
      </c>
      <c r="AA194" s="12" t="str">
        <f>IF(XT!$P194&gt;0,Z194,"")</f>
        <v/>
      </c>
      <c r="AB194" s="12" t="str">
        <f>IF(XT!$P194=0,Z194,"")</f>
        <v/>
      </c>
      <c r="AC194">
        <f>SUMPRODUCT((MONTH(CHOOSE({1,2,3,4},XT!U194,XT!Y194,XT!AC194,XT!AG194))=8)*(CHOOSE({1,2,3,4},XT!X194,XT!AB194,XT!AF194,XT!AJ194)))</f>
        <v>0</v>
      </c>
      <c r="AD194" t="str">
        <f>IFERROR(INDEX(CHOOSE({1,2,3,4}, DAY(XT!U194), DAY(XT!Y194), DAY(XT!AC194), DAY(XT!AG194)), MATCH(1, INDEX(--(MONTH(CHOOSE({1,2,3,4}, XT!U194,XT!Y194,XT!AC194,XT!AG194))=8), 0), 0)), "")</f>
        <v/>
      </c>
      <c r="AE194" s="12" t="str">
        <f>IF(XT!$P194&gt;0,AD194,"")</f>
        <v/>
      </c>
      <c r="AF194" s="12" t="str">
        <f>IF(XT!$P194=0,AD194,"")</f>
        <v/>
      </c>
      <c r="AG194">
        <f>SUMPRODUCT((MONTH(CHOOSE({1,2,3,4},XT!U194,XT!Y194,XT!AC194,XT!AG194))=9)*(CHOOSE({1,2,3,4},XT!X194,XT!AB194,XT!AF194,XT!AJ194)))</f>
        <v>0</v>
      </c>
      <c r="AH194" t="str">
        <f>IFERROR(INDEX(CHOOSE({1,2,3,4}, DAY(XT!U194), DAY(XT!Y194), DAY(XT!AC194), DAY(XT!AG194)), MATCH(1, INDEX(--(MONTH(CHOOSE({1,2,3,4}, XT!U194,XT!Y194,XT!AC194,XT!AG194))=9), 0), 0)), "")</f>
        <v/>
      </c>
      <c r="AI194" s="12" t="str">
        <f>IF(XT!$P194&gt;0,AH194,"")</f>
        <v/>
      </c>
      <c r="AJ194" s="12" t="str">
        <f>IF(XT!$P194=0,AH194,"")</f>
        <v/>
      </c>
      <c r="AK194">
        <f>SUMPRODUCT((MONTH(CHOOSE({1,2,3,4},XT!U194,XT!Y194,XT!AC194,XT!AG194))=10)*(CHOOSE({1,2,3,4},XT!X194,XT!AB194,XT!AF194,XT!AJ194)))</f>
        <v>0</v>
      </c>
      <c r="AL194" t="str">
        <f>IFERROR(INDEX(CHOOSE({1,2,3,4}, DAY(XT!U194), DAY(XT!Y194), DAY(XT!AC194), DAY(XT!AG194)), MATCH(1, INDEX(--(MONTH(CHOOSE({1,2,3,4}, XT!U194,XT!Y194,XT!AC194,XT!AG194))=10), 0), 0)), "")</f>
        <v/>
      </c>
      <c r="AM194" s="12" t="str">
        <f>IF(XT!$P194&gt;0,AL194,"")</f>
        <v/>
      </c>
      <c r="AN194" s="12" t="str">
        <f>IF(XT!$P194=0,AL194,"")</f>
        <v/>
      </c>
      <c r="AO194">
        <f>SUMPRODUCT((MONTH(CHOOSE({1,2,3,4},XT!U194,XT!Y194,XT!AC194,XT!AG194))=11)*(CHOOSE({1,2,3,4},XT!X194,XT!AB194,XT!AF194,XT!AJ194)))</f>
        <v>0</v>
      </c>
      <c r="AP194" t="str">
        <f>IFERROR(INDEX(CHOOSE({1,2,3,4}, DAY(XT!U194), DAY(XT!Y194), DAY(XT!AC194), DAY(XT!AG194)), MATCH(1, INDEX(--(MONTH(CHOOSE({1,2,3,4}, XT!U194,XT!Y194,XT!AC194,XT!AG194))=11), 0), 0)), "")</f>
        <v/>
      </c>
      <c r="AQ194" s="12" t="str">
        <f>IF(XT!$P194&gt;0,AP194,"")</f>
        <v/>
      </c>
      <c r="AR194" s="12" t="str">
        <f>IF(XT!$P194=0,AP194,"")</f>
        <v/>
      </c>
      <c r="AS194">
        <f>SUMPRODUCT((MONTH(CHOOSE({1,2,3,4},XT!U194,XT!Y194,XT!AC194,XT!AG194))=12)*(CHOOSE({1,2,3,4},XT!X194,XT!AB194,XT!AF194,XT!AJ194)))</f>
        <v>0</v>
      </c>
      <c r="AT194" t="str">
        <f>IFERROR(INDEX(CHOOSE({1,2,3,4}, DAY(XT!U194), DAY(XT!Y194), DAY(XT!AC194), DAY(XT!AG194)), MATCH(1, INDEX(--(MONTH(CHOOSE({1,2,3,4}, XT!U194,XT!Y194,XT!AC194,XT!AG194))=12), 0), 0)), "")</f>
        <v/>
      </c>
      <c r="AU194" s="12" t="str">
        <f>IF(XT!$P194&gt;0,AT194,"")</f>
        <v/>
      </c>
      <c r="AV194" s="12" t="str">
        <f>IF(XT!$P194=0,AT194,"")</f>
        <v/>
      </c>
    </row>
    <row r="195" spans="1:48">
      <c r="A195">
        <f>SUMPRODUCT((MONTH(CHOOSE({1,2,3,4},XT!U195,XT!Y195,XT!AC195,XT!AG195))=1)*(CHOOSE({1,2,3,4},XT!X195,XT!AB195,XT!AF195,XT!AJ195)))</f>
        <v>0</v>
      </c>
      <c r="B195">
        <f>IFERROR(INDEX(CHOOSE({1,2,3,4}, DAY(XT!U195), DAY(XT!Y195), DAY(XT!AC195), DAY(XT!AG195)), MATCH(1, INDEX(--(MONTH(CHOOSE({1,2,3,4}, XT!U195,XT!Y195,XT!AC195,XT!AG195))=1), 0), 0)), "")</f>
        <v>0</v>
      </c>
      <c r="C195" s="12" t="str">
        <f>IF(XT!$P195&gt;0,B195,"")</f>
        <v/>
      </c>
      <c r="D195" s="12">
        <f>IF(XT!$P195=0,B195,"")</f>
        <v>0</v>
      </c>
      <c r="E195">
        <f>SUMPRODUCT((MONTH(CHOOSE({1,2,3,4},XT!U195,XT!Y195,XT!AC195,XT!AG195))=2)*(CHOOSE({1,2,3,4},XT!X195,XT!AB195,XT!AF195,XT!AJ195)))</f>
        <v>0</v>
      </c>
      <c r="F195" t="str">
        <f>IFERROR(INDEX(CHOOSE({1,2,3,4}, DAY(XT!U195), DAY(XT!Y195), DAY(XT!AC195), DAY(XT!AG195)), MATCH(1, INDEX(--(MONTH(CHOOSE({1,2,3,4}, XT!U195,XT!Y195,XT!AC195,XT!AG195))=2), 0), 0)), "")</f>
        <v/>
      </c>
      <c r="G195" s="12" t="str">
        <f>IF(XT!$P195&gt;0,F195,"")</f>
        <v/>
      </c>
      <c r="H195" s="12" t="str">
        <f>IF(XT!$P195=0,F195,"")</f>
        <v/>
      </c>
      <c r="I195">
        <f>SUMPRODUCT((MONTH(CHOOSE({1,2,3,4},XT!U195,XT!Y195,XT!AC195,XT!AG195))=3)*(CHOOSE({1,2,3,4},XT!X195,XT!AB195,XT!AF195,XT!AJ195)))</f>
        <v>0</v>
      </c>
      <c r="J195" t="str">
        <f>IFERROR(INDEX(CHOOSE({1,2,3,4}, DAY(XT!U195), DAY(XT!Y195), DAY(XT!AC195), DAY(XT!AG195)), MATCH(1, INDEX(--(MONTH(CHOOSE({1,2,3,4}, XT!U195,XT!Y195,XT!AC195,XT!AG195))=3), 0), 0)), "")</f>
        <v/>
      </c>
      <c r="K195" s="12" t="str">
        <f>IF(XT!$P195&gt;0,J195,"")</f>
        <v/>
      </c>
      <c r="L195" s="12" t="str">
        <f>IF(XT!$P195=0,J195,"")</f>
        <v/>
      </c>
      <c r="M195">
        <f>SUMPRODUCT((MONTH(CHOOSE({1,2,3,4},XT!U195,XT!Y195,XT!AC195,XT!AG195))=4)*(CHOOSE({1,2,3,4},XT!X195,XT!AB195,XT!AF195,XT!AJ195)))</f>
        <v>0</v>
      </c>
      <c r="N195" t="str">
        <f>IFERROR(INDEX(CHOOSE({1,2,3,4}, DAY(XT!U195), DAY(XT!Y195), DAY(XT!AC195), DAY(XT!AG195)), MATCH(1, INDEX(--(MONTH(CHOOSE({1,2,3,4}, XT!U195,XT!Y195,XT!AC195,XT!AG195))=4), 0), 0)), "")</f>
        <v/>
      </c>
      <c r="O195" s="12" t="str">
        <f>IF(XT!$P195&gt;0,N195,"")</f>
        <v/>
      </c>
      <c r="P195" s="12" t="str">
        <f>IF(XT!$P195=0,N195,"")</f>
        <v/>
      </c>
      <c r="Q195">
        <f>SUMPRODUCT((MONTH(CHOOSE({1,2,3,4},XT!U195,XT!Y195,XT!AC195,XT!AG195))=5)*(CHOOSE({1,2,3,4},XT!X195,XT!AB195,XT!AF195,XT!AJ195)))</f>
        <v>0</v>
      </c>
      <c r="R195" t="str">
        <f>IFERROR(INDEX(CHOOSE({1,2,3,4}, DAY(XT!U195), DAY(XT!Y195), DAY(XT!AC195), DAY(XT!AG195)), MATCH(1, INDEX(--(MONTH(CHOOSE({1,2,3,4}, XT!U195,XT!Y195,XT!AC195,XT!AG195))=5), 0), 0)), "")</f>
        <v/>
      </c>
      <c r="S195" s="12" t="str">
        <f>IF(XT!$P195&gt;0,R195,"")</f>
        <v/>
      </c>
      <c r="T195" s="12" t="str">
        <f>IF(XT!$P195=0,R195,"")</f>
        <v/>
      </c>
      <c r="U195">
        <f>SUMPRODUCT((MONTH(CHOOSE({1,2,3,4},XT!U195,XT!Y195,XT!AC195,XT!AG195))=6)*(CHOOSE({1,2,3,4},XT!X195,XT!AB195,XT!AF195,XT!AJ195)))</f>
        <v>0</v>
      </c>
      <c r="V195" t="str">
        <f>IFERROR(INDEX(CHOOSE({1,2,3,4}, DAY(XT!U195), DAY(XT!Y195), DAY(XT!AC195), DAY(XT!AG195)), MATCH(1, INDEX(--(MONTH(CHOOSE({1,2,3,4}, XT!U195,XT!Y195,XT!AC195,XT!AG195))=6), 0), 0)), "")</f>
        <v/>
      </c>
      <c r="W195" s="12" t="str">
        <f>IF(XT!$P195&gt;0,V195,"")</f>
        <v/>
      </c>
      <c r="X195" s="12" t="str">
        <f>IF(XT!$P195=0,V195,"")</f>
        <v/>
      </c>
      <c r="Y195">
        <f>SUMPRODUCT((MONTH(CHOOSE({1,2,3,4},XT!U195,XT!Y195,XT!AC195,XT!AG195))=7)*(CHOOSE({1,2,3,4},XT!X195,XT!AB195,XT!AF195,XT!AJ195)))</f>
        <v>0</v>
      </c>
      <c r="Z195" t="str">
        <f>IFERROR(INDEX(CHOOSE({1,2,3,4}, DAY(XT!U195), DAY(XT!Y195), DAY(XT!AC195), DAY(XT!AG195)), MATCH(1, INDEX(--(MONTH(CHOOSE({1,2,3,4}, XT!U195,XT!Y195,XT!AC195,XT!AG195))=7), 0), 0)), "")</f>
        <v/>
      </c>
      <c r="AA195" s="12" t="str">
        <f>IF(XT!$P195&gt;0,Z195,"")</f>
        <v/>
      </c>
      <c r="AB195" s="12" t="str">
        <f>IF(XT!$P195=0,Z195,"")</f>
        <v/>
      </c>
      <c r="AC195">
        <f>SUMPRODUCT((MONTH(CHOOSE({1,2,3,4},XT!U195,XT!Y195,XT!AC195,XT!AG195))=8)*(CHOOSE({1,2,3,4},XT!X195,XT!AB195,XT!AF195,XT!AJ195)))</f>
        <v>0</v>
      </c>
      <c r="AD195" t="str">
        <f>IFERROR(INDEX(CHOOSE({1,2,3,4}, DAY(XT!U195), DAY(XT!Y195), DAY(XT!AC195), DAY(XT!AG195)), MATCH(1, INDEX(--(MONTH(CHOOSE({1,2,3,4}, XT!U195,XT!Y195,XT!AC195,XT!AG195))=8), 0), 0)), "")</f>
        <v/>
      </c>
      <c r="AE195" s="12" t="str">
        <f>IF(XT!$P195&gt;0,AD195,"")</f>
        <v/>
      </c>
      <c r="AF195" s="12" t="str">
        <f>IF(XT!$P195=0,AD195,"")</f>
        <v/>
      </c>
      <c r="AG195">
        <f>SUMPRODUCT((MONTH(CHOOSE({1,2,3,4},XT!U195,XT!Y195,XT!AC195,XT!AG195))=9)*(CHOOSE({1,2,3,4},XT!X195,XT!AB195,XT!AF195,XT!AJ195)))</f>
        <v>0</v>
      </c>
      <c r="AH195" t="str">
        <f>IFERROR(INDEX(CHOOSE({1,2,3,4}, DAY(XT!U195), DAY(XT!Y195), DAY(XT!AC195), DAY(XT!AG195)), MATCH(1, INDEX(--(MONTH(CHOOSE({1,2,3,4}, XT!U195,XT!Y195,XT!AC195,XT!AG195))=9), 0), 0)), "")</f>
        <v/>
      </c>
      <c r="AI195" s="12" t="str">
        <f>IF(XT!$P195&gt;0,AH195,"")</f>
        <v/>
      </c>
      <c r="AJ195" s="12" t="str">
        <f>IF(XT!$P195=0,AH195,"")</f>
        <v/>
      </c>
      <c r="AK195">
        <f>SUMPRODUCT((MONTH(CHOOSE({1,2,3,4},XT!U195,XT!Y195,XT!AC195,XT!AG195))=10)*(CHOOSE({1,2,3,4},XT!X195,XT!AB195,XT!AF195,XT!AJ195)))</f>
        <v>0</v>
      </c>
      <c r="AL195" t="str">
        <f>IFERROR(INDEX(CHOOSE({1,2,3,4}, DAY(XT!U195), DAY(XT!Y195), DAY(XT!AC195), DAY(XT!AG195)), MATCH(1, INDEX(--(MONTH(CHOOSE({1,2,3,4}, XT!U195,XT!Y195,XT!AC195,XT!AG195))=10), 0), 0)), "")</f>
        <v/>
      </c>
      <c r="AM195" s="12" t="str">
        <f>IF(XT!$P195&gt;0,AL195,"")</f>
        <v/>
      </c>
      <c r="AN195" s="12" t="str">
        <f>IF(XT!$P195=0,AL195,"")</f>
        <v/>
      </c>
      <c r="AO195">
        <f>SUMPRODUCT((MONTH(CHOOSE({1,2,3,4},XT!U195,XT!Y195,XT!AC195,XT!AG195))=11)*(CHOOSE({1,2,3,4},XT!X195,XT!AB195,XT!AF195,XT!AJ195)))</f>
        <v>0</v>
      </c>
      <c r="AP195" t="str">
        <f>IFERROR(INDEX(CHOOSE({1,2,3,4}, DAY(XT!U195), DAY(XT!Y195), DAY(XT!AC195), DAY(XT!AG195)), MATCH(1, INDEX(--(MONTH(CHOOSE({1,2,3,4}, XT!U195,XT!Y195,XT!AC195,XT!AG195))=11), 0), 0)), "")</f>
        <v/>
      </c>
      <c r="AQ195" s="12" t="str">
        <f>IF(XT!$P195&gt;0,AP195,"")</f>
        <v/>
      </c>
      <c r="AR195" s="12" t="str">
        <f>IF(XT!$P195=0,AP195,"")</f>
        <v/>
      </c>
      <c r="AS195">
        <f>SUMPRODUCT((MONTH(CHOOSE({1,2,3,4},XT!U195,XT!Y195,XT!AC195,XT!AG195))=12)*(CHOOSE({1,2,3,4},XT!X195,XT!AB195,XT!AF195,XT!AJ195)))</f>
        <v>0</v>
      </c>
      <c r="AT195" t="str">
        <f>IFERROR(INDEX(CHOOSE({1,2,3,4}, DAY(XT!U195), DAY(XT!Y195), DAY(XT!AC195), DAY(XT!AG195)), MATCH(1, INDEX(--(MONTH(CHOOSE({1,2,3,4}, XT!U195,XT!Y195,XT!AC195,XT!AG195))=12), 0), 0)), "")</f>
        <v/>
      </c>
      <c r="AU195" s="12" t="str">
        <f>IF(XT!$P195&gt;0,AT195,"")</f>
        <v/>
      </c>
      <c r="AV195" s="12" t="str">
        <f>IF(XT!$P195=0,AT195,"")</f>
        <v/>
      </c>
    </row>
    <row r="196" spans="1:48">
      <c r="A196">
        <f>SUMPRODUCT((MONTH(CHOOSE({1,2,3,4},XT!U196,XT!Y196,XT!AC196,XT!AG196))=1)*(CHOOSE({1,2,3,4},XT!X196,XT!AB196,XT!AF196,XT!AJ196)))</f>
        <v>0</v>
      </c>
      <c r="B196">
        <f>IFERROR(INDEX(CHOOSE({1,2,3,4}, DAY(XT!U196), DAY(XT!Y196), DAY(XT!AC196), DAY(XT!AG196)), MATCH(1, INDEX(--(MONTH(CHOOSE({1,2,3,4}, XT!U196,XT!Y196,XT!AC196,XT!AG196))=1), 0), 0)), "")</f>
        <v>0</v>
      </c>
      <c r="C196" s="12" t="str">
        <f>IF(XT!$P196&gt;0,B196,"")</f>
        <v/>
      </c>
      <c r="D196" s="12">
        <f>IF(XT!$P196=0,B196,"")</f>
        <v>0</v>
      </c>
      <c r="E196">
        <f>SUMPRODUCT((MONTH(CHOOSE({1,2,3,4},XT!U196,XT!Y196,XT!AC196,XT!AG196))=2)*(CHOOSE({1,2,3,4},XT!X196,XT!AB196,XT!AF196,XT!AJ196)))</f>
        <v>0</v>
      </c>
      <c r="F196" t="str">
        <f>IFERROR(INDEX(CHOOSE({1,2,3,4}, DAY(XT!U196), DAY(XT!Y196), DAY(XT!AC196), DAY(XT!AG196)), MATCH(1, INDEX(--(MONTH(CHOOSE({1,2,3,4}, XT!U196,XT!Y196,XT!AC196,XT!AG196))=2), 0), 0)), "")</f>
        <v/>
      </c>
      <c r="G196" s="12" t="str">
        <f>IF(XT!$P196&gt;0,F196,"")</f>
        <v/>
      </c>
      <c r="H196" s="12" t="str">
        <f>IF(XT!$P196=0,F196,"")</f>
        <v/>
      </c>
      <c r="I196">
        <f>SUMPRODUCT((MONTH(CHOOSE({1,2,3,4},XT!U196,XT!Y196,XT!AC196,XT!AG196))=3)*(CHOOSE({1,2,3,4},XT!X196,XT!AB196,XT!AF196,XT!AJ196)))</f>
        <v>0</v>
      </c>
      <c r="J196" t="str">
        <f>IFERROR(INDEX(CHOOSE({1,2,3,4}, DAY(XT!U196), DAY(XT!Y196), DAY(XT!AC196), DAY(XT!AG196)), MATCH(1, INDEX(--(MONTH(CHOOSE({1,2,3,4}, XT!U196,XT!Y196,XT!AC196,XT!AG196))=3), 0), 0)), "")</f>
        <v/>
      </c>
      <c r="K196" s="12" t="str">
        <f>IF(XT!$P196&gt;0,J196,"")</f>
        <v/>
      </c>
      <c r="L196" s="12" t="str">
        <f>IF(XT!$P196=0,J196,"")</f>
        <v/>
      </c>
      <c r="M196">
        <f>SUMPRODUCT((MONTH(CHOOSE({1,2,3,4},XT!U196,XT!Y196,XT!AC196,XT!AG196))=4)*(CHOOSE({1,2,3,4},XT!X196,XT!AB196,XT!AF196,XT!AJ196)))</f>
        <v>0</v>
      </c>
      <c r="N196" t="str">
        <f>IFERROR(INDEX(CHOOSE({1,2,3,4}, DAY(XT!U196), DAY(XT!Y196), DAY(XT!AC196), DAY(XT!AG196)), MATCH(1, INDEX(--(MONTH(CHOOSE({1,2,3,4}, XT!U196,XT!Y196,XT!AC196,XT!AG196))=4), 0), 0)), "")</f>
        <v/>
      </c>
      <c r="O196" s="12" t="str">
        <f>IF(XT!$P196&gt;0,N196,"")</f>
        <v/>
      </c>
      <c r="P196" s="12" t="str">
        <f>IF(XT!$P196=0,N196,"")</f>
        <v/>
      </c>
      <c r="Q196">
        <f>SUMPRODUCT((MONTH(CHOOSE({1,2,3,4},XT!U196,XT!Y196,XT!AC196,XT!AG196))=5)*(CHOOSE({1,2,3,4},XT!X196,XT!AB196,XT!AF196,XT!AJ196)))</f>
        <v>0</v>
      </c>
      <c r="R196" t="str">
        <f>IFERROR(INDEX(CHOOSE({1,2,3,4}, DAY(XT!U196), DAY(XT!Y196), DAY(XT!AC196), DAY(XT!AG196)), MATCH(1, INDEX(--(MONTH(CHOOSE({1,2,3,4}, XT!U196,XT!Y196,XT!AC196,XT!AG196))=5), 0), 0)), "")</f>
        <v/>
      </c>
      <c r="S196" s="12" t="str">
        <f>IF(XT!$P196&gt;0,R196,"")</f>
        <v/>
      </c>
      <c r="T196" s="12" t="str">
        <f>IF(XT!$P196=0,R196,"")</f>
        <v/>
      </c>
      <c r="U196">
        <f>SUMPRODUCT((MONTH(CHOOSE({1,2,3,4},XT!U196,XT!Y196,XT!AC196,XT!AG196))=6)*(CHOOSE({1,2,3,4},XT!X196,XT!AB196,XT!AF196,XT!AJ196)))</f>
        <v>0</v>
      </c>
      <c r="V196" t="str">
        <f>IFERROR(INDEX(CHOOSE({1,2,3,4}, DAY(XT!U196), DAY(XT!Y196), DAY(XT!AC196), DAY(XT!AG196)), MATCH(1, INDEX(--(MONTH(CHOOSE({1,2,3,4}, XT!U196,XT!Y196,XT!AC196,XT!AG196))=6), 0), 0)), "")</f>
        <v/>
      </c>
      <c r="W196" s="12" t="str">
        <f>IF(XT!$P196&gt;0,V196,"")</f>
        <v/>
      </c>
      <c r="X196" s="12" t="str">
        <f>IF(XT!$P196=0,V196,"")</f>
        <v/>
      </c>
      <c r="Y196">
        <f>SUMPRODUCT((MONTH(CHOOSE({1,2,3,4},XT!U196,XT!Y196,XT!AC196,XT!AG196))=7)*(CHOOSE({1,2,3,4},XT!X196,XT!AB196,XT!AF196,XT!AJ196)))</f>
        <v>0</v>
      </c>
      <c r="Z196" t="str">
        <f>IFERROR(INDEX(CHOOSE({1,2,3,4}, DAY(XT!U196), DAY(XT!Y196), DAY(XT!AC196), DAY(XT!AG196)), MATCH(1, INDEX(--(MONTH(CHOOSE({1,2,3,4}, XT!U196,XT!Y196,XT!AC196,XT!AG196))=7), 0), 0)), "")</f>
        <v/>
      </c>
      <c r="AA196" s="12" t="str">
        <f>IF(XT!$P196&gt;0,Z196,"")</f>
        <v/>
      </c>
      <c r="AB196" s="12" t="str">
        <f>IF(XT!$P196=0,Z196,"")</f>
        <v/>
      </c>
      <c r="AC196">
        <f>SUMPRODUCT((MONTH(CHOOSE({1,2,3,4},XT!U196,XT!Y196,XT!AC196,XT!AG196))=8)*(CHOOSE({1,2,3,4},XT!X196,XT!AB196,XT!AF196,XT!AJ196)))</f>
        <v>0</v>
      </c>
      <c r="AD196" t="str">
        <f>IFERROR(INDEX(CHOOSE({1,2,3,4}, DAY(XT!U196), DAY(XT!Y196), DAY(XT!AC196), DAY(XT!AG196)), MATCH(1, INDEX(--(MONTH(CHOOSE({1,2,3,4}, XT!U196,XT!Y196,XT!AC196,XT!AG196))=8), 0), 0)), "")</f>
        <v/>
      </c>
      <c r="AE196" s="12" t="str">
        <f>IF(XT!$P196&gt;0,AD196,"")</f>
        <v/>
      </c>
      <c r="AF196" s="12" t="str">
        <f>IF(XT!$P196=0,AD196,"")</f>
        <v/>
      </c>
      <c r="AG196">
        <f>SUMPRODUCT((MONTH(CHOOSE({1,2,3,4},XT!U196,XT!Y196,XT!AC196,XT!AG196))=9)*(CHOOSE({1,2,3,4},XT!X196,XT!AB196,XT!AF196,XT!AJ196)))</f>
        <v>0</v>
      </c>
      <c r="AH196" t="str">
        <f>IFERROR(INDEX(CHOOSE({1,2,3,4}, DAY(XT!U196), DAY(XT!Y196), DAY(XT!AC196), DAY(XT!AG196)), MATCH(1, INDEX(--(MONTH(CHOOSE({1,2,3,4}, XT!U196,XT!Y196,XT!AC196,XT!AG196))=9), 0), 0)), "")</f>
        <v/>
      </c>
      <c r="AI196" s="12" t="str">
        <f>IF(XT!$P196&gt;0,AH196,"")</f>
        <v/>
      </c>
      <c r="AJ196" s="12" t="str">
        <f>IF(XT!$P196=0,AH196,"")</f>
        <v/>
      </c>
      <c r="AK196">
        <f>SUMPRODUCT((MONTH(CHOOSE({1,2,3,4},XT!U196,XT!Y196,XT!AC196,XT!AG196))=10)*(CHOOSE({1,2,3,4},XT!X196,XT!AB196,XT!AF196,XT!AJ196)))</f>
        <v>0</v>
      </c>
      <c r="AL196" t="str">
        <f>IFERROR(INDEX(CHOOSE({1,2,3,4}, DAY(XT!U196), DAY(XT!Y196), DAY(XT!AC196), DAY(XT!AG196)), MATCH(1, INDEX(--(MONTH(CHOOSE({1,2,3,4}, XT!U196,XT!Y196,XT!AC196,XT!AG196))=10), 0), 0)), "")</f>
        <v/>
      </c>
      <c r="AM196" s="12" t="str">
        <f>IF(XT!$P196&gt;0,AL196,"")</f>
        <v/>
      </c>
      <c r="AN196" s="12" t="str">
        <f>IF(XT!$P196=0,AL196,"")</f>
        <v/>
      </c>
      <c r="AO196">
        <f>SUMPRODUCT((MONTH(CHOOSE({1,2,3,4},XT!U196,XT!Y196,XT!AC196,XT!AG196))=11)*(CHOOSE({1,2,3,4},XT!X196,XT!AB196,XT!AF196,XT!AJ196)))</f>
        <v>0</v>
      </c>
      <c r="AP196" t="str">
        <f>IFERROR(INDEX(CHOOSE({1,2,3,4}, DAY(XT!U196), DAY(XT!Y196), DAY(XT!AC196), DAY(XT!AG196)), MATCH(1, INDEX(--(MONTH(CHOOSE({1,2,3,4}, XT!U196,XT!Y196,XT!AC196,XT!AG196))=11), 0), 0)), "")</f>
        <v/>
      </c>
      <c r="AQ196" s="12" t="str">
        <f>IF(XT!$P196&gt;0,AP196,"")</f>
        <v/>
      </c>
      <c r="AR196" s="12" t="str">
        <f>IF(XT!$P196=0,AP196,"")</f>
        <v/>
      </c>
      <c r="AS196">
        <f>SUMPRODUCT((MONTH(CHOOSE({1,2,3,4},XT!U196,XT!Y196,XT!AC196,XT!AG196))=12)*(CHOOSE({1,2,3,4},XT!X196,XT!AB196,XT!AF196,XT!AJ196)))</f>
        <v>0</v>
      </c>
      <c r="AT196" t="str">
        <f>IFERROR(INDEX(CHOOSE({1,2,3,4}, DAY(XT!U196), DAY(XT!Y196), DAY(XT!AC196), DAY(XT!AG196)), MATCH(1, INDEX(--(MONTH(CHOOSE({1,2,3,4}, XT!U196,XT!Y196,XT!AC196,XT!AG196))=12), 0), 0)), "")</f>
        <v/>
      </c>
      <c r="AU196" s="12" t="str">
        <f>IF(XT!$P196&gt;0,AT196,"")</f>
        <v/>
      </c>
      <c r="AV196" s="12" t="str">
        <f>IF(XT!$P196=0,AT196,"")</f>
        <v/>
      </c>
    </row>
    <row r="197" spans="1:48">
      <c r="A197">
        <f>SUMPRODUCT((MONTH(CHOOSE({1,2,3,4},XT!U197,XT!Y197,XT!AC197,XT!AG197))=1)*(CHOOSE({1,2,3,4},XT!X197,XT!AB197,XT!AF197,XT!AJ197)))</f>
        <v>0</v>
      </c>
      <c r="B197">
        <f>IFERROR(INDEX(CHOOSE({1,2,3,4}, DAY(XT!U197), DAY(XT!Y197), DAY(XT!AC197), DAY(XT!AG197)), MATCH(1, INDEX(--(MONTH(CHOOSE({1,2,3,4}, XT!U197,XT!Y197,XT!AC197,XT!AG197))=1), 0), 0)), "")</f>
        <v>0</v>
      </c>
      <c r="C197" s="12" t="str">
        <f>IF(XT!$P197&gt;0,B197,"")</f>
        <v/>
      </c>
      <c r="D197" s="12">
        <f>IF(XT!$P197=0,B197,"")</f>
        <v>0</v>
      </c>
      <c r="E197">
        <f>SUMPRODUCT((MONTH(CHOOSE({1,2,3,4},XT!U197,XT!Y197,XT!AC197,XT!AG197))=2)*(CHOOSE({1,2,3,4},XT!X197,XT!AB197,XT!AF197,XT!AJ197)))</f>
        <v>0</v>
      </c>
      <c r="F197" t="str">
        <f>IFERROR(INDEX(CHOOSE({1,2,3,4}, DAY(XT!U197), DAY(XT!Y197), DAY(XT!AC197), DAY(XT!AG197)), MATCH(1, INDEX(--(MONTH(CHOOSE({1,2,3,4}, XT!U197,XT!Y197,XT!AC197,XT!AG197))=2), 0), 0)), "")</f>
        <v/>
      </c>
      <c r="G197" s="12" t="str">
        <f>IF(XT!$P197&gt;0,F197,"")</f>
        <v/>
      </c>
      <c r="H197" s="12" t="str">
        <f>IF(XT!$P197=0,F197,"")</f>
        <v/>
      </c>
      <c r="I197">
        <f>SUMPRODUCT((MONTH(CHOOSE({1,2,3,4},XT!U197,XT!Y197,XT!AC197,XT!AG197))=3)*(CHOOSE({1,2,3,4},XT!X197,XT!AB197,XT!AF197,XT!AJ197)))</f>
        <v>0</v>
      </c>
      <c r="J197" t="str">
        <f>IFERROR(INDEX(CHOOSE({1,2,3,4}, DAY(XT!U197), DAY(XT!Y197), DAY(XT!AC197), DAY(XT!AG197)), MATCH(1, INDEX(--(MONTH(CHOOSE({1,2,3,4}, XT!U197,XT!Y197,XT!AC197,XT!AG197))=3), 0), 0)), "")</f>
        <v/>
      </c>
      <c r="K197" s="12" t="str">
        <f>IF(XT!$P197&gt;0,J197,"")</f>
        <v/>
      </c>
      <c r="L197" s="12" t="str">
        <f>IF(XT!$P197=0,J197,"")</f>
        <v/>
      </c>
      <c r="M197">
        <f>SUMPRODUCT((MONTH(CHOOSE({1,2,3,4},XT!U197,XT!Y197,XT!AC197,XT!AG197))=4)*(CHOOSE({1,2,3,4},XT!X197,XT!AB197,XT!AF197,XT!AJ197)))</f>
        <v>0</v>
      </c>
      <c r="N197" t="str">
        <f>IFERROR(INDEX(CHOOSE({1,2,3,4}, DAY(XT!U197), DAY(XT!Y197), DAY(XT!AC197), DAY(XT!AG197)), MATCH(1, INDEX(--(MONTH(CHOOSE({1,2,3,4}, XT!U197,XT!Y197,XT!AC197,XT!AG197))=4), 0), 0)), "")</f>
        <v/>
      </c>
      <c r="O197" s="12" t="str">
        <f>IF(XT!$P197&gt;0,N197,"")</f>
        <v/>
      </c>
      <c r="P197" s="12" t="str">
        <f>IF(XT!$P197=0,N197,"")</f>
        <v/>
      </c>
      <c r="Q197">
        <f>SUMPRODUCT((MONTH(CHOOSE({1,2,3,4},XT!U197,XT!Y197,XT!AC197,XT!AG197))=5)*(CHOOSE({1,2,3,4},XT!X197,XT!AB197,XT!AF197,XT!AJ197)))</f>
        <v>0</v>
      </c>
      <c r="R197" t="str">
        <f>IFERROR(INDEX(CHOOSE({1,2,3,4}, DAY(XT!U197), DAY(XT!Y197), DAY(XT!AC197), DAY(XT!AG197)), MATCH(1, INDEX(--(MONTH(CHOOSE({1,2,3,4}, XT!U197,XT!Y197,XT!AC197,XT!AG197))=5), 0), 0)), "")</f>
        <v/>
      </c>
      <c r="S197" s="12" t="str">
        <f>IF(XT!$P197&gt;0,R197,"")</f>
        <v/>
      </c>
      <c r="T197" s="12" t="str">
        <f>IF(XT!$P197=0,R197,"")</f>
        <v/>
      </c>
      <c r="U197">
        <f>SUMPRODUCT((MONTH(CHOOSE({1,2,3,4},XT!U197,XT!Y197,XT!AC197,XT!AG197))=6)*(CHOOSE({1,2,3,4},XT!X197,XT!AB197,XT!AF197,XT!AJ197)))</f>
        <v>0</v>
      </c>
      <c r="V197" t="str">
        <f>IFERROR(INDEX(CHOOSE({1,2,3,4}, DAY(XT!U197), DAY(XT!Y197), DAY(XT!AC197), DAY(XT!AG197)), MATCH(1, INDEX(--(MONTH(CHOOSE({1,2,3,4}, XT!U197,XT!Y197,XT!AC197,XT!AG197))=6), 0), 0)), "")</f>
        <v/>
      </c>
      <c r="W197" s="12" t="str">
        <f>IF(XT!$P197&gt;0,V197,"")</f>
        <v/>
      </c>
      <c r="X197" s="12" t="str">
        <f>IF(XT!$P197=0,V197,"")</f>
        <v/>
      </c>
      <c r="Y197">
        <f>SUMPRODUCT((MONTH(CHOOSE({1,2,3,4},XT!U197,XT!Y197,XT!AC197,XT!AG197))=7)*(CHOOSE({1,2,3,4},XT!X197,XT!AB197,XT!AF197,XT!AJ197)))</f>
        <v>0</v>
      </c>
      <c r="Z197" t="str">
        <f>IFERROR(INDEX(CHOOSE({1,2,3,4}, DAY(XT!U197), DAY(XT!Y197), DAY(XT!AC197), DAY(XT!AG197)), MATCH(1, INDEX(--(MONTH(CHOOSE({1,2,3,4}, XT!U197,XT!Y197,XT!AC197,XT!AG197))=7), 0), 0)), "")</f>
        <v/>
      </c>
      <c r="AA197" s="12" t="str">
        <f>IF(XT!$P197&gt;0,Z197,"")</f>
        <v/>
      </c>
      <c r="AB197" s="12" t="str">
        <f>IF(XT!$P197=0,Z197,"")</f>
        <v/>
      </c>
      <c r="AC197">
        <f>SUMPRODUCT((MONTH(CHOOSE({1,2,3,4},XT!U197,XT!Y197,XT!AC197,XT!AG197))=8)*(CHOOSE({1,2,3,4},XT!X197,XT!AB197,XT!AF197,XT!AJ197)))</f>
        <v>0</v>
      </c>
      <c r="AD197" t="str">
        <f>IFERROR(INDEX(CHOOSE({1,2,3,4}, DAY(XT!U197), DAY(XT!Y197), DAY(XT!AC197), DAY(XT!AG197)), MATCH(1, INDEX(--(MONTH(CHOOSE({1,2,3,4}, XT!U197,XT!Y197,XT!AC197,XT!AG197))=8), 0), 0)), "")</f>
        <v/>
      </c>
      <c r="AE197" s="12" t="str">
        <f>IF(XT!$P197&gt;0,AD197,"")</f>
        <v/>
      </c>
      <c r="AF197" s="12" t="str">
        <f>IF(XT!$P197=0,AD197,"")</f>
        <v/>
      </c>
      <c r="AG197">
        <f>SUMPRODUCT((MONTH(CHOOSE({1,2,3,4},XT!U197,XT!Y197,XT!AC197,XT!AG197))=9)*(CHOOSE({1,2,3,4},XT!X197,XT!AB197,XT!AF197,XT!AJ197)))</f>
        <v>0</v>
      </c>
      <c r="AH197" t="str">
        <f>IFERROR(INDEX(CHOOSE({1,2,3,4}, DAY(XT!U197), DAY(XT!Y197), DAY(XT!AC197), DAY(XT!AG197)), MATCH(1, INDEX(--(MONTH(CHOOSE({1,2,3,4}, XT!U197,XT!Y197,XT!AC197,XT!AG197))=9), 0), 0)), "")</f>
        <v/>
      </c>
      <c r="AI197" s="12" t="str">
        <f>IF(XT!$P197&gt;0,AH197,"")</f>
        <v/>
      </c>
      <c r="AJ197" s="12" t="str">
        <f>IF(XT!$P197=0,AH197,"")</f>
        <v/>
      </c>
      <c r="AK197">
        <f>SUMPRODUCT((MONTH(CHOOSE({1,2,3,4},XT!U197,XT!Y197,XT!AC197,XT!AG197))=10)*(CHOOSE({1,2,3,4},XT!X197,XT!AB197,XT!AF197,XT!AJ197)))</f>
        <v>0</v>
      </c>
      <c r="AL197" t="str">
        <f>IFERROR(INDEX(CHOOSE({1,2,3,4}, DAY(XT!U197), DAY(XT!Y197), DAY(XT!AC197), DAY(XT!AG197)), MATCH(1, INDEX(--(MONTH(CHOOSE({1,2,3,4}, XT!U197,XT!Y197,XT!AC197,XT!AG197))=10), 0), 0)), "")</f>
        <v/>
      </c>
      <c r="AM197" s="12" t="str">
        <f>IF(XT!$P197&gt;0,AL197,"")</f>
        <v/>
      </c>
      <c r="AN197" s="12" t="str">
        <f>IF(XT!$P197=0,AL197,"")</f>
        <v/>
      </c>
      <c r="AO197">
        <f>SUMPRODUCT((MONTH(CHOOSE({1,2,3,4},XT!U197,XT!Y197,XT!AC197,XT!AG197))=11)*(CHOOSE({1,2,3,4},XT!X197,XT!AB197,XT!AF197,XT!AJ197)))</f>
        <v>0</v>
      </c>
      <c r="AP197" t="str">
        <f>IFERROR(INDEX(CHOOSE({1,2,3,4}, DAY(XT!U197), DAY(XT!Y197), DAY(XT!AC197), DAY(XT!AG197)), MATCH(1, INDEX(--(MONTH(CHOOSE({1,2,3,4}, XT!U197,XT!Y197,XT!AC197,XT!AG197))=11), 0), 0)), "")</f>
        <v/>
      </c>
      <c r="AQ197" s="12" t="str">
        <f>IF(XT!$P197&gt;0,AP197,"")</f>
        <v/>
      </c>
      <c r="AR197" s="12" t="str">
        <f>IF(XT!$P197=0,AP197,"")</f>
        <v/>
      </c>
      <c r="AS197">
        <f>SUMPRODUCT((MONTH(CHOOSE({1,2,3,4},XT!U197,XT!Y197,XT!AC197,XT!AG197))=12)*(CHOOSE({1,2,3,4},XT!X197,XT!AB197,XT!AF197,XT!AJ197)))</f>
        <v>0</v>
      </c>
      <c r="AT197" t="str">
        <f>IFERROR(INDEX(CHOOSE({1,2,3,4}, DAY(XT!U197), DAY(XT!Y197), DAY(XT!AC197), DAY(XT!AG197)), MATCH(1, INDEX(--(MONTH(CHOOSE({1,2,3,4}, XT!U197,XT!Y197,XT!AC197,XT!AG197))=12), 0), 0)), "")</f>
        <v/>
      </c>
      <c r="AU197" s="12" t="str">
        <f>IF(XT!$P197&gt;0,AT197,"")</f>
        <v/>
      </c>
      <c r="AV197" s="12" t="str">
        <f>IF(XT!$P197=0,AT197,"")</f>
        <v/>
      </c>
    </row>
    <row r="198" spans="1:48">
      <c r="A198">
        <f>SUMPRODUCT((MONTH(CHOOSE({1,2,3,4},XT!U198,XT!Y198,XT!AC198,XT!AG198))=1)*(CHOOSE({1,2,3,4},XT!X198,XT!AB198,XT!AF198,XT!AJ198)))</f>
        <v>0</v>
      </c>
      <c r="B198">
        <f>IFERROR(INDEX(CHOOSE({1,2,3,4}, DAY(XT!U198), DAY(XT!Y198), DAY(XT!AC198), DAY(XT!AG198)), MATCH(1, INDEX(--(MONTH(CHOOSE({1,2,3,4}, XT!U198,XT!Y198,XT!AC198,XT!AG198))=1), 0), 0)), "")</f>
        <v>0</v>
      </c>
      <c r="C198" s="12" t="str">
        <f>IF(XT!$P198&gt;0,B198,"")</f>
        <v/>
      </c>
      <c r="D198" s="12">
        <f>IF(XT!$P198=0,B198,"")</f>
        <v>0</v>
      </c>
      <c r="E198">
        <f>SUMPRODUCT((MONTH(CHOOSE({1,2,3,4},XT!U198,XT!Y198,XT!AC198,XT!AG198))=2)*(CHOOSE({1,2,3,4},XT!X198,XT!AB198,XT!AF198,XT!AJ198)))</f>
        <v>0</v>
      </c>
      <c r="F198" t="str">
        <f>IFERROR(INDEX(CHOOSE({1,2,3,4}, DAY(XT!U198), DAY(XT!Y198), DAY(XT!AC198), DAY(XT!AG198)), MATCH(1, INDEX(--(MONTH(CHOOSE({1,2,3,4}, XT!U198,XT!Y198,XT!AC198,XT!AG198))=2), 0), 0)), "")</f>
        <v/>
      </c>
      <c r="G198" s="12" t="str">
        <f>IF(XT!$P198&gt;0,F198,"")</f>
        <v/>
      </c>
      <c r="H198" s="12" t="str">
        <f>IF(XT!$P198=0,F198,"")</f>
        <v/>
      </c>
      <c r="I198">
        <f>SUMPRODUCT((MONTH(CHOOSE({1,2,3,4},XT!U198,XT!Y198,XT!AC198,XT!AG198))=3)*(CHOOSE({1,2,3,4},XT!X198,XT!AB198,XT!AF198,XT!AJ198)))</f>
        <v>0</v>
      </c>
      <c r="J198" t="str">
        <f>IFERROR(INDEX(CHOOSE({1,2,3,4}, DAY(XT!U198), DAY(XT!Y198), DAY(XT!AC198), DAY(XT!AG198)), MATCH(1, INDEX(--(MONTH(CHOOSE({1,2,3,4}, XT!U198,XT!Y198,XT!AC198,XT!AG198))=3), 0), 0)), "")</f>
        <v/>
      </c>
      <c r="K198" s="12" t="str">
        <f>IF(XT!$P198&gt;0,J198,"")</f>
        <v/>
      </c>
      <c r="L198" s="12" t="str">
        <f>IF(XT!$P198=0,J198,"")</f>
        <v/>
      </c>
      <c r="M198">
        <f>SUMPRODUCT((MONTH(CHOOSE({1,2,3,4},XT!U198,XT!Y198,XT!AC198,XT!AG198))=4)*(CHOOSE({1,2,3,4},XT!X198,XT!AB198,XT!AF198,XT!AJ198)))</f>
        <v>0</v>
      </c>
      <c r="N198" t="str">
        <f>IFERROR(INDEX(CHOOSE({1,2,3,4}, DAY(XT!U198), DAY(XT!Y198), DAY(XT!AC198), DAY(XT!AG198)), MATCH(1, INDEX(--(MONTH(CHOOSE({1,2,3,4}, XT!U198,XT!Y198,XT!AC198,XT!AG198))=4), 0), 0)), "")</f>
        <v/>
      </c>
      <c r="O198" s="12" t="str">
        <f>IF(XT!$P198&gt;0,N198,"")</f>
        <v/>
      </c>
      <c r="P198" s="12" t="str">
        <f>IF(XT!$P198=0,N198,"")</f>
        <v/>
      </c>
      <c r="Q198">
        <f>SUMPRODUCT((MONTH(CHOOSE({1,2,3,4},XT!U198,XT!Y198,XT!AC198,XT!AG198))=5)*(CHOOSE({1,2,3,4},XT!X198,XT!AB198,XT!AF198,XT!AJ198)))</f>
        <v>0</v>
      </c>
      <c r="R198" t="str">
        <f>IFERROR(INDEX(CHOOSE({1,2,3,4}, DAY(XT!U198), DAY(XT!Y198), DAY(XT!AC198), DAY(XT!AG198)), MATCH(1, INDEX(--(MONTH(CHOOSE({1,2,3,4}, XT!U198,XT!Y198,XT!AC198,XT!AG198))=5), 0), 0)), "")</f>
        <v/>
      </c>
      <c r="S198" s="12" t="str">
        <f>IF(XT!$P198&gt;0,R198,"")</f>
        <v/>
      </c>
      <c r="T198" s="12" t="str">
        <f>IF(XT!$P198=0,R198,"")</f>
        <v/>
      </c>
      <c r="U198">
        <f>SUMPRODUCT((MONTH(CHOOSE({1,2,3,4},XT!U198,XT!Y198,XT!AC198,XT!AG198))=6)*(CHOOSE({1,2,3,4},XT!X198,XT!AB198,XT!AF198,XT!AJ198)))</f>
        <v>0</v>
      </c>
      <c r="V198" t="str">
        <f>IFERROR(INDEX(CHOOSE({1,2,3,4}, DAY(XT!U198), DAY(XT!Y198), DAY(XT!AC198), DAY(XT!AG198)), MATCH(1, INDEX(--(MONTH(CHOOSE({1,2,3,4}, XT!U198,XT!Y198,XT!AC198,XT!AG198))=6), 0), 0)), "")</f>
        <v/>
      </c>
      <c r="W198" s="12" t="str">
        <f>IF(XT!$P198&gt;0,V198,"")</f>
        <v/>
      </c>
      <c r="X198" s="12" t="str">
        <f>IF(XT!$P198=0,V198,"")</f>
        <v/>
      </c>
      <c r="Y198">
        <f>SUMPRODUCT((MONTH(CHOOSE({1,2,3,4},XT!U198,XT!Y198,XT!AC198,XT!AG198))=7)*(CHOOSE({1,2,3,4},XT!X198,XT!AB198,XT!AF198,XT!AJ198)))</f>
        <v>0</v>
      </c>
      <c r="Z198" t="str">
        <f>IFERROR(INDEX(CHOOSE({1,2,3,4}, DAY(XT!U198), DAY(XT!Y198), DAY(XT!AC198), DAY(XT!AG198)), MATCH(1, INDEX(--(MONTH(CHOOSE({1,2,3,4}, XT!U198,XT!Y198,XT!AC198,XT!AG198))=7), 0), 0)), "")</f>
        <v/>
      </c>
      <c r="AA198" s="12" t="str">
        <f>IF(XT!$P198&gt;0,Z198,"")</f>
        <v/>
      </c>
      <c r="AB198" s="12" t="str">
        <f>IF(XT!$P198=0,Z198,"")</f>
        <v/>
      </c>
      <c r="AC198">
        <f>SUMPRODUCT((MONTH(CHOOSE({1,2,3,4},XT!U198,XT!Y198,XT!AC198,XT!AG198))=8)*(CHOOSE({1,2,3,4},XT!X198,XT!AB198,XT!AF198,XT!AJ198)))</f>
        <v>0</v>
      </c>
      <c r="AD198" t="str">
        <f>IFERROR(INDEX(CHOOSE({1,2,3,4}, DAY(XT!U198), DAY(XT!Y198), DAY(XT!AC198), DAY(XT!AG198)), MATCH(1, INDEX(--(MONTH(CHOOSE({1,2,3,4}, XT!U198,XT!Y198,XT!AC198,XT!AG198))=8), 0), 0)), "")</f>
        <v/>
      </c>
      <c r="AE198" s="12" t="str">
        <f>IF(XT!$P198&gt;0,AD198,"")</f>
        <v/>
      </c>
      <c r="AF198" s="12" t="str">
        <f>IF(XT!$P198=0,AD198,"")</f>
        <v/>
      </c>
      <c r="AG198">
        <f>SUMPRODUCT((MONTH(CHOOSE({1,2,3,4},XT!U198,XT!Y198,XT!AC198,XT!AG198))=9)*(CHOOSE({1,2,3,4},XT!X198,XT!AB198,XT!AF198,XT!AJ198)))</f>
        <v>0</v>
      </c>
      <c r="AH198" t="str">
        <f>IFERROR(INDEX(CHOOSE({1,2,3,4}, DAY(XT!U198), DAY(XT!Y198), DAY(XT!AC198), DAY(XT!AG198)), MATCH(1, INDEX(--(MONTH(CHOOSE({1,2,3,4}, XT!U198,XT!Y198,XT!AC198,XT!AG198))=9), 0), 0)), "")</f>
        <v/>
      </c>
      <c r="AI198" s="12" t="str">
        <f>IF(XT!$P198&gt;0,AH198,"")</f>
        <v/>
      </c>
      <c r="AJ198" s="12" t="str">
        <f>IF(XT!$P198=0,AH198,"")</f>
        <v/>
      </c>
      <c r="AK198">
        <f>SUMPRODUCT((MONTH(CHOOSE({1,2,3,4},XT!U198,XT!Y198,XT!AC198,XT!AG198))=10)*(CHOOSE({1,2,3,4},XT!X198,XT!AB198,XT!AF198,XT!AJ198)))</f>
        <v>0</v>
      </c>
      <c r="AL198" t="str">
        <f>IFERROR(INDEX(CHOOSE({1,2,3,4}, DAY(XT!U198), DAY(XT!Y198), DAY(XT!AC198), DAY(XT!AG198)), MATCH(1, INDEX(--(MONTH(CHOOSE({1,2,3,4}, XT!U198,XT!Y198,XT!AC198,XT!AG198))=10), 0), 0)), "")</f>
        <v/>
      </c>
      <c r="AM198" s="12" t="str">
        <f>IF(XT!$P198&gt;0,AL198,"")</f>
        <v/>
      </c>
      <c r="AN198" s="12" t="str">
        <f>IF(XT!$P198=0,AL198,"")</f>
        <v/>
      </c>
      <c r="AO198">
        <f>SUMPRODUCT((MONTH(CHOOSE({1,2,3,4},XT!U198,XT!Y198,XT!AC198,XT!AG198))=11)*(CHOOSE({1,2,3,4},XT!X198,XT!AB198,XT!AF198,XT!AJ198)))</f>
        <v>0</v>
      </c>
      <c r="AP198" t="str">
        <f>IFERROR(INDEX(CHOOSE({1,2,3,4}, DAY(XT!U198), DAY(XT!Y198), DAY(XT!AC198), DAY(XT!AG198)), MATCH(1, INDEX(--(MONTH(CHOOSE({1,2,3,4}, XT!U198,XT!Y198,XT!AC198,XT!AG198))=11), 0), 0)), "")</f>
        <v/>
      </c>
      <c r="AQ198" s="12" t="str">
        <f>IF(XT!$P198&gt;0,AP198,"")</f>
        <v/>
      </c>
      <c r="AR198" s="12" t="str">
        <f>IF(XT!$P198=0,AP198,"")</f>
        <v/>
      </c>
      <c r="AS198">
        <f>SUMPRODUCT((MONTH(CHOOSE({1,2,3,4},XT!U198,XT!Y198,XT!AC198,XT!AG198))=12)*(CHOOSE({1,2,3,4},XT!X198,XT!AB198,XT!AF198,XT!AJ198)))</f>
        <v>0</v>
      </c>
      <c r="AT198" t="str">
        <f>IFERROR(INDEX(CHOOSE({1,2,3,4}, DAY(XT!U198), DAY(XT!Y198), DAY(XT!AC198), DAY(XT!AG198)), MATCH(1, INDEX(--(MONTH(CHOOSE({1,2,3,4}, XT!U198,XT!Y198,XT!AC198,XT!AG198))=12), 0), 0)), "")</f>
        <v/>
      </c>
      <c r="AU198" s="12" t="str">
        <f>IF(XT!$P198&gt;0,AT198,"")</f>
        <v/>
      </c>
      <c r="AV198" s="12" t="str">
        <f>IF(XT!$P198=0,AT198,"")</f>
        <v/>
      </c>
    </row>
    <row r="199" spans="1:48">
      <c r="A199">
        <f>SUMPRODUCT((MONTH(CHOOSE({1,2,3,4},XT!U199,XT!Y199,XT!AC199,XT!AG199))=1)*(CHOOSE({1,2,3,4},XT!X199,XT!AB199,XT!AF199,XT!AJ199)))</f>
        <v>0</v>
      </c>
      <c r="B199">
        <f>IFERROR(INDEX(CHOOSE({1,2,3,4}, DAY(XT!U199), DAY(XT!Y199), DAY(XT!AC199), DAY(XT!AG199)), MATCH(1, INDEX(--(MONTH(CHOOSE({1,2,3,4}, XT!U199,XT!Y199,XT!AC199,XT!AG199))=1), 0), 0)), "")</f>
        <v>0</v>
      </c>
      <c r="C199" s="12" t="str">
        <f>IF(XT!$P199&gt;0,B199,"")</f>
        <v/>
      </c>
      <c r="D199" s="12">
        <f>IF(XT!$P199=0,B199,"")</f>
        <v>0</v>
      </c>
      <c r="E199">
        <f>SUMPRODUCT((MONTH(CHOOSE({1,2,3,4},XT!U199,XT!Y199,XT!AC199,XT!AG199))=2)*(CHOOSE({1,2,3,4},XT!X199,XT!AB199,XT!AF199,XT!AJ199)))</f>
        <v>0</v>
      </c>
      <c r="F199" t="str">
        <f>IFERROR(INDEX(CHOOSE({1,2,3,4}, DAY(XT!U199), DAY(XT!Y199), DAY(XT!AC199), DAY(XT!AG199)), MATCH(1, INDEX(--(MONTH(CHOOSE({1,2,3,4}, XT!U199,XT!Y199,XT!AC199,XT!AG199))=2), 0), 0)), "")</f>
        <v/>
      </c>
      <c r="G199" s="12" t="str">
        <f>IF(XT!$P199&gt;0,F199,"")</f>
        <v/>
      </c>
      <c r="H199" s="12" t="str">
        <f>IF(XT!$P199=0,F199,"")</f>
        <v/>
      </c>
      <c r="I199">
        <f>SUMPRODUCT((MONTH(CHOOSE({1,2,3,4},XT!U199,XT!Y199,XT!AC199,XT!AG199))=3)*(CHOOSE({1,2,3,4},XT!X199,XT!AB199,XT!AF199,XT!AJ199)))</f>
        <v>0</v>
      </c>
      <c r="J199" t="str">
        <f>IFERROR(INDEX(CHOOSE({1,2,3,4}, DAY(XT!U199), DAY(XT!Y199), DAY(XT!AC199), DAY(XT!AG199)), MATCH(1, INDEX(--(MONTH(CHOOSE({1,2,3,4}, XT!U199,XT!Y199,XT!AC199,XT!AG199))=3), 0), 0)), "")</f>
        <v/>
      </c>
      <c r="K199" s="12" t="str">
        <f>IF(XT!$P199&gt;0,J199,"")</f>
        <v/>
      </c>
      <c r="L199" s="12" t="str">
        <f>IF(XT!$P199=0,J199,"")</f>
        <v/>
      </c>
      <c r="M199">
        <f>SUMPRODUCT((MONTH(CHOOSE({1,2,3,4},XT!U199,XT!Y199,XT!AC199,XT!AG199))=4)*(CHOOSE({1,2,3,4},XT!X199,XT!AB199,XT!AF199,XT!AJ199)))</f>
        <v>0</v>
      </c>
      <c r="N199" t="str">
        <f>IFERROR(INDEX(CHOOSE({1,2,3,4}, DAY(XT!U199), DAY(XT!Y199), DAY(XT!AC199), DAY(XT!AG199)), MATCH(1, INDEX(--(MONTH(CHOOSE({1,2,3,4}, XT!U199,XT!Y199,XT!AC199,XT!AG199))=4), 0), 0)), "")</f>
        <v/>
      </c>
      <c r="O199" s="12" t="str">
        <f>IF(XT!$P199&gt;0,N199,"")</f>
        <v/>
      </c>
      <c r="P199" s="12" t="str">
        <f>IF(XT!$P199=0,N199,"")</f>
        <v/>
      </c>
      <c r="Q199">
        <f>SUMPRODUCT((MONTH(CHOOSE({1,2,3,4},XT!U199,XT!Y199,XT!AC199,XT!AG199))=5)*(CHOOSE({1,2,3,4},XT!X199,XT!AB199,XT!AF199,XT!AJ199)))</f>
        <v>0</v>
      </c>
      <c r="R199" t="str">
        <f>IFERROR(INDEX(CHOOSE({1,2,3,4}, DAY(XT!U199), DAY(XT!Y199), DAY(XT!AC199), DAY(XT!AG199)), MATCH(1, INDEX(--(MONTH(CHOOSE({1,2,3,4}, XT!U199,XT!Y199,XT!AC199,XT!AG199))=5), 0), 0)), "")</f>
        <v/>
      </c>
      <c r="S199" s="12" t="str">
        <f>IF(XT!$P199&gt;0,R199,"")</f>
        <v/>
      </c>
      <c r="T199" s="12" t="str">
        <f>IF(XT!$P199=0,R199,"")</f>
        <v/>
      </c>
      <c r="U199">
        <f>SUMPRODUCT((MONTH(CHOOSE({1,2,3,4},XT!U199,XT!Y199,XT!AC199,XT!AG199))=6)*(CHOOSE({1,2,3,4},XT!X199,XT!AB199,XT!AF199,XT!AJ199)))</f>
        <v>0</v>
      </c>
      <c r="V199" t="str">
        <f>IFERROR(INDEX(CHOOSE({1,2,3,4}, DAY(XT!U199), DAY(XT!Y199), DAY(XT!AC199), DAY(XT!AG199)), MATCH(1, INDEX(--(MONTH(CHOOSE({1,2,3,4}, XT!U199,XT!Y199,XT!AC199,XT!AG199))=6), 0), 0)), "")</f>
        <v/>
      </c>
      <c r="W199" s="12" t="str">
        <f>IF(XT!$P199&gt;0,V199,"")</f>
        <v/>
      </c>
      <c r="X199" s="12" t="str">
        <f>IF(XT!$P199=0,V199,"")</f>
        <v/>
      </c>
      <c r="Y199">
        <f>SUMPRODUCT((MONTH(CHOOSE({1,2,3,4},XT!U199,XT!Y199,XT!AC199,XT!AG199))=7)*(CHOOSE({1,2,3,4},XT!X199,XT!AB199,XT!AF199,XT!AJ199)))</f>
        <v>0</v>
      </c>
      <c r="Z199" t="str">
        <f>IFERROR(INDEX(CHOOSE({1,2,3,4}, DAY(XT!U199), DAY(XT!Y199), DAY(XT!AC199), DAY(XT!AG199)), MATCH(1, INDEX(--(MONTH(CHOOSE({1,2,3,4}, XT!U199,XT!Y199,XT!AC199,XT!AG199))=7), 0), 0)), "")</f>
        <v/>
      </c>
      <c r="AA199" s="12" t="str">
        <f>IF(XT!$P199&gt;0,Z199,"")</f>
        <v/>
      </c>
      <c r="AB199" s="12" t="str">
        <f>IF(XT!$P199=0,Z199,"")</f>
        <v/>
      </c>
      <c r="AC199">
        <f>SUMPRODUCT((MONTH(CHOOSE({1,2,3,4},XT!U199,XT!Y199,XT!AC199,XT!AG199))=8)*(CHOOSE({1,2,3,4},XT!X199,XT!AB199,XT!AF199,XT!AJ199)))</f>
        <v>0</v>
      </c>
      <c r="AD199" t="str">
        <f>IFERROR(INDEX(CHOOSE({1,2,3,4}, DAY(XT!U199), DAY(XT!Y199), DAY(XT!AC199), DAY(XT!AG199)), MATCH(1, INDEX(--(MONTH(CHOOSE({1,2,3,4}, XT!U199,XT!Y199,XT!AC199,XT!AG199))=8), 0), 0)), "")</f>
        <v/>
      </c>
      <c r="AE199" s="12" t="str">
        <f>IF(XT!$P199&gt;0,AD199,"")</f>
        <v/>
      </c>
      <c r="AF199" s="12" t="str">
        <f>IF(XT!$P199=0,AD199,"")</f>
        <v/>
      </c>
      <c r="AG199">
        <f>SUMPRODUCT((MONTH(CHOOSE({1,2,3,4},XT!U199,XT!Y199,XT!AC199,XT!AG199))=9)*(CHOOSE({1,2,3,4},XT!X199,XT!AB199,XT!AF199,XT!AJ199)))</f>
        <v>0</v>
      </c>
      <c r="AH199" t="str">
        <f>IFERROR(INDEX(CHOOSE({1,2,3,4}, DAY(XT!U199), DAY(XT!Y199), DAY(XT!AC199), DAY(XT!AG199)), MATCH(1, INDEX(--(MONTH(CHOOSE({1,2,3,4}, XT!U199,XT!Y199,XT!AC199,XT!AG199))=9), 0), 0)), "")</f>
        <v/>
      </c>
      <c r="AI199" s="12" t="str">
        <f>IF(XT!$P199&gt;0,AH199,"")</f>
        <v/>
      </c>
      <c r="AJ199" s="12" t="str">
        <f>IF(XT!$P199=0,AH199,"")</f>
        <v/>
      </c>
      <c r="AK199">
        <f>SUMPRODUCT((MONTH(CHOOSE({1,2,3,4},XT!U199,XT!Y199,XT!AC199,XT!AG199))=10)*(CHOOSE({1,2,3,4},XT!X199,XT!AB199,XT!AF199,XT!AJ199)))</f>
        <v>0</v>
      </c>
      <c r="AL199" t="str">
        <f>IFERROR(INDEX(CHOOSE({1,2,3,4}, DAY(XT!U199), DAY(XT!Y199), DAY(XT!AC199), DAY(XT!AG199)), MATCH(1, INDEX(--(MONTH(CHOOSE({1,2,3,4}, XT!U199,XT!Y199,XT!AC199,XT!AG199))=10), 0), 0)), "")</f>
        <v/>
      </c>
      <c r="AM199" s="12" t="str">
        <f>IF(XT!$P199&gt;0,AL199,"")</f>
        <v/>
      </c>
      <c r="AN199" s="12" t="str">
        <f>IF(XT!$P199=0,AL199,"")</f>
        <v/>
      </c>
      <c r="AO199">
        <f>SUMPRODUCT((MONTH(CHOOSE({1,2,3,4},XT!U199,XT!Y199,XT!AC199,XT!AG199))=11)*(CHOOSE({1,2,3,4},XT!X199,XT!AB199,XT!AF199,XT!AJ199)))</f>
        <v>0</v>
      </c>
      <c r="AP199" t="str">
        <f>IFERROR(INDEX(CHOOSE({1,2,3,4}, DAY(XT!U199), DAY(XT!Y199), DAY(XT!AC199), DAY(XT!AG199)), MATCH(1, INDEX(--(MONTH(CHOOSE({1,2,3,4}, XT!U199,XT!Y199,XT!AC199,XT!AG199))=11), 0), 0)), "")</f>
        <v/>
      </c>
      <c r="AQ199" s="12" t="str">
        <f>IF(XT!$P199&gt;0,AP199,"")</f>
        <v/>
      </c>
      <c r="AR199" s="12" t="str">
        <f>IF(XT!$P199=0,AP199,"")</f>
        <v/>
      </c>
      <c r="AS199">
        <f>SUMPRODUCT((MONTH(CHOOSE({1,2,3,4},XT!U199,XT!Y199,XT!AC199,XT!AG199))=12)*(CHOOSE({1,2,3,4},XT!X199,XT!AB199,XT!AF199,XT!AJ199)))</f>
        <v>0</v>
      </c>
      <c r="AT199" t="str">
        <f>IFERROR(INDEX(CHOOSE({1,2,3,4}, DAY(XT!U199), DAY(XT!Y199), DAY(XT!AC199), DAY(XT!AG199)), MATCH(1, INDEX(--(MONTH(CHOOSE({1,2,3,4}, XT!U199,XT!Y199,XT!AC199,XT!AG199))=12), 0), 0)), "")</f>
        <v/>
      </c>
      <c r="AU199" s="12" t="str">
        <f>IF(XT!$P199&gt;0,AT199,"")</f>
        <v/>
      </c>
      <c r="AV199" s="12" t="str">
        <f>IF(XT!$P199=0,AT199,"")</f>
        <v/>
      </c>
    </row>
    <row r="200" spans="1:48">
      <c r="A200">
        <f>SUMPRODUCT((MONTH(CHOOSE({1,2,3,4},XT!U200,XT!Y200,XT!AC200,XT!AG200))=1)*(CHOOSE({1,2,3,4},XT!X200,XT!AB200,XT!AF200,XT!AJ200)))</f>
        <v>0</v>
      </c>
      <c r="B200">
        <f>IFERROR(INDEX(CHOOSE({1,2,3,4}, DAY(XT!U200), DAY(XT!Y200), DAY(XT!AC200), DAY(XT!AG200)), MATCH(1, INDEX(--(MONTH(CHOOSE({1,2,3,4}, XT!U200,XT!Y200,XT!AC200,XT!AG200))=1), 0), 0)), "")</f>
        <v>0</v>
      </c>
      <c r="C200" s="12" t="str">
        <f>IF(XT!$P200&gt;0,B200,"")</f>
        <v/>
      </c>
      <c r="D200" s="12">
        <f>IF(XT!$P200=0,B200,"")</f>
        <v>0</v>
      </c>
      <c r="E200">
        <f>SUMPRODUCT((MONTH(CHOOSE({1,2,3,4},XT!U200,XT!Y200,XT!AC200,XT!AG200))=2)*(CHOOSE({1,2,3,4},XT!X200,XT!AB200,XT!AF200,XT!AJ200)))</f>
        <v>0</v>
      </c>
      <c r="F200" t="str">
        <f>IFERROR(INDEX(CHOOSE({1,2,3,4}, DAY(XT!U200), DAY(XT!Y200), DAY(XT!AC200), DAY(XT!AG200)), MATCH(1, INDEX(--(MONTH(CHOOSE({1,2,3,4}, XT!U200,XT!Y200,XT!AC200,XT!AG200))=2), 0), 0)), "")</f>
        <v/>
      </c>
      <c r="G200" s="12" t="str">
        <f>IF(XT!$P200&gt;0,F200,"")</f>
        <v/>
      </c>
      <c r="H200" s="12" t="str">
        <f>IF(XT!$P200=0,F200,"")</f>
        <v/>
      </c>
      <c r="I200">
        <f>SUMPRODUCT((MONTH(CHOOSE({1,2,3,4},XT!U200,XT!Y200,XT!AC200,XT!AG200))=3)*(CHOOSE({1,2,3,4},XT!X200,XT!AB200,XT!AF200,XT!AJ200)))</f>
        <v>0</v>
      </c>
      <c r="J200" t="str">
        <f>IFERROR(INDEX(CHOOSE({1,2,3,4}, DAY(XT!U200), DAY(XT!Y200), DAY(XT!AC200), DAY(XT!AG200)), MATCH(1, INDEX(--(MONTH(CHOOSE({1,2,3,4}, XT!U200,XT!Y200,XT!AC200,XT!AG200))=3), 0), 0)), "")</f>
        <v/>
      </c>
      <c r="K200" s="12" t="str">
        <f>IF(XT!$P200&gt;0,J200,"")</f>
        <v/>
      </c>
      <c r="L200" s="12" t="str">
        <f>IF(XT!$P200=0,J200,"")</f>
        <v/>
      </c>
      <c r="M200">
        <f>SUMPRODUCT((MONTH(CHOOSE({1,2,3,4},XT!U200,XT!Y200,XT!AC200,XT!AG200))=4)*(CHOOSE({1,2,3,4},XT!X200,XT!AB200,XT!AF200,XT!AJ200)))</f>
        <v>0</v>
      </c>
      <c r="N200" t="str">
        <f>IFERROR(INDEX(CHOOSE({1,2,3,4}, DAY(XT!U200), DAY(XT!Y200), DAY(XT!AC200), DAY(XT!AG200)), MATCH(1, INDEX(--(MONTH(CHOOSE({1,2,3,4}, XT!U200,XT!Y200,XT!AC200,XT!AG200))=4), 0), 0)), "")</f>
        <v/>
      </c>
      <c r="O200" s="12" t="str">
        <f>IF(XT!$P200&gt;0,N200,"")</f>
        <v/>
      </c>
      <c r="P200" s="12" t="str">
        <f>IF(XT!$P200=0,N200,"")</f>
        <v/>
      </c>
      <c r="Q200">
        <f>SUMPRODUCT((MONTH(CHOOSE({1,2,3,4},XT!U200,XT!Y200,XT!AC200,XT!AG200))=5)*(CHOOSE({1,2,3,4},XT!X200,XT!AB200,XT!AF200,XT!AJ200)))</f>
        <v>0</v>
      </c>
      <c r="R200" t="str">
        <f>IFERROR(INDEX(CHOOSE({1,2,3,4}, DAY(XT!U200), DAY(XT!Y200), DAY(XT!AC200), DAY(XT!AG200)), MATCH(1, INDEX(--(MONTH(CHOOSE({1,2,3,4}, XT!U200,XT!Y200,XT!AC200,XT!AG200))=5), 0), 0)), "")</f>
        <v/>
      </c>
      <c r="S200" s="12" t="str">
        <f>IF(XT!$P200&gt;0,R200,"")</f>
        <v/>
      </c>
      <c r="T200" s="12" t="str">
        <f>IF(XT!$P200=0,R200,"")</f>
        <v/>
      </c>
      <c r="U200">
        <f>SUMPRODUCT((MONTH(CHOOSE({1,2,3,4},XT!U200,XT!Y200,XT!AC200,XT!AG200))=6)*(CHOOSE({1,2,3,4},XT!X200,XT!AB200,XT!AF200,XT!AJ200)))</f>
        <v>0</v>
      </c>
      <c r="V200" t="str">
        <f>IFERROR(INDEX(CHOOSE({1,2,3,4}, DAY(XT!U200), DAY(XT!Y200), DAY(XT!AC200), DAY(XT!AG200)), MATCH(1, INDEX(--(MONTH(CHOOSE({1,2,3,4}, XT!U200,XT!Y200,XT!AC200,XT!AG200))=6), 0), 0)), "")</f>
        <v/>
      </c>
      <c r="W200" s="12" t="str">
        <f>IF(XT!$P200&gt;0,V200,"")</f>
        <v/>
      </c>
      <c r="X200" s="12" t="str">
        <f>IF(XT!$P200=0,V200,"")</f>
        <v/>
      </c>
      <c r="Y200">
        <f>SUMPRODUCT((MONTH(CHOOSE({1,2,3,4},XT!U200,XT!Y200,XT!AC200,XT!AG200))=7)*(CHOOSE({1,2,3,4},XT!X200,XT!AB200,XT!AF200,XT!AJ200)))</f>
        <v>0</v>
      </c>
      <c r="Z200" t="str">
        <f>IFERROR(INDEX(CHOOSE({1,2,3,4}, DAY(XT!U200), DAY(XT!Y200), DAY(XT!AC200), DAY(XT!AG200)), MATCH(1, INDEX(--(MONTH(CHOOSE({1,2,3,4}, XT!U200,XT!Y200,XT!AC200,XT!AG200))=7), 0), 0)), "")</f>
        <v/>
      </c>
      <c r="AA200" s="12" t="str">
        <f>IF(XT!$P200&gt;0,Z200,"")</f>
        <v/>
      </c>
      <c r="AB200" s="12" t="str">
        <f>IF(XT!$P200=0,Z200,"")</f>
        <v/>
      </c>
      <c r="AC200">
        <f>SUMPRODUCT((MONTH(CHOOSE({1,2,3,4},XT!U200,XT!Y200,XT!AC200,XT!AG200))=8)*(CHOOSE({1,2,3,4},XT!X200,XT!AB200,XT!AF200,XT!AJ200)))</f>
        <v>0</v>
      </c>
      <c r="AD200" t="str">
        <f>IFERROR(INDEX(CHOOSE({1,2,3,4}, DAY(XT!U200), DAY(XT!Y200), DAY(XT!AC200), DAY(XT!AG200)), MATCH(1, INDEX(--(MONTH(CHOOSE({1,2,3,4}, XT!U200,XT!Y200,XT!AC200,XT!AG200))=8), 0), 0)), "")</f>
        <v/>
      </c>
      <c r="AE200" s="12" t="str">
        <f>IF(XT!$P200&gt;0,AD200,"")</f>
        <v/>
      </c>
      <c r="AF200" s="12" t="str">
        <f>IF(XT!$P200=0,AD200,"")</f>
        <v/>
      </c>
      <c r="AG200">
        <f>SUMPRODUCT((MONTH(CHOOSE({1,2,3,4},XT!U200,XT!Y200,XT!AC200,XT!AG200))=9)*(CHOOSE({1,2,3,4},XT!X200,XT!AB200,XT!AF200,XT!AJ200)))</f>
        <v>0</v>
      </c>
      <c r="AH200" t="str">
        <f>IFERROR(INDEX(CHOOSE({1,2,3,4}, DAY(XT!U200), DAY(XT!Y200), DAY(XT!AC200), DAY(XT!AG200)), MATCH(1, INDEX(--(MONTH(CHOOSE({1,2,3,4}, XT!U200,XT!Y200,XT!AC200,XT!AG200))=9), 0), 0)), "")</f>
        <v/>
      </c>
      <c r="AI200" s="12" t="str">
        <f>IF(XT!$P200&gt;0,AH200,"")</f>
        <v/>
      </c>
      <c r="AJ200" s="12" t="str">
        <f>IF(XT!$P200=0,AH200,"")</f>
        <v/>
      </c>
      <c r="AK200">
        <f>SUMPRODUCT((MONTH(CHOOSE({1,2,3,4},XT!U200,XT!Y200,XT!AC200,XT!AG200))=10)*(CHOOSE({1,2,3,4},XT!X200,XT!AB200,XT!AF200,XT!AJ200)))</f>
        <v>0</v>
      </c>
      <c r="AL200" t="str">
        <f>IFERROR(INDEX(CHOOSE({1,2,3,4}, DAY(XT!U200), DAY(XT!Y200), DAY(XT!AC200), DAY(XT!AG200)), MATCH(1, INDEX(--(MONTH(CHOOSE({1,2,3,4}, XT!U200,XT!Y200,XT!AC200,XT!AG200))=10), 0), 0)), "")</f>
        <v/>
      </c>
      <c r="AM200" s="12" t="str">
        <f>IF(XT!$P200&gt;0,AL200,"")</f>
        <v/>
      </c>
      <c r="AN200" s="12" t="str">
        <f>IF(XT!$P200=0,AL200,"")</f>
        <v/>
      </c>
      <c r="AO200">
        <f>SUMPRODUCT((MONTH(CHOOSE({1,2,3,4},XT!U200,XT!Y200,XT!AC200,XT!AG200))=11)*(CHOOSE({1,2,3,4},XT!X200,XT!AB200,XT!AF200,XT!AJ200)))</f>
        <v>0</v>
      </c>
      <c r="AP200" t="str">
        <f>IFERROR(INDEX(CHOOSE({1,2,3,4}, DAY(XT!U200), DAY(XT!Y200), DAY(XT!AC200), DAY(XT!AG200)), MATCH(1, INDEX(--(MONTH(CHOOSE({1,2,3,4}, XT!U200,XT!Y200,XT!AC200,XT!AG200))=11), 0), 0)), "")</f>
        <v/>
      </c>
      <c r="AQ200" s="12" t="str">
        <f>IF(XT!$P200&gt;0,AP200,"")</f>
        <v/>
      </c>
      <c r="AR200" s="12" t="str">
        <f>IF(XT!$P200=0,AP200,"")</f>
        <v/>
      </c>
      <c r="AS200">
        <f>SUMPRODUCT((MONTH(CHOOSE({1,2,3,4},XT!U200,XT!Y200,XT!AC200,XT!AG200))=12)*(CHOOSE({1,2,3,4},XT!X200,XT!AB200,XT!AF200,XT!AJ200)))</f>
        <v>0</v>
      </c>
      <c r="AT200" t="str">
        <f>IFERROR(INDEX(CHOOSE({1,2,3,4}, DAY(XT!U200), DAY(XT!Y200), DAY(XT!AC200), DAY(XT!AG200)), MATCH(1, INDEX(--(MONTH(CHOOSE({1,2,3,4}, XT!U200,XT!Y200,XT!AC200,XT!AG200))=12), 0), 0)), "")</f>
        <v/>
      </c>
      <c r="AU200" s="12" t="str">
        <f>IF(XT!$P200&gt;0,AT200,"")</f>
        <v/>
      </c>
      <c r="AV200" s="12" t="str">
        <f>IF(XT!$P200=0,AT200,"")</f>
        <v/>
      </c>
    </row>
    <row r="201" spans="1:48">
      <c r="A201">
        <f>SUMPRODUCT((MONTH(CHOOSE({1,2,3,4},XT!U201,XT!Y201,XT!AC201,XT!AG201))=1)*(CHOOSE({1,2,3,4},XT!X201,XT!AB201,XT!AF201,XT!AJ201)))</f>
        <v>0</v>
      </c>
      <c r="B201">
        <f>IFERROR(INDEX(CHOOSE({1,2,3,4}, DAY(XT!U201), DAY(XT!Y201), DAY(XT!AC201), DAY(XT!AG201)), MATCH(1, INDEX(--(MONTH(CHOOSE({1,2,3,4}, XT!U201,XT!Y201,XT!AC201,XT!AG201))=1), 0), 0)), "")</f>
        <v>0</v>
      </c>
      <c r="C201" s="12" t="str">
        <f>IF(XT!$P201&gt;0,B201,"")</f>
        <v/>
      </c>
      <c r="D201" s="12">
        <f>IF(XT!$P201=0,B201,"")</f>
        <v>0</v>
      </c>
      <c r="E201">
        <f>SUMPRODUCT((MONTH(CHOOSE({1,2,3,4},XT!U201,XT!Y201,XT!AC201,XT!AG201))=2)*(CHOOSE({1,2,3,4},XT!X201,XT!AB201,XT!AF201,XT!AJ201)))</f>
        <v>0</v>
      </c>
      <c r="F201" t="str">
        <f>IFERROR(INDEX(CHOOSE({1,2,3,4}, DAY(XT!U201), DAY(XT!Y201), DAY(XT!AC201), DAY(XT!AG201)), MATCH(1, INDEX(--(MONTH(CHOOSE({1,2,3,4}, XT!U201,XT!Y201,XT!AC201,XT!AG201))=2), 0), 0)), "")</f>
        <v/>
      </c>
      <c r="G201" s="12" t="str">
        <f>IF(XT!$P201&gt;0,F201,"")</f>
        <v/>
      </c>
      <c r="H201" s="12" t="str">
        <f>IF(XT!$P201=0,F201,"")</f>
        <v/>
      </c>
      <c r="I201">
        <f>SUMPRODUCT((MONTH(CHOOSE({1,2,3,4},XT!U201,XT!Y201,XT!AC201,XT!AG201))=3)*(CHOOSE({1,2,3,4},XT!X201,XT!AB201,XT!AF201,XT!AJ201)))</f>
        <v>0</v>
      </c>
      <c r="J201" t="str">
        <f>IFERROR(INDEX(CHOOSE({1,2,3,4}, DAY(XT!U201), DAY(XT!Y201), DAY(XT!AC201), DAY(XT!AG201)), MATCH(1, INDEX(--(MONTH(CHOOSE({1,2,3,4}, XT!U201,XT!Y201,XT!AC201,XT!AG201))=3), 0), 0)), "")</f>
        <v/>
      </c>
      <c r="K201" s="12" t="str">
        <f>IF(XT!$P201&gt;0,J201,"")</f>
        <v/>
      </c>
      <c r="L201" s="12" t="str">
        <f>IF(XT!$P201=0,J201,"")</f>
        <v/>
      </c>
      <c r="M201">
        <f>SUMPRODUCT((MONTH(CHOOSE({1,2,3,4},XT!U201,XT!Y201,XT!AC201,XT!AG201))=4)*(CHOOSE({1,2,3,4},XT!X201,XT!AB201,XT!AF201,XT!AJ201)))</f>
        <v>0</v>
      </c>
      <c r="N201" t="str">
        <f>IFERROR(INDEX(CHOOSE({1,2,3,4}, DAY(XT!U201), DAY(XT!Y201), DAY(XT!AC201), DAY(XT!AG201)), MATCH(1, INDEX(--(MONTH(CHOOSE({1,2,3,4}, XT!U201,XT!Y201,XT!AC201,XT!AG201))=4), 0), 0)), "")</f>
        <v/>
      </c>
      <c r="O201" s="12" t="str">
        <f>IF(XT!$P201&gt;0,N201,"")</f>
        <v/>
      </c>
      <c r="P201" s="12" t="str">
        <f>IF(XT!$P201=0,N201,"")</f>
        <v/>
      </c>
      <c r="Q201">
        <f>SUMPRODUCT((MONTH(CHOOSE({1,2,3,4},XT!U201,XT!Y201,XT!AC201,XT!AG201))=5)*(CHOOSE({1,2,3,4},XT!X201,XT!AB201,XT!AF201,XT!AJ201)))</f>
        <v>0</v>
      </c>
      <c r="R201" t="str">
        <f>IFERROR(INDEX(CHOOSE({1,2,3,4}, DAY(XT!U201), DAY(XT!Y201), DAY(XT!AC201), DAY(XT!AG201)), MATCH(1, INDEX(--(MONTH(CHOOSE({1,2,3,4}, XT!U201,XT!Y201,XT!AC201,XT!AG201))=5), 0), 0)), "")</f>
        <v/>
      </c>
      <c r="S201" s="12" t="str">
        <f>IF(XT!$P201&gt;0,R201,"")</f>
        <v/>
      </c>
      <c r="T201" s="12" t="str">
        <f>IF(XT!$P201=0,R201,"")</f>
        <v/>
      </c>
      <c r="U201">
        <f>SUMPRODUCT((MONTH(CHOOSE({1,2,3,4},XT!U201,XT!Y201,XT!AC201,XT!AG201))=6)*(CHOOSE({1,2,3,4},XT!X201,XT!AB201,XT!AF201,XT!AJ201)))</f>
        <v>0</v>
      </c>
      <c r="V201" t="str">
        <f>IFERROR(INDEX(CHOOSE({1,2,3,4}, DAY(XT!U201), DAY(XT!Y201), DAY(XT!AC201), DAY(XT!AG201)), MATCH(1, INDEX(--(MONTH(CHOOSE({1,2,3,4}, XT!U201,XT!Y201,XT!AC201,XT!AG201))=6), 0), 0)), "")</f>
        <v/>
      </c>
      <c r="W201" s="12" t="str">
        <f>IF(XT!$P201&gt;0,V201,"")</f>
        <v/>
      </c>
      <c r="X201" s="12" t="str">
        <f>IF(XT!$P201=0,V201,"")</f>
        <v/>
      </c>
      <c r="Y201">
        <f>SUMPRODUCT((MONTH(CHOOSE({1,2,3,4},XT!U201,XT!Y201,XT!AC201,XT!AG201))=7)*(CHOOSE({1,2,3,4},XT!X201,XT!AB201,XT!AF201,XT!AJ201)))</f>
        <v>0</v>
      </c>
      <c r="Z201" t="str">
        <f>IFERROR(INDEX(CHOOSE({1,2,3,4}, DAY(XT!U201), DAY(XT!Y201), DAY(XT!AC201), DAY(XT!AG201)), MATCH(1, INDEX(--(MONTH(CHOOSE({1,2,3,4}, XT!U201,XT!Y201,XT!AC201,XT!AG201))=7), 0), 0)), "")</f>
        <v/>
      </c>
      <c r="AA201" s="12" t="str">
        <f>IF(XT!$P201&gt;0,Z201,"")</f>
        <v/>
      </c>
      <c r="AB201" s="12" t="str">
        <f>IF(XT!$P201=0,Z201,"")</f>
        <v/>
      </c>
      <c r="AC201">
        <f>SUMPRODUCT((MONTH(CHOOSE({1,2,3,4},XT!U201,XT!Y201,XT!AC201,XT!AG201))=8)*(CHOOSE({1,2,3,4},XT!X201,XT!AB201,XT!AF201,XT!AJ201)))</f>
        <v>0</v>
      </c>
      <c r="AD201" t="str">
        <f>IFERROR(INDEX(CHOOSE({1,2,3,4}, DAY(XT!U201), DAY(XT!Y201), DAY(XT!AC201), DAY(XT!AG201)), MATCH(1, INDEX(--(MONTH(CHOOSE({1,2,3,4}, XT!U201,XT!Y201,XT!AC201,XT!AG201))=8), 0), 0)), "")</f>
        <v/>
      </c>
      <c r="AE201" s="12" t="str">
        <f>IF(XT!$P201&gt;0,AD201,"")</f>
        <v/>
      </c>
      <c r="AF201" s="12" t="str">
        <f>IF(XT!$P201=0,AD201,"")</f>
        <v/>
      </c>
      <c r="AG201">
        <f>SUMPRODUCT((MONTH(CHOOSE({1,2,3,4},XT!U201,XT!Y201,XT!AC201,XT!AG201))=9)*(CHOOSE({1,2,3,4},XT!X201,XT!AB201,XT!AF201,XT!AJ201)))</f>
        <v>0</v>
      </c>
      <c r="AH201" t="str">
        <f>IFERROR(INDEX(CHOOSE({1,2,3,4}, DAY(XT!U201), DAY(XT!Y201), DAY(XT!AC201), DAY(XT!AG201)), MATCH(1, INDEX(--(MONTH(CHOOSE({1,2,3,4}, XT!U201,XT!Y201,XT!AC201,XT!AG201))=9), 0), 0)), "")</f>
        <v/>
      </c>
      <c r="AI201" s="12" t="str">
        <f>IF(XT!$P201&gt;0,AH201,"")</f>
        <v/>
      </c>
      <c r="AJ201" s="12" t="str">
        <f>IF(XT!$P201=0,AH201,"")</f>
        <v/>
      </c>
      <c r="AK201">
        <f>SUMPRODUCT((MONTH(CHOOSE({1,2,3,4},XT!U201,XT!Y201,XT!AC201,XT!AG201))=10)*(CHOOSE({1,2,3,4},XT!X201,XT!AB201,XT!AF201,XT!AJ201)))</f>
        <v>0</v>
      </c>
      <c r="AL201" t="str">
        <f>IFERROR(INDEX(CHOOSE({1,2,3,4}, DAY(XT!U201), DAY(XT!Y201), DAY(XT!AC201), DAY(XT!AG201)), MATCH(1, INDEX(--(MONTH(CHOOSE({1,2,3,4}, XT!U201,XT!Y201,XT!AC201,XT!AG201))=10), 0), 0)), "")</f>
        <v/>
      </c>
      <c r="AM201" s="12" t="str">
        <f>IF(XT!$P201&gt;0,AL201,"")</f>
        <v/>
      </c>
      <c r="AN201" s="12" t="str">
        <f>IF(XT!$P201=0,AL201,"")</f>
        <v/>
      </c>
      <c r="AO201">
        <f>SUMPRODUCT((MONTH(CHOOSE({1,2,3,4},XT!U201,XT!Y201,XT!AC201,XT!AG201))=11)*(CHOOSE({1,2,3,4},XT!X201,XT!AB201,XT!AF201,XT!AJ201)))</f>
        <v>0</v>
      </c>
      <c r="AP201" t="str">
        <f>IFERROR(INDEX(CHOOSE({1,2,3,4}, DAY(XT!U201), DAY(XT!Y201), DAY(XT!AC201), DAY(XT!AG201)), MATCH(1, INDEX(--(MONTH(CHOOSE({1,2,3,4}, XT!U201,XT!Y201,XT!AC201,XT!AG201))=11), 0), 0)), "")</f>
        <v/>
      </c>
      <c r="AQ201" s="12" t="str">
        <f>IF(XT!$P201&gt;0,AP201,"")</f>
        <v/>
      </c>
      <c r="AR201" s="12" t="str">
        <f>IF(XT!$P201=0,AP201,"")</f>
        <v/>
      </c>
      <c r="AS201">
        <f>SUMPRODUCT((MONTH(CHOOSE({1,2,3,4},XT!U201,XT!Y201,XT!AC201,XT!AG201))=12)*(CHOOSE({1,2,3,4},XT!X201,XT!AB201,XT!AF201,XT!AJ201)))</f>
        <v>0</v>
      </c>
      <c r="AT201" t="str">
        <f>IFERROR(INDEX(CHOOSE({1,2,3,4}, DAY(XT!U201), DAY(XT!Y201), DAY(XT!AC201), DAY(XT!AG201)), MATCH(1, INDEX(--(MONTH(CHOOSE({1,2,3,4}, XT!U201,XT!Y201,XT!AC201,XT!AG201))=12), 0), 0)), "")</f>
        <v/>
      </c>
      <c r="AU201" s="12" t="str">
        <f>IF(XT!$P201&gt;0,AT201,"")</f>
        <v/>
      </c>
      <c r="AV201" s="12" t="str">
        <f>IF(XT!$P201=0,AT201,"")</f>
        <v/>
      </c>
    </row>
    <row r="202" spans="1:48">
      <c r="A202">
        <f>SUMPRODUCT((MONTH(CHOOSE({1,2,3,4},XT!U202,XT!Y202,XT!AC202,XT!AG202))=1)*(CHOOSE({1,2,3,4},XT!X202,XT!AB202,XT!AF202,XT!AJ202)))</f>
        <v>0</v>
      </c>
      <c r="B202">
        <f>IFERROR(INDEX(CHOOSE({1,2,3,4}, DAY(XT!U202), DAY(XT!Y202), DAY(XT!AC202), DAY(XT!AG202)), MATCH(1, INDEX(--(MONTH(CHOOSE({1,2,3,4}, XT!U202,XT!Y202,XT!AC202,XT!AG202))=1), 0), 0)), "")</f>
        <v>0</v>
      </c>
      <c r="C202" s="12" t="str">
        <f>IF(XT!$P202&gt;0,B202,"")</f>
        <v/>
      </c>
      <c r="D202" s="12">
        <f>IF(XT!$P202=0,B202,"")</f>
        <v>0</v>
      </c>
      <c r="E202">
        <f>SUMPRODUCT((MONTH(CHOOSE({1,2,3,4},XT!U202,XT!Y202,XT!AC202,XT!AG202))=2)*(CHOOSE({1,2,3,4},XT!X202,XT!AB202,XT!AF202,XT!AJ202)))</f>
        <v>0</v>
      </c>
      <c r="F202" t="str">
        <f>IFERROR(INDEX(CHOOSE({1,2,3,4}, DAY(XT!U202), DAY(XT!Y202), DAY(XT!AC202), DAY(XT!AG202)), MATCH(1, INDEX(--(MONTH(CHOOSE({1,2,3,4}, XT!U202,XT!Y202,XT!AC202,XT!AG202))=2), 0), 0)), "")</f>
        <v/>
      </c>
      <c r="G202" s="12" t="str">
        <f>IF(XT!$P202&gt;0,F202,"")</f>
        <v/>
      </c>
      <c r="H202" s="12" t="str">
        <f>IF(XT!$P202=0,F202,"")</f>
        <v/>
      </c>
      <c r="I202">
        <f>SUMPRODUCT((MONTH(CHOOSE({1,2,3,4},XT!U202,XT!Y202,XT!AC202,XT!AG202))=3)*(CHOOSE({1,2,3,4},XT!X202,XT!AB202,XT!AF202,XT!AJ202)))</f>
        <v>0</v>
      </c>
      <c r="J202" t="str">
        <f>IFERROR(INDEX(CHOOSE({1,2,3,4}, DAY(XT!U202), DAY(XT!Y202), DAY(XT!AC202), DAY(XT!AG202)), MATCH(1, INDEX(--(MONTH(CHOOSE({1,2,3,4}, XT!U202,XT!Y202,XT!AC202,XT!AG202))=3), 0), 0)), "")</f>
        <v/>
      </c>
      <c r="K202" s="12" t="str">
        <f>IF(XT!$P202&gt;0,J202,"")</f>
        <v/>
      </c>
      <c r="L202" s="12" t="str">
        <f>IF(XT!$P202=0,J202,"")</f>
        <v/>
      </c>
      <c r="M202">
        <f>SUMPRODUCT((MONTH(CHOOSE({1,2,3,4},XT!U202,XT!Y202,XT!AC202,XT!AG202))=4)*(CHOOSE({1,2,3,4},XT!X202,XT!AB202,XT!AF202,XT!AJ202)))</f>
        <v>0</v>
      </c>
      <c r="N202" t="str">
        <f>IFERROR(INDEX(CHOOSE({1,2,3,4}, DAY(XT!U202), DAY(XT!Y202), DAY(XT!AC202), DAY(XT!AG202)), MATCH(1, INDEX(--(MONTH(CHOOSE({1,2,3,4}, XT!U202,XT!Y202,XT!AC202,XT!AG202))=4), 0), 0)), "")</f>
        <v/>
      </c>
      <c r="O202" s="12" t="str">
        <f>IF(XT!$P202&gt;0,N202,"")</f>
        <v/>
      </c>
      <c r="P202" s="12" t="str">
        <f>IF(XT!$P202=0,N202,"")</f>
        <v/>
      </c>
      <c r="Q202">
        <f>SUMPRODUCT((MONTH(CHOOSE({1,2,3,4},XT!U202,XT!Y202,XT!AC202,XT!AG202))=5)*(CHOOSE({1,2,3,4},XT!X202,XT!AB202,XT!AF202,XT!AJ202)))</f>
        <v>0</v>
      </c>
      <c r="R202" t="str">
        <f>IFERROR(INDEX(CHOOSE({1,2,3,4}, DAY(XT!U202), DAY(XT!Y202), DAY(XT!AC202), DAY(XT!AG202)), MATCH(1, INDEX(--(MONTH(CHOOSE({1,2,3,4}, XT!U202,XT!Y202,XT!AC202,XT!AG202))=5), 0), 0)), "")</f>
        <v/>
      </c>
      <c r="S202" s="12" t="str">
        <f>IF(XT!$P202&gt;0,R202,"")</f>
        <v/>
      </c>
      <c r="T202" s="12" t="str">
        <f>IF(XT!$P202=0,R202,"")</f>
        <v/>
      </c>
      <c r="U202">
        <f>SUMPRODUCT((MONTH(CHOOSE({1,2,3,4},XT!U202,XT!Y202,XT!AC202,XT!AG202))=6)*(CHOOSE({1,2,3,4},XT!X202,XT!AB202,XT!AF202,XT!AJ202)))</f>
        <v>0</v>
      </c>
      <c r="V202" t="str">
        <f>IFERROR(INDEX(CHOOSE({1,2,3,4}, DAY(XT!U202), DAY(XT!Y202), DAY(XT!AC202), DAY(XT!AG202)), MATCH(1, INDEX(--(MONTH(CHOOSE({1,2,3,4}, XT!U202,XT!Y202,XT!AC202,XT!AG202))=6), 0), 0)), "")</f>
        <v/>
      </c>
      <c r="W202" s="12" t="str">
        <f>IF(XT!$P202&gt;0,V202,"")</f>
        <v/>
      </c>
      <c r="X202" s="12" t="str">
        <f>IF(XT!$P202=0,V202,"")</f>
        <v/>
      </c>
      <c r="Y202">
        <f>SUMPRODUCT((MONTH(CHOOSE({1,2,3,4},XT!U202,XT!Y202,XT!AC202,XT!AG202))=7)*(CHOOSE({1,2,3,4},XT!X202,XT!AB202,XT!AF202,XT!AJ202)))</f>
        <v>0</v>
      </c>
      <c r="Z202" t="str">
        <f>IFERROR(INDEX(CHOOSE({1,2,3,4}, DAY(XT!U202), DAY(XT!Y202), DAY(XT!AC202), DAY(XT!AG202)), MATCH(1, INDEX(--(MONTH(CHOOSE({1,2,3,4}, XT!U202,XT!Y202,XT!AC202,XT!AG202))=7), 0), 0)), "")</f>
        <v/>
      </c>
      <c r="AA202" s="12" t="str">
        <f>IF(XT!$P202&gt;0,Z202,"")</f>
        <v/>
      </c>
      <c r="AB202" s="12" t="str">
        <f>IF(XT!$P202=0,Z202,"")</f>
        <v/>
      </c>
      <c r="AC202">
        <f>SUMPRODUCT((MONTH(CHOOSE({1,2,3,4},XT!U202,XT!Y202,XT!AC202,XT!AG202))=8)*(CHOOSE({1,2,3,4},XT!X202,XT!AB202,XT!AF202,XT!AJ202)))</f>
        <v>0</v>
      </c>
      <c r="AD202" t="str">
        <f>IFERROR(INDEX(CHOOSE({1,2,3,4}, DAY(XT!U202), DAY(XT!Y202), DAY(XT!AC202), DAY(XT!AG202)), MATCH(1, INDEX(--(MONTH(CHOOSE({1,2,3,4}, XT!U202,XT!Y202,XT!AC202,XT!AG202))=8), 0), 0)), "")</f>
        <v/>
      </c>
      <c r="AE202" s="12" t="str">
        <f>IF(XT!$P202&gt;0,AD202,"")</f>
        <v/>
      </c>
      <c r="AF202" s="12" t="str">
        <f>IF(XT!$P202=0,AD202,"")</f>
        <v/>
      </c>
      <c r="AG202">
        <f>SUMPRODUCT((MONTH(CHOOSE({1,2,3,4},XT!U202,XT!Y202,XT!AC202,XT!AG202))=9)*(CHOOSE({1,2,3,4},XT!X202,XT!AB202,XT!AF202,XT!AJ202)))</f>
        <v>0</v>
      </c>
      <c r="AH202" t="str">
        <f>IFERROR(INDEX(CHOOSE({1,2,3,4}, DAY(XT!U202), DAY(XT!Y202), DAY(XT!AC202), DAY(XT!AG202)), MATCH(1, INDEX(--(MONTH(CHOOSE({1,2,3,4}, XT!U202,XT!Y202,XT!AC202,XT!AG202))=9), 0), 0)), "")</f>
        <v/>
      </c>
      <c r="AI202" s="12" t="str">
        <f>IF(XT!$P202&gt;0,AH202,"")</f>
        <v/>
      </c>
      <c r="AJ202" s="12" t="str">
        <f>IF(XT!$P202=0,AH202,"")</f>
        <v/>
      </c>
      <c r="AK202">
        <f>SUMPRODUCT((MONTH(CHOOSE({1,2,3,4},XT!U202,XT!Y202,XT!AC202,XT!AG202))=10)*(CHOOSE({1,2,3,4},XT!X202,XT!AB202,XT!AF202,XT!AJ202)))</f>
        <v>0</v>
      </c>
      <c r="AL202" t="str">
        <f>IFERROR(INDEX(CHOOSE({1,2,3,4}, DAY(XT!U202), DAY(XT!Y202), DAY(XT!AC202), DAY(XT!AG202)), MATCH(1, INDEX(--(MONTH(CHOOSE({1,2,3,4}, XT!U202,XT!Y202,XT!AC202,XT!AG202))=10), 0), 0)), "")</f>
        <v/>
      </c>
      <c r="AM202" s="12" t="str">
        <f>IF(XT!$P202&gt;0,AL202,"")</f>
        <v/>
      </c>
      <c r="AN202" s="12" t="str">
        <f>IF(XT!$P202=0,AL202,"")</f>
        <v/>
      </c>
      <c r="AO202">
        <f>SUMPRODUCT((MONTH(CHOOSE({1,2,3,4},XT!U202,XT!Y202,XT!AC202,XT!AG202))=11)*(CHOOSE({1,2,3,4},XT!X202,XT!AB202,XT!AF202,XT!AJ202)))</f>
        <v>0</v>
      </c>
      <c r="AP202" t="str">
        <f>IFERROR(INDEX(CHOOSE({1,2,3,4}, DAY(XT!U202), DAY(XT!Y202), DAY(XT!AC202), DAY(XT!AG202)), MATCH(1, INDEX(--(MONTH(CHOOSE({1,2,3,4}, XT!U202,XT!Y202,XT!AC202,XT!AG202))=11), 0), 0)), "")</f>
        <v/>
      </c>
      <c r="AQ202" s="12" t="str">
        <f>IF(XT!$P202&gt;0,AP202,"")</f>
        <v/>
      </c>
      <c r="AR202" s="12" t="str">
        <f>IF(XT!$P202=0,AP202,"")</f>
        <v/>
      </c>
      <c r="AS202">
        <f>SUMPRODUCT((MONTH(CHOOSE({1,2,3,4},XT!U202,XT!Y202,XT!AC202,XT!AG202))=12)*(CHOOSE({1,2,3,4},XT!X202,XT!AB202,XT!AF202,XT!AJ202)))</f>
        <v>0</v>
      </c>
      <c r="AT202" t="str">
        <f>IFERROR(INDEX(CHOOSE({1,2,3,4}, DAY(XT!U202), DAY(XT!Y202), DAY(XT!AC202), DAY(XT!AG202)), MATCH(1, INDEX(--(MONTH(CHOOSE({1,2,3,4}, XT!U202,XT!Y202,XT!AC202,XT!AG202))=12), 0), 0)), "")</f>
        <v/>
      </c>
      <c r="AU202" s="12" t="str">
        <f>IF(XT!$P202&gt;0,AT202,"")</f>
        <v/>
      </c>
      <c r="AV202" s="12" t="str">
        <f>IF(XT!$P202=0,AT202,"")</f>
        <v/>
      </c>
    </row>
    <row r="203" spans="1:48">
      <c r="A203">
        <f>SUMPRODUCT((MONTH(CHOOSE({1,2,3,4},XT!U203,XT!Y203,XT!AC203,XT!AG203))=1)*(CHOOSE({1,2,3,4},XT!X203,XT!AB203,XT!AF203,XT!AJ203)))</f>
        <v>0</v>
      </c>
      <c r="B203">
        <f>IFERROR(INDEX(CHOOSE({1,2,3,4}, DAY(XT!U203), DAY(XT!Y203), DAY(XT!AC203), DAY(XT!AG203)), MATCH(1, INDEX(--(MONTH(CHOOSE({1,2,3,4}, XT!U203,XT!Y203,XT!AC203,XT!AG203))=1), 0), 0)), "")</f>
        <v>0</v>
      </c>
      <c r="C203" s="12" t="str">
        <f>IF(XT!$P203&gt;0,B203,"")</f>
        <v/>
      </c>
      <c r="D203" s="12">
        <f>IF(XT!$P203=0,B203,"")</f>
        <v>0</v>
      </c>
      <c r="E203">
        <f>SUMPRODUCT((MONTH(CHOOSE({1,2,3,4},XT!U203,XT!Y203,XT!AC203,XT!AG203))=2)*(CHOOSE({1,2,3,4},XT!X203,XT!AB203,XT!AF203,XT!AJ203)))</f>
        <v>0</v>
      </c>
      <c r="F203" t="str">
        <f>IFERROR(INDEX(CHOOSE({1,2,3,4}, DAY(XT!U203), DAY(XT!Y203), DAY(XT!AC203), DAY(XT!AG203)), MATCH(1, INDEX(--(MONTH(CHOOSE({1,2,3,4}, XT!U203,XT!Y203,XT!AC203,XT!AG203))=2), 0), 0)), "")</f>
        <v/>
      </c>
      <c r="G203" s="12" t="str">
        <f>IF(XT!$P203&gt;0,F203,"")</f>
        <v/>
      </c>
      <c r="H203" s="12" t="str">
        <f>IF(XT!$P203=0,F203,"")</f>
        <v/>
      </c>
      <c r="I203">
        <f>SUMPRODUCT((MONTH(CHOOSE({1,2,3,4},XT!U203,XT!Y203,XT!AC203,XT!AG203))=3)*(CHOOSE({1,2,3,4},XT!X203,XT!AB203,XT!AF203,XT!AJ203)))</f>
        <v>0</v>
      </c>
      <c r="J203" t="str">
        <f>IFERROR(INDEX(CHOOSE({1,2,3,4}, DAY(XT!U203), DAY(XT!Y203), DAY(XT!AC203), DAY(XT!AG203)), MATCH(1, INDEX(--(MONTH(CHOOSE({1,2,3,4}, XT!U203,XT!Y203,XT!AC203,XT!AG203))=3), 0), 0)), "")</f>
        <v/>
      </c>
      <c r="K203" s="12" t="str">
        <f>IF(XT!$P203&gt;0,J203,"")</f>
        <v/>
      </c>
      <c r="L203" s="12" t="str">
        <f>IF(XT!$P203=0,J203,"")</f>
        <v/>
      </c>
      <c r="M203">
        <f>SUMPRODUCT((MONTH(CHOOSE({1,2,3,4},XT!U203,XT!Y203,XT!AC203,XT!AG203))=4)*(CHOOSE({1,2,3,4},XT!X203,XT!AB203,XT!AF203,XT!AJ203)))</f>
        <v>0</v>
      </c>
      <c r="N203" t="str">
        <f>IFERROR(INDEX(CHOOSE({1,2,3,4}, DAY(XT!U203), DAY(XT!Y203), DAY(XT!AC203), DAY(XT!AG203)), MATCH(1, INDEX(--(MONTH(CHOOSE({1,2,3,4}, XT!U203,XT!Y203,XT!AC203,XT!AG203))=4), 0), 0)), "")</f>
        <v/>
      </c>
      <c r="O203" s="12" t="str">
        <f>IF(XT!$P203&gt;0,N203,"")</f>
        <v/>
      </c>
      <c r="P203" s="12" t="str">
        <f>IF(XT!$P203=0,N203,"")</f>
        <v/>
      </c>
      <c r="Q203">
        <f>SUMPRODUCT((MONTH(CHOOSE({1,2,3,4},XT!U203,XT!Y203,XT!AC203,XT!AG203))=5)*(CHOOSE({1,2,3,4},XT!X203,XT!AB203,XT!AF203,XT!AJ203)))</f>
        <v>0</v>
      </c>
      <c r="R203" t="str">
        <f>IFERROR(INDEX(CHOOSE({1,2,3,4}, DAY(XT!U203), DAY(XT!Y203), DAY(XT!AC203), DAY(XT!AG203)), MATCH(1, INDEX(--(MONTH(CHOOSE({1,2,3,4}, XT!U203,XT!Y203,XT!AC203,XT!AG203))=5), 0), 0)), "")</f>
        <v/>
      </c>
      <c r="S203" s="12" t="str">
        <f>IF(XT!$P203&gt;0,R203,"")</f>
        <v/>
      </c>
      <c r="T203" s="12" t="str">
        <f>IF(XT!$P203=0,R203,"")</f>
        <v/>
      </c>
      <c r="U203">
        <f>SUMPRODUCT((MONTH(CHOOSE({1,2,3,4},XT!U203,XT!Y203,XT!AC203,XT!AG203))=6)*(CHOOSE({1,2,3,4},XT!X203,XT!AB203,XT!AF203,XT!AJ203)))</f>
        <v>0</v>
      </c>
      <c r="V203" t="str">
        <f>IFERROR(INDEX(CHOOSE({1,2,3,4}, DAY(XT!U203), DAY(XT!Y203), DAY(XT!AC203), DAY(XT!AG203)), MATCH(1, INDEX(--(MONTH(CHOOSE({1,2,3,4}, XT!U203,XT!Y203,XT!AC203,XT!AG203))=6), 0), 0)), "")</f>
        <v/>
      </c>
      <c r="W203" s="12" t="str">
        <f>IF(XT!$P203&gt;0,V203,"")</f>
        <v/>
      </c>
      <c r="X203" s="12" t="str">
        <f>IF(XT!$P203=0,V203,"")</f>
        <v/>
      </c>
      <c r="Y203">
        <f>SUMPRODUCT((MONTH(CHOOSE({1,2,3,4},XT!U203,XT!Y203,XT!AC203,XT!AG203))=7)*(CHOOSE({1,2,3,4},XT!X203,XT!AB203,XT!AF203,XT!AJ203)))</f>
        <v>0</v>
      </c>
      <c r="Z203" t="str">
        <f>IFERROR(INDEX(CHOOSE({1,2,3,4}, DAY(XT!U203), DAY(XT!Y203), DAY(XT!AC203), DAY(XT!AG203)), MATCH(1, INDEX(--(MONTH(CHOOSE({1,2,3,4}, XT!U203,XT!Y203,XT!AC203,XT!AG203))=7), 0), 0)), "")</f>
        <v/>
      </c>
      <c r="AA203" s="12" t="str">
        <f>IF(XT!$P203&gt;0,Z203,"")</f>
        <v/>
      </c>
      <c r="AB203" s="12" t="str">
        <f>IF(XT!$P203=0,Z203,"")</f>
        <v/>
      </c>
      <c r="AC203">
        <f>SUMPRODUCT((MONTH(CHOOSE({1,2,3,4},XT!U203,XT!Y203,XT!AC203,XT!AG203))=8)*(CHOOSE({1,2,3,4},XT!X203,XT!AB203,XT!AF203,XT!AJ203)))</f>
        <v>0</v>
      </c>
      <c r="AD203" t="str">
        <f>IFERROR(INDEX(CHOOSE({1,2,3,4}, DAY(XT!U203), DAY(XT!Y203), DAY(XT!AC203), DAY(XT!AG203)), MATCH(1, INDEX(--(MONTH(CHOOSE({1,2,3,4}, XT!U203,XT!Y203,XT!AC203,XT!AG203))=8), 0), 0)), "")</f>
        <v/>
      </c>
      <c r="AE203" s="12" t="str">
        <f>IF(XT!$P203&gt;0,AD203,"")</f>
        <v/>
      </c>
      <c r="AF203" s="12" t="str">
        <f>IF(XT!$P203=0,AD203,"")</f>
        <v/>
      </c>
      <c r="AG203">
        <f>SUMPRODUCT((MONTH(CHOOSE({1,2,3,4},XT!U203,XT!Y203,XT!AC203,XT!AG203))=9)*(CHOOSE({1,2,3,4},XT!X203,XT!AB203,XT!AF203,XT!AJ203)))</f>
        <v>0</v>
      </c>
      <c r="AH203" t="str">
        <f>IFERROR(INDEX(CHOOSE({1,2,3,4}, DAY(XT!U203), DAY(XT!Y203), DAY(XT!AC203), DAY(XT!AG203)), MATCH(1, INDEX(--(MONTH(CHOOSE({1,2,3,4}, XT!U203,XT!Y203,XT!AC203,XT!AG203))=9), 0), 0)), "")</f>
        <v/>
      </c>
      <c r="AI203" s="12" t="str">
        <f>IF(XT!$P203&gt;0,AH203,"")</f>
        <v/>
      </c>
      <c r="AJ203" s="12" t="str">
        <f>IF(XT!$P203=0,AH203,"")</f>
        <v/>
      </c>
      <c r="AK203">
        <f>SUMPRODUCT((MONTH(CHOOSE({1,2,3,4},XT!U203,XT!Y203,XT!AC203,XT!AG203))=10)*(CHOOSE({1,2,3,4},XT!X203,XT!AB203,XT!AF203,XT!AJ203)))</f>
        <v>0</v>
      </c>
      <c r="AL203" t="str">
        <f>IFERROR(INDEX(CHOOSE({1,2,3,4}, DAY(XT!U203), DAY(XT!Y203), DAY(XT!AC203), DAY(XT!AG203)), MATCH(1, INDEX(--(MONTH(CHOOSE({1,2,3,4}, XT!U203,XT!Y203,XT!AC203,XT!AG203))=10), 0), 0)), "")</f>
        <v/>
      </c>
      <c r="AM203" s="12" t="str">
        <f>IF(XT!$P203&gt;0,AL203,"")</f>
        <v/>
      </c>
      <c r="AN203" s="12" t="str">
        <f>IF(XT!$P203=0,AL203,"")</f>
        <v/>
      </c>
      <c r="AO203">
        <f>SUMPRODUCT((MONTH(CHOOSE({1,2,3,4},XT!U203,XT!Y203,XT!AC203,XT!AG203))=11)*(CHOOSE({1,2,3,4},XT!X203,XT!AB203,XT!AF203,XT!AJ203)))</f>
        <v>0</v>
      </c>
      <c r="AP203" t="str">
        <f>IFERROR(INDEX(CHOOSE({1,2,3,4}, DAY(XT!U203), DAY(XT!Y203), DAY(XT!AC203), DAY(XT!AG203)), MATCH(1, INDEX(--(MONTH(CHOOSE({1,2,3,4}, XT!U203,XT!Y203,XT!AC203,XT!AG203))=11), 0), 0)), "")</f>
        <v/>
      </c>
      <c r="AQ203" s="12" t="str">
        <f>IF(XT!$P203&gt;0,AP203,"")</f>
        <v/>
      </c>
      <c r="AR203" s="12" t="str">
        <f>IF(XT!$P203=0,AP203,"")</f>
        <v/>
      </c>
      <c r="AS203">
        <f>SUMPRODUCT((MONTH(CHOOSE({1,2,3,4},XT!U203,XT!Y203,XT!AC203,XT!AG203))=12)*(CHOOSE({1,2,3,4},XT!X203,XT!AB203,XT!AF203,XT!AJ203)))</f>
        <v>0</v>
      </c>
      <c r="AT203" t="str">
        <f>IFERROR(INDEX(CHOOSE({1,2,3,4}, DAY(XT!U203), DAY(XT!Y203), DAY(XT!AC203), DAY(XT!AG203)), MATCH(1, INDEX(--(MONTH(CHOOSE({1,2,3,4}, XT!U203,XT!Y203,XT!AC203,XT!AG203))=12), 0), 0)), "")</f>
        <v/>
      </c>
      <c r="AU203" s="12" t="str">
        <f>IF(XT!$P203&gt;0,AT203,"")</f>
        <v/>
      </c>
      <c r="AV203" s="12" t="str">
        <f>IF(XT!$P203=0,AT203,"")</f>
        <v/>
      </c>
    </row>
    <row r="204" spans="1:48">
      <c r="A204">
        <f>SUMPRODUCT((MONTH(CHOOSE({1,2,3,4},XT!U204,XT!Y204,XT!AC204,XT!AG204))=1)*(CHOOSE({1,2,3,4},XT!X204,XT!AB204,XT!AF204,XT!AJ204)))</f>
        <v>0</v>
      </c>
      <c r="B204">
        <f>IFERROR(INDEX(CHOOSE({1,2,3,4}, DAY(XT!U204), DAY(XT!Y204), DAY(XT!AC204), DAY(XT!AG204)), MATCH(1, INDEX(--(MONTH(CHOOSE({1,2,3,4}, XT!U204,XT!Y204,XT!AC204,XT!AG204))=1), 0), 0)), "")</f>
        <v>0</v>
      </c>
      <c r="C204" s="12" t="str">
        <f>IF(XT!$P204&gt;0,B204,"")</f>
        <v/>
      </c>
      <c r="D204" s="12">
        <f>IF(XT!$P204=0,B204,"")</f>
        <v>0</v>
      </c>
      <c r="E204">
        <f>SUMPRODUCT((MONTH(CHOOSE({1,2,3,4},XT!U204,XT!Y204,XT!AC204,XT!AG204))=2)*(CHOOSE({1,2,3,4},XT!X204,XT!AB204,XT!AF204,XT!AJ204)))</f>
        <v>0</v>
      </c>
      <c r="F204" t="str">
        <f>IFERROR(INDEX(CHOOSE({1,2,3,4}, DAY(XT!U204), DAY(XT!Y204), DAY(XT!AC204), DAY(XT!AG204)), MATCH(1, INDEX(--(MONTH(CHOOSE({1,2,3,4}, XT!U204,XT!Y204,XT!AC204,XT!AG204))=2), 0), 0)), "")</f>
        <v/>
      </c>
      <c r="G204" s="12" t="str">
        <f>IF(XT!$P204&gt;0,F204,"")</f>
        <v/>
      </c>
      <c r="H204" s="12" t="str">
        <f>IF(XT!$P204=0,F204,"")</f>
        <v/>
      </c>
      <c r="I204">
        <f>SUMPRODUCT((MONTH(CHOOSE({1,2,3,4},XT!U204,XT!Y204,XT!AC204,XT!AG204))=3)*(CHOOSE({1,2,3,4},XT!X204,XT!AB204,XT!AF204,XT!AJ204)))</f>
        <v>0</v>
      </c>
      <c r="J204" t="str">
        <f>IFERROR(INDEX(CHOOSE({1,2,3,4}, DAY(XT!U204), DAY(XT!Y204), DAY(XT!AC204), DAY(XT!AG204)), MATCH(1, INDEX(--(MONTH(CHOOSE({1,2,3,4}, XT!U204,XT!Y204,XT!AC204,XT!AG204))=3), 0), 0)), "")</f>
        <v/>
      </c>
      <c r="K204" s="12" t="str">
        <f>IF(XT!$P204&gt;0,J204,"")</f>
        <v/>
      </c>
      <c r="L204" s="12" t="str">
        <f>IF(XT!$P204=0,J204,"")</f>
        <v/>
      </c>
      <c r="M204">
        <f>SUMPRODUCT((MONTH(CHOOSE({1,2,3,4},XT!U204,XT!Y204,XT!AC204,XT!AG204))=4)*(CHOOSE({1,2,3,4},XT!X204,XT!AB204,XT!AF204,XT!AJ204)))</f>
        <v>0</v>
      </c>
      <c r="N204" t="str">
        <f>IFERROR(INDEX(CHOOSE({1,2,3,4}, DAY(XT!U204), DAY(XT!Y204), DAY(XT!AC204), DAY(XT!AG204)), MATCH(1, INDEX(--(MONTH(CHOOSE({1,2,3,4}, XT!U204,XT!Y204,XT!AC204,XT!AG204))=4), 0), 0)), "")</f>
        <v/>
      </c>
      <c r="O204" s="12" t="str">
        <f>IF(XT!$P204&gt;0,N204,"")</f>
        <v/>
      </c>
      <c r="P204" s="12" t="str">
        <f>IF(XT!$P204=0,N204,"")</f>
        <v/>
      </c>
      <c r="Q204">
        <f>SUMPRODUCT((MONTH(CHOOSE({1,2,3,4},XT!U204,XT!Y204,XT!AC204,XT!AG204))=5)*(CHOOSE({1,2,3,4},XT!X204,XT!AB204,XT!AF204,XT!AJ204)))</f>
        <v>0</v>
      </c>
      <c r="R204" t="str">
        <f>IFERROR(INDEX(CHOOSE({1,2,3,4}, DAY(XT!U204), DAY(XT!Y204), DAY(XT!AC204), DAY(XT!AG204)), MATCH(1, INDEX(--(MONTH(CHOOSE({1,2,3,4}, XT!U204,XT!Y204,XT!AC204,XT!AG204))=5), 0), 0)), "")</f>
        <v/>
      </c>
      <c r="S204" s="12" t="str">
        <f>IF(XT!$P204&gt;0,R204,"")</f>
        <v/>
      </c>
      <c r="T204" s="12" t="str">
        <f>IF(XT!$P204=0,R204,"")</f>
        <v/>
      </c>
      <c r="U204">
        <f>SUMPRODUCT((MONTH(CHOOSE({1,2,3,4},XT!U204,XT!Y204,XT!AC204,XT!AG204))=6)*(CHOOSE({1,2,3,4},XT!X204,XT!AB204,XT!AF204,XT!AJ204)))</f>
        <v>0</v>
      </c>
      <c r="V204" t="str">
        <f>IFERROR(INDEX(CHOOSE({1,2,3,4}, DAY(XT!U204), DAY(XT!Y204), DAY(XT!AC204), DAY(XT!AG204)), MATCH(1, INDEX(--(MONTH(CHOOSE({1,2,3,4}, XT!U204,XT!Y204,XT!AC204,XT!AG204))=6), 0), 0)), "")</f>
        <v/>
      </c>
      <c r="W204" s="12" t="str">
        <f>IF(XT!$P204&gt;0,V204,"")</f>
        <v/>
      </c>
      <c r="X204" s="12" t="str">
        <f>IF(XT!$P204=0,V204,"")</f>
        <v/>
      </c>
      <c r="Y204">
        <f>SUMPRODUCT((MONTH(CHOOSE({1,2,3,4},XT!U204,XT!Y204,XT!AC204,XT!AG204))=7)*(CHOOSE({1,2,3,4},XT!X204,XT!AB204,XT!AF204,XT!AJ204)))</f>
        <v>0</v>
      </c>
      <c r="Z204" t="str">
        <f>IFERROR(INDEX(CHOOSE({1,2,3,4}, DAY(XT!U204), DAY(XT!Y204), DAY(XT!AC204), DAY(XT!AG204)), MATCH(1, INDEX(--(MONTH(CHOOSE({1,2,3,4}, XT!U204,XT!Y204,XT!AC204,XT!AG204))=7), 0), 0)), "")</f>
        <v/>
      </c>
      <c r="AA204" s="12" t="str">
        <f>IF(XT!$P204&gt;0,Z204,"")</f>
        <v/>
      </c>
      <c r="AB204" s="12" t="str">
        <f>IF(XT!$P204=0,Z204,"")</f>
        <v/>
      </c>
      <c r="AC204">
        <f>SUMPRODUCT((MONTH(CHOOSE({1,2,3,4},XT!U204,XT!Y204,XT!AC204,XT!AG204))=8)*(CHOOSE({1,2,3,4},XT!X204,XT!AB204,XT!AF204,XT!AJ204)))</f>
        <v>0</v>
      </c>
      <c r="AD204" t="str">
        <f>IFERROR(INDEX(CHOOSE({1,2,3,4}, DAY(XT!U204), DAY(XT!Y204), DAY(XT!AC204), DAY(XT!AG204)), MATCH(1, INDEX(--(MONTH(CHOOSE({1,2,3,4}, XT!U204,XT!Y204,XT!AC204,XT!AG204))=8), 0), 0)), "")</f>
        <v/>
      </c>
      <c r="AE204" s="12" t="str">
        <f>IF(XT!$P204&gt;0,AD204,"")</f>
        <v/>
      </c>
      <c r="AF204" s="12" t="str">
        <f>IF(XT!$P204=0,AD204,"")</f>
        <v/>
      </c>
      <c r="AG204">
        <f>SUMPRODUCT((MONTH(CHOOSE({1,2,3,4},XT!U204,XT!Y204,XT!AC204,XT!AG204))=9)*(CHOOSE({1,2,3,4},XT!X204,XT!AB204,XT!AF204,XT!AJ204)))</f>
        <v>0</v>
      </c>
      <c r="AH204" t="str">
        <f>IFERROR(INDEX(CHOOSE({1,2,3,4}, DAY(XT!U204), DAY(XT!Y204), DAY(XT!AC204), DAY(XT!AG204)), MATCH(1, INDEX(--(MONTH(CHOOSE({1,2,3,4}, XT!U204,XT!Y204,XT!AC204,XT!AG204))=9), 0), 0)), "")</f>
        <v/>
      </c>
      <c r="AI204" s="12" t="str">
        <f>IF(XT!$P204&gt;0,AH204,"")</f>
        <v/>
      </c>
      <c r="AJ204" s="12" t="str">
        <f>IF(XT!$P204=0,AH204,"")</f>
        <v/>
      </c>
      <c r="AK204">
        <f>SUMPRODUCT((MONTH(CHOOSE({1,2,3,4},XT!U204,XT!Y204,XT!AC204,XT!AG204))=10)*(CHOOSE({1,2,3,4},XT!X204,XT!AB204,XT!AF204,XT!AJ204)))</f>
        <v>0</v>
      </c>
      <c r="AL204" t="str">
        <f>IFERROR(INDEX(CHOOSE({1,2,3,4}, DAY(XT!U204), DAY(XT!Y204), DAY(XT!AC204), DAY(XT!AG204)), MATCH(1, INDEX(--(MONTH(CHOOSE({1,2,3,4}, XT!U204,XT!Y204,XT!AC204,XT!AG204))=10), 0), 0)), "")</f>
        <v/>
      </c>
      <c r="AM204" s="12" t="str">
        <f>IF(XT!$P204&gt;0,AL204,"")</f>
        <v/>
      </c>
      <c r="AN204" s="12" t="str">
        <f>IF(XT!$P204=0,AL204,"")</f>
        <v/>
      </c>
      <c r="AO204">
        <f>SUMPRODUCT((MONTH(CHOOSE({1,2,3,4},XT!U204,XT!Y204,XT!AC204,XT!AG204))=11)*(CHOOSE({1,2,3,4},XT!X204,XT!AB204,XT!AF204,XT!AJ204)))</f>
        <v>0</v>
      </c>
      <c r="AP204" t="str">
        <f>IFERROR(INDEX(CHOOSE({1,2,3,4}, DAY(XT!U204), DAY(XT!Y204), DAY(XT!AC204), DAY(XT!AG204)), MATCH(1, INDEX(--(MONTH(CHOOSE({1,2,3,4}, XT!U204,XT!Y204,XT!AC204,XT!AG204))=11), 0), 0)), "")</f>
        <v/>
      </c>
      <c r="AQ204" s="12" t="str">
        <f>IF(XT!$P204&gt;0,AP204,"")</f>
        <v/>
      </c>
      <c r="AR204" s="12" t="str">
        <f>IF(XT!$P204=0,AP204,"")</f>
        <v/>
      </c>
      <c r="AS204">
        <f>SUMPRODUCT((MONTH(CHOOSE({1,2,3,4},XT!U204,XT!Y204,XT!AC204,XT!AG204))=12)*(CHOOSE({1,2,3,4},XT!X204,XT!AB204,XT!AF204,XT!AJ204)))</f>
        <v>0</v>
      </c>
      <c r="AT204" t="str">
        <f>IFERROR(INDEX(CHOOSE({1,2,3,4}, DAY(XT!U204), DAY(XT!Y204), DAY(XT!AC204), DAY(XT!AG204)), MATCH(1, INDEX(--(MONTH(CHOOSE({1,2,3,4}, XT!U204,XT!Y204,XT!AC204,XT!AG204))=12), 0), 0)), "")</f>
        <v/>
      </c>
      <c r="AU204" s="12" t="str">
        <f>IF(XT!$P204&gt;0,AT204,"")</f>
        <v/>
      </c>
      <c r="AV204" s="12" t="str">
        <f>IF(XT!$P204=0,AT204,"")</f>
        <v/>
      </c>
    </row>
    <row r="205" spans="1:48">
      <c r="A205">
        <f>SUMPRODUCT((MONTH(CHOOSE({1,2,3,4},XT!U205,XT!Y205,XT!AC205,XT!AG205))=1)*(CHOOSE({1,2,3,4},XT!X205,XT!AB205,XT!AF205,XT!AJ205)))</f>
        <v>0</v>
      </c>
      <c r="B205">
        <f>IFERROR(INDEX(CHOOSE({1,2,3,4}, DAY(XT!U205), DAY(XT!Y205), DAY(XT!AC205), DAY(XT!AG205)), MATCH(1, INDEX(--(MONTH(CHOOSE({1,2,3,4}, XT!U205,XT!Y205,XT!AC205,XT!AG205))=1), 0), 0)), "")</f>
        <v>0</v>
      </c>
      <c r="C205" s="12" t="str">
        <f>IF(XT!$P205&gt;0,B205,"")</f>
        <v/>
      </c>
      <c r="D205" s="12">
        <f>IF(XT!$P205=0,B205,"")</f>
        <v>0</v>
      </c>
      <c r="E205">
        <f>SUMPRODUCT((MONTH(CHOOSE({1,2,3,4},XT!U205,XT!Y205,XT!AC205,XT!AG205))=2)*(CHOOSE({1,2,3,4},XT!X205,XT!AB205,XT!AF205,XT!AJ205)))</f>
        <v>0</v>
      </c>
      <c r="F205" t="str">
        <f>IFERROR(INDEX(CHOOSE({1,2,3,4}, DAY(XT!U205), DAY(XT!Y205), DAY(XT!AC205), DAY(XT!AG205)), MATCH(1, INDEX(--(MONTH(CHOOSE({1,2,3,4}, XT!U205,XT!Y205,XT!AC205,XT!AG205))=2), 0), 0)), "")</f>
        <v/>
      </c>
      <c r="G205" s="12" t="str">
        <f>IF(XT!$P205&gt;0,F205,"")</f>
        <v/>
      </c>
      <c r="H205" s="12" t="str">
        <f>IF(XT!$P205=0,F205,"")</f>
        <v/>
      </c>
      <c r="I205">
        <f>SUMPRODUCT((MONTH(CHOOSE({1,2,3,4},XT!U205,XT!Y205,XT!AC205,XT!AG205))=3)*(CHOOSE({1,2,3,4},XT!X205,XT!AB205,XT!AF205,XT!AJ205)))</f>
        <v>0</v>
      </c>
      <c r="J205" t="str">
        <f>IFERROR(INDEX(CHOOSE({1,2,3,4}, DAY(XT!U205), DAY(XT!Y205), DAY(XT!AC205), DAY(XT!AG205)), MATCH(1, INDEX(--(MONTH(CHOOSE({1,2,3,4}, XT!U205,XT!Y205,XT!AC205,XT!AG205))=3), 0), 0)), "")</f>
        <v/>
      </c>
      <c r="K205" s="12" t="str">
        <f>IF(XT!$P205&gt;0,J205,"")</f>
        <v/>
      </c>
      <c r="L205" s="12" t="str">
        <f>IF(XT!$P205=0,J205,"")</f>
        <v/>
      </c>
      <c r="M205">
        <f>SUMPRODUCT((MONTH(CHOOSE({1,2,3,4},XT!U205,XT!Y205,XT!AC205,XT!AG205))=4)*(CHOOSE({1,2,3,4},XT!X205,XT!AB205,XT!AF205,XT!AJ205)))</f>
        <v>0</v>
      </c>
      <c r="N205" t="str">
        <f>IFERROR(INDEX(CHOOSE({1,2,3,4}, DAY(XT!U205), DAY(XT!Y205), DAY(XT!AC205), DAY(XT!AG205)), MATCH(1, INDEX(--(MONTH(CHOOSE({1,2,3,4}, XT!U205,XT!Y205,XT!AC205,XT!AG205))=4), 0), 0)), "")</f>
        <v/>
      </c>
      <c r="O205" s="12" t="str">
        <f>IF(XT!$P205&gt;0,N205,"")</f>
        <v/>
      </c>
      <c r="P205" s="12" t="str">
        <f>IF(XT!$P205=0,N205,"")</f>
        <v/>
      </c>
      <c r="Q205">
        <f>SUMPRODUCT((MONTH(CHOOSE({1,2,3,4},XT!U205,XT!Y205,XT!AC205,XT!AG205))=5)*(CHOOSE({1,2,3,4},XT!X205,XT!AB205,XT!AF205,XT!AJ205)))</f>
        <v>0</v>
      </c>
      <c r="R205" t="str">
        <f>IFERROR(INDEX(CHOOSE({1,2,3,4}, DAY(XT!U205), DAY(XT!Y205), DAY(XT!AC205), DAY(XT!AG205)), MATCH(1, INDEX(--(MONTH(CHOOSE({1,2,3,4}, XT!U205,XT!Y205,XT!AC205,XT!AG205))=5), 0), 0)), "")</f>
        <v/>
      </c>
      <c r="S205" s="12" t="str">
        <f>IF(XT!$P205&gt;0,R205,"")</f>
        <v/>
      </c>
      <c r="T205" s="12" t="str">
        <f>IF(XT!$P205=0,R205,"")</f>
        <v/>
      </c>
      <c r="U205">
        <f>SUMPRODUCT((MONTH(CHOOSE({1,2,3,4},XT!U205,XT!Y205,XT!AC205,XT!AG205))=6)*(CHOOSE({1,2,3,4},XT!X205,XT!AB205,XT!AF205,XT!AJ205)))</f>
        <v>0</v>
      </c>
      <c r="V205" t="str">
        <f>IFERROR(INDEX(CHOOSE({1,2,3,4}, DAY(XT!U205), DAY(XT!Y205), DAY(XT!AC205), DAY(XT!AG205)), MATCH(1, INDEX(--(MONTH(CHOOSE({1,2,3,4}, XT!U205,XT!Y205,XT!AC205,XT!AG205))=6), 0), 0)), "")</f>
        <v/>
      </c>
      <c r="W205" s="12" t="str">
        <f>IF(XT!$P205&gt;0,V205,"")</f>
        <v/>
      </c>
      <c r="X205" s="12" t="str">
        <f>IF(XT!$P205=0,V205,"")</f>
        <v/>
      </c>
      <c r="Y205">
        <f>SUMPRODUCT((MONTH(CHOOSE({1,2,3,4},XT!U205,XT!Y205,XT!AC205,XT!AG205))=7)*(CHOOSE({1,2,3,4},XT!X205,XT!AB205,XT!AF205,XT!AJ205)))</f>
        <v>0</v>
      </c>
      <c r="Z205" t="str">
        <f>IFERROR(INDEX(CHOOSE({1,2,3,4}, DAY(XT!U205), DAY(XT!Y205), DAY(XT!AC205), DAY(XT!AG205)), MATCH(1, INDEX(--(MONTH(CHOOSE({1,2,3,4}, XT!U205,XT!Y205,XT!AC205,XT!AG205))=7), 0), 0)), "")</f>
        <v/>
      </c>
      <c r="AA205" s="12" t="str">
        <f>IF(XT!$P205&gt;0,Z205,"")</f>
        <v/>
      </c>
      <c r="AB205" s="12" t="str">
        <f>IF(XT!$P205=0,Z205,"")</f>
        <v/>
      </c>
      <c r="AC205">
        <f>SUMPRODUCT((MONTH(CHOOSE({1,2,3,4},XT!U205,XT!Y205,XT!AC205,XT!AG205))=8)*(CHOOSE({1,2,3,4},XT!X205,XT!AB205,XT!AF205,XT!AJ205)))</f>
        <v>0</v>
      </c>
      <c r="AD205" t="str">
        <f>IFERROR(INDEX(CHOOSE({1,2,3,4}, DAY(XT!U205), DAY(XT!Y205), DAY(XT!AC205), DAY(XT!AG205)), MATCH(1, INDEX(--(MONTH(CHOOSE({1,2,3,4}, XT!U205,XT!Y205,XT!AC205,XT!AG205))=8), 0), 0)), "")</f>
        <v/>
      </c>
      <c r="AE205" s="12" t="str">
        <f>IF(XT!$P205&gt;0,AD205,"")</f>
        <v/>
      </c>
      <c r="AF205" s="12" t="str">
        <f>IF(XT!$P205=0,AD205,"")</f>
        <v/>
      </c>
      <c r="AG205">
        <f>SUMPRODUCT((MONTH(CHOOSE({1,2,3,4},XT!U205,XT!Y205,XT!AC205,XT!AG205))=9)*(CHOOSE({1,2,3,4},XT!X205,XT!AB205,XT!AF205,XT!AJ205)))</f>
        <v>0</v>
      </c>
      <c r="AH205" t="str">
        <f>IFERROR(INDEX(CHOOSE({1,2,3,4}, DAY(XT!U205), DAY(XT!Y205), DAY(XT!AC205), DAY(XT!AG205)), MATCH(1, INDEX(--(MONTH(CHOOSE({1,2,3,4}, XT!U205,XT!Y205,XT!AC205,XT!AG205))=9), 0), 0)), "")</f>
        <v/>
      </c>
      <c r="AI205" s="12" t="str">
        <f>IF(XT!$P205&gt;0,AH205,"")</f>
        <v/>
      </c>
      <c r="AJ205" s="12" t="str">
        <f>IF(XT!$P205=0,AH205,"")</f>
        <v/>
      </c>
      <c r="AK205">
        <f>SUMPRODUCT((MONTH(CHOOSE({1,2,3,4},XT!U205,XT!Y205,XT!AC205,XT!AG205))=10)*(CHOOSE({1,2,3,4},XT!X205,XT!AB205,XT!AF205,XT!AJ205)))</f>
        <v>0</v>
      </c>
      <c r="AL205" t="str">
        <f>IFERROR(INDEX(CHOOSE({1,2,3,4}, DAY(XT!U205), DAY(XT!Y205), DAY(XT!AC205), DAY(XT!AG205)), MATCH(1, INDEX(--(MONTH(CHOOSE({1,2,3,4}, XT!U205,XT!Y205,XT!AC205,XT!AG205))=10), 0), 0)), "")</f>
        <v/>
      </c>
      <c r="AM205" s="12" t="str">
        <f>IF(XT!$P205&gt;0,AL205,"")</f>
        <v/>
      </c>
      <c r="AN205" s="12" t="str">
        <f>IF(XT!$P205=0,AL205,"")</f>
        <v/>
      </c>
      <c r="AO205">
        <f>SUMPRODUCT((MONTH(CHOOSE({1,2,3,4},XT!U205,XT!Y205,XT!AC205,XT!AG205))=11)*(CHOOSE({1,2,3,4},XT!X205,XT!AB205,XT!AF205,XT!AJ205)))</f>
        <v>0</v>
      </c>
      <c r="AP205" t="str">
        <f>IFERROR(INDEX(CHOOSE({1,2,3,4}, DAY(XT!U205), DAY(XT!Y205), DAY(XT!AC205), DAY(XT!AG205)), MATCH(1, INDEX(--(MONTH(CHOOSE({1,2,3,4}, XT!U205,XT!Y205,XT!AC205,XT!AG205))=11), 0), 0)), "")</f>
        <v/>
      </c>
      <c r="AQ205" s="12" t="str">
        <f>IF(XT!$P205&gt;0,AP205,"")</f>
        <v/>
      </c>
      <c r="AR205" s="12" t="str">
        <f>IF(XT!$P205=0,AP205,"")</f>
        <v/>
      </c>
      <c r="AS205">
        <f>SUMPRODUCT((MONTH(CHOOSE({1,2,3,4},XT!U205,XT!Y205,XT!AC205,XT!AG205))=12)*(CHOOSE({1,2,3,4},XT!X205,XT!AB205,XT!AF205,XT!AJ205)))</f>
        <v>0</v>
      </c>
      <c r="AT205" t="str">
        <f>IFERROR(INDEX(CHOOSE({1,2,3,4}, DAY(XT!U205), DAY(XT!Y205), DAY(XT!AC205), DAY(XT!AG205)), MATCH(1, INDEX(--(MONTH(CHOOSE({1,2,3,4}, XT!U205,XT!Y205,XT!AC205,XT!AG205))=12), 0), 0)), "")</f>
        <v/>
      </c>
      <c r="AU205" s="12" t="str">
        <f>IF(XT!$P205&gt;0,AT205,"")</f>
        <v/>
      </c>
      <c r="AV205" s="12" t="str">
        <f>IF(XT!$P205=0,AT205,"")</f>
        <v/>
      </c>
    </row>
    <row r="206" spans="1:48">
      <c r="A206">
        <f>SUMPRODUCT((MONTH(CHOOSE({1,2,3,4},XT!U206,XT!Y206,XT!AC206,XT!AG206))=1)*(CHOOSE({1,2,3,4},XT!X206,XT!AB206,XT!AF206,XT!AJ206)))</f>
        <v>0</v>
      </c>
      <c r="B206">
        <f>IFERROR(INDEX(CHOOSE({1,2,3,4}, DAY(XT!U206), DAY(XT!Y206), DAY(XT!AC206), DAY(XT!AG206)), MATCH(1, INDEX(--(MONTH(CHOOSE({1,2,3,4}, XT!U206,XT!Y206,XT!AC206,XT!AG206))=1), 0), 0)), "")</f>
        <v>0</v>
      </c>
      <c r="C206" s="12" t="str">
        <f>IF(XT!$P206&gt;0,B206,"")</f>
        <v/>
      </c>
      <c r="D206" s="12">
        <f>IF(XT!$P206=0,B206,"")</f>
        <v>0</v>
      </c>
      <c r="E206">
        <f>SUMPRODUCT((MONTH(CHOOSE({1,2,3,4},XT!U206,XT!Y206,XT!AC206,XT!AG206))=2)*(CHOOSE({1,2,3,4},XT!X206,XT!AB206,XT!AF206,XT!AJ206)))</f>
        <v>0</v>
      </c>
      <c r="F206" t="str">
        <f>IFERROR(INDEX(CHOOSE({1,2,3,4}, DAY(XT!U206), DAY(XT!Y206), DAY(XT!AC206), DAY(XT!AG206)), MATCH(1, INDEX(--(MONTH(CHOOSE({1,2,3,4}, XT!U206,XT!Y206,XT!AC206,XT!AG206))=2), 0), 0)), "")</f>
        <v/>
      </c>
      <c r="G206" s="12" t="str">
        <f>IF(XT!$P206&gt;0,F206,"")</f>
        <v/>
      </c>
      <c r="H206" s="12" t="str">
        <f>IF(XT!$P206=0,F206,"")</f>
        <v/>
      </c>
      <c r="I206">
        <f>SUMPRODUCT((MONTH(CHOOSE({1,2,3,4},XT!U206,XT!Y206,XT!AC206,XT!AG206))=3)*(CHOOSE({1,2,3,4},XT!X206,XT!AB206,XT!AF206,XT!AJ206)))</f>
        <v>0</v>
      </c>
      <c r="J206" t="str">
        <f>IFERROR(INDEX(CHOOSE({1,2,3,4}, DAY(XT!U206), DAY(XT!Y206), DAY(XT!AC206), DAY(XT!AG206)), MATCH(1, INDEX(--(MONTH(CHOOSE({1,2,3,4}, XT!U206,XT!Y206,XT!AC206,XT!AG206))=3), 0), 0)), "")</f>
        <v/>
      </c>
      <c r="K206" s="12" t="str">
        <f>IF(XT!$P206&gt;0,J206,"")</f>
        <v/>
      </c>
      <c r="L206" s="12" t="str">
        <f>IF(XT!$P206=0,J206,"")</f>
        <v/>
      </c>
      <c r="M206">
        <f>SUMPRODUCT((MONTH(CHOOSE({1,2,3,4},XT!U206,XT!Y206,XT!AC206,XT!AG206))=4)*(CHOOSE({1,2,3,4},XT!X206,XT!AB206,XT!AF206,XT!AJ206)))</f>
        <v>0</v>
      </c>
      <c r="N206" t="str">
        <f>IFERROR(INDEX(CHOOSE({1,2,3,4}, DAY(XT!U206), DAY(XT!Y206), DAY(XT!AC206), DAY(XT!AG206)), MATCH(1, INDEX(--(MONTH(CHOOSE({1,2,3,4}, XT!U206,XT!Y206,XT!AC206,XT!AG206))=4), 0), 0)), "")</f>
        <v/>
      </c>
      <c r="O206" s="12" t="str">
        <f>IF(XT!$P206&gt;0,N206,"")</f>
        <v/>
      </c>
      <c r="P206" s="12" t="str">
        <f>IF(XT!$P206=0,N206,"")</f>
        <v/>
      </c>
      <c r="Q206">
        <f>SUMPRODUCT((MONTH(CHOOSE({1,2,3,4},XT!U206,XT!Y206,XT!AC206,XT!AG206))=5)*(CHOOSE({1,2,3,4},XT!X206,XT!AB206,XT!AF206,XT!AJ206)))</f>
        <v>0</v>
      </c>
      <c r="R206" t="str">
        <f>IFERROR(INDEX(CHOOSE({1,2,3,4}, DAY(XT!U206), DAY(XT!Y206), DAY(XT!AC206), DAY(XT!AG206)), MATCH(1, INDEX(--(MONTH(CHOOSE({1,2,3,4}, XT!U206,XT!Y206,XT!AC206,XT!AG206))=5), 0), 0)), "")</f>
        <v/>
      </c>
      <c r="S206" s="12" t="str">
        <f>IF(XT!$P206&gt;0,R206,"")</f>
        <v/>
      </c>
      <c r="T206" s="12" t="str">
        <f>IF(XT!$P206=0,R206,"")</f>
        <v/>
      </c>
      <c r="U206">
        <f>SUMPRODUCT((MONTH(CHOOSE({1,2,3,4},XT!U206,XT!Y206,XT!AC206,XT!AG206))=6)*(CHOOSE({1,2,3,4},XT!X206,XT!AB206,XT!AF206,XT!AJ206)))</f>
        <v>0</v>
      </c>
      <c r="V206" t="str">
        <f>IFERROR(INDEX(CHOOSE({1,2,3,4}, DAY(XT!U206), DAY(XT!Y206), DAY(XT!AC206), DAY(XT!AG206)), MATCH(1, INDEX(--(MONTH(CHOOSE({1,2,3,4}, XT!U206,XT!Y206,XT!AC206,XT!AG206))=6), 0), 0)), "")</f>
        <v/>
      </c>
      <c r="W206" s="12" t="str">
        <f>IF(XT!$P206&gt;0,V206,"")</f>
        <v/>
      </c>
      <c r="X206" s="12" t="str">
        <f>IF(XT!$P206=0,V206,"")</f>
        <v/>
      </c>
      <c r="Y206">
        <f>SUMPRODUCT((MONTH(CHOOSE({1,2,3,4},XT!U206,XT!Y206,XT!AC206,XT!AG206))=7)*(CHOOSE({1,2,3,4},XT!X206,XT!AB206,XT!AF206,XT!AJ206)))</f>
        <v>0</v>
      </c>
      <c r="Z206" t="str">
        <f>IFERROR(INDEX(CHOOSE({1,2,3,4}, DAY(XT!U206), DAY(XT!Y206), DAY(XT!AC206), DAY(XT!AG206)), MATCH(1, INDEX(--(MONTH(CHOOSE({1,2,3,4}, XT!U206,XT!Y206,XT!AC206,XT!AG206))=7), 0), 0)), "")</f>
        <v/>
      </c>
      <c r="AA206" s="12" t="str">
        <f>IF(XT!$P206&gt;0,Z206,"")</f>
        <v/>
      </c>
      <c r="AB206" s="12" t="str">
        <f>IF(XT!$P206=0,Z206,"")</f>
        <v/>
      </c>
      <c r="AC206">
        <f>SUMPRODUCT((MONTH(CHOOSE({1,2,3,4},XT!U206,XT!Y206,XT!AC206,XT!AG206))=8)*(CHOOSE({1,2,3,4},XT!X206,XT!AB206,XT!AF206,XT!AJ206)))</f>
        <v>0</v>
      </c>
      <c r="AD206" t="str">
        <f>IFERROR(INDEX(CHOOSE({1,2,3,4}, DAY(XT!U206), DAY(XT!Y206), DAY(XT!AC206), DAY(XT!AG206)), MATCH(1, INDEX(--(MONTH(CHOOSE({1,2,3,4}, XT!U206,XT!Y206,XT!AC206,XT!AG206))=8), 0), 0)), "")</f>
        <v/>
      </c>
      <c r="AE206" s="12" t="str">
        <f>IF(XT!$P206&gt;0,AD206,"")</f>
        <v/>
      </c>
      <c r="AF206" s="12" t="str">
        <f>IF(XT!$P206=0,AD206,"")</f>
        <v/>
      </c>
      <c r="AG206">
        <f>SUMPRODUCT((MONTH(CHOOSE({1,2,3,4},XT!U206,XT!Y206,XT!AC206,XT!AG206))=9)*(CHOOSE({1,2,3,4},XT!X206,XT!AB206,XT!AF206,XT!AJ206)))</f>
        <v>0</v>
      </c>
      <c r="AH206" t="str">
        <f>IFERROR(INDEX(CHOOSE({1,2,3,4}, DAY(XT!U206), DAY(XT!Y206), DAY(XT!AC206), DAY(XT!AG206)), MATCH(1, INDEX(--(MONTH(CHOOSE({1,2,3,4}, XT!U206,XT!Y206,XT!AC206,XT!AG206))=9), 0), 0)), "")</f>
        <v/>
      </c>
      <c r="AI206" s="12" t="str">
        <f>IF(XT!$P206&gt;0,AH206,"")</f>
        <v/>
      </c>
      <c r="AJ206" s="12" t="str">
        <f>IF(XT!$P206=0,AH206,"")</f>
        <v/>
      </c>
      <c r="AK206">
        <f>SUMPRODUCT((MONTH(CHOOSE({1,2,3,4},XT!U206,XT!Y206,XT!AC206,XT!AG206))=10)*(CHOOSE({1,2,3,4},XT!X206,XT!AB206,XT!AF206,XT!AJ206)))</f>
        <v>0</v>
      </c>
      <c r="AL206" t="str">
        <f>IFERROR(INDEX(CHOOSE({1,2,3,4}, DAY(XT!U206), DAY(XT!Y206), DAY(XT!AC206), DAY(XT!AG206)), MATCH(1, INDEX(--(MONTH(CHOOSE({1,2,3,4}, XT!U206,XT!Y206,XT!AC206,XT!AG206))=10), 0), 0)), "")</f>
        <v/>
      </c>
      <c r="AM206" s="12" t="str">
        <f>IF(XT!$P206&gt;0,AL206,"")</f>
        <v/>
      </c>
      <c r="AN206" s="12" t="str">
        <f>IF(XT!$P206=0,AL206,"")</f>
        <v/>
      </c>
      <c r="AO206">
        <f>SUMPRODUCT((MONTH(CHOOSE({1,2,3,4},XT!U206,XT!Y206,XT!AC206,XT!AG206))=11)*(CHOOSE({1,2,3,4},XT!X206,XT!AB206,XT!AF206,XT!AJ206)))</f>
        <v>0</v>
      </c>
      <c r="AP206" t="str">
        <f>IFERROR(INDEX(CHOOSE({1,2,3,4}, DAY(XT!U206), DAY(XT!Y206), DAY(XT!AC206), DAY(XT!AG206)), MATCH(1, INDEX(--(MONTH(CHOOSE({1,2,3,4}, XT!U206,XT!Y206,XT!AC206,XT!AG206))=11), 0), 0)), "")</f>
        <v/>
      </c>
      <c r="AQ206" s="12" t="str">
        <f>IF(XT!$P206&gt;0,AP206,"")</f>
        <v/>
      </c>
      <c r="AR206" s="12" t="str">
        <f>IF(XT!$P206=0,AP206,"")</f>
        <v/>
      </c>
      <c r="AS206">
        <f>SUMPRODUCT((MONTH(CHOOSE({1,2,3,4},XT!U206,XT!Y206,XT!AC206,XT!AG206))=12)*(CHOOSE({1,2,3,4},XT!X206,XT!AB206,XT!AF206,XT!AJ206)))</f>
        <v>0</v>
      </c>
      <c r="AT206" t="str">
        <f>IFERROR(INDEX(CHOOSE({1,2,3,4}, DAY(XT!U206), DAY(XT!Y206), DAY(XT!AC206), DAY(XT!AG206)), MATCH(1, INDEX(--(MONTH(CHOOSE({1,2,3,4}, XT!U206,XT!Y206,XT!AC206,XT!AG206))=12), 0), 0)), "")</f>
        <v/>
      </c>
      <c r="AU206" s="12" t="str">
        <f>IF(XT!$P206&gt;0,AT206,"")</f>
        <v/>
      </c>
      <c r="AV206" s="12" t="str">
        <f>IF(XT!$P206=0,AT206,"")</f>
        <v/>
      </c>
    </row>
    <row r="207" spans="1:48">
      <c r="A207">
        <f>SUMPRODUCT((MONTH(CHOOSE({1,2,3,4},XT!U207,XT!Y207,XT!AC207,XT!AG207))=1)*(CHOOSE({1,2,3,4},XT!X207,XT!AB207,XT!AF207,XT!AJ207)))</f>
        <v>0</v>
      </c>
      <c r="B207">
        <f>IFERROR(INDEX(CHOOSE({1,2,3,4}, DAY(XT!U207), DAY(XT!Y207), DAY(XT!AC207), DAY(XT!AG207)), MATCH(1, INDEX(--(MONTH(CHOOSE({1,2,3,4}, XT!U207,XT!Y207,XT!AC207,XT!AG207))=1), 0), 0)), "")</f>
        <v>0</v>
      </c>
      <c r="C207" s="12" t="str">
        <f>IF(XT!$P207&gt;0,B207,"")</f>
        <v/>
      </c>
      <c r="D207" s="12">
        <f>IF(XT!$P207=0,B207,"")</f>
        <v>0</v>
      </c>
      <c r="E207">
        <f>SUMPRODUCT((MONTH(CHOOSE({1,2,3,4},XT!U207,XT!Y207,XT!AC207,XT!AG207))=2)*(CHOOSE({1,2,3,4},XT!X207,XT!AB207,XT!AF207,XT!AJ207)))</f>
        <v>0</v>
      </c>
      <c r="F207" t="str">
        <f>IFERROR(INDEX(CHOOSE({1,2,3,4}, DAY(XT!U207), DAY(XT!Y207), DAY(XT!AC207), DAY(XT!AG207)), MATCH(1, INDEX(--(MONTH(CHOOSE({1,2,3,4}, XT!U207,XT!Y207,XT!AC207,XT!AG207))=2), 0), 0)), "")</f>
        <v/>
      </c>
      <c r="G207" s="12" t="str">
        <f>IF(XT!$P207&gt;0,F207,"")</f>
        <v/>
      </c>
      <c r="H207" s="12" t="str">
        <f>IF(XT!$P207=0,F207,"")</f>
        <v/>
      </c>
      <c r="I207">
        <f>SUMPRODUCT((MONTH(CHOOSE({1,2,3,4},XT!U207,XT!Y207,XT!AC207,XT!AG207))=3)*(CHOOSE({1,2,3,4},XT!X207,XT!AB207,XT!AF207,XT!AJ207)))</f>
        <v>0</v>
      </c>
      <c r="J207" t="str">
        <f>IFERROR(INDEX(CHOOSE({1,2,3,4}, DAY(XT!U207), DAY(XT!Y207), DAY(XT!AC207), DAY(XT!AG207)), MATCH(1, INDEX(--(MONTH(CHOOSE({1,2,3,4}, XT!U207,XT!Y207,XT!AC207,XT!AG207))=3), 0), 0)), "")</f>
        <v/>
      </c>
      <c r="K207" s="12" t="str">
        <f>IF(XT!$P207&gt;0,J207,"")</f>
        <v/>
      </c>
      <c r="L207" s="12" t="str">
        <f>IF(XT!$P207=0,J207,"")</f>
        <v/>
      </c>
      <c r="M207">
        <f>SUMPRODUCT((MONTH(CHOOSE({1,2,3,4},XT!U207,XT!Y207,XT!AC207,XT!AG207))=4)*(CHOOSE({1,2,3,4},XT!X207,XT!AB207,XT!AF207,XT!AJ207)))</f>
        <v>0</v>
      </c>
      <c r="N207" t="str">
        <f>IFERROR(INDEX(CHOOSE({1,2,3,4}, DAY(XT!U207), DAY(XT!Y207), DAY(XT!AC207), DAY(XT!AG207)), MATCH(1, INDEX(--(MONTH(CHOOSE({1,2,3,4}, XT!U207,XT!Y207,XT!AC207,XT!AG207))=4), 0), 0)), "")</f>
        <v/>
      </c>
      <c r="O207" s="12" t="str">
        <f>IF(XT!$P207&gt;0,N207,"")</f>
        <v/>
      </c>
      <c r="P207" s="12" t="str">
        <f>IF(XT!$P207=0,N207,"")</f>
        <v/>
      </c>
      <c r="Q207">
        <f>SUMPRODUCT((MONTH(CHOOSE({1,2,3,4},XT!U207,XT!Y207,XT!AC207,XT!AG207))=5)*(CHOOSE({1,2,3,4},XT!X207,XT!AB207,XT!AF207,XT!AJ207)))</f>
        <v>0</v>
      </c>
      <c r="R207" t="str">
        <f>IFERROR(INDEX(CHOOSE({1,2,3,4}, DAY(XT!U207), DAY(XT!Y207), DAY(XT!AC207), DAY(XT!AG207)), MATCH(1, INDEX(--(MONTH(CHOOSE({1,2,3,4}, XT!U207,XT!Y207,XT!AC207,XT!AG207))=5), 0), 0)), "")</f>
        <v/>
      </c>
      <c r="S207" s="12" t="str">
        <f>IF(XT!$P207&gt;0,R207,"")</f>
        <v/>
      </c>
      <c r="T207" s="12" t="str">
        <f>IF(XT!$P207=0,R207,"")</f>
        <v/>
      </c>
      <c r="U207">
        <f>SUMPRODUCT((MONTH(CHOOSE({1,2,3,4},XT!U207,XT!Y207,XT!AC207,XT!AG207))=6)*(CHOOSE({1,2,3,4},XT!X207,XT!AB207,XT!AF207,XT!AJ207)))</f>
        <v>0</v>
      </c>
      <c r="V207" t="str">
        <f>IFERROR(INDEX(CHOOSE({1,2,3,4}, DAY(XT!U207), DAY(XT!Y207), DAY(XT!AC207), DAY(XT!AG207)), MATCH(1, INDEX(--(MONTH(CHOOSE({1,2,3,4}, XT!U207,XT!Y207,XT!AC207,XT!AG207))=6), 0), 0)), "")</f>
        <v/>
      </c>
      <c r="W207" s="12" t="str">
        <f>IF(XT!$P207&gt;0,V207,"")</f>
        <v/>
      </c>
      <c r="X207" s="12" t="str">
        <f>IF(XT!$P207=0,V207,"")</f>
        <v/>
      </c>
      <c r="Y207">
        <f>SUMPRODUCT((MONTH(CHOOSE({1,2,3,4},XT!U207,XT!Y207,XT!AC207,XT!AG207))=7)*(CHOOSE({1,2,3,4},XT!X207,XT!AB207,XT!AF207,XT!AJ207)))</f>
        <v>0</v>
      </c>
      <c r="Z207" t="str">
        <f>IFERROR(INDEX(CHOOSE({1,2,3,4}, DAY(XT!U207), DAY(XT!Y207), DAY(XT!AC207), DAY(XT!AG207)), MATCH(1, INDEX(--(MONTH(CHOOSE({1,2,3,4}, XT!U207,XT!Y207,XT!AC207,XT!AG207))=7), 0), 0)), "")</f>
        <v/>
      </c>
      <c r="AA207" s="12" t="str">
        <f>IF(XT!$P207&gt;0,Z207,"")</f>
        <v/>
      </c>
      <c r="AB207" s="12" t="str">
        <f>IF(XT!$P207=0,Z207,"")</f>
        <v/>
      </c>
      <c r="AC207">
        <f>SUMPRODUCT((MONTH(CHOOSE({1,2,3,4},XT!U207,XT!Y207,XT!AC207,XT!AG207))=8)*(CHOOSE({1,2,3,4},XT!X207,XT!AB207,XT!AF207,XT!AJ207)))</f>
        <v>0</v>
      </c>
      <c r="AD207" t="str">
        <f>IFERROR(INDEX(CHOOSE({1,2,3,4}, DAY(XT!U207), DAY(XT!Y207), DAY(XT!AC207), DAY(XT!AG207)), MATCH(1, INDEX(--(MONTH(CHOOSE({1,2,3,4}, XT!U207,XT!Y207,XT!AC207,XT!AG207))=8), 0), 0)), "")</f>
        <v/>
      </c>
      <c r="AE207" s="12" t="str">
        <f>IF(XT!$P207&gt;0,AD207,"")</f>
        <v/>
      </c>
      <c r="AF207" s="12" t="str">
        <f>IF(XT!$P207=0,AD207,"")</f>
        <v/>
      </c>
      <c r="AG207">
        <f>SUMPRODUCT((MONTH(CHOOSE({1,2,3,4},XT!U207,XT!Y207,XT!AC207,XT!AG207))=9)*(CHOOSE({1,2,3,4},XT!X207,XT!AB207,XT!AF207,XT!AJ207)))</f>
        <v>0</v>
      </c>
      <c r="AH207" t="str">
        <f>IFERROR(INDEX(CHOOSE({1,2,3,4}, DAY(XT!U207), DAY(XT!Y207), DAY(XT!AC207), DAY(XT!AG207)), MATCH(1, INDEX(--(MONTH(CHOOSE({1,2,3,4}, XT!U207,XT!Y207,XT!AC207,XT!AG207))=9), 0), 0)), "")</f>
        <v/>
      </c>
      <c r="AI207" s="12" t="str">
        <f>IF(XT!$P207&gt;0,AH207,"")</f>
        <v/>
      </c>
      <c r="AJ207" s="12" t="str">
        <f>IF(XT!$P207=0,AH207,"")</f>
        <v/>
      </c>
      <c r="AK207">
        <f>SUMPRODUCT((MONTH(CHOOSE({1,2,3,4},XT!U207,XT!Y207,XT!AC207,XT!AG207))=10)*(CHOOSE({1,2,3,4},XT!X207,XT!AB207,XT!AF207,XT!AJ207)))</f>
        <v>0</v>
      </c>
      <c r="AL207" t="str">
        <f>IFERROR(INDEX(CHOOSE({1,2,3,4}, DAY(XT!U207), DAY(XT!Y207), DAY(XT!AC207), DAY(XT!AG207)), MATCH(1, INDEX(--(MONTH(CHOOSE({1,2,3,4}, XT!U207,XT!Y207,XT!AC207,XT!AG207))=10), 0), 0)), "")</f>
        <v/>
      </c>
      <c r="AM207" s="12" t="str">
        <f>IF(XT!$P207&gt;0,AL207,"")</f>
        <v/>
      </c>
      <c r="AN207" s="12" t="str">
        <f>IF(XT!$P207=0,AL207,"")</f>
        <v/>
      </c>
      <c r="AO207">
        <f>SUMPRODUCT((MONTH(CHOOSE({1,2,3,4},XT!U207,XT!Y207,XT!AC207,XT!AG207))=11)*(CHOOSE({1,2,3,4},XT!X207,XT!AB207,XT!AF207,XT!AJ207)))</f>
        <v>0</v>
      </c>
      <c r="AP207" t="str">
        <f>IFERROR(INDEX(CHOOSE({1,2,3,4}, DAY(XT!U207), DAY(XT!Y207), DAY(XT!AC207), DAY(XT!AG207)), MATCH(1, INDEX(--(MONTH(CHOOSE({1,2,3,4}, XT!U207,XT!Y207,XT!AC207,XT!AG207))=11), 0), 0)), "")</f>
        <v/>
      </c>
      <c r="AQ207" s="12" t="str">
        <f>IF(XT!$P207&gt;0,AP207,"")</f>
        <v/>
      </c>
      <c r="AR207" s="12" t="str">
        <f>IF(XT!$P207=0,AP207,"")</f>
        <v/>
      </c>
      <c r="AS207">
        <f>SUMPRODUCT((MONTH(CHOOSE({1,2,3,4},XT!U207,XT!Y207,XT!AC207,XT!AG207))=12)*(CHOOSE({1,2,3,4},XT!X207,XT!AB207,XT!AF207,XT!AJ207)))</f>
        <v>0</v>
      </c>
      <c r="AT207" t="str">
        <f>IFERROR(INDEX(CHOOSE({1,2,3,4}, DAY(XT!U207), DAY(XT!Y207), DAY(XT!AC207), DAY(XT!AG207)), MATCH(1, INDEX(--(MONTH(CHOOSE({1,2,3,4}, XT!U207,XT!Y207,XT!AC207,XT!AG207))=12), 0), 0)), "")</f>
        <v/>
      </c>
      <c r="AU207" s="12" t="str">
        <f>IF(XT!$P207&gt;0,AT207,"")</f>
        <v/>
      </c>
      <c r="AV207" s="12" t="str">
        <f>IF(XT!$P207=0,AT207,"")</f>
        <v/>
      </c>
    </row>
    <row r="208" spans="1:48">
      <c r="A208">
        <f>SUMPRODUCT((MONTH(CHOOSE({1,2,3,4},XT!U208,XT!Y208,XT!AC208,XT!AG208))=1)*(CHOOSE({1,2,3,4},XT!X208,XT!AB208,XT!AF208,XT!AJ208)))</f>
        <v>0</v>
      </c>
      <c r="B208">
        <f>IFERROR(INDEX(CHOOSE({1,2,3,4}, DAY(XT!U208), DAY(XT!Y208), DAY(XT!AC208), DAY(XT!AG208)), MATCH(1, INDEX(--(MONTH(CHOOSE({1,2,3,4}, XT!U208,XT!Y208,XT!AC208,XT!AG208))=1), 0), 0)), "")</f>
        <v>0</v>
      </c>
      <c r="C208" s="12" t="str">
        <f>IF(XT!$P208&gt;0,B208,"")</f>
        <v/>
      </c>
      <c r="D208" s="12">
        <f>IF(XT!$P208=0,B208,"")</f>
        <v>0</v>
      </c>
      <c r="E208">
        <f>SUMPRODUCT((MONTH(CHOOSE({1,2,3,4},XT!U208,XT!Y208,XT!AC208,XT!AG208))=2)*(CHOOSE({1,2,3,4},XT!X208,XT!AB208,XT!AF208,XT!AJ208)))</f>
        <v>0</v>
      </c>
      <c r="F208" t="str">
        <f>IFERROR(INDEX(CHOOSE({1,2,3,4}, DAY(XT!U208), DAY(XT!Y208), DAY(XT!AC208), DAY(XT!AG208)), MATCH(1, INDEX(--(MONTH(CHOOSE({1,2,3,4}, XT!U208,XT!Y208,XT!AC208,XT!AG208))=2), 0), 0)), "")</f>
        <v/>
      </c>
      <c r="G208" s="12" t="str">
        <f>IF(XT!$P208&gt;0,F208,"")</f>
        <v/>
      </c>
      <c r="H208" s="12" t="str">
        <f>IF(XT!$P208=0,F208,"")</f>
        <v/>
      </c>
      <c r="I208">
        <f>SUMPRODUCT((MONTH(CHOOSE({1,2,3,4},XT!U208,XT!Y208,XT!AC208,XT!AG208))=3)*(CHOOSE({1,2,3,4},XT!X208,XT!AB208,XT!AF208,XT!AJ208)))</f>
        <v>0</v>
      </c>
      <c r="J208" t="str">
        <f>IFERROR(INDEX(CHOOSE({1,2,3,4}, DAY(XT!U208), DAY(XT!Y208), DAY(XT!AC208), DAY(XT!AG208)), MATCH(1, INDEX(--(MONTH(CHOOSE({1,2,3,4}, XT!U208,XT!Y208,XT!AC208,XT!AG208))=3), 0), 0)), "")</f>
        <v/>
      </c>
      <c r="K208" s="12" t="str">
        <f>IF(XT!$P208&gt;0,J208,"")</f>
        <v/>
      </c>
      <c r="L208" s="12" t="str">
        <f>IF(XT!$P208=0,J208,"")</f>
        <v/>
      </c>
      <c r="M208">
        <f>SUMPRODUCT((MONTH(CHOOSE({1,2,3,4},XT!U208,XT!Y208,XT!AC208,XT!AG208))=4)*(CHOOSE({1,2,3,4},XT!X208,XT!AB208,XT!AF208,XT!AJ208)))</f>
        <v>0</v>
      </c>
      <c r="N208" t="str">
        <f>IFERROR(INDEX(CHOOSE({1,2,3,4}, DAY(XT!U208), DAY(XT!Y208), DAY(XT!AC208), DAY(XT!AG208)), MATCH(1, INDEX(--(MONTH(CHOOSE({1,2,3,4}, XT!U208,XT!Y208,XT!AC208,XT!AG208))=4), 0), 0)), "")</f>
        <v/>
      </c>
      <c r="O208" s="12" t="str">
        <f>IF(XT!$P208&gt;0,N208,"")</f>
        <v/>
      </c>
      <c r="P208" s="12" t="str">
        <f>IF(XT!$P208=0,N208,"")</f>
        <v/>
      </c>
      <c r="Q208">
        <f>SUMPRODUCT((MONTH(CHOOSE({1,2,3,4},XT!U208,XT!Y208,XT!AC208,XT!AG208))=5)*(CHOOSE({1,2,3,4},XT!X208,XT!AB208,XT!AF208,XT!AJ208)))</f>
        <v>0</v>
      </c>
      <c r="R208" t="str">
        <f>IFERROR(INDEX(CHOOSE({1,2,3,4}, DAY(XT!U208), DAY(XT!Y208), DAY(XT!AC208), DAY(XT!AG208)), MATCH(1, INDEX(--(MONTH(CHOOSE({1,2,3,4}, XT!U208,XT!Y208,XT!AC208,XT!AG208))=5), 0), 0)), "")</f>
        <v/>
      </c>
      <c r="S208" s="12" t="str">
        <f>IF(XT!$P208&gt;0,R208,"")</f>
        <v/>
      </c>
      <c r="T208" s="12" t="str">
        <f>IF(XT!$P208=0,R208,"")</f>
        <v/>
      </c>
      <c r="U208">
        <f>SUMPRODUCT((MONTH(CHOOSE({1,2,3,4},XT!U208,XT!Y208,XT!AC208,XT!AG208))=6)*(CHOOSE({1,2,3,4},XT!X208,XT!AB208,XT!AF208,XT!AJ208)))</f>
        <v>0</v>
      </c>
      <c r="V208" t="str">
        <f>IFERROR(INDEX(CHOOSE({1,2,3,4}, DAY(XT!U208), DAY(XT!Y208), DAY(XT!AC208), DAY(XT!AG208)), MATCH(1, INDEX(--(MONTH(CHOOSE({1,2,3,4}, XT!U208,XT!Y208,XT!AC208,XT!AG208))=6), 0), 0)), "")</f>
        <v/>
      </c>
      <c r="W208" s="12" t="str">
        <f>IF(XT!$P208&gt;0,V208,"")</f>
        <v/>
      </c>
      <c r="X208" s="12" t="str">
        <f>IF(XT!$P208=0,V208,"")</f>
        <v/>
      </c>
      <c r="Y208">
        <f>SUMPRODUCT((MONTH(CHOOSE({1,2,3,4},XT!U208,XT!Y208,XT!AC208,XT!AG208))=7)*(CHOOSE({1,2,3,4},XT!X208,XT!AB208,XT!AF208,XT!AJ208)))</f>
        <v>0</v>
      </c>
      <c r="Z208" t="str">
        <f>IFERROR(INDEX(CHOOSE({1,2,3,4}, DAY(XT!U208), DAY(XT!Y208), DAY(XT!AC208), DAY(XT!AG208)), MATCH(1, INDEX(--(MONTH(CHOOSE({1,2,3,4}, XT!U208,XT!Y208,XT!AC208,XT!AG208))=7), 0), 0)), "")</f>
        <v/>
      </c>
      <c r="AA208" s="12" t="str">
        <f>IF(XT!$P208&gt;0,Z208,"")</f>
        <v/>
      </c>
      <c r="AB208" s="12" t="str">
        <f>IF(XT!$P208=0,Z208,"")</f>
        <v/>
      </c>
      <c r="AC208">
        <f>SUMPRODUCT((MONTH(CHOOSE({1,2,3,4},XT!U208,XT!Y208,XT!AC208,XT!AG208))=8)*(CHOOSE({1,2,3,4},XT!X208,XT!AB208,XT!AF208,XT!AJ208)))</f>
        <v>0</v>
      </c>
      <c r="AD208" t="str">
        <f>IFERROR(INDEX(CHOOSE({1,2,3,4}, DAY(XT!U208), DAY(XT!Y208), DAY(XT!AC208), DAY(XT!AG208)), MATCH(1, INDEX(--(MONTH(CHOOSE({1,2,3,4}, XT!U208,XT!Y208,XT!AC208,XT!AG208))=8), 0), 0)), "")</f>
        <v/>
      </c>
      <c r="AE208" s="12" t="str">
        <f>IF(XT!$P208&gt;0,AD208,"")</f>
        <v/>
      </c>
      <c r="AF208" s="12" t="str">
        <f>IF(XT!$P208=0,AD208,"")</f>
        <v/>
      </c>
      <c r="AG208">
        <f>SUMPRODUCT((MONTH(CHOOSE({1,2,3,4},XT!U208,XT!Y208,XT!AC208,XT!AG208))=9)*(CHOOSE({1,2,3,4},XT!X208,XT!AB208,XT!AF208,XT!AJ208)))</f>
        <v>0</v>
      </c>
      <c r="AH208" t="str">
        <f>IFERROR(INDEX(CHOOSE({1,2,3,4}, DAY(XT!U208), DAY(XT!Y208), DAY(XT!AC208), DAY(XT!AG208)), MATCH(1, INDEX(--(MONTH(CHOOSE({1,2,3,4}, XT!U208,XT!Y208,XT!AC208,XT!AG208))=9), 0), 0)), "")</f>
        <v/>
      </c>
      <c r="AI208" s="12" t="str">
        <f>IF(XT!$P208&gt;0,AH208,"")</f>
        <v/>
      </c>
      <c r="AJ208" s="12" t="str">
        <f>IF(XT!$P208=0,AH208,"")</f>
        <v/>
      </c>
      <c r="AK208">
        <f>SUMPRODUCT((MONTH(CHOOSE({1,2,3,4},XT!U208,XT!Y208,XT!AC208,XT!AG208))=10)*(CHOOSE({1,2,3,4},XT!X208,XT!AB208,XT!AF208,XT!AJ208)))</f>
        <v>0</v>
      </c>
      <c r="AL208" t="str">
        <f>IFERROR(INDEX(CHOOSE({1,2,3,4}, DAY(XT!U208), DAY(XT!Y208), DAY(XT!AC208), DAY(XT!AG208)), MATCH(1, INDEX(--(MONTH(CHOOSE({1,2,3,4}, XT!U208,XT!Y208,XT!AC208,XT!AG208))=10), 0), 0)), "")</f>
        <v/>
      </c>
      <c r="AM208" s="12" t="str">
        <f>IF(XT!$P208&gt;0,AL208,"")</f>
        <v/>
      </c>
      <c r="AN208" s="12" t="str">
        <f>IF(XT!$P208=0,AL208,"")</f>
        <v/>
      </c>
      <c r="AO208">
        <f>SUMPRODUCT((MONTH(CHOOSE({1,2,3,4},XT!U208,XT!Y208,XT!AC208,XT!AG208))=11)*(CHOOSE({1,2,3,4},XT!X208,XT!AB208,XT!AF208,XT!AJ208)))</f>
        <v>0</v>
      </c>
      <c r="AP208" t="str">
        <f>IFERROR(INDEX(CHOOSE({1,2,3,4}, DAY(XT!U208), DAY(XT!Y208), DAY(XT!AC208), DAY(XT!AG208)), MATCH(1, INDEX(--(MONTH(CHOOSE({1,2,3,4}, XT!U208,XT!Y208,XT!AC208,XT!AG208))=11), 0), 0)), "")</f>
        <v/>
      </c>
      <c r="AQ208" s="12" t="str">
        <f>IF(XT!$P208&gt;0,AP208,"")</f>
        <v/>
      </c>
      <c r="AR208" s="12" t="str">
        <f>IF(XT!$P208=0,AP208,"")</f>
        <v/>
      </c>
      <c r="AS208">
        <f>SUMPRODUCT((MONTH(CHOOSE({1,2,3,4},XT!U208,XT!Y208,XT!AC208,XT!AG208))=12)*(CHOOSE({1,2,3,4},XT!X208,XT!AB208,XT!AF208,XT!AJ208)))</f>
        <v>0</v>
      </c>
      <c r="AT208" t="str">
        <f>IFERROR(INDEX(CHOOSE({1,2,3,4}, DAY(XT!U208), DAY(XT!Y208), DAY(XT!AC208), DAY(XT!AG208)), MATCH(1, INDEX(--(MONTH(CHOOSE({1,2,3,4}, XT!U208,XT!Y208,XT!AC208,XT!AG208))=12), 0), 0)), "")</f>
        <v/>
      </c>
      <c r="AU208" s="12" t="str">
        <f>IF(XT!$P208&gt;0,AT208,"")</f>
        <v/>
      </c>
      <c r="AV208" s="12" t="str">
        <f>IF(XT!$P208=0,AT208,"")</f>
        <v/>
      </c>
    </row>
    <row r="209" spans="1:48">
      <c r="A209">
        <f>SUMPRODUCT((MONTH(CHOOSE({1,2,3,4},XT!U209,XT!Y209,XT!AC209,XT!AG209))=1)*(CHOOSE({1,2,3,4},XT!X209,XT!AB209,XT!AF209,XT!AJ209)))</f>
        <v>0</v>
      </c>
      <c r="B209">
        <f>IFERROR(INDEX(CHOOSE({1,2,3,4}, DAY(XT!U209), DAY(XT!Y209), DAY(XT!AC209), DAY(XT!AG209)), MATCH(1, INDEX(--(MONTH(CHOOSE({1,2,3,4}, XT!U209,XT!Y209,XT!AC209,XT!AG209))=1), 0), 0)), "")</f>
        <v>0</v>
      </c>
      <c r="C209" s="12" t="str">
        <f>IF(XT!$P209&gt;0,B209,"")</f>
        <v/>
      </c>
      <c r="D209" s="12">
        <f>IF(XT!$P209=0,B209,"")</f>
        <v>0</v>
      </c>
      <c r="E209">
        <f>SUMPRODUCT((MONTH(CHOOSE({1,2,3,4},XT!U209,XT!Y209,XT!AC209,XT!AG209))=2)*(CHOOSE({1,2,3,4},XT!X209,XT!AB209,XT!AF209,XT!AJ209)))</f>
        <v>0</v>
      </c>
      <c r="F209" t="str">
        <f>IFERROR(INDEX(CHOOSE({1,2,3,4}, DAY(XT!U209), DAY(XT!Y209), DAY(XT!AC209), DAY(XT!AG209)), MATCH(1, INDEX(--(MONTH(CHOOSE({1,2,3,4}, XT!U209,XT!Y209,XT!AC209,XT!AG209))=2), 0), 0)), "")</f>
        <v/>
      </c>
      <c r="G209" s="12" t="str">
        <f>IF(XT!$P209&gt;0,F209,"")</f>
        <v/>
      </c>
      <c r="H209" s="12" t="str">
        <f>IF(XT!$P209=0,F209,"")</f>
        <v/>
      </c>
      <c r="I209">
        <f>SUMPRODUCT((MONTH(CHOOSE({1,2,3,4},XT!U209,XT!Y209,XT!AC209,XT!AG209))=3)*(CHOOSE({1,2,3,4},XT!X209,XT!AB209,XT!AF209,XT!AJ209)))</f>
        <v>0</v>
      </c>
      <c r="J209" t="str">
        <f>IFERROR(INDEX(CHOOSE({1,2,3,4}, DAY(XT!U209), DAY(XT!Y209), DAY(XT!AC209), DAY(XT!AG209)), MATCH(1, INDEX(--(MONTH(CHOOSE({1,2,3,4}, XT!U209,XT!Y209,XT!AC209,XT!AG209))=3), 0), 0)), "")</f>
        <v/>
      </c>
      <c r="K209" s="12" t="str">
        <f>IF(XT!$P209&gt;0,J209,"")</f>
        <v/>
      </c>
      <c r="L209" s="12" t="str">
        <f>IF(XT!$P209=0,J209,"")</f>
        <v/>
      </c>
      <c r="M209">
        <f>SUMPRODUCT((MONTH(CHOOSE({1,2,3,4},XT!U209,XT!Y209,XT!AC209,XT!AG209))=4)*(CHOOSE({1,2,3,4},XT!X209,XT!AB209,XT!AF209,XT!AJ209)))</f>
        <v>0</v>
      </c>
      <c r="N209" t="str">
        <f>IFERROR(INDEX(CHOOSE({1,2,3,4}, DAY(XT!U209), DAY(XT!Y209), DAY(XT!AC209), DAY(XT!AG209)), MATCH(1, INDEX(--(MONTH(CHOOSE({1,2,3,4}, XT!U209,XT!Y209,XT!AC209,XT!AG209))=4), 0), 0)), "")</f>
        <v/>
      </c>
      <c r="O209" s="12" t="str">
        <f>IF(XT!$P209&gt;0,N209,"")</f>
        <v/>
      </c>
      <c r="P209" s="12" t="str">
        <f>IF(XT!$P209=0,N209,"")</f>
        <v/>
      </c>
      <c r="Q209">
        <f>SUMPRODUCT((MONTH(CHOOSE({1,2,3,4},XT!U209,XT!Y209,XT!AC209,XT!AG209))=5)*(CHOOSE({1,2,3,4},XT!X209,XT!AB209,XT!AF209,XT!AJ209)))</f>
        <v>0</v>
      </c>
      <c r="R209" t="str">
        <f>IFERROR(INDEX(CHOOSE({1,2,3,4}, DAY(XT!U209), DAY(XT!Y209), DAY(XT!AC209), DAY(XT!AG209)), MATCH(1, INDEX(--(MONTH(CHOOSE({1,2,3,4}, XT!U209,XT!Y209,XT!AC209,XT!AG209))=5), 0), 0)), "")</f>
        <v/>
      </c>
      <c r="S209" s="12" t="str">
        <f>IF(XT!$P209&gt;0,R209,"")</f>
        <v/>
      </c>
      <c r="T209" s="12" t="str">
        <f>IF(XT!$P209=0,R209,"")</f>
        <v/>
      </c>
      <c r="U209">
        <f>SUMPRODUCT((MONTH(CHOOSE({1,2,3,4},XT!U209,XT!Y209,XT!AC209,XT!AG209))=6)*(CHOOSE({1,2,3,4},XT!X209,XT!AB209,XT!AF209,XT!AJ209)))</f>
        <v>0</v>
      </c>
      <c r="V209" t="str">
        <f>IFERROR(INDEX(CHOOSE({1,2,3,4}, DAY(XT!U209), DAY(XT!Y209), DAY(XT!AC209), DAY(XT!AG209)), MATCH(1, INDEX(--(MONTH(CHOOSE({1,2,3,4}, XT!U209,XT!Y209,XT!AC209,XT!AG209))=6), 0), 0)), "")</f>
        <v/>
      </c>
      <c r="W209" s="12" t="str">
        <f>IF(XT!$P209&gt;0,V209,"")</f>
        <v/>
      </c>
      <c r="X209" s="12" t="str">
        <f>IF(XT!$P209=0,V209,"")</f>
        <v/>
      </c>
      <c r="Y209">
        <f>SUMPRODUCT((MONTH(CHOOSE({1,2,3,4},XT!U209,XT!Y209,XT!AC209,XT!AG209))=7)*(CHOOSE({1,2,3,4},XT!X209,XT!AB209,XT!AF209,XT!AJ209)))</f>
        <v>0</v>
      </c>
      <c r="Z209" t="str">
        <f>IFERROR(INDEX(CHOOSE({1,2,3,4}, DAY(XT!U209), DAY(XT!Y209), DAY(XT!AC209), DAY(XT!AG209)), MATCH(1, INDEX(--(MONTH(CHOOSE({1,2,3,4}, XT!U209,XT!Y209,XT!AC209,XT!AG209))=7), 0), 0)), "")</f>
        <v/>
      </c>
      <c r="AA209" s="12" t="str">
        <f>IF(XT!$P209&gt;0,Z209,"")</f>
        <v/>
      </c>
      <c r="AB209" s="12" t="str">
        <f>IF(XT!$P209=0,Z209,"")</f>
        <v/>
      </c>
      <c r="AC209">
        <f>SUMPRODUCT((MONTH(CHOOSE({1,2,3,4},XT!U209,XT!Y209,XT!AC209,XT!AG209))=8)*(CHOOSE({1,2,3,4},XT!X209,XT!AB209,XT!AF209,XT!AJ209)))</f>
        <v>0</v>
      </c>
      <c r="AD209" t="str">
        <f>IFERROR(INDEX(CHOOSE({1,2,3,4}, DAY(XT!U209), DAY(XT!Y209), DAY(XT!AC209), DAY(XT!AG209)), MATCH(1, INDEX(--(MONTH(CHOOSE({1,2,3,4}, XT!U209,XT!Y209,XT!AC209,XT!AG209))=8), 0), 0)), "")</f>
        <v/>
      </c>
      <c r="AE209" s="12" t="str">
        <f>IF(XT!$P209&gt;0,AD209,"")</f>
        <v/>
      </c>
      <c r="AF209" s="12" t="str">
        <f>IF(XT!$P209=0,AD209,"")</f>
        <v/>
      </c>
      <c r="AG209">
        <f>SUMPRODUCT((MONTH(CHOOSE({1,2,3,4},XT!U209,XT!Y209,XT!AC209,XT!AG209))=9)*(CHOOSE({1,2,3,4},XT!X209,XT!AB209,XT!AF209,XT!AJ209)))</f>
        <v>0</v>
      </c>
      <c r="AH209" t="str">
        <f>IFERROR(INDEX(CHOOSE({1,2,3,4}, DAY(XT!U209), DAY(XT!Y209), DAY(XT!AC209), DAY(XT!AG209)), MATCH(1, INDEX(--(MONTH(CHOOSE({1,2,3,4}, XT!U209,XT!Y209,XT!AC209,XT!AG209))=9), 0), 0)), "")</f>
        <v/>
      </c>
      <c r="AI209" s="12" t="str">
        <f>IF(XT!$P209&gt;0,AH209,"")</f>
        <v/>
      </c>
      <c r="AJ209" s="12" t="str">
        <f>IF(XT!$P209=0,AH209,"")</f>
        <v/>
      </c>
      <c r="AK209">
        <f>SUMPRODUCT((MONTH(CHOOSE({1,2,3,4},XT!U209,XT!Y209,XT!AC209,XT!AG209))=10)*(CHOOSE({1,2,3,4},XT!X209,XT!AB209,XT!AF209,XT!AJ209)))</f>
        <v>0</v>
      </c>
      <c r="AL209" t="str">
        <f>IFERROR(INDEX(CHOOSE({1,2,3,4}, DAY(XT!U209), DAY(XT!Y209), DAY(XT!AC209), DAY(XT!AG209)), MATCH(1, INDEX(--(MONTH(CHOOSE({1,2,3,4}, XT!U209,XT!Y209,XT!AC209,XT!AG209))=10), 0), 0)), "")</f>
        <v/>
      </c>
      <c r="AM209" s="12" t="str">
        <f>IF(XT!$P209&gt;0,AL209,"")</f>
        <v/>
      </c>
      <c r="AN209" s="12" t="str">
        <f>IF(XT!$P209=0,AL209,"")</f>
        <v/>
      </c>
      <c r="AO209">
        <f>SUMPRODUCT((MONTH(CHOOSE({1,2,3,4},XT!U209,XT!Y209,XT!AC209,XT!AG209))=11)*(CHOOSE({1,2,3,4},XT!X209,XT!AB209,XT!AF209,XT!AJ209)))</f>
        <v>0</v>
      </c>
      <c r="AP209" t="str">
        <f>IFERROR(INDEX(CHOOSE({1,2,3,4}, DAY(XT!U209), DAY(XT!Y209), DAY(XT!AC209), DAY(XT!AG209)), MATCH(1, INDEX(--(MONTH(CHOOSE({1,2,3,4}, XT!U209,XT!Y209,XT!AC209,XT!AG209))=11), 0), 0)), "")</f>
        <v/>
      </c>
      <c r="AQ209" s="12" t="str">
        <f>IF(XT!$P209&gt;0,AP209,"")</f>
        <v/>
      </c>
      <c r="AR209" s="12" t="str">
        <f>IF(XT!$P209=0,AP209,"")</f>
        <v/>
      </c>
      <c r="AS209">
        <f>SUMPRODUCT((MONTH(CHOOSE({1,2,3,4},XT!U209,XT!Y209,XT!AC209,XT!AG209))=12)*(CHOOSE({1,2,3,4},XT!X209,XT!AB209,XT!AF209,XT!AJ209)))</f>
        <v>0</v>
      </c>
      <c r="AT209" t="str">
        <f>IFERROR(INDEX(CHOOSE({1,2,3,4}, DAY(XT!U209), DAY(XT!Y209), DAY(XT!AC209), DAY(XT!AG209)), MATCH(1, INDEX(--(MONTH(CHOOSE({1,2,3,4}, XT!U209,XT!Y209,XT!AC209,XT!AG209))=12), 0), 0)), "")</f>
        <v/>
      </c>
      <c r="AU209" s="12" t="str">
        <f>IF(XT!$P209&gt;0,AT209,"")</f>
        <v/>
      </c>
      <c r="AV209" s="12" t="str">
        <f>IF(XT!$P209=0,AT209,"")</f>
        <v/>
      </c>
    </row>
    <row r="210" spans="1:48">
      <c r="A210">
        <f>SUMPRODUCT((MONTH(CHOOSE({1,2,3,4},XT!U210,XT!Y210,XT!AC210,XT!AG210))=1)*(CHOOSE({1,2,3,4},XT!X210,XT!AB210,XT!AF210,XT!AJ210)))</f>
        <v>0</v>
      </c>
      <c r="B210">
        <f>IFERROR(INDEX(CHOOSE({1,2,3,4}, DAY(XT!U210), DAY(XT!Y210), DAY(XT!AC210), DAY(XT!AG210)), MATCH(1, INDEX(--(MONTH(CHOOSE({1,2,3,4}, XT!U210,XT!Y210,XT!AC210,XT!AG210))=1), 0), 0)), "")</f>
        <v>0</v>
      </c>
      <c r="C210" s="12" t="str">
        <f>IF(XT!$P210&gt;0,B210,"")</f>
        <v/>
      </c>
      <c r="D210" s="12">
        <f>IF(XT!$P210=0,B210,"")</f>
        <v>0</v>
      </c>
      <c r="E210">
        <f>SUMPRODUCT((MONTH(CHOOSE({1,2,3,4},XT!U210,XT!Y210,XT!AC210,XT!AG210))=2)*(CHOOSE({1,2,3,4},XT!X210,XT!AB210,XT!AF210,XT!AJ210)))</f>
        <v>0</v>
      </c>
      <c r="F210" t="str">
        <f>IFERROR(INDEX(CHOOSE({1,2,3,4}, DAY(XT!U210), DAY(XT!Y210), DAY(XT!AC210), DAY(XT!AG210)), MATCH(1, INDEX(--(MONTH(CHOOSE({1,2,3,4}, XT!U210,XT!Y210,XT!AC210,XT!AG210))=2), 0), 0)), "")</f>
        <v/>
      </c>
      <c r="G210" s="12" t="str">
        <f>IF(XT!$P210&gt;0,F210,"")</f>
        <v/>
      </c>
      <c r="H210" s="12" t="str">
        <f>IF(XT!$P210=0,F210,"")</f>
        <v/>
      </c>
      <c r="I210">
        <f>SUMPRODUCT((MONTH(CHOOSE({1,2,3,4},XT!U210,XT!Y210,XT!AC210,XT!AG210))=3)*(CHOOSE({1,2,3,4},XT!X210,XT!AB210,XT!AF210,XT!AJ210)))</f>
        <v>0</v>
      </c>
      <c r="J210" t="str">
        <f>IFERROR(INDEX(CHOOSE({1,2,3,4}, DAY(XT!U210), DAY(XT!Y210), DAY(XT!AC210), DAY(XT!AG210)), MATCH(1, INDEX(--(MONTH(CHOOSE({1,2,3,4}, XT!U210,XT!Y210,XT!AC210,XT!AG210))=3), 0), 0)), "")</f>
        <v/>
      </c>
      <c r="K210" s="12" t="str">
        <f>IF(XT!$P210&gt;0,J210,"")</f>
        <v/>
      </c>
      <c r="L210" s="12" t="str">
        <f>IF(XT!$P210=0,J210,"")</f>
        <v/>
      </c>
      <c r="M210">
        <f>SUMPRODUCT((MONTH(CHOOSE({1,2,3,4},XT!U210,XT!Y210,XT!AC210,XT!AG210))=4)*(CHOOSE({1,2,3,4},XT!X210,XT!AB210,XT!AF210,XT!AJ210)))</f>
        <v>0</v>
      </c>
      <c r="N210" t="str">
        <f>IFERROR(INDEX(CHOOSE({1,2,3,4}, DAY(XT!U210), DAY(XT!Y210), DAY(XT!AC210), DAY(XT!AG210)), MATCH(1, INDEX(--(MONTH(CHOOSE({1,2,3,4}, XT!U210,XT!Y210,XT!AC210,XT!AG210))=4), 0), 0)), "")</f>
        <v/>
      </c>
      <c r="O210" s="12" t="str">
        <f>IF(XT!$P210&gt;0,N210,"")</f>
        <v/>
      </c>
      <c r="P210" s="12" t="str">
        <f>IF(XT!$P210=0,N210,"")</f>
        <v/>
      </c>
      <c r="Q210">
        <f>SUMPRODUCT((MONTH(CHOOSE({1,2,3,4},XT!U210,XT!Y210,XT!AC210,XT!AG210))=5)*(CHOOSE({1,2,3,4},XT!X210,XT!AB210,XT!AF210,XT!AJ210)))</f>
        <v>0</v>
      </c>
      <c r="R210" t="str">
        <f>IFERROR(INDEX(CHOOSE({1,2,3,4}, DAY(XT!U210), DAY(XT!Y210), DAY(XT!AC210), DAY(XT!AG210)), MATCH(1, INDEX(--(MONTH(CHOOSE({1,2,3,4}, XT!U210,XT!Y210,XT!AC210,XT!AG210))=5), 0), 0)), "")</f>
        <v/>
      </c>
      <c r="S210" s="12" t="str">
        <f>IF(XT!$P210&gt;0,R210,"")</f>
        <v/>
      </c>
      <c r="T210" s="12" t="str">
        <f>IF(XT!$P210=0,R210,"")</f>
        <v/>
      </c>
      <c r="U210">
        <f>SUMPRODUCT((MONTH(CHOOSE({1,2,3,4},XT!U210,XT!Y210,XT!AC210,XT!AG210))=6)*(CHOOSE({1,2,3,4},XT!X210,XT!AB210,XT!AF210,XT!AJ210)))</f>
        <v>0</v>
      </c>
      <c r="V210" t="str">
        <f>IFERROR(INDEX(CHOOSE({1,2,3,4}, DAY(XT!U210), DAY(XT!Y210), DAY(XT!AC210), DAY(XT!AG210)), MATCH(1, INDEX(--(MONTH(CHOOSE({1,2,3,4}, XT!U210,XT!Y210,XT!AC210,XT!AG210))=6), 0), 0)), "")</f>
        <v/>
      </c>
      <c r="W210" s="12" t="str">
        <f>IF(XT!$P210&gt;0,V210,"")</f>
        <v/>
      </c>
      <c r="X210" s="12" t="str">
        <f>IF(XT!$P210=0,V210,"")</f>
        <v/>
      </c>
      <c r="Y210">
        <f>SUMPRODUCT((MONTH(CHOOSE({1,2,3,4},XT!U210,XT!Y210,XT!AC210,XT!AG210))=7)*(CHOOSE({1,2,3,4},XT!X210,XT!AB210,XT!AF210,XT!AJ210)))</f>
        <v>0</v>
      </c>
      <c r="Z210" t="str">
        <f>IFERROR(INDEX(CHOOSE({1,2,3,4}, DAY(XT!U210), DAY(XT!Y210), DAY(XT!AC210), DAY(XT!AG210)), MATCH(1, INDEX(--(MONTH(CHOOSE({1,2,3,4}, XT!U210,XT!Y210,XT!AC210,XT!AG210))=7), 0), 0)), "")</f>
        <v/>
      </c>
      <c r="AA210" s="12" t="str">
        <f>IF(XT!$P210&gt;0,Z210,"")</f>
        <v/>
      </c>
      <c r="AB210" s="12" t="str">
        <f>IF(XT!$P210=0,Z210,"")</f>
        <v/>
      </c>
      <c r="AC210">
        <f>SUMPRODUCT((MONTH(CHOOSE({1,2,3,4},XT!U210,XT!Y210,XT!AC210,XT!AG210))=8)*(CHOOSE({1,2,3,4},XT!X210,XT!AB210,XT!AF210,XT!AJ210)))</f>
        <v>0</v>
      </c>
      <c r="AD210" t="str">
        <f>IFERROR(INDEX(CHOOSE({1,2,3,4}, DAY(XT!U210), DAY(XT!Y210), DAY(XT!AC210), DAY(XT!AG210)), MATCH(1, INDEX(--(MONTH(CHOOSE({1,2,3,4}, XT!U210,XT!Y210,XT!AC210,XT!AG210))=8), 0), 0)), "")</f>
        <v/>
      </c>
      <c r="AE210" s="12" t="str">
        <f>IF(XT!$P210&gt;0,AD210,"")</f>
        <v/>
      </c>
      <c r="AF210" s="12" t="str">
        <f>IF(XT!$P210=0,AD210,"")</f>
        <v/>
      </c>
      <c r="AG210">
        <f>SUMPRODUCT((MONTH(CHOOSE({1,2,3,4},XT!U210,XT!Y210,XT!AC210,XT!AG210))=9)*(CHOOSE({1,2,3,4},XT!X210,XT!AB210,XT!AF210,XT!AJ210)))</f>
        <v>0</v>
      </c>
      <c r="AH210" t="str">
        <f>IFERROR(INDEX(CHOOSE({1,2,3,4}, DAY(XT!U210), DAY(XT!Y210), DAY(XT!AC210), DAY(XT!AG210)), MATCH(1, INDEX(--(MONTH(CHOOSE({1,2,3,4}, XT!U210,XT!Y210,XT!AC210,XT!AG210))=9), 0), 0)), "")</f>
        <v/>
      </c>
      <c r="AI210" s="12" t="str">
        <f>IF(XT!$P210&gt;0,AH210,"")</f>
        <v/>
      </c>
      <c r="AJ210" s="12" t="str">
        <f>IF(XT!$P210=0,AH210,"")</f>
        <v/>
      </c>
      <c r="AK210">
        <f>SUMPRODUCT((MONTH(CHOOSE({1,2,3,4},XT!U210,XT!Y210,XT!AC210,XT!AG210))=10)*(CHOOSE({1,2,3,4},XT!X210,XT!AB210,XT!AF210,XT!AJ210)))</f>
        <v>0</v>
      </c>
      <c r="AL210" t="str">
        <f>IFERROR(INDEX(CHOOSE({1,2,3,4}, DAY(XT!U210), DAY(XT!Y210), DAY(XT!AC210), DAY(XT!AG210)), MATCH(1, INDEX(--(MONTH(CHOOSE({1,2,3,4}, XT!U210,XT!Y210,XT!AC210,XT!AG210))=10), 0), 0)), "")</f>
        <v/>
      </c>
      <c r="AM210" s="12" t="str">
        <f>IF(XT!$P210&gt;0,AL210,"")</f>
        <v/>
      </c>
      <c r="AN210" s="12" t="str">
        <f>IF(XT!$P210=0,AL210,"")</f>
        <v/>
      </c>
      <c r="AO210">
        <f>SUMPRODUCT((MONTH(CHOOSE({1,2,3,4},XT!U210,XT!Y210,XT!AC210,XT!AG210))=11)*(CHOOSE({1,2,3,4},XT!X210,XT!AB210,XT!AF210,XT!AJ210)))</f>
        <v>0</v>
      </c>
      <c r="AP210" t="str">
        <f>IFERROR(INDEX(CHOOSE({1,2,3,4}, DAY(XT!U210), DAY(XT!Y210), DAY(XT!AC210), DAY(XT!AG210)), MATCH(1, INDEX(--(MONTH(CHOOSE({1,2,3,4}, XT!U210,XT!Y210,XT!AC210,XT!AG210))=11), 0), 0)), "")</f>
        <v/>
      </c>
      <c r="AQ210" s="12" t="str">
        <f>IF(XT!$P210&gt;0,AP210,"")</f>
        <v/>
      </c>
      <c r="AR210" s="12" t="str">
        <f>IF(XT!$P210=0,AP210,"")</f>
        <v/>
      </c>
      <c r="AS210">
        <f>SUMPRODUCT((MONTH(CHOOSE({1,2,3,4},XT!U210,XT!Y210,XT!AC210,XT!AG210))=12)*(CHOOSE({1,2,3,4},XT!X210,XT!AB210,XT!AF210,XT!AJ210)))</f>
        <v>0</v>
      </c>
      <c r="AT210" t="str">
        <f>IFERROR(INDEX(CHOOSE({1,2,3,4}, DAY(XT!U210), DAY(XT!Y210), DAY(XT!AC210), DAY(XT!AG210)), MATCH(1, INDEX(--(MONTH(CHOOSE({1,2,3,4}, XT!U210,XT!Y210,XT!AC210,XT!AG210))=12), 0), 0)), "")</f>
        <v/>
      </c>
      <c r="AU210" s="12" t="str">
        <f>IF(XT!$P210&gt;0,AT210,"")</f>
        <v/>
      </c>
      <c r="AV210" s="12" t="str">
        <f>IF(XT!$P210=0,AT210,"")</f>
        <v/>
      </c>
    </row>
    <row r="211" spans="1:48">
      <c r="A211">
        <f>SUMPRODUCT((MONTH(CHOOSE({1,2,3,4},XT!U211,XT!Y211,XT!AC211,XT!AG211))=1)*(CHOOSE({1,2,3,4},XT!X211,XT!AB211,XT!AF211,XT!AJ211)))</f>
        <v>0</v>
      </c>
      <c r="B211">
        <f>IFERROR(INDEX(CHOOSE({1,2,3,4}, DAY(XT!U211), DAY(XT!Y211), DAY(XT!AC211), DAY(XT!AG211)), MATCH(1, INDEX(--(MONTH(CHOOSE({1,2,3,4}, XT!U211,XT!Y211,XT!AC211,XT!AG211))=1), 0), 0)), "")</f>
        <v>0</v>
      </c>
      <c r="C211" s="12" t="str">
        <f>IF(XT!$P211&gt;0,B211,"")</f>
        <v/>
      </c>
      <c r="D211" s="12">
        <f>IF(XT!$P211=0,B211,"")</f>
        <v>0</v>
      </c>
      <c r="E211">
        <f>SUMPRODUCT((MONTH(CHOOSE({1,2,3,4},XT!U211,XT!Y211,XT!AC211,XT!AG211))=2)*(CHOOSE({1,2,3,4},XT!X211,XT!AB211,XT!AF211,XT!AJ211)))</f>
        <v>0</v>
      </c>
      <c r="F211" t="str">
        <f>IFERROR(INDEX(CHOOSE({1,2,3,4}, DAY(XT!U211), DAY(XT!Y211), DAY(XT!AC211), DAY(XT!AG211)), MATCH(1, INDEX(--(MONTH(CHOOSE({1,2,3,4}, XT!U211,XT!Y211,XT!AC211,XT!AG211))=2), 0), 0)), "")</f>
        <v/>
      </c>
      <c r="G211" s="12" t="str">
        <f>IF(XT!$P211&gt;0,F211,"")</f>
        <v/>
      </c>
      <c r="H211" s="12" t="str">
        <f>IF(XT!$P211=0,F211,"")</f>
        <v/>
      </c>
      <c r="I211">
        <f>SUMPRODUCT((MONTH(CHOOSE({1,2,3,4},XT!U211,XT!Y211,XT!AC211,XT!AG211))=3)*(CHOOSE({1,2,3,4},XT!X211,XT!AB211,XT!AF211,XT!AJ211)))</f>
        <v>0</v>
      </c>
      <c r="J211" t="str">
        <f>IFERROR(INDEX(CHOOSE({1,2,3,4}, DAY(XT!U211), DAY(XT!Y211), DAY(XT!AC211), DAY(XT!AG211)), MATCH(1, INDEX(--(MONTH(CHOOSE({1,2,3,4}, XT!U211,XT!Y211,XT!AC211,XT!AG211))=3), 0), 0)), "")</f>
        <v/>
      </c>
      <c r="K211" s="12" t="str">
        <f>IF(XT!$P211&gt;0,J211,"")</f>
        <v/>
      </c>
      <c r="L211" s="12" t="str">
        <f>IF(XT!$P211=0,J211,"")</f>
        <v/>
      </c>
      <c r="M211">
        <f>SUMPRODUCT((MONTH(CHOOSE({1,2,3,4},XT!U211,XT!Y211,XT!AC211,XT!AG211))=4)*(CHOOSE({1,2,3,4},XT!X211,XT!AB211,XT!AF211,XT!AJ211)))</f>
        <v>0</v>
      </c>
      <c r="N211" t="str">
        <f>IFERROR(INDEX(CHOOSE({1,2,3,4}, DAY(XT!U211), DAY(XT!Y211), DAY(XT!AC211), DAY(XT!AG211)), MATCH(1, INDEX(--(MONTH(CHOOSE({1,2,3,4}, XT!U211,XT!Y211,XT!AC211,XT!AG211))=4), 0), 0)), "")</f>
        <v/>
      </c>
      <c r="O211" s="12" t="str">
        <f>IF(XT!$P211&gt;0,N211,"")</f>
        <v/>
      </c>
      <c r="P211" s="12" t="str">
        <f>IF(XT!$P211=0,N211,"")</f>
        <v/>
      </c>
      <c r="Q211">
        <f>SUMPRODUCT((MONTH(CHOOSE({1,2,3,4},XT!U211,XT!Y211,XT!AC211,XT!AG211))=5)*(CHOOSE({1,2,3,4},XT!X211,XT!AB211,XT!AF211,XT!AJ211)))</f>
        <v>0</v>
      </c>
      <c r="R211" t="str">
        <f>IFERROR(INDEX(CHOOSE({1,2,3,4}, DAY(XT!U211), DAY(XT!Y211), DAY(XT!AC211), DAY(XT!AG211)), MATCH(1, INDEX(--(MONTH(CHOOSE({1,2,3,4}, XT!U211,XT!Y211,XT!AC211,XT!AG211))=5), 0), 0)), "")</f>
        <v/>
      </c>
      <c r="S211" s="12" t="str">
        <f>IF(XT!$P211&gt;0,R211,"")</f>
        <v/>
      </c>
      <c r="T211" s="12" t="str">
        <f>IF(XT!$P211=0,R211,"")</f>
        <v/>
      </c>
      <c r="U211">
        <f>SUMPRODUCT((MONTH(CHOOSE({1,2,3,4},XT!U211,XT!Y211,XT!AC211,XT!AG211))=6)*(CHOOSE({1,2,3,4},XT!X211,XT!AB211,XT!AF211,XT!AJ211)))</f>
        <v>0</v>
      </c>
      <c r="V211" t="str">
        <f>IFERROR(INDEX(CHOOSE({1,2,3,4}, DAY(XT!U211), DAY(XT!Y211), DAY(XT!AC211), DAY(XT!AG211)), MATCH(1, INDEX(--(MONTH(CHOOSE({1,2,3,4}, XT!U211,XT!Y211,XT!AC211,XT!AG211))=6), 0), 0)), "")</f>
        <v/>
      </c>
      <c r="W211" s="12" t="str">
        <f>IF(XT!$P211&gt;0,V211,"")</f>
        <v/>
      </c>
      <c r="X211" s="12" t="str">
        <f>IF(XT!$P211=0,V211,"")</f>
        <v/>
      </c>
      <c r="Y211">
        <f>SUMPRODUCT((MONTH(CHOOSE({1,2,3,4},XT!U211,XT!Y211,XT!AC211,XT!AG211))=7)*(CHOOSE({1,2,3,4},XT!X211,XT!AB211,XT!AF211,XT!AJ211)))</f>
        <v>0</v>
      </c>
      <c r="Z211" t="str">
        <f>IFERROR(INDEX(CHOOSE({1,2,3,4}, DAY(XT!U211), DAY(XT!Y211), DAY(XT!AC211), DAY(XT!AG211)), MATCH(1, INDEX(--(MONTH(CHOOSE({1,2,3,4}, XT!U211,XT!Y211,XT!AC211,XT!AG211))=7), 0), 0)), "")</f>
        <v/>
      </c>
      <c r="AA211" s="12" t="str">
        <f>IF(XT!$P211&gt;0,Z211,"")</f>
        <v/>
      </c>
      <c r="AB211" s="12" t="str">
        <f>IF(XT!$P211=0,Z211,"")</f>
        <v/>
      </c>
      <c r="AC211">
        <f>SUMPRODUCT((MONTH(CHOOSE({1,2,3,4},XT!U211,XT!Y211,XT!AC211,XT!AG211))=8)*(CHOOSE({1,2,3,4},XT!X211,XT!AB211,XT!AF211,XT!AJ211)))</f>
        <v>0</v>
      </c>
      <c r="AD211" t="str">
        <f>IFERROR(INDEX(CHOOSE({1,2,3,4}, DAY(XT!U211), DAY(XT!Y211), DAY(XT!AC211), DAY(XT!AG211)), MATCH(1, INDEX(--(MONTH(CHOOSE({1,2,3,4}, XT!U211,XT!Y211,XT!AC211,XT!AG211))=8), 0), 0)), "")</f>
        <v/>
      </c>
      <c r="AE211" s="12" t="str">
        <f>IF(XT!$P211&gt;0,AD211,"")</f>
        <v/>
      </c>
      <c r="AF211" s="12" t="str">
        <f>IF(XT!$P211=0,AD211,"")</f>
        <v/>
      </c>
      <c r="AG211">
        <f>SUMPRODUCT((MONTH(CHOOSE({1,2,3,4},XT!U211,XT!Y211,XT!AC211,XT!AG211))=9)*(CHOOSE({1,2,3,4},XT!X211,XT!AB211,XT!AF211,XT!AJ211)))</f>
        <v>0</v>
      </c>
      <c r="AH211" t="str">
        <f>IFERROR(INDEX(CHOOSE({1,2,3,4}, DAY(XT!U211), DAY(XT!Y211), DAY(XT!AC211), DAY(XT!AG211)), MATCH(1, INDEX(--(MONTH(CHOOSE({1,2,3,4}, XT!U211,XT!Y211,XT!AC211,XT!AG211))=9), 0), 0)), "")</f>
        <v/>
      </c>
      <c r="AI211" s="12" t="str">
        <f>IF(XT!$P211&gt;0,AH211,"")</f>
        <v/>
      </c>
      <c r="AJ211" s="12" t="str">
        <f>IF(XT!$P211=0,AH211,"")</f>
        <v/>
      </c>
      <c r="AK211">
        <f>SUMPRODUCT((MONTH(CHOOSE({1,2,3,4},XT!U211,XT!Y211,XT!AC211,XT!AG211))=10)*(CHOOSE({1,2,3,4},XT!X211,XT!AB211,XT!AF211,XT!AJ211)))</f>
        <v>0</v>
      </c>
      <c r="AL211" t="str">
        <f>IFERROR(INDEX(CHOOSE({1,2,3,4}, DAY(XT!U211), DAY(XT!Y211), DAY(XT!AC211), DAY(XT!AG211)), MATCH(1, INDEX(--(MONTH(CHOOSE({1,2,3,4}, XT!U211,XT!Y211,XT!AC211,XT!AG211))=10), 0), 0)), "")</f>
        <v/>
      </c>
      <c r="AM211" s="12" t="str">
        <f>IF(XT!$P211&gt;0,AL211,"")</f>
        <v/>
      </c>
      <c r="AN211" s="12" t="str">
        <f>IF(XT!$P211=0,AL211,"")</f>
        <v/>
      </c>
      <c r="AO211">
        <f>SUMPRODUCT((MONTH(CHOOSE({1,2,3,4},XT!U211,XT!Y211,XT!AC211,XT!AG211))=11)*(CHOOSE({1,2,3,4},XT!X211,XT!AB211,XT!AF211,XT!AJ211)))</f>
        <v>0</v>
      </c>
      <c r="AP211" t="str">
        <f>IFERROR(INDEX(CHOOSE({1,2,3,4}, DAY(XT!U211), DAY(XT!Y211), DAY(XT!AC211), DAY(XT!AG211)), MATCH(1, INDEX(--(MONTH(CHOOSE({1,2,3,4}, XT!U211,XT!Y211,XT!AC211,XT!AG211))=11), 0), 0)), "")</f>
        <v/>
      </c>
      <c r="AQ211" s="12" t="str">
        <f>IF(XT!$P211&gt;0,AP211,"")</f>
        <v/>
      </c>
      <c r="AR211" s="12" t="str">
        <f>IF(XT!$P211=0,AP211,"")</f>
        <v/>
      </c>
      <c r="AS211">
        <f>SUMPRODUCT((MONTH(CHOOSE({1,2,3,4},XT!U211,XT!Y211,XT!AC211,XT!AG211))=12)*(CHOOSE({1,2,3,4},XT!X211,XT!AB211,XT!AF211,XT!AJ211)))</f>
        <v>0</v>
      </c>
      <c r="AT211" t="str">
        <f>IFERROR(INDEX(CHOOSE({1,2,3,4}, DAY(XT!U211), DAY(XT!Y211), DAY(XT!AC211), DAY(XT!AG211)), MATCH(1, INDEX(--(MONTH(CHOOSE({1,2,3,4}, XT!U211,XT!Y211,XT!AC211,XT!AG211))=12), 0), 0)), "")</f>
        <v/>
      </c>
      <c r="AU211" s="12" t="str">
        <f>IF(XT!$P211&gt;0,AT211,"")</f>
        <v/>
      </c>
      <c r="AV211" s="12" t="str">
        <f>IF(XT!$P211=0,AT211,"")</f>
        <v/>
      </c>
    </row>
    <row r="212" spans="1:48">
      <c r="A212">
        <f>SUMPRODUCT((MONTH(CHOOSE({1,2,3,4},XT!U212,XT!Y212,XT!AC212,XT!AG212))=1)*(CHOOSE({1,2,3,4},XT!X212,XT!AB212,XT!AF212,XT!AJ212)))</f>
        <v>0</v>
      </c>
      <c r="B212">
        <f>IFERROR(INDEX(CHOOSE({1,2,3,4}, DAY(XT!U212), DAY(XT!Y212), DAY(XT!AC212), DAY(XT!AG212)), MATCH(1, INDEX(--(MONTH(CHOOSE({1,2,3,4}, XT!U212,XT!Y212,XT!AC212,XT!AG212))=1), 0), 0)), "")</f>
        <v>0</v>
      </c>
      <c r="C212" s="12" t="str">
        <f>IF(XT!$P212&gt;0,B212,"")</f>
        <v/>
      </c>
      <c r="D212" s="12">
        <f>IF(XT!$P212=0,B212,"")</f>
        <v>0</v>
      </c>
      <c r="E212">
        <f>SUMPRODUCT((MONTH(CHOOSE({1,2,3,4},XT!U212,XT!Y212,XT!AC212,XT!AG212))=2)*(CHOOSE({1,2,3,4},XT!X212,XT!AB212,XT!AF212,XT!AJ212)))</f>
        <v>0</v>
      </c>
      <c r="F212" t="str">
        <f>IFERROR(INDEX(CHOOSE({1,2,3,4}, DAY(XT!U212), DAY(XT!Y212), DAY(XT!AC212), DAY(XT!AG212)), MATCH(1, INDEX(--(MONTH(CHOOSE({1,2,3,4}, XT!U212,XT!Y212,XT!AC212,XT!AG212))=2), 0), 0)), "")</f>
        <v/>
      </c>
      <c r="G212" s="12" t="str">
        <f>IF(XT!$P212&gt;0,F212,"")</f>
        <v/>
      </c>
      <c r="H212" s="12" t="str">
        <f>IF(XT!$P212=0,F212,"")</f>
        <v/>
      </c>
      <c r="I212">
        <f>SUMPRODUCT((MONTH(CHOOSE({1,2,3,4},XT!U212,XT!Y212,XT!AC212,XT!AG212))=3)*(CHOOSE({1,2,3,4},XT!X212,XT!AB212,XT!AF212,XT!AJ212)))</f>
        <v>0</v>
      </c>
      <c r="J212" t="str">
        <f>IFERROR(INDEX(CHOOSE({1,2,3,4}, DAY(XT!U212), DAY(XT!Y212), DAY(XT!AC212), DAY(XT!AG212)), MATCH(1, INDEX(--(MONTH(CHOOSE({1,2,3,4}, XT!U212,XT!Y212,XT!AC212,XT!AG212))=3), 0), 0)), "")</f>
        <v/>
      </c>
      <c r="K212" s="12" t="str">
        <f>IF(XT!$P212&gt;0,J212,"")</f>
        <v/>
      </c>
      <c r="L212" s="12" t="str">
        <f>IF(XT!$P212=0,J212,"")</f>
        <v/>
      </c>
      <c r="M212">
        <f>SUMPRODUCT((MONTH(CHOOSE({1,2,3,4},XT!U212,XT!Y212,XT!AC212,XT!AG212))=4)*(CHOOSE({1,2,3,4},XT!X212,XT!AB212,XT!AF212,XT!AJ212)))</f>
        <v>0</v>
      </c>
      <c r="N212" t="str">
        <f>IFERROR(INDEX(CHOOSE({1,2,3,4}, DAY(XT!U212), DAY(XT!Y212), DAY(XT!AC212), DAY(XT!AG212)), MATCH(1, INDEX(--(MONTH(CHOOSE({1,2,3,4}, XT!U212,XT!Y212,XT!AC212,XT!AG212))=4), 0), 0)), "")</f>
        <v/>
      </c>
      <c r="O212" s="12" t="str">
        <f>IF(XT!$P212&gt;0,N212,"")</f>
        <v/>
      </c>
      <c r="P212" s="12" t="str">
        <f>IF(XT!$P212=0,N212,"")</f>
        <v/>
      </c>
      <c r="Q212">
        <f>SUMPRODUCT((MONTH(CHOOSE({1,2,3,4},XT!U212,XT!Y212,XT!AC212,XT!AG212))=5)*(CHOOSE({1,2,3,4},XT!X212,XT!AB212,XT!AF212,XT!AJ212)))</f>
        <v>0</v>
      </c>
      <c r="R212" t="str">
        <f>IFERROR(INDEX(CHOOSE({1,2,3,4}, DAY(XT!U212), DAY(XT!Y212), DAY(XT!AC212), DAY(XT!AG212)), MATCH(1, INDEX(--(MONTH(CHOOSE({1,2,3,4}, XT!U212,XT!Y212,XT!AC212,XT!AG212))=5), 0), 0)), "")</f>
        <v/>
      </c>
      <c r="S212" s="12" t="str">
        <f>IF(XT!$P212&gt;0,R212,"")</f>
        <v/>
      </c>
      <c r="T212" s="12" t="str">
        <f>IF(XT!$P212=0,R212,"")</f>
        <v/>
      </c>
      <c r="U212">
        <f>SUMPRODUCT((MONTH(CHOOSE({1,2,3,4},XT!U212,XT!Y212,XT!AC212,XT!AG212))=6)*(CHOOSE({1,2,3,4},XT!X212,XT!AB212,XT!AF212,XT!AJ212)))</f>
        <v>0</v>
      </c>
      <c r="V212" t="str">
        <f>IFERROR(INDEX(CHOOSE({1,2,3,4}, DAY(XT!U212), DAY(XT!Y212), DAY(XT!AC212), DAY(XT!AG212)), MATCH(1, INDEX(--(MONTH(CHOOSE({1,2,3,4}, XT!U212,XT!Y212,XT!AC212,XT!AG212))=6), 0), 0)), "")</f>
        <v/>
      </c>
      <c r="W212" s="12" t="str">
        <f>IF(XT!$P212&gt;0,V212,"")</f>
        <v/>
      </c>
      <c r="X212" s="12" t="str">
        <f>IF(XT!$P212=0,V212,"")</f>
        <v/>
      </c>
      <c r="Y212">
        <f>SUMPRODUCT((MONTH(CHOOSE({1,2,3,4},XT!U212,XT!Y212,XT!AC212,XT!AG212))=7)*(CHOOSE({1,2,3,4},XT!X212,XT!AB212,XT!AF212,XT!AJ212)))</f>
        <v>0</v>
      </c>
      <c r="Z212" t="str">
        <f>IFERROR(INDEX(CHOOSE({1,2,3,4}, DAY(XT!U212), DAY(XT!Y212), DAY(XT!AC212), DAY(XT!AG212)), MATCH(1, INDEX(--(MONTH(CHOOSE({1,2,3,4}, XT!U212,XT!Y212,XT!AC212,XT!AG212))=7), 0), 0)), "")</f>
        <v/>
      </c>
      <c r="AA212" s="12" t="str">
        <f>IF(XT!$P212&gt;0,Z212,"")</f>
        <v/>
      </c>
      <c r="AB212" s="12" t="str">
        <f>IF(XT!$P212=0,Z212,"")</f>
        <v/>
      </c>
      <c r="AC212">
        <f>SUMPRODUCT((MONTH(CHOOSE({1,2,3,4},XT!U212,XT!Y212,XT!AC212,XT!AG212))=8)*(CHOOSE({1,2,3,4},XT!X212,XT!AB212,XT!AF212,XT!AJ212)))</f>
        <v>0</v>
      </c>
      <c r="AD212" t="str">
        <f>IFERROR(INDEX(CHOOSE({1,2,3,4}, DAY(XT!U212), DAY(XT!Y212), DAY(XT!AC212), DAY(XT!AG212)), MATCH(1, INDEX(--(MONTH(CHOOSE({1,2,3,4}, XT!U212,XT!Y212,XT!AC212,XT!AG212))=8), 0), 0)), "")</f>
        <v/>
      </c>
      <c r="AE212" s="12" t="str">
        <f>IF(XT!$P212&gt;0,AD212,"")</f>
        <v/>
      </c>
      <c r="AF212" s="12" t="str">
        <f>IF(XT!$P212=0,AD212,"")</f>
        <v/>
      </c>
      <c r="AG212">
        <f>SUMPRODUCT((MONTH(CHOOSE({1,2,3,4},XT!U212,XT!Y212,XT!AC212,XT!AG212))=9)*(CHOOSE({1,2,3,4},XT!X212,XT!AB212,XT!AF212,XT!AJ212)))</f>
        <v>0</v>
      </c>
      <c r="AH212" t="str">
        <f>IFERROR(INDEX(CHOOSE({1,2,3,4}, DAY(XT!U212), DAY(XT!Y212), DAY(XT!AC212), DAY(XT!AG212)), MATCH(1, INDEX(--(MONTH(CHOOSE({1,2,3,4}, XT!U212,XT!Y212,XT!AC212,XT!AG212))=9), 0), 0)), "")</f>
        <v/>
      </c>
      <c r="AI212" s="12" t="str">
        <f>IF(XT!$P212&gt;0,AH212,"")</f>
        <v/>
      </c>
      <c r="AJ212" s="12" t="str">
        <f>IF(XT!$P212=0,AH212,"")</f>
        <v/>
      </c>
      <c r="AK212">
        <f>SUMPRODUCT((MONTH(CHOOSE({1,2,3,4},XT!U212,XT!Y212,XT!AC212,XT!AG212))=10)*(CHOOSE({1,2,3,4},XT!X212,XT!AB212,XT!AF212,XT!AJ212)))</f>
        <v>0</v>
      </c>
      <c r="AL212" t="str">
        <f>IFERROR(INDEX(CHOOSE({1,2,3,4}, DAY(XT!U212), DAY(XT!Y212), DAY(XT!AC212), DAY(XT!AG212)), MATCH(1, INDEX(--(MONTH(CHOOSE({1,2,3,4}, XT!U212,XT!Y212,XT!AC212,XT!AG212))=10), 0), 0)), "")</f>
        <v/>
      </c>
      <c r="AM212" s="12" t="str">
        <f>IF(XT!$P212&gt;0,AL212,"")</f>
        <v/>
      </c>
      <c r="AN212" s="12" t="str">
        <f>IF(XT!$P212=0,AL212,"")</f>
        <v/>
      </c>
      <c r="AO212">
        <f>SUMPRODUCT((MONTH(CHOOSE({1,2,3,4},XT!U212,XT!Y212,XT!AC212,XT!AG212))=11)*(CHOOSE({1,2,3,4},XT!X212,XT!AB212,XT!AF212,XT!AJ212)))</f>
        <v>0</v>
      </c>
      <c r="AP212" t="str">
        <f>IFERROR(INDEX(CHOOSE({1,2,3,4}, DAY(XT!U212), DAY(XT!Y212), DAY(XT!AC212), DAY(XT!AG212)), MATCH(1, INDEX(--(MONTH(CHOOSE({1,2,3,4}, XT!U212,XT!Y212,XT!AC212,XT!AG212))=11), 0), 0)), "")</f>
        <v/>
      </c>
      <c r="AQ212" s="12" t="str">
        <f>IF(XT!$P212&gt;0,AP212,"")</f>
        <v/>
      </c>
      <c r="AR212" s="12" t="str">
        <f>IF(XT!$P212=0,AP212,"")</f>
        <v/>
      </c>
      <c r="AS212">
        <f>SUMPRODUCT((MONTH(CHOOSE({1,2,3,4},XT!U212,XT!Y212,XT!AC212,XT!AG212))=12)*(CHOOSE({1,2,3,4},XT!X212,XT!AB212,XT!AF212,XT!AJ212)))</f>
        <v>0</v>
      </c>
      <c r="AT212" t="str">
        <f>IFERROR(INDEX(CHOOSE({1,2,3,4}, DAY(XT!U212), DAY(XT!Y212), DAY(XT!AC212), DAY(XT!AG212)), MATCH(1, INDEX(--(MONTH(CHOOSE({1,2,3,4}, XT!U212,XT!Y212,XT!AC212,XT!AG212))=12), 0), 0)), "")</f>
        <v/>
      </c>
      <c r="AU212" s="12" t="str">
        <f>IF(XT!$P212&gt;0,AT212,"")</f>
        <v/>
      </c>
      <c r="AV212" s="12" t="str">
        <f>IF(XT!$P212=0,AT212,"")</f>
        <v/>
      </c>
    </row>
    <row r="213" spans="1:48">
      <c r="A213">
        <f>SUMPRODUCT((MONTH(CHOOSE({1,2,3,4},XT!U213,XT!Y213,XT!AC213,XT!AG213))=1)*(CHOOSE({1,2,3,4},XT!X213,XT!AB213,XT!AF213,XT!AJ213)))</f>
        <v>0</v>
      </c>
      <c r="B213">
        <f>IFERROR(INDEX(CHOOSE({1,2,3,4}, DAY(XT!U213), DAY(XT!Y213), DAY(XT!AC213), DAY(XT!AG213)), MATCH(1, INDEX(--(MONTH(CHOOSE({1,2,3,4}, XT!U213,XT!Y213,XT!AC213,XT!AG213))=1), 0), 0)), "")</f>
        <v>0</v>
      </c>
      <c r="C213" s="12" t="str">
        <f>IF(XT!$P213&gt;0,B213,"")</f>
        <v/>
      </c>
      <c r="D213" s="12">
        <f>IF(XT!$P213=0,B213,"")</f>
        <v>0</v>
      </c>
      <c r="E213">
        <f>SUMPRODUCT((MONTH(CHOOSE({1,2,3,4},XT!U213,XT!Y213,XT!AC213,XT!AG213))=2)*(CHOOSE({1,2,3,4},XT!X213,XT!AB213,XT!AF213,XT!AJ213)))</f>
        <v>0</v>
      </c>
      <c r="F213" t="str">
        <f>IFERROR(INDEX(CHOOSE({1,2,3,4}, DAY(XT!U213), DAY(XT!Y213), DAY(XT!AC213), DAY(XT!AG213)), MATCH(1, INDEX(--(MONTH(CHOOSE({1,2,3,4}, XT!U213,XT!Y213,XT!AC213,XT!AG213))=2), 0), 0)), "")</f>
        <v/>
      </c>
      <c r="G213" s="12" t="str">
        <f>IF(XT!$P213&gt;0,F213,"")</f>
        <v/>
      </c>
      <c r="H213" s="12" t="str">
        <f>IF(XT!$P213=0,F213,"")</f>
        <v/>
      </c>
      <c r="I213">
        <f>SUMPRODUCT((MONTH(CHOOSE({1,2,3,4},XT!U213,XT!Y213,XT!AC213,XT!AG213))=3)*(CHOOSE({1,2,3,4},XT!X213,XT!AB213,XT!AF213,XT!AJ213)))</f>
        <v>0</v>
      </c>
      <c r="J213" t="str">
        <f>IFERROR(INDEX(CHOOSE({1,2,3,4}, DAY(XT!U213), DAY(XT!Y213), DAY(XT!AC213), DAY(XT!AG213)), MATCH(1, INDEX(--(MONTH(CHOOSE({1,2,3,4}, XT!U213,XT!Y213,XT!AC213,XT!AG213))=3), 0), 0)), "")</f>
        <v/>
      </c>
      <c r="K213" s="12" t="str">
        <f>IF(XT!$P213&gt;0,J213,"")</f>
        <v/>
      </c>
      <c r="L213" s="12" t="str">
        <f>IF(XT!$P213=0,J213,"")</f>
        <v/>
      </c>
      <c r="M213">
        <f>SUMPRODUCT((MONTH(CHOOSE({1,2,3,4},XT!U213,XT!Y213,XT!AC213,XT!AG213))=4)*(CHOOSE({1,2,3,4},XT!X213,XT!AB213,XT!AF213,XT!AJ213)))</f>
        <v>0</v>
      </c>
      <c r="N213" t="str">
        <f>IFERROR(INDEX(CHOOSE({1,2,3,4}, DAY(XT!U213), DAY(XT!Y213), DAY(XT!AC213), DAY(XT!AG213)), MATCH(1, INDEX(--(MONTH(CHOOSE({1,2,3,4}, XT!U213,XT!Y213,XT!AC213,XT!AG213))=4), 0), 0)), "")</f>
        <v/>
      </c>
      <c r="O213" s="12" t="str">
        <f>IF(XT!$P213&gt;0,N213,"")</f>
        <v/>
      </c>
      <c r="P213" s="12" t="str">
        <f>IF(XT!$P213=0,N213,"")</f>
        <v/>
      </c>
      <c r="Q213">
        <f>SUMPRODUCT((MONTH(CHOOSE({1,2,3,4},XT!U213,XT!Y213,XT!AC213,XT!AG213))=5)*(CHOOSE({1,2,3,4},XT!X213,XT!AB213,XT!AF213,XT!AJ213)))</f>
        <v>0</v>
      </c>
      <c r="R213" t="str">
        <f>IFERROR(INDEX(CHOOSE({1,2,3,4}, DAY(XT!U213), DAY(XT!Y213), DAY(XT!AC213), DAY(XT!AG213)), MATCH(1, INDEX(--(MONTH(CHOOSE({1,2,3,4}, XT!U213,XT!Y213,XT!AC213,XT!AG213))=5), 0), 0)), "")</f>
        <v/>
      </c>
      <c r="S213" s="12" t="str">
        <f>IF(XT!$P213&gt;0,R213,"")</f>
        <v/>
      </c>
      <c r="T213" s="12" t="str">
        <f>IF(XT!$P213=0,R213,"")</f>
        <v/>
      </c>
      <c r="U213">
        <f>SUMPRODUCT((MONTH(CHOOSE({1,2,3,4},XT!U213,XT!Y213,XT!AC213,XT!AG213))=6)*(CHOOSE({1,2,3,4},XT!X213,XT!AB213,XT!AF213,XT!AJ213)))</f>
        <v>0</v>
      </c>
      <c r="V213" t="str">
        <f>IFERROR(INDEX(CHOOSE({1,2,3,4}, DAY(XT!U213), DAY(XT!Y213), DAY(XT!AC213), DAY(XT!AG213)), MATCH(1, INDEX(--(MONTH(CHOOSE({1,2,3,4}, XT!U213,XT!Y213,XT!AC213,XT!AG213))=6), 0), 0)), "")</f>
        <v/>
      </c>
      <c r="W213" s="12" t="str">
        <f>IF(XT!$P213&gt;0,V213,"")</f>
        <v/>
      </c>
      <c r="X213" s="12" t="str">
        <f>IF(XT!$P213=0,V213,"")</f>
        <v/>
      </c>
      <c r="Y213">
        <f>SUMPRODUCT((MONTH(CHOOSE({1,2,3,4},XT!U213,XT!Y213,XT!AC213,XT!AG213))=7)*(CHOOSE({1,2,3,4},XT!X213,XT!AB213,XT!AF213,XT!AJ213)))</f>
        <v>0</v>
      </c>
      <c r="Z213" t="str">
        <f>IFERROR(INDEX(CHOOSE({1,2,3,4}, DAY(XT!U213), DAY(XT!Y213), DAY(XT!AC213), DAY(XT!AG213)), MATCH(1, INDEX(--(MONTH(CHOOSE({1,2,3,4}, XT!U213,XT!Y213,XT!AC213,XT!AG213))=7), 0), 0)), "")</f>
        <v/>
      </c>
      <c r="AA213" s="12" t="str">
        <f>IF(XT!$P213&gt;0,Z213,"")</f>
        <v/>
      </c>
      <c r="AB213" s="12" t="str">
        <f>IF(XT!$P213=0,Z213,"")</f>
        <v/>
      </c>
      <c r="AC213">
        <f>SUMPRODUCT((MONTH(CHOOSE({1,2,3,4},XT!U213,XT!Y213,XT!AC213,XT!AG213))=8)*(CHOOSE({1,2,3,4},XT!X213,XT!AB213,XT!AF213,XT!AJ213)))</f>
        <v>0</v>
      </c>
      <c r="AD213" t="str">
        <f>IFERROR(INDEX(CHOOSE({1,2,3,4}, DAY(XT!U213), DAY(XT!Y213), DAY(XT!AC213), DAY(XT!AG213)), MATCH(1, INDEX(--(MONTH(CHOOSE({1,2,3,4}, XT!U213,XT!Y213,XT!AC213,XT!AG213))=8), 0), 0)), "")</f>
        <v/>
      </c>
      <c r="AE213" s="12" t="str">
        <f>IF(XT!$P213&gt;0,AD213,"")</f>
        <v/>
      </c>
      <c r="AF213" s="12" t="str">
        <f>IF(XT!$P213=0,AD213,"")</f>
        <v/>
      </c>
      <c r="AG213">
        <f>SUMPRODUCT((MONTH(CHOOSE({1,2,3,4},XT!U213,XT!Y213,XT!AC213,XT!AG213))=9)*(CHOOSE({1,2,3,4},XT!X213,XT!AB213,XT!AF213,XT!AJ213)))</f>
        <v>0</v>
      </c>
      <c r="AH213" t="str">
        <f>IFERROR(INDEX(CHOOSE({1,2,3,4}, DAY(XT!U213), DAY(XT!Y213), DAY(XT!AC213), DAY(XT!AG213)), MATCH(1, INDEX(--(MONTH(CHOOSE({1,2,3,4}, XT!U213,XT!Y213,XT!AC213,XT!AG213))=9), 0), 0)), "")</f>
        <v/>
      </c>
      <c r="AI213" s="12" t="str">
        <f>IF(XT!$P213&gt;0,AH213,"")</f>
        <v/>
      </c>
      <c r="AJ213" s="12" t="str">
        <f>IF(XT!$P213=0,AH213,"")</f>
        <v/>
      </c>
      <c r="AK213">
        <f>SUMPRODUCT((MONTH(CHOOSE({1,2,3,4},XT!U213,XT!Y213,XT!AC213,XT!AG213))=10)*(CHOOSE({1,2,3,4},XT!X213,XT!AB213,XT!AF213,XT!AJ213)))</f>
        <v>0</v>
      </c>
      <c r="AL213" t="str">
        <f>IFERROR(INDEX(CHOOSE({1,2,3,4}, DAY(XT!U213), DAY(XT!Y213), DAY(XT!AC213), DAY(XT!AG213)), MATCH(1, INDEX(--(MONTH(CHOOSE({1,2,3,4}, XT!U213,XT!Y213,XT!AC213,XT!AG213))=10), 0), 0)), "")</f>
        <v/>
      </c>
      <c r="AM213" s="12" t="str">
        <f>IF(XT!$P213&gt;0,AL213,"")</f>
        <v/>
      </c>
      <c r="AN213" s="12" t="str">
        <f>IF(XT!$P213=0,AL213,"")</f>
        <v/>
      </c>
      <c r="AO213">
        <f>SUMPRODUCT((MONTH(CHOOSE({1,2,3,4},XT!U213,XT!Y213,XT!AC213,XT!AG213))=11)*(CHOOSE({1,2,3,4},XT!X213,XT!AB213,XT!AF213,XT!AJ213)))</f>
        <v>0</v>
      </c>
      <c r="AP213" t="str">
        <f>IFERROR(INDEX(CHOOSE({1,2,3,4}, DAY(XT!U213), DAY(XT!Y213), DAY(XT!AC213), DAY(XT!AG213)), MATCH(1, INDEX(--(MONTH(CHOOSE({1,2,3,4}, XT!U213,XT!Y213,XT!AC213,XT!AG213))=11), 0), 0)), "")</f>
        <v/>
      </c>
      <c r="AQ213" s="12" t="str">
        <f>IF(XT!$P213&gt;0,AP213,"")</f>
        <v/>
      </c>
      <c r="AR213" s="12" t="str">
        <f>IF(XT!$P213=0,AP213,"")</f>
        <v/>
      </c>
      <c r="AS213">
        <f>SUMPRODUCT((MONTH(CHOOSE({1,2,3,4},XT!U213,XT!Y213,XT!AC213,XT!AG213))=12)*(CHOOSE({1,2,3,4},XT!X213,XT!AB213,XT!AF213,XT!AJ213)))</f>
        <v>0</v>
      </c>
      <c r="AT213" t="str">
        <f>IFERROR(INDEX(CHOOSE({1,2,3,4}, DAY(XT!U213), DAY(XT!Y213), DAY(XT!AC213), DAY(XT!AG213)), MATCH(1, INDEX(--(MONTH(CHOOSE({1,2,3,4}, XT!U213,XT!Y213,XT!AC213,XT!AG213))=12), 0), 0)), "")</f>
        <v/>
      </c>
      <c r="AU213" s="12" t="str">
        <f>IF(XT!$P213&gt;0,AT213,"")</f>
        <v/>
      </c>
      <c r="AV213" s="12" t="str">
        <f>IF(XT!$P213=0,AT213,"")</f>
        <v/>
      </c>
    </row>
    <row r="214" spans="1:48">
      <c r="A214">
        <f>SUMPRODUCT((MONTH(CHOOSE({1,2,3,4},XT!U214,XT!Y214,XT!AC214,XT!AG214))=1)*(CHOOSE({1,2,3,4},XT!X214,XT!AB214,XT!AF214,XT!AJ214)))</f>
        <v>0</v>
      </c>
      <c r="B214">
        <f>IFERROR(INDEX(CHOOSE({1,2,3,4}, DAY(XT!U214), DAY(XT!Y214), DAY(XT!AC214), DAY(XT!AG214)), MATCH(1, INDEX(--(MONTH(CHOOSE({1,2,3,4}, XT!U214,XT!Y214,XT!AC214,XT!AG214))=1), 0), 0)), "")</f>
        <v>0</v>
      </c>
      <c r="C214" s="12" t="str">
        <f>IF(XT!$P214&gt;0,B214,"")</f>
        <v/>
      </c>
      <c r="D214" s="12">
        <f>IF(XT!$P214=0,B214,"")</f>
        <v>0</v>
      </c>
      <c r="E214">
        <f>SUMPRODUCT((MONTH(CHOOSE({1,2,3,4},XT!U214,XT!Y214,XT!AC214,XT!AG214))=2)*(CHOOSE({1,2,3,4},XT!X214,XT!AB214,XT!AF214,XT!AJ214)))</f>
        <v>0</v>
      </c>
      <c r="F214" t="str">
        <f>IFERROR(INDEX(CHOOSE({1,2,3,4}, DAY(XT!U214), DAY(XT!Y214), DAY(XT!AC214), DAY(XT!AG214)), MATCH(1, INDEX(--(MONTH(CHOOSE({1,2,3,4}, XT!U214,XT!Y214,XT!AC214,XT!AG214))=2), 0), 0)), "")</f>
        <v/>
      </c>
      <c r="G214" s="12" t="str">
        <f>IF(XT!$P214&gt;0,F214,"")</f>
        <v/>
      </c>
      <c r="H214" s="12" t="str">
        <f>IF(XT!$P214=0,F214,"")</f>
        <v/>
      </c>
      <c r="I214">
        <f>SUMPRODUCT((MONTH(CHOOSE({1,2,3,4},XT!U214,XT!Y214,XT!AC214,XT!AG214))=3)*(CHOOSE({1,2,3,4},XT!X214,XT!AB214,XT!AF214,XT!AJ214)))</f>
        <v>0</v>
      </c>
      <c r="J214" t="str">
        <f>IFERROR(INDEX(CHOOSE({1,2,3,4}, DAY(XT!U214), DAY(XT!Y214), DAY(XT!AC214), DAY(XT!AG214)), MATCH(1, INDEX(--(MONTH(CHOOSE({1,2,3,4}, XT!U214,XT!Y214,XT!AC214,XT!AG214))=3), 0), 0)), "")</f>
        <v/>
      </c>
      <c r="K214" s="12" t="str">
        <f>IF(XT!$P214&gt;0,J214,"")</f>
        <v/>
      </c>
      <c r="L214" s="12" t="str">
        <f>IF(XT!$P214=0,J214,"")</f>
        <v/>
      </c>
      <c r="M214">
        <f>SUMPRODUCT((MONTH(CHOOSE({1,2,3,4},XT!U214,XT!Y214,XT!AC214,XT!AG214))=4)*(CHOOSE({1,2,3,4},XT!X214,XT!AB214,XT!AF214,XT!AJ214)))</f>
        <v>0</v>
      </c>
      <c r="N214" t="str">
        <f>IFERROR(INDEX(CHOOSE({1,2,3,4}, DAY(XT!U214), DAY(XT!Y214), DAY(XT!AC214), DAY(XT!AG214)), MATCH(1, INDEX(--(MONTH(CHOOSE({1,2,3,4}, XT!U214,XT!Y214,XT!AC214,XT!AG214))=4), 0), 0)), "")</f>
        <v/>
      </c>
      <c r="O214" s="12" t="str">
        <f>IF(XT!$P214&gt;0,N214,"")</f>
        <v/>
      </c>
      <c r="P214" s="12" t="str">
        <f>IF(XT!$P214=0,N214,"")</f>
        <v/>
      </c>
      <c r="Q214">
        <f>SUMPRODUCT((MONTH(CHOOSE({1,2,3,4},XT!U214,XT!Y214,XT!AC214,XT!AG214))=5)*(CHOOSE({1,2,3,4},XT!X214,XT!AB214,XT!AF214,XT!AJ214)))</f>
        <v>0</v>
      </c>
      <c r="R214" t="str">
        <f>IFERROR(INDEX(CHOOSE({1,2,3,4}, DAY(XT!U214), DAY(XT!Y214), DAY(XT!AC214), DAY(XT!AG214)), MATCH(1, INDEX(--(MONTH(CHOOSE({1,2,3,4}, XT!U214,XT!Y214,XT!AC214,XT!AG214))=5), 0), 0)), "")</f>
        <v/>
      </c>
      <c r="S214" s="12" t="str">
        <f>IF(XT!$P214&gt;0,R214,"")</f>
        <v/>
      </c>
      <c r="T214" s="12" t="str">
        <f>IF(XT!$P214=0,R214,"")</f>
        <v/>
      </c>
      <c r="U214">
        <f>SUMPRODUCT((MONTH(CHOOSE({1,2,3,4},XT!U214,XT!Y214,XT!AC214,XT!AG214))=6)*(CHOOSE({1,2,3,4},XT!X214,XT!AB214,XT!AF214,XT!AJ214)))</f>
        <v>0</v>
      </c>
      <c r="V214" t="str">
        <f>IFERROR(INDEX(CHOOSE({1,2,3,4}, DAY(XT!U214), DAY(XT!Y214), DAY(XT!AC214), DAY(XT!AG214)), MATCH(1, INDEX(--(MONTH(CHOOSE({1,2,3,4}, XT!U214,XT!Y214,XT!AC214,XT!AG214))=6), 0), 0)), "")</f>
        <v/>
      </c>
      <c r="W214" s="12" t="str">
        <f>IF(XT!$P214&gt;0,V214,"")</f>
        <v/>
      </c>
      <c r="X214" s="12" t="str">
        <f>IF(XT!$P214=0,V214,"")</f>
        <v/>
      </c>
      <c r="Y214">
        <f>SUMPRODUCT((MONTH(CHOOSE({1,2,3,4},XT!U214,XT!Y214,XT!AC214,XT!AG214))=7)*(CHOOSE({1,2,3,4},XT!X214,XT!AB214,XT!AF214,XT!AJ214)))</f>
        <v>0</v>
      </c>
      <c r="Z214" t="str">
        <f>IFERROR(INDEX(CHOOSE({1,2,3,4}, DAY(XT!U214), DAY(XT!Y214), DAY(XT!AC214), DAY(XT!AG214)), MATCH(1, INDEX(--(MONTH(CHOOSE({1,2,3,4}, XT!U214,XT!Y214,XT!AC214,XT!AG214))=7), 0), 0)), "")</f>
        <v/>
      </c>
      <c r="AA214" s="12" t="str">
        <f>IF(XT!$P214&gt;0,Z214,"")</f>
        <v/>
      </c>
      <c r="AB214" s="12" t="str">
        <f>IF(XT!$P214=0,Z214,"")</f>
        <v/>
      </c>
      <c r="AC214">
        <f>SUMPRODUCT((MONTH(CHOOSE({1,2,3,4},XT!U214,XT!Y214,XT!AC214,XT!AG214))=8)*(CHOOSE({1,2,3,4},XT!X214,XT!AB214,XT!AF214,XT!AJ214)))</f>
        <v>0</v>
      </c>
      <c r="AD214" t="str">
        <f>IFERROR(INDEX(CHOOSE({1,2,3,4}, DAY(XT!U214), DAY(XT!Y214), DAY(XT!AC214), DAY(XT!AG214)), MATCH(1, INDEX(--(MONTH(CHOOSE({1,2,3,4}, XT!U214,XT!Y214,XT!AC214,XT!AG214))=8), 0), 0)), "")</f>
        <v/>
      </c>
      <c r="AE214" s="12" t="str">
        <f>IF(XT!$P214&gt;0,AD214,"")</f>
        <v/>
      </c>
      <c r="AF214" s="12" t="str">
        <f>IF(XT!$P214=0,AD214,"")</f>
        <v/>
      </c>
      <c r="AG214">
        <f>SUMPRODUCT((MONTH(CHOOSE({1,2,3,4},XT!U214,XT!Y214,XT!AC214,XT!AG214))=9)*(CHOOSE({1,2,3,4},XT!X214,XT!AB214,XT!AF214,XT!AJ214)))</f>
        <v>0</v>
      </c>
      <c r="AH214" t="str">
        <f>IFERROR(INDEX(CHOOSE({1,2,3,4}, DAY(XT!U214), DAY(XT!Y214), DAY(XT!AC214), DAY(XT!AG214)), MATCH(1, INDEX(--(MONTH(CHOOSE({1,2,3,4}, XT!U214,XT!Y214,XT!AC214,XT!AG214))=9), 0), 0)), "")</f>
        <v/>
      </c>
      <c r="AI214" s="12" t="str">
        <f>IF(XT!$P214&gt;0,AH214,"")</f>
        <v/>
      </c>
      <c r="AJ214" s="12" t="str">
        <f>IF(XT!$P214=0,AH214,"")</f>
        <v/>
      </c>
      <c r="AK214">
        <f>SUMPRODUCT((MONTH(CHOOSE({1,2,3,4},XT!U214,XT!Y214,XT!AC214,XT!AG214))=10)*(CHOOSE({1,2,3,4},XT!X214,XT!AB214,XT!AF214,XT!AJ214)))</f>
        <v>0</v>
      </c>
      <c r="AL214" t="str">
        <f>IFERROR(INDEX(CHOOSE({1,2,3,4}, DAY(XT!U214), DAY(XT!Y214), DAY(XT!AC214), DAY(XT!AG214)), MATCH(1, INDEX(--(MONTH(CHOOSE({1,2,3,4}, XT!U214,XT!Y214,XT!AC214,XT!AG214))=10), 0), 0)), "")</f>
        <v/>
      </c>
      <c r="AM214" s="12" t="str">
        <f>IF(XT!$P214&gt;0,AL214,"")</f>
        <v/>
      </c>
      <c r="AN214" s="12" t="str">
        <f>IF(XT!$P214=0,AL214,"")</f>
        <v/>
      </c>
      <c r="AO214">
        <f>SUMPRODUCT((MONTH(CHOOSE({1,2,3,4},XT!U214,XT!Y214,XT!AC214,XT!AG214))=11)*(CHOOSE({1,2,3,4},XT!X214,XT!AB214,XT!AF214,XT!AJ214)))</f>
        <v>0</v>
      </c>
      <c r="AP214" t="str">
        <f>IFERROR(INDEX(CHOOSE({1,2,3,4}, DAY(XT!U214), DAY(XT!Y214), DAY(XT!AC214), DAY(XT!AG214)), MATCH(1, INDEX(--(MONTH(CHOOSE({1,2,3,4}, XT!U214,XT!Y214,XT!AC214,XT!AG214))=11), 0), 0)), "")</f>
        <v/>
      </c>
      <c r="AQ214" s="12" t="str">
        <f>IF(XT!$P214&gt;0,AP214,"")</f>
        <v/>
      </c>
      <c r="AR214" s="12" t="str">
        <f>IF(XT!$P214=0,AP214,"")</f>
        <v/>
      </c>
      <c r="AS214">
        <f>SUMPRODUCT((MONTH(CHOOSE({1,2,3,4},XT!U214,XT!Y214,XT!AC214,XT!AG214))=12)*(CHOOSE({1,2,3,4},XT!X214,XT!AB214,XT!AF214,XT!AJ214)))</f>
        <v>0</v>
      </c>
      <c r="AT214" t="str">
        <f>IFERROR(INDEX(CHOOSE({1,2,3,4}, DAY(XT!U214), DAY(XT!Y214), DAY(XT!AC214), DAY(XT!AG214)), MATCH(1, INDEX(--(MONTH(CHOOSE({1,2,3,4}, XT!U214,XT!Y214,XT!AC214,XT!AG214))=12), 0), 0)), "")</f>
        <v/>
      </c>
      <c r="AU214" s="12" t="str">
        <f>IF(XT!$P214&gt;0,AT214,"")</f>
        <v/>
      </c>
      <c r="AV214" s="12" t="str">
        <f>IF(XT!$P214=0,AT214,"")</f>
        <v/>
      </c>
    </row>
    <row r="215" spans="1:48">
      <c r="A215">
        <f>SUMPRODUCT((MONTH(CHOOSE({1,2,3,4},XT!U215,XT!Y215,XT!AC215,XT!AG215))=1)*(CHOOSE({1,2,3,4},XT!X215,XT!AB215,XT!AF215,XT!AJ215)))</f>
        <v>0</v>
      </c>
      <c r="B215">
        <f>IFERROR(INDEX(CHOOSE({1,2,3,4}, DAY(XT!U215), DAY(XT!Y215), DAY(XT!AC215), DAY(XT!AG215)), MATCH(1, INDEX(--(MONTH(CHOOSE({1,2,3,4}, XT!U215,XT!Y215,XT!AC215,XT!AG215))=1), 0), 0)), "")</f>
        <v>0</v>
      </c>
      <c r="C215" s="12" t="str">
        <f>IF(XT!$P215&gt;0,B215,"")</f>
        <v/>
      </c>
      <c r="D215" s="12">
        <f>IF(XT!$P215=0,B215,"")</f>
        <v>0</v>
      </c>
      <c r="E215">
        <f>SUMPRODUCT((MONTH(CHOOSE({1,2,3,4},XT!U215,XT!Y215,XT!AC215,XT!AG215))=2)*(CHOOSE({1,2,3,4},XT!X215,XT!AB215,XT!AF215,XT!AJ215)))</f>
        <v>0</v>
      </c>
      <c r="F215" t="str">
        <f>IFERROR(INDEX(CHOOSE({1,2,3,4}, DAY(XT!U215), DAY(XT!Y215), DAY(XT!AC215), DAY(XT!AG215)), MATCH(1, INDEX(--(MONTH(CHOOSE({1,2,3,4}, XT!U215,XT!Y215,XT!AC215,XT!AG215))=2), 0), 0)), "")</f>
        <v/>
      </c>
      <c r="G215" s="12" t="str">
        <f>IF(XT!$P215&gt;0,F215,"")</f>
        <v/>
      </c>
      <c r="H215" s="12" t="str">
        <f>IF(XT!$P215=0,F215,"")</f>
        <v/>
      </c>
      <c r="I215">
        <f>SUMPRODUCT((MONTH(CHOOSE({1,2,3,4},XT!U215,XT!Y215,XT!AC215,XT!AG215))=3)*(CHOOSE({1,2,3,4},XT!X215,XT!AB215,XT!AF215,XT!AJ215)))</f>
        <v>0</v>
      </c>
      <c r="J215" t="str">
        <f>IFERROR(INDEX(CHOOSE({1,2,3,4}, DAY(XT!U215), DAY(XT!Y215), DAY(XT!AC215), DAY(XT!AG215)), MATCH(1, INDEX(--(MONTH(CHOOSE({1,2,3,4}, XT!U215,XT!Y215,XT!AC215,XT!AG215))=3), 0), 0)), "")</f>
        <v/>
      </c>
      <c r="K215" s="12" t="str">
        <f>IF(XT!$P215&gt;0,J215,"")</f>
        <v/>
      </c>
      <c r="L215" s="12" t="str">
        <f>IF(XT!$P215=0,J215,"")</f>
        <v/>
      </c>
      <c r="M215">
        <f>SUMPRODUCT((MONTH(CHOOSE({1,2,3,4},XT!U215,XT!Y215,XT!AC215,XT!AG215))=4)*(CHOOSE({1,2,3,4},XT!X215,XT!AB215,XT!AF215,XT!AJ215)))</f>
        <v>0</v>
      </c>
      <c r="N215" t="str">
        <f>IFERROR(INDEX(CHOOSE({1,2,3,4}, DAY(XT!U215), DAY(XT!Y215), DAY(XT!AC215), DAY(XT!AG215)), MATCH(1, INDEX(--(MONTH(CHOOSE({1,2,3,4}, XT!U215,XT!Y215,XT!AC215,XT!AG215))=4), 0), 0)), "")</f>
        <v/>
      </c>
      <c r="O215" s="12" t="str">
        <f>IF(XT!$P215&gt;0,N215,"")</f>
        <v/>
      </c>
      <c r="P215" s="12" t="str">
        <f>IF(XT!$P215=0,N215,"")</f>
        <v/>
      </c>
      <c r="Q215">
        <f>SUMPRODUCT((MONTH(CHOOSE({1,2,3,4},XT!U215,XT!Y215,XT!AC215,XT!AG215))=5)*(CHOOSE({1,2,3,4},XT!X215,XT!AB215,XT!AF215,XT!AJ215)))</f>
        <v>0</v>
      </c>
      <c r="R215" t="str">
        <f>IFERROR(INDEX(CHOOSE({1,2,3,4}, DAY(XT!U215), DAY(XT!Y215), DAY(XT!AC215), DAY(XT!AG215)), MATCH(1, INDEX(--(MONTH(CHOOSE({1,2,3,4}, XT!U215,XT!Y215,XT!AC215,XT!AG215))=5), 0), 0)), "")</f>
        <v/>
      </c>
      <c r="S215" s="12" t="str">
        <f>IF(XT!$P215&gt;0,R215,"")</f>
        <v/>
      </c>
      <c r="T215" s="12" t="str">
        <f>IF(XT!$P215=0,R215,"")</f>
        <v/>
      </c>
      <c r="U215">
        <f>SUMPRODUCT((MONTH(CHOOSE({1,2,3,4},XT!U215,XT!Y215,XT!AC215,XT!AG215))=6)*(CHOOSE({1,2,3,4},XT!X215,XT!AB215,XT!AF215,XT!AJ215)))</f>
        <v>0</v>
      </c>
      <c r="V215" t="str">
        <f>IFERROR(INDEX(CHOOSE({1,2,3,4}, DAY(XT!U215), DAY(XT!Y215), DAY(XT!AC215), DAY(XT!AG215)), MATCH(1, INDEX(--(MONTH(CHOOSE({1,2,3,4}, XT!U215,XT!Y215,XT!AC215,XT!AG215))=6), 0), 0)), "")</f>
        <v/>
      </c>
      <c r="W215" s="12" t="str">
        <f>IF(XT!$P215&gt;0,V215,"")</f>
        <v/>
      </c>
      <c r="X215" s="12" t="str">
        <f>IF(XT!$P215=0,V215,"")</f>
        <v/>
      </c>
      <c r="Y215">
        <f>SUMPRODUCT((MONTH(CHOOSE({1,2,3,4},XT!U215,XT!Y215,XT!AC215,XT!AG215))=7)*(CHOOSE({1,2,3,4},XT!X215,XT!AB215,XT!AF215,XT!AJ215)))</f>
        <v>0</v>
      </c>
      <c r="Z215" t="str">
        <f>IFERROR(INDEX(CHOOSE({1,2,3,4}, DAY(XT!U215), DAY(XT!Y215), DAY(XT!AC215), DAY(XT!AG215)), MATCH(1, INDEX(--(MONTH(CHOOSE({1,2,3,4}, XT!U215,XT!Y215,XT!AC215,XT!AG215))=7), 0), 0)), "")</f>
        <v/>
      </c>
      <c r="AA215" s="12" t="str">
        <f>IF(XT!$P215&gt;0,Z215,"")</f>
        <v/>
      </c>
      <c r="AB215" s="12" t="str">
        <f>IF(XT!$P215=0,Z215,"")</f>
        <v/>
      </c>
      <c r="AC215">
        <f>SUMPRODUCT((MONTH(CHOOSE({1,2,3,4},XT!U215,XT!Y215,XT!AC215,XT!AG215))=8)*(CHOOSE({1,2,3,4},XT!X215,XT!AB215,XT!AF215,XT!AJ215)))</f>
        <v>0</v>
      </c>
      <c r="AD215" t="str">
        <f>IFERROR(INDEX(CHOOSE({1,2,3,4}, DAY(XT!U215), DAY(XT!Y215), DAY(XT!AC215), DAY(XT!AG215)), MATCH(1, INDEX(--(MONTH(CHOOSE({1,2,3,4}, XT!U215,XT!Y215,XT!AC215,XT!AG215))=8), 0), 0)), "")</f>
        <v/>
      </c>
      <c r="AE215" s="12" t="str">
        <f>IF(XT!$P215&gt;0,AD215,"")</f>
        <v/>
      </c>
      <c r="AF215" s="12" t="str">
        <f>IF(XT!$P215=0,AD215,"")</f>
        <v/>
      </c>
      <c r="AG215">
        <f>SUMPRODUCT((MONTH(CHOOSE({1,2,3,4},XT!U215,XT!Y215,XT!AC215,XT!AG215))=9)*(CHOOSE({1,2,3,4},XT!X215,XT!AB215,XT!AF215,XT!AJ215)))</f>
        <v>0</v>
      </c>
      <c r="AH215" t="str">
        <f>IFERROR(INDEX(CHOOSE({1,2,3,4}, DAY(XT!U215), DAY(XT!Y215), DAY(XT!AC215), DAY(XT!AG215)), MATCH(1, INDEX(--(MONTH(CHOOSE({1,2,3,4}, XT!U215,XT!Y215,XT!AC215,XT!AG215))=9), 0), 0)), "")</f>
        <v/>
      </c>
      <c r="AI215" s="12" t="str">
        <f>IF(XT!$P215&gt;0,AH215,"")</f>
        <v/>
      </c>
      <c r="AJ215" s="12" t="str">
        <f>IF(XT!$P215=0,AH215,"")</f>
        <v/>
      </c>
      <c r="AK215">
        <f>SUMPRODUCT((MONTH(CHOOSE({1,2,3,4},XT!U215,XT!Y215,XT!AC215,XT!AG215))=10)*(CHOOSE({1,2,3,4},XT!X215,XT!AB215,XT!AF215,XT!AJ215)))</f>
        <v>0</v>
      </c>
      <c r="AL215" t="str">
        <f>IFERROR(INDEX(CHOOSE({1,2,3,4}, DAY(XT!U215), DAY(XT!Y215), DAY(XT!AC215), DAY(XT!AG215)), MATCH(1, INDEX(--(MONTH(CHOOSE({1,2,3,4}, XT!U215,XT!Y215,XT!AC215,XT!AG215))=10), 0), 0)), "")</f>
        <v/>
      </c>
      <c r="AM215" s="12" t="str">
        <f>IF(XT!$P215&gt;0,AL215,"")</f>
        <v/>
      </c>
      <c r="AN215" s="12" t="str">
        <f>IF(XT!$P215=0,AL215,"")</f>
        <v/>
      </c>
      <c r="AO215">
        <f>SUMPRODUCT((MONTH(CHOOSE({1,2,3,4},XT!U215,XT!Y215,XT!AC215,XT!AG215))=11)*(CHOOSE({1,2,3,4},XT!X215,XT!AB215,XT!AF215,XT!AJ215)))</f>
        <v>0</v>
      </c>
      <c r="AP215" t="str">
        <f>IFERROR(INDEX(CHOOSE({1,2,3,4}, DAY(XT!U215), DAY(XT!Y215), DAY(XT!AC215), DAY(XT!AG215)), MATCH(1, INDEX(--(MONTH(CHOOSE({1,2,3,4}, XT!U215,XT!Y215,XT!AC215,XT!AG215))=11), 0), 0)), "")</f>
        <v/>
      </c>
      <c r="AQ215" s="12" t="str">
        <f>IF(XT!$P215&gt;0,AP215,"")</f>
        <v/>
      </c>
      <c r="AR215" s="12" t="str">
        <f>IF(XT!$P215=0,AP215,"")</f>
        <v/>
      </c>
      <c r="AS215">
        <f>SUMPRODUCT((MONTH(CHOOSE({1,2,3,4},XT!U215,XT!Y215,XT!AC215,XT!AG215))=12)*(CHOOSE({1,2,3,4},XT!X215,XT!AB215,XT!AF215,XT!AJ215)))</f>
        <v>0</v>
      </c>
      <c r="AT215" t="str">
        <f>IFERROR(INDEX(CHOOSE({1,2,3,4}, DAY(XT!U215), DAY(XT!Y215), DAY(XT!AC215), DAY(XT!AG215)), MATCH(1, INDEX(--(MONTH(CHOOSE({1,2,3,4}, XT!U215,XT!Y215,XT!AC215,XT!AG215))=12), 0), 0)), "")</f>
        <v/>
      </c>
      <c r="AU215" s="12" t="str">
        <f>IF(XT!$P215&gt;0,AT215,"")</f>
        <v/>
      </c>
      <c r="AV215" s="12" t="str">
        <f>IF(XT!$P215=0,AT215,"")</f>
        <v/>
      </c>
    </row>
    <row r="216" spans="1:48">
      <c r="A216">
        <f>SUMPRODUCT((MONTH(CHOOSE({1,2,3,4},XT!U216,XT!Y216,XT!AC216,XT!AG216))=1)*(CHOOSE({1,2,3,4},XT!X216,XT!AB216,XT!AF216,XT!AJ216)))</f>
        <v>0</v>
      </c>
      <c r="B216">
        <f>IFERROR(INDEX(CHOOSE({1,2,3,4}, DAY(XT!U216), DAY(XT!Y216), DAY(XT!AC216), DAY(XT!AG216)), MATCH(1, INDEX(--(MONTH(CHOOSE({1,2,3,4}, XT!U216,XT!Y216,XT!AC216,XT!AG216))=1), 0), 0)), "")</f>
        <v>0</v>
      </c>
      <c r="C216" s="12" t="str">
        <f>IF(XT!$P216&gt;0,B216,"")</f>
        <v/>
      </c>
      <c r="D216" s="12">
        <f>IF(XT!$P216=0,B216,"")</f>
        <v>0</v>
      </c>
      <c r="E216">
        <f>SUMPRODUCT((MONTH(CHOOSE({1,2,3,4},XT!U216,XT!Y216,XT!AC216,XT!AG216))=2)*(CHOOSE({1,2,3,4},XT!X216,XT!AB216,XT!AF216,XT!AJ216)))</f>
        <v>0</v>
      </c>
      <c r="F216" t="str">
        <f>IFERROR(INDEX(CHOOSE({1,2,3,4}, DAY(XT!U216), DAY(XT!Y216), DAY(XT!AC216), DAY(XT!AG216)), MATCH(1, INDEX(--(MONTH(CHOOSE({1,2,3,4}, XT!U216,XT!Y216,XT!AC216,XT!AG216))=2), 0), 0)), "")</f>
        <v/>
      </c>
      <c r="G216" s="12" t="str">
        <f>IF(XT!$P216&gt;0,F216,"")</f>
        <v/>
      </c>
      <c r="H216" s="12" t="str">
        <f>IF(XT!$P216=0,F216,"")</f>
        <v/>
      </c>
      <c r="I216">
        <f>SUMPRODUCT((MONTH(CHOOSE({1,2,3,4},XT!U216,XT!Y216,XT!AC216,XT!AG216))=3)*(CHOOSE({1,2,3,4},XT!X216,XT!AB216,XT!AF216,XT!AJ216)))</f>
        <v>0</v>
      </c>
      <c r="J216" t="str">
        <f>IFERROR(INDEX(CHOOSE({1,2,3,4}, DAY(XT!U216), DAY(XT!Y216), DAY(XT!AC216), DAY(XT!AG216)), MATCH(1, INDEX(--(MONTH(CHOOSE({1,2,3,4}, XT!U216,XT!Y216,XT!AC216,XT!AG216))=3), 0), 0)), "")</f>
        <v/>
      </c>
      <c r="K216" s="12" t="str">
        <f>IF(XT!$P216&gt;0,J216,"")</f>
        <v/>
      </c>
      <c r="L216" s="12" t="str">
        <f>IF(XT!$P216=0,J216,"")</f>
        <v/>
      </c>
      <c r="M216">
        <f>SUMPRODUCT((MONTH(CHOOSE({1,2,3,4},XT!U216,XT!Y216,XT!AC216,XT!AG216))=4)*(CHOOSE({1,2,3,4},XT!X216,XT!AB216,XT!AF216,XT!AJ216)))</f>
        <v>0</v>
      </c>
      <c r="N216" t="str">
        <f>IFERROR(INDEX(CHOOSE({1,2,3,4}, DAY(XT!U216), DAY(XT!Y216), DAY(XT!AC216), DAY(XT!AG216)), MATCH(1, INDEX(--(MONTH(CHOOSE({1,2,3,4}, XT!U216,XT!Y216,XT!AC216,XT!AG216))=4), 0), 0)), "")</f>
        <v/>
      </c>
      <c r="O216" s="12" t="str">
        <f>IF(XT!$P216&gt;0,N216,"")</f>
        <v/>
      </c>
      <c r="P216" s="12" t="str">
        <f>IF(XT!$P216=0,N216,"")</f>
        <v/>
      </c>
      <c r="Q216">
        <f>SUMPRODUCT((MONTH(CHOOSE({1,2,3,4},XT!U216,XT!Y216,XT!AC216,XT!AG216))=5)*(CHOOSE({1,2,3,4},XT!X216,XT!AB216,XT!AF216,XT!AJ216)))</f>
        <v>0</v>
      </c>
      <c r="R216" t="str">
        <f>IFERROR(INDEX(CHOOSE({1,2,3,4}, DAY(XT!U216), DAY(XT!Y216), DAY(XT!AC216), DAY(XT!AG216)), MATCH(1, INDEX(--(MONTH(CHOOSE({1,2,3,4}, XT!U216,XT!Y216,XT!AC216,XT!AG216))=5), 0), 0)), "")</f>
        <v/>
      </c>
      <c r="S216" s="12" t="str">
        <f>IF(XT!$P216&gt;0,R216,"")</f>
        <v/>
      </c>
      <c r="T216" s="12" t="str">
        <f>IF(XT!$P216=0,R216,"")</f>
        <v/>
      </c>
      <c r="U216">
        <f>SUMPRODUCT((MONTH(CHOOSE({1,2,3,4},XT!U216,XT!Y216,XT!AC216,XT!AG216))=6)*(CHOOSE({1,2,3,4},XT!X216,XT!AB216,XT!AF216,XT!AJ216)))</f>
        <v>0</v>
      </c>
      <c r="V216" t="str">
        <f>IFERROR(INDEX(CHOOSE({1,2,3,4}, DAY(XT!U216), DAY(XT!Y216), DAY(XT!AC216), DAY(XT!AG216)), MATCH(1, INDEX(--(MONTH(CHOOSE({1,2,3,4}, XT!U216,XT!Y216,XT!AC216,XT!AG216))=6), 0), 0)), "")</f>
        <v/>
      </c>
      <c r="W216" s="12" t="str">
        <f>IF(XT!$P216&gt;0,V216,"")</f>
        <v/>
      </c>
      <c r="X216" s="12" t="str">
        <f>IF(XT!$P216=0,V216,"")</f>
        <v/>
      </c>
      <c r="Y216">
        <f>SUMPRODUCT((MONTH(CHOOSE({1,2,3,4},XT!U216,XT!Y216,XT!AC216,XT!AG216))=7)*(CHOOSE({1,2,3,4},XT!X216,XT!AB216,XT!AF216,XT!AJ216)))</f>
        <v>0</v>
      </c>
      <c r="Z216" t="str">
        <f>IFERROR(INDEX(CHOOSE({1,2,3,4}, DAY(XT!U216), DAY(XT!Y216), DAY(XT!AC216), DAY(XT!AG216)), MATCH(1, INDEX(--(MONTH(CHOOSE({1,2,3,4}, XT!U216,XT!Y216,XT!AC216,XT!AG216))=7), 0), 0)), "")</f>
        <v/>
      </c>
      <c r="AA216" s="12" t="str">
        <f>IF(XT!$P216&gt;0,Z216,"")</f>
        <v/>
      </c>
      <c r="AB216" s="12" t="str">
        <f>IF(XT!$P216=0,Z216,"")</f>
        <v/>
      </c>
      <c r="AC216">
        <f>SUMPRODUCT((MONTH(CHOOSE({1,2,3,4},XT!U216,XT!Y216,XT!AC216,XT!AG216))=8)*(CHOOSE({1,2,3,4},XT!X216,XT!AB216,XT!AF216,XT!AJ216)))</f>
        <v>0</v>
      </c>
      <c r="AD216" t="str">
        <f>IFERROR(INDEX(CHOOSE({1,2,3,4}, DAY(XT!U216), DAY(XT!Y216), DAY(XT!AC216), DAY(XT!AG216)), MATCH(1, INDEX(--(MONTH(CHOOSE({1,2,3,4}, XT!U216,XT!Y216,XT!AC216,XT!AG216))=8), 0), 0)), "")</f>
        <v/>
      </c>
      <c r="AE216" s="12" t="str">
        <f>IF(XT!$P216&gt;0,AD216,"")</f>
        <v/>
      </c>
      <c r="AF216" s="12" t="str">
        <f>IF(XT!$P216=0,AD216,"")</f>
        <v/>
      </c>
      <c r="AG216">
        <f>SUMPRODUCT((MONTH(CHOOSE({1,2,3,4},XT!U216,XT!Y216,XT!AC216,XT!AG216))=9)*(CHOOSE({1,2,3,4},XT!X216,XT!AB216,XT!AF216,XT!AJ216)))</f>
        <v>0</v>
      </c>
      <c r="AH216" t="str">
        <f>IFERROR(INDEX(CHOOSE({1,2,3,4}, DAY(XT!U216), DAY(XT!Y216), DAY(XT!AC216), DAY(XT!AG216)), MATCH(1, INDEX(--(MONTH(CHOOSE({1,2,3,4}, XT!U216,XT!Y216,XT!AC216,XT!AG216))=9), 0), 0)), "")</f>
        <v/>
      </c>
      <c r="AI216" s="12" t="str">
        <f>IF(XT!$P216&gt;0,AH216,"")</f>
        <v/>
      </c>
      <c r="AJ216" s="12" t="str">
        <f>IF(XT!$P216=0,AH216,"")</f>
        <v/>
      </c>
      <c r="AK216">
        <f>SUMPRODUCT((MONTH(CHOOSE({1,2,3,4},XT!U216,XT!Y216,XT!AC216,XT!AG216))=10)*(CHOOSE({1,2,3,4},XT!X216,XT!AB216,XT!AF216,XT!AJ216)))</f>
        <v>0</v>
      </c>
      <c r="AL216" t="str">
        <f>IFERROR(INDEX(CHOOSE({1,2,3,4}, DAY(XT!U216), DAY(XT!Y216), DAY(XT!AC216), DAY(XT!AG216)), MATCH(1, INDEX(--(MONTH(CHOOSE({1,2,3,4}, XT!U216,XT!Y216,XT!AC216,XT!AG216))=10), 0), 0)), "")</f>
        <v/>
      </c>
      <c r="AM216" s="12" t="str">
        <f>IF(XT!$P216&gt;0,AL216,"")</f>
        <v/>
      </c>
      <c r="AN216" s="12" t="str">
        <f>IF(XT!$P216=0,AL216,"")</f>
        <v/>
      </c>
      <c r="AO216">
        <f>SUMPRODUCT((MONTH(CHOOSE({1,2,3,4},XT!U216,XT!Y216,XT!AC216,XT!AG216))=11)*(CHOOSE({1,2,3,4},XT!X216,XT!AB216,XT!AF216,XT!AJ216)))</f>
        <v>0</v>
      </c>
      <c r="AP216" t="str">
        <f>IFERROR(INDEX(CHOOSE({1,2,3,4}, DAY(XT!U216), DAY(XT!Y216), DAY(XT!AC216), DAY(XT!AG216)), MATCH(1, INDEX(--(MONTH(CHOOSE({1,2,3,4}, XT!U216,XT!Y216,XT!AC216,XT!AG216))=11), 0), 0)), "")</f>
        <v/>
      </c>
      <c r="AQ216" s="12" t="str">
        <f>IF(XT!$P216&gt;0,AP216,"")</f>
        <v/>
      </c>
      <c r="AR216" s="12" t="str">
        <f>IF(XT!$P216=0,AP216,"")</f>
        <v/>
      </c>
      <c r="AS216">
        <f>SUMPRODUCT((MONTH(CHOOSE({1,2,3,4},XT!U216,XT!Y216,XT!AC216,XT!AG216))=12)*(CHOOSE({1,2,3,4},XT!X216,XT!AB216,XT!AF216,XT!AJ216)))</f>
        <v>0</v>
      </c>
      <c r="AT216" t="str">
        <f>IFERROR(INDEX(CHOOSE({1,2,3,4}, DAY(XT!U216), DAY(XT!Y216), DAY(XT!AC216), DAY(XT!AG216)), MATCH(1, INDEX(--(MONTH(CHOOSE({1,2,3,4}, XT!U216,XT!Y216,XT!AC216,XT!AG216))=12), 0), 0)), "")</f>
        <v/>
      </c>
      <c r="AU216" s="12" t="str">
        <f>IF(XT!$P216&gt;0,AT216,"")</f>
        <v/>
      </c>
      <c r="AV216" s="12" t="str">
        <f>IF(XT!$P216=0,AT216,"")</f>
        <v/>
      </c>
    </row>
    <row r="217" spans="1:48">
      <c r="A217">
        <f>SUMPRODUCT((MONTH(CHOOSE({1,2,3,4},XT!U217,XT!Y217,XT!AC217,XT!AG217))=1)*(CHOOSE({1,2,3,4},XT!X217,XT!AB217,XT!AF217,XT!AJ217)))</f>
        <v>0</v>
      </c>
      <c r="B217">
        <f>IFERROR(INDEX(CHOOSE({1,2,3,4}, DAY(XT!U217), DAY(XT!Y217), DAY(XT!AC217), DAY(XT!AG217)), MATCH(1, INDEX(--(MONTH(CHOOSE({1,2,3,4}, XT!U217,XT!Y217,XT!AC217,XT!AG217))=1), 0), 0)), "")</f>
        <v>0</v>
      </c>
      <c r="C217" s="12" t="str">
        <f>IF(XT!$P217&gt;0,B217,"")</f>
        <v/>
      </c>
      <c r="D217" s="12">
        <f>IF(XT!$P217=0,B217,"")</f>
        <v>0</v>
      </c>
      <c r="E217">
        <f>SUMPRODUCT((MONTH(CHOOSE({1,2,3,4},XT!U217,XT!Y217,XT!AC217,XT!AG217))=2)*(CHOOSE({1,2,3,4},XT!X217,XT!AB217,XT!AF217,XT!AJ217)))</f>
        <v>0</v>
      </c>
      <c r="F217" t="str">
        <f>IFERROR(INDEX(CHOOSE({1,2,3,4}, DAY(XT!U217), DAY(XT!Y217), DAY(XT!AC217), DAY(XT!AG217)), MATCH(1, INDEX(--(MONTH(CHOOSE({1,2,3,4}, XT!U217,XT!Y217,XT!AC217,XT!AG217))=2), 0), 0)), "")</f>
        <v/>
      </c>
      <c r="G217" s="12" t="str">
        <f>IF(XT!$P217&gt;0,F217,"")</f>
        <v/>
      </c>
      <c r="H217" s="12" t="str">
        <f>IF(XT!$P217=0,F217,"")</f>
        <v/>
      </c>
      <c r="I217">
        <f>SUMPRODUCT((MONTH(CHOOSE({1,2,3,4},XT!U217,XT!Y217,XT!AC217,XT!AG217))=3)*(CHOOSE({1,2,3,4},XT!X217,XT!AB217,XT!AF217,XT!AJ217)))</f>
        <v>0</v>
      </c>
      <c r="J217" t="str">
        <f>IFERROR(INDEX(CHOOSE({1,2,3,4}, DAY(XT!U217), DAY(XT!Y217), DAY(XT!AC217), DAY(XT!AG217)), MATCH(1, INDEX(--(MONTH(CHOOSE({1,2,3,4}, XT!U217,XT!Y217,XT!AC217,XT!AG217))=3), 0), 0)), "")</f>
        <v/>
      </c>
      <c r="K217" s="12" t="str">
        <f>IF(XT!$P217&gt;0,J217,"")</f>
        <v/>
      </c>
      <c r="L217" s="12" t="str">
        <f>IF(XT!$P217=0,J217,"")</f>
        <v/>
      </c>
      <c r="M217">
        <f>SUMPRODUCT((MONTH(CHOOSE({1,2,3,4},XT!U217,XT!Y217,XT!AC217,XT!AG217))=4)*(CHOOSE({1,2,3,4},XT!X217,XT!AB217,XT!AF217,XT!AJ217)))</f>
        <v>0</v>
      </c>
      <c r="N217" t="str">
        <f>IFERROR(INDEX(CHOOSE({1,2,3,4}, DAY(XT!U217), DAY(XT!Y217), DAY(XT!AC217), DAY(XT!AG217)), MATCH(1, INDEX(--(MONTH(CHOOSE({1,2,3,4}, XT!U217,XT!Y217,XT!AC217,XT!AG217))=4), 0), 0)), "")</f>
        <v/>
      </c>
      <c r="O217" s="12" t="str">
        <f>IF(XT!$P217&gt;0,N217,"")</f>
        <v/>
      </c>
      <c r="P217" s="12" t="str">
        <f>IF(XT!$P217=0,N217,"")</f>
        <v/>
      </c>
      <c r="Q217">
        <f>SUMPRODUCT((MONTH(CHOOSE({1,2,3,4},XT!U217,XT!Y217,XT!AC217,XT!AG217))=5)*(CHOOSE({1,2,3,4},XT!X217,XT!AB217,XT!AF217,XT!AJ217)))</f>
        <v>0</v>
      </c>
      <c r="R217" t="str">
        <f>IFERROR(INDEX(CHOOSE({1,2,3,4}, DAY(XT!U217), DAY(XT!Y217), DAY(XT!AC217), DAY(XT!AG217)), MATCH(1, INDEX(--(MONTH(CHOOSE({1,2,3,4}, XT!U217,XT!Y217,XT!AC217,XT!AG217))=5), 0), 0)), "")</f>
        <v/>
      </c>
      <c r="S217" s="12" t="str">
        <f>IF(XT!$P217&gt;0,R217,"")</f>
        <v/>
      </c>
      <c r="T217" s="12" t="str">
        <f>IF(XT!$P217=0,R217,"")</f>
        <v/>
      </c>
      <c r="U217">
        <f>SUMPRODUCT((MONTH(CHOOSE({1,2,3,4},XT!U217,XT!Y217,XT!AC217,XT!AG217))=6)*(CHOOSE({1,2,3,4},XT!X217,XT!AB217,XT!AF217,XT!AJ217)))</f>
        <v>0</v>
      </c>
      <c r="V217" t="str">
        <f>IFERROR(INDEX(CHOOSE({1,2,3,4}, DAY(XT!U217), DAY(XT!Y217), DAY(XT!AC217), DAY(XT!AG217)), MATCH(1, INDEX(--(MONTH(CHOOSE({1,2,3,4}, XT!U217,XT!Y217,XT!AC217,XT!AG217))=6), 0), 0)), "")</f>
        <v/>
      </c>
      <c r="W217" s="12" t="str">
        <f>IF(XT!$P217&gt;0,V217,"")</f>
        <v/>
      </c>
      <c r="X217" s="12" t="str">
        <f>IF(XT!$P217=0,V217,"")</f>
        <v/>
      </c>
      <c r="Y217">
        <f>SUMPRODUCT((MONTH(CHOOSE({1,2,3,4},XT!U217,XT!Y217,XT!AC217,XT!AG217))=7)*(CHOOSE({1,2,3,4},XT!X217,XT!AB217,XT!AF217,XT!AJ217)))</f>
        <v>0</v>
      </c>
      <c r="Z217" t="str">
        <f>IFERROR(INDEX(CHOOSE({1,2,3,4}, DAY(XT!U217), DAY(XT!Y217), DAY(XT!AC217), DAY(XT!AG217)), MATCH(1, INDEX(--(MONTH(CHOOSE({1,2,3,4}, XT!U217,XT!Y217,XT!AC217,XT!AG217))=7), 0), 0)), "")</f>
        <v/>
      </c>
      <c r="AA217" s="12" t="str">
        <f>IF(XT!$P217&gt;0,Z217,"")</f>
        <v/>
      </c>
      <c r="AB217" s="12" t="str">
        <f>IF(XT!$P217=0,Z217,"")</f>
        <v/>
      </c>
      <c r="AC217">
        <f>SUMPRODUCT((MONTH(CHOOSE({1,2,3,4},XT!U217,XT!Y217,XT!AC217,XT!AG217))=8)*(CHOOSE({1,2,3,4},XT!X217,XT!AB217,XT!AF217,XT!AJ217)))</f>
        <v>0</v>
      </c>
      <c r="AD217" t="str">
        <f>IFERROR(INDEX(CHOOSE({1,2,3,4}, DAY(XT!U217), DAY(XT!Y217), DAY(XT!AC217), DAY(XT!AG217)), MATCH(1, INDEX(--(MONTH(CHOOSE({1,2,3,4}, XT!U217,XT!Y217,XT!AC217,XT!AG217))=8), 0), 0)), "")</f>
        <v/>
      </c>
      <c r="AE217" s="12" t="str">
        <f>IF(XT!$P217&gt;0,AD217,"")</f>
        <v/>
      </c>
      <c r="AF217" s="12" t="str">
        <f>IF(XT!$P217=0,AD217,"")</f>
        <v/>
      </c>
      <c r="AG217">
        <f>SUMPRODUCT((MONTH(CHOOSE({1,2,3,4},XT!U217,XT!Y217,XT!AC217,XT!AG217))=9)*(CHOOSE({1,2,3,4},XT!X217,XT!AB217,XT!AF217,XT!AJ217)))</f>
        <v>0</v>
      </c>
      <c r="AH217" t="str">
        <f>IFERROR(INDEX(CHOOSE({1,2,3,4}, DAY(XT!U217), DAY(XT!Y217), DAY(XT!AC217), DAY(XT!AG217)), MATCH(1, INDEX(--(MONTH(CHOOSE({1,2,3,4}, XT!U217,XT!Y217,XT!AC217,XT!AG217))=9), 0), 0)), "")</f>
        <v/>
      </c>
      <c r="AI217" s="12" t="str">
        <f>IF(XT!$P217&gt;0,AH217,"")</f>
        <v/>
      </c>
      <c r="AJ217" s="12" t="str">
        <f>IF(XT!$P217=0,AH217,"")</f>
        <v/>
      </c>
      <c r="AK217">
        <f>SUMPRODUCT((MONTH(CHOOSE({1,2,3,4},XT!U217,XT!Y217,XT!AC217,XT!AG217))=10)*(CHOOSE({1,2,3,4},XT!X217,XT!AB217,XT!AF217,XT!AJ217)))</f>
        <v>0</v>
      </c>
      <c r="AL217" t="str">
        <f>IFERROR(INDEX(CHOOSE({1,2,3,4}, DAY(XT!U217), DAY(XT!Y217), DAY(XT!AC217), DAY(XT!AG217)), MATCH(1, INDEX(--(MONTH(CHOOSE({1,2,3,4}, XT!U217,XT!Y217,XT!AC217,XT!AG217))=10), 0), 0)), "")</f>
        <v/>
      </c>
      <c r="AM217" s="12" t="str">
        <f>IF(XT!$P217&gt;0,AL217,"")</f>
        <v/>
      </c>
      <c r="AN217" s="12" t="str">
        <f>IF(XT!$P217=0,AL217,"")</f>
        <v/>
      </c>
      <c r="AO217">
        <f>SUMPRODUCT((MONTH(CHOOSE({1,2,3,4},XT!U217,XT!Y217,XT!AC217,XT!AG217))=11)*(CHOOSE({1,2,3,4},XT!X217,XT!AB217,XT!AF217,XT!AJ217)))</f>
        <v>0</v>
      </c>
      <c r="AP217" t="str">
        <f>IFERROR(INDEX(CHOOSE({1,2,3,4}, DAY(XT!U217), DAY(XT!Y217), DAY(XT!AC217), DAY(XT!AG217)), MATCH(1, INDEX(--(MONTH(CHOOSE({1,2,3,4}, XT!U217,XT!Y217,XT!AC217,XT!AG217))=11), 0), 0)), "")</f>
        <v/>
      </c>
      <c r="AQ217" s="12" t="str">
        <f>IF(XT!$P217&gt;0,AP217,"")</f>
        <v/>
      </c>
      <c r="AR217" s="12" t="str">
        <f>IF(XT!$P217=0,AP217,"")</f>
        <v/>
      </c>
      <c r="AS217">
        <f>SUMPRODUCT((MONTH(CHOOSE({1,2,3,4},XT!U217,XT!Y217,XT!AC217,XT!AG217))=12)*(CHOOSE({1,2,3,4},XT!X217,XT!AB217,XT!AF217,XT!AJ217)))</f>
        <v>0</v>
      </c>
      <c r="AT217" t="str">
        <f>IFERROR(INDEX(CHOOSE({1,2,3,4}, DAY(XT!U217), DAY(XT!Y217), DAY(XT!AC217), DAY(XT!AG217)), MATCH(1, INDEX(--(MONTH(CHOOSE({1,2,3,4}, XT!U217,XT!Y217,XT!AC217,XT!AG217))=12), 0), 0)), "")</f>
        <v/>
      </c>
      <c r="AU217" s="12" t="str">
        <f>IF(XT!$P217&gt;0,AT217,"")</f>
        <v/>
      </c>
      <c r="AV217" s="12" t="str">
        <f>IF(XT!$P217=0,AT217,"")</f>
        <v/>
      </c>
    </row>
    <row r="218" spans="1:48">
      <c r="A218">
        <f>SUMPRODUCT((MONTH(CHOOSE({1,2,3,4},XT!U218,XT!Y218,XT!AC218,XT!AG218))=1)*(CHOOSE({1,2,3,4},XT!X218,XT!AB218,XT!AF218,XT!AJ218)))</f>
        <v>0</v>
      </c>
      <c r="B218">
        <f>IFERROR(INDEX(CHOOSE({1,2,3,4}, DAY(XT!U218), DAY(XT!Y218), DAY(XT!AC218), DAY(XT!AG218)), MATCH(1, INDEX(--(MONTH(CHOOSE({1,2,3,4}, XT!U218,XT!Y218,XT!AC218,XT!AG218))=1), 0), 0)), "")</f>
        <v>0</v>
      </c>
      <c r="C218" s="12" t="str">
        <f>IF(XT!$P218&gt;0,B218,"")</f>
        <v/>
      </c>
      <c r="D218" s="12">
        <f>IF(XT!$P218=0,B218,"")</f>
        <v>0</v>
      </c>
      <c r="E218">
        <f>SUMPRODUCT((MONTH(CHOOSE({1,2,3,4},XT!U218,XT!Y218,XT!AC218,XT!AG218))=2)*(CHOOSE({1,2,3,4},XT!X218,XT!AB218,XT!AF218,XT!AJ218)))</f>
        <v>0</v>
      </c>
      <c r="F218" t="str">
        <f>IFERROR(INDEX(CHOOSE({1,2,3,4}, DAY(XT!U218), DAY(XT!Y218), DAY(XT!AC218), DAY(XT!AG218)), MATCH(1, INDEX(--(MONTH(CHOOSE({1,2,3,4}, XT!U218,XT!Y218,XT!AC218,XT!AG218))=2), 0), 0)), "")</f>
        <v/>
      </c>
      <c r="G218" s="12" t="str">
        <f>IF(XT!$P218&gt;0,F218,"")</f>
        <v/>
      </c>
      <c r="H218" s="12" t="str">
        <f>IF(XT!$P218=0,F218,"")</f>
        <v/>
      </c>
      <c r="I218">
        <f>SUMPRODUCT((MONTH(CHOOSE({1,2,3,4},XT!U218,XT!Y218,XT!AC218,XT!AG218))=3)*(CHOOSE({1,2,3,4},XT!X218,XT!AB218,XT!AF218,XT!AJ218)))</f>
        <v>0</v>
      </c>
      <c r="J218" t="str">
        <f>IFERROR(INDEX(CHOOSE({1,2,3,4}, DAY(XT!U218), DAY(XT!Y218), DAY(XT!AC218), DAY(XT!AG218)), MATCH(1, INDEX(--(MONTH(CHOOSE({1,2,3,4}, XT!U218,XT!Y218,XT!AC218,XT!AG218))=3), 0), 0)), "")</f>
        <v/>
      </c>
      <c r="K218" s="12" t="str">
        <f>IF(XT!$P218&gt;0,J218,"")</f>
        <v/>
      </c>
      <c r="L218" s="12" t="str">
        <f>IF(XT!$P218=0,J218,"")</f>
        <v/>
      </c>
      <c r="M218">
        <f>SUMPRODUCT((MONTH(CHOOSE({1,2,3,4},XT!U218,XT!Y218,XT!AC218,XT!AG218))=4)*(CHOOSE({1,2,3,4},XT!X218,XT!AB218,XT!AF218,XT!AJ218)))</f>
        <v>0</v>
      </c>
      <c r="N218" t="str">
        <f>IFERROR(INDEX(CHOOSE({1,2,3,4}, DAY(XT!U218), DAY(XT!Y218), DAY(XT!AC218), DAY(XT!AG218)), MATCH(1, INDEX(--(MONTH(CHOOSE({1,2,3,4}, XT!U218,XT!Y218,XT!AC218,XT!AG218))=4), 0), 0)), "")</f>
        <v/>
      </c>
      <c r="O218" s="12" t="str">
        <f>IF(XT!$P218&gt;0,N218,"")</f>
        <v/>
      </c>
      <c r="P218" s="12" t="str">
        <f>IF(XT!$P218=0,N218,"")</f>
        <v/>
      </c>
      <c r="Q218">
        <f>SUMPRODUCT((MONTH(CHOOSE({1,2,3,4},XT!U218,XT!Y218,XT!AC218,XT!AG218))=5)*(CHOOSE({1,2,3,4},XT!X218,XT!AB218,XT!AF218,XT!AJ218)))</f>
        <v>0</v>
      </c>
      <c r="R218" t="str">
        <f>IFERROR(INDEX(CHOOSE({1,2,3,4}, DAY(XT!U218), DAY(XT!Y218), DAY(XT!AC218), DAY(XT!AG218)), MATCH(1, INDEX(--(MONTH(CHOOSE({1,2,3,4}, XT!U218,XT!Y218,XT!AC218,XT!AG218))=5), 0), 0)), "")</f>
        <v/>
      </c>
      <c r="S218" s="12" t="str">
        <f>IF(XT!$P218&gt;0,R218,"")</f>
        <v/>
      </c>
      <c r="T218" s="12" t="str">
        <f>IF(XT!$P218=0,R218,"")</f>
        <v/>
      </c>
      <c r="U218">
        <f>SUMPRODUCT((MONTH(CHOOSE({1,2,3,4},XT!U218,XT!Y218,XT!AC218,XT!AG218))=6)*(CHOOSE({1,2,3,4},XT!X218,XT!AB218,XT!AF218,XT!AJ218)))</f>
        <v>0</v>
      </c>
      <c r="V218" t="str">
        <f>IFERROR(INDEX(CHOOSE({1,2,3,4}, DAY(XT!U218), DAY(XT!Y218), DAY(XT!AC218), DAY(XT!AG218)), MATCH(1, INDEX(--(MONTH(CHOOSE({1,2,3,4}, XT!U218,XT!Y218,XT!AC218,XT!AG218))=6), 0), 0)), "")</f>
        <v/>
      </c>
      <c r="W218" s="12" t="str">
        <f>IF(XT!$P218&gt;0,V218,"")</f>
        <v/>
      </c>
      <c r="X218" s="12" t="str">
        <f>IF(XT!$P218=0,V218,"")</f>
        <v/>
      </c>
      <c r="Y218">
        <f>SUMPRODUCT((MONTH(CHOOSE({1,2,3,4},XT!U218,XT!Y218,XT!AC218,XT!AG218))=7)*(CHOOSE({1,2,3,4},XT!X218,XT!AB218,XT!AF218,XT!AJ218)))</f>
        <v>0</v>
      </c>
      <c r="Z218" t="str">
        <f>IFERROR(INDEX(CHOOSE({1,2,3,4}, DAY(XT!U218), DAY(XT!Y218), DAY(XT!AC218), DAY(XT!AG218)), MATCH(1, INDEX(--(MONTH(CHOOSE({1,2,3,4}, XT!U218,XT!Y218,XT!AC218,XT!AG218))=7), 0), 0)), "")</f>
        <v/>
      </c>
      <c r="AA218" s="12" t="str">
        <f>IF(XT!$P218&gt;0,Z218,"")</f>
        <v/>
      </c>
      <c r="AB218" s="12" t="str">
        <f>IF(XT!$P218=0,Z218,"")</f>
        <v/>
      </c>
      <c r="AC218">
        <f>SUMPRODUCT((MONTH(CHOOSE({1,2,3,4},XT!U218,XT!Y218,XT!AC218,XT!AG218))=8)*(CHOOSE({1,2,3,4},XT!X218,XT!AB218,XT!AF218,XT!AJ218)))</f>
        <v>0</v>
      </c>
      <c r="AD218" t="str">
        <f>IFERROR(INDEX(CHOOSE({1,2,3,4}, DAY(XT!U218), DAY(XT!Y218), DAY(XT!AC218), DAY(XT!AG218)), MATCH(1, INDEX(--(MONTH(CHOOSE({1,2,3,4}, XT!U218,XT!Y218,XT!AC218,XT!AG218))=8), 0), 0)), "")</f>
        <v/>
      </c>
      <c r="AE218" s="12" t="str">
        <f>IF(XT!$P218&gt;0,AD218,"")</f>
        <v/>
      </c>
      <c r="AF218" s="12" t="str">
        <f>IF(XT!$P218=0,AD218,"")</f>
        <v/>
      </c>
      <c r="AG218">
        <f>SUMPRODUCT((MONTH(CHOOSE({1,2,3,4},XT!U218,XT!Y218,XT!AC218,XT!AG218))=9)*(CHOOSE({1,2,3,4},XT!X218,XT!AB218,XT!AF218,XT!AJ218)))</f>
        <v>0</v>
      </c>
      <c r="AH218" t="str">
        <f>IFERROR(INDEX(CHOOSE({1,2,3,4}, DAY(XT!U218), DAY(XT!Y218), DAY(XT!AC218), DAY(XT!AG218)), MATCH(1, INDEX(--(MONTH(CHOOSE({1,2,3,4}, XT!U218,XT!Y218,XT!AC218,XT!AG218))=9), 0), 0)), "")</f>
        <v/>
      </c>
      <c r="AI218" s="12" t="str">
        <f>IF(XT!$P218&gt;0,AH218,"")</f>
        <v/>
      </c>
      <c r="AJ218" s="12" t="str">
        <f>IF(XT!$P218=0,AH218,"")</f>
        <v/>
      </c>
      <c r="AK218">
        <f>SUMPRODUCT((MONTH(CHOOSE({1,2,3,4},XT!U218,XT!Y218,XT!AC218,XT!AG218))=10)*(CHOOSE({1,2,3,4},XT!X218,XT!AB218,XT!AF218,XT!AJ218)))</f>
        <v>0</v>
      </c>
      <c r="AL218" t="str">
        <f>IFERROR(INDEX(CHOOSE({1,2,3,4}, DAY(XT!U218), DAY(XT!Y218), DAY(XT!AC218), DAY(XT!AG218)), MATCH(1, INDEX(--(MONTH(CHOOSE({1,2,3,4}, XT!U218,XT!Y218,XT!AC218,XT!AG218))=10), 0), 0)), "")</f>
        <v/>
      </c>
      <c r="AM218" s="12" t="str">
        <f>IF(XT!$P218&gt;0,AL218,"")</f>
        <v/>
      </c>
      <c r="AN218" s="12" t="str">
        <f>IF(XT!$P218=0,AL218,"")</f>
        <v/>
      </c>
      <c r="AO218">
        <f>SUMPRODUCT((MONTH(CHOOSE({1,2,3,4},XT!U218,XT!Y218,XT!AC218,XT!AG218))=11)*(CHOOSE({1,2,3,4},XT!X218,XT!AB218,XT!AF218,XT!AJ218)))</f>
        <v>0</v>
      </c>
      <c r="AP218" t="str">
        <f>IFERROR(INDEX(CHOOSE({1,2,3,4}, DAY(XT!U218), DAY(XT!Y218), DAY(XT!AC218), DAY(XT!AG218)), MATCH(1, INDEX(--(MONTH(CHOOSE({1,2,3,4}, XT!U218,XT!Y218,XT!AC218,XT!AG218))=11), 0), 0)), "")</f>
        <v/>
      </c>
      <c r="AQ218" s="12" t="str">
        <f>IF(XT!$P218&gt;0,AP218,"")</f>
        <v/>
      </c>
      <c r="AR218" s="12" t="str">
        <f>IF(XT!$P218=0,AP218,"")</f>
        <v/>
      </c>
      <c r="AS218">
        <f>SUMPRODUCT((MONTH(CHOOSE({1,2,3,4},XT!U218,XT!Y218,XT!AC218,XT!AG218))=12)*(CHOOSE({1,2,3,4},XT!X218,XT!AB218,XT!AF218,XT!AJ218)))</f>
        <v>0</v>
      </c>
      <c r="AT218" t="str">
        <f>IFERROR(INDEX(CHOOSE({1,2,3,4}, DAY(XT!U218), DAY(XT!Y218), DAY(XT!AC218), DAY(XT!AG218)), MATCH(1, INDEX(--(MONTH(CHOOSE({1,2,3,4}, XT!U218,XT!Y218,XT!AC218,XT!AG218))=12), 0), 0)), "")</f>
        <v/>
      </c>
      <c r="AU218" s="12" t="str">
        <f>IF(XT!$P218&gt;0,AT218,"")</f>
        <v/>
      </c>
      <c r="AV218" s="12" t="str">
        <f>IF(XT!$P218=0,AT218,"")</f>
        <v/>
      </c>
    </row>
    <row r="219" spans="1:48">
      <c r="A219">
        <f>SUMPRODUCT((MONTH(CHOOSE({1,2,3,4},XT!U219,XT!Y219,XT!AC219,XT!AG219))=1)*(CHOOSE({1,2,3,4},XT!X219,XT!AB219,XT!AF219,XT!AJ219)))</f>
        <v>0</v>
      </c>
      <c r="B219">
        <f>IFERROR(INDEX(CHOOSE({1,2,3,4}, DAY(XT!U219), DAY(XT!Y219), DAY(XT!AC219), DAY(XT!AG219)), MATCH(1, INDEX(--(MONTH(CHOOSE({1,2,3,4}, XT!U219,XT!Y219,XT!AC219,XT!AG219))=1), 0), 0)), "")</f>
        <v>0</v>
      </c>
      <c r="C219" s="12" t="str">
        <f>IF(XT!$P219&gt;0,B219,"")</f>
        <v/>
      </c>
      <c r="D219" s="12">
        <f>IF(XT!$P219=0,B219,"")</f>
        <v>0</v>
      </c>
      <c r="E219">
        <f>SUMPRODUCT((MONTH(CHOOSE({1,2,3,4},XT!U219,XT!Y219,XT!AC219,XT!AG219))=2)*(CHOOSE({1,2,3,4},XT!X219,XT!AB219,XT!AF219,XT!AJ219)))</f>
        <v>0</v>
      </c>
      <c r="F219" t="str">
        <f>IFERROR(INDEX(CHOOSE({1,2,3,4}, DAY(XT!U219), DAY(XT!Y219), DAY(XT!AC219), DAY(XT!AG219)), MATCH(1, INDEX(--(MONTH(CHOOSE({1,2,3,4}, XT!U219,XT!Y219,XT!AC219,XT!AG219))=2), 0), 0)), "")</f>
        <v/>
      </c>
      <c r="G219" s="12" t="str">
        <f>IF(XT!$P219&gt;0,F219,"")</f>
        <v/>
      </c>
      <c r="H219" s="12" t="str">
        <f>IF(XT!$P219=0,F219,"")</f>
        <v/>
      </c>
      <c r="I219">
        <f>SUMPRODUCT((MONTH(CHOOSE({1,2,3,4},XT!U219,XT!Y219,XT!AC219,XT!AG219))=3)*(CHOOSE({1,2,3,4},XT!X219,XT!AB219,XT!AF219,XT!AJ219)))</f>
        <v>0</v>
      </c>
      <c r="J219" t="str">
        <f>IFERROR(INDEX(CHOOSE({1,2,3,4}, DAY(XT!U219), DAY(XT!Y219), DAY(XT!AC219), DAY(XT!AG219)), MATCH(1, INDEX(--(MONTH(CHOOSE({1,2,3,4}, XT!U219,XT!Y219,XT!AC219,XT!AG219))=3), 0), 0)), "")</f>
        <v/>
      </c>
      <c r="K219" s="12" t="str">
        <f>IF(XT!$P219&gt;0,J219,"")</f>
        <v/>
      </c>
      <c r="L219" s="12" t="str">
        <f>IF(XT!$P219=0,J219,"")</f>
        <v/>
      </c>
      <c r="M219">
        <f>SUMPRODUCT((MONTH(CHOOSE({1,2,3,4},XT!U219,XT!Y219,XT!AC219,XT!AG219))=4)*(CHOOSE({1,2,3,4},XT!X219,XT!AB219,XT!AF219,XT!AJ219)))</f>
        <v>0</v>
      </c>
      <c r="N219" t="str">
        <f>IFERROR(INDEX(CHOOSE({1,2,3,4}, DAY(XT!U219), DAY(XT!Y219), DAY(XT!AC219), DAY(XT!AG219)), MATCH(1, INDEX(--(MONTH(CHOOSE({1,2,3,4}, XT!U219,XT!Y219,XT!AC219,XT!AG219))=4), 0), 0)), "")</f>
        <v/>
      </c>
      <c r="O219" s="12" t="str">
        <f>IF(XT!$P219&gt;0,N219,"")</f>
        <v/>
      </c>
      <c r="P219" s="12" t="str">
        <f>IF(XT!$P219=0,N219,"")</f>
        <v/>
      </c>
      <c r="Q219">
        <f>SUMPRODUCT((MONTH(CHOOSE({1,2,3,4},XT!U219,XT!Y219,XT!AC219,XT!AG219))=5)*(CHOOSE({1,2,3,4},XT!X219,XT!AB219,XT!AF219,XT!AJ219)))</f>
        <v>0</v>
      </c>
      <c r="R219" t="str">
        <f>IFERROR(INDEX(CHOOSE({1,2,3,4}, DAY(XT!U219), DAY(XT!Y219), DAY(XT!AC219), DAY(XT!AG219)), MATCH(1, INDEX(--(MONTH(CHOOSE({1,2,3,4}, XT!U219,XT!Y219,XT!AC219,XT!AG219))=5), 0), 0)), "")</f>
        <v/>
      </c>
      <c r="S219" s="12" t="str">
        <f>IF(XT!$P219&gt;0,R219,"")</f>
        <v/>
      </c>
      <c r="T219" s="12" t="str">
        <f>IF(XT!$P219=0,R219,"")</f>
        <v/>
      </c>
      <c r="U219">
        <f>SUMPRODUCT((MONTH(CHOOSE({1,2,3,4},XT!U219,XT!Y219,XT!AC219,XT!AG219))=6)*(CHOOSE({1,2,3,4},XT!X219,XT!AB219,XT!AF219,XT!AJ219)))</f>
        <v>0</v>
      </c>
      <c r="V219" t="str">
        <f>IFERROR(INDEX(CHOOSE({1,2,3,4}, DAY(XT!U219), DAY(XT!Y219), DAY(XT!AC219), DAY(XT!AG219)), MATCH(1, INDEX(--(MONTH(CHOOSE({1,2,3,4}, XT!U219,XT!Y219,XT!AC219,XT!AG219))=6), 0), 0)), "")</f>
        <v/>
      </c>
      <c r="W219" s="12" t="str">
        <f>IF(XT!$P219&gt;0,V219,"")</f>
        <v/>
      </c>
      <c r="X219" s="12" t="str">
        <f>IF(XT!$P219=0,V219,"")</f>
        <v/>
      </c>
      <c r="Y219">
        <f>SUMPRODUCT((MONTH(CHOOSE({1,2,3,4},XT!U219,XT!Y219,XT!AC219,XT!AG219))=7)*(CHOOSE({1,2,3,4},XT!X219,XT!AB219,XT!AF219,XT!AJ219)))</f>
        <v>0</v>
      </c>
      <c r="Z219" t="str">
        <f>IFERROR(INDEX(CHOOSE({1,2,3,4}, DAY(XT!U219), DAY(XT!Y219), DAY(XT!AC219), DAY(XT!AG219)), MATCH(1, INDEX(--(MONTH(CHOOSE({1,2,3,4}, XT!U219,XT!Y219,XT!AC219,XT!AG219))=7), 0), 0)), "")</f>
        <v/>
      </c>
      <c r="AA219" s="12" t="str">
        <f>IF(XT!$P219&gt;0,Z219,"")</f>
        <v/>
      </c>
      <c r="AB219" s="12" t="str">
        <f>IF(XT!$P219=0,Z219,"")</f>
        <v/>
      </c>
      <c r="AC219">
        <f>SUMPRODUCT((MONTH(CHOOSE({1,2,3,4},XT!U219,XT!Y219,XT!AC219,XT!AG219))=8)*(CHOOSE({1,2,3,4},XT!X219,XT!AB219,XT!AF219,XT!AJ219)))</f>
        <v>0</v>
      </c>
      <c r="AD219" t="str">
        <f>IFERROR(INDEX(CHOOSE({1,2,3,4}, DAY(XT!U219), DAY(XT!Y219), DAY(XT!AC219), DAY(XT!AG219)), MATCH(1, INDEX(--(MONTH(CHOOSE({1,2,3,4}, XT!U219,XT!Y219,XT!AC219,XT!AG219))=8), 0), 0)), "")</f>
        <v/>
      </c>
      <c r="AE219" s="12" t="str">
        <f>IF(XT!$P219&gt;0,AD219,"")</f>
        <v/>
      </c>
      <c r="AF219" s="12" t="str">
        <f>IF(XT!$P219=0,AD219,"")</f>
        <v/>
      </c>
      <c r="AG219">
        <f>SUMPRODUCT((MONTH(CHOOSE({1,2,3,4},XT!U219,XT!Y219,XT!AC219,XT!AG219))=9)*(CHOOSE({1,2,3,4},XT!X219,XT!AB219,XT!AF219,XT!AJ219)))</f>
        <v>0</v>
      </c>
      <c r="AH219" t="str">
        <f>IFERROR(INDEX(CHOOSE({1,2,3,4}, DAY(XT!U219), DAY(XT!Y219), DAY(XT!AC219), DAY(XT!AG219)), MATCH(1, INDEX(--(MONTH(CHOOSE({1,2,3,4}, XT!U219,XT!Y219,XT!AC219,XT!AG219))=9), 0), 0)), "")</f>
        <v/>
      </c>
      <c r="AI219" s="12" t="str">
        <f>IF(XT!$P219&gt;0,AH219,"")</f>
        <v/>
      </c>
      <c r="AJ219" s="12" t="str">
        <f>IF(XT!$P219=0,AH219,"")</f>
        <v/>
      </c>
      <c r="AK219">
        <f>SUMPRODUCT((MONTH(CHOOSE({1,2,3,4},XT!U219,XT!Y219,XT!AC219,XT!AG219))=10)*(CHOOSE({1,2,3,4},XT!X219,XT!AB219,XT!AF219,XT!AJ219)))</f>
        <v>0</v>
      </c>
      <c r="AL219" t="str">
        <f>IFERROR(INDEX(CHOOSE({1,2,3,4}, DAY(XT!U219), DAY(XT!Y219), DAY(XT!AC219), DAY(XT!AG219)), MATCH(1, INDEX(--(MONTH(CHOOSE({1,2,3,4}, XT!U219,XT!Y219,XT!AC219,XT!AG219))=10), 0), 0)), "")</f>
        <v/>
      </c>
      <c r="AM219" s="12" t="str">
        <f>IF(XT!$P219&gt;0,AL219,"")</f>
        <v/>
      </c>
      <c r="AN219" s="12" t="str">
        <f>IF(XT!$P219=0,AL219,"")</f>
        <v/>
      </c>
      <c r="AO219">
        <f>SUMPRODUCT((MONTH(CHOOSE({1,2,3,4},XT!U219,XT!Y219,XT!AC219,XT!AG219))=11)*(CHOOSE({1,2,3,4},XT!X219,XT!AB219,XT!AF219,XT!AJ219)))</f>
        <v>0</v>
      </c>
      <c r="AP219" t="str">
        <f>IFERROR(INDEX(CHOOSE({1,2,3,4}, DAY(XT!U219), DAY(XT!Y219), DAY(XT!AC219), DAY(XT!AG219)), MATCH(1, INDEX(--(MONTH(CHOOSE({1,2,3,4}, XT!U219,XT!Y219,XT!AC219,XT!AG219))=11), 0), 0)), "")</f>
        <v/>
      </c>
      <c r="AQ219" s="12" t="str">
        <f>IF(XT!$P219&gt;0,AP219,"")</f>
        <v/>
      </c>
      <c r="AR219" s="12" t="str">
        <f>IF(XT!$P219=0,AP219,"")</f>
        <v/>
      </c>
      <c r="AS219">
        <f>SUMPRODUCT((MONTH(CHOOSE({1,2,3,4},XT!U219,XT!Y219,XT!AC219,XT!AG219))=12)*(CHOOSE({1,2,3,4},XT!X219,XT!AB219,XT!AF219,XT!AJ219)))</f>
        <v>0</v>
      </c>
      <c r="AT219" t="str">
        <f>IFERROR(INDEX(CHOOSE({1,2,3,4}, DAY(XT!U219), DAY(XT!Y219), DAY(XT!AC219), DAY(XT!AG219)), MATCH(1, INDEX(--(MONTH(CHOOSE({1,2,3,4}, XT!U219,XT!Y219,XT!AC219,XT!AG219))=12), 0), 0)), "")</f>
        <v/>
      </c>
      <c r="AU219" s="12" t="str">
        <f>IF(XT!$P219&gt;0,AT219,"")</f>
        <v/>
      </c>
      <c r="AV219" s="12" t="str">
        <f>IF(XT!$P219=0,AT219,"")</f>
        <v/>
      </c>
    </row>
    <row r="220" spans="1:48">
      <c r="A220">
        <f>SUMPRODUCT((MONTH(CHOOSE({1,2,3,4},XT!U220,XT!Y220,XT!AC220,XT!AG220))=1)*(CHOOSE({1,2,3,4},XT!X220,XT!AB220,XT!AF220,XT!AJ220)))</f>
        <v>0</v>
      </c>
      <c r="B220">
        <f>IFERROR(INDEX(CHOOSE({1,2,3,4}, DAY(XT!U220), DAY(XT!Y220), DAY(XT!AC220), DAY(XT!AG220)), MATCH(1, INDEX(--(MONTH(CHOOSE({1,2,3,4}, XT!U220,XT!Y220,XT!AC220,XT!AG220))=1), 0), 0)), "")</f>
        <v>0</v>
      </c>
      <c r="C220" s="12" t="str">
        <f>IF(XT!$P220&gt;0,B220,"")</f>
        <v/>
      </c>
      <c r="D220" s="12">
        <f>IF(XT!$P220=0,B220,"")</f>
        <v>0</v>
      </c>
      <c r="E220">
        <f>SUMPRODUCT((MONTH(CHOOSE({1,2,3,4},XT!U220,XT!Y220,XT!AC220,XT!AG220))=2)*(CHOOSE({1,2,3,4},XT!X220,XT!AB220,XT!AF220,XT!AJ220)))</f>
        <v>0</v>
      </c>
      <c r="F220" t="str">
        <f>IFERROR(INDEX(CHOOSE({1,2,3,4}, DAY(XT!U220), DAY(XT!Y220), DAY(XT!AC220), DAY(XT!AG220)), MATCH(1, INDEX(--(MONTH(CHOOSE({1,2,3,4}, XT!U220,XT!Y220,XT!AC220,XT!AG220))=2), 0), 0)), "")</f>
        <v/>
      </c>
      <c r="G220" s="12" t="str">
        <f>IF(XT!$P220&gt;0,F220,"")</f>
        <v/>
      </c>
      <c r="H220" s="12" t="str">
        <f>IF(XT!$P220=0,F220,"")</f>
        <v/>
      </c>
      <c r="I220">
        <f>SUMPRODUCT((MONTH(CHOOSE({1,2,3,4},XT!U220,XT!Y220,XT!AC220,XT!AG220))=3)*(CHOOSE({1,2,3,4},XT!X220,XT!AB220,XT!AF220,XT!AJ220)))</f>
        <v>0</v>
      </c>
      <c r="J220" t="str">
        <f>IFERROR(INDEX(CHOOSE({1,2,3,4}, DAY(XT!U220), DAY(XT!Y220), DAY(XT!AC220), DAY(XT!AG220)), MATCH(1, INDEX(--(MONTH(CHOOSE({1,2,3,4}, XT!U220,XT!Y220,XT!AC220,XT!AG220))=3), 0), 0)), "")</f>
        <v/>
      </c>
      <c r="K220" s="12" t="str">
        <f>IF(XT!$P220&gt;0,J220,"")</f>
        <v/>
      </c>
      <c r="L220" s="12" t="str">
        <f>IF(XT!$P220=0,J220,"")</f>
        <v/>
      </c>
      <c r="M220">
        <f>SUMPRODUCT((MONTH(CHOOSE({1,2,3,4},XT!U220,XT!Y220,XT!AC220,XT!AG220))=4)*(CHOOSE({1,2,3,4},XT!X220,XT!AB220,XT!AF220,XT!AJ220)))</f>
        <v>0</v>
      </c>
      <c r="N220" t="str">
        <f>IFERROR(INDEX(CHOOSE({1,2,3,4}, DAY(XT!U220), DAY(XT!Y220), DAY(XT!AC220), DAY(XT!AG220)), MATCH(1, INDEX(--(MONTH(CHOOSE({1,2,3,4}, XT!U220,XT!Y220,XT!AC220,XT!AG220))=4), 0), 0)), "")</f>
        <v/>
      </c>
      <c r="O220" s="12" t="str">
        <f>IF(XT!$P220&gt;0,N220,"")</f>
        <v/>
      </c>
      <c r="P220" s="12" t="str">
        <f>IF(XT!$P220=0,N220,"")</f>
        <v/>
      </c>
      <c r="Q220">
        <f>SUMPRODUCT((MONTH(CHOOSE({1,2,3,4},XT!U220,XT!Y220,XT!AC220,XT!AG220))=5)*(CHOOSE({1,2,3,4},XT!X220,XT!AB220,XT!AF220,XT!AJ220)))</f>
        <v>0</v>
      </c>
      <c r="R220" t="str">
        <f>IFERROR(INDEX(CHOOSE({1,2,3,4}, DAY(XT!U220), DAY(XT!Y220), DAY(XT!AC220), DAY(XT!AG220)), MATCH(1, INDEX(--(MONTH(CHOOSE({1,2,3,4}, XT!U220,XT!Y220,XT!AC220,XT!AG220))=5), 0), 0)), "")</f>
        <v/>
      </c>
      <c r="S220" s="12" t="str">
        <f>IF(XT!$P220&gt;0,R220,"")</f>
        <v/>
      </c>
      <c r="T220" s="12" t="str">
        <f>IF(XT!$P220=0,R220,"")</f>
        <v/>
      </c>
      <c r="U220">
        <f>SUMPRODUCT((MONTH(CHOOSE({1,2,3,4},XT!U220,XT!Y220,XT!AC220,XT!AG220))=6)*(CHOOSE({1,2,3,4},XT!X220,XT!AB220,XT!AF220,XT!AJ220)))</f>
        <v>0</v>
      </c>
      <c r="V220" t="str">
        <f>IFERROR(INDEX(CHOOSE({1,2,3,4}, DAY(XT!U220), DAY(XT!Y220), DAY(XT!AC220), DAY(XT!AG220)), MATCH(1, INDEX(--(MONTH(CHOOSE({1,2,3,4}, XT!U220,XT!Y220,XT!AC220,XT!AG220))=6), 0), 0)), "")</f>
        <v/>
      </c>
      <c r="W220" s="12" t="str">
        <f>IF(XT!$P220&gt;0,V220,"")</f>
        <v/>
      </c>
      <c r="X220" s="12" t="str">
        <f>IF(XT!$P220=0,V220,"")</f>
        <v/>
      </c>
      <c r="Y220">
        <f>SUMPRODUCT((MONTH(CHOOSE({1,2,3,4},XT!U220,XT!Y220,XT!AC220,XT!AG220))=7)*(CHOOSE({1,2,3,4},XT!X220,XT!AB220,XT!AF220,XT!AJ220)))</f>
        <v>0</v>
      </c>
      <c r="Z220" t="str">
        <f>IFERROR(INDEX(CHOOSE({1,2,3,4}, DAY(XT!U220), DAY(XT!Y220), DAY(XT!AC220), DAY(XT!AG220)), MATCH(1, INDEX(--(MONTH(CHOOSE({1,2,3,4}, XT!U220,XT!Y220,XT!AC220,XT!AG220))=7), 0), 0)), "")</f>
        <v/>
      </c>
      <c r="AA220" s="12" t="str">
        <f>IF(XT!$P220&gt;0,Z220,"")</f>
        <v/>
      </c>
      <c r="AB220" s="12" t="str">
        <f>IF(XT!$P220=0,Z220,"")</f>
        <v/>
      </c>
      <c r="AC220">
        <f>SUMPRODUCT((MONTH(CHOOSE({1,2,3,4},XT!U220,XT!Y220,XT!AC220,XT!AG220))=8)*(CHOOSE({1,2,3,4},XT!X220,XT!AB220,XT!AF220,XT!AJ220)))</f>
        <v>0</v>
      </c>
      <c r="AD220" t="str">
        <f>IFERROR(INDEX(CHOOSE({1,2,3,4}, DAY(XT!U220), DAY(XT!Y220), DAY(XT!AC220), DAY(XT!AG220)), MATCH(1, INDEX(--(MONTH(CHOOSE({1,2,3,4}, XT!U220,XT!Y220,XT!AC220,XT!AG220))=8), 0), 0)), "")</f>
        <v/>
      </c>
      <c r="AE220" s="12" t="str">
        <f>IF(XT!$P220&gt;0,AD220,"")</f>
        <v/>
      </c>
      <c r="AF220" s="12" t="str">
        <f>IF(XT!$P220=0,AD220,"")</f>
        <v/>
      </c>
      <c r="AG220">
        <f>SUMPRODUCT((MONTH(CHOOSE({1,2,3,4},XT!U220,XT!Y220,XT!AC220,XT!AG220))=9)*(CHOOSE({1,2,3,4},XT!X220,XT!AB220,XT!AF220,XT!AJ220)))</f>
        <v>0</v>
      </c>
      <c r="AH220" t="str">
        <f>IFERROR(INDEX(CHOOSE({1,2,3,4}, DAY(XT!U220), DAY(XT!Y220), DAY(XT!AC220), DAY(XT!AG220)), MATCH(1, INDEX(--(MONTH(CHOOSE({1,2,3,4}, XT!U220,XT!Y220,XT!AC220,XT!AG220))=9), 0), 0)), "")</f>
        <v/>
      </c>
      <c r="AI220" s="12" t="str">
        <f>IF(XT!$P220&gt;0,AH220,"")</f>
        <v/>
      </c>
      <c r="AJ220" s="12" t="str">
        <f>IF(XT!$P220=0,AH220,"")</f>
        <v/>
      </c>
      <c r="AK220">
        <f>SUMPRODUCT((MONTH(CHOOSE({1,2,3,4},XT!U220,XT!Y220,XT!AC220,XT!AG220))=10)*(CHOOSE({1,2,3,4},XT!X220,XT!AB220,XT!AF220,XT!AJ220)))</f>
        <v>0</v>
      </c>
      <c r="AL220" t="str">
        <f>IFERROR(INDEX(CHOOSE({1,2,3,4}, DAY(XT!U220), DAY(XT!Y220), DAY(XT!AC220), DAY(XT!AG220)), MATCH(1, INDEX(--(MONTH(CHOOSE({1,2,3,4}, XT!U220,XT!Y220,XT!AC220,XT!AG220))=10), 0), 0)), "")</f>
        <v/>
      </c>
      <c r="AM220" s="12" t="str">
        <f>IF(XT!$P220&gt;0,AL220,"")</f>
        <v/>
      </c>
      <c r="AN220" s="12" t="str">
        <f>IF(XT!$P220=0,AL220,"")</f>
        <v/>
      </c>
      <c r="AO220">
        <f>SUMPRODUCT((MONTH(CHOOSE({1,2,3,4},XT!U220,XT!Y220,XT!AC220,XT!AG220))=11)*(CHOOSE({1,2,3,4},XT!X220,XT!AB220,XT!AF220,XT!AJ220)))</f>
        <v>0</v>
      </c>
      <c r="AP220" t="str">
        <f>IFERROR(INDEX(CHOOSE({1,2,3,4}, DAY(XT!U220), DAY(XT!Y220), DAY(XT!AC220), DAY(XT!AG220)), MATCH(1, INDEX(--(MONTH(CHOOSE({1,2,3,4}, XT!U220,XT!Y220,XT!AC220,XT!AG220))=11), 0), 0)), "")</f>
        <v/>
      </c>
      <c r="AQ220" s="12" t="str">
        <f>IF(XT!$P220&gt;0,AP220,"")</f>
        <v/>
      </c>
      <c r="AR220" s="12" t="str">
        <f>IF(XT!$P220=0,AP220,"")</f>
        <v/>
      </c>
      <c r="AS220">
        <f>SUMPRODUCT((MONTH(CHOOSE({1,2,3,4},XT!U220,XT!Y220,XT!AC220,XT!AG220))=12)*(CHOOSE({1,2,3,4},XT!X220,XT!AB220,XT!AF220,XT!AJ220)))</f>
        <v>0</v>
      </c>
      <c r="AT220" t="str">
        <f>IFERROR(INDEX(CHOOSE({1,2,3,4}, DAY(XT!U220), DAY(XT!Y220), DAY(XT!AC220), DAY(XT!AG220)), MATCH(1, INDEX(--(MONTH(CHOOSE({1,2,3,4}, XT!U220,XT!Y220,XT!AC220,XT!AG220))=12), 0), 0)), "")</f>
        <v/>
      </c>
      <c r="AU220" s="12" t="str">
        <f>IF(XT!$P220&gt;0,AT220,"")</f>
        <v/>
      </c>
      <c r="AV220" s="12" t="str">
        <f>IF(XT!$P220=0,AT220,"")</f>
        <v/>
      </c>
    </row>
    <row r="221" spans="1:48">
      <c r="A221">
        <f>SUMPRODUCT((MONTH(CHOOSE({1,2,3,4},XT!U221,XT!Y221,XT!AC221,XT!AG221))=1)*(CHOOSE({1,2,3,4},XT!X221,XT!AB221,XT!AF221,XT!AJ221)))</f>
        <v>0</v>
      </c>
      <c r="B221">
        <f>IFERROR(INDEX(CHOOSE({1,2,3,4}, DAY(XT!U221), DAY(XT!Y221), DAY(XT!AC221), DAY(XT!AG221)), MATCH(1, INDEX(--(MONTH(CHOOSE({1,2,3,4}, XT!U221,XT!Y221,XT!AC221,XT!AG221))=1), 0), 0)), "")</f>
        <v>0</v>
      </c>
      <c r="C221" s="12" t="str">
        <f>IF(XT!$P221&gt;0,B221,"")</f>
        <v/>
      </c>
      <c r="D221" s="12">
        <f>IF(XT!$P221=0,B221,"")</f>
        <v>0</v>
      </c>
      <c r="E221">
        <f>SUMPRODUCT((MONTH(CHOOSE({1,2,3,4},XT!U221,XT!Y221,XT!AC221,XT!AG221))=2)*(CHOOSE({1,2,3,4},XT!X221,XT!AB221,XT!AF221,XT!AJ221)))</f>
        <v>0</v>
      </c>
      <c r="F221" t="str">
        <f>IFERROR(INDEX(CHOOSE({1,2,3,4}, DAY(XT!U221), DAY(XT!Y221), DAY(XT!AC221), DAY(XT!AG221)), MATCH(1, INDEX(--(MONTH(CHOOSE({1,2,3,4}, XT!U221,XT!Y221,XT!AC221,XT!AG221))=2), 0), 0)), "")</f>
        <v/>
      </c>
      <c r="G221" s="12" t="str">
        <f>IF(XT!$P221&gt;0,F221,"")</f>
        <v/>
      </c>
      <c r="H221" s="12" t="str">
        <f>IF(XT!$P221=0,F221,"")</f>
        <v/>
      </c>
      <c r="I221">
        <f>SUMPRODUCT((MONTH(CHOOSE({1,2,3,4},XT!U221,XT!Y221,XT!AC221,XT!AG221))=3)*(CHOOSE({1,2,3,4},XT!X221,XT!AB221,XT!AF221,XT!AJ221)))</f>
        <v>0</v>
      </c>
      <c r="J221" t="str">
        <f>IFERROR(INDEX(CHOOSE({1,2,3,4}, DAY(XT!U221), DAY(XT!Y221), DAY(XT!AC221), DAY(XT!AG221)), MATCH(1, INDEX(--(MONTH(CHOOSE({1,2,3,4}, XT!U221,XT!Y221,XT!AC221,XT!AG221))=3), 0), 0)), "")</f>
        <v/>
      </c>
      <c r="K221" s="12" t="str">
        <f>IF(XT!$P221&gt;0,J221,"")</f>
        <v/>
      </c>
      <c r="L221" s="12" t="str">
        <f>IF(XT!$P221=0,J221,"")</f>
        <v/>
      </c>
      <c r="M221">
        <f>SUMPRODUCT((MONTH(CHOOSE({1,2,3,4},XT!U221,XT!Y221,XT!AC221,XT!AG221))=4)*(CHOOSE({1,2,3,4},XT!X221,XT!AB221,XT!AF221,XT!AJ221)))</f>
        <v>0</v>
      </c>
      <c r="N221" t="str">
        <f>IFERROR(INDEX(CHOOSE({1,2,3,4}, DAY(XT!U221), DAY(XT!Y221), DAY(XT!AC221), DAY(XT!AG221)), MATCH(1, INDEX(--(MONTH(CHOOSE({1,2,3,4}, XT!U221,XT!Y221,XT!AC221,XT!AG221))=4), 0), 0)), "")</f>
        <v/>
      </c>
      <c r="O221" s="12" t="str">
        <f>IF(XT!$P221&gt;0,N221,"")</f>
        <v/>
      </c>
      <c r="P221" s="12" t="str">
        <f>IF(XT!$P221=0,N221,"")</f>
        <v/>
      </c>
      <c r="Q221">
        <f>SUMPRODUCT((MONTH(CHOOSE({1,2,3,4},XT!U221,XT!Y221,XT!AC221,XT!AG221))=5)*(CHOOSE({1,2,3,4},XT!X221,XT!AB221,XT!AF221,XT!AJ221)))</f>
        <v>0</v>
      </c>
      <c r="R221" t="str">
        <f>IFERROR(INDEX(CHOOSE({1,2,3,4}, DAY(XT!U221), DAY(XT!Y221), DAY(XT!AC221), DAY(XT!AG221)), MATCH(1, INDEX(--(MONTH(CHOOSE({1,2,3,4}, XT!U221,XT!Y221,XT!AC221,XT!AG221))=5), 0), 0)), "")</f>
        <v/>
      </c>
      <c r="S221" s="12" t="str">
        <f>IF(XT!$P221&gt;0,R221,"")</f>
        <v/>
      </c>
      <c r="T221" s="12" t="str">
        <f>IF(XT!$P221=0,R221,"")</f>
        <v/>
      </c>
      <c r="U221">
        <f>SUMPRODUCT((MONTH(CHOOSE({1,2,3,4},XT!U221,XT!Y221,XT!AC221,XT!AG221))=6)*(CHOOSE({1,2,3,4},XT!X221,XT!AB221,XT!AF221,XT!AJ221)))</f>
        <v>0</v>
      </c>
      <c r="V221" t="str">
        <f>IFERROR(INDEX(CHOOSE({1,2,3,4}, DAY(XT!U221), DAY(XT!Y221), DAY(XT!AC221), DAY(XT!AG221)), MATCH(1, INDEX(--(MONTH(CHOOSE({1,2,3,4}, XT!U221,XT!Y221,XT!AC221,XT!AG221))=6), 0), 0)), "")</f>
        <v/>
      </c>
      <c r="W221" s="12" t="str">
        <f>IF(XT!$P221&gt;0,V221,"")</f>
        <v/>
      </c>
      <c r="X221" s="12" t="str">
        <f>IF(XT!$P221=0,V221,"")</f>
        <v/>
      </c>
      <c r="Y221">
        <f>SUMPRODUCT((MONTH(CHOOSE({1,2,3,4},XT!U221,XT!Y221,XT!AC221,XT!AG221))=7)*(CHOOSE({1,2,3,4},XT!X221,XT!AB221,XT!AF221,XT!AJ221)))</f>
        <v>0</v>
      </c>
      <c r="Z221" t="str">
        <f>IFERROR(INDEX(CHOOSE({1,2,3,4}, DAY(XT!U221), DAY(XT!Y221), DAY(XT!AC221), DAY(XT!AG221)), MATCH(1, INDEX(--(MONTH(CHOOSE({1,2,3,4}, XT!U221,XT!Y221,XT!AC221,XT!AG221))=7), 0), 0)), "")</f>
        <v/>
      </c>
      <c r="AA221" s="12" t="str">
        <f>IF(XT!$P221&gt;0,Z221,"")</f>
        <v/>
      </c>
      <c r="AB221" s="12" t="str">
        <f>IF(XT!$P221=0,Z221,"")</f>
        <v/>
      </c>
      <c r="AC221">
        <f>SUMPRODUCT((MONTH(CHOOSE({1,2,3,4},XT!U221,XT!Y221,XT!AC221,XT!AG221))=8)*(CHOOSE({1,2,3,4},XT!X221,XT!AB221,XT!AF221,XT!AJ221)))</f>
        <v>0</v>
      </c>
      <c r="AD221" t="str">
        <f>IFERROR(INDEX(CHOOSE({1,2,3,4}, DAY(XT!U221), DAY(XT!Y221), DAY(XT!AC221), DAY(XT!AG221)), MATCH(1, INDEX(--(MONTH(CHOOSE({1,2,3,4}, XT!U221,XT!Y221,XT!AC221,XT!AG221))=8), 0), 0)), "")</f>
        <v/>
      </c>
      <c r="AE221" s="12" t="str">
        <f>IF(XT!$P221&gt;0,AD221,"")</f>
        <v/>
      </c>
      <c r="AF221" s="12" t="str">
        <f>IF(XT!$P221=0,AD221,"")</f>
        <v/>
      </c>
      <c r="AG221">
        <f>SUMPRODUCT((MONTH(CHOOSE({1,2,3,4},XT!U221,XT!Y221,XT!AC221,XT!AG221))=9)*(CHOOSE({1,2,3,4},XT!X221,XT!AB221,XT!AF221,XT!AJ221)))</f>
        <v>0</v>
      </c>
      <c r="AH221" t="str">
        <f>IFERROR(INDEX(CHOOSE({1,2,3,4}, DAY(XT!U221), DAY(XT!Y221), DAY(XT!AC221), DAY(XT!AG221)), MATCH(1, INDEX(--(MONTH(CHOOSE({1,2,3,4}, XT!U221,XT!Y221,XT!AC221,XT!AG221))=9), 0), 0)), "")</f>
        <v/>
      </c>
      <c r="AI221" s="12" t="str">
        <f>IF(XT!$P221&gt;0,AH221,"")</f>
        <v/>
      </c>
      <c r="AJ221" s="12" t="str">
        <f>IF(XT!$P221=0,AH221,"")</f>
        <v/>
      </c>
      <c r="AK221">
        <f>SUMPRODUCT((MONTH(CHOOSE({1,2,3,4},XT!U221,XT!Y221,XT!AC221,XT!AG221))=10)*(CHOOSE({1,2,3,4},XT!X221,XT!AB221,XT!AF221,XT!AJ221)))</f>
        <v>0</v>
      </c>
      <c r="AL221" t="str">
        <f>IFERROR(INDEX(CHOOSE({1,2,3,4}, DAY(XT!U221), DAY(XT!Y221), DAY(XT!AC221), DAY(XT!AG221)), MATCH(1, INDEX(--(MONTH(CHOOSE({1,2,3,4}, XT!U221,XT!Y221,XT!AC221,XT!AG221))=10), 0), 0)), "")</f>
        <v/>
      </c>
      <c r="AM221" s="12" t="str">
        <f>IF(XT!$P221&gt;0,AL221,"")</f>
        <v/>
      </c>
      <c r="AN221" s="12" t="str">
        <f>IF(XT!$P221=0,AL221,"")</f>
        <v/>
      </c>
      <c r="AO221">
        <f>SUMPRODUCT((MONTH(CHOOSE({1,2,3,4},XT!U221,XT!Y221,XT!AC221,XT!AG221))=11)*(CHOOSE({1,2,3,4},XT!X221,XT!AB221,XT!AF221,XT!AJ221)))</f>
        <v>0</v>
      </c>
      <c r="AP221" t="str">
        <f>IFERROR(INDEX(CHOOSE({1,2,3,4}, DAY(XT!U221), DAY(XT!Y221), DAY(XT!AC221), DAY(XT!AG221)), MATCH(1, INDEX(--(MONTH(CHOOSE({1,2,3,4}, XT!U221,XT!Y221,XT!AC221,XT!AG221))=11), 0), 0)), "")</f>
        <v/>
      </c>
      <c r="AQ221" s="12" t="str">
        <f>IF(XT!$P221&gt;0,AP221,"")</f>
        <v/>
      </c>
      <c r="AR221" s="12" t="str">
        <f>IF(XT!$P221=0,AP221,"")</f>
        <v/>
      </c>
      <c r="AS221">
        <f>SUMPRODUCT((MONTH(CHOOSE({1,2,3,4},XT!U221,XT!Y221,XT!AC221,XT!AG221))=12)*(CHOOSE({1,2,3,4},XT!X221,XT!AB221,XT!AF221,XT!AJ221)))</f>
        <v>0</v>
      </c>
      <c r="AT221" t="str">
        <f>IFERROR(INDEX(CHOOSE({1,2,3,4}, DAY(XT!U221), DAY(XT!Y221), DAY(XT!AC221), DAY(XT!AG221)), MATCH(1, INDEX(--(MONTH(CHOOSE({1,2,3,4}, XT!U221,XT!Y221,XT!AC221,XT!AG221))=12), 0), 0)), "")</f>
        <v/>
      </c>
      <c r="AU221" s="12" t="str">
        <f>IF(XT!$P221&gt;0,AT221,"")</f>
        <v/>
      </c>
      <c r="AV221" s="12" t="str">
        <f>IF(XT!$P221=0,AT221,"")</f>
        <v/>
      </c>
    </row>
    <row r="222" spans="1:48">
      <c r="A222">
        <f>SUMPRODUCT((MONTH(CHOOSE({1,2,3,4},XT!U222,XT!Y222,XT!AC222,XT!AG222))=1)*(CHOOSE({1,2,3,4},XT!X222,XT!AB222,XT!AF222,XT!AJ222)))</f>
        <v>0</v>
      </c>
      <c r="B222">
        <f>IFERROR(INDEX(CHOOSE({1,2,3,4}, DAY(XT!U222), DAY(XT!Y222), DAY(XT!AC222), DAY(XT!AG222)), MATCH(1, INDEX(--(MONTH(CHOOSE({1,2,3,4}, XT!U222,XT!Y222,XT!AC222,XT!AG222))=1), 0), 0)), "")</f>
        <v>0</v>
      </c>
      <c r="C222" s="12" t="str">
        <f>IF(XT!$P222&gt;0,B222,"")</f>
        <v/>
      </c>
      <c r="D222" s="12">
        <f>IF(XT!$P222=0,B222,"")</f>
        <v>0</v>
      </c>
      <c r="E222">
        <f>SUMPRODUCT((MONTH(CHOOSE({1,2,3,4},XT!U222,XT!Y222,XT!AC222,XT!AG222))=2)*(CHOOSE({1,2,3,4},XT!X222,XT!AB222,XT!AF222,XT!AJ222)))</f>
        <v>0</v>
      </c>
      <c r="F222" t="str">
        <f>IFERROR(INDEX(CHOOSE({1,2,3,4}, DAY(XT!U222), DAY(XT!Y222), DAY(XT!AC222), DAY(XT!AG222)), MATCH(1, INDEX(--(MONTH(CHOOSE({1,2,3,4}, XT!U222,XT!Y222,XT!AC222,XT!AG222))=2), 0), 0)), "")</f>
        <v/>
      </c>
      <c r="G222" s="12" t="str">
        <f>IF(XT!$P222&gt;0,F222,"")</f>
        <v/>
      </c>
      <c r="H222" s="12" t="str">
        <f>IF(XT!$P222=0,F222,"")</f>
        <v/>
      </c>
      <c r="I222">
        <f>SUMPRODUCT((MONTH(CHOOSE({1,2,3,4},XT!U222,XT!Y222,XT!AC222,XT!AG222))=3)*(CHOOSE({1,2,3,4},XT!X222,XT!AB222,XT!AF222,XT!AJ222)))</f>
        <v>0</v>
      </c>
      <c r="J222" t="str">
        <f>IFERROR(INDEX(CHOOSE({1,2,3,4}, DAY(XT!U222), DAY(XT!Y222), DAY(XT!AC222), DAY(XT!AG222)), MATCH(1, INDEX(--(MONTH(CHOOSE({1,2,3,4}, XT!U222,XT!Y222,XT!AC222,XT!AG222))=3), 0), 0)), "")</f>
        <v/>
      </c>
      <c r="K222" s="12" t="str">
        <f>IF(XT!$P222&gt;0,J222,"")</f>
        <v/>
      </c>
      <c r="L222" s="12" t="str">
        <f>IF(XT!$P222=0,J222,"")</f>
        <v/>
      </c>
      <c r="M222">
        <f>SUMPRODUCT((MONTH(CHOOSE({1,2,3,4},XT!U222,XT!Y222,XT!AC222,XT!AG222))=4)*(CHOOSE({1,2,3,4},XT!X222,XT!AB222,XT!AF222,XT!AJ222)))</f>
        <v>0</v>
      </c>
      <c r="N222" t="str">
        <f>IFERROR(INDEX(CHOOSE({1,2,3,4}, DAY(XT!U222), DAY(XT!Y222), DAY(XT!AC222), DAY(XT!AG222)), MATCH(1, INDEX(--(MONTH(CHOOSE({1,2,3,4}, XT!U222,XT!Y222,XT!AC222,XT!AG222))=4), 0), 0)), "")</f>
        <v/>
      </c>
      <c r="O222" s="12" t="str">
        <f>IF(XT!$P222&gt;0,N222,"")</f>
        <v/>
      </c>
      <c r="P222" s="12" t="str">
        <f>IF(XT!$P222=0,N222,"")</f>
        <v/>
      </c>
      <c r="Q222">
        <f>SUMPRODUCT((MONTH(CHOOSE({1,2,3,4},XT!U222,XT!Y222,XT!AC222,XT!AG222))=5)*(CHOOSE({1,2,3,4},XT!X222,XT!AB222,XT!AF222,XT!AJ222)))</f>
        <v>0</v>
      </c>
      <c r="R222" t="str">
        <f>IFERROR(INDEX(CHOOSE({1,2,3,4}, DAY(XT!U222), DAY(XT!Y222), DAY(XT!AC222), DAY(XT!AG222)), MATCH(1, INDEX(--(MONTH(CHOOSE({1,2,3,4}, XT!U222,XT!Y222,XT!AC222,XT!AG222))=5), 0), 0)), "")</f>
        <v/>
      </c>
      <c r="S222" s="12" t="str">
        <f>IF(XT!$P222&gt;0,R222,"")</f>
        <v/>
      </c>
      <c r="T222" s="12" t="str">
        <f>IF(XT!$P222=0,R222,"")</f>
        <v/>
      </c>
      <c r="U222">
        <f>SUMPRODUCT((MONTH(CHOOSE({1,2,3,4},XT!U222,XT!Y222,XT!AC222,XT!AG222))=6)*(CHOOSE({1,2,3,4},XT!X222,XT!AB222,XT!AF222,XT!AJ222)))</f>
        <v>0</v>
      </c>
      <c r="V222" t="str">
        <f>IFERROR(INDEX(CHOOSE({1,2,3,4}, DAY(XT!U222), DAY(XT!Y222), DAY(XT!AC222), DAY(XT!AG222)), MATCH(1, INDEX(--(MONTH(CHOOSE({1,2,3,4}, XT!U222,XT!Y222,XT!AC222,XT!AG222))=6), 0), 0)), "")</f>
        <v/>
      </c>
      <c r="W222" s="12" t="str">
        <f>IF(XT!$P222&gt;0,V222,"")</f>
        <v/>
      </c>
      <c r="X222" s="12" t="str">
        <f>IF(XT!$P222=0,V222,"")</f>
        <v/>
      </c>
      <c r="Y222">
        <f>SUMPRODUCT((MONTH(CHOOSE({1,2,3,4},XT!U222,XT!Y222,XT!AC222,XT!AG222))=7)*(CHOOSE({1,2,3,4},XT!X222,XT!AB222,XT!AF222,XT!AJ222)))</f>
        <v>0</v>
      </c>
      <c r="Z222" t="str">
        <f>IFERROR(INDEX(CHOOSE({1,2,3,4}, DAY(XT!U222), DAY(XT!Y222), DAY(XT!AC222), DAY(XT!AG222)), MATCH(1, INDEX(--(MONTH(CHOOSE({1,2,3,4}, XT!U222,XT!Y222,XT!AC222,XT!AG222))=7), 0), 0)), "")</f>
        <v/>
      </c>
      <c r="AA222" s="12" t="str">
        <f>IF(XT!$P222&gt;0,Z222,"")</f>
        <v/>
      </c>
      <c r="AB222" s="12" t="str">
        <f>IF(XT!$P222=0,Z222,"")</f>
        <v/>
      </c>
      <c r="AC222">
        <f>SUMPRODUCT((MONTH(CHOOSE({1,2,3,4},XT!U222,XT!Y222,XT!AC222,XT!AG222))=8)*(CHOOSE({1,2,3,4},XT!X222,XT!AB222,XT!AF222,XT!AJ222)))</f>
        <v>0</v>
      </c>
      <c r="AD222" t="str">
        <f>IFERROR(INDEX(CHOOSE({1,2,3,4}, DAY(XT!U222), DAY(XT!Y222), DAY(XT!AC222), DAY(XT!AG222)), MATCH(1, INDEX(--(MONTH(CHOOSE({1,2,3,4}, XT!U222,XT!Y222,XT!AC222,XT!AG222))=8), 0), 0)), "")</f>
        <v/>
      </c>
      <c r="AE222" s="12" t="str">
        <f>IF(XT!$P222&gt;0,AD222,"")</f>
        <v/>
      </c>
      <c r="AF222" s="12" t="str">
        <f>IF(XT!$P222=0,AD222,"")</f>
        <v/>
      </c>
      <c r="AG222">
        <f>SUMPRODUCT((MONTH(CHOOSE({1,2,3,4},XT!U222,XT!Y222,XT!AC222,XT!AG222))=9)*(CHOOSE({1,2,3,4},XT!X222,XT!AB222,XT!AF222,XT!AJ222)))</f>
        <v>0</v>
      </c>
      <c r="AH222" t="str">
        <f>IFERROR(INDEX(CHOOSE({1,2,3,4}, DAY(XT!U222), DAY(XT!Y222), DAY(XT!AC222), DAY(XT!AG222)), MATCH(1, INDEX(--(MONTH(CHOOSE({1,2,3,4}, XT!U222,XT!Y222,XT!AC222,XT!AG222))=9), 0), 0)), "")</f>
        <v/>
      </c>
      <c r="AI222" s="12" t="str">
        <f>IF(XT!$P222&gt;0,AH222,"")</f>
        <v/>
      </c>
      <c r="AJ222" s="12" t="str">
        <f>IF(XT!$P222=0,AH222,"")</f>
        <v/>
      </c>
      <c r="AK222">
        <f>SUMPRODUCT((MONTH(CHOOSE({1,2,3,4},XT!U222,XT!Y222,XT!AC222,XT!AG222))=10)*(CHOOSE({1,2,3,4},XT!X222,XT!AB222,XT!AF222,XT!AJ222)))</f>
        <v>0</v>
      </c>
      <c r="AL222" t="str">
        <f>IFERROR(INDEX(CHOOSE({1,2,3,4}, DAY(XT!U222), DAY(XT!Y222), DAY(XT!AC222), DAY(XT!AG222)), MATCH(1, INDEX(--(MONTH(CHOOSE({1,2,3,4}, XT!U222,XT!Y222,XT!AC222,XT!AG222))=10), 0), 0)), "")</f>
        <v/>
      </c>
      <c r="AM222" s="12" t="str">
        <f>IF(XT!$P222&gt;0,AL222,"")</f>
        <v/>
      </c>
      <c r="AN222" s="12" t="str">
        <f>IF(XT!$P222=0,AL222,"")</f>
        <v/>
      </c>
      <c r="AO222">
        <f>SUMPRODUCT((MONTH(CHOOSE({1,2,3,4},XT!U222,XT!Y222,XT!AC222,XT!AG222))=11)*(CHOOSE({1,2,3,4},XT!X222,XT!AB222,XT!AF222,XT!AJ222)))</f>
        <v>0</v>
      </c>
      <c r="AP222" t="str">
        <f>IFERROR(INDEX(CHOOSE({1,2,3,4}, DAY(XT!U222), DAY(XT!Y222), DAY(XT!AC222), DAY(XT!AG222)), MATCH(1, INDEX(--(MONTH(CHOOSE({1,2,3,4}, XT!U222,XT!Y222,XT!AC222,XT!AG222))=11), 0), 0)), "")</f>
        <v/>
      </c>
      <c r="AQ222" s="12" t="str">
        <f>IF(XT!$P222&gt;0,AP222,"")</f>
        <v/>
      </c>
      <c r="AR222" s="12" t="str">
        <f>IF(XT!$P222=0,AP222,"")</f>
        <v/>
      </c>
      <c r="AS222">
        <f>SUMPRODUCT((MONTH(CHOOSE({1,2,3,4},XT!U222,XT!Y222,XT!AC222,XT!AG222))=12)*(CHOOSE({1,2,3,4},XT!X222,XT!AB222,XT!AF222,XT!AJ222)))</f>
        <v>0</v>
      </c>
      <c r="AT222" t="str">
        <f>IFERROR(INDEX(CHOOSE({1,2,3,4}, DAY(XT!U222), DAY(XT!Y222), DAY(XT!AC222), DAY(XT!AG222)), MATCH(1, INDEX(--(MONTH(CHOOSE({1,2,3,4}, XT!U222,XT!Y222,XT!AC222,XT!AG222))=12), 0), 0)), "")</f>
        <v/>
      </c>
      <c r="AU222" s="12" t="str">
        <f>IF(XT!$P222&gt;0,AT222,"")</f>
        <v/>
      </c>
      <c r="AV222" s="12" t="str">
        <f>IF(XT!$P222=0,AT222,"")</f>
        <v/>
      </c>
    </row>
    <row r="223" spans="1:48">
      <c r="A223">
        <f>SUMPRODUCT((MONTH(CHOOSE({1,2,3,4},XT!U223,XT!Y223,XT!AC223,XT!AG223))=1)*(CHOOSE({1,2,3,4},XT!X223,XT!AB223,XT!AF223,XT!AJ223)))</f>
        <v>0</v>
      </c>
      <c r="B223">
        <f>IFERROR(INDEX(CHOOSE({1,2,3,4}, DAY(XT!U223), DAY(XT!Y223), DAY(XT!AC223), DAY(XT!AG223)), MATCH(1, INDEX(--(MONTH(CHOOSE({1,2,3,4}, XT!U223,XT!Y223,XT!AC223,XT!AG223))=1), 0), 0)), "")</f>
        <v>0</v>
      </c>
      <c r="C223" s="12" t="str">
        <f>IF(XT!$P223&gt;0,B223,"")</f>
        <v/>
      </c>
      <c r="D223" s="12">
        <f>IF(XT!$P223=0,B223,"")</f>
        <v>0</v>
      </c>
      <c r="E223">
        <f>SUMPRODUCT((MONTH(CHOOSE({1,2,3,4},XT!U223,XT!Y223,XT!AC223,XT!AG223))=2)*(CHOOSE({1,2,3,4},XT!X223,XT!AB223,XT!AF223,XT!AJ223)))</f>
        <v>0</v>
      </c>
      <c r="F223" t="str">
        <f>IFERROR(INDEX(CHOOSE({1,2,3,4}, DAY(XT!U223), DAY(XT!Y223), DAY(XT!AC223), DAY(XT!AG223)), MATCH(1, INDEX(--(MONTH(CHOOSE({1,2,3,4}, XT!U223,XT!Y223,XT!AC223,XT!AG223))=2), 0), 0)), "")</f>
        <v/>
      </c>
      <c r="G223" s="12" t="str">
        <f>IF(XT!$P223&gt;0,F223,"")</f>
        <v/>
      </c>
      <c r="H223" s="12" t="str">
        <f>IF(XT!$P223=0,F223,"")</f>
        <v/>
      </c>
      <c r="I223">
        <f>SUMPRODUCT((MONTH(CHOOSE({1,2,3,4},XT!U223,XT!Y223,XT!AC223,XT!AG223))=3)*(CHOOSE({1,2,3,4},XT!X223,XT!AB223,XT!AF223,XT!AJ223)))</f>
        <v>0</v>
      </c>
      <c r="J223" t="str">
        <f>IFERROR(INDEX(CHOOSE({1,2,3,4}, DAY(XT!U223), DAY(XT!Y223), DAY(XT!AC223), DAY(XT!AG223)), MATCH(1, INDEX(--(MONTH(CHOOSE({1,2,3,4}, XT!U223,XT!Y223,XT!AC223,XT!AG223))=3), 0), 0)), "")</f>
        <v/>
      </c>
      <c r="K223" s="12" t="str">
        <f>IF(XT!$P223&gt;0,J223,"")</f>
        <v/>
      </c>
      <c r="L223" s="12" t="str">
        <f>IF(XT!$P223=0,J223,"")</f>
        <v/>
      </c>
      <c r="M223">
        <f>SUMPRODUCT((MONTH(CHOOSE({1,2,3,4},XT!U223,XT!Y223,XT!AC223,XT!AG223))=4)*(CHOOSE({1,2,3,4},XT!X223,XT!AB223,XT!AF223,XT!AJ223)))</f>
        <v>0</v>
      </c>
      <c r="N223" t="str">
        <f>IFERROR(INDEX(CHOOSE({1,2,3,4}, DAY(XT!U223), DAY(XT!Y223), DAY(XT!AC223), DAY(XT!AG223)), MATCH(1, INDEX(--(MONTH(CHOOSE({1,2,3,4}, XT!U223,XT!Y223,XT!AC223,XT!AG223))=4), 0), 0)), "")</f>
        <v/>
      </c>
      <c r="O223" s="12" t="str">
        <f>IF(XT!$P223&gt;0,N223,"")</f>
        <v/>
      </c>
      <c r="P223" s="12" t="str">
        <f>IF(XT!$P223=0,N223,"")</f>
        <v/>
      </c>
      <c r="Q223">
        <f>SUMPRODUCT((MONTH(CHOOSE({1,2,3,4},XT!U223,XT!Y223,XT!AC223,XT!AG223))=5)*(CHOOSE({1,2,3,4},XT!X223,XT!AB223,XT!AF223,XT!AJ223)))</f>
        <v>0</v>
      </c>
      <c r="R223" t="str">
        <f>IFERROR(INDEX(CHOOSE({1,2,3,4}, DAY(XT!U223), DAY(XT!Y223), DAY(XT!AC223), DAY(XT!AG223)), MATCH(1, INDEX(--(MONTH(CHOOSE({1,2,3,4}, XT!U223,XT!Y223,XT!AC223,XT!AG223))=5), 0), 0)), "")</f>
        <v/>
      </c>
      <c r="S223" s="12" t="str">
        <f>IF(XT!$P223&gt;0,R223,"")</f>
        <v/>
      </c>
      <c r="T223" s="12" t="str">
        <f>IF(XT!$P223=0,R223,"")</f>
        <v/>
      </c>
      <c r="U223">
        <f>SUMPRODUCT((MONTH(CHOOSE({1,2,3,4},XT!U223,XT!Y223,XT!AC223,XT!AG223))=6)*(CHOOSE({1,2,3,4},XT!X223,XT!AB223,XT!AF223,XT!AJ223)))</f>
        <v>0</v>
      </c>
      <c r="V223" t="str">
        <f>IFERROR(INDEX(CHOOSE({1,2,3,4}, DAY(XT!U223), DAY(XT!Y223), DAY(XT!AC223), DAY(XT!AG223)), MATCH(1, INDEX(--(MONTH(CHOOSE({1,2,3,4}, XT!U223,XT!Y223,XT!AC223,XT!AG223))=6), 0), 0)), "")</f>
        <v/>
      </c>
      <c r="W223" s="12" t="str">
        <f>IF(XT!$P223&gt;0,V223,"")</f>
        <v/>
      </c>
      <c r="X223" s="12" t="str">
        <f>IF(XT!$P223=0,V223,"")</f>
        <v/>
      </c>
      <c r="Y223">
        <f>SUMPRODUCT((MONTH(CHOOSE({1,2,3,4},XT!U223,XT!Y223,XT!AC223,XT!AG223))=7)*(CHOOSE({1,2,3,4},XT!X223,XT!AB223,XT!AF223,XT!AJ223)))</f>
        <v>0</v>
      </c>
      <c r="Z223" t="str">
        <f>IFERROR(INDEX(CHOOSE({1,2,3,4}, DAY(XT!U223), DAY(XT!Y223), DAY(XT!AC223), DAY(XT!AG223)), MATCH(1, INDEX(--(MONTH(CHOOSE({1,2,3,4}, XT!U223,XT!Y223,XT!AC223,XT!AG223))=7), 0), 0)), "")</f>
        <v/>
      </c>
      <c r="AA223" s="12" t="str">
        <f>IF(XT!$P223&gt;0,Z223,"")</f>
        <v/>
      </c>
      <c r="AB223" s="12" t="str">
        <f>IF(XT!$P223=0,Z223,"")</f>
        <v/>
      </c>
      <c r="AC223">
        <f>SUMPRODUCT((MONTH(CHOOSE({1,2,3,4},XT!U223,XT!Y223,XT!AC223,XT!AG223))=8)*(CHOOSE({1,2,3,4},XT!X223,XT!AB223,XT!AF223,XT!AJ223)))</f>
        <v>0</v>
      </c>
      <c r="AD223" t="str">
        <f>IFERROR(INDEX(CHOOSE({1,2,3,4}, DAY(XT!U223), DAY(XT!Y223), DAY(XT!AC223), DAY(XT!AG223)), MATCH(1, INDEX(--(MONTH(CHOOSE({1,2,3,4}, XT!U223,XT!Y223,XT!AC223,XT!AG223))=8), 0), 0)), "")</f>
        <v/>
      </c>
      <c r="AE223" s="12" t="str">
        <f>IF(XT!$P223&gt;0,AD223,"")</f>
        <v/>
      </c>
      <c r="AF223" s="12" t="str">
        <f>IF(XT!$P223=0,AD223,"")</f>
        <v/>
      </c>
      <c r="AG223">
        <f>SUMPRODUCT((MONTH(CHOOSE({1,2,3,4},XT!U223,XT!Y223,XT!AC223,XT!AG223))=9)*(CHOOSE({1,2,3,4},XT!X223,XT!AB223,XT!AF223,XT!AJ223)))</f>
        <v>0</v>
      </c>
      <c r="AH223" t="str">
        <f>IFERROR(INDEX(CHOOSE({1,2,3,4}, DAY(XT!U223), DAY(XT!Y223), DAY(XT!AC223), DAY(XT!AG223)), MATCH(1, INDEX(--(MONTH(CHOOSE({1,2,3,4}, XT!U223,XT!Y223,XT!AC223,XT!AG223))=9), 0), 0)), "")</f>
        <v/>
      </c>
      <c r="AI223" s="12" t="str">
        <f>IF(XT!$P223&gt;0,AH223,"")</f>
        <v/>
      </c>
      <c r="AJ223" s="12" t="str">
        <f>IF(XT!$P223=0,AH223,"")</f>
        <v/>
      </c>
      <c r="AK223">
        <f>SUMPRODUCT((MONTH(CHOOSE({1,2,3,4},XT!U223,XT!Y223,XT!AC223,XT!AG223))=10)*(CHOOSE({1,2,3,4},XT!X223,XT!AB223,XT!AF223,XT!AJ223)))</f>
        <v>0</v>
      </c>
      <c r="AL223" t="str">
        <f>IFERROR(INDEX(CHOOSE({1,2,3,4}, DAY(XT!U223), DAY(XT!Y223), DAY(XT!AC223), DAY(XT!AG223)), MATCH(1, INDEX(--(MONTH(CHOOSE({1,2,3,4}, XT!U223,XT!Y223,XT!AC223,XT!AG223))=10), 0), 0)), "")</f>
        <v/>
      </c>
      <c r="AM223" s="12" t="str">
        <f>IF(XT!$P223&gt;0,AL223,"")</f>
        <v/>
      </c>
      <c r="AN223" s="12" t="str">
        <f>IF(XT!$P223=0,AL223,"")</f>
        <v/>
      </c>
      <c r="AO223">
        <f>SUMPRODUCT((MONTH(CHOOSE({1,2,3,4},XT!U223,XT!Y223,XT!AC223,XT!AG223))=11)*(CHOOSE({1,2,3,4},XT!X223,XT!AB223,XT!AF223,XT!AJ223)))</f>
        <v>0</v>
      </c>
      <c r="AP223" t="str">
        <f>IFERROR(INDEX(CHOOSE({1,2,3,4}, DAY(XT!U223), DAY(XT!Y223), DAY(XT!AC223), DAY(XT!AG223)), MATCH(1, INDEX(--(MONTH(CHOOSE({1,2,3,4}, XT!U223,XT!Y223,XT!AC223,XT!AG223))=11), 0), 0)), "")</f>
        <v/>
      </c>
      <c r="AQ223" s="12" t="str">
        <f>IF(XT!$P223&gt;0,AP223,"")</f>
        <v/>
      </c>
      <c r="AR223" s="12" t="str">
        <f>IF(XT!$P223=0,AP223,"")</f>
        <v/>
      </c>
      <c r="AS223">
        <f>SUMPRODUCT((MONTH(CHOOSE({1,2,3,4},XT!U223,XT!Y223,XT!AC223,XT!AG223))=12)*(CHOOSE({1,2,3,4},XT!X223,XT!AB223,XT!AF223,XT!AJ223)))</f>
        <v>0</v>
      </c>
      <c r="AT223" t="str">
        <f>IFERROR(INDEX(CHOOSE({1,2,3,4}, DAY(XT!U223), DAY(XT!Y223), DAY(XT!AC223), DAY(XT!AG223)), MATCH(1, INDEX(--(MONTH(CHOOSE({1,2,3,4}, XT!U223,XT!Y223,XT!AC223,XT!AG223))=12), 0), 0)), "")</f>
        <v/>
      </c>
      <c r="AU223" s="12" t="str">
        <f>IF(XT!$P223&gt;0,AT223,"")</f>
        <v/>
      </c>
      <c r="AV223" s="12" t="str">
        <f>IF(XT!$P223=0,AT223,"")</f>
        <v/>
      </c>
    </row>
    <row r="224" spans="1:48">
      <c r="A224">
        <f>SUMPRODUCT((MONTH(CHOOSE({1,2,3,4},XT!U224,XT!Y224,XT!AC224,XT!AG224))=1)*(CHOOSE({1,2,3,4},XT!X224,XT!AB224,XT!AF224,XT!AJ224)))</f>
        <v>0</v>
      </c>
      <c r="B224">
        <f>IFERROR(INDEX(CHOOSE({1,2,3,4}, DAY(XT!U224), DAY(XT!Y224), DAY(XT!AC224), DAY(XT!AG224)), MATCH(1, INDEX(--(MONTH(CHOOSE({1,2,3,4}, XT!U224,XT!Y224,XT!AC224,XT!AG224))=1), 0), 0)), "")</f>
        <v>0</v>
      </c>
      <c r="C224" s="12" t="str">
        <f>IF(XT!$P224&gt;0,B224,"")</f>
        <v/>
      </c>
      <c r="D224" s="12">
        <f>IF(XT!$P224=0,B224,"")</f>
        <v>0</v>
      </c>
      <c r="E224">
        <f>SUMPRODUCT((MONTH(CHOOSE({1,2,3,4},XT!U224,XT!Y224,XT!AC224,XT!AG224))=2)*(CHOOSE({1,2,3,4},XT!X224,XT!AB224,XT!AF224,XT!AJ224)))</f>
        <v>0</v>
      </c>
      <c r="F224" t="str">
        <f>IFERROR(INDEX(CHOOSE({1,2,3,4}, DAY(XT!U224), DAY(XT!Y224), DAY(XT!AC224), DAY(XT!AG224)), MATCH(1, INDEX(--(MONTH(CHOOSE({1,2,3,4}, XT!U224,XT!Y224,XT!AC224,XT!AG224))=2), 0), 0)), "")</f>
        <v/>
      </c>
      <c r="G224" s="12" t="str">
        <f>IF(XT!$P224&gt;0,F224,"")</f>
        <v/>
      </c>
      <c r="H224" s="12" t="str">
        <f>IF(XT!$P224=0,F224,"")</f>
        <v/>
      </c>
      <c r="I224">
        <f>SUMPRODUCT((MONTH(CHOOSE({1,2,3,4},XT!U224,XT!Y224,XT!AC224,XT!AG224))=3)*(CHOOSE({1,2,3,4},XT!X224,XT!AB224,XT!AF224,XT!AJ224)))</f>
        <v>0</v>
      </c>
      <c r="J224" t="str">
        <f>IFERROR(INDEX(CHOOSE({1,2,3,4}, DAY(XT!U224), DAY(XT!Y224), DAY(XT!AC224), DAY(XT!AG224)), MATCH(1, INDEX(--(MONTH(CHOOSE({1,2,3,4}, XT!U224,XT!Y224,XT!AC224,XT!AG224))=3), 0), 0)), "")</f>
        <v/>
      </c>
      <c r="K224" s="12" t="str">
        <f>IF(XT!$P224&gt;0,J224,"")</f>
        <v/>
      </c>
      <c r="L224" s="12" t="str">
        <f>IF(XT!$P224=0,J224,"")</f>
        <v/>
      </c>
      <c r="M224">
        <f>SUMPRODUCT((MONTH(CHOOSE({1,2,3,4},XT!U224,XT!Y224,XT!AC224,XT!AG224))=4)*(CHOOSE({1,2,3,4},XT!X224,XT!AB224,XT!AF224,XT!AJ224)))</f>
        <v>0</v>
      </c>
      <c r="N224" t="str">
        <f>IFERROR(INDEX(CHOOSE({1,2,3,4}, DAY(XT!U224), DAY(XT!Y224), DAY(XT!AC224), DAY(XT!AG224)), MATCH(1, INDEX(--(MONTH(CHOOSE({1,2,3,4}, XT!U224,XT!Y224,XT!AC224,XT!AG224))=4), 0), 0)), "")</f>
        <v/>
      </c>
      <c r="O224" s="12" t="str">
        <f>IF(XT!$P224&gt;0,N224,"")</f>
        <v/>
      </c>
      <c r="P224" s="12" t="str">
        <f>IF(XT!$P224=0,N224,"")</f>
        <v/>
      </c>
      <c r="Q224">
        <f>SUMPRODUCT((MONTH(CHOOSE({1,2,3,4},XT!U224,XT!Y224,XT!AC224,XT!AG224))=5)*(CHOOSE({1,2,3,4},XT!X224,XT!AB224,XT!AF224,XT!AJ224)))</f>
        <v>0</v>
      </c>
      <c r="R224" t="str">
        <f>IFERROR(INDEX(CHOOSE({1,2,3,4}, DAY(XT!U224), DAY(XT!Y224), DAY(XT!AC224), DAY(XT!AG224)), MATCH(1, INDEX(--(MONTH(CHOOSE({1,2,3,4}, XT!U224,XT!Y224,XT!AC224,XT!AG224))=5), 0), 0)), "")</f>
        <v/>
      </c>
      <c r="S224" s="12" t="str">
        <f>IF(XT!$P224&gt;0,R224,"")</f>
        <v/>
      </c>
      <c r="T224" s="12" t="str">
        <f>IF(XT!$P224=0,R224,"")</f>
        <v/>
      </c>
      <c r="U224">
        <f>SUMPRODUCT((MONTH(CHOOSE({1,2,3,4},XT!U224,XT!Y224,XT!AC224,XT!AG224))=6)*(CHOOSE({1,2,3,4},XT!X224,XT!AB224,XT!AF224,XT!AJ224)))</f>
        <v>0</v>
      </c>
      <c r="V224" t="str">
        <f>IFERROR(INDEX(CHOOSE({1,2,3,4}, DAY(XT!U224), DAY(XT!Y224), DAY(XT!AC224), DAY(XT!AG224)), MATCH(1, INDEX(--(MONTH(CHOOSE({1,2,3,4}, XT!U224,XT!Y224,XT!AC224,XT!AG224))=6), 0), 0)), "")</f>
        <v/>
      </c>
      <c r="W224" s="12" t="str">
        <f>IF(XT!$P224&gt;0,V224,"")</f>
        <v/>
      </c>
      <c r="X224" s="12" t="str">
        <f>IF(XT!$P224=0,V224,"")</f>
        <v/>
      </c>
      <c r="Y224">
        <f>SUMPRODUCT((MONTH(CHOOSE({1,2,3,4},XT!U224,XT!Y224,XT!AC224,XT!AG224))=7)*(CHOOSE({1,2,3,4},XT!X224,XT!AB224,XT!AF224,XT!AJ224)))</f>
        <v>0</v>
      </c>
      <c r="Z224" t="str">
        <f>IFERROR(INDEX(CHOOSE({1,2,3,4}, DAY(XT!U224), DAY(XT!Y224), DAY(XT!AC224), DAY(XT!AG224)), MATCH(1, INDEX(--(MONTH(CHOOSE({1,2,3,4}, XT!U224,XT!Y224,XT!AC224,XT!AG224))=7), 0), 0)), "")</f>
        <v/>
      </c>
      <c r="AA224" s="12" t="str">
        <f>IF(XT!$P224&gt;0,Z224,"")</f>
        <v/>
      </c>
      <c r="AB224" s="12" t="str">
        <f>IF(XT!$P224=0,Z224,"")</f>
        <v/>
      </c>
      <c r="AC224">
        <f>SUMPRODUCT((MONTH(CHOOSE({1,2,3,4},XT!U224,XT!Y224,XT!AC224,XT!AG224))=8)*(CHOOSE({1,2,3,4},XT!X224,XT!AB224,XT!AF224,XT!AJ224)))</f>
        <v>0</v>
      </c>
      <c r="AD224" t="str">
        <f>IFERROR(INDEX(CHOOSE({1,2,3,4}, DAY(XT!U224), DAY(XT!Y224), DAY(XT!AC224), DAY(XT!AG224)), MATCH(1, INDEX(--(MONTH(CHOOSE({1,2,3,4}, XT!U224,XT!Y224,XT!AC224,XT!AG224))=8), 0), 0)), "")</f>
        <v/>
      </c>
      <c r="AE224" s="12" t="str">
        <f>IF(XT!$P224&gt;0,AD224,"")</f>
        <v/>
      </c>
      <c r="AF224" s="12" t="str">
        <f>IF(XT!$P224=0,AD224,"")</f>
        <v/>
      </c>
      <c r="AG224">
        <f>SUMPRODUCT((MONTH(CHOOSE({1,2,3,4},XT!U224,XT!Y224,XT!AC224,XT!AG224))=9)*(CHOOSE({1,2,3,4},XT!X224,XT!AB224,XT!AF224,XT!AJ224)))</f>
        <v>0</v>
      </c>
      <c r="AH224" t="str">
        <f>IFERROR(INDEX(CHOOSE({1,2,3,4}, DAY(XT!U224), DAY(XT!Y224), DAY(XT!AC224), DAY(XT!AG224)), MATCH(1, INDEX(--(MONTH(CHOOSE({1,2,3,4}, XT!U224,XT!Y224,XT!AC224,XT!AG224))=9), 0), 0)), "")</f>
        <v/>
      </c>
      <c r="AI224" s="12" t="str">
        <f>IF(XT!$P224&gt;0,AH224,"")</f>
        <v/>
      </c>
      <c r="AJ224" s="12" t="str">
        <f>IF(XT!$P224=0,AH224,"")</f>
        <v/>
      </c>
      <c r="AK224">
        <f>SUMPRODUCT((MONTH(CHOOSE({1,2,3,4},XT!U224,XT!Y224,XT!AC224,XT!AG224))=10)*(CHOOSE({1,2,3,4},XT!X224,XT!AB224,XT!AF224,XT!AJ224)))</f>
        <v>0</v>
      </c>
      <c r="AL224" t="str">
        <f>IFERROR(INDEX(CHOOSE({1,2,3,4}, DAY(XT!U224), DAY(XT!Y224), DAY(XT!AC224), DAY(XT!AG224)), MATCH(1, INDEX(--(MONTH(CHOOSE({1,2,3,4}, XT!U224,XT!Y224,XT!AC224,XT!AG224))=10), 0), 0)), "")</f>
        <v/>
      </c>
      <c r="AM224" s="12" t="str">
        <f>IF(XT!$P224&gt;0,AL224,"")</f>
        <v/>
      </c>
      <c r="AN224" s="12" t="str">
        <f>IF(XT!$P224=0,AL224,"")</f>
        <v/>
      </c>
      <c r="AO224">
        <f>SUMPRODUCT((MONTH(CHOOSE({1,2,3,4},XT!U224,XT!Y224,XT!AC224,XT!AG224))=11)*(CHOOSE({1,2,3,4},XT!X224,XT!AB224,XT!AF224,XT!AJ224)))</f>
        <v>0</v>
      </c>
      <c r="AP224" t="str">
        <f>IFERROR(INDEX(CHOOSE({1,2,3,4}, DAY(XT!U224), DAY(XT!Y224), DAY(XT!AC224), DAY(XT!AG224)), MATCH(1, INDEX(--(MONTH(CHOOSE({1,2,3,4}, XT!U224,XT!Y224,XT!AC224,XT!AG224))=11), 0), 0)), "")</f>
        <v/>
      </c>
      <c r="AQ224" s="12" t="str">
        <f>IF(XT!$P224&gt;0,AP224,"")</f>
        <v/>
      </c>
      <c r="AR224" s="12" t="str">
        <f>IF(XT!$P224=0,AP224,"")</f>
        <v/>
      </c>
      <c r="AS224">
        <f>SUMPRODUCT((MONTH(CHOOSE({1,2,3,4},XT!U224,XT!Y224,XT!AC224,XT!AG224))=12)*(CHOOSE({1,2,3,4},XT!X224,XT!AB224,XT!AF224,XT!AJ224)))</f>
        <v>0</v>
      </c>
      <c r="AT224" t="str">
        <f>IFERROR(INDEX(CHOOSE({1,2,3,4}, DAY(XT!U224), DAY(XT!Y224), DAY(XT!AC224), DAY(XT!AG224)), MATCH(1, INDEX(--(MONTH(CHOOSE({1,2,3,4}, XT!U224,XT!Y224,XT!AC224,XT!AG224))=12), 0), 0)), "")</f>
        <v/>
      </c>
      <c r="AU224" s="12" t="str">
        <f>IF(XT!$P224&gt;0,AT224,"")</f>
        <v/>
      </c>
      <c r="AV224" s="12" t="str">
        <f>IF(XT!$P224=0,AT224,"")</f>
        <v/>
      </c>
    </row>
    <row r="225" spans="1:48">
      <c r="A225">
        <f>SUMPRODUCT((MONTH(CHOOSE({1,2,3,4},XT!U225,XT!Y225,XT!AC225,XT!AG225))=1)*(CHOOSE({1,2,3,4},XT!X225,XT!AB225,XT!AF225,XT!AJ225)))</f>
        <v>0</v>
      </c>
      <c r="B225">
        <f>IFERROR(INDEX(CHOOSE({1,2,3,4}, DAY(XT!U225), DAY(XT!Y225), DAY(XT!AC225), DAY(XT!AG225)), MATCH(1, INDEX(--(MONTH(CHOOSE({1,2,3,4}, XT!U225,XT!Y225,XT!AC225,XT!AG225))=1), 0), 0)), "")</f>
        <v>0</v>
      </c>
      <c r="C225" s="12" t="str">
        <f>IF(XT!$P225&gt;0,B225,"")</f>
        <v/>
      </c>
      <c r="D225" s="12">
        <f>IF(XT!$P225=0,B225,"")</f>
        <v>0</v>
      </c>
      <c r="E225">
        <f>SUMPRODUCT((MONTH(CHOOSE({1,2,3,4},XT!U225,XT!Y225,XT!AC225,XT!AG225))=2)*(CHOOSE({1,2,3,4},XT!X225,XT!AB225,XT!AF225,XT!AJ225)))</f>
        <v>0</v>
      </c>
      <c r="F225" t="str">
        <f>IFERROR(INDEX(CHOOSE({1,2,3,4}, DAY(XT!U225), DAY(XT!Y225), DAY(XT!AC225), DAY(XT!AG225)), MATCH(1, INDEX(--(MONTH(CHOOSE({1,2,3,4}, XT!U225,XT!Y225,XT!AC225,XT!AG225))=2), 0), 0)), "")</f>
        <v/>
      </c>
      <c r="G225" s="12" t="str">
        <f>IF(XT!$P225&gt;0,F225,"")</f>
        <v/>
      </c>
      <c r="H225" s="12" t="str">
        <f>IF(XT!$P225=0,F225,"")</f>
        <v/>
      </c>
      <c r="I225">
        <f>SUMPRODUCT((MONTH(CHOOSE({1,2,3,4},XT!U225,XT!Y225,XT!AC225,XT!AG225))=3)*(CHOOSE({1,2,3,4},XT!X225,XT!AB225,XT!AF225,XT!AJ225)))</f>
        <v>0</v>
      </c>
      <c r="J225" t="str">
        <f>IFERROR(INDEX(CHOOSE({1,2,3,4}, DAY(XT!U225), DAY(XT!Y225), DAY(XT!AC225), DAY(XT!AG225)), MATCH(1, INDEX(--(MONTH(CHOOSE({1,2,3,4}, XT!U225,XT!Y225,XT!AC225,XT!AG225))=3), 0), 0)), "")</f>
        <v/>
      </c>
      <c r="K225" s="12" t="str">
        <f>IF(XT!$P225&gt;0,J225,"")</f>
        <v/>
      </c>
      <c r="L225" s="12" t="str">
        <f>IF(XT!$P225=0,J225,"")</f>
        <v/>
      </c>
      <c r="M225">
        <f>SUMPRODUCT((MONTH(CHOOSE({1,2,3,4},XT!U225,XT!Y225,XT!AC225,XT!AG225))=4)*(CHOOSE({1,2,3,4},XT!X225,XT!AB225,XT!AF225,XT!AJ225)))</f>
        <v>0</v>
      </c>
      <c r="N225" t="str">
        <f>IFERROR(INDEX(CHOOSE({1,2,3,4}, DAY(XT!U225), DAY(XT!Y225), DAY(XT!AC225), DAY(XT!AG225)), MATCH(1, INDEX(--(MONTH(CHOOSE({1,2,3,4}, XT!U225,XT!Y225,XT!AC225,XT!AG225))=4), 0), 0)), "")</f>
        <v/>
      </c>
      <c r="O225" s="12" t="str">
        <f>IF(XT!$P225&gt;0,N225,"")</f>
        <v/>
      </c>
      <c r="P225" s="12" t="str">
        <f>IF(XT!$P225=0,N225,"")</f>
        <v/>
      </c>
      <c r="Q225">
        <f>SUMPRODUCT((MONTH(CHOOSE({1,2,3,4},XT!U225,XT!Y225,XT!AC225,XT!AG225))=5)*(CHOOSE({1,2,3,4},XT!X225,XT!AB225,XT!AF225,XT!AJ225)))</f>
        <v>0</v>
      </c>
      <c r="R225" t="str">
        <f>IFERROR(INDEX(CHOOSE({1,2,3,4}, DAY(XT!U225), DAY(XT!Y225), DAY(XT!AC225), DAY(XT!AG225)), MATCH(1, INDEX(--(MONTH(CHOOSE({1,2,3,4}, XT!U225,XT!Y225,XT!AC225,XT!AG225))=5), 0), 0)), "")</f>
        <v/>
      </c>
      <c r="S225" s="12" t="str">
        <f>IF(XT!$P225&gt;0,R225,"")</f>
        <v/>
      </c>
      <c r="T225" s="12" t="str">
        <f>IF(XT!$P225=0,R225,"")</f>
        <v/>
      </c>
      <c r="U225">
        <f>SUMPRODUCT((MONTH(CHOOSE({1,2,3,4},XT!U225,XT!Y225,XT!AC225,XT!AG225))=6)*(CHOOSE({1,2,3,4},XT!X225,XT!AB225,XT!AF225,XT!AJ225)))</f>
        <v>0</v>
      </c>
      <c r="V225" t="str">
        <f>IFERROR(INDEX(CHOOSE({1,2,3,4}, DAY(XT!U225), DAY(XT!Y225), DAY(XT!AC225), DAY(XT!AG225)), MATCH(1, INDEX(--(MONTH(CHOOSE({1,2,3,4}, XT!U225,XT!Y225,XT!AC225,XT!AG225))=6), 0), 0)), "")</f>
        <v/>
      </c>
      <c r="W225" s="12" t="str">
        <f>IF(XT!$P225&gt;0,V225,"")</f>
        <v/>
      </c>
      <c r="X225" s="12" t="str">
        <f>IF(XT!$P225=0,V225,"")</f>
        <v/>
      </c>
      <c r="Y225">
        <f>SUMPRODUCT((MONTH(CHOOSE({1,2,3,4},XT!U225,XT!Y225,XT!AC225,XT!AG225))=7)*(CHOOSE({1,2,3,4},XT!X225,XT!AB225,XT!AF225,XT!AJ225)))</f>
        <v>0</v>
      </c>
      <c r="Z225" t="str">
        <f>IFERROR(INDEX(CHOOSE({1,2,3,4}, DAY(XT!U225), DAY(XT!Y225), DAY(XT!AC225), DAY(XT!AG225)), MATCH(1, INDEX(--(MONTH(CHOOSE({1,2,3,4}, XT!U225,XT!Y225,XT!AC225,XT!AG225))=7), 0), 0)), "")</f>
        <v/>
      </c>
      <c r="AA225" s="12" t="str">
        <f>IF(XT!$P225&gt;0,Z225,"")</f>
        <v/>
      </c>
      <c r="AB225" s="12" t="str">
        <f>IF(XT!$P225=0,Z225,"")</f>
        <v/>
      </c>
      <c r="AC225">
        <f>SUMPRODUCT((MONTH(CHOOSE({1,2,3,4},XT!U225,XT!Y225,XT!AC225,XT!AG225))=8)*(CHOOSE({1,2,3,4},XT!X225,XT!AB225,XT!AF225,XT!AJ225)))</f>
        <v>0</v>
      </c>
      <c r="AD225" t="str">
        <f>IFERROR(INDEX(CHOOSE({1,2,3,4}, DAY(XT!U225), DAY(XT!Y225), DAY(XT!AC225), DAY(XT!AG225)), MATCH(1, INDEX(--(MONTH(CHOOSE({1,2,3,4}, XT!U225,XT!Y225,XT!AC225,XT!AG225))=8), 0), 0)), "")</f>
        <v/>
      </c>
      <c r="AE225" s="12" t="str">
        <f>IF(XT!$P225&gt;0,AD225,"")</f>
        <v/>
      </c>
      <c r="AF225" s="12" t="str">
        <f>IF(XT!$P225=0,AD225,"")</f>
        <v/>
      </c>
      <c r="AG225">
        <f>SUMPRODUCT((MONTH(CHOOSE({1,2,3,4},XT!U225,XT!Y225,XT!AC225,XT!AG225))=9)*(CHOOSE({1,2,3,4},XT!X225,XT!AB225,XT!AF225,XT!AJ225)))</f>
        <v>0</v>
      </c>
      <c r="AH225" t="str">
        <f>IFERROR(INDEX(CHOOSE({1,2,3,4}, DAY(XT!U225), DAY(XT!Y225), DAY(XT!AC225), DAY(XT!AG225)), MATCH(1, INDEX(--(MONTH(CHOOSE({1,2,3,4}, XT!U225,XT!Y225,XT!AC225,XT!AG225))=9), 0), 0)), "")</f>
        <v/>
      </c>
      <c r="AI225" s="12" t="str">
        <f>IF(XT!$P225&gt;0,AH225,"")</f>
        <v/>
      </c>
      <c r="AJ225" s="12" t="str">
        <f>IF(XT!$P225=0,AH225,"")</f>
        <v/>
      </c>
      <c r="AK225">
        <f>SUMPRODUCT((MONTH(CHOOSE({1,2,3,4},XT!U225,XT!Y225,XT!AC225,XT!AG225))=10)*(CHOOSE({1,2,3,4},XT!X225,XT!AB225,XT!AF225,XT!AJ225)))</f>
        <v>0</v>
      </c>
      <c r="AL225" t="str">
        <f>IFERROR(INDEX(CHOOSE({1,2,3,4}, DAY(XT!U225), DAY(XT!Y225), DAY(XT!AC225), DAY(XT!AG225)), MATCH(1, INDEX(--(MONTH(CHOOSE({1,2,3,4}, XT!U225,XT!Y225,XT!AC225,XT!AG225))=10), 0), 0)), "")</f>
        <v/>
      </c>
      <c r="AM225" s="12" t="str">
        <f>IF(XT!$P225&gt;0,AL225,"")</f>
        <v/>
      </c>
      <c r="AN225" s="12" t="str">
        <f>IF(XT!$P225=0,AL225,"")</f>
        <v/>
      </c>
      <c r="AO225">
        <f>SUMPRODUCT((MONTH(CHOOSE({1,2,3,4},XT!U225,XT!Y225,XT!AC225,XT!AG225))=11)*(CHOOSE({1,2,3,4},XT!X225,XT!AB225,XT!AF225,XT!AJ225)))</f>
        <v>0</v>
      </c>
      <c r="AP225" t="str">
        <f>IFERROR(INDEX(CHOOSE({1,2,3,4}, DAY(XT!U225), DAY(XT!Y225), DAY(XT!AC225), DAY(XT!AG225)), MATCH(1, INDEX(--(MONTH(CHOOSE({1,2,3,4}, XT!U225,XT!Y225,XT!AC225,XT!AG225))=11), 0), 0)), "")</f>
        <v/>
      </c>
      <c r="AQ225" s="12" t="str">
        <f>IF(XT!$P225&gt;0,AP225,"")</f>
        <v/>
      </c>
      <c r="AR225" s="12" t="str">
        <f>IF(XT!$P225=0,AP225,"")</f>
        <v/>
      </c>
      <c r="AS225">
        <f>SUMPRODUCT((MONTH(CHOOSE({1,2,3,4},XT!U225,XT!Y225,XT!AC225,XT!AG225))=12)*(CHOOSE({1,2,3,4},XT!X225,XT!AB225,XT!AF225,XT!AJ225)))</f>
        <v>0</v>
      </c>
      <c r="AT225" t="str">
        <f>IFERROR(INDEX(CHOOSE({1,2,3,4}, DAY(XT!U225), DAY(XT!Y225), DAY(XT!AC225), DAY(XT!AG225)), MATCH(1, INDEX(--(MONTH(CHOOSE({1,2,3,4}, XT!U225,XT!Y225,XT!AC225,XT!AG225))=12), 0), 0)), "")</f>
        <v/>
      </c>
      <c r="AU225" s="12" t="str">
        <f>IF(XT!$P225&gt;0,AT225,"")</f>
        <v/>
      </c>
      <c r="AV225" s="12" t="str">
        <f>IF(XT!$P225=0,AT225,"")</f>
        <v/>
      </c>
    </row>
    <row r="226" spans="1:48">
      <c r="A226">
        <f>SUMPRODUCT((MONTH(CHOOSE({1,2,3,4},XT!U226,XT!Y226,XT!AC226,XT!AG226))=1)*(CHOOSE({1,2,3,4},XT!X226,XT!AB226,XT!AF226,XT!AJ226)))</f>
        <v>0</v>
      </c>
      <c r="B226">
        <f>IFERROR(INDEX(CHOOSE({1,2,3,4}, DAY(XT!U226), DAY(XT!Y226), DAY(XT!AC226), DAY(XT!AG226)), MATCH(1, INDEX(--(MONTH(CHOOSE({1,2,3,4}, XT!U226,XT!Y226,XT!AC226,XT!AG226))=1), 0), 0)), "")</f>
        <v>0</v>
      </c>
      <c r="C226" s="12" t="str">
        <f>IF(XT!$P226&gt;0,B226,"")</f>
        <v/>
      </c>
      <c r="D226" s="12">
        <f>IF(XT!$P226=0,B226,"")</f>
        <v>0</v>
      </c>
      <c r="E226">
        <f>SUMPRODUCT((MONTH(CHOOSE({1,2,3,4},XT!U226,XT!Y226,XT!AC226,XT!AG226))=2)*(CHOOSE({1,2,3,4},XT!X226,XT!AB226,XT!AF226,XT!AJ226)))</f>
        <v>0</v>
      </c>
      <c r="F226" t="str">
        <f>IFERROR(INDEX(CHOOSE({1,2,3,4}, DAY(XT!U226), DAY(XT!Y226), DAY(XT!AC226), DAY(XT!AG226)), MATCH(1, INDEX(--(MONTH(CHOOSE({1,2,3,4}, XT!U226,XT!Y226,XT!AC226,XT!AG226))=2), 0), 0)), "")</f>
        <v/>
      </c>
      <c r="G226" s="12" t="str">
        <f>IF(XT!$P226&gt;0,F226,"")</f>
        <v/>
      </c>
      <c r="H226" s="12" t="str">
        <f>IF(XT!$P226=0,F226,"")</f>
        <v/>
      </c>
      <c r="I226">
        <f>SUMPRODUCT((MONTH(CHOOSE({1,2,3,4},XT!U226,XT!Y226,XT!AC226,XT!AG226))=3)*(CHOOSE({1,2,3,4},XT!X226,XT!AB226,XT!AF226,XT!AJ226)))</f>
        <v>0</v>
      </c>
      <c r="J226" t="str">
        <f>IFERROR(INDEX(CHOOSE({1,2,3,4}, DAY(XT!U226), DAY(XT!Y226), DAY(XT!AC226), DAY(XT!AG226)), MATCH(1, INDEX(--(MONTH(CHOOSE({1,2,3,4}, XT!U226,XT!Y226,XT!AC226,XT!AG226))=3), 0), 0)), "")</f>
        <v/>
      </c>
      <c r="K226" s="12" t="str">
        <f>IF(XT!$P226&gt;0,J226,"")</f>
        <v/>
      </c>
      <c r="L226" s="12" t="str">
        <f>IF(XT!$P226=0,J226,"")</f>
        <v/>
      </c>
      <c r="M226">
        <f>SUMPRODUCT((MONTH(CHOOSE({1,2,3,4},XT!U226,XT!Y226,XT!AC226,XT!AG226))=4)*(CHOOSE({1,2,3,4},XT!X226,XT!AB226,XT!AF226,XT!AJ226)))</f>
        <v>0</v>
      </c>
      <c r="N226" t="str">
        <f>IFERROR(INDEX(CHOOSE({1,2,3,4}, DAY(XT!U226), DAY(XT!Y226), DAY(XT!AC226), DAY(XT!AG226)), MATCH(1, INDEX(--(MONTH(CHOOSE({1,2,3,4}, XT!U226,XT!Y226,XT!AC226,XT!AG226))=4), 0), 0)), "")</f>
        <v/>
      </c>
      <c r="O226" s="12" t="str">
        <f>IF(XT!$P226&gt;0,N226,"")</f>
        <v/>
      </c>
      <c r="P226" s="12" t="str">
        <f>IF(XT!$P226=0,N226,"")</f>
        <v/>
      </c>
      <c r="Q226">
        <f>SUMPRODUCT((MONTH(CHOOSE({1,2,3,4},XT!U226,XT!Y226,XT!AC226,XT!AG226))=5)*(CHOOSE({1,2,3,4},XT!X226,XT!AB226,XT!AF226,XT!AJ226)))</f>
        <v>0</v>
      </c>
      <c r="R226" t="str">
        <f>IFERROR(INDEX(CHOOSE({1,2,3,4}, DAY(XT!U226), DAY(XT!Y226), DAY(XT!AC226), DAY(XT!AG226)), MATCH(1, INDEX(--(MONTH(CHOOSE({1,2,3,4}, XT!U226,XT!Y226,XT!AC226,XT!AG226))=5), 0), 0)), "")</f>
        <v/>
      </c>
      <c r="S226" s="12" t="str">
        <f>IF(XT!$P226&gt;0,R226,"")</f>
        <v/>
      </c>
      <c r="T226" s="12" t="str">
        <f>IF(XT!$P226=0,R226,"")</f>
        <v/>
      </c>
      <c r="U226">
        <f>SUMPRODUCT((MONTH(CHOOSE({1,2,3,4},XT!U226,XT!Y226,XT!AC226,XT!AG226))=6)*(CHOOSE({1,2,3,4},XT!X226,XT!AB226,XT!AF226,XT!AJ226)))</f>
        <v>0</v>
      </c>
      <c r="V226" t="str">
        <f>IFERROR(INDEX(CHOOSE({1,2,3,4}, DAY(XT!U226), DAY(XT!Y226), DAY(XT!AC226), DAY(XT!AG226)), MATCH(1, INDEX(--(MONTH(CHOOSE({1,2,3,4}, XT!U226,XT!Y226,XT!AC226,XT!AG226))=6), 0), 0)), "")</f>
        <v/>
      </c>
      <c r="W226" s="12" t="str">
        <f>IF(XT!$P226&gt;0,V226,"")</f>
        <v/>
      </c>
      <c r="X226" s="12" t="str">
        <f>IF(XT!$P226=0,V226,"")</f>
        <v/>
      </c>
      <c r="Y226">
        <f>SUMPRODUCT((MONTH(CHOOSE({1,2,3,4},XT!U226,XT!Y226,XT!AC226,XT!AG226))=7)*(CHOOSE({1,2,3,4},XT!X226,XT!AB226,XT!AF226,XT!AJ226)))</f>
        <v>0</v>
      </c>
      <c r="Z226" t="str">
        <f>IFERROR(INDEX(CHOOSE({1,2,3,4}, DAY(XT!U226), DAY(XT!Y226), DAY(XT!AC226), DAY(XT!AG226)), MATCH(1, INDEX(--(MONTH(CHOOSE({1,2,3,4}, XT!U226,XT!Y226,XT!AC226,XT!AG226))=7), 0), 0)), "")</f>
        <v/>
      </c>
      <c r="AA226" s="12" t="str">
        <f>IF(XT!$P226&gt;0,Z226,"")</f>
        <v/>
      </c>
      <c r="AB226" s="12" t="str">
        <f>IF(XT!$P226=0,Z226,"")</f>
        <v/>
      </c>
      <c r="AC226">
        <f>SUMPRODUCT((MONTH(CHOOSE({1,2,3,4},XT!U226,XT!Y226,XT!AC226,XT!AG226))=8)*(CHOOSE({1,2,3,4},XT!X226,XT!AB226,XT!AF226,XT!AJ226)))</f>
        <v>0</v>
      </c>
      <c r="AD226" t="str">
        <f>IFERROR(INDEX(CHOOSE({1,2,3,4}, DAY(XT!U226), DAY(XT!Y226), DAY(XT!AC226), DAY(XT!AG226)), MATCH(1, INDEX(--(MONTH(CHOOSE({1,2,3,4}, XT!U226,XT!Y226,XT!AC226,XT!AG226))=8), 0), 0)), "")</f>
        <v/>
      </c>
      <c r="AE226" s="12" t="str">
        <f>IF(XT!$P226&gt;0,AD226,"")</f>
        <v/>
      </c>
      <c r="AF226" s="12" t="str">
        <f>IF(XT!$P226=0,AD226,"")</f>
        <v/>
      </c>
      <c r="AG226">
        <f>SUMPRODUCT((MONTH(CHOOSE({1,2,3,4},XT!U226,XT!Y226,XT!AC226,XT!AG226))=9)*(CHOOSE({1,2,3,4},XT!X226,XT!AB226,XT!AF226,XT!AJ226)))</f>
        <v>0</v>
      </c>
      <c r="AH226" t="str">
        <f>IFERROR(INDEX(CHOOSE({1,2,3,4}, DAY(XT!U226), DAY(XT!Y226), DAY(XT!AC226), DAY(XT!AG226)), MATCH(1, INDEX(--(MONTH(CHOOSE({1,2,3,4}, XT!U226,XT!Y226,XT!AC226,XT!AG226))=9), 0), 0)), "")</f>
        <v/>
      </c>
      <c r="AI226" s="12" t="str">
        <f>IF(XT!$P226&gt;0,AH226,"")</f>
        <v/>
      </c>
      <c r="AJ226" s="12" t="str">
        <f>IF(XT!$P226=0,AH226,"")</f>
        <v/>
      </c>
      <c r="AK226">
        <f>SUMPRODUCT((MONTH(CHOOSE({1,2,3,4},XT!U226,XT!Y226,XT!AC226,XT!AG226))=10)*(CHOOSE({1,2,3,4},XT!X226,XT!AB226,XT!AF226,XT!AJ226)))</f>
        <v>0</v>
      </c>
      <c r="AL226" t="str">
        <f>IFERROR(INDEX(CHOOSE({1,2,3,4}, DAY(XT!U226), DAY(XT!Y226), DAY(XT!AC226), DAY(XT!AG226)), MATCH(1, INDEX(--(MONTH(CHOOSE({1,2,3,4}, XT!U226,XT!Y226,XT!AC226,XT!AG226))=10), 0), 0)), "")</f>
        <v/>
      </c>
      <c r="AM226" s="12" t="str">
        <f>IF(XT!$P226&gt;0,AL226,"")</f>
        <v/>
      </c>
      <c r="AN226" s="12" t="str">
        <f>IF(XT!$P226=0,AL226,"")</f>
        <v/>
      </c>
      <c r="AO226">
        <f>SUMPRODUCT((MONTH(CHOOSE({1,2,3,4},XT!U226,XT!Y226,XT!AC226,XT!AG226))=11)*(CHOOSE({1,2,3,4},XT!X226,XT!AB226,XT!AF226,XT!AJ226)))</f>
        <v>0</v>
      </c>
      <c r="AP226" t="str">
        <f>IFERROR(INDEX(CHOOSE({1,2,3,4}, DAY(XT!U226), DAY(XT!Y226), DAY(XT!AC226), DAY(XT!AG226)), MATCH(1, INDEX(--(MONTH(CHOOSE({1,2,3,4}, XT!U226,XT!Y226,XT!AC226,XT!AG226))=11), 0), 0)), "")</f>
        <v/>
      </c>
      <c r="AQ226" s="12" t="str">
        <f>IF(XT!$P226&gt;0,AP226,"")</f>
        <v/>
      </c>
      <c r="AR226" s="12" t="str">
        <f>IF(XT!$P226=0,AP226,"")</f>
        <v/>
      </c>
      <c r="AS226">
        <f>SUMPRODUCT((MONTH(CHOOSE({1,2,3,4},XT!U226,XT!Y226,XT!AC226,XT!AG226))=12)*(CHOOSE({1,2,3,4},XT!X226,XT!AB226,XT!AF226,XT!AJ226)))</f>
        <v>0</v>
      </c>
      <c r="AT226" t="str">
        <f>IFERROR(INDEX(CHOOSE({1,2,3,4}, DAY(XT!U226), DAY(XT!Y226), DAY(XT!AC226), DAY(XT!AG226)), MATCH(1, INDEX(--(MONTH(CHOOSE({1,2,3,4}, XT!U226,XT!Y226,XT!AC226,XT!AG226))=12), 0), 0)), "")</f>
        <v/>
      </c>
      <c r="AU226" s="12" t="str">
        <f>IF(XT!$P226&gt;0,AT226,"")</f>
        <v/>
      </c>
      <c r="AV226" s="12" t="str">
        <f>IF(XT!$P226=0,AT226,"")</f>
        <v/>
      </c>
    </row>
    <row r="227" spans="1:48">
      <c r="A227">
        <f>SUMPRODUCT((MONTH(CHOOSE({1,2,3,4},XT!U227,XT!Y227,XT!AC227,XT!AG227))=1)*(CHOOSE({1,2,3,4},XT!X227,XT!AB227,XT!AF227,XT!AJ227)))</f>
        <v>0</v>
      </c>
      <c r="B227">
        <f>IFERROR(INDEX(CHOOSE({1,2,3,4}, DAY(XT!U227), DAY(XT!Y227), DAY(XT!AC227), DAY(XT!AG227)), MATCH(1, INDEX(--(MONTH(CHOOSE({1,2,3,4}, XT!U227,XT!Y227,XT!AC227,XT!AG227))=1), 0), 0)), "")</f>
        <v>0</v>
      </c>
      <c r="C227" s="12" t="str">
        <f>IF(XT!$P227&gt;0,B227,"")</f>
        <v/>
      </c>
      <c r="D227" s="12">
        <f>IF(XT!$P227=0,B227,"")</f>
        <v>0</v>
      </c>
      <c r="E227">
        <f>SUMPRODUCT((MONTH(CHOOSE({1,2,3,4},XT!U227,XT!Y227,XT!AC227,XT!AG227))=2)*(CHOOSE({1,2,3,4},XT!X227,XT!AB227,XT!AF227,XT!AJ227)))</f>
        <v>0</v>
      </c>
      <c r="F227" t="str">
        <f>IFERROR(INDEX(CHOOSE({1,2,3,4}, DAY(XT!U227), DAY(XT!Y227), DAY(XT!AC227), DAY(XT!AG227)), MATCH(1, INDEX(--(MONTH(CHOOSE({1,2,3,4}, XT!U227,XT!Y227,XT!AC227,XT!AG227))=2), 0), 0)), "")</f>
        <v/>
      </c>
      <c r="G227" s="12" t="str">
        <f>IF(XT!$P227&gt;0,F227,"")</f>
        <v/>
      </c>
      <c r="H227" s="12" t="str">
        <f>IF(XT!$P227=0,F227,"")</f>
        <v/>
      </c>
      <c r="I227">
        <f>SUMPRODUCT((MONTH(CHOOSE({1,2,3,4},XT!U227,XT!Y227,XT!AC227,XT!AG227))=3)*(CHOOSE({1,2,3,4},XT!X227,XT!AB227,XT!AF227,XT!AJ227)))</f>
        <v>0</v>
      </c>
      <c r="J227" t="str">
        <f>IFERROR(INDEX(CHOOSE({1,2,3,4}, DAY(XT!U227), DAY(XT!Y227), DAY(XT!AC227), DAY(XT!AG227)), MATCH(1, INDEX(--(MONTH(CHOOSE({1,2,3,4}, XT!U227,XT!Y227,XT!AC227,XT!AG227))=3), 0), 0)), "")</f>
        <v/>
      </c>
      <c r="K227" s="12" t="str">
        <f>IF(XT!$P227&gt;0,J227,"")</f>
        <v/>
      </c>
      <c r="L227" s="12" t="str">
        <f>IF(XT!$P227=0,J227,"")</f>
        <v/>
      </c>
      <c r="M227">
        <f>SUMPRODUCT((MONTH(CHOOSE({1,2,3,4},XT!U227,XT!Y227,XT!AC227,XT!AG227))=4)*(CHOOSE({1,2,3,4},XT!X227,XT!AB227,XT!AF227,XT!AJ227)))</f>
        <v>0</v>
      </c>
      <c r="N227" t="str">
        <f>IFERROR(INDEX(CHOOSE({1,2,3,4}, DAY(XT!U227), DAY(XT!Y227), DAY(XT!AC227), DAY(XT!AG227)), MATCH(1, INDEX(--(MONTH(CHOOSE({1,2,3,4}, XT!U227,XT!Y227,XT!AC227,XT!AG227))=4), 0), 0)), "")</f>
        <v/>
      </c>
      <c r="O227" s="12" t="str">
        <f>IF(XT!$P227&gt;0,N227,"")</f>
        <v/>
      </c>
      <c r="P227" s="12" t="str">
        <f>IF(XT!$P227=0,N227,"")</f>
        <v/>
      </c>
      <c r="Q227">
        <f>SUMPRODUCT((MONTH(CHOOSE({1,2,3,4},XT!U227,XT!Y227,XT!AC227,XT!AG227))=5)*(CHOOSE({1,2,3,4},XT!X227,XT!AB227,XT!AF227,XT!AJ227)))</f>
        <v>0</v>
      </c>
      <c r="R227" t="str">
        <f>IFERROR(INDEX(CHOOSE({1,2,3,4}, DAY(XT!U227), DAY(XT!Y227), DAY(XT!AC227), DAY(XT!AG227)), MATCH(1, INDEX(--(MONTH(CHOOSE({1,2,3,4}, XT!U227,XT!Y227,XT!AC227,XT!AG227))=5), 0), 0)), "")</f>
        <v/>
      </c>
      <c r="S227" s="12" t="str">
        <f>IF(XT!$P227&gt;0,R227,"")</f>
        <v/>
      </c>
      <c r="T227" s="12" t="str">
        <f>IF(XT!$P227=0,R227,"")</f>
        <v/>
      </c>
      <c r="U227">
        <f>SUMPRODUCT((MONTH(CHOOSE({1,2,3,4},XT!U227,XT!Y227,XT!AC227,XT!AG227))=6)*(CHOOSE({1,2,3,4},XT!X227,XT!AB227,XT!AF227,XT!AJ227)))</f>
        <v>0</v>
      </c>
      <c r="V227" t="str">
        <f>IFERROR(INDEX(CHOOSE({1,2,3,4}, DAY(XT!U227), DAY(XT!Y227), DAY(XT!AC227), DAY(XT!AG227)), MATCH(1, INDEX(--(MONTH(CHOOSE({1,2,3,4}, XT!U227,XT!Y227,XT!AC227,XT!AG227))=6), 0), 0)), "")</f>
        <v/>
      </c>
      <c r="W227" s="12" t="str">
        <f>IF(XT!$P227&gt;0,V227,"")</f>
        <v/>
      </c>
      <c r="X227" s="12" t="str">
        <f>IF(XT!$P227=0,V227,"")</f>
        <v/>
      </c>
      <c r="Y227">
        <f>SUMPRODUCT((MONTH(CHOOSE({1,2,3,4},XT!U227,XT!Y227,XT!AC227,XT!AG227))=7)*(CHOOSE({1,2,3,4},XT!X227,XT!AB227,XT!AF227,XT!AJ227)))</f>
        <v>0</v>
      </c>
      <c r="Z227" t="str">
        <f>IFERROR(INDEX(CHOOSE({1,2,3,4}, DAY(XT!U227), DAY(XT!Y227), DAY(XT!AC227), DAY(XT!AG227)), MATCH(1, INDEX(--(MONTH(CHOOSE({1,2,3,4}, XT!U227,XT!Y227,XT!AC227,XT!AG227))=7), 0), 0)), "")</f>
        <v/>
      </c>
      <c r="AA227" s="12" t="str">
        <f>IF(XT!$P227&gt;0,Z227,"")</f>
        <v/>
      </c>
      <c r="AB227" s="12" t="str">
        <f>IF(XT!$P227=0,Z227,"")</f>
        <v/>
      </c>
      <c r="AC227">
        <f>SUMPRODUCT((MONTH(CHOOSE({1,2,3,4},XT!U227,XT!Y227,XT!AC227,XT!AG227))=8)*(CHOOSE({1,2,3,4},XT!X227,XT!AB227,XT!AF227,XT!AJ227)))</f>
        <v>0</v>
      </c>
      <c r="AD227" t="str">
        <f>IFERROR(INDEX(CHOOSE({1,2,3,4}, DAY(XT!U227), DAY(XT!Y227), DAY(XT!AC227), DAY(XT!AG227)), MATCH(1, INDEX(--(MONTH(CHOOSE({1,2,3,4}, XT!U227,XT!Y227,XT!AC227,XT!AG227))=8), 0), 0)), "")</f>
        <v/>
      </c>
      <c r="AE227" s="12" t="str">
        <f>IF(XT!$P227&gt;0,AD227,"")</f>
        <v/>
      </c>
      <c r="AF227" s="12" t="str">
        <f>IF(XT!$P227=0,AD227,"")</f>
        <v/>
      </c>
      <c r="AG227">
        <f>SUMPRODUCT((MONTH(CHOOSE({1,2,3,4},XT!U227,XT!Y227,XT!AC227,XT!AG227))=9)*(CHOOSE({1,2,3,4},XT!X227,XT!AB227,XT!AF227,XT!AJ227)))</f>
        <v>0</v>
      </c>
      <c r="AH227" t="str">
        <f>IFERROR(INDEX(CHOOSE({1,2,3,4}, DAY(XT!U227), DAY(XT!Y227), DAY(XT!AC227), DAY(XT!AG227)), MATCH(1, INDEX(--(MONTH(CHOOSE({1,2,3,4}, XT!U227,XT!Y227,XT!AC227,XT!AG227))=9), 0), 0)), "")</f>
        <v/>
      </c>
      <c r="AI227" s="12" t="str">
        <f>IF(XT!$P227&gt;0,AH227,"")</f>
        <v/>
      </c>
      <c r="AJ227" s="12" t="str">
        <f>IF(XT!$P227=0,AH227,"")</f>
        <v/>
      </c>
      <c r="AK227">
        <f>SUMPRODUCT((MONTH(CHOOSE({1,2,3,4},XT!U227,XT!Y227,XT!AC227,XT!AG227))=10)*(CHOOSE({1,2,3,4},XT!X227,XT!AB227,XT!AF227,XT!AJ227)))</f>
        <v>0</v>
      </c>
      <c r="AL227" t="str">
        <f>IFERROR(INDEX(CHOOSE({1,2,3,4}, DAY(XT!U227), DAY(XT!Y227), DAY(XT!AC227), DAY(XT!AG227)), MATCH(1, INDEX(--(MONTH(CHOOSE({1,2,3,4}, XT!U227,XT!Y227,XT!AC227,XT!AG227))=10), 0), 0)), "")</f>
        <v/>
      </c>
      <c r="AM227" s="12" t="str">
        <f>IF(XT!$P227&gt;0,AL227,"")</f>
        <v/>
      </c>
      <c r="AN227" s="12" t="str">
        <f>IF(XT!$P227=0,AL227,"")</f>
        <v/>
      </c>
      <c r="AO227">
        <f>SUMPRODUCT((MONTH(CHOOSE({1,2,3,4},XT!U227,XT!Y227,XT!AC227,XT!AG227))=11)*(CHOOSE({1,2,3,4},XT!X227,XT!AB227,XT!AF227,XT!AJ227)))</f>
        <v>0</v>
      </c>
      <c r="AP227" t="str">
        <f>IFERROR(INDEX(CHOOSE({1,2,3,4}, DAY(XT!U227), DAY(XT!Y227), DAY(XT!AC227), DAY(XT!AG227)), MATCH(1, INDEX(--(MONTH(CHOOSE({1,2,3,4}, XT!U227,XT!Y227,XT!AC227,XT!AG227))=11), 0), 0)), "")</f>
        <v/>
      </c>
      <c r="AQ227" s="12" t="str">
        <f>IF(XT!$P227&gt;0,AP227,"")</f>
        <v/>
      </c>
      <c r="AR227" s="12" t="str">
        <f>IF(XT!$P227=0,AP227,"")</f>
        <v/>
      </c>
      <c r="AS227">
        <f>SUMPRODUCT((MONTH(CHOOSE({1,2,3,4},XT!U227,XT!Y227,XT!AC227,XT!AG227))=12)*(CHOOSE({1,2,3,4},XT!X227,XT!AB227,XT!AF227,XT!AJ227)))</f>
        <v>0</v>
      </c>
      <c r="AT227" t="str">
        <f>IFERROR(INDEX(CHOOSE({1,2,3,4}, DAY(XT!U227), DAY(XT!Y227), DAY(XT!AC227), DAY(XT!AG227)), MATCH(1, INDEX(--(MONTH(CHOOSE({1,2,3,4}, XT!U227,XT!Y227,XT!AC227,XT!AG227))=12), 0), 0)), "")</f>
        <v/>
      </c>
      <c r="AU227" s="12" t="str">
        <f>IF(XT!$P227&gt;0,AT227,"")</f>
        <v/>
      </c>
      <c r="AV227" s="12" t="str">
        <f>IF(XT!$P227=0,AT227,"")</f>
        <v/>
      </c>
    </row>
    <row r="228" spans="1:48">
      <c r="A228">
        <f>SUMPRODUCT((MONTH(CHOOSE({1,2,3,4},XT!U228,XT!Y228,XT!AC228,XT!AG228))=1)*(CHOOSE({1,2,3,4},XT!X228,XT!AB228,XT!AF228,XT!AJ228)))</f>
        <v>0</v>
      </c>
      <c r="B228">
        <f>IFERROR(INDEX(CHOOSE({1,2,3,4}, DAY(XT!U228), DAY(XT!Y228), DAY(XT!AC228), DAY(XT!AG228)), MATCH(1, INDEX(--(MONTH(CHOOSE({1,2,3,4}, XT!U228,XT!Y228,XT!AC228,XT!AG228))=1), 0), 0)), "")</f>
        <v>0</v>
      </c>
      <c r="C228" s="12" t="str">
        <f>IF(XT!$P228&gt;0,B228,"")</f>
        <v/>
      </c>
      <c r="D228" s="12">
        <f>IF(XT!$P228=0,B228,"")</f>
        <v>0</v>
      </c>
      <c r="E228">
        <f>SUMPRODUCT((MONTH(CHOOSE({1,2,3,4},XT!U228,XT!Y228,XT!AC228,XT!AG228))=2)*(CHOOSE({1,2,3,4},XT!X228,XT!AB228,XT!AF228,XT!AJ228)))</f>
        <v>0</v>
      </c>
      <c r="F228" t="str">
        <f>IFERROR(INDEX(CHOOSE({1,2,3,4}, DAY(XT!U228), DAY(XT!Y228), DAY(XT!AC228), DAY(XT!AG228)), MATCH(1, INDEX(--(MONTH(CHOOSE({1,2,3,4}, XT!U228,XT!Y228,XT!AC228,XT!AG228))=2), 0), 0)), "")</f>
        <v/>
      </c>
      <c r="G228" s="12" t="str">
        <f>IF(XT!$P228&gt;0,F228,"")</f>
        <v/>
      </c>
      <c r="H228" s="12" t="str">
        <f>IF(XT!$P228=0,F228,"")</f>
        <v/>
      </c>
      <c r="I228">
        <f>SUMPRODUCT((MONTH(CHOOSE({1,2,3,4},XT!U228,XT!Y228,XT!AC228,XT!AG228))=3)*(CHOOSE({1,2,3,4},XT!X228,XT!AB228,XT!AF228,XT!AJ228)))</f>
        <v>0</v>
      </c>
      <c r="J228" t="str">
        <f>IFERROR(INDEX(CHOOSE({1,2,3,4}, DAY(XT!U228), DAY(XT!Y228), DAY(XT!AC228), DAY(XT!AG228)), MATCH(1, INDEX(--(MONTH(CHOOSE({1,2,3,4}, XT!U228,XT!Y228,XT!AC228,XT!AG228))=3), 0), 0)), "")</f>
        <v/>
      </c>
      <c r="K228" s="12" t="str">
        <f>IF(XT!$P228&gt;0,J228,"")</f>
        <v/>
      </c>
      <c r="L228" s="12" t="str">
        <f>IF(XT!$P228=0,J228,"")</f>
        <v/>
      </c>
      <c r="M228">
        <f>SUMPRODUCT((MONTH(CHOOSE({1,2,3,4},XT!U228,XT!Y228,XT!AC228,XT!AG228))=4)*(CHOOSE({1,2,3,4},XT!X228,XT!AB228,XT!AF228,XT!AJ228)))</f>
        <v>0</v>
      </c>
      <c r="N228" t="str">
        <f>IFERROR(INDEX(CHOOSE({1,2,3,4}, DAY(XT!U228), DAY(XT!Y228), DAY(XT!AC228), DAY(XT!AG228)), MATCH(1, INDEX(--(MONTH(CHOOSE({1,2,3,4}, XT!U228,XT!Y228,XT!AC228,XT!AG228))=4), 0), 0)), "")</f>
        <v/>
      </c>
      <c r="O228" s="12" t="str">
        <f>IF(XT!$P228&gt;0,N228,"")</f>
        <v/>
      </c>
      <c r="P228" s="12" t="str">
        <f>IF(XT!$P228=0,N228,"")</f>
        <v/>
      </c>
      <c r="Q228">
        <f>SUMPRODUCT((MONTH(CHOOSE({1,2,3,4},XT!U228,XT!Y228,XT!AC228,XT!AG228))=5)*(CHOOSE({1,2,3,4},XT!X228,XT!AB228,XT!AF228,XT!AJ228)))</f>
        <v>0</v>
      </c>
      <c r="R228" t="str">
        <f>IFERROR(INDEX(CHOOSE({1,2,3,4}, DAY(XT!U228), DAY(XT!Y228), DAY(XT!AC228), DAY(XT!AG228)), MATCH(1, INDEX(--(MONTH(CHOOSE({1,2,3,4}, XT!U228,XT!Y228,XT!AC228,XT!AG228))=5), 0), 0)), "")</f>
        <v/>
      </c>
      <c r="S228" s="12" t="str">
        <f>IF(XT!$P228&gt;0,R228,"")</f>
        <v/>
      </c>
      <c r="T228" s="12" t="str">
        <f>IF(XT!$P228=0,R228,"")</f>
        <v/>
      </c>
      <c r="U228">
        <f>SUMPRODUCT((MONTH(CHOOSE({1,2,3,4},XT!U228,XT!Y228,XT!AC228,XT!AG228))=6)*(CHOOSE({1,2,3,4},XT!X228,XT!AB228,XT!AF228,XT!AJ228)))</f>
        <v>0</v>
      </c>
      <c r="V228" t="str">
        <f>IFERROR(INDEX(CHOOSE({1,2,3,4}, DAY(XT!U228), DAY(XT!Y228), DAY(XT!AC228), DAY(XT!AG228)), MATCH(1, INDEX(--(MONTH(CHOOSE({1,2,3,4}, XT!U228,XT!Y228,XT!AC228,XT!AG228))=6), 0), 0)), "")</f>
        <v/>
      </c>
      <c r="W228" s="12" t="str">
        <f>IF(XT!$P228&gt;0,V228,"")</f>
        <v/>
      </c>
      <c r="X228" s="12" t="str">
        <f>IF(XT!$P228=0,V228,"")</f>
        <v/>
      </c>
      <c r="Y228">
        <f>SUMPRODUCT((MONTH(CHOOSE({1,2,3,4},XT!U228,XT!Y228,XT!AC228,XT!AG228))=7)*(CHOOSE({1,2,3,4},XT!X228,XT!AB228,XT!AF228,XT!AJ228)))</f>
        <v>0</v>
      </c>
      <c r="Z228" t="str">
        <f>IFERROR(INDEX(CHOOSE({1,2,3,4}, DAY(XT!U228), DAY(XT!Y228), DAY(XT!AC228), DAY(XT!AG228)), MATCH(1, INDEX(--(MONTH(CHOOSE({1,2,3,4}, XT!U228,XT!Y228,XT!AC228,XT!AG228))=7), 0), 0)), "")</f>
        <v/>
      </c>
      <c r="AA228" s="12" t="str">
        <f>IF(XT!$P228&gt;0,Z228,"")</f>
        <v/>
      </c>
      <c r="AB228" s="12" t="str">
        <f>IF(XT!$P228=0,Z228,"")</f>
        <v/>
      </c>
      <c r="AC228">
        <f>SUMPRODUCT((MONTH(CHOOSE({1,2,3,4},XT!U228,XT!Y228,XT!AC228,XT!AG228))=8)*(CHOOSE({1,2,3,4},XT!X228,XT!AB228,XT!AF228,XT!AJ228)))</f>
        <v>0</v>
      </c>
      <c r="AD228" t="str">
        <f>IFERROR(INDEX(CHOOSE({1,2,3,4}, DAY(XT!U228), DAY(XT!Y228), DAY(XT!AC228), DAY(XT!AG228)), MATCH(1, INDEX(--(MONTH(CHOOSE({1,2,3,4}, XT!U228,XT!Y228,XT!AC228,XT!AG228))=8), 0), 0)), "")</f>
        <v/>
      </c>
      <c r="AE228" s="12" t="str">
        <f>IF(XT!$P228&gt;0,AD228,"")</f>
        <v/>
      </c>
      <c r="AF228" s="12" t="str">
        <f>IF(XT!$P228=0,AD228,"")</f>
        <v/>
      </c>
      <c r="AG228">
        <f>SUMPRODUCT((MONTH(CHOOSE({1,2,3,4},XT!U228,XT!Y228,XT!AC228,XT!AG228))=9)*(CHOOSE({1,2,3,4},XT!X228,XT!AB228,XT!AF228,XT!AJ228)))</f>
        <v>0</v>
      </c>
      <c r="AH228" t="str">
        <f>IFERROR(INDEX(CHOOSE({1,2,3,4}, DAY(XT!U228), DAY(XT!Y228), DAY(XT!AC228), DAY(XT!AG228)), MATCH(1, INDEX(--(MONTH(CHOOSE({1,2,3,4}, XT!U228,XT!Y228,XT!AC228,XT!AG228))=9), 0), 0)), "")</f>
        <v/>
      </c>
      <c r="AI228" s="12" t="str">
        <f>IF(XT!$P228&gt;0,AH228,"")</f>
        <v/>
      </c>
      <c r="AJ228" s="12" t="str">
        <f>IF(XT!$P228=0,AH228,"")</f>
        <v/>
      </c>
      <c r="AK228">
        <f>SUMPRODUCT((MONTH(CHOOSE({1,2,3,4},XT!U228,XT!Y228,XT!AC228,XT!AG228))=10)*(CHOOSE({1,2,3,4},XT!X228,XT!AB228,XT!AF228,XT!AJ228)))</f>
        <v>0</v>
      </c>
      <c r="AL228" t="str">
        <f>IFERROR(INDEX(CHOOSE({1,2,3,4}, DAY(XT!U228), DAY(XT!Y228), DAY(XT!AC228), DAY(XT!AG228)), MATCH(1, INDEX(--(MONTH(CHOOSE({1,2,3,4}, XT!U228,XT!Y228,XT!AC228,XT!AG228))=10), 0), 0)), "")</f>
        <v/>
      </c>
      <c r="AM228" s="12" t="str">
        <f>IF(XT!$P228&gt;0,AL228,"")</f>
        <v/>
      </c>
      <c r="AN228" s="12" t="str">
        <f>IF(XT!$P228=0,AL228,"")</f>
        <v/>
      </c>
      <c r="AO228">
        <f>SUMPRODUCT((MONTH(CHOOSE({1,2,3,4},XT!U228,XT!Y228,XT!AC228,XT!AG228))=11)*(CHOOSE({1,2,3,4},XT!X228,XT!AB228,XT!AF228,XT!AJ228)))</f>
        <v>0</v>
      </c>
      <c r="AP228" t="str">
        <f>IFERROR(INDEX(CHOOSE({1,2,3,4}, DAY(XT!U228), DAY(XT!Y228), DAY(XT!AC228), DAY(XT!AG228)), MATCH(1, INDEX(--(MONTH(CHOOSE({1,2,3,4}, XT!U228,XT!Y228,XT!AC228,XT!AG228))=11), 0), 0)), "")</f>
        <v/>
      </c>
      <c r="AQ228" s="12" t="str">
        <f>IF(XT!$P228&gt;0,AP228,"")</f>
        <v/>
      </c>
      <c r="AR228" s="12" t="str">
        <f>IF(XT!$P228=0,AP228,"")</f>
        <v/>
      </c>
      <c r="AS228">
        <f>SUMPRODUCT((MONTH(CHOOSE({1,2,3,4},XT!U228,XT!Y228,XT!AC228,XT!AG228))=12)*(CHOOSE({1,2,3,4},XT!X228,XT!AB228,XT!AF228,XT!AJ228)))</f>
        <v>0</v>
      </c>
      <c r="AT228" t="str">
        <f>IFERROR(INDEX(CHOOSE({1,2,3,4}, DAY(XT!U228), DAY(XT!Y228), DAY(XT!AC228), DAY(XT!AG228)), MATCH(1, INDEX(--(MONTH(CHOOSE({1,2,3,4}, XT!U228,XT!Y228,XT!AC228,XT!AG228))=12), 0), 0)), "")</f>
        <v/>
      </c>
      <c r="AU228" s="12" t="str">
        <f>IF(XT!$P228&gt;0,AT228,"")</f>
        <v/>
      </c>
      <c r="AV228" s="12" t="str">
        <f>IF(XT!$P228=0,AT228,"")</f>
        <v/>
      </c>
    </row>
    <row r="229" spans="1:48">
      <c r="A229">
        <f>SUMPRODUCT((MONTH(CHOOSE({1,2,3,4},XT!U229,XT!Y229,XT!AC229,XT!AG229))=1)*(CHOOSE({1,2,3,4},XT!X229,XT!AB229,XT!AF229,XT!AJ229)))</f>
        <v>0</v>
      </c>
      <c r="B229">
        <f>IFERROR(INDEX(CHOOSE({1,2,3,4}, DAY(XT!U229), DAY(XT!Y229), DAY(XT!AC229), DAY(XT!AG229)), MATCH(1, INDEX(--(MONTH(CHOOSE({1,2,3,4}, XT!U229,XT!Y229,XT!AC229,XT!AG229))=1), 0), 0)), "")</f>
        <v>0</v>
      </c>
      <c r="C229" s="12" t="str">
        <f>IF(XT!$P229&gt;0,B229,"")</f>
        <v/>
      </c>
      <c r="D229" s="12">
        <f>IF(XT!$P229=0,B229,"")</f>
        <v>0</v>
      </c>
      <c r="E229">
        <f>SUMPRODUCT((MONTH(CHOOSE({1,2,3,4},XT!U229,XT!Y229,XT!AC229,XT!AG229))=2)*(CHOOSE({1,2,3,4},XT!X229,XT!AB229,XT!AF229,XT!AJ229)))</f>
        <v>0</v>
      </c>
      <c r="F229" t="str">
        <f>IFERROR(INDEX(CHOOSE({1,2,3,4}, DAY(XT!U229), DAY(XT!Y229), DAY(XT!AC229), DAY(XT!AG229)), MATCH(1, INDEX(--(MONTH(CHOOSE({1,2,3,4}, XT!U229,XT!Y229,XT!AC229,XT!AG229))=2), 0), 0)), "")</f>
        <v/>
      </c>
      <c r="G229" s="12" t="str">
        <f>IF(XT!$P229&gt;0,F229,"")</f>
        <v/>
      </c>
      <c r="H229" s="12" t="str">
        <f>IF(XT!$P229=0,F229,"")</f>
        <v/>
      </c>
      <c r="I229">
        <f>SUMPRODUCT((MONTH(CHOOSE({1,2,3,4},XT!U229,XT!Y229,XT!AC229,XT!AG229))=3)*(CHOOSE({1,2,3,4},XT!X229,XT!AB229,XT!AF229,XT!AJ229)))</f>
        <v>0</v>
      </c>
      <c r="J229" t="str">
        <f>IFERROR(INDEX(CHOOSE({1,2,3,4}, DAY(XT!U229), DAY(XT!Y229), DAY(XT!AC229), DAY(XT!AG229)), MATCH(1, INDEX(--(MONTH(CHOOSE({1,2,3,4}, XT!U229,XT!Y229,XT!AC229,XT!AG229))=3), 0), 0)), "")</f>
        <v/>
      </c>
      <c r="K229" s="12" t="str">
        <f>IF(XT!$P229&gt;0,J229,"")</f>
        <v/>
      </c>
      <c r="L229" s="12" t="str">
        <f>IF(XT!$P229=0,J229,"")</f>
        <v/>
      </c>
      <c r="M229">
        <f>SUMPRODUCT((MONTH(CHOOSE({1,2,3,4},XT!U229,XT!Y229,XT!AC229,XT!AG229))=4)*(CHOOSE({1,2,3,4},XT!X229,XT!AB229,XT!AF229,XT!AJ229)))</f>
        <v>0</v>
      </c>
      <c r="N229" t="str">
        <f>IFERROR(INDEX(CHOOSE({1,2,3,4}, DAY(XT!U229), DAY(XT!Y229), DAY(XT!AC229), DAY(XT!AG229)), MATCH(1, INDEX(--(MONTH(CHOOSE({1,2,3,4}, XT!U229,XT!Y229,XT!AC229,XT!AG229))=4), 0), 0)), "")</f>
        <v/>
      </c>
      <c r="O229" s="12" t="str">
        <f>IF(XT!$P229&gt;0,N229,"")</f>
        <v/>
      </c>
      <c r="P229" s="12" t="str">
        <f>IF(XT!$P229=0,N229,"")</f>
        <v/>
      </c>
      <c r="Q229">
        <f>SUMPRODUCT((MONTH(CHOOSE({1,2,3,4},XT!U229,XT!Y229,XT!AC229,XT!AG229))=5)*(CHOOSE({1,2,3,4},XT!X229,XT!AB229,XT!AF229,XT!AJ229)))</f>
        <v>0</v>
      </c>
      <c r="R229" t="str">
        <f>IFERROR(INDEX(CHOOSE({1,2,3,4}, DAY(XT!U229), DAY(XT!Y229), DAY(XT!AC229), DAY(XT!AG229)), MATCH(1, INDEX(--(MONTH(CHOOSE({1,2,3,4}, XT!U229,XT!Y229,XT!AC229,XT!AG229))=5), 0), 0)), "")</f>
        <v/>
      </c>
      <c r="S229" s="12" t="str">
        <f>IF(XT!$P229&gt;0,R229,"")</f>
        <v/>
      </c>
      <c r="T229" s="12" t="str">
        <f>IF(XT!$P229=0,R229,"")</f>
        <v/>
      </c>
      <c r="U229">
        <f>SUMPRODUCT((MONTH(CHOOSE({1,2,3,4},XT!U229,XT!Y229,XT!AC229,XT!AG229))=6)*(CHOOSE({1,2,3,4},XT!X229,XT!AB229,XT!AF229,XT!AJ229)))</f>
        <v>0</v>
      </c>
      <c r="V229" t="str">
        <f>IFERROR(INDEX(CHOOSE({1,2,3,4}, DAY(XT!U229), DAY(XT!Y229), DAY(XT!AC229), DAY(XT!AG229)), MATCH(1, INDEX(--(MONTH(CHOOSE({1,2,3,4}, XT!U229,XT!Y229,XT!AC229,XT!AG229))=6), 0), 0)), "")</f>
        <v/>
      </c>
      <c r="W229" s="12" t="str">
        <f>IF(XT!$P229&gt;0,V229,"")</f>
        <v/>
      </c>
      <c r="X229" s="12" t="str">
        <f>IF(XT!$P229=0,V229,"")</f>
        <v/>
      </c>
      <c r="Y229">
        <f>SUMPRODUCT((MONTH(CHOOSE({1,2,3,4},XT!U229,XT!Y229,XT!AC229,XT!AG229))=7)*(CHOOSE({1,2,3,4},XT!X229,XT!AB229,XT!AF229,XT!AJ229)))</f>
        <v>0</v>
      </c>
      <c r="Z229" t="str">
        <f>IFERROR(INDEX(CHOOSE({1,2,3,4}, DAY(XT!U229), DAY(XT!Y229), DAY(XT!AC229), DAY(XT!AG229)), MATCH(1, INDEX(--(MONTH(CHOOSE({1,2,3,4}, XT!U229,XT!Y229,XT!AC229,XT!AG229))=7), 0), 0)), "")</f>
        <v/>
      </c>
      <c r="AA229" s="12" t="str">
        <f>IF(XT!$P229&gt;0,Z229,"")</f>
        <v/>
      </c>
      <c r="AB229" s="12" t="str">
        <f>IF(XT!$P229=0,Z229,"")</f>
        <v/>
      </c>
      <c r="AC229">
        <f>SUMPRODUCT((MONTH(CHOOSE({1,2,3,4},XT!U229,XT!Y229,XT!AC229,XT!AG229))=8)*(CHOOSE({1,2,3,4},XT!X229,XT!AB229,XT!AF229,XT!AJ229)))</f>
        <v>0</v>
      </c>
      <c r="AD229" t="str">
        <f>IFERROR(INDEX(CHOOSE({1,2,3,4}, DAY(XT!U229), DAY(XT!Y229), DAY(XT!AC229), DAY(XT!AG229)), MATCH(1, INDEX(--(MONTH(CHOOSE({1,2,3,4}, XT!U229,XT!Y229,XT!AC229,XT!AG229))=8), 0), 0)), "")</f>
        <v/>
      </c>
      <c r="AE229" s="12" t="str">
        <f>IF(XT!$P229&gt;0,AD229,"")</f>
        <v/>
      </c>
      <c r="AF229" s="12" t="str">
        <f>IF(XT!$P229=0,AD229,"")</f>
        <v/>
      </c>
      <c r="AG229">
        <f>SUMPRODUCT((MONTH(CHOOSE({1,2,3,4},XT!U229,XT!Y229,XT!AC229,XT!AG229))=9)*(CHOOSE({1,2,3,4},XT!X229,XT!AB229,XT!AF229,XT!AJ229)))</f>
        <v>0</v>
      </c>
      <c r="AH229" t="str">
        <f>IFERROR(INDEX(CHOOSE({1,2,3,4}, DAY(XT!U229), DAY(XT!Y229), DAY(XT!AC229), DAY(XT!AG229)), MATCH(1, INDEX(--(MONTH(CHOOSE({1,2,3,4}, XT!U229,XT!Y229,XT!AC229,XT!AG229))=9), 0), 0)), "")</f>
        <v/>
      </c>
      <c r="AI229" s="12" t="str">
        <f>IF(XT!$P229&gt;0,AH229,"")</f>
        <v/>
      </c>
      <c r="AJ229" s="12" t="str">
        <f>IF(XT!$P229=0,AH229,"")</f>
        <v/>
      </c>
      <c r="AK229">
        <f>SUMPRODUCT((MONTH(CHOOSE({1,2,3,4},XT!U229,XT!Y229,XT!AC229,XT!AG229))=10)*(CHOOSE({1,2,3,4},XT!X229,XT!AB229,XT!AF229,XT!AJ229)))</f>
        <v>0</v>
      </c>
      <c r="AL229" t="str">
        <f>IFERROR(INDEX(CHOOSE({1,2,3,4}, DAY(XT!U229), DAY(XT!Y229), DAY(XT!AC229), DAY(XT!AG229)), MATCH(1, INDEX(--(MONTH(CHOOSE({1,2,3,4}, XT!U229,XT!Y229,XT!AC229,XT!AG229))=10), 0), 0)), "")</f>
        <v/>
      </c>
      <c r="AM229" s="12" t="str">
        <f>IF(XT!$P229&gt;0,AL229,"")</f>
        <v/>
      </c>
      <c r="AN229" s="12" t="str">
        <f>IF(XT!$P229=0,AL229,"")</f>
        <v/>
      </c>
      <c r="AO229">
        <f>SUMPRODUCT((MONTH(CHOOSE({1,2,3,4},XT!U229,XT!Y229,XT!AC229,XT!AG229))=11)*(CHOOSE({1,2,3,4},XT!X229,XT!AB229,XT!AF229,XT!AJ229)))</f>
        <v>0</v>
      </c>
      <c r="AP229" t="str">
        <f>IFERROR(INDEX(CHOOSE({1,2,3,4}, DAY(XT!U229), DAY(XT!Y229), DAY(XT!AC229), DAY(XT!AG229)), MATCH(1, INDEX(--(MONTH(CHOOSE({1,2,3,4}, XT!U229,XT!Y229,XT!AC229,XT!AG229))=11), 0), 0)), "")</f>
        <v/>
      </c>
      <c r="AQ229" s="12" t="str">
        <f>IF(XT!$P229&gt;0,AP229,"")</f>
        <v/>
      </c>
      <c r="AR229" s="12" t="str">
        <f>IF(XT!$P229=0,AP229,"")</f>
        <v/>
      </c>
      <c r="AS229">
        <f>SUMPRODUCT((MONTH(CHOOSE({1,2,3,4},XT!U229,XT!Y229,XT!AC229,XT!AG229))=12)*(CHOOSE({1,2,3,4},XT!X229,XT!AB229,XT!AF229,XT!AJ229)))</f>
        <v>0</v>
      </c>
      <c r="AT229" t="str">
        <f>IFERROR(INDEX(CHOOSE({1,2,3,4}, DAY(XT!U229), DAY(XT!Y229), DAY(XT!AC229), DAY(XT!AG229)), MATCH(1, INDEX(--(MONTH(CHOOSE({1,2,3,4}, XT!U229,XT!Y229,XT!AC229,XT!AG229))=12), 0), 0)), "")</f>
        <v/>
      </c>
      <c r="AU229" s="12" t="str">
        <f>IF(XT!$P229&gt;0,AT229,"")</f>
        <v/>
      </c>
      <c r="AV229" s="12" t="str">
        <f>IF(XT!$P229=0,AT229,"")</f>
        <v/>
      </c>
    </row>
    <row r="230" spans="1:48">
      <c r="A230">
        <f>SUMPRODUCT((MONTH(CHOOSE({1,2,3,4},XT!U230,XT!Y230,XT!AC230,XT!AG230))=1)*(CHOOSE({1,2,3,4},XT!X230,XT!AB230,XT!AF230,XT!AJ230)))</f>
        <v>0</v>
      </c>
      <c r="B230">
        <f>IFERROR(INDEX(CHOOSE({1,2,3,4}, DAY(XT!U230), DAY(XT!Y230), DAY(XT!AC230), DAY(XT!AG230)), MATCH(1, INDEX(--(MONTH(CHOOSE({1,2,3,4}, XT!U230,XT!Y230,XT!AC230,XT!AG230))=1), 0), 0)), "")</f>
        <v>0</v>
      </c>
      <c r="C230" s="12" t="str">
        <f>IF(XT!$P230&gt;0,B230,"")</f>
        <v/>
      </c>
      <c r="D230" s="12">
        <f>IF(XT!$P230=0,B230,"")</f>
        <v>0</v>
      </c>
      <c r="E230">
        <f>SUMPRODUCT((MONTH(CHOOSE({1,2,3,4},XT!U230,XT!Y230,XT!AC230,XT!AG230))=2)*(CHOOSE({1,2,3,4},XT!X230,XT!AB230,XT!AF230,XT!AJ230)))</f>
        <v>0</v>
      </c>
      <c r="F230" t="str">
        <f>IFERROR(INDEX(CHOOSE({1,2,3,4}, DAY(XT!U230), DAY(XT!Y230), DAY(XT!AC230), DAY(XT!AG230)), MATCH(1, INDEX(--(MONTH(CHOOSE({1,2,3,4}, XT!U230,XT!Y230,XT!AC230,XT!AG230))=2), 0), 0)), "")</f>
        <v/>
      </c>
      <c r="G230" s="12" t="str">
        <f>IF(XT!$P230&gt;0,F230,"")</f>
        <v/>
      </c>
      <c r="H230" s="12" t="str">
        <f>IF(XT!$P230=0,F230,"")</f>
        <v/>
      </c>
      <c r="I230">
        <f>SUMPRODUCT((MONTH(CHOOSE({1,2,3,4},XT!U230,XT!Y230,XT!AC230,XT!AG230))=3)*(CHOOSE({1,2,3,4},XT!X230,XT!AB230,XT!AF230,XT!AJ230)))</f>
        <v>0</v>
      </c>
      <c r="J230" t="str">
        <f>IFERROR(INDEX(CHOOSE({1,2,3,4}, DAY(XT!U230), DAY(XT!Y230), DAY(XT!AC230), DAY(XT!AG230)), MATCH(1, INDEX(--(MONTH(CHOOSE({1,2,3,4}, XT!U230,XT!Y230,XT!AC230,XT!AG230))=3), 0), 0)), "")</f>
        <v/>
      </c>
      <c r="K230" s="12" t="str">
        <f>IF(XT!$P230&gt;0,J230,"")</f>
        <v/>
      </c>
      <c r="L230" s="12" t="str">
        <f>IF(XT!$P230=0,J230,"")</f>
        <v/>
      </c>
      <c r="M230">
        <f>SUMPRODUCT((MONTH(CHOOSE({1,2,3,4},XT!U230,XT!Y230,XT!AC230,XT!AG230))=4)*(CHOOSE({1,2,3,4},XT!X230,XT!AB230,XT!AF230,XT!AJ230)))</f>
        <v>0</v>
      </c>
      <c r="N230" t="str">
        <f>IFERROR(INDEX(CHOOSE({1,2,3,4}, DAY(XT!U230), DAY(XT!Y230), DAY(XT!AC230), DAY(XT!AG230)), MATCH(1, INDEX(--(MONTH(CHOOSE({1,2,3,4}, XT!U230,XT!Y230,XT!AC230,XT!AG230))=4), 0), 0)), "")</f>
        <v/>
      </c>
      <c r="O230" s="12" t="str">
        <f>IF(XT!$P230&gt;0,N230,"")</f>
        <v/>
      </c>
      <c r="P230" s="12" t="str">
        <f>IF(XT!$P230=0,N230,"")</f>
        <v/>
      </c>
      <c r="Q230">
        <f>SUMPRODUCT((MONTH(CHOOSE({1,2,3,4},XT!U230,XT!Y230,XT!AC230,XT!AG230))=5)*(CHOOSE({1,2,3,4},XT!X230,XT!AB230,XT!AF230,XT!AJ230)))</f>
        <v>0</v>
      </c>
      <c r="R230" t="str">
        <f>IFERROR(INDEX(CHOOSE({1,2,3,4}, DAY(XT!U230), DAY(XT!Y230), DAY(XT!AC230), DAY(XT!AG230)), MATCH(1, INDEX(--(MONTH(CHOOSE({1,2,3,4}, XT!U230,XT!Y230,XT!AC230,XT!AG230))=5), 0), 0)), "")</f>
        <v/>
      </c>
      <c r="S230" s="12" t="str">
        <f>IF(XT!$P230&gt;0,R230,"")</f>
        <v/>
      </c>
      <c r="T230" s="12" t="str">
        <f>IF(XT!$P230=0,R230,"")</f>
        <v/>
      </c>
      <c r="U230">
        <f>SUMPRODUCT((MONTH(CHOOSE({1,2,3,4},XT!U230,XT!Y230,XT!AC230,XT!AG230))=6)*(CHOOSE({1,2,3,4},XT!X230,XT!AB230,XT!AF230,XT!AJ230)))</f>
        <v>0</v>
      </c>
      <c r="V230" t="str">
        <f>IFERROR(INDEX(CHOOSE({1,2,3,4}, DAY(XT!U230), DAY(XT!Y230), DAY(XT!AC230), DAY(XT!AG230)), MATCH(1, INDEX(--(MONTH(CHOOSE({1,2,3,4}, XT!U230,XT!Y230,XT!AC230,XT!AG230))=6), 0), 0)), "")</f>
        <v/>
      </c>
      <c r="W230" s="12" t="str">
        <f>IF(XT!$P230&gt;0,V230,"")</f>
        <v/>
      </c>
      <c r="X230" s="12" t="str">
        <f>IF(XT!$P230=0,V230,"")</f>
        <v/>
      </c>
      <c r="Y230">
        <f>SUMPRODUCT((MONTH(CHOOSE({1,2,3,4},XT!U230,XT!Y230,XT!AC230,XT!AG230))=7)*(CHOOSE({1,2,3,4},XT!X230,XT!AB230,XT!AF230,XT!AJ230)))</f>
        <v>0</v>
      </c>
      <c r="Z230" t="str">
        <f>IFERROR(INDEX(CHOOSE({1,2,3,4}, DAY(XT!U230), DAY(XT!Y230), DAY(XT!AC230), DAY(XT!AG230)), MATCH(1, INDEX(--(MONTH(CHOOSE({1,2,3,4}, XT!U230,XT!Y230,XT!AC230,XT!AG230))=7), 0), 0)), "")</f>
        <v/>
      </c>
      <c r="AA230" s="12" t="str">
        <f>IF(XT!$P230&gt;0,Z230,"")</f>
        <v/>
      </c>
      <c r="AB230" s="12" t="str">
        <f>IF(XT!$P230=0,Z230,"")</f>
        <v/>
      </c>
      <c r="AC230">
        <f>SUMPRODUCT((MONTH(CHOOSE({1,2,3,4},XT!U230,XT!Y230,XT!AC230,XT!AG230))=8)*(CHOOSE({1,2,3,4},XT!X230,XT!AB230,XT!AF230,XT!AJ230)))</f>
        <v>0</v>
      </c>
      <c r="AD230" t="str">
        <f>IFERROR(INDEX(CHOOSE({1,2,3,4}, DAY(XT!U230), DAY(XT!Y230), DAY(XT!AC230), DAY(XT!AG230)), MATCH(1, INDEX(--(MONTH(CHOOSE({1,2,3,4}, XT!U230,XT!Y230,XT!AC230,XT!AG230))=8), 0), 0)), "")</f>
        <v/>
      </c>
      <c r="AE230" s="12" t="str">
        <f>IF(XT!$P230&gt;0,AD230,"")</f>
        <v/>
      </c>
      <c r="AF230" s="12" t="str">
        <f>IF(XT!$P230=0,AD230,"")</f>
        <v/>
      </c>
      <c r="AG230">
        <f>SUMPRODUCT((MONTH(CHOOSE({1,2,3,4},XT!U230,XT!Y230,XT!AC230,XT!AG230))=9)*(CHOOSE({1,2,3,4},XT!X230,XT!AB230,XT!AF230,XT!AJ230)))</f>
        <v>0</v>
      </c>
      <c r="AH230" t="str">
        <f>IFERROR(INDEX(CHOOSE({1,2,3,4}, DAY(XT!U230), DAY(XT!Y230), DAY(XT!AC230), DAY(XT!AG230)), MATCH(1, INDEX(--(MONTH(CHOOSE({1,2,3,4}, XT!U230,XT!Y230,XT!AC230,XT!AG230))=9), 0), 0)), "")</f>
        <v/>
      </c>
      <c r="AI230" s="12" t="str">
        <f>IF(XT!$P230&gt;0,AH230,"")</f>
        <v/>
      </c>
      <c r="AJ230" s="12" t="str">
        <f>IF(XT!$P230=0,AH230,"")</f>
        <v/>
      </c>
      <c r="AK230">
        <f>SUMPRODUCT((MONTH(CHOOSE({1,2,3,4},XT!U230,XT!Y230,XT!AC230,XT!AG230))=10)*(CHOOSE({1,2,3,4},XT!X230,XT!AB230,XT!AF230,XT!AJ230)))</f>
        <v>0</v>
      </c>
      <c r="AL230" t="str">
        <f>IFERROR(INDEX(CHOOSE({1,2,3,4}, DAY(XT!U230), DAY(XT!Y230), DAY(XT!AC230), DAY(XT!AG230)), MATCH(1, INDEX(--(MONTH(CHOOSE({1,2,3,4}, XT!U230,XT!Y230,XT!AC230,XT!AG230))=10), 0), 0)), "")</f>
        <v/>
      </c>
      <c r="AM230" s="12" t="str">
        <f>IF(XT!$P230&gt;0,AL230,"")</f>
        <v/>
      </c>
      <c r="AN230" s="12" t="str">
        <f>IF(XT!$P230=0,AL230,"")</f>
        <v/>
      </c>
      <c r="AO230">
        <f>SUMPRODUCT((MONTH(CHOOSE({1,2,3,4},XT!U230,XT!Y230,XT!AC230,XT!AG230))=11)*(CHOOSE({1,2,3,4},XT!X230,XT!AB230,XT!AF230,XT!AJ230)))</f>
        <v>0</v>
      </c>
      <c r="AP230" t="str">
        <f>IFERROR(INDEX(CHOOSE({1,2,3,4}, DAY(XT!U230), DAY(XT!Y230), DAY(XT!AC230), DAY(XT!AG230)), MATCH(1, INDEX(--(MONTH(CHOOSE({1,2,3,4}, XT!U230,XT!Y230,XT!AC230,XT!AG230))=11), 0), 0)), "")</f>
        <v/>
      </c>
      <c r="AQ230" s="12" t="str">
        <f>IF(XT!$P230&gt;0,AP230,"")</f>
        <v/>
      </c>
      <c r="AR230" s="12" t="str">
        <f>IF(XT!$P230=0,AP230,"")</f>
        <v/>
      </c>
      <c r="AS230">
        <f>SUMPRODUCT((MONTH(CHOOSE({1,2,3,4},XT!U230,XT!Y230,XT!AC230,XT!AG230))=12)*(CHOOSE({1,2,3,4},XT!X230,XT!AB230,XT!AF230,XT!AJ230)))</f>
        <v>0</v>
      </c>
      <c r="AT230" t="str">
        <f>IFERROR(INDEX(CHOOSE({1,2,3,4}, DAY(XT!U230), DAY(XT!Y230), DAY(XT!AC230), DAY(XT!AG230)), MATCH(1, INDEX(--(MONTH(CHOOSE({1,2,3,4}, XT!U230,XT!Y230,XT!AC230,XT!AG230))=12), 0), 0)), "")</f>
        <v/>
      </c>
      <c r="AU230" s="12" t="str">
        <f>IF(XT!$P230&gt;0,AT230,"")</f>
        <v/>
      </c>
      <c r="AV230" s="12" t="str">
        <f>IF(XT!$P230=0,AT230,"")</f>
        <v/>
      </c>
    </row>
    <row r="231" spans="1:48">
      <c r="A231">
        <f>SUMPRODUCT((MONTH(CHOOSE({1,2,3,4},XT!U231,XT!Y231,XT!AC231,XT!AG231))=1)*(CHOOSE({1,2,3,4},XT!X231,XT!AB231,XT!AF231,XT!AJ231)))</f>
        <v>0</v>
      </c>
      <c r="B231">
        <f>IFERROR(INDEX(CHOOSE({1,2,3,4}, DAY(XT!U231), DAY(XT!Y231), DAY(XT!AC231), DAY(XT!AG231)), MATCH(1, INDEX(--(MONTH(CHOOSE({1,2,3,4}, XT!U231,XT!Y231,XT!AC231,XT!AG231))=1), 0), 0)), "")</f>
        <v>0</v>
      </c>
      <c r="C231" s="12" t="str">
        <f>IF(XT!$P231&gt;0,B231,"")</f>
        <v/>
      </c>
      <c r="D231" s="12">
        <f>IF(XT!$P231=0,B231,"")</f>
        <v>0</v>
      </c>
      <c r="E231">
        <f>SUMPRODUCT((MONTH(CHOOSE({1,2,3,4},XT!U231,XT!Y231,XT!AC231,XT!AG231))=2)*(CHOOSE({1,2,3,4},XT!X231,XT!AB231,XT!AF231,XT!AJ231)))</f>
        <v>0</v>
      </c>
      <c r="F231" t="str">
        <f>IFERROR(INDEX(CHOOSE({1,2,3,4}, DAY(XT!U231), DAY(XT!Y231), DAY(XT!AC231), DAY(XT!AG231)), MATCH(1, INDEX(--(MONTH(CHOOSE({1,2,3,4}, XT!U231,XT!Y231,XT!AC231,XT!AG231))=2), 0), 0)), "")</f>
        <v/>
      </c>
      <c r="G231" s="12" t="str">
        <f>IF(XT!$P231&gt;0,F231,"")</f>
        <v/>
      </c>
      <c r="H231" s="12" t="str">
        <f>IF(XT!$P231=0,F231,"")</f>
        <v/>
      </c>
      <c r="I231">
        <f>SUMPRODUCT((MONTH(CHOOSE({1,2,3,4},XT!U231,XT!Y231,XT!AC231,XT!AG231))=3)*(CHOOSE({1,2,3,4},XT!X231,XT!AB231,XT!AF231,XT!AJ231)))</f>
        <v>0</v>
      </c>
      <c r="J231" t="str">
        <f>IFERROR(INDEX(CHOOSE({1,2,3,4}, DAY(XT!U231), DAY(XT!Y231), DAY(XT!AC231), DAY(XT!AG231)), MATCH(1, INDEX(--(MONTH(CHOOSE({1,2,3,4}, XT!U231,XT!Y231,XT!AC231,XT!AG231))=3), 0), 0)), "")</f>
        <v/>
      </c>
      <c r="K231" s="12" t="str">
        <f>IF(XT!$P231&gt;0,J231,"")</f>
        <v/>
      </c>
      <c r="L231" s="12" t="str">
        <f>IF(XT!$P231=0,J231,"")</f>
        <v/>
      </c>
      <c r="M231">
        <f>SUMPRODUCT((MONTH(CHOOSE({1,2,3,4},XT!U231,XT!Y231,XT!AC231,XT!AG231))=4)*(CHOOSE({1,2,3,4},XT!X231,XT!AB231,XT!AF231,XT!AJ231)))</f>
        <v>0</v>
      </c>
      <c r="N231" t="str">
        <f>IFERROR(INDEX(CHOOSE({1,2,3,4}, DAY(XT!U231), DAY(XT!Y231), DAY(XT!AC231), DAY(XT!AG231)), MATCH(1, INDEX(--(MONTH(CHOOSE({1,2,3,4}, XT!U231,XT!Y231,XT!AC231,XT!AG231))=4), 0), 0)), "")</f>
        <v/>
      </c>
      <c r="O231" s="12" t="str">
        <f>IF(XT!$P231&gt;0,N231,"")</f>
        <v/>
      </c>
      <c r="P231" s="12" t="str">
        <f>IF(XT!$P231=0,N231,"")</f>
        <v/>
      </c>
      <c r="Q231">
        <f>SUMPRODUCT((MONTH(CHOOSE({1,2,3,4},XT!U231,XT!Y231,XT!AC231,XT!AG231))=5)*(CHOOSE({1,2,3,4},XT!X231,XT!AB231,XT!AF231,XT!AJ231)))</f>
        <v>0</v>
      </c>
      <c r="R231" t="str">
        <f>IFERROR(INDEX(CHOOSE({1,2,3,4}, DAY(XT!U231), DAY(XT!Y231), DAY(XT!AC231), DAY(XT!AG231)), MATCH(1, INDEX(--(MONTH(CHOOSE({1,2,3,4}, XT!U231,XT!Y231,XT!AC231,XT!AG231))=5), 0), 0)), "")</f>
        <v/>
      </c>
      <c r="S231" s="12" t="str">
        <f>IF(XT!$P231&gt;0,R231,"")</f>
        <v/>
      </c>
      <c r="T231" s="12" t="str">
        <f>IF(XT!$P231=0,R231,"")</f>
        <v/>
      </c>
      <c r="U231">
        <f>SUMPRODUCT((MONTH(CHOOSE({1,2,3,4},XT!U231,XT!Y231,XT!AC231,XT!AG231))=6)*(CHOOSE({1,2,3,4},XT!X231,XT!AB231,XT!AF231,XT!AJ231)))</f>
        <v>0</v>
      </c>
      <c r="V231" t="str">
        <f>IFERROR(INDEX(CHOOSE({1,2,3,4}, DAY(XT!U231), DAY(XT!Y231), DAY(XT!AC231), DAY(XT!AG231)), MATCH(1, INDEX(--(MONTH(CHOOSE({1,2,3,4}, XT!U231,XT!Y231,XT!AC231,XT!AG231))=6), 0), 0)), "")</f>
        <v/>
      </c>
      <c r="W231" s="12" t="str">
        <f>IF(XT!$P231&gt;0,V231,"")</f>
        <v/>
      </c>
      <c r="X231" s="12" t="str">
        <f>IF(XT!$P231=0,V231,"")</f>
        <v/>
      </c>
      <c r="Y231">
        <f>SUMPRODUCT((MONTH(CHOOSE({1,2,3,4},XT!U231,XT!Y231,XT!AC231,XT!AG231))=7)*(CHOOSE({1,2,3,4},XT!X231,XT!AB231,XT!AF231,XT!AJ231)))</f>
        <v>0</v>
      </c>
      <c r="Z231" t="str">
        <f>IFERROR(INDEX(CHOOSE({1,2,3,4}, DAY(XT!U231), DAY(XT!Y231), DAY(XT!AC231), DAY(XT!AG231)), MATCH(1, INDEX(--(MONTH(CHOOSE({1,2,3,4}, XT!U231,XT!Y231,XT!AC231,XT!AG231))=7), 0), 0)), "")</f>
        <v/>
      </c>
      <c r="AA231" s="12" t="str">
        <f>IF(XT!$P231&gt;0,Z231,"")</f>
        <v/>
      </c>
      <c r="AB231" s="12" t="str">
        <f>IF(XT!$P231=0,Z231,"")</f>
        <v/>
      </c>
      <c r="AC231">
        <f>SUMPRODUCT((MONTH(CHOOSE({1,2,3,4},XT!U231,XT!Y231,XT!AC231,XT!AG231))=8)*(CHOOSE({1,2,3,4},XT!X231,XT!AB231,XT!AF231,XT!AJ231)))</f>
        <v>0</v>
      </c>
      <c r="AD231" t="str">
        <f>IFERROR(INDEX(CHOOSE({1,2,3,4}, DAY(XT!U231), DAY(XT!Y231), DAY(XT!AC231), DAY(XT!AG231)), MATCH(1, INDEX(--(MONTH(CHOOSE({1,2,3,4}, XT!U231,XT!Y231,XT!AC231,XT!AG231))=8), 0), 0)), "")</f>
        <v/>
      </c>
      <c r="AE231" s="12" t="str">
        <f>IF(XT!$P231&gt;0,AD231,"")</f>
        <v/>
      </c>
      <c r="AF231" s="12" t="str">
        <f>IF(XT!$P231=0,AD231,"")</f>
        <v/>
      </c>
      <c r="AG231">
        <f>SUMPRODUCT((MONTH(CHOOSE({1,2,3,4},XT!U231,XT!Y231,XT!AC231,XT!AG231))=9)*(CHOOSE({1,2,3,4},XT!X231,XT!AB231,XT!AF231,XT!AJ231)))</f>
        <v>0</v>
      </c>
      <c r="AH231" t="str">
        <f>IFERROR(INDEX(CHOOSE({1,2,3,4}, DAY(XT!U231), DAY(XT!Y231), DAY(XT!AC231), DAY(XT!AG231)), MATCH(1, INDEX(--(MONTH(CHOOSE({1,2,3,4}, XT!U231,XT!Y231,XT!AC231,XT!AG231))=9), 0), 0)), "")</f>
        <v/>
      </c>
      <c r="AI231" s="12" t="str">
        <f>IF(XT!$P231&gt;0,AH231,"")</f>
        <v/>
      </c>
      <c r="AJ231" s="12" t="str">
        <f>IF(XT!$P231=0,AH231,"")</f>
        <v/>
      </c>
      <c r="AK231">
        <f>SUMPRODUCT((MONTH(CHOOSE({1,2,3,4},XT!U231,XT!Y231,XT!AC231,XT!AG231))=10)*(CHOOSE({1,2,3,4},XT!X231,XT!AB231,XT!AF231,XT!AJ231)))</f>
        <v>0</v>
      </c>
      <c r="AL231" t="str">
        <f>IFERROR(INDEX(CHOOSE({1,2,3,4}, DAY(XT!U231), DAY(XT!Y231), DAY(XT!AC231), DAY(XT!AG231)), MATCH(1, INDEX(--(MONTH(CHOOSE({1,2,3,4}, XT!U231,XT!Y231,XT!AC231,XT!AG231))=10), 0), 0)), "")</f>
        <v/>
      </c>
      <c r="AM231" s="12" t="str">
        <f>IF(XT!$P231&gt;0,AL231,"")</f>
        <v/>
      </c>
      <c r="AN231" s="12" t="str">
        <f>IF(XT!$P231=0,AL231,"")</f>
        <v/>
      </c>
      <c r="AO231">
        <f>SUMPRODUCT((MONTH(CHOOSE({1,2,3,4},XT!U231,XT!Y231,XT!AC231,XT!AG231))=11)*(CHOOSE({1,2,3,4},XT!X231,XT!AB231,XT!AF231,XT!AJ231)))</f>
        <v>0</v>
      </c>
      <c r="AP231" t="str">
        <f>IFERROR(INDEX(CHOOSE({1,2,3,4}, DAY(XT!U231), DAY(XT!Y231), DAY(XT!AC231), DAY(XT!AG231)), MATCH(1, INDEX(--(MONTH(CHOOSE({1,2,3,4}, XT!U231,XT!Y231,XT!AC231,XT!AG231))=11), 0), 0)), "")</f>
        <v/>
      </c>
      <c r="AQ231" s="12" t="str">
        <f>IF(XT!$P231&gt;0,AP231,"")</f>
        <v/>
      </c>
      <c r="AR231" s="12" t="str">
        <f>IF(XT!$P231=0,AP231,"")</f>
        <v/>
      </c>
      <c r="AS231">
        <f>SUMPRODUCT((MONTH(CHOOSE({1,2,3,4},XT!U231,XT!Y231,XT!AC231,XT!AG231))=12)*(CHOOSE({1,2,3,4},XT!X231,XT!AB231,XT!AF231,XT!AJ231)))</f>
        <v>0</v>
      </c>
      <c r="AT231" t="str">
        <f>IFERROR(INDEX(CHOOSE({1,2,3,4}, DAY(XT!U231), DAY(XT!Y231), DAY(XT!AC231), DAY(XT!AG231)), MATCH(1, INDEX(--(MONTH(CHOOSE({1,2,3,4}, XT!U231,XT!Y231,XT!AC231,XT!AG231))=12), 0), 0)), "")</f>
        <v/>
      </c>
      <c r="AU231" s="12" t="str">
        <f>IF(XT!$P231&gt;0,AT231,"")</f>
        <v/>
      </c>
      <c r="AV231" s="12" t="str">
        <f>IF(XT!$P231=0,AT231,"")</f>
        <v/>
      </c>
    </row>
    <row r="232" spans="1:48">
      <c r="A232">
        <f>SUMPRODUCT((MONTH(CHOOSE({1,2,3,4},XT!U232,XT!Y232,XT!AC232,XT!AG232))=1)*(CHOOSE({1,2,3,4},XT!X232,XT!AB232,XT!AF232,XT!AJ232)))</f>
        <v>0</v>
      </c>
      <c r="B232">
        <f>IFERROR(INDEX(CHOOSE({1,2,3,4}, DAY(XT!U232), DAY(XT!Y232), DAY(XT!AC232), DAY(XT!AG232)), MATCH(1, INDEX(--(MONTH(CHOOSE({1,2,3,4}, XT!U232,XT!Y232,XT!AC232,XT!AG232))=1), 0), 0)), "")</f>
        <v>0</v>
      </c>
      <c r="C232" s="12" t="str">
        <f>IF(XT!$P232&gt;0,B232,"")</f>
        <v/>
      </c>
      <c r="D232" s="12">
        <f>IF(XT!$P232=0,B232,"")</f>
        <v>0</v>
      </c>
      <c r="E232">
        <f>SUMPRODUCT((MONTH(CHOOSE({1,2,3,4},XT!U232,XT!Y232,XT!AC232,XT!AG232))=2)*(CHOOSE({1,2,3,4},XT!X232,XT!AB232,XT!AF232,XT!AJ232)))</f>
        <v>0</v>
      </c>
      <c r="F232" t="str">
        <f>IFERROR(INDEX(CHOOSE({1,2,3,4}, DAY(XT!U232), DAY(XT!Y232), DAY(XT!AC232), DAY(XT!AG232)), MATCH(1, INDEX(--(MONTH(CHOOSE({1,2,3,4}, XT!U232,XT!Y232,XT!AC232,XT!AG232))=2), 0), 0)), "")</f>
        <v/>
      </c>
      <c r="G232" s="12" t="str">
        <f>IF(XT!$P232&gt;0,F232,"")</f>
        <v/>
      </c>
      <c r="H232" s="12" t="str">
        <f>IF(XT!$P232=0,F232,"")</f>
        <v/>
      </c>
      <c r="I232">
        <f>SUMPRODUCT((MONTH(CHOOSE({1,2,3,4},XT!U232,XT!Y232,XT!AC232,XT!AG232))=3)*(CHOOSE({1,2,3,4},XT!X232,XT!AB232,XT!AF232,XT!AJ232)))</f>
        <v>0</v>
      </c>
      <c r="J232" t="str">
        <f>IFERROR(INDEX(CHOOSE({1,2,3,4}, DAY(XT!U232), DAY(XT!Y232), DAY(XT!AC232), DAY(XT!AG232)), MATCH(1, INDEX(--(MONTH(CHOOSE({1,2,3,4}, XT!U232,XT!Y232,XT!AC232,XT!AG232))=3), 0), 0)), "")</f>
        <v/>
      </c>
      <c r="K232" s="12" t="str">
        <f>IF(XT!$P232&gt;0,J232,"")</f>
        <v/>
      </c>
      <c r="L232" s="12" t="str">
        <f>IF(XT!$P232=0,J232,"")</f>
        <v/>
      </c>
      <c r="M232">
        <f>SUMPRODUCT((MONTH(CHOOSE({1,2,3,4},XT!U232,XT!Y232,XT!AC232,XT!AG232))=4)*(CHOOSE({1,2,3,4},XT!X232,XT!AB232,XT!AF232,XT!AJ232)))</f>
        <v>0</v>
      </c>
      <c r="N232" t="str">
        <f>IFERROR(INDEX(CHOOSE({1,2,3,4}, DAY(XT!U232), DAY(XT!Y232), DAY(XT!AC232), DAY(XT!AG232)), MATCH(1, INDEX(--(MONTH(CHOOSE({1,2,3,4}, XT!U232,XT!Y232,XT!AC232,XT!AG232))=4), 0), 0)), "")</f>
        <v/>
      </c>
      <c r="O232" s="12" t="str">
        <f>IF(XT!$P232&gt;0,N232,"")</f>
        <v/>
      </c>
      <c r="P232" s="12" t="str">
        <f>IF(XT!$P232=0,N232,"")</f>
        <v/>
      </c>
      <c r="Q232">
        <f>SUMPRODUCT((MONTH(CHOOSE({1,2,3,4},XT!U232,XT!Y232,XT!AC232,XT!AG232))=5)*(CHOOSE({1,2,3,4},XT!X232,XT!AB232,XT!AF232,XT!AJ232)))</f>
        <v>0</v>
      </c>
      <c r="R232" t="str">
        <f>IFERROR(INDEX(CHOOSE({1,2,3,4}, DAY(XT!U232), DAY(XT!Y232), DAY(XT!AC232), DAY(XT!AG232)), MATCH(1, INDEX(--(MONTH(CHOOSE({1,2,3,4}, XT!U232,XT!Y232,XT!AC232,XT!AG232))=5), 0), 0)), "")</f>
        <v/>
      </c>
      <c r="S232" s="12" t="str">
        <f>IF(XT!$P232&gt;0,R232,"")</f>
        <v/>
      </c>
      <c r="T232" s="12" t="str">
        <f>IF(XT!$P232=0,R232,"")</f>
        <v/>
      </c>
      <c r="U232">
        <f>SUMPRODUCT((MONTH(CHOOSE({1,2,3,4},XT!U232,XT!Y232,XT!AC232,XT!AG232))=6)*(CHOOSE({1,2,3,4},XT!X232,XT!AB232,XT!AF232,XT!AJ232)))</f>
        <v>0</v>
      </c>
      <c r="V232" t="str">
        <f>IFERROR(INDEX(CHOOSE({1,2,3,4}, DAY(XT!U232), DAY(XT!Y232), DAY(XT!AC232), DAY(XT!AG232)), MATCH(1, INDEX(--(MONTH(CHOOSE({1,2,3,4}, XT!U232,XT!Y232,XT!AC232,XT!AG232))=6), 0), 0)), "")</f>
        <v/>
      </c>
      <c r="W232" s="12" t="str">
        <f>IF(XT!$P232&gt;0,V232,"")</f>
        <v/>
      </c>
      <c r="X232" s="12" t="str">
        <f>IF(XT!$P232=0,V232,"")</f>
        <v/>
      </c>
      <c r="Y232">
        <f>SUMPRODUCT((MONTH(CHOOSE({1,2,3,4},XT!U232,XT!Y232,XT!AC232,XT!AG232))=7)*(CHOOSE({1,2,3,4},XT!X232,XT!AB232,XT!AF232,XT!AJ232)))</f>
        <v>0</v>
      </c>
      <c r="Z232" t="str">
        <f>IFERROR(INDEX(CHOOSE({1,2,3,4}, DAY(XT!U232), DAY(XT!Y232), DAY(XT!AC232), DAY(XT!AG232)), MATCH(1, INDEX(--(MONTH(CHOOSE({1,2,3,4}, XT!U232,XT!Y232,XT!AC232,XT!AG232))=7), 0), 0)), "")</f>
        <v/>
      </c>
      <c r="AA232" s="12" t="str">
        <f>IF(XT!$P232&gt;0,Z232,"")</f>
        <v/>
      </c>
      <c r="AB232" s="12" t="str">
        <f>IF(XT!$P232=0,Z232,"")</f>
        <v/>
      </c>
      <c r="AC232">
        <f>SUMPRODUCT((MONTH(CHOOSE({1,2,3,4},XT!U232,XT!Y232,XT!AC232,XT!AG232))=8)*(CHOOSE({1,2,3,4},XT!X232,XT!AB232,XT!AF232,XT!AJ232)))</f>
        <v>0</v>
      </c>
      <c r="AD232" t="str">
        <f>IFERROR(INDEX(CHOOSE({1,2,3,4}, DAY(XT!U232), DAY(XT!Y232), DAY(XT!AC232), DAY(XT!AG232)), MATCH(1, INDEX(--(MONTH(CHOOSE({1,2,3,4}, XT!U232,XT!Y232,XT!AC232,XT!AG232))=8), 0), 0)), "")</f>
        <v/>
      </c>
      <c r="AE232" s="12" t="str">
        <f>IF(XT!$P232&gt;0,AD232,"")</f>
        <v/>
      </c>
      <c r="AF232" s="12" t="str">
        <f>IF(XT!$P232=0,AD232,"")</f>
        <v/>
      </c>
      <c r="AG232">
        <f>SUMPRODUCT((MONTH(CHOOSE({1,2,3,4},XT!U232,XT!Y232,XT!AC232,XT!AG232))=9)*(CHOOSE({1,2,3,4},XT!X232,XT!AB232,XT!AF232,XT!AJ232)))</f>
        <v>0</v>
      </c>
      <c r="AH232" t="str">
        <f>IFERROR(INDEX(CHOOSE({1,2,3,4}, DAY(XT!U232), DAY(XT!Y232), DAY(XT!AC232), DAY(XT!AG232)), MATCH(1, INDEX(--(MONTH(CHOOSE({1,2,3,4}, XT!U232,XT!Y232,XT!AC232,XT!AG232))=9), 0), 0)), "")</f>
        <v/>
      </c>
      <c r="AI232" s="12" t="str">
        <f>IF(XT!$P232&gt;0,AH232,"")</f>
        <v/>
      </c>
      <c r="AJ232" s="12" t="str">
        <f>IF(XT!$P232=0,AH232,"")</f>
        <v/>
      </c>
      <c r="AK232">
        <f>SUMPRODUCT((MONTH(CHOOSE({1,2,3,4},XT!U232,XT!Y232,XT!AC232,XT!AG232))=10)*(CHOOSE({1,2,3,4},XT!X232,XT!AB232,XT!AF232,XT!AJ232)))</f>
        <v>0</v>
      </c>
      <c r="AL232" t="str">
        <f>IFERROR(INDEX(CHOOSE({1,2,3,4}, DAY(XT!U232), DAY(XT!Y232), DAY(XT!AC232), DAY(XT!AG232)), MATCH(1, INDEX(--(MONTH(CHOOSE({1,2,3,4}, XT!U232,XT!Y232,XT!AC232,XT!AG232))=10), 0), 0)), "")</f>
        <v/>
      </c>
      <c r="AM232" s="12" t="str">
        <f>IF(XT!$P232&gt;0,AL232,"")</f>
        <v/>
      </c>
      <c r="AN232" s="12" t="str">
        <f>IF(XT!$P232=0,AL232,"")</f>
        <v/>
      </c>
      <c r="AO232">
        <f>SUMPRODUCT((MONTH(CHOOSE({1,2,3,4},XT!U232,XT!Y232,XT!AC232,XT!AG232))=11)*(CHOOSE({1,2,3,4},XT!X232,XT!AB232,XT!AF232,XT!AJ232)))</f>
        <v>0</v>
      </c>
      <c r="AP232" t="str">
        <f>IFERROR(INDEX(CHOOSE({1,2,3,4}, DAY(XT!U232), DAY(XT!Y232), DAY(XT!AC232), DAY(XT!AG232)), MATCH(1, INDEX(--(MONTH(CHOOSE({1,2,3,4}, XT!U232,XT!Y232,XT!AC232,XT!AG232))=11), 0), 0)), "")</f>
        <v/>
      </c>
      <c r="AQ232" s="12" t="str">
        <f>IF(XT!$P232&gt;0,AP232,"")</f>
        <v/>
      </c>
      <c r="AR232" s="12" t="str">
        <f>IF(XT!$P232=0,AP232,"")</f>
        <v/>
      </c>
      <c r="AS232">
        <f>SUMPRODUCT((MONTH(CHOOSE({1,2,3,4},XT!U232,XT!Y232,XT!AC232,XT!AG232))=12)*(CHOOSE({1,2,3,4},XT!X232,XT!AB232,XT!AF232,XT!AJ232)))</f>
        <v>0</v>
      </c>
      <c r="AT232" t="str">
        <f>IFERROR(INDEX(CHOOSE({1,2,3,4}, DAY(XT!U232), DAY(XT!Y232), DAY(XT!AC232), DAY(XT!AG232)), MATCH(1, INDEX(--(MONTH(CHOOSE({1,2,3,4}, XT!U232,XT!Y232,XT!AC232,XT!AG232))=12), 0), 0)), "")</f>
        <v/>
      </c>
      <c r="AU232" s="12" t="str">
        <f>IF(XT!$P232&gt;0,AT232,"")</f>
        <v/>
      </c>
      <c r="AV232" s="12" t="str">
        <f>IF(XT!$P232=0,AT232,"")</f>
        <v/>
      </c>
    </row>
    <row r="233" spans="1:48">
      <c r="A233">
        <f>SUMPRODUCT((MONTH(CHOOSE({1,2,3,4},XT!U233,XT!Y233,XT!AC233,XT!AG233))=1)*(CHOOSE({1,2,3,4},XT!X233,XT!AB233,XT!AF233,XT!AJ233)))</f>
        <v>0</v>
      </c>
      <c r="B233">
        <f>IFERROR(INDEX(CHOOSE({1,2,3,4}, DAY(XT!U233), DAY(XT!Y233), DAY(XT!AC233), DAY(XT!AG233)), MATCH(1, INDEX(--(MONTH(CHOOSE({1,2,3,4}, XT!U233,XT!Y233,XT!AC233,XT!AG233))=1), 0), 0)), "")</f>
        <v>0</v>
      </c>
      <c r="C233" s="12" t="str">
        <f>IF(XT!$P233&gt;0,B233,"")</f>
        <v/>
      </c>
      <c r="D233" s="12">
        <f>IF(XT!$P233=0,B233,"")</f>
        <v>0</v>
      </c>
      <c r="E233">
        <f>SUMPRODUCT((MONTH(CHOOSE({1,2,3,4},XT!U233,XT!Y233,XT!AC233,XT!AG233))=2)*(CHOOSE({1,2,3,4},XT!X233,XT!AB233,XT!AF233,XT!AJ233)))</f>
        <v>0</v>
      </c>
      <c r="F233" t="str">
        <f>IFERROR(INDEX(CHOOSE({1,2,3,4}, DAY(XT!U233), DAY(XT!Y233), DAY(XT!AC233), DAY(XT!AG233)), MATCH(1, INDEX(--(MONTH(CHOOSE({1,2,3,4}, XT!U233,XT!Y233,XT!AC233,XT!AG233))=2), 0), 0)), "")</f>
        <v/>
      </c>
      <c r="G233" s="12" t="str">
        <f>IF(XT!$P233&gt;0,F233,"")</f>
        <v/>
      </c>
      <c r="H233" s="12" t="str">
        <f>IF(XT!$P233=0,F233,"")</f>
        <v/>
      </c>
      <c r="I233">
        <f>SUMPRODUCT((MONTH(CHOOSE({1,2,3,4},XT!U233,XT!Y233,XT!AC233,XT!AG233))=3)*(CHOOSE({1,2,3,4},XT!X233,XT!AB233,XT!AF233,XT!AJ233)))</f>
        <v>0</v>
      </c>
      <c r="J233" t="str">
        <f>IFERROR(INDEX(CHOOSE({1,2,3,4}, DAY(XT!U233), DAY(XT!Y233), DAY(XT!AC233), DAY(XT!AG233)), MATCH(1, INDEX(--(MONTH(CHOOSE({1,2,3,4}, XT!U233,XT!Y233,XT!AC233,XT!AG233))=3), 0), 0)), "")</f>
        <v/>
      </c>
      <c r="K233" s="12" t="str">
        <f>IF(XT!$P233&gt;0,J233,"")</f>
        <v/>
      </c>
      <c r="L233" s="12" t="str">
        <f>IF(XT!$P233=0,J233,"")</f>
        <v/>
      </c>
      <c r="M233">
        <f>SUMPRODUCT((MONTH(CHOOSE({1,2,3,4},XT!U233,XT!Y233,XT!AC233,XT!AG233))=4)*(CHOOSE({1,2,3,4},XT!X233,XT!AB233,XT!AF233,XT!AJ233)))</f>
        <v>0</v>
      </c>
      <c r="N233" t="str">
        <f>IFERROR(INDEX(CHOOSE({1,2,3,4}, DAY(XT!U233), DAY(XT!Y233), DAY(XT!AC233), DAY(XT!AG233)), MATCH(1, INDEX(--(MONTH(CHOOSE({1,2,3,4}, XT!U233,XT!Y233,XT!AC233,XT!AG233))=4), 0), 0)), "")</f>
        <v/>
      </c>
      <c r="O233" s="12" t="str">
        <f>IF(XT!$P233&gt;0,N233,"")</f>
        <v/>
      </c>
      <c r="P233" s="12" t="str">
        <f>IF(XT!$P233=0,N233,"")</f>
        <v/>
      </c>
      <c r="Q233">
        <f>SUMPRODUCT((MONTH(CHOOSE({1,2,3,4},XT!U233,XT!Y233,XT!AC233,XT!AG233))=5)*(CHOOSE({1,2,3,4},XT!X233,XT!AB233,XT!AF233,XT!AJ233)))</f>
        <v>0</v>
      </c>
      <c r="R233" t="str">
        <f>IFERROR(INDEX(CHOOSE({1,2,3,4}, DAY(XT!U233), DAY(XT!Y233), DAY(XT!AC233), DAY(XT!AG233)), MATCH(1, INDEX(--(MONTH(CHOOSE({1,2,3,4}, XT!U233,XT!Y233,XT!AC233,XT!AG233))=5), 0), 0)), "")</f>
        <v/>
      </c>
      <c r="S233" s="12" t="str">
        <f>IF(XT!$P233&gt;0,R233,"")</f>
        <v/>
      </c>
      <c r="T233" s="12" t="str">
        <f>IF(XT!$P233=0,R233,"")</f>
        <v/>
      </c>
      <c r="U233">
        <f>SUMPRODUCT((MONTH(CHOOSE({1,2,3,4},XT!U233,XT!Y233,XT!AC233,XT!AG233))=6)*(CHOOSE({1,2,3,4},XT!X233,XT!AB233,XT!AF233,XT!AJ233)))</f>
        <v>0</v>
      </c>
      <c r="V233" t="str">
        <f>IFERROR(INDEX(CHOOSE({1,2,3,4}, DAY(XT!U233), DAY(XT!Y233), DAY(XT!AC233), DAY(XT!AG233)), MATCH(1, INDEX(--(MONTH(CHOOSE({1,2,3,4}, XT!U233,XT!Y233,XT!AC233,XT!AG233))=6), 0), 0)), "")</f>
        <v/>
      </c>
      <c r="W233" s="12" t="str">
        <f>IF(XT!$P233&gt;0,V233,"")</f>
        <v/>
      </c>
      <c r="X233" s="12" t="str">
        <f>IF(XT!$P233=0,V233,"")</f>
        <v/>
      </c>
      <c r="Y233">
        <f>SUMPRODUCT((MONTH(CHOOSE({1,2,3,4},XT!U233,XT!Y233,XT!AC233,XT!AG233))=7)*(CHOOSE({1,2,3,4},XT!X233,XT!AB233,XT!AF233,XT!AJ233)))</f>
        <v>0</v>
      </c>
      <c r="Z233" t="str">
        <f>IFERROR(INDEX(CHOOSE({1,2,3,4}, DAY(XT!U233), DAY(XT!Y233), DAY(XT!AC233), DAY(XT!AG233)), MATCH(1, INDEX(--(MONTH(CHOOSE({1,2,3,4}, XT!U233,XT!Y233,XT!AC233,XT!AG233))=7), 0), 0)), "")</f>
        <v/>
      </c>
      <c r="AA233" s="12" t="str">
        <f>IF(XT!$P233&gt;0,Z233,"")</f>
        <v/>
      </c>
      <c r="AB233" s="12" t="str">
        <f>IF(XT!$P233=0,Z233,"")</f>
        <v/>
      </c>
      <c r="AC233">
        <f>SUMPRODUCT((MONTH(CHOOSE({1,2,3,4},XT!U233,XT!Y233,XT!AC233,XT!AG233))=8)*(CHOOSE({1,2,3,4},XT!X233,XT!AB233,XT!AF233,XT!AJ233)))</f>
        <v>0</v>
      </c>
      <c r="AD233" t="str">
        <f>IFERROR(INDEX(CHOOSE({1,2,3,4}, DAY(XT!U233), DAY(XT!Y233), DAY(XT!AC233), DAY(XT!AG233)), MATCH(1, INDEX(--(MONTH(CHOOSE({1,2,3,4}, XT!U233,XT!Y233,XT!AC233,XT!AG233))=8), 0), 0)), "")</f>
        <v/>
      </c>
      <c r="AE233" s="12" t="str">
        <f>IF(XT!$P233&gt;0,AD233,"")</f>
        <v/>
      </c>
      <c r="AF233" s="12" t="str">
        <f>IF(XT!$P233=0,AD233,"")</f>
        <v/>
      </c>
      <c r="AG233">
        <f>SUMPRODUCT((MONTH(CHOOSE({1,2,3,4},XT!U233,XT!Y233,XT!AC233,XT!AG233))=9)*(CHOOSE({1,2,3,4},XT!X233,XT!AB233,XT!AF233,XT!AJ233)))</f>
        <v>0</v>
      </c>
      <c r="AH233" t="str">
        <f>IFERROR(INDEX(CHOOSE({1,2,3,4}, DAY(XT!U233), DAY(XT!Y233), DAY(XT!AC233), DAY(XT!AG233)), MATCH(1, INDEX(--(MONTH(CHOOSE({1,2,3,4}, XT!U233,XT!Y233,XT!AC233,XT!AG233))=9), 0), 0)), "")</f>
        <v/>
      </c>
      <c r="AI233" s="12" t="str">
        <f>IF(XT!$P233&gt;0,AH233,"")</f>
        <v/>
      </c>
      <c r="AJ233" s="12" t="str">
        <f>IF(XT!$P233=0,AH233,"")</f>
        <v/>
      </c>
      <c r="AK233">
        <f>SUMPRODUCT((MONTH(CHOOSE({1,2,3,4},XT!U233,XT!Y233,XT!AC233,XT!AG233))=10)*(CHOOSE({1,2,3,4},XT!X233,XT!AB233,XT!AF233,XT!AJ233)))</f>
        <v>0</v>
      </c>
      <c r="AL233" t="str">
        <f>IFERROR(INDEX(CHOOSE({1,2,3,4}, DAY(XT!U233), DAY(XT!Y233), DAY(XT!AC233), DAY(XT!AG233)), MATCH(1, INDEX(--(MONTH(CHOOSE({1,2,3,4}, XT!U233,XT!Y233,XT!AC233,XT!AG233))=10), 0), 0)), "")</f>
        <v/>
      </c>
      <c r="AM233" s="12" t="str">
        <f>IF(XT!$P233&gt;0,AL233,"")</f>
        <v/>
      </c>
      <c r="AN233" s="12" t="str">
        <f>IF(XT!$P233=0,AL233,"")</f>
        <v/>
      </c>
      <c r="AO233">
        <f>SUMPRODUCT((MONTH(CHOOSE({1,2,3,4},XT!U233,XT!Y233,XT!AC233,XT!AG233))=11)*(CHOOSE({1,2,3,4},XT!X233,XT!AB233,XT!AF233,XT!AJ233)))</f>
        <v>0</v>
      </c>
      <c r="AP233" t="str">
        <f>IFERROR(INDEX(CHOOSE({1,2,3,4}, DAY(XT!U233), DAY(XT!Y233), DAY(XT!AC233), DAY(XT!AG233)), MATCH(1, INDEX(--(MONTH(CHOOSE({1,2,3,4}, XT!U233,XT!Y233,XT!AC233,XT!AG233))=11), 0), 0)), "")</f>
        <v/>
      </c>
      <c r="AQ233" s="12" t="str">
        <f>IF(XT!$P233&gt;0,AP233,"")</f>
        <v/>
      </c>
      <c r="AR233" s="12" t="str">
        <f>IF(XT!$P233=0,AP233,"")</f>
        <v/>
      </c>
      <c r="AS233">
        <f>SUMPRODUCT((MONTH(CHOOSE({1,2,3,4},XT!U233,XT!Y233,XT!AC233,XT!AG233))=12)*(CHOOSE({1,2,3,4},XT!X233,XT!AB233,XT!AF233,XT!AJ233)))</f>
        <v>0</v>
      </c>
      <c r="AT233" t="str">
        <f>IFERROR(INDEX(CHOOSE({1,2,3,4}, DAY(XT!U233), DAY(XT!Y233), DAY(XT!AC233), DAY(XT!AG233)), MATCH(1, INDEX(--(MONTH(CHOOSE({1,2,3,4}, XT!U233,XT!Y233,XT!AC233,XT!AG233))=12), 0), 0)), "")</f>
        <v/>
      </c>
      <c r="AU233" s="12" t="str">
        <f>IF(XT!$P233&gt;0,AT233,"")</f>
        <v/>
      </c>
      <c r="AV233" s="12" t="str">
        <f>IF(XT!$P233=0,AT233,"")</f>
        <v/>
      </c>
    </row>
    <row r="234" spans="1:48">
      <c r="A234">
        <f>SUMPRODUCT((MONTH(CHOOSE({1,2,3,4},XT!U234,XT!Y234,XT!AC234,XT!AG234))=1)*(CHOOSE({1,2,3,4},XT!X234,XT!AB234,XT!AF234,XT!AJ234)))</f>
        <v>0</v>
      </c>
      <c r="B234">
        <f>IFERROR(INDEX(CHOOSE({1,2,3,4}, DAY(XT!U234), DAY(XT!Y234), DAY(XT!AC234), DAY(XT!AG234)), MATCH(1, INDEX(--(MONTH(CHOOSE({1,2,3,4}, XT!U234,XT!Y234,XT!AC234,XT!AG234))=1), 0), 0)), "")</f>
        <v>0</v>
      </c>
      <c r="C234" s="12" t="str">
        <f>IF(XT!$P234&gt;0,B234,"")</f>
        <v/>
      </c>
      <c r="D234" s="12">
        <f>IF(XT!$P234=0,B234,"")</f>
        <v>0</v>
      </c>
      <c r="E234">
        <f>SUMPRODUCT((MONTH(CHOOSE({1,2,3,4},XT!U234,XT!Y234,XT!AC234,XT!AG234))=2)*(CHOOSE({1,2,3,4},XT!X234,XT!AB234,XT!AF234,XT!AJ234)))</f>
        <v>0</v>
      </c>
      <c r="F234" t="str">
        <f>IFERROR(INDEX(CHOOSE({1,2,3,4}, DAY(XT!U234), DAY(XT!Y234), DAY(XT!AC234), DAY(XT!AG234)), MATCH(1, INDEX(--(MONTH(CHOOSE({1,2,3,4}, XT!U234,XT!Y234,XT!AC234,XT!AG234))=2), 0), 0)), "")</f>
        <v/>
      </c>
      <c r="G234" s="12" t="str">
        <f>IF(XT!$P234&gt;0,F234,"")</f>
        <v/>
      </c>
      <c r="H234" s="12" t="str">
        <f>IF(XT!$P234=0,F234,"")</f>
        <v/>
      </c>
      <c r="I234">
        <f>SUMPRODUCT((MONTH(CHOOSE({1,2,3,4},XT!U234,XT!Y234,XT!AC234,XT!AG234))=3)*(CHOOSE({1,2,3,4},XT!X234,XT!AB234,XT!AF234,XT!AJ234)))</f>
        <v>0</v>
      </c>
      <c r="J234" t="str">
        <f>IFERROR(INDEX(CHOOSE({1,2,3,4}, DAY(XT!U234), DAY(XT!Y234), DAY(XT!AC234), DAY(XT!AG234)), MATCH(1, INDEX(--(MONTH(CHOOSE({1,2,3,4}, XT!U234,XT!Y234,XT!AC234,XT!AG234))=3), 0), 0)), "")</f>
        <v/>
      </c>
      <c r="K234" s="12" t="str">
        <f>IF(XT!$P234&gt;0,J234,"")</f>
        <v/>
      </c>
      <c r="L234" s="12" t="str">
        <f>IF(XT!$P234=0,J234,"")</f>
        <v/>
      </c>
      <c r="M234">
        <f>SUMPRODUCT((MONTH(CHOOSE({1,2,3,4},XT!U234,XT!Y234,XT!AC234,XT!AG234))=4)*(CHOOSE({1,2,3,4},XT!X234,XT!AB234,XT!AF234,XT!AJ234)))</f>
        <v>0</v>
      </c>
      <c r="N234" t="str">
        <f>IFERROR(INDEX(CHOOSE({1,2,3,4}, DAY(XT!U234), DAY(XT!Y234), DAY(XT!AC234), DAY(XT!AG234)), MATCH(1, INDEX(--(MONTH(CHOOSE({1,2,3,4}, XT!U234,XT!Y234,XT!AC234,XT!AG234))=4), 0), 0)), "")</f>
        <v/>
      </c>
      <c r="O234" s="12" t="str">
        <f>IF(XT!$P234&gt;0,N234,"")</f>
        <v/>
      </c>
      <c r="P234" s="12" t="str">
        <f>IF(XT!$P234=0,N234,"")</f>
        <v/>
      </c>
      <c r="Q234">
        <f>SUMPRODUCT((MONTH(CHOOSE({1,2,3,4},XT!U234,XT!Y234,XT!AC234,XT!AG234))=5)*(CHOOSE({1,2,3,4},XT!X234,XT!AB234,XT!AF234,XT!AJ234)))</f>
        <v>0</v>
      </c>
      <c r="R234" t="str">
        <f>IFERROR(INDEX(CHOOSE({1,2,3,4}, DAY(XT!U234), DAY(XT!Y234), DAY(XT!AC234), DAY(XT!AG234)), MATCH(1, INDEX(--(MONTH(CHOOSE({1,2,3,4}, XT!U234,XT!Y234,XT!AC234,XT!AG234))=5), 0), 0)), "")</f>
        <v/>
      </c>
      <c r="S234" s="12" t="str">
        <f>IF(XT!$P234&gt;0,R234,"")</f>
        <v/>
      </c>
      <c r="T234" s="12" t="str">
        <f>IF(XT!$P234=0,R234,"")</f>
        <v/>
      </c>
      <c r="U234">
        <f>SUMPRODUCT((MONTH(CHOOSE({1,2,3,4},XT!U234,XT!Y234,XT!AC234,XT!AG234))=6)*(CHOOSE({1,2,3,4},XT!X234,XT!AB234,XT!AF234,XT!AJ234)))</f>
        <v>0</v>
      </c>
      <c r="V234" t="str">
        <f>IFERROR(INDEX(CHOOSE({1,2,3,4}, DAY(XT!U234), DAY(XT!Y234), DAY(XT!AC234), DAY(XT!AG234)), MATCH(1, INDEX(--(MONTH(CHOOSE({1,2,3,4}, XT!U234,XT!Y234,XT!AC234,XT!AG234))=6), 0), 0)), "")</f>
        <v/>
      </c>
      <c r="W234" s="12" t="str">
        <f>IF(XT!$P234&gt;0,V234,"")</f>
        <v/>
      </c>
      <c r="X234" s="12" t="str">
        <f>IF(XT!$P234=0,V234,"")</f>
        <v/>
      </c>
      <c r="Y234">
        <f>SUMPRODUCT((MONTH(CHOOSE({1,2,3,4},XT!U234,XT!Y234,XT!AC234,XT!AG234))=7)*(CHOOSE({1,2,3,4},XT!X234,XT!AB234,XT!AF234,XT!AJ234)))</f>
        <v>0</v>
      </c>
      <c r="Z234" t="str">
        <f>IFERROR(INDEX(CHOOSE({1,2,3,4}, DAY(XT!U234), DAY(XT!Y234), DAY(XT!AC234), DAY(XT!AG234)), MATCH(1, INDEX(--(MONTH(CHOOSE({1,2,3,4}, XT!U234,XT!Y234,XT!AC234,XT!AG234))=7), 0), 0)), "")</f>
        <v/>
      </c>
      <c r="AA234" s="12" t="str">
        <f>IF(XT!$P234&gt;0,Z234,"")</f>
        <v/>
      </c>
      <c r="AB234" s="12" t="str">
        <f>IF(XT!$P234=0,Z234,"")</f>
        <v/>
      </c>
      <c r="AC234">
        <f>SUMPRODUCT((MONTH(CHOOSE({1,2,3,4},XT!U234,XT!Y234,XT!AC234,XT!AG234))=8)*(CHOOSE({1,2,3,4},XT!X234,XT!AB234,XT!AF234,XT!AJ234)))</f>
        <v>0</v>
      </c>
      <c r="AD234" t="str">
        <f>IFERROR(INDEX(CHOOSE({1,2,3,4}, DAY(XT!U234), DAY(XT!Y234), DAY(XT!AC234), DAY(XT!AG234)), MATCH(1, INDEX(--(MONTH(CHOOSE({1,2,3,4}, XT!U234,XT!Y234,XT!AC234,XT!AG234))=8), 0), 0)), "")</f>
        <v/>
      </c>
      <c r="AE234" s="12" t="str">
        <f>IF(XT!$P234&gt;0,AD234,"")</f>
        <v/>
      </c>
      <c r="AF234" s="12" t="str">
        <f>IF(XT!$P234=0,AD234,"")</f>
        <v/>
      </c>
      <c r="AG234">
        <f>SUMPRODUCT((MONTH(CHOOSE({1,2,3,4},XT!U234,XT!Y234,XT!AC234,XT!AG234))=9)*(CHOOSE({1,2,3,4},XT!X234,XT!AB234,XT!AF234,XT!AJ234)))</f>
        <v>0</v>
      </c>
      <c r="AH234" t="str">
        <f>IFERROR(INDEX(CHOOSE({1,2,3,4}, DAY(XT!U234), DAY(XT!Y234), DAY(XT!AC234), DAY(XT!AG234)), MATCH(1, INDEX(--(MONTH(CHOOSE({1,2,3,4}, XT!U234,XT!Y234,XT!AC234,XT!AG234))=9), 0), 0)), "")</f>
        <v/>
      </c>
      <c r="AI234" s="12" t="str">
        <f>IF(XT!$P234&gt;0,AH234,"")</f>
        <v/>
      </c>
      <c r="AJ234" s="12" t="str">
        <f>IF(XT!$P234=0,AH234,"")</f>
        <v/>
      </c>
      <c r="AK234">
        <f>SUMPRODUCT((MONTH(CHOOSE({1,2,3,4},XT!U234,XT!Y234,XT!AC234,XT!AG234))=10)*(CHOOSE({1,2,3,4},XT!X234,XT!AB234,XT!AF234,XT!AJ234)))</f>
        <v>0</v>
      </c>
      <c r="AL234" t="str">
        <f>IFERROR(INDEX(CHOOSE({1,2,3,4}, DAY(XT!U234), DAY(XT!Y234), DAY(XT!AC234), DAY(XT!AG234)), MATCH(1, INDEX(--(MONTH(CHOOSE({1,2,3,4}, XT!U234,XT!Y234,XT!AC234,XT!AG234))=10), 0), 0)), "")</f>
        <v/>
      </c>
      <c r="AM234" s="12" t="str">
        <f>IF(XT!$P234&gt;0,AL234,"")</f>
        <v/>
      </c>
      <c r="AN234" s="12" t="str">
        <f>IF(XT!$P234=0,AL234,"")</f>
        <v/>
      </c>
      <c r="AO234">
        <f>SUMPRODUCT((MONTH(CHOOSE({1,2,3,4},XT!U234,XT!Y234,XT!AC234,XT!AG234))=11)*(CHOOSE({1,2,3,4},XT!X234,XT!AB234,XT!AF234,XT!AJ234)))</f>
        <v>0</v>
      </c>
      <c r="AP234" t="str">
        <f>IFERROR(INDEX(CHOOSE({1,2,3,4}, DAY(XT!U234), DAY(XT!Y234), DAY(XT!AC234), DAY(XT!AG234)), MATCH(1, INDEX(--(MONTH(CHOOSE({1,2,3,4}, XT!U234,XT!Y234,XT!AC234,XT!AG234))=11), 0), 0)), "")</f>
        <v/>
      </c>
      <c r="AQ234" s="12" t="str">
        <f>IF(XT!$P234&gt;0,AP234,"")</f>
        <v/>
      </c>
      <c r="AR234" s="12" t="str">
        <f>IF(XT!$P234=0,AP234,"")</f>
        <v/>
      </c>
      <c r="AS234">
        <f>SUMPRODUCT((MONTH(CHOOSE({1,2,3,4},XT!U234,XT!Y234,XT!AC234,XT!AG234))=12)*(CHOOSE({1,2,3,4},XT!X234,XT!AB234,XT!AF234,XT!AJ234)))</f>
        <v>0</v>
      </c>
      <c r="AT234" t="str">
        <f>IFERROR(INDEX(CHOOSE({1,2,3,4}, DAY(XT!U234), DAY(XT!Y234), DAY(XT!AC234), DAY(XT!AG234)), MATCH(1, INDEX(--(MONTH(CHOOSE({1,2,3,4}, XT!U234,XT!Y234,XT!AC234,XT!AG234))=12), 0), 0)), "")</f>
        <v/>
      </c>
      <c r="AU234" s="12" t="str">
        <f>IF(XT!$P234&gt;0,AT234,"")</f>
        <v/>
      </c>
      <c r="AV234" s="12" t="str">
        <f>IF(XT!$P234=0,AT234,"")</f>
        <v/>
      </c>
    </row>
    <row r="235" spans="1:48">
      <c r="A235">
        <f>SUMPRODUCT((MONTH(CHOOSE({1,2,3,4},XT!U235,XT!Y235,XT!AC235,XT!AG235))=1)*(CHOOSE({1,2,3,4},XT!X235,XT!AB235,XT!AF235,XT!AJ235)))</f>
        <v>0</v>
      </c>
      <c r="B235">
        <f>IFERROR(INDEX(CHOOSE({1,2,3,4}, DAY(XT!U235), DAY(XT!Y235), DAY(XT!AC235), DAY(XT!AG235)), MATCH(1, INDEX(--(MONTH(CHOOSE({1,2,3,4}, XT!U235,XT!Y235,XT!AC235,XT!AG235))=1), 0), 0)), "")</f>
        <v>0</v>
      </c>
      <c r="C235" s="12" t="str">
        <f>IF(XT!$P235&gt;0,B235,"")</f>
        <v/>
      </c>
      <c r="D235" s="12">
        <f>IF(XT!$P235=0,B235,"")</f>
        <v>0</v>
      </c>
      <c r="E235">
        <f>SUMPRODUCT((MONTH(CHOOSE({1,2,3,4},XT!U235,XT!Y235,XT!AC235,XT!AG235))=2)*(CHOOSE({1,2,3,4},XT!X235,XT!AB235,XT!AF235,XT!AJ235)))</f>
        <v>0</v>
      </c>
      <c r="F235" t="str">
        <f>IFERROR(INDEX(CHOOSE({1,2,3,4}, DAY(XT!U235), DAY(XT!Y235), DAY(XT!AC235), DAY(XT!AG235)), MATCH(1, INDEX(--(MONTH(CHOOSE({1,2,3,4}, XT!U235,XT!Y235,XT!AC235,XT!AG235))=2), 0), 0)), "")</f>
        <v/>
      </c>
      <c r="G235" s="12" t="str">
        <f>IF(XT!$P235&gt;0,F235,"")</f>
        <v/>
      </c>
      <c r="H235" s="12" t="str">
        <f>IF(XT!$P235=0,F235,"")</f>
        <v/>
      </c>
      <c r="I235">
        <f>SUMPRODUCT((MONTH(CHOOSE({1,2,3,4},XT!U235,XT!Y235,XT!AC235,XT!AG235))=3)*(CHOOSE({1,2,3,4},XT!X235,XT!AB235,XT!AF235,XT!AJ235)))</f>
        <v>0</v>
      </c>
      <c r="J235" t="str">
        <f>IFERROR(INDEX(CHOOSE({1,2,3,4}, DAY(XT!U235), DAY(XT!Y235), DAY(XT!AC235), DAY(XT!AG235)), MATCH(1, INDEX(--(MONTH(CHOOSE({1,2,3,4}, XT!U235,XT!Y235,XT!AC235,XT!AG235))=3), 0), 0)), "")</f>
        <v/>
      </c>
      <c r="K235" s="12" t="str">
        <f>IF(XT!$P235&gt;0,J235,"")</f>
        <v/>
      </c>
      <c r="L235" s="12" t="str">
        <f>IF(XT!$P235=0,J235,"")</f>
        <v/>
      </c>
      <c r="M235">
        <f>SUMPRODUCT((MONTH(CHOOSE({1,2,3,4},XT!U235,XT!Y235,XT!AC235,XT!AG235))=4)*(CHOOSE({1,2,3,4},XT!X235,XT!AB235,XT!AF235,XT!AJ235)))</f>
        <v>0</v>
      </c>
      <c r="N235" t="str">
        <f>IFERROR(INDEX(CHOOSE({1,2,3,4}, DAY(XT!U235), DAY(XT!Y235), DAY(XT!AC235), DAY(XT!AG235)), MATCH(1, INDEX(--(MONTH(CHOOSE({1,2,3,4}, XT!U235,XT!Y235,XT!AC235,XT!AG235))=4), 0), 0)), "")</f>
        <v/>
      </c>
      <c r="O235" s="12" t="str">
        <f>IF(XT!$P235&gt;0,N235,"")</f>
        <v/>
      </c>
      <c r="P235" s="12" t="str">
        <f>IF(XT!$P235=0,N235,"")</f>
        <v/>
      </c>
      <c r="Q235">
        <f>SUMPRODUCT((MONTH(CHOOSE({1,2,3,4},XT!U235,XT!Y235,XT!AC235,XT!AG235))=5)*(CHOOSE({1,2,3,4},XT!X235,XT!AB235,XT!AF235,XT!AJ235)))</f>
        <v>0</v>
      </c>
      <c r="R235" t="str">
        <f>IFERROR(INDEX(CHOOSE({1,2,3,4}, DAY(XT!U235), DAY(XT!Y235), DAY(XT!AC235), DAY(XT!AG235)), MATCH(1, INDEX(--(MONTH(CHOOSE({1,2,3,4}, XT!U235,XT!Y235,XT!AC235,XT!AG235))=5), 0), 0)), "")</f>
        <v/>
      </c>
      <c r="S235" s="12" t="str">
        <f>IF(XT!$P235&gt;0,R235,"")</f>
        <v/>
      </c>
      <c r="T235" s="12" t="str">
        <f>IF(XT!$P235=0,R235,"")</f>
        <v/>
      </c>
      <c r="U235">
        <f>SUMPRODUCT((MONTH(CHOOSE({1,2,3,4},XT!U235,XT!Y235,XT!AC235,XT!AG235))=6)*(CHOOSE({1,2,3,4},XT!X235,XT!AB235,XT!AF235,XT!AJ235)))</f>
        <v>0</v>
      </c>
      <c r="V235" t="str">
        <f>IFERROR(INDEX(CHOOSE({1,2,3,4}, DAY(XT!U235), DAY(XT!Y235), DAY(XT!AC235), DAY(XT!AG235)), MATCH(1, INDEX(--(MONTH(CHOOSE({1,2,3,4}, XT!U235,XT!Y235,XT!AC235,XT!AG235))=6), 0), 0)), "")</f>
        <v/>
      </c>
      <c r="W235" s="12" t="str">
        <f>IF(XT!$P235&gt;0,V235,"")</f>
        <v/>
      </c>
      <c r="X235" s="12" t="str">
        <f>IF(XT!$P235=0,V235,"")</f>
        <v/>
      </c>
      <c r="Y235">
        <f>SUMPRODUCT((MONTH(CHOOSE({1,2,3,4},XT!U235,XT!Y235,XT!AC235,XT!AG235))=7)*(CHOOSE({1,2,3,4},XT!X235,XT!AB235,XT!AF235,XT!AJ235)))</f>
        <v>0</v>
      </c>
      <c r="Z235" t="str">
        <f>IFERROR(INDEX(CHOOSE({1,2,3,4}, DAY(XT!U235), DAY(XT!Y235), DAY(XT!AC235), DAY(XT!AG235)), MATCH(1, INDEX(--(MONTH(CHOOSE({1,2,3,4}, XT!U235,XT!Y235,XT!AC235,XT!AG235))=7), 0), 0)), "")</f>
        <v/>
      </c>
      <c r="AA235" s="12" t="str">
        <f>IF(XT!$P235&gt;0,Z235,"")</f>
        <v/>
      </c>
      <c r="AB235" s="12" t="str">
        <f>IF(XT!$P235=0,Z235,"")</f>
        <v/>
      </c>
      <c r="AC235">
        <f>SUMPRODUCT((MONTH(CHOOSE({1,2,3,4},XT!U235,XT!Y235,XT!AC235,XT!AG235))=8)*(CHOOSE({1,2,3,4},XT!X235,XT!AB235,XT!AF235,XT!AJ235)))</f>
        <v>0</v>
      </c>
      <c r="AD235" t="str">
        <f>IFERROR(INDEX(CHOOSE({1,2,3,4}, DAY(XT!U235), DAY(XT!Y235), DAY(XT!AC235), DAY(XT!AG235)), MATCH(1, INDEX(--(MONTH(CHOOSE({1,2,3,4}, XT!U235,XT!Y235,XT!AC235,XT!AG235))=8), 0), 0)), "")</f>
        <v/>
      </c>
      <c r="AE235" s="12" t="str">
        <f>IF(XT!$P235&gt;0,AD235,"")</f>
        <v/>
      </c>
      <c r="AF235" s="12" t="str">
        <f>IF(XT!$P235=0,AD235,"")</f>
        <v/>
      </c>
      <c r="AG235">
        <f>SUMPRODUCT((MONTH(CHOOSE({1,2,3,4},XT!U235,XT!Y235,XT!AC235,XT!AG235))=9)*(CHOOSE({1,2,3,4},XT!X235,XT!AB235,XT!AF235,XT!AJ235)))</f>
        <v>0</v>
      </c>
      <c r="AH235" t="str">
        <f>IFERROR(INDEX(CHOOSE({1,2,3,4}, DAY(XT!U235), DAY(XT!Y235), DAY(XT!AC235), DAY(XT!AG235)), MATCH(1, INDEX(--(MONTH(CHOOSE({1,2,3,4}, XT!U235,XT!Y235,XT!AC235,XT!AG235))=9), 0), 0)), "")</f>
        <v/>
      </c>
      <c r="AI235" s="12" t="str">
        <f>IF(XT!$P235&gt;0,AH235,"")</f>
        <v/>
      </c>
      <c r="AJ235" s="12" t="str">
        <f>IF(XT!$P235=0,AH235,"")</f>
        <v/>
      </c>
      <c r="AK235">
        <f>SUMPRODUCT((MONTH(CHOOSE({1,2,3,4},XT!U235,XT!Y235,XT!AC235,XT!AG235))=10)*(CHOOSE({1,2,3,4},XT!X235,XT!AB235,XT!AF235,XT!AJ235)))</f>
        <v>0</v>
      </c>
      <c r="AL235" t="str">
        <f>IFERROR(INDEX(CHOOSE({1,2,3,4}, DAY(XT!U235), DAY(XT!Y235), DAY(XT!AC235), DAY(XT!AG235)), MATCH(1, INDEX(--(MONTH(CHOOSE({1,2,3,4}, XT!U235,XT!Y235,XT!AC235,XT!AG235))=10), 0), 0)), "")</f>
        <v/>
      </c>
      <c r="AM235" s="12" t="str">
        <f>IF(XT!$P235&gt;0,AL235,"")</f>
        <v/>
      </c>
      <c r="AN235" s="12" t="str">
        <f>IF(XT!$P235=0,AL235,"")</f>
        <v/>
      </c>
      <c r="AO235">
        <f>SUMPRODUCT((MONTH(CHOOSE({1,2,3,4},XT!U235,XT!Y235,XT!AC235,XT!AG235))=11)*(CHOOSE({1,2,3,4},XT!X235,XT!AB235,XT!AF235,XT!AJ235)))</f>
        <v>0</v>
      </c>
      <c r="AP235" t="str">
        <f>IFERROR(INDEX(CHOOSE({1,2,3,4}, DAY(XT!U235), DAY(XT!Y235), DAY(XT!AC235), DAY(XT!AG235)), MATCH(1, INDEX(--(MONTH(CHOOSE({1,2,3,4}, XT!U235,XT!Y235,XT!AC235,XT!AG235))=11), 0), 0)), "")</f>
        <v/>
      </c>
      <c r="AQ235" s="12" t="str">
        <f>IF(XT!$P235&gt;0,AP235,"")</f>
        <v/>
      </c>
      <c r="AR235" s="12" t="str">
        <f>IF(XT!$P235=0,AP235,"")</f>
        <v/>
      </c>
      <c r="AS235">
        <f>SUMPRODUCT((MONTH(CHOOSE({1,2,3,4},XT!U235,XT!Y235,XT!AC235,XT!AG235))=12)*(CHOOSE({1,2,3,4},XT!X235,XT!AB235,XT!AF235,XT!AJ235)))</f>
        <v>0</v>
      </c>
      <c r="AT235" t="str">
        <f>IFERROR(INDEX(CHOOSE({1,2,3,4}, DAY(XT!U235), DAY(XT!Y235), DAY(XT!AC235), DAY(XT!AG235)), MATCH(1, INDEX(--(MONTH(CHOOSE({1,2,3,4}, XT!U235,XT!Y235,XT!AC235,XT!AG235))=12), 0), 0)), "")</f>
        <v/>
      </c>
      <c r="AU235" s="12" t="str">
        <f>IF(XT!$P235&gt;0,AT235,"")</f>
        <v/>
      </c>
      <c r="AV235" s="12" t="str">
        <f>IF(XT!$P235=0,AT235,"")</f>
        <v/>
      </c>
    </row>
    <row r="236" spans="1:48">
      <c r="A236">
        <f>SUMPRODUCT((MONTH(CHOOSE({1,2,3,4},XT!U236,XT!Y236,XT!AC236,XT!AG236))=1)*(CHOOSE({1,2,3,4},XT!X236,XT!AB236,XT!AF236,XT!AJ236)))</f>
        <v>0</v>
      </c>
      <c r="B236">
        <f>IFERROR(INDEX(CHOOSE({1,2,3,4}, DAY(XT!U236), DAY(XT!Y236), DAY(XT!AC236), DAY(XT!AG236)), MATCH(1, INDEX(--(MONTH(CHOOSE({1,2,3,4}, XT!U236,XT!Y236,XT!AC236,XT!AG236))=1), 0), 0)), "")</f>
        <v>0</v>
      </c>
      <c r="C236" s="12" t="str">
        <f>IF(XT!$P236&gt;0,B236,"")</f>
        <v/>
      </c>
      <c r="D236" s="12">
        <f>IF(XT!$P236=0,B236,"")</f>
        <v>0</v>
      </c>
      <c r="E236">
        <f>SUMPRODUCT((MONTH(CHOOSE({1,2,3,4},XT!U236,XT!Y236,XT!AC236,XT!AG236))=2)*(CHOOSE({1,2,3,4},XT!X236,XT!AB236,XT!AF236,XT!AJ236)))</f>
        <v>0</v>
      </c>
      <c r="F236" t="str">
        <f>IFERROR(INDEX(CHOOSE({1,2,3,4}, DAY(XT!U236), DAY(XT!Y236), DAY(XT!AC236), DAY(XT!AG236)), MATCH(1, INDEX(--(MONTH(CHOOSE({1,2,3,4}, XT!U236,XT!Y236,XT!AC236,XT!AG236))=2), 0), 0)), "")</f>
        <v/>
      </c>
      <c r="G236" s="12" t="str">
        <f>IF(XT!$P236&gt;0,F236,"")</f>
        <v/>
      </c>
      <c r="H236" s="12" t="str">
        <f>IF(XT!$P236=0,F236,"")</f>
        <v/>
      </c>
      <c r="I236">
        <f>SUMPRODUCT((MONTH(CHOOSE({1,2,3,4},XT!U236,XT!Y236,XT!AC236,XT!AG236))=3)*(CHOOSE({1,2,3,4},XT!X236,XT!AB236,XT!AF236,XT!AJ236)))</f>
        <v>0</v>
      </c>
      <c r="J236" t="str">
        <f>IFERROR(INDEX(CHOOSE({1,2,3,4}, DAY(XT!U236), DAY(XT!Y236), DAY(XT!AC236), DAY(XT!AG236)), MATCH(1, INDEX(--(MONTH(CHOOSE({1,2,3,4}, XT!U236,XT!Y236,XT!AC236,XT!AG236))=3), 0), 0)), "")</f>
        <v/>
      </c>
      <c r="K236" s="12" t="str">
        <f>IF(XT!$P236&gt;0,J236,"")</f>
        <v/>
      </c>
      <c r="L236" s="12" t="str">
        <f>IF(XT!$P236=0,J236,"")</f>
        <v/>
      </c>
      <c r="M236">
        <f>SUMPRODUCT((MONTH(CHOOSE({1,2,3,4},XT!U236,XT!Y236,XT!AC236,XT!AG236))=4)*(CHOOSE({1,2,3,4},XT!X236,XT!AB236,XT!AF236,XT!AJ236)))</f>
        <v>0</v>
      </c>
      <c r="N236" t="str">
        <f>IFERROR(INDEX(CHOOSE({1,2,3,4}, DAY(XT!U236), DAY(XT!Y236), DAY(XT!AC236), DAY(XT!AG236)), MATCH(1, INDEX(--(MONTH(CHOOSE({1,2,3,4}, XT!U236,XT!Y236,XT!AC236,XT!AG236))=4), 0), 0)), "")</f>
        <v/>
      </c>
      <c r="O236" s="12" t="str">
        <f>IF(XT!$P236&gt;0,N236,"")</f>
        <v/>
      </c>
      <c r="P236" s="12" t="str">
        <f>IF(XT!$P236=0,N236,"")</f>
        <v/>
      </c>
      <c r="Q236">
        <f>SUMPRODUCT((MONTH(CHOOSE({1,2,3,4},XT!U236,XT!Y236,XT!AC236,XT!AG236))=5)*(CHOOSE({1,2,3,4},XT!X236,XT!AB236,XT!AF236,XT!AJ236)))</f>
        <v>0</v>
      </c>
      <c r="R236" t="str">
        <f>IFERROR(INDEX(CHOOSE({1,2,3,4}, DAY(XT!U236), DAY(XT!Y236), DAY(XT!AC236), DAY(XT!AG236)), MATCH(1, INDEX(--(MONTH(CHOOSE({1,2,3,4}, XT!U236,XT!Y236,XT!AC236,XT!AG236))=5), 0), 0)), "")</f>
        <v/>
      </c>
      <c r="S236" s="12" t="str">
        <f>IF(XT!$P236&gt;0,R236,"")</f>
        <v/>
      </c>
      <c r="T236" s="12" t="str">
        <f>IF(XT!$P236=0,R236,"")</f>
        <v/>
      </c>
      <c r="U236">
        <f>SUMPRODUCT((MONTH(CHOOSE({1,2,3,4},XT!U236,XT!Y236,XT!AC236,XT!AG236))=6)*(CHOOSE({1,2,3,4},XT!X236,XT!AB236,XT!AF236,XT!AJ236)))</f>
        <v>0</v>
      </c>
      <c r="V236" t="str">
        <f>IFERROR(INDEX(CHOOSE({1,2,3,4}, DAY(XT!U236), DAY(XT!Y236), DAY(XT!AC236), DAY(XT!AG236)), MATCH(1, INDEX(--(MONTH(CHOOSE({1,2,3,4}, XT!U236,XT!Y236,XT!AC236,XT!AG236))=6), 0), 0)), "")</f>
        <v/>
      </c>
      <c r="W236" s="12" t="str">
        <f>IF(XT!$P236&gt;0,V236,"")</f>
        <v/>
      </c>
      <c r="X236" s="12" t="str">
        <f>IF(XT!$P236=0,V236,"")</f>
        <v/>
      </c>
      <c r="Y236">
        <f>SUMPRODUCT((MONTH(CHOOSE({1,2,3,4},XT!U236,XT!Y236,XT!AC236,XT!AG236))=7)*(CHOOSE({1,2,3,4},XT!X236,XT!AB236,XT!AF236,XT!AJ236)))</f>
        <v>0</v>
      </c>
      <c r="Z236" t="str">
        <f>IFERROR(INDEX(CHOOSE({1,2,3,4}, DAY(XT!U236), DAY(XT!Y236), DAY(XT!AC236), DAY(XT!AG236)), MATCH(1, INDEX(--(MONTH(CHOOSE({1,2,3,4}, XT!U236,XT!Y236,XT!AC236,XT!AG236))=7), 0), 0)), "")</f>
        <v/>
      </c>
      <c r="AA236" s="12" t="str">
        <f>IF(XT!$P236&gt;0,Z236,"")</f>
        <v/>
      </c>
      <c r="AB236" s="12" t="str">
        <f>IF(XT!$P236=0,Z236,"")</f>
        <v/>
      </c>
      <c r="AC236">
        <f>SUMPRODUCT((MONTH(CHOOSE({1,2,3,4},XT!U236,XT!Y236,XT!AC236,XT!AG236))=8)*(CHOOSE({1,2,3,4},XT!X236,XT!AB236,XT!AF236,XT!AJ236)))</f>
        <v>0</v>
      </c>
      <c r="AD236" t="str">
        <f>IFERROR(INDEX(CHOOSE({1,2,3,4}, DAY(XT!U236), DAY(XT!Y236), DAY(XT!AC236), DAY(XT!AG236)), MATCH(1, INDEX(--(MONTH(CHOOSE({1,2,3,4}, XT!U236,XT!Y236,XT!AC236,XT!AG236))=8), 0), 0)), "")</f>
        <v/>
      </c>
      <c r="AE236" s="12" t="str">
        <f>IF(XT!$P236&gt;0,AD236,"")</f>
        <v/>
      </c>
      <c r="AF236" s="12" t="str">
        <f>IF(XT!$P236=0,AD236,"")</f>
        <v/>
      </c>
      <c r="AG236">
        <f>SUMPRODUCT((MONTH(CHOOSE({1,2,3,4},XT!U236,XT!Y236,XT!AC236,XT!AG236))=9)*(CHOOSE({1,2,3,4},XT!X236,XT!AB236,XT!AF236,XT!AJ236)))</f>
        <v>0</v>
      </c>
      <c r="AH236" t="str">
        <f>IFERROR(INDEX(CHOOSE({1,2,3,4}, DAY(XT!U236), DAY(XT!Y236), DAY(XT!AC236), DAY(XT!AG236)), MATCH(1, INDEX(--(MONTH(CHOOSE({1,2,3,4}, XT!U236,XT!Y236,XT!AC236,XT!AG236))=9), 0), 0)), "")</f>
        <v/>
      </c>
      <c r="AI236" s="12" t="str">
        <f>IF(XT!$P236&gt;0,AH236,"")</f>
        <v/>
      </c>
      <c r="AJ236" s="12" t="str">
        <f>IF(XT!$P236=0,AH236,"")</f>
        <v/>
      </c>
      <c r="AK236">
        <f>SUMPRODUCT((MONTH(CHOOSE({1,2,3,4},XT!U236,XT!Y236,XT!AC236,XT!AG236))=10)*(CHOOSE({1,2,3,4},XT!X236,XT!AB236,XT!AF236,XT!AJ236)))</f>
        <v>0</v>
      </c>
      <c r="AL236" t="str">
        <f>IFERROR(INDEX(CHOOSE({1,2,3,4}, DAY(XT!U236), DAY(XT!Y236), DAY(XT!AC236), DAY(XT!AG236)), MATCH(1, INDEX(--(MONTH(CHOOSE({1,2,3,4}, XT!U236,XT!Y236,XT!AC236,XT!AG236))=10), 0), 0)), "")</f>
        <v/>
      </c>
      <c r="AM236" s="12" t="str">
        <f>IF(XT!$P236&gt;0,AL236,"")</f>
        <v/>
      </c>
      <c r="AN236" s="12" t="str">
        <f>IF(XT!$P236=0,AL236,"")</f>
        <v/>
      </c>
      <c r="AO236">
        <f>SUMPRODUCT((MONTH(CHOOSE({1,2,3,4},XT!U236,XT!Y236,XT!AC236,XT!AG236))=11)*(CHOOSE({1,2,3,4},XT!X236,XT!AB236,XT!AF236,XT!AJ236)))</f>
        <v>0</v>
      </c>
      <c r="AP236" t="str">
        <f>IFERROR(INDEX(CHOOSE({1,2,3,4}, DAY(XT!U236), DAY(XT!Y236), DAY(XT!AC236), DAY(XT!AG236)), MATCH(1, INDEX(--(MONTH(CHOOSE({1,2,3,4}, XT!U236,XT!Y236,XT!AC236,XT!AG236))=11), 0), 0)), "")</f>
        <v/>
      </c>
      <c r="AQ236" s="12" t="str">
        <f>IF(XT!$P236&gt;0,AP236,"")</f>
        <v/>
      </c>
      <c r="AR236" s="12" t="str">
        <f>IF(XT!$P236=0,AP236,"")</f>
        <v/>
      </c>
      <c r="AS236">
        <f>SUMPRODUCT((MONTH(CHOOSE({1,2,3,4},XT!U236,XT!Y236,XT!AC236,XT!AG236))=12)*(CHOOSE({1,2,3,4},XT!X236,XT!AB236,XT!AF236,XT!AJ236)))</f>
        <v>0</v>
      </c>
      <c r="AT236" t="str">
        <f>IFERROR(INDEX(CHOOSE({1,2,3,4}, DAY(XT!U236), DAY(XT!Y236), DAY(XT!AC236), DAY(XT!AG236)), MATCH(1, INDEX(--(MONTH(CHOOSE({1,2,3,4}, XT!U236,XT!Y236,XT!AC236,XT!AG236))=12), 0), 0)), "")</f>
        <v/>
      </c>
      <c r="AU236" s="12" t="str">
        <f>IF(XT!$P236&gt;0,AT236,"")</f>
        <v/>
      </c>
      <c r="AV236" s="12" t="str">
        <f>IF(XT!$P236=0,AT236,"")</f>
        <v/>
      </c>
    </row>
    <row r="237" spans="1:48">
      <c r="A237">
        <f>SUMPRODUCT((MONTH(CHOOSE({1,2,3,4},XT!U237,XT!Y237,XT!AC237,XT!AG237))=1)*(CHOOSE({1,2,3,4},XT!X237,XT!AB237,XT!AF237,XT!AJ237)))</f>
        <v>0</v>
      </c>
      <c r="B237">
        <f>IFERROR(INDEX(CHOOSE({1,2,3,4}, DAY(XT!U237), DAY(XT!Y237), DAY(XT!AC237), DAY(XT!AG237)), MATCH(1, INDEX(--(MONTH(CHOOSE({1,2,3,4}, XT!U237,XT!Y237,XT!AC237,XT!AG237))=1), 0), 0)), "")</f>
        <v>0</v>
      </c>
      <c r="C237" s="12" t="str">
        <f>IF(XT!$P237&gt;0,B237,"")</f>
        <v/>
      </c>
      <c r="D237" s="12">
        <f>IF(XT!$P237=0,B237,"")</f>
        <v>0</v>
      </c>
      <c r="E237">
        <f>SUMPRODUCT((MONTH(CHOOSE({1,2,3,4},XT!U237,XT!Y237,XT!AC237,XT!AG237))=2)*(CHOOSE({1,2,3,4},XT!X237,XT!AB237,XT!AF237,XT!AJ237)))</f>
        <v>0</v>
      </c>
      <c r="F237" t="str">
        <f>IFERROR(INDEX(CHOOSE({1,2,3,4}, DAY(XT!U237), DAY(XT!Y237), DAY(XT!AC237), DAY(XT!AG237)), MATCH(1, INDEX(--(MONTH(CHOOSE({1,2,3,4}, XT!U237,XT!Y237,XT!AC237,XT!AG237))=2), 0), 0)), "")</f>
        <v/>
      </c>
      <c r="G237" s="12" t="str">
        <f>IF(XT!$P237&gt;0,F237,"")</f>
        <v/>
      </c>
      <c r="H237" s="12" t="str">
        <f>IF(XT!$P237=0,F237,"")</f>
        <v/>
      </c>
      <c r="I237">
        <f>SUMPRODUCT((MONTH(CHOOSE({1,2,3,4},XT!U237,XT!Y237,XT!AC237,XT!AG237))=3)*(CHOOSE({1,2,3,4},XT!X237,XT!AB237,XT!AF237,XT!AJ237)))</f>
        <v>0</v>
      </c>
      <c r="J237" t="str">
        <f>IFERROR(INDEX(CHOOSE({1,2,3,4}, DAY(XT!U237), DAY(XT!Y237), DAY(XT!AC237), DAY(XT!AG237)), MATCH(1, INDEX(--(MONTH(CHOOSE({1,2,3,4}, XT!U237,XT!Y237,XT!AC237,XT!AG237))=3), 0), 0)), "")</f>
        <v/>
      </c>
      <c r="K237" s="12" t="str">
        <f>IF(XT!$P237&gt;0,J237,"")</f>
        <v/>
      </c>
      <c r="L237" s="12" t="str">
        <f>IF(XT!$P237=0,J237,"")</f>
        <v/>
      </c>
      <c r="M237">
        <f>SUMPRODUCT((MONTH(CHOOSE({1,2,3,4},XT!U237,XT!Y237,XT!AC237,XT!AG237))=4)*(CHOOSE({1,2,3,4},XT!X237,XT!AB237,XT!AF237,XT!AJ237)))</f>
        <v>0</v>
      </c>
      <c r="N237" t="str">
        <f>IFERROR(INDEX(CHOOSE({1,2,3,4}, DAY(XT!U237), DAY(XT!Y237), DAY(XT!AC237), DAY(XT!AG237)), MATCH(1, INDEX(--(MONTH(CHOOSE({1,2,3,4}, XT!U237,XT!Y237,XT!AC237,XT!AG237))=4), 0), 0)), "")</f>
        <v/>
      </c>
      <c r="O237" s="12" t="str">
        <f>IF(XT!$P237&gt;0,N237,"")</f>
        <v/>
      </c>
      <c r="P237" s="12" t="str">
        <f>IF(XT!$P237=0,N237,"")</f>
        <v/>
      </c>
      <c r="Q237">
        <f>SUMPRODUCT((MONTH(CHOOSE({1,2,3,4},XT!U237,XT!Y237,XT!AC237,XT!AG237))=5)*(CHOOSE({1,2,3,4},XT!X237,XT!AB237,XT!AF237,XT!AJ237)))</f>
        <v>0</v>
      </c>
      <c r="R237" t="str">
        <f>IFERROR(INDEX(CHOOSE({1,2,3,4}, DAY(XT!U237), DAY(XT!Y237), DAY(XT!AC237), DAY(XT!AG237)), MATCH(1, INDEX(--(MONTH(CHOOSE({1,2,3,4}, XT!U237,XT!Y237,XT!AC237,XT!AG237))=5), 0), 0)), "")</f>
        <v/>
      </c>
      <c r="S237" s="12" t="str">
        <f>IF(XT!$P237&gt;0,R237,"")</f>
        <v/>
      </c>
      <c r="T237" s="12" t="str">
        <f>IF(XT!$P237=0,R237,"")</f>
        <v/>
      </c>
      <c r="U237">
        <f>SUMPRODUCT((MONTH(CHOOSE({1,2,3,4},XT!U237,XT!Y237,XT!AC237,XT!AG237))=6)*(CHOOSE({1,2,3,4},XT!X237,XT!AB237,XT!AF237,XT!AJ237)))</f>
        <v>0</v>
      </c>
      <c r="V237" t="str">
        <f>IFERROR(INDEX(CHOOSE({1,2,3,4}, DAY(XT!U237), DAY(XT!Y237), DAY(XT!AC237), DAY(XT!AG237)), MATCH(1, INDEX(--(MONTH(CHOOSE({1,2,3,4}, XT!U237,XT!Y237,XT!AC237,XT!AG237))=6), 0), 0)), "")</f>
        <v/>
      </c>
      <c r="W237" s="12" t="str">
        <f>IF(XT!$P237&gt;0,V237,"")</f>
        <v/>
      </c>
      <c r="X237" s="12" t="str">
        <f>IF(XT!$P237=0,V237,"")</f>
        <v/>
      </c>
      <c r="Y237">
        <f>SUMPRODUCT((MONTH(CHOOSE({1,2,3,4},XT!U237,XT!Y237,XT!AC237,XT!AG237))=7)*(CHOOSE({1,2,3,4},XT!X237,XT!AB237,XT!AF237,XT!AJ237)))</f>
        <v>0</v>
      </c>
      <c r="Z237" t="str">
        <f>IFERROR(INDEX(CHOOSE({1,2,3,4}, DAY(XT!U237), DAY(XT!Y237), DAY(XT!AC237), DAY(XT!AG237)), MATCH(1, INDEX(--(MONTH(CHOOSE({1,2,3,4}, XT!U237,XT!Y237,XT!AC237,XT!AG237))=7), 0), 0)), "")</f>
        <v/>
      </c>
      <c r="AA237" s="12" t="str">
        <f>IF(XT!$P237&gt;0,Z237,"")</f>
        <v/>
      </c>
      <c r="AB237" s="12" t="str">
        <f>IF(XT!$P237=0,Z237,"")</f>
        <v/>
      </c>
      <c r="AC237">
        <f>SUMPRODUCT((MONTH(CHOOSE({1,2,3,4},XT!U237,XT!Y237,XT!AC237,XT!AG237))=8)*(CHOOSE({1,2,3,4},XT!X237,XT!AB237,XT!AF237,XT!AJ237)))</f>
        <v>0</v>
      </c>
      <c r="AD237" t="str">
        <f>IFERROR(INDEX(CHOOSE({1,2,3,4}, DAY(XT!U237), DAY(XT!Y237), DAY(XT!AC237), DAY(XT!AG237)), MATCH(1, INDEX(--(MONTH(CHOOSE({1,2,3,4}, XT!U237,XT!Y237,XT!AC237,XT!AG237))=8), 0), 0)), "")</f>
        <v/>
      </c>
      <c r="AE237" s="12" t="str">
        <f>IF(XT!$P237&gt;0,AD237,"")</f>
        <v/>
      </c>
      <c r="AF237" s="12" t="str">
        <f>IF(XT!$P237=0,AD237,"")</f>
        <v/>
      </c>
      <c r="AG237">
        <f>SUMPRODUCT((MONTH(CHOOSE({1,2,3,4},XT!U237,XT!Y237,XT!AC237,XT!AG237))=9)*(CHOOSE({1,2,3,4},XT!X237,XT!AB237,XT!AF237,XT!AJ237)))</f>
        <v>0</v>
      </c>
      <c r="AH237" t="str">
        <f>IFERROR(INDEX(CHOOSE({1,2,3,4}, DAY(XT!U237), DAY(XT!Y237), DAY(XT!AC237), DAY(XT!AG237)), MATCH(1, INDEX(--(MONTH(CHOOSE({1,2,3,4}, XT!U237,XT!Y237,XT!AC237,XT!AG237))=9), 0), 0)), "")</f>
        <v/>
      </c>
      <c r="AI237" s="12" t="str">
        <f>IF(XT!$P237&gt;0,AH237,"")</f>
        <v/>
      </c>
      <c r="AJ237" s="12" t="str">
        <f>IF(XT!$P237=0,AH237,"")</f>
        <v/>
      </c>
      <c r="AK237">
        <f>SUMPRODUCT((MONTH(CHOOSE({1,2,3,4},XT!U237,XT!Y237,XT!AC237,XT!AG237))=10)*(CHOOSE({1,2,3,4},XT!X237,XT!AB237,XT!AF237,XT!AJ237)))</f>
        <v>0</v>
      </c>
      <c r="AL237" t="str">
        <f>IFERROR(INDEX(CHOOSE({1,2,3,4}, DAY(XT!U237), DAY(XT!Y237), DAY(XT!AC237), DAY(XT!AG237)), MATCH(1, INDEX(--(MONTH(CHOOSE({1,2,3,4}, XT!U237,XT!Y237,XT!AC237,XT!AG237))=10), 0), 0)), "")</f>
        <v/>
      </c>
      <c r="AM237" s="12" t="str">
        <f>IF(XT!$P237&gt;0,AL237,"")</f>
        <v/>
      </c>
      <c r="AN237" s="12" t="str">
        <f>IF(XT!$P237=0,AL237,"")</f>
        <v/>
      </c>
      <c r="AO237">
        <f>SUMPRODUCT((MONTH(CHOOSE({1,2,3,4},XT!U237,XT!Y237,XT!AC237,XT!AG237))=11)*(CHOOSE({1,2,3,4},XT!X237,XT!AB237,XT!AF237,XT!AJ237)))</f>
        <v>0</v>
      </c>
      <c r="AP237" t="str">
        <f>IFERROR(INDEX(CHOOSE({1,2,3,4}, DAY(XT!U237), DAY(XT!Y237), DAY(XT!AC237), DAY(XT!AG237)), MATCH(1, INDEX(--(MONTH(CHOOSE({1,2,3,4}, XT!U237,XT!Y237,XT!AC237,XT!AG237))=11), 0), 0)), "")</f>
        <v/>
      </c>
      <c r="AQ237" s="12" t="str">
        <f>IF(XT!$P237&gt;0,AP237,"")</f>
        <v/>
      </c>
      <c r="AR237" s="12" t="str">
        <f>IF(XT!$P237=0,AP237,"")</f>
        <v/>
      </c>
      <c r="AS237">
        <f>SUMPRODUCT((MONTH(CHOOSE({1,2,3,4},XT!U237,XT!Y237,XT!AC237,XT!AG237))=12)*(CHOOSE({1,2,3,4},XT!X237,XT!AB237,XT!AF237,XT!AJ237)))</f>
        <v>0</v>
      </c>
      <c r="AT237" t="str">
        <f>IFERROR(INDEX(CHOOSE({1,2,3,4}, DAY(XT!U237), DAY(XT!Y237), DAY(XT!AC237), DAY(XT!AG237)), MATCH(1, INDEX(--(MONTH(CHOOSE({1,2,3,4}, XT!U237,XT!Y237,XT!AC237,XT!AG237))=12), 0), 0)), "")</f>
        <v/>
      </c>
      <c r="AU237" s="12" t="str">
        <f>IF(XT!$P237&gt;0,AT237,"")</f>
        <v/>
      </c>
      <c r="AV237" s="12" t="str">
        <f>IF(XT!$P237=0,AT237,"")</f>
        <v/>
      </c>
    </row>
    <row r="238" spans="1:48">
      <c r="A238">
        <f>SUMPRODUCT((MONTH(CHOOSE({1,2,3,4},XT!U238,XT!Y238,XT!AC238,XT!AG238))=1)*(CHOOSE({1,2,3,4},XT!X238,XT!AB238,XT!AF238,XT!AJ238)))</f>
        <v>0</v>
      </c>
      <c r="B238">
        <f>IFERROR(INDEX(CHOOSE({1,2,3,4}, DAY(XT!U238), DAY(XT!Y238), DAY(XT!AC238), DAY(XT!AG238)), MATCH(1, INDEX(--(MONTH(CHOOSE({1,2,3,4}, XT!U238,XT!Y238,XT!AC238,XT!AG238))=1), 0), 0)), "")</f>
        <v>0</v>
      </c>
      <c r="C238" s="12" t="str">
        <f>IF(XT!$P238&gt;0,B238,"")</f>
        <v/>
      </c>
      <c r="D238" s="12">
        <f>IF(XT!$P238=0,B238,"")</f>
        <v>0</v>
      </c>
      <c r="E238">
        <f>SUMPRODUCT((MONTH(CHOOSE({1,2,3,4},XT!U238,XT!Y238,XT!AC238,XT!AG238))=2)*(CHOOSE({1,2,3,4},XT!X238,XT!AB238,XT!AF238,XT!AJ238)))</f>
        <v>0</v>
      </c>
      <c r="F238" t="str">
        <f>IFERROR(INDEX(CHOOSE({1,2,3,4}, DAY(XT!U238), DAY(XT!Y238), DAY(XT!AC238), DAY(XT!AG238)), MATCH(1, INDEX(--(MONTH(CHOOSE({1,2,3,4}, XT!U238,XT!Y238,XT!AC238,XT!AG238))=2), 0), 0)), "")</f>
        <v/>
      </c>
      <c r="G238" s="12" t="str">
        <f>IF(XT!$P238&gt;0,F238,"")</f>
        <v/>
      </c>
      <c r="H238" s="12" t="str">
        <f>IF(XT!$P238=0,F238,"")</f>
        <v/>
      </c>
      <c r="I238">
        <f>SUMPRODUCT((MONTH(CHOOSE({1,2,3,4},XT!U238,XT!Y238,XT!AC238,XT!AG238))=3)*(CHOOSE({1,2,3,4},XT!X238,XT!AB238,XT!AF238,XT!AJ238)))</f>
        <v>0</v>
      </c>
      <c r="J238" t="str">
        <f>IFERROR(INDEX(CHOOSE({1,2,3,4}, DAY(XT!U238), DAY(XT!Y238), DAY(XT!AC238), DAY(XT!AG238)), MATCH(1, INDEX(--(MONTH(CHOOSE({1,2,3,4}, XT!U238,XT!Y238,XT!AC238,XT!AG238))=3), 0), 0)), "")</f>
        <v/>
      </c>
      <c r="K238" s="12" t="str">
        <f>IF(XT!$P238&gt;0,J238,"")</f>
        <v/>
      </c>
      <c r="L238" s="12" t="str">
        <f>IF(XT!$P238=0,J238,"")</f>
        <v/>
      </c>
      <c r="M238">
        <f>SUMPRODUCT((MONTH(CHOOSE({1,2,3,4},XT!U238,XT!Y238,XT!AC238,XT!AG238))=4)*(CHOOSE({1,2,3,4},XT!X238,XT!AB238,XT!AF238,XT!AJ238)))</f>
        <v>0</v>
      </c>
      <c r="N238" t="str">
        <f>IFERROR(INDEX(CHOOSE({1,2,3,4}, DAY(XT!U238), DAY(XT!Y238), DAY(XT!AC238), DAY(XT!AG238)), MATCH(1, INDEX(--(MONTH(CHOOSE({1,2,3,4}, XT!U238,XT!Y238,XT!AC238,XT!AG238))=4), 0), 0)), "")</f>
        <v/>
      </c>
      <c r="O238" s="12" t="str">
        <f>IF(XT!$P238&gt;0,N238,"")</f>
        <v/>
      </c>
      <c r="P238" s="12" t="str">
        <f>IF(XT!$P238=0,N238,"")</f>
        <v/>
      </c>
      <c r="Q238">
        <f>SUMPRODUCT((MONTH(CHOOSE({1,2,3,4},XT!U238,XT!Y238,XT!AC238,XT!AG238))=5)*(CHOOSE({1,2,3,4},XT!X238,XT!AB238,XT!AF238,XT!AJ238)))</f>
        <v>0</v>
      </c>
      <c r="R238" t="str">
        <f>IFERROR(INDEX(CHOOSE({1,2,3,4}, DAY(XT!U238), DAY(XT!Y238), DAY(XT!AC238), DAY(XT!AG238)), MATCH(1, INDEX(--(MONTH(CHOOSE({1,2,3,4}, XT!U238,XT!Y238,XT!AC238,XT!AG238))=5), 0), 0)), "")</f>
        <v/>
      </c>
      <c r="S238" s="12" t="str">
        <f>IF(XT!$P238&gt;0,R238,"")</f>
        <v/>
      </c>
      <c r="T238" s="12" t="str">
        <f>IF(XT!$P238=0,R238,"")</f>
        <v/>
      </c>
      <c r="U238">
        <f>SUMPRODUCT((MONTH(CHOOSE({1,2,3,4},XT!U238,XT!Y238,XT!AC238,XT!AG238))=6)*(CHOOSE({1,2,3,4},XT!X238,XT!AB238,XT!AF238,XT!AJ238)))</f>
        <v>0</v>
      </c>
      <c r="V238" t="str">
        <f>IFERROR(INDEX(CHOOSE({1,2,3,4}, DAY(XT!U238), DAY(XT!Y238), DAY(XT!AC238), DAY(XT!AG238)), MATCH(1, INDEX(--(MONTH(CHOOSE({1,2,3,4}, XT!U238,XT!Y238,XT!AC238,XT!AG238))=6), 0), 0)), "")</f>
        <v/>
      </c>
      <c r="W238" s="12" t="str">
        <f>IF(XT!$P238&gt;0,V238,"")</f>
        <v/>
      </c>
      <c r="X238" s="12" t="str">
        <f>IF(XT!$P238=0,V238,"")</f>
        <v/>
      </c>
      <c r="Y238">
        <f>SUMPRODUCT((MONTH(CHOOSE({1,2,3,4},XT!U238,XT!Y238,XT!AC238,XT!AG238))=7)*(CHOOSE({1,2,3,4},XT!X238,XT!AB238,XT!AF238,XT!AJ238)))</f>
        <v>0</v>
      </c>
      <c r="Z238" t="str">
        <f>IFERROR(INDEX(CHOOSE({1,2,3,4}, DAY(XT!U238), DAY(XT!Y238), DAY(XT!AC238), DAY(XT!AG238)), MATCH(1, INDEX(--(MONTH(CHOOSE({1,2,3,4}, XT!U238,XT!Y238,XT!AC238,XT!AG238))=7), 0), 0)), "")</f>
        <v/>
      </c>
      <c r="AA238" s="12" t="str">
        <f>IF(XT!$P238&gt;0,Z238,"")</f>
        <v/>
      </c>
      <c r="AB238" s="12" t="str">
        <f>IF(XT!$P238=0,Z238,"")</f>
        <v/>
      </c>
      <c r="AC238">
        <f>SUMPRODUCT((MONTH(CHOOSE({1,2,3,4},XT!U238,XT!Y238,XT!AC238,XT!AG238))=8)*(CHOOSE({1,2,3,4},XT!X238,XT!AB238,XT!AF238,XT!AJ238)))</f>
        <v>0</v>
      </c>
      <c r="AD238" t="str">
        <f>IFERROR(INDEX(CHOOSE({1,2,3,4}, DAY(XT!U238), DAY(XT!Y238), DAY(XT!AC238), DAY(XT!AG238)), MATCH(1, INDEX(--(MONTH(CHOOSE({1,2,3,4}, XT!U238,XT!Y238,XT!AC238,XT!AG238))=8), 0), 0)), "")</f>
        <v/>
      </c>
      <c r="AE238" s="12" t="str">
        <f>IF(XT!$P238&gt;0,AD238,"")</f>
        <v/>
      </c>
      <c r="AF238" s="12" t="str">
        <f>IF(XT!$P238=0,AD238,"")</f>
        <v/>
      </c>
      <c r="AG238">
        <f>SUMPRODUCT((MONTH(CHOOSE({1,2,3,4},XT!U238,XT!Y238,XT!AC238,XT!AG238))=9)*(CHOOSE({1,2,3,4},XT!X238,XT!AB238,XT!AF238,XT!AJ238)))</f>
        <v>0</v>
      </c>
      <c r="AH238" t="str">
        <f>IFERROR(INDEX(CHOOSE({1,2,3,4}, DAY(XT!U238), DAY(XT!Y238), DAY(XT!AC238), DAY(XT!AG238)), MATCH(1, INDEX(--(MONTH(CHOOSE({1,2,3,4}, XT!U238,XT!Y238,XT!AC238,XT!AG238))=9), 0), 0)), "")</f>
        <v/>
      </c>
      <c r="AI238" s="12" t="str">
        <f>IF(XT!$P238&gt;0,AH238,"")</f>
        <v/>
      </c>
      <c r="AJ238" s="12" t="str">
        <f>IF(XT!$P238=0,AH238,"")</f>
        <v/>
      </c>
      <c r="AK238">
        <f>SUMPRODUCT((MONTH(CHOOSE({1,2,3,4},XT!U238,XT!Y238,XT!AC238,XT!AG238))=10)*(CHOOSE({1,2,3,4},XT!X238,XT!AB238,XT!AF238,XT!AJ238)))</f>
        <v>0</v>
      </c>
      <c r="AL238" t="str">
        <f>IFERROR(INDEX(CHOOSE({1,2,3,4}, DAY(XT!U238), DAY(XT!Y238), DAY(XT!AC238), DAY(XT!AG238)), MATCH(1, INDEX(--(MONTH(CHOOSE({1,2,3,4}, XT!U238,XT!Y238,XT!AC238,XT!AG238))=10), 0), 0)), "")</f>
        <v/>
      </c>
      <c r="AM238" s="12" t="str">
        <f>IF(XT!$P238&gt;0,AL238,"")</f>
        <v/>
      </c>
      <c r="AN238" s="12" t="str">
        <f>IF(XT!$P238=0,AL238,"")</f>
        <v/>
      </c>
      <c r="AO238">
        <f>SUMPRODUCT((MONTH(CHOOSE({1,2,3,4},XT!U238,XT!Y238,XT!AC238,XT!AG238))=11)*(CHOOSE({1,2,3,4},XT!X238,XT!AB238,XT!AF238,XT!AJ238)))</f>
        <v>0</v>
      </c>
      <c r="AP238" t="str">
        <f>IFERROR(INDEX(CHOOSE({1,2,3,4}, DAY(XT!U238), DAY(XT!Y238), DAY(XT!AC238), DAY(XT!AG238)), MATCH(1, INDEX(--(MONTH(CHOOSE({1,2,3,4}, XT!U238,XT!Y238,XT!AC238,XT!AG238))=11), 0), 0)), "")</f>
        <v/>
      </c>
      <c r="AQ238" s="12" t="str">
        <f>IF(XT!$P238&gt;0,AP238,"")</f>
        <v/>
      </c>
      <c r="AR238" s="12" t="str">
        <f>IF(XT!$P238=0,AP238,"")</f>
        <v/>
      </c>
      <c r="AS238">
        <f>SUMPRODUCT((MONTH(CHOOSE({1,2,3,4},XT!U238,XT!Y238,XT!AC238,XT!AG238))=12)*(CHOOSE({1,2,3,4},XT!X238,XT!AB238,XT!AF238,XT!AJ238)))</f>
        <v>0</v>
      </c>
      <c r="AT238" t="str">
        <f>IFERROR(INDEX(CHOOSE({1,2,3,4}, DAY(XT!U238), DAY(XT!Y238), DAY(XT!AC238), DAY(XT!AG238)), MATCH(1, INDEX(--(MONTH(CHOOSE({1,2,3,4}, XT!U238,XT!Y238,XT!AC238,XT!AG238))=12), 0), 0)), "")</f>
        <v/>
      </c>
      <c r="AU238" s="12" t="str">
        <f>IF(XT!$P238&gt;0,AT238,"")</f>
        <v/>
      </c>
      <c r="AV238" s="12" t="str">
        <f>IF(XT!$P238=0,AT238,"")</f>
        <v/>
      </c>
    </row>
    <row r="239" spans="1:48">
      <c r="A239">
        <f>SUMPRODUCT((MONTH(CHOOSE({1,2,3,4},XT!U239,XT!Y239,XT!AC239,XT!AG239))=1)*(CHOOSE({1,2,3,4},XT!X239,XT!AB239,XT!AF239,XT!AJ239)))</f>
        <v>0</v>
      </c>
      <c r="B239">
        <f>IFERROR(INDEX(CHOOSE({1,2,3,4}, DAY(XT!U239), DAY(XT!Y239), DAY(XT!AC239), DAY(XT!AG239)), MATCH(1, INDEX(--(MONTH(CHOOSE({1,2,3,4}, XT!U239,XT!Y239,XT!AC239,XT!AG239))=1), 0), 0)), "")</f>
        <v>0</v>
      </c>
      <c r="C239" s="12" t="str">
        <f>IF(XT!$P239&gt;0,B239,"")</f>
        <v/>
      </c>
      <c r="D239" s="12">
        <f>IF(XT!$P239=0,B239,"")</f>
        <v>0</v>
      </c>
      <c r="E239">
        <f>SUMPRODUCT((MONTH(CHOOSE({1,2,3,4},XT!U239,XT!Y239,XT!AC239,XT!AG239))=2)*(CHOOSE({1,2,3,4},XT!X239,XT!AB239,XT!AF239,XT!AJ239)))</f>
        <v>0</v>
      </c>
      <c r="F239" t="str">
        <f>IFERROR(INDEX(CHOOSE({1,2,3,4}, DAY(XT!U239), DAY(XT!Y239), DAY(XT!AC239), DAY(XT!AG239)), MATCH(1, INDEX(--(MONTH(CHOOSE({1,2,3,4}, XT!U239,XT!Y239,XT!AC239,XT!AG239))=2), 0), 0)), "")</f>
        <v/>
      </c>
      <c r="G239" s="12" t="str">
        <f>IF(XT!$P239&gt;0,F239,"")</f>
        <v/>
      </c>
      <c r="H239" s="12" t="str">
        <f>IF(XT!$P239=0,F239,"")</f>
        <v/>
      </c>
      <c r="I239">
        <f>SUMPRODUCT((MONTH(CHOOSE({1,2,3,4},XT!U239,XT!Y239,XT!AC239,XT!AG239))=3)*(CHOOSE({1,2,3,4},XT!X239,XT!AB239,XT!AF239,XT!AJ239)))</f>
        <v>0</v>
      </c>
      <c r="J239" t="str">
        <f>IFERROR(INDEX(CHOOSE({1,2,3,4}, DAY(XT!U239), DAY(XT!Y239), DAY(XT!AC239), DAY(XT!AG239)), MATCH(1, INDEX(--(MONTH(CHOOSE({1,2,3,4}, XT!U239,XT!Y239,XT!AC239,XT!AG239))=3), 0), 0)), "")</f>
        <v/>
      </c>
      <c r="K239" s="12" t="str">
        <f>IF(XT!$P239&gt;0,J239,"")</f>
        <v/>
      </c>
      <c r="L239" s="12" t="str">
        <f>IF(XT!$P239=0,J239,"")</f>
        <v/>
      </c>
      <c r="M239">
        <f>SUMPRODUCT((MONTH(CHOOSE({1,2,3,4},XT!U239,XT!Y239,XT!AC239,XT!AG239))=4)*(CHOOSE({1,2,3,4},XT!X239,XT!AB239,XT!AF239,XT!AJ239)))</f>
        <v>0</v>
      </c>
      <c r="N239" t="str">
        <f>IFERROR(INDEX(CHOOSE({1,2,3,4}, DAY(XT!U239), DAY(XT!Y239), DAY(XT!AC239), DAY(XT!AG239)), MATCH(1, INDEX(--(MONTH(CHOOSE({1,2,3,4}, XT!U239,XT!Y239,XT!AC239,XT!AG239))=4), 0), 0)), "")</f>
        <v/>
      </c>
      <c r="O239" s="12" t="str">
        <f>IF(XT!$P239&gt;0,N239,"")</f>
        <v/>
      </c>
      <c r="P239" s="12" t="str">
        <f>IF(XT!$P239=0,N239,"")</f>
        <v/>
      </c>
      <c r="Q239">
        <f>SUMPRODUCT((MONTH(CHOOSE({1,2,3,4},XT!U239,XT!Y239,XT!AC239,XT!AG239))=5)*(CHOOSE({1,2,3,4},XT!X239,XT!AB239,XT!AF239,XT!AJ239)))</f>
        <v>0</v>
      </c>
      <c r="R239" t="str">
        <f>IFERROR(INDEX(CHOOSE({1,2,3,4}, DAY(XT!U239), DAY(XT!Y239), DAY(XT!AC239), DAY(XT!AG239)), MATCH(1, INDEX(--(MONTH(CHOOSE({1,2,3,4}, XT!U239,XT!Y239,XT!AC239,XT!AG239))=5), 0), 0)), "")</f>
        <v/>
      </c>
      <c r="S239" s="12" t="str">
        <f>IF(XT!$P239&gt;0,R239,"")</f>
        <v/>
      </c>
      <c r="T239" s="12" t="str">
        <f>IF(XT!$P239=0,R239,"")</f>
        <v/>
      </c>
      <c r="U239">
        <f>SUMPRODUCT((MONTH(CHOOSE({1,2,3,4},XT!U239,XT!Y239,XT!AC239,XT!AG239))=6)*(CHOOSE({1,2,3,4},XT!X239,XT!AB239,XT!AF239,XT!AJ239)))</f>
        <v>0</v>
      </c>
      <c r="V239" t="str">
        <f>IFERROR(INDEX(CHOOSE({1,2,3,4}, DAY(XT!U239), DAY(XT!Y239), DAY(XT!AC239), DAY(XT!AG239)), MATCH(1, INDEX(--(MONTH(CHOOSE({1,2,3,4}, XT!U239,XT!Y239,XT!AC239,XT!AG239))=6), 0), 0)), "")</f>
        <v/>
      </c>
      <c r="W239" s="12" t="str">
        <f>IF(XT!$P239&gt;0,V239,"")</f>
        <v/>
      </c>
      <c r="X239" s="12" t="str">
        <f>IF(XT!$P239=0,V239,"")</f>
        <v/>
      </c>
      <c r="Y239">
        <f>SUMPRODUCT((MONTH(CHOOSE({1,2,3,4},XT!U239,XT!Y239,XT!AC239,XT!AG239))=7)*(CHOOSE({1,2,3,4},XT!X239,XT!AB239,XT!AF239,XT!AJ239)))</f>
        <v>0</v>
      </c>
      <c r="Z239" t="str">
        <f>IFERROR(INDEX(CHOOSE({1,2,3,4}, DAY(XT!U239), DAY(XT!Y239), DAY(XT!AC239), DAY(XT!AG239)), MATCH(1, INDEX(--(MONTH(CHOOSE({1,2,3,4}, XT!U239,XT!Y239,XT!AC239,XT!AG239))=7), 0), 0)), "")</f>
        <v/>
      </c>
      <c r="AA239" s="12" t="str">
        <f>IF(XT!$P239&gt;0,Z239,"")</f>
        <v/>
      </c>
      <c r="AB239" s="12" t="str">
        <f>IF(XT!$P239=0,Z239,"")</f>
        <v/>
      </c>
      <c r="AC239">
        <f>SUMPRODUCT((MONTH(CHOOSE({1,2,3,4},XT!U239,XT!Y239,XT!AC239,XT!AG239))=8)*(CHOOSE({1,2,3,4},XT!X239,XT!AB239,XT!AF239,XT!AJ239)))</f>
        <v>0</v>
      </c>
      <c r="AD239" t="str">
        <f>IFERROR(INDEX(CHOOSE({1,2,3,4}, DAY(XT!U239), DAY(XT!Y239), DAY(XT!AC239), DAY(XT!AG239)), MATCH(1, INDEX(--(MONTH(CHOOSE({1,2,3,4}, XT!U239,XT!Y239,XT!AC239,XT!AG239))=8), 0), 0)), "")</f>
        <v/>
      </c>
      <c r="AE239" s="12" t="str">
        <f>IF(XT!$P239&gt;0,AD239,"")</f>
        <v/>
      </c>
      <c r="AF239" s="12" t="str">
        <f>IF(XT!$P239=0,AD239,"")</f>
        <v/>
      </c>
      <c r="AG239">
        <f>SUMPRODUCT((MONTH(CHOOSE({1,2,3,4},XT!U239,XT!Y239,XT!AC239,XT!AG239))=9)*(CHOOSE({1,2,3,4},XT!X239,XT!AB239,XT!AF239,XT!AJ239)))</f>
        <v>0</v>
      </c>
      <c r="AH239" t="str">
        <f>IFERROR(INDEX(CHOOSE({1,2,3,4}, DAY(XT!U239), DAY(XT!Y239), DAY(XT!AC239), DAY(XT!AG239)), MATCH(1, INDEX(--(MONTH(CHOOSE({1,2,3,4}, XT!U239,XT!Y239,XT!AC239,XT!AG239))=9), 0), 0)), "")</f>
        <v/>
      </c>
      <c r="AI239" s="12" t="str">
        <f>IF(XT!$P239&gt;0,AH239,"")</f>
        <v/>
      </c>
      <c r="AJ239" s="12" t="str">
        <f>IF(XT!$P239=0,AH239,"")</f>
        <v/>
      </c>
      <c r="AK239">
        <f>SUMPRODUCT((MONTH(CHOOSE({1,2,3,4},XT!U239,XT!Y239,XT!AC239,XT!AG239))=10)*(CHOOSE({1,2,3,4},XT!X239,XT!AB239,XT!AF239,XT!AJ239)))</f>
        <v>0</v>
      </c>
      <c r="AL239" t="str">
        <f>IFERROR(INDEX(CHOOSE({1,2,3,4}, DAY(XT!U239), DAY(XT!Y239), DAY(XT!AC239), DAY(XT!AG239)), MATCH(1, INDEX(--(MONTH(CHOOSE({1,2,3,4}, XT!U239,XT!Y239,XT!AC239,XT!AG239))=10), 0), 0)), "")</f>
        <v/>
      </c>
      <c r="AM239" s="12" t="str">
        <f>IF(XT!$P239&gt;0,AL239,"")</f>
        <v/>
      </c>
      <c r="AN239" s="12" t="str">
        <f>IF(XT!$P239=0,AL239,"")</f>
        <v/>
      </c>
      <c r="AO239">
        <f>SUMPRODUCT((MONTH(CHOOSE({1,2,3,4},XT!U239,XT!Y239,XT!AC239,XT!AG239))=11)*(CHOOSE({1,2,3,4},XT!X239,XT!AB239,XT!AF239,XT!AJ239)))</f>
        <v>0</v>
      </c>
      <c r="AP239" t="str">
        <f>IFERROR(INDEX(CHOOSE({1,2,3,4}, DAY(XT!U239), DAY(XT!Y239), DAY(XT!AC239), DAY(XT!AG239)), MATCH(1, INDEX(--(MONTH(CHOOSE({1,2,3,4}, XT!U239,XT!Y239,XT!AC239,XT!AG239))=11), 0), 0)), "")</f>
        <v/>
      </c>
      <c r="AQ239" s="12" t="str">
        <f>IF(XT!$P239&gt;0,AP239,"")</f>
        <v/>
      </c>
      <c r="AR239" s="12" t="str">
        <f>IF(XT!$P239=0,AP239,"")</f>
        <v/>
      </c>
      <c r="AS239">
        <f>SUMPRODUCT((MONTH(CHOOSE({1,2,3,4},XT!U239,XT!Y239,XT!AC239,XT!AG239))=12)*(CHOOSE({1,2,3,4},XT!X239,XT!AB239,XT!AF239,XT!AJ239)))</f>
        <v>0</v>
      </c>
      <c r="AT239" t="str">
        <f>IFERROR(INDEX(CHOOSE({1,2,3,4}, DAY(XT!U239), DAY(XT!Y239), DAY(XT!AC239), DAY(XT!AG239)), MATCH(1, INDEX(--(MONTH(CHOOSE({1,2,3,4}, XT!U239,XT!Y239,XT!AC239,XT!AG239))=12), 0), 0)), "")</f>
        <v/>
      </c>
      <c r="AU239" s="12" t="str">
        <f>IF(XT!$P239&gt;0,AT239,"")</f>
        <v/>
      </c>
      <c r="AV239" s="12" t="str">
        <f>IF(XT!$P239=0,AT239,"")</f>
        <v/>
      </c>
    </row>
    <row r="240" spans="1:48">
      <c r="A240">
        <f>SUMPRODUCT((MONTH(CHOOSE({1,2,3,4},XT!U240,XT!Y240,XT!AC240,XT!AG240))=1)*(CHOOSE({1,2,3,4},XT!X240,XT!AB240,XT!AF240,XT!AJ240)))</f>
        <v>0</v>
      </c>
      <c r="B240">
        <f>IFERROR(INDEX(CHOOSE({1,2,3,4}, DAY(XT!U240), DAY(XT!Y240), DAY(XT!AC240), DAY(XT!AG240)), MATCH(1, INDEX(--(MONTH(CHOOSE({1,2,3,4}, XT!U240,XT!Y240,XT!AC240,XT!AG240))=1), 0), 0)), "")</f>
        <v>0</v>
      </c>
      <c r="C240" s="12" t="str">
        <f>IF(XT!$P240&gt;0,B240,"")</f>
        <v/>
      </c>
      <c r="D240" s="12">
        <f>IF(XT!$P240=0,B240,"")</f>
        <v>0</v>
      </c>
      <c r="E240">
        <f>SUMPRODUCT((MONTH(CHOOSE({1,2,3,4},XT!U240,XT!Y240,XT!AC240,XT!AG240))=2)*(CHOOSE({1,2,3,4},XT!X240,XT!AB240,XT!AF240,XT!AJ240)))</f>
        <v>0</v>
      </c>
      <c r="F240" t="str">
        <f>IFERROR(INDEX(CHOOSE({1,2,3,4}, DAY(XT!U240), DAY(XT!Y240), DAY(XT!AC240), DAY(XT!AG240)), MATCH(1, INDEX(--(MONTH(CHOOSE({1,2,3,4}, XT!U240,XT!Y240,XT!AC240,XT!AG240))=2), 0), 0)), "")</f>
        <v/>
      </c>
      <c r="G240" s="12" t="str">
        <f>IF(XT!$P240&gt;0,F240,"")</f>
        <v/>
      </c>
      <c r="H240" s="12" t="str">
        <f>IF(XT!$P240=0,F240,"")</f>
        <v/>
      </c>
      <c r="I240">
        <f>SUMPRODUCT((MONTH(CHOOSE({1,2,3,4},XT!U240,XT!Y240,XT!AC240,XT!AG240))=3)*(CHOOSE({1,2,3,4},XT!X240,XT!AB240,XT!AF240,XT!AJ240)))</f>
        <v>0</v>
      </c>
      <c r="J240" t="str">
        <f>IFERROR(INDEX(CHOOSE({1,2,3,4}, DAY(XT!U240), DAY(XT!Y240), DAY(XT!AC240), DAY(XT!AG240)), MATCH(1, INDEX(--(MONTH(CHOOSE({1,2,3,4}, XT!U240,XT!Y240,XT!AC240,XT!AG240))=3), 0), 0)), "")</f>
        <v/>
      </c>
      <c r="K240" s="12" t="str">
        <f>IF(XT!$P240&gt;0,J240,"")</f>
        <v/>
      </c>
      <c r="L240" s="12" t="str">
        <f>IF(XT!$P240=0,J240,"")</f>
        <v/>
      </c>
      <c r="M240">
        <f>SUMPRODUCT((MONTH(CHOOSE({1,2,3,4},XT!U240,XT!Y240,XT!AC240,XT!AG240))=4)*(CHOOSE({1,2,3,4},XT!X240,XT!AB240,XT!AF240,XT!AJ240)))</f>
        <v>0</v>
      </c>
      <c r="N240" t="str">
        <f>IFERROR(INDEX(CHOOSE({1,2,3,4}, DAY(XT!U240), DAY(XT!Y240), DAY(XT!AC240), DAY(XT!AG240)), MATCH(1, INDEX(--(MONTH(CHOOSE({1,2,3,4}, XT!U240,XT!Y240,XT!AC240,XT!AG240))=4), 0), 0)), "")</f>
        <v/>
      </c>
      <c r="O240" s="12" t="str">
        <f>IF(XT!$P240&gt;0,N240,"")</f>
        <v/>
      </c>
      <c r="P240" s="12" t="str">
        <f>IF(XT!$P240=0,N240,"")</f>
        <v/>
      </c>
      <c r="Q240">
        <f>SUMPRODUCT((MONTH(CHOOSE({1,2,3,4},XT!U240,XT!Y240,XT!AC240,XT!AG240))=5)*(CHOOSE({1,2,3,4},XT!X240,XT!AB240,XT!AF240,XT!AJ240)))</f>
        <v>0</v>
      </c>
      <c r="R240" t="str">
        <f>IFERROR(INDEX(CHOOSE({1,2,3,4}, DAY(XT!U240), DAY(XT!Y240), DAY(XT!AC240), DAY(XT!AG240)), MATCH(1, INDEX(--(MONTH(CHOOSE({1,2,3,4}, XT!U240,XT!Y240,XT!AC240,XT!AG240))=5), 0), 0)), "")</f>
        <v/>
      </c>
      <c r="S240" s="12" t="str">
        <f>IF(XT!$P240&gt;0,R240,"")</f>
        <v/>
      </c>
      <c r="T240" s="12" t="str">
        <f>IF(XT!$P240=0,R240,"")</f>
        <v/>
      </c>
      <c r="U240">
        <f>SUMPRODUCT((MONTH(CHOOSE({1,2,3,4},XT!U240,XT!Y240,XT!AC240,XT!AG240))=6)*(CHOOSE({1,2,3,4},XT!X240,XT!AB240,XT!AF240,XT!AJ240)))</f>
        <v>0</v>
      </c>
      <c r="V240" t="str">
        <f>IFERROR(INDEX(CHOOSE({1,2,3,4}, DAY(XT!U240), DAY(XT!Y240), DAY(XT!AC240), DAY(XT!AG240)), MATCH(1, INDEX(--(MONTH(CHOOSE({1,2,3,4}, XT!U240,XT!Y240,XT!AC240,XT!AG240))=6), 0), 0)), "")</f>
        <v/>
      </c>
      <c r="W240" s="12" t="str">
        <f>IF(XT!$P240&gt;0,V240,"")</f>
        <v/>
      </c>
      <c r="X240" s="12" t="str">
        <f>IF(XT!$P240=0,V240,"")</f>
        <v/>
      </c>
      <c r="Y240">
        <f>SUMPRODUCT((MONTH(CHOOSE({1,2,3,4},XT!U240,XT!Y240,XT!AC240,XT!AG240))=7)*(CHOOSE({1,2,3,4},XT!X240,XT!AB240,XT!AF240,XT!AJ240)))</f>
        <v>0</v>
      </c>
      <c r="Z240" t="str">
        <f>IFERROR(INDEX(CHOOSE({1,2,3,4}, DAY(XT!U240), DAY(XT!Y240), DAY(XT!AC240), DAY(XT!AG240)), MATCH(1, INDEX(--(MONTH(CHOOSE({1,2,3,4}, XT!U240,XT!Y240,XT!AC240,XT!AG240))=7), 0), 0)), "")</f>
        <v/>
      </c>
      <c r="AA240" s="12" t="str">
        <f>IF(XT!$P240&gt;0,Z240,"")</f>
        <v/>
      </c>
      <c r="AB240" s="12" t="str">
        <f>IF(XT!$P240=0,Z240,"")</f>
        <v/>
      </c>
      <c r="AC240">
        <f>SUMPRODUCT((MONTH(CHOOSE({1,2,3,4},XT!U240,XT!Y240,XT!AC240,XT!AG240))=8)*(CHOOSE({1,2,3,4},XT!X240,XT!AB240,XT!AF240,XT!AJ240)))</f>
        <v>0</v>
      </c>
      <c r="AD240" t="str">
        <f>IFERROR(INDEX(CHOOSE({1,2,3,4}, DAY(XT!U240), DAY(XT!Y240), DAY(XT!AC240), DAY(XT!AG240)), MATCH(1, INDEX(--(MONTH(CHOOSE({1,2,3,4}, XT!U240,XT!Y240,XT!AC240,XT!AG240))=8), 0), 0)), "")</f>
        <v/>
      </c>
      <c r="AE240" s="12" t="str">
        <f>IF(XT!$P240&gt;0,AD240,"")</f>
        <v/>
      </c>
      <c r="AF240" s="12" t="str">
        <f>IF(XT!$P240=0,AD240,"")</f>
        <v/>
      </c>
      <c r="AG240">
        <f>SUMPRODUCT((MONTH(CHOOSE({1,2,3,4},XT!U240,XT!Y240,XT!AC240,XT!AG240))=9)*(CHOOSE({1,2,3,4},XT!X240,XT!AB240,XT!AF240,XT!AJ240)))</f>
        <v>0</v>
      </c>
      <c r="AH240" t="str">
        <f>IFERROR(INDEX(CHOOSE({1,2,3,4}, DAY(XT!U240), DAY(XT!Y240), DAY(XT!AC240), DAY(XT!AG240)), MATCH(1, INDEX(--(MONTH(CHOOSE({1,2,3,4}, XT!U240,XT!Y240,XT!AC240,XT!AG240))=9), 0), 0)), "")</f>
        <v/>
      </c>
      <c r="AI240" s="12" t="str">
        <f>IF(XT!$P240&gt;0,AH240,"")</f>
        <v/>
      </c>
      <c r="AJ240" s="12" t="str">
        <f>IF(XT!$P240=0,AH240,"")</f>
        <v/>
      </c>
      <c r="AK240">
        <f>SUMPRODUCT((MONTH(CHOOSE({1,2,3,4},XT!U240,XT!Y240,XT!AC240,XT!AG240))=10)*(CHOOSE({1,2,3,4},XT!X240,XT!AB240,XT!AF240,XT!AJ240)))</f>
        <v>0</v>
      </c>
      <c r="AL240" t="str">
        <f>IFERROR(INDEX(CHOOSE({1,2,3,4}, DAY(XT!U240), DAY(XT!Y240), DAY(XT!AC240), DAY(XT!AG240)), MATCH(1, INDEX(--(MONTH(CHOOSE({1,2,3,4}, XT!U240,XT!Y240,XT!AC240,XT!AG240))=10), 0), 0)), "")</f>
        <v/>
      </c>
      <c r="AM240" s="12" t="str">
        <f>IF(XT!$P240&gt;0,AL240,"")</f>
        <v/>
      </c>
      <c r="AN240" s="12" t="str">
        <f>IF(XT!$P240=0,AL240,"")</f>
        <v/>
      </c>
      <c r="AO240">
        <f>SUMPRODUCT((MONTH(CHOOSE({1,2,3,4},XT!U240,XT!Y240,XT!AC240,XT!AG240))=11)*(CHOOSE({1,2,3,4},XT!X240,XT!AB240,XT!AF240,XT!AJ240)))</f>
        <v>0</v>
      </c>
      <c r="AP240" t="str">
        <f>IFERROR(INDEX(CHOOSE({1,2,3,4}, DAY(XT!U240), DAY(XT!Y240), DAY(XT!AC240), DAY(XT!AG240)), MATCH(1, INDEX(--(MONTH(CHOOSE({1,2,3,4}, XT!U240,XT!Y240,XT!AC240,XT!AG240))=11), 0), 0)), "")</f>
        <v/>
      </c>
      <c r="AQ240" s="12" t="str">
        <f>IF(XT!$P240&gt;0,AP240,"")</f>
        <v/>
      </c>
      <c r="AR240" s="12" t="str">
        <f>IF(XT!$P240=0,AP240,"")</f>
        <v/>
      </c>
      <c r="AS240">
        <f>SUMPRODUCT((MONTH(CHOOSE({1,2,3,4},XT!U240,XT!Y240,XT!AC240,XT!AG240))=12)*(CHOOSE({1,2,3,4},XT!X240,XT!AB240,XT!AF240,XT!AJ240)))</f>
        <v>0</v>
      </c>
      <c r="AT240" t="str">
        <f>IFERROR(INDEX(CHOOSE({1,2,3,4}, DAY(XT!U240), DAY(XT!Y240), DAY(XT!AC240), DAY(XT!AG240)), MATCH(1, INDEX(--(MONTH(CHOOSE({1,2,3,4}, XT!U240,XT!Y240,XT!AC240,XT!AG240))=12), 0), 0)), "")</f>
        <v/>
      </c>
      <c r="AU240" s="12" t="str">
        <f>IF(XT!$P240&gt;0,AT240,"")</f>
        <v/>
      </c>
      <c r="AV240" s="12" t="str">
        <f>IF(XT!$P240=0,AT240,"")</f>
        <v/>
      </c>
    </row>
    <row r="241" spans="1:48">
      <c r="A241">
        <f>SUMPRODUCT((MONTH(CHOOSE({1,2,3,4},XT!U241,XT!Y241,XT!AC241,XT!AG241))=1)*(CHOOSE({1,2,3,4},XT!X241,XT!AB241,XT!AF241,XT!AJ241)))</f>
        <v>0</v>
      </c>
      <c r="B241">
        <f>IFERROR(INDEX(CHOOSE({1,2,3,4}, DAY(XT!U241), DAY(XT!Y241), DAY(XT!AC241), DAY(XT!AG241)), MATCH(1, INDEX(--(MONTH(CHOOSE({1,2,3,4}, XT!U241,XT!Y241,XT!AC241,XT!AG241))=1), 0), 0)), "")</f>
        <v>0</v>
      </c>
      <c r="C241" s="12" t="str">
        <f>IF(XT!$P241&gt;0,B241,"")</f>
        <v/>
      </c>
      <c r="D241" s="12">
        <f>IF(XT!$P241=0,B241,"")</f>
        <v>0</v>
      </c>
      <c r="E241">
        <f>SUMPRODUCT((MONTH(CHOOSE({1,2,3,4},XT!U241,XT!Y241,XT!AC241,XT!AG241))=2)*(CHOOSE({1,2,3,4},XT!X241,XT!AB241,XT!AF241,XT!AJ241)))</f>
        <v>0</v>
      </c>
      <c r="F241" t="str">
        <f>IFERROR(INDEX(CHOOSE({1,2,3,4}, DAY(XT!U241), DAY(XT!Y241), DAY(XT!AC241), DAY(XT!AG241)), MATCH(1, INDEX(--(MONTH(CHOOSE({1,2,3,4}, XT!U241,XT!Y241,XT!AC241,XT!AG241))=2), 0), 0)), "")</f>
        <v/>
      </c>
      <c r="G241" s="12" t="str">
        <f>IF(XT!$P241&gt;0,F241,"")</f>
        <v/>
      </c>
      <c r="H241" s="12" t="str">
        <f>IF(XT!$P241=0,F241,"")</f>
        <v/>
      </c>
      <c r="I241">
        <f>SUMPRODUCT((MONTH(CHOOSE({1,2,3,4},XT!U241,XT!Y241,XT!AC241,XT!AG241))=3)*(CHOOSE({1,2,3,4},XT!X241,XT!AB241,XT!AF241,XT!AJ241)))</f>
        <v>0</v>
      </c>
      <c r="J241" t="str">
        <f>IFERROR(INDEX(CHOOSE({1,2,3,4}, DAY(XT!U241), DAY(XT!Y241), DAY(XT!AC241), DAY(XT!AG241)), MATCH(1, INDEX(--(MONTH(CHOOSE({1,2,3,4}, XT!U241,XT!Y241,XT!AC241,XT!AG241))=3), 0), 0)), "")</f>
        <v/>
      </c>
      <c r="K241" s="12" t="str">
        <f>IF(XT!$P241&gt;0,J241,"")</f>
        <v/>
      </c>
      <c r="L241" s="12" t="str">
        <f>IF(XT!$P241=0,J241,"")</f>
        <v/>
      </c>
      <c r="M241">
        <f>SUMPRODUCT((MONTH(CHOOSE({1,2,3,4},XT!U241,XT!Y241,XT!AC241,XT!AG241))=4)*(CHOOSE({1,2,3,4},XT!X241,XT!AB241,XT!AF241,XT!AJ241)))</f>
        <v>0</v>
      </c>
      <c r="N241" t="str">
        <f>IFERROR(INDEX(CHOOSE({1,2,3,4}, DAY(XT!U241), DAY(XT!Y241), DAY(XT!AC241), DAY(XT!AG241)), MATCH(1, INDEX(--(MONTH(CHOOSE({1,2,3,4}, XT!U241,XT!Y241,XT!AC241,XT!AG241))=4), 0), 0)), "")</f>
        <v/>
      </c>
      <c r="O241" s="12" t="str">
        <f>IF(XT!$P241&gt;0,N241,"")</f>
        <v/>
      </c>
      <c r="P241" s="12" t="str">
        <f>IF(XT!$P241=0,N241,"")</f>
        <v/>
      </c>
      <c r="Q241">
        <f>SUMPRODUCT((MONTH(CHOOSE({1,2,3,4},XT!U241,XT!Y241,XT!AC241,XT!AG241))=5)*(CHOOSE({1,2,3,4},XT!X241,XT!AB241,XT!AF241,XT!AJ241)))</f>
        <v>0</v>
      </c>
      <c r="R241" t="str">
        <f>IFERROR(INDEX(CHOOSE({1,2,3,4}, DAY(XT!U241), DAY(XT!Y241), DAY(XT!AC241), DAY(XT!AG241)), MATCH(1, INDEX(--(MONTH(CHOOSE({1,2,3,4}, XT!U241,XT!Y241,XT!AC241,XT!AG241))=5), 0), 0)), "")</f>
        <v/>
      </c>
      <c r="S241" s="12" t="str">
        <f>IF(XT!$P241&gt;0,R241,"")</f>
        <v/>
      </c>
      <c r="T241" s="12" t="str">
        <f>IF(XT!$P241=0,R241,"")</f>
        <v/>
      </c>
      <c r="U241">
        <f>SUMPRODUCT((MONTH(CHOOSE({1,2,3,4},XT!U241,XT!Y241,XT!AC241,XT!AG241))=6)*(CHOOSE({1,2,3,4},XT!X241,XT!AB241,XT!AF241,XT!AJ241)))</f>
        <v>0</v>
      </c>
      <c r="V241" t="str">
        <f>IFERROR(INDEX(CHOOSE({1,2,3,4}, DAY(XT!U241), DAY(XT!Y241), DAY(XT!AC241), DAY(XT!AG241)), MATCH(1, INDEX(--(MONTH(CHOOSE({1,2,3,4}, XT!U241,XT!Y241,XT!AC241,XT!AG241))=6), 0), 0)), "")</f>
        <v/>
      </c>
      <c r="W241" s="12" t="str">
        <f>IF(XT!$P241&gt;0,V241,"")</f>
        <v/>
      </c>
      <c r="X241" s="12" t="str">
        <f>IF(XT!$P241=0,V241,"")</f>
        <v/>
      </c>
      <c r="Y241">
        <f>SUMPRODUCT((MONTH(CHOOSE({1,2,3,4},XT!U241,XT!Y241,XT!AC241,XT!AG241))=7)*(CHOOSE({1,2,3,4},XT!X241,XT!AB241,XT!AF241,XT!AJ241)))</f>
        <v>0</v>
      </c>
      <c r="Z241" t="str">
        <f>IFERROR(INDEX(CHOOSE({1,2,3,4}, DAY(XT!U241), DAY(XT!Y241), DAY(XT!AC241), DAY(XT!AG241)), MATCH(1, INDEX(--(MONTH(CHOOSE({1,2,3,4}, XT!U241,XT!Y241,XT!AC241,XT!AG241))=7), 0), 0)), "")</f>
        <v/>
      </c>
      <c r="AA241" s="12" t="str">
        <f>IF(XT!$P241&gt;0,Z241,"")</f>
        <v/>
      </c>
      <c r="AB241" s="12" t="str">
        <f>IF(XT!$P241=0,Z241,"")</f>
        <v/>
      </c>
      <c r="AC241">
        <f>SUMPRODUCT((MONTH(CHOOSE({1,2,3,4},XT!U241,XT!Y241,XT!AC241,XT!AG241))=8)*(CHOOSE({1,2,3,4},XT!X241,XT!AB241,XT!AF241,XT!AJ241)))</f>
        <v>0</v>
      </c>
      <c r="AD241" t="str">
        <f>IFERROR(INDEX(CHOOSE({1,2,3,4}, DAY(XT!U241), DAY(XT!Y241), DAY(XT!AC241), DAY(XT!AG241)), MATCH(1, INDEX(--(MONTH(CHOOSE({1,2,3,4}, XT!U241,XT!Y241,XT!AC241,XT!AG241))=8), 0), 0)), "")</f>
        <v/>
      </c>
      <c r="AE241" s="12" t="str">
        <f>IF(XT!$P241&gt;0,AD241,"")</f>
        <v/>
      </c>
      <c r="AF241" s="12" t="str">
        <f>IF(XT!$P241=0,AD241,"")</f>
        <v/>
      </c>
      <c r="AG241">
        <f>SUMPRODUCT((MONTH(CHOOSE({1,2,3,4},XT!U241,XT!Y241,XT!AC241,XT!AG241))=9)*(CHOOSE({1,2,3,4},XT!X241,XT!AB241,XT!AF241,XT!AJ241)))</f>
        <v>0</v>
      </c>
      <c r="AH241" t="str">
        <f>IFERROR(INDEX(CHOOSE({1,2,3,4}, DAY(XT!U241), DAY(XT!Y241), DAY(XT!AC241), DAY(XT!AG241)), MATCH(1, INDEX(--(MONTH(CHOOSE({1,2,3,4}, XT!U241,XT!Y241,XT!AC241,XT!AG241))=9), 0), 0)), "")</f>
        <v/>
      </c>
      <c r="AI241" s="12" t="str">
        <f>IF(XT!$P241&gt;0,AH241,"")</f>
        <v/>
      </c>
      <c r="AJ241" s="12" t="str">
        <f>IF(XT!$P241=0,AH241,"")</f>
        <v/>
      </c>
      <c r="AK241">
        <f>SUMPRODUCT((MONTH(CHOOSE({1,2,3,4},XT!U241,XT!Y241,XT!AC241,XT!AG241))=10)*(CHOOSE({1,2,3,4},XT!X241,XT!AB241,XT!AF241,XT!AJ241)))</f>
        <v>0</v>
      </c>
      <c r="AL241" t="str">
        <f>IFERROR(INDEX(CHOOSE({1,2,3,4}, DAY(XT!U241), DAY(XT!Y241), DAY(XT!AC241), DAY(XT!AG241)), MATCH(1, INDEX(--(MONTH(CHOOSE({1,2,3,4}, XT!U241,XT!Y241,XT!AC241,XT!AG241))=10), 0), 0)), "")</f>
        <v/>
      </c>
      <c r="AM241" s="12" t="str">
        <f>IF(XT!$P241&gt;0,AL241,"")</f>
        <v/>
      </c>
      <c r="AN241" s="12" t="str">
        <f>IF(XT!$P241=0,AL241,"")</f>
        <v/>
      </c>
      <c r="AO241">
        <f>SUMPRODUCT((MONTH(CHOOSE({1,2,3,4},XT!U241,XT!Y241,XT!AC241,XT!AG241))=11)*(CHOOSE({1,2,3,4},XT!X241,XT!AB241,XT!AF241,XT!AJ241)))</f>
        <v>0</v>
      </c>
      <c r="AP241" t="str">
        <f>IFERROR(INDEX(CHOOSE({1,2,3,4}, DAY(XT!U241), DAY(XT!Y241), DAY(XT!AC241), DAY(XT!AG241)), MATCH(1, INDEX(--(MONTH(CHOOSE({1,2,3,4}, XT!U241,XT!Y241,XT!AC241,XT!AG241))=11), 0), 0)), "")</f>
        <v/>
      </c>
      <c r="AQ241" s="12" t="str">
        <f>IF(XT!$P241&gt;0,AP241,"")</f>
        <v/>
      </c>
      <c r="AR241" s="12" t="str">
        <f>IF(XT!$P241=0,AP241,"")</f>
        <v/>
      </c>
      <c r="AS241">
        <f>SUMPRODUCT((MONTH(CHOOSE({1,2,3,4},XT!U241,XT!Y241,XT!AC241,XT!AG241))=12)*(CHOOSE({1,2,3,4},XT!X241,XT!AB241,XT!AF241,XT!AJ241)))</f>
        <v>0</v>
      </c>
      <c r="AT241" t="str">
        <f>IFERROR(INDEX(CHOOSE({1,2,3,4}, DAY(XT!U241), DAY(XT!Y241), DAY(XT!AC241), DAY(XT!AG241)), MATCH(1, INDEX(--(MONTH(CHOOSE({1,2,3,4}, XT!U241,XT!Y241,XT!AC241,XT!AG241))=12), 0), 0)), "")</f>
        <v/>
      </c>
      <c r="AU241" s="12" t="str">
        <f>IF(XT!$P241&gt;0,AT241,"")</f>
        <v/>
      </c>
      <c r="AV241" s="12" t="str">
        <f>IF(XT!$P241=0,AT241,"")</f>
        <v/>
      </c>
    </row>
    <row r="242" spans="1:48">
      <c r="A242">
        <f>SUMPRODUCT((MONTH(CHOOSE({1,2,3,4},XT!U242,XT!Y242,XT!AC242,XT!AG242))=1)*(CHOOSE({1,2,3,4},XT!X242,XT!AB242,XT!AF242,XT!AJ242)))</f>
        <v>0</v>
      </c>
      <c r="B242">
        <f>IFERROR(INDEX(CHOOSE({1,2,3,4}, DAY(XT!U242), DAY(XT!Y242), DAY(XT!AC242), DAY(XT!AG242)), MATCH(1, INDEX(--(MONTH(CHOOSE({1,2,3,4}, XT!U242,XT!Y242,XT!AC242,XT!AG242))=1), 0), 0)), "")</f>
        <v>0</v>
      </c>
      <c r="C242" s="12" t="str">
        <f>IF(XT!$P242&gt;0,B242,"")</f>
        <v/>
      </c>
      <c r="D242" s="12">
        <f>IF(XT!$P242=0,B242,"")</f>
        <v>0</v>
      </c>
      <c r="E242">
        <f>SUMPRODUCT((MONTH(CHOOSE({1,2,3,4},XT!U242,XT!Y242,XT!AC242,XT!AG242))=2)*(CHOOSE({1,2,3,4},XT!X242,XT!AB242,XT!AF242,XT!AJ242)))</f>
        <v>0</v>
      </c>
      <c r="F242" t="str">
        <f>IFERROR(INDEX(CHOOSE({1,2,3,4}, DAY(XT!U242), DAY(XT!Y242), DAY(XT!AC242), DAY(XT!AG242)), MATCH(1, INDEX(--(MONTH(CHOOSE({1,2,3,4}, XT!U242,XT!Y242,XT!AC242,XT!AG242))=2), 0), 0)), "")</f>
        <v/>
      </c>
      <c r="G242" s="12" t="str">
        <f>IF(XT!$P242&gt;0,F242,"")</f>
        <v/>
      </c>
      <c r="H242" s="12" t="str">
        <f>IF(XT!$P242=0,F242,"")</f>
        <v/>
      </c>
      <c r="I242">
        <f>SUMPRODUCT((MONTH(CHOOSE({1,2,3,4},XT!U242,XT!Y242,XT!AC242,XT!AG242))=3)*(CHOOSE({1,2,3,4},XT!X242,XT!AB242,XT!AF242,XT!AJ242)))</f>
        <v>0</v>
      </c>
      <c r="J242" t="str">
        <f>IFERROR(INDEX(CHOOSE({1,2,3,4}, DAY(XT!U242), DAY(XT!Y242), DAY(XT!AC242), DAY(XT!AG242)), MATCH(1, INDEX(--(MONTH(CHOOSE({1,2,3,4}, XT!U242,XT!Y242,XT!AC242,XT!AG242))=3), 0), 0)), "")</f>
        <v/>
      </c>
      <c r="K242" s="12" t="str">
        <f>IF(XT!$P242&gt;0,J242,"")</f>
        <v/>
      </c>
      <c r="L242" s="12" t="str">
        <f>IF(XT!$P242=0,J242,"")</f>
        <v/>
      </c>
      <c r="M242">
        <f>SUMPRODUCT((MONTH(CHOOSE({1,2,3,4},XT!U242,XT!Y242,XT!AC242,XT!AG242))=4)*(CHOOSE({1,2,3,4},XT!X242,XT!AB242,XT!AF242,XT!AJ242)))</f>
        <v>0</v>
      </c>
      <c r="N242" t="str">
        <f>IFERROR(INDEX(CHOOSE({1,2,3,4}, DAY(XT!U242), DAY(XT!Y242), DAY(XT!AC242), DAY(XT!AG242)), MATCH(1, INDEX(--(MONTH(CHOOSE({1,2,3,4}, XT!U242,XT!Y242,XT!AC242,XT!AG242))=4), 0), 0)), "")</f>
        <v/>
      </c>
      <c r="O242" s="12" t="str">
        <f>IF(XT!$P242&gt;0,N242,"")</f>
        <v/>
      </c>
      <c r="P242" s="12" t="str">
        <f>IF(XT!$P242=0,N242,"")</f>
        <v/>
      </c>
      <c r="Q242">
        <f>SUMPRODUCT((MONTH(CHOOSE({1,2,3,4},XT!U242,XT!Y242,XT!AC242,XT!AG242))=5)*(CHOOSE({1,2,3,4},XT!X242,XT!AB242,XT!AF242,XT!AJ242)))</f>
        <v>0</v>
      </c>
      <c r="R242" t="str">
        <f>IFERROR(INDEX(CHOOSE({1,2,3,4}, DAY(XT!U242), DAY(XT!Y242), DAY(XT!AC242), DAY(XT!AG242)), MATCH(1, INDEX(--(MONTH(CHOOSE({1,2,3,4}, XT!U242,XT!Y242,XT!AC242,XT!AG242))=5), 0), 0)), "")</f>
        <v/>
      </c>
      <c r="S242" s="12" t="str">
        <f>IF(XT!$P242&gt;0,R242,"")</f>
        <v/>
      </c>
      <c r="T242" s="12" t="str">
        <f>IF(XT!$P242=0,R242,"")</f>
        <v/>
      </c>
      <c r="U242">
        <f>SUMPRODUCT((MONTH(CHOOSE({1,2,3,4},XT!U242,XT!Y242,XT!AC242,XT!AG242))=6)*(CHOOSE({1,2,3,4},XT!X242,XT!AB242,XT!AF242,XT!AJ242)))</f>
        <v>0</v>
      </c>
      <c r="V242" t="str">
        <f>IFERROR(INDEX(CHOOSE({1,2,3,4}, DAY(XT!U242), DAY(XT!Y242), DAY(XT!AC242), DAY(XT!AG242)), MATCH(1, INDEX(--(MONTH(CHOOSE({1,2,3,4}, XT!U242,XT!Y242,XT!AC242,XT!AG242))=6), 0), 0)), "")</f>
        <v/>
      </c>
      <c r="W242" s="12" t="str">
        <f>IF(XT!$P242&gt;0,V242,"")</f>
        <v/>
      </c>
      <c r="X242" s="12" t="str">
        <f>IF(XT!$P242=0,V242,"")</f>
        <v/>
      </c>
      <c r="Y242">
        <f>SUMPRODUCT((MONTH(CHOOSE({1,2,3,4},XT!U242,XT!Y242,XT!AC242,XT!AG242))=7)*(CHOOSE({1,2,3,4},XT!X242,XT!AB242,XT!AF242,XT!AJ242)))</f>
        <v>0</v>
      </c>
      <c r="Z242" t="str">
        <f>IFERROR(INDEX(CHOOSE({1,2,3,4}, DAY(XT!U242), DAY(XT!Y242), DAY(XT!AC242), DAY(XT!AG242)), MATCH(1, INDEX(--(MONTH(CHOOSE({1,2,3,4}, XT!U242,XT!Y242,XT!AC242,XT!AG242))=7), 0), 0)), "")</f>
        <v/>
      </c>
      <c r="AA242" s="12" t="str">
        <f>IF(XT!$P242&gt;0,Z242,"")</f>
        <v/>
      </c>
      <c r="AB242" s="12" t="str">
        <f>IF(XT!$P242=0,Z242,"")</f>
        <v/>
      </c>
      <c r="AC242">
        <f>SUMPRODUCT((MONTH(CHOOSE({1,2,3,4},XT!U242,XT!Y242,XT!AC242,XT!AG242))=8)*(CHOOSE({1,2,3,4},XT!X242,XT!AB242,XT!AF242,XT!AJ242)))</f>
        <v>0</v>
      </c>
      <c r="AD242" t="str">
        <f>IFERROR(INDEX(CHOOSE({1,2,3,4}, DAY(XT!U242), DAY(XT!Y242), DAY(XT!AC242), DAY(XT!AG242)), MATCH(1, INDEX(--(MONTH(CHOOSE({1,2,3,4}, XT!U242,XT!Y242,XT!AC242,XT!AG242))=8), 0), 0)), "")</f>
        <v/>
      </c>
      <c r="AE242" s="12" t="str">
        <f>IF(XT!$P242&gt;0,AD242,"")</f>
        <v/>
      </c>
      <c r="AF242" s="12" t="str">
        <f>IF(XT!$P242=0,AD242,"")</f>
        <v/>
      </c>
      <c r="AG242">
        <f>SUMPRODUCT((MONTH(CHOOSE({1,2,3,4},XT!U242,XT!Y242,XT!AC242,XT!AG242))=9)*(CHOOSE({1,2,3,4},XT!X242,XT!AB242,XT!AF242,XT!AJ242)))</f>
        <v>0</v>
      </c>
      <c r="AH242" t="str">
        <f>IFERROR(INDEX(CHOOSE({1,2,3,4}, DAY(XT!U242), DAY(XT!Y242), DAY(XT!AC242), DAY(XT!AG242)), MATCH(1, INDEX(--(MONTH(CHOOSE({1,2,3,4}, XT!U242,XT!Y242,XT!AC242,XT!AG242))=9), 0), 0)), "")</f>
        <v/>
      </c>
      <c r="AI242" s="12" t="str">
        <f>IF(XT!$P242&gt;0,AH242,"")</f>
        <v/>
      </c>
      <c r="AJ242" s="12" t="str">
        <f>IF(XT!$P242=0,AH242,"")</f>
        <v/>
      </c>
      <c r="AK242">
        <f>SUMPRODUCT((MONTH(CHOOSE({1,2,3,4},XT!U242,XT!Y242,XT!AC242,XT!AG242))=10)*(CHOOSE({1,2,3,4},XT!X242,XT!AB242,XT!AF242,XT!AJ242)))</f>
        <v>0</v>
      </c>
      <c r="AL242" t="str">
        <f>IFERROR(INDEX(CHOOSE({1,2,3,4}, DAY(XT!U242), DAY(XT!Y242), DAY(XT!AC242), DAY(XT!AG242)), MATCH(1, INDEX(--(MONTH(CHOOSE({1,2,3,4}, XT!U242,XT!Y242,XT!AC242,XT!AG242))=10), 0), 0)), "")</f>
        <v/>
      </c>
      <c r="AM242" s="12" t="str">
        <f>IF(XT!$P242&gt;0,AL242,"")</f>
        <v/>
      </c>
      <c r="AN242" s="12" t="str">
        <f>IF(XT!$P242=0,AL242,"")</f>
        <v/>
      </c>
      <c r="AO242">
        <f>SUMPRODUCT((MONTH(CHOOSE({1,2,3,4},XT!U242,XT!Y242,XT!AC242,XT!AG242))=11)*(CHOOSE({1,2,3,4},XT!X242,XT!AB242,XT!AF242,XT!AJ242)))</f>
        <v>0</v>
      </c>
      <c r="AP242" t="str">
        <f>IFERROR(INDEX(CHOOSE({1,2,3,4}, DAY(XT!U242), DAY(XT!Y242), DAY(XT!AC242), DAY(XT!AG242)), MATCH(1, INDEX(--(MONTH(CHOOSE({1,2,3,4}, XT!U242,XT!Y242,XT!AC242,XT!AG242))=11), 0), 0)), "")</f>
        <v/>
      </c>
      <c r="AQ242" s="12" t="str">
        <f>IF(XT!$P242&gt;0,AP242,"")</f>
        <v/>
      </c>
      <c r="AR242" s="12" t="str">
        <f>IF(XT!$P242=0,AP242,"")</f>
        <v/>
      </c>
      <c r="AS242">
        <f>SUMPRODUCT((MONTH(CHOOSE({1,2,3,4},XT!U242,XT!Y242,XT!AC242,XT!AG242))=12)*(CHOOSE({1,2,3,4},XT!X242,XT!AB242,XT!AF242,XT!AJ242)))</f>
        <v>0</v>
      </c>
      <c r="AT242" t="str">
        <f>IFERROR(INDEX(CHOOSE({1,2,3,4}, DAY(XT!U242), DAY(XT!Y242), DAY(XT!AC242), DAY(XT!AG242)), MATCH(1, INDEX(--(MONTH(CHOOSE({1,2,3,4}, XT!U242,XT!Y242,XT!AC242,XT!AG242))=12), 0), 0)), "")</f>
        <v/>
      </c>
      <c r="AU242" s="12" t="str">
        <f>IF(XT!$P242&gt;0,AT242,"")</f>
        <v/>
      </c>
      <c r="AV242" s="12" t="str">
        <f>IF(XT!$P242=0,AT242,"")</f>
        <v/>
      </c>
    </row>
    <row r="243" spans="1:48">
      <c r="A243">
        <f>SUMPRODUCT((MONTH(CHOOSE({1,2,3,4},XT!U243,XT!Y243,XT!AC243,XT!AG243))=1)*(CHOOSE({1,2,3,4},XT!X243,XT!AB243,XT!AF243,XT!AJ243)))</f>
        <v>0</v>
      </c>
      <c r="B243">
        <f>IFERROR(INDEX(CHOOSE({1,2,3,4}, DAY(XT!U243), DAY(XT!Y243), DAY(XT!AC243), DAY(XT!AG243)), MATCH(1, INDEX(--(MONTH(CHOOSE({1,2,3,4}, XT!U243,XT!Y243,XT!AC243,XT!AG243))=1), 0), 0)), "")</f>
        <v>0</v>
      </c>
      <c r="C243" s="12" t="str">
        <f>IF(XT!$P243&gt;0,B243,"")</f>
        <v/>
      </c>
      <c r="D243" s="12">
        <f>IF(XT!$P243=0,B243,"")</f>
        <v>0</v>
      </c>
      <c r="E243">
        <f>SUMPRODUCT((MONTH(CHOOSE({1,2,3,4},XT!U243,XT!Y243,XT!AC243,XT!AG243))=2)*(CHOOSE({1,2,3,4},XT!X243,XT!AB243,XT!AF243,XT!AJ243)))</f>
        <v>0</v>
      </c>
      <c r="F243" t="str">
        <f>IFERROR(INDEX(CHOOSE({1,2,3,4}, DAY(XT!U243), DAY(XT!Y243), DAY(XT!AC243), DAY(XT!AG243)), MATCH(1, INDEX(--(MONTH(CHOOSE({1,2,3,4}, XT!U243,XT!Y243,XT!AC243,XT!AG243))=2), 0), 0)), "")</f>
        <v/>
      </c>
      <c r="G243" s="12" t="str">
        <f>IF(XT!$P243&gt;0,F243,"")</f>
        <v/>
      </c>
      <c r="H243" s="12" t="str">
        <f>IF(XT!$P243=0,F243,"")</f>
        <v/>
      </c>
      <c r="I243">
        <f>SUMPRODUCT((MONTH(CHOOSE({1,2,3,4},XT!U243,XT!Y243,XT!AC243,XT!AG243))=3)*(CHOOSE({1,2,3,4},XT!X243,XT!AB243,XT!AF243,XT!AJ243)))</f>
        <v>0</v>
      </c>
      <c r="J243" t="str">
        <f>IFERROR(INDEX(CHOOSE({1,2,3,4}, DAY(XT!U243), DAY(XT!Y243), DAY(XT!AC243), DAY(XT!AG243)), MATCH(1, INDEX(--(MONTH(CHOOSE({1,2,3,4}, XT!U243,XT!Y243,XT!AC243,XT!AG243))=3), 0), 0)), "")</f>
        <v/>
      </c>
      <c r="K243" s="12" t="str">
        <f>IF(XT!$P243&gt;0,J243,"")</f>
        <v/>
      </c>
      <c r="L243" s="12" t="str">
        <f>IF(XT!$P243=0,J243,"")</f>
        <v/>
      </c>
      <c r="M243">
        <f>SUMPRODUCT((MONTH(CHOOSE({1,2,3,4},XT!U243,XT!Y243,XT!AC243,XT!AG243))=4)*(CHOOSE({1,2,3,4},XT!X243,XT!AB243,XT!AF243,XT!AJ243)))</f>
        <v>0</v>
      </c>
      <c r="N243" t="str">
        <f>IFERROR(INDEX(CHOOSE({1,2,3,4}, DAY(XT!U243), DAY(XT!Y243), DAY(XT!AC243), DAY(XT!AG243)), MATCH(1, INDEX(--(MONTH(CHOOSE({1,2,3,4}, XT!U243,XT!Y243,XT!AC243,XT!AG243))=4), 0), 0)), "")</f>
        <v/>
      </c>
      <c r="O243" s="12" t="str">
        <f>IF(XT!$P243&gt;0,N243,"")</f>
        <v/>
      </c>
      <c r="P243" s="12" t="str">
        <f>IF(XT!$P243=0,N243,"")</f>
        <v/>
      </c>
      <c r="Q243">
        <f>SUMPRODUCT((MONTH(CHOOSE({1,2,3,4},XT!U243,XT!Y243,XT!AC243,XT!AG243))=5)*(CHOOSE({1,2,3,4},XT!X243,XT!AB243,XT!AF243,XT!AJ243)))</f>
        <v>0</v>
      </c>
      <c r="R243" t="str">
        <f>IFERROR(INDEX(CHOOSE({1,2,3,4}, DAY(XT!U243), DAY(XT!Y243), DAY(XT!AC243), DAY(XT!AG243)), MATCH(1, INDEX(--(MONTH(CHOOSE({1,2,3,4}, XT!U243,XT!Y243,XT!AC243,XT!AG243))=5), 0), 0)), "")</f>
        <v/>
      </c>
      <c r="S243" s="12" t="str">
        <f>IF(XT!$P243&gt;0,R243,"")</f>
        <v/>
      </c>
      <c r="T243" s="12" t="str">
        <f>IF(XT!$P243=0,R243,"")</f>
        <v/>
      </c>
      <c r="U243">
        <f>SUMPRODUCT((MONTH(CHOOSE({1,2,3,4},XT!U243,XT!Y243,XT!AC243,XT!AG243))=6)*(CHOOSE({1,2,3,4},XT!X243,XT!AB243,XT!AF243,XT!AJ243)))</f>
        <v>0</v>
      </c>
      <c r="V243" t="str">
        <f>IFERROR(INDEX(CHOOSE({1,2,3,4}, DAY(XT!U243), DAY(XT!Y243), DAY(XT!AC243), DAY(XT!AG243)), MATCH(1, INDEX(--(MONTH(CHOOSE({1,2,3,4}, XT!U243,XT!Y243,XT!AC243,XT!AG243))=6), 0), 0)), "")</f>
        <v/>
      </c>
      <c r="W243" s="12" t="str">
        <f>IF(XT!$P243&gt;0,V243,"")</f>
        <v/>
      </c>
      <c r="X243" s="12" t="str">
        <f>IF(XT!$P243=0,V243,"")</f>
        <v/>
      </c>
      <c r="Y243">
        <f>SUMPRODUCT((MONTH(CHOOSE({1,2,3,4},XT!U243,XT!Y243,XT!AC243,XT!AG243))=7)*(CHOOSE({1,2,3,4},XT!X243,XT!AB243,XT!AF243,XT!AJ243)))</f>
        <v>0</v>
      </c>
      <c r="Z243" t="str">
        <f>IFERROR(INDEX(CHOOSE({1,2,3,4}, DAY(XT!U243), DAY(XT!Y243), DAY(XT!AC243), DAY(XT!AG243)), MATCH(1, INDEX(--(MONTH(CHOOSE({1,2,3,4}, XT!U243,XT!Y243,XT!AC243,XT!AG243))=7), 0), 0)), "")</f>
        <v/>
      </c>
      <c r="AA243" s="12" t="str">
        <f>IF(XT!$P243&gt;0,Z243,"")</f>
        <v/>
      </c>
      <c r="AB243" s="12" t="str">
        <f>IF(XT!$P243=0,Z243,"")</f>
        <v/>
      </c>
      <c r="AC243">
        <f>SUMPRODUCT((MONTH(CHOOSE({1,2,3,4},XT!U243,XT!Y243,XT!AC243,XT!AG243))=8)*(CHOOSE({1,2,3,4},XT!X243,XT!AB243,XT!AF243,XT!AJ243)))</f>
        <v>0</v>
      </c>
      <c r="AD243" t="str">
        <f>IFERROR(INDEX(CHOOSE({1,2,3,4}, DAY(XT!U243), DAY(XT!Y243), DAY(XT!AC243), DAY(XT!AG243)), MATCH(1, INDEX(--(MONTH(CHOOSE({1,2,3,4}, XT!U243,XT!Y243,XT!AC243,XT!AG243))=8), 0), 0)), "")</f>
        <v/>
      </c>
      <c r="AE243" s="12" t="str">
        <f>IF(XT!$P243&gt;0,AD243,"")</f>
        <v/>
      </c>
      <c r="AF243" s="12" t="str">
        <f>IF(XT!$P243=0,AD243,"")</f>
        <v/>
      </c>
      <c r="AG243">
        <f>SUMPRODUCT((MONTH(CHOOSE({1,2,3,4},XT!U243,XT!Y243,XT!AC243,XT!AG243))=9)*(CHOOSE({1,2,3,4},XT!X243,XT!AB243,XT!AF243,XT!AJ243)))</f>
        <v>0</v>
      </c>
      <c r="AH243" t="str">
        <f>IFERROR(INDEX(CHOOSE({1,2,3,4}, DAY(XT!U243), DAY(XT!Y243), DAY(XT!AC243), DAY(XT!AG243)), MATCH(1, INDEX(--(MONTH(CHOOSE({1,2,3,4}, XT!U243,XT!Y243,XT!AC243,XT!AG243))=9), 0), 0)), "")</f>
        <v/>
      </c>
      <c r="AI243" s="12" t="str">
        <f>IF(XT!$P243&gt;0,AH243,"")</f>
        <v/>
      </c>
      <c r="AJ243" s="12" t="str">
        <f>IF(XT!$P243=0,AH243,"")</f>
        <v/>
      </c>
      <c r="AK243">
        <f>SUMPRODUCT((MONTH(CHOOSE({1,2,3,4},XT!U243,XT!Y243,XT!AC243,XT!AG243))=10)*(CHOOSE({1,2,3,4},XT!X243,XT!AB243,XT!AF243,XT!AJ243)))</f>
        <v>0</v>
      </c>
      <c r="AL243" t="str">
        <f>IFERROR(INDEX(CHOOSE({1,2,3,4}, DAY(XT!U243), DAY(XT!Y243), DAY(XT!AC243), DAY(XT!AG243)), MATCH(1, INDEX(--(MONTH(CHOOSE({1,2,3,4}, XT!U243,XT!Y243,XT!AC243,XT!AG243))=10), 0), 0)), "")</f>
        <v/>
      </c>
      <c r="AM243" s="12" t="str">
        <f>IF(XT!$P243&gt;0,AL243,"")</f>
        <v/>
      </c>
      <c r="AN243" s="12" t="str">
        <f>IF(XT!$P243=0,AL243,"")</f>
        <v/>
      </c>
      <c r="AO243">
        <f>SUMPRODUCT((MONTH(CHOOSE({1,2,3,4},XT!U243,XT!Y243,XT!AC243,XT!AG243))=11)*(CHOOSE({1,2,3,4},XT!X243,XT!AB243,XT!AF243,XT!AJ243)))</f>
        <v>0</v>
      </c>
      <c r="AP243" t="str">
        <f>IFERROR(INDEX(CHOOSE({1,2,3,4}, DAY(XT!U243), DAY(XT!Y243), DAY(XT!AC243), DAY(XT!AG243)), MATCH(1, INDEX(--(MONTH(CHOOSE({1,2,3,4}, XT!U243,XT!Y243,XT!AC243,XT!AG243))=11), 0), 0)), "")</f>
        <v/>
      </c>
      <c r="AQ243" s="12" t="str">
        <f>IF(XT!$P243&gt;0,AP243,"")</f>
        <v/>
      </c>
      <c r="AR243" s="12" t="str">
        <f>IF(XT!$P243=0,AP243,"")</f>
        <v/>
      </c>
      <c r="AS243">
        <f>SUMPRODUCT((MONTH(CHOOSE({1,2,3,4},XT!U243,XT!Y243,XT!AC243,XT!AG243))=12)*(CHOOSE({1,2,3,4},XT!X243,XT!AB243,XT!AF243,XT!AJ243)))</f>
        <v>0</v>
      </c>
      <c r="AT243" t="str">
        <f>IFERROR(INDEX(CHOOSE({1,2,3,4}, DAY(XT!U243), DAY(XT!Y243), DAY(XT!AC243), DAY(XT!AG243)), MATCH(1, INDEX(--(MONTH(CHOOSE({1,2,3,4}, XT!U243,XT!Y243,XT!AC243,XT!AG243))=12), 0), 0)), "")</f>
        <v/>
      </c>
      <c r="AU243" s="12" t="str">
        <f>IF(XT!$P243&gt;0,AT243,"")</f>
        <v/>
      </c>
      <c r="AV243" s="12" t="str">
        <f>IF(XT!$P243=0,AT243,"")</f>
        <v/>
      </c>
    </row>
    <row r="244" spans="1:48">
      <c r="A244">
        <f>SUMPRODUCT((MONTH(CHOOSE({1,2,3,4},XT!U244,XT!Y244,XT!AC244,XT!AG244))=1)*(CHOOSE({1,2,3,4},XT!X244,XT!AB244,XT!AF244,XT!AJ244)))</f>
        <v>0</v>
      </c>
      <c r="B244">
        <f>IFERROR(INDEX(CHOOSE({1,2,3,4}, DAY(XT!U244), DAY(XT!Y244), DAY(XT!AC244), DAY(XT!AG244)), MATCH(1, INDEX(--(MONTH(CHOOSE({1,2,3,4}, XT!U244,XT!Y244,XT!AC244,XT!AG244))=1), 0), 0)), "")</f>
        <v>0</v>
      </c>
      <c r="C244" s="12" t="str">
        <f>IF(XT!$P244&gt;0,B244,"")</f>
        <v/>
      </c>
      <c r="D244" s="12">
        <f>IF(XT!$P244=0,B244,"")</f>
        <v>0</v>
      </c>
      <c r="E244">
        <f>SUMPRODUCT((MONTH(CHOOSE({1,2,3,4},XT!U244,XT!Y244,XT!AC244,XT!AG244))=2)*(CHOOSE({1,2,3,4},XT!X244,XT!AB244,XT!AF244,XT!AJ244)))</f>
        <v>0</v>
      </c>
      <c r="F244" t="str">
        <f>IFERROR(INDEX(CHOOSE({1,2,3,4}, DAY(XT!U244), DAY(XT!Y244), DAY(XT!AC244), DAY(XT!AG244)), MATCH(1, INDEX(--(MONTH(CHOOSE({1,2,3,4}, XT!U244,XT!Y244,XT!AC244,XT!AG244))=2), 0), 0)), "")</f>
        <v/>
      </c>
      <c r="G244" s="12" t="str">
        <f>IF(XT!$P244&gt;0,F244,"")</f>
        <v/>
      </c>
      <c r="H244" s="12" t="str">
        <f>IF(XT!$P244=0,F244,"")</f>
        <v/>
      </c>
      <c r="I244">
        <f>SUMPRODUCT((MONTH(CHOOSE({1,2,3,4},XT!U244,XT!Y244,XT!AC244,XT!AG244))=3)*(CHOOSE({1,2,3,4},XT!X244,XT!AB244,XT!AF244,XT!AJ244)))</f>
        <v>0</v>
      </c>
      <c r="J244" t="str">
        <f>IFERROR(INDEX(CHOOSE({1,2,3,4}, DAY(XT!U244), DAY(XT!Y244), DAY(XT!AC244), DAY(XT!AG244)), MATCH(1, INDEX(--(MONTH(CHOOSE({1,2,3,4}, XT!U244,XT!Y244,XT!AC244,XT!AG244))=3), 0), 0)), "")</f>
        <v/>
      </c>
      <c r="K244" s="12" t="str">
        <f>IF(XT!$P244&gt;0,J244,"")</f>
        <v/>
      </c>
      <c r="L244" s="12" t="str">
        <f>IF(XT!$P244=0,J244,"")</f>
        <v/>
      </c>
      <c r="M244">
        <f>SUMPRODUCT((MONTH(CHOOSE({1,2,3,4},XT!U244,XT!Y244,XT!AC244,XT!AG244))=4)*(CHOOSE({1,2,3,4},XT!X244,XT!AB244,XT!AF244,XT!AJ244)))</f>
        <v>0</v>
      </c>
      <c r="N244" t="str">
        <f>IFERROR(INDEX(CHOOSE({1,2,3,4}, DAY(XT!U244), DAY(XT!Y244), DAY(XT!AC244), DAY(XT!AG244)), MATCH(1, INDEX(--(MONTH(CHOOSE({1,2,3,4}, XT!U244,XT!Y244,XT!AC244,XT!AG244))=4), 0), 0)), "")</f>
        <v/>
      </c>
      <c r="O244" s="12" t="str">
        <f>IF(XT!$P244&gt;0,N244,"")</f>
        <v/>
      </c>
      <c r="P244" s="12" t="str">
        <f>IF(XT!$P244=0,N244,"")</f>
        <v/>
      </c>
      <c r="Q244">
        <f>SUMPRODUCT((MONTH(CHOOSE({1,2,3,4},XT!U244,XT!Y244,XT!AC244,XT!AG244))=5)*(CHOOSE({1,2,3,4},XT!X244,XT!AB244,XT!AF244,XT!AJ244)))</f>
        <v>0</v>
      </c>
      <c r="R244" t="str">
        <f>IFERROR(INDEX(CHOOSE({1,2,3,4}, DAY(XT!U244), DAY(XT!Y244), DAY(XT!AC244), DAY(XT!AG244)), MATCH(1, INDEX(--(MONTH(CHOOSE({1,2,3,4}, XT!U244,XT!Y244,XT!AC244,XT!AG244))=5), 0), 0)), "")</f>
        <v/>
      </c>
      <c r="S244" s="12" t="str">
        <f>IF(XT!$P244&gt;0,R244,"")</f>
        <v/>
      </c>
      <c r="T244" s="12" t="str">
        <f>IF(XT!$P244=0,R244,"")</f>
        <v/>
      </c>
      <c r="U244">
        <f>SUMPRODUCT((MONTH(CHOOSE({1,2,3,4},XT!U244,XT!Y244,XT!AC244,XT!AG244))=6)*(CHOOSE({1,2,3,4},XT!X244,XT!AB244,XT!AF244,XT!AJ244)))</f>
        <v>0</v>
      </c>
      <c r="V244" t="str">
        <f>IFERROR(INDEX(CHOOSE({1,2,3,4}, DAY(XT!U244), DAY(XT!Y244), DAY(XT!AC244), DAY(XT!AG244)), MATCH(1, INDEX(--(MONTH(CHOOSE({1,2,3,4}, XT!U244,XT!Y244,XT!AC244,XT!AG244))=6), 0), 0)), "")</f>
        <v/>
      </c>
      <c r="W244" s="12" t="str">
        <f>IF(XT!$P244&gt;0,V244,"")</f>
        <v/>
      </c>
      <c r="X244" s="12" t="str">
        <f>IF(XT!$P244=0,V244,"")</f>
        <v/>
      </c>
      <c r="Y244">
        <f>SUMPRODUCT((MONTH(CHOOSE({1,2,3,4},XT!U244,XT!Y244,XT!AC244,XT!AG244))=7)*(CHOOSE({1,2,3,4},XT!X244,XT!AB244,XT!AF244,XT!AJ244)))</f>
        <v>0</v>
      </c>
      <c r="Z244" t="str">
        <f>IFERROR(INDEX(CHOOSE({1,2,3,4}, DAY(XT!U244), DAY(XT!Y244), DAY(XT!AC244), DAY(XT!AG244)), MATCH(1, INDEX(--(MONTH(CHOOSE({1,2,3,4}, XT!U244,XT!Y244,XT!AC244,XT!AG244))=7), 0), 0)), "")</f>
        <v/>
      </c>
      <c r="AA244" s="12" t="str">
        <f>IF(XT!$P244&gt;0,Z244,"")</f>
        <v/>
      </c>
      <c r="AB244" s="12" t="str">
        <f>IF(XT!$P244=0,Z244,"")</f>
        <v/>
      </c>
      <c r="AC244">
        <f>SUMPRODUCT((MONTH(CHOOSE({1,2,3,4},XT!U244,XT!Y244,XT!AC244,XT!AG244))=8)*(CHOOSE({1,2,3,4},XT!X244,XT!AB244,XT!AF244,XT!AJ244)))</f>
        <v>0</v>
      </c>
      <c r="AD244" t="str">
        <f>IFERROR(INDEX(CHOOSE({1,2,3,4}, DAY(XT!U244), DAY(XT!Y244), DAY(XT!AC244), DAY(XT!AG244)), MATCH(1, INDEX(--(MONTH(CHOOSE({1,2,3,4}, XT!U244,XT!Y244,XT!AC244,XT!AG244))=8), 0), 0)), "")</f>
        <v/>
      </c>
      <c r="AE244" s="12" t="str">
        <f>IF(XT!$P244&gt;0,AD244,"")</f>
        <v/>
      </c>
      <c r="AF244" s="12" t="str">
        <f>IF(XT!$P244=0,AD244,"")</f>
        <v/>
      </c>
      <c r="AG244">
        <f>SUMPRODUCT((MONTH(CHOOSE({1,2,3,4},XT!U244,XT!Y244,XT!AC244,XT!AG244))=9)*(CHOOSE({1,2,3,4},XT!X244,XT!AB244,XT!AF244,XT!AJ244)))</f>
        <v>0</v>
      </c>
      <c r="AH244" t="str">
        <f>IFERROR(INDEX(CHOOSE({1,2,3,4}, DAY(XT!U244), DAY(XT!Y244), DAY(XT!AC244), DAY(XT!AG244)), MATCH(1, INDEX(--(MONTH(CHOOSE({1,2,3,4}, XT!U244,XT!Y244,XT!AC244,XT!AG244))=9), 0), 0)), "")</f>
        <v/>
      </c>
      <c r="AI244" s="12" t="str">
        <f>IF(XT!$P244&gt;0,AH244,"")</f>
        <v/>
      </c>
      <c r="AJ244" s="12" t="str">
        <f>IF(XT!$P244=0,AH244,"")</f>
        <v/>
      </c>
      <c r="AK244">
        <f>SUMPRODUCT((MONTH(CHOOSE({1,2,3,4},XT!U244,XT!Y244,XT!AC244,XT!AG244))=10)*(CHOOSE({1,2,3,4},XT!X244,XT!AB244,XT!AF244,XT!AJ244)))</f>
        <v>0</v>
      </c>
      <c r="AL244" t="str">
        <f>IFERROR(INDEX(CHOOSE({1,2,3,4}, DAY(XT!U244), DAY(XT!Y244), DAY(XT!AC244), DAY(XT!AG244)), MATCH(1, INDEX(--(MONTH(CHOOSE({1,2,3,4}, XT!U244,XT!Y244,XT!AC244,XT!AG244))=10), 0), 0)), "")</f>
        <v/>
      </c>
      <c r="AM244" s="12" t="str">
        <f>IF(XT!$P244&gt;0,AL244,"")</f>
        <v/>
      </c>
      <c r="AN244" s="12" t="str">
        <f>IF(XT!$P244=0,AL244,"")</f>
        <v/>
      </c>
      <c r="AO244">
        <f>SUMPRODUCT((MONTH(CHOOSE({1,2,3,4},XT!U244,XT!Y244,XT!AC244,XT!AG244))=11)*(CHOOSE({1,2,3,4},XT!X244,XT!AB244,XT!AF244,XT!AJ244)))</f>
        <v>0</v>
      </c>
      <c r="AP244" t="str">
        <f>IFERROR(INDEX(CHOOSE({1,2,3,4}, DAY(XT!U244), DAY(XT!Y244), DAY(XT!AC244), DAY(XT!AG244)), MATCH(1, INDEX(--(MONTH(CHOOSE({1,2,3,4}, XT!U244,XT!Y244,XT!AC244,XT!AG244))=11), 0), 0)), "")</f>
        <v/>
      </c>
      <c r="AQ244" s="12" t="str">
        <f>IF(XT!$P244&gt;0,AP244,"")</f>
        <v/>
      </c>
      <c r="AR244" s="12" t="str">
        <f>IF(XT!$P244=0,AP244,"")</f>
        <v/>
      </c>
      <c r="AS244">
        <f>SUMPRODUCT((MONTH(CHOOSE({1,2,3,4},XT!U244,XT!Y244,XT!AC244,XT!AG244))=12)*(CHOOSE({1,2,3,4},XT!X244,XT!AB244,XT!AF244,XT!AJ244)))</f>
        <v>0</v>
      </c>
      <c r="AT244" t="str">
        <f>IFERROR(INDEX(CHOOSE({1,2,3,4}, DAY(XT!U244), DAY(XT!Y244), DAY(XT!AC244), DAY(XT!AG244)), MATCH(1, INDEX(--(MONTH(CHOOSE({1,2,3,4}, XT!U244,XT!Y244,XT!AC244,XT!AG244))=12), 0), 0)), "")</f>
        <v/>
      </c>
      <c r="AU244" s="12" t="str">
        <f>IF(XT!$P244&gt;0,AT244,"")</f>
        <v/>
      </c>
      <c r="AV244" s="12" t="str">
        <f>IF(XT!$P244=0,AT244,"")</f>
        <v/>
      </c>
    </row>
    <row r="245" spans="1:48">
      <c r="A245">
        <f>SUMPRODUCT((MONTH(CHOOSE({1,2,3,4},XT!U245,XT!Y245,XT!AC245,XT!AG245))=1)*(CHOOSE({1,2,3,4},XT!X245,XT!AB245,XT!AF245,XT!AJ245)))</f>
        <v>0</v>
      </c>
      <c r="B245">
        <f>IFERROR(INDEX(CHOOSE({1,2,3,4}, DAY(XT!U245), DAY(XT!Y245), DAY(XT!AC245), DAY(XT!AG245)), MATCH(1, INDEX(--(MONTH(CHOOSE({1,2,3,4}, XT!U245,XT!Y245,XT!AC245,XT!AG245))=1), 0), 0)), "")</f>
        <v>0</v>
      </c>
      <c r="C245" s="12" t="str">
        <f>IF(XT!$P245&gt;0,B245,"")</f>
        <v/>
      </c>
      <c r="D245" s="12">
        <f>IF(XT!$P245=0,B245,"")</f>
        <v>0</v>
      </c>
      <c r="E245">
        <f>SUMPRODUCT((MONTH(CHOOSE({1,2,3,4},XT!U245,XT!Y245,XT!AC245,XT!AG245))=2)*(CHOOSE({1,2,3,4},XT!X245,XT!AB245,XT!AF245,XT!AJ245)))</f>
        <v>0</v>
      </c>
      <c r="F245" t="str">
        <f>IFERROR(INDEX(CHOOSE({1,2,3,4}, DAY(XT!U245), DAY(XT!Y245), DAY(XT!AC245), DAY(XT!AG245)), MATCH(1, INDEX(--(MONTH(CHOOSE({1,2,3,4}, XT!U245,XT!Y245,XT!AC245,XT!AG245))=2), 0), 0)), "")</f>
        <v/>
      </c>
      <c r="G245" s="12" t="str">
        <f>IF(XT!$P245&gt;0,F245,"")</f>
        <v/>
      </c>
      <c r="H245" s="12" t="str">
        <f>IF(XT!$P245=0,F245,"")</f>
        <v/>
      </c>
      <c r="I245">
        <f>SUMPRODUCT((MONTH(CHOOSE({1,2,3,4},XT!U245,XT!Y245,XT!AC245,XT!AG245))=3)*(CHOOSE({1,2,3,4},XT!X245,XT!AB245,XT!AF245,XT!AJ245)))</f>
        <v>0</v>
      </c>
      <c r="J245" t="str">
        <f>IFERROR(INDEX(CHOOSE({1,2,3,4}, DAY(XT!U245), DAY(XT!Y245), DAY(XT!AC245), DAY(XT!AG245)), MATCH(1, INDEX(--(MONTH(CHOOSE({1,2,3,4}, XT!U245,XT!Y245,XT!AC245,XT!AG245))=3), 0), 0)), "")</f>
        <v/>
      </c>
      <c r="K245" s="12" t="str">
        <f>IF(XT!$P245&gt;0,J245,"")</f>
        <v/>
      </c>
      <c r="L245" s="12" t="str">
        <f>IF(XT!$P245=0,J245,"")</f>
        <v/>
      </c>
      <c r="M245">
        <f>SUMPRODUCT((MONTH(CHOOSE({1,2,3,4},XT!U245,XT!Y245,XT!AC245,XT!AG245))=4)*(CHOOSE({1,2,3,4},XT!X245,XT!AB245,XT!AF245,XT!AJ245)))</f>
        <v>0</v>
      </c>
      <c r="N245" t="str">
        <f>IFERROR(INDEX(CHOOSE({1,2,3,4}, DAY(XT!U245), DAY(XT!Y245), DAY(XT!AC245), DAY(XT!AG245)), MATCH(1, INDEX(--(MONTH(CHOOSE({1,2,3,4}, XT!U245,XT!Y245,XT!AC245,XT!AG245))=4), 0), 0)), "")</f>
        <v/>
      </c>
      <c r="O245" s="12" t="str">
        <f>IF(XT!$P245&gt;0,N245,"")</f>
        <v/>
      </c>
      <c r="P245" s="12" t="str">
        <f>IF(XT!$P245=0,N245,"")</f>
        <v/>
      </c>
      <c r="Q245">
        <f>SUMPRODUCT((MONTH(CHOOSE({1,2,3,4},XT!U245,XT!Y245,XT!AC245,XT!AG245))=5)*(CHOOSE({1,2,3,4},XT!X245,XT!AB245,XT!AF245,XT!AJ245)))</f>
        <v>0</v>
      </c>
      <c r="R245" t="str">
        <f>IFERROR(INDEX(CHOOSE({1,2,3,4}, DAY(XT!U245), DAY(XT!Y245), DAY(XT!AC245), DAY(XT!AG245)), MATCH(1, INDEX(--(MONTH(CHOOSE({1,2,3,4}, XT!U245,XT!Y245,XT!AC245,XT!AG245))=5), 0), 0)), "")</f>
        <v/>
      </c>
      <c r="S245" s="12" t="str">
        <f>IF(XT!$P245&gt;0,R245,"")</f>
        <v/>
      </c>
      <c r="T245" s="12" t="str">
        <f>IF(XT!$P245=0,R245,"")</f>
        <v/>
      </c>
      <c r="U245">
        <f>SUMPRODUCT((MONTH(CHOOSE({1,2,3,4},XT!U245,XT!Y245,XT!AC245,XT!AG245))=6)*(CHOOSE({1,2,3,4},XT!X245,XT!AB245,XT!AF245,XT!AJ245)))</f>
        <v>0</v>
      </c>
      <c r="V245" t="str">
        <f>IFERROR(INDEX(CHOOSE({1,2,3,4}, DAY(XT!U245), DAY(XT!Y245), DAY(XT!AC245), DAY(XT!AG245)), MATCH(1, INDEX(--(MONTH(CHOOSE({1,2,3,4}, XT!U245,XT!Y245,XT!AC245,XT!AG245))=6), 0), 0)), "")</f>
        <v/>
      </c>
      <c r="W245" s="12" t="str">
        <f>IF(XT!$P245&gt;0,V245,"")</f>
        <v/>
      </c>
      <c r="X245" s="12" t="str">
        <f>IF(XT!$P245=0,V245,"")</f>
        <v/>
      </c>
      <c r="Y245">
        <f>SUMPRODUCT((MONTH(CHOOSE({1,2,3,4},XT!U245,XT!Y245,XT!AC245,XT!AG245))=7)*(CHOOSE({1,2,3,4},XT!X245,XT!AB245,XT!AF245,XT!AJ245)))</f>
        <v>0</v>
      </c>
      <c r="Z245" t="str">
        <f>IFERROR(INDEX(CHOOSE({1,2,3,4}, DAY(XT!U245), DAY(XT!Y245), DAY(XT!AC245), DAY(XT!AG245)), MATCH(1, INDEX(--(MONTH(CHOOSE({1,2,3,4}, XT!U245,XT!Y245,XT!AC245,XT!AG245))=7), 0), 0)), "")</f>
        <v/>
      </c>
      <c r="AA245" s="12" t="str">
        <f>IF(XT!$P245&gt;0,Z245,"")</f>
        <v/>
      </c>
      <c r="AB245" s="12" t="str">
        <f>IF(XT!$P245=0,Z245,"")</f>
        <v/>
      </c>
      <c r="AC245">
        <f>SUMPRODUCT((MONTH(CHOOSE({1,2,3,4},XT!U245,XT!Y245,XT!AC245,XT!AG245))=8)*(CHOOSE({1,2,3,4},XT!X245,XT!AB245,XT!AF245,XT!AJ245)))</f>
        <v>0</v>
      </c>
      <c r="AD245" t="str">
        <f>IFERROR(INDEX(CHOOSE({1,2,3,4}, DAY(XT!U245), DAY(XT!Y245), DAY(XT!AC245), DAY(XT!AG245)), MATCH(1, INDEX(--(MONTH(CHOOSE({1,2,3,4}, XT!U245,XT!Y245,XT!AC245,XT!AG245))=8), 0), 0)), "")</f>
        <v/>
      </c>
      <c r="AE245" s="12" t="str">
        <f>IF(XT!$P245&gt;0,AD245,"")</f>
        <v/>
      </c>
      <c r="AF245" s="12" t="str">
        <f>IF(XT!$P245=0,AD245,"")</f>
        <v/>
      </c>
      <c r="AG245">
        <f>SUMPRODUCT((MONTH(CHOOSE({1,2,3,4},XT!U245,XT!Y245,XT!AC245,XT!AG245))=9)*(CHOOSE({1,2,3,4},XT!X245,XT!AB245,XT!AF245,XT!AJ245)))</f>
        <v>0</v>
      </c>
      <c r="AH245" t="str">
        <f>IFERROR(INDEX(CHOOSE({1,2,3,4}, DAY(XT!U245), DAY(XT!Y245), DAY(XT!AC245), DAY(XT!AG245)), MATCH(1, INDEX(--(MONTH(CHOOSE({1,2,3,4}, XT!U245,XT!Y245,XT!AC245,XT!AG245))=9), 0), 0)), "")</f>
        <v/>
      </c>
      <c r="AI245" s="12" t="str">
        <f>IF(XT!$P245&gt;0,AH245,"")</f>
        <v/>
      </c>
      <c r="AJ245" s="12" t="str">
        <f>IF(XT!$P245=0,AH245,"")</f>
        <v/>
      </c>
      <c r="AK245">
        <f>SUMPRODUCT((MONTH(CHOOSE({1,2,3,4},XT!U245,XT!Y245,XT!AC245,XT!AG245))=10)*(CHOOSE({1,2,3,4},XT!X245,XT!AB245,XT!AF245,XT!AJ245)))</f>
        <v>0</v>
      </c>
      <c r="AL245" t="str">
        <f>IFERROR(INDEX(CHOOSE({1,2,3,4}, DAY(XT!U245), DAY(XT!Y245), DAY(XT!AC245), DAY(XT!AG245)), MATCH(1, INDEX(--(MONTH(CHOOSE({1,2,3,4}, XT!U245,XT!Y245,XT!AC245,XT!AG245))=10), 0), 0)), "")</f>
        <v/>
      </c>
      <c r="AM245" s="12" t="str">
        <f>IF(XT!$P245&gt;0,AL245,"")</f>
        <v/>
      </c>
      <c r="AN245" s="12" t="str">
        <f>IF(XT!$P245=0,AL245,"")</f>
        <v/>
      </c>
      <c r="AO245">
        <f>SUMPRODUCT((MONTH(CHOOSE({1,2,3,4},XT!U245,XT!Y245,XT!AC245,XT!AG245))=11)*(CHOOSE({1,2,3,4},XT!X245,XT!AB245,XT!AF245,XT!AJ245)))</f>
        <v>0</v>
      </c>
      <c r="AP245" t="str">
        <f>IFERROR(INDEX(CHOOSE({1,2,3,4}, DAY(XT!U245), DAY(XT!Y245), DAY(XT!AC245), DAY(XT!AG245)), MATCH(1, INDEX(--(MONTH(CHOOSE({1,2,3,4}, XT!U245,XT!Y245,XT!AC245,XT!AG245))=11), 0), 0)), "")</f>
        <v/>
      </c>
      <c r="AQ245" s="12" t="str">
        <f>IF(XT!$P245&gt;0,AP245,"")</f>
        <v/>
      </c>
      <c r="AR245" s="12" t="str">
        <f>IF(XT!$P245=0,AP245,"")</f>
        <v/>
      </c>
      <c r="AS245">
        <f>SUMPRODUCT((MONTH(CHOOSE({1,2,3,4},XT!U245,XT!Y245,XT!AC245,XT!AG245))=12)*(CHOOSE({1,2,3,4},XT!X245,XT!AB245,XT!AF245,XT!AJ245)))</f>
        <v>0</v>
      </c>
      <c r="AT245" t="str">
        <f>IFERROR(INDEX(CHOOSE({1,2,3,4}, DAY(XT!U245), DAY(XT!Y245), DAY(XT!AC245), DAY(XT!AG245)), MATCH(1, INDEX(--(MONTH(CHOOSE({1,2,3,4}, XT!U245,XT!Y245,XT!AC245,XT!AG245))=12), 0), 0)), "")</f>
        <v/>
      </c>
      <c r="AU245" s="12" t="str">
        <f>IF(XT!$P245&gt;0,AT245,"")</f>
        <v/>
      </c>
      <c r="AV245" s="12" t="str">
        <f>IF(XT!$P245=0,AT245,"")</f>
        <v/>
      </c>
    </row>
    <row r="246" spans="1:48">
      <c r="A246">
        <f>SUMPRODUCT((MONTH(CHOOSE({1,2,3,4},XT!U246,XT!Y246,XT!AC246,XT!AG246))=1)*(CHOOSE({1,2,3,4},XT!X246,XT!AB246,XT!AF246,XT!AJ246)))</f>
        <v>0</v>
      </c>
      <c r="B246">
        <f>IFERROR(INDEX(CHOOSE({1,2,3,4}, DAY(XT!U246), DAY(XT!Y246), DAY(XT!AC246), DAY(XT!AG246)), MATCH(1, INDEX(--(MONTH(CHOOSE({1,2,3,4}, XT!U246,XT!Y246,XT!AC246,XT!AG246))=1), 0), 0)), "")</f>
        <v>0</v>
      </c>
      <c r="C246" s="12" t="str">
        <f>IF(XT!$P246&gt;0,B246,"")</f>
        <v/>
      </c>
      <c r="D246" s="12">
        <f>IF(XT!$P246=0,B246,"")</f>
        <v>0</v>
      </c>
      <c r="E246">
        <f>SUMPRODUCT((MONTH(CHOOSE({1,2,3,4},XT!U246,XT!Y246,XT!AC246,XT!AG246))=2)*(CHOOSE({1,2,3,4},XT!X246,XT!AB246,XT!AF246,XT!AJ246)))</f>
        <v>0</v>
      </c>
      <c r="F246" t="str">
        <f>IFERROR(INDEX(CHOOSE({1,2,3,4}, DAY(XT!U246), DAY(XT!Y246), DAY(XT!AC246), DAY(XT!AG246)), MATCH(1, INDEX(--(MONTH(CHOOSE({1,2,3,4}, XT!U246,XT!Y246,XT!AC246,XT!AG246))=2), 0), 0)), "")</f>
        <v/>
      </c>
      <c r="G246" s="12" t="str">
        <f>IF(XT!$P246&gt;0,F246,"")</f>
        <v/>
      </c>
      <c r="H246" s="12" t="str">
        <f>IF(XT!$P246=0,F246,"")</f>
        <v/>
      </c>
      <c r="I246">
        <f>SUMPRODUCT((MONTH(CHOOSE({1,2,3,4},XT!U246,XT!Y246,XT!AC246,XT!AG246))=3)*(CHOOSE({1,2,3,4},XT!X246,XT!AB246,XT!AF246,XT!AJ246)))</f>
        <v>0</v>
      </c>
      <c r="J246" t="str">
        <f>IFERROR(INDEX(CHOOSE({1,2,3,4}, DAY(XT!U246), DAY(XT!Y246), DAY(XT!AC246), DAY(XT!AG246)), MATCH(1, INDEX(--(MONTH(CHOOSE({1,2,3,4}, XT!U246,XT!Y246,XT!AC246,XT!AG246))=3), 0), 0)), "")</f>
        <v/>
      </c>
      <c r="K246" s="12" t="str">
        <f>IF(XT!$P246&gt;0,J246,"")</f>
        <v/>
      </c>
      <c r="L246" s="12" t="str">
        <f>IF(XT!$P246=0,J246,"")</f>
        <v/>
      </c>
      <c r="M246">
        <f>SUMPRODUCT((MONTH(CHOOSE({1,2,3,4},XT!U246,XT!Y246,XT!AC246,XT!AG246))=4)*(CHOOSE({1,2,3,4},XT!X246,XT!AB246,XT!AF246,XT!AJ246)))</f>
        <v>0</v>
      </c>
      <c r="N246" t="str">
        <f>IFERROR(INDEX(CHOOSE({1,2,3,4}, DAY(XT!U246), DAY(XT!Y246), DAY(XT!AC246), DAY(XT!AG246)), MATCH(1, INDEX(--(MONTH(CHOOSE({1,2,3,4}, XT!U246,XT!Y246,XT!AC246,XT!AG246))=4), 0), 0)), "")</f>
        <v/>
      </c>
      <c r="O246" s="12" t="str">
        <f>IF(XT!$P246&gt;0,N246,"")</f>
        <v/>
      </c>
      <c r="P246" s="12" t="str">
        <f>IF(XT!$P246=0,N246,"")</f>
        <v/>
      </c>
      <c r="Q246">
        <f>SUMPRODUCT((MONTH(CHOOSE({1,2,3,4},XT!U246,XT!Y246,XT!AC246,XT!AG246))=5)*(CHOOSE({1,2,3,4},XT!X246,XT!AB246,XT!AF246,XT!AJ246)))</f>
        <v>0</v>
      </c>
      <c r="R246" t="str">
        <f>IFERROR(INDEX(CHOOSE({1,2,3,4}, DAY(XT!U246), DAY(XT!Y246), DAY(XT!AC246), DAY(XT!AG246)), MATCH(1, INDEX(--(MONTH(CHOOSE({1,2,3,4}, XT!U246,XT!Y246,XT!AC246,XT!AG246))=5), 0), 0)), "")</f>
        <v/>
      </c>
      <c r="S246" s="12" t="str">
        <f>IF(XT!$P246&gt;0,R246,"")</f>
        <v/>
      </c>
      <c r="T246" s="12" t="str">
        <f>IF(XT!$P246=0,R246,"")</f>
        <v/>
      </c>
      <c r="U246">
        <f>SUMPRODUCT((MONTH(CHOOSE({1,2,3,4},XT!U246,XT!Y246,XT!AC246,XT!AG246))=6)*(CHOOSE({1,2,3,4},XT!X246,XT!AB246,XT!AF246,XT!AJ246)))</f>
        <v>0</v>
      </c>
      <c r="V246" t="str">
        <f>IFERROR(INDEX(CHOOSE({1,2,3,4}, DAY(XT!U246), DAY(XT!Y246), DAY(XT!AC246), DAY(XT!AG246)), MATCH(1, INDEX(--(MONTH(CHOOSE({1,2,3,4}, XT!U246,XT!Y246,XT!AC246,XT!AG246))=6), 0), 0)), "")</f>
        <v/>
      </c>
      <c r="W246" s="12" t="str">
        <f>IF(XT!$P246&gt;0,V246,"")</f>
        <v/>
      </c>
      <c r="X246" s="12" t="str">
        <f>IF(XT!$P246=0,V246,"")</f>
        <v/>
      </c>
      <c r="Y246">
        <f>SUMPRODUCT((MONTH(CHOOSE({1,2,3,4},XT!U246,XT!Y246,XT!AC246,XT!AG246))=7)*(CHOOSE({1,2,3,4},XT!X246,XT!AB246,XT!AF246,XT!AJ246)))</f>
        <v>0</v>
      </c>
      <c r="Z246" t="str">
        <f>IFERROR(INDEX(CHOOSE({1,2,3,4}, DAY(XT!U246), DAY(XT!Y246), DAY(XT!AC246), DAY(XT!AG246)), MATCH(1, INDEX(--(MONTH(CHOOSE({1,2,3,4}, XT!U246,XT!Y246,XT!AC246,XT!AG246))=7), 0), 0)), "")</f>
        <v/>
      </c>
      <c r="AA246" s="12" t="str">
        <f>IF(XT!$P246&gt;0,Z246,"")</f>
        <v/>
      </c>
      <c r="AB246" s="12" t="str">
        <f>IF(XT!$P246=0,Z246,"")</f>
        <v/>
      </c>
      <c r="AC246">
        <f>SUMPRODUCT((MONTH(CHOOSE({1,2,3,4},XT!U246,XT!Y246,XT!AC246,XT!AG246))=8)*(CHOOSE({1,2,3,4},XT!X246,XT!AB246,XT!AF246,XT!AJ246)))</f>
        <v>0</v>
      </c>
      <c r="AD246" t="str">
        <f>IFERROR(INDEX(CHOOSE({1,2,3,4}, DAY(XT!U246), DAY(XT!Y246), DAY(XT!AC246), DAY(XT!AG246)), MATCH(1, INDEX(--(MONTH(CHOOSE({1,2,3,4}, XT!U246,XT!Y246,XT!AC246,XT!AG246))=8), 0), 0)), "")</f>
        <v/>
      </c>
      <c r="AE246" s="12" t="str">
        <f>IF(XT!$P246&gt;0,AD246,"")</f>
        <v/>
      </c>
      <c r="AF246" s="12" t="str">
        <f>IF(XT!$P246=0,AD246,"")</f>
        <v/>
      </c>
      <c r="AG246">
        <f>SUMPRODUCT((MONTH(CHOOSE({1,2,3,4},XT!U246,XT!Y246,XT!AC246,XT!AG246))=9)*(CHOOSE({1,2,3,4},XT!X246,XT!AB246,XT!AF246,XT!AJ246)))</f>
        <v>0</v>
      </c>
      <c r="AH246" t="str">
        <f>IFERROR(INDEX(CHOOSE({1,2,3,4}, DAY(XT!U246), DAY(XT!Y246), DAY(XT!AC246), DAY(XT!AG246)), MATCH(1, INDEX(--(MONTH(CHOOSE({1,2,3,4}, XT!U246,XT!Y246,XT!AC246,XT!AG246))=9), 0), 0)), "")</f>
        <v/>
      </c>
      <c r="AI246" s="12" t="str">
        <f>IF(XT!$P246&gt;0,AH246,"")</f>
        <v/>
      </c>
      <c r="AJ246" s="12" t="str">
        <f>IF(XT!$P246=0,AH246,"")</f>
        <v/>
      </c>
      <c r="AK246">
        <f>SUMPRODUCT((MONTH(CHOOSE({1,2,3,4},XT!U246,XT!Y246,XT!AC246,XT!AG246))=10)*(CHOOSE({1,2,3,4},XT!X246,XT!AB246,XT!AF246,XT!AJ246)))</f>
        <v>0</v>
      </c>
      <c r="AL246" t="str">
        <f>IFERROR(INDEX(CHOOSE({1,2,3,4}, DAY(XT!U246), DAY(XT!Y246), DAY(XT!AC246), DAY(XT!AG246)), MATCH(1, INDEX(--(MONTH(CHOOSE({1,2,3,4}, XT!U246,XT!Y246,XT!AC246,XT!AG246))=10), 0), 0)), "")</f>
        <v/>
      </c>
      <c r="AM246" s="12" t="str">
        <f>IF(XT!$P246&gt;0,AL246,"")</f>
        <v/>
      </c>
      <c r="AN246" s="12" t="str">
        <f>IF(XT!$P246=0,AL246,"")</f>
        <v/>
      </c>
      <c r="AO246">
        <f>SUMPRODUCT((MONTH(CHOOSE({1,2,3,4},XT!U246,XT!Y246,XT!AC246,XT!AG246))=11)*(CHOOSE({1,2,3,4},XT!X246,XT!AB246,XT!AF246,XT!AJ246)))</f>
        <v>0</v>
      </c>
      <c r="AP246" t="str">
        <f>IFERROR(INDEX(CHOOSE({1,2,3,4}, DAY(XT!U246), DAY(XT!Y246), DAY(XT!AC246), DAY(XT!AG246)), MATCH(1, INDEX(--(MONTH(CHOOSE({1,2,3,4}, XT!U246,XT!Y246,XT!AC246,XT!AG246))=11), 0), 0)), "")</f>
        <v/>
      </c>
      <c r="AQ246" s="12" t="str">
        <f>IF(XT!$P246&gt;0,AP246,"")</f>
        <v/>
      </c>
      <c r="AR246" s="12" t="str">
        <f>IF(XT!$P246=0,AP246,"")</f>
        <v/>
      </c>
      <c r="AS246">
        <f>SUMPRODUCT((MONTH(CHOOSE({1,2,3,4},XT!U246,XT!Y246,XT!AC246,XT!AG246))=12)*(CHOOSE({1,2,3,4},XT!X246,XT!AB246,XT!AF246,XT!AJ246)))</f>
        <v>0</v>
      </c>
      <c r="AT246" t="str">
        <f>IFERROR(INDEX(CHOOSE({1,2,3,4}, DAY(XT!U246), DAY(XT!Y246), DAY(XT!AC246), DAY(XT!AG246)), MATCH(1, INDEX(--(MONTH(CHOOSE({1,2,3,4}, XT!U246,XT!Y246,XT!AC246,XT!AG246))=12), 0), 0)), "")</f>
        <v/>
      </c>
      <c r="AU246" s="12" t="str">
        <f>IF(XT!$P246&gt;0,AT246,"")</f>
        <v/>
      </c>
      <c r="AV246" s="12" t="str">
        <f>IF(XT!$P246=0,AT246,"")</f>
        <v/>
      </c>
    </row>
    <row r="247" spans="1:48">
      <c r="A247">
        <f>SUMPRODUCT((MONTH(CHOOSE({1,2,3,4},XT!U247,XT!Y247,XT!AC247,XT!AG247))=1)*(CHOOSE({1,2,3,4},XT!X247,XT!AB247,XT!AF247,XT!AJ247)))</f>
        <v>0</v>
      </c>
      <c r="B247">
        <f>IFERROR(INDEX(CHOOSE({1,2,3,4}, DAY(XT!U247), DAY(XT!Y247), DAY(XT!AC247), DAY(XT!AG247)), MATCH(1, INDEX(--(MONTH(CHOOSE({1,2,3,4}, XT!U247,XT!Y247,XT!AC247,XT!AG247))=1), 0), 0)), "")</f>
        <v>0</v>
      </c>
      <c r="C247" s="12" t="str">
        <f>IF(XT!$P247&gt;0,B247,"")</f>
        <v/>
      </c>
      <c r="D247" s="12">
        <f>IF(XT!$P247=0,B247,"")</f>
        <v>0</v>
      </c>
      <c r="E247">
        <f>SUMPRODUCT((MONTH(CHOOSE({1,2,3,4},XT!U247,XT!Y247,XT!AC247,XT!AG247))=2)*(CHOOSE({1,2,3,4},XT!X247,XT!AB247,XT!AF247,XT!AJ247)))</f>
        <v>0</v>
      </c>
      <c r="F247" t="str">
        <f>IFERROR(INDEX(CHOOSE({1,2,3,4}, DAY(XT!U247), DAY(XT!Y247), DAY(XT!AC247), DAY(XT!AG247)), MATCH(1, INDEX(--(MONTH(CHOOSE({1,2,3,4}, XT!U247,XT!Y247,XT!AC247,XT!AG247))=2), 0), 0)), "")</f>
        <v/>
      </c>
      <c r="G247" s="12" t="str">
        <f>IF(XT!$P247&gt;0,F247,"")</f>
        <v/>
      </c>
      <c r="H247" s="12" t="str">
        <f>IF(XT!$P247=0,F247,"")</f>
        <v/>
      </c>
      <c r="I247">
        <f>SUMPRODUCT((MONTH(CHOOSE({1,2,3,4},XT!U247,XT!Y247,XT!AC247,XT!AG247))=3)*(CHOOSE({1,2,3,4},XT!X247,XT!AB247,XT!AF247,XT!AJ247)))</f>
        <v>0</v>
      </c>
      <c r="J247" t="str">
        <f>IFERROR(INDEX(CHOOSE({1,2,3,4}, DAY(XT!U247), DAY(XT!Y247), DAY(XT!AC247), DAY(XT!AG247)), MATCH(1, INDEX(--(MONTH(CHOOSE({1,2,3,4}, XT!U247,XT!Y247,XT!AC247,XT!AG247))=3), 0), 0)), "")</f>
        <v/>
      </c>
      <c r="K247" s="12" t="str">
        <f>IF(XT!$P247&gt;0,J247,"")</f>
        <v/>
      </c>
      <c r="L247" s="12" t="str">
        <f>IF(XT!$P247=0,J247,"")</f>
        <v/>
      </c>
      <c r="M247">
        <f>SUMPRODUCT((MONTH(CHOOSE({1,2,3,4},XT!U247,XT!Y247,XT!AC247,XT!AG247))=4)*(CHOOSE({1,2,3,4},XT!X247,XT!AB247,XT!AF247,XT!AJ247)))</f>
        <v>0</v>
      </c>
      <c r="N247" t="str">
        <f>IFERROR(INDEX(CHOOSE({1,2,3,4}, DAY(XT!U247), DAY(XT!Y247), DAY(XT!AC247), DAY(XT!AG247)), MATCH(1, INDEX(--(MONTH(CHOOSE({1,2,3,4}, XT!U247,XT!Y247,XT!AC247,XT!AG247))=4), 0), 0)), "")</f>
        <v/>
      </c>
      <c r="O247" s="12" t="str">
        <f>IF(XT!$P247&gt;0,N247,"")</f>
        <v/>
      </c>
      <c r="P247" s="12" t="str">
        <f>IF(XT!$P247=0,N247,"")</f>
        <v/>
      </c>
      <c r="Q247">
        <f>SUMPRODUCT((MONTH(CHOOSE({1,2,3,4},XT!U247,XT!Y247,XT!AC247,XT!AG247))=5)*(CHOOSE({1,2,3,4},XT!X247,XT!AB247,XT!AF247,XT!AJ247)))</f>
        <v>0</v>
      </c>
      <c r="R247" t="str">
        <f>IFERROR(INDEX(CHOOSE({1,2,3,4}, DAY(XT!U247), DAY(XT!Y247), DAY(XT!AC247), DAY(XT!AG247)), MATCH(1, INDEX(--(MONTH(CHOOSE({1,2,3,4}, XT!U247,XT!Y247,XT!AC247,XT!AG247))=5), 0), 0)), "")</f>
        <v/>
      </c>
      <c r="S247" s="12" t="str">
        <f>IF(XT!$P247&gt;0,R247,"")</f>
        <v/>
      </c>
      <c r="T247" s="12" t="str">
        <f>IF(XT!$P247=0,R247,"")</f>
        <v/>
      </c>
      <c r="U247">
        <f>SUMPRODUCT((MONTH(CHOOSE({1,2,3,4},XT!U247,XT!Y247,XT!AC247,XT!AG247))=6)*(CHOOSE({1,2,3,4},XT!X247,XT!AB247,XT!AF247,XT!AJ247)))</f>
        <v>0</v>
      </c>
      <c r="V247" t="str">
        <f>IFERROR(INDEX(CHOOSE({1,2,3,4}, DAY(XT!U247), DAY(XT!Y247), DAY(XT!AC247), DAY(XT!AG247)), MATCH(1, INDEX(--(MONTH(CHOOSE({1,2,3,4}, XT!U247,XT!Y247,XT!AC247,XT!AG247))=6), 0), 0)), "")</f>
        <v/>
      </c>
      <c r="W247" s="12" t="str">
        <f>IF(XT!$P247&gt;0,V247,"")</f>
        <v/>
      </c>
      <c r="X247" s="12" t="str">
        <f>IF(XT!$P247=0,V247,"")</f>
        <v/>
      </c>
      <c r="Y247">
        <f>SUMPRODUCT((MONTH(CHOOSE({1,2,3,4},XT!U247,XT!Y247,XT!AC247,XT!AG247))=7)*(CHOOSE({1,2,3,4},XT!X247,XT!AB247,XT!AF247,XT!AJ247)))</f>
        <v>0</v>
      </c>
      <c r="Z247" t="str">
        <f>IFERROR(INDEX(CHOOSE({1,2,3,4}, DAY(XT!U247), DAY(XT!Y247), DAY(XT!AC247), DAY(XT!AG247)), MATCH(1, INDEX(--(MONTH(CHOOSE({1,2,3,4}, XT!U247,XT!Y247,XT!AC247,XT!AG247))=7), 0), 0)), "")</f>
        <v/>
      </c>
      <c r="AA247" s="12" t="str">
        <f>IF(XT!$P247&gt;0,Z247,"")</f>
        <v/>
      </c>
      <c r="AB247" s="12" t="str">
        <f>IF(XT!$P247=0,Z247,"")</f>
        <v/>
      </c>
      <c r="AC247">
        <f>SUMPRODUCT((MONTH(CHOOSE({1,2,3,4},XT!U247,XT!Y247,XT!AC247,XT!AG247))=8)*(CHOOSE({1,2,3,4},XT!X247,XT!AB247,XT!AF247,XT!AJ247)))</f>
        <v>0</v>
      </c>
      <c r="AD247" t="str">
        <f>IFERROR(INDEX(CHOOSE({1,2,3,4}, DAY(XT!U247), DAY(XT!Y247), DAY(XT!AC247), DAY(XT!AG247)), MATCH(1, INDEX(--(MONTH(CHOOSE({1,2,3,4}, XT!U247,XT!Y247,XT!AC247,XT!AG247))=8), 0), 0)), "")</f>
        <v/>
      </c>
      <c r="AE247" s="12" t="str">
        <f>IF(XT!$P247&gt;0,AD247,"")</f>
        <v/>
      </c>
      <c r="AF247" s="12" t="str">
        <f>IF(XT!$P247=0,AD247,"")</f>
        <v/>
      </c>
      <c r="AG247">
        <f>SUMPRODUCT((MONTH(CHOOSE({1,2,3,4},XT!U247,XT!Y247,XT!AC247,XT!AG247))=9)*(CHOOSE({1,2,3,4},XT!X247,XT!AB247,XT!AF247,XT!AJ247)))</f>
        <v>0</v>
      </c>
      <c r="AH247" t="str">
        <f>IFERROR(INDEX(CHOOSE({1,2,3,4}, DAY(XT!U247), DAY(XT!Y247), DAY(XT!AC247), DAY(XT!AG247)), MATCH(1, INDEX(--(MONTH(CHOOSE({1,2,3,4}, XT!U247,XT!Y247,XT!AC247,XT!AG247))=9), 0), 0)), "")</f>
        <v/>
      </c>
      <c r="AI247" s="12" t="str">
        <f>IF(XT!$P247&gt;0,AH247,"")</f>
        <v/>
      </c>
      <c r="AJ247" s="12" t="str">
        <f>IF(XT!$P247=0,AH247,"")</f>
        <v/>
      </c>
      <c r="AK247">
        <f>SUMPRODUCT((MONTH(CHOOSE({1,2,3,4},XT!U247,XT!Y247,XT!AC247,XT!AG247))=10)*(CHOOSE({1,2,3,4},XT!X247,XT!AB247,XT!AF247,XT!AJ247)))</f>
        <v>0</v>
      </c>
      <c r="AL247" t="str">
        <f>IFERROR(INDEX(CHOOSE({1,2,3,4}, DAY(XT!U247), DAY(XT!Y247), DAY(XT!AC247), DAY(XT!AG247)), MATCH(1, INDEX(--(MONTH(CHOOSE({1,2,3,4}, XT!U247,XT!Y247,XT!AC247,XT!AG247))=10), 0), 0)), "")</f>
        <v/>
      </c>
      <c r="AM247" s="12" t="str">
        <f>IF(XT!$P247&gt;0,AL247,"")</f>
        <v/>
      </c>
      <c r="AN247" s="12" t="str">
        <f>IF(XT!$P247=0,AL247,"")</f>
        <v/>
      </c>
      <c r="AO247">
        <f>SUMPRODUCT((MONTH(CHOOSE({1,2,3,4},XT!U247,XT!Y247,XT!AC247,XT!AG247))=11)*(CHOOSE({1,2,3,4},XT!X247,XT!AB247,XT!AF247,XT!AJ247)))</f>
        <v>0</v>
      </c>
      <c r="AP247" t="str">
        <f>IFERROR(INDEX(CHOOSE({1,2,3,4}, DAY(XT!U247), DAY(XT!Y247), DAY(XT!AC247), DAY(XT!AG247)), MATCH(1, INDEX(--(MONTH(CHOOSE({1,2,3,4}, XT!U247,XT!Y247,XT!AC247,XT!AG247))=11), 0), 0)), "")</f>
        <v/>
      </c>
      <c r="AQ247" s="12" t="str">
        <f>IF(XT!$P247&gt;0,AP247,"")</f>
        <v/>
      </c>
      <c r="AR247" s="12" t="str">
        <f>IF(XT!$P247=0,AP247,"")</f>
        <v/>
      </c>
      <c r="AS247">
        <f>SUMPRODUCT((MONTH(CHOOSE({1,2,3,4},XT!U247,XT!Y247,XT!AC247,XT!AG247))=12)*(CHOOSE({1,2,3,4},XT!X247,XT!AB247,XT!AF247,XT!AJ247)))</f>
        <v>0</v>
      </c>
      <c r="AT247" t="str">
        <f>IFERROR(INDEX(CHOOSE({1,2,3,4}, DAY(XT!U247), DAY(XT!Y247), DAY(XT!AC247), DAY(XT!AG247)), MATCH(1, INDEX(--(MONTH(CHOOSE({1,2,3,4}, XT!U247,XT!Y247,XT!AC247,XT!AG247))=12), 0), 0)), "")</f>
        <v/>
      </c>
      <c r="AU247" s="12" t="str">
        <f>IF(XT!$P247&gt;0,AT247,"")</f>
        <v/>
      </c>
      <c r="AV247" s="12" t="str">
        <f>IF(XT!$P247=0,AT247,"")</f>
        <v/>
      </c>
    </row>
    <row r="248" spans="1:48">
      <c r="A248">
        <f>SUMPRODUCT((MONTH(CHOOSE({1,2,3,4},XT!U248,XT!Y248,XT!AC248,XT!AG248))=1)*(CHOOSE({1,2,3,4},XT!X248,XT!AB248,XT!AF248,XT!AJ248)))</f>
        <v>0</v>
      </c>
      <c r="B248">
        <f>IFERROR(INDEX(CHOOSE({1,2,3,4}, DAY(XT!U248), DAY(XT!Y248), DAY(XT!AC248), DAY(XT!AG248)), MATCH(1, INDEX(--(MONTH(CHOOSE({1,2,3,4}, XT!U248,XT!Y248,XT!AC248,XT!AG248))=1), 0), 0)), "")</f>
        <v>0</v>
      </c>
      <c r="C248" s="12" t="str">
        <f>IF(XT!$P248&gt;0,B248,"")</f>
        <v/>
      </c>
      <c r="D248" s="12">
        <f>IF(XT!$P248=0,B248,"")</f>
        <v>0</v>
      </c>
      <c r="E248">
        <f>SUMPRODUCT((MONTH(CHOOSE({1,2,3,4},XT!U248,XT!Y248,XT!AC248,XT!AG248))=2)*(CHOOSE({1,2,3,4},XT!X248,XT!AB248,XT!AF248,XT!AJ248)))</f>
        <v>0</v>
      </c>
      <c r="F248" t="str">
        <f>IFERROR(INDEX(CHOOSE({1,2,3,4}, DAY(XT!U248), DAY(XT!Y248), DAY(XT!AC248), DAY(XT!AG248)), MATCH(1, INDEX(--(MONTH(CHOOSE({1,2,3,4}, XT!U248,XT!Y248,XT!AC248,XT!AG248))=2), 0), 0)), "")</f>
        <v/>
      </c>
      <c r="G248" s="12" t="str">
        <f>IF(XT!$P248&gt;0,F248,"")</f>
        <v/>
      </c>
      <c r="H248" s="12" t="str">
        <f>IF(XT!$P248=0,F248,"")</f>
        <v/>
      </c>
      <c r="I248">
        <f>SUMPRODUCT((MONTH(CHOOSE({1,2,3,4},XT!U248,XT!Y248,XT!AC248,XT!AG248))=3)*(CHOOSE({1,2,3,4},XT!X248,XT!AB248,XT!AF248,XT!AJ248)))</f>
        <v>0</v>
      </c>
      <c r="J248" t="str">
        <f>IFERROR(INDEX(CHOOSE({1,2,3,4}, DAY(XT!U248), DAY(XT!Y248), DAY(XT!AC248), DAY(XT!AG248)), MATCH(1, INDEX(--(MONTH(CHOOSE({1,2,3,4}, XT!U248,XT!Y248,XT!AC248,XT!AG248))=3), 0), 0)), "")</f>
        <v/>
      </c>
      <c r="K248" s="12" t="str">
        <f>IF(XT!$P248&gt;0,J248,"")</f>
        <v/>
      </c>
      <c r="L248" s="12" t="str">
        <f>IF(XT!$P248=0,J248,"")</f>
        <v/>
      </c>
      <c r="M248">
        <f>SUMPRODUCT((MONTH(CHOOSE({1,2,3,4},XT!U248,XT!Y248,XT!AC248,XT!AG248))=4)*(CHOOSE({1,2,3,4},XT!X248,XT!AB248,XT!AF248,XT!AJ248)))</f>
        <v>0</v>
      </c>
      <c r="N248" t="str">
        <f>IFERROR(INDEX(CHOOSE({1,2,3,4}, DAY(XT!U248), DAY(XT!Y248), DAY(XT!AC248), DAY(XT!AG248)), MATCH(1, INDEX(--(MONTH(CHOOSE({1,2,3,4}, XT!U248,XT!Y248,XT!AC248,XT!AG248))=4), 0), 0)), "")</f>
        <v/>
      </c>
      <c r="O248" s="12" t="str">
        <f>IF(XT!$P248&gt;0,N248,"")</f>
        <v/>
      </c>
      <c r="P248" s="12" t="str">
        <f>IF(XT!$P248=0,N248,"")</f>
        <v/>
      </c>
      <c r="Q248">
        <f>SUMPRODUCT((MONTH(CHOOSE({1,2,3,4},XT!U248,XT!Y248,XT!AC248,XT!AG248))=5)*(CHOOSE({1,2,3,4},XT!X248,XT!AB248,XT!AF248,XT!AJ248)))</f>
        <v>0</v>
      </c>
      <c r="R248" t="str">
        <f>IFERROR(INDEX(CHOOSE({1,2,3,4}, DAY(XT!U248), DAY(XT!Y248), DAY(XT!AC248), DAY(XT!AG248)), MATCH(1, INDEX(--(MONTH(CHOOSE({1,2,3,4}, XT!U248,XT!Y248,XT!AC248,XT!AG248))=5), 0), 0)), "")</f>
        <v/>
      </c>
      <c r="S248" s="12" t="str">
        <f>IF(XT!$P248&gt;0,R248,"")</f>
        <v/>
      </c>
      <c r="T248" s="12" t="str">
        <f>IF(XT!$P248=0,R248,"")</f>
        <v/>
      </c>
      <c r="U248">
        <f>SUMPRODUCT((MONTH(CHOOSE({1,2,3,4},XT!U248,XT!Y248,XT!AC248,XT!AG248))=6)*(CHOOSE({1,2,3,4},XT!X248,XT!AB248,XT!AF248,XT!AJ248)))</f>
        <v>0</v>
      </c>
      <c r="V248" t="str">
        <f>IFERROR(INDEX(CHOOSE({1,2,3,4}, DAY(XT!U248), DAY(XT!Y248), DAY(XT!AC248), DAY(XT!AG248)), MATCH(1, INDEX(--(MONTH(CHOOSE({1,2,3,4}, XT!U248,XT!Y248,XT!AC248,XT!AG248))=6), 0), 0)), "")</f>
        <v/>
      </c>
      <c r="W248" s="12" t="str">
        <f>IF(XT!$P248&gt;0,V248,"")</f>
        <v/>
      </c>
      <c r="X248" s="12" t="str">
        <f>IF(XT!$P248=0,V248,"")</f>
        <v/>
      </c>
      <c r="Y248">
        <f>SUMPRODUCT((MONTH(CHOOSE({1,2,3,4},XT!U248,XT!Y248,XT!AC248,XT!AG248))=7)*(CHOOSE({1,2,3,4},XT!X248,XT!AB248,XT!AF248,XT!AJ248)))</f>
        <v>0</v>
      </c>
      <c r="Z248" t="str">
        <f>IFERROR(INDEX(CHOOSE({1,2,3,4}, DAY(XT!U248), DAY(XT!Y248), DAY(XT!AC248), DAY(XT!AG248)), MATCH(1, INDEX(--(MONTH(CHOOSE({1,2,3,4}, XT!U248,XT!Y248,XT!AC248,XT!AG248))=7), 0), 0)), "")</f>
        <v/>
      </c>
      <c r="AA248" s="12" t="str">
        <f>IF(XT!$P248&gt;0,Z248,"")</f>
        <v/>
      </c>
      <c r="AB248" s="12" t="str">
        <f>IF(XT!$P248=0,Z248,"")</f>
        <v/>
      </c>
      <c r="AC248">
        <f>SUMPRODUCT((MONTH(CHOOSE({1,2,3,4},XT!U248,XT!Y248,XT!AC248,XT!AG248))=8)*(CHOOSE({1,2,3,4},XT!X248,XT!AB248,XT!AF248,XT!AJ248)))</f>
        <v>0</v>
      </c>
      <c r="AD248" t="str">
        <f>IFERROR(INDEX(CHOOSE({1,2,3,4}, DAY(XT!U248), DAY(XT!Y248), DAY(XT!AC248), DAY(XT!AG248)), MATCH(1, INDEX(--(MONTH(CHOOSE({1,2,3,4}, XT!U248,XT!Y248,XT!AC248,XT!AG248))=8), 0), 0)), "")</f>
        <v/>
      </c>
      <c r="AE248" s="12" t="str">
        <f>IF(XT!$P248&gt;0,AD248,"")</f>
        <v/>
      </c>
      <c r="AF248" s="12" t="str">
        <f>IF(XT!$P248=0,AD248,"")</f>
        <v/>
      </c>
      <c r="AG248">
        <f>SUMPRODUCT((MONTH(CHOOSE({1,2,3,4},XT!U248,XT!Y248,XT!AC248,XT!AG248))=9)*(CHOOSE({1,2,3,4},XT!X248,XT!AB248,XT!AF248,XT!AJ248)))</f>
        <v>0</v>
      </c>
      <c r="AH248" t="str">
        <f>IFERROR(INDEX(CHOOSE({1,2,3,4}, DAY(XT!U248), DAY(XT!Y248), DAY(XT!AC248), DAY(XT!AG248)), MATCH(1, INDEX(--(MONTH(CHOOSE({1,2,3,4}, XT!U248,XT!Y248,XT!AC248,XT!AG248))=9), 0), 0)), "")</f>
        <v/>
      </c>
      <c r="AI248" s="12" t="str">
        <f>IF(XT!$P248&gt;0,AH248,"")</f>
        <v/>
      </c>
      <c r="AJ248" s="12" t="str">
        <f>IF(XT!$P248=0,AH248,"")</f>
        <v/>
      </c>
      <c r="AK248">
        <f>SUMPRODUCT((MONTH(CHOOSE({1,2,3,4},XT!U248,XT!Y248,XT!AC248,XT!AG248))=10)*(CHOOSE({1,2,3,4},XT!X248,XT!AB248,XT!AF248,XT!AJ248)))</f>
        <v>0</v>
      </c>
      <c r="AL248" t="str">
        <f>IFERROR(INDEX(CHOOSE({1,2,3,4}, DAY(XT!U248), DAY(XT!Y248), DAY(XT!AC248), DAY(XT!AG248)), MATCH(1, INDEX(--(MONTH(CHOOSE({1,2,3,4}, XT!U248,XT!Y248,XT!AC248,XT!AG248))=10), 0), 0)), "")</f>
        <v/>
      </c>
      <c r="AM248" s="12" t="str">
        <f>IF(XT!$P248&gt;0,AL248,"")</f>
        <v/>
      </c>
      <c r="AN248" s="12" t="str">
        <f>IF(XT!$P248=0,AL248,"")</f>
        <v/>
      </c>
      <c r="AO248">
        <f>SUMPRODUCT((MONTH(CHOOSE({1,2,3,4},XT!U248,XT!Y248,XT!AC248,XT!AG248))=11)*(CHOOSE({1,2,3,4},XT!X248,XT!AB248,XT!AF248,XT!AJ248)))</f>
        <v>0</v>
      </c>
      <c r="AP248" t="str">
        <f>IFERROR(INDEX(CHOOSE({1,2,3,4}, DAY(XT!U248), DAY(XT!Y248), DAY(XT!AC248), DAY(XT!AG248)), MATCH(1, INDEX(--(MONTH(CHOOSE({1,2,3,4}, XT!U248,XT!Y248,XT!AC248,XT!AG248))=11), 0), 0)), "")</f>
        <v/>
      </c>
      <c r="AQ248" s="12" t="str">
        <f>IF(XT!$P248&gt;0,AP248,"")</f>
        <v/>
      </c>
      <c r="AR248" s="12" t="str">
        <f>IF(XT!$P248=0,AP248,"")</f>
        <v/>
      </c>
      <c r="AS248">
        <f>SUMPRODUCT((MONTH(CHOOSE({1,2,3,4},XT!U248,XT!Y248,XT!AC248,XT!AG248))=12)*(CHOOSE({1,2,3,4},XT!X248,XT!AB248,XT!AF248,XT!AJ248)))</f>
        <v>0</v>
      </c>
      <c r="AT248" t="str">
        <f>IFERROR(INDEX(CHOOSE({1,2,3,4}, DAY(XT!U248), DAY(XT!Y248), DAY(XT!AC248), DAY(XT!AG248)), MATCH(1, INDEX(--(MONTH(CHOOSE({1,2,3,4}, XT!U248,XT!Y248,XT!AC248,XT!AG248))=12), 0), 0)), "")</f>
        <v/>
      </c>
      <c r="AU248" s="12" t="str">
        <f>IF(XT!$P248&gt;0,AT248,"")</f>
        <v/>
      </c>
      <c r="AV248" s="12" t="str">
        <f>IF(XT!$P248=0,AT248,"")</f>
        <v/>
      </c>
    </row>
    <row r="249" spans="1:48">
      <c r="A249">
        <f>SUMPRODUCT((MONTH(CHOOSE({1,2,3,4},XT!U249,XT!Y249,XT!AC249,XT!AG249))=1)*(CHOOSE({1,2,3,4},XT!X249,XT!AB249,XT!AF249,XT!AJ249)))</f>
        <v>0</v>
      </c>
      <c r="B249">
        <f>IFERROR(INDEX(CHOOSE({1,2,3,4}, DAY(XT!U249), DAY(XT!Y249), DAY(XT!AC249), DAY(XT!AG249)), MATCH(1, INDEX(--(MONTH(CHOOSE({1,2,3,4}, XT!U249,XT!Y249,XT!AC249,XT!AG249))=1), 0), 0)), "")</f>
        <v>0</v>
      </c>
      <c r="C249" s="12" t="str">
        <f>IF(XT!$P249&gt;0,B249,"")</f>
        <v/>
      </c>
      <c r="D249" s="12">
        <f>IF(XT!$P249=0,B249,"")</f>
        <v>0</v>
      </c>
      <c r="E249">
        <f>SUMPRODUCT((MONTH(CHOOSE({1,2,3,4},XT!U249,XT!Y249,XT!AC249,XT!AG249))=2)*(CHOOSE({1,2,3,4},XT!X249,XT!AB249,XT!AF249,XT!AJ249)))</f>
        <v>0</v>
      </c>
      <c r="F249" t="str">
        <f>IFERROR(INDEX(CHOOSE({1,2,3,4}, DAY(XT!U249), DAY(XT!Y249), DAY(XT!AC249), DAY(XT!AG249)), MATCH(1, INDEX(--(MONTH(CHOOSE({1,2,3,4}, XT!U249,XT!Y249,XT!AC249,XT!AG249))=2), 0), 0)), "")</f>
        <v/>
      </c>
      <c r="G249" s="12" t="str">
        <f>IF(XT!$P249&gt;0,F249,"")</f>
        <v/>
      </c>
      <c r="H249" s="12" t="str">
        <f>IF(XT!$P249=0,F249,"")</f>
        <v/>
      </c>
      <c r="I249">
        <f>SUMPRODUCT((MONTH(CHOOSE({1,2,3,4},XT!U249,XT!Y249,XT!AC249,XT!AG249))=3)*(CHOOSE({1,2,3,4},XT!X249,XT!AB249,XT!AF249,XT!AJ249)))</f>
        <v>0</v>
      </c>
      <c r="J249" t="str">
        <f>IFERROR(INDEX(CHOOSE({1,2,3,4}, DAY(XT!U249), DAY(XT!Y249), DAY(XT!AC249), DAY(XT!AG249)), MATCH(1, INDEX(--(MONTH(CHOOSE({1,2,3,4}, XT!U249,XT!Y249,XT!AC249,XT!AG249))=3), 0), 0)), "")</f>
        <v/>
      </c>
      <c r="K249" s="12" t="str">
        <f>IF(XT!$P249&gt;0,J249,"")</f>
        <v/>
      </c>
      <c r="L249" s="12" t="str">
        <f>IF(XT!$P249=0,J249,"")</f>
        <v/>
      </c>
      <c r="M249">
        <f>SUMPRODUCT((MONTH(CHOOSE({1,2,3,4},XT!U249,XT!Y249,XT!AC249,XT!AG249))=4)*(CHOOSE({1,2,3,4},XT!X249,XT!AB249,XT!AF249,XT!AJ249)))</f>
        <v>0</v>
      </c>
      <c r="N249" t="str">
        <f>IFERROR(INDEX(CHOOSE({1,2,3,4}, DAY(XT!U249), DAY(XT!Y249), DAY(XT!AC249), DAY(XT!AG249)), MATCH(1, INDEX(--(MONTH(CHOOSE({1,2,3,4}, XT!U249,XT!Y249,XT!AC249,XT!AG249))=4), 0), 0)), "")</f>
        <v/>
      </c>
      <c r="O249" s="12" t="str">
        <f>IF(XT!$P249&gt;0,N249,"")</f>
        <v/>
      </c>
      <c r="P249" s="12" t="str">
        <f>IF(XT!$P249=0,N249,"")</f>
        <v/>
      </c>
      <c r="Q249">
        <f>SUMPRODUCT((MONTH(CHOOSE({1,2,3,4},XT!U249,XT!Y249,XT!AC249,XT!AG249))=5)*(CHOOSE({1,2,3,4},XT!X249,XT!AB249,XT!AF249,XT!AJ249)))</f>
        <v>0</v>
      </c>
      <c r="R249" t="str">
        <f>IFERROR(INDEX(CHOOSE({1,2,3,4}, DAY(XT!U249), DAY(XT!Y249), DAY(XT!AC249), DAY(XT!AG249)), MATCH(1, INDEX(--(MONTH(CHOOSE({1,2,3,4}, XT!U249,XT!Y249,XT!AC249,XT!AG249))=5), 0), 0)), "")</f>
        <v/>
      </c>
      <c r="S249" s="12" t="str">
        <f>IF(XT!$P249&gt;0,R249,"")</f>
        <v/>
      </c>
      <c r="T249" s="12" t="str">
        <f>IF(XT!$P249=0,R249,"")</f>
        <v/>
      </c>
      <c r="U249">
        <f>SUMPRODUCT((MONTH(CHOOSE({1,2,3,4},XT!U249,XT!Y249,XT!AC249,XT!AG249))=6)*(CHOOSE({1,2,3,4},XT!X249,XT!AB249,XT!AF249,XT!AJ249)))</f>
        <v>0</v>
      </c>
      <c r="V249" t="str">
        <f>IFERROR(INDEX(CHOOSE({1,2,3,4}, DAY(XT!U249), DAY(XT!Y249), DAY(XT!AC249), DAY(XT!AG249)), MATCH(1, INDEX(--(MONTH(CHOOSE({1,2,3,4}, XT!U249,XT!Y249,XT!AC249,XT!AG249))=6), 0), 0)), "")</f>
        <v/>
      </c>
      <c r="W249" s="12" t="str">
        <f>IF(XT!$P249&gt;0,V249,"")</f>
        <v/>
      </c>
      <c r="X249" s="12" t="str">
        <f>IF(XT!$P249=0,V249,"")</f>
        <v/>
      </c>
      <c r="Y249">
        <f>SUMPRODUCT((MONTH(CHOOSE({1,2,3,4},XT!U249,XT!Y249,XT!AC249,XT!AG249))=7)*(CHOOSE({1,2,3,4},XT!X249,XT!AB249,XT!AF249,XT!AJ249)))</f>
        <v>0</v>
      </c>
      <c r="Z249" t="str">
        <f>IFERROR(INDEX(CHOOSE({1,2,3,4}, DAY(XT!U249), DAY(XT!Y249), DAY(XT!AC249), DAY(XT!AG249)), MATCH(1, INDEX(--(MONTH(CHOOSE({1,2,3,4}, XT!U249,XT!Y249,XT!AC249,XT!AG249))=7), 0), 0)), "")</f>
        <v/>
      </c>
      <c r="AA249" s="12" t="str">
        <f>IF(XT!$P249&gt;0,Z249,"")</f>
        <v/>
      </c>
      <c r="AB249" s="12" t="str">
        <f>IF(XT!$P249=0,Z249,"")</f>
        <v/>
      </c>
      <c r="AC249">
        <f>SUMPRODUCT((MONTH(CHOOSE({1,2,3,4},XT!U249,XT!Y249,XT!AC249,XT!AG249))=8)*(CHOOSE({1,2,3,4},XT!X249,XT!AB249,XT!AF249,XT!AJ249)))</f>
        <v>0</v>
      </c>
      <c r="AD249" t="str">
        <f>IFERROR(INDEX(CHOOSE({1,2,3,4}, DAY(XT!U249), DAY(XT!Y249), DAY(XT!AC249), DAY(XT!AG249)), MATCH(1, INDEX(--(MONTH(CHOOSE({1,2,3,4}, XT!U249,XT!Y249,XT!AC249,XT!AG249))=8), 0), 0)), "")</f>
        <v/>
      </c>
      <c r="AE249" s="12" t="str">
        <f>IF(XT!$P249&gt;0,AD249,"")</f>
        <v/>
      </c>
      <c r="AF249" s="12" t="str">
        <f>IF(XT!$P249=0,AD249,"")</f>
        <v/>
      </c>
      <c r="AG249">
        <f>SUMPRODUCT((MONTH(CHOOSE({1,2,3,4},XT!U249,XT!Y249,XT!AC249,XT!AG249))=9)*(CHOOSE({1,2,3,4},XT!X249,XT!AB249,XT!AF249,XT!AJ249)))</f>
        <v>0</v>
      </c>
      <c r="AH249" t="str">
        <f>IFERROR(INDEX(CHOOSE({1,2,3,4}, DAY(XT!U249), DAY(XT!Y249), DAY(XT!AC249), DAY(XT!AG249)), MATCH(1, INDEX(--(MONTH(CHOOSE({1,2,3,4}, XT!U249,XT!Y249,XT!AC249,XT!AG249))=9), 0), 0)), "")</f>
        <v/>
      </c>
      <c r="AI249" s="12" t="str">
        <f>IF(XT!$P249&gt;0,AH249,"")</f>
        <v/>
      </c>
      <c r="AJ249" s="12" t="str">
        <f>IF(XT!$P249=0,AH249,"")</f>
        <v/>
      </c>
      <c r="AK249">
        <f>SUMPRODUCT((MONTH(CHOOSE({1,2,3,4},XT!U249,XT!Y249,XT!AC249,XT!AG249))=10)*(CHOOSE({1,2,3,4},XT!X249,XT!AB249,XT!AF249,XT!AJ249)))</f>
        <v>0</v>
      </c>
      <c r="AL249" t="str">
        <f>IFERROR(INDEX(CHOOSE({1,2,3,4}, DAY(XT!U249), DAY(XT!Y249), DAY(XT!AC249), DAY(XT!AG249)), MATCH(1, INDEX(--(MONTH(CHOOSE({1,2,3,4}, XT!U249,XT!Y249,XT!AC249,XT!AG249))=10), 0), 0)), "")</f>
        <v/>
      </c>
      <c r="AM249" s="12" t="str">
        <f>IF(XT!$P249&gt;0,AL249,"")</f>
        <v/>
      </c>
      <c r="AN249" s="12" t="str">
        <f>IF(XT!$P249=0,AL249,"")</f>
        <v/>
      </c>
      <c r="AO249">
        <f>SUMPRODUCT((MONTH(CHOOSE({1,2,3,4},XT!U249,XT!Y249,XT!AC249,XT!AG249))=11)*(CHOOSE({1,2,3,4},XT!X249,XT!AB249,XT!AF249,XT!AJ249)))</f>
        <v>0</v>
      </c>
      <c r="AP249" t="str">
        <f>IFERROR(INDEX(CHOOSE({1,2,3,4}, DAY(XT!U249), DAY(XT!Y249), DAY(XT!AC249), DAY(XT!AG249)), MATCH(1, INDEX(--(MONTH(CHOOSE({1,2,3,4}, XT!U249,XT!Y249,XT!AC249,XT!AG249))=11), 0), 0)), "")</f>
        <v/>
      </c>
      <c r="AQ249" s="12" t="str">
        <f>IF(XT!$P249&gt;0,AP249,"")</f>
        <v/>
      </c>
      <c r="AR249" s="12" t="str">
        <f>IF(XT!$P249=0,AP249,"")</f>
        <v/>
      </c>
      <c r="AS249">
        <f>SUMPRODUCT((MONTH(CHOOSE({1,2,3,4},XT!U249,XT!Y249,XT!AC249,XT!AG249))=12)*(CHOOSE({1,2,3,4},XT!X249,XT!AB249,XT!AF249,XT!AJ249)))</f>
        <v>0</v>
      </c>
      <c r="AT249" t="str">
        <f>IFERROR(INDEX(CHOOSE({1,2,3,4}, DAY(XT!U249), DAY(XT!Y249), DAY(XT!AC249), DAY(XT!AG249)), MATCH(1, INDEX(--(MONTH(CHOOSE({1,2,3,4}, XT!U249,XT!Y249,XT!AC249,XT!AG249))=12), 0), 0)), "")</f>
        <v/>
      </c>
      <c r="AU249" s="12" t="str">
        <f>IF(XT!$P249&gt;0,AT249,"")</f>
        <v/>
      </c>
      <c r="AV249" s="12" t="str">
        <f>IF(XT!$P249=0,AT249,"")</f>
        <v/>
      </c>
    </row>
    <row r="250" spans="1:48">
      <c r="A250">
        <f>SUMPRODUCT((MONTH(CHOOSE({1,2,3,4},XT!U250,XT!Y250,XT!AC250,XT!AG250))=1)*(CHOOSE({1,2,3,4},XT!X250,XT!AB250,XT!AF250,XT!AJ250)))</f>
        <v>0</v>
      </c>
      <c r="B250">
        <f>IFERROR(INDEX(CHOOSE({1,2,3,4}, DAY(XT!U250), DAY(XT!Y250), DAY(XT!AC250), DAY(XT!AG250)), MATCH(1, INDEX(--(MONTH(CHOOSE({1,2,3,4}, XT!U250,XT!Y250,XT!AC250,XT!AG250))=1), 0), 0)), "")</f>
        <v>0</v>
      </c>
      <c r="C250" s="12" t="str">
        <f>IF(XT!$P250&gt;0,B250,"")</f>
        <v/>
      </c>
      <c r="D250" s="12">
        <f>IF(XT!$P250=0,B250,"")</f>
        <v>0</v>
      </c>
      <c r="E250">
        <f>SUMPRODUCT((MONTH(CHOOSE({1,2,3,4},XT!U250,XT!Y250,XT!AC250,XT!AG250))=2)*(CHOOSE({1,2,3,4},XT!X250,XT!AB250,XT!AF250,XT!AJ250)))</f>
        <v>0</v>
      </c>
      <c r="F250" t="str">
        <f>IFERROR(INDEX(CHOOSE({1,2,3,4}, DAY(XT!U250), DAY(XT!Y250), DAY(XT!AC250), DAY(XT!AG250)), MATCH(1, INDEX(--(MONTH(CHOOSE({1,2,3,4}, XT!U250,XT!Y250,XT!AC250,XT!AG250))=2), 0), 0)), "")</f>
        <v/>
      </c>
      <c r="G250" s="12" t="str">
        <f>IF(XT!$P250&gt;0,F250,"")</f>
        <v/>
      </c>
      <c r="H250" s="12" t="str">
        <f>IF(XT!$P250=0,F250,"")</f>
        <v/>
      </c>
      <c r="I250">
        <f>SUMPRODUCT((MONTH(CHOOSE({1,2,3,4},XT!U250,XT!Y250,XT!AC250,XT!AG250))=3)*(CHOOSE({1,2,3,4},XT!X250,XT!AB250,XT!AF250,XT!AJ250)))</f>
        <v>0</v>
      </c>
      <c r="J250" t="str">
        <f>IFERROR(INDEX(CHOOSE({1,2,3,4}, DAY(XT!U250), DAY(XT!Y250), DAY(XT!AC250), DAY(XT!AG250)), MATCH(1, INDEX(--(MONTH(CHOOSE({1,2,3,4}, XT!U250,XT!Y250,XT!AC250,XT!AG250))=3), 0), 0)), "")</f>
        <v/>
      </c>
      <c r="K250" s="12" t="str">
        <f>IF(XT!$P250&gt;0,J250,"")</f>
        <v/>
      </c>
      <c r="L250" s="12" t="str">
        <f>IF(XT!$P250=0,J250,"")</f>
        <v/>
      </c>
      <c r="M250">
        <f>SUMPRODUCT((MONTH(CHOOSE({1,2,3,4},XT!U250,XT!Y250,XT!AC250,XT!AG250))=4)*(CHOOSE({1,2,3,4},XT!X250,XT!AB250,XT!AF250,XT!AJ250)))</f>
        <v>0</v>
      </c>
      <c r="N250" t="str">
        <f>IFERROR(INDEX(CHOOSE({1,2,3,4}, DAY(XT!U250), DAY(XT!Y250), DAY(XT!AC250), DAY(XT!AG250)), MATCH(1, INDEX(--(MONTH(CHOOSE({1,2,3,4}, XT!U250,XT!Y250,XT!AC250,XT!AG250))=4), 0), 0)), "")</f>
        <v/>
      </c>
      <c r="O250" s="12" t="str">
        <f>IF(XT!$P250&gt;0,N250,"")</f>
        <v/>
      </c>
      <c r="P250" s="12" t="str">
        <f>IF(XT!$P250=0,N250,"")</f>
        <v/>
      </c>
      <c r="Q250">
        <f>SUMPRODUCT((MONTH(CHOOSE({1,2,3,4},XT!U250,XT!Y250,XT!AC250,XT!AG250))=5)*(CHOOSE({1,2,3,4},XT!X250,XT!AB250,XT!AF250,XT!AJ250)))</f>
        <v>0</v>
      </c>
      <c r="R250" t="str">
        <f>IFERROR(INDEX(CHOOSE({1,2,3,4}, DAY(XT!U250), DAY(XT!Y250), DAY(XT!AC250), DAY(XT!AG250)), MATCH(1, INDEX(--(MONTH(CHOOSE({1,2,3,4}, XT!U250,XT!Y250,XT!AC250,XT!AG250))=5), 0), 0)), "")</f>
        <v/>
      </c>
      <c r="S250" s="12" t="str">
        <f>IF(XT!$P250&gt;0,R250,"")</f>
        <v/>
      </c>
      <c r="T250" s="12" t="str">
        <f>IF(XT!$P250=0,R250,"")</f>
        <v/>
      </c>
      <c r="U250">
        <f>SUMPRODUCT((MONTH(CHOOSE({1,2,3,4},XT!U250,XT!Y250,XT!AC250,XT!AG250))=6)*(CHOOSE({1,2,3,4},XT!X250,XT!AB250,XT!AF250,XT!AJ250)))</f>
        <v>0</v>
      </c>
      <c r="V250" t="str">
        <f>IFERROR(INDEX(CHOOSE({1,2,3,4}, DAY(XT!U250), DAY(XT!Y250), DAY(XT!AC250), DAY(XT!AG250)), MATCH(1, INDEX(--(MONTH(CHOOSE({1,2,3,4}, XT!U250,XT!Y250,XT!AC250,XT!AG250))=6), 0), 0)), "")</f>
        <v/>
      </c>
      <c r="W250" s="12" t="str">
        <f>IF(XT!$P250&gt;0,V250,"")</f>
        <v/>
      </c>
      <c r="X250" s="12" t="str">
        <f>IF(XT!$P250=0,V250,"")</f>
        <v/>
      </c>
      <c r="Y250">
        <f>SUMPRODUCT((MONTH(CHOOSE({1,2,3,4},XT!U250,XT!Y250,XT!AC250,XT!AG250))=7)*(CHOOSE({1,2,3,4},XT!X250,XT!AB250,XT!AF250,XT!AJ250)))</f>
        <v>0</v>
      </c>
      <c r="Z250" t="str">
        <f>IFERROR(INDEX(CHOOSE({1,2,3,4}, DAY(XT!U250), DAY(XT!Y250), DAY(XT!AC250), DAY(XT!AG250)), MATCH(1, INDEX(--(MONTH(CHOOSE({1,2,3,4}, XT!U250,XT!Y250,XT!AC250,XT!AG250))=7), 0), 0)), "")</f>
        <v/>
      </c>
      <c r="AA250" s="12" t="str">
        <f>IF(XT!$P250&gt;0,Z250,"")</f>
        <v/>
      </c>
      <c r="AB250" s="12" t="str">
        <f>IF(XT!$P250=0,Z250,"")</f>
        <v/>
      </c>
      <c r="AC250">
        <f>SUMPRODUCT((MONTH(CHOOSE({1,2,3,4},XT!U250,XT!Y250,XT!AC250,XT!AG250))=8)*(CHOOSE({1,2,3,4},XT!X250,XT!AB250,XT!AF250,XT!AJ250)))</f>
        <v>0</v>
      </c>
      <c r="AD250" t="str">
        <f>IFERROR(INDEX(CHOOSE({1,2,3,4}, DAY(XT!U250), DAY(XT!Y250), DAY(XT!AC250), DAY(XT!AG250)), MATCH(1, INDEX(--(MONTH(CHOOSE({1,2,3,4}, XT!U250,XT!Y250,XT!AC250,XT!AG250))=8), 0), 0)), "")</f>
        <v/>
      </c>
      <c r="AE250" s="12" t="str">
        <f>IF(XT!$P250&gt;0,AD250,"")</f>
        <v/>
      </c>
      <c r="AF250" s="12" t="str">
        <f>IF(XT!$P250=0,AD250,"")</f>
        <v/>
      </c>
      <c r="AG250">
        <f>SUMPRODUCT((MONTH(CHOOSE({1,2,3,4},XT!U250,XT!Y250,XT!AC250,XT!AG250))=9)*(CHOOSE({1,2,3,4},XT!X250,XT!AB250,XT!AF250,XT!AJ250)))</f>
        <v>0</v>
      </c>
      <c r="AH250" t="str">
        <f>IFERROR(INDEX(CHOOSE({1,2,3,4}, DAY(XT!U250), DAY(XT!Y250), DAY(XT!AC250), DAY(XT!AG250)), MATCH(1, INDEX(--(MONTH(CHOOSE({1,2,3,4}, XT!U250,XT!Y250,XT!AC250,XT!AG250))=9), 0), 0)), "")</f>
        <v/>
      </c>
      <c r="AI250" s="12" t="str">
        <f>IF(XT!$P250&gt;0,AH250,"")</f>
        <v/>
      </c>
      <c r="AJ250" s="12" t="str">
        <f>IF(XT!$P250=0,AH250,"")</f>
        <v/>
      </c>
      <c r="AK250">
        <f>SUMPRODUCT((MONTH(CHOOSE({1,2,3,4},XT!U250,XT!Y250,XT!AC250,XT!AG250))=10)*(CHOOSE({1,2,3,4},XT!X250,XT!AB250,XT!AF250,XT!AJ250)))</f>
        <v>0</v>
      </c>
      <c r="AL250" t="str">
        <f>IFERROR(INDEX(CHOOSE({1,2,3,4}, DAY(XT!U250), DAY(XT!Y250), DAY(XT!AC250), DAY(XT!AG250)), MATCH(1, INDEX(--(MONTH(CHOOSE({1,2,3,4}, XT!U250,XT!Y250,XT!AC250,XT!AG250))=10), 0), 0)), "")</f>
        <v/>
      </c>
      <c r="AM250" s="12" t="str">
        <f>IF(XT!$P250&gt;0,AL250,"")</f>
        <v/>
      </c>
      <c r="AN250" s="12" t="str">
        <f>IF(XT!$P250=0,AL250,"")</f>
        <v/>
      </c>
      <c r="AO250">
        <f>SUMPRODUCT((MONTH(CHOOSE({1,2,3,4},XT!U250,XT!Y250,XT!AC250,XT!AG250))=11)*(CHOOSE({1,2,3,4},XT!X250,XT!AB250,XT!AF250,XT!AJ250)))</f>
        <v>0</v>
      </c>
      <c r="AP250" t="str">
        <f>IFERROR(INDEX(CHOOSE({1,2,3,4}, DAY(XT!U250), DAY(XT!Y250), DAY(XT!AC250), DAY(XT!AG250)), MATCH(1, INDEX(--(MONTH(CHOOSE({1,2,3,4}, XT!U250,XT!Y250,XT!AC250,XT!AG250))=11), 0), 0)), "")</f>
        <v/>
      </c>
      <c r="AQ250" s="12" t="str">
        <f>IF(XT!$P250&gt;0,AP250,"")</f>
        <v/>
      </c>
      <c r="AR250" s="12" t="str">
        <f>IF(XT!$P250=0,AP250,"")</f>
        <v/>
      </c>
      <c r="AS250">
        <f>SUMPRODUCT((MONTH(CHOOSE({1,2,3,4},XT!U250,XT!Y250,XT!AC250,XT!AG250))=12)*(CHOOSE({1,2,3,4},XT!X250,XT!AB250,XT!AF250,XT!AJ250)))</f>
        <v>0</v>
      </c>
      <c r="AT250" t="str">
        <f>IFERROR(INDEX(CHOOSE({1,2,3,4}, DAY(XT!U250), DAY(XT!Y250), DAY(XT!AC250), DAY(XT!AG250)), MATCH(1, INDEX(--(MONTH(CHOOSE({1,2,3,4}, XT!U250,XT!Y250,XT!AC250,XT!AG250))=12), 0), 0)), "")</f>
        <v/>
      </c>
      <c r="AU250" s="12" t="str">
        <f>IF(XT!$P250&gt;0,AT250,"")</f>
        <v/>
      </c>
      <c r="AV250" s="12" t="str">
        <f>IF(XT!$P250=0,AT250,"")</f>
        <v/>
      </c>
    </row>
    <row r="251" spans="1:48">
      <c r="A251">
        <f>SUMPRODUCT((MONTH(CHOOSE({1,2,3,4},XT!U251,XT!Y251,XT!AC251,XT!AG251))=1)*(CHOOSE({1,2,3,4},XT!X251,XT!AB251,XT!AF251,XT!AJ251)))</f>
        <v>0</v>
      </c>
      <c r="B251">
        <f>IFERROR(INDEX(CHOOSE({1,2,3,4}, DAY(XT!U251), DAY(XT!Y251), DAY(XT!AC251), DAY(XT!AG251)), MATCH(1, INDEX(--(MONTH(CHOOSE({1,2,3,4}, XT!U251,XT!Y251,XT!AC251,XT!AG251))=1), 0), 0)), "")</f>
        <v>0</v>
      </c>
      <c r="C251" s="12" t="str">
        <f>IF(XT!$P251&gt;0,B251,"")</f>
        <v/>
      </c>
      <c r="D251" s="12">
        <f>IF(XT!$P251=0,B251,"")</f>
        <v>0</v>
      </c>
      <c r="E251">
        <f>SUMPRODUCT((MONTH(CHOOSE({1,2,3,4},XT!U251,XT!Y251,XT!AC251,XT!AG251))=2)*(CHOOSE({1,2,3,4},XT!X251,XT!AB251,XT!AF251,XT!AJ251)))</f>
        <v>0</v>
      </c>
      <c r="F251" t="str">
        <f>IFERROR(INDEX(CHOOSE({1,2,3,4}, DAY(XT!U251), DAY(XT!Y251), DAY(XT!AC251), DAY(XT!AG251)), MATCH(1, INDEX(--(MONTH(CHOOSE({1,2,3,4}, XT!U251,XT!Y251,XT!AC251,XT!AG251))=2), 0), 0)), "")</f>
        <v/>
      </c>
      <c r="G251" s="12" t="str">
        <f>IF(XT!$P251&gt;0,F251,"")</f>
        <v/>
      </c>
      <c r="H251" s="12" t="str">
        <f>IF(XT!$P251=0,F251,"")</f>
        <v/>
      </c>
      <c r="I251">
        <f>SUMPRODUCT((MONTH(CHOOSE({1,2,3,4},XT!U251,XT!Y251,XT!AC251,XT!AG251))=3)*(CHOOSE({1,2,3,4},XT!X251,XT!AB251,XT!AF251,XT!AJ251)))</f>
        <v>0</v>
      </c>
      <c r="J251" t="str">
        <f>IFERROR(INDEX(CHOOSE({1,2,3,4}, DAY(XT!U251), DAY(XT!Y251), DAY(XT!AC251), DAY(XT!AG251)), MATCH(1, INDEX(--(MONTH(CHOOSE({1,2,3,4}, XT!U251,XT!Y251,XT!AC251,XT!AG251))=3), 0), 0)), "")</f>
        <v/>
      </c>
      <c r="K251" s="12" t="str">
        <f>IF(XT!$P251&gt;0,J251,"")</f>
        <v/>
      </c>
      <c r="L251" s="12" t="str">
        <f>IF(XT!$P251=0,J251,"")</f>
        <v/>
      </c>
      <c r="M251">
        <f>SUMPRODUCT((MONTH(CHOOSE({1,2,3,4},XT!U251,XT!Y251,XT!AC251,XT!AG251))=4)*(CHOOSE({1,2,3,4},XT!X251,XT!AB251,XT!AF251,XT!AJ251)))</f>
        <v>0</v>
      </c>
      <c r="N251" t="str">
        <f>IFERROR(INDEX(CHOOSE({1,2,3,4}, DAY(XT!U251), DAY(XT!Y251), DAY(XT!AC251), DAY(XT!AG251)), MATCH(1, INDEX(--(MONTH(CHOOSE({1,2,3,4}, XT!U251,XT!Y251,XT!AC251,XT!AG251))=4), 0), 0)), "")</f>
        <v/>
      </c>
      <c r="O251" s="12" t="str">
        <f>IF(XT!$P251&gt;0,N251,"")</f>
        <v/>
      </c>
      <c r="P251" s="12" t="str">
        <f>IF(XT!$P251=0,N251,"")</f>
        <v/>
      </c>
      <c r="Q251">
        <f>SUMPRODUCT((MONTH(CHOOSE({1,2,3,4},XT!U251,XT!Y251,XT!AC251,XT!AG251))=5)*(CHOOSE({1,2,3,4},XT!X251,XT!AB251,XT!AF251,XT!AJ251)))</f>
        <v>0</v>
      </c>
      <c r="R251" t="str">
        <f>IFERROR(INDEX(CHOOSE({1,2,3,4}, DAY(XT!U251), DAY(XT!Y251), DAY(XT!AC251), DAY(XT!AG251)), MATCH(1, INDEX(--(MONTH(CHOOSE({1,2,3,4}, XT!U251,XT!Y251,XT!AC251,XT!AG251))=5), 0), 0)), "")</f>
        <v/>
      </c>
      <c r="S251" s="12" t="str">
        <f>IF(XT!$P251&gt;0,R251,"")</f>
        <v/>
      </c>
      <c r="T251" s="12" t="str">
        <f>IF(XT!$P251=0,R251,"")</f>
        <v/>
      </c>
      <c r="U251">
        <f>SUMPRODUCT((MONTH(CHOOSE({1,2,3,4},XT!U251,XT!Y251,XT!AC251,XT!AG251))=6)*(CHOOSE({1,2,3,4},XT!X251,XT!AB251,XT!AF251,XT!AJ251)))</f>
        <v>0</v>
      </c>
      <c r="V251" t="str">
        <f>IFERROR(INDEX(CHOOSE({1,2,3,4}, DAY(XT!U251), DAY(XT!Y251), DAY(XT!AC251), DAY(XT!AG251)), MATCH(1, INDEX(--(MONTH(CHOOSE({1,2,3,4}, XT!U251,XT!Y251,XT!AC251,XT!AG251))=6), 0), 0)), "")</f>
        <v/>
      </c>
      <c r="W251" s="12" t="str">
        <f>IF(XT!$P251&gt;0,V251,"")</f>
        <v/>
      </c>
      <c r="X251" s="12" t="str">
        <f>IF(XT!$P251=0,V251,"")</f>
        <v/>
      </c>
      <c r="Y251">
        <f>SUMPRODUCT((MONTH(CHOOSE({1,2,3,4},XT!U251,XT!Y251,XT!AC251,XT!AG251))=7)*(CHOOSE({1,2,3,4},XT!X251,XT!AB251,XT!AF251,XT!AJ251)))</f>
        <v>0</v>
      </c>
      <c r="Z251" t="str">
        <f>IFERROR(INDEX(CHOOSE({1,2,3,4}, DAY(XT!U251), DAY(XT!Y251), DAY(XT!AC251), DAY(XT!AG251)), MATCH(1, INDEX(--(MONTH(CHOOSE({1,2,3,4}, XT!U251,XT!Y251,XT!AC251,XT!AG251))=7), 0), 0)), "")</f>
        <v/>
      </c>
      <c r="AA251" s="12" t="str">
        <f>IF(XT!$P251&gt;0,Z251,"")</f>
        <v/>
      </c>
      <c r="AB251" s="12" t="str">
        <f>IF(XT!$P251=0,Z251,"")</f>
        <v/>
      </c>
      <c r="AC251">
        <f>SUMPRODUCT((MONTH(CHOOSE({1,2,3,4},XT!U251,XT!Y251,XT!AC251,XT!AG251))=8)*(CHOOSE({1,2,3,4},XT!X251,XT!AB251,XT!AF251,XT!AJ251)))</f>
        <v>0</v>
      </c>
      <c r="AD251" t="str">
        <f>IFERROR(INDEX(CHOOSE({1,2,3,4}, DAY(XT!U251), DAY(XT!Y251), DAY(XT!AC251), DAY(XT!AG251)), MATCH(1, INDEX(--(MONTH(CHOOSE({1,2,3,4}, XT!U251,XT!Y251,XT!AC251,XT!AG251))=8), 0), 0)), "")</f>
        <v/>
      </c>
      <c r="AE251" s="12" t="str">
        <f>IF(XT!$P251&gt;0,AD251,"")</f>
        <v/>
      </c>
      <c r="AF251" s="12" t="str">
        <f>IF(XT!$P251=0,AD251,"")</f>
        <v/>
      </c>
      <c r="AG251">
        <f>SUMPRODUCT((MONTH(CHOOSE({1,2,3,4},XT!U251,XT!Y251,XT!AC251,XT!AG251))=9)*(CHOOSE({1,2,3,4},XT!X251,XT!AB251,XT!AF251,XT!AJ251)))</f>
        <v>0</v>
      </c>
      <c r="AH251" t="str">
        <f>IFERROR(INDEX(CHOOSE({1,2,3,4}, DAY(XT!U251), DAY(XT!Y251), DAY(XT!AC251), DAY(XT!AG251)), MATCH(1, INDEX(--(MONTH(CHOOSE({1,2,3,4}, XT!U251,XT!Y251,XT!AC251,XT!AG251))=9), 0), 0)), "")</f>
        <v/>
      </c>
      <c r="AI251" s="12" t="str">
        <f>IF(XT!$P251&gt;0,AH251,"")</f>
        <v/>
      </c>
      <c r="AJ251" s="12" t="str">
        <f>IF(XT!$P251=0,AH251,"")</f>
        <v/>
      </c>
      <c r="AK251">
        <f>SUMPRODUCT((MONTH(CHOOSE({1,2,3,4},XT!U251,XT!Y251,XT!AC251,XT!AG251))=10)*(CHOOSE({1,2,3,4},XT!X251,XT!AB251,XT!AF251,XT!AJ251)))</f>
        <v>0</v>
      </c>
      <c r="AL251" t="str">
        <f>IFERROR(INDEX(CHOOSE({1,2,3,4}, DAY(XT!U251), DAY(XT!Y251), DAY(XT!AC251), DAY(XT!AG251)), MATCH(1, INDEX(--(MONTH(CHOOSE({1,2,3,4}, XT!U251,XT!Y251,XT!AC251,XT!AG251))=10), 0), 0)), "")</f>
        <v/>
      </c>
      <c r="AM251" s="12" t="str">
        <f>IF(XT!$P251&gt;0,AL251,"")</f>
        <v/>
      </c>
      <c r="AN251" s="12" t="str">
        <f>IF(XT!$P251=0,AL251,"")</f>
        <v/>
      </c>
      <c r="AO251">
        <f>SUMPRODUCT((MONTH(CHOOSE({1,2,3,4},XT!U251,XT!Y251,XT!AC251,XT!AG251))=11)*(CHOOSE({1,2,3,4},XT!X251,XT!AB251,XT!AF251,XT!AJ251)))</f>
        <v>0</v>
      </c>
      <c r="AP251" t="str">
        <f>IFERROR(INDEX(CHOOSE({1,2,3,4}, DAY(XT!U251), DAY(XT!Y251), DAY(XT!AC251), DAY(XT!AG251)), MATCH(1, INDEX(--(MONTH(CHOOSE({1,2,3,4}, XT!U251,XT!Y251,XT!AC251,XT!AG251))=11), 0), 0)), "")</f>
        <v/>
      </c>
      <c r="AQ251" s="12" t="str">
        <f>IF(XT!$P251&gt;0,AP251,"")</f>
        <v/>
      </c>
      <c r="AR251" s="12" t="str">
        <f>IF(XT!$P251=0,AP251,"")</f>
        <v/>
      </c>
      <c r="AS251">
        <f>SUMPRODUCT((MONTH(CHOOSE({1,2,3,4},XT!U251,XT!Y251,XT!AC251,XT!AG251))=12)*(CHOOSE({1,2,3,4},XT!X251,XT!AB251,XT!AF251,XT!AJ251)))</f>
        <v>0</v>
      </c>
      <c r="AT251" t="str">
        <f>IFERROR(INDEX(CHOOSE({1,2,3,4}, DAY(XT!U251), DAY(XT!Y251), DAY(XT!AC251), DAY(XT!AG251)), MATCH(1, INDEX(--(MONTH(CHOOSE({1,2,3,4}, XT!U251,XT!Y251,XT!AC251,XT!AG251))=12), 0), 0)), "")</f>
        <v/>
      </c>
      <c r="AU251" s="12" t="str">
        <f>IF(XT!$P251&gt;0,AT251,"")</f>
        <v/>
      </c>
      <c r="AV251" s="12" t="str">
        <f>IF(XT!$P251=0,AT251,"")</f>
        <v/>
      </c>
    </row>
    <row r="252" spans="1:48">
      <c r="A252">
        <f>SUMPRODUCT((MONTH(CHOOSE({1,2,3,4},XT!U252,XT!Y252,XT!AC252,XT!AG252))=1)*(CHOOSE({1,2,3,4},XT!X252,XT!AB252,XT!AF252,XT!AJ252)))</f>
        <v>0</v>
      </c>
      <c r="B252">
        <f>IFERROR(INDEX(CHOOSE({1,2,3,4}, DAY(XT!U252), DAY(XT!Y252), DAY(XT!AC252), DAY(XT!AG252)), MATCH(1, INDEX(--(MONTH(CHOOSE({1,2,3,4}, XT!U252,XT!Y252,XT!AC252,XT!AG252))=1), 0), 0)), "")</f>
        <v>0</v>
      </c>
      <c r="C252" s="12" t="str">
        <f>IF(XT!$P252&gt;0,B252,"")</f>
        <v/>
      </c>
      <c r="D252" s="12">
        <f>IF(XT!$P252=0,B252,"")</f>
        <v>0</v>
      </c>
      <c r="E252">
        <f>SUMPRODUCT((MONTH(CHOOSE({1,2,3,4},XT!U252,XT!Y252,XT!AC252,XT!AG252))=2)*(CHOOSE({1,2,3,4},XT!X252,XT!AB252,XT!AF252,XT!AJ252)))</f>
        <v>0</v>
      </c>
      <c r="F252" t="str">
        <f>IFERROR(INDEX(CHOOSE({1,2,3,4}, DAY(XT!U252), DAY(XT!Y252), DAY(XT!AC252), DAY(XT!AG252)), MATCH(1, INDEX(--(MONTH(CHOOSE({1,2,3,4}, XT!U252,XT!Y252,XT!AC252,XT!AG252))=2), 0), 0)), "")</f>
        <v/>
      </c>
      <c r="G252" s="12" t="str">
        <f>IF(XT!$P252&gt;0,F252,"")</f>
        <v/>
      </c>
      <c r="H252" s="12" t="str">
        <f>IF(XT!$P252=0,F252,"")</f>
        <v/>
      </c>
      <c r="I252">
        <f>SUMPRODUCT((MONTH(CHOOSE({1,2,3,4},XT!U252,XT!Y252,XT!AC252,XT!AG252))=3)*(CHOOSE({1,2,3,4},XT!X252,XT!AB252,XT!AF252,XT!AJ252)))</f>
        <v>0</v>
      </c>
      <c r="J252" t="str">
        <f>IFERROR(INDEX(CHOOSE({1,2,3,4}, DAY(XT!U252), DAY(XT!Y252), DAY(XT!AC252), DAY(XT!AG252)), MATCH(1, INDEX(--(MONTH(CHOOSE({1,2,3,4}, XT!U252,XT!Y252,XT!AC252,XT!AG252))=3), 0), 0)), "")</f>
        <v/>
      </c>
      <c r="K252" s="12" t="str">
        <f>IF(XT!$P252&gt;0,J252,"")</f>
        <v/>
      </c>
      <c r="L252" s="12" t="str">
        <f>IF(XT!$P252=0,J252,"")</f>
        <v/>
      </c>
      <c r="M252">
        <f>SUMPRODUCT((MONTH(CHOOSE({1,2,3,4},XT!U252,XT!Y252,XT!AC252,XT!AG252))=4)*(CHOOSE({1,2,3,4},XT!X252,XT!AB252,XT!AF252,XT!AJ252)))</f>
        <v>0</v>
      </c>
      <c r="N252" t="str">
        <f>IFERROR(INDEX(CHOOSE({1,2,3,4}, DAY(XT!U252), DAY(XT!Y252), DAY(XT!AC252), DAY(XT!AG252)), MATCH(1, INDEX(--(MONTH(CHOOSE({1,2,3,4}, XT!U252,XT!Y252,XT!AC252,XT!AG252))=4), 0), 0)), "")</f>
        <v/>
      </c>
      <c r="O252" s="12" t="str">
        <f>IF(XT!$P252&gt;0,N252,"")</f>
        <v/>
      </c>
      <c r="P252" s="12" t="str">
        <f>IF(XT!$P252=0,N252,"")</f>
        <v/>
      </c>
      <c r="Q252">
        <f>SUMPRODUCT((MONTH(CHOOSE({1,2,3,4},XT!U252,XT!Y252,XT!AC252,XT!AG252))=5)*(CHOOSE({1,2,3,4},XT!X252,XT!AB252,XT!AF252,XT!AJ252)))</f>
        <v>0</v>
      </c>
      <c r="R252" t="str">
        <f>IFERROR(INDEX(CHOOSE({1,2,3,4}, DAY(XT!U252), DAY(XT!Y252), DAY(XT!AC252), DAY(XT!AG252)), MATCH(1, INDEX(--(MONTH(CHOOSE({1,2,3,4}, XT!U252,XT!Y252,XT!AC252,XT!AG252))=5), 0), 0)), "")</f>
        <v/>
      </c>
      <c r="S252" s="12" t="str">
        <f>IF(XT!$P252&gt;0,R252,"")</f>
        <v/>
      </c>
      <c r="T252" s="12" t="str">
        <f>IF(XT!$P252=0,R252,"")</f>
        <v/>
      </c>
      <c r="U252">
        <f>SUMPRODUCT((MONTH(CHOOSE({1,2,3,4},XT!U252,XT!Y252,XT!AC252,XT!AG252))=6)*(CHOOSE({1,2,3,4},XT!X252,XT!AB252,XT!AF252,XT!AJ252)))</f>
        <v>0</v>
      </c>
      <c r="V252" t="str">
        <f>IFERROR(INDEX(CHOOSE({1,2,3,4}, DAY(XT!U252), DAY(XT!Y252), DAY(XT!AC252), DAY(XT!AG252)), MATCH(1, INDEX(--(MONTH(CHOOSE({1,2,3,4}, XT!U252,XT!Y252,XT!AC252,XT!AG252))=6), 0), 0)), "")</f>
        <v/>
      </c>
      <c r="W252" s="12" t="str">
        <f>IF(XT!$P252&gt;0,V252,"")</f>
        <v/>
      </c>
      <c r="X252" s="12" t="str">
        <f>IF(XT!$P252=0,V252,"")</f>
        <v/>
      </c>
      <c r="Y252">
        <f>SUMPRODUCT((MONTH(CHOOSE({1,2,3,4},XT!U252,XT!Y252,XT!AC252,XT!AG252))=7)*(CHOOSE({1,2,3,4},XT!X252,XT!AB252,XT!AF252,XT!AJ252)))</f>
        <v>0</v>
      </c>
      <c r="Z252" t="str">
        <f>IFERROR(INDEX(CHOOSE({1,2,3,4}, DAY(XT!U252), DAY(XT!Y252), DAY(XT!AC252), DAY(XT!AG252)), MATCH(1, INDEX(--(MONTH(CHOOSE({1,2,3,4}, XT!U252,XT!Y252,XT!AC252,XT!AG252))=7), 0), 0)), "")</f>
        <v/>
      </c>
      <c r="AA252" s="12" t="str">
        <f>IF(XT!$P252&gt;0,Z252,"")</f>
        <v/>
      </c>
      <c r="AB252" s="12" t="str">
        <f>IF(XT!$P252=0,Z252,"")</f>
        <v/>
      </c>
      <c r="AC252">
        <f>SUMPRODUCT((MONTH(CHOOSE({1,2,3,4},XT!U252,XT!Y252,XT!AC252,XT!AG252))=8)*(CHOOSE({1,2,3,4},XT!X252,XT!AB252,XT!AF252,XT!AJ252)))</f>
        <v>0</v>
      </c>
      <c r="AD252" t="str">
        <f>IFERROR(INDEX(CHOOSE({1,2,3,4}, DAY(XT!U252), DAY(XT!Y252), DAY(XT!AC252), DAY(XT!AG252)), MATCH(1, INDEX(--(MONTH(CHOOSE({1,2,3,4}, XT!U252,XT!Y252,XT!AC252,XT!AG252))=8), 0), 0)), "")</f>
        <v/>
      </c>
      <c r="AE252" s="12" t="str">
        <f>IF(XT!$P252&gt;0,AD252,"")</f>
        <v/>
      </c>
      <c r="AF252" s="12" t="str">
        <f>IF(XT!$P252=0,AD252,"")</f>
        <v/>
      </c>
      <c r="AG252">
        <f>SUMPRODUCT((MONTH(CHOOSE({1,2,3,4},XT!U252,XT!Y252,XT!AC252,XT!AG252))=9)*(CHOOSE({1,2,3,4},XT!X252,XT!AB252,XT!AF252,XT!AJ252)))</f>
        <v>0</v>
      </c>
      <c r="AH252" t="str">
        <f>IFERROR(INDEX(CHOOSE({1,2,3,4}, DAY(XT!U252), DAY(XT!Y252), DAY(XT!AC252), DAY(XT!AG252)), MATCH(1, INDEX(--(MONTH(CHOOSE({1,2,3,4}, XT!U252,XT!Y252,XT!AC252,XT!AG252))=9), 0), 0)), "")</f>
        <v/>
      </c>
      <c r="AI252" s="12" t="str">
        <f>IF(XT!$P252&gt;0,AH252,"")</f>
        <v/>
      </c>
      <c r="AJ252" s="12" t="str">
        <f>IF(XT!$P252=0,AH252,"")</f>
        <v/>
      </c>
      <c r="AK252">
        <f>SUMPRODUCT((MONTH(CHOOSE({1,2,3,4},XT!U252,XT!Y252,XT!AC252,XT!AG252))=10)*(CHOOSE({1,2,3,4},XT!X252,XT!AB252,XT!AF252,XT!AJ252)))</f>
        <v>0</v>
      </c>
      <c r="AL252" t="str">
        <f>IFERROR(INDEX(CHOOSE({1,2,3,4}, DAY(XT!U252), DAY(XT!Y252), DAY(XT!AC252), DAY(XT!AG252)), MATCH(1, INDEX(--(MONTH(CHOOSE({1,2,3,4}, XT!U252,XT!Y252,XT!AC252,XT!AG252))=10), 0), 0)), "")</f>
        <v/>
      </c>
      <c r="AM252" s="12" t="str">
        <f>IF(XT!$P252&gt;0,AL252,"")</f>
        <v/>
      </c>
      <c r="AN252" s="12" t="str">
        <f>IF(XT!$P252=0,AL252,"")</f>
        <v/>
      </c>
      <c r="AO252">
        <f>SUMPRODUCT((MONTH(CHOOSE({1,2,3,4},XT!U252,XT!Y252,XT!AC252,XT!AG252))=11)*(CHOOSE({1,2,3,4},XT!X252,XT!AB252,XT!AF252,XT!AJ252)))</f>
        <v>0</v>
      </c>
      <c r="AP252" t="str">
        <f>IFERROR(INDEX(CHOOSE({1,2,3,4}, DAY(XT!U252), DAY(XT!Y252), DAY(XT!AC252), DAY(XT!AG252)), MATCH(1, INDEX(--(MONTH(CHOOSE({1,2,3,4}, XT!U252,XT!Y252,XT!AC252,XT!AG252))=11), 0), 0)), "")</f>
        <v/>
      </c>
      <c r="AQ252" s="12" t="str">
        <f>IF(XT!$P252&gt;0,AP252,"")</f>
        <v/>
      </c>
      <c r="AR252" s="12" t="str">
        <f>IF(XT!$P252=0,AP252,"")</f>
        <v/>
      </c>
      <c r="AS252">
        <f>SUMPRODUCT((MONTH(CHOOSE({1,2,3,4},XT!U252,XT!Y252,XT!AC252,XT!AG252))=12)*(CHOOSE({1,2,3,4},XT!X252,XT!AB252,XT!AF252,XT!AJ252)))</f>
        <v>0</v>
      </c>
      <c r="AT252" t="str">
        <f>IFERROR(INDEX(CHOOSE({1,2,3,4}, DAY(XT!U252), DAY(XT!Y252), DAY(XT!AC252), DAY(XT!AG252)), MATCH(1, INDEX(--(MONTH(CHOOSE({1,2,3,4}, XT!U252,XT!Y252,XT!AC252,XT!AG252))=12), 0), 0)), "")</f>
        <v/>
      </c>
      <c r="AU252" s="12" t="str">
        <f>IF(XT!$P252&gt;0,AT252,"")</f>
        <v/>
      </c>
      <c r="AV252" s="12" t="str">
        <f>IF(XT!$P252=0,AT252,"")</f>
        <v/>
      </c>
    </row>
    <row r="253" spans="1:48">
      <c r="A253">
        <f>SUMPRODUCT((MONTH(CHOOSE({1,2,3,4},XT!U253,XT!Y253,XT!AC253,XT!AG253))=1)*(CHOOSE({1,2,3,4},XT!X253,XT!AB253,XT!AF253,XT!AJ253)))</f>
        <v>0</v>
      </c>
      <c r="B253">
        <f>IFERROR(INDEX(CHOOSE({1,2,3,4}, DAY(XT!U253), DAY(XT!Y253), DAY(XT!AC253), DAY(XT!AG253)), MATCH(1, INDEX(--(MONTH(CHOOSE({1,2,3,4}, XT!U253,XT!Y253,XT!AC253,XT!AG253))=1), 0), 0)), "")</f>
        <v>0</v>
      </c>
      <c r="C253" s="12" t="str">
        <f>IF(XT!$P253&gt;0,B253,"")</f>
        <v/>
      </c>
      <c r="D253" s="12">
        <f>IF(XT!$P253=0,B253,"")</f>
        <v>0</v>
      </c>
      <c r="E253">
        <f>SUMPRODUCT((MONTH(CHOOSE({1,2,3,4},XT!U253,XT!Y253,XT!AC253,XT!AG253))=2)*(CHOOSE({1,2,3,4},XT!X253,XT!AB253,XT!AF253,XT!AJ253)))</f>
        <v>0</v>
      </c>
      <c r="F253" t="str">
        <f>IFERROR(INDEX(CHOOSE({1,2,3,4}, DAY(XT!U253), DAY(XT!Y253), DAY(XT!AC253), DAY(XT!AG253)), MATCH(1, INDEX(--(MONTH(CHOOSE({1,2,3,4}, XT!U253,XT!Y253,XT!AC253,XT!AG253))=2), 0), 0)), "")</f>
        <v/>
      </c>
      <c r="G253" s="12" t="str">
        <f>IF(XT!$P253&gt;0,F253,"")</f>
        <v/>
      </c>
      <c r="H253" s="12" t="str">
        <f>IF(XT!$P253=0,F253,"")</f>
        <v/>
      </c>
      <c r="I253">
        <f>SUMPRODUCT((MONTH(CHOOSE({1,2,3,4},XT!U253,XT!Y253,XT!AC253,XT!AG253))=3)*(CHOOSE({1,2,3,4},XT!X253,XT!AB253,XT!AF253,XT!AJ253)))</f>
        <v>0</v>
      </c>
      <c r="J253" t="str">
        <f>IFERROR(INDEX(CHOOSE({1,2,3,4}, DAY(XT!U253), DAY(XT!Y253), DAY(XT!AC253), DAY(XT!AG253)), MATCH(1, INDEX(--(MONTH(CHOOSE({1,2,3,4}, XT!U253,XT!Y253,XT!AC253,XT!AG253))=3), 0), 0)), "")</f>
        <v/>
      </c>
      <c r="K253" s="12" t="str">
        <f>IF(XT!$P253&gt;0,J253,"")</f>
        <v/>
      </c>
      <c r="L253" s="12" t="str">
        <f>IF(XT!$P253=0,J253,"")</f>
        <v/>
      </c>
      <c r="M253">
        <f>SUMPRODUCT((MONTH(CHOOSE({1,2,3,4},XT!U253,XT!Y253,XT!AC253,XT!AG253))=4)*(CHOOSE({1,2,3,4},XT!X253,XT!AB253,XT!AF253,XT!AJ253)))</f>
        <v>0</v>
      </c>
      <c r="N253" t="str">
        <f>IFERROR(INDEX(CHOOSE({1,2,3,4}, DAY(XT!U253), DAY(XT!Y253), DAY(XT!AC253), DAY(XT!AG253)), MATCH(1, INDEX(--(MONTH(CHOOSE({1,2,3,4}, XT!U253,XT!Y253,XT!AC253,XT!AG253))=4), 0), 0)), "")</f>
        <v/>
      </c>
      <c r="O253" s="12" t="str">
        <f>IF(XT!$P253&gt;0,N253,"")</f>
        <v/>
      </c>
      <c r="P253" s="12" t="str">
        <f>IF(XT!$P253=0,N253,"")</f>
        <v/>
      </c>
      <c r="Q253">
        <f>SUMPRODUCT((MONTH(CHOOSE({1,2,3,4},XT!U253,XT!Y253,XT!AC253,XT!AG253))=5)*(CHOOSE({1,2,3,4},XT!X253,XT!AB253,XT!AF253,XT!AJ253)))</f>
        <v>0</v>
      </c>
      <c r="R253" t="str">
        <f>IFERROR(INDEX(CHOOSE({1,2,3,4}, DAY(XT!U253), DAY(XT!Y253), DAY(XT!AC253), DAY(XT!AG253)), MATCH(1, INDEX(--(MONTH(CHOOSE({1,2,3,4}, XT!U253,XT!Y253,XT!AC253,XT!AG253))=5), 0), 0)), "")</f>
        <v/>
      </c>
      <c r="S253" s="12" t="str">
        <f>IF(XT!$P253&gt;0,R253,"")</f>
        <v/>
      </c>
      <c r="T253" s="12" t="str">
        <f>IF(XT!$P253=0,R253,"")</f>
        <v/>
      </c>
      <c r="U253">
        <f>SUMPRODUCT((MONTH(CHOOSE({1,2,3,4},XT!U253,XT!Y253,XT!AC253,XT!AG253))=6)*(CHOOSE({1,2,3,4},XT!X253,XT!AB253,XT!AF253,XT!AJ253)))</f>
        <v>0</v>
      </c>
      <c r="V253" t="str">
        <f>IFERROR(INDEX(CHOOSE({1,2,3,4}, DAY(XT!U253), DAY(XT!Y253), DAY(XT!AC253), DAY(XT!AG253)), MATCH(1, INDEX(--(MONTH(CHOOSE({1,2,3,4}, XT!U253,XT!Y253,XT!AC253,XT!AG253))=6), 0), 0)), "")</f>
        <v/>
      </c>
      <c r="W253" s="12" t="str">
        <f>IF(XT!$P253&gt;0,V253,"")</f>
        <v/>
      </c>
      <c r="X253" s="12" t="str">
        <f>IF(XT!$P253=0,V253,"")</f>
        <v/>
      </c>
      <c r="Y253">
        <f>SUMPRODUCT((MONTH(CHOOSE({1,2,3,4},XT!U253,XT!Y253,XT!AC253,XT!AG253))=7)*(CHOOSE({1,2,3,4},XT!X253,XT!AB253,XT!AF253,XT!AJ253)))</f>
        <v>0</v>
      </c>
      <c r="Z253" t="str">
        <f>IFERROR(INDEX(CHOOSE({1,2,3,4}, DAY(XT!U253), DAY(XT!Y253), DAY(XT!AC253), DAY(XT!AG253)), MATCH(1, INDEX(--(MONTH(CHOOSE({1,2,3,4}, XT!U253,XT!Y253,XT!AC253,XT!AG253))=7), 0), 0)), "")</f>
        <v/>
      </c>
      <c r="AA253" s="12" t="str">
        <f>IF(XT!$P253&gt;0,Z253,"")</f>
        <v/>
      </c>
      <c r="AB253" s="12" t="str">
        <f>IF(XT!$P253=0,Z253,"")</f>
        <v/>
      </c>
      <c r="AC253">
        <f>SUMPRODUCT((MONTH(CHOOSE({1,2,3,4},XT!U253,XT!Y253,XT!AC253,XT!AG253))=8)*(CHOOSE({1,2,3,4},XT!X253,XT!AB253,XT!AF253,XT!AJ253)))</f>
        <v>0</v>
      </c>
      <c r="AD253" t="str">
        <f>IFERROR(INDEX(CHOOSE({1,2,3,4}, DAY(XT!U253), DAY(XT!Y253), DAY(XT!AC253), DAY(XT!AG253)), MATCH(1, INDEX(--(MONTH(CHOOSE({1,2,3,4}, XT!U253,XT!Y253,XT!AC253,XT!AG253))=8), 0), 0)), "")</f>
        <v/>
      </c>
      <c r="AE253" s="12" t="str">
        <f>IF(XT!$P253&gt;0,AD253,"")</f>
        <v/>
      </c>
      <c r="AF253" s="12" t="str">
        <f>IF(XT!$P253=0,AD253,"")</f>
        <v/>
      </c>
      <c r="AG253">
        <f>SUMPRODUCT((MONTH(CHOOSE({1,2,3,4},XT!U253,XT!Y253,XT!AC253,XT!AG253))=9)*(CHOOSE({1,2,3,4},XT!X253,XT!AB253,XT!AF253,XT!AJ253)))</f>
        <v>0</v>
      </c>
      <c r="AH253" t="str">
        <f>IFERROR(INDEX(CHOOSE({1,2,3,4}, DAY(XT!U253), DAY(XT!Y253), DAY(XT!AC253), DAY(XT!AG253)), MATCH(1, INDEX(--(MONTH(CHOOSE({1,2,3,4}, XT!U253,XT!Y253,XT!AC253,XT!AG253))=9), 0), 0)), "")</f>
        <v/>
      </c>
      <c r="AI253" s="12" t="str">
        <f>IF(XT!$P253&gt;0,AH253,"")</f>
        <v/>
      </c>
      <c r="AJ253" s="12" t="str">
        <f>IF(XT!$P253=0,AH253,"")</f>
        <v/>
      </c>
      <c r="AK253">
        <f>SUMPRODUCT((MONTH(CHOOSE({1,2,3,4},XT!U253,XT!Y253,XT!AC253,XT!AG253))=10)*(CHOOSE({1,2,3,4},XT!X253,XT!AB253,XT!AF253,XT!AJ253)))</f>
        <v>0</v>
      </c>
      <c r="AL253" t="str">
        <f>IFERROR(INDEX(CHOOSE({1,2,3,4}, DAY(XT!U253), DAY(XT!Y253), DAY(XT!AC253), DAY(XT!AG253)), MATCH(1, INDEX(--(MONTH(CHOOSE({1,2,3,4}, XT!U253,XT!Y253,XT!AC253,XT!AG253))=10), 0), 0)), "")</f>
        <v/>
      </c>
      <c r="AM253" s="12" t="str">
        <f>IF(XT!$P253&gt;0,AL253,"")</f>
        <v/>
      </c>
      <c r="AN253" s="12" t="str">
        <f>IF(XT!$P253=0,AL253,"")</f>
        <v/>
      </c>
      <c r="AO253">
        <f>SUMPRODUCT((MONTH(CHOOSE({1,2,3,4},XT!U253,XT!Y253,XT!AC253,XT!AG253))=11)*(CHOOSE({1,2,3,4},XT!X253,XT!AB253,XT!AF253,XT!AJ253)))</f>
        <v>0</v>
      </c>
      <c r="AP253" t="str">
        <f>IFERROR(INDEX(CHOOSE({1,2,3,4}, DAY(XT!U253), DAY(XT!Y253), DAY(XT!AC253), DAY(XT!AG253)), MATCH(1, INDEX(--(MONTH(CHOOSE({1,2,3,4}, XT!U253,XT!Y253,XT!AC253,XT!AG253))=11), 0), 0)), "")</f>
        <v/>
      </c>
      <c r="AQ253" s="12" t="str">
        <f>IF(XT!$P253&gt;0,AP253,"")</f>
        <v/>
      </c>
      <c r="AR253" s="12" t="str">
        <f>IF(XT!$P253=0,AP253,"")</f>
        <v/>
      </c>
      <c r="AS253">
        <f>SUMPRODUCT((MONTH(CHOOSE({1,2,3,4},XT!U253,XT!Y253,XT!AC253,XT!AG253))=12)*(CHOOSE({1,2,3,4},XT!X253,XT!AB253,XT!AF253,XT!AJ253)))</f>
        <v>0</v>
      </c>
      <c r="AT253" t="str">
        <f>IFERROR(INDEX(CHOOSE({1,2,3,4}, DAY(XT!U253), DAY(XT!Y253), DAY(XT!AC253), DAY(XT!AG253)), MATCH(1, INDEX(--(MONTH(CHOOSE({1,2,3,4}, XT!U253,XT!Y253,XT!AC253,XT!AG253))=12), 0), 0)), "")</f>
        <v/>
      </c>
      <c r="AU253" s="12" t="str">
        <f>IF(XT!$P253&gt;0,AT253,"")</f>
        <v/>
      </c>
      <c r="AV253" s="12" t="str">
        <f>IF(XT!$P253=0,AT253,"")</f>
        <v/>
      </c>
    </row>
    <row r="254" spans="1:48">
      <c r="A254">
        <f>SUMPRODUCT((MONTH(CHOOSE({1,2,3,4},XT!U254,XT!Y254,XT!AC254,XT!AG254))=1)*(CHOOSE({1,2,3,4},XT!X254,XT!AB254,XT!AF254,XT!AJ254)))</f>
        <v>0</v>
      </c>
      <c r="B254">
        <f>IFERROR(INDEX(CHOOSE({1,2,3,4}, DAY(XT!U254), DAY(XT!Y254), DAY(XT!AC254), DAY(XT!AG254)), MATCH(1, INDEX(--(MONTH(CHOOSE({1,2,3,4}, XT!U254,XT!Y254,XT!AC254,XT!AG254))=1), 0), 0)), "")</f>
        <v>0</v>
      </c>
      <c r="C254" s="12" t="str">
        <f>IF(XT!$P254&gt;0,B254,"")</f>
        <v/>
      </c>
      <c r="D254" s="12">
        <f>IF(XT!$P254=0,B254,"")</f>
        <v>0</v>
      </c>
      <c r="E254">
        <f>SUMPRODUCT((MONTH(CHOOSE({1,2,3,4},XT!U254,XT!Y254,XT!AC254,XT!AG254))=2)*(CHOOSE({1,2,3,4},XT!X254,XT!AB254,XT!AF254,XT!AJ254)))</f>
        <v>0</v>
      </c>
      <c r="F254" t="str">
        <f>IFERROR(INDEX(CHOOSE({1,2,3,4}, DAY(XT!U254), DAY(XT!Y254), DAY(XT!AC254), DAY(XT!AG254)), MATCH(1, INDEX(--(MONTH(CHOOSE({1,2,3,4}, XT!U254,XT!Y254,XT!AC254,XT!AG254))=2), 0), 0)), "")</f>
        <v/>
      </c>
      <c r="G254" s="12" t="str">
        <f>IF(XT!$P254&gt;0,F254,"")</f>
        <v/>
      </c>
      <c r="H254" s="12" t="str">
        <f>IF(XT!$P254=0,F254,"")</f>
        <v/>
      </c>
      <c r="I254">
        <f>SUMPRODUCT((MONTH(CHOOSE({1,2,3,4},XT!U254,XT!Y254,XT!AC254,XT!AG254))=3)*(CHOOSE({1,2,3,4},XT!X254,XT!AB254,XT!AF254,XT!AJ254)))</f>
        <v>0</v>
      </c>
      <c r="J254" t="str">
        <f>IFERROR(INDEX(CHOOSE({1,2,3,4}, DAY(XT!U254), DAY(XT!Y254), DAY(XT!AC254), DAY(XT!AG254)), MATCH(1, INDEX(--(MONTH(CHOOSE({1,2,3,4}, XT!U254,XT!Y254,XT!AC254,XT!AG254))=3), 0), 0)), "")</f>
        <v/>
      </c>
      <c r="K254" s="12" t="str">
        <f>IF(XT!$P254&gt;0,J254,"")</f>
        <v/>
      </c>
      <c r="L254" s="12" t="str">
        <f>IF(XT!$P254=0,J254,"")</f>
        <v/>
      </c>
      <c r="M254">
        <f>SUMPRODUCT((MONTH(CHOOSE({1,2,3,4},XT!U254,XT!Y254,XT!AC254,XT!AG254))=4)*(CHOOSE({1,2,3,4},XT!X254,XT!AB254,XT!AF254,XT!AJ254)))</f>
        <v>0</v>
      </c>
      <c r="N254" t="str">
        <f>IFERROR(INDEX(CHOOSE({1,2,3,4}, DAY(XT!U254), DAY(XT!Y254), DAY(XT!AC254), DAY(XT!AG254)), MATCH(1, INDEX(--(MONTH(CHOOSE({1,2,3,4}, XT!U254,XT!Y254,XT!AC254,XT!AG254))=4), 0), 0)), "")</f>
        <v/>
      </c>
      <c r="O254" s="12" t="str">
        <f>IF(XT!$P254&gt;0,N254,"")</f>
        <v/>
      </c>
      <c r="P254" s="12" t="str">
        <f>IF(XT!$P254=0,N254,"")</f>
        <v/>
      </c>
      <c r="Q254">
        <f>SUMPRODUCT((MONTH(CHOOSE({1,2,3,4},XT!U254,XT!Y254,XT!AC254,XT!AG254))=5)*(CHOOSE({1,2,3,4},XT!X254,XT!AB254,XT!AF254,XT!AJ254)))</f>
        <v>0</v>
      </c>
      <c r="R254" t="str">
        <f>IFERROR(INDEX(CHOOSE({1,2,3,4}, DAY(XT!U254), DAY(XT!Y254), DAY(XT!AC254), DAY(XT!AG254)), MATCH(1, INDEX(--(MONTH(CHOOSE({1,2,3,4}, XT!U254,XT!Y254,XT!AC254,XT!AG254))=5), 0), 0)), "")</f>
        <v/>
      </c>
      <c r="S254" s="12" t="str">
        <f>IF(XT!$P254&gt;0,R254,"")</f>
        <v/>
      </c>
      <c r="T254" s="12" t="str">
        <f>IF(XT!$P254=0,R254,"")</f>
        <v/>
      </c>
      <c r="U254">
        <f>SUMPRODUCT((MONTH(CHOOSE({1,2,3,4},XT!U254,XT!Y254,XT!AC254,XT!AG254))=6)*(CHOOSE({1,2,3,4},XT!X254,XT!AB254,XT!AF254,XT!AJ254)))</f>
        <v>0</v>
      </c>
      <c r="V254" t="str">
        <f>IFERROR(INDEX(CHOOSE({1,2,3,4}, DAY(XT!U254), DAY(XT!Y254), DAY(XT!AC254), DAY(XT!AG254)), MATCH(1, INDEX(--(MONTH(CHOOSE({1,2,3,4}, XT!U254,XT!Y254,XT!AC254,XT!AG254))=6), 0), 0)), "")</f>
        <v/>
      </c>
      <c r="W254" s="12" t="str">
        <f>IF(XT!$P254&gt;0,V254,"")</f>
        <v/>
      </c>
      <c r="X254" s="12" t="str">
        <f>IF(XT!$P254=0,V254,"")</f>
        <v/>
      </c>
      <c r="Y254">
        <f>SUMPRODUCT((MONTH(CHOOSE({1,2,3,4},XT!U254,XT!Y254,XT!AC254,XT!AG254))=7)*(CHOOSE({1,2,3,4},XT!X254,XT!AB254,XT!AF254,XT!AJ254)))</f>
        <v>0</v>
      </c>
      <c r="Z254" t="str">
        <f>IFERROR(INDEX(CHOOSE({1,2,3,4}, DAY(XT!U254), DAY(XT!Y254), DAY(XT!AC254), DAY(XT!AG254)), MATCH(1, INDEX(--(MONTH(CHOOSE({1,2,3,4}, XT!U254,XT!Y254,XT!AC254,XT!AG254))=7), 0), 0)), "")</f>
        <v/>
      </c>
      <c r="AA254" s="12" t="str">
        <f>IF(XT!$P254&gt;0,Z254,"")</f>
        <v/>
      </c>
      <c r="AB254" s="12" t="str">
        <f>IF(XT!$P254=0,Z254,"")</f>
        <v/>
      </c>
      <c r="AC254">
        <f>SUMPRODUCT((MONTH(CHOOSE({1,2,3,4},XT!U254,XT!Y254,XT!AC254,XT!AG254))=8)*(CHOOSE({1,2,3,4},XT!X254,XT!AB254,XT!AF254,XT!AJ254)))</f>
        <v>0</v>
      </c>
      <c r="AD254" t="str">
        <f>IFERROR(INDEX(CHOOSE({1,2,3,4}, DAY(XT!U254), DAY(XT!Y254), DAY(XT!AC254), DAY(XT!AG254)), MATCH(1, INDEX(--(MONTH(CHOOSE({1,2,3,4}, XT!U254,XT!Y254,XT!AC254,XT!AG254))=8), 0), 0)), "")</f>
        <v/>
      </c>
      <c r="AE254" s="12" t="str">
        <f>IF(XT!$P254&gt;0,AD254,"")</f>
        <v/>
      </c>
      <c r="AF254" s="12" t="str">
        <f>IF(XT!$P254=0,AD254,"")</f>
        <v/>
      </c>
      <c r="AG254">
        <f>SUMPRODUCT((MONTH(CHOOSE({1,2,3,4},XT!U254,XT!Y254,XT!AC254,XT!AG254))=9)*(CHOOSE({1,2,3,4},XT!X254,XT!AB254,XT!AF254,XT!AJ254)))</f>
        <v>0</v>
      </c>
      <c r="AH254" t="str">
        <f>IFERROR(INDEX(CHOOSE({1,2,3,4}, DAY(XT!U254), DAY(XT!Y254), DAY(XT!AC254), DAY(XT!AG254)), MATCH(1, INDEX(--(MONTH(CHOOSE({1,2,3,4}, XT!U254,XT!Y254,XT!AC254,XT!AG254))=9), 0), 0)), "")</f>
        <v/>
      </c>
      <c r="AI254" s="12" t="str">
        <f>IF(XT!$P254&gt;0,AH254,"")</f>
        <v/>
      </c>
      <c r="AJ254" s="12" t="str">
        <f>IF(XT!$P254=0,AH254,"")</f>
        <v/>
      </c>
      <c r="AK254">
        <f>SUMPRODUCT((MONTH(CHOOSE({1,2,3,4},XT!U254,XT!Y254,XT!AC254,XT!AG254))=10)*(CHOOSE({1,2,3,4},XT!X254,XT!AB254,XT!AF254,XT!AJ254)))</f>
        <v>0</v>
      </c>
      <c r="AL254" t="str">
        <f>IFERROR(INDEX(CHOOSE({1,2,3,4}, DAY(XT!U254), DAY(XT!Y254), DAY(XT!AC254), DAY(XT!AG254)), MATCH(1, INDEX(--(MONTH(CHOOSE({1,2,3,4}, XT!U254,XT!Y254,XT!AC254,XT!AG254))=10), 0), 0)), "")</f>
        <v/>
      </c>
      <c r="AM254" s="12" t="str">
        <f>IF(XT!$P254&gt;0,AL254,"")</f>
        <v/>
      </c>
      <c r="AN254" s="12" t="str">
        <f>IF(XT!$P254=0,AL254,"")</f>
        <v/>
      </c>
      <c r="AO254">
        <f>SUMPRODUCT((MONTH(CHOOSE({1,2,3,4},XT!U254,XT!Y254,XT!AC254,XT!AG254))=11)*(CHOOSE({1,2,3,4},XT!X254,XT!AB254,XT!AF254,XT!AJ254)))</f>
        <v>0</v>
      </c>
      <c r="AP254" t="str">
        <f>IFERROR(INDEX(CHOOSE({1,2,3,4}, DAY(XT!U254), DAY(XT!Y254), DAY(XT!AC254), DAY(XT!AG254)), MATCH(1, INDEX(--(MONTH(CHOOSE({1,2,3,4}, XT!U254,XT!Y254,XT!AC254,XT!AG254))=11), 0), 0)), "")</f>
        <v/>
      </c>
      <c r="AQ254" s="12" t="str">
        <f>IF(XT!$P254&gt;0,AP254,"")</f>
        <v/>
      </c>
      <c r="AR254" s="12" t="str">
        <f>IF(XT!$P254=0,AP254,"")</f>
        <v/>
      </c>
      <c r="AS254">
        <f>SUMPRODUCT((MONTH(CHOOSE({1,2,3,4},XT!U254,XT!Y254,XT!AC254,XT!AG254))=12)*(CHOOSE({1,2,3,4},XT!X254,XT!AB254,XT!AF254,XT!AJ254)))</f>
        <v>0</v>
      </c>
      <c r="AT254" t="str">
        <f>IFERROR(INDEX(CHOOSE({1,2,3,4}, DAY(XT!U254), DAY(XT!Y254), DAY(XT!AC254), DAY(XT!AG254)), MATCH(1, INDEX(--(MONTH(CHOOSE({1,2,3,4}, XT!U254,XT!Y254,XT!AC254,XT!AG254))=12), 0), 0)), "")</f>
        <v/>
      </c>
      <c r="AU254" s="12" t="str">
        <f>IF(XT!$P254&gt;0,AT254,"")</f>
        <v/>
      </c>
      <c r="AV254" s="12" t="str">
        <f>IF(XT!$P254=0,AT254,"")</f>
        <v/>
      </c>
    </row>
    <row r="255" spans="1:48">
      <c r="A255">
        <f>SUMPRODUCT((MONTH(CHOOSE({1,2,3,4},XT!U255,XT!Y255,XT!AC255,XT!AG255))=1)*(CHOOSE({1,2,3,4},XT!X255,XT!AB255,XT!AF255,XT!AJ255)))</f>
        <v>0</v>
      </c>
      <c r="B255">
        <f>IFERROR(INDEX(CHOOSE({1,2,3,4}, DAY(XT!U255), DAY(XT!Y255), DAY(XT!AC255), DAY(XT!AG255)), MATCH(1, INDEX(--(MONTH(CHOOSE({1,2,3,4}, XT!U255,XT!Y255,XT!AC255,XT!AG255))=1), 0), 0)), "")</f>
        <v>0</v>
      </c>
      <c r="C255" s="12" t="str">
        <f>IF(XT!$P255&gt;0,B255,"")</f>
        <v/>
      </c>
      <c r="D255" s="12">
        <f>IF(XT!$P255=0,B255,"")</f>
        <v>0</v>
      </c>
      <c r="E255">
        <f>SUMPRODUCT((MONTH(CHOOSE({1,2,3,4},XT!U255,XT!Y255,XT!AC255,XT!AG255))=2)*(CHOOSE({1,2,3,4},XT!X255,XT!AB255,XT!AF255,XT!AJ255)))</f>
        <v>0</v>
      </c>
      <c r="F255" t="str">
        <f>IFERROR(INDEX(CHOOSE({1,2,3,4}, DAY(XT!U255), DAY(XT!Y255), DAY(XT!AC255), DAY(XT!AG255)), MATCH(1, INDEX(--(MONTH(CHOOSE({1,2,3,4}, XT!U255,XT!Y255,XT!AC255,XT!AG255))=2), 0), 0)), "")</f>
        <v/>
      </c>
      <c r="G255" s="12" t="str">
        <f>IF(XT!$P255&gt;0,F255,"")</f>
        <v/>
      </c>
      <c r="H255" s="12" t="str">
        <f>IF(XT!$P255=0,F255,"")</f>
        <v/>
      </c>
      <c r="I255">
        <f>SUMPRODUCT((MONTH(CHOOSE({1,2,3,4},XT!U255,XT!Y255,XT!AC255,XT!AG255))=3)*(CHOOSE({1,2,3,4},XT!X255,XT!AB255,XT!AF255,XT!AJ255)))</f>
        <v>0</v>
      </c>
      <c r="J255" t="str">
        <f>IFERROR(INDEX(CHOOSE({1,2,3,4}, DAY(XT!U255), DAY(XT!Y255), DAY(XT!AC255), DAY(XT!AG255)), MATCH(1, INDEX(--(MONTH(CHOOSE({1,2,3,4}, XT!U255,XT!Y255,XT!AC255,XT!AG255))=3), 0), 0)), "")</f>
        <v/>
      </c>
      <c r="K255" s="12" t="str">
        <f>IF(XT!$P255&gt;0,J255,"")</f>
        <v/>
      </c>
      <c r="L255" s="12" t="str">
        <f>IF(XT!$P255=0,J255,"")</f>
        <v/>
      </c>
      <c r="M255">
        <f>SUMPRODUCT((MONTH(CHOOSE({1,2,3,4},XT!U255,XT!Y255,XT!AC255,XT!AG255))=4)*(CHOOSE({1,2,3,4},XT!X255,XT!AB255,XT!AF255,XT!AJ255)))</f>
        <v>0</v>
      </c>
      <c r="N255" t="str">
        <f>IFERROR(INDEX(CHOOSE({1,2,3,4}, DAY(XT!U255), DAY(XT!Y255), DAY(XT!AC255), DAY(XT!AG255)), MATCH(1, INDEX(--(MONTH(CHOOSE({1,2,3,4}, XT!U255,XT!Y255,XT!AC255,XT!AG255))=4), 0), 0)), "")</f>
        <v/>
      </c>
      <c r="O255" s="12" t="str">
        <f>IF(XT!$P255&gt;0,N255,"")</f>
        <v/>
      </c>
      <c r="P255" s="12" t="str">
        <f>IF(XT!$P255=0,N255,"")</f>
        <v/>
      </c>
      <c r="Q255">
        <f>SUMPRODUCT((MONTH(CHOOSE({1,2,3,4},XT!U255,XT!Y255,XT!AC255,XT!AG255))=5)*(CHOOSE({1,2,3,4},XT!X255,XT!AB255,XT!AF255,XT!AJ255)))</f>
        <v>0</v>
      </c>
      <c r="R255" t="str">
        <f>IFERROR(INDEX(CHOOSE({1,2,3,4}, DAY(XT!U255), DAY(XT!Y255), DAY(XT!AC255), DAY(XT!AG255)), MATCH(1, INDEX(--(MONTH(CHOOSE({1,2,3,4}, XT!U255,XT!Y255,XT!AC255,XT!AG255))=5), 0), 0)), "")</f>
        <v/>
      </c>
      <c r="S255" s="12" t="str">
        <f>IF(XT!$P255&gt;0,R255,"")</f>
        <v/>
      </c>
      <c r="T255" s="12" t="str">
        <f>IF(XT!$P255=0,R255,"")</f>
        <v/>
      </c>
      <c r="U255">
        <f>SUMPRODUCT((MONTH(CHOOSE({1,2,3,4},XT!U255,XT!Y255,XT!AC255,XT!AG255))=6)*(CHOOSE({1,2,3,4},XT!X255,XT!AB255,XT!AF255,XT!AJ255)))</f>
        <v>0</v>
      </c>
      <c r="V255" t="str">
        <f>IFERROR(INDEX(CHOOSE({1,2,3,4}, DAY(XT!U255), DAY(XT!Y255), DAY(XT!AC255), DAY(XT!AG255)), MATCH(1, INDEX(--(MONTH(CHOOSE({1,2,3,4}, XT!U255,XT!Y255,XT!AC255,XT!AG255))=6), 0), 0)), "")</f>
        <v/>
      </c>
      <c r="W255" s="12" t="str">
        <f>IF(XT!$P255&gt;0,V255,"")</f>
        <v/>
      </c>
      <c r="X255" s="12" t="str">
        <f>IF(XT!$P255=0,V255,"")</f>
        <v/>
      </c>
      <c r="Y255">
        <f>SUMPRODUCT((MONTH(CHOOSE({1,2,3,4},XT!U255,XT!Y255,XT!AC255,XT!AG255))=7)*(CHOOSE({1,2,3,4},XT!X255,XT!AB255,XT!AF255,XT!AJ255)))</f>
        <v>0</v>
      </c>
      <c r="Z255" t="str">
        <f>IFERROR(INDEX(CHOOSE({1,2,3,4}, DAY(XT!U255), DAY(XT!Y255), DAY(XT!AC255), DAY(XT!AG255)), MATCH(1, INDEX(--(MONTH(CHOOSE({1,2,3,4}, XT!U255,XT!Y255,XT!AC255,XT!AG255))=7), 0), 0)), "")</f>
        <v/>
      </c>
      <c r="AA255" s="12" t="str">
        <f>IF(XT!$P255&gt;0,Z255,"")</f>
        <v/>
      </c>
      <c r="AB255" s="12" t="str">
        <f>IF(XT!$P255=0,Z255,"")</f>
        <v/>
      </c>
      <c r="AC255">
        <f>SUMPRODUCT((MONTH(CHOOSE({1,2,3,4},XT!U255,XT!Y255,XT!AC255,XT!AG255))=8)*(CHOOSE({1,2,3,4},XT!X255,XT!AB255,XT!AF255,XT!AJ255)))</f>
        <v>0</v>
      </c>
      <c r="AD255" t="str">
        <f>IFERROR(INDEX(CHOOSE({1,2,3,4}, DAY(XT!U255), DAY(XT!Y255), DAY(XT!AC255), DAY(XT!AG255)), MATCH(1, INDEX(--(MONTH(CHOOSE({1,2,3,4}, XT!U255,XT!Y255,XT!AC255,XT!AG255))=8), 0), 0)), "")</f>
        <v/>
      </c>
      <c r="AE255" s="12" t="str">
        <f>IF(XT!$P255&gt;0,AD255,"")</f>
        <v/>
      </c>
      <c r="AF255" s="12" t="str">
        <f>IF(XT!$P255=0,AD255,"")</f>
        <v/>
      </c>
      <c r="AG255">
        <f>SUMPRODUCT((MONTH(CHOOSE({1,2,3,4},XT!U255,XT!Y255,XT!AC255,XT!AG255))=9)*(CHOOSE({1,2,3,4},XT!X255,XT!AB255,XT!AF255,XT!AJ255)))</f>
        <v>0</v>
      </c>
      <c r="AH255" t="str">
        <f>IFERROR(INDEX(CHOOSE({1,2,3,4}, DAY(XT!U255), DAY(XT!Y255), DAY(XT!AC255), DAY(XT!AG255)), MATCH(1, INDEX(--(MONTH(CHOOSE({1,2,3,4}, XT!U255,XT!Y255,XT!AC255,XT!AG255))=9), 0), 0)), "")</f>
        <v/>
      </c>
      <c r="AI255" s="12" t="str">
        <f>IF(XT!$P255&gt;0,AH255,"")</f>
        <v/>
      </c>
      <c r="AJ255" s="12" t="str">
        <f>IF(XT!$P255=0,AH255,"")</f>
        <v/>
      </c>
      <c r="AK255">
        <f>SUMPRODUCT((MONTH(CHOOSE({1,2,3,4},XT!U255,XT!Y255,XT!AC255,XT!AG255))=10)*(CHOOSE({1,2,3,4},XT!X255,XT!AB255,XT!AF255,XT!AJ255)))</f>
        <v>0</v>
      </c>
      <c r="AL255" t="str">
        <f>IFERROR(INDEX(CHOOSE({1,2,3,4}, DAY(XT!U255), DAY(XT!Y255), DAY(XT!AC255), DAY(XT!AG255)), MATCH(1, INDEX(--(MONTH(CHOOSE({1,2,3,4}, XT!U255,XT!Y255,XT!AC255,XT!AG255))=10), 0), 0)), "")</f>
        <v/>
      </c>
      <c r="AM255" s="12" t="str">
        <f>IF(XT!$P255&gt;0,AL255,"")</f>
        <v/>
      </c>
      <c r="AN255" s="12" t="str">
        <f>IF(XT!$P255=0,AL255,"")</f>
        <v/>
      </c>
      <c r="AO255">
        <f>SUMPRODUCT((MONTH(CHOOSE({1,2,3,4},XT!U255,XT!Y255,XT!AC255,XT!AG255))=11)*(CHOOSE({1,2,3,4},XT!X255,XT!AB255,XT!AF255,XT!AJ255)))</f>
        <v>0</v>
      </c>
      <c r="AP255" t="str">
        <f>IFERROR(INDEX(CHOOSE({1,2,3,4}, DAY(XT!U255), DAY(XT!Y255), DAY(XT!AC255), DAY(XT!AG255)), MATCH(1, INDEX(--(MONTH(CHOOSE({1,2,3,4}, XT!U255,XT!Y255,XT!AC255,XT!AG255))=11), 0), 0)), "")</f>
        <v/>
      </c>
      <c r="AQ255" s="12" t="str">
        <f>IF(XT!$P255&gt;0,AP255,"")</f>
        <v/>
      </c>
      <c r="AR255" s="12" t="str">
        <f>IF(XT!$P255=0,AP255,"")</f>
        <v/>
      </c>
      <c r="AS255">
        <f>SUMPRODUCT((MONTH(CHOOSE({1,2,3,4},XT!U255,XT!Y255,XT!AC255,XT!AG255))=12)*(CHOOSE({1,2,3,4},XT!X255,XT!AB255,XT!AF255,XT!AJ255)))</f>
        <v>0</v>
      </c>
      <c r="AT255" t="str">
        <f>IFERROR(INDEX(CHOOSE({1,2,3,4}, DAY(XT!U255), DAY(XT!Y255), DAY(XT!AC255), DAY(XT!AG255)), MATCH(1, INDEX(--(MONTH(CHOOSE({1,2,3,4}, XT!U255,XT!Y255,XT!AC255,XT!AG255))=12), 0), 0)), "")</f>
        <v/>
      </c>
      <c r="AU255" s="12" t="str">
        <f>IF(XT!$P255&gt;0,AT255,"")</f>
        <v/>
      </c>
      <c r="AV255" s="12" t="str">
        <f>IF(XT!$P255=0,AT255,"")</f>
        <v/>
      </c>
    </row>
    <row r="256" spans="1:48">
      <c r="A256">
        <f>SUMPRODUCT((MONTH(CHOOSE({1,2,3,4},XT!U256,XT!Y256,XT!AC256,XT!AG256))=1)*(CHOOSE({1,2,3,4},XT!X256,XT!AB256,XT!AF256,XT!AJ256)))</f>
        <v>0</v>
      </c>
      <c r="B256">
        <f>IFERROR(INDEX(CHOOSE({1,2,3,4}, DAY(XT!U256), DAY(XT!Y256), DAY(XT!AC256), DAY(XT!AG256)), MATCH(1, INDEX(--(MONTH(CHOOSE({1,2,3,4}, XT!U256,XT!Y256,XT!AC256,XT!AG256))=1), 0), 0)), "")</f>
        <v>0</v>
      </c>
      <c r="C256" s="12" t="str">
        <f>IF(XT!$P256&gt;0,B256,"")</f>
        <v/>
      </c>
      <c r="D256" s="12">
        <f>IF(XT!$P256=0,B256,"")</f>
        <v>0</v>
      </c>
      <c r="E256">
        <f>SUMPRODUCT((MONTH(CHOOSE({1,2,3,4},XT!U256,XT!Y256,XT!AC256,XT!AG256))=2)*(CHOOSE({1,2,3,4},XT!X256,XT!AB256,XT!AF256,XT!AJ256)))</f>
        <v>0</v>
      </c>
      <c r="F256" t="str">
        <f>IFERROR(INDEX(CHOOSE({1,2,3,4}, DAY(XT!U256), DAY(XT!Y256), DAY(XT!AC256), DAY(XT!AG256)), MATCH(1, INDEX(--(MONTH(CHOOSE({1,2,3,4}, XT!U256,XT!Y256,XT!AC256,XT!AG256))=2), 0), 0)), "")</f>
        <v/>
      </c>
      <c r="G256" s="12" t="str">
        <f>IF(XT!$P256&gt;0,F256,"")</f>
        <v/>
      </c>
      <c r="H256" s="12" t="str">
        <f>IF(XT!$P256=0,F256,"")</f>
        <v/>
      </c>
      <c r="I256">
        <f>SUMPRODUCT((MONTH(CHOOSE({1,2,3,4},XT!U256,XT!Y256,XT!AC256,XT!AG256))=3)*(CHOOSE({1,2,3,4},XT!X256,XT!AB256,XT!AF256,XT!AJ256)))</f>
        <v>0</v>
      </c>
      <c r="J256" t="str">
        <f>IFERROR(INDEX(CHOOSE({1,2,3,4}, DAY(XT!U256), DAY(XT!Y256), DAY(XT!AC256), DAY(XT!AG256)), MATCH(1, INDEX(--(MONTH(CHOOSE({1,2,3,4}, XT!U256,XT!Y256,XT!AC256,XT!AG256))=3), 0), 0)), "")</f>
        <v/>
      </c>
      <c r="K256" s="12" t="str">
        <f>IF(XT!$P256&gt;0,J256,"")</f>
        <v/>
      </c>
      <c r="L256" s="12" t="str">
        <f>IF(XT!$P256=0,J256,"")</f>
        <v/>
      </c>
      <c r="M256">
        <f>SUMPRODUCT((MONTH(CHOOSE({1,2,3,4},XT!U256,XT!Y256,XT!AC256,XT!AG256))=4)*(CHOOSE({1,2,3,4},XT!X256,XT!AB256,XT!AF256,XT!AJ256)))</f>
        <v>0</v>
      </c>
      <c r="N256" t="str">
        <f>IFERROR(INDEX(CHOOSE({1,2,3,4}, DAY(XT!U256), DAY(XT!Y256), DAY(XT!AC256), DAY(XT!AG256)), MATCH(1, INDEX(--(MONTH(CHOOSE({1,2,3,4}, XT!U256,XT!Y256,XT!AC256,XT!AG256))=4), 0), 0)), "")</f>
        <v/>
      </c>
      <c r="O256" s="12" t="str">
        <f>IF(XT!$P256&gt;0,N256,"")</f>
        <v/>
      </c>
      <c r="P256" s="12" t="str">
        <f>IF(XT!$P256=0,N256,"")</f>
        <v/>
      </c>
      <c r="Q256">
        <f>SUMPRODUCT((MONTH(CHOOSE({1,2,3,4},XT!U256,XT!Y256,XT!AC256,XT!AG256))=5)*(CHOOSE({1,2,3,4},XT!X256,XT!AB256,XT!AF256,XT!AJ256)))</f>
        <v>0</v>
      </c>
      <c r="R256" t="str">
        <f>IFERROR(INDEX(CHOOSE({1,2,3,4}, DAY(XT!U256), DAY(XT!Y256), DAY(XT!AC256), DAY(XT!AG256)), MATCH(1, INDEX(--(MONTH(CHOOSE({1,2,3,4}, XT!U256,XT!Y256,XT!AC256,XT!AG256))=5), 0), 0)), "")</f>
        <v/>
      </c>
      <c r="S256" s="12" t="str">
        <f>IF(XT!$P256&gt;0,R256,"")</f>
        <v/>
      </c>
      <c r="T256" s="12" t="str">
        <f>IF(XT!$P256=0,R256,"")</f>
        <v/>
      </c>
      <c r="U256">
        <f>SUMPRODUCT((MONTH(CHOOSE({1,2,3,4},XT!U256,XT!Y256,XT!AC256,XT!AG256))=6)*(CHOOSE({1,2,3,4},XT!X256,XT!AB256,XT!AF256,XT!AJ256)))</f>
        <v>0</v>
      </c>
      <c r="V256" t="str">
        <f>IFERROR(INDEX(CHOOSE({1,2,3,4}, DAY(XT!U256), DAY(XT!Y256), DAY(XT!AC256), DAY(XT!AG256)), MATCH(1, INDEX(--(MONTH(CHOOSE({1,2,3,4}, XT!U256,XT!Y256,XT!AC256,XT!AG256))=6), 0), 0)), "")</f>
        <v/>
      </c>
      <c r="W256" s="12" t="str">
        <f>IF(XT!$P256&gt;0,V256,"")</f>
        <v/>
      </c>
      <c r="X256" s="12" t="str">
        <f>IF(XT!$P256=0,V256,"")</f>
        <v/>
      </c>
      <c r="Y256">
        <f>SUMPRODUCT((MONTH(CHOOSE({1,2,3,4},XT!U256,XT!Y256,XT!AC256,XT!AG256))=7)*(CHOOSE({1,2,3,4},XT!X256,XT!AB256,XT!AF256,XT!AJ256)))</f>
        <v>0</v>
      </c>
      <c r="Z256" t="str">
        <f>IFERROR(INDEX(CHOOSE({1,2,3,4}, DAY(XT!U256), DAY(XT!Y256), DAY(XT!AC256), DAY(XT!AG256)), MATCH(1, INDEX(--(MONTH(CHOOSE({1,2,3,4}, XT!U256,XT!Y256,XT!AC256,XT!AG256))=7), 0), 0)), "")</f>
        <v/>
      </c>
      <c r="AA256" s="12" t="str">
        <f>IF(XT!$P256&gt;0,Z256,"")</f>
        <v/>
      </c>
      <c r="AB256" s="12" t="str">
        <f>IF(XT!$P256=0,Z256,"")</f>
        <v/>
      </c>
      <c r="AC256">
        <f>SUMPRODUCT((MONTH(CHOOSE({1,2,3,4},XT!U256,XT!Y256,XT!AC256,XT!AG256))=8)*(CHOOSE({1,2,3,4},XT!X256,XT!AB256,XT!AF256,XT!AJ256)))</f>
        <v>0</v>
      </c>
      <c r="AD256" t="str">
        <f>IFERROR(INDEX(CHOOSE({1,2,3,4}, DAY(XT!U256), DAY(XT!Y256), DAY(XT!AC256), DAY(XT!AG256)), MATCH(1, INDEX(--(MONTH(CHOOSE({1,2,3,4}, XT!U256,XT!Y256,XT!AC256,XT!AG256))=8), 0), 0)), "")</f>
        <v/>
      </c>
      <c r="AE256" s="12" t="str">
        <f>IF(XT!$P256&gt;0,AD256,"")</f>
        <v/>
      </c>
      <c r="AF256" s="12" t="str">
        <f>IF(XT!$P256=0,AD256,"")</f>
        <v/>
      </c>
      <c r="AG256">
        <f>SUMPRODUCT((MONTH(CHOOSE({1,2,3,4},XT!U256,XT!Y256,XT!AC256,XT!AG256))=9)*(CHOOSE({1,2,3,4},XT!X256,XT!AB256,XT!AF256,XT!AJ256)))</f>
        <v>0</v>
      </c>
      <c r="AH256" t="str">
        <f>IFERROR(INDEX(CHOOSE({1,2,3,4}, DAY(XT!U256), DAY(XT!Y256), DAY(XT!AC256), DAY(XT!AG256)), MATCH(1, INDEX(--(MONTH(CHOOSE({1,2,3,4}, XT!U256,XT!Y256,XT!AC256,XT!AG256))=9), 0), 0)), "")</f>
        <v/>
      </c>
      <c r="AI256" s="12" t="str">
        <f>IF(XT!$P256&gt;0,AH256,"")</f>
        <v/>
      </c>
      <c r="AJ256" s="12" t="str">
        <f>IF(XT!$P256=0,AH256,"")</f>
        <v/>
      </c>
      <c r="AK256">
        <f>SUMPRODUCT((MONTH(CHOOSE({1,2,3,4},XT!U256,XT!Y256,XT!AC256,XT!AG256))=10)*(CHOOSE({1,2,3,4},XT!X256,XT!AB256,XT!AF256,XT!AJ256)))</f>
        <v>0</v>
      </c>
      <c r="AL256" t="str">
        <f>IFERROR(INDEX(CHOOSE({1,2,3,4}, DAY(XT!U256), DAY(XT!Y256), DAY(XT!AC256), DAY(XT!AG256)), MATCH(1, INDEX(--(MONTH(CHOOSE({1,2,3,4}, XT!U256,XT!Y256,XT!AC256,XT!AG256))=10), 0), 0)), "")</f>
        <v/>
      </c>
      <c r="AM256" s="12" t="str">
        <f>IF(XT!$P256&gt;0,AL256,"")</f>
        <v/>
      </c>
      <c r="AN256" s="12" t="str">
        <f>IF(XT!$P256=0,AL256,"")</f>
        <v/>
      </c>
      <c r="AO256">
        <f>SUMPRODUCT((MONTH(CHOOSE({1,2,3,4},XT!U256,XT!Y256,XT!AC256,XT!AG256))=11)*(CHOOSE({1,2,3,4},XT!X256,XT!AB256,XT!AF256,XT!AJ256)))</f>
        <v>0</v>
      </c>
      <c r="AP256" t="str">
        <f>IFERROR(INDEX(CHOOSE({1,2,3,4}, DAY(XT!U256), DAY(XT!Y256), DAY(XT!AC256), DAY(XT!AG256)), MATCH(1, INDEX(--(MONTH(CHOOSE({1,2,3,4}, XT!U256,XT!Y256,XT!AC256,XT!AG256))=11), 0), 0)), "")</f>
        <v/>
      </c>
      <c r="AQ256" s="12" t="str">
        <f>IF(XT!$P256&gt;0,AP256,"")</f>
        <v/>
      </c>
      <c r="AR256" s="12" t="str">
        <f>IF(XT!$P256=0,AP256,"")</f>
        <v/>
      </c>
      <c r="AS256">
        <f>SUMPRODUCT((MONTH(CHOOSE({1,2,3,4},XT!U256,XT!Y256,XT!AC256,XT!AG256))=12)*(CHOOSE({1,2,3,4},XT!X256,XT!AB256,XT!AF256,XT!AJ256)))</f>
        <v>0</v>
      </c>
      <c r="AT256" t="str">
        <f>IFERROR(INDEX(CHOOSE({1,2,3,4}, DAY(XT!U256), DAY(XT!Y256), DAY(XT!AC256), DAY(XT!AG256)), MATCH(1, INDEX(--(MONTH(CHOOSE({1,2,3,4}, XT!U256,XT!Y256,XT!AC256,XT!AG256))=12), 0), 0)), "")</f>
        <v/>
      </c>
      <c r="AU256" s="12" t="str">
        <f>IF(XT!$P256&gt;0,AT256,"")</f>
        <v/>
      </c>
      <c r="AV256" s="12" t="str">
        <f>IF(XT!$P256=0,AT256,"")</f>
        <v/>
      </c>
    </row>
    <row r="257" spans="1:48">
      <c r="A257">
        <f>SUMPRODUCT((MONTH(CHOOSE({1,2,3,4},XT!U257,XT!Y257,XT!AC257,XT!AG257))=1)*(CHOOSE({1,2,3,4},XT!X257,XT!AB257,XT!AF257,XT!AJ257)))</f>
        <v>0</v>
      </c>
      <c r="B257">
        <f>IFERROR(INDEX(CHOOSE({1,2,3,4}, DAY(XT!U257), DAY(XT!Y257), DAY(XT!AC257), DAY(XT!AG257)), MATCH(1, INDEX(--(MONTH(CHOOSE({1,2,3,4}, XT!U257,XT!Y257,XT!AC257,XT!AG257))=1), 0), 0)), "")</f>
        <v>0</v>
      </c>
      <c r="C257" s="12" t="str">
        <f>IF(XT!$P257&gt;0,B257,"")</f>
        <v/>
      </c>
      <c r="D257" s="12">
        <f>IF(XT!$P257=0,B257,"")</f>
        <v>0</v>
      </c>
      <c r="E257">
        <f>SUMPRODUCT((MONTH(CHOOSE({1,2,3,4},XT!U257,XT!Y257,XT!AC257,XT!AG257))=2)*(CHOOSE({1,2,3,4},XT!X257,XT!AB257,XT!AF257,XT!AJ257)))</f>
        <v>0</v>
      </c>
      <c r="F257" t="str">
        <f>IFERROR(INDEX(CHOOSE({1,2,3,4}, DAY(XT!U257), DAY(XT!Y257), DAY(XT!AC257), DAY(XT!AG257)), MATCH(1, INDEX(--(MONTH(CHOOSE({1,2,3,4}, XT!U257,XT!Y257,XT!AC257,XT!AG257))=2), 0), 0)), "")</f>
        <v/>
      </c>
      <c r="G257" s="12" t="str">
        <f>IF(XT!$P257&gt;0,F257,"")</f>
        <v/>
      </c>
      <c r="H257" s="12" t="str">
        <f>IF(XT!$P257=0,F257,"")</f>
        <v/>
      </c>
      <c r="I257">
        <f>SUMPRODUCT((MONTH(CHOOSE({1,2,3,4},XT!U257,XT!Y257,XT!AC257,XT!AG257))=3)*(CHOOSE({1,2,3,4},XT!X257,XT!AB257,XT!AF257,XT!AJ257)))</f>
        <v>0</v>
      </c>
      <c r="J257" t="str">
        <f>IFERROR(INDEX(CHOOSE({1,2,3,4}, DAY(XT!U257), DAY(XT!Y257), DAY(XT!AC257), DAY(XT!AG257)), MATCH(1, INDEX(--(MONTH(CHOOSE({1,2,3,4}, XT!U257,XT!Y257,XT!AC257,XT!AG257))=3), 0), 0)), "")</f>
        <v/>
      </c>
      <c r="K257" s="12" t="str">
        <f>IF(XT!$P257&gt;0,J257,"")</f>
        <v/>
      </c>
      <c r="L257" s="12" t="str">
        <f>IF(XT!$P257=0,J257,"")</f>
        <v/>
      </c>
      <c r="M257">
        <f>SUMPRODUCT((MONTH(CHOOSE({1,2,3,4},XT!U257,XT!Y257,XT!AC257,XT!AG257))=4)*(CHOOSE({1,2,3,4},XT!X257,XT!AB257,XT!AF257,XT!AJ257)))</f>
        <v>0</v>
      </c>
      <c r="N257" t="str">
        <f>IFERROR(INDEX(CHOOSE({1,2,3,4}, DAY(XT!U257), DAY(XT!Y257), DAY(XT!AC257), DAY(XT!AG257)), MATCH(1, INDEX(--(MONTH(CHOOSE({1,2,3,4}, XT!U257,XT!Y257,XT!AC257,XT!AG257))=4), 0), 0)), "")</f>
        <v/>
      </c>
      <c r="O257" s="12" t="str">
        <f>IF(XT!$P257&gt;0,N257,"")</f>
        <v/>
      </c>
      <c r="P257" s="12" t="str">
        <f>IF(XT!$P257=0,N257,"")</f>
        <v/>
      </c>
      <c r="Q257">
        <f>SUMPRODUCT((MONTH(CHOOSE({1,2,3,4},XT!U257,XT!Y257,XT!AC257,XT!AG257))=5)*(CHOOSE({1,2,3,4},XT!X257,XT!AB257,XT!AF257,XT!AJ257)))</f>
        <v>0</v>
      </c>
      <c r="R257" t="str">
        <f>IFERROR(INDEX(CHOOSE({1,2,3,4}, DAY(XT!U257), DAY(XT!Y257), DAY(XT!AC257), DAY(XT!AG257)), MATCH(1, INDEX(--(MONTH(CHOOSE({1,2,3,4}, XT!U257,XT!Y257,XT!AC257,XT!AG257))=5), 0), 0)), "")</f>
        <v/>
      </c>
      <c r="S257" s="12" t="str">
        <f>IF(XT!$P257&gt;0,R257,"")</f>
        <v/>
      </c>
      <c r="T257" s="12" t="str">
        <f>IF(XT!$P257=0,R257,"")</f>
        <v/>
      </c>
      <c r="U257">
        <f>SUMPRODUCT((MONTH(CHOOSE({1,2,3,4},XT!U257,XT!Y257,XT!AC257,XT!AG257))=6)*(CHOOSE({1,2,3,4},XT!X257,XT!AB257,XT!AF257,XT!AJ257)))</f>
        <v>0</v>
      </c>
      <c r="V257" t="str">
        <f>IFERROR(INDEX(CHOOSE({1,2,3,4}, DAY(XT!U257), DAY(XT!Y257), DAY(XT!AC257), DAY(XT!AG257)), MATCH(1, INDEX(--(MONTH(CHOOSE({1,2,3,4}, XT!U257,XT!Y257,XT!AC257,XT!AG257))=6), 0), 0)), "")</f>
        <v/>
      </c>
      <c r="W257" s="12" t="str">
        <f>IF(XT!$P257&gt;0,V257,"")</f>
        <v/>
      </c>
      <c r="X257" s="12" t="str">
        <f>IF(XT!$P257=0,V257,"")</f>
        <v/>
      </c>
      <c r="Y257">
        <f>SUMPRODUCT((MONTH(CHOOSE({1,2,3,4},XT!U257,XT!Y257,XT!AC257,XT!AG257))=7)*(CHOOSE({1,2,3,4},XT!X257,XT!AB257,XT!AF257,XT!AJ257)))</f>
        <v>0</v>
      </c>
      <c r="Z257" t="str">
        <f>IFERROR(INDEX(CHOOSE({1,2,3,4}, DAY(XT!U257), DAY(XT!Y257), DAY(XT!AC257), DAY(XT!AG257)), MATCH(1, INDEX(--(MONTH(CHOOSE({1,2,3,4}, XT!U257,XT!Y257,XT!AC257,XT!AG257))=7), 0), 0)), "")</f>
        <v/>
      </c>
      <c r="AA257" s="12" t="str">
        <f>IF(XT!$P257&gt;0,Z257,"")</f>
        <v/>
      </c>
      <c r="AB257" s="12" t="str">
        <f>IF(XT!$P257=0,Z257,"")</f>
        <v/>
      </c>
      <c r="AC257">
        <f>SUMPRODUCT((MONTH(CHOOSE({1,2,3,4},XT!U257,XT!Y257,XT!AC257,XT!AG257))=8)*(CHOOSE({1,2,3,4},XT!X257,XT!AB257,XT!AF257,XT!AJ257)))</f>
        <v>0</v>
      </c>
      <c r="AD257" t="str">
        <f>IFERROR(INDEX(CHOOSE({1,2,3,4}, DAY(XT!U257), DAY(XT!Y257), DAY(XT!AC257), DAY(XT!AG257)), MATCH(1, INDEX(--(MONTH(CHOOSE({1,2,3,4}, XT!U257,XT!Y257,XT!AC257,XT!AG257))=8), 0), 0)), "")</f>
        <v/>
      </c>
      <c r="AE257" s="12" t="str">
        <f>IF(XT!$P257&gt;0,AD257,"")</f>
        <v/>
      </c>
      <c r="AF257" s="12" t="str">
        <f>IF(XT!$P257=0,AD257,"")</f>
        <v/>
      </c>
      <c r="AG257">
        <f>SUMPRODUCT((MONTH(CHOOSE({1,2,3,4},XT!U257,XT!Y257,XT!AC257,XT!AG257))=9)*(CHOOSE({1,2,3,4},XT!X257,XT!AB257,XT!AF257,XT!AJ257)))</f>
        <v>0</v>
      </c>
      <c r="AH257" t="str">
        <f>IFERROR(INDEX(CHOOSE({1,2,3,4}, DAY(XT!U257), DAY(XT!Y257), DAY(XT!AC257), DAY(XT!AG257)), MATCH(1, INDEX(--(MONTH(CHOOSE({1,2,3,4}, XT!U257,XT!Y257,XT!AC257,XT!AG257))=9), 0), 0)), "")</f>
        <v/>
      </c>
      <c r="AI257" s="12" t="str">
        <f>IF(XT!$P257&gt;0,AH257,"")</f>
        <v/>
      </c>
      <c r="AJ257" s="12" t="str">
        <f>IF(XT!$P257=0,AH257,"")</f>
        <v/>
      </c>
      <c r="AK257">
        <f>SUMPRODUCT((MONTH(CHOOSE({1,2,3,4},XT!U257,XT!Y257,XT!AC257,XT!AG257))=10)*(CHOOSE({1,2,3,4},XT!X257,XT!AB257,XT!AF257,XT!AJ257)))</f>
        <v>0</v>
      </c>
      <c r="AL257" t="str">
        <f>IFERROR(INDEX(CHOOSE({1,2,3,4}, DAY(XT!U257), DAY(XT!Y257), DAY(XT!AC257), DAY(XT!AG257)), MATCH(1, INDEX(--(MONTH(CHOOSE({1,2,3,4}, XT!U257,XT!Y257,XT!AC257,XT!AG257))=10), 0), 0)), "")</f>
        <v/>
      </c>
      <c r="AM257" s="12" t="str">
        <f>IF(XT!$P257&gt;0,AL257,"")</f>
        <v/>
      </c>
      <c r="AN257" s="12" t="str">
        <f>IF(XT!$P257=0,AL257,"")</f>
        <v/>
      </c>
      <c r="AO257">
        <f>SUMPRODUCT((MONTH(CHOOSE({1,2,3,4},XT!U257,XT!Y257,XT!AC257,XT!AG257))=11)*(CHOOSE({1,2,3,4},XT!X257,XT!AB257,XT!AF257,XT!AJ257)))</f>
        <v>0</v>
      </c>
      <c r="AP257" t="str">
        <f>IFERROR(INDEX(CHOOSE({1,2,3,4}, DAY(XT!U257), DAY(XT!Y257), DAY(XT!AC257), DAY(XT!AG257)), MATCH(1, INDEX(--(MONTH(CHOOSE({1,2,3,4}, XT!U257,XT!Y257,XT!AC257,XT!AG257))=11), 0), 0)), "")</f>
        <v/>
      </c>
      <c r="AQ257" s="12" t="str">
        <f>IF(XT!$P257&gt;0,AP257,"")</f>
        <v/>
      </c>
      <c r="AR257" s="12" t="str">
        <f>IF(XT!$P257=0,AP257,"")</f>
        <v/>
      </c>
      <c r="AS257">
        <f>SUMPRODUCT((MONTH(CHOOSE({1,2,3,4},XT!U257,XT!Y257,XT!AC257,XT!AG257))=12)*(CHOOSE({1,2,3,4},XT!X257,XT!AB257,XT!AF257,XT!AJ257)))</f>
        <v>0</v>
      </c>
      <c r="AT257" t="str">
        <f>IFERROR(INDEX(CHOOSE({1,2,3,4}, DAY(XT!U257), DAY(XT!Y257), DAY(XT!AC257), DAY(XT!AG257)), MATCH(1, INDEX(--(MONTH(CHOOSE({1,2,3,4}, XT!U257,XT!Y257,XT!AC257,XT!AG257))=12), 0), 0)), "")</f>
        <v/>
      </c>
      <c r="AU257" s="12" t="str">
        <f>IF(XT!$P257&gt;0,AT257,"")</f>
        <v/>
      </c>
      <c r="AV257" s="12" t="str">
        <f>IF(XT!$P257=0,AT257,"")</f>
        <v/>
      </c>
    </row>
    <row r="258" spans="1:48">
      <c r="A258">
        <f>SUMPRODUCT((MONTH(CHOOSE({1,2,3,4},XT!U258,XT!Y258,XT!AC258,XT!AG258))=1)*(CHOOSE({1,2,3,4},XT!X258,XT!AB258,XT!AF258,XT!AJ258)))</f>
        <v>0</v>
      </c>
      <c r="B258">
        <f>IFERROR(INDEX(CHOOSE({1,2,3,4}, DAY(XT!U258), DAY(XT!Y258), DAY(XT!AC258), DAY(XT!AG258)), MATCH(1, INDEX(--(MONTH(CHOOSE({1,2,3,4}, XT!U258,XT!Y258,XT!AC258,XT!AG258))=1), 0), 0)), "")</f>
        <v>0</v>
      </c>
      <c r="C258" s="12" t="str">
        <f>IF(XT!$P258&gt;0,B258,"")</f>
        <v/>
      </c>
      <c r="D258" s="12">
        <f>IF(XT!$P258=0,B258,"")</f>
        <v>0</v>
      </c>
      <c r="E258">
        <f>SUMPRODUCT((MONTH(CHOOSE({1,2,3,4},XT!U258,XT!Y258,XT!AC258,XT!AG258))=2)*(CHOOSE({1,2,3,4},XT!X258,XT!AB258,XT!AF258,XT!AJ258)))</f>
        <v>0</v>
      </c>
      <c r="F258" t="str">
        <f>IFERROR(INDEX(CHOOSE({1,2,3,4}, DAY(XT!U258), DAY(XT!Y258), DAY(XT!AC258), DAY(XT!AG258)), MATCH(1, INDEX(--(MONTH(CHOOSE({1,2,3,4}, XT!U258,XT!Y258,XT!AC258,XT!AG258))=2), 0), 0)), "")</f>
        <v/>
      </c>
      <c r="G258" s="12" t="str">
        <f>IF(XT!$P258&gt;0,F258,"")</f>
        <v/>
      </c>
      <c r="H258" s="12" t="str">
        <f>IF(XT!$P258=0,F258,"")</f>
        <v/>
      </c>
      <c r="I258">
        <f>SUMPRODUCT((MONTH(CHOOSE({1,2,3,4},XT!U258,XT!Y258,XT!AC258,XT!AG258))=3)*(CHOOSE({1,2,3,4},XT!X258,XT!AB258,XT!AF258,XT!AJ258)))</f>
        <v>0</v>
      </c>
      <c r="J258" t="str">
        <f>IFERROR(INDEX(CHOOSE({1,2,3,4}, DAY(XT!U258), DAY(XT!Y258), DAY(XT!AC258), DAY(XT!AG258)), MATCH(1, INDEX(--(MONTH(CHOOSE({1,2,3,4}, XT!U258,XT!Y258,XT!AC258,XT!AG258))=3), 0), 0)), "")</f>
        <v/>
      </c>
      <c r="K258" s="12" t="str">
        <f>IF(XT!$P258&gt;0,J258,"")</f>
        <v/>
      </c>
      <c r="L258" s="12" t="str">
        <f>IF(XT!$P258=0,J258,"")</f>
        <v/>
      </c>
      <c r="M258">
        <f>SUMPRODUCT((MONTH(CHOOSE({1,2,3,4},XT!U258,XT!Y258,XT!AC258,XT!AG258))=4)*(CHOOSE({1,2,3,4},XT!X258,XT!AB258,XT!AF258,XT!AJ258)))</f>
        <v>0</v>
      </c>
      <c r="N258" t="str">
        <f>IFERROR(INDEX(CHOOSE({1,2,3,4}, DAY(XT!U258), DAY(XT!Y258), DAY(XT!AC258), DAY(XT!AG258)), MATCH(1, INDEX(--(MONTH(CHOOSE({1,2,3,4}, XT!U258,XT!Y258,XT!AC258,XT!AG258))=4), 0), 0)), "")</f>
        <v/>
      </c>
      <c r="O258" s="12" t="str">
        <f>IF(XT!$P258&gt;0,N258,"")</f>
        <v/>
      </c>
      <c r="P258" s="12" t="str">
        <f>IF(XT!$P258=0,N258,"")</f>
        <v/>
      </c>
      <c r="Q258">
        <f>SUMPRODUCT((MONTH(CHOOSE({1,2,3,4},XT!U258,XT!Y258,XT!AC258,XT!AG258))=5)*(CHOOSE({1,2,3,4},XT!X258,XT!AB258,XT!AF258,XT!AJ258)))</f>
        <v>0</v>
      </c>
      <c r="R258" t="str">
        <f>IFERROR(INDEX(CHOOSE({1,2,3,4}, DAY(XT!U258), DAY(XT!Y258), DAY(XT!AC258), DAY(XT!AG258)), MATCH(1, INDEX(--(MONTH(CHOOSE({1,2,3,4}, XT!U258,XT!Y258,XT!AC258,XT!AG258))=5), 0), 0)), "")</f>
        <v/>
      </c>
      <c r="S258" s="12" t="str">
        <f>IF(XT!$P258&gt;0,R258,"")</f>
        <v/>
      </c>
      <c r="T258" s="12" t="str">
        <f>IF(XT!$P258=0,R258,"")</f>
        <v/>
      </c>
      <c r="U258">
        <f>SUMPRODUCT((MONTH(CHOOSE({1,2,3,4},XT!U258,XT!Y258,XT!AC258,XT!AG258))=6)*(CHOOSE({1,2,3,4},XT!X258,XT!AB258,XT!AF258,XT!AJ258)))</f>
        <v>0</v>
      </c>
      <c r="V258" t="str">
        <f>IFERROR(INDEX(CHOOSE({1,2,3,4}, DAY(XT!U258), DAY(XT!Y258), DAY(XT!AC258), DAY(XT!AG258)), MATCH(1, INDEX(--(MONTH(CHOOSE({1,2,3,4}, XT!U258,XT!Y258,XT!AC258,XT!AG258))=6), 0), 0)), "")</f>
        <v/>
      </c>
      <c r="W258" s="12" t="str">
        <f>IF(XT!$P258&gt;0,V258,"")</f>
        <v/>
      </c>
      <c r="X258" s="12" t="str">
        <f>IF(XT!$P258=0,V258,"")</f>
        <v/>
      </c>
      <c r="Y258">
        <f>SUMPRODUCT((MONTH(CHOOSE({1,2,3,4},XT!U258,XT!Y258,XT!AC258,XT!AG258))=7)*(CHOOSE({1,2,3,4},XT!X258,XT!AB258,XT!AF258,XT!AJ258)))</f>
        <v>0</v>
      </c>
      <c r="Z258" t="str">
        <f>IFERROR(INDEX(CHOOSE({1,2,3,4}, DAY(XT!U258), DAY(XT!Y258), DAY(XT!AC258), DAY(XT!AG258)), MATCH(1, INDEX(--(MONTH(CHOOSE({1,2,3,4}, XT!U258,XT!Y258,XT!AC258,XT!AG258))=7), 0), 0)), "")</f>
        <v/>
      </c>
      <c r="AA258" s="12" t="str">
        <f>IF(XT!$P258&gt;0,Z258,"")</f>
        <v/>
      </c>
      <c r="AB258" s="12" t="str">
        <f>IF(XT!$P258=0,Z258,"")</f>
        <v/>
      </c>
      <c r="AC258">
        <f>SUMPRODUCT((MONTH(CHOOSE({1,2,3,4},XT!U258,XT!Y258,XT!AC258,XT!AG258))=8)*(CHOOSE({1,2,3,4},XT!X258,XT!AB258,XT!AF258,XT!AJ258)))</f>
        <v>0</v>
      </c>
      <c r="AD258" t="str">
        <f>IFERROR(INDEX(CHOOSE({1,2,3,4}, DAY(XT!U258), DAY(XT!Y258), DAY(XT!AC258), DAY(XT!AG258)), MATCH(1, INDEX(--(MONTH(CHOOSE({1,2,3,4}, XT!U258,XT!Y258,XT!AC258,XT!AG258))=8), 0), 0)), "")</f>
        <v/>
      </c>
      <c r="AE258" s="12" t="str">
        <f>IF(XT!$P258&gt;0,AD258,"")</f>
        <v/>
      </c>
      <c r="AF258" s="12" t="str">
        <f>IF(XT!$P258=0,AD258,"")</f>
        <v/>
      </c>
      <c r="AG258">
        <f>SUMPRODUCT((MONTH(CHOOSE({1,2,3,4},XT!U258,XT!Y258,XT!AC258,XT!AG258))=9)*(CHOOSE({1,2,3,4},XT!X258,XT!AB258,XT!AF258,XT!AJ258)))</f>
        <v>0</v>
      </c>
      <c r="AH258" t="str">
        <f>IFERROR(INDEX(CHOOSE({1,2,3,4}, DAY(XT!U258), DAY(XT!Y258), DAY(XT!AC258), DAY(XT!AG258)), MATCH(1, INDEX(--(MONTH(CHOOSE({1,2,3,4}, XT!U258,XT!Y258,XT!AC258,XT!AG258))=9), 0), 0)), "")</f>
        <v/>
      </c>
      <c r="AI258" s="12" t="str">
        <f>IF(XT!$P258&gt;0,AH258,"")</f>
        <v/>
      </c>
      <c r="AJ258" s="12" t="str">
        <f>IF(XT!$P258=0,AH258,"")</f>
        <v/>
      </c>
      <c r="AK258">
        <f>SUMPRODUCT((MONTH(CHOOSE({1,2,3,4},XT!U258,XT!Y258,XT!AC258,XT!AG258))=10)*(CHOOSE({1,2,3,4},XT!X258,XT!AB258,XT!AF258,XT!AJ258)))</f>
        <v>0</v>
      </c>
      <c r="AL258" t="str">
        <f>IFERROR(INDEX(CHOOSE({1,2,3,4}, DAY(XT!U258), DAY(XT!Y258), DAY(XT!AC258), DAY(XT!AG258)), MATCH(1, INDEX(--(MONTH(CHOOSE({1,2,3,4}, XT!U258,XT!Y258,XT!AC258,XT!AG258))=10), 0), 0)), "")</f>
        <v/>
      </c>
      <c r="AM258" s="12" t="str">
        <f>IF(XT!$P258&gt;0,AL258,"")</f>
        <v/>
      </c>
      <c r="AN258" s="12" t="str">
        <f>IF(XT!$P258=0,AL258,"")</f>
        <v/>
      </c>
      <c r="AO258">
        <f>SUMPRODUCT((MONTH(CHOOSE({1,2,3,4},XT!U258,XT!Y258,XT!AC258,XT!AG258))=11)*(CHOOSE({1,2,3,4},XT!X258,XT!AB258,XT!AF258,XT!AJ258)))</f>
        <v>0</v>
      </c>
      <c r="AP258" t="str">
        <f>IFERROR(INDEX(CHOOSE({1,2,3,4}, DAY(XT!U258), DAY(XT!Y258), DAY(XT!AC258), DAY(XT!AG258)), MATCH(1, INDEX(--(MONTH(CHOOSE({1,2,3,4}, XT!U258,XT!Y258,XT!AC258,XT!AG258))=11), 0), 0)), "")</f>
        <v/>
      </c>
      <c r="AQ258" s="12" t="str">
        <f>IF(XT!$P258&gt;0,AP258,"")</f>
        <v/>
      </c>
      <c r="AR258" s="12" t="str">
        <f>IF(XT!$P258=0,AP258,"")</f>
        <v/>
      </c>
      <c r="AS258">
        <f>SUMPRODUCT((MONTH(CHOOSE({1,2,3,4},XT!U258,XT!Y258,XT!AC258,XT!AG258))=12)*(CHOOSE({1,2,3,4},XT!X258,XT!AB258,XT!AF258,XT!AJ258)))</f>
        <v>0</v>
      </c>
      <c r="AT258" t="str">
        <f>IFERROR(INDEX(CHOOSE({1,2,3,4}, DAY(XT!U258), DAY(XT!Y258), DAY(XT!AC258), DAY(XT!AG258)), MATCH(1, INDEX(--(MONTH(CHOOSE({1,2,3,4}, XT!U258,XT!Y258,XT!AC258,XT!AG258))=12), 0), 0)), "")</f>
        <v/>
      </c>
      <c r="AU258" s="12" t="str">
        <f>IF(XT!$P258&gt;0,AT258,"")</f>
        <v/>
      </c>
      <c r="AV258" s="12" t="str">
        <f>IF(XT!$P258=0,AT258,"")</f>
        <v/>
      </c>
    </row>
    <row r="259" spans="1:48">
      <c r="A259">
        <f>SUMPRODUCT((MONTH(CHOOSE({1,2,3,4},XT!U259,XT!Y259,XT!AC259,XT!AG259))=1)*(CHOOSE({1,2,3,4},XT!X259,XT!AB259,XT!AF259,XT!AJ259)))</f>
        <v>0</v>
      </c>
      <c r="B259">
        <f>IFERROR(INDEX(CHOOSE({1,2,3,4}, DAY(XT!U259), DAY(XT!Y259), DAY(XT!AC259), DAY(XT!AG259)), MATCH(1, INDEX(--(MONTH(CHOOSE({1,2,3,4}, XT!U259,XT!Y259,XT!AC259,XT!AG259))=1), 0), 0)), "")</f>
        <v>0</v>
      </c>
      <c r="C259" s="12" t="str">
        <f>IF(XT!$P259&gt;0,B259,"")</f>
        <v/>
      </c>
      <c r="D259" s="12">
        <f>IF(XT!$P259=0,B259,"")</f>
        <v>0</v>
      </c>
      <c r="E259">
        <f>SUMPRODUCT((MONTH(CHOOSE({1,2,3,4},XT!U259,XT!Y259,XT!AC259,XT!AG259))=2)*(CHOOSE({1,2,3,4},XT!X259,XT!AB259,XT!AF259,XT!AJ259)))</f>
        <v>0</v>
      </c>
      <c r="F259" t="str">
        <f>IFERROR(INDEX(CHOOSE({1,2,3,4}, DAY(XT!U259), DAY(XT!Y259), DAY(XT!AC259), DAY(XT!AG259)), MATCH(1, INDEX(--(MONTH(CHOOSE({1,2,3,4}, XT!U259,XT!Y259,XT!AC259,XT!AG259))=2), 0), 0)), "")</f>
        <v/>
      </c>
      <c r="G259" s="12" t="str">
        <f>IF(XT!$P259&gt;0,F259,"")</f>
        <v/>
      </c>
      <c r="H259" s="12" t="str">
        <f>IF(XT!$P259=0,F259,"")</f>
        <v/>
      </c>
      <c r="I259">
        <f>SUMPRODUCT((MONTH(CHOOSE({1,2,3,4},XT!U259,XT!Y259,XT!AC259,XT!AG259))=3)*(CHOOSE({1,2,3,4},XT!X259,XT!AB259,XT!AF259,XT!AJ259)))</f>
        <v>0</v>
      </c>
      <c r="J259" t="str">
        <f>IFERROR(INDEX(CHOOSE({1,2,3,4}, DAY(XT!U259), DAY(XT!Y259), DAY(XT!AC259), DAY(XT!AG259)), MATCH(1, INDEX(--(MONTH(CHOOSE({1,2,3,4}, XT!U259,XT!Y259,XT!AC259,XT!AG259))=3), 0), 0)), "")</f>
        <v/>
      </c>
      <c r="K259" s="12" t="str">
        <f>IF(XT!$P259&gt;0,J259,"")</f>
        <v/>
      </c>
      <c r="L259" s="12" t="str">
        <f>IF(XT!$P259=0,J259,"")</f>
        <v/>
      </c>
      <c r="M259">
        <f>SUMPRODUCT((MONTH(CHOOSE({1,2,3,4},XT!U259,XT!Y259,XT!AC259,XT!AG259))=4)*(CHOOSE({1,2,3,4},XT!X259,XT!AB259,XT!AF259,XT!AJ259)))</f>
        <v>0</v>
      </c>
      <c r="N259" t="str">
        <f>IFERROR(INDEX(CHOOSE({1,2,3,4}, DAY(XT!U259), DAY(XT!Y259), DAY(XT!AC259), DAY(XT!AG259)), MATCH(1, INDEX(--(MONTH(CHOOSE({1,2,3,4}, XT!U259,XT!Y259,XT!AC259,XT!AG259))=4), 0), 0)), "")</f>
        <v/>
      </c>
      <c r="O259" s="12" t="str">
        <f>IF(XT!$P259&gt;0,N259,"")</f>
        <v/>
      </c>
      <c r="P259" s="12" t="str">
        <f>IF(XT!$P259=0,N259,"")</f>
        <v/>
      </c>
      <c r="Q259">
        <f>SUMPRODUCT((MONTH(CHOOSE({1,2,3,4},XT!U259,XT!Y259,XT!AC259,XT!AG259))=5)*(CHOOSE({1,2,3,4},XT!X259,XT!AB259,XT!AF259,XT!AJ259)))</f>
        <v>0</v>
      </c>
      <c r="R259" t="str">
        <f>IFERROR(INDEX(CHOOSE({1,2,3,4}, DAY(XT!U259), DAY(XT!Y259), DAY(XT!AC259), DAY(XT!AG259)), MATCH(1, INDEX(--(MONTH(CHOOSE({1,2,3,4}, XT!U259,XT!Y259,XT!AC259,XT!AG259))=5), 0), 0)), "")</f>
        <v/>
      </c>
      <c r="S259" s="12" t="str">
        <f>IF(XT!$P259&gt;0,R259,"")</f>
        <v/>
      </c>
      <c r="T259" s="12" t="str">
        <f>IF(XT!$P259=0,R259,"")</f>
        <v/>
      </c>
      <c r="U259">
        <f>SUMPRODUCT((MONTH(CHOOSE({1,2,3,4},XT!U259,XT!Y259,XT!AC259,XT!AG259))=6)*(CHOOSE({1,2,3,4},XT!X259,XT!AB259,XT!AF259,XT!AJ259)))</f>
        <v>0</v>
      </c>
      <c r="V259" t="str">
        <f>IFERROR(INDEX(CHOOSE({1,2,3,4}, DAY(XT!U259), DAY(XT!Y259), DAY(XT!AC259), DAY(XT!AG259)), MATCH(1, INDEX(--(MONTH(CHOOSE({1,2,3,4}, XT!U259,XT!Y259,XT!AC259,XT!AG259))=6), 0), 0)), "")</f>
        <v/>
      </c>
      <c r="W259" s="12" t="str">
        <f>IF(XT!$P259&gt;0,V259,"")</f>
        <v/>
      </c>
      <c r="X259" s="12" t="str">
        <f>IF(XT!$P259=0,V259,"")</f>
        <v/>
      </c>
      <c r="Y259">
        <f>SUMPRODUCT((MONTH(CHOOSE({1,2,3,4},XT!U259,XT!Y259,XT!AC259,XT!AG259))=7)*(CHOOSE({1,2,3,4},XT!X259,XT!AB259,XT!AF259,XT!AJ259)))</f>
        <v>0</v>
      </c>
      <c r="Z259" t="str">
        <f>IFERROR(INDEX(CHOOSE({1,2,3,4}, DAY(XT!U259), DAY(XT!Y259), DAY(XT!AC259), DAY(XT!AG259)), MATCH(1, INDEX(--(MONTH(CHOOSE({1,2,3,4}, XT!U259,XT!Y259,XT!AC259,XT!AG259))=7), 0), 0)), "")</f>
        <v/>
      </c>
      <c r="AA259" s="12" t="str">
        <f>IF(XT!$P259&gt;0,Z259,"")</f>
        <v/>
      </c>
      <c r="AB259" s="12" t="str">
        <f>IF(XT!$P259=0,Z259,"")</f>
        <v/>
      </c>
      <c r="AC259">
        <f>SUMPRODUCT((MONTH(CHOOSE({1,2,3,4},XT!U259,XT!Y259,XT!AC259,XT!AG259))=8)*(CHOOSE({1,2,3,4},XT!X259,XT!AB259,XT!AF259,XT!AJ259)))</f>
        <v>0</v>
      </c>
      <c r="AD259" t="str">
        <f>IFERROR(INDEX(CHOOSE({1,2,3,4}, DAY(XT!U259), DAY(XT!Y259), DAY(XT!AC259), DAY(XT!AG259)), MATCH(1, INDEX(--(MONTH(CHOOSE({1,2,3,4}, XT!U259,XT!Y259,XT!AC259,XT!AG259))=8), 0), 0)), "")</f>
        <v/>
      </c>
      <c r="AE259" s="12" t="str">
        <f>IF(XT!$P259&gt;0,AD259,"")</f>
        <v/>
      </c>
      <c r="AF259" s="12" t="str">
        <f>IF(XT!$P259=0,AD259,"")</f>
        <v/>
      </c>
      <c r="AG259">
        <f>SUMPRODUCT((MONTH(CHOOSE({1,2,3,4},XT!U259,XT!Y259,XT!AC259,XT!AG259))=9)*(CHOOSE({1,2,3,4},XT!X259,XT!AB259,XT!AF259,XT!AJ259)))</f>
        <v>0</v>
      </c>
      <c r="AH259" t="str">
        <f>IFERROR(INDEX(CHOOSE({1,2,3,4}, DAY(XT!U259), DAY(XT!Y259), DAY(XT!AC259), DAY(XT!AG259)), MATCH(1, INDEX(--(MONTH(CHOOSE({1,2,3,4}, XT!U259,XT!Y259,XT!AC259,XT!AG259))=9), 0), 0)), "")</f>
        <v/>
      </c>
      <c r="AI259" s="12" t="str">
        <f>IF(XT!$P259&gt;0,AH259,"")</f>
        <v/>
      </c>
      <c r="AJ259" s="12" t="str">
        <f>IF(XT!$P259=0,AH259,"")</f>
        <v/>
      </c>
      <c r="AK259">
        <f>SUMPRODUCT((MONTH(CHOOSE({1,2,3,4},XT!U259,XT!Y259,XT!AC259,XT!AG259))=10)*(CHOOSE({1,2,3,4},XT!X259,XT!AB259,XT!AF259,XT!AJ259)))</f>
        <v>0</v>
      </c>
      <c r="AL259" t="str">
        <f>IFERROR(INDEX(CHOOSE({1,2,3,4}, DAY(XT!U259), DAY(XT!Y259), DAY(XT!AC259), DAY(XT!AG259)), MATCH(1, INDEX(--(MONTH(CHOOSE({1,2,3,4}, XT!U259,XT!Y259,XT!AC259,XT!AG259))=10), 0), 0)), "")</f>
        <v/>
      </c>
      <c r="AM259" s="12" t="str">
        <f>IF(XT!$P259&gt;0,AL259,"")</f>
        <v/>
      </c>
      <c r="AN259" s="12" t="str">
        <f>IF(XT!$P259=0,AL259,"")</f>
        <v/>
      </c>
      <c r="AO259">
        <f>SUMPRODUCT((MONTH(CHOOSE({1,2,3,4},XT!U259,XT!Y259,XT!AC259,XT!AG259))=11)*(CHOOSE({1,2,3,4},XT!X259,XT!AB259,XT!AF259,XT!AJ259)))</f>
        <v>0</v>
      </c>
      <c r="AP259" t="str">
        <f>IFERROR(INDEX(CHOOSE({1,2,3,4}, DAY(XT!U259), DAY(XT!Y259), DAY(XT!AC259), DAY(XT!AG259)), MATCH(1, INDEX(--(MONTH(CHOOSE({1,2,3,4}, XT!U259,XT!Y259,XT!AC259,XT!AG259))=11), 0), 0)), "")</f>
        <v/>
      </c>
      <c r="AQ259" s="12" t="str">
        <f>IF(XT!$P259&gt;0,AP259,"")</f>
        <v/>
      </c>
      <c r="AR259" s="12" t="str">
        <f>IF(XT!$P259=0,AP259,"")</f>
        <v/>
      </c>
      <c r="AS259">
        <f>SUMPRODUCT((MONTH(CHOOSE({1,2,3,4},XT!U259,XT!Y259,XT!AC259,XT!AG259))=12)*(CHOOSE({1,2,3,4},XT!X259,XT!AB259,XT!AF259,XT!AJ259)))</f>
        <v>0</v>
      </c>
      <c r="AT259" t="str">
        <f>IFERROR(INDEX(CHOOSE({1,2,3,4}, DAY(XT!U259), DAY(XT!Y259), DAY(XT!AC259), DAY(XT!AG259)), MATCH(1, INDEX(--(MONTH(CHOOSE({1,2,3,4}, XT!U259,XT!Y259,XT!AC259,XT!AG259))=12), 0), 0)), "")</f>
        <v/>
      </c>
      <c r="AU259" s="12" t="str">
        <f>IF(XT!$P259&gt;0,AT259,"")</f>
        <v/>
      </c>
      <c r="AV259" s="12" t="str">
        <f>IF(XT!$P259=0,AT259,"")</f>
        <v/>
      </c>
    </row>
    <row r="260" spans="1:48">
      <c r="A260">
        <f>SUMPRODUCT((MONTH(CHOOSE({1,2,3,4},XT!U260,XT!Y260,XT!AC260,XT!AG260))=1)*(CHOOSE({1,2,3,4},XT!X260,XT!AB260,XT!AF260,XT!AJ260)))</f>
        <v>0</v>
      </c>
      <c r="B260">
        <f>IFERROR(INDEX(CHOOSE({1,2,3,4}, DAY(XT!U260), DAY(XT!Y260), DAY(XT!AC260), DAY(XT!AG260)), MATCH(1, INDEX(--(MONTH(CHOOSE({1,2,3,4}, XT!U260,XT!Y260,XT!AC260,XT!AG260))=1), 0), 0)), "")</f>
        <v>0</v>
      </c>
      <c r="C260" s="12" t="str">
        <f>IF(XT!$P260&gt;0,B260,"")</f>
        <v/>
      </c>
      <c r="D260" s="12">
        <f>IF(XT!$P260=0,B260,"")</f>
        <v>0</v>
      </c>
      <c r="E260">
        <f>SUMPRODUCT((MONTH(CHOOSE({1,2,3,4},XT!U260,XT!Y260,XT!AC260,XT!AG260))=2)*(CHOOSE({1,2,3,4},XT!X260,XT!AB260,XT!AF260,XT!AJ260)))</f>
        <v>0</v>
      </c>
      <c r="F260" t="str">
        <f>IFERROR(INDEX(CHOOSE({1,2,3,4}, DAY(XT!U260), DAY(XT!Y260), DAY(XT!AC260), DAY(XT!AG260)), MATCH(1, INDEX(--(MONTH(CHOOSE({1,2,3,4}, XT!U260,XT!Y260,XT!AC260,XT!AG260))=2), 0), 0)), "")</f>
        <v/>
      </c>
      <c r="G260" s="12" t="str">
        <f>IF(XT!$P260&gt;0,F260,"")</f>
        <v/>
      </c>
      <c r="H260" s="12" t="str">
        <f>IF(XT!$P260=0,F260,"")</f>
        <v/>
      </c>
      <c r="I260">
        <f>SUMPRODUCT((MONTH(CHOOSE({1,2,3,4},XT!U260,XT!Y260,XT!AC260,XT!AG260))=3)*(CHOOSE({1,2,3,4},XT!X260,XT!AB260,XT!AF260,XT!AJ260)))</f>
        <v>0</v>
      </c>
      <c r="J260" t="str">
        <f>IFERROR(INDEX(CHOOSE({1,2,3,4}, DAY(XT!U260), DAY(XT!Y260), DAY(XT!AC260), DAY(XT!AG260)), MATCH(1, INDEX(--(MONTH(CHOOSE({1,2,3,4}, XT!U260,XT!Y260,XT!AC260,XT!AG260))=3), 0), 0)), "")</f>
        <v/>
      </c>
      <c r="K260" s="12" t="str">
        <f>IF(XT!$P260&gt;0,J260,"")</f>
        <v/>
      </c>
      <c r="L260" s="12" t="str">
        <f>IF(XT!$P260=0,J260,"")</f>
        <v/>
      </c>
      <c r="M260">
        <f>SUMPRODUCT((MONTH(CHOOSE({1,2,3,4},XT!U260,XT!Y260,XT!AC260,XT!AG260))=4)*(CHOOSE({1,2,3,4},XT!X260,XT!AB260,XT!AF260,XT!AJ260)))</f>
        <v>0</v>
      </c>
      <c r="N260" t="str">
        <f>IFERROR(INDEX(CHOOSE({1,2,3,4}, DAY(XT!U260), DAY(XT!Y260), DAY(XT!AC260), DAY(XT!AG260)), MATCH(1, INDEX(--(MONTH(CHOOSE({1,2,3,4}, XT!U260,XT!Y260,XT!AC260,XT!AG260))=4), 0), 0)), "")</f>
        <v/>
      </c>
      <c r="O260" s="12" t="str">
        <f>IF(XT!$P260&gt;0,N260,"")</f>
        <v/>
      </c>
      <c r="P260" s="12" t="str">
        <f>IF(XT!$P260=0,N260,"")</f>
        <v/>
      </c>
      <c r="Q260">
        <f>SUMPRODUCT((MONTH(CHOOSE({1,2,3,4},XT!U260,XT!Y260,XT!AC260,XT!AG260))=5)*(CHOOSE({1,2,3,4},XT!X260,XT!AB260,XT!AF260,XT!AJ260)))</f>
        <v>0</v>
      </c>
      <c r="R260" t="str">
        <f>IFERROR(INDEX(CHOOSE({1,2,3,4}, DAY(XT!U260), DAY(XT!Y260), DAY(XT!AC260), DAY(XT!AG260)), MATCH(1, INDEX(--(MONTH(CHOOSE({1,2,3,4}, XT!U260,XT!Y260,XT!AC260,XT!AG260))=5), 0), 0)), "")</f>
        <v/>
      </c>
      <c r="S260" s="12" t="str">
        <f>IF(XT!$P260&gt;0,R260,"")</f>
        <v/>
      </c>
      <c r="T260" s="12" t="str">
        <f>IF(XT!$P260=0,R260,"")</f>
        <v/>
      </c>
      <c r="U260">
        <f>SUMPRODUCT((MONTH(CHOOSE({1,2,3,4},XT!U260,XT!Y260,XT!AC260,XT!AG260))=6)*(CHOOSE({1,2,3,4},XT!X260,XT!AB260,XT!AF260,XT!AJ260)))</f>
        <v>0</v>
      </c>
      <c r="V260" t="str">
        <f>IFERROR(INDEX(CHOOSE({1,2,3,4}, DAY(XT!U260), DAY(XT!Y260), DAY(XT!AC260), DAY(XT!AG260)), MATCH(1, INDEX(--(MONTH(CHOOSE({1,2,3,4}, XT!U260,XT!Y260,XT!AC260,XT!AG260))=6), 0), 0)), "")</f>
        <v/>
      </c>
      <c r="W260" s="12" t="str">
        <f>IF(XT!$P260&gt;0,V260,"")</f>
        <v/>
      </c>
      <c r="X260" s="12" t="str">
        <f>IF(XT!$P260=0,V260,"")</f>
        <v/>
      </c>
      <c r="Y260">
        <f>SUMPRODUCT((MONTH(CHOOSE({1,2,3,4},XT!U260,XT!Y260,XT!AC260,XT!AG260))=7)*(CHOOSE({1,2,3,4},XT!X260,XT!AB260,XT!AF260,XT!AJ260)))</f>
        <v>0</v>
      </c>
      <c r="Z260" t="str">
        <f>IFERROR(INDEX(CHOOSE({1,2,3,4}, DAY(XT!U260), DAY(XT!Y260), DAY(XT!AC260), DAY(XT!AG260)), MATCH(1, INDEX(--(MONTH(CHOOSE({1,2,3,4}, XT!U260,XT!Y260,XT!AC260,XT!AG260))=7), 0), 0)), "")</f>
        <v/>
      </c>
      <c r="AA260" s="12" t="str">
        <f>IF(XT!$P260&gt;0,Z260,"")</f>
        <v/>
      </c>
      <c r="AB260" s="12" t="str">
        <f>IF(XT!$P260=0,Z260,"")</f>
        <v/>
      </c>
      <c r="AC260">
        <f>SUMPRODUCT((MONTH(CHOOSE({1,2,3,4},XT!U260,XT!Y260,XT!AC260,XT!AG260))=8)*(CHOOSE({1,2,3,4},XT!X260,XT!AB260,XT!AF260,XT!AJ260)))</f>
        <v>0</v>
      </c>
      <c r="AD260" t="str">
        <f>IFERROR(INDEX(CHOOSE({1,2,3,4}, DAY(XT!U260), DAY(XT!Y260), DAY(XT!AC260), DAY(XT!AG260)), MATCH(1, INDEX(--(MONTH(CHOOSE({1,2,3,4}, XT!U260,XT!Y260,XT!AC260,XT!AG260))=8), 0), 0)), "")</f>
        <v/>
      </c>
      <c r="AE260" s="12" t="str">
        <f>IF(XT!$P260&gt;0,AD260,"")</f>
        <v/>
      </c>
      <c r="AF260" s="12" t="str">
        <f>IF(XT!$P260=0,AD260,"")</f>
        <v/>
      </c>
      <c r="AG260">
        <f>SUMPRODUCT((MONTH(CHOOSE({1,2,3,4},XT!U260,XT!Y260,XT!AC260,XT!AG260))=9)*(CHOOSE({1,2,3,4},XT!X260,XT!AB260,XT!AF260,XT!AJ260)))</f>
        <v>0</v>
      </c>
      <c r="AH260" t="str">
        <f>IFERROR(INDEX(CHOOSE({1,2,3,4}, DAY(XT!U260), DAY(XT!Y260), DAY(XT!AC260), DAY(XT!AG260)), MATCH(1, INDEX(--(MONTH(CHOOSE({1,2,3,4}, XT!U260,XT!Y260,XT!AC260,XT!AG260))=9), 0), 0)), "")</f>
        <v/>
      </c>
      <c r="AI260" s="12" t="str">
        <f>IF(XT!$P260&gt;0,AH260,"")</f>
        <v/>
      </c>
      <c r="AJ260" s="12" t="str">
        <f>IF(XT!$P260=0,AH260,"")</f>
        <v/>
      </c>
      <c r="AK260">
        <f>SUMPRODUCT((MONTH(CHOOSE({1,2,3,4},XT!U260,XT!Y260,XT!AC260,XT!AG260))=10)*(CHOOSE({1,2,3,4},XT!X260,XT!AB260,XT!AF260,XT!AJ260)))</f>
        <v>0</v>
      </c>
      <c r="AL260" t="str">
        <f>IFERROR(INDEX(CHOOSE({1,2,3,4}, DAY(XT!U260), DAY(XT!Y260), DAY(XT!AC260), DAY(XT!AG260)), MATCH(1, INDEX(--(MONTH(CHOOSE({1,2,3,4}, XT!U260,XT!Y260,XT!AC260,XT!AG260))=10), 0), 0)), "")</f>
        <v/>
      </c>
      <c r="AM260" s="12" t="str">
        <f>IF(XT!$P260&gt;0,AL260,"")</f>
        <v/>
      </c>
      <c r="AN260" s="12" t="str">
        <f>IF(XT!$P260=0,AL260,"")</f>
        <v/>
      </c>
      <c r="AO260">
        <f>SUMPRODUCT((MONTH(CHOOSE({1,2,3,4},XT!U260,XT!Y260,XT!AC260,XT!AG260))=11)*(CHOOSE({1,2,3,4},XT!X260,XT!AB260,XT!AF260,XT!AJ260)))</f>
        <v>0</v>
      </c>
      <c r="AP260" t="str">
        <f>IFERROR(INDEX(CHOOSE({1,2,3,4}, DAY(XT!U260), DAY(XT!Y260), DAY(XT!AC260), DAY(XT!AG260)), MATCH(1, INDEX(--(MONTH(CHOOSE({1,2,3,4}, XT!U260,XT!Y260,XT!AC260,XT!AG260))=11), 0), 0)), "")</f>
        <v/>
      </c>
      <c r="AQ260" s="12" t="str">
        <f>IF(XT!$P260&gt;0,AP260,"")</f>
        <v/>
      </c>
      <c r="AR260" s="12" t="str">
        <f>IF(XT!$P260=0,AP260,"")</f>
        <v/>
      </c>
      <c r="AS260">
        <f>SUMPRODUCT((MONTH(CHOOSE({1,2,3,4},XT!U260,XT!Y260,XT!AC260,XT!AG260))=12)*(CHOOSE({1,2,3,4},XT!X260,XT!AB260,XT!AF260,XT!AJ260)))</f>
        <v>0</v>
      </c>
      <c r="AT260" t="str">
        <f>IFERROR(INDEX(CHOOSE({1,2,3,4}, DAY(XT!U260), DAY(XT!Y260), DAY(XT!AC260), DAY(XT!AG260)), MATCH(1, INDEX(--(MONTH(CHOOSE({1,2,3,4}, XT!U260,XT!Y260,XT!AC260,XT!AG260))=12), 0), 0)), "")</f>
        <v/>
      </c>
      <c r="AU260" s="12" t="str">
        <f>IF(XT!$P260&gt;0,AT260,"")</f>
        <v/>
      </c>
      <c r="AV260" s="12" t="str">
        <f>IF(XT!$P260=0,AT260,"")</f>
        <v/>
      </c>
    </row>
    <row r="261" spans="1:48">
      <c r="A261">
        <f>SUMPRODUCT((MONTH(CHOOSE({1,2,3,4},XT!U261,XT!Y261,XT!AC261,XT!AG261))=1)*(CHOOSE({1,2,3,4},XT!X261,XT!AB261,XT!AF261,XT!AJ261)))</f>
        <v>0</v>
      </c>
      <c r="B261">
        <f>IFERROR(INDEX(CHOOSE({1,2,3,4}, DAY(XT!U261), DAY(XT!Y261), DAY(XT!AC261), DAY(XT!AG261)), MATCH(1, INDEX(--(MONTH(CHOOSE({1,2,3,4}, XT!U261,XT!Y261,XT!AC261,XT!AG261))=1), 0), 0)), "")</f>
        <v>0</v>
      </c>
      <c r="C261" s="12" t="str">
        <f>IF(XT!$P261&gt;0,B261,"")</f>
        <v/>
      </c>
      <c r="D261" s="12">
        <f>IF(XT!$P261=0,B261,"")</f>
        <v>0</v>
      </c>
      <c r="E261">
        <f>SUMPRODUCT((MONTH(CHOOSE({1,2,3,4},XT!U261,XT!Y261,XT!AC261,XT!AG261))=2)*(CHOOSE({1,2,3,4},XT!X261,XT!AB261,XT!AF261,XT!AJ261)))</f>
        <v>0</v>
      </c>
      <c r="F261" t="str">
        <f>IFERROR(INDEX(CHOOSE({1,2,3,4}, DAY(XT!U261), DAY(XT!Y261), DAY(XT!AC261), DAY(XT!AG261)), MATCH(1, INDEX(--(MONTH(CHOOSE({1,2,3,4}, XT!U261,XT!Y261,XT!AC261,XT!AG261))=2), 0), 0)), "")</f>
        <v/>
      </c>
      <c r="G261" s="12" t="str">
        <f>IF(XT!$P261&gt;0,F261,"")</f>
        <v/>
      </c>
      <c r="H261" s="12" t="str">
        <f>IF(XT!$P261=0,F261,"")</f>
        <v/>
      </c>
      <c r="I261">
        <f>SUMPRODUCT((MONTH(CHOOSE({1,2,3,4},XT!U261,XT!Y261,XT!AC261,XT!AG261))=3)*(CHOOSE({1,2,3,4},XT!X261,XT!AB261,XT!AF261,XT!AJ261)))</f>
        <v>0</v>
      </c>
      <c r="J261" t="str">
        <f>IFERROR(INDEX(CHOOSE({1,2,3,4}, DAY(XT!U261), DAY(XT!Y261), DAY(XT!AC261), DAY(XT!AG261)), MATCH(1, INDEX(--(MONTH(CHOOSE({1,2,3,4}, XT!U261,XT!Y261,XT!AC261,XT!AG261))=3), 0), 0)), "")</f>
        <v/>
      </c>
      <c r="K261" s="12" t="str">
        <f>IF(XT!$P261&gt;0,J261,"")</f>
        <v/>
      </c>
      <c r="L261" s="12" t="str">
        <f>IF(XT!$P261=0,J261,"")</f>
        <v/>
      </c>
      <c r="M261">
        <f>SUMPRODUCT((MONTH(CHOOSE({1,2,3,4},XT!U261,XT!Y261,XT!AC261,XT!AG261))=4)*(CHOOSE({1,2,3,4},XT!X261,XT!AB261,XT!AF261,XT!AJ261)))</f>
        <v>0</v>
      </c>
      <c r="N261" t="str">
        <f>IFERROR(INDEX(CHOOSE({1,2,3,4}, DAY(XT!U261), DAY(XT!Y261), DAY(XT!AC261), DAY(XT!AG261)), MATCH(1, INDEX(--(MONTH(CHOOSE({1,2,3,4}, XT!U261,XT!Y261,XT!AC261,XT!AG261))=4), 0), 0)), "")</f>
        <v/>
      </c>
      <c r="O261" s="12" t="str">
        <f>IF(XT!$P261&gt;0,N261,"")</f>
        <v/>
      </c>
      <c r="P261" s="12" t="str">
        <f>IF(XT!$P261=0,N261,"")</f>
        <v/>
      </c>
      <c r="Q261">
        <f>SUMPRODUCT((MONTH(CHOOSE({1,2,3,4},XT!U261,XT!Y261,XT!AC261,XT!AG261))=5)*(CHOOSE({1,2,3,4},XT!X261,XT!AB261,XT!AF261,XT!AJ261)))</f>
        <v>0</v>
      </c>
      <c r="R261" t="str">
        <f>IFERROR(INDEX(CHOOSE({1,2,3,4}, DAY(XT!U261), DAY(XT!Y261), DAY(XT!AC261), DAY(XT!AG261)), MATCH(1, INDEX(--(MONTH(CHOOSE({1,2,3,4}, XT!U261,XT!Y261,XT!AC261,XT!AG261))=5), 0), 0)), "")</f>
        <v/>
      </c>
      <c r="S261" s="12" t="str">
        <f>IF(XT!$P261&gt;0,R261,"")</f>
        <v/>
      </c>
      <c r="T261" s="12" t="str">
        <f>IF(XT!$P261=0,R261,"")</f>
        <v/>
      </c>
      <c r="U261">
        <f>SUMPRODUCT((MONTH(CHOOSE({1,2,3,4},XT!U261,XT!Y261,XT!AC261,XT!AG261))=6)*(CHOOSE({1,2,3,4},XT!X261,XT!AB261,XT!AF261,XT!AJ261)))</f>
        <v>0</v>
      </c>
      <c r="V261" t="str">
        <f>IFERROR(INDEX(CHOOSE({1,2,3,4}, DAY(XT!U261), DAY(XT!Y261), DAY(XT!AC261), DAY(XT!AG261)), MATCH(1, INDEX(--(MONTH(CHOOSE({1,2,3,4}, XT!U261,XT!Y261,XT!AC261,XT!AG261))=6), 0), 0)), "")</f>
        <v/>
      </c>
      <c r="W261" s="12" t="str">
        <f>IF(XT!$P261&gt;0,V261,"")</f>
        <v/>
      </c>
      <c r="X261" s="12" t="str">
        <f>IF(XT!$P261=0,V261,"")</f>
        <v/>
      </c>
      <c r="Y261">
        <f>SUMPRODUCT((MONTH(CHOOSE({1,2,3,4},XT!U261,XT!Y261,XT!AC261,XT!AG261))=7)*(CHOOSE({1,2,3,4},XT!X261,XT!AB261,XT!AF261,XT!AJ261)))</f>
        <v>0</v>
      </c>
      <c r="Z261" t="str">
        <f>IFERROR(INDEX(CHOOSE({1,2,3,4}, DAY(XT!U261), DAY(XT!Y261), DAY(XT!AC261), DAY(XT!AG261)), MATCH(1, INDEX(--(MONTH(CHOOSE({1,2,3,4}, XT!U261,XT!Y261,XT!AC261,XT!AG261))=7), 0), 0)), "")</f>
        <v/>
      </c>
      <c r="AA261" s="12" t="str">
        <f>IF(XT!$P261&gt;0,Z261,"")</f>
        <v/>
      </c>
      <c r="AB261" s="12" t="str">
        <f>IF(XT!$P261=0,Z261,"")</f>
        <v/>
      </c>
      <c r="AC261">
        <f>SUMPRODUCT((MONTH(CHOOSE({1,2,3,4},XT!U261,XT!Y261,XT!AC261,XT!AG261))=8)*(CHOOSE({1,2,3,4},XT!X261,XT!AB261,XT!AF261,XT!AJ261)))</f>
        <v>0</v>
      </c>
      <c r="AD261" t="str">
        <f>IFERROR(INDEX(CHOOSE({1,2,3,4}, DAY(XT!U261), DAY(XT!Y261), DAY(XT!AC261), DAY(XT!AG261)), MATCH(1, INDEX(--(MONTH(CHOOSE({1,2,3,4}, XT!U261,XT!Y261,XT!AC261,XT!AG261))=8), 0), 0)), "")</f>
        <v/>
      </c>
      <c r="AE261" s="12" t="str">
        <f>IF(XT!$P261&gt;0,AD261,"")</f>
        <v/>
      </c>
      <c r="AF261" s="12" t="str">
        <f>IF(XT!$P261=0,AD261,"")</f>
        <v/>
      </c>
      <c r="AG261">
        <f>SUMPRODUCT((MONTH(CHOOSE({1,2,3,4},XT!U261,XT!Y261,XT!AC261,XT!AG261))=9)*(CHOOSE({1,2,3,4},XT!X261,XT!AB261,XT!AF261,XT!AJ261)))</f>
        <v>0</v>
      </c>
      <c r="AH261" t="str">
        <f>IFERROR(INDEX(CHOOSE({1,2,3,4}, DAY(XT!U261), DAY(XT!Y261), DAY(XT!AC261), DAY(XT!AG261)), MATCH(1, INDEX(--(MONTH(CHOOSE({1,2,3,4}, XT!U261,XT!Y261,XT!AC261,XT!AG261))=9), 0), 0)), "")</f>
        <v/>
      </c>
      <c r="AI261" s="12" t="str">
        <f>IF(XT!$P261&gt;0,AH261,"")</f>
        <v/>
      </c>
      <c r="AJ261" s="12" t="str">
        <f>IF(XT!$P261=0,AH261,"")</f>
        <v/>
      </c>
      <c r="AK261">
        <f>SUMPRODUCT((MONTH(CHOOSE({1,2,3,4},XT!U261,XT!Y261,XT!AC261,XT!AG261))=10)*(CHOOSE({1,2,3,4},XT!X261,XT!AB261,XT!AF261,XT!AJ261)))</f>
        <v>0</v>
      </c>
      <c r="AL261" t="str">
        <f>IFERROR(INDEX(CHOOSE({1,2,3,4}, DAY(XT!U261), DAY(XT!Y261), DAY(XT!AC261), DAY(XT!AG261)), MATCH(1, INDEX(--(MONTH(CHOOSE({1,2,3,4}, XT!U261,XT!Y261,XT!AC261,XT!AG261))=10), 0), 0)), "")</f>
        <v/>
      </c>
      <c r="AM261" s="12" t="str">
        <f>IF(XT!$P261&gt;0,AL261,"")</f>
        <v/>
      </c>
      <c r="AN261" s="12" t="str">
        <f>IF(XT!$P261=0,AL261,"")</f>
        <v/>
      </c>
      <c r="AO261">
        <f>SUMPRODUCT((MONTH(CHOOSE({1,2,3,4},XT!U261,XT!Y261,XT!AC261,XT!AG261))=11)*(CHOOSE({1,2,3,4},XT!X261,XT!AB261,XT!AF261,XT!AJ261)))</f>
        <v>0</v>
      </c>
      <c r="AP261" t="str">
        <f>IFERROR(INDEX(CHOOSE({1,2,3,4}, DAY(XT!U261), DAY(XT!Y261), DAY(XT!AC261), DAY(XT!AG261)), MATCH(1, INDEX(--(MONTH(CHOOSE({1,2,3,4}, XT!U261,XT!Y261,XT!AC261,XT!AG261))=11), 0), 0)), "")</f>
        <v/>
      </c>
      <c r="AQ261" s="12" t="str">
        <f>IF(XT!$P261&gt;0,AP261,"")</f>
        <v/>
      </c>
      <c r="AR261" s="12" t="str">
        <f>IF(XT!$P261=0,AP261,"")</f>
        <v/>
      </c>
      <c r="AS261">
        <f>SUMPRODUCT((MONTH(CHOOSE({1,2,3,4},XT!U261,XT!Y261,XT!AC261,XT!AG261))=12)*(CHOOSE({1,2,3,4},XT!X261,XT!AB261,XT!AF261,XT!AJ261)))</f>
        <v>0</v>
      </c>
      <c r="AT261" t="str">
        <f>IFERROR(INDEX(CHOOSE({1,2,3,4}, DAY(XT!U261), DAY(XT!Y261), DAY(XT!AC261), DAY(XT!AG261)), MATCH(1, INDEX(--(MONTH(CHOOSE({1,2,3,4}, XT!U261,XT!Y261,XT!AC261,XT!AG261))=12), 0), 0)), "")</f>
        <v/>
      </c>
      <c r="AU261" s="12" t="str">
        <f>IF(XT!$P261&gt;0,AT261,"")</f>
        <v/>
      </c>
      <c r="AV261" s="12" t="str">
        <f>IF(XT!$P261=0,AT261,"")</f>
        <v/>
      </c>
    </row>
    <row r="262" spans="1:48">
      <c r="A262">
        <f>SUMPRODUCT((MONTH(CHOOSE({1,2,3,4},XT!U262,XT!Y262,XT!AC262,XT!AG262))=1)*(CHOOSE({1,2,3,4},XT!X262,XT!AB262,XT!AF262,XT!AJ262)))</f>
        <v>0</v>
      </c>
      <c r="B262">
        <f>IFERROR(INDEX(CHOOSE({1,2,3,4}, DAY(XT!U262), DAY(XT!Y262), DAY(XT!AC262), DAY(XT!AG262)), MATCH(1, INDEX(--(MONTH(CHOOSE({1,2,3,4}, XT!U262,XT!Y262,XT!AC262,XT!AG262))=1), 0), 0)), "")</f>
        <v>0</v>
      </c>
      <c r="C262" s="12" t="str">
        <f>IF(XT!$P262&gt;0,B262,"")</f>
        <v/>
      </c>
      <c r="D262" s="12">
        <f>IF(XT!$P262=0,B262,"")</f>
        <v>0</v>
      </c>
      <c r="E262">
        <f>SUMPRODUCT((MONTH(CHOOSE({1,2,3,4},XT!U262,XT!Y262,XT!AC262,XT!AG262))=2)*(CHOOSE({1,2,3,4},XT!X262,XT!AB262,XT!AF262,XT!AJ262)))</f>
        <v>0</v>
      </c>
      <c r="F262" t="str">
        <f>IFERROR(INDEX(CHOOSE({1,2,3,4}, DAY(XT!U262), DAY(XT!Y262), DAY(XT!AC262), DAY(XT!AG262)), MATCH(1, INDEX(--(MONTH(CHOOSE({1,2,3,4}, XT!U262,XT!Y262,XT!AC262,XT!AG262))=2), 0), 0)), "")</f>
        <v/>
      </c>
      <c r="G262" s="12" t="str">
        <f>IF(XT!$P262&gt;0,F262,"")</f>
        <v/>
      </c>
      <c r="H262" s="12" t="str">
        <f>IF(XT!$P262=0,F262,"")</f>
        <v/>
      </c>
      <c r="I262">
        <f>SUMPRODUCT((MONTH(CHOOSE({1,2,3,4},XT!U262,XT!Y262,XT!AC262,XT!AG262))=3)*(CHOOSE({1,2,3,4},XT!X262,XT!AB262,XT!AF262,XT!AJ262)))</f>
        <v>0</v>
      </c>
      <c r="J262" t="str">
        <f>IFERROR(INDEX(CHOOSE({1,2,3,4}, DAY(XT!U262), DAY(XT!Y262), DAY(XT!AC262), DAY(XT!AG262)), MATCH(1, INDEX(--(MONTH(CHOOSE({1,2,3,4}, XT!U262,XT!Y262,XT!AC262,XT!AG262))=3), 0), 0)), "")</f>
        <v/>
      </c>
      <c r="K262" s="12" t="str">
        <f>IF(XT!$P262&gt;0,J262,"")</f>
        <v/>
      </c>
      <c r="L262" s="12" t="str">
        <f>IF(XT!$P262=0,J262,"")</f>
        <v/>
      </c>
      <c r="M262">
        <f>SUMPRODUCT((MONTH(CHOOSE({1,2,3,4},XT!U262,XT!Y262,XT!AC262,XT!AG262))=4)*(CHOOSE({1,2,3,4},XT!X262,XT!AB262,XT!AF262,XT!AJ262)))</f>
        <v>0</v>
      </c>
      <c r="N262" t="str">
        <f>IFERROR(INDEX(CHOOSE({1,2,3,4}, DAY(XT!U262), DAY(XT!Y262), DAY(XT!AC262), DAY(XT!AG262)), MATCH(1, INDEX(--(MONTH(CHOOSE({1,2,3,4}, XT!U262,XT!Y262,XT!AC262,XT!AG262))=4), 0), 0)), "")</f>
        <v/>
      </c>
      <c r="O262" s="12" t="str">
        <f>IF(XT!$P262&gt;0,N262,"")</f>
        <v/>
      </c>
      <c r="P262" s="12" t="str">
        <f>IF(XT!$P262=0,N262,"")</f>
        <v/>
      </c>
      <c r="Q262">
        <f>SUMPRODUCT((MONTH(CHOOSE({1,2,3,4},XT!U262,XT!Y262,XT!AC262,XT!AG262))=5)*(CHOOSE({1,2,3,4},XT!X262,XT!AB262,XT!AF262,XT!AJ262)))</f>
        <v>0</v>
      </c>
      <c r="R262" t="str">
        <f>IFERROR(INDEX(CHOOSE({1,2,3,4}, DAY(XT!U262), DAY(XT!Y262), DAY(XT!AC262), DAY(XT!AG262)), MATCH(1, INDEX(--(MONTH(CHOOSE({1,2,3,4}, XT!U262,XT!Y262,XT!AC262,XT!AG262))=5), 0), 0)), "")</f>
        <v/>
      </c>
      <c r="S262" s="12" t="str">
        <f>IF(XT!$P262&gt;0,R262,"")</f>
        <v/>
      </c>
      <c r="T262" s="12" t="str">
        <f>IF(XT!$P262=0,R262,"")</f>
        <v/>
      </c>
      <c r="U262">
        <f>SUMPRODUCT((MONTH(CHOOSE({1,2,3,4},XT!U262,XT!Y262,XT!AC262,XT!AG262))=6)*(CHOOSE({1,2,3,4},XT!X262,XT!AB262,XT!AF262,XT!AJ262)))</f>
        <v>0</v>
      </c>
      <c r="V262" t="str">
        <f>IFERROR(INDEX(CHOOSE({1,2,3,4}, DAY(XT!U262), DAY(XT!Y262), DAY(XT!AC262), DAY(XT!AG262)), MATCH(1, INDEX(--(MONTH(CHOOSE({1,2,3,4}, XT!U262,XT!Y262,XT!AC262,XT!AG262))=6), 0), 0)), "")</f>
        <v/>
      </c>
      <c r="W262" s="12" t="str">
        <f>IF(XT!$P262&gt;0,V262,"")</f>
        <v/>
      </c>
      <c r="X262" s="12" t="str">
        <f>IF(XT!$P262=0,V262,"")</f>
        <v/>
      </c>
      <c r="Y262">
        <f>SUMPRODUCT((MONTH(CHOOSE({1,2,3,4},XT!U262,XT!Y262,XT!AC262,XT!AG262))=7)*(CHOOSE({1,2,3,4},XT!X262,XT!AB262,XT!AF262,XT!AJ262)))</f>
        <v>0</v>
      </c>
      <c r="Z262" t="str">
        <f>IFERROR(INDEX(CHOOSE({1,2,3,4}, DAY(XT!U262), DAY(XT!Y262), DAY(XT!AC262), DAY(XT!AG262)), MATCH(1, INDEX(--(MONTH(CHOOSE({1,2,3,4}, XT!U262,XT!Y262,XT!AC262,XT!AG262))=7), 0), 0)), "")</f>
        <v/>
      </c>
      <c r="AA262" s="12" t="str">
        <f>IF(XT!$P262&gt;0,Z262,"")</f>
        <v/>
      </c>
      <c r="AB262" s="12" t="str">
        <f>IF(XT!$P262=0,Z262,"")</f>
        <v/>
      </c>
      <c r="AC262">
        <f>SUMPRODUCT((MONTH(CHOOSE({1,2,3,4},XT!U262,XT!Y262,XT!AC262,XT!AG262))=8)*(CHOOSE({1,2,3,4},XT!X262,XT!AB262,XT!AF262,XT!AJ262)))</f>
        <v>0</v>
      </c>
      <c r="AD262" t="str">
        <f>IFERROR(INDEX(CHOOSE({1,2,3,4}, DAY(XT!U262), DAY(XT!Y262), DAY(XT!AC262), DAY(XT!AG262)), MATCH(1, INDEX(--(MONTH(CHOOSE({1,2,3,4}, XT!U262,XT!Y262,XT!AC262,XT!AG262))=8), 0), 0)), "")</f>
        <v/>
      </c>
      <c r="AE262" s="12" t="str">
        <f>IF(XT!$P262&gt;0,AD262,"")</f>
        <v/>
      </c>
      <c r="AF262" s="12" t="str">
        <f>IF(XT!$P262=0,AD262,"")</f>
        <v/>
      </c>
      <c r="AG262">
        <f>SUMPRODUCT((MONTH(CHOOSE({1,2,3,4},XT!U262,XT!Y262,XT!AC262,XT!AG262))=9)*(CHOOSE({1,2,3,4},XT!X262,XT!AB262,XT!AF262,XT!AJ262)))</f>
        <v>0</v>
      </c>
      <c r="AH262" t="str">
        <f>IFERROR(INDEX(CHOOSE({1,2,3,4}, DAY(XT!U262), DAY(XT!Y262), DAY(XT!AC262), DAY(XT!AG262)), MATCH(1, INDEX(--(MONTH(CHOOSE({1,2,3,4}, XT!U262,XT!Y262,XT!AC262,XT!AG262))=9), 0), 0)), "")</f>
        <v/>
      </c>
      <c r="AI262" s="12" t="str">
        <f>IF(XT!$P262&gt;0,AH262,"")</f>
        <v/>
      </c>
      <c r="AJ262" s="12" t="str">
        <f>IF(XT!$P262=0,AH262,"")</f>
        <v/>
      </c>
      <c r="AK262">
        <f>SUMPRODUCT((MONTH(CHOOSE({1,2,3,4},XT!U262,XT!Y262,XT!AC262,XT!AG262))=10)*(CHOOSE({1,2,3,4},XT!X262,XT!AB262,XT!AF262,XT!AJ262)))</f>
        <v>0</v>
      </c>
      <c r="AL262" t="str">
        <f>IFERROR(INDEX(CHOOSE({1,2,3,4}, DAY(XT!U262), DAY(XT!Y262), DAY(XT!AC262), DAY(XT!AG262)), MATCH(1, INDEX(--(MONTH(CHOOSE({1,2,3,4}, XT!U262,XT!Y262,XT!AC262,XT!AG262))=10), 0), 0)), "")</f>
        <v/>
      </c>
      <c r="AM262" s="12" t="str">
        <f>IF(XT!$P262&gt;0,AL262,"")</f>
        <v/>
      </c>
      <c r="AN262" s="12" t="str">
        <f>IF(XT!$P262=0,AL262,"")</f>
        <v/>
      </c>
      <c r="AO262">
        <f>SUMPRODUCT((MONTH(CHOOSE({1,2,3,4},XT!U262,XT!Y262,XT!AC262,XT!AG262))=11)*(CHOOSE({1,2,3,4},XT!X262,XT!AB262,XT!AF262,XT!AJ262)))</f>
        <v>0</v>
      </c>
      <c r="AP262" t="str">
        <f>IFERROR(INDEX(CHOOSE({1,2,3,4}, DAY(XT!U262), DAY(XT!Y262), DAY(XT!AC262), DAY(XT!AG262)), MATCH(1, INDEX(--(MONTH(CHOOSE({1,2,3,4}, XT!U262,XT!Y262,XT!AC262,XT!AG262))=11), 0), 0)), "")</f>
        <v/>
      </c>
      <c r="AQ262" s="12" t="str">
        <f>IF(XT!$P262&gt;0,AP262,"")</f>
        <v/>
      </c>
      <c r="AR262" s="12" t="str">
        <f>IF(XT!$P262=0,AP262,"")</f>
        <v/>
      </c>
      <c r="AS262">
        <f>SUMPRODUCT((MONTH(CHOOSE({1,2,3,4},XT!U262,XT!Y262,XT!AC262,XT!AG262))=12)*(CHOOSE({1,2,3,4},XT!X262,XT!AB262,XT!AF262,XT!AJ262)))</f>
        <v>0</v>
      </c>
      <c r="AT262" t="str">
        <f>IFERROR(INDEX(CHOOSE({1,2,3,4}, DAY(XT!U262), DAY(XT!Y262), DAY(XT!AC262), DAY(XT!AG262)), MATCH(1, INDEX(--(MONTH(CHOOSE({1,2,3,4}, XT!U262,XT!Y262,XT!AC262,XT!AG262))=12), 0), 0)), "")</f>
        <v/>
      </c>
      <c r="AU262" s="12" t="str">
        <f>IF(XT!$P262&gt;0,AT262,"")</f>
        <v/>
      </c>
      <c r="AV262" s="12" t="str">
        <f>IF(XT!$P262=0,AT262,"")</f>
        <v/>
      </c>
    </row>
    <row r="263" spans="1:48">
      <c r="A263">
        <f>SUMPRODUCT((MONTH(CHOOSE({1,2,3,4},XT!U263,XT!Y263,XT!AC263,XT!AG263))=1)*(CHOOSE({1,2,3,4},XT!X263,XT!AB263,XT!AF263,XT!AJ263)))</f>
        <v>0</v>
      </c>
      <c r="B263">
        <f>IFERROR(INDEX(CHOOSE({1,2,3,4}, DAY(XT!U263), DAY(XT!Y263), DAY(XT!AC263), DAY(XT!AG263)), MATCH(1, INDEX(--(MONTH(CHOOSE({1,2,3,4}, XT!U263,XT!Y263,XT!AC263,XT!AG263))=1), 0), 0)), "")</f>
        <v>0</v>
      </c>
      <c r="C263" s="12" t="str">
        <f>IF(XT!$P263&gt;0,B263,"")</f>
        <v/>
      </c>
      <c r="D263" s="12">
        <f>IF(XT!$P263=0,B263,"")</f>
        <v>0</v>
      </c>
      <c r="E263">
        <f>SUMPRODUCT((MONTH(CHOOSE({1,2,3,4},XT!U263,XT!Y263,XT!AC263,XT!AG263))=2)*(CHOOSE({1,2,3,4},XT!X263,XT!AB263,XT!AF263,XT!AJ263)))</f>
        <v>0</v>
      </c>
      <c r="F263" t="str">
        <f>IFERROR(INDEX(CHOOSE({1,2,3,4}, DAY(XT!U263), DAY(XT!Y263), DAY(XT!AC263), DAY(XT!AG263)), MATCH(1, INDEX(--(MONTH(CHOOSE({1,2,3,4}, XT!U263,XT!Y263,XT!AC263,XT!AG263))=2), 0), 0)), "")</f>
        <v/>
      </c>
      <c r="G263" s="12" t="str">
        <f>IF(XT!$P263&gt;0,F263,"")</f>
        <v/>
      </c>
      <c r="H263" s="12" t="str">
        <f>IF(XT!$P263=0,F263,"")</f>
        <v/>
      </c>
      <c r="I263">
        <f>SUMPRODUCT((MONTH(CHOOSE({1,2,3,4},XT!U263,XT!Y263,XT!AC263,XT!AG263))=3)*(CHOOSE({1,2,3,4},XT!X263,XT!AB263,XT!AF263,XT!AJ263)))</f>
        <v>0</v>
      </c>
      <c r="J263" t="str">
        <f>IFERROR(INDEX(CHOOSE({1,2,3,4}, DAY(XT!U263), DAY(XT!Y263), DAY(XT!AC263), DAY(XT!AG263)), MATCH(1, INDEX(--(MONTH(CHOOSE({1,2,3,4}, XT!U263,XT!Y263,XT!AC263,XT!AG263))=3), 0), 0)), "")</f>
        <v/>
      </c>
      <c r="K263" s="12" t="str">
        <f>IF(XT!$P263&gt;0,J263,"")</f>
        <v/>
      </c>
      <c r="L263" s="12" t="str">
        <f>IF(XT!$P263=0,J263,"")</f>
        <v/>
      </c>
      <c r="M263">
        <f>SUMPRODUCT((MONTH(CHOOSE({1,2,3,4},XT!U263,XT!Y263,XT!AC263,XT!AG263))=4)*(CHOOSE({1,2,3,4},XT!X263,XT!AB263,XT!AF263,XT!AJ263)))</f>
        <v>0</v>
      </c>
      <c r="N263" t="str">
        <f>IFERROR(INDEX(CHOOSE({1,2,3,4}, DAY(XT!U263), DAY(XT!Y263), DAY(XT!AC263), DAY(XT!AG263)), MATCH(1, INDEX(--(MONTH(CHOOSE({1,2,3,4}, XT!U263,XT!Y263,XT!AC263,XT!AG263))=4), 0), 0)), "")</f>
        <v/>
      </c>
      <c r="O263" s="12" t="str">
        <f>IF(XT!$P263&gt;0,N263,"")</f>
        <v/>
      </c>
      <c r="P263" s="12" t="str">
        <f>IF(XT!$P263=0,N263,"")</f>
        <v/>
      </c>
      <c r="Q263">
        <f>SUMPRODUCT((MONTH(CHOOSE({1,2,3,4},XT!U263,XT!Y263,XT!AC263,XT!AG263))=5)*(CHOOSE({1,2,3,4},XT!X263,XT!AB263,XT!AF263,XT!AJ263)))</f>
        <v>0</v>
      </c>
      <c r="R263" t="str">
        <f>IFERROR(INDEX(CHOOSE({1,2,3,4}, DAY(XT!U263), DAY(XT!Y263), DAY(XT!AC263), DAY(XT!AG263)), MATCH(1, INDEX(--(MONTH(CHOOSE({1,2,3,4}, XT!U263,XT!Y263,XT!AC263,XT!AG263))=5), 0), 0)), "")</f>
        <v/>
      </c>
      <c r="S263" s="12" t="str">
        <f>IF(XT!$P263&gt;0,R263,"")</f>
        <v/>
      </c>
      <c r="T263" s="12" t="str">
        <f>IF(XT!$P263=0,R263,"")</f>
        <v/>
      </c>
      <c r="U263">
        <f>SUMPRODUCT((MONTH(CHOOSE({1,2,3,4},XT!U263,XT!Y263,XT!AC263,XT!AG263))=6)*(CHOOSE({1,2,3,4},XT!X263,XT!AB263,XT!AF263,XT!AJ263)))</f>
        <v>0</v>
      </c>
      <c r="V263" t="str">
        <f>IFERROR(INDEX(CHOOSE({1,2,3,4}, DAY(XT!U263), DAY(XT!Y263), DAY(XT!AC263), DAY(XT!AG263)), MATCH(1, INDEX(--(MONTH(CHOOSE({1,2,3,4}, XT!U263,XT!Y263,XT!AC263,XT!AG263))=6), 0), 0)), "")</f>
        <v/>
      </c>
      <c r="W263" s="12" t="str">
        <f>IF(XT!$P263&gt;0,V263,"")</f>
        <v/>
      </c>
      <c r="X263" s="12" t="str">
        <f>IF(XT!$P263=0,V263,"")</f>
        <v/>
      </c>
      <c r="Y263">
        <f>SUMPRODUCT((MONTH(CHOOSE({1,2,3,4},XT!U263,XT!Y263,XT!AC263,XT!AG263))=7)*(CHOOSE({1,2,3,4},XT!X263,XT!AB263,XT!AF263,XT!AJ263)))</f>
        <v>0</v>
      </c>
      <c r="Z263" t="str">
        <f>IFERROR(INDEX(CHOOSE({1,2,3,4}, DAY(XT!U263), DAY(XT!Y263), DAY(XT!AC263), DAY(XT!AG263)), MATCH(1, INDEX(--(MONTH(CHOOSE({1,2,3,4}, XT!U263,XT!Y263,XT!AC263,XT!AG263))=7), 0), 0)), "")</f>
        <v/>
      </c>
      <c r="AA263" s="12" t="str">
        <f>IF(XT!$P263&gt;0,Z263,"")</f>
        <v/>
      </c>
      <c r="AB263" s="12" t="str">
        <f>IF(XT!$P263=0,Z263,"")</f>
        <v/>
      </c>
      <c r="AC263">
        <f>SUMPRODUCT((MONTH(CHOOSE({1,2,3,4},XT!U263,XT!Y263,XT!AC263,XT!AG263))=8)*(CHOOSE({1,2,3,4},XT!X263,XT!AB263,XT!AF263,XT!AJ263)))</f>
        <v>0</v>
      </c>
      <c r="AD263" t="str">
        <f>IFERROR(INDEX(CHOOSE({1,2,3,4}, DAY(XT!U263), DAY(XT!Y263), DAY(XT!AC263), DAY(XT!AG263)), MATCH(1, INDEX(--(MONTH(CHOOSE({1,2,3,4}, XT!U263,XT!Y263,XT!AC263,XT!AG263))=8), 0), 0)), "")</f>
        <v/>
      </c>
      <c r="AE263" s="12" t="str">
        <f>IF(XT!$P263&gt;0,AD263,"")</f>
        <v/>
      </c>
      <c r="AF263" s="12" t="str">
        <f>IF(XT!$P263=0,AD263,"")</f>
        <v/>
      </c>
      <c r="AG263">
        <f>SUMPRODUCT((MONTH(CHOOSE({1,2,3,4},XT!U263,XT!Y263,XT!AC263,XT!AG263))=9)*(CHOOSE({1,2,3,4},XT!X263,XT!AB263,XT!AF263,XT!AJ263)))</f>
        <v>0</v>
      </c>
      <c r="AH263" t="str">
        <f>IFERROR(INDEX(CHOOSE({1,2,3,4}, DAY(XT!U263), DAY(XT!Y263), DAY(XT!AC263), DAY(XT!AG263)), MATCH(1, INDEX(--(MONTH(CHOOSE({1,2,3,4}, XT!U263,XT!Y263,XT!AC263,XT!AG263))=9), 0), 0)), "")</f>
        <v/>
      </c>
      <c r="AI263" s="12" t="str">
        <f>IF(XT!$P263&gt;0,AH263,"")</f>
        <v/>
      </c>
      <c r="AJ263" s="12" t="str">
        <f>IF(XT!$P263=0,AH263,"")</f>
        <v/>
      </c>
      <c r="AK263">
        <f>SUMPRODUCT((MONTH(CHOOSE({1,2,3,4},XT!U263,XT!Y263,XT!AC263,XT!AG263))=10)*(CHOOSE({1,2,3,4},XT!X263,XT!AB263,XT!AF263,XT!AJ263)))</f>
        <v>0</v>
      </c>
      <c r="AL263" t="str">
        <f>IFERROR(INDEX(CHOOSE({1,2,3,4}, DAY(XT!U263), DAY(XT!Y263), DAY(XT!AC263), DAY(XT!AG263)), MATCH(1, INDEX(--(MONTH(CHOOSE({1,2,3,4}, XT!U263,XT!Y263,XT!AC263,XT!AG263))=10), 0), 0)), "")</f>
        <v/>
      </c>
      <c r="AM263" s="12" t="str">
        <f>IF(XT!$P263&gt;0,AL263,"")</f>
        <v/>
      </c>
      <c r="AN263" s="12" t="str">
        <f>IF(XT!$P263=0,AL263,"")</f>
        <v/>
      </c>
      <c r="AO263">
        <f>SUMPRODUCT((MONTH(CHOOSE({1,2,3,4},XT!U263,XT!Y263,XT!AC263,XT!AG263))=11)*(CHOOSE({1,2,3,4},XT!X263,XT!AB263,XT!AF263,XT!AJ263)))</f>
        <v>0</v>
      </c>
      <c r="AP263" t="str">
        <f>IFERROR(INDEX(CHOOSE({1,2,3,4}, DAY(XT!U263), DAY(XT!Y263), DAY(XT!AC263), DAY(XT!AG263)), MATCH(1, INDEX(--(MONTH(CHOOSE({1,2,3,4}, XT!U263,XT!Y263,XT!AC263,XT!AG263))=11), 0), 0)), "")</f>
        <v/>
      </c>
      <c r="AQ263" s="12" t="str">
        <f>IF(XT!$P263&gt;0,AP263,"")</f>
        <v/>
      </c>
      <c r="AR263" s="12" t="str">
        <f>IF(XT!$P263=0,AP263,"")</f>
        <v/>
      </c>
      <c r="AS263">
        <f>SUMPRODUCT((MONTH(CHOOSE({1,2,3,4},XT!U263,XT!Y263,XT!AC263,XT!AG263))=12)*(CHOOSE({1,2,3,4},XT!X263,XT!AB263,XT!AF263,XT!AJ263)))</f>
        <v>0</v>
      </c>
      <c r="AT263" t="str">
        <f>IFERROR(INDEX(CHOOSE({1,2,3,4}, DAY(XT!U263), DAY(XT!Y263), DAY(XT!AC263), DAY(XT!AG263)), MATCH(1, INDEX(--(MONTH(CHOOSE({1,2,3,4}, XT!U263,XT!Y263,XT!AC263,XT!AG263))=12), 0), 0)), "")</f>
        <v/>
      </c>
      <c r="AU263" s="12" t="str">
        <f>IF(XT!$P263&gt;0,AT263,"")</f>
        <v/>
      </c>
      <c r="AV263" s="12" t="str">
        <f>IF(XT!$P263=0,AT263,"")</f>
        <v/>
      </c>
    </row>
    <row r="264" spans="1:48">
      <c r="A264">
        <f>SUMPRODUCT((MONTH(CHOOSE({1,2,3,4},XT!U264,XT!Y264,XT!AC264,XT!AG264))=1)*(CHOOSE({1,2,3,4},XT!X264,XT!AB264,XT!AF264,XT!AJ264)))</f>
        <v>0</v>
      </c>
      <c r="B264">
        <f>IFERROR(INDEX(CHOOSE({1,2,3,4}, DAY(XT!U264), DAY(XT!Y264), DAY(XT!AC264), DAY(XT!AG264)), MATCH(1, INDEX(--(MONTH(CHOOSE({1,2,3,4}, XT!U264,XT!Y264,XT!AC264,XT!AG264))=1), 0), 0)), "")</f>
        <v>0</v>
      </c>
      <c r="C264" s="12" t="str">
        <f>IF(XT!$P264&gt;0,B264,"")</f>
        <v/>
      </c>
      <c r="D264" s="12">
        <f>IF(XT!$P264=0,B264,"")</f>
        <v>0</v>
      </c>
      <c r="E264">
        <f>SUMPRODUCT((MONTH(CHOOSE({1,2,3,4},XT!U264,XT!Y264,XT!AC264,XT!AG264))=2)*(CHOOSE({1,2,3,4},XT!X264,XT!AB264,XT!AF264,XT!AJ264)))</f>
        <v>0</v>
      </c>
      <c r="F264" t="str">
        <f>IFERROR(INDEX(CHOOSE({1,2,3,4}, DAY(XT!U264), DAY(XT!Y264), DAY(XT!AC264), DAY(XT!AG264)), MATCH(1, INDEX(--(MONTH(CHOOSE({1,2,3,4}, XT!U264,XT!Y264,XT!AC264,XT!AG264))=2), 0), 0)), "")</f>
        <v/>
      </c>
      <c r="G264" s="12" t="str">
        <f>IF(XT!$P264&gt;0,F264,"")</f>
        <v/>
      </c>
      <c r="H264" s="12" t="str">
        <f>IF(XT!$P264=0,F264,"")</f>
        <v/>
      </c>
      <c r="I264">
        <f>SUMPRODUCT((MONTH(CHOOSE({1,2,3,4},XT!U264,XT!Y264,XT!AC264,XT!AG264))=3)*(CHOOSE({1,2,3,4},XT!X264,XT!AB264,XT!AF264,XT!AJ264)))</f>
        <v>0</v>
      </c>
      <c r="J264" t="str">
        <f>IFERROR(INDEX(CHOOSE({1,2,3,4}, DAY(XT!U264), DAY(XT!Y264), DAY(XT!AC264), DAY(XT!AG264)), MATCH(1, INDEX(--(MONTH(CHOOSE({1,2,3,4}, XT!U264,XT!Y264,XT!AC264,XT!AG264))=3), 0), 0)), "")</f>
        <v/>
      </c>
      <c r="K264" s="12" t="str">
        <f>IF(XT!$P264&gt;0,J264,"")</f>
        <v/>
      </c>
      <c r="L264" s="12" t="str">
        <f>IF(XT!$P264=0,J264,"")</f>
        <v/>
      </c>
      <c r="M264">
        <f>SUMPRODUCT((MONTH(CHOOSE({1,2,3,4},XT!U264,XT!Y264,XT!AC264,XT!AG264))=4)*(CHOOSE({1,2,3,4},XT!X264,XT!AB264,XT!AF264,XT!AJ264)))</f>
        <v>0</v>
      </c>
      <c r="N264" t="str">
        <f>IFERROR(INDEX(CHOOSE({1,2,3,4}, DAY(XT!U264), DAY(XT!Y264), DAY(XT!AC264), DAY(XT!AG264)), MATCH(1, INDEX(--(MONTH(CHOOSE({1,2,3,4}, XT!U264,XT!Y264,XT!AC264,XT!AG264))=4), 0), 0)), "")</f>
        <v/>
      </c>
      <c r="O264" s="12" t="str">
        <f>IF(XT!$P264&gt;0,N264,"")</f>
        <v/>
      </c>
      <c r="P264" s="12" t="str">
        <f>IF(XT!$P264=0,N264,"")</f>
        <v/>
      </c>
      <c r="Q264">
        <f>SUMPRODUCT((MONTH(CHOOSE({1,2,3,4},XT!U264,XT!Y264,XT!AC264,XT!AG264))=5)*(CHOOSE({1,2,3,4},XT!X264,XT!AB264,XT!AF264,XT!AJ264)))</f>
        <v>0</v>
      </c>
      <c r="R264" t="str">
        <f>IFERROR(INDEX(CHOOSE({1,2,3,4}, DAY(XT!U264), DAY(XT!Y264), DAY(XT!AC264), DAY(XT!AG264)), MATCH(1, INDEX(--(MONTH(CHOOSE({1,2,3,4}, XT!U264,XT!Y264,XT!AC264,XT!AG264))=5), 0), 0)), "")</f>
        <v/>
      </c>
      <c r="S264" s="12" t="str">
        <f>IF(XT!$P264&gt;0,R264,"")</f>
        <v/>
      </c>
      <c r="T264" s="12" t="str">
        <f>IF(XT!$P264=0,R264,"")</f>
        <v/>
      </c>
      <c r="U264">
        <f>SUMPRODUCT((MONTH(CHOOSE({1,2,3,4},XT!U264,XT!Y264,XT!AC264,XT!AG264))=6)*(CHOOSE({1,2,3,4},XT!X264,XT!AB264,XT!AF264,XT!AJ264)))</f>
        <v>0</v>
      </c>
      <c r="V264" t="str">
        <f>IFERROR(INDEX(CHOOSE({1,2,3,4}, DAY(XT!U264), DAY(XT!Y264), DAY(XT!AC264), DAY(XT!AG264)), MATCH(1, INDEX(--(MONTH(CHOOSE({1,2,3,4}, XT!U264,XT!Y264,XT!AC264,XT!AG264))=6), 0), 0)), "")</f>
        <v/>
      </c>
      <c r="W264" s="12" t="str">
        <f>IF(XT!$P264&gt;0,V264,"")</f>
        <v/>
      </c>
      <c r="X264" s="12" t="str">
        <f>IF(XT!$P264=0,V264,"")</f>
        <v/>
      </c>
      <c r="Y264">
        <f>SUMPRODUCT((MONTH(CHOOSE({1,2,3,4},XT!U264,XT!Y264,XT!AC264,XT!AG264))=7)*(CHOOSE({1,2,3,4},XT!X264,XT!AB264,XT!AF264,XT!AJ264)))</f>
        <v>0</v>
      </c>
      <c r="Z264" t="str">
        <f>IFERROR(INDEX(CHOOSE({1,2,3,4}, DAY(XT!U264), DAY(XT!Y264), DAY(XT!AC264), DAY(XT!AG264)), MATCH(1, INDEX(--(MONTH(CHOOSE({1,2,3,4}, XT!U264,XT!Y264,XT!AC264,XT!AG264))=7), 0), 0)), "")</f>
        <v/>
      </c>
      <c r="AA264" s="12" t="str">
        <f>IF(XT!$P264&gt;0,Z264,"")</f>
        <v/>
      </c>
      <c r="AB264" s="12" t="str">
        <f>IF(XT!$P264=0,Z264,"")</f>
        <v/>
      </c>
      <c r="AC264">
        <f>SUMPRODUCT((MONTH(CHOOSE({1,2,3,4},XT!U264,XT!Y264,XT!AC264,XT!AG264))=8)*(CHOOSE({1,2,3,4},XT!X264,XT!AB264,XT!AF264,XT!AJ264)))</f>
        <v>0</v>
      </c>
      <c r="AD264" t="str">
        <f>IFERROR(INDEX(CHOOSE({1,2,3,4}, DAY(XT!U264), DAY(XT!Y264), DAY(XT!AC264), DAY(XT!AG264)), MATCH(1, INDEX(--(MONTH(CHOOSE({1,2,3,4}, XT!U264,XT!Y264,XT!AC264,XT!AG264))=8), 0), 0)), "")</f>
        <v/>
      </c>
      <c r="AE264" s="12" t="str">
        <f>IF(XT!$P264&gt;0,AD264,"")</f>
        <v/>
      </c>
      <c r="AF264" s="12" t="str">
        <f>IF(XT!$P264=0,AD264,"")</f>
        <v/>
      </c>
      <c r="AG264">
        <f>SUMPRODUCT((MONTH(CHOOSE({1,2,3,4},XT!U264,XT!Y264,XT!AC264,XT!AG264))=9)*(CHOOSE({1,2,3,4},XT!X264,XT!AB264,XT!AF264,XT!AJ264)))</f>
        <v>0</v>
      </c>
      <c r="AH264" t="str">
        <f>IFERROR(INDEX(CHOOSE({1,2,3,4}, DAY(XT!U264), DAY(XT!Y264), DAY(XT!AC264), DAY(XT!AG264)), MATCH(1, INDEX(--(MONTH(CHOOSE({1,2,3,4}, XT!U264,XT!Y264,XT!AC264,XT!AG264))=9), 0), 0)), "")</f>
        <v/>
      </c>
      <c r="AI264" s="12" t="str">
        <f>IF(XT!$P264&gt;0,AH264,"")</f>
        <v/>
      </c>
      <c r="AJ264" s="12" t="str">
        <f>IF(XT!$P264=0,AH264,"")</f>
        <v/>
      </c>
      <c r="AK264">
        <f>SUMPRODUCT((MONTH(CHOOSE({1,2,3,4},XT!U264,XT!Y264,XT!AC264,XT!AG264))=10)*(CHOOSE({1,2,3,4},XT!X264,XT!AB264,XT!AF264,XT!AJ264)))</f>
        <v>0</v>
      </c>
      <c r="AL264" t="str">
        <f>IFERROR(INDEX(CHOOSE({1,2,3,4}, DAY(XT!U264), DAY(XT!Y264), DAY(XT!AC264), DAY(XT!AG264)), MATCH(1, INDEX(--(MONTH(CHOOSE({1,2,3,4}, XT!U264,XT!Y264,XT!AC264,XT!AG264))=10), 0), 0)), "")</f>
        <v/>
      </c>
      <c r="AM264" s="12" t="str">
        <f>IF(XT!$P264&gt;0,AL264,"")</f>
        <v/>
      </c>
      <c r="AN264" s="12" t="str">
        <f>IF(XT!$P264=0,AL264,"")</f>
        <v/>
      </c>
      <c r="AO264">
        <f>SUMPRODUCT((MONTH(CHOOSE({1,2,3,4},XT!U264,XT!Y264,XT!AC264,XT!AG264))=11)*(CHOOSE({1,2,3,4},XT!X264,XT!AB264,XT!AF264,XT!AJ264)))</f>
        <v>0</v>
      </c>
      <c r="AP264" t="str">
        <f>IFERROR(INDEX(CHOOSE({1,2,3,4}, DAY(XT!U264), DAY(XT!Y264), DAY(XT!AC264), DAY(XT!AG264)), MATCH(1, INDEX(--(MONTH(CHOOSE({1,2,3,4}, XT!U264,XT!Y264,XT!AC264,XT!AG264))=11), 0), 0)), "")</f>
        <v/>
      </c>
      <c r="AQ264" s="12" t="str">
        <f>IF(XT!$P264&gt;0,AP264,"")</f>
        <v/>
      </c>
      <c r="AR264" s="12" t="str">
        <f>IF(XT!$P264=0,AP264,"")</f>
        <v/>
      </c>
      <c r="AS264">
        <f>SUMPRODUCT((MONTH(CHOOSE({1,2,3,4},XT!U264,XT!Y264,XT!AC264,XT!AG264))=12)*(CHOOSE({1,2,3,4},XT!X264,XT!AB264,XT!AF264,XT!AJ264)))</f>
        <v>0</v>
      </c>
      <c r="AT264" t="str">
        <f>IFERROR(INDEX(CHOOSE({1,2,3,4}, DAY(XT!U264), DAY(XT!Y264), DAY(XT!AC264), DAY(XT!AG264)), MATCH(1, INDEX(--(MONTH(CHOOSE({1,2,3,4}, XT!U264,XT!Y264,XT!AC264,XT!AG264))=12), 0), 0)), "")</f>
        <v/>
      </c>
      <c r="AU264" s="12" t="str">
        <f>IF(XT!$P264&gt;0,AT264,"")</f>
        <v/>
      </c>
      <c r="AV264" s="12" t="str">
        <f>IF(XT!$P264=0,AT264,"")</f>
        <v/>
      </c>
    </row>
    <row r="265" spans="1:48">
      <c r="A265">
        <f>SUMPRODUCT((MONTH(CHOOSE({1,2,3,4},XT!U265,XT!Y265,XT!AC265,XT!AG265))=1)*(CHOOSE({1,2,3,4},XT!X265,XT!AB265,XT!AF265,XT!AJ265)))</f>
        <v>0</v>
      </c>
      <c r="B265">
        <f>IFERROR(INDEX(CHOOSE({1,2,3,4}, DAY(XT!U265), DAY(XT!Y265), DAY(XT!AC265), DAY(XT!AG265)), MATCH(1, INDEX(--(MONTH(CHOOSE({1,2,3,4}, XT!U265,XT!Y265,XT!AC265,XT!AG265))=1), 0), 0)), "")</f>
        <v>0</v>
      </c>
      <c r="C265" s="12" t="str">
        <f>IF(XT!$P265&gt;0,B265,"")</f>
        <v/>
      </c>
      <c r="D265" s="12">
        <f>IF(XT!$P265=0,B265,"")</f>
        <v>0</v>
      </c>
      <c r="E265">
        <f>SUMPRODUCT((MONTH(CHOOSE({1,2,3,4},XT!U265,XT!Y265,XT!AC265,XT!AG265))=2)*(CHOOSE({1,2,3,4},XT!X265,XT!AB265,XT!AF265,XT!AJ265)))</f>
        <v>0</v>
      </c>
      <c r="F265" t="str">
        <f>IFERROR(INDEX(CHOOSE({1,2,3,4}, DAY(XT!U265), DAY(XT!Y265), DAY(XT!AC265), DAY(XT!AG265)), MATCH(1, INDEX(--(MONTH(CHOOSE({1,2,3,4}, XT!U265,XT!Y265,XT!AC265,XT!AG265))=2), 0), 0)), "")</f>
        <v/>
      </c>
      <c r="G265" s="12" t="str">
        <f>IF(XT!$P265&gt;0,F265,"")</f>
        <v/>
      </c>
      <c r="H265" s="12" t="str">
        <f>IF(XT!$P265=0,F265,"")</f>
        <v/>
      </c>
      <c r="I265">
        <f>SUMPRODUCT((MONTH(CHOOSE({1,2,3,4},XT!U265,XT!Y265,XT!AC265,XT!AG265))=3)*(CHOOSE({1,2,3,4},XT!X265,XT!AB265,XT!AF265,XT!AJ265)))</f>
        <v>0</v>
      </c>
      <c r="J265" t="str">
        <f>IFERROR(INDEX(CHOOSE({1,2,3,4}, DAY(XT!U265), DAY(XT!Y265), DAY(XT!AC265), DAY(XT!AG265)), MATCH(1, INDEX(--(MONTH(CHOOSE({1,2,3,4}, XT!U265,XT!Y265,XT!AC265,XT!AG265))=3), 0), 0)), "")</f>
        <v/>
      </c>
      <c r="K265" s="12" t="str">
        <f>IF(XT!$P265&gt;0,J265,"")</f>
        <v/>
      </c>
      <c r="L265" s="12" t="str">
        <f>IF(XT!$P265=0,J265,"")</f>
        <v/>
      </c>
      <c r="M265">
        <f>SUMPRODUCT((MONTH(CHOOSE({1,2,3,4},XT!U265,XT!Y265,XT!AC265,XT!AG265))=4)*(CHOOSE({1,2,3,4},XT!X265,XT!AB265,XT!AF265,XT!AJ265)))</f>
        <v>0</v>
      </c>
      <c r="N265" t="str">
        <f>IFERROR(INDEX(CHOOSE({1,2,3,4}, DAY(XT!U265), DAY(XT!Y265), DAY(XT!AC265), DAY(XT!AG265)), MATCH(1, INDEX(--(MONTH(CHOOSE({1,2,3,4}, XT!U265,XT!Y265,XT!AC265,XT!AG265))=4), 0), 0)), "")</f>
        <v/>
      </c>
      <c r="O265" s="12" t="str">
        <f>IF(XT!$P265&gt;0,N265,"")</f>
        <v/>
      </c>
      <c r="P265" s="12" t="str">
        <f>IF(XT!$P265=0,N265,"")</f>
        <v/>
      </c>
      <c r="Q265">
        <f>SUMPRODUCT((MONTH(CHOOSE({1,2,3,4},XT!U265,XT!Y265,XT!AC265,XT!AG265))=5)*(CHOOSE({1,2,3,4},XT!X265,XT!AB265,XT!AF265,XT!AJ265)))</f>
        <v>0</v>
      </c>
      <c r="R265" t="str">
        <f>IFERROR(INDEX(CHOOSE({1,2,3,4}, DAY(XT!U265), DAY(XT!Y265), DAY(XT!AC265), DAY(XT!AG265)), MATCH(1, INDEX(--(MONTH(CHOOSE({1,2,3,4}, XT!U265,XT!Y265,XT!AC265,XT!AG265))=5), 0), 0)), "")</f>
        <v/>
      </c>
      <c r="S265" s="12" t="str">
        <f>IF(XT!$P265&gt;0,R265,"")</f>
        <v/>
      </c>
      <c r="T265" s="12" t="str">
        <f>IF(XT!$P265=0,R265,"")</f>
        <v/>
      </c>
      <c r="U265">
        <f>SUMPRODUCT((MONTH(CHOOSE({1,2,3,4},XT!U265,XT!Y265,XT!AC265,XT!AG265))=6)*(CHOOSE({1,2,3,4},XT!X265,XT!AB265,XT!AF265,XT!AJ265)))</f>
        <v>0</v>
      </c>
      <c r="V265" t="str">
        <f>IFERROR(INDEX(CHOOSE({1,2,3,4}, DAY(XT!U265), DAY(XT!Y265), DAY(XT!AC265), DAY(XT!AG265)), MATCH(1, INDEX(--(MONTH(CHOOSE({1,2,3,4}, XT!U265,XT!Y265,XT!AC265,XT!AG265))=6), 0), 0)), "")</f>
        <v/>
      </c>
      <c r="W265" s="12" t="str">
        <f>IF(XT!$P265&gt;0,V265,"")</f>
        <v/>
      </c>
      <c r="X265" s="12" t="str">
        <f>IF(XT!$P265=0,V265,"")</f>
        <v/>
      </c>
      <c r="Y265">
        <f>SUMPRODUCT((MONTH(CHOOSE({1,2,3,4},XT!U265,XT!Y265,XT!AC265,XT!AG265))=7)*(CHOOSE({1,2,3,4},XT!X265,XT!AB265,XT!AF265,XT!AJ265)))</f>
        <v>0</v>
      </c>
      <c r="Z265" t="str">
        <f>IFERROR(INDEX(CHOOSE({1,2,3,4}, DAY(XT!U265), DAY(XT!Y265), DAY(XT!AC265), DAY(XT!AG265)), MATCH(1, INDEX(--(MONTH(CHOOSE({1,2,3,4}, XT!U265,XT!Y265,XT!AC265,XT!AG265))=7), 0), 0)), "")</f>
        <v/>
      </c>
      <c r="AA265" s="12" t="str">
        <f>IF(XT!$P265&gt;0,Z265,"")</f>
        <v/>
      </c>
      <c r="AB265" s="12" t="str">
        <f>IF(XT!$P265=0,Z265,"")</f>
        <v/>
      </c>
      <c r="AC265">
        <f>SUMPRODUCT((MONTH(CHOOSE({1,2,3,4},XT!U265,XT!Y265,XT!AC265,XT!AG265))=8)*(CHOOSE({1,2,3,4},XT!X265,XT!AB265,XT!AF265,XT!AJ265)))</f>
        <v>0</v>
      </c>
      <c r="AD265" t="str">
        <f>IFERROR(INDEX(CHOOSE({1,2,3,4}, DAY(XT!U265), DAY(XT!Y265), DAY(XT!AC265), DAY(XT!AG265)), MATCH(1, INDEX(--(MONTH(CHOOSE({1,2,3,4}, XT!U265,XT!Y265,XT!AC265,XT!AG265))=8), 0), 0)), "")</f>
        <v/>
      </c>
      <c r="AE265" s="12" t="str">
        <f>IF(XT!$P265&gt;0,AD265,"")</f>
        <v/>
      </c>
      <c r="AF265" s="12" t="str">
        <f>IF(XT!$P265=0,AD265,"")</f>
        <v/>
      </c>
      <c r="AG265">
        <f>SUMPRODUCT((MONTH(CHOOSE({1,2,3,4},XT!U265,XT!Y265,XT!AC265,XT!AG265))=9)*(CHOOSE({1,2,3,4},XT!X265,XT!AB265,XT!AF265,XT!AJ265)))</f>
        <v>0</v>
      </c>
      <c r="AH265" t="str">
        <f>IFERROR(INDEX(CHOOSE({1,2,3,4}, DAY(XT!U265), DAY(XT!Y265), DAY(XT!AC265), DAY(XT!AG265)), MATCH(1, INDEX(--(MONTH(CHOOSE({1,2,3,4}, XT!U265,XT!Y265,XT!AC265,XT!AG265))=9), 0), 0)), "")</f>
        <v/>
      </c>
      <c r="AI265" s="12" t="str">
        <f>IF(XT!$P265&gt;0,AH265,"")</f>
        <v/>
      </c>
      <c r="AJ265" s="12" t="str">
        <f>IF(XT!$P265=0,AH265,"")</f>
        <v/>
      </c>
      <c r="AK265">
        <f>SUMPRODUCT((MONTH(CHOOSE({1,2,3,4},XT!U265,XT!Y265,XT!AC265,XT!AG265))=10)*(CHOOSE({1,2,3,4},XT!X265,XT!AB265,XT!AF265,XT!AJ265)))</f>
        <v>0</v>
      </c>
      <c r="AL265" t="str">
        <f>IFERROR(INDEX(CHOOSE({1,2,3,4}, DAY(XT!U265), DAY(XT!Y265), DAY(XT!AC265), DAY(XT!AG265)), MATCH(1, INDEX(--(MONTH(CHOOSE({1,2,3,4}, XT!U265,XT!Y265,XT!AC265,XT!AG265))=10), 0), 0)), "")</f>
        <v/>
      </c>
      <c r="AM265" s="12" t="str">
        <f>IF(XT!$P265&gt;0,AL265,"")</f>
        <v/>
      </c>
      <c r="AN265" s="12" t="str">
        <f>IF(XT!$P265=0,AL265,"")</f>
        <v/>
      </c>
      <c r="AO265">
        <f>SUMPRODUCT((MONTH(CHOOSE({1,2,3,4},XT!U265,XT!Y265,XT!AC265,XT!AG265))=11)*(CHOOSE({1,2,3,4},XT!X265,XT!AB265,XT!AF265,XT!AJ265)))</f>
        <v>0</v>
      </c>
      <c r="AP265" t="str">
        <f>IFERROR(INDEX(CHOOSE({1,2,3,4}, DAY(XT!U265), DAY(XT!Y265), DAY(XT!AC265), DAY(XT!AG265)), MATCH(1, INDEX(--(MONTH(CHOOSE({1,2,3,4}, XT!U265,XT!Y265,XT!AC265,XT!AG265))=11), 0), 0)), "")</f>
        <v/>
      </c>
      <c r="AQ265" s="12" t="str">
        <f>IF(XT!$P265&gt;0,AP265,"")</f>
        <v/>
      </c>
      <c r="AR265" s="12" t="str">
        <f>IF(XT!$P265=0,AP265,"")</f>
        <v/>
      </c>
      <c r="AS265">
        <f>SUMPRODUCT((MONTH(CHOOSE({1,2,3,4},XT!U265,XT!Y265,XT!AC265,XT!AG265))=12)*(CHOOSE({1,2,3,4},XT!X265,XT!AB265,XT!AF265,XT!AJ265)))</f>
        <v>0</v>
      </c>
      <c r="AT265" t="str">
        <f>IFERROR(INDEX(CHOOSE({1,2,3,4}, DAY(XT!U265), DAY(XT!Y265), DAY(XT!AC265), DAY(XT!AG265)), MATCH(1, INDEX(--(MONTH(CHOOSE({1,2,3,4}, XT!U265,XT!Y265,XT!AC265,XT!AG265))=12), 0), 0)), "")</f>
        <v/>
      </c>
      <c r="AU265" s="12" t="str">
        <f>IF(XT!$P265&gt;0,AT265,"")</f>
        <v/>
      </c>
      <c r="AV265" s="12" t="str">
        <f>IF(XT!$P265=0,AT265,"")</f>
        <v/>
      </c>
    </row>
    <row r="266" spans="1:48">
      <c r="A266">
        <f>SUMPRODUCT((MONTH(CHOOSE({1,2,3,4},XT!U266,XT!Y266,XT!AC266,XT!AG266))=1)*(CHOOSE({1,2,3,4},XT!X266,XT!AB266,XT!AF266,XT!AJ266)))</f>
        <v>0</v>
      </c>
      <c r="B266">
        <f>IFERROR(INDEX(CHOOSE({1,2,3,4}, DAY(XT!U266), DAY(XT!Y266), DAY(XT!AC266), DAY(XT!AG266)), MATCH(1, INDEX(--(MONTH(CHOOSE({1,2,3,4}, XT!U266,XT!Y266,XT!AC266,XT!AG266))=1), 0), 0)), "")</f>
        <v>0</v>
      </c>
      <c r="C266" s="12" t="str">
        <f>IF(XT!$P266&gt;0,B266,"")</f>
        <v/>
      </c>
      <c r="D266" s="12">
        <f>IF(XT!$P266=0,B266,"")</f>
        <v>0</v>
      </c>
      <c r="E266">
        <f>SUMPRODUCT((MONTH(CHOOSE({1,2,3,4},XT!U266,XT!Y266,XT!AC266,XT!AG266))=2)*(CHOOSE({1,2,3,4},XT!X266,XT!AB266,XT!AF266,XT!AJ266)))</f>
        <v>0</v>
      </c>
      <c r="F266" t="str">
        <f>IFERROR(INDEX(CHOOSE({1,2,3,4}, DAY(XT!U266), DAY(XT!Y266), DAY(XT!AC266), DAY(XT!AG266)), MATCH(1, INDEX(--(MONTH(CHOOSE({1,2,3,4}, XT!U266,XT!Y266,XT!AC266,XT!AG266))=2), 0), 0)), "")</f>
        <v/>
      </c>
      <c r="G266" s="12" t="str">
        <f>IF(XT!$P266&gt;0,F266,"")</f>
        <v/>
      </c>
      <c r="H266" s="12" t="str">
        <f>IF(XT!$P266=0,F266,"")</f>
        <v/>
      </c>
      <c r="I266">
        <f>SUMPRODUCT((MONTH(CHOOSE({1,2,3,4},XT!U266,XT!Y266,XT!AC266,XT!AG266))=3)*(CHOOSE({1,2,3,4},XT!X266,XT!AB266,XT!AF266,XT!AJ266)))</f>
        <v>0</v>
      </c>
      <c r="J266" t="str">
        <f>IFERROR(INDEX(CHOOSE({1,2,3,4}, DAY(XT!U266), DAY(XT!Y266), DAY(XT!AC266), DAY(XT!AG266)), MATCH(1, INDEX(--(MONTH(CHOOSE({1,2,3,4}, XT!U266,XT!Y266,XT!AC266,XT!AG266))=3), 0), 0)), "")</f>
        <v/>
      </c>
      <c r="K266" s="12" t="str">
        <f>IF(XT!$P266&gt;0,J266,"")</f>
        <v/>
      </c>
      <c r="L266" s="12" t="str">
        <f>IF(XT!$P266=0,J266,"")</f>
        <v/>
      </c>
      <c r="M266">
        <f>SUMPRODUCT((MONTH(CHOOSE({1,2,3,4},XT!U266,XT!Y266,XT!AC266,XT!AG266))=4)*(CHOOSE({1,2,3,4},XT!X266,XT!AB266,XT!AF266,XT!AJ266)))</f>
        <v>0</v>
      </c>
      <c r="N266" t="str">
        <f>IFERROR(INDEX(CHOOSE({1,2,3,4}, DAY(XT!U266), DAY(XT!Y266), DAY(XT!AC266), DAY(XT!AG266)), MATCH(1, INDEX(--(MONTH(CHOOSE({1,2,3,4}, XT!U266,XT!Y266,XT!AC266,XT!AG266))=4), 0), 0)), "")</f>
        <v/>
      </c>
      <c r="O266" s="12" t="str">
        <f>IF(XT!$P266&gt;0,N266,"")</f>
        <v/>
      </c>
      <c r="P266" s="12" t="str">
        <f>IF(XT!$P266=0,N266,"")</f>
        <v/>
      </c>
      <c r="Q266">
        <f>SUMPRODUCT((MONTH(CHOOSE({1,2,3,4},XT!U266,XT!Y266,XT!AC266,XT!AG266))=5)*(CHOOSE({1,2,3,4},XT!X266,XT!AB266,XT!AF266,XT!AJ266)))</f>
        <v>0</v>
      </c>
      <c r="R266" t="str">
        <f>IFERROR(INDEX(CHOOSE({1,2,3,4}, DAY(XT!U266), DAY(XT!Y266), DAY(XT!AC266), DAY(XT!AG266)), MATCH(1, INDEX(--(MONTH(CHOOSE({1,2,3,4}, XT!U266,XT!Y266,XT!AC266,XT!AG266))=5), 0), 0)), "")</f>
        <v/>
      </c>
      <c r="S266" s="12" t="str">
        <f>IF(XT!$P266&gt;0,R266,"")</f>
        <v/>
      </c>
      <c r="T266" s="12" t="str">
        <f>IF(XT!$P266=0,R266,"")</f>
        <v/>
      </c>
      <c r="U266">
        <f>SUMPRODUCT((MONTH(CHOOSE({1,2,3,4},XT!U266,XT!Y266,XT!AC266,XT!AG266))=6)*(CHOOSE({1,2,3,4},XT!X266,XT!AB266,XT!AF266,XT!AJ266)))</f>
        <v>0</v>
      </c>
      <c r="V266" t="str">
        <f>IFERROR(INDEX(CHOOSE({1,2,3,4}, DAY(XT!U266), DAY(XT!Y266), DAY(XT!AC266), DAY(XT!AG266)), MATCH(1, INDEX(--(MONTH(CHOOSE({1,2,3,4}, XT!U266,XT!Y266,XT!AC266,XT!AG266))=6), 0), 0)), "")</f>
        <v/>
      </c>
      <c r="W266" s="12" t="str">
        <f>IF(XT!$P266&gt;0,V266,"")</f>
        <v/>
      </c>
      <c r="X266" s="12" t="str">
        <f>IF(XT!$P266=0,V266,"")</f>
        <v/>
      </c>
      <c r="Y266">
        <f>SUMPRODUCT((MONTH(CHOOSE({1,2,3,4},XT!U266,XT!Y266,XT!AC266,XT!AG266))=7)*(CHOOSE({1,2,3,4},XT!X266,XT!AB266,XT!AF266,XT!AJ266)))</f>
        <v>0</v>
      </c>
      <c r="Z266" t="str">
        <f>IFERROR(INDEX(CHOOSE({1,2,3,4}, DAY(XT!U266), DAY(XT!Y266), DAY(XT!AC266), DAY(XT!AG266)), MATCH(1, INDEX(--(MONTH(CHOOSE({1,2,3,4}, XT!U266,XT!Y266,XT!AC266,XT!AG266))=7), 0), 0)), "")</f>
        <v/>
      </c>
      <c r="AA266" s="12" t="str">
        <f>IF(XT!$P266&gt;0,Z266,"")</f>
        <v/>
      </c>
      <c r="AB266" s="12" t="str">
        <f>IF(XT!$P266=0,Z266,"")</f>
        <v/>
      </c>
      <c r="AC266">
        <f>SUMPRODUCT((MONTH(CHOOSE({1,2,3,4},XT!U266,XT!Y266,XT!AC266,XT!AG266))=8)*(CHOOSE({1,2,3,4},XT!X266,XT!AB266,XT!AF266,XT!AJ266)))</f>
        <v>0</v>
      </c>
      <c r="AD266" t="str">
        <f>IFERROR(INDEX(CHOOSE({1,2,3,4}, DAY(XT!U266), DAY(XT!Y266), DAY(XT!AC266), DAY(XT!AG266)), MATCH(1, INDEX(--(MONTH(CHOOSE({1,2,3,4}, XT!U266,XT!Y266,XT!AC266,XT!AG266))=8), 0), 0)), "")</f>
        <v/>
      </c>
      <c r="AE266" s="12" t="str">
        <f>IF(XT!$P266&gt;0,AD266,"")</f>
        <v/>
      </c>
      <c r="AF266" s="12" t="str">
        <f>IF(XT!$P266=0,AD266,"")</f>
        <v/>
      </c>
      <c r="AG266">
        <f>SUMPRODUCT((MONTH(CHOOSE({1,2,3,4},XT!U266,XT!Y266,XT!AC266,XT!AG266))=9)*(CHOOSE({1,2,3,4},XT!X266,XT!AB266,XT!AF266,XT!AJ266)))</f>
        <v>0</v>
      </c>
      <c r="AH266" t="str">
        <f>IFERROR(INDEX(CHOOSE({1,2,3,4}, DAY(XT!U266), DAY(XT!Y266), DAY(XT!AC266), DAY(XT!AG266)), MATCH(1, INDEX(--(MONTH(CHOOSE({1,2,3,4}, XT!U266,XT!Y266,XT!AC266,XT!AG266))=9), 0), 0)), "")</f>
        <v/>
      </c>
      <c r="AI266" s="12" t="str">
        <f>IF(XT!$P266&gt;0,AH266,"")</f>
        <v/>
      </c>
      <c r="AJ266" s="12" t="str">
        <f>IF(XT!$P266=0,AH266,"")</f>
        <v/>
      </c>
      <c r="AK266">
        <f>SUMPRODUCT((MONTH(CHOOSE({1,2,3,4},XT!U266,XT!Y266,XT!AC266,XT!AG266))=10)*(CHOOSE({1,2,3,4},XT!X266,XT!AB266,XT!AF266,XT!AJ266)))</f>
        <v>0</v>
      </c>
      <c r="AL266" t="str">
        <f>IFERROR(INDEX(CHOOSE({1,2,3,4}, DAY(XT!U266), DAY(XT!Y266), DAY(XT!AC266), DAY(XT!AG266)), MATCH(1, INDEX(--(MONTH(CHOOSE({1,2,3,4}, XT!U266,XT!Y266,XT!AC266,XT!AG266))=10), 0), 0)), "")</f>
        <v/>
      </c>
      <c r="AM266" s="12" t="str">
        <f>IF(XT!$P266&gt;0,AL266,"")</f>
        <v/>
      </c>
      <c r="AN266" s="12" t="str">
        <f>IF(XT!$P266=0,AL266,"")</f>
        <v/>
      </c>
      <c r="AO266">
        <f>SUMPRODUCT((MONTH(CHOOSE({1,2,3,4},XT!U266,XT!Y266,XT!AC266,XT!AG266))=11)*(CHOOSE({1,2,3,4},XT!X266,XT!AB266,XT!AF266,XT!AJ266)))</f>
        <v>0</v>
      </c>
      <c r="AP266" t="str">
        <f>IFERROR(INDEX(CHOOSE({1,2,3,4}, DAY(XT!U266), DAY(XT!Y266), DAY(XT!AC266), DAY(XT!AG266)), MATCH(1, INDEX(--(MONTH(CHOOSE({1,2,3,4}, XT!U266,XT!Y266,XT!AC266,XT!AG266))=11), 0), 0)), "")</f>
        <v/>
      </c>
      <c r="AQ266" s="12" t="str">
        <f>IF(XT!$P266&gt;0,AP266,"")</f>
        <v/>
      </c>
      <c r="AR266" s="12" t="str">
        <f>IF(XT!$P266=0,AP266,"")</f>
        <v/>
      </c>
      <c r="AS266">
        <f>SUMPRODUCT((MONTH(CHOOSE({1,2,3,4},XT!U266,XT!Y266,XT!AC266,XT!AG266))=12)*(CHOOSE({1,2,3,4},XT!X266,XT!AB266,XT!AF266,XT!AJ266)))</f>
        <v>0</v>
      </c>
      <c r="AT266" t="str">
        <f>IFERROR(INDEX(CHOOSE({1,2,3,4}, DAY(XT!U266), DAY(XT!Y266), DAY(XT!AC266), DAY(XT!AG266)), MATCH(1, INDEX(--(MONTH(CHOOSE({1,2,3,4}, XT!U266,XT!Y266,XT!AC266,XT!AG266))=12), 0), 0)), "")</f>
        <v/>
      </c>
      <c r="AU266" s="12" t="str">
        <f>IF(XT!$P266&gt;0,AT266,"")</f>
        <v/>
      </c>
      <c r="AV266" s="12" t="str">
        <f>IF(XT!$P266=0,AT266,"")</f>
        <v/>
      </c>
    </row>
    <row r="267" spans="1:48">
      <c r="A267">
        <f>SUMPRODUCT((MONTH(CHOOSE({1,2,3,4},XT!U267,XT!Y267,XT!AC267,XT!AG267))=1)*(CHOOSE({1,2,3,4},XT!X267,XT!AB267,XT!AF267,XT!AJ267)))</f>
        <v>0</v>
      </c>
      <c r="B267">
        <f>IFERROR(INDEX(CHOOSE({1,2,3,4}, DAY(XT!U267), DAY(XT!Y267), DAY(XT!AC267), DAY(XT!AG267)), MATCH(1, INDEX(--(MONTH(CHOOSE({1,2,3,4}, XT!U267,XT!Y267,XT!AC267,XT!AG267))=1), 0), 0)), "")</f>
        <v>0</v>
      </c>
      <c r="C267" s="12" t="str">
        <f>IF(XT!$P267&gt;0,B267,"")</f>
        <v/>
      </c>
      <c r="D267" s="12">
        <f>IF(XT!$P267=0,B267,"")</f>
        <v>0</v>
      </c>
      <c r="E267">
        <f>SUMPRODUCT((MONTH(CHOOSE({1,2,3,4},XT!U267,XT!Y267,XT!AC267,XT!AG267))=2)*(CHOOSE({1,2,3,4},XT!X267,XT!AB267,XT!AF267,XT!AJ267)))</f>
        <v>0</v>
      </c>
      <c r="F267" t="str">
        <f>IFERROR(INDEX(CHOOSE({1,2,3,4}, DAY(XT!U267), DAY(XT!Y267), DAY(XT!AC267), DAY(XT!AG267)), MATCH(1, INDEX(--(MONTH(CHOOSE({1,2,3,4}, XT!U267,XT!Y267,XT!AC267,XT!AG267))=2), 0), 0)), "")</f>
        <v/>
      </c>
      <c r="G267" s="12" t="str">
        <f>IF(XT!$P267&gt;0,F267,"")</f>
        <v/>
      </c>
      <c r="H267" s="12" t="str">
        <f>IF(XT!$P267=0,F267,"")</f>
        <v/>
      </c>
      <c r="I267">
        <f>SUMPRODUCT((MONTH(CHOOSE({1,2,3,4},XT!U267,XT!Y267,XT!AC267,XT!AG267))=3)*(CHOOSE({1,2,3,4},XT!X267,XT!AB267,XT!AF267,XT!AJ267)))</f>
        <v>0</v>
      </c>
      <c r="J267" t="str">
        <f>IFERROR(INDEX(CHOOSE({1,2,3,4}, DAY(XT!U267), DAY(XT!Y267), DAY(XT!AC267), DAY(XT!AG267)), MATCH(1, INDEX(--(MONTH(CHOOSE({1,2,3,4}, XT!U267,XT!Y267,XT!AC267,XT!AG267))=3), 0), 0)), "")</f>
        <v/>
      </c>
      <c r="K267" s="12" t="str">
        <f>IF(XT!$P267&gt;0,J267,"")</f>
        <v/>
      </c>
      <c r="L267" s="12" t="str">
        <f>IF(XT!$P267=0,J267,"")</f>
        <v/>
      </c>
      <c r="M267">
        <f>SUMPRODUCT((MONTH(CHOOSE({1,2,3,4},XT!U267,XT!Y267,XT!AC267,XT!AG267))=4)*(CHOOSE({1,2,3,4},XT!X267,XT!AB267,XT!AF267,XT!AJ267)))</f>
        <v>0</v>
      </c>
      <c r="N267" t="str">
        <f>IFERROR(INDEX(CHOOSE({1,2,3,4}, DAY(XT!U267), DAY(XT!Y267), DAY(XT!AC267), DAY(XT!AG267)), MATCH(1, INDEX(--(MONTH(CHOOSE({1,2,3,4}, XT!U267,XT!Y267,XT!AC267,XT!AG267))=4), 0), 0)), "")</f>
        <v/>
      </c>
      <c r="O267" s="12" t="str">
        <f>IF(XT!$P267&gt;0,N267,"")</f>
        <v/>
      </c>
      <c r="P267" s="12" t="str">
        <f>IF(XT!$P267=0,N267,"")</f>
        <v/>
      </c>
      <c r="Q267">
        <f>SUMPRODUCT((MONTH(CHOOSE({1,2,3,4},XT!U267,XT!Y267,XT!AC267,XT!AG267))=5)*(CHOOSE({1,2,3,4},XT!X267,XT!AB267,XT!AF267,XT!AJ267)))</f>
        <v>0</v>
      </c>
      <c r="R267" t="str">
        <f>IFERROR(INDEX(CHOOSE({1,2,3,4}, DAY(XT!U267), DAY(XT!Y267), DAY(XT!AC267), DAY(XT!AG267)), MATCH(1, INDEX(--(MONTH(CHOOSE({1,2,3,4}, XT!U267,XT!Y267,XT!AC267,XT!AG267))=5), 0), 0)), "")</f>
        <v/>
      </c>
      <c r="S267" s="12" t="str">
        <f>IF(XT!$P267&gt;0,R267,"")</f>
        <v/>
      </c>
      <c r="T267" s="12" t="str">
        <f>IF(XT!$P267=0,R267,"")</f>
        <v/>
      </c>
      <c r="U267">
        <f>SUMPRODUCT((MONTH(CHOOSE({1,2,3,4},XT!U267,XT!Y267,XT!AC267,XT!AG267))=6)*(CHOOSE({1,2,3,4},XT!X267,XT!AB267,XT!AF267,XT!AJ267)))</f>
        <v>0</v>
      </c>
      <c r="V267" t="str">
        <f>IFERROR(INDEX(CHOOSE({1,2,3,4}, DAY(XT!U267), DAY(XT!Y267), DAY(XT!AC267), DAY(XT!AG267)), MATCH(1, INDEX(--(MONTH(CHOOSE({1,2,3,4}, XT!U267,XT!Y267,XT!AC267,XT!AG267))=6), 0), 0)), "")</f>
        <v/>
      </c>
      <c r="W267" s="12" t="str">
        <f>IF(XT!$P267&gt;0,V267,"")</f>
        <v/>
      </c>
      <c r="X267" s="12" t="str">
        <f>IF(XT!$P267=0,V267,"")</f>
        <v/>
      </c>
      <c r="Y267">
        <f>SUMPRODUCT((MONTH(CHOOSE({1,2,3,4},XT!U267,XT!Y267,XT!AC267,XT!AG267))=7)*(CHOOSE({1,2,3,4},XT!X267,XT!AB267,XT!AF267,XT!AJ267)))</f>
        <v>0</v>
      </c>
      <c r="Z267" t="str">
        <f>IFERROR(INDEX(CHOOSE({1,2,3,4}, DAY(XT!U267), DAY(XT!Y267), DAY(XT!AC267), DAY(XT!AG267)), MATCH(1, INDEX(--(MONTH(CHOOSE({1,2,3,4}, XT!U267,XT!Y267,XT!AC267,XT!AG267))=7), 0), 0)), "")</f>
        <v/>
      </c>
      <c r="AA267" s="12" t="str">
        <f>IF(XT!$P267&gt;0,Z267,"")</f>
        <v/>
      </c>
      <c r="AB267" s="12" t="str">
        <f>IF(XT!$P267=0,Z267,"")</f>
        <v/>
      </c>
      <c r="AC267">
        <f>SUMPRODUCT((MONTH(CHOOSE({1,2,3,4},XT!U267,XT!Y267,XT!AC267,XT!AG267))=8)*(CHOOSE({1,2,3,4},XT!X267,XT!AB267,XT!AF267,XT!AJ267)))</f>
        <v>0</v>
      </c>
      <c r="AD267" t="str">
        <f>IFERROR(INDEX(CHOOSE({1,2,3,4}, DAY(XT!U267), DAY(XT!Y267), DAY(XT!AC267), DAY(XT!AG267)), MATCH(1, INDEX(--(MONTH(CHOOSE({1,2,3,4}, XT!U267,XT!Y267,XT!AC267,XT!AG267))=8), 0), 0)), "")</f>
        <v/>
      </c>
      <c r="AE267" s="12" t="str">
        <f>IF(XT!$P267&gt;0,AD267,"")</f>
        <v/>
      </c>
      <c r="AF267" s="12" t="str">
        <f>IF(XT!$P267=0,AD267,"")</f>
        <v/>
      </c>
      <c r="AG267">
        <f>SUMPRODUCT((MONTH(CHOOSE({1,2,3,4},XT!U267,XT!Y267,XT!AC267,XT!AG267))=9)*(CHOOSE({1,2,3,4},XT!X267,XT!AB267,XT!AF267,XT!AJ267)))</f>
        <v>0</v>
      </c>
      <c r="AH267" t="str">
        <f>IFERROR(INDEX(CHOOSE({1,2,3,4}, DAY(XT!U267), DAY(XT!Y267), DAY(XT!AC267), DAY(XT!AG267)), MATCH(1, INDEX(--(MONTH(CHOOSE({1,2,3,4}, XT!U267,XT!Y267,XT!AC267,XT!AG267))=9), 0), 0)), "")</f>
        <v/>
      </c>
      <c r="AI267" s="12" t="str">
        <f>IF(XT!$P267&gt;0,AH267,"")</f>
        <v/>
      </c>
      <c r="AJ267" s="12" t="str">
        <f>IF(XT!$P267=0,AH267,"")</f>
        <v/>
      </c>
      <c r="AK267">
        <f>SUMPRODUCT((MONTH(CHOOSE({1,2,3,4},XT!U267,XT!Y267,XT!AC267,XT!AG267))=10)*(CHOOSE({1,2,3,4},XT!X267,XT!AB267,XT!AF267,XT!AJ267)))</f>
        <v>0</v>
      </c>
      <c r="AL267" t="str">
        <f>IFERROR(INDEX(CHOOSE({1,2,3,4}, DAY(XT!U267), DAY(XT!Y267), DAY(XT!AC267), DAY(XT!AG267)), MATCH(1, INDEX(--(MONTH(CHOOSE({1,2,3,4}, XT!U267,XT!Y267,XT!AC267,XT!AG267))=10), 0), 0)), "")</f>
        <v/>
      </c>
      <c r="AM267" s="12" t="str">
        <f>IF(XT!$P267&gt;0,AL267,"")</f>
        <v/>
      </c>
      <c r="AN267" s="12" t="str">
        <f>IF(XT!$P267=0,AL267,"")</f>
        <v/>
      </c>
      <c r="AO267">
        <f>SUMPRODUCT((MONTH(CHOOSE({1,2,3,4},XT!U267,XT!Y267,XT!AC267,XT!AG267))=11)*(CHOOSE({1,2,3,4},XT!X267,XT!AB267,XT!AF267,XT!AJ267)))</f>
        <v>0</v>
      </c>
      <c r="AP267" t="str">
        <f>IFERROR(INDEX(CHOOSE({1,2,3,4}, DAY(XT!U267), DAY(XT!Y267), DAY(XT!AC267), DAY(XT!AG267)), MATCH(1, INDEX(--(MONTH(CHOOSE({1,2,3,4}, XT!U267,XT!Y267,XT!AC267,XT!AG267))=11), 0), 0)), "")</f>
        <v/>
      </c>
      <c r="AQ267" s="12" t="str">
        <f>IF(XT!$P267&gt;0,AP267,"")</f>
        <v/>
      </c>
      <c r="AR267" s="12" t="str">
        <f>IF(XT!$P267=0,AP267,"")</f>
        <v/>
      </c>
      <c r="AS267">
        <f>SUMPRODUCT((MONTH(CHOOSE({1,2,3,4},XT!U267,XT!Y267,XT!AC267,XT!AG267))=12)*(CHOOSE({1,2,3,4},XT!X267,XT!AB267,XT!AF267,XT!AJ267)))</f>
        <v>0</v>
      </c>
      <c r="AT267" t="str">
        <f>IFERROR(INDEX(CHOOSE({1,2,3,4}, DAY(XT!U267), DAY(XT!Y267), DAY(XT!AC267), DAY(XT!AG267)), MATCH(1, INDEX(--(MONTH(CHOOSE({1,2,3,4}, XT!U267,XT!Y267,XT!AC267,XT!AG267))=12), 0), 0)), "")</f>
        <v/>
      </c>
      <c r="AU267" s="12" t="str">
        <f>IF(XT!$P267&gt;0,AT267,"")</f>
        <v/>
      </c>
      <c r="AV267" s="12" t="str">
        <f>IF(XT!$P267=0,AT267,"")</f>
        <v/>
      </c>
    </row>
    <row r="268" spans="1:48">
      <c r="A268">
        <f>SUMPRODUCT((MONTH(CHOOSE({1,2,3,4},XT!U268,XT!Y268,XT!AC268,XT!AG268))=1)*(CHOOSE({1,2,3,4},XT!X268,XT!AB268,XT!AF268,XT!AJ268)))</f>
        <v>0</v>
      </c>
      <c r="B268">
        <f>IFERROR(INDEX(CHOOSE({1,2,3,4}, DAY(XT!U268), DAY(XT!Y268), DAY(XT!AC268), DAY(XT!AG268)), MATCH(1, INDEX(--(MONTH(CHOOSE({1,2,3,4}, XT!U268,XT!Y268,XT!AC268,XT!AG268))=1), 0), 0)), "")</f>
        <v>0</v>
      </c>
      <c r="C268" s="12" t="str">
        <f>IF(XT!$P268&gt;0,B268,"")</f>
        <v/>
      </c>
      <c r="D268" s="12">
        <f>IF(XT!$P268=0,B268,"")</f>
        <v>0</v>
      </c>
      <c r="E268">
        <f>SUMPRODUCT((MONTH(CHOOSE({1,2,3,4},XT!U268,XT!Y268,XT!AC268,XT!AG268))=2)*(CHOOSE({1,2,3,4},XT!X268,XT!AB268,XT!AF268,XT!AJ268)))</f>
        <v>0</v>
      </c>
      <c r="F268" t="str">
        <f>IFERROR(INDEX(CHOOSE({1,2,3,4}, DAY(XT!U268), DAY(XT!Y268), DAY(XT!AC268), DAY(XT!AG268)), MATCH(1, INDEX(--(MONTH(CHOOSE({1,2,3,4}, XT!U268,XT!Y268,XT!AC268,XT!AG268))=2), 0), 0)), "")</f>
        <v/>
      </c>
      <c r="G268" s="12" t="str">
        <f>IF(XT!$P268&gt;0,F268,"")</f>
        <v/>
      </c>
      <c r="H268" s="12" t="str">
        <f>IF(XT!$P268=0,F268,"")</f>
        <v/>
      </c>
      <c r="I268">
        <f>SUMPRODUCT((MONTH(CHOOSE({1,2,3,4},XT!U268,XT!Y268,XT!AC268,XT!AG268))=3)*(CHOOSE({1,2,3,4},XT!X268,XT!AB268,XT!AF268,XT!AJ268)))</f>
        <v>0</v>
      </c>
      <c r="J268" t="str">
        <f>IFERROR(INDEX(CHOOSE({1,2,3,4}, DAY(XT!U268), DAY(XT!Y268), DAY(XT!AC268), DAY(XT!AG268)), MATCH(1, INDEX(--(MONTH(CHOOSE({1,2,3,4}, XT!U268,XT!Y268,XT!AC268,XT!AG268))=3), 0), 0)), "")</f>
        <v/>
      </c>
      <c r="K268" s="12" t="str">
        <f>IF(XT!$P268&gt;0,J268,"")</f>
        <v/>
      </c>
      <c r="L268" s="12" t="str">
        <f>IF(XT!$P268=0,J268,"")</f>
        <v/>
      </c>
      <c r="M268">
        <f>SUMPRODUCT((MONTH(CHOOSE({1,2,3,4},XT!U268,XT!Y268,XT!AC268,XT!AG268))=4)*(CHOOSE({1,2,3,4},XT!X268,XT!AB268,XT!AF268,XT!AJ268)))</f>
        <v>0</v>
      </c>
      <c r="N268" t="str">
        <f>IFERROR(INDEX(CHOOSE({1,2,3,4}, DAY(XT!U268), DAY(XT!Y268), DAY(XT!AC268), DAY(XT!AG268)), MATCH(1, INDEX(--(MONTH(CHOOSE({1,2,3,4}, XT!U268,XT!Y268,XT!AC268,XT!AG268))=4), 0), 0)), "")</f>
        <v/>
      </c>
      <c r="O268" s="12" t="str">
        <f>IF(XT!$P268&gt;0,N268,"")</f>
        <v/>
      </c>
      <c r="P268" s="12" t="str">
        <f>IF(XT!$P268=0,N268,"")</f>
        <v/>
      </c>
      <c r="Q268">
        <f>SUMPRODUCT((MONTH(CHOOSE({1,2,3,4},XT!U268,XT!Y268,XT!AC268,XT!AG268))=5)*(CHOOSE({1,2,3,4},XT!X268,XT!AB268,XT!AF268,XT!AJ268)))</f>
        <v>0</v>
      </c>
      <c r="R268" t="str">
        <f>IFERROR(INDEX(CHOOSE({1,2,3,4}, DAY(XT!U268), DAY(XT!Y268), DAY(XT!AC268), DAY(XT!AG268)), MATCH(1, INDEX(--(MONTH(CHOOSE({1,2,3,4}, XT!U268,XT!Y268,XT!AC268,XT!AG268))=5), 0), 0)), "")</f>
        <v/>
      </c>
      <c r="S268" s="12" t="str">
        <f>IF(XT!$P268&gt;0,R268,"")</f>
        <v/>
      </c>
      <c r="T268" s="12" t="str">
        <f>IF(XT!$P268=0,R268,"")</f>
        <v/>
      </c>
      <c r="U268">
        <f>SUMPRODUCT((MONTH(CHOOSE({1,2,3,4},XT!U268,XT!Y268,XT!AC268,XT!AG268))=6)*(CHOOSE({1,2,3,4},XT!X268,XT!AB268,XT!AF268,XT!AJ268)))</f>
        <v>0</v>
      </c>
      <c r="V268" t="str">
        <f>IFERROR(INDEX(CHOOSE({1,2,3,4}, DAY(XT!U268), DAY(XT!Y268), DAY(XT!AC268), DAY(XT!AG268)), MATCH(1, INDEX(--(MONTH(CHOOSE({1,2,3,4}, XT!U268,XT!Y268,XT!AC268,XT!AG268))=6), 0), 0)), "")</f>
        <v/>
      </c>
      <c r="W268" s="12" t="str">
        <f>IF(XT!$P268&gt;0,V268,"")</f>
        <v/>
      </c>
      <c r="X268" s="12" t="str">
        <f>IF(XT!$P268=0,V268,"")</f>
        <v/>
      </c>
      <c r="Y268">
        <f>SUMPRODUCT((MONTH(CHOOSE({1,2,3,4},XT!U268,XT!Y268,XT!AC268,XT!AG268))=7)*(CHOOSE({1,2,3,4},XT!X268,XT!AB268,XT!AF268,XT!AJ268)))</f>
        <v>0</v>
      </c>
      <c r="Z268" t="str">
        <f>IFERROR(INDEX(CHOOSE({1,2,3,4}, DAY(XT!U268), DAY(XT!Y268), DAY(XT!AC268), DAY(XT!AG268)), MATCH(1, INDEX(--(MONTH(CHOOSE({1,2,3,4}, XT!U268,XT!Y268,XT!AC268,XT!AG268))=7), 0), 0)), "")</f>
        <v/>
      </c>
      <c r="AA268" s="12" t="str">
        <f>IF(XT!$P268&gt;0,Z268,"")</f>
        <v/>
      </c>
      <c r="AB268" s="12" t="str">
        <f>IF(XT!$P268=0,Z268,"")</f>
        <v/>
      </c>
      <c r="AC268">
        <f>SUMPRODUCT((MONTH(CHOOSE({1,2,3,4},XT!U268,XT!Y268,XT!AC268,XT!AG268))=8)*(CHOOSE({1,2,3,4},XT!X268,XT!AB268,XT!AF268,XT!AJ268)))</f>
        <v>0</v>
      </c>
      <c r="AD268" t="str">
        <f>IFERROR(INDEX(CHOOSE({1,2,3,4}, DAY(XT!U268), DAY(XT!Y268), DAY(XT!AC268), DAY(XT!AG268)), MATCH(1, INDEX(--(MONTH(CHOOSE({1,2,3,4}, XT!U268,XT!Y268,XT!AC268,XT!AG268))=8), 0), 0)), "")</f>
        <v/>
      </c>
      <c r="AE268" s="12" t="str">
        <f>IF(XT!$P268&gt;0,AD268,"")</f>
        <v/>
      </c>
      <c r="AF268" s="12" t="str">
        <f>IF(XT!$P268=0,AD268,"")</f>
        <v/>
      </c>
      <c r="AG268">
        <f>SUMPRODUCT((MONTH(CHOOSE({1,2,3,4},XT!U268,XT!Y268,XT!AC268,XT!AG268))=9)*(CHOOSE({1,2,3,4},XT!X268,XT!AB268,XT!AF268,XT!AJ268)))</f>
        <v>0</v>
      </c>
      <c r="AH268" t="str">
        <f>IFERROR(INDEX(CHOOSE({1,2,3,4}, DAY(XT!U268), DAY(XT!Y268), DAY(XT!AC268), DAY(XT!AG268)), MATCH(1, INDEX(--(MONTH(CHOOSE({1,2,3,4}, XT!U268,XT!Y268,XT!AC268,XT!AG268))=9), 0), 0)), "")</f>
        <v/>
      </c>
      <c r="AI268" s="12" t="str">
        <f>IF(XT!$P268&gt;0,AH268,"")</f>
        <v/>
      </c>
      <c r="AJ268" s="12" t="str">
        <f>IF(XT!$P268=0,AH268,"")</f>
        <v/>
      </c>
      <c r="AK268">
        <f>SUMPRODUCT((MONTH(CHOOSE({1,2,3,4},XT!U268,XT!Y268,XT!AC268,XT!AG268))=10)*(CHOOSE({1,2,3,4},XT!X268,XT!AB268,XT!AF268,XT!AJ268)))</f>
        <v>0</v>
      </c>
      <c r="AL268" t="str">
        <f>IFERROR(INDEX(CHOOSE({1,2,3,4}, DAY(XT!U268), DAY(XT!Y268), DAY(XT!AC268), DAY(XT!AG268)), MATCH(1, INDEX(--(MONTH(CHOOSE({1,2,3,4}, XT!U268,XT!Y268,XT!AC268,XT!AG268))=10), 0), 0)), "")</f>
        <v/>
      </c>
      <c r="AM268" s="12" t="str">
        <f>IF(XT!$P268&gt;0,AL268,"")</f>
        <v/>
      </c>
      <c r="AN268" s="12" t="str">
        <f>IF(XT!$P268=0,AL268,"")</f>
        <v/>
      </c>
      <c r="AO268">
        <f>SUMPRODUCT((MONTH(CHOOSE({1,2,3,4},XT!U268,XT!Y268,XT!AC268,XT!AG268))=11)*(CHOOSE({1,2,3,4},XT!X268,XT!AB268,XT!AF268,XT!AJ268)))</f>
        <v>0</v>
      </c>
      <c r="AP268" t="str">
        <f>IFERROR(INDEX(CHOOSE({1,2,3,4}, DAY(XT!U268), DAY(XT!Y268), DAY(XT!AC268), DAY(XT!AG268)), MATCH(1, INDEX(--(MONTH(CHOOSE({1,2,3,4}, XT!U268,XT!Y268,XT!AC268,XT!AG268))=11), 0), 0)), "")</f>
        <v/>
      </c>
      <c r="AQ268" s="12" t="str">
        <f>IF(XT!$P268&gt;0,AP268,"")</f>
        <v/>
      </c>
      <c r="AR268" s="12" t="str">
        <f>IF(XT!$P268=0,AP268,"")</f>
        <v/>
      </c>
      <c r="AS268">
        <f>SUMPRODUCT((MONTH(CHOOSE({1,2,3,4},XT!U268,XT!Y268,XT!AC268,XT!AG268))=12)*(CHOOSE({1,2,3,4},XT!X268,XT!AB268,XT!AF268,XT!AJ268)))</f>
        <v>0</v>
      </c>
      <c r="AT268" t="str">
        <f>IFERROR(INDEX(CHOOSE({1,2,3,4}, DAY(XT!U268), DAY(XT!Y268), DAY(XT!AC268), DAY(XT!AG268)), MATCH(1, INDEX(--(MONTH(CHOOSE({1,2,3,4}, XT!U268,XT!Y268,XT!AC268,XT!AG268))=12), 0), 0)), "")</f>
        <v/>
      </c>
      <c r="AU268" s="12" t="str">
        <f>IF(XT!$P268&gt;0,AT268,"")</f>
        <v/>
      </c>
      <c r="AV268" s="12" t="str">
        <f>IF(XT!$P268=0,AT268,"")</f>
        <v/>
      </c>
    </row>
    <row r="269" spans="1:48">
      <c r="A269">
        <f>SUMPRODUCT((MONTH(CHOOSE({1,2,3,4},XT!U269,XT!Y269,XT!AC269,XT!AG269))=1)*(CHOOSE({1,2,3,4},XT!X269,XT!AB269,XT!AF269,XT!AJ269)))</f>
        <v>0</v>
      </c>
      <c r="B269">
        <f>IFERROR(INDEX(CHOOSE({1,2,3,4}, DAY(XT!U269), DAY(XT!Y269), DAY(XT!AC269), DAY(XT!AG269)), MATCH(1, INDEX(--(MONTH(CHOOSE({1,2,3,4}, XT!U269,XT!Y269,XT!AC269,XT!AG269))=1), 0), 0)), "")</f>
        <v>0</v>
      </c>
      <c r="C269" s="12" t="str">
        <f>IF(XT!$P269&gt;0,B269,"")</f>
        <v/>
      </c>
      <c r="D269" s="12">
        <f>IF(XT!$P269=0,B269,"")</f>
        <v>0</v>
      </c>
      <c r="E269">
        <f>SUMPRODUCT((MONTH(CHOOSE({1,2,3,4},XT!U269,XT!Y269,XT!AC269,XT!AG269))=2)*(CHOOSE({1,2,3,4},XT!X269,XT!AB269,XT!AF269,XT!AJ269)))</f>
        <v>0</v>
      </c>
      <c r="F269" t="str">
        <f>IFERROR(INDEX(CHOOSE({1,2,3,4}, DAY(XT!U269), DAY(XT!Y269), DAY(XT!AC269), DAY(XT!AG269)), MATCH(1, INDEX(--(MONTH(CHOOSE({1,2,3,4}, XT!U269,XT!Y269,XT!AC269,XT!AG269))=2), 0), 0)), "")</f>
        <v/>
      </c>
      <c r="G269" s="12" t="str">
        <f>IF(XT!$P269&gt;0,F269,"")</f>
        <v/>
      </c>
      <c r="H269" s="12" t="str">
        <f>IF(XT!$P269=0,F269,"")</f>
        <v/>
      </c>
      <c r="I269">
        <f>SUMPRODUCT((MONTH(CHOOSE({1,2,3,4},XT!U269,XT!Y269,XT!AC269,XT!AG269))=3)*(CHOOSE({1,2,3,4},XT!X269,XT!AB269,XT!AF269,XT!AJ269)))</f>
        <v>0</v>
      </c>
      <c r="J269" t="str">
        <f>IFERROR(INDEX(CHOOSE({1,2,3,4}, DAY(XT!U269), DAY(XT!Y269), DAY(XT!AC269), DAY(XT!AG269)), MATCH(1, INDEX(--(MONTH(CHOOSE({1,2,3,4}, XT!U269,XT!Y269,XT!AC269,XT!AG269))=3), 0), 0)), "")</f>
        <v/>
      </c>
      <c r="K269" s="12" t="str">
        <f>IF(XT!$P269&gt;0,J269,"")</f>
        <v/>
      </c>
      <c r="L269" s="12" t="str">
        <f>IF(XT!$P269=0,J269,"")</f>
        <v/>
      </c>
      <c r="M269">
        <f>SUMPRODUCT((MONTH(CHOOSE({1,2,3,4},XT!U269,XT!Y269,XT!AC269,XT!AG269))=4)*(CHOOSE({1,2,3,4},XT!X269,XT!AB269,XT!AF269,XT!AJ269)))</f>
        <v>0</v>
      </c>
      <c r="N269" t="str">
        <f>IFERROR(INDEX(CHOOSE({1,2,3,4}, DAY(XT!U269), DAY(XT!Y269), DAY(XT!AC269), DAY(XT!AG269)), MATCH(1, INDEX(--(MONTH(CHOOSE({1,2,3,4}, XT!U269,XT!Y269,XT!AC269,XT!AG269))=4), 0), 0)), "")</f>
        <v/>
      </c>
      <c r="O269" s="12" t="str">
        <f>IF(XT!$P269&gt;0,N269,"")</f>
        <v/>
      </c>
      <c r="P269" s="12" t="str">
        <f>IF(XT!$P269=0,N269,"")</f>
        <v/>
      </c>
      <c r="Q269">
        <f>SUMPRODUCT((MONTH(CHOOSE({1,2,3,4},XT!U269,XT!Y269,XT!AC269,XT!AG269))=5)*(CHOOSE({1,2,3,4},XT!X269,XT!AB269,XT!AF269,XT!AJ269)))</f>
        <v>0</v>
      </c>
      <c r="R269" t="str">
        <f>IFERROR(INDEX(CHOOSE({1,2,3,4}, DAY(XT!U269), DAY(XT!Y269), DAY(XT!AC269), DAY(XT!AG269)), MATCH(1, INDEX(--(MONTH(CHOOSE({1,2,3,4}, XT!U269,XT!Y269,XT!AC269,XT!AG269))=5), 0), 0)), "")</f>
        <v/>
      </c>
      <c r="S269" s="12" t="str">
        <f>IF(XT!$P269&gt;0,R269,"")</f>
        <v/>
      </c>
      <c r="T269" s="12" t="str">
        <f>IF(XT!$P269=0,R269,"")</f>
        <v/>
      </c>
      <c r="U269">
        <f>SUMPRODUCT((MONTH(CHOOSE({1,2,3,4},XT!U269,XT!Y269,XT!AC269,XT!AG269))=6)*(CHOOSE({1,2,3,4},XT!X269,XT!AB269,XT!AF269,XT!AJ269)))</f>
        <v>0</v>
      </c>
      <c r="V269" t="str">
        <f>IFERROR(INDEX(CHOOSE({1,2,3,4}, DAY(XT!U269), DAY(XT!Y269), DAY(XT!AC269), DAY(XT!AG269)), MATCH(1, INDEX(--(MONTH(CHOOSE({1,2,3,4}, XT!U269,XT!Y269,XT!AC269,XT!AG269))=6), 0), 0)), "")</f>
        <v/>
      </c>
      <c r="W269" s="12" t="str">
        <f>IF(XT!$P269&gt;0,V269,"")</f>
        <v/>
      </c>
      <c r="X269" s="12" t="str">
        <f>IF(XT!$P269=0,V269,"")</f>
        <v/>
      </c>
      <c r="Y269">
        <f>SUMPRODUCT((MONTH(CHOOSE({1,2,3,4},XT!U269,XT!Y269,XT!AC269,XT!AG269))=7)*(CHOOSE({1,2,3,4},XT!X269,XT!AB269,XT!AF269,XT!AJ269)))</f>
        <v>0</v>
      </c>
      <c r="Z269" t="str">
        <f>IFERROR(INDEX(CHOOSE({1,2,3,4}, DAY(XT!U269), DAY(XT!Y269), DAY(XT!AC269), DAY(XT!AG269)), MATCH(1, INDEX(--(MONTH(CHOOSE({1,2,3,4}, XT!U269,XT!Y269,XT!AC269,XT!AG269))=7), 0), 0)), "")</f>
        <v/>
      </c>
      <c r="AA269" s="12" t="str">
        <f>IF(XT!$P269&gt;0,Z269,"")</f>
        <v/>
      </c>
      <c r="AB269" s="12" t="str">
        <f>IF(XT!$P269=0,Z269,"")</f>
        <v/>
      </c>
      <c r="AC269">
        <f>SUMPRODUCT((MONTH(CHOOSE({1,2,3,4},XT!U269,XT!Y269,XT!AC269,XT!AG269))=8)*(CHOOSE({1,2,3,4},XT!X269,XT!AB269,XT!AF269,XT!AJ269)))</f>
        <v>0</v>
      </c>
      <c r="AD269" t="str">
        <f>IFERROR(INDEX(CHOOSE({1,2,3,4}, DAY(XT!U269), DAY(XT!Y269), DAY(XT!AC269), DAY(XT!AG269)), MATCH(1, INDEX(--(MONTH(CHOOSE({1,2,3,4}, XT!U269,XT!Y269,XT!AC269,XT!AG269))=8), 0), 0)), "")</f>
        <v/>
      </c>
      <c r="AE269" s="12" t="str">
        <f>IF(XT!$P269&gt;0,AD269,"")</f>
        <v/>
      </c>
      <c r="AF269" s="12" t="str">
        <f>IF(XT!$P269=0,AD269,"")</f>
        <v/>
      </c>
      <c r="AG269">
        <f>SUMPRODUCT((MONTH(CHOOSE({1,2,3,4},XT!U269,XT!Y269,XT!AC269,XT!AG269))=9)*(CHOOSE({1,2,3,4},XT!X269,XT!AB269,XT!AF269,XT!AJ269)))</f>
        <v>0</v>
      </c>
      <c r="AH269" t="str">
        <f>IFERROR(INDEX(CHOOSE({1,2,3,4}, DAY(XT!U269), DAY(XT!Y269), DAY(XT!AC269), DAY(XT!AG269)), MATCH(1, INDEX(--(MONTH(CHOOSE({1,2,3,4}, XT!U269,XT!Y269,XT!AC269,XT!AG269))=9), 0), 0)), "")</f>
        <v/>
      </c>
      <c r="AI269" s="12" t="str">
        <f>IF(XT!$P269&gt;0,AH269,"")</f>
        <v/>
      </c>
      <c r="AJ269" s="12" t="str">
        <f>IF(XT!$P269=0,AH269,"")</f>
        <v/>
      </c>
      <c r="AK269">
        <f>SUMPRODUCT((MONTH(CHOOSE({1,2,3,4},XT!U269,XT!Y269,XT!AC269,XT!AG269))=10)*(CHOOSE({1,2,3,4},XT!X269,XT!AB269,XT!AF269,XT!AJ269)))</f>
        <v>0</v>
      </c>
      <c r="AL269" t="str">
        <f>IFERROR(INDEX(CHOOSE({1,2,3,4}, DAY(XT!U269), DAY(XT!Y269), DAY(XT!AC269), DAY(XT!AG269)), MATCH(1, INDEX(--(MONTH(CHOOSE({1,2,3,4}, XT!U269,XT!Y269,XT!AC269,XT!AG269))=10), 0), 0)), "")</f>
        <v/>
      </c>
      <c r="AM269" s="12" t="str">
        <f>IF(XT!$P269&gt;0,AL269,"")</f>
        <v/>
      </c>
      <c r="AN269" s="12" t="str">
        <f>IF(XT!$P269=0,AL269,"")</f>
        <v/>
      </c>
      <c r="AO269">
        <f>SUMPRODUCT((MONTH(CHOOSE({1,2,3,4},XT!U269,XT!Y269,XT!AC269,XT!AG269))=11)*(CHOOSE({1,2,3,4},XT!X269,XT!AB269,XT!AF269,XT!AJ269)))</f>
        <v>0</v>
      </c>
      <c r="AP269" t="str">
        <f>IFERROR(INDEX(CHOOSE({1,2,3,4}, DAY(XT!U269), DAY(XT!Y269), DAY(XT!AC269), DAY(XT!AG269)), MATCH(1, INDEX(--(MONTH(CHOOSE({1,2,3,4}, XT!U269,XT!Y269,XT!AC269,XT!AG269))=11), 0), 0)), "")</f>
        <v/>
      </c>
      <c r="AQ269" s="12" t="str">
        <f>IF(XT!$P269&gt;0,AP269,"")</f>
        <v/>
      </c>
      <c r="AR269" s="12" t="str">
        <f>IF(XT!$P269=0,AP269,"")</f>
        <v/>
      </c>
      <c r="AS269">
        <f>SUMPRODUCT((MONTH(CHOOSE({1,2,3,4},XT!U269,XT!Y269,XT!AC269,XT!AG269))=12)*(CHOOSE({1,2,3,4},XT!X269,XT!AB269,XT!AF269,XT!AJ269)))</f>
        <v>0</v>
      </c>
      <c r="AT269" t="str">
        <f>IFERROR(INDEX(CHOOSE({1,2,3,4}, DAY(XT!U269), DAY(XT!Y269), DAY(XT!AC269), DAY(XT!AG269)), MATCH(1, INDEX(--(MONTH(CHOOSE({1,2,3,4}, XT!U269,XT!Y269,XT!AC269,XT!AG269))=12), 0), 0)), "")</f>
        <v/>
      </c>
      <c r="AU269" s="12" t="str">
        <f>IF(XT!$P269&gt;0,AT269,"")</f>
        <v/>
      </c>
      <c r="AV269" s="12" t="str">
        <f>IF(XT!$P269=0,AT269,"")</f>
        <v/>
      </c>
    </row>
    <row r="270" spans="1:48">
      <c r="A270">
        <f>SUMPRODUCT((MONTH(CHOOSE({1,2,3,4},XT!U270,XT!Y270,XT!AC270,XT!AG270))=1)*(CHOOSE({1,2,3,4},XT!X270,XT!AB270,XT!AF270,XT!AJ270)))</f>
        <v>0</v>
      </c>
      <c r="B270">
        <f>IFERROR(INDEX(CHOOSE({1,2,3,4}, DAY(XT!U270), DAY(XT!Y270), DAY(XT!AC270), DAY(XT!AG270)), MATCH(1, INDEX(--(MONTH(CHOOSE({1,2,3,4}, XT!U270,XT!Y270,XT!AC270,XT!AG270))=1), 0), 0)), "")</f>
        <v>0</v>
      </c>
      <c r="C270" s="12" t="str">
        <f>IF(XT!$P270&gt;0,B270,"")</f>
        <v/>
      </c>
      <c r="D270" s="12">
        <f>IF(XT!$P270=0,B270,"")</f>
        <v>0</v>
      </c>
      <c r="E270">
        <f>SUMPRODUCT((MONTH(CHOOSE({1,2,3,4},XT!U270,XT!Y270,XT!AC270,XT!AG270))=2)*(CHOOSE({1,2,3,4},XT!X270,XT!AB270,XT!AF270,XT!AJ270)))</f>
        <v>0</v>
      </c>
      <c r="F270" t="str">
        <f>IFERROR(INDEX(CHOOSE({1,2,3,4}, DAY(XT!U270), DAY(XT!Y270), DAY(XT!AC270), DAY(XT!AG270)), MATCH(1, INDEX(--(MONTH(CHOOSE({1,2,3,4}, XT!U270,XT!Y270,XT!AC270,XT!AG270))=2), 0), 0)), "")</f>
        <v/>
      </c>
      <c r="G270" s="12" t="str">
        <f>IF(XT!$P270&gt;0,F270,"")</f>
        <v/>
      </c>
      <c r="H270" s="12" t="str">
        <f>IF(XT!$P270=0,F270,"")</f>
        <v/>
      </c>
      <c r="I270">
        <f>SUMPRODUCT((MONTH(CHOOSE({1,2,3,4},XT!U270,XT!Y270,XT!AC270,XT!AG270))=3)*(CHOOSE({1,2,3,4},XT!X270,XT!AB270,XT!AF270,XT!AJ270)))</f>
        <v>0</v>
      </c>
      <c r="J270" t="str">
        <f>IFERROR(INDEX(CHOOSE({1,2,3,4}, DAY(XT!U270), DAY(XT!Y270), DAY(XT!AC270), DAY(XT!AG270)), MATCH(1, INDEX(--(MONTH(CHOOSE({1,2,3,4}, XT!U270,XT!Y270,XT!AC270,XT!AG270))=3), 0), 0)), "")</f>
        <v/>
      </c>
      <c r="K270" s="12" t="str">
        <f>IF(XT!$P270&gt;0,J270,"")</f>
        <v/>
      </c>
      <c r="L270" s="12" t="str">
        <f>IF(XT!$P270=0,J270,"")</f>
        <v/>
      </c>
      <c r="M270">
        <f>SUMPRODUCT((MONTH(CHOOSE({1,2,3,4},XT!U270,XT!Y270,XT!AC270,XT!AG270))=4)*(CHOOSE({1,2,3,4},XT!X270,XT!AB270,XT!AF270,XT!AJ270)))</f>
        <v>0</v>
      </c>
      <c r="N270" t="str">
        <f>IFERROR(INDEX(CHOOSE({1,2,3,4}, DAY(XT!U270), DAY(XT!Y270), DAY(XT!AC270), DAY(XT!AG270)), MATCH(1, INDEX(--(MONTH(CHOOSE({1,2,3,4}, XT!U270,XT!Y270,XT!AC270,XT!AG270))=4), 0), 0)), "")</f>
        <v/>
      </c>
      <c r="O270" s="12" t="str">
        <f>IF(XT!$P270&gt;0,N270,"")</f>
        <v/>
      </c>
      <c r="P270" s="12" t="str">
        <f>IF(XT!$P270=0,N270,"")</f>
        <v/>
      </c>
      <c r="Q270">
        <f>SUMPRODUCT((MONTH(CHOOSE({1,2,3,4},XT!U270,XT!Y270,XT!AC270,XT!AG270))=5)*(CHOOSE({1,2,3,4},XT!X270,XT!AB270,XT!AF270,XT!AJ270)))</f>
        <v>0</v>
      </c>
      <c r="R270" t="str">
        <f>IFERROR(INDEX(CHOOSE({1,2,3,4}, DAY(XT!U270), DAY(XT!Y270), DAY(XT!AC270), DAY(XT!AG270)), MATCH(1, INDEX(--(MONTH(CHOOSE({1,2,3,4}, XT!U270,XT!Y270,XT!AC270,XT!AG270))=5), 0), 0)), "")</f>
        <v/>
      </c>
      <c r="S270" s="12" t="str">
        <f>IF(XT!$P270&gt;0,R270,"")</f>
        <v/>
      </c>
      <c r="T270" s="12" t="str">
        <f>IF(XT!$P270=0,R270,"")</f>
        <v/>
      </c>
      <c r="U270">
        <f>SUMPRODUCT((MONTH(CHOOSE({1,2,3,4},XT!U270,XT!Y270,XT!AC270,XT!AG270))=6)*(CHOOSE({1,2,3,4},XT!X270,XT!AB270,XT!AF270,XT!AJ270)))</f>
        <v>0</v>
      </c>
      <c r="V270" t="str">
        <f>IFERROR(INDEX(CHOOSE({1,2,3,4}, DAY(XT!U270), DAY(XT!Y270), DAY(XT!AC270), DAY(XT!AG270)), MATCH(1, INDEX(--(MONTH(CHOOSE({1,2,3,4}, XT!U270,XT!Y270,XT!AC270,XT!AG270))=6), 0), 0)), "")</f>
        <v/>
      </c>
      <c r="W270" s="12" t="str">
        <f>IF(XT!$P270&gt;0,V270,"")</f>
        <v/>
      </c>
      <c r="X270" s="12" t="str">
        <f>IF(XT!$P270=0,V270,"")</f>
        <v/>
      </c>
      <c r="Y270">
        <f>SUMPRODUCT((MONTH(CHOOSE({1,2,3,4},XT!U270,XT!Y270,XT!AC270,XT!AG270))=7)*(CHOOSE({1,2,3,4},XT!X270,XT!AB270,XT!AF270,XT!AJ270)))</f>
        <v>0</v>
      </c>
      <c r="Z270" t="str">
        <f>IFERROR(INDEX(CHOOSE({1,2,3,4}, DAY(XT!U270), DAY(XT!Y270), DAY(XT!AC270), DAY(XT!AG270)), MATCH(1, INDEX(--(MONTH(CHOOSE({1,2,3,4}, XT!U270,XT!Y270,XT!AC270,XT!AG270))=7), 0), 0)), "")</f>
        <v/>
      </c>
      <c r="AA270" s="12" t="str">
        <f>IF(XT!$P270&gt;0,Z270,"")</f>
        <v/>
      </c>
      <c r="AB270" s="12" t="str">
        <f>IF(XT!$P270=0,Z270,"")</f>
        <v/>
      </c>
      <c r="AC270">
        <f>SUMPRODUCT((MONTH(CHOOSE({1,2,3,4},XT!U270,XT!Y270,XT!AC270,XT!AG270))=8)*(CHOOSE({1,2,3,4},XT!X270,XT!AB270,XT!AF270,XT!AJ270)))</f>
        <v>0</v>
      </c>
      <c r="AD270" t="str">
        <f>IFERROR(INDEX(CHOOSE({1,2,3,4}, DAY(XT!U270), DAY(XT!Y270), DAY(XT!AC270), DAY(XT!AG270)), MATCH(1, INDEX(--(MONTH(CHOOSE({1,2,3,4}, XT!U270,XT!Y270,XT!AC270,XT!AG270))=8), 0), 0)), "")</f>
        <v/>
      </c>
      <c r="AE270" s="12" t="str">
        <f>IF(XT!$P270&gt;0,AD270,"")</f>
        <v/>
      </c>
      <c r="AF270" s="12" t="str">
        <f>IF(XT!$P270=0,AD270,"")</f>
        <v/>
      </c>
      <c r="AG270">
        <f>SUMPRODUCT((MONTH(CHOOSE({1,2,3,4},XT!U270,XT!Y270,XT!AC270,XT!AG270))=9)*(CHOOSE({1,2,3,4},XT!X270,XT!AB270,XT!AF270,XT!AJ270)))</f>
        <v>0</v>
      </c>
      <c r="AH270" t="str">
        <f>IFERROR(INDEX(CHOOSE({1,2,3,4}, DAY(XT!U270), DAY(XT!Y270), DAY(XT!AC270), DAY(XT!AG270)), MATCH(1, INDEX(--(MONTH(CHOOSE({1,2,3,4}, XT!U270,XT!Y270,XT!AC270,XT!AG270))=9), 0), 0)), "")</f>
        <v/>
      </c>
      <c r="AI270" s="12" t="str">
        <f>IF(XT!$P270&gt;0,AH270,"")</f>
        <v/>
      </c>
      <c r="AJ270" s="12" t="str">
        <f>IF(XT!$P270=0,AH270,"")</f>
        <v/>
      </c>
      <c r="AK270">
        <f>SUMPRODUCT((MONTH(CHOOSE({1,2,3,4},XT!U270,XT!Y270,XT!AC270,XT!AG270))=10)*(CHOOSE({1,2,3,4},XT!X270,XT!AB270,XT!AF270,XT!AJ270)))</f>
        <v>0</v>
      </c>
      <c r="AL270" t="str">
        <f>IFERROR(INDEX(CHOOSE({1,2,3,4}, DAY(XT!U270), DAY(XT!Y270), DAY(XT!AC270), DAY(XT!AG270)), MATCH(1, INDEX(--(MONTH(CHOOSE({1,2,3,4}, XT!U270,XT!Y270,XT!AC270,XT!AG270))=10), 0), 0)), "")</f>
        <v/>
      </c>
      <c r="AM270" s="12" t="str">
        <f>IF(XT!$P270&gt;0,AL270,"")</f>
        <v/>
      </c>
      <c r="AN270" s="12" t="str">
        <f>IF(XT!$P270=0,AL270,"")</f>
        <v/>
      </c>
      <c r="AO270">
        <f>SUMPRODUCT((MONTH(CHOOSE({1,2,3,4},XT!U270,XT!Y270,XT!AC270,XT!AG270))=11)*(CHOOSE({1,2,3,4},XT!X270,XT!AB270,XT!AF270,XT!AJ270)))</f>
        <v>0</v>
      </c>
      <c r="AP270" t="str">
        <f>IFERROR(INDEX(CHOOSE({1,2,3,4}, DAY(XT!U270), DAY(XT!Y270), DAY(XT!AC270), DAY(XT!AG270)), MATCH(1, INDEX(--(MONTH(CHOOSE({1,2,3,4}, XT!U270,XT!Y270,XT!AC270,XT!AG270))=11), 0), 0)), "")</f>
        <v/>
      </c>
      <c r="AQ270" s="12" t="str">
        <f>IF(XT!$P270&gt;0,AP270,"")</f>
        <v/>
      </c>
      <c r="AR270" s="12" t="str">
        <f>IF(XT!$P270=0,AP270,"")</f>
        <v/>
      </c>
      <c r="AS270">
        <f>SUMPRODUCT((MONTH(CHOOSE({1,2,3,4},XT!U270,XT!Y270,XT!AC270,XT!AG270))=12)*(CHOOSE({1,2,3,4},XT!X270,XT!AB270,XT!AF270,XT!AJ270)))</f>
        <v>0</v>
      </c>
      <c r="AT270" t="str">
        <f>IFERROR(INDEX(CHOOSE({1,2,3,4}, DAY(XT!U270), DAY(XT!Y270), DAY(XT!AC270), DAY(XT!AG270)), MATCH(1, INDEX(--(MONTH(CHOOSE({1,2,3,4}, XT!U270,XT!Y270,XT!AC270,XT!AG270))=12), 0), 0)), "")</f>
        <v/>
      </c>
      <c r="AU270" s="12" t="str">
        <f>IF(XT!$P270&gt;0,AT270,"")</f>
        <v/>
      </c>
      <c r="AV270" s="12" t="str">
        <f>IF(XT!$P270=0,AT270,"")</f>
        <v/>
      </c>
    </row>
    <row r="271" spans="1:48">
      <c r="A271">
        <f>SUMPRODUCT((MONTH(CHOOSE({1,2,3,4},XT!U271,XT!Y271,XT!AC271,XT!AG271))=1)*(CHOOSE({1,2,3,4},XT!X271,XT!AB271,XT!AF271,XT!AJ271)))</f>
        <v>0</v>
      </c>
      <c r="B271">
        <f>IFERROR(INDEX(CHOOSE({1,2,3,4}, DAY(XT!U271), DAY(XT!Y271), DAY(XT!AC271), DAY(XT!AG271)), MATCH(1, INDEX(--(MONTH(CHOOSE({1,2,3,4}, XT!U271,XT!Y271,XT!AC271,XT!AG271))=1), 0), 0)), "")</f>
        <v>0</v>
      </c>
      <c r="C271" s="12" t="str">
        <f>IF(XT!$P271&gt;0,B271,"")</f>
        <v/>
      </c>
      <c r="D271" s="12">
        <f>IF(XT!$P271=0,B271,"")</f>
        <v>0</v>
      </c>
      <c r="E271">
        <f>SUMPRODUCT((MONTH(CHOOSE({1,2,3,4},XT!U271,XT!Y271,XT!AC271,XT!AG271))=2)*(CHOOSE({1,2,3,4},XT!X271,XT!AB271,XT!AF271,XT!AJ271)))</f>
        <v>0</v>
      </c>
      <c r="F271" t="str">
        <f>IFERROR(INDEX(CHOOSE({1,2,3,4}, DAY(XT!U271), DAY(XT!Y271), DAY(XT!AC271), DAY(XT!AG271)), MATCH(1, INDEX(--(MONTH(CHOOSE({1,2,3,4}, XT!U271,XT!Y271,XT!AC271,XT!AG271))=2), 0), 0)), "")</f>
        <v/>
      </c>
      <c r="G271" s="12" t="str">
        <f>IF(XT!$P271&gt;0,F271,"")</f>
        <v/>
      </c>
      <c r="H271" s="12" t="str">
        <f>IF(XT!$P271=0,F271,"")</f>
        <v/>
      </c>
      <c r="I271">
        <f>SUMPRODUCT((MONTH(CHOOSE({1,2,3,4},XT!U271,XT!Y271,XT!AC271,XT!AG271))=3)*(CHOOSE({1,2,3,4},XT!X271,XT!AB271,XT!AF271,XT!AJ271)))</f>
        <v>0</v>
      </c>
      <c r="J271" t="str">
        <f>IFERROR(INDEX(CHOOSE({1,2,3,4}, DAY(XT!U271), DAY(XT!Y271), DAY(XT!AC271), DAY(XT!AG271)), MATCH(1, INDEX(--(MONTH(CHOOSE({1,2,3,4}, XT!U271,XT!Y271,XT!AC271,XT!AG271))=3), 0), 0)), "")</f>
        <v/>
      </c>
      <c r="K271" s="12" t="str">
        <f>IF(XT!$P271&gt;0,J271,"")</f>
        <v/>
      </c>
      <c r="L271" s="12" t="str">
        <f>IF(XT!$P271=0,J271,"")</f>
        <v/>
      </c>
      <c r="M271">
        <f>SUMPRODUCT((MONTH(CHOOSE({1,2,3,4},XT!U271,XT!Y271,XT!AC271,XT!AG271))=4)*(CHOOSE({1,2,3,4},XT!X271,XT!AB271,XT!AF271,XT!AJ271)))</f>
        <v>0</v>
      </c>
      <c r="N271" t="str">
        <f>IFERROR(INDEX(CHOOSE({1,2,3,4}, DAY(XT!U271), DAY(XT!Y271), DAY(XT!AC271), DAY(XT!AG271)), MATCH(1, INDEX(--(MONTH(CHOOSE({1,2,3,4}, XT!U271,XT!Y271,XT!AC271,XT!AG271))=4), 0), 0)), "")</f>
        <v/>
      </c>
      <c r="O271" s="12" t="str">
        <f>IF(XT!$P271&gt;0,N271,"")</f>
        <v/>
      </c>
      <c r="P271" s="12" t="str">
        <f>IF(XT!$P271=0,N271,"")</f>
        <v/>
      </c>
      <c r="Q271">
        <f>SUMPRODUCT((MONTH(CHOOSE({1,2,3,4},XT!U271,XT!Y271,XT!AC271,XT!AG271))=5)*(CHOOSE({1,2,3,4},XT!X271,XT!AB271,XT!AF271,XT!AJ271)))</f>
        <v>0</v>
      </c>
      <c r="R271" t="str">
        <f>IFERROR(INDEX(CHOOSE({1,2,3,4}, DAY(XT!U271), DAY(XT!Y271), DAY(XT!AC271), DAY(XT!AG271)), MATCH(1, INDEX(--(MONTH(CHOOSE({1,2,3,4}, XT!U271,XT!Y271,XT!AC271,XT!AG271))=5), 0), 0)), "")</f>
        <v/>
      </c>
      <c r="S271" s="12" t="str">
        <f>IF(XT!$P271&gt;0,R271,"")</f>
        <v/>
      </c>
      <c r="T271" s="12" t="str">
        <f>IF(XT!$P271=0,R271,"")</f>
        <v/>
      </c>
      <c r="U271">
        <f>SUMPRODUCT((MONTH(CHOOSE({1,2,3,4},XT!U271,XT!Y271,XT!AC271,XT!AG271))=6)*(CHOOSE({1,2,3,4},XT!X271,XT!AB271,XT!AF271,XT!AJ271)))</f>
        <v>0</v>
      </c>
      <c r="V271" t="str">
        <f>IFERROR(INDEX(CHOOSE({1,2,3,4}, DAY(XT!U271), DAY(XT!Y271), DAY(XT!AC271), DAY(XT!AG271)), MATCH(1, INDEX(--(MONTH(CHOOSE({1,2,3,4}, XT!U271,XT!Y271,XT!AC271,XT!AG271))=6), 0), 0)), "")</f>
        <v/>
      </c>
      <c r="W271" s="12" t="str">
        <f>IF(XT!$P271&gt;0,V271,"")</f>
        <v/>
      </c>
      <c r="X271" s="12" t="str">
        <f>IF(XT!$P271=0,V271,"")</f>
        <v/>
      </c>
      <c r="Y271">
        <f>SUMPRODUCT((MONTH(CHOOSE({1,2,3,4},XT!U271,XT!Y271,XT!AC271,XT!AG271))=7)*(CHOOSE({1,2,3,4},XT!X271,XT!AB271,XT!AF271,XT!AJ271)))</f>
        <v>0</v>
      </c>
      <c r="Z271" t="str">
        <f>IFERROR(INDEX(CHOOSE({1,2,3,4}, DAY(XT!U271), DAY(XT!Y271), DAY(XT!AC271), DAY(XT!AG271)), MATCH(1, INDEX(--(MONTH(CHOOSE({1,2,3,4}, XT!U271,XT!Y271,XT!AC271,XT!AG271))=7), 0), 0)), "")</f>
        <v/>
      </c>
      <c r="AA271" s="12" t="str">
        <f>IF(XT!$P271&gt;0,Z271,"")</f>
        <v/>
      </c>
      <c r="AB271" s="12" t="str">
        <f>IF(XT!$P271=0,Z271,"")</f>
        <v/>
      </c>
      <c r="AC271">
        <f>SUMPRODUCT((MONTH(CHOOSE({1,2,3,4},XT!U271,XT!Y271,XT!AC271,XT!AG271))=8)*(CHOOSE({1,2,3,4},XT!X271,XT!AB271,XT!AF271,XT!AJ271)))</f>
        <v>0</v>
      </c>
      <c r="AD271" t="str">
        <f>IFERROR(INDEX(CHOOSE({1,2,3,4}, DAY(XT!U271), DAY(XT!Y271), DAY(XT!AC271), DAY(XT!AG271)), MATCH(1, INDEX(--(MONTH(CHOOSE({1,2,3,4}, XT!U271,XT!Y271,XT!AC271,XT!AG271))=8), 0), 0)), "")</f>
        <v/>
      </c>
      <c r="AE271" s="12" t="str">
        <f>IF(XT!$P271&gt;0,AD271,"")</f>
        <v/>
      </c>
      <c r="AF271" s="12" t="str">
        <f>IF(XT!$P271=0,AD271,"")</f>
        <v/>
      </c>
      <c r="AG271">
        <f>SUMPRODUCT((MONTH(CHOOSE({1,2,3,4},XT!U271,XT!Y271,XT!AC271,XT!AG271))=9)*(CHOOSE({1,2,3,4},XT!X271,XT!AB271,XT!AF271,XT!AJ271)))</f>
        <v>0</v>
      </c>
      <c r="AH271" t="str">
        <f>IFERROR(INDEX(CHOOSE({1,2,3,4}, DAY(XT!U271), DAY(XT!Y271), DAY(XT!AC271), DAY(XT!AG271)), MATCH(1, INDEX(--(MONTH(CHOOSE({1,2,3,4}, XT!U271,XT!Y271,XT!AC271,XT!AG271))=9), 0), 0)), "")</f>
        <v/>
      </c>
      <c r="AI271" s="12" t="str">
        <f>IF(XT!$P271&gt;0,AH271,"")</f>
        <v/>
      </c>
      <c r="AJ271" s="12" t="str">
        <f>IF(XT!$P271=0,AH271,"")</f>
        <v/>
      </c>
      <c r="AK271">
        <f>SUMPRODUCT((MONTH(CHOOSE({1,2,3,4},XT!U271,XT!Y271,XT!AC271,XT!AG271))=10)*(CHOOSE({1,2,3,4},XT!X271,XT!AB271,XT!AF271,XT!AJ271)))</f>
        <v>0</v>
      </c>
      <c r="AL271" t="str">
        <f>IFERROR(INDEX(CHOOSE({1,2,3,4}, DAY(XT!U271), DAY(XT!Y271), DAY(XT!AC271), DAY(XT!AG271)), MATCH(1, INDEX(--(MONTH(CHOOSE({1,2,3,4}, XT!U271,XT!Y271,XT!AC271,XT!AG271))=10), 0), 0)), "")</f>
        <v/>
      </c>
      <c r="AM271" s="12" t="str">
        <f>IF(XT!$P271&gt;0,AL271,"")</f>
        <v/>
      </c>
      <c r="AN271" s="12" t="str">
        <f>IF(XT!$P271=0,AL271,"")</f>
        <v/>
      </c>
      <c r="AO271">
        <f>SUMPRODUCT((MONTH(CHOOSE({1,2,3,4},XT!U271,XT!Y271,XT!AC271,XT!AG271))=11)*(CHOOSE({1,2,3,4},XT!X271,XT!AB271,XT!AF271,XT!AJ271)))</f>
        <v>0</v>
      </c>
      <c r="AP271" t="str">
        <f>IFERROR(INDEX(CHOOSE({1,2,3,4}, DAY(XT!U271), DAY(XT!Y271), DAY(XT!AC271), DAY(XT!AG271)), MATCH(1, INDEX(--(MONTH(CHOOSE({1,2,3,4}, XT!U271,XT!Y271,XT!AC271,XT!AG271))=11), 0), 0)), "")</f>
        <v/>
      </c>
      <c r="AQ271" s="12" t="str">
        <f>IF(XT!$P271&gt;0,AP271,"")</f>
        <v/>
      </c>
      <c r="AR271" s="12" t="str">
        <f>IF(XT!$P271=0,AP271,"")</f>
        <v/>
      </c>
      <c r="AS271">
        <f>SUMPRODUCT((MONTH(CHOOSE({1,2,3,4},XT!U271,XT!Y271,XT!AC271,XT!AG271))=12)*(CHOOSE({1,2,3,4},XT!X271,XT!AB271,XT!AF271,XT!AJ271)))</f>
        <v>0</v>
      </c>
      <c r="AT271" t="str">
        <f>IFERROR(INDEX(CHOOSE({1,2,3,4}, DAY(XT!U271), DAY(XT!Y271), DAY(XT!AC271), DAY(XT!AG271)), MATCH(1, INDEX(--(MONTH(CHOOSE({1,2,3,4}, XT!U271,XT!Y271,XT!AC271,XT!AG271))=12), 0), 0)), "")</f>
        <v/>
      </c>
      <c r="AU271" s="12" t="str">
        <f>IF(XT!$P271&gt;0,AT271,"")</f>
        <v/>
      </c>
      <c r="AV271" s="12" t="str">
        <f>IF(XT!$P271=0,AT271,"")</f>
        <v/>
      </c>
    </row>
    <row r="272" spans="1:48">
      <c r="A272">
        <f>SUMPRODUCT((MONTH(CHOOSE({1,2,3,4},XT!U272,XT!Y272,XT!AC272,XT!AG272))=1)*(CHOOSE({1,2,3,4},XT!X272,XT!AB272,XT!AF272,XT!AJ272)))</f>
        <v>0</v>
      </c>
      <c r="B272">
        <f>IFERROR(INDEX(CHOOSE({1,2,3,4}, DAY(XT!U272), DAY(XT!Y272), DAY(XT!AC272), DAY(XT!AG272)), MATCH(1, INDEX(--(MONTH(CHOOSE({1,2,3,4}, XT!U272,XT!Y272,XT!AC272,XT!AG272))=1), 0), 0)), "")</f>
        <v>0</v>
      </c>
      <c r="C272" s="12" t="str">
        <f>IF(XT!$P272&gt;0,B272,"")</f>
        <v/>
      </c>
      <c r="D272" s="12">
        <f>IF(XT!$P272=0,B272,"")</f>
        <v>0</v>
      </c>
      <c r="E272">
        <f>SUMPRODUCT((MONTH(CHOOSE({1,2,3,4},XT!U272,XT!Y272,XT!AC272,XT!AG272))=2)*(CHOOSE({1,2,3,4},XT!X272,XT!AB272,XT!AF272,XT!AJ272)))</f>
        <v>0</v>
      </c>
      <c r="F272" t="str">
        <f>IFERROR(INDEX(CHOOSE({1,2,3,4}, DAY(XT!U272), DAY(XT!Y272), DAY(XT!AC272), DAY(XT!AG272)), MATCH(1, INDEX(--(MONTH(CHOOSE({1,2,3,4}, XT!U272,XT!Y272,XT!AC272,XT!AG272))=2), 0), 0)), "")</f>
        <v/>
      </c>
      <c r="G272" s="12" t="str">
        <f>IF(XT!$P272&gt;0,F272,"")</f>
        <v/>
      </c>
      <c r="H272" s="12" t="str">
        <f>IF(XT!$P272=0,F272,"")</f>
        <v/>
      </c>
      <c r="I272">
        <f>SUMPRODUCT((MONTH(CHOOSE({1,2,3,4},XT!U272,XT!Y272,XT!AC272,XT!AG272))=3)*(CHOOSE({1,2,3,4},XT!X272,XT!AB272,XT!AF272,XT!AJ272)))</f>
        <v>0</v>
      </c>
      <c r="J272" t="str">
        <f>IFERROR(INDEX(CHOOSE({1,2,3,4}, DAY(XT!U272), DAY(XT!Y272), DAY(XT!AC272), DAY(XT!AG272)), MATCH(1, INDEX(--(MONTH(CHOOSE({1,2,3,4}, XT!U272,XT!Y272,XT!AC272,XT!AG272))=3), 0), 0)), "")</f>
        <v/>
      </c>
      <c r="K272" s="12" t="str">
        <f>IF(XT!$P272&gt;0,J272,"")</f>
        <v/>
      </c>
      <c r="L272" s="12" t="str">
        <f>IF(XT!$P272=0,J272,"")</f>
        <v/>
      </c>
      <c r="M272">
        <f>SUMPRODUCT((MONTH(CHOOSE({1,2,3,4},XT!U272,XT!Y272,XT!AC272,XT!AG272))=4)*(CHOOSE({1,2,3,4},XT!X272,XT!AB272,XT!AF272,XT!AJ272)))</f>
        <v>0</v>
      </c>
      <c r="N272" t="str">
        <f>IFERROR(INDEX(CHOOSE({1,2,3,4}, DAY(XT!U272), DAY(XT!Y272), DAY(XT!AC272), DAY(XT!AG272)), MATCH(1, INDEX(--(MONTH(CHOOSE({1,2,3,4}, XT!U272,XT!Y272,XT!AC272,XT!AG272))=4), 0), 0)), "")</f>
        <v/>
      </c>
      <c r="O272" s="12" t="str">
        <f>IF(XT!$P272&gt;0,N272,"")</f>
        <v/>
      </c>
      <c r="P272" s="12" t="str">
        <f>IF(XT!$P272=0,N272,"")</f>
        <v/>
      </c>
      <c r="Q272">
        <f>SUMPRODUCT((MONTH(CHOOSE({1,2,3,4},XT!U272,XT!Y272,XT!AC272,XT!AG272))=5)*(CHOOSE({1,2,3,4},XT!X272,XT!AB272,XT!AF272,XT!AJ272)))</f>
        <v>0</v>
      </c>
      <c r="R272" t="str">
        <f>IFERROR(INDEX(CHOOSE({1,2,3,4}, DAY(XT!U272), DAY(XT!Y272), DAY(XT!AC272), DAY(XT!AG272)), MATCH(1, INDEX(--(MONTH(CHOOSE({1,2,3,4}, XT!U272,XT!Y272,XT!AC272,XT!AG272))=5), 0), 0)), "")</f>
        <v/>
      </c>
      <c r="S272" s="12" t="str">
        <f>IF(XT!$P272&gt;0,R272,"")</f>
        <v/>
      </c>
      <c r="T272" s="12" t="str">
        <f>IF(XT!$P272=0,R272,"")</f>
        <v/>
      </c>
      <c r="U272">
        <f>SUMPRODUCT((MONTH(CHOOSE({1,2,3,4},XT!U272,XT!Y272,XT!AC272,XT!AG272))=6)*(CHOOSE({1,2,3,4},XT!X272,XT!AB272,XT!AF272,XT!AJ272)))</f>
        <v>0</v>
      </c>
      <c r="V272" t="str">
        <f>IFERROR(INDEX(CHOOSE({1,2,3,4}, DAY(XT!U272), DAY(XT!Y272), DAY(XT!AC272), DAY(XT!AG272)), MATCH(1, INDEX(--(MONTH(CHOOSE({1,2,3,4}, XT!U272,XT!Y272,XT!AC272,XT!AG272))=6), 0), 0)), "")</f>
        <v/>
      </c>
      <c r="W272" s="12" t="str">
        <f>IF(XT!$P272&gt;0,V272,"")</f>
        <v/>
      </c>
      <c r="X272" s="12" t="str">
        <f>IF(XT!$P272=0,V272,"")</f>
        <v/>
      </c>
      <c r="Y272">
        <f>SUMPRODUCT((MONTH(CHOOSE({1,2,3,4},XT!U272,XT!Y272,XT!AC272,XT!AG272))=7)*(CHOOSE({1,2,3,4},XT!X272,XT!AB272,XT!AF272,XT!AJ272)))</f>
        <v>0</v>
      </c>
      <c r="Z272" t="str">
        <f>IFERROR(INDEX(CHOOSE({1,2,3,4}, DAY(XT!U272), DAY(XT!Y272), DAY(XT!AC272), DAY(XT!AG272)), MATCH(1, INDEX(--(MONTH(CHOOSE({1,2,3,4}, XT!U272,XT!Y272,XT!AC272,XT!AG272))=7), 0), 0)), "")</f>
        <v/>
      </c>
      <c r="AA272" s="12" t="str">
        <f>IF(XT!$P272&gt;0,Z272,"")</f>
        <v/>
      </c>
      <c r="AB272" s="12" t="str">
        <f>IF(XT!$P272=0,Z272,"")</f>
        <v/>
      </c>
      <c r="AC272">
        <f>SUMPRODUCT((MONTH(CHOOSE({1,2,3,4},XT!U272,XT!Y272,XT!AC272,XT!AG272))=8)*(CHOOSE({1,2,3,4},XT!X272,XT!AB272,XT!AF272,XT!AJ272)))</f>
        <v>0</v>
      </c>
      <c r="AD272" t="str">
        <f>IFERROR(INDEX(CHOOSE({1,2,3,4}, DAY(XT!U272), DAY(XT!Y272), DAY(XT!AC272), DAY(XT!AG272)), MATCH(1, INDEX(--(MONTH(CHOOSE({1,2,3,4}, XT!U272,XT!Y272,XT!AC272,XT!AG272))=8), 0), 0)), "")</f>
        <v/>
      </c>
      <c r="AE272" s="12" t="str">
        <f>IF(XT!$P272&gt;0,AD272,"")</f>
        <v/>
      </c>
      <c r="AF272" s="12" t="str">
        <f>IF(XT!$P272=0,AD272,"")</f>
        <v/>
      </c>
      <c r="AG272">
        <f>SUMPRODUCT((MONTH(CHOOSE({1,2,3,4},XT!U272,XT!Y272,XT!AC272,XT!AG272))=9)*(CHOOSE({1,2,3,4},XT!X272,XT!AB272,XT!AF272,XT!AJ272)))</f>
        <v>0</v>
      </c>
      <c r="AH272" t="str">
        <f>IFERROR(INDEX(CHOOSE({1,2,3,4}, DAY(XT!U272), DAY(XT!Y272), DAY(XT!AC272), DAY(XT!AG272)), MATCH(1, INDEX(--(MONTH(CHOOSE({1,2,3,4}, XT!U272,XT!Y272,XT!AC272,XT!AG272))=9), 0), 0)), "")</f>
        <v/>
      </c>
      <c r="AI272" s="12" t="str">
        <f>IF(XT!$P272&gt;0,AH272,"")</f>
        <v/>
      </c>
      <c r="AJ272" s="12" t="str">
        <f>IF(XT!$P272=0,AH272,"")</f>
        <v/>
      </c>
      <c r="AK272">
        <f>SUMPRODUCT((MONTH(CHOOSE({1,2,3,4},XT!U272,XT!Y272,XT!AC272,XT!AG272))=10)*(CHOOSE({1,2,3,4},XT!X272,XT!AB272,XT!AF272,XT!AJ272)))</f>
        <v>0</v>
      </c>
      <c r="AL272" t="str">
        <f>IFERROR(INDEX(CHOOSE({1,2,3,4}, DAY(XT!U272), DAY(XT!Y272), DAY(XT!AC272), DAY(XT!AG272)), MATCH(1, INDEX(--(MONTH(CHOOSE({1,2,3,4}, XT!U272,XT!Y272,XT!AC272,XT!AG272))=10), 0), 0)), "")</f>
        <v/>
      </c>
      <c r="AM272" s="12" t="str">
        <f>IF(XT!$P272&gt;0,AL272,"")</f>
        <v/>
      </c>
      <c r="AN272" s="12" t="str">
        <f>IF(XT!$P272=0,AL272,"")</f>
        <v/>
      </c>
      <c r="AO272">
        <f>SUMPRODUCT((MONTH(CHOOSE({1,2,3,4},XT!U272,XT!Y272,XT!AC272,XT!AG272))=11)*(CHOOSE({1,2,3,4},XT!X272,XT!AB272,XT!AF272,XT!AJ272)))</f>
        <v>0</v>
      </c>
      <c r="AP272" t="str">
        <f>IFERROR(INDEX(CHOOSE({1,2,3,4}, DAY(XT!U272), DAY(XT!Y272), DAY(XT!AC272), DAY(XT!AG272)), MATCH(1, INDEX(--(MONTH(CHOOSE({1,2,3,4}, XT!U272,XT!Y272,XT!AC272,XT!AG272))=11), 0), 0)), "")</f>
        <v/>
      </c>
      <c r="AQ272" s="12" t="str">
        <f>IF(XT!$P272&gt;0,AP272,"")</f>
        <v/>
      </c>
      <c r="AR272" s="12" t="str">
        <f>IF(XT!$P272=0,AP272,"")</f>
        <v/>
      </c>
      <c r="AS272">
        <f>SUMPRODUCT((MONTH(CHOOSE({1,2,3,4},XT!U272,XT!Y272,XT!AC272,XT!AG272))=12)*(CHOOSE({1,2,3,4},XT!X272,XT!AB272,XT!AF272,XT!AJ272)))</f>
        <v>0</v>
      </c>
      <c r="AT272" t="str">
        <f>IFERROR(INDEX(CHOOSE({1,2,3,4}, DAY(XT!U272), DAY(XT!Y272), DAY(XT!AC272), DAY(XT!AG272)), MATCH(1, INDEX(--(MONTH(CHOOSE({1,2,3,4}, XT!U272,XT!Y272,XT!AC272,XT!AG272))=12), 0), 0)), "")</f>
        <v/>
      </c>
      <c r="AU272" s="12" t="str">
        <f>IF(XT!$P272&gt;0,AT272,"")</f>
        <v/>
      </c>
      <c r="AV272" s="12" t="str">
        <f>IF(XT!$P272=0,AT272,"")</f>
        <v/>
      </c>
    </row>
    <row r="273" spans="1:48">
      <c r="A273">
        <f>SUMPRODUCT((MONTH(CHOOSE({1,2,3,4},XT!U273,XT!Y273,XT!AC273,XT!AG273))=1)*(CHOOSE({1,2,3,4},XT!X273,XT!AB273,XT!AF273,XT!AJ273)))</f>
        <v>0</v>
      </c>
      <c r="B273">
        <f>IFERROR(INDEX(CHOOSE({1,2,3,4}, DAY(XT!U273), DAY(XT!Y273), DAY(XT!AC273), DAY(XT!AG273)), MATCH(1, INDEX(--(MONTH(CHOOSE({1,2,3,4}, XT!U273,XT!Y273,XT!AC273,XT!AG273))=1), 0), 0)), "")</f>
        <v>0</v>
      </c>
      <c r="C273" s="12" t="str">
        <f>IF(XT!$P273&gt;0,B273,"")</f>
        <v/>
      </c>
      <c r="D273" s="12">
        <f>IF(XT!$P273=0,B273,"")</f>
        <v>0</v>
      </c>
      <c r="E273">
        <f>SUMPRODUCT((MONTH(CHOOSE({1,2,3,4},XT!U273,XT!Y273,XT!AC273,XT!AG273))=2)*(CHOOSE({1,2,3,4},XT!X273,XT!AB273,XT!AF273,XT!AJ273)))</f>
        <v>0</v>
      </c>
      <c r="F273" t="str">
        <f>IFERROR(INDEX(CHOOSE({1,2,3,4}, DAY(XT!U273), DAY(XT!Y273), DAY(XT!AC273), DAY(XT!AG273)), MATCH(1, INDEX(--(MONTH(CHOOSE({1,2,3,4}, XT!U273,XT!Y273,XT!AC273,XT!AG273))=2), 0), 0)), "")</f>
        <v/>
      </c>
      <c r="G273" s="12" t="str">
        <f>IF(XT!$P273&gt;0,F273,"")</f>
        <v/>
      </c>
      <c r="H273" s="12" t="str">
        <f>IF(XT!$P273=0,F273,"")</f>
        <v/>
      </c>
      <c r="I273">
        <f>SUMPRODUCT((MONTH(CHOOSE({1,2,3,4},XT!U273,XT!Y273,XT!AC273,XT!AG273))=3)*(CHOOSE({1,2,3,4},XT!X273,XT!AB273,XT!AF273,XT!AJ273)))</f>
        <v>0</v>
      </c>
      <c r="J273" t="str">
        <f>IFERROR(INDEX(CHOOSE({1,2,3,4}, DAY(XT!U273), DAY(XT!Y273), DAY(XT!AC273), DAY(XT!AG273)), MATCH(1, INDEX(--(MONTH(CHOOSE({1,2,3,4}, XT!U273,XT!Y273,XT!AC273,XT!AG273))=3), 0), 0)), "")</f>
        <v/>
      </c>
      <c r="K273" s="12" t="str">
        <f>IF(XT!$P273&gt;0,J273,"")</f>
        <v/>
      </c>
      <c r="L273" s="12" t="str">
        <f>IF(XT!$P273=0,J273,"")</f>
        <v/>
      </c>
      <c r="M273">
        <f>SUMPRODUCT((MONTH(CHOOSE({1,2,3,4},XT!U273,XT!Y273,XT!AC273,XT!AG273))=4)*(CHOOSE({1,2,3,4},XT!X273,XT!AB273,XT!AF273,XT!AJ273)))</f>
        <v>0</v>
      </c>
      <c r="N273" t="str">
        <f>IFERROR(INDEX(CHOOSE({1,2,3,4}, DAY(XT!U273), DAY(XT!Y273), DAY(XT!AC273), DAY(XT!AG273)), MATCH(1, INDEX(--(MONTH(CHOOSE({1,2,3,4}, XT!U273,XT!Y273,XT!AC273,XT!AG273))=4), 0), 0)), "")</f>
        <v/>
      </c>
      <c r="O273" s="12" t="str">
        <f>IF(XT!$P273&gt;0,N273,"")</f>
        <v/>
      </c>
      <c r="P273" s="12" t="str">
        <f>IF(XT!$P273=0,N273,"")</f>
        <v/>
      </c>
      <c r="Q273">
        <f>SUMPRODUCT((MONTH(CHOOSE({1,2,3,4},XT!U273,XT!Y273,XT!AC273,XT!AG273))=5)*(CHOOSE({1,2,3,4},XT!X273,XT!AB273,XT!AF273,XT!AJ273)))</f>
        <v>0</v>
      </c>
      <c r="R273" t="str">
        <f>IFERROR(INDEX(CHOOSE({1,2,3,4}, DAY(XT!U273), DAY(XT!Y273), DAY(XT!AC273), DAY(XT!AG273)), MATCH(1, INDEX(--(MONTH(CHOOSE({1,2,3,4}, XT!U273,XT!Y273,XT!AC273,XT!AG273))=5), 0), 0)), "")</f>
        <v/>
      </c>
      <c r="S273" s="12" t="str">
        <f>IF(XT!$P273&gt;0,R273,"")</f>
        <v/>
      </c>
      <c r="T273" s="12" t="str">
        <f>IF(XT!$P273=0,R273,"")</f>
        <v/>
      </c>
      <c r="U273">
        <f>SUMPRODUCT((MONTH(CHOOSE({1,2,3,4},XT!U273,XT!Y273,XT!AC273,XT!AG273))=6)*(CHOOSE({1,2,3,4},XT!X273,XT!AB273,XT!AF273,XT!AJ273)))</f>
        <v>0</v>
      </c>
      <c r="V273" t="str">
        <f>IFERROR(INDEX(CHOOSE({1,2,3,4}, DAY(XT!U273), DAY(XT!Y273), DAY(XT!AC273), DAY(XT!AG273)), MATCH(1, INDEX(--(MONTH(CHOOSE({1,2,3,4}, XT!U273,XT!Y273,XT!AC273,XT!AG273))=6), 0), 0)), "")</f>
        <v/>
      </c>
      <c r="W273" s="12" t="str">
        <f>IF(XT!$P273&gt;0,V273,"")</f>
        <v/>
      </c>
      <c r="X273" s="12" t="str">
        <f>IF(XT!$P273=0,V273,"")</f>
        <v/>
      </c>
      <c r="Y273">
        <f>SUMPRODUCT((MONTH(CHOOSE({1,2,3,4},XT!U273,XT!Y273,XT!AC273,XT!AG273))=7)*(CHOOSE({1,2,3,4},XT!X273,XT!AB273,XT!AF273,XT!AJ273)))</f>
        <v>0</v>
      </c>
      <c r="Z273" t="str">
        <f>IFERROR(INDEX(CHOOSE({1,2,3,4}, DAY(XT!U273), DAY(XT!Y273), DAY(XT!AC273), DAY(XT!AG273)), MATCH(1, INDEX(--(MONTH(CHOOSE({1,2,3,4}, XT!U273,XT!Y273,XT!AC273,XT!AG273))=7), 0), 0)), "")</f>
        <v/>
      </c>
      <c r="AA273" s="12" t="str">
        <f>IF(XT!$P273&gt;0,Z273,"")</f>
        <v/>
      </c>
      <c r="AB273" s="12" t="str">
        <f>IF(XT!$P273=0,Z273,"")</f>
        <v/>
      </c>
      <c r="AC273">
        <f>SUMPRODUCT((MONTH(CHOOSE({1,2,3,4},XT!U273,XT!Y273,XT!AC273,XT!AG273))=8)*(CHOOSE({1,2,3,4},XT!X273,XT!AB273,XT!AF273,XT!AJ273)))</f>
        <v>0</v>
      </c>
      <c r="AD273" t="str">
        <f>IFERROR(INDEX(CHOOSE({1,2,3,4}, DAY(XT!U273), DAY(XT!Y273), DAY(XT!AC273), DAY(XT!AG273)), MATCH(1, INDEX(--(MONTH(CHOOSE({1,2,3,4}, XT!U273,XT!Y273,XT!AC273,XT!AG273))=8), 0), 0)), "")</f>
        <v/>
      </c>
      <c r="AE273" s="12" t="str">
        <f>IF(XT!$P273&gt;0,AD273,"")</f>
        <v/>
      </c>
      <c r="AF273" s="12" t="str">
        <f>IF(XT!$P273=0,AD273,"")</f>
        <v/>
      </c>
      <c r="AG273">
        <f>SUMPRODUCT((MONTH(CHOOSE({1,2,3,4},XT!U273,XT!Y273,XT!AC273,XT!AG273))=9)*(CHOOSE({1,2,3,4},XT!X273,XT!AB273,XT!AF273,XT!AJ273)))</f>
        <v>0</v>
      </c>
      <c r="AH273" t="str">
        <f>IFERROR(INDEX(CHOOSE({1,2,3,4}, DAY(XT!U273), DAY(XT!Y273), DAY(XT!AC273), DAY(XT!AG273)), MATCH(1, INDEX(--(MONTH(CHOOSE({1,2,3,4}, XT!U273,XT!Y273,XT!AC273,XT!AG273))=9), 0), 0)), "")</f>
        <v/>
      </c>
      <c r="AI273" s="12" t="str">
        <f>IF(XT!$P273&gt;0,AH273,"")</f>
        <v/>
      </c>
      <c r="AJ273" s="12" t="str">
        <f>IF(XT!$P273=0,AH273,"")</f>
        <v/>
      </c>
      <c r="AK273">
        <f>SUMPRODUCT((MONTH(CHOOSE({1,2,3,4},XT!U273,XT!Y273,XT!AC273,XT!AG273))=10)*(CHOOSE({1,2,3,4},XT!X273,XT!AB273,XT!AF273,XT!AJ273)))</f>
        <v>0</v>
      </c>
      <c r="AL273" t="str">
        <f>IFERROR(INDEX(CHOOSE({1,2,3,4}, DAY(XT!U273), DAY(XT!Y273), DAY(XT!AC273), DAY(XT!AG273)), MATCH(1, INDEX(--(MONTH(CHOOSE({1,2,3,4}, XT!U273,XT!Y273,XT!AC273,XT!AG273))=10), 0), 0)), "")</f>
        <v/>
      </c>
      <c r="AM273" s="12" t="str">
        <f>IF(XT!$P273&gt;0,AL273,"")</f>
        <v/>
      </c>
      <c r="AN273" s="12" t="str">
        <f>IF(XT!$P273=0,AL273,"")</f>
        <v/>
      </c>
      <c r="AO273">
        <f>SUMPRODUCT((MONTH(CHOOSE({1,2,3,4},XT!U273,XT!Y273,XT!AC273,XT!AG273))=11)*(CHOOSE({1,2,3,4},XT!X273,XT!AB273,XT!AF273,XT!AJ273)))</f>
        <v>0</v>
      </c>
      <c r="AP273" t="str">
        <f>IFERROR(INDEX(CHOOSE({1,2,3,4}, DAY(XT!U273), DAY(XT!Y273), DAY(XT!AC273), DAY(XT!AG273)), MATCH(1, INDEX(--(MONTH(CHOOSE({1,2,3,4}, XT!U273,XT!Y273,XT!AC273,XT!AG273))=11), 0), 0)), "")</f>
        <v/>
      </c>
      <c r="AQ273" s="12" t="str">
        <f>IF(XT!$P273&gt;0,AP273,"")</f>
        <v/>
      </c>
      <c r="AR273" s="12" t="str">
        <f>IF(XT!$P273=0,AP273,"")</f>
        <v/>
      </c>
      <c r="AS273">
        <f>SUMPRODUCT((MONTH(CHOOSE({1,2,3,4},XT!U273,XT!Y273,XT!AC273,XT!AG273))=12)*(CHOOSE({1,2,3,4},XT!X273,XT!AB273,XT!AF273,XT!AJ273)))</f>
        <v>0</v>
      </c>
      <c r="AT273" t="str">
        <f>IFERROR(INDEX(CHOOSE({1,2,3,4}, DAY(XT!U273), DAY(XT!Y273), DAY(XT!AC273), DAY(XT!AG273)), MATCH(1, INDEX(--(MONTH(CHOOSE({1,2,3,4}, XT!U273,XT!Y273,XT!AC273,XT!AG273))=12), 0), 0)), "")</f>
        <v/>
      </c>
      <c r="AU273" s="12" t="str">
        <f>IF(XT!$P273&gt;0,AT273,"")</f>
        <v/>
      </c>
      <c r="AV273" s="12" t="str">
        <f>IF(XT!$P273=0,AT273,"")</f>
        <v/>
      </c>
    </row>
    <row r="274" spans="1:48">
      <c r="A274">
        <f>SUMPRODUCT((MONTH(CHOOSE({1,2,3,4},XT!U274,XT!Y274,XT!AC274,XT!AG274))=1)*(CHOOSE({1,2,3,4},XT!X274,XT!AB274,XT!AF274,XT!AJ274)))</f>
        <v>0</v>
      </c>
      <c r="B274">
        <f>IFERROR(INDEX(CHOOSE({1,2,3,4}, DAY(XT!U274), DAY(XT!Y274), DAY(XT!AC274), DAY(XT!AG274)), MATCH(1, INDEX(--(MONTH(CHOOSE({1,2,3,4}, XT!U274,XT!Y274,XT!AC274,XT!AG274))=1), 0), 0)), "")</f>
        <v>0</v>
      </c>
      <c r="C274" s="12" t="str">
        <f>IF(XT!$P274&gt;0,B274,"")</f>
        <v/>
      </c>
      <c r="D274" s="12">
        <f>IF(XT!$P274=0,B274,"")</f>
        <v>0</v>
      </c>
      <c r="E274">
        <f>SUMPRODUCT((MONTH(CHOOSE({1,2,3,4},XT!U274,XT!Y274,XT!AC274,XT!AG274))=2)*(CHOOSE({1,2,3,4},XT!X274,XT!AB274,XT!AF274,XT!AJ274)))</f>
        <v>0</v>
      </c>
      <c r="F274" t="str">
        <f>IFERROR(INDEX(CHOOSE({1,2,3,4}, DAY(XT!U274), DAY(XT!Y274), DAY(XT!AC274), DAY(XT!AG274)), MATCH(1, INDEX(--(MONTH(CHOOSE({1,2,3,4}, XT!U274,XT!Y274,XT!AC274,XT!AG274))=2), 0), 0)), "")</f>
        <v/>
      </c>
      <c r="G274" s="12" t="str">
        <f>IF(XT!$P274&gt;0,F274,"")</f>
        <v/>
      </c>
      <c r="H274" s="12" t="str">
        <f>IF(XT!$P274=0,F274,"")</f>
        <v/>
      </c>
      <c r="I274">
        <f>SUMPRODUCT((MONTH(CHOOSE({1,2,3,4},XT!U274,XT!Y274,XT!AC274,XT!AG274))=3)*(CHOOSE({1,2,3,4},XT!X274,XT!AB274,XT!AF274,XT!AJ274)))</f>
        <v>0</v>
      </c>
      <c r="J274" t="str">
        <f>IFERROR(INDEX(CHOOSE({1,2,3,4}, DAY(XT!U274), DAY(XT!Y274), DAY(XT!AC274), DAY(XT!AG274)), MATCH(1, INDEX(--(MONTH(CHOOSE({1,2,3,4}, XT!U274,XT!Y274,XT!AC274,XT!AG274))=3), 0), 0)), "")</f>
        <v/>
      </c>
      <c r="K274" s="12" t="str">
        <f>IF(XT!$P274&gt;0,J274,"")</f>
        <v/>
      </c>
      <c r="L274" s="12" t="str">
        <f>IF(XT!$P274=0,J274,"")</f>
        <v/>
      </c>
      <c r="M274">
        <f>SUMPRODUCT((MONTH(CHOOSE({1,2,3,4},XT!U274,XT!Y274,XT!AC274,XT!AG274))=4)*(CHOOSE({1,2,3,4},XT!X274,XT!AB274,XT!AF274,XT!AJ274)))</f>
        <v>0</v>
      </c>
      <c r="N274" t="str">
        <f>IFERROR(INDEX(CHOOSE({1,2,3,4}, DAY(XT!U274), DAY(XT!Y274), DAY(XT!AC274), DAY(XT!AG274)), MATCH(1, INDEX(--(MONTH(CHOOSE({1,2,3,4}, XT!U274,XT!Y274,XT!AC274,XT!AG274))=4), 0), 0)), "")</f>
        <v/>
      </c>
      <c r="O274" s="12" t="str">
        <f>IF(XT!$P274&gt;0,N274,"")</f>
        <v/>
      </c>
      <c r="P274" s="12" t="str">
        <f>IF(XT!$P274=0,N274,"")</f>
        <v/>
      </c>
      <c r="Q274">
        <f>SUMPRODUCT((MONTH(CHOOSE({1,2,3,4},XT!U274,XT!Y274,XT!AC274,XT!AG274))=5)*(CHOOSE({1,2,3,4},XT!X274,XT!AB274,XT!AF274,XT!AJ274)))</f>
        <v>0</v>
      </c>
      <c r="R274" t="str">
        <f>IFERROR(INDEX(CHOOSE({1,2,3,4}, DAY(XT!U274), DAY(XT!Y274), DAY(XT!AC274), DAY(XT!AG274)), MATCH(1, INDEX(--(MONTH(CHOOSE({1,2,3,4}, XT!U274,XT!Y274,XT!AC274,XT!AG274))=5), 0), 0)), "")</f>
        <v/>
      </c>
      <c r="S274" s="12" t="str">
        <f>IF(XT!$P274&gt;0,R274,"")</f>
        <v/>
      </c>
      <c r="T274" s="12" t="str">
        <f>IF(XT!$P274=0,R274,"")</f>
        <v/>
      </c>
      <c r="U274">
        <f>SUMPRODUCT((MONTH(CHOOSE({1,2,3,4},XT!U274,XT!Y274,XT!AC274,XT!AG274))=6)*(CHOOSE({1,2,3,4},XT!X274,XT!AB274,XT!AF274,XT!AJ274)))</f>
        <v>0</v>
      </c>
      <c r="V274" t="str">
        <f>IFERROR(INDEX(CHOOSE({1,2,3,4}, DAY(XT!U274), DAY(XT!Y274), DAY(XT!AC274), DAY(XT!AG274)), MATCH(1, INDEX(--(MONTH(CHOOSE({1,2,3,4}, XT!U274,XT!Y274,XT!AC274,XT!AG274))=6), 0), 0)), "")</f>
        <v/>
      </c>
      <c r="W274" s="12" t="str">
        <f>IF(XT!$P274&gt;0,V274,"")</f>
        <v/>
      </c>
      <c r="X274" s="12" t="str">
        <f>IF(XT!$P274=0,V274,"")</f>
        <v/>
      </c>
      <c r="Y274">
        <f>SUMPRODUCT((MONTH(CHOOSE({1,2,3,4},XT!U274,XT!Y274,XT!AC274,XT!AG274))=7)*(CHOOSE({1,2,3,4},XT!X274,XT!AB274,XT!AF274,XT!AJ274)))</f>
        <v>0</v>
      </c>
      <c r="Z274" t="str">
        <f>IFERROR(INDEX(CHOOSE({1,2,3,4}, DAY(XT!U274), DAY(XT!Y274), DAY(XT!AC274), DAY(XT!AG274)), MATCH(1, INDEX(--(MONTH(CHOOSE({1,2,3,4}, XT!U274,XT!Y274,XT!AC274,XT!AG274))=7), 0), 0)), "")</f>
        <v/>
      </c>
      <c r="AA274" s="12" t="str">
        <f>IF(XT!$P274&gt;0,Z274,"")</f>
        <v/>
      </c>
      <c r="AB274" s="12" t="str">
        <f>IF(XT!$P274=0,Z274,"")</f>
        <v/>
      </c>
      <c r="AC274">
        <f>SUMPRODUCT((MONTH(CHOOSE({1,2,3,4},XT!U274,XT!Y274,XT!AC274,XT!AG274))=8)*(CHOOSE({1,2,3,4},XT!X274,XT!AB274,XT!AF274,XT!AJ274)))</f>
        <v>0</v>
      </c>
      <c r="AD274" t="str">
        <f>IFERROR(INDEX(CHOOSE({1,2,3,4}, DAY(XT!U274), DAY(XT!Y274), DAY(XT!AC274), DAY(XT!AG274)), MATCH(1, INDEX(--(MONTH(CHOOSE({1,2,3,4}, XT!U274,XT!Y274,XT!AC274,XT!AG274))=8), 0), 0)), "")</f>
        <v/>
      </c>
      <c r="AE274" s="12" t="str">
        <f>IF(XT!$P274&gt;0,AD274,"")</f>
        <v/>
      </c>
      <c r="AF274" s="12" t="str">
        <f>IF(XT!$P274=0,AD274,"")</f>
        <v/>
      </c>
      <c r="AG274">
        <f>SUMPRODUCT((MONTH(CHOOSE({1,2,3,4},XT!U274,XT!Y274,XT!AC274,XT!AG274))=9)*(CHOOSE({1,2,3,4},XT!X274,XT!AB274,XT!AF274,XT!AJ274)))</f>
        <v>0</v>
      </c>
      <c r="AH274" t="str">
        <f>IFERROR(INDEX(CHOOSE({1,2,3,4}, DAY(XT!U274), DAY(XT!Y274), DAY(XT!AC274), DAY(XT!AG274)), MATCH(1, INDEX(--(MONTH(CHOOSE({1,2,3,4}, XT!U274,XT!Y274,XT!AC274,XT!AG274))=9), 0), 0)), "")</f>
        <v/>
      </c>
      <c r="AI274" s="12" t="str">
        <f>IF(XT!$P274&gt;0,AH274,"")</f>
        <v/>
      </c>
      <c r="AJ274" s="12" t="str">
        <f>IF(XT!$P274=0,AH274,"")</f>
        <v/>
      </c>
      <c r="AK274">
        <f>SUMPRODUCT((MONTH(CHOOSE({1,2,3,4},XT!U274,XT!Y274,XT!AC274,XT!AG274))=10)*(CHOOSE({1,2,3,4},XT!X274,XT!AB274,XT!AF274,XT!AJ274)))</f>
        <v>0</v>
      </c>
      <c r="AL274" t="str">
        <f>IFERROR(INDEX(CHOOSE({1,2,3,4}, DAY(XT!U274), DAY(XT!Y274), DAY(XT!AC274), DAY(XT!AG274)), MATCH(1, INDEX(--(MONTH(CHOOSE({1,2,3,4}, XT!U274,XT!Y274,XT!AC274,XT!AG274))=10), 0), 0)), "")</f>
        <v/>
      </c>
      <c r="AM274" s="12" t="str">
        <f>IF(XT!$P274&gt;0,AL274,"")</f>
        <v/>
      </c>
      <c r="AN274" s="12" t="str">
        <f>IF(XT!$P274=0,AL274,"")</f>
        <v/>
      </c>
      <c r="AO274">
        <f>SUMPRODUCT((MONTH(CHOOSE({1,2,3,4},XT!U274,XT!Y274,XT!AC274,XT!AG274))=11)*(CHOOSE({1,2,3,4},XT!X274,XT!AB274,XT!AF274,XT!AJ274)))</f>
        <v>0</v>
      </c>
      <c r="AP274" t="str">
        <f>IFERROR(INDEX(CHOOSE({1,2,3,4}, DAY(XT!U274), DAY(XT!Y274), DAY(XT!AC274), DAY(XT!AG274)), MATCH(1, INDEX(--(MONTH(CHOOSE({1,2,3,4}, XT!U274,XT!Y274,XT!AC274,XT!AG274))=11), 0), 0)), "")</f>
        <v/>
      </c>
      <c r="AQ274" s="12" t="str">
        <f>IF(XT!$P274&gt;0,AP274,"")</f>
        <v/>
      </c>
      <c r="AR274" s="12" t="str">
        <f>IF(XT!$P274=0,AP274,"")</f>
        <v/>
      </c>
      <c r="AS274">
        <f>SUMPRODUCT((MONTH(CHOOSE({1,2,3,4},XT!U274,XT!Y274,XT!AC274,XT!AG274))=12)*(CHOOSE({1,2,3,4},XT!X274,XT!AB274,XT!AF274,XT!AJ274)))</f>
        <v>0</v>
      </c>
      <c r="AT274" t="str">
        <f>IFERROR(INDEX(CHOOSE({1,2,3,4}, DAY(XT!U274), DAY(XT!Y274), DAY(XT!AC274), DAY(XT!AG274)), MATCH(1, INDEX(--(MONTH(CHOOSE({1,2,3,4}, XT!U274,XT!Y274,XT!AC274,XT!AG274))=12), 0), 0)), "")</f>
        <v/>
      </c>
      <c r="AU274" s="12" t="str">
        <f>IF(XT!$P274&gt;0,AT274,"")</f>
        <v/>
      </c>
      <c r="AV274" s="12" t="str">
        <f>IF(XT!$P274=0,AT274,"")</f>
        <v/>
      </c>
    </row>
    <row r="275" spans="1:48">
      <c r="A275">
        <f>SUMPRODUCT((MONTH(CHOOSE({1,2,3,4},XT!U275,XT!Y275,XT!AC275,XT!AG275))=1)*(CHOOSE({1,2,3,4},XT!X275,XT!AB275,XT!AF275,XT!AJ275)))</f>
        <v>0</v>
      </c>
      <c r="B275">
        <f>IFERROR(INDEX(CHOOSE({1,2,3,4}, DAY(XT!U275), DAY(XT!Y275), DAY(XT!AC275), DAY(XT!AG275)), MATCH(1, INDEX(--(MONTH(CHOOSE({1,2,3,4}, XT!U275,XT!Y275,XT!AC275,XT!AG275))=1), 0), 0)), "")</f>
        <v>0</v>
      </c>
      <c r="C275" s="12" t="str">
        <f>IF(XT!$P275&gt;0,B275,"")</f>
        <v/>
      </c>
      <c r="D275" s="12">
        <f>IF(XT!$P275=0,B275,"")</f>
        <v>0</v>
      </c>
      <c r="E275">
        <f>SUMPRODUCT((MONTH(CHOOSE({1,2,3,4},XT!U275,XT!Y275,XT!AC275,XT!AG275))=2)*(CHOOSE({1,2,3,4},XT!X275,XT!AB275,XT!AF275,XT!AJ275)))</f>
        <v>0</v>
      </c>
      <c r="F275" t="str">
        <f>IFERROR(INDEX(CHOOSE({1,2,3,4}, DAY(XT!U275), DAY(XT!Y275), DAY(XT!AC275), DAY(XT!AG275)), MATCH(1, INDEX(--(MONTH(CHOOSE({1,2,3,4}, XT!U275,XT!Y275,XT!AC275,XT!AG275))=2), 0), 0)), "")</f>
        <v/>
      </c>
      <c r="G275" s="12" t="str">
        <f>IF(XT!$P275&gt;0,F275,"")</f>
        <v/>
      </c>
      <c r="H275" s="12" t="str">
        <f>IF(XT!$P275=0,F275,"")</f>
        <v/>
      </c>
      <c r="I275">
        <f>SUMPRODUCT((MONTH(CHOOSE({1,2,3,4},XT!U275,XT!Y275,XT!AC275,XT!AG275))=3)*(CHOOSE({1,2,3,4},XT!X275,XT!AB275,XT!AF275,XT!AJ275)))</f>
        <v>0</v>
      </c>
      <c r="J275" t="str">
        <f>IFERROR(INDEX(CHOOSE({1,2,3,4}, DAY(XT!U275), DAY(XT!Y275), DAY(XT!AC275), DAY(XT!AG275)), MATCH(1, INDEX(--(MONTH(CHOOSE({1,2,3,4}, XT!U275,XT!Y275,XT!AC275,XT!AG275))=3), 0), 0)), "")</f>
        <v/>
      </c>
      <c r="K275" s="12" t="str">
        <f>IF(XT!$P275&gt;0,J275,"")</f>
        <v/>
      </c>
      <c r="L275" s="12" t="str">
        <f>IF(XT!$P275=0,J275,"")</f>
        <v/>
      </c>
      <c r="M275">
        <f>SUMPRODUCT((MONTH(CHOOSE({1,2,3,4},XT!U275,XT!Y275,XT!AC275,XT!AG275))=4)*(CHOOSE({1,2,3,4},XT!X275,XT!AB275,XT!AF275,XT!AJ275)))</f>
        <v>0</v>
      </c>
      <c r="N275" t="str">
        <f>IFERROR(INDEX(CHOOSE({1,2,3,4}, DAY(XT!U275), DAY(XT!Y275), DAY(XT!AC275), DAY(XT!AG275)), MATCH(1, INDEX(--(MONTH(CHOOSE({1,2,3,4}, XT!U275,XT!Y275,XT!AC275,XT!AG275))=4), 0), 0)), "")</f>
        <v/>
      </c>
      <c r="O275" s="12" t="str">
        <f>IF(XT!$P275&gt;0,N275,"")</f>
        <v/>
      </c>
      <c r="P275" s="12" t="str">
        <f>IF(XT!$P275=0,N275,"")</f>
        <v/>
      </c>
      <c r="Q275">
        <f>SUMPRODUCT((MONTH(CHOOSE({1,2,3,4},XT!U275,XT!Y275,XT!AC275,XT!AG275))=5)*(CHOOSE({1,2,3,4},XT!X275,XT!AB275,XT!AF275,XT!AJ275)))</f>
        <v>0</v>
      </c>
      <c r="R275" t="str">
        <f>IFERROR(INDEX(CHOOSE({1,2,3,4}, DAY(XT!U275), DAY(XT!Y275), DAY(XT!AC275), DAY(XT!AG275)), MATCH(1, INDEX(--(MONTH(CHOOSE({1,2,3,4}, XT!U275,XT!Y275,XT!AC275,XT!AG275))=5), 0), 0)), "")</f>
        <v/>
      </c>
      <c r="S275" s="12" t="str">
        <f>IF(XT!$P275&gt;0,R275,"")</f>
        <v/>
      </c>
      <c r="T275" s="12" t="str">
        <f>IF(XT!$P275=0,R275,"")</f>
        <v/>
      </c>
      <c r="U275">
        <f>SUMPRODUCT((MONTH(CHOOSE({1,2,3,4},XT!U275,XT!Y275,XT!AC275,XT!AG275))=6)*(CHOOSE({1,2,3,4},XT!X275,XT!AB275,XT!AF275,XT!AJ275)))</f>
        <v>0</v>
      </c>
      <c r="V275" t="str">
        <f>IFERROR(INDEX(CHOOSE({1,2,3,4}, DAY(XT!U275), DAY(XT!Y275), DAY(XT!AC275), DAY(XT!AG275)), MATCH(1, INDEX(--(MONTH(CHOOSE({1,2,3,4}, XT!U275,XT!Y275,XT!AC275,XT!AG275))=6), 0), 0)), "")</f>
        <v/>
      </c>
      <c r="W275" s="12" t="str">
        <f>IF(XT!$P275&gt;0,V275,"")</f>
        <v/>
      </c>
      <c r="X275" s="12" t="str">
        <f>IF(XT!$P275=0,V275,"")</f>
        <v/>
      </c>
      <c r="Y275">
        <f>SUMPRODUCT((MONTH(CHOOSE({1,2,3,4},XT!U275,XT!Y275,XT!AC275,XT!AG275))=7)*(CHOOSE({1,2,3,4},XT!X275,XT!AB275,XT!AF275,XT!AJ275)))</f>
        <v>0</v>
      </c>
      <c r="Z275" t="str">
        <f>IFERROR(INDEX(CHOOSE({1,2,3,4}, DAY(XT!U275), DAY(XT!Y275), DAY(XT!AC275), DAY(XT!AG275)), MATCH(1, INDEX(--(MONTH(CHOOSE({1,2,3,4}, XT!U275,XT!Y275,XT!AC275,XT!AG275))=7), 0), 0)), "")</f>
        <v/>
      </c>
      <c r="AA275" s="12" t="str">
        <f>IF(XT!$P275&gt;0,Z275,"")</f>
        <v/>
      </c>
      <c r="AB275" s="12" t="str">
        <f>IF(XT!$P275=0,Z275,"")</f>
        <v/>
      </c>
      <c r="AC275">
        <f>SUMPRODUCT((MONTH(CHOOSE({1,2,3,4},XT!U275,XT!Y275,XT!AC275,XT!AG275))=8)*(CHOOSE({1,2,3,4},XT!X275,XT!AB275,XT!AF275,XT!AJ275)))</f>
        <v>0</v>
      </c>
      <c r="AD275" t="str">
        <f>IFERROR(INDEX(CHOOSE({1,2,3,4}, DAY(XT!U275), DAY(XT!Y275), DAY(XT!AC275), DAY(XT!AG275)), MATCH(1, INDEX(--(MONTH(CHOOSE({1,2,3,4}, XT!U275,XT!Y275,XT!AC275,XT!AG275))=8), 0), 0)), "")</f>
        <v/>
      </c>
      <c r="AE275" s="12" t="str">
        <f>IF(XT!$P275&gt;0,AD275,"")</f>
        <v/>
      </c>
      <c r="AF275" s="12" t="str">
        <f>IF(XT!$P275=0,AD275,"")</f>
        <v/>
      </c>
      <c r="AG275">
        <f>SUMPRODUCT((MONTH(CHOOSE({1,2,3,4},XT!U275,XT!Y275,XT!AC275,XT!AG275))=9)*(CHOOSE({1,2,3,4},XT!X275,XT!AB275,XT!AF275,XT!AJ275)))</f>
        <v>0</v>
      </c>
      <c r="AH275" t="str">
        <f>IFERROR(INDEX(CHOOSE({1,2,3,4}, DAY(XT!U275), DAY(XT!Y275), DAY(XT!AC275), DAY(XT!AG275)), MATCH(1, INDEX(--(MONTH(CHOOSE({1,2,3,4}, XT!U275,XT!Y275,XT!AC275,XT!AG275))=9), 0), 0)), "")</f>
        <v/>
      </c>
      <c r="AI275" s="12" t="str">
        <f>IF(XT!$P275&gt;0,AH275,"")</f>
        <v/>
      </c>
      <c r="AJ275" s="12" t="str">
        <f>IF(XT!$P275=0,AH275,"")</f>
        <v/>
      </c>
      <c r="AK275">
        <f>SUMPRODUCT((MONTH(CHOOSE({1,2,3,4},XT!U275,XT!Y275,XT!AC275,XT!AG275))=10)*(CHOOSE({1,2,3,4},XT!X275,XT!AB275,XT!AF275,XT!AJ275)))</f>
        <v>0</v>
      </c>
      <c r="AL275" t="str">
        <f>IFERROR(INDEX(CHOOSE({1,2,3,4}, DAY(XT!U275), DAY(XT!Y275), DAY(XT!AC275), DAY(XT!AG275)), MATCH(1, INDEX(--(MONTH(CHOOSE({1,2,3,4}, XT!U275,XT!Y275,XT!AC275,XT!AG275))=10), 0), 0)), "")</f>
        <v/>
      </c>
      <c r="AM275" s="12" t="str">
        <f>IF(XT!$P275&gt;0,AL275,"")</f>
        <v/>
      </c>
      <c r="AN275" s="12" t="str">
        <f>IF(XT!$P275=0,AL275,"")</f>
        <v/>
      </c>
      <c r="AO275">
        <f>SUMPRODUCT((MONTH(CHOOSE({1,2,3,4},XT!U275,XT!Y275,XT!AC275,XT!AG275))=11)*(CHOOSE({1,2,3,4},XT!X275,XT!AB275,XT!AF275,XT!AJ275)))</f>
        <v>0</v>
      </c>
      <c r="AP275" t="str">
        <f>IFERROR(INDEX(CHOOSE({1,2,3,4}, DAY(XT!U275), DAY(XT!Y275), DAY(XT!AC275), DAY(XT!AG275)), MATCH(1, INDEX(--(MONTH(CHOOSE({1,2,3,4}, XT!U275,XT!Y275,XT!AC275,XT!AG275))=11), 0), 0)), "")</f>
        <v/>
      </c>
      <c r="AQ275" s="12" t="str">
        <f>IF(XT!$P275&gt;0,AP275,"")</f>
        <v/>
      </c>
      <c r="AR275" s="12" t="str">
        <f>IF(XT!$P275=0,AP275,"")</f>
        <v/>
      </c>
      <c r="AS275">
        <f>SUMPRODUCT((MONTH(CHOOSE({1,2,3,4},XT!U275,XT!Y275,XT!AC275,XT!AG275))=12)*(CHOOSE({1,2,3,4},XT!X275,XT!AB275,XT!AF275,XT!AJ275)))</f>
        <v>0</v>
      </c>
      <c r="AT275" t="str">
        <f>IFERROR(INDEX(CHOOSE({1,2,3,4}, DAY(XT!U275), DAY(XT!Y275), DAY(XT!AC275), DAY(XT!AG275)), MATCH(1, INDEX(--(MONTH(CHOOSE({1,2,3,4}, XT!U275,XT!Y275,XT!AC275,XT!AG275))=12), 0), 0)), "")</f>
        <v/>
      </c>
      <c r="AU275" s="12" t="str">
        <f>IF(XT!$P275&gt;0,AT275,"")</f>
        <v/>
      </c>
      <c r="AV275" s="12" t="str">
        <f>IF(XT!$P275=0,AT275,"")</f>
        <v/>
      </c>
    </row>
    <row r="276" spans="1:48">
      <c r="A276">
        <f>SUMPRODUCT((MONTH(CHOOSE({1,2,3,4},XT!U276,XT!Y276,XT!AC276,XT!AG276))=1)*(CHOOSE({1,2,3,4},XT!X276,XT!AB276,XT!AF276,XT!AJ276)))</f>
        <v>0</v>
      </c>
      <c r="B276">
        <f>IFERROR(INDEX(CHOOSE({1,2,3,4}, DAY(XT!U276), DAY(XT!Y276), DAY(XT!AC276), DAY(XT!AG276)), MATCH(1, INDEX(--(MONTH(CHOOSE({1,2,3,4}, XT!U276,XT!Y276,XT!AC276,XT!AG276))=1), 0), 0)), "")</f>
        <v>0</v>
      </c>
      <c r="C276" s="12" t="str">
        <f>IF(XT!$P276&gt;0,B276,"")</f>
        <v/>
      </c>
      <c r="D276" s="12">
        <f>IF(XT!$P276=0,B276,"")</f>
        <v>0</v>
      </c>
      <c r="E276">
        <f>SUMPRODUCT((MONTH(CHOOSE({1,2,3,4},XT!U276,XT!Y276,XT!AC276,XT!AG276))=2)*(CHOOSE({1,2,3,4},XT!X276,XT!AB276,XT!AF276,XT!AJ276)))</f>
        <v>0</v>
      </c>
      <c r="F276" t="str">
        <f>IFERROR(INDEX(CHOOSE({1,2,3,4}, DAY(XT!U276), DAY(XT!Y276), DAY(XT!AC276), DAY(XT!AG276)), MATCH(1, INDEX(--(MONTH(CHOOSE({1,2,3,4}, XT!U276,XT!Y276,XT!AC276,XT!AG276))=2), 0), 0)), "")</f>
        <v/>
      </c>
      <c r="G276" s="12" t="str">
        <f>IF(XT!$P276&gt;0,F276,"")</f>
        <v/>
      </c>
      <c r="H276" s="12" t="str">
        <f>IF(XT!$P276=0,F276,"")</f>
        <v/>
      </c>
      <c r="I276">
        <f>SUMPRODUCT((MONTH(CHOOSE({1,2,3,4},XT!U276,XT!Y276,XT!AC276,XT!AG276))=3)*(CHOOSE({1,2,3,4},XT!X276,XT!AB276,XT!AF276,XT!AJ276)))</f>
        <v>0</v>
      </c>
      <c r="J276" t="str">
        <f>IFERROR(INDEX(CHOOSE({1,2,3,4}, DAY(XT!U276), DAY(XT!Y276), DAY(XT!AC276), DAY(XT!AG276)), MATCH(1, INDEX(--(MONTH(CHOOSE({1,2,3,4}, XT!U276,XT!Y276,XT!AC276,XT!AG276))=3), 0), 0)), "")</f>
        <v/>
      </c>
      <c r="K276" s="12" t="str">
        <f>IF(XT!$P276&gt;0,J276,"")</f>
        <v/>
      </c>
      <c r="L276" s="12" t="str">
        <f>IF(XT!$P276=0,J276,"")</f>
        <v/>
      </c>
      <c r="M276">
        <f>SUMPRODUCT((MONTH(CHOOSE({1,2,3,4},XT!U276,XT!Y276,XT!AC276,XT!AG276))=4)*(CHOOSE({1,2,3,4},XT!X276,XT!AB276,XT!AF276,XT!AJ276)))</f>
        <v>0</v>
      </c>
      <c r="N276" t="str">
        <f>IFERROR(INDEX(CHOOSE({1,2,3,4}, DAY(XT!U276), DAY(XT!Y276), DAY(XT!AC276), DAY(XT!AG276)), MATCH(1, INDEX(--(MONTH(CHOOSE({1,2,3,4}, XT!U276,XT!Y276,XT!AC276,XT!AG276))=4), 0), 0)), "")</f>
        <v/>
      </c>
      <c r="O276" s="12" t="str">
        <f>IF(XT!$P276&gt;0,N276,"")</f>
        <v/>
      </c>
      <c r="P276" s="12" t="str">
        <f>IF(XT!$P276=0,N276,"")</f>
        <v/>
      </c>
      <c r="Q276">
        <f>SUMPRODUCT((MONTH(CHOOSE({1,2,3,4},XT!U276,XT!Y276,XT!AC276,XT!AG276))=5)*(CHOOSE({1,2,3,4},XT!X276,XT!AB276,XT!AF276,XT!AJ276)))</f>
        <v>0</v>
      </c>
      <c r="R276" t="str">
        <f>IFERROR(INDEX(CHOOSE({1,2,3,4}, DAY(XT!U276), DAY(XT!Y276), DAY(XT!AC276), DAY(XT!AG276)), MATCH(1, INDEX(--(MONTH(CHOOSE({1,2,3,4}, XT!U276,XT!Y276,XT!AC276,XT!AG276))=5), 0), 0)), "")</f>
        <v/>
      </c>
      <c r="S276" s="12" t="str">
        <f>IF(XT!$P276&gt;0,R276,"")</f>
        <v/>
      </c>
      <c r="T276" s="12" t="str">
        <f>IF(XT!$P276=0,R276,"")</f>
        <v/>
      </c>
      <c r="U276">
        <f>SUMPRODUCT((MONTH(CHOOSE({1,2,3,4},XT!U276,XT!Y276,XT!AC276,XT!AG276))=6)*(CHOOSE({1,2,3,4},XT!X276,XT!AB276,XT!AF276,XT!AJ276)))</f>
        <v>0</v>
      </c>
      <c r="V276" t="str">
        <f>IFERROR(INDEX(CHOOSE({1,2,3,4}, DAY(XT!U276), DAY(XT!Y276), DAY(XT!AC276), DAY(XT!AG276)), MATCH(1, INDEX(--(MONTH(CHOOSE({1,2,3,4}, XT!U276,XT!Y276,XT!AC276,XT!AG276))=6), 0), 0)), "")</f>
        <v/>
      </c>
      <c r="W276" s="12" t="str">
        <f>IF(XT!$P276&gt;0,V276,"")</f>
        <v/>
      </c>
      <c r="X276" s="12" t="str">
        <f>IF(XT!$P276=0,V276,"")</f>
        <v/>
      </c>
      <c r="Y276">
        <f>SUMPRODUCT((MONTH(CHOOSE({1,2,3,4},XT!U276,XT!Y276,XT!AC276,XT!AG276))=7)*(CHOOSE({1,2,3,4},XT!X276,XT!AB276,XT!AF276,XT!AJ276)))</f>
        <v>0</v>
      </c>
      <c r="Z276" t="str">
        <f>IFERROR(INDEX(CHOOSE({1,2,3,4}, DAY(XT!U276), DAY(XT!Y276), DAY(XT!AC276), DAY(XT!AG276)), MATCH(1, INDEX(--(MONTH(CHOOSE({1,2,3,4}, XT!U276,XT!Y276,XT!AC276,XT!AG276))=7), 0), 0)), "")</f>
        <v/>
      </c>
      <c r="AA276" s="12" t="str">
        <f>IF(XT!$P276&gt;0,Z276,"")</f>
        <v/>
      </c>
      <c r="AB276" s="12" t="str">
        <f>IF(XT!$P276=0,Z276,"")</f>
        <v/>
      </c>
      <c r="AC276">
        <f>SUMPRODUCT((MONTH(CHOOSE({1,2,3,4},XT!U276,XT!Y276,XT!AC276,XT!AG276))=8)*(CHOOSE({1,2,3,4},XT!X276,XT!AB276,XT!AF276,XT!AJ276)))</f>
        <v>0</v>
      </c>
      <c r="AD276" t="str">
        <f>IFERROR(INDEX(CHOOSE({1,2,3,4}, DAY(XT!U276), DAY(XT!Y276), DAY(XT!AC276), DAY(XT!AG276)), MATCH(1, INDEX(--(MONTH(CHOOSE({1,2,3,4}, XT!U276,XT!Y276,XT!AC276,XT!AG276))=8), 0), 0)), "")</f>
        <v/>
      </c>
      <c r="AE276" s="12" t="str">
        <f>IF(XT!$P276&gt;0,AD276,"")</f>
        <v/>
      </c>
      <c r="AF276" s="12" t="str">
        <f>IF(XT!$P276=0,AD276,"")</f>
        <v/>
      </c>
      <c r="AG276">
        <f>SUMPRODUCT((MONTH(CHOOSE({1,2,3,4},XT!U276,XT!Y276,XT!AC276,XT!AG276))=9)*(CHOOSE({1,2,3,4},XT!X276,XT!AB276,XT!AF276,XT!AJ276)))</f>
        <v>0</v>
      </c>
      <c r="AH276" t="str">
        <f>IFERROR(INDEX(CHOOSE({1,2,3,4}, DAY(XT!U276), DAY(XT!Y276), DAY(XT!AC276), DAY(XT!AG276)), MATCH(1, INDEX(--(MONTH(CHOOSE({1,2,3,4}, XT!U276,XT!Y276,XT!AC276,XT!AG276))=9), 0), 0)), "")</f>
        <v/>
      </c>
      <c r="AI276" s="12" t="str">
        <f>IF(XT!$P276&gt;0,AH276,"")</f>
        <v/>
      </c>
      <c r="AJ276" s="12" t="str">
        <f>IF(XT!$P276=0,AH276,"")</f>
        <v/>
      </c>
      <c r="AK276">
        <f>SUMPRODUCT((MONTH(CHOOSE({1,2,3,4},XT!U276,XT!Y276,XT!AC276,XT!AG276))=10)*(CHOOSE({1,2,3,4},XT!X276,XT!AB276,XT!AF276,XT!AJ276)))</f>
        <v>0</v>
      </c>
      <c r="AL276" t="str">
        <f>IFERROR(INDEX(CHOOSE({1,2,3,4}, DAY(XT!U276), DAY(XT!Y276), DAY(XT!AC276), DAY(XT!AG276)), MATCH(1, INDEX(--(MONTH(CHOOSE({1,2,3,4}, XT!U276,XT!Y276,XT!AC276,XT!AG276))=10), 0), 0)), "")</f>
        <v/>
      </c>
      <c r="AM276" s="12" t="str">
        <f>IF(XT!$P276&gt;0,AL276,"")</f>
        <v/>
      </c>
      <c r="AN276" s="12" t="str">
        <f>IF(XT!$P276=0,AL276,"")</f>
        <v/>
      </c>
      <c r="AO276">
        <f>SUMPRODUCT((MONTH(CHOOSE({1,2,3,4},XT!U276,XT!Y276,XT!AC276,XT!AG276))=11)*(CHOOSE({1,2,3,4},XT!X276,XT!AB276,XT!AF276,XT!AJ276)))</f>
        <v>0</v>
      </c>
      <c r="AP276" t="str">
        <f>IFERROR(INDEX(CHOOSE({1,2,3,4}, DAY(XT!U276), DAY(XT!Y276), DAY(XT!AC276), DAY(XT!AG276)), MATCH(1, INDEX(--(MONTH(CHOOSE({1,2,3,4}, XT!U276,XT!Y276,XT!AC276,XT!AG276))=11), 0), 0)), "")</f>
        <v/>
      </c>
      <c r="AQ276" s="12" t="str">
        <f>IF(XT!$P276&gt;0,AP276,"")</f>
        <v/>
      </c>
      <c r="AR276" s="12" t="str">
        <f>IF(XT!$P276=0,AP276,"")</f>
        <v/>
      </c>
      <c r="AS276">
        <f>SUMPRODUCT((MONTH(CHOOSE({1,2,3,4},XT!U276,XT!Y276,XT!AC276,XT!AG276))=12)*(CHOOSE({1,2,3,4},XT!X276,XT!AB276,XT!AF276,XT!AJ276)))</f>
        <v>0</v>
      </c>
      <c r="AT276" t="str">
        <f>IFERROR(INDEX(CHOOSE({1,2,3,4}, DAY(XT!U276), DAY(XT!Y276), DAY(XT!AC276), DAY(XT!AG276)), MATCH(1, INDEX(--(MONTH(CHOOSE({1,2,3,4}, XT!U276,XT!Y276,XT!AC276,XT!AG276))=12), 0), 0)), "")</f>
        <v/>
      </c>
      <c r="AU276" s="12" t="str">
        <f>IF(XT!$P276&gt;0,AT276,"")</f>
        <v/>
      </c>
      <c r="AV276" s="12" t="str">
        <f>IF(XT!$P276=0,AT276,"")</f>
        <v/>
      </c>
    </row>
    <row r="277" spans="1:48">
      <c r="A277">
        <f>SUMPRODUCT((MONTH(CHOOSE({1,2,3,4},XT!U277,XT!Y277,XT!AC277,XT!AG277))=1)*(CHOOSE({1,2,3,4},XT!X277,XT!AB277,XT!AF277,XT!AJ277)))</f>
        <v>0</v>
      </c>
      <c r="B277">
        <f>IFERROR(INDEX(CHOOSE({1,2,3,4}, DAY(XT!U277), DAY(XT!Y277), DAY(XT!AC277), DAY(XT!AG277)), MATCH(1, INDEX(--(MONTH(CHOOSE({1,2,3,4}, XT!U277,XT!Y277,XT!AC277,XT!AG277))=1), 0), 0)), "")</f>
        <v>0</v>
      </c>
      <c r="C277" s="12" t="str">
        <f>IF(XT!$P277&gt;0,B277,"")</f>
        <v/>
      </c>
      <c r="D277" s="12">
        <f>IF(XT!$P277=0,B277,"")</f>
        <v>0</v>
      </c>
      <c r="E277">
        <f>SUMPRODUCT((MONTH(CHOOSE({1,2,3,4},XT!U277,XT!Y277,XT!AC277,XT!AG277))=2)*(CHOOSE({1,2,3,4},XT!X277,XT!AB277,XT!AF277,XT!AJ277)))</f>
        <v>0</v>
      </c>
      <c r="F277" t="str">
        <f>IFERROR(INDEX(CHOOSE({1,2,3,4}, DAY(XT!U277), DAY(XT!Y277), DAY(XT!AC277), DAY(XT!AG277)), MATCH(1, INDEX(--(MONTH(CHOOSE({1,2,3,4}, XT!U277,XT!Y277,XT!AC277,XT!AG277))=2), 0), 0)), "")</f>
        <v/>
      </c>
      <c r="G277" s="12" t="str">
        <f>IF(XT!$P277&gt;0,F277,"")</f>
        <v/>
      </c>
      <c r="H277" s="12" t="str">
        <f>IF(XT!$P277=0,F277,"")</f>
        <v/>
      </c>
      <c r="I277">
        <f>SUMPRODUCT((MONTH(CHOOSE({1,2,3,4},XT!U277,XT!Y277,XT!AC277,XT!AG277))=3)*(CHOOSE({1,2,3,4},XT!X277,XT!AB277,XT!AF277,XT!AJ277)))</f>
        <v>0</v>
      </c>
      <c r="J277" t="str">
        <f>IFERROR(INDEX(CHOOSE({1,2,3,4}, DAY(XT!U277), DAY(XT!Y277), DAY(XT!AC277), DAY(XT!AG277)), MATCH(1, INDEX(--(MONTH(CHOOSE({1,2,3,4}, XT!U277,XT!Y277,XT!AC277,XT!AG277))=3), 0), 0)), "")</f>
        <v/>
      </c>
      <c r="K277" s="12" t="str">
        <f>IF(XT!$P277&gt;0,J277,"")</f>
        <v/>
      </c>
      <c r="L277" s="12" t="str">
        <f>IF(XT!$P277=0,J277,"")</f>
        <v/>
      </c>
      <c r="M277">
        <f>SUMPRODUCT((MONTH(CHOOSE({1,2,3,4},XT!U277,XT!Y277,XT!AC277,XT!AG277))=4)*(CHOOSE({1,2,3,4},XT!X277,XT!AB277,XT!AF277,XT!AJ277)))</f>
        <v>0</v>
      </c>
      <c r="N277" t="str">
        <f>IFERROR(INDEX(CHOOSE({1,2,3,4}, DAY(XT!U277), DAY(XT!Y277), DAY(XT!AC277), DAY(XT!AG277)), MATCH(1, INDEX(--(MONTH(CHOOSE({1,2,3,4}, XT!U277,XT!Y277,XT!AC277,XT!AG277))=4), 0), 0)), "")</f>
        <v/>
      </c>
      <c r="O277" s="12" t="str">
        <f>IF(XT!$P277&gt;0,N277,"")</f>
        <v/>
      </c>
      <c r="P277" s="12" t="str">
        <f>IF(XT!$P277=0,N277,"")</f>
        <v/>
      </c>
      <c r="Q277">
        <f>SUMPRODUCT((MONTH(CHOOSE({1,2,3,4},XT!U277,XT!Y277,XT!AC277,XT!AG277))=5)*(CHOOSE({1,2,3,4},XT!X277,XT!AB277,XT!AF277,XT!AJ277)))</f>
        <v>0</v>
      </c>
      <c r="R277" t="str">
        <f>IFERROR(INDEX(CHOOSE({1,2,3,4}, DAY(XT!U277), DAY(XT!Y277), DAY(XT!AC277), DAY(XT!AG277)), MATCH(1, INDEX(--(MONTH(CHOOSE({1,2,3,4}, XT!U277,XT!Y277,XT!AC277,XT!AG277))=5), 0), 0)), "")</f>
        <v/>
      </c>
      <c r="S277" s="12" t="str">
        <f>IF(XT!$P277&gt;0,R277,"")</f>
        <v/>
      </c>
      <c r="T277" s="12" t="str">
        <f>IF(XT!$P277=0,R277,"")</f>
        <v/>
      </c>
      <c r="U277">
        <f>SUMPRODUCT((MONTH(CHOOSE({1,2,3,4},XT!U277,XT!Y277,XT!AC277,XT!AG277))=6)*(CHOOSE({1,2,3,4},XT!X277,XT!AB277,XT!AF277,XT!AJ277)))</f>
        <v>0</v>
      </c>
      <c r="V277" t="str">
        <f>IFERROR(INDEX(CHOOSE({1,2,3,4}, DAY(XT!U277), DAY(XT!Y277), DAY(XT!AC277), DAY(XT!AG277)), MATCH(1, INDEX(--(MONTH(CHOOSE({1,2,3,4}, XT!U277,XT!Y277,XT!AC277,XT!AG277))=6), 0), 0)), "")</f>
        <v/>
      </c>
      <c r="W277" s="12" t="str">
        <f>IF(XT!$P277&gt;0,V277,"")</f>
        <v/>
      </c>
      <c r="X277" s="12" t="str">
        <f>IF(XT!$P277=0,V277,"")</f>
        <v/>
      </c>
      <c r="Y277">
        <f>SUMPRODUCT((MONTH(CHOOSE({1,2,3,4},XT!U277,XT!Y277,XT!AC277,XT!AG277))=7)*(CHOOSE({1,2,3,4},XT!X277,XT!AB277,XT!AF277,XT!AJ277)))</f>
        <v>0</v>
      </c>
      <c r="Z277" t="str">
        <f>IFERROR(INDEX(CHOOSE({1,2,3,4}, DAY(XT!U277), DAY(XT!Y277), DAY(XT!AC277), DAY(XT!AG277)), MATCH(1, INDEX(--(MONTH(CHOOSE({1,2,3,4}, XT!U277,XT!Y277,XT!AC277,XT!AG277))=7), 0), 0)), "")</f>
        <v/>
      </c>
      <c r="AA277" s="12" t="str">
        <f>IF(XT!$P277&gt;0,Z277,"")</f>
        <v/>
      </c>
      <c r="AB277" s="12" t="str">
        <f>IF(XT!$P277=0,Z277,"")</f>
        <v/>
      </c>
      <c r="AC277">
        <f>SUMPRODUCT((MONTH(CHOOSE({1,2,3,4},XT!U277,XT!Y277,XT!AC277,XT!AG277))=8)*(CHOOSE({1,2,3,4},XT!X277,XT!AB277,XT!AF277,XT!AJ277)))</f>
        <v>0</v>
      </c>
      <c r="AD277" t="str">
        <f>IFERROR(INDEX(CHOOSE({1,2,3,4}, DAY(XT!U277), DAY(XT!Y277), DAY(XT!AC277), DAY(XT!AG277)), MATCH(1, INDEX(--(MONTH(CHOOSE({1,2,3,4}, XT!U277,XT!Y277,XT!AC277,XT!AG277))=8), 0), 0)), "")</f>
        <v/>
      </c>
      <c r="AE277" s="12" t="str">
        <f>IF(XT!$P277&gt;0,AD277,"")</f>
        <v/>
      </c>
      <c r="AF277" s="12" t="str">
        <f>IF(XT!$P277=0,AD277,"")</f>
        <v/>
      </c>
      <c r="AG277">
        <f>SUMPRODUCT((MONTH(CHOOSE({1,2,3,4},XT!U277,XT!Y277,XT!AC277,XT!AG277))=9)*(CHOOSE({1,2,3,4},XT!X277,XT!AB277,XT!AF277,XT!AJ277)))</f>
        <v>0</v>
      </c>
      <c r="AH277" t="str">
        <f>IFERROR(INDEX(CHOOSE({1,2,3,4}, DAY(XT!U277), DAY(XT!Y277), DAY(XT!AC277), DAY(XT!AG277)), MATCH(1, INDEX(--(MONTH(CHOOSE({1,2,3,4}, XT!U277,XT!Y277,XT!AC277,XT!AG277))=9), 0), 0)), "")</f>
        <v/>
      </c>
      <c r="AI277" s="12" t="str">
        <f>IF(XT!$P277&gt;0,AH277,"")</f>
        <v/>
      </c>
      <c r="AJ277" s="12" t="str">
        <f>IF(XT!$P277=0,AH277,"")</f>
        <v/>
      </c>
      <c r="AK277">
        <f>SUMPRODUCT((MONTH(CHOOSE({1,2,3,4},XT!U277,XT!Y277,XT!AC277,XT!AG277))=10)*(CHOOSE({1,2,3,4},XT!X277,XT!AB277,XT!AF277,XT!AJ277)))</f>
        <v>0</v>
      </c>
      <c r="AL277" t="str">
        <f>IFERROR(INDEX(CHOOSE({1,2,3,4}, DAY(XT!U277), DAY(XT!Y277), DAY(XT!AC277), DAY(XT!AG277)), MATCH(1, INDEX(--(MONTH(CHOOSE({1,2,3,4}, XT!U277,XT!Y277,XT!AC277,XT!AG277))=10), 0), 0)), "")</f>
        <v/>
      </c>
      <c r="AM277" s="12" t="str">
        <f>IF(XT!$P277&gt;0,AL277,"")</f>
        <v/>
      </c>
      <c r="AN277" s="12" t="str">
        <f>IF(XT!$P277=0,AL277,"")</f>
        <v/>
      </c>
      <c r="AO277">
        <f>SUMPRODUCT((MONTH(CHOOSE({1,2,3,4},XT!U277,XT!Y277,XT!AC277,XT!AG277))=11)*(CHOOSE({1,2,3,4},XT!X277,XT!AB277,XT!AF277,XT!AJ277)))</f>
        <v>0</v>
      </c>
      <c r="AP277" t="str">
        <f>IFERROR(INDEX(CHOOSE({1,2,3,4}, DAY(XT!U277), DAY(XT!Y277), DAY(XT!AC277), DAY(XT!AG277)), MATCH(1, INDEX(--(MONTH(CHOOSE({1,2,3,4}, XT!U277,XT!Y277,XT!AC277,XT!AG277))=11), 0), 0)), "")</f>
        <v/>
      </c>
      <c r="AQ277" s="12" t="str">
        <f>IF(XT!$P277&gt;0,AP277,"")</f>
        <v/>
      </c>
      <c r="AR277" s="12" t="str">
        <f>IF(XT!$P277=0,AP277,"")</f>
        <v/>
      </c>
      <c r="AS277">
        <f>SUMPRODUCT((MONTH(CHOOSE({1,2,3,4},XT!U277,XT!Y277,XT!AC277,XT!AG277))=12)*(CHOOSE({1,2,3,4},XT!X277,XT!AB277,XT!AF277,XT!AJ277)))</f>
        <v>0</v>
      </c>
      <c r="AT277" t="str">
        <f>IFERROR(INDEX(CHOOSE({1,2,3,4}, DAY(XT!U277), DAY(XT!Y277), DAY(XT!AC277), DAY(XT!AG277)), MATCH(1, INDEX(--(MONTH(CHOOSE({1,2,3,4}, XT!U277,XT!Y277,XT!AC277,XT!AG277))=12), 0), 0)), "")</f>
        <v/>
      </c>
      <c r="AU277" s="12" t="str">
        <f>IF(XT!$P277&gt;0,AT277,"")</f>
        <v/>
      </c>
      <c r="AV277" s="12" t="str">
        <f>IF(XT!$P277=0,AT277,"")</f>
        <v/>
      </c>
    </row>
    <row r="278" spans="1:48">
      <c r="A278">
        <f>SUMPRODUCT((MONTH(CHOOSE({1,2,3,4},XT!U278,XT!Y278,XT!AC278,XT!AG278))=1)*(CHOOSE({1,2,3,4},XT!X278,XT!AB278,XT!AF278,XT!AJ278)))</f>
        <v>0</v>
      </c>
      <c r="B278">
        <f>IFERROR(INDEX(CHOOSE({1,2,3,4}, DAY(XT!U278), DAY(XT!Y278), DAY(XT!AC278), DAY(XT!AG278)), MATCH(1, INDEX(--(MONTH(CHOOSE({1,2,3,4}, XT!U278,XT!Y278,XT!AC278,XT!AG278))=1), 0), 0)), "")</f>
        <v>0</v>
      </c>
      <c r="C278" s="12" t="str">
        <f>IF(XT!$P278&gt;0,B278,"")</f>
        <v/>
      </c>
      <c r="D278" s="12">
        <f>IF(XT!$P278=0,B278,"")</f>
        <v>0</v>
      </c>
      <c r="E278">
        <f>SUMPRODUCT((MONTH(CHOOSE({1,2,3,4},XT!U278,XT!Y278,XT!AC278,XT!AG278))=2)*(CHOOSE({1,2,3,4},XT!X278,XT!AB278,XT!AF278,XT!AJ278)))</f>
        <v>0</v>
      </c>
      <c r="F278" t="str">
        <f>IFERROR(INDEX(CHOOSE({1,2,3,4}, DAY(XT!U278), DAY(XT!Y278), DAY(XT!AC278), DAY(XT!AG278)), MATCH(1, INDEX(--(MONTH(CHOOSE({1,2,3,4}, XT!U278,XT!Y278,XT!AC278,XT!AG278))=2), 0), 0)), "")</f>
        <v/>
      </c>
      <c r="G278" s="12" t="str">
        <f>IF(XT!$P278&gt;0,F278,"")</f>
        <v/>
      </c>
      <c r="H278" s="12" t="str">
        <f>IF(XT!$P278=0,F278,"")</f>
        <v/>
      </c>
      <c r="I278">
        <f>SUMPRODUCT((MONTH(CHOOSE({1,2,3,4},XT!U278,XT!Y278,XT!AC278,XT!AG278))=3)*(CHOOSE({1,2,3,4},XT!X278,XT!AB278,XT!AF278,XT!AJ278)))</f>
        <v>0</v>
      </c>
      <c r="J278" t="str">
        <f>IFERROR(INDEX(CHOOSE({1,2,3,4}, DAY(XT!U278), DAY(XT!Y278), DAY(XT!AC278), DAY(XT!AG278)), MATCH(1, INDEX(--(MONTH(CHOOSE({1,2,3,4}, XT!U278,XT!Y278,XT!AC278,XT!AG278))=3), 0), 0)), "")</f>
        <v/>
      </c>
      <c r="K278" s="12" t="str">
        <f>IF(XT!$P278&gt;0,J278,"")</f>
        <v/>
      </c>
      <c r="L278" s="12" t="str">
        <f>IF(XT!$P278=0,J278,"")</f>
        <v/>
      </c>
      <c r="M278">
        <f>SUMPRODUCT((MONTH(CHOOSE({1,2,3,4},XT!U278,XT!Y278,XT!AC278,XT!AG278))=4)*(CHOOSE({1,2,3,4},XT!X278,XT!AB278,XT!AF278,XT!AJ278)))</f>
        <v>0</v>
      </c>
      <c r="N278" t="str">
        <f>IFERROR(INDEX(CHOOSE({1,2,3,4}, DAY(XT!U278), DAY(XT!Y278), DAY(XT!AC278), DAY(XT!AG278)), MATCH(1, INDEX(--(MONTH(CHOOSE({1,2,3,4}, XT!U278,XT!Y278,XT!AC278,XT!AG278))=4), 0), 0)), "")</f>
        <v/>
      </c>
      <c r="O278" s="12" t="str">
        <f>IF(XT!$P278&gt;0,N278,"")</f>
        <v/>
      </c>
      <c r="P278" s="12" t="str">
        <f>IF(XT!$P278=0,N278,"")</f>
        <v/>
      </c>
      <c r="Q278">
        <f>SUMPRODUCT((MONTH(CHOOSE({1,2,3,4},XT!U278,XT!Y278,XT!AC278,XT!AG278))=5)*(CHOOSE({1,2,3,4},XT!X278,XT!AB278,XT!AF278,XT!AJ278)))</f>
        <v>0</v>
      </c>
      <c r="R278" t="str">
        <f>IFERROR(INDEX(CHOOSE({1,2,3,4}, DAY(XT!U278), DAY(XT!Y278), DAY(XT!AC278), DAY(XT!AG278)), MATCH(1, INDEX(--(MONTH(CHOOSE({1,2,3,4}, XT!U278,XT!Y278,XT!AC278,XT!AG278))=5), 0), 0)), "")</f>
        <v/>
      </c>
      <c r="S278" s="12" t="str">
        <f>IF(XT!$P278&gt;0,R278,"")</f>
        <v/>
      </c>
      <c r="T278" s="12" t="str">
        <f>IF(XT!$P278=0,R278,"")</f>
        <v/>
      </c>
      <c r="U278">
        <f>SUMPRODUCT((MONTH(CHOOSE({1,2,3,4},XT!U278,XT!Y278,XT!AC278,XT!AG278))=6)*(CHOOSE({1,2,3,4},XT!X278,XT!AB278,XT!AF278,XT!AJ278)))</f>
        <v>0</v>
      </c>
      <c r="V278" t="str">
        <f>IFERROR(INDEX(CHOOSE({1,2,3,4}, DAY(XT!U278), DAY(XT!Y278), DAY(XT!AC278), DAY(XT!AG278)), MATCH(1, INDEX(--(MONTH(CHOOSE({1,2,3,4}, XT!U278,XT!Y278,XT!AC278,XT!AG278))=6), 0), 0)), "")</f>
        <v/>
      </c>
      <c r="W278" s="12" t="str">
        <f>IF(XT!$P278&gt;0,V278,"")</f>
        <v/>
      </c>
      <c r="X278" s="12" t="str">
        <f>IF(XT!$P278=0,V278,"")</f>
        <v/>
      </c>
      <c r="Y278">
        <f>SUMPRODUCT((MONTH(CHOOSE({1,2,3,4},XT!U278,XT!Y278,XT!AC278,XT!AG278))=7)*(CHOOSE({1,2,3,4},XT!X278,XT!AB278,XT!AF278,XT!AJ278)))</f>
        <v>0</v>
      </c>
      <c r="Z278" t="str">
        <f>IFERROR(INDEX(CHOOSE({1,2,3,4}, DAY(XT!U278), DAY(XT!Y278), DAY(XT!AC278), DAY(XT!AG278)), MATCH(1, INDEX(--(MONTH(CHOOSE({1,2,3,4}, XT!U278,XT!Y278,XT!AC278,XT!AG278))=7), 0), 0)), "")</f>
        <v/>
      </c>
      <c r="AA278" s="12" t="str">
        <f>IF(XT!$P278&gt;0,Z278,"")</f>
        <v/>
      </c>
      <c r="AB278" s="12" t="str">
        <f>IF(XT!$P278=0,Z278,"")</f>
        <v/>
      </c>
      <c r="AC278">
        <f>SUMPRODUCT((MONTH(CHOOSE({1,2,3,4},XT!U278,XT!Y278,XT!AC278,XT!AG278))=8)*(CHOOSE({1,2,3,4},XT!X278,XT!AB278,XT!AF278,XT!AJ278)))</f>
        <v>0</v>
      </c>
      <c r="AD278" t="str">
        <f>IFERROR(INDEX(CHOOSE({1,2,3,4}, DAY(XT!U278), DAY(XT!Y278), DAY(XT!AC278), DAY(XT!AG278)), MATCH(1, INDEX(--(MONTH(CHOOSE({1,2,3,4}, XT!U278,XT!Y278,XT!AC278,XT!AG278))=8), 0), 0)), "")</f>
        <v/>
      </c>
      <c r="AE278" s="12" t="str">
        <f>IF(XT!$P278&gt;0,AD278,"")</f>
        <v/>
      </c>
      <c r="AF278" s="12" t="str">
        <f>IF(XT!$P278=0,AD278,"")</f>
        <v/>
      </c>
      <c r="AG278">
        <f>SUMPRODUCT((MONTH(CHOOSE({1,2,3,4},XT!U278,XT!Y278,XT!AC278,XT!AG278))=9)*(CHOOSE({1,2,3,4},XT!X278,XT!AB278,XT!AF278,XT!AJ278)))</f>
        <v>0</v>
      </c>
      <c r="AH278" t="str">
        <f>IFERROR(INDEX(CHOOSE({1,2,3,4}, DAY(XT!U278), DAY(XT!Y278), DAY(XT!AC278), DAY(XT!AG278)), MATCH(1, INDEX(--(MONTH(CHOOSE({1,2,3,4}, XT!U278,XT!Y278,XT!AC278,XT!AG278))=9), 0), 0)), "")</f>
        <v/>
      </c>
      <c r="AI278" s="12" t="str">
        <f>IF(XT!$P278&gt;0,AH278,"")</f>
        <v/>
      </c>
      <c r="AJ278" s="12" t="str">
        <f>IF(XT!$P278=0,AH278,"")</f>
        <v/>
      </c>
      <c r="AK278">
        <f>SUMPRODUCT((MONTH(CHOOSE({1,2,3,4},XT!U278,XT!Y278,XT!AC278,XT!AG278))=10)*(CHOOSE({1,2,3,4},XT!X278,XT!AB278,XT!AF278,XT!AJ278)))</f>
        <v>0</v>
      </c>
      <c r="AL278" t="str">
        <f>IFERROR(INDEX(CHOOSE({1,2,3,4}, DAY(XT!U278), DAY(XT!Y278), DAY(XT!AC278), DAY(XT!AG278)), MATCH(1, INDEX(--(MONTH(CHOOSE({1,2,3,4}, XT!U278,XT!Y278,XT!AC278,XT!AG278))=10), 0), 0)), "")</f>
        <v/>
      </c>
      <c r="AM278" s="12" t="str">
        <f>IF(XT!$P278&gt;0,AL278,"")</f>
        <v/>
      </c>
      <c r="AN278" s="12" t="str">
        <f>IF(XT!$P278=0,AL278,"")</f>
        <v/>
      </c>
      <c r="AO278">
        <f>SUMPRODUCT((MONTH(CHOOSE({1,2,3,4},XT!U278,XT!Y278,XT!AC278,XT!AG278))=11)*(CHOOSE({1,2,3,4},XT!X278,XT!AB278,XT!AF278,XT!AJ278)))</f>
        <v>0</v>
      </c>
      <c r="AP278" t="str">
        <f>IFERROR(INDEX(CHOOSE({1,2,3,4}, DAY(XT!U278), DAY(XT!Y278), DAY(XT!AC278), DAY(XT!AG278)), MATCH(1, INDEX(--(MONTH(CHOOSE({1,2,3,4}, XT!U278,XT!Y278,XT!AC278,XT!AG278))=11), 0), 0)), "")</f>
        <v/>
      </c>
      <c r="AQ278" s="12" t="str">
        <f>IF(XT!$P278&gt;0,AP278,"")</f>
        <v/>
      </c>
      <c r="AR278" s="12" t="str">
        <f>IF(XT!$P278=0,AP278,"")</f>
        <v/>
      </c>
      <c r="AS278">
        <f>SUMPRODUCT((MONTH(CHOOSE({1,2,3,4},XT!U278,XT!Y278,XT!AC278,XT!AG278))=12)*(CHOOSE({1,2,3,4},XT!X278,XT!AB278,XT!AF278,XT!AJ278)))</f>
        <v>0</v>
      </c>
      <c r="AT278" t="str">
        <f>IFERROR(INDEX(CHOOSE({1,2,3,4}, DAY(XT!U278), DAY(XT!Y278), DAY(XT!AC278), DAY(XT!AG278)), MATCH(1, INDEX(--(MONTH(CHOOSE({1,2,3,4}, XT!U278,XT!Y278,XT!AC278,XT!AG278))=12), 0), 0)), "")</f>
        <v/>
      </c>
      <c r="AU278" s="12" t="str">
        <f>IF(XT!$P278&gt;0,AT278,"")</f>
        <v/>
      </c>
      <c r="AV278" s="12" t="str">
        <f>IF(XT!$P278=0,AT278,"")</f>
        <v/>
      </c>
    </row>
    <row r="279" spans="1:48">
      <c r="A279">
        <f>SUMPRODUCT((MONTH(CHOOSE({1,2,3,4},XT!U279,XT!Y279,XT!AC279,XT!AG279))=1)*(CHOOSE({1,2,3,4},XT!X279,XT!AB279,XT!AF279,XT!AJ279)))</f>
        <v>0</v>
      </c>
      <c r="B279">
        <f>IFERROR(INDEX(CHOOSE({1,2,3,4}, DAY(XT!U279), DAY(XT!Y279), DAY(XT!AC279), DAY(XT!AG279)), MATCH(1, INDEX(--(MONTH(CHOOSE({1,2,3,4}, XT!U279,XT!Y279,XT!AC279,XT!AG279))=1), 0), 0)), "")</f>
        <v>0</v>
      </c>
      <c r="C279" s="12" t="str">
        <f>IF(XT!$P279&gt;0,B279,"")</f>
        <v/>
      </c>
      <c r="D279" s="12">
        <f>IF(XT!$P279=0,B279,"")</f>
        <v>0</v>
      </c>
      <c r="E279">
        <f>SUMPRODUCT((MONTH(CHOOSE({1,2,3,4},XT!U279,XT!Y279,XT!AC279,XT!AG279))=2)*(CHOOSE({1,2,3,4},XT!X279,XT!AB279,XT!AF279,XT!AJ279)))</f>
        <v>0</v>
      </c>
      <c r="F279" t="str">
        <f>IFERROR(INDEX(CHOOSE({1,2,3,4}, DAY(XT!U279), DAY(XT!Y279), DAY(XT!AC279), DAY(XT!AG279)), MATCH(1, INDEX(--(MONTH(CHOOSE({1,2,3,4}, XT!U279,XT!Y279,XT!AC279,XT!AG279))=2), 0), 0)), "")</f>
        <v/>
      </c>
      <c r="G279" s="12" t="str">
        <f>IF(XT!$P279&gt;0,F279,"")</f>
        <v/>
      </c>
      <c r="H279" s="12" t="str">
        <f>IF(XT!$P279=0,F279,"")</f>
        <v/>
      </c>
      <c r="I279">
        <f>SUMPRODUCT((MONTH(CHOOSE({1,2,3,4},XT!U279,XT!Y279,XT!AC279,XT!AG279))=3)*(CHOOSE({1,2,3,4},XT!X279,XT!AB279,XT!AF279,XT!AJ279)))</f>
        <v>0</v>
      </c>
      <c r="J279" t="str">
        <f>IFERROR(INDEX(CHOOSE({1,2,3,4}, DAY(XT!U279), DAY(XT!Y279), DAY(XT!AC279), DAY(XT!AG279)), MATCH(1, INDEX(--(MONTH(CHOOSE({1,2,3,4}, XT!U279,XT!Y279,XT!AC279,XT!AG279))=3), 0), 0)), "")</f>
        <v/>
      </c>
      <c r="K279" s="12" t="str">
        <f>IF(XT!$P279&gt;0,J279,"")</f>
        <v/>
      </c>
      <c r="L279" s="12" t="str">
        <f>IF(XT!$P279=0,J279,"")</f>
        <v/>
      </c>
      <c r="M279">
        <f>SUMPRODUCT((MONTH(CHOOSE({1,2,3,4},XT!U279,XT!Y279,XT!AC279,XT!AG279))=4)*(CHOOSE({1,2,3,4},XT!X279,XT!AB279,XT!AF279,XT!AJ279)))</f>
        <v>0</v>
      </c>
      <c r="N279" t="str">
        <f>IFERROR(INDEX(CHOOSE({1,2,3,4}, DAY(XT!U279), DAY(XT!Y279), DAY(XT!AC279), DAY(XT!AG279)), MATCH(1, INDEX(--(MONTH(CHOOSE({1,2,3,4}, XT!U279,XT!Y279,XT!AC279,XT!AG279))=4), 0), 0)), "")</f>
        <v/>
      </c>
      <c r="O279" s="12" t="str">
        <f>IF(XT!$P279&gt;0,N279,"")</f>
        <v/>
      </c>
      <c r="P279" s="12" t="str">
        <f>IF(XT!$P279=0,N279,"")</f>
        <v/>
      </c>
      <c r="Q279">
        <f>SUMPRODUCT((MONTH(CHOOSE({1,2,3,4},XT!U279,XT!Y279,XT!AC279,XT!AG279))=5)*(CHOOSE({1,2,3,4},XT!X279,XT!AB279,XT!AF279,XT!AJ279)))</f>
        <v>0</v>
      </c>
      <c r="R279" t="str">
        <f>IFERROR(INDEX(CHOOSE({1,2,3,4}, DAY(XT!U279), DAY(XT!Y279), DAY(XT!AC279), DAY(XT!AG279)), MATCH(1, INDEX(--(MONTH(CHOOSE({1,2,3,4}, XT!U279,XT!Y279,XT!AC279,XT!AG279))=5), 0), 0)), "")</f>
        <v/>
      </c>
      <c r="S279" s="12" t="str">
        <f>IF(XT!$P279&gt;0,R279,"")</f>
        <v/>
      </c>
      <c r="T279" s="12" t="str">
        <f>IF(XT!$P279=0,R279,"")</f>
        <v/>
      </c>
      <c r="U279">
        <f>SUMPRODUCT((MONTH(CHOOSE({1,2,3,4},XT!U279,XT!Y279,XT!AC279,XT!AG279))=6)*(CHOOSE({1,2,3,4},XT!X279,XT!AB279,XT!AF279,XT!AJ279)))</f>
        <v>0</v>
      </c>
      <c r="V279" t="str">
        <f>IFERROR(INDEX(CHOOSE({1,2,3,4}, DAY(XT!U279), DAY(XT!Y279), DAY(XT!AC279), DAY(XT!AG279)), MATCH(1, INDEX(--(MONTH(CHOOSE({1,2,3,4}, XT!U279,XT!Y279,XT!AC279,XT!AG279))=6), 0), 0)), "")</f>
        <v/>
      </c>
      <c r="W279" s="12" t="str">
        <f>IF(XT!$P279&gt;0,V279,"")</f>
        <v/>
      </c>
      <c r="X279" s="12" t="str">
        <f>IF(XT!$P279=0,V279,"")</f>
        <v/>
      </c>
      <c r="Y279">
        <f>SUMPRODUCT((MONTH(CHOOSE({1,2,3,4},XT!U279,XT!Y279,XT!AC279,XT!AG279))=7)*(CHOOSE({1,2,3,4},XT!X279,XT!AB279,XT!AF279,XT!AJ279)))</f>
        <v>0</v>
      </c>
      <c r="Z279" t="str">
        <f>IFERROR(INDEX(CHOOSE({1,2,3,4}, DAY(XT!U279), DAY(XT!Y279), DAY(XT!AC279), DAY(XT!AG279)), MATCH(1, INDEX(--(MONTH(CHOOSE({1,2,3,4}, XT!U279,XT!Y279,XT!AC279,XT!AG279))=7), 0), 0)), "")</f>
        <v/>
      </c>
      <c r="AA279" s="12" t="str">
        <f>IF(XT!$P279&gt;0,Z279,"")</f>
        <v/>
      </c>
      <c r="AB279" s="12" t="str">
        <f>IF(XT!$P279=0,Z279,"")</f>
        <v/>
      </c>
      <c r="AC279">
        <f>SUMPRODUCT((MONTH(CHOOSE({1,2,3,4},XT!U279,XT!Y279,XT!AC279,XT!AG279))=8)*(CHOOSE({1,2,3,4},XT!X279,XT!AB279,XT!AF279,XT!AJ279)))</f>
        <v>0</v>
      </c>
      <c r="AD279" t="str">
        <f>IFERROR(INDEX(CHOOSE({1,2,3,4}, DAY(XT!U279), DAY(XT!Y279), DAY(XT!AC279), DAY(XT!AG279)), MATCH(1, INDEX(--(MONTH(CHOOSE({1,2,3,4}, XT!U279,XT!Y279,XT!AC279,XT!AG279))=8), 0), 0)), "")</f>
        <v/>
      </c>
      <c r="AE279" s="12" t="str">
        <f>IF(XT!$P279&gt;0,AD279,"")</f>
        <v/>
      </c>
      <c r="AF279" s="12" t="str">
        <f>IF(XT!$P279=0,AD279,"")</f>
        <v/>
      </c>
      <c r="AG279">
        <f>SUMPRODUCT((MONTH(CHOOSE({1,2,3,4},XT!U279,XT!Y279,XT!AC279,XT!AG279))=9)*(CHOOSE({1,2,3,4},XT!X279,XT!AB279,XT!AF279,XT!AJ279)))</f>
        <v>0</v>
      </c>
      <c r="AH279" t="str">
        <f>IFERROR(INDEX(CHOOSE({1,2,3,4}, DAY(XT!U279), DAY(XT!Y279), DAY(XT!AC279), DAY(XT!AG279)), MATCH(1, INDEX(--(MONTH(CHOOSE({1,2,3,4}, XT!U279,XT!Y279,XT!AC279,XT!AG279))=9), 0), 0)), "")</f>
        <v/>
      </c>
      <c r="AI279" s="12" t="str">
        <f>IF(XT!$P279&gt;0,AH279,"")</f>
        <v/>
      </c>
      <c r="AJ279" s="12" t="str">
        <f>IF(XT!$P279=0,AH279,"")</f>
        <v/>
      </c>
      <c r="AK279">
        <f>SUMPRODUCT((MONTH(CHOOSE({1,2,3,4},XT!U279,XT!Y279,XT!AC279,XT!AG279))=10)*(CHOOSE({1,2,3,4},XT!X279,XT!AB279,XT!AF279,XT!AJ279)))</f>
        <v>0</v>
      </c>
      <c r="AL279" t="str">
        <f>IFERROR(INDEX(CHOOSE({1,2,3,4}, DAY(XT!U279), DAY(XT!Y279), DAY(XT!AC279), DAY(XT!AG279)), MATCH(1, INDEX(--(MONTH(CHOOSE({1,2,3,4}, XT!U279,XT!Y279,XT!AC279,XT!AG279))=10), 0), 0)), "")</f>
        <v/>
      </c>
      <c r="AM279" s="12" t="str">
        <f>IF(XT!$P279&gt;0,AL279,"")</f>
        <v/>
      </c>
      <c r="AN279" s="12" t="str">
        <f>IF(XT!$P279=0,AL279,"")</f>
        <v/>
      </c>
      <c r="AO279">
        <f>SUMPRODUCT((MONTH(CHOOSE({1,2,3,4},XT!U279,XT!Y279,XT!AC279,XT!AG279))=11)*(CHOOSE({1,2,3,4},XT!X279,XT!AB279,XT!AF279,XT!AJ279)))</f>
        <v>0</v>
      </c>
      <c r="AP279" t="str">
        <f>IFERROR(INDEX(CHOOSE({1,2,3,4}, DAY(XT!U279), DAY(XT!Y279), DAY(XT!AC279), DAY(XT!AG279)), MATCH(1, INDEX(--(MONTH(CHOOSE({1,2,3,4}, XT!U279,XT!Y279,XT!AC279,XT!AG279))=11), 0), 0)), "")</f>
        <v/>
      </c>
      <c r="AQ279" s="12" t="str">
        <f>IF(XT!$P279&gt;0,AP279,"")</f>
        <v/>
      </c>
      <c r="AR279" s="12" t="str">
        <f>IF(XT!$P279=0,AP279,"")</f>
        <v/>
      </c>
      <c r="AS279">
        <f>SUMPRODUCT((MONTH(CHOOSE({1,2,3,4},XT!U279,XT!Y279,XT!AC279,XT!AG279))=12)*(CHOOSE({1,2,3,4},XT!X279,XT!AB279,XT!AF279,XT!AJ279)))</f>
        <v>0</v>
      </c>
      <c r="AT279" t="str">
        <f>IFERROR(INDEX(CHOOSE({1,2,3,4}, DAY(XT!U279), DAY(XT!Y279), DAY(XT!AC279), DAY(XT!AG279)), MATCH(1, INDEX(--(MONTH(CHOOSE({1,2,3,4}, XT!U279,XT!Y279,XT!AC279,XT!AG279))=12), 0), 0)), "")</f>
        <v/>
      </c>
      <c r="AU279" s="12" t="str">
        <f>IF(XT!$P279&gt;0,AT279,"")</f>
        <v/>
      </c>
      <c r="AV279" s="12" t="str">
        <f>IF(XT!$P279=0,AT279,"")</f>
        <v/>
      </c>
    </row>
    <row r="280" spans="1:48">
      <c r="A280">
        <f>SUMPRODUCT((MONTH(CHOOSE({1,2,3,4},XT!U280,XT!Y280,XT!AC280,XT!AG280))=1)*(CHOOSE({1,2,3,4},XT!X280,XT!AB280,XT!AF280,XT!AJ280)))</f>
        <v>0</v>
      </c>
      <c r="B280">
        <f>IFERROR(INDEX(CHOOSE({1,2,3,4}, DAY(XT!U280), DAY(XT!Y280), DAY(XT!AC280), DAY(XT!AG280)), MATCH(1, INDEX(--(MONTH(CHOOSE({1,2,3,4}, XT!U280,XT!Y280,XT!AC280,XT!AG280))=1), 0), 0)), "")</f>
        <v>0</v>
      </c>
      <c r="C280" s="12" t="str">
        <f>IF(XT!$P280&gt;0,B280,"")</f>
        <v/>
      </c>
      <c r="D280" s="12">
        <f>IF(XT!$P280=0,B280,"")</f>
        <v>0</v>
      </c>
      <c r="E280">
        <f>SUMPRODUCT((MONTH(CHOOSE({1,2,3,4},XT!U280,XT!Y280,XT!AC280,XT!AG280))=2)*(CHOOSE({1,2,3,4},XT!X280,XT!AB280,XT!AF280,XT!AJ280)))</f>
        <v>0</v>
      </c>
      <c r="F280" t="str">
        <f>IFERROR(INDEX(CHOOSE({1,2,3,4}, DAY(XT!U280), DAY(XT!Y280), DAY(XT!AC280), DAY(XT!AG280)), MATCH(1, INDEX(--(MONTH(CHOOSE({1,2,3,4}, XT!U280,XT!Y280,XT!AC280,XT!AG280))=2), 0), 0)), "")</f>
        <v/>
      </c>
      <c r="G280" s="12" t="str">
        <f>IF(XT!$P280&gt;0,F280,"")</f>
        <v/>
      </c>
      <c r="H280" s="12" t="str">
        <f>IF(XT!$P280=0,F280,"")</f>
        <v/>
      </c>
      <c r="I280">
        <f>SUMPRODUCT((MONTH(CHOOSE({1,2,3,4},XT!U280,XT!Y280,XT!AC280,XT!AG280))=3)*(CHOOSE({1,2,3,4},XT!X280,XT!AB280,XT!AF280,XT!AJ280)))</f>
        <v>0</v>
      </c>
      <c r="J280" t="str">
        <f>IFERROR(INDEX(CHOOSE({1,2,3,4}, DAY(XT!U280), DAY(XT!Y280), DAY(XT!AC280), DAY(XT!AG280)), MATCH(1, INDEX(--(MONTH(CHOOSE({1,2,3,4}, XT!U280,XT!Y280,XT!AC280,XT!AG280))=3), 0), 0)), "")</f>
        <v/>
      </c>
      <c r="K280" s="12" t="str">
        <f>IF(XT!$P280&gt;0,J280,"")</f>
        <v/>
      </c>
      <c r="L280" s="12" t="str">
        <f>IF(XT!$P280=0,J280,"")</f>
        <v/>
      </c>
      <c r="M280">
        <f>SUMPRODUCT((MONTH(CHOOSE({1,2,3,4},XT!U280,XT!Y280,XT!AC280,XT!AG280))=4)*(CHOOSE({1,2,3,4},XT!X280,XT!AB280,XT!AF280,XT!AJ280)))</f>
        <v>0</v>
      </c>
      <c r="N280" t="str">
        <f>IFERROR(INDEX(CHOOSE({1,2,3,4}, DAY(XT!U280), DAY(XT!Y280), DAY(XT!AC280), DAY(XT!AG280)), MATCH(1, INDEX(--(MONTH(CHOOSE({1,2,3,4}, XT!U280,XT!Y280,XT!AC280,XT!AG280))=4), 0), 0)), "")</f>
        <v/>
      </c>
      <c r="O280" s="12" t="str">
        <f>IF(XT!$P280&gt;0,N280,"")</f>
        <v/>
      </c>
      <c r="P280" s="12" t="str">
        <f>IF(XT!$P280=0,N280,"")</f>
        <v/>
      </c>
      <c r="Q280">
        <f>SUMPRODUCT((MONTH(CHOOSE({1,2,3,4},XT!U280,XT!Y280,XT!AC280,XT!AG280))=5)*(CHOOSE({1,2,3,4},XT!X280,XT!AB280,XT!AF280,XT!AJ280)))</f>
        <v>0</v>
      </c>
      <c r="R280" t="str">
        <f>IFERROR(INDEX(CHOOSE({1,2,3,4}, DAY(XT!U280), DAY(XT!Y280), DAY(XT!AC280), DAY(XT!AG280)), MATCH(1, INDEX(--(MONTH(CHOOSE({1,2,3,4}, XT!U280,XT!Y280,XT!AC280,XT!AG280))=5), 0), 0)), "")</f>
        <v/>
      </c>
      <c r="S280" s="12" t="str">
        <f>IF(XT!$P280&gt;0,R280,"")</f>
        <v/>
      </c>
      <c r="T280" s="12" t="str">
        <f>IF(XT!$P280=0,R280,"")</f>
        <v/>
      </c>
      <c r="U280">
        <f>SUMPRODUCT((MONTH(CHOOSE({1,2,3,4},XT!U280,XT!Y280,XT!AC280,XT!AG280))=6)*(CHOOSE({1,2,3,4},XT!X280,XT!AB280,XT!AF280,XT!AJ280)))</f>
        <v>0</v>
      </c>
      <c r="V280" t="str">
        <f>IFERROR(INDEX(CHOOSE({1,2,3,4}, DAY(XT!U280), DAY(XT!Y280), DAY(XT!AC280), DAY(XT!AG280)), MATCH(1, INDEX(--(MONTH(CHOOSE({1,2,3,4}, XT!U280,XT!Y280,XT!AC280,XT!AG280))=6), 0), 0)), "")</f>
        <v/>
      </c>
      <c r="W280" s="12" t="str">
        <f>IF(XT!$P280&gt;0,V280,"")</f>
        <v/>
      </c>
      <c r="X280" s="12" t="str">
        <f>IF(XT!$P280=0,V280,"")</f>
        <v/>
      </c>
      <c r="Y280">
        <f>SUMPRODUCT((MONTH(CHOOSE({1,2,3,4},XT!U280,XT!Y280,XT!AC280,XT!AG280))=7)*(CHOOSE({1,2,3,4},XT!X280,XT!AB280,XT!AF280,XT!AJ280)))</f>
        <v>0</v>
      </c>
      <c r="Z280" t="str">
        <f>IFERROR(INDEX(CHOOSE({1,2,3,4}, DAY(XT!U280), DAY(XT!Y280), DAY(XT!AC280), DAY(XT!AG280)), MATCH(1, INDEX(--(MONTH(CHOOSE({1,2,3,4}, XT!U280,XT!Y280,XT!AC280,XT!AG280))=7), 0), 0)), "")</f>
        <v/>
      </c>
      <c r="AA280" s="12" t="str">
        <f>IF(XT!$P280&gt;0,Z280,"")</f>
        <v/>
      </c>
      <c r="AB280" s="12" t="str">
        <f>IF(XT!$P280=0,Z280,"")</f>
        <v/>
      </c>
      <c r="AC280">
        <f>SUMPRODUCT((MONTH(CHOOSE({1,2,3,4},XT!U280,XT!Y280,XT!AC280,XT!AG280))=8)*(CHOOSE({1,2,3,4},XT!X280,XT!AB280,XT!AF280,XT!AJ280)))</f>
        <v>0</v>
      </c>
      <c r="AD280" t="str">
        <f>IFERROR(INDEX(CHOOSE({1,2,3,4}, DAY(XT!U280), DAY(XT!Y280), DAY(XT!AC280), DAY(XT!AG280)), MATCH(1, INDEX(--(MONTH(CHOOSE({1,2,3,4}, XT!U280,XT!Y280,XT!AC280,XT!AG280))=8), 0), 0)), "")</f>
        <v/>
      </c>
      <c r="AE280" s="12" t="str">
        <f>IF(XT!$P280&gt;0,AD280,"")</f>
        <v/>
      </c>
      <c r="AF280" s="12" t="str">
        <f>IF(XT!$P280=0,AD280,"")</f>
        <v/>
      </c>
      <c r="AG280">
        <f>SUMPRODUCT((MONTH(CHOOSE({1,2,3,4},XT!U280,XT!Y280,XT!AC280,XT!AG280))=9)*(CHOOSE({1,2,3,4},XT!X280,XT!AB280,XT!AF280,XT!AJ280)))</f>
        <v>0</v>
      </c>
      <c r="AH280" t="str">
        <f>IFERROR(INDEX(CHOOSE({1,2,3,4}, DAY(XT!U280), DAY(XT!Y280), DAY(XT!AC280), DAY(XT!AG280)), MATCH(1, INDEX(--(MONTH(CHOOSE({1,2,3,4}, XT!U280,XT!Y280,XT!AC280,XT!AG280))=9), 0), 0)), "")</f>
        <v/>
      </c>
      <c r="AI280" s="12" t="str">
        <f>IF(XT!$P280&gt;0,AH280,"")</f>
        <v/>
      </c>
      <c r="AJ280" s="12" t="str">
        <f>IF(XT!$P280=0,AH280,"")</f>
        <v/>
      </c>
      <c r="AK280">
        <f>SUMPRODUCT((MONTH(CHOOSE({1,2,3,4},XT!U280,XT!Y280,XT!AC280,XT!AG280))=10)*(CHOOSE({1,2,3,4},XT!X280,XT!AB280,XT!AF280,XT!AJ280)))</f>
        <v>0</v>
      </c>
      <c r="AL280" t="str">
        <f>IFERROR(INDEX(CHOOSE({1,2,3,4}, DAY(XT!U280), DAY(XT!Y280), DAY(XT!AC280), DAY(XT!AG280)), MATCH(1, INDEX(--(MONTH(CHOOSE({1,2,3,4}, XT!U280,XT!Y280,XT!AC280,XT!AG280))=10), 0), 0)), "")</f>
        <v/>
      </c>
      <c r="AM280" s="12" t="str">
        <f>IF(XT!$P280&gt;0,AL280,"")</f>
        <v/>
      </c>
      <c r="AN280" s="12" t="str">
        <f>IF(XT!$P280=0,AL280,"")</f>
        <v/>
      </c>
      <c r="AO280">
        <f>SUMPRODUCT((MONTH(CHOOSE({1,2,3,4},XT!U280,XT!Y280,XT!AC280,XT!AG280))=11)*(CHOOSE({1,2,3,4},XT!X280,XT!AB280,XT!AF280,XT!AJ280)))</f>
        <v>0</v>
      </c>
      <c r="AP280" t="str">
        <f>IFERROR(INDEX(CHOOSE({1,2,3,4}, DAY(XT!U280), DAY(XT!Y280), DAY(XT!AC280), DAY(XT!AG280)), MATCH(1, INDEX(--(MONTH(CHOOSE({1,2,3,4}, XT!U280,XT!Y280,XT!AC280,XT!AG280))=11), 0), 0)), "")</f>
        <v/>
      </c>
      <c r="AQ280" s="12" t="str">
        <f>IF(XT!$P280&gt;0,AP280,"")</f>
        <v/>
      </c>
      <c r="AR280" s="12" t="str">
        <f>IF(XT!$P280=0,AP280,"")</f>
        <v/>
      </c>
      <c r="AS280">
        <f>SUMPRODUCT((MONTH(CHOOSE({1,2,3,4},XT!U280,XT!Y280,XT!AC280,XT!AG280))=12)*(CHOOSE({1,2,3,4},XT!X280,XT!AB280,XT!AF280,XT!AJ280)))</f>
        <v>0</v>
      </c>
      <c r="AT280" t="str">
        <f>IFERROR(INDEX(CHOOSE({1,2,3,4}, DAY(XT!U280), DAY(XT!Y280), DAY(XT!AC280), DAY(XT!AG280)), MATCH(1, INDEX(--(MONTH(CHOOSE({1,2,3,4}, XT!U280,XT!Y280,XT!AC280,XT!AG280))=12), 0), 0)), "")</f>
        <v/>
      </c>
      <c r="AU280" s="12" t="str">
        <f>IF(XT!$P280&gt;0,AT280,"")</f>
        <v/>
      </c>
      <c r="AV280" s="12" t="str">
        <f>IF(XT!$P280=0,AT280,"")</f>
        <v/>
      </c>
    </row>
    <row r="281" spans="1:48">
      <c r="A281">
        <f>SUMPRODUCT((MONTH(CHOOSE({1,2,3,4},XT!U281,XT!Y281,XT!AC281,XT!AG281))=1)*(CHOOSE({1,2,3,4},XT!X281,XT!AB281,XT!AF281,XT!AJ281)))</f>
        <v>0</v>
      </c>
      <c r="B281">
        <f>IFERROR(INDEX(CHOOSE({1,2,3,4}, DAY(XT!U281), DAY(XT!Y281), DAY(XT!AC281), DAY(XT!AG281)), MATCH(1, INDEX(--(MONTH(CHOOSE({1,2,3,4}, XT!U281,XT!Y281,XT!AC281,XT!AG281))=1), 0), 0)), "")</f>
        <v>0</v>
      </c>
      <c r="C281" s="12" t="str">
        <f>IF(XT!$P281&gt;0,B281,"")</f>
        <v/>
      </c>
      <c r="D281" s="12">
        <f>IF(XT!$P281=0,B281,"")</f>
        <v>0</v>
      </c>
      <c r="E281">
        <f>SUMPRODUCT((MONTH(CHOOSE({1,2,3,4},XT!U281,XT!Y281,XT!AC281,XT!AG281))=2)*(CHOOSE({1,2,3,4},XT!X281,XT!AB281,XT!AF281,XT!AJ281)))</f>
        <v>0</v>
      </c>
      <c r="F281" t="str">
        <f>IFERROR(INDEX(CHOOSE({1,2,3,4}, DAY(XT!U281), DAY(XT!Y281), DAY(XT!AC281), DAY(XT!AG281)), MATCH(1, INDEX(--(MONTH(CHOOSE({1,2,3,4}, XT!U281,XT!Y281,XT!AC281,XT!AG281))=2), 0), 0)), "")</f>
        <v/>
      </c>
      <c r="G281" s="12" t="str">
        <f>IF(XT!$P281&gt;0,F281,"")</f>
        <v/>
      </c>
      <c r="H281" s="12" t="str">
        <f>IF(XT!$P281=0,F281,"")</f>
        <v/>
      </c>
      <c r="I281">
        <f>SUMPRODUCT((MONTH(CHOOSE({1,2,3,4},XT!U281,XT!Y281,XT!AC281,XT!AG281))=3)*(CHOOSE({1,2,3,4},XT!X281,XT!AB281,XT!AF281,XT!AJ281)))</f>
        <v>0</v>
      </c>
      <c r="J281" t="str">
        <f>IFERROR(INDEX(CHOOSE({1,2,3,4}, DAY(XT!U281), DAY(XT!Y281), DAY(XT!AC281), DAY(XT!AG281)), MATCH(1, INDEX(--(MONTH(CHOOSE({1,2,3,4}, XT!U281,XT!Y281,XT!AC281,XT!AG281))=3), 0), 0)), "")</f>
        <v/>
      </c>
      <c r="K281" s="12" t="str">
        <f>IF(XT!$P281&gt;0,J281,"")</f>
        <v/>
      </c>
      <c r="L281" s="12" t="str">
        <f>IF(XT!$P281=0,J281,"")</f>
        <v/>
      </c>
      <c r="M281">
        <f>SUMPRODUCT((MONTH(CHOOSE({1,2,3,4},XT!U281,XT!Y281,XT!AC281,XT!AG281))=4)*(CHOOSE({1,2,3,4},XT!X281,XT!AB281,XT!AF281,XT!AJ281)))</f>
        <v>0</v>
      </c>
      <c r="N281" t="str">
        <f>IFERROR(INDEX(CHOOSE({1,2,3,4}, DAY(XT!U281), DAY(XT!Y281), DAY(XT!AC281), DAY(XT!AG281)), MATCH(1, INDEX(--(MONTH(CHOOSE({1,2,3,4}, XT!U281,XT!Y281,XT!AC281,XT!AG281))=4), 0), 0)), "")</f>
        <v/>
      </c>
      <c r="O281" s="12" t="str">
        <f>IF(XT!$P281&gt;0,N281,"")</f>
        <v/>
      </c>
      <c r="P281" s="12" t="str">
        <f>IF(XT!$P281=0,N281,"")</f>
        <v/>
      </c>
      <c r="Q281">
        <f>SUMPRODUCT((MONTH(CHOOSE({1,2,3,4},XT!U281,XT!Y281,XT!AC281,XT!AG281))=5)*(CHOOSE({1,2,3,4},XT!X281,XT!AB281,XT!AF281,XT!AJ281)))</f>
        <v>0</v>
      </c>
      <c r="R281" t="str">
        <f>IFERROR(INDEX(CHOOSE({1,2,3,4}, DAY(XT!U281), DAY(XT!Y281), DAY(XT!AC281), DAY(XT!AG281)), MATCH(1, INDEX(--(MONTH(CHOOSE({1,2,3,4}, XT!U281,XT!Y281,XT!AC281,XT!AG281))=5), 0), 0)), "")</f>
        <v/>
      </c>
      <c r="S281" s="12" t="str">
        <f>IF(XT!$P281&gt;0,R281,"")</f>
        <v/>
      </c>
      <c r="T281" s="12" t="str">
        <f>IF(XT!$P281=0,R281,"")</f>
        <v/>
      </c>
      <c r="U281">
        <f>SUMPRODUCT((MONTH(CHOOSE({1,2,3,4},XT!U281,XT!Y281,XT!AC281,XT!AG281))=6)*(CHOOSE({1,2,3,4},XT!X281,XT!AB281,XT!AF281,XT!AJ281)))</f>
        <v>0</v>
      </c>
      <c r="V281" t="str">
        <f>IFERROR(INDEX(CHOOSE({1,2,3,4}, DAY(XT!U281), DAY(XT!Y281), DAY(XT!AC281), DAY(XT!AG281)), MATCH(1, INDEX(--(MONTH(CHOOSE({1,2,3,4}, XT!U281,XT!Y281,XT!AC281,XT!AG281))=6), 0), 0)), "")</f>
        <v/>
      </c>
      <c r="W281" s="12" t="str">
        <f>IF(XT!$P281&gt;0,V281,"")</f>
        <v/>
      </c>
      <c r="X281" s="12" t="str">
        <f>IF(XT!$P281=0,V281,"")</f>
        <v/>
      </c>
      <c r="Y281">
        <f>SUMPRODUCT((MONTH(CHOOSE({1,2,3,4},XT!U281,XT!Y281,XT!AC281,XT!AG281))=7)*(CHOOSE({1,2,3,4},XT!X281,XT!AB281,XT!AF281,XT!AJ281)))</f>
        <v>0</v>
      </c>
      <c r="Z281" t="str">
        <f>IFERROR(INDEX(CHOOSE({1,2,3,4}, DAY(XT!U281), DAY(XT!Y281), DAY(XT!AC281), DAY(XT!AG281)), MATCH(1, INDEX(--(MONTH(CHOOSE({1,2,3,4}, XT!U281,XT!Y281,XT!AC281,XT!AG281))=7), 0), 0)), "")</f>
        <v/>
      </c>
      <c r="AA281" s="12" t="str">
        <f>IF(XT!$P281&gt;0,Z281,"")</f>
        <v/>
      </c>
      <c r="AB281" s="12" t="str">
        <f>IF(XT!$P281=0,Z281,"")</f>
        <v/>
      </c>
      <c r="AC281">
        <f>SUMPRODUCT((MONTH(CHOOSE({1,2,3,4},XT!U281,XT!Y281,XT!AC281,XT!AG281))=8)*(CHOOSE({1,2,3,4},XT!X281,XT!AB281,XT!AF281,XT!AJ281)))</f>
        <v>0</v>
      </c>
      <c r="AD281" t="str">
        <f>IFERROR(INDEX(CHOOSE({1,2,3,4}, DAY(XT!U281), DAY(XT!Y281), DAY(XT!AC281), DAY(XT!AG281)), MATCH(1, INDEX(--(MONTH(CHOOSE({1,2,3,4}, XT!U281,XT!Y281,XT!AC281,XT!AG281))=8), 0), 0)), "")</f>
        <v/>
      </c>
      <c r="AE281" s="12" t="str">
        <f>IF(XT!$P281&gt;0,AD281,"")</f>
        <v/>
      </c>
      <c r="AF281" s="12" t="str">
        <f>IF(XT!$P281=0,AD281,"")</f>
        <v/>
      </c>
      <c r="AG281">
        <f>SUMPRODUCT((MONTH(CHOOSE({1,2,3,4},XT!U281,XT!Y281,XT!AC281,XT!AG281))=9)*(CHOOSE({1,2,3,4},XT!X281,XT!AB281,XT!AF281,XT!AJ281)))</f>
        <v>0</v>
      </c>
      <c r="AH281" t="str">
        <f>IFERROR(INDEX(CHOOSE({1,2,3,4}, DAY(XT!U281), DAY(XT!Y281), DAY(XT!AC281), DAY(XT!AG281)), MATCH(1, INDEX(--(MONTH(CHOOSE({1,2,3,4}, XT!U281,XT!Y281,XT!AC281,XT!AG281))=9), 0), 0)), "")</f>
        <v/>
      </c>
      <c r="AI281" s="12" t="str">
        <f>IF(XT!$P281&gt;0,AH281,"")</f>
        <v/>
      </c>
      <c r="AJ281" s="12" t="str">
        <f>IF(XT!$P281=0,AH281,"")</f>
        <v/>
      </c>
      <c r="AK281">
        <f>SUMPRODUCT((MONTH(CHOOSE({1,2,3,4},XT!U281,XT!Y281,XT!AC281,XT!AG281))=10)*(CHOOSE({1,2,3,4},XT!X281,XT!AB281,XT!AF281,XT!AJ281)))</f>
        <v>0</v>
      </c>
      <c r="AL281" t="str">
        <f>IFERROR(INDEX(CHOOSE({1,2,3,4}, DAY(XT!U281), DAY(XT!Y281), DAY(XT!AC281), DAY(XT!AG281)), MATCH(1, INDEX(--(MONTH(CHOOSE({1,2,3,4}, XT!U281,XT!Y281,XT!AC281,XT!AG281))=10), 0), 0)), "")</f>
        <v/>
      </c>
      <c r="AM281" s="12" t="str">
        <f>IF(XT!$P281&gt;0,AL281,"")</f>
        <v/>
      </c>
      <c r="AN281" s="12" t="str">
        <f>IF(XT!$P281=0,AL281,"")</f>
        <v/>
      </c>
      <c r="AO281">
        <f>SUMPRODUCT((MONTH(CHOOSE({1,2,3,4},XT!U281,XT!Y281,XT!AC281,XT!AG281))=11)*(CHOOSE({1,2,3,4},XT!X281,XT!AB281,XT!AF281,XT!AJ281)))</f>
        <v>0</v>
      </c>
      <c r="AP281" t="str">
        <f>IFERROR(INDEX(CHOOSE({1,2,3,4}, DAY(XT!U281), DAY(XT!Y281), DAY(XT!AC281), DAY(XT!AG281)), MATCH(1, INDEX(--(MONTH(CHOOSE({1,2,3,4}, XT!U281,XT!Y281,XT!AC281,XT!AG281))=11), 0), 0)), "")</f>
        <v/>
      </c>
      <c r="AQ281" s="12" t="str">
        <f>IF(XT!$P281&gt;0,AP281,"")</f>
        <v/>
      </c>
      <c r="AR281" s="12" t="str">
        <f>IF(XT!$P281=0,AP281,"")</f>
        <v/>
      </c>
      <c r="AS281">
        <f>SUMPRODUCT((MONTH(CHOOSE({1,2,3,4},XT!U281,XT!Y281,XT!AC281,XT!AG281))=12)*(CHOOSE({1,2,3,4},XT!X281,XT!AB281,XT!AF281,XT!AJ281)))</f>
        <v>0</v>
      </c>
      <c r="AT281" t="str">
        <f>IFERROR(INDEX(CHOOSE({1,2,3,4}, DAY(XT!U281), DAY(XT!Y281), DAY(XT!AC281), DAY(XT!AG281)), MATCH(1, INDEX(--(MONTH(CHOOSE({1,2,3,4}, XT!U281,XT!Y281,XT!AC281,XT!AG281))=12), 0), 0)), "")</f>
        <v/>
      </c>
      <c r="AU281" s="12" t="str">
        <f>IF(XT!$P281&gt;0,AT281,"")</f>
        <v/>
      </c>
      <c r="AV281" s="12" t="str">
        <f>IF(XT!$P281=0,AT281,"")</f>
        <v/>
      </c>
    </row>
    <row r="282" spans="1:48">
      <c r="A282">
        <f>SUMPRODUCT((MONTH(CHOOSE({1,2,3,4},XT!U282,XT!Y282,XT!AC282,XT!AG282))=1)*(CHOOSE({1,2,3,4},XT!X282,XT!AB282,XT!AF282,XT!AJ282)))</f>
        <v>0</v>
      </c>
      <c r="B282">
        <f>IFERROR(INDEX(CHOOSE({1,2,3,4}, DAY(XT!U282), DAY(XT!Y282), DAY(XT!AC282), DAY(XT!AG282)), MATCH(1, INDEX(--(MONTH(CHOOSE({1,2,3,4}, XT!U282,XT!Y282,XT!AC282,XT!AG282))=1), 0), 0)), "")</f>
        <v>0</v>
      </c>
      <c r="C282" s="12" t="str">
        <f>IF(XT!$P282&gt;0,B282,"")</f>
        <v/>
      </c>
      <c r="D282" s="12">
        <f>IF(XT!$P282=0,B282,"")</f>
        <v>0</v>
      </c>
      <c r="E282">
        <f>SUMPRODUCT((MONTH(CHOOSE({1,2,3,4},XT!U282,XT!Y282,XT!AC282,XT!AG282))=2)*(CHOOSE({1,2,3,4},XT!X282,XT!AB282,XT!AF282,XT!AJ282)))</f>
        <v>0</v>
      </c>
      <c r="F282" t="str">
        <f>IFERROR(INDEX(CHOOSE({1,2,3,4}, DAY(XT!U282), DAY(XT!Y282), DAY(XT!AC282), DAY(XT!AG282)), MATCH(1, INDEX(--(MONTH(CHOOSE({1,2,3,4}, XT!U282,XT!Y282,XT!AC282,XT!AG282))=2), 0), 0)), "")</f>
        <v/>
      </c>
      <c r="G282" s="12" t="str">
        <f>IF(XT!$P282&gt;0,F282,"")</f>
        <v/>
      </c>
      <c r="H282" s="12" t="str">
        <f>IF(XT!$P282=0,F282,"")</f>
        <v/>
      </c>
      <c r="I282">
        <f>SUMPRODUCT((MONTH(CHOOSE({1,2,3,4},XT!U282,XT!Y282,XT!AC282,XT!AG282))=3)*(CHOOSE({1,2,3,4},XT!X282,XT!AB282,XT!AF282,XT!AJ282)))</f>
        <v>0</v>
      </c>
      <c r="J282" t="str">
        <f>IFERROR(INDEX(CHOOSE({1,2,3,4}, DAY(XT!U282), DAY(XT!Y282), DAY(XT!AC282), DAY(XT!AG282)), MATCH(1, INDEX(--(MONTH(CHOOSE({1,2,3,4}, XT!U282,XT!Y282,XT!AC282,XT!AG282))=3), 0), 0)), "")</f>
        <v/>
      </c>
      <c r="K282" s="12" t="str">
        <f>IF(XT!$P282&gt;0,J282,"")</f>
        <v/>
      </c>
      <c r="L282" s="12" t="str">
        <f>IF(XT!$P282=0,J282,"")</f>
        <v/>
      </c>
      <c r="M282">
        <f>SUMPRODUCT((MONTH(CHOOSE({1,2,3,4},XT!U282,XT!Y282,XT!AC282,XT!AG282))=4)*(CHOOSE({1,2,3,4},XT!X282,XT!AB282,XT!AF282,XT!AJ282)))</f>
        <v>0</v>
      </c>
      <c r="N282" t="str">
        <f>IFERROR(INDEX(CHOOSE({1,2,3,4}, DAY(XT!U282), DAY(XT!Y282), DAY(XT!AC282), DAY(XT!AG282)), MATCH(1, INDEX(--(MONTH(CHOOSE({1,2,3,4}, XT!U282,XT!Y282,XT!AC282,XT!AG282))=4), 0), 0)), "")</f>
        <v/>
      </c>
      <c r="O282" s="12" t="str">
        <f>IF(XT!$P282&gt;0,N282,"")</f>
        <v/>
      </c>
      <c r="P282" s="12" t="str">
        <f>IF(XT!$P282=0,N282,"")</f>
        <v/>
      </c>
      <c r="Q282">
        <f>SUMPRODUCT((MONTH(CHOOSE({1,2,3,4},XT!U282,XT!Y282,XT!AC282,XT!AG282))=5)*(CHOOSE({1,2,3,4},XT!X282,XT!AB282,XT!AF282,XT!AJ282)))</f>
        <v>0</v>
      </c>
      <c r="R282" t="str">
        <f>IFERROR(INDEX(CHOOSE({1,2,3,4}, DAY(XT!U282), DAY(XT!Y282), DAY(XT!AC282), DAY(XT!AG282)), MATCH(1, INDEX(--(MONTH(CHOOSE({1,2,3,4}, XT!U282,XT!Y282,XT!AC282,XT!AG282))=5), 0), 0)), "")</f>
        <v/>
      </c>
      <c r="S282" s="12" t="str">
        <f>IF(XT!$P282&gt;0,R282,"")</f>
        <v/>
      </c>
      <c r="T282" s="12" t="str">
        <f>IF(XT!$P282=0,R282,"")</f>
        <v/>
      </c>
      <c r="U282">
        <f>SUMPRODUCT((MONTH(CHOOSE({1,2,3,4},XT!U282,XT!Y282,XT!AC282,XT!AG282))=6)*(CHOOSE({1,2,3,4},XT!X282,XT!AB282,XT!AF282,XT!AJ282)))</f>
        <v>0</v>
      </c>
      <c r="V282" t="str">
        <f>IFERROR(INDEX(CHOOSE({1,2,3,4}, DAY(XT!U282), DAY(XT!Y282), DAY(XT!AC282), DAY(XT!AG282)), MATCH(1, INDEX(--(MONTH(CHOOSE({1,2,3,4}, XT!U282,XT!Y282,XT!AC282,XT!AG282))=6), 0), 0)), "")</f>
        <v/>
      </c>
      <c r="W282" s="12" t="str">
        <f>IF(XT!$P282&gt;0,V282,"")</f>
        <v/>
      </c>
      <c r="X282" s="12" t="str">
        <f>IF(XT!$P282=0,V282,"")</f>
        <v/>
      </c>
      <c r="Y282">
        <f>SUMPRODUCT((MONTH(CHOOSE({1,2,3,4},XT!U282,XT!Y282,XT!AC282,XT!AG282))=7)*(CHOOSE({1,2,3,4},XT!X282,XT!AB282,XT!AF282,XT!AJ282)))</f>
        <v>0</v>
      </c>
      <c r="Z282" t="str">
        <f>IFERROR(INDEX(CHOOSE({1,2,3,4}, DAY(XT!U282), DAY(XT!Y282), DAY(XT!AC282), DAY(XT!AG282)), MATCH(1, INDEX(--(MONTH(CHOOSE({1,2,3,4}, XT!U282,XT!Y282,XT!AC282,XT!AG282))=7), 0), 0)), "")</f>
        <v/>
      </c>
      <c r="AA282" s="12" t="str">
        <f>IF(XT!$P282&gt;0,Z282,"")</f>
        <v/>
      </c>
      <c r="AB282" s="12" t="str">
        <f>IF(XT!$P282=0,Z282,"")</f>
        <v/>
      </c>
      <c r="AC282">
        <f>SUMPRODUCT((MONTH(CHOOSE({1,2,3,4},XT!U282,XT!Y282,XT!AC282,XT!AG282))=8)*(CHOOSE({1,2,3,4},XT!X282,XT!AB282,XT!AF282,XT!AJ282)))</f>
        <v>0</v>
      </c>
      <c r="AD282" t="str">
        <f>IFERROR(INDEX(CHOOSE({1,2,3,4}, DAY(XT!U282), DAY(XT!Y282), DAY(XT!AC282), DAY(XT!AG282)), MATCH(1, INDEX(--(MONTH(CHOOSE({1,2,3,4}, XT!U282,XT!Y282,XT!AC282,XT!AG282))=8), 0), 0)), "")</f>
        <v/>
      </c>
      <c r="AE282" s="12" t="str">
        <f>IF(XT!$P282&gt;0,AD282,"")</f>
        <v/>
      </c>
      <c r="AF282" s="12" t="str">
        <f>IF(XT!$P282=0,AD282,"")</f>
        <v/>
      </c>
      <c r="AG282">
        <f>SUMPRODUCT((MONTH(CHOOSE({1,2,3,4},XT!U282,XT!Y282,XT!AC282,XT!AG282))=9)*(CHOOSE({1,2,3,4},XT!X282,XT!AB282,XT!AF282,XT!AJ282)))</f>
        <v>0</v>
      </c>
      <c r="AH282" t="str">
        <f>IFERROR(INDEX(CHOOSE({1,2,3,4}, DAY(XT!U282), DAY(XT!Y282), DAY(XT!AC282), DAY(XT!AG282)), MATCH(1, INDEX(--(MONTH(CHOOSE({1,2,3,4}, XT!U282,XT!Y282,XT!AC282,XT!AG282))=9), 0), 0)), "")</f>
        <v/>
      </c>
      <c r="AI282" s="12" t="str">
        <f>IF(XT!$P282&gt;0,AH282,"")</f>
        <v/>
      </c>
      <c r="AJ282" s="12" t="str">
        <f>IF(XT!$P282=0,AH282,"")</f>
        <v/>
      </c>
      <c r="AK282">
        <f>SUMPRODUCT((MONTH(CHOOSE({1,2,3,4},XT!U282,XT!Y282,XT!AC282,XT!AG282))=10)*(CHOOSE({1,2,3,4},XT!X282,XT!AB282,XT!AF282,XT!AJ282)))</f>
        <v>0</v>
      </c>
      <c r="AL282" t="str">
        <f>IFERROR(INDEX(CHOOSE({1,2,3,4}, DAY(XT!U282), DAY(XT!Y282), DAY(XT!AC282), DAY(XT!AG282)), MATCH(1, INDEX(--(MONTH(CHOOSE({1,2,3,4}, XT!U282,XT!Y282,XT!AC282,XT!AG282))=10), 0), 0)), "")</f>
        <v/>
      </c>
      <c r="AM282" s="12" t="str">
        <f>IF(XT!$P282&gt;0,AL282,"")</f>
        <v/>
      </c>
      <c r="AN282" s="12" t="str">
        <f>IF(XT!$P282=0,AL282,"")</f>
        <v/>
      </c>
      <c r="AO282">
        <f>SUMPRODUCT((MONTH(CHOOSE({1,2,3,4},XT!U282,XT!Y282,XT!AC282,XT!AG282))=11)*(CHOOSE({1,2,3,4},XT!X282,XT!AB282,XT!AF282,XT!AJ282)))</f>
        <v>0</v>
      </c>
      <c r="AP282" t="str">
        <f>IFERROR(INDEX(CHOOSE({1,2,3,4}, DAY(XT!U282), DAY(XT!Y282), DAY(XT!AC282), DAY(XT!AG282)), MATCH(1, INDEX(--(MONTH(CHOOSE({1,2,3,4}, XT!U282,XT!Y282,XT!AC282,XT!AG282))=11), 0), 0)), "")</f>
        <v/>
      </c>
      <c r="AQ282" s="12" t="str">
        <f>IF(XT!$P282&gt;0,AP282,"")</f>
        <v/>
      </c>
      <c r="AR282" s="12" t="str">
        <f>IF(XT!$P282=0,AP282,"")</f>
        <v/>
      </c>
      <c r="AS282">
        <f>SUMPRODUCT((MONTH(CHOOSE({1,2,3,4},XT!U282,XT!Y282,XT!AC282,XT!AG282))=12)*(CHOOSE({1,2,3,4},XT!X282,XT!AB282,XT!AF282,XT!AJ282)))</f>
        <v>0</v>
      </c>
      <c r="AT282" t="str">
        <f>IFERROR(INDEX(CHOOSE({1,2,3,4}, DAY(XT!U282), DAY(XT!Y282), DAY(XT!AC282), DAY(XT!AG282)), MATCH(1, INDEX(--(MONTH(CHOOSE({1,2,3,4}, XT!U282,XT!Y282,XT!AC282,XT!AG282))=12), 0), 0)), "")</f>
        <v/>
      </c>
      <c r="AU282" s="12" t="str">
        <f>IF(XT!$P282&gt;0,AT282,"")</f>
        <v/>
      </c>
      <c r="AV282" s="12" t="str">
        <f>IF(XT!$P282=0,AT282,"")</f>
        <v/>
      </c>
    </row>
    <row r="283" spans="1:48">
      <c r="A283">
        <f>SUMPRODUCT((MONTH(CHOOSE({1,2,3,4},XT!U283,XT!Y283,XT!AC283,XT!AG283))=1)*(CHOOSE({1,2,3,4},XT!X283,XT!AB283,XT!AF283,XT!AJ283)))</f>
        <v>0</v>
      </c>
      <c r="B283">
        <f>IFERROR(INDEX(CHOOSE({1,2,3,4}, DAY(XT!U283), DAY(XT!Y283), DAY(XT!AC283), DAY(XT!AG283)), MATCH(1, INDEX(--(MONTH(CHOOSE({1,2,3,4}, XT!U283,XT!Y283,XT!AC283,XT!AG283))=1), 0), 0)), "")</f>
        <v>0</v>
      </c>
      <c r="C283" s="12" t="str">
        <f>IF(XT!$P283&gt;0,B283,"")</f>
        <v/>
      </c>
      <c r="D283" s="12">
        <f>IF(XT!$P283=0,B283,"")</f>
        <v>0</v>
      </c>
      <c r="E283">
        <f>SUMPRODUCT((MONTH(CHOOSE({1,2,3,4},XT!U283,XT!Y283,XT!AC283,XT!AG283))=2)*(CHOOSE({1,2,3,4},XT!X283,XT!AB283,XT!AF283,XT!AJ283)))</f>
        <v>0</v>
      </c>
      <c r="F283" t="str">
        <f>IFERROR(INDEX(CHOOSE({1,2,3,4}, DAY(XT!U283), DAY(XT!Y283), DAY(XT!AC283), DAY(XT!AG283)), MATCH(1, INDEX(--(MONTH(CHOOSE({1,2,3,4}, XT!U283,XT!Y283,XT!AC283,XT!AG283))=2), 0), 0)), "")</f>
        <v/>
      </c>
      <c r="G283" s="12" t="str">
        <f>IF(XT!$P283&gt;0,F283,"")</f>
        <v/>
      </c>
      <c r="H283" s="12" t="str">
        <f>IF(XT!$P283=0,F283,"")</f>
        <v/>
      </c>
      <c r="I283">
        <f>SUMPRODUCT((MONTH(CHOOSE({1,2,3,4},XT!U283,XT!Y283,XT!AC283,XT!AG283))=3)*(CHOOSE({1,2,3,4},XT!X283,XT!AB283,XT!AF283,XT!AJ283)))</f>
        <v>0</v>
      </c>
      <c r="J283" t="str">
        <f>IFERROR(INDEX(CHOOSE({1,2,3,4}, DAY(XT!U283), DAY(XT!Y283), DAY(XT!AC283), DAY(XT!AG283)), MATCH(1, INDEX(--(MONTH(CHOOSE({1,2,3,4}, XT!U283,XT!Y283,XT!AC283,XT!AG283))=3), 0), 0)), "")</f>
        <v/>
      </c>
      <c r="K283" s="12" t="str">
        <f>IF(XT!$P283&gt;0,J283,"")</f>
        <v/>
      </c>
      <c r="L283" s="12" t="str">
        <f>IF(XT!$P283=0,J283,"")</f>
        <v/>
      </c>
      <c r="M283">
        <f>SUMPRODUCT((MONTH(CHOOSE({1,2,3,4},XT!U283,XT!Y283,XT!AC283,XT!AG283))=4)*(CHOOSE({1,2,3,4},XT!X283,XT!AB283,XT!AF283,XT!AJ283)))</f>
        <v>0</v>
      </c>
      <c r="N283" t="str">
        <f>IFERROR(INDEX(CHOOSE({1,2,3,4}, DAY(XT!U283), DAY(XT!Y283), DAY(XT!AC283), DAY(XT!AG283)), MATCH(1, INDEX(--(MONTH(CHOOSE({1,2,3,4}, XT!U283,XT!Y283,XT!AC283,XT!AG283))=4), 0), 0)), "")</f>
        <v/>
      </c>
      <c r="O283" s="12" t="str">
        <f>IF(XT!$P283&gt;0,N283,"")</f>
        <v/>
      </c>
      <c r="P283" s="12" t="str">
        <f>IF(XT!$P283=0,N283,"")</f>
        <v/>
      </c>
      <c r="Q283">
        <f>SUMPRODUCT((MONTH(CHOOSE({1,2,3,4},XT!U283,XT!Y283,XT!AC283,XT!AG283))=5)*(CHOOSE({1,2,3,4},XT!X283,XT!AB283,XT!AF283,XT!AJ283)))</f>
        <v>0</v>
      </c>
      <c r="R283" t="str">
        <f>IFERROR(INDEX(CHOOSE({1,2,3,4}, DAY(XT!U283), DAY(XT!Y283), DAY(XT!AC283), DAY(XT!AG283)), MATCH(1, INDEX(--(MONTH(CHOOSE({1,2,3,4}, XT!U283,XT!Y283,XT!AC283,XT!AG283))=5), 0), 0)), "")</f>
        <v/>
      </c>
      <c r="S283" s="12" t="str">
        <f>IF(XT!$P283&gt;0,R283,"")</f>
        <v/>
      </c>
      <c r="T283" s="12" t="str">
        <f>IF(XT!$P283=0,R283,"")</f>
        <v/>
      </c>
      <c r="U283">
        <f>SUMPRODUCT((MONTH(CHOOSE({1,2,3,4},XT!U283,XT!Y283,XT!AC283,XT!AG283))=6)*(CHOOSE({1,2,3,4},XT!X283,XT!AB283,XT!AF283,XT!AJ283)))</f>
        <v>0</v>
      </c>
      <c r="V283" t="str">
        <f>IFERROR(INDEX(CHOOSE({1,2,3,4}, DAY(XT!U283), DAY(XT!Y283), DAY(XT!AC283), DAY(XT!AG283)), MATCH(1, INDEX(--(MONTH(CHOOSE({1,2,3,4}, XT!U283,XT!Y283,XT!AC283,XT!AG283))=6), 0), 0)), "")</f>
        <v/>
      </c>
      <c r="W283" s="12" t="str">
        <f>IF(XT!$P283&gt;0,V283,"")</f>
        <v/>
      </c>
      <c r="X283" s="12" t="str">
        <f>IF(XT!$P283=0,V283,"")</f>
        <v/>
      </c>
      <c r="Y283">
        <f>SUMPRODUCT((MONTH(CHOOSE({1,2,3,4},XT!U283,XT!Y283,XT!AC283,XT!AG283))=7)*(CHOOSE({1,2,3,4},XT!X283,XT!AB283,XT!AF283,XT!AJ283)))</f>
        <v>0</v>
      </c>
      <c r="Z283" t="str">
        <f>IFERROR(INDEX(CHOOSE({1,2,3,4}, DAY(XT!U283), DAY(XT!Y283), DAY(XT!AC283), DAY(XT!AG283)), MATCH(1, INDEX(--(MONTH(CHOOSE({1,2,3,4}, XT!U283,XT!Y283,XT!AC283,XT!AG283))=7), 0), 0)), "")</f>
        <v/>
      </c>
      <c r="AA283" s="12" t="str">
        <f>IF(XT!$P283&gt;0,Z283,"")</f>
        <v/>
      </c>
      <c r="AB283" s="12" t="str">
        <f>IF(XT!$P283=0,Z283,"")</f>
        <v/>
      </c>
      <c r="AC283">
        <f>SUMPRODUCT((MONTH(CHOOSE({1,2,3,4},XT!U283,XT!Y283,XT!AC283,XT!AG283))=8)*(CHOOSE({1,2,3,4},XT!X283,XT!AB283,XT!AF283,XT!AJ283)))</f>
        <v>0</v>
      </c>
      <c r="AD283" t="str">
        <f>IFERROR(INDEX(CHOOSE({1,2,3,4}, DAY(XT!U283), DAY(XT!Y283), DAY(XT!AC283), DAY(XT!AG283)), MATCH(1, INDEX(--(MONTH(CHOOSE({1,2,3,4}, XT!U283,XT!Y283,XT!AC283,XT!AG283))=8), 0), 0)), "")</f>
        <v/>
      </c>
      <c r="AE283" s="12" t="str">
        <f>IF(XT!$P283&gt;0,AD283,"")</f>
        <v/>
      </c>
      <c r="AF283" s="12" t="str">
        <f>IF(XT!$P283=0,AD283,"")</f>
        <v/>
      </c>
      <c r="AG283">
        <f>SUMPRODUCT((MONTH(CHOOSE({1,2,3,4},XT!U283,XT!Y283,XT!AC283,XT!AG283))=9)*(CHOOSE({1,2,3,4},XT!X283,XT!AB283,XT!AF283,XT!AJ283)))</f>
        <v>0</v>
      </c>
      <c r="AH283" t="str">
        <f>IFERROR(INDEX(CHOOSE({1,2,3,4}, DAY(XT!U283), DAY(XT!Y283), DAY(XT!AC283), DAY(XT!AG283)), MATCH(1, INDEX(--(MONTH(CHOOSE({1,2,3,4}, XT!U283,XT!Y283,XT!AC283,XT!AG283))=9), 0), 0)), "")</f>
        <v/>
      </c>
      <c r="AI283" s="12" t="str">
        <f>IF(XT!$P283&gt;0,AH283,"")</f>
        <v/>
      </c>
      <c r="AJ283" s="12" t="str">
        <f>IF(XT!$P283=0,AH283,"")</f>
        <v/>
      </c>
      <c r="AK283">
        <f>SUMPRODUCT((MONTH(CHOOSE({1,2,3,4},XT!U283,XT!Y283,XT!AC283,XT!AG283))=10)*(CHOOSE({1,2,3,4},XT!X283,XT!AB283,XT!AF283,XT!AJ283)))</f>
        <v>0</v>
      </c>
      <c r="AL283" t="str">
        <f>IFERROR(INDEX(CHOOSE({1,2,3,4}, DAY(XT!U283), DAY(XT!Y283), DAY(XT!AC283), DAY(XT!AG283)), MATCH(1, INDEX(--(MONTH(CHOOSE({1,2,3,4}, XT!U283,XT!Y283,XT!AC283,XT!AG283))=10), 0), 0)), "")</f>
        <v/>
      </c>
      <c r="AM283" s="12" t="str">
        <f>IF(XT!$P283&gt;0,AL283,"")</f>
        <v/>
      </c>
      <c r="AN283" s="12" t="str">
        <f>IF(XT!$P283=0,AL283,"")</f>
        <v/>
      </c>
      <c r="AO283">
        <f>SUMPRODUCT((MONTH(CHOOSE({1,2,3,4},XT!U283,XT!Y283,XT!AC283,XT!AG283))=11)*(CHOOSE({1,2,3,4},XT!X283,XT!AB283,XT!AF283,XT!AJ283)))</f>
        <v>0</v>
      </c>
      <c r="AP283" t="str">
        <f>IFERROR(INDEX(CHOOSE({1,2,3,4}, DAY(XT!U283), DAY(XT!Y283), DAY(XT!AC283), DAY(XT!AG283)), MATCH(1, INDEX(--(MONTH(CHOOSE({1,2,3,4}, XT!U283,XT!Y283,XT!AC283,XT!AG283))=11), 0), 0)), "")</f>
        <v/>
      </c>
      <c r="AQ283" s="12" t="str">
        <f>IF(XT!$P283&gt;0,AP283,"")</f>
        <v/>
      </c>
      <c r="AR283" s="12" t="str">
        <f>IF(XT!$P283=0,AP283,"")</f>
        <v/>
      </c>
      <c r="AS283">
        <f>SUMPRODUCT((MONTH(CHOOSE({1,2,3,4},XT!U283,XT!Y283,XT!AC283,XT!AG283))=12)*(CHOOSE({1,2,3,4},XT!X283,XT!AB283,XT!AF283,XT!AJ283)))</f>
        <v>0</v>
      </c>
      <c r="AT283" t="str">
        <f>IFERROR(INDEX(CHOOSE({1,2,3,4}, DAY(XT!U283), DAY(XT!Y283), DAY(XT!AC283), DAY(XT!AG283)), MATCH(1, INDEX(--(MONTH(CHOOSE({1,2,3,4}, XT!U283,XT!Y283,XT!AC283,XT!AG283))=12), 0), 0)), "")</f>
        <v/>
      </c>
      <c r="AU283" s="12" t="str">
        <f>IF(XT!$P283&gt;0,AT283,"")</f>
        <v/>
      </c>
      <c r="AV283" s="12" t="str">
        <f>IF(XT!$P283=0,AT283,"")</f>
        <v/>
      </c>
    </row>
    <row r="284" spans="1:48">
      <c r="A284">
        <f>SUMPRODUCT((MONTH(CHOOSE({1,2,3,4},XT!U284,XT!Y284,XT!AC284,XT!AG284))=1)*(CHOOSE({1,2,3,4},XT!X284,XT!AB284,XT!AF284,XT!AJ284)))</f>
        <v>0</v>
      </c>
      <c r="B284">
        <f>IFERROR(INDEX(CHOOSE({1,2,3,4}, DAY(XT!U284), DAY(XT!Y284), DAY(XT!AC284), DAY(XT!AG284)), MATCH(1, INDEX(--(MONTH(CHOOSE({1,2,3,4}, XT!U284,XT!Y284,XT!AC284,XT!AG284))=1), 0), 0)), "")</f>
        <v>0</v>
      </c>
      <c r="C284" s="12" t="str">
        <f>IF(XT!$P284&gt;0,B284,"")</f>
        <v/>
      </c>
      <c r="D284" s="12">
        <f>IF(XT!$P284=0,B284,"")</f>
        <v>0</v>
      </c>
      <c r="E284">
        <f>SUMPRODUCT((MONTH(CHOOSE({1,2,3,4},XT!U284,XT!Y284,XT!AC284,XT!AG284))=2)*(CHOOSE({1,2,3,4},XT!X284,XT!AB284,XT!AF284,XT!AJ284)))</f>
        <v>0</v>
      </c>
      <c r="F284" t="str">
        <f>IFERROR(INDEX(CHOOSE({1,2,3,4}, DAY(XT!U284), DAY(XT!Y284), DAY(XT!AC284), DAY(XT!AG284)), MATCH(1, INDEX(--(MONTH(CHOOSE({1,2,3,4}, XT!U284,XT!Y284,XT!AC284,XT!AG284))=2), 0), 0)), "")</f>
        <v/>
      </c>
      <c r="G284" s="12" t="str">
        <f>IF(XT!$P284&gt;0,F284,"")</f>
        <v/>
      </c>
      <c r="H284" s="12" t="str">
        <f>IF(XT!$P284=0,F284,"")</f>
        <v/>
      </c>
      <c r="I284">
        <f>SUMPRODUCT((MONTH(CHOOSE({1,2,3,4},XT!U284,XT!Y284,XT!AC284,XT!AG284))=3)*(CHOOSE({1,2,3,4},XT!X284,XT!AB284,XT!AF284,XT!AJ284)))</f>
        <v>0</v>
      </c>
      <c r="J284" t="str">
        <f>IFERROR(INDEX(CHOOSE({1,2,3,4}, DAY(XT!U284), DAY(XT!Y284), DAY(XT!AC284), DAY(XT!AG284)), MATCH(1, INDEX(--(MONTH(CHOOSE({1,2,3,4}, XT!U284,XT!Y284,XT!AC284,XT!AG284))=3), 0), 0)), "")</f>
        <v/>
      </c>
      <c r="K284" s="12" t="str">
        <f>IF(XT!$P284&gt;0,J284,"")</f>
        <v/>
      </c>
      <c r="L284" s="12" t="str">
        <f>IF(XT!$P284=0,J284,"")</f>
        <v/>
      </c>
      <c r="M284">
        <f>SUMPRODUCT((MONTH(CHOOSE({1,2,3,4},XT!U284,XT!Y284,XT!AC284,XT!AG284))=4)*(CHOOSE({1,2,3,4},XT!X284,XT!AB284,XT!AF284,XT!AJ284)))</f>
        <v>0</v>
      </c>
      <c r="N284" t="str">
        <f>IFERROR(INDEX(CHOOSE({1,2,3,4}, DAY(XT!U284), DAY(XT!Y284), DAY(XT!AC284), DAY(XT!AG284)), MATCH(1, INDEX(--(MONTH(CHOOSE({1,2,3,4}, XT!U284,XT!Y284,XT!AC284,XT!AG284))=4), 0), 0)), "")</f>
        <v/>
      </c>
      <c r="O284" s="12" t="str">
        <f>IF(XT!$P284&gt;0,N284,"")</f>
        <v/>
      </c>
      <c r="P284" s="12" t="str">
        <f>IF(XT!$P284=0,N284,"")</f>
        <v/>
      </c>
      <c r="Q284">
        <f>SUMPRODUCT((MONTH(CHOOSE({1,2,3,4},XT!U284,XT!Y284,XT!AC284,XT!AG284))=5)*(CHOOSE({1,2,3,4},XT!X284,XT!AB284,XT!AF284,XT!AJ284)))</f>
        <v>0</v>
      </c>
      <c r="R284" t="str">
        <f>IFERROR(INDEX(CHOOSE({1,2,3,4}, DAY(XT!U284), DAY(XT!Y284), DAY(XT!AC284), DAY(XT!AG284)), MATCH(1, INDEX(--(MONTH(CHOOSE({1,2,3,4}, XT!U284,XT!Y284,XT!AC284,XT!AG284))=5), 0), 0)), "")</f>
        <v/>
      </c>
      <c r="S284" s="12" t="str">
        <f>IF(XT!$P284&gt;0,R284,"")</f>
        <v/>
      </c>
      <c r="T284" s="12" t="str">
        <f>IF(XT!$P284=0,R284,"")</f>
        <v/>
      </c>
      <c r="U284">
        <f>SUMPRODUCT((MONTH(CHOOSE({1,2,3,4},XT!U284,XT!Y284,XT!AC284,XT!AG284))=6)*(CHOOSE({1,2,3,4},XT!X284,XT!AB284,XT!AF284,XT!AJ284)))</f>
        <v>0</v>
      </c>
      <c r="V284" t="str">
        <f>IFERROR(INDEX(CHOOSE({1,2,3,4}, DAY(XT!U284), DAY(XT!Y284), DAY(XT!AC284), DAY(XT!AG284)), MATCH(1, INDEX(--(MONTH(CHOOSE({1,2,3,4}, XT!U284,XT!Y284,XT!AC284,XT!AG284))=6), 0), 0)), "")</f>
        <v/>
      </c>
      <c r="W284" s="12" t="str">
        <f>IF(XT!$P284&gt;0,V284,"")</f>
        <v/>
      </c>
      <c r="X284" s="12" t="str">
        <f>IF(XT!$P284=0,V284,"")</f>
        <v/>
      </c>
      <c r="Y284">
        <f>SUMPRODUCT((MONTH(CHOOSE({1,2,3,4},XT!U284,XT!Y284,XT!AC284,XT!AG284))=7)*(CHOOSE({1,2,3,4},XT!X284,XT!AB284,XT!AF284,XT!AJ284)))</f>
        <v>0</v>
      </c>
      <c r="Z284" t="str">
        <f>IFERROR(INDEX(CHOOSE({1,2,3,4}, DAY(XT!U284), DAY(XT!Y284), DAY(XT!AC284), DAY(XT!AG284)), MATCH(1, INDEX(--(MONTH(CHOOSE({1,2,3,4}, XT!U284,XT!Y284,XT!AC284,XT!AG284))=7), 0), 0)), "")</f>
        <v/>
      </c>
      <c r="AA284" s="12" t="str">
        <f>IF(XT!$P284&gt;0,Z284,"")</f>
        <v/>
      </c>
      <c r="AB284" s="12" t="str">
        <f>IF(XT!$P284=0,Z284,"")</f>
        <v/>
      </c>
      <c r="AC284">
        <f>SUMPRODUCT((MONTH(CHOOSE({1,2,3,4},XT!U284,XT!Y284,XT!AC284,XT!AG284))=8)*(CHOOSE({1,2,3,4},XT!X284,XT!AB284,XT!AF284,XT!AJ284)))</f>
        <v>0</v>
      </c>
      <c r="AD284" t="str">
        <f>IFERROR(INDEX(CHOOSE({1,2,3,4}, DAY(XT!U284), DAY(XT!Y284), DAY(XT!AC284), DAY(XT!AG284)), MATCH(1, INDEX(--(MONTH(CHOOSE({1,2,3,4}, XT!U284,XT!Y284,XT!AC284,XT!AG284))=8), 0), 0)), "")</f>
        <v/>
      </c>
      <c r="AE284" s="12" t="str">
        <f>IF(XT!$P284&gt;0,AD284,"")</f>
        <v/>
      </c>
      <c r="AF284" s="12" t="str">
        <f>IF(XT!$P284=0,AD284,"")</f>
        <v/>
      </c>
      <c r="AG284">
        <f>SUMPRODUCT((MONTH(CHOOSE({1,2,3,4},XT!U284,XT!Y284,XT!AC284,XT!AG284))=9)*(CHOOSE({1,2,3,4},XT!X284,XT!AB284,XT!AF284,XT!AJ284)))</f>
        <v>0</v>
      </c>
      <c r="AH284" t="str">
        <f>IFERROR(INDEX(CHOOSE({1,2,3,4}, DAY(XT!U284), DAY(XT!Y284), DAY(XT!AC284), DAY(XT!AG284)), MATCH(1, INDEX(--(MONTH(CHOOSE({1,2,3,4}, XT!U284,XT!Y284,XT!AC284,XT!AG284))=9), 0), 0)), "")</f>
        <v/>
      </c>
      <c r="AI284" s="12" t="str">
        <f>IF(XT!$P284&gt;0,AH284,"")</f>
        <v/>
      </c>
      <c r="AJ284" s="12" t="str">
        <f>IF(XT!$P284=0,AH284,"")</f>
        <v/>
      </c>
      <c r="AK284">
        <f>SUMPRODUCT((MONTH(CHOOSE({1,2,3,4},XT!U284,XT!Y284,XT!AC284,XT!AG284))=10)*(CHOOSE({1,2,3,4},XT!X284,XT!AB284,XT!AF284,XT!AJ284)))</f>
        <v>0</v>
      </c>
      <c r="AL284" t="str">
        <f>IFERROR(INDEX(CHOOSE({1,2,3,4}, DAY(XT!U284), DAY(XT!Y284), DAY(XT!AC284), DAY(XT!AG284)), MATCH(1, INDEX(--(MONTH(CHOOSE({1,2,3,4}, XT!U284,XT!Y284,XT!AC284,XT!AG284))=10), 0), 0)), "")</f>
        <v/>
      </c>
      <c r="AM284" s="12" t="str">
        <f>IF(XT!$P284&gt;0,AL284,"")</f>
        <v/>
      </c>
      <c r="AN284" s="12" t="str">
        <f>IF(XT!$P284=0,AL284,"")</f>
        <v/>
      </c>
      <c r="AO284">
        <f>SUMPRODUCT((MONTH(CHOOSE({1,2,3,4},XT!U284,XT!Y284,XT!AC284,XT!AG284))=11)*(CHOOSE({1,2,3,4},XT!X284,XT!AB284,XT!AF284,XT!AJ284)))</f>
        <v>0</v>
      </c>
      <c r="AP284" t="str">
        <f>IFERROR(INDEX(CHOOSE({1,2,3,4}, DAY(XT!U284), DAY(XT!Y284), DAY(XT!AC284), DAY(XT!AG284)), MATCH(1, INDEX(--(MONTH(CHOOSE({1,2,3,4}, XT!U284,XT!Y284,XT!AC284,XT!AG284))=11), 0), 0)), "")</f>
        <v/>
      </c>
      <c r="AQ284" s="12" t="str">
        <f>IF(XT!$P284&gt;0,AP284,"")</f>
        <v/>
      </c>
      <c r="AR284" s="12" t="str">
        <f>IF(XT!$P284=0,AP284,"")</f>
        <v/>
      </c>
      <c r="AS284">
        <f>SUMPRODUCT((MONTH(CHOOSE({1,2,3,4},XT!U284,XT!Y284,XT!AC284,XT!AG284))=12)*(CHOOSE({1,2,3,4},XT!X284,XT!AB284,XT!AF284,XT!AJ284)))</f>
        <v>0</v>
      </c>
      <c r="AT284" t="str">
        <f>IFERROR(INDEX(CHOOSE({1,2,3,4}, DAY(XT!U284), DAY(XT!Y284), DAY(XT!AC284), DAY(XT!AG284)), MATCH(1, INDEX(--(MONTH(CHOOSE({1,2,3,4}, XT!U284,XT!Y284,XT!AC284,XT!AG284))=12), 0), 0)), "")</f>
        <v/>
      </c>
      <c r="AU284" s="12" t="str">
        <f>IF(XT!$P284&gt;0,AT284,"")</f>
        <v/>
      </c>
      <c r="AV284" s="12" t="str">
        <f>IF(XT!$P284=0,AT284,"")</f>
        <v/>
      </c>
    </row>
    <row r="285" spans="1:48">
      <c r="A285">
        <f>SUMPRODUCT((MONTH(CHOOSE({1,2,3,4},XT!U285,XT!Y285,XT!AC285,XT!AG285))=1)*(CHOOSE({1,2,3,4},XT!X285,XT!AB285,XT!AF285,XT!AJ285)))</f>
        <v>0</v>
      </c>
      <c r="B285">
        <f>IFERROR(INDEX(CHOOSE({1,2,3,4}, DAY(XT!U285), DAY(XT!Y285), DAY(XT!AC285), DAY(XT!AG285)), MATCH(1, INDEX(--(MONTH(CHOOSE({1,2,3,4}, XT!U285,XT!Y285,XT!AC285,XT!AG285))=1), 0), 0)), "")</f>
        <v>0</v>
      </c>
      <c r="C285" s="12" t="str">
        <f>IF(XT!$P285&gt;0,B285,"")</f>
        <v/>
      </c>
      <c r="D285" s="12">
        <f>IF(XT!$P285=0,B285,"")</f>
        <v>0</v>
      </c>
      <c r="E285">
        <f>SUMPRODUCT((MONTH(CHOOSE({1,2,3,4},XT!U285,XT!Y285,XT!AC285,XT!AG285))=2)*(CHOOSE({1,2,3,4},XT!X285,XT!AB285,XT!AF285,XT!AJ285)))</f>
        <v>0</v>
      </c>
      <c r="F285" t="str">
        <f>IFERROR(INDEX(CHOOSE({1,2,3,4}, DAY(XT!U285), DAY(XT!Y285), DAY(XT!AC285), DAY(XT!AG285)), MATCH(1, INDEX(--(MONTH(CHOOSE({1,2,3,4}, XT!U285,XT!Y285,XT!AC285,XT!AG285))=2), 0), 0)), "")</f>
        <v/>
      </c>
      <c r="G285" s="12" t="str">
        <f>IF(XT!$P285&gt;0,F285,"")</f>
        <v/>
      </c>
      <c r="H285" s="12" t="str">
        <f>IF(XT!$P285=0,F285,"")</f>
        <v/>
      </c>
      <c r="I285">
        <f>SUMPRODUCT((MONTH(CHOOSE({1,2,3,4},XT!U285,XT!Y285,XT!AC285,XT!AG285))=3)*(CHOOSE({1,2,3,4},XT!X285,XT!AB285,XT!AF285,XT!AJ285)))</f>
        <v>0</v>
      </c>
      <c r="J285" t="str">
        <f>IFERROR(INDEX(CHOOSE({1,2,3,4}, DAY(XT!U285), DAY(XT!Y285), DAY(XT!AC285), DAY(XT!AG285)), MATCH(1, INDEX(--(MONTH(CHOOSE({1,2,3,4}, XT!U285,XT!Y285,XT!AC285,XT!AG285))=3), 0), 0)), "")</f>
        <v/>
      </c>
      <c r="K285" s="12" t="str">
        <f>IF(XT!$P285&gt;0,J285,"")</f>
        <v/>
      </c>
      <c r="L285" s="12" t="str">
        <f>IF(XT!$P285=0,J285,"")</f>
        <v/>
      </c>
      <c r="M285">
        <f>SUMPRODUCT((MONTH(CHOOSE({1,2,3,4},XT!U285,XT!Y285,XT!AC285,XT!AG285))=4)*(CHOOSE({1,2,3,4},XT!X285,XT!AB285,XT!AF285,XT!AJ285)))</f>
        <v>0</v>
      </c>
      <c r="N285" t="str">
        <f>IFERROR(INDEX(CHOOSE({1,2,3,4}, DAY(XT!U285), DAY(XT!Y285), DAY(XT!AC285), DAY(XT!AG285)), MATCH(1, INDEX(--(MONTH(CHOOSE({1,2,3,4}, XT!U285,XT!Y285,XT!AC285,XT!AG285))=4), 0), 0)), "")</f>
        <v/>
      </c>
      <c r="O285" s="12" t="str">
        <f>IF(XT!$P285&gt;0,N285,"")</f>
        <v/>
      </c>
      <c r="P285" s="12" t="str">
        <f>IF(XT!$P285=0,N285,"")</f>
        <v/>
      </c>
      <c r="Q285">
        <f>SUMPRODUCT((MONTH(CHOOSE({1,2,3,4},XT!U285,XT!Y285,XT!AC285,XT!AG285))=5)*(CHOOSE({1,2,3,4},XT!X285,XT!AB285,XT!AF285,XT!AJ285)))</f>
        <v>0</v>
      </c>
      <c r="R285" t="str">
        <f>IFERROR(INDEX(CHOOSE({1,2,3,4}, DAY(XT!U285), DAY(XT!Y285), DAY(XT!AC285), DAY(XT!AG285)), MATCH(1, INDEX(--(MONTH(CHOOSE({1,2,3,4}, XT!U285,XT!Y285,XT!AC285,XT!AG285))=5), 0), 0)), "")</f>
        <v/>
      </c>
      <c r="S285" s="12" t="str">
        <f>IF(XT!$P285&gt;0,R285,"")</f>
        <v/>
      </c>
      <c r="T285" s="12" t="str">
        <f>IF(XT!$P285=0,R285,"")</f>
        <v/>
      </c>
      <c r="U285">
        <f>SUMPRODUCT((MONTH(CHOOSE({1,2,3,4},XT!U285,XT!Y285,XT!AC285,XT!AG285))=6)*(CHOOSE({1,2,3,4},XT!X285,XT!AB285,XT!AF285,XT!AJ285)))</f>
        <v>0</v>
      </c>
      <c r="V285" t="str">
        <f>IFERROR(INDEX(CHOOSE({1,2,3,4}, DAY(XT!U285), DAY(XT!Y285), DAY(XT!AC285), DAY(XT!AG285)), MATCH(1, INDEX(--(MONTH(CHOOSE({1,2,3,4}, XT!U285,XT!Y285,XT!AC285,XT!AG285))=6), 0), 0)), "")</f>
        <v/>
      </c>
      <c r="W285" s="12" t="str">
        <f>IF(XT!$P285&gt;0,V285,"")</f>
        <v/>
      </c>
      <c r="X285" s="12" t="str">
        <f>IF(XT!$P285=0,V285,"")</f>
        <v/>
      </c>
      <c r="Y285">
        <f>SUMPRODUCT((MONTH(CHOOSE({1,2,3,4},XT!U285,XT!Y285,XT!AC285,XT!AG285))=7)*(CHOOSE({1,2,3,4},XT!X285,XT!AB285,XT!AF285,XT!AJ285)))</f>
        <v>0</v>
      </c>
      <c r="Z285" t="str">
        <f>IFERROR(INDEX(CHOOSE({1,2,3,4}, DAY(XT!U285), DAY(XT!Y285), DAY(XT!AC285), DAY(XT!AG285)), MATCH(1, INDEX(--(MONTH(CHOOSE({1,2,3,4}, XT!U285,XT!Y285,XT!AC285,XT!AG285))=7), 0), 0)), "")</f>
        <v/>
      </c>
      <c r="AA285" s="12" t="str">
        <f>IF(XT!$P285&gt;0,Z285,"")</f>
        <v/>
      </c>
      <c r="AB285" s="12" t="str">
        <f>IF(XT!$P285=0,Z285,"")</f>
        <v/>
      </c>
      <c r="AC285">
        <f>SUMPRODUCT((MONTH(CHOOSE({1,2,3,4},XT!U285,XT!Y285,XT!AC285,XT!AG285))=8)*(CHOOSE({1,2,3,4},XT!X285,XT!AB285,XT!AF285,XT!AJ285)))</f>
        <v>0</v>
      </c>
      <c r="AD285" t="str">
        <f>IFERROR(INDEX(CHOOSE({1,2,3,4}, DAY(XT!U285), DAY(XT!Y285), DAY(XT!AC285), DAY(XT!AG285)), MATCH(1, INDEX(--(MONTH(CHOOSE({1,2,3,4}, XT!U285,XT!Y285,XT!AC285,XT!AG285))=8), 0), 0)), "")</f>
        <v/>
      </c>
      <c r="AE285" s="12" t="str">
        <f>IF(XT!$P285&gt;0,AD285,"")</f>
        <v/>
      </c>
      <c r="AF285" s="12" t="str">
        <f>IF(XT!$P285=0,AD285,"")</f>
        <v/>
      </c>
      <c r="AG285">
        <f>SUMPRODUCT((MONTH(CHOOSE({1,2,3,4},XT!U285,XT!Y285,XT!AC285,XT!AG285))=9)*(CHOOSE({1,2,3,4},XT!X285,XT!AB285,XT!AF285,XT!AJ285)))</f>
        <v>0</v>
      </c>
      <c r="AH285" t="str">
        <f>IFERROR(INDEX(CHOOSE({1,2,3,4}, DAY(XT!U285), DAY(XT!Y285), DAY(XT!AC285), DAY(XT!AG285)), MATCH(1, INDEX(--(MONTH(CHOOSE({1,2,3,4}, XT!U285,XT!Y285,XT!AC285,XT!AG285))=9), 0), 0)), "")</f>
        <v/>
      </c>
      <c r="AI285" s="12" t="str">
        <f>IF(XT!$P285&gt;0,AH285,"")</f>
        <v/>
      </c>
      <c r="AJ285" s="12" t="str">
        <f>IF(XT!$P285=0,AH285,"")</f>
        <v/>
      </c>
      <c r="AK285">
        <f>SUMPRODUCT((MONTH(CHOOSE({1,2,3,4},XT!U285,XT!Y285,XT!AC285,XT!AG285))=10)*(CHOOSE({1,2,3,4},XT!X285,XT!AB285,XT!AF285,XT!AJ285)))</f>
        <v>0</v>
      </c>
      <c r="AL285" t="str">
        <f>IFERROR(INDEX(CHOOSE({1,2,3,4}, DAY(XT!U285), DAY(XT!Y285), DAY(XT!AC285), DAY(XT!AG285)), MATCH(1, INDEX(--(MONTH(CHOOSE({1,2,3,4}, XT!U285,XT!Y285,XT!AC285,XT!AG285))=10), 0), 0)), "")</f>
        <v/>
      </c>
      <c r="AM285" s="12" t="str">
        <f>IF(XT!$P285&gt;0,AL285,"")</f>
        <v/>
      </c>
      <c r="AN285" s="12" t="str">
        <f>IF(XT!$P285=0,AL285,"")</f>
        <v/>
      </c>
      <c r="AO285">
        <f>SUMPRODUCT((MONTH(CHOOSE({1,2,3,4},XT!U285,XT!Y285,XT!AC285,XT!AG285))=11)*(CHOOSE({1,2,3,4},XT!X285,XT!AB285,XT!AF285,XT!AJ285)))</f>
        <v>0</v>
      </c>
      <c r="AP285" t="str">
        <f>IFERROR(INDEX(CHOOSE({1,2,3,4}, DAY(XT!U285), DAY(XT!Y285), DAY(XT!AC285), DAY(XT!AG285)), MATCH(1, INDEX(--(MONTH(CHOOSE({1,2,3,4}, XT!U285,XT!Y285,XT!AC285,XT!AG285))=11), 0), 0)), "")</f>
        <v/>
      </c>
      <c r="AQ285" s="12" t="str">
        <f>IF(XT!$P285&gt;0,AP285,"")</f>
        <v/>
      </c>
      <c r="AR285" s="12" t="str">
        <f>IF(XT!$P285=0,AP285,"")</f>
        <v/>
      </c>
      <c r="AS285">
        <f>SUMPRODUCT((MONTH(CHOOSE({1,2,3,4},XT!U285,XT!Y285,XT!AC285,XT!AG285))=12)*(CHOOSE({1,2,3,4},XT!X285,XT!AB285,XT!AF285,XT!AJ285)))</f>
        <v>0</v>
      </c>
      <c r="AT285" t="str">
        <f>IFERROR(INDEX(CHOOSE({1,2,3,4}, DAY(XT!U285), DAY(XT!Y285), DAY(XT!AC285), DAY(XT!AG285)), MATCH(1, INDEX(--(MONTH(CHOOSE({1,2,3,4}, XT!U285,XT!Y285,XT!AC285,XT!AG285))=12), 0), 0)), "")</f>
        <v/>
      </c>
      <c r="AU285" s="12" t="str">
        <f>IF(XT!$P285&gt;0,AT285,"")</f>
        <v/>
      </c>
      <c r="AV285" s="12" t="str">
        <f>IF(XT!$P285=0,AT285,"")</f>
        <v/>
      </c>
    </row>
    <row r="286" spans="1:48">
      <c r="A286">
        <f>SUMPRODUCT((MONTH(CHOOSE({1,2,3,4},XT!U286,XT!Y286,XT!AC286,XT!AG286))=1)*(CHOOSE({1,2,3,4},XT!X286,XT!AB286,XT!AF286,XT!AJ286)))</f>
        <v>0</v>
      </c>
      <c r="B286">
        <f>IFERROR(INDEX(CHOOSE({1,2,3,4}, DAY(XT!U286), DAY(XT!Y286), DAY(XT!AC286), DAY(XT!AG286)), MATCH(1, INDEX(--(MONTH(CHOOSE({1,2,3,4}, XT!U286,XT!Y286,XT!AC286,XT!AG286))=1), 0), 0)), "")</f>
        <v>0</v>
      </c>
      <c r="C286" s="12" t="str">
        <f>IF(XT!$P286&gt;0,B286,"")</f>
        <v/>
      </c>
      <c r="D286" s="12">
        <f>IF(XT!$P286=0,B286,"")</f>
        <v>0</v>
      </c>
      <c r="E286">
        <f>SUMPRODUCT((MONTH(CHOOSE({1,2,3,4},XT!U286,XT!Y286,XT!AC286,XT!AG286))=2)*(CHOOSE({1,2,3,4},XT!X286,XT!AB286,XT!AF286,XT!AJ286)))</f>
        <v>0</v>
      </c>
      <c r="F286" t="str">
        <f>IFERROR(INDEX(CHOOSE({1,2,3,4}, DAY(XT!U286), DAY(XT!Y286), DAY(XT!AC286), DAY(XT!AG286)), MATCH(1, INDEX(--(MONTH(CHOOSE({1,2,3,4}, XT!U286,XT!Y286,XT!AC286,XT!AG286))=2), 0), 0)), "")</f>
        <v/>
      </c>
      <c r="G286" s="12" t="str">
        <f>IF(XT!$P286&gt;0,F286,"")</f>
        <v/>
      </c>
      <c r="H286" s="12" t="str">
        <f>IF(XT!$P286=0,F286,"")</f>
        <v/>
      </c>
      <c r="I286">
        <f>SUMPRODUCT((MONTH(CHOOSE({1,2,3,4},XT!U286,XT!Y286,XT!AC286,XT!AG286))=3)*(CHOOSE({1,2,3,4},XT!X286,XT!AB286,XT!AF286,XT!AJ286)))</f>
        <v>0</v>
      </c>
      <c r="J286" t="str">
        <f>IFERROR(INDEX(CHOOSE({1,2,3,4}, DAY(XT!U286), DAY(XT!Y286), DAY(XT!AC286), DAY(XT!AG286)), MATCH(1, INDEX(--(MONTH(CHOOSE({1,2,3,4}, XT!U286,XT!Y286,XT!AC286,XT!AG286))=3), 0), 0)), "")</f>
        <v/>
      </c>
      <c r="K286" s="12" t="str">
        <f>IF(XT!$P286&gt;0,J286,"")</f>
        <v/>
      </c>
      <c r="L286" s="12" t="str">
        <f>IF(XT!$P286=0,J286,"")</f>
        <v/>
      </c>
      <c r="M286">
        <f>SUMPRODUCT((MONTH(CHOOSE({1,2,3,4},XT!U286,XT!Y286,XT!AC286,XT!AG286))=4)*(CHOOSE({1,2,3,4},XT!X286,XT!AB286,XT!AF286,XT!AJ286)))</f>
        <v>0</v>
      </c>
      <c r="N286" t="str">
        <f>IFERROR(INDEX(CHOOSE({1,2,3,4}, DAY(XT!U286), DAY(XT!Y286), DAY(XT!AC286), DAY(XT!AG286)), MATCH(1, INDEX(--(MONTH(CHOOSE({1,2,3,4}, XT!U286,XT!Y286,XT!AC286,XT!AG286))=4), 0), 0)), "")</f>
        <v/>
      </c>
      <c r="O286" s="12" t="str">
        <f>IF(XT!$P286&gt;0,N286,"")</f>
        <v/>
      </c>
      <c r="P286" s="12" t="str">
        <f>IF(XT!$P286=0,N286,"")</f>
        <v/>
      </c>
      <c r="Q286">
        <f>SUMPRODUCT((MONTH(CHOOSE({1,2,3,4},XT!U286,XT!Y286,XT!AC286,XT!AG286))=5)*(CHOOSE({1,2,3,4},XT!X286,XT!AB286,XT!AF286,XT!AJ286)))</f>
        <v>0</v>
      </c>
      <c r="R286" t="str">
        <f>IFERROR(INDEX(CHOOSE({1,2,3,4}, DAY(XT!U286), DAY(XT!Y286), DAY(XT!AC286), DAY(XT!AG286)), MATCH(1, INDEX(--(MONTH(CHOOSE({1,2,3,4}, XT!U286,XT!Y286,XT!AC286,XT!AG286))=5), 0), 0)), "")</f>
        <v/>
      </c>
      <c r="S286" s="12" t="str">
        <f>IF(XT!$P286&gt;0,R286,"")</f>
        <v/>
      </c>
      <c r="T286" s="12" t="str">
        <f>IF(XT!$P286=0,R286,"")</f>
        <v/>
      </c>
      <c r="U286">
        <f>SUMPRODUCT((MONTH(CHOOSE({1,2,3,4},XT!U286,XT!Y286,XT!AC286,XT!AG286))=6)*(CHOOSE({1,2,3,4},XT!X286,XT!AB286,XT!AF286,XT!AJ286)))</f>
        <v>0</v>
      </c>
      <c r="V286" t="str">
        <f>IFERROR(INDEX(CHOOSE({1,2,3,4}, DAY(XT!U286), DAY(XT!Y286), DAY(XT!AC286), DAY(XT!AG286)), MATCH(1, INDEX(--(MONTH(CHOOSE({1,2,3,4}, XT!U286,XT!Y286,XT!AC286,XT!AG286))=6), 0), 0)), "")</f>
        <v/>
      </c>
      <c r="W286" s="12" t="str">
        <f>IF(XT!$P286&gt;0,V286,"")</f>
        <v/>
      </c>
      <c r="X286" s="12" t="str">
        <f>IF(XT!$P286=0,V286,"")</f>
        <v/>
      </c>
      <c r="Y286">
        <f>SUMPRODUCT((MONTH(CHOOSE({1,2,3,4},XT!U286,XT!Y286,XT!AC286,XT!AG286))=7)*(CHOOSE({1,2,3,4},XT!X286,XT!AB286,XT!AF286,XT!AJ286)))</f>
        <v>0</v>
      </c>
      <c r="Z286" t="str">
        <f>IFERROR(INDEX(CHOOSE({1,2,3,4}, DAY(XT!U286), DAY(XT!Y286), DAY(XT!AC286), DAY(XT!AG286)), MATCH(1, INDEX(--(MONTH(CHOOSE({1,2,3,4}, XT!U286,XT!Y286,XT!AC286,XT!AG286))=7), 0), 0)), "")</f>
        <v/>
      </c>
      <c r="AA286" s="12" t="str">
        <f>IF(XT!$P286&gt;0,Z286,"")</f>
        <v/>
      </c>
      <c r="AB286" s="12" t="str">
        <f>IF(XT!$P286=0,Z286,"")</f>
        <v/>
      </c>
      <c r="AC286">
        <f>SUMPRODUCT((MONTH(CHOOSE({1,2,3,4},XT!U286,XT!Y286,XT!AC286,XT!AG286))=8)*(CHOOSE({1,2,3,4},XT!X286,XT!AB286,XT!AF286,XT!AJ286)))</f>
        <v>0</v>
      </c>
      <c r="AD286" t="str">
        <f>IFERROR(INDEX(CHOOSE({1,2,3,4}, DAY(XT!U286), DAY(XT!Y286), DAY(XT!AC286), DAY(XT!AG286)), MATCH(1, INDEX(--(MONTH(CHOOSE({1,2,3,4}, XT!U286,XT!Y286,XT!AC286,XT!AG286))=8), 0), 0)), "")</f>
        <v/>
      </c>
      <c r="AE286" s="12" t="str">
        <f>IF(XT!$P286&gt;0,AD286,"")</f>
        <v/>
      </c>
      <c r="AF286" s="12" t="str">
        <f>IF(XT!$P286=0,AD286,"")</f>
        <v/>
      </c>
      <c r="AG286">
        <f>SUMPRODUCT((MONTH(CHOOSE({1,2,3,4},XT!U286,XT!Y286,XT!AC286,XT!AG286))=9)*(CHOOSE({1,2,3,4},XT!X286,XT!AB286,XT!AF286,XT!AJ286)))</f>
        <v>0</v>
      </c>
      <c r="AH286" t="str">
        <f>IFERROR(INDEX(CHOOSE({1,2,3,4}, DAY(XT!U286), DAY(XT!Y286), DAY(XT!AC286), DAY(XT!AG286)), MATCH(1, INDEX(--(MONTH(CHOOSE({1,2,3,4}, XT!U286,XT!Y286,XT!AC286,XT!AG286))=9), 0), 0)), "")</f>
        <v/>
      </c>
      <c r="AI286" s="12" t="str">
        <f>IF(XT!$P286&gt;0,AH286,"")</f>
        <v/>
      </c>
      <c r="AJ286" s="12" t="str">
        <f>IF(XT!$P286=0,AH286,"")</f>
        <v/>
      </c>
      <c r="AK286">
        <f>SUMPRODUCT((MONTH(CHOOSE({1,2,3,4},XT!U286,XT!Y286,XT!AC286,XT!AG286))=10)*(CHOOSE({1,2,3,4},XT!X286,XT!AB286,XT!AF286,XT!AJ286)))</f>
        <v>0</v>
      </c>
      <c r="AL286" t="str">
        <f>IFERROR(INDEX(CHOOSE({1,2,3,4}, DAY(XT!U286), DAY(XT!Y286), DAY(XT!AC286), DAY(XT!AG286)), MATCH(1, INDEX(--(MONTH(CHOOSE({1,2,3,4}, XT!U286,XT!Y286,XT!AC286,XT!AG286))=10), 0), 0)), "")</f>
        <v/>
      </c>
      <c r="AM286" s="12" t="str">
        <f>IF(XT!$P286&gt;0,AL286,"")</f>
        <v/>
      </c>
      <c r="AN286" s="12" t="str">
        <f>IF(XT!$P286=0,AL286,"")</f>
        <v/>
      </c>
      <c r="AO286">
        <f>SUMPRODUCT((MONTH(CHOOSE({1,2,3,4},XT!U286,XT!Y286,XT!AC286,XT!AG286))=11)*(CHOOSE({1,2,3,4},XT!X286,XT!AB286,XT!AF286,XT!AJ286)))</f>
        <v>0</v>
      </c>
      <c r="AP286" t="str">
        <f>IFERROR(INDEX(CHOOSE({1,2,3,4}, DAY(XT!U286), DAY(XT!Y286), DAY(XT!AC286), DAY(XT!AG286)), MATCH(1, INDEX(--(MONTH(CHOOSE({1,2,3,4}, XT!U286,XT!Y286,XT!AC286,XT!AG286))=11), 0), 0)), "")</f>
        <v/>
      </c>
      <c r="AQ286" s="12" t="str">
        <f>IF(XT!$P286&gt;0,AP286,"")</f>
        <v/>
      </c>
      <c r="AR286" s="12" t="str">
        <f>IF(XT!$P286=0,AP286,"")</f>
        <v/>
      </c>
      <c r="AS286">
        <f>SUMPRODUCT((MONTH(CHOOSE({1,2,3,4},XT!U286,XT!Y286,XT!AC286,XT!AG286))=12)*(CHOOSE({1,2,3,4},XT!X286,XT!AB286,XT!AF286,XT!AJ286)))</f>
        <v>0</v>
      </c>
      <c r="AT286" t="str">
        <f>IFERROR(INDEX(CHOOSE({1,2,3,4}, DAY(XT!U286), DAY(XT!Y286), DAY(XT!AC286), DAY(XT!AG286)), MATCH(1, INDEX(--(MONTH(CHOOSE({1,2,3,4}, XT!U286,XT!Y286,XT!AC286,XT!AG286))=12), 0), 0)), "")</f>
        <v/>
      </c>
      <c r="AU286" s="12" t="str">
        <f>IF(XT!$P286&gt;0,AT286,"")</f>
        <v/>
      </c>
      <c r="AV286" s="12" t="str">
        <f>IF(XT!$P286=0,AT286,"")</f>
        <v/>
      </c>
    </row>
    <row r="287" spans="1:48">
      <c r="A287">
        <f>SUMPRODUCT((MONTH(CHOOSE({1,2,3,4},XT!U287,XT!Y287,XT!AC287,XT!AG287))=1)*(CHOOSE({1,2,3,4},XT!X287,XT!AB287,XT!AF287,XT!AJ287)))</f>
        <v>0</v>
      </c>
      <c r="B287">
        <f>IFERROR(INDEX(CHOOSE({1,2,3,4}, DAY(XT!U287), DAY(XT!Y287), DAY(XT!AC287), DAY(XT!AG287)), MATCH(1, INDEX(--(MONTH(CHOOSE({1,2,3,4}, XT!U287,XT!Y287,XT!AC287,XT!AG287))=1), 0), 0)), "")</f>
        <v>0</v>
      </c>
      <c r="C287" s="12" t="str">
        <f>IF(XT!$P287&gt;0,B287,"")</f>
        <v/>
      </c>
      <c r="D287" s="12">
        <f>IF(XT!$P287=0,B287,"")</f>
        <v>0</v>
      </c>
      <c r="E287">
        <f>SUMPRODUCT((MONTH(CHOOSE({1,2,3,4},XT!U287,XT!Y287,XT!AC287,XT!AG287))=2)*(CHOOSE({1,2,3,4},XT!X287,XT!AB287,XT!AF287,XT!AJ287)))</f>
        <v>0</v>
      </c>
      <c r="F287" t="str">
        <f>IFERROR(INDEX(CHOOSE({1,2,3,4}, DAY(XT!U287), DAY(XT!Y287), DAY(XT!AC287), DAY(XT!AG287)), MATCH(1, INDEX(--(MONTH(CHOOSE({1,2,3,4}, XT!U287,XT!Y287,XT!AC287,XT!AG287))=2), 0), 0)), "")</f>
        <v/>
      </c>
      <c r="G287" s="12" t="str">
        <f>IF(XT!$P287&gt;0,F287,"")</f>
        <v/>
      </c>
      <c r="H287" s="12" t="str">
        <f>IF(XT!$P287=0,F287,"")</f>
        <v/>
      </c>
      <c r="I287">
        <f>SUMPRODUCT((MONTH(CHOOSE({1,2,3,4},XT!U287,XT!Y287,XT!AC287,XT!AG287))=3)*(CHOOSE({1,2,3,4},XT!X287,XT!AB287,XT!AF287,XT!AJ287)))</f>
        <v>0</v>
      </c>
      <c r="J287" t="str">
        <f>IFERROR(INDEX(CHOOSE({1,2,3,4}, DAY(XT!U287), DAY(XT!Y287), DAY(XT!AC287), DAY(XT!AG287)), MATCH(1, INDEX(--(MONTH(CHOOSE({1,2,3,4}, XT!U287,XT!Y287,XT!AC287,XT!AG287))=3), 0), 0)), "")</f>
        <v/>
      </c>
      <c r="K287" s="12" t="str">
        <f>IF(XT!$P287&gt;0,J287,"")</f>
        <v/>
      </c>
      <c r="L287" s="12" t="str">
        <f>IF(XT!$P287=0,J287,"")</f>
        <v/>
      </c>
      <c r="M287">
        <f>SUMPRODUCT((MONTH(CHOOSE({1,2,3,4},XT!U287,XT!Y287,XT!AC287,XT!AG287))=4)*(CHOOSE({1,2,3,4},XT!X287,XT!AB287,XT!AF287,XT!AJ287)))</f>
        <v>0</v>
      </c>
      <c r="N287" t="str">
        <f>IFERROR(INDEX(CHOOSE({1,2,3,4}, DAY(XT!U287), DAY(XT!Y287), DAY(XT!AC287), DAY(XT!AG287)), MATCH(1, INDEX(--(MONTH(CHOOSE({1,2,3,4}, XT!U287,XT!Y287,XT!AC287,XT!AG287))=4), 0), 0)), "")</f>
        <v/>
      </c>
      <c r="O287" s="12" t="str">
        <f>IF(XT!$P287&gt;0,N287,"")</f>
        <v/>
      </c>
      <c r="P287" s="12" t="str">
        <f>IF(XT!$P287=0,N287,"")</f>
        <v/>
      </c>
      <c r="Q287">
        <f>SUMPRODUCT((MONTH(CHOOSE({1,2,3,4},XT!U287,XT!Y287,XT!AC287,XT!AG287))=5)*(CHOOSE({1,2,3,4},XT!X287,XT!AB287,XT!AF287,XT!AJ287)))</f>
        <v>0</v>
      </c>
      <c r="R287" t="str">
        <f>IFERROR(INDEX(CHOOSE({1,2,3,4}, DAY(XT!U287), DAY(XT!Y287), DAY(XT!AC287), DAY(XT!AG287)), MATCH(1, INDEX(--(MONTH(CHOOSE({1,2,3,4}, XT!U287,XT!Y287,XT!AC287,XT!AG287))=5), 0), 0)), "")</f>
        <v/>
      </c>
      <c r="S287" s="12" t="str">
        <f>IF(XT!$P287&gt;0,R287,"")</f>
        <v/>
      </c>
      <c r="T287" s="12" t="str">
        <f>IF(XT!$P287=0,R287,"")</f>
        <v/>
      </c>
      <c r="U287">
        <f>SUMPRODUCT((MONTH(CHOOSE({1,2,3,4},XT!U287,XT!Y287,XT!AC287,XT!AG287))=6)*(CHOOSE({1,2,3,4},XT!X287,XT!AB287,XT!AF287,XT!AJ287)))</f>
        <v>0</v>
      </c>
      <c r="V287" t="str">
        <f>IFERROR(INDEX(CHOOSE({1,2,3,4}, DAY(XT!U287), DAY(XT!Y287), DAY(XT!AC287), DAY(XT!AG287)), MATCH(1, INDEX(--(MONTH(CHOOSE({1,2,3,4}, XT!U287,XT!Y287,XT!AC287,XT!AG287))=6), 0), 0)), "")</f>
        <v/>
      </c>
      <c r="W287" s="12" t="str">
        <f>IF(XT!$P287&gt;0,V287,"")</f>
        <v/>
      </c>
      <c r="X287" s="12" t="str">
        <f>IF(XT!$P287=0,V287,"")</f>
        <v/>
      </c>
      <c r="Y287">
        <f>SUMPRODUCT((MONTH(CHOOSE({1,2,3,4},XT!U287,XT!Y287,XT!AC287,XT!AG287))=7)*(CHOOSE({1,2,3,4},XT!X287,XT!AB287,XT!AF287,XT!AJ287)))</f>
        <v>0</v>
      </c>
      <c r="Z287" t="str">
        <f>IFERROR(INDEX(CHOOSE({1,2,3,4}, DAY(XT!U287), DAY(XT!Y287), DAY(XT!AC287), DAY(XT!AG287)), MATCH(1, INDEX(--(MONTH(CHOOSE({1,2,3,4}, XT!U287,XT!Y287,XT!AC287,XT!AG287))=7), 0), 0)), "")</f>
        <v/>
      </c>
      <c r="AA287" s="12" t="str">
        <f>IF(XT!$P287&gt;0,Z287,"")</f>
        <v/>
      </c>
      <c r="AB287" s="12" t="str">
        <f>IF(XT!$P287=0,Z287,"")</f>
        <v/>
      </c>
      <c r="AC287">
        <f>SUMPRODUCT((MONTH(CHOOSE({1,2,3,4},XT!U287,XT!Y287,XT!AC287,XT!AG287))=8)*(CHOOSE({1,2,3,4},XT!X287,XT!AB287,XT!AF287,XT!AJ287)))</f>
        <v>0</v>
      </c>
      <c r="AD287" t="str">
        <f>IFERROR(INDEX(CHOOSE({1,2,3,4}, DAY(XT!U287), DAY(XT!Y287), DAY(XT!AC287), DAY(XT!AG287)), MATCH(1, INDEX(--(MONTH(CHOOSE({1,2,3,4}, XT!U287,XT!Y287,XT!AC287,XT!AG287))=8), 0), 0)), "")</f>
        <v/>
      </c>
      <c r="AE287" s="12" t="str">
        <f>IF(XT!$P287&gt;0,AD287,"")</f>
        <v/>
      </c>
      <c r="AF287" s="12" t="str">
        <f>IF(XT!$P287=0,AD287,"")</f>
        <v/>
      </c>
      <c r="AG287">
        <f>SUMPRODUCT((MONTH(CHOOSE({1,2,3,4},XT!U287,XT!Y287,XT!AC287,XT!AG287))=9)*(CHOOSE({1,2,3,4},XT!X287,XT!AB287,XT!AF287,XT!AJ287)))</f>
        <v>0</v>
      </c>
      <c r="AH287" t="str">
        <f>IFERROR(INDEX(CHOOSE({1,2,3,4}, DAY(XT!U287), DAY(XT!Y287), DAY(XT!AC287), DAY(XT!AG287)), MATCH(1, INDEX(--(MONTH(CHOOSE({1,2,3,4}, XT!U287,XT!Y287,XT!AC287,XT!AG287))=9), 0), 0)), "")</f>
        <v/>
      </c>
      <c r="AI287" s="12" t="str">
        <f>IF(XT!$P287&gt;0,AH287,"")</f>
        <v/>
      </c>
      <c r="AJ287" s="12" t="str">
        <f>IF(XT!$P287=0,AH287,"")</f>
        <v/>
      </c>
      <c r="AK287">
        <f>SUMPRODUCT((MONTH(CHOOSE({1,2,3,4},XT!U287,XT!Y287,XT!AC287,XT!AG287))=10)*(CHOOSE({1,2,3,4},XT!X287,XT!AB287,XT!AF287,XT!AJ287)))</f>
        <v>0</v>
      </c>
      <c r="AL287" t="str">
        <f>IFERROR(INDEX(CHOOSE({1,2,3,4}, DAY(XT!U287), DAY(XT!Y287), DAY(XT!AC287), DAY(XT!AG287)), MATCH(1, INDEX(--(MONTH(CHOOSE({1,2,3,4}, XT!U287,XT!Y287,XT!AC287,XT!AG287))=10), 0), 0)), "")</f>
        <v/>
      </c>
      <c r="AM287" s="12" t="str">
        <f>IF(XT!$P287&gt;0,AL287,"")</f>
        <v/>
      </c>
      <c r="AN287" s="12" t="str">
        <f>IF(XT!$P287=0,AL287,"")</f>
        <v/>
      </c>
      <c r="AO287">
        <f>SUMPRODUCT((MONTH(CHOOSE({1,2,3,4},XT!U287,XT!Y287,XT!AC287,XT!AG287))=11)*(CHOOSE({1,2,3,4},XT!X287,XT!AB287,XT!AF287,XT!AJ287)))</f>
        <v>0</v>
      </c>
      <c r="AP287" t="str">
        <f>IFERROR(INDEX(CHOOSE({1,2,3,4}, DAY(XT!U287), DAY(XT!Y287), DAY(XT!AC287), DAY(XT!AG287)), MATCH(1, INDEX(--(MONTH(CHOOSE({1,2,3,4}, XT!U287,XT!Y287,XT!AC287,XT!AG287))=11), 0), 0)), "")</f>
        <v/>
      </c>
      <c r="AQ287" s="12" t="str">
        <f>IF(XT!$P287&gt;0,AP287,"")</f>
        <v/>
      </c>
      <c r="AR287" s="12" t="str">
        <f>IF(XT!$P287=0,AP287,"")</f>
        <v/>
      </c>
      <c r="AS287">
        <f>SUMPRODUCT((MONTH(CHOOSE({1,2,3,4},XT!U287,XT!Y287,XT!AC287,XT!AG287))=12)*(CHOOSE({1,2,3,4},XT!X287,XT!AB287,XT!AF287,XT!AJ287)))</f>
        <v>0</v>
      </c>
      <c r="AT287" t="str">
        <f>IFERROR(INDEX(CHOOSE({1,2,3,4}, DAY(XT!U287), DAY(XT!Y287), DAY(XT!AC287), DAY(XT!AG287)), MATCH(1, INDEX(--(MONTH(CHOOSE({1,2,3,4}, XT!U287,XT!Y287,XT!AC287,XT!AG287))=12), 0), 0)), "")</f>
        <v/>
      </c>
      <c r="AU287" s="12" t="str">
        <f>IF(XT!$P287&gt;0,AT287,"")</f>
        <v/>
      </c>
      <c r="AV287" s="12" t="str">
        <f>IF(XT!$P287=0,AT287,"")</f>
        <v/>
      </c>
    </row>
    <row r="288" spans="1:48">
      <c r="A288">
        <f>SUMPRODUCT((MONTH(CHOOSE({1,2,3,4},XT!U288,XT!Y288,XT!AC288,XT!AG288))=1)*(CHOOSE({1,2,3,4},XT!X288,XT!AB288,XT!AF288,XT!AJ288)))</f>
        <v>0</v>
      </c>
      <c r="B288">
        <f>IFERROR(INDEX(CHOOSE({1,2,3,4}, DAY(XT!U288), DAY(XT!Y288), DAY(XT!AC288), DAY(XT!AG288)), MATCH(1, INDEX(--(MONTH(CHOOSE({1,2,3,4}, XT!U288,XT!Y288,XT!AC288,XT!AG288))=1), 0), 0)), "")</f>
        <v>0</v>
      </c>
      <c r="C288" s="12" t="str">
        <f>IF(XT!$P288&gt;0,B288,"")</f>
        <v/>
      </c>
      <c r="D288" s="12">
        <f>IF(XT!$P288=0,B288,"")</f>
        <v>0</v>
      </c>
      <c r="E288">
        <f>SUMPRODUCT((MONTH(CHOOSE({1,2,3,4},XT!U288,XT!Y288,XT!AC288,XT!AG288))=2)*(CHOOSE({1,2,3,4},XT!X288,XT!AB288,XT!AF288,XT!AJ288)))</f>
        <v>0</v>
      </c>
      <c r="F288" t="str">
        <f>IFERROR(INDEX(CHOOSE({1,2,3,4}, DAY(XT!U288), DAY(XT!Y288), DAY(XT!AC288), DAY(XT!AG288)), MATCH(1, INDEX(--(MONTH(CHOOSE({1,2,3,4}, XT!U288,XT!Y288,XT!AC288,XT!AG288))=2), 0), 0)), "")</f>
        <v/>
      </c>
      <c r="G288" s="12" t="str">
        <f>IF(XT!$P288&gt;0,F288,"")</f>
        <v/>
      </c>
      <c r="H288" s="12" t="str">
        <f>IF(XT!$P288=0,F288,"")</f>
        <v/>
      </c>
      <c r="I288">
        <f>SUMPRODUCT((MONTH(CHOOSE({1,2,3,4},XT!U288,XT!Y288,XT!AC288,XT!AG288))=3)*(CHOOSE({1,2,3,4},XT!X288,XT!AB288,XT!AF288,XT!AJ288)))</f>
        <v>0</v>
      </c>
      <c r="J288" t="str">
        <f>IFERROR(INDEX(CHOOSE({1,2,3,4}, DAY(XT!U288), DAY(XT!Y288), DAY(XT!AC288), DAY(XT!AG288)), MATCH(1, INDEX(--(MONTH(CHOOSE({1,2,3,4}, XT!U288,XT!Y288,XT!AC288,XT!AG288))=3), 0), 0)), "")</f>
        <v/>
      </c>
      <c r="K288" s="12" t="str">
        <f>IF(XT!$P288&gt;0,J288,"")</f>
        <v/>
      </c>
      <c r="L288" s="12" t="str">
        <f>IF(XT!$P288=0,J288,"")</f>
        <v/>
      </c>
      <c r="M288">
        <f>SUMPRODUCT((MONTH(CHOOSE({1,2,3,4},XT!U288,XT!Y288,XT!AC288,XT!AG288))=4)*(CHOOSE({1,2,3,4},XT!X288,XT!AB288,XT!AF288,XT!AJ288)))</f>
        <v>0</v>
      </c>
      <c r="N288" t="str">
        <f>IFERROR(INDEX(CHOOSE({1,2,3,4}, DAY(XT!U288), DAY(XT!Y288), DAY(XT!AC288), DAY(XT!AG288)), MATCH(1, INDEX(--(MONTH(CHOOSE({1,2,3,4}, XT!U288,XT!Y288,XT!AC288,XT!AG288))=4), 0), 0)), "")</f>
        <v/>
      </c>
      <c r="O288" s="12" t="str">
        <f>IF(XT!$P288&gt;0,N288,"")</f>
        <v/>
      </c>
      <c r="P288" s="12" t="str">
        <f>IF(XT!$P288=0,N288,"")</f>
        <v/>
      </c>
      <c r="Q288">
        <f>SUMPRODUCT((MONTH(CHOOSE({1,2,3,4},XT!U288,XT!Y288,XT!AC288,XT!AG288))=5)*(CHOOSE({1,2,3,4},XT!X288,XT!AB288,XT!AF288,XT!AJ288)))</f>
        <v>0</v>
      </c>
      <c r="R288" t="str">
        <f>IFERROR(INDEX(CHOOSE({1,2,3,4}, DAY(XT!U288), DAY(XT!Y288), DAY(XT!AC288), DAY(XT!AG288)), MATCH(1, INDEX(--(MONTH(CHOOSE({1,2,3,4}, XT!U288,XT!Y288,XT!AC288,XT!AG288))=5), 0), 0)), "")</f>
        <v/>
      </c>
      <c r="S288" s="12" t="str">
        <f>IF(XT!$P288&gt;0,R288,"")</f>
        <v/>
      </c>
      <c r="T288" s="12" t="str">
        <f>IF(XT!$P288=0,R288,"")</f>
        <v/>
      </c>
      <c r="U288">
        <f>SUMPRODUCT((MONTH(CHOOSE({1,2,3,4},XT!U288,XT!Y288,XT!AC288,XT!AG288))=6)*(CHOOSE({1,2,3,4},XT!X288,XT!AB288,XT!AF288,XT!AJ288)))</f>
        <v>0</v>
      </c>
      <c r="V288" t="str">
        <f>IFERROR(INDEX(CHOOSE({1,2,3,4}, DAY(XT!U288), DAY(XT!Y288), DAY(XT!AC288), DAY(XT!AG288)), MATCH(1, INDEX(--(MONTH(CHOOSE({1,2,3,4}, XT!U288,XT!Y288,XT!AC288,XT!AG288))=6), 0), 0)), "")</f>
        <v/>
      </c>
      <c r="W288" s="12" t="str">
        <f>IF(XT!$P288&gt;0,V288,"")</f>
        <v/>
      </c>
      <c r="X288" s="12" t="str">
        <f>IF(XT!$P288=0,V288,"")</f>
        <v/>
      </c>
      <c r="Y288">
        <f>SUMPRODUCT((MONTH(CHOOSE({1,2,3,4},XT!U288,XT!Y288,XT!AC288,XT!AG288))=7)*(CHOOSE({1,2,3,4},XT!X288,XT!AB288,XT!AF288,XT!AJ288)))</f>
        <v>0</v>
      </c>
      <c r="Z288" t="str">
        <f>IFERROR(INDEX(CHOOSE({1,2,3,4}, DAY(XT!U288), DAY(XT!Y288), DAY(XT!AC288), DAY(XT!AG288)), MATCH(1, INDEX(--(MONTH(CHOOSE({1,2,3,4}, XT!U288,XT!Y288,XT!AC288,XT!AG288))=7), 0), 0)), "")</f>
        <v/>
      </c>
      <c r="AA288" s="12" t="str">
        <f>IF(XT!$P288&gt;0,Z288,"")</f>
        <v/>
      </c>
      <c r="AB288" s="12" t="str">
        <f>IF(XT!$P288=0,Z288,"")</f>
        <v/>
      </c>
      <c r="AC288">
        <f>SUMPRODUCT((MONTH(CHOOSE({1,2,3,4},XT!U288,XT!Y288,XT!AC288,XT!AG288))=8)*(CHOOSE({1,2,3,4},XT!X288,XT!AB288,XT!AF288,XT!AJ288)))</f>
        <v>0</v>
      </c>
      <c r="AD288" t="str">
        <f>IFERROR(INDEX(CHOOSE({1,2,3,4}, DAY(XT!U288), DAY(XT!Y288), DAY(XT!AC288), DAY(XT!AG288)), MATCH(1, INDEX(--(MONTH(CHOOSE({1,2,3,4}, XT!U288,XT!Y288,XT!AC288,XT!AG288))=8), 0), 0)), "")</f>
        <v/>
      </c>
      <c r="AE288" s="12" t="str">
        <f>IF(XT!$P288&gt;0,AD288,"")</f>
        <v/>
      </c>
      <c r="AF288" s="12" t="str">
        <f>IF(XT!$P288=0,AD288,"")</f>
        <v/>
      </c>
      <c r="AG288">
        <f>SUMPRODUCT((MONTH(CHOOSE({1,2,3,4},XT!U288,XT!Y288,XT!AC288,XT!AG288))=9)*(CHOOSE({1,2,3,4},XT!X288,XT!AB288,XT!AF288,XT!AJ288)))</f>
        <v>0</v>
      </c>
      <c r="AH288" t="str">
        <f>IFERROR(INDEX(CHOOSE({1,2,3,4}, DAY(XT!U288), DAY(XT!Y288), DAY(XT!AC288), DAY(XT!AG288)), MATCH(1, INDEX(--(MONTH(CHOOSE({1,2,3,4}, XT!U288,XT!Y288,XT!AC288,XT!AG288))=9), 0), 0)), "")</f>
        <v/>
      </c>
      <c r="AI288" s="12" t="str">
        <f>IF(XT!$P288&gt;0,AH288,"")</f>
        <v/>
      </c>
      <c r="AJ288" s="12" t="str">
        <f>IF(XT!$P288=0,AH288,"")</f>
        <v/>
      </c>
      <c r="AK288">
        <f>SUMPRODUCT((MONTH(CHOOSE({1,2,3,4},XT!U288,XT!Y288,XT!AC288,XT!AG288))=10)*(CHOOSE({1,2,3,4},XT!X288,XT!AB288,XT!AF288,XT!AJ288)))</f>
        <v>0</v>
      </c>
      <c r="AL288" t="str">
        <f>IFERROR(INDEX(CHOOSE({1,2,3,4}, DAY(XT!U288), DAY(XT!Y288), DAY(XT!AC288), DAY(XT!AG288)), MATCH(1, INDEX(--(MONTH(CHOOSE({1,2,3,4}, XT!U288,XT!Y288,XT!AC288,XT!AG288))=10), 0), 0)), "")</f>
        <v/>
      </c>
      <c r="AM288" s="12" t="str">
        <f>IF(XT!$P288&gt;0,AL288,"")</f>
        <v/>
      </c>
      <c r="AN288" s="12" t="str">
        <f>IF(XT!$P288=0,AL288,"")</f>
        <v/>
      </c>
      <c r="AO288">
        <f>SUMPRODUCT((MONTH(CHOOSE({1,2,3,4},XT!U288,XT!Y288,XT!AC288,XT!AG288))=11)*(CHOOSE({1,2,3,4},XT!X288,XT!AB288,XT!AF288,XT!AJ288)))</f>
        <v>0</v>
      </c>
      <c r="AP288" t="str">
        <f>IFERROR(INDEX(CHOOSE({1,2,3,4}, DAY(XT!U288), DAY(XT!Y288), DAY(XT!AC288), DAY(XT!AG288)), MATCH(1, INDEX(--(MONTH(CHOOSE({1,2,3,4}, XT!U288,XT!Y288,XT!AC288,XT!AG288))=11), 0), 0)), "")</f>
        <v/>
      </c>
      <c r="AQ288" s="12" t="str">
        <f>IF(XT!$P288&gt;0,AP288,"")</f>
        <v/>
      </c>
      <c r="AR288" s="12" t="str">
        <f>IF(XT!$P288=0,AP288,"")</f>
        <v/>
      </c>
      <c r="AS288">
        <f>SUMPRODUCT((MONTH(CHOOSE({1,2,3,4},XT!U288,XT!Y288,XT!AC288,XT!AG288))=12)*(CHOOSE({1,2,3,4},XT!X288,XT!AB288,XT!AF288,XT!AJ288)))</f>
        <v>0</v>
      </c>
      <c r="AT288" t="str">
        <f>IFERROR(INDEX(CHOOSE({1,2,3,4}, DAY(XT!U288), DAY(XT!Y288), DAY(XT!AC288), DAY(XT!AG288)), MATCH(1, INDEX(--(MONTH(CHOOSE({1,2,3,4}, XT!U288,XT!Y288,XT!AC288,XT!AG288))=12), 0), 0)), "")</f>
        <v/>
      </c>
      <c r="AU288" s="12" t="str">
        <f>IF(XT!$P288&gt;0,AT288,"")</f>
        <v/>
      </c>
      <c r="AV288" s="12" t="str">
        <f>IF(XT!$P288=0,AT288,"")</f>
        <v/>
      </c>
    </row>
    <row r="289" spans="1:48">
      <c r="A289">
        <f>SUMPRODUCT((MONTH(CHOOSE({1,2,3,4},XT!U289,XT!Y289,XT!AC289,XT!AG289))=1)*(CHOOSE({1,2,3,4},XT!X289,XT!AB289,XT!AF289,XT!AJ289)))</f>
        <v>0</v>
      </c>
      <c r="B289">
        <f>IFERROR(INDEX(CHOOSE({1,2,3,4}, DAY(XT!U289), DAY(XT!Y289), DAY(XT!AC289), DAY(XT!AG289)), MATCH(1, INDEX(--(MONTH(CHOOSE({1,2,3,4}, XT!U289,XT!Y289,XT!AC289,XT!AG289))=1), 0), 0)), "")</f>
        <v>0</v>
      </c>
      <c r="C289" s="12" t="str">
        <f>IF(XT!$P289&gt;0,B289,"")</f>
        <v/>
      </c>
      <c r="D289" s="12">
        <f>IF(XT!$P289=0,B289,"")</f>
        <v>0</v>
      </c>
      <c r="E289">
        <f>SUMPRODUCT((MONTH(CHOOSE({1,2,3,4},XT!U289,XT!Y289,XT!AC289,XT!AG289))=2)*(CHOOSE({1,2,3,4},XT!X289,XT!AB289,XT!AF289,XT!AJ289)))</f>
        <v>0</v>
      </c>
      <c r="F289" t="str">
        <f>IFERROR(INDEX(CHOOSE({1,2,3,4}, DAY(XT!U289), DAY(XT!Y289), DAY(XT!AC289), DAY(XT!AG289)), MATCH(1, INDEX(--(MONTH(CHOOSE({1,2,3,4}, XT!U289,XT!Y289,XT!AC289,XT!AG289))=2), 0), 0)), "")</f>
        <v/>
      </c>
      <c r="G289" s="12" t="str">
        <f>IF(XT!$P289&gt;0,F289,"")</f>
        <v/>
      </c>
      <c r="H289" s="12" t="str">
        <f>IF(XT!$P289=0,F289,"")</f>
        <v/>
      </c>
      <c r="I289">
        <f>SUMPRODUCT((MONTH(CHOOSE({1,2,3,4},XT!U289,XT!Y289,XT!AC289,XT!AG289))=3)*(CHOOSE({1,2,3,4},XT!X289,XT!AB289,XT!AF289,XT!AJ289)))</f>
        <v>0</v>
      </c>
      <c r="J289" t="str">
        <f>IFERROR(INDEX(CHOOSE({1,2,3,4}, DAY(XT!U289), DAY(XT!Y289), DAY(XT!AC289), DAY(XT!AG289)), MATCH(1, INDEX(--(MONTH(CHOOSE({1,2,3,4}, XT!U289,XT!Y289,XT!AC289,XT!AG289))=3), 0), 0)), "")</f>
        <v/>
      </c>
      <c r="K289" s="12" t="str">
        <f>IF(XT!$P289&gt;0,J289,"")</f>
        <v/>
      </c>
      <c r="L289" s="12" t="str">
        <f>IF(XT!$P289=0,J289,"")</f>
        <v/>
      </c>
      <c r="M289">
        <f>SUMPRODUCT((MONTH(CHOOSE({1,2,3,4},XT!U289,XT!Y289,XT!AC289,XT!AG289))=4)*(CHOOSE({1,2,3,4},XT!X289,XT!AB289,XT!AF289,XT!AJ289)))</f>
        <v>0</v>
      </c>
      <c r="N289" t="str">
        <f>IFERROR(INDEX(CHOOSE({1,2,3,4}, DAY(XT!U289), DAY(XT!Y289), DAY(XT!AC289), DAY(XT!AG289)), MATCH(1, INDEX(--(MONTH(CHOOSE({1,2,3,4}, XT!U289,XT!Y289,XT!AC289,XT!AG289))=4), 0), 0)), "")</f>
        <v/>
      </c>
      <c r="O289" s="12" t="str">
        <f>IF(XT!$P289&gt;0,N289,"")</f>
        <v/>
      </c>
      <c r="P289" s="12" t="str">
        <f>IF(XT!$P289=0,N289,"")</f>
        <v/>
      </c>
      <c r="Q289">
        <f>SUMPRODUCT((MONTH(CHOOSE({1,2,3,4},XT!U289,XT!Y289,XT!AC289,XT!AG289))=5)*(CHOOSE({1,2,3,4},XT!X289,XT!AB289,XT!AF289,XT!AJ289)))</f>
        <v>0</v>
      </c>
      <c r="R289" t="str">
        <f>IFERROR(INDEX(CHOOSE({1,2,3,4}, DAY(XT!U289), DAY(XT!Y289), DAY(XT!AC289), DAY(XT!AG289)), MATCH(1, INDEX(--(MONTH(CHOOSE({1,2,3,4}, XT!U289,XT!Y289,XT!AC289,XT!AG289))=5), 0), 0)), "")</f>
        <v/>
      </c>
      <c r="S289" s="12" t="str">
        <f>IF(XT!$P289&gt;0,R289,"")</f>
        <v/>
      </c>
      <c r="T289" s="12" t="str">
        <f>IF(XT!$P289=0,R289,"")</f>
        <v/>
      </c>
      <c r="U289">
        <f>SUMPRODUCT((MONTH(CHOOSE({1,2,3,4},XT!U289,XT!Y289,XT!AC289,XT!AG289))=6)*(CHOOSE({1,2,3,4},XT!X289,XT!AB289,XT!AF289,XT!AJ289)))</f>
        <v>0</v>
      </c>
      <c r="V289" t="str">
        <f>IFERROR(INDEX(CHOOSE({1,2,3,4}, DAY(XT!U289), DAY(XT!Y289), DAY(XT!AC289), DAY(XT!AG289)), MATCH(1, INDEX(--(MONTH(CHOOSE({1,2,3,4}, XT!U289,XT!Y289,XT!AC289,XT!AG289))=6), 0), 0)), "")</f>
        <v/>
      </c>
      <c r="W289" s="12" t="str">
        <f>IF(XT!$P289&gt;0,V289,"")</f>
        <v/>
      </c>
      <c r="X289" s="12" t="str">
        <f>IF(XT!$P289=0,V289,"")</f>
        <v/>
      </c>
      <c r="Y289">
        <f>SUMPRODUCT((MONTH(CHOOSE({1,2,3,4},XT!U289,XT!Y289,XT!AC289,XT!AG289))=7)*(CHOOSE({1,2,3,4},XT!X289,XT!AB289,XT!AF289,XT!AJ289)))</f>
        <v>0</v>
      </c>
      <c r="Z289" t="str">
        <f>IFERROR(INDEX(CHOOSE({1,2,3,4}, DAY(XT!U289), DAY(XT!Y289), DAY(XT!AC289), DAY(XT!AG289)), MATCH(1, INDEX(--(MONTH(CHOOSE({1,2,3,4}, XT!U289,XT!Y289,XT!AC289,XT!AG289))=7), 0), 0)), "")</f>
        <v/>
      </c>
      <c r="AA289" s="12" t="str">
        <f>IF(XT!$P289&gt;0,Z289,"")</f>
        <v/>
      </c>
      <c r="AB289" s="12" t="str">
        <f>IF(XT!$P289=0,Z289,"")</f>
        <v/>
      </c>
      <c r="AC289">
        <f>SUMPRODUCT((MONTH(CHOOSE({1,2,3,4},XT!U289,XT!Y289,XT!AC289,XT!AG289))=8)*(CHOOSE({1,2,3,4},XT!X289,XT!AB289,XT!AF289,XT!AJ289)))</f>
        <v>0</v>
      </c>
      <c r="AD289" t="str">
        <f>IFERROR(INDEX(CHOOSE({1,2,3,4}, DAY(XT!U289), DAY(XT!Y289), DAY(XT!AC289), DAY(XT!AG289)), MATCH(1, INDEX(--(MONTH(CHOOSE({1,2,3,4}, XT!U289,XT!Y289,XT!AC289,XT!AG289))=8), 0), 0)), "")</f>
        <v/>
      </c>
      <c r="AE289" s="12" t="str">
        <f>IF(XT!$P289&gt;0,AD289,"")</f>
        <v/>
      </c>
      <c r="AF289" s="12" t="str">
        <f>IF(XT!$P289=0,AD289,"")</f>
        <v/>
      </c>
      <c r="AG289">
        <f>SUMPRODUCT((MONTH(CHOOSE({1,2,3,4},XT!U289,XT!Y289,XT!AC289,XT!AG289))=9)*(CHOOSE({1,2,3,4},XT!X289,XT!AB289,XT!AF289,XT!AJ289)))</f>
        <v>0</v>
      </c>
      <c r="AH289" t="str">
        <f>IFERROR(INDEX(CHOOSE({1,2,3,4}, DAY(XT!U289), DAY(XT!Y289), DAY(XT!AC289), DAY(XT!AG289)), MATCH(1, INDEX(--(MONTH(CHOOSE({1,2,3,4}, XT!U289,XT!Y289,XT!AC289,XT!AG289))=9), 0), 0)), "")</f>
        <v/>
      </c>
      <c r="AI289" s="12" t="str">
        <f>IF(XT!$P289&gt;0,AH289,"")</f>
        <v/>
      </c>
      <c r="AJ289" s="12" t="str">
        <f>IF(XT!$P289=0,AH289,"")</f>
        <v/>
      </c>
      <c r="AK289">
        <f>SUMPRODUCT((MONTH(CHOOSE({1,2,3,4},XT!U289,XT!Y289,XT!AC289,XT!AG289))=10)*(CHOOSE({1,2,3,4},XT!X289,XT!AB289,XT!AF289,XT!AJ289)))</f>
        <v>0</v>
      </c>
      <c r="AL289" t="str">
        <f>IFERROR(INDEX(CHOOSE({1,2,3,4}, DAY(XT!U289), DAY(XT!Y289), DAY(XT!AC289), DAY(XT!AG289)), MATCH(1, INDEX(--(MONTH(CHOOSE({1,2,3,4}, XT!U289,XT!Y289,XT!AC289,XT!AG289))=10), 0), 0)), "")</f>
        <v/>
      </c>
      <c r="AM289" s="12" t="str">
        <f>IF(XT!$P289&gt;0,AL289,"")</f>
        <v/>
      </c>
      <c r="AN289" s="12" t="str">
        <f>IF(XT!$P289=0,AL289,"")</f>
        <v/>
      </c>
      <c r="AO289">
        <f>SUMPRODUCT((MONTH(CHOOSE({1,2,3,4},XT!U289,XT!Y289,XT!AC289,XT!AG289))=11)*(CHOOSE({1,2,3,4},XT!X289,XT!AB289,XT!AF289,XT!AJ289)))</f>
        <v>0</v>
      </c>
      <c r="AP289" t="str">
        <f>IFERROR(INDEX(CHOOSE({1,2,3,4}, DAY(XT!U289), DAY(XT!Y289), DAY(XT!AC289), DAY(XT!AG289)), MATCH(1, INDEX(--(MONTH(CHOOSE({1,2,3,4}, XT!U289,XT!Y289,XT!AC289,XT!AG289))=11), 0), 0)), "")</f>
        <v/>
      </c>
      <c r="AQ289" s="12" t="str">
        <f>IF(XT!$P289&gt;0,AP289,"")</f>
        <v/>
      </c>
      <c r="AR289" s="12" t="str">
        <f>IF(XT!$P289=0,AP289,"")</f>
        <v/>
      </c>
      <c r="AS289">
        <f>SUMPRODUCT((MONTH(CHOOSE({1,2,3,4},XT!U289,XT!Y289,XT!AC289,XT!AG289))=12)*(CHOOSE({1,2,3,4},XT!X289,XT!AB289,XT!AF289,XT!AJ289)))</f>
        <v>0</v>
      </c>
      <c r="AT289" t="str">
        <f>IFERROR(INDEX(CHOOSE({1,2,3,4}, DAY(XT!U289), DAY(XT!Y289), DAY(XT!AC289), DAY(XT!AG289)), MATCH(1, INDEX(--(MONTH(CHOOSE({1,2,3,4}, XT!U289,XT!Y289,XT!AC289,XT!AG289))=12), 0), 0)), "")</f>
        <v/>
      </c>
      <c r="AU289" s="12" t="str">
        <f>IF(XT!$P289&gt;0,AT289,"")</f>
        <v/>
      </c>
      <c r="AV289" s="12" t="str">
        <f>IF(XT!$P289=0,AT289,"")</f>
        <v/>
      </c>
    </row>
    <row r="290" spans="1:48">
      <c r="A290">
        <f>SUMPRODUCT((MONTH(CHOOSE({1,2,3,4},XT!U290,XT!Y290,XT!AC290,XT!AG290))=1)*(CHOOSE({1,2,3,4},XT!X290,XT!AB290,XT!AF290,XT!AJ290)))</f>
        <v>0</v>
      </c>
      <c r="B290">
        <f>IFERROR(INDEX(CHOOSE({1,2,3,4}, DAY(XT!U290), DAY(XT!Y290), DAY(XT!AC290), DAY(XT!AG290)), MATCH(1, INDEX(--(MONTH(CHOOSE({1,2,3,4}, XT!U290,XT!Y290,XT!AC290,XT!AG290))=1), 0), 0)), "")</f>
        <v>0</v>
      </c>
      <c r="C290" s="12" t="str">
        <f>IF(XT!$P290&gt;0,B290,"")</f>
        <v/>
      </c>
      <c r="D290" s="12">
        <f>IF(XT!$P290=0,B290,"")</f>
        <v>0</v>
      </c>
      <c r="E290">
        <f>SUMPRODUCT((MONTH(CHOOSE({1,2,3,4},XT!U290,XT!Y290,XT!AC290,XT!AG290))=2)*(CHOOSE({1,2,3,4},XT!X290,XT!AB290,XT!AF290,XT!AJ290)))</f>
        <v>0</v>
      </c>
      <c r="F290" t="str">
        <f>IFERROR(INDEX(CHOOSE({1,2,3,4}, DAY(XT!U290), DAY(XT!Y290), DAY(XT!AC290), DAY(XT!AG290)), MATCH(1, INDEX(--(MONTH(CHOOSE({1,2,3,4}, XT!U290,XT!Y290,XT!AC290,XT!AG290))=2), 0), 0)), "")</f>
        <v/>
      </c>
      <c r="G290" s="12" t="str">
        <f>IF(XT!$P290&gt;0,F290,"")</f>
        <v/>
      </c>
      <c r="H290" s="12" t="str">
        <f>IF(XT!$P290=0,F290,"")</f>
        <v/>
      </c>
      <c r="I290">
        <f>SUMPRODUCT((MONTH(CHOOSE({1,2,3,4},XT!U290,XT!Y290,XT!AC290,XT!AG290))=3)*(CHOOSE({1,2,3,4},XT!X290,XT!AB290,XT!AF290,XT!AJ290)))</f>
        <v>0</v>
      </c>
      <c r="J290" t="str">
        <f>IFERROR(INDEX(CHOOSE({1,2,3,4}, DAY(XT!U290), DAY(XT!Y290), DAY(XT!AC290), DAY(XT!AG290)), MATCH(1, INDEX(--(MONTH(CHOOSE({1,2,3,4}, XT!U290,XT!Y290,XT!AC290,XT!AG290))=3), 0), 0)), "")</f>
        <v/>
      </c>
      <c r="K290" s="12" t="str">
        <f>IF(XT!$P290&gt;0,J290,"")</f>
        <v/>
      </c>
      <c r="L290" s="12" t="str">
        <f>IF(XT!$P290=0,J290,"")</f>
        <v/>
      </c>
      <c r="M290">
        <f>SUMPRODUCT((MONTH(CHOOSE({1,2,3,4},XT!U290,XT!Y290,XT!AC290,XT!AG290))=4)*(CHOOSE({1,2,3,4},XT!X290,XT!AB290,XT!AF290,XT!AJ290)))</f>
        <v>0</v>
      </c>
      <c r="N290" t="str">
        <f>IFERROR(INDEX(CHOOSE({1,2,3,4}, DAY(XT!U290), DAY(XT!Y290), DAY(XT!AC290), DAY(XT!AG290)), MATCH(1, INDEX(--(MONTH(CHOOSE({1,2,3,4}, XT!U290,XT!Y290,XT!AC290,XT!AG290))=4), 0), 0)), "")</f>
        <v/>
      </c>
      <c r="O290" s="12" t="str">
        <f>IF(XT!$P290&gt;0,N290,"")</f>
        <v/>
      </c>
      <c r="P290" s="12" t="str">
        <f>IF(XT!$P290=0,N290,"")</f>
        <v/>
      </c>
      <c r="Q290">
        <f>SUMPRODUCT((MONTH(CHOOSE({1,2,3,4},XT!U290,XT!Y290,XT!AC290,XT!AG290))=5)*(CHOOSE({1,2,3,4},XT!X290,XT!AB290,XT!AF290,XT!AJ290)))</f>
        <v>0</v>
      </c>
      <c r="R290" t="str">
        <f>IFERROR(INDEX(CHOOSE({1,2,3,4}, DAY(XT!U290), DAY(XT!Y290), DAY(XT!AC290), DAY(XT!AG290)), MATCH(1, INDEX(--(MONTH(CHOOSE({1,2,3,4}, XT!U290,XT!Y290,XT!AC290,XT!AG290))=5), 0), 0)), "")</f>
        <v/>
      </c>
      <c r="S290" s="12" t="str">
        <f>IF(XT!$P290&gt;0,R290,"")</f>
        <v/>
      </c>
      <c r="T290" s="12" t="str">
        <f>IF(XT!$P290=0,R290,"")</f>
        <v/>
      </c>
      <c r="U290">
        <f>SUMPRODUCT((MONTH(CHOOSE({1,2,3,4},XT!U290,XT!Y290,XT!AC290,XT!AG290))=6)*(CHOOSE({1,2,3,4},XT!X290,XT!AB290,XT!AF290,XT!AJ290)))</f>
        <v>0</v>
      </c>
      <c r="V290" t="str">
        <f>IFERROR(INDEX(CHOOSE({1,2,3,4}, DAY(XT!U290), DAY(XT!Y290), DAY(XT!AC290), DAY(XT!AG290)), MATCH(1, INDEX(--(MONTH(CHOOSE({1,2,3,4}, XT!U290,XT!Y290,XT!AC290,XT!AG290))=6), 0), 0)), "")</f>
        <v/>
      </c>
      <c r="W290" s="12" t="str">
        <f>IF(XT!$P290&gt;0,V290,"")</f>
        <v/>
      </c>
      <c r="X290" s="12" t="str">
        <f>IF(XT!$P290=0,V290,"")</f>
        <v/>
      </c>
      <c r="Y290">
        <f>SUMPRODUCT((MONTH(CHOOSE({1,2,3,4},XT!U290,XT!Y290,XT!AC290,XT!AG290))=7)*(CHOOSE({1,2,3,4},XT!X290,XT!AB290,XT!AF290,XT!AJ290)))</f>
        <v>0</v>
      </c>
      <c r="Z290" t="str">
        <f>IFERROR(INDEX(CHOOSE({1,2,3,4}, DAY(XT!U290), DAY(XT!Y290), DAY(XT!AC290), DAY(XT!AG290)), MATCH(1, INDEX(--(MONTH(CHOOSE({1,2,3,4}, XT!U290,XT!Y290,XT!AC290,XT!AG290))=7), 0), 0)), "")</f>
        <v/>
      </c>
      <c r="AA290" s="12" t="str">
        <f>IF(XT!$P290&gt;0,Z290,"")</f>
        <v/>
      </c>
      <c r="AB290" s="12" t="str">
        <f>IF(XT!$P290=0,Z290,"")</f>
        <v/>
      </c>
      <c r="AC290">
        <f>SUMPRODUCT((MONTH(CHOOSE({1,2,3,4},XT!U290,XT!Y290,XT!AC290,XT!AG290))=8)*(CHOOSE({1,2,3,4},XT!X290,XT!AB290,XT!AF290,XT!AJ290)))</f>
        <v>0</v>
      </c>
      <c r="AD290" t="str">
        <f>IFERROR(INDEX(CHOOSE({1,2,3,4}, DAY(XT!U290), DAY(XT!Y290), DAY(XT!AC290), DAY(XT!AG290)), MATCH(1, INDEX(--(MONTH(CHOOSE({1,2,3,4}, XT!U290,XT!Y290,XT!AC290,XT!AG290))=8), 0), 0)), "")</f>
        <v/>
      </c>
      <c r="AE290" s="12" t="str">
        <f>IF(XT!$P290&gt;0,AD290,"")</f>
        <v/>
      </c>
      <c r="AF290" s="12" t="str">
        <f>IF(XT!$P290=0,AD290,"")</f>
        <v/>
      </c>
      <c r="AG290">
        <f>SUMPRODUCT((MONTH(CHOOSE({1,2,3,4},XT!U290,XT!Y290,XT!AC290,XT!AG290))=9)*(CHOOSE({1,2,3,4},XT!X290,XT!AB290,XT!AF290,XT!AJ290)))</f>
        <v>0</v>
      </c>
      <c r="AH290" t="str">
        <f>IFERROR(INDEX(CHOOSE({1,2,3,4}, DAY(XT!U290), DAY(XT!Y290), DAY(XT!AC290), DAY(XT!AG290)), MATCH(1, INDEX(--(MONTH(CHOOSE({1,2,3,4}, XT!U290,XT!Y290,XT!AC290,XT!AG290))=9), 0), 0)), "")</f>
        <v/>
      </c>
      <c r="AI290" s="12" t="str">
        <f>IF(XT!$P290&gt;0,AH290,"")</f>
        <v/>
      </c>
      <c r="AJ290" s="12" t="str">
        <f>IF(XT!$P290=0,AH290,"")</f>
        <v/>
      </c>
      <c r="AK290">
        <f>SUMPRODUCT((MONTH(CHOOSE({1,2,3,4},XT!U290,XT!Y290,XT!AC290,XT!AG290))=10)*(CHOOSE({1,2,3,4},XT!X290,XT!AB290,XT!AF290,XT!AJ290)))</f>
        <v>0</v>
      </c>
      <c r="AL290" t="str">
        <f>IFERROR(INDEX(CHOOSE({1,2,3,4}, DAY(XT!U290), DAY(XT!Y290), DAY(XT!AC290), DAY(XT!AG290)), MATCH(1, INDEX(--(MONTH(CHOOSE({1,2,3,4}, XT!U290,XT!Y290,XT!AC290,XT!AG290))=10), 0), 0)), "")</f>
        <v/>
      </c>
      <c r="AM290" s="12" t="str">
        <f>IF(XT!$P290&gt;0,AL290,"")</f>
        <v/>
      </c>
      <c r="AN290" s="12" t="str">
        <f>IF(XT!$P290=0,AL290,"")</f>
        <v/>
      </c>
      <c r="AO290">
        <f>SUMPRODUCT((MONTH(CHOOSE({1,2,3,4},XT!U290,XT!Y290,XT!AC290,XT!AG290))=11)*(CHOOSE({1,2,3,4},XT!X290,XT!AB290,XT!AF290,XT!AJ290)))</f>
        <v>0</v>
      </c>
      <c r="AP290" t="str">
        <f>IFERROR(INDEX(CHOOSE({1,2,3,4}, DAY(XT!U290), DAY(XT!Y290), DAY(XT!AC290), DAY(XT!AG290)), MATCH(1, INDEX(--(MONTH(CHOOSE({1,2,3,4}, XT!U290,XT!Y290,XT!AC290,XT!AG290))=11), 0), 0)), "")</f>
        <v/>
      </c>
      <c r="AQ290" s="12" t="str">
        <f>IF(XT!$P290&gt;0,AP290,"")</f>
        <v/>
      </c>
      <c r="AR290" s="12" t="str">
        <f>IF(XT!$P290=0,AP290,"")</f>
        <v/>
      </c>
      <c r="AS290">
        <f>SUMPRODUCT((MONTH(CHOOSE({1,2,3,4},XT!U290,XT!Y290,XT!AC290,XT!AG290))=12)*(CHOOSE({1,2,3,4},XT!X290,XT!AB290,XT!AF290,XT!AJ290)))</f>
        <v>0</v>
      </c>
      <c r="AT290" t="str">
        <f>IFERROR(INDEX(CHOOSE({1,2,3,4}, DAY(XT!U290), DAY(XT!Y290), DAY(XT!AC290), DAY(XT!AG290)), MATCH(1, INDEX(--(MONTH(CHOOSE({1,2,3,4}, XT!U290,XT!Y290,XT!AC290,XT!AG290))=12), 0), 0)), "")</f>
        <v/>
      </c>
      <c r="AU290" s="12" t="str">
        <f>IF(XT!$P290&gt;0,AT290,"")</f>
        <v/>
      </c>
      <c r="AV290" s="12" t="str">
        <f>IF(XT!$P290=0,AT290,"")</f>
        <v/>
      </c>
    </row>
    <row r="291" spans="1:48">
      <c r="A291">
        <f>SUMPRODUCT((MONTH(CHOOSE({1,2,3,4},XT!U291,XT!Y291,XT!AC291,XT!AG291))=1)*(CHOOSE({1,2,3,4},XT!X291,XT!AB291,XT!AF291,XT!AJ291)))</f>
        <v>0</v>
      </c>
      <c r="B291">
        <f>IFERROR(INDEX(CHOOSE({1,2,3,4}, DAY(XT!U291), DAY(XT!Y291), DAY(XT!AC291), DAY(XT!AG291)), MATCH(1, INDEX(--(MONTH(CHOOSE({1,2,3,4}, XT!U291,XT!Y291,XT!AC291,XT!AG291))=1), 0), 0)), "")</f>
        <v>0</v>
      </c>
      <c r="C291" s="12" t="str">
        <f>IF(XT!$P291&gt;0,B291,"")</f>
        <v/>
      </c>
      <c r="D291" s="12">
        <f>IF(XT!$P291=0,B291,"")</f>
        <v>0</v>
      </c>
      <c r="E291">
        <f>SUMPRODUCT((MONTH(CHOOSE({1,2,3,4},XT!U291,XT!Y291,XT!AC291,XT!AG291))=2)*(CHOOSE({1,2,3,4},XT!X291,XT!AB291,XT!AF291,XT!AJ291)))</f>
        <v>0</v>
      </c>
      <c r="F291" t="str">
        <f>IFERROR(INDEX(CHOOSE({1,2,3,4}, DAY(XT!U291), DAY(XT!Y291), DAY(XT!AC291), DAY(XT!AG291)), MATCH(1, INDEX(--(MONTH(CHOOSE({1,2,3,4}, XT!U291,XT!Y291,XT!AC291,XT!AG291))=2), 0), 0)), "")</f>
        <v/>
      </c>
      <c r="G291" s="12" t="str">
        <f>IF(XT!$P291&gt;0,F291,"")</f>
        <v/>
      </c>
      <c r="H291" s="12" t="str">
        <f>IF(XT!$P291=0,F291,"")</f>
        <v/>
      </c>
      <c r="I291">
        <f>SUMPRODUCT((MONTH(CHOOSE({1,2,3,4},XT!U291,XT!Y291,XT!AC291,XT!AG291))=3)*(CHOOSE({1,2,3,4},XT!X291,XT!AB291,XT!AF291,XT!AJ291)))</f>
        <v>0</v>
      </c>
      <c r="J291" t="str">
        <f>IFERROR(INDEX(CHOOSE({1,2,3,4}, DAY(XT!U291), DAY(XT!Y291), DAY(XT!AC291), DAY(XT!AG291)), MATCH(1, INDEX(--(MONTH(CHOOSE({1,2,3,4}, XT!U291,XT!Y291,XT!AC291,XT!AG291))=3), 0), 0)), "")</f>
        <v/>
      </c>
      <c r="K291" s="12" t="str">
        <f>IF(XT!$P291&gt;0,J291,"")</f>
        <v/>
      </c>
      <c r="L291" s="12" t="str">
        <f>IF(XT!$P291=0,J291,"")</f>
        <v/>
      </c>
      <c r="M291">
        <f>SUMPRODUCT((MONTH(CHOOSE({1,2,3,4},XT!U291,XT!Y291,XT!AC291,XT!AG291))=4)*(CHOOSE({1,2,3,4},XT!X291,XT!AB291,XT!AF291,XT!AJ291)))</f>
        <v>0</v>
      </c>
      <c r="N291" t="str">
        <f>IFERROR(INDEX(CHOOSE({1,2,3,4}, DAY(XT!U291), DAY(XT!Y291), DAY(XT!AC291), DAY(XT!AG291)), MATCH(1, INDEX(--(MONTH(CHOOSE({1,2,3,4}, XT!U291,XT!Y291,XT!AC291,XT!AG291))=4), 0), 0)), "")</f>
        <v/>
      </c>
      <c r="O291" s="12" t="str">
        <f>IF(XT!$P291&gt;0,N291,"")</f>
        <v/>
      </c>
      <c r="P291" s="12" t="str">
        <f>IF(XT!$P291=0,N291,"")</f>
        <v/>
      </c>
      <c r="Q291">
        <f>SUMPRODUCT((MONTH(CHOOSE({1,2,3,4},XT!U291,XT!Y291,XT!AC291,XT!AG291))=5)*(CHOOSE({1,2,3,4},XT!X291,XT!AB291,XT!AF291,XT!AJ291)))</f>
        <v>0</v>
      </c>
      <c r="R291" t="str">
        <f>IFERROR(INDEX(CHOOSE({1,2,3,4}, DAY(XT!U291), DAY(XT!Y291), DAY(XT!AC291), DAY(XT!AG291)), MATCH(1, INDEX(--(MONTH(CHOOSE({1,2,3,4}, XT!U291,XT!Y291,XT!AC291,XT!AG291))=5), 0), 0)), "")</f>
        <v/>
      </c>
      <c r="S291" s="12" t="str">
        <f>IF(XT!$P291&gt;0,R291,"")</f>
        <v/>
      </c>
      <c r="T291" s="12" t="str">
        <f>IF(XT!$P291=0,R291,"")</f>
        <v/>
      </c>
      <c r="U291">
        <f>SUMPRODUCT((MONTH(CHOOSE({1,2,3,4},XT!U291,XT!Y291,XT!AC291,XT!AG291))=6)*(CHOOSE({1,2,3,4},XT!X291,XT!AB291,XT!AF291,XT!AJ291)))</f>
        <v>0</v>
      </c>
      <c r="V291" t="str">
        <f>IFERROR(INDEX(CHOOSE({1,2,3,4}, DAY(XT!U291), DAY(XT!Y291), DAY(XT!AC291), DAY(XT!AG291)), MATCH(1, INDEX(--(MONTH(CHOOSE({1,2,3,4}, XT!U291,XT!Y291,XT!AC291,XT!AG291))=6), 0), 0)), "")</f>
        <v/>
      </c>
      <c r="W291" s="12" t="str">
        <f>IF(XT!$P291&gt;0,V291,"")</f>
        <v/>
      </c>
      <c r="X291" s="12" t="str">
        <f>IF(XT!$P291=0,V291,"")</f>
        <v/>
      </c>
      <c r="Y291">
        <f>SUMPRODUCT((MONTH(CHOOSE({1,2,3,4},XT!U291,XT!Y291,XT!AC291,XT!AG291))=7)*(CHOOSE({1,2,3,4},XT!X291,XT!AB291,XT!AF291,XT!AJ291)))</f>
        <v>0</v>
      </c>
      <c r="Z291" t="str">
        <f>IFERROR(INDEX(CHOOSE({1,2,3,4}, DAY(XT!U291), DAY(XT!Y291), DAY(XT!AC291), DAY(XT!AG291)), MATCH(1, INDEX(--(MONTH(CHOOSE({1,2,3,4}, XT!U291,XT!Y291,XT!AC291,XT!AG291))=7), 0), 0)), "")</f>
        <v/>
      </c>
      <c r="AA291" s="12" t="str">
        <f>IF(XT!$P291&gt;0,Z291,"")</f>
        <v/>
      </c>
      <c r="AB291" s="12" t="str">
        <f>IF(XT!$P291=0,Z291,"")</f>
        <v/>
      </c>
      <c r="AC291">
        <f>SUMPRODUCT((MONTH(CHOOSE({1,2,3,4},XT!U291,XT!Y291,XT!AC291,XT!AG291))=8)*(CHOOSE({1,2,3,4},XT!X291,XT!AB291,XT!AF291,XT!AJ291)))</f>
        <v>0</v>
      </c>
      <c r="AD291" t="str">
        <f>IFERROR(INDEX(CHOOSE({1,2,3,4}, DAY(XT!U291), DAY(XT!Y291), DAY(XT!AC291), DAY(XT!AG291)), MATCH(1, INDEX(--(MONTH(CHOOSE({1,2,3,4}, XT!U291,XT!Y291,XT!AC291,XT!AG291))=8), 0), 0)), "")</f>
        <v/>
      </c>
      <c r="AE291" s="12" t="str">
        <f>IF(XT!$P291&gt;0,AD291,"")</f>
        <v/>
      </c>
      <c r="AF291" s="12" t="str">
        <f>IF(XT!$P291=0,AD291,"")</f>
        <v/>
      </c>
      <c r="AG291">
        <f>SUMPRODUCT((MONTH(CHOOSE({1,2,3,4},XT!U291,XT!Y291,XT!AC291,XT!AG291))=9)*(CHOOSE({1,2,3,4},XT!X291,XT!AB291,XT!AF291,XT!AJ291)))</f>
        <v>0</v>
      </c>
      <c r="AH291" t="str">
        <f>IFERROR(INDEX(CHOOSE({1,2,3,4}, DAY(XT!U291), DAY(XT!Y291), DAY(XT!AC291), DAY(XT!AG291)), MATCH(1, INDEX(--(MONTH(CHOOSE({1,2,3,4}, XT!U291,XT!Y291,XT!AC291,XT!AG291))=9), 0), 0)), "")</f>
        <v/>
      </c>
      <c r="AI291" s="12" t="str">
        <f>IF(XT!$P291&gt;0,AH291,"")</f>
        <v/>
      </c>
      <c r="AJ291" s="12" t="str">
        <f>IF(XT!$P291=0,AH291,"")</f>
        <v/>
      </c>
      <c r="AK291">
        <f>SUMPRODUCT((MONTH(CHOOSE({1,2,3,4},XT!U291,XT!Y291,XT!AC291,XT!AG291))=10)*(CHOOSE({1,2,3,4},XT!X291,XT!AB291,XT!AF291,XT!AJ291)))</f>
        <v>0</v>
      </c>
      <c r="AL291" t="str">
        <f>IFERROR(INDEX(CHOOSE({1,2,3,4}, DAY(XT!U291), DAY(XT!Y291), DAY(XT!AC291), DAY(XT!AG291)), MATCH(1, INDEX(--(MONTH(CHOOSE({1,2,3,4}, XT!U291,XT!Y291,XT!AC291,XT!AG291))=10), 0), 0)), "")</f>
        <v/>
      </c>
      <c r="AM291" s="12" t="str">
        <f>IF(XT!$P291&gt;0,AL291,"")</f>
        <v/>
      </c>
      <c r="AN291" s="12" t="str">
        <f>IF(XT!$P291=0,AL291,"")</f>
        <v/>
      </c>
      <c r="AO291">
        <f>SUMPRODUCT((MONTH(CHOOSE({1,2,3,4},XT!U291,XT!Y291,XT!AC291,XT!AG291))=11)*(CHOOSE({1,2,3,4},XT!X291,XT!AB291,XT!AF291,XT!AJ291)))</f>
        <v>0</v>
      </c>
      <c r="AP291" t="str">
        <f>IFERROR(INDEX(CHOOSE({1,2,3,4}, DAY(XT!U291), DAY(XT!Y291), DAY(XT!AC291), DAY(XT!AG291)), MATCH(1, INDEX(--(MONTH(CHOOSE({1,2,3,4}, XT!U291,XT!Y291,XT!AC291,XT!AG291))=11), 0), 0)), "")</f>
        <v/>
      </c>
      <c r="AQ291" s="12" t="str">
        <f>IF(XT!$P291&gt;0,AP291,"")</f>
        <v/>
      </c>
      <c r="AR291" s="12" t="str">
        <f>IF(XT!$P291=0,AP291,"")</f>
        <v/>
      </c>
      <c r="AS291">
        <f>SUMPRODUCT((MONTH(CHOOSE({1,2,3,4},XT!U291,XT!Y291,XT!AC291,XT!AG291))=12)*(CHOOSE({1,2,3,4},XT!X291,XT!AB291,XT!AF291,XT!AJ291)))</f>
        <v>0</v>
      </c>
      <c r="AT291" t="str">
        <f>IFERROR(INDEX(CHOOSE({1,2,3,4}, DAY(XT!U291), DAY(XT!Y291), DAY(XT!AC291), DAY(XT!AG291)), MATCH(1, INDEX(--(MONTH(CHOOSE({1,2,3,4}, XT!U291,XT!Y291,XT!AC291,XT!AG291))=12), 0), 0)), "")</f>
        <v/>
      </c>
      <c r="AU291" s="12" t="str">
        <f>IF(XT!$P291&gt;0,AT291,"")</f>
        <v/>
      </c>
      <c r="AV291" s="12" t="str">
        <f>IF(XT!$P291=0,AT291,"")</f>
        <v/>
      </c>
    </row>
    <row r="292" spans="1:48">
      <c r="A292">
        <f>SUMPRODUCT((MONTH(CHOOSE({1,2,3,4},XT!U292,XT!Y292,XT!AC292,XT!AG292))=1)*(CHOOSE({1,2,3,4},XT!X292,XT!AB292,XT!AF292,XT!AJ292)))</f>
        <v>0</v>
      </c>
      <c r="B292">
        <f>IFERROR(INDEX(CHOOSE({1,2,3,4}, DAY(XT!U292), DAY(XT!Y292), DAY(XT!AC292), DAY(XT!AG292)), MATCH(1, INDEX(--(MONTH(CHOOSE({1,2,3,4}, XT!U292,XT!Y292,XT!AC292,XT!AG292))=1), 0), 0)), "")</f>
        <v>0</v>
      </c>
      <c r="C292" s="12" t="str">
        <f>IF(XT!$P292&gt;0,B292,"")</f>
        <v/>
      </c>
      <c r="D292" s="12">
        <f>IF(XT!$P292=0,B292,"")</f>
        <v>0</v>
      </c>
      <c r="E292">
        <f>SUMPRODUCT((MONTH(CHOOSE({1,2,3,4},XT!U292,XT!Y292,XT!AC292,XT!AG292))=2)*(CHOOSE({1,2,3,4},XT!X292,XT!AB292,XT!AF292,XT!AJ292)))</f>
        <v>0</v>
      </c>
      <c r="F292" t="str">
        <f>IFERROR(INDEX(CHOOSE({1,2,3,4}, DAY(XT!U292), DAY(XT!Y292), DAY(XT!AC292), DAY(XT!AG292)), MATCH(1, INDEX(--(MONTH(CHOOSE({1,2,3,4}, XT!U292,XT!Y292,XT!AC292,XT!AG292))=2), 0), 0)), "")</f>
        <v/>
      </c>
      <c r="G292" s="12" t="str">
        <f>IF(XT!$P292&gt;0,F292,"")</f>
        <v/>
      </c>
      <c r="H292" s="12" t="str">
        <f>IF(XT!$P292=0,F292,"")</f>
        <v/>
      </c>
      <c r="I292">
        <f>SUMPRODUCT((MONTH(CHOOSE({1,2,3,4},XT!U292,XT!Y292,XT!AC292,XT!AG292))=3)*(CHOOSE({1,2,3,4},XT!X292,XT!AB292,XT!AF292,XT!AJ292)))</f>
        <v>0</v>
      </c>
      <c r="J292" t="str">
        <f>IFERROR(INDEX(CHOOSE({1,2,3,4}, DAY(XT!U292), DAY(XT!Y292), DAY(XT!AC292), DAY(XT!AG292)), MATCH(1, INDEX(--(MONTH(CHOOSE({1,2,3,4}, XT!U292,XT!Y292,XT!AC292,XT!AG292))=3), 0), 0)), "")</f>
        <v/>
      </c>
      <c r="K292" s="12" t="str">
        <f>IF(XT!$P292&gt;0,J292,"")</f>
        <v/>
      </c>
      <c r="L292" s="12" t="str">
        <f>IF(XT!$P292=0,J292,"")</f>
        <v/>
      </c>
      <c r="M292">
        <f>SUMPRODUCT((MONTH(CHOOSE({1,2,3,4},XT!U292,XT!Y292,XT!AC292,XT!AG292))=4)*(CHOOSE({1,2,3,4},XT!X292,XT!AB292,XT!AF292,XT!AJ292)))</f>
        <v>0</v>
      </c>
      <c r="N292" t="str">
        <f>IFERROR(INDEX(CHOOSE({1,2,3,4}, DAY(XT!U292), DAY(XT!Y292), DAY(XT!AC292), DAY(XT!AG292)), MATCH(1, INDEX(--(MONTH(CHOOSE({1,2,3,4}, XT!U292,XT!Y292,XT!AC292,XT!AG292))=4), 0), 0)), "")</f>
        <v/>
      </c>
      <c r="O292" s="12" t="str">
        <f>IF(XT!$P292&gt;0,N292,"")</f>
        <v/>
      </c>
      <c r="P292" s="12" t="str">
        <f>IF(XT!$P292=0,N292,"")</f>
        <v/>
      </c>
      <c r="Q292">
        <f>SUMPRODUCT((MONTH(CHOOSE({1,2,3,4},XT!U292,XT!Y292,XT!AC292,XT!AG292))=5)*(CHOOSE({1,2,3,4},XT!X292,XT!AB292,XT!AF292,XT!AJ292)))</f>
        <v>0</v>
      </c>
      <c r="R292" t="str">
        <f>IFERROR(INDEX(CHOOSE({1,2,3,4}, DAY(XT!U292), DAY(XT!Y292), DAY(XT!AC292), DAY(XT!AG292)), MATCH(1, INDEX(--(MONTH(CHOOSE({1,2,3,4}, XT!U292,XT!Y292,XT!AC292,XT!AG292))=5), 0), 0)), "")</f>
        <v/>
      </c>
      <c r="S292" s="12" t="str">
        <f>IF(XT!$P292&gt;0,R292,"")</f>
        <v/>
      </c>
      <c r="T292" s="12" t="str">
        <f>IF(XT!$P292=0,R292,"")</f>
        <v/>
      </c>
      <c r="U292">
        <f>SUMPRODUCT((MONTH(CHOOSE({1,2,3,4},XT!U292,XT!Y292,XT!AC292,XT!AG292))=6)*(CHOOSE({1,2,3,4},XT!X292,XT!AB292,XT!AF292,XT!AJ292)))</f>
        <v>0</v>
      </c>
      <c r="V292" t="str">
        <f>IFERROR(INDEX(CHOOSE({1,2,3,4}, DAY(XT!U292), DAY(XT!Y292), DAY(XT!AC292), DAY(XT!AG292)), MATCH(1, INDEX(--(MONTH(CHOOSE({1,2,3,4}, XT!U292,XT!Y292,XT!AC292,XT!AG292))=6), 0), 0)), "")</f>
        <v/>
      </c>
      <c r="W292" s="12" t="str">
        <f>IF(XT!$P292&gt;0,V292,"")</f>
        <v/>
      </c>
      <c r="X292" s="12" t="str">
        <f>IF(XT!$P292=0,V292,"")</f>
        <v/>
      </c>
      <c r="Y292">
        <f>SUMPRODUCT((MONTH(CHOOSE({1,2,3,4},XT!U292,XT!Y292,XT!AC292,XT!AG292))=7)*(CHOOSE({1,2,3,4},XT!X292,XT!AB292,XT!AF292,XT!AJ292)))</f>
        <v>0</v>
      </c>
      <c r="Z292" t="str">
        <f>IFERROR(INDEX(CHOOSE({1,2,3,4}, DAY(XT!U292), DAY(XT!Y292), DAY(XT!AC292), DAY(XT!AG292)), MATCH(1, INDEX(--(MONTH(CHOOSE({1,2,3,4}, XT!U292,XT!Y292,XT!AC292,XT!AG292))=7), 0), 0)), "")</f>
        <v/>
      </c>
      <c r="AA292" s="12" t="str">
        <f>IF(XT!$P292&gt;0,Z292,"")</f>
        <v/>
      </c>
      <c r="AB292" s="12" t="str">
        <f>IF(XT!$P292=0,Z292,"")</f>
        <v/>
      </c>
      <c r="AC292">
        <f>SUMPRODUCT((MONTH(CHOOSE({1,2,3,4},XT!U292,XT!Y292,XT!AC292,XT!AG292))=8)*(CHOOSE({1,2,3,4},XT!X292,XT!AB292,XT!AF292,XT!AJ292)))</f>
        <v>0</v>
      </c>
      <c r="AD292" t="str">
        <f>IFERROR(INDEX(CHOOSE({1,2,3,4}, DAY(XT!U292), DAY(XT!Y292), DAY(XT!AC292), DAY(XT!AG292)), MATCH(1, INDEX(--(MONTH(CHOOSE({1,2,3,4}, XT!U292,XT!Y292,XT!AC292,XT!AG292))=8), 0), 0)), "")</f>
        <v/>
      </c>
      <c r="AE292" s="12" t="str">
        <f>IF(XT!$P292&gt;0,AD292,"")</f>
        <v/>
      </c>
      <c r="AF292" s="12" t="str">
        <f>IF(XT!$P292=0,AD292,"")</f>
        <v/>
      </c>
      <c r="AG292">
        <f>SUMPRODUCT((MONTH(CHOOSE({1,2,3,4},XT!U292,XT!Y292,XT!AC292,XT!AG292))=9)*(CHOOSE({1,2,3,4},XT!X292,XT!AB292,XT!AF292,XT!AJ292)))</f>
        <v>0</v>
      </c>
      <c r="AH292" t="str">
        <f>IFERROR(INDEX(CHOOSE({1,2,3,4}, DAY(XT!U292), DAY(XT!Y292), DAY(XT!AC292), DAY(XT!AG292)), MATCH(1, INDEX(--(MONTH(CHOOSE({1,2,3,4}, XT!U292,XT!Y292,XT!AC292,XT!AG292))=9), 0), 0)), "")</f>
        <v/>
      </c>
      <c r="AI292" s="12" t="str">
        <f>IF(XT!$P292&gt;0,AH292,"")</f>
        <v/>
      </c>
      <c r="AJ292" s="12" t="str">
        <f>IF(XT!$P292=0,AH292,"")</f>
        <v/>
      </c>
      <c r="AK292">
        <f>SUMPRODUCT((MONTH(CHOOSE({1,2,3,4},XT!U292,XT!Y292,XT!AC292,XT!AG292))=10)*(CHOOSE({1,2,3,4},XT!X292,XT!AB292,XT!AF292,XT!AJ292)))</f>
        <v>0</v>
      </c>
      <c r="AL292" t="str">
        <f>IFERROR(INDEX(CHOOSE({1,2,3,4}, DAY(XT!U292), DAY(XT!Y292), DAY(XT!AC292), DAY(XT!AG292)), MATCH(1, INDEX(--(MONTH(CHOOSE({1,2,3,4}, XT!U292,XT!Y292,XT!AC292,XT!AG292))=10), 0), 0)), "")</f>
        <v/>
      </c>
      <c r="AM292" s="12" t="str">
        <f>IF(XT!$P292&gt;0,AL292,"")</f>
        <v/>
      </c>
      <c r="AN292" s="12" t="str">
        <f>IF(XT!$P292=0,AL292,"")</f>
        <v/>
      </c>
      <c r="AO292">
        <f>SUMPRODUCT((MONTH(CHOOSE({1,2,3,4},XT!U292,XT!Y292,XT!AC292,XT!AG292))=11)*(CHOOSE({1,2,3,4},XT!X292,XT!AB292,XT!AF292,XT!AJ292)))</f>
        <v>0</v>
      </c>
      <c r="AP292" t="str">
        <f>IFERROR(INDEX(CHOOSE({1,2,3,4}, DAY(XT!U292), DAY(XT!Y292), DAY(XT!AC292), DAY(XT!AG292)), MATCH(1, INDEX(--(MONTH(CHOOSE({1,2,3,4}, XT!U292,XT!Y292,XT!AC292,XT!AG292))=11), 0), 0)), "")</f>
        <v/>
      </c>
      <c r="AQ292" s="12" t="str">
        <f>IF(XT!$P292&gt;0,AP292,"")</f>
        <v/>
      </c>
      <c r="AR292" s="12" t="str">
        <f>IF(XT!$P292=0,AP292,"")</f>
        <v/>
      </c>
      <c r="AS292">
        <f>SUMPRODUCT((MONTH(CHOOSE({1,2,3,4},XT!U292,XT!Y292,XT!AC292,XT!AG292))=12)*(CHOOSE({1,2,3,4},XT!X292,XT!AB292,XT!AF292,XT!AJ292)))</f>
        <v>0</v>
      </c>
      <c r="AT292" t="str">
        <f>IFERROR(INDEX(CHOOSE({1,2,3,4}, DAY(XT!U292), DAY(XT!Y292), DAY(XT!AC292), DAY(XT!AG292)), MATCH(1, INDEX(--(MONTH(CHOOSE({1,2,3,4}, XT!U292,XT!Y292,XT!AC292,XT!AG292))=12), 0), 0)), "")</f>
        <v/>
      </c>
      <c r="AU292" s="12" t="str">
        <f>IF(XT!$P292&gt;0,AT292,"")</f>
        <v/>
      </c>
      <c r="AV292" s="12" t="str">
        <f>IF(XT!$P292=0,AT292,"")</f>
        <v/>
      </c>
    </row>
    <row r="293" spans="1:48">
      <c r="A293">
        <f>SUMPRODUCT((MONTH(CHOOSE({1,2,3,4},XT!U293,XT!Y293,XT!AC293,XT!AG293))=1)*(CHOOSE({1,2,3,4},XT!X293,XT!AB293,XT!AF293,XT!AJ293)))</f>
        <v>0</v>
      </c>
      <c r="B293">
        <f>IFERROR(INDEX(CHOOSE({1,2,3,4}, DAY(XT!U293), DAY(XT!Y293), DAY(XT!AC293), DAY(XT!AG293)), MATCH(1, INDEX(--(MONTH(CHOOSE({1,2,3,4}, XT!U293,XT!Y293,XT!AC293,XT!AG293))=1), 0), 0)), "")</f>
        <v>0</v>
      </c>
      <c r="C293" s="12" t="str">
        <f>IF(XT!$P293&gt;0,B293,"")</f>
        <v/>
      </c>
      <c r="D293" s="12">
        <f>IF(XT!$P293=0,B293,"")</f>
        <v>0</v>
      </c>
      <c r="E293">
        <f>SUMPRODUCT((MONTH(CHOOSE({1,2,3,4},XT!U293,XT!Y293,XT!AC293,XT!AG293))=2)*(CHOOSE({1,2,3,4},XT!X293,XT!AB293,XT!AF293,XT!AJ293)))</f>
        <v>0</v>
      </c>
      <c r="F293" t="str">
        <f>IFERROR(INDEX(CHOOSE({1,2,3,4}, DAY(XT!U293), DAY(XT!Y293), DAY(XT!AC293), DAY(XT!AG293)), MATCH(1, INDEX(--(MONTH(CHOOSE({1,2,3,4}, XT!U293,XT!Y293,XT!AC293,XT!AG293))=2), 0), 0)), "")</f>
        <v/>
      </c>
      <c r="G293" s="12" t="str">
        <f>IF(XT!$P293&gt;0,F293,"")</f>
        <v/>
      </c>
      <c r="H293" s="12" t="str">
        <f>IF(XT!$P293=0,F293,"")</f>
        <v/>
      </c>
      <c r="I293">
        <f>SUMPRODUCT((MONTH(CHOOSE({1,2,3,4},XT!U293,XT!Y293,XT!AC293,XT!AG293))=3)*(CHOOSE({1,2,3,4},XT!X293,XT!AB293,XT!AF293,XT!AJ293)))</f>
        <v>0</v>
      </c>
      <c r="J293" t="str">
        <f>IFERROR(INDEX(CHOOSE({1,2,3,4}, DAY(XT!U293), DAY(XT!Y293), DAY(XT!AC293), DAY(XT!AG293)), MATCH(1, INDEX(--(MONTH(CHOOSE({1,2,3,4}, XT!U293,XT!Y293,XT!AC293,XT!AG293))=3), 0), 0)), "")</f>
        <v/>
      </c>
      <c r="K293" s="12" t="str">
        <f>IF(XT!$P293&gt;0,J293,"")</f>
        <v/>
      </c>
      <c r="L293" s="12" t="str">
        <f>IF(XT!$P293=0,J293,"")</f>
        <v/>
      </c>
      <c r="M293">
        <f>SUMPRODUCT((MONTH(CHOOSE({1,2,3,4},XT!U293,XT!Y293,XT!AC293,XT!AG293))=4)*(CHOOSE({1,2,3,4},XT!X293,XT!AB293,XT!AF293,XT!AJ293)))</f>
        <v>0</v>
      </c>
      <c r="N293" t="str">
        <f>IFERROR(INDEX(CHOOSE({1,2,3,4}, DAY(XT!U293), DAY(XT!Y293), DAY(XT!AC293), DAY(XT!AG293)), MATCH(1, INDEX(--(MONTH(CHOOSE({1,2,3,4}, XT!U293,XT!Y293,XT!AC293,XT!AG293))=4), 0), 0)), "")</f>
        <v/>
      </c>
      <c r="O293" s="12" t="str">
        <f>IF(XT!$P293&gt;0,N293,"")</f>
        <v/>
      </c>
      <c r="P293" s="12" t="str">
        <f>IF(XT!$P293=0,N293,"")</f>
        <v/>
      </c>
      <c r="Q293">
        <f>SUMPRODUCT((MONTH(CHOOSE({1,2,3,4},XT!U293,XT!Y293,XT!AC293,XT!AG293))=5)*(CHOOSE({1,2,3,4},XT!X293,XT!AB293,XT!AF293,XT!AJ293)))</f>
        <v>0</v>
      </c>
      <c r="R293" t="str">
        <f>IFERROR(INDEX(CHOOSE({1,2,3,4}, DAY(XT!U293), DAY(XT!Y293), DAY(XT!AC293), DAY(XT!AG293)), MATCH(1, INDEX(--(MONTH(CHOOSE({1,2,3,4}, XT!U293,XT!Y293,XT!AC293,XT!AG293))=5), 0), 0)), "")</f>
        <v/>
      </c>
      <c r="S293" s="12" t="str">
        <f>IF(XT!$P293&gt;0,R293,"")</f>
        <v/>
      </c>
      <c r="T293" s="12" t="str">
        <f>IF(XT!$P293=0,R293,"")</f>
        <v/>
      </c>
      <c r="U293">
        <f>SUMPRODUCT((MONTH(CHOOSE({1,2,3,4},XT!U293,XT!Y293,XT!AC293,XT!AG293))=6)*(CHOOSE({1,2,3,4},XT!X293,XT!AB293,XT!AF293,XT!AJ293)))</f>
        <v>0</v>
      </c>
      <c r="V293" t="str">
        <f>IFERROR(INDEX(CHOOSE({1,2,3,4}, DAY(XT!U293), DAY(XT!Y293), DAY(XT!AC293), DAY(XT!AG293)), MATCH(1, INDEX(--(MONTH(CHOOSE({1,2,3,4}, XT!U293,XT!Y293,XT!AC293,XT!AG293))=6), 0), 0)), "")</f>
        <v/>
      </c>
      <c r="W293" s="12" t="str">
        <f>IF(XT!$P293&gt;0,V293,"")</f>
        <v/>
      </c>
      <c r="X293" s="12" t="str">
        <f>IF(XT!$P293=0,V293,"")</f>
        <v/>
      </c>
      <c r="Y293">
        <f>SUMPRODUCT((MONTH(CHOOSE({1,2,3,4},XT!U293,XT!Y293,XT!AC293,XT!AG293))=7)*(CHOOSE({1,2,3,4},XT!X293,XT!AB293,XT!AF293,XT!AJ293)))</f>
        <v>0</v>
      </c>
      <c r="Z293" t="str">
        <f>IFERROR(INDEX(CHOOSE({1,2,3,4}, DAY(XT!U293), DAY(XT!Y293), DAY(XT!AC293), DAY(XT!AG293)), MATCH(1, INDEX(--(MONTH(CHOOSE({1,2,3,4}, XT!U293,XT!Y293,XT!AC293,XT!AG293))=7), 0), 0)), "")</f>
        <v/>
      </c>
      <c r="AA293" s="12" t="str">
        <f>IF(XT!$P293&gt;0,Z293,"")</f>
        <v/>
      </c>
      <c r="AB293" s="12" t="str">
        <f>IF(XT!$P293=0,Z293,"")</f>
        <v/>
      </c>
      <c r="AC293">
        <f>SUMPRODUCT((MONTH(CHOOSE({1,2,3,4},XT!U293,XT!Y293,XT!AC293,XT!AG293))=8)*(CHOOSE({1,2,3,4},XT!X293,XT!AB293,XT!AF293,XT!AJ293)))</f>
        <v>0</v>
      </c>
      <c r="AD293" t="str">
        <f>IFERROR(INDEX(CHOOSE({1,2,3,4}, DAY(XT!U293), DAY(XT!Y293), DAY(XT!AC293), DAY(XT!AG293)), MATCH(1, INDEX(--(MONTH(CHOOSE({1,2,3,4}, XT!U293,XT!Y293,XT!AC293,XT!AG293))=8), 0), 0)), "")</f>
        <v/>
      </c>
      <c r="AE293" s="12" t="str">
        <f>IF(XT!$P293&gt;0,AD293,"")</f>
        <v/>
      </c>
      <c r="AF293" s="12" t="str">
        <f>IF(XT!$P293=0,AD293,"")</f>
        <v/>
      </c>
      <c r="AG293">
        <f>SUMPRODUCT((MONTH(CHOOSE({1,2,3,4},XT!U293,XT!Y293,XT!AC293,XT!AG293))=9)*(CHOOSE({1,2,3,4},XT!X293,XT!AB293,XT!AF293,XT!AJ293)))</f>
        <v>0</v>
      </c>
      <c r="AH293" t="str">
        <f>IFERROR(INDEX(CHOOSE({1,2,3,4}, DAY(XT!U293), DAY(XT!Y293), DAY(XT!AC293), DAY(XT!AG293)), MATCH(1, INDEX(--(MONTH(CHOOSE({1,2,3,4}, XT!U293,XT!Y293,XT!AC293,XT!AG293))=9), 0), 0)), "")</f>
        <v/>
      </c>
      <c r="AI293" s="12" t="str">
        <f>IF(XT!$P293&gt;0,AH293,"")</f>
        <v/>
      </c>
      <c r="AJ293" s="12" t="str">
        <f>IF(XT!$P293=0,AH293,"")</f>
        <v/>
      </c>
      <c r="AK293">
        <f>SUMPRODUCT((MONTH(CHOOSE({1,2,3,4},XT!U293,XT!Y293,XT!AC293,XT!AG293))=10)*(CHOOSE({1,2,3,4},XT!X293,XT!AB293,XT!AF293,XT!AJ293)))</f>
        <v>0</v>
      </c>
      <c r="AL293" t="str">
        <f>IFERROR(INDEX(CHOOSE({1,2,3,4}, DAY(XT!U293), DAY(XT!Y293), DAY(XT!AC293), DAY(XT!AG293)), MATCH(1, INDEX(--(MONTH(CHOOSE({1,2,3,4}, XT!U293,XT!Y293,XT!AC293,XT!AG293))=10), 0), 0)), "")</f>
        <v/>
      </c>
      <c r="AM293" s="12" t="str">
        <f>IF(XT!$P293&gt;0,AL293,"")</f>
        <v/>
      </c>
      <c r="AN293" s="12" t="str">
        <f>IF(XT!$P293=0,AL293,"")</f>
        <v/>
      </c>
      <c r="AO293">
        <f>SUMPRODUCT((MONTH(CHOOSE({1,2,3,4},XT!U293,XT!Y293,XT!AC293,XT!AG293))=11)*(CHOOSE({1,2,3,4},XT!X293,XT!AB293,XT!AF293,XT!AJ293)))</f>
        <v>0</v>
      </c>
      <c r="AP293" t="str">
        <f>IFERROR(INDEX(CHOOSE({1,2,3,4}, DAY(XT!U293), DAY(XT!Y293), DAY(XT!AC293), DAY(XT!AG293)), MATCH(1, INDEX(--(MONTH(CHOOSE({1,2,3,4}, XT!U293,XT!Y293,XT!AC293,XT!AG293))=11), 0), 0)), "")</f>
        <v/>
      </c>
      <c r="AQ293" s="12" t="str">
        <f>IF(XT!$P293&gt;0,AP293,"")</f>
        <v/>
      </c>
      <c r="AR293" s="12" t="str">
        <f>IF(XT!$P293=0,AP293,"")</f>
        <v/>
      </c>
      <c r="AS293">
        <f>SUMPRODUCT((MONTH(CHOOSE({1,2,3,4},XT!U293,XT!Y293,XT!AC293,XT!AG293))=12)*(CHOOSE({1,2,3,4},XT!X293,XT!AB293,XT!AF293,XT!AJ293)))</f>
        <v>0</v>
      </c>
      <c r="AT293" t="str">
        <f>IFERROR(INDEX(CHOOSE({1,2,3,4}, DAY(XT!U293), DAY(XT!Y293), DAY(XT!AC293), DAY(XT!AG293)), MATCH(1, INDEX(--(MONTH(CHOOSE({1,2,3,4}, XT!U293,XT!Y293,XT!AC293,XT!AG293))=12), 0), 0)), "")</f>
        <v/>
      </c>
      <c r="AU293" s="12" t="str">
        <f>IF(XT!$P293&gt;0,AT293,"")</f>
        <v/>
      </c>
      <c r="AV293" s="12" t="str">
        <f>IF(XT!$P293=0,AT293,"")</f>
        <v/>
      </c>
    </row>
    <row r="294" spans="1:48">
      <c r="A294">
        <f>SUMPRODUCT((MONTH(CHOOSE({1,2,3,4},XT!U294,XT!Y294,XT!AC294,XT!AG294))=1)*(CHOOSE({1,2,3,4},XT!X294,XT!AB294,XT!AF294,XT!AJ294)))</f>
        <v>0</v>
      </c>
      <c r="B294">
        <f>IFERROR(INDEX(CHOOSE({1,2,3,4}, DAY(XT!U294), DAY(XT!Y294), DAY(XT!AC294), DAY(XT!AG294)), MATCH(1, INDEX(--(MONTH(CHOOSE({1,2,3,4}, XT!U294,XT!Y294,XT!AC294,XT!AG294))=1), 0), 0)), "")</f>
        <v>0</v>
      </c>
      <c r="C294" s="12" t="str">
        <f>IF(XT!$P294&gt;0,B294,"")</f>
        <v/>
      </c>
      <c r="D294" s="12">
        <f>IF(XT!$P294=0,B294,"")</f>
        <v>0</v>
      </c>
      <c r="E294">
        <f>SUMPRODUCT((MONTH(CHOOSE({1,2,3,4},XT!U294,XT!Y294,XT!AC294,XT!AG294))=2)*(CHOOSE({1,2,3,4},XT!X294,XT!AB294,XT!AF294,XT!AJ294)))</f>
        <v>0</v>
      </c>
      <c r="F294" t="str">
        <f>IFERROR(INDEX(CHOOSE({1,2,3,4}, DAY(XT!U294), DAY(XT!Y294), DAY(XT!AC294), DAY(XT!AG294)), MATCH(1, INDEX(--(MONTH(CHOOSE({1,2,3,4}, XT!U294,XT!Y294,XT!AC294,XT!AG294))=2), 0), 0)), "")</f>
        <v/>
      </c>
      <c r="G294" s="12" t="str">
        <f>IF(XT!$P294&gt;0,F294,"")</f>
        <v/>
      </c>
      <c r="H294" s="12" t="str">
        <f>IF(XT!$P294=0,F294,"")</f>
        <v/>
      </c>
      <c r="I294">
        <f>SUMPRODUCT((MONTH(CHOOSE({1,2,3,4},XT!U294,XT!Y294,XT!AC294,XT!AG294))=3)*(CHOOSE({1,2,3,4},XT!X294,XT!AB294,XT!AF294,XT!AJ294)))</f>
        <v>0</v>
      </c>
      <c r="J294" t="str">
        <f>IFERROR(INDEX(CHOOSE({1,2,3,4}, DAY(XT!U294), DAY(XT!Y294), DAY(XT!AC294), DAY(XT!AG294)), MATCH(1, INDEX(--(MONTH(CHOOSE({1,2,3,4}, XT!U294,XT!Y294,XT!AC294,XT!AG294))=3), 0), 0)), "")</f>
        <v/>
      </c>
      <c r="K294" s="12" t="str">
        <f>IF(XT!$P294&gt;0,J294,"")</f>
        <v/>
      </c>
      <c r="L294" s="12" t="str">
        <f>IF(XT!$P294=0,J294,"")</f>
        <v/>
      </c>
      <c r="M294">
        <f>SUMPRODUCT((MONTH(CHOOSE({1,2,3,4},XT!U294,XT!Y294,XT!AC294,XT!AG294))=4)*(CHOOSE({1,2,3,4},XT!X294,XT!AB294,XT!AF294,XT!AJ294)))</f>
        <v>0</v>
      </c>
      <c r="N294" t="str">
        <f>IFERROR(INDEX(CHOOSE({1,2,3,4}, DAY(XT!U294), DAY(XT!Y294), DAY(XT!AC294), DAY(XT!AG294)), MATCH(1, INDEX(--(MONTH(CHOOSE({1,2,3,4}, XT!U294,XT!Y294,XT!AC294,XT!AG294))=4), 0), 0)), "")</f>
        <v/>
      </c>
      <c r="O294" s="12" t="str">
        <f>IF(XT!$P294&gt;0,N294,"")</f>
        <v/>
      </c>
      <c r="P294" s="12" t="str">
        <f>IF(XT!$P294=0,N294,"")</f>
        <v/>
      </c>
      <c r="Q294">
        <f>SUMPRODUCT((MONTH(CHOOSE({1,2,3,4},XT!U294,XT!Y294,XT!AC294,XT!AG294))=5)*(CHOOSE({1,2,3,4},XT!X294,XT!AB294,XT!AF294,XT!AJ294)))</f>
        <v>0</v>
      </c>
      <c r="R294" t="str">
        <f>IFERROR(INDEX(CHOOSE({1,2,3,4}, DAY(XT!U294), DAY(XT!Y294), DAY(XT!AC294), DAY(XT!AG294)), MATCH(1, INDEX(--(MONTH(CHOOSE({1,2,3,4}, XT!U294,XT!Y294,XT!AC294,XT!AG294))=5), 0), 0)), "")</f>
        <v/>
      </c>
      <c r="S294" s="12" t="str">
        <f>IF(XT!$P294&gt;0,R294,"")</f>
        <v/>
      </c>
      <c r="T294" s="12" t="str">
        <f>IF(XT!$P294=0,R294,"")</f>
        <v/>
      </c>
      <c r="U294">
        <f>SUMPRODUCT((MONTH(CHOOSE({1,2,3,4},XT!U294,XT!Y294,XT!AC294,XT!AG294))=6)*(CHOOSE({1,2,3,4},XT!X294,XT!AB294,XT!AF294,XT!AJ294)))</f>
        <v>0</v>
      </c>
      <c r="V294" t="str">
        <f>IFERROR(INDEX(CHOOSE({1,2,3,4}, DAY(XT!U294), DAY(XT!Y294), DAY(XT!AC294), DAY(XT!AG294)), MATCH(1, INDEX(--(MONTH(CHOOSE({1,2,3,4}, XT!U294,XT!Y294,XT!AC294,XT!AG294))=6), 0), 0)), "")</f>
        <v/>
      </c>
      <c r="W294" s="12" t="str">
        <f>IF(XT!$P294&gt;0,V294,"")</f>
        <v/>
      </c>
      <c r="X294" s="12" t="str">
        <f>IF(XT!$P294=0,V294,"")</f>
        <v/>
      </c>
      <c r="Y294">
        <f>SUMPRODUCT((MONTH(CHOOSE({1,2,3,4},XT!U294,XT!Y294,XT!AC294,XT!AG294))=7)*(CHOOSE({1,2,3,4},XT!X294,XT!AB294,XT!AF294,XT!AJ294)))</f>
        <v>0</v>
      </c>
      <c r="Z294" t="str">
        <f>IFERROR(INDEX(CHOOSE({1,2,3,4}, DAY(XT!U294), DAY(XT!Y294), DAY(XT!AC294), DAY(XT!AG294)), MATCH(1, INDEX(--(MONTH(CHOOSE({1,2,3,4}, XT!U294,XT!Y294,XT!AC294,XT!AG294))=7), 0), 0)), "")</f>
        <v/>
      </c>
      <c r="AA294" s="12" t="str">
        <f>IF(XT!$P294&gt;0,Z294,"")</f>
        <v/>
      </c>
      <c r="AB294" s="12" t="str">
        <f>IF(XT!$P294=0,Z294,"")</f>
        <v/>
      </c>
      <c r="AC294">
        <f>SUMPRODUCT((MONTH(CHOOSE({1,2,3,4},XT!U294,XT!Y294,XT!AC294,XT!AG294))=8)*(CHOOSE({1,2,3,4},XT!X294,XT!AB294,XT!AF294,XT!AJ294)))</f>
        <v>0</v>
      </c>
      <c r="AD294" t="str">
        <f>IFERROR(INDEX(CHOOSE({1,2,3,4}, DAY(XT!U294), DAY(XT!Y294), DAY(XT!AC294), DAY(XT!AG294)), MATCH(1, INDEX(--(MONTH(CHOOSE({1,2,3,4}, XT!U294,XT!Y294,XT!AC294,XT!AG294))=8), 0), 0)), "")</f>
        <v/>
      </c>
      <c r="AE294" s="12" t="str">
        <f>IF(XT!$P294&gt;0,AD294,"")</f>
        <v/>
      </c>
      <c r="AF294" s="12" t="str">
        <f>IF(XT!$P294=0,AD294,"")</f>
        <v/>
      </c>
      <c r="AG294">
        <f>SUMPRODUCT((MONTH(CHOOSE({1,2,3,4},XT!U294,XT!Y294,XT!AC294,XT!AG294))=9)*(CHOOSE({1,2,3,4},XT!X294,XT!AB294,XT!AF294,XT!AJ294)))</f>
        <v>0</v>
      </c>
      <c r="AH294" t="str">
        <f>IFERROR(INDEX(CHOOSE({1,2,3,4}, DAY(XT!U294), DAY(XT!Y294), DAY(XT!AC294), DAY(XT!AG294)), MATCH(1, INDEX(--(MONTH(CHOOSE({1,2,3,4}, XT!U294,XT!Y294,XT!AC294,XT!AG294))=9), 0), 0)), "")</f>
        <v/>
      </c>
      <c r="AI294" s="12" t="str">
        <f>IF(XT!$P294&gt;0,AH294,"")</f>
        <v/>
      </c>
      <c r="AJ294" s="12" t="str">
        <f>IF(XT!$P294=0,AH294,"")</f>
        <v/>
      </c>
      <c r="AK294">
        <f>SUMPRODUCT((MONTH(CHOOSE({1,2,3,4},XT!U294,XT!Y294,XT!AC294,XT!AG294))=10)*(CHOOSE({1,2,3,4},XT!X294,XT!AB294,XT!AF294,XT!AJ294)))</f>
        <v>0</v>
      </c>
      <c r="AL294" t="str">
        <f>IFERROR(INDEX(CHOOSE({1,2,3,4}, DAY(XT!U294), DAY(XT!Y294), DAY(XT!AC294), DAY(XT!AG294)), MATCH(1, INDEX(--(MONTH(CHOOSE({1,2,3,4}, XT!U294,XT!Y294,XT!AC294,XT!AG294))=10), 0), 0)), "")</f>
        <v/>
      </c>
      <c r="AM294" s="12" t="str">
        <f>IF(XT!$P294&gt;0,AL294,"")</f>
        <v/>
      </c>
      <c r="AN294" s="12" t="str">
        <f>IF(XT!$P294=0,AL294,"")</f>
        <v/>
      </c>
      <c r="AO294">
        <f>SUMPRODUCT((MONTH(CHOOSE({1,2,3,4},XT!U294,XT!Y294,XT!AC294,XT!AG294))=11)*(CHOOSE({1,2,3,4},XT!X294,XT!AB294,XT!AF294,XT!AJ294)))</f>
        <v>0</v>
      </c>
      <c r="AP294" t="str">
        <f>IFERROR(INDEX(CHOOSE({1,2,3,4}, DAY(XT!U294), DAY(XT!Y294), DAY(XT!AC294), DAY(XT!AG294)), MATCH(1, INDEX(--(MONTH(CHOOSE({1,2,3,4}, XT!U294,XT!Y294,XT!AC294,XT!AG294))=11), 0), 0)), "")</f>
        <v/>
      </c>
      <c r="AQ294" s="12" t="str">
        <f>IF(XT!$P294&gt;0,AP294,"")</f>
        <v/>
      </c>
      <c r="AR294" s="12" t="str">
        <f>IF(XT!$P294=0,AP294,"")</f>
        <v/>
      </c>
      <c r="AS294">
        <f>SUMPRODUCT((MONTH(CHOOSE({1,2,3,4},XT!U294,XT!Y294,XT!AC294,XT!AG294))=12)*(CHOOSE({1,2,3,4},XT!X294,XT!AB294,XT!AF294,XT!AJ294)))</f>
        <v>0</v>
      </c>
      <c r="AT294" t="str">
        <f>IFERROR(INDEX(CHOOSE({1,2,3,4}, DAY(XT!U294), DAY(XT!Y294), DAY(XT!AC294), DAY(XT!AG294)), MATCH(1, INDEX(--(MONTH(CHOOSE({1,2,3,4}, XT!U294,XT!Y294,XT!AC294,XT!AG294))=12), 0), 0)), "")</f>
        <v/>
      </c>
      <c r="AU294" s="12" t="str">
        <f>IF(XT!$P294&gt;0,AT294,"")</f>
        <v/>
      </c>
      <c r="AV294" s="12" t="str">
        <f>IF(XT!$P294=0,AT294,"")</f>
        <v/>
      </c>
    </row>
    <row r="295" spans="1:48">
      <c r="A295">
        <f>SUMPRODUCT((MONTH(CHOOSE({1,2,3,4},XT!U295,XT!Y295,XT!AC295,XT!AG295))=1)*(CHOOSE({1,2,3,4},XT!X295,XT!AB295,XT!AF295,XT!AJ295)))</f>
        <v>0</v>
      </c>
      <c r="B295">
        <f>IFERROR(INDEX(CHOOSE({1,2,3,4}, DAY(XT!U295), DAY(XT!Y295), DAY(XT!AC295), DAY(XT!AG295)), MATCH(1, INDEX(--(MONTH(CHOOSE({1,2,3,4}, XT!U295,XT!Y295,XT!AC295,XT!AG295))=1), 0), 0)), "")</f>
        <v>0</v>
      </c>
      <c r="C295" s="12" t="str">
        <f>IF(XT!$P295&gt;0,B295,"")</f>
        <v/>
      </c>
      <c r="D295" s="12">
        <f>IF(XT!$P295=0,B295,"")</f>
        <v>0</v>
      </c>
      <c r="E295">
        <f>SUMPRODUCT((MONTH(CHOOSE({1,2,3,4},XT!U295,XT!Y295,XT!AC295,XT!AG295))=2)*(CHOOSE({1,2,3,4},XT!X295,XT!AB295,XT!AF295,XT!AJ295)))</f>
        <v>0</v>
      </c>
      <c r="F295" t="str">
        <f>IFERROR(INDEX(CHOOSE({1,2,3,4}, DAY(XT!U295), DAY(XT!Y295), DAY(XT!AC295), DAY(XT!AG295)), MATCH(1, INDEX(--(MONTH(CHOOSE({1,2,3,4}, XT!U295,XT!Y295,XT!AC295,XT!AG295))=2), 0), 0)), "")</f>
        <v/>
      </c>
      <c r="G295" s="12" t="str">
        <f>IF(XT!$P295&gt;0,F295,"")</f>
        <v/>
      </c>
      <c r="H295" s="12" t="str">
        <f>IF(XT!$P295=0,F295,"")</f>
        <v/>
      </c>
      <c r="I295">
        <f>SUMPRODUCT((MONTH(CHOOSE({1,2,3,4},XT!U295,XT!Y295,XT!AC295,XT!AG295))=3)*(CHOOSE({1,2,3,4},XT!X295,XT!AB295,XT!AF295,XT!AJ295)))</f>
        <v>0</v>
      </c>
      <c r="J295" t="str">
        <f>IFERROR(INDEX(CHOOSE({1,2,3,4}, DAY(XT!U295), DAY(XT!Y295), DAY(XT!AC295), DAY(XT!AG295)), MATCH(1, INDEX(--(MONTH(CHOOSE({1,2,3,4}, XT!U295,XT!Y295,XT!AC295,XT!AG295))=3), 0), 0)), "")</f>
        <v/>
      </c>
      <c r="K295" s="12" t="str">
        <f>IF(XT!$P295&gt;0,J295,"")</f>
        <v/>
      </c>
      <c r="L295" s="12" t="str">
        <f>IF(XT!$P295=0,J295,"")</f>
        <v/>
      </c>
      <c r="M295">
        <f>SUMPRODUCT((MONTH(CHOOSE({1,2,3,4},XT!U295,XT!Y295,XT!AC295,XT!AG295))=4)*(CHOOSE({1,2,3,4},XT!X295,XT!AB295,XT!AF295,XT!AJ295)))</f>
        <v>0</v>
      </c>
      <c r="N295" t="str">
        <f>IFERROR(INDEX(CHOOSE({1,2,3,4}, DAY(XT!U295), DAY(XT!Y295), DAY(XT!AC295), DAY(XT!AG295)), MATCH(1, INDEX(--(MONTH(CHOOSE({1,2,3,4}, XT!U295,XT!Y295,XT!AC295,XT!AG295))=4), 0), 0)), "")</f>
        <v/>
      </c>
      <c r="O295" s="12" t="str">
        <f>IF(XT!$P295&gt;0,N295,"")</f>
        <v/>
      </c>
      <c r="P295" s="12" t="str">
        <f>IF(XT!$P295=0,N295,"")</f>
        <v/>
      </c>
      <c r="Q295">
        <f>SUMPRODUCT((MONTH(CHOOSE({1,2,3,4},XT!U295,XT!Y295,XT!AC295,XT!AG295))=5)*(CHOOSE({1,2,3,4},XT!X295,XT!AB295,XT!AF295,XT!AJ295)))</f>
        <v>0</v>
      </c>
      <c r="R295" t="str">
        <f>IFERROR(INDEX(CHOOSE({1,2,3,4}, DAY(XT!U295), DAY(XT!Y295), DAY(XT!AC295), DAY(XT!AG295)), MATCH(1, INDEX(--(MONTH(CHOOSE({1,2,3,4}, XT!U295,XT!Y295,XT!AC295,XT!AG295))=5), 0), 0)), "")</f>
        <v/>
      </c>
      <c r="S295" s="12" t="str">
        <f>IF(XT!$P295&gt;0,R295,"")</f>
        <v/>
      </c>
      <c r="T295" s="12" t="str">
        <f>IF(XT!$P295=0,R295,"")</f>
        <v/>
      </c>
      <c r="U295">
        <f>SUMPRODUCT((MONTH(CHOOSE({1,2,3,4},XT!U295,XT!Y295,XT!AC295,XT!AG295))=6)*(CHOOSE({1,2,3,4},XT!X295,XT!AB295,XT!AF295,XT!AJ295)))</f>
        <v>0</v>
      </c>
      <c r="V295" t="str">
        <f>IFERROR(INDEX(CHOOSE({1,2,3,4}, DAY(XT!U295), DAY(XT!Y295), DAY(XT!AC295), DAY(XT!AG295)), MATCH(1, INDEX(--(MONTH(CHOOSE({1,2,3,4}, XT!U295,XT!Y295,XT!AC295,XT!AG295))=6), 0), 0)), "")</f>
        <v/>
      </c>
      <c r="W295" s="12" t="str">
        <f>IF(XT!$P295&gt;0,V295,"")</f>
        <v/>
      </c>
      <c r="X295" s="12" t="str">
        <f>IF(XT!$P295=0,V295,"")</f>
        <v/>
      </c>
      <c r="Y295">
        <f>SUMPRODUCT((MONTH(CHOOSE({1,2,3,4},XT!U295,XT!Y295,XT!AC295,XT!AG295))=7)*(CHOOSE({1,2,3,4},XT!X295,XT!AB295,XT!AF295,XT!AJ295)))</f>
        <v>0</v>
      </c>
      <c r="Z295" t="str">
        <f>IFERROR(INDEX(CHOOSE({1,2,3,4}, DAY(XT!U295), DAY(XT!Y295), DAY(XT!AC295), DAY(XT!AG295)), MATCH(1, INDEX(--(MONTH(CHOOSE({1,2,3,4}, XT!U295,XT!Y295,XT!AC295,XT!AG295))=7), 0), 0)), "")</f>
        <v/>
      </c>
      <c r="AA295" s="12" t="str">
        <f>IF(XT!$P295&gt;0,Z295,"")</f>
        <v/>
      </c>
      <c r="AB295" s="12" t="str">
        <f>IF(XT!$P295=0,Z295,"")</f>
        <v/>
      </c>
      <c r="AC295">
        <f>SUMPRODUCT((MONTH(CHOOSE({1,2,3,4},XT!U295,XT!Y295,XT!AC295,XT!AG295))=8)*(CHOOSE({1,2,3,4},XT!X295,XT!AB295,XT!AF295,XT!AJ295)))</f>
        <v>0</v>
      </c>
      <c r="AD295" t="str">
        <f>IFERROR(INDEX(CHOOSE({1,2,3,4}, DAY(XT!U295), DAY(XT!Y295), DAY(XT!AC295), DAY(XT!AG295)), MATCH(1, INDEX(--(MONTH(CHOOSE({1,2,3,4}, XT!U295,XT!Y295,XT!AC295,XT!AG295))=8), 0), 0)), "")</f>
        <v/>
      </c>
      <c r="AE295" s="12" t="str">
        <f>IF(XT!$P295&gt;0,AD295,"")</f>
        <v/>
      </c>
      <c r="AF295" s="12" t="str">
        <f>IF(XT!$P295=0,AD295,"")</f>
        <v/>
      </c>
      <c r="AG295">
        <f>SUMPRODUCT((MONTH(CHOOSE({1,2,3,4},XT!U295,XT!Y295,XT!AC295,XT!AG295))=9)*(CHOOSE({1,2,3,4},XT!X295,XT!AB295,XT!AF295,XT!AJ295)))</f>
        <v>0</v>
      </c>
      <c r="AH295" t="str">
        <f>IFERROR(INDEX(CHOOSE({1,2,3,4}, DAY(XT!U295), DAY(XT!Y295), DAY(XT!AC295), DAY(XT!AG295)), MATCH(1, INDEX(--(MONTH(CHOOSE({1,2,3,4}, XT!U295,XT!Y295,XT!AC295,XT!AG295))=9), 0), 0)), "")</f>
        <v/>
      </c>
      <c r="AI295" s="12" t="str">
        <f>IF(XT!$P295&gt;0,AH295,"")</f>
        <v/>
      </c>
      <c r="AJ295" s="12" t="str">
        <f>IF(XT!$P295=0,AH295,"")</f>
        <v/>
      </c>
      <c r="AK295">
        <f>SUMPRODUCT((MONTH(CHOOSE({1,2,3,4},XT!U295,XT!Y295,XT!AC295,XT!AG295))=10)*(CHOOSE({1,2,3,4},XT!X295,XT!AB295,XT!AF295,XT!AJ295)))</f>
        <v>0</v>
      </c>
      <c r="AL295" t="str">
        <f>IFERROR(INDEX(CHOOSE({1,2,3,4}, DAY(XT!U295), DAY(XT!Y295), DAY(XT!AC295), DAY(XT!AG295)), MATCH(1, INDEX(--(MONTH(CHOOSE({1,2,3,4}, XT!U295,XT!Y295,XT!AC295,XT!AG295))=10), 0), 0)), "")</f>
        <v/>
      </c>
      <c r="AM295" s="12" t="str">
        <f>IF(XT!$P295&gt;0,AL295,"")</f>
        <v/>
      </c>
      <c r="AN295" s="12" t="str">
        <f>IF(XT!$P295=0,AL295,"")</f>
        <v/>
      </c>
      <c r="AO295">
        <f>SUMPRODUCT((MONTH(CHOOSE({1,2,3,4},XT!U295,XT!Y295,XT!AC295,XT!AG295))=11)*(CHOOSE({1,2,3,4},XT!X295,XT!AB295,XT!AF295,XT!AJ295)))</f>
        <v>0</v>
      </c>
      <c r="AP295" t="str">
        <f>IFERROR(INDEX(CHOOSE({1,2,3,4}, DAY(XT!U295), DAY(XT!Y295), DAY(XT!AC295), DAY(XT!AG295)), MATCH(1, INDEX(--(MONTH(CHOOSE({1,2,3,4}, XT!U295,XT!Y295,XT!AC295,XT!AG295))=11), 0), 0)), "")</f>
        <v/>
      </c>
      <c r="AQ295" s="12" t="str">
        <f>IF(XT!$P295&gt;0,AP295,"")</f>
        <v/>
      </c>
      <c r="AR295" s="12" t="str">
        <f>IF(XT!$P295=0,AP295,"")</f>
        <v/>
      </c>
      <c r="AS295">
        <f>SUMPRODUCT((MONTH(CHOOSE({1,2,3,4},XT!U295,XT!Y295,XT!AC295,XT!AG295))=12)*(CHOOSE({1,2,3,4},XT!X295,XT!AB295,XT!AF295,XT!AJ295)))</f>
        <v>0</v>
      </c>
      <c r="AT295" t="str">
        <f>IFERROR(INDEX(CHOOSE({1,2,3,4}, DAY(XT!U295), DAY(XT!Y295), DAY(XT!AC295), DAY(XT!AG295)), MATCH(1, INDEX(--(MONTH(CHOOSE({1,2,3,4}, XT!U295,XT!Y295,XT!AC295,XT!AG295))=12), 0), 0)), "")</f>
        <v/>
      </c>
      <c r="AU295" s="12" t="str">
        <f>IF(XT!$P295&gt;0,AT295,"")</f>
        <v/>
      </c>
      <c r="AV295" s="12" t="str">
        <f>IF(XT!$P295=0,AT295,"")</f>
        <v/>
      </c>
    </row>
    <row r="296" spans="1:48">
      <c r="A296">
        <f>SUMPRODUCT((MONTH(CHOOSE({1,2,3,4},XT!U296,XT!Y296,XT!AC296,XT!AG296))=1)*(CHOOSE({1,2,3,4},XT!X296,XT!AB296,XT!AF296,XT!AJ296)))</f>
        <v>0</v>
      </c>
      <c r="B296">
        <f>IFERROR(INDEX(CHOOSE({1,2,3,4}, DAY(XT!U296), DAY(XT!Y296), DAY(XT!AC296), DAY(XT!AG296)), MATCH(1, INDEX(--(MONTH(CHOOSE({1,2,3,4}, XT!U296,XT!Y296,XT!AC296,XT!AG296))=1), 0), 0)), "")</f>
        <v>0</v>
      </c>
      <c r="C296" s="12" t="str">
        <f>IF(XT!$P296&gt;0,B296,"")</f>
        <v/>
      </c>
      <c r="D296" s="12">
        <f>IF(XT!$P296=0,B296,"")</f>
        <v>0</v>
      </c>
      <c r="E296">
        <f>SUMPRODUCT((MONTH(CHOOSE({1,2,3,4},XT!U296,XT!Y296,XT!AC296,XT!AG296))=2)*(CHOOSE({1,2,3,4},XT!X296,XT!AB296,XT!AF296,XT!AJ296)))</f>
        <v>0</v>
      </c>
      <c r="F296" t="str">
        <f>IFERROR(INDEX(CHOOSE({1,2,3,4}, DAY(XT!U296), DAY(XT!Y296), DAY(XT!AC296), DAY(XT!AG296)), MATCH(1, INDEX(--(MONTH(CHOOSE({1,2,3,4}, XT!U296,XT!Y296,XT!AC296,XT!AG296))=2), 0), 0)), "")</f>
        <v/>
      </c>
      <c r="G296" s="12" t="str">
        <f>IF(XT!$P296&gt;0,F296,"")</f>
        <v/>
      </c>
      <c r="H296" s="12" t="str">
        <f>IF(XT!$P296=0,F296,"")</f>
        <v/>
      </c>
      <c r="I296">
        <f>SUMPRODUCT((MONTH(CHOOSE({1,2,3,4},XT!U296,XT!Y296,XT!AC296,XT!AG296))=3)*(CHOOSE({1,2,3,4},XT!X296,XT!AB296,XT!AF296,XT!AJ296)))</f>
        <v>0</v>
      </c>
      <c r="J296" t="str">
        <f>IFERROR(INDEX(CHOOSE({1,2,3,4}, DAY(XT!U296), DAY(XT!Y296), DAY(XT!AC296), DAY(XT!AG296)), MATCH(1, INDEX(--(MONTH(CHOOSE({1,2,3,4}, XT!U296,XT!Y296,XT!AC296,XT!AG296))=3), 0), 0)), "")</f>
        <v/>
      </c>
      <c r="K296" s="12" t="str">
        <f>IF(XT!$P296&gt;0,J296,"")</f>
        <v/>
      </c>
      <c r="L296" s="12" t="str">
        <f>IF(XT!$P296=0,J296,"")</f>
        <v/>
      </c>
      <c r="M296">
        <f>SUMPRODUCT((MONTH(CHOOSE({1,2,3,4},XT!U296,XT!Y296,XT!AC296,XT!AG296))=4)*(CHOOSE({1,2,3,4},XT!X296,XT!AB296,XT!AF296,XT!AJ296)))</f>
        <v>0</v>
      </c>
      <c r="N296" t="str">
        <f>IFERROR(INDEX(CHOOSE({1,2,3,4}, DAY(XT!U296), DAY(XT!Y296), DAY(XT!AC296), DAY(XT!AG296)), MATCH(1, INDEX(--(MONTH(CHOOSE({1,2,3,4}, XT!U296,XT!Y296,XT!AC296,XT!AG296))=4), 0), 0)), "")</f>
        <v/>
      </c>
      <c r="O296" s="12" t="str">
        <f>IF(XT!$P296&gt;0,N296,"")</f>
        <v/>
      </c>
      <c r="P296" s="12" t="str">
        <f>IF(XT!$P296=0,N296,"")</f>
        <v/>
      </c>
      <c r="Q296">
        <f>SUMPRODUCT((MONTH(CHOOSE({1,2,3,4},XT!U296,XT!Y296,XT!AC296,XT!AG296))=5)*(CHOOSE({1,2,3,4},XT!X296,XT!AB296,XT!AF296,XT!AJ296)))</f>
        <v>0</v>
      </c>
      <c r="R296" t="str">
        <f>IFERROR(INDEX(CHOOSE({1,2,3,4}, DAY(XT!U296), DAY(XT!Y296), DAY(XT!AC296), DAY(XT!AG296)), MATCH(1, INDEX(--(MONTH(CHOOSE({1,2,3,4}, XT!U296,XT!Y296,XT!AC296,XT!AG296))=5), 0), 0)), "")</f>
        <v/>
      </c>
      <c r="S296" s="12" t="str">
        <f>IF(XT!$P296&gt;0,R296,"")</f>
        <v/>
      </c>
      <c r="T296" s="12" t="str">
        <f>IF(XT!$P296=0,R296,"")</f>
        <v/>
      </c>
      <c r="U296">
        <f>SUMPRODUCT((MONTH(CHOOSE({1,2,3,4},XT!U296,XT!Y296,XT!AC296,XT!AG296))=6)*(CHOOSE({1,2,3,4},XT!X296,XT!AB296,XT!AF296,XT!AJ296)))</f>
        <v>0</v>
      </c>
      <c r="V296" t="str">
        <f>IFERROR(INDEX(CHOOSE({1,2,3,4}, DAY(XT!U296), DAY(XT!Y296), DAY(XT!AC296), DAY(XT!AG296)), MATCH(1, INDEX(--(MONTH(CHOOSE({1,2,3,4}, XT!U296,XT!Y296,XT!AC296,XT!AG296))=6), 0), 0)), "")</f>
        <v/>
      </c>
      <c r="W296" s="12" t="str">
        <f>IF(XT!$P296&gt;0,V296,"")</f>
        <v/>
      </c>
      <c r="X296" s="12" t="str">
        <f>IF(XT!$P296=0,V296,"")</f>
        <v/>
      </c>
      <c r="Y296">
        <f>SUMPRODUCT((MONTH(CHOOSE({1,2,3,4},XT!U296,XT!Y296,XT!AC296,XT!AG296))=7)*(CHOOSE({1,2,3,4},XT!X296,XT!AB296,XT!AF296,XT!AJ296)))</f>
        <v>0</v>
      </c>
      <c r="Z296" t="str">
        <f>IFERROR(INDEX(CHOOSE({1,2,3,4}, DAY(XT!U296), DAY(XT!Y296), DAY(XT!AC296), DAY(XT!AG296)), MATCH(1, INDEX(--(MONTH(CHOOSE({1,2,3,4}, XT!U296,XT!Y296,XT!AC296,XT!AG296))=7), 0), 0)), "")</f>
        <v/>
      </c>
      <c r="AA296" s="12" t="str">
        <f>IF(XT!$P296&gt;0,Z296,"")</f>
        <v/>
      </c>
      <c r="AB296" s="12" t="str">
        <f>IF(XT!$P296=0,Z296,"")</f>
        <v/>
      </c>
      <c r="AC296">
        <f>SUMPRODUCT((MONTH(CHOOSE({1,2,3,4},XT!U296,XT!Y296,XT!AC296,XT!AG296))=8)*(CHOOSE({1,2,3,4},XT!X296,XT!AB296,XT!AF296,XT!AJ296)))</f>
        <v>0</v>
      </c>
      <c r="AD296" t="str">
        <f>IFERROR(INDEX(CHOOSE({1,2,3,4}, DAY(XT!U296), DAY(XT!Y296), DAY(XT!AC296), DAY(XT!AG296)), MATCH(1, INDEX(--(MONTH(CHOOSE({1,2,3,4}, XT!U296,XT!Y296,XT!AC296,XT!AG296))=8), 0), 0)), "")</f>
        <v/>
      </c>
      <c r="AE296" s="12" t="str">
        <f>IF(XT!$P296&gt;0,AD296,"")</f>
        <v/>
      </c>
      <c r="AF296" s="12" t="str">
        <f>IF(XT!$P296=0,AD296,"")</f>
        <v/>
      </c>
      <c r="AG296">
        <f>SUMPRODUCT((MONTH(CHOOSE({1,2,3,4},XT!U296,XT!Y296,XT!AC296,XT!AG296))=9)*(CHOOSE({1,2,3,4},XT!X296,XT!AB296,XT!AF296,XT!AJ296)))</f>
        <v>0</v>
      </c>
      <c r="AH296" t="str">
        <f>IFERROR(INDEX(CHOOSE({1,2,3,4}, DAY(XT!U296), DAY(XT!Y296), DAY(XT!AC296), DAY(XT!AG296)), MATCH(1, INDEX(--(MONTH(CHOOSE({1,2,3,4}, XT!U296,XT!Y296,XT!AC296,XT!AG296))=9), 0), 0)), "")</f>
        <v/>
      </c>
      <c r="AI296" s="12" t="str">
        <f>IF(XT!$P296&gt;0,AH296,"")</f>
        <v/>
      </c>
      <c r="AJ296" s="12" t="str">
        <f>IF(XT!$P296=0,AH296,"")</f>
        <v/>
      </c>
      <c r="AK296">
        <f>SUMPRODUCT((MONTH(CHOOSE({1,2,3,4},XT!U296,XT!Y296,XT!AC296,XT!AG296))=10)*(CHOOSE({1,2,3,4},XT!X296,XT!AB296,XT!AF296,XT!AJ296)))</f>
        <v>0</v>
      </c>
      <c r="AL296" t="str">
        <f>IFERROR(INDEX(CHOOSE({1,2,3,4}, DAY(XT!U296), DAY(XT!Y296), DAY(XT!AC296), DAY(XT!AG296)), MATCH(1, INDEX(--(MONTH(CHOOSE({1,2,3,4}, XT!U296,XT!Y296,XT!AC296,XT!AG296))=10), 0), 0)), "")</f>
        <v/>
      </c>
      <c r="AM296" s="12" t="str">
        <f>IF(XT!$P296&gt;0,AL296,"")</f>
        <v/>
      </c>
      <c r="AN296" s="12" t="str">
        <f>IF(XT!$P296=0,AL296,"")</f>
        <v/>
      </c>
      <c r="AO296">
        <f>SUMPRODUCT((MONTH(CHOOSE({1,2,3,4},XT!U296,XT!Y296,XT!AC296,XT!AG296))=11)*(CHOOSE({1,2,3,4},XT!X296,XT!AB296,XT!AF296,XT!AJ296)))</f>
        <v>0</v>
      </c>
      <c r="AP296" t="str">
        <f>IFERROR(INDEX(CHOOSE({1,2,3,4}, DAY(XT!U296), DAY(XT!Y296), DAY(XT!AC296), DAY(XT!AG296)), MATCH(1, INDEX(--(MONTH(CHOOSE({1,2,3,4}, XT!U296,XT!Y296,XT!AC296,XT!AG296))=11), 0), 0)), "")</f>
        <v/>
      </c>
      <c r="AQ296" s="12" t="str">
        <f>IF(XT!$P296&gt;0,AP296,"")</f>
        <v/>
      </c>
      <c r="AR296" s="12" t="str">
        <f>IF(XT!$P296=0,AP296,"")</f>
        <v/>
      </c>
      <c r="AS296">
        <f>SUMPRODUCT((MONTH(CHOOSE({1,2,3,4},XT!U296,XT!Y296,XT!AC296,XT!AG296))=12)*(CHOOSE({1,2,3,4},XT!X296,XT!AB296,XT!AF296,XT!AJ296)))</f>
        <v>0</v>
      </c>
      <c r="AT296" t="str">
        <f>IFERROR(INDEX(CHOOSE({1,2,3,4}, DAY(XT!U296), DAY(XT!Y296), DAY(XT!AC296), DAY(XT!AG296)), MATCH(1, INDEX(--(MONTH(CHOOSE({1,2,3,4}, XT!U296,XT!Y296,XT!AC296,XT!AG296))=12), 0), 0)), "")</f>
        <v/>
      </c>
      <c r="AU296" s="12" t="str">
        <f>IF(XT!$P296&gt;0,AT296,"")</f>
        <v/>
      </c>
      <c r="AV296" s="12" t="str">
        <f>IF(XT!$P296=0,AT296,"")</f>
        <v/>
      </c>
    </row>
    <row r="297" spans="1:48">
      <c r="A297">
        <f>SUMPRODUCT((MONTH(CHOOSE({1,2,3,4},XT!U297,XT!Y297,XT!AC297,XT!AG297))=1)*(CHOOSE({1,2,3,4},XT!X297,XT!AB297,XT!AF297,XT!AJ297)))</f>
        <v>0</v>
      </c>
      <c r="B297">
        <f>IFERROR(INDEX(CHOOSE({1,2,3,4}, DAY(XT!U297), DAY(XT!Y297), DAY(XT!AC297), DAY(XT!AG297)), MATCH(1, INDEX(--(MONTH(CHOOSE({1,2,3,4}, XT!U297,XT!Y297,XT!AC297,XT!AG297))=1), 0), 0)), "")</f>
        <v>0</v>
      </c>
      <c r="C297" s="12" t="str">
        <f>IF(XT!$P297&gt;0,B297,"")</f>
        <v/>
      </c>
      <c r="D297" s="12">
        <f>IF(XT!$P297=0,B297,"")</f>
        <v>0</v>
      </c>
      <c r="E297">
        <f>SUMPRODUCT((MONTH(CHOOSE({1,2,3,4},XT!U297,XT!Y297,XT!AC297,XT!AG297))=2)*(CHOOSE({1,2,3,4},XT!X297,XT!AB297,XT!AF297,XT!AJ297)))</f>
        <v>0</v>
      </c>
      <c r="F297" t="str">
        <f>IFERROR(INDEX(CHOOSE({1,2,3,4}, DAY(XT!U297), DAY(XT!Y297), DAY(XT!AC297), DAY(XT!AG297)), MATCH(1, INDEX(--(MONTH(CHOOSE({1,2,3,4}, XT!U297,XT!Y297,XT!AC297,XT!AG297))=2), 0), 0)), "")</f>
        <v/>
      </c>
      <c r="G297" s="12" t="str">
        <f>IF(XT!$P297&gt;0,F297,"")</f>
        <v/>
      </c>
      <c r="H297" s="12" t="str">
        <f>IF(XT!$P297=0,F297,"")</f>
        <v/>
      </c>
      <c r="I297">
        <f>SUMPRODUCT((MONTH(CHOOSE({1,2,3,4},XT!U297,XT!Y297,XT!AC297,XT!AG297))=3)*(CHOOSE({1,2,3,4},XT!X297,XT!AB297,XT!AF297,XT!AJ297)))</f>
        <v>0</v>
      </c>
      <c r="J297" t="str">
        <f>IFERROR(INDEX(CHOOSE({1,2,3,4}, DAY(XT!U297), DAY(XT!Y297), DAY(XT!AC297), DAY(XT!AG297)), MATCH(1, INDEX(--(MONTH(CHOOSE({1,2,3,4}, XT!U297,XT!Y297,XT!AC297,XT!AG297))=3), 0), 0)), "")</f>
        <v/>
      </c>
      <c r="K297" s="12" t="str">
        <f>IF(XT!$P297&gt;0,J297,"")</f>
        <v/>
      </c>
      <c r="L297" s="12" t="str">
        <f>IF(XT!$P297=0,J297,"")</f>
        <v/>
      </c>
      <c r="M297">
        <f>SUMPRODUCT((MONTH(CHOOSE({1,2,3,4},XT!U297,XT!Y297,XT!AC297,XT!AG297))=4)*(CHOOSE({1,2,3,4},XT!X297,XT!AB297,XT!AF297,XT!AJ297)))</f>
        <v>0</v>
      </c>
      <c r="N297" t="str">
        <f>IFERROR(INDEX(CHOOSE({1,2,3,4}, DAY(XT!U297), DAY(XT!Y297), DAY(XT!AC297), DAY(XT!AG297)), MATCH(1, INDEX(--(MONTH(CHOOSE({1,2,3,4}, XT!U297,XT!Y297,XT!AC297,XT!AG297))=4), 0), 0)), "")</f>
        <v/>
      </c>
      <c r="O297" s="12" t="str">
        <f>IF(XT!$P297&gt;0,N297,"")</f>
        <v/>
      </c>
      <c r="P297" s="12" t="str">
        <f>IF(XT!$P297=0,N297,"")</f>
        <v/>
      </c>
      <c r="Q297">
        <f>SUMPRODUCT((MONTH(CHOOSE({1,2,3,4},XT!U297,XT!Y297,XT!AC297,XT!AG297))=5)*(CHOOSE({1,2,3,4},XT!X297,XT!AB297,XT!AF297,XT!AJ297)))</f>
        <v>0</v>
      </c>
      <c r="R297" t="str">
        <f>IFERROR(INDEX(CHOOSE({1,2,3,4}, DAY(XT!U297), DAY(XT!Y297), DAY(XT!AC297), DAY(XT!AG297)), MATCH(1, INDEX(--(MONTH(CHOOSE({1,2,3,4}, XT!U297,XT!Y297,XT!AC297,XT!AG297))=5), 0), 0)), "")</f>
        <v/>
      </c>
      <c r="S297" s="12" t="str">
        <f>IF(XT!$P297&gt;0,R297,"")</f>
        <v/>
      </c>
      <c r="T297" s="12" t="str">
        <f>IF(XT!$P297=0,R297,"")</f>
        <v/>
      </c>
      <c r="U297">
        <f>SUMPRODUCT((MONTH(CHOOSE({1,2,3,4},XT!U297,XT!Y297,XT!AC297,XT!AG297))=6)*(CHOOSE({1,2,3,4},XT!X297,XT!AB297,XT!AF297,XT!AJ297)))</f>
        <v>0</v>
      </c>
      <c r="V297" t="str">
        <f>IFERROR(INDEX(CHOOSE({1,2,3,4}, DAY(XT!U297), DAY(XT!Y297), DAY(XT!AC297), DAY(XT!AG297)), MATCH(1, INDEX(--(MONTH(CHOOSE({1,2,3,4}, XT!U297,XT!Y297,XT!AC297,XT!AG297))=6), 0), 0)), "")</f>
        <v/>
      </c>
      <c r="W297" s="12" t="str">
        <f>IF(XT!$P297&gt;0,V297,"")</f>
        <v/>
      </c>
      <c r="X297" s="12" t="str">
        <f>IF(XT!$P297=0,V297,"")</f>
        <v/>
      </c>
      <c r="Y297">
        <f>SUMPRODUCT((MONTH(CHOOSE({1,2,3,4},XT!U297,XT!Y297,XT!AC297,XT!AG297))=7)*(CHOOSE({1,2,3,4},XT!X297,XT!AB297,XT!AF297,XT!AJ297)))</f>
        <v>0</v>
      </c>
      <c r="Z297" t="str">
        <f>IFERROR(INDEX(CHOOSE({1,2,3,4}, DAY(XT!U297), DAY(XT!Y297), DAY(XT!AC297), DAY(XT!AG297)), MATCH(1, INDEX(--(MONTH(CHOOSE({1,2,3,4}, XT!U297,XT!Y297,XT!AC297,XT!AG297))=7), 0), 0)), "")</f>
        <v/>
      </c>
      <c r="AA297" s="12" t="str">
        <f>IF(XT!$P297&gt;0,Z297,"")</f>
        <v/>
      </c>
      <c r="AB297" s="12" t="str">
        <f>IF(XT!$P297=0,Z297,"")</f>
        <v/>
      </c>
      <c r="AC297">
        <f>SUMPRODUCT((MONTH(CHOOSE({1,2,3,4},XT!U297,XT!Y297,XT!AC297,XT!AG297))=8)*(CHOOSE({1,2,3,4},XT!X297,XT!AB297,XT!AF297,XT!AJ297)))</f>
        <v>0</v>
      </c>
      <c r="AD297" t="str">
        <f>IFERROR(INDEX(CHOOSE({1,2,3,4}, DAY(XT!U297), DAY(XT!Y297), DAY(XT!AC297), DAY(XT!AG297)), MATCH(1, INDEX(--(MONTH(CHOOSE({1,2,3,4}, XT!U297,XT!Y297,XT!AC297,XT!AG297))=8), 0), 0)), "")</f>
        <v/>
      </c>
      <c r="AE297" s="12" t="str">
        <f>IF(XT!$P297&gt;0,AD297,"")</f>
        <v/>
      </c>
      <c r="AF297" s="12" t="str">
        <f>IF(XT!$P297=0,AD297,"")</f>
        <v/>
      </c>
      <c r="AG297">
        <f>SUMPRODUCT((MONTH(CHOOSE({1,2,3,4},XT!U297,XT!Y297,XT!AC297,XT!AG297))=9)*(CHOOSE({1,2,3,4},XT!X297,XT!AB297,XT!AF297,XT!AJ297)))</f>
        <v>0</v>
      </c>
      <c r="AH297" t="str">
        <f>IFERROR(INDEX(CHOOSE({1,2,3,4}, DAY(XT!U297), DAY(XT!Y297), DAY(XT!AC297), DAY(XT!AG297)), MATCH(1, INDEX(--(MONTH(CHOOSE({1,2,3,4}, XT!U297,XT!Y297,XT!AC297,XT!AG297))=9), 0), 0)), "")</f>
        <v/>
      </c>
      <c r="AI297" s="12" t="str">
        <f>IF(XT!$P297&gt;0,AH297,"")</f>
        <v/>
      </c>
      <c r="AJ297" s="12" t="str">
        <f>IF(XT!$P297=0,AH297,"")</f>
        <v/>
      </c>
      <c r="AK297">
        <f>SUMPRODUCT((MONTH(CHOOSE({1,2,3,4},XT!U297,XT!Y297,XT!AC297,XT!AG297))=10)*(CHOOSE({1,2,3,4},XT!X297,XT!AB297,XT!AF297,XT!AJ297)))</f>
        <v>0</v>
      </c>
      <c r="AL297" t="str">
        <f>IFERROR(INDEX(CHOOSE({1,2,3,4}, DAY(XT!U297), DAY(XT!Y297), DAY(XT!AC297), DAY(XT!AG297)), MATCH(1, INDEX(--(MONTH(CHOOSE({1,2,3,4}, XT!U297,XT!Y297,XT!AC297,XT!AG297))=10), 0), 0)), "")</f>
        <v/>
      </c>
      <c r="AM297" s="12" t="str">
        <f>IF(XT!$P297&gt;0,AL297,"")</f>
        <v/>
      </c>
      <c r="AN297" s="12" t="str">
        <f>IF(XT!$P297=0,AL297,"")</f>
        <v/>
      </c>
      <c r="AO297">
        <f>SUMPRODUCT((MONTH(CHOOSE({1,2,3,4},XT!U297,XT!Y297,XT!AC297,XT!AG297))=11)*(CHOOSE({1,2,3,4},XT!X297,XT!AB297,XT!AF297,XT!AJ297)))</f>
        <v>0</v>
      </c>
      <c r="AP297" t="str">
        <f>IFERROR(INDEX(CHOOSE({1,2,3,4}, DAY(XT!U297), DAY(XT!Y297), DAY(XT!AC297), DAY(XT!AG297)), MATCH(1, INDEX(--(MONTH(CHOOSE({1,2,3,4}, XT!U297,XT!Y297,XT!AC297,XT!AG297))=11), 0), 0)), "")</f>
        <v/>
      </c>
      <c r="AQ297" s="12" t="str">
        <f>IF(XT!$P297&gt;0,AP297,"")</f>
        <v/>
      </c>
      <c r="AR297" s="12" t="str">
        <f>IF(XT!$P297=0,AP297,"")</f>
        <v/>
      </c>
      <c r="AS297">
        <f>SUMPRODUCT((MONTH(CHOOSE({1,2,3,4},XT!U297,XT!Y297,XT!AC297,XT!AG297))=12)*(CHOOSE({1,2,3,4},XT!X297,XT!AB297,XT!AF297,XT!AJ297)))</f>
        <v>0</v>
      </c>
      <c r="AT297" t="str">
        <f>IFERROR(INDEX(CHOOSE({1,2,3,4}, DAY(XT!U297), DAY(XT!Y297), DAY(XT!AC297), DAY(XT!AG297)), MATCH(1, INDEX(--(MONTH(CHOOSE({1,2,3,4}, XT!U297,XT!Y297,XT!AC297,XT!AG297))=12), 0), 0)), "")</f>
        <v/>
      </c>
      <c r="AU297" s="12" t="str">
        <f>IF(XT!$P297&gt;0,AT297,"")</f>
        <v/>
      </c>
      <c r="AV297" s="12" t="str">
        <f>IF(XT!$P297=0,AT297,"")</f>
        <v/>
      </c>
    </row>
    <row r="298" spans="1:48">
      <c r="A298">
        <f>SUMPRODUCT((MONTH(CHOOSE({1,2,3,4},XT!U298,XT!Y298,XT!AC298,XT!AG298))=1)*(CHOOSE({1,2,3,4},XT!X298,XT!AB298,XT!AF298,XT!AJ298)))</f>
        <v>0</v>
      </c>
      <c r="B298">
        <f>IFERROR(INDEX(CHOOSE({1,2,3,4}, DAY(XT!U298), DAY(XT!Y298), DAY(XT!AC298), DAY(XT!AG298)), MATCH(1, INDEX(--(MONTH(CHOOSE({1,2,3,4}, XT!U298,XT!Y298,XT!AC298,XT!AG298))=1), 0), 0)), "")</f>
        <v>0</v>
      </c>
      <c r="C298" s="12" t="str">
        <f>IF(XT!$P298&gt;0,B298,"")</f>
        <v/>
      </c>
      <c r="D298" s="12">
        <f>IF(XT!$P298=0,B298,"")</f>
        <v>0</v>
      </c>
      <c r="E298">
        <f>SUMPRODUCT((MONTH(CHOOSE({1,2,3,4},XT!U298,XT!Y298,XT!AC298,XT!AG298))=2)*(CHOOSE({1,2,3,4},XT!X298,XT!AB298,XT!AF298,XT!AJ298)))</f>
        <v>0</v>
      </c>
      <c r="F298" t="str">
        <f>IFERROR(INDEX(CHOOSE({1,2,3,4}, DAY(XT!U298), DAY(XT!Y298), DAY(XT!AC298), DAY(XT!AG298)), MATCH(1, INDEX(--(MONTH(CHOOSE({1,2,3,4}, XT!U298,XT!Y298,XT!AC298,XT!AG298))=2), 0), 0)), "")</f>
        <v/>
      </c>
      <c r="G298" s="12" t="str">
        <f>IF(XT!$P298&gt;0,F298,"")</f>
        <v/>
      </c>
      <c r="H298" s="12" t="str">
        <f>IF(XT!$P298=0,F298,"")</f>
        <v/>
      </c>
      <c r="I298">
        <f>SUMPRODUCT((MONTH(CHOOSE({1,2,3,4},XT!U298,XT!Y298,XT!AC298,XT!AG298))=3)*(CHOOSE({1,2,3,4},XT!X298,XT!AB298,XT!AF298,XT!AJ298)))</f>
        <v>0</v>
      </c>
      <c r="J298" t="str">
        <f>IFERROR(INDEX(CHOOSE({1,2,3,4}, DAY(XT!U298), DAY(XT!Y298), DAY(XT!AC298), DAY(XT!AG298)), MATCH(1, INDEX(--(MONTH(CHOOSE({1,2,3,4}, XT!U298,XT!Y298,XT!AC298,XT!AG298))=3), 0), 0)), "")</f>
        <v/>
      </c>
      <c r="K298" s="12" t="str">
        <f>IF(XT!$P298&gt;0,J298,"")</f>
        <v/>
      </c>
      <c r="L298" s="12" t="str">
        <f>IF(XT!$P298=0,J298,"")</f>
        <v/>
      </c>
      <c r="M298">
        <f>SUMPRODUCT((MONTH(CHOOSE({1,2,3,4},XT!U298,XT!Y298,XT!AC298,XT!AG298))=4)*(CHOOSE({1,2,3,4},XT!X298,XT!AB298,XT!AF298,XT!AJ298)))</f>
        <v>0</v>
      </c>
      <c r="N298" t="str">
        <f>IFERROR(INDEX(CHOOSE({1,2,3,4}, DAY(XT!U298), DAY(XT!Y298), DAY(XT!AC298), DAY(XT!AG298)), MATCH(1, INDEX(--(MONTH(CHOOSE({1,2,3,4}, XT!U298,XT!Y298,XT!AC298,XT!AG298))=4), 0), 0)), "")</f>
        <v/>
      </c>
      <c r="O298" s="12" t="str">
        <f>IF(XT!$P298&gt;0,N298,"")</f>
        <v/>
      </c>
      <c r="P298" s="12" t="str">
        <f>IF(XT!$P298=0,N298,"")</f>
        <v/>
      </c>
      <c r="Q298">
        <f>SUMPRODUCT((MONTH(CHOOSE({1,2,3,4},XT!U298,XT!Y298,XT!AC298,XT!AG298))=5)*(CHOOSE({1,2,3,4},XT!X298,XT!AB298,XT!AF298,XT!AJ298)))</f>
        <v>0</v>
      </c>
      <c r="R298" t="str">
        <f>IFERROR(INDEX(CHOOSE({1,2,3,4}, DAY(XT!U298), DAY(XT!Y298), DAY(XT!AC298), DAY(XT!AG298)), MATCH(1, INDEX(--(MONTH(CHOOSE({1,2,3,4}, XT!U298,XT!Y298,XT!AC298,XT!AG298))=5), 0), 0)), "")</f>
        <v/>
      </c>
      <c r="S298" s="12" t="str">
        <f>IF(XT!$P298&gt;0,R298,"")</f>
        <v/>
      </c>
      <c r="T298" s="12" t="str">
        <f>IF(XT!$P298=0,R298,"")</f>
        <v/>
      </c>
      <c r="U298">
        <f>SUMPRODUCT((MONTH(CHOOSE({1,2,3,4},XT!U298,XT!Y298,XT!AC298,XT!AG298))=6)*(CHOOSE({1,2,3,4},XT!X298,XT!AB298,XT!AF298,XT!AJ298)))</f>
        <v>0</v>
      </c>
      <c r="V298" t="str">
        <f>IFERROR(INDEX(CHOOSE({1,2,3,4}, DAY(XT!U298), DAY(XT!Y298), DAY(XT!AC298), DAY(XT!AG298)), MATCH(1, INDEX(--(MONTH(CHOOSE({1,2,3,4}, XT!U298,XT!Y298,XT!AC298,XT!AG298))=6), 0), 0)), "")</f>
        <v/>
      </c>
      <c r="W298" s="12" t="str">
        <f>IF(XT!$P298&gt;0,V298,"")</f>
        <v/>
      </c>
      <c r="X298" s="12" t="str">
        <f>IF(XT!$P298=0,V298,"")</f>
        <v/>
      </c>
      <c r="Y298">
        <f>SUMPRODUCT((MONTH(CHOOSE({1,2,3,4},XT!U298,XT!Y298,XT!AC298,XT!AG298))=7)*(CHOOSE({1,2,3,4},XT!X298,XT!AB298,XT!AF298,XT!AJ298)))</f>
        <v>0</v>
      </c>
      <c r="Z298" t="str">
        <f>IFERROR(INDEX(CHOOSE({1,2,3,4}, DAY(XT!U298), DAY(XT!Y298), DAY(XT!AC298), DAY(XT!AG298)), MATCH(1, INDEX(--(MONTH(CHOOSE({1,2,3,4}, XT!U298,XT!Y298,XT!AC298,XT!AG298))=7), 0), 0)), "")</f>
        <v/>
      </c>
      <c r="AA298" s="12" t="str">
        <f>IF(XT!$P298&gt;0,Z298,"")</f>
        <v/>
      </c>
      <c r="AB298" s="12" t="str">
        <f>IF(XT!$P298=0,Z298,"")</f>
        <v/>
      </c>
      <c r="AC298">
        <f>SUMPRODUCT((MONTH(CHOOSE({1,2,3,4},XT!U298,XT!Y298,XT!AC298,XT!AG298))=8)*(CHOOSE({1,2,3,4},XT!X298,XT!AB298,XT!AF298,XT!AJ298)))</f>
        <v>0</v>
      </c>
      <c r="AD298" t="str">
        <f>IFERROR(INDEX(CHOOSE({1,2,3,4}, DAY(XT!U298), DAY(XT!Y298), DAY(XT!AC298), DAY(XT!AG298)), MATCH(1, INDEX(--(MONTH(CHOOSE({1,2,3,4}, XT!U298,XT!Y298,XT!AC298,XT!AG298))=8), 0), 0)), "")</f>
        <v/>
      </c>
      <c r="AE298" s="12" t="str">
        <f>IF(XT!$P298&gt;0,AD298,"")</f>
        <v/>
      </c>
      <c r="AF298" s="12" t="str">
        <f>IF(XT!$P298=0,AD298,"")</f>
        <v/>
      </c>
      <c r="AG298">
        <f>SUMPRODUCT((MONTH(CHOOSE({1,2,3,4},XT!U298,XT!Y298,XT!AC298,XT!AG298))=9)*(CHOOSE({1,2,3,4},XT!X298,XT!AB298,XT!AF298,XT!AJ298)))</f>
        <v>0</v>
      </c>
      <c r="AH298" t="str">
        <f>IFERROR(INDEX(CHOOSE({1,2,3,4}, DAY(XT!U298), DAY(XT!Y298), DAY(XT!AC298), DAY(XT!AG298)), MATCH(1, INDEX(--(MONTH(CHOOSE({1,2,3,4}, XT!U298,XT!Y298,XT!AC298,XT!AG298))=9), 0), 0)), "")</f>
        <v/>
      </c>
      <c r="AI298" s="12" t="str">
        <f>IF(XT!$P298&gt;0,AH298,"")</f>
        <v/>
      </c>
      <c r="AJ298" s="12" t="str">
        <f>IF(XT!$P298=0,AH298,"")</f>
        <v/>
      </c>
      <c r="AK298">
        <f>SUMPRODUCT((MONTH(CHOOSE({1,2,3,4},XT!U298,XT!Y298,XT!AC298,XT!AG298))=10)*(CHOOSE({1,2,3,4},XT!X298,XT!AB298,XT!AF298,XT!AJ298)))</f>
        <v>0</v>
      </c>
      <c r="AL298" t="str">
        <f>IFERROR(INDEX(CHOOSE({1,2,3,4}, DAY(XT!U298), DAY(XT!Y298), DAY(XT!AC298), DAY(XT!AG298)), MATCH(1, INDEX(--(MONTH(CHOOSE({1,2,3,4}, XT!U298,XT!Y298,XT!AC298,XT!AG298))=10), 0), 0)), "")</f>
        <v/>
      </c>
      <c r="AM298" s="12" t="str">
        <f>IF(XT!$P298&gt;0,AL298,"")</f>
        <v/>
      </c>
      <c r="AN298" s="12" t="str">
        <f>IF(XT!$P298=0,AL298,"")</f>
        <v/>
      </c>
      <c r="AO298">
        <f>SUMPRODUCT((MONTH(CHOOSE({1,2,3,4},XT!U298,XT!Y298,XT!AC298,XT!AG298))=11)*(CHOOSE({1,2,3,4},XT!X298,XT!AB298,XT!AF298,XT!AJ298)))</f>
        <v>0</v>
      </c>
      <c r="AP298" t="str">
        <f>IFERROR(INDEX(CHOOSE({1,2,3,4}, DAY(XT!U298), DAY(XT!Y298), DAY(XT!AC298), DAY(XT!AG298)), MATCH(1, INDEX(--(MONTH(CHOOSE({1,2,3,4}, XT!U298,XT!Y298,XT!AC298,XT!AG298))=11), 0), 0)), "")</f>
        <v/>
      </c>
      <c r="AQ298" s="12" t="str">
        <f>IF(XT!$P298&gt;0,AP298,"")</f>
        <v/>
      </c>
      <c r="AR298" s="12" t="str">
        <f>IF(XT!$P298=0,AP298,"")</f>
        <v/>
      </c>
      <c r="AS298">
        <f>SUMPRODUCT((MONTH(CHOOSE({1,2,3,4},XT!U298,XT!Y298,XT!AC298,XT!AG298))=12)*(CHOOSE({1,2,3,4},XT!X298,XT!AB298,XT!AF298,XT!AJ298)))</f>
        <v>0</v>
      </c>
      <c r="AT298" t="str">
        <f>IFERROR(INDEX(CHOOSE({1,2,3,4}, DAY(XT!U298), DAY(XT!Y298), DAY(XT!AC298), DAY(XT!AG298)), MATCH(1, INDEX(--(MONTH(CHOOSE({1,2,3,4}, XT!U298,XT!Y298,XT!AC298,XT!AG298))=12), 0), 0)), "")</f>
        <v/>
      </c>
      <c r="AU298" s="12" t="str">
        <f>IF(XT!$P298&gt;0,AT298,"")</f>
        <v/>
      </c>
      <c r="AV298" s="12" t="str">
        <f>IF(XT!$P298=0,AT298,"")</f>
        <v/>
      </c>
    </row>
    <row r="299" spans="1:48">
      <c r="A299">
        <f>SUMPRODUCT((MONTH(CHOOSE({1,2,3,4},XT!U299,XT!Y299,XT!AC299,XT!AG299))=1)*(CHOOSE({1,2,3,4},XT!X299,XT!AB299,XT!AF299,XT!AJ299)))</f>
        <v>0</v>
      </c>
      <c r="B299">
        <f>IFERROR(INDEX(CHOOSE({1,2,3,4}, DAY(XT!U299), DAY(XT!Y299), DAY(XT!AC299), DAY(XT!AG299)), MATCH(1, INDEX(--(MONTH(CHOOSE({1,2,3,4}, XT!U299,XT!Y299,XT!AC299,XT!AG299))=1), 0), 0)), "")</f>
        <v>0</v>
      </c>
      <c r="C299" s="12" t="str">
        <f>IF(XT!$P299&gt;0,B299,"")</f>
        <v/>
      </c>
      <c r="D299" s="12">
        <f>IF(XT!$P299=0,B299,"")</f>
        <v>0</v>
      </c>
      <c r="E299">
        <f>SUMPRODUCT((MONTH(CHOOSE({1,2,3,4},XT!U299,XT!Y299,XT!AC299,XT!AG299))=2)*(CHOOSE({1,2,3,4},XT!X299,XT!AB299,XT!AF299,XT!AJ299)))</f>
        <v>0</v>
      </c>
      <c r="F299" t="str">
        <f>IFERROR(INDEX(CHOOSE({1,2,3,4}, DAY(XT!U299), DAY(XT!Y299), DAY(XT!AC299), DAY(XT!AG299)), MATCH(1, INDEX(--(MONTH(CHOOSE({1,2,3,4}, XT!U299,XT!Y299,XT!AC299,XT!AG299))=2), 0), 0)), "")</f>
        <v/>
      </c>
      <c r="G299" s="12" t="str">
        <f>IF(XT!$P299&gt;0,F299,"")</f>
        <v/>
      </c>
      <c r="H299" s="12" t="str">
        <f>IF(XT!$P299=0,F299,"")</f>
        <v/>
      </c>
      <c r="I299">
        <f>SUMPRODUCT((MONTH(CHOOSE({1,2,3,4},XT!U299,XT!Y299,XT!AC299,XT!AG299))=3)*(CHOOSE({1,2,3,4},XT!X299,XT!AB299,XT!AF299,XT!AJ299)))</f>
        <v>0</v>
      </c>
      <c r="J299" t="str">
        <f>IFERROR(INDEX(CHOOSE({1,2,3,4}, DAY(XT!U299), DAY(XT!Y299), DAY(XT!AC299), DAY(XT!AG299)), MATCH(1, INDEX(--(MONTH(CHOOSE({1,2,3,4}, XT!U299,XT!Y299,XT!AC299,XT!AG299))=3), 0), 0)), "")</f>
        <v/>
      </c>
      <c r="K299" s="12" t="str">
        <f>IF(XT!$P299&gt;0,J299,"")</f>
        <v/>
      </c>
      <c r="L299" s="12" t="str">
        <f>IF(XT!$P299=0,J299,"")</f>
        <v/>
      </c>
      <c r="M299">
        <f>SUMPRODUCT((MONTH(CHOOSE({1,2,3,4},XT!U299,XT!Y299,XT!AC299,XT!AG299))=4)*(CHOOSE({1,2,3,4},XT!X299,XT!AB299,XT!AF299,XT!AJ299)))</f>
        <v>0</v>
      </c>
      <c r="N299" t="str">
        <f>IFERROR(INDEX(CHOOSE({1,2,3,4}, DAY(XT!U299), DAY(XT!Y299), DAY(XT!AC299), DAY(XT!AG299)), MATCH(1, INDEX(--(MONTH(CHOOSE({1,2,3,4}, XT!U299,XT!Y299,XT!AC299,XT!AG299))=4), 0), 0)), "")</f>
        <v/>
      </c>
      <c r="O299" s="12" t="str">
        <f>IF(XT!$P299&gt;0,N299,"")</f>
        <v/>
      </c>
      <c r="P299" s="12" t="str">
        <f>IF(XT!$P299=0,N299,"")</f>
        <v/>
      </c>
      <c r="Q299">
        <f>SUMPRODUCT((MONTH(CHOOSE({1,2,3,4},XT!U299,XT!Y299,XT!AC299,XT!AG299))=5)*(CHOOSE({1,2,3,4},XT!X299,XT!AB299,XT!AF299,XT!AJ299)))</f>
        <v>0</v>
      </c>
      <c r="R299" t="str">
        <f>IFERROR(INDEX(CHOOSE({1,2,3,4}, DAY(XT!U299), DAY(XT!Y299), DAY(XT!AC299), DAY(XT!AG299)), MATCH(1, INDEX(--(MONTH(CHOOSE({1,2,3,4}, XT!U299,XT!Y299,XT!AC299,XT!AG299))=5), 0), 0)), "")</f>
        <v/>
      </c>
      <c r="S299" s="12" t="str">
        <f>IF(XT!$P299&gt;0,R299,"")</f>
        <v/>
      </c>
      <c r="T299" s="12" t="str">
        <f>IF(XT!$P299=0,R299,"")</f>
        <v/>
      </c>
      <c r="U299">
        <f>SUMPRODUCT((MONTH(CHOOSE({1,2,3,4},XT!U299,XT!Y299,XT!AC299,XT!AG299))=6)*(CHOOSE({1,2,3,4},XT!X299,XT!AB299,XT!AF299,XT!AJ299)))</f>
        <v>0</v>
      </c>
      <c r="V299" t="str">
        <f>IFERROR(INDEX(CHOOSE({1,2,3,4}, DAY(XT!U299), DAY(XT!Y299), DAY(XT!AC299), DAY(XT!AG299)), MATCH(1, INDEX(--(MONTH(CHOOSE({1,2,3,4}, XT!U299,XT!Y299,XT!AC299,XT!AG299))=6), 0), 0)), "")</f>
        <v/>
      </c>
      <c r="W299" s="12" t="str">
        <f>IF(XT!$P299&gt;0,V299,"")</f>
        <v/>
      </c>
      <c r="X299" s="12" t="str">
        <f>IF(XT!$P299=0,V299,"")</f>
        <v/>
      </c>
      <c r="Y299">
        <f>SUMPRODUCT((MONTH(CHOOSE({1,2,3,4},XT!U299,XT!Y299,XT!AC299,XT!AG299))=7)*(CHOOSE({1,2,3,4},XT!X299,XT!AB299,XT!AF299,XT!AJ299)))</f>
        <v>0</v>
      </c>
      <c r="Z299" t="str">
        <f>IFERROR(INDEX(CHOOSE({1,2,3,4}, DAY(XT!U299), DAY(XT!Y299), DAY(XT!AC299), DAY(XT!AG299)), MATCH(1, INDEX(--(MONTH(CHOOSE({1,2,3,4}, XT!U299,XT!Y299,XT!AC299,XT!AG299))=7), 0), 0)), "")</f>
        <v/>
      </c>
      <c r="AA299" s="12" t="str">
        <f>IF(XT!$P299&gt;0,Z299,"")</f>
        <v/>
      </c>
      <c r="AB299" s="12" t="str">
        <f>IF(XT!$P299=0,Z299,"")</f>
        <v/>
      </c>
      <c r="AC299">
        <f>SUMPRODUCT((MONTH(CHOOSE({1,2,3,4},XT!U299,XT!Y299,XT!AC299,XT!AG299))=8)*(CHOOSE({1,2,3,4},XT!X299,XT!AB299,XT!AF299,XT!AJ299)))</f>
        <v>0</v>
      </c>
      <c r="AD299" t="str">
        <f>IFERROR(INDEX(CHOOSE({1,2,3,4}, DAY(XT!U299), DAY(XT!Y299), DAY(XT!AC299), DAY(XT!AG299)), MATCH(1, INDEX(--(MONTH(CHOOSE({1,2,3,4}, XT!U299,XT!Y299,XT!AC299,XT!AG299))=8), 0), 0)), "")</f>
        <v/>
      </c>
      <c r="AE299" s="12" t="str">
        <f>IF(XT!$P299&gt;0,AD299,"")</f>
        <v/>
      </c>
      <c r="AF299" s="12" t="str">
        <f>IF(XT!$P299=0,AD299,"")</f>
        <v/>
      </c>
      <c r="AG299">
        <f>SUMPRODUCT((MONTH(CHOOSE({1,2,3,4},XT!U299,XT!Y299,XT!AC299,XT!AG299))=9)*(CHOOSE({1,2,3,4},XT!X299,XT!AB299,XT!AF299,XT!AJ299)))</f>
        <v>0</v>
      </c>
      <c r="AH299" t="str">
        <f>IFERROR(INDEX(CHOOSE({1,2,3,4}, DAY(XT!U299), DAY(XT!Y299), DAY(XT!AC299), DAY(XT!AG299)), MATCH(1, INDEX(--(MONTH(CHOOSE({1,2,3,4}, XT!U299,XT!Y299,XT!AC299,XT!AG299))=9), 0), 0)), "")</f>
        <v/>
      </c>
      <c r="AI299" s="12" t="str">
        <f>IF(XT!$P299&gt;0,AH299,"")</f>
        <v/>
      </c>
      <c r="AJ299" s="12" t="str">
        <f>IF(XT!$P299=0,AH299,"")</f>
        <v/>
      </c>
      <c r="AK299">
        <f>SUMPRODUCT((MONTH(CHOOSE({1,2,3,4},XT!U299,XT!Y299,XT!AC299,XT!AG299))=10)*(CHOOSE({1,2,3,4},XT!X299,XT!AB299,XT!AF299,XT!AJ299)))</f>
        <v>0</v>
      </c>
      <c r="AL299" t="str">
        <f>IFERROR(INDEX(CHOOSE({1,2,3,4}, DAY(XT!U299), DAY(XT!Y299), DAY(XT!AC299), DAY(XT!AG299)), MATCH(1, INDEX(--(MONTH(CHOOSE({1,2,3,4}, XT!U299,XT!Y299,XT!AC299,XT!AG299))=10), 0), 0)), "")</f>
        <v/>
      </c>
      <c r="AM299" s="12" t="str">
        <f>IF(XT!$P299&gt;0,AL299,"")</f>
        <v/>
      </c>
      <c r="AN299" s="12" t="str">
        <f>IF(XT!$P299=0,AL299,"")</f>
        <v/>
      </c>
      <c r="AO299">
        <f>SUMPRODUCT((MONTH(CHOOSE({1,2,3,4},XT!U299,XT!Y299,XT!AC299,XT!AG299))=11)*(CHOOSE({1,2,3,4},XT!X299,XT!AB299,XT!AF299,XT!AJ299)))</f>
        <v>0</v>
      </c>
      <c r="AP299" t="str">
        <f>IFERROR(INDEX(CHOOSE({1,2,3,4}, DAY(XT!U299), DAY(XT!Y299), DAY(XT!AC299), DAY(XT!AG299)), MATCH(1, INDEX(--(MONTH(CHOOSE({1,2,3,4}, XT!U299,XT!Y299,XT!AC299,XT!AG299))=11), 0), 0)), "")</f>
        <v/>
      </c>
      <c r="AQ299" s="12" t="str">
        <f>IF(XT!$P299&gt;0,AP299,"")</f>
        <v/>
      </c>
      <c r="AR299" s="12" t="str">
        <f>IF(XT!$P299=0,AP299,"")</f>
        <v/>
      </c>
      <c r="AS299">
        <f>SUMPRODUCT((MONTH(CHOOSE({1,2,3,4},XT!U299,XT!Y299,XT!AC299,XT!AG299))=12)*(CHOOSE({1,2,3,4},XT!X299,XT!AB299,XT!AF299,XT!AJ299)))</f>
        <v>0</v>
      </c>
      <c r="AT299" t="str">
        <f>IFERROR(INDEX(CHOOSE({1,2,3,4}, DAY(XT!U299), DAY(XT!Y299), DAY(XT!AC299), DAY(XT!AG299)), MATCH(1, INDEX(--(MONTH(CHOOSE({1,2,3,4}, XT!U299,XT!Y299,XT!AC299,XT!AG299))=12), 0), 0)), "")</f>
        <v/>
      </c>
      <c r="AU299" s="12" t="str">
        <f>IF(XT!$P299&gt;0,AT299,"")</f>
        <v/>
      </c>
      <c r="AV299" s="12" t="str">
        <f>IF(XT!$P299=0,AT299,"")</f>
        <v/>
      </c>
    </row>
    <row r="300" spans="1:48">
      <c r="A300">
        <f>SUMPRODUCT((MONTH(CHOOSE({1,2,3,4},XT!U300,XT!Y300,XT!AC300,XT!AG300))=1)*(CHOOSE({1,2,3,4},XT!X300,XT!AB300,XT!AF300,XT!AJ300)))</f>
        <v>0</v>
      </c>
      <c r="B300">
        <f>IFERROR(INDEX(CHOOSE({1,2,3,4}, DAY(XT!U300), DAY(XT!Y300), DAY(XT!AC300), DAY(XT!AG300)), MATCH(1, INDEX(--(MONTH(CHOOSE({1,2,3,4}, XT!U300,XT!Y300,XT!AC300,XT!AG300))=1), 0), 0)), "")</f>
        <v>0</v>
      </c>
      <c r="C300" s="12" t="str">
        <f>IF(XT!$P300&gt;0,B300,"")</f>
        <v/>
      </c>
      <c r="D300" s="12">
        <f>IF(XT!$P300=0,B300,"")</f>
        <v>0</v>
      </c>
      <c r="E300">
        <f>SUMPRODUCT((MONTH(CHOOSE({1,2,3,4},XT!U300,XT!Y300,XT!AC300,XT!AG300))=2)*(CHOOSE({1,2,3,4},XT!X300,XT!AB300,XT!AF300,XT!AJ300)))</f>
        <v>0</v>
      </c>
      <c r="F300" t="str">
        <f>IFERROR(INDEX(CHOOSE({1,2,3,4}, DAY(XT!U300), DAY(XT!Y300), DAY(XT!AC300), DAY(XT!AG300)), MATCH(1, INDEX(--(MONTH(CHOOSE({1,2,3,4}, XT!U300,XT!Y300,XT!AC300,XT!AG300))=2), 0), 0)), "")</f>
        <v/>
      </c>
      <c r="G300" s="12" t="str">
        <f>IF(XT!$P300&gt;0,F300,"")</f>
        <v/>
      </c>
      <c r="H300" s="12" t="str">
        <f>IF(XT!$P300=0,F300,"")</f>
        <v/>
      </c>
      <c r="I300">
        <f>SUMPRODUCT((MONTH(CHOOSE({1,2,3,4},XT!U300,XT!Y300,XT!AC300,XT!AG300))=3)*(CHOOSE({1,2,3,4},XT!X300,XT!AB300,XT!AF300,XT!AJ300)))</f>
        <v>0</v>
      </c>
      <c r="J300" t="str">
        <f>IFERROR(INDEX(CHOOSE({1,2,3,4}, DAY(XT!U300), DAY(XT!Y300), DAY(XT!AC300), DAY(XT!AG300)), MATCH(1, INDEX(--(MONTH(CHOOSE({1,2,3,4}, XT!U300,XT!Y300,XT!AC300,XT!AG300))=3), 0), 0)), "")</f>
        <v/>
      </c>
      <c r="K300" s="12" t="str">
        <f>IF(XT!$P300&gt;0,J300,"")</f>
        <v/>
      </c>
      <c r="L300" s="12" t="str">
        <f>IF(XT!$P300=0,J300,"")</f>
        <v/>
      </c>
      <c r="M300">
        <f>SUMPRODUCT((MONTH(CHOOSE({1,2,3,4},XT!U300,XT!Y300,XT!AC300,XT!AG300))=4)*(CHOOSE({1,2,3,4},XT!X300,XT!AB300,XT!AF300,XT!AJ300)))</f>
        <v>0</v>
      </c>
      <c r="N300" t="str">
        <f>IFERROR(INDEX(CHOOSE({1,2,3,4}, DAY(XT!U300), DAY(XT!Y300), DAY(XT!AC300), DAY(XT!AG300)), MATCH(1, INDEX(--(MONTH(CHOOSE({1,2,3,4}, XT!U300,XT!Y300,XT!AC300,XT!AG300))=4), 0), 0)), "")</f>
        <v/>
      </c>
      <c r="O300" s="12" t="str">
        <f>IF(XT!$P300&gt;0,N300,"")</f>
        <v/>
      </c>
      <c r="P300" s="12" t="str">
        <f>IF(XT!$P300=0,N300,"")</f>
        <v/>
      </c>
      <c r="Q300">
        <f>SUMPRODUCT((MONTH(CHOOSE({1,2,3,4},XT!U300,XT!Y300,XT!AC300,XT!AG300))=5)*(CHOOSE({1,2,3,4},XT!X300,XT!AB300,XT!AF300,XT!AJ300)))</f>
        <v>0</v>
      </c>
      <c r="R300" t="str">
        <f>IFERROR(INDEX(CHOOSE({1,2,3,4}, DAY(XT!U300), DAY(XT!Y300), DAY(XT!AC300), DAY(XT!AG300)), MATCH(1, INDEX(--(MONTH(CHOOSE({1,2,3,4}, XT!U300,XT!Y300,XT!AC300,XT!AG300))=5), 0), 0)), "")</f>
        <v/>
      </c>
      <c r="S300" s="12" t="str">
        <f>IF(XT!$P300&gt;0,R300,"")</f>
        <v/>
      </c>
      <c r="T300" s="12" t="str">
        <f>IF(XT!$P300=0,R300,"")</f>
        <v/>
      </c>
      <c r="U300">
        <f>SUMPRODUCT((MONTH(CHOOSE({1,2,3,4},XT!U300,XT!Y300,XT!AC300,XT!AG300))=6)*(CHOOSE({1,2,3,4},XT!X300,XT!AB300,XT!AF300,XT!AJ300)))</f>
        <v>0</v>
      </c>
      <c r="V300" t="str">
        <f>IFERROR(INDEX(CHOOSE({1,2,3,4}, DAY(XT!U300), DAY(XT!Y300), DAY(XT!AC300), DAY(XT!AG300)), MATCH(1, INDEX(--(MONTH(CHOOSE({1,2,3,4}, XT!U300,XT!Y300,XT!AC300,XT!AG300))=6), 0), 0)), "")</f>
        <v/>
      </c>
      <c r="W300" s="12" t="str">
        <f>IF(XT!$P300&gt;0,V300,"")</f>
        <v/>
      </c>
      <c r="X300" s="12" t="str">
        <f>IF(XT!$P300=0,V300,"")</f>
        <v/>
      </c>
      <c r="Y300">
        <f>SUMPRODUCT((MONTH(CHOOSE({1,2,3,4},XT!U300,XT!Y300,XT!AC300,XT!AG300))=7)*(CHOOSE({1,2,3,4},XT!X300,XT!AB300,XT!AF300,XT!AJ300)))</f>
        <v>0</v>
      </c>
      <c r="Z300" t="str">
        <f>IFERROR(INDEX(CHOOSE({1,2,3,4}, DAY(XT!U300), DAY(XT!Y300), DAY(XT!AC300), DAY(XT!AG300)), MATCH(1, INDEX(--(MONTH(CHOOSE({1,2,3,4}, XT!U300,XT!Y300,XT!AC300,XT!AG300))=7), 0), 0)), "")</f>
        <v/>
      </c>
      <c r="AA300" s="12" t="str">
        <f>IF(XT!$P300&gt;0,Z300,"")</f>
        <v/>
      </c>
      <c r="AB300" s="12" t="str">
        <f>IF(XT!$P300=0,Z300,"")</f>
        <v/>
      </c>
      <c r="AC300">
        <f>SUMPRODUCT((MONTH(CHOOSE({1,2,3,4},XT!U300,XT!Y300,XT!AC300,XT!AG300))=8)*(CHOOSE({1,2,3,4},XT!X300,XT!AB300,XT!AF300,XT!AJ300)))</f>
        <v>0</v>
      </c>
      <c r="AD300" t="str">
        <f>IFERROR(INDEX(CHOOSE({1,2,3,4}, DAY(XT!U300), DAY(XT!Y300), DAY(XT!AC300), DAY(XT!AG300)), MATCH(1, INDEX(--(MONTH(CHOOSE({1,2,3,4}, XT!U300,XT!Y300,XT!AC300,XT!AG300))=8), 0), 0)), "")</f>
        <v/>
      </c>
      <c r="AE300" s="12" t="str">
        <f>IF(XT!$P300&gt;0,AD300,"")</f>
        <v/>
      </c>
      <c r="AF300" s="12" t="str">
        <f>IF(XT!$P300=0,AD300,"")</f>
        <v/>
      </c>
      <c r="AG300">
        <f>SUMPRODUCT((MONTH(CHOOSE({1,2,3,4},XT!U300,XT!Y300,XT!AC300,XT!AG300))=9)*(CHOOSE({1,2,3,4},XT!X300,XT!AB300,XT!AF300,XT!AJ300)))</f>
        <v>0</v>
      </c>
      <c r="AH300" t="str">
        <f>IFERROR(INDEX(CHOOSE({1,2,3,4}, DAY(XT!U300), DAY(XT!Y300), DAY(XT!AC300), DAY(XT!AG300)), MATCH(1, INDEX(--(MONTH(CHOOSE({1,2,3,4}, XT!U300,XT!Y300,XT!AC300,XT!AG300))=9), 0), 0)), "")</f>
        <v/>
      </c>
      <c r="AI300" s="12" t="str">
        <f>IF(XT!$P300&gt;0,AH300,"")</f>
        <v/>
      </c>
      <c r="AJ300" s="12" t="str">
        <f>IF(XT!$P300=0,AH300,"")</f>
        <v/>
      </c>
      <c r="AK300">
        <f>SUMPRODUCT((MONTH(CHOOSE({1,2,3,4},XT!U300,XT!Y300,XT!AC300,XT!AG300))=10)*(CHOOSE({1,2,3,4},XT!X300,XT!AB300,XT!AF300,XT!AJ300)))</f>
        <v>0</v>
      </c>
      <c r="AL300" t="str">
        <f>IFERROR(INDEX(CHOOSE({1,2,3,4}, DAY(XT!U300), DAY(XT!Y300), DAY(XT!AC300), DAY(XT!AG300)), MATCH(1, INDEX(--(MONTH(CHOOSE({1,2,3,4}, XT!U300,XT!Y300,XT!AC300,XT!AG300))=10), 0), 0)), "")</f>
        <v/>
      </c>
      <c r="AM300" s="12" t="str">
        <f>IF(XT!$P300&gt;0,AL300,"")</f>
        <v/>
      </c>
      <c r="AN300" s="12" t="str">
        <f>IF(XT!$P300=0,AL300,"")</f>
        <v/>
      </c>
      <c r="AO300">
        <f>SUMPRODUCT((MONTH(CHOOSE({1,2,3,4},XT!U300,XT!Y300,XT!AC300,XT!AG300))=11)*(CHOOSE({1,2,3,4},XT!X300,XT!AB300,XT!AF300,XT!AJ300)))</f>
        <v>0</v>
      </c>
      <c r="AP300" t="str">
        <f>IFERROR(INDEX(CHOOSE({1,2,3,4}, DAY(XT!U300), DAY(XT!Y300), DAY(XT!AC300), DAY(XT!AG300)), MATCH(1, INDEX(--(MONTH(CHOOSE({1,2,3,4}, XT!U300,XT!Y300,XT!AC300,XT!AG300))=11), 0), 0)), "")</f>
        <v/>
      </c>
      <c r="AQ300" s="12" t="str">
        <f>IF(XT!$P300&gt;0,AP300,"")</f>
        <v/>
      </c>
      <c r="AR300" s="12" t="str">
        <f>IF(XT!$P300=0,AP300,"")</f>
        <v/>
      </c>
      <c r="AS300">
        <f>SUMPRODUCT((MONTH(CHOOSE({1,2,3,4},XT!U300,XT!Y300,XT!AC300,XT!AG300))=12)*(CHOOSE({1,2,3,4},XT!X300,XT!AB300,XT!AF300,XT!AJ300)))</f>
        <v>0</v>
      </c>
      <c r="AT300" t="str">
        <f>IFERROR(INDEX(CHOOSE({1,2,3,4}, DAY(XT!U300), DAY(XT!Y300), DAY(XT!AC300), DAY(XT!AG300)), MATCH(1, INDEX(--(MONTH(CHOOSE({1,2,3,4}, XT!U300,XT!Y300,XT!AC300,XT!AG300))=12), 0), 0)), "")</f>
        <v/>
      </c>
      <c r="AU300" s="12" t="str">
        <f>IF(XT!$P300&gt;0,AT300,"")</f>
        <v/>
      </c>
      <c r="AV300" s="12" t="str">
        <f>IF(XT!$P300=0,AT300,"")</f>
        <v/>
      </c>
    </row>
    <row r="301" spans="1:48">
      <c r="A301">
        <f>SUMPRODUCT((MONTH(CHOOSE({1,2,3,4},XT!U301,XT!Y301,XT!AC301,XT!AG301))=1)*(CHOOSE({1,2,3,4},XT!X301,XT!AB301,XT!AF301,XT!AJ301)))</f>
        <v>0</v>
      </c>
      <c r="B301">
        <f>IFERROR(INDEX(CHOOSE({1,2,3,4}, DAY(XT!U301), DAY(XT!Y301), DAY(XT!AC301), DAY(XT!AG301)), MATCH(1, INDEX(--(MONTH(CHOOSE({1,2,3,4}, XT!U301,XT!Y301,XT!AC301,XT!AG301))=1), 0), 0)), "")</f>
        <v>0</v>
      </c>
      <c r="C301" s="12" t="str">
        <f>IF(XT!$P301&gt;0,B301,"")</f>
        <v/>
      </c>
      <c r="D301" s="12">
        <f>IF(XT!$P301=0,B301,"")</f>
        <v>0</v>
      </c>
      <c r="E301">
        <f>SUMPRODUCT((MONTH(CHOOSE({1,2,3,4},XT!U301,XT!Y301,XT!AC301,XT!AG301))=2)*(CHOOSE({1,2,3,4},XT!X301,XT!AB301,XT!AF301,XT!AJ301)))</f>
        <v>0</v>
      </c>
      <c r="F301" t="str">
        <f>IFERROR(INDEX(CHOOSE({1,2,3,4}, DAY(XT!U301), DAY(XT!Y301), DAY(XT!AC301), DAY(XT!AG301)), MATCH(1, INDEX(--(MONTH(CHOOSE({1,2,3,4}, XT!U301,XT!Y301,XT!AC301,XT!AG301))=2), 0), 0)), "")</f>
        <v/>
      </c>
      <c r="G301" s="12" t="str">
        <f>IF(XT!$P301&gt;0,F301,"")</f>
        <v/>
      </c>
      <c r="H301" s="12" t="str">
        <f>IF(XT!$P301=0,F301,"")</f>
        <v/>
      </c>
      <c r="I301">
        <f>SUMPRODUCT((MONTH(CHOOSE({1,2,3,4},XT!U301,XT!Y301,XT!AC301,XT!AG301))=3)*(CHOOSE({1,2,3,4},XT!X301,XT!AB301,XT!AF301,XT!AJ301)))</f>
        <v>0</v>
      </c>
      <c r="J301" t="str">
        <f>IFERROR(INDEX(CHOOSE({1,2,3,4}, DAY(XT!U301), DAY(XT!Y301), DAY(XT!AC301), DAY(XT!AG301)), MATCH(1, INDEX(--(MONTH(CHOOSE({1,2,3,4}, XT!U301,XT!Y301,XT!AC301,XT!AG301))=3), 0), 0)), "")</f>
        <v/>
      </c>
      <c r="K301" s="12" t="str">
        <f>IF(XT!$P301&gt;0,J301,"")</f>
        <v/>
      </c>
      <c r="L301" s="12" t="str">
        <f>IF(XT!$P301=0,J301,"")</f>
        <v/>
      </c>
      <c r="M301">
        <f>SUMPRODUCT((MONTH(CHOOSE({1,2,3,4},XT!U301,XT!Y301,XT!AC301,XT!AG301))=4)*(CHOOSE({1,2,3,4},XT!X301,XT!AB301,XT!AF301,XT!AJ301)))</f>
        <v>0</v>
      </c>
      <c r="N301" t="str">
        <f>IFERROR(INDEX(CHOOSE({1,2,3,4}, DAY(XT!U301), DAY(XT!Y301), DAY(XT!AC301), DAY(XT!AG301)), MATCH(1, INDEX(--(MONTH(CHOOSE({1,2,3,4}, XT!U301,XT!Y301,XT!AC301,XT!AG301))=4), 0), 0)), "")</f>
        <v/>
      </c>
      <c r="O301" s="12" t="str">
        <f>IF(XT!$P301&gt;0,N301,"")</f>
        <v/>
      </c>
      <c r="P301" s="12" t="str">
        <f>IF(XT!$P301=0,N301,"")</f>
        <v/>
      </c>
      <c r="Q301">
        <f>SUMPRODUCT((MONTH(CHOOSE({1,2,3,4},XT!U301,XT!Y301,XT!AC301,XT!AG301))=5)*(CHOOSE({1,2,3,4},XT!X301,XT!AB301,XT!AF301,XT!AJ301)))</f>
        <v>0</v>
      </c>
      <c r="R301" t="str">
        <f>IFERROR(INDEX(CHOOSE({1,2,3,4}, DAY(XT!U301), DAY(XT!Y301), DAY(XT!AC301), DAY(XT!AG301)), MATCH(1, INDEX(--(MONTH(CHOOSE({1,2,3,4}, XT!U301,XT!Y301,XT!AC301,XT!AG301))=5), 0), 0)), "")</f>
        <v/>
      </c>
      <c r="S301" s="12" t="str">
        <f>IF(XT!$P301&gt;0,R301,"")</f>
        <v/>
      </c>
      <c r="T301" s="12" t="str">
        <f>IF(XT!$P301=0,R301,"")</f>
        <v/>
      </c>
      <c r="U301">
        <f>SUMPRODUCT((MONTH(CHOOSE({1,2,3,4},XT!U301,XT!Y301,XT!AC301,XT!AG301))=6)*(CHOOSE({1,2,3,4},XT!X301,XT!AB301,XT!AF301,XT!AJ301)))</f>
        <v>0</v>
      </c>
      <c r="V301" t="str">
        <f>IFERROR(INDEX(CHOOSE({1,2,3,4}, DAY(XT!U301), DAY(XT!Y301), DAY(XT!AC301), DAY(XT!AG301)), MATCH(1, INDEX(--(MONTH(CHOOSE({1,2,3,4}, XT!U301,XT!Y301,XT!AC301,XT!AG301))=6), 0), 0)), "")</f>
        <v/>
      </c>
      <c r="W301" s="12" t="str">
        <f>IF(XT!$P301&gt;0,V301,"")</f>
        <v/>
      </c>
      <c r="X301" s="12" t="str">
        <f>IF(XT!$P301=0,V301,"")</f>
        <v/>
      </c>
      <c r="Y301">
        <f>SUMPRODUCT((MONTH(CHOOSE({1,2,3,4},XT!U301,XT!Y301,XT!AC301,XT!AG301))=7)*(CHOOSE({1,2,3,4},XT!X301,XT!AB301,XT!AF301,XT!AJ301)))</f>
        <v>0</v>
      </c>
      <c r="Z301" t="str">
        <f>IFERROR(INDEX(CHOOSE({1,2,3,4}, DAY(XT!U301), DAY(XT!Y301), DAY(XT!AC301), DAY(XT!AG301)), MATCH(1, INDEX(--(MONTH(CHOOSE({1,2,3,4}, XT!U301,XT!Y301,XT!AC301,XT!AG301))=7), 0), 0)), "")</f>
        <v/>
      </c>
      <c r="AA301" s="12" t="str">
        <f>IF(XT!$P301&gt;0,Z301,"")</f>
        <v/>
      </c>
      <c r="AB301" s="12" t="str">
        <f>IF(XT!$P301=0,Z301,"")</f>
        <v/>
      </c>
      <c r="AC301">
        <f>SUMPRODUCT((MONTH(CHOOSE({1,2,3,4},XT!U301,XT!Y301,XT!AC301,XT!AG301))=8)*(CHOOSE({1,2,3,4},XT!X301,XT!AB301,XT!AF301,XT!AJ301)))</f>
        <v>0</v>
      </c>
      <c r="AD301" t="str">
        <f>IFERROR(INDEX(CHOOSE({1,2,3,4}, DAY(XT!U301), DAY(XT!Y301), DAY(XT!AC301), DAY(XT!AG301)), MATCH(1, INDEX(--(MONTH(CHOOSE({1,2,3,4}, XT!U301,XT!Y301,XT!AC301,XT!AG301))=8), 0), 0)), "")</f>
        <v/>
      </c>
      <c r="AE301" s="12" t="str">
        <f>IF(XT!$P301&gt;0,AD301,"")</f>
        <v/>
      </c>
      <c r="AF301" s="12" t="str">
        <f>IF(XT!$P301=0,AD301,"")</f>
        <v/>
      </c>
      <c r="AG301">
        <f>SUMPRODUCT((MONTH(CHOOSE({1,2,3,4},XT!U301,XT!Y301,XT!AC301,XT!AG301))=9)*(CHOOSE({1,2,3,4},XT!X301,XT!AB301,XT!AF301,XT!AJ301)))</f>
        <v>0</v>
      </c>
      <c r="AH301" t="str">
        <f>IFERROR(INDEX(CHOOSE({1,2,3,4}, DAY(XT!U301), DAY(XT!Y301), DAY(XT!AC301), DAY(XT!AG301)), MATCH(1, INDEX(--(MONTH(CHOOSE({1,2,3,4}, XT!U301,XT!Y301,XT!AC301,XT!AG301))=9), 0), 0)), "")</f>
        <v/>
      </c>
      <c r="AI301" s="12" t="str">
        <f>IF(XT!$P301&gt;0,AH301,"")</f>
        <v/>
      </c>
      <c r="AJ301" s="12" t="str">
        <f>IF(XT!$P301=0,AH301,"")</f>
        <v/>
      </c>
      <c r="AK301">
        <f>SUMPRODUCT((MONTH(CHOOSE({1,2,3,4},XT!U301,XT!Y301,XT!AC301,XT!AG301))=10)*(CHOOSE({1,2,3,4},XT!X301,XT!AB301,XT!AF301,XT!AJ301)))</f>
        <v>0</v>
      </c>
      <c r="AL301" t="str">
        <f>IFERROR(INDEX(CHOOSE({1,2,3,4}, DAY(XT!U301), DAY(XT!Y301), DAY(XT!AC301), DAY(XT!AG301)), MATCH(1, INDEX(--(MONTH(CHOOSE({1,2,3,4}, XT!U301,XT!Y301,XT!AC301,XT!AG301))=10), 0), 0)), "")</f>
        <v/>
      </c>
      <c r="AM301" s="12" t="str">
        <f>IF(XT!$P301&gt;0,AL301,"")</f>
        <v/>
      </c>
      <c r="AN301" s="12" t="str">
        <f>IF(XT!$P301=0,AL301,"")</f>
        <v/>
      </c>
      <c r="AO301">
        <f>SUMPRODUCT((MONTH(CHOOSE({1,2,3,4},XT!U301,XT!Y301,XT!AC301,XT!AG301))=11)*(CHOOSE({1,2,3,4},XT!X301,XT!AB301,XT!AF301,XT!AJ301)))</f>
        <v>0</v>
      </c>
      <c r="AP301" t="str">
        <f>IFERROR(INDEX(CHOOSE({1,2,3,4}, DAY(XT!U301), DAY(XT!Y301), DAY(XT!AC301), DAY(XT!AG301)), MATCH(1, INDEX(--(MONTH(CHOOSE({1,2,3,4}, XT!U301,XT!Y301,XT!AC301,XT!AG301))=11), 0), 0)), "")</f>
        <v/>
      </c>
      <c r="AQ301" s="12" t="str">
        <f>IF(XT!$P301&gt;0,AP301,"")</f>
        <v/>
      </c>
      <c r="AR301" s="12" t="str">
        <f>IF(XT!$P301=0,AP301,"")</f>
        <v/>
      </c>
      <c r="AS301">
        <f>SUMPRODUCT((MONTH(CHOOSE({1,2,3,4},XT!U301,XT!Y301,XT!AC301,XT!AG301))=12)*(CHOOSE({1,2,3,4},XT!X301,XT!AB301,XT!AF301,XT!AJ301)))</f>
        <v>0</v>
      </c>
      <c r="AT301" t="str">
        <f>IFERROR(INDEX(CHOOSE({1,2,3,4}, DAY(XT!U301), DAY(XT!Y301), DAY(XT!AC301), DAY(XT!AG301)), MATCH(1, INDEX(--(MONTH(CHOOSE({1,2,3,4}, XT!U301,XT!Y301,XT!AC301,XT!AG301))=12), 0), 0)), "")</f>
        <v/>
      </c>
      <c r="AU301" s="12" t="str">
        <f>IF(XT!$P301&gt;0,AT301,"")</f>
        <v/>
      </c>
      <c r="AV301" s="12" t="str">
        <f>IF(XT!$P301=0,AT301,"")</f>
        <v/>
      </c>
    </row>
    <row r="302" spans="1:48">
      <c r="A302">
        <f>SUMPRODUCT((MONTH(CHOOSE({1,2,3,4},XT!U302,XT!Y302,XT!AC302,XT!AG302))=1)*(CHOOSE({1,2,3,4},XT!X302,XT!AB302,XT!AF302,XT!AJ302)))</f>
        <v>0</v>
      </c>
      <c r="B302">
        <f>IFERROR(INDEX(CHOOSE({1,2,3,4}, DAY(XT!U302), DAY(XT!Y302), DAY(XT!AC302), DAY(XT!AG302)), MATCH(1, INDEX(--(MONTH(CHOOSE({1,2,3,4}, XT!U302,XT!Y302,XT!AC302,XT!AG302))=1), 0), 0)), "")</f>
        <v>0</v>
      </c>
      <c r="C302" s="12" t="str">
        <f>IF(XT!$P302&gt;0,B302,"")</f>
        <v/>
      </c>
      <c r="D302" s="12">
        <f>IF(XT!$P302=0,B302,"")</f>
        <v>0</v>
      </c>
      <c r="E302">
        <f>SUMPRODUCT((MONTH(CHOOSE({1,2,3,4},XT!U302,XT!Y302,XT!AC302,XT!AG302))=2)*(CHOOSE({1,2,3,4},XT!X302,XT!AB302,XT!AF302,XT!AJ302)))</f>
        <v>0</v>
      </c>
      <c r="F302" t="str">
        <f>IFERROR(INDEX(CHOOSE({1,2,3,4}, DAY(XT!U302), DAY(XT!Y302), DAY(XT!AC302), DAY(XT!AG302)), MATCH(1, INDEX(--(MONTH(CHOOSE({1,2,3,4}, XT!U302,XT!Y302,XT!AC302,XT!AG302))=2), 0), 0)), "")</f>
        <v/>
      </c>
      <c r="G302" s="12" t="str">
        <f>IF(XT!$P302&gt;0,F302,"")</f>
        <v/>
      </c>
      <c r="H302" s="12" t="str">
        <f>IF(XT!$P302=0,F302,"")</f>
        <v/>
      </c>
      <c r="I302">
        <f>SUMPRODUCT((MONTH(CHOOSE({1,2,3,4},XT!U302,XT!Y302,XT!AC302,XT!AG302))=3)*(CHOOSE({1,2,3,4},XT!X302,XT!AB302,XT!AF302,XT!AJ302)))</f>
        <v>0</v>
      </c>
      <c r="J302" t="str">
        <f>IFERROR(INDEX(CHOOSE({1,2,3,4}, DAY(XT!U302), DAY(XT!Y302), DAY(XT!AC302), DAY(XT!AG302)), MATCH(1, INDEX(--(MONTH(CHOOSE({1,2,3,4}, XT!U302,XT!Y302,XT!AC302,XT!AG302))=3), 0), 0)), "")</f>
        <v/>
      </c>
      <c r="K302" s="12" t="str">
        <f>IF(XT!$P302&gt;0,J302,"")</f>
        <v/>
      </c>
      <c r="L302" s="12" t="str">
        <f>IF(XT!$P302=0,J302,"")</f>
        <v/>
      </c>
      <c r="M302">
        <f>SUMPRODUCT((MONTH(CHOOSE({1,2,3,4},XT!U302,XT!Y302,XT!AC302,XT!AG302))=4)*(CHOOSE({1,2,3,4},XT!X302,XT!AB302,XT!AF302,XT!AJ302)))</f>
        <v>0</v>
      </c>
      <c r="N302" t="str">
        <f>IFERROR(INDEX(CHOOSE({1,2,3,4}, DAY(XT!U302), DAY(XT!Y302), DAY(XT!AC302), DAY(XT!AG302)), MATCH(1, INDEX(--(MONTH(CHOOSE({1,2,3,4}, XT!U302,XT!Y302,XT!AC302,XT!AG302))=4), 0), 0)), "")</f>
        <v/>
      </c>
      <c r="O302" s="12" t="str">
        <f>IF(XT!$P302&gt;0,N302,"")</f>
        <v/>
      </c>
      <c r="P302" s="12" t="str">
        <f>IF(XT!$P302=0,N302,"")</f>
        <v/>
      </c>
      <c r="Q302">
        <f>SUMPRODUCT((MONTH(CHOOSE({1,2,3,4},XT!U302,XT!Y302,XT!AC302,XT!AG302))=5)*(CHOOSE({1,2,3,4},XT!X302,XT!AB302,XT!AF302,XT!AJ302)))</f>
        <v>0</v>
      </c>
      <c r="R302" t="str">
        <f>IFERROR(INDEX(CHOOSE({1,2,3,4}, DAY(XT!U302), DAY(XT!Y302), DAY(XT!AC302), DAY(XT!AG302)), MATCH(1, INDEX(--(MONTH(CHOOSE({1,2,3,4}, XT!U302,XT!Y302,XT!AC302,XT!AG302))=5), 0), 0)), "")</f>
        <v/>
      </c>
      <c r="S302" s="12" t="str">
        <f>IF(XT!$P302&gt;0,R302,"")</f>
        <v/>
      </c>
      <c r="T302" s="12" t="str">
        <f>IF(XT!$P302=0,R302,"")</f>
        <v/>
      </c>
      <c r="U302">
        <f>SUMPRODUCT((MONTH(CHOOSE({1,2,3,4},XT!U302,XT!Y302,XT!AC302,XT!AG302))=6)*(CHOOSE({1,2,3,4},XT!X302,XT!AB302,XT!AF302,XT!AJ302)))</f>
        <v>0</v>
      </c>
      <c r="V302" t="str">
        <f>IFERROR(INDEX(CHOOSE({1,2,3,4}, DAY(XT!U302), DAY(XT!Y302), DAY(XT!AC302), DAY(XT!AG302)), MATCH(1, INDEX(--(MONTH(CHOOSE({1,2,3,4}, XT!U302,XT!Y302,XT!AC302,XT!AG302))=6), 0), 0)), "")</f>
        <v/>
      </c>
      <c r="W302" s="12" t="str">
        <f>IF(XT!$P302&gt;0,V302,"")</f>
        <v/>
      </c>
      <c r="X302" s="12" t="str">
        <f>IF(XT!$P302=0,V302,"")</f>
        <v/>
      </c>
      <c r="Y302">
        <f>SUMPRODUCT((MONTH(CHOOSE({1,2,3,4},XT!U302,XT!Y302,XT!AC302,XT!AG302))=7)*(CHOOSE({1,2,3,4},XT!X302,XT!AB302,XT!AF302,XT!AJ302)))</f>
        <v>0</v>
      </c>
      <c r="Z302" t="str">
        <f>IFERROR(INDEX(CHOOSE({1,2,3,4}, DAY(XT!U302), DAY(XT!Y302), DAY(XT!AC302), DAY(XT!AG302)), MATCH(1, INDEX(--(MONTH(CHOOSE({1,2,3,4}, XT!U302,XT!Y302,XT!AC302,XT!AG302))=7), 0), 0)), "")</f>
        <v/>
      </c>
      <c r="AA302" s="12" t="str">
        <f>IF(XT!$P302&gt;0,Z302,"")</f>
        <v/>
      </c>
      <c r="AB302" s="12" t="str">
        <f>IF(XT!$P302=0,Z302,"")</f>
        <v/>
      </c>
      <c r="AC302">
        <f>SUMPRODUCT((MONTH(CHOOSE({1,2,3,4},XT!U302,XT!Y302,XT!AC302,XT!AG302))=8)*(CHOOSE({1,2,3,4},XT!X302,XT!AB302,XT!AF302,XT!AJ302)))</f>
        <v>0</v>
      </c>
      <c r="AD302" t="str">
        <f>IFERROR(INDEX(CHOOSE({1,2,3,4}, DAY(XT!U302), DAY(XT!Y302), DAY(XT!AC302), DAY(XT!AG302)), MATCH(1, INDEX(--(MONTH(CHOOSE({1,2,3,4}, XT!U302,XT!Y302,XT!AC302,XT!AG302))=8), 0), 0)), "")</f>
        <v/>
      </c>
      <c r="AE302" s="12" t="str">
        <f>IF(XT!$P302&gt;0,AD302,"")</f>
        <v/>
      </c>
      <c r="AF302" s="12" t="str">
        <f>IF(XT!$P302=0,AD302,"")</f>
        <v/>
      </c>
      <c r="AG302">
        <f>SUMPRODUCT((MONTH(CHOOSE({1,2,3,4},XT!U302,XT!Y302,XT!AC302,XT!AG302))=9)*(CHOOSE({1,2,3,4},XT!X302,XT!AB302,XT!AF302,XT!AJ302)))</f>
        <v>0</v>
      </c>
      <c r="AH302" t="str">
        <f>IFERROR(INDEX(CHOOSE({1,2,3,4}, DAY(XT!U302), DAY(XT!Y302), DAY(XT!AC302), DAY(XT!AG302)), MATCH(1, INDEX(--(MONTH(CHOOSE({1,2,3,4}, XT!U302,XT!Y302,XT!AC302,XT!AG302))=9), 0), 0)), "")</f>
        <v/>
      </c>
      <c r="AI302" s="12" t="str">
        <f>IF(XT!$P302&gt;0,AH302,"")</f>
        <v/>
      </c>
      <c r="AJ302" s="12" t="str">
        <f>IF(XT!$P302=0,AH302,"")</f>
        <v/>
      </c>
      <c r="AK302">
        <f>SUMPRODUCT((MONTH(CHOOSE({1,2,3,4},XT!U302,XT!Y302,XT!AC302,XT!AG302))=10)*(CHOOSE({1,2,3,4},XT!X302,XT!AB302,XT!AF302,XT!AJ302)))</f>
        <v>0</v>
      </c>
      <c r="AL302" t="str">
        <f>IFERROR(INDEX(CHOOSE({1,2,3,4}, DAY(XT!U302), DAY(XT!Y302), DAY(XT!AC302), DAY(XT!AG302)), MATCH(1, INDEX(--(MONTH(CHOOSE({1,2,3,4}, XT!U302,XT!Y302,XT!AC302,XT!AG302))=10), 0), 0)), "")</f>
        <v/>
      </c>
      <c r="AM302" s="12" t="str">
        <f>IF(XT!$P302&gt;0,AL302,"")</f>
        <v/>
      </c>
      <c r="AN302" s="12" t="str">
        <f>IF(XT!$P302=0,AL302,"")</f>
        <v/>
      </c>
      <c r="AO302">
        <f>SUMPRODUCT((MONTH(CHOOSE({1,2,3,4},XT!U302,XT!Y302,XT!AC302,XT!AG302))=11)*(CHOOSE({1,2,3,4},XT!X302,XT!AB302,XT!AF302,XT!AJ302)))</f>
        <v>0</v>
      </c>
      <c r="AP302" t="str">
        <f>IFERROR(INDEX(CHOOSE({1,2,3,4}, DAY(XT!U302), DAY(XT!Y302), DAY(XT!AC302), DAY(XT!AG302)), MATCH(1, INDEX(--(MONTH(CHOOSE({1,2,3,4}, XT!U302,XT!Y302,XT!AC302,XT!AG302))=11), 0), 0)), "")</f>
        <v/>
      </c>
      <c r="AQ302" s="12" t="str">
        <f>IF(XT!$P302&gt;0,AP302,"")</f>
        <v/>
      </c>
      <c r="AR302" s="12" t="str">
        <f>IF(XT!$P302=0,AP302,"")</f>
        <v/>
      </c>
      <c r="AS302">
        <f>SUMPRODUCT((MONTH(CHOOSE({1,2,3,4},XT!U302,XT!Y302,XT!AC302,XT!AG302))=12)*(CHOOSE({1,2,3,4},XT!X302,XT!AB302,XT!AF302,XT!AJ302)))</f>
        <v>0</v>
      </c>
      <c r="AT302" t="str">
        <f>IFERROR(INDEX(CHOOSE({1,2,3,4}, DAY(XT!U302), DAY(XT!Y302), DAY(XT!AC302), DAY(XT!AG302)), MATCH(1, INDEX(--(MONTH(CHOOSE({1,2,3,4}, XT!U302,XT!Y302,XT!AC302,XT!AG302))=12), 0), 0)), "")</f>
        <v/>
      </c>
      <c r="AU302" s="12" t="str">
        <f>IF(XT!$P302&gt;0,AT302,"")</f>
        <v/>
      </c>
      <c r="AV302" s="12" t="str">
        <f>IF(XT!$P302=0,AT302,"")</f>
        <v/>
      </c>
    </row>
    <row r="303" spans="1:48">
      <c r="A303">
        <f>SUMPRODUCT((MONTH(CHOOSE({1,2,3,4},XT!U303,XT!Y303,XT!AC303,XT!AG303))=1)*(CHOOSE({1,2,3,4},XT!X303,XT!AB303,XT!AF303,XT!AJ303)))</f>
        <v>0</v>
      </c>
      <c r="B303">
        <f>IFERROR(INDEX(CHOOSE({1,2,3,4}, DAY(XT!U303), DAY(XT!Y303), DAY(XT!AC303), DAY(XT!AG303)), MATCH(1, INDEX(--(MONTH(CHOOSE({1,2,3,4}, XT!U303,XT!Y303,XT!AC303,XT!AG303))=1), 0), 0)), "")</f>
        <v>0</v>
      </c>
      <c r="C303" s="12" t="str">
        <f>IF(XT!$P303&gt;0,B303,"")</f>
        <v/>
      </c>
      <c r="D303" s="12">
        <f>IF(XT!$P303=0,B303,"")</f>
        <v>0</v>
      </c>
      <c r="E303">
        <f>SUMPRODUCT((MONTH(CHOOSE({1,2,3,4},XT!U303,XT!Y303,XT!AC303,XT!AG303))=2)*(CHOOSE({1,2,3,4},XT!X303,XT!AB303,XT!AF303,XT!AJ303)))</f>
        <v>0</v>
      </c>
      <c r="F303" t="str">
        <f>IFERROR(INDEX(CHOOSE({1,2,3,4}, DAY(XT!U303), DAY(XT!Y303), DAY(XT!AC303), DAY(XT!AG303)), MATCH(1, INDEX(--(MONTH(CHOOSE({1,2,3,4}, XT!U303,XT!Y303,XT!AC303,XT!AG303))=2), 0), 0)), "")</f>
        <v/>
      </c>
      <c r="G303" s="12" t="str">
        <f>IF(XT!$P303&gt;0,F303,"")</f>
        <v/>
      </c>
      <c r="H303" s="12" t="str">
        <f>IF(XT!$P303=0,F303,"")</f>
        <v/>
      </c>
      <c r="I303">
        <f>SUMPRODUCT((MONTH(CHOOSE({1,2,3,4},XT!U303,XT!Y303,XT!AC303,XT!AG303))=3)*(CHOOSE({1,2,3,4},XT!X303,XT!AB303,XT!AF303,XT!AJ303)))</f>
        <v>0</v>
      </c>
      <c r="J303" t="str">
        <f>IFERROR(INDEX(CHOOSE({1,2,3,4}, DAY(XT!U303), DAY(XT!Y303), DAY(XT!AC303), DAY(XT!AG303)), MATCH(1, INDEX(--(MONTH(CHOOSE({1,2,3,4}, XT!U303,XT!Y303,XT!AC303,XT!AG303))=3), 0), 0)), "")</f>
        <v/>
      </c>
      <c r="K303" s="12" t="str">
        <f>IF(XT!$P303&gt;0,J303,"")</f>
        <v/>
      </c>
      <c r="L303" s="12" t="str">
        <f>IF(XT!$P303=0,J303,"")</f>
        <v/>
      </c>
      <c r="M303">
        <f>SUMPRODUCT((MONTH(CHOOSE({1,2,3,4},XT!U303,XT!Y303,XT!AC303,XT!AG303))=4)*(CHOOSE({1,2,3,4},XT!X303,XT!AB303,XT!AF303,XT!AJ303)))</f>
        <v>0</v>
      </c>
      <c r="N303" t="str">
        <f>IFERROR(INDEX(CHOOSE({1,2,3,4}, DAY(XT!U303), DAY(XT!Y303), DAY(XT!AC303), DAY(XT!AG303)), MATCH(1, INDEX(--(MONTH(CHOOSE({1,2,3,4}, XT!U303,XT!Y303,XT!AC303,XT!AG303))=4), 0), 0)), "")</f>
        <v/>
      </c>
      <c r="O303" s="12" t="str">
        <f>IF(XT!$P303&gt;0,N303,"")</f>
        <v/>
      </c>
      <c r="P303" s="12" t="str">
        <f>IF(XT!$P303=0,N303,"")</f>
        <v/>
      </c>
      <c r="Q303">
        <f>SUMPRODUCT((MONTH(CHOOSE({1,2,3,4},XT!U303,XT!Y303,XT!AC303,XT!AG303))=5)*(CHOOSE({1,2,3,4},XT!X303,XT!AB303,XT!AF303,XT!AJ303)))</f>
        <v>0</v>
      </c>
      <c r="R303" t="str">
        <f>IFERROR(INDEX(CHOOSE({1,2,3,4}, DAY(XT!U303), DAY(XT!Y303), DAY(XT!AC303), DAY(XT!AG303)), MATCH(1, INDEX(--(MONTH(CHOOSE({1,2,3,4}, XT!U303,XT!Y303,XT!AC303,XT!AG303))=5), 0), 0)), "")</f>
        <v/>
      </c>
      <c r="S303" s="12" t="str">
        <f>IF(XT!$P303&gt;0,R303,"")</f>
        <v/>
      </c>
      <c r="T303" s="12" t="str">
        <f>IF(XT!$P303=0,R303,"")</f>
        <v/>
      </c>
      <c r="U303">
        <f>SUMPRODUCT((MONTH(CHOOSE({1,2,3,4},XT!U303,XT!Y303,XT!AC303,XT!AG303))=6)*(CHOOSE({1,2,3,4},XT!X303,XT!AB303,XT!AF303,XT!AJ303)))</f>
        <v>0</v>
      </c>
      <c r="V303" t="str">
        <f>IFERROR(INDEX(CHOOSE({1,2,3,4}, DAY(XT!U303), DAY(XT!Y303), DAY(XT!AC303), DAY(XT!AG303)), MATCH(1, INDEX(--(MONTH(CHOOSE({1,2,3,4}, XT!U303,XT!Y303,XT!AC303,XT!AG303))=6), 0), 0)), "")</f>
        <v/>
      </c>
      <c r="W303" s="12" t="str">
        <f>IF(XT!$P303&gt;0,V303,"")</f>
        <v/>
      </c>
      <c r="X303" s="12" t="str">
        <f>IF(XT!$P303=0,V303,"")</f>
        <v/>
      </c>
      <c r="Y303">
        <f>SUMPRODUCT((MONTH(CHOOSE({1,2,3,4},XT!U303,XT!Y303,XT!AC303,XT!AG303))=7)*(CHOOSE({1,2,3,4},XT!X303,XT!AB303,XT!AF303,XT!AJ303)))</f>
        <v>0</v>
      </c>
      <c r="Z303" t="str">
        <f>IFERROR(INDEX(CHOOSE({1,2,3,4}, DAY(XT!U303), DAY(XT!Y303), DAY(XT!AC303), DAY(XT!AG303)), MATCH(1, INDEX(--(MONTH(CHOOSE({1,2,3,4}, XT!U303,XT!Y303,XT!AC303,XT!AG303))=7), 0), 0)), "")</f>
        <v/>
      </c>
      <c r="AA303" s="12" t="str">
        <f>IF(XT!$P303&gt;0,Z303,"")</f>
        <v/>
      </c>
      <c r="AB303" s="12" t="str">
        <f>IF(XT!$P303=0,Z303,"")</f>
        <v/>
      </c>
      <c r="AC303">
        <f>SUMPRODUCT((MONTH(CHOOSE({1,2,3,4},XT!U303,XT!Y303,XT!AC303,XT!AG303))=8)*(CHOOSE({1,2,3,4},XT!X303,XT!AB303,XT!AF303,XT!AJ303)))</f>
        <v>0</v>
      </c>
      <c r="AD303" t="str">
        <f>IFERROR(INDEX(CHOOSE({1,2,3,4}, DAY(XT!U303), DAY(XT!Y303), DAY(XT!AC303), DAY(XT!AG303)), MATCH(1, INDEX(--(MONTH(CHOOSE({1,2,3,4}, XT!U303,XT!Y303,XT!AC303,XT!AG303))=8), 0), 0)), "")</f>
        <v/>
      </c>
      <c r="AE303" s="12" t="str">
        <f>IF(XT!$P303&gt;0,AD303,"")</f>
        <v/>
      </c>
      <c r="AF303" s="12" t="str">
        <f>IF(XT!$P303=0,AD303,"")</f>
        <v/>
      </c>
      <c r="AG303">
        <f>SUMPRODUCT((MONTH(CHOOSE({1,2,3,4},XT!U303,XT!Y303,XT!AC303,XT!AG303))=9)*(CHOOSE({1,2,3,4},XT!X303,XT!AB303,XT!AF303,XT!AJ303)))</f>
        <v>0</v>
      </c>
      <c r="AH303" t="str">
        <f>IFERROR(INDEX(CHOOSE({1,2,3,4}, DAY(XT!U303), DAY(XT!Y303), DAY(XT!AC303), DAY(XT!AG303)), MATCH(1, INDEX(--(MONTH(CHOOSE({1,2,3,4}, XT!U303,XT!Y303,XT!AC303,XT!AG303))=9), 0), 0)), "")</f>
        <v/>
      </c>
      <c r="AI303" s="12" t="str">
        <f>IF(XT!$P303&gt;0,AH303,"")</f>
        <v/>
      </c>
      <c r="AJ303" s="12" t="str">
        <f>IF(XT!$P303=0,AH303,"")</f>
        <v/>
      </c>
      <c r="AK303">
        <f>SUMPRODUCT((MONTH(CHOOSE({1,2,3,4},XT!U303,XT!Y303,XT!AC303,XT!AG303))=10)*(CHOOSE({1,2,3,4},XT!X303,XT!AB303,XT!AF303,XT!AJ303)))</f>
        <v>0</v>
      </c>
      <c r="AL303" t="str">
        <f>IFERROR(INDEX(CHOOSE({1,2,3,4}, DAY(XT!U303), DAY(XT!Y303), DAY(XT!AC303), DAY(XT!AG303)), MATCH(1, INDEX(--(MONTH(CHOOSE({1,2,3,4}, XT!U303,XT!Y303,XT!AC303,XT!AG303))=10), 0), 0)), "")</f>
        <v/>
      </c>
      <c r="AM303" s="12" t="str">
        <f>IF(XT!$P303&gt;0,AL303,"")</f>
        <v/>
      </c>
      <c r="AN303" s="12" t="str">
        <f>IF(XT!$P303=0,AL303,"")</f>
        <v/>
      </c>
      <c r="AO303">
        <f>SUMPRODUCT((MONTH(CHOOSE({1,2,3,4},XT!U303,XT!Y303,XT!AC303,XT!AG303))=11)*(CHOOSE({1,2,3,4},XT!X303,XT!AB303,XT!AF303,XT!AJ303)))</f>
        <v>0</v>
      </c>
      <c r="AP303" t="str">
        <f>IFERROR(INDEX(CHOOSE({1,2,3,4}, DAY(XT!U303), DAY(XT!Y303), DAY(XT!AC303), DAY(XT!AG303)), MATCH(1, INDEX(--(MONTH(CHOOSE({1,2,3,4}, XT!U303,XT!Y303,XT!AC303,XT!AG303))=11), 0), 0)), "")</f>
        <v/>
      </c>
      <c r="AQ303" s="12" t="str">
        <f>IF(XT!$P303&gt;0,AP303,"")</f>
        <v/>
      </c>
      <c r="AR303" s="12" t="str">
        <f>IF(XT!$P303=0,AP303,"")</f>
        <v/>
      </c>
      <c r="AS303">
        <f>SUMPRODUCT((MONTH(CHOOSE({1,2,3,4},XT!U303,XT!Y303,XT!AC303,XT!AG303))=12)*(CHOOSE({1,2,3,4},XT!X303,XT!AB303,XT!AF303,XT!AJ303)))</f>
        <v>0</v>
      </c>
      <c r="AT303" t="str">
        <f>IFERROR(INDEX(CHOOSE({1,2,3,4}, DAY(XT!U303), DAY(XT!Y303), DAY(XT!AC303), DAY(XT!AG303)), MATCH(1, INDEX(--(MONTH(CHOOSE({1,2,3,4}, XT!U303,XT!Y303,XT!AC303,XT!AG303))=12), 0), 0)), "")</f>
        <v/>
      </c>
      <c r="AU303" s="12" t="str">
        <f>IF(XT!$P303&gt;0,AT303,"")</f>
        <v/>
      </c>
      <c r="AV303" s="12" t="str">
        <f>IF(XT!$P303=0,AT303,"")</f>
        <v/>
      </c>
    </row>
    <row r="304" spans="1:48">
      <c r="A304">
        <f>SUMPRODUCT((MONTH(CHOOSE({1,2,3,4},XT!U304,XT!Y304,XT!AC304,XT!AG304))=1)*(CHOOSE({1,2,3,4},XT!X304,XT!AB304,XT!AF304,XT!AJ304)))</f>
        <v>0</v>
      </c>
      <c r="B304">
        <f>IFERROR(INDEX(CHOOSE({1,2,3,4}, DAY(XT!U304), DAY(XT!Y304), DAY(XT!AC304), DAY(XT!AG304)), MATCH(1, INDEX(--(MONTH(CHOOSE({1,2,3,4}, XT!U304,XT!Y304,XT!AC304,XT!AG304))=1), 0), 0)), "")</f>
        <v>0</v>
      </c>
      <c r="C304" s="12" t="str">
        <f>IF(XT!$P304&gt;0,B304,"")</f>
        <v/>
      </c>
      <c r="D304" s="12">
        <f>IF(XT!$P304=0,B304,"")</f>
        <v>0</v>
      </c>
      <c r="E304">
        <f>SUMPRODUCT((MONTH(CHOOSE({1,2,3,4},XT!U304,XT!Y304,XT!AC304,XT!AG304))=2)*(CHOOSE({1,2,3,4},XT!X304,XT!AB304,XT!AF304,XT!AJ304)))</f>
        <v>0</v>
      </c>
      <c r="F304" t="str">
        <f>IFERROR(INDEX(CHOOSE({1,2,3,4}, DAY(XT!U304), DAY(XT!Y304), DAY(XT!AC304), DAY(XT!AG304)), MATCH(1, INDEX(--(MONTH(CHOOSE({1,2,3,4}, XT!U304,XT!Y304,XT!AC304,XT!AG304))=2), 0), 0)), "")</f>
        <v/>
      </c>
      <c r="G304" s="12" t="str">
        <f>IF(XT!$P304&gt;0,F304,"")</f>
        <v/>
      </c>
      <c r="H304" s="12" t="str">
        <f>IF(XT!$P304=0,F304,"")</f>
        <v/>
      </c>
      <c r="I304">
        <f>SUMPRODUCT((MONTH(CHOOSE({1,2,3,4},XT!U304,XT!Y304,XT!AC304,XT!AG304))=3)*(CHOOSE({1,2,3,4},XT!X304,XT!AB304,XT!AF304,XT!AJ304)))</f>
        <v>0</v>
      </c>
      <c r="J304" t="str">
        <f>IFERROR(INDEX(CHOOSE({1,2,3,4}, DAY(XT!U304), DAY(XT!Y304), DAY(XT!AC304), DAY(XT!AG304)), MATCH(1, INDEX(--(MONTH(CHOOSE({1,2,3,4}, XT!U304,XT!Y304,XT!AC304,XT!AG304))=3), 0), 0)), "")</f>
        <v/>
      </c>
      <c r="K304" s="12" t="str">
        <f>IF(XT!$P304&gt;0,J304,"")</f>
        <v/>
      </c>
      <c r="L304" s="12" t="str">
        <f>IF(XT!$P304=0,J304,"")</f>
        <v/>
      </c>
      <c r="M304">
        <f>SUMPRODUCT((MONTH(CHOOSE({1,2,3,4},XT!U304,XT!Y304,XT!AC304,XT!AG304))=4)*(CHOOSE({1,2,3,4},XT!X304,XT!AB304,XT!AF304,XT!AJ304)))</f>
        <v>0</v>
      </c>
      <c r="N304" t="str">
        <f>IFERROR(INDEX(CHOOSE({1,2,3,4}, DAY(XT!U304), DAY(XT!Y304), DAY(XT!AC304), DAY(XT!AG304)), MATCH(1, INDEX(--(MONTH(CHOOSE({1,2,3,4}, XT!U304,XT!Y304,XT!AC304,XT!AG304))=4), 0), 0)), "")</f>
        <v/>
      </c>
      <c r="O304" s="12" t="str">
        <f>IF(XT!$P304&gt;0,N304,"")</f>
        <v/>
      </c>
      <c r="P304" s="12" t="str">
        <f>IF(XT!$P304=0,N304,"")</f>
        <v/>
      </c>
      <c r="Q304">
        <f>SUMPRODUCT((MONTH(CHOOSE({1,2,3,4},XT!U304,XT!Y304,XT!AC304,XT!AG304))=5)*(CHOOSE({1,2,3,4},XT!X304,XT!AB304,XT!AF304,XT!AJ304)))</f>
        <v>0</v>
      </c>
      <c r="R304" t="str">
        <f>IFERROR(INDEX(CHOOSE({1,2,3,4}, DAY(XT!U304), DAY(XT!Y304), DAY(XT!AC304), DAY(XT!AG304)), MATCH(1, INDEX(--(MONTH(CHOOSE({1,2,3,4}, XT!U304,XT!Y304,XT!AC304,XT!AG304))=5), 0), 0)), "")</f>
        <v/>
      </c>
      <c r="S304" s="12" t="str">
        <f>IF(XT!$P304&gt;0,R304,"")</f>
        <v/>
      </c>
      <c r="T304" s="12" t="str">
        <f>IF(XT!$P304=0,R304,"")</f>
        <v/>
      </c>
      <c r="U304">
        <f>SUMPRODUCT((MONTH(CHOOSE({1,2,3,4},XT!U304,XT!Y304,XT!AC304,XT!AG304))=6)*(CHOOSE({1,2,3,4},XT!X304,XT!AB304,XT!AF304,XT!AJ304)))</f>
        <v>0</v>
      </c>
      <c r="V304" t="str">
        <f>IFERROR(INDEX(CHOOSE({1,2,3,4}, DAY(XT!U304), DAY(XT!Y304), DAY(XT!AC304), DAY(XT!AG304)), MATCH(1, INDEX(--(MONTH(CHOOSE({1,2,3,4}, XT!U304,XT!Y304,XT!AC304,XT!AG304))=6), 0), 0)), "")</f>
        <v/>
      </c>
      <c r="W304" s="12" t="str">
        <f>IF(XT!$P304&gt;0,V304,"")</f>
        <v/>
      </c>
      <c r="X304" s="12" t="str">
        <f>IF(XT!$P304=0,V304,"")</f>
        <v/>
      </c>
      <c r="Y304">
        <f>SUMPRODUCT((MONTH(CHOOSE({1,2,3,4},XT!U304,XT!Y304,XT!AC304,XT!AG304))=7)*(CHOOSE({1,2,3,4},XT!X304,XT!AB304,XT!AF304,XT!AJ304)))</f>
        <v>0</v>
      </c>
      <c r="Z304" t="str">
        <f>IFERROR(INDEX(CHOOSE({1,2,3,4}, DAY(XT!U304), DAY(XT!Y304), DAY(XT!AC304), DAY(XT!AG304)), MATCH(1, INDEX(--(MONTH(CHOOSE({1,2,3,4}, XT!U304,XT!Y304,XT!AC304,XT!AG304))=7), 0), 0)), "")</f>
        <v/>
      </c>
      <c r="AA304" s="12" t="str">
        <f>IF(XT!$P304&gt;0,Z304,"")</f>
        <v/>
      </c>
      <c r="AB304" s="12" t="str">
        <f>IF(XT!$P304=0,Z304,"")</f>
        <v/>
      </c>
      <c r="AC304">
        <f>SUMPRODUCT((MONTH(CHOOSE({1,2,3,4},XT!U304,XT!Y304,XT!AC304,XT!AG304))=8)*(CHOOSE({1,2,3,4},XT!X304,XT!AB304,XT!AF304,XT!AJ304)))</f>
        <v>0</v>
      </c>
      <c r="AD304" t="str">
        <f>IFERROR(INDEX(CHOOSE({1,2,3,4}, DAY(XT!U304), DAY(XT!Y304), DAY(XT!AC304), DAY(XT!AG304)), MATCH(1, INDEX(--(MONTH(CHOOSE({1,2,3,4}, XT!U304,XT!Y304,XT!AC304,XT!AG304))=8), 0), 0)), "")</f>
        <v/>
      </c>
      <c r="AE304" s="12" t="str">
        <f>IF(XT!$P304&gt;0,AD304,"")</f>
        <v/>
      </c>
      <c r="AF304" s="12" t="str">
        <f>IF(XT!$P304=0,AD304,"")</f>
        <v/>
      </c>
      <c r="AG304">
        <f>SUMPRODUCT((MONTH(CHOOSE({1,2,3,4},XT!U304,XT!Y304,XT!AC304,XT!AG304))=9)*(CHOOSE({1,2,3,4},XT!X304,XT!AB304,XT!AF304,XT!AJ304)))</f>
        <v>0</v>
      </c>
      <c r="AH304" t="str">
        <f>IFERROR(INDEX(CHOOSE({1,2,3,4}, DAY(XT!U304), DAY(XT!Y304), DAY(XT!AC304), DAY(XT!AG304)), MATCH(1, INDEX(--(MONTH(CHOOSE({1,2,3,4}, XT!U304,XT!Y304,XT!AC304,XT!AG304))=9), 0), 0)), "")</f>
        <v/>
      </c>
      <c r="AI304" s="12" t="str">
        <f>IF(XT!$P304&gt;0,AH304,"")</f>
        <v/>
      </c>
      <c r="AJ304" s="12" t="str">
        <f>IF(XT!$P304=0,AH304,"")</f>
        <v/>
      </c>
      <c r="AK304">
        <f>SUMPRODUCT((MONTH(CHOOSE({1,2,3,4},XT!U304,XT!Y304,XT!AC304,XT!AG304))=10)*(CHOOSE({1,2,3,4},XT!X304,XT!AB304,XT!AF304,XT!AJ304)))</f>
        <v>0</v>
      </c>
      <c r="AL304" t="str">
        <f>IFERROR(INDEX(CHOOSE({1,2,3,4}, DAY(XT!U304), DAY(XT!Y304), DAY(XT!AC304), DAY(XT!AG304)), MATCH(1, INDEX(--(MONTH(CHOOSE({1,2,3,4}, XT!U304,XT!Y304,XT!AC304,XT!AG304))=10), 0), 0)), "")</f>
        <v/>
      </c>
      <c r="AM304" s="12" t="str">
        <f>IF(XT!$P304&gt;0,AL304,"")</f>
        <v/>
      </c>
      <c r="AN304" s="12" t="str">
        <f>IF(XT!$P304=0,AL304,"")</f>
        <v/>
      </c>
      <c r="AO304">
        <f>SUMPRODUCT((MONTH(CHOOSE({1,2,3,4},XT!U304,XT!Y304,XT!AC304,XT!AG304))=11)*(CHOOSE({1,2,3,4},XT!X304,XT!AB304,XT!AF304,XT!AJ304)))</f>
        <v>0</v>
      </c>
      <c r="AP304" t="str">
        <f>IFERROR(INDEX(CHOOSE({1,2,3,4}, DAY(XT!U304), DAY(XT!Y304), DAY(XT!AC304), DAY(XT!AG304)), MATCH(1, INDEX(--(MONTH(CHOOSE({1,2,3,4}, XT!U304,XT!Y304,XT!AC304,XT!AG304))=11), 0), 0)), "")</f>
        <v/>
      </c>
      <c r="AQ304" s="12" t="str">
        <f>IF(XT!$P304&gt;0,AP304,"")</f>
        <v/>
      </c>
      <c r="AR304" s="12" t="str">
        <f>IF(XT!$P304=0,AP304,"")</f>
        <v/>
      </c>
      <c r="AS304">
        <f>SUMPRODUCT((MONTH(CHOOSE({1,2,3,4},XT!U304,XT!Y304,XT!AC304,XT!AG304))=12)*(CHOOSE({1,2,3,4},XT!X304,XT!AB304,XT!AF304,XT!AJ304)))</f>
        <v>0</v>
      </c>
      <c r="AT304" t="str">
        <f>IFERROR(INDEX(CHOOSE({1,2,3,4}, DAY(XT!U304), DAY(XT!Y304), DAY(XT!AC304), DAY(XT!AG304)), MATCH(1, INDEX(--(MONTH(CHOOSE({1,2,3,4}, XT!U304,XT!Y304,XT!AC304,XT!AG304))=12), 0), 0)), "")</f>
        <v/>
      </c>
      <c r="AU304" s="12" t="str">
        <f>IF(XT!$P304&gt;0,AT304,"")</f>
        <v/>
      </c>
      <c r="AV304" s="12" t="str">
        <f>IF(XT!$P304=0,AT304,"")</f>
        <v/>
      </c>
    </row>
    <row r="305" spans="1:48">
      <c r="A305">
        <f>SUMPRODUCT((MONTH(CHOOSE({1,2,3,4},XT!U305,XT!Y305,XT!AC305,XT!AG305))=1)*(CHOOSE({1,2,3,4},XT!X305,XT!AB305,XT!AF305,XT!AJ305)))</f>
        <v>0</v>
      </c>
      <c r="B305">
        <f>IFERROR(INDEX(CHOOSE({1,2,3,4}, DAY(XT!U305), DAY(XT!Y305), DAY(XT!AC305), DAY(XT!AG305)), MATCH(1, INDEX(--(MONTH(CHOOSE({1,2,3,4}, XT!U305,XT!Y305,XT!AC305,XT!AG305))=1), 0), 0)), "")</f>
        <v>0</v>
      </c>
      <c r="C305" s="12" t="str">
        <f>IF(XT!$P305&gt;0,B305,"")</f>
        <v/>
      </c>
      <c r="D305" s="12">
        <f>IF(XT!$P305=0,B305,"")</f>
        <v>0</v>
      </c>
      <c r="E305">
        <f>SUMPRODUCT((MONTH(CHOOSE({1,2,3,4},XT!U305,XT!Y305,XT!AC305,XT!AG305))=2)*(CHOOSE({1,2,3,4},XT!X305,XT!AB305,XT!AF305,XT!AJ305)))</f>
        <v>0</v>
      </c>
      <c r="F305" t="str">
        <f>IFERROR(INDEX(CHOOSE({1,2,3,4}, DAY(XT!U305), DAY(XT!Y305), DAY(XT!AC305), DAY(XT!AG305)), MATCH(1, INDEX(--(MONTH(CHOOSE({1,2,3,4}, XT!U305,XT!Y305,XT!AC305,XT!AG305))=2), 0), 0)), "")</f>
        <v/>
      </c>
      <c r="G305" s="12" t="str">
        <f>IF(XT!$P305&gt;0,F305,"")</f>
        <v/>
      </c>
      <c r="H305" s="12" t="str">
        <f>IF(XT!$P305=0,F305,"")</f>
        <v/>
      </c>
      <c r="I305">
        <f>SUMPRODUCT((MONTH(CHOOSE({1,2,3,4},XT!U305,XT!Y305,XT!AC305,XT!AG305))=3)*(CHOOSE({1,2,3,4},XT!X305,XT!AB305,XT!AF305,XT!AJ305)))</f>
        <v>0</v>
      </c>
      <c r="J305" t="str">
        <f>IFERROR(INDEX(CHOOSE({1,2,3,4}, DAY(XT!U305), DAY(XT!Y305), DAY(XT!AC305), DAY(XT!AG305)), MATCH(1, INDEX(--(MONTH(CHOOSE({1,2,3,4}, XT!U305,XT!Y305,XT!AC305,XT!AG305))=3), 0), 0)), "")</f>
        <v/>
      </c>
      <c r="K305" s="12" t="str">
        <f>IF(XT!$P305&gt;0,J305,"")</f>
        <v/>
      </c>
      <c r="L305" s="12" t="str">
        <f>IF(XT!$P305=0,J305,"")</f>
        <v/>
      </c>
      <c r="M305">
        <f>SUMPRODUCT((MONTH(CHOOSE({1,2,3,4},XT!U305,XT!Y305,XT!AC305,XT!AG305))=4)*(CHOOSE({1,2,3,4},XT!X305,XT!AB305,XT!AF305,XT!AJ305)))</f>
        <v>0</v>
      </c>
      <c r="N305" t="str">
        <f>IFERROR(INDEX(CHOOSE({1,2,3,4}, DAY(XT!U305), DAY(XT!Y305), DAY(XT!AC305), DAY(XT!AG305)), MATCH(1, INDEX(--(MONTH(CHOOSE({1,2,3,4}, XT!U305,XT!Y305,XT!AC305,XT!AG305))=4), 0), 0)), "")</f>
        <v/>
      </c>
      <c r="O305" s="12" t="str">
        <f>IF(XT!$P305&gt;0,N305,"")</f>
        <v/>
      </c>
      <c r="P305" s="12" t="str">
        <f>IF(XT!$P305=0,N305,"")</f>
        <v/>
      </c>
      <c r="Q305">
        <f>SUMPRODUCT((MONTH(CHOOSE({1,2,3,4},XT!U305,XT!Y305,XT!AC305,XT!AG305))=5)*(CHOOSE({1,2,3,4},XT!X305,XT!AB305,XT!AF305,XT!AJ305)))</f>
        <v>0</v>
      </c>
      <c r="R305" t="str">
        <f>IFERROR(INDEX(CHOOSE({1,2,3,4}, DAY(XT!U305), DAY(XT!Y305), DAY(XT!AC305), DAY(XT!AG305)), MATCH(1, INDEX(--(MONTH(CHOOSE({1,2,3,4}, XT!U305,XT!Y305,XT!AC305,XT!AG305))=5), 0), 0)), "")</f>
        <v/>
      </c>
      <c r="S305" s="12" t="str">
        <f>IF(XT!$P305&gt;0,R305,"")</f>
        <v/>
      </c>
      <c r="T305" s="12" t="str">
        <f>IF(XT!$P305=0,R305,"")</f>
        <v/>
      </c>
      <c r="U305">
        <f>SUMPRODUCT((MONTH(CHOOSE({1,2,3,4},XT!U305,XT!Y305,XT!AC305,XT!AG305))=6)*(CHOOSE({1,2,3,4},XT!X305,XT!AB305,XT!AF305,XT!AJ305)))</f>
        <v>0</v>
      </c>
      <c r="V305" t="str">
        <f>IFERROR(INDEX(CHOOSE({1,2,3,4}, DAY(XT!U305), DAY(XT!Y305), DAY(XT!AC305), DAY(XT!AG305)), MATCH(1, INDEX(--(MONTH(CHOOSE({1,2,3,4}, XT!U305,XT!Y305,XT!AC305,XT!AG305))=6), 0), 0)), "")</f>
        <v/>
      </c>
      <c r="W305" s="12" t="str">
        <f>IF(XT!$P305&gt;0,V305,"")</f>
        <v/>
      </c>
      <c r="X305" s="12" t="str">
        <f>IF(XT!$P305=0,V305,"")</f>
        <v/>
      </c>
      <c r="Y305">
        <f>SUMPRODUCT((MONTH(CHOOSE({1,2,3,4},XT!U305,XT!Y305,XT!AC305,XT!AG305))=7)*(CHOOSE({1,2,3,4},XT!X305,XT!AB305,XT!AF305,XT!AJ305)))</f>
        <v>0</v>
      </c>
      <c r="Z305" t="str">
        <f>IFERROR(INDEX(CHOOSE({1,2,3,4}, DAY(XT!U305), DAY(XT!Y305), DAY(XT!AC305), DAY(XT!AG305)), MATCH(1, INDEX(--(MONTH(CHOOSE({1,2,3,4}, XT!U305,XT!Y305,XT!AC305,XT!AG305))=7), 0), 0)), "")</f>
        <v/>
      </c>
      <c r="AA305" s="12" t="str">
        <f>IF(XT!$P305&gt;0,Z305,"")</f>
        <v/>
      </c>
      <c r="AB305" s="12" t="str">
        <f>IF(XT!$P305=0,Z305,"")</f>
        <v/>
      </c>
      <c r="AC305">
        <f>SUMPRODUCT((MONTH(CHOOSE({1,2,3,4},XT!U305,XT!Y305,XT!AC305,XT!AG305))=8)*(CHOOSE({1,2,3,4},XT!X305,XT!AB305,XT!AF305,XT!AJ305)))</f>
        <v>0</v>
      </c>
      <c r="AD305" t="str">
        <f>IFERROR(INDEX(CHOOSE({1,2,3,4}, DAY(XT!U305), DAY(XT!Y305), DAY(XT!AC305), DAY(XT!AG305)), MATCH(1, INDEX(--(MONTH(CHOOSE({1,2,3,4}, XT!U305,XT!Y305,XT!AC305,XT!AG305))=8), 0), 0)), "")</f>
        <v/>
      </c>
      <c r="AE305" s="12" t="str">
        <f>IF(XT!$P305&gt;0,AD305,"")</f>
        <v/>
      </c>
      <c r="AF305" s="12" t="str">
        <f>IF(XT!$P305=0,AD305,"")</f>
        <v/>
      </c>
      <c r="AG305">
        <f>SUMPRODUCT((MONTH(CHOOSE({1,2,3,4},XT!U305,XT!Y305,XT!AC305,XT!AG305))=9)*(CHOOSE({1,2,3,4},XT!X305,XT!AB305,XT!AF305,XT!AJ305)))</f>
        <v>0</v>
      </c>
      <c r="AH305" t="str">
        <f>IFERROR(INDEX(CHOOSE({1,2,3,4}, DAY(XT!U305), DAY(XT!Y305), DAY(XT!AC305), DAY(XT!AG305)), MATCH(1, INDEX(--(MONTH(CHOOSE({1,2,3,4}, XT!U305,XT!Y305,XT!AC305,XT!AG305))=9), 0), 0)), "")</f>
        <v/>
      </c>
      <c r="AI305" s="12" t="str">
        <f>IF(XT!$P305&gt;0,AH305,"")</f>
        <v/>
      </c>
      <c r="AJ305" s="12" t="str">
        <f>IF(XT!$P305=0,AH305,"")</f>
        <v/>
      </c>
      <c r="AK305">
        <f>SUMPRODUCT((MONTH(CHOOSE({1,2,3,4},XT!U305,XT!Y305,XT!AC305,XT!AG305))=10)*(CHOOSE({1,2,3,4},XT!X305,XT!AB305,XT!AF305,XT!AJ305)))</f>
        <v>0</v>
      </c>
      <c r="AL305" t="str">
        <f>IFERROR(INDEX(CHOOSE({1,2,3,4}, DAY(XT!U305), DAY(XT!Y305), DAY(XT!AC305), DAY(XT!AG305)), MATCH(1, INDEX(--(MONTH(CHOOSE({1,2,3,4}, XT!U305,XT!Y305,XT!AC305,XT!AG305))=10), 0), 0)), "")</f>
        <v/>
      </c>
      <c r="AM305" s="12" t="str">
        <f>IF(XT!$P305&gt;0,AL305,"")</f>
        <v/>
      </c>
      <c r="AN305" s="12" t="str">
        <f>IF(XT!$P305=0,AL305,"")</f>
        <v/>
      </c>
      <c r="AO305">
        <f>SUMPRODUCT((MONTH(CHOOSE({1,2,3,4},XT!U305,XT!Y305,XT!AC305,XT!AG305))=11)*(CHOOSE({1,2,3,4},XT!X305,XT!AB305,XT!AF305,XT!AJ305)))</f>
        <v>0</v>
      </c>
      <c r="AP305" t="str">
        <f>IFERROR(INDEX(CHOOSE({1,2,3,4}, DAY(XT!U305), DAY(XT!Y305), DAY(XT!AC305), DAY(XT!AG305)), MATCH(1, INDEX(--(MONTH(CHOOSE({1,2,3,4}, XT!U305,XT!Y305,XT!AC305,XT!AG305))=11), 0), 0)), "")</f>
        <v/>
      </c>
      <c r="AQ305" s="12" t="str">
        <f>IF(XT!$P305&gt;0,AP305,"")</f>
        <v/>
      </c>
      <c r="AR305" s="12" t="str">
        <f>IF(XT!$P305=0,AP305,"")</f>
        <v/>
      </c>
      <c r="AS305">
        <f>SUMPRODUCT((MONTH(CHOOSE({1,2,3,4},XT!U305,XT!Y305,XT!AC305,XT!AG305))=12)*(CHOOSE({1,2,3,4},XT!X305,XT!AB305,XT!AF305,XT!AJ305)))</f>
        <v>0</v>
      </c>
      <c r="AT305" t="str">
        <f>IFERROR(INDEX(CHOOSE({1,2,3,4}, DAY(XT!U305), DAY(XT!Y305), DAY(XT!AC305), DAY(XT!AG305)), MATCH(1, INDEX(--(MONTH(CHOOSE({1,2,3,4}, XT!U305,XT!Y305,XT!AC305,XT!AG305))=12), 0), 0)), "")</f>
        <v/>
      </c>
      <c r="AU305" s="12" t="str">
        <f>IF(XT!$P305&gt;0,AT305,"")</f>
        <v/>
      </c>
      <c r="AV305" s="12" t="str">
        <f>IF(XT!$P305=0,AT305,"")</f>
        <v/>
      </c>
    </row>
    <row r="306" spans="1:48">
      <c r="A306">
        <f>SUMPRODUCT((MONTH(CHOOSE({1,2,3,4},XT!U306,XT!Y306,XT!AC306,XT!AG306))=1)*(CHOOSE({1,2,3,4},XT!X306,XT!AB306,XT!AF306,XT!AJ306)))</f>
        <v>0</v>
      </c>
      <c r="B306">
        <f>IFERROR(INDEX(CHOOSE({1,2,3,4}, DAY(XT!U306), DAY(XT!Y306), DAY(XT!AC306), DAY(XT!AG306)), MATCH(1, INDEX(--(MONTH(CHOOSE({1,2,3,4}, XT!U306,XT!Y306,XT!AC306,XT!AG306))=1), 0), 0)), "")</f>
        <v>0</v>
      </c>
      <c r="C306" s="12" t="str">
        <f>IF(XT!$P306&gt;0,B306,"")</f>
        <v/>
      </c>
      <c r="D306" s="12">
        <f>IF(XT!$P306=0,B306,"")</f>
        <v>0</v>
      </c>
      <c r="E306">
        <f>SUMPRODUCT((MONTH(CHOOSE({1,2,3,4},XT!U306,XT!Y306,XT!AC306,XT!AG306))=2)*(CHOOSE({1,2,3,4},XT!X306,XT!AB306,XT!AF306,XT!AJ306)))</f>
        <v>0</v>
      </c>
      <c r="F306" t="str">
        <f>IFERROR(INDEX(CHOOSE({1,2,3,4}, DAY(XT!U306), DAY(XT!Y306), DAY(XT!AC306), DAY(XT!AG306)), MATCH(1, INDEX(--(MONTH(CHOOSE({1,2,3,4}, XT!U306,XT!Y306,XT!AC306,XT!AG306))=2), 0), 0)), "")</f>
        <v/>
      </c>
      <c r="G306" s="12" t="str">
        <f>IF(XT!$P306&gt;0,F306,"")</f>
        <v/>
      </c>
      <c r="H306" s="12" t="str">
        <f>IF(XT!$P306=0,F306,"")</f>
        <v/>
      </c>
      <c r="I306">
        <f>SUMPRODUCT((MONTH(CHOOSE({1,2,3,4},XT!U306,XT!Y306,XT!AC306,XT!AG306))=3)*(CHOOSE({1,2,3,4},XT!X306,XT!AB306,XT!AF306,XT!AJ306)))</f>
        <v>0</v>
      </c>
      <c r="J306" t="str">
        <f>IFERROR(INDEX(CHOOSE({1,2,3,4}, DAY(XT!U306), DAY(XT!Y306), DAY(XT!AC306), DAY(XT!AG306)), MATCH(1, INDEX(--(MONTH(CHOOSE({1,2,3,4}, XT!U306,XT!Y306,XT!AC306,XT!AG306))=3), 0), 0)), "")</f>
        <v/>
      </c>
      <c r="K306" s="12" t="str">
        <f>IF(XT!$P306&gt;0,J306,"")</f>
        <v/>
      </c>
      <c r="L306" s="12" t="str">
        <f>IF(XT!$P306=0,J306,"")</f>
        <v/>
      </c>
      <c r="M306">
        <f>SUMPRODUCT((MONTH(CHOOSE({1,2,3,4},XT!U306,XT!Y306,XT!AC306,XT!AG306))=4)*(CHOOSE({1,2,3,4},XT!X306,XT!AB306,XT!AF306,XT!AJ306)))</f>
        <v>0</v>
      </c>
      <c r="N306" t="str">
        <f>IFERROR(INDEX(CHOOSE({1,2,3,4}, DAY(XT!U306), DAY(XT!Y306), DAY(XT!AC306), DAY(XT!AG306)), MATCH(1, INDEX(--(MONTH(CHOOSE({1,2,3,4}, XT!U306,XT!Y306,XT!AC306,XT!AG306))=4), 0), 0)), "")</f>
        <v/>
      </c>
      <c r="O306" s="12" t="str">
        <f>IF(XT!$P306&gt;0,N306,"")</f>
        <v/>
      </c>
      <c r="P306" s="12" t="str">
        <f>IF(XT!$P306=0,N306,"")</f>
        <v/>
      </c>
      <c r="Q306">
        <f>SUMPRODUCT((MONTH(CHOOSE({1,2,3,4},XT!U306,XT!Y306,XT!AC306,XT!AG306))=5)*(CHOOSE({1,2,3,4},XT!X306,XT!AB306,XT!AF306,XT!AJ306)))</f>
        <v>0</v>
      </c>
      <c r="R306" t="str">
        <f>IFERROR(INDEX(CHOOSE({1,2,3,4}, DAY(XT!U306), DAY(XT!Y306), DAY(XT!AC306), DAY(XT!AG306)), MATCH(1, INDEX(--(MONTH(CHOOSE({1,2,3,4}, XT!U306,XT!Y306,XT!AC306,XT!AG306))=5), 0), 0)), "")</f>
        <v/>
      </c>
      <c r="S306" s="12" t="str">
        <f>IF(XT!$P306&gt;0,R306,"")</f>
        <v/>
      </c>
      <c r="T306" s="12" t="str">
        <f>IF(XT!$P306=0,R306,"")</f>
        <v/>
      </c>
      <c r="U306">
        <f>SUMPRODUCT((MONTH(CHOOSE({1,2,3,4},XT!U306,XT!Y306,XT!AC306,XT!AG306))=6)*(CHOOSE({1,2,3,4},XT!X306,XT!AB306,XT!AF306,XT!AJ306)))</f>
        <v>0</v>
      </c>
      <c r="V306" t="str">
        <f>IFERROR(INDEX(CHOOSE({1,2,3,4}, DAY(XT!U306), DAY(XT!Y306), DAY(XT!AC306), DAY(XT!AG306)), MATCH(1, INDEX(--(MONTH(CHOOSE({1,2,3,4}, XT!U306,XT!Y306,XT!AC306,XT!AG306))=6), 0), 0)), "")</f>
        <v/>
      </c>
      <c r="W306" s="12" t="str">
        <f>IF(XT!$P306&gt;0,V306,"")</f>
        <v/>
      </c>
      <c r="X306" s="12" t="str">
        <f>IF(XT!$P306=0,V306,"")</f>
        <v/>
      </c>
      <c r="Y306">
        <f>SUMPRODUCT((MONTH(CHOOSE({1,2,3,4},XT!U306,XT!Y306,XT!AC306,XT!AG306))=7)*(CHOOSE({1,2,3,4},XT!X306,XT!AB306,XT!AF306,XT!AJ306)))</f>
        <v>0</v>
      </c>
      <c r="Z306" t="str">
        <f>IFERROR(INDEX(CHOOSE({1,2,3,4}, DAY(XT!U306), DAY(XT!Y306), DAY(XT!AC306), DAY(XT!AG306)), MATCH(1, INDEX(--(MONTH(CHOOSE({1,2,3,4}, XT!U306,XT!Y306,XT!AC306,XT!AG306))=7), 0), 0)), "")</f>
        <v/>
      </c>
      <c r="AA306" s="12" t="str">
        <f>IF(XT!$P306&gt;0,Z306,"")</f>
        <v/>
      </c>
      <c r="AB306" s="12" t="str">
        <f>IF(XT!$P306=0,Z306,"")</f>
        <v/>
      </c>
      <c r="AC306">
        <f>SUMPRODUCT((MONTH(CHOOSE({1,2,3,4},XT!U306,XT!Y306,XT!AC306,XT!AG306))=8)*(CHOOSE({1,2,3,4},XT!X306,XT!AB306,XT!AF306,XT!AJ306)))</f>
        <v>0</v>
      </c>
      <c r="AD306" t="str">
        <f>IFERROR(INDEX(CHOOSE({1,2,3,4}, DAY(XT!U306), DAY(XT!Y306), DAY(XT!AC306), DAY(XT!AG306)), MATCH(1, INDEX(--(MONTH(CHOOSE({1,2,3,4}, XT!U306,XT!Y306,XT!AC306,XT!AG306))=8), 0), 0)), "")</f>
        <v/>
      </c>
      <c r="AE306" s="12" t="str">
        <f>IF(XT!$P306&gt;0,AD306,"")</f>
        <v/>
      </c>
      <c r="AF306" s="12" t="str">
        <f>IF(XT!$P306=0,AD306,"")</f>
        <v/>
      </c>
      <c r="AG306">
        <f>SUMPRODUCT((MONTH(CHOOSE({1,2,3,4},XT!U306,XT!Y306,XT!AC306,XT!AG306))=9)*(CHOOSE({1,2,3,4},XT!X306,XT!AB306,XT!AF306,XT!AJ306)))</f>
        <v>0</v>
      </c>
      <c r="AH306" t="str">
        <f>IFERROR(INDEX(CHOOSE({1,2,3,4}, DAY(XT!U306), DAY(XT!Y306), DAY(XT!AC306), DAY(XT!AG306)), MATCH(1, INDEX(--(MONTH(CHOOSE({1,2,3,4}, XT!U306,XT!Y306,XT!AC306,XT!AG306))=9), 0), 0)), "")</f>
        <v/>
      </c>
      <c r="AI306" s="12" t="str">
        <f>IF(XT!$P306&gt;0,AH306,"")</f>
        <v/>
      </c>
      <c r="AJ306" s="12" t="str">
        <f>IF(XT!$P306=0,AH306,"")</f>
        <v/>
      </c>
      <c r="AK306">
        <f>SUMPRODUCT((MONTH(CHOOSE({1,2,3,4},XT!U306,XT!Y306,XT!AC306,XT!AG306))=10)*(CHOOSE({1,2,3,4},XT!X306,XT!AB306,XT!AF306,XT!AJ306)))</f>
        <v>0</v>
      </c>
      <c r="AL306" t="str">
        <f>IFERROR(INDEX(CHOOSE({1,2,3,4}, DAY(XT!U306), DAY(XT!Y306), DAY(XT!AC306), DAY(XT!AG306)), MATCH(1, INDEX(--(MONTH(CHOOSE({1,2,3,4}, XT!U306,XT!Y306,XT!AC306,XT!AG306))=10), 0), 0)), "")</f>
        <v/>
      </c>
      <c r="AM306" s="12" t="str">
        <f>IF(XT!$P306&gt;0,AL306,"")</f>
        <v/>
      </c>
      <c r="AN306" s="12" t="str">
        <f>IF(XT!$P306=0,AL306,"")</f>
        <v/>
      </c>
      <c r="AO306">
        <f>SUMPRODUCT((MONTH(CHOOSE({1,2,3,4},XT!U306,XT!Y306,XT!AC306,XT!AG306))=11)*(CHOOSE({1,2,3,4},XT!X306,XT!AB306,XT!AF306,XT!AJ306)))</f>
        <v>0</v>
      </c>
      <c r="AP306" t="str">
        <f>IFERROR(INDEX(CHOOSE({1,2,3,4}, DAY(XT!U306), DAY(XT!Y306), DAY(XT!AC306), DAY(XT!AG306)), MATCH(1, INDEX(--(MONTH(CHOOSE({1,2,3,4}, XT!U306,XT!Y306,XT!AC306,XT!AG306))=11), 0), 0)), "")</f>
        <v/>
      </c>
      <c r="AQ306" s="12" t="str">
        <f>IF(XT!$P306&gt;0,AP306,"")</f>
        <v/>
      </c>
      <c r="AR306" s="12" t="str">
        <f>IF(XT!$P306=0,AP306,"")</f>
        <v/>
      </c>
      <c r="AS306">
        <f>SUMPRODUCT((MONTH(CHOOSE({1,2,3,4},XT!U306,XT!Y306,XT!AC306,XT!AG306))=12)*(CHOOSE({1,2,3,4},XT!X306,XT!AB306,XT!AF306,XT!AJ306)))</f>
        <v>0</v>
      </c>
      <c r="AT306" t="str">
        <f>IFERROR(INDEX(CHOOSE({1,2,3,4}, DAY(XT!U306), DAY(XT!Y306), DAY(XT!AC306), DAY(XT!AG306)), MATCH(1, INDEX(--(MONTH(CHOOSE({1,2,3,4}, XT!U306,XT!Y306,XT!AC306,XT!AG306))=12), 0), 0)), "")</f>
        <v/>
      </c>
      <c r="AU306" s="12" t="str">
        <f>IF(XT!$P306&gt;0,AT306,"")</f>
        <v/>
      </c>
      <c r="AV306" s="12" t="str">
        <f>IF(XT!$P306=0,AT306,"")</f>
        <v/>
      </c>
    </row>
    <row r="307" spans="1:48">
      <c r="A307">
        <f>SUMPRODUCT((MONTH(CHOOSE({1,2,3,4},XT!U307,XT!Y307,XT!AC307,XT!AG307))=1)*(CHOOSE({1,2,3,4},XT!X307,XT!AB307,XT!AF307,XT!AJ307)))</f>
        <v>0</v>
      </c>
      <c r="B307">
        <f>IFERROR(INDEX(CHOOSE({1,2,3,4}, DAY(XT!U307), DAY(XT!Y307), DAY(XT!AC307), DAY(XT!AG307)), MATCH(1, INDEX(--(MONTH(CHOOSE({1,2,3,4}, XT!U307,XT!Y307,XT!AC307,XT!AG307))=1), 0), 0)), "")</f>
        <v>0</v>
      </c>
      <c r="C307" s="12" t="str">
        <f>IF(XT!$P307&gt;0,B307,"")</f>
        <v/>
      </c>
      <c r="D307" s="12">
        <f>IF(XT!$P307=0,B307,"")</f>
        <v>0</v>
      </c>
      <c r="E307">
        <f>SUMPRODUCT((MONTH(CHOOSE({1,2,3,4},XT!U307,XT!Y307,XT!AC307,XT!AG307))=2)*(CHOOSE({1,2,3,4},XT!X307,XT!AB307,XT!AF307,XT!AJ307)))</f>
        <v>0</v>
      </c>
      <c r="F307" t="str">
        <f>IFERROR(INDEX(CHOOSE({1,2,3,4}, DAY(XT!U307), DAY(XT!Y307), DAY(XT!AC307), DAY(XT!AG307)), MATCH(1, INDEX(--(MONTH(CHOOSE({1,2,3,4}, XT!U307,XT!Y307,XT!AC307,XT!AG307))=2), 0), 0)), "")</f>
        <v/>
      </c>
      <c r="G307" s="12" t="str">
        <f>IF(XT!$P307&gt;0,F307,"")</f>
        <v/>
      </c>
      <c r="H307" s="12" t="str">
        <f>IF(XT!$P307=0,F307,"")</f>
        <v/>
      </c>
      <c r="I307">
        <f>SUMPRODUCT((MONTH(CHOOSE({1,2,3,4},XT!U307,XT!Y307,XT!AC307,XT!AG307))=3)*(CHOOSE({1,2,3,4},XT!X307,XT!AB307,XT!AF307,XT!AJ307)))</f>
        <v>0</v>
      </c>
      <c r="J307" t="str">
        <f>IFERROR(INDEX(CHOOSE({1,2,3,4}, DAY(XT!U307), DAY(XT!Y307), DAY(XT!AC307), DAY(XT!AG307)), MATCH(1, INDEX(--(MONTH(CHOOSE({1,2,3,4}, XT!U307,XT!Y307,XT!AC307,XT!AG307))=3), 0), 0)), "")</f>
        <v/>
      </c>
      <c r="K307" s="12" t="str">
        <f>IF(XT!$P307&gt;0,J307,"")</f>
        <v/>
      </c>
      <c r="L307" s="12" t="str">
        <f>IF(XT!$P307=0,J307,"")</f>
        <v/>
      </c>
      <c r="M307">
        <f>SUMPRODUCT((MONTH(CHOOSE({1,2,3,4},XT!U307,XT!Y307,XT!AC307,XT!AG307))=4)*(CHOOSE({1,2,3,4},XT!X307,XT!AB307,XT!AF307,XT!AJ307)))</f>
        <v>0</v>
      </c>
      <c r="N307" t="str">
        <f>IFERROR(INDEX(CHOOSE({1,2,3,4}, DAY(XT!U307), DAY(XT!Y307), DAY(XT!AC307), DAY(XT!AG307)), MATCH(1, INDEX(--(MONTH(CHOOSE({1,2,3,4}, XT!U307,XT!Y307,XT!AC307,XT!AG307))=4), 0), 0)), "")</f>
        <v/>
      </c>
      <c r="O307" s="12" t="str">
        <f>IF(XT!$P307&gt;0,N307,"")</f>
        <v/>
      </c>
      <c r="P307" s="12" t="str">
        <f>IF(XT!$P307=0,N307,"")</f>
        <v/>
      </c>
      <c r="Q307">
        <f>SUMPRODUCT((MONTH(CHOOSE({1,2,3,4},XT!U307,XT!Y307,XT!AC307,XT!AG307))=5)*(CHOOSE({1,2,3,4},XT!X307,XT!AB307,XT!AF307,XT!AJ307)))</f>
        <v>0</v>
      </c>
      <c r="R307" t="str">
        <f>IFERROR(INDEX(CHOOSE({1,2,3,4}, DAY(XT!U307), DAY(XT!Y307), DAY(XT!AC307), DAY(XT!AG307)), MATCH(1, INDEX(--(MONTH(CHOOSE({1,2,3,4}, XT!U307,XT!Y307,XT!AC307,XT!AG307))=5), 0), 0)), "")</f>
        <v/>
      </c>
      <c r="S307" s="12" t="str">
        <f>IF(XT!$P307&gt;0,R307,"")</f>
        <v/>
      </c>
      <c r="T307" s="12" t="str">
        <f>IF(XT!$P307=0,R307,"")</f>
        <v/>
      </c>
      <c r="U307">
        <f>SUMPRODUCT((MONTH(CHOOSE({1,2,3,4},XT!U307,XT!Y307,XT!AC307,XT!AG307))=6)*(CHOOSE({1,2,3,4},XT!X307,XT!AB307,XT!AF307,XT!AJ307)))</f>
        <v>0</v>
      </c>
      <c r="V307" t="str">
        <f>IFERROR(INDEX(CHOOSE({1,2,3,4}, DAY(XT!U307), DAY(XT!Y307), DAY(XT!AC307), DAY(XT!AG307)), MATCH(1, INDEX(--(MONTH(CHOOSE({1,2,3,4}, XT!U307,XT!Y307,XT!AC307,XT!AG307))=6), 0), 0)), "")</f>
        <v/>
      </c>
      <c r="W307" s="12" t="str">
        <f>IF(XT!$P307&gt;0,V307,"")</f>
        <v/>
      </c>
      <c r="X307" s="12" t="str">
        <f>IF(XT!$P307=0,V307,"")</f>
        <v/>
      </c>
      <c r="Y307">
        <f>SUMPRODUCT((MONTH(CHOOSE({1,2,3,4},XT!U307,XT!Y307,XT!AC307,XT!AG307))=7)*(CHOOSE({1,2,3,4},XT!X307,XT!AB307,XT!AF307,XT!AJ307)))</f>
        <v>0</v>
      </c>
      <c r="Z307" t="str">
        <f>IFERROR(INDEX(CHOOSE({1,2,3,4}, DAY(XT!U307), DAY(XT!Y307), DAY(XT!AC307), DAY(XT!AG307)), MATCH(1, INDEX(--(MONTH(CHOOSE({1,2,3,4}, XT!U307,XT!Y307,XT!AC307,XT!AG307))=7), 0), 0)), "")</f>
        <v/>
      </c>
      <c r="AA307" s="12" t="str">
        <f>IF(XT!$P307&gt;0,Z307,"")</f>
        <v/>
      </c>
      <c r="AB307" s="12" t="str">
        <f>IF(XT!$P307=0,Z307,"")</f>
        <v/>
      </c>
      <c r="AC307">
        <f>SUMPRODUCT((MONTH(CHOOSE({1,2,3,4},XT!U307,XT!Y307,XT!AC307,XT!AG307))=8)*(CHOOSE({1,2,3,4},XT!X307,XT!AB307,XT!AF307,XT!AJ307)))</f>
        <v>0</v>
      </c>
      <c r="AD307" t="str">
        <f>IFERROR(INDEX(CHOOSE({1,2,3,4}, DAY(XT!U307), DAY(XT!Y307), DAY(XT!AC307), DAY(XT!AG307)), MATCH(1, INDEX(--(MONTH(CHOOSE({1,2,3,4}, XT!U307,XT!Y307,XT!AC307,XT!AG307))=8), 0), 0)), "")</f>
        <v/>
      </c>
      <c r="AE307" s="12" t="str">
        <f>IF(XT!$P307&gt;0,AD307,"")</f>
        <v/>
      </c>
      <c r="AF307" s="12" t="str">
        <f>IF(XT!$P307=0,AD307,"")</f>
        <v/>
      </c>
      <c r="AG307">
        <f>SUMPRODUCT((MONTH(CHOOSE({1,2,3,4},XT!U307,XT!Y307,XT!AC307,XT!AG307))=9)*(CHOOSE({1,2,3,4},XT!X307,XT!AB307,XT!AF307,XT!AJ307)))</f>
        <v>0</v>
      </c>
      <c r="AH307" t="str">
        <f>IFERROR(INDEX(CHOOSE({1,2,3,4}, DAY(XT!U307), DAY(XT!Y307), DAY(XT!AC307), DAY(XT!AG307)), MATCH(1, INDEX(--(MONTH(CHOOSE({1,2,3,4}, XT!U307,XT!Y307,XT!AC307,XT!AG307))=9), 0), 0)), "")</f>
        <v/>
      </c>
      <c r="AI307" s="12" t="str">
        <f>IF(XT!$P307&gt;0,AH307,"")</f>
        <v/>
      </c>
      <c r="AJ307" s="12" t="str">
        <f>IF(XT!$P307=0,AH307,"")</f>
        <v/>
      </c>
      <c r="AK307">
        <f>SUMPRODUCT((MONTH(CHOOSE({1,2,3,4},XT!U307,XT!Y307,XT!AC307,XT!AG307))=10)*(CHOOSE({1,2,3,4},XT!X307,XT!AB307,XT!AF307,XT!AJ307)))</f>
        <v>0</v>
      </c>
      <c r="AL307" t="str">
        <f>IFERROR(INDEX(CHOOSE({1,2,3,4}, DAY(XT!U307), DAY(XT!Y307), DAY(XT!AC307), DAY(XT!AG307)), MATCH(1, INDEX(--(MONTH(CHOOSE({1,2,3,4}, XT!U307,XT!Y307,XT!AC307,XT!AG307))=10), 0), 0)), "")</f>
        <v/>
      </c>
      <c r="AM307" s="12" t="str">
        <f>IF(XT!$P307&gt;0,AL307,"")</f>
        <v/>
      </c>
      <c r="AN307" s="12" t="str">
        <f>IF(XT!$P307=0,AL307,"")</f>
        <v/>
      </c>
      <c r="AO307">
        <f>SUMPRODUCT((MONTH(CHOOSE({1,2,3,4},XT!U307,XT!Y307,XT!AC307,XT!AG307))=11)*(CHOOSE({1,2,3,4},XT!X307,XT!AB307,XT!AF307,XT!AJ307)))</f>
        <v>0</v>
      </c>
      <c r="AP307" t="str">
        <f>IFERROR(INDEX(CHOOSE({1,2,3,4}, DAY(XT!U307), DAY(XT!Y307), DAY(XT!AC307), DAY(XT!AG307)), MATCH(1, INDEX(--(MONTH(CHOOSE({1,2,3,4}, XT!U307,XT!Y307,XT!AC307,XT!AG307))=11), 0), 0)), "")</f>
        <v/>
      </c>
      <c r="AQ307" s="12" t="str">
        <f>IF(XT!$P307&gt;0,AP307,"")</f>
        <v/>
      </c>
      <c r="AR307" s="12" t="str">
        <f>IF(XT!$P307=0,AP307,"")</f>
        <v/>
      </c>
      <c r="AS307">
        <f>SUMPRODUCT((MONTH(CHOOSE({1,2,3,4},XT!U307,XT!Y307,XT!AC307,XT!AG307))=12)*(CHOOSE({1,2,3,4},XT!X307,XT!AB307,XT!AF307,XT!AJ307)))</f>
        <v>0</v>
      </c>
      <c r="AT307" t="str">
        <f>IFERROR(INDEX(CHOOSE({1,2,3,4}, DAY(XT!U307), DAY(XT!Y307), DAY(XT!AC307), DAY(XT!AG307)), MATCH(1, INDEX(--(MONTH(CHOOSE({1,2,3,4}, XT!U307,XT!Y307,XT!AC307,XT!AG307))=12), 0), 0)), "")</f>
        <v/>
      </c>
      <c r="AU307" s="12" t="str">
        <f>IF(XT!$P307&gt;0,AT307,"")</f>
        <v/>
      </c>
      <c r="AV307" s="12" t="str">
        <f>IF(XT!$P307=0,AT307,"")</f>
        <v/>
      </c>
    </row>
    <row r="308" spans="1:48">
      <c r="A308">
        <f>SUMPRODUCT((MONTH(CHOOSE({1,2,3,4},XT!U308,XT!Y308,XT!AC308,XT!AG308))=1)*(CHOOSE({1,2,3,4},XT!X308,XT!AB308,XT!AF308,XT!AJ308)))</f>
        <v>0</v>
      </c>
      <c r="B308">
        <f>IFERROR(INDEX(CHOOSE({1,2,3,4}, DAY(XT!U308), DAY(XT!Y308), DAY(XT!AC308), DAY(XT!AG308)), MATCH(1, INDEX(--(MONTH(CHOOSE({1,2,3,4}, XT!U308,XT!Y308,XT!AC308,XT!AG308))=1), 0), 0)), "")</f>
        <v>0</v>
      </c>
      <c r="C308" s="12" t="str">
        <f>IF(XT!$P308&gt;0,B308,"")</f>
        <v/>
      </c>
      <c r="D308" s="12">
        <f>IF(XT!$P308=0,B308,"")</f>
        <v>0</v>
      </c>
      <c r="E308">
        <f>SUMPRODUCT((MONTH(CHOOSE({1,2,3,4},XT!U308,XT!Y308,XT!AC308,XT!AG308))=2)*(CHOOSE({1,2,3,4},XT!X308,XT!AB308,XT!AF308,XT!AJ308)))</f>
        <v>0</v>
      </c>
      <c r="F308" t="str">
        <f>IFERROR(INDEX(CHOOSE({1,2,3,4}, DAY(XT!U308), DAY(XT!Y308), DAY(XT!AC308), DAY(XT!AG308)), MATCH(1, INDEX(--(MONTH(CHOOSE({1,2,3,4}, XT!U308,XT!Y308,XT!AC308,XT!AG308))=2), 0), 0)), "")</f>
        <v/>
      </c>
      <c r="G308" s="12" t="str">
        <f>IF(XT!$P308&gt;0,F308,"")</f>
        <v/>
      </c>
      <c r="H308" s="12" t="str">
        <f>IF(XT!$P308=0,F308,"")</f>
        <v/>
      </c>
      <c r="I308">
        <f>SUMPRODUCT((MONTH(CHOOSE({1,2,3,4},XT!U308,XT!Y308,XT!AC308,XT!AG308))=3)*(CHOOSE({1,2,3,4},XT!X308,XT!AB308,XT!AF308,XT!AJ308)))</f>
        <v>0</v>
      </c>
      <c r="J308" t="str">
        <f>IFERROR(INDEX(CHOOSE({1,2,3,4}, DAY(XT!U308), DAY(XT!Y308), DAY(XT!AC308), DAY(XT!AG308)), MATCH(1, INDEX(--(MONTH(CHOOSE({1,2,3,4}, XT!U308,XT!Y308,XT!AC308,XT!AG308))=3), 0), 0)), "")</f>
        <v/>
      </c>
      <c r="K308" s="12" t="str">
        <f>IF(XT!$P308&gt;0,J308,"")</f>
        <v/>
      </c>
      <c r="L308" s="12" t="str">
        <f>IF(XT!$P308=0,J308,"")</f>
        <v/>
      </c>
      <c r="M308">
        <f>SUMPRODUCT((MONTH(CHOOSE({1,2,3,4},XT!U308,XT!Y308,XT!AC308,XT!AG308))=4)*(CHOOSE({1,2,3,4},XT!X308,XT!AB308,XT!AF308,XT!AJ308)))</f>
        <v>0</v>
      </c>
      <c r="N308" t="str">
        <f>IFERROR(INDEX(CHOOSE({1,2,3,4}, DAY(XT!U308), DAY(XT!Y308), DAY(XT!AC308), DAY(XT!AG308)), MATCH(1, INDEX(--(MONTH(CHOOSE({1,2,3,4}, XT!U308,XT!Y308,XT!AC308,XT!AG308))=4), 0), 0)), "")</f>
        <v/>
      </c>
      <c r="O308" s="12" t="str">
        <f>IF(XT!$P308&gt;0,N308,"")</f>
        <v/>
      </c>
      <c r="P308" s="12" t="str">
        <f>IF(XT!$P308=0,N308,"")</f>
        <v/>
      </c>
      <c r="Q308">
        <f>SUMPRODUCT((MONTH(CHOOSE({1,2,3,4},XT!U308,XT!Y308,XT!AC308,XT!AG308))=5)*(CHOOSE({1,2,3,4},XT!X308,XT!AB308,XT!AF308,XT!AJ308)))</f>
        <v>0</v>
      </c>
      <c r="R308" t="str">
        <f>IFERROR(INDEX(CHOOSE({1,2,3,4}, DAY(XT!U308), DAY(XT!Y308), DAY(XT!AC308), DAY(XT!AG308)), MATCH(1, INDEX(--(MONTH(CHOOSE({1,2,3,4}, XT!U308,XT!Y308,XT!AC308,XT!AG308))=5), 0), 0)), "")</f>
        <v/>
      </c>
      <c r="S308" s="12" t="str">
        <f>IF(XT!$P308&gt;0,R308,"")</f>
        <v/>
      </c>
      <c r="T308" s="12" t="str">
        <f>IF(XT!$P308=0,R308,"")</f>
        <v/>
      </c>
      <c r="U308">
        <f>SUMPRODUCT((MONTH(CHOOSE({1,2,3,4},XT!U308,XT!Y308,XT!AC308,XT!AG308))=6)*(CHOOSE({1,2,3,4},XT!X308,XT!AB308,XT!AF308,XT!AJ308)))</f>
        <v>0</v>
      </c>
      <c r="V308" t="str">
        <f>IFERROR(INDEX(CHOOSE({1,2,3,4}, DAY(XT!U308), DAY(XT!Y308), DAY(XT!AC308), DAY(XT!AG308)), MATCH(1, INDEX(--(MONTH(CHOOSE({1,2,3,4}, XT!U308,XT!Y308,XT!AC308,XT!AG308))=6), 0), 0)), "")</f>
        <v/>
      </c>
      <c r="W308" s="12" t="str">
        <f>IF(XT!$P308&gt;0,V308,"")</f>
        <v/>
      </c>
      <c r="X308" s="12" t="str">
        <f>IF(XT!$P308=0,V308,"")</f>
        <v/>
      </c>
      <c r="Y308">
        <f>SUMPRODUCT((MONTH(CHOOSE({1,2,3,4},XT!U308,XT!Y308,XT!AC308,XT!AG308))=7)*(CHOOSE({1,2,3,4},XT!X308,XT!AB308,XT!AF308,XT!AJ308)))</f>
        <v>0</v>
      </c>
      <c r="Z308" t="str">
        <f>IFERROR(INDEX(CHOOSE({1,2,3,4}, DAY(XT!U308), DAY(XT!Y308), DAY(XT!AC308), DAY(XT!AG308)), MATCH(1, INDEX(--(MONTH(CHOOSE({1,2,3,4}, XT!U308,XT!Y308,XT!AC308,XT!AG308))=7), 0), 0)), "")</f>
        <v/>
      </c>
      <c r="AA308" s="12" t="str">
        <f>IF(XT!$P308&gt;0,Z308,"")</f>
        <v/>
      </c>
      <c r="AB308" s="12" t="str">
        <f>IF(XT!$P308=0,Z308,"")</f>
        <v/>
      </c>
      <c r="AC308">
        <f>SUMPRODUCT((MONTH(CHOOSE({1,2,3,4},XT!U308,XT!Y308,XT!AC308,XT!AG308))=8)*(CHOOSE({1,2,3,4},XT!X308,XT!AB308,XT!AF308,XT!AJ308)))</f>
        <v>0</v>
      </c>
      <c r="AD308" t="str">
        <f>IFERROR(INDEX(CHOOSE({1,2,3,4}, DAY(XT!U308), DAY(XT!Y308), DAY(XT!AC308), DAY(XT!AG308)), MATCH(1, INDEX(--(MONTH(CHOOSE({1,2,3,4}, XT!U308,XT!Y308,XT!AC308,XT!AG308))=8), 0), 0)), "")</f>
        <v/>
      </c>
      <c r="AE308" s="12" t="str">
        <f>IF(XT!$P308&gt;0,AD308,"")</f>
        <v/>
      </c>
      <c r="AF308" s="12" t="str">
        <f>IF(XT!$P308=0,AD308,"")</f>
        <v/>
      </c>
      <c r="AG308">
        <f>SUMPRODUCT((MONTH(CHOOSE({1,2,3,4},XT!U308,XT!Y308,XT!AC308,XT!AG308))=9)*(CHOOSE({1,2,3,4},XT!X308,XT!AB308,XT!AF308,XT!AJ308)))</f>
        <v>0</v>
      </c>
      <c r="AH308" t="str">
        <f>IFERROR(INDEX(CHOOSE({1,2,3,4}, DAY(XT!U308), DAY(XT!Y308), DAY(XT!AC308), DAY(XT!AG308)), MATCH(1, INDEX(--(MONTH(CHOOSE({1,2,3,4}, XT!U308,XT!Y308,XT!AC308,XT!AG308))=9), 0), 0)), "")</f>
        <v/>
      </c>
      <c r="AI308" s="12" t="str">
        <f>IF(XT!$P308&gt;0,AH308,"")</f>
        <v/>
      </c>
      <c r="AJ308" s="12" t="str">
        <f>IF(XT!$P308=0,AH308,"")</f>
        <v/>
      </c>
      <c r="AK308">
        <f>SUMPRODUCT((MONTH(CHOOSE({1,2,3,4},XT!U308,XT!Y308,XT!AC308,XT!AG308))=10)*(CHOOSE({1,2,3,4},XT!X308,XT!AB308,XT!AF308,XT!AJ308)))</f>
        <v>0</v>
      </c>
      <c r="AL308" t="str">
        <f>IFERROR(INDEX(CHOOSE({1,2,3,4}, DAY(XT!U308), DAY(XT!Y308), DAY(XT!AC308), DAY(XT!AG308)), MATCH(1, INDEX(--(MONTH(CHOOSE({1,2,3,4}, XT!U308,XT!Y308,XT!AC308,XT!AG308))=10), 0), 0)), "")</f>
        <v/>
      </c>
      <c r="AM308" s="12" t="str">
        <f>IF(XT!$P308&gt;0,AL308,"")</f>
        <v/>
      </c>
      <c r="AN308" s="12" t="str">
        <f>IF(XT!$P308=0,AL308,"")</f>
        <v/>
      </c>
      <c r="AO308">
        <f>SUMPRODUCT((MONTH(CHOOSE({1,2,3,4},XT!U308,XT!Y308,XT!AC308,XT!AG308))=11)*(CHOOSE({1,2,3,4},XT!X308,XT!AB308,XT!AF308,XT!AJ308)))</f>
        <v>0</v>
      </c>
      <c r="AP308" t="str">
        <f>IFERROR(INDEX(CHOOSE({1,2,3,4}, DAY(XT!U308), DAY(XT!Y308), DAY(XT!AC308), DAY(XT!AG308)), MATCH(1, INDEX(--(MONTH(CHOOSE({1,2,3,4}, XT!U308,XT!Y308,XT!AC308,XT!AG308))=11), 0), 0)), "")</f>
        <v/>
      </c>
      <c r="AQ308" s="12" t="str">
        <f>IF(XT!$P308&gt;0,AP308,"")</f>
        <v/>
      </c>
      <c r="AR308" s="12" t="str">
        <f>IF(XT!$P308=0,AP308,"")</f>
        <v/>
      </c>
      <c r="AS308">
        <f>SUMPRODUCT((MONTH(CHOOSE({1,2,3,4},XT!U308,XT!Y308,XT!AC308,XT!AG308))=12)*(CHOOSE({1,2,3,4},XT!X308,XT!AB308,XT!AF308,XT!AJ308)))</f>
        <v>0</v>
      </c>
      <c r="AT308" t="str">
        <f>IFERROR(INDEX(CHOOSE({1,2,3,4}, DAY(XT!U308), DAY(XT!Y308), DAY(XT!AC308), DAY(XT!AG308)), MATCH(1, INDEX(--(MONTH(CHOOSE({1,2,3,4}, XT!U308,XT!Y308,XT!AC308,XT!AG308))=12), 0), 0)), "")</f>
        <v/>
      </c>
      <c r="AU308" s="12" t="str">
        <f>IF(XT!$P308&gt;0,AT308,"")</f>
        <v/>
      </c>
      <c r="AV308" s="12" t="str">
        <f>IF(XT!$P308=0,AT308,"")</f>
        <v/>
      </c>
    </row>
    <row r="309" spans="1:48">
      <c r="A309">
        <f>SUMPRODUCT((MONTH(CHOOSE({1,2,3,4},XT!U309,XT!Y309,XT!AC309,XT!AG309))=1)*(CHOOSE({1,2,3,4},XT!X309,XT!AB309,XT!AF309,XT!AJ309)))</f>
        <v>0</v>
      </c>
      <c r="B309">
        <f>IFERROR(INDEX(CHOOSE({1,2,3,4}, DAY(XT!U309), DAY(XT!Y309), DAY(XT!AC309), DAY(XT!AG309)), MATCH(1, INDEX(--(MONTH(CHOOSE({1,2,3,4}, XT!U309,XT!Y309,XT!AC309,XT!AG309))=1), 0), 0)), "")</f>
        <v>0</v>
      </c>
      <c r="C309" s="12" t="str">
        <f>IF(XT!$P309&gt;0,B309,"")</f>
        <v/>
      </c>
      <c r="D309" s="12">
        <f>IF(XT!$P309=0,B309,"")</f>
        <v>0</v>
      </c>
      <c r="E309">
        <f>SUMPRODUCT((MONTH(CHOOSE({1,2,3,4},XT!U309,XT!Y309,XT!AC309,XT!AG309))=2)*(CHOOSE({1,2,3,4},XT!X309,XT!AB309,XT!AF309,XT!AJ309)))</f>
        <v>0</v>
      </c>
      <c r="F309" t="str">
        <f>IFERROR(INDEX(CHOOSE({1,2,3,4}, DAY(XT!U309), DAY(XT!Y309), DAY(XT!AC309), DAY(XT!AG309)), MATCH(1, INDEX(--(MONTH(CHOOSE({1,2,3,4}, XT!U309,XT!Y309,XT!AC309,XT!AG309))=2), 0), 0)), "")</f>
        <v/>
      </c>
      <c r="G309" s="12" t="str">
        <f>IF(XT!$P309&gt;0,F309,"")</f>
        <v/>
      </c>
      <c r="H309" s="12" t="str">
        <f>IF(XT!$P309=0,F309,"")</f>
        <v/>
      </c>
      <c r="I309">
        <f>SUMPRODUCT((MONTH(CHOOSE({1,2,3,4},XT!U309,XT!Y309,XT!AC309,XT!AG309))=3)*(CHOOSE({1,2,3,4},XT!X309,XT!AB309,XT!AF309,XT!AJ309)))</f>
        <v>0</v>
      </c>
      <c r="J309" t="str">
        <f>IFERROR(INDEX(CHOOSE({1,2,3,4}, DAY(XT!U309), DAY(XT!Y309), DAY(XT!AC309), DAY(XT!AG309)), MATCH(1, INDEX(--(MONTH(CHOOSE({1,2,3,4}, XT!U309,XT!Y309,XT!AC309,XT!AG309))=3), 0), 0)), "")</f>
        <v/>
      </c>
      <c r="K309" s="12" t="str">
        <f>IF(XT!$P309&gt;0,J309,"")</f>
        <v/>
      </c>
      <c r="L309" s="12" t="str">
        <f>IF(XT!$P309=0,J309,"")</f>
        <v/>
      </c>
      <c r="M309">
        <f>SUMPRODUCT((MONTH(CHOOSE({1,2,3,4},XT!U309,XT!Y309,XT!AC309,XT!AG309))=4)*(CHOOSE({1,2,3,4},XT!X309,XT!AB309,XT!AF309,XT!AJ309)))</f>
        <v>0</v>
      </c>
      <c r="N309" t="str">
        <f>IFERROR(INDEX(CHOOSE({1,2,3,4}, DAY(XT!U309), DAY(XT!Y309), DAY(XT!AC309), DAY(XT!AG309)), MATCH(1, INDEX(--(MONTH(CHOOSE({1,2,3,4}, XT!U309,XT!Y309,XT!AC309,XT!AG309))=4), 0), 0)), "")</f>
        <v/>
      </c>
      <c r="O309" s="12" t="str">
        <f>IF(XT!$P309&gt;0,N309,"")</f>
        <v/>
      </c>
      <c r="P309" s="12" t="str">
        <f>IF(XT!$P309=0,N309,"")</f>
        <v/>
      </c>
      <c r="Q309">
        <f>SUMPRODUCT((MONTH(CHOOSE({1,2,3,4},XT!U309,XT!Y309,XT!AC309,XT!AG309))=5)*(CHOOSE({1,2,3,4},XT!X309,XT!AB309,XT!AF309,XT!AJ309)))</f>
        <v>0</v>
      </c>
      <c r="R309" t="str">
        <f>IFERROR(INDEX(CHOOSE({1,2,3,4}, DAY(XT!U309), DAY(XT!Y309), DAY(XT!AC309), DAY(XT!AG309)), MATCH(1, INDEX(--(MONTH(CHOOSE({1,2,3,4}, XT!U309,XT!Y309,XT!AC309,XT!AG309))=5), 0), 0)), "")</f>
        <v/>
      </c>
      <c r="S309" s="12" t="str">
        <f>IF(XT!$P309&gt;0,R309,"")</f>
        <v/>
      </c>
      <c r="T309" s="12" t="str">
        <f>IF(XT!$P309=0,R309,"")</f>
        <v/>
      </c>
      <c r="U309">
        <f>SUMPRODUCT((MONTH(CHOOSE({1,2,3,4},XT!U309,XT!Y309,XT!AC309,XT!AG309))=6)*(CHOOSE({1,2,3,4},XT!X309,XT!AB309,XT!AF309,XT!AJ309)))</f>
        <v>0</v>
      </c>
      <c r="V309" t="str">
        <f>IFERROR(INDEX(CHOOSE({1,2,3,4}, DAY(XT!U309), DAY(XT!Y309), DAY(XT!AC309), DAY(XT!AG309)), MATCH(1, INDEX(--(MONTH(CHOOSE({1,2,3,4}, XT!U309,XT!Y309,XT!AC309,XT!AG309))=6), 0), 0)), "")</f>
        <v/>
      </c>
      <c r="W309" s="12" t="str">
        <f>IF(XT!$P309&gt;0,V309,"")</f>
        <v/>
      </c>
      <c r="X309" s="12" t="str">
        <f>IF(XT!$P309=0,V309,"")</f>
        <v/>
      </c>
      <c r="Y309">
        <f>SUMPRODUCT((MONTH(CHOOSE({1,2,3,4},XT!U309,XT!Y309,XT!AC309,XT!AG309))=7)*(CHOOSE({1,2,3,4},XT!X309,XT!AB309,XT!AF309,XT!AJ309)))</f>
        <v>0</v>
      </c>
      <c r="Z309" t="str">
        <f>IFERROR(INDEX(CHOOSE({1,2,3,4}, DAY(XT!U309), DAY(XT!Y309), DAY(XT!AC309), DAY(XT!AG309)), MATCH(1, INDEX(--(MONTH(CHOOSE({1,2,3,4}, XT!U309,XT!Y309,XT!AC309,XT!AG309))=7), 0), 0)), "")</f>
        <v/>
      </c>
      <c r="AA309" s="12" t="str">
        <f>IF(XT!$P309&gt;0,Z309,"")</f>
        <v/>
      </c>
      <c r="AB309" s="12" t="str">
        <f>IF(XT!$P309=0,Z309,"")</f>
        <v/>
      </c>
      <c r="AC309">
        <f>SUMPRODUCT((MONTH(CHOOSE({1,2,3,4},XT!U309,XT!Y309,XT!AC309,XT!AG309))=8)*(CHOOSE({1,2,3,4},XT!X309,XT!AB309,XT!AF309,XT!AJ309)))</f>
        <v>0</v>
      </c>
      <c r="AD309" t="str">
        <f>IFERROR(INDEX(CHOOSE({1,2,3,4}, DAY(XT!U309), DAY(XT!Y309), DAY(XT!AC309), DAY(XT!AG309)), MATCH(1, INDEX(--(MONTH(CHOOSE({1,2,3,4}, XT!U309,XT!Y309,XT!AC309,XT!AG309))=8), 0), 0)), "")</f>
        <v/>
      </c>
      <c r="AE309" s="12" t="str">
        <f>IF(XT!$P309&gt;0,AD309,"")</f>
        <v/>
      </c>
      <c r="AF309" s="12" t="str">
        <f>IF(XT!$P309=0,AD309,"")</f>
        <v/>
      </c>
      <c r="AG309">
        <f>SUMPRODUCT((MONTH(CHOOSE({1,2,3,4},XT!U309,XT!Y309,XT!AC309,XT!AG309))=9)*(CHOOSE({1,2,3,4},XT!X309,XT!AB309,XT!AF309,XT!AJ309)))</f>
        <v>0</v>
      </c>
      <c r="AH309" t="str">
        <f>IFERROR(INDEX(CHOOSE({1,2,3,4}, DAY(XT!U309), DAY(XT!Y309), DAY(XT!AC309), DAY(XT!AG309)), MATCH(1, INDEX(--(MONTH(CHOOSE({1,2,3,4}, XT!U309,XT!Y309,XT!AC309,XT!AG309))=9), 0), 0)), "")</f>
        <v/>
      </c>
      <c r="AI309" s="12" t="str">
        <f>IF(XT!$P309&gt;0,AH309,"")</f>
        <v/>
      </c>
      <c r="AJ309" s="12" t="str">
        <f>IF(XT!$P309=0,AH309,"")</f>
        <v/>
      </c>
      <c r="AK309">
        <f>SUMPRODUCT((MONTH(CHOOSE({1,2,3,4},XT!U309,XT!Y309,XT!AC309,XT!AG309))=10)*(CHOOSE({1,2,3,4},XT!X309,XT!AB309,XT!AF309,XT!AJ309)))</f>
        <v>0</v>
      </c>
      <c r="AL309" t="str">
        <f>IFERROR(INDEX(CHOOSE({1,2,3,4}, DAY(XT!U309), DAY(XT!Y309), DAY(XT!AC309), DAY(XT!AG309)), MATCH(1, INDEX(--(MONTH(CHOOSE({1,2,3,4}, XT!U309,XT!Y309,XT!AC309,XT!AG309))=10), 0), 0)), "")</f>
        <v/>
      </c>
      <c r="AM309" s="12" t="str">
        <f>IF(XT!$P309&gt;0,AL309,"")</f>
        <v/>
      </c>
      <c r="AN309" s="12" t="str">
        <f>IF(XT!$P309=0,AL309,"")</f>
        <v/>
      </c>
      <c r="AO309">
        <f>SUMPRODUCT((MONTH(CHOOSE({1,2,3,4},XT!U309,XT!Y309,XT!AC309,XT!AG309))=11)*(CHOOSE({1,2,3,4},XT!X309,XT!AB309,XT!AF309,XT!AJ309)))</f>
        <v>0</v>
      </c>
      <c r="AP309" t="str">
        <f>IFERROR(INDEX(CHOOSE({1,2,3,4}, DAY(XT!U309), DAY(XT!Y309), DAY(XT!AC309), DAY(XT!AG309)), MATCH(1, INDEX(--(MONTH(CHOOSE({1,2,3,4}, XT!U309,XT!Y309,XT!AC309,XT!AG309))=11), 0), 0)), "")</f>
        <v/>
      </c>
      <c r="AQ309" s="12" t="str">
        <f>IF(XT!$P309&gt;0,AP309,"")</f>
        <v/>
      </c>
      <c r="AR309" s="12" t="str">
        <f>IF(XT!$P309=0,AP309,"")</f>
        <v/>
      </c>
      <c r="AS309">
        <f>SUMPRODUCT((MONTH(CHOOSE({1,2,3,4},XT!U309,XT!Y309,XT!AC309,XT!AG309))=12)*(CHOOSE({1,2,3,4},XT!X309,XT!AB309,XT!AF309,XT!AJ309)))</f>
        <v>0</v>
      </c>
      <c r="AT309" t="str">
        <f>IFERROR(INDEX(CHOOSE({1,2,3,4}, DAY(XT!U309), DAY(XT!Y309), DAY(XT!AC309), DAY(XT!AG309)), MATCH(1, INDEX(--(MONTH(CHOOSE({1,2,3,4}, XT!U309,XT!Y309,XT!AC309,XT!AG309))=12), 0), 0)), "")</f>
        <v/>
      </c>
      <c r="AU309" s="12" t="str">
        <f>IF(XT!$P309&gt;0,AT309,"")</f>
        <v/>
      </c>
      <c r="AV309" s="12" t="str">
        <f>IF(XT!$P309=0,AT309,"")</f>
        <v/>
      </c>
    </row>
    <row r="310" spans="1:48">
      <c r="A310">
        <f>SUMPRODUCT((MONTH(CHOOSE({1,2,3,4},XT!U310,XT!Y310,XT!AC310,XT!AG310))=1)*(CHOOSE({1,2,3,4},XT!X310,XT!AB310,XT!AF310,XT!AJ310)))</f>
        <v>0</v>
      </c>
      <c r="B310">
        <f>IFERROR(INDEX(CHOOSE({1,2,3,4}, DAY(XT!U310), DAY(XT!Y310), DAY(XT!AC310), DAY(XT!AG310)), MATCH(1, INDEX(--(MONTH(CHOOSE({1,2,3,4}, XT!U310,XT!Y310,XT!AC310,XT!AG310))=1), 0), 0)), "")</f>
        <v>0</v>
      </c>
      <c r="C310" s="12" t="str">
        <f>IF(XT!$P310&gt;0,B310,"")</f>
        <v/>
      </c>
      <c r="D310" s="12">
        <f>IF(XT!$P310=0,B310,"")</f>
        <v>0</v>
      </c>
      <c r="E310">
        <f>SUMPRODUCT((MONTH(CHOOSE({1,2,3,4},XT!U310,XT!Y310,XT!AC310,XT!AG310))=2)*(CHOOSE({1,2,3,4},XT!X310,XT!AB310,XT!AF310,XT!AJ310)))</f>
        <v>0</v>
      </c>
      <c r="F310" t="str">
        <f>IFERROR(INDEX(CHOOSE({1,2,3,4}, DAY(XT!U310), DAY(XT!Y310), DAY(XT!AC310), DAY(XT!AG310)), MATCH(1, INDEX(--(MONTH(CHOOSE({1,2,3,4}, XT!U310,XT!Y310,XT!AC310,XT!AG310))=2), 0), 0)), "")</f>
        <v/>
      </c>
      <c r="G310" s="12" t="str">
        <f>IF(XT!$P310&gt;0,F310,"")</f>
        <v/>
      </c>
      <c r="H310" s="12" t="str">
        <f>IF(XT!$P310=0,F310,"")</f>
        <v/>
      </c>
      <c r="I310">
        <f>SUMPRODUCT((MONTH(CHOOSE({1,2,3,4},XT!U310,XT!Y310,XT!AC310,XT!AG310))=3)*(CHOOSE({1,2,3,4},XT!X310,XT!AB310,XT!AF310,XT!AJ310)))</f>
        <v>0</v>
      </c>
      <c r="J310" t="str">
        <f>IFERROR(INDEX(CHOOSE({1,2,3,4}, DAY(XT!U310), DAY(XT!Y310), DAY(XT!AC310), DAY(XT!AG310)), MATCH(1, INDEX(--(MONTH(CHOOSE({1,2,3,4}, XT!U310,XT!Y310,XT!AC310,XT!AG310))=3), 0), 0)), "")</f>
        <v/>
      </c>
      <c r="K310" s="12" t="str">
        <f>IF(XT!$P310&gt;0,J310,"")</f>
        <v/>
      </c>
      <c r="L310" s="12" t="str">
        <f>IF(XT!$P310=0,J310,"")</f>
        <v/>
      </c>
      <c r="M310">
        <f>SUMPRODUCT((MONTH(CHOOSE({1,2,3,4},XT!U310,XT!Y310,XT!AC310,XT!AG310))=4)*(CHOOSE({1,2,3,4},XT!X310,XT!AB310,XT!AF310,XT!AJ310)))</f>
        <v>0</v>
      </c>
      <c r="N310" t="str">
        <f>IFERROR(INDEX(CHOOSE({1,2,3,4}, DAY(XT!U310), DAY(XT!Y310), DAY(XT!AC310), DAY(XT!AG310)), MATCH(1, INDEX(--(MONTH(CHOOSE({1,2,3,4}, XT!U310,XT!Y310,XT!AC310,XT!AG310))=4), 0), 0)), "")</f>
        <v/>
      </c>
      <c r="O310" s="12" t="str">
        <f>IF(XT!$P310&gt;0,N310,"")</f>
        <v/>
      </c>
      <c r="P310" s="12" t="str">
        <f>IF(XT!$P310=0,N310,"")</f>
        <v/>
      </c>
      <c r="Q310">
        <f>SUMPRODUCT((MONTH(CHOOSE({1,2,3,4},XT!U310,XT!Y310,XT!AC310,XT!AG310))=5)*(CHOOSE({1,2,3,4},XT!X310,XT!AB310,XT!AF310,XT!AJ310)))</f>
        <v>0</v>
      </c>
      <c r="R310" t="str">
        <f>IFERROR(INDEX(CHOOSE({1,2,3,4}, DAY(XT!U310), DAY(XT!Y310), DAY(XT!AC310), DAY(XT!AG310)), MATCH(1, INDEX(--(MONTH(CHOOSE({1,2,3,4}, XT!U310,XT!Y310,XT!AC310,XT!AG310))=5), 0), 0)), "")</f>
        <v/>
      </c>
      <c r="S310" s="12" t="str">
        <f>IF(XT!$P310&gt;0,R310,"")</f>
        <v/>
      </c>
      <c r="T310" s="12" t="str">
        <f>IF(XT!$P310=0,R310,"")</f>
        <v/>
      </c>
      <c r="U310">
        <f>SUMPRODUCT((MONTH(CHOOSE({1,2,3,4},XT!U310,XT!Y310,XT!AC310,XT!AG310))=6)*(CHOOSE({1,2,3,4},XT!X310,XT!AB310,XT!AF310,XT!AJ310)))</f>
        <v>0</v>
      </c>
      <c r="V310" t="str">
        <f>IFERROR(INDEX(CHOOSE({1,2,3,4}, DAY(XT!U310), DAY(XT!Y310), DAY(XT!AC310), DAY(XT!AG310)), MATCH(1, INDEX(--(MONTH(CHOOSE({1,2,3,4}, XT!U310,XT!Y310,XT!AC310,XT!AG310))=6), 0), 0)), "")</f>
        <v/>
      </c>
      <c r="W310" s="12" t="str">
        <f>IF(XT!$P310&gt;0,V310,"")</f>
        <v/>
      </c>
      <c r="X310" s="12" t="str">
        <f>IF(XT!$P310=0,V310,"")</f>
        <v/>
      </c>
      <c r="Y310">
        <f>SUMPRODUCT((MONTH(CHOOSE({1,2,3,4},XT!U310,XT!Y310,XT!AC310,XT!AG310))=7)*(CHOOSE({1,2,3,4},XT!X310,XT!AB310,XT!AF310,XT!AJ310)))</f>
        <v>0</v>
      </c>
      <c r="Z310" t="str">
        <f>IFERROR(INDEX(CHOOSE({1,2,3,4}, DAY(XT!U310), DAY(XT!Y310), DAY(XT!AC310), DAY(XT!AG310)), MATCH(1, INDEX(--(MONTH(CHOOSE({1,2,3,4}, XT!U310,XT!Y310,XT!AC310,XT!AG310))=7), 0), 0)), "")</f>
        <v/>
      </c>
      <c r="AA310" s="12" t="str">
        <f>IF(XT!$P310&gt;0,Z310,"")</f>
        <v/>
      </c>
      <c r="AB310" s="12" t="str">
        <f>IF(XT!$P310=0,Z310,"")</f>
        <v/>
      </c>
      <c r="AC310">
        <f>SUMPRODUCT((MONTH(CHOOSE({1,2,3,4},XT!U310,XT!Y310,XT!AC310,XT!AG310))=8)*(CHOOSE({1,2,3,4},XT!X310,XT!AB310,XT!AF310,XT!AJ310)))</f>
        <v>0</v>
      </c>
      <c r="AD310" t="str">
        <f>IFERROR(INDEX(CHOOSE({1,2,3,4}, DAY(XT!U310), DAY(XT!Y310), DAY(XT!AC310), DAY(XT!AG310)), MATCH(1, INDEX(--(MONTH(CHOOSE({1,2,3,4}, XT!U310,XT!Y310,XT!AC310,XT!AG310))=8), 0), 0)), "")</f>
        <v/>
      </c>
      <c r="AE310" s="12" t="str">
        <f>IF(XT!$P310&gt;0,AD310,"")</f>
        <v/>
      </c>
      <c r="AF310" s="12" t="str">
        <f>IF(XT!$P310=0,AD310,"")</f>
        <v/>
      </c>
      <c r="AG310">
        <f>SUMPRODUCT((MONTH(CHOOSE({1,2,3,4},XT!U310,XT!Y310,XT!AC310,XT!AG310))=9)*(CHOOSE({1,2,3,4},XT!X310,XT!AB310,XT!AF310,XT!AJ310)))</f>
        <v>0</v>
      </c>
      <c r="AH310" t="str">
        <f>IFERROR(INDEX(CHOOSE({1,2,3,4}, DAY(XT!U310), DAY(XT!Y310), DAY(XT!AC310), DAY(XT!AG310)), MATCH(1, INDEX(--(MONTH(CHOOSE({1,2,3,4}, XT!U310,XT!Y310,XT!AC310,XT!AG310))=9), 0), 0)), "")</f>
        <v/>
      </c>
      <c r="AI310" s="12" t="str">
        <f>IF(XT!$P310&gt;0,AH310,"")</f>
        <v/>
      </c>
      <c r="AJ310" s="12" t="str">
        <f>IF(XT!$P310=0,AH310,"")</f>
        <v/>
      </c>
      <c r="AK310">
        <f>SUMPRODUCT((MONTH(CHOOSE({1,2,3,4},XT!U310,XT!Y310,XT!AC310,XT!AG310))=10)*(CHOOSE({1,2,3,4},XT!X310,XT!AB310,XT!AF310,XT!AJ310)))</f>
        <v>0</v>
      </c>
      <c r="AL310" t="str">
        <f>IFERROR(INDEX(CHOOSE({1,2,3,4}, DAY(XT!U310), DAY(XT!Y310), DAY(XT!AC310), DAY(XT!AG310)), MATCH(1, INDEX(--(MONTH(CHOOSE({1,2,3,4}, XT!U310,XT!Y310,XT!AC310,XT!AG310))=10), 0), 0)), "")</f>
        <v/>
      </c>
      <c r="AM310" s="12" t="str">
        <f>IF(XT!$P310&gt;0,AL310,"")</f>
        <v/>
      </c>
      <c r="AN310" s="12" t="str">
        <f>IF(XT!$P310=0,AL310,"")</f>
        <v/>
      </c>
      <c r="AO310">
        <f>SUMPRODUCT((MONTH(CHOOSE({1,2,3,4},XT!U310,XT!Y310,XT!AC310,XT!AG310))=11)*(CHOOSE({1,2,3,4},XT!X310,XT!AB310,XT!AF310,XT!AJ310)))</f>
        <v>0</v>
      </c>
      <c r="AP310" t="str">
        <f>IFERROR(INDEX(CHOOSE({1,2,3,4}, DAY(XT!U310), DAY(XT!Y310), DAY(XT!AC310), DAY(XT!AG310)), MATCH(1, INDEX(--(MONTH(CHOOSE({1,2,3,4}, XT!U310,XT!Y310,XT!AC310,XT!AG310))=11), 0), 0)), "")</f>
        <v/>
      </c>
      <c r="AQ310" s="12" t="str">
        <f>IF(XT!$P310&gt;0,AP310,"")</f>
        <v/>
      </c>
      <c r="AR310" s="12" t="str">
        <f>IF(XT!$P310=0,AP310,"")</f>
        <v/>
      </c>
      <c r="AS310">
        <f>SUMPRODUCT((MONTH(CHOOSE({1,2,3,4},XT!U310,XT!Y310,XT!AC310,XT!AG310))=12)*(CHOOSE({1,2,3,4},XT!X310,XT!AB310,XT!AF310,XT!AJ310)))</f>
        <v>0</v>
      </c>
      <c r="AT310" t="str">
        <f>IFERROR(INDEX(CHOOSE({1,2,3,4}, DAY(XT!U310), DAY(XT!Y310), DAY(XT!AC310), DAY(XT!AG310)), MATCH(1, INDEX(--(MONTH(CHOOSE({1,2,3,4}, XT!U310,XT!Y310,XT!AC310,XT!AG310))=12), 0), 0)), "")</f>
        <v/>
      </c>
      <c r="AU310" s="12" t="str">
        <f>IF(XT!$P310&gt;0,AT310,"")</f>
        <v/>
      </c>
      <c r="AV310" s="12" t="str">
        <f>IF(XT!$P310=0,AT310,"")</f>
        <v/>
      </c>
    </row>
    <row r="311" spans="1:48">
      <c r="A311">
        <f>SUMPRODUCT((MONTH(CHOOSE({1,2,3,4},XT!U311,XT!Y311,XT!AC311,XT!AG311))=1)*(CHOOSE({1,2,3,4},XT!X311,XT!AB311,XT!AF311,XT!AJ311)))</f>
        <v>0</v>
      </c>
      <c r="B311">
        <f>IFERROR(INDEX(CHOOSE({1,2,3,4}, DAY(XT!U311), DAY(XT!Y311), DAY(XT!AC311), DAY(XT!AG311)), MATCH(1, INDEX(--(MONTH(CHOOSE({1,2,3,4}, XT!U311,XT!Y311,XT!AC311,XT!AG311))=1), 0), 0)), "")</f>
        <v>0</v>
      </c>
      <c r="C311" s="12" t="str">
        <f>IF(XT!$P311&gt;0,B311,"")</f>
        <v/>
      </c>
      <c r="D311" s="12">
        <f>IF(XT!$P311=0,B311,"")</f>
        <v>0</v>
      </c>
      <c r="E311">
        <f>SUMPRODUCT((MONTH(CHOOSE({1,2,3,4},XT!U311,XT!Y311,XT!AC311,XT!AG311))=2)*(CHOOSE({1,2,3,4},XT!X311,XT!AB311,XT!AF311,XT!AJ311)))</f>
        <v>0</v>
      </c>
      <c r="F311" t="str">
        <f>IFERROR(INDEX(CHOOSE({1,2,3,4}, DAY(XT!U311), DAY(XT!Y311), DAY(XT!AC311), DAY(XT!AG311)), MATCH(1, INDEX(--(MONTH(CHOOSE({1,2,3,4}, XT!U311,XT!Y311,XT!AC311,XT!AG311))=2), 0), 0)), "")</f>
        <v/>
      </c>
      <c r="G311" s="12" t="str">
        <f>IF(XT!$P311&gt;0,F311,"")</f>
        <v/>
      </c>
      <c r="H311" s="12" t="str">
        <f>IF(XT!$P311=0,F311,"")</f>
        <v/>
      </c>
      <c r="I311">
        <f>SUMPRODUCT((MONTH(CHOOSE({1,2,3,4},XT!U311,XT!Y311,XT!AC311,XT!AG311))=3)*(CHOOSE({1,2,3,4},XT!X311,XT!AB311,XT!AF311,XT!AJ311)))</f>
        <v>0</v>
      </c>
      <c r="J311" t="str">
        <f>IFERROR(INDEX(CHOOSE({1,2,3,4}, DAY(XT!U311), DAY(XT!Y311), DAY(XT!AC311), DAY(XT!AG311)), MATCH(1, INDEX(--(MONTH(CHOOSE({1,2,3,4}, XT!U311,XT!Y311,XT!AC311,XT!AG311))=3), 0), 0)), "")</f>
        <v/>
      </c>
      <c r="K311" s="12" t="str">
        <f>IF(XT!$P311&gt;0,J311,"")</f>
        <v/>
      </c>
      <c r="L311" s="12" t="str">
        <f>IF(XT!$P311=0,J311,"")</f>
        <v/>
      </c>
      <c r="M311">
        <f>SUMPRODUCT((MONTH(CHOOSE({1,2,3,4},XT!U311,XT!Y311,XT!AC311,XT!AG311))=4)*(CHOOSE({1,2,3,4},XT!X311,XT!AB311,XT!AF311,XT!AJ311)))</f>
        <v>0</v>
      </c>
      <c r="N311" t="str">
        <f>IFERROR(INDEX(CHOOSE({1,2,3,4}, DAY(XT!U311), DAY(XT!Y311), DAY(XT!AC311), DAY(XT!AG311)), MATCH(1, INDEX(--(MONTH(CHOOSE({1,2,3,4}, XT!U311,XT!Y311,XT!AC311,XT!AG311))=4), 0), 0)), "")</f>
        <v/>
      </c>
      <c r="O311" s="12" t="str">
        <f>IF(XT!$P311&gt;0,N311,"")</f>
        <v/>
      </c>
      <c r="P311" s="12" t="str">
        <f>IF(XT!$P311=0,N311,"")</f>
        <v/>
      </c>
      <c r="Q311">
        <f>SUMPRODUCT((MONTH(CHOOSE({1,2,3,4},XT!U311,XT!Y311,XT!AC311,XT!AG311))=5)*(CHOOSE({1,2,3,4},XT!X311,XT!AB311,XT!AF311,XT!AJ311)))</f>
        <v>0</v>
      </c>
      <c r="R311" t="str">
        <f>IFERROR(INDEX(CHOOSE({1,2,3,4}, DAY(XT!U311), DAY(XT!Y311), DAY(XT!AC311), DAY(XT!AG311)), MATCH(1, INDEX(--(MONTH(CHOOSE({1,2,3,4}, XT!U311,XT!Y311,XT!AC311,XT!AG311))=5), 0), 0)), "")</f>
        <v/>
      </c>
      <c r="S311" s="12" t="str">
        <f>IF(XT!$P311&gt;0,R311,"")</f>
        <v/>
      </c>
      <c r="T311" s="12" t="str">
        <f>IF(XT!$P311=0,R311,"")</f>
        <v/>
      </c>
      <c r="U311">
        <f>SUMPRODUCT((MONTH(CHOOSE({1,2,3,4},XT!U311,XT!Y311,XT!AC311,XT!AG311))=6)*(CHOOSE({1,2,3,4},XT!X311,XT!AB311,XT!AF311,XT!AJ311)))</f>
        <v>0</v>
      </c>
      <c r="V311" t="str">
        <f>IFERROR(INDEX(CHOOSE({1,2,3,4}, DAY(XT!U311), DAY(XT!Y311), DAY(XT!AC311), DAY(XT!AG311)), MATCH(1, INDEX(--(MONTH(CHOOSE({1,2,3,4}, XT!U311,XT!Y311,XT!AC311,XT!AG311))=6), 0), 0)), "")</f>
        <v/>
      </c>
      <c r="W311" s="12" t="str">
        <f>IF(XT!$P311&gt;0,V311,"")</f>
        <v/>
      </c>
      <c r="X311" s="12" t="str">
        <f>IF(XT!$P311=0,V311,"")</f>
        <v/>
      </c>
      <c r="Y311">
        <f>SUMPRODUCT((MONTH(CHOOSE({1,2,3,4},XT!U311,XT!Y311,XT!AC311,XT!AG311))=7)*(CHOOSE({1,2,3,4},XT!X311,XT!AB311,XT!AF311,XT!AJ311)))</f>
        <v>0</v>
      </c>
      <c r="Z311" t="str">
        <f>IFERROR(INDEX(CHOOSE({1,2,3,4}, DAY(XT!U311), DAY(XT!Y311), DAY(XT!AC311), DAY(XT!AG311)), MATCH(1, INDEX(--(MONTH(CHOOSE({1,2,3,4}, XT!U311,XT!Y311,XT!AC311,XT!AG311))=7), 0), 0)), "")</f>
        <v/>
      </c>
      <c r="AA311" s="12" t="str">
        <f>IF(XT!$P311&gt;0,Z311,"")</f>
        <v/>
      </c>
      <c r="AB311" s="12" t="str">
        <f>IF(XT!$P311=0,Z311,"")</f>
        <v/>
      </c>
      <c r="AC311">
        <f>SUMPRODUCT((MONTH(CHOOSE({1,2,3,4},XT!U311,XT!Y311,XT!AC311,XT!AG311))=8)*(CHOOSE({1,2,3,4},XT!X311,XT!AB311,XT!AF311,XT!AJ311)))</f>
        <v>0</v>
      </c>
      <c r="AD311" t="str">
        <f>IFERROR(INDEX(CHOOSE({1,2,3,4}, DAY(XT!U311), DAY(XT!Y311), DAY(XT!AC311), DAY(XT!AG311)), MATCH(1, INDEX(--(MONTH(CHOOSE({1,2,3,4}, XT!U311,XT!Y311,XT!AC311,XT!AG311))=8), 0), 0)), "")</f>
        <v/>
      </c>
      <c r="AE311" s="12" t="str">
        <f>IF(XT!$P311&gt;0,AD311,"")</f>
        <v/>
      </c>
      <c r="AF311" s="12" t="str">
        <f>IF(XT!$P311=0,AD311,"")</f>
        <v/>
      </c>
      <c r="AG311">
        <f>SUMPRODUCT((MONTH(CHOOSE({1,2,3,4},XT!U311,XT!Y311,XT!AC311,XT!AG311))=9)*(CHOOSE({1,2,3,4},XT!X311,XT!AB311,XT!AF311,XT!AJ311)))</f>
        <v>0</v>
      </c>
      <c r="AH311" t="str">
        <f>IFERROR(INDEX(CHOOSE({1,2,3,4}, DAY(XT!U311), DAY(XT!Y311), DAY(XT!AC311), DAY(XT!AG311)), MATCH(1, INDEX(--(MONTH(CHOOSE({1,2,3,4}, XT!U311,XT!Y311,XT!AC311,XT!AG311))=9), 0), 0)), "")</f>
        <v/>
      </c>
      <c r="AI311" s="12" t="str">
        <f>IF(XT!$P311&gt;0,AH311,"")</f>
        <v/>
      </c>
      <c r="AJ311" s="12" t="str">
        <f>IF(XT!$P311=0,AH311,"")</f>
        <v/>
      </c>
      <c r="AK311">
        <f>SUMPRODUCT((MONTH(CHOOSE({1,2,3,4},XT!U311,XT!Y311,XT!AC311,XT!AG311))=10)*(CHOOSE({1,2,3,4},XT!X311,XT!AB311,XT!AF311,XT!AJ311)))</f>
        <v>0</v>
      </c>
      <c r="AL311" t="str">
        <f>IFERROR(INDEX(CHOOSE({1,2,3,4}, DAY(XT!U311), DAY(XT!Y311), DAY(XT!AC311), DAY(XT!AG311)), MATCH(1, INDEX(--(MONTH(CHOOSE({1,2,3,4}, XT!U311,XT!Y311,XT!AC311,XT!AG311))=10), 0), 0)), "")</f>
        <v/>
      </c>
      <c r="AM311" s="12" t="str">
        <f>IF(XT!$P311&gt;0,AL311,"")</f>
        <v/>
      </c>
      <c r="AN311" s="12" t="str">
        <f>IF(XT!$P311=0,AL311,"")</f>
        <v/>
      </c>
      <c r="AO311">
        <f>SUMPRODUCT((MONTH(CHOOSE({1,2,3,4},XT!U311,XT!Y311,XT!AC311,XT!AG311))=11)*(CHOOSE({1,2,3,4},XT!X311,XT!AB311,XT!AF311,XT!AJ311)))</f>
        <v>0</v>
      </c>
      <c r="AP311" t="str">
        <f>IFERROR(INDEX(CHOOSE({1,2,3,4}, DAY(XT!U311), DAY(XT!Y311), DAY(XT!AC311), DAY(XT!AG311)), MATCH(1, INDEX(--(MONTH(CHOOSE({1,2,3,4}, XT!U311,XT!Y311,XT!AC311,XT!AG311))=11), 0), 0)), "")</f>
        <v/>
      </c>
      <c r="AQ311" s="12" t="str">
        <f>IF(XT!$P311&gt;0,AP311,"")</f>
        <v/>
      </c>
      <c r="AR311" s="12" t="str">
        <f>IF(XT!$P311=0,AP311,"")</f>
        <v/>
      </c>
      <c r="AS311">
        <f>SUMPRODUCT((MONTH(CHOOSE({1,2,3,4},XT!U311,XT!Y311,XT!AC311,XT!AG311))=12)*(CHOOSE({1,2,3,4},XT!X311,XT!AB311,XT!AF311,XT!AJ311)))</f>
        <v>0</v>
      </c>
      <c r="AT311" t="str">
        <f>IFERROR(INDEX(CHOOSE({1,2,3,4}, DAY(XT!U311), DAY(XT!Y311), DAY(XT!AC311), DAY(XT!AG311)), MATCH(1, INDEX(--(MONTH(CHOOSE({1,2,3,4}, XT!U311,XT!Y311,XT!AC311,XT!AG311))=12), 0), 0)), "")</f>
        <v/>
      </c>
      <c r="AU311" s="12" t="str">
        <f>IF(XT!$P311&gt;0,AT311,"")</f>
        <v/>
      </c>
      <c r="AV311" s="12" t="str">
        <f>IF(XT!$P311=0,AT311,"")</f>
        <v/>
      </c>
    </row>
    <row r="312" spans="1:48">
      <c r="A312">
        <f>SUMPRODUCT((MONTH(CHOOSE({1,2,3,4},XT!U312,XT!Y312,XT!AC312,XT!AG312))=1)*(CHOOSE({1,2,3,4},XT!X312,XT!AB312,XT!AF312,XT!AJ312)))</f>
        <v>0</v>
      </c>
      <c r="B312">
        <f>IFERROR(INDEX(CHOOSE({1,2,3,4}, DAY(XT!U312), DAY(XT!Y312), DAY(XT!AC312), DAY(XT!AG312)), MATCH(1, INDEX(--(MONTH(CHOOSE({1,2,3,4}, XT!U312,XT!Y312,XT!AC312,XT!AG312))=1), 0), 0)), "")</f>
        <v>0</v>
      </c>
      <c r="C312" s="12" t="str">
        <f>IF(XT!$P312&gt;0,B312,"")</f>
        <v/>
      </c>
      <c r="D312" s="12">
        <f>IF(XT!$P312=0,B312,"")</f>
        <v>0</v>
      </c>
      <c r="E312">
        <f>SUMPRODUCT((MONTH(CHOOSE({1,2,3,4},XT!U312,XT!Y312,XT!AC312,XT!AG312))=2)*(CHOOSE({1,2,3,4},XT!X312,XT!AB312,XT!AF312,XT!AJ312)))</f>
        <v>0</v>
      </c>
      <c r="F312" t="str">
        <f>IFERROR(INDEX(CHOOSE({1,2,3,4}, DAY(XT!U312), DAY(XT!Y312), DAY(XT!AC312), DAY(XT!AG312)), MATCH(1, INDEX(--(MONTH(CHOOSE({1,2,3,4}, XT!U312,XT!Y312,XT!AC312,XT!AG312))=2), 0), 0)), "")</f>
        <v/>
      </c>
      <c r="G312" s="12" t="str">
        <f>IF(XT!$P312&gt;0,F312,"")</f>
        <v/>
      </c>
      <c r="H312" s="12" t="str">
        <f>IF(XT!$P312=0,F312,"")</f>
        <v/>
      </c>
      <c r="I312">
        <f>SUMPRODUCT((MONTH(CHOOSE({1,2,3,4},XT!U312,XT!Y312,XT!AC312,XT!AG312))=3)*(CHOOSE({1,2,3,4},XT!X312,XT!AB312,XT!AF312,XT!AJ312)))</f>
        <v>0</v>
      </c>
      <c r="J312" t="str">
        <f>IFERROR(INDEX(CHOOSE({1,2,3,4}, DAY(XT!U312), DAY(XT!Y312), DAY(XT!AC312), DAY(XT!AG312)), MATCH(1, INDEX(--(MONTH(CHOOSE({1,2,3,4}, XT!U312,XT!Y312,XT!AC312,XT!AG312))=3), 0), 0)), "")</f>
        <v/>
      </c>
      <c r="K312" s="12" t="str">
        <f>IF(XT!$P312&gt;0,J312,"")</f>
        <v/>
      </c>
      <c r="L312" s="12" t="str">
        <f>IF(XT!$P312=0,J312,"")</f>
        <v/>
      </c>
      <c r="M312">
        <f>SUMPRODUCT((MONTH(CHOOSE({1,2,3,4},XT!U312,XT!Y312,XT!AC312,XT!AG312))=4)*(CHOOSE({1,2,3,4},XT!X312,XT!AB312,XT!AF312,XT!AJ312)))</f>
        <v>0</v>
      </c>
      <c r="N312" t="str">
        <f>IFERROR(INDEX(CHOOSE({1,2,3,4}, DAY(XT!U312), DAY(XT!Y312), DAY(XT!AC312), DAY(XT!AG312)), MATCH(1, INDEX(--(MONTH(CHOOSE({1,2,3,4}, XT!U312,XT!Y312,XT!AC312,XT!AG312))=4), 0), 0)), "")</f>
        <v/>
      </c>
      <c r="O312" s="12" t="str">
        <f>IF(XT!$P312&gt;0,N312,"")</f>
        <v/>
      </c>
      <c r="P312" s="12" t="str">
        <f>IF(XT!$P312=0,N312,"")</f>
        <v/>
      </c>
      <c r="Q312">
        <f>SUMPRODUCT((MONTH(CHOOSE({1,2,3,4},XT!U312,XT!Y312,XT!AC312,XT!AG312))=5)*(CHOOSE({1,2,3,4},XT!X312,XT!AB312,XT!AF312,XT!AJ312)))</f>
        <v>0</v>
      </c>
      <c r="R312" t="str">
        <f>IFERROR(INDEX(CHOOSE({1,2,3,4}, DAY(XT!U312), DAY(XT!Y312), DAY(XT!AC312), DAY(XT!AG312)), MATCH(1, INDEX(--(MONTH(CHOOSE({1,2,3,4}, XT!U312,XT!Y312,XT!AC312,XT!AG312))=5), 0), 0)), "")</f>
        <v/>
      </c>
      <c r="S312" s="12" t="str">
        <f>IF(XT!$P312&gt;0,R312,"")</f>
        <v/>
      </c>
      <c r="T312" s="12" t="str">
        <f>IF(XT!$P312=0,R312,"")</f>
        <v/>
      </c>
      <c r="U312">
        <f>SUMPRODUCT((MONTH(CHOOSE({1,2,3,4},XT!U312,XT!Y312,XT!AC312,XT!AG312))=6)*(CHOOSE({1,2,3,4},XT!X312,XT!AB312,XT!AF312,XT!AJ312)))</f>
        <v>0</v>
      </c>
      <c r="V312" t="str">
        <f>IFERROR(INDEX(CHOOSE({1,2,3,4}, DAY(XT!U312), DAY(XT!Y312), DAY(XT!AC312), DAY(XT!AG312)), MATCH(1, INDEX(--(MONTH(CHOOSE({1,2,3,4}, XT!U312,XT!Y312,XT!AC312,XT!AG312))=6), 0), 0)), "")</f>
        <v/>
      </c>
      <c r="W312" s="12" t="str">
        <f>IF(XT!$P312&gt;0,V312,"")</f>
        <v/>
      </c>
      <c r="X312" s="12" t="str">
        <f>IF(XT!$P312=0,V312,"")</f>
        <v/>
      </c>
      <c r="Y312">
        <f>SUMPRODUCT((MONTH(CHOOSE({1,2,3,4},XT!U312,XT!Y312,XT!AC312,XT!AG312))=7)*(CHOOSE({1,2,3,4},XT!X312,XT!AB312,XT!AF312,XT!AJ312)))</f>
        <v>0</v>
      </c>
      <c r="Z312" t="str">
        <f>IFERROR(INDEX(CHOOSE({1,2,3,4}, DAY(XT!U312), DAY(XT!Y312), DAY(XT!AC312), DAY(XT!AG312)), MATCH(1, INDEX(--(MONTH(CHOOSE({1,2,3,4}, XT!U312,XT!Y312,XT!AC312,XT!AG312))=7), 0), 0)), "")</f>
        <v/>
      </c>
      <c r="AA312" s="12" t="str">
        <f>IF(XT!$P312&gt;0,Z312,"")</f>
        <v/>
      </c>
      <c r="AB312" s="12" t="str">
        <f>IF(XT!$P312=0,Z312,"")</f>
        <v/>
      </c>
      <c r="AC312">
        <f>SUMPRODUCT((MONTH(CHOOSE({1,2,3,4},XT!U312,XT!Y312,XT!AC312,XT!AG312))=8)*(CHOOSE({1,2,3,4},XT!X312,XT!AB312,XT!AF312,XT!AJ312)))</f>
        <v>0</v>
      </c>
      <c r="AD312" t="str">
        <f>IFERROR(INDEX(CHOOSE({1,2,3,4}, DAY(XT!U312), DAY(XT!Y312), DAY(XT!AC312), DAY(XT!AG312)), MATCH(1, INDEX(--(MONTH(CHOOSE({1,2,3,4}, XT!U312,XT!Y312,XT!AC312,XT!AG312))=8), 0), 0)), "")</f>
        <v/>
      </c>
      <c r="AE312" s="12" t="str">
        <f>IF(XT!$P312&gt;0,AD312,"")</f>
        <v/>
      </c>
      <c r="AF312" s="12" t="str">
        <f>IF(XT!$P312=0,AD312,"")</f>
        <v/>
      </c>
      <c r="AG312">
        <f>SUMPRODUCT((MONTH(CHOOSE({1,2,3,4},XT!U312,XT!Y312,XT!AC312,XT!AG312))=9)*(CHOOSE({1,2,3,4},XT!X312,XT!AB312,XT!AF312,XT!AJ312)))</f>
        <v>0</v>
      </c>
      <c r="AH312" t="str">
        <f>IFERROR(INDEX(CHOOSE({1,2,3,4}, DAY(XT!U312), DAY(XT!Y312), DAY(XT!AC312), DAY(XT!AG312)), MATCH(1, INDEX(--(MONTH(CHOOSE({1,2,3,4}, XT!U312,XT!Y312,XT!AC312,XT!AG312))=9), 0), 0)), "")</f>
        <v/>
      </c>
      <c r="AI312" s="12" t="str">
        <f>IF(XT!$P312&gt;0,AH312,"")</f>
        <v/>
      </c>
      <c r="AJ312" s="12" t="str">
        <f>IF(XT!$P312=0,AH312,"")</f>
        <v/>
      </c>
      <c r="AK312">
        <f>SUMPRODUCT((MONTH(CHOOSE({1,2,3,4},XT!U312,XT!Y312,XT!AC312,XT!AG312))=10)*(CHOOSE({1,2,3,4},XT!X312,XT!AB312,XT!AF312,XT!AJ312)))</f>
        <v>0</v>
      </c>
      <c r="AL312" t="str">
        <f>IFERROR(INDEX(CHOOSE({1,2,3,4}, DAY(XT!U312), DAY(XT!Y312), DAY(XT!AC312), DAY(XT!AG312)), MATCH(1, INDEX(--(MONTH(CHOOSE({1,2,3,4}, XT!U312,XT!Y312,XT!AC312,XT!AG312))=10), 0), 0)), "")</f>
        <v/>
      </c>
      <c r="AM312" s="12" t="str">
        <f>IF(XT!$P312&gt;0,AL312,"")</f>
        <v/>
      </c>
      <c r="AN312" s="12" t="str">
        <f>IF(XT!$P312=0,AL312,"")</f>
        <v/>
      </c>
      <c r="AO312">
        <f>SUMPRODUCT((MONTH(CHOOSE({1,2,3,4},XT!U312,XT!Y312,XT!AC312,XT!AG312))=11)*(CHOOSE({1,2,3,4},XT!X312,XT!AB312,XT!AF312,XT!AJ312)))</f>
        <v>0</v>
      </c>
      <c r="AP312" t="str">
        <f>IFERROR(INDEX(CHOOSE({1,2,3,4}, DAY(XT!U312), DAY(XT!Y312), DAY(XT!AC312), DAY(XT!AG312)), MATCH(1, INDEX(--(MONTH(CHOOSE({1,2,3,4}, XT!U312,XT!Y312,XT!AC312,XT!AG312))=11), 0), 0)), "")</f>
        <v/>
      </c>
      <c r="AQ312" s="12" t="str">
        <f>IF(XT!$P312&gt;0,AP312,"")</f>
        <v/>
      </c>
      <c r="AR312" s="12" t="str">
        <f>IF(XT!$P312=0,AP312,"")</f>
        <v/>
      </c>
      <c r="AS312">
        <f>SUMPRODUCT((MONTH(CHOOSE({1,2,3,4},XT!U312,XT!Y312,XT!AC312,XT!AG312))=12)*(CHOOSE({1,2,3,4},XT!X312,XT!AB312,XT!AF312,XT!AJ312)))</f>
        <v>0</v>
      </c>
      <c r="AT312" t="str">
        <f>IFERROR(INDEX(CHOOSE({1,2,3,4}, DAY(XT!U312), DAY(XT!Y312), DAY(XT!AC312), DAY(XT!AG312)), MATCH(1, INDEX(--(MONTH(CHOOSE({1,2,3,4}, XT!U312,XT!Y312,XT!AC312,XT!AG312))=12), 0), 0)), "")</f>
        <v/>
      </c>
      <c r="AU312" s="12" t="str">
        <f>IF(XT!$P312&gt;0,AT312,"")</f>
        <v/>
      </c>
      <c r="AV312" s="12" t="str">
        <f>IF(XT!$P312=0,AT312,"")</f>
        <v/>
      </c>
    </row>
    <row r="313" spans="1:48">
      <c r="A313">
        <f>SUMPRODUCT((MONTH(CHOOSE({1,2,3,4},XT!U313,XT!Y313,XT!AC313,XT!AG313))=1)*(CHOOSE({1,2,3,4},XT!X313,XT!AB313,XT!AF313,XT!AJ313)))</f>
        <v>0</v>
      </c>
      <c r="B313">
        <f>IFERROR(INDEX(CHOOSE({1,2,3,4}, DAY(XT!U313), DAY(XT!Y313), DAY(XT!AC313), DAY(XT!AG313)), MATCH(1, INDEX(--(MONTH(CHOOSE({1,2,3,4}, XT!U313,XT!Y313,XT!AC313,XT!AG313))=1), 0), 0)), "")</f>
        <v>0</v>
      </c>
      <c r="C313" s="12" t="str">
        <f>IF(XT!$P313&gt;0,B313,"")</f>
        <v/>
      </c>
      <c r="D313" s="12">
        <f>IF(XT!$P313=0,B313,"")</f>
        <v>0</v>
      </c>
      <c r="E313">
        <f>SUMPRODUCT((MONTH(CHOOSE({1,2,3,4},XT!U313,XT!Y313,XT!AC313,XT!AG313))=2)*(CHOOSE({1,2,3,4},XT!X313,XT!AB313,XT!AF313,XT!AJ313)))</f>
        <v>0</v>
      </c>
      <c r="F313" t="str">
        <f>IFERROR(INDEX(CHOOSE({1,2,3,4}, DAY(XT!U313), DAY(XT!Y313), DAY(XT!AC313), DAY(XT!AG313)), MATCH(1, INDEX(--(MONTH(CHOOSE({1,2,3,4}, XT!U313,XT!Y313,XT!AC313,XT!AG313))=2), 0), 0)), "")</f>
        <v/>
      </c>
      <c r="G313" s="12" t="str">
        <f>IF(XT!$P313&gt;0,F313,"")</f>
        <v/>
      </c>
      <c r="H313" s="12" t="str">
        <f>IF(XT!$P313=0,F313,"")</f>
        <v/>
      </c>
      <c r="I313">
        <f>SUMPRODUCT((MONTH(CHOOSE({1,2,3,4},XT!U313,XT!Y313,XT!AC313,XT!AG313))=3)*(CHOOSE({1,2,3,4},XT!X313,XT!AB313,XT!AF313,XT!AJ313)))</f>
        <v>0</v>
      </c>
      <c r="J313" t="str">
        <f>IFERROR(INDEX(CHOOSE({1,2,3,4}, DAY(XT!U313), DAY(XT!Y313), DAY(XT!AC313), DAY(XT!AG313)), MATCH(1, INDEX(--(MONTH(CHOOSE({1,2,3,4}, XT!U313,XT!Y313,XT!AC313,XT!AG313))=3), 0), 0)), "")</f>
        <v/>
      </c>
      <c r="K313" s="12" t="str">
        <f>IF(XT!$P313&gt;0,J313,"")</f>
        <v/>
      </c>
      <c r="L313" s="12" t="str">
        <f>IF(XT!$P313=0,J313,"")</f>
        <v/>
      </c>
      <c r="M313">
        <f>SUMPRODUCT((MONTH(CHOOSE({1,2,3,4},XT!U313,XT!Y313,XT!AC313,XT!AG313))=4)*(CHOOSE({1,2,3,4},XT!X313,XT!AB313,XT!AF313,XT!AJ313)))</f>
        <v>0</v>
      </c>
      <c r="N313" t="str">
        <f>IFERROR(INDEX(CHOOSE({1,2,3,4}, DAY(XT!U313), DAY(XT!Y313), DAY(XT!AC313), DAY(XT!AG313)), MATCH(1, INDEX(--(MONTH(CHOOSE({1,2,3,4}, XT!U313,XT!Y313,XT!AC313,XT!AG313))=4), 0), 0)), "")</f>
        <v/>
      </c>
      <c r="O313" s="12" t="str">
        <f>IF(XT!$P313&gt;0,N313,"")</f>
        <v/>
      </c>
      <c r="P313" s="12" t="str">
        <f>IF(XT!$P313=0,N313,"")</f>
        <v/>
      </c>
      <c r="Q313">
        <f>SUMPRODUCT((MONTH(CHOOSE({1,2,3,4},XT!U313,XT!Y313,XT!AC313,XT!AG313))=5)*(CHOOSE({1,2,3,4},XT!X313,XT!AB313,XT!AF313,XT!AJ313)))</f>
        <v>0</v>
      </c>
      <c r="R313" t="str">
        <f>IFERROR(INDEX(CHOOSE({1,2,3,4}, DAY(XT!U313), DAY(XT!Y313), DAY(XT!AC313), DAY(XT!AG313)), MATCH(1, INDEX(--(MONTH(CHOOSE({1,2,3,4}, XT!U313,XT!Y313,XT!AC313,XT!AG313))=5), 0), 0)), "")</f>
        <v/>
      </c>
      <c r="S313" s="12" t="str">
        <f>IF(XT!$P313&gt;0,R313,"")</f>
        <v/>
      </c>
      <c r="T313" s="12" t="str">
        <f>IF(XT!$P313=0,R313,"")</f>
        <v/>
      </c>
      <c r="U313">
        <f>SUMPRODUCT((MONTH(CHOOSE({1,2,3,4},XT!U313,XT!Y313,XT!AC313,XT!AG313))=6)*(CHOOSE({1,2,3,4},XT!X313,XT!AB313,XT!AF313,XT!AJ313)))</f>
        <v>0</v>
      </c>
      <c r="V313" t="str">
        <f>IFERROR(INDEX(CHOOSE({1,2,3,4}, DAY(XT!U313), DAY(XT!Y313), DAY(XT!AC313), DAY(XT!AG313)), MATCH(1, INDEX(--(MONTH(CHOOSE({1,2,3,4}, XT!U313,XT!Y313,XT!AC313,XT!AG313))=6), 0), 0)), "")</f>
        <v/>
      </c>
      <c r="W313" s="12" t="str">
        <f>IF(XT!$P313&gt;0,V313,"")</f>
        <v/>
      </c>
      <c r="X313" s="12" t="str">
        <f>IF(XT!$P313=0,V313,"")</f>
        <v/>
      </c>
      <c r="Y313">
        <f>SUMPRODUCT((MONTH(CHOOSE({1,2,3,4},XT!U313,XT!Y313,XT!AC313,XT!AG313))=7)*(CHOOSE({1,2,3,4},XT!X313,XT!AB313,XT!AF313,XT!AJ313)))</f>
        <v>0</v>
      </c>
      <c r="Z313" t="str">
        <f>IFERROR(INDEX(CHOOSE({1,2,3,4}, DAY(XT!U313), DAY(XT!Y313), DAY(XT!AC313), DAY(XT!AG313)), MATCH(1, INDEX(--(MONTH(CHOOSE({1,2,3,4}, XT!U313,XT!Y313,XT!AC313,XT!AG313))=7), 0), 0)), "")</f>
        <v/>
      </c>
      <c r="AA313" s="12" t="str">
        <f>IF(XT!$P313&gt;0,Z313,"")</f>
        <v/>
      </c>
      <c r="AB313" s="12" t="str">
        <f>IF(XT!$P313=0,Z313,"")</f>
        <v/>
      </c>
      <c r="AC313">
        <f>SUMPRODUCT((MONTH(CHOOSE({1,2,3,4},XT!U313,XT!Y313,XT!AC313,XT!AG313))=8)*(CHOOSE({1,2,3,4},XT!X313,XT!AB313,XT!AF313,XT!AJ313)))</f>
        <v>0</v>
      </c>
      <c r="AD313" t="str">
        <f>IFERROR(INDEX(CHOOSE({1,2,3,4}, DAY(XT!U313), DAY(XT!Y313), DAY(XT!AC313), DAY(XT!AG313)), MATCH(1, INDEX(--(MONTH(CHOOSE({1,2,3,4}, XT!U313,XT!Y313,XT!AC313,XT!AG313))=8), 0), 0)), "")</f>
        <v/>
      </c>
      <c r="AE313" s="12" t="str">
        <f>IF(XT!$P313&gt;0,AD313,"")</f>
        <v/>
      </c>
      <c r="AF313" s="12" t="str">
        <f>IF(XT!$P313=0,AD313,"")</f>
        <v/>
      </c>
      <c r="AG313">
        <f>SUMPRODUCT((MONTH(CHOOSE({1,2,3,4},XT!U313,XT!Y313,XT!AC313,XT!AG313))=9)*(CHOOSE({1,2,3,4},XT!X313,XT!AB313,XT!AF313,XT!AJ313)))</f>
        <v>0</v>
      </c>
      <c r="AH313" t="str">
        <f>IFERROR(INDEX(CHOOSE({1,2,3,4}, DAY(XT!U313), DAY(XT!Y313), DAY(XT!AC313), DAY(XT!AG313)), MATCH(1, INDEX(--(MONTH(CHOOSE({1,2,3,4}, XT!U313,XT!Y313,XT!AC313,XT!AG313))=9), 0), 0)), "")</f>
        <v/>
      </c>
      <c r="AI313" s="12" t="str">
        <f>IF(XT!$P313&gt;0,AH313,"")</f>
        <v/>
      </c>
      <c r="AJ313" s="12" t="str">
        <f>IF(XT!$P313=0,AH313,"")</f>
        <v/>
      </c>
      <c r="AK313">
        <f>SUMPRODUCT((MONTH(CHOOSE({1,2,3,4},XT!U313,XT!Y313,XT!AC313,XT!AG313))=10)*(CHOOSE({1,2,3,4},XT!X313,XT!AB313,XT!AF313,XT!AJ313)))</f>
        <v>0</v>
      </c>
      <c r="AL313" t="str">
        <f>IFERROR(INDEX(CHOOSE({1,2,3,4}, DAY(XT!U313), DAY(XT!Y313), DAY(XT!AC313), DAY(XT!AG313)), MATCH(1, INDEX(--(MONTH(CHOOSE({1,2,3,4}, XT!U313,XT!Y313,XT!AC313,XT!AG313))=10), 0), 0)), "")</f>
        <v/>
      </c>
      <c r="AM313" s="12" t="str">
        <f>IF(XT!$P313&gt;0,AL313,"")</f>
        <v/>
      </c>
      <c r="AN313" s="12" t="str">
        <f>IF(XT!$P313=0,AL313,"")</f>
        <v/>
      </c>
      <c r="AO313">
        <f>SUMPRODUCT((MONTH(CHOOSE({1,2,3,4},XT!U313,XT!Y313,XT!AC313,XT!AG313))=11)*(CHOOSE({1,2,3,4},XT!X313,XT!AB313,XT!AF313,XT!AJ313)))</f>
        <v>0</v>
      </c>
      <c r="AP313" t="str">
        <f>IFERROR(INDEX(CHOOSE({1,2,3,4}, DAY(XT!U313), DAY(XT!Y313), DAY(XT!AC313), DAY(XT!AG313)), MATCH(1, INDEX(--(MONTH(CHOOSE({1,2,3,4}, XT!U313,XT!Y313,XT!AC313,XT!AG313))=11), 0), 0)), "")</f>
        <v/>
      </c>
      <c r="AQ313" s="12" t="str">
        <f>IF(XT!$P313&gt;0,AP313,"")</f>
        <v/>
      </c>
      <c r="AR313" s="12" t="str">
        <f>IF(XT!$P313=0,AP313,"")</f>
        <v/>
      </c>
      <c r="AS313">
        <f>SUMPRODUCT((MONTH(CHOOSE({1,2,3,4},XT!U313,XT!Y313,XT!AC313,XT!AG313))=12)*(CHOOSE({1,2,3,4},XT!X313,XT!AB313,XT!AF313,XT!AJ313)))</f>
        <v>0</v>
      </c>
      <c r="AT313" t="str">
        <f>IFERROR(INDEX(CHOOSE({1,2,3,4}, DAY(XT!U313), DAY(XT!Y313), DAY(XT!AC313), DAY(XT!AG313)), MATCH(1, INDEX(--(MONTH(CHOOSE({1,2,3,4}, XT!U313,XT!Y313,XT!AC313,XT!AG313))=12), 0), 0)), "")</f>
        <v/>
      </c>
      <c r="AU313" s="12" t="str">
        <f>IF(XT!$P313&gt;0,AT313,"")</f>
        <v/>
      </c>
      <c r="AV313" s="12" t="str">
        <f>IF(XT!$P313=0,AT313,"")</f>
        <v/>
      </c>
    </row>
    <row r="314" spans="1:48">
      <c r="A314">
        <f>SUMPRODUCT((MONTH(CHOOSE({1,2,3,4},XT!U314,XT!Y314,XT!AC314,XT!AG314))=1)*(CHOOSE({1,2,3,4},XT!X314,XT!AB314,XT!AF314,XT!AJ314)))</f>
        <v>0</v>
      </c>
      <c r="B314">
        <f>IFERROR(INDEX(CHOOSE({1,2,3,4}, DAY(XT!U314), DAY(XT!Y314), DAY(XT!AC314), DAY(XT!AG314)), MATCH(1, INDEX(--(MONTH(CHOOSE({1,2,3,4}, XT!U314,XT!Y314,XT!AC314,XT!AG314))=1), 0), 0)), "")</f>
        <v>0</v>
      </c>
      <c r="C314" s="12" t="str">
        <f>IF(XT!$P314&gt;0,B314,"")</f>
        <v/>
      </c>
      <c r="D314" s="12">
        <f>IF(XT!$P314=0,B314,"")</f>
        <v>0</v>
      </c>
      <c r="E314">
        <f>SUMPRODUCT((MONTH(CHOOSE({1,2,3,4},XT!U314,XT!Y314,XT!AC314,XT!AG314))=2)*(CHOOSE({1,2,3,4},XT!X314,XT!AB314,XT!AF314,XT!AJ314)))</f>
        <v>0</v>
      </c>
      <c r="F314" t="str">
        <f>IFERROR(INDEX(CHOOSE({1,2,3,4}, DAY(XT!U314), DAY(XT!Y314), DAY(XT!AC314), DAY(XT!AG314)), MATCH(1, INDEX(--(MONTH(CHOOSE({1,2,3,4}, XT!U314,XT!Y314,XT!AC314,XT!AG314))=2), 0), 0)), "")</f>
        <v/>
      </c>
      <c r="G314" s="12" t="str">
        <f>IF(XT!$P314&gt;0,F314,"")</f>
        <v/>
      </c>
      <c r="H314" s="12" t="str">
        <f>IF(XT!$P314=0,F314,"")</f>
        <v/>
      </c>
      <c r="I314">
        <f>SUMPRODUCT((MONTH(CHOOSE({1,2,3,4},XT!U314,XT!Y314,XT!AC314,XT!AG314))=3)*(CHOOSE({1,2,3,4},XT!X314,XT!AB314,XT!AF314,XT!AJ314)))</f>
        <v>0</v>
      </c>
      <c r="J314" t="str">
        <f>IFERROR(INDEX(CHOOSE({1,2,3,4}, DAY(XT!U314), DAY(XT!Y314), DAY(XT!AC314), DAY(XT!AG314)), MATCH(1, INDEX(--(MONTH(CHOOSE({1,2,3,4}, XT!U314,XT!Y314,XT!AC314,XT!AG314))=3), 0), 0)), "")</f>
        <v/>
      </c>
      <c r="K314" s="12" t="str">
        <f>IF(XT!$P314&gt;0,J314,"")</f>
        <v/>
      </c>
      <c r="L314" s="12" t="str">
        <f>IF(XT!$P314=0,J314,"")</f>
        <v/>
      </c>
      <c r="M314">
        <f>SUMPRODUCT((MONTH(CHOOSE({1,2,3,4},XT!U314,XT!Y314,XT!AC314,XT!AG314))=4)*(CHOOSE({1,2,3,4},XT!X314,XT!AB314,XT!AF314,XT!AJ314)))</f>
        <v>0</v>
      </c>
      <c r="N314" t="str">
        <f>IFERROR(INDEX(CHOOSE({1,2,3,4}, DAY(XT!U314), DAY(XT!Y314), DAY(XT!AC314), DAY(XT!AG314)), MATCH(1, INDEX(--(MONTH(CHOOSE({1,2,3,4}, XT!U314,XT!Y314,XT!AC314,XT!AG314))=4), 0), 0)), "")</f>
        <v/>
      </c>
      <c r="O314" s="12" t="str">
        <f>IF(XT!$P314&gt;0,N314,"")</f>
        <v/>
      </c>
      <c r="P314" s="12" t="str">
        <f>IF(XT!$P314=0,N314,"")</f>
        <v/>
      </c>
      <c r="Q314">
        <f>SUMPRODUCT((MONTH(CHOOSE({1,2,3,4},XT!U314,XT!Y314,XT!AC314,XT!AG314))=5)*(CHOOSE({1,2,3,4},XT!X314,XT!AB314,XT!AF314,XT!AJ314)))</f>
        <v>0</v>
      </c>
      <c r="R314" t="str">
        <f>IFERROR(INDEX(CHOOSE({1,2,3,4}, DAY(XT!U314), DAY(XT!Y314), DAY(XT!AC314), DAY(XT!AG314)), MATCH(1, INDEX(--(MONTH(CHOOSE({1,2,3,4}, XT!U314,XT!Y314,XT!AC314,XT!AG314))=5), 0), 0)), "")</f>
        <v/>
      </c>
      <c r="S314" s="12" t="str">
        <f>IF(XT!$P314&gt;0,R314,"")</f>
        <v/>
      </c>
      <c r="T314" s="12" t="str">
        <f>IF(XT!$P314=0,R314,"")</f>
        <v/>
      </c>
      <c r="U314">
        <f>SUMPRODUCT((MONTH(CHOOSE({1,2,3,4},XT!U314,XT!Y314,XT!AC314,XT!AG314))=6)*(CHOOSE({1,2,3,4},XT!X314,XT!AB314,XT!AF314,XT!AJ314)))</f>
        <v>0</v>
      </c>
      <c r="V314" t="str">
        <f>IFERROR(INDEX(CHOOSE({1,2,3,4}, DAY(XT!U314), DAY(XT!Y314), DAY(XT!AC314), DAY(XT!AG314)), MATCH(1, INDEX(--(MONTH(CHOOSE({1,2,3,4}, XT!U314,XT!Y314,XT!AC314,XT!AG314))=6), 0), 0)), "")</f>
        <v/>
      </c>
      <c r="W314" s="12" t="str">
        <f>IF(XT!$P314&gt;0,V314,"")</f>
        <v/>
      </c>
      <c r="X314" s="12" t="str">
        <f>IF(XT!$P314=0,V314,"")</f>
        <v/>
      </c>
      <c r="Y314">
        <f>SUMPRODUCT((MONTH(CHOOSE({1,2,3,4},XT!U314,XT!Y314,XT!AC314,XT!AG314))=7)*(CHOOSE({1,2,3,4},XT!X314,XT!AB314,XT!AF314,XT!AJ314)))</f>
        <v>0</v>
      </c>
      <c r="Z314" t="str">
        <f>IFERROR(INDEX(CHOOSE({1,2,3,4}, DAY(XT!U314), DAY(XT!Y314), DAY(XT!AC314), DAY(XT!AG314)), MATCH(1, INDEX(--(MONTH(CHOOSE({1,2,3,4}, XT!U314,XT!Y314,XT!AC314,XT!AG314))=7), 0), 0)), "")</f>
        <v/>
      </c>
      <c r="AA314" s="12" t="str">
        <f>IF(XT!$P314&gt;0,Z314,"")</f>
        <v/>
      </c>
      <c r="AB314" s="12" t="str">
        <f>IF(XT!$P314=0,Z314,"")</f>
        <v/>
      </c>
      <c r="AC314">
        <f>SUMPRODUCT((MONTH(CHOOSE({1,2,3,4},XT!U314,XT!Y314,XT!AC314,XT!AG314))=8)*(CHOOSE({1,2,3,4},XT!X314,XT!AB314,XT!AF314,XT!AJ314)))</f>
        <v>0</v>
      </c>
      <c r="AD314" t="str">
        <f>IFERROR(INDEX(CHOOSE({1,2,3,4}, DAY(XT!U314), DAY(XT!Y314), DAY(XT!AC314), DAY(XT!AG314)), MATCH(1, INDEX(--(MONTH(CHOOSE({1,2,3,4}, XT!U314,XT!Y314,XT!AC314,XT!AG314))=8), 0), 0)), "")</f>
        <v/>
      </c>
      <c r="AE314" s="12" t="str">
        <f>IF(XT!$P314&gt;0,AD314,"")</f>
        <v/>
      </c>
      <c r="AF314" s="12" t="str">
        <f>IF(XT!$P314=0,AD314,"")</f>
        <v/>
      </c>
      <c r="AG314">
        <f>SUMPRODUCT((MONTH(CHOOSE({1,2,3,4},XT!U314,XT!Y314,XT!AC314,XT!AG314))=9)*(CHOOSE({1,2,3,4},XT!X314,XT!AB314,XT!AF314,XT!AJ314)))</f>
        <v>0</v>
      </c>
      <c r="AH314" t="str">
        <f>IFERROR(INDEX(CHOOSE({1,2,3,4}, DAY(XT!U314), DAY(XT!Y314), DAY(XT!AC314), DAY(XT!AG314)), MATCH(1, INDEX(--(MONTH(CHOOSE({1,2,3,4}, XT!U314,XT!Y314,XT!AC314,XT!AG314))=9), 0), 0)), "")</f>
        <v/>
      </c>
      <c r="AI314" s="12" t="str">
        <f>IF(XT!$P314&gt;0,AH314,"")</f>
        <v/>
      </c>
      <c r="AJ314" s="12" t="str">
        <f>IF(XT!$P314=0,AH314,"")</f>
        <v/>
      </c>
      <c r="AK314">
        <f>SUMPRODUCT((MONTH(CHOOSE({1,2,3,4},XT!U314,XT!Y314,XT!AC314,XT!AG314))=10)*(CHOOSE({1,2,3,4},XT!X314,XT!AB314,XT!AF314,XT!AJ314)))</f>
        <v>0</v>
      </c>
      <c r="AL314" t="str">
        <f>IFERROR(INDEX(CHOOSE({1,2,3,4}, DAY(XT!U314), DAY(XT!Y314), DAY(XT!AC314), DAY(XT!AG314)), MATCH(1, INDEX(--(MONTH(CHOOSE({1,2,3,4}, XT!U314,XT!Y314,XT!AC314,XT!AG314))=10), 0), 0)), "")</f>
        <v/>
      </c>
      <c r="AM314" s="12" t="str">
        <f>IF(XT!$P314&gt;0,AL314,"")</f>
        <v/>
      </c>
      <c r="AN314" s="12" t="str">
        <f>IF(XT!$P314=0,AL314,"")</f>
        <v/>
      </c>
      <c r="AO314">
        <f>SUMPRODUCT((MONTH(CHOOSE({1,2,3,4},XT!U314,XT!Y314,XT!AC314,XT!AG314))=11)*(CHOOSE({1,2,3,4},XT!X314,XT!AB314,XT!AF314,XT!AJ314)))</f>
        <v>0</v>
      </c>
      <c r="AP314" t="str">
        <f>IFERROR(INDEX(CHOOSE({1,2,3,4}, DAY(XT!U314), DAY(XT!Y314), DAY(XT!AC314), DAY(XT!AG314)), MATCH(1, INDEX(--(MONTH(CHOOSE({1,2,3,4}, XT!U314,XT!Y314,XT!AC314,XT!AG314))=11), 0), 0)), "")</f>
        <v/>
      </c>
      <c r="AQ314" s="12" t="str">
        <f>IF(XT!$P314&gt;0,AP314,"")</f>
        <v/>
      </c>
      <c r="AR314" s="12" t="str">
        <f>IF(XT!$P314=0,AP314,"")</f>
        <v/>
      </c>
      <c r="AS314">
        <f>SUMPRODUCT((MONTH(CHOOSE({1,2,3,4},XT!U314,XT!Y314,XT!AC314,XT!AG314))=12)*(CHOOSE({1,2,3,4},XT!X314,XT!AB314,XT!AF314,XT!AJ314)))</f>
        <v>0</v>
      </c>
      <c r="AT314" t="str">
        <f>IFERROR(INDEX(CHOOSE({1,2,3,4}, DAY(XT!U314), DAY(XT!Y314), DAY(XT!AC314), DAY(XT!AG314)), MATCH(1, INDEX(--(MONTH(CHOOSE({1,2,3,4}, XT!U314,XT!Y314,XT!AC314,XT!AG314))=12), 0), 0)), "")</f>
        <v/>
      </c>
      <c r="AU314" s="12" t="str">
        <f>IF(XT!$P314&gt;0,AT314,"")</f>
        <v/>
      </c>
      <c r="AV314" s="12" t="str">
        <f>IF(XT!$P314=0,AT314,"")</f>
        <v/>
      </c>
    </row>
    <row r="315" spans="1:48">
      <c r="A315">
        <f>SUMPRODUCT((MONTH(CHOOSE({1,2,3,4},XT!U315,XT!Y315,XT!AC315,XT!AG315))=1)*(CHOOSE({1,2,3,4},XT!X315,XT!AB315,XT!AF315,XT!AJ315)))</f>
        <v>0</v>
      </c>
      <c r="B315">
        <f>IFERROR(INDEX(CHOOSE({1,2,3,4}, DAY(XT!U315), DAY(XT!Y315), DAY(XT!AC315), DAY(XT!AG315)), MATCH(1, INDEX(--(MONTH(CHOOSE({1,2,3,4}, XT!U315,XT!Y315,XT!AC315,XT!AG315))=1), 0), 0)), "")</f>
        <v>0</v>
      </c>
      <c r="C315" s="12" t="str">
        <f>IF(XT!$P315&gt;0,B315,"")</f>
        <v/>
      </c>
      <c r="D315" s="12">
        <f>IF(XT!$P315=0,B315,"")</f>
        <v>0</v>
      </c>
      <c r="E315">
        <f>SUMPRODUCT((MONTH(CHOOSE({1,2,3,4},XT!U315,XT!Y315,XT!AC315,XT!AG315))=2)*(CHOOSE({1,2,3,4},XT!X315,XT!AB315,XT!AF315,XT!AJ315)))</f>
        <v>0</v>
      </c>
      <c r="F315" t="str">
        <f>IFERROR(INDEX(CHOOSE({1,2,3,4}, DAY(XT!U315), DAY(XT!Y315), DAY(XT!AC315), DAY(XT!AG315)), MATCH(1, INDEX(--(MONTH(CHOOSE({1,2,3,4}, XT!U315,XT!Y315,XT!AC315,XT!AG315))=2), 0), 0)), "")</f>
        <v/>
      </c>
      <c r="G315" s="12" t="str">
        <f>IF(XT!$P315&gt;0,F315,"")</f>
        <v/>
      </c>
      <c r="H315" s="12" t="str">
        <f>IF(XT!$P315=0,F315,"")</f>
        <v/>
      </c>
      <c r="I315">
        <f>SUMPRODUCT((MONTH(CHOOSE({1,2,3,4},XT!U315,XT!Y315,XT!AC315,XT!AG315))=3)*(CHOOSE({1,2,3,4},XT!X315,XT!AB315,XT!AF315,XT!AJ315)))</f>
        <v>0</v>
      </c>
      <c r="J315" t="str">
        <f>IFERROR(INDEX(CHOOSE({1,2,3,4}, DAY(XT!U315), DAY(XT!Y315), DAY(XT!AC315), DAY(XT!AG315)), MATCH(1, INDEX(--(MONTH(CHOOSE({1,2,3,4}, XT!U315,XT!Y315,XT!AC315,XT!AG315))=3), 0), 0)), "")</f>
        <v/>
      </c>
      <c r="K315" s="12" t="str">
        <f>IF(XT!$P315&gt;0,J315,"")</f>
        <v/>
      </c>
      <c r="L315" s="12" t="str">
        <f>IF(XT!$P315=0,J315,"")</f>
        <v/>
      </c>
      <c r="M315">
        <f>SUMPRODUCT((MONTH(CHOOSE({1,2,3,4},XT!U315,XT!Y315,XT!AC315,XT!AG315))=4)*(CHOOSE({1,2,3,4},XT!X315,XT!AB315,XT!AF315,XT!AJ315)))</f>
        <v>0</v>
      </c>
      <c r="N315" t="str">
        <f>IFERROR(INDEX(CHOOSE({1,2,3,4}, DAY(XT!U315), DAY(XT!Y315), DAY(XT!AC315), DAY(XT!AG315)), MATCH(1, INDEX(--(MONTH(CHOOSE({1,2,3,4}, XT!U315,XT!Y315,XT!AC315,XT!AG315))=4), 0), 0)), "")</f>
        <v/>
      </c>
      <c r="O315" s="12" t="str">
        <f>IF(XT!$P315&gt;0,N315,"")</f>
        <v/>
      </c>
      <c r="P315" s="12" t="str">
        <f>IF(XT!$P315=0,N315,"")</f>
        <v/>
      </c>
      <c r="Q315">
        <f>SUMPRODUCT((MONTH(CHOOSE({1,2,3,4},XT!U315,XT!Y315,XT!AC315,XT!AG315))=5)*(CHOOSE({1,2,3,4},XT!X315,XT!AB315,XT!AF315,XT!AJ315)))</f>
        <v>0</v>
      </c>
      <c r="R315" t="str">
        <f>IFERROR(INDEX(CHOOSE({1,2,3,4}, DAY(XT!U315), DAY(XT!Y315), DAY(XT!AC315), DAY(XT!AG315)), MATCH(1, INDEX(--(MONTH(CHOOSE({1,2,3,4}, XT!U315,XT!Y315,XT!AC315,XT!AG315))=5), 0), 0)), "")</f>
        <v/>
      </c>
      <c r="S315" s="12" t="str">
        <f>IF(XT!$P315&gt;0,R315,"")</f>
        <v/>
      </c>
      <c r="T315" s="12" t="str">
        <f>IF(XT!$P315=0,R315,"")</f>
        <v/>
      </c>
      <c r="U315">
        <f>SUMPRODUCT((MONTH(CHOOSE({1,2,3,4},XT!U315,XT!Y315,XT!AC315,XT!AG315))=6)*(CHOOSE({1,2,3,4},XT!X315,XT!AB315,XT!AF315,XT!AJ315)))</f>
        <v>0</v>
      </c>
      <c r="V315" t="str">
        <f>IFERROR(INDEX(CHOOSE({1,2,3,4}, DAY(XT!U315), DAY(XT!Y315), DAY(XT!AC315), DAY(XT!AG315)), MATCH(1, INDEX(--(MONTH(CHOOSE({1,2,3,4}, XT!U315,XT!Y315,XT!AC315,XT!AG315))=6), 0), 0)), "")</f>
        <v/>
      </c>
      <c r="W315" s="12" t="str">
        <f>IF(XT!$P315&gt;0,V315,"")</f>
        <v/>
      </c>
      <c r="X315" s="12" t="str">
        <f>IF(XT!$P315=0,V315,"")</f>
        <v/>
      </c>
      <c r="Y315">
        <f>SUMPRODUCT((MONTH(CHOOSE({1,2,3,4},XT!U315,XT!Y315,XT!AC315,XT!AG315))=7)*(CHOOSE({1,2,3,4},XT!X315,XT!AB315,XT!AF315,XT!AJ315)))</f>
        <v>0</v>
      </c>
      <c r="Z315" t="str">
        <f>IFERROR(INDEX(CHOOSE({1,2,3,4}, DAY(XT!U315), DAY(XT!Y315), DAY(XT!AC315), DAY(XT!AG315)), MATCH(1, INDEX(--(MONTH(CHOOSE({1,2,3,4}, XT!U315,XT!Y315,XT!AC315,XT!AG315))=7), 0), 0)), "")</f>
        <v/>
      </c>
      <c r="AA315" s="12" t="str">
        <f>IF(XT!$P315&gt;0,Z315,"")</f>
        <v/>
      </c>
      <c r="AB315" s="12" t="str">
        <f>IF(XT!$P315=0,Z315,"")</f>
        <v/>
      </c>
      <c r="AC315">
        <f>SUMPRODUCT((MONTH(CHOOSE({1,2,3,4},XT!U315,XT!Y315,XT!AC315,XT!AG315))=8)*(CHOOSE({1,2,3,4},XT!X315,XT!AB315,XT!AF315,XT!AJ315)))</f>
        <v>0</v>
      </c>
      <c r="AD315" t="str">
        <f>IFERROR(INDEX(CHOOSE({1,2,3,4}, DAY(XT!U315), DAY(XT!Y315), DAY(XT!AC315), DAY(XT!AG315)), MATCH(1, INDEX(--(MONTH(CHOOSE({1,2,3,4}, XT!U315,XT!Y315,XT!AC315,XT!AG315))=8), 0), 0)), "")</f>
        <v/>
      </c>
      <c r="AE315" s="12" t="str">
        <f>IF(XT!$P315&gt;0,AD315,"")</f>
        <v/>
      </c>
      <c r="AF315" s="12" t="str">
        <f>IF(XT!$P315=0,AD315,"")</f>
        <v/>
      </c>
      <c r="AG315">
        <f>SUMPRODUCT((MONTH(CHOOSE({1,2,3,4},XT!U315,XT!Y315,XT!AC315,XT!AG315))=9)*(CHOOSE({1,2,3,4},XT!X315,XT!AB315,XT!AF315,XT!AJ315)))</f>
        <v>0</v>
      </c>
      <c r="AH315" t="str">
        <f>IFERROR(INDEX(CHOOSE({1,2,3,4}, DAY(XT!U315), DAY(XT!Y315), DAY(XT!AC315), DAY(XT!AG315)), MATCH(1, INDEX(--(MONTH(CHOOSE({1,2,3,4}, XT!U315,XT!Y315,XT!AC315,XT!AG315))=9), 0), 0)), "")</f>
        <v/>
      </c>
      <c r="AI315" s="12" t="str">
        <f>IF(XT!$P315&gt;0,AH315,"")</f>
        <v/>
      </c>
      <c r="AJ315" s="12" t="str">
        <f>IF(XT!$P315=0,AH315,"")</f>
        <v/>
      </c>
      <c r="AK315">
        <f>SUMPRODUCT((MONTH(CHOOSE({1,2,3,4},XT!U315,XT!Y315,XT!AC315,XT!AG315))=10)*(CHOOSE({1,2,3,4},XT!X315,XT!AB315,XT!AF315,XT!AJ315)))</f>
        <v>0</v>
      </c>
      <c r="AL315" t="str">
        <f>IFERROR(INDEX(CHOOSE({1,2,3,4}, DAY(XT!U315), DAY(XT!Y315), DAY(XT!AC315), DAY(XT!AG315)), MATCH(1, INDEX(--(MONTH(CHOOSE({1,2,3,4}, XT!U315,XT!Y315,XT!AC315,XT!AG315))=10), 0), 0)), "")</f>
        <v/>
      </c>
      <c r="AM315" s="12" t="str">
        <f>IF(XT!$P315&gt;0,AL315,"")</f>
        <v/>
      </c>
      <c r="AN315" s="12" t="str">
        <f>IF(XT!$P315=0,AL315,"")</f>
        <v/>
      </c>
      <c r="AO315">
        <f>SUMPRODUCT((MONTH(CHOOSE({1,2,3,4},XT!U315,XT!Y315,XT!AC315,XT!AG315))=11)*(CHOOSE({1,2,3,4},XT!X315,XT!AB315,XT!AF315,XT!AJ315)))</f>
        <v>0</v>
      </c>
      <c r="AP315" t="str">
        <f>IFERROR(INDEX(CHOOSE({1,2,3,4}, DAY(XT!U315), DAY(XT!Y315), DAY(XT!AC315), DAY(XT!AG315)), MATCH(1, INDEX(--(MONTH(CHOOSE({1,2,3,4}, XT!U315,XT!Y315,XT!AC315,XT!AG315))=11), 0), 0)), "")</f>
        <v/>
      </c>
      <c r="AQ315" s="12" t="str">
        <f>IF(XT!$P315&gt;0,AP315,"")</f>
        <v/>
      </c>
      <c r="AR315" s="12" t="str">
        <f>IF(XT!$P315=0,AP315,"")</f>
        <v/>
      </c>
      <c r="AS315">
        <f>SUMPRODUCT((MONTH(CHOOSE({1,2,3,4},XT!U315,XT!Y315,XT!AC315,XT!AG315))=12)*(CHOOSE({1,2,3,4},XT!X315,XT!AB315,XT!AF315,XT!AJ315)))</f>
        <v>0</v>
      </c>
      <c r="AT315" t="str">
        <f>IFERROR(INDEX(CHOOSE({1,2,3,4}, DAY(XT!U315), DAY(XT!Y315), DAY(XT!AC315), DAY(XT!AG315)), MATCH(1, INDEX(--(MONTH(CHOOSE({1,2,3,4}, XT!U315,XT!Y315,XT!AC315,XT!AG315))=12), 0), 0)), "")</f>
        <v/>
      </c>
      <c r="AU315" s="12" t="str">
        <f>IF(XT!$P315&gt;0,AT315,"")</f>
        <v/>
      </c>
      <c r="AV315" s="12" t="str">
        <f>IF(XT!$P315=0,AT315,"")</f>
        <v/>
      </c>
    </row>
    <row r="316" spans="1:48">
      <c r="A316">
        <f>SUMPRODUCT((MONTH(CHOOSE({1,2,3,4},XT!U316,XT!Y316,XT!AC316,XT!AG316))=1)*(CHOOSE({1,2,3,4},XT!X316,XT!AB316,XT!AF316,XT!AJ316)))</f>
        <v>0</v>
      </c>
      <c r="B316">
        <f>IFERROR(INDEX(CHOOSE({1,2,3,4}, DAY(XT!U316), DAY(XT!Y316), DAY(XT!AC316), DAY(XT!AG316)), MATCH(1, INDEX(--(MONTH(CHOOSE({1,2,3,4}, XT!U316,XT!Y316,XT!AC316,XT!AG316))=1), 0), 0)), "")</f>
        <v>0</v>
      </c>
      <c r="C316" s="12" t="str">
        <f>IF(XT!$P316&gt;0,B316,"")</f>
        <v/>
      </c>
      <c r="D316" s="12">
        <f>IF(XT!$P316=0,B316,"")</f>
        <v>0</v>
      </c>
      <c r="E316">
        <f>SUMPRODUCT((MONTH(CHOOSE({1,2,3,4},XT!U316,XT!Y316,XT!AC316,XT!AG316))=2)*(CHOOSE({1,2,3,4},XT!X316,XT!AB316,XT!AF316,XT!AJ316)))</f>
        <v>0</v>
      </c>
      <c r="F316" t="str">
        <f>IFERROR(INDEX(CHOOSE({1,2,3,4}, DAY(XT!U316), DAY(XT!Y316), DAY(XT!AC316), DAY(XT!AG316)), MATCH(1, INDEX(--(MONTH(CHOOSE({1,2,3,4}, XT!U316,XT!Y316,XT!AC316,XT!AG316))=2), 0), 0)), "")</f>
        <v/>
      </c>
      <c r="G316" s="12" t="str">
        <f>IF(XT!$P316&gt;0,F316,"")</f>
        <v/>
      </c>
      <c r="H316" s="12" t="str">
        <f>IF(XT!$P316=0,F316,"")</f>
        <v/>
      </c>
      <c r="I316">
        <f>SUMPRODUCT((MONTH(CHOOSE({1,2,3,4},XT!U316,XT!Y316,XT!AC316,XT!AG316))=3)*(CHOOSE({1,2,3,4},XT!X316,XT!AB316,XT!AF316,XT!AJ316)))</f>
        <v>0</v>
      </c>
      <c r="J316" t="str">
        <f>IFERROR(INDEX(CHOOSE({1,2,3,4}, DAY(XT!U316), DAY(XT!Y316), DAY(XT!AC316), DAY(XT!AG316)), MATCH(1, INDEX(--(MONTH(CHOOSE({1,2,3,4}, XT!U316,XT!Y316,XT!AC316,XT!AG316))=3), 0), 0)), "")</f>
        <v/>
      </c>
      <c r="K316" s="12" t="str">
        <f>IF(XT!$P316&gt;0,J316,"")</f>
        <v/>
      </c>
      <c r="L316" s="12" t="str">
        <f>IF(XT!$P316=0,J316,"")</f>
        <v/>
      </c>
      <c r="M316">
        <f>SUMPRODUCT((MONTH(CHOOSE({1,2,3,4},XT!U316,XT!Y316,XT!AC316,XT!AG316))=4)*(CHOOSE({1,2,3,4},XT!X316,XT!AB316,XT!AF316,XT!AJ316)))</f>
        <v>0</v>
      </c>
      <c r="N316" t="str">
        <f>IFERROR(INDEX(CHOOSE({1,2,3,4}, DAY(XT!U316), DAY(XT!Y316), DAY(XT!AC316), DAY(XT!AG316)), MATCH(1, INDEX(--(MONTH(CHOOSE({1,2,3,4}, XT!U316,XT!Y316,XT!AC316,XT!AG316))=4), 0), 0)), "")</f>
        <v/>
      </c>
      <c r="O316" s="12" t="str">
        <f>IF(XT!$P316&gt;0,N316,"")</f>
        <v/>
      </c>
      <c r="P316" s="12" t="str">
        <f>IF(XT!$P316=0,N316,"")</f>
        <v/>
      </c>
      <c r="Q316">
        <f>SUMPRODUCT((MONTH(CHOOSE({1,2,3,4},XT!U316,XT!Y316,XT!AC316,XT!AG316))=5)*(CHOOSE({1,2,3,4},XT!X316,XT!AB316,XT!AF316,XT!AJ316)))</f>
        <v>0</v>
      </c>
      <c r="R316" t="str">
        <f>IFERROR(INDEX(CHOOSE({1,2,3,4}, DAY(XT!U316), DAY(XT!Y316), DAY(XT!AC316), DAY(XT!AG316)), MATCH(1, INDEX(--(MONTH(CHOOSE({1,2,3,4}, XT!U316,XT!Y316,XT!AC316,XT!AG316))=5), 0), 0)), "")</f>
        <v/>
      </c>
      <c r="S316" s="12" t="str">
        <f>IF(XT!$P316&gt;0,R316,"")</f>
        <v/>
      </c>
      <c r="T316" s="12" t="str">
        <f>IF(XT!$P316=0,R316,"")</f>
        <v/>
      </c>
      <c r="U316">
        <f>SUMPRODUCT((MONTH(CHOOSE({1,2,3,4},XT!U316,XT!Y316,XT!AC316,XT!AG316))=6)*(CHOOSE({1,2,3,4},XT!X316,XT!AB316,XT!AF316,XT!AJ316)))</f>
        <v>0</v>
      </c>
      <c r="V316" t="str">
        <f>IFERROR(INDEX(CHOOSE({1,2,3,4}, DAY(XT!U316), DAY(XT!Y316), DAY(XT!AC316), DAY(XT!AG316)), MATCH(1, INDEX(--(MONTH(CHOOSE({1,2,3,4}, XT!U316,XT!Y316,XT!AC316,XT!AG316))=6), 0), 0)), "")</f>
        <v/>
      </c>
      <c r="W316" s="12" t="str">
        <f>IF(XT!$P316&gt;0,V316,"")</f>
        <v/>
      </c>
      <c r="X316" s="12" t="str">
        <f>IF(XT!$P316=0,V316,"")</f>
        <v/>
      </c>
      <c r="Y316">
        <f>SUMPRODUCT((MONTH(CHOOSE({1,2,3,4},XT!U316,XT!Y316,XT!AC316,XT!AG316))=7)*(CHOOSE({1,2,3,4},XT!X316,XT!AB316,XT!AF316,XT!AJ316)))</f>
        <v>0</v>
      </c>
      <c r="Z316" t="str">
        <f>IFERROR(INDEX(CHOOSE({1,2,3,4}, DAY(XT!U316), DAY(XT!Y316), DAY(XT!AC316), DAY(XT!AG316)), MATCH(1, INDEX(--(MONTH(CHOOSE({1,2,3,4}, XT!U316,XT!Y316,XT!AC316,XT!AG316))=7), 0), 0)), "")</f>
        <v/>
      </c>
      <c r="AA316" s="12" t="str">
        <f>IF(XT!$P316&gt;0,Z316,"")</f>
        <v/>
      </c>
      <c r="AB316" s="12" t="str">
        <f>IF(XT!$P316=0,Z316,"")</f>
        <v/>
      </c>
      <c r="AC316">
        <f>SUMPRODUCT((MONTH(CHOOSE({1,2,3,4},XT!U316,XT!Y316,XT!AC316,XT!AG316))=8)*(CHOOSE({1,2,3,4},XT!X316,XT!AB316,XT!AF316,XT!AJ316)))</f>
        <v>0</v>
      </c>
      <c r="AD316" t="str">
        <f>IFERROR(INDEX(CHOOSE({1,2,3,4}, DAY(XT!U316), DAY(XT!Y316), DAY(XT!AC316), DAY(XT!AG316)), MATCH(1, INDEX(--(MONTH(CHOOSE({1,2,3,4}, XT!U316,XT!Y316,XT!AC316,XT!AG316))=8), 0), 0)), "")</f>
        <v/>
      </c>
      <c r="AE316" s="12" t="str">
        <f>IF(XT!$P316&gt;0,AD316,"")</f>
        <v/>
      </c>
      <c r="AF316" s="12" t="str">
        <f>IF(XT!$P316=0,AD316,"")</f>
        <v/>
      </c>
      <c r="AG316">
        <f>SUMPRODUCT((MONTH(CHOOSE({1,2,3,4},XT!U316,XT!Y316,XT!AC316,XT!AG316))=9)*(CHOOSE({1,2,3,4},XT!X316,XT!AB316,XT!AF316,XT!AJ316)))</f>
        <v>0</v>
      </c>
      <c r="AH316" t="str">
        <f>IFERROR(INDEX(CHOOSE({1,2,3,4}, DAY(XT!U316), DAY(XT!Y316), DAY(XT!AC316), DAY(XT!AG316)), MATCH(1, INDEX(--(MONTH(CHOOSE({1,2,3,4}, XT!U316,XT!Y316,XT!AC316,XT!AG316))=9), 0), 0)), "")</f>
        <v/>
      </c>
      <c r="AI316" s="12" t="str">
        <f>IF(XT!$P316&gt;0,AH316,"")</f>
        <v/>
      </c>
      <c r="AJ316" s="12" t="str">
        <f>IF(XT!$P316=0,AH316,"")</f>
        <v/>
      </c>
      <c r="AK316">
        <f>SUMPRODUCT((MONTH(CHOOSE({1,2,3,4},XT!U316,XT!Y316,XT!AC316,XT!AG316))=10)*(CHOOSE({1,2,3,4},XT!X316,XT!AB316,XT!AF316,XT!AJ316)))</f>
        <v>0</v>
      </c>
      <c r="AL316" t="str">
        <f>IFERROR(INDEX(CHOOSE({1,2,3,4}, DAY(XT!U316), DAY(XT!Y316), DAY(XT!AC316), DAY(XT!AG316)), MATCH(1, INDEX(--(MONTH(CHOOSE({1,2,3,4}, XT!U316,XT!Y316,XT!AC316,XT!AG316))=10), 0), 0)), "")</f>
        <v/>
      </c>
      <c r="AM316" s="12" t="str">
        <f>IF(XT!$P316&gt;0,AL316,"")</f>
        <v/>
      </c>
      <c r="AN316" s="12" t="str">
        <f>IF(XT!$P316=0,AL316,"")</f>
        <v/>
      </c>
      <c r="AO316">
        <f>SUMPRODUCT((MONTH(CHOOSE({1,2,3,4},XT!U316,XT!Y316,XT!AC316,XT!AG316))=11)*(CHOOSE({1,2,3,4},XT!X316,XT!AB316,XT!AF316,XT!AJ316)))</f>
        <v>0</v>
      </c>
      <c r="AP316" t="str">
        <f>IFERROR(INDEX(CHOOSE({1,2,3,4}, DAY(XT!U316), DAY(XT!Y316), DAY(XT!AC316), DAY(XT!AG316)), MATCH(1, INDEX(--(MONTH(CHOOSE({1,2,3,4}, XT!U316,XT!Y316,XT!AC316,XT!AG316))=11), 0), 0)), "")</f>
        <v/>
      </c>
      <c r="AQ316" s="12" t="str">
        <f>IF(XT!$P316&gt;0,AP316,"")</f>
        <v/>
      </c>
      <c r="AR316" s="12" t="str">
        <f>IF(XT!$P316=0,AP316,"")</f>
        <v/>
      </c>
      <c r="AS316">
        <f>SUMPRODUCT((MONTH(CHOOSE({1,2,3,4},XT!U316,XT!Y316,XT!AC316,XT!AG316))=12)*(CHOOSE({1,2,3,4},XT!X316,XT!AB316,XT!AF316,XT!AJ316)))</f>
        <v>0</v>
      </c>
      <c r="AT316" t="str">
        <f>IFERROR(INDEX(CHOOSE({1,2,3,4}, DAY(XT!U316), DAY(XT!Y316), DAY(XT!AC316), DAY(XT!AG316)), MATCH(1, INDEX(--(MONTH(CHOOSE({1,2,3,4}, XT!U316,XT!Y316,XT!AC316,XT!AG316))=12), 0), 0)), "")</f>
        <v/>
      </c>
      <c r="AU316" s="12" t="str">
        <f>IF(XT!$P316&gt;0,AT316,"")</f>
        <v/>
      </c>
      <c r="AV316" s="12" t="str">
        <f>IF(XT!$P316=0,AT316,"")</f>
        <v/>
      </c>
    </row>
    <row r="317" spans="1:48">
      <c r="A317">
        <f>SUMPRODUCT((MONTH(CHOOSE({1,2,3,4},XT!U317,XT!Y317,XT!AC317,XT!AG317))=1)*(CHOOSE({1,2,3,4},XT!X317,XT!AB317,XT!AF317,XT!AJ317)))</f>
        <v>0</v>
      </c>
      <c r="B317">
        <f>IFERROR(INDEX(CHOOSE({1,2,3,4}, DAY(XT!U317), DAY(XT!Y317), DAY(XT!AC317), DAY(XT!AG317)), MATCH(1, INDEX(--(MONTH(CHOOSE({1,2,3,4}, XT!U317,XT!Y317,XT!AC317,XT!AG317))=1), 0), 0)), "")</f>
        <v>0</v>
      </c>
      <c r="C317" s="12" t="str">
        <f>IF(XT!$P317&gt;0,B317,"")</f>
        <v/>
      </c>
      <c r="D317" s="12">
        <f>IF(XT!$P317=0,B317,"")</f>
        <v>0</v>
      </c>
      <c r="E317">
        <f>SUMPRODUCT((MONTH(CHOOSE({1,2,3,4},XT!U317,XT!Y317,XT!AC317,XT!AG317))=2)*(CHOOSE({1,2,3,4},XT!X317,XT!AB317,XT!AF317,XT!AJ317)))</f>
        <v>0</v>
      </c>
      <c r="F317" t="str">
        <f>IFERROR(INDEX(CHOOSE({1,2,3,4}, DAY(XT!U317), DAY(XT!Y317), DAY(XT!AC317), DAY(XT!AG317)), MATCH(1, INDEX(--(MONTH(CHOOSE({1,2,3,4}, XT!U317,XT!Y317,XT!AC317,XT!AG317))=2), 0), 0)), "")</f>
        <v/>
      </c>
      <c r="G317" s="12" t="str">
        <f>IF(XT!$P317&gt;0,F317,"")</f>
        <v/>
      </c>
      <c r="H317" s="12" t="str">
        <f>IF(XT!$P317=0,F317,"")</f>
        <v/>
      </c>
      <c r="I317">
        <f>SUMPRODUCT((MONTH(CHOOSE({1,2,3,4},XT!U317,XT!Y317,XT!AC317,XT!AG317))=3)*(CHOOSE({1,2,3,4},XT!X317,XT!AB317,XT!AF317,XT!AJ317)))</f>
        <v>0</v>
      </c>
      <c r="J317" t="str">
        <f>IFERROR(INDEX(CHOOSE({1,2,3,4}, DAY(XT!U317), DAY(XT!Y317), DAY(XT!AC317), DAY(XT!AG317)), MATCH(1, INDEX(--(MONTH(CHOOSE({1,2,3,4}, XT!U317,XT!Y317,XT!AC317,XT!AG317))=3), 0), 0)), "")</f>
        <v/>
      </c>
      <c r="K317" s="12" t="str">
        <f>IF(XT!$P317&gt;0,J317,"")</f>
        <v/>
      </c>
      <c r="L317" s="12" t="str">
        <f>IF(XT!$P317=0,J317,"")</f>
        <v/>
      </c>
      <c r="M317">
        <f>SUMPRODUCT((MONTH(CHOOSE({1,2,3,4},XT!U317,XT!Y317,XT!AC317,XT!AG317))=4)*(CHOOSE({1,2,3,4},XT!X317,XT!AB317,XT!AF317,XT!AJ317)))</f>
        <v>0</v>
      </c>
      <c r="N317" t="str">
        <f>IFERROR(INDEX(CHOOSE({1,2,3,4}, DAY(XT!U317), DAY(XT!Y317), DAY(XT!AC317), DAY(XT!AG317)), MATCH(1, INDEX(--(MONTH(CHOOSE({1,2,3,4}, XT!U317,XT!Y317,XT!AC317,XT!AG317))=4), 0), 0)), "")</f>
        <v/>
      </c>
      <c r="O317" s="12" t="str">
        <f>IF(XT!$P317&gt;0,N317,"")</f>
        <v/>
      </c>
      <c r="P317" s="12" t="str">
        <f>IF(XT!$P317=0,N317,"")</f>
        <v/>
      </c>
      <c r="Q317">
        <f>SUMPRODUCT((MONTH(CHOOSE({1,2,3,4},XT!U317,XT!Y317,XT!AC317,XT!AG317))=5)*(CHOOSE({1,2,3,4},XT!X317,XT!AB317,XT!AF317,XT!AJ317)))</f>
        <v>0</v>
      </c>
      <c r="R317" t="str">
        <f>IFERROR(INDEX(CHOOSE({1,2,3,4}, DAY(XT!U317), DAY(XT!Y317), DAY(XT!AC317), DAY(XT!AG317)), MATCH(1, INDEX(--(MONTH(CHOOSE({1,2,3,4}, XT!U317,XT!Y317,XT!AC317,XT!AG317))=5), 0), 0)), "")</f>
        <v/>
      </c>
      <c r="S317" s="12" t="str">
        <f>IF(XT!$P317&gt;0,R317,"")</f>
        <v/>
      </c>
      <c r="T317" s="12" t="str">
        <f>IF(XT!$P317=0,R317,"")</f>
        <v/>
      </c>
      <c r="U317">
        <f>SUMPRODUCT((MONTH(CHOOSE({1,2,3,4},XT!U317,XT!Y317,XT!AC317,XT!AG317))=6)*(CHOOSE({1,2,3,4},XT!X317,XT!AB317,XT!AF317,XT!AJ317)))</f>
        <v>0</v>
      </c>
      <c r="V317" t="str">
        <f>IFERROR(INDEX(CHOOSE({1,2,3,4}, DAY(XT!U317), DAY(XT!Y317), DAY(XT!AC317), DAY(XT!AG317)), MATCH(1, INDEX(--(MONTH(CHOOSE({1,2,3,4}, XT!U317,XT!Y317,XT!AC317,XT!AG317))=6), 0), 0)), "")</f>
        <v/>
      </c>
      <c r="W317" s="12" t="str">
        <f>IF(XT!$P317&gt;0,V317,"")</f>
        <v/>
      </c>
      <c r="X317" s="12" t="str">
        <f>IF(XT!$P317=0,V317,"")</f>
        <v/>
      </c>
      <c r="Y317">
        <f>SUMPRODUCT((MONTH(CHOOSE({1,2,3,4},XT!U317,XT!Y317,XT!AC317,XT!AG317))=7)*(CHOOSE({1,2,3,4},XT!X317,XT!AB317,XT!AF317,XT!AJ317)))</f>
        <v>0</v>
      </c>
      <c r="Z317" t="str">
        <f>IFERROR(INDEX(CHOOSE({1,2,3,4}, DAY(XT!U317), DAY(XT!Y317), DAY(XT!AC317), DAY(XT!AG317)), MATCH(1, INDEX(--(MONTH(CHOOSE({1,2,3,4}, XT!U317,XT!Y317,XT!AC317,XT!AG317))=7), 0), 0)), "")</f>
        <v/>
      </c>
      <c r="AA317" s="12" t="str">
        <f>IF(XT!$P317&gt;0,Z317,"")</f>
        <v/>
      </c>
      <c r="AB317" s="12" t="str">
        <f>IF(XT!$P317=0,Z317,"")</f>
        <v/>
      </c>
      <c r="AC317">
        <f>SUMPRODUCT((MONTH(CHOOSE({1,2,3,4},XT!U317,XT!Y317,XT!AC317,XT!AG317))=8)*(CHOOSE({1,2,3,4},XT!X317,XT!AB317,XT!AF317,XT!AJ317)))</f>
        <v>0</v>
      </c>
      <c r="AD317" t="str">
        <f>IFERROR(INDEX(CHOOSE({1,2,3,4}, DAY(XT!U317), DAY(XT!Y317), DAY(XT!AC317), DAY(XT!AG317)), MATCH(1, INDEX(--(MONTH(CHOOSE({1,2,3,4}, XT!U317,XT!Y317,XT!AC317,XT!AG317))=8), 0), 0)), "")</f>
        <v/>
      </c>
      <c r="AE317" s="12" t="str">
        <f>IF(XT!$P317&gt;0,AD317,"")</f>
        <v/>
      </c>
      <c r="AF317" s="12" t="str">
        <f>IF(XT!$P317=0,AD317,"")</f>
        <v/>
      </c>
      <c r="AG317">
        <f>SUMPRODUCT((MONTH(CHOOSE({1,2,3,4},XT!U317,XT!Y317,XT!AC317,XT!AG317))=9)*(CHOOSE({1,2,3,4},XT!X317,XT!AB317,XT!AF317,XT!AJ317)))</f>
        <v>0</v>
      </c>
      <c r="AH317" t="str">
        <f>IFERROR(INDEX(CHOOSE({1,2,3,4}, DAY(XT!U317), DAY(XT!Y317), DAY(XT!AC317), DAY(XT!AG317)), MATCH(1, INDEX(--(MONTH(CHOOSE({1,2,3,4}, XT!U317,XT!Y317,XT!AC317,XT!AG317))=9), 0), 0)), "")</f>
        <v/>
      </c>
      <c r="AI317" s="12" t="str">
        <f>IF(XT!$P317&gt;0,AH317,"")</f>
        <v/>
      </c>
      <c r="AJ317" s="12" t="str">
        <f>IF(XT!$P317=0,AH317,"")</f>
        <v/>
      </c>
      <c r="AK317">
        <f>SUMPRODUCT((MONTH(CHOOSE({1,2,3,4},XT!U317,XT!Y317,XT!AC317,XT!AG317))=10)*(CHOOSE({1,2,3,4},XT!X317,XT!AB317,XT!AF317,XT!AJ317)))</f>
        <v>0</v>
      </c>
      <c r="AL317" t="str">
        <f>IFERROR(INDEX(CHOOSE({1,2,3,4}, DAY(XT!U317), DAY(XT!Y317), DAY(XT!AC317), DAY(XT!AG317)), MATCH(1, INDEX(--(MONTH(CHOOSE({1,2,3,4}, XT!U317,XT!Y317,XT!AC317,XT!AG317))=10), 0), 0)), "")</f>
        <v/>
      </c>
      <c r="AM317" s="12" t="str">
        <f>IF(XT!$P317&gt;0,AL317,"")</f>
        <v/>
      </c>
      <c r="AN317" s="12" t="str">
        <f>IF(XT!$P317=0,AL317,"")</f>
        <v/>
      </c>
      <c r="AO317">
        <f>SUMPRODUCT((MONTH(CHOOSE({1,2,3,4},XT!U317,XT!Y317,XT!AC317,XT!AG317))=11)*(CHOOSE({1,2,3,4},XT!X317,XT!AB317,XT!AF317,XT!AJ317)))</f>
        <v>0</v>
      </c>
      <c r="AP317" t="str">
        <f>IFERROR(INDEX(CHOOSE({1,2,3,4}, DAY(XT!U317), DAY(XT!Y317), DAY(XT!AC317), DAY(XT!AG317)), MATCH(1, INDEX(--(MONTH(CHOOSE({1,2,3,4}, XT!U317,XT!Y317,XT!AC317,XT!AG317))=11), 0), 0)), "")</f>
        <v/>
      </c>
      <c r="AQ317" s="12" t="str">
        <f>IF(XT!$P317&gt;0,AP317,"")</f>
        <v/>
      </c>
      <c r="AR317" s="12" t="str">
        <f>IF(XT!$P317=0,AP317,"")</f>
        <v/>
      </c>
      <c r="AS317">
        <f>SUMPRODUCT((MONTH(CHOOSE({1,2,3,4},XT!U317,XT!Y317,XT!AC317,XT!AG317))=12)*(CHOOSE({1,2,3,4},XT!X317,XT!AB317,XT!AF317,XT!AJ317)))</f>
        <v>0</v>
      </c>
      <c r="AT317" t="str">
        <f>IFERROR(INDEX(CHOOSE({1,2,3,4}, DAY(XT!U317), DAY(XT!Y317), DAY(XT!AC317), DAY(XT!AG317)), MATCH(1, INDEX(--(MONTH(CHOOSE({1,2,3,4}, XT!U317,XT!Y317,XT!AC317,XT!AG317))=12), 0), 0)), "")</f>
        <v/>
      </c>
      <c r="AU317" s="12" t="str">
        <f>IF(XT!$P317&gt;0,AT317,"")</f>
        <v/>
      </c>
      <c r="AV317" s="12" t="str">
        <f>IF(XT!$P317=0,AT317,"")</f>
        <v/>
      </c>
    </row>
    <row r="318" spans="1:48">
      <c r="A318">
        <f>SUMPRODUCT((MONTH(CHOOSE({1,2,3,4},XT!U318,XT!Y318,XT!AC318,XT!AG318))=1)*(CHOOSE({1,2,3,4},XT!X318,XT!AB318,XT!AF318,XT!AJ318)))</f>
        <v>0</v>
      </c>
      <c r="B318">
        <f>IFERROR(INDEX(CHOOSE({1,2,3,4}, DAY(XT!U318), DAY(XT!Y318), DAY(XT!AC318), DAY(XT!AG318)), MATCH(1, INDEX(--(MONTH(CHOOSE({1,2,3,4}, XT!U318,XT!Y318,XT!AC318,XT!AG318))=1), 0), 0)), "")</f>
        <v>0</v>
      </c>
      <c r="C318" s="12" t="str">
        <f>IF(XT!$P318&gt;0,B318,"")</f>
        <v/>
      </c>
      <c r="D318" s="12">
        <f>IF(XT!$P318=0,B318,"")</f>
        <v>0</v>
      </c>
      <c r="E318">
        <f>SUMPRODUCT((MONTH(CHOOSE({1,2,3,4},XT!U318,XT!Y318,XT!AC318,XT!AG318))=2)*(CHOOSE({1,2,3,4},XT!X318,XT!AB318,XT!AF318,XT!AJ318)))</f>
        <v>0</v>
      </c>
      <c r="F318" t="str">
        <f>IFERROR(INDEX(CHOOSE({1,2,3,4}, DAY(XT!U318), DAY(XT!Y318), DAY(XT!AC318), DAY(XT!AG318)), MATCH(1, INDEX(--(MONTH(CHOOSE({1,2,3,4}, XT!U318,XT!Y318,XT!AC318,XT!AG318))=2), 0), 0)), "")</f>
        <v/>
      </c>
      <c r="G318" s="12" t="str">
        <f>IF(XT!$P318&gt;0,F318,"")</f>
        <v/>
      </c>
      <c r="H318" s="12" t="str">
        <f>IF(XT!$P318=0,F318,"")</f>
        <v/>
      </c>
      <c r="I318">
        <f>SUMPRODUCT((MONTH(CHOOSE({1,2,3,4},XT!U318,XT!Y318,XT!AC318,XT!AG318))=3)*(CHOOSE({1,2,3,4},XT!X318,XT!AB318,XT!AF318,XT!AJ318)))</f>
        <v>0</v>
      </c>
      <c r="J318" t="str">
        <f>IFERROR(INDEX(CHOOSE({1,2,3,4}, DAY(XT!U318), DAY(XT!Y318), DAY(XT!AC318), DAY(XT!AG318)), MATCH(1, INDEX(--(MONTH(CHOOSE({1,2,3,4}, XT!U318,XT!Y318,XT!AC318,XT!AG318))=3), 0), 0)), "")</f>
        <v/>
      </c>
      <c r="K318" s="12" t="str">
        <f>IF(XT!$P318&gt;0,J318,"")</f>
        <v/>
      </c>
      <c r="L318" s="12" t="str">
        <f>IF(XT!$P318=0,J318,"")</f>
        <v/>
      </c>
      <c r="M318">
        <f>SUMPRODUCT((MONTH(CHOOSE({1,2,3,4},XT!U318,XT!Y318,XT!AC318,XT!AG318))=4)*(CHOOSE({1,2,3,4},XT!X318,XT!AB318,XT!AF318,XT!AJ318)))</f>
        <v>0</v>
      </c>
      <c r="N318" t="str">
        <f>IFERROR(INDEX(CHOOSE({1,2,3,4}, DAY(XT!U318), DAY(XT!Y318), DAY(XT!AC318), DAY(XT!AG318)), MATCH(1, INDEX(--(MONTH(CHOOSE({1,2,3,4}, XT!U318,XT!Y318,XT!AC318,XT!AG318))=4), 0), 0)), "")</f>
        <v/>
      </c>
      <c r="O318" s="12" t="str">
        <f>IF(XT!$P318&gt;0,N318,"")</f>
        <v/>
      </c>
      <c r="P318" s="12" t="str">
        <f>IF(XT!$P318=0,N318,"")</f>
        <v/>
      </c>
      <c r="Q318">
        <f>SUMPRODUCT((MONTH(CHOOSE({1,2,3,4},XT!U318,XT!Y318,XT!AC318,XT!AG318))=5)*(CHOOSE({1,2,3,4},XT!X318,XT!AB318,XT!AF318,XT!AJ318)))</f>
        <v>0</v>
      </c>
      <c r="R318" t="str">
        <f>IFERROR(INDEX(CHOOSE({1,2,3,4}, DAY(XT!U318), DAY(XT!Y318), DAY(XT!AC318), DAY(XT!AG318)), MATCH(1, INDEX(--(MONTH(CHOOSE({1,2,3,4}, XT!U318,XT!Y318,XT!AC318,XT!AG318))=5), 0), 0)), "")</f>
        <v/>
      </c>
      <c r="S318" s="12" t="str">
        <f>IF(XT!$P318&gt;0,R318,"")</f>
        <v/>
      </c>
      <c r="T318" s="12" t="str">
        <f>IF(XT!$P318=0,R318,"")</f>
        <v/>
      </c>
      <c r="U318">
        <f>SUMPRODUCT((MONTH(CHOOSE({1,2,3,4},XT!U318,XT!Y318,XT!AC318,XT!AG318))=6)*(CHOOSE({1,2,3,4},XT!X318,XT!AB318,XT!AF318,XT!AJ318)))</f>
        <v>0</v>
      </c>
      <c r="V318" t="str">
        <f>IFERROR(INDEX(CHOOSE({1,2,3,4}, DAY(XT!U318), DAY(XT!Y318), DAY(XT!AC318), DAY(XT!AG318)), MATCH(1, INDEX(--(MONTH(CHOOSE({1,2,3,4}, XT!U318,XT!Y318,XT!AC318,XT!AG318))=6), 0), 0)), "")</f>
        <v/>
      </c>
      <c r="W318" s="12" t="str">
        <f>IF(XT!$P318&gt;0,V318,"")</f>
        <v/>
      </c>
      <c r="X318" s="12" t="str">
        <f>IF(XT!$P318=0,V318,"")</f>
        <v/>
      </c>
      <c r="Y318">
        <f>SUMPRODUCT((MONTH(CHOOSE({1,2,3,4},XT!U318,XT!Y318,XT!AC318,XT!AG318))=7)*(CHOOSE({1,2,3,4},XT!X318,XT!AB318,XT!AF318,XT!AJ318)))</f>
        <v>0</v>
      </c>
      <c r="Z318" t="str">
        <f>IFERROR(INDEX(CHOOSE({1,2,3,4}, DAY(XT!U318), DAY(XT!Y318), DAY(XT!AC318), DAY(XT!AG318)), MATCH(1, INDEX(--(MONTH(CHOOSE({1,2,3,4}, XT!U318,XT!Y318,XT!AC318,XT!AG318))=7), 0), 0)), "")</f>
        <v/>
      </c>
      <c r="AA318" s="12" t="str">
        <f>IF(XT!$P318&gt;0,Z318,"")</f>
        <v/>
      </c>
      <c r="AB318" s="12" t="str">
        <f>IF(XT!$P318=0,Z318,"")</f>
        <v/>
      </c>
      <c r="AC318">
        <f>SUMPRODUCT((MONTH(CHOOSE({1,2,3,4},XT!U318,XT!Y318,XT!AC318,XT!AG318))=8)*(CHOOSE({1,2,3,4},XT!X318,XT!AB318,XT!AF318,XT!AJ318)))</f>
        <v>0</v>
      </c>
      <c r="AD318" t="str">
        <f>IFERROR(INDEX(CHOOSE({1,2,3,4}, DAY(XT!U318), DAY(XT!Y318), DAY(XT!AC318), DAY(XT!AG318)), MATCH(1, INDEX(--(MONTH(CHOOSE({1,2,3,4}, XT!U318,XT!Y318,XT!AC318,XT!AG318))=8), 0), 0)), "")</f>
        <v/>
      </c>
      <c r="AE318" s="12" t="str">
        <f>IF(XT!$P318&gt;0,AD318,"")</f>
        <v/>
      </c>
      <c r="AF318" s="12" t="str">
        <f>IF(XT!$P318=0,AD318,"")</f>
        <v/>
      </c>
      <c r="AG318">
        <f>SUMPRODUCT((MONTH(CHOOSE({1,2,3,4},XT!U318,XT!Y318,XT!AC318,XT!AG318))=9)*(CHOOSE({1,2,3,4},XT!X318,XT!AB318,XT!AF318,XT!AJ318)))</f>
        <v>0</v>
      </c>
      <c r="AH318" t="str">
        <f>IFERROR(INDEX(CHOOSE({1,2,3,4}, DAY(XT!U318), DAY(XT!Y318), DAY(XT!AC318), DAY(XT!AG318)), MATCH(1, INDEX(--(MONTH(CHOOSE({1,2,3,4}, XT!U318,XT!Y318,XT!AC318,XT!AG318))=9), 0), 0)), "")</f>
        <v/>
      </c>
      <c r="AI318" s="12" t="str">
        <f>IF(XT!$P318&gt;0,AH318,"")</f>
        <v/>
      </c>
      <c r="AJ318" s="12" t="str">
        <f>IF(XT!$P318=0,AH318,"")</f>
        <v/>
      </c>
      <c r="AK318">
        <f>SUMPRODUCT((MONTH(CHOOSE({1,2,3,4},XT!U318,XT!Y318,XT!AC318,XT!AG318))=10)*(CHOOSE({1,2,3,4},XT!X318,XT!AB318,XT!AF318,XT!AJ318)))</f>
        <v>0</v>
      </c>
      <c r="AL318" t="str">
        <f>IFERROR(INDEX(CHOOSE({1,2,3,4}, DAY(XT!U318), DAY(XT!Y318), DAY(XT!AC318), DAY(XT!AG318)), MATCH(1, INDEX(--(MONTH(CHOOSE({1,2,3,4}, XT!U318,XT!Y318,XT!AC318,XT!AG318))=10), 0), 0)), "")</f>
        <v/>
      </c>
      <c r="AM318" s="12" t="str">
        <f>IF(XT!$P318&gt;0,AL318,"")</f>
        <v/>
      </c>
      <c r="AN318" s="12" t="str">
        <f>IF(XT!$P318=0,AL318,"")</f>
        <v/>
      </c>
      <c r="AO318">
        <f>SUMPRODUCT((MONTH(CHOOSE({1,2,3,4},XT!U318,XT!Y318,XT!AC318,XT!AG318))=11)*(CHOOSE({1,2,3,4},XT!X318,XT!AB318,XT!AF318,XT!AJ318)))</f>
        <v>0</v>
      </c>
      <c r="AP318" t="str">
        <f>IFERROR(INDEX(CHOOSE({1,2,3,4}, DAY(XT!U318), DAY(XT!Y318), DAY(XT!AC318), DAY(XT!AG318)), MATCH(1, INDEX(--(MONTH(CHOOSE({1,2,3,4}, XT!U318,XT!Y318,XT!AC318,XT!AG318))=11), 0), 0)), "")</f>
        <v/>
      </c>
      <c r="AQ318" s="12" t="str">
        <f>IF(XT!$P318&gt;0,AP318,"")</f>
        <v/>
      </c>
      <c r="AR318" s="12" t="str">
        <f>IF(XT!$P318=0,AP318,"")</f>
        <v/>
      </c>
      <c r="AS318">
        <f>SUMPRODUCT((MONTH(CHOOSE({1,2,3,4},XT!U318,XT!Y318,XT!AC318,XT!AG318))=12)*(CHOOSE({1,2,3,4},XT!X318,XT!AB318,XT!AF318,XT!AJ318)))</f>
        <v>0</v>
      </c>
      <c r="AT318" t="str">
        <f>IFERROR(INDEX(CHOOSE({1,2,3,4}, DAY(XT!U318), DAY(XT!Y318), DAY(XT!AC318), DAY(XT!AG318)), MATCH(1, INDEX(--(MONTH(CHOOSE({1,2,3,4}, XT!U318,XT!Y318,XT!AC318,XT!AG318))=12), 0), 0)), "")</f>
        <v/>
      </c>
      <c r="AU318" s="12" t="str">
        <f>IF(XT!$P318&gt;0,AT318,"")</f>
        <v/>
      </c>
      <c r="AV318" s="12" t="str">
        <f>IF(XT!$P318=0,AT318,"")</f>
        <v/>
      </c>
    </row>
    <row r="319" spans="1:48">
      <c r="A319">
        <f>SUMPRODUCT((MONTH(CHOOSE({1,2,3,4},XT!U319,XT!Y319,XT!AC319,XT!AG319))=1)*(CHOOSE({1,2,3,4},XT!X319,XT!AB319,XT!AF319,XT!AJ319)))</f>
        <v>0</v>
      </c>
      <c r="B319">
        <f>IFERROR(INDEX(CHOOSE({1,2,3,4}, DAY(XT!U319), DAY(XT!Y319), DAY(XT!AC319), DAY(XT!AG319)), MATCH(1, INDEX(--(MONTH(CHOOSE({1,2,3,4}, XT!U319,XT!Y319,XT!AC319,XT!AG319))=1), 0), 0)), "")</f>
        <v>0</v>
      </c>
      <c r="C319" s="12" t="str">
        <f>IF(XT!$P319&gt;0,B319,"")</f>
        <v/>
      </c>
      <c r="D319" s="12">
        <f>IF(XT!$P319=0,B319,"")</f>
        <v>0</v>
      </c>
      <c r="E319">
        <f>SUMPRODUCT((MONTH(CHOOSE({1,2,3,4},XT!U319,XT!Y319,XT!AC319,XT!AG319))=2)*(CHOOSE({1,2,3,4},XT!X319,XT!AB319,XT!AF319,XT!AJ319)))</f>
        <v>0</v>
      </c>
      <c r="F319" t="str">
        <f>IFERROR(INDEX(CHOOSE({1,2,3,4}, DAY(XT!U319), DAY(XT!Y319), DAY(XT!AC319), DAY(XT!AG319)), MATCH(1, INDEX(--(MONTH(CHOOSE({1,2,3,4}, XT!U319,XT!Y319,XT!AC319,XT!AG319))=2), 0), 0)), "")</f>
        <v/>
      </c>
      <c r="G319" s="12" t="str">
        <f>IF(XT!$P319&gt;0,F319,"")</f>
        <v/>
      </c>
      <c r="H319" s="12" t="str">
        <f>IF(XT!$P319=0,F319,"")</f>
        <v/>
      </c>
      <c r="I319">
        <f>SUMPRODUCT((MONTH(CHOOSE({1,2,3,4},XT!U319,XT!Y319,XT!AC319,XT!AG319))=3)*(CHOOSE({1,2,3,4},XT!X319,XT!AB319,XT!AF319,XT!AJ319)))</f>
        <v>0</v>
      </c>
      <c r="J319" t="str">
        <f>IFERROR(INDEX(CHOOSE({1,2,3,4}, DAY(XT!U319), DAY(XT!Y319), DAY(XT!AC319), DAY(XT!AG319)), MATCH(1, INDEX(--(MONTH(CHOOSE({1,2,3,4}, XT!U319,XT!Y319,XT!AC319,XT!AG319))=3), 0), 0)), "")</f>
        <v/>
      </c>
      <c r="K319" s="12" t="str">
        <f>IF(XT!$P319&gt;0,J319,"")</f>
        <v/>
      </c>
      <c r="L319" s="12" t="str">
        <f>IF(XT!$P319=0,J319,"")</f>
        <v/>
      </c>
      <c r="M319">
        <f>SUMPRODUCT((MONTH(CHOOSE({1,2,3,4},XT!U319,XT!Y319,XT!AC319,XT!AG319))=4)*(CHOOSE({1,2,3,4},XT!X319,XT!AB319,XT!AF319,XT!AJ319)))</f>
        <v>0</v>
      </c>
      <c r="N319" t="str">
        <f>IFERROR(INDEX(CHOOSE({1,2,3,4}, DAY(XT!U319), DAY(XT!Y319), DAY(XT!AC319), DAY(XT!AG319)), MATCH(1, INDEX(--(MONTH(CHOOSE({1,2,3,4}, XT!U319,XT!Y319,XT!AC319,XT!AG319))=4), 0), 0)), "")</f>
        <v/>
      </c>
      <c r="O319" s="12" t="str">
        <f>IF(XT!$P319&gt;0,N319,"")</f>
        <v/>
      </c>
      <c r="P319" s="12" t="str">
        <f>IF(XT!$P319=0,N319,"")</f>
        <v/>
      </c>
      <c r="Q319">
        <f>SUMPRODUCT((MONTH(CHOOSE({1,2,3,4},XT!U319,XT!Y319,XT!AC319,XT!AG319))=5)*(CHOOSE({1,2,3,4},XT!X319,XT!AB319,XT!AF319,XT!AJ319)))</f>
        <v>0</v>
      </c>
      <c r="R319" t="str">
        <f>IFERROR(INDEX(CHOOSE({1,2,3,4}, DAY(XT!U319), DAY(XT!Y319), DAY(XT!AC319), DAY(XT!AG319)), MATCH(1, INDEX(--(MONTH(CHOOSE({1,2,3,4}, XT!U319,XT!Y319,XT!AC319,XT!AG319))=5), 0), 0)), "")</f>
        <v/>
      </c>
      <c r="S319" s="12" t="str">
        <f>IF(XT!$P319&gt;0,R319,"")</f>
        <v/>
      </c>
      <c r="T319" s="12" t="str">
        <f>IF(XT!$P319=0,R319,"")</f>
        <v/>
      </c>
      <c r="U319">
        <f>SUMPRODUCT((MONTH(CHOOSE({1,2,3,4},XT!U319,XT!Y319,XT!AC319,XT!AG319))=6)*(CHOOSE({1,2,3,4},XT!X319,XT!AB319,XT!AF319,XT!AJ319)))</f>
        <v>0</v>
      </c>
      <c r="V319" t="str">
        <f>IFERROR(INDEX(CHOOSE({1,2,3,4}, DAY(XT!U319), DAY(XT!Y319), DAY(XT!AC319), DAY(XT!AG319)), MATCH(1, INDEX(--(MONTH(CHOOSE({1,2,3,4}, XT!U319,XT!Y319,XT!AC319,XT!AG319))=6), 0), 0)), "")</f>
        <v/>
      </c>
      <c r="W319" s="12" t="str">
        <f>IF(XT!$P319&gt;0,V319,"")</f>
        <v/>
      </c>
      <c r="X319" s="12" t="str">
        <f>IF(XT!$P319=0,V319,"")</f>
        <v/>
      </c>
      <c r="Y319">
        <f>SUMPRODUCT((MONTH(CHOOSE({1,2,3,4},XT!U319,XT!Y319,XT!AC319,XT!AG319))=7)*(CHOOSE({1,2,3,4},XT!X319,XT!AB319,XT!AF319,XT!AJ319)))</f>
        <v>0</v>
      </c>
      <c r="Z319" t="str">
        <f>IFERROR(INDEX(CHOOSE({1,2,3,4}, DAY(XT!U319), DAY(XT!Y319), DAY(XT!AC319), DAY(XT!AG319)), MATCH(1, INDEX(--(MONTH(CHOOSE({1,2,3,4}, XT!U319,XT!Y319,XT!AC319,XT!AG319))=7), 0), 0)), "")</f>
        <v/>
      </c>
      <c r="AA319" s="12" t="str">
        <f>IF(XT!$P319&gt;0,Z319,"")</f>
        <v/>
      </c>
      <c r="AB319" s="12" t="str">
        <f>IF(XT!$P319=0,Z319,"")</f>
        <v/>
      </c>
      <c r="AC319">
        <f>SUMPRODUCT((MONTH(CHOOSE({1,2,3,4},XT!U319,XT!Y319,XT!AC319,XT!AG319))=8)*(CHOOSE({1,2,3,4},XT!X319,XT!AB319,XT!AF319,XT!AJ319)))</f>
        <v>0</v>
      </c>
      <c r="AD319" t="str">
        <f>IFERROR(INDEX(CHOOSE({1,2,3,4}, DAY(XT!U319), DAY(XT!Y319), DAY(XT!AC319), DAY(XT!AG319)), MATCH(1, INDEX(--(MONTH(CHOOSE({1,2,3,4}, XT!U319,XT!Y319,XT!AC319,XT!AG319))=8), 0), 0)), "")</f>
        <v/>
      </c>
      <c r="AE319" s="12" t="str">
        <f>IF(XT!$P319&gt;0,AD319,"")</f>
        <v/>
      </c>
      <c r="AF319" s="12" t="str">
        <f>IF(XT!$P319=0,AD319,"")</f>
        <v/>
      </c>
      <c r="AG319">
        <f>SUMPRODUCT((MONTH(CHOOSE({1,2,3,4},XT!U319,XT!Y319,XT!AC319,XT!AG319))=9)*(CHOOSE({1,2,3,4},XT!X319,XT!AB319,XT!AF319,XT!AJ319)))</f>
        <v>0</v>
      </c>
      <c r="AH319" t="str">
        <f>IFERROR(INDEX(CHOOSE({1,2,3,4}, DAY(XT!U319), DAY(XT!Y319), DAY(XT!AC319), DAY(XT!AG319)), MATCH(1, INDEX(--(MONTH(CHOOSE({1,2,3,4}, XT!U319,XT!Y319,XT!AC319,XT!AG319))=9), 0), 0)), "")</f>
        <v/>
      </c>
      <c r="AI319" s="12" t="str">
        <f>IF(XT!$P319&gt;0,AH319,"")</f>
        <v/>
      </c>
      <c r="AJ319" s="12" t="str">
        <f>IF(XT!$P319=0,AH319,"")</f>
        <v/>
      </c>
      <c r="AK319">
        <f>SUMPRODUCT((MONTH(CHOOSE({1,2,3,4},XT!U319,XT!Y319,XT!AC319,XT!AG319))=10)*(CHOOSE({1,2,3,4},XT!X319,XT!AB319,XT!AF319,XT!AJ319)))</f>
        <v>0</v>
      </c>
      <c r="AL319" t="str">
        <f>IFERROR(INDEX(CHOOSE({1,2,3,4}, DAY(XT!U319), DAY(XT!Y319), DAY(XT!AC319), DAY(XT!AG319)), MATCH(1, INDEX(--(MONTH(CHOOSE({1,2,3,4}, XT!U319,XT!Y319,XT!AC319,XT!AG319))=10), 0), 0)), "")</f>
        <v/>
      </c>
      <c r="AM319" s="12" t="str">
        <f>IF(XT!$P319&gt;0,AL319,"")</f>
        <v/>
      </c>
      <c r="AN319" s="12" t="str">
        <f>IF(XT!$P319=0,AL319,"")</f>
        <v/>
      </c>
      <c r="AO319">
        <f>SUMPRODUCT((MONTH(CHOOSE({1,2,3,4},XT!U319,XT!Y319,XT!AC319,XT!AG319))=11)*(CHOOSE({1,2,3,4},XT!X319,XT!AB319,XT!AF319,XT!AJ319)))</f>
        <v>0</v>
      </c>
      <c r="AP319" t="str">
        <f>IFERROR(INDEX(CHOOSE({1,2,3,4}, DAY(XT!U319), DAY(XT!Y319), DAY(XT!AC319), DAY(XT!AG319)), MATCH(1, INDEX(--(MONTH(CHOOSE({1,2,3,4}, XT!U319,XT!Y319,XT!AC319,XT!AG319))=11), 0), 0)), "")</f>
        <v/>
      </c>
      <c r="AQ319" s="12" t="str">
        <f>IF(XT!$P319&gt;0,AP319,"")</f>
        <v/>
      </c>
      <c r="AR319" s="12" t="str">
        <f>IF(XT!$P319=0,AP319,"")</f>
        <v/>
      </c>
      <c r="AS319">
        <f>SUMPRODUCT((MONTH(CHOOSE({1,2,3,4},XT!U319,XT!Y319,XT!AC319,XT!AG319))=12)*(CHOOSE({1,2,3,4},XT!X319,XT!AB319,XT!AF319,XT!AJ319)))</f>
        <v>0</v>
      </c>
      <c r="AT319" t="str">
        <f>IFERROR(INDEX(CHOOSE({1,2,3,4}, DAY(XT!U319), DAY(XT!Y319), DAY(XT!AC319), DAY(XT!AG319)), MATCH(1, INDEX(--(MONTH(CHOOSE({1,2,3,4}, XT!U319,XT!Y319,XT!AC319,XT!AG319))=12), 0), 0)), "")</f>
        <v/>
      </c>
      <c r="AU319" s="12" t="str">
        <f>IF(XT!$P319&gt;0,AT319,"")</f>
        <v/>
      </c>
      <c r="AV319" s="12" t="str">
        <f>IF(XT!$P319=0,AT319,"")</f>
        <v/>
      </c>
    </row>
    <row r="320" spans="1:48">
      <c r="A320">
        <f>SUMPRODUCT((MONTH(CHOOSE({1,2,3,4},XT!U320,XT!Y320,XT!AC320,XT!AG320))=1)*(CHOOSE({1,2,3,4},XT!X320,XT!AB320,XT!AF320,XT!AJ320)))</f>
        <v>0</v>
      </c>
      <c r="B320">
        <f>IFERROR(INDEX(CHOOSE({1,2,3,4}, DAY(XT!U320), DAY(XT!Y320), DAY(XT!AC320), DAY(XT!AG320)), MATCH(1, INDEX(--(MONTH(CHOOSE({1,2,3,4}, XT!U320,XT!Y320,XT!AC320,XT!AG320))=1), 0), 0)), "")</f>
        <v>0</v>
      </c>
      <c r="C320" s="12" t="str">
        <f>IF(XT!$P320&gt;0,B320,"")</f>
        <v/>
      </c>
      <c r="D320" s="12">
        <f>IF(XT!$P320=0,B320,"")</f>
        <v>0</v>
      </c>
      <c r="E320">
        <f>SUMPRODUCT((MONTH(CHOOSE({1,2,3,4},XT!U320,XT!Y320,XT!AC320,XT!AG320))=2)*(CHOOSE({1,2,3,4},XT!X320,XT!AB320,XT!AF320,XT!AJ320)))</f>
        <v>0</v>
      </c>
      <c r="F320" t="str">
        <f>IFERROR(INDEX(CHOOSE({1,2,3,4}, DAY(XT!U320), DAY(XT!Y320), DAY(XT!AC320), DAY(XT!AG320)), MATCH(1, INDEX(--(MONTH(CHOOSE({1,2,3,4}, XT!U320,XT!Y320,XT!AC320,XT!AG320))=2), 0), 0)), "")</f>
        <v/>
      </c>
      <c r="G320" s="12" t="str">
        <f>IF(XT!$P320&gt;0,F320,"")</f>
        <v/>
      </c>
      <c r="H320" s="12" t="str">
        <f>IF(XT!$P320=0,F320,"")</f>
        <v/>
      </c>
      <c r="I320">
        <f>SUMPRODUCT((MONTH(CHOOSE({1,2,3,4},XT!U320,XT!Y320,XT!AC320,XT!AG320))=3)*(CHOOSE({1,2,3,4},XT!X320,XT!AB320,XT!AF320,XT!AJ320)))</f>
        <v>0</v>
      </c>
      <c r="J320" t="str">
        <f>IFERROR(INDEX(CHOOSE({1,2,3,4}, DAY(XT!U320), DAY(XT!Y320), DAY(XT!AC320), DAY(XT!AG320)), MATCH(1, INDEX(--(MONTH(CHOOSE({1,2,3,4}, XT!U320,XT!Y320,XT!AC320,XT!AG320))=3), 0), 0)), "")</f>
        <v/>
      </c>
      <c r="K320" s="12" t="str">
        <f>IF(XT!$P320&gt;0,J320,"")</f>
        <v/>
      </c>
      <c r="L320" s="12" t="str">
        <f>IF(XT!$P320=0,J320,"")</f>
        <v/>
      </c>
      <c r="M320">
        <f>SUMPRODUCT((MONTH(CHOOSE({1,2,3,4},XT!U320,XT!Y320,XT!AC320,XT!AG320))=4)*(CHOOSE({1,2,3,4},XT!X320,XT!AB320,XT!AF320,XT!AJ320)))</f>
        <v>0</v>
      </c>
      <c r="N320" t="str">
        <f>IFERROR(INDEX(CHOOSE({1,2,3,4}, DAY(XT!U320), DAY(XT!Y320), DAY(XT!AC320), DAY(XT!AG320)), MATCH(1, INDEX(--(MONTH(CHOOSE({1,2,3,4}, XT!U320,XT!Y320,XT!AC320,XT!AG320))=4), 0), 0)), "")</f>
        <v/>
      </c>
      <c r="O320" s="12" t="str">
        <f>IF(XT!$P320&gt;0,N320,"")</f>
        <v/>
      </c>
      <c r="P320" s="12" t="str">
        <f>IF(XT!$P320=0,N320,"")</f>
        <v/>
      </c>
      <c r="Q320">
        <f>SUMPRODUCT((MONTH(CHOOSE({1,2,3,4},XT!U320,XT!Y320,XT!AC320,XT!AG320))=5)*(CHOOSE({1,2,3,4},XT!X320,XT!AB320,XT!AF320,XT!AJ320)))</f>
        <v>0</v>
      </c>
      <c r="R320" t="str">
        <f>IFERROR(INDEX(CHOOSE({1,2,3,4}, DAY(XT!U320), DAY(XT!Y320), DAY(XT!AC320), DAY(XT!AG320)), MATCH(1, INDEX(--(MONTH(CHOOSE({1,2,3,4}, XT!U320,XT!Y320,XT!AC320,XT!AG320))=5), 0), 0)), "")</f>
        <v/>
      </c>
      <c r="S320" s="12" t="str">
        <f>IF(XT!$P320&gt;0,R320,"")</f>
        <v/>
      </c>
      <c r="T320" s="12" t="str">
        <f>IF(XT!$P320=0,R320,"")</f>
        <v/>
      </c>
      <c r="U320">
        <f>SUMPRODUCT((MONTH(CHOOSE({1,2,3,4},XT!U320,XT!Y320,XT!AC320,XT!AG320))=6)*(CHOOSE({1,2,3,4},XT!X320,XT!AB320,XT!AF320,XT!AJ320)))</f>
        <v>0</v>
      </c>
      <c r="V320" t="str">
        <f>IFERROR(INDEX(CHOOSE({1,2,3,4}, DAY(XT!U320), DAY(XT!Y320), DAY(XT!AC320), DAY(XT!AG320)), MATCH(1, INDEX(--(MONTH(CHOOSE({1,2,3,4}, XT!U320,XT!Y320,XT!AC320,XT!AG320))=6), 0), 0)), "")</f>
        <v/>
      </c>
      <c r="W320" s="12" t="str">
        <f>IF(XT!$P320&gt;0,V320,"")</f>
        <v/>
      </c>
      <c r="X320" s="12" t="str">
        <f>IF(XT!$P320=0,V320,"")</f>
        <v/>
      </c>
      <c r="Y320">
        <f>SUMPRODUCT((MONTH(CHOOSE({1,2,3,4},XT!U320,XT!Y320,XT!AC320,XT!AG320))=7)*(CHOOSE({1,2,3,4},XT!X320,XT!AB320,XT!AF320,XT!AJ320)))</f>
        <v>0</v>
      </c>
      <c r="Z320" t="str">
        <f>IFERROR(INDEX(CHOOSE({1,2,3,4}, DAY(XT!U320), DAY(XT!Y320), DAY(XT!AC320), DAY(XT!AG320)), MATCH(1, INDEX(--(MONTH(CHOOSE({1,2,3,4}, XT!U320,XT!Y320,XT!AC320,XT!AG320))=7), 0), 0)), "")</f>
        <v/>
      </c>
      <c r="AA320" s="12" t="str">
        <f>IF(XT!$P320&gt;0,Z320,"")</f>
        <v/>
      </c>
      <c r="AB320" s="12" t="str">
        <f>IF(XT!$P320=0,Z320,"")</f>
        <v/>
      </c>
      <c r="AC320">
        <f>SUMPRODUCT((MONTH(CHOOSE({1,2,3,4},XT!U320,XT!Y320,XT!AC320,XT!AG320))=8)*(CHOOSE({1,2,3,4},XT!X320,XT!AB320,XT!AF320,XT!AJ320)))</f>
        <v>0</v>
      </c>
      <c r="AD320" t="str">
        <f>IFERROR(INDEX(CHOOSE({1,2,3,4}, DAY(XT!U320), DAY(XT!Y320), DAY(XT!AC320), DAY(XT!AG320)), MATCH(1, INDEX(--(MONTH(CHOOSE({1,2,3,4}, XT!U320,XT!Y320,XT!AC320,XT!AG320))=8), 0), 0)), "")</f>
        <v/>
      </c>
      <c r="AE320" s="12" t="str">
        <f>IF(XT!$P320&gt;0,AD320,"")</f>
        <v/>
      </c>
      <c r="AF320" s="12" t="str">
        <f>IF(XT!$P320=0,AD320,"")</f>
        <v/>
      </c>
      <c r="AG320">
        <f>SUMPRODUCT((MONTH(CHOOSE({1,2,3,4},XT!U320,XT!Y320,XT!AC320,XT!AG320))=9)*(CHOOSE({1,2,3,4},XT!X320,XT!AB320,XT!AF320,XT!AJ320)))</f>
        <v>0</v>
      </c>
      <c r="AH320" t="str">
        <f>IFERROR(INDEX(CHOOSE({1,2,3,4}, DAY(XT!U320), DAY(XT!Y320), DAY(XT!AC320), DAY(XT!AG320)), MATCH(1, INDEX(--(MONTH(CHOOSE({1,2,3,4}, XT!U320,XT!Y320,XT!AC320,XT!AG320))=9), 0), 0)), "")</f>
        <v/>
      </c>
      <c r="AI320" s="12" t="str">
        <f>IF(XT!$P320&gt;0,AH320,"")</f>
        <v/>
      </c>
      <c r="AJ320" s="12" t="str">
        <f>IF(XT!$P320=0,AH320,"")</f>
        <v/>
      </c>
      <c r="AK320">
        <f>SUMPRODUCT((MONTH(CHOOSE({1,2,3,4},XT!U320,XT!Y320,XT!AC320,XT!AG320))=10)*(CHOOSE({1,2,3,4},XT!X320,XT!AB320,XT!AF320,XT!AJ320)))</f>
        <v>0</v>
      </c>
      <c r="AL320" t="str">
        <f>IFERROR(INDEX(CHOOSE({1,2,3,4}, DAY(XT!U320), DAY(XT!Y320), DAY(XT!AC320), DAY(XT!AG320)), MATCH(1, INDEX(--(MONTH(CHOOSE({1,2,3,4}, XT!U320,XT!Y320,XT!AC320,XT!AG320))=10), 0), 0)), "")</f>
        <v/>
      </c>
      <c r="AM320" s="12" t="str">
        <f>IF(XT!$P320&gt;0,AL320,"")</f>
        <v/>
      </c>
      <c r="AN320" s="12" t="str">
        <f>IF(XT!$P320=0,AL320,"")</f>
        <v/>
      </c>
      <c r="AO320">
        <f>SUMPRODUCT((MONTH(CHOOSE({1,2,3,4},XT!U320,XT!Y320,XT!AC320,XT!AG320))=11)*(CHOOSE({1,2,3,4},XT!X320,XT!AB320,XT!AF320,XT!AJ320)))</f>
        <v>0</v>
      </c>
      <c r="AP320" t="str">
        <f>IFERROR(INDEX(CHOOSE({1,2,3,4}, DAY(XT!U320), DAY(XT!Y320), DAY(XT!AC320), DAY(XT!AG320)), MATCH(1, INDEX(--(MONTH(CHOOSE({1,2,3,4}, XT!U320,XT!Y320,XT!AC320,XT!AG320))=11), 0), 0)), "")</f>
        <v/>
      </c>
      <c r="AQ320" s="12" t="str">
        <f>IF(XT!$P320&gt;0,AP320,"")</f>
        <v/>
      </c>
      <c r="AR320" s="12" t="str">
        <f>IF(XT!$P320=0,AP320,"")</f>
        <v/>
      </c>
      <c r="AS320">
        <f>SUMPRODUCT((MONTH(CHOOSE({1,2,3,4},XT!U320,XT!Y320,XT!AC320,XT!AG320))=12)*(CHOOSE({1,2,3,4},XT!X320,XT!AB320,XT!AF320,XT!AJ320)))</f>
        <v>0</v>
      </c>
      <c r="AT320" t="str">
        <f>IFERROR(INDEX(CHOOSE({1,2,3,4}, DAY(XT!U320), DAY(XT!Y320), DAY(XT!AC320), DAY(XT!AG320)), MATCH(1, INDEX(--(MONTH(CHOOSE({1,2,3,4}, XT!U320,XT!Y320,XT!AC320,XT!AG320))=12), 0), 0)), "")</f>
        <v/>
      </c>
      <c r="AU320" s="12" t="str">
        <f>IF(XT!$P320&gt;0,AT320,"")</f>
        <v/>
      </c>
      <c r="AV320" s="12" t="str">
        <f>IF(XT!$P320=0,AT320,"")</f>
        <v/>
      </c>
    </row>
    <row r="321" spans="1:48">
      <c r="A321">
        <f>SUMPRODUCT((MONTH(CHOOSE({1,2,3,4},XT!U321,XT!Y321,XT!AC321,XT!AG321))=1)*(CHOOSE({1,2,3,4},XT!X321,XT!AB321,XT!AF321,XT!AJ321)))</f>
        <v>0</v>
      </c>
      <c r="B321">
        <f>IFERROR(INDEX(CHOOSE({1,2,3,4}, DAY(XT!U321), DAY(XT!Y321), DAY(XT!AC321), DAY(XT!AG321)), MATCH(1, INDEX(--(MONTH(CHOOSE({1,2,3,4}, XT!U321,XT!Y321,XT!AC321,XT!AG321))=1), 0), 0)), "")</f>
        <v>0</v>
      </c>
      <c r="C321" s="12" t="str">
        <f>IF(XT!$P321&gt;0,B321,"")</f>
        <v/>
      </c>
      <c r="D321" s="12">
        <f>IF(XT!$P321=0,B321,"")</f>
        <v>0</v>
      </c>
      <c r="E321">
        <f>SUMPRODUCT((MONTH(CHOOSE({1,2,3,4},XT!U321,XT!Y321,XT!AC321,XT!AG321))=2)*(CHOOSE({1,2,3,4},XT!X321,XT!AB321,XT!AF321,XT!AJ321)))</f>
        <v>0</v>
      </c>
      <c r="F321" t="str">
        <f>IFERROR(INDEX(CHOOSE({1,2,3,4}, DAY(XT!U321), DAY(XT!Y321), DAY(XT!AC321), DAY(XT!AG321)), MATCH(1, INDEX(--(MONTH(CHOOSE({1,2,3,4}, XT!U321,XT!Y321,XT!AC321,XT!AG321))=2), 0), 0)), "")</f>
        <v/>
      </c>
      <c r="G321" s="12" t="str">
        <f>IF(XT!$P321&gt;0,F321,"")</f>
        <v/>
      </c>
      <c r="H321" s="12" t="str">
        <f>IF(XT!$P321=0,F321,"")</f>
        <v/>
      </c>
      <c r="I321">
        <f>SUMPRODUCT((MONTH(CHOOSE({1,2,3,4},XT!U321,XT!Y321,XT!AC321,XT!AG321))=3)*(CHOOSE({1,2,3,4},XT!X321,XT!AB321,XT!AF321,XT!AJ321)))</f>
        <v>0</v>
      </c>
      <c r="J321" t="str">
        <f>IFERROR(INDEX(CHOOSE({1,2,3,4}, DAY(XT!U321), DAY(XT!Y321), DAY(XT!AC321), DAY(XT!AG321)), MATCH(1, INDEX(--(MONTH(CHOOSE({1,2,3,4}, XT!U321,XT!Y321,XT!AC321,XT!AG321))=3), 0), 0)), "")</f>
        <v/>
      </c>
      <c r="K321" s="12" t="str">
        <f>IF(XT!$P321&gt;0,J321,"")</f>
        <v/>
      </c>
      <c r="L321" s="12" t="str">
        <f>IF(XT!$P321=0,J321,"")</f>
        <v/>
      </c>
      <c r="M321">
        <f>SUMPRODUCT((MONTH(CHOOSE({1,2,3,4},XT!U321,XT!Y321,XT!AC321,XT!AG321))=4)*(CHOOSE({1,2,3,4},XT!X321,XT!AB321,XT!AF321,XT!AJ321)))</f>
        <v>0</v>
      </c>
      <c r="N321" t="str">
        <f>IFERROR(INDEX(CHOOSE({1,2,3,4}, DAY(XT!U321), DAY(XT!Y321), DAY(XT!AC321), DAY(XT!AG321)), MATCH(1, INDEX(--(MONTH(CHOOSE({1,2,3,4}, XT!U321,XT!Y321,XT!AC321,XT!AG321))=4), 0), 0)), "")</f>
        <v/>
      </c>
      <c r="O321" s="12" t="str">
        <f>IF(XT!$P321&gt;0,N321,"")</f>
        <v/>
      </c>
      <c r="P321" s="12" t="str">
        <f>IF(XT!$P321=0,N321,"")</f>
        <v/>
      </c>
      <c r="Q321">
        <f>SUMPRODUCT((MONTH(CHOOSE({1,2,3,4},XT!U321,XT!Y321,XT!AC321,XT!AG321))=5)*(CHOOSE({1,2,3,4},XT!X321,XT!AB321,XT!AF321,XT!AJ321)))</f>
        <v>0</v>
      </c>
      <c r="R321" t="str">
        <f>IFERROR(INDEX(CHOOSE({1,2,3,4}, DAY(XT!U321), DAY(XT!Y321), DAY(XT!AC321), DAY(XT!AG321)), MATCH(1, INDEX(--(MONTH(CHOOSE({1,2,3,4}, XT!U321,XT!Y321,XT!AC321,XT!AG321))=5), 0), 0)), "")</f>
        <v/>
      </c>
      <c r="S321" s="12" t="str">
        <f>IF(XT!$P321&gt;0,R321,"")</f>
        <v/>
      </c>
      <c r="T321" s="12" t="str">
        <f>IF(XT!$P321=0,R321,"")</f>
        <v/>
      </c>
      <c r="U321">
        <f>SUMPRODUCT((MONTH(CHOOSE({1,2,3,4},XT!U321,XT!Y321,XT!AC321,XT!AG321))=6)*(CHOOSE({1,2,3,4},XT!X321,XT!AB321,XT!AF321,XT!AJ321)))</f>
        <v>0</v>
      </c>
      <c r="V321" t="str">
        <f>IFERROR(INDEX(CHOOSE({1,2,3,4}, DAY(XT!U321), DAY(XT!Y321), DAY(XT!AC321), DAY(XT!AG321)), MATCH(1, INDEX(--(MONTH(CHOOSE({1,2,3,4}, XT!U321,XT!Y321,XT!AC321,XT!AG321))=6), 0), 0)), "")</f>
        <v/>
      </c>
      <c r="W321" s="12" t="str">
        <f>IF(XT!$P321&gt;0,V321,"")</f>
        <v/>
      </c>
      <c r="X321" s="12" t="str">
        <f>IF(XT!$P321=0,V321,"")</f>
        <v/>
      </c>
      <c r="Y321">
        <f>SUMPRODUCT((MONTH(CHOOSE({1,2,3,4},XT!U321,XT!Y321,XT!AC321,XT!AG321))=7)*(CHOOSE({1,2,3,4},XT!X321,XT!AB321,XT!AF321,XT!AJ321)))</f>
        <v>0</v>
      </c>
      <c r="Z321" t="str">
        <f>IFERROR(INDEX(CHOOSE({1,2,3,4}, DAY(XT!U321), DAY(XT!Y321), DAY(XT!AC321), DAY(XT!AG321)), MATCH(1, INDEX(--(MONTH(CHOOSE({1,2,3,4}, XT!U321,XT!Y321,XT!AC321,XT!AG321))=7), 0), 0)), "")</f>
        <v/>
      </c>
      <c r="AA321" s="12" t="str">
        <f>IF(XT!$P321&gt;0,Z321,"")</f>
        <v/>
      </c>
      <c r="AB321" s="12" t="str">
        <f>IF(XT!$P321=0,Z321,"")</f>
        <v/>
      </c>
      <c r="AC321">
        <f>SUMPRODUCT((MONTH(CHOOSE({1,2,3,4},XT!U321,XT!Y321,XT!AC321,XT!AG321))=8)*(CHOOSE({1,2,3,4},XT!X321,XT!AB321,XT!AF321,XT!AJ321)))</f>
        <v>0</v>
      </c>
      <c r="AD321" t="str">
        <f>IFERROR(INDEX(CHOOSE({1,2,3,4}, DAY(XT!U321), DAY(XT!Y321), DAY(XT!AC321), DAY(XT!AG321)), MATCH(1, INDEX(--(MONTH(CHOOSE({1,2,3,4}, XT!U321,XT!Y321,XT!AC321,XT!AG321))=8), 0), 0)), "")</f>
        <v/>
      </c>
      <c r="AE321" s="12" t="str">
        <f>IF(XT!$P321&gt;0,AD321,"")</f>
        <v/>
      </c>
      <c r="AF321" s="12" t="str">
        <f>IF(XT!$P321=0,AD321,"")</f>
        <v/>
      </c>
      <c r="AG321">
        <f>SUMPRODUCT((MONTH(CHOOSE({1,2,3,4},XT!U321,XT!Y321,XT!AC321,XT!AG321))=9)*(CHOOSE({1,2,3,4},XT!X321,XT!AB321,XT!AF321,XT!AJ321)))</f>
        <v>0</v>
      </c>
      <c r="AH321" t="str">
        <f>IFERROR(INDEX(CHOOSE({1,2,3,4}, DAY(XT!U321), DAY(XT!Y321), DAY(XT!AC321), DAY(XT!AG321)), MATCH(1, INDEX(--(MONTH(CHOOSE({1,2,3,4}, XT!U321,XT!Y321,XT!AC321,XT!AG321))=9), 0), 0)), "")</f>
        <v/>
      </c>
      <c r="AI321" s="12" t="str">
        <f>IF(XT!$P321&gt;0,AH321,"")</f>
        <v/>
      </c>
      <c r="AJ321" s="12" t="str">
        <f>IF(XT!$P321=0,AH321,"")</f>
        <v/>
      </c>
      <c r="AK321">
        <f>SUMPRODUCT((MONTH(CHOOSE({1,2,3,4},XT!U321,XT!Y321,XT!AC321,XT!AG321))=10)*(CHOOSE({1,2,3,4},XT!X321,XT!AB321,XT!AF321,XT!AJ321)))</f>
        <v>0</v>
      </c>
      <c r="AL321" t="str">
        <f>IFERROR(INDEX(CHOOSE({1,2,3,4}, DAY(XT!U321), DAY(XT!Y321), DAY(XT!AC321), DAY(XT!AG321)), MATCH(1, INDEX(--(MONTH(CHOOSE({1,2,3,4}, XT!U321,XT!Y321,XT!AC321,XT!AG321))=10), 0), 0)), "")</f>
        <v/>
      </c>
      <c r="AM321" s="12" t="str">
        <f>IF(XT!$P321&gt;0,AL321,"")</f>
        <v/>
      </c>
      <c r="AN321" s="12" t="str">
        <f>IF(XT!$P321=0,AL321,"")</f>
        <v/>
      </c>
      <c r="AO321">
        <f>SUMPRODUCT((MONTH(CHOOSE({1,2,3,4},XT!U321,XT!Y321,XT!AC321,XT!AG321))=11)*(CHOOSE({1,2,3,4},XT!X321,XT!AB321,XT!AF321,XT!AJ321)))</f>
        <v>0</v>
      </c>
      <c r="AP321" t="str">
        <f>IFERROR(INDEX(CHOOSE({1,2,3,4}, DAY(XT!U321), DAY(XT!Y321), DAY(XT!AC321), DAY(XT!AG321)), MATCH(1, INDEX(--(MONTH(CHOOSE({1,2,3,4}, XT!U321,XT!Y321,XT!AC321,XT!AG321))=11), 0), 0)), "")</f>
        <v/>
      </c>
      <c r="AQ321" s="12" t="str">
        <f>IF(XT!$P321&gt;0,AP321,"")</f>
        <v/>
      </c>
      <c r="AR321" s="12" t="str">
        <f>IF(XT!$P321=0,AP321,"")</f>
        <v/>
      </c>
      <c r="AS321">
        <f>SUMPRODUCT((MONTH(CHOOSE({1,2,3,4},XT!U321,XT!Y321,XT!AC321,XT!AG321))=12)*(CHOOSE({1,2,3,4},XT!X321,XT!AB321,XT!AF321,XT!AJ321)))</f>
        <v>0</v>
      </c>
      <c r="AT321" t="str">
        <f>IFERROR(INDEX(CHOOSE({1,2,3,4}, DAY(XT!U321), DAY(XT!Y321), DAY(XT!AC321), DAY(XT!AG321)), MATCH(1, INDEX(--(MONTH(CHOOSE({1,2,3,4}, XT!U321,XT!Y321,XT!AC321,XT!AG321))=12), 0), 0)), "")</f>
        <v/>
      </c>
      <c r="AU321" s="12" t="str">
        <f>IF(XT!$P321&gt;0,AT321,"")</f>
        <v/>
      </c>
      <c r="AV321" s="12" t="str">
        <f>IF(XT!$P321=0,AT321,"")</f>
        <v/>
      </c>
    </row>
    <row r="322" spans="1:48">
      <c r="A322">
        <f>SUMPRODUCT((MONTH(CHOOSE({1,2,3,4},XT!U322,XT!Y322,XT!AC322,XT!AG322))=1)*(CHOOSE({1,2,3,4},XT!X322,XT!AB322,XT!AF322,XT!AJ322)))</f>
        <v>0</v>
      </c>
      <c r="B322">
        <f>IFERROR(INDEX(CHOOSE({1,2,3,4}, DAY(XT!U322), DAY(XT!Y322), DAY(XT!AC322), DAY(XT!AG322)), MATCH(1, INDEX(--(MONTH(CHOOSE({1,2,3,4}, XT!U322,XT!Y322,XT!AC322,XT!AG322))=1), 0), 0)), "")</f>
        <v>0</v>
      </c>
      <c r="C322" s="12" t="str">
        <f>IF(XT!$P322&gt;0,B322,"")</f>
        <v/>
      </c>
      <c r="D322" s="12">
        <f>IF(XT!$P322=0,B322,"")</f>
        <v>0</v>
      </c>
      <c r="E322">
        <f>SUMPRODUCT((MONTH(CHOOSE({1,2,3,4},XT!U322,XT!Y322,XT!AC322,XT!AG322))=2)*(CHOOSE({1,2,3,4},XT!X322,XT!AB322,XT!AF322,XT!AJ322)))</f>
        <v>0</v>
      </c>
      <c r="F322" t="str">
        <f>IFERROR(INDEX(CHOOSE({1,2,3,4}, DAY(XT!U322), DAY(XT!Y322), DAY(XT!AC322), DAY(XT!AG322)), MATCH(1, INDEX(--(MONTH(CHOOSE({1,2,3,4}, XT!U322,XT!Y322,XT!AC322,XT!AG322))=2), 0), 0)), "")</f>
        <v/>
      </c>
      <c r="G322" s="12" t="str">
        <f>IF(XT!$P322&gt;0,F322,"")</f>
        <v/>
      </c>
      <c r="H322" s="12" t="str">
        <f>IF(XT!$P322=0,F322,"")</f>
        <v/>
      </c>
      <c r="I322">
        <f>SUMPRODUCT((MONTH(CHOOSE({1,2,3,4},XT!U322,XT!Y322,XT!AC322,XT!AG322))=3)*(CHOOSE({1,2,3,4},XT!X322,XT!AB322,XT!AF322,XT!AJ322)))</f>
        <v>0</v>
      </c>
      <c r="J322" t="str">
        <f>IFERROR(INDEX(CHOOSE({1,2,3,4}, DAY(XT!U322), DAY(XT!Y322), DAY(XT!AC322), DAY(XT!AG322)), MATCH(1, INDEX(--(MONTH(CHOOSE({1,2,3,4}, XT!U322,XT!Y322,XT!AC322,XT!AG322))=3), 0), 0)), "")</f>
        <v/>
      </c>
      <c r="K322" s="12" t="str">
        <f>IF(XT!$P322&gt;0,J322,"")</f>
        <v/>
      </c>
      <c r="L322" s="12" t="str">
        <f>IF(XT!$P322=0,J322,"")</f>
        <v/>
      </c>
      <c r="M322">
        <f>SUMPRODUCT((MONTH(CHOOSE({1,2,3,4},XT!U322,XT!Y322,XT!AC322,XT!AG322))=4)*(CHOOSE({1,2,3,4},XT!X322,XT!AB322,XT!AF322,XT!AJ322)))</f>
        <v>0</v>
      </c>
      <c r="N322" t="str">
        <f>IFERROR(INDEX(CHOOSE({1,2,3,4}, DAY(XT!U322), DAY(XT!Y322), DAY(XT!AC322), DAY(XT!AG322)), MATCH(1, INDEX(--(MONTH(CHOOSE({1,2,3,4}, XT!U322,XT!Y322,XT!AC322,XT!AG322))=4), 0), 0)), "")</f>
        <v/>
      </c>
      <c r="O322" s="12" t="str">
        <f>IF(XT!$P322&gt;0,N322,"")</f>
        <v/>
      </c>
      <c r="P322" s="12" t="str">
        <f>IF(XT!$P322=0,N322,"")</f>
        <v/>
      </c>
      <c r="Q322">
        <f>SUMPRODUCT((MONTH(CHOOSE({1,2,3,4},XT!U322,XT!Y322,XT!AC322,XT!AG322))=5)*(CHOOSE({1,2,3,4},XT!X322,XT!AB322,XT!AF322,XT!AJ322)))</f>
        <v>0</v>
      </c>
      <c r="R322" t="str">
        <f>IFERROR(INDEX(CHOOSE({1,2,3,4}, DAY(XT!U322), DAY(XT!Y322), DAY(XT!AC322), DAY(XT!AG322)), MATCH(1, INDEX(--(MONTH(CHOOSE({1,2,3,4}, XT!U322,XT!Y322,XT!AC322,XT!AG322))=5), 0), 0)), "")</f>
        <v/>
      </c>
      <c r="S322" s="12" t="str">
        <f>IF(XT!$P322&gt;0,R322,"")</f>
        <v/>
      </c>
      <c r="T322" s="12" t="str">
        <f>IF(XT!$P322=0,R322,"")</f>
        <v/>
      </c>
      <c r="U322">
        <f>SUMPRODUCT((MONTH(CHOOSE({1,2,3,4},XT!U322,XT!Y322,XT!AC322,XT!AG322))=6)*(CHOOSE({1,2,3,4},XT!X322,XT!AB322,XT!AF322,XT!AJ322)))</f>
        <v>0</v>
      </c>
      <c r="V322" t="str">
        <f>IFERROR(INDEX(CHOOSE({1,2,3,4}, DAY(XT!U322), DAY(XT!Y322), DAY(XT!AC322), DAY(XT!AG322)), MATCH(1, INDEX(--(MONTH(CHOOSE({1,2,3,4}, XT!U322,XT!Y322,XT!AC322,XT!AG322))=6), 0), 0)), "")</f>
        <v/>
      </c>
      <c r="W322" s="12" t="str">
        <f>IF(XT!$P322&gt;0,V322,"")</f>
        <v/>
      </c>
      <c r="X322" s="12" t="str">
        <f>IF(XT!$P322=0,V322,"")</f>
        <v/>
      </c>
      <c r="Y322">
        <f>SUMPRODUCT((MONTH(CHOOSE({1,2,3,4},XT!U322,XT!Y322,XT!AC322,XT!AG322))=7)*(CHOOSE({1,2,3,4},XT!X322,XT!AB322,XT!AF322,XT!AJ322)))</f>
        <v>0</v>
      </c>
      <c r="Z322" t="str">
        <f>IFERROR(INDEX(CHOOSE({1,2,3,4}, DAY(XT!U322), DAY(XT!Y322), DAY(XT!AC322), DAY(XT!AG322)), MATCH(1, INDEX(--(MONTH(CHOOSE({1,2,3,4}, XT!U322,XT!Y322,XT!AC322,XT!AG322))=7), 0), 0)), "")</f>
        <v/>
      </c>
      <c r="AA322" s="12" t="str">
        <f>IF(XT!$P322&gt;0,Z322,"")</f>
        <v/>
      </c>
      <c r="AB322" s="12" t="str">
        <f>IF(XT!$P322=0,Z322,"")</f>
        <v/>
      </c>
      <c r="AC322">
        <f>SUMPRODUCT((MONTH(CHOOSE({1,2,3,4},XT!U322,XT!Y322,XT!AC322,XT!AG322))=8)*(CHOOSE({1,2,3,4},XT!X322,XT!AB322,XT!AF322,XT!AJ322)))</f>
        <v>0</v>
      </c>
      <c r="AD322" t="str">
        <f>IFERROR(INDEX(CHOOSE({1,2,3,4}, DAY(XT!U322), DAY(XT!Y322), DAY(XT!AC322), DAY(XT!AG322)), MATCH(1, INDEX(--(MONTH(CHOOSE({1,2,3,4}, XT!U322,XT!Y322,XT!AC322,XT!AG322))=8), 0), 0)), "")</f>
        <v/>
      </c>
      <c r="AE322" s="12" t="str">
        <f>IF(XT!$P322&gt;0,AD322,"")</f>
        <v/>
      </c>
      <c r="AF322" s="12" t="str">
        <f>IF(XT!$P322=0,AD322,"")</f>
        <v/>
      </c>
      <c r="AG322">
        <f>SUMPRODUCT((MONTH(CHOOSE({1,2,3,4},XT!U322,XT!Y322,XT!AC322,XT!AG322))=9)*(CHOOSE({1,2,3,4},XT!X322,XT!AB322,XT!AF322,XT!AJ322)))</f>
        <v>0</v>
      </c>
      <c r="AH322" t="str">
        <f>IFERROR(INDEX(CHOOSE({1,2,3,4}, DAY(XT!U322), DAY(XT!Y322), DAY(XT!AC322), DAY(XT!AG322)), MATCH(1, INDEX(--(MONTH(CHOOSE({1,2,3,4}, XT!U322,XT!Y322,XT!AC322,XT!AG322))=9), 0), 0)), "")</f>
        <v/>
      </c>
      <c r="AI322" s="12" t="str">
        <f>IF(XT!$P322&gt;0,AH322,"")</f>
        <v/>
      </c>
      <c r="AJ322" s="12" t="str">
        <f>IF(XT!$P322=0,AH322,"")</f>
        <v/>
      </c>
      <c r="AK322">
        <f>SUMPRODUCT((MONTH(CHOOSE({1,2,3,4},XT!U322,XT!Y322,XT!AC322,XT!AG322))=10)*(CHOOSE({1,2,3,4},XT!X322,XT!AB322,XT!AF322,XT!AJ322)))</f>
        <v>0</v>
      </c>
      <c r="AL322" t="str">
        <f>IFERROR(INDEX(CHOOSE({1,2,3,4}, DAY(XT!U322), DAY(XT!Y322), DAY(XT!AC322), DAY(XT!AG322)), MATCH(1, INDEX(--(MONTH(CHOOSE({1,2,3,4}, XT!U322,XT!Y322,XT!AC322,XT!AG322))=10), 0), 0)), "")</f>
        <v/>
      </c>
      <c r="AM322" s="12" t="str">
        <f>IF(XT!$P322&gt;0,AL322,"")</f>
        <v/>
      </c>
      <c r="AN322" s="12" t="str">
        <f>IF(XT!$P322=0,AL322,"")</f>
        <v/>
      </c>
      <c r="AO322">
        <f>SUMPRODUCT((MONTH(CHOOSE({1,2,3,4},XT!U322,XT!Y322,XT!AC322,XT!AG322))=11)*(CHOOSE({1,2,3,4},XT!X322,XT!AB322,XT!AF322,XT!AJ322)))</f>
        <v>0</v>
      </c>
      <c r="AP322" t="str">
        <f>IFERROR(INDEX(CHOOSE({1,2,3,4}, DAY(XT!U322), DAY(XT!Y322), DAY(XT!AC322), DAY(XT!AG322)), MATCH(1, INDEX(--(MONTH(CHOOSE({1,2,3,4}, XT!U322,XT!Y322,XT!AC322,XT!AG322))=11), 0), 0)), "")</f>
        <v/>
      </c>
      <c r="AQ322" s="12" t="str">
        <f>IF(XT!$P322&gt;0,AP322,"")</f>
        <v/>
      </c>
      <c r="AR322" s="12" t="str">
        <f>IF(XT!$P322=0,AP322,"")</f>
        <v/>
      </c>
      <c r="AS322">
        <f>SUMPRODUCT((MONTH(CHOOSE({1,2,3,4},XT!U322,XT!Y322,XT!AC322,XT!AG322))=12)*(CHOOSE({1,2,3,4},XT!X322,XT!AB322,XT!AF322,XT!AJ322)))</f>
        <v>0</v>
      </c>
      <c r="AT322" t="str">
        <f>IFERROR(INDEX(CHOOSE({1,2,3,4}, DAY(XT!U322), DAY(XT!Y322), DAY(XT!AC322), DAY(XT!AG322)), MATCH(1, INDEX(--(MONTH(CHOOSE({1,2,3,4}, XT!U322,XT!Y322,XT!AC322,XT!AG322))=12), 0), 0)), "")</f>
        <v/>
      </c>
      <c r="AU322" s="12" t="str">
        <f>IF(XT!$P322&gt;0,AT322,"")</f>
        <v/>
      </c>
      <c r="AV322" s="12" t="str">
        <f>IF(XT!$P322=0,AT322,"")</f>
        <v/>
      </c>
    </row>
    <row r="323" spans="1:48">
      <c r="A323">
        <f>SUMPRODUCT((MONTH(CHOOSE({1,2,3,4},XT!U323,XT!Y323,XT!AC323,XT!AG323))=1)*(CHOOSE({1,2,3,4},XT!X323,XT!AB323,XT!AF323,XT!AJ323)))</f>
        <v>0</v>
      </c>
      <c r="B323">
        <f>IFERROR(INDEX(CHOOSE({1,2,3,4}, DAY(XT!U323), DAY(XT!Y323), DAY(XT!AC323), DAY(XT!AG323)), MATCH(1, INDEX(--(MONTH(CHOOSE({1,2,3,4}, XT!U323,XT!Y323,XT!AC323,XT!AG323))=1), 0), 0)), "")</f>
        <v>0</v>
      </c>
      <c r="C323" s="12" t="str">
        <f>IF(XT!$P323&gt;0,B323,"")</f>
        <v/>
      </c>
      <c r="D323" s="12">
        <f>IF(XT!$P323=0,B323,"")</f>
        <v>0</v>
      </c>
      <c r="E323">
        <f>SUMPRODUCT((MONTH(CHOOSE({1,2,3,4},XT!U323,XT!Y323,XT!AC323,XT!AG323))=2)*(CHOOSE({1,2,3,4},XT!X323,XT!AB323,XT!AF323,XT!AJ323)))</f>
        <v>0</v>
      </c>
      <c r="F323" t="str">
        <f>IFERROR(INDEX(CHOOSE({1,2,3,4}, DAY(XT!U323), DAY(XT!Y323), DAY(XT!AC323), DAY(XT!AG323)), MATCH(1, INDEX(--(MONTH(CHOOSE({1,2,3,4}, XT!U323,XT!Y323,XT!AC323,XT!AG323))=2), 0), 0)), "")</f>
        <v/>
      </c>
      <c r="G323" s="12" t="str">
        <f>IF(XT!$P323&gt;0,F323,"")</f>
        <v/>
      </c>
      <c r="H323" s="12" t="str">
        <f>IF(XT!$P323=0,F323,"")</f>
        <v/>
      </c>
      <c r="I323">
        <f>SUMPRODUCT((MONTH(CHOOSE({1,2,3,4},XT!U323,XT!Y323,XT!AC323,XT!AG323))=3)*(CHOOSE({1,2,3,4},XT!X323,XT!AB323,XT!AF323,XT!AJ323)))</f>
        <v>0</v>
      </c>
      <c r="J323" t="str">
        <f>IFERROR(INDEX(CHOOSE({1,2,3,4}, DAY(XT!U323), DAY(XT!Y323), DAY(XT!AC323), DAY(XT!AG323)), MATCH(1, INDEX(--(MONTH(CHOOSE({1,2,3,4}, XT!U323,XT!Y323,XT!AC323,XT!AG323))=3), 0), 0)), "")</f>
        <v/>
      </c>
      <c r="K323" s="12" t="str">
        <f>IF(XT!$P323&gt;0,J323,"")</f>
        <v/>
      </c>
      <c r="L323" s="12" t="str">
        <f>IF(XT!$P323=0,J323,"")</f>
        <v/>
      </c>
      <c r="M323">
        <f>SUMPRODUCT((MONTH(CHOOSE({1,2,3,4},XT!U323,XT!Y323,XT!AC323,XT!AG323))=4)*(CHOOSE({1,2,3,4},XT!X323,XT!AB323,XT!AF323,XT!AJ323)))</f>
        <v>0</v>
      </c>
      <c r="N323" t="str">
        <f>IFERROR(INDEX(CHOOSE({1,2,3,4}, DAY(XT!U323), DAY(XT!Y323), DAY(XT!AC323), DAY(XT!AG323)), MATCH(1, INDEX(--(MONTH(CHOOSE({1,2,3,4}, XT!U323,XT!Y323,XT!AC323,XT!AG323))=4), 0), 0)), "")</f>
        <v/>
      </c>
      <c r="O323" s="12" t="str">
        <f>IF(XT!$P323&gt;0,N323,"")</f>
        <v/>
      </c>
      <c r="P323" s="12" t="str">
        <f>IF(XT!$P323=0,N323,"")</f>
        <v/>
      </c>
      <c r="Q323">
        <f>SUMPRODUCT((MONTH(CHOOSE({1,2,3,4},XT!U323,XT!Y323,XT!AC323,XT!AG323))=5)*(CHOOSE({1,2,3,4},XT!X323,XT!AB323,XT!AF323,XT!AJ323)))</f>
        <v>0</v>
      </c>
      <c r="R323" t="str">
        <f>IFERROR(INDEX(CHOOSE({1,2,3,4}, DAY(XT!U323), DAY(XT!Y323), DAY(XT!AC323), DAY(XT!AG323)), MATCH(1, INDEX(--(MONTH(CHOOSE({1,2,3,4}, XT!U323,XT!Y323,XT!AC323,XT!AG323))=5), 0), 0)), "")</f>
        <v/>
      </c>
      <c r="S323" s="12" t="str">
        <f>IF(XT!$P323&gt;0,R323,"")</f>
        <v/>
      </c>
      <c r="T323" s="12" t="str">
        <f>IF(XT!$P323=0,R323,"")</f>
        <v/>
      </c>
      <c r="U323">
        <f>SUMPRODUCT((MONTH(CHOOSE({1,2,3,4},XT!U323,XT!Y323,XT!AC323,XT!AG323))=6)*(CHOOSE({1,2,3,4},XT!X323,XT!AB323,XT!AF323,XT!AJ323)))</f>
        <v>0</v>
      </c>
      <c r="V323" t="str">
        <f>IFERROR(INDEX(CHOOSE({1,2,3,4}, DAY(XT!U323), DAY(XT!Y323), DAY(XT!AC323), DAY(XT!AG323)), MATCH(1, INDEX(--(MONTH(CHOOSE({1,2,3,4}, XT!U323,XT!Y323,XT!AC323,XT!AG323))=6), 0), 0)), "")</f>
        <v/>
      </c>
      <c r="W323" s="12" t="str">
        <f>IF(XT!$P323&gt;0,V323,"")</f>
        <v/>
      </c>
      <c r="X323" s="12" t="str">
        <f>IF(XT!$P323=0,V323,"")</f>
        <v/>
      </c>
      <c r="Y323">
        <f>SUMPRODUCT((MONTH(CHOOSE({1,2,3,4},XT!U323,XT!Y323,XT!AC323,XT!AG323))=7)*(CHOOSE({1,2,3,4},XT!X323,XT!AB323,XT!AF323,XT!AJ323)))</f>
        <v>0</v>
      </c>
      <c r="Z323" t="str">
        <f>IFERROR(INDEX(CHOOSE({1,2,3,4}, DAY(XT!U323), DAY(XT!Y323), DAY(XT!AC323), DAY(XT!AG323)), MATCH(1, INDEX(--(MONTH(CHOOSE({1,2,3,4}, XT!U323,XT!Y323,XT!AC323,XT!AG323))=7), 0), 0)), "")</f>
        <v/>
      </c>
      <c r="AA323" s="12" t="str">
        <f>IF(XT!$P323&gt;0,Z323,"")</f>
        <v/>
      </c>
      <c r="AB323" s="12" t="str">
        <f>IF(XT!$P323=0,Z323,"")</f>
        <v/>
      </c>
      <c r="AC323">
        <f>SUMPRODUCT((MONTH(CHOOSE({1,2,3,4},XT!U323,XT!Y323,XT!AC323,XT!AG323))=8)*(CHOOSE({1,2,3,4},XT!X323,XT!AB323,XT!AF323,XT!AJ323)))</f>
        <v>0</v>
      </c>
      <c r="AD323" t="str">
        <f>IFERROR(INDEX(CHOOSE({1,2,3,4}, DAY(XT!U323), DAY(XT!Y323), DAY(XT!AC323), DAY(XT!AG323)), MATCH(1, INDEX(--(MONTH(CHOOSE({1,2,3,4}, XT!U323,XT!Y323,XT!AC323,XT!AG323))=8), 0), 0)), "")</f>
        <v/>
      </c>
      <c r="AE323" s="12" t="str">
        <f>IF(XT!$P323&gt;0,AD323,"")</f>
        <v/>
      </c>
      <c r="AF323" s="12" t="str">
        <f>IF(XT!$P323=0,AD323,"")</f>
        <v/>
      </c>
      <c r="AG323">
        <f>SUMPRODUCT((MONTH(CHOOSE({1,2,3,4},XT!U323,XT!Y323,XT!AC323,XT!AG323))=9)*(CHOOSE({1,2,3,4},XT!X323,XT!AB323,XT!AF323,XT!AJ323)))</f>
        <v>0</v>
      </c>
      <c r="AH323" t="str">
        <f>IFERROR(INDEX(CHOOSE({1,2,3,4}, DAY(XT!U323), DAY(XT!Y323), DAY(XT!AC323), DAY(XT!AG323)), MATCH(1, INDEX(--(MONTH(CHOOSE({1,2,3,4}, XT!U323,XT!Y323,XT!AC323,XT!AG323))=9), 0), 0)), "")</f>
        <v/>
      </c>
      <c r="AI323" s="12" t="str">
        <f>IF(XT!$P323&gt;0,AH323,"")</f>
        <v/>
      </c>
      <c r="AJ323" s="12" t="str">
        <f>IF(XT!$P323=0,AH323,"")</f>
        <v/>
      </c>
      <c r="AK323">
        <f>SUMPRODUCT((MONTH(CHOOSE({1,2,3,4},XT!U323,XT!Y323,XT!AC323,XT!AG323))=10)*(CHOOSE({1,2,3,4},XT!X323,XT!AB323,XT!AF323,XT!AJ323)))</f>
        <v>0</v>
      </c>
      <c r="AL323" t="str">
        <f>IFERROR(INDEX(CHOOSE({1,2,3,4}, DAY(XT!U323), DAY(XT!Y323), DAY(XT!AC323), DAY(XT!AG323)), MATCH(1, INDEX(--(MONTH(CHOOSE({1,2,3,4}, XT!U323,XT!Y323,XT!AC323,XT!AG323))=10), 0), 0)), "")</f>
        <v/>
      </c>
      <c r="AM323" s="12" t="str">
        <f>IF(XT!$P323&gt;0,AL323,"")</f>
        <v/>
      </c>
      <c r="AN323" s="12" t="str">
        <f>IF(XT!$P323=0,AL323,"")</f>
        <v/>
      </c>
      <c r="AO323">
        <f>SUMPRODUCT((MONTH(CHOOSE({1,2,3,4},XT!U323,XT!Y323,XT!AC323,XT!AG323))=11)*(CHOOSE({1,2,3,4},XT!X323,XT!AB323,XT!AF323,XT!AJ323)))</f>
        <v>0</v>
      </c>
      <c r="AP323" t="str">
        <f>IFERROR(INDEX(CHOOSE({1,2,3,4}, DAY(XT!U323), DAY(XT!Y323), DAY(XT!AC323), DAY(XT!AG323)), MATCH(1, INDEX(--(MONTH(CHOOSE({1,2,3,4}, XT!U323,XT!Y323,XT!AC323,XT!AG323))=11), 0), 0)), "")</f>
        <v/>
      </c>
      <c r="AQ323" s="12" t="str">
        <f>IF(XT!$P323&gt;0,AP323,"")</f>
        <v/>
      </c>
      <c r="AR323" s="12" t="str">
        <f>IF(XT!$P323=0,AP323,"")</f>
        <v/>
      </c>
      <c r="AS323">
        <f>SUMPRODUCT((MONTH(CHOOSE({1,2,3,4},XT!U323,XT!Y323,XT!AC323,XT!AG323))=12)*(CHOOSE({1,2,3,4},XT!X323,XT!AB323,XT!AF323,XT!AJ323)))</f>
        <v>0</v>
      </c>
      <c r="AT323" t="str">
        <f>IFERROR(INDEX(CHOOSE({1,2,3,4}, DAY(XT!U323), DAY(XT!Y323), DAY(XT!AC323), DAY(XT!AG323)), MATCH(1, INDEX(--(MONTH(CHOOSE({1,2,3,4}, XT!U323,XT!Y323,XT!AC323,XT!AG323))=12), 0), 0)), "")</f>
        <v/>
      </c>
      <c r="AU323" s="12" t="str">
        <f>IF(XT!$P323&gt;0,AT323,"")</f>
        <v/>
      </c>
      <c r="AV323" s="12" t="str">
        <f>IF(XT!$P323=0,AT323,"")</f>
        <v/>
      </c>
    </row>
    <row r="324" spans="1:48">
      <c r="A324">
        <f>SUMPRODUCT((MONTH(CHOOSE({1,2,3,4},XT!U324,XT!Y324,XT!AC324,XT!AG324))=1)*(CHOOSE({1,2,3,4},XT!X324,XT!AB324,XT!AF324,XT!AJ324)))</f>
        <v>0</v>
      </c>
      <c r="B324">
        <f>IFERROR(INDEX(CHOOSE({1,2,3,4}, DAY(XT!U324), DAY(XT!Y324), DAY(XT!AC324), DAY(XT!AG324)), MATCH(1, INDEX(--(MONTH(CHOOSE({1,2,3,4}, XT!U324,XT!Y324,XT!AC324,XT!AG324))=1), 0), 0)), "")</f>
        <v>0</v>
      </c>
      <c r="C324" s="12" t="str">
        <f>IF(XT!$P324&gt;0,B324,"")</f>
        <v/>
      </c>
      <c r="D324" s="12">
        <f>IF(XT!$P324=0,B324,"")</f>
        <v>0</v>
      </c>
      <c r="E324">
        <f>SUMPRODUCT((MONTH(CHOOSE({1,2,3,4},XT!U324,XT!Y324,XT!AC324,XT!AG324))=2)*(CHOOSE({1,2,3,4},XT!X324,XT!AB324,XT!AF324,XT!AJ324)))</f>
        <v>0</v>
      </c>
      <c r="F324" t="str">
        <f>IFERROR(INDEX(CHOOSE({1,2,3,4}, DAY(XT!U324), DAY(XT!Y324), DAY(XT!AC324), DAY(XT!AG324)), MATCH(1, INDEX(--(MONTH(CHOOSE({1,2,3,4}, XT!U324,XT!Y324,XT!AC324,XT!AG324))=2), 0), 0)), "")</f>
        <v/>
      </c>
      <c r="G324" s="12" t="str">
        <f>IF(XT!$P324&gt;0,F324,"")</f>
        <v/>
      </c>
      <c r="H324" s="12" t="str">
        <f>IF(XT!$P324=0,F324,"")</f>
        <v/>
      </c>
      <c r="I324">
        <f>SUMPRODUCT((MONTH(CHOOSE({1,2,3,4},XT!U324,XT!Y324,XT!AC324,XT!AG324))=3)*(CHOOSE({1,2,3,4},XT!X324,XT!AB324,XT!AF324,XT!AJ324)))</f>
        <v>0</v>
      </c>
      <c r="J324" t="str">
        <f>IFERROR(INDEX(CHOOSE({1,2,3,4}, DAY(XT!U324), DAY(XT!Y324), DAY(XT!AC324), DAY(XT!AG324)), MATCH(1, INDEX(--(MONTH(CHOOSE({1,2,3,4}, XT!U324,XT!Y324,XT!AC324,XT!AG324))=3), 0), 0)), "")</f>
        <v/>
      </c>
      <c r="K324" s="12" t="str">
        <f>IF(XT!$P324&gt;0,J324,"")</f>
        <v/>
      </c>
      <c r="L324" s="12" t="str">
        <f>IF(XT!$P324=0,J324,"")</f>
        <v/>
      </c>
      <c r="M324">
        <f>SUMPRODUCT((MONTH(CHOOSE({1,2,3,4},XT!U324,XT!Y324,XT!AC324,XT!AG324))=4)*(CHOOSE({1,2,3,4},XT!X324,XT!AB324,XT!AF324,XT!AJ324)))</f>
        <v>0</v>
      </c>
      <c r="N324" t="str">
        <f>IFERROR(INDEX(CHOOSE({1,2,3,4}, DAY(XT!U324), DAY(XT!Y324), DAY(XT!AC324), DAY(XT!AG324)), MATCH(1, INDEX(--(MONTH(CHOOSE({1,2,3,4}, XT!U324,XT!Y324,XT!AC324,XT!AG324))=4), 0), 0)), "")</f>
        <v/>
      </c>
      <c r="O324" s="12" t="str">
        <f>IF(XT!$P324&gt;0,N324,"")</f>
        <v/>
      </c>
      <c r="P324" s="12" t="str">
        <f>IF(XT!$P324=0,N324,"")</f>
        <v/>
      </c>
      <c r="Q324">
        <f>SUMPRODUCT((MONTH(CHOOSE({1,2,3,4},XT!U324,XT!Y324,XT!AC324,XT!AG324))=5)*(CHOOSE({1,2,3,4},XT!X324,XT!AB324,XT!AF324,XT!AJ324)))</f>
        <v>0</v>
      </c>
      <c r="R324" t="str">
        <f>IFERROR(INDEX(CHOOSE({1,2,3,4}, DAY(XT!U324), DAY(XT!Y324), DAY(XT!AC324), DAY(XT!AG324)), MATCH(1, INDEX(--(MONTH(CHOOSE({1,2,3,4}, XT!U324,XT!Y324,XT!AC324,XT!AG324))=5), 0), 0)), "")</f>
        <v/>
      </c>
      <c r="S324" s="12" t="str">
        <f>IF(XT!$P324&gt;0,R324,"")</f>
        <v/>
      </c>
      <c r="T324" s="12" t="str">
        <f>IF(XT!$P324=0,R324,"")</f>
        <v/>
      </c>
      <c r="U324">
        <f>SUMPRODUCT((MONTH(CHOOSE({1,2,3,4},XT!U324,XT!Y324,XT!AC324,XT!AG324))=6)*(CHOOSE({1,2,3,4},XT!X324,XT!AB324,XT!AF324,XT!AJ324)))</f>
        <v>0</v>
      </c>
      <c r="V324" t="str">
        <f>IFERROR(INDEX(CHOOSE({1,2,3,4}, DAY(XT!U324), DAY(XT!Y324), DAY(XT!AC324), DAY(XT!AG324)), MATCH(1, INDEX(--(MONTH(CHOOSE({1,2,3,4}, XT!U324,XT!Y324,XT!AC324,XT!AG324))=6), 0), 0)), "")</f>
        <v/>
      </c>
      <c r="W324" s="12" t="str">
        <f>IF(XT!$P324&gt;0,V324,"")</f>
        <v/>
      </c>
      <c r="X324" s="12" t="str">
        <f>IF(XT!$P324=0,V324,"")</f>
        <v/>
      </c>
      <c r="Y324">
        <f>SUMPRODUCT((MONTH(CHOOSE({1,2,3,4},XT!U324,XT!Y324,XT!AC324,XT!AG324))=7)*(CHOOSE({1,2,3,4},XT!X324,XT!AB324,XT!AF324,XT!AJ324)))</f>
        <v>0</v>
      </c>
      <c r="Z324" t="str">
        <f>IFERROR(INDEX(CHOOSE({1,2,3,4}, DAY(XT!U324), DAY(XT!Y324), DAY(XT!AC324), DAY(XT!AG324)), MATCH(1, INDEX(--(MONTH(CHOOSE({1,2,3,4}, XT!U324,XT!Y324,XT!AC324,XT!AG324))=7), 0), 0)), "")</f>
        <v/>
      </c>
      <c r="AA324" s="12" t="str">
        <f>IF(XT!$P324&gt;0,Z324,"")</f>
        <v/>
      </c>
      <c r="AB324" s="12" t="str">
        <f>IF(XT!$P324=0,Z324,"")</f>
        <v/>
      </c>
      <c r="AC324">
        <f>SUMPRODUCT((MONTH(CHOOSE({1,2,3,4},XT!U324,XT!Y324,XT!AC324,XT!AG324))=8)*(CHOOSE({1,2,3,4},XT!X324,XT!AB324,XT!AF324,XT!AJ324)))</f>
        <v>0</v>
      </c>
      <c r="AD324" t="str">
        <f>IFERROR(INDEX(CHOOSE({1,2,3,4}, DAY(XT!U324), DAY(XT!Y324), DAY(XT!AC324), DAY(XT!AG324)), MATCH(1, INDEX(--(MONTH(CHOOSE({1,2,3,4}, XT!U324,XT!Y324,XT!AC324,XT!AG324))=8), 0), 0)), "")</f>
        <v/>
      </c>
      <c r="AE324" s="12" t="str">
        <f>IF(XT!$P324&gt;0,AD324,"")</f>
        <v/>
      </c>
      <c r="AF324" s="12" t="str">
        <f>IF(XT!$P324=0,AD324,"")</f>
        <v/>
      </c>
      <c r="AG324">
        <f>SUMPRODUCT((MONTH(CHOOSE({1,2,3,4},XT!U324,XT!Y324,XT!AC324,XT!AG324))=9)*(CHOOSE({1,2,3,4},XT!X324,XT!AB324,XT!AF324,XT!AJ324)))</f>
        <v>0</v>
      </c>
      <c r="AH324" t="str">
        <f>IFERROR(INDEX(CHOOSE({1,2,3,4}, DAY(XT!U324), DAY(XT!Y324), DAY(XT!AC324), DAY(XT!AG324)), MATCH(1, INDEX(--(MONTH(CHOOSE({1,2,3,4}, XT!U324,XT!Y324,XT!AC324,XT!AG324))=9), 0), 0)), "")</f>
        <v/>
      </c>
      <c r="AI324" s="12" t="str">
        <f>IF(XT!$P324&gt;0,AH324,"")</f>
        <v/>
      </c>
      <c r="AJ324" s="12" t="str">
        <f>IF(XT!$P324=0,AH324,"")</f>
        <v/>
      </c>
      <c r="AK324">
        <f>SUMPRODUCT((MONTH(CHOOSE({1,2,3,4},XT!U324,XT!Y324,XT!AC324,XT!AG324))=10)*(CHOOSE({1,2,3,4},XT!X324,XT!AB324,XT!AF324,XT!AJ324)))</f>
        <v>0</v>
      </c>
      <c r="AL324" t="str">
        <f>IFERROR(INDEX(CHOOSE({1,2,3,4}, DAY(XT!U324), DAY(XT!Y324), DAY(XT!AC324), DAY(XT!AG324)), MATCH(1, INDEX(--(MONTH(CHOOSE({1,2,3,4}, XT!U324,XT!Y324,XT!AC324,XT!AG324))=10), 0), 0)), "")</f>
        <v/>
      </c>
      <c r="AM324" s="12" t="str">
        <f>IF(XT!$P324&gt;0,AL324,"")</f>
        <v/>
      </c>
      <c r="AN324" s="12" t="str">
        <f>IF(XT!$P324=0,AL324,"")</f>
        <v/>
      </c>
      <c r="AO324">
        <f>SUMPRODUCT((MONTH(CHOOSE({1,2,3,4},XT!U324,XT!Y324,XT!AC324,XT!AG324))=11)*(CHOOSE({1,2,3,4},XT!X324,XT!AB324,XT!AF324,XT!AJ324)))</f>
        <v>0</v>
      </c>
      <c r="AP324" t="str">
        <f>IFERROR(INDEX(CHOOSE({1,2,3,4}, DAY(XT!U324), DAY(XT!Y324), DAY(XT!AC324), DAY(XT!AG324)), MATCH(1, INDEX(--(MONTH(CHOOSE({1,2,3,4}, XT!U324,XT!Y324,XT!AC324,XT!AG324))=11), 0), 0)), "")</f>
        <v/>
      </c>
      <c r="AQ324" s="12" t="str">
        <f>IF(XT!$P324&gt;0,AP324,"")</f>
        <v/>
      </c>
      <c r="AR324" s="12" t="str">
        <f>IF(XT!$P324=0,AP324,"")</f>
        <v/>
      </c>
      <c r="AS324">
        <f>SUMPRODUCT((MONTH(CHOOSE({1,2,3,4},XT!U324,XT!Y324,XT!AC324,XT!AG324))=12)*(CHOOSE({1,2,3,4},XT!X324,XT!AB324,XT!AF324,XT!AJ324)))</f>
        <v>0</v>
      </c>
      <c r="AT324" t="str">
        <f>IFERROR(INDEX(CHOOSE({1,2,3,4}, DAY(XT!U324), DAY(XT!Y324), DAY(XT!AC324), DAY(XT!AG324)), MATCH(1, INDEX(--(MONTH(CHOOSE({1,2,3,4}, XT!U324,XT!Y324,XT!AC324,XT!AG324))=12), 0), 0)), "")</f>
        <v/>
      </c>
      <c r="AU324" s="12" t="str">
        <f>IF(XT!$P324&gt;0,AT324,"")</f>
        <v/>
      </c>
      <c r="AV324" s="12" t="str">
        <f>IF(XT!$P324=0,AT324,"")</f>
        <v/>
      </c>
    </row>
    <row r="325" spans="1:48">
      <c r="A325">
        <f>SUMPRODUCT((MONTH(CHOOSE({1,2,3,4},XT!U325,XT!Y325,XT!AC325,XT!AG325))=1)*(CHOOSE({1,2,3,4},XT!X325,XT!AB325,XT!AF325,XT!AJ325)))</f>
        <v>0</v>
      </c>
      <c r="B325">
        <f>IFERROR(INDEX(CHOOSE({1,2,3,4}, DAY(XT!U325), DAY(XT!Y325), DAY(XT!AC325), DAY(XT!AG325)), MATCH(1, INDEX(--(MONTH(CHOOSE({1,2,3,4}, XT!U325,XT!Y325,XT!AC325,XT!AG325))=1), 0), 0)), "")</f>
        <v>0</v>
      </c>
      <c r="C325" s="12" t="str">
        <f>IF(XT!$P325&gt;0,B325,"")</f>
        <v/>
      </c>
      <c r="D325" s="12">
        <f>IF(XT!$P325=0,B325,"")</f>
        <v>0</v>
      </c>
      <c r="E325">
        <f>SUMPRODUCT((MONTH(CHOOSE({1,2,3,4},XT!U325,XT!Y325,XT!AC325,XT!AG325))=2)*(CHOOSE({1,2,3,4},XT!X325,XT!AB325,XT!AF325,XT!AJ325)))</f>
        <v>0</v>
      </c>
      <c r="F325" t="str">
        <f>IFERROR(INDEX(CHOOSE({1,2,3,4}, DAY(XT!U325), DAY(XT!Y325), DAY(XT!AC325), DAY(XT!AG325)), MATCH(1, INDEX(--(MONTH(CHOOSE({1,2,3,4}, XT!U325,XT!Y325,XT!AC325,XT!AG325))=2), 0), 0)), "")</f>
        <v/>
      </c>
      <c r="G325" s="12" t="str">
        <f>IF(XT!$P325&gt;0,F325,"")</f>
        <v/>
      </c>
      <c r="H325" s="12" t="str">
        <f>IF(XT!$P325=0,F325,"")</f>
        <v/>
      </c>
      <c r="I325">
        <f>SUMPRODUCT((MONTH(CHOOSE({1,2,3,4},XT!U325,XT!Y325,XT!AC325,XT!AG325))=3)*(CHOOSE({1,2,3,4},XT!X325,XT!AB325,XT!AF325,XT!AJ325)))</f>
        <v>0</v>
      </c>
      <c r="J325" t="str">
        <f>IFERROR(INDEX(CHOOSE({1,2,3,4}, DAY(XT!U325), DAY(XT!Y325), DAY(XT!AC325), DAY(XT!AG325)), MATCH(1, INDEX(--(MONTH(CHOOSE({1,2,3,4}, XT!U325,XT!Y325,XT!AC325,XT!AG325))=3), 0), 0)), "")</f>
        <v/>
      </c>
      <c r="K325" s="12" t="str">
        <f>IF(XT!$P325&gt;0,J325,"")</f>
        <v/>
      </c>
      <c r="L325" s="12" t="str">
        <f>IF(XT!$P325=0,J325,"")</f>
        <v/>
      </c>
      <c r="M325">
        <f>SUMPRODUCT((MONTH(CHOOSE({1,2,3,4},XT!U325,XT!Y325,XT!AC325,XT!AG325))=4)*(CHOOSE({1,2,3,4},XT!X325,XT!AB325,XT!AF325,XT!AJ325)))</f>
        <v>0</v>
      </c>
      <c r="N325" t="str">
        <f>IFERROR(INDEX(CHOOSE({1,2,3,4}, DAY(XT!U325), DAY(XT!Y325), DAY(XT!AC325), DAY(XT!AG325)), MATCH(1, INDEX(--(MONTH(CHOOSE({1,2,3,4}, XT!U325,XT!Y325,XT!AC325,XT!AG325))=4), 0), 0)), "")</f>
        <v/>
      </c>
      <c r="O325" s="12" t="str">
        <f>IF(XT!$P325&gt;0,N325,"")</f>
        <v/>
      </c>
      <c r="P325" s="12" t="str">
        <f>IF(XT!$P325=0,N325,"")</f>
        <v/>
      </c>
      <c r="Q325">
        <f>SUMPRODUCT((MONTH(CHOOSE({1,2,3,4},XT!U325,XT!Y325,XT!AC325,XT!AG325))=5)*(CHOOSE({1,2,3,4},XT!X325,XT!AB325,XT!AF325,XT!AJ325)))</f>
        <v>0</v>
      </c>
      <c r="R325" t="str">
        <f>IFERROR(INDEX(CHOOSE({1,2,3,4}, DAY(XT!U325), DAY(XT!Y325), DAY(XT!AC325), DAY(XT!AG325)), MATCH(1, INDEX(--(MONTH(CHOOSE({1,2,3,4}, XT!U325,XT!Y325,XT!AC325,XT!AG325))=5), 0), 0)), "")</f>
        <v/>
      </c>
      <c r="S325" s="12" t="str">
        <f>IF(XT!$P325&gt;0,R325,"")</f>
        <v/>
      </c>
      <c r="T325" s="12" t="str">
        <f>IF(XT!$P325=0,R325,"")</f>
        <v/>
      </c>
      <c r="U325">
        <f>SUMPRODUCT((MONTH(CHOOSE({1,2,3,4},XT!U325,XT!Y325,XT!AC325,XT!AG325))=6)*(CHOOSE({1,2,3,4},XT!X325,XT!AB325,XT!AF325,XT!AJ325)))</f>
        <v>0</v>
      </c>
      <c r="V325" t="str">
        <f>IFERROR(INDEX(CHOOSE({1,2,3,4}, DAY(XT!U325), DAY(XT!Y325), DAY(XT!AC325), DAY(XT!AG325)), MATCH(1, INDEX(--(MONTH(CHOOSE({1,2,3,4}, XT!U325,XT!Y325,XT!AC325,XT!AG325))=6), 0), 0)), "")</f>
        <v/>
      </c>
      <c r="W325" s="12" t="str">
        <f>IF(XT!$P325&gt;0,V325,"")</f>
        <v/>
      </c>
      <c r="X325" s="12" t="str">
        <f>IF(XT!$P325=0,V325,"")</f>
        <v/>
      </c>
      <c r="Y325">
        <f>SUMPRODUCT((MONTH(CHOOSE({1,2,3,4},XT!U325,XT!Y325,XT!AC325,XT!AG325))=7)*(CHOOSE({1,2,3,4},XT!X325,XT!AB325,XT!AF325,XT!AJ325)))</f>
        <v>0</v>
      </c>
      <c r="Z325" t="str">
        <f>IFERROR(INDEX(CHOOSE({1,2,3,4}, DAY(XT!U325), DAY(XT!Y325), DAY(XT!AC325), DAY(XT!AG325)), MATCH(1, INDEX(--(MONTH(CHOOSE({1,2,3,4}, XT!U325,XT!Y325,XT!AC325,XT!AG325))=7), 0), 0)), "")</f>
        <v/>
      </c>
      <c r="AA325" s="12" t="str">
        <f>IF(XT!$P325&gt;0,Z325,"")</f>
        <v/>
      </c>
      <c r="AB325" s="12" t="str">
        <f>IF(XT!$P325=0,Z325,"")</f>
        <v/>
      </c>
      <c r="AC325">
        <f>SUMPRODUCT((MONTH(CHOOSE({1,2,3,4},XT!U325,XT!Y325,XT!AC325,XT!AG325))=8)*(CHOOSE({1,2,3,4},XT!X325,XT!AB325,XT!AF325,XT!AJ325)))</f>
        <v>0</v>
      </c>
      <c r="AD325" t="str">
        <f>IFERROR(INDEX(CHOOSE({1,2,3,4}, DAY(XT!U325), DAY(XT!Y325), DAY(XT!AC325), DAY(XT!AG325)), MATCH(1, INDEX(--(MONTH(CHOOSE({1,2,3,4}, XT!U325,XT!Y325,XT!AC325,XT!AG325))=8), 0), 0)), "")</f>
        <v/>
      </c>
      <c r="AE325" s="12" t="str">
        <f>IF(XT!$P325&gt;0,AD325,"")</f>
        <v/>
      </c>
      <c r="AF325" s="12" t="str">
        <f>IF(XT!$P325=0,AD325,"")</f>
        <v/>
      </c>
      <c r="AG325">
        <f>SUMPRODUCT((MONTH(CHOOSE({1,2,3,4},XT!U325,XT!Y325,XT!AC325,XT!AG325))=9)*(CHOOSE({1,2,3,4},XT!X325,XT!AB325,XT!AF325,XT!AJ325)))</f>
        <v>0</v>
      </c>
      <c r="AH325" t="str">
        <f>IFERROR(INDEX(CHOOSE({1,2,3,4}, DAY(XT!U325), DAY(XT!Y325), DAY(XT!AC325), DAY(XT!AG325)), MATCH(1, INDEX(--(MONTH(CHOOSE({1,2,3,4}, XT!U325,XT!Y325,XT!AC325,XT!AG325))=9), 0), 0)), "")</f>
        <v/>
      </c>
      <c r="AI325" s="12" t="str">
        <f>IF(XT!$P325&gt;0,AH325,"")</f>
        <v/>
      </c>
      <c r="AJ325" s="12" t="str">
        <f>IF(XT!$P325=0,AH325,"")</f>
        <v/>
      </c>
      <c r="AK325">
        <f>SUMPRODUCT((MONTH(CHOOSE({1,2,3,4},XT!U325,XT!Y325,XT!AC325,XT!AG325))=10)*(CHOOSE({1,2,3,4},XT!X325,XT!AB325,XT!AF325,XT!AJ325)))</f>
        <v>0</v>
      </c>
      <c r="AL325" t="str">
        <f>IFERROR(INDEX(CHOOSE({1,2,3,4}, DAY(XT!U325), DAY(XT!Y325), DAY(XT!AC325), DAY(XT!AG325)), MATCH(1, INDEX(--(MONTH(CHOOSE({1,2,3,4}, XT!U325,XT!Y325,XT!AC325,XT!AG325))=10), 0), 0)), "")</f>
        <v/>
      </c>
      <c r="AM325" s="12" t="str">
        <f>IF(XT!$P325&gt;0,AL325,"")</f>
        <v/>
      </c>
      <c r="AN325" s="12" t="str">
        <f>IF(XT!$P325=0,AL325,"")</f>
        <v/>
      </c>
      <c r="AO325">
        <f>SUMPRODUCT((MONTH(CHOOSE({1,2,3,4},XT!U325,XT!Y325,XT!AC325,XT!AG325))=11)*(CHOOSE({1,2,3,4},XT!X325,XT!AB325,XT!AF325,XT!AJ325)))</f>
        <v>0</v>
      </c>
      <c r="AP325" t="str">
        <f>IFERROR(INDEX(CHOOSE({1,2,3,4}, DAY(XT!U325), DAY(XT!Y325), DAY(XT!AC325), DAY(XT!AG325)), MATCH(1, INDEX(--(MONTH(CHOOSE({1,2,3,4}, XT!U325,XT!Y325,XT!AC325,XT!AG325))=11), 0), 0)), "")</f>
        <v/>
      </c>
      <c r="AQ325" s="12" t="str">
        <f>IF(XT!$P325&gt;0,AP325,"")</f>
        <v/>
      </c>
      <c r="AR325" s="12" t="str">
        <f>IF(XT!$P325=0,AP325,"")</f>
        <v/>
      </c>
      <c r="AS325">
        <f>SUMPRODUCT((MONTH(CHOOSE({1,2,3,4},XT!U325,XT!Y325,XT!AC325,XT!AG325))=12)*(CHOOSE({1,2,3,4},XT!X325,XT!AB325,XT!AF325,XT!AJ325)))</f>
        <v>0</v>
      </c>
      <c r="AT325" t="str">
        <f>IFERROR(INDEX(CHOOSE({1,2,3,4}, DAY(XT!U325), DAY(XT!Y325), DAY(XT!AC325), DAY(XT!AG325)), MATCH(1, INDEX(--(MONTH(CHOOSE({1,2,3,4}, XT!U325,XT!Y325,XT!AC325,XT!AG325))=12), 0), 0)), "")</f>
        <v/>
      </c>
      <c r="AU325" s="12" t="str">
        <f>IF(XT!$P325&gt;0,AT325,"")</f>
        <v/>
      </c>
      <c r="AV325" s="12" t="str">
        <f>IF(XT!$P325=0,AT325,"")</f>
        <v/>
      </c>
    </row>
    <row r="326" spans="1:48">
      <c r="A326">
        <f>SUMPRODUCT((MONTH(CHOOSE({1,2,3,4},XT!U326,XT!Y326,XT!AC326,XT!AG326))=1)*(CHOOSE({1,2,3,4},XT!X326,XT!AB326,XT!AF326,XT!AJ326)))</f>
        <v>0</v>
      </c>
      <c r="B326">
        <f>IFERROR(INDEX(CHOOSE({1,2,3,4}, DAY(XT!U326), DAY(XT!Y326), DAY(XT!AC326), DAY(XT!AG326)), MATCH(1, INDEX(--(MONTH(CHOOSE({1,2,3,4}, XT!U326,XT!Y326,XT!AC326,XT!AG326))=1), 0), 0)), "")</f>
        <v>0</v>
      </c>
      <c r="C326" s="12" t="str">
        <f>IF(XT!$P326&gt;0,B326,"")</f>
        <v/>
      </c>
      <c r="D326" s="12">
        <f>IF(XT!$P326=0,B326,"")</f>
        <v>0</v>
      </c>
      <c r="E326">
        <f>SUMPRODUCT((MONTH(CHOOSE({1,2,3,4},XT!U326,XT!Y326,XT!AC326,XT!AG326))=2)*(CHOOSE({1,2,3,4},XT!X326,XT!AB326,XT!AF326,XT!AJ326)))</f>
        <v>0</v>
      </c>
      <c r="F326" t="str">
        <f>IFERROR(INDEX(CHOOSE({1,2,3,4}, DAY(XT!U326), DAY(XT!Y326), DAY(XT!AC326), DAY(XT!AG326)), MATCH(1, INDEX(--(MONTH(CHOOSE({1,2,3,4}, XT!U326,XT!Y326,XT!AC326,XT!AG326))=2), 0), 0)), "")</f>
        <v/>
      </c>
      <c r="G326" s="12" t="str">
        <f>IF(XT!$P326&gt;0,F326,"")</f>
        <v/>
      </c>
      <c r="H326" s="12" t="str">
        <f>IF(XT!$P326=0,F326,"")</f>
        <v/>
      </c>
      <c r="I326">
        <f>SUMPRODUCT((MONTH(CHOOSE({1,2,3,4},XT!U326,XT!Y326,XT!AC326,XT!AG326))=3)*(CHOOSE({1,2,3,4},XT!X326,XT!AB326,XT!AF326,XT!AJ326)))</f>
        <v>0</v>
      </c>
      <c r="J326" t="str">
        <f>IFERROR(INDEX(CHOOSE({1,2,3,4}, DAY(XT!U326), DAY(XT!Y326), DAY(XT!AC326), DAY(XT!AG326)), MATCH(1, INDEX(--(MONTH(CHOOSE({1,2,3,4}, XT!U326,XT!Y326,XT!AC326,XT!AG326))=3), 0), 0)), "")</f>
        <v/>
      </c>
      <c r="K326" s="12" t="str">
        <f>IF(XT!$P326&gt;0,J326,"")</f>
        <v/>
      </c>
      <c r="L326" s="12" t="str">
        <f>IF(XT!$P326=0,J326,"")</f>
        <v/>
      </c>
      <c r="M326">
        <f>SUMPRODUCT((MONTH(CHOOSE({1,2,3,4},XT!U326,XT!Y326,XT!AC326,XT!AG326))=4)*(CHOOSE({1,2,3,4},XT!X326,XT!AB326,XT!AF326,XT!AJ326)))</f>
        <v>0</v>
      </c>
      <c r="N326" t="str">
        <f>IFERROR(INDEX(CHOOSE({1,2,3,4}, DAY(XT!U326), DAY(XT!Y326), DAY(XT!AC326), DAY(XT!AG326)), MATCH(1, INDEX(--(MONTH(CHOOSE({1,2,3,4}, XT!U326,XT!Y326,XT!AC326,XT!AG326))=4), 0), 0)), "")</f>
        <v/>
      </c>
      <c r="O326" s="12" t="str">
        <f>IF(XT!$P326&gt;0,N326,"")</f>
        <v/>
      </c>
      <c r="P326" s="12" t="str">
        <f>IF(XT!$P326=0,N326,"")</f>
        <v/>
      </c>
      <c r="Q326">
        <f>SUMPRODUCT((MONTH(CHOOSE({1,2,3,4},XT!U326,XT!Y326,XT!AC326,XT!AG326))=5)*(CHOOSE({1,2,3,4},XT!X326,XT!AB326,XT!AF326,XT!AJ326)))</f>
        <v>0</v>
      </c>
      <c r="R326" t="str">
        <f>IFERROR(INDEX(CHOOSE({1,2,3,4}, DAY(XT!U326), DAY(XT!Y326), DAY(XT!AC326), DAY(XT!AG326)), MATCH(1, INDEX(--(MONTH(CHOOSE({1,2,3,4}, XT!U326,XT!Y326,XT!AC326,XT!AG326))=5), 0), 0)), "")</f>
        <v/>
      </c>
      <c r="S326" s="12" t="str">
        <f>IF(XT!$P326&gt;0,R326,"")</f>
        <v/>
      </c>
      <c r="T326" s="12" t="str">
        <f>IF(XT!$P326=0,R326,"")</f>
        <v/>
      </c>
      <c r="U326">
        <f>SUMPRODUCT((MONTH(CHOOSE({1,2,3,4},XT!U326,XT!Y326,XT!AC326,XT!AG326))=6)*(CHOOSE({1,2,3,4},XT!X326,XT!AB326,XT!AF326,XT!AJ326)))</f>
        <v>0</v>
      </c>
      <c r="V326" t="str">
        <f>IFERROR(INDEX(CHOOSE({1,2,3,4}, DAY(XT!U326), DAY(XT!Y326), DAY(XT!AC326), DAY(XT!AG326)), MATCH(1, INDEX(--(MONTH(CHOOSE({1,2,3,4}, XT!U326,XT!Y326,XT!AC326,XT!AG326))=6), 0), 0)), "")</f>
        <v/>
      </c>
      <c r="W326" s="12" t="str">
        <f>IF(XT!$P326&gt;0,V326,"")</f>
        <v/>
      </c>
      <c r="X326" s="12" t="str">
        <f>IF(XT!$P326=0,V326,"")</f>
        <v/>
      </c>
      <c r="Y326">
        <f>SUMPRODUCT((MONTH(CHOOSE({1,2,3,4},XT!U326,XT!Y326,XT!AC326,XT!AG326))=7)*(CHOOSE({1,2,3,4},XT!X326,XT!AB326,XT!AF326,XT!AJ326)))</f>
        <v>0</v>
      </c>
      <c r="Z326" t="str">
        <f>IFERROR(INDEX(CHOOSE({1,2,3,4}, DAY(XT!U326), DAY(XT!Y326), DAY(XT!AC326), DAY(XT!AG326)), MATCH(1, INDEX(--(MONTH(CHOOSE({1,2,3,4}, XT!U326,XT!Y326,XT!AC326,XT!AG326))=7), 0), 0)), "")</f>
        <v/>
      </c>
      <c r="AA326" s="12" t="str">
        <f>IF(XT!$P326&gt;0,Z326,"")</f>
        <v/>
      </c>
      <c r="AB326" s="12" t="str">
        <f>IF(XT!$P326=0,Z326,"")</f>
        <v/>
      </c>
      <c r="AC326">
        <f>SUMPRODUCT((MONTH(CHOOSE({1,2,3,4},XT!U326,XT!Y326,XT!AC326,XT!AG326))=8)*(CHOOSE({1,2,3,4},XT!X326,XT!AB326,XT!AF326,XT!AJ326)))</f>
        <v>0</v>
      </c>
      <c r="AD326" t="str">
        <f>IFERROR(INDEX(CHOOSE({1,2,3,4}, DAY(XT!U326), DAY(XT!Y326), DAY(XT!AC326), DAY(XT!AG326)), MATCH(1, INDEX(--(MONTH(CHOOSE({1,2,3,4}, XT!U326,XT!Y326,XT!AC326,XT!AG326))=8), 0), 0)), "")</f>
        <v/>
      </c>
      <c r="AE326" s="12" t="str">
        <f>IF(XT!$P326&gt;0,AD326,"")</f>
        <v/>
      </c>
      <c r="AF326" s="12" t="str">
        <f>IF(XT!$P326=0,AD326,"")</f>
        <v/>
      </c>
      <c r="AG326">
        <f>SUMPRODUCT((MONTH(CHOOSE({1,2,3,4},XT!U326,XT!Y326,XT!AC326,XT!AG326))=9)*(CHOOSE({1,2,3,4},XT!X326,XT!AB326,XT!AF326,XT!AJ326)))</f>
        <v>0</v>
      </c>
      <c r="AH326" t="str">
        <f>IFERROR(INDEX(CHOOSE({1,2,3,4}, DAY(XT!U326), DAY(XT!Y326), DAY(XT!AC326), DAY(XT!AG326)), MATCH(1, INDEX(--(MONTH(CHOOSE({1,2,3,4}, XT!U326,XT!Y326,XT!AC326,XT!AG326))=9), 0), 0)), "")</f>
        <v/>
      </c>
      <c r="AI326" s="12" t="str">
        <f>IF(XT!$P326&gt;0,AH326,"")</f>
        <v/>
      </c>
      <c r="AJ326" s="12" t="str">
        <f>IF(XT!$P326=0,AH326,"")</f>
        <v/>
      </c>
      <c r="AK326">
        <f>SUMPRODUCT((MONTH(CHOOSE({1,2,3,4},XT!U326,XT!Y326,XT!AC326,XT!AG326))=10)*(CHOOSE({1,2,3,4},XT!X326,XT!AB326,XT!AF326,XT!AJ326)))</f>
        <v>0</v>
      </c>
      <c r="AL326" t="str">
        <f>IFERROR(INDEX(CHOOSE({1,2,3,4}, DAY(XT!U326), DAY(XT!Y326), DAY(XT!AC326), DAY(XT!AG326)), MATCH(1, INDEX(--(MONTH(CHOOSE({1,2,3,4}, XT!U326,XT!Y326,XT!AC326,XT!AG326))=10), 0), 0)), "")</f>
        <v/>
      </c>
      <c r="AM326" s="12" t="str">
        <f>IF(XT!$P326&gt;0,AL326,"")</f>
        <v/>
      </c>
      <c r="AN326" s="12" t="str">
        <f>IF(XT!$P326=0,AL326,"")</f>
        <v/>
      </c>
      <c r="AO326">
        <f>SUMPRODUCT((MONTH(CHOOSE({1,2,3,4},XT!U326,XT!Y326,XT!AC326,XT!AG326))=11)*(CHOOSE({1,2,3,4},XT!X326,XT!AB326,XT!AF326,XT!AJ326)))</f>
        <v>0</v>
      </c>
      <c r="AP326" t="str">
        <f>IFERROR(INDEX(CHOOSE({1,2,3,4}, DAY(XT!U326), DAY(XT!Y326), DAY(XT!AC326), DAY(XT!AG326)), MATCH(1, INDEX(--(MONTH(CHOOSE({1,2,3,4}, XT!U326,XT!Y326,XT!AC326,XT!AG326))=11), 0), 0)), "")</f>
        <v/>
      </c>
      <c r="AQ326" s="12" t="str">
        <f>IF(XT!$P326&gt;0,AP326,"")</f>
        <v/>
      </c>
      <c r="AR326" s="12" t="str">
        <f>IF(XT!$P326=0,AP326,"")</f>
        <v/>
      </c>
      <c r="AS326">
        <f>SUMPRODUCT((MONTH(CHOOSE({1,2,3,4},XT!U326,XT!Y326,XT!AC326,XT!AG326))=12)*(CHOOSE({1,2,3,4},XT!X326,XT!AB326,XT!AF326,XT!AJ326)))</f>
        <v>0</v>
      </c>
      <c r="AT326" t="str">
        <f>IFERROR(INDEX(CHOOSE({1,2,3,4}, DAY(XT!U326), DAY(XT!Y326), DAY(XT!AC326), DAY(XT!AG326)), MATCH(1, INDEX(--(MONTH(CHOOSE({1,2,3,4}, XT!U326,XT!Y326,XT!AC326,XT!AG326))=12), 0), 0)), "")</f>
        <v/>
      </c>
      <c r="AU326" s="12" t="str">
        <f>IF(XT!$P326&gt;0,AT326,"")</f>
        <v/>
      </c>
      <c r="AV326" s="12" t="str">
        <f>IF(XT!$P326=0,AT326,"")</f>
        <v/>
      </c>
    </row>
    <row r="327" spans="1:48">
      <c r="A327">
        <f>SUMPRODUCT((MONTH(CHOOSE({1,2,3,4},XT!U327,XT!Y327,XT!AC327,XT!AG327))=1)*(CHOOSE({1,2,3,4},XT!X327,XT!AB327,XT!AF327,XT!AJ327)))</f>
        <v>0</v>
      </c>
      <c r="B327">
        <f>IFERROR(INDEX(CHOOSE({1,2,3,4}, DAY(XT!U327), DAY(XT!Y327), DAY(XT!AC327), DAY(XT!AG327)), MATCH(1, INDEX(--(MONTH(CHOOSE({1,2,3,4}, XT!U327,XT!Y327,XT!AC327,XT!AG327))=1), 0), 0)), "")</f>
        <v>0</v>
      </c>
      <c r="C327" s="12" t="str">
        <f>IF(XT!$P327&gt;0,B327,"")</f>
        <v/>
      </c>
      <c r="D327" s="12">
        <f>IF(XT!$P327=0,B327,"")</f>
        <v>0</v>
      </c>
      <c r="E327">
        <f>SUMPRODUCT((MONTH(CHOOSE({1,2,3,4},XT!U327,XT!Y327,XT!AC327,XT!AG327))=2)*(CHOOSE({1,2,3,4},XT!X327,XT!AB327,XT!AF327,XT!AJ327)))</f>
        <v>0</v>
      </c>
      <c r="F327" t="str">
        <f>IFERROR(INDEX(CHOOSE({1,2,3,4}, DAY(XT!U327), DAY(XT!Y327), DAY(XT!AC327), DAY(XT!AG327)), MATCH(1, INDEX(--(MONTH(CHOOSE({1,2,3,4}, XT!U327,XT!Y327,XT!AC327,XT!AG327))=2), 0), 0)), "")</f>
        <v/>
      </c>
      <c r="G327" s="12" t="str">
        <f>IF(XT!$P327&gt;0,F327,"")</f>
        <v/>
      </c>
      <c r="H327" s="12" t="str">
        <f>IF(XT!$P327=0,F327,"")</f>
        <v/>
      </c>
      <c r="I327">
        <f>SUMPRODUCT((MONTH(CHOOSE({1,2,3,4},XT!U327,XT!Y327,XT!AC327,XT!AG327))=3)*(CHOOSE({1,2,3,4},XT!X327,XT!AB327,XT!AF327,XT!AJ327)))</f>
        <v>0</v>
      </c>
      <c r="J327" t="str">
        <f>IFERROR(INDEX(CHOOSE({1,2,3,4}, DAY(XT!U327), DAY(XT!Y327), DAY(XT!AC327), DAY(XT!AG327)), MATCH(1, INDEX(--(MONTH(CHOOSE({1,2,3,4}, XT!U327,XT!Y327,XT!AC327,XT!AG327))=3), 0), 0)), "")</f>
        <v/>
      </c>
      <c r="K327" s="12" t="str">
        <f>IF(XT!$P327&gt;0,J327,"")</f>
        <v/>
      </c>
      <c r="L327" s="12" t="str">
        <f>IF(XT!$P327=0,J327,"")</f>
        <v/>
      </c>
      <c r="M327">
        <f>SUMPRODUCT((MONTH(CHOOSE({1,2,3,4},XT!U327,XT!Y327,XT!AC327,XT!AG327))=4)*(CHOOSE({1,2,3,4},XT!X327,XT!AB327,XT!AF327,XT!AJ327)))</f>
        <v>0</v>
      </c>
      <c r="N327" t="str">
        <f>IFERROR(INDEX(CHOOSE({1,2,3,4}, DAY(XT!U327), DAY(XT!Y327), DAY(XT!AC327), DAY(XT!AG327)), MATCH(1, INDEX(--(MONTH(CHOOSE({1,2,3,4}, XT!U327,XT!Y327,XT!AC327,XT!AG327))=4), 0), 0)), "")</f>
        <v/>
      </c>
      <c r="O327" s="12" t="str">
        <f>IF(XT!$P327&gt;0,N327,"")</f>
        <v/>
      </c>
      <c r="P327" s="12" t="str">
        <f>IF(XT!$P327=0,N327,"")</f>
        <v/>
      </c>
      <c r="Q327">
        <f>SUMPRODUCT((MONTH(CHOOSE({1,2,3,4},XT!U327,XT!Y327,XT!AC327,XT!AG327))=5)*(CHOOSE({1,2,3,4},XT!X327,XT!AB327,XT!AF327,XT!AJ327)))</f>
        <v>0</v>
      </c>
      <c r="R327" t="str">
        <f>IFERROR(INDEX(CHOOSE({1,2,3,4}, DAY(XT!U327), DAY(XT!Y327), DAY(XT!AC327), DAY(XT!AG327)), MATCH(1, INDEX(--(MONTH(CHOOSE({1,2,3,4}, XT!U327,XT!Y327,XT!AC327,XT!AG327))=5), 0), 0)), "")</f>
        <v/>
      </c>
      <c r="S327" s="12" t="str">
        <f>IF(XT!$P327&gt;0,R327,"")</f>
        <v/>
      </c>
      <c r="T327" s="12" t="str">
        <f>IF(XT!$P327=0,R327,"")</f>
        <v/>
      </c>
      <c r="U327">
        <f>SUMPRODUCT((MONTH(CHOOSE({1,2,3,4},XT!U327,XT!Y327,XT!AC327,XT!AG327))=6)*(CHOOSE({1,2,3,4},XT!X327,XT!AB327,XT!AF327,XT!AJ327)))</f>
        <v>0</v>
      </c>
      <c r="V327" t="str">
        <f>IFERROR(INDEX(CHOOSE({1,2,3,4}, DAY(XT!U327), DAY(XT!Y327), DAY(XT!AC327), DAY(XT!AG327)), MATCH(1, INDEX(--(MONTH(CHOOSE({1,2,3,4}, XT!U327,XT!Y327,XT!AC327,XT!AG327))=6), 0), 0)), "")</f>
        <v/>
      </c>
      <c r="W327" s="12" t="str">
        <f>IF(XT!$P327&gt;0,V327,"")</f>
        <v/>
      </c>
      <c r="X327" s="12" t="str">
        <f>IF(XT!$P327=0,V327,"")</f>
        <v/>
      </c>
      <c r="Y327">
        <f>SUMPRODUCT((MONTH(CHOOSE({1,2,3,4},XT!U327,XT!Y327,XT!AC327,XT!AG327))=7)*(CHOOSE({1,2,3,4},XT!X327,XT!AB327,XT!AF327,XT!AJ327)))</f>
        <v>0</v>
      </c>
      <c r="Z327" t="str">
        <f>IFERROR(INDEX(CHOOSE({1,2,3,4}, DAY(XT!U327), DAY(XT!Y327), DAY(XT!AC327), DAY(XT!AG327)), MATCH(1, INDEX(--(MONTH(CHOOSE({1,2,3,4}, XT!U327,XT!Y327,XT!AC327,XT!AG327))=7), 0), 0)), "")</f>
        <v/>
      </c>
      <c r="AA327" s="12" t="str">
        <f>IF(XT!$P327&gt;0,Z327,"")</f>
        <v/>
      </c>
      <c r="AB327" s="12" t="str">
        <f>IF(XT!$P327=0,Z327,"")</f>
        <v/>
      </c>
      <c r="AC327">
        <f>SUMPRODUCT((MONTH(CHOOSE({1,2,3,4},XT!U327,XT!Y327,XT!AC327,XT!AG327))=8)*(CHOOSE({1,2,3,4},XT!X327,XT!AB327,XT!AF327,XT!AJ327)))</f>
        <v>0</v>
      </c>
      <c r="AD327" t="str">
        <f>IFERROR(INDEX(CHOOSE({1,2,3,4}, DAY(XT!U327), DAY(XT!Y327), DAY(XT!AC327), DAY(XT!AG327)), MATCH(1, INDEX(--(MONTH(CHOOSE({1,2,3,4}, XT!U327,XT!Y327,XT!AC327,XT!AG327))=8), 0), 0)), "")</f>
        <v/>
      </c>
      <c r="AE327" s="12" t="str">
        <f>IF(XT!$P327&gt;0,AD327,"")</f>
        <v/>
      </c>
      <c r="AF327" s="12" t="str">
        <f>IF(XT!$P327=0,AD327,"")</f>
        <v/>
      </c>
      <c r="AG327">
        <f>SUMPRODUCT((MONTH(CHOOSE({1,2,3,4},XT!U327,XT!Y327,XT!AC327,XT!AG327))=9)*(CHOOSE({1,2,3,4},XT!X327,XT!AB327,XT!AF327,XT!AJ327)))</f>
        <v>0</v>
      </c>
      <c r="AH327" t="str">
        <f>IFERROR(INDEX(CHOOSE({1,2,3,4}, DAY(XT!U327), DAY(XT!Y327), DAY(XT!AC327), DAY(XT!AG327)), MATCH(1, INDEX(--(MONTH(CHOOSE({1,2,3,4}, XT!U327,XT!Y327,XT!AC327,XT!AG327))=9), 0), 0)), "")</f>
        <v/>
      </c>
      <c r="AI327" s="12" t="str">
        <f>IF(XT!$P327&gt;0,AH327,"")</f>
        <v/>
      </c>
      <c r="AJ327" s="12" t="str">
        <f>IF(XT!$P327=0,AH327,"")</f>
        <v/>
      </c>
      <c r="AK327">
        <f>SUMPRODUCT((MONTH(CHOOSE({1,2,3,4},XT!U327,XT!Y327,XT!AC327,XT!AG327))=10)*(CHOOSE({1,2,3,4},XT!X327,XT!AB327,XT!AF327,XT!AJ327)))</f>
        <v>0</v>
      </c>
      <c r="AL327" t="str">
        <f>IFERROR(INDEX(CHOOSE({1,2,3,4}, DAY(XT!U327), DAY(XT!Y327), DAY(XT!AC327), DAY(XT!AG327)), MATCH(1, INDEX(--(MONTH(CHOOSE({1,2,3,4}, XT!U327,XT!Y327,XT!AC327,XT!AG327))=10), 0), 0)), "")</f>
        <v/>
      </c>
      <c r="AM327" s="12" t="str">
        <f>IF(XT!$P327&gt;0,AL327,"")</f>
        <v/>
      </c>
      <c r="AN327" s="12" t="str">
        <f>IF(XT!$P327=0,AL327,"")</f>
        <v/>
      </c>
      <c r="AO327">
        <f>SUMPRODUCT((MONTH(CHOOSE({1,2,3,4},XT!U327,XT!Y327,XT!AC327,XT!AG327))=11)*(CHOOSE({1,2,3,4},XT!X327,XT!AB327,XT!AF327,XT!AJ327)))</f>
        <v>0</v>
      </c>
      <c r="AP327" t="str">
        <f>IFERROR(INDEX(CHOOSE({1,2,3,4}, DAY(XT!U327), DAY(XT!Y327), DAY(XT!AC327), DAY(XT!AG327)), MATCH(1, INDEX(--(MONTH(CHOOSE({1,2,3,4}, XT!U327,XT!Y327,XT!AC327,XT!AG327))=11), 0), 0)), "")</f>
        <v/>
      </c>
      <c r="AQ327" s="12" t="str">
        <f>IF(XT!$P327&gt;0,AP327,"")</f>
        <v/>
      </c>
      <c r="AR327" s="12" t="str">
        <f>IF(XT!$P327=0,AP327,"")</f>
        <v/>
      </c>
      <c r="AS327">
        <f>SUMPRODUCT((MONTH(CHOOSE({1,2,3,4},XT!U327,XT!Y327,XT!AC327,XT!AG327))=12)*(CHOOSE({1,2,3,4},XT!X327,XT!AB327,XT!AF327,XT!AJ327)))</f>
        <v>0</v>
      </c>
      <c r="AT327" t="str">
        <f>IFERROR(INDEX(CHOOSE({1,2,3,4}, DAY(XT!U327), DAY(XT!Y327), DAY(XT!AC327), DAY(XT!AG327)), MATCH(1, INDEX(--(MONTH(CHOOSE({1,2,3,4}, XT!U327,XT!Y327,XT!AC327,XT!AG327))=12), 0), 0)), "")</f>
        <v/>
      </c>
      <c r="AU327" s="12" t="str">
        <f>IF(XT!$P327&gt;0,AT327,"")</f>
        <v/>
      </c>
      <c r="AV327" s="12" t="str">
        <f>IF(XT!$P327=0,AT327,"")</f>
        <v/>
      </c>
    </row>
    <row r="328" spans="1:48">
      <c r="A328">
        <f>SUMPRODUCT((MONTH(CHOOSE({1,2,3,4},XT!U328,XT!Y328,XT!AC328,XT!AG328))=1)*(CHOOSE({1,2,3,4},XT!X328,XT!AB328,XT!AF328,XT!AJ328)))</f>
        <v>0</v>
      </c>
      <c r="B328">
        <f>IFERROR(INDEX(CHOOSE({1,2,3,4}, DAY(XT!U328), DAY(XT!Y328), DAY(XT!AC328), DAY(XT!AG328)), MATCH(1, INDEX(--(MONTH(CHOOSE({1,2,3,4}, XT!U328,XT!Y328,XT!AC328,XT!AG328))=1), 0), 0)), "")</f>
        <v>0</v>
      </c>
      <c r="C328" s="12" t="str">
        <f>IF(XT!$P328&gt;0,B328,"")</f>
        <v/>
      </c>
      <c r="D328" s="12">
        <f>IF(XT!$P328=0,B328,"")</f>
        <v>0</v>
      </c>
      <c r="E328">
        <f>SUMPRODUCT((MONTH(CHOOSE({1,2,3,4},XT!U328,XT!Y328,XT!AC328,XT!AG328))=2)*(CHOOSE({1,2,3,4},XT!X328,XT!AB328,XT!AF328,XT!AJ328)))</f>
        <v>0</v>
      </c>
      <c r="F328" t="str">
        <f>IFERROR(INDEX(CHOOSE({1,2,3,4}, DAY(XT!U328), DAY(XT!Y328), DAY(XT!AC328), DAY(XT!AG328)), MATCH(1, INDEX(--(MONTH(CHOOSE({1,2,3,4}, XT!U328,XT!Y328,XT!AC328,XT!AG328))=2), 0), 0)), "")</f>
        <v/>
      </c>
      <c r="G328" s="12" t="str">
        <f>IF(XT!$P328&gt;0,F328,"")</f>
        <v/>
      </c>
      <c r="H328" s="12" t="str">
        <f>IF(XT!$P328=0,F328,"")</f>
        <v/>
      </c>
      <c r="I328">
        <f>SUMPRODUCT((MONTH(CHOOSE({1,2,3,4},XT!U328,XT!Y328,XT!AC328,XT!AG328))=3)*(CHOOSE({1,2,3,4},XT!X328,XT!AB328,XT!AF328,XT!AJ328)))</f>
        <v>0</v>
      </c>
      <c r="J328" t="str">
        <f>IFERROR(INDEX(CHOOSE({1,2,3,4}, DAY(XT!U328), DAY(XT!Y328), DAY(XT!AC328), DAY(XT!AG328)), MATCH(1, INDEX(--(MONTH(CHOOSE({1,2,3,4}, XT!U328,XT!Y328,XT!AC328,XT!AG328))=3), 0), 0)), "")</f>
        <v/>
      </c>
      <c r="K328" s="12" t="str">
        <f>IF(XT!$P328&gt;0,J328,"")</f>
        <v/>
      </c>
      <c r="L328" s="12" t="str">
        <f>IF(XT!$P328=0,J328,"")</f>
        <v/>
      </c>
      <c r="M328">
        <f>SUMPRODUCT((MONTH(CHOOSE({1,2,3,4},XT!U328,XT!Y328,XT!AC328,XT!AG328))=4)*(CHOOSE({1,2,3,4},XT!X328,XT!AB328,XT!AF328,XT!AJ328)))</f>
        <v>0</v>
      </c>
      <c r="N328" t="str">
        <f>IFERROR(INDEX(CHOOSE({1,2,3,4}, DAY(XT!U328), DAY(XT!Y328), DAY(XT!AC328), DAY(XT!AG328)), MATCH(1, INDEX(--(MONTH(CHOOSE({1,2,3,4}, XT!U328,XT!Y328,XT!AC328,XT!AG328))=4), 0), 0)), "")</f>
        <v/>
      </c>
      <c r="O328" s="12" t="str">
        <f>IF(XT!$P328&gt;0,N328,"")</f>
        <v/>
      </c>
      <c r="P328" s="12" t="str">
        <f>IF(XT!$P328=0,N328,"")</f>
        <v/>
      </c>
      <c r="Q328">
        <f>SUMPRODUCT((MONTH(CHOOSE({1,2,3,4},XT!U328,XT!Y328,XT!AC328,XT!AG328))=5)*(CHOOSE({1,2,3,4},XT!X328,XT!AB328,XT!AF328,XT!AJ328)))</f>
        <v>0</v>
      </c>
      <c r="R328" t="str">
        <f>IFERROR(INDEX(CHOOSE({1,2,3,4}, DAY(XT!U328), DAY(XT!Y328), DAY(XT!AC328), DAY(XT!AG328)), MATCH(1, INDEX(--(MONTH(CHOOSE({1,2,3,4}, XT!U328,XT!Y328,XT!AC328,XT!AG328))=5), 0), 0)), "")</f>
        <v/>
      </c>
      <c r="S328" s="12" t="str">
        <f>IF(XT!$P328&gt;0,R328,"")</f>
        <v/>
      </c>
      <c r="T328" s="12" t="str">
        <f>IF(XT!$P328=0,R328,"")</f>
        <v/>
      </c>
      <c r="U328">
        <f>SUMPRODUCT((MONTH(CHOOSE({1,2,3,4},XT!U328,XT!Y328,XT!AC328,XT!AG328))=6)*(CHOOSE({1,2,3,4},XT!X328,XT!AB328,XT!AF328,XT!AJ328)))</f>
        <v>0</v>
      </c>
      <c r="V328" t="str">
        <f>IFERROR(INDEX(CHOOSE({1,2,3,4}, DAY(XT!U328), DAY(XT!Y328), DAY(XT!AC328), DAY(XT!AG328)), MATCH(1, INDEX(--(MONTH(CHOOSE({1,2,3,4}, XT!U328,XT!Y328,XT!AC328,XT!AG328))=6), 0), 0)), "")</f>
        <v/>
      </c>
      <c r="W328" s="12" t="str">
        <f>IF(XT!$P328&gt;0,V328,"")</f>
        <v/>
      </c>
      <c r="X328" s="12" t="str">
        <f>IF(XT!$P328=0,V328,"")</f>
        <v/>
      </c>
      <c r="Y328">
        <f>SUMPRODUCT((MONTH(CHOOSE({1,2,3,4},XT!U328,XT!Y328,XT!AC328,XT!AG328))=7)*(CHOOSE({1,2,3,4},XT!X328,XT!AB328,XT!AF328,XT!AJ328)))</f>
        <v>0</v>
      </c>
      <c r="Z328" t="str">
        <f>IFERROR(INDEX(CHOOSE({1,2,3,4}, DAY(XT!U328), DAY(XT!Y328), DAY(XT!AC328), DAY(XT!AG328)), MATCH(1, INDEX(--(MONTH(CHOOSE({1,2,3,4}, XT!U328,XT!Y328,XT!AC328,XT!AG328))=7), 0), 0)), "")</f>
        <v/>
      </c>
      <c r="AA328" s="12" t="str">
        <f>IF(XT!$P328&gt;0,Z328,"")</f>
        <v/>
      </c>
      <c r="AB328" s="12" t="str">
        <f>IF(XT!$P328=0,Z328,"")</f>
        <v/>
      </c>
      <c r="AC328">
        <f>SUMPRODUCT((MONTH(CHOOSE({1,2,3,4},XT!U328,XT!Y328,XT!AC328,XT!AG328))=8)*(CHOOSE({1,2,3,4},XT!X328,XT!AB328,XT!AF328,XT!AJ328)))</f>
        <v>0</v>
      </c>
      <c r="AD328" t="str">
        <f>IFERROR(INDEX(CHOOSE({1,2,3,4}, DAY(XT!U328), DAY(XT!Y328), DAY(XT!AC328), DAY(XT!AG328)), MATCH(1, INDEX(--(MONTH(CHOOSE({1,2,3,4}, XT!U328,XT!Y328,XT!AC328,XT!AG328))=8), 0), 0)), "")</f>
        <v/>
      </c>
      <c r="AE328" s="12" t="str">
        <f>IF(XT!$P328&gt;0,AD328,"")</f>
        <v/>
      </c>
      <c r="AF328" s="12" t="str">
        <f>IF(XT!$P328=0,AD328,"")</f>
        <v/>
      </c>
      <c r="AG328">
        <f>SUMPRODUCT((MONTH(CHOOSE({1,2,3,4},XT!U328,XT!Y328,XT!AC328,XT!AG328))=9)*(CHOOSE({1,2,3,4},XT!X328,XT!AB328,XT!AF328,XT!AJ328)))</f>
        <v>0</v>
      </c>
      <c r="AH328" t="str">
        <f>IFERROR(INDEX(CHOOSE({1,2,3,4}, DAY(XT!U328), DAY(XT!Y328), DAY(XT!AC328), DAY(XT!AG328)), MATCH(1, INDEX(--(MONTH(CHOOSE({1,2,3,4}, XT!U328,XT!Y328,XT!AC328,XT!AG328))=9), 0), 0)), "")</f>
        <v/>
      </c>
      <c r="AI328" s="12" t="str">
        <f>IF(XT!$P328&gt;0,AH328,"")</f>
        <v/>
      </c>
      <c r="AJ328" s="12" t="str">
        <f>IF(XT!$P328=0,AH328,"")</f>
        <v/>
      </c>
      <c r="AK328">
        <f>SUMPRODUCT((MONTH(CHOOSE({1,2,3,4},XT!U328,XT!Y328,XT!AC328,XT!AG328))=10)*(CHOOSE({1,2,3,4},XT!X328,XT!AB328,XT!AF328,XT!AJ328)))</f>
        <v>0</v>
      </c>
      <c r="AL328" t="str">
        <f>IFERROR(INDEX(CHOOSE({1,2,3,4}, DAY(XT!U328), DAY(XT!Y328), DAY(XT!AC328), DAY(XT!AG328)), MATCH(1, INDEX(--(MONTH(CHOOSE({1,2,3,4}, XT!U328,XT!Y328,XT!AC328,XT!AG328))=10), 0), 0)), "")</f>
        <v/>
      </c>
      <c r="AM328" s="12" t="str">
        <f>IF(XT!$P328&gt;0,AL328,"")</f>
        <v/>
      </c>
      <c r="AN328" s="12" t="str">
        <f>IF(XT!$P328=0,AL328,"")</f>
        <v/>
      </c>
      <c r="AO328">
        <f>SUMPRODUCT((MONTH(CHOOSE({1,2,3,4},XT!U328,XT!Y328,XT!AC328,XT!AG328))=11)*(CHOOSE({1,2,3,4},XT!X328,XT!AB328,XT!AF328,XT!AJ328)))</f>
        <v>0</v>
      </c>
      <c r="AP328" t="str">
        <f>IFERROR(INDEX(CHOOSE({1,2,3,4}, DAY(XT!U328), DAY(XT!Y328), DAY(XT!AC328), DAY(XT!AG328)), MATCH(1, INDEX(--(MONTH(CHOOSE({1,2,3,4}, XT!U328,XT!Y328,XT!AC328,XT!AG328))=11), 0), 0)), "")</f>
        <v/>
      </c>
      <c r="AQ328" s="12" t="str">
        <f>IF(XT!$P328&gt;0,AP328,"")</f>
        <v/>
      </c>
      <c r="AR328" s="12" t="str">
        <f>IF(XT!$P328=0,AP328,"")</f>
        <v/>
      </c>
      <c r="AS328">
        <f>SUMPRODUCT((MONTH(CHOOSE({1,2,3,4},XT!U328,XT!Y328,XT!AC328,XT!AG328))=12)*(CHOOSE({1,2,3,4},XT!X328,XT!AB328,XT!AF328,XT!AJ328)))</f>
        <v>0</v>
      </c>
      <c r="AT328" t="str">
        <f>IFERROR(INDEX(CHOOSE({1,2,3,4}, DAY(XT!U328), DAY(XT!Y328), DAY(XT!AC328), DAY(XT!AG328)), MATCH(1, INDEX(--(MONTH(CHOOSE({1,2,3,4}, XT!U328,XT!Y328,XT!AC328,XT!AG328))=12), 0), 0)), "")</f>
        <v/>
      </c>
      <c r="AU328" s="12" t="str">
        <f>IF(XT!$P328&gt;0,AT328,"")</f>
        <v/>
      </c>
      <c r="AV328" s="12" t="str">
        <f>IF(XT!$P328=0,AT328,"")</f>
        <v/>
      </c>
    </row>
    <row r="329" spans="1:48">
      <c r="A329">
        <f>SUMPRODUCT((MONTH(CHOOSE({1,2,3,4},XT!U329,XT!Y329,XT!AC329,XT!AG329))=1)*(CHOOSE({1,2,3,4},XT!X329,XT!AB329,XT!AF329,XT!AJ329)))</f>
        <v>0</v>
      </c>
      <c r="B329">
        <f>IFERROR(INDEX(CHOOSE({1,2,3,4}, DAY(XT!U329), DAY(XT!Y329), DAY(XT!AC329), DAY(XT!AG329)), MATCH(1, INDEX(--(MONTH(CHOOSE({1,2,3,4}, XT!U329,XT!Y329,XT!AC329,XT!AG329))=1), 0), 0)), "")</f>
        <v>0</v>
      </c>
      <c r="C329" s="12" t="str">
        <f>IF(XT!$P329&gt;0,B329,"")</f>
        <v/>
      </c>
      <c r="D329" s="12">
        <f>IF(XT!$P329=0,B329,"")</f>
        <v>0</v>
      </c>
      <c r="E329">
        <f>SUMPRODUCT((MONTH(CHOOSE({1,2,3,4},XT!U329,XT!Y329,XT!AC329,XT!AG329))=2)*(CHOOSE({1,2,3,4},XT!X329,XT!AB329,XT!AF329,XT!AJ329)))</f>
        <v>0</v>
      </c>
      <c r="F329" t="str">
        <f>IFERROR(INDEX(CHOOSE({1,2,3,4}, DAY(XT!U329), DAY(XT!Y329), DAY(XT!AC329), DAY(XT!AG329)), MATCH(1, INDEX(--(MONTH(CHOOSE({1,2,3,4}, XT!U329,XT!Y329,XT!AC329,XT!AG329))=2), 0), 0)), "")</f>
        <v/>
      </c>
      <c r="G329" s="12" t="str">
        <f>IF(XT!$P329&gt;0,F329,"")</f>
        <v/>
      </c>
      <c r="H329" s="12" t="str">
        <f>IF(XT!$P329=0,F329,"")</f>
        <v/>
      </c>
      <c r="I329">
        <f>SUMPRODUCT((MONTH(CHOOSE({1,2,3,4},XT!U329,XT!Y329,XT!AC329,XT!AG329))=3)*(CHOOSE({1,2,3,4},XT!X329,XT!AB329,XT!AF329,XT!AJ329)))</f>
        <v>0</v>
      </c>
      <c r="J329" t="str">
        <f>IFERROR(INDEX(CHOOSE({1,2,3,4}, DAY(XT!U329), DAY(XT!Y329), DAY(XT!AC329), DAY(XT!AG329)), MATCH(1, INDEX(--(MONTH(CHOOSE({1,2,3,4}, XT!U329,XT!Y329,XT!AC329,XT!AG329))=3), 0), 0)), "")</f>
        <v/>
      </c>
      <c r="K329" s="12" t="str">
        <f>IF(XT!$P329&gt;0,J329,"")</f>
        <v/>
      </c>
      <c r="L329" s="12" t="str">
        <f>IF(XT!$P329=0,J329,"")</f>
        <v/>
      </c>
      <c r="M329">
        <f>SUMPRODUCT((MONTH(CHOOSE({1,2,3,4},XT!U329,XT!Y329,XT!AC329,XT!AG329))=4)*(CHOOSE({1,2,3,4},XT!X329,XT!AB329,XT!AF329,XT!AJ329)))</f>
        <v>0</v>
      </c>
      <c r="N329" t="str">
        <f>IFERROR(INDEX(CHOOSE({1,2,3,4}, DAY(XT!U329), DAY(XT!Y329), DAY(XT!AC329), DAY(XT!AG329)), MATCH(1, INDEX(--(MONTH(CHOOSE({1,2,3,4}, XT!U329,XT!Y329,XT!AC329,XT!AG329))=4), 0), 0)), "")</f>
        <v/>
      </c>
      <c r="O329" s="12" t="str">
        <f>IF(XT!$P329&gt;0,N329,"")</f>
        <v/>
      </c>
      <c r="P329" s="12" t="str">
        <f>IF(XT!$P329=0,N329,"")</f>
        <v/>
      </c>
      <c r="Q329">
        <f>SUMPRODUCT((MONTH(CHOOSE({1,2,3,4},XT!U329,XT!Y329,XT!AC329,XT!AG329))=5)*(CHOOSE({1,2,3,4},XT!X329,XT!AB329,XT!AF329,XT!AJ329)))</f>
        <v>0</v>
      </c>
      <c r="R329" t="str">
        <f>IFERROR(INDEX(CHOOSE({1,2,3,4}, DAY(XT!U329), DAY(XT!Y329), DAY(XT!AC329), DAY(XT!AG329)), MATCH(1, INDEX(--(MONTH(CHOOSE({1,2,3,4}, XT!U329,XT!Y329,XT!AC329,XT!AG329))=5), 0), 0)), "")</f>
        <v/>
      </c>
      <c r="S329" s="12" t="str">
        <f>IF(XT!$P329&gt;0,R329,"")</f>
        <v/>
      </c>
      <c r="T329" s="12" t="str">
        <f>IF(XT!$P329=0,R329,"")</f>
        <v/>
      </c>
      <c r="U329">
        <f>SUMPRODUCT((MONTH(CHOOSE({1,2,3,4},XT!U329,XT!Y329,XT!AC329,XT!AG329))=6)*(CHOOSE({1,2,3,4},XT!X329,XT!AB329,XT!AF329,XT!AJ329)))</f>
        <v>0</v>
      </c>
      <c r="V329" t="str">
        <f>IFERROR(INDEX(CHOOSE({1,2,3,4}, DAY(XT!U329), DAY(XT!Y329), DAY(XT!AC329), DAY(XT!AG329)), MATCH(1, INDEX(--(MONTH(CHOOSE({1,2,3,4}, XT!U329,XT!Y329,XT!AC329,XT!AG329))=6), 0), 0)), "")</f>
        <v/>
      </c>
      <c r="W329" s="12" t="str">
        <f>IF(XT!$P329&gt;0,V329,"")</f>
        <v/>
      </c>
      <c r="X329" s="12" t="str">
        <f>IF(XT!$P329=0,V329,"")</f>
        <v/>
      </c>
      <c r="Y329">
        <f>SUMPRODUCT((MONTH(CHOOSE({1,2,3,4},XT!U329,XT!Y329,XT!AC329,XT!AG329))=7)*(CHOOSE({1,2,3,4},XT!X329,XT!AB329,XT!AF329,XT!AJ329)))</f>
        <v>0</v>
      </c>
      <c r="Z329" t="str">
        <f>IFERROR(INDEX(CHOOSE({1,2,3,4}, DAY(XT!U329), DAY(XT!Y329), DAY(XT!AC329), DAY(XT!AG329)), MATCH(1, INDEX(--(MONTH(CHOOSE({1,2,3,4}, XT!U329,XT!Y329,XT!AC329,XT!AG329))=7), 0), 0)), "")</f>
        <v/>
      </c>
      <c r="AA329" s="12" t="str">
        <f>IF(XT!$P329&gt;0,Z329,"")</f>
        <v/>
      </c>
      <c r="AB329" s="12" t="str">
        <f>IF(XT!$P329=0,Z329,"")</f>
        <v/>
      </c>
      <c r="AC329">
        <f>SUMPRODUCT((MONTH(CHOOSE({1,2,3,4},XT!U329,XT!Y329,XT!AC329,XT!AG329))=8)*(CHOOSE({1,2,3,4},XT!X329,XT!AB329,XT!AF329,XT!AJ329)))</f>
        <v>0</v>
      </c>
      <c r="AD329" t="str">
        <f>IFERROR(INDEX(CHOOSE({1,2,3,4}, DAY(XT!U329), DAY(XT!Y329), DAY(XT!AC329), DAY(XT!AG329)), MATCH(1, INDEX(--(MONTH(CHOOSE({1,2,3,4}, XT!U329,XT!Y329,XT!AC329,XT!AG329))=8), 0), 0)), "")</f>
        <v/>
      </c>
      <c r="AE329" s="12" t="str">
        <f>IF(XT!$P329&gt;0,AD329,"")</f>
        <v/>
      </c>
      <c r="AF329" s="12" t="str">
        <f>IF(XT!$P329=0,AD329,"")</f>
        <v/>
      </c>
      <c r="AG329">
        <f>SUMPRODUCT((MONTH(CHOOSE({1,2,3,4},XT!U329,XT!Y329,XT!AC329,XT!AG329))=9)*(CHOOSE({1,2,3,4},XT!X329,XT!AB329,XT!AF329,XT!AJ329)))</f>
        <v>0</v>
      </c>
      <c r="AH329" t="str">
        <f>IFERROR(INDEX(CHOOSE({1,2,3,4}, DAY(XT!U329), DAY(XT!Y329), DAY(XT!AC329), DAY(XT!AG329)), MATCH(1, INDEX(--(MONTH(CHOOSE({1,2,3,4}, XT!U329,XT!Y329,XT!AC329,XT!AG329))=9), 0), 0)), "")</f>
        <v/>
      </c>
      <c r="AI329" s="12" t="str">
        <f>IF(XT!$P329&gt;0,AH329,"")</f>
        <v/>
      </c>
      <c r="AJ329" s="12" t="str">
        <f>IF(XT!$P329=0,AH329,"")</f>
        <v/>
      </c>
      <c r="AK329">
        <f>SUMPRODUCT((MONTH(CHOOSE({1,2,3,4},XT!U329,XT!Y329,XT!AC329,XT!AG329))=10)*(CHOOSE({1,2,3,4},XT!X329,XT!AB329,XT!AF329,XT!AJ329)))</f>
        <v>0</v>
      </c>
      <c r="AL329" t="str">
        <f>IFERROR(INDEX(CHOOSE({1,2,3,4}, DAY(XT!U329), DAY(XT!Y329), DAY(XT!AC329), DAY(XT!AG329)), MATCH(1, INDEX(--(MONTH(CHOOSE({1,2,3,4}, XT!U329,XT!Y329,XT!AC329,XT!AG329))=10), 0), 0)), "")</f>
        <v/>
      </c>
      <c r="AM329" s="12" t="str">
        <f>IF(XT!$P329&gt;0,AL329,"")</f>
        <v/>
      </c>
      <c r="AN329" s="12" t="str">
        <f>IF(XT!$P329=0,AL329,"")</f>
        <v/>
      </c>
      <c r="AO329">
        <f>SUMPRODUCT((MONTH(CHOOSE({1,2,3,4},XT!U329,XT!Y329,XT!AC329,XT!AG329))=11)*(CHOOSE({1,2,3,4},XT!X329,XT!AB329,XT!AF329,XT!AJ329)))</f>
        <v>0</v>
      </c>
      <c r="AP329" t="str">
        <f>IFERROR(INDEX(CHOOSE({1,2,3,4}, DAY(XT!U329), DAY(XT!Y329), DAY(XT!AC329), DAY(XT!AG329)), MATCH(1, INDEX(--(MONTH(CHOOSE({1,2,3,4}, XT!U329,XT!Y329,XT!AC329,XT!AG329))=11), 0), 0)), "")</f>
        <v/>
      </c>
      <c r="AQ329" s="12" t="str">
        <f>IF(XT!$P329&gt;0,AP329,"")</f>
        <v/>
      </c>
      <c r="AR329" s="12" t="str">
        <f>IF(XT!$P329=0,AP329,"")</f>
        <v/>
      </c>
      <c r="AS329">
        <f>SUMPRODUCT((MONTH(CHOOSE({1,2,3,4},XT!U329,XT!Y329,XT!AC329,XT!AG329))=12)*(CHOOSE({1,2,3,4},XT!X329,XT!AB329,XT!AF329,XT!AJ329)))</f>
        <v>0</v>
      </c>
      <c r="AT329" t="str">
        <f>IFERROR(INDEX(CHOOSE({1,2,3,4}, DAY(XT!U329), DAY(XT!Y329), DAY(XT!AC329), DAY(XT!AG329)), MATCH(1, INDEX(--(MONTH(CHOOSE({1,2,3,4}, XT!U329,XT!Y329,XT!AC329,XT!AG329))=12), 0), 0)), "")</f>
        <v/>
      </c>
      <c r="AU329" s="12" t="str">
        <f>IF(XT!$P329&gt;0,AT329,"")</f>
        <v/>
      </c>
      <c r="AV329" s="12" t="str">
        <f>IF(XT!$P329=0,AT329,"")</f>
        <v/>
      </c>
    </row>
    <row r="330" spans="1:48">
      <c r="A330">
        <f>SUMPRODUCT((MONTH(CHOOSE({1,2,3,4},XT!U330,XT!Y330,XT!AC330,XT!AG330))=1)*(CHOOSE({1,2,3,4},XT!X330,XT!AB330,XT!AF330,XT!AJ330)))</f>
        <v>0</v>
      </c>
      <c r="B330">
        <f>IFERROR(INDEX(CHOOSE({1,2,3,4}, DAY(XT!U330), DAY(XT!Y330), DAY(XT!AC330), DAY(XT!AG330)), MATCH(1, INDEX(--(MONTH(CHOOSE({1,2,3,4}, XT!U330,XT!Y330,XT!AC330,XT!AG330))=1), 0), 0)), "")</f>
        <v>0</v>
      </c>
      <c r="C330" s="12" t="str">
        <f>IF(XT!$P330&gt;0,B330,"")</f>
        <v/>
      </c>
      <c r="D330" s="12">
        <f>IF(XT!$P330=0,B330,"")</f>
        <v>0</v>
      </c>
      <c r="E330">
        <f>SUMPRODUCT((MONTH(CHOOSE({1,2,3,4},XT!U330,XT!Y330,XT!AC330,XT!AG330))=2)*(CHOOSE({1,2,3,4},XT!X330,XT!AB330,XT!AF330,XT!AJ330)))</f>
        <v>0</v>
      </c>
      <c r="F330" t="str">
        <f>IFERROR(INDEX(CHOOSE({1,2,3,4}, DAY(XT!U330), DAY(XT!Y330), DAY(XT!AC330), DAY(XT!AG330)), MATCH(1, INDEX(--(MONTH(CHOOSE({1,2,3,4}, XT!U330,XT!Y330,XT!AC330,XT!AG330))=2), 0), 0)), "")</f>
        <v/>
      </c>
      <c r="G330" s="12" t="str">
        <f>IF(XT!$P330&gt;0,F330,"")</f>
        <v/>
      </c>
      <c r="H330" s="12" t="str">
        <f>IF(XT!$P330=0,F330,"")</f>
        <v/>
      </c>
      <c r="I330">
        <f>SUMPRODUCT((MONTH(CHOOSE({1,2,3,4},XT!U330,XT!Y330,XT!AC330,XT!AG330))=3)*(CHOOSE({1,2,3,4},XT!X330,XT!AB330,XT!AF330,XT!AJ330)))</f>
        <v>0</v>
      </c>
      <c r="J330" t="str">
        <f>IFERROR(INDEX(CHOOSE({1,2,3,4}, DAY(XT!U330), DAY(XT!Y330), DAY(XT!AC330), DAY(XT!AG330)), MATCH(1, INDEX(--(MONTH(CHOOSE({1,2,3,4}, XT!U330,XT!Y330,XT!AC330,XT!AG330))=3), 0), 0)), "")</f>
        <v/>
      </c>
      <c r="K330" s="12" t="str">
        <f>IF(XT!$P330&gt;0,J330,"")</f>
        <v/>
      </c>
      <c r="L330" s="12" t="str">
        <f>IF(XT!$P330=0,J330,"")</f>
        <v/>
      </c>
      <c r="M330">
        <f>SUMPRODUCT((MONTH(CHOOSE({1,2,3,4},XT!U330,XT!Y330,XT!AC330,XT!AG330))=4)*(CHOOSE({1,2,3,4},XT!X330,XT!AB330,XT!AF330,XT!AJ330)))</f>
        <v>0</v>
      </c>
      <c r="N330" t="str">
        <f>IFERROR(INDEX(CHOOSE({1,2,3,4}, DAY(XT!U330), DAY(XT!Y330), DAY(XT!AC330), DAY(XT!AG330)), MATCH(1, INDEX(--(MONTH(CHOOSE({1,2,3,4}, XT!U330,XT!Y330,XT!AC330,XT!AG330))=4), 0), 0)), "")</f>
        <v/>
      </c>
      <c r="O330" s="12" t="str">
        <f>IF(XT!$P330&gt;0,N330,"")</f>
        <v/>
      </c>
      <c r="P330" s="12" t="str">
        <f>IF(XT!$P330=0,N330,"")</f>
        <v/>
      </c>
      <c r="Q330">
        <f>SUMPRODUCT((MONTH(CHOOSE({1,2,3,4},XT!U330,XT!Y330,XT!AC330,XT!AG330))=5)*(CHOOSE({1,2,3,4},XT!X330,XT!AB330,XT!AF330,XT!AJ330)))</f>
        <v>0</v>
      </c>
      <c r="R330" t="str">
        <f>IFERROR(INDEX(CHOOSE({1,2,3,4}, DAY(XT!U330), DAY(XT!Y330), DAY(XT!AC330), DAY(XT!AG330)), MATCH(1, INDEX(--(MONTH(CHOOSE({1,2,3,4}, XT!U330,XT!Y330,XT!AC330,XT!AG330))=5), 0), 0)), "")</f>
        <v/>
      </c>
      <c r="S330" s="12" t="str">
        <f>IF(XT!$P330&gt;0,R330,"")</f>
        <v/>
      </c>
      <c r="T330" s="12" t="str">
        <f>IF(XT!$P330=0,R330,"")</f>
        <v/>
      </c>
      <c r="U330">
        <f>SUMPRODUCT((MONTH(CHOOSE({1,2,3,4},XT!U330,XT!Y330,XT!AC330,XT!AG330))=6)*(CHOOSE({1,2,3,4},XT!X330,XT!AB330,XT!AF330,XT!AJ330)))</f>
        <v>0</v>
      </c>
      <c r="V330" t="str">
        <f>IFERROR(INDEX(CHOOSE({1,2,3,4}, DAY(XT!U330), DAY(XT!Y330), DAY(XT!AC330), DAY(XT!AG330)), MATCH(1, INDEX(--(MONTH(CHOOSE({1,2,3,4}, XT!U330,XT!Y330,XT!AC330,XT!AG330))=6), 0), 0)), "")</f>
        <v/>
      </c>
      <c r="W330" s="12" t="str">
        <f>IF(XT!$P330&gt;0,V330,"")</f>
        <v/>
      </c>
      <c r="X330" s="12" t="str">
        <f>IF(XT!$P330=0,V330,"")</f>
        <v/>
      </c>
      <c r="Y330">
        <f>SUMPRODUCT((MONTH(CHOOSE({1,2,3,4},XT!U330,XT!Y330,XT!AC330,XT!AG330))=7)*(CHOOSE({1,2,3,4},XT!X330,XT!AB330,XT!AF330,XT!AJ330)))</f>
        <v>0</v>
      </c>
      <c r="Z330" t="str">
        <f>IFERROR(INDEX(CHOOSE({1,2,3,4}, DAY(XT!U330), DAY(XT!Y330), DAY(XT!AC330), DAY(XT!AG330)), MATCH(1, INDEX(--(MONTH(CHOOSE({1,2,3,4}, XT!U330,XT!Y330,XT!AC330,XT!AG330))=7), 0), 0)), "")</f>
        <v/>
      </c>
      <c r="AA330" s="12" t="str">
        <f>IF(XT!$P330&gt;0,Z330,"")</f>
        <v/>
      </c>
      <c r="AB330" s="12" t="str">
        <f>IF(XT!$P330=0,Z330,"")</f>
        <v/>
      </c>
      <c r="AC330">
        <f>SUMPRODUCT((MONTH(CHOOSE({1,2,3,4},XT!U330,XT!Y330,XT!AC330,XT!AG330))=8)*(CHOOSE({1,2,3,4},XT!X330,XT!AB330,XT!AF330,XT!AJ330)))</f>
        <v>0</v>
      </c>
      <c r="AD330" t="str">
        <f>IFERROR(INDEX(CHOOSE({1,2,3,4}, DAY(XT!U330), DAY(XT!Y330), DAY(XT!AC330), DAY(XT!AG330)), MATCH(1, INDEX(--(MONTH(CHOOSE({1,2,3,4}, XT!U330,XT!Y330,XT!AC330,XT!AG330))=8), 0), 0)), "")</f>
        <v/>
      </c>
      <c r="AE330" s="12" t="str">
        <f>IF(XT!$P330&gt;0,AD330,"")</f>
        <v/>
      </c>
      <c r="AF330" s="12" t="str">
        <f>IF(XT!$P330=0,AD330,"")</f>
        <v/>
      </c>
      <c r="AG330">
        <f>SUMPRODUCT((MONTH(CHOOSE({1,2,3,4},XT!U330,XT!Y330,XT!AC330,XT!AG330))=9)*(CHOOSE({1,2,3,4},XT!X330,XT!AB330,XT!AF330,XT!AJ330)))</f>
        <v>0</v>
      </c>
      <c r="AH330" t="str">
        <f>IFERROR(INDEX(CHOOSE({1,2,3,4}, DAY(XT!U330), DAY(XT!Y330), DAY(XT!AC330), DAY(XT!AG330)), MATCH(1, INDEX(--(MONTH(CHOOSE({1,2,3,4}, XT!U330,XT!Y330,XT!AC330,XT!AG330))=9), 0), 0)), "")</f>
        <v/>
      </c>
      <c r="AI330" s="12" t="str">
        <f>IF(XT!$P330&gt;0,AH330,"")</f>
        <v/>
      </c>
      <c r="AJ330" s="12" t="str">
        <f>IF(XT!$P330=0,AH330,"")</f>
        <v/>
      </c>
      <c r="AK330">
        <f>SUMPRODUCT((MONTH(CHOOSE({1,2,3,4},XT!U330,XT!Y330,XT!AC330,XT!AG330))=10)*(CHOOSE({1,2,3,4},XT!X330,XT!AB330,XT!AF330,XT!AJ330)))</f>
        <v>0</v>
      </c>
      <c r="AL330" t="str">
        <f>IFERROR(INDEX(CHOOSE({1,2,3,4}, DAY(XT!U330), DAY(XT!Y330), DAY(XT!AC330), DAY(XT!AG330)), MATCH(1, INDEX(--(MONTH(CHOOSE({1,2,3,4}, XT!U330,XT!Y330,XT!AC330,XT!AG330))=10), 0), 0)), "")</f>
        <v/>
      </c>
      <c r="AM330" s="12" t="str">
        <f>IF(XT!$P330&gt;0,AL330,"")</f>
        <v/>
      </c>
      <c r="AN330" s="12" t="str">
        <f>IF(XT!$P330=0,AL330,"")</f>
        <v/>
      </c>
      <c r="AO330">
        <f>SUMPRODUCT((MONTH(CHOOSE({1,2,3,4},XT!U330,XT!Y330,XT!AC330,XT!AG330))=11)*(CHOOSE({1,2,3,4},XT!X330,XT!AB330,XT!AF330,XT!AJ330)))</f>
        <v>0</v>
      </c>
      <c r="AP330" t="str">
        <f>IFERROR(INDEX(CHOOSE({1,2,3,4}, DAY(XT!U330), DAY(XT!Y330), DAY(XT!AC330), DAY(XT!AG330)), MATCH(1, INDEX(--(MONTH(CHOOSE({1,2,3,4}, XT!U330,XT!Y330,XT!AC330,XT!AG330))=11), 0), 0)), "")</f>
        <v/>
      </c>
      <c r="AQ330" s="12" t="str">
        <f>IF(XT!$P330&gt;0,AP330,"")</f>
        <v/>
      </c>
      <c r="AR330" s="12" t="str">
        <f>IF(XT!$P330=0,AP330,"")</f>
        <v/>
      </c>
      <c r="AS330">
        <f>SUMPRODUCT((MONTH(CHOOSE({1,2,3,4},XT!U330,XT!Y330,XT!AC330,XT!AG330))=12)*(CHOOSE({1,2,3,4},XT!X330,XT!AB330,XT!AF330,XT!AJ330)))</f>
        <v>0</v>
      </c>
      <c r="AT330" t="str">
        <f>IFERROR(INDEX(CHOOSE({1,2,3,4}, DAY(XT!U330), DAY(XT!Y330), DAY(XT!AC330), DAY(XT!AG330)), MATCH(1, INDEX(--(MONTH(CHOOSE({1,2,3,4}, XT!U330,XT!Y330,XT!AC330,XT!AG330))=12), 0), 0)), "")</f>
        <v/>
      </c>
      <c r="AU330" s="12" t="str">
        <f>IF(XT!$P330&gt;0,AT330,"")</f>
        <v/>
      </c>
      <c r="AV330" s="12" t="str">
        <f>IF(XT!$P330=0,AT330,"")</f>
        <v/>
      </c>
    </row>
    <row r="331" spans="1:48">
      <c r="A331">
        <f>SUMPRODUCT((MONTH(CHOOSE({1,2,3,4},XT!U331,XT!Y331,XT!AC331,XT!AG331))=1)*(CHOOSE({1,2,3,4},XT!X331,XT!AB331,XT!AF331,XT!AJ331)))</f>
        <v>0</v>
      </c>
      <c r="B331">
        <f>IFERROR(INDEX(CHOOSE({1,2,3,4}, DAY(XT!U331), DAY(XT!Y331), DAY(XT!AC331), DAY(XT!AG331)), MATCH(1, INDEX(--(MONTH(CHOOSE({1,2,3,4}, XT!U331,XT!Y331,XT!AC331,XT!AG331))=1), 0), 0)), "")</f>
        <v>0</v>
      </c>
      <c r="C331" s="12" t="str">
        <f>IF(XT!$P331&gt;0,B331,"")</f>
        <v/>
      </c>
      <c r="D331" s="12">
        <f>IF(XT!$P331=0,B331,"")</f>
        <v>0</v>
      </c>
      <c r="E331">
        <f>SUMPRODUCT((MONTH(CHOOSE({1,2,3,4},XT!U331,XT!Y331,XT!AC331,XT!AG331))=2)*(CHOOSE({1,2,3,4},XT!X331,XT!AB331,XT!AF331,XT!AJ331)))</f>
        <v>0</v>
      </c>
      <c r="F331" t="str">
        <f>IFERROR(INDEX(CHOOSE({1,2,3,4}, DAY(XT!U331), DAY(XT!Y331), DAY(XT!AC331), DAY(XT!AG331)), MATCH(1, INDEX(--(MONTH(CHOOSE({1,2,3,4}, XT!U331,XT!Y331,XT!AC331,XT!AG331))=2), 0), 0)), "")</f>
        <v/>
      </c>
      <c r="G331" s="12" t="str">
        <f>IF(XT!$P331&gt;0,F331,"")</f>
        <v/>
      </c>
      <c r="H331" s="12" t="str">
        <f>IF(XT!$P331=0,F331,"")</f>
        <v/>
      </c>
      <c r="I331">
        <f>SUMPRODUCT((MONTH(CHOOSE({1,2,3,4},XT!U331,XT!Y331,XT!AC331,XT!AG331))=3)*(CHOOSE({1,2,3,4},XT!X331,XT!AB331,XT!AF331,XT!AJ331)))</f>
        <v>0</v>
      </c>
      <c r="J331" t="str">
        <f>IFERROR(INDEX(CHOOSE({1,2,3,4}, DAY(XT!U331), DAY(XT!Y331), DAY(XT!AC331), DAY(XT!AG331)), MATCH(1, INDEX(--(MONTH(CHOOSE({1,2,3,4}, XT!U331,XT!Y331,XT!AC331,XT!AG331))=3), 0), 0)), "")</f>
        <v/>
      </c>
      <c r="K331" s="12" t="str">
        <f>IF(XT!$P331&gt;0,J331,"")</f>
        <v/>
      </c>
      <c r="L331" s="12" t="str">
        <f>IF(XT!$P331=0,J331,"")</f>
        <v/>
      </c>
      <c r="M331">
        <f>SUMPRODUCT((MONTH(CHOOSE({1,2,3,4},XT!U331,XT!Y331,XT!AC331,XT!AG331))=4)*(CHOOSE({1,2,3,4},XT!X331,XT!AB331,XT!AF331,XT!AJ331)))</f>
        <v>0</v>
      </c>
      <c r="N331" t="str">
        <f>IFERROR(INDEX(CHOOSE({1,2,3,4}, DAY(XT!U331), DAY(XT!Y331), DAY(XT!AC331), DAY(XT!AG331)), MATCH(1, INDEX(--(MONTH(CHOOSE({1,2,3,4}, XT!U331,XT!Y331,XT!AC331,XT!AG331))=4), 0), 0)), "")</f>
        <v/>
      </c>
      <c r="O331" s="12" t="str">
        <f>IF(XT!$P331&gt;0,N331,"")</f>
        <v/>
      </c>
      <c r="P331" s="12" t="str">
        <f>IF(XT!$P331=0,N331,"")</f>
        <v/>
      </c>
      <c r="Q331">
        <f>SUMPRODUCT((MONTH(CHOOSE({1,2,3,4},XT!U331,XT!Y331,XT!AC331,XT!AG331))=5)*(CHOOSE({1,2,3,4},XT!X331,XT!AB331,XT!AF331,XT!AJ331)))</f>
        <v>0</v>
      </c>
      <c r="R331" t="str">
        <f>IFERROR(INDEX(CHOOSE({1,2,3,4}, DAY(XT!U331), DAY(XT!Y331), DAY(XT!AC331), DAY(XT!AG331)), MATCH(1, INDEX(--(MONTH(CHOOSE({1,2,3,4}, XT!U331,XT!Y331,XT!AC331,XT!AG331))=5), 0), 0)), "")</f>
        <v/>
      </c>
      <c r="S331" s="12" t="str">
        <f>IF(XT!$P331&gt;0,R331,"")</f>
        <v/>
      </c>
      <c r="T331" s="12" t="str">
        <f>IF(XT!$P331=0,R331,"")</f>
        <v/>
      </c>
      <c r="U331">
        <f>SUMPRODUCT((MONTH(CHOOSE({1,2,3,4},XT!U331,XT!Y331,XT!AC331,XT!AG331))=6)*(CHOOSE({1,2,3,4},XT!X331,XT!AB331,XT!AF331,XT!AJ331)))</f>
        <v>0</v>
      </c>
      <c r="V331" t="str">
        <f>IFERROR(INDEX(CHOOSE({1,2,3,4}, DAY(XT!U331), DAY(XT!Y331), DAY(XT!AC331), DAY(XT!AG331)), MATCH(1, INDEX(--(MONTH(CHOOSE({1,2,3,4}, XT!U331,XT!Y331,XT!AC331,XT!AG331))=6), 0), 0)), "")</f>
        <v/>
      </c>
      <c r="W331" s="12" t="str">
        <f>IF(XT!$P331&gt;0,V331,"")</f>
        <v/>
      </c>
      <c r="X331" s="12" t="str">
        <f>IF(XT!$P331=0,V331,"")</f>
        <v/>
      </c>
      <c r="Y331">
        <f>SUMPRODUCT((MONTH(CHOOSE({1,2,3,4},XT!U331,XT!Y331,XT!AC331,XT!AG331))=7)*(CHOOSE({1,2,3,4},XT!X331,XT!AB331,XT!AF331,XT!AJ331)))</f>
        <v>0</v>
      </c>
      <c r="Z331" t="str">
        <f>IFERROR(INDEX(CHOOSE({1,2,3,4}, DAY(XT!U331), DAY(XT!Y331), DAY(XT!AC331), DAY(XT!AG331)), MATCH(1, INDEX(--(MONTH(CHOOSE({1,2,3,4}, XT!U331,XT!Y331,XT!AC331,XT!AG331))=7), 0), 0)), "")</f>
        <v/>
      </c>
      <c r="AA331" s="12" t="str">
        <f>IF(XT!$P331&gt;0,Z331,"")</f>
        <v/>
      </c>
      <c r="AB331" s="12" t="str">
        <f>IF(XT!$P331=0,Z331,"")</f>
        <v/>
      </c>
      <c r="AC331">
        <f>SUMPRODUCT((MONTH(CHOOSE({1,2,3,4},XT!U331,XT!Y331,XT!AC331,XT!AG331))=8)*(CHOOSE({1,2,3,4},XT!X331,XT!AB331,XT!AF331,XT!AJ331)))</f>
        <v>0</v>
      </c>
      <c r="AD331" t="str">
        <f>IFERROR(INDEX(CHOOSE({1,2,3,4}, DAY(XT!U331), DAY(XT!Y331), DAY(XT!AC331), DAY(XT!AG331)), MATCH(1, INDEX(--(MONTH(CHOOSE({1,2,3,4}, XT!U331,XT!Y331,XT!AC331,XT!AG331))=8), 0), 0)), "")</f>
        <v/>
      </c>
      <c r="AE331" s="12" t="str">
        <f>IF(XT!$P331&gt;0,AD331,"")</f>
        <v/>
      </c>
      <c r="AF331" s="12" t="str">
        <f>IF(XT!$P331=0,AD331,"")</f>
        <v/>
      </c>
      <c r="AG331">
        <f>SUMPRODUCT((MONTH(CHOOSE({1,2,3,4},XT!U331,XT!Y331,XT!AC331,XT!AG331))=9)*(CHOOSE({1,2,3,4},XT!X331,XT!AB331,XT!AF331,XT!AJ331)))</f>
        <v>0</v>
      </c>
      <c r="AH331" t="str">
        <f>IFERROR(INDEX(CHOOSE({1,2,3,4}, DAY(XT!U331), DAY(XT!Y331), DAY(XT!AC331), DAY(XT!AG331)), MATCH(1, INDEX(--(MONTH(CHOOSE({1,2,3,4}, XT!U331,XT!Y331,XT!AC331,XT!AG331))=9), 0), 0)), "")</f>
        <v/>
      </c>
      <c r="AI331" s="12" t="str">
        <f>IF(XT!$P331&gt;0,AH331,"")</f>
        <v/>
      </c>
      <c r="AJ331" s="12" t="str">
        <f>IF(XT!$P331=0,AH331,"")</f>
        <v/>
      </c>
      <c r="AK331">
        <f>SUMPRODUCT((MONTH(CHOOSE({1,2,3,4},XT!U331,XT!Y331,XT!AC331,XT!AG331))=10)*(CHOOSE({1,2,3,4},XT!X331,XT!AB331,XT!AF331,XT!AJ331)))</f>
        <v>0</v>
      </c>
      <c r="AL331" t="str">
        <f>IFERROR(INDEX(CHOOSE({1,2,3,4}, DAY(XT!U331), DAY(XT!Y331), DAY(XT!AC331), DAY(XT!AG331)), MATCH(1, INDEX(--(MONTH(CHOOSE({1,2,3,4}, XT!U331,XT!Y331,XT!AC331,XT!AG331))=10), 0), 0)), "")</f>
        <v/>
      </c>
      <c r="AM331" s="12" t="str">
        <f>IF(XT!$P331&gt;0,AL331,"")</f>
        <v/>
      </c>
      <c r="AN331" s="12" t="str">
        <f>IF(XT!$P331=0,AL331,"")</f>
        <v/>
      </c>
      <c r="AO331">
        <f>SUMPRODUCT((MONTH(CHOOSE({1,2,3,4},XT!U331,XT!Y331,XT!AC331,XT!AG331))=11)*(CHOOSE({1,2,3,4},XT!X331,XT!AB331,XT!AF331,XT!AJ331)))</f>
        <v>0</v>
      </c>
      <c r="AP331" t="str">
        <f>IFERROR(INDEX(CHOOSE({1,2,3,4}, DAY(XT!U331), DAY(XT!Y331), DAY(XT!AC331), DAY(XT!AG331)), MATCH(1, INDEX(--(MONTH(CHOOSE({1,2,3,4}, XT!U331,XT!Y331,XT!AC331,XT!AG331))=11), 0), 0)), "")</f>
        <v/>
      </c>
      <c r="AQ331" s="12" t="str">
        <f>IF(XT!$P331&gt;0,AP331,"")</f>
        <v/>
      </c>
      <c r="AR331" s="12" t="str">
        <f>IF(XT!$P331=0,AP331,"")</f>
        <v/>
      </c>
      <c r="AS331">
        <f>SUMPRODUCT((MONTH(CHOOSE({1,2,3,4},XT!U331,XT!Y331,XT!AC331,XT!AG331))=12)*(CHOOSE({1,2,3,4},XT!X331,XT!AB331,XT!AF331,XT!AJ331)))</f>
        <v>0</v>
      </c>
      <c r="AT331" t="str">
        <f>IFERROR(INDEX(CHOOSE({1,2,3,4}, DAY(XT!U331), DAY(XT!Y331), DAY(XT!AC331), DAY(XT!AG331)), MATCH(1, INDEX(--(MONTH(CHOOSE({1,2,3,4}, XT!U331,XT!Y331,XT!AC331,XT!AG331))=12), 0), 0)), "")</f>
        <v/>
      </c>
      <c r="AU331" s="12" t="str">
        <f>IF(XT!$P331&gt;0,AT331,"")</f>
        <v/>
      </c>
      <c r="AV331" s="12" t="str">
        <f>IF(XT!$P331=0,AT331,"")</f>
        <v/>
      </c>
    </row>
    <row r="332" spans="1:48">
      <c r="A332">
        <f>SUMPRODUCT((MONTH(CHOOSE({1,2,3,4},XT!U332,XT!Y332,XT!AC332,XT!AG332))=1)*(CHOOSE({1,2,3,4},XT!X332,XT!AB332,XT!AF332,XT!AJ332)))</f>
        <v>0</v>
      </c>
      <c r="B332">
        <f>IFERROR(INDEX(CHOOSE({1,2,3,4}, DAY(XT!U332), DAY(XT!Y332), DAY(XT!AC332), DAY(XT!AG332)), MATCH(1, INDEX(--(MONTH(CHOOSE({1,2,3,4}, XT!U332,XT!Y332,XT!AC332,XT!AG332))=1), 0), 0)), "")</f>
        <v>0</v>
      </c>
      <c r="C332" s="12" t="str">
        <f>IF(XT!$P332&gt;0,B332,"")</f>
        <v/>
      </c>
      <c r="D332" s="12">
        <f>IF(XT!$P332=0,B332,"")</f>
        <v>0</v>
      </c>
      <c r="E332">
        <f>SUMPRODUCT((MONTH(CHOOSE({1,2,3,4},XT!U332,XT!Y332,XT!AC332,XT!AG332))=2)*(CHOOSE({1,2,3,4},XT!X332,XT!AB332,XT!AF332,XT!AJ332)))</f>
        <v>0</v>
      </c>
      <c r="F332" t="str">
        <f>IFERROR(INDEX(CHOOSE({1,2,3,4}, DAY(XT!U332), DAY(XT!Y332), DAY(XT!AC332), DAY(XT!AG332)), MATCH(1, INDEX(--(MONTH(CHOOSE({1,2,3,4}, XT!U332,XT!Y332,XT!AC332,XT!AG332))=2), 0), 0)), "")</f>
        <v/>
      </c>
      <c r="G332" s="12" t="str">
        <f>IF(XT!$P332&gt;0,F332,"")</f>
        <v/>
      </c>
      <c r="H332" s="12" t="str">
        <f>IF(XT!$P332=0,F332,"")</f>
        <v/>
      </c>
      <c r="I332">
        <f>SUMPRODUCT((MONTH(CHOOSE({1,2,3,4},XT!U332,XT!Y332,XT!AC332,XT!AG332))=3)*(CHOOSE({1,2,3,4},XT!X332,XT!AB332,XT!AF332,XT!AJ332)))</f>
        <v>0</v>
      </c>
      <c r="J332" t="str">
        <f>IFERROR(INDEX(CHOOSE({1,2,3,4}, DAY(XT!U332), DAY(XT!Y332), DAY(XT!AC332), DAY(XT!AG332)), MATCH(1, INDEX(--(MONTH(CHOOSE({1,2,3,4}, XT!U332,XT!Y332,XT!AC332,XT!AG332))=3), 0), 0)), "")</f>
        <v/>
      </c>
      <c r="K332" s="12" t="str">
        <f>IF(XT!$P332&gt;0,J332,"")</f>
        <v/>
      </c>
      <c r="L332" s="12" t="str">
        <f>IF(XT!$P332=0,J332,"")</f>
        <v/>
      </c>
      <c r="M332">
        <f>SUMPRODUCT((MONTH(CHOOSE({1,2,3,4},XT!U332,XT!Y332,XT!AC332,XT!AG332))=4)*(CHOOSE({1,2,3,4},XT!X332,XT!AB332,XT!AF332,XT!AJ332)))</f>
        <v>0</v>
      </c>
      <c r="N332" t="str">
        <f>IFERROR(INDEX(CHOOSE({1,2,3,4}, DAY(XT!U332), DAY(XT!Y332), DAY(XT!AC332), DAY(XT!AG332)), MATCH(1, INDEX(--(MONTH(CHOOSE({1,2,3,4}, XT!U332,XT!Y332,XT!AC332,XT!AG332))=4), 0), 0)), "")</f>
        <v/>
      </c>
      <c r="O332" s="12" t="str">
        <f>IF(XT!$P332&gt;0,N332,"")</f>
        <v/>
      </c>
      <c r="P332" s="12" t="str">
        <f>IF(XT!$P332=0,N332,"")</f>
        <v/>
      </c>
      <c r="Q332">
        <f>SUMPRODUCT((MONTH(CHOOSE({1,2,3,4},XT!U332,XT!Y332,XT!AC332,XT!AG332))=5)*(CHOOSE({1,2,3,4},XT!X332,XT!AB332,XT!AF332,XT!AJ332)))</f>
        <v>0</v>
      </c>
      <c r="R332" t="str">
        <f>IFERROR(INDEX(CHOOSE({1,2,3,4}, DAY(XT!U332), DAY(XT!Y332), DAY(XT!AC332), DAY(XT!AG332)), MATCH(1, INDEX(--(MONTH(CHOOSE({1,2,3,4}, XT!U332,XT!Y332,XT!AC332,XT!AG332))=5), 0), 0)), "")</f>
        <v/>
      </c>
      <c r="S332" s="12" t="str">
        <f>IF(XT!$P332&gt;0,R332,"")</f>
        <v/>
      </c>
      <c r="T332" s="12" t="str">
        <f>IF(XT!$P332=0,R332,"")</f>
        <v/>
      </c>
      <c r="U332">
        <f>SUMPRODUCT((MONTH(CHOOSE({1,2,3,4},XT!U332,XT!Y332,XT!AC332,XT!AG332))=6)*(CHOOSE({1,2,3,4},XT!X332,XT!AB332,XT!AF332,XT!AJ332)))</f>
        <v>0</v>
      </c>
      <c r="V332" t="str">
        <f>IFERROR(INDEX(CHOOSE({1,2,3,4}, DAY(XT!U332), DAY(XT!Y332), DAY(XT!AC332), DAY(XT!AG332)), MATCH(1, INDEX(--(MONTH(CHOOSE({1,2,3,4}, XT!U332,XT!Y332,XT!AC332,XT!AG332))=6), 0), 0)), "")</f>
        <v/>
      </c>
      <c r="W332" s="12" t="str">
        <f>IF(XT!$P332&gt;0,V332,"")</f>
        <v/>
      </c>
      <c r="X332" s="12" t="str">
        <f>IF(XT!$P332=0,V332,"")</f>
        <v/>
      </c>
      <c r="Y332">
        <f>SUMPRODUCT((MONTH(CHOOSE({1,2,3,4},XT!U332,XT!Y332,XT!AC332,XT!AG332))=7)*(CHOOSE({1,2,3,4},XT!X332,XT!AB332,XT!AF332,XT!AJ332)))</f>
        <v>0</v>
      </c>
      <c r="Z332" t="str">
        <f>IFERROR(INDEX(CHOOSE({1,2,3,4}, DAY(XT!U332), DAY(XT!Y332), DAY(XT!AC332), DAY(XT!AG332)), MATCH(1, INDEX(--(MONTH(CHOOSE({1,2,3,4}, XT!U332,XT!Y332,XT!AC332,XT!AG332))=7), 0), 0)), "")</f>
        <v/>
      </c>
      <c r="AA332" s="12" t="str">
        <f>IF(XT!$P332&gt;0,Z332,"")</f>
        <v/>
      </c>
      <c r="AB332" s="12" t="str">
        <f>IF(XT!$P332=0,Z332,"")</f>
        <v/>
      </c>
      <c r="AC332">
        <f>SUMPRODUCT((MONTH(CHOOSE({1,2,3,4},XT!U332,XT!Y332,XT!AC332,XT!AG332))=8)*(CHOOSE({1,2,3,4},XT!X332,XT!AB332,XT!AF332,XT!AJ332)))</f>
        <v>0</v>
      </c>
      <c r="AD332" t="str">
        <f>IFERROR(INDEX(CHOOSE({1,2,3,4}, DAY(XT!U332), DAY(XT!Y332), DAY(XT!AC332), DAY(XT!AG332)), MATCH(1, INDEX(--(MONTH(CHOOSE({1,2,3,4}, XT!U332,XT!Y332,XT!AC332,XT!AG332))=8), 0), 0)), "")</f>
        <v/>
      </c>
      <c r="AE332" s="12" t="str">
        <f>IF(XT!$P332&gt;0,AD332,"")</f>
        <v/>
      </c>
      <c r="AF332" s="12" t="str">
        <f>IF(XT!$P332=0,AD332,"")</f>
        <v/>
      </c>
      <c r="AG332">
        <f>SUMPRODUCT((MONTH(CHOOSE({1,2,3,4},XT!U332,XT!Y332,XT!AC332,XT!AG332))=9)*(CHOOSE({1,2,3,4},XT!X332,XT!AB332,XT!AF332,XT!AJ332)))</f>
        <v>0</v>
      </c>
      <c r="AH332" t="str">
        <f>IFERROR(INDEX(CHOOSE({1,2,3,4}, DAY(XT!U332), DAY(XT!Y332), DAY(XT!AC332), DAY(XT!AG332)), MATCH(1, INDEX(--(MONTH(CHOOSE({1,2,3,4}, XT!U332,XT!Y332,XT!AC332,XT!AG332))=9), 0), 0)), "")</f>
        <v/>
      </c>
      <c r="AI332" s="12" t="str">
        <f>IF(XT!$P332&gt;0,AH332,"")</f>
        <v/>
      </c>
      <c r="AJ332" s="12" t="str">
        <f>IF(XT!$P332=0,AH332,"")</f>
        <v/>
      </c>
      <c r="AK332">
        <f>SUMPRODUCT((MONTH(CHOOSE({1,2,3,4},XT!U332,XT!Y332,XT!AC332,XT!AG332))=10)*(CHOOSE({1,2,3,4},XT!X332,XT!AB332,XT!AF332,XT!AJ332)))</f>
        <v>0</v>
      </c>
      <c r="AL332" t="str">
        <f>IFERROR(INDEX(CHOOSE({1,2,3,4}, DAY(XT!U332), DAY(XT!Y332), DAY(XT!AC332), DAY(XT!AG332)), MATCH(1, INDEX(--(MONTH(CHOOSE({1,2,3,4}, XT!U332,XT!Y332,XT!AC332,XT!AG332))=10), 0), 0)), "")</f>
        <v/>
      </c>
      <c r="AM332" s="12" t="str">
        <f>IF(XT!$P332&gt;0,AL332,"")</f>
        <v/>
      </c>
      <c r="AN332" s="12" t="str">
        <f>IF(XT!$P332=0,AL332,"")</f>
        <v/>
      </c>
      <c r="AO332">
        <f>SUMPRODUCT((MONTH(CHOOSE({1,2,3,4},XT!U332,XT!Y332,XT!AC332,XT!AG332))=11)*(CHOOSE({1,2,3,4},XT!X332,XT!AB332,XT!AF332,XT!AJ332)))</f>
        <v>0</v>
      </c>
      <c r="AP332" t="str">
        <f>IFERROR(INDEX(CHOOSE({1,2,3,4}, DAY(XT!U332), DAY(XT!Y332), DAY(XT!AC332), DAY(XT!AG332)), MATCH(1, INDEX(--(MONTH(CHOOSE({1,2,3,4}, XT!U332,XT!Y332,XT!AC332,XT!AG332))=11), 0), 0)), "")</f>
        <v/>
      </c>
      <c r="AQ332" s="12" t="str">
        <f>IF(XT!$P332&gt;0,AP332,"")</f>
        <v/>
      </c>
      <c r="AR332" s="12" t="str">
        <f>IF(XT!$P332=0,AP332,"")</f>
        <v/>
      </c>
      <c r="AS332">
        <f>SUMPRODUCT((MONTH(CHOOSE({1,2,3,4},XT!U332,XT!Y332,XT!AC332,XT!AG332))=12)*(CHOOSE({1,2,3,4},XT!X332,XT!AB332,XT!AF332,XT!AJ332)))</f>
        <v>0</v>
      </c>
      <c r="AT332" t="str">
        <f>IFERROR(INDEX(CHOOSE({1,2,3,4}, DAY(XT!U332), DAY(XT!Y332), DAY(XT!AC332), DAY(XT!AG332)), MATCH(1, INDEX(--(MONTH(CHOOSE({1,2,3,4}, XT!U332,XT!Y332,XT!AC332,XT!AG332))=12), 0), 0)), "")</f>
        <v/>
      </c>
      <c r="AU332" s="12" t="str">
        <f>IF(XT!$P332&gt;0,AT332,"")</f>
        <v/>
      </c>
      <c r="AV332" s="12" t="str">
        <f>IF(XT!$P332=0,AT332,"")</f>
        <v/>
      </c>
    </row>
    <row r="333" spans="1:48">
      <c r="A333">
        <f>SUMPRODUCT((MONTH(CHOOSE({1,2,3,4},XT!U333,XT!Y333,XT!AC333,XT!AG333))=1)*(CHOOSE({1,2,3,4},XT!X333,XT!AB333,XT!AF333,XT!AJ333)))</f>
        <v>0</v>
      </c>
      <c r="B333">
        <f>IFERROR(INDEX(CHOOSE({1,2,3,4}, DAY(XT!U333), DAY(XT!Y333), DAY(XT!AC333), DAY(XT!AG333)), MATCH(1, INDEX(--(MONTH(CHOOSE({1,2,3,4}, XT!U333,XT!Y333,XT!AC333,XT!AG333))=1), 0), 0)), "")</f>
        <v>0</v>
      </c>
      <c r="C333" s="12" t="str">
        <f>IF(XT!$P333&gt;0,B333,"")</f>
        <v/>
      </c>
      <c r="D333" s="12">
        <f>IF(XT!$P333=0,B333,"")</f>
        <v>0</v>
      </c>
      <c r="E333">
        <f>SUMPRODUCT((MONTH(CHOOSE({1,2,3,4},XT!U333,XT!Y333,XT!AC333,XT!AG333))=2)*(CHOOSE({1,2,3,4},XT!X333,XT!AB333,XT!AF333,XT!AJ333)))</f>
        <v>0</v>
      </c>
      <c r="F333" t="str">
        <f>IFERROR(INDEX(CHOOSE({1,2,3,4}, DAY(XT!U333), DAY(XT!Y333), DAY(XT!AC333), DAY(XT!AG333)), MATCH(1, INDEX(--(MONTH(CHOOSE({1,2,3,4}, XT!U333,XT!Y333,XT!AC333,XT!AG333))=2), 0), 0)), "")</f>
        <v/>
      </c>
      <c r="G333" s="12" t="str">
        <f>IF(XT!$P333&gt;0,F333,"")</f>
        <v/>
      </c>
      <c r="H333" s="12" t="str">
        <f>IF(XT!$P333=0,F333,"")</f>
        <v/>
      </c>
      <c r="I333">
        <f>SUMPRODUCT((MONTH(CHOOSE({1,2,3,4},XT!U333,XT!Y333,XT!AC333,XT!AG333))=3)*(CHOOSE({1,2,3,4},XT!X333,XT!AB333,XT!AF333,XT!AJ333)))</f>
        <v>0</v>
      </c>
      <c r="J333" t="str">
        <f>IFERROR(INDEX(CHOOSE({1,2,3,4}, DAY(XT!U333), DAY(XT!Y333), DAY(XT!AC333), DAY(XT!AG333)), MATCH(1, INDEX(--(MONTH(CHOOSE({1,2,3,4}, XT!U333,XT!Y333,XT!AC333,XT!AG333))=3), 0), 0)), "")</f>
        <v/>
      </c>
      <c r="K333" s="12" t="str">
        <f>IF(XT!$P333&gt;0,J333,"")</f>
        <v/>
      </c>
      <c r="L333" s="12" t="str">
        <f>IF(XT!$P333=0,J333,"")</f>
        <v/>
      </c>
      <c r="M333">
        <f>SUMPRODUCT((MONTH(CHOOSE({1,2,3,4},XT!U333,XT!Y333,XT!AC333,XT!AG333))=4)*(CHOOSE({1,2,3,4},XT!X333,XT!AB333,XT!AF333,XT!AJ333)))</f>
        <v>0</v>
      </c>
      <c r="N333" t="str">
        <f>IFERROR(INDEX(CHOOSE({1,2,3,4}, DAY(XT!U333), DAY(XT!Y333), DAY(XT!AC333), DAY(XT!AG333)), MATCH(1, INDEX(--(MONTH(CHOOSE({1,2,3,4}, XT!U333,XT!Y333,XT!AC333,XT!AG333))=4), 0), 0)), "")</f>
        <v/>
      </c>
      <c r="O333" s="12" t="str">
        <f>IF(XT!$P333&gt;0,N333,"")</f>
        <v/>
      </c>
      <c r="P333" s="12" t="str">
        <f>IF(XT!$P333=0,N333,"")</f>
        <v/>
      </c>
      <c r="Q333">
        <f>SUMPRODUCT((MONTH(CHOOSE({1,2,3,4},XT!U333,XT!Y333,XT!AC333,XT!AG333))=5)*(CHOOSE({1,2,3,4},XT!X333,XT!AB333,XT!AF333,XT!AJ333)))</f>
        <v>0</v>
      </c>
      <c r="R333" t="str">
        <f>IFERROR(INDEX(CHOOSE({1,2,3,4}, DAY(XT!U333), DAY(XT!Y333), DAY(XT!AC333), DAY(XT!AG333)), MATCH(1, INDEX(--(MONTH(CHOOSE({1,2,3,4}, XT!U333,XT!Y333,XT!AC333,XT!AG333))=5), 0), 0)), "")</f>
        <v/>
      </c>
      <c r="S333" s="12" t="str">
        <f>IF(XT!$P333&gt;0,R333,"")</f>
        <v/>
      </c>
      <c r="T333" s="12" t="str">
        <f>IF(XT!$P333=0,R333,"")</f>
        <v/>
      </c>
      <c r="U333">
        <f>SUMPRODUCT((MONTH(CHOOSE({1,2,3,4},XT!U333,XT!Y333,XT!AC333,XT!AG333))=6)*(CHOOSE({1,2,3,4},XT!X333,XT!AB333,XT!AF333,XT!AJ333)))</f>
        <v>0</v>
      </c>
      <c r="V333" t="str">
        <f>IFERROR(INDEX(CHOOSE({1,2,3,4}, DAY(XT!U333), DAY(XT!Y333), DAY(XT!AC333), DAY(XT!AG333)), MATCH(1, INDEX(--(MONTH(CHOOSE({1,2,3,4}, XT!U333,XT!Y333,XT!AC333,XT!AG333))=6), 0), 0)), "")</f>
        <v/>
      </c>
      <c r="W333" s="12" t="str">
        <f>IF(XT!$P333&gt;0,V333,"")</f>
        <v/>
      </c>
      <c r="X333" s="12" t="str">
        <f>IF(XT!$P333=0,V333,"")</f>
        <v/>
      </c>
      <c r="Y333">
        <f>SUMPRODUCT((MONTH(CHOOSE({1,2,3,4},XT!U333,XT!Y333,XT!AC333,XT!AG333))=7)*(CHOOSE({1,2,3,4},XT!X333,XT!AB333,XT!AF333,XT!AJ333)))</f>
        <v>0</v>
      </c>
      <c r="Z333" t="str">
        <f>IFERROR(INDEX(CHOOSE({1,2,3,4}, DAY(XT!U333), DAY(XT!Y333), DAY(XT!AC333), DAY(XT!AG333)), MATCH(1, INDEX(--(MONTH(CHOOSE({1,2,3,4}, XT!U333,XT!Y333,XT!AC333,XT!AG333))=7), 0), 0)), "")</f>
        <v/>
      </c>
      <c r="AA333" s="12" t="str">
        <f>IF(XT!$P333&gt;0,Z333,"")</f>
        <v/>
      </c>
      <c r="AB333" s="12" t="str">
        <f>IF(XT!$P333=0,Z333,"")</f>
        <v/>
      </c>
      <c r="AC333">
        <f>SUMPRODUCT((MONTH(CHOOSE({1,2,3,4},XT!U333,XT!Y333,XT!AC333,XT!AG333))=8)*(CHOOSE({1,2,3,4},XT!X333,XT!AB333,XT!AF333,XT!AJ333)))</f>
        <v>0</v>
      </c>
      <c r="AD333" t="str">
        <f>IFERROR(INDEX(CHOOSE({1,2,3,4}, DAY(XT!U333), DAY(XT!Y333), DAY(XT!AC333), DAY(XT!AG333)), MATCH(1, INDEX(--(MONTH(CHOOSE({1,2,3,4}, XT!U333,XT!Y333,XT!AC333,XT!AG333))=8), 0), 0)), "")</f>
        <v/>
      </c>
      <c r="AE333" s="12" t="str">
        <f>IF(XT!$P333&gt;0,AD333,"")</f>
        <v/>
      </c>
      <c r="AF333" s="12" t="str">
        <f>IF(XT!$P333=0,AD333,"")</f>
        <v/>
      </c>
      <c r="AG333">
        <f>SUMPRODUCT((MONTH(CHOOSE({1,2,3,4},XT!U333,XT!Y333,XT!AC333,XT!AG333))=9)*(CHOOSE({1,2,3,4},XT!X333,XT!AB333,XT!AF333,XT!AJ333)))</f>
        <v>0</v>
      </c>
      <c r="AH333" t="str">
        <f>IFERROR(INDEX(CHOOSE({1,2,3,4}, DAY(XT!U333), DAY(XT!Y333), DAY(XT!AC333), DAY(XT!AG333)), MATCH(1, INDEX(--(MONTH(CHOOSE({1,2,3,4}, XT!U333,XT!Y333,XT!AC333,XT!AG333))=9), 0), 0)), "")</f>
        <v/>
      </c>
      <c r="AI333" s="12" t="str">
        <f>IF(XT!$P333&gt;0,AH333,"")</f>
        <v/>
      </c>
      <c r="AJ333" s="12" t="str">
        <f>IF(XT!$P333=0,AH333,"")</f>
        <v/>
      </c>
      <c r="AK333">
        <f>SUMPRODUCT((MONTH(CHOOSE({1,2,3,4},XT!U333,XT!Y333,XT!AC333,XT!AG333))=10)*(CHOOSE({1,2,3,4},XT!X333,XT!AB333,XT!AF333,XT!AJ333)))</f>
        <v>0</v>
      </c>
      <c r="AL333" t="str">
        <f>IFERROR(INDEX(CHOOSE({1,2,3,4}, DAY(XT!U333), DAY(XT!Y333), DAY(XT!AC333), DAY(XT!AG333)), MATCH(1, INDEX(--(MONTH(CHOOSE({1,2,3,4}, XT!U333,XT!Y333,XT!AC333,XT!AG333))=10), 0), 0)), "")</f>
        <v/>
      </c>
      <c r="AM333" s="12" t="str">
        <f>IF(XT!$P333&gt;0,AL333,"")</f>
        <v/>
      </c>
      <c r="AN333" s="12" t="str">
        <f>IF(XT!$P333=0,AL333,"")</f>
        <v/>
      </c>
      <c r="AO333">
        <f>SUMPRODUCT((MONTH(CHOOSE({1,2,3,4},XT!U333,XT!Y333,XT!AC333,XT!AG333))=11)*(CHOOSE({1,2,3,4},XT!X333,XT!AB333,XT!AF333,XT!AJ333)))</f>
        <v>0</v>
      </c>
      <c r="AP333" t="str">
        <f>IFERROR(INDEX(CHOOSE({1,2,3,4}, DAY(XT!U333), DAY(XT!Y333), DAY(XT!AC333), DAY(XT!AG333)), MATCH(1, INDEX(--(MONTH(CHOOSE({1,2,3,4}, XT!U333,XT!Y333,XT!AC333,XT!AG333))=11), 0), 0)), "")</f>
        <v/>
      </c>
      <c r="AQ333" s="12" t="str">
        <f>IF(XT!$P333&gt;0,AP333,"")</f>
        <v/>
      </c>
      <c r="AR333" s="12" t="str">
        <f>IF(XT!$P333=0,AP333,"")</f>
        <v/>
      </c>
      <c r="AS333">
        <f>SUMPRODUCT((MONTH(CHOOSE({1,2,3,4},XT!U333,XT!Y333,XT!AC333,XT!AG333))=12)*(CHOOSE({1,2,3,4},XT!X333,XT!AB333,XT!AF333,XT!AJ333)))</f>
        <v>0</v>
      </c>
      <c r="AT333" t="str">
        <f>IFERROR(INDEX(CHOOSE({1,2,3,4}, DAY(XT!U333), DAY(XT!Y333), DAY(XT!AC333), DAY(XT!AG333)), MATCH(1, INDEX(--(MONTH(CHOOSE({1,2,3,4}, XT!U333,XT!Y333,XT!AC333,XT!AG333))=12), 0), 0)), "")</f>
        <v/>
      </c>
      <c r="AU333" s="12" t="str">
        <f>IF(XT!$P333&gt;0,AT333,"")</f>
        <v/>
      </c>
      <c r="AV333" s="12" t="str">
        <f>IF(XT!$P333=0,AT333,"")</f>
        <v/>
      </c>
    </row>
    <row r="334" spans="1:48">
      <c r="A334">
        <f>SUMPRODUCT((MONTH(CHOOSE({1,2,3,4},XT!U334,XT!Y334,XT!AC334,XT!AG334))=1)*(CHOOSE({1,2,3,4},XT!X334,XT!AB334,XT!AF334,XT!AJ334)))</f>
        <v>0</v>
      </c>
      <c r="B334">
        <f>IFERROR(INDEX(CHOOSE({1,2,3,4}, DAY(XT!U334), DAY(XT!Y334), DAY(XT!AC334), DAY(XT!AG334)), MATCH(1, INDEX(--(MONTH(CHOOSE({1,2,3,4}, XT!U334,XT!Y334,XT!AC334,XT!AG334))=1), 0), 0)), "")</f>
        <v>0</v>
      </c>
      <c r="C334" s="12" t="str">
        <f>IF(XT!$P334&gt;0,B334,"")</f>
        <v/>
      </c>
      <c r="D334" s="12">
        <f>IF(XT!$P334=0,B334,"")</f>
        <v>0</v>
      </c>
      <c r="E334">
        <f>SUMPRODUCT((MONTH(CHOOSE({1,2,3,4},XT!U334,XT!Y334,XT!AC334,XT!AG334))=2)*(CHOOSE({1,2,3,4},XT!X334,XT!AB334,XT!AF334,XT!AJ334)))</f>
        <v>0</v>
      </c>
      <c r="F334" t="str">
        <f>IFERROR(INDEX(CHOOSE({1,2,3,4}, DAY(XT!U334), DAY(XT!Y334), DAY(XT!AC334), DAY(XT!AG334)), MATCH(1, INDEX(--(MONTH(CHOOSE({1,2,3,4}, XT!U334,XT!Y334,XT!AC334,XT!AG334))=2), 0), 0)), "")</f>
        <v/>
      </c>
      <c r="G334" s="12" t="str">
        <f>IF(XT!$P334&gt;0,F334,"")</f>
        <v/>
      </c>
      <c r="H334" s="12" t="str">
        <f>IF(XT!$P334=0,F334,"")</f>
        <v/>
      </c>
      <c r="I334">
        <f>SUMPRODUCT((MONTH(CHOOSE({1,2,3,4},XT!U334,XT!Y334,XT!AC334,XT!AG334))=3)*(CHOOSE({1,2,3,4},XT!X334,XT!AB334,XT!AF334,XT!AJ334)))</f>
        <v>0</v>
      </c>
      <c r="J334" t="str">
        <f>IFERROR(INDEX(CHOOSE({1,2,3,4}, DAY(XT!U334), DAY(XT!Y334), DAY(XT!AC334), DAY(XT!AG334)), MATCH(1, INDEX(--(MONTH(CHOOSE({1,2,3,4}, XT!U334,XT!Y334,XT!AC334,XT!AG334))=3), 0), 0)), "")</f>
        <v/>
      </c>
      <c r="K334" s="12" t="str">
        <f>IF(XT!$P334&gt;0,J334,"")</f>
        <v/>
      </c>
      <c r="L334" s="12" t="str">
        <f>IF(XT!$P334=0,J334,"")</f>
        <v/>
      </c>
      <c r="M334">
        <f>SUMPRODUCT((MONTH(CHOOSE({1,2,3,4},XT!U334,XT!Y334,XT!AC334,XT!AG334))=4)*(CHOOSE({1,2,3,4},XT!X334,XT!AB334,XT!AF334,XT!AJ334)))</f>
        <v>0</v>
      </c>
      <c r="N334" t="str">
        <f>IFERROR(INDEX(CHOOSE({1,2,3,4}, DAY(XT!U334), DAY(XT!Y334), DAY(XT!AC334), DAY(XT!AG334)), MATCH(1, INDEX(--(MONTH(CHOOSE({1,2,3,4}, XT!U334,XT!Y334,XT!AC334,XT!AG334))=4), 0), 0)), "")</f>
        <v/>
      </c>
      <c r="O334" s="12" t="str">
        <f>IF(XT!$P334&gt;0,N334,"")</f>
        <v/>
      </c>
      <c r="P334" s="12" t="str">
        <f>IF(XT!$P334=0,N334,"")</f>
        <v/>
      </c>
      <c r="Q334">
        <f>SUMPRODUCT((MONTH(CHOOSE({1,2,3,4},XT!U334,XT!Y334,XT!AC334,XT!AG334))=5)*(CHOOSE({1,2,3,4},XT!X334,XT!AB334,XT!AF334,XT!AJ334)))</f>
        <v>0</v>
      </c>
      <c r="R334" t="str">
        <f>IFERROR(INDEX(CHOOSE({1,2,3,4}, DAY(XT!U334), DAY(XT!Y334), DAY(XT!AC334), DAY(XT!AG334)), MATCH(1, INDEX(--(MONTH(CHOOSE({1,2,3,4}, XT!U334,XT!Y334,XT!AC334,XT!AG334))=5), 0), 0)), "")</f>
        <v/>
      </c>
      <c r="S334" s="12" t="str">
        <f>IF(XT!$P334&gt;0,R334,"")</f>
        <v/>
      </c>
      <c r="T334" s="12" t="str">
        <f>IF(XT!$P334=0,R334,"")</f>
        <v/>
      </c>
      <c r="U334">
        <f>SUMPRODUCT((MONTH(CHOOSE({1,2,3,4},XT!U334,XT!Y334,XT!AC334,XT!AG334))=6)*(CHOOSE({1,2,3,4},XT!X334,XT!AB334,XT!AF334,XT!AJ334)))</f>
        <v>0</v>
      </c>
      <c r="V334" t="str">
        <f>IFERROR(INDEX(CHOOSE({1,2,3,4}, DAY(XT!U334), DAY(XT!Y334), DAY(XT!AC334), DAY(XT!AG334)), MATCH(1, INDEX(--(MONTH(CHOOSE({1,2,3,4}, XT!U334,XT!Y334,XT!AC334,XT!AG334))=6), 0), 0)), "")</f>
        <v/>
      </c>
      <c r="W334" s="12" t="str">
        <f>IF(XT!$P334&gt;0,V334,"")</f>
        <v/>
      </c>
      <c r="X334" s="12" t="str">
        <f>IF(XT!$P334=0,V334,"")</f>
        <v/>
      </c>
      <c r="Y334">
        <f>SUMPRODUCT((MONTH(CHOOSE({1,2,3,4},XT!U334,XT!Y334,XT!AC334,XT!AG334))=7)*(CHOOSE({1,2,3,4},XT!X334,XT!AB334,XT!AF334,XT!AJ334)))</f>
        <v>0</v>
      </c>
      <c r="Z334" t="str">
        <f>IFERROR(INDEX(CHOOSE({1,2,3,4}, DAY(XT!U334), DAY(XT!Y334), DAY(XT!AC334), DAY(XT!AG334)), MATCH(1, INDEX(--(MONTH(CHOOSE({1,2,3,4}, XT!U334,XT!Y334,XT!AC334,XT!AG334))=7), 0), 0)), "")</f>
        <v/>
      </c>
      <c r="AA334" s="12" t="str">
        <f>IF(XT!$P334&gt;0,Z334,"")</f>
        <v/>
      </c>
      <c r="AB334" s="12" t="str">
        <f>IF(XT!$P334=0,Z334,"")</f>
        <v/>
      </c>
      <c r="AC334">
        <f>SUMPRODUCT((MONTH(CHOOSE({1,2,3,4},XT!U334,XT!Y334,XT!AC334,XT!AG334))=8)*(CHOOSE({1,2,3,4},XT!X334,XT!AB334,XT!AF334,XT!AJ334)))</f>
        <v>0</v>
      </c>
      <c r="AD334" t="str">
        <f>IFERROR(INDEX(CHOOSE({1,2,3,4}, DAY(XT!U334), DAY(XT!Y334), DAY(XT!AC334), DAY(XT!AG334)), MATCH(1, INDEX(--(MONTH(CHOOSE({1,2,3,4}, XT!U334,XT!Y334,XT!AC334,XT!AG334))=8), 0), 0)), "")</f>
        <v/>
      </c>
      <c r="AE334" s="12" t="str">
        <f>IF(XT!$P334&gt;0,AD334,"")</f>
        <v/>
      </c>
      <c r="AF334" s="12" t="str">
        <f>IF(XT!$P334=0,AD334,"")</f>
        <v/>
      </c>
      <c r="AG334">
        <f>SUMPRODUCT((MONTH(CHOOSE({1,2,3,4},XT!U334,XT!Y334,XT!AC334,XT!AG334))=9)*(CHOOSE({1,2,3,4},XT!X334,XT!AB334,XT!AF334,XT!AJ334)))</f>
        <v>0</v>
      </c>
      <c r="AH334" t="str">
        <f>IFERROR(INDEX(CHOOSE({1,2,3,4}, DAY(XT!U334), DAY(XT!Y334), DAY(XT!AC334), DAY(XT!AG334)), MATCH(1, INDEX(--(MONTH(CHOOSE({1,2,3,4}, XT!U334,XT!Y334,XT!AC334,XT!AG334))=9), 0), 0)), "")</f>
        <v/>
      </c>
      <c r="AI334" s="12" t="str">
        <f>IF(XT!$P334&gt;0,AH334,"")</f>
        <v/>
      </c>
      <c r="AJ334" s="12" t="str">
        <f>IF(XT!$P334=0,AH334,"")</f>
        <v/>
      </c>
      <c r="AK334">
        <f>SUMPRODUCT((MONTH(CHOOSE({1,2,3,4},XT!U334,XT!Y334,XT!AC334,XT!AG334))=10)*(CHOOSE({1,2,3,4},XT!X334,XT!AB334,XT!AF334,XT!AJ334)))</f>
        <v>0</v>
      </c>
      <c r="AL334" t="str">
        <f>IFERROR(INDEX(CHOOSE({1,2,3,4}, DAY(XT!U334), DAY(XT!Y334), DAY(XT!AC334), DAY(XT!AG334)), MATCH(1, INDEX(--(MONTH(CHOOSE({1,2,3,4}, XT!U334,XT!Y334,XT!AC334,XT!AG334))=10), 0), 0)), "")</f>
        <v/>
      </c>
      <c r="AM334" s="12" t="str">
        <f>IF(XT!$P334&gt;0,AL334,"")</f>
        <v/>
      </c>
      <c r="AN334" s="12" t="str">
        <f>IF(XT!$P334=0,AL334,"")</f>
        <v/>
      </c>
      <c r="AO334">
        <f>SUMPRODUCT((MONTH(CHOOSE({1,2,3,4},XT!U334,XT!Y334,XT!AC334,XT!AG334))=11)*(CHOOSE({1,2,3,4},XT!X334,XT!AB334,XT!AF334,XT!AJ334)))</f>
        <v>0</v>
      </c>
      <c r="AP334" t="str">
        <f>IFERROR(INDEX(CHOOSE({1,2,3,4}, DAY(XT!U334), DAY(XT!Y334), DAY(XT!AC334), DAY(XT!AG334)), MATCH(1, INDEX(--(MONTH(CHOOSE({1,2,3,4}, XT!U334,XT!Y334,XT!AC334,XT!AG334))=11), 0), 0)), "")</f>
        <v/>
      </c>
      <c r="AQ334" s="12" t="str">
        <f>IF(XT!$P334&gt;0,AP334,"")</f>
        <v/>
      </c>
      <c r="AR334" s="12" t="str">
        <f>IF(XT!$P334=0,AP334,"")</f>
        <v/>
      </c>
      <c r="AS334">
        <f>SUMPRODUCT((MONTH(CHOOSE({1,2,3,4},XT!U334,XT!Y334,XT!AC334,XT!AG334))=12)*(CHOOSE({1,2,3,4},XT!X334,XT!AB334,XT!AF334,XT!AJ334)))</f>
        <v>0</v>
      </c>
      <c r="AT334" t="str">
        <f>IFERROR(INDEX(CHOOSE({1,2,3,4}, DAY(XT!U334), DAY(XT!Y334), DAY(XT!AC334), DAY(XT!AG334)), MATCH(1, INDEX(--(MONTH(CHOOSE({1,2,3,4}, XT!U334,XT!Y334,XT!AC334,XT!AG334))=12), 0), 0)), "")</f>
        <v/>
      </c>
      <c r="AU334" s="12" t="str">
        <f>IF(XT!$P334&gt;0,AT334,"")</f>
        <v/>
      </c>
      <c r="AV334" s="12" t="str">
        <f>IF(XT!$P334=0,AT334,"")</f>
        <v/>
      </c>
    </row>
    <row r="335" spans="1:48">
      <c r="A335">
        <f>SUMPRODUCT((MONTH(CHOOSE({1,2,3,4},XT!U335,XT!Y335,XT!AC335,XT!AG335))=1)*(CHOOSE({1,2,3,4},XT!X335,XT!AB335,XT!AF335,XT!AJ335)))</f>
        <v>0</v>
      </c>
      <c r="B335">
        <f>IFERROR(INDEX(CHOOSE({1,2,3,4}, DAY(XT!U335), DAY(XT!Y335), DAY(XT!AC335), DAY(XT!AG335)), MATCH(1, INDEX(--(MONTH(CHOOSE({1,2,3,4}, XT!U335,XT!Y335,XT!AC335,XT!AG335))=1), 0), 0)), "")</f>
        <v>0</v>
      </c>
      <c r="C335" s="12" t="str">
        <f>IF(XT!$P335&gt;0,B335,"")</f>
        <v/>
      </c>
      <c r="D335" s="12">
        <f>IF(XT!$P335=0,B335,"")</f>
        <v>0</v>
      </c>
      <c r="E335">
        <f>SUMPRODUCT((MONTH(CHOOSE({1,2,3,4},XT!U335,XT!Y335,XT!AC335,XT!AG335))=2)*(CHOOSE({1,2,3,4},XT!X335,XT!AB335,XT!AF335,XT!AJ335)))</f>
        <v>0</v>
      </c>
      <c r="F335" t="str">
        <f>IFERROR(INDEX(CHOOSE({1,2,3,4}, DAY(XT!U335), DAY(XT!Y335), DAY(XT!AC335), DAY(XT!AG335)), MATCH(1, INDEX(--(MONTH(CHOOSE({1,2,3,4}, XT!U335,XT!Y335,XT!AC335,XT!AG335))=2), 0), 0)), "")</f>
        <v/>
      </c>
      <c r="G335" s="12" t="str">
        <f>IF(XT!$P335&gt;0,F335,"")</f>
        <v/>
      </c>
      <c r="H335" s="12" t="str">
        <f>IF(XT!$P335=0,F335,"")</f>
        <v/>
      </c>
      <c r="I335">
        <f>SUMPRODUCT((MONTH(CHOOSE({1,2,3,4},XT!U335,XT!Y335,XT!AC335,XT!AG335))=3)*(CHOOSE({1,2,3,4},XT!X335,XT!AB335,XT!AF335,XT!AJ335)))</f>
        <v>0</v>
      </c>
      <c r="J335" t="str">
        <f>IFERROR(INDEX(CHOOSE({1,2,3,4}, DAY(XT!U335), DAY(XT!Y335), DAY(XT!AC335), DAY(XT!AG335)), MATCH(1, INDEX(--(MONTH(CHOOSE({1,2,3,4}, XT!U335,XT!Y335,XT!AC335,XT!AG335))=3), 0), 0)), "")</f>
        <v/>
      </c>
      <c r="K335" s="12" t="str">
        <f>IF(XT!$P335&gt;0,J335,"")</f>
        <v/>
      </c>
      <c r="L335" s="12" t="str">
        <f>IF(XT!$P335=0,J335,"")</f>
        <v/>
      </c>
      <c r="M335">
        <f>SUMPRODUCT((MONTH(CHOOSE({1,2,3,4},XT!U335,XT!Y335,XT!AC335,XT!AG335))=4)*(CHOOSE({1,2,3,4},XT!X335,XT!AB335,XT!AF335,XT!AJ335)))</f>
        <v>0</v>
      </c>
      <c r="N335" t="str">
        <f>IFERROR(INDEX(CHOOSE({1,2,3,4}, DAY(XT!U335), DAY(XT!Y335), DAY(XT!AC335), DAY(XT!AG335)), MATCH(1, INDEX(--(MONTH(CHOOSE({1,2,3,4}, XT!U335,XT!Y335,XT!AC335,XT!AG335))=4), 0), 0)), "")</f>
        <v/>
      </c>
      <c r="O335" s="12" t="str">
        <f>IF(XT!$P335&gt;0,N335,"")</f>
        <v/>
      </c>
      <c r="P335" s="12" t="str">
        <f>IF(XT!$P335=0,N335,"")</f>
        <v/>
      </c>
      <c r="Q335">
        <f>SUMPRODUCT((MONTH(CHOOSE({1,2,3,4},XT!U335,XT!Y335,XT!AC335,XT!AG335))=5)*(CHOOSE({1,2,3,4},XT!X335,XT!AB335,XT!AF335,XT!AJ335)))</f>
        <v>0</v>
      </c>
      <c r="R335" t="str">
        <f>IFERROR(INDEX(CHOOSE({1,2,3,4}, DAY(XT!U335), DAY(XT!Y335), DAY(XT!AC335), DAY(XT!AG335)), MATCH(1, INDEX(--(MONTH(CHOOSE({1,2,3,4}, XT!U335,XT!Y335,XT!AC335,XT!AG335))=5), 0), 0)), "")</f>
        <v/>
      </c>
      <c r="S335" s="12" t="str">
        <f>IF(XT!$P335&gt;0,R335,"")</f>
        <v/>
      </c>
      <c r="T335" s="12" t="str">
        <f>IF(XT!$P335=0,R335,"")</f>
        <v/>
      </c>
      <c r="U335">
        <f>SUMPRODUCT((MONTH(CHOOSE({1,2,3,4},XT!U335,XT!Y335,XT!AC335,XT!AG335))=6)*(CHOOSE({1,2,3,4},XT!X335,XT!AB335,XT!AF335,XT!AJ335)))</f>
        <v>0</v>
      </c>
      <c r="V335" t="str">
        <f>IFERROR(INDEX(CHOOSE({1,2,3,4}, DAY(XT!U335), DAY(XT!Y335), DAY(XT!AC335), DAY(XT!AG335)), MATCH(1, INDEX(--(MONTH(CHOOSE({1,2,3,4}, XT!U335,XT!Y335,XT!AC335,XT!AG335))=6), 0), 0)), "")</f>
        <v/>
      </c>
      <c r="W335" s="12" t="str">
        <f>IF(XT!$P335&gt;0,V335,"")</f>
        <v/>
      </c>
      <c r="X335" s="12" t="str">
        <f>IF(XT!$P335=0,V335,"")</f>
        <v/>
      </c>
      <c r="Y335">
        <f>SUMPRODUCT((MONTH(CHOOSE({1,2,3,4},XT!U335,XT!Y335,XT!AC335,XT!AG335))=7)*(CHOOSE({1,2,3,4},XT!X335,XT!AB335,XT!AF335,XT!AJ335)))</f>
        <v>0</v>
      </c>
      <c r="Z335" t="str">
        <f>IFERROR(INDEX(CHOOSE({1,2,3,4}, DAY(XT!U335), DAY(XT!Y335), DAY(XT!AC335), DAY(XT!AG335)), MATCH(1, INDEX(--(MONTH(CHOOSE({1,2,3,4}, XT!U335,XT!Y335,XT!AC335,XT!AG335))=7), 0), 0)), "")</f>
        <v/>
      </c>
      <c r="AA335" s="12" t="str">
        <f>IF(XT!$P335&gt;0,Z335,"")</f>
        <v/>
      </c>
      <c r="AB335" s="12" t="str">
        <f>IF(XT!$P335=0,Z335,"")</f>
        <v/>
      </c>
      <c r="AC335">
        <f>SUMPRODUCT((MONTH(CHOOSE({1,2,3,4},XT!U335,XT!Y335,XT!AC335,XT!AG335))=8)*(CHOOSE({1,2,3,4},XT!X335,XT!AB335,XT!AF335,XT!AJ335)))</f>
        <v>0</v>
      </c>
      <c r="AD335" t="str">
        <f>IFERROR(INDEX(CHOOSE({1,2,3,4}, DAY(XT!U335), DAY(XT!Y335), DAY(XT!AC335), DAY(XT!AG335)), MATCH(1, INDEX(--(MONTH(CHOOSE({1,2,3,4}, XT!U335,XT!Y335,XT!AC335,XT!AG335))=8), 0), 0)), "")</f>
        <v/>
      </c>
      <c r="AE335" s="12" t="str">
        <f>IF(XT!$P335&gt;0,AD335,"")</f>
        <v/>
      </c>
      <c r="AF335" s="12" t="str">
        <f>IF(XT!$P335=0,AD335,"")</f>
        <v/>
      </c>
      <c r="AG335">
        <f>SUMPRODUCT((MONTH(CHOOSE({1,2,3,4},XT!U335,XT!Y335,XT!AC335,XT!AG335))=9)*(CHOOSE({1,2,3,4},XT!X335,XT!AB335,XT!AF335,XT!AJ335)))</f>
        <v>0</v>
      </c>
      <c r="AH335" t="str">
        <f>IFERROR(INDEX(CHOOSE({1,2,3,4}, DAY(XT!U335), DAY(XT!Y335), DAY(XT!AC335), DAY(XT!AG335)), MATCH(1, INDEX(--(MONTH(CHOOSE({1,2,3,4}, XT!U335,XT!Y335,XT!AC335,XT!AG335))=9), 0), 0)), "")</f>
        <v/>
      </c>
      <c r="AI335" s="12" t="str">
        <f>IF(XT!$P335&gt;0,AH335,"")</f>
        <v/>
      </c>
      <c r="AJ335" s="12" t="str">
        <f>IF(XT!$P335=0,AH335,"")</f>
        <v/>
      </c>
      <c r="AK335">
        <f>SUMPRODUCT((MONTH(CHOOSE({1,2,3,4},XT!U335,XT!Y335,XT!AC335,XT!AG335))=10)*(CHOOSE({1,2,3,4},XT!X335,XT!AB335,XT!AF335,XT!AJ335)))</f>
        <v>0</v>
      </c>
      <c r="AL335" t="str">
        <f>IFERROR(INDEX(CHOOSE({1,2,3,4}, DAY(XT!U335), DAY(XT!Y335), DAY(XT!AC335), DAY(XT!AG335)), MATCH(1, INDEX(--(MONTH(CHOOSE({1,2,3,4}, XT!U335,XT!Y335,XT!AC335,XT!AG335))=10), 0), 0)), "")</f>
        <v/>
      </c>
      <c r="AM335" s="12" t="str">
        <f>IF(XT!$P335&gt;0,AL335,"")</f>
        <v/>
      </c>
      <c r="AN335" s="12" t="str">
        <f>IF(XT!$P335=0,AL335,"")</f>
        <v/>
      </c>
      <c r="AO335">
        <f>SUMPRODUCT((MONTH(CHOOSE({1,2,3,4},XT!U335,XT!Y335,XT!AC335,XT!AG335))=11)*(CHOOSE({1,2,3,4},XT!X335,XT!AB335,XT!AF335,XT!AJ335)))</f>
        <v>0</v>
      </c>
      <c r="AP335" t="str">
        <f>IFERROR(INDEX(CHOOSE({1,2,3,4}, DAY(XT!U335), DAY(XT!Y335), DAY(XT!AC335), DAY(XT!AG335)), MATCH(1, INDEX(--(MONTH(CHOOSE({1,2,3,4}, XT!U335,XT!Y335,XT!AC335,XT!AG335))=11), 0), 0)), "")</f>
        <v/>
      </c>
      <c r="AQ335" s="12" t="str">
        <f>IF(XT!$P335&gt;0,AP335,"")</f>
        <v/>
      </c>
      <c r="AR335" s="12" t="str">
        <f>IF(XT!$P335=0,AP335,"")</f>
        <v/>
      </c>
      <c r="AS335">
        <f>SUMPRODUCT((MONTH(CHOOSE({1,2,3,4},XT!U335,XT!Y335,XT!AC335,XT!AG335))=12)*(CHOOSE({1,2,3,4},XT!X335,XT!AB335,XT!AF335,XT!AJ335)))</f>
        <v>0</v>
      </c>
      <c r="AT335" t="str">
        <f>IFERROR(INDEX(CHOOSE({1,2,3,4}, DAY(XT!U335), DAY(XT!Y335), DAY(XT!AC335), DAY(XT!AG335)), MATCH(1, INDEX(--(MONTH(CHOOSE({1,2,3,4}, XT!U335,XT!Y335,XT!AC335,XT!AG335))=12), 0), 0)), "")</f>
        <v/>
      </c>
      <c r="AU335" s="12" t="str">
        <f>IF(XT!$P335&gt;0,AT335,"")</f>
        <v/>
      </c>
      <c r="AV335" s="12" t="str">
        <f>IF(XT!$P335=0,AT335,"")</f>
        <v/>
      </c>
    </row>
    <row r="336" spans="1:48">
      <c r="A336">
        <f>SUMPRODUCT((MONTH(CHOOSE({1,2,3,4},XT!U336,XT!Y336,XT!AC336,XT!AG336))=1)*(CHOOSE({1,2,3,4},XT!X336,XT!AB336,XT!AF336,XT!AJ336)))</f>
        <v>0</v>
      </c>
      <c r="B336">
        <f>IFERROR(INDEX(CHOOSE({1,2,3,4}, DAY(XT!U336), DAY(XT!Y336), DAY(XT!AC336), DAY(XT!AG336)), MATCH(1, INDEX(--(MONTH(CHOOSE({1,2,3,4}, XT!U336,XT!Y336,XT!AC336,XT!AG336))=1), 0), 0)), "")</f>
        <v>0</v>
      </c>
      <c r="C336" s="12" t="str">
        <f>IF(XT!$P336&gt;0,B336,"")</f>
        <v/>
      </c>
      <c r="D336" s="12">
        <f>IF(XT!$P336=0,B336,"")</f>
        <v>0</v>
      </c>
      <c r="E336">
        <f>SUMPRODUCT((MONTH(CHOOSE({1,2,3,4},XT!U336,XT!Y336,XT!AC336,XT!AG336))=2)*(CHOOSE({1,2,3,4},XT!X336,XT!AB336,XT!AF336,XT!AJ336)))</f>
        <v>0</v>
      </c>
      <c r="F336" t="str">
        <f>IFERROR(INDEX(CHOOSE({1,2,3,4}, DAY(XT!U336), DAY(XT!Y336), DAY(XT!AC336), DAY(XT!AG336)), MATCH(1, INDEX(--(MONTH(CHOOSE({1,2,3,4}, XT!U336,XT!Y336,XT!AC336,XT!AG336))=2), 0), 0)), "")</f>
        <v/>
      </c>
      <c r="G336" s="12" t="str">
        <f>IF(XT!$P336&gt;0,F336,"")</f>
        <v/>
      </c>
      <c r="H336" s="12" t="str">
        <f>IF(XT!$P336=0,F336,"")</f>
        <v/>
      </c>
      <c r="I336">
        <f>SUMPRODUCT((MONTH(CHOOSE({1,2,3,4},XT!U336,XT!Y336,XT!AC336,XT!AG336))=3)*(CHOOSE({1,2,3,4},XT!X336,XT!AB336,XT!AF336,XT!AJ336)))</f>
        <v>0</v>
      </c>
      <c r="J336" t="str">
        <f>IFERROR(INDEX(CHOOSE({1,2,3,4}, DAY(XT!U336), DAY(XT!Y336), DAY(XT!AC336), DAY(XT!AG336)), MATCH(1, INDEX(--(MONTH(CHOOSE({1,2,3,4}, XT!U336,XT!Y336,XT!AC336,XT!AG336))=3), 0), 0)), "")</f>
        <v/>
      </c>
      <c r="K336" s="12" t="str">
        <f>IF(XT!$P336&gt;0,J336,"")</f>
        <v/>
      </c>
      <c r="L336" s="12" t="str">
        <f>IF(XT!$P336=0,J336,"")</f>
        <v/>
      </c>
      <c r="M336">
        <f>SUMPRODUCT((MONTH(CHOOSE({1,2,3,4},XT!U336,XT!Y336,XT!AC336,XT!AG336))=4)*(CHOOSE({1,2,3,4},XT!X336,XT!AB336,XT!AF336,XT!AJ336)))</f>
        <v>0</v>
      </c>
      <c r="N336" t="str">
        <f>IFERROR(INDEX(CHOOSE({1,2,3,4}, DAY(XT!U336), DAY(XT!Y336), DAY(XT!AC336), DAY(XT!AG336)), MATCH(1, INDEX(--(MONTH(CHOOSE({1,2,3,4}, XT!U336,XT!Y336,XT!AC336,XT!AG336))=4), 0), 0)), "")</f>
        <v/>
      </c>
      <c r="O336" s="12" t="str">
        <f>IF(XT!$P336&gt;0,N336,"")</f>
        <v/>
      </c>
      <c r="P336" s="12" t="str">
        <f>IF(XT!$P336=0,N336,"")</f>
        <v/>
      </c>
      <c r="Q336">
        <f>SUMPRODUCT((MONTH(CHOOSE({1,2,3,4},XT!U336,XT!Y336,XT!AC336,XT!AG336))=5)*(CHOOSE({1,2,3,4},XT!X336,XT!AB336,XT!AF336,XT!AJ336)))</f>
        <v>0</v>
      </c>
      <c r="R336" t="str">
        <f>IFERROR(INDEX(CHOOSE({1,2,3,4}, DAY(XT!U336), DAY(XT!Y336), DAY(XT!AC336), DAY(XT!AG336)), MATCH(1, INDEX(--(MONTH(CHOOSE({1,2,3,4}, XT!U336,XT!Y336,XT!AC336,XT!AG336))=5), 0), 0)), "")</f>
        <v/>
      </c>
      <c r="S336" s="12" t="str">
        <f>IF(XT!$P336&gt;0,R336,"")</f>
        <v/>
      </c>
      <c r="T336" s="12" t="str">
        <f>IF(XT!$P336=0,R336,"")</f>
        <v/>
      </c>
      <c r="U336">
        <f>SUMPRODUCT((MONTH(CHOOSE({1,2,3,4},XT!U336,XT!Y336,XT!AC336,XT!AG336))=6)*(CHOOSE({1,2,3,4},XT!X336,XT!AB336,XT!AF336,XT!AJ336)))</f>
        <v>0</v>
      </c>
      <c r="V336" t="str">
        <f>IFERROR(INDEX(CHOOSE({1,2,3,4}, DAY(XT!U336), DAY(XT!Y336), DAY(XT!AC336), DAY(XT!AG336)), MATCH(1, INDEX(--(MONTH(CHOOSE({1,2,3,4}, XT!U336,XT!Y336,XT!AC336,XT!AG336))=6), 0), 0)), "")</f>
        <v/>
      </c>
      <c r="W336" s="12" t="str">
        <f>IF(XT!$P336&gt;0,V336,"")</f>
        <v/>
      </c>
      <c r="X336" s="12" t="str">
        <f>IF(XT!$P336=0,V336,"")</f>
        <v/>
      </c>
      <c r="Y336">
        <f>SUMPRODUCT((MONTH(CHOOSE({1,2,3,4},XT!U336,XT!Y336,XT!AC336,XT!AG336))=7)*(CHOOSE({1,2,3,4},XT!X336,XT!AB336,XT!AF336,XT!AJ336)))</f>
        <v>0</v>
      </c>
      <c r="Z336" t="str">
        <f>IFERROR(INDEX(CHOOSE({1,2,3,4}, DAY(XT!U336), DAY(XT!Y336), DAY(XT!AC336), DAY(XT!AG336)), MATCH(1, INDEX(--(MONTH(CHOOSE({1,2,3,4}, XT!U336,XT!Y336,XT!AC336,XT!AG336))=7), 0), 0)), "")</f>
        <v/>
      </c>
      <c r="AA336" s="12" t="str">
        <f>IF(XT!$P336&gt;0,Z336,"")</f>
        <v/>
      </c>
      <c r="AB336" s="12" t="str">
        <f>IF(XT!$P336=0,Z336,"")</f>
        <v/>
      </c>
      <c r="AC336">
        <f>SUMPRODUCT((MONTH(CHOOSE({1,2,3,4},XT!U336,XT!Y336,XT!AC336,XT!AG336))=8)*(CHOOSE({1,2,3,4},XT!X336,XT!AB336,XT!AF336,XT!AJ336)))</f>
        <v>0</v>
      </c>
      <c r="AD336" t="str">
        <f>IFERROR(INDEX(CHOOSE({1,2,3,4}, DAY(XT!U336), DAY(XT!Y336), DAY(XT!AC336), DAY(XT!AG336)), MATCH(1, INDEX(--(MONTH(CHOOSE({1,2,3,4}, XT!U336,XT!Y336,XT!AC336,XT!AG336))=8), 0), 0)), "")</f>
        <v/>
      </c>
      <c r="AE336" s="12" t="str">
        <f>IF(XT!$P336&gt;0,AD336,"")</f>
        <v/>
      </c>
      <c r="AF336" s="12" t="str">
        <f>IF(XT!$P336=0,AD336,"")</f>
        <v/>
      </c>
      <c r="AG336">
        <f>SUMPRODUCT((MONTH(CHOOSE({1,2,3,4},XT!U336,XT!Y336,XT!AC336,XT!AG336))=9)*(CHOOSE({1,2,3,4},XT!X336,XT!AB336,XT!AF336,XT!AJ336)))</f>
        <v>0</v>
      </c>
      <c r="AH336" t="str">
        <f>IFERROR(INDEX(CHOOSE({1,2,3,4}, DAY(XT!U336), DAY(XT!Y336), DAY(XT!AC336), DAY(XT!AG336)), MATCH(1, INDEX(--(MONTH(CHOOSE({1,2,3,4}, XT!U336,XT!Y336,XT!AC336,XT!AG336))=9), 0), 0)), "")</f>
        <v/>
      </c>
      <c r="AI336" s="12" t="str">
        <f>IF(XT!$P336&gt;0,AH336,"")</f>
        <v/>
      </c>
      <c r="AJ336" s="12" t="str">
        <f>IF(XT!$P336=0,AH336,"")</f>
        <v/>
      </c>
      <c r="AK336">
        <f>SUMPRODUCT((MONTH(CHOOSE({1,2,3,4},XT!U336,XT!Y336,XT!AC336,XT!AG336))=10)*(CHOOSE({1,2,3,4},XT!X336,XT!AB336,XT!AF336,XT!AJ336)))</f>
        <v>0</v>
      </c>
      <c r="AL336" t="str">
        <f>IFERROR(INDEX(CHOOSE({1,2,3,4}, DAY(XT!U336), DAY(XT!Y336), DAY(XT!AC336), DAY(XT!AG336)), MATCH(1, INDEX(--(MONTH(CHOOSE({1,2,3,4}, XT!U336,XT!Y336,XT!AC336,XT!AG336))=10), 0), 0)), "")</f>
        <v/>
      </c>
      <c r="AM336" s="12" t="str">
        <f>IF(XT!$P336&gt;0,AL336,"")</f>
        <v/>
      </c>
      <c r="AN336" s="12" t="str">
        <f>IF(XT!$P336=0,AL336,"")</f>
        <v/>
      </c>
      <c r="AO336">
        <f>SUMPRODUCT((MONTH(CHOOSE({1,2,3,4},XT!U336,XT!Y336,XT!AC336,XT!AG336))=11)*(CHOOSE({1,2,3,4},XT!X336,XT!AB336,XT!AF336,XT!AJ336)))</f>
        <v>0</v>
      </c>
      <c r="AP336" t="str">
        <f>IFERROR(INDEX(CHOOSE({1,2,3,4}, DAY(XT!U336), DAY(XT!Y336), DAY(XT!AC336), DAY(XT!AG336)), MATCH(1, INDEX(--(MONTH(CHOOSE({1,2,3,4}, XT!U336,XT!Y336,XT!AC336,XT!AG336))=11), 0), 0)), "")</f>
        <v/>
      </c>
      <c r="AQ336" s="12" t="str">
        <f>IF(XT!$P336&gt;0,AP336,"")</f>
        <v/>
      </c>
      <c r="AR336" s="12" t="str">
        <f>IF(XT!$P336=0,AP336,"")</f>
        <v/>
      </c>
      <c r="AS336">
        <f>SUMPRODUCT((MONTH(CHOOSE({1,2,3,4},XT!U336,XT!Y336,XT!AC336,XT!AG336))=12)*(CHOOSE({1,2,3,4},XT!X336,XT!AB336,XT!AF336,XT!AJ336)))</f>
        <v>0</v>
      </c>
      <c r="AT336" t="str">
        <f>IFERROR(INDEX(CHOOSE({1,2,3,4}, DAY(XT!U336), DAY(XT!Y336), DAY(XT!AC336), DAY(XT!AG336)), MATCH(1, INDEX(--(MONTH(CHOOSE({1,2,3,4}, XT!U336,XT!Y336,XT!AC336,XT!AG336))=12), 0), 0)), "")</f>
        <v/>
      </c>
      <c r="AU336" s="12" t="str">
        <f>IF(XT!$P336&gt;0,AT336,"")</f>
        <v/>
      </c>
      <c r="AV336" s="12" t="str">
        <f>IF(XT!$P336=0,AT336,"")</f>
        <v/>
      </c>
    </row>
    <row r="337" spans="1:48">
      <c r="A337">
        <f>SUMPRODUCT((MONTH(CHOOSE({1,2,3,4},XT!U337,XT!Y337,XT!AC337,XT!AG337))=1)*(CHOOSE({1,2,3,4},XT!X337,XT!AB337,XT!AF337,XT!AJ337)))</f>
        <v>0</v>
      </c>
      <c r="B337">
        <f>IFERROR(INDEX(CHOOSE({1,2,3,4}, DAY(XT!U337), DAY(XT!Y337), DAY(XT!AC337), DAY(XT!AG337)), MATCH(1, INDEX(--(MONTH(CHOOSE({1,2,3,4}, XT!U337,XT!Y337,XT!AC337,XT!AG337))=1), 0), 0)), "")</f>
        <v>0</v>
      </c>
      <c r="C337" s="12" t="str">
        <f>IF(XT!$P337&gt;0,B337,"")</f>
        <v/>
      </c>
      <c r="D337" s="12">
        <f>IF(XT!$P337=0,B337,"")</f>
        <v>0</v>
      </c>
      <c r="E337">
        <f>SUMPRODUCT((MONTH(CHOOSE({1,2,3,4},XT!U337,XT!Y337,XT!AC337,XT!AG337))=2)*(CHOOSE({1,2,3,4},XT!X337,XT!AB337,XT!AF337,XT!AJ337)))</f>
        <v>0</v>
      </c>
      <c r="F337" t="str">
        <f>IFERROR(INDEX(CHOOSE({1,2,3,4}, DAY(XT!U337), DAY(XT!Y337), DAY(XT!AC337), DAY(XT!AG337)), MATCH(1, INDEX(--(MONTH(CHOOSE({1,2,3,4}, XT!U337,XT!Y337,XT!AC337,XT!AG337))=2), 0), 0)), "")</f>
        <v/>
      </c>
      <c r="G337" s="12" t="str">
        <f>IF(XT!$P337&gt;0,F337,"")</f>
        <v/>
      </c>
      <c r="H337" s="12" t="str">
        <f>IF(XT!$P337=0,F337,"")</f>
        <v/>
      </c>
      <c r="I337">
        <f>SUMPRODUCT((MONTH(CHOOSE({1,2,3,4},XT!U337,XT!Y337,XT!AC337,XT!AG337))=3)*(CHOOSE({1,2,3,4},XT!X337,XT!AB337,XT!AF337,XT!AJ337)))</f>
        <v>0</v>
      </c>
      <c r="J337" t="str">
        <f>IFERROR(INDEX(CHOOSE({1,2,3,4}, DAY(XT!U337), DAY(XT!Y337), DAY(XT!AC337), DAY(XT!AG337)), MATCH(1, INDEX(--(MONTH(CHOOSE({1,2,3,4}, XT!U337,XT!Y337,XT!AC337,XT!AG337))=3), 0), 0)), "")</f>
        <v/>
      </c>
      <c r="K337" s="12" t="str">
        <f>IF(XT!$P337&gt;0,J337,"")</f>
        <v/>
      </c>
      <c r="L337" s="12" t="str">
        <f>IF(XT!$P337=0,J337,"")</f>
        <v/>
      </c>
      <c r="M337">
        <f>SUMPRODUCT((MONTH(CHOOSE({1,2,3,4},XT!U337,XT!Y337,XT!AC337,XT!AG337))=4)*(CHOOSE({1,2,3,4},XT!X337,XT!AB337,XT!AF337,XT!AJ337)))</f>
        <v>0</v>
      </c>
      <c r="N337" t="str">
        <f>IFERROR(INDEX(CHOOSE({1,2,3,4}, DAY(XT!U337), DAY(XT!Y337), DAY(XT!AC337), DAY(XT!AG337)), MATCH(1, INDEX(--(MONTH(CHOOSE({1,2,3,4}, XT!U337,XT!Y337,XT!AC337,XT!AG337))=4), 0), 0)), "")</f>
        <v/>
      </c>
      <c r="O337" s="12" t="str">
        <f>IF(XT!$P337&gt;0,N337,"")</f>
        <v/>
      </c>
      <c r="P337" s="12" t="str">
        <f>IF(XT!$P337=0,N337,"")</f>
        <v/>
      </c>
      <c r="Q337">
        <f>SUMPRODUCT((MONTH(CHOOSE({1,2,3,4},XT!U337,XT!Y337,XT!AC337,XT!AG337))=5)*(CHOOSE({1,2,3,4},XT!X337,XT!AB337,XT!AF337,XT!AJ337)))</f>
        <v>0</v>
      </c>
      <c r="R337" t="str">
        <f>IFERROR(INDEX(CHOOSE({1,2,3,4}, DAY(XT!U337), DAY(XT!Y337), DAY(XT!AC337), DAY(XT!AG337)), MATCH(1, INDEX(--(MONTH(CHOOSE({1,2,3,4}, XT!U337,XT!Y337,XT!AC337,XT!AG337))=5), 0), 0)), "")</f>
        <v/>
      </c>
      <c r="S337" s="12" t="str">
        <f>IF(XT!$P337&gt;0,R337,"")</f>
        <v/>
      </c>
      <c r="T337" s="12" t="str">
        <f>IF(XT!$P337=0,R337,"")</f>
        <v/>
      </c>
      <c r="U337">
        <f>SUMPRODUCT((MONTH(CHOOSE({1,2,3,4},XT!U337,XT!Y337,XT!AC337,XT!AG337))=6)*(CHOOSE({1,2,3,4},XT!X337,XT!AB337,XT!AF337,XT!AJ337)))</f>
        <v>0</v>
      </c>
      <c r="V337" t="str">
        <f>IFERROR(INDEX(CHOOSE({1,2,3,4}, DAY(XT!U337), DAY(XT!Y337), DAY(XT!AC337), DAY(XT!AG337)), MATCH(1, INDEX(--(MONTH(CHOOSE({1,2,3,4}, XT!U337,XT!Y337,XT!AC337,XT!AG337))=6), 0), 0)), "")</f>
        <v/>
      </c>
      <c r="W337" s="12" t="str">
        <f>IF(XT!$P337&gt;0,V337,"")</f>
        <v/>
      </c>
      <c r="X337" s="12" t="str">
        <f>IF(XT!$P337=0,V337,"")</f>
        <v/>
      </c>
      <c r="Y337">
        <f>SUMPRODUCT((MONTH(CHOOSE({1,2,3,4},XT!U337,XT!Y337,XT!AC337,XT!AG337))=7)*(CHOOSE({1,2,3,4},XT!X337,XT!AB337,XT!AF337,XT!AJ337)))</f>
        <v>0</v>
      </c>
      <c r="Z337" t="str">
        <f>IFERROR(INDEX(CHOOSE({1,2,3,4}, DAY(XT!U337), DAY(XT!Y337), DAY(XT!AC337), DAY(XT!AG337)), MATCH(1, INDEX(--(MONTH(CHOOSE({1,2,3,4}, XT!U337,XT!Y337,XT!AC337,XT!AG337))=7), 0), 0)), "")</f>
        <v/>
      </c>
      <c r="AA337" s="12" t="str">
        <f>IF(XT!$P337&gt;0,Z337,"")</f>
        <v/>
      </c>
      <c r="AB337" s="12" t="str">
        <f>IF(XT!$P337=0,Z337,"")</f>
        <v/>
      </c>
      <c r="AC337">
        <f>SUMPRODUCT((MONTH(CHOOSE({1,2,3,4},XT!U337,XT!Y337,XT!AC337,XT!AG337))=8)*(CHOOSE({1,2,3,4},XT!X337,XT!AB337,XT!AF337,XT!AJ337)))</f>
        <v>0</v>
      </c>
      <c r="AD337" t="str">
        <f>IFERROR(INDEX(CHOOSE({1,2,3,4}, DAY(XT!U337), DAY(XT!Y337), DAY(XT!AC337), DAY(XT!AG337)), MATCH(1, INDEX(--(MONTH(CHOOSE({1,2,3,4}, XT!U337,XT!Y337,XT!AC337,XT!AG337))=8), 0), 0)), "")</f>
        <v/>
      </c>
      <c r="AE337" s="12" t="str">
        <f>IF(XT!$P337&gt;0,AD337,"")</f>
        <v/>
      </c>
      <c r="AF337" s="12" t="str">
        <f>IF(XT!$P337=0,AD337,"")</f>
        <v/>
      </c>
      <c r="AG337">
        <f>SUMPRODUCT((MONTH(CHOOSE({1,2,3,4},XT!U337,XT!Y337,XT!AC337,XT!AG337))=9)*(CHOOSE({1,2,3,4},XT!X337,XT!AB337,XT!AF337,XT!AJ337)))</f>
        <v>0</v>
      </c>
      <c r="AH337" t="str">
        <f>IFERROR(INDEX(CHOOSE({1,2,3,4}, DAY(XT!U337), DAY(XT!Y337), DAY(XT!AC337), DAY(XT!AG337)), MATCH(1, INDEX(--(MONTH(CHOOSE({1,2,3,4}, XT!U337,XT!Y337,XT!AC337,XT!AG337))=9), 0), 0)), "")</f>
        <v/>
      </c>
      <c r="AI337" s="12" t="str">
        <f>IF(XT!$P337&gt;0,AH337,"")</f>
        <v/>
      </c>
      <c r="AJ337" s="12" t="str">
        <f>IF(XT!$P337=0,AH337,"")</f>
        <v/>
      </c>
      <c r="AK337">
        <f>SUMPRODUCT((MONTH(CHOOSE({1,2,3,4},XT!U337,XT!Y337,XT!AC337,XT!AG337))=10)*(CHOOSE({1,2,3,4},XT!X337,XT!AB337,XT!AF337,XT!AJ337)))</f>
        <v>0</v>
      </c>
      <c r="AL337" t="str">
        <f>IFERROR(INDEX(CHOOSE({1,2,3,4}, DAY(XT!U337), DAY(XT!Y337), DAY(XT!AC337), DAY(XT!AG337)), MATCH(1, INDEX(--(MONTH(CHOOSE({1,2,3,4}, XT!U337,XT!Y337,XT!AC337,XT!AG337))=10), 0), 0)), "")</f>
        <v/>
      </c>
      <c r="AM337" s="12" t="str">
        <f>IF(XT!$P337&gt;0,AL337,"")</f>
        <v/>
      </c>
      <c r="AN337" s="12" t="str">
        <f>IF(XT!$P337=0,AL337,"")</f>
        <v/>
      </c>
      <c r="AO337">
        <f>SUMPRODUCT((MONTH(CHOOSE({1,2,3,4},XT!U337,XT!Y337,XT!AC337,XT!AG337))=11)*(CHOOSE({1,2,3,4},XT!X337,XT!AB337,XT!AF337,XT!AJ337)))</f>
        <v>0</v>
      </c>
      <c r="AP337" t="str">
        <f>IFERROR(INDEX(CHOOSE({1,2,3,4}, DAY(XT!U337), DAY(XT!Y337), DAY(XT!AC337), DAY(XT!AG337)), MATCH(1, INDEX(--(MONTH(CHOOSE({1,2,3,4}, XT!U337,XT!Y337,XT!AC337,XT!AG337))=11), 0), 0)), "")</f>
        <v/>
      </c>
      <c r="AQ337" s="12" t="str">
        <f>IF(XT!$P337&gt;0,AP337,"")</f>
        <v/>
      </c>
      <c r="AR337" s="12" t="str">
        <f>IF(XT!$P337=0,AP337,"")</f>
        <v/>
      </c>
      <c r="AS337">
        <f>SUMPRODUCT((MONTH(CHOOSE({1,2,3,4},XT!U337,XT!Y337,XT!AC337,XT!AG337))=12)*(CHOOSE({1,2,3,4},XT!X337,XT!AB337,XT!AF337,XT!AJ337)))</f>
        <v>0</v>
      </c>
      <c r="AT337" t="str">
        <f>IFERROR(INDEX(CHOOSE({1,2,3,4}, DAY(XT!U337), DAY(XT!Y337), DAY(XT!AC337), DAY(XT!AG337)), MATCH(1, INDEX(--(MONTH(CHOOSE({1,2,3,4}, XT!U337,XT!Y337,XT!AC337,XT!AG337))=12), 0), 0)), "")</f>
        <v/>
      </c>
      <c r="AU337" s="12" t="str">
        <f>IF(XT!$P337&gt;0,AT337,"")</f>
        <v/>
      </c>
      <c r="AV337" s="12" t="str">
        <f>IF(XT!$P337=0,AT337,"")</f>
        <v/>
      </c>
    </row>
    <row r="338" spans="1:48">
      <c r="A338">
        <f>SUMPRODUCT((MONTH(CHOOSE({1,2,3,4},XT!U338,XT!Y338,XT!AC338,XT!AG338))=1)*(CHOOSE({1,2,3,4},XT!X338,XT!AB338,XT!AF338,XT!AJ338)))</f>
        <v>0</v>
      </c>
      <c r="B338">
        <f>IFERROR(INDEX(CHOOSE({1,2,3,4}, DAY(XT!U338), DAY(XT!Y338), DAY(XT!AC338), DAY(XT!AG338)), MATCH(1, INDEX(--(MONTH(CHOOSE({1,2,3,4}, XT!U338,XT!Y338,XT!AC338,XT!AG338))=1), 0), 0)), "")</f>
        <v>0</v>
      </c>
      <c r="C338" s="12" t="str">
        <f>IF(XT!$P338&gt;0,B338,"")</f>
        <v/>
      </c>
      <c r="D338" s="12">
        <f>IF(XT!$P338=0,B338,"")</f>
        <v>0</v>
      </c>
      <c r="E338">
        <f>SUMPRODUCT((MONTH(CHOOSE({1,2,3,4},XT!U338,XT!Y338,XT!AC338,XT!AG338))=2)*(CHOOSE({1,2,3,4},XT!X338,XT!AB338,XT!AF338,XT!AJ338)))</f>
        <v>0</v>
      </c>
      <c r="F338" t="str">
        <f>IFERROR(INDEX(CHOOSE({1,2,3,4}, DAY(XT!U338), DAY(XT!Y338), DAY(XT!AC338), DAY(XT!AG338)), MATCH(1, INDEX(--(MONTH(CHOOSE({1,2,3,4}, XT!U338,XT!Y338,XT!AC338,XT!AG338))=2), 0), 0)), "")</f>
        <v/>
      </c>
      <c r="G338" s="12" t="str">
        <f>IF(XT!$P338&gt;0,F338,"")</f>
        <v/>
      </c>
      <c r="H338" s="12" t="str">
        <f>IF(XT!$P338=0,F338,"")</f>
        <v/>
      </c>
      <c r="I338">
        <f>SUMPRODUCT((MONTH(CHOOSE({1,2,3,4},XT!U338,XT!Y338,XT!AC338,XT!AG338))=3)*(CHOOSE({1,2,3,4},XT!X338,XT!AB338,XT!AF338,XT!AJ338)))</f>
        <v>0</v>
      </c>
      <c r="J338" t="str">
        <f>IFERROR(INDEX(CHOOSE({1,2,3,4}, DAY(XT!U338), DAY(XT!Y338), DAY(XT!AC338), DAY(XT!AG338)), MATCH(1, INDEX(--(MONTH(CHOOSE({1,2,3,4}, XT!U338,XT!Y338,XT!AC338,XT!AG338))=3), 0), 0)), "")</f>
        <v/>
      </c>
      <c r="K338" s="12" t="str">
        <f>IF(XT!$P338&gt;0,J338,"")</f>
        <v/>
      </c>
      <c r="L338" s="12" t="str">
        <f>IF(XT!$P338=0,J338,"")</f>
        <v/>
      </c>
      <c r="M338">
        <f>SUMPRODUCT((MONTH(CHOOSE({1,2,3,4},XT!U338,XT!Y338,XT!AC338,XT!AG338))=4)*(CHOOSE({1,2,3,4},XT!X338,XT!AB338,XT!AF338,XT!AJ338)))</f>
        <v>0</v>
      </c>
      <c r="N338" t="str">
        <f>IFERROR(INDEX(CHOOSE({1,2,3,4}, DAY(XT!U338), DAY(XT!Y338), DAY(XT!AC338), DAY(XT!AG338)), MATCH(1, INDEX(--(MONTH(CHOOSE({1,2,3,4}, XT!U338,XT!Y338,XT!AC338,XT!AG338))=4), 0), 0)), "")</f>
        <v/>
      </c>
      <c r="O338" s="12" t="str">
        <f>IF(XT!$P338&gt;0,N338,"")</f>
        <v/>
      </c>
      <c r="P338" s="12" t="str">
        <f>IF(XT!$P338=0,N338,"")</f>
        <v/>
      </c>
      <c r="Q338">
        <f>SUMPRODUCT((MONTH(CHOOSE({1,2,3,4},XT!U338,XT!Y338,XT!AC338,XT!AG338))=5)*(CHOOSE({1,2,3,4},XT!X338,XT!AB338,XT!AF338,XT!AJ338)))</f>
        <v>0</v>
      </c>
      <c r="R338" t="str">
        <f>IFERROR(INDEX(CHOOSE({1,2,3,4}, DAY(XT!U338), DAY(XT!Y338), DAY(XT!AC338), DAY(XT!AG338)), MATCH(1, INDEX(--(MONTH(CHOOSE({1,2,3,4}, XT!U338,XT!Y338,XT!AC338,XT!AG338))=5), 0), 0)), "")</f>
        <v/>
      </c>
      <c r="S338" s="12" t="str">
        <f>IF(XT!$P338&gt;0,R338,"")</f>
        <v/>
      </c>
      <c r="T338" s="12" t="str">
        <f>IF(XT!$P338=0,R338,"")</f>
        <v/>
      </c>
      <c r="U338">
        <f>SUMPRODUCT((MONTH(CHOOSE({1,2,3,4},XT!U338,XT!Y338,XT!AC338,XT!AG338))=6)*(CHOOSE({1,2,3,4},XT!X338,XT!AB338,XT!AF338,XT!AJ338)))</f>
        <v>0</v>
      </c>
      <c r="V338" t="str">
        <f>IFERROR(INDEX(CHOOSE({1,2,3,4}, DAY(XT!U338), DAY(XT!Y338), DAY(XT!AC338), DAY(XT!AG338)), MATCH(1, INDEX(--(MONTH(CHOOSE({1,2,3,4}, XT!U338,XT!Y338,XT!AC338,XT!AG338))=6), 0), 0)), "")</f>
        <v/>
      </c>
      <c r="W338" s="12" t="str">
        <f>IF(XT!$P338&gt;0,V338,"")</f>
        <v/>
      </c>
      <c r="X338" s="12" t="str">
        <f>IF(XT!$P338=0,V338,"")</f>
        <v/>
      </c>
      <c r="Y338">
        <f>SUMPRODUCT((MONTH(CHOOSE({1,2,3,4},XT!U338,XT!Y338,XT!AC338,XT!AG338))=7)*(CHOOSE({1,2,3,4},XT!X338,XT!AB338,XT!AF338,XT!AJ338)))</f>
        <v>0</v>
      </c>
      <c r="Z338" t="str">
        <f>IFERROR(INDEX(CHOOSE({1,2,3,4}, DAY(XT!U338), DAY(XT!Y338), DAY(XT!AC338), DAY(XT!AG338)), MATCH(1, INDEX(--(MONTH(CHOOSE({1,2,3,4}, XT!U338,XT!Y338,XT!AC338,XT!AG338))=7), 0), 0)), "")</f>
        <v/>
      </c>
      <c r="AA338" s="12" t="str">
        <f>IF(XT!$P338&gt;0,Z338,"")</f>
        <v/>
      </c>
      <c r="AB338" s="12" t="str">
        <f>IF(XT!$P338=0,Z338,"")</f>
        <v/>
      </c>
      <c r="AC338">
        <f>SUMPRODUCT((MONTH(CHOOSE({1,2,3,4},XT!U338,XT!Y338,XT!AC338,XT!AG338))=8)*(CHOOSE({1,2,3,4},XT!X338,XT!AB338,XT!AF338,XT!AJ338)))</f>
        <v>0</v>
      </c>
      <c r="AD338" t="str">
        <f>IFERROR(INDEX(CHOOSE({1,2,3,4}, DAY(XT!U338), DAY(XT!Y338), DAY(XT!AC338), DAY(XT!AG338)), MATCH(1, INDEX(--(MONTH(CHOOSE({1,2,3,4}, XT!U338,XT!Y338,XT!AC338,XT!AG338))=8), 0), 0)), "")</f>
        <v/>
      </c>
      <c r="AE338" s="12" t="str">
        <f>IF(XT!$P338&gt;0,AD338,"")</f>
        <v/>
      </c>
      <c r="AF338" s="12" t="str">
        <f>IF(XT!$P338=0,AD338,"")</f>
        <v/>
      </c>
      <c r="AG338">
        <f>SUMPRODUCT((MONTH(CHOOSE({1,2,3,4},XT!U338,XT!Y338,XT!AC338,XT!AG338))=9)*(CHOOSE({1,2,3,4},XT!X338,XT!AB338,XT!AF338,XT!AJ338)))</f>
        <v>0</v>
      </c>
      <c r="AH338" t="str">
        <f>IFERROR(INDEX(CHOOSE({1,2,3,4}, DAY(XT!U338), DAY(XT!Y338), DAY(XT!AC338), DAY(XT!AG338)), MATCH(1, INDEX(--(MONTH(CHOOSE({1,2,3,4}, XT!U338,XT!Y338,XT!AC338,XT!AG338))=9), 0), 0)), "")</f>
        <v/>
      </c>
      <c r="AI338" s="12" t="str">
        <f>IF(XT!$P338&gt;0,AH338,"")</f>
        <v/>
      </c>
      <c r="AJ338" s="12" t="str">
        <f>IF(XT!$P338=0,AH338,"")</f>
        <v/>
      </c>
      <c r="AK338">
        <f>SUMPRODUCT((MONTH(CHOOSE({1,2,3,4},XT!U338,XT!Y338,XT!AC338,XT!AG338))=10)*(CHOOSE({1,2,3,4},XT!X338,XT!AB338,XT!AF338,XT!AJ338)))</f>
        <v>0</v>
      </c>
      <c r="AL338" t="str">
        <f>IFERROR(INDEX(CHOOSE({1,2,3,4}, DAY(XT!U338), DAY(XT!Y338), DAY(XT!AC338), DAY(XT!AG338)), MATCH(1, INDEX(--(MONTH(CHOOSE({1,2,3,4}, XT!U338,XT!Y338,XT!AC338,XT!AG338))=10), 0), 0)), "")</f>
        <v/>
      </c>
      <c r="AM338" s="12" t="str">
        <f>IF(XT!$P338&gt;0,AL338,"")</f>
        <v/>
      </c>
      <c r="AN338" s="12" t="str">
        <f>IF(XT!$P338=0,AL338,"")</f>
        <v/>
      </c>
      <c r="AO338">
        <f>SUMPRODUCT((MONTH(CHOOSE({1,2,3,4},XT!U338,XT!Y338,XT!AC338,XT!AG338))=11)*(CHOOSE({1,2,3,4},XT!X338,XT!AB338,XT!AF338,XT!AJ338)))</f>
        <v>0</v>
      </c>
      <c r="AP338" t="str">
        <f>IFERROR(INDEX(CHOOSE({1,2,3,4}, DAY(XT!U338), DAY(XT!Y338), DAY(XT!AC338), DAY(XT!AG338)), MATCH(1, INDEX(--(MONTH(CHOOSE({1,2,3,4}, XT!U338,XT!Y338,XT!AC338,XT!AG338))=11), 0), 0)), "")</f>
        <v/>
      </c>
      <c r="AQ338" s="12" t="str">
        <f>IF(XT!$P338&gt;0,AP338,"")</f>
        <v/>
      </c>
      <c r="AR338" s="12" t="str">
        <f>IF(XT!$P338=0,AP338,"")</f>
        <v/>
      </c>
      <c r="AS338">
        <f>SUMPRODUCT((MONTH(CHOOSE({1,2,3,4},XT!U338,XT!Y338,XT!AC338,XT!AG338))=12)*(CHOOSE({1,2,3,4},XT!X338,XT!AB338,XT!AF338,XT!AJ338)))</f>
        <v>0</v>
      </c>
      <c r="AT338" t="str">
        <f>IFERROR(INDEX(CHOOSE({1,2,3,4}, DAY(XT!U338), DAY(XT!Y338), DAY(XT!AC338), DAY(XT!AG338)), MATCH(1, INDEX(--(MONTH(CHOOSE({1,2,3,4}, XT!U338,XT!Y338,XT!AC338,XT!AG338))=12), 0), 0)), "")</f>
        <v/>
      </c>
      <c r="AU338" s="12" t="str">
        <f>IF(XT!$P338&gt;0,AT338,"")</f>
        <v/>
      </c>
      <c r="AV338" s="12" t="str">
        <f>IF(XT!$P338=0,AT338,"")</f>
        <v/>
      </c>
    </row>
    <row r="339" spans="1:48">
      <c r="A339">
        <f>SUMPRODUCT((MONTH(CHOOSE({1,2,3,4},XT!U339,XT!Y339,XT!AC339,XT!AG339))=1)*(CHOOSE({1,2,3,4},XT!X339,XT!AB339,XT!AF339,XT!AJ339)))</f>
        <v>0</v>
      </c>
      <c r="B339">
        <f>IFERROR(INDEX(CHOOSE({1,2,3,4}, DAY(XT!U339), DAY(XT!Y339), DAY(XT!AC339), DAY(XT!AG339)), MATCH(1, INDEX(--(MONTH(CHOOSE({1,2,3,4}, XT!U339,XT!Y339,XT!AC339,XT!AG339))=1), 0), 0)), "")</f>
        <v>0</v>
      </c>
      <c r="C339" s="12" t="str">
        <f>IF(XT!$P339&gt;0,B339,"")</f>
        <v/>
      </c>
      <c r="D339" s="12">
        <f>IF(XT!$P339=0,B339,"")</f>
        <v>0</v>
      </c>
      <c r="E339">
        <f>SUMPRODUCT((MONTH(CHOOSE({1,2,3,4},XT!U339,XT!Y339,XT!AC339,XT!AG339))=2)*(CHOOSE({1,2,3,4},XT!X339,XT!AB339,XT!AF339,XT!AJ339)))</f>
        <v>0</v>
      </c>
      <c r="F339" t="str">
        <f>IFERROR(INDEX(CHOOSE({1,2,3,4}, DAY(XT!U339), DAY(XT!Y339), DAY(XT!AC339), DAY(XT!AG339)), MATCH(1, INDEX(--(MONTH(CHOOSE({1,2,3,4}, XT!U339,XT!Y339,XT!AC339,XT!AG339))=2), 0), 0)), "")</f>
        <v/>
      </c>
      <c r="G339" s="12" t="str">
        <f>IF(XT!$P339&gt;0,F339,"")</f>
        <v/>
      </c>
      <c r="H339" s="12" t="str">
        <f>IF(XT!$P339=0,F339,"")</f>
        <v/>
      </c>
      <c r="I339">
        <f>SUMPRODUCT((MONTH(CHOOSE({1,2,3,4},XT!U339,XT!Y339,XT!AC339,XT!AG339))=3)*(CHOOSE({1,2,3,4},XT!X339,XT!AB339,XT!AF339,XT!AJ339)))</f>
        <v>0</v>
      </c>
      <c r="J339" t="str">
        <f>IFERROR(INDEX(CHOOSE({1,2,3,4}, DAY(XT!U339), DAY(XT!Y339), DAY(XT!AC339), DAY(XT!AG339)), MATCH(1, INDEX(--(MONTH(CHOOSE({1,2,3,4}, XT!U339,XT!Y339,XT!AC339,XT!AG339))=3), 0), 0)), "")</f>
        <v/>
      </c>
      <c r="K339" s="12" t="str">
        <f>IF(XT!$P339&gt;0,J339,"")</f>
        <v/>
      </c>
      <c r="L339" s="12" t="str">
        <f>IF(XT!$P339=0,J339,"")</f>
        <v/>
      </c>
      <c r="M339">
        <f>SUMPRODUCT((MONTH(CHOOSE({1,2,3,4},XT!U339,XT!Y339,XT!AC339,XT!AG339))=4)*(CHOOSE({1,2,3,4},XT!X339,XT!AB339,XT!AF339,XT!AJ339)))</f>
        <v>0</v>
      </c>
      <c r="N339" t="str">
        <f>IFERROR(INDEX(CHOOSE({1,2,3,4}, DAY(XT!U339), DAY(XT!Y339), DAY(XT!AC339), DAY(XT!AG339)), MATCH(1, INDEX(--(MONTH(CHOOSE({1,2,3,4}, XT!U339,XT!Y339,XT!AC339,XT!AG339))=4), 0), 0)), "")</f>
        <v/>
      </c>
      <c r="O339" s="12" t="str">
        <f>IF(XT!$P339&gt;0,N339,"")</f>
        <v/>
      </c>
      <c r="P339" s="12" t="str">
        <f>IF(XT!$P339=0,N339,"")</f>
        <v/>
      </c>
      <c r="Q339">
        <f>SUMPRODUCT((MONTH(CHOOSE({1,2,3,4},XT!U339,XT!Y339,XT!AC339,XT!AG339))=5)*(CHOOSE({1,2,3,4},XT!X339,XT!AB339,XT!AF339,XT!AJ339)))</f>
        <v>0</v>
      </c>
      <c r="R339" t="str">
        <f>IFERROR(INDEX(CHOOSE({1,2,3,4}, DAY(XT!U339), DAY(XT!Y339), DAY(XT!AC339), DAY(XT!AG339)), MATCH(1, INDEX(--(MONTH(CHOOSE({1,2,3,4}, XT!U339,XT!Y339,XT!AC339,XT!AG339))=5), 0), 0)), "")</f>
        <v/>
      </c>
      <c r="S339" s="12" t="str">
        <f>IF(XT!$P339&gt;0,R339,"")</f>
        <v/>
      </c>
      <c r="T339" s="12" t="str">
        <f>IF(XT!$P339=0,R339,"")</f>
        <v/>
      </c>
      <c r="U339">
        <f>SUMPRODUCT((MONTH(CHOOSE({1,2,3,4},XT!U339,XT!Y339,XT!AC339,XT!AG339))=6)*(CHOOSE({1,2,3,4},XT!X339,XT!AB339,XT!AF339,XT!AJ339)))</f>
        <v>0</v>
      </c>
      <c r="V339" t="str">
        <f>IFERROR(INDEX(CHOOSE({1,2,3,4}, DAY(XT!U339), DAY(XT!Y339), DAY(XT!AC339), DAY(XT!AG339)), MATCH(1, INDEX(--(MONTH(CHOOSE({1,2,3,4}, XT!U339,XT!Y339,XT!AC339,XT!AG339))=6), 0), 0)), "")</f>
        <v/>
      </c>
      <c r="W339" s="12" t="str">
        <f>IF(XT!$P339&gt;0,V339,"")</f>
        <v/>
      </c>
      <c r="X339" s="12" t="str">
        <f>IF(XT!$P339=0,V339,"")</f>
        <v/>
      </c>
      <c r="Y339">
        <f>SUMPRODUCT((MONTH(CHOOSE({1,2,3,4},XT!U339,XT!Y339,XT!AC339,XT!AG339))=7)*(CHOOSE({1,2,3,4},XT!X339,XT!AB339,XT!AF339,XT!AJ339)))</f>
        <v>0</v>
      </c>
      <c r="Z339" t="str">
        <f>IFERROR(INDEX(CHOOSE({1,2,3,4}, DAY(XT!U339), DAY(XT!Y339), DAY(XT!AC339), DAY(XT!AG339)), MATCH(1, INDEX(--(MONTH(CHOOSE({1,2,3,4}, XT!U339,XT!Y339,XT!AC339,XT!AG339))=7), 0), 0)), "")</f>
        <v/>
      </c>
      <c r="AA339" s="12" t="str">
        <f>IF(XT!$P339&gt;0,Z339,"")</f>
        <v/>
      </c>
      <c r="AB339" s="12" t="str">
        <f>IF(XT!$P339=0,Z339,"")</f>
        <v/>
      </c>
      <c r="AC339">
        <f>SUMPRODUCT((MONTH(CHOOSE({1,2,3,4},XT!U339,XT!Y339,XT!AC339,XT!AG339))=8)*(CHOOSE({1,2,3,4},XT!X339,XT!AB339,XT!AF339,XT!AJ339)))</f>
        <v>0</v>
      </c>
      <c r="AD339" t="str">
        <f>IFERROR(INDEX(CHOOSE({1,2,3,4}, DAY(XT!U339), DAY(XT!Y339), DAY(XT!AC339), DAY(XT!AG339)), MATCH(1, INDEX(--(MONTH(CHOOSE({1,2,3,4}, XT!U339,XT!Y339,XT!AC339,XT!AG339))=8), 0), 0)), "")</f>
        <v/>
      </c>
      <c r="AE339" s="12" t="str">
        <f>IF(XT!$P339&gt;0,AD339,"")</f>
        <v/>
      </c>
      <c r="AF339" s="12" t="str">
        <f>IF(XT!$P339=0,AD339,"")</f>
        <v/>
      </c>
      <c r="AG339">
        <f>SUMPRODUCT((MONTH(CHOOSE({1,2,3,4},XT!U339,XT!Y339,XT!AC339,XT!AG339))=9)*(CHOOSE({1,2,3,4},XT!X339,XT!AB339,XT!AF339,XT!AJ339)))</f>
        <v>0</v>
      </c>
      <c r="AH339" t="str">
        <f>IFERROR(INDEX(CHOOSE({1,2,3,4}, DAY(XT!U339), DAY(XT!Y339), DAY(XT!AC339), DAY(XT!AG339)), MATCH(1, INDEX(--(MONTH(CHOOSE({1,2,3,4}, XT!U339,XT!Y339,XT!AC339,XT!AG339))=9), 0), 0)), "")</f>
        <v/>
      </c>
      <c r="AI339" s="12" t="str">
        <f>IF(XT!$P339&gt;0,AH339,"")</f>
        <v/>
      </c>
      <c r="AJ339" s="12" t="str">
        <f>IF(XT!$P339=0,AH339,"")</f>
        <v/>
      </c>
      <c r="AK339">
        <f>SUMPRODUCT((MONTH(CHOOSE({1,2,3,4},XT!U339,XT!Y339,XT!AC339,XT!AG339))=10)*(CHOOSE({1,2,3,4},XT!X339,XT!AB339,XT!AF339,XT!AJ339)))</f>
        <v>0</v>
      </c>
      <c r="AL339" t="str">
        <f>IFERROR(INDEX(CHOOSE({1,2,3,4}, DAY(XT!U339), DAY(XT!Y339), DAY(XT!AC339), DAY(XT!AG339)), MATCH(1, INDEX(--(MONTH(CHOOSE({1,2,3,4}, XT!U339,XT!Y339,XT!AC339,XT!AG339))=10), 0), 0)), "")</f>
        <v/>
      </c>
      <c r="AM339" s="12" t="str">
        <f>IF(XT!$P339&gt;0,AL339,"")</f>
        <v/>
      </c>
      <c r="AN339" s="12" t="str">
        <f>IF(XT!$P339=0,AL339,"")</f>
        <v/>
      </c>
      <c r="AO339">
        <f>SUMPRODUCT((MONTH(CHOOSE({1,2,3,4},XT!U339,XT!Y339,XT!AC339,XT!AG339))=11)*(CHOOSE({1,2,3,4},XT!X339,XT!AB339,XT!AF339,XT!AJ339)))</f>
        <v>0</v>
      </c>
      <c r="AP339" t="str">
        <f>IFERROR(INDEX(CHOOSE({1,2,3,4}, DAY(XT!U339), DAY(XT!Y339), DAY(XT!AC339), DAY(XT!AG339)), MATCH(1, INDEX(--(MONTH(CHOOSE({1,2,3,4}, XT!U339,XT!Y339,XT!AC339,XT!AG339))=11), 0), 0)), "")</f>
        <v/>
      </c>
      <c r="AQ339" s="12" t="str">
        <f>IF(XT!$P339&gt;0,AP339,"")</f>
        <v/>
      </c>
      <c r="AR339" s="12" t="str">
        <f>IF(XT!$P339=0,AP339,"")</f>
        <v/>
      </c>
      <c r="AS339">
        <f>SUMPRODUCT((MONTH(CHOOSE({1,2,3,4},XT!U339,XT!Y339,XT!AC339,XT!AG339))=12)*(CHOOSE({1,2,3,4},XT!X339,XT!AB339,XT!AF339,XT!AJ339)))</f>
        <v>0</v>
      </c>
      <c r="AT339" t="str">
        <f>IFERROR(INDEX(CHOOSE({1,2,3,4}, DAY(XT!U339), DAY(XT!Y339), DAY(XT!AC339), DAY(XT!AG339)), MATCH(1, INDEX(--(MONTH(CHOOSE({1,2,3,4}, XT!U339,XT!Y339,XT!AC339,XT!AG339))=12), 0), 0)), "")</f>
        <v/>
      </c>
      <c r="AU339" s="12" t="str">
        <f>IF(XT!$P339&gt;0,AT339,"")</f>
        <v/>
      </c>
      <c r="AV339" s="12" t="str">
        <f>IF(XT!$P339=0,AT339,"")</f>
        <v/>
      </c>
    </row>
    <row r="340" spans="1:48">
      <c r="A340">
        <f>SUMPRODUCT((MONTH(CHOOSE({1,2,3,4},XT!U340,XT!Y340,XT!AC340,XT!AG340))=1)*(CHOOSE({1,2,3,4},XT!X340,XT!AB340,XT!AF340,XT!AJ340)))</f>
        <v>0</v>
      </c>
      <c r="B340">
        <f>IFERROR(INDEX(CHOOSE({1,2,3,4}, DAY(XT!U340), DAY(XT!Y340), DAY(XT!AC340), DAY(XT!AG340)), MATCH(1, INDEX(--(MONTH(CHOOSE({1,2,3,4}, XT!U340,XT!Y340,XT!AC340,XT!AG340))=1), 0), 0)), "")</f>
        <v>0</v>
      </c>
      <c r="C340" s="12" t="str">
        <f>IF(XT!$P340&gt;0,B340,"")</f>
        <v/>
      </c>
      <c r="D340" s="12">
        <f>IF(XT!$P340=0,B340,"")</f>
        <v>0</v>
      </c>
      <c r="E340">
        <f>SUMPRODUCT((MONTH(CHOOSE({1,2,3,4},XT!U340,XT!Y340,XT!AC340,XT!AG340))=2)*(CHOOSE({1,2,3,4},XT!X340,XT!AB340,XT!AF340,XT!AJ340)))</f>
        <v>0</v>
      </c>
      <c r="F340" t="str">
        <f>IFERROR(INDEX(CHOOSE({1,2,3,4}, DAY(XT!U340), DAY(XT!Y340), DAY(XT!AC340), DAY(XT!AG340)), MATCH(1, INDEX(--(MONTH(CHOOSE({1,2,3,4}, XT!U340,XT!Y340,XT!AC340,XT!AG340))=2), 0), 0)), "")</f>
        <v/>
      </c>
      <c r="G340" s="12" t="str">
        <f>IF(XT!$P340&gt;0,F340,"")</f>
        <v/>
      </c>
      <c r="H340" s="12" t="str">
        <f>IF(XT!$P340=0,F340,"")</f>
        <v/>
      </c>
      <c r="I340">
        <f>SUMPRODUCT((MONTH(CHOOSE({1,2,3,4},XT!U340,XT!Y340,XT!AC340,XT!AG340))=3)*(CHOOSE({1,2,3,4},XT!X340,XT!AB340,XT!AF340,XT!AJ340)))</f>
        <v>0</v>
      </c>
      <c r="J340" t="str">
        <f>IFERROR(INDEX(CHOOSE({1,2,3,4}, DAY(XT!U340), DAY(XT!Y340), DAY(XT!AC340), DAY(XT!AG340)), MATCH(1, INDEX(--(MONTH(CHOOSE({1,2,3,4}, XT!U340,XT!Y340,XT!AC340,XT!AG340))=3), 0), 0)), "")</f>
        <v/>
      </c>
      <c r="K340" s="12" t="str">
        <f>IF(XT!$P340&gt;0,J340,"")</f>
        <v/>
      </c>
      <c r="L340" s="12" t="str">
        <f>IF(XT!$P340=0,J340,"")</f>
        <v/>
      </c>
      <c r="M340">
        <f>SUMPRODUCT((MONTH(CHOOSE({1,2,3,4},XT!U340,XT!Y340,XT!AC340,XT!AG340))=4)*(CHOOSE({1,2,3,4},XT!X340,XT!AB340,XT!AF340,XT!AJ340)))</f>
        <v>0</v>
      </c>
      <c r="N340" t="str">
        <f>IFERROR(INDEX(CHOOSE({1,2,3,4}, DAY(XT!U340), DAY(XT!Y340), DAY(XT!AC340), DAY(XT!AG340)), MATCH(1, INDEX(--(MONTH(CHOOSE({1,2,3,4}, XT!U340,XT!Y340,XT!AC340,XT!AG340))=4), 0), 0)), "")</f>
        <v/>
      </c>
      <c r="O340" s="12" t="str">
        <f>IF(XT!$P340&gt;0,N340,"")</f>
        <v/>
      </c>
      <c r="P340" s="12" t="str">
        <f>IF(XT!$P340=0,N340,"")</f>
        <v/>
      </c>
      <c r="Q340">
        <f>SUMPRODUCT((MONTH(CHOOSE({1,2,3,4},XT!U340,XT!Y340,XT!AC340,XT!AG340))=5)*(CHOOSE({1,2,3,4},XT!X340,XT!AB340,XT!AF340,XT!AJ340)))</f>
        <v>0</v>
      </c>
      <c r="R340" t="str">
        <f>IFERROR(INDEX(CHOOSE({1,2,3,4}, DAY(XT!U340), DAY(XT!Y340), DAY(XT!AC340), DAY(XT!AG340)), MATCH(1, INDEX(--(MONTH(CHOOSE({1,2,3,4}, XT!U340,XT!Y340,XT!AC340,XT!AG340))=5), 0), 0)), "")</f>
        <v/>
      </c>
      <c r="S340" s="12" t="str">
        <f>IF(XT!$P340&gt;0,R340,"")</f>
        <v/>
      </c>
      <c r="T340" s="12" t="str">
        <f>IF(XT!$P340=0,R340,"")</f>
        <v/>
      </c>
      <c r="U340">
        <f>SUMPRODUCT((MONTH(CHOOSE({1,2,3,4},XT!U340,XT!Y340,XT!AC340,XT!AG340))=6)*(CHOOSE({1,2,3,4},XT!X340,XT!AB340,XT!AF340,XT!AJ340)))</f>
        <v>0</v>
      </c>
      <c r="V340" t="str">
        <f>IFERROR(INDEX(CHOOSE({1,2,3,4}, DAY(XT!U340), DAY(XT!Y340), DAY(XT!AC340), DAY(XT!AG340)), MATCH(1, INDEX(--(MONTH(CHOOSE({1,2,3,4}, XT!U340,XT!Y340,XT!AC340,XT!AG340))=6), 0), 0)), "")</f>
        <v/>
      </c>
      <c r="W340" s="12" t="str">
        <f>IF(XT!$P340&gt;0,V340,"")</f>
        <v/>
      </c>
      <c r="X340" s="12" t="str">
        <f>IF(XT!$P340=0,V340,"")</f>
        <v/>
      </c>
      <c r="Y340">
        <f>SUMPRODUCT((MONTH(CHOOSE({1,2,3,4},XT!U340,XT!Y340,XT!AC340,XT!AG340))=7)*(CHOOSE({1,2,3,4},XT!X340,XT!AB340,XT!AF340,XT!AJ340)))</f>
        <v>0</v>
      </c>
      <c r="Z340" t="str">
        <f>IFERROR(INDEX(CHOOSE({1,2,3,4}, DAY(XT!U340), DAY(XT!Y340), DAY(XT!AC340), DAY(XT!AG340)), MATCH(1, INDEX(--(MONTH(CHOOSE({1,2,3,4}, XT!U340,XT!Y340,XT!AC340,XT!AG340))=7), 0), 0)), "")</f>
        <v/>
      </c>
      <c r="AA340" s="12" t="str">
        <f>IF(XT!$P340&gt;0,Z340,"")</f>
        <v/>
      </c>
      <c r="AB340" s="12" t="str">
        <f>IF(XT!$P340=0,Z340,"")</f>
        <v/>
      </c>
      <c r="AC340">
        <f>SUMPRODUCT((MONTH(CHOOSE({1,2,3,4},XT!U340,XT!Y340,XT!AC340,XT!AG340))=8)*(CHOOSE({1,2,3,4},XT!X340,XT!AB340,XT!AF340,XT!AJ340)))</f>
        <v>0</v>
      </c>
      <c r="AD340" t="str">
        <f>IFERROR(INDEX(CHOOSE({1,2,3,4}, DAY(XT!U340), DAY(XT!Y340), DAY(XT!AC340), DAY(XT!AG340)), MATCH(1, INDEX(--(MONTH(CHOOSE({1,2,3,4}, XT!U340,XT!Y340,XT!AC340,XT!AG340))=8), 0), 0)), "")</f>
        <v/>
      </c>
      <c r="AE340" s="12" t="str">
        <f>IF(XT!$P340&gt;0,AD340,"")</f>
        <v/>
      </c>
      <c r="AF340" s="12" t="str">
        <f>IF(XT!$P340=0,AD340,"")</f>
        <v/>
      </c>
      <c r="AG340">
        <f>SUMPRODUCT((MONTH(CHOOSE({1,2,3,4},XT!U340,XT!Y340,XT!AC340,XT!AG340))=9)*(CHOOSE({1,2,3,4},XT!X340,XT!AB340,XT!AF340,XT!AJ340)))</f>
        <v>0</v>
      </c>
      <c r="AH340" t="str">
        <f>IFERROR(INDEX(CHOOSE({1,2,3,4}, DAY(XT!U340), DAY(XT!Y340), DAY(XT!AC340), DAY(XT!AG340)), MATCH(1, INDEX(--(MONTH(CHOOSE({1,2,3,4}, XT!U340,XT!Y340,XT!AC340,XT!AG340))=9), 0), 0)), "")</f>
        <v/>
      </c>
      <c r="AI340" s="12" t="str">
        <f>IF(XT!$P340&gt;0,AH340,"")</f>
        <v/>
      </c>
      <c r="AJ340" s="12" t="str">
        <f>IF(XT!$P340=0,AH340,"")</f>
        <v/>
      </c>
      <c r="AK340">
        <f>SUMPRODUCT((MONTH(CHOOSE({1,2,3,4},XT!U340,XT!Y340,XT!AC340,XT!AG340))=10)*(CHOOSE({1,2,3,4},XT!X340,XT!AB340,XT!AF340,XT!AJ340)))</f>
        <v>0</v>
      </c>
      <c r="AL340" t="str">
        <f>IFERROR(INDEX(CHOOSE({1,2,3,4}, DAY(XT!U340), DAY(XT!Y340), DAY(XT!AC340), DAY(XT!AG340)), MATCH(1, INDEX(--(MONTH(CHOOSE({1,2,3,4}, XT!U340,XT!Y340,XT!AC340,XT!AG340))=10), 0), 0)), "")</f>
        <v/>
      </c>
      <c r="AM340" s="12" t="str">
        <f>IF(XT!$P340&gt;0,AL340,"")</f>
        <v/>
      </c>
      <c r="AN340" s="12" t="str">
        <f>IF(XT!$P340=0,AL340,"")</f>
        <v/>
      </c>
      <c r="AO340">
        <f>SUMPRODUCT((MONTH(CHOOSE({1,2,3,4},XT!U340,XT!Y340,XT!AC340,XT!AG340))=11)*(CHOOSE({1,2,3,4},XT!X340,XT!AB340,XT!AF340,XT!AJ340)))</f>
        <v>0</v>
      </c>
      <c r="AP340" t="str">
        <f>IFERROR(INDEX(CHOOSE({1,2,3,4}, DAY(XT!U340), DAY(XT!Y340), DAY(XT!AC340), DAY(XT!AG340)), MATCH(1, INDEX(--(MONTH(CHOOSE({1,2,3,4}, XT!U340,XT!Y340,XT!AC340,XT!AG340))=11), 0), 0)), "")</f>
        <v/>
      </c>
      <c r="AQ340" s="12" t="str">
        <f>IF(XT!$P340&gt;0,AP340,"")</f>
        <v/>
      </c>
      <c r="AR340" s="12" t="str">
        <f>IF(XT!$P340=0,AP340,"")</f>
        <v/>
      </c>
      <c r="AS340">
        <f>SUMPRODUCT((MONTH(CHOOSE({1,2,3,4},XT!U340,XT!Y340,XT!AC340,XT!AG340))=12)*(CHOOSE({1,2,3,4},XT!X340,XT!AB340,XT!AF340,XT!AJ340)))</f>
        <v>0</v>
      </c>
      <c r="AT340" t="str">
        <f>IFERROR(INDEX(CHOOSE({1,2,3,4}, DAY(XT!U340), DAY(XT!Y340), DAY(XT!AC340), DAY(XT!AG340)), MATCH(1, INDEX(--(MONTH(CHOOSE({1,2,3,4}, XT!U340,XT!Y340,XT!AC340,XT!AG340))=12), 0), 0)), "")</f>
        <v/>
      </c>
      <c r="AU340" s="12" t="str">
        <f>IF(XT!$P340&gt;0,AT340,"")</f>
        <v/>
      </c>
      <c r="AV340" s="12" t="str">
        <f>IF(XT!$P340=0,AT340,"")</f>
        <v/>
      </c>
    </row>
    <row r="341" spans="1:48">
      <c r="A341">
        <f>SUMPRODUCT((MONTH(CHOOSE({1,2,3,4},XT!U341,XT!Y341,XT!AC341,XT!AG341))=1)*(CHOOSE({1,2,3,4},XT!X341,XT!AB341,XT!AF341,XT!AJ341)))</f>
        <v>0</v>
      </c>
      <c r="B341">
        <f>IFERROR(INDEX(CHOOSE({1,2,3,4}, DAY(XT!U341), DAY(XT!Y341), DAY(XT!AC341), DAY(XT!AG341)), MATCH(1, INDEX(--(MONTH(CHOOSE({1,2,3,4}, XT!U341,XT!Y341,XT!AC341,XT!AG341))=1), 0), 0)), "")</f>
        <v>0</v>
      </c>
      <c r="C341" s="12" t="str">
        <f>IF(XT!$P341&gt;0,B341,"")</f>
        <v/>
      </c>
      <c r="D341" s="12">
        <f>IF(XT!$P341=0,B341,"")</f>
        <v>0</v>
      </c>
      <c r="E341">
        <f>SUMPRODUCT((MONTH(CHOOSE({1,2,3,4},XT!U341,XT!Y341,XT!AC341,XT!AG341))=2)*(CHOOSE({1,2,3,4},XT!X341,XT!AB341,XT!AF341,XT!AJ341)))</f>
        <v>0</v>
      </c>
      <c r="F341" t="str">
        <f>IFERROR(INDEX(CHOOSE({1,2,3,4}, DAY(XT!U341), DAY(XT!Y341), DAY(XT!AC341), DAY(XT!AG341)), MATCH(1, INDEX(--(MONTH(CHOOSE({1,2,3,4}, XT!U341,XT!Y341,XT!AC341,XT!AG341))=2), 0), 0)), "")</f>
        <v/>
      </c>
      <c r="G341" s="12" t="str">
        <f>IF(XT!$P341&gt;0,F341,"")</f>
        <v/>
      </c>
      <c r="H341" s="12" t="str">
        <f>IF(XT!$P341=0,F341,"")</f>
        <v/>
      </c>
      <c r="I341">
        <f>SUMPRODUCT((MONTH(CHOOSE({1,2,3,4},XT!U341,XT!Y341,XT!AC341,XT!AG341))=3)*(CHOOSE({1,2,3,4},XT!X341,XT!AB341,XT!AF341,XT!AJ341)))</f>
        <v>0</v>
      </c>
      <c r="J341" t="str">
        <f>IFERROR(INDEX(CHOOSE({1,2,3,4}, DAY(XT!U341), DAY(XT!Y341), DAY(XT!AC341), DAY(XT!AG341)), MATCH(1, INDEX(--(MONTH(CHOOSE({1,2,3,4}, XT!U341,XT!Y341,XT!AC341,XT!AG341))=3), 0), 0)), "")</f>
        <v/>
      </c>
      <c r="K341" s="12" t="str">
        <f>IF(XT!$P341&gt;0,J341,"")</f>
        <v/>
      </c>
      <c r="L341" s="12" t="str">
        <f>IF(XT!$P341=0,J341,"")</f>
        <v/>
      </c>
      <c r="M341">
        <f>SUMPRODUCT((MONTH(CHOOSE({1,2,3,4},XT!U341,XT!Y341,XT!AC341,XT!AG341))=4)*(CHOOSE({1,2,3,4},XT!X341,XT!AB341,XT!AF341,XT!AJ341)))</f>
        <v>0</v>
      </c>
      <c r="N341" t="str">
        <f>IFERROR(INDEX(CHOOSE({1,2,3,4}, DAY(XT!U341), DAY(XT!Y341), DAY(XT!AC341), DAY(XT!AG341)), MATCH(1, INDEX(--(MONTH(CHOOSE({1,2,3,4}, XT!U341,XT!Y341,XT!AC341,XT!AG341))=4), 0), 0)), "")</f>
        <v/>
      </c>
      <c r="O341" s="12" t="str">
        <f>IF(XT!$P341&gt;0,N341,"")</f>
        <v/>
      </c>
      <c r="P341" s="12" t="str">
        <f>IF(XT!$P341=0,N341,"")</f>
        <v/>
      </c>
      <c r="Q341">
        <f>SUMPRODUCT((MONTH(CHOOSE({1,2,3,4},XT!U341,XT!Y341,XT!AC341,XT!AG341))=5)*(CHOOSE({1,2,3,4},XT!X341,XT!AB341,XT!AF341,XT!AJ341)))</f>
        <v>0</v>
      </c>
      <c r="R341" t="str">
        <f>IFERROR(INDEX(CHOOSE({1,2,3,4}, DAY(XT!U341), DAY(XT!Y341), DAY(XT!AC341), DAY(XT!AG341)), MATCH(1, INDEX(--(MONTH(CHOOSE({1,2,3,4}, XT!U341,XT!Y341,XT!AC341,XT!AG341))=5), 0), 0)), "")</f>
        <v/>
      </c>
      <c r="S341" s="12" t="str">
        <f>IF(XT!$P341&gt;0,R341,"")</f>
        <v/>
      </c>
      <c r="T341" s="12" t="str">
        <f>IF(XT!$P341=0,R341,"")</f>
        <v/>
      </c>
      <c r="U341">
        <f>SUMPRODUCT((MONTH(CHOOSE({1,2,3,4},XT!U341,XT!Y341,XT!AC341,XT!AG341))=6)*(CHOOSE({1,2,3,4},XT!X341,XT!AB341,XT!AF341,XT!AJ341)))</f>
        <v>0</v>
      </c>
      <c r="V341" t="str">
        <f>IFERROR(INDEX(CHOOSE({1,2,3,4}, DAY(XT!U341), DAY(XT!Y341), DAY(XT!AC341), DAY(XT!AG341)), MATCH(1, INDEX(--(MONTH(CHOOSE({1,2,3,4}, XT!U341,XT!Y341,XT!AC341,XT!AG341))=6), 0), 0)), "")</f>
        <v/>
      </c>
      <c r="W341" s="12" t="str">
        <f>IF(XT!$P341&gt;0,V341,"")</f>
        <v/>
      </c>
      <c r="X341" s="12" t="str">
        <f>IF(XT!$P341=0,V341,"")</f>
        <v/>
      </c>
      <c r="Y341">
        <f>SUMPRODUCT((MONTH(CHOOSE({1,2,3,4},XT!U341,XT!Y341,XT!AC341,XT!AG341))=7)*(CHOOSE({1,2,3,4},XT!X341,XT!AB341,XT!AF341,XT!AJ341)))</f>
        <v>0</v>
      </c>
      <c r="Z341" t="str">
        <f>IFERROR(INDEX(CHOOSE({1,2,3,4}, DAY(XT!U341), DAY(XT!Y341), DAY(XT!AC341), DAY(XT!AG341)), MATCH(1, INDEX(--(MONTH(CHOOSE({1,2,3,4}, XT!U341,XT!Y341,XT!AC341,XT!AG341))=7), 0), 0)), "")</f>
        <v/>
      </c>
      <c r="AA341" s="12" t="str">
        <f>IF(XT!$P341&gt;0,Z341,"")</f>
        <v/>
      </c>
      <c r="AB341" s="12" t="str">
        <f>IF(XT!$P341=0,Z341,"")</f>
        <v/>
      </c>
      <c r="AC341">
        <f>SUMPRODUCT((MONTH(CHOOSE({1,2,3,4},XT!U341,XT!Y341,XT!AC341,XT!AG341))=8)*(CHOOSE({1,2,3,4},XT!X341,XT!AB341,XT!AF341,XT!AJ341)))</f>
        <v>0</v>
      </c>
      <c r="AD341" t="str">
        <f>IFERROR(INDEX(CHOOSE({1,2,3,4}, DAY(XT!U341), DAY(XT!Y341), DAY(XT!AC341), DAY(XT!AG341)), MATCH(1, INDEX(--(MONTH(CHOOSE({1,2,3,4}, XT!U341,XT!Y341,XT!AC341,XT!AG341))=8), 0), 0)), "")</f>
        <v/>
      </c>
      <c r="AE341" s="12" t="str">
        <f>IF(XT!$P341&gt;0,AD341,"")</f>
        <v/>
      </c>
      <c r="AF341" s="12" t="str">
        <f>IF(XT!$P341=0,AD341,"")</f>
        <v/>
      </c>
      <c r="AG341">
        <f>SUMPRODUCT((MONTH(CHOOSE({1,2,3,4},XT!U341,XT!Y341,XT!AC341,XT!AG341))=9)*(CHOOSE({1,2,3,4},XT!X341,XT!AB341,XT!AF341,XT!AJ341)))</f>
        <v>0</v>
      </c>
      <c r="AH341" t="str">
        <f>IFERROR(INDEX(CHOOSE({1,2,3,4}, DAY(XT!U341), DAY(XT!Y341), DAY(XT!AC341), DAY(XT!AG341)), MATCH(1, INDEX(--(MONTH(CHOOSE({1,2,3,4}, XT!U341,XT!Y341,XT!AC341,XT!AG341))=9), 0), 0)), "")</f>
        <v/>
      </c>
      <c r="AI341" s="12" t="str">
        <f>IF(XT!$P341&gt;0,AH341,"")</f>
        <v/>
      </c>
      <c r="AJ341" s="12" t="str">
        <f>IF(XT!$P341=0,AH341,"")</f>
        <v/>
      </c>
      <c r="AK341">
        <f>SUMPRODUCT((MONTH(CHOOSE({1,2,3,4},XT!U341,XT!Y341,XT!AC341,XT!AG341))=10)*(CHOOSE({1,2,3,4},XT!X341,XT!AB341,XT!AF341,XT!AJ341)))</f>
        <v>0</v>
      </c>
      <c r="AL341" t="str">
        <f>IFERROR(INDEX(CHOOSE({1,2,3,4}, DAY(XT!U341), DAY(XT!Y341), DAY(XT!AC341), DAY(XT!AG341)), MATCH(1, INDEX(--(MONTH(CHOOSE({1,2,3,4}, XT!U341,XT!Y341,XT!AC341,XT!AG341))=10), 0), 0)), "")</f>
        <v/>
      </c>
      <c r="AM341" s="12" t="str">
        <f>IF(XT!$P341&gt;0,AL341,"")</f>
        <v/>
      </c>
      <c r="AN341" s="12" t="str">
        <f>IF(XT!$P341=0,AL341,"")</f>
        <v/>
      </c>
      <c r="AO341">
        <f>SUMPRODUCT((MONTH(CHOOSE({1,2,3,4},XT!U341,XT!Y341,XT!AC341,XT!AG341))=11)*(CHOOSE({1,2,3,4},XT!X341,XT!AB341,XT!AF341,XT!AJ341)))</f>
        <v>0</v>
      </c>
      <c r="AP341" t="str">
        <f>IFERROR(INDEX(CHOOSE({1,2,3,4}, DAY(XT!U341), DAY(XT!Y341), DAY(XT!AC341), DAY(XT!AG341)), MATCH(1, INDEX(--(MONTH(CHOOSE({1,2,3,4}, XT!U341,XT!Y341,XT!AC341,XT!AG341))=11), 0), 0)), "")</f>
        <v/>
      </c>
      <c r="AQ341" s="12" t="str">
        <f>IF(XT!$P341&gt;0,AP341,"")</f>
        <v/>
      </c>
      <c r="AR341" s="12" t="str">
        <f>IF(XT!$P341=0,AP341,"")</f>
        <v/>
      </c>
      <c r="AS341">
        <f>SUMPRODUCT((MONTH(CHOOSE({1,2,3,4},XT!U341,XT!Y341,XT!AC341,XT!AG341))=12)*(CHOOSE({1,2,3,4},XT!X341,XT!AB341,XT!AF341,XT!AJ341)))</f>
        <v>0</v>
      </c>
      <c r="AT341" t="str">
        <f>IFERROR(INDEX(CHOOSE({1,2,3,4}, DAY(XT!U341), DAY(XT!Y341), DAY(XT!AC341), DAY(XT!AG341)), MATCH(1, INDEX(--(MONTH(CHOOSE({1,2,3,4}, XT!U341,XT!Y341,XT!AC341,XT!AG341))=12), 0), 0)), "")</f>
        <v/>
      </c>
      <c r="AU341" s="12" t="str">
        <f>IF(XT!$P341&gt;0,AT341,"")</f>
        <v/>
      </c>
      <c r="AV341" s="12" t="str">
        <f>IF(XT!$P341=0,AT341,"")</f>
        <v/>
      </c>
    </row>
    <row r="342" spans="1:48">
      <c r="A342">
        <f>SUMPRODUCT((MONTH(CHOOSE({1,2,3,4},XT!U342,XT!Y342,XT!AC342,XT!AG342))=1)*(CHOOSE({1,2,3,4},XT!X342,XT!AB342,XT!AF342,XT!AJ342)))</f>
        <v>0</v>
      </c>
      <c r="B342">
        <f>IFERROR(INDEX(CHOOSE({1,2,3,4}, DAY(XT!U342), DAY(XT!Y342), DAY(XT!AC342), DAY(XT!AG342)), MATCH(1, INDEX(--(MONTH(CHOOSE({1,2,3,4}, XT!U342,XT!Y342,XT!AC342,XT!AG342))=1), 0), 0)), "")</f>
        <v>0</v>
      </c>
      <c r="C342" s="12" t="str">
        <f>IF(XT!$P342&gt;0,B342,"")</f>
        <v/>
      </c>
      <c r="D342" s="12">
        <f>IF(XT!$P342=0,B342,"")</f>
        <v>0</v>
      </c>
      <c r="E342">
        <f>SUMPRODUCT((MONTH(CHOOSE({1,2,3,4},XT!U342,XT!Y342,XT!AC342,XT!AG342))=2)*(CHOOSE({1,2,3,4},XT!X342,XT!AB342,XT!AF342,XT!AJ342)))</f>
        <v>0</v>
      </c>
      <c r="F342" t="str">
        <f>IFERROR(INDEX(CHOOSE({1,2,3,4}, DAY(XT!U342), DAY(XT!Y342), DAY(XT!AC342), DAY(XT!AG342)), MATCH(1, INDEX(--(MONTH(CHOOSE({1,2,3,4}, XT!U342,XT!Y342,XT!AC342,XT!AG342))=2), 0), 0)), "")</f>
        <v/>
      </c>
      <c r="G342" s="12" t="str">
        <f>IF(XT!$P342&gt;0,F342,"")</f>
        <v/>
      </c>
      <c r="H342" s="12" t="str">
        <f>IF(XT!$P342=0,F342,"")</f>
        <v/>
      </c>
      <c r="I342">
        <f>SUMPRODUCT((MONTH(CHOOSE({1,2,3,4},XT!U342,XT!Y342,XT!AC342,XT!AG342))=3)*(CHOOSE({1,2,3,4},XT!X342,XT!AB342,XT!AF342,XT!AJ342)))</f>
        <v>0</v>
      </c>
      <c r="J342" t="str">
        <f>IFERROR(INDEX(CHOOSE({1,2,3,4}, DAY(XT!U342), DAY(XT!Y342), DAY(XT!AC342), DAY(XT!AG342)), MATCH(1, INDEX(--(MONTH(CHOOSE({1,2,3,4}, XT!U342,XT!Y342,XT!AC342,XT!AG342))=3), 0), 0)), "")</f>
        <v/>
      </c>
      <c r="K342" s="12" t="str">
        <f>IF(XT!$P342&gt;0,J342,"")</f>
        <v/>
      </c>
      <c r="L342" s="12" t="str">
        <f>IF(XT!$P342=0,J342,"")</f>
        <v/>
      </c>
      <c r="M342">
        <f>SUMPRODUCT((MONTH(CHOOSE({1,2,3,4},XT!U342,XT!Y342,XT!AC342,XT!AG342))=4)*(CHOOSE({1,2,3,4},XT!X342,XT!AB342,XT!AF342,XT!AJ342)))</f>
        <v>0</v>
      </c>
      <c r="N342" t="str">
        <f>IFERROR(INDEX(CHOOSE({1,2,3,4}, DAY(XT!U342), DAY(XT!Y342), DAY(XT!AC342), DAY(XT!AG342)), MATCH(1, INDEX(--(MONTH(CHOOSE({1,2,3,4}, XT!U342,XT!Y342,XT!AC342,XT!AG342))=4), 0), 0)), "")</f>
        <v/>
      </c>
      <c r="O342" s="12" t="str">
        <f>IF(XT!$P342&gt;0,N342,"")</f>
        <v/>
      </c>
      <c r="P342" s="12" t="str">
        <f>IF(XT!$P342=0,N342,"")</f>
        <v/>
      </c>
      <c r="Q342">
        <f>SUMPRODUCT((MONTH(CHOOSE({1,2,3,4},XT!U342,XT!Y342,XT!AC342,XT!AG342))=5)*(CHOOSE({1,2,3,4},XT!X342,XT!AB342,XT!AF342,XT!AJ342)))</f>
        <v>0</v>
      </c>
      <c r="R342" t="str">
        <f>IFERROR(INDEX(CHOOSE({1,2,3,4}, DAY(XT!U342), DAY(XT!Y342), DAY(XT!AC342), DAY(XT!AG342)), MATCH(1, INDEX(--(MONTH(CHOOSE({1,2,3,4}, XT!U342,XT!Y342,XT!AC342,XT!AG342))=5), 0), 0)), "")</f>
        <v/>
      </c>
      <c r="S342" s="12" t="str">
        <f>IF(XT!$P342&gt;0,R342,"")</f>
        <v/>
      </c>
      <c r="T342" s="12" t="str">
        <f>IF(XT!$P342=0,R342,"")</f>
        <v/>
      </c>
      <c r="U342">
        <f>SUMPRODUCT((MONTH(CHOOSE({1,2,3,4},XT!U342,XT!Y342,XT!AC342,XT!AG342))=6)*(CHOOSE({1,2,3,4},XT!X342,XT!AB342,XT!AF342,XT!AJ342)))</f>
        <v>0</v>
      </c>
      <c r="V342" t="str">
        <f>IFERROR(INDEX(CHOOSE({1,2,3,4}, DAY(XT!U342), DAY(XT!Y342), DAY(XT!AC342), DAY(XT!AG342)), MATCH(1, INDEX(--(MONTH(CHOOSE({1,2,3,4}, XT!U342,XT!Y342,XT!AC342,XT!AG342))=6), 0), 0)), "")</f>
        <v/>
      </c>
      <c r="W342" s="12" t="str">
        <f>IF(XT!$P342&gt;0,V342,"")</f>
        <v/>
      </c>
      <c r="X342" s="12" t="str">
        <f>IF(XT!$P342=0,V342,"")</f>
        <v/>
      </c>
      <c r="Y342">
        <f>SUMPRODUCT((MONTH(CHOOSE({1,2,3,4},XT!U342,XT!Y342,XT!AC342,XT!AG342))=7)*(CHOOSE({1,2,3,4},XT!X342,XT!AB342,XT!AF342,XT!AJ342)))</f>
        <v>0</v>
      </c>
      <c r="Z342" t="str">
        <f>IFERROR(INDEX(CHOOSE({1,2,3,4}, DAY(XT!U342), DAY(XT!Y342), DAY(XT!AC342), DAY(XT!AG342)), MATCH(1, INDEX(--(MONTH(CHOOSE({1,2,3,4}, XT!U342,XT!Y342,XT!AC342,XT!AG342))=7), 0), 0)), "")</f>
        <v/>
      </c>
      <c r="AA342" s="12" t="str">
        <f>IF(XT!$P342&gt;0,Z342,"")</f>
        <v/>
      </c>
      <c r="AB342" s="12" t="str">
        <f>IF(XT!$P342=0,Z342,"")</f>
        <v/>
      </c>
      <c r="AC342">
        <f>SUMPRODUCT((MONTH(CHOOSE({1,2,3,4},XT!U342,XT!Y342,XT!AC342,XT!AG342))=8)*(CHOOSE({1,2,3,4},XT!X342,XT!AB342,XT!AF342,XT!AJ342)))</f>
        <v>0</v>
      </c>
      <c r="AD342" t="str">
        <f>IFERROR(INDEX(CHOOSE({1,2,3,4}, DAY(XT!U342), DAY(XT!Y342), DAY(XT!AC342), DAY(XT!AG342)), MATCH(1, INDEX(--(MONTH(CHOOSE({1,2,3,4}, XT!U342,XT!Y342,XT!AC342,XT!AG342))=8), 0), 0)), "")</f>
        <v/>
      </c>
      <c r="AE342" s="12" t="str">
        <f>IF(XT!$P342&gt;0,AD342,"")</f>
        <v/>
      </c>
      <c r="AF342" s="12" t="str">
        <f>IF(XT!$P342=0,AD342,"")</f>
        <v/>
      </c>
      <c r="AG342">
        <f>SUMPRODUCT((MONTH(CHOOSE({1,2,3,4},XT!U342,XT!Y342,XT!AC342,XT!AG342))=9)*(CHOOSE({1,2,3,4},XT!X342,XT!AB342,XT!AF342,XT!AJ342)))</f>
        <v>0</v>
      </c>
      <c r="AH342" t="str">
        <f>IFERROR(INDEX(CHOOSE({1,2,3,4}, DAY(XT!U342), DAY(XT!Y342), DAY(XT!AC342), DAY(XT!AG342)), MATCH(1, INDEX(--(MONTH(CHOOSE({1,2,3,4}, XT!U342,XT!Y342,XT!AC342,XT!AG342))=9), 0), 0)), "")</f>
        <v/>
      </c>
      <c r="AI342" s="12" t="str">
        <f>IF(XT!$P342&gt;0,AH342,"")</f>
        <v/>
      </c>
      <c r="AJ342" s="12" t="str">
        <f>IF(XT!$P342=0,AH342,"")</f>
        <v/>
      </c>
      <c r="AK342">
        <f>SUMPRODUCT((MONTH(CHOOSE({1,2,3,4},XT!U342,XT!Y342,XT!AC342,XT!AG342))=10)*(CHOOSE({1,2,3,4},XT!X342,XT!AB342,XT!AF342,XT!AJ342)))</f>
        <v>0</v>
      </c>
      <c r="AL342" t="str">
        <f>IFERROR(INDEX(CHOOSE({1,2,3,4}, DAY(XT!U342), DAY(XT!Y342), DAY(XT!AC342), DAY(XT!AG342)), MATCH(1, INDEX(--(MONTH(CHOOSE({1,2,3,4}, XT!U342,XT!Y342,XT!AC342,XT!AG342))=10), 0), 0)), "")</f>
        <v/>
      </c>
      <c r="AM342" s="12" t="str">
        <f>IF(XT!$P342&gt;0,AL342,"")</f>
        <v/>
      </c>
      <c r="AN342" s="12" t="str">
        <f>IF(XT!$P342=0,AL342,"")</f>
        <v/>
      </c>
      <c r="AO342">
        <f>SUMPRODUCT((MONTH(CHOOSE({1,2,3,4},XT!U342,XT!Y342,XT!AC342,XT!AG342))=11)*(CHOOSE({1,2,3,4},XT!X342,XT!AB342,XT!AF342,XT!AJ342)))</f>
        <v>0</v>
      </c>
      <c r="AP342" t="str">
        <f>IFERROR(INDEX(CHOOSE({1,2,3,4}, DAY(XT!U342), DAY(XT!Y342), DAY(XT!AC342), DAY(XT!AG342)), MATCH(1, INDEX(--(MONTH(CHOOSE({1,2,3,4}, XT!U342,XT!Y342,XT!AC342,XT!AG342))=11), 0), 0)), "")</f>
        <v/>
      </c>
      <c r="AQ342" s="12" t="str">
        <f>IF(XT!$P342&gt;0,AP342,"")</f>
        <v/>
      </c>
      <c r="AR342" s="12" t="str">
        <f>IF(XT!$P342=0,AP342,"")</f>
        <v/>
      </c>
      <c r="AS342">
        <f>SUMPRODUCT((MONTH(CHOOSE({1,2,3,4},XT!U342,XT!Y342,XT!AC342,XT!AG342))=12)*(CHOOSE({1,2,3,4},XT!X342,XT!AB342,XT!AF342,XT!AJ342)))</f>
        <v>0</v>
      </c>
      <c r="AT342" t="str">
        <f>IFERROR(INDEX(CHOOSE({1,2,3,4}, DAY(XT!U342), DAY(XT!Y342), DAY(XT!AC342), DAY(XT!AG342)), MATCH(1, INDEX(--(MONTH(CHOOSE({1,2,3,4}, XT!U342,XT!Y342,XT!AC342,XT!AG342))=12), 0), 0)), "")</f>
        <v/>
      </c>
      <c r="AU342" s="12" t="str">
        <f>IF(XT!$P342&gt;0,AT342,"")</f>
        <v/>
      </c>
      <c r="AV342" s="12" t="str">
        <f>IF(XT!$P342=0,AT342,"")</f>
        <v/>
      </c>
    </row>
    <row r="343" spans="1:48">
      <c r="A343">
        <f>SUMPRODUCT((MONTH(CHOOSE({1,2,3,4},XT!U343,XT!Y343,XT!AC343,XT!AG343))=1)*(CHOOSE({1,2,3,4},XT!X343,XT!AB343,XT!AF343,XT!AJ343)))</f>
        <v>0</v>
      </c>
      <c r="B343">
        <f>IFERROR(INDEX(CHOOSE({1,2,3,4}, DAY(XT!U343), DAY(XT!Y343), DAY(XT!AC343), DAY(XT!AG343)), MATCH(1, INDEX(--(MONTH(CHOOSE({1,2,3,4}, XT!U343,XT!Y343,XT!AC343,XT!AG343))=1), 0), 0)), "")</f>
        <v>0</v>
      </c>
      <c r="C343" s="12" t="str">
        <f>IF(XT!$P343&gt;0,B343,"")</f>
        <v/>
      </c>
      <c r="D343" s="12">
        <f>IF(XT!$P343=0,B343,"")</f>
        <v>0</v>
      </c>
      <c r="E343">
        <f>SUMPRODUCT((MONTH(CHOOSE({1,2,3,4},XT!U343,XT!Y343,XT!AC343,XT!AG343))=2)*(CHOOSE({1,2,3,4},XT!X343,XT!AB343,XT!AF343,XT!AJ343)))</f>
        <v>0</v>
      </c>
      <c r="F343" t="str">
        <f>IFERROR(INDEX(CHOOSE({1,2,3,4}, DAY(XT!U343), DAY(XT!Y343), DAY(XT!AC343), DAY(XT!AG343)), MATCH(1, INDEX(--(MONTH(CHOOSE({1,2,3,4}, XT!U343,XT!Y343,XT!AC343,XT!AG343))=2), 0), 0)), "")</f>
        <v/>
      </c>
      <c r="G343" s="12" t="str">
        <f>IF(XT!$P343&gt;0,F343,"")</f>
        <v/>
      </c>
      <c r="H343" s="12" t="str">
        <f>IF(XT!$P343=0,F343,"")</f>
        <v/>
      </c>
      <c r="I343">
        <f>SUMPRODUCT((MONTH(CHOOSE({1,2,3,4},XT!U343,XT!Y343,XT!AC343,XT!AG343))=3)*(CHOOSE({1,2,3,4},XT!X343,XT!AB343,XT!AF343,XT!AJ343)))</f>
        <v>0</v>
      </c>
      <c r="J343" t="str">
        <f>IFERROR(INDEX(CHOOSE({1,2,3,4}, DAY(XT!U343), DAY(XT!Y343), DAY(XT!AC343), DAY(XT!AG343)), MATCH(1, INDEX(--(MONTH(CHOOSE({1,2,3,4}, XT!U343,XT!Y343,XT!AC343,XT!AG343))=3), 0), 0)), "")</f>
        <v/>
      </c>
      <c r="K343" s="12" t="str">
        <f>IF(XT!$P343&gt;0,J343,"")</f>
        <v/>
      </c>
      <c r="L343" s="12" t="str">
        <f>IF(XT!$P343=0,J343,"")</f>
        <v/>
      </c>
      <c r="M343">
        <f>SUMPRODUCT((MONTH(CHOOSE({1,2,3,4},XT!U343,XT!Y343,XT!AC343,XT!AG343))=4)*(CHOOSE({1,2,3,4},XT!X343,XT!AB343,XT!AF343,XT!AJ343)))</f>
        <v>0</v>
      </c>
      <c r="N343" t="str">
        <f>IFERROR(INDEX(CHOOSE({1,2,3,4}, DAY(XT!U343), DAY(XT!Y343), DAY(XT!AC343), DAY(XT!AG343)), MATCH(1, INDEX(--(MONTH(CHOOSE({1,2,3,4}, XT!U343,XT!Y343,XT!AC343,XT!AG343))=4), 0), 0)), "")</f>
        <v/>
      </c>
      <c r="O343" s="12" t="str">
        <f>IF(XT!$P343&gt;0,N343,"")</f>
        <v/>
      </c>
      <c r="P343" s="12" t="str">
        <f>IF(XT!$P343=0,N343,"")</f>
        <v/>
      </c>
      <c r="Q343">
        <f>SUMPRODUCT((MONTH(CHOOSE({1,2,3,4},XT!U343,XT!Y343,XT!AC343,XT!AG343))=5)*(CHOOSE({1,2,3,4},XT!X343,XT!AB343,XT!AF343,XT!AJ343)))</f>
        <v>0</v>
      </c>
      <c r="R343" t="str">
        <f>IFERROR(INDEX(CHOOSE({1,2,3,4}, DAY(XT!U343), DAY(XT!Y343), DAY(XT!AC343), DAY(XT!AG343)), MATCH(1, INDEX(--(MONTH(CHOOSE({1,2,3,4}, XT!U343,XT!Y343,XT!AC343,XT!AG343))=5), 0), 0)), "")</f>
        <v/>
      </c>
      <c r="S343" s="12" t="str">
        <f>IF(XT!$P343&gt;0,R343,"")</f>
        <v/>
      </c>
      <c r="T343" s="12" t="str">
        <f>IF(XT!$P343=0,R343,"")</f>
        <v/>
      </c>
      <c r="U343">
        <f>SUMPRODUCT((MONTH(CHOOSE({1,2,3,4},XT!U343,XT!Y343,XT!AC343,XT!AG343))=6)*(CHOOSE({1,2,3,4},XT!X343,XT!AB343,XT!AF343,XT!AJ343)))</f>
        <v>0</v>
      </c>
      <c r="V343" t="str">
        <f>IFERROR(INDEX(CHOOSE({1,2,3,4}, DAY(XT!U343), DAY(XT!Y343), DAY(XT!AC343), DAY(XT!AG343)), MATCH(1, INDEX(--(MONTH(CHOOSE({1,2,3,4}, XT!U343,XT!Y343,XT!AC343,XT!AG343))=6), 0), 0)), "")</f>
        <v/>
      </c>
      <c r="W343" s="12" t="str">
        <f>IF(XT!$P343&gt;0,V343,"")</f>
        <v/>
      </c>
      <c r="X343" s="12" t="str">
        <f>IF(XT!$P343=0,V343,"")</f>
        <v/>
      </c>
      <c r="Y343">
        <f>SUMPRODUCT((MONTH(CHOOSE({1,2,3,4},XT!U343,XT!Y343,XT!AC343,XT!AG343))=7)*(CHOOSE({1,2,3,4},XT!X343,XT!AB343,XT!AF343,XT!AJ343)))</f>
        <v>0</v>
      </c>
      <c r="Z343" t="str">
        <f>IFERROR(INDEX(CHOOSE({1,2,3,4}, DAY(XT!U343), DAY(XT!Y343), DAY(XT!AC343), DAY(XT!AG343)), MATCH(1, INDEX(--(MONTH(CHOOSE({1,2,3,4}, XT!U343,XT!Y343,XT!AC343,XT!AG343))=7), 0), 0)), "")</f>
        <v/>
      </c>
      <c r="AA343" s="12" t="str">
        <f>IF(XT!$P343&gt;0,Z343,"")</f>
        <v/>
      </c>
      <c r="AB343" s="12" t="str">
        <f>IF(XT!$P343=0,Z343,"")</f>
        <v/>
      </c>
      <c r="AC343">
        <f>SUMPRODUCT((MONTH(CHOOSE({1,2,3,4},XT!U343,XT!Y343,XT!AC343,XT!AG343))=8)*(CHOOSE({1,2,3,4},XT!X343,XT!AB343,XT!AF343,XT!AJ343)))</f>
        <v>0</v>
      </c>
      <c r="AD343" t="str">
        <f>IFERROR(INDEX(CHOOSE({1,2,3,4}, DAY(XT!U343), DAY(XT!Y343), DAY(XT!AC343), DAY(XT!AG343)), MATCH(1, INDEX(--(MONTH(CHOOSE({1,2,3,4}, XT!U343,XT!Y343,XT!AC343,XT!AG343))=8), 0), 0)), "")</f>
        <v/>
      </c>
      <c r="AE343" s="12" t="str">
        <f>IF(XT!$P343&gt;0,AD343,"")</f>
        <v/>
      </c>
      <c r="AF343" s="12" t="str">
        <f>IF(XT!$P343=0,AD343,"")</f>
        <v/>
      </c>
      <c r="AG343">
        <f>SUMPRODUCT((MONTH(CHOOSE({1,2,3,4},XT!U343,XT!Y343,XT!AC343,XT!AG343))=9)*(CHOOSE({1,2,3,4},XT!X343,XT!AB343,XT!AF343,XT!AJ343)))</f>
        <v>0</v>
      </c>
      <c r="AH343" t="str">
        <f>IFERROR(INDEX(CHOOSE({1,2,3,4}, DAY(XT!U343), DAY(XT!Y343), DAY(XT!AC343), DAY(XT!AG343)), MATCH(1, INDEX(--(MONTH(CHOOSE({1,2,3,4}, XT!U343,XT!Y343,XT!AC343,XT!AG343))=9), 0), 0)), "")</f>
        <v/>
      </c>
      <c r="AI343" s="12" t="str">
        <f>IF(XT!$P343&gt;0,AH343,"")</f>
        <v/>
      </c>
      <c r="AJ343" s="12" t="str">
        <f>IF(XT!$P343=0,AH343,"")</f>
        <v/>
      </c>
      <c r="AK343">
        <f>SUMPRODUCT((MONTH(CHOOSE({1,2,3,4},XT!U343,XT!Y343,XT!AC343,XT!AG343))=10)*(CHOOSE({1,2,3,4},XT!X343,XT!AB343,XT!AF343,XT!AJ343)))</f>
        <v>0</v>
      </c>
      <c r="AL343" t="str">
        <f>IFERROR(INDEX(CHOOSE({1,2,3,4}, DAY(XT!U343), DAY(XT!Y343), DAY(XT!AC343), DAY(XT!AG343)), MATCH(1, INDEX(--(MONTH(CHOOSE({1,2,3,4}, XT!U343,XT!Y343,XT!AC343,XT!AG343))=10), 0), 0)), "")</f>
        <v/>
      </c>
      <c r="AM343" s="12" t="str">
        <f>IF(XT!$P343&gt;0,AL343,"")</f>
        <v/>
      </c>
      <c r="AN343" s="12" t="str">
        <f>IF(XT!$P343=0,AL343,"")</f>
        <v/>
      </c>
      <c r="AO343">
        <f>SUMPRODUCT((MONTH(CHOOSE({1,2,3,4},XT!U343,XT!Y343,XT!AC343,XT!AG343))=11)*(CHOOSE({1,2,3,4},XT!X343,XT!AB343,XT!AF343,XT!AJ343)))</f>
        <v>0</v>
      </c>
      <c r="AP343" t="str">
        <f>IFERROR(INDEX(CHOOSE({1,2,3,4}, DAY(XT!U343), DAY(XT!Y343), DAY(XT!AC343), DAY(XT!AG343)), MATCH(1, INDEX(--(MONTH(CHOOSE({1,2,3,4}, XT!U343,XT!Y343,XT!AC343,XT!AG343))=11), 0), 0)), "")</f>
        <v/>
      </c>
      <c r="AQ343" s="12" t="str">
        <f>IF(XT!$P343&gt;0,AP343,"")</f>
        <v/>
      </c>
      <c r="AR343" s="12" t="str">
        <f>IF(XT!$P343=0,AP343,"")</f>
        <v/>
      </c>
      <c r="AS343">
        <f>SUMPRODUCT((MONTH(CHOOSE({1,2,3,4},XT!U343,XT!Y343,XT!AC343,XT!AG343))=12)*(CHOOSE({1,2,3,4},XT!X343,XT!AB343,XT!AF343,XT!AJ343)))</f>
        <v>0</v>
      </c>
      <c r="AT343" t="str">
        <f>IFERROR(INDEX(CHOOSE({1,2,3,4}, DAY(XT!U343), DAY(XT!Y343), DAY(XT!AC343), DAY(XT!AG343)), MATCH(1, INDEX(--(MONTH(CHOOSE({1,2,3,4}, XT!U343,XT!Y343,XT!AC343,XT!AG343))=12), 0), 0)), "")</f>
        <v/>
      </c>
      <c r="AU343" s="12" t="str">
        <f>IF(XT!$P343&gt;0,AT343,"")</f>
        <v/>
      </c>
      <c r="AV343" s="12" t="str">
        <f>IF(XT!$P343=0,AT343,"")</f>
        <v/>
      </c>
    </row>
    <row r="344" spans="1:48">
      <c r="A344">
        <f>SUMPRODUCT((MONTH(CHOOSE({1,2,3,4},XT!U344,XT!Y344,XT!AC344,XT!AG344))=1)*(CHOOSE({1,2,3,4},XT!X344,XT!AB344,XT!AF344,XT!AJ344)))</f>
        <v>0</v>
      </c>
      <c r="B344">
        <f>IFERROR(INDEX(CHOOSE({1,2,3,4}, DAY(XT!U344), DAY(XT!Y344), DAY(XT!AC344), DAY(XT!AG344)), MATCH(1, INDEX(--(MONTH(CHOOSE({1,2,3,4}, XT!U344,XT!Y344,XT!AC344,XT!AG344))=1), 0), 0)), "")</f>
        <v>0</v>
      </c>
      <c r="C344" s="12" t="str">
        <f>IF(XT!$P344&gt;0,B344,"")</f>
        <v/>
      </c>
      <c r="D344" s="12">
        <f>IF(XT!$P344=0,B344,"")</f>
        <v>0</v>
      </c>
      <c r="E344">
        <f>SUMPRODUCT((MONTH(CHOOSE({1,2,3,4},XT!U344,XT!Y344,XT!AC344,XT!AG344))=2)*(CHOOSE({1,2,3,4},XT!X344,XT!AB344,XT!AF344,XT!AJ344)))</f>
        <v>0</v>
      </c>
      <c r="F344" t="str">
        <f>IFERROR(INDEX(CHOOSE({1,2,3,4}, DAY(XT!U344), DAY(XT!Y344), DAY(XT!AC344), DAY(XT!AG344)), MATCH(1, INDEX(--(MONTH(CHOOSE({1,2,3,4}, XT!U344,XT!Y344,XT!AC344,XT!AG344))=2), 0), 0)), "")</f>
        <v/>
      </c>
      <c r="G344" s="12" t="str">
        <f>IF(XT!$P344&gt;0,F344,"")</f>
        <v/>
      </c>
      <c r="H344" s="12" t="str">
        <f>IF(XT!$P344=0,F344,"")</f>
        <v/>
      </c>
      <c r="I344">
        <f>SUMPRODUCT((MONTH(CHOOSE({1,2,3,4},XT!U344,XT!Y344,XT!AC344,XT!AG344))=3)*(CHOOSE({1,2,3,4},XT!X344,XT!AB344,XT!AF344,XT!AJ344)))</f>
        <v>0</v>
      </c>
      <c r="J344" t="str">
        <f>IFERROR(INDEX(CHOOSE({1,2,3,4}, DAY(XT!U344), DAY(XT!Y344), DAY(XT!AC344), DAY(XT!AG344)), MATCH(1, INDEX(--(MONTH(CHOOSE({1,2,3,4}, XT!U344,XT!Y344,XT!AC344,XT!AG344))=3), 0), 0)), "")</f>
        <v/>
      </c>
      <c r="K344" s="12" t="str">
        <f>IF(XT!$P344&gt;0,J344,"")</f>
        <v/>
      </c>
      <c r="L344" s="12" t="str">
        <f>IF(XT!$P344=0,J344,"")</f>
        <v/>
      </c>
      <c r="M344">
        <f>SUMPRODUCT((MONTH(CHOOSE({1,2,3,4},XT!U344,XT!Y344,XT!AC344,XT!AG344))=4)*(CHOOSE({1,2,3,4},XT!X344,XT!AB344,XT!AF344,XT!AJ344)))</f>
        <v>0</v>
      </c>
      <c r="N344" t="str">
        <f>IFERROR(INDEX(CHOOSE({1,2,3,4}, DAY(XT!U344), DAY(XT!Y344), DAY(XT!AC344), DAY(XT!AG344)), MATCH(1, INDEX(--(MONTH(CHOOSE({1,2,3,4}, XT!U344,XT!Y344,XT!AC344,XT!AG344))=4), 0), 0)), "")</f>
        <v/>
      </c>
      <c r="O344" s="12" t="str">
        <f>IF(XT!$P344&gt;0,N344,"")</f>
        <v/>
      </c>
      <c r="P344" s="12" t="str">
        <f>IF(XT!$P344=0,N344,"")</f>
        <v/>
      </c>
      <c r="Q344">
        <f>SUMPRODUCT((MONTH(CHOOSE({1,2,3,4},XT!U344,XT!Y344,XT!AC344,XT!AG344))=5)*(CHOOSE({1,2,3,4},XT!X344,XT!AB344,XT!AF344,XT!AJ344)))</f>
        <v>0</v>
      </c>
      <c r="R344" t="str">
        <f>IFERROR(INDEX(CHOOSE({1,2,3,4}, DAY(XT!U344), DAY(XT!Y344), DAY(XT!AC344), DAY(XT!AG344)), MATCH(1, INDEX(--(MONTH(CHOOSE({1,2,3,4}, XT!U344,XT!Y344,XT!AC344,XT!AG344))=5), 0), 0)), "")</f>
        <v/>
      </c>
      <c r="S344" s="12" t="str">
        <f>IF(XT!$P344&gt;0,R344,"")</f>
        <v/>
      </c>
      <c r="T344" s="12" t="str">
        <f>IF(XT!$P344=0,R344,"")</f>
        <v/>
      </c>
      <c r="U344">
        <f>SUMPRODUCT((MONTH(CHOOSE({1,2,3,4},XT!U344,XT!Y344,XT!AC344,XT!AG344))=6)*(CHOOSE({1,2,3,4},XT!X344,XT!AB344,XT!AF344,XT!AJ344)))</f>
        <v>0</v>
      </c>
      <c r="V344" t="str">
        <f>IFERROR(INDEX(CHOOSE({1,2,3,4}, DAY(XT!U344), DAY(XT!Y344), DAY(XT!AC344), DAY(XT!AG344)), MATCH(1, INDEX(--(MONTH(CHOOSE({1,2,3,4}, XT!U344,XT!Y344,XT!AC344,XT!AG344))=6), 0), 0)), "")</f>
        <v/>
      </c>
      <c r="W344" s="12" t="str">
        <f>IF(XT!$P344&gt;0,V344,"")</f>
        <v/>
      </c>
      <c r="X344" s="12" t="str">
        <f>IF(XT!$P344=0,V344,"")</f>
        <v/>
      </c>
      <c r="Y344">
        <f>SUMPRODUCT((MONTH(CHOOSE({1,2,3,4},XT!U344,XT!Y344,XT!AC344,XT!AG344))=7)*(CHOOSE({1,2,3,4},XT!X344,XT!AB344,XT!AF344,XT!AJ344)))</f>
        <v>0</v>
      </c>
      <c r="Z344" t="str">
        <f>IFERROR(INDEX(CHOOSE({1,2,3,4}, DAY(XT!U344), DAY(XT!Y344), DAY(XT!AC344), DAY(XT!AG344)), MATCH(1, INDEX(--(MONTH(CHOOSE({1,2,3,4}, XT!U344,XT!Y344,XT!AC344,XT!AG344))=7), 0), 0)), "")</f>
        <v/>
      </c>
      <c r="AA344" s="12" t="str">
        <f>IF(XT!$P344&gt;0,Z344,"")</f>
        <v/>
      </c>
      <c r="AB344" s="12" t="str">
        <f>IF(XT!$P344=0,Z344,"")</f>
        <v/>
      </c>
      <c r="AC344">
        <f>SUMPRODUCT((MONTH(CHOOSE({1,2,3,4},XT!U344,XT!Y344,XT!AC344,XT!AG344))=8)*(CHOOSE({1,2,3,4},XT!X344,XT!AB344,XT!AF344,XT!AJ344)))</f>
        <v>0</v>
      </c>
      <c r="AD344" t="str">
        <f>IFERROR(INDEX(CHOOSE({1,2,3,4}, DAY(XT!U344), DAY(XT!Y344), DAY(XT!AC344), DAY(XT!AG344)), MATCH(1, INDEX(--(MONTH(CHOOSE({1,2,3,4}, XT!U344,XT!Y344,XT!AC344,XT!AG344))=8), 0), 0)), "")</f>
        <v/>
      </c>
      <c r="AE344" s="12" t="str">
        <f>IF(XT!$P344&gt;0,AD344,"")</f>
        <v/>
      </c>
      <c r="AF344" s="12" t="str">
        <f>IF(XT!$P344=0,AD344,"")</f>
        <v/>
      </c>
      <c r="AG344">
        <f>SUMPRODUCT((MONTH(CHOOSE({1,2,3,4},XT!U344,XT!Y344,XT!AC344,XT!AG344))=9)*(CHOOSE({1,2,3,4},XT!X344,XT!AB344,XT!AF344,XT!AJ344)))</f>
        <v>0</v>
      </c>
      <c r="AH344" t="str">
        <f>IFERROR(INDEX(CHOOSE({1,2,3,4}, DAY(XT!U344), DAY(XT!Y344), DAY(XT!AC344), DAY(XT!AG344)), MATCH(1, INDEX(--(MONTH(CHOOSE({1,2,3,4}, XT!U344,XT!Y344,XT!AC344,XT!AG344))=9), 0), 0)), "")</f>
        <v/>
      </c>
      <c r="AI344" s="12" t="str">
        <f>IF(XT!$P344&gt;0,AH344,"")</f>
        <v/>
      </c>
      <c r="AJ344" s="12" t="str">
        <f>IF(XT!$P344=0,AH344,"")</f>
        <v/>
      </c>
      <c r="AK344">
        <f>SUMPRODUCT((MONTH(CHOOSE({1,2,3,4},XT!U344,XT!Y344,XT!AC344,XT!AG344))=10)*(CHOOSE({1,2,3,4},XT!X344,XT!AB344,XT!AF344,XT!AJ344)))</f>
        <v>0</v>
      </c>
      <c r="AL344" t="str">
        <f>IFERROR(INDEX(CHOOSE({1,2,3,4}, DAY(XT!U344), DAY(XT!Y344), DAY(XT!AC344), DAY(XT!AG344)), MATCH(1, INDEX(--(MONTH(CHOOSE({1,2,3,4}, XT!U344,XT!Y344,XT!AC344,XT!AG344))=10), 0), 0)), "")</f>
        <v/>
      </c>
      <c r="AM344" s="12" t="str">
        <f>IF(XT!$P344&gt;0,AL344,"")</f>
        <v/>
      </c>
      <c r="AN344" s="12" t="str">
        <f>IF(XT!$P344=0,AL344,"")</f>
        <v/>
      </c>
      <c r="AO344">
        <f>SUMPRODUCT((MONTH(CHOOSE({1,2,3,4},XT!U344,XT!Y344,XT!AC344,XT!AG344))=11)*(CHOOSE({1,2,3,4},XT!X344,XT!AB344,XT!AF344,XT!AJ344)))</f>
        <v>0</v>
      </c>
      <c r="AP344" t="str">
        <f>IFERROR(INDEX(CHOOSE({1,2,3,4}, DAY(XT!U344), DAY(XT!Y344), DAY(XT!AC344), DAY(XT!AG344)), MATCH(1, INDEX(--(MONTH(CHOOSE({1,2,3,4}, XT!U344,XT!Y344,XT!AC344,XT!AG344))=11), 0), 0)), "")</f>
        <v/>
      </c>
      <c r="AQ344" s="12" t="str">
        <f>IF(XT!$P344&gt;0,AP344,"")</f>
        <v/>
      </c>
      <c r="AR344" s="12" t="str">
        <f>IF(XT!$P344=0,AP344,"")</f>
        <v/>
      </c>
      <c r="AS344">
        <f>SUMPRODUCT((MONTH(CHOOSE({1,2,3,4},XT!U344,XT!Y344,XT!AC344,XT!AG344))=12)*(CHOOSE({1,2,3,4},XT!X344,XT!AB344,XT!AF344,XT!AJ344)))</f>
        <v>0</v>
      </c>
      <c r="AT344" t="str">
        <f>IFERROR(INDEX(CHOOSE({1,2,3,4}, DAY(XT!U344), DAY(XT!Y344), DAY(XT!AC344), DAY(XT!AG344)), MATCH(1, INDEX(--(MONTH(CHOOSE({1,2,3,4}, XT!U344,XT!Y344,XT!AC344,XT!AG344))=12), 0), 0)), "")</f>
        <v/>
      </c>
      <c r="AU344" s="12" t="str">
        <f>IF(XT!$P344&gt;0,AT344,"")</f>
        <v/>
      </c>
      <c r="AV344" s="12" t="str">
        <f>IF(XT!$P344=0,AT344,"")</f>
        <v/>
      </c>
    </row>
    <row r="345" spans="1:48">
      <c r="A345">
        <f>SUMPRODUCT((MONTH(CHOOSE({1,2,3,4},XT!U345,XT!Y345,XT!AC345,XT!AG345))=1)*(CHOOSE({1,2,3,4},XT!X345,XT!AB345,XT!AF345,XT!AJ345)))</f>
        <v>0</v>
      </c>
      <c r="B345">
        <f>IFERROR(INDEX(CHOOSE({1,2,3,4}, DAY(XT!U345), DAY(XT!Y345), DAY(XT!AC345), DAY(XT!AG345)), MATCH(1, INDEX(--(MONTH(CHOOSE({1,2,3,4}, XT!U345,XT!Y345,XT!AC345,XT!AG345))=1), 0), 0)), "")</f>
        <v>0</v>
      </c>
      <c r="C345" s="12" t="str">
        <f>IF(XT!$P345&gt;0,B345,"")</f>
        <v/>
      </c>
      <c r="D345" s="12">
        <f>IF(XT!$P345=0,B345,"")</f>
        <v>0</v>
      </c>
      <c r="E345">
        <f>SUMPRODUCT((MONTH(CHOOSE({1,2,3,4},XT!U345,XT!Y345,XT!AC345,XT!AG345))=2)*(CHOOSE({1,2,3,4},XT!X345,XT!AB345,XT!AF345,XT!AJ345)))</f>
        <v>0</v>
      </c>
      <c r="F345" t="str">
        <f>IFERROR(INDEX(CHOOSE({1,2,3,4}, DAY(XT!U345), DAY(XT!Y345), DAY(XT!AC345), DAY(XT!AG345)), MATCH(1, INDEX(--(MONTH(CHOOSE({1,2,3,4}, XT!U345,XT!Y345,XT!AC345,XT!AG345))=2), 0), 0)), "")</f>
        <v/>
      </c>
      <c r="G345" s="12" t="str">
        <f>IF(XT!$P345&gt;0,F345,"")</f>
        <v/>
      </c>
      <c r="H345" s="12" t="str">
        <f>IF(XT!$P345=0,F345,"")</f>
        <v/>
      </c>
      <c r="I345">
        <f>SUMPRODUCT((MONTH(CHOOSE({1,2,3,4},XT!U345,XT!Y345,XT!AC345,XT!AG345))=3)*(CHOOSE({1,2,3,4},XT!X345,XT!AB345,XT!AF345,XT!AJ345)))</f>
        <v>0</v>
      </c>
      <c r="J345" t="str">
        <f>IFERROR(INDEX(CHOOSE({1,2,3,4}, DAY(XT!U345), DAY(XT!Y345), DAY(XT!AC345), DAY(XT!AG345)), MATCH(1, INDEX(--(MONTH(CHOOSE({1,2,3,4}, XT!U345,XT!Y345,XT!AC345,XT!AG345))=3), 0), 0)), "")</f>
        <v/>
      </c>
      <c r="K345" s="12" t="str">
        <f>IF(XT!$P345&gt;0,J345,"")</f>
        <v/>
      </c>
      <c r="L345" s="12" t="str">
        <f>IF(XT!$P345=0,J345,"")</f>
        <v/>
      </c>
      <c r="M345">
        <f>SUMPRODUCT((MONTH(CHOOSE({1,2,3,4},XT!U345,XT!Y345,XT!AC345,XT!AG345))=4)*(CHOOSE({1,2,3,4},XT!X345,XT!AB345,XT!AF345,XT!AJ345)))</f>
        <v>0</v>
      </c>
      <c r="N345" t="str">
        <f>IFERROR(INDEX(CHOOSE({1,2,3,4}, DAY(XT!U345), DAY(XT!Y345), DAY(XT!AC345), DAY(XT!AG345)), MATCH(1, INDEX(--(MONTH(CHOOSE({1,2,3,4}, XT!U345,XT!Y345,XT!AC345,XT!AG345))=4), 0), 0)), "")</f>
        <v/>
      </c>
      <c r="O345" s="12" t="str">
        <f>IF(XT!$P345&gt;0,N345,"")</f>
        <v/>
      </c>
      <c r="P345" s="12" t="str">
        <f>IF(XT!$P345=0,N345,"")</f>
        <v/>
      </c>
      <c r="Q345">
        <f>SUMPRODUCT((MONTH(CHOOSE({1,2,3,4},XT!U345,XT!Y345,XT!AC345,XT!AG345))=5)*(CHOOSE({1,2,3,4},XT!X345,XT!AB345,XT!AF345,XT!AJ345)))</f>
        <v>0</v>
      </c>
      <c r="R345" t="str">
        <f>IFERROR(INDEX(CHOOSE({1,2,3,4}, DAY(XT!U345), DAY(XT!Y345), DAY(XT!AC345), DAY(XT!AG345)), MATCH(1, INDEX(--(MONTH(CHOOSE({1,2,3,4}, XT!U345,XT!Y345,XT!AC345,XT!AG345))=5), 0), 0)), "")</f>
        <v/>
      </c>
      <c r="S345" s="12" t="str">
        <f>IF(XT!$P345&gt;0,R345,"")</f>
        <v/>
      </c>
      <c r="T345" s="12" t="str">
        <f>IF(XT!$P345=0,R345,"")</f>
        <v/>
      </c>
      <c r="U345">
        <f>SUMPRODUCT((MONTH(CHOOSE({1,2,3,4},XT!U345,XT!Y345,XT!AC345,XT!AG345))=6)*(CHOOSE({1,2,3,4},XT!X345,XT!AB345,XT!AF345,XT!AJ345)))</f>
        <v>0</v>
      </c>
      <c r="V345" t="str">
        <f>IFERROR(INDEX(CHOOSE({1,2,3,4}, DAY(XT!U345), DAY(XT!Y345), DAY(XT!AC345), DAY(XT!AG345)), MATCH(1, INDEX(--(MONTH(CHOOSE({1,2,3,4}, XT!U345,XT!Y345,XT!AC345,XT!AG345))=6), 0), 0)), "")</f>
        <v/>
      </c>
      <c r="W345" s="12" t="str">
        <f>IF(XT!$P345&gt;0,V345,"")</f>
        <v/>
      </c>
      <c r="X345" s="12" t="str">
        <f>IF(XT!$P345=0,V345,"")</f>
        <v/>
      </c>
      <c r="Y345">
        <f>SUMPRODUCT((MONTH(CHOOSE({1,2,3,4},XT!U345,XT!Y345,XT!AC345,XT!AG345))=7)*(CHOOSE({1,2,3,4},XT!X345,XT!AB345,XT!AF345,XT!AJ345)))</f>
        <v>0</v>
      </c>
      <c r="Z345" t="str">
        <f>IFERROR(INDEX(CHOOSE({1,2,3,4}, DAY(XT!U345), DAY(XT!Y345), DAY(XT!AC345), DAY(XT!AG345)), MATCH(1, INDEX(--(MONTH(CHOOSE({1,2,3,4}, XT!U345,XT!Y345,XT!AC345,XT!AG345))=7), 0), 0)), "")</f>
        <v/>
      </c>
      <c r="AA345" s="12" t="str">
        <f>IF(XT!$P345&gt;0,Z345,"")</f>
        <v/>
      </c>
      <c r="AB345" s="12" t="str">
        <f>IF(XT!$P345=0,Z345,"")</f>
        <v/>
      </c>
      <c r="AC345">
        <f>SUMPRODUCT((MONTH(CHOOSE({1,2,3,4},XT!U345,XT!Y345,XT!AC345,XT!AG345))=8)*(CHOOSE({1,2,3,4},XT!X345,XT!AB345,XT!AF345,XT!AJ345)))</f>
        <v>0</v>
      </c>
      <c r="AD345" t="str">
        <f>IFERROR(INDEX(CHOOSE({1,2,3,4}, DAY(XT!U345), DAY(XT!Y345), DAY(XT!AC345), DAY(XT!AG345)), MATCH(1, INDEX(--(MONTH(CHOOSE({1,2,3,4}, XT!U345,XT!Y345,XT!AC345,XT!AG345))=8), 0), 0)), "")</f>
        <v/>
      </c>
      <c r="AE345" s="12" t="str">
        <f>IF(XT!$P345&gt;0,AD345,"")</f>
        <v/>
      </c>
      <c r="AF345" s="12" t="str">
        <f>IF(XT!$P345=0,AD345,"")</f>
        <v/>
      </c>
      <c r="AG345">
        <f>SUMPRODUCT((MONTH(CHOOSE({1,2,3,4},XT!U345,XT!Y345,XT!AC345,XT!AG345))=9)*(CHOOSE({1,2,3,4},XT!X345,XT!AB345,XT!AF345,XT!AJ345)))</f>
        <v>0</v>
      </c>
      <c r="AH345" t="str">
        <f>IFERROR(INDEX(CHOOSE({1,2,3,4}, DAY(XT!U345), DAY(XT!Y345), DAY(XT!AC345), DAY(XT!AG345)), MATCH(1, INDEX(--(MONTH(CHOOSE({1,2,3,4}, XT!U345,XT!Y345,XT!AC345,XT!AG345))=9), 0), 0)), "")</f>
        <v/>
      </c>
      <c r="AI345" s="12" t="str">
        <f>IF(XT!$P345&gt;0,AH345,"")</f>
        <v/>
      </c>
      <c r="AJ345" s="12" t="str">
        <f>IF(XT!$P345=0,AH345,"")</f>
        <v/>
      </c>
      <c r="AK345">
        <f>SUMPRODUCT((MONTH(CHOOSE({1,2,3,4},XT!U345,XT!Y345,XT!AC345,XT!AG345))=10)*(CHOOSE({1,2,3,4},XT!X345,XT!AB345,XT!AF345,XT!AJ345)))</f>
        <v>0</v>
      </c>
      <c r="AL345" t="str">
        <f>IFERROR(INDEX(CHOOSE({1,2,3,4}, DAY(XT!U345), DAY(XT!Y345), DAY(XT!AC345), DAY(XT!AG345)), MATCH(1, INDEX(--(MONTH(CHOOSE({1,2,3,4}, XT!U345,XT!Y345,XT!AC345,XT!AG345))=10), 0), 0)), "")</f>
        <v/>
      </c>
      <c r="AM345" s="12" t="str">
        <f>IF(XT!$P345&gt;0,AL345,"")</f>
        <v/>
      </c>
      <c r="AN345" s="12" t="str">
        <f>IF(XT!$P345=0,AL345,"")</f>
        <v/>
      </c>
      <c r="AO345">
        <f>SUMPRODUCT((MONTH(CHOOSE({1,2,3,4},XT!U345,XT!Y345,XT!AC345,XT!AG345))=11)*(CHOOSE({1,2,3,4},XT!X345,XT!AB345,XT!AF345,XT!AJ345)))</f>
        <v>0</v>
      </c>
      <c r="AP345" t="str">
        <f>IFERROR(INDEX(CHOOSE({1,2,3,4}, DAY(XT!U345), DAY(XT!Y345), DAY(XT!AC345), DAY(XT!AG345)), MATCH(1, INDEX(--(MONTH(CHOOSE({1,2,3,4}, XT!U345,XT!Y345,XT!AC345,XT!AG345))=11), 0), 0)), "")</f>
        <v/>
      </c>
      <c r="AQ345" s="12" t="str">
        <f>IF(XT!$P345&gt;0,AP345,"")</f>
        <v/>
      </c>
      <c r="AR345" s="12" t="str">
        <f>IF(XT!$P345=0,AP345,"")</f>
        <v/>
      </c>
      <c r="AS345">
        <f>SUMPRODUCT((MONTH(CHOOSE({1,2,3,4},XT!U345,XT!Y345,XT!AC345,XT!AG345))=12)*(CHOOSE({1,2,3,4},XT!X345,XT!AB345,XT!AF345,XT!AJ345)))</f>
        <v>0</v>
      </c>
      <c r="AT345" t="str">
        <f>IFERROR(INDEX(CHOOSE({1,2,3,4}, DAY(XT!U345), DAY(XT!Y345), DAY(XT!AC345), DAY(XT!AG345)), MATCH(1, INDEX(--(MONTH(CHOOSE({1,2,3,4}, XT!U345,XT!Y345,XT!AC345,XT!AG345))=12), 0), 0)), "")</f>
        <v/>
      </c>
      <c r="AU345" s="12" t="str">
        <f>IF(XT!$P345&gt;0,AT345,"")</f>
        <v/>
      </c>
      <c r="AV345" s="12" t="str">
        <f>IF(XT!$P345=0,AT345,"")</f>
        <v/>
      </c>
    </row>
    <row r="346" spans="1:48">
      <c r="A346">
        <f>SUMPRODUCT((MONTH(CHOOSE({1,2,3,4},XT!U346,XT!Y346,XT!AC346,XT!AG346))=1)*(CHOOSE({1,2,3,4},XT!X346,XT!AB346,XT!AF346,XT!AJ346)))</f>
        <v>0</v>
      </c>
      <c r="B346">
        <f>IFERROR(INDEX(CHOOSE({1,2,3,4}, DAY(XT!U346), DAY(XT!Y346), DAY(XT!AC346), DAY(XT!AG346)), MATCH(1, INDEX(--(MONTH(CHOOSE({1,2,3,4}, XT!U346,XT!Y346,XT!AC346,XT!AG346))=1), 0), 0)), "")</f>
        <v>0</v>
      </c>
      <c r="C346" s="12" t="str">
        <f>IF(XT!$P346&gt;0,B346,"")</f>
        <v/>
      </c>
      <c r="D346" s="12">
        <f>IF(XT!$P346=0,B346,"")</f>
        <v>0</v>
      </c>
      <c r="E346">
        <f>SUMPRODUCT((MONTH(CHOOSE({1,2,3,4},XT!U346,XT!Y346,XT!AC346,XT!AG346))=2)*(CHOOSE({1,2,3,4},XT!X346,XT!AB346,XT!AF346,XT!AJ346)))</f>
        <v>0</v>
      </c>
      <c r="F346" t="str">
        <f>IFERROR(INDEX(CHOOSE({1,2,3,4}, DAY(XT!U346), DAY(XT!Y346), DAY(XT!AC346), DAY(XT!AG346)), MATCH(1, INDEX(--(MONTH(CHOOSE({1,2,3,4}, XT!U346,XT!Y346,XT!AC346,XT!AG346))=2), 0), 0)), "")</f>
        <v/>
      </c>
      <c r="G346" s="12" t="str">
        <f>IF(XT!$P346&gt;0,F346,"")</f>
        <v/>
      </c>
      <c r="H346" s="12" t="str">
        <f>IF(XT!$P346=0,F346,"")</f>
        <v/>
      </c>
      <c r="I346">
        <f>SUMPRODUCT((MONTH(CHOOSE({1,2,3,4},XT!U346,XT!Y346,XT!AC346,XT!AG346))=3)*(CHOOSE({1,2,3,4},XT!X346,XT!AB346,XT!AF346,XT!AJ346)))</f>
        <v>0</v>
      </c>
      <c r="J346" t="str">
        <f>IFERROR(INDEX(CHOOSE({1,2,3,4}, DAY(XT!U346), DAY(XT!Y346), DAY(XT!AC346), DAY(XT!AG346)), MATCH(1, INDEX(--(MONTH(CHOOSE({1,2,3,4}, XT!U346,XT!Y346,XT!AC346,XT!AG346))=3), 0), 0)), "")</f>
        <v/>
      </c>
      <c r="K346" s="12" t="str">
        <f>IF(XT!$P346&gt;0,J346,"")</f>
        <v/>
      </c>
      <c r="L346" s="12" t="str">
        <f>IF(XT!$P346=0,J346,"")</f>
        <v/>
      </c>
      <c r="M346">
        <f>SUMPRODUCT((MONTH(CHOOSE({1,2,3,4},XT!U346,XT!Y346,XT!AC346,XT!AG346))=4)*(CHOOSE({1,2,3,4},XT!X346,XT!AB346,XT!AF346,XT!AJ346)))</f>
        <v>0</v>
      </c>
      <c r="N346" t="str">
        <f>IFERROR(INDEX(CHOOSE({1,2,3,4}, DAY(XT!U346), DAY(XT!Y346), DAY(XT!AC346), DAY(XT!AG346)), MATCH(1, INDEX(--(MONTH(CHOOSE({1,2,3,4}, XT!U346,XT!Y346,XT!AC346,XT!AG346))=4), 0), 0)), "")</f>
        <v/>
      </c>
      <c r="O346" s="12" t="str">
        <f>IF(XT!$P346&gt;0,N346,"")</f>
        <v/>
      </c>
      <c r="P346" s="12" t="str">
        <f>IF(XT!$P346=0,N346,"")</f>
        <v/>
      </c>
      <c r="Q346">
        <f>SUMPRODUCT((MONTH(CHOOSE({1,2,3,4},XT!U346,XT!Y346,XT!AC346,XT!AG346))=5)*(CHOOSE({1,2,3,4},XT!X346,XT!AB346,XT!AF346,XT!AJ346)))</f>
        <v>0</v>
      </c>
      <c r="R346" t="str">
        <f>IFERROR(INDEX(CHOOSE({1,2,3,4}, DAY(XT!U346), DAY(XT!Y346), DAY(XT!AC346), DAY(XT!AG346)), MATCH(1, INDEX(--(MONTH(CHOOSE({1,2,3,4}, XT!U346,XT!Y346,XT!AC346,XT!AG346))=5), 0), 0)), "")</f>
        <v/>
      </c>
      <c r="S346" s="12" t="str">
        <f>IF(XT!$P346&gt;0,R346,"")</f>
        <v/>
      </c>
      <c r="T346" s="12" t="str">
        <f>IF(XT!$P346=0,R346,"")</f>
        <v/>
      </c>
      <c r="U346">
        <f>SUMPRODUCT((MONTH(CHOOSE({1,2,3,4},XT!U346,XT!Y346,XT!AC346,XT!AG346))=6)*(CHOOSE({1,2,3,4},XT!X346,XT!AB346,XT!AF346,XT!AJ346)))</f>
        <v>0</v>
      </c>
      <c r="V346" t="str">
        <f>IFERROR(INDEX(CHOOSE({1,2,3,4}, DAY(XT!U346), DAY(XT!Y346), DAY(XT!AC346), DAY(XT!AG346)), MATCH(1, INDEX(--(MONTH(CHOOSE({1,2,3,4}, XT!U346,XT!Y346,XT!AC346,XT!AG346))=6), 0), 0)), "")</f>
        <v/>
      </c>
      <c r="W346" s="12" t="str">
        <f>IF(XT!$P346&gt;0,V346,"")</f>
        <v/>
      </c>
      <c r="X346" s="12" t="str">
        <f>IF(XT!$P346=0,V346,"")</f>
        <v/>
      </c>
      <c r="Y346">
        <f>SUMPRODUCT((MONTH(CHOOSE({1,2,3,4},XT!U346,XT!Y346,XT!AC346,XT!AG346))=7)*(CHOOSE({1,2,3,4},XT!X346,XT!AB346,XT!AF346,XT!AJ346)))</f>
        <v>0</v>
      </c>
      <c r="Z346" t="str">
        <f>IFERROR(INDEX(CHOOSE({1,2,3,4}, DAY(XT!U346), DAY(XT!Y346), DAY(XT!AC346), DAY(XT!AG346)), MATCH(1, INDEX(--(MONTH(CHOOSE({1,2,3,4}, XT!U346,XT!Y346,XT!AC346,XT!AG346))=7), 0), 0)), "")</f>
        <v/>
      </c>
      <c r="AA346" s="12" t="str">
        <f>IF(XT!$P346&gt;0,Z346,"")</f>
        <v/>
      </c>
      <c r="AB346" s="12" t="str">
        <f>IF(XT!$P346=0,Z346,"")</f>
        <v/>
      </c>
      <c r="AC346">
        <f>SUMPRODUCT((MONTH(CHOOSE({1,2,3,4},XT!U346,XT!Y346,XT!AC346,XT!AG346))=8)*(CHOOSE({1,2,3,4},XT!X346,XT!AB346,XT!AF346,XT!AJ346)))</f>
        <v>0</v>
      </c>
      <c r="AD346" t="str">
        <f>IFERROR(INDEX(CHOOSE({1,2,3,4}, DAY(XT!U346), DAY(XT!Y346), DAY(XT!AC346), DAY(XT!AG346)), MATCH(1, INDEX(--(MONTH(CHOOSE({1,2,3,4}, XT!U346,XT!Y346,XT!AC346,XT!AG346))=8), 0), 0)), "")</f>
        <v/>
      </c>
      <c r="AE346" s="12" t="str">
        <f>IF(XT!$P346&gt;0,AD346,"")</f>
        <v/>
      </c>
      <c r="AF346" s="12" t="str">
        <f>IF(XT!$P346=0,AD346,"")</f>
        <v/>
      </c>
      <c r="AG346">
        <f>SUMPRODUCT((MONTH(CHOOSE({1,2,3,4},XT!U346,XT!Y346,XT!AC346,XT!AG346))=9)*(CHOOSE({1,2,3,4},XT!X346,XT!AB346,XT!AF346,XT!AJ346)))</f>
        <v>0</v>
      </c>
      <c r="AH346" t="str">
        <f>IFERROR(INDEX(CHOOSE({1,2,3,4}, DAY(XT!U346), DAY(XT!Y346), DAY(XT!AC346), DAY(XT!AG346)), MATCH(1, INDEX(--(MONTH(CHOOSE({1,2,3,4}, XT!U346,XT!Y346,XT!AC346,XT!AG346))=9), 0), 0)), "")</f>
        <v/>
      </c>
      <c r="AI346" s="12" t="str">
        <f>IF(XT!$P346&gt;0,AH346,"")</f>
        <v/>
      </c>
      <c r="AJ346" s="12" t="str">
        <f>IF(XT!$P346=0,AH346,"")</f>
        <v/>
      </c>
      <c r="AK346">
        <f>SUMPRODUCT((MONTH(CHOOSE({1,2,3,4},XT!U346,XT!Y346,XT!AC346,XT!AG346))=10)*(CHOOSE({1,2,3,4},XT!X346,XT!AB346,XT!AF346,XT!AJ346)))</f>
        <v>0</v>
      </c>
      <c r="AL346" t="str">
        <f>IFERROR(INDEX(CHOOSE({1,2,3,4}, DAY(XT!U346), DAY(XT!Y346), DAY(XT!AC346), DAY(XT!AG346)), MATCH(1, INDEX(--(MONTH(CHOOSE({1,2,3,4}, XT!U346,XT!Y346,XT!AC346,XT!AG346))=10), 0), 0)), "")</f>
        <v/>
      </c>
      <c r="AM346" s="12" t="str">
        <f>IF(XT!$P346&gt;0,AL346,"")</f>
        <v/>
      </c>
      <c r="AN346" s="12" t="str">
        <f>IF(XT!$P346=0,AL346,"")</f>
        <v/>
      </c>
      <c r="AO346">
        <f>SUMPRODUCT((MONTH(CHOOSE({1,2,3,4},XT!U346,XT!Y346,XT!AC346,XT!AG346))=11)*(CHOOSE({1,2,3,4},XT!X346,XT!AB346,XT!AF346,XT!AJ346)))</f>
        <v>0</v>
      </c>
      <c r="AP346" t="str">
        <f>IFERROR(INDEX(CHOOSE({1,2,3,4}, DAY(XT!U346), DAY(XT!Y346), DAY(XT!AC346), DAY(XT!AG346)), MATCH(1, INDEX(--(MONTH(CHOOSE({1,2,3,4}, XT!U346,XT!Y346,XT!AC346,XT!AG346))=11), 0), 0)), "")</f>
        <v/>
      </c>
      <c r="AQ346" s="12" t="str">
        <f>IF(XT!$P346&gt;0,AP346,"")</f>
        <v/>
      </c>
      <c r="AR346" s="12" t="str">
        <f>IF(XT!$P346=0,AP346,"")</f>
        <v/>
      </c>
      <c r="AS346">
        <f>SUMPRODUCT((MONTH(CHOOSE({1,2,3,4},XT!U346,XT!Y346,XT!AC346,XT!AG346))=12)*(CHOOSE({1,2,3,4},XT!X346,XT!AB346,XT!AF346,XT!AJ346)))</f>
        <v>0</v>
      </c>
      <c r="AT346" t="str">
        <f>IFERROR(INDEX(CHOOSE({1,2,3,4}, DAY(XT!U346), DAY(XT!Y346), DAY(XT!AC346), DAY(XT!AG346)), MATCH(1, INDEX(--(MONTH(CHOOSE({1,2,3,4}, XT!U346,XT!Y346,XT!AC346,XT!AG346))=12), 0), 0)), "")</f>
        <v/>
      </c>
      <c r="AU346" s="12" t="str">
        <f>IF(XT!$P346&gt;0,AT346,"")</f>
        <v/>
      </c>
      <c r="AV346" s="12" t="str">
        <f>IF(XT!$P346=0,AT346,"")</f>
        <v/>
      </c>
    </row>
    <row r="347" spans="1:48">
      <c r="A347">
        <f>SUMPRODUCT((MONTH(CHOOSE({1,2,3,4},XT!U347,XT!Y347,XT!AC347,XT!AG347))=1)*(CHOOSE({1,2,3,4},XT!X347,XT!AB347,XT!AF347,XT!AJ347)))</f>
        <v>0</v>
      </c>
      <c r="B347">
        <f>IFERROR(INDEX(CHOOSE({1,2,3,4}, DAY(XT!U347), DAY(XT!Y347), DAY(XT!AC347), DAY(XT!AG347)), MATCH(1, INDEX(--(MONTH(CHOOSE({1,2,3,4}, XT!U347,XT!Y347,XT!AC347,XT!AG347))=1), 0), 0)), "")</f>
        <v>0</v>
      </c>
      <c r="C347" s="12" t="str">
        <f>IF(XT!$P347&gt;0,B347,"")</f>
        <v/>
      </c>
      <c r="D347" s="12">
        <f>IF(XT!$P347=0,B347,"")</f>
        <v>0</v>
      </c>
      <c r="E347">
        <f>SUMPRODUCT((MONTH(CHOOSE({1,2,3,4},XT!U347,XT!Y347,XT!AC347,XT!AG347))=2)*(CHOOSE({1,2,3,4},XT!X347,XT!AB347,XT!AF347,XT!AJ347)))</f>
        <v>0</v>
      </c>
      <c r="F347" t="str">
        <f>IFERROR(INDEX(CHOOSE({1,2,3,4}, DAY(XT!U347), DAY(XT!Y347), DAY(XT!AC347), DAY(XT!AG347)), MATCH(1, INDEX(--(MONTH(CHOOSE({1,2,3,4}, XT!U347,XT!Y347,XT!AC347,XT!AG347))=2), 0), 0)), "")</f>
        <v/>
      </c>
      <c r="G347" s="12" t="str">
        <f>IF(XT!$P347&gt;0,F347,"")</f>
        <v/>
      </c>
      <c r="H347" s="12" t="str">
        <f>IF(XT!$P347=0,F347,"")</f>
        <v/>
      </c>
      <c r="I347">
        <f>SUMPRODUCT((MONTH(CHOOSE({1,2,3,4},XT!U347,XT!Y347,XT!AC347,XT!AG347))=3)*(CHOOSE({1,2,3,4},XT!X347,XT!AB347,XT!AF347,XT!AJ347)))</f>
        <v>0</v>
      </c>
      <c r="J347" t="str">
        <f>IFERROR(INDEX(CHOOSE({1,2,3,4}, DAY(XT!U347), DAY(XT!Y347), DAY(XT!AC347), DAY(XT!AG347)), MATCH(1, INDEX(--(MONTH(CHOOSE({1,2,3,4}, XT!U347,XT!Y347,XT!AC347,XT!AG347))=3), 0), 0)), "")</f>
        <v/>
      </c>
      <c r="K347" s="12" t="str">
        <f>IF(XT!$P347&gt;0,J347,"")</f>
        <v/>
      </c>
      <c r="L347" s="12" t="str">
        <f>IF(XT!$P347=0,J347,"")</f>
        <v/>
      </c>
      <c r="M347">
        <f>SUMPRODUCT((MONTH(CHOOSE({1,2,3,4},XT!U347,XT!Y347,XT!AC347,XT!AG347))=4)*(CHOOSE({1,2,3,4},XT!X347,XT!AB347,XT!AF347,XT!AJ347)))</f>
        <v>0</v>
      </c>
      <c r="N347" t="str">
        <f>IFERROR(INDEX(CHOOSE({1,2,3,4}, DAY(XT!U347), DAY(XT!Y347), DAY(XT!AC347), DAY(XT!AG347)), MATCH(1, INDEX(--(MONTH(CHOOSE({1,2,3,4}, XT!U347,XT!Y347,XT!AC347,XT!AG347))=4), 0), 0)), "")</f>
        <v/>
      </c>
      <c r="O347" s="12" t="str">
        <f>IF(XT!$P347&gt;0,N347,"")</f>
        <v/>
      </c>
      <c r="P347" s="12" t="str">
        <f>IF(XT!$P347=0,N347,"")</f>
        <v/>
      </c>
      <c r="Q347">
        <f>SUMPRODUCT((MONTH(CHOOSE({1,2,3,4},XT!U347,XT!Y347,XT!AC347,XT!AG347))=5)*(CHOOSE({1,2,3,4},XT!X347,XT!AB347,XT!AF347,XT!AJ347)))</f>
        <v>0</v>
      </c>
      <c r="R347" t="str">
        <f>IFERROR(INDEX(CHOOSE({1,2,3,4}, DAY(XT!U347), DAY(XT!Y347), DAY(XT!AC347), DAY(XT!AG347)), MATCH(1, INDEX(--(MONTH(CHOOSE({1,2,3,4}, XT!U347,XT!Y347,XT!AC347,XT!AG347))=5), 0), 0)), "")</f>
        <v/>
      </c>
      <c r="S347" s="12" t="str">
        <f>IF(XT!$P347&gt;0,R347,"")</f>
        <v/>
      </c>
      <c r="T347" s="12" t="str">
        <f>IF(XT!$P347=0,R347,"")</f>
        <v/>
      </c>
      <c r="U347">
        <f>SUMPRODUCT((MONTH(CHOOSE({1,2,3,4},XT!U347,XT!Y347,XT!AC347,XT!AG347))=6)*(CHOOSE({1,2,3,4},XT!X347,XT!AB347,XT!AF347,XT!AJ347)))</f>
        <v>0</v>
      </c>
      <c r="V347" t="str">
        <f>IFERROR(INDEX(CHOOSE({1,2,3,4}, DAY(XT!U347), DAY(XT!Y347), DAY(XT!AC347), DAY(XT!AG347)), MATCH(1, INDEX(--(MONTH(CHOOSE({1,2,3,4}, XT!U347,XT!Y347,XT!AC347,XT!AG347))=6), 0), 0)), "")</f>
        <v/>
      </c>
      <c r="W347" s="12" t="str">
        <f>IF(XT!$P347&gt;0,V347,"")</f>
        <v/>
      </c>
      <c r="X347" s="12" t="str">
        <f>IF(XT!$P347=0,V347,"")</f>
        <v/>
      </c>
      <c r="Y347">
        <f>SUMPRODUCT((MONTH(CHOOSE({1,2,3,4},XT!U347,XT!Y347,XT!AC347,XT!AG347))=7)*(CHOOSE({1,2,3,4},XT!X347,XT!AB347,XT!AF347,XT!AJ347)))</f>
        <v>0</v>
      </c>
      <c r="Z347" t="str">
        <f>IFERROR(INDEX(CHOOSE({1,2,3,4}, DAY(XT!U347), DAY(XT!Y347), DAY(XT!AC347), DAY(XT!AG347)), MATCH(1, INDEX(--(MONTH(CHOOSE({1,2,3,4}, XT!U347,XT!Y347,XT!AC347,XT!AG347))=7), 0), 0)), "")</f>
        <v/>
      </c>
      <c r="AA347" s="12" t="str">
        <f>IF(XT!$P347&gt;0,Z347,"")</f>
        <v/>
      </c>
      <c r="AB347" s="12" t="str">
        <f>IF(XT!$P347=0,Z347,"")</f>
        <v/>
      </c>
      <c r="AC347">
        <f>SUMPRODUCT((MONTH(CHOOSE({1,2,3,4},XT!U347,XT!Y347,XT!AC347,XT!AG347))=8)*(CHOOSE({1,2,3,4},XT!X347,XT!AB347,XT!AF347,XT!AJ347)))</f>
        <v>0</v>
      </c>
      <c r="AD347" t="str">
        <f>IFERROR(INDEX(CHOOSE({1,2,3,4}, DAY(XT!U347), DAY(XT!Y347), DAY(XT!AC347), DAY(XT!AG347)), MATCH(1, INDEX(--(MONTH(CHOOSE({1,2,3,4}, XT!U347,XT!Y347,XT!AC347,XT!AG347))=8), 0), 0)), "")</f>
        <v/>
      </c>
      <c r="AE347" s="12" t="str">
        <f>IF(XT!$P347&gt;0,AD347,"")</f>
        <v/>
      </c>
      <c r="AF347" s="12" t="str">
        <f>IF(XT!$P347=0,AD347,"")</f>
        <v/>
      </c>
      <c r="AG347">
        <f>SUMPRODUCT((MONTH(CHOOSE({1,2,3,4},XT!U347,XT!Y347,XT!AC347,XT!AG347))=9)*(CHOOSE({1,2,3,4},XT!X347,XT!AB347,XT!AF347,XT!AJ347)))</f>
        <v>0</v>
      </c>
      <c r="AH347" t="str">
        <f>IFERROR(INDEX(CHOOSE({1,2,3,4}, DAY(XT!U347), DAY(XT!Y347), DAY(XT!AC347), DAY(XT!AG347)), MATCH(1, INDEX(--(MONTH(CHOOSE({1,2,3,4}, XT!U347,XT!Y347,XT!AC347,XT!AG347))=9), 0), 0)), "")</f>
        <v/>
      </c>
      <c r="AI347" s="12" t="str">
        <f>IF(XT!$P347&gt;0,AH347,"")</f>
        <v/>
      </c>
      <c r="AJ347" s="12" t="str">
        <f>IF(XT!$P347=0,AH347,"")</f>
        <v/>
      </c>
      <c r="AK347">
        <f>SUMPRODUCT((MONTH(CHOOSE({1,2,3,4},XT!U347,XT!Y347,XT!AC347,XT!AG347))=10)*(CHOOSE({1,2,3,4},XT!X347,XT!AB347,XT!AF347,XT!AJ347)))</f>
        <v>0</v>
      </c>
      <c r="AL347" t="str">
        <f>IFERROR(INDEX(CHOOSE({1,2,3,4}, DAY(XT!U347), DAY(XT!Y347), DAY(XT!AC347), DAY(XT!AG347)), MATCH(1, INDEX(--(MONTH(CHOOSE({1,2,3,4}, XT!U347,XT!Y347,XT!AC347,XT!AG347))=10), 0), 0)), "")</f>
        <v/>
      </c>
      <c r="AM347" s="12" t="str">
        <f>IF(XT!$P347&gt;0,AL347,"")</f>
        <v/>
      </c>
      <c r="AN347" s="12" t="str">
        <f>IF(XT!$P347=0,AL347,"")</f>
        <v/>
      </c>
      <c r="AO347">
        <f>SUMPRODUCT((MONTH(CHOOSE({1,2,3,4},XT!U347,XT!Y347,XT!AC347,XT!AG347))=11)*(CHOOSE({1,2,3,4},XT!X347,XT!AB347,XT!AF347,XT!AJ347)))</f>
        <v>0</v>
      </c>
      <c r="AP347" t="str">
        <f>IFERROR(INDEX(CHOOSE({1,2,3,4}, DAY(XT!U347), DAY(XT!Y347), DAY(XT!AC347), DAY(XT!AG347)), MATCH(1, INDEX(--(MONTH(CHOOSE({1,2,3,4}, XT!U347,XT!Y347,XT!AC347,XT!AG347))=11), 0), 0)), "")</f>
        <v/>
      </c>
      <c r="AQ347" s="12" t="str">
        <f>IF(XT!$P347&gt;0,AP347,"")</f>
        <v/>
      </c>
      <c r="AR347" s="12" t="str">
        <f>IF(XT!$P347=0,AP347,"")</f>
        <v/>
      </c>
      <c r="AS347">
        <f>SUMPRODUCT((MONTH(CHOOSE({1,2,3,4},XT!U347,XT!Y347,XT!AC347,XT!AG347))=12)*(CHOOSE({1,2,3,4},XT!X347,XT!AB347,XT!AF347,XT!AJ347)))</f>
        <v>0</v>
      </c>
      <c r="AT347" t="str">
        <f>IFERROR(INDEX(CHOOSE({1,2,3,4}, DAY(XT!U347), DAY(XT!Y347), DAY(XT!AC347), DAY(XT!AG347)), MATCH(1, INDEX(--(MONTH(CHOOSE({1,2,3,4}, XT!U347,XT!Y347,XT!AC347,XT!AG347))=12), 0), 0)), "")</f>
        <v/>
      </c>
      <c r="AU347" s="12" t="str">
        <f>IF(XT!$P347&gt;0,AT347,"")</f>
        <v/>
      </c>
      <c r="AV347" s="12" t="str">
        <f>IF(XT!$P347=0,AT347,"")</f>
        <v/>
      </c>
    </row>
    <row r="348" spans="1:48">
      <c r="A348">
        <f>SUMPRODUCT((MONTH(CHOOSE({1,2,3,4},XT!U348,XT!Y348,XT!AC348,XT!AG348))=1)*(CHOOSE({1,2,3,4},XT!X348,XT!AB348,XT!AF348,XT!AJ348)))</f>
        <v>0</v>
      </c>
      <c r="B348">
        <f>IFERROR(INDEX(CHOOSE({1,2,3,4}, DAY(XT!U348), DAY(XT!Y348), DAY(XT!AC348), DAY(XT!AG348)), MATCH(1, INDEX(--(MONTH(CHOOSE({1,2,3,4}, XT!U348,XT!Y348,XT!AC348,XT!AG348))=1), 0), 0)), "")</f>
        <v>0</v>
      </c>
      <c r="C348" s="12" t="str">
        <f>IF(XT!$P348&gt;0,B348,"")</f>
        <v/>
      </c>
      <c r="D348" s="12">
        <f>IF(XT!$P348=0,B348,"")</f>
        <v>0</v>
      </c>
      <c r="E348">
        <f>SUMPRODUCT((MONTH(CHOOSE({1,2,3,4},XT!U348,XT!Y348,XT!AC348,XT!AG348))=2)*(CHOOSE({1,2,3,4},XT!X348,XT!AB348,XT!AF348,XT!AJ348)))</f>
        <v>0</v>
      </c>
      <c r="F348" t="str">
        <f>IFERROR(INDEX(CHOOSE({1,2,3,4}, DAY(XT!U348), DAY(XT!Y348), DAY(XT!AC348), DAY(XT!AG348)), MATCH(1, INDEX(--(MONTH(CHOOSE({1,2,3,4}, XT!U348,XT!Y348,XT!AC348,XT!AG348))=2), 0), 0)), "")</f>
        <v/>
      </c>
      <c r="G348" s="12" t="str">
        <f>IF(XT!$P348&gt;0,F348,"")</f>
        <v/>
      </c>
      <c r="H348" s="12" t="str">
        <f>IF(XT!$P348=0,F348,"")</f>
        <v/>
      </c>
      <c r="I348">
        <f>SUMPRODUCT((MONTH(CHOOSE({1,2,3,4},XT!U348,XT!Y348,XT!AC348,XT!AG348))=3)*(CHOOSE({1,2,3,4},XT!X348,XT!AB348,XT!AF348,XT!AJ348)))</f>
        <v>0</v>
      </c>
      <c r="J348" t="str">
        <f>IFERROR(INDEX(CHOOSE({1,2,3,4}, DAY(XT!U348), DAY(XT!Y348), DAY(XT!AC348), DAY(XT!AG348)), MATCH(1, INDEX(--(MONTH(CHOOSE({1,2,3,4}, XT!U348,XT!Y348,XT!AC348,XT!AG348))=3), 0), 0)), "")</f>
        <v/>
      </c>
      <c r="K348" s="12" t="str">
        <f>IF(XT!$P348&gt;0,J348,"")</f>
        <v/>
      </c>
      <c r="L348" s="12" t="str">
        <f>IF(XT!$P348=0,J348,"")</f>
        <v/>
      </c>
      <c r="M348">
        <f>SUMPRODUCT((MONTH(CHOOSE({1,2,3,4},XT!U348,XT!Y348,XT!AC348,XT!AG348))=4)*(CHOOSE({1,2,3,4},XT!X348,XT!AB348,XT!AF348,XT!AJ348)))</f>
        <v>0</v>
      </c>
      <c r="N348" t="str">
        <f>IFERROR(INDEX(CHOOSE({1,2,3,4}, DAY(XT!U348), DAY(XT!Y348), DAY(XT!AC348), DAY(XT!AG348)), MATCH(1, INDEX(--(MONTH(CHOOSE({1,2,3,4}, XT!U348,XT!Y348,XT!AC348,XT!AG348))=4), 0), 0)), "")</f>
        <v/>
      </c>
      <c r="O348" s="12" t="str">
        <f>IF(XT!$P348&gt;0,N348,"")</f>
        <v/>
      </c>
      <c r="P348" s="12" t="str">
        <f>IF(XT!$P348=0,N348,"")</f>
        <v/>
      </c>
      <c r="Q348">
        <f>SUMPRODUCT((MONTH(CHOOSE({1,2,3,4},XT!U348,XT!Y348,XT!AC348,XT!AG348))=5)*(CHOOSE({1,2,3,4},XT!X348,XT!AB348,XT!AF348,XT!AJ348)))</f>
        <v>0</v>
      </c>
      <c r="R348" t="str">
        <f>IFERROR(INDEX(CHOOSE({1,2,3,4}, DAY(XT!U348), DAY(XT!Y348), DAY(XT!AC348), DAY(XT!AG348)), MATCH(1, INDEX(--(MONTH(CHOOSE({1,2,3,4}, XT!U348,XT!Y348,XT!AC348,XT!AG348))=5), 0), 0)), "")</f>
        <v/>
      </c>
      <c r="S348" s="12" t="str">
        <f>IF(XT!$P348&gt;0,R348,"")</f>
        <v/>
      </c>
      <c r="T348" s="12" t="str">
        <f>IF(XT!$P348=0,R348,"")</f>
        <v/>
      </c>
      <c r="U348">
        <f>SUMPRODUCT((MONTH(CHOOSE({1,2,3,4},XT!U348,XT!Y348,XT!AC348,XT!AG348))=6)*(CHOOSE({1,2,3,4},XT!X348,XT!AB348,XT!AF348,XT!AJ348)))</f>
        <v>0</v>
      </c>
      <c r="V348" t="str">
        <f>IFERROR(INDEX(CHOOSE({1,2,3,4}, DAY(XT!U348), DAY(XT!Y348), DAY(XT!AC348), DAY(XT!AG348)), MATCH(1, INDEX(--(MONTH(CHOOSE({1,2,3,4}, XT!U348,XT!Y348,XT!AC348,XT!AG348))=6), 0), 0)), "")</f>
        <v/>
      </c>
      <c r="W348" s="12" t="str">
        <f>IF(XT!$P348&gt;0,V348,"")</f>
        <v/>
      </c>
      <c r="X348" s="12" t="str">
        <f>IF(XT!$P348=0,V348,"")</f>
        <v/>
      </c>
      <c r="Y348">
        <f>SUMPRODUCT((MONTH(CHOOSE({1,2,3,4},XT!U348,XT!Y348,XT!AC348,XT!AG348))=7)*(CHOOSE({1,2,3,4},XT!X348,XT!AB348,XT!AF348,XT!AJ348)))</f>
        <v>0</v>
      </c>
      <c r="Z348" t="str">
        <f>IFERROR(INDEX(CHOOSE({1,2,3,4}, DAY(XT!U348), DAY(XT!Y348), DAY(XT!AC348), DAY(XT!AG348)), MATCH(1, INDEX(--(MONTH(CHOOSE({1,2,3,4}, XT!U348,XT!Y348,XT!AC348,XT!AG348))=7), 0), 0)), "")</f>
        <v/>
      </c>
      <c r="AA348" s="12" t="str">
        <f>IF(XT!$P348&gt;0,Z348,"")</f>
        <v/>
      </c>
      <c r="AB348" s="12" t="str">
        <f>IF(XT!$P348=0,Z348,"")</f>
        <v/>
      </c>
      <c r="AC348">
        <f>SUMPRODUCT((MONTH(CHOOSE({1,2,3,4},XT!U348,XT!Y348,XT!AC348,XT!AG348))=8)*(CHOOSE({1,2,3,4},XT!X348,XT!AB348,XT!AF348,XT!AJ348)))</f>
        <v>0</v>
      </c>
      <c r="AD348" t="str">
        <f>IFERROR(INDEX(CHOOSE({1,2,3,4}, DAY(XT!U348), DAY(XT!Y348), DAY(XT!AC348), DAY(XT!AG348)), MATCH(1, INDEX(--(MONTH(CHOOSE({1,2,3,4}, XT!U348,XT!Y348,XT!AC348,XT!AG348))=8), 0), 0)), "")</f>
        <v/>
      </c>
      <c r="AE348" s="12" t="str">
        <f>IF(XT!$P348&gt;0,AD348,"")</f>
        <v/>
      </c>
      <c r="AF348" s="12" t="str">
        <f>IF(XT!$P348=0,AD348,"")</f>
        <v/>
      </c>
      <c r="AG348">
        <f>SUMPRODUCT((MONTH(CHOOSE({1,2,3,4},XT!U348,XT!Y348,XT!AC348,XT!AG348))=9)*(CHOOSE({1,2,3,4},XT!X348,XT!AB348,XT!AF348,XT!AJ348)))</f>
        <v>0</v>
      </c>
      <c r="AH348" t="str">
        <f>IFERROR(INDEX(CHOOSE({1,2,3,4}, DAY(XT!U348), DAY(XT!Y348), DAY(XT!AC348), DAY(XT!AG348)), MATCH(1, INDEX(--(MONTH(CHOOSE({1,2,3,4}, XT!U348,XT!Y348,XT!AC348,XT!AG348))=9), 0), 0)), "")</f>
        <v/>
      </c>
      <c r="AI348" s="12" t="str">
        <f>IF(XT!$P348&gt;0,AH348,"")</f>
        <v/>
      </c>
      <c r="AJ348" s="12" t="str">
        <f>IF(XT!$P348=0,AH348,"")</f>
        <v/>
      </c>
      <c r="AK348">
        <f>SUMPRODUCT((MONTH(CHOOSE({1,2,3,4},XT!U348,XT!Y348,XT!AC348,XT!AG348))=10)*(CHOOSE({1,2,3,4},XT!X348,XT!AB348,XT!AF348,XT!AJ348)))</f>
        <v>0</v>
      </c>
      <c r="AL348" t="str">
        <f>IFERROR(INDEX(CHOOSE({1,2,3,4}, DAY(XT!U348), DAY(XT!Y348), DAY(XT!AC348), DAY(XT!AG348)), MATCH(1, INDEX(--(MONTH(CHOOSE({1,2,3,4}, XT!U348,XT!Y348,XT!AC348,XT!AG348))=10), 0), 0)), "")</f>
        <v/>
      </c>
      <c r="AM348" s="12" t="str">
        <f>IF(XT!$P348&gt;0,AL348,"")</f>
        <v/>
      </c>
      <c r="AN348" s="12" t="str">
        <f>IF(XT!$P348=0,AL348,"")</f>
        <v/>
      </c>
      <c r="AO348">
        <f>SUMPRODUCT((MONTH(CHOOSE({1,2,3,4},XT!U348,XT!Y348,XT!AC348,XT!AG348))=11)*(CHOOSE({1,2,3,4},XT!X348,XT!AB348,XT!AF348,XT!AJ348)))</f>
        <v>0</v>
      </c>
      <c r="AP348" t="str">
        <f>IFERROR(INDEX(CHOOSE({1,2,3,4}, DAY(XT!U348), DAY(XT!Y348), DAY(XT!AC348), DAY(XT!AG348)), MATCH(1, INDEX(--(MONTH(CHOOSE({1,2,3,4}, XT!U348,XT!Y348,XT!AC348,XT!AG348))=11), 0), 0)), "")</f>
        <v/>
      </c>
      <c r="AQ348" s="12" t="str">
        <f>IF(XT!$P348&gt;0,AP348,"")</f>
        <v/>
      </c>
      <c r="AR348" s="12" t="str">
        <f>IF(XT!$P348=0,AP348,"")</f>
        <v/>
      </c>
      <c r="AS348">
        <f>SUMPRODUCT((MONTH(CHOOSE({1,2,3,4},XT!U348,XT!Y348,XT!AC348,XT!AG348))=12)*(CHOOSE({1,2,3,4},XT!X348,XT!AB348,XT!AF348,XT!AJ348)))</f>
        <v>0</v>
      </c>
      <c r="AT348" t="str">
        <f>IFERROR(INDEX(CHOOSE({1,2,3,4}, DAY(XT!U348), DAY(XT!Y348), DAY(XT!AC348), DAY(XT!AG348)), MATCH(1, INDEX(--(MONTH(CHOOSE({1,2,3,4}, XT!U348,XT!Y348,XT!AC348,XT!AG348))=12), 0), 0)), "")</f>
        <v/>
      </c>
      <c r="AU348" s="12" t="str">
        <f>IF(XT!$P348&gt;0,AT348,"")</f>
        <v/>
      </c>
      <c r="AV348" s="12" t="str">
        <f>IF(XT!$P348=0,AT348,"")</f>
        <v/>
      </c>
    </row>
    <row r="349" spans="1:48">
      <c r="A349">
        <f>SUMPRODUCT((MONTH(CHOOSE({1,2,3,4},XT!U349,XT!Y349,XT!AC349,XT!AG349))=1)*(CHOOSE({1,2,3,4},XT!X349,XT!AB349,XT!AF349,XT!AJ349)))</f>
        <v>0</v>
      </c>
      <c r="B349">
        <f>IFERROR(INDEX(CHOOSE({1,2,3,4}, DAY(XT!U349), DAY(XT!Y349), DAY(XT!AC349), DAY(XT!AG349)), MATCH(1, INDEX(--(MONTH(CHOOSE({1,2,3,4}, XT!U349,XT!Y349,XT!AC349,XT!AG349))=1), 0), 0)), "")</f>
        <v>0</v>
      </c>
      <c r="C349" s="12" t="str">
        <f>IF(XT!$P349&gt;0,B349,"")</f>
        <v/>
      </c>
      <c r="D349" s="12">
        <f>IF(XT!$P349=0,B349,"")</f>
        <v>0</v>
      </c>
      <c r="E349">
        <f>SUMPRODUCT((MONTH(CHOOSE({1,2,3,4},XT!U349,XT!Y349,XT!AC349,XT!AG349))=2)*(CHOOSE({1,2,3,4},XT!X349,XT!AB349,XT!AF349,XT!AJ349)))</f>
        <v>0</v>
      </c>
      <c r="F349" t="str">
        <f>IFERROR(INDEX(CHOOSE({1,2,3,4}, DAY(XT!U349), DAY(XT!Y349), DAY(XT!AC349), DAY(XT!AG349)), MATCH(1, INDEX(--(MONTH(CHOOSE({1,2,3,4}, XT!U349,XT!Y349,XT!AC349,XT!AG349))=2), 0), 0)), "")</f>
        <v/>
      </c>
      <c r="G349" s="12" t="str">
        <f>IF(XT!$P349&gt;0,F349,"")</f>
        <v/>
      </c>
      <c r="H349" s="12" t="str">
        <f>IF(XT!$P349=0,F349,"")</f>
        <v/>
      </c>
      <c r="I349">
        <f>SUMPRODUCT((MONTH(CHOOSE({1,2,3,4},XT!U349,XT!Y349,XT!AC349,XT!AG349))=3)*(CHOOSE({1,2,3,4},XT!X349,XT!AB349,XT!AF349,XT!AJ349)))</f>
        <v>0</v>
      </c>
      <c r="J349" t="str">
        <f>IFERROR(INDEX(CHOOSE({1,2,3,4}, DAY(XT!U349), DAY(XT!Y349), DAY(XT!AC349), DAY(XT!AG349)), MATCH(1, INDEX(--(MONTH(CHOOSE({1,2,3,4}, XT!U349,XT!Y349,XT!AC349,XT!AG349))=3), 0), 0)), "")</f>
        <v/>
      </c>
      <c r="K349" s="12" t="str">
        <f>IF(XT!$P349&gt;0,J349,"")</f>
        <v/>
      </c>
      <c r="L349" s="12" t="str">
        <f>IF(XT!$P349=0,J349,"")</f>
        <v/>
      </c>
      <c r="M349">
        <f>SUMPRODUCT((MONTH(CHOOSE({1,2,3,4},XT!U349,XT!Y349,XT!AC349,XT!AG349))=4)*(CHOOSE({1,2,3,4},XT!X349,XT!AB349,XT!AF349,XT!AJ349)))</f>
        <v>0</v>
      </c>
      <c r="N349" t="str">
        <f>IFERROR(INDEX(CHOOSE({1,2,3,4}, DAY(XT!U349), DAY(XT!Y349), DAY(XT!AC349), DAY(XT!AG349)), MATCH(1, INDEX(--(MONTH(CHOOSE({1,2,3,4}, XT!U349,XT!Y349,XT!AC349,XT!AG349))=4), 0), 0)), "")</f>
        <v/>
      </c>
      <c r="O349" s="12" t="str">
        <f>IF(XT!$P349&gt;0,N349,"")</f>
        <v/>
      </c>
      <c r="P349" s="12" t="str">
        <f>IF(XT!$P349=0,N349,"")</f>
        <v/>
      </c>
      <c r="Q349">
        <f>SUMPRODUCT((MONTH(CHOOSE({1,2,3,4},XT!U349,XT!Y349,XT!AC349,XT!AG349))=5)*(CHOOSE({1,2,3,4},XT!X349,XT!AB349,XT!AF349,XT!AJ349)))</f>
        <v>0</v>
      </c>
      <c r="R349" t="str">
        <f>IFERROR(INDEX(CHOOSE({1,2,3,4}, DAY(XT!U349), DAY(XT!Y349), DAY(XT!AC349), DAY(XT!AG349)), MATCH(1, INDEX(--(MONTH(CHOOSE({1,2,3,4}, XT!U349,XT!Y349,XT!AC349,XT!AG349))=5), 0), 0)), "")</f>
        <v/>
      </c>
      <c r="S349" s="12" t="str">
        <f>IF(XT!$P349&gt;0,R349,"")</f>
        <v/>
      </c>
      <c r="T349" s="12" t="str">
        <f>IF(XT!$P349=0,R349,"")</f>
        <v/>
      </c>
      <c r="U349">
        <f>SUMPRODUCT((MONTH(CHOOSE({1,2,3,4},XT!U349,XT!Y349,XT!AC349,XT!AG349))=6)*(CHOOSE({1,2,3,4},XT!X349,XT!AB349,XT!AF349,XT!AJ349)))</f>
        <v>0</v>
      </c>
      <c r="V349" t="str">
        <f>IFERROR(INDEX(CHOOSE({1,2,3,4}, DAY(XT!U349), DAY(XT!Y349), DAY(XT!AC349), DAY(XT!AG349)), MATCH(1, INDEX(--(MONTH(CHOOSE({1,2,3,4}, XT!U349,XT!Y349,XT!AC349,XT!AG349))=6), 0), 0)), "")</f>
        <v/>
      </c>
      <c r="W349" s="12" t="str">
        <f>IF(XT!$P349&gt;0,V349,"")</f>
        <v/>
      </c>
      <c r="X349" s="12" t="str">
        <f>IF(XT!$P349=0,V349,"")</f>
        <v/>
      </c>
      <c r="Y349">
        <f>SUMPRODUCT((MONTH(CHOOSE({1,2,3,4},XT!U349,XT!Y349,XT!AC349,XT!AG349))=7)*(CHOOSE({1,2,3,4},XT!X349,XT!AB349,XT!AF349,XT!AJ349)))</f>
        <v>0</v>
      </c>
      <c r="Z349" t="str">
        <f>IFERROR(INDEX(CHOOSE({1,2,3,4}, DAY(XT!U349), DAY(XT!Y349), DAY(XT!AC349), DAY(XT!AG349)), MATCH(1, INDEX(--(MONTH(CHOOSE({1,2,3,4}, XT!U349,XT!Y349,XT!AC349,XT!AG349))=7), 0), 0)), "")</f>
        <v/>
      </c>
      <c r="AA349" s="12" t="str">
        <f>IF(XT!$P349&gt;0,Z349,"")</f>
        <v/>
      </c>
      <c r="AB349" s="12" t="str">
        <f>IF(XT!$P349=0,Z349,"")</f>
        <v/>
      </c>
      <c r="AC349">
        <f>SUMPRODUCT((MONTH(CHOOSE({1,2,3,4},XT!U349,XT!Y349,XT!AC349,XT!AG349))=8)*(CHOOSE({1,2,3,4},XT!X349,XT!AB349,XT!AF349,XT!AJ349)))</f>
        <v>0</v>
      </c>
      <c r="AD349" t="str">
        <f>IFERROR(INDEX(CHOOSE({1,2,3,4}, DAY(XT!U349), DAY(XT!Y349), DAY(XT!AC349), DAY(XT!AG349)), MATCH(1, INDEX(--(MONTH(CHOOSE({1,2,3,4}, XT!U349,XT!Y349,XT!AC349,XT!AG349))=8), 0), 0)), "")</f>
        <v/>
      </c>
      <c r="AE349" s="12" t="str">
        <f>IF(XT!$P349&gt;0,AD349,"")</f>
        <v/>
      </c>
      <c r="AF349" s="12" t="str">
        <f>IF(XT!$P349=0,AD349,"")</f>
        <v/>
      </c>
      <c r="AG349">
        <f>SUMPRODUCT((MONTH(CHOOSE({1,2,3,4},XT!U349,XT!Y349,XT!AC349,XT!AG349))=9)*(CHOOSE({1,2,3,4},XT!X349,XT!AB349,XT!AF349,XT!AJ349)))</f>
        <v>0</v>
      </c>
      <c r="AH349" t="str">
        <f>IFERROR(INDEX(CHOOSE({1,2,3,4}, DAY(XT!U349), DAY(XT!Y349), DAY(XT!AC349), DAY(XT!AG349)), MATCH(1, INDEX(--(MONTH(CHOOSE({1,2,3,4}, XT!U349,XT!Y349,XT!AC349,XT!AG349))=9), 0), 0)), "")</f>
        <v/>
      </c>
      <c r="AI349" s="12" t="str">
        <f>IF(XT!$P349&gt;0,AH349,"")</f>
        <v/>
      </c>
      <c r="AJ349" s="12" t="str">
        <f>IF(XT!$P349=0,AH349,"")</f>
        <v/>
      </c>
      <c r="AK349">
        <f>SUMPRODUCT((MONTH(CHOOSE({1,2,3,4},XT!U349,XT!Y349,XT!AC349,XT!AG349))=10)*(CHOOSE({1,2,3,4},XT!X349,XT!AB349,XT!AF349,XT!AJ349)))</f>
        <v>0</v>
      </c>
      <c r="AL349" t="str">
        <f>IFERROR(INDEX(CHOOSE({1,2,3,4}, DAY(XT!U349), DAY(XT!Y349), DAY(XT!AC349), DAY(XT!AG349)), MATCH(1, INDEX(--(MONTH(CHOOSE({1,2,3,4}, XT!U349,XT!Y349,XT!AC349,XT!AG349))=10), 0), 0)), "")</f>
        <v/>
      </c>
      <c r="AM349" s="12" t="str">
        <f>IF(XT!$P349&gt;0,AL349,"")</f>
        <v/>
      </c>
      <c r="AN349" s="12" t="str">
        <f>IF(XT!$P349=0,AL349,"")</f>
        <v/>
      </c>
      <c r="AO349">
        <f>SUMPRODUCT((MONTH(CHOOSE({1,2,3,4},XT!U349,XT!Y349,XT!AC349,XT!AG349))=11)*(CHOOSE({1,2,3,4},XT!X349,XT!AB349,XT!AF349,XT!AJ349)))</f>
        <v>0</v>
      </c>
      <c r="AP349" t="str">
        <f>IFERROR(INDEX(CHOOSE({1,2,3,4}, DAY(XT!U349), DAY(XT!Y349), DAY(XT!AC349), DAY(XT!AG349)), MATCH(1, INDEX(--(MONTH(CHOOSE({1,2,3,4}, XT!U349,XT!Y349,XT!AC349,XT!AG349))=11), 0), 0)), "")</f>
        <v/>
      </c>
      <c r="AQ349" s="12" t="str">
        <f>IF(XT!$P349&gt;0,AP349,"")</f>
        <v/>
      </c>
      <c r="AR349" s="12" t="str">
        <f>IF(XT!$P349=0,AP349,"")</f>
        <v/>
      </c>
      <c r="AS349">
        <f>SUMPRODUCT((MONTH(CHOOSE({1,2,3,4},XT!U349,XT!Y349,XT!AC349,XT!AG349))=12)*(CHOOSE({1,2,3,4},XT!X349,XT!AB349,XT!AF349,XT!AJ349)))</f>
        <v>0</v>
      </c>
      <c r="AT349" t="str">
        <f>IFERROR(INDEX(CHOOSE({1,2,3,4}, DAY(XT!U349), DAY(XT!Y349), DAY(XT!AC349), DAY(XT!AG349)), MATCH(1, INDEX(--(MONTH(CHOOSE({1,2,3,4}, XT!U349,XT!Y349,XT!AC349,XT!AG349))=12), 0), 0)), "")</f>
        <v/>
      </c>
      <c r="AU349" s="12" t="str">
        <f>IF(XT!$P349&gt;0,AT349,"")</f>
        <v/>
      </c>
      <c r="AV349" s="12" t="str">
        <f>IF(XT!$P349=0,AT349,"")</f>
        <v/>
      </c>
    </row>
    <row r="350" spans="1:48">
      <c r="A350">
        <f>SUMPRODUCT((MONTH(CHOOSE({1,2,3,4},XT!U350,XT!Y350,XT!AC350,XT!AG350))=1)*(CHOOSE({1,2,3,4},XT!X350,XT!AB350,XT!AF350,XT!AJ350)))</f>
        <v>0</v>
      </c>
      <c r="B350">
        <f>IFERROR(INDEX(CHOOSE({1,2,3,4}, DAY(XT!U350), DAY(XT!Y350), DAY(XT!AC350), DAY(XT!AG350)), MATCH(1, INDEX(--(MONTH(CHOOSE({1,2,3,4}, XT!U350,XT!Y350,XT!AC350,XT!AG350))=1), 0), 0)), "")</f>
        <v>0</v>
      </c>
      <c r="C350" s="12" t="str">
        <f>IF(XT!$P350&gt;0,B350,"")</f>
        <v/>
      </c>
      <c r="D350" s="12">
        <f>IF(XT!$P350=0,B350,"")</f>
        <v>0</v>
      </c>
      <c r="E350">
        <f>SUMPRODUCT((MONTH(CHOOSE({1,2,3,4},XT!U350,XT!Y350,XT!AC350,XT!AG350))=2)*(CHOOSE({1,2,3,4},XT!X350,XT!AB350,XT!AF350,XT!AJ350)))</f>
        <v>0</v>
      </c>
      <c r="F350" t="str">
        <f>IFERROR(INDEX(CHOOSE({1,2,3,4}, DAY(XT!U350), DAY(XT!Y350), DAY(XT!AC350), DAY(XT!AG350)), MATCH(1, INDEX(--(MONTH(CHOOSE({1,2,3,4}, XT!U350,XT!Y350,XT!AC350,XT!AG350))=2), 0), 0)), "")</f>
        <v/>
      </c>
      <c r="G350" s="12" t="str">
        <f>IF(XT!$P350&gt;0,F350,"")</f>
        <v/>
      </c>
      <c r="H350" s="12" t="str">
        <f>IF(XT!$P350=0,F350,"")</f>
        <v/>
      </c>
      <c r="I350">
        <f>SUMPRODUCT((MONTH(CHOOSE({1,2,3,4},XT!U350,XT!Y350,XT!AC350,XT!AG350))=3)*(CHOOSE({1,2,3,4},XT!X350,XT!AB350,XT!AF350,XT!AJ350)))</f>
        <v>0</v>
      </c>
      <c r="J350" t="str">
        <f>IFERROR(INDEX(CHOOSE({1,2,3,4}, DAY(XT!U350), DAY(XT!Y350), DAY(XT!AC350), DAY(XT!AG350)), MATCH(1, INDEX(--(MONTH(CHOOSE({1,2,3,4}, XT!U350,XT!Y350,XT!AC350,XT!AG350))=3), 0), 0)), "")</f>
        <v/>
      </c>
      <c r="K350" s="12" t="str">
        <f>IF(XT!$P350&gt;0,J350,"")</f>
        <v/>
      </c>
      <c r="L350" s="12" t="str">
        <f>IF(XT!$P350=0,J350,"")</f>
        <v/>
      </c>
      <c r="M350">
        <f>SUMPRODUCT((MONTH(CHOOSE({1,2,3,4},XT!U350,XT!Y350,XT!AC350,XT!AG350))=4)*(CHOOSE({1,2,3,4},XT!X350,XT!AB350,XT!AF350,XT!AJ350)))</f>
        <v>0</v>
      </c>
      <c r="N350" t="str">
        <f>IFERROR(INDEX(CHOOSE({1,2,3,4}, DAY(XT!U350), DAY(XT!Y350), DAY(XT!AC350), DAY(XT!AG350)), MATCH(1, INDEX(--(MONTH(CHOOSE({1,2,3,4}, XT!U350,XT!Y350,XT!AC350,XT!AG350))=4), 0), 0)), "")</f>
        <v/>
      </c>
      <c r="O350" s="12" t="str">
        <f>IF(XT!$P350&gt;0,N350,"")</f>
        <v/>
      </c>
      <c r="P350" s="12" t="str">
        <f>IF(XT!$P350=0,N350,"")</f>
        <v/>
      </c>
      <c r="Q350">
        <f>SUMPRODUCT((MONTH(CHOOSE({1,2,3,4},XT!U350,XT!Y350,XT!AC350,XT!AG350))=5)*(CHOOSE({1,2,3,4},XT!X350,XT!AB350,XT!AF350,XT!AJ350)))</f>
        <v>0</v>
      </c>
      <c r="R350" t="str">
        <f>IFERROR(INDEX(CHOOSE({1,2,3,4}, DAY(XT!U350), DAY(XT!Y350), DAY(XT!AC350), DAY(XT!AG350)), MATCH(1, INDEX(--(MONTH(CHOOSE({1,2,3,4}, XT!U350,XT!Y350,XT!AC350,XT!AG350))=5), 0), 0)), "")</f>
        <v/>
      </c>
      <c r="S350" s="12" t="str">
        <f>IF(XT!$P350&gt;0,R350,"")</f>
        <v/>
      </c>
      <c r="T350" s="12" t="str">
        <f>IF(XT!$P350=0,R350,"")</f>
        <v/>
      </c>
      <c r="U350">
        <f>SUMPRODUCT((MONTH(CHOOSE({1,2,3,4},XT!U350,XT!Y350,XT!AC350,XT!AG350))=6)*(CHOOSE({1,2,3,4},XT!X350,XT!AB350,XT!AF350,XT!AJ350)))</f>
        <v>0</v>
      </c>
      <c r="V350" t="str">
        <f>IFERROR(INDEX(CHOOSE({1,2,3,4}, DAY(XT!U350), DAY(XT!Y350), DAY(XT!AC350), DAY(XT!AG350)), MATCH(1, INDEX(--(MONTH(CHOOSE({1,2,3,4}, XT!U350,XT!Y350,XT!AC350,XT!AG350))=6), 0), 0)), "")</f>
        <v/>
      </c>
      <c r="W350" s="12" t="str">
        <f>IF(XT!$P350&gt;0,V350,"")</f>
        <v/>
      </c>
      <c r="X350" s="12" t="str">
        <f>IF(XT!$P350=0,V350,"")</f>
        <v/>
      </c>
      <c r="Y350">
        <f>SUMPRODUCT((MONTH(CHOOSE({1,2,3,4},XT!U350,XT!Y350,XT!AC350,XT!AG350))=7)*(CHOOSE({1,2,3,4},XT!X350,XT!AB350,XT!AF350,XT!AJ350)))</f>
        <v>0</v>
      </c>
      <c r="Z350" t="str">
        <f>IFERROR(INDEX(CHOOSE({1,2,3,4}, DAY(XT!U350), DAY(XT!Y350), DAY(XT!AC350), DAY(XT!AG350)), MATCH(1, INDEX(--(MONTH(CHOOSE({1,2,3,4}, XT!U350,XT!Y350,XT!AC350,XT!AG350))=7), 0), 0)), "")</f>
        <v/>
      </c>
      <c r="AA350" s="12" t="str">
        <f>IF(XT!$P350&gt;0,Z350,"")</f>
        <v/>
      </c>
      <c r="AB350" s="12" t="str">
        <f>IF(XT!$P350=0,Z350,"")</f>
        <v/>
      </c>
      <c r="AC350">
        <f>SUMPRODUCT((MONTH(CHOOSE({1,2,3,4},XT!U350,XT!Y350,XT!AC350,XT!AG350))=8)*(CHOOSE({1,2,3,4},XT!X350,XT!AB350,XT!AF350,XT!AJ350)))</f>
        <v>0</v>
      </c>
      <c r="AD350" t="str">
        <f>IFERROR(INDEX(CHOOSE({1,2,3,4}, DAY(XT!U350), DAY(XT!Y350), DAY(XT!AC350), DAY(XT!AG350)), MATCH(1, INDEX(--(MONTH(CHOOSE({1,2,3,4}, XT!U350,XT!Y350,XT!AC350,XT!AG350))=8), 0), 0)), "")</f>
        <v/>
      </c>
      <c r="AE350" s="12" t="str">
        <f>IF(XT!$P350&gt;0,AD350,"")</f>
        <v/>
      </c>
      <c r="AF350" s="12" t="str">
        <f>IF(XT!$P350=0,AD350,"")</f>
        <v/>
      </c>
      <c r="AG350">
        <f>SUMPRODUCT((MONTH(CHOOSE({1,2,3,4},XT!U350,XT!Y350,XT!AC350,XT!AG350))=9)*(CHOOSE({1,2,3,4},XT!X350,XT!AB350,XT!AF350,XT!AJ350)))</f>
        <v>0</v>
      </c>
      <c r="AH350" t="str">
        <f>IFERROR(INDEX(CHOOSE({1,2,3,4}, DAY(XT!U350), DAY(XT!Y350), DAY(XT!AC350), DAY(XT!AG350)), MATCH(1, INDEX(--(MONTH(CHOOSE({1,2,3,4}, XT!U350,XT!Y350,XT!AC350,XT!AG350))=9), 0), 0)), "")</f>
        <v/>
      </c>
      <c r="AI350" s="12" t="str">
        <f>IF(XT!$P350&gt;0,AH350,"")</f>
        <v/>
      </c>
      <c r="AJ350" s="12" t="str">
        <f>IF(XT!$P350=0,AH350,"")</f>
        <v/>
      </c>
      <c r="AK350">
        <f>SUMPRODUCT((MONTH(CHOOSE({1,2,3,4},XT!U350,XT!Y350,XT!AC350,XT!AG350))=10)*(CHOOSE({1,2,3,4},XT!X350,XT!AB350,XT!AF350,XT!AJ350)))</f>
        <v>0</v>
      </c>
      <c r="AL350" t="str">
        <f>IFERROR(INDEX(CHOOSE({1,2,3,4}, DAY(XT!U350), DAY(XT!Y350), DAY(XT!AC350), DAY(XT!AG350)), MATCH(1, INDEX(--(MONTH(CHOOSE({1,2,3,4}, XT!U350,XT!Y350,XT!AC350,XT!AG350))=10), 0), 0)), "")</f>
        <v/>
      </c>
      <c r="AM350" s="12" t="str">
        <f>IF(XT!$P350&gt;0,AL350,"")</f>
        <v/>
      </c>
      <c r="AN350" s="12" t="str">
        <f>IF(XT!$P350=0,AL350,"")</f>
        <v/>
      </c>
      <c r="AO350">
        <f>SUMPRODUCT((MONTH(CHOOSE({1,2,3,4},XT!U350,XT!Y350,XT!AC350,XT!AG350))=11)*(CHOOSE({1,2,3,4},XT!X350,XT!AB350,XT!AF350,XT!AJ350)))</f>
        <v>0</v>
      </c>
      <c r="AP350" t="str">
        <f>IFERROR(INDEX(CHOOSE({1,2,3,4}, DAY(XT!U350), DAY(XT!Y350), DAY(XT!AC350), DAY(XT!AG350)), MATCH(1, INDEX(--(MONTH(CHOOSE({1,2,3,4}, XT!U350,XT!Y350,XT!AC350,XT!AG350))=11), 0), 0)), "")</f>
        <v/>
      </c>
      <c r="AQ350" s="12" t="str">
        <f>IF(XT!$P350&gt;0,AP350,"")</f>
        <v/>
      </c>
      <c r="AR350" s="12" t="str">
        <f>IF(XT!$P350=0,AP350,"")</f>
        <v/>
      </c>
      <c r="AS350">
        <f>SUMPRODUCT((MONTH(CHOOSE({1,2,3,4},XT!U350,XT!Y350,XT!AC350,XT!AG350))=12)*(CHOOSE({1,2,3,4},XT!X350,XT!AB350,XT!AF350,XT!AJ350)))</f>
        <v>0</v>
      </c>
      <c r="AT350" t="str">
        <f>IFERROR(INDEX(CHOOSE({1,2,3,4}, DAY(XT!U350), DAY(XT!Y350), DAY(XT!AC350), DAY(XT!AG350)), MATCH(1, INDEX(--(MONTH(CHOOSE({1,2,3,4}, XT!U350,XT!Y350,XT!AC350,XT!AG350))=12), 0), 0)), "")</f>
        <v/>
      </c>
      <c r="AU350" s="12" t="str">
        <f>IF(XT!$P350&gt;0,AT350,"")</f>
        <v/>
      </c>
      <c r="AV350" s="12" t="str">
        <f>IF(XT!$P350=0,AT350,"")</f>
        <v/>
      </c>
    </row>
    <row r="351" spans="1:48">
      <c r="A351">
        <f>SUMPRODUCT((MONTH(CHOOSE({1,2,3,4},XT!U351,XT!Y351,XT!AC351,XT!AG351))=1)*(CHOOSE({1,2,3,4},XT!X351,XT!AB351,XT!AF351,XT!AJ351)))</f>
        <v>0</v>
      </c>
      <c r="B351">
        <f>IFERROR(INDEX(CHOOSE({1,2,3,4}, DAY(XT!U351), DAY(XT!Y351), DAY(XT!AC351), DAY(XT!AG351)), MATCH(1, INDEX(--(MONTH(CHOOSE({1,2,3,4}, XT!U351,XT!Y351,XT!AC351,XT!AG351))=1), 0), 0)), "")</f>
        <v>0</v>
      </c>
      <c r="C351" s="12" t="str">
        <f>IF(XT!$P351&gt;0,B351,"")</f>
        <v/>
      </c>
      <c r="D351" s="12">
        <f>IF(XT!$P351=0,B351,"")</f>
        <v>0</v>
      </c>
      <c r="E351">
        <f>SUMPRODUCT((MONTH(CHOOSE({1,2,3,4},XT!U351,XT!Y351,XT!AC351,XT!AG351))=2)*(CHOOSE({1,2,3,4},XT!X351,XT!AB351,XT!AF351,XT!AJ351)))</f>
        <v>0</v>
      </c>
      <c r="F351" t="str">
        <f>IFERROR(INDEX(CHOOSE({1,2,3,4}, DAY(XT!U351), DAY(XT!Y351), DAY(XT!AC351), DAY(XT!AG351)), MATCH(1, INDEX(--(MONTH(CHOOSE({1,2,3,4}, XT!U351,XT!Y351,XT!AC351,XT!AG351))=2), 0), 0)), "")</f>
        <v/>
      </c>
      <c r="G351" s="12" t="str">
        <f>IF(XT!$P351&gt;0,F351,"")</f>
        <v/>
      </c>
      <c r="H351" s="12" t="str">
        <f>IF(XT!$P351=0,F351,"")</f>
        <v/>
      </c>
      <c r="I351">
        <f>SUMPRODUCT((MONTH(CHOOSE({1,2,3,4},XT!U351,XT!Y351,XT!AC351,XT!AG351))=3)*(CHOOSE({1,2,3,4},XT!X351,XT!AB351,XT!AF351,XT!AJ351)))</f>
        <v>0</v>
      </c>
      <c r="J351" t="str">
        <f>IFERROR(INDEX(CHOOSE({1,2,3,4}, DAY(XT!U351), DAY(XT!Y351), DAY(XT!AC351), DAY(XT!AG351)), MATCH(1, INDEX(--(MONTH(CHOOSE({1,2,3,4}, XT!U351,XT!Y351,XT!AC351,XT!AG351))=3), 0), 0)), "")</f>
        <v/>
      </c>
      <c r="K351" s="12" t="str">
        <f>IF(XT!$P351&gt;0,J351,"")</f>
        <v/>
      </c>
      <c r="L351" s="12" t="str">
        <f>IF(XT!$P351=0,J351,"")</f>
        <v/>
      </c>
      <c r="M351">
        <f>SUMPRODUCT((MONTH(CHOOSE({1,2,3,4},XT!U351,XT!Y351,XT!AC351,XT!AG351))=4)*(CHOOSE({1,2,3,4},XT!X351,XT!AB351,XT!AF351,XT!AJ351)))</f>
        <v>0</v>
      </c>
      <c r="N351" t="str">
        <f>IFERROR(INDEX(CHOOSE({1,2,3,4}, DAY(XT!U351), DAY(XT!Y351), DAY(XT!AC351), DAY(XT!AG351)), MATCH(1, INDEX(--(MONTH(CHOOSE({1,2,3,4}, XT!U351,XT!Y351,XT!AC351,XT!AG351))=4), 0), 0)), "")</f>
        <v/>
      </c>
      <c r="O351" s="12" t="str">
        <f>IF(XT!$P351&gt;0,N351,"")</f>
        <v/>
      </c>
      <c r="P351" s="12" t="str">
        <f>IF(XT!$P351=0,N351,"")</f>
        <v/>
      </c>
      <c r="Q351">
        <f>SUMPRODUCT((MONTH(CHOOSE({1,2,3,4},XT!U351,XT!Y351,XT!AC351,XT!AG351))=5)*(CHOOSE({1,2,3,4},XT!X351,XT!AB351,XT!AF351,XT!AJ351)))</f>
        <v>0</v>
      </c>
      <c r="R351" t="str">
        <f>IFERROR(INDEX(CHOOSE({1,2,3,4}, DAY(XT!U351), DAY(XT!Y351), DAY(XT!AC351), DAY(XT!AG351)), MATCH(1, INDEX(--(MONTH(CHOOSE({1,2,3,4}, XT!U351,XT!Y351,XT!AC351,XT!AG351))=5), 0), 0)), "")</f>
        <v/>
      </c>
      <c r="S351" s="12" t="str">
        <f>IF(XT!$P351&gt;0,R351,"")</f>
        <v/>
      </c>
      <c r="T351" s="12" t="str">
        <f>IF(XT!$P351=0,R351,"")</f>
        <v/>
      </c>
      <c r="U351">
        <f>SUMPRODUCT((MONTH(CHOOSE({1,2,3,4},XT!U351,XT!Y351,XT!AC351,XT!AG351))=6)*(CHOOSE({1,2,3,4},XT!X351,XT!AB351,XT!AF351,XT!AJ351)))</f>
        <v>0</v>
      </c>
      <c r="V351" t="str">
        <f>IFERROR(INDEX(CHOOSE({1,2,3,4}, DAY(XT!U351), DAY(XT!Y351), DAY(XT!AC351), DAY(XT!AG351)), MATCH(1, INDEX(--(MONTH(CHOOSE({1,2,3,4}, XT!U351,XT!Y351,XT!AC351,XT!AG351))=6), 0), 0)), "")</f>
        <v/>
      </c>
      <c r="W351" s="12" t="str">
        <f>IF(XT!$P351&gt;0,V351,"")</f>
        <v/>
      </c>
      <c r="X351" s="12" t="str">
        <f>IF(XT!$P351=0,V351,"")</f>
        <v/>
      </c>
      <c r="Y351">
        <f>SUMPRODUCT((MONTH(CHOOSE({1,2,3,4},XT!U351,XT!Y351,XT!AC351,XT!AG351))=7)*(CHOOSE({1,2,3,4},XT!X351,XT!AB351,XT!AF351,XT!AJ351)))</f>
        <v>0</v>
      </c>
      <c r="Z351" t="str">
        <f>IFERROR(INDEX(CHOOSE({1,2,3,4}, DAY(XT!U351), DAY(XT!Y351), DAY(XT!AC351), DAY(XT!AG351)), MATCH(1, INDEX(--(MONTH(CHOOSE({1,2,3,4}, XT!U351,XT!Y351,XT!AC351,XT!AG351))=7), 0), 0)), "")</f>
        <v/>
      </c>
      <c r="AA351" s="12" t="str">
        <f>IF(XT!$P351&gt;0,Z351,"")</f>
        <v/>
      </c>
      <c r="AB351" s="12" t="str">
        <f>IF(XT!$P351=0,Z351,"")</f>
        <v/>
      </c>
      <c r="AC351">
        <f>SUMPRODUCT((MONTH(CHOOSE({1,2,3,4},XT!U351,XT!Y351,XT!AC351,XT!AG351))=8)*(CHOOSE({1,2,3,4},XT!X351,XT!AB351,XT!AF351,XT!AJ351)))</f>
        <v>0</v>
      </c>
      <c r="AD351" t="str">
        <f>IFERROR(INDEX(CHOOSE({1,2,3,4}, DAY(XT!U351), DAY(XT!Y351), DAY(XT!AC351), DAY(XT!AG351)), MATCH(1, INDEX(--(MONTH(CHOOSE({1,2,3,4}, XT!U351,XT!Y351,XT!AC351,XT!AG351))=8), 0), 0)), "")</f>
        <v/>
      </c>
      <c r="AE351" s="12" t="str">
        <f>IF(XT!$P351&gt;0,AD351,"")</f>
        <v/>
      </c>
      <c r="AF351" s="12" t="str">
        <f>IF(XT!$P351=0,AD351,"")</f>
        <v/>
      </c>
      <c r="AG351">
        <f>SUMPRODUCT((MONTH(CHOOSE({1,2,3,4},XT!U351,XT!Y351,XT!AC351,XT!AG351))=9)*(CHOOSE({1,2,3,4},XT!X351,XT!AB351,XT!AF351,XT!AJ351)))</f>
        <v>0</v>
      </c>
      <c r="AH351" t="str">
        <f>IFERROR(INDEX(CHOOSE({1,2,3,4}, DAY(XT!U351), DAY(XT!Y351), DAY(XT!AC351), DAY(XT!AG351)), MATCH(1, INDEX(--(MONTH(CHOOSE({1,2,3,4}, XT!U351,XT!Y351,XT!AC351,XT!AG351))=9), 0), 0)), "")</f>
        <v/>
      </c>
      <c r="AI351" s="12" t="str">
        <f>IF(XT!$P351&gt;0,AH351,"")</f>
        <v/>
      </c>
      <c r="AJ351" s="12" t="str">
        <f>IF(XT!$P351=0,AH351,"")</f>
        <v/>
      </c>
      <c r="AK351">
        <f>SUMPRODUCT((MONTH(CHOOSE({1,2,3,4},XT!U351,XT!Y351,XT!AC351,XT!AG351))=10)*(CHOOSE({1,2,3,4},XT!X351,XT!AB351,XT!AF351,XT!AJ351)))</f>
        <v>0</v>
      </c>
      <c r="AL351" t="str">
        <f>IFERROR(INDEX(CHOOSE({1,2,3,4}, DAY(XT!U351), DAY(XT!Y351), DAY(XT!AC351), DAY(XT!AG351)), MATCH(1, INDEX(--(MONTH(CHOOSE({1,2,3,4}, XT!U351,XT!Y351,XT!AC351,XT!AG351))=10), 0), 0)), "")</f>
        <v/>
      </c>
      <c r="AM351" s="12" t="str">
        <f>IF(XT!$P351&gt;0,AL351,"")</f>
        <v/>
      </c>
      <c r="AN351" s="12" t="str">
        <f>IF(XT!$P351=0,AL351,"")</f>
        <v/>
      </c>
      <c r="AO351">
        <f>SUMPRODUCT((MONTH(CHOOSE({1,2,3,4},XT!U351,XT!Y351,XT!AC351,XT!AG351))=11)*(CHOOSE({1,2,3,4},XT!X351,XT!AB351,XT!AF351,XT!AJ351)))</f>
        <v>0</v>
      </c>
      <c r="AP351" t="str">
        <f>IFERROR(INDEX(CHOOSE({1,2,3,4}, DAY(XT!U351), DAY(XT!Y351), DAY(XT!AC351), DAY(XT!AG351)), MATCH(1, INDEX(--(MONTH(CHOOSE({1,2,3,4}, XT!U351,XT!Y351,XT!AC351,XT!AG351))=11), 0), 0)), "")</f>
        <v/>
      </c>
      <c r="AQ351" s="12" t="str">
        <f>IF(XT!$P351&gt;0,AP351,"")</f>
        <v/>
      </c>
      <c r="AR351" s="12" t="str">
        <f>IF(XT!$P351=0,AP351,"")</f>
        <v/>
      </c>
      <c r="AS351">
        <f>SUMPRODUCT((MONTH(CHOOSE({1,2,3,4},XT!U351,XT!Y351,XT!AC351,XT!AG351))=12)*(CHOOSE({1,2,3,4},XT!X351,XT!AB351,XT!AF351,XT!AJ351)))</f>
        <v>0</v>
      </c>
      <c r="AT351" t="str">
        <f>IFERROR(INDEX(CHOOSE({1,2,3,4}, DAY(XT!U351), DAY(XT!Y351), DAY(XT!AC351), DAY(XT!AG351)), MATCH(1, INDEX(--(MONTH(CHOOSE({1,2,3,4}, XT!U351,XT!Y351,XT!AC351,XT!AG351))=12), 0), 0)), "")</f>
        <v/>
      </c>
      <c r="AU351" s="12" t="str">
        <f>IF(XT!$P351&gt;0,AT351,"")</f>
        <v/>
      </c>
      <c r="AV351" s="12" t="str">
        <f>IF(XT!$P351=0,AT351,"")</f>
        <v/>
      </c>
    </row>
    <row r="352" spans="1:48">
      <c r="A352">
        <f>SUMPRODUCT((MONTH(CHOOSE({1,2,3,4},XT!U352,XT!Y352,XT!AC352,XT!AG352))=1)*(CHOOSE({1,2,3,4},XT!X352,XT!AB352,XT!AF352,XT!AJ352)))</f>
        <v>0</v>
      </c>
      <c r="B352">
        <f>IFERROR(INDEX(CHOOSE({1,2,3,4}, DAY(XT!U352), DAY(XT!Y352), DAY(XT!AC352), DAY(XT!AG352)), MATCH(1, INDEX(--(MONTH(CHOOSE({1,2,3,4}, XT!U352,XT!Y352,XT!AC352,XT!AG352))=1), 0), 0)), "")</f>
        <v>0</v>
      </c>
      <c r="C352" s="12" t="str">
        <f>IF(XT!$P352&gt;0,B352,"")</f>
        <v/>
      </c>
      <c r="D352" s="12">
        <f>IF(XT!$P352=0,B352,"")</f>
        <v>0</v>
      </c>
      <c r="E352">
        <f>SUMPRODUCT((MONTH(CHOOSE({1,2,3,4},XT!U352,XT!Y352,XT!AC352,XT!AG352))=2)*(CHOOSE({1,2,3,4},XT!X352,XT!AB352,XT!AF352,XT!AJ352)))</f>
        <v>0</v>
      </c>
      <c r="F352" t="str">
        <f>IFERROR(INDEX(CHOOSE({1,2,3,4}, DAY(XT!U352), DAY(XT!Y352), DAY(XT!AC352), DAY(XT!AG352)), MATCH(1, INDEX(--(MONTH(CHOOSE({1,2,3,4}, XT!U352,XT!Y352,XT!AC352,XT!AG352))=2), 0), 0)), "")</f>
        <v/>
      </c>
      <c r="G352" s="12" t="str">
        <f>IF(XT!$P352&gt;0,F352,"")</f>
        <v/>
      </c>
      <c r="H352" s="12" t="str">
        <f>IF(XT!$P352=0,F352,"")</f>
        <v/>
      </c>
      <c r="I352">
        <f>SUMPRODUCT((MONTH(CHOOSE({1,2,3,4},XT!U352,XT!Y352,XT!AC352,XT!AG352))=3)*(CHOOSE({1,2,3,4},XT!X352,XT!AB352,XT!AF352,XT!AJ352)))</f>
        <v>0</v>
      </c>
      <c r="J352" t="str">
        <f>IFERROR(INDEX(CHOOSE({1,2,3,4}, DAY(XT!U352), DAY(XT!Y352), DAY(XT!AC352), DAY(XT!AG352)), MATCH(1, INDEX(--(MONTH(CHOOSE({1,2,3,4}, XT!U352,XT!Y352,XT!AC352,XT!AG352))=3), 0), 0)), "")</f>
        <v/>
      </c>
      <c r="K352" s="12" t="str">
        <f>IF(XT!$P352&gt;0,J352,"")</f>
        <v/>
      </c>
      <c r="L352" s="12" t="str">
        <f>IF(XT!$P352=0,J352,"")</f>
        <v/>
      </c>
      <c r="M352">
        <f>SUMPRODUCT((MONTH(CHOOSE({1,2,3,4},XT!U352,XT!Y352,XT!AC352,XT!AG352))=4)*(CHOOSE({1,2,3,4},XT!X352,XT!AB352,XT!AF352,XT!AJ352)))</f>
        <v>0</v>
      </c>
      <c r="N352" t="str">
        <f>IFERROR(INDEX(CHOOSE({1,2,3,4}, DAY(XT!U352), DAY(XT!Y352), DAY(XT!AC352), DAY(XT!AG352)), MATCH(1, INDEX(--(MONTH(CHOOSE({1,2,3,4}, XT!U352,XT!Y352,XT!AC352,XT!AG352))=4), 0), 0)), "")</f>
        <v/>
      </c>
      <c r="O352" s="12" t="str">
        <f>IF(XT!$P352&gt;0,N352,"")</f>
        <v/>
      </c>
      <c r="P352" s="12" t="str">
        <f>IF(XT!$P352=0,N352,"")</f>
        <v/>
      </c>
      <c r="Q352">
        <f>SUMPRODUCT((MONTH(CHOOSE({1,2,3,4},XT!U352,XT!Y352,XT!AC352,XT!AG352))=5)*(CHOOSE({1,2,3,4},XT!X352,XT!AB352,XT!AF352,XT!AJ352)))</f>
        <v>0</v>
      </c>
      <c r="R352" t="str">
        <f>IFERROR(INDEX(CHOOSE({1,2,3,4}, DAY(XT!U352), DAY(XT!Y352), DAY(XT!AC352), DAY(XT!AG352)), MATCH(1, INDEX(--(MONTH(CHOOSE({1,2,3,4}, XT!U352,XT!Y352,XT!AC352,XT!AG352))=5), 0), 0)), "")</f>
        <v/>
      </c>
      <c r="S352" s="12" t="str">
        <f>IF(XT!$P352&gt;0,R352,"")</f>
        <v/>
      </c>
      <c r="T352" s="12" t="str">
        <f>IF(XT!$P352=0,R352,"")</f>
        <v/>
      </c>
      <c r="U352">
        <f>SUMPRODUCT((MONTH(CHOOSE({1,2,3,4},XT!U352,XT!Y352,XT!AC352,XT!AG352))=6)*(CHOOSE({1,2,3,4},XT!X352,XT!AB352,XT!AF352,XT!AJ352)))</f>
        <v>0</v>
      </c>
      <c r="V352" t="str">
        <f>IFERROR(INDEX(CHOOSE({1,2,3,4}, DAY(XT!U352), DAY(XT!Y352), DAY(XT!AC352), DAY(XT!AG352)), MATCH(1, INDEX(--(MONTH(CHOOSE({1,2,3,4}, XT!U352,XT!Y352,XT!AC352,XT!AG352))=6), 0), 0)), "")</f>
        <v/>
      </c>
      <c r="W352" s="12" t="str">
        <f>IF(XT!$P352&gt;0,V352,"")</f>
        <v/>
      </c>
      <c r="X352" s="12" t="str">
        <f>IF(XT!$P352=0,V352,"")</f>
        <v/>
      </c>
      <c r="Y352">
        <f>SUMPRODUCT((MONTH(CHOOSE({1,2,3,4},XT!U352,XT!Y352,XT!AC352,XT!AG352))=7)*(CHOOSE({1,2,3,4},XT!X352,XT!AB352,XT!AF352,XT!AJ352)))</f>
        <v>0</v>
      </c>
      <c r="Z352" t="str">
        <f>IFERROR(INDEX(CHOOSE({1,2,3,4}, DAY(XT!U352), DAY(XT!Y352), DAY(XT!AC352), DAY(XT!AG352)), MATCH(1, INDEX(--(MONTH(CHOOSE({1,2,3,4}, XT!U352,XT!Y352,XT!AC352,XT!AG352))=7), 0), 0)), "")</f>
        <v/>
      </c>
      <c r="AA352" s="12" t="str">
        <f>IF(XT!$P352&gt;0,Z352,"")</f>
        <v/>
      </c>
      <c r="AB352" s="12" t="str">
        <f>IF(XT!$P352=0,Z352,"")</f>
        <v/>
      </c>
      <c r="AC352">
        <f>SUMPRODUCT((MONTH(CHOOSE({1,2,3,4},XT!U352,XT!Y352,XT!AC352,XT!AG352))=8)*(CHOOSE({1,2,3,4},XT!X352,XT!AB352,XT!AF352,XT!AJ352)))</f>
        <v>0</v>
      </c>
      <c r="AD352" t="str">
        <f>IFERROR(INDEX(CHOOSE({1,2,3,4}, DAY(XT!U352), DAY(XT!Y352), DAY(XT!AC352), DAY(XT!AG352)), MATCH(1, INDEX(--(MONTH(CHOOSE({1,2,3,4}, XT!U352,XT!Y352,XT!AC352,XT!AG352))=8), 0), 0)), "")</f>
        <v/>
      </c>
      <c r="AE352" s="12" t="str">
        <f>IF(XT!$P352&gt;0,AD352,"")</f>
        <v/>
      </c>
      <c r="AF352" s="12" t="str">
        <f>IF(XT!$P352=0,AD352,"")</f>
        <v/>
      </c>
      <c r="AG352">
        <f>SUMPRODUCT((MONTH(CHOOSE({1,2,3,4},XT!U352,XT!Y352,XT!AC352,XT!AG352))=9)*(CHOOSE({1,2,3,4},XT!X352,XT!AB352,XT!AF352,XT!AJ352)))</f>
        <v>0</v>
      </c>
      <c r="AH352" t="str">
        <f>IFERROR(INDEX(CHOOSE({1,2,3,4}, DAY(XT!U352), DAY(XT!Y352), DAY(XT!AC352), DAY(XT!AG352)), MATCH(1, INDEX(--(MONTH(CHOOSE({1,2,3,4}, XT!U352,XT!Y352,XT!AC352,XT!AG352))=9), 0), 0)), "")</f>
        <v/>
      </c>
      <c r="AI352" s="12" t="str">
        <f>IF(XT!$P352&gt;0,AH352,"")</f>
        <v/>
      </c>
      <c r="AJ352" s="12" t="str">
        <f>IF(XT!$P352=0,AH352,"")</f>
        <v/>
      </c>
      <c r="AK352">
        <f>SUMPRODUCT((MONTH(CHOOSE({1,2,3,4},XT!U352,XT!Y352,XT!AC352,XT!AG352))=10)*(CHOOSE({1,2,3,4},XT!X352,XT!AB352,XT!AF352,XT!AJ352)))</f>
        <v>0</v>
      </c>
      <c r="AL352" t="str">
        <f>IFERROR(INDEX(CHOOSE({1,2,3,4}, DAY(XT!U352), DAY(XT!Y352), DAY(XT!AC352), DAY(XT!AG352)), MATCH(1, INDEX(--(MONTH(CHOOSE({1,2,3,4}, XT!U352,XT!Y352,XT!AC352,XT!AG352))=10), 0), 0)), "")</f>
        <v/>
      </c>
      <c r="AM352" s="12" t="str">
        <f>IF(XT!$P352&gt;0,AL352,"")</f>
        <v/>
      </c>
      <c r="AN352" s="12" t="str">
        <f>IF(XT!$P352=0,AL352,"")</f>
        <v/>
      </c>
      <c r="AO352">
        <f>SUMPRODUCT((MONTH(CHOOSE({1,2,3,4},XT!U352,XT!Y352,XT!AC352,XT!AG352))=11)*(CHOOSE({1,2,3,4},XT!X352,XT!AB352,XT!AF352,XT!AJ352)))</f>
        <v>0</v>
      </c>
      <c r="AP352" t="str">
        <f>IFERROR(INDEX(CHOOSE({1,2,3,4}, DAY(XT!U352), DAY(XT!Y352), DAY(XT!AC352), DAY(XT!AG352)), MATCH(1, INDEX(--(MONTH(CHOOSE({1,2,3,4}, XT!U352,XT!Y352,XT!AC352,XT!AG352))=11), 0), 0)), "")</f>
        <v/>
      </c>
      <c r="AQ352" s="12" t="str">
        <f>IF(XT!$P352&gt;0,AP352,"")</f>
        <v/>
      </c>
      <c r="AR352" s="12" t="str">
        <f>IF(XT!$P352=0,AP352,"")</f>
        <v/>
      </c>
      <c r="AS352">
        <f>SUMPRODUCT((MONTH(CHOOSE({1,2,3,4},XT!U352,XT!Y352,XT!AC352,XT!AG352))=12)*(CHOOSE({1,2,3,4},XT!X352,XT!AB352,XT!AF352,XT!AJ352)))</f>
        <v>0</v>
      </c>
      <c r="AT352" t="str">
        <f>IFERROR(INDEX(CHOOSE({1,2,3,4}, DAY(XT!U352), DAY(XT!Y352), DAY(XT!AC352), DAY(XT!AG352)), MATCH(1, INDEX(--(MONTH(CHOOSE({1,2,3,4}, XT!U352,XT!Y352,XT!AC352,XT!AG352))=12), 0), 0)), "")</f>
        <v/>
      </c>
      <c r="AU352" s="12" t="str">
        <f>IF(XT!$P352&gt;0,AT352,"")</f>
        <v/>
      </c>
      <c r="AV352" s="12" t="str">
        <f>IF(XT!$P352=0,AT352,"")</f>
        <v/>
      </c>
    </row>
    <row r="353" spans="1:48">
      <c r="A353">
        <f>SUMPRODUCT((MONTH(CHOOSE({1,2,3,4},XT!U353,XT!Y353,XT!AC353,XT!AG353))=1)*(CHOOSE({1,2,3,4},XT!X353,XT!AB353,XT!AF353,XT!AJ353)))</f>
        <v>0</v>
      </c>
      <c r="B353">
        <f>IFERROR(INDEX(CHOOSE({1,2,3,4}, DAY(XT!U353), DAY(XT!Y353), DAY(XT!AC353), DAY(XT!AG353)), MATCH(1, INDEX(--(MONTH(CHOOSE({1,2,3,4}, XT!U353,XT!Y353,XT!AC353,XT!AG353))=1), 0), 0)), "")</f>
        <v>0</v>
      </c>
      <c r="C353" s="12" t="str">
        <f>IF(XT!$P353&gt;0,B353,"")</f>
        <v/>
      </c>
      <c r="D353" s="12">
        <f>IF(XT!$P353=0,B353,"")</f>
        <v>0</v>
      </c>
      <c r="E353">
        <f>SUMPRODUCT((MONTH(CHOOSE({1,2,3,4},XT!U353,XT!Y353,XT!AC353,XT!AG353))=2)*(CHOOSE({1,2,3,4},XT!X353,XT!AB353,XT!AF353,XT!AJ353)))</f>
        <v>0</v>
      </c>
      <c r="F353" t="str">
        <f>IFERROR(INDEX(CHOOSE({1,2,3,4}, DAY(XT!U353), DAY(XT!Y353), DAY(XT!AC353), DAY(XT!AG353)), MATCH(1, INDEX(--(MONTH(CHOOSE({1,2,3,4}, XT!U353,XT!Y353,XT!AC353,XT!AG353))=2), 0), 0)), "")</f>
        <v/>
      </c>
      <c r="G353" s="12" t="str">
        <f>IF(XT!$P353&gt;0,F353,"")</f>
        <v/>
      </c>
      <c r="H353" s="12" t="str">
        <f>IF(XT!$P353=0,F353,"")</f>
        <v/>
      </c>
      <c r="I353">
        <f>SUMPRODUCT((MONTH(CHOOSE({1,2,3,4},XT!U353,XT!Y353,XT!AC353,XT!AG353))=3)*(CHOOSE({1,2,3,4},XT!X353,XT!AB353,XT!AF353,XT!AJ353)))</f>
        <v>0</v>
      </c>
      <c r="J353" t="str">
        <f>IFERROR(INDEX(CHOOSE({1,2,3,4}, DAY(XT!U353), DAY(XT!Y353), DAY(XT!AC353), DAY(XT!AG353)), MATCH(1, INDEX(--(MONTH(CHOOSE({1,2,3,4}, XT!U353,XT!Y353,XT!AC353,XT!AG353))=3), 0), 0)), "")</f>
        <v/>
      </c>
      <c r="K353" s="12" t="str">
        <f>IF(XT!$P353&gt;0,J353,"")</f>
        <v/>
      </c>
      <c r="L353" s="12" t="str">
        <f>IF(XT!$P353=0,J353,"")</f>
        <v/>
      </c>
      <c r="M353">
        <f>SUMPRODUCT((MONTH(CHOOSE({1,2,3,4},XT!U353,XT!Y353,XT!AC353,XT!AG353))=4)*(CHOOSE({1,2,3,4},XT!X353,XT!AB353,XT!AF353,XT!AJ353)))</f>
        <v>0</v>
      </c>
      <c r="N353" t="str">
        <f>IFERROR(INDEX(CHOOSE({1,2,3,4}, DAY(XT!U353), DAY(XT!Y353), DAY(XT!AC353), DAY(XT!AG353)), MATCH(1, INDEX(--(MONTH(CHOOSE({1,2,3,4}, XT!U353,XT!Y353,XT!AC353,XT!AG353))=4), 0), 0)), "")</f>
        <v/>
      </c>
      <c r="O353" s="12" t="str">
        <f>IF(XT!$P353&gt;0,N353,"")</f>
        <v/>
      </c>
      <c r="P353" s="12" t="str">
        <f>IF(XT!$P353=0,N353,"")</f>
        <v/>
      </c>
      <c r="Q353">
        <f>SUMPRODUCT((MONTH(CHOOSE({1,2,3,4},XT!U353,XT!Y353,XT!AC353,XT!AG353))=5)*(CHOOSE({1,2,3,4},XT!X353,XT!AB353,XT!AF353,XT!AJ353)))</f>
        <v>0</v>
      </c>
      <c r="R353" t="str">
        <f>IFERROR(INDEX(CHOOSE({1,2,3,4}, DAY(XT!U353), DAY(XT!Y353), DAY(XT!AC353), DAY(XT!AG353)), MATCH(1, INDEX(--(MONTH(CHOOSE({1,2,3,4}, XT!U353,XT!Y353,XT!AC353,XT!AG353))=5), 0), 0)), "")</f>
        <v/>
      </c>
      <c r="S353" s="12" t="str">
        <f>IF(XT!$P353&gt;0,R353,"")</f>
        <v/>
      </c>
      <c r="T353" s="12" t="str">
        <f>IF(XT!$P353=0,R353,"")</f>
        <v/>
      </c>
      <c r="U353">
        <f>SUMPRODUCT((MONTH(CHOOSE({1,2,3,4},XT!U353,XT!Y353,XT!AC353,XT!AG353))=6)*(CHOOSE({1,2,3,4},XT!X353,XT!AB353,XT!AF353,XT!AJ353)))</f>
        <v>0</v>
      </c>
      <c r="V353" t="str">
        <f>IFERROR(INDEX(CHOOSE({1,2,3,4}, DAY(XT!U353), DAY(XT!Y353), DAY(XT!AC353), DAY(XT!AG353)), MATCH(1, INDEX(--(MONTH(CHOOSE({1,2,3,4}, XT!U353,XT!Y353,XT!AC353,XT!AG353))=6), 0), 0)), "")</f>
        <v/>
      </c>
      <c r="W353" s="12" t="str">
        <f>IF(XT!$P353&gt;0,V353,"")</f>
        <v/>
      </c>
      <c r="X353" s="12" t="str">
        <f>IF(XT!$P353=0,V353,"")</f>
        <v/>
      </c>
      <c r="Y353">
        <f>SUMPRODUCT((MONTH(CHOOSE({1,2,3,4},XT!U353,XT!Y353,XT!AC353,XT!AG353))=7)*(CHOOSE({1,2,3,4},XT!X353,XT!AB353,XT!AF353,XT!AJ353)))</f>
        <v>0</v>
      </c>
      <c r="Z353" t="str">
        <f>IFERROR(INDEX(CHOOSE({1,2,3,4}, DAY(XT!U353), DAY(XT!Y353), DAY(XT!AC353), DAY(XT!AG353)), MATCH(1, INDEX(--(MONTH(CHOOSE({1,2,3,4}, XT!U353,XT!Y353,XT!AC353,XT!AG353))=7), 0), 0)), "")</f>
        <v/>
      </c>
      <c r="AA353" s="12" t="str">
        <f>IF(XT!$P353&gt;0,Z353,"")</f>
        <v/>
      </c>
      <c r="AB353" s="12" t="str">
        <f>IF(XT!$P353=0,Z353,"")</f>
        <v/>
      </c>
      <c r="AC353">
        <f>SUMPRODUCT((MONTH(CHOOSE({1,2,3,4},XT!U353,XT!Y353,XT!AC353,XT!AG353))=8)*(CHOOSE({1,2,3,4},XT!X353,XT!AB353,XT!AF353,XT!AJ353)))</f>
        <v>0</v>
      </c>
      <c r="AD353" t="str">
        <f>IFERROR(INDEX(CHOOSE({1,2,3,4}, DAY(XT!U353), DAY(XT!Y353), DAY(XT!AC353), DAY(XT!AG353)), MATCH(1, INDEX(--(MONTH(CHOOSE({1,2,3,4}, XT!U353,XT!Y353,XT!AC353,XT!AG353))=8), 0), 0)), "")</f>
        <v/>
      </c>
      <c r="AE353" s="12" t="str">
        <f>IF(XT!$P353&gt;0,AD353,"")</f>
        <v/>
      </c>
      <c r="AF353" s="12" t="str">
        <f>IF(XT!$P353=0,AD353,"")</f>
        <v/>
      </c>
      <c r="AG353">
        <f>SUMPRODUCT((MONTH(CHOOSE({1,2,3,4},XT!U353,XT!Y353,XT!AC353,XT!AG353))=9)*(CHOOSE({1,2,3,4},XT!X353,XT!AB353,XT!AF353,XT!AJ353)))</f>
        <v>0</v>
      </c>
      <c r="AH353" t="str">
        <f>IFERROR(INDEX(CHOOSE({1,2,3,4}, DAY(XT!U353), DAY(XT!Y353), DAY(XT!AC353), DAY(XT!AG353)), MATCH(1, INDEX(--(MONTH(CHOOSE({1,2,3,4}, XT!U353,XT!Y353,XT!AC353,XT!AG353))=9), 0), 0)), "")</f>
        <v/>
      </c>
      <c r="AI353" s="12" t="str">
        <f>IF(XT!$P353&gt;0,AH353,"")</f>
        <v/>
      </c>
      <c r="AJ353" s="12" t="str">
        <f>IF(XT!$P353=0,AH353,"")</f>
        <v/>
      </c>
      <c r="AK353">
        <f>SUMPRODUCT((MONTH(CHOOSE({1,2,3,4},XT!U353,XT!Y353,XT!AC353,XT!AG353))=10)*(CHOOSE({1,2,3,4},XT!X353,XT!AB353,XT!AF353,XT!AJ353)))</f>
        <v>0</v>
      </c>
      <c r="AL353" t="str">
        <f>IFERROR(INDEX(CHOOSE({1,2,3,4}, DAY(XT!U353), DAY(XT!Y353), DAY(XT!AC353), DAY(XT!AG353)), MATCH(1, INDEX(--(MONTH(CHOOSE({1,2,3,4}, XT!U353,XT!Y353,XT!AC353,XT!AG353))=10), 0), 0)), "")</f>
        <v/>
      </c>
      <c r="AM353" s="12" t="str">
        <f>IF(XT!$P353&gt;0,AL353,"")</f>
        <v/>
      </c>
      <c r="AN353" s="12" t="str">
        <f>IF(XT!$P353=0,AL353,"")</f>
        <v/>
      </c>
      <c r="AO353">
        <f>SUMPRODUCT((MONTH(CHOOSE({1,2,3,4},XT!U353,XT!Y353,XT!AC353,XT!AG353))=11)*(CHOOSE({1,2,3,4},XT!X353,XT!AB353,XT!AF353,XT!AJ353)))</f>
        <v>0</v>
      </c>
      <c r="AP353" t="str">
        <f>IFERROR(INDEX(CHOOSE({1,2,3,4}, DAY(XT!U353), DAY(XT!Y353), DAY(XT!AC353), DAY(XT!AG353)), MATCH(1, INDEX(--(MONTH(CHOOSE({1,2,3,4}, XT!U353,XT!Y353,XT!AC353,XT!AG353))=11), 0), 0)), "")</f>
        <v/>
      </c>
      <c r="AQ353" s="12" t="str">
        <f>IF(XT!$P353&gt;0,AP353,"")</f>
        <v/>
      </c>
      <c r="AR353" s="12" t="str">
        <f>IF(XT!$P353=0,AP353,"")</f>
        <v/>
      </c>
      <c r="AS353">
        <f>SUMPRODUCT((MONTH(CHOOSE({1,2,3,4},XT!U353,XT!Y353,XT!AC353,XT!AG353))=12)*(CHOOSE({1,2,3,4},XT!X353,XT!AB353,XT!AF353,XT!AJ353)))</f>
        <v>0</v>
      </c>
      <c r="AT353" t="str">
        <f>IFERROR(INDEX(CHOOSE({1,2,3,4}, DAY(XT!U353), DAY(XT!Y353), DAY(XT!AC353), DAY(XT!AG353)), MATCH(1, INDEX(--(MONTH(CHOOSE({1,2,3,4}, XT!U353,XT!Y353,XT!AC353,XT!AG353))=12), 0), 0)), "")</f>
        <v/>
      </c>
      <c r="AU353" s="12" t="str">
        <f>IF(XT!$P353&gt;0,AT353,"")</f>
        <v/>
      </c>
      <c r="AV353" s="12" t="str">
        <f>IF(XT!$P353=0,AT353,"")</f>
        <v/>
      </c>
    </row>
    <row r="354" spans="1:48">
      <c r="A354">
        <f>SUMPRODUCT((MONTH(CHOOSE({1,2,3,4},XT!U354,XT!Y354,XT!AC354,XT!AG354))=1)*(CHOOSE({1,2,3,4},XT!X354,XT!AB354,XT!AF354,XT!AJ354)))</f>
        <v>0</v>
      </c>
      <c r="B354">
        <f>IFERROR(INDEX(CHOOSE({1,2,3,4}, DAY(XT!U354), DAY(XT!Y354), DAY(XT!AC354), DAY(XT!AG354)), MATCH(1, INDEX(--(MONTH(CHOOSE({1,2,3,4}, XT!U354,XT!Y354,XT!AC354,XT!AG354))=1), 0), 0)), "")</f>
        <v>0</v>
      </c>
      <c r="C354" s="12" t="str">
        <f>IF(XT!$P354&gt;0,B354,"")</f>
        <v/>
      </c>
      <c r="D354" s="12">
        <f>IF(XT!$P354=0,B354,"")</f>
        <v>0</v>
      </c>
      <c r="E354">
        <f>SUMPRODUCT((MONTH(CHOOSE({1,2,3,4},XT!U354,XT!Y354,XT!AC354,XT!AG354))=2)*(CHOOSE({1,2,3,4},XT!X354,XT!AB354,XT!AF354,XT!AJ354)))</f>
        <v>0</v>
      </c>
      <c r="F354" t="str">
        <f>IFERROR(INDEX(CHOOSE({1,2,3,4}, DAY(XT!U354), DAY(XT!Y354), DAY(XT!AC354), DAY(XT!AG354)), MATCH(1, INDEX(--(MONTH(CHOOSE({1,2,3,4}, XT!U354,XT!Y354,XT!AC354,XT!AG354))=2), 0), 0)), "")</f>
        <v/>
      </c>
      <c r="G354" s="12" t="str">
        <f>IF(XT!$P354&gt;0,F354,"")</f>
        <v/>
      </c>
      <c r="H354" s="12" t="str">
        <f>IF(XT!$P354=0,F354,"")</f>
        <v/>
      </c>
      <c r="I354">
        <f>SUMPRODUCT((MONTH(CHOOSE({1,2,3,4},XT!U354,XT!Y354,XT!AC354,XT!AG354))=3)*(CHOOSE({1,2,3,4},XT!X354,XT!AB354,XT!AF354,XT!AJ354)))</f>
        <v>0</v>
      </c>
      <c r="J354" t="str">
        <f>IFERROR(INDEX(CHOOSE({1,2,3,4}, DAY(XT!U354), DAY(XT!Y354), DAY(XT!AC354), DAY(XT!AG354)), MATCH(1, INDEX(--(MONTH(CHOOSE({1,2,3,4}, XT!U354,XT!Y354,XT!AC354,XT!AG354))=3), 0), 0)), "")</f>
        <v/>
      </c>
      <c r="K354" s="12" t="str">
        <f>IF(XT!$P354&gt;0,J354,"")</f>
        <v/>
      </c>
      <c r="L354" s="12" t="str">
        <f>IF(XT!$P354=0,J354,"")</f>
        <v/>
      </c>
      <c r="M354">
        <f>SUMPRODUCT((MONTH(CHOOSE({1,2,3,4},XT!U354,XT!Y354,XT!AC354,XT!AG354))=4)*(CHOOSE({1,2,3,4},XT!X354,XT!AB354,XT!AF354,XT!AJ354)))</f>
        <v>0</v>
      </c>
      <c r="N354" t="str">
        <f>IFERROR(INDEX(CHOOSE({1,2,3,4}, DAY(XT!U354), DAY(XT!Y354), DAY(XT!AC354), DAY(XT!AG354)), MATCH(1, INDEX(--(MONTH(CHOOSE({1,2,3,4}, XT!U354,XT!Y354,XT!AC354,XT!AG354))=4), 0), 0)), "")</f>
        <v/>
      </c>
      <c r="O354" s="12" t="str">
        <f>IF(XT!$P354&gt;0,N354,"")</f>
        <v/>
      </c>
      <c r="P354" s="12" t="str">
        <f>IF(XT!$P354=0,N354,"")</f>
        <v/>
      </c>
      <c r="Q354">
        <f>SUMPRODUCT((MONTH(CHOOSE({1,2,3,4},XT!U354,XT!Y354,XT!AC354,XT!AG354))=5)*(CHOOSE({1,2,3,4},XT!X354,XT!AB354,XT!AF354,XT!AJ354)))</f>
        <v>0</v>
      </c>
      <c r="R354" t="str">
        <f>IFERROR(INDEX(CHOOSE({1,2,3,4}, DAY(XT!U354), DAY(XT!Y354), DAY(XT!AC354), DAY(XT!AG354)), MATCH(1, INDEX(--(MONTH(CHOOSE({1,2,3,4}, XT!U354,XT!Y354,XT!AC354,XT!AG354))=5), 0), 0)), "")</f>
        <v/>
      </c>
      <c r="S354" s="12" t="str">
        <f>IF(XT!$P354&gt;0,R354,"")</f>
        <v/>
      </c>
      <c r="T354" s="12" t="str">
        <f>IF(XT!$P354=0,R354,"")</f>
        <v/>
      </c>
      <c r="U354">
        <f>SUMPRODUCT((MONTH(CHOOSE({1,2,3,4},XT!U354,XT!Y354,XT!AC354,XT!AG354))=6)*(CHOOSE({1,2,3,4},XT!X354,XT!AB354,XT!AF354,XT!AJ354)))</f>
        <v>0</v>
      </c>
      <c r="V354" t="str">
        <f>IFERROR(INDEX(CHOOSE({1,2,3,4}, DAY(XT!U354), DAY(XT!Y354), DAY(XT!AC354), DAY(XT!AG354)), MATCH(1, INDEX(--(MONTH(CHOOSE({1,2,3,4}, XT!U354,XT!Y354,XT!AC354,XT!AG354))=6), 0), 0)), "")</f>
        <v/>
      </c>
      <c r="W354" s="12" t="str">
        <f>IF(XT!$P354&gt;0,V354,"")</f>
        <v/>
      </c>
      <c r="X354" s="12" t="str">
        <f>IF(XT!$P354=0,V354,"")</f>
        <v/>
      </c>
      <c r="Y354">
        <f>SUMPRODUCT((MONTH(CHOOSE({1,2,3,4},XT!U354,XT!Y354,XT!AC354,XT!AG354))=7)*(CHOOSE({1,2,3,4},XT!X354,XT!AB354,XT!AF354,XT!AJ354)))</f>
        <v>0</v>
      </c>
      <c r="Z354" t="str">
        <f>IFERROR(INDEX(CHOOSE({1,2,3,4}, DAY(XT!U354), DAY(XT!Y354), DAY(XT!AC354), DAY(XT!AG354)), MATCH(1, INDEX(--(MONTH(CHOOSE({1,2,3,4}, XT!U354,XT!Y354,XT!AC354,XT!AG354))=7), 0), 0)), "")</f>
        <v/>
      </c>
      <c r="AA354" s="12" t="str">
        <f>IF(XT!$P354&gt;0,Z354,"")</f>
        <v/>
      </c>
      <c r="AB354" s="12" t="str">
        <f>IF(XT!$P354=0,Z354,"")</f>
        <v/>
      </c>
      <c r="AC354">
        <f>SUMPRODUCT((MONTH(CHOOSE({1,2,3,4},XT!U354,XT!Y354,XT!AC354,XT!AG354))=8)*(CHOOSE({1,2,3,4},XT!X354,XT!AB354,XT!AF354,XT!AJ354)))</f>
        <v>0</v>
      </c>
      <c r="AD354" t="str">
        <f>IFERROR(INDEX(CHOOSE({1,2,3,4}, DAY(XT!U354), DAY(XT!Y354), DAY(XT!AC354), DAY(XT!AG354)), MATCH(1, INDEX(--(MONTH(CHOOSE({1,2,3,4}, XT!U354,XT!Y354,XT!AC354,XT!AG354))=8), 0), 0)), "")</f>
        <v/>
      </c>
      <c r="AE354" s="12" t="str">
        <f>IF(XT!$P354&gt;0,AD354,"")</f>
        <v/>
      </c>
      <c r="AF354" s="12" t="str">
        <f>IF(XT!$P354=0,AD354,"")</f>
        <v/>
      </c>
      <c r="AG354">
        <f>SUMPRODUCT((MONTH(CHOOSE({1,2,3,4},XT!U354,XT!Y354,XT!AC354,XT!AG354))=9)*(CHOOSE({1,2,3,4},XT!X354,XT!AB354,XT!AF354,XT!AJ354)))</f>
        <v>0</v>
      </c>
      <c r="AH354" t="str">
        <f>IFERROR(INDEX(CHOOSE({1,2,3,4}, DAY(XT!U354), DAY(XT!Y354), DAY(XT!AC354), DAY(XT!AG354)), MATCH(1, INDEX(--(MONTH(CHOOSE({1,2,3,4}, XT!U354,XT!Y354,XT!AC354,XT!AG354))=9), 0), 0)), "")</f>
        <v/>
      </c>
      <c r="AI354" s="12" t="str">
        <f>IF(XT!$P354&gt;0,AH354,"")</f>
        <v/>
      </c>
      <c r="AJ354" s="12" t="str">
        <f>IF(XT!$P354=0,AH354,"")</f>
        <v/>
      </c>
      <c r="AK354">
        <f>SUMPRODUCT((MONTH(CHOOSE({1,2,3,4},XT!U354,XT!Y354,XT!AC354,XT!AG354))=10)*(CHOOSE({1,2,3,4},XT!X354,XT!AB354,XT!AF354,XT!AJ354)))</f>
        <v>0</v>
      </c>
      <c r="AL354" t="str">
        <f>IFERROR(INDEX(CHOOSE({1,2,3,4}, DAY(XT!U354), DAY(XT!Y354), DAY(XT!AC354), DAY(XT!AG354)), MATCH(1, INDEX(--(MONTH(CHOOSE({1,2,3,4}, XT!U354,XT!Y354,XT!AC354,XT!AG354))=10), 0), 0)), "")</f>
        <v/>
      </c>
      <c r="AM354" s="12" t="str">
        <f>IF(XT!$P354&gt;0,AL354,"")</f>
        <v/>
      </c>
      <c r="AN354" s="12" t="str">
        <f>IF(XT!$P354=0,AL354,"")</f>
        <v/>
      </c>
      <c r="AO354">
        <f>SUMPRODUCT((MONTH(CHOOSE({1,2,3,4},XT!U354,XT!Y354,XT!AC354,XT!AG354))=11)*(CHOOSE({1,2,3,4},XT!X354,XT!AB354,XT!AF354,XT!AJ354)))</f>
        <v>0</v>
      </c>
      <c r="AP354" t="str">
        <f>IFERROR(INDEX(CHOOSE({1,2,3,4}, DAY(XT!U354), DAY(XT!Y354), DAY(XT!AC354), DAY(XT!AG354)), MATCH(1, INDEX(--(MONTH(CHOOSE({1,2,3,4}, XT!U354,XT!Y354,XT!AC354,XT!AG354))=11), 0), 0)), "")</f>
        <v/>
      </c>
      <c r="AQ354" s="12" t="str">
        <f>IF(XT!$P354&gt;0,AP354,"")</f>
        <v/>
      </c>
      <c r="AR354" s="12" t="str">
        <f>IF(XT!$P354=0,AP354,"")</f>
        <v/>
      </c>
      <c r="AS354">
        <f>SUMPRODUCT((MONTH(CHOOSE({1,2,3,4},XT!U354,XT!Y354,XT!AC354,XT!AG354))=12)*(CHOOSE({1,2,3,4},XT!X354,XT!AB354,XT!AF354,XT!AJ354)))</f>
        <v>0</v>
      </c>
      <c r="AT354" t="str">
        <f>IFERROR(INDEX(CHOOSE({1,2,3,4}, DAY(XT!U354), DAY(XT!Y354), DAY(XT!AC354), DAY(XT!AG354)), MATCH(1, INDEX(--(MONTH(CHOOSE({1,2,3,4}, XT!U354,XT!Y354,XT!AC354,XT!AG354))=12), 0), 0)), "")</f>
        <v/>
      </c>
      <c r="AU354" s="12" t="str">
        <f>IF(XT!$P354&gt;0,AT354,"")</f>
        <v/>
      </c>
      <c r="AV354" s="12" t="str">
        <f>IF(XT!$P354=0,AT354,"")</f>
        <v/>
      </c>
    </row>
    <row r="355" spans="1:48">
      <c r="A355">
        <f>SUMPRODUCT((MONTH(CHOOSE({1,2,3,4},XT!U355,XT!Y355,XT!AC355,XT!AG355))=1)*(CHOOSE({1,2,3,4},XT!X355,XT!AB355,XT!AF355,XT!AJ355)))</f>
        <v>0</v>
      </c>
      <c r="B355">
        <f>IFERROR(INDEX(CHOOSE({1,2,3,4}, DAY(XT!U355), DAY(XT!Y355), DAY(XT!AC355), DAY(XT!AG355)), MATCH(1, INDEX(--(MONTH(CHOOSE({1,2,3,4}, XT!U355,XT!Y355,XT!AC355,XT!AG355))=1), 0), 0)), "")</f>
        <v>0</v>
      </c>
      <c r="C355" s="12" t="str">
        <f>IF(XT!$P355&gt;0,B355,"")</f>
        <v/>
      </c>
      <c r="D355" s="12">
        <f>IF(XT!$P355=0,B355,"")</f>
        <v>0</v>
      </c>
      <c r="E355">
        <f>SUMPRODUCT((MONTH(CHOOSE({1,2,3,4},XT!U355,XT!Y355,XT!AC355,XT!AG355))=2)*(CHOOSE({1,2,3,4},XT!X355,XT!AB355,XT!AF355,XT!AJ355)))</f>
        <v>0</v>
      </c>
      <c r="F355" t="str">
        <f>IFERROR(INDEX(CHOOSE({1,2,3,4}, DAY(XT!U355), DAY(XT!Y355), DAY(XT!AC355), DAY(XT!AG355)), MATCH(1, INDEX(--(MONTH(CHOOSE({1,2,3,4}, XT!U355,XT!Y355,XT!AC355,XT!AG355))=2), 0), 0)), "")</f>
        <v/>
      </c>
      <c r="G355" s="12" t="str">
        <f>IF(XT!$P355&gt;0,F355,"")</f>
        <v/>
      </c>
      <c r="H355" s="12" t="str">
        <f>IF(XT!$P355=0,F355,"")</f>
        <v/>
      </c>
      <c r="I355">
        <f>SUMPRODUCT((MONTH(CHOOSE({1,2,3,4},XT!U355,XT!Y355,XT!AC355,XT!AG355))=3)*(CHOOSE({1,2,3,4},XT!X355,XT!AB355,XT!AF355,XT!AJ355)))</f>
        <v>0</v>
      </c>
      <c r="J355" t="str">
        <f>IFERROR(INDEX(CHOOSE({1,2,3,4}, DAY(XT!U355), DAY(XT!Y355), DAY(XT!AC355), DAY(XT!AG355)), MATCH(1, INDEX(--(MONTH(CHOOSE({1,2,3,4}, XT!U355,XT!Y355,XT!AC355,XT!AG355))=3), 0), 0)), "")</f>
        <v/>
      </c>
      <c r="K355" s="12" t="str">
        <f>IF(XT!$P355&gt;0,J355,"")</f>
        <v/>
      </c>
      <c r="L355" s="12" t="str">
        <f>IF(XT!$P355=0,J355,"")</f>
        <v/>
      </c>
      <c r="M355">
        <f>SUMPRODUCT((MONTH(CHOOSE({1,2,3,4},XT!U355,XT!Y355,XT!AC355,XT!AG355))=4)*(CHOOSE({1,2,3,4},XT!X355,XT!AB355,XT!AF355,XT!AJ355)))</f>
        <v>0</v>
      </c>
      <c r="N355" t="str">
        <f>IFERROR(INDEX(CHOOSE({1,2,3,4}, DAY(XT!U355), DAY(XT!Y355), DAY(XT!AC355), DAY(XT!AG355)), MATCH(1, INDEX(--(MONTH(CHOOSE({1,2,3,4}, XT!U355,XT!Y355,XT!AC355,XT!AG355))=4), 0), 0)), "")</f>
        <v/>
      </c>
      <c r="O355" s="12" t="str">
        <f>IF(XT!$P355&gt;0,N355,"")</f>
        <v/>
      </c>
      <c r="P355" s="12" t="str">
        <f>IF(XT!$P355=0,N355,"")</f>
        <v/>
      </c>
      <c r="Q355">
        <f>SUMPRODUCT((MONTH(CHOOSE({1,2,3,4},XT!U355,XT!Y355,XT!AC355,XT!AG355))=5)*(CHOOSE({1,2,3,4},XT!X355,XT!AB355,XT!AF355,XT!AJ355)))</f>
        <v>0</v>
      </c>
      <c r="R355" t="str">
        <f>IFERROR(INDEX(CHOOSE({1,2,3,4}, DAY(XT!U355), DAY(XT!Y355), DAY(XT!AC355), DAY(XT!AG355)), MATCH(1, INDEX(--(MONTH(CHOOSE({1,2,3,4}, XT!U355,XT!Y355,XT!AC355,XT!AG355))=5), 0), 0)), "")</f>
        <v/>
      </c>
      <c r="S355" s="12" t="str">
        <f>IF(XT!$P355&gt;0,R355,"")</f>
        <v/>
      </c>
      <c r="T355" s="12" t="str">
        <f>IF(XT!$P355=0,R355,"")</f>
        <v/>
      </c>
      <c r="U355">
        <f>SUMPRODUCT((MONTH(CHOOSE({1,2,3,4},XT!U355,XT!Y355,XT!AC355,XT!AG355))=6)*(CHOOSE({1,2,3,4},XT!X355,XT!AB355,XT!AF355,XT!AJ355)))</f>
        <v>0</v>
      </c>
      <c r="V355" t="str">
        <f>IFERROR(INDEX(CHOOSE({1,2,3,4}, DAY(XT!U355), DAY(XT!Y355), DAY(XT!AC355), DAY(XT!AG355)), MATCH(1, INDEX(--(MONTH(CHOOSE({1,2,3,4}, XT!U355,XT!Y355,XT!AC355,XT!AG355))=6), 0), 0)), "")</f>
        <v/>
      </c>
      <c r="W355" s="12" t="str">
        <f>IF(XT!$P355&gt;0,V355,"")</f>
        <v/>
      </c>
      <c r="X355" s="12" t="str">
        <f>IF(XT!$P355=0,V355,"")</f>
        <v/>
      </c>
      <c r="Y355">
        <f>SUMPRODUCT((MONTH(CHOOSE({1,2,3,4},XT!U355,XT!Y355,XT!AC355,XT!AG355))=7)*(CHOOSE({1,2,3,4},XT!X355,XT!AB355,XT!AF355,XT!AJ355)))</f>
        <v>0</v>
      </c>
      <c r="Z355" t="str">
        <f>IFERROR(INDEX(CHOOSE({1,2,3,4}, DAY(XT!U355), DAY(XT!Y355), DAY(XT!AC355), DAY(XT!AG355)), MATCH(1, INDEX(--(MONTH(CHOOSE({1,2,3,4}, XT!U355,XT!Y355,XT!AC355,XT!AG355))=7), 0), 0)), "")</f>
        <v/>
      </c>
      <c r="AA355" s="12" t="str">
        <f>IF(XT!$P355&gt;0,Z355,"")</f>
        <v/>
      </c>
      <c r="AB355" s="12" t="str">
        <f>IF(XT!$P355=0,Z355,"")</f>
        <v/>
      </c>
      <c r="AC355">
        <f>SUMPRODUCT((MONTH(CHOOSE({1,2,3,4},XT!U355,XT!Y355,XT!AC355,XT!AG355))=8)*(CHOOSE({1,2,3,4},XT!X355,XT!AB355,XT!AF355,XT!AJ355)))</f>
        <v>0</v>
      </c>
      <c r="AD355" t="str">
        <f>IFERROR(INDEX(CHOOSE({1,2,3,4}, DAY(XT!U355), DAY(XT!Y355), DAY(XT!AC355), DAY(XT!AG355)), MATCH(1, INDEX(--(MONTH(CHOOSE({1,2,3,4}, XT!U355,XT!Y355,XT!AC355,XT!AG355))=8), 0), 0)), "")</f>
        <v/>
      </c>
      <c r="AE355" s="12" t="str">
        <f>IF(XT!$P355&gt;0,AD355,"")</f>
        <v/>
      </c>
      <c r="AF355" s="12" t="str">
        <f>IF(XT!$P355=0,AD355,"")</f>
        <v/>
      </c>
      <c r="AG355">
        <f>SUMPRODUCT((MONTH(CHOOSE({1,2,3,4},XT!U355,XT!Y355,XT!AC355,XT!AG355))=9)*(CHOOSE({1,2,3,4},XT!X355,XT!AB355,XT!AF355,XT!AJ355)))</f>
        <v>0</v>
      </c>
      <c r="AH355" t="str">
        <f>IFERROR(INDEX(CHOOSE({1,2,3,4}, DAY(XT!U355), DAY(XT!Y355), DAY(XT!AC355), DAY(XT!AG355)), MATCH(1, INDEX(--(MONTH(CHOOSE({1,2,3,4}, XT!U355,XT!Y355,XT!AC355,XT!AG355))=9), 0), 0)), "")</f>
        <v/>
      </c>
      <c r="AI355" s="12" t="str">
        <f>IF(XT!$P355&gt;0,AH355,"")</f>
        <v/>
      </c>
      <c r="AJ355" s="12" t="str">
        <f>IF(XT!$P355=0,AH355,"")</f>
        <v/>
      </c>
      <c r="AK355">
        <f>SUMPRODUCT((MONTH(CHOOSE({1,2,3,4},XT!U355,XT!Y355,XT!AC355,XT!AG355))=10)*(CHOOSE({1,2,3,4},XT!X355,XT!AB355,XT!AF355,XT!AJ355)))</f>
        <v>0</v>
      </c>
      <c r="AL355" t="str">
        <f>IFERROR(INDEX(CHOOSE({1,2,3,4}, DAY(XT!U355), DAY(XT!Y355), DAY(XT!AC355), DAY(XT!AG355)), MATCH(1, INDEX(--(MONTH(CHOOSE({1,2,3,4}, XT!U355,XT!Y355,XT!AC355,XT!AG355))=10), 0), 0)), "")</f>
        <v/>
      </c>
      <c r="AM355" s="12" t="str">
        <f>IF(XT!$P355&gt;0,AL355,"")</f>
        <v/>
      </c>
      <c r="AN355" s="12" t="str">
        <f>IF(XT!$P355=0,AL355,"")</f>
        <v/>
      </c>
      <c r="AO355">
        <f>SUMPRODUCT((MONTH(CHOOSE({1,2,3,4},XT!U355,XT!Y355,XT!AC355,XT!AG355))=11)*(CHOOSE({1,2,3,4},XT!X355,XT!AB355,XT!AF355,XT!AJ355)))</f>
        <v>0</v>
      </c>
      <c r="AP355" t="str">
        <f>IFERROR(INDEX(CHOOSE({1,2,3,4}, DAY(XT!U355), DAY(XT!Y355), DAY(XT!AC355), DAY(XT!AG355)), MATCH(1, INDEX(--(MONTH(CHOOSE({1,2,3,4}, XT!U355,XT!Y355,XT!AC355,XT!AG355))=11), 0), 0)), "")</f>
        <v/>
      </c>
      <c r="AQ355" s="12" t="str">
        <f>IF(XT!$P355&gt;0,AP355,"")</f>
        <v/>
      </c>
      <c r="AR355" s="12" t="str">
        <f>IF(XT!$P355=0,AP355,"")</f>
        <v/>
      </c>
      <c r="AS355">
        <f>SUMPRODUCT((MONTH(CHOOSE({1,2,3,4},XT!U355,XT!Y355,XT!AC355,XT!AG355))=12)*(CHOOSE({1,2,3,4},XT!X355,XT!AB355,XT!AF355,XT!AJ355)))</f>
        <v>0</v>
      </c>
      <c r="AT355" t="str">
        <f>IFERROR(INDEX(CHOOSE({1,2,3,4}, DAY(XT!U355), DAY(XT!Y355), DAY(XT!AC355), DAY(XT!AG355)), MATCH(1, INDEX(--(MONTH(CHOOSE({1,2,3,4}, XT!U355,XT!Y355,XT!AC355,XT!AG355))=12), 0), 0)), "")</f>
        <v/>
      </c>
      <c r="AU355" s="12" t="str">
        <f>IF(XT!$P355&gt;0,AT355,"")</f>
        <v/>
      </c>
      <c r="AV355" s="12" t="str">
        <f>IF(XT!$P355=0,AT355,"")</f>
        <v/>
      </c>
    </row>
    <row r="356" spans="1:48">
      <c r="A356">
        <f>SUMPRODUCT((MONTH(CHOOSE({1,2,3,4},XT!U356,XT!Y356,XT!AC356,XT!AG356))=1)*(CHOOSE({1,2,3,4},XT!X356,XT!AB356,XT!AF356,XT!AJ356)))</f>
        <v>0</v>
      </c>
      <c r="B356">
        <f>IFERROR(INDEX(CHOOSE({1,2,3,4}, DAY(XT!U356), DAY(XT!Y356), DAY(XT!AC356), DAY(XT!AG356)), MATCH(1, INDEX(--(MONTH(CHOOSE({1,2,3,4}, XT!U356,XT!Y356,XT!AC356,XT!AG356))=1), 0), 0)), "")</f>
        <v>0</v>
      </c>
      <c r="C356" s="12" t="str">
        <f>IF(XT!$P356&gt;0,B356,"")</f>
        <v/>
      </c>
      <c r="D356" s="12">
        <f>IF(XT!$P356=0,B356,"")</f>
        <v>0</v>
      </c>
      <c r="E356">
        <f>SUMPRODUCT((MONTH(CHOOSE({1,2,3,4},XT!U356,XT!Y356,XT!AC356,XT!AG356))=2)*(CHOOSE({1,2,3,4},XT!X356,XT!AB356,XT!AF356,XT!AJ356)))</f>
        <v>0</v>
      </c>
      <c r="F356" t="str">
        <f>IFERROR(INDEX(CHOOSE({1,2,3,4}, DAY(XT!U356), DAY(XT!Y356), DAY(XT!AC356), DAY(XT!AG356)), MATCH(1, INDEX(--(MONTH(CHOOSE({1,2,3,4}, XT!U356,XT!Y356,XT!AC356,XT!AG356))=2), 0), 0)), "")</f>
        <v/>
      </c>
      <c r="G356" s="12" t="str">
        <f>IF(XT!$P356&gt;0,F356,"")</f>
        <v/>
      </c>
      <c r="H356" s="12" t="str">
        <f>IF(XT!$P356=0,F356,"")</f>
        <v/>
      </c>
      <c r="I356">
        <f>SUMPRODUCT((MONTH(CHOOSE({1,2,3,4},XT!U356,XT!Y356,XT!AC356,XT!AG356))=3)*(CHOOSE({1,2,3,4},XT!X356,XT!AB356,XT!AF356,XT!AJ356)))</f>
        <v>0</v>
      </c>
      <c r="J356" t="str">
        <f>IFERROR(INDEX(CHOOSE({1,2,3,4}, DAY(XT!U356), DAY(XT!Y356), DAY(XT!AC356), DAY(XT!AG356)), MATCH(1, INDEX(--(MONTH(CHOOSE({1,2,3,4}, XT!U356,XT!Y356,XT!AC356,XT!AG356))=3), 0), 0)), "")</f>
        <v/>
      </c>
      <c r="K356" s="12" t="str">
        <f>IF(XT!$P356&gt;0,J356,"")</f>
        <v/>
      </c>
      <c r="L356" s="12" t="str">
        <f>IF(XT!$P356=0,J356,"")</f>
        <v/>
      </c>
      <c r="M356">
        <f>SUMPRODUCT((MONTH(CHOOSE({1,2,3,4},XT!U356,XT!Y356,XT!AC356,XT!AG356))=4)*(CHOOSE({1,2,3,4},XT!X356,XT!AB356,XT!AF356,XT!AJ356)))</f>
        <v>0</v>
      </c>
      <c r="N356" t="str">
        <f>IFERROR(INDEX(CHOOSE({1,2,3,4}, DAY(XT!U356), DAY(XT!Y356), DAY(XT!AC356), DAY(XT!AG356)), MATCH(1, INDEX(--(MONTH(CHOOSE({1,2,3,4}, XT!U356,XT!Y356,XT!AC356,XT!AG356))=4), 0), 0)), "")</f>
        <v/>
      </c>
      <c r="O356" s="12" t="str">
        <f>IF(XT!$P356&gt;0,N356,"")</f>
        <v/>
      </c>
      <c r="P356" s="12" t="str">
        <f>IF(XT!$P356=0,N356,"")</f>
        <v/>
      </c>
      <c r="Q356">
        <f>SUMPRODUCT((MONTH(CHOOSE({1,2,3,4},XT!U356,XT!Y356,XT!AC356,XT!AG356))=5)*(CHOOSE({1,2,3,4},XT!X356,XT!AB356,XT!AF356,XT!AJ356)))</f>
        <v>0</v>
      </c>
      <c r="R356" t="str">
        <f>IFERROR(INDEX(CHOOSE({1,2,3,4}, DAY(XT!U356), DAY(XT!Y356), DAY(XT!AC356), DAY(XT!AG356)), MATCH(1, INDEX(--(MONTH(CHOOSE({1,2,3,4}, XT!U356,XT!Y356,XT!AC356,XT!AG356))=5), 0), 0)), "")</f>
        <v/>
      </c>
      <c r="S356" s="12" t="str">
        <f>IF(XT!$P356&gt;0,R356,"")</f>
        <v/>
      </c>
      <c r="T356" s="12" t="str">
        <f>IF(XT!$P356=0,R356,"")</f>
        <v/>
      </c>
      <c r="U356">
        <f>SUMPRODUCT((MONTH(CHOOSE({1,2,3,4},XT!U356,XT!Y356,XT!AC356,XT!AG356))=6)*(CHOOSE({1,2,3,4},XT!X356,XT!AB356,XT!AF356,XT!AJ356)))</f>
        <v>0</v>
      </c>
      <c r="V356" t="str">
        <f>IFERROR(INDEX(CHOOSE({1,2,3,4}, DAY(XT!U356), DAY(XT!Y356), DAY(XT!AC356), DAY(XT!AG356)), MATCH(1, INDEX(--(MONTH(CHOOSE({1,2,3,4}, XT!U356,XT!Y356,XT!AC356,XT!AG356))=6), 0), 0)), "")</f>
        <v/>
      </c>
      <c r="W356" s="12" t="str">
        <f>IF(XT!$P356&gt;0,V356,"")</f>
        <v/>
      </c>
      <c r="X356" s="12" t="str">
        <f>IF(XT!$P356=0,V356,"")</f>
        <v/>
      </c>
      <c r="Y356">
        <f>SUMPRODUCT((MONTH(CHOOSE({1,2,3,4},XT!U356,XT!Y356,XT!AC356,XT!AG356))=7)*(CHOOSE({1,2,3,4},XT!X356,XT!AB356,XT!AF356,XT!AJ356)))</f>
        <v>0</v>
      </c>
      <c r="Z356" t="str">
        <f>IFERROR(INDEX(CHOOSE({1,2,3,4}, DAY(XT!U356), DAY(XT!Y356), DAY(XT!AC356), DAY(XT!AG356)), MATCH(1, INDEX(--(MONTH(CHOOSE({1,2,3,4}, XT!U356,XT!Y356,XT!AC356,XT!AG356))=7), 0), 0)), "")</f>
        <v/>
      </c>
      <c r="AA356" s="12" t="str">
        <f>IF(XT!$P356&gt;0,Z356,"")</f>
        <v/>
      </c>
      <c r="AB356" s="12" t="str">
        <f>IF(XT!$P356=0,Z356,"")</f>
        <v/>
      </c>
      <c r="AC356">
        <f>SUMPRODUCT((MONTH(CHOOSE({1,2,3,4},XT!U356,XT!Y356,XT!AC356,XT!AG356))=8)*(CHOOSE({1,2,3,4},XT!X356,XT!AB356,XT!AF356,XT!AJ356)))</f>
        <v>0</v>
      </c>
      <c r="AD356" t="str">
        <f>IFERROR(INDEX(CHOOSE({1,2,3,4}, DAY(XT!U356), DAY(XT!Y356), DAY(XT!AC356), DAY(XT!AG356)), MATCH(1, INDEX(--(MONTH(CHOOSE({1,2,3,4}, XT!U356,XT!Y356,XT!AC356,XT!AG356))=8), 0), 0)), "")</f>
        <v/>
      </c>
      <c r="AE356" s="12" t="str">
        <f>IF(XT!$P356&gt;0,AD356,"")</f>
        <v/>
      </c>
      <c r="AF356" s="12" t="str">
        <f>IF(XT!$P356=0,AD356,"")</f>
        <v/>
      </c>
      <c r="AG356">
        <f>SUMPRODUCT((MONTH(CHOOSE({1,2,3,4},XT!U356,XT!Y356,XT!AC356,XT!AG356))=9)*(CHOOSE({1,2,3,4},XT!X356,XT!AB356,XT!AF356,XT!AJ356)))</f>
        <v>0</v>
      </c>
      <c r="AH356" t="str">
        <f>IFERROR(INDEX(CHOOSE({1,2,3,4}, DAY(XT!U356), DAY(XT!Y356), DAY(XT!AC356), DAY(XT!AG356)), MATCH(1, INDEX(--(MONTH(CHOOSE({1,2,3,4}, XT!U356,XT!Y356,XT!AC356,XT!AG356))=9), 0), 0)), "")</f>
        <v/>
      </c>
      <c r="AI356" s="12" t="str">
        <f>IF(XT!$P356&gt;0,AH356,"")</f>
        <v/>
      </c>
      <c r="AJ356" s="12" t="str">
        <f>IF(XT!$P356=0,AH356,"")</f>
        <v/>
      </c>
      <c r="AK356">
        <f>SUMPRODUCT((MONTH(CHOOSE({1,2,3,4},XT!U356,XT!Y356,XT!AC356,XT!AG356))=10)*(CHOOSE({1,2,3,4},XT!X356,XT!AB356,XT!AF356,XT!AJ356)))</f>
        <v>0</v>
      </c>
      <c r="AL356" t="str">
        <f>IFERROR(INDEX(CHOOSE({1,2,3,4}, DAY(XT!U356), DAY(XT!Y356), DAY(XT!AC356), DAY(XT!AG356)), MATCH(1, INDEX(--(MONTH(CHOOSE({1,2,3,4}, XT!U356,XT!Y356,XT!AC356,XT!AG356))=10), 0), 0)), "")</f>
        <v/>
      </c>
      <c r="AM356" s="12" t="str">
        <f>IF(XT!$P356&gt;0,AL356,"")</f>
        <v/>
      </c>
      <c r="AN356" s="12" t="str">
        <f>IF(XT!$P356=0,AL356,"")</f>
        <v/>
      </c>
      <c r="AO356">
        <f>SUMPRODUCT((MONTH(CHOOSE({1,2,3,4},XT!U356,XT!Y356,XT!AC356,XT!AG356))=11)*(CHOOSE({1,2,3,4},XT!X356,XT!AB356,XT!AF356,XT!AJ356)))</f>
        <v>0</v>
      </c>
      <c r="AP356" t="str">
        <f>IFERROR(INDEX(CHOOSE({1,2,3,4}, DAY(XT!U356), DAY(XT!Y356), DAY(XT!AC356), DAY(XT!AG356)), MATCH(1, INDEX(--(MONTH(CHOOSE({1,2,3,4}, XT!U356,XT!Y356,XT!AC356,XT!AG356))=11), 0), 0)), "")</f>
        <v/>
      </c>
      <c r="AQ356" s="12" t="str">
        <f>IF(XT!$P356&gt;0,AP356,"")</f>
        <v/>
      </c>
      <c r="AR356" s="12" t="str">
        <f>IF(XT!$P356=0,AP356,"")</f>
        <v/>
      </c>
      <c r="AS356">
        <f>SUMPRODUCT((MONTH(CHOOSE({1,2,3,4},XT!U356,XT!Y356,XT!AC356,XT!AG356))=12)*(CHOOSE({1,2,3,4},XT!X356,XT!AB356,XT!AF356,XT!AJ356)))</f>
        <v>0</v>
      </c>
      <c r="AT356" t="str">
        <f>IFERROR(INDEX(CHOOSE({1,2,3,4}, DAY(XT!U356), DAY(XT!Y356), DAY(XT!AC356), DAY(XT!AG356)), MATCH(1, INDEX(--(MONTH(CHOOSE({1,2,3,4}, XT!U356,XT!Y356,XT!AC356,XT!AG356))=12), 0), 0)), "")</f>
        <v/>
      </c>
      <c r="AU356" s="12" t="str">
        <f>IF(XT!$P356&gt;0,AT356,"")</f>
        <v/>
      </c>
      <c r="AV356" s="12" t="str">
        <f>IF(XT!$P356=0,AT356,"")</f>
        <v/>
      </c>
    </row>
    <row r="357" spans="1:48">
      <c r="A357">
        <f>SUMPRODUCT((MONTH(CHOOSE({1,2,3,4},XT!U357,XT!Y357,XT!AC357,XT!AG357))=1)*(CHOOSE({1,2,3,4},XT!X357,XT!AB357,XT!AF357,XT!AJ357)))</f>
        <v>0</v>
      </c>
      <c r="B357">
        <f>IFERROR(INDEX(CHOOSE({1,2,3,4}, DAY(XT!U357), DAY(XT!Y357), DAY(XT!AC357), DAY(XT!AG357)), MATCH(1, INDEX(--(MONTH(CHOOSE({1,2,3,4}, XT!U357,XT!Y357,XT!AC357,XT!AG357))=1), 0), 0)), "")</f>
        <v>0</v>
      </c>
      <c r="C357" s="12" t="str">
        <f>IF(XT!$P357&gt;0,B357,"")</f>
        <v/>
      </c>
      <c r="D357" s="12">
        <f>IF(XT!$P357=0,B357,"")</f>
        <v>0</v>
      </c>
      <c r="E357">
        <f>SUMPRODUCT((MONTH(CHOOSE({1,2,3,4},XT!U357,XT!Y357,XT!AC357,XT!AG357))=2)*(CHOOSE({1,2,3,4},XT!X357,XT!AB357,XT!AF357,XT!AJ357)))</f>
        <v>0</v>
      </c>
      <c r="F357" t="str">
        <f>IFERROR(INDEX(CHOOSE({1,2,3,4}, DAY(XT!U357), DAY(XT!Y357), DAY(XT!AC357), DAY(XT!AG357)), MATCH(1, INDEX(--(MONTH(CHOOSE({1,2,3,4}, XT!U357,XT!Y357,XT!AC357,XT!AG357))=2), 0), 0)), "")</f>
        <v/>
      </c>
      <c r="G357" s="12" t="str">
        <f>IF(XT!$P357&gt;0,F357,"")</f>
        <v/>
      </c>
      <c r="H357" s="12" t="str">
        <f>IF(XT!$P357=0,F357,"")</f>
        <v/>
      </c>
      <c r="I357">
        <f>SUMPRODUCT((MONTH(CHOOSE({1,2,3,4},XT!U357,XT!Y357,XT!AC357,XT!AG357))=3)*(CHOOSE({1,2,3,4},XT!X357,XT!AB357,XT!AF357,XT!AJ357)))</f>
        <v>0</v>
      </c>
      <c r="J357" t="str">
        <f>IFERROR(INDEX(CHOOSE({1,2,3,4}, DAY(XT!U357), DAY(XT!Y357), DAY(XT!AC357), DAY(XT!AG357)), MATCH(1, INDEX(--(MONTH(CHOOSE({1,2,3,4}, XT!U357,XT!Y357,XT!AC357,XT!AG357))=3), 0), 0)), "")</f>
        <v/>
      </c>
      <c r="K357" s="12" t="str">
        <f>IF(XT!$P357&gt;0,J357,"")</f>
        <v/>
      </c>
      <c r="L357" s="12" t="str">
        <f>IF(XT!$P357=0,J357,"")</f>
        <v/>
      </c>
      <c r="M357">
        <f>SUMPRODUCT((MONTH(CHOOSE({1,2,3,4},XT!U357,XT!Y357,XT!AC357,XT!AG357))=4)*(CHOOSE({1,2,3,4},XT!X357,XT!AB357,XT!AF357,XT!AJ357)))</f>
        <v>0</v>
      </c>
      <c r="N357" t="str">
        <f>IFERROR(INDEX(CHOOSE({1,2,3,4}, DAY(XT!U357), DAY(XT!Y357), DAY(XT!AC357), DAY(XT!AG357)), MATCH(1, INDEX(--(MONTH(CHOOSE({1,2,3,4}, XT!U357,XT!Y357,XT!AC357,XT!AG357))=4), 0), 0)), "")</f>
        <v/>
      </c>
      <c r="O357" s="12" t="str">
        <f>IF(XT!$P357&gt;0,N357,"")</f>
        <v/>
      </c>
      <c r="P357" s="12" t="str">
        <f>IF(XT!$P357=0,N357,"")</f>
        <v/>
      </c>
      <c r="Q357">
        <f>SUMPRODUCT((MONTH(CHOOSE({1,2,3,4},XT!U357,XT!Y357,XT!AC357,XT!AG357))=5)*(CHOOSE({1,2,3,4},XT!X357,XT!AB357,XT!AF357,XT!AJ357)))</f>
        <v>0</v>
      </c>
      <c r="R357" t="str">
        <f>IFERROR(INDEX(CHOOSE({1,2,3,4}, DAY(XT!U357), DAY(XT!Y357), DAY(XT!AC357), DAY(XT!AG357)), MATCH(1, INDEX(--(MONTH(CHOOSE({1,2,3,4}, XT!U357,XT!Y357,XT!AC357,XT!AG357))=5), 0), 0)), "")</f>
        <v/>
      </c>
      <c r="S357" s="12" t="str">
        <f>IF(XT!$P357&gt;0,R357,"")</f>
        <v/>
      </c>
      <c r="T357" s="12" t="str">
        <f>IF(XT!$P357=0,R357,"")</f>
        <v/>
      </c>
      <c r="U357">
        <f>SUMPRODUCT((MONTH(CHOOSE({1,2,3,4},XT!U357,XT!Y357,XT!AC357,XT!AG357))=6)*(CHOOSE({1,2,3,4},XT!X357,XT!AB357,XT!AF357,XT!AJ357)))</f>
        <v>0</v>
      </c>
      <c r="V357" t="str">
        <f>IFERROR(INDEX(CHOOSE({1,2,3,4}, DAY(XT!U357), DAY(XT!Y357), DAY(XT!AC357), DAY(XT!AG357)), MATCH(1, INDEX(--(MONTH(CHOOSE({1,2,3,4}, XT!U357,XT!Y357,XT!AC357,XT!AG357))=6), 0), 0)), "")</f>
        <v/>
      </c>
      <c r="W357" s="12" t="str">
        <f>IF(XT!$P357&gt;0,V357,"")</f>
        <v/>
      </c>
      <c r="X357" s="12" t="str">
        <f>IF(XT!$P357=0,V357,"")</f>
        <v/>
      </c>
      <c r="Y357">
        <f>SUMPRODUCT((MONTH(CHOOSE({1,2,3,4},XT!U357,XT!Y357,XT!AC357,XT!AG357))=7)*(CHOOSE({1,2,3,4},XT!X357,XT!AB357,XT!AF357,XT!AJ357)))</f>
        <v>0</v>
      </c>
      <c r="Z357" t="str">
        <f>IFERROR(INDEX(CHOOSE({1,2,3,4}, DAY(XT!U357), DAY(XT!Y357), DAY(XT!AC357), DAY(XT!AG357)), MATCH(1, INDEX(--(MONTH(CHOOSE({1,2,3,4}, XT!U357,XT!Y357,XT!AC357,XT!AG357))=7), 0), 0)), "")</f>
        <v/>
      </c>
      <c r="AA357" s="12" t="str">
        <f>IF(XT!$P357&gt;0,Z357,"")</f>
        <v/>
      </c>
      <c r="AB357" s="12" t="str">
        <f>IF(XT!$P357=0,Z357,"")</f>
        <v/>
      </c>
      <c r="AC357">
        <f>SUMPRODUCT((MONTH(CHOOSE({1,2,3,4},XT!U357,XT!Y357,XT!AC357,XT!AG357))=8)*(CHOOSE({1,2,3,4},XT!X357,XT!AB357,XT!AF357,XT!AJ357)))</f>
        <v>0</v>
      </c>
      <c r="AD357" t="str">
        <f>IFERROR(INDEX(CHOOSE({1,2,3,4}, DAY(XT!U357), DAY(XT!Y357), DAY(XT!AC357), DAY(XT!AG357)), MATCH(1, INDEX(--(MONTH(CHOOSE({1,2,3,4}, XT!U357,XT!Y357,XT!AC357,XT!AG357))=8), 0), 0)), "")</f>
        <v/>
      </c>
      <c r="AE357" s="12" t="str">
        <f>IF(XT!$P357&gt;0,AD357,"")</f>
        <v/>
      </c>
      <c r="AF357" s="12" t="str">
        <f>IF(XT!$P357=0,AD357,"")</f>
        <v/>
      </c>
      <c r="AG357">
        <f>SUMPRODUCT((MONTH(CHOOSE({1,2,3,4},XT!U357,XT!Y357,XT!AC357,XT!AG357))=9)*(CHOOSE({1,2,3,4},XT!X357,XT!AB357,XT!AF357,XT!AJ357)))</f>
        <v>0</v>
      </c>
      <c r="AH357" t="str">
        <f>IFERROR(INDEX(CHOOSE({1,2,3,4}, DAY(XT!U357), DAY(XT!Y357), DAY(XT!AC357), DAY(XT!AG357)), MATCH(1, INDEX(--(MONTH(CHOOSE({1,2,3,4}, XT!U357,XT!Y357,XT!AC357,XT!AG357))=9), 0), 0)), "")</f>
        <v/>
      </c>
      <c r="AI357" s="12" t="str">
        <f>IF(XT!$P357&gt;0,AH357,"")</f>
        <v/>
      </c>
      <c r="AJ357" s="12" t="str">
        <f>IF(XT!$P357=0,AH357,"")</f>
        <v/>
      </c>
      <c r="AK357">
        <f>SUMPRODUCT((MONTH(CHOOSE({1,2,3,4},XT!U357,XT!Y357,XT!AC357,XT!AG357))=10)*(CHOOSE({1,2,3,4},XT!X357,XT!AB357,XT!AF357,XT!AJ357)))</f>
        <v>0</v>
      </c>
      <c r="AL357" t="str">
        <f>IFERROR(INDEX(CHOOSE({1,2,3,4}, DAY(XT!U357), DAY(XT!Y357), DAY(XT!AC357), DAY(XT!AG357)), MATCH(1, INDEX(--(MONTH(CHOOSE({1,2,3,4}, XT!U357,XT!Y357,XT!AC357,XT!AG357))=10), 0), 0)), "")</f>
        <v/>
      </c>
      <c r="AM357" s="12" t="str">
        <f>IF(XT!$P357&gt;0,AL357,"")</f>
        <v/>
      </c>
      <c r="AN357" s="12" t="str">
        <f>IF(XT!$P357=0,AL357,"")</f>
        <v/>
      </c>
      <c r="AO357">
        <f>SUMPRODUCT((MONTH(CHOOSE({1,2,3,4},XT!U357,XT!Y357,XT!AC357,XT!AG357))=11)*(CHOOSE({1,2,3,4},XT!X357,XT!AB357,XT!AF357,XT!AJ357)))</f>
        <v>0</v>
      </c>
      <c r="AP357" t="str">
        <f>IFERROR(INDEX(CHOOSE({1,2,3,4}, DAY(XT!U357), DAY(XT!Y357), DAY(XT!AC357), DAY(XT!AG357)), MATCH(1, INDEX(--(MONTH(CHOOSE({1,2,3,4}, XT!U357,XT!Y357,XT!AC357,XT!AG357))=11), 0), 0)), "")</f>
        <v/>
      </c>
      <c r="AQ357" s="12" t="str">
        <f>IF(XT!$P357&gt;0,AP357,"")</f>
        <v/>
      </c>
      <c r="AR357" s="12" t="str">
        <f>IF(XT!$P357=0,AP357,"")</f>
        <v/>
      </c>
      <c r="AS357">
        <f>SUMPRODUCT((MONTH(CHOOSE({1,2,3,4},XT!U357,XT!Y357,XT!AC357,XT!AG357))=12)*(CHOOSE({1,2,3,4},XT!X357,XT!AB357,XT!AF357,XT!AJ357)))</f>
        <v>0</v>
      </c>
      <c r="AT357" t="str">
        <f>IFERROR(INDEX(CHOOSE({1,2,3,4}, DAY(XT!U357), DAY(XT!Y357), DAY(XT!AC357), DAY(XT!AG357)), MATCH(1, INDEX(--(MONTH(CHOOSE({1,2,3,4}, XT!U357,XT!Y357,XT!AC357,XT!AG357))=12), 0), 0)), "")</f>
        <v/>
      </c>
      <c r="AU357" s="12" t="str">
        <f>IF(XT!$P357&gt;0,AT357,"")</f>
        <v/>
      </c>
      <c r="AV357" s="12" t="str">
        <f>IF(XT!$P357=0,AT357,"")</f>
        <v/>
      </c>
    </row>
    <row r="358" spans="1:48">
      <c r="A358">
        <f>SUMPRODUCT((MONTH(CHOOSE({1,2,3,4},XT!U358,XT!Y358,XT!AC358,XT!AG358))=1)*(CHOOSE({1,2,3,4},XT!X358,XT!AB358,XT!AF358,XT!AJ358)))</f>
        <v>0</v>
      </c>
      <c r="B358">
        <f>IFERROR(INDEX(CHOOSE({1,2,3,4}, DAY(XT!U358), DAY(XT!Y358), DAY(XT!AC358), DAY(XT!AG358)), MATCH(1, INDEX(--(MONTH(CHOOSE({1,2,3,4}, XT!U358,XT!Y358,XT!AC358,XT!AG358))=1), 0), 0)), "")</f>
        <v>0</v>
      </c>
      <c r="C358" s="12" t="str">
        <f>IF(XT!$P358&gt;0,B358,"")</f>
        <v/>
      </c>
      <c r="D358" s="12">
        <f>IF(XT!$P358=0,B358,"")</f>
        <v>0</v>
      </c>
      <c r="E358">
        <f>SUMPRODUCT((MONTH(CHOOSE({1,2,3,4},XT!U358,XT!Y358,XT!AC358,XT!AG358))=2)*(CHOOSE({1,2,3,4},XT!X358,XT!AB358,XT!AF358,XT!AJ358)))</f>
        <v>0</v>
      </c>
      <c r="F358" t="str">
        <f>IFERROR(INDEX(CHOOSE({1,2,3,4}, DAY(XT!U358), DAY(XT!Y358), DAY(XT!AC358), DAY(XT!AG358)), MATCH(1, INDEX(--(MONTH(CHOOSE({1,2,3,4}, XT!U358,XT!Y358,XT!AC358,XT!AG358))=2), 0), 0)), "")</f>
        <v/>
      </c>
      <c r="G358" s="12" t="str">
        <f>IF(XT!$P358&gt;0,F358,"")</f>
        <v/>
      </c>
      <c r="H358" s="12" t="str">
        <f>IF(XT!$P358=0,F358,"")</f>
        <v/>
      </c>
      <c r="I358">
        <f>SUMPRODUCT((MONTH(CHOOSE({1,2,3,4},XT!U358,XT!Y358,XT!AC358,XT!AG358))=3)*(CHOOSE({1,2,3,4},XT!X358,XT!AB358,XT!AF358,XT!AJ358)))</f>
        <v>0</v>
      </c>
      <c r="J358" t="str">
        <f>IFERROR(INDEX(CHOOSE({1,2,3,4}, DAY(XT!U358), DAY(XT!Y358), DAY(XT!AC358), DAY(XT!AG358)), MATCH(1, INDEX(--(MONTH(CHOOSE({1,2,3,4}, XT!U358,XT!Y358,XT!AC358,XT!AG358))=3), 0), 0)), "")</f>
        <v/>
      </c>
      <c r="K358" s="12" t="str">
        <f>IF(XT!$P358&gt;0,J358,"")</f>
        <v/>
      </c>
      <c r="L358" s="12" t="str">
        <f>IF(XT!$P358=0,J358,"")</f>
        <v/>
      </c>
      <c r="M358">
        <f>SUMPRODUCT((MONTH(CHOOSE({1,2,3,4},XT!U358,XT!Y358,XT!AC358,XT!AG358))=4)*(CHOOSE({1,2,3,4},XT!X358,XT!AB358,XT!AF358,XT!AJ358)))</f>
        <v>0</v>
      </c>
      <c r="N358" t="str">
        <f>IFERROR(INDEX(CHOOSE({1,2,3,4}, DAY(XT!U358), DAY(XT!Y358), DAY(XT!AC358), DAY(XT!AG358)), MATCH(1, INDEX(--(MONTH(CHOOSE({1,2,3,4}, XT!U358,XT!Y358,XT!AC358,XT!AG358))=4), 0), 0)), "")</f>
        <v/>
      </c>
      <c r="O358" s="12" t="str">
        <f>IF(XT!$P358&gt;0,N358,"")</f>
        <v/>
      </c>
      <c r="P358" s="12" t="str">
        <f>IF(XT!$P358=0,N358,"")</f>
        <v/>
      </c>
      <c r="Q358">
        <f>SUMPRODUCT((MONTH(CHOOSE({1,2,3,4},XT!U358,XT!Y358,XT!AC358,XT!AG358))=5)*(CHOOSE({1,2,3,4},XT!X358,XT!AB358,XT!AF358,XT!AJ358)))</f>
        <v>0</v>
      </c>
      <c r="R358" t="str">
        <f>IFERROR(INDEX(CHOOSE({1,2,3,4}, DAY(XT!U358), DAY(XT!Y358), DAY(XT!AC358), DAY(XT!AG358)), MATCH(1, INDEX(--(MONTH(CHOOSE({1,2,3,4}, XT!U358,XT!Y358,XT!AC358,XT!AG358))=5), 0), 0)), "")</f>
        <v/>
      </c>
      <c r="S358" s="12" t="str">
        <f>IF(XT!$P358&gt;0,R358,"")</f>
        <v/>
      </c>
      <c r="T358" s="12" t="str">
        <f>IF(XT!$P358=0,R358,"")</f>
        <v/>
      </c>
      <c r="U358">
        <f>SUMPRODUCT((MONTH(CHOOSE({1,2,3,4},XT!U358,XT!Y358,XT!AC358,XT!AG358))=6)*(CHOOSE({1,2,3,4},XT!X358,XT!AB358,XT!AF358,XT!AJ358)))</f>
        <v>0</v>
      </c>
      <c r="V358" t="str">
        <f>IFERROR(INDEX(CHOOSE({1,2,3,4}, DAY(XT!U358), DAY(XT!Y358), DAY(XT!AC358), DAY(XT!AG358)), MATCH(1, INDEX(--(MONTH(CHOOSE({1,2,3,4}, XT!U358,XT!Y358,XT!AC358,XT!AG358))=6), 0), 0)), "")</f>
        <v/>
      </c>
      <c r="W358" s="12" t="str">
        <f>IF(XT!$P358&gt;0,V358,"")</f>
        <v/>
      </c>
      <c r="X358" s="12" t="str">
        <f>IF(XT!$P358=0,V358,"")</f>
        <v/>
      </c>
      <c r="Y358">
        <f>SUMPRODUCT((MONTH(CHOOSE({1,2,3,4},XT!U358,XT!Y358,XT!AC358,XT!AG358))=7)*(CHOOSE({1,2,3,4},XT!X358,XT!AB358,XT!AF358,XT!AJ358)))</f>
        <v>0</v>
      </c>
      <c r="Z358" t="str">
        <f>IFERROR(INDEX(CHOOSE({1,2,3,4}, DAY(XT!U358), DAY(XT!Y358), DAY(XT!AC358), DAY(XT!AG358)), MATCH(1, INDEX(--(MONTH(CHOOSE({1,2,3,4}, XT!U358,XT!Y358,XT!AC358,XT!AG358))=7), 0), 0)), "")</f>
        <v/>
      </c>
      <c r="AA358" s="12" t="str">
        <f>IF(XT!$P358&gt;0,Z358,"")</f>
        <v/>
      </c>
      <c r="AB358" s="12" t="str">
        <f>IF(XT!$P358=0,Z358,"")</f>
        <v/>
      </c>
      <c r="AC358">
        <f>SUMPRODUCT((MONTH(CHOOSE({1,2,3,4},XT!U358,XT!Y358,XT!AC358,XT!AG358))=8)*(CHOOSE({1,2,3,4},XT!X358,XT!AB358,XT!AF358,XT!AJ358)))</f>
        <v>0</v>
      </c>
      <c r="AD358" t="str">
        <f>IFERROR(INDEX(CHOOSE({1,2,3,4}, DAY(XT!U358), DAY(XT!Y358), DAY(XT!AC358), DAY(XT!AG358)), MATCH(1, INDEX(--(MONTH(CHOOSE({1,2,3,4}, XT!U358,XT!Y358,XT!AC358,XT!AG358))=8), 0), 0)), "")</f>
        <v/>
      </c>
      <c r="AE358" s="12" t="str">
        <f>IF(XT!$P358&gt;0,AD358,"")</f>
        <v/>
      </c>
      <c r="AF358" s="12" t="str">
        <f>IF(XT!$P358=0,AD358,"")</f>
        <v/>
      </c>
      <c r="AG358">
        <f>SUMPRODUCT((MONTH(CHOOSE({1,2,3,4},XT!U358,XT!Y358,XT!AC358,XT!AG358))=9)*(CHOOSE({1,2,3,4},XT!X358,XT!AB358,XT!AF358,XT!AJ358)))</f>
        <v>0</v>
      </c>
      <c r="AH358" t="str">
        <f>IFERROR(INDEX(CHOOSE({1,2,3,4}, DAY(XT!U358), DAY(XT!Y358), DAY(XT!AC358), DAY(XT!AG358)), MATCH(1, INDEX(--(MONTH(CHOOSE({1,2,3,4}, XT!U358,XT!Y358,XT!AC358,XT!AG358))=9), 0), 0)), "")</f>
        <v/>
      </c>
      <c r="AI358" s="12" t="str">
        <f>IF(XT!$P358&gt;0,AH358,"")</f>
        <v/>
      </c>
      <c r="AJ358" s="12" t="str">
        <f>IF(XT!$P358=0,AH358,"")</f>
        <v/>
      </c>
      <c r="AK358">
        <f>SUMPRODUCT((MONTH(CHOOSE({1,2,3,4},XT!U358,XT!Y358,XT!AC358,XT!AG358))=10)*(CHOOSE({1,2,3,4},XT!X358,XT!AB358,XT!AF358,XT!AJ358)))</f>
        <v>0</v>
      </c>
      <c r="AL358" t="str">
        <f>IFERROR(INDEX(CHOOSE({1,2,3,4}, DAY(XT!U358), DAY(XT!Y358), DAY(XT!AC358), DAY(XT!AG358)), MATCH(1, INDEX(--(MONTH(CHOOSE({1,2,3,4}, XT!U358,XT!Y358,XT!AC358,XT!AG358))=10), 0), 0)), "")</f>
        <v/>
      </c>
      <c r="AM358" s="12" t="str">
        <f>IF(XT!$P358&gt;0,AL358,"")</f>
        <v/>
      </c>
      <c r="AN358" s="12" t="str">
        <f>IF(XT!$P358=0,AL358,"")</f>
        <v/>
      </c>
      <c r="AO358">
        <f>SUMPRODUCT((MONTH(CHOOSE({1,2,3,4},XT!U358,XT!Y358,XT!AC358,XT!AG358))=11)*(CHOOSE({1,2,3,4},XT!X358,XT!AB358,XT!AF358,XT!AJ358)))</f>
        <v>0</v>
      </c>
      <c r="AP358" t="str">
        <f>IFERROR(INDEX(CHOOSE({1,2,3,4}, DAY(XT!U358), DAY(XT!Y358), DAY(XT!AC358), DAY(XT!AG358)), MATCH(1, INDEX(--(MONTH(CHOOSE({1,2,3,4}, XT!U358,XT!Y358,XT!AC358,XT!AG358))=11), 0), 0)), "")</f>
        <v/>
      </c>
      <c r="AQ358" s="12" t="str">
        <f>IF(XT!$P358&gt;0,AP358,"")</f>
        <v/>
      </c>
      <c r="AR358" s="12" t="str">
        <f>IF(XT!$P358=0,AP358,"")</f>
        <v/>
      </c>
      <c r="AS358">
        <f>SUMPRODUCT((MONTH(CHOOSE({1,2,3,4},XT!U358,XT!Y358,XT!AC358,XT!AG358))=12)*(CHOOSE({1,2,3,4},XT!X358,XT!AB358,XT!AF358,XT!AJ358)))</f>
        <v>0</v>
      </c>
      <c r="AT358" t="str">
        <f>IFERROR(INDEX(CHOOSE({1,2,3,4}, DAY(XT!U358), DAY(XT!Y358), DAY(XT!AC358), DAY(XT!AG358)), MATCH(1, INDEX(--(MONTH(CHOOSE({1,2,3,4}, XT!U358,XT!Y358,XT!AC358,XT!AG358))=12), 0), 0)), "")</f>
        <v/>
      </c>
      <c r="AU358" s="12" t="str">
        <f>IF(XT!$P358&gt;0,AT358,"")</f>
        <v/>
      </c>
      <c r="AV358" s="12" t="str">
        <f>IF(XT!$P358=0,AT358,"")</f>
        <v/>
      </c>
    </row>
    <row r="359" spans="1:48">
      <c r="A359">
        <f>SUMPRODUCT((MONTH(CHOOSE({1,2,3,4},XT!U359,XT!Y359,XT!AC359,XT!AG359))=1)*(CHOOSE({1,2,3,4},XT!X359,XT!AB359,XT!AF359,XT!AJ359)))</f>
        <v>0</v>
      </c>
      <c r="B359">
        <f>IFERROR(INDEX(CHOOSE({1,2,3,4}, DAY(XT!U359), DAY(XT!Y359), DAY(XT!AC359), DAY(XT!AG359)), MATCH(1, INDEX(--(MONTH(CHOOSE({1,2,3,4}, XT!U359,XT!Y359,XT!AC359,XT!AG359))=1), 0), 0)), "")</f>
        <v>0</v>
      </c>
      <c r="C359" s="12" t="str">
        <f>IF(XT!$P359&gt;0,B359,"")</f>
        <v/>
      </c>
      <c r="D359" s="12">
        <f>IF(XT!$P359=0,B359,"")</f>
        <v>0</v>
      </c>
      <c r="E359">
        <f>SUMPRODUCT((MONTH(CHOOSE({1,2,3,4},XT!U359,XT!Y359,XT!AC359,XT!AG359))=2)*(CHOOSE({1,2,3,4},XT!X359,XT!AB359,XT!AF359,XT!AJ359)))</f>
        <v>0</v>
      </c>
      <c r="F359" t="str">
        <f>IFERROR(INDEX(CHOOSE({1,2,3,4}, DAY(XT!U359), DAY(XT!Y359), DAY(XT!AC359), DAY(XT!AG359)), MATCH(1, INDEX(--(MONTH(CHOOSE({1,2,3,4}, XT!U359,XT!Y359,XT!AC359,XT!AG359))=2), 0), 0)), "")</f>
        <v/>
      </c>
      <c r="G359" s="12" t="str">
        <f>IF(XT!$P359&gt;0,F359,"")</f>
        <v/>
      </c>
      <c r="H359" s="12" t="str">
        <f>IF(XT!$P359=0,F359,"")</f>
        <v/>
      </c>
      <c r="I359">
        <f>SUMPRODUCT((MONTH(CHOOSE({1,2,3,4},XT!U359,XT!Y359,XT!AC359,XT!AG359))=3)*(CHOOSE({1,2,3,4},XT!X359,XT!AB359,XT!AF359,XT!AJ359)))</f>
        <v>0</v>
      </c>
      <c r="J359" t="str">
        <f>IFERROR(INDEX(CHOOSE({1,2,3,4}, DAY(XT!U359), DAY(XT!Y359), DAY(XT!AC359), DAY(XT!AG359)), MATCH(1, INDEX(--(MONTH(CHOOSE({1,2,3,4}, XT!U359,XT!Y359,XT!AC359,XT!AG359))=3), 0), 0)), "")</f>
        <v/>
      </c>
      <c r="K359" s="12" t="str">
        <f>IF(XT!$P359&gt;0,J359,"")</f>
        <v/>
      </c>
      <c r="L359" s="12" t="str">
        <f>IF(XT!$P359=0,J359,"")</f>
        <v/>
      </c>
      <c r="M359">
        <f>SUMPRODUCT((MONTH(CHOOSE({1,2,3,4},XT!U359,XT!Y359,XT!AC359,XT!AG359))=4)*(CHOOSE({1,2,3,4},XT!X359,XT!AB359,XT!AF359,XT!AJ359)))</f>
        <v>0</v>
      </c>
      <c r="N359" t="str">
        <f>IFERROR(INDEX(CHOOSE({1,2,3,4}, DAY(XT!U359), DAY(XT!Y359), DAY(XT!AC359), DAY(XT!AG359)), MATCH(1, INDEX(--(MONTH(CHOOSE({1,2,3,4}, XT!U359,XT!Y359,XT!AC359,XT!AG359))=4), 0), 0)), "")</f>
        <v/>
      </c>
      <c r="O359" s="12" t="str">
        <f>IF(XT!$P359&gt;0,N359,"")</f>
        <v/>
      </c>
      <c r="P359" s="12" t="str">
        <f>IF(XT!$P359=0,N359,"")</f>
        <v/>
      </c>
      <c r="Q359">
        <f>SUMPRODUCT((MONTH(CHOOSE({1,2,3,4},XT!U359,XT!Y359,XT!AC359,XT!AG359))=5)*(CHOOSE({1,2,3,4},XT!X359,XT!AB359,XT!AF359,XT!AJ359)))</f>
        <v>0</v>
      </c>
      <c r="R359" t="str">
        <f>IFERROR(INDEX(CHOOSE({1,2,3,4}, DAY(XT!U359), DAY(XT!Y359), DAY(XT!AC359), DAY(XT!AG359)), MATCH(1, INDEX(--(MONTH(CHOOSE({1,2,3,4}, XT!U359,XT!Y359,XT!AC359,XT!AG359))=5), 0), 0)), "")</f>
        <v/>
      </c>
      <c r="S359" s="12" t="str">
        <f>IF(XT!$P359&gt;0,R359,"")</f>
        <v/>
      </c>
      <c r="T359" s="12" t="str">
        <f>IF(XT!$P359=0,R359,"")</f>
        <v/>
      </c>
      <c r="U359">
        <f>SUMPRODUCT((MONTH(CHOOSE({1,2,3,4},XT!U359,XT!Y359,XT!AC359,XT!AG359))=6)*(CHOOSE({1,2,3,4},XT!X359,XT!AB359,XT!AF359,XT!AJ359)))</f>
        <v>0</v>
      </c>
      <c r="V359" t="str">
        <f>IFERROR(INDEX(CHOOSE({1,2,3,4}, DAY(XT!U359), DAY(XT!Y359), DAY(XT!AC359), DAY(XT!AG359)), MATCH(1, INDEX(--(MONTH(CHOOSE({1,2,3,4}, XT!U359,XT!Y359,XT!AC359,XT!AG359))=6), 0), 0)), "")</f>
        <v/>
      </c>
      <c r="W359" s="12" t="str">
        <f>IF(XT!$P359&gt;0,V359,"")</f>
        <v/>
      </c>
      <c r="X359" s="12" t="str">
        <f>IF(XT!$P359=0,V359,"")</f>
        <v/>
      </c>
      <c r="Y359">
        <f>SUMPRODUCT((MONTH(CHOOSE({1,2,3,4},XT!U359,XT!Y359,XT!AC359,XT!AG359))=7)*(CHOOSE({1,2,3,4},XT!X359,XT!AB359,XT!AF359,XT!AJ359)))</f>
        <v>0</v>
      </c>
      <c r="Z359" t="str">
        <f>IFERROR(INDEX(CHOOSE({1,2,3,4}, DAY(XT!U359), DAY(XT!Y359), DAY(XT!AC359), DAY(XT!AG359)), MATCH(1, INDEX(--(MONTH(CHOOSE({1,2,3,4}, XT!U359,XT!Y359,XT!AC359,XT!AG359))=7), 0), 0)), "")</f>
        <v/>
      </c>
      <c r="AA359" s="12" t="str">
        <f>IF(XT!$P359&gt;0,Z359,"")</f>
        <v/>
      </c>
      <c r="AB359" s="12" t="str">
        <f>IF(XT!$P359=0,Z359,"")</f>
        <v/>
      </c>
      <c r="AC359">
        <f>SUMPRODUCT((MONTH(CHOOSE({1,2,3,4},XT!U359,XT!Y359,XT!AC359,XT!AG359))=8)*(CHOOSE({1,2,3,4},XT!X359,XT!AB359,XT!AF359,XT!AJ359)))</f>
        <v>0</v>
      </c>
      <c r="AD359" t="str">
        <f>IFERROR(INDEX(CHOOSE({1,2,3,4}, DAY(XT!U359), DAY(XT!Y359), DAY(XT!AC359), DAY(XT!AG359)), MATCH(1, INDEX(--(MONTH(CHOOSE({1,2,3,4}, XT!U359,XT!Y359,XT!AC359,XT!AG359))=8), 0), 0)), "")</f>
        <v/>
      </c>
      <c r="AE359" s="12" t="str">
        <f>IF(XT!$P359&gt;0,AD359,"")</f>
        <v/>
      </c>
      <c r="AF359" s="12" t="str">
        <f>IF(XT!$P359=0,AD359,"")</f>
        <v/>
      </c>
      <c r="AG359">
        <f>SUMPRODUCT((MONTH(CHOOSE({1,2,3,4},XT!U359,XT!Y359,XT!AC359,XT!AG359))=9)*(CHOOSE({1,2,3,4},XT!X359,XT!AB359,XT!AF359,XT!AJ359)))</f>
        <v>0</v>
      </c>
      <c r="AH359" t="str">
        <f>IFERROR(INDEX(CHOOSE({1,2,3,4}, DAY(XT!U359), DAY(XT!Y359), DAY(XT!AC359), DAY(XT!AG359)), MATCH(1, INDEX(--(MONTH(CHOOSE({1,2,3,4}, XT!U359,XT!Y359,XT!AC359,XT!AG359))=9), 0), 0)), "")</f>
        <v/>
      </c>
      <c r="AI359" s="12" t="str">
        <f>IF(XT!$P359&gt;0,AH359,"")</f>
        <v/>
      </c>
      <c r="AJ359" s="12" t="str">
        <f>IF(XT!$P359=0,AH359,"")</f>
        <v/>
      </c>
      <c r="AK359">
        <f>SUMPRODUCT((MONTH(CHOOSE({1,2,3,4},XT!U359,XT!Y359,XT!AC359,XT!AG359))=10)*(CHOOSE({1,2,3,4},XT!X359,XT!AB359,XT!AF359,XT!AJ359)))</f>
        <v>0</v>
      </c>
      <c r="AL359" t="str">
        <f>IFERROR(INDEX(CHOOSE({1,2,3,4}, DAY(XT!U359), DAY(XT!Y359), DAY(XT!AC359), DAY(XT!AG359)), MATCH(1, INDEX(--(MONTH(CHOOSE({1,2,3,4}, XT!U359,XT!Y359,XT!AC359,XT!AG359))=10), 0), 0)), "")</f>
        <v/>
      </c>
      <c r="AM359" s="12" t="str">
        <f>IF(XT!$P359&gt;0,AL359,"")</f>
        <v/>
      </c>
      <c r="AN359" s="12" t="str">
        <f>IF(XT!$P359=0,AL359,"")</f>
        <v/>
      </c>
      <c r="AO359">
        <f>SUMPRODUCT((MONTH(CHOOSE({1,2,3,4},XT!U359,XT!Y359,XT!AC359,XT!AG359))=11)*(CHOOSE({1,2,3,4},XT!X359,XT!AB359,XT!AF359,XT!AJ359)))</f>
        <v>0</v>
      </c>
      <c r="AP359" t="str">
        <f>IFERROR(INDEX(CHOOSE({1,2,3,4}, DAY(XT!U359), DAY(XT!Y359), DAY(XT!AC359), DAY(XT!AG359)), MATCH(1, INDEX(--(MONTH(CHOOSE({1,2,3,4}, XT!U359,XT!Y359,XT!AC359,XT!AG359))=11), 0), 0)), "")</f>
        <v/>
      </c>
      <c r="AQ359" s="12" t="str">
        <f>IF(XT!$P359&gt;0,AP359,"")</f>
        <v/>
      </c>
      <c r="AR359" s="12" t="str">
        <f>IF(XT!$P359=0,AP359,"")</f>
        <v/>
      </c>
      <c r="AS359">
        <f>SUMPRODUCT((MONTH(CHOOSE({1,2,3,4},XT!U359,XT!Y359,XT!AC359,XT!AG359))=12)*(CHOOSE({1,2,3,4},XT!X359,XT!AB359,XT!AF359,XT!AJ359)))</f>
        <v>0</v>
      </c>
      <c r="AT359" t="str">
        <f>IFERROR(INDEX(CHOOSE({1,2,3,4}, DAY(XT!U359), DAY(XT!Y359), DAY(XT!AC359), DAY(XT!AG359)), MATCH(1, INDEX(--(MONTH(CHOOSE({1,2,3,4}, XT!U359,XT!Y359,XT!AC359,XT!AG359))=12), 0), 0)), "")</f>
        <v/>
      </c>
      <c r="AU359" s="12" t="str">
        <f>IF(XT!$P359&gt;0,AT359,"")</f>
        <v/>
      </c>
      <c r="AV359" s="12" t="str">
        <f>IF(XT!$P359=0,AT359,"")</f>
        <v/>
      </c>
    </row>
    <row r="360" spans="1:48">
      <c r="A360">
        <f>SUMPRODUCT((MONTH(CHOOSE({1,2,3,4},XT!U360,XT!Y360,XT!AC360,XT!AG360))=1)*(CHOOSE({1,2,3,4},XT!X360,XT!AB360,XT!AF360,XT!AJ360)))</f>
        <v>0</v>
      </c>
      <c r="B360">
        <f>IFERROR(INDEX(CHOOSE({1,2,3,4}, DAY(XT!U360), DAY(XT!Y360), DAY(XT!AC360), DAY(XT!AG360)), MATCH(1, INDEX(--(MONTH(CHOOSE({1,2,3,4}, XT!U360,XT!Y360,XT!AC360,XT!AG360))=1), 0), 0)), "")</f>
        <v>0</v>
      </c>
      <c r="C360" s="12" t="str">
        <f>IF(XT!$P360&gt;0,B360,"")</f>
        <v/>
      </c>
      <c r="D360" s="12">
        <f>IF(XT!$P360=0,B360,"")</f>
        <v>0</v>
      </c>
      <c r="E360">
        <f>SUMPRODUCT((MONTH(CHOOSE({1,2,3,4},XT!U360,XT!Y360,XT!AC360,XT!AG360))=2)*(CHOOSE({1,2,3,4},XT!X360,XT!AB360,XT!AF360,XT!AJ360)))</f>
        <v>0</v>
      </c>
      <c r="F360" t="str">
        <f>IFERROR(INDEX(CHOOSE({1,2,3,4}, DAY(XT!U360), DAY(XT!Y360), DAY(XT!AC360), DAY(XT!AG360)), MATCH(1, INDEX(--(MONTH(CHOOSE({1,2,3,4}, XT!U360,XT!Y360,XT!AC360,XT!AG360))=2), 0), 0)), "")</f>
        <v/>
      </c>
      <c r="G360" s="12" t="str">
        <f>IF(XT!$P360&gt;0,F360,"")</f>
        <v/>
      </c>
      <c r="H360" s="12" t="str">
        <f>IF(XT!$P360=0,F360,"")</f>
        <v/>
      </c>
      <c r="I360">
        <f>SUMPRODUCT((MONTH(CHOOSE({1,2,3,4},XT!U360,XT!Y360,XT!AC360,XT!AG360))=3)*(CHOOSE({1,2,3,4},XT!X360,XT!AB360,XT!AF360,XT!AJ360)))</f>
        <v>0</v>
      </c>
      <c r="J360" t="str">
        <f>IFERROR(INDEX(CHOOSE({1,2,3,4}, DAY(XT!U360), DAY(XT!Y360), DAY(XT!AC360), DAY(XT!AG360)), MATCH(1, INDEX(--(MONTH(CHOOSE({1,2,3,4}, XT!U360,XT!Y360,XT!AC360,XT!AG360))=3), 0), 0)), "")</f>
        <v/>
      </c>
      <c r="K360" s="12" t="str">
        <f>IF(XT!$P360&gt;0,J360,"")</f>
        <v/>
      </c>
      <c r="L360" s="12" t="str">
        <f>IF(XT!$P360=0,J360,"")</f>
        <v/>
      </c>
      <c r="M360">
        <f>SUMPRODUCT((MONTH(CHOOSE({1,2,3,4},XT!U360,XT!Y360,XT!AC360,XT!AG360))=4)*(CHOOSE({1,2,3,4},XT!X360,XT!AB360,XT!AF360,XT!AJ360)))</f>
        <v>0</v>
      </c>
      <c r="N360" t="str">
        <f>IFERROR(INDEX(CHOOSE({1,2,3,4}, DAY(XT!U360), DAY(XT!Y360), DAY(XT!AC360), DAY(XT!AG360)), MATCH(1, INDEX(--(MONTH(CHOOSE({1,2,3,4}, XT!U360,XT!Y360,XT!AC360,XT!AG360))=4), 0), 0)), "")</f>
        <v/>
      </c>
      <c r="O360" s="12" t="str">
        <f>IF(XT!$P360&gt;0,N360,"")</f>
        <v/>
      </c>
      <c r="P360" s="12" t="str">
        <f>IF(XT!$P360=0,N360,"")</f>
        <v/>
      </c>
      <c r="Q360">
        <f>SUMPRODUCT((MONTH(CHOOSE({1,2,3,4},XT!U360,XT!Y360,XT!AC360,XT!AG360))=5)*(CHOOSE({1,2,3,4},XT!X360,XT!AB360,XT!AF360,XT!AJ360)))</f>
        <v>0</v>
      </c>
      <c r="R360" t="str">
        <f>IFERROR(INDEX(CHOOSE({1,2,3,4}, DAY(XT!U360), DAY(XT!Y360), DAY(XT!AC360), DAY(XT!AG360)), MATCH(1, INDEX(--(MONTH(CHOOSE({1,2,3,4}, XT!U360,XT!Y360,XT!AC360,XT!AG360))=5), 0), 0)), "")</f>
        <v/>
      </c>
      <c r="S360" s="12" t="str">
        <f>IF(XT!$P360&gt;0,R360,"")</f>
        <v/>
      </c>
      <c r="T360" s="12" t="str">
        <f>IF(XT!$P360=0,R360,"")</f>
        <v/>
      </c>
      <c r="U360">
        <f>SUMPRODUCT((MONTH(CHOOSE({1,2,3,4},XT!U360,XT!Y360,XT!AC360,XT!AG360))=6)*(CHOOSE({1,2,3,4},XT!X360,XT!AB360,XT!AF360,XT!AJ360)))</f>
        <v>0</v>
      </c>
      <c r="V360" t="str">
        <f>IFERROR(INDEX(CHOOSE({1,2,3,4}, DAY(XT!U360), DAY(XT!Y360), DAY(XT!AC360), DAY(XT!AG360)), MATCH(1, INDEX(--(MONTH(CHOOSE({1,2,3,4}, XT!U360,XT!Y360,XT!AC360,XT!AG360))=6), 0), 0)), "")</f>
        <v/>
      </c>
      <c r="W360" s="12" t="str">
        <f>IF(XT!$P360&gt;0,V360,"")</f>
        <v/>
      </c>
      <c r="X360" s="12" t="str">
        <f>IF(XT!$P360=0,V360,"")</f>
        <v/>
      </c>
      <c r="Y360">
        <f>SUMPRODUCT((MONTH(CHOOSE({1,2,3,4},XT!U360,XT!Y360,XT!AC360,XT!AG360))=7)*(CHOOSE({1,2,3,4},XT!X360,XT!AB360,XT!AF360,XT!AJ360)))</f>
        <v>0</v>
      </c>
      <c r="Z360" t="str">
        <f>IFERROR(INDEX(CHOOSE({1,2,3,4}, DAY(XT!U360), DAY(XT!Y360), DAY(XT!AC360), DAY(XT!AG360)), MATCH(1, INDEX(--(MONTH(CHOOSE({1,2,3,4}, XT!U360,XT!Y360,XT!AC360,XT!AG360))=7), 0), 0)), "")</f>
        <v/>
      </c>
      <c r="AA360" s="12" t="str">
        <f>IF(XT!$P360&gt;0,Z360,"")</f>
        <v/>
      </c>
      <c r="AB360" s="12" t="str">
        <f>IF(XT!$P360=0,Z360,"")</f>
        <v/>
      </c>
      <c r="AC360">
        <f>SUMPRODUCT((MONTH(CHOOSE({1,2,3,4},XT!U360,XT!Y360,XT!AC360,XT!AG360))=8)*(CHOOSE({1,2,3,4},XT!X360,XT!AB360,XT!AF360,XT!AJ360)))</f>
        <v>0</v>
      </c>
      <c r="AD360" t="str">
        <f>IFERROR(INDEX(CHOOSE({1,2,3,4}, DAY(XT!U360), DAY(XT!Y360), DAY(XT!AC360), DAY(XT!AG360)), MATCH(1, INDEX(--(MONTH(CHOOSE({1,2,3,4}, XT!U360,XT!Y360,XT!AC360,XT!AG360))=8), 0), 0)), "")</f>
        <v/>
      </c>
      <c r="AE360" s="12" t="str">
        <f>IF(XT!$P360&gt;0,AD360,"")</f>
        <v/>
      </c>
      <c r="AF360" s="12" t="str">
        <f>IF(XT!$P360=0,AD360,"")</f>
        <v/>
      </c>
      <c r="AG360">
        <f>SUMPRODUCT((MONTH(CHOOSE({1,2,3,4},XT!U360,XT!Y360,XT!AC360,XT!AG360))=9)*(CHOOSE({1,2,3,4},XT!X360,XT!AB360,XT!AF360,XT!AJ360)))</f>
        <v>0</v>
      </c>
      <c r="AH360" t="str">
        <f>IFERROR(INDEX(CHOOSE({1,2,3,4}, DAY(XT!U360), DAY(XT!Y360), DAY(XT!AC360), DAY(XT!AG360)), MATCH(1, INDEX(--(MONTH(CHOOSE({1,2,3,4}, XT!U360,XT!Y360,XT!AC360,XT!AG360))=9), 0), 0)), "")</f>
        <v/>
      </c>
      <c r="AI360" s="12" t="str">
        <f>IF(XT!$P360&gt;0,AH360,"")</f>
        <v/>
      </c>
      <c r="AJ360" s="12" t="str">
        <f>IF(XT!$P360=0,AH360,"")</f>
        <v/>
      </c>
      <c r="AK360">
        <f>SUMPRODUCT((MONTH(CHOOSE({1,2,3,4},XT!U360,XT!Y360,XT!AC360,XT!AG360))=10)*(CHOOSE({1,2,3,4},XT!X360,XT!AB360,XT!AF360,XT!AJ360)))</f>
        <v>0</v>
      </c>
      <c r="AL360" t="str">
        <f>IFERROR(INDEX(CHOOSE({1,2,3,4}, DAY(XT!U360), DAY(XT!Y360), DAY(XT!AC360), DAY(XT!AG360)), MATCH(1, INDEX(--(MONTH(CHOOSE({1,2,3,4}, XT!U360,XT!Y360,XT!AC360,XT!AG360))=10), 0), 0)), "")</f>
        <v/>
      </c>
      <c r="AM360" s="12" t="str">
        <f>IF(XT!$P360&gt;0,AL360,"")</f>
        <v/>
      </c>
      <c r="AN360" s="12" t="str">
        <f>IF(XT!$P360=0,AL360,"")</f>
        <v/>
      </c>
      <c r="AO360">
        <f>SUMPRODUCT((MONTH(CHOOSE({1,2,3,4},XT!U360,XT!Y360,XT!AC360,XT!AG360))=11)*(CHOOSE({1,2,3,4},XT!X360,XT!AB360,XT!AF360,XT!AJ360)))</f>
        <v>0</v>
      </c>
      <c r="AP360" t="str">
        <f>IFERROR(INDEX(CHOOSE({1,2,3,4}, DAY(XT!U360), DAY(XT!Y360), DAY(XT!AC360), DAY(XT!AG360)), MATCH(1, INDEX(--(MONTH(CHOOSE({1,2,3,4}, XT!U360,XT!Y360,XT!AC360,XT!AG360))=11), 0), 0)), "")</f>
        <v/>
      </c>
      <c r="AQ360" s="12" t="str">
        <f>IF(XT!$P360&gt;0,AP360,"")</f>
        <v/>
      </c>
      <c r="AR360" s="12" t="str">
        <f>IF(XT!$P360=0,AP360,"")</f>
        <v/>
      </c>
      <c r="AS360">
        <f>SUMPRODUCT((MONTH(CHOOSE({1,2,3,4},XT!U360,XT!Y360,XT!AC360,XT!AG360))=12)*(CHOOSE({1,2,3,4},XT!X360,XT!AB360,XT!AF360,XT!AJ360)))</f>
        <v>0</v>
      </c>
      <c r="AT360" t="str">
        <f>IFERROR(INDEX(CHOOSE({1,2,3,4}, DAY(XT!U360), DAY(XT!Y360), DAY(XT!AC360), DAY(XT!AG360)), MATCH(1, INDEX(--(MONTH(CHOOSE({1,2,3,4}, XT!U360,XT!Y360,XT!AC360,XT!AG360))=12), 0), 0)), "")</f>
        <v/>
      </c>
      <c r="AU360" s="12" t="str">
        <f>IF(XT!$P360&gt;0,AT360,"")</f>
        <v/>
      </c>
      <c r="AV360" s="12" t="str">
        <f>IF(XT!$P360=0,AT360,"")</f>
        <v/>
      </c>
    </row>
    <row r="361" spans="1:48">
      <c r="A361">
        <f>SUMPRODUCT((MONTH(CHOOSE({1,2,3,4},XT!U361,XT!Y361,XT!AC361,XT!AG361))=1)*(CHOOSE({1,2,3,4},XT!X361,XT!AB361,XT!AF361,XT!AJ361)))</f>
        <v>0</v>
      </c>
      <c r="B361">
        <f>IFERROR(INDEX(CHOOSE({1,2,3,4}, DAY(XT!U361), DAY(XT!Y361), DAY(XT!AC361), DAY(XT!AG361)), MATCH(1, INDEX(--(MONTH(CHOOSE({1,2,3,4}, XT!U361,XT!Y361,XT!AC361,XT!AG361))=1), 0), 0)), "")</f>
        <v>0</v>
      </c>
      <c r="C361" s="12" t="str">
        <f>IF(XT!$P361&gt;0,B361,"")</f>
        <v/>
      </c>
      <c r="D361" s="12">
        <f>IF(XT!$P361=0,B361,"")</f>
        <v>0</v>
      </c>
      <c r="E361">
        <f>SUMPRODUCT((MONTH(CHOOSE({1,2,3,4},XT!U361,XT!Y361,XT!AC361,XT!AG361))=2)*(CHOOSE({1,2,3,4},XT!X361,XT!AB361,XT!AF361,XT!AJ361)))</f>
        <v>0</v>
      </c>
      <c r="F361" t="str">
        <f>IFERROR(INDEX(CHOOSE({1,2,3,4}, DAY(XT!U361), DAY(XT!Y361), DAY(XT!AC361), DAY(XT!AG361)), MATCH(1, INDEX(--(MONTH(CHOOSE({1,2,3,4}, XT!U361,XT!Y361,XT!AC361,XT!AG361))=2), 0), 0)), "")</f>
        <v/>
      </c>
      <c r="G361" s="12" t="str">
        <f>IF(XT!$P361&gt;0,F361,"")</f>
        <v/>
      </c>
      <c r="H361" s="12" t="str">
        <f>IF(XT!$P361=0,F361,"")</f>
        <v/>
      </c>
      <c r="I361">
        <f>SUMPRODUCT((MONTH(CHOOSE({1,2,3,4},XT!U361,XT!Y361,XT!AC361,XT!AG361))=3)*(CHOOSE({1,2,3,4},XT!X361,XT!AB361,XT!AF361,XT!AJ361)))</f>
        <v>0</v>
      </c>
      <c r="J361" t="str">
        <f>IFERROR(INDEX(CHOOSE({1,2,3,4}, DAY(XT!U361), DAY(XT!Y361), DAY(XT!AC361), DAY(XT!AG361)), MATCH(1, INDEX(--(MONTH(CHOOSE({1,2,3,4}, XT!U361,XT!Y361,XT!AC361,XT!AG361))=3), 0), 0)), "")</f>
        <v/>
      </c>
      <c r="K361" s="12" t="str">
        <f>IF(XT!$P361&gt;0,J361,"")</f>
        <v/>
      </c>
      <c r="L361" s="12" t="str">
        <f>IF(XT!$P361=0,J361,"")</f>
        <v/>
      </c>
      <c r="M361">
        <f>SUMPRODUCT((MONTH(CHOOSE({1,2,3,4},XT!U361,XT!Y361,XT!AC361,XT!AG361))=4)*(CHOOSE({1,2,3,4},XT!X361,XT!AB361,XT!AF361,XT!AJ361)))</f>
        <v>0</v>
      </c>
      <c r="N361" t="str">
        <f>IFERROR(INDEX(CHOOSE({1,2,3,4}, DAY(XT!U361), DAY(XT!Y361), DAY(XT!AC361), DAY(XT!AG361)), MATCH(1, INDEX(--(MONTH(CHOOSE({1,2,3,4}, XT!U361,XT!Y361,XT!AC361,XT!AG361))=4), 0), 0)), "")</f>
        <v/>
      </c>
      <c r="O361" s="12" t="str">
        <f>IF(XT!$P361&gt;0,N361,"")</f>
        <v/>
      </c>
      <c r="P361" s="12" t="str">
        <f>IF(XT!$P361=0,N361,"")</f>
        <v/>
      </c>
      <c r="Q361">
        <f>SUMPRODUCT((MONTH(CHOOSE({1,2,3,4},XT!U361,XT!Y361,XT!AC361,XT!AG361))=5)*(CHOOSE({1,2,3,4},XT!X361,XT!AB361,XT!AF361,XT!AJ361)))</f>
        <v>0</v>
      </c>
      <c r="R361" t="str">
        <f>IFERROR(INDEX(CHOOSE({1,2,3,4}, DAY(XT!U361), DAY(XT!Y361), DAY(XT!AC361), DAY(XT!AG361)), MATCH(1, INDEX(--(MONTH(CHOOSE({1,2,3,4}, XT!U361,XT!Y361,XT!AC361,XT!AG361))=5), 0), 0)), "")</f>
        <v/>
      </c>
      <c r="S361" s="12" t="str">
        <f>IF(XT!$P361&gt;0,R361,"")</f>
        <v/>
      </c>
      <c r="T361" s="12" t="str">
        <f>IF(XT!$P361=0,R361,"")</f>
        <v/>
      </c>
      <c r="U361">
        <f>SUMPRODUCT((MONTH(CHOOSE({1,2,3,4},XT!U361,XT!Y361,XT!AC361,XT!AG361))=6)*(CHOOSE({1,2,3,4},XT!X361,XT!AB361,XT!AF361,XT!AJ361)))</f>
        <v>0</v>
      </c>
      <c r="V361" t="str">
        <f>IFERROR(INDEX(CHOOSE({1,2,3,4}, DAY(XT!U361), DAY(XT!Y361), DAY(XT!AC361), DAY(XT!AG361)), MATCH(1, INDEX(--(MONTH(CHOOSE({1,2,3,4}, XT!U361,XT!Y361,XT!AC361,XT!AG361))=6), 0), 0)), "")</f>
        <v/>
      </c>
      <c r="W361" s="12" t="str">
        <f>IF(XT!$P361&gt;0,V361,"")</f>
        <v/>
      </c>
      <c r="X361" s="12" t="str">
        <f>IF(XT!$P361=0,V361,"")</f>
        <v/>
      </c>
      <c r="Y361">
        <f>SUMPRODUCT((MONTH(CHOOSE({1,2,3,4},XT!U361,XT!Y361,XT!AC361,XT!AG361))=7)*(CHOOSE({1,2,3,4},XT!X361,XT!AB361,XT!AF361,XT!AJ361)))</f>
        <v>0</v>
      </c>
      <c r="Z361" t="str">
        <f>IFERROR(INDEX(CHOOSE({1,2,3,4}, DAY(XT!U361), DAY(XT!Y361), DAY(XT!AC361), DAY(XT!AG361)), MATCH(1, INDEX(--(MONTH(CHOOSE({1,2,3,4}, XT!U361,XT!Y361,XT!AC361,XT!AG361))=7), 0), 0)), "")</f>
        <v/>
      </c>
      <c r="AA361" s="12" t="str">
        <f>IF(XT!$P361&gt;0,Z361,"")</f>
        <v/>
      </c>
      <c r="AB361" s="12" t="str">
        <f>IF(XT!$P361=0,Z361,"")</f>
        <v/>
      </c>
      <c r="AC361">
        <f>SUMPRODUCT((MONTH(CHOOSE({1,2,3,4},XT!U361,XT!Y361,XT!AC361,XT!AG361))=8)*(CHOOSE({1,2,3,4},XT!X361,XT!AB361,XT!AF361,XT!AJ361)))</f>
        <v>0</v>
      </c>
      <c r="AD361" t="str">
        <f>IFERROR(INDEX(CHOOSE({1,2,3,4}, DAY(XT!U361), DAY(XT!Y361), DAY(XT!AC361), DAY(XT!AG361)), MATCH(1, INDEX(--(MONTH(CHOOSE({1,2,3,4}, XT!U361,XT!Y361,XT!AC361,XT!AG361))=8), 0), 0)), "")</f>
        <v/>
      </c>
      <c r="AE361" s="12" t="str">
        <f>IF(XT!$P361&gt;0,AD361,"")</f>
        <v/>
      </c>
      <c r="AF361" s="12" t="str">
        <f>IF(XT!$P361=0,AD361,"")</f>
        <v/>
      </c>
      <c r="AG361">
        <f>SUMPRODUCT((MONTH(CHOOSE({1,2,3,4},XT!U361,XT!Y361,XT!AC361,XT!AG361))=9)*(CHOOSE({1,2,3,4},XT!X361,XT!AB361,XT!AF361,XT!AJ361)))</f>
        <v>0</v>
      </c>
      <c r="AH361" t="str">
        <f>IFERROR(INDEX(CHOOSE({1,2,3,4}, DAY(XT!U361), DAY(XT!Y361), DAY(XT!AC361), DAY(XT!AG361)), MATCH(1, INDEX(--(MONTH(CHOOSE({1,2,3,4}, XT!U361,XT!Y361,XT!AC361,XT!AG361))=9), 0), 0)), "")</f>
        <v/>
      </c>
      <c r="AI361" s="12" t="str">
        <f>IF(XT!$P361&gt;0,AH361,"")</f>
        <v/>
      </c>
      <c r="AJ361" s="12" t="str">
        <f>IF(XT!$P361=0,AH361,"")</f>
        <v/>
      </c>
      <c r="AK361">
        <f>SUMPRODUCT((MONTH(CHOOSE({1,2,3,4},XT!U361,XT!Y361,XT!AC361,XT!AG361))=10)*(CHOOSE({1,2,3,4},XT!X361,XT!AB361,XT!AF361,XT!AJ361)))</f>
        <v>0</v>
      </c>
      <c r="AL361" t="str">
        <f>IFERROR(INDEX(CHOOSE({1,2,3,4}, DAY(XT!U361), DAY(XT!Y361), DAY(XT!AC361), DAY(XT!AG361)), MATCH(1, INDEX(--(MONTH(CHOOSE({1,2,3,4}, XT!U361,XT!Y361,XT!AC361,XT!AG361))=10), 0), 0)), "")</f>
        <v/>
      </c>
      <c r="AM361" s="12" t="str">
        <f>IF(XT!$P361&gt;0,AL361,"")</f>
        <v/>
      </c>
      <c r="AN361" s="12" t="str">
        <f>IF(XT!$P361=0,AL361,"")</f>
        <v/>
      </c>
      <c r="AO361">
        <f>SUMPRODUCT((MONTH(CHOOSE({1,2,3,4},XT!U361,XT!Y361,XT!AC361,XT!AG361))=11)*(CHOOSE({1,2,3,4},XT!X361,XT!AB361,XT!AF361,XT!AJ361)))</f>
        <v>0</v>
      </c>
      <c r="AP361" t="str">
        <f>IFERROR(INDEX(CHOOSE({1,2,3,4}, DAY(XT!U361), DAY(XT!Y361), DAY(XT!AC361), DAY(XT!AG361)), MATCH(1, INDEX(--(MONTH(CHOOSE({1,2,3,4}, XT!U361,XT!Y361,XT!AC361,XT!AG361))=11), 0), 0)), "")</f>
        <v/>
      </c>
      <c r="AQ361" s="12" t="str">
        <f>IF(XT!$P361&gt;0,AP361,"")</f>
        <v/>
      </c>
      <c r="AR361" s="12" t="str">
        <f>IF(XT!$P361=0,AP361,"")</f>
        <v/>
      </c>
      <c r="AS361">
        <f>SUMPRODUCT((MONTH(CHOOSE({1,2,3,4},XT!U361,XT!Y361,XT!AC361,XT!AG361))=12)*(CHOOSE({1,2,3,4},XT!X361,XT!AB361,XT!AF361,XT!AJ361)))</f>
        <v>0</v>
      </c>
      <c r="AT361" t="str">
        <f>IFERROR(INDEX(CHOOSE({1,2,3,4}, DAY(XT!U361), DAY(XT!Y361), DAY(XT!AC361), DAY(XT!AG361)), MATCH(1, INDEX(--(MONTH(CHOOSE({1,2,3,4}, XT!U361,XT!Y361,XT!AC361,XT!AG361))=12), 0), 0)), "")</f>
        <v/>
      </c>
      <c r="AU361" s="12" t="str">
        <f>IF(XT!$P361&gt;0,AT361,"")</f>
        <v/>
      </c>
      <c r="AV361" s="12" t="str">
        <f>IF(XT!$P361=0,AT361,"")</f>
        <v/>
      </c>
    </row>
    <row r="362" spans="1:48">
      <c r="A362">
        <f>SUMPRODUCT((MONTH(CHOOSE({1,2,3,4},XT!U362,XT!Y362,XT!AC362,XT!AG362))=1)*(CHOOSE({1,2,3,4},XT!X362,XT!AB362,XT!AF362,XT!AJ362)))</f>
        <v>0</v>
      </c>
      <c r="B362">
        <f>IFERROR(INDEX(CHOOSE({1,2,3,4}, DAY(XT!U362), DAY(XT!Y362), DAY(XT!AC362), DAY(XT!AG362)), MATCH(1, INDEX(--(MONTH(CHOOSE({1,2,3,4}, XT!U362,XT!Y362,XT!AC362,XT!AG362))=1), 0), 0)), "")</f>
        <v>0</v>
      </c>
      <c r="C362" s="12" t="str">
        <f>IF(XT!$P362&gt;0,B362,"")</f>
        <v/>
      </c>
      <c r="D362" s="12">
        <f>IF(XT!$P362=0,B362,"")</f>
        <v>0</v>
      </c>
      <c r="E362">
        <f>SUMPRODUCT((MONTH(CHOOSE({1,2,3,4},XT!U362,XT!Y362,XT!AC362,XT!AG362))=2)*(CHOOSE({1,2,3,4},XT!X362,XT!AB362,XT!AF362,XT!AJ362)))</f>
        <v>0</v>
      </c>
      <c r="F362" t="str">
        <f>IFERROR(INDEX(CHOOSE({1,2,3,4}, DAY(XT!U362), DAY(XT!Y362), DAY(XT!AC362), DAY(XT!AG362)), MATCH(1, INDEX(--(MONTH(CHOOSE({1,2,3,4}, XT!U362,XT!Y362,XT!AC362,XT!AG362))=2), 0), 0)), "")</f>
        <v/>
      </c>
      <c r="G362" s="12" t="str">
        <f>IF(XT!$P362&gt;0,F362,"")</f>
        <v/>
      </c>
      <c r="H362" s="12" t="str">
        <f>IF(XT!$P362=0,F362,"")</f>
        <v/>
      </c>
      <c r="I362">
        <f>SUMPRODUCT((MONTH(CHOOSE({1,2,3,4},XT!U362,XT!Y362,XT!AC362,XT!AG362))=3)*(CHOOSE({1,2,3,4},XT!X362,XT!AB362,XT!AF362,XT!AJ362)))</f>
        <v>0</v>
      </c>
      <c r="J362" t="str">
        <f>IFERROR(INDEX(CHOOSE({1,2,3,4}, DAY(XT!U362), DAY(XT!Y362), DAY(XT!AC362), DAY(XT!AG362)), MATCH(1, INDEX(--(MONTH(CHOOSE({1,2,3,4}, XT!U362,XT!Y362,XT!AC362,XT!AG362))=3), 0), 0)), "")</f>
        <v/>
      </c>
      <c r="K362" s="12" t="str">
        <f>IF(XT!$P362&gt;0,J362,"")</f>
        <v/>
      </c>
      <c r="L362" s="12" t="str">
        <f>IF(XT!$P362=0,J362,"")</f>
        <v/>
      </c>
      <c r="M362">
        <f>SUMPRODUCT((MONTH(CHOOSE({1,2,3,4},XT!U362,XT!Y362,XT!AC362,XT!AG362))=4)*(CHOOSE({1,2,3,4},XT!X362,XT!AB362,XT!AF362,XT!AJ362)))</f>
        <v>0</v>
      </c>
      <c r="N362" t="str">
        <f>IFERROR(INDEX(CHOOSE({1,2,3,4}, DAY(XT!U362), DAY(XT!Y362), DAY(XT!AC362), DAY(XT!AG362)), MATCH(1, INDEX(--(MONTH(CHOOSE({1,2,3,4}, XT!U362,XT!Y362,XT!AC362,XT!AG362))=4), 0), 0)), "")</f>
        <v/>
      </c>
      <c r="O362" s="12" t="str">
        <f>IF(XT!$P362&gt;0,N362,"")</f>
        <v/>
      </c>
      <c r="P362" s="12" t="str">
        <f>IF(XT!$P362=0,N362,"")</f>
        <v/>
      </c>
      <c r="Q362">
        <f>SUMPRODUCT((MONTH(CHOOSE({1,2,3,4},XT!U362,XT!Y362,XT!AC362,XT!AG362))=5)*(CHOOSE({1,2,3,4},XT!X362,XT!AB362,XT!AF362,XT!AJ362)))</f>
        <v>0</v>
      </c>
      <c r="R362" t="str">
        <f>IFERROR(INDEX(CHOOSE({1,2,3,4}, DAY(XT!U362), DAY(XT!Y362), DAY(XT!AC362), DAY(XT!AG362)), MATCH(1, INDEX(--(MONTH(CHOOSE({1,2,3,4}, XT!U362,XT!Y362,XT!AC362,XT!AG362))=5), 0), 0)), "")</f>
        <v/>
      </c>
      <c r="S362" s="12" t="str">
        <f>IF(XT!$P362&gt;0,R362,"")</f>
        <v/>
      </c>
      <c r="T362" s="12" t="str">
        <f>IF(XT!$P362=0,R362,"")</f>
        <v/>
      </c>
      <c r="U362">
        <f>SUMPRODUCT((MONTH(CHOOSE({1,2,3,4},XT!U362,XT!Y362,XT!AC362,XT!AG362))=6)*(CHOOSE({1,2,3,4},XT!X362,XT!AB362,XT!AF362,XT!AJ362)))</f>
        <v>0</v>
      </c>
      <c r="V362" t="str">
        <f>IFERROR(INDEX(CHOOSE({1,2,3,4}, DAY(XT!U362), DAY(XT!Y362), DAY(XT!AC362), DAY(XT!AG362)), MATCH(1, INDEX(--(MONTH(CHOOSE({1,2,3,4}, XT!U362,XT!Y362,XT!AC362,XT!AG362))=6), 0), 0)), "")</f>
        <v/>
      </c>
      <c r="W362" s="12" t="str">
        <f>IF(XT!$P362&gt;0,V362,"")</f>
        <v/>
      </c>
      <c r="X362" s="12" t="str">
        <f>IF(XT!$P362=0,V362,"")</f>
        <v/>
      </c>
      <c r="Y362">
        <f>SUMPRODUCT((MONTH(CHOOSE({1,2,3,4},XT!U362,XT!Y362,XT!AC362,XT!AG362))=7)*(CHOOSE({1,2,3,4},XT!X362,XT!AB362,XT!AF362,XT!AJ362)))</f>
        <v>0</v>
      </c>
      <c r="Z362" t="str">
        <f>IFERROR(INDEX(CHOOSE({1,2,3,4}, DAY(XT!U362), DAY(XT!Y362), DAY(XT!AC362), DAY(XT!AG362)), MATCH(1, INDEX(--(MONTH(CHOOSE({1,2,3,4}, XT!U362,XT!Y362,XT!AC362,XT!AG362))=7), 0), 0)), "")</f>
        <v/>
      </c>
      <c r="AA362" s="12" t="str">
        <f>IF(XT!$P362&gt;0,Z362,"")</f>
        <v/>
      </c>
      <c r="AB362" s="12" t="str">
        <f>IF(XT!$P362=0,Z362,"")</f>
        <v/>
      </c>
      <c r="AC362">
        <f>SUMPRODUCT((MONTH(CHOOSE({1,2,3,4},XT!U362,XT!Y362,XT!AC362,XT!AG362))=8)*(CHOOSE({1,2,3,4},XT!X362,XT!AB362,XT!AF362,XT!AJ362)))</f>
        <v>0</v>
      </c>
      <c r="AD362" t="str">
        <f>IFERROR(INDEX(CHOOSE({1,2,3,4}, DAY(XT!U362), DAY(XT!Y362), DAY(XT!AC362), DAY(XT!AG362)), MATCH(1, INDEX(--(MONTH(CHOOSE({1,2,3,4}, XT!U362,XT!Y362,XT!AC362,XT!AG362))=8), 0), 0)), "")</f>
        <v/>
      </c>
      <c r="AE362" s="12" t="str">
        <f>IF(XT!$P362&gt;0,AD362,"")</f>
        <v/>
      </c>
      <c r="AF362" s="12" t="str">
        <f>IF(XT!$P362=0,AD362,"")</f>
        <v/>
      </c>
      <c r="AG362">
        <f>SUMPRODUCT((MONTH(CHOOSE({1,2,3,4},XT!U362,XT!Y362,XT!AC362,XT!AG362))=9)*(CHOOSE({1,2,3,4},XT!X362,XT!AB362,XT!AF362,XT!AJ362)))</f>
        <v>0</v>
      </c>
      <c r="AH362" t="str">
        <f>IFERROR(INDEX(CHOOSE({1,2,3,4}, DAY(XT!U362), DAY(XT!Y362), DAY(XT!AC362), DAY(XT!AG362)), MATCH(1, INDEX(--(MONTH(CHOOSE({1,2,3,4}, XT!U362,XT!Y362,XT!AC362,XT!AG362))=9), 0), 0)), "")</f>
        <v/>
      </c>
      <c r="AI362" s="12" t="str">
        <f>IF(XT!$P362&gt;0,AH362,"")</f>
        <v/>
      </c>
      <c r="AJ362" s="12" t="str">
        <f>IF(XT!$P362=0,AH362,"")</f>
        <v/>
      </c>
      <c r="AK362">
        <f>SUMPRODUCT((MONTH(CHOOSE({1,2,3,4},XT!U362,XT!Y362,XT!AC362,XT!AG362))=10)*(CHOOSE({1,2,3,4},XT!X362,XT!AB362,XT!AF362,XT!AJ362)))</f>
        <v>0</v>
      </c>
      <c r="AL362" t="str">
        <f>IFERROR(INDEX(CHOOSE({1,2,3,4}, DAY(XT!U362), DAY(XT!Y362), DAY(XT!AC362), DAY(XT!AG362)), MATCH(1, INDEX(--(MONTH(CHOOSE({1,2,3,4}, XT!U362,XT!Y362,XT!AC362,XT!AG362))=10), 0), 0)), "")</f>
        <v/>
      </c>
      <c r="AM362" s="12" t="str">
        <f>IF(XT!$P362&gt;0,AL362,"")</f>
        <v/>
      </c>
      <c r="AN362" s="12" t="str">
        <f>IF(XT!$P362=0,AL362,"")</f>
        <v/>
      </c>
      <c r="AO362">
        <f>SUMPRODUCT((MONTH(CHOOSE({1,2,3,4},XT!U362,XT!Y362,XT!AC362,XT!AG362))=11)*(CHOOSE({1,2,3,4},XT!X362,XT!AB362,XT!AF362,XT!AJ362)))</f>
        <v>0</v>
      </c>
      <c r="AP362" t="str">
        <f>IFERROR(INDEX(CHOOSE({1,2,3,4}, DAY(XT!U362), DAY(XT!Y362), DAY(XT!AC362), DAY(XT!AG362)), MATCH(1, INDEX(--(MONTH(CHOOSE({1,2,3,4}, XT!U362,XT!Y362,XT!AC362,XT!AG362))=11), 0), 0)), "")</f>
        <v/>
      </c>
      <c r="AQ362" s="12" t="str">
        <f>IF(XT!$P362&gt;0,AP362,"")</f>
        <v/>
      </c>
      <c r="AR362" s="12" t="str">
        <f>IF(XT!$P362=0,AP362,"")</f>
        <v/>
      </c>
      <c r="AS362">
        <f>SUMPRODUCT((MONTH(CHOOSE({1,2,3,4},XT!U362,XT!Y362,XT!AC362,XT!AG362))=12)*(CHOOSE({1,2,3,4},XT!X362,XT!AB362,XT!AF362,XT!AJ362)))</f>
        <v>0</v>
      </c>
      <c r="AT362" t="str">
        <f>IFERROR(INDEX(CHOOSE({1,2,3,4}, DAY(XT!U362), DAY(XT!Y362), DAY(XT!AC362), DAY(XT!AG362)), MATCH(1, INDEX(--(MONTH(CHOOSE({1,2,3,4}, XT!U362,XT!Y362,XT!AC362,XT!AG362))=12), 0), 0)), "")</f>
        <v/>
      </c>
      <c r="AU362" s="12" t="str">
        <f>IF(XT!$P362&gt;0,AT362,"")</f>
        <v/>
      </c>
      <c r="AV362" s="12" t="str">
        <f>IF(XT!$P362=0,AT362,"")</f>
        <v/>
      </c>
    </row>
    <row r="363" spans="1:48">
      <c r="A363">
        <f>SUMPRODUCT((MONTH(CHOOSE({1,2,3,4},XT!U363,XT!Y363,XT!AC363,XT!AG363))=1)*(CHOOSE({1,2,3,4},XT!X363,XT!AB363,XT!AF363,XT!AJ363)))</f>
        <v>0</v>
      </c>
      <c r="B363">
        <f>IFERROR(INDEX(CHOOSE({1,2,3,4}, DAY(XT!U363), DAY(XT!Y363), DAY(XT!AC363), DAY(XT!AG363)), MATCH(1, INDEX(--(MONTH(CHOOSE({1,2,3,4}, XT!U363,XT!Y363,XT!AC363,XT!AG363))=1), 0), 0)), "")</f>
        <v>0</v>
      </c>
      <c r="C363" s="12" t="str">
        <f>IF(XT!$P363&gt;0,B363,"")</f>
        <v/>
      </c>
      <c r="D363" s="12">
        <f>IF(XT!$P363=0,B363,"")</f>
        <v>0</v>
      </c>
      <c r="E363">
        <f>SUMPRODUCT((MONTH(CHOOSE({1,2,3,4},XT!U363,XT!Y363,XT!AC363,XT!AG363))=2)*(CHOOSE({1,2,3,4},XT!X363,XT!AB363,XT!AF363,XT!AJ363)))</f>
        <v>0</v>
      </c>
      <c r="F363" t="str">
        <f>IFERROR(INDEX(CHOOSE({1,2,3,4}, DAY(XT!U363), DAY(XT!Y363), DAY(XT!AC363), DAY(XT!AG363)), MATCH(1, INDEX(--(MONTH(CHOOSE({1,2,3,4}, XT!U363,XT!Y363,XT!AC363,XT!AG363))=2), 0), 0)), "")</f>
        <v/>
      </c>
      <c r="G363" s="12" t="str">
        <f>IF(XT!$P363&gt;0,F363,"")</f>
        <v/>
      </c>
      <c r="H363" s="12" t="str">
        <f>IF(XT!$P363=0,F363,"")</f>
        <v/>
      </c>
      <c r="I363">
        <f>SUMPRODUCT((MONTH(CHOOSE({1,2,3,4},XT!U363,XT!Y363,XT!AC363,XT!AG363))=3)*(CHOOSE({1,2,3,4},XT!X363,XT!AB363,XT!AF363,XT!AJ363)))</f>
        <v>0</v>
      </c>
      <c r="J363" t="str">
        <f>IFERROR(INDEX(CHOOSE({1,2,3,4}, DAY(XT!U363), DAY(XT!Y363), DAY(XT!AC363), DAY(XT!AG363)), MATCH(1, INDEX(--(MONTH(CHOOSE({1,2,3,4}, XT!U363,XT!Y363,XT!AC363,XT!AG363))=3), 0), 0)), "")</f>
        <v/>
      </c>
      <c r="K363" s="12" t="str">
        <f>IF(XT!$P363&gt;0,J363,"")</f>
        <v/>
      </c>
      <c r="L363" s="12" t="str">
        <f>IF(XT!$P363=0,J363,"")</f>
        <v/>
      </c>
      <c r="M363">
        <f>SUMPRODUCT((MONTH(CHOOSE({1,2,3,4},XT!U363,XT!Y363,XT!AC363,XT!AG363))=4)*(CHOOSE({1,2,3,4},XT!X363,XT!AB363,XT!AF363,XT!AJ363)))</f>
        <v>0</v>
      </c>
      <c r="N363" t="str">
        <f>IFERROR(INDEX(CHOOSE({1,2,3,4}, DAY(XT!U363), DAY(XT!Y363), DAY(XT!AC363), DAY(XT!AG363)), MATCH(1, INDEX(--(MONTH(CHOOSE({1,2,3,4}, XT!U363,XT!Y363,XT!AC363,XT!AG363))=4), 0), 0)), "")</f>
        <v/>
      </c>
      <c r="O363" s="12" t="str">
        <f>IF(XT!$P363&gt;0,N363,"")</f>
        <v/>
      </c>
      <c r="P363" s="12" t="str">
        <f>IF(XT!$P363=0,N363,"")</f>
        <v/>
      </c>
      <c r="Q363">
        <f>SUMPRODUCT((MONTH(CHOOSE({1,2,3,4},XT!U363,XT!Y363,XT!AC363,XT!AG363))=5)*(CHOOSE({1,2,3,4},XT!X363,XT!AB363,XT!AF363,XT!AJ363)))</f>
        <v>0</v>
      </c>
      <c r="R363" t="str">
        <f>IFERROR(INDEX(CHOOSE({1,2,3,4}, DAY(XT!U363), DAY(XT!Y363), DAY(XT!AC363), DAY(XT!AG363)), MATCH(1, INDEX(--(MONTH(CHOOSE({1,2,3,4}, XT!U363,XT!Y363,XT!AC363,XT!AG363))=5), 0), 0)), "")</f>
        <v/>
      </c>
      <c r="S363" s="12" t="str">
        <f>IF(XT!$P363&gt;0,R363,"")</f>
        <v/>
      </c>
      <c r="T363" s="12" t="str">
        <f>IF(XT!$P363=0,R363,"")</f>
        <v/>
      </c>
      <c r="U363">
        <f>SUMPRODUCT((MONTH(CHOOSE({1,2,3,4},XT!U363,XT!Y363,XT!AC363,XT!AG363))=6)*(CHOOSE({1,2,3,4},XT!X363,XT!AB363,XT!AF363,XT!AJ363)))</f>
        <v>0</v>
      </c>
      <c r="V363" t="str">
        <f>IFERROR(INDEX(CHOOSE({1,2,3,4}, DAY(XT!U363), DAY(XT!Y363), DAY(XT!AC363), DAY(XT!AG363)), MATCH(1, INDEX(--(MONTH(CHOOSE({1,2,3,4}, XT!U363,XT!Y363,XT!AC363,XT!AG363))=6), 0), 0)), "")</f>
        <v/>
      </c>
      <c r="W363" s="12" t="str">
        <f>IF(XT!$P363&gt;0,V363,"")</f>
        <v/>
      </c>
      <c r="X363" s="12" t="str">
        <f>IF(XT!$P363=0,V363,"")</f>
        <v/>
      </c>
      <c r="Y363">
        <f>SUMPRODUCT((MONTH(CHOOSE({1,2,3,4},XT!U363,XT!Y363,XT!AC363,XT!AG363))=7)*(CHOOSE({1,2,3,4},XT!X363,XT!AB363,XT!AF363,XT!AJ363)))</f>
        <v>0</v>
      </c>
      <c r="Z363" t="str">
        <f>IFERROR(INDEX(CHOOSE({1,2,3,4}, DAY(XT!U363), DAY(XT!Y363), DAY(XT!AC363), DAY(XT!AG363)), MATCH(1, INDEX(--(MONTH(CHOOSE({1,2,3,4}, XT!U363,XT!Y363,XT!AC363,XT!AG363))=7), 0), 0)), "")</f>
        <v/>
      </c>
      <c r="AA363" s="12" t="str">
        <f>IF(XT!$P363&gt;0,Z363,"")</f>
        <v/>
      </c>
      <c r="AB363" s="12" t="str">
        <f>IF(XT!$P363=0,Z363,"")</f>
        <v/>
      </c>
      <c r="AC363">
        <f>SUMPRODUCT((MONTH(CHOOSE({1,2,3,4},XT!U363,XT!Y363,XT!AC363,XT!AG363))=8)*(CHOOSE({1,2,3,4},XT!X363,XT!AB363,XT!AF363,XT!AJ363)))</f>
        <v>0</v>
      </c>
      <c r="AD363" t="str">
        <f>IFERROR(INDEX(CHOOSE({1,2,3,4}, DAY(XT!U363), DAY(XT!Y363), DAY(XT!AC363), DAY(XT!AG363)), MATCH(1, INDEX(--(MONTH(CHOOSE({1,2,3,4}, XT!U363,XT!Y363,XT!AC363,XT!AG363))=8), 0), 0)), "")</f>
        <v/>
      </c>
      <c r="AE363" s="12" t="str">
        <f>IF(XT!$P363&gt;0,AD363,"")</f>
        <v/>
      </c>
      <c r="AF363" s="12" t="str">
        <f>IF(XT!$P363=0,AD363,"")</f>
        <v/>
      </c>
      <c r="AG363">
        <f>SUMPRODUCT((MONTH(CHOOSE({1,2,3,4},XT!U363,XT!Y363,XT!AC363,XT!AG363))=9)*(CHOOSE({1,2,3,4},XT!X363,XT!AB363,XT!AF363,XT!AJ363)))</f>
        <v>0</v>
      </c>
      <c r="AH363" t="str">
        <f>IFERROR(INDEX(CHOOSE({1,2,3,4}, DAY(XT!U363), DAY(XT!Y363), DAY(XT!AC363), DAY(XT!AG363)), MATCH(1, INDEX(--(MONTH(CHOOSE({1,2,3,4}, XT!U363,XT!Y363,XT!AC363,XT!AG363))=9), 0), 0)), "")</f>
        <v/>
      </c>
      <c r="AI363" s="12" t="str">
        <f>IF(XT!$P363&gt;0,AH363,"")</f>
        <v/>
      </c>
      <c r="AJ363" s="12" t="str">
        <f>IF(XT!$P363=0,AH363,"")</f>
        <v/>
      </c>
      <c r="AK363">
        <f>SUMPRODUCT((MONTH(CHOOSE({1,2,3,4},XT!U363,XT!Y363,XT!AC363,XT!AG363))=10)*(CHOOSE({1,2,3,4},XT!X363,XT!AB363,XT!AF363,XT!AJ363)))</f>
        <v>0</v>
      </c>
      <c r="AL363" t="str">
        <f>IFERROR(INDEX(CHOOSE({1,2,3,4}, DAY(XT!U363), DAY(XT!Y363), DAY(XT!AC363), DAY(XT!AG363)), MATCH(1, INDEX(--(MONTH(CHOOSE({1,2,3,4}, XT!U363,XT!Y363,XT!AC363,XT!AG363))=10), 0), 0)), "")</f>
        <v/>
      </c>
      <c r="AM363" s="12" t="str">
        <f>IF(XT!$P363&gt;0,AL363,"")</f>
        <v/>
      </c>
      <c r="AN363" s="12" t="str">
        <f>IF(XT!$P363=0,AL363,"")</f>
        <v/>
      </c>
      <c r="AO363">
        <f>SUMPRODUCT((MONTH(CHOOSE({1,2,3,4},XT!U363,XT!Y363,XT!AC363,XT!AG363))=11)*(CHOOSE({1,2,3,4},XT!X363,XT!AB363,XT!AF363,XT!AJ363)))</f>
        <v>0</v>
      </c>
      <c r="AP363" t="str">
        <f>IFERROR(INDEX(CHOOSE({1,2,3,4}, DAY(XT!U363), DAY(XT!Y363), DAY(XT!AC363), DAY(XT!AG363)), MATCH(1, INDEX(--(MONTH(CHOOSE({1,2,3,4}, XT!U363,XT!Y363,XT!AC363,XT!AG363))=11), 0), 0)), "")</f>
        <v/>
      </c>
      <c r="AQ363" s="12" t="str">
        <f>IF(XT!$P363&gt;0,AP363,"")</f>
        <v/>
      </c>
      <c r="AR363" s="12" t="str">
        <f>IF(XT!$P363=0,AP363,"")</f>
        <v/>
      </c>
      <c r="AS363">
        <f>SUMPRODUCT((MONTH(CHOOSE({1,2,3,4},XT!U363,XT!Y363,XT!AC363,XT!AG363))=12)*(CHOOSE({1,2,3,4},XT!X363,XT!AB363,XT!AF363,XT!AJ363)))</f>
        <v>0</v>
      </c>
      <c r="AT363" t="str">
        <f>IFERROR(INDEX(CHOOSE({1,2,3,4}, DAY(XT!U363), DAY(XT!Y363), DAY(XT!AC363), DAY(XT!AG363)), MATCH(1, INDEX(--(MONTH(CHOOSE({1,2,3,4}, XT!U363,XT!Y363,XT!AC363,XT!AG363))=12), 0), 0)), "")</f>
        <v/>
      </c>
      <c r="AU363" s="12" t="str">
        <f>IF(XT!$P363&gt;0,AT363,"")</f>
        <v/>
      </c>
      <c r="AV363" s="12" t="str">
        <f>IF(XT!$P363=0,AT363,"")</f>
        <v/>
      </c>
    </row>
    <row r="364" spans="1:48">
      <c r="A364">
        <f>SUMPRODUCT((MONTH(CHOOSE({1,2,3,4},XT!U364,XT!Y364,XT!AC364,XT!AG364))=1)*(CHOOSE({1,2,3,4},XT!X364,XT!AB364,XT!AF364,XT!AJ364)))</f>
        <v>0</v>
      </c>
      <c r="B364">
        <f>IFERROR(INDEX(CHOOSE({1,2,3,4}, DAY(XT!U364), DAY(XT!Y364), DAY(XT!AC364), DAY(XT!AG364)), MATCH(1, INDEX(--(MONTH(CHOOSE({1,2,3,4}, XT!U364,XT!Y364,XT!AC364,XT!AG364))=1), 0), 0)), "")</f>
        <v>0</v>
      </c>
      <c r="C364" s="12" t="str">
        <f>IF(XT!$P364&gt;0,B364,"")</f>
        <v/>
      </c>
      <c r="D364" s="12">
        <f>IF(XT!$P364=0,B364,"")</f>
        <v>0</v>
      </c>
      <c r="E364">
        <f>SUMPRODUCT((MONTH(CHOOSE({1,2,3,4},XT!U364,XT!Y364,XT!AC364,XT!AG364))=2)*(CHOOSE({1,2,3,4},XT!X364,XT!AB364,XT!AF364,XT!AJ364)))</f>
        <v>0</v>
      </c>
      <c r="F364" t="str">
        <f>IFERROR(INDEX(CHOOSE({1,2,3,4}, DAY(XT!U364), DAY(XT!Y364), DAY(XT!AC364), DAY(XT!AG364)), MATCH(1, INDEX(--(MONTH(CHOOSE({1,2,3,4}, XT!U364,XT!Y364,XT!AC364,XT!AG364))=2), 0), 0)), "")</f>
        <v/>
      </c>
      <c r="G364" s="12" t="str">
        <f>IF(XT!$P364&gt;0,F364,"")</f>
        <v/>
      </c>
      <c r="H364" s="12" t="str">
        <f>IF(XT!$P364=0,F364,"")</f>
        <v/>
      </c>
      <c r="I364">
        <f>SUMPRODUCT((MONTH(CHOOSE({1,2,3,4},XT!U364,XT!Y364,XT!AC364,XT!AG364))=3)*(CHOOSE({1,2,3,4},XT!X364,XT!AB364,XT!AF364,XT!AJ364)))</f>
        <v>0</v>
      </c>
      <c r="J364" t="str">
        <f>IFERROR(INDEX(CHOOSE({1,2,3,4}, DAY(XT!U364), DAY(XT!Y364), DAY(XT!AC364), DAY(XT!AG364)), MATCH(1, INDEX(--(MONTH(CHOOSE({1,2,3,4}, XT!U364,XT!Y364,XT!AC364,XT!AG364))=3), 0), 0)), "")</f>
        <v/>
      </c>
      <c r="K364" s="12" t="str">
        <f>IF(XT!$P364&gt;0,J364,"")</f>
        <v/>
      </c>
      <c r="L364" s="12" t="str">
        <f>IF(XT!$P364=0,J364,"")</f>
        <v/>
      </c>
      <c r="M364">
        <f>SUMPRODUCT((MONTH(CHOOSE({1,2,3,4},XT!U364,XT!Y364,XT!AC364,XT!AG364))=4)*(CHOOSE({1,2,3,4},XT!X364,XT!AB364,XT!AF364,XT!AJ364)))</f>
        <v>0</v>
      </c>
      <c r="N364" t="str">
        <f>IFERROR(INDEX(CHOOSE({1,2,3,4}, DAY(XT!U364), DAY(XT!Y364), DAY(XT!AC364), DAY(XT!AG364)), MATCH(1, INDEX(--(MONTH(CHOOSE({1,2,3,4}, XT!U364,XT!Y364,XT!AC364,XT!AG364))=4), 0), 0)), "")</f>
        <v/>
      </c>
      <c r="O364" s="12" t="str">
        <f>IF(XT!$P364&gt;0,N364,"")</f>
        <v/>
      </c>
      <c r="P364" s="12" t="str">
        <f>IF(XT!$P364=0,N364,"")</f>
        <v/>
      </c>
      <c r="Q364">
        <f>SUMPRODUCT((MONTH(CHOOSE({1,2,3,4},XT!U364,XT!Y364,XT!AC364,XT!AG364))=5)*(CHOOSE({1,2,3,4},XT!X364,XT!AB364,XT!AF364,XT!AJ364)))</f>
        <v>0</v>
      </c>
      <c r="R364" t="str">
        <f>IFERROR(INDEX(CHOOSE({1,2,3,4}, DAY(XT!U364), DAY(XT!Y364), DAY(XT!AC364), DAY(XT!AG364)), MATCH(1, INDEX(--(MONTH(CHOOSE({1,2,3,4}, XT!U364,XT!Y364,XT!AC364,XT!AG364))=5), 0), 0)), "")</f>
        <v/>
      </c>
      <c r="S364" s="12" t="str">
        <f>IF(XT!$P364&gt;0,R364,"")</f>
        <v/>
      </c>
      <c r="T364" s="12" t="str">
        <f>IF(XT!$P364=0,R364,"")</f>
        <v/>
      </c>
      <c r="U364">
        <f>SUMPRODUCT((MONTH(CHOOSE({1,2,3,4},XT!U364,XT!Y364,XT!AC364,XT!AG364))=6)*(CHOOSE({1,2,3,4},XT!X364,XT!AB364,XT!AF364,XT!AJ364)))</f>
        <v>0</v>
      </c>
      <c r="V364" t="str">
        <f>IFERROR(INDEX(CHOOSE({1,2,3,4}, DAY(XT!U364), DAY(XT!Y364), DAY(XT!AC364), DAY(XT!AG364)), MATCH(1, INDEX(--(MONTH(CHOOSE({1,2,3,4}, XT!U364,XT!Y364,XT!AC364,XT!AG364))=6), 0), 0)), "")</f>
        <v/>
      </c>
      <c r="W364" s="12" t="str">
        <f>IF(XT!$P364&gt;0,V364,"")</f>
        <v/>
      </c>
      <c r="X364" s="12" t="str">
        <f>IF(XT!$P364=0,V364,"")</f>
        <v/>
      </c>
      <c r="Y364">
        <f>SUMPRODUCT((MONTH(CHOOSE({1,2,3,4},XT!U364,XT!Y364,XT!AC364,XT!AG364))=7)*(CHOOSE({1,2,3,4},XT!X364,XT!AB364,XT!AF364,XT!AJ364)))</f>
        <v>0</v>
      </c>
      <c r="Z364" t="str">
        <f>IFERROR(INDEX(CHOOSE({1,2,3,4}, DAY(XT!U364), DAY(XT!Y364), DAY(XT!AC364), DAY(XT!AG364)), MATCH(1, INDEX(--(MONTH(CHOOSE({1,2,3,4}, XT!U364,XT!Y364,XT!AC364,XT!AG364))=7), 0), 0)), "")</f>
        <v/>
      </c>
      <c r="AA364" s="12" t="str">
        <f>IF(XT!$P364&gt;0,Z364,"")</f>
        <v/>
      </c>
      <c r="AB364" s="12" t="str">
        <f>IF(XT!$P364=0,Z364,"")</f>
        <v/>
      </c>
      <c r="AC364">
        <f>SUMPRODUCT((MONTH(CHOOSE({1,2,3,4},XT!U364,XT!Y364,XT!AC364,XT!AG364))=8)*(CHOOSE({1,2,3,4},XT!X364,XT!AB364,XT!AF364,XT!AJ364)))</f>
        <v>0</v>
      </c>
      <c r="AD364" t="str">
        <f>IFERROR(INDEX(CHOOSE({1,2,3,4}, DAY(XT!U364), DAY(XT!Y364), DAY(XT!AC364), DAY(XT!AG364)), MATCH(1, INDEX(--(MONTH(CHOOSE({1,2,3,4}, XT!U364,XT!Y364,XT!AC364,XT!AG364))=8), 0), 0)), "")</f>
        <v/>
      </c>
      <c r="AE364" s="12" t="str">
        <f>IF(XT!$P364&gt;0,AD364,"")</f>
        <v/>
      </c>
      <c r="AF364" s="12" t="str">
        <f>IF(XT!$P364=0,AD364,"")</f>
        <v/>
      </c>
      <c r="AG364">
        <f>SUMPRODUCT((MONTH(CHOOSE({1,2,3,4},XT!U364,XT!Y364,XT!AC364,XT!AG364))=9)*(CHOOSE({1,2,3,4},XT!X364,XT!AB364,XT!AF364,XT!AJ364)))</f>
        <v>0</v>
      </c>
      <c r="AH364" t="str">
        <f>IFERROR(INDEX(CHOOSE({1,2,3,4}, DAY(XT!U364), DAY(XT!Y364), DAY(XT!AC364), DAY(XT!AG364)), MATCH(1, INDEX(--(MONTH(CHOOSE({1,2,3,4}, XT!U364,XT!Y364,XT!AC364,XT!AG364))=9), 0), 0)), "")</f>
        <v/>
      </c>
      <c r="AI364" s="12" t="str">
        <f>IF(XT!$P364&gt;0,AH364,"")</f>
        <v/>
      </c>
      <c r="AJ364" s="12" t="str">
        <f>IF(XT!$P364=0,AH364,"")</f>
        <v/>
      </c>
      <c r="AK364">
        <f>SUMPRODUCT((MONTH(CHOOSE({1,2,3,4},XT!U364,XT!Y364,XT!AC364,XT!AG364))=10)*(CHOOSE({1,2,3,4},XT!X364,XT!AB364,XT!AF364,XT!AJ364)))</f>
        <v>0</v>
      </c>
      <c r="AL364" t="str">
        <f>IFERROR(INDEX(CHOOSE({1,2,3,4}, DAY(XT!U364), DAY(XT!Y364), DAY(XT!AC364), DAY(XT!AG364)), MATCH(1, INDEX(--(MONTH(CHOOSE({1,2,3,4}, XT!U364,XT!Y364,XT!AC364,XT!AG364))=10), 0), 0)), "")</f>
        <v/>
      </c>
      <c r="AM364" s="12" t="str">
        <f>IF(XT!$P364&gt;0,AL364,"")</f>
        <v/>
      </c>
      <c r="AN364" s="12" t="str">
        <f>IF(XT!$P364=0,AL364,"")</f>
        <v/>
      </c>
      <c r="AO364">
        <f>SUMPRODUCT((MONTH(CHOOSE({1,2,3,4},XT!U364,XT!Y364,XT!AC364,XT!AG364))=11)*(CHOOSE({1,2,3,4},XT!X364,XT!AB364,XT!AF364,XT!AJ364)))</f>
        <v>0</v>
      </c>
      <c r="AP364" t="str">
        <f>IFERROR(INDEX(CHOOSE({1,2,3,4}, DAY(XT!U364), DAY(XT!Y364), DAY(XT!AC364), DAY(XT!AG364)), MATCH(1, INDEX(--(MONTH(CHOOSE({1,2,3,4}, XT!U364,XT!Y364,XT!AC364,XT!AG364))=11), 0), 0)), "")</f>
        <v/>
      </c>
      <c r="AQ364" s="12" t="str">
        <f>IF(XT!$P364&gt;0,AP364,"")</f>
        <v/>
      </c>
      <c r="AR364" s="12" t="str">
        <f>IF(XT!$P364=0,AP364,"")</f>
        <v/>
      </c>
      <c r="AS364">
        <f>SUMPRODUCT((MONTH(CHOOSE({1,2,3,4},XT!U364,XT!Y364,XT!AC364,XT!AG364))=12)*(CHOOSE({1,2,3,4},XT!X364,XT!AB364,XT!AF364,XT!AJ364)))</f>
        <v>0</v>
      </c>
      <c r="AT364" t="str">
        <f>IFERROR(INDEX(CHOOSE({1,2,3,4}, DAY(XT!U364), DAY(XT!Y364), DAY(XT!AC364), DAY(XT!AG364)), MATCH(1, INDEX(--(MONTH(CHOOSE({1,2,3,4}, XT!U364,XT!Y364,XT!AC364,XT!AG364))=12), 0), 0)), "")</f>
        <v/>
      </c>
      <c r="AU364" s="12" t="str">
        <f>IF(XT!$P364&gt;0,AT364,"")</f>
        <v/>
      </c>
      <c r="AV364" s="12" t="str">
        <f>IF(XT!$P364=0,AT364,"")</f>
        <v/>
      </c>
    </row>
    <row r="365" spans="1:48">
      <c r="A365">
        <f>SUMPRODUCT((MONTH(CHOOSE({1,2,3,4},XT!U365,XT!Y365,XT!AC365,XT!AG365))=1)*(CHOOSE({1,2,3,4},XT!X365,XT!AB365,XT!AF365,XT!AJ365)))</f>
        <v>0</v>
      </c>
      <c r="B365">
        <f>IFERROR(INDEX(CHOOSE({1,2,3,4}, DAY(XT!U365), DAY(XT!Y365), DAY(XT!AC365), DAY(XT!AG365)), MATCH(1, INDEX(--(MONTH(CHOOSE({1,2,3,4}, XT!U365,XT!Y365,XT!AC365,XT!AG365))=1), 0), 0)), "")</f>
        <v>0</v>
      </c>
      <c r="C365" s="12" t="str">
        <f>IF(XT!$P365&gt;0,B365,"")</f>
        <v/>
      </c>
      <c r="D365" s="12">
        <f>IF(XT!$P365=0,B365,"")</f>
        <v>0</v>
      </c>
      <c r="E365">
        <f>SUMPRODUCT((MONTH(CHOOSE({1,2,3,4},XT!U365,XT!Y365,XT!AC365,XT!AG365))=2)*(CHOOSE({1,2,3,4},XT!X365,XT!AB365,XT!AF365,XT!AJ365)))</f>
        <v>0</v>
      </c>
      <c r="F365" t="str">
        <f>IFERROR(INDEX(CHOOSE({1,2,3,4}, DAY(XT!U365), DAY(XT!Y365), DAY(XT!AC365), DAY(XT!AG365)), MATCH(1, INDEX(--(MONTH(CHOOSE({1,2,3,4}, XT!U365,XT!Y365,XT!AC365,XT!AG365))=2), 0), 0)), "")</f>
        <v/>
      </c>
      <c r="G365" s="12" t="str">
        <f>IF(XT!$P365&gt;0,F365,"")</f>
        <v/>
      </c>
      <c r="H365" s="12" t="str">
        <f>IF(XT!$P365=0,F365,"")</f>
        <v/>
      </c>
      <c r="I365">
        <f>SUMPRODUCT((MONTH(CHOOSE({1,2,3,4},XT!U365,XT!Y365,XT!AC365,XT!AG365))=3)*(CHOOSE({1,2,3,4},XT!X365,XT!AB365,XT!AF365,XT!AJ365)))</f>
        <v>0</v>
      </c>
      <c r="J365" t="str">
        <f>IFERROR(INDEX(CHOOSE({1,2,3,4}, DAY(XT!U365), DAY(XT!Y365), DAY(XT!AC365), DAY(XT!AG365)), MATCH(1, INDEX(--(MONTH(CHOOSE({1,2,3,4}, XT!U365,XT!Y365,XT!AC365,XT!AG365))=3), 0), 0)), "")</f>
        <v/>
      </c>
      <c r="K365" s="12" t="str">
        <f>IF(XT!$P365&gt;0,J365,"")</f>
        <v/>
      </c>
      <c r="L365" s="12" t="str">
        <f>IF(XT!$P365=0,J365,"")</f>
        <v/>
      </c>
      <c r="M365">
        <f>SUMPRODUCT((MONTH(CHOOSE({1,2,3,4},XT!U365,XT!Y365,XT!AC365,XT!AG365))=4)*(CHOOSE({1,2,3,4},XT!X365,XT!AB365,XT!AF365,XT!AJ365)))</f>
        <v>0</v>
      </c>
      <c r="N365" t="str">
        <f>IFERROR(INDEX(CHOOSE({1,2,3,4}, DAY(XT!U365), DAY(XT!Y365), DAY(XT!AC365), DAY(XT!AG365)), MATCH(1, INDEX(--(MONTH(CHOOSE({1,2,3,4}, XT!U365,XT!Y365,XT!AC365,XT!AG365))=4), 0), 0)), "")</f>
        <v/>
      </c>
      <c r="O365" s="12" t="str">
        <f>IF(XT!$P365&gt;0,N365,"")</f>
        <v/>
      </c>
      <c r="P365" s="12" t="str">
        <f>IF(XT!$P365=0,N365,"")</f>
        <v/>
      </c>
      <c r="Q365">
        <f>SUMPRODUCT((MONTH(CHOOSE({1,2,3,4},XT!U365,XT!Y365,XT!AC365,XT!AG365))=5)*(CHOOSE({1,2,3,4},XT!X365,XT!AB365,XT!AF365,XT!AJ365)))</f>
        <v>0</v>
      </c>
      <c r="R365" t="str">
        <f>IFERROR(INDEX(CHOOSE({1,2,3,4}, DAY(XT!U365), DAY(XT!Y365), DAY(XT!AC365), DAY(XT!AG365)), MATCH(1, INDEX(--(MONTH(CHOOSE({1,2,3,4}, XT!U365,XT!Y365,XT!AC365,XT!AG365))=5), 0), 0)), "")</f>
        <v/>
      </c>
      <c r="S365" s="12" t="str">
        <f>IF(XT!$P365&gt;0,R365,"")</f>
        <v/>
      </c>
      <c r="T365" s="12" t="str">
        <f>IF(XT!$P365=0,R365,"")</f>
        <v/>
      </c>
      <c r="U365">
        <f>SUMPRODUCT((MONTH(CHOOSE({1,2,3,4},XT!U365,XT!Y365,XT!AC365,XT!AG365))=6)*(CHOOSE({1,2,3,4},XT!X365,XT!AB365,XT!AF365,XT!AJ365)))</f>
        <v>0</v>
      </c>
      <c r="V365" t="str">
        <f>IFERROR(INDEX(CHOOSE({1,2,3,4}, DAY(XT!U365), DAY(XT!Y365), DAY(XT!AC365), DAY(XT!AG365)), MATCH(1, INDEX(--(MONTH(CHOOSE({1,2,3,4}, XT!U365,XT!Y365,XT!AC365,XT!AG365))=6), 0), 0)), "")</f>
        <v/>
      </c>
      <c r="W365" s="12" t="str">
        <f>IF(XT!$P365&gt;0,V365,"")</f>
        <v/>
      </c>
      <c r="X365" s="12" t="str">
        <f>IF(XT!$P365=0,V365,"")</f>
        <v/>
      </c>
      <c r="Y365">
        <f>SUMPRODUCT((MONTH(CHOOSE({1,2,3,4},XT!U365,XT!Y365,XT!AC365,XT!AG365))=7)*(CHOOSE({1,2,3,4},XT!X365,XT!AB365,XT!AF365,XT!AJ365)))</f>
        <v>0</v>
      </c>
      <c r="Z365" t="str">
        <f>IFERROR(INDEX(CHOOSE({1,2,3,4}, DAY(XT!U365), DAY(XT!Y365), DAY(XT!AC365), DAY(XT!AG365)), MATCH(1, INDEX(--(MONTH(CHOOSE({1,2,3,4}, XT!U365,XT!Y365,XT!AC365,XT!AG365))=7), 0), 0)), "")</f>
        <v/>
      </c>
      <c r="AA365" s="12" t="str">
        <f>IF(XT!$P365&gt;0,Z365,"")</f>
        <v/>
      </c>
      <c r="AB365" s="12" t="str">
        <f>IF(XT!$P365=0,Z365,"")</f>
        <v/>
      </c>
      <c r="AC365">
        <f>SUMPRODUCT((MONTH(CHOOSE({1,2,3,4},XT!U365,XT!Y365,XT!AC365,XT!AG365))=8)*(CHOOSE({1,2,3,4},XT!X365,XT!AB365,XT!AF365,XT!AJ365)))</f>
        <v>0</v>
      </c>
      <c r="AD365" t="str">
        <f>IFERROR(INDEX(CHOOSE({1,2,3,4}, DAY(XT!U365), DAY(XT!Y365), DAY(XT!AC365), DAY(XT!AG365)), MATCH(1, INDEX(--(MONTH(CHOOSE({1,2,3,4}, XT!U365,XT!Y365,XT!AC365,XT!AG365))=8), 0), 0)), "")</f>
        <v/>
      </c>
      <c r="AE365" s="12" t="str">
        <f>IF(XT!$P365&gt;0,AD365,"")</f>
        <v/>
      </c>
      <c r="AF365" s="12" t="str">
        <f>IF(XT!$P365=0,AD365,"")</f>
        <v/>
      </c>
      <c r="AG365">
        <f>SUMPRODUCT((MONTH(CHOOSE({1,2,3,4},XT!U365,XT!Y365,XT!AC365,XT!AG365))=9)*(CHOOSE({1,2,3,4},XT!X365,XT!AB365,XT!AF365,XT!AJ365)))</f>
        <v>0</v>
      </c>
      <c r="AH365" t="str">
        <f>IFERROR(INDEX(CHOOSE({1,2,3,4}, DAY(XT!U365), DAY(XT!Y365), DAY(XT!AC365), DAY(XT!AG365)), MATCH(1, INDEX(--(MONTH(CHOOSE({1,2,3,4}, XT!U365,XT!Y365,XT!AC365,XT!AG365))=9), 0), 0)), "")</f>
        <v/>
      </c>
      <c r="AI365" s="12" t="str">
        <f>IF(XT!$P365&gt;0,AH365,"")</f>
        <v/>
      </c>
      <c r="AJ365" s="12" t="str">
        <f>IF(XT!$P365=0,AH365,"")</f>
        <v/>
      </c>
      <c r="AK365">
        <f>SUMPRODUCT((MONTH(CHOOSE({1,2,3,4},XT!U365,XT!Y365,XT!AC365,XT!AG365))=10)*(CHOOSE({1,2,3,4},XT!X365,XT!AB365,XT!AF365,XT!AJ365)))</f>
        <v>0</v>
      </c>
      <c r="AL365" t="str">
        <f>IFERROR(INDEX(CHOOSE({1,2,3,4}, DAY(XT!U365), DAY(XT!Y365), DAY(XT!AC365), DAY(XT!AG365)), MATCH(1, INDEX(--(MONTH(CHOOSE({1,2,3,4}, XT!U365,XT!Y365,XT!AC365,XT!AG365))=10), 0), 0)), "")</f>
        <v/>
      </c>
      <c r="AM365" s="12" t="str">
        <f>IF(XT!$P365&gt;0,AL365,"")</f>
        <v/>
      </c>
      <c r="AN365" s="12" t="str">
        <f>IF(XT!$P365=0,AL365,"")</f>
        <v/>
      </c>
      <c r="AO365">
        <f>SUMPRODUCT((MONTH(CHOOSE({1,2,3,4},XT!U365,XT!Y365,XT!AC365,XT!AG365))=11)*(CHOOSE({1,2,3,4},XT!X365,XT!AB365,XT!AF365,XT!AJ365)))</f>
        <v>0</v>
      </c>
      <c r="AP365" t="str">
        <f>IFERROR(INDEX(CHOOSE({1,2,3,4}, DAY(XT!U365), DAY(XT!Y365), DAY(XT!AC365), DAY(XT!AG365)), MATCH(1, INDEX(--(MONTH(CHOOSE({1,2,3,4}, XT!U365,XT!Y365,XT!AC365,XT!AG365))=11), 0), 0)), "")</f>
        <v/>
      </c>
      <c r="AQ365" s="12" t="str">
        <f>IF(XT!$P365&gt;0,AP365,"")</f>
        <v/>
      </c>
      <c r="AR365" s="12" t="str">
        <f>IF(XT!$P365=0,AP365,"")</f>
        <v/>
      </c>
      <c r="AS365">
        <f>SUMPRODUCT((MONTH(CHOOSE({1,2,3,4},XT!U365,XT!Y365,XT!AC365,XT!AG365))=12)*(CHOOSE({1,2,3,4},XT!X365,XT!AB365,XT!AF365,XT!AJ365)))</f>
        <v>0</v>
      </c>
      <c r="AT365" t="str">
        <f>IFERROR(INDEX(CHOOSE({1,2,3,4}, DAY(XT!U365), DAY(XT!Y365), DAY(XT!AC365), DAY(XT!AG365)), MATCH(1, INDEX(--(MONTH(CHOOSE({1,2,3,4}, XT!U365,XT!Y365,XT!AC365,XT!AG365))=12), 0), 0)), "")</f>
        <v/>
      </c>
      <c r="AU365" s="12" t="str">
        <f>IF(XT!$P365&gt;0,AT365,"")</f>
        <v/>
      </c>
      <c r="AV365" s="12" t="str">
        <f>IF(XT!$P365=0,AT365,"")</f>
        <v/>
      </c>
    </row>
    <row r="366" spans="1:48">
      <c r="A366">
        <f>SUMPRODUCT((MONTH(CHOOSE({1,2,3,4},XT!U366,XT!Y366,XT!AC366,XT!AG366))=1)*(CHOOSE({1,2,3,4},XT!X366,XT!AB366,XT!AF366,XT!AJ366)))</f>
        <v>0</v>
      </c>
      <c r="B366">
        <f>IFERROR(INDEX(CHOOSE({1,2,3,4}, DAY(XT!U366), DAY(XT!Y366), DAY(XT!AC366), DAY(XT!AG366)), MATCH(1, INDEX(--(MONTH(CHOOSE({1,2,3,4}, XT!U366,XT!Y366,XT!AC366,XT!AG366))=1), 0), 0)), "")</f>
        <v>0</v>
      </c>
      <c r="C366" s="12" t="str">
        <f>IF(XT!$P366&gt;0,B366,"")</f>
        <v/>
      </c>
      <c r="D366" s="12">
        <f>IF(XT!$P366=0,B366,"")</f>
        <v>0</v>
      </c>
      <c r="E366">
        <f>SUMPRODUCT((MONTH(CHOOSE({1,2,3,4},XT!U366,XT!Y366,XT!AC366,XT!AG366))=2)*(CHOOSE({1,2,3,4},XT!X366,XT!AB366,XT!AF366,XT!AJ366)))</f>
        <v>0</v>
      </c>
      <c r="F366" t="str">
        <f>IFERROR(INDEX(CHOOSE({1,2,3,4}, DAY(XT!U366), DAY(XT!Y366), DAY(XT!AC366), DAY(XT!AG366)), MATCH(1, INDEX(--(MONTH(CHOOSE({1,2,3,4}, XT!U366,XT!Y366,XT!AC366,XT!AG366))=2), 0), 0)), "")</f>
        <v/>
      </c>
      <c r="G366" s="12" t="str">
        <f>IF(XT!$P366&gt;0,F366,"")</f>
        <v/>
      </c>
      <c r="H366" s="12" t="str">
        <f>IF(XT!$P366=0,F366,"")</f>
        <v/>
      </c>
      <c r="I366">
        <f>SUMPRODUCT((MONTH(CHOOSE({1,2,3,4},XT!U366,XT!Y366,XT!AC366,XT!AG366))=3)*(CHOOSE({1,2,3,4},XT!X366,XT!AB366,XT!AF366,XT!AJ366)))</f>
        <v>0</v>
      </c>
      <c r="J366" t="str">
        <f>IFERROR(INDEX(CHOOSE({1,2,3,4}, DAY(XT!U366), DAY(XT!Y366), DAY(XT!AC366), DAY(XT!AG366)), MATCH(1, INDEX(--(MONTH(CHOOSE({1,2,3,4}, XT!U366,XT!Y366,XT!AC366,XT!AG366))=3), 0), 0)), "")</f>
        <v/>
      </c>
      <c r="K366" s="12" t="str">
        <f>IF(XT!$P366&gt;0,J366,"")</f>
        <v/>
      </c>
      <c r="L366" s="12" t="str">
        <f>IF(XT!$P366=0,J366,"")</f>
        <v/>
      </c>
      <c r="M366">
        <f>SUMPRODUCT((MONTH(CHOOSE({1,2,3,4},XT!U366,XT!Y366,XT!AC366,XT!AG366))=4)*(CHOOSE({1,2,3,4},XT!X366,XT!AB366,XT!AF366,XT!AJ366)))</f>
        <v>0</v>
      </c>
      <c r="N366" t="str">
        <f>IFERROR(INDEX(CHOOSE({1,2,3,4}, DAY(XT!U366), DAY(XT!Y366), DAY(XT!AC366), DAY(XT!AG366)), MATCH(1, INDEX(--(MONTH(CHOOSE({1,2,3,4}, XT!U366,XT!Y366,XT!AC366,XT!AG366))=4), 0), 0)), "")</f>
        <v/>
      </c>
      <c r="O366" s="12" t="str">
        <f>IF(XT!$P366&gt;0,N366,"")</f>
        <v/>
      </c>
      <c r="P366" s="12" t="str">
        <f>IF(XT!$P366=0,N366,"")</f>
        <v/>
      </c>
      <c r="Q366">
        <f>SUMPRODUCT((MONTH(CHOOSE({1,2,3,4},XT!U366,XT!Y366,XT!AC366,XT!AG366))=5)*(CHOOSE({1,2,3,4},XT!X366,XT!AB366,XT!AF366,XT!AJ366)))</f>
        <v>0</v>
      </c>
      <c r="R366" t="str">
        <f>IFERROR(INDEX(CHOOSE({1,2,3,4}, DAY(XT!U366), DAY(XT!Y366), DAY(XT!AC366), DAY(XT!AG366)), MATCH(1, INDEX(--(MONTH(CHOOSE({1,2,3,4}, XT!U366,XT!Y366,XT!AC366,XT!AG366))=5), 0), 0)), "")</f>
        <v/>
      </c>
      <c r="S366" s="12" t="str">
        <f>IF(XT!$P366&gt;0,R366,"")</f>
        <v/>
      </c>
      <c r="T366" s="12" t="str">
        <f>IF(XT!$P366=0,R366,"")</f>
        <v/>
      </c>
      <c r="U366">
        <f>SUMPRODUCT((MONTH(CHOOSE({1,2,3,4},XT!U366,XT!Y366,XT!AC366,XT!AG366))=6)*(CHOOSE({1,2,3,4},XT!X366,XT!AB366,XT!AF366,XT!AJ366)))</f>
        <v>0</v>
      </c>
      <c r="V366" t="str">
        <f>IFERROR(INDEX(CHOOSE({1,2,3,4}, DAY(XT!U366), DAY(XT!Y366), DAY(XT!AC366), DAY(XT!AG366)), MATCH(1, INDEX(--(MONTH(CHOOSE({1,2,3,4}, XT!U366,XT!Y366,XT!AC366,XT!AG366))=6), 0), 0)), "")</f>
        <v/>
      </c>
      <c r="W366" s="12" t="str">
        <f>IF(XT!$P366&gt;0,V366,"")</f>
        <v/>
      </c>
      <c r="X366" s="12" t="str">
        <f>IF(XT!$P366=0,V366,"")</f>
        <v/>
      </c>
      <c r="Y366">
        <f>SUMPRODUCT((MONTH(CHOOSE({1,2,3,4},XT!U366,XT!Y366,XT!AC366,XT!AG366))=7)*(CHOOSE({1,2,3,4},XT!X366,XT!AB366,XT!AF366,XT!AJ366)))</f>
        <v>0</v>
      </c>
      <c r="Z366" t="str">
        <f>IFERROR(INDEX(CHOOSE({1,2,3,4}, DAY(XT!U366), DAY(XT!Y366), DAY(XT!AC366), DAY(XT!AG366)), MATCH(1, INDEX(--(MONTH(CHOOSE({1,2,3,4}, XT!U366,XT!Y366,XT!AC366,XT!AG366))=7), 0), 0)), "")</f>
        <v/>
      </c>
      <c r="AA366" s="12" t="str">
        <f>IF(XT!$P366&gt;0,Z366,"")</f>
        <v/>
      </c>
      <c r="AB366" s="12" t="str">
        <f>IF(XT!$P366=0,Z366,"")</f>
        <v/>
      </c>
      <c r="AC366">
        <f>SUMPRODUCT((MONTH(CHOOSE({1,2,3,4},XT!U366,XT!Y366,XT!AC366,XT!AG366))=8)*(CHOOSE({1,2,3,4},XT!X366,XT!AB366,XT!AF366,XT!AJ366)))</f>
        <v>0</v>
      </c>
      <c r="AD366" t="str">
        <f>IFERROR(INDEX(CHOOSE({1,2,3,4}, DAY(XT!U366), DAY(XT!Y366), DAY(XT!AC366), DAY(XT!AG366)), MATCH(1, INDEX(--(MONTH(CHOOSE({1,2,3,4}, XT!U366,XT!Y366,XT!AC366,XT!AG366))=8), 0), 0)), "")</f>
        <v/>
      </c>
      <c r="AE366" s="12" t="str">
        <f>IF(XT!$P366&gt;0,AD366,"")</f>
        <v/>
      </c>
      <c r="AF366" s="12" t="str">
        <f>IF(XT!$P366=0,AD366,"")</f>
        <v/>
      </c>
      <c r="AG366">
        <f>SUMPRODUCT((MONTH(CHOOSE({1,2,3,4},XT!U366,XT!Y366,XT!AC366,XT!AG366))=9)*(CHOOSE({1,2,3,4},XT!X366,XT!AB366,XT!AF366,XT!AJ366)))</f>
        <v>0</v>
      </c>
      <c r="AH366" t="str">
        <f>IFERROR(INDEX(CHOOSE({1,2,3,4}, DAY(XT!U366), DAY(XT!Y366), DAY(XT!AC366), DAY(XT!AG366)), MATCH(1, INDEX(--(MONTH(CHOOSE({1,2,3,4}, XT!U366,XT!Y366,XT!AC366,XT!AG366))=9), 0), 0)), "")</f>
        <v/>
      </c>
      <c r="AI366" s="12" t="str">
        <f>IF(XT!$P366&gt;0,AH366,"")</f>
        <v/>
      </c>
      <c r="AJ366" s="12" t="str">
        <f>IF(XT!$P366=0,AH366,"")</f>
        <v/>
      </c>
      <c r="AK366">
        <f>SUMPRODUCT((MONTH(CHOOSE({1,2,3,4},XT!U366,XT!Y366,XT!AC366,XT!AG366))=10)*(CHOOSE({1,2,3,4},XT!X366,XT!AB366,XT!AF366,XT!AJ366)))</f>
        <v>0</v>
      </c>
      <c r="AL366" t="str">
        <f>IFERROR(INDEX(CHOOSE({1,2,3,4}, DAY(XT!U366), DAY(XT!Y366), DAY(XT!AC366), DAY(XT!AG366)), MATCH(1, INDEX(--(MONTH(CHOOSE({1,2,3,4}, XT!U366,XT!Y366,XT!AC366,XT!AG366))=10), 0), 0)), "")</f>
        <v/>
      </c>
      <c r="AM366" s="12" t="str">
        <f>IF(XT!$P366&gt;0,AL366,"")</f>
        <v/>
      </c>
      <c r="AN366" s="12" t="str">
        <f>IF(XT!$P366=0,AL366,"")</f>
        <v/>
      </c>
      <c r="AO366">
        <f>SUMPRODUCT((MONTH(CHOOSE({1,2,3,4},XT!U366,XT!Y366,XT!AC366,XT!AG366))=11)*(CHOOSE({1,2,3,4},XT!X366,XT!AB366,XT!AF366,XT!AJ366)))</f>
        <v>0</v>
      </c>
      <c r="AP366" t="str">
        <f>IFERROR(INDEX(CHOOSE({1,2,3,4}, DAY(XT!U366), DAY(XT!Y366), DAY(XT!AC366), DAY(XT!AG366)), MATCH(1, INDEX(--(MONTH(CHOOSE({1,2,3,4}, XT!U366,XT!Y366,XT!AC366,XT!AG366))=11), 0), 0)), "")</f>
        <v/>
      </c>
      <c r="AQ366" s="12" t="str">
        <f>IF(XT!$P366&gt;0,AP366,"")</f>
        <v/>
      </c>
      <c r="AR366" s="12" t="str">
        <f>IF(XT!$P366=0,AP366,"")</f>
        <v/>
      </c>
      <c r="AS366">
        <f>SUMPRODUCT((MONTH(CHOOSE({1,2,3,4},XT!U366,XT!Y366,XT!AC366,XT!AG366))=12)*(CHOOSE({1,2,3,4},XT!X366,XT!AB366,XT!AF366,XT!AJ366)))</f>
        <v>0</v>
      </c>
      <c r="AT366" t="str">
        <f>IFERROR(INDEX(CHOOSE({1,2,3,4}, DAY(XT!U366), DAY(XT!Y366), DAY(XT!AC366), DAY(XT!AG366)), MATCH(1, INDEX(--(MONTH(CHOOSE({1,2,3,4}, XT!U366,XT!Y366,XT!AC366,XT!AG366))=12), 0), 0)), "")</f>
        <v/>
      </c>
      <c r="AU366" s="12" t="str">
        <f>IF(XT!$P366&gt;0,AT366,"")</f>
        <v/>
      </c>
      <c r="AV366" s="12" t="str">
        <f>IF(XT!$P366=0,AT366,"")</f>
        <v/>
      </c>
    </row>
    <row r="367" spans="1:48">
      <c r="A367">
        <f>SUMPRODUCT((MONTH(CHOOSE({1,2,3,4},XT!U367,XT!Y367,XT!AC367,XT!AG367))=1)*(CHOOSE({1,2,3,4},XT!X367,XT!AB367,XT!AF367,XT!AJ367)))</f>
        <v>0</v>
      </c>
      <c r="B367">
        <f>IFERROR(INDEX(CHOOSE({1,2,3,4}, DAY(XT!U367), DAY(XT!Y367), DAY(XT!AC367), DAY(XT!AG367)), MATCH(1, INDEX(--(MONTH(CHOOSE({1,2,3,4}, XT!U367,XT!Y367,XT!AC367,XT!AG367))=1), 0), 0)), "")</f>
        <v>0</v>
      </c>
      <c r="C367" s="12" t="str">
        <f>IF(XT!$P367&gt;0,B367,"")</f>
        <v/>
      </c>
      <c r="D367" s="12">
        <f>IF(XT!$P367=0,B367,"")</f>
        <v>0</v>
      </c>
      <c r="E367">
        <f>SUMPRODUCT((MONTH(CHOOSE({1,2,3,4},XT!U367,XT!Y367,XT!AC367,XT!AG367))=2)*(CHOOSE({1,2,3,4},XT!X367,XT!AB367,XT!AF367,XT!AJ367)))</f>
        <v>0</v>
      </c>
      <c r="F367" t="str">
        <f>IFERROR(INDEX(CHOOSE({1,2,3,4}, DAY(XT!U367), DAY(XT!Y367), DAY(XT!AC367), DAY(XT!AG367)), MATCH(1, INDEX(--(MONTH(CHOOSE({1,2,3,4}, XT!U367,XT!Y367,XT!AC367,XT!AG367))=2), 0), 0)), "")</f>
        <v/>
      </c>
      <c r="G367" s="12" t="str">
        <f>IF(XT!$P367&gt;0,F367,"")</f>
        <v/>
      </c>
      <c r="H367" s="12" t="str">
        <f>IF(XT!$P367=0,F367,"")</f>
        <v/>
      </c>
      <c r="I367">
        <f>SUMPRODUCT((MONTH(CHOOSE({1,2,3,4},XT!U367,XT!Y367,XT!AC367,XT!AG367))=3)*(CHOOSE({1,2,3,4},XT!X367,XT!AB367,XT!AF367,XT!AJ367)))</f>
        <v>0</v>
      </c>
      <c r="J367" t="str">
        <f>IFERROR(INDEX(CHOOSE({1,2,3,4}, DAY(XT!U367), DAY(XT!Y367), DAY(XT!AC367), DAY(XT!AG367)), MATCH(1, INDEX(--(MONTH(CHOOSE({1,2,3,4}, XT!U367,XT!Y367,XT!AC367,XT!AG367))=3), 0), 0)), "")</f>
        <v/>
      </c>
      <c r="K367" s="12" t="str">
        <f>IF(XT!$P367&gt;0,J367,"")</f>
        <v/>
      </c>
      <c r="L367" s="12" t="str">
        <f>IF(XT!$P367=0,J367,"")</f>
        <v/>
      </c>
      <c r="M367">
        <f>SUMPRODUCT((MONTH(CHOOSE({1,2,3,4},XT!U367,XT!Y367,XT!AC367,XT!AG367))=4)*(CHOOSE({1,2,3,4},XT!X367,XT!AB367,XT!AF367,XT!AJ367)))</f>
        <v>0</v>
      </c>
      <c r="N367" t="str">
        <f>IFERROR(INDEX(CHOOSE({1,2,3,4}, DAY(XT!U367), DAY(XT!Y367), DAY(XT!AC367), DAY(XT!AG367)), MATCH(1, INDEX(--(MONTH(CHOOSE({1,2,3,4}, XT!U367,XT!Y367,XT!AC367,XT!AG367))=4), 0), 0)), "")</f>
        <v/>
      </c>
      <c r="O367" s="12" t="str">
        <f>IF(XT!$P367&gt;0,N367,"")</f>
        <v/>
      </c>
      <c r="P367" s="12" t="str">
        <f>IF(XT!$P367=0,N367,"")</f>
        <v/>
      </c>
      <c r="Q367">
        <f>SUMPRODUCT((MONTH(CHOOSE({1,2,3,4},XT!U367,XT!Y367,XT!AC367,XT!AG367))=5)*(CHOOSE({1,2,3,4},XT!X367,XT!AB367,XT!AF367,XT!AJ367)))</f>
        <v>0</v>
      </c>
      <c r="R367" t="str">
        <f>IFERROR(INDEX(CHOOSE({1,2,3,4}, DAY(XT!U367), DAY(XT!Y367), DAY(XT!AC367), DAY(XT!AG367)), MATCH(1, INDEX(--(MONTH(CHOOSE({1,2,3,4}, XT!U367,XT!Y367,XT!AC367,XT!AG367))=5), 0), 0)), "")</f>
        <v/>
      </c>
      <c r="S367" s="12" t="str">
        <f>IF(XT!$P367&gt;0,R367,"")</f>
        <v/>
      </c>
      <c r="T367" s="12" t="str">
        <f>IF(XT!$P367=0,R367,"")</f>
        <v/>
      </c>
      <c r="U367">
        <f>SUMPRODUCT((MONTH(CHOOSE({1,2,3,4},XT!U367,XT!Y367,XT!AC367,XT!AG367))=6)*(CHOOSE({1,2,3,4},XT!X367,XT!AB367,XT!AF367,XT!AJ367)))</f>
        <v>0</v>
      </c>
      <c r="V367" t="str">
        <f>IFERROR(INDEX(CHOOSE({1,2,3,4}, DAY(XT!U367), DAY(XT!Y367), DAY(XT!AC367), DAY(XT!AG367)), MATCH(1, INDEX(--(MONTH(CHOOSE({1,2,3,4}, XT!U367,XT!Y367,XT!AC367,XT!AG367))=6), 0), 0)), "")</f>
        <v/>
      </c>
      <c r="W367" s="12" t="str">
        <f>IF(XT!$P367&gt;0,V367,"")</f>
        <v/>
      </c>
      <c r="X367" s="12" t="str">
        <f>IF(XT!$P367=0,V367,"")</f>
        <v/>
      </c>
      <c r="Y367">
        <f>SUMPRODUCT((MONTH(CHOOSE({1,2,3,4},XT!U367,XT!Y367,XT!AC367,XT!AG367))=7)*(CHOOSE({1,2,3,4},XT!X367,XT!AB367,XT!AF367,XT!AJ367)))</f>
        <v>0</v>
      </c>
      <c r="Z367" t="str">
        <f>IFERROR(INDEX(CHOOSE({1,2,3,4}, DAY(XT!U367), DAY(XT!Y367), DAY(XT!AC367), DAY(XT!AG367)), MATCH(1, INDEX(--(MONTH(CHOOSE({1,2,3,4}, XT!U367,XT!Y367,XT!AC367,XT!AG367))=7), 0), 0)), "")</f>
        <v/>
      </c>
      <c r="AA367" s="12" t="str">
        <f>IF(XT!$P367&gt;0,Z367,"")</f>
        <v/>
      </c>
      <c r="AB367" s="12" t="str">
        <f>IF(XT!$P367=0,Z367,"")</f>
        <v/>
      </c>
      <c r="AC367">
        <f>SUMPRODUCT((MONTH(CHOOSE({1,2,3,4},XT!U367,XT!Y367,XT!AC367,XT!AG367))=8)*(CHOOSE({1,2,3,4},XT!X367,XT!AB367,XT!AF367,XT!AJ367)))</f>
        <v>0</v>
      </c>
      <c r="AD367" t="str">
        <f>IFERROR(INDEX(CHOOSE({1,2,3,4}, DAY(XT!U367), DAY(XT!Y367), DAY(XT!AC367), DAY(XT!AG367)), MATCH(1, INDEX(--(MONTH(CHOOSE({1,2,3,4}, XT!U367,XT!Y367,XT!AC367,XT!AG367))=8), 0), 0)), "")</f>
        <v/>
      </c>
      <c r="AE367" s="12" t="str">
        <f>IF(XT!$P367&gt;0,AD367,"")</f>
        <v/>
      </c>
      <c r="AF367" s="12" t="str">
        <f>IF(XT!$P367=0,AD367,"")</f>
        <v/>
      </c>
      <c r="AG367">
        <f>SUMPRODUCT((MONTH(CHOOSE({1,2,3,4},XT!U367,XT!Y367,XT!AC367,XT!AG367))=9)*(CHOOSE({1,2,3,4},XT!X367,XT!AB367,XT!AF367,XT!AJ367)))</f>
        <v>0</v>
      </c>
      <c r="AH367" t="str">
        <f>IFERROR(INDEX(CHOOSE({1,2,3,4}, DAY(XT!U367), DAY(XT!Y367), DAY(XT!AC367), DAY(XT!AG367)), MATCH(1, INDEX(--(MONTH(CHOOSE({1,2,3,4}, XT!U367,XT!Y367,XT!AC367,XT!AG367))=9), 0), 0)), "")</f>
        <v/>
      </c>
      <c r="AI367" s="12" t="str">
        <f>IF(XT!$P367&gt;0,AH367,"")</f>
        <v/>
      </c>
      <c r="AJ367" s="12" t="str">
        <f>IF(XT!$P367=0,AH367,"")</f>
        <v/>
      </c>
      <c r="AK367">
        <f>SUMPRODUCT((MONTH(CHOOSE({1,2,3,4},XT!U367,XT!Y367,XT!AC367,XT!AG367))=10)*(CHOOSE({1,2,3,4},XT!X367,XT!AB367,XT!AF367,XT!AJ367)))</f>
        <v>0</v>
      </c>
      <c r="AL367" t="str">
        <f>IFERROR(INDEX(CHOOSE({1,2,3,4}, DAY(XT!U367), DAY(XT!Y367), DAY(XT!AC367), DAY(XT!AG367)), MATCH(1, INDEX(--(MONTH(CHOOSE({1,2,3,4}, XT!U367,XT!Y367,XT!AC367,XT!AG367))=10), 0), 0)), "")</f>
        <v/>
      </c>
      <c r="AM367" s="12" t="str">
        <f>IF(XT!$P367&gt;0,AL367,"")</f>
        <v/>
      </c>
      <c r="AN367" s="12" t="str">
        <f>IF(XT!$P367=0,AL367,"")</f>
        <v/>
      </c>
      <c r="AO367">
        <f>SUMPRODUCT((MONTH(CHOOSE({1,2,3,4},XT!U367,XT!Y367,XT!AC367,XT!AG367))=11)*(CHOOSE({1,2,3,4},XT!X367,XT!AB367,XT!AF367,XT!AJ367)))</f>
        <v>0</v>
      </c>
      <c r="AP367" t="str">
        <f>IFERROR(INDEX(CHOOSE({1,2,3,4}, DAY(XT!U367), DAY(XT!Y367), DAY(XT!AC367), DAY(XT!AG367)), MATCH(1, INDEX(--(MONTH(CHOOSE({1,2,3,4}, XT!U367,XT!Y367,XT!AC367,XT!AG367))=11), 0), 0)), "")</f>
        <v/>
      </c>
      <c r="AQ367" s="12" t="str">
        <f>IF(XT!$P367&gt;0,AP367,"")</f>
        <v/>
      </c>
      <c r="AR367" s="12" t="str">
        <f>IF(XT!$P367=0,AP367,"")</f>
        <v/>
      </c>
      <c r="AS367">
        <f>SUMPRODUCT((MONTH(CHOOSE({1,2,3,4},XT!U367,XT!Y367,XT!AC367,XT!AG367))=12)*(CHOOSE({1,2,3,4},XT!X367,XT!AB367,XT!AF367,XT!AJ367)))</f>
        <v>0</v>
      </c>
      <c r="AT367" t="str">
        <f>IFERROR(INDEX(CHOOSE({1,2,3,4}, DAY(XT!U367), DAY(XT!Y367), DAY(XT!AC367), DAY(XT!AG367)), MATCH(1, INDEX(--(MONTH(CHOOSE({1,2,3,4}, XT!U367,XT!Y367,XT!AC367,XT!AG367))=12), 0), 0)), "")</f>
        <v/>
      </c>
      <c r="AU367" s="12" t="str">
        <f>IF(XT!$P367&gt;0,AT367,"")</f>
        <v/>
      </c>
      <c r="AV367" s="12" t="str">
        <f>IF(XT!$P367=0,AT367,"")</f>
        <v/>
      </c>
    </row>
    <row r="368" spans="1:48">
      <c r="A368">
        <f>SUMPRODUCT((MONTH(CHOOSE({1,2,3,4},XT!U368,XT!Y368,XT!AC368,XT!AG368))=1)*(CHOOSE({1,2,3,4},XT!X368,XT!AB368,XT!AF368,XT!AJ368)))</f>
        <v>0</v>
      </c>
      <c r="B368">
        <f>IFERROR(INDEX(CHOOSE({1,2,3,4}, DAY(XT!U368), DAY(XT!Y368), DAY(XT!AC368), DAY(XT!AG368)), MATCH(1, INDEX(--(MONTH(CHOOSE({1,2,3,4}, XT!U368,XT!Y368,XT!AC368,XT!AG368))=1), 0), 0)), "")</f>
        <v>0</v>
      </c>
      <c r="C368" s="12" t="str">
        <f>IF(XT!$P368&gt;0,B368,"")</f>
        <v/>
      </c>
      <c r="D368" s="12">
        <f>IF(XT!$P368=0,B368,"")</f>
        <v>0</v>
      </c>
      <c r="E368">
        <f>SUMPRODUCT((MONTH(CHOOSE({1,2,3,4},XT!U368,XT!Y368,XT!AC368,XT!AG368))=2)*(CHOOSE({1,2,3,4},XT!X368,XT!AB368,XT!AF368,XT!AJ368)))</f>
        <v>0</v>
      </c>
      <c r="F368" t="str">
        <f>IFERROR(INDEX(CHOOSE({1,2,3,4}, DAY(XT!U368), DAY(XT!Y368), DAY(XT!AC368), DAY(XT!AG368)), MATCH(1, INDEX(--(MONTH(CHOOSE({1,2,3,4}, XT!U368,XT!Y368,XT!AC368,XT!AG368))=2), 0), 0)), "")</f>
        <v/>
      </c>
      <c r="G368" s="12" t="str">
        <f>IF(XT!$P368&gt;0,F368,"")</f>
        <v/>
      </c>
      <c r="H368" s="12" t="str">
        <f>IF(XT!$P368=0,F368,"")</f>
        <v/>
      </c>
      <c r="I368">
        <f>SUMPRODUCT((MONTH(CHOOSE({1,2,3,4},XT!U368,XT!Y368,XT!AC368,XT!AG368))=3)*(CHOOSE({1,2,3,4},XT!X368,XT!AB368,XT!AF368,XT!AJ368)))</f>
        <v>0</v>
      </c>
      <c r="J368" t="str">
        <f>IFERROR(INDEX(CHOOSE({1,2,3,4}, DAY(XT!U368), DAY(XT!Y368), DAY(XT!AC368), DAY(XT!AG368)), MATCH(1, INDEX(--(MONTH(CHOOSE({1,2,3,4}, XT!U368,XT!Y368,XT!AC368,XT!AG368))=3), 0), 0)), "")</f>
        <v/>
      </c>
      <c r="K368" s="12" t="str">
        <f>IF(XT!$P368&gt;0,J368,"")</f>
        <v/>
      </c>
      <c r="L368" s="12" t="str">
        <f>IF(XT!$P368=0,J368,"")</f>
        <v/>
      </c>
      <c r="M368">
        <f>SUMPRODUCT((MONTH(CHOOSE({1,2,3,4},XT!U368,XT!Y368,XT!AC368,XT!AG368))=4)*(CHOOSE({1,2,3,4},XT!X368,XT!AB368,XT!AF368,XT!AJ368)))</f>
        <v>0</v>
      </c>
      <c r="N368" t="str">
        <f>IFERROR(INDEX(CHOOSE({1,2,3,4}, DAY(XT!U368), DAY(XT!Y368), DAY(XT!AC368), DAY(XT!AG368)), MATCH(1, INDEX(--(MONTH(CHOOSE({1,2,3,4}, XT!U368,XT!Y368,XT!AC368,XT!AG368))=4), 0), 0)), "")</f>
        <v/>
      </c>
      <c r="O368" s="12" t="str">
        <f>IF(XT!$P368&gt;0,N368,"")</f>
        <v/>
      </c>
      <c r="P368" s="12" t="str">
        <f>IF(XT!$P368=0,N368,"")</f>
        <v/>
      </c>
      <c r="Q368">
        <f>SUMPRODUCT((MONTH(CHOOSE({1,2,3,4},XT!U368,XT!Y368,XT!AC368,XT!AG368))=5)*(CHOOSE({1,2,3,4},XT!X368,XT!AB368,XT!AF368,XT!AJ368)))</f>
        <v>0</v>
      </c>
      <c r="R368" t="str">
        <f>IFERROR(INDEX(CHOOSE({1,2,3,4}, DAY(XT!U368), DAY(XT!Y368), DAY(XT!AC368), DAY(XT!AG368)), MATCH(1, INDEX(--(MONTH(CHOOSE({1,2,3,4}, XT!U368,XT!Y368,XT!AC368,XT!AG368))=5), 0), 0)), "")</f>
        <v/>
      </c>
      <c r="S368" s="12" t="str">
        <f>IF(XT!$P368&gt;0,R368,"")</f>
        <v/>
      </c>
      <c r="T368" s="12" t="str">
        <f>IF(XT!$P368=0,R368,"")</f>
        <v/>
      </c>
      <c r="U368">
        <f>SUMPRODUCT((MONTH(CHOOSE({1,2,3,4},XT!U368,XT!Y368,XT!AC368,XT!AG368))=6)*(CHOOSE({1,2,3,4},XT!X368,XT!AB368,XT!AF368,XT!AJ368)))</f>
        <v>0</v>
      </c>
      <c r="V368" t="str">
        <f>IFERROR(INDEX(CHOOSE({1,2,3,4}, DAY(XT!U368), DAY(XT!Y368), DAY(XT!AC368), DAY(XT!AG368)), MATCH(1, INDEX(--(MONTH(CHOOSE({1,2,3,4}, XT!U368,XT!Y368,XT!AC368,XT!AG368))=6), 0), 0)), "")</f>
        <v/>
      </c>
      <c r="W368" s="12" t="str">
        <f>IF(XT!$P368&gt;0,V368,"")</f>
        <v/>
      </c>
      <c r="X368" s="12" t="str">
        <f>IF(XT!$P368=0,V368,"")</f>
        <v/>
      </c>
      <c r="Y368">
        <f>SUMPRODUCT((MONTH(CHOOSE({1,2,3,4},XT!U368,XT!Y368,XT!AC368,XT!AG368))=7)*(CHOOSE({1,2,3,4},XT!X368,XT!AB368,XT!AF368,XT!AJ368)))</f>
        <v>0</v>
      </c>
      <c r="Z368" t="str">
        <f>IFERROR(INDEX(CHOOSE({1,2,3,4}, DAY(XT!U368), DAY(XT!Y368), DAY(XT!AC368), DAY(XT!AG368)), MATCH(1, INDEX(--(MONTH(CHOOSE({1,2,3,4}, XT!U368,XT!Y368,XT!AC368,XT!AG368))=7), 0), 0)), "")</f>
        <v/>
      </c>
      <c r="AA368" s="12" t="str">
        <f>IF(XT!$P368&gt;0,Z368,"")</f>
        <v/>
      </c>
      <c r="AB368" s="12" t="str">
        <f>IF(XT!$P368=0,Z368,"")</f>
        <v/>
      </c>
      <c r="AC368">
        <f>SUMPRODUCT((MONTH(CHOOSE({1,2,3,4},XT!U368,XT!Y368,XT!AC368,XT!AG368))=8)*(CHOOSE({1,2,3,4},XT!X368,XT!AB368,XT!AF368,XT!AJ368)))</f>
        <v>0</v>
      </c>
      <c r="AD368" t="str">
        <f>IFERROR(INDEX(CHOOSE({1,2,3,4}, DAY(XT!U368), DAY(XT!Y368), DAY(XT!AC368), DAY(XT!AG368)), MATCH(1, INDEX(--(MONTH(CHOOSE({1,2,3,4}, XT!U368,XT!Y368,XT!AC368,XT!AG368))=8), 0), 0)), "")</f>
        <v/>
      </c>
      <c r="AE368" s="12" t="str">
        <f>IF(XT!$P368&gt;0,AD368,"")</f>
        <v/>
      </c>
      <c r="AF368" s="12" t="str">
        <f>IF(XT!$P368=0,AD368,"")</f>
        <v/>
      </c>
      <c r="AG368">
        <f>SUMPRODUCT((MONTH(CHOOSE({1,2,3,4},XT!U368,XT!Y368,XT!AC368,XT!AG368))=9)*(CHOOSE({1,2,3,4},XT!X368,XT!AB368,XT!AF368,XT!AJ368)))</f>
        <v>0</v>
      </c>
      <c r="AH368" t="str">
        <f>IFERROR(INDEX(CHOOSE({1,2,3,4}, DAY(XT!U368), DAY(XT!Y368), DAY(XT!AC368), DAY(XT!AG368)), MATCH(1, INDEX(--(MONTH(CHOOSE({1,2,3,4}, XT!U368,XT!Y368,XT!AC368,XT!AG368))=9), 0), 0)), "")</f>
        <v/>
      </c>
      <c r="AI368" s="12" t="str">
        <f>IF(XT!$P368&gt;0,AH368,"")</f>
        <v/>
      </c>
      <c r="AJ368" s="12" t="str">
        <f>IF(XT!$P368=0,AH368,"")</f>
        <v/>
      </c>
      <c r="AK368">
        <f>SUMPRODUCT((MONTH(CHOOSE({1,2,3,4},XT!U368,XT!Y368,XT!AC368,XT!AG368))=10)*(CHOOSE({1,2,3,4},XT!X368,XT!AB368,XT!AF368,XT!AJ368)))</f>
        <v>0</v>
      </c>
      <c r="AL368" t="str">
        <f>IFERROR(INDEX(CHOOSE({1,2,3,4}, DAY(XT!U368), DAY(XT!Y368), DAY(XT!AC368), DAY(XT!AG368)), MATCH(1, INDEX(--(MONTH(CHOOSE({1,2,3,4}, XT!U368,XT!Y368,XT!AC368,XT!AG368))=10), 0), 0)), "")</f>
        <v/>
      </c>
      <c r="AM368" s="12" t="str">
        <f>IF(XT!$P368&gt;0,AL368,"")</f>
        <v/>
      </c>
      <c r="AN368" s="12" t="str">
        <f>IF(XT!$P368=0,AL368,"")</f>
        <v/>
      </c>
      <c r="AO368">
        <f>SUMPRODUCT((MONTH(CHOOSE({1,2,3,4},XT!U368,XT!Y368,XT!AC368,XT!AG368))=11)*(CHOOSE({1,2,3,4},XT!X368,XT!AB368,XT!AF368,XT!AJ368)))</f>
        <v>0</v>
      </c>
      <c r="AP368" t="str">
        <f>IFERROR(INDEX(CHOOSE({1,2,3,4}, DAY(XT!U368), DAY(XT!Y368), DAY(XT!AC368), DAY(XT!AG368)), MATCH(1, INDEX(--(MONTH(CHOOSE({1,2,3,4}, XT!U368,XT!Y368,XT!AC368,XT!AG368))=11), 0), 0)), "")</f>
        <v/>
      </c>
      <c r="AQ368" s="12" t="str">
        <f>IF(XT!$P368&gt;0,AP368,"")</f>
        <v/>
      </c>
      <c r="AR368" s="12" t="str">
        <f>IF(XT!$P368=0,AP368,"")</f>
        <v/>
      </c>
      <c r="AS368">
        <f>SUMPRODUCT((MONTH(CHOOSE({1,2,3,4},XT!U368,XT!Y368,XT!AC368,XT!AG368))=12)*(CHOOSE({1,2,3,4},XT!X368,XT!AB368,XT!AF368,XT!AJ368)))</f>
        <v>0</v>
      </c>
      <c r="AT368" t="str">
        <f>IFERROR(INDEX(CHOOSE({1,2,3,4}, DAY(XT!U368), DAY(XT!Y368), DAY(XT!AC368), DAY(XT!AG368)), MATCH(1, INDEX(--(MONTH(CHOOSE({1,2,3,4}, XT!U368,XT!Y368,XT!AC368,XT!AG368))=12), 0), 0)), "")</f>
        <v/>
      </c>
      <c r="AU368" s="12" t="str">
        <f>IF(XT!$P368&gt;0,AT368,"")</f>
        <v/>
      </c>
      <c r="AV368" s="12" t="str">
        <f>IF(XT!$P368=0,AT368,"")</f>
        <v/>
      </c>
    </row>
    <row r="369" spans="1:48">
      <c r="A369">
        <f>SUMPRODUCT((MONTH(CHOOSE({1,2,3,4},XT!U369,XT!Y369,XT!AC369,XT!AG369))=1)*(CHOOSE({1,2,3,4},XT!X369,XT!AB369,XT!AF369,XT!AJ369)))</f>
        <v>0</v>
      </c>
      <c r="B369">
        <f>IFERROR(INDEX(CHOOSE({1,2,3,4}, DAY(XT!U369), DAY(XT!Y369), DAY(XT!AC369), DAY(XT!AG369)), MATCH(1, INDEX(--(MONTH(CHOOSE({1,2,3,4}, XT!U369,XT!Y369,XT!AC369,XT!AG369))=1), 0), 0)), "")</f>
        <v>0</v>
      </c>
      <c r="C369" s="12" t="str">
        <f>IF(XT!$P369&gt;0,B369,"")</f>
        <v/>
      </c>
      <c r="D369" s="12">
        <f>IF(XT!$P369=0,B369,"")</f>
        <v>0</v>
      </c>
      <c r="E369">
        <f>SUMPRODUCT((MONTH(CHOOSE({1,2,3,4},XT!U369,XT!Y369,XT!AC369,XT!AG369))=2)*(CHOOSE({1,2,3,4},XT!X369,XT!AB369,XT!AF369,XT!AJ369)))</f>
        <v>0</v>
      </c>
      <c r="F369" t="str">
        <f>IFERROR(INDEX(CHOOSE({1,2,3,4}, DAY(XT!U369), DAY(XT!Y369), DAY(XT!AC369), DAY(XT!AG369)), MATCH(1, INDEX(--(MONTH(CHOOSE({1,2,3,4}, XT!U369,XT!Y369,XT!AC369,XT!AG369))=2), 0), 0)), "")</f>
        <v/>
      </c>
      <c r="G369" s="12" t="str">
        <f>IF(XT!$P369&gt;0,F369,"")</f>
        <v/>
      </c>
      <c r="H369" s="12" t="str">
        <f>IF(XT!$P369=0,F369,"")</f>
        <v/>
      </c>
      <c r="I369">
        <f>SUMPRODUCT((MONTH(CHOOSE({1,2,3,4},XT!U369,XT!Y369,XT!AC369,XT!AG369))=3)*(CHOOSE({1,2,3,4},XT!X369,XT!AB369,XT!AF369,XT!AJ369)))</f>
        <v>0</v>
      </c>
      <c r="J369" t="str">
        <f>IFERROR(INDEX(CHOOSE({1,2,3,4}, DAY(XT!U369), DAY(XT!Y369), DAY(XT!AC369), DAY(XT!AG369)), MATCH(1, INDEX(--(MONTH(CHOOSE({1,2,3,4}, XT!U369,XT!Y369,XT!AC369,XT!AG369))=3), 0), 0)), "")</f>
        <v/>
      </c>
      <c r="K369" s="12" t="str">
        <f>IF(XT!$P369&gt;0,J369,"")</f>
        <v/>
      </c>
      <c r="L369" s="12" t="str">
        <f>IF(XT!$P369=0,J369,"")</f>
        <v/>
      </c>
      <c r="M369">
        <f>SUMPRODUCT((MONTH(CHOOSE({1,2,3,4},XT!U369,XT!Y369,XT!AC369,XT!AG369))=4)*(CHOOSE({1,2,3,4},XT!X369,XT!AB369,XT!AF369,XT!AJ369)))</f>
        <v>0</v>
      </c>
      <c r="N369" t="str">
        <f>IFERROR(INDEX(CHOOSE({1,2,3,4}, DAY(XT!U369), DAY(XT!Y369), DAY(XT!AC369), DAY(XT!AG369)), MATCH(1, INDEX(--(MONTH(CHOOSE({1,2,3,4}, XT!U369,XT!Y369,XT!AC369,XT!AG369))=4), 0), 0)), "")</f>
        <v/>
      </c>
      <c r="O369" s="12" t="str">
        <f>IF(XT!$P369&gt;0,N369,"")</f>
        <v/>
      </c>
      <c r="P369" s="12" t="str">
        <f>IF(XT!$P369=0,N369,"")</f>
        <v/>
      </c>
      <c r="Q369">
        <f>SUMPRODUCT((MONTH(CHOOSE({1,2,3,4},XT!U369,XT!Y369,XT!AC369,XT!AG369))=5)*(CHOOSE({1,2,3,4},XT!X369,XT!AB369,XT!AF369,XT!AJ369)))</f>
        <v>0</v>
      </c>
      <c r="R369" t="str">
        <f>IFERROR(INDEX(CHOOSE({1,2,3,4}, DAY(XT!U369), DAY(XT!Y369), DAY(XT!AC369), DAY(XT!AG369)), MATCH(1, INDEX(--(MONTH(CHOOSE({1,2,3,4}, XT!U369,XT!Y369,XT!AC369,XT!AG369))=5), 0), 0)), "")</f>
        <v/>
      </c>
      <c r="S369" s="12" t="str">
        <f>IF(XT!$P369&gt;0,R369,"")</f>
        <v/>
      </c>
      <c r="T369" s="12" t="str">
        <f>IF(XT!$P369=0,R369,"")</f>
        <v/>
      </c>
      <c r="U369">
        <f>SUMPRODUCT((MONTH(CHOOSE({1,2,3,4},XT!U369,XT!Y369,XT!AC369,XT!AG369))=6)*(CHOOSE({1,2,3,4},XT!X369,XT!AB369,XT!AF369,XT!AJ369)))</f>
        <v>0</v>
      </c>
      <c r="V369" t="str">
        <f>IFERROR(INDEX(CHOOSE({1,2,3,4}, DAY(XT!U369), DAY(XT!Y369), DAY(XT!AC369), DAY(XT!AG369)), MATCH(1, INDEX(--(MONTH(CHOOSE({1,2,3,4}, XT!U369,XT!Y369,XT!AC369,XT!AG369))=6), 0), 0)), "")</f>
        <v/>
      </c>
      <c r="W369" s="12" t="str">
        <f>IF(XT!$P369&gt;0,V369,"")</f>
        <v/>
      </c>
      <c r="X369" s="12" t="str">
        <f>IF(XT!$P369=0,V369,"")</f>
        <v/>
      </c>
      <c r="Y369">
        <f>SUMPRODUCT((MONTH(CHOOSE({1,2,3,4},XT!U369,XT!Y369,XT!AC369,XT!AG369))=7)*(CHOOSE({1,2,3,4},XT!X369,XT!AB369,XT!AF369,XT!AJ369)))</f>
        <v>0</v>
      </c>
      <c r="Z369" t="str">
        <f>IFERROR(INDEX(CHOOSE({1,2,3,4}, DAY(XT!U369), DAY(XT!Y369), DAY(XT!AC369), DAY(XT!AG369)), MATCH(1, INDEX(--(MONTH(CHOOSE({1,2,3,4}, XT!U369,XT!Y369,XT!AC369,XT!AG369))=7), 0), 0)), "")</f>
        <v/>
      </c>
      <c r="AA369" s="12" t="str">
        <f>IF(XT!$P369&gt;0,Z369,"")</f>
        <v/>
      </c>
      <c r="AB369" s="12" t="str">
        <f>IF(XT!$P369=0,Z369,"")</f>
        <v/>
      </c>
      <c r="AC369">
        <f>SUMPRODUCT((MONTH(CHOOSE({1,2,3,4},XT!U369,XT!Y369,XT!AC369,XT!AG369))=8)*(CHOOSE({1,2,3,4},XT!X369,XT!AB369,XT!AF369,XT!AJ369)))</f>
        <v>0</v>
      </c>
      <c r="AD369" t="str">
        <f>IFERROR(INDEX(CHOOSE({1,2,3,4}, DAY(XT!U369), DAY(XT!Y369), DAY(XT!AC369), DAY(XT!AG369)), MATCH(1, INDEX(--(MONTH(CHOOSE({1,2,3,4}, XT!U369,XT!Y369,XT!AC369,XT!AG369))=8), 0), 0)), "")</f>
        <v/>
      </c>
      <c r="AE369" s="12" t="str">
        <f>IF(XT!$P369&gt;0,AD369,"")</f>
        <v/>
      </c>
      <c r="AF369" s="12" t="str">
        <f>IF(XT!$P369=0,AD369,"")</f>
        <v/>
      </c>
      <c r="AG369">
        <f>SUMPRODUCT((MONTH(CHOOSE({1,2,3,4},XT!U369,XT!Y369,XT!AC369,XT!AG369))=9)*(CHOOSE({1,2,3,4},XT!X369,XT!AB369,XT!AF369,XT!AJ369)))</f>
        <v>0</v>
      </c>
      <c r="AH369" t="str">
        <f>IFERROR(INDEX(CHOOSE({1,2,3,4}, DAY(XT!U369), DAY(XT!Y369), DAY(XT!AC369), DAY(XT!AG369)), MATCH(1, INDEX(--(MONTH(CHOOSE({1,2,3,4}, XT!U369,XT!Y369,XT!AC369,XT!AG369))=9), 0), 0)), "")</f>
        <v/>
      </c>
      <c r="AI369" s="12" t="str">
        <f>IF(XT!$P369&gt;0,AH369,"")</f>
        <v/>
      </c>
      <c r="AJ369" s="12" t="str">
        <f>IF(XT!$P369=0,AH369,"")</f>
        <v/>
      </c>
      <c r="AK369">
        <f>SUMPRODUCT((MONTH(CHOOSE({1,2,3,4},XT!U369,XT!Y369,XT!AC369,XT!AG369))=10)*(CHOOSE({1,2,3,4},XT!X369,XT!AB369,XT!AF369,XT!AJ369)))</f>
        <v>0</v>
      </c>
      <c r="AL369" t="str">
        <f>IFERROR(INDEX(CHOOSE({1,2,3,4}, DAY(XT!U369), DAY(XT!Y369), DAY(XT!AC369), DAY(XT!AG369)), MATCH(1, INDEX(--(MONTH(CHOOSE({1,2,3,4}, XT!U369,XT!Y369,XT!AC369,XT!AG369))=10), 0), 0)), "")</f>
        <v/>
      </c>
      <c r="AM369" s="12" t="str">
        <f>IF(XT!$P369&gt;0,AL369,"")</f>
        <v/>
      </c>
      <c r="AN369" s="12" t="str">
        <f>IF(XT!$P369=0,AL369,"")</f>
        <v/>
      </c>
      <c r="AO369">
        <f>SUMPRODUCT((MONTH(CHOOSE({1,2,3,4},XT!U369,XT!Y369,XT!AC369,XT!AG369))=11)*(CHOOSE({1,2,3,4},XT!X369,XT!AB369,XT!AF369,XT!AJ369)))</f>
        <v>0</v>
      </c>
      <c r="AP369" t="str">
        <f>IFERROR(INDEX(CHOOSE({1,2,3,4}, DAY(XT!U369), DAY(XT!Y369), DAY(XT!AC369), DAY(XT!AG369)), MATCH(1, INDEX(--(MONTH(CHOOSE({1,2,3,4}, XT!U369,XT!Y369,XT!AC369,XT!AG369))=11), 0), 0)), "")</f>
        <v/>
      </c>
      <c r="AQ369" s="12" t="str">
        <f>IF(XT!$P369&gt;0,AP369,"")</f>
        <v/>
      </c>
      <c r="AR369" s="12" t="str">
        <f>IF(XT!$P369=0,AP369,"")</f>
        <v/>
      </c>
      <c r="AS369">
        <f>SUMPRODUCT((MONTH(CHOOSE({1,2,3,4},XT!U369,XT!Y369,XT!AC369,XT!AG369))=12)*(CHOOSE({1,2,3,4},XT!X369,XT!AB369,XT!AF369,XT!AJ369)))</f>
        <v>0</v>
      </c>
      <c r="AT369" t="str">
        <f>IFERROR(INDEX(CHOOSE({1,2,3,4}, DAY(XT!U369), DAY(XT!Y369), DAY(XT!AC369), DAY(XT!AG369)), MATCH(1, INDEX(--(MONTH(CHOOSE({1,2,3,4}, XT!U369,XT!Y369,XT!AC369,XT!AG369))=12), 0), 0)), "")</f>
        <v/>
      </c>
      <c r="AU369" s="12" t="str">
        <f>IF(XT!$P369&gt;0,AT369,"")</f>
        <v/>
      </c>
      <c r="AV369" s="12" t="str">
        <f>IF(XT!$P369=0,AT369,"")</f>
        <v/>
      </c>
    </row>
    <row r="370" spans="1:48">
      <c r="A370">
        <f>SUMPRODUCT((MONTH(CHOOSE({1,2,3,4},XT!U370,XT!Y370,XT!AC370,XT!AG370))=1)*(CHOOSE({1,2,3,4},XT!X370,XT!AB370,XT!AF370,XT!AJ370)))</f>
        <v>0</v>
      </c>
      <c r="B370">
        <f>IFERROR(INDEX(CHOOSE({1,2,3,4}, DAY(XT!U370), DAY(XT!Y370), DAY(XT!AC370), DAY(XT!AG370)), MATCH(1, INDEX(--(MONTH(CHOOSE({1,2,3,4}, XT!U370,XT!Y370,XT!AC370,XT!AG370))=1), 0), 0)), "")</f>
        <v>0</v>
      </c>
      <c r="C370" s="12" t="str">
        <f>IF(XT!$P370&gt;0,B370,"")</f>
        <v/>
      </c>
      <c r="D370" s="12">
        <f>IF(XT!$P370=0,B370,"")</f>
        <v>0</v>
      </c>
      <c r="E370">
        <f>SUMPRODUCT((MONTH(CHOOSE({1,2,3,4},XT!U370,XT!Y370,XT!AC370,XT!AG370))=2)*(CHOOSE({1,2,3,4},XT!X370,XT!AB370,XT!AF370,XT!AJ370)))</f>
        <v>0</v>
      </c>
      <c r="F370" t="str">
        <f>IFERROR(INDEX(CHOOSE({1,2,3,4}, DAY(XT!U370), DAY(XT!Y370), DAY(XT!AC370), DAY(XT!AG370)), MATCH(1, INDEX(--(MONTH(CHOOSE({1,2,3,4}, XT!U370,XT!Y370,XT!AC370,XT!AG370))=2), 0), 0)), "")</f>
        <v/>
      </c>
      <c r="G370" s="12" t="str">
        <f>IF(XT!$P370&gt;0,F370,"")</f>
        <v/>
      </c>
      <c r="H370" s="12" t="str">
        <f>IF(XT!$P370=0,F370,"")</f>
        <v/>
      </c>
      <c r="I370">
        <f>SUMPRODUCT((MONTH(CHOOSE({1,2,3,4},XT!U370,XT!Y370,XT!AC370,XT!AG370))=3)*(CHOOSE({1,2,3,4},XT!X370,XT!AB370,XT!AF370,XT!AJ370)))</f>
        <v>0</v>
      </c>
      <c r="J370" t="str">
        <f>IFERROR(INDEX(CHOOSE({1,2,3,4}, DAY(XT!U370), DAY(XT!Y370), DAY(XT!AC370), DAY(XT!AG370)), MATCH(1, INDEX(--(MONTH(CHOOSE({1,2,3,4}, XT!U370,XT!Y370,XT!AC370,XT!AG370))=3), 0), 0)), "")</f>
        <v/>
      </c>
      <c r="K370" s="12" t="str">
        <f>IF(XT!$P370&gt;0,J370,"")</f>
        <v/>
      </c>
      <c r="L370" s="12" t="str">
        <f>IF(XT!$P370=0,J370,"")</f>
        <v/>
      </c>
      <c r="M370">
        <f>SUMPRODUCT((MONTH(CHOOSE({1,2,3,4},XT!U370,XT!Y370,XT!AC370,XT!AG370))=4)*(CHOOSE({1,2,3,4},XT!X370,XT!AB370,XT!AF370,XT!AJ370)))</f>
        <v>0</v>
      </c>
      <c r="N370" t="str">
        <f>IFERROR(INDEX(CHOOSE({1,2,3,4}, DAY(XT!U370), DAY(XT!Y370), DAY(XT!AC370), DAY(XT!AG370)), MATCH(1, INDEX(--(MONTH(CHOOSE({1,2,3,4}, XT!U370,XT!Y370,XT!AC370,XT!AG370))=4), 0), 0)), "")</f>
        <v/>
      </c>
      <c r="O370" s="12" t="str">
        <f>IF(XT!$P370&gt;0,N370,"")</f>
        <v/>
      </c>
      <c r="P370" s="12" t="str">
        <f>IF(XT!$P370=0,N370,"")</f>
        <v/>
      </c>
      <c r="Q370">
        <f>SUMPRODUCT((MONTH(CHOOSE({1,2,3,4},XT!U370,XT!Y370,XT!AC370,XT!AG370))=5)*(CHOOSE({1,2,3,4},XT!X370,XT!AB370,XT!AF370,XT!AJ370)))</f>
        <v>0</v>
      </c>
      <c r="R370" t="str">
        <f>IFERROR(INDEX(CHOOSE({1,2,3,4}, DAY(XT!U370), DAY(XT!Y370), DAY(XT!AC370), DAY(XT!AG370)), MATCH(1, INDEX(--(MONTH(CHOOSE({1,2,3,4}, XT!U370,XT!Y370,XT!AC370,XT!AG370))=5), 0), 0)), "")</f>
        <v/>
      </c>
      <c r="S370" s="12" t="str">
        <f>IF(XT!$P370&gt;0,R370,"")</f>
        <v/>
      </c>
      <c r="T370" s="12" t="str">
        <f>IF(XT!$P370=0,R370,"")</f>
        <v/>
      </c>
      <c r="U370">
        <f>SUMPRODUCT((MONTH(CHOOSE({1,2,3,4},XT!U370,XT!Y370,XT!AC370,XT!AG370))=6)*(CHOOSE({1,2,3,4},XT!X370,XT!AB370,XT!AF370,XT!AJ370)))</f>
        <v>0</v>
      </c>
      <c r="V370" t="str">
        <f>IFERROR(INDEX(CHOOSE({1,2,3,4}, DAY(XT!U370), DAY(XT!Y370), DAY(XT!AC370), DAY(XT!AG370)), MATCH(1, INDEX(--(MONTH(CHOOSE({1,2,3,4}, XT!U370,XT!Y370,XT!AC370,XT!AG370))=6), 0), 0)), "")</f>
        <v/>
      </c>
      <c r="W370" s="12" t="str">
        <f>IF(XT!$P370&gt;0,V370,"")</f>
        <v/>
      </c>
      <c r="X370" s="12" t="str">
        <f>IF(XT!$P370=0,V370,"")</f>
        <v/>
      </c>
      <c r="Y370">
        <f>SUMPRODUCT((MONTH(CHOOSE({1,2,3,4},XT!U370,XT!Y370,XT!AC370,XT!AG370))=7)*(CHOOSE({1,2,3,4},XT!X370,XT!AB370,XT!AF370,XT!AJ370)))</f>
        <v>0</v>
      </c>
      <c r="Z370" t="str">
        <f>IFERROR(INDEX(CHOOSE({1,2,3,4}, DAY(XT!U370), DAY(XT!Y370), DAY(XT!AC370), DAY(XT!AG370)), MATCH(1, INDEX(--(MONTH(CHOOSE({1,2,3,4}, XT!U370,XT!Y370,XT!AC370,XT!AG370))=7), 0), 0)), "")</f>
        <v/>
      </c>
      <c r="AA370" s="12" t="str">
        <f>IF(XT!$P370&gt;0,Z370,"")</f>
        <v/>
      </c>
      <c r="AB370" s="12" t="str">
        <f>IF(XT!$P370=0,Z370,"")</f>
        <v/>
      </c>
      <c r="AC370">
        <f>SUMPRODUCT((MONTH(CHOOSE({1,2,3,4},XT!U370,XT!Y370,XT!AC370,XT!AG370))=8)*(CHOOSE({1,2,3,4},XT!X370,XT!AB370,XT!AF370,XT!AJ370)))</f>
        <v>0</v>
      </c>
      <c r="AD370" t="str">
        <f>IFERROR(INDEX(CHOOSE({1,2,3,4}, DAY(XT!U370), DAY(XT!Y370), DAY(XT!AC370), DAY(XT!AG370)), MATCH(1, INDEX(--(MONTH(CHOOSE({1,2,3,4}, XT!U370,XT!Y370,XT!AC370,XT!AG370))=8), 0), 0)), "")</f>
        <v/>
      </c>
      <c r="AE370" s="12" t="str">
        <f>IF(XT!$P370&gt;0,AD370,"")</f>
        <v/>
      </c>
      <c r="AF370" s="12" t="str">
        <f>IF(XT!$P370=0,AD370,"")</f>
        <v/>
      </c>
      <c r="AG370">
        <f>SUMPRODUCT((MONTH(CHOOSE({1,2,3,4},XT!U370,XT!Y370,XT!AC370,XT!AG370))=9)*(CHOOSE({1,2,3,4},XT!X370,XT!AB370,XT!AF370,XT!AJ370)))</f>
        <v>0</v>
      </c>
      <c r="AH370" t="str">
        <f>IFERROR(INDEX(CHOOSE({1,2,3,4}, DAY(XT!U370), DAY(XT!Y370), DAY(XT!AC370), DAY(XT!AG370)), MATCH(1, INDEX(--(MONTH(CHOOSE({1,2,3,4}, XT!U370,XT!Y370,XT!AC370,XT!AG370))=9), 0), 0)), "")</f>
        <v/>
      </c>
      <c r="AI370" s="12" t="str">
        <f>IF(XT!$P370&gt;0,AH370,"")</f>
        <v/>
      </c>
      <c r="AJ370" s="12" t="str">
        <f>IF(XT!$P370=0,AH370,"")</f>
        <v/>
      </c>
      <c r="AK370">
        <f>SUMPRODUCT((MONTH(CHOOSE({1,2,3,4},XT!U370,XT!Y370,XT!AC370,XT!AG370))=10)*(CHOOSE({1,2,3,4},XT!X370,XT!AB370,XT!AF370,XT!AJ370)))</f>
        <v>0</v>
      </c>
      <c r="AL370" t="str">
        <f>IFERROR(INDEX(CHOOSE({1,2,3,4}, DAY(XT!U370), DAY(XT!Y370), DAY(XT!AC370), DAY(XT!AG370)), MATCH(1, INDEX(--(MONTH(CHOOSE({1,2,3,4}, XT!U370,XT!Y370,XT!AC370,XT!AG370))=10), 0), 0)), "")</f>
        <v/>
      </c>
      <c r="AM370" s="12" t="str">
        <f>IF(XT!$P370&gt;0,AL370,"")</f>
        <v/>
      </c>
      <c r="AN370" s="12" t="str">
        <f>IF(XT!$P370=0,AL370,"")</f>
        <v/>
      </c>
      <c r="AO370">
        <f>SUMPRODUCT((MONTH(CHOOSE({1,2,3,4},XT!U370,XT!Y370,XT!AC370,XT!AG370))=11)*(CHOOSE({1,2,3,4},XT!X370,XT!AB370,XT!AF370,XT!AJ370)))</f>
        <v>0</v>
      </c>
      <c r="AP370" t="str">
        <f>IFERROR(INDEX(CHOOSE({1,2,3,4}, DAY(XT!U370), DAY(XT!Y370), DAY(XT!AC370), DAY(XT!AG370)), MATCH(1, INDEX(--(MONTH(CHOOSE({1,2,3,4}, XT!U370,XT!Y370,XT!AC370,XT!AG370))=11), 0), 0)), "")</f>
        <v/>
      </c>
      <c r="AQ370" s="12" t="str">
        <f>IF(XT!$P370&gt;0,AP370,"")</f>
        <v/>
      </c>
      <c r="AR370" s="12" t="str">
        <f>IF(XT!$P370=0,AP370,"")</f>
        <v/>
      </c>
      <c r="AS370">
        <f>SUMPRODUCT((MONTH(CHOOSE({1,2,3,4},XT!U370,XT!Y370,XT!AC370,XT!AG370))=12)*(CHOOSE({1,2,3,4},XT!X370,XT!AB370,XT!AF370,XT!AJ370)))</f>
        <v>0</v>
      </c>
      <c r="AT370" t="str">
        <f>IFERROR(INDEX(CHOOSE({1,2,3,4}, DAY(XT!U370), DAY(XT!Y370), DAY(XT!AC370), DAY(XT!AG370)), MATCH(1, INDEX(--(MONTH(CHOOSE({1,2,3,4}, XT!U370,XT!Y370,XT!AC370,XT!AG370))=12), 0), 0)), "")</f>
        <v/>
      </c>
      <c r="AU370" s="12" t="str">
        <f>IF(XT!$P370&gt;0,AT370,"")</f>
        <v/>
      </c>
      <c r="AV370" s="12" t="str">
        <f>IF(XT!$P370=0,AT370,"")</f>
        <v/>
      </c>
    </row>
    <row r="371" spans="1:48">
      <c r="A371">
        <f>SUMPRODUCT((MONTH(CHOOSE({1,2,3,4},XT!U371,XT!Y371,XT!AC371,XT!AG371))=1)*(CHOOSE({1,2,3,4},XT!X371,XT!AB371,XT!AF371,XT!AJ371)))</f>
        <v>0</v>
      </c>
      <c r="B371">
        <f>IFERROR(INDEX(CHOOSE({1,2,3,4}, DAY(XT!U371), DAY(XT!Y371), DAY(XT!AC371), DAY(XT!AG371)), MATCH(1, INDEX(--(MONTH(CHOOSE({1,2,3,4}, XT!U371,XT!Y371,XT!AC371,XT!AG371))=1), 0), 0)), "")</f>
        <v>0</v>
      </c>
      <c r="C371" s="12" t="str">
        <f>IF(XT!$P371&gt;0,B371,"")</f>
        <v/>
      </c>
      <c r="D371" s="12">
        <f>IF(XT!$P371=0,B371,"")</f>
        <v>0</v>
      </c>
      <c r="E371">
        <f>SUMPRODUCT((MONTH(CHOOSE({1,2,3,4},XT!U371,XT!Y371,XT!AC371,XT!AG371))=2)*(CHOOSE({1,2,3,4},XT!X371,XT!AB371,XT!AF371,XT!AJ371)))</f>
        <v>0</v>
      </c>
      <c r="F371" t="str">
        <f>IFERROR(INDEX(CHOOSE({1,2,3,4}, DAY(XT!U371), DAY(XT!Y371), DAY(XT!AC371), DAY(XT!AG371)), MATCH(1, INDEX(--(MONTH(CHOOSE({1,2,3,4}, XT!U371,XT!Y371,XT!AC371,XT!AG371))=2), 0), 0)), "")</f>
        <v/>
      </c>
      <c r="G371" s="12" t="str">
        <f>IF(XT!$P371&gt;0,F371,"")</f>
        <v/>
      </c>
      <c r="H371" s="12" t="str">
        <f>IF(XT!$P371=0,F371,"")</f>
        <v/>
      </c>
      <c r="I371">
        <f>SUMPRODUCT((MONTH(CHOOSE({1,2,3,4},XT!U371,XT!Y371,XT!AC371,XT!AG371))=3)*(CHOOSE({1,2,3,4},XT!X371,XT!AB371,XT!AF371,XT!AJ371)))</f>
        <v>0</v>
      </c>
      <c r="J371" t="str">
        <f>IFERROR(INDEX(CHOOSE({1,2,3,4}, DAY(XT!U371), DAY(XT!Y371), DAY(XT!AC371), DAY(XT!AG371)), MATCH(1, INDEX(--(MONTH(CHOOSE({1,2,3,4}, XT!U371,XT!Y371,XT!AC371,XT!AG371))=3), 0), 0)), "")</f>
        <v/>
      </c>
      <c r="K371" s="12" t="str">
        <f>IF(XT!$P371&gt;0,J371,"")</f>
        <v/>
      </c>
      <c r="L371" s="12" t="str">
        <f>IF(XT!$P371=0,J371,"")</f>
        <v/>
      </c>
      <c r="M371">
        <f>SUMPRODUCT((MONTH(CHOOSE({1,2,3,4},XT!U371,XT!Y371,XT!AC371,XT!AG371))=4)*(CHOOSE({1,2,3,4},XT!X371,XT!AB371,XT!AF371,XT!AJ371)))</f>
        <v>0</v>
      </c>
      <c r="N371" t="str">
        <f>IFERROR(INDEX(CHOOSE({1,2,3,4}, DAY(XT!U371), DAY(XT!Y371), DAY(XT!AC371), DAY(XT!AG371)), MATCH(1, INDEX(--(MONTH(CHOOSE({1,2,3,4}, XT!U371,XT!Y371,XT!AC371,XT!AG371))=4), 0), 0)), "")</f>
        <v/>
      </c>
      <c r="O371" s="12" t="str">
        <f>IF(XT!$P371&gt;0,N371,"")</f>
        <v/>
      </c>
      <c r="P371" s="12" t="str">
        <f>IF(XT!$P371=0,N371,"")</f>
        <v/>
      </c>
      <c r="Q371">
        <f>SUMPRODUCT((MONTH(CHOOSE({1,2,3,4},XT!U371,XT!Y371,XT!AC371,XT!AG371))=5)*(CHOOSE({1,2,3,4},XT!X371,XT!AB371,XT!AF371,XT!AJ371)))</f>
        <v>0</v>
      </c>
      <c r="R371" t="str">
        <f>IFERROR(INDEX(CHOOSE({1,2,3,4}, DAY(XT!U371), DAY(XT!Y371), DAY(XT!AC371), DAY(XT!AG371)), MATCH(1, INDEX(--(MONTH(CHOOSE({1,2,3,4}, XT!U371,XT!Y371,XT!AC371,XT!AG371))=5), 0), 0)), "")</f>
        <v/>
      </c>
      <c r="S371" s="12" t="str">
        <f>IF(XT!$P371&gt;0,R371,"")</f>
        <v/>
      </c>
      <c r="T371" s="12" t="str">
        <f>IF(XT!$P371=0,R371,"")</f>
        <v/>
      </c>
      <c r="U371">
        <f>SUMPRODUCT((MONTH(CHOOSE({1,2,3,4},XT!U371,XT!Y371,XT!AC371,XT!AG371))=6)*(CHOOSE({1,2,3,4},XT!X371,XT!AB371,XT!AF371,XT!AJ371)))</f>
        <v>0</v>
      </c>
      <c r="V371" t="str">
        <f>IFERROR(INDEX(CHOOSE({1,2,3,4}, DAY(XT!U371), DAY(XT!Y371), DAY(XT!AC371), DAY(XT!AG371)), MATCH(1, INDEX(--(MONTH(CHOOSE({1,2,3,4}, XT!U371,XT!Y371,XT!AC371,XT!AG371))=6), 0), 0)), "")</f>
        <v/>
      </c>
      <c r="W371" s="12" t="str">
        <f>IF(XT!$P371&gt;0,V371,"")</f>
        <v/>
      </c>
      <c r="X371" s="12" t="str">
        <f>IF(XT!$P371=0,V371,"")</f>
        <v/>
      </c>
      <c r="Y371">
        <f>SUMPRODUCT((MONTH(CHOOSE({1,2,3,4},XT!U371,XT!Y371,XT!AC371,XT!AG371))=7)*(CHOOSE({1,2,3,4},XT!X371,XT!AB371,XT!AF371,XT!AJ371)))</f>
        <v>0</v>
      </c>
      <c r="Z371" t="str">
        <f>IFERROR(INDEX(CHOOSE({1,2,3,4}, DAY(XT!U371), DAY(XT!Y371), DAY(XT!AC371), DAY(XT!AG371)), MATCH(1, INDEX(--(MONTH(CHOOSE({1,2,3,4}, XT!U371,XT!Y371,XT!AC371,XT!AG371))=7), 0), 0)), "")</f>
        <v/>
      </c>
      <c r="AA371" s="12" t="str">
        <f>IF(XT!$P371&gt;0,Z371,"")</f>
        <v/>
      </c>
      <c r="AB371" s="12" t="str">
        <f>IF(XT!$P371=0,Z371,"")</f>
        <v/>
      </c>
      <c r="AC371">
        <f>SUMPRODUCT((MONTH(CHOOSE({1,2,3,4},XT!U371,XT!Y371,XT!AC371,XT!AG371))=8)*(CHOOSE({1,2,3,4},XT!X371,XT!AB371,XT!AF371,XT!AJ371)))</f>
        <v>0</v>
      </c>
      <c r="AD371" t="str">
        <f>IFERROR(INDEX(CHOOSE({1,2,3,4}, DAY(XT!U371), DAY(XT!Y371), DAY(XT!AC371), DAY(XT!AG371)), MATCH(1, INDEX(--(MONTH(CHOOSE({1,2,3,4}, XT!U371,XT!Y371,XT!AC371,XT!AG371))=8), 0), 0)), "")</f>
        <v/>
      </c>
      <c r="AE371" s="12" t="str">
        <f>IF(XT!$P371&gt;0,AD371,"")</f>
        <v/>
      </c>
      <c r="AF371" s="12" t="str">
        <f>IF(XT!$P371=0,AD371,"")</f>
        <v/>
      </c>
      <c r="AG371">
        <f>SUMPRODUCT((MONTH(CHOOSE({1,2,3,4},XT!U371,XT!Y371,XT!AC371,XT!AG371))=9)*(CHOOSE({1,2,3,4},XT!X371,XT!AB371,XT!AF371,XT!AJ371)))</f>
        <v>0</v>
      </c>
      <c r="AH371" t="str">
        <f>IFERROR(INDEX(CHOOSE({1,2,3,4}, DAY(XT!U371), DAY(XT!Y371), DAY(XT!AC371), DAY(XT!AG371)), MATCH(1, INDEX(--(MONTH(CHOOSE({1,2,3,4}, XT!U371,XT!Y371,XT!AC371,XT!AG371))=9), 0), 0)), "")</f>
        <v/>
      </c>
      <c r="AI371" s="12" t="str">
        <f>IF(XT!$P371&gt;0,AH371,"")</f>
        <v/>
      </c>
      <c r="AJ371" s="12" t="str">
        <f>IF(XT!$P371=0,AH371,"")</f>
        <v/>
      </c>
      <c r="AK371">
        <f>SUMPRODUCT((MONTH(CHOOSE({1,2,3,4},XT!U371,XT!Y371,XT!AC371,XT!AG371))=10)*(CHOOSE({1,2,3,4},XT!X371,XT!AB371,XT!AF371,XT!AJ371)))</f>
        <v>0</v>
      </c>
      <c r="AL371" t="str">
        <f>IFERROR(INDEX(CHOOSE({1,2,3,4}, DAY(XT!U371), DAY(XT!Y371), DAY(XT!AC371), DAY(XT!AG371)), MATCH(1, INDEX(--(MONTH(CHOOSE({1,2,3,4}, XT!U371,XT!Y371,XT!AC371,XT!AG371))=10), 0), 0)), "")</f>
        <v/>
      </c>
      <c r="AM371" s="12" t="str">
        <f>IF(XT!$P371&gt;0,AL371,"")</f>
        <v/>
      </c>
      <c r="AN371" s="12" t="str">
        <f>IF(XT!$P371=0,AL371,"")</f>
        <v/>
      </c>
      <c r="AO371">
        <f>SUMPRODUCT((MONTH(CHOOSE({1,2,3,4},XT!U371,XT!Y371,XT!AC371,XT!AG371))=11)*(CHOOSE({1,2,3,4},XT!X371,XT!AB371,XT!AF371,XT!AJ371)))</f>
        <v>0</v>
      </c>
      <c r="AP371" t="str">
        <f>IFERROR(INDEX(CHOOSE({1,2,3,4}, DAY(XT!U371), DAY(XT!Y371), DAY(XT!AC371), DAY(XT!AG371)), MATCH(1, INDEX(--(MONTH(CHOOSE({1,2,3,4}, XT!U371,XT!Y371,XT!AC371,XT!AG371))=11), 0), 0)), "")</f>
        <v/>
      </c>
      <c r="AQ371" s="12" t="str">
        <f>IF(XT!$P371&gt;0,AP371,"")</f>
        <v/>
      </c>
      <c r="AR371" s="12" t="str">
        <f>IF(XT!$P371=0,AP371,"")</f>
        <v/>
      </c>
      <c r="AS371">
        <f>SUMPRODUCT((MONTH(CHOOSE({1,2,3,4},XT!U371,XT!Y371,XT!AC371,XT!AG371))=12)*(CHOOSE({1,2,3,4},XT!X371,XT!AB371,XT!AF371,XT!AJ371)))</f>
        <v>0</v>
      </c>
      <c r="AT371" t="str">
        <f>IFERROR(INDEX(CHOOSE({1,2,3,4}, DAY(XT!U371), DAY(XT!Y371), DAY(XT!AC371), DAY(XT!AG371)), MATCH(1, INDEX(--(MONTH(CHOOSE({1,2,3,4}, XT!U371,XT!Y371,XT!AC371,XT!AG371))=12), 0), 0)), "")</f>
        <v/>
      </c>
      <c r="AU371" s="12" t="str">
        <f>IF(XT!$P371&gt;0,AT371,"")</f>
        <v/>
      </c>
      <c r="AV371" s="12" t="str">
        <f>IF(XT!$P371=0,AT371,"")</f>
        <v/>
      </c>
    </row>
    <row r="372" spans="1:48">
      <c r="A372">
        <f>SUMPRODUCT((MONTH(CHOOSE({1,2,3,4},XT!U372,XT!Y372,XT!AC372,XT!AG372))=1)*(CHOOSE({1,2,3,4},XT!X372,XT!AB372,XT!AF372,XT!AJ372)))</f>
        <v>0</v>
      </c>
      <c r="B372">
        <f>IFERROR(INDEX(CHOOSE({1,2,3,4}, DAY(XT!U372), DAY(XT!Y372), DAY(XT!AC372), DAY(XT!AG372)), MATCH(1, INDEX(--(MONTH(CHOOSE({1,2,3,4}, XT!U372,XT!Y372,XT!AC372,XT!AG372))=1), 0), 0)), "")</f>
        <v>0</v>
      </c>
      <c r="C372" s="12" t="str">
        <f>IF(XT!$P372&gt;0,B372,"")</f>
        <v/>
      </c>
      <c r="D372" s="12">
        <f>IF(XT!$P372=0,B372,"")</f>
        <v>0</v>
      </c>
      <c r="E372">
        <f>SUMPRODUCT((MONTH(CHOOSE({1,2,3,4},XT!U372,XT!Y372,XT!AC372,XT!AG372))=2)*(CHOOSE({1,2,3,4},XT!X372,XT!AB372,XT!AF372,XT!AJ372)))</f>
        <v>0</v>
      </c>
      <c r="F372" t="str">
        <f>IFERROR(INDEX(CHOOSE({1,2,3,4}, DAY(XT!U372), DAY(XT!Y372), DAY(XT!AC372), DAY(XT!AG372)), MATCH(1, INDEX(--(MONTH(CHOOSE({1,2,3,4}, XT!U372,XT!Y372,XT!AC372,XT!AG372))=2), 0), 0)), "")</f>
        <v/>
      </c>
      <c r="G372" s="12" t="str">
        <f>IF(XT!$P372&gt;0,F372,"")</f>
        <v/>
      </c>
      <c r="H372" s="12" t="str">
        <f>IF(XT!$P372=0,F372,"")</f>
        <v/>
      </c>
      <c r="I372">
        <f>SUMPRODUCT((MONTH(CHOOSE({1,2,3,4},XT!U372,XT!Y372,XT!AC372,XT!AG372))=3)*(CHOOSE({1,2,3,4},XT!X372,XT!AB372,XT!AF372,XT!AJ372)))</f>
        <v>0</v>
      </c>
      <c r="J372" t="str">
        <f>IFERROR(INDEX(CHOOSE({1,2,3,4}, DAY(XT!U372), DAY(XT!Y372), DAY(XT!AC372), DAY(XT!AG372)), MATCH(1, INDEX(--(MONTH(CHOOSE({1,2,3,4}, XT!U372,XT!Y372,XT!AC372,XT!AG372))=3), 0), 0)), "")</f>
        <v/>
      </c>
      <c r="K372" s="12" t="str">
        <f>IF(XT!$P372&gt;0,J372,"")</f>
        <v/>
      </c>
      <c r="L372" s="12" t="str">
        <f>IF(XT!$P372=0,J372,"")</f>
        <v/>
      </c>
      <c r="M372">
        <f>SUMPRODUCT((MONTH(CHOOSE({1,2,3,4},XT!U372,XT!Y372,XT!AC372,XT!AG372))=4)*(CHOOSE({1,2,3,4},XT!X372,XT!AB372,XT!AF372,XT!AJ372)))</f>
        <v>0</v>
      </c>
      <c r="N372" t="str">
        <f>IFERROR(INDEX(CHOOSE({1,2,3,4}, DAY(XT!U372), DAY(XT!Y372), DAY(XT!AC372), DAY(XT!AG372)), MATCH(1, INDEX(--(MONTH(CHOOSE({1,2,3,4}, XT!U372,XT!Y372,XT!AC372,XT!AG372))=4), 0), 0)), "")</f>
        <v/>
      </c>
      <c r="O372" s="12" t="str">
        <f>IF(XT!$P372&gt;0,N372,"")</f>
        <v/>
      </c>
      <c r="P372" s="12" t="str">
        <f>IF(XT!$P372=0,N372,"")</f>
        <v/>
      </c>
      <c r="Q372">
        <f>SUMPRODUCT((MONTH(CHOOSE({1,2,3,4},XT!U372,XT!Y372,XT!AC372,XT!AG372))=5)*(CHOOSE({1,2,3,4},XT!X372,XT!AB372,XT!AF372,XT!AJ372)))</f>
        <v>0</v>
      </c>
      <c r="R372" t="str">
        <f>IFERROR(INDEX(CHOOSE({1,2,3,4}, DAY(XT!U372), DAY(XT!Y372), DAY(XT!AC372), DAY(XT!AG372)), MATCH(1, INDEX(--(MONTH(CHOOSE({1,2,3,4}, XT!U372,XT!Y372,XT!AC372,XT!AG372))=5), 0), 0)), "")</f>
        <v/>
      </c>
      <c r="S372" s="12" t="str">
        <f>IF(XT!$P372&gt;0,R372,"")</f>
        <v/>
      </c>
      <c r="T372" s="12" t="str">
        <f>IF(XT!$P372=0,R372,"")</f>
        <v/>
      </c>
      <c r="U372">
        <f>SUMPRODUCT((MONTH(CHOOSE({1,2,3,4},XT!U372,XT!Y372,XT!AC372,XT!AG372))=6)*(CHOOSE({1,2,3,4},XT!X372,XT!AB372,XT!AF372,XT!AJ372)))</f>
        <v>0</v>
      </c>
      <c r="V372" t="str">
        <f>IFERROR(INDEX(CHOOSE({1,2,3,4}, DAY(XT!U372), DAY(XT!Y372), DAY(XT!AC372), DAY(XT!AG372)), MATCH(1, INDEX(--(MONTH(CHOOSE({1,2,3,4}, XT!U372,XT!Y372,XT!AC372,XT!AG372))=6), 0), 0)), "")</f>
        <v/>
      </c>
      <c r="W372" s="12" t="str">
        <f>IF(XT!$P372&gt;0,V372,"")</f>
        <v/>
      </c>
      <c r="X372" s="12" t="str">
        <f>IF(XT!$P372=0,V372,"")</f>
        <v/>
      </c>
      <c r="Y372">
        <f>SUMPRODUCT((MONTH(CHOOSE({1,2,3,4},XT!U372,XT!Y372,XT!AC372,XT!AG372))=7)*(CHOOSE({1,2,3,4},XT!X372,XT!AB372,XT!AF372,XT!AJ372)))</f>
        <v>0</v>
      </c>
      <c r="Z372" t="str">
        <f>IFERROR(INDEX(CHOOSE({1,2,3,4}, DAY(XT!U372), DAY(XT!Y372), DAY(XT!AC372), DAY(XT!AG372)), MATCH(1, INDEX(--(MONTH(CHOOSE({1,2,3,4}, XT!U372,XT!Y372,XT!AC372,XT!AG372))=7), 0), 0)), "")</f>
        <v/>
      </c>
      <c r="AA372" s="12" t="str">
        <f>IF(XT!$P372&gt;0,Z372,"")</f>
        <v/>
      </c>
      <c r="AB372" s="12" t="str">
        <f>IF(XT!$P372=0,Z372,"")</f>
        <v/>
      </c>
      <c r="AC372">
        <f>SUMPRODUCT((MONTH(CHOOSE({1,2,3,4},XT!U372,XT!Y372,XT!AC372,XT!AG372))=8)*(CHOOSE({1,2,3,4},XT!X372,XT!AB372,XT!AF372,XT!AJ372)))</f>
        <v>0</v>
      </c>
      <c r="AD372" t="str">
        <f>IFERROR(INDEX(CHOOSE({1,2,3,4}, DAY(XT!U372), DAY(XT!Y372), DAY(XT!AC372), DAY(XT!AG372)), MATCH(1, INDEX(--(MONTH(CHOOSE({1,2,3,4}, XT!U372,XT!Y372,XT!AC372,XT!AG372))=8), 0), 0)), "")</f>
        <v/>
      </c>
      <c r="AE372" s="12" t="str">
        <f>IF(XT!$P372&gt;0,AD372,"")</f>
        <v/>
      </c>
      <c r="AF372" s="12" t="str">
        <f>IF(XT!$P372=0,AD372,"")</f>
        <v/>
      </c>
      <c r="AG372">
        <f>SUMPRODUCT((MONTH(CHOOSE({1,2,3,4},XT!U372,XT!Y372,XT!AC372,XT!AG372))=9)*(CHOOSE({1,2,3,4},XT!X372,XT!AB372,XT!AF372,XT!AJ372)))</f>
        <v>0</v>
      </c>
      <c r="AH372" t="str">
        <f>IFERROR(INDEX(CHOOSE({1,2,3,4}, DAY(XT!U372), DAY(XT!Y372), DAY(XT!AC372), DAY(XT!AG372)), MATCH(1, INDEX(--(MONTH(CHOOSE({1,2,3,4}, XT!U372,XT!Y372,XT!AC372,XT!AG372))=9), 0), 0)), "")</f>
        <v/>
      </c>
      <c r="AI372" s="12" t="str">
        <f>IF(XT!$P372&gt;0,AH372,"")</f>
        <v/>
      </c>
      <c r="AJ372" s="12" t="str">
        <f>IF(XT!$P372=0,AH372,"")</f>
        <v/>
      </c>
      <c r="AK372">
        <f>SUMPRODUCT((MONTH(CHOOSE({1,2,3,4},XT!U372,XT!Y372,XT!AC372,XT!AG372))=10)*(CHOOSE({1,2,3,4},XT!X372,XT!AB372,XT!AF372,XT!AJ372)))</f>
        <v>0</v>
      </c>
      <c r="AL372" t="str">
        <f>IFERROR(INDEX(CHOOSE({1,2,3,4}, DAY(XT!U372), DAY(XT!Y372), DAY(XT!AC372), DAY(XT!AG372)), MATCH(1, INDEX(--(MONTH(CHOOSE({1,2,3,4}, XT!U372,XT!Y372,XT!AC372,XT!AG372))=10), 0), 0)), "")</f>
        <v/>
      </c>
      <c r="AM372" s="12" t="str">
        <f>IF(XT!$P372&gt;0,AL372,"")</f>
        <v/>
      </c>
      <c r="AN372" s="12" t="str">
        <f>IF(XT!$P372=0,AL372,"")</f>
        <v/>
      </c>
      <c r="AO372">
        <f>SUMPRODUCT((MONTH(CHOOSE({1,2,3,4},XT!U372,XT!Y372,XT!AC372,XT!AG372))=11)*(CHOOSE({1,2,3,4},XT!X372,XT!AB372,XT!AF372,XT!AJ372)))</f>
        <v>0</v>
      </c>
      <c r="AP372" t="str">
        <f>IFERROR(INDEX(CHOOSE({1,2,3,4}, DAY(XT!U372), DAY(XT!Y372), DAY(XT!AC372), DAY(XT!AG372)), MATCH(1, INDEX(--(MONTH(CHOOSE({1,2,3,4}, XT!U372,XT!Y372,XT!AC372,XT!AG372))=11), 0), 0)), "")</f>
        <v/>
      </c>
      <c r="AQ372" s="12" t="str">
        <f>IF(XT!$P372&gt;0,AP372,"")</f>
        <v/>
      </c>
      <c r="AR372" s="12" t="str">
        <f>IF(XT!$P372=0,AP372,"")</f>
        <v/>
      </c>
      <c r="AS372">
        <f>SUMPRODUCT((MONTH(CHOOSE({1,2,3,4},XT!U372,XT!Y372,XT!AC372,XT!AG372))=12)*(CHOOSE({1,2,3,4},XT!X372,XT!AB372,XT!AF372,XT!AJ372)))</f>
        <v>0</v>
      </c>
      <c r="AT372" t="str">
        <f>IFERROR(INDEX(CHOOSE({1,2,3,4}, DAY(XT!U372), DAY(XT!Y372), DAY(XT!AC372), DAY(XT!AG372)), MATCH(1, INDEX(--(MONTH(CHOOSE({1,2,3,4}, XT!U372,XT!Y372,XT!AC372,XT!AG372))=12), 0), 0)), "")</f>
        <v/>
      </c>
      <c r="AU372" s="12" t="str">
        <f>IF(XT!$P372&gt;0,AT372,"")</f>
        <v/>
      </c>
      <c r="AV372" s="12" t="str">
        <f>IF(XT!$P372=0,AT372,"")</f>
        <v/>
      </c>
    </row>
    <row r="373" spans="1:48">
      <c r="A373">
        <f>SUMPRODUCT((MONTH(CHOOSE({1,2,3,4},XT!U373,XT!Y373,XT!AC373,XT!AG373))=1)*(CHOOSE({1,2,3,4},XT!X373,XT!AB373,XT!AF373,XT!AJ373)))</f>
        <v>0</v>
      </c>
      <c r="B373">
        <f>IFERROR(INDEX(CHOOSE({1,2,3,4}, DAY(XT!U373), DAY(XT!Y373), DAY(XT!AC373), DAY(XT!AG373)), MATCH(1, INDEX(--(MONTH(CHOOSE({1,2,3,4}, XT!U373,XT!Y373,XT!AC373,XT!AG373))=1), 0), 0)), "")</f>
        <v>0</v>
      </c>
      <c r="C373" s="12" t="str">
        <f>IF(XT!$P373&gt;0,B373,"")</f>
        <v/>
      </c>
      <c r="D373" s="12">
        <f>IF(XT!$P373=0,B373,"")</f>
        <v>0</v>
      </c>
      <c r="E373">
        <f>SUMPRODUCT((MONTH(CHOOSE({1,2,3,4},XT!U373,XT!Y373,XT!AC373,XT!AG373))=2)*(CHOOSE({1,2,3,4},XT!X373,XT!AB373,XT!AF373,XT!AJ373)))</f>
        <v>0</v>
      </c>
      <c r="F373" t="str">
        <f>IFERROR(INDEX(CHOOSE({1,2,3,4}, DAY(XT!U373), DAY(XT!Y373), DAY(XT!AC373), DAY(XT!AG373)), MATCH(1, INDEX(--(MONTH(CHOOSE({1,2,3,4}, XT!U373,XT!Y373,XT!AC373,XT!AG373))=2), 0), 0)), "")</f>
        <v/>
      </c>
      <c r="G373" s="12" t="str">
        <f>IF(XT!$P373&gt;0,F373,"")</f>
        <v/>
      </c>
      <c r="H373" s="12" t="str">
        <f>IF(XT!$P373=0,F373,"")</f>
        <v/>
      </c>
      <c r="I373">
        <f>SUMPRODUCT((MONTH(CHOOSE({1,2,3,4},XT!U373,XT!Y373,XT!AC373,XT!AG373))=3)*(CHOOSE({1,2,3,4},XT!X373,XT!AB373,XT!AF373,XT!AJ373)))</f>
        <v>0</v>
      </c>
      <c r="J373" t="str">
        <f>IFERROR(INDEX(CHOOSE({1,2,3,4}, DAY(XT!U373), DAY(XT!Y373), DAY(XT!AC373), DAY(XT!AG373)), MATCH(1, INDEX(--(MONTH(CHOOSE({1,2,3,4}, XT!U373,XT!Y373,XT!AC373,XT!AG373))=3), 0), 0)), "")</f>
        <v/>
      </c>
      <c r="K373" s="12" t="str">
        <f>IF(XT!$P373&gt;0,J373,"")</f>
        <v/>
      </c>
      <c r="L373" s="12" t="str">
        <f>IF(XT!$P373=0,J373,"")</f>
        <v/>
      </c>
      <c r="M373">
        <f>SUMPRODUCT((MONTH(CHOOSE({1,2,3,4},XT!U373,XT!Y373,XT!AC373,XT!AG373))=4)*(CHOOSE({1,2,3,4},XT!X373,XT!AB373,XT!AF373,XT!AJ373)))</f>
        <v>0</v>
      </c>
      <c r="N373" t="str">
        <f>IFERROR(INDEX(CHOOSE({1,2,3,4}, DAY(XT!U373), DAY(XT!Y373), DAY(XT!AC373), DAY(XT!AG373)), MATCH(1, INDEX(--(MONTH(CHOOSE({1,2,3,4}, XT!U373,XT!Y373,XT!AC373,XT!AG373))=4), 0), 0)), "")</f>
        <v/>
      </c>
      <c r="O373" s="12" t="str">
        <f>IF(XT!$P373&gt;0,N373,"")</f>
        <v/>
      </c>
      <c r="P373" s="12" t="str">
        <f>IF(XT!$P373=0,N373,"")</f>
        <v/>
      </c>
      <c r="Q373">
        <f>SUMPRODUCT((MONTH(CHOOSE({1,2,3,4},XT!U373,XT!Y373,XT!AC373,XT!AG373))=5)*(CHOOSE({1,2,3,4},XT!X373,XT!AB373,XT!AF373,XT!AJ373)))</f>
        <v>0</v>
      </c>
      <c r="R373" t="str">
        <f>IFERROR(INDEX(CHOOSE({1,2,3,4}, DAY(XT!U373), DAY(XT!Y373), DAY(XT!AC373), DAY(XT!AG373)), MATCH(1, INDEX(--(MONTH(CHOOSE({1,2,3,4}, XT!U373,XT!Y373,XT!AC373,XT!AG373))=5), 0), 0)), "")</f>
        <v/>
      </c>
      <c r="S373" s="12" t="str">
        <f>IF(XT!$P373&gt;0,R373,"")</f>
        <v/>
      </c>
      <c r="T373" s="12" t="str">
        <f>IF(XT!$P373=0,R373,"")</f>
        <v/>
      </c>
      <c r="U373">
        <f>SUMPRODUCT((MONTH(CHOOSE({1,2,3,4},XT!U373,XT!Y373,XT!AC373,XT!AG373))=6)*(CHOOSE({1,2,3,4},XT!X373,XT!AB373,XT!AF373,XT!AJ373)))</f>
        <v>0</v>
      </c>
      <c r="V373" t="str">
        <f>IFERROR(INDEX(CHOOSE({1,2,3,4}, DAY(XT!U373), DAY(XT!Y373), DAY(XT!AC373), DAY(XT!AG373)), MATCH(1, INDEX(--(MONTH(CHOOSE({1,2,3,4}, XT!U373,XT!Y373,XT!AC373,XT!AG373))=6), 0), 0)), "")</f>
        <v/>
      </c>
      <c r="W373" s="12" t="str">
        <f>IF(XT!$P373&gt;0,V373,"")</f>
        <v/>
      </c>
      <c r="X373" s="12" t="str">
        <f>IF(XT!$P373=0,V373,"")</f>
        <v/>
      </c>
      <c r="Y373">
        <f>SUMPRODUCT((MONTH(CHOOSE({1,2,3,4},XT!U373,XT!Y373,XT!AC373,XT!AG373))=7)*(CHOOSE({1,2,3,4},XT!X373,XT!AB373,XT!AF373,XT!AJ373)))</f>
        <v>0</v>
      </c>
      <c r="Z373" t="str">
        <f>IFERROR(INDEX(CHOOSE({1,2,3,4}, DAY(XT!U373), DAY(XT!Y373), DAY(XT!AC373), DAY(XT!AG373)), MATCH(1, INDEX(--(MONTH(CHOOSE({1,2,3,4}, XT!U373,XT!Y373,XT!AC373,XT!AG373))=7), 0), 0)), "")</f>
        <v/>
      </c>
      <c r="AA373" s="12" t="str">
        <f>IF(XT!$P373&gt;0,Z373,"")</f>
        <v/>
      </c>
      <c r="AB373" s="12" t="str">
        <f>IF(XT!$P373=0,Z373,"")</f>
        <v/>
      </c>
      <c r="AC373">
        <f>SUMPRODUCT((MONTH(CHOOSE({1,2,3,4},XT!U373,XT!Y373,XT!AC373,XT!AG373))=8)*(CHOOSE({1,2,3,4},XT!X373,XT!AB373,XT!AF373,XT!AJ373)))</f>
        <v>0</v>
      </c>
      <c r="AD373" t="str">
        <f>IFERROR(INDEX(CHOOSE({1,2,3,4}, DAY(XT!U373), DAY(XT!Y373), DAY(XT!AC373), DAY(XT!AG373)), MATCH(1, INDEX(--(MONTH(CHOOSE({1,2,3,4}, XT!U373,XT!Y373,XT!AC373,XT!AG373))=8), 0), 0)), "")</f>
        <v/>
      </c>
      <c r="AE373" s="12" t="str">
        <f>IF(XT!$P373&gt;0,AD373,"")</f>
        <v/>
      </c>
      <c r="AF373" s="12" t="str">
        <f>IF(XT!$P373=0,AD373,"")</f>
        <v/>
      </c>
      <c r="AG373">
        <f>SUMPRODUCT((MONTH(CHOOSE({1,2,3,4},XT!U373,XT!Y373,XT!AC373,XT!AG373))=9)*(CHOOSE({1,2,3,4},XT!X373,XT!AB373,XT!AF373,XT!AJ373)))</f>
        <v>0</v>
      </c>
      <c r="AH373" t="str">
        <f>IFERROR(INDEX(CHOOSE({1,2,3,4}, DAY(XT!U373), DAY(XT!Y373), DAY(XT!AC373), DAY(XT!AG373)), MATCH(1, INDEX(--(MONTH(CHOOSE({1,2,3,4}, XT!U373,XT!Y373,XT!AC373,XT!AG373))=9), 0), 0)), "")</f>
        <v/>
      </c>
      <c r="AI373" s="12" t="str">
        <f>IF(XT!$P373&gt;0,AH373,"")</f>
        <v/>
      </c>
      <c r="AJ373" s="12" t="str">
        <f>IF(XT!$P373=0,AH373,"")</f>
        <v/>
      </c>
      <c r="AK373">
        <f>SUMPRODUCT((MONTH(CHOOSE({1,2,3,4},XT!U373,XT!Y373,XT!AC373,XT!AG373))=10)*(CHOOSE({1,2,3,4},XT!X373,XT!AB373,XT!AF373,XT!AJ373)))</f>
        <v>0</v>
      </c>
      <c r="AL373" t="str">
        <f>IFERROR(INDEX(CHOOSE({1,2,3,4}, DAY(XT!U373), DAY(XT!Y373), DAY(XT!AC373), DAY(XT!AG373)), MATCH(1, INDEX(--(MONTH(CHOOSE({1,2,3,4}, XT!U373,XT!Y373,XT!AC373,XT!AG373))=10), 0), 0)), "")</f>
        <v/>
      </c>
      <c r="AM373" s="12" t="str">
        <f>IF(XT!$P373&gt;0,AL373,"")</f>
        <v/>
      </c>
      <c r="AN373" s="12" t="str">
        <f>IF(XT!$P373=0,AL373,"")</f>
        <v/>
      </c>
      <c r="AO373">
        <f>SUMPRODUCT((MONTH(CHOOSE({1,2,3,4},XT!U373,XT!Y373,XT!AC373,XT!AG373))=11)*(CHOOSE({1,2,3,4},XT!X373,XT!AB373,XT!AF373,XT!AJ373)))</f>
        <v>0</v>
      </c>
      <c r="AP373" t="str">
        <f>IFERROR(INDEX(CHOOSE({1,2,3,4}, DAY(XT!U373), DAY(XT!Y373), DAY(XT!AC373), DAY(XT!AG373)), MATCH(1, INDEX(--(MONTH(CHOOSE({1,2,3,4}, XT!U373,XT!Y373,XT!AC373,XT!AG373))=11), 0), 0)), "")</f>
        <v/>
      </c>
      <c r="AQ373" s="12" t="str">
        <f>IF(XT!$P373&gt;0,AP373,"")</f>
        <v/>
      </c>
      <c r="AR373" s="12" t="str">
        <f>IF(XT!$P373=0,AP373,"")</f>
        <v/>
      </c>
      <c r="AS373">
        <f>SUMPRODUCT((MONTH(CHOOSE({1,2,3,4},XT!U373,XT!Y373,XT!AC373,XT!AG373))=12)*(CHOOSE({1,2,3,4},XT!X373,XT!AB373,XT!AF373,XT!AJ373)))</f>
        <v>0</v>
      </c>
      <c r="AT373" t="str">
        <f>IFERROR(INDEX(CHOOSE({1,2,3,4}, DAY(XT!U373), DAY(XT!Y373), DAY(XT!AC373), DAY(XT!AG373)), MATCH(1, INDEX(--(MONTH(CHOOSE({1,2,3,4}, XT!U373,XT!Y373,XT!AC373,XT!AG373))=12), 0), 0)), "")</f>
        <v/>
      </c>
      <c r="AU373" s="12" t="str">
        <f>IF(XT!$P373&gt;0,AT373,"")</f>
        <v/>
      </c>
      <c r="AV373" s="12" t="str">
        <f>IF(XT!$P373=0,AT373,"")</f>
        <v/>
      </c>
    </row>
    <row r="374" spans="1:48">
      <c r="A374">
        <f>SUMPRODUCT((MONTH(CHOOSE({1,2,3,4},XT!U374,XT!Y374,XT!AC374,XT!AG374))=1)*(CHOOSE({1,2,3,4},XT!X374,XT!AB374,XT!AF374,XT!AJ374)))</f>
        <v>0</v>
      </c>
      <c r="B374">
        <f>IFERROR(INDEX(CHOOSE({1,2,3,4}, DAY(XT!U374), DAY(XT!Y374), DAY(XT!AC374), DAY(XT!AG374)), MATCH(1, INDEX(--(MONTH(CHOOSE({1,2,3,4}, XT!U374,XT!Y374,XT!AC374,XT!AG374))=1), 0), 0)), "")</f>
        <v>0</v>
      </c>
      <c r="C374" s="12" t="str">
        <f>IF(XT!$P374&gt;0,B374,"")</f>
        <v/>
      </c>
      <c r="D374" s="12">
        <f>IF(XT!$P374=0,B374,"")</f>
        <v>0</v>
      </c>
      <c r="E374">
        <f>SUMPRODUCT((MONTH(CHOOSE({1,2,3,4},XT!U374,XT!Y374,XT!AC374,XT!AG374))=2)*(CHOOSE({1,2,3,4},XT!X374,XT!AB374,XT!AF374,XT!AJ374)))</f>
        <v>0</v>
      </c>
      <c r="F374" t="str">
        <f>IFERROR(INDEX(CHOOSE({1,2,3,4}, DAY(XT!U374), DAY(XT!Y374), DAY(XT!AC374), DAY(XT!AG374)), MATCH(1, INDEX(--(MONTH(CHOOSE({1,2,3,4}, XT!U374,XT!Y374,XT!AC374,XT!AG374))=2), 0), 0)), "")</f>
        <v/>
      </c>
      <c r="G374" s="12" t="str">
        <f>IF(XT!$P374&gt;0,F374,"")</f>
        <v/>
      </c>
      <c r="H374" s="12" t="str">
        <f>IF(XT!$P374=0,F374,"")</f>
        <v/>
      </c>
      <c r="I374">
        <f>SUMPRODUCT((MONTH(CHOOSE({1,2,3,4},XT!U374,XT!Y374,XT!AC374,XT!AG374))=3)*(CHOOSE({1,2,3,4},XT!X374,XT!AB374,XT!AF374,XT!AJ374)))</f>
        <v>0</v>
      </c>
      <c r="J374" t="str">
        <f>IFERROR(INDEX(CHOOSE({1,2,3,4}, DAY(XT!U374), DAY(XT!Y374), DAY(XT!AC374), DAY(XT!AG374)), MATCH(1, INDEX(--(MONTH(CHOOSE({1,2,3,4}, XT!U374,XT!Y374,XT!AC374,XT!AG374))=3), 0), 0)), "")</f>
        <v/>
      </c>
      <c r="K374" s="12" t="str">
        <f>IF(XT!$P374&gt;0,J374,"")</f>
        <v/>
      </c>
      <c r="L374" s="12" t="str">
        <f>IF(XT!$P374=0,J374,"")</f>
        <v/>
      </c>
      <c r="M374">
        <f>SUMPRODUCT((MONTH(CHOOSE({1,2,3,4},XT!U374,XT!Y374,XT!AC374,XT!AG374))=4)*(CHOOSE({1,2,3,4},XT!X374,XT!AB374,XT!AF374,XT!AJ374)))</f>
        <v>0</v>
      </c>
      <c r="N374" t="str">
        <f>IFERROR(INDEX(CHOOSE({1,2,3,4}, DAY(XT!U374), DAY(XT!Y374), DAY(XT!AC374), DAY(XT!AG374)), MATCH(1, INDEX(--(MONTH(CHOOSE({1,2,3,4}, XT!U374,XT!Y374,XT!AC374,XT!AG374))=4), 0), 0)), "")</f>
        <v/>
      </c>
      <c r="O374" s="12" t="str">
        <f>IF(XT!$P374&gt;0,N374,"")</f>
        <v/>
      </c>
      <c r="P374" s="12" t="str">
        <f>IF(XT!$P374=0,N374,"")</f>
        <v/>
      </c>
      <c r="Q374">
        <f>SUMPRODUCT((MONTH(CHOOSE({1,2,3,4},XT!U374,XT!Y374,XT!AC374,XT!AG374))=5)*(CHOOSE({1,2,3,4},XT!X374,XT!AB374,XT!AF374,XT!AJ374)))</f>
        <v>0</v>
      </c>
      <c r="R374" t="str">
        <f>IFERROR(INDEX(CHOOSE({1,2,3,4}, DAY(XT!U374), DAY(XT!Y374), DAY(XT!AC374), DAY(XT!AG374)), MATCH(1, INDEX(--(MONTH(CHOOSE({1,2,3,4}, XT!U374,XT!Y374,XT!AC374,XT!AG374))=5), 0), 0)), "")</f>
        <v/>
      </c>
      <c r="S374" s="12" t="str">
        <f>IF(XT!$P374&gt;0,R374,"")</f>
        <v/>
      </c>
      <c r="T374" s="12" t="str">
        <f>IF(XT!$P374=0,R374,"")</f>
        <v/>
      </c>
      <c r="U374">
        <f>SUMPRODUCT((MONTH(CHOOSE({1,2,3,4},XT!U374,XT!Y374,XT!AC374,XT!AG374))=6)*(CHOOSE({1,2,3,4},XT!X374,XT!AB374,XT!AF374,XT!AJ374)))</f>
        <v>0</v>
      </c>
      <c r="V374" t="str">
        <f>IFERROR(INDEX(CHOOSE({1,2,3,4}, DAY(XT!U374), DAY(XT!Y374), DAY(XT!AC374), DAY(XT!AG374)), MATCH(1, INDEX(--(MONTH(CHOOSE({1,2,3,4}, XT!U374,XT!Y374,XT!AC374,XT!AG374))=6), 0), 0)), "")</f>
        <v/>
      </c>
      <c r="W374" s="12" t="str">
        <f>IF(XT!$P374&gt;0,V374,"")</f>
        <v/>
      </c>
      <c r="X374" s="12" t="str">
        <f>IF(XT!$P374=0,V374,"")</f>
        <v/>
      </c>
      <c r="Y374">
        <f>SUMPRODUCT((MONTH(CHOOSE({1,2,3,4},XT!U374,XT!Y374,XT!AC374,XT!AG374))=7)*(CHOOSE({1,2,3,4},XT!X374,XT!AB374,XT!AF374,XT!AJ374)))</f>
        <v>0</v>
      </c>
      <c r="Z374" t="str">
        <f>IFERROR(INDEX(CHOOSE({1,2,3,4}, DAY(XT!U374), DAY(XT!Y374), DAY(XT!AC374), DAY(XT!AG374)), MATCH(1, INDEX(--(MONTH(CHOOSE({1,2,3,4}, XT!U374,XT!Y374,XT!AC374,XT!AG374))=7), 0), 0)), "")</f>
        <v/>
      </c>
      <c r="AA374" s="12" t="str">
        <f>IF(XT!$P374&gt;0,Z374,"")</f>
        <v/>
      </c>
      <c r="AB374" s="12" t="str">
        <f>IF(XT!$P374=0,Z374,"")</f>
        <v/>
      </c>
      <c r="AC374">
        <f>SUMPRODUCT((MONTH(CHOOSE({1,2,3,4},XT!U374,XT!Y374,XT!AC374,XT!AG374))=8)*(CHOOSE({1,2,3,4},XT!X374,XT!AB374,XT!AF374,XT!AJ374)))</f>
        <v>0</v>
      </c>
      <c r="AD374" t="str">
        <f>IFERROR(INDEX(CHOOSE({1,2,3,4}, DAY(XT!U374), DAY(XT!Y374), DAY(XT!AC374), DAY(XT!AG374)), MATCH(1, INDEX(--(MONTH(CHOOSE({1,2,3,4}, XT!U374,XT!Y374,XT!AC374,XT!AG374))=8), 0), 0)), "")</f>
        <v/>
      </c>
      <c r="AE374" s="12" t="str">
        <f>IF(XT!$P374&gt;0,AD374,"")</f>
        <v/>
      </c>
      <c r="AF374" s="12" t="str">
        <f>IF(XT!$P374=0,AD374,"")</f>
        <v/>
      </c>
      <c r="AG374">
        <f>SUMPRODUCT((MONTH(CHOOSE({1,2,3,4},XT!U374,XT!Y374,XT!AC374,XT!AG374))=9)*(CHOOSE({1,2,3,4},XT!X374,XT!AB374,XT!AF374,XT!AJ374)))</f>
        <v>0</v>
      </c>
      <c r="AH374" t="str">
        <f>IFERROR(INDEX(CHOOSE({1,2,3,4}, DAY(XT!U374), DAY(XT!Y374), DAY(XT!AC374), DAY(XT!AG374)), MATCH(1, INDEX(--(MONTH(CHOOSE({1,2,3,4}, XT!U374,XT!Y374,XT!AC374,XT!AG374))=9), 0), 0)), "")</f>
        <v/>
      </c>
      <c r="AI374" s="12" t="str">
        <f>IF(XT!$P374&gt;0,AH374,"")</f>
        <v/>
      </c>
      <c r="AJ374" s="12" t="str">
        <f>IF(XT!$P374=0,AH374,"")</f>
        <v/>
      </c>
      <c r="AK374">
        <f>SUMPRODUCT((MONTH(CHOOSE({1,2,3,4},XT!U374,XT!Y374,XT!AC374,XT!AG374))=10)*(CHOOSE({1,2,3,4},XT!X374,XT!AB374,XT!AF374,XT!AJ374)))</f>
        <v>0</v>
      </c>
      <c r="AL374" t="str">
        <f>IFERROR(INDEX(CHOOSE({1,2,3,4}, DAY(XT!U374), DAY(XT!Y374), DAY(XT!AC374), DAY(XT!AG374)), MATCH(1, INDEX(--(MONTH(CHOOSE({1,2,3,4}, XT!U374,XT!Y374,XT!AC374,XT!AG374))=10), 0), 0)), "")</f>
        <v/>
      </c>
      <c r="AM374" s="12" t="str">
        <f>IF(XT!$P374&gt;0,AL374,"")</f>
        <v/>
      </c>
      <c r="AN374" s="12" t="str">
        <f>IF(XT!$P374=0,AL374,"")</f>
        <v/>
      </c>
      <c r="AO374">
        <f>SUMPRODUCT((MONTH(CHOOSE({1,2,3,4},XT!U374,XT!Y374,XT!AC374,XT!AG374))=11)*(CHOOSE({1,2,3,4},XT!X374,XT!AB374,XT!AF374,XT!AJ374)))</f>
        <v>0</v>
      </c>
      <c r="AP374" t="str">
        <f>IFERROR(INDEX(CHOOSE({1,2,3,4}, DAY(XT!U374), DAY(XT!Y374), DAY(XT!AC374), DAY(XT!AG374)), MATCH(1, INDEX(--(MONTH(CHOOSE({1,2,3,4}, XT!U374,XT!Y374,XT!AC374,XT!AG374))=11), 0), 0)), "")</f>
        <v/>
      </c>
      <c r="AQ374" s="12" t="str">
        <f>IF(XT!$P374&gt;0,AP374,"")</f>
        <v/>
      </c>
      <c r="AR374" s="12" t="str">
        <f>IF(XT!$P374=0,AP374,"")</f>
        <v/>
      </c>
      <c r="AS374">
        <f>SUMPRODUCT((MONTH(CHOOSE({1,2,3,4},XT!U374,XT!Y374,XT!AC374,XT!AG374))=12)*(CHOOSE({1,2,3,4},XT!X374,XT!AB374,XT!AF374,XT!AJ374)))</f>
        <v>0</v>
      </c>
      <c r="AT374" t="str">
        <f>IFERROR(INDEX(CHOOSE({1,2,3,4}, DAY(XT!U374), DAY(XT!Y374), DAY(XT!AC374), DAY(XT!AG374)), MATCH(1, INDEX(--(MONTH(CHOOSE({1,2,3,4}, XT!U374,XT!Y374,XT!AC374,XT!AG374))=12), 0), 0)), "")</f>
        <v/>
      </c>
      <c r="AU374" s="12" t="str">
        <f>IF(XT!$P374&gt;0,AT374,"")</f>
        <v/>
      </c>
      <c r="AV374" s="12" t="str">
        <f>IF(XT!$P374=0,AT374,"")</f>
        <v/>
      </c>
    </row>
    <row r="375" spans="1:48">
      <c r="A375">
        <f>SUMPRODUCT((MONTH(CHOOSE({1,2,3,4},XT!U375,XT!Y375,XT!AC375,XT!AG375))=1)*(CHOOSE({1,2,3,4},XT!X375,XT!AB375,XT!AF375,XT!AJ375)))</f>
        <v>0</v>
      </c>
      <c r="B375">
        <f>IFERROR(INDEX(CHOOSE({1,2,3,4}, DAY(XT!U375), DAY(XT!Y375), DAY(XT!AC375), DAY(XT!AG375)), MATCH(1, INDEX(--(MONTH(CHOOSE({1,2,3,4}, XT!U375,XT!Y375,XT!AC375,XT!AG375))=1), 0), 0)), "")</f>
        <v>0</v>
      </c>
      <c r="C375" s="12" t="str">
        <f>IF(XT!$P375&gt;0,B375,"")</f>
        <v/>
      </c>
      <c r="D375" s="12">
        <f>IF(XT!$P375=0,B375,"")</f>
        <v>0</v>
      </c>
      <c r="E375">
        <f>SUMPRODUCT((MONTH(CHOOSE({1,2,3,4},XT!U375,XT!Y375,XT!AC375,XT!AG375))=2)*(CHOOSE({1,2,3,4},XT!X375,XT!AB375,XT!AF375,XT!AJ375)))</f>
        <v>0</v>
      </c>
      <c r="F375" t="str">
        <f>IFERROR(INDEX(CHOOSE({1,2,3,4}, DAY(XT!U375), DAY(XT!Y375), DAY(XT!AC375), DAY(XT!AG375)), MATCH(1, INDEX(--(MONTH(CHOOSE({1,2,3,4}, XT!U375,XT!Y375,XT!AC375,XT!AG375))=2), 0), 0)), "")</f>
        <v/>
      </c>
      <c r="G375" s="12" t="str">
        <f>IF(XT!$P375&gt;0,F375,"")</f>
        <v/>
      </c>
      <c r="H375" s="12" t="str">
        <f>IF(XT!$P375=0,F375,"")</f>
        <v/>
      </c>
      <c r="I375">
        <f>SUMPRODUCT((MONTH(CHOOSE({1,2,3,4},XT!U375,XT!Y375,XT!AC375,XT!AG375))=3)*(CHOOSE({1,2,3,4},XT!X375,XT!AB375,XT!AF375,XT!AJ375)))</f>
        <v>0</v>
      </c>
      <c r="J375" t="str">
        <f>IFERROR(INDEX(CHOOSE({1,2,3,4}, DAY(XT!U375), DAY(XT!Y375), DAY(XT!AC375), DAY(XT!AG375)), MATCH(1, INDEX(--(MONTH(CHOOSE({1,2,3,4}, XT!U375,XT!Y375,XT!AC375,XT!AG375))=3), 0), 0)), "")</f>
        <v/>
      </c>
      <c r="K375" s="12" t="str">
        <f>IF(XT!$P375&gt;0,J375,"")</f>
        <v/>
      </c>
      <c r="L375" s="12" t="str">
        <f>IF(XT!$P375=0,J375,"")</f>
        <v/>
      </c>
      <c r="M375">
        <f>SUMPRODUCT((MONTH(CHOOSE({1,2,3,4},XT!U375,XT!Y375,XT!AC375,XT!AG375))=4)*(CHOOSE({1,2,3,4},XT!X375,XT!AB375,XT!AF375,XT!AJ375)))</f>
        <v>0</v>
      </c>
      <c r="N375" t="str">
        <f>IFERROR(INDEX(CHOOSE({1,2,3,4}, DAY(XT!U375), DAY(XT!Y375), DAY(XT!AC375), DAY(XT!AG375)), MATCH(1, INDEX(--(MONTH(CHOOSE({1,2,3,4}, XT!U375,XT!Y375,XT!AC375,XT!AG375))=4), 0), 0)), "")</f>
        <v/>
      </c>
      <c r="O375" s="12" t="str">
        <f>IF(XT!$P375&gt;0,N375,"")</f>
        <v/>
      </c>
      <c r="P375" s="12" t="str">
        <f>IF(XT!$P375=0,N375,"")</f>
        <v/>
      </c>
      <c r="Q375">
        <f>SUMPRODUCT((MONTH(CHOOSE({1,2,3,4},XT!U375,XT!Y375,XT!AC375,XT!AG375))=5)*(CHOOSE({1,2,3,4},XT!X375,XT!AB375,XT!AF375,XT!AJ375)))</f>
        <v>0</v>
      </c>
      <c r="R375" t="str">
        <f>IFERROR(INDEX(CHOOSE({1,2,3,4}, DAY(XT!U375), DAY(XT!Y375), DAY(XT!AC375), DAY(XT!AG375)), MATCH(1, INDEX(--(MONTH(CHOOSE({1,2,3,4}, XT!U375,XT!Y375,XT!AC375,XT!AG375))=5), 0), 0)), "")</f>
        <v/>
      </c>
      <c r="S375" s="12" t="str">
        <f>IF(XT!$P375&gt;0,R375,"")</f>
        <v/>
      </c>
      <c r="T375" s="12" t="str">
        <f>IF(XT!$P375=0,R375,"")</f>
        <v/>
      </c>
      <c r="U375">
        <f>SUMPRODUCT((MONTH(CHOOSE({1,2,3,4},XT!U375,XT!Y375,XT!AC375,XT!AG375))=6)*(CHOOSE({1,2,3,4},XT!X375,XT!AB375,XT!AF375,XT!AJ375)))</f>
        <v>0</v>
      </c>
      <c r="V375" t="str">
        <f>IFERROR(INDEX(CHOOSE({1,2,3,4}, DAY(XT!U375), DAY(XT!Y375), DAY(XT!AC375), DAY(XT!AG375)), MATCH(1, INDEX(--(MONTH(CHOOSE({1,2,3,4}, XT!U375,XT!Y375,XT!AC375,XT!AG375))=6), 0), 0)), "")</f>
        <v/>
      </c>
      <c r="W375" s="12" t="str">
        <f>IF(XT!$P375&gt;0,V375,"")</f>
        <v/>
      </c>
      <c r="X375" s="12" t="str">
        <f>IF(XT!$P375=0,V375,"")</f>
        <v/>
      </c>
      <c r="Y375">
        <f>SUMPRODUCT((MONTH(CHOOSE({1,2,3,4},XT!U375,XT!Y375,XT!AC375,XT!AG375))=7)*(CHOOSE({1,2,3,4},XT!X375,XT!AB375,XT!AF375,XT!AJ375)))</f>
        <v>0</v>
      </c>
      <c r="Z375" t="str">
        <f>IFERROR(INDEX(CHOOSE({1,2,3,4}, DAY(XT!U375), DAY(XT!Y375), DAY(XT!AC375), DAY(XT!AG375)), MATCH(1, INDEX(--(MONTH(CHOOSE({1,2,3,4}, XT!U375,XT!Y375,XT!AC375,XT!AG375))=7), 0), 0)), "")</f>
        <v/>
      </c>
      <c r="AA375" s="12" t="str">
        <f>IF(XT!$P375&gt;0,Z375,"")</f>
        <v/>
      </c>
      <c r="AB375" s="12" t="str">
        <f>IF(XT!$P375=0,Z375,"")</f>
        <v/>
      </c>
      <c r="AC375">
        <f>SUMPRODUCT((MONTH(CHOOSE({1,2,3,4},XT!U375,XT!Y375,XT!AC375,XT!AG375))=8)*(CHOOSE({1,2,3,4},XT!X375,XT!AB375,XT!AF375,XT!AJ375)))</f>
        <v>0</v>
      </c>
      <c r="AD375" t="str">
        <f>IFERROR(INDEX(CHOOSE({1,2,3,4}, DAY(XT!U375), DAY(XT!Y375), DAY(XT!AC375), DAY(XT!AG375)), MATCH(1, INDEX(--(MONTH(CHOOSE({1,2,3,4}, XT!U375,XT!Y375,XT!AC375,XT!AG375))=8), 0), 0)), "")</f>
        <v/>
      </c>
      <c r="AE375" s="12" t="str">
        <f>IF(XT!$P375&gt;0,AD375,"")</f>
        <v/>
      </c>
      <c r="AF375" s="12" t="str">
        <f>IF(XT!$P375=0,AD375,"")</f>
        <v/>
      </c>
      <c r="AG375">
        <f>SUMPRODUCT((MONTH(CHOOSE({1,2,3,4},XT!U375,XT!Y375,XT!AC375,XT!AG375))=9)*(CHOOSE({1,2,3,4},XT!X375,XT!AB375,XT!AF375,XT!AJ375)))</f>
        <v>0</v>
      </c>
      <c r="AH375" t="str">
        <f>IFERROR(INDEX(CHOOSE({1,2,3,4}, DAY(XT!U375), DAY(XT!Y375), DAY(XT!AC375), DAY(XT!AG375)), MATCH(1, INDEX(--(MONTH(CHOOSE({1,2,3,4}, XT!U375,XT!Y375,XT!AC375,XT!AG375))=9), 0), 0)), "")</f>
        <v/>
      </c>
      <c r="AI375" s="12" t="str">
        <f>IF(XT!$P375&gt;0,AH375,"")</f>
        <v/>
      </c>
      <c r="AJ375" s="12" t="str">
        <f>IF(XT!$P375=0,AH375,"")</f>
        <v/>
      </c>
      <c r="AK375">
        <f>SUMPRODUCT((MONTH(CHOOSE({1,2,3,4},XT!U375,XT!Y375,XT!AC375,XT!AG375))=10)*(CHOOSE({1,2,3,4},XT!X375,XT!AB375,XT!AF375,XT!AJ375)))</f>
        <v>0</v>
      </c>
      <c r="AL375" t="str">
        <f>IFERROR(INDEX(CHOOSE({1,2,3,4}, DAY(XT!U375), DAY(XT!Y375), DAY(XT!AC375), DAY(XT!AG375)), MATCH(1, INDEX(--(MONTH(CHOOSE({1,2,3,4}, XT!U375,XT!Y375,XT!AC375,XT!AG375))=10), 0), 0)), "")</f>
        <v/>
      </c>
      <c r="AM375" s="12" t="str">
        <f>IF(XT!$P375&gt;0,AL375,"")</f>
        <v/>
      </c>
      <c r="AN375" s="12" t="str">
        <f>IF(XT!$P375=0,AL375,"")</f>
        <v/>
      </c>
      <c r="AO375">
        <f>SUMPRODUCT((MONTH(CHOOSE({1,2,3,4},XT!U375,XT!Y375,XT!AC375,XT!AG375))=11)*(CHOOSE({1,2,3,4},XT!X375,XT!AB375,XT!AF375,XT!AJ375)))</f>
        <v>0</v>
      </c>
      <c r="AP375" t="str">
        <f>IFERROR(INDEX(CHOOSE({1,2,3,4}, DAY(XT!U375), DAY(XT!Y375), DAY(XT!AC375), DAY(XT!AG375)), MATCH(1, INDEX(--(MONTH(CHOOSE({1,2,3,4}, XT!U375,XT!Y375,XT!AC375,XT!AG375))=11), 0), 0)), "")</f>
        <v/>
      </c>
      <c r="AQ375" s="12" t="str">
        <f>IF(XT!$P375&gt;0,AP375,"")</f>
        <v/>
      </c>
      <c r="AR375" s="12" t="str">
        <f>IF(XT!$P375=0,AP375,"")</f>
        <v/>
      </c>
      <c r="AS375">
        <f>SUMPRODUCT((MONTH(CHOOSE({1,2,3,4},XT!U375,XT!Y375,XT!AC375,XT!AG375))=12)*(CHOOSE({1,2,3,4},XT!X375,XT!AB375,XT!AF375,XT!AJ375)))</f>
        <v>0</v>
      </c>
      <c r="AT375" t="str">
        <f>IFERROR(INDEX(CHOOSE({1,2,3,4}, DAY(XT!U375), DAY(XT!Y375), DAY(XT!AC375), DAY(XT!AG375)), MATCH(1, INDEX(--(MONTH(CHOOSE({1,2,3,4}, XT!U375,XT!Y375,XT!AC375,XT!AG375))=12), 0), 0)), "")</f>
        <v/>
      </c>
      <c r="AU375" s="12" t="str">
        <f>IF(XT!$P375&gt;0,AT375,"")</f>
        <v/>
      </c>
      <c r="AV375" s="12" t="str">
        <f>IF(XT!$P375=0,AT375,"")</f>
        <v/>
      </c>
    </row>
    <row r="376" spans="1:48">
      <c r="A376">
        <f>SUMPRODUCT((MONTH(CHOOSE({1,2,3,4},XT!U376,XT!Y376,XT!AC376,XT!AG376))=1)*(CHOOSE({1,2,3,4},XT!X376,XT!AB376,XT!AF376,XT!AJ376)))</f>
        <v>0</v>
      </c>
      <c r="B376">
        <f>IFERROR(INDEX(CHOOSE({1,2,3,4}, DAY(XT!U376), DAY(XT!Y376), DAY(XT!AC376), DAY(XT!AG376)), MATCH(1, INDEX(--(MONTH(CHOOSE({1,2,3,4}, XT!U376,XT!Y376,XT!AC376,XT!AG376))=1), 0), 0)), "")</f>
        <v>0</v>
      </c>
      <c r="C376" s="12" t="str">
        <f>IF(XT!$P376&gt;0,B376,"")</f>
        <v/>
      </c>
      <c r="D376" s="12">
        <f>IF(XT!$P376=0,B376,"")</f>
        <v>0</v>
      </c>
      <c r="E376">
        <f>SUMPRODUCT((MONTH(CHOOSE({1,2,3,4},XT!U376,XT!Y376,XT!AC376,XT!AG376))=2)*(CHOOSE({1,2,3,4},XT!X376,XT!AB376,XT!AF376,XT!AJ376)))</f>
        <v>0</v>
      </c>
      <c r="F376" t="str">
        <f>IFERROR(INDEX(CHOOSE({1,2,3,4}, DAY(XT!U376), DAY(XT!Y376), DAY(XT!AC376), DAY(XT!AG376)), MATCH(1, INDEX(--(MONTH(CHOOSE({1,2,3,4}, XT!U376,XT!Y376,XT!AC376,XT!AG376))=2), 0), 0)), "")</f>
        <v/>
      </c>
      <c r="G376" s="12" t="str">
        <f>IF(XT!$P376&gt;0,F376,"")</f>
        <v/>
      </c>
      <c r="H376" s="12" t="str">
        <f>IF(XT!$P376=0,F376,"")</f>
        <v/>
      </c>
      <c r="I376">
        <f>SUMPRODUCT((MONTH(CHOOSE({1,2,3,4},XT!U376,XT!Y376,XT!AC376,XT!AG376))=3)*(CHOOSE({1,2,3,4},XT!X376,XT!AB376,XT!AF376,XT!AJ376)))</f>
        <v>0</v>
      </c>
      <c r="J376" t="str">
        <f>IFERROR(INDEX(CHOOSE({1,2,3,4}, DAY(XT!U376), DAY(XT!Y376), DAY(XT!AC376), DAY(XT!AG376)), MATCH(1, INDEX(--(MONTH(CHOOSE({1,2,3,4}, XT!U376,XT!Y376,XT!AC376,XT!AG376))=3), 0), 0)), "")</f>
        <v/>
      </c>
      <c r="K376" s="12" t="str">
        <f>IF(XT!$P376&gt;0,J376,"")</f>
        <v/>
      </c>
      <c r="L376" s="12" t="str">
        <f>IF(XT!$P376=0,J376,"")</f>
        <v/>
      </c>
      <c r="M376">
        <f>SUMPRODUCT((MONTH(CHOOSE({1,2,3,4},XT!U376,XT!Y376,XT!AC376,XT!AG376))=4)*(CHOOSE({1,2,3,4},XT!X376,XT!AB376,XT!AF376,XT!AJ376)))</f>
        <v>0</v>
      </c>
      <c r="N376" t="str">
        <f>IFERROR(INDEX(CHOOSE({1,2,3,4}, DAY(XT!U376), DAY(XT!Y376), DAY(XT!AC376), DAY(XT!AG376)), MATCH(1, INDEX(--(MONTH(CHOOSE({1,2,3,4}, XT!U376,XT!Y376,XT!AC376,XT!AG376))=4), 0), 0)), "")</f>
        <v/>
      </c>
      <c r="O376" s="12" t="str">
        <f>IF(XT!$P376&gt;0,N376,"")</f>
        <v/>
      </c>
      <c r="P376" s="12" t="str">
        <f>IF(XT!$P376=0,N376,"")</f>
        <v/>
      </c>
      <c r="Q376">
        <f>SUMPRODUCT((MONTH(CHOOSE({1,2,3,4},XT!U376,XT!Y376,XT!AC376,XT!AG376))=5)*(CHOOSE({1,2,3,4},XT!X376,XT!AB376,XT!AF376,XT!AJ376)))</f>
        <v>0</v>
      </c>
      <c r="R376" t="str">
        <f>IFERROR(INDEX(CHOOSE({1,2,3,4}, DAY(XT!U376), DAY(XT!Y376), DAY(XT!AC376), DAY(XT!AG376)), MATCH(1, INDEX(--(MONTH(CHOOSE({1,2,3,4}, XT!U376,XT!Y376,XT!AC376,XT!AG376))=5), 0), 0)), "")</f>
        <v/>
      </c>
      <c r="S376" s="12" t="str">
        <f>IF(XT!$P376&gt;0,R376,"")</f>
        <v/>
      </c>
      <c r="T376" s="12" t="str">
        <f>IF(XT!$P376=0,R376,"")</f>
        <v/>
      </c>
      <c r="U376">
        <f>SUMPRODUCT((MONTH(CHOOSE({1,2,3,4},XT!U376,XT!Y376,XT!AC376,XT!AG376))=6)*(CHOOSE({1,2,3,4},XT!X376,XT!AB376,XT!AF376,XT!AJ376)))</f>
        <v>0</v>
      </c>
      <c r="V376" t="str">
        <f>IFERROR(INDEX(CHOOSE({1,2,3,4}, DAY(XT!U376), DAY(XT!Y376), DAY(XT!AC376), DAY(XT!AG376)), MATCH(1, INDEX(--(MONTH(CHOOSE({1,2,3,4}, XT!U376,XT!Y376,XT!AC376,XT!AG376))=6), 0), 0)), "")</f>
        <v/>
      </c>
      <c r="W376" s="12" t="str">
        <f>IF(XT!$P376&gt;0,V376,"")</f>
        <v/>
      </c>
      <c r="X376" s="12" t="str">
        <f>IF(XT!$P376=0,V376,"")</f>
        <v/>
      </c>
      <c r="Y376">
        <f>SUMPRODUCT((MONTH(CHOOSE({1,2,3,4},XT!U376,XT!Y376,XT!AC376,XT!AG376))=7)*(CHOOSE({1,2,3,4},XT!X376,XT!AB376,XT!AF376,XT!AJ376)))</f>
        <v>0</v>
      </c>
      <c r="Z376" t="str">
        <f>IFERROR(INDEX(CHOOSE({1,2,3,4}, DAY(XT!U376), DAY(XT!Y376), DAY(XT!AC376), DAY(XT!AG376)), MATCH(1, INDEX(--(MONTH(CHOOSE({1,2,3,4}, XT!U376,XT!Y376,XT!AC376,XT!AG376))=7), 0), 0)), "")</f>
        <v/>
      </c>
      <c r="AA376" s="12" t="str">
        <f>IF(XT!$P376&gt;0,Z376,"")</f>
        <v/>
      </c>
      <c r="AB376" s="12" t="str">
        <f>IF(XT!$P376=0,Z376,"")</f>
        <v/>
      </c>
      <c r="AC376">
        <f>SUMPRODUCT((MONTH(CHOOSE({1,2,3,4},XT!U376,XT!Y376,XT!AC376,XT!AG376))=8)*(CHOOSE({1,2,3,4},XT!X376,XT!AB376,XT!AF376,XT!AJ376)))</f>
        <v>0</v>
      </c>
      <c r="AD376" t="str">
        <f>IFERROR(INDEX(CHOOSE({1,2,3,4}, DAY(XT!U376), DAY(XT!Y376), DAY(XT!AC376), DAY(XT!AG376)), MATCH(1, INDEX(--(MONTH(CHOOSE({1,2,3,4}, XT!U376,XT!Y376,XT!AC376,XT!AG376))=8), 0), 0)), "")</f>
        <v/>
      </c>
      <c r="AE376" s="12" t="str">
        <f>IF(XT!$P376&gt;0,AD376,"")</f>
        <v/>
      </c>
      <c r="AF376" s="12" t="str">
        <f>IF(XT!$P376=0,AD376,"")</f>
        <v/>
      </c>
      <c r="AG376">
        <f>SUMPRODUCT((MONTH(CHOOSE({1,2,3,4},XT!U376,XT!Y376,XT!AC376,XT!AG376))=9)*(CHOOSE({1,2,3,4},XT!X376,XT!AB376,XT!AF376,XT!AJ376)))</f>
        <v>0</v>
      </c>
      <c r="AH376" t="str">
        <f>IFERROR(INDEX(CHOOSE({1,2,3,4}, DAY(XT!U376), DAY(XT!Y376), DAY(XT!AC376), DAY(XT!AG376)), MATCH(1, INDEX(--(MONTH(CHOOSE({1,2,3,4}, XT!U376,XT!Y376,XT!AC376,XT!AG376))=9), 0), 0)), "")</f>
        <v/>
      </c>
      <c r="AI376" s="12" t="str">
        <f>IF(XT!$P376&gt;0,AH376,"")</f>
        <v/>
      </c>
      <c r="AJ376" s="12" t="str">
        <f>IF(XT!$P376=0,AH376,"")</f>
        <v/>
      </c>
      <c r="AK376">
        <f>SUMPRODUCT((MONTH(CHOOSE({1,2,3,4},XT!U376,XT!Y376,XT!AC376,XT!AG376))=10)*(CHOOSE({1,2,3,4},XT!X376,XT!AB376,XT!AF376,XT!AJ376)))</f>
        <v>0</v>
      </c>
      <c r="AL376" t="str">
        <f>IFERROR(INDEX(CHOOSE({1,2,3,4}, DAY(XT!U376), DAY(XT!Y376), DAY(XT!AC376), DAY(XT!AG376)), MATCH(1, INDEX(--(MONTH(CHOOSE({1,2,3,4}, XT!U376,XT!Y376,XT!AC376,XT!AG376))=10), 0), 0)), "")</f>
        <v/>
      </c>
      <c r="AM376" s="12" t="str">
        <f>IF(XT!$P376&gt;0,AL376,"")</f>
        <v/>
      </c>
      <c r="AN376" s="12" t="str">
        <f>IF(XT!$P376=0,AL376,"")</f>
        <v/>
      </c>
      <c r="AO376">
        <f>SUMPRODUCT((MONTH(CHOOSE({1,2,3,4},XT!U376,XT!Y376,XT!AC376,XT!AG376))=11)*(CHOOSE({1,2,3,4},XT!X376,XT!AB376,XT!AF376,XT!AJ376)))</f>
        <v>0</v>
      </c>
      <c r="AP376" t="str">
        <f>IFERROR(INDEX(CHOOSE({1,2,3,4}, DAY(XT!U376), DAY(XT!Y376), DAY(XT!AC376), DAY(XT!AG376)), MATCH(1, INDEX(--(MONTH(CHOOSE({1,2,3,4}, XT!U376,XT!Y376,XT!AC376,XT!AG376))=11), 0), 0)), "")</f>
        <v/>
      </c>
      <c r="AQ376" s="12" t="str">
        <f>IF(XT!$P376&gt;0,AP376,"")</f>
        <v/>
      </c>
      <c r="AR376" s="12" t="str">
        <f>IF(XT!$P376=0,AP376,"")</f>
        <v/>
      </c>
      <c r="AS376">
        <f>SUMPRODUCT((MONTH(CHOOSE({1,2,3,4},XT!U376,XT!Y376,XT!AC376,XT!AG376))=12)*(CHOOSE({1,2,3,4},XT!X376,XT!AB376,XT!AF376,XT!AJ376)))</f>
        <v>0</v>
      </c>
      <c r="AT376" t="str">
        <f>IFERROR(INDEX(CHOOSE({1,2,3,4}, DAY(XT!U376), DAY(XT!Y376), DAY(XT!AC376), DAY(XT!AG376)), MATCH(1, INDEX(--(MONTH(CHOOSE({1,2,3,4}, XT!U376,XT!Y376,XT!AC376,XT!AG376))=12), 0), 0)), "")</f>
        <v/>
      </c>
      <c r="AU376" s="12" t="str">
        <f>IF(XT!$P376&gt;0,AT376,"")</f>
        <v/>
      </c>
      <c r="AV376" s="12" t="str">
        <f>IF(XT!$P376=0,AT376,"")</f>
        <v/>
      </c>
    </row>
    <row r="377" spans="1:48">
      <c r="A377">
        <f>SUMPRODUCT((MONTH(CHOOSE({1,2,3,4},XT!U377,XT!Y377,XT!AC377,XT!AG377))=1)*(CHOOSE({1,2,3,4},XT!X377,XT!AB377,XT!AF377,XT!AJ377)))</f>
        <v>0</v>
      </c>
      <c r="B377">
        <f>IFERROR(INDEX(CHOOSE({1,2,3,4}, DAY(XT!U377), DAY(XT!Y377), DAY(XT!AC377), DAY(XT!AG377)), MATCH(1, INDEX(--(MONTH(CHOOSE({1,2,3,4}, XT!U377,XT!Y377,XT!AC377,XT!AG377))=1), 0), 0)), "")</f>
        <v>0</v>
      </c>
      <c r="C377" s="12" t="str">
        <f>IF(XT!$P377&gt;0,B377,"")</f>
        <v/>
      </c>
      <c r="D377" s="12">
        <f>IF(XT!$P377=0,B377,"")</f>
        <v>0</v>
      </c>
      <c r="E377">
        <f>SUMPRODUCT((MONTH(CHOOSE({1,2,3,4},XT!U377,XT!Y377,XT!AC377,XT!AG377))=2)*(CHOOSE({1,2,3,4},XT!X377,XT!AB377,XT!AF377,XT!AJ377)))</f>
        <v>0</v>
      </c>
      <c r="F377" t="str">
        <f>IFERROR(INDEX(CHOOSE({1,2,3,4}, DAY(XT!U377), DAY(XT!Y377), DAY(XT!AC377), DAY(XT!AG377)), MATCH(1, INDEX(--(MONTH(CHOOSE({1,2,3,4}, XT!U377,XT!Y377,XT!AC377,XT!AG377))=2), 0), 0)), "")</f>
        <v/>
      </c>
      <c r="G377" s="12" t="str">
        <f>IF(XT!$P377&gt;0,F377,"")</f>
        <v/>
      </c>
      <c r="H377" s="12" t="str">
        <f>IF(XT!$P377=0,F377,"")</f>
        <v/>
      </c>
      <c r="I377">
        <f>SUMPRODUCT((MONTH(CHOOSE({1,2,3,4},XT!U377,XT!Y377,XT!AC377,XT!AG377))=3)*(CHOOSE({1,2,3,4},XT!X377,XT!AB377,XT!AF377,XT!AJ377)))</f>
        <v>0</v>
      </c>
      <c r="J377" t="str">
        <f>IFERROR(INDEX(CHOOSE({1,2,3,4}, DAY(XT!U377), DAY(XT!Y377), DAY(XT!AC377), DAY(XT!AG377)), MATCH(1, INDEX(--(MONTH(CHOOSE({1,2,3,4}, XT!U377,XT!Y377,XT!AC377,XT!AG377))=3), 0), 0)), "")</f>
        <v/>
      </c>
      <c r="K377" s="12" t="str">
        <f>IF(XT!$P377&gt;0,J377,"")</f>
        <v/>
      </c>
      <c r="L377" s="12" t="str">
        <f>IF(XT!$P377=0,J377,"")</f>
        <v/>
      </c>
      <c r="M377">
        <f>SUMPRODUCT((MONTH(CHOOSE({1,2,3,4},XT!U377,XT!Y377,XT!AC377,XT!AG377))=4)*(CHOOSE({1,2,3,4},XT!X377,XT!AB377,XT!AF377,XT!AJ377)))</f>
        <v>0</v>
      </c>
      <c r="N377" t="str">
        <f>IFERROR(INDEX(CHOOSE({1,2,3,4}, DAY(XT!U377), DAY(XT!Y377), DAY(XT!AC377), DAY(XT!AG377)), MATCH(1, INDEX(--(MONTH(CHOOSE({1,2,3,4}, XT!U377,XT!Y377,XT!AC377,XT!AG377))=4), 0), 0)), "")</f>
        <v/>
      </c>
      <c r="O377" s="12" t="str">
        <f>IF(XT!$P377&gt;0,N377,"")</f>
        <v/>
      </c>
      <c r="P377" s="12" t="str">
        <f>IF(XT!$P377=0,N377,"")</f>
        <v/>
      </c>
      <c r="Q377">
        <f>SUMPRODUCT((MONTH(CHOOSE({1,2,3,4},XT!U377,XT!Y377,XT!AC377,XT!AG377))=5)*(CHOOSE({1,2,3,4},XT!X377,XT!AB377,XT!AF377,XT!AJ377)))</f>
        <v>0</v>
      </c>
      <c r="R377" t="str">
        <f>IFERROR(INDEX(CHOOSE({1,2,3,4}, DAY(XT!U377), DAY(XT!Y377), DAY(XT!AC377), DAY(XT!AG377)), MATCH(1, INDEX(--(MONTH(CHOOSE({1,2,3,4}, XT!U377,XT!Y377,XT!AC377,XT!AG377))=5), 0), 0)), "")</f>
        <v/>
      </c>
      <c r="S377" s="12" t="str">
        <f>IF(XT!$P377&gt;0,R377,"")</f>
        <v/>
      </c>
      <c r="T377" s="12" t="str">
        <f>IF(XT!$P377=0,R377,"")</f>
        <v/>
      </c>
      <c r="U377">
        <f>SUMPRODUCT((MONTH(CHOOSE({1,2,3,4},XT!U377,XT!Y377,XT!AC377,XT!AG377))=6)*(CHOOSE({1,2,3,4},XT!X377,XT!AB377,XT!AF377,XT!AJ377)))</f>
        <v>0</v>
      </c>
      <c r="V377" t="str">
        <f>IFERROR(INDEX(CHOOSE({1,2,3,4}, DAY(XT!U377), DAY(XT!Y377), DAY(XT!AC377), DAY(XT!AG377)), MATCH(1, INDEX(--(MONTH(CHOOSE({1,2,3,4}, XT!U377,XT!Y377,XT!AC377,XT!AG377))=6), 0), 0)), "")</f>
        <v/>
      </c>
      <c r="W377" s="12" t="str">
        <f>IF(XT!$P377&gt;0,V377,"")</f>
        <v/>
      </c>
      <c r="X377" s="12" t="str">
        <f>IF(XT!$P377=0,V377,"")</f>
        <v/>
      </c>
      <c r="Y377">
        <f>SUMPRODUCT((MONTH(CHOOSE({1,2,3,4},XT!U377,XT!Y377,XT!AC377,XT!AG377))=7)*(CHOOSE({1,2,3,4},XT!X377,XT!AB377,XT!AF377,XT!AJ377)))</f>
        <v>0</v>
      </c>
      <c r="Z377" t="str">
        <f>IFERROR(INDEX(CHOOSE({1,2,3,4}, DAY(XT!U377), DAY(XT!Y377), DAY(XT!AC377), DAY(XT!AG377)), MATCH(1, INDEX(--(MONTH(CHOOSE({1,2,3,4}, XT!U377,XT!Y377,XT!AC377,XT!AG377))=7), 0), 0)), "")</f>
        <v/>
      </c>
      <c r="AA377" s="12" t="str">
        <f>IF(XT!$P377&gt;0,Z377,"")</f>
        <v/>
      </c>
      <c r="AB377" s="12" t="str">
        <f>IF(XT!$P377=0,Z377,"")</f>
        <v/>
      </c>
      <c r="AC377">
        <f>SUMPRODUCT((MONTH(CHOOSE({1,2,3,4},XT!U377,XT!Y377,XT!AC377,XT!AG377))=8)*(CHOOSE({1,2,3,4},XT!X377,XT!AB377,XT!AF377,XT!AJ377)))</f>
        <v>0</v>
      </c>
      <c r="AD377" t="str">
        <f>IFERROR(INDEX(CHOOSE({1,2,3,4}, DAY(XT!U377), DAY(XT!Y377), DAY(XT!AC377), DAY(XT!AG377)), MATCH(1, INDEX(--(MONTH(CHOOSE({1,2,3,4}, XT!U377,XT!Y377,XT!AC377,XT!AG377))=8), 0), 0)), "")</f>
        <v/>
      </c>
      <c r="AE377" s="12" t="str">
        <f>IF(XT!$P377&gt;0,AD377,"")</f>
        <v/>
      </c>
      <c r="AF377" s="12" t="str">
        <f>IF(XT!$P377=0,AD377,"")</f>
        <v/>
      </c>
      <c r="AG377">
        <f>SUMPRODUCT((MONTH(CHOOSE({1,2,3,4},XT!U377,XT!Y377,XT!AC377,XT!AG377))=9)*(CHOOSE({1,2,3,4},XT!X377,XT!AB377,XT!AF377,XT!AJ377)))</f>
        <v>0</v>
      </c>
      <c r="AH377" t="str">
        <f>IFERROR(INDEX(CHOOSE({1,2,3,4}, DAY(XT!U377), DAY(XT!Y377), DAY(XT!AC377), DAY(XT!AG377)), MATCH(1, INDEX(--(MONTH(CHOOSE({1,2,3,4}, XT!U377,XT!Y377,XT!AC377,XT!AG377))=9), 0), 0)), "")</f>
        <v/>
      </c>
      <c r="AI377" s="12" t="str">
        <f>IF(XT!$P377&gt;0,AH377,"")</f>
        <v/>
      </c>
      <c r="AJ377" s="12" t="str">
        <f>IF(XT!$P377=0,AH377,"")</f>
        <v/>
      </c>
      <c r="AK377">
        <f>SUMPRODUCT((MONTH(CHOOSE({1,2,3,4},XT!U377,XT!Y377,XT!AC377,XT!AG377))=10)*(CHOOSE({1,2,3,4},XT!X377,XT!AB377,XT!AF377,XT!AJ377)))</f>
        <v>0</v>
      </c>
      <c r="AL377" t="str">
        <f>IFERROR(INDEX(CHOOSE({1,2,3,4}, DAY(XT!U377), DAY(XT!Y377), DAY(XT!AC377), DAY(XT!AG377)), MATCH(1, INDEX(--(MONTH(CHOOSE({1,2,3,4}, XT!U377,XT!Y377,XT!AC377,XT!AG377))=10), 0), 0)), "")</f>
        <v/>
      </c>
      <c r="AM377" s="12" t="str">
        <f>IF(XT!$P377&gt;0,AL377,"")</f>
        <v/>
      </c>
      <c r="AN377" s="12" t="str">
        <f>IF(XT!$P377=0,AL377,"")</f>
        <v/>
      </c>
      <c r="AO377">
        <f>SUMPRODUCT((MONTH(CHOOSE({1,2,3,4},XT!U377,XT!Y377,XT!AC377,XT!AG377))=11)*(CHOOSE({1,2,3,4},XT!X377,XT!AB377,XT!AF377,XT!AJ377)))</f>
        <v>0</v>
      </c>
      <c r="AP377" t="str">
        <f>IFERROR(INDEX(CHOOSE({1,2,3,4}, DAY(XT!U377), DAY(XT!Y377), DAY(XT!AC377), DAY(XT!AG377)), MATCH(1, INDEX(--(MONTH(CHOOSE({1,2,3,4}, XT!U377,XT!Y377,XT!AC377,XT!AG377))=11), 0), 0)), "")</f>
        <v/>
      </c>
      <c r="AQ377" s="12" t="str">
        <f>IF(XT!$P377&gt;0,AP377,"")</f>
        <v/>
      </c>
      <c r="AR377" s="12" t="str">
        <f>IF(XT!$P377=0,AP377,"")</f>
        <v/>
      </c>
      <c r="AS377">
        <f>SUMPRODUCT((MONTH(CHOOSE({1,2,3,4},XT!U377,XT!Y377,XT!AC377,XT!AG377))=12)*(CHOOSE({1,2,3,4},XT!X377,XT!AB377,XT!AF377,XT!AJ377)))</f>
        <v>0</v>
      </c>
      <c r="AT377" t="str">
        <f>IFERROR(INDEX(CHOOSE({1,2,3,4}, DAY(XT!U377), DAY(XT!Y377), DAY(XT!AC377), DAY(XT!AG377)), MATCH(1, INDEX(--(MONTH(CHOOSE({1,2,3,4}, XT!U377,XT!Y377,XT!AC377,XT!AG377))=12), 0), 0)), "")</f>
        <v/>
      </c>
      <c r="AU377" s="12" t="str">
        <f>IF(XT!$P377&gt;0,AT377,"")</f>
        <v/>
      </c>
      <c r="AV377" s="12" t="str">
        <f>IF(XT!$P377=0,AT377,"")</f>
        <v/>
      </c>
    </row>
    <row r="378" spans="1:48">
      <c r="A378">
        <f>SUMPRODUCT((MONTH(CHOOSE({1,2,3,4},XT!U378,XT!Y378,XT!AC378,XT!AG378))=1)*(CHOOSE({1,2,3,4},XT!X378,XT!AB378,XT!AF378,XT!AJ378)))</f>
        <v>0</v>
      </c>
      <c r="B378">
        <f>IFERROR(INDEX(CHOOSE({1,2,3,4}, DAY(XT!U378), DAY(XT!Y378), DAY(XT!AC378), DAY(XT!AG378)), MATCH(1, INDEX(--(MONTH(CHOOSE({1,2,3,4}, XT!U378,XT!Y378,XT!AC378,XT!AG378))=1), 0), 0)), "")</f>
        <v>0</v>
      </c>
      <c r="C378" s="12" t="str">
        <f>IF(XT!$P378&gt;0,B378,"")</f>
        <v/>
      </c>
      <c r="D378" s="12">
        <f>IF(XT!$P378=0,B378,"")</f>
        <v>0</v>
      </c>
      <c r="E378">
        <f>SUMPRODUCT((MONTH(CHOOSE({1,2,3,4},XT!U378,XT!Y378,XT!AC378,XT!AG378))=2)*(CHOOSE({1,2,3,4},XT!X378,XT!AB378,XT!AF378,XT!AJ378)))</f>
        <v>0</v>
      </c>
      <c r="F378" t="str">
        <f>IFERROR(INDEX(CHOOSE({1,2,3,4}, DAY(XT!U378), DAY(XT!Y378), DAY(XT!AC378), DAY(XT!AG378)), MATCH(1, INDEX(--(MONTH(CHOOSE({1,2,3,4}, XT!U378,XT!Y378,XT!AC378,XT!AG378))=2), 0), 0)), "")</f>
        <v/>
      </c>
      <c r="G378" s="12" t="str">
        <f>IF(XT!$P378&gt;0,F378,"")</f>
        <v/>
      </c>
      <c r="H378" s="12" t="str">
        <f>IF(XT!$P378=0,F378,"")</f>
        <v/>
      </c>
      <c r="I378">
        <f>SUMPRODUCT((MONTH(CHOOSE({1,2,3,4},XT!U378,XT!Y378,XT!AC378,XT!AG378))=3)*(CHOOSE({1,2,3,4},XT!X378,XT!AB378,XT!AF378,XT!AJ378)))</f>
        <v>0</v>
      </c>
      <c r="J378" t="str">
        <f>IFERROR(INDEX(CHOOSE({1,2,3,4}, DAY(XT!U378), DAY(XT!Y378), DAY(XT!AC378), DAY(XT!AG378)), MATCH(1, INDEX(--(MONTH(CHOOSE({1,2,3,4}, XT!U378,XT!Y378,XT!AC378,XT!AG378))=3), 0), 0)), "")</f>
        <v/>
      </c>
      <c r="K378" s="12" t="str">
        <f>IF(XT!$P378&gt;0,J378,"")</f>
        <v/>
      </c>
      <c r="L378" s="12" t="str">
        <f>IF(XT!$P378=0,J378,"")</f>
        <v/>
      </c>
      <c r="M378">
        <f>SUMPRODUCT((MONTH(CHOOSE({1,2,3,4},XT!U378,XT!Y378,XT!AC378,XT!AG378))=4)*(CHOOSE({1,2,3,4},XT!X378,XT!AB378,XT!AF378,XT!AJ378)))</f>
        <v>0</v>
      </c>
      <c r="N378" t="str">
        <f>IFERROR(INDEX(CHOOSE({1,2,3,4}, DAY(XT!U378), DAY(XT!Y378), DAY(XT!AC378), DAY(XT!AG378)), MATCH(1, INDEX(--(MONTH(CHOOSE({1,2,3,4}, XT!U378,XT!Y378,XT!AC378,XT!AG378))=4), 0), 0)), "")</f>
        <v/>
      </c>
      <c r="O378" s="12" t="str">
        <f>IF(XT!$P378&gt;0,N378,"")</f>
        <v/>
      </c>
      <c r="P378" s="12" t="str">
        <f>IF(XT!$P378=0,N378,"")</f>
        <v/>
      </c>
      <c r="Q378">
        <f>SUMPRODUCT((MONTH(CHOOSE({1,2,3,4},XT!U378,XT!Y378,XT!AC378,XT!AG378))=5)*(CHOOSE({1,2,3,4},XT!X378,XT!AB378,XT!AF378,XT!AJ378)))</f>
        <v>0</v>
      </c>
      <c r="R378" t="str">
        <f>IFERROR(INDEX(CHOOSE({1,2,3,4}, DAY(XT!U378), DAY(XT!Y378), DAY(XT!AC378), DAY(XT!AG378)), MATCH(1, INDEX(--(MONTH(CHOOSE({1,2,3,4}, XT!U378,XT!Y378,XT!AC378,XT!AG378))=5), 0), 0)), "")</f>
        <v/>
      </c>
      <c r="S378" s="12" t="str">
        <f>IF(XT!$P378&gt;0,R378,"")</f>
        <v/>
      </c>
      <c r="T378" s="12" t="str">
        <f>IF(XT!$P378=0,R378,"")</f>
        <v/>
      </c>
      <c r="U378">
        <f>SUMPRODUCT((MONTH(CHOOSE({1,2,3,4},XT!U378,XT!Y378,XT!AC378,XT!AG378))=6)*(CHOOSE({1,2,3,4},XT!X378,XT!AB378,XT!AF378,XT!AJ378)))</f>
        <v>0</v>
      </c>
      <c r="V378" t="str">
        <f>IFERROR(INDEX(CHOOSE({1,2,3,4}, DAY(XT!U378), DAY(XT!Y378), DAY(XT!AC378), DAY(XT!AG378)), MATCH(1, INDEX(--(MONTH(CHOOSE({1,2,3,4}, XT!U378,XT!Y378,XT!AC378,XT!AG378))=6), 0), 0)), "")</f>
        <v/>
      </c>
      <c r="W378" s="12" t="str">
        <f>IF(XT!$P378&gt;0,V378,"")</f>
        <v/>
      </c>
      <c r="X378" s="12" t="str">
        <f>IF(XT!$P378=0,V378,"")</f>
        <v/>
      </c>
      <c r="Y378">
        <f>SUMPRODUCT((MONTH(CHOOSE({1,2,3,4},XT!U378,XT!Y378,XT!AC378,XT!AG378))=7)*(CHOOSE({1,2,3,4},XT!X378,XT!AB378,XT!AF378,XT!AJ378)))</f>
        <v>0</v>
      </c>
      <c r="Z378" t="str">
        <f>IFERROR(INDEX(CHOOSE({1,2,3,4}, DAY(XT!U378), DAY(XT!Y378), DAY(XT!AC378), DAY(XT!AG378)), MATCH(1, INDEX(--(MONTH(CHOOSE({1,2,3,4}, XT!U378,XT!Y378,XT!AC378,XT!AG378))=7), 0), 0)), "")</f>
        <v/>
      </c>
      <c r="AA378" s="12" t="str">
        <f>IF(XT!$P378&gt;0,Z378,"")</f>
        <v/>
      </c>
      <c r="AB378" s="12" t="str">
        <f>IF(XT!$P378=0,Z378,"")</f>
        <v/>
      </c>
      <c r="AC378">
        <f>SUMPRODUCT((MONTH(CHOOSE({1,2,3,4},XT!U378,XT!Y378,XT!AC378,XT!AG378))=8)*(CHOOSE({1,2,3,4},XT!X378,XT!AB378,XT!AF378,XT!AJ378)))</f>
        <v>0</v>
      </c>
      <c r="AD378" t="str">
        <f>IFERROR(INDEX(CHOOSE({1,2,3,4}, DAY(XT!U378), DAY(XT!Y378), DAY(XT!AC378), DAY(XT!AG378)), MATCH(1, INDEX(--(MONTH(CHOOSE({1,2,3,4}, XT!U378,XT!Y378,XT!AC378,XT!AG378))=8), 0), 0)), "")</f>
        <v/>
      </c>
      <c r="AE378" s="12" t="str">
        <f>IF(XT!$P378&gt;0,AD378,"")</f>
        <v/>
      </c>
      <c r="AF378" s="12" t="str">
        <f>IF(XT!$P378=0,AD378,"")</f>
        <v/>
      </c>
      <c r="AG378">
        <f>SUMPRODUCT((MONTH(CHOOSE({1,2,3,4},XT!U378,XT!Y378,XT!AC378,XT!AG378))=9)*(CHOOSE({1,2,3,4},XT!X378,XT!AB378,XT!AF378,XT!AJ378)))</f>
        <v>0</v>
      </c>
      <c r="AH378" t="str">
        <f>IFERROR(INDEX(CHOOSE({1,2,3,4}, DAY(XT!U378), DAY(XT!Y378), DAY(XT!AC378), DAY(XT!AG378)), MATCH(1, INDEX(--(MONTH(CHOOSE({1,2,3,4}, XT!U378,XT!Y378,XT!AC378,XT!AG378))=9), 0), 0)), "")</f>
        <v/>
      </c>
      <c r="AI378" s="12" t="str">
        <f>IF(XT!$P378&gt;0,AH378,"")</f>
        <v/>
      </c>
      <c r="AJ378" s="12" t="str">
        <f>IF(XT!$P378=0,AH378,"")</f>
        <v/>
      </c>
      <c r="AK378">
        <f>SUMPRODUCT((MONTH(CHOOSE({1,2,3,4},XT!U378,XT!Y378,XT!AC378,XT!AG378))=10)*(CHOOSE({1,2,3,4},XT!X378,XT!AB378,XT!AF378,XT!AJ378)))</f>
        <v>0</v>
      </c>
      <c r="AL378" t="str">
        <f>IFERROR(INDEX(CHOOSE({1,2,3,4}, DAY(XT!U378), DAY(XT!Y378), DAY(XT!AC378), DAY(XT!AG378)), MATCH(1, INDEX(--(MONTH(CHOOSE({1,2,3,4}, XT!U378,XT!Y378,XT!AC378,XT!AG378))=10), 0), 0)), "")</f>
        <v/>
      </c>
      <c r="AM378" s="12" t="str">
        <f>IF(XT!$P378&gt;0,AL378,"")</f>
        <v/>
      </c>
      <c r="AN378" s="12" t="str">
        <f>IF(XT!$P378=0,AL378,"")</f>
        <v/>
      </c>
      <c r="AO378">
        <f>SUMPRODUCT((MONTH(CHOOSE({1,2,3,4},XT!U378,XT!Y378,XT!AC378,XT!AG378))=11)*(CHOOSE({1,2,3,4},XT!X378,XT!AB378,XT!AF378,XT!AJ378)))</f>
        <v>0</v>
      </c>
      <c r="AP378" t="str">
        <f>IFERROR(INDEX(CHOOSE({1,2,3,4}, DAY(XT!U378), DAY(XT!Y378), DAY(XT!AC378), DAY(XT!AG378)), MATCH(1, INDEX(--(MONTH(CHOOSE({1,2,3,4}, XT!U378,XT!Y378,XT!AC378,XT!AG378))=11), 0), 0)), "")</f>
        <v/>
      </c>
      <c r="AQ378" s="12" t="str">
        <f>IF(XT!$P378&gt;0,AP378,"")</f>
        <v/>
      </c>
      <c r="AR378" s="12" t="str">
        <f>IF(XT!$P378=0,AP378,"")</f>
        <v/>
      </c>
      <c r="AS378">
        <f>SUMPRODUCT((MONTH(CHOOSE({1,2,3,4},XT!U378,XT!Y378,XT!AC378,XT!AG378))=12)*(CHOOSE({1,2,3,4},XT!X378,XT!AB378,XT!AF378,XT!AJ378)))</f>
        <v>0</v>
      </c>
      <c r="AT378" t="str">
        <f>IFERROR(INDEX(CHOOSE({1,2,3,4}, DAY(XT!U378), DAY(XT!Y378), DAY(XT!AC378), DAY(XT!AG378)), MATCH(1, INDEX(--(MONTH(CHOOSE({1,2,3,4}, XT!U378,XT!Y378,XT!AC378,XT!AG378))=12), 0), 0)), "")</f>
        <v/>
      </c>
      <c r="AU378" s="12" t="str">
        <f>IF(XT!$P378&gt;0,AT378,"")</f>
        <v/>
      </c>
      <c r="AV378" s="12" t="str">
        <f>IF(XT!$P378=0,AT378,"")</f>
        <v/>
      </c>
    </row>
    <row r="379" spans="1:48">
      <c r="A379">
        <f>SUMPRODUCT((MONTH(CHOOSE({1,2,3,4},XT!U379,XT!Y379,XT!AC379,XT!AG379))=1)*(CHOOSE({1,2,3,4},XT!X379,XT!AB379,XT!AF379,XT!AJ379)))</f>
        <v>0</v>
      </c>
      <c r="B379">
        <f>IFERROR(INDEX(CHOOSE({1,2,3,4}, DAY(XT!U379), DAY(XT!Y379), DAY(XT!AC379), DAY(XT!AG379)), MATCH(1, INDEX(--(MONTH(CHOOSE({1,2,3,4}, XT!U379,XT!Y379,XT!AC379,XT!AG379))=1), 0), 0)), "")</f>
        <v>0</v>
      </c>
      <c r="C379" s="12" t="str">
        <f>IF(XT!$P379&gt;0,B379,"")</f>
        <v/>
      </c>
      <c r="D379" s="12">
        <f>IF(XT!$P379=0,B379,"")</f>
        <v>0</v>
      </c>
      <c r="E379">
        <f>SUMPRODUCT((MONTH(CHOOSE({1,2,3,4},XT!U379,XT!Y379,XT!AC379,XT!AG379))=2)*(CHOOSE({1,2,3,4},XT!X379,XT!AB379,XT!AF379,XT!AJ379)))</f>
        <v>0</v>
      </c>
      <c r="F379" t="str">
        <f>IFERROR(INDEX(CHOOSE({1,2,3,4}, DAY(XT!U379), DAY(XT!Y379), DAY(XT!AC379), DAY(XT!AG379)), MATCH(1, INDEX(--(MONTH(CHOOSE({1,2,3,4}, XT!U379,XT!Y379,XT!AC379,XT!AG379))=2), 0), 0)), "")</f>
        <v/>
      </c>
      <c r="G379" s="12" t="str">
        <f>IF(XT!$P379&gt;0,F379,"")</f>
        <v/>
      </c>
      <c r="H379" s="12" t="str">
        <f>IF(XT!$P379=0,F379,"")</f>
        <v/>
      </c>
      <c r="I379">
        <f>SUMPRODUCT((MONTH(CHOOSE({1,2,3,4},XT!U379,XT!Y379,XT!AC379,XT!AG379))=3)*(CHOOSE({1,2,3,4},XT!X379,XT!AB379,XT!AF379,XT!AJ379)))</f>
        <v>0</v>
      </c>
      <c r="J379" t="str">
        <f>IFERROR(INDEX(CHOOSE({1,2,3,4}, DAY(XT!U379), DAY(XT!Y379), DAY(XT!AC379), DAY(XT!AG379)), MATCH(1, INDEX(--(MONTH(CHOOSE({1,2,3,4}, XT!U379,XT!Y379,XT!AC379,XT!AG379))=3), 0), 0)), "")</f>
        <v/>
      </c>
      <c r="K379" s="12" t="str">
        <f>IF(XT!$P379&gt;0,J379,"")</f>
        <v/>
      </c>
      <c r="L379" s="12" t="str">
        <f>IF(XT!$P379=0,J379,"")</f>
        <v/>
      </c>
      <c r="M379">
        <f>SUMPRODUCT((MONTH(CHOOSE({1,2,3,4},XT!U379,XT!Y379,XT!AC379,XT!AG379))=4)*(CHOOSE({1,2,3,4},XT!X379,XT!AB379,XT!AF379,XT!AJ379)))</f>
        <v>0</v>
      </c>
      <c r="N379" t="str">
        <f>IFERROR(INDEX(CHOOSE({1,2,3,4}, DAY(XT!U379), DAY(XT!Y379), DAY(XT!AC379), DAY(XT!AG379)), MATCH(1, INDEX(--(MONTH(CHOOSE({1,2,3,4}, XT!U379,XT!Y379,XT!AC379,XT!AG379))=4), 0), 0)), "")</f>
        <v/>
      </c>
      <c r="O379" s="12" t="str">
        <f>IF(XT!$P379&gt;0,N379,"")</f>
        <v/>
      </c>
      <c r="P379" s="12" t="str">
        <f>IF(XT!$P379=0,N379,"")</f>
        <v/>
      </c>
      <c r="Q379">
        <f>SUMPRODUCT((MONTH(CHOOSE({1,2,3,4},XT!U379,XT!Y379,XT!AC379,XT!AG379))=5)*(CHOOSE({1,2,3,4},XT!X379,XT!AB379,XT!AF379,XT!AJ379)))</f>
        <v>0</v>
      </c>
      <c r="R379" t="str">
        <f>IFERROR(INDEX(CHOOSE({1,2,3,4}, DAY(XT!U379), DAY(XT!Y379), DAY(XT!AC379), DAY(XT!AG379)), MATCH(1, INDEX(--(MONTH(CHOOSE({1,2,3,4}, XT!U379,XT!Y379,XT!AC379,XT!AG379))=5), 0), 0)), "")</f>
        <v/>
      </c>
      <c r="S379" s="12" t="str">
        <f>IF(XT!$P379&gt;0,R379,"")</f>
        <v/>
      </c>
      <c r="T379" s="12" t="str">
        <f>IF(XT!$P379=0,R379,"")</f>
        <v/>
      </c>
      <c r="U379">
        <f>SUMPRODUCT((MONTH(CHOOSE({1,2,3,4},XT!U379,XT!Y379,XT!AC379,XT!AG379))=6)*(CHOOSE({1,2,3,4},XT!X379,XT!AB379,XT!AF379,XT!AJ379)))</f>
        <v>0</v>
      </c>
      <c r="V379" t="str">
        <f>IFERROR(INDEX(CHOOSE({1,2,3,4}, DAY(XT!U379), DAY(XT!Y379), DAY(XT!AC379), DAY(XT!AG379)), MATCH(1, INDEX(--(MONTH(CHOOSE({1,2,3,4}, XT!U379,XT!Y379,XT!AC379,XT!AG379))=6), 0), 0)), "")</f>
        <v/>
      </c>
      <c r="W379" s="12" t="str">
        <f>IF(XT!$P379&gt;0,V379,"")</f>
        <v/>
      </c>
      <c r="X379" s="12" t="str">
        <f>IF(XT!$P379=0,V379,"")</f>
        <v/>
      </c>
      <c r="Y379">
        <f>SUMPRODUCT((MONTH(CHOOSE({1,2,3,4},XT!U379,XT!Y379,XT!AC379,XT!AG379))=7)*(CHOOSE({1,2,3,4},XT!X379,XT!AB379,XT!AF379,XT!AJ379)))</f>
        <v>0</v>
      </c>
      <c r="Z379" t="str">
        <f>IFERROR(INDEX(CHOOSE({1,2,3,4}, DAY(XT!U379), DAY(XT!Y379), DAY(XT!AC379), DAY(XT!AG379)), MATCH(1, INDEX(--(MONTH(CHOOSE({1,2,3,4}, XT!U379,XT!Y379,XT!AC379,XT!AG379))=7), 0), 0)), "")</f>
        <v/>
      </c>
      <c r="AA379" s="12" t="str">
        <f>IF(XT!$P379&gt;0,Z379,"")</f>
        <v/>
      </c>
      <c r="AB379" s="12" t="str">
        <f>IF(XT!$P379=0,Z379,"")</f>
        <v/>
      </c>
      <c r="AC379">
        <f>SUMPRODUCT((MONTH(CHOOSE({1,2,3,4},XT!U379,XT!Y379,XT!AC379,XT!AG379))=8)*(CHOOSE({1,2,3,4},XT!X379,XT!AB379,XT!AF379,XT!AJ379)))</f>
        <v>0</v>
      </c>
      <c r="AD379" t="str">
        <f>IFERROR(INDEX(CHOOSE({1,2,3,4}, DAY(XT!U379), DAY(XT!Y379), DAY(XT!AC379), DAY(XT!AG379)), MATCH(1, INDEX(--(MONTH(CHOOSE({1,2,3,4}, XT!U379,XT!Y379,XT!AC379,XT!AG379))=8), 0), 0)), "")</f>
        <v/>
      </c>
      <c r="AE379" s="12" t="str">
        <f>IF(XT!$P379&gt;0,AD379,"")</f>
        <v/>
      </c>
      <c r="AF379" s="12" t="str">
        <f>IF(XT!$P379=0,AD379,"")</f>
        <v/>
      </c>
      <c r="AG379">
        <f>SUMPRODUCT((MONTH(CHOOSE({1,2,3,4},XT!U379,XT!Y379,XT!AC379,XT!AG379))=9)*(CHOOSE({1,2,3,4},XT!X379,XT!AB379,XT!AF379,XT!AJ379)))</f>
        <v>0</v>
      </c>
      <c r="AH379" t="str">
        <f>IFERROR(INDEX(CHOOSE({1,2,3,4}, DAY(XT!U379), DAY(XT!Y379), DAY(XT!AC379), DAY(XT!AG379)), MATCH(1, INDEX(--(MONTH(CHOOSE({1,2,3,4}, XT!U379,XT!Y379,XT!AC379,XT!AG379))=9), 0), 0)), "")</f>
        <v/>
      </c>
      <c r="AI379" s="12" t="str">
        <f>IF(XT!$P379&gt;0,AH379,"")</f>
        <v/>
      </c>
      <c r="AJ379" s="12" t="str">
        <f>IF(XT!$P379=0,AH379,"")</f>
        <v/>
      </c>
      <c r="AK379">
        <f>SUMPRODUCT((MONTH(CHOOSE({1,2,3,4},XT!U379,XT!Y379,XT!AC379,XT!AG379))=10)*(CHOOSE({1,2,3,4},XT!X379,XT!AB379,XT!AF379,XT!AJ379)))</f>
        <v>0</v>
      </c>
      <c r="AL379" t="str">
        <f>IFERROR(INDEX(CHOOSE({1,2,3,4}, DAY(XT!U379), DAY(XT!Y379), DAY(XT!AC379), DAY(XT!AG379)), MATCH(1, INDEX(--(MONTH(CHOOSE({1,2,3,4}, XT!U379,XT!Y379,XT!AC379,XT!AG379))=10), 0), 0)), "")</f>
        <v/>
      </c>
      <c r="AM379" s="12" t="str">
        <f>IF(XT!$P379&gt;0,AL379,"")</f>
        <v/>
      </c>
      <c r="AN379" s="12" t="str">
        <f>IF(XT!$P379=0,AL379,"")</f>
        <v/>
      </c>
      <c r="AO379">
        <f>SUMPRODUCT((MONTH(CHOOSE({1,2,3,4},XT!U379,XT!Y379,XT!AC379,XT!AG379))=11)*(CHOOSE({1,2,3,4},XT!X379,XT!AB379,XT!AF379,XT!AJ379)))</f>
        <v>0</v>
      </c>
      <c r="AP379" t="str">
        <f>IFERROR(INDEX(CHOOSE({1,2,3,4}, DAY(XT!U379), DAY(XT!Y379), DAY(XT!AC379), DAY(XT!AG379)), MATCH(1, INDEX(--(MONTH(CHOOSE({1,2,3,4}, XT!U379,XT!Y379,XT!AC379,XT!AG379))=11), 0), 0)), "")</f>
        <v/>
      </c>
      <c r="AQ379" s="12" t="str">
        <f>IF(XT!$P379&gt;0,AP379,"")</f>
        <v/>
      </c>
      <c r="AR379" s="12" t="str">
        <f>IF(XT!$P379=0,AP379,"")</f>
        <v/>
      </c>
      <c r="AS379">
        <f>SUMPRODUCT((MONTH(CHOOSE({1,2,3,4},XT!U379,XT!Y379,XT!AC379,XT!AG379))=12)*(CHOOSE({1,2,3,4},XT!X379,XT!AB379,XT!AF379,XT!AJ379)))</f>
        <v>0</v>
      </c>
      <c r="AT379" t="str">
        <f>IFERROR(INDEX(CHOOSE({1,2,3,4}, DAY(XT!U379), DAY(XT!Y379), DAY(XT!AC379), DAY(XT!AG379)), MATCH(1, INDEX(--(MONTH(CHOOSE({1,2,3,4}, XT!U379,XT!Y379,XT!AC379,XT!AG379))=12), 0), 0)), "")</f>
        <v/>
      </c>
      <c r="AU379" s="12" t="str">
        <f>IF(XT!$P379&gt;0,AT379,"")</f>
        <v/>
      </c>
      <c r="AV379" s="12" t="str">
        <f>IF(XT!$P379=0,AT379,"")</f>
        <v/>
      </c>
    </row>
    <row r="380" spans="1:48">
      <c r="A380">
        <f>SUMPRODUCT((MONTH(CHOOSE({1,2,3,4},XT!U380,XT!Y380,XT!AC380,XT!AG380))=1)*(CHOOSE({1,2,3,4},XT!X380,XT!AB380,XT!AF380,XT!AJ380)))</f>
        <v>0</v>
      </c>
      <c r="B380">
        <f>IFERROR(INDEX(CHOOSE({1,2,3,4}, DAY(XT!U380), DAY(XT!Y380), DAY(XT!AC380), DAY(XT!AG380)), MATCH(1, INDEX(--(MONTH(CHOOSE({1,2,3,4}, XT!U380,XT!Y380,XT!AC380,XT!AG380))=1), 0), 0)), "")</f>
        <v>0</v>
      </c>
      <c r="C380" s="12" t="str">
        <f>IF(XT!$P380&gt;0,B380,"")</f>
        <v/>
      </c>
      <c r="D380" s="12">
        <f>IF(XT!$P380=0,B380,"")</f>
        <v>0</v>
      </c>
      <c r="E380">
        <f>SUMPRODUCT((MONTH(CHOOSE({1,2,3,4},XT!U380,XT!Y380,XT!AC380,XT!AG380))=2)*(CHOOSE({1,2,3,4},XT!X380,XT!AB380,XT!AF380,XT!AJ380)))</f>
        <v>0</v>
      </c>
      <c r="F380" t="str">
        <f>IFERROR(INDEX(CHOOSE({1,2,3,4}, DAY(XT!U380), DAY(XT!Y380), DAY(XT!AC380), DAY(XT!AG380)), MATCH(1, INDEX(--(MONTH(CHOOSE({1,2,3,4}, XT!U380,XT!Y380,XT!AC380,XT!AG380))=2), 0), 0)), "")</f>
        <v/>
      </c>
      <c r="G380" s="12" t="str">
        <f>IF(XT!$P380&gt;0,F380,"")</f>
        <v/>
      </c>
      <c r="H380" s="12" t="str">
        <f>IF(XT!$P380=0,F380,"")</f>
        <v/>
      </c>
      <c r="I380">
        <f>SUMPRODUCT((MONTH(CHOOSE({1,2,3,4},XT!U380,XT!Y380,XT!AC380,XT!AG380))=3)*(CHOOSE({1,2,3,4},XT!X380,XT!AB380,XT!AF380,XT!AJ380)))</f>
        <v>0</v>
      </c>
      <c r="J380" t="str">
        <f>IFERROR(INDEX(CHOOSE({1,2,3,4}, DAY(XT!U380), DAY(XT!Y380), DAY(XT!AC380), DAY(XT!AG380)), MATCH(1, INDEX(--(MONTH(CHOOSE({1,2,3,4}, XT!U380,XT!Y380,XT!AC380,XT!AG380))=3), 0), 0)), "")</f>
        <v/>
      </c>
      <c r="K380" s="12" t="str">
        <f>IF(XT!$P380&gt;0,J380,"")</f>
        <v/>
      </c>
      <c r="L380" s="12" t="str">
        <f>IF(XT!$P380=0,J380,"")</f>
        <v/>
      </c>
      <c r="M380">
        <f>SUMPRODUCT((MONTH(CHOOSE({1,2,3,4},XT!U380,XT!Y380,XT!AC380,XT!AG380))=4)*(CHOOSE({1,2,3,4},XT!X380,XT!AB380,XT!AF380,XT!AJ380)))</f>
        <v>0</v>
      </c>
      <c r="N380" t="str">
        <f>IFERROR(INDEX(CHOOSE({1,2,3,4}, DAY(XT!U380), DAY(XT!Y380), DAY(XT!AC380), DAY(XT!AG380)), MATCH(1, INDEX(--(MONTH(CHOOSE({1,2,3,4}, XT!U380,XT!Y380,XT!AC380,XT!AG380))=4), 0), 0)), "")</f>
        <v/>
      </c>
      <c r="O380" s="12" t="str">
        <f>IF(XT!$P380&gt;0,N380,"")</f>
        <v/>
      </c>
      <c r="P380" s="12" t="str">
        <f>IF(XT!$P380=0,N380,"")</f>
        <v/>
      </c>
      <c r="Q380">
        <f>SUMPRODUCT((MONTH(CHOOSE({1,2,3,4},XT!U380,XT!Y380,XT!AC380,XT!AG380))=5)*(CHOOSE({1,2,3,4},XT!X380,XT!AB380,XT!AF380,XT!AJ380)))</f>
        <v>0</v>
      </c>
      <c r="R380" t="str">
        <f>IFERROR(INDEX(CHOOSE({1,2,3,4}, DAY(XT!U380), DAY(XT!Y380), DAY(XT!AC380), DAY(XT!AG380)), MATCH(1, INDEX(--(MONTH(CHOOSE({1,2,3,4}, XT!U380,XT!Y380,XT!AC380,XT!AG380))=5), 0), 0)), "")</f>
        <v/>
      </c>
      <c r="S380" s="12" t="str">
        <f>IF(XT!$P380&gt;0,R380,"")</f>
        <v/>
      </c>
      <c r="T380" s="12" t="str">
        <f>IF(XT!$P380=0,R380,"")</f>
        <v/>
      </c>
      <c r="U380">
        <f>SUMPRODUCT((MONTH(CHOOSE({1,2,3,4},XT!U380,XT!Y380,XT!AC380,XT!AG380))=6)*(CHOOSE({1,2,3,4},XT!X380,XT!AB380,XT!AF380,XT!AJ380)))</f>
        <v>0</v>
      </c>
      <c r="V380" t="str">
        <f>IFERROR(INDEX(CHOOSE({1,2,3,4}, DAY(XT!U380), DAY(XT!Y380), DAY(XT!AC380), DAY(XT!AG380)), MATCH(1, INDEX(--(MONTH(CHOOSE({1,2,3,4}, XT!U380,XT!Y380,XT!AC380,XT!AG380))=6), 0), 0)), "")</f>
        <v/>
      </c>
      <c r="W380" s="12" t="str">
        <f>IF(XT!$P380&gt;0,V380,"")</f>
        <v/>
      </c>
      <c r="X380" s="12" t="str">
        <f>IF(XT!$P380=0,V380,"")</f>
        <v/>
      </c>
      <c r="Y380">
        <f>SUMPRODUCT((MONTH(CHOOSE({1,2,3,4},XT!U380,XT!Y380,XT!AC380,XT!AG380))=7)*(CHOOSE({1,2,3,4},XT!X380,XT!AB380,XT!AF380,XT!AJ380)))</f>
        <v>0</v>
      </c>
      <c r="Z380" t="str">
        <f>IFERROR(INDEX(CHOOSE({1,2,3,4}, DAY(XT!U380), DAY(XT!Y380), DAY(XT!AC380), DAY(XT!AG380)), MATCH(1, INDEX(--(MONTH(CHOOSE({1,2,3,4}, XT!U380,XT!Y380,XT!AC380,XT!AG380))=7), 0), 0)), "")</f>
        <v/>
      </c>
      <c r="AA380" s="12" t="str">
        <f>IF(XT!$P380&gt;0,Z380,"")</f>
        <v/>
      </c>
      <c r="AB380" s="12" t="str">
        <f>IF(XT!$P380=0,Z380,"")</f>
        <v/>
      </c>
      <c r="AC380">
        <f>SUMPRODUCT((MONTH(CHOOSE({1,2,3,4},XT!U380,XT!Y380,XT!AC380,XT!AG380))=8)*(CHOOSE({1,2,3,4},XT!X380,XT!AB380,XT!AF380,XT!AJ380)))</f>
        <v>0</v>
      </c>
      <c r="AD380" t="str">
        <f>IFERROR(INDEX(CHOOSE({1,2,3,4}, DAY(XT!U380), DAY(XT!Y380), DAY(XT!AC380), DAY(XT!AG380)), MATCH(1, INDEX(--(MONTH(CHOOSE({1,2,3,4}, XT!U380,XT!Y380,XT!AC380,XT!AG380))=8), 0), 0)), "")</f>
        <v/>
      </c>
      <c r="AE380" s="12" t="str">
        <f>IF(XT!$P380&gt;0,AD380,"")</f>
        <v/>
      </c>
      <c r="AF380" s="12" t="str">
        <f>IF(XT!$P380=0,AD380,"")</f>
        <v/>
      </c>
      <c r="AG380">
        <f>SUMPRODUCT((MONTH(CHOOSE({1,2,3,4},XT!U380,XT!Y380,XT!AC380,XT!AG380))=9)*(CHOOSE({1,2,3,4},XT!X380,XT!AB380,XT!AF380,XT!AJ380)))</f>
        <v>0</v>
      </c>
      <c r="AH380" t="str">
        <f>IFERROR(INDEX(CHOOSE({1,2,3,4}, DAY(XT!U380), DAY(XT!Y380), DAY(XT!AC380), DAY(XT!AG380)), MATCH(1, INDEX(--(MONTH(CHOOSE({1,2,3,4}, XT!U380,XT!Y380,XT!AC380,XT!AG380))=9), 0), 0)), "")</f>
        <v/>
      </c>
      <c r="AI380" s="12" t="str">
        <f>IF(XT!$P380&gt;0,AH380,"")</f>
        <v/>
      </c>
      <c r="AJ380" s="12" t="str">
        <f>IF(XT!$P380=0,AH380,"")</f>
        <v/>
      </c>
      <c r="AK380">
        <f>SUMPRODUCT((MONTH(CHOOSE({1,2,3,4},XT!U380,XT!Y380,XT!AC380,XT!AG380))=10)*(CHOOSE({1,2,3,4},XT!X380,XT!AB380,XT!AF380,XT!AJ380)))</f>
        <v>0</v>
      </c>
      <c r="AL380" t="str">
        <f>IFERROR(INDEX(CHOOSE({1,2,3,4}, DAY(XT!U380), DAY(XT!Y380), DAY(XT!AC380), DAY(XT!AG380)), MATCH(1, INDEX(--(MONTH(CHOOSE({1,2,3,4}, XT!U380,XT!Y380,XT!AC380,XT!AG380))=10), 0), 0)), "")</f>
        <v/>
      </c>
      <c r="AM380" s="12" t="str">
        <f>IF(XT!$P380&gt;0,AL380,"")</f>
        <v/>
      </c>
      <c r="AN380" s="12" t="str">
        <f>IF(XT!$P380=0,AL380,"")</f>
        <v/>
      </c>
      <c r="AO380">
        <f>SUMPRODUCT((MONTH(CHOOSE({1,2,3,4},XT!U380,XT!Y380,XT!AC380,XT!AG380))=11)*(CHOOSE({1,2,3,4},XT!X380,XT!AB380,XT!AF380,XT!AJ380)))</f>
        <v>0</v>
      </c>
      <c r="AP380" t="str">
        <f>IFERROR(INDEX(CHOOSE({1,2,3,4}, DAY(XT!U380), DAY(XT!Y380), DAY(XT!AC380), DAY(XT!AG380)), MATCH(1, INDEX(--(MONTH(CHOOSE({1,2,3,4}, XT!U380,XT!Y380,XT!AC380,XT!AG380))=11), 0), 0)), "")</f>
        <v/>
      </c>
      <c r="AQ380" s="12" t="str">
        <f>IF(XT!$P380&gt;0,AP380,"")</f>
        <v/>
      </c>
      <c r="AR380" s="12" t="str">
        <f>IF(XT!$P380=0,AP380,"")</f>
        <v/>
      </c>
      <c r="AS380">
        <f>SUMPRODUCT((MONTH(CHOOSE({1,2,3,4},XT!U380,XT!Y380,XT!AC380,XT!AG380))=12)*(CHOOSE({1,2,3,4},XT!X380,XT!AB380,XT!AF380,XT!AJ380)))</f>
        <v>0</v>
      </c>
      <c r="AT380" t="str">
        <f>IFERROR(INDEX(CHOOSE({1,2,3,4}, DAY(XT!U380), DAY(XT!Y380), DAY(XT!AC380), DAY(XT!AG380)), MATCH(1, INDEX(--(MONTH(CHOOSE({1,2,3,4}, XT!U380,XT!Y380,XT!AC380,XT!AG380))=12), 0), 0)), "")</f>
        <v/>
      </c>
      <c r="AU380" s="12" t="str">
        <f>IF(XT!$P380&gt;0,AT380,"")</f>
        <v/>
      </c>
      <c r="AV380" s="12" t="str">
        <f>IF(XT!$P380=0,AT380,"")</f>
        <v/>
      </c>
    </row>
    <row r="381" spans="1:48">
      <c r="A381">
        <f>SUMPRODUCT((MONTH(CHOOSE({1,2,3,4},XT!U381,XT!Y381,XT!AC381,XT!AG381))=1)*(CHOOSE({1,2,3,4},XT!X381,XT!AB381,XT!AF381,XT!AJ381)))</f>
        <v>0</v>
      </c>
      <c r="B381">
        <f>IFERROR(INDEX(CHOOSE({1,2,3,4}, DAY(XT!U381), DAY(XT!Y381), DAY(XT!AC381), DAY(XT!AG381)), MATCH(1, INDEX(--(MONTH(CHOOSE({1,2,3,4}, XT!U381,XT!Y381,XT!AC381,XT!AG381))=1), 0), 0)), "")</f>
        <v>0</v>
      </c>
      <c r="C381" s="12" t="str">
        <f>IF(XT!$P381&gt;0,B381,"")</f>
        <v/>
      </c>
      <c r="D381" s="12">
        <f>IF(XT!$P381=0,B381,"")</f>
        <v>0</v>
      </c>
      <c r="E381">
        <f>SUMPRODUCT((MONTH(CHOOSE({1,2,3,4},XT!U381,XT!Y381,XT!AC381,XT!AG381))=2)*(CHOOSE({1,2,3,4},XT!X381,XT!AB381,XT!AF381,XT!AJ381)))</f>
        <v>0</v>
      </c>
      <c r="F381" t="str">
        <f>IFERROR(INDEX(CHOOSE({1,2,3,4}, DAY(XT!U381), DAY(XT!Y381), DAY(XT!AC381), DAY(XT!AG381)), MATCH(1, INDEX(--(MONTH(CHOOSE({1,2,3,4}, XT!U381,XT!Y381,XT!AC381,XT!AG381))=2), 0), 0)), "")</f>
        <v/>
      </c>
      <c r="G381" s="12" t="str">
        <f>IF(XT!$P381&gt;0,F381,"")</f>
        <v/>
      </c>
      <c r="H381" s="12" t="str">
        <f>IF(XT!$P381=0,F381,"")</f>
        <v/>
      </c>
      <c r="I381">
        <f>SUMPRODUCT((MONTH(CHOOSE({1,2,3,4},XT!U381,XT!Y381,XT!AC381,XT!AG381))=3)*(CHOOSE({1,2,3,4},XT!X381,XT!AB381,XT!AF381,XT!AJ381)))</f>
        <v>0</v>
      </c>
      <c r="J381" t="str">
        <f>IFERROR(INDEX(CHOOSE({1,2,3,4}, DAY(XT!U381), DAY(XT!Y381), DAY(XT!AC381), DAY(XT!AG381)), MATCH(1, INDEX(--(MONTH(CHOOSE({1,2,3,4}, XT!U381,XT!Y381,XT!AC381,XT!AG381))=3), 0), 0)), "")</f>
        <v/>
      </c>
      <c r="K381" s="12" t="str">
        <f>IF(XT!$P381&gt;0,J381,"")</f>
        <v/>
      </c>
      <c r="L381" s="12" t="str">
        <f>IF(XT!$P381=0,J381,"")</f>
        <v/>
      </c>
      <c r="M381">
        <f>SUMPRODUCT((MONTH(CHOOSE({1,2,3,4},XT!U381,XT!Y381,XT!AC381,XT!AG381))=4)*(CHOOSE({1,2,3,4},XT!X381,XT!AB381,XT!AF381,XT!AJ381)))</f>
        <v>0</v>
      </c>
      <c r="N381" t="str">
        <f>IFERROR(INDEX(CHOOSE({1,2,3,4}, DAY(XT!U381), DAY(XT!Y381), DAY(XT!AC381), DAY(XT!AG381)), MATCH(1, INDEX(--(MONTH(CHOOSE({1,2,3,4}, XT!U381,XT!Y381,XT!AC381,XT!AG381))=4), 0), 0)), "")</f>
        <v/>
      </c>
      <c r="O381" s="12" t="str">
        <f>IF(XT!$P381&gt;0,N381,"")</f>
        <v/>
      </c>
      <c r="P381" s="12" t="str">
        <f>IF(XT!$P381=0,N381,"")</f>
        <v/>
      </c>
      <c r="Q381">
        <f>SUMPRODUCT((MONTH(CHOOSE({1,2,3,4},XT!U381,XT!Y381,XT!AC381,XT!AG381))=5)*(CHOOSE({1,2,3,4},XT!X381,XT!AB381,XT!AF381,XT!AJ381)))</f>
        <v>0</v>
      </c>
      <c r="R381" t="str">
        <f>IFERROR(INDEX(CHOOSE({1,2,3,4}, DAY(XT!U381), DAY(XT!Y381), DAY(XT!AC381), DAY(XT!AG381)), MATCH(1, INDEX(--(MONTH(CHOOSE({1,2,3,4}, XT!U381,XT!Y381,XT!AC381,XT!AG381))=5), 0), 0)), "")</f>
        <v/>
      </c>
      <c r="S381" s="12" t="str">
        <f>IF(XT!$P381&gt;0,R381,"")</f>
        <v/>
      </c>
      <c r="T381" s="12" t="str">
        <f>IF(XT!$P381=0,R381,"")</f>
        <v/>
      </c>
      <c r="U381">
        <f>SUMPRODUCT((MONTH(CHOOSE({1,2,3,4},XT!U381,XT!Y381,XT!AC381,XT!AG381))=6)*(CHOOSE({1,2,3,4},XT!X381,XT!AB381,XT!AF381,XT!AJ381)))</f>
        <v>0</v>
      </c>
      <c r="V381" t="str">
        <f>IFERROR(INDEX(CHOOSE({1,2,3,4}, DAY(XT!U381), DAY(XT!Y381), DAY(XT!AC381), DAY(XT!AG381)), MATCH(1, INDEX(--(MONTH(CHOOSE({1,2,3,4}, XT!U381,XT!Y381,XT!AC381,XT!AG381))=6), 0), 0)), "")</f>
        <v/>
      </c>
      <c r="W381" s="12" t="str">
        <f>IF(XT!$P381&gt;0,V381,"")</f>
        <v/>
      </c>
      <c r="X381" s="12" t="str">
        <f>IF(XT!$P381=0,V381,"")</f>
        <v/>
      </c>
      <c r="Y381">
        <f>SUMPRODUCT((MONTH(CHOOSE({1,2,3,4},XT!U381,XT!Y381,XT!AC381,XT!AG381))=7)*(CHOOSE({1,2,3,4},XT!X381,XT!AB381,XT!AF381,XT!AJ381)))</f>
        <v>0</v>
      </c>
      <c r="Z381" t="str">
        <f>IFERROR(INDEX(CHOOSE({1,2,3,4}, DAY(XT!U381), DAY(XT!Y381), DAY(XT!AC381), DAY(XT!AG381)), MATCH(1, INDEX(--(MONTH(CHOOSE({1,2,3,4}, XT!U381,XT!Y381,XT!AC381,XT!AG381))=7), 0), 0)), "")</f>
        <v/>
      </c>
      <c r="AA381" s="12" t="str">
        <f>IF(XT!$P381&gt;0,Z381,"")</f>
        <v/>
      </c>
      <c r="AB381" s="12" t="str">
        <f>IF(XT!$P381=0,Z381,"")</f>
        <v/>
      </c>
      <c r="AC381">
        <f>SUMPRODUCT((MONTH(CHOOSE({1,2,3,4},XT!U381,XT!Y381,XT!AC381,XT!AG381))=8)*(CHOOSE({1,2,3,4},XT!X381,XT!AB381,XT!AF381,XT!AJ381)))</f>
        <v>0</v>
      </c>
      <c r="AD381" t="str">
        <f>IFERROR(INDEX(CHOOSE({1,2,3,4}, DAY(XT!U381), DAY(XT!Y381), DAY(XT!AC381), DAY(XT!AG381)), MATCH(1, INDEX(--(MONTH(CHOOSE({1,2,3,4}, XT!U381,XT!Y381,XT!AC381,XT!AG381))=8), 0), 0)), "")</f>
        <v/>
      </c>
      <c r="AE381" s="12" t="str">
        <f>IF(XT!$P381&gt;0,AD381,"")</f>
        <v/>
      </c>
      <c r="AF381" s="12" t="str">
        <f>IF(XT!$P381=0,AD381,"")</f>
        <v/>
      </c>
      <c r="AG381">
        <f>SUMPRODUCT((MONTH(CHOOSE({1,2,3,4},XT!U381,XT!Y381,XT!AC381,XT!AG381))=9)*(CHOOSE({1,2,3,4},XT!X381,XT!AB381,XT!AF381,XT!AJ381)))</f>
        <v>0</v>
      </c>
      <c r="AH381" t="str">
        <f>IFERROR(INDEX(CHOOSE({1,2,3,4}, DAY(XT!U381), DAY(XT!Y381), DAY(XT!AC381), DAY(XT!AG381)), MATCH(1, INDEX(--(MONTH(CHOOSE({1,2,3,4}, XT!U381,XT!Y381,XT!AC381,XT!AG381))=9), 0), 0)), "")</f>
        <v/>
      </c>
      <c r="AI381" s="12" t="str">
        <f>IF(XT!$P381&gt;0,AH381,"")</f>
        <v/>
      </c>
      <c r="AJ381" s="12" t="str">
        <f>IF(XT!$P381=0,AH381,"")</f>
        <v/>
      </c>
      <c r="AK381">
        <f>SUMPRODUCT((MONTH(CHOOSE({1,2,3,4},XT!U381,XT!Y381,XT!AC381,XT!AG381))=10)*(CHOOSE({1,2,3,4},XT!X381,XT!AB381,XT!AF381,XT!AJ381)))</f>
        <v>0</v>
      </c>
      <c r="AL381" t="str">
        <f>IFERROR(INDEX(CHOOSE({1,2,3,4}, DAY(XT!U381), DAY(XT!Y381), DAY(XT!AC381), DAY(XT!AG381)), MATCH(1, INDEX(--(MONTH(CHOOSE({1,2,3,4}, XT!U381,XT!Y381,XT!AC381,XT!AG381))=10), 0), 0)), "")</f>
        <v/>
      </c>
      <c r="AM381" s="12" t="str">
        <f>IF(XT!$P381&gt;0,AL381,"")</f>
        <v/>
      </c>
      <c r="AN381" s="12" t="str">
        <f>IF(XT!$P381=0,AL381,"")</f>
        <v/>
      </c>
      <c r="AO381">
        <f>SUMPRODUCT((MONTH(CHOOSE({1,2,3,4},XT!U381,XT!Y381,XT!AC381,XT!AG381))=11)*(CHOOSE({1,2,3,4},XT!X381,XT!AB381,XT!AF381,XT!AJ381)))</f>
        <v>0</v>
      </c>
      <c r="AP381" t="str">
        <f>IFERROR(INDEX(CHOOSE({1,2,3,4}, DAY(XT!U381), DAY(XT!Y381), DAY(XT!AC381), DAY(XT!AG381)), MATCH(1, INDEX(--(MONTH(CHOOSE({1,2,3,4}, XT!U381,XT!Y381,XT!AC381,XT!AG381))=11), 0), 0)), "")</f>
        <v/>
      </c>
      <c r="AQ381" s="12" t="str">
        <f>IF(XT!$P381&gt;0,AP381,"")</f>
        <v/>
      </c>
      <c r="AR381" s="12" t="str">
        <f>IF(XT!$P381=0,AP381,"")</f>
        <v/>
      </c>
      <c r="AS381">
        <f>SUMPRODUCT((MONTH(CHOOSE({1,2,3,4},XT!U381,XT!Y381,XT!AC381,XT!AG381))=12)*(CHOOSE({1,2,3,4},XT!X381,XT!AB381,XT!AF381,XT!AJ381)))</f>
        <v>0</v>
      </c>
      <c r="AT381" t="str">
        <f>IFERROR(INDEX(CHOOSE({1,2,3,4}, DAY(XT!U381), DAY(XT!Y381), DAY(XT!AC381), DAY(XT!AG381)), MATCH(1, INDEX(--(MONTH(CHOOSE({1,2,3,4}, XT!U381,XT!Y381,XT!AC381,XT!AG381))=12), 0), 0)), "")</f>
        <v/>
      </c>
      <c r="AU381" s="12" t="str">
        <f>IF(XT!$P381&gt;0,AT381,"")</f>
        <v/>
      </c>
      <c r="AV381" s="12" t="str">
        <f>IF(XT!$P381=0,AT381,"")</f>
        <v/>
      </c>
    </row>
    <row r="382" spans="1:48">
      <c r="A382">
        <f>SUMPRODUCT((MONTH(CHOOSE({1,2,3,4},XT!U382,XT!Y382,XT!AC382,XT!AG382))=1)*(CHOOSE({1,2,3,4},XT!X382,XT!AB382,XT!AF382,XT!AJ382)))</f>
        <v>0</v>
      </c>
      <c r="B382">
        <f>IFERROR(INDEX(CHOOSE({1,2,3,4}, DAY(XT!U382), DAY(XT!Y382), DAY(XT!AC382), DAY(XT!AG382)), MATCH(1, INDEX(--(MONTH(CHOOSE({1,2,3,4}, XT!U382,XT!Y382,XT!AC382,XT!AG382))=1), 0), 0)), "")</f>
        <v>0</v>
      </c>
      <c r="C382" s="12" t="str">
        <f>IF(XT!$P382&gt;0,B382,"")</f>
        <v/>
      </c>
      <c r="D382" s="12">
        <f>IF(XT!$P382=0,B382,"")</f>
        <v>0</v>
      </c>
      <c r="E382">
        <f>SUMPRODUCT((MONTH(CHOOSE({1,2,3,4},XT!U382,XT!Y382,XT!AC382,XT!AG382))=2)*(CHOOSE({1,2,3,4},XT!X382,XT!AB382,XT!AF382,XT!AJ382)))</f>
        <v>0</v>
      </c>
      <c r="F382" t="str">
        <f>IFERROR(INDEX(CHOOSE({1,2,3,4}, DAY(XT!U382), DAY(XT!Y382), DAY(XT!AC382), DAY(XT!AG382)), MATCH(1, INDEX(--(MONTH(CHOOSE({1,2,3,4}, XT!U382,XT!Y382,XT!AC382,XT!AG382))=2), 0), 0)), "")</f>
        <v/>
      </c>
      <c r="G382" s="12" t="str">
        <f>IF(XT!$P382&gt;0,F382,"")</f>
        <v/>
      </c>
      <c r="H382" s="12" t="str">
        <f>IF(XT!$P382=0,F382,"")</f>
        <v/>
      </c>
      <c r="I382">
        <f>SUMPRODUCT((MONTH(CHOOSE({1,2,3,4},XT!U382,XT!Y382,XT!AC382,XT!AG382))=3)*(CHOOSE({1,2,3,4},XT!X382,XT!AB382,XT!AF382,XT!AJ382)))</f>
        <v>0</v>
      </c>
      <c r="J382" t="str">
        <f>IFERROR(INDEX(CHOOSE({1,2,3,4}, DAY(XT!U382), DAY(XT!Y382), DAY(XT!AC382), DAY(XT!AG382)), MATCH(1, INDEX(--(MONTH(CHOOSE({1,2,3,4}, XT!U382,XT!Y382,XT!AC382,XT!AG382))=3), 0), 0)), "")</f>
        <v/>
      </c>
      <c r="K382" s="12" t="str">
        <f>IF(XT!$P382&gt;0,J382,"")</f>
        <v/>
      </c>
      <c r="L382" s="12" t="str">
        <f>IF(XT!$P382=0,J382,"")</f>
        <v/>
      </c>
      <c r="M382">
        <f>SUMPRODUCT((MONTH(CHOOSE({1,2,3,4},XT!U382,XT!Y382,XT!AC382,XT!AG382))=4)*(CHOOSE({1,2,3,4},XT!X382,XT!AB382,XT!AF382,XT!AJ382)))</f>
        <v>0</v>
      </c>
      <c r="N382" t="str">
        <f>IFERROR(INDEX(CHOOSE({1,2,3,4}, DAY(XT!U382), DAY(XT!Y382), DAY(XT!AC382), DAY(XT!AG382)), MATCH(1, INDEX(--(MONTH(CHOOSE({1,2,3,4}, XT!U382,XT!Y382,XT!AC382,XT!AG382))=4), 0), 0)), "")</f>
        <v/>
      </c>
      <c r="O382" s="12" t="str">
        <f>IF(XT!$P382&gt;0,N382,"")</f>
        <v/>
      </c>
      <c r="P382" s="12" t="str">
        <f>IF(XT!$P382=0,N382,"")</f>
        <v/>
      </c>
      <c r="Q382">
        <f>SUMPRODUCT((MONTH(CHOOSE({1,2,3,4},XT!U382,XT!Y382,XT!AC382,XT!AG382))=5)*(CHOOSE({1,2,3,4},XT!X382,XT!AB382,XT!AF382,XT!AJ382)))</f>
        <v>0</v>
      </c>
      <c r="R382" t="str">
        <f>IFERROR(INDEX(CHOOSE({1,2,3,4}, DAY(XT!U382), DAY(XT!Y382), DAY(XT!AC382), DAY(XT!AG382)), MATCH(1, INDEX(--(MONTH(CHOOSE({1,2,3,4}, XT!U382,XT!Y382,XT!AC382,XT!AG382))=5), 0), 0)), "")</f>
        <v/>
      </c>
      <c r="S382" s="12" t="str">
        <f>IF(XT!$P382&gt;0,R382,"")</f>
        <v/>
      </c>
      <c r="T382" s="12" t="str">
        <f>IF(XT!$P382=0,R382,"")</f>
        <v/>
      </c>
      <c r="U382">
        <f>SUMPRODUCT((MONTH(CHOOSE({1,2,3,4},XT!U382,XT!Y382,XT!AC382,XT!AG382))=6)*(CHOOSE({1,2,3,4},XT!X382,XT!AB382,XT!AF382,XT!AJ382)))</f>
        <v>0</v>
      </c>
      <c r="V382" t="str">
        <f>IFERROR(INDEX(CHOOSE({1,2,3,4}, DAY(XT!U382), DAY(XT!Y382), DAY(XT!AC382), DAY(XT!AG382)), MATCH(1, INDEX(--(MONTH(CHOOSE({1,2,3,4}, XT!U382,XT!Y382,XT!AC382,XT!AG382))=6), 0), 0)), "")</f>
        <v/>
      </c>
      <c r="W382" s="12" t="str">
        <f>IF(XT!$P382&gt;0,V382,"")</f>
        <v/>
      </c>
      <c r="X382" s="12" t="str">
        <f>IF(XT!$P382=0,V382,"")</f>
        <v/>
      </c>
      <c r="Y382">
        <f>SUMPRODUCT((MONTH(CHOOSE({1,2,3,4},XT!U382,XT!Y382,XT!AC382,XT!AG382))=7)*(CHOOSE({1,2,3,4},XT!X382,XT!AB382,XT!AF382,XT!AJ382)))</f>
        <v>0</v>
      </c>
      <c r="Z382" t="str">
        <f>IFERROR(INDEX(CHOOSE({1,2,3,4}, DAY(XT!U382), DAY(XT!Y382), DAY(XT!AC382), DAY(XT!AG382)), MATCH(1, INDEX(--(MONTH(CHOOSE({1,2,3,4}, XT!U382,XT!Y382,XT!AC382,XT!AG382))=7), 0), 0)), "")</f>
        <v/>
      </c>
      <c r="AA382" s="12" t="str">
        <f>IF(XT!$P382&gt;0,Z382,"")</f>
        <v/>
      </c>
      <c r="AB382" s="12" t="str">
        <f>IF(XT!$P382=0,Z382,"")</f>
        <v/>
      </c>
      <c r="AC382">
        <f>SUMPRODUCT((MONTH(CHOOSE({1,2,3,4},XT!U382,XT!Y382,XT!AC382,XT!AG382))=8)*(CHOOSE({1,2,3,4},XT!X382,XT!AB382,XT!AF382,XT!AJ382)))</f>
        <v>0</v>
      </c>
      <c r="AD382" t="str">
        <f>IFERROR(INDEX(CHOOSE({1,2,3,4}, DAY(XT!U382), DAY(XT!Y382), DAY(XT!AC382), DAY(XT!AG382)), MATCH(1, INDEX(--(MONTH(CHOOSE({1,2,3,4}, XT!U382,XT!Y382,XT!AC382,XT!AG382))=8), 0), 0)), "")</f>
        <v/>
      </c>
      <c r="AE382" s="12" t="str">
        <f>IF(XT!$P382&gt;0,AD382,"")</f>
        <v/>
      </c>
      <c r="AF382" s="12" t="str">
        <f>IF(XT!$P382=0,AD382,"")</f>
        <v/>
      </c>
      <c r="AG382">
        <f>SUMPRODUCT((MONTH(CHOOSE({1,2,3,4},XT!U382,XT!Y382,XT!AC382,XT!AG382))=9)*(CHOOSE({1,2,3,4},XT!X382,XT!AB382,XT!AF382,XT!AJ382)))</f>
        <v>0</v>
      </c>
      <c r="AH382" t="str">
        <f>IFERROR(INDEX(CHOOSE({1,2,3,4}, DAY(XT!U382), DAY(XT!Y382), DAY(XT!AC382), DAY(XT!AG382)), MATCH(1, INDEX(--(MONTH(CHOOSE({1,2,3,4}, XT!U382,XT!Y382,XT!AC382,XT!AG382))=9), 0), 0)), "")</f>
        <v/>
      </c>
      <c r="AI382" s="12" t="str">
        <f>IF(XT!$P382&gt;0,AH382,"")</f>
        <v/>
      </c>
      <c r="AJ382" s="12" t="str">
        <f>IF(XT!$P382=0,AH382,"")</f>
        <v/>
      </c>
      <c r="AK382">
        <f>SUMPRODUCT((MONTH(CHOOSE({1,2,3,4},XT!U382,XT!Y382,XT!AC382,XT!AG382))=10)*(CHOOSE({1,2,3,4},XT!X382,XT!AB382,XT!AF382,XT!AJ382)))</f>
        <v>0</v>
      </c>
      <c r="AL382" t="str">
        <f>IFERROR(INDEX(CHOOSE({1,2,3,4}, DAY(XT!U382), DAY(XT!Y382), DAY(XT!AC382), DAY(XT!AG382)), MATCH(1, INDEX(--(MONTH(CHOOSE({1,2,3,4}, XT!U382,XT!Y382,XT!AC382,XT!AG382))=10), 0), 0)), "")</f>
        <v/>
      </c>
      <c r="AM382" s="12" t="str">
        <f>IF(XT!$P382&gt;0,AL382,"")</f>
        <v/>
      </c>
      <c r="AN382" s="12" t="str">
        <f>IF(XT!$P382=0,AL382,"")</f>
        <v/>
      </c>
      <c r="AO382">
        <f>SUMPRODUCT((MONTH(CHOOSE({1,2,3,4},XT!U382,XT!Y382,XT!AC382,XT!AG382))=11)*(CHOOSE({1,2,3,4},XT!X382,XT!AB382,XT!AF382,XT!AJ382)))</f>
        <v>0</v>
      </c>
      <c r="AP382" t="str">
        <f>IFERROR(INDEX(CHOOSE({1,2,3,4}, DAY(XT!U382), DAY(XT!Y382), DAY(XT!AC382), DAY(XT!AG382)), MATCH(1, INDEX(--(MONTH(CHOOSE({1,2,3,4}, XT!U382,XT!Y382,XT!AC382,XT!AG382))=11), 0), 0)), "")</f>
        <v/>
      </c>
      <c r="AQ382" s="12" t="str">
        <f>IF(XT!$P382&gt;0,AP382,"")</f>
        <v/>
      </c>
      <c r="AR382" s="12" t="str">
        <f>IF(XT!$P382=0,AP382,"")</f>
        <v/>
      </c>
      <c r="AS382">
        <f>SUMPRODUCT((MONTH(CHOOSE({1,2,3,4},XT!U382,XT!Y382,XT!AC382,XT!AG382))=12)*(CHOOSE({1,2,3,4},XT!X382,XT!AB382,XT!AF382,XT!AJ382)))</f>
        <v>0</v>
      </c>
      <c r="AT382" t="str">
        <f>IFERROR(INDEX(CHOOSE({1,2,3,4}, DAY(XT!U382), DAY(XT!Y382), DAY(XT!AC382), DAY(XT!AG382)), MATCH(1, INDEX(--(MONTH(CHOOSE({1,2,3,4}, XT!U382,XT!Y382,XT!AC382,XT!AG382))=12), 0), 0)), "")</f>
        <v/>
      </c>
      <c r="AU382" s="12" t="str">
        <f>IF(XT!$P382&gt;0,AT382,"")</f>
        <v/>
      </c>
      <c r="AV382" s="12" t="str">
        <f>IF(XT!$P382=0,AT382,"")</f>
        <v/>
      </c>
    </row>
    <row r="383" spans="1:48">
      <c r="A383">
        <f>SUMPRODUCT((MONTH(CHOOSE({1,2,3,4},XT!U383,XT!Y383,XT!AC383,XT!AG383))=1)*(CHOOSE({1,2,3,4},XT!X383,XT!AB383,XT!AF383,XT!AJ383)))</f>
        <v>0</v>
      </c>
      <c r="B383">
        <f>IFERROR(INDEX(CHOOSE({1,2,3,4}, DAY(XT!U383), DAY(XT!Y383), DAY(XT!AC383), DAY(XT!AG383)), MATCH(1, INDEX(--(MONTH(CHOOSE({1,2,3,4}, XT!U383,XT!Y383,XT!AC383,XT!AG383))=1), 0), 0)), "")</f>
        <v>0</v>
      </c>
      <c r="C383" s="12" t="str">
        <f>IF(XT!$P383&gt;0,B383,"")</f>
        <v/>
      </c>
      <c r="D383" s="12">
        <f>IF(XT!$P383=0,B383,"")</f>
        <v>0</v>
      </c>
      <c r="E383">
        <f>SUMPRODUCT((MONTH(CHOOSE({1,2,3,4},XT!U383,XT!Y383,XT!AC383,XT!AG383))=2)*(CHOOSE({1,2,3,4},XT!X383,XT!AB383,XT!AF383,XT!AJ383)))</f>
        <v>0</v>
      </c>
      <c r="F383" t="str">
        <f>IFERROR(INDEX(CHOOSE({1,2,3,4}, DAY(XT!U383), DAY(XT!Y383), DAY(XT!AC383), DAY(XT!AG383)), MATCH(1, INDEX(--(MONTH(CHOOSE({1,2,3,4}, XT!U383,XT!Y383,XT!AC383,XT!AG383))=2), 0), 0)), "")</f>
        <v/>
      </c>
      <c r="G383" s="12" t="str">
        <f>IF(XT!$P383&gt;0,F383,"")</f>
        <v/>
      </c>
      <c r="H383" s="12" t="str">
        <f>IF(XT!$P383=0,F383,"")</f>
        <v/>
      </c>
      <c r="I383">
        <f>SUMPRODUCT((MONTH(CHOOSE({1,2,3,4},XT!U383,XT!Y383,XT!AC383,XT!AG383))=3)*(CHOOSE({1,2,3,4},XT!X383,XT!AB383,XT!AF383,XT!AJ383)))</f>
        <v>0</v>
      </c>
      <c r="J383" t="str">
        <f>IFERROR(INDEX(CHOOSE({1,2,3,4}, DAY(XT!U383), DAY(XT!Y383), DAY(XT!AC383), DAY(XT!AG383)), MATCH(1, INDEX(--(MONTH(CHOOSE({1,2,3,4}, XT!U383,XT!Y383,XT!AC383,XT!AG383))=3), 0), 0)), "")</f>
        <v/>
      </c>
      <c r="K383" s="12" t="str">
        <f>IF(XT!$P383&gt;0,J383,"")</f>
        <v/>
      </c>
      <c r="L383" s="12" t="str">
        <f>IF(XT!$P383=0,J383,"")</f>
        <v/>
      </c>
      <c r="M383">
        <f>SUMPRODUCT((MONTH(CHOOSE({1,2,3,4},XT!U383,XT!Y383,XT!AC383,XT!AG383))=4)*(CHOOSE({1,2,3,4},XT!X383,XT!AB383,XT!AF383,XT!AJ383)))</f>
        <v>0</v>
      </c>
      <c r="N383" t="str">
        <f>IFERROR(INDEX(CHOOSE({1,2,3,4}, DAY(XT!U383), DAY(XT!Y383), DAY(XT!AC383), DAY(XT!AG383)), MATCH(1, INDEX(--(MONTH(CHOOSE({1,2,3,4}, XT!U383,XT!Y383,XT!AC383,XT!AG383))=4), 0), 0)), "")</f>
        <v/>
      </c>
      <c r="O383" s="12" t="str">
        <f>IF(XT!$P383&gt;0,N383,"")</f>
        <v/>
      </c>
      <c r="P383" s="12" t="str">
        <f>IF(XT!$P383=0,N383,"")</f>
        <v/>
      </c>
      <c r="Q383">
        <f>SUMPRODUCT((MONTH(CHOOSE({1,2,3,4},XT!U383,XT!Y383,XT!AC383,XT!AG383))=5)*(CHOOSE({1,2,3,4},XT!X383,XT!AB383,XT!AF383,XT!AJ383)))</f>
        <v>0</v>
      </c>
      <c r="R383" t="str">
        <f>IFERROR(INDEX(CHOOSE({1,2,3,4}, DAY(XT!U383), DAY(XT!Y383), DAY(XT!AC383), DAY(XT!AG383)), MATCH(1, INDEX(--(MONTH(CHOOSE({1,2,3,4}, XT!U383,XT!Y383,XT!AC383,XT!AG383))=5), 0), 0)), "")</f>
        <v/>
      </c>
      <c r="S383" s="12" t="str">
        <f>IF(XT!$P383&gt;0,R383,"")</f>
        <v/>
      </c>
      <c r="T383" s="12" t="str">
        <f>IF(XT!$P383=0,R383,"")</f>
        <v/>
      </c>
      <c r="U383">
        <f>SUMPRODUCT((MONTH(CHOOSE({1,2,3,4},XT!U383,XT!Y383,XT!AC383,XT!AG383))=6)*(CHOOSE({1,2,3,4},XT!X383,XT!AB383,XT!AF383,XT!AJ383)))</f>
        <v>0</v>
      </c>
      <c r="V383" t="str">
        <f>IFERROR(INDEX(CHOOSE({1,2,3,4}, DAY(XT!U383), DAY(XT!Y383), DAY(XT!AC383), DAY(XT!AG383)), MATCH(1, INDEX(--(MONTH(CHOOSE({1,2,3,4}, XT!U383,XT!Y383,XT!AC383,XT!AG383))=6), 0), 0)), "")</f>
        <v/>
      </c>
      <c r="W383" s="12" t="str">
        <f>IF(XT!$P383&gt;0,V383,"")</f>
        <v/>
      </c>
      <c r="X383" s="12" t="str">
        <f>IF(XT!$P383=0,V383,"")</f>
        <v/>
      </c>
      <c r="Y383">
        <f>SUMPRODUCT((MONTH(CHOOSE({1,2,3,4},XT!U383,XT!Y383,XT!AC383,XT!AG383))=7)*(CHOOSE({1,2,3,4},XT!X383,XT!AB383,XT!AF383,XT!AJ383)))</f>
        <v>0</v>
      </c>
      <c r="Z383" t="str">
        <f>IFERROR(INDEX(CHOOSE({1,2,3,4}, DAY(XT!U383), DAY(XT!Y383), DAY(XT!AC383), DAY(XT!AG383)), MATCH(1, INDEX(--(MONTH(CHOOSE({1,2,3,4}, XT!U383,XT!Y383,XT!AC383,XT!AG383))=7), 0), 0)), "")</f>
        <v/>
      </c>
      <c r="AA383" s="12" t="str">
        <f>IF(XT!$P383&gt;0,Z383,"")</f>
        <v/>
      </c>
      <c r="AB383" s="12" t="str">
        <f>IF(XT!$P383=0,Z383,"")</f>
        <v/>
      </c>
      <c r="AC383">
        <f>SUMPRODUCT((MONTH(CHOOSE({1,2,3,4},XT!U383,XT!Y383,XT!AC383,XT!AG383))=8)*(CHOOSE({1,2,3,4},XT!X383,XT!AB383,XT!AF383,XT!AJ383)))</f>
        <v>0</v>
      </c>
      <c r="AD383" t="str">
        <f>IFERROR(INDEX(CHOOSE({1,2,3,4}, DAY(XT!U383), DAY(XT!Y383), DAY(XT!AC383), DAY(XT!AG383)), MATCH(1, INDEX(--(MONTH(CHOOSE({1,2,3,4}, XT!U383,XT!Y383,XT!AC383,XT!AG383))=8), 0), 0)), "")</f>
        <v/>
      </c>
      <c r="AE383" s="12" t="str">
        <f>IF(XT!$P383&gt;0,AD383,"")</f>
        <v/>
      </c>
      <c r="AF383" s="12" t="str">
        <f>IF(XT!$P383=0,AD383,"")</f>
        <v/>
      </c>
      <c r="AG383">
        <f>SUMPRODUCT((MONTH(CHOOSE({1,2,3,4},XT!U383,XT!Y383,XT!AC383,XT!AG383))=9)*(CHOOSE({1,2,3,4},XT!X383,XT!AB383,XT!AF383,XT!AJ383)))</f>
        <v>0</v>
      </c>
      <c r="AH383" t="str">
        <f>IFERROR(INDEX(CHOOSE({1,2,3,4}, DAY(XT!U383), DAY(XT!Y383), DAY(XT!AC383), DAY(XT!AG383)), MATCH(1, INDEX(--(MONTH(CHOOSE({1,2,3,4}, XT!U383,XT!Y383,XT!AC383,XT!AG383))=9), 0), 0)), "")</f>
        <v/>
      </c>
      <c r="AI383" s="12" t="str">
        <f>IF(XT!$P383&gt;0,AH383,"")</f>
        <v/>
      </c>
      <c r="AJ383" s="12" t="str">
        <f>IF(XT!$P383=0,AH383,"")</f>
        <v/>
      </c>
      <c r="AK383">
        <f>SUMPRODUCT((MONTH(CHOOSE({1,2,3,4},XT!U383,XT!Y383,XT!AC383,XT!AG383))=10)*(CHOOSE({1,2,3,4},XT!X383,XT!AB383,XT!AF383,XT!AJ383)))</f>
        <v>0</v>
      </c>
      <c r="AL383" t="str">
        <f>IFERROR(INDEX(CHOOSE({1,2,3,4}, DAY(XT!U383), DAY(XT!Y383), DAY(XT!AC383), DAY(XT!AG383)), MATCH(1, INDEX(--(MONTH(CHOOSE({1,2,3,4}, XT!U383,XT!Y383,XT!AC383,XT!AG383))=10), 0), 0)), "")</f>
        <v/>
      </c>
      <c r="AM383" s="12" t="str">
        <f>IF(XT!$P383&gt;0,AL383,"")</f>
        <v/>
      </c>
      <c r="AN383" s="12" t="str">
        <f>IF(XT!$P383=0,AL383,"")</f>
        <v/>
      </c>
      <c r="AO383">
        <f>SUMPRODUCT((MONTH(CHOOSE({1,2,3,4},XT!U383,XT!Y383,XT!AC383,XT!AG383))=11)*(CHOOSE({1,2,3,4},XT!X383,XT!AB383,XT!AF383,XT!AJ383)))</f>
        <v>0</v>
      </c>
      <c r="AP383" t="str">
        <f>IFERROR(INDEX(CHOOSE({1,2,3,4}, DAY(XT!U383), DAY(XT!Y383), DAY(XT!AC383), DAY(XT!AG383)), MATCH(1, INDEX(--(MONTH(CHOOSE({1,2,3,4}, XT!U383,XT!Y383,XT!AC383,XT!AG383))=11), 0), 0)), "")</f>
        <v/>
      </c>
      <c r="AQ383" s="12" t="str">
        <f>IF(XT!$P383&gt;0,AP383,"")</f>
        <v/>
      </c>
      <c r="AR383" s="12" t="str">
        <f>IF(XT!$P383=0,AP383,"")</f>
        <v/>
      </c>
      <c r="AS383">
        <f>SUMPRODUCT((MONTH(CHOOSE({1,2,3,4},XT!U383,XT!Y383,XT!AC383,XT!AG383))=12)*(CHOOSE({1,2,3,4},XT!X383,XT!AB383,XT!AF383,XT!AJ383)))</f>
        <v>0</v>
      </c>
      <c r="AT383" t="str">
        <f>IFERROR(INDEX(CHOOSE({1,2,3,4}, DAY(XT!U383), DAY(XT!Y383), DAY(XT!AC383), DAY(XT!AG383)), MATCH(1, INDEX(--(MONTH(CHOOSE({1,2,3,4}, XT!U383,XT!Y383,XT!AC383,XT!AG383))=12), 0), 0)), "")</f>
        <v/>
      </c>
      <c r="AU383" s="12" t="str">
        <f>IF(XT!$P383&gt;0,AT383,"")</f>
        <v/>
      </c>
      <c r="AV383" s="12" t="str">
        <f>IF(XT!$P383=0,AT383,"")</f>
        <v/>
      </c>
    </row>
    <row r="384" spans="1:48">
      <c r="A384">
        <f>SUMPRODUCT((MONTH(CHOOSE({1,2,3,4},XT!U384,XT!Y384,XT!AC384,XT!AG384))=1)*(CHOOSE({1,2,3,4},XT!X384,XT!AB384,XT!AF384,XT!AJ384)))</f>
        <v>0</v>
      </c>
      <c r="B384">
        <f>IFERROR(INDEX(CHOOSE({1,2,3,4}, DAY(XT!U384), DAY(XT!Y384), DAY(XT!AC384), DAY(XT!AG384)), MATCH(1, INDEX(--(MONTH(CHOOSE({1,2,3,4}, XT!U384,XT!Y384,XT!AC384,XT!AG384))=1), 0), 0)), "")</f>
        <v>0</v>
      </c>
      <c r="C384" s="12" t="str">
        <f>IF(XT!$P384&gt;0,B384,"")</f>
        <v/>
      </c>
      <c r="D384" s="12">
        <f>IF(XT!$P384=0,B384,"")</f>
        <v>0</v>
      </c>
      <c r="E384">
        <f>SUMPRODUCT((MONTH(CHOOSE({1,2,3,4},XT!U384,XT!Y384,XT!AC384,XT!AG384))=2)*(CHOOSE({1,2,3,4},XT!X384,XT!AB384,XT!AF384,XT!AJ384)))</f>
        <v>0</v>
      </c>
      <c r="F384" t="str">
        <f>IFERROR(INDEX(CHOOSE({1,2,3,4}, DAY(XT!U384), DAY(XT!Y384), DAY(XT!AC384), DAY(XT!AG384)), MATCH(1, INDEX(--(MONTH(CHOOSE({1,2,3,4}, XT!U384,XT!Y384,XT!AC384,XT!AG384))=2), 0), 0)), "")</f>
        <v/>
      </c>
      <c r="G384" s="12" t="str">
        <f>IF(XT!$P384&gt;0,F384,"")</f>
        <v/>
      </c>
      <c r="H384" s="12" t="str">
        <f>IF(XT!$P384=0,F384,"")</f>
        <v/>
      </c>
      <c r="I384">
        <f>SUMPRODUCT((MONTH(CHOOSE({1,2,3,4},XT!U384,XT!Y384,XT!AC384,XT!AG384))=3)*(CHOOSE({1,2,3,4},XT!X384,XT!AB384,XT!AF384,XT!AJ384)))</f>
        <v>0</v>
      </c>
      <c r="J384" t="str">
        <f>IFERROR(INDEX(CHOOSE({1,2,3,4}, DAY(XT!U384), DAY(XT!Y384), DAY(XT!AC384), DAY(XT!AG384)), MATCH(1, INDEX(--(MONTH(CHOOSE({1,2,3,4}, XT!U384,XT!Y384,XT!AC384,XT!AG384))=3), 0), 0)), "")</f>
        <v/>
      </c>
      <c r="K384" s="12" t="str">
        <f>IF(XT!$P384&gt;0,J384,"")</f>
        <v/>
      </c>
      <c r="L384" s="12" t="str">
        <f>IF(XT!$P384=0,J384,"")</f>
        <v/>
      </c>
      <c r="M384">
        <f>SUMPRODUCT((MONTH(CHOOSE({1,2,3,4},XT!U384,XT!Y384,XT!AC384,XT!AG384))=4)*(CHOOSE({1,2,3,4},XT!X384,XT!AB384,XT!AF384,XT!AJ384)))</f>
        <v>0</v>
      </c>
      <c r="N384" t="str">
        <f>IFERROR(INDEX(CHOOSE({1,2,3,4}, DAY(XT!U384), DAY(XT!Y384), DAY(XT!AC384), DAY(XT!AG384)), MATCH(1, INDEX(--(MONTH(CHOOSE({1,2,3,4}, XT!U384,XT!Y384,XT!AC384,XT!AG384))=4), 0), 0)), "")</f>
        <v/>
      </c>
      <c r="O384" s="12" t="str">
        <f>IF(XT!$P384&gt;0,N384,"")</f>
        <v/>
      </c>
      <c r="P384" s="12" t="str">
        <f>IF(XT!$P384=0,N384,"")</f>
        <v/>
      </c>
      <c r="Q384">
        <f>SUMPRODUCT((MONTH(CHOOSE({1,2,3,4},XT!U384,XT!Y384,XT!AC384,XT!AG384))=5)*(CHOOSE({1,2,3,4},XT!X384,XT!AB384,XT!AF384,XT!AJ384)))</f>
        <v>0</v>
      </c>
      <c r="R384" t="str">
        <f>IFERROR(INDEX(CHOOSE({1,2,3,4}, DAY(XT!U384), DAY(XT!Y384), DAY(XT!AC384), DAY(XT!AG384)), MATCH(1, INDEX(--(MONTH(CHOOSE({1,2,3,4}, XT!U384,XT!Y384,XT!AC384,XT!AG384))=5), 0), 0)), "")</f>
        <v/>
      </c>
      <c r="S384" s="12" t="str">
        <f>IF(XT!$P384&gt;0,R384,"")</f>
        <v/>
      </c>
      <c r="T384" s="12" t="str">
        <f>IF(XT!$P384=0,R384,"")</f>
        <v/>
      </c>
      <c r="U384">
        <f>SUMPRODUCT((MONTH(CHOOSE({1,2,3,4},XT!U384,XT!Y384,XT!AC384,XT!AG384))=6)*(CHOOSE({1,2,3,4},XT!X384,XT!AB384,XT!AF384,XT!AJ384)))</f>
        <v>0</v>
      </c>
      <c r="V384" t="str">
        <f>IFERROR(INDEX(CHOOSE({1,2,3,4}, DAY(XT!U384), DAY(XT!Y384), DAY(XT!AC384), DAY(XT!AG384)), MATCH(1, INDEX(--(MONTH(CHOOSE({1,2,3,4}, XT!U384,XT!Y384,XT!AC384,XT!AG384))=6), 0), 0)), "")</f>
        <v/>
      </c>
      <c r="W384" s="12" t="str">
        <f>IF(XT!$P384&gt;0,V384,"")</f>
        <v/>
      </c>
      <c r="X384" s="12" t="str">
        <f>IF(XT!$P384=0,V384,"")</f>
        <v/>
      </c>
      <c r="Y384">
        <f>SUMPRODUCT((MONTH(CHOOSE({1,2,3,4},XT!U384,XT!Y384,XT!AC384,XT!AG384))=7)*(CHOOSE({1,2,3,4},XT!X384,XT!AB384,XT!AF384,XT!AJ384)))</f>
        <v>0</v>
      </c>
      <c r="Z384" t="str">
        <f>IFERROR(INDEX(CHOOSE({1,2,3,4}, DAY(XT!U384), DAY(XT!Y384), DAY(XT!AC384), DAY(XT!AG384)), MATCH(1, INDEX(--(MONTH(CHOOSE({1,2,3,4}, XT!U384,XT!Y384,XT!AC384,XT!AG384))=7), 0), 0)), "")</f>
        <v/>
      </c>
      <c r="AA384" s="12" t="str">
        <f>IF(XT!$P384&gt;0,Z384,"")</f>
        <v/>
      </c>
      <c r="AB384" s="12" t="str">
        <f>IF(XT!$P384=0,Z384,"")</f>
        <v/>
      </c>
      <c r="AC384">
        <f>SUMPRODUCT((MONTH(CHOOSE({1,2,3,4},XT!U384,XT!Y384,XT!AC384,XT!AG384))=8)*(CHOOSE({1,2,3,4},XT!X384,XT!AB384,XT!AF384,XT!AJ384)))</f>
        <v>0</v>
      </c>
      <c r="AD384" t="str">
        <f>IFERROR(INDEX(CHOOSE({1,2,3,4}, DAY(XT!U384), DAY(XT!Y384), DAY(XT!AC384), DAY(XT!AG384)), MATCH(1, INDEX(--(MONTH(CHOOSE({1,2,3,4}, XT!U384,XT!Y384,XT!AC384,XT!AG384))=8), 0), 0)), "")</f>
        <v/>
      </c>
      <c r="AE384" s="12" t="str">
        <f>IF(XT!$P384&gt;0,AD384,"")</f>
        <v/>
      </c>
      <c r="AF384" s="12" t="str">
        <f>IF(XT!$P384=0,AD384,"")</f>
        <v/>
      </c>
      <c r="AG384">
        <f>SUMPRODUCT((MONTH(CHOOSE({1,2,3,4},XT!U384,XT!Y384,XT!AC384,XT!AG384))=9)*(CHOOSE({1,2,3,4},XT!X384,XT!AB384,XT!AF384,XT!AJ384)))</f>
        <v>0</v>
      </c>
      <c r="AH384" t="str">
        <f>IFERROR(INDEX(CHOOSE({1,2,3,4}, DAY(XT!U384), DAY(XT!Y384), DAY(XT!AC384), DAY(XT!AG384)), MATCH(1, INDEX(--(MONTH(CHOOSE({1,2,3,4}, XT!U384,XT!Y384,XT!AC384,XT!AG384))=9), 0), 0)), "")</f>
        <v/>
      </c>
      <c r="AI384" s="12" t="str">
        <f>IF(XT!$P384&gt;0,AH384,"")</f>
        <v/>
      </c>
      <c r="AJ384" s="12" t="str">
        <f>IF(XT!$P384=0,AH384,"")</f>
        <v/>
      </c>
      <c r="AK384">
        <f>SUMPRODUCT((MONTH(CHOOSE({1,2,3,4},XT!U384,XT!Y384,XT!AC384,XT!AG384))=10)*(CHOOSE({1,2,3,4},XT!X384,XT!AB384,XT!AF384,XT!AJ384)))</f>
        <v>0</v>
      </c>
      <c r="AL384" t="str">
        <f>IFERROR(INDEX(CHOOSE({1,2,3,4}, DAY(XT!U384), DAY(XT!Y384), DAY(XT!AC384), DAY(XT!AG384)), MATCH(1, INDEX(--(MONTH(CHOOSE({1,2,3,4}, XT!U384,XT!Y384,XT!AC384,XT!AG384))=10), 0), 0)), "")</f>
        <v/>
      </c>
      <c r="AM384" s="12" t="str">
        <f>IF(XT!$P384&gt;0,AL384,"")</f>
        <v/>
      </c>
      <c r="AN384" s="12" t="str">
        <f>IF(XT!$P384=0,AL384,"")</f>
        <v/>
      </c>
      <c r="AO384">
        <f>SUMPRODUCT((MONTH(CHOOSE({1,2,3,4},XT!U384,XT!Y384,XT!AC384,XT!AG384))=11)*(CHOOSE({1,2,3,4},XT!X384,XT!AB384,XT!AF384,XT!AJ384)))</f>
        <v>0</v>
      </c>
      <c r="AP384" t="str">
        <f>IFERROR(INDEX(CHOOSE({1,2,3,4}, DAY(XT!U384), DAY(XT!Y384), DAY(XT!AC384), DAY(XT!AG384)), MATCH(1, INDEX(--(MONTH(CHOOSE({1,2,3,4}, XT!U384,XT!Y384,XT!AC384,XT!AG384))=11), 0), 0)), "")</f>
        <v/>
      </c>
      <c r="AQ384" s="12" t="str">
        <f>IF(XT!$P384&gt;0,AP384,"")</f>
        <v/>
      </c>
      <c r="AR384" s="12" t="str">
        <f>IF(XT!$P384=0,AP384,"")</f>
        <v/>
      </c>
      <c r="AS384">
        <f>SUMPRODUCT((MONTH(CHOOSE({1,2,3,4},XT!U384,XT!Y384,XT!AC384,XT!AG384))=12)*(CHOOSE({1,2,3,4},XT!X384,XT!AB384,XT!AF384,XT!AJ384)))</f>
        <v>0</v>
      </c>
      <c r="AT384" t="str">
        <f>IFERROR(INDEX(CHOOSE({1,2,3,4}, DAY(XT!U384), DAY(XT!Y384), DAY(XT!AC384), DAY(XT!AG384)), MATCH(1, INDEX(--(MONTH(CHOOSE({1,2,3,4}, XT!U384,XT!Y384,XT!AC384,XT!AG384))=12), 0), 0)), "")</f>
        <v/>
      </c>
      <c r="AU384" s="12" t="str">
        <f>IF(XT!$P384&gt;0,AT384,"")</f>
        <v/>
      </c>
      <c r="AV384" s="12" t="str">
        <f>IF(XT!$P384=0,AT384,"")</f>
        <v/>
      </c>
    </row>
    <row r="385" spans="1:48">
      <c r="A385">
        <f>SUMPRODUCT((MONTH(CHOOSE({1,2,3,4},XT!U385,XT!Y385,XT!AC385,XT!AG385))=1)*(CHOOSE({1,2,3,4},XT!X385,XT!AB385,XT!AF385,XT!AJ385)))</f>
        <v>0</v>
      </c>
      <c r="B385">
        <f>IFERROR(INDEX(CHOOSE({1,2,3,4}, DAY(XT!U385), DAY(XT!Y385), DAY(XT!AC385), DAY(XT!AG385)), MATCH(1, INDEX(--(MONTH(CHOOSE({1,2,3,4}, XT!U385,XT!Y385,XT!AC385,XT!AG385))=1), 0), 0)), "")</f>
        <v>0</v>
      </c>
      <c r="C385" s="12" t="str">
        <f>IF(XT!$P385&gt;0,B385,"")</f>
        <v/>
      </c>
      <c r="D385" s="12">
        <f>IF(XT!$P385=0,B385,"")</f>
        <v>0</v>
      </c>
      <c r="E385">
        <f>SUMPRODUCT((MONTH(CHOOSE({1,2,3,4},XT!U385,XT!Y385,XT!AC385,XT!AG385))=2)*(CHOOSE({1,2,3,4},XT!X385,XT!AB385,XT!AF385,XT!AJ385)))</f>
        <v>0</v>
      </c>
      <c r="F385" t="str">
        <f>IFERROR(INDEX(CHOOSE({1,2,3,4}, DAY(XT!U385), DAY(XT!Y385), DAY(XT!AC385), DAY(XT!AG385)), MATCH(1, INDEX(--(MONTH(CHOOSE({1,2,3,4}, XT!U385,XT!Y385,XT!AC385,XT!AG385))=2), 0), 0)), "")</f>
        <v/>
      </c>
      <c r="G385" s="12" t="str">
        <f>IF(XT!$P385&gt;0,F385,"")</f>
        <v/>
      </c>
      <c r="H385" s="12" t="str">
        <f>IF(XT!$P385=0,F385,"")</f>
        <v/>
      </c>
      <c r="I385">
        <f>SUMPRODUCT((MONTH(CHOOSE({1,2,3,4},XT!U385,XT!Y385,XT!AC385,XT!AG385))=3)*(CHOOSE({1,2,3,4},XT!X385,XT!AB385,XT!AF385,XT!AJ385)))</f>
        <v>0</v>
      </c>
      <c r="J385" t="str">
        <f>IFERROR(INDEX(CHOOSE({1,2,3,4}, DAY(XT!U385), DAY(XT!Y385), DAY(XT!AC385), DAY(XT!AG385)), MATCH(1, INDEX(--(MONTH(CHOOSE({1,2,3,4}, XT!U385,XT!Y385,XT!AC385,XT!AG385))=3), 0), 0)), "")</f>
        <v/>
      </c>
      <c r="K385" s="12" t="str">
        <f>IF(XT!$P385&gt;0,J385,"")</f>
        <v/>
      </c>
      <c r="L385" s="12" t="str">
        <f>IF(XT!$P385=0,J385,"")</f>
        <v/>
      </c>
      <c r="M385">
        <f>SUMPRODUCT((MONTH(CHOOSE({1,2,3,4},XT!U385,XT!Y385,XT!AC385,XT!AG385))=4)*(CHOOSE({1,2,3,4},XT!X385,XT!AB385,XT!AF385,XT!AJ385)))</f>
        <v>0</v>
      </c>
      <c r="N385" t="str">
        <f>IFERROR(INDEX(CHOOSE({1,2,3,4}, DAY(XT!U385), DAY(XT!Y385), DAY(XT!AC385), DAY(XT!AG385)), MATCH(1, INDEX(--(MONTH(CHOOSE({1,2,3,4}, XT!U385,XT!Y385,XT!AC385,XT!AG385))=4), 0), 0)), "")</f>
        <v/>
      </c>
      <c r="O385" s="12" t="str">
        <f>IF(XT!$P385&gt;0,N385,"")</f>
        <v/>
      </c>
      <c r="P385" s="12" t="str">
        <f>IF(XT!$P385=0,N385,"")</f>
        <v/>
      </c>
      <c r="Q385">
        <f>SUMPRODUCT((MONTH(CHOOSE({1,2,3,4},XT!U385,XT!Y385,XT!AC385,XT!AG385))=5)*(CHOOSE({1,2,3,4},XT!X385,XT!AB385,XT!AF385,XT!AJ385)))</f>
        <v>0</v>
      </c>
      <c r="R385" t="str">
        <f>IFERROR(INDEX(CHOOSE({1,2,3,4}, DAY(XT!U385), DAY(XT!Y385), DAY(XT!AC385), DAY(XT!AG385)), MATCH(1, INDEX(--(MONTH(CHOOSE({1,2,3,4}, XT!U385,XT!Y385,XT!AC385,XT!AG385))=5), 0), 0)), "")</f>
        <v/>
      </c>
      <c r="S385" s="12" t="str">
        <f>IF(XT!$P385&gt;0,R385,"")</f>
        <v/>
      </c>
      <c r="T385" s="12" t="str">
        <f>IF(XT!$P385=0,R385,"")</f>
        <v/>
      </c>
      <c r="U385">
        <f>SUMPRODUCT((MONTH(CHOOSE({1,2,3,4},XT!U385,XT!Y385,XT!AC385,XT!AG385))=6)*(CHOOSE({1,2,3,4},XT!X385,XT!AB385,XT!AF385,XT!AJ385)))</f>
        <v>0</v>
      </c>
      <c r="V385" t="str">
        <f>IFERROR(INDEX(CHOOSE({1,2,3,4}, DAY(XT!U385), DAY(XT!Y385), DAY(XT!AC385), DAY(XT!AG385)), MATCH(1, INDEX(--(MONTH(CHOOSE({1,2,3,4}, XT!U385,XT!Y385,XT!AC385,XT!AG385))=6), 0), 0)), "")</f>
        <v/>
      </c>
      <c r="W385" s="12" t="str">
        <f>IF(XT!$P385&gt;0,V385,"")</f>
        <v/>
      </c>
      <c r="X385" s="12" t="str">
        <f>IF(XT!$P385=0,V385,"")</f>
        <v/>
      </c>
      <c r="Y385">
        <f>SUMPRODUCT((MONTH(CHOOSE({1,2,3,4},XT!U385,XT!Y385,XT!AC385,XT!AG385))=7)*(CHOOSE({1,2,3,4},XT!X385,XT!AB385,XT!AF385,XT!AJ385)))</f>
        <v>0</v>
      </c>
      <c r="Z385" t="str">
        <f>IFERROR(INDEX(CHOOSE({1,2,3,4}, DAY(XT!U385), DAY(XT!Y385), DAY(XT!AC385), DAY(XT!AG385)), MATCH(1, INDEX(--(MONTH(CHOOSE({1,2,3,4}, XT!U385,XT!Y385,XT!AC385,XT!AG385))=7), 0), 0)), "")</f>
        <v/>
      </c>
      <c r="AA385" s="12" t="str">
        <f>IF(XT!$P385&gt;0,Z385,"")</f>
        <v/>
      </c>
      <c r="AB385" s="12" t="str">
        <f>IF(XT!$P385=0,Z385,"")</f>
        <v/>
      </c>
      <c r="AC385">
        <f>SUMPRODUCT((MONTH(CHOOSE({1,2,3,4},XT!U385,XT!Y385,XT!AC385,XT!AG385))=8)*(CHOOSE({1,2,3,4},XT!X385,XT!AB385,XT!AF385,XT!AJ385)))</f>
        <v>0</v>
      </c>
      <c r="AD385" t="str">
        <f>IFERROR(INDEX(CHOOSE({1,2,3,4}, DAY(XT!U385), DAY(XT!Y385), DAY(XT!AC385), DAY(XT!AG385)), MATCH(1, INDEX(--(MONTH(CHOOSE({1,2,3,4}, XT!U385,XT!Y385,XT!AC385,XT!AG385))=8), 0), 0)), "")</f>
        <v/>
      </c>
      <c r="AE385" s="12" t="str">
        <f>IF(XT!$P385&gt;0,AD385,"")</f>
        <v/>
      </c>
      <c r="AF385" s="12" t="str">
        <f>IF(XT!$P385=0,AD385,"")</f>
        <v/>
      </c>
      <c r="AG385">
        <f>SUMPRODUCT((MONTH(CHOOSE({1,2,3,4},XT!U385,XT!Y385,XT!AC385,XT!AG385))=9)*(CHOOSE({1,2,3,4},XT!X385,XT!AB385,XT!AF385,XT!AJ385)))</f>
        <v>0</v>
      </c>
      <c r="AH385" t="str">
        <f>IFERROR(INDEX(CHOOSE({1,2,3,4}, DAY(XT!U385), DAY(XT!Y385), DAY(XT!AC385), DAY(XT!AG385)), MATCH(1, INDEX(--(MONTH(CHOOSE({1,2,3,4}, XT!U385,XT!Y385,XT!AC385,XT!AG385))=9), 0), 0)), "")</f>
        <v/>
      </c>
      <c r="AI385" s="12" t="str">
        <f>IF(XT!$P385&gt;0,AH385,"")</f>
        <v/>
      </c>
      <c r="AJ385" s="12" t="str">
        <f>IF(XT!$P385=0,AH385,"")</f>
        <v/>
      </c>
      <c r="AK385">
        <f>SUMPRODUCT((MONTH(CHOOSE({1,2,3,4},XT!U385,XT!Y385,XT!AC385,XT!AG385))=10)*(CHOOSE({1,2,3,4},XT!X385,XT!AB385,XT!AF385,XT!AJ385)))</f>
        <v>0</v>
      </c>
      <c r="AL385" t="str">
        <f>IFERROR(INDEX(CHOOSE({1,2,3,4}, DAY(XT!U385), DAY(XT!Y385), DAY(XT!AC385), DAY(XT!AG385)), MATCH(1, INDEX(--(MONTH(CHOOSE({1,2,3,4}, XT!U385,XT!Y385,XT!AC385,XT!AG385))=10), 0), 0)), "")</f>
        <v/>
      </c>
      <c r="AM385" s="12" t="str">
        <f>IF(XT!$P385&gt;0,AL385,"")</f>
        <v/>
      </c>
      <c r="AN385" s="12" t="str">
        <f>IF(XT!$P385=0,AL385,"")</f>
        <v/>
      </c>
      <c r="AO385">
        <f>SUMPRODUCT((MONTH(CHOOSE({1,2,3,4},XT!U385,XT!Y385,XT!AC385,XT!AG385))=11)*(CHOOSE({1,2,3,4},XT!X385,XT!AB385,XT!AF385,XT!AJ385)))</f>
        <v>0</v>
      </c>
      <c r="AP385" t="str">
        <f>IFERROR(INDEX(CHOOSE({1,2,3,4}, DAY(XT!U385), DAY(XT!Y385), DAY(XT!AC385), DAY(XT!AG385)), MATCH(1, INDEX(--(MONTH(CHOOSE({1,2,3,4}, XT!U385,XT!Y385,XT!AC385,XT!AG385))=11), 0), 0)), "")</f>
        <v/>
      </c>
      <c r="AQ385" s="12" t="str">
        <f>IF(XT!$P385&gt;0,AP385,"")</f>
        <v/>
      </c>
      <c r="AR385" s="12" t="str">
        <f>IF(XT!$P385=0,AP385,"")</f>
        <v/>
      </c>
      <c r="AS385">
        <f>SUMPRODUCT((MONTH(CHOOSE({1,2,3,4},XT!U385,XT!Y385,XT!AC385,XT!AG385))=12)*(CHOOSE({1,2,3,4},XT!X385,XT!AB385,XT!AF385,XT!AJ385)))</f>
        <v>0</v>
      </c>
      <c r="AT385" t="str">
        <f>IFERROR(INDEX(CHOOSE({1,2,3,4}, DAY(XT!U385), DAY(XT!Y385), DAY(XT!AC385), DAY(XT!AG385)), MATCH(1, INDEX(--(MONTH(CHOOSE({1,2,3,4}, XT!U385,XT!Y385,XT!AC385,XT!AG385))=12), 0), 0)), "")</f>
        <v/>
      </c>
      <c r="AU385" s="12" t="str">
        <f>IF(XT!$P385&gt;0,AT385,"")</f>
        <v/>
      </c>
      <c r="AV385" s="12" t="str">
        <f>IF(XT!$P385=0,AT385,"")</f>
        <v/>
      </c>
    </row>
    <row r="386" spans="1:48">
      <c r="A386">
        <f>SUMPRODUCT((MONTH(CHOOSE({1,2,3,4},XT!U386,XT!Y386,XT!AC386,XT!AG386))=1)*(CHOOSE({1,2,3,4},XT!X386,XT!AB386,XT!AF386,XT!AJ386)))</f>
        <v>0</v>
      </c>
      <c r="B386">
        <f>IFERROR(INDEX(CHOOSE({1,2,3,4}, DAY(XT!U386), DAY(XT!Y386), DAY(XT!AC386), DAY(XT!AG386)), MATCH(1, INDEX(--(MONTH(CHOOSE({1,2,3,4}, XT!U386,XT!Y386,XT!AC386,XT!AG386))=1), 0), 0)), "")</f>
        <v>0</v>
      </c>
      <c r="C386" s="12" t="str">
        <f>IF(XT!$P386&gt;0,B386,"")</f>
        <v/>
      </c>
      <c r="D386" s="12">
        <f>IF(XT!$P386=0,B386,"")</f>
        <v>0</v>
      </c>
      <c r="E386">
        <f>SUMPRODUCT((MONTH(CHOOSE({1,2,3,4},XT!U386,XT!Y386,XT!AC386,XT!AG386))=2)*(CHOOSE({1,2,3,4},XT!X386,XT!AB386,XT!AF386,XT!AJ386)))</f>
        <v>0</v>
      </c>
      <c r="F386" t="str">
        <f>IFERROR(INDEX(CHOOSE({1,2,3,4}, DAY(XT!U386), DAY(XT!Y386), DAY(XT!AC386), DAY(XT!AG386)), MATCH(1, INDEX(--(MONTH(CHOOSE({1,2,3,4}, XT!U386,XT!Y386,XT!AC386,XT!AG386))=2), 0), 0)), "")</f>
        <v/>
      </c>
      <c r="G386" s="12" t="str">
        <f>IF(XT!$P386&gt;0,F386,"")</f>
        <v/>
      </c>
      <c r="H386" s="12" t="str">
        <f>IF(XT!$P386=0,F386,"")</f>
        <v/>
      </c>
      <c r="I386">
        <f>SUMPRODUCT((MONTH(CHOOSE({1,2,3,4},XT!U386,XT!Y386,XT!AC386,XT!AG386))=3)*(CHOOSE({1,2,3,4},XT!X386,XT!AB386,XT!AF386,XT!AJ386)))</f>
        <v>0</v>
      </c>
      <c r="J386" t="str">
        <f>IFERROR(INDEX(CHOOSE({1,2,3,4}, DAY(XT!U386), DAY(XT!Y386), DAY(XT!AC386), DAY(XT!AG386)), MATCH(1, INDEX(--(MONTH(CHOOSE({1,2,3,4}, XT!U386,XT!Y386,XT!AC386,XT!AG386))=3), 0), 0)), "")</f>
        <v/>
      </c>
      <c r="K386" s="12" t="str">
        <f>IF(XT!$P386&gt;0,J386,"")</f>
        <v/>
      </c>
      <c r="L386" s="12" t="str">
        <f>IF(XT!$P386=0,J386,"")</f>
        <v/>
      </c>
      <c r="M386">
        <f>SUMPRODUCT((MONTH(CHOOSE({1,2,3,4},XT!U386,XT!Y386,XT!AC386,XT!AG386))=4)*(CHOOSE({1,2,3,4},XT!X386,XT!AB386,XT!AF386,XT!AJ386)))</f>
        <v>0</v>
      </c>
      <c r="N386" t="str">
        <f>IFERROR(INDEX(CHOOSE({1,2,3,4}, DAY(XT!U386), DAY(XT!Y386), DAY(XT!AC386), DAY(XT!AG386)), MATCH(1, INDEX(--(MONTH(CHOOSE({1,2,3,4}, XT!U386,XT!Y386,XT!AC386,XT!AG386))=4), 0), 0)), "")</f>
        <v/>
      </c>
      <c r="O386" s="12" t="str">
        <f>IF(XT!$P386&gt;0,N386,"")</f>
        <v/>
      </c>
      <c r="P386" s="12" t="str">
        <f>IF(XT!$P386=0,N386,"")</f>
        <v/>
      </c>
      <c r="Q386">
        <f>SUMPRODUCT((MONTH(CHOOSE({1,2,3,4},XT!U386,XT!Y386,XT!AC386,XT!AG386))=5)*(CHOOSE({1,2,3,4},XT!X386,XT!AB386,XT!AF386,XT!AJ386)))</f>
        <v>0</v>
      </c>
      <c r="R386" t="str">
        <f>IFERROR(INDEX(CHOOSE({1,2,3,4}, DAY(XT!U386), DAY(XT!Y386), DAY(XT!AC386), DAY(XT!AG386)), MATCH(1, INDEX(--(MONTH(CHOOSE({1,2,3,4}, XT!U386,XT!Y386,XT!AC386,XT!AG386))=5), 0), 0)), "")</f>
        <v/>
      </c>
      <c r="S386" s="12" t="str">
        <f>IF(XT!$P386&gt;0,R386,"")</f>
        <v/>
      </c>
      <c r="T386" s="12" t="str">
        <f>IF(XT!$P386=0,R386,"")</f>
        <v/>
      </c>
      <c r="U386">
        <f>SUMPRODUCT((MONTH(CHOOSE({1,2,3,4},XT!U386,XT!Y386,XT!AC386,XT!AG386))=6)*(CHOOSE({1,2,3,4},XT!X386,XT!AB386,XT!AF386,XT!AJ386)))</f>
        <v>0</v>
      </c>
      <c r="V386" t="str">
        <f>IFERROR(INDEX(CHOOSE({1,2,3,4}, DAY(XT!U386), DAY(XT!Y386), DAY(XT!AC386), DAY(XT!AG386)), MATCH(1, INDEX(--(MONTH(CHOOSE({1,2,3,4}, XT!U386,XT!Y386,XT!AC386,XT!AG386))=6), 0), 0)), "")</f>
        <v/>
      </c>
      <c r="W386" s="12" t="str">
        <f>IF(XT!$P386&gt;0,V386,"")</f>
        <v/>
      </c>
      <c r="X386" s="12" t="str">
        <f>IF(XT!$P386=0,V386,"")</f>
        <v/>
      </c>
      <c r="Y386">
        <f>SUMPRODUCT((MONTH(CHOOSE({1,2,3,4},XT!U386,XT!Y386,XT!AC386,XT!AG386))=7)*(CHOOSE({1,2,3,4},XT!X386,XT!AB386,XT!AF386,XT!AJ386)))</f>
        <v>0</v>
      </c>
      <c r="Z386" t="str">
        <f>IFERROR(INDEX(CHOOSE({1,2,3,4}, DAY(XT!U386), DAY(XT!Y386), DAY(XT!AC386), DAY(XT!AG386)), MATCH(1, INDEX(--(MONTH(CHOOSE({1,2,3,4}, XT!U386,XT!Y386,XT!AC386,XT!AG386))=7), 0), 0)), "")</f>
        <v/>
      </c>
      <c r="AA386" s="12" t="str">
        <f>IF(XT!$P386&gt;0,Z386,"")</f>
        <v/>
      </c>
      <c r="AB386" s="12" t="str">
        <f>IF(XT!$P386=0,Z386,"")</f>
        <v/>
      </c>
      <c r="AC386">
        <f>SUMPRODUCT((MONTH(CHOOSE({1,2,3,4},XT!U386,XT!Y386,XT!AC386,XT!AG386))=8)*(CHOOSE({1,2,3,4},XT!X386,XT!AB386,XT!AF386,XT!AJ386)))</f>
        <v>0</v>
      </c>
      <c r="AD386" t="str">
        <f>IFERROR(INDEX(CHOOSE({1,2,3,4}, DAY(XT!U386), DAY(XT!Y386), DAY(XT!AC386), DAY(XT!AG386)), MATCH(1, INDEX(--(MONTH(CHOOSE({1,2,3,4}, XT!U386,XT!Y386,XT!AC386,XT!AG386))=8), 0), 0)), "")</f>
        <v/>
      </c>
      <c r="AE386" s="12" t="str">
        <f>IF(XT!$P386&gt;0,AD386,"")</f>
        <v/>
      </c>
      <c r="AF386" s="12" t="str">
        <f>IF(XT!$P386=0,AD386,"")</f>
        <v/>
      </c>
      <c r="AG386">
        <f>SUMPRODUCT((MONTH(CHOOSE({1,2,3,4},XT!U386,XT!Y386,XT!AC386,XT!AG386))=9)*(CHOOSE({1,2,3,4},XT!X386,XT!AB386,XT!AF386,XT!AJ386)))</f>
        <v>0</v>
      </c>
      <c r="AH386" t="str">
        <f>IFERROR(INDEX(CHOOSE({1,2,3,4}, DAY(XT!U386), DAY(XT!Y386), DAY(XT!AC386), DAY(XT!AG386)), MATCH(1, INDEX(--(MONTH(CHOOSE({1,2,3,4}, XT!U386,XT!Y386,XT!AC386,XT!AG386))=9), 0), 0)), "")</f>
        <v/>
      </c>
      <c r="AI386" s="12" t="str">
        <f>IF(XT!$P386&gt;0,AH386,"")</f>
        <v/>
      </c>
      <c r="AJ386" s="12" t="str">
        <f>IF(XT!$P386=0,AH386,"")</f>
        <v/>
      </c>
      <c r="AK386">
        <f>SUMPRODUCT((MONTH(CHOOSE({1,2,3,4},XT!U386,XT!Y386,XT!AC386,XT!AG386))=10)*(CHOOSE({1,2,3,4},XT!X386,XT!AB386,XT!AF386,XT!AJ386)))</f>
        <v>0</v>
      </c>
      <c r="AL386" t="str">
        <f>IFERROR(INDEX(CHOOSE({1,2,3,4}, DAY(XT!U386), DAY(XT!Y386), DAY(XT!AC386), DAY(XT!AG386)), MATCH(1, INDEX(--(MONTH(CHOOSE({1,2,3,4}, XT!U386,XT!Y386,XT!AC386,XT!AG386))=10), 0), 0)), "")</f>
        <v/>
      </c>
      <c r="AM386" s="12" t="str">
        <f>IF(XT!$P386&gt;0,AL386,"")</f>
        <v/>
      </c>
      <c r="AN386" s="12" t="str">
        <f>IF(XT!$P386=0,AL386,"")</f>
        <v/>
      </c>
      <c r="AO386">
        <f>SUMPRODUCT((MONTH(CHOOSE({1,2,3,4},XT!U386,XT!Y386,XT!AC386,XT!AG386))=11)*(CHOOSE({1,2,3,4},XT!X386,XT!AB386,XT!AF386,XT!AJ386)))</f>
        <v>0</v>
      </c>
      <c r="AP386" t="str">
        <f>IFERROR(INDEX(CHOOSE({1,2,3,4}, DAY(XT!U386), DAY(XT!Y386), DAY(XT!AC386), DAY(XT!AG386)), MATCH(1, INDEX(--(MONTH(CHOOSE({1,2,3,4}, XT!U386,XT!Y386,XT!AC386,XT!AG386))=11), 0), 0)), "")</f>
        <v/>
      </c>
      <c r="AQ386" s="12" t="str">
        <f>IF(XT!$P386&gt;0,AP386,"")</f>
        <v/>
      </c>
      <c r="AR386" s="12" t="str">
        <f>IF(XT!$P386=0,AP386,"")</f>
        <v/>
      </c>
      <c r="AS386">
        <f>SUMPRODUCT((MONTH(CHOOSE({1,2,3,4},XT!U386,XT!Y386,XT!AC386,XT!AG386))=12)*(CHOOSE({1,2,3,4},XT!X386,XT!AB386,XT!AF386,XT!AJ386)))</f>
        <v>0</v>
      </c>
      <c r="AT386" t="str">
        <f>IFERROR(INDEX(CHOOSE({1,2,3,4}, DAY(XT!U386), DAY(XT!Y386), DAY(XT!AC386), DAY(XT!AG386)), MATCH(1, INDEX(--(MONTH(CHOOSE({1,2,3,4}, XT!U386,XT!Y386,XT!AC386,XT!AG386))=12), 0), 0)), "")</f>
        <v/>
      </c>
      <c r="AU386" s="12" t="str">
        <f>IF(XT!$P386&gt;0,AT386,"")</f>
        <v/>
      </c>
      <c r="AV386" s="12" t="str">
        <f>IF(XT!$P386=0,AT386,"")</f>
        <v/>
      </c>
    </row>
    <row r="387" spans="1:48">
      <c r="A387">
        <f>SUMPRODUCT((MONTH(CHOOSE({1,2,3,4},XT!U387,XT!Y387,XT!AC387,XT!AG387))=1)*(CHOOSE({1,2,3,4},XT!X387,XT!AB387,XT!AF387,XT!AJ387)))</f>
        <v>0</v>
      </c>
      <c r="B387">
        <f>IFERROR(INDEX(CHOOSE({1,2,3,4}, DAY(XT!U387), DAY(XT!Y387), DAY(XT!AC387), DAY(XT!AG387)), MATCH(1, INDEX(--(MONTH(CHOOSE({1,2,3,4}, XT!U387,XT!Y387,XT!AC387,XT!AG387))=1), 0), 0)), "")</f>
        <v>0</v>
      </c>
      <c r="C387" s="12" t="str">
        <f>IF(XT!$P387&gt;0,B387,"")</f>
        <v/>
      </c>
      <c r="D387" s="12">
        <f>IF(XT!$P387=0,B387,"")</f>
        <v>0</v>
      </c>
      <c r="E387">
        <f>SUMPRODUCT((MONTH(CHOOSE({1,2,3,4},XT!U387,XT!Y387,XT!AC387,XT!AG387))=2)*(CHOOSE({1,2,3,4},XT!X387,XT!AB387,XT!AF387,XT!AJ387)))</f>
        <v>0</v>
      </c>
      <c r="F387" t="str">
        <f>IFERROR(INDEX(CHOOSE({1,2,3,4}, DAY(XT!U387), DAY(XT!Y387), DAY(XT!AC387), DAY(XT!AG387)), MATCH(1, INDEX(--(MONTH(CHOOSE({1,2,3,4}, XT!U387,XT!Y387,XT!AC387,XT!AG387))=2), 0), 0)), "")</f>
        <v/>
      </c>
      <c r="G387" s="12" t="str">
        <f>IF(XT!$P387&gt;0,F387,"")</f>
        <v/>
      </c>
      <c r="H387" s="12" t="str">
        <f>IF(XT!$P387=0,F387,"")</f>
        <v/>
      </c>
      <c r="I387">
        <f>SUMPRODUCT((MONTH(CHOOSE({1,2,3,4},XT!U387,XT!Y387,XT!AC387,XT!AG387))=3)*(CHOOSE({1,2,3,4},XT!X387,XT!AB387,XT!AF387,XT!AJ387)))</f>
        <v>0</v>
      </c>
      <c r="J387" t="str">
        <f>IFERROR(INDEX(CHOOSE({1,2,3,4}, DAY(XT!U387), DAY(XT!Y387), DAY(XT!AC387), DAY(XT!AG387)), MATCH(1, INDEX(--(MONTH(CHOOSE({1,2,3,4}, XT!U387,XT!Y387,XT!AC387,XT!AG387))=3), 0), 0)), "")</f>
        <v/>
      </c>
      <c r="K387" s="12" t="str">
        <f>IF(XT!$P387&gt;0,J387,"")</f>
        <v/>
      </c>
      <c r="L387" s="12" t="str">
        <f>IF(XT!$P387=0,J387,"")</f>
        <v/>
      </c>
      <c r="M387">
        <f>SUMPRODUCT((MONTH(CHOOSE({1,2,3,4},XT!U387,XT!Y387,XT!AC387,XT!AG387))=4)*(CHOOSE({1,2,3,4},XT!X387,XT!AB387,XT!AF387,XT!AJ387)))</f>
        <v>0</v>
      </c>
      <c r="N387" t="str">
        <f>IFERROR(INDEX(CHOOSE({1,2,3,4}, DAY(XT!U387), DAY(XT!Y387), DAY(XT!AC387), DAY(XT!AG387)), MATCH(1, INDEX(--(MONTH(CHOOSE({1,2,3,4}, XT!U387,XT!Y387,XT!AC387,XT!AG387))=4), 0), 0)), "")</f>
        <v/>
      </c>
      <c r="O387" s="12" t="str">
        <f>IF(XT!$P387&gt;0,N387,"")</f>
        <v/>
      </c>
      <c r="P387" s="12" t="str">
        <f>IF(XT!$P387=0,N387,"")</f>
        <v/>
      </c>
      <c r="Q387">
        <f>SUMPRODUCT((MONTH(CHOOSE({1,2,3,4},XT!U387,XT!Y387,XT!AC387,XT!AG387))=5)*(CHOOSE({1,2,3,4},XT!X387,XT!AB387,XT!AF387,XT!AJ387)))</f>
        <v>0</v>
      </c>
      <c r="R387" t="str">
        <f>IFERROR(INDEX(CHOOSE({1,2,3,4}, DAY(XT!U387), DAY(XT!Y387), DAY(XT!AC387), DAY(XT!AG387)), MATCH(1, INDEX(--(MONTH(CHOOSE({1,2,3,4}, XT!U387,XT!Y387,XT!AC387,XT!AG387))=5), 0), 0)), "")</f>
        <v/>
      </c>
      <c r="S387" s="12" t="str">
        <f>IF(XT!$P387&gt;0,R387,"")</f>
        <v/>
      </c>
      <c r="T387" s="12" t="str">
        <f>IF(XT!$P387=0,R387,"")</f>
        <v/>
      </c>
      <c r="U387">
        <f>SUMPRODUCT((MONTH(CHOOSE({1,2,3,4},XT!U387,XT!Y387,XT!AC387,XT!AG387))=6)*(CHOOSE({1,2,3,4},XT!X387,XT!AB387,XT!AF387,XT!AJ387)))</f>
        <v>0</v>
      </c>
      <c r="V387" t="str">
        <f>IFERROR(INDEX(CHOOSE({1,2,3,4}, DAY(XT!U387), DAY(XT!Y387), DAY(XT!AC387), DAY(XT!AG387)), MATCH(1, INDEX(--(MONTH(CHOOSE({1,2,3,4}, XT!U387,XT!Y387,XT!AC387,XT!AG387))=6), 0), 0)), "")</f>
        <v/>
      </c>
      <c r="W387" s="12" t="str">
        <f>IF(XT!$P387&gt;0,V387,"")</f>
        <v/>
      </c>
      <c r="X387" s="12" t="str">
        <f>IF(XT!$P387=0,V387,"")</f>
        <v/>
      </c>
      <c r="Y387">
        <f>SUMPRODUCT((MONTH(CHOOSE({1,2,3,4},XT!U387,XT!Y387,XT!AC387,XT!AG387))=7)*(CHOOSE({1,2,3,4},XT!X387,XT!AB387,XT!AF387,XT!AJ387)))</f>
        <v>0</v>
      </c>
      <c r="Z387" t="str">
        <f>IFERROR(INDEX(CHOOSE({1,2,3,4}, DAY(XT!U387), DAY(XT!Y387), DAY(XT!AC387), DAY(XT!AG387)), MATCH(1, INDEX(--(MONTH(CHOOSE({1,2,3,4}, XT!U387,XT!Y387,XT!AC387,XT!AG387))=7), 0), 0)), "")</f>
        <v/>
      </c>
      <c r="AA387" s="12" t="str">
        <f>IF(XT!$P387&gt;0,Z387,"")</f>
        <v/>
      </c>
      <c r="AB387" s="12" t="str">
        <f>IF(XT!$P387=0,Z387,"")</f>
        <v/>
      </c>
      <c r="AC387">
        <f>SUMPRODUCT((MONTH(CHOOSE({1,2,3,4},XT!U387,XT!Y387,XT!AC387,XT!AG387))=8)*(CHOOSE({1,2,3,4},XT!X387,XT!AB387,XT!AF387,XT!AJ387)))</f>
        <v>0</v>
      </c>
      <c r="AD387" t="str">
        <f>IFERROR(INDEX(CHOOSE({1,2,3,4}, DAY(XT!U387), DAY(XT!Y387), DAY(XT!AC387), DAY(XT!AG387)), MATCH(1, INDEX(--(MONTH(CHOOSE({1,2,3,4}, XT!U387,XT!Y387,XT!AC387,XT!AG387))=8), 0), 0)), "")</f>
        <v/>
      </c>
      <c r="AE387" s="12" t="str">
        <f>IF(XT!$P387&gt;0,AD387,"")</f>
        <v/>
      </c>
      <c r="AF387" s="12" t="str">
        <f>IF(XT!$P387=0,AD387,"")</f>
        <v/>
      </c>
      <c r="AG387">
        <f>SUMPRODUCT((MONTH(CHOOSE({1,2,3,4},XT!U387,XT!Y387,XT!AC387,XT!AG387))=9)*(CHOOSE({1,2,3,4},XT!X387,XT!AB387,XT!AF387,XT!AJ387)))</f>
        <v>0</v>
      </c>
      <c r="AH387" t="str">
        <f>IFERROR(INDEX(CHOOSE({1,2,3,4}, DAY(XT!U387), DAY(XT!Y387), DAY(XT!AC387), DAY(XT!AG387)), MATCH(1, INDEX(--(MONTH(CHOOSE({1,2,3,4}, XT!U387,XT!Y387,XT!AC387,XT!AG387))=9), 0), 0)), "")</f>
        <v/>
      </c>
      <c r="AI387" s="12" t="str">
        <f>IF(XT!$P387&gt;0,AH387,"")</f>
        <v/>
      </c>
      <c r="AJ387" s="12" t="str">
        <f>IF(XT!$P387=0,AH387,"")</f>
        <v/>
      </c>
      <c r="AK387">
        <f>SUMPRODUCT((MONTH(CHOOSE({1,2,3,4},XT!U387,XT!Y387,XT!AC387,XT!AG387))=10)*(CHOOSE({1,2,3,4},XT!X387,XT!AB387,XT!AF387,XT!AJ387)))</f>
        <v>0</v>
      </c>
      <c r="AL387" t="str">
        <f>IFERROR(INDEX(CHOOSE({1,2,3,4}, DAY(XT!U387), DAY(XT!Y387), DAY(XT!AC387), DAY(XT!AG387)), MATCH(1, INDEX(--(MONTH(CHOOSE({1,2,3,4}, XT!U387,XT!Y387,XT!AC387,XT!AG387))=10), 0), 0)), "")</f>
        <v/>
      </c>
      <c r="AM387" s="12" t="str">
        <f>IF(XT!$P387&gt;0,AL387,"")</f>
        <v/>
      </c>
      <c r="AN387" s="12" t="str">
        <f>IF(XT!$P387=0,AL387,"")</f>
        <v/>
      </c>
      <c r="AO387">
        <f>SUMPRODUCT((MONTH(CHOOSE({1,2,3,4},XT!U387,XT!Y387,XT!AC387,XT!AG387))=11)*(CHOOSE({1,2,3,4},XT!X387,XT!AB387,XT!AF387,XT!AJ387)))</f>
        <v>0</v>
      </c>
      <c r="AP387" t="str">
        <f>IFERROR(INDEX(CHOOSE({1,2,3,4}, DAY(XT!U387), DAY(XT!Y387), DAY(XT!AC387), DAY(XT!AG387)), MATCH(1, INDEX(--(MONTH(CHOOSE({1,2,3,4}, XT!U387,XT!Y387,XT!AC387,XT!AG387))=11), 0), 0)), "")</f>
        <v/>
      </c>
      <c r="AQ387" s="12" t="str">
        <f>IF(XT!$P387&gt;0,AP387,"")</f>
        <v/>
      </c>
      <c r="AR387" s="12" t="str">
        <f>IF(XT!$P387=0,AP387,"")</f>
        <v/>
      </c>
      <c r="AS387">
        <f>SUMPRODUCT((MONTH(CHOOSE({1,2,3,4},XT!U387,XT!Y387,XT!AC387,XT!AG387))=12)*(CHOOSE({1,2,3,4},XT!X387,XT!AB387,XT!AF387,XT!AJ387)))</f>
        <v>0</v>
      </c>
      <c r="AT387" t="str">
        <f>IFERROR(INDEX(CHOOSE({1,2,3,4}, DAY(XT!U387), DAY(XT!Y387), DAY(XT!AC387), DAY(XT!AG387)), MATCH(1, INDEX(--(MONTH(CHOOSE({1,2,3,4}, XT!U387,XT!Y387,XT!AC387,XT!AG387))=12), 0), 0)), "")</f>
        <v/>
      </c>
      <c r="AU387" s="12" t="str">
        <f>IF(XT!$P387&gt;0,AT387,"")</f>
        <v/>
      </c>
      <c r="AV387" s="12" t="str">
        <f>IF(XT!$P387=0,AT387,"")</f>
        <v/>
      </c>
    </row>
    <row r="388" spans="1:48">
      <c r="A388">
        <f>SUMPRODUCT((MONTH(CHOOSE({1,2,3,4},XT!U388,XT!Y388,XT!AC388,XT!AG388))=1)*(CHOOSE({1,2,3,4},XT!X388,XT!AB388,XT!AF388,XT!AJ388)))</f>
        <v>0</v>
      </c>
      <c r="B388">
        <f>IFERROR(INDEX(CHOOSE({1,2,3,4}, DAY(XT!U388), DAY(XT!Y388), DAY(XT!AC388), DAY(XT!AG388)), MATCH(1, INDEX(--(MONTH(CHOOSE({1,2,3,4}, XT!U388,XT!Y388,XT!AC388,XT!AG388))=1), 0), 0)), "")</f>
        <v>0</v>
      </c>
      <c r="C388" s="12" t="str">
        <f>IF(XT!$P388&gt;0,B388,"")</f>
        <v/>
      </c>
      <c r="D388" s="12">
        <f>IF(XT!$P388=0,B388,"")</f>
        <v>0</v>
      </c>
      <c r="E388">
        <f>SUMPRODUCT((MONTH(CHOOSE({1,2,3,4},XT!U388,XT!Y388,XT!AC388,XT!AG388))=2)*(CHOOSE({1,2,3,4},XT!X388,XT!AB388,XT!AF388,XT!AJ388)))</f>
        <v>0</v>
      </c>
      <c r="F388" t="str">
        <f>IFERROR(INDEX(CHOOSE({1,2,3,4}, DAY(XT!U388), DAY(XT!Y388), DAY(XT!AC388), DAY(XT!AG388)), MATCH(1, INDEX(--(MONTH(CHOOSE({1,2,3,4}, XT!U388,XT!Y388,XT!AC388,XT!AG388))=2), 0), 0)), "")</f>
        <v/>
      </c>
      <c r="G388" s="12" t="str">
        <f>IF(XT!$P388&gt;0,F388,"")</f>
        <v/>
      </c>
      <c r="H388" s="12" t="str">
        <f>IF(XT!$P388=0,F388,"")</f>
        <v/>
      </c>
      <c r="I388">
        <f>SUMPRODUCT((MONTH(CHOOSE({1,2,3,4},XT!U388,XT!Y388,XT!AC388,XT!AG388))=3)*(CHOOSE({1,2,3,4},XT!X388,XT!AB388,XT!AF388,XT!AJ388)))</f>
        <v>0</v>
      </c>
      <c r="J388" t="str">
        <f>IFERROR(INDEX(CHOOSE({1,2,3,4}, DAY(XT!U388), DAY(XT!Y388), DAY(XT!AC388), DAY(XT!AG388)), MATCH(1, INDEX(--(MONTH(CHOOSE({1,2,3,4}, XT!U388,XT!Y388,XT!AC388,XT!AG388))=3), 0), 0)), "")</f>
        <v/>
      </c>
      <c r="K388" s="12" t="str">
        <f>IF(XT!$P388&gt;0,J388,"")</f>
        <v/>
      </c>
      <c r="L388" s="12" t="str">
        <f>IF(XT!$P388=0,J388,"")</f>
        <v/>
      </c>
      <c r="M388">
        <f>SUMPRODUCT((MONTH(CHOOSE({1,2,3,4},XT!U388,XT!Y388,XT!AC388,XT!AG388))=4)*(CHOOSE({1,2,3,4},XT!X388,XT!AB388,XT!AF388,XT!AJ388)))</f>
        <v>0</v>
      </c>
      <c r="N388" t="str">
        <f>IFERROR(INDEX(CHOOSE({1,2,3,4}, DAY(XT!U388), DAY(XT!Y388), DAY(XT!AC388), DAY(XT!AG388)), MATCH(1, INDEX(--(MONTH(CHOOSE({1,2,3,4}, XT!U388,XT!Y388,XT!AC388,XT!AG388))=4), 0), 0)), "")</f>
        <v/>
      </c>
      <c r="O388" s="12" t="str">
        <f>IF(XT!$P388&gt;0,N388,"")</f>
        <v/>
      </c>
      <c r="P388" s="12" t="str">
        <f>IF(XT!$P388=0,N388,"")</f>
        <v/>
      </c>
      <c r="Q388">
        <f>SUMPRODUCT((MONTH(CHOOSE({1,2,3,4},XT!U388,XT!Y388,XT!AC388,XT!AG388))=5)*(CHOOSE({1,2,3,4},XT!X388,XT!AB388,XT!AF388,XT!AJ388)))</f>
        <v>0</v>
      </c>
      <c r="R388" t="str">
        <f>IFERROR(INDEX(CHOOSE({1,2,3,4}, DAY(XT!U388), DAY(XT!Y388), DAY(XT!AC388), DAY(XT!AG388)), MATCH(1, INDEX(--(MONTH(CHOOSE({1,2,3,4}, XT!U388,XT!Y388,XT!AC388,XT!AG388))=5), 0), 0)), "")</f>
        <v/>
      </c>
      <c r="S388" s="12" t="str">
        <f>IF(XT!$P388&gt;0,R388,"")</f>
        <v/>
      </c>
      <c r="T388" s="12" t="str">
        <f>IF(XT!$P388=0,R388,"")</f>
        <v/>
      </c>
      <c r="U388">
        <f>SUMPRODUCT((MONTH(CHOOSE({1,2,3,4},XT!U388,XT!Y388,XT!AC388,XT!AG388))=6)*(CHOOSE({1,2,3,4},XT!X388,XT!AB388,XT!AF388,XT!AJ388)))</f>
        <v>0</v>
      </c>
      <c r="V388" t="str">
        <f>IFERROR(INDEX(CHOOSE({1,2,3,4}, DAY(XT!U388), DAY(XT!Y388), DAY(XT!AC388), DAY(XT!AG388)), MATCH(1, INDEX(--(MONTH(CHOOSE({1,2,3,4}, XT!U388,XT!Y388,XT!AC388,XT!AG388))=6), 0), 0)), "")</f>
        <v/>
      </c>
      <c r="W388" s="12" t="str">
        <f>IF(XT!$P388&gt;0,V388,"")</f>
        <v/>
      </c>
      <c r="X388" s="12" t="str">
        <f>IF(XT!$P388=0,V388,"")</f>
        <v/>
      </c>
      <c r="Y388">
        <f>SUMPRODUCT((MONTH(CHOOSE({1,2,3,4},XT!U388,XT!Y388,XT!AC388,XT!AG388))=7)*(CHOOSE({1,2,3,4},XT!X388,XT!AB388,XT!AF388,XT!AJ388)))</f>
        <v>0</v>
      </c>
      <c r="Z388" t="str">
        <f>IFERROR(INDEX(CHOOSE({1,2,3,4}, DAY(XT!U388), DAY(XT!Y388), DAY(XT!AC388), DAY(XT!AG388)), MATCH(1, INDEX(--(MONTH(CHOOSE({1,2,3,4}, XT!U388,XT!Y388,XT!AC388,XT!AG388))=7), 0), 0)), "")</f>
        <v/>
      </c>
      <c r="AA388" s="12" t="str">
        <f>IF(XT!$P388&gt;0,Z388,"")</f>
        <v/>
      </c>
      <c r="AB388" s="12" t="str">
        <f>IF(XT!$P388=0,Z388,"")</f>
        <v/>
      </c>
      <c r="AC388">
        <f>SUMPRODUCT((MONTH(CHOOSE({1,2,3,4},XT!U388,XT!Y388,XT!AC388,XT!AG388))=8)*(CHOOSE({1,2,3,4},XT!X388,XT!AB388,XT!AF388,XT!AJ388)))</f>
        <v>0</v>
      </c>
      <c r="AD388" t="str">
        <f>IFERROR(INDEX(CHOOSE({1,2,3,4}, DAY(XT!U388), DAY(XT!Y388), DAY(XT!AC388), DAY(XT!AG388)), MATCH(1, INDEX(--(MONTH(CHOOSE({1,2,3,4}, XT!U388,XT!Y388,XT!AC388,XT!AG388))=8), 0), 0)), "")</f>
        <v/>
      </c>
      <c r="AE388" s="12" t="str">
        <f>IF(XT!$P388&gt;0,AD388,"")</f>
        <v/>
      </c>
      <c r="AF388" s="12" t="str">
        <f>IF(XT!$P388=0,AD388,"")</f>
        <v/>
      </c>
      <c r="AG388">
        <f>SUMPRODUCT((MONTH(CHOOSE({1,2,3,4},XT!U388,XT!Y388,XT!AC388,XT!AG388))=9)*(CHOOSE({1,2,3,4},XT!X388,XT!AB388,XT!AF388,XT!AJ388)))</f>
        <v>0</v>
      </c>
      <c r="AH388" t="str">
        <f>IFERROR(INDEX(CHOOSE({1,2,3,4}, DAY(XT!U388), DAY(XT!Y388), DAY(XT!AC388), DAY(XT!AG388)), MATCH(1, INDEX(--(MONTH(CHOOSE({1,2,3,4}, XT!U388,XT!Y388,XT!AC388,XT!AG388))=9), 0), 0)), "")</f>
        <v/>
      </c>
      <c r="AI388" s="12" t="str">
        <f>IF(XT!$P388&gt;0,AH388,"")</f>
        <v/>
      </c>
      <c r="AJ388" s="12" t="str">
        <f>IF(XT!$P388=0,AH388,"")</f>
        <v/>
      </c>
      <c r="AK388">
        <f>SUMPRODUCT((MONTH(CHOOSE({1,2,3,4},XT!U388,XT!Y388,XT!AC388,XT!AG388))=10)*(CHOOSE({1,2,3,4},XT!X388,XT!AB388,XT!AF388,XT!AJ388)))</f>
        <v>0</v>
      </c>
      <c r="AL388" t="str">
        <f>IFERROR(INDEX(CHOOSE({1,2,3,4}, DAY(XT!U388), DAY(XT!Y388), DAY(XT!AC388), DAY(XT!AG388)), MATCH(1, INDEX(--(MONTH(CHOOSE({1,2,3,4}, XT!U388,XT!Y388,XT!AC388,XT!AG388))=10), 0), 0)), "")</f>
        <v/>
      </c>
      <c r="AM388" s="12" t="str">
        <f>IF(XT!$P388&gt;0,AL388,"")</f>
        <v/>
      </c>
      <c r="AN388" s="12" t="str">
        <f>IF(XT!$P388=0,AL388,"")</f>
        <v/>
      </c>
      <c r="AO388">
        <f>SUMPRODUCT((MONTH(CHOOSE({1,2,3,4},XT!U388,XT!Y388,XT!AC388,XT!AG388))=11)*(CHOOSE({1,2,3,4},XT!X388,XT!AB388,XT!AF388,XT!AJ388)))</f>
        <v>0</v>
      </c>
      <c r="AP388" t="str">
        <f>IFERROR(INDEX(CHOOSE({1,2,3,4}, DAY(XT!U388), DAY(XT!Y388), DAY(XT!AC388), DAY(XT!AG388)), MATCH(1, INDEX(--(MONTH(CHOOSE({1,2,3,4}, XT!U388,XT!Y388,XT!AC388,XT!AG388))=11), 0), 0)), "")</f>
        <v/>
      </c>
      <c r="AQ388" s="12" t="str">
        <f>IF(XT!$P388&gt;0,AP388,"")</f>
        <v/>
      </c>
      <c r="AR388" s="12" t="str">
        <f>IF(XT!$P388=0,AP388,"")</f>
        <v/>
      </c>
      <c r="AS388">
        <f>SUMPRODUCT((MONTH(CHOOSE({1,2,3,4},XT!U388,XT!Y388,XT!AC388,XT!AG388))=12)*(CHOOSE({1,2,3,4},XT!X388,XT!AB388,XT!AF388,XT!AJ388)))</f>
        <v>0</v>
      </c>
      <c r="AT388" t="str">
        <f>IFERROR(INDEX(CHOOSE({1,2,3,4}, DAY(XT!U388), DAY(XT!Y388), DAY(XT!AC388), DAY(XT!AG388)), MATCH(1, INDEX(--(MONTH(CHOOSE({1,2,3,4}, XT!U388,XT!Y388,XT!AC388,XT!AG388))=12), 0), 0)), "")</f>
        <v/>
      </c>
      <c r="AU388" s="12" t="str">
        <f>IF(XT!$P388&gt;0,AT388,"")</f>
        <v/>
      </c>
      <c r="AV388" s="12" t="str">
        <f>IF(XT!$P388=0,AT388,"")</f>
        <v/>
      </c>
    </row>
    <row r="389" spans="1:48">
      <c r="A389">
        <f>SUMPRODUCT((MONTH(CHOOSE({1,2,3,4},XT!U389,XT!Y389,XT!AC389,XT!AG389))=1)*(CHOOSE({1,2,3,4},XT!X389,XT!AB389,XT!AF389,XT!AJ389)))</f>
        <v>0</v>
      </c>
      <c r="B389">
        <f>IFERROR(INDEX(CHOOSE({1,2,3,4}, DAY(XT!U389), DAY(XT!Y389), DAY(XT!AC389), DAY(XT!AG389)), MATCH(1, INDEX(--(MONTH(CHOOSE({1,2,3,4}, XT!U389,XT!Y389,XT!AC389,XT!AG389))=1), 0), 0)), "")</f>
        <v>0</v>
      </c>
      <c r="C389" s="12" t="str">
        <f>IF(XT!$P389&gt;0,B389,"")</f>
        <v/>
      </c>
      <c r="D389" s="12">
        <f>IF(XT!$P389=0,B389,"")</f>
        <v>0</v>
      </c>
      <c r="E389">
        <f>SUMPRODUCT((MONTH(CHOOSE({1,2,3,4},XT!U389,XT!Y389,XT!AC389,XT!AG389))=2)*(CHOOSE({1,2,3,4},XT!X389,XT!AB389,XT!AF389,XT!AJ389)))</f>
        <v>0</v>
      </c>
      <c r="F389" t="str">
        <f>IFERROR(INDEX(CHOOSE({1,2,3,4}, DAY(XT!U389), DAY(XT!Y389), DAY(XT!AC389), DAY(XT!AG389)), MATCH(1, INDEX(--(MONTH(CHOOSE({1,2,3,4}, XT!U389,XT!Y389,XT!AC389,XT!AG389))=2), 0), 0)), "")</f>
        <v/>
      </c>
      <c r="G389" s="12" t="str">
        <f>IF(XT!$P389&gt;0,F389,"")</f>
        <v/>
      </c>
      <c r="H389" s="12" t="str">
        <f>IF(XT!$P389=0,F389,"")</f>
        <v/>
      </c>
      <c r="I389">
        <f>SUMPRODUCT((MONTH(CHOOSE({1,2,3,4},XT!U389,XT!Y389,XT!AC389,XT!AG389))=3)*(CHOOSE({1,2,3,4},XT!X389,XT!AB389,XT!AF389,XT!AJ389)))</f>
        <v>0</v>
      </c>
      <c r="J389" t="str">
        <f>IFERROR(INDEX(CHOOSE({1,2,3,4}, DAY(XT!U389), DAY(XT!Y389), DAY(XT!AC389), DAY(XT!AG389)), MATCH(1, INDEX(--(MONTH(CHOOSE({1,2,3,4}, XT!U389,XT!Y389,XT!AC389,XT!AG389))=3), 0), 0)), "")</f>
        <v/>
      </c>
      <c r="K389" s="12" t="str">
        <f>IF(XT!$P389&gt;0,J389,"")</f>
        <v/>
      </c>
      <c r="L389" s="12" t="str">
        <f>IF(XT!$P389=0,J389,"")</f>
        <v/>
      </c>
      <c r="M389">
        <f>SUMPRODUCT((MONTH(CHOOSE({1,2,3,4},XT!U389,XT!Y389,XT!AC389,XT!AG389))=4)*(CHOOSE({1,2,3,4},XT!X389,XT!AB389,XT!AF389,XT!AJ389)))</f>
        <v>0</v>
      </c>
      <c r="N389" t="str">
        <f>IFERROR(INDEX(CHOOSE({1,2,3,4}, DAY(XT!U389), DAY(XT!Y389), DAY(XT!AC389), DAY(XT!AG389)), MATCH(1, INDEX(--(MONTH(CHOOSE({1,2,3,4}, XT!U389,XT!Y389,XT!AC389,XT!AG389))=4), 0), 0)), "")</f>
        <v/>
      </c>
      <c r="O389" s="12" t="str">
        <f>IF(XT!$P389&gt;0,N389,"")</f>
        <v/>
      </c>
      <c r="P389" s="12" t="str">
        <f>IF(XT!$P389=0,N389,"")</f>
        <v/>
      </c>
      <c r="Q389">
        <f>SUMPRODUCT((MONTH(CHOOSE({1,2,3,4},XT!U389,XT!Y389,XT!AC389,XT!AG389))=5)*(CHOOSE({1,2,3,4},XT!X389,XT!AB389,XT!AF389,XT!AJ389)))</f>
        <v>0</v>
      </c>
      <c r="R389" t="str">
        <f>IFERROR(INDEX(CHOOSE({1,2,3,4}, DAY(XT!U389), DAY(XT!Y389), DAY(XT!AC389), DAY(XT!AG389)), MATCH(1, INDEX(--(MONTH(CHOOSE({1,2,3,4}, XT!U389,XT!Y389,XT!AC389,XT!AG389))=5), 0), 0)), "")</f>
        <v/>
      </c>
      <c r="S389" s="12" t="str">
        <f>IF(XT!$P389&gt;0,R389,"")</f>
        <v/>
      </c>
      <c r="T389" s="12" t="str">
        <f>IF(XT!$P389=0,R389,"")</f>
        <v/>
      </c>
      <c r="U389">
        <f>SUMPRODUCT((MONTH(CHOOSE({1,2,3,4},XT!U389,XT!Y389,XT!AC389,XT!AG389))=6)*(CHOOSE({1,2,3,4},XT!X389,XT!AB389,XT!AF389,XT!AJ389)))</f>
        <v>0</v>
      </c>
      <c r="V389" t="str">
        <f>IFERROR(INDEX(CHOOSE({1,2,3,4}, DAY(XT!U389), DAY(XT!Y389), DAY(XT!AC389), DAY(XT!AG389)), MATCH(1, INDEX(--(MONTH(CHOOSE({1,2,3,4}, XT!U389,XT!Y389,XT!AC389,XT!AG389))=6), 0), 0)), "")</f>
        <v/>
      </c>
      <c r="W389" s="12" t="str">
        <f>IF(XT!$P389&gt;0,V389,"")</f>
        <v/>
      </c>
      <c r="X389" s="12" t="str">
        <f>IF(XT!$P389=0,V389,"")</f>
        <v/>
      </c>
      <c r="Y389">
        <f>SUMPRODUCT((MONTH(CHOOSE({1,2,3,4},XT!U389,XT!Y389,XT!AC389,XT!AG389))=7)*(CHOOSE({1,2,3,4},XT!X389,XT!AB389,XT!AF389,XT!AJ389)))</f>
        <v>0</v>
      </c>
      <c r="Z389" t="str">
        <f>IFERROR(INDEX(CHOOSE({1,2,3,4}, DAY(XT!U389), DAY(XT!Y389), DAY(XT!AC389), DAY(XT!AG389)), MATCH(1, INDEX(--(MONTH(CHOOSE({1,2,3,4}, XT!U389,XT!Y389,XT!AC389,XT!AG389))=7), 0), 0)), "")</f>
        <v/>
      </c>
      <c r="AA389" s="12" t="str">
        <f>IF(XT!$P389&gt;0,Z389,"")</f>
        <v/>
      </c>
      <c r="AB389" s="12" t="str">
        <f>IF(XT!$P389=0,Z389,"")</f>
        <v/>
      </c>
      <c r="AC389">
        <f>SUMPRODUCT((MONTH(CHOOSE({1,2,3,4},XT!U389,XT!Y389,XT!AC389,XT!AG389))=8)*(CHOOSE({1,2,3,4},XT!X389,XT!AB389,XT!AF389,XT!AJ389)))</f>
        <v>0</v>
      </c>
      <c r="AD389" t="str">
        <f>IFERROR(INDEX(CHOOSE({1,2,3,4}, DAY(XT!U389), DAY(XT!Y389), DAY(XT!AC389), DAY(XT!AG389)), MATCH(1, INDEX(--(MONTH(CHOOSE({1,2,3,4}, XT!U389,XT!Y389,XT!AC389,XT!AG389))=8), 0), 0)), "")</f>
        <v/>
      </c>
      <c r="AE389" s="12" t="str">
        <f>IF(XT!$P389&gt;0,AD389,"")</f>
        <v/>
      </c>
      <c r="AF389" s="12" t="str">
        <f>IF(XT!$P389=0,AD389,"")</f>
        <v/>
      </c>
      <c r="AG389">
        <f>SUMPRODUCT((MONTH(CHOOSE({1,2,3,4},XT!U389,XT!Y389,XT!AC389,XT!AG389))=9)*(CHOOSE({1,2,3,4},XT!X389,XT!AB389,XT!AF389,XT!AJ389)))</f>
        <v>0</v>
      </c>
      <c r="AH389" t="str">
        <f>IFERROR(INDEX(CHOOSE({1,2,3,4}, DAY(XT!U389), DAY(XT!Y389), DAY(XT!AC389), DAY(XT!AG389)), MATCH(1, INDEX(--(MONTH(CHOOSE({1,2,3,4}, XT!U389,XT!Y389,XT!AC389,XT!AG389))=9), 0), 0)), "")</f>
        <v/>
      </c>
      <c r="AI389" s="12" t="str">
        <f>IF(XT!$P389&gt;0,AH389,"")</f>
        <v/>
      </c>
      <c r="AJ389" s="12" t="str">
        <f>IF(XT!$P389=0,AH389,"")</f>
        <v/>
      </c>
      <c r="AK389">
        <f>SUMPRODUCT((MONTH(CHOOSE({1,2,3,4},XT!U389,XT!Y389,XT!AC389,XT!AG389))=10)*(CHOOSE({1,2,3,4},XT!X389,XT!AB389,XT!AF389,XT!AJ389)))</f>
        <v>0</v>
      </c>
      <c r="AL389" t="str">
        <f>IFERROR(INDEX(CHOOSE({1,2,3,4}, DAY(XT!U389), DAY(XT!Y389), DAY(XT!AC389), DAY(XT!AG389)), MATCH(1, INDEX(--(MONTH(CHOOSE({1,2,3,4}, XT!U389,XT!Y389,XT!AC389,XT!AG389))=10), 0), 0)), "")</f>
        <v/>
      </c>
      <c r="AM389" s="12" t="str">
        <f>IF(XT!$P389&gt;0,AL389,"")</f>
        <v/>
      </c>
      <c r="AN389" s="12" t="str">
        <f>IF(XT!$P389=0,AL389,"")</f>
        <v/>
      </c>
      <c r="AO389">
        <f>SUMPRODUCT((MONTH(CHOOSE({1,2,3,4},XT!U389,XT!Y389,XT!AC389,XT!AG389))=11)*(CHOOSE({1,2,3,4},XT!X389,XT!AB389,XT!AF389,XT!AJ389)))</f>
        <v>0</v>
      </c>
      <c r="AP389" t="str">
        <f>IFERROR(INDEX(CHOOSE({1,2,3,4}, DAY(XT!U389), DAY(XT!Y389), DAY(XT!AC389), DAY(XT!AG389)), MATCH(1, INDEX(--(MONTH(CHOOSE({1,2,3,4}, XT!U389,XT!Y389,XT!AC389,XT!AG389))=11), 0), 0)), "")</f>
        <v/>
      </c>
      <c r="AQ389" s="12" t="str">
        <f>IF(XT!$P389&gt;0,AP389,"")</f>
        <v/>
      </c>
      <c r="AR389" s="12" t="str">
        <f>IF(XT!$P389=0,AP389,"")</f>
        <v/>
      </c>
      <c r="AS389">
        <f>SUMPRODUCT((MONTH(CHOOSE({1,2,3,4},XT!U389,XT!Y389,XT!AC389,XT!AG389))=12)*(CHOOSE({1,2,3,4},XT!X389,XT!AB389,XT!AF389,XT!AJ389)))</f>
        <v>0</v>
      </c>
      <c r="AT389" t="str">
        <f>IFERROR(INDEX(CHOOSE({1,2,3,4}, DAY(XT!U389), DAY(XT!Y389), DAY(XT!AC389), DAY(XT!AG389)), MATCH(1, INDEX(--(MONTH(CHOOSE({1,2,3,4}, XT!U389,XT!Y389,XT!AC389,XT!AG389))=12), 0), 0)), "")</f>
        <v/>
      </c>
      <c r="AU389" s="12" t="str">
        <f>IF(XT!$P389&gt;0,AT389,"")</f>
        <v/>
      </c>
      <c r="AV389" s="12" t="str">
        <f>IF(XT!$P389=0,AT389,"")</f>
        <v/>
      </c>
    </row>
    <row r="390" spans="1:48">
      <c r="A390">
        <f>SUMPRODUCT((MONTH(CHOOSE({1,2,3,4},XT!U390,XT!Y390,XT!AC390,XT!AG390))=1)*(CHOOSE({1,2,3,4},XT!X390,XT!AB390,XT!AF390,XT!AJ390)))</f>
        <v>0</v>
      </c>
      <c r="B390">
        <f>IFERROR(INDEX(CHOOSE({1,2,3,4}, DAY(XT!U390), DAY(XT!Y390), DAY(XT!AC390), DAY(XT!AG390)), MATCH(1, INDEX(--(MONTH(CHOOSE({1,2,3,4}, XT!U390,XT!Y390,XT!AC390,XT!AG390))=1), 0), 0)), "")</f>
        <v>0</v>
      </c>
      <c r="C390" s="12" t="str">
        <f>IF(XT!$P390&gt;0,B390,"")</f>
        <v/>
      </c>
      <c r="D390" s="12">
        <f>IF(XT!$P390=0,B390,"")</f>
        <v>0</v>
      </c>
      <c r="E390">
        <f>SUMPRODUCT((MONTH(CHOOSE({1,2,3,4},XT!U390,XT!Y390,XT!AC390,XT!AG390))=2)*(CHOOSE({1,2,3,4},XT!X390,XT!AB390,XT!AF390,XT!AJ390)))</f>
        <v>0</v>
      </c>
      <c r="F390" t="str">
        <f>IFERROR(INDEX(CHOOSE({1,2,3,4}, DAY(XT!U390), DAY(XT!Y390), DAY(XT!AC390), DAY(XT!AG390)), MATCH(1, INDEX(--(MONTH(CHOOSE({1,2,3,4}, XT!U390,XT!Y390,XT!AC390,XT!AG390))=2), 0), 0)), "")</f>
        <v/>
      </c>
      <c r="G390" s="12" t="str">
        <f>IF(XT!$P390&gt;0,F390,"")</f>
        <v/>
      </c>
      <c r="H390" s="12" t="str">
        <f>IF(XT!$P390=0,F390,"")</f>
        <v/>
      </c>
      <c r="I390">
        <f>SUMPRODUCT((MONTH(CHOOSE({1,2,3,4},XT!U390,XT!Y390,XT!AC390,XT!AG390))=3)*(CHOOSE({1,2,3,4},XT!X390,XT!AB390,XT!AF390,XT!AJ390)))</f>
        <v>0</v>
      </c>
      <c r="J390" t="str">
        <f>IFERROR(INDEX(CHOOSE({1,2,3,4}, DAY(XT!U390), DAY(XT!Y390), DAY(XT!AC390), DAY(XT!AG390)), MATCH(1, INDEX(--(MONTH(CHOOSE({1,2,3,4}, XT!U390,XT!Y390,XT!AC390,XT!AG390))=3), 0), 0)), "")</f>
        <v/>
      </c>
      <c r="K390" s="12" t="str">
        <f>IF(XT!$P390&gt;0,J390,"")</f>
        <v/>
      </c>
      <c r="L390" s="12" t="str">
        <f>IF(XT!$P390=0,J390,"")</f>
        <v/>
      </c>
      <c r="M390">
        <f>SUMPRODUCT((MONTH(CHOOSE({1,2,3,4},XT!U390,XT!Y390,XT!AC390,XT!AG390))=4)*(CHOOSE({1,2,3,4},XT!X390,XT!AB390,XT!AF390,XT!AJ390)))</f>
        <v>0</v>
      </c>
      <c r="N390" t="str">
        <f>IFERROR(INDEX(CHOOSE({1,2,3,4}, DAY(XT!U390), DAY(XT!Y390), DAY(XT!AC390), DAY(XT!AG390)), MATCH(1, INDEX(--(MONTH(CHOOSE({1,2,3,4}, XT!U390,XT!Y390,XT!AC390,XT!AG390))=4), 0), 0)), "")</f>
        <v/>
      </c>
      <c r="O390" s="12" t="str">
        <f>IF(XT!$P390&gt;0,N390,"")</f>
        <v/>
      </c>
      <c r="P390" s="12" t="str">
        <f>IF(XT!$P390=0,N390,"")</f>
        <v/>
      </c>
      <c r="Q390">
        <f>SUMPRODUCT((MONTH(CHOOSE({1,2,3,4},XT!U390,XT!Y390,XT!AC390,XT!AG390))=5)*(CHOOSE({1,2,3,4},XT!X390,XT!AB390,XT!AF390,XT!AJ390)))</f>
        <v>0</v>
      </c>
      <c r="R390" t="str">
        <f>IFERROR(INDEX(CHOOSE({1,2,3,4}, DAY(XT!U390), DAY(XT!Y390), DAY(XT!AC390), DAY(XT!AG390)), MATCH(1, INDEX(--(MONTH(CHOOSE({1,2,3,4}, XT!U390,XT!Y390,XT!AC390,XT!AG390))=5), 0), 0)), "")</f>
        <v/>
      </c>
      <c r="S390" s="12" t="str">
        <f>IF(XT!$P390&gt;0,R390,"")</f>
        <v/>
      </c>
      <c r="T390" s="12" t="str">
        <f>IF(XT!$P390=0,R390,"")</f>
        <v/>
      </c>
      <c r="U390">
        <f>SUMPRODUCT((MONTH(CHOOSE({1,2,3,4},XT!U390,XT!Y390,XT!AC390,XT!AG390))=6)*(CHOOSE({1,2,3,4},XT!X390,XT!AB390,XT!AF390,XT!AJ390)))</f>
        <v>0</v>
      </c>
      <c r="V390" t="str">
        <f>IFERROR(INDEX(CHOOSE({1,2,3,4}, DAY(XT!U390), DAY(XT!Y390), DAY(XT!AC390), DAY(XT!AG390)), MATCH(1, INDEX(--(MONTH(CHOOSE({1,2,3,4}, XT!U390,XT!Y390,XT!AC390,XT!AG390))=6), 0), 0)), "")</f>
        <v/>
      </c>
      <c r="W390" s="12" t="str">
        <f>IF(XT!$P390&gt;0,V390,"")</f>
        <v/>
      </c>
      <c r="X390" s="12" t="str">
        <f>IF(XT!$P390=0,V390,"")</f>
        <v/>
      </c>
      <c r="Y390">
        <f>SUMPRODUCT((MONTH(CHOOSE({1,2,3,4},XT!U390,XT!Y390,XT!AC390,XT!AG390))=7)*(CHOOSE({1,2,3,4},XT!X390,XT!AB390,XT!AF390,XT!AJ390)))</f>
        <v>0</v>
      </c>
      <c r="Z390" t="str">
        <f>IFERROR(INDEX(CHOOSE({1,2,3,4}, DAY(XT!U390), DAY(XT!Y390), DAY(XT!AC390), DAY(XT!AG390)), MATCH(1, INDEX(--(MONTH(CHOOSE({1,2,3,4}, XT!U390,XT!Y390,XT!AC390,XT!AG390))=7), 0), 0)), "")</f>
        <v/>
      </c>
      <c r="AA390" s="12" t="str">
        <f>IF(XT!$P390&gt;0,Z390,"")</f>
        <v/>
      </c>
      <c r="AB390" s="12" t="str">
        <f>IF(XT!$P390=0,Z390,"")</f>
        <v/>
      </c>
      <c r="AC390">
        <f>SUMPRODUCT((MONTH(CHOOSE({1,2,3,4},XT!U390,XT!Y390,XT!AC390,XT!AG390))=8)*(CHOOSE({1,2,3,4},XT!X390,XT!AB390,XT!AF390,XT!AJ390)))</f>
        <v>0</v>
      </c>
      <c r="AD390" t="str">
        <f>IFERROR(INDEX(CHOOSE({1,2,3,4}, DAY(XT!U390), DAY(XT!Y390), DAY(XT!AC390), DAY(XT!AG390)), MATCH(1, INDEX(--(MONTH(CHOOSE({1,2,3,4}, XT!U390,XT!Y390,XT!AC390,XT!AG390))=8), 0), 0)), "")</f>
        <v/>
      </c>
      <c r="AE390" s="12" t="str">
        <f>IF(XT!$P390&gt;0,AD390,"")</f>
        <v/>
      </c>
      <c r="AF390" s="12" t="str">
        <f>IF(XT!$P390=0,AD390,"")</f>
        <v/>
      </c>
      <c r="AG390">
        <f>SUMPRODUCT((MONTH(CHOOSE({1,2,3,4},XT!U390,XT!Y390,XT!AC390,XT!AG390))=9)*(CHOOSE({1,2,3,4},XT!X390,XT!AB390,XT!AF390,XT!AJ390)))</f>
        <v>0</v>
      </c>
      <c r="AH390" t="str">
        <f>IFERROR(INDEX(CHOOSE({1,2,3,4}, DAY(XT!U390), DAY(XT!Y390), DAY(XT!AC390), DAY(XT!AG390)), MATCH(1, INDEX(--(MONTH(CHOOSE({1,2,3,4}, XT!U390,XT!Y390,XT!AC390,XT!AG390))=9), 0), 0)), "")</f>
        <v/>
      </c>
      <c r="AI390" s="12" t="str">
        <f>IF(XT!$P390&gt;0,AH390,"")</f>
        <v/>
      </c>
      <c r="AJ390" s="12" t="str">
        <f>IF(XT!$P390=0,AH390,"")</f>
        <v/>
      </c>
      <c r="AK390">
        <f>SUMPRODUCT((MONTH(CHOOSE({1,2,3,4},XT!U390,XT!Y390,XT!AC390,XT!AG390))=10)*(CHOOSE({1,2,3,4},XT!X390,XT!AB390,XT!AF390,XT!AJ390)))</f>
        <v>0</v>
      </c>
      <c r="AL390" t="str">
        <f>IFERROR(INDEX(CHOOSE({1,2,3,4}, DAY(XT!U390), DAY(XT!Y390), DAY(XT!AC390), DAY(XT!AG390)), MATCH(1, INDEX(--(MONTH(CHOOSE({1,2,3,4}, XT!U390,XT!Y390,XT!AC390,XT!AG390))=10), 0), 0)), "")</f>
        <v/>
      </c>
      <c r="AM390" s="12" t="str">
        <f>IF(XT!$P390&gt;0,AL390,"")</f>
        <v/>
      </c>
      <c r="AN390" s="12" t="str">
        <f>IF(XT!$P390=0,AL390,"")</f>
        <v/>
      </c>
      <c r="AO390">
        <f>SUMPRODUCT((MONTH(CHOOSE({1,2,3,4},XT!U390,XT!Y390,XT!AC390,XT!AG390))=11)*(CHOOSE({1,2,3,4},XT!X390,XT!AB390,XT!AF390,XT!AJ390)))</f>
        <v>0</v>
      </c>
      <c r="AP390" t="str">
        <f>IFERROR(INDEX(CHOOSE({1,2,3,4}, DAY(XT!U390), DAY(XT!Y390), DAY(XT!AC390), DAY(XT!AG390)), MATCH(1, INDEX(--(MONTH(CHOOSE({1,2,3,4}, XT!U390,XT!Y390,XT!AC390,XT!AG390))=11), 0), 0)), "")</f>
        <v/>
      </c>
      <c r="AQ390" s="12" t="str">
        <f>IF(XT!$P390&gt;0,AP390,"")</f>
        <v/>
      </c>
      <c r="AR390" s="12" t="str">
        <f>IF(XT!$P390=0,AP390,"")</f>
        <v/>
      </c>
      <c r="AS390">
        <f>SUMPRODUCT((MONTH(CHOOSE({1,2,3,4},XT!U390,XT!Y390,XT!AC390,XT!AG390))=12)*(CHOOSE({1,2,3,4},XT!X390,XT!AB390,XT!AF390,XT!AJ390)))</f>
        <v>0</v>
      </c>
      <c r="AT390" t="str">
        <f>IFERROR(INDEX(CHOOSE({1,2,3,4}, DAY(XT!U390), DAY(XT!Y390), DAY(XT!AC390), DAY(XT!AG390)), MATCH(1, INDEX(--(MONTH(CHOOSE({1,2,3,4}, XT!U390,XT!Y390,XT!AC390,XT!AG390))=12), 0), 0)), "")</f>
        <v/>
      </c>
      <c r="AU390" s="12" t="str">
        <f>IF(XT!$P390&gt;0,AT390,"")</f>
        <v/>
      </c>
      <c r="AV390" s="12" t="str">
        <f>IF(XT!$P390=0,AT390,"")</f>
        <v/>
      </c>
    </row>
    <row r="391" spans="1:48">
      <c r="A391">
        <f>SUMPRODUCT((MONTH(CHOOSE({1,2,3,4},XT!U391,XT!Y391,XT!AC391,XT!AG391))=1)*(CHOOSE({1,2,3,4},XT!X391,XT!AB391,XT!AF391,XT!AJ391)))</f>
        <v>0</v>
      </c>
      <c r="B391">
        <f>IFERROR(INDEX(CHOOSE({1,2,3,4}, DAY(XT!U391), DAY(XT!Y391), DAY(XT!AC391), DAY(XT!AG391)), MATCH(1, INDEX(--(MONTH(CHOOSE({1,2,3,4}, XT!U391,XT!Y391,XT!AC391,XT!AG391))=1), 0), 0)), "")</f>
        <v>0</v>
      </c>
      <c r="C391" s="12" t="str">
        <f>IF(XT!$P391&gt;0,B391,"")</f>
        <v/>
      </c>
      <c r="D391" s="12">
        <f>IF(XT!$P391=0,B391,"")</f>
        <v>0</v>
      </c>
      <c r="E391">
        <f>SUMPRODUCT((MONTH(CHOOSE({1,2,3,4},XT!U391,XT!Y391,XT!AC391,XT!AG391))=2)*(CHOOSE({1,2,3,4},XT!X391,XT!AB391,XT!AF391,XT!AJ391)))</f>
        <v>0</v>
      </c>
      <c r="F391" t="str">
        <f>IFERROR(INDEX(CHOOSE({1,2,3,4}, DAY(XT!U391), DAY(XT!Y391), DAY(XT!AC391), DAY(XT!AG391)), MATCH(1, INDEX(--(MONTH(CHOOSE({1,2,3,4}, XT!U391,XT!Y391,XT!AC391,XT!AG391))=2), 0), 0)), "")</f>
        <v/>
      </c>
      <c r="G391" s="12" t="str">
        <f>IF(XT!$P391&gt;0,F391,"")</f>
        <v/>
      </c>
      <c r="H391" s="12" t="str">
        <f>IF(XT!$P391=0,F391,"")</f>
        <v/>
      </c>
      <c r="I391">
        <f>SUMPRODUCT((MONTH(CHOOSE({1,2,3,4},XT!U391,XT!Y391,XT!AC391,XT!AG391))=3)*(CHOOSE({1,2,3,4},XT!X391,XT!AB391,XT!AF391,XT!AJ391)))</f>
        <v>0</v>
      </c>
      <c r="J391" t="str">
        <f>IFERROR(INDEX(CHOOSE({1,2,3,4}, DAY(XT!U391), DAY(XT!Y391), DAY(XT!AC391), DAY(XT!AG391)), MATCH(1, INDEX(--(MONTH(CHOOSE({1,2,3,4}, XT!U391,XT!Y391,XT!AC391,XT!AG391))=3), 0), 0)), "")</f>
        <v/>
      </c>
      <c r="K391" s="12" t="str">
        <f>IF(XT!$P391&gt;0,J391,"")</f>
        <v/>
      </c>
      <c r="L391" s="12" t="str">
        <f>IF(XT!$P391=0,J391,"")</f>
        <v/>
      </c>
      <c r="M391">
        <f>SUMPRODUCT((MONTH(CHOOSE({1,2,3,4},XT!U391,XT!Y391,XT!AC391,XT!AG391))=4)*(CHOOSE({1,2,3,4},XT!X391,XT!AB391,XT!AF391,XT!AJ391)))</f>
        <v>0</v>
      </c>
      <c r="N391" t="str">
        <f>IFERROR(INDEX(CHOOSE({1,2,3,4}, DAY(XT!U391), DAY(XT!Y391), DAY(XT!AC391), DAY(XT!AG391)), MATCH(1, INDEX(--(MONTH(CHOOSE({1,2,3,4}, XT!U391,XT!Y391,XT!AC391,XT!AG391))=4), 0), 0)), "")</f>
        <v/>
      </c>
      <c r="O391" s="12" t="str">
        <f>IF(XT!$P391&gt;0,N391,"")</f>
        <v/>
      </c>
      <c r="P391" s="12" t="str">
        <f>IF(XT!$P391=0,N391,"")</f>
        <v/>
      </c>
      <c r="Q391">
        <f>SUMPRODUCT((MONTH(CHOOSE({1,2,3,4},XT!U391,XT!Y391,XT!AC391,XT!AG391))=5)*(CHOOSE({1,2,3,4},XT!X391,XT!AB391,XT!AF391,XT!AJ391)))</f>
        <v>0</v>
      </c>
      <c r="R391" t="str">
        <f>IFERROR(INDEX(CHOOSE({1,2,3,4}, DAY(XT!U391), DAY(XT!Y391), DAY(XT!AC391), DAY(XT!AG391)), MATCH(1, INDEX(--(MONTH(CHOOSE({1,2,3,4}, XT!U391,XT!Y391,XT!AC391,XT!AG391))=5), 0), 0)), "")</f>
        <v/>
      </c>
      <c r="S391" s="12" t="str">
        <f>IF(XT!$P391&gt;0,R391,"")</f>
        <v/>
      </c>
      <c r="T391" s="12" t="str">
        <f>IF(XT!$P391=0,R391,"")</f>
        <v/>
      </c>
      <c r="U391">
        <f>SUMPRODUCT((MONTH(CHOOSE({1,2,3,4},XT!U391,XT!Y391,XT!AC391,XT!AG391))=6)*(CHOOSE({1,2,3,4},XT!X391,XT!AB391,XT!AF391,XT!AJ391)))</f>
        <v>0</v>
      </c>
      <c r="V391" t="str">
        <f>IFERROR(INDEX(CHOOSE({1,2,3,4}, DAY(XT!U391), DAY(XT!Y391), DAY(XT!AC391), DAY(XT!AG391)), MATCH(1, INDEX(--(MONTH(CHOOSE({1,2,3,4}, XT!U391,XT!Y391,XT!AC391,XT!AG391))=6), 0), 0)), "")</f>
        <v/>
      </c>
      <c r="W391" s="12" t="str">
        <f>IF(XT!$P391&gt;0,V391,"")</f>
        <v/>
      </c>
      <c r="X391" s="12" t="str">
        <f>IF(XT!$P391=0,V391,"")</f>
        <v/>
      </c>
      <c r="Y391">
        <f>SUMPRODUCT((MONTH(CHOOSE({1,2,3,4},XT!U391,XT!Y391,XT!AC391,XT!AG391))=7)*(CHOOSE({1,2,3,4},XT!X391,XT!AB391,XT!AF391,XT!AJ391)))</f>
        <v>0</v>
      </c>
      <c r="Z391" t="str">
        <f>IFERROR(INDEX(CHOOSE({1,2,3,4}, DAY(XT!U391), DAY(XT!Y391), DAY(XT!AC391), DAY(XT!AG391)), MATCH(1, INDEX(--(MONTH(CHOOSE({1,2,3,4}, XT!U391,XT!Y391,XT!AC391,XT!AG391))=7), 0), 0)), "")</f>
        <v/>
      </c>
      <c r="AA391" s="12" t="str">
        <f>IF(XT!$P391&gt;0,Z391,"")</f>
        <v/>
      </c>
      <c r="AB391" s="12" t="str">
        <f>IF(XT!$P391=0,Z391,"")</f>
        <v/>
      </c>
      <c r="AC391">
        <f>SUMPRODUCT((MONTH(CHOOSE({1,2,3,4},XT!U391,XT!Y391,XT!AC391,XT!AG391))=8)*(CHOOSE({1,2,3,4},XT!X391,XT!AB391,XT!AF391,XT!AJ391)))</f>
        <v>0</v>
      </c>
      <c r="AD391" t="str">
        <f>IFERROR(INDEX(CHOOSE({1,2,3,4}, DAY(XT!U391), DAY(XT!Y391), DAY(XT!AC391), DAY(XT!AG391)), MATCH(1, INDEX(--(MONTH(CHOOSE({1,2,3,4}, XT!U391,XT!Y391,XT!AC391,XT!AG391))=8), 0), 0)), "")</f>
        <v/>
      </c>
      <c r="AE391" s="12" t="str">
        <f>IF(XT!$P391&gt;0,AD391,"")</f>
        <v/>
      </c>
      <c r="AF391" s="12" t="str">
        <f>IF(XT!$P391=0,AD391,"")</f>
        <v/>
      </c>
      <c r="AG391">
        <f>SUMPRODUCT((MONTH(CHOOSE({1,2,3,4},XT!U391,XT!Y391,XT!AC391,XT!AG391))=9)*(CHOOSE({1,2,3,4},XT!X391,XT!AB391,XT!AF391,XT!AJ391)))</f>
        <v>0</v>
      </c>
      <c r="AH391" t="str">
        <f>IFERROR(INDEX(CHOOSE({1,2,3,4}, DAY(XT!U391), DAY(XT!Y391), DAY(XT!AC391), DAY(XT!AG391)), MATCH(1, INDEX(--(MONTH(CHOOSE({1,2,3,4}, XT!U391,XT!Y391,XT!AC391,XT!AG391))=9), 0), 0)), "")</f>
        <v/>
      </c>
      <c r="AI391" s="12" t="str">
        <f>IF(XT!$P391&gt;0,AH391,"")</f>
        <v/>
      </c>
      <c r="AJ391" s="12" t="str">
        <f>IF(XT!$P391=0,AH391,"")</f>
        <v/>
      </c>
      <c r="AK391">
        <f>SUMPRODUCT((MONTH(CHOOSE({1,2,3,4},XT!U391,XT!Y391,XT!AC391,XT!AG391))=10)*(CHOOSE({1,2,3,4},XT!X391,XT!AB391,XT!AF391,XT!AJ391)))</f>
        <v>0</v>
      </c>
      <c r="AL391" t="str">
        <f>IFERROR(INDEX(CHOOSE({1,2,3,4}, DAY(XT!U391), DAY(XT!Y391), DAY(XT!AC391), DAY(XT!AG391)), MATCH(1, INDEX(--(MONTH(CHOOSE({1,2,3,4}, XT!U391,XT!Y391,XT!AC391,XT!AG391))=10), 0), 0)), "")</f>
        <v/>
      </c>
      <c r="AM391" s="12" t="str">
        <f>IF(XT!$P391&gt;0,AL391,"")</f>
        <v/>
      </c>
      <c r="AN391" s="12" t="str">
        <f>IF(XT!$P391=0,AL391,"")</f>
        <v/>
      </c>
      <c r="AO391">
        <f>SUMPRODUCT((MONTH(CHOOSE({1,2,3,4},XT!U391,XT!Y391,XT!AC391,XT!AG391))=11)*(CHOOSE({1,2,3,4},XT!X391,XT!AB391,XT!AF391,XT!AJ391)))</f>
        <v>0</v>
      </c>
      <c r="AP391" t="str">
        <f>IFERROR(INDEX(CHOOSE({1,2,3,4}, DAY(XT!U391), DAY(XT!Y391), DAY(XT!AC391), DAY(XT!AG391)), MATCH(1, INDEX(--(MONTH(CHOOSE({1,2,3,4}, XT!U391,XT!Y391,XT!AC391,XT!AG391))=11), 0), 0)), "")</f>
        <v/>
      </c>
      <c r="AQ391" s="12" t="str">
        <f>IF(XT!$P391&gt;0,AP391,"")</f>
        <v/>
      </c>
      <c r="AR391" s="12" t="str">
        <f>IF(XT!$P391=0,AP391,"")</f>
        <v/>
      </c>
      <c r="AS391">
        <f>SUMPRODUCT((MONTH(CHOOSE({1,2,3,4},XT!U391,XT!Y391,XT!AC391,XT!AG391))=12)*(CHOOSE({1,2,3,4},XT!X391,XT!AB391,XT!AF391,XT!AJ391)))</f>
        <v>0</v>
      </c>
      <c r="AT391" t="str">
        <f>IFERROR(INDEX(CHOOSE({1,2,3,4}, DAY(XT!U391), DAY(XT!Y391), DAY(XT!AC391), DAY(XT!AG391)), MATCH(1, INDEX(--(MONTH(CHOOSE({1,2,3,4}, XT!U391,XT!Y391,XT!AC391,XT!AG391))=12), 0), 0)), "")</f>
        <v/>
      </c>
      <c r="AU391" s="12" t="str">
        <f>IF(XT!$P391&gt;0,AT391,"")</f>
        <v/>
      </c>
      <c r="AV391" s="12" t="str">
        <f>IF(XT!$P391=0,AT391,"")</f>
        <v/>
      </c>
    </row>
    <row r="392" spans="1:48">
      <c r="A392">
        <f>SUMPRODUCT((MONTH(CHOOSE({1,2,3,4},XT!U392,XT!Y392,XT!AC392,XT!AG392))=1)*(CHOOSE({1,2,3,4},XT!X392,XT!AB392,XT!AF392,XT!AJ392)))</f>
        <v>0</v>
      </c>
      <c r="B392">
        <f>IFERROR(INDEX(CHOOSE({1,2,3,4}, DAY(XT!U392), DAY(XT!Y392), DAY(XT!AC392), DAY(XT!AG392)), MATCH(1, INDEX(--(MONTH(CHOOSE({1,2,3,4}, XT!U392,XT!Y392,XT!AC392,XT!AG392))=1), 0), 0)), "")</f>
        <v>0</v>
      </c>
      <c r="C392" s="12" t="str">
        <f>IF(XT!$P392&gt;0,B392,"")</f>
        <v/>
      </c>
      <c r="D392" s="12">
        <f>IF(XT!$P392=0,B392,"")</f>
        <v>0</v>
      </c>
      <c r="E392">
        <f>SUMPRODUCT((MONTH(CHOOSE({1,2,3,4},XT!U392,XT!Y392,XT!AC392,XT!AG392))=2)*(CHOOSE({1,2,3,4},XT!X392,XT!AB392,XT!AF392,XT!AJ392)))</f>
        <v>0</v>
      </c>
      <c r="F392" t="str">
        <f>IFERROR(INDEX(CHOOSE({1,2,3,4}, DAY(XT!U392), DAY(XT!Y392), DAY(XT!AC392), DAY(XT!AG392)), MATCH(1, INDEX(--(MONTH(CHOOSE({1,2,3,4}, XT!U392,XT!Y392,XT!AC392,XT!AG392))=2), 0), 0)), "")</f>
        <v/>
      </c>
      <c r="G392" s="12" t="str">
        <f>IF(XT!$P392&gt;0,F392,"")</f>
        <v/>
      </c>
      <c r="H392" s="12" t="str">
        <f>IF(XT!$P392=0,F392,"")</f>
        <v/>
      </c>
      <c r="I392">
        <f>SUMPRODUCT((MONTH(CHOOSE({1,2,3,4},XT!U392,XT!Y392,XT!AC392,XT!AG392))=3)*(CHOOSE({1,2,3,4},XT!X392,XT!AB392,XT!AF392,XT!AJ392)))</f>
        <v>0</v>
      </c>
      <c r="J392" t="str">
        <f>IFERROR(INDEX(CHOOSE({1,2,3,4}, DAY(XT!U392), DAY(XT!Y392), DAY(XT!AC392), DAY(XT!AG392)), MATCH(1, INDEX(--(MONTH(CHOOSE({1,2,3,4}, XT!U392,XT!Y392,XT!AC392,XT!AG392))=3), 0), 0)), "")</f>
        <v/>
      </c>
      <c r="K392" s="12" t="str">
        <f>IF(XT!$P392&gt;0,J392,"")</f>
        <v/>
      </c>
      <c r="L392" s="12" t="str">
        <f>IF(XT!$P392=0,J392,"")</f>
        <v/>
      </c>
      <c r="M392">
        <f>SUMPRODUCT((MONTH(CHOOSE({1,2,3,4},XT!U392,XT!Y392,XT!AC392,XT!AG392))=4)*(CHOOSE({1,2,3,4},XT!X392,XT!AB392,XT!AF392,XT!AJ392)))</f>
        <v>0</v>
      </c>
      <c r="N392" t="str">
        <f>IFERROR(INDEX(CHOOSE({1,2,3,4}, DAY(XT!U392), DAY(XT!Y392), DAY(XT!AC392), DAY(XT!AG392)), MATCH(1, INDEX(--(MONTH(CHOOSE({1,2,3,4}, XT!U392,XT!Y392,XT!AC392,XT!AG392))=4), 0), 0)), "")</f>
        <v/>
      </c>
      <c r="O392" s="12" t="str">
        <f>IF(XT!$P392&gt;0,N392,"")</f>
        <v/>
      </c>
      <c r="P392" s="12" t="str">
        <f>IF(XT!$P392=0,N392,"")</f>
        <v/>
      </c>
      <c r="Q392">
        <f>SUMPRODUCT((MONTH(CHOOSE({1,2,3,4},XT!U392,XT!Y392,XT!AC392,XT!AG392))=5)*(CHOOSE({1,2,3,4},XT!X392,XT!AB392,XT!AF392,XT!AJ392)))</f>
        <v>0</v>
      </c>
      <c r="R392" t="str">
        <f>IFERROR(INDEX(CHOOSE({1,2,3,4}, DAY(XT!U392), DAY(XT!Y392), DAY(XT!AC392), DAY(XT!AG392)), MATCH(1, INDEX(--(MONTH(CHOOSE({1,2,3,4}, XT!U392,XT!Y392,XT!AC392,XT!AG392))=5), 0), 0)), "")</f>
        <v/>
      </c>
      <c r="S392" s="12" t="str">
        <f>IF(XT!$P392&gt;0,R392,"")</f>
        <v/>
      </c>
      <c r="T392" s="12" t="str">
        <f>IF(XT!$P392=0,R392,"")</f>
        <v/>
      </c>
      <c r="U392">
        <f>SUMPRODUCT((MONTH(CHOOSE({1,2,3,4},XT!U392,XT!Y392,XT!AC392,XT!AG392))=6)*(CHOOSE({1,2,3,4},XT!X392,XT!AB392,XT!AF392,XT!AJ392)))</f>
        <v>0</v>
      </c>
      <c r="V392" t="str">
        <f>IFERROR(INDEX(CHOOSE({1,2,3,4}, DAY(XT!U392), DAY(XT!Y392), DAY(XT!AC392), DAY(XT!AG392)), MATCH(1, INDEX(--(MONTH(CHOOSE({1,2,3,4}, XT!U392,XT!Y392,XT!AC392,XT!AG392))=6), 0), 0)), "")</f>
        <v/>
      </c>
      <c r="W392" s="12" t="str">
        <f>IF(XT!$P392&gt;0,V392,"")</f>
        <v/>
      </c>
      <c r="X392" s="12" t="str">
        <f>IF(XT!$P392=0,V392,"")</f>
        <v/>
      </c>
      <c r="Y392">
        <f>SUMPRODUCT((MONTH(CHOOSE({1,2,3,4},XT!U392,XT!Y392,XT!AC392,XT!AG392))=7)*(CHOOSE({1,2,3,4},XT!X392,XT!AB392,XT!AF392,XT!AJ392)))</f>
        <v>0</v>
      </c>
      <c r="Z392" t="str">
        <f>IFERROR(INDEX(CHOOSE({1,2,3,4}, DAY(XT!U392), DAY(XT!Y392), DAY(XT!AC392), DAY(XT!AG392)), MATCH(1, INDEX(--(MONTH(CHOOSE({1,2,3,4}, XT!U392,XT!Y392,XT!AC392,XT!AG392))=7), 0), 0)), "")</f>
        <v/>
      </c>
      <c r="AA392" s="12" t="str">
        <f>IF(XT!$P392&gt;0,Z392,"")</f>
        <v/>
      </c>
      <c r="AB392" s="12" t="str">
        <f>IF(XT!$P392=0,Z392,"")</f>
        <v/>
      </c>
      <c r="AC392">
        <f>SUMPRODUCT((MONTH(CHOOSE({1,2,3,4},XT!U392,XT!Y392,XT!AC392,XT!AG392))=8)*(CHOOSE({1,2,3,4},XT!X392,XT!AB392,XT!AF392,XT!AJ392)))</f>
        <v>0</v>
      </c>
      <c r="AD392" t="str">
        <f>IFERROR(INDEX(CHOOSE({1,2,3,4}, DAY(XT!U392), DAY(XT!Y392), DAY(XT!AC392), DAY(XT!AG392)), MATCH(1, INDEX(--(MONTH(CHOOSE({1,2,3,4}, XT!U392,XT!Y392,XT!AC392,XT!AG392))=8), 0), 0)), "")</f>
        <v/>
      </c>
      <c r="AE392" s="12" t="str">
        <f>IF(XT!$P392&gt;0,AD392,"")</f>
        <v/>
      </c>
      <c r="AF392" s="12" t="str">
        <f>IF(XT!$P392=0,AD392,"")</f>
        <v/>
      </c>
      <c r="AG392">
        <f>SUMPRODUCT((MONTH(CHOOSE({1,2,3,4},XT!U392,XT!Y392,XT!AC392,XT!AG392))=9)*(CHOOSE({1,2,3,4},XT!X392,XT!AB392,XT!AF392,XT!AJ392)))</f>
        <v>0</v>
      </c>
      <c r="AH392" t="str">
        <f>IFERROR(INDEX(CHOOSE({1,2,3,4}, DAY(XT!U392), DAY(XT!Y392), DAY(XT!AC392), DAY(XT!AG392)), MATCH(1, INDEX(--(MONTH(CHOOSE({1,2,3,4}, XT!U392,XT!Y392,XT!AC392,XT!AG392))=9), 0), 0)), "")</f>
        <v/>
      </c>
      <c r="AI392" s="12" t="str">
        <f>IF(XT!$P392&gt;0,AH392,"")</f>
        <v/>
      </c>
      <c r="AJ392" s="12" t="str">
        <f>IF(XT!$P392=0,AH392,"")</f>
        <v/>
      </c>
      <c r="AK392">
        <f>SUMPRODUCT((MONTH(CHOOSE({1,2,3,4},XT!U392,XT!Y392,XT!AC392,XT!AG392))=10)*(CHOOSE({1,2,3,4},XT!X392,XT!AB392,XT!AF392,XT!AJ392)))</f>
        <v>0</v>
      </c>
      <c r="AL392" t="str">
        <f>IFERROR(INDEX(CHOOSE({1,2,3,4}, DAY(XT!U392), DAY(XT!Y392), DAY(XT!AC392), DAY(XT!AG392)), MATCH(1, INDEX(--(MONTH(CHOOSE({1,2,3,4}, XT!U392,XT!Y392,XT!AC392,XT!AG392))=10), 0), 0)), "")</f>
        <v/>
      </c>
      <c r="AM392" s="12" t="str">
        <f>IF(XT!$P392&gt;0,AL392,"")</f>
        <v/>
      </c>
      <c r="AN392" s="12" t="str">
        <f>IF(XT!$P392=0,AL392,"")</f>
        <v/>
      </c>
      <c r="AO392">
        <f>SUMPRODUCT((MONTH(CHOOSE({1,2,3,4},XT!U392,XT!Y392,XT!AC392,XT!AG392))=11)*(CHOOSE({1,2,3,4},XT!X392,XT!AB392,XT!AF392,XT!AJ392)))</f>
        <v>0</v>
      </c>
      <c r="AP392" t="str">
        <f>IFERROR(INDEX(CHOOSE({1,2,3,4}, DAY(XT!U392), DAY(XT!Y392), DAY(XT!AC392), DAY(XT!AG392)), MATCH(1, INDEX(--(MONTH(CHOOSE({1,2,3,4}, XT!U392,XT!Y392,XT!AC392,XT!AG392))=11), 0), 0)), "")</f>
        <v/>
      </c>
      <c r="AQ392" s="12" t="str">
        <f>IF(XT!$P392&gt;0,AP392,"")</f>
        <v/>
      </c>
      <c r="AR392" s="12" t="str">
        <f>IF(XT!$P392=0,AP392,"")</f>
        <v/>
      </c>
      <c r="AS392">
        <f>SUMPRODUCT((MONTH(CHOOSE({1,2,3,4},XT!U392,XT!Y392,XT!AC392,XT!AG392))=12)*(CHOOSE({1,2,3,4},XT!X392,XT!AB392,XT!AF392,XT!AJ392)))</f>
        <v>0</v>
      </c>
      <c r="AT392" t="str">
        <f>IFERROR(INDEX(CHOOSE({1,2,3,4}, DAY(XT!U392), DAY(XT!Y392), DAY(XT!AC392), DAY(XT!AG392)), MATCH(1, INDEX(--(MONTH(CHOOSE({1,2,3,4}, XT!U392,XT!Y392,XT!AC392,XT!AG392))=12), 0), 0)), "")</f>
        <v/>
      </c>
      <c r="AU392" s="12" t="str">
        <f>IF(XT!$P392&gt;0,AT392,"")</f>
        <v/>
      </c>
      <c r="AV392" s="12" t="str">
        <f>IF(XT!$P392=0,AT392,"")</f>
        <v/>
      </c>
    </row>
    <row r="393" spans="1:48">
      <c r="A393">
        <f>SUMPRODUCT((MONTH(CHOOSE({1,2,3,4},XT!U393,XT!Y393,XT!AC393,XT!AG393))=1)*(CHOOSE({1,2,3,4},XT!X393,XT!AB393,XT!AF393,XT!AJ393)))</f>
        <v>0</v>
      </c>
      <c r="B393">
        <f>IFERROR(INDEX(CHOOSE({1,2,3,4}, DAY(XT!U393), DAY(XT!Y393), DAY(XT!AC393), DAY(XT!AG393)), MATCH(1, INDEX(--(MONTH(CHOOSE({1,2,3,4}, XT!U393,XT!Y393,XT!AC393,XT!AG393))=1), 0), 0)), "")</f>
        <v>0</v>
      </c>
      <c r="C393" s="12" t="str">
        <f>IF(XT!$P393&gt;0,B393,"")</f>
        <v/>
      </c>
      <c r="D393" s="12">
        <f>IF(XT!$P393=0,B393,"")</f>
        <v>0</v>
      </c>
      <c r="E393">
        <f>SUMPRODUCT((MONTH(CHOOSE({1,2,3,4},XT!U393,XT!Y393,XT!AC393,XT!AG393))=2)*(CHOOSE({1,2,3,4},XT!X393,XT!AB393,XT!AF393,XT!AJ393)))</f>
        <v>0</v>
      </c>
      <c r="F393" t="str">
        <f>IFERROR(INDEX(CHOOSE({1,2,3,4}, DAY(XT!U393), DAY(XT!Y393), DAY(XT!AC393), DAY(XT!AG393)), MATCH(1, INDEX(--(MONTH(CHOOSE({1,2,3,4}, XT!U393,XT!Y393,XT!AC393,XT!AG393))=2), 0), 0)), "")</f>
        <v/>
      </c>
      <c r="G393" s="12" t="str">
        <f>IF(XT!$P393&gt;0,F393,"")</f>
        <v/>
      </c>
      <c r="H393" s="12" t="str">
        <f>IF(XT!$P393=0,F393,"")</f>
        <v/>
      </c>
      <c r="I393">
        <f>SUMPRODUCT((MONTH(CHOOSE({1,2,3,4},XT!U393,XT!Y393,XT!AC393,XT!AG393))=3)*(CHOOSE({1,2,3,4},XT!X393,XT!AB393,XT!AF393,XT!AJ393)))</f>
        <v>0</v>
      </c>
      <c r="J393" t="str">
        <f>IFERROR(INDEX(CHOOSE({1,2,3,4}, DAY(XT!U393), DAY(XT!Y393), DAY(XT!AC393), DAY(XT!AG393)), MATCH(1, INDEX(--(MONTH(CHOOSE({1,2,3,4}, XT!U393,XT!Y393,XT!AC393,XT!AG393))=3), 0), 0)), "")</f>
        <v/>
      </c>
      <c r="K393" s="12" t="str">
        <f>IF(XT!$P393&gt;0,J393,"")</f>
        <v/>
      </c>
      <c r="L393" s="12" t="str">
        <f>IF(XT!$P393=0,J393,"")</f>
        <v/>
      </c>
      <c r="M393">
        <f>SUMPRODUCT((MONTH(CHOOSE({1,2,3,4},XT!U393,XT!Y393,XT!AC393,XT!AG393))=4)*(CHOOSE({1,2,3,4},XT!X393,XT!AB393,XT!AF393,XT!AJ393)))</f>
        <v>0</v>
      </c>
      <c r="N393" t="str">
        <f>IFERROR(INDEX(CHOOSE({1,2,3,4}, DAY(XT!U393), DAY(XT!Y393), DAY(XT!AC393), DAY(XT!AG393)), MATCH(1, INDEX(--(MONTH(CHOOSE({1,2,3,4}, XT!U393,XT!Y393,XT!AC393,XT!AG393))=4), 0), 0)), "")</f>
        <v/>
      </c>
      <c r="O393" s="12" t="str">
        <f>IF(XT!$P393&gt;0,N393,"")</f>
        <v/>
      </c>
      <c r="P393" s="12" t="str">
        <f>IF(XT!$P393=0,N393,"")</f>
        <v/>
      </c>
      <c r="Q393">
        <f>SUMPRODUCT((MONTH(CHOOSE({1,2,3,4},XT!U393,XT!Y393,XT!AC393,XT!AG393))=5)*(CHOOSE({1,2,3,4},XT!X393,XT!AB393,XT!AF393,XT!AJ393)))</f>
        <v>0</v>
      </c>
      <c r="R393" t="str">
        <f>IFERROR(INDEX(CHOOSE({1,2,3,4}, DAY(XT!U393), DAY(XT!Y393), DAY(XT!AC393), DAY(XT!AG393)), MATCH(1, INDEX(--(MONTH(CHOOSE({1,2,3,4}, XT!U393,XT!Y393,XT!AC393,XT!AG393))=5), 0), 0)), "")</f>
        <v/>
      </c>
      <c r="S393" s="12" t="str">
        <f>IF(XT!$P393&gt;0,R393,"")</f>
        <v/>
      </c>
      <c r="T393" s="12" t="str">
        <f>IF(XT!$P393=0,R393,"")</f>
        <v/>
      </c>
      <c r="U393">
        <f>SUMPRODUCT((MONTH(CHOOSE({1,2,3,4},XT!U393,XT!Y393,XT!AC393,XT!AG393))=6)*(CHOOSE({1,2,3,4},XT!X393,XT!AB393,XT!AF393,XT!AJ393)))</f>
        <v>0</v>
      </c>
      <c r="V393" t="str">
        <f>IFERROR(INDEX(CHOOSE({1,2,3,4}, DAY(XT!U393), DAY(XT!Y393), DAY(XT!AC393), DAY(XT!AG393)), MATCH(1, INDEX(--(MONTH(CHOOSE({1,2,3,4}, XT!U393,XT!Y393,XT!AC393,XT!AG393))=6), 0), 0)), "")</f>
        <v/>
      </c>
      <c r="W393" s="12" t="str">
        <f>IF(XT!$P393&gt;0,V393,"")</f>
        <v/>
      </c>
      <c r="X393" s="12" t="str">
        <f>IF(XT!$P393=0,V393,"")</f>
        <v/>
      </c>
      <c r="Y393">
        <f>SUMPRODUCT((MONTH(CHOOSE({1,2,3,4},XT!U393,XT!Y393,XT!AC393,XT!AG393))=7)*(CHOOSE({1,2,3,4},XT!X393,XT!AB393,XT!AF393,XT!AJ393)))</f>
        <v>0</v>
      </c>
      <c r="Z393" t="str">
        <f>IFERROR(INDEX(CHOOSE({1,2,3,4}, DAY(XT!U393), DAY(XT!Y393), DAY(XT!AC393), DAY(XT!AG393)), MATCH(1, INDEX(--(MONTH(CHOOSE({1,2,3,4}, XT!U393,XT!Y393,XT!AC393,XT!AG393))=7), 0), 0)), "")</f>
        <v/>
      </c>
      <c r="AA393" s="12" t="str">
        <f>IF(XT!$P393&gt;0,Z393,"")</f>
        <v/>
      </c>
      <c r="AB393" s="12" t="str">
        <f>IF(XT!$P393=0,Z393,"")</f>
        <v/>
      </c>
      <c r="AC393">
        <f>SUMPRODUCT((MONTH(CHOOSE({1,2,3,4},XT!U393,XT!Y393,XT!AC393,XT!AG393))=8)*(CHOOSE({1,2,3,4},XT!X393,XT!AB393,XT!AF393,XT!AJ393)))</f>
        <v>0</v>
      </c>
      <c r="AD393" t="str">
        <f>IFERROR(INDEX(CHOOSE({1,2,3,4}, DAY(XT!U393), DAY(XT!Y393), DAY(XT!AC393), DAY(XT!AG393)), MATCH(1, INDEX(--(MONTH(CHOOSE({1,2,3,4}, XT!U393,XT!Y393,XT!AC393,XT!AG393))=8), 0), 0)), "")</f>
        <v/>
      </c>
      <c r="AE393" s="12" t="str">
        <f>IF(XT!$P393&gt;0,AD393,"")</f>
        <v/>
      </c>
      <c r="AF393" s="12" t="str">
        <f>IF(XT!$P393=0,AD393,"")</f>
        <v/>
      </c>
      <c r="AG393">
        <f>SUMPRODUCT((MONTH(CHOOSE({1,2,3,4},XT!U393,XT!Y393,XT!AC393,XT!AG393))=9)*(CHOOSE({1,2,3,4},XT!X393,XT!AB393,XT!AF393,XT!AJ393)))</f>
        <v>0</v>
      </c>
      <c r="AH393" t="str">
        <f>IFERROR(INDEX(CHOOSE({1,2,3,4}, DAY(XT!U393), DAY(XT!Y393), DAY(XT!AC393), DAY(XT!AG393)), MATCH(1, INDEX(--(MONTH(CHOOSE({1,2,3,4}, XT!U393,XT!Y393,XT!AC393,XT!AG393))=9), 0), 0)), "")</f>
        <v/>
      </c>
      <c r="AI393" s="12" t="str">
        <f>IF(XT!$P393&gt;0,AH393,"")</f>
        <v/>
      </c>
      <c r="AJ393" s="12" t="str">
        <f>IF(XT!$P393=0,AH393,"")</f>
        <v/>
      </c>
      <c r="AK393">
        <f>SUMPRODUCT((MONTH(CHOOSE({1,2,3,4},XT!U393,XT!Y393,XT!AC393,XT!AG393))=10)*(CHOOSE({1,2,3,4},XT!X393,XT!AB393,XT!AF393,XT!AJ393)))</f>
        <v>0</v>
      </c>
      <c r="AL393" t="str">
        <f>IFERROR(INDEX(CHOOSE({1,2,3,4}, DAY(XT!U393), DAY(XT!Y393), DAY(XT!AC393), DAY(XT!AG393)), MATCH(1, INDEX(--(MONTH(CHOOSE({1,2,3,4}, XT!U393,XT!Y393,XT!AC393,XT!AG393))=10), 0), 0)), "")</f>
        <v/>
      </c>
      <c r="AM393" s="12" t="str">
        <f>IF(XT!$P393&gt;0,AL393,"")</f>
        <v/>
      </c>
      <c r="AN393" s="12" t="str">
        <f>IF(XT!$P393=0,AL393,"")</f>
        <v/>
      </c>
      <c r="AO393">
        <f>SUMPRODUCT((MONTH(CHOOSE({1,2,3,4},XT!U393,XT!Y393,XT!AC393,XT!AG393))=11)*(CHOOSE({1,2,3,4},XT!X393,XT!AB393,XT!AF393,XT!AJ393)))</f>
        <v>0</v>
      </c>
      <c r="AP393" t="str">
        <f>IFERROR(INDEX(CHOOSE({1,2,3,4}, DAY(XT!U393), DAY(XT!Y393), DAY(XT!AC393), DAY(XT!AG393)), MATCH(1, INDEX(--(MONTH(CHOOSE({1,2,3,4}, XT!U393,XT!Y393,XT!AC393,XT!AG393))=11), 0), 0)), "")</f>
        <v/>
      </c>
      <c r="AQ393" s="12" t="str">
        <f>IF(XT!$P393&gt;0,AP393,"")</f>
        <v/>
      </c>
      <c r="AR393" s="12" t="str">
        <f>IF(XT!$P393=0,AP393,"")</f>
        <v/>
      </c>
      <c r="AS393">
        <f>SUMPRODUCT((MONTH(CHOOSE({1,2,3,4},XT!U393,XT!Y393,XT!AC393,XT!AG393))=12)*(CHOOSE({1,2,3,4},XT!X393,XT!AB393,XT!AF393,XT!AJ393)))</f>
        <v>0</v>
      </c>
      <c r="AT393" t="str">
        <f>IFERROR(INDEX(CHOOSE({1,2,3,4}, DAY(XT!U393), DAY(XT!Y393), DAY(XT!AC393), DAY(XT!AG393)), MATCH(1, INDEX(--(MONTH(CHOOSE({1,2,3,4}, XT!U393,XT!Y393,XT!AC393,XT!AG393))=12), 0), 0)), "")</f>
        <v/>
      </c>
      <c r="AU393" s="12" t="str">
        <f>IF(XT!$P393&gt;0,AT393,"")</f>
        <v/>
      </c>
      <c r="AV393" s="12" t="str">
        <f>IF(XT!$P393=0,AT393,"")</f>
        <v/>
      </c>
    </row>
    <row r="394" spans="1:48">
      <c r="A394">
        <f>SUMPRODUCT((MONTH(CHOOSE({1,2,3,4},XT!U394,XT!Y394,XT!AC394,XT!AG394))=1)*(CHOOSE({1,2,3,4},XT!X394,XT!AB394,XT!AF394,XT!AJ394)))</f>
        <v>0</v>
      </c>
      <c r="B394">
        <f>IFERROR(INDEX(CHOOSE({1,2,3,4}, DAY(XT!U394), DAY(XT!Y394), DAY(XT!AC394), DAY(XT!AG394)), MATCH(1, INDEX(--(MONTH(CHOOSE({1,2,3,4}, XT!U394,XT!Y394,XT!AC394,XT!AG394))=1), 0), 0)), "")</f>
        <v>0</v>
      </c>
      <c r="C394" s="12" t="str">
        <f>IF(XT!$P394&gt;0,B394,"")</f>
        <v/>
      </c>
      <c r="D394" s="12">
        <f>IF(XT!$P394=0,B394,"")</f>
        <v>0</v>
      </c>
      <c r="E394">
        <f>SUMPRODUCT((MONTH(CHOOSE({1,2,3,4},XT!U394,XT!Y394,XT!AC394,XT!AG394))=2)*(CHOOSE({1,2,3,4},XT!X394,XT!AB394,XT!AF394,XT!AJ394)))</f>
        <v>0</v>
      </c>
      <c r="F394" t="str">
        <f>IFERROR(INDEX(CHOOSE({1,2,3,4}, DAY(XT!U394), DAY(XT!Y394), DAY(XT!AC394), DAY(XT!AG394)), MATCH(1, INDEX(--(MONTH(CHOOSE({1,2,3,4}, XT!U394,XT!Y394,XT!AC394,XT!AG394))=2), 0), 0)), "")</f>
        <v/>
      </c>
      <c r="G394" s="12" t="str">
        <f>IF(XT!$P394&gt;0,F394,"")</f>
        <v/>
      </c>
      <c r="H394" s="12" t="str">
        <f>IF(XT!$P394=0,F394,"")</f>
        <v/>
      </c>
      <c r="I394">
        <f>SUMPRODUCT((MONTH(CHOOSE({1,2,3,4},XT!U394,XT!Y394,XT!AC394,XT!AG394))=3)*(CHOOSE({1,2,3,4},XT!X394,XT!AB394,XT!AF394,XT!AJ394)))</f>
        <v>0</v>
      </c>
      <c r="J394" t="str">
        <f>IFERROR(INDEX(CHOOSE({1,2,3,4}, DAY(XT!U394), DAY(XT!Y394), DAY(XT!AC394), DAY(XT!AG394)), MATCH(1, INDEX(--(MONTH(CHOOSE({1,2,3,4}, XT!U394,XT!Y394,XT!AC394,XT!AG394))=3), 0), 0)), "")</f>
        <v/>
      </c>
      <c r="K394" s="12" t="str">
        <f>IF(XT!$P394&gt;0,J394,"")</f>
        <v/>
      </c>
      <c r="L394" s="12" t="str">
        <f>IF(XT!$P394=0,J394,"")</f>
        <v/>
      </c>
      <c r="M394">
        <f>SUMPRODUCT((MONTH(CHOOSE({1,2,3,4},XT!U394,XT!Y394,XT!AC394,XT!AG394))=4)*(CHOOSE({1,2,3,4},XT!X394,XT!AB394,XT!AF394,XT!AJ394)))</f>
        <v>0</v>
      </c>
      <c r="N394" t="str">
        <f>IFERROR(INDEX(CHOOSE({1,2,3,4}, DAY(XT!U394), DAY(XT!Y394), DAY(XT!AC394), DAY(XT!AG394)), MATCH(1, INDEX(--(MONTH(CHOOSE({1,2,3,4}, XT!U394,XT!Y394,XT!AC394,XT!AG394))=4), 0), 0)), "")</f>
        <v/>
      </c>
      <c r="O394" s="12" t="str">
        <f>IF(XT!$P394&gt;0,N394,"")</f>
        <v/>
      </c>
      <c r="P394" s="12" t="str">
        <f>IF(XT!$P394=0,N394,"")</f>
        <v/>
      </c>
      <c r="Q394">
        <f>SUMPRODUCT((MONTH(CHOOSE({1,2,3,4},XT!U394,XT!Y394,XT!AC394,XT!AG394))=5)*(CHOOSE({1,2,3,4},XT!X394,XT!AB394,XT!AF394,XT!AJ394)))</f>
        <v>0</v>
      </c>
      <c r="R394" t="str">
        <f>IFERROR(INDEX(CHOOSE({1,2,3,4}, DAY(XT!U394), DAY(XT!Y394), DAY(XT!AC394), DAY(XT!AG394)), MATCH(1, INDEX(--(MONTH(CHOOSE({1,2,3,4}, XT!U394,XT!Y394,XT!AC394,XT!AG394))=5), 0), 0)), "")</f>
        <v/>
      </c>
      <c r="S394" s="12" t="str">
        <f>IF(XT!$P394&gt;0,R394,"")</f>
        <v/>
      </c>
      <c r="T394" s="12" t="str">
        <f>IF(XT!$P394=0,R394,"")</f>
        <v/>
      </c>
      <c r="U394">
        <f>SUMPRODUCT((MONTH(CHOOSE({1,2,3,4},XT!U394,XT!Y394,XT!AC394,XT!AG394))=6)*(CHOOSE({1,2,3,4},XT!X394,XT!AB394,XT!AF394,XT!AJ394)))</f>
        <v>0</v>
      </c>
      <c r="V394" t="str">
        <f>IFERROR(INDEX(CHOOSE({1,2,3,4}, DAY(XT!U394), DAY(XT!Y394), DAY(XT!AC394), DAY(XT!AG394)), MATCH(1, INDEX(--(MONTH(CHOOSE({1,2,3,4}, XT!U394,XT!Y394,XT!AC394,XT!AG394))=6), 0), 0)), "")</f>
        <v/>
      </c>
      <c r="W394" s="12" t="str">
        <f>IF(XT!$P394&gt;0,V394,"")</f>
        <v/>
      </c>
      <c r="X394" s="12" t="str">
        <f>IF(XT!$P394=0,V394,"")</f>
        <v/>
      </c>
      <c r="Y394">
        <f>SUMPRODUCT((MONTH(CHOOSE({1,2,3,4},XT!U394,XT!Y394,XT!AC394,XT!AG394))=7)*(CHOOSE({1,2,3,4},XT!X394,XT!AB394,XT!AF394,XT!AJ394)))</f>
        <v>0</v>
      </c>
      <c r="Z394" t="str">
        <f>IFERROR(INDEX(CHOOSE({1,2,3,4}, DAY(XT!U394), DAY(XT!Y394), DAY(XT!AC394), DAY(XT!AG394)), MATCH(1, INDEX(--(MONTH(CHOOSE({1,2,3,4}, XT!U394,XT!Y394,XT!AC394,XT!AG394))=7), 0), 0)), "")</f>
        <v/>
      </c>
      <c r="AA394" s="12" t="str">
        <f>IF(XT!$P394&gt;0,Z394,"")</f>
        <v/>
      </c>
      <c r="AB394" s="12" t="str">
        <f>IF(XT!$P394=0,Z394,"")</f>
        <v/>
      </c>
      <c r="AC394">
        <f>SUMPRODUCT((MONTH(CHOOSE({1,2,3,4},XT!U394,XT!Y394,XT!AC394,XT!AG394))=8)*(CHOOSE({1,2,3,4},XT!X394,XT!AB394,XT!AF394,XT!AJ394)))</f>
        <v>0</v>
      </c>
      <c r="AD394" t="str">
        <f>IFERROR(INDEX(CHOOSE({1,2,3,4}, DAY(XT!U394), DAY(XT!Y394), DAY(XT!AC394), DAY(XT!AG394)), MATCH(1, INDEX(--(MONTH(CHOOSE({1,2,3,4}, XT!U394,XT!Y394,XT!AC394,XT!AG394))=8), 0), 0)), "")</f>
        <v/>
      </c>
      <c r="AE394" s="12" t="str">
        <f>IF(XT!$P394&gt;0,AD394,"")</f>
        <v/>
      </c>
      <c r="AF394" s="12" t="str">
        <f>IF(XT!$P394=0,AD394,"")</f>
        <v/>
      </c>
      <c r="AG394">
        <f>SUMPRODUCT((MONTH(CHOOSE({1,2,3,4},XT!U394,XT!Y394,XT!AC394,XT!AG394))=9)*(CHOOSE({1,2,3,4},XT!X394,XT!AB394,XT!AF394,XT!AJ394)))</f>
        <v>0</v>
      </c>
      <c r="AH394" t="str">
        <f>IFERROR(INDEX(CHOOSE({1,2,3,4}, DAY(XT!U394), DAY(XT!Y394), DAY(XT!AC394), DAY(XT!AG394)), MATCH(1, INDEX(--(MONTH(CHOOSE({1,2,3,4}, XT!U394,XT!Y394,XT!AC394,XT!AG394))=9), 0), 0)), "")</f>
        <v/>
      </c>
      <c r="AI394" s="12" t="str">
        <f>IF(XT!$P394&gt;0,AH394,"")</f>
        <v/>
      </c>
      <c r="AJ394" s="12" t="str">
        <f>IF(XT!$P394=0,AH394,"")</f>
        <v/>
      </c>
      <c r="AK394">
        <f>SUMPRODUCT((MONTH(CHOOSE({1,2,3,4},XT!U394,XT!Y394,XT!AC394,XT!AG394))=10)*(CHOOSE({1,2,3,4},XT!X394,XT!AB394,XT!AF394,XT!AJ394)))</f>
        <v>0</v>
      </c>
      <c r="AL394" t="str">
        <f>IFERROR(INDEX(CHOOSE({1,2,3,4}, DAY(XT!U394), DAY(XT!Y394), DAY(XT!AC394), DAY(XT!AG394)), MATCH(1, INDEX(--(MONTH(CHOOSE({1,2,3,4}, XT!U394,XT!Y394,XT!AC394,XT!AG394))=10), 0), 0)), "")</f>
        <v/>
      </c>
      <c r="AM394" s="12" t="str">
        <f>IF(XT!$P394&gt;0,AL394,"")</f>
        <v/>
      </c>
      <c r="AN394" s="12" t="str">
        <f>IF(XT!$P394=0,AL394,"")</f>
        <v/>
      </c>
      <c r="AO394">
        <f>SUMPRODUCT((MONTH(CHOOSE({1,2,3,4},XT!U394,XT!Y394,XT!AC394,XT!AG394))=11)*(CHOOSE({1,2,3,4},XT!X394,XT!AB394,XT!AF394,XT!AJ394)))</f>
        <v>0</v>
      </c>
      <c r="AP394" t="str">
        <f>IFERROR(INDEX(CHOOSE({1,2,3,4}, DAY(XT!U394), DAY(XT!Y394), DAY(XT!AC394), DAY(XT!AG394)), MATCH(1, INDEX(--(MONTH(CHOOSE({1,2,3,4}, XT!U394,XT!Y394,XT!AC394,XT!AG394))=11), 0), 0)), "")</f>
        <v/>
      </c>
      <c r="AQ394" s="12" t="str">
        <f>IF(XT!$P394&gt;0,AP394,"")</f>
        <v/>
      </c>
      <c r="AR394" s="12" t="str">
        <f>IF(XT!$P394=0,AP394,"")</f>
        <v/>
      </c>
      <c r="AS394">
        <f>SUMPRODUCT((MONTH(CHOOSE({1,2,3,4},XT!U394,XT!Y394,XT!AC394,XT!AG394))=12)*(CHOOSE({1,2,3,4},XT!X394,XT!AB394,XT!AF394,XT!AJ394)))</f>
        <v>0</v>
      </c>
      <c r="AT394" t="str">
        <f>IFERROR(INDEX(CHOOSE({1,2,3,4}, DAY(XT!U394), DAY(XT!Y394), DAY(XT!AC394), DAY(XT!AG394)), MATCH(1, INDEX(--(MONTH(CHOOSE({1,2,3,4}, XT!U394,XT!Y394,XT!AC394,XT!AG394))=12), 0), 0)), "")</f>
        <v/>
      </c>
      <c r="AU394" s="12" t="str">
        <f>IF(XT!$P394&gt;0,AT394,"")</f>
        <v/>
      </c>
      <c r="AV394" s="12" t="str">
        <f>IF(XT!$P394=0,AT394,"")</f>
        <v/>
      </c>
    </row>
    <row r="395" spans="1:48">
      <c r="A395">
        <f>SUMPRODUCT((MONTH(CHOOSE({1,2,3,4},XT!U395,XT!Y395,XT!AC395,XT!AG395))=1)*(CHOOSE({1,2,3,4},XT!X395,XT!AB395,XT!AF395,XT!AJ395)))</f>
        <v>0</v>
      </c>
      <c r="B395">
        <f>IFERROR(INDEX(CHOOSE({1,2,3,4}, DAY(XT!U395), DAY(XT!Y395), DAY(XT!AC395), DAY(XT!AG395)), MATCH(1, INDEX(--(MONTH(CHOOSE({1,2,3,4}, XT!U395,XT!Y395,XT!AC395,XT!AG395))=1), 0), 0)), "")</f>
        <v>0</v>
      </c>
      <c r="C395" s="12" t="str">
        <f>IF(XT!$P395&gt;0,B395,"")</f>
        <v/>
      </c>
      <c r="D395" s="12">
        <f>IF(XT!$P395=0,B395,"")</f>
        <v>0</v>
      </c>
      <c r="E395">
        <f>SUMPRODUCT((MONTH(CHOOSE({1,2,3,4},XT!U395,XT!Y395,XT!AC395,XT!AG395))=2)*(CHOOSE({1,2,3,4},XT!X395,XT!AB395,XT!AF395,XT!AJ395)))</f>
        <v>0</v>
      </c>
      <c r="F395" t="str">
        <f>IFERROR(INDEX(CHOOSE({1,2,3,4}, DAY(XT!U395), DAY(XT!Y395), DAY(XT!AC395), DAY(XT!AG395)), MATCH(1, INDEX(--(MONTH(CHOOSE({1,2,3,4}, XT!U395,XT!Y395,XT!AC395,XT!AG395))=2), 0), 0)), "")</f>
        <v/>
      </c>
      <c r="G395" s="12" t="str">
        <f>IF(XT!$P395&gt;0,F395,"")</f>
        <v/>
      </c>
      <c r="H395" s="12" t="str">
        <f>IF(XT!$P395=0,F395,"")</f>
        <v/>
      </c>
      <c r="I395">
        <f>SUMPRODUCT((MONTH(CHOOSE({1,2,3,4},XT!U395,XT!Y395,XT!AC395,XT!AG395))=3)*(CHOOSE({1,2,3,4},XT!X395,XT!AB395,XT!AF395,XT!AJ395)))</f>
        <v>0</v>
      </c>
      <c r="J395" t="str">
        <f>IFERROR(INDEX(CHOOSE({1,2,3,4}, DAY(XT!U395), DAY(XT!Y395), DAY(XT!AC395), DAY(XT!AG395)), MATCH(1, INDEX(--(MONTH(CHOOSE({1,2,3,4}, XT!U395,XT!Y395,XT!AC395,XT!AG395))=3), 0), 0)), "")</f>
        <v/>
      </c>
      <c r="K395" s="12" t="str">
        <f>IF(XT!$P395&gt;0,J395,"")</f>
        <v/>
      </c>
      <c r="L395" s="12" t="str">
        <f>IF(XT!$P395=0,J395,"")</f>
        <v/>
      </c>
      <c r="M395">
        <f>SUMPRODUCT((MONTH(CHOOSE({1,2,3,4},XT!U395,XT!Y395,XT!AC395,XT!AG395))=4)*(CHOOSE({1,2,3,4},XT!X395,XT!AB395,XT!AF395,XT!AJ395)))</f>
        <v>0</v>
      </c>
      <c r="N395" t="str">
        <f>IFERROR(INDEX(CHOOSE({1,2,3,4}, DAY(XT!U395), DAY(XT!Y395), DAY(XT!AC395), DAY(XT!AG395)), MATCH(1, INDEX(--(MONTH(CHOOSE({1,2,3,4}, XT!U395,XT!Y395,XT!AC395,XT!AG395))=4), 0), 0)), "")</f>
        <v/>
      </c>
      <c r="O395" s="12" t="str">
        <f>IF(XT!$P395&gt;0,N395,"")</f>
        <v/>
      </c>
      <c r="P395" s="12" t="str">
        <f>IF(XT!$P395=0,N395,"")</f>
        <v/>
      </c>
      <c r="Q395">
        <f>SUMPRODUCT((MONTH(CHOOSE({1,2,3,4},XT!U395,XT!Y395,XT!AC395,XT!AG395))=5)*(CHOOSE({1,2,3,4},XT!X395,XT!AB395,XT!AF395,XT!AJ395)))</f>
        <v>0</v>
      </c>
      <c r="R395" t="str">
        <f>IFERROR(INDEX(CHOOSE({1,2,3,4}, DAY(XT!U395), DAY(XT!Y395), DAY(XT!AC395), DAY(XT!AG395)), MATCH(1, INDEX(--(MONTH(CHOOSE({1,2,3,4}, XT!U395,XT!Y395,XT!AC395,XT!AG395))=5), 0), 0)), "")</f>
        <v/>
      </c>
      <c r="S395" s="12" t="str">
        <f>IF(XT!$P395&gt;0,R395,"")</f>
        <v/>
      </c>
      <c r="T395" s="12" t="str">
        <f>IF(XT!$P395=0,R395,"")</f>
        <v/>
      </c>
      <c r="U395">
        <f>SUMPRODUCT((MONTH(CHOOSE({1,2,3,4},XT!U395,XT!Y395,XT!AC395,XT!AG395))=6)*(CHOOSE({1,2,3,4},XT!X395,XT!AB395,XT!AF395,XT!AJ395)))</f>
        <v>0</v>
      </c>
      <c r="V395" t="str">
        <f>IFERROR(INDEX(CHOOSE({1,2,3,4}, DAY(XT!U395), DAY(XT!Y395), DAY(XT!AC395), DAY(XT!AG395)), MATCH(1, INDEX(--(MONTH(CHOOSE({1,2,3,4}, XT!U395,XT!Y395,XT!AC395,XT!AG395))=6), 0), 0)), "")</f>
        <v/>
      </c>
      <c r="W395" s="12" t="str">
        <f>IF(XT!$P395&gt;0,V395,"")</f>
        <v/>
      </c>
      <c r="X395" s="12" t="str">
        <f>IF(XT!$P395=0,V395,"")</f>
        <v/>
      </c>
      <c r="Y395">
        <f>SUMPRODUCT((MONTH(CHOOSE({1,2,3,4},XT!U395,XT!Y395,XT!AC395,XT!AG395))=7)*(CHOOSE({1,2,3,4},XT!X395,XT!AB395,XT!AF395,XT!AJ395)))</f>
        <v>0</v>
      </c>
      <c r="Z395" t="str">
        <f>IFERROR(INDEX(CHOOSE({1,2,3,4}, DAY(XT!U395), DAY(XT!Y395), DAY(XT!AC395), DAY(XT!AG395)), MATCH(1, INDEX(--(MONTH(CHOOSE({1,2,3,4}, XT!U395,XT!Y395,XT!AC395,XT!AG395))=7), 0), 0)), "")</f>
        <v/>
      </c>
      <c r="AA395" s="12" t="str">
        <f>IF(XT!$P395&gt;0,Z395,"")</f>
        <v/>
      </c>
      <c r="AB395" s="12" t="str">
        <f>IF(XT!$P395=0,Z395,"")</f>
        <v/>
      </c>
      <c r="AC395">
        <f>SUMPRODUCT((MONTH(CHOOSE({1,2,3,4},XT!U395,XT!Y395,XT!AC395,XT!AG395))=8)*(CHOOSE({1,2,3,4},XT!X395,XT!AB395,XT!AF395,XT!AJ395)))</f>
        <v>0</v>
      </c>
      <c r="AD395" t="str">
        <f>IFERROR(INDEX(CHOOSE({1,2,3,4}, DAY(XT!U395), DAY(XT!Y395), DAY(XT!AC395), DAY(XT!AG395)), MATCH(1, INDEX(--(MONTH(CHOOSE({1,2,3,4}, XT!U395,XT!Y395,XT!AC395,XT!AG395))=8), 0), 0)), "")</f>
        <v/>
      </c>
      <c r="AE395" s="12" t="str">
        <f>IF(XT!$P395&gt;0,AD395,"")</f>
        <v/>
      </c>
      <c r="AF395" s="12" t="str">
        <f>IF(XT!$P395=0,AD395,"")</f>
        <v/>
      </c>
      <c r="AG395">
        <f>SUMPRODUCT((MONTH(CHOOSE({1,2,3,4},XT!U395,XT!Y395,XT!AC395,XT!AG395))=9)*(CHOOSE({1,2,3,4},XT!X395,XT!AB395,XT!AF395,XT!AJ395)))</f>
        <v>0</v>
      </c>
      <c r="AH395" t="str">
        <f>IFERROR(INDEX(CHOOSE({1,2,3,4}, DAY(XT!U395), DAY(XT!Y395), DAY(XT!AC395), DAY(XT!AG395)), MATCH(1, INDEX(--(MONTH(CHOOSE({1,2,3,4}, XT!U395,XT!Y395,XT!AC395,XT!AG395))=9), 0), 0)), "")</f>
        <v/>
      </c>
      <c r="AI395" s="12" t="str">
        <f>IF(XT!$P395&gt;0,AH395,"")</f>
        <v/>
      </c>
      <c r="AJ395" s="12" t="str">
        <f>IF(XT!$P395=0,AH395,"")</f>
        <v/>
      </c>
      <c r="AK395">
        <f>SUMPRODUCT((MONTH(CHOOSE({1,2,3,4},XT!U395,XT!Y395,XT!AC395,XT!AG395))=10)*(CHOOSE({1,2,3,4},XT!X395,XT!AB395,XT!AF395,XT!AJ395)))</f>
        <v>0</v>
      </c>
      <c r="AL395" t="str">
        <f>IFERROR(INDEX(CHOOSE({1,2,3,4}, DAY(XT!U395), DAY(XT!Y395), DAY(XT!AC395), DAY(XT!AG395)), MATCH(1, INDEX(--(MONTH(CHOOSE({1,2,3,4}, XT!U395,XT!Y395,XT!AC395,XT!AG395))=10), 0), 0)), "")</f>
        <v/>
      </c>
      <c r="AM395" s="12" t="str">
        <f>IF(XT!$P395&gt;0,AL395,"")</f>
        <v/>
      </c>
      <c r="AN395" s="12" t="str">
        <f>IF(XT!$P395=0,AL395,"")</f>
        <v/>
      </c>
      <c r="AO395">
        <f>SUMPRODUCT((MONTH(CHOOSE({1,2,3,4},XT!U395,XT!Y395,XT!AC395,XT!AG395))=11)*(CHOOSE({1,2,3,4},XT!X395,XT!AB395,XT!AF395,XT!AJ395)))</f>
        <v>0</v>
      </c>
      <c r="AP395" t="str">
        <f>IFERROR(INDEX(CHOOSE({1,2,3,4}, DAY(XT!U395), DAY(XT!Y395), DAY(XT!AC395), DAY(XT!AG395)), MATCH(1, INDEX(--(MONTH(CHOOSE({1,2,3,4}, XT!U395,XT!Y395,XT!AC395,XT!AG395))=11), 0), 0)), "")</f>
        <v/>
      </c>
      <c r="AQ395" s="12" t="str">
        <f>IF(XT!$P395&gt;0,AP395,"")</f>
        <v/>
      </c>
      <c r="AR395" s="12" t="str">
        <f>IF(XT!$P395=0,AP395,"")</f>
        <v/>
      </c>
      <c r="AS395">
        <f>SUMPRODUCT((MONTH(CHOOSE({1,2,3,4},XT!U395,XT!Y395,XT!AC395,XT!AG395))=12)*(CHOOSE({1,2,3,4},XT!X395,XT!AB395,XT!AF395,XT!AJ395)))</f>
        <v>0</v>
      </c>
      <c r="AT395" t="str">
        <f>IFERROR(INDEX(CHOOSE({1,2,3,4}, DAY(XT!U395), DAY(XT!Y395), DAY(XT!AC395), DAY(XT!AG395)), MATCH(1, INDEX(--(MONTH(CHOOSE({1,2,3,4}, XT!U395,XT!Y395,XT!AC395,XT!AG395))=12), 0), 0)), "")</f>
        <v/>
      </c>
      <c r="AU395" s="12" t="str">
        <f>IF(XT!$P395&gt;0,AT395,"")</f>
        <v/>
      </c>
      <c r="AV395" s="12" t="str">
        <f>IF(XT!$P395=0,AT395,"")</f>
        <v/>
      </c>
    </row>
    <row r="396" spans="1:48">
      <c r="A396">
        <f>SUMPRODUCT((MONTH(CHOOSE({1,2,3,4},XT!U396,XT!Y396,XT!AC396,XT!AG396))=1)*(CHOOSE({1,2,3,4},XT!X396,XT!AB396,XT!AF396,XT!AJ396)))</f>
        <v>0</v>
      </c>
      <c r="B396">
        <f>IFERROR(INDEX(CHOOSE({1,2,3,4}, DAY(XT!U396), DAY(XT!Y396), DAY(XT!AC396), DAY(XT!AG396)), MATCH(1, INDEX(--(MONTH(CHOOSE({1,2,3,4}, XT!U396,XT!Y396,XT!AC396,XT!AG396))=1), 0), 0)), "")</f>
        <v>0</v>
      </c>
      <c r="C396" s="12" t="str">
        <f>IF(XT!$P396&gt;0,B396,"")</f>
        <v/>
      </c>
      <c r="D396" s="12">
        <f>IF(XT!$P396=0,B396,"")</f>
        <v>0</v>
      </c>
      <c r="E396">
        <f>SUMPRODUCT((MONTH(CHOOSE({1,2,3,4},XT!U396,XT!Y396,XT!AC396,XT!AG396))=2)*(CHOOSE({1,2,3,4},XT!X396,XT!AB396,XT!AF396,XT!AJ396)))</f>
        <v>0</v>
      </c>
      <c r="F396" t="str">
        <f>IFERROR(INDEX(CHOOSE({1,2,3,4}, DAY(XT!U396), DAY(XT!Y396), DAY(XT!AC396), DAY(XT!AG396)), MATCH(1, INDEX(--(MONTH(CHOOSE({1,2,3,4}, XT!U396,XT!Y396,XT!AC396,XT!AG396))=2), 0), 0)), "")</f>
        <v/>
      </c>
      <c r="G396" s="12" t="str">
        <f>IF(XT!$P396&gt;0,F396,"")</f>
        <v/>
      </c>
      <c r="H396" s="12" t="str">
        <f>IF(XT!$P396=0,F396,"")</f>
        <v/>
      </c>
      <c r="I396">
        <f>SUMPRODUCT((MONTH(CHOOSE({1,2,3,4},XT!U396,XT!Y396,XT!AC396,XT!AG396))=3)*(CHOOSE({1,2,3,4},XT!X396,XT!AB396,XT!AF396,XT!AJ396)))</f>
        <v>0</v>
      </c>
      <c r="J396" t="str">
        <f>IFERROR(INDEX(CHOOSE({1,2,3,4}, DAY(XT!U396), DAY(XT!Y396), DAY(XT!AC396), DAY(XT!AG396)), MATCH(1, INDEX(--(MONTH(CHOOSE({1,2,3,4}, XT!U396,XT!Y396,XT!AC396,XT!AG396))=3), 0), 0)), "")</f>
        <v/>
      </c>
      <c r="K396" s="12" t="str">
        <f>IF(XT!$P396&gt;0,J396,"")</f>
        <v/>
      </c>
      <c r="L396" s="12" t="str">
        <f>IF(XT!$P396=0,J396,"")</f>
        <v/>
      </c>
      <c r="M396">
        <f>SUMPRODUCT((MONTH(CHOOSE({1,2,3,4},XT!U396,XT!Y396,XT!AC396,XT!AG396))=4)*(CHOOSE({1,2,3,4},XT!X396,XT!AB396,XT!AF396,XT!AJ396)))</f>
        <v>0</v>
      </c>
      <c r="N396" t="str">
        <f>IFERROR(INDEX(CHOOSE({1,2,3,4}, DAY(XT!U396), DAY(XT!Y396), DAY(XT!AC396), DAY(XT!AG396)), MATCH(1, INDEX(--(MONTH(CHOOSE({1,2,3,4}, XT!U396,XT!Y396,XT!AC396,XT!AG396))=4), 0), 0)), "")</f>
        <v/>
      </c>
      <c r="O396" s="12" t="str">
        <f>IF(XT!$P396&gt;0,N396,"")</f>
        <v/>
      </c>
      <c r="P396" s="12" t="str">
        <f>IF(XT!$P396=0,N396,"")</f>
        <v/>
      </c>
      <c r="Q396">
        <f>SUMPRODUCT((MONTH(CHOOSE({1,2,3,4},XT!U396,XT!Y396,XT!AC396,XT!AG396))=5)*(CHOOSE({1,2,3,4},XT!X396,XT!AB396,XT!AF396,XT!AJ396)))</f>
        <v>0</v>
      </c>
      <c r="R396" t="str">
        <f>IFERROR(INDEX(CHOOSE({1,2,3,4}, DAY(XT!U396), DAY(XT!Y396), DAY(XT!AC396), DAY(XT!AG396)), MATCH(1, INDEX(--(MONTH(CHOOSE({1,2,3,4}, XT!U396,XT!Y396,XT!AC396,XT!AG396))=5), 0), 0)), "")</f>
        <v/>
      </c>
      <c r="S396" s="12" t="str">
        <f>IF(XT!$P396&gt;0,R396,"")</f>
        <v/>
      </c>
      <c r="T396" s="12" t="str">
        <f>IF(XT!$P396=0,R396,"")</f>
        <v/>
      </c>
      <c r="U396">
        <f>SUMPRODUCT((MONTH(CHOOSE({1,2,3,4},XT!U396,XT!Y396,XT!AC396,XT!AG396))=6)*(CHOOSE({1,2,3,4},XT!X396,XT!AB396,XT!AF396,XT!AJ396)))</f>
        <v>0</v>
      </c>
      <c r="V396" t="str">
        <f>IFERROR(INDEX(CHOOSE({1,2,3,4}, DAY(XT!U396), DAY(XT!Y396), DAY(XT!AC396), DAY(XT!AG396)), MATCH(1, INDEX(--(MONTH(CHOOSE({1,2,3,4}, XT!U396,XT!Y396,XT!AC396,XT!AG396))=6), 0), 0)), "")</f>
        <v/>
      </c>
      <c r="W396" s="12" t="str">
        <f>IF(XT!$P396&gt;0,V396,"")</f>
        <v/>
      </c>
      <c r="X396" s="12" t="str">
        <f>IF(XT!$P396=0,V396,"")</f>
        <v/>
      </c>
      <c r="Y396">
        <f>SUMPRODUCT((MONTH(CHOOSE({1,2,3,4},XT!U396,XT!Y396,XT!AC396,XT!AG396))=7)*(CHOOSE({1,2,3,4},XT!X396,XT!AB396,XT!AF396,XT!AJ396)))</f>
        <v>0</v>
      </c>
      <c r="Z396" t="str">
        <f>IFERROR(INDEX(CHOOSE({1,2,3,4}, DAY(XT!U396), DAY(XT!Y396), DAY(XT!AC396), DAY(XT!AG396)), MATCH(1, INDEX(--(MONTH(CHOOSE({1,2,3,4}, XT!U396,XT!Y396,XT!AC396,XT!AG396))=7), 0), 0)), "")</f>
        <v/>
      </c>
      <c r="AA396" s="12" t="str">
        <f>IF(XT!$P396&gt;0,Z396,"")</f>
        <v/>
      </c>
      <c r="AB396" s="12" t="str">
        <f>IF(XT!$P396=0,Z396,"")</f>
        <v/>
      </c>
      <c r="AC396">
        <f>SUMPRODUCT((MONTH(CHOOSE({1,2,3,4},XT!U396,XT!Y396,XT!AC396,XT!AG396))=8)*(CHOOSE({1,2,3,4},XT!X396,XT!AB396,XT!AF396,XT!AJ396)))</f>
        <v>0</v>
      </c>
      <c r="AD396" t="str">
        <f>IFERROR(INDEX(CHOOSE({1,2,3,4}, DAY(XT!U396), DAY(XT!Y396), DAY(XT!AC396), DAY(XT!AG396)), MATCH(1, INDEX(--(MONTH(CHOOSE({1,2,3,4}, XT!U396,XT!Y396,XT!AC396,XT!AG396))=8), 0), 0)), "")</f>
        <v/>
      </c>
      <c r="AE396" s="12" t="str">
        <f>IF(XT!$P396&gt;0,AD396,"")</f>
        <v/>
      </c>
      <c r="AF396" s="12" t="str">
        <f>IF(XT!$P396=0,AD396,"")</f>
        <v/>
      </c>
      <c r="AG396">
        <f>SUMPRODUCT((MONTH(CHOOSE({1,2,3,4},XT!U396,XT!Y396,XT!AC396,XT!AG396))=9)*(CHOOSE({1,2,3,4},XT!X396,XT!AB396,XT!AF396,XT!AJ396)))</f>
        <v>0</v>
      </c>
      <c r="AH396" t="str">
        <f>IFERROR(INDEX(CHOOSE({1,2,3,4}, DAY(XT!U396), DAY(XT!Y396), DAY(XT!AC396), DAY(XT!AG396)), MATCH(1, INDEX(--(MONTH(CHOOSE({1,2,3,4}, XT!U396,XT!Y396,XT!AC396,XT!AG396))=9), 0), 0)), "")</f>
        <v/>
      </c>
      <c r="AI396" s="12" t="str">
        <f>IF(XT!$P396&gt;0,AH396,"")</f>
        <v/>
      </c>
      <c r="AJ396" s="12" t="str">
        <f>IF(XT!$P396=0,AH396,"")</f>
        <v/>
      </c>
      <c r="AK396">
        <f>SUMPRODUCT((MONTH(CHOOSE({1,2,3,4},XT!U396,XT!Y396,XT!AC396,XT!AG396))=10)*(CHOOSE({1,2,3,4},XT!X396,XT!AB396,XT!AF396,XT!AJ396)))</f>
        <v>0</v>
      </c>
      <c r="AL396" t="str">
        <f>IFERROR(INDEX(CHOOSE({1,2,3,4}, DAY(XT!U396), DAY(XT!Y396), DAY(XT!AC396), DAY(XT!AG396)), MATCH(1, INDEX(--(MONTH(CHOOSE({1,2,3,4}, XT!U396,XT!Y396,XT!AC396,XT!AG396))=10), 0), 0)), "")</f>
        <v/>
      </c>
      <c r="AM396" s="12" t="str">
        <f>IF(XT!$P396&gt;0,AL396,"")</f>
        <v/>
      </c>
      <c r="AN396" s="12" t="str">
        <f>IF(XT!$P396=0,AL396,"")</f>
        <v/>
      </c>
      <c r="AO396">
        <f>SUMPRODUCT((MONTH(CHOOSE({1,2,3,4},XT!U396,XT!Y396,XT!AC396,XT!AG396))=11)*(CHOOSE({1,2,3,4},XT!X396,XT!AB396,XT!AF396,XT!AJ396)))</f>
        <v>0</v>
      </c>
      <c r="AP396" t="str">
        <f>IFERROR(INDEX(CHOOSE({1,2,3,4}, DAY(XT!U396), DAY(XT!Y396), DAY(XT!AC396), DAY(XT!AG396)), MATCH(1, INDEX(--(MONTH(CHOOSE({1,2,3,4}, XT!U396,XT!Y396,XT!AC396,XT!AG396))=11), 0), 0)), "")</f>
        <v/>
      </c>
      <c r="AQ396" s="12" t="str">
        <f>IF(XT!$P396&gt;0,AP396,"")</f>
        <v/>
      </c>
      <c r="AR396" s="12" t="str">
        <f>IF(XT!$P396=0,AP396,"")</f>
        <v/>
      </c>
      <c r="AS396">
        <f>SUMPRODUCT((MONTH(CHOOSE({1,2,3,4},XT!U396,XT!Y396,XT!AC396,XT!AG396))=12)*(CHOOSE({1,2,3,4},XT!X396,XT!AB396,XT!AF396,XT!AJ396)))</f>
        <v>0</v>
      </c>
      <c r="AT396" t="str">
        <f>IFERROR(INDEX(CHOOSE({1,2,3,4}, DAY(XT!U396), DAY(XT!Y396), DAY(XT!AC396), DAY(XT!AG396)), MATCH(1, INDEX(--(MONTH(CHOOSE({1,2,3,4}, XT!U396,XT!Y396,XT!AC396,XT!AG396))=12), 0), 0)), "")</f>
        <v/>
      </c>
      <c r="AU396" s="12" t="str">
        <f>IF(XT!$P396&gt;0,AT396,"")</f>
        <v/>
      </c>
      <c r="AV396" s="12" t="str">
        <f>IF(XT!$P396=0,AT396,"")</f>
        <v/>
      </c>
    </row>
    <row r="397" spans="1:48">
      <c r="A397">
        <f>SUMPRODUCT((MONTH(CHOOSE({1,2,3,4},XT!U397,XT!Y397,XT!AC397,XT!AG397))=1)*(CHOOSE({1,2,3,4},XT!X397,XT!AB397,XT!AF397,XT!AJ397)))</f>
        <v>0</v>
      </c>
      <c r="B397">
        <f>IFERROR(INDEX(CHOOSE({1,2,3,4}, DAY(XT!U397), DAY(XT!Y397), DAY(XT!AC397), DAY(XT!AG397)), MATCH(1, INDEX(--(MONTH(CHOOSE({1,2,3,4}, XT!U397,XT!Y397,XT!AC397,XT!AG397))=1), 0), 0)), "")</f>
        <v>0</v>
      </c>
      <c r="C397" s="12" t="str">
        <f>IF(XT!$P397&gt;0,B397,"")</f>
        <v/>
      </c>
      <c r="D397" s="12">
        <f>IF(XT!$P397=0,B397,"")</f>
        <v>0</v>
      </c>
      <c r="E397">
        <f>SUMPRODUCT((MONTH(CHOOSE({1,2,3,4},XT!U397,XT!Y397,XT!AC397,XT!AG397))=2)*(CHOOSE({1,2,3,4},XT!X397,XT!AB397,XT!AF397,XT!AJ397)))</f>
        <v>0</v>
      </c>
      <c r="F397" t="str">
        <f>IFERROR(INDEX(CHOOSE({1,2,3,4}, DAY(XT!U397), DAY(XT!Y397), DAY(XT!AC397), DAY(XT!AG397)), MATCH(1, INDEX(--(MONTH(CHOOSE({1,2,3,4}, XT!U397,XT!Y397,XT!AC397,XT!AG397))=2), 0), 0)), "")</f>
        <v/>
      </c>
      <c r="G397" s="12" t="str">
        <f>IF(XT!$P397&gt;0,F397,"")</f>
        <v/>
      </c>
      <c r="H397" s="12" t="str">
        <f>IF(XT!$P397=0,F397,"")</f>
        <v/>
      </c>
      <c r="I397">
        <f>SUMPRODUCT((MONTH(CHOOSE({1,2,3,4},XT!U397,XT!Y397,XT!AC397,XT!AG397))=3)*(CHOOSE({1,2,3,4},XT!X397,XT!AB397,XT!AF397,XT!AJ397)))</f>
        <v>0</v>
      </c>
      <c r="J397" t="str">
        <f>IFERROR(INDEX(CHOOSE({1,2,3,4}, DAY(XT!U397), DAY(XT!Y397), DAY(XT!AC397), DAY(XT!AG397)), MATCH(1, INDEX(--(MONTH(CHOOSE({1,2,3,4}, XT!U397,XT!Y397,XT!AC397,XT!AG397))=3), 0), 0)), "")</f>
        <v/>
      </c>
      <c r="K397" s="12" t="str">
        <f>IF(XT!$P397&gt;0,J397,"")</f>
        <v/>
      </c>
      <c r="L397" s="12" t="str">
        <f>IF(XT!$P397=0,J397,"")</f>
        <v/>
      </c>
      <c r="M397">
        <f>SUMPRODUCT((MONTH(CHOOSE({1,2,3,4},XT!U397,XT!Y397,XT!AC397,XT!AG397))=4)*(CHOOSE({1,2,3,4},XT!X397,XT!AB397,XT!AF397,XT!AJ397)))</f>
        <v>0</v>
      </c>
      <c r="N397" t="str">
        <f>IFERROR(INDEX(CHOOSE({1,2,3,4}, DAY(XT!U397), DAY(XT!Y397), DAY(XT!AC397), DAY(XT!AG397)), MATCH(1, INDEX(--(MONTH(CHOOSE({1,2,3,4}, XT!U397,XT!Y397,XT!AC397,XT!AG397))=4), 0), 0)), "")</f>
        <v/>
      </c>
      <c r="O397" s="12" t="str">
        <f>IF(XT!$P397&gt;0,N397,"")</f>
        <v/>
      </c>
      <c r="P397" s="12" t="str">
        <f>IF(XT!$P397=0,N397,"")</f>
        <v/>
      </c>
      <c r="Q397">
        <f>SUMPRODUCT((MONTH(CHOOSE({1,2,3,4},XT!U397,XT!Y397,XT!AC397,XT!AG397))=5)*(CHOOSE({1,2,3,4},XT!X397,XT!AB397,XT!AF397,XT!AJ397)))</f>
        <v>0</v>
      </c>
      <c r="R397" t="str">
        <f>IFERROR(INDEX(CHOOSE({1,2,3,4}, DAY(XT!U397), DAY(XT!Y397), DAY(XT!AC397), DAY(XT!AG397)), MATCH(1, INDEX(--(MONTH(CHOOSE({1,2,3,4}, XT!U397,XT!Y397,XT!AC397,XT!AG397))=5), 0), 0)), "")</f>
        <v/>
      </c>
      <c r="S397" s="12" t="str">
        <f>IF(XT!$P397&gt;0,R397,"")</f>
        <v/>
      </c>
      <c r="T397" s="12" t="str">
        <f>IF(XT!$P397=0,R397,"")</f>
        <v/>
      </c>
      <c r="U397">
        <f>SUMPRODUCT((MONTH(CHOOSE({1,2,3,4},XT!U397,XT!Y397,XT!AC397,XT!AG397))=6)*(CHOOSE({1,2,3,4},XT!X397,XT!AB397,XT!AF397,XT!AJ397)))</f>
        <v>0</v>
      </c>
      <c r="V397" t="str">
        <f>IFERROR(INDEX(CHOOSE({1,2,3,4}, DAY(XT!U397), DAY(XT!Y397), DAY(XT!AC397), DAY(XT!AG397)), MATCH(1, INDEX(--(MONTH(CHOOSE({1,2,3,4}, XT!U397,XT!Y397,XT!AC397,XT!AG397))=6), 0), 0)), "")</f>
        <v/>
      </c>
      <c r="W397" s="12" t="str">
        <f>IF(XT!$P397&gt;0,V397,"")</f>
        <v/>
      </c>
      <c r="X397" s="12" t="str">
        <f>IF(XT!$P397=0,V397,"")</f>
        <v/>
      </c>
      <c r="Y397">
        <f>SUMPRODUCT((MONTH(CHOOSE({1,2,3,4},XT!U397,XT!Y397,XT!AC397,XT!AG397))=7)*(CHOOSE({1,2,3,4},XT!X397,XT!AB397,XT!AF397,XT!AJ397)))</f>
        <v>0</v>
      </c>
      <c r="Z397" t="str">
        <f>IFERROR(INDEX(CHOOSE({1,2,3,4}, DAY(XT!U397), DAY(XT!Y397), DAY(XT!AC397), DAY(XT!AG397)), MATCH(1, INDEX(--(MONTH(CHOOSE({1,2,3,4}, XT!U397,XT!Y397,XT!AC397,XT!AG397))=7), 0), 0)), "")</f>
        <v/>
      </c>
      <c r="AA397" s="12" t="str">
        <f>IF(XT!$P397&gt;0,Z397,"")</f>
        <v/>
      </c>
      <c r="AB397" s="12" t="str">
        <f>IF(XT!$P397=0,Z397,"")</f>
        <v/>
      </c>
      <c r="AC397">
        <f>SUMPRODUCT((MONTH(CHOOSE({1,2,3,4},XT!U397,XT!Y397,XT!AC397,XT!AG397))=8)*(CHOOSE({1,2,3,4},XT!X397,XT!AB397,XT!AF397,XT!AJ397)))</f>
        <v>0</v>
      </c>
      <c r="AD397" t="str">
        <f>IFERROR(INDEX(CHOOSE({1,2,3,4}, DAY(XT!U397), DAY(XT!Y397), DAY(XT!AC397), DAY(XT!AG397)), MATCH(1, INDEX(--(MONTH(CHOOSE({1,2,3,4}, XT!U397,XT!Y397,XT!AC397,XT!AG397))=8), 0), 0)), "")</f>
        <v/>
      </c>
      <c r="AE397" s="12" t="str">
        <f>IF(XT!$P397&gt;0,AD397,"")</f>
        <v/>
      </c>
      <c r="AF397" s="12" t="str">
        <f>IF(XT!$P397=0,AD397,"")</f>
        <v/>
      </c>
      <c r="AG397">
        <f>SUMPRODUCT((MONTH(CHOOSE({1,2,3,4},XT!U397,XT!Y397,XT!AC397,XT!AG397))=9)*(CHOOSE({1,2,3,4},XT!X397,XT!AB397,XT!AF397,XT!AJ397)))</f>
        <v>0</v>
      </c>
      <c r="AH397" t="str">
        <f>IFERROR(INDEX(CHOOSE({1,2,3,4}, DAY(XT!U397), DAY(XT!Y397), DAY(XT!AC397), DAY(XT!AG397)), MATCH(1, INDEX(--(MONTH(CHOOSE({1,2,3,4}, XT!U397,XT!Y397,XT!AC397,XT!AG397))=9), 0), 0)), "")</f>
        <v/>
      </c>
      <c r="AI397" s="12" t="str">
        <f>IF(XT!$P397&gt;0,AH397,"")</f>
        <v/>
      </c>
      <c r="AJ397" s="12" t="str">
        <f>IF(XT!$P397=0,AH397,"")</f>
        <v/>
      </c>
      <c r="AK397">
        <f>SUMPRODUCT((MONTH(CHOOSE({1,2,3,4},XT!U397,XT!Y397,XT!AC397,XT!AG397))=10)*(CHOOSE({1,2,3,4},XT!X397,XT!AB397,XT!AF397,XT!AJ397)))</f>
        <v>0</v>
      </c>
      <c r="AL397" t="str">
        <f>IFERROR(INDEX(CHOOSE({1,2,3,4}, DAY(XT!U397), DAY(XT!Y397), DAY(XT!AC397), DAY(XT!AG397)), MATCH(1, INDEX(--(MONTH(CHOOSE({1,2,3,4}, XT!U397,XT!Y397,XT!AC397,XT!AG397))=10), 0), 0)), "")</f>
        <v/>
      </c>
      <c r="AM397" s="12" t="str">
        <f>IF(XT!$P397&gt;0,AL397,"")</f>
        <v/>
      </c>
      <c r="AN397" s="12" t="str">
        <f>IF(XT!$P397=0,AL397,"")</f>
        <v/>
      </c>
      <c r="AO397">
        <f>SUMPRODUCT((MONTH(CHOOSE({1,2,3,4},XT!U397,XT!Y397,XT!AC397,XT!AG397))=11)*(CHOOSE({1,2,3,4},XT!X397,XT!AB397,XT!AF397,XT!AJ397)))</f>
        <v>0</v>
      </c>
      <c r="AP397" t="str">
        <f>IFERROR(INDEX(CHOOSE({1,2,3,4}, DAY(XT!U397), DAY(XT!Y397), DAY(XT!AC397), DAY(XT!AG397)), MATCH(1, INDEX(--(MONTH(CHOOSE({1,2,3,4}, XT!U397,XT!Y397,XT!AC397,XT!AG397))=11), 0), 0)), "")</f>
        <v/>
      </c>
      <c r="AQ397" s="12" t="str">
        <f>IF(XT!$P397&gt;0,AP397,"")</f>
        <v/>
      </c>
      <c r="AR397" s="12" t="str">
        <f>IF(XT!$P397=0,AP397,"")</f>
        <v/>
      </c>
      <c r="AS397">
        <f>SUMPRODUCT((MONTH(CHOOSE({1,2,3,4},XT!U397,XT!Y397,XT!AC397,XT!AG397))=12)*(CHOOSE({1,2,3,4},XT!X397,XT!AB397,XT!AF397,XT!AJ397)))</f>
        <v>0</v>
      </c>
      <c r="AT397" t="str">
        <f>IFERROR(INDEX(CHOOSE({1,2,3,4}, DAY(XT!U397), DAY(XT!Y397), DAY(XT!AC397), DAY(XT!AG397)), MATCH(1, INDEX(--(MONTH(CHOOSE({1,2,3,4}, XT!U397,XT!Y397,XT!AC397,XT!AG397))=12), 0), 0)), "")</f>
        <v/>
      </c>
      <c r="AU397" s="12" t="str">
        <f>IF(XT!$P397&gt;0,AT397,"")</f>
        <v/>
      </c>
      <c r="AV397" s="12" t="str">
        <f>IF(XT!$P397=0,AT397,"")</f>
        <v/>
      </c>
    </row>
    <row r="398" spans="1:48">
      <c r="A398">
        <f>SUMPRODUCT((MONTH(CHOOSE({1,2,3,4},XT!U398,XT!Y398,XT!AC398,XT!AG398))=1)*(CHOOSE({1,2,3,4},XT!X398,XT!AB398,XT!AF398,XT!AJ398)))</f>
        <v>0</v>
      </c>
      <c r="B398">
        <f>IFERROR(INDEX(CHOOSE({1,2,3,4}, DAY(XT!U398), DAY(XT!Y398), DAY(XT!AC398), DAY(XT!AG398)), MATCH(1, INDEX(--(MONTH(CHOOSE({1,2,3,4}, XT!U398,XT!Y398,XT!AC398,XT!AG398))=1), 0), 0)), "")</f>
        <v>0</v>
      </c>
      <c r="C398" s="12" t="str">
        <f>IF(XT!$P398&gt;0,B398,"")</f>
        <v/>
      </c>
      <c r="D398" s="12">
        <f>IF(XT!$P398=0,B398,"")</f>
        <v>0</v>
      </c>
      <c r="E398">
        <f>SUMPRODUCT((MONTH(CHOOSE({1,2,3,4},XT!U398,XT!Y398,XT!AC398,XT!AG398))=2)*(CHOOSE({1,2,3,4},XT!X398,XT!AB398,XT!AF398,XT!AJ398)))</f>
        <v>0</v>
      </c>
      <c r="F398" t="str">
        <f>IFERROR(INDEX(CHOOSE({1,2,3,4}, DAY(XT!U398), DAY(XT!Y398), DAY(XT!AC398), DAY(XT!AG398)), MATCH(1, INDEX(--(MONTH(CHOOSE({1,2,3,4}, XT!U398,XT!Y398,XT!AC398,XT!AG398))=2), 0), 0)), "")</f>
        <v/>
      </c>
      <c r="G398" s="12" t="str">
        <f>IF(XT!$P398&gt;0,F398,"")</f>
        <v/>
      </c>
      <c r="H398" s="12" t="str">
        <f>IF(XT!$P398=0,F398,"")</f>
        <v/>
      </c>
      <c r="I398">
        <f>SUMPRODUCT((MONTH(CHOOSE({1,2,3,4},XT!U398,XT!Y398,XT!AC398,XT!AG398))=3)*(CHOOSE({1,2,3,4},XT!X398,XT!AB398,XT!AF398,XT!AJ398)))</f>
        <v>0</v>
      </c>
      <c r="J398" t="str">
        <f>IFERROR(INDEX(CHOOSE({1,2,3,4}, DAY(XT!U398), DAY(XT!Y398), DAY(XT!AC398), DAY(XT!AG398)), MATCH(1, INDEX(--(MONTH(CHOOSE({1,2,3,4}, XT!U398,XT!Y398,XT!AC398,XT!AG398))=3), 0), 0)), "")</f>
        <v/>
      </c>
      <c r="K398" s="12" t="str">
        <f>IF(XT!$P398&gt;0,J398,"")</f>
        <v/>
      </c>
      <c r="L398" s="12" t="str">
        <f>IF(XT!$P398=0,J398,"")</f>
        <v/>
      </c>
      <c r="M398">
        <f>SUMPRODUCT((MONTH(CHOOSE({1,2,3,4},XT!U398,XT!Y398,XT!AC398,XT!AG398))=4)*(CHOOSE({1,2,3,4},XT!X398,XT!AB398,XT!AF398,XT!AJ398)))</f>
        <v>0</v>
      </c>
      <c r="N398" t="str">
        <f>IFERROR(INDEX(CHOOSE({1,2,3,4}, DAY(XT!U398), DAY(XT!Y398), DAY(XT!AC398), DAY(XT!AG398)), MATCH(1, INDEX(--(MONTH(CHOOSE({1,2,3,4}, XT!U398,XT!Y398,XT!AC398,XT!AG398))=4), 0), 0)), "")</f>
        <v/>
      </c>
      <c r="O398" s="12" t="str">
        <f>IF(XT!$P398&gt;0,N398,"")</f>
        <v/>
      </c>
      <c r="P398" s="12" t="str">
        <f>IF(XT!$P398=0,N398,"")</f>
        <v/>
      </c>
      <c r="Q398">
        <f>SUMPRODUCT((MONTH(CHOOSE({1,2,3,4},XT!U398,XT!Y398,XT!AC398,XT!AG398))=5)*(CHOOSE({1,2,3,4},XT!X398,XT!AB398,XT!AF398,XT!AJ398)))</f>
        <v>0</v>
      </c>
      <c r="R398" t="str">
        <f>IFERROR(INDEX(CHOOSE({1,2,3,4}, DAY(XT!U398), DAY(XT!Y398), DAY(XT!AC398), DAY(XT!AG398)), MATCH(1, INDEX(--(MONTH(CHOOSE({1,2,3,4}, XT!U398,XT!Y398,XT!AC398,XT!AG398))=5), 0), 0)), "")</f>
        <v/>
      </c>
      <c r="S398" s="12" t="str">
        <f>IF(XT!$P398&gt;0,R398,"")</f>
        <v/>
      </c>
      <c r="T398" s="12" t="str">
        <f>IF(XT!$P398=0,R398,"")</f>
        <v/>
      </c>
      <c r="U398">
        <f>SUMPRODUCT((MONTH(CHOOSE({1,2,3,4},XT!U398,XT!Y398,XT!AC398,XT!AG398))=6)*(CHOOSE({1,2,3,4},XT!X398,XT!AB398,XT!AF398,XT!AJ398)))</f>
        <v>0</v>
      </c>
      <c r="V398" t="str">
        <f>IFERROR(INDEX(CHOOSE({1,2,3,4}, DAY(XT!U398), DAY(XT!Y398), DAY(XT!AC398), DAY(XT!AG398)), MATCH(1, INDEX(--(MONTH(CHOOSE({1,2,3,4}, XT!U398,XT!Y398,XT!AC398,XT!AG398))=6), 0), 0)), "")</f>
        <v/>
      </c>
      <c r="W398" s="12" t="str">
        <f>IF(XT!$P398&gt;0,V398,"")</f>
        <v/>
      </c>
      <c r="X398" s="12" t="str">
        <f>IF(XT!$P398=0,V398,"")</f>
        <v/>
      </c>
      <c r="Y398">
        <f>SUMPRODUCT((MONTH(CHOOSE({1,2,3,4},XT!U398,XT!Y398,XT!AC398,XT!AG398))=7)*(CHOOSE({1,2,3,4},XT!X398,XT!AB398,XT!AF398,XT!AJ398)))</f>
        <v>0</v>
      </c>
      <c r="Z398" t="str">
        <f>IFERROR(INDEX(CHOOSE({1,2,3,4}, DAY(XT!U398), DAY(XT!Y398), DAY(XT!AC398), DAY(XT!AG398)), MATCH(1, INDEX(--(MONTH(CHOOSE({1,2,3,4}, XT!U398,XT!Y398,XT!AC398,XT!AG398))=7), 0), 0)), "")</f>
        <v/>
      </c>
      <c r="AA398" s="12" t="str">
        <f>IF(XT!$P398&gt;0,Z398,"")</f>
        <v/>
      </c>
      <c r="AB398" s="12" t="str">
        <f>IF(XT!$P398=0,Z398,"")</f>
        <v/>
      </c>
      <c r="AC398">
        <f>SUMPRODUCT((MONTH(CHOOSE({1,2,3,4},XT!U398,XT!Y398,XT!AC398,XT!AG398))=8)*(CHOOSE({1,2,3,4},XT!X398,XT!AB398,XT!AF398,XT!AJ398)))</f>
        <v>0</v>
      </c>
      <c r="AD398" t="str">
        <f>IFERROR(INDEX(CHOOSE({1,2,3,4}, DAY(XT!U398), DAY(XT!Y398), DAY(XT!AC398), DAY(XT!AG398)), MATCH(1, INDEX(--(MONTH(CHOOSE({1,2,3,4}, XT!U398,XT!Y398,XT!AC398,XT!AG398))=8), 0), 0)), "")</f>
        <v/>
      </c>
      <c r="AE398" s="12" t="str">
        <f>IF(XT!$P398&gt;0,AD398,"")</f>
        <v/>
      </c>
      <c r="AF398" s="12" t="str">
        <f>IF(XT!$P398=0,AD398,"")</f>
        <v/>
      </c>
      <c r="AG398">
        <f>SUMPRODUCT((MONTH(CHOOSE({1,2,3,4},XT!U398,XT!Y398,XT!AC398,XT!AG398))=9)*(CHOOSE({1,2,3,4},XT!X398,XT!AB398,XT!AF398,XT!AJ398)))</f>
        <v>0</v>
      </c>
      <c r="AH398" t="str">
        <f>IFERROR(INDEX(CHOOSE({1,2,3,4}, DAY(XT!U398), DAY(XT!Y398), DAY(XT!AC398), DAY(XT!AG398)), MATCH(1, INDEX(--(MONTH(CHOOSE({1,2,3,4}, XT!U398,XT!Y398,XT!AC398,XT!AG398))=9), 0), 0)), "")</f>
        <v/>
      </c>
      <c r="AI398" s="12" t="str">
        <f>IF(XT!$P398&gt;0,AH398,"")</f>
        <v/>
      </c>
      <c r="AJ398" s="12" t="str">
        <f>IF(XT!$P398=0,AH398,"")</f>
        <v/>
      </c>
      <c r="AK398">
        <f>SUMPRODUCT((MONTH(CHOOSE({1,2,3,4},XT!U398,XT!Y398,XT!AC398,XT!AG398))=10)*(CHOOSE({1,2,3,4},XT!X398,XT!AB398,XT!AF398,XT!AJ398)))</f>
        <v>0</v>
      </c>
      <c r="AL398" t="str">
        <f>IFERROR(INDEX(CHOOSE({1,2,3,4}, DAY(XT!U398), DAY(XT!Y398), DAY(XT!AC398), DAY(XT!AG398)), MATCH(1, INDEX(--(MONTH(CHOOSE({1,2,3,4}, XT!U398,XT!Y398,XT!AC398,XT!AG398))=10), 0), 0)), "")</f>
        <v/>
      </c>
      <c r="AM398" s="12" t="str">
        <f>IF(XT!$P398&gt;0,AL398,"")</f>
        <v/>
      </c>
      <c r="AN398" s="12" t="str">
        <f>IF(XT!$P398=0,AL398,"")</f>
        <v/>
      </c>
      <c r="AO398">
        <f>SUMPRODUCT((MONTH(CHOOSE({1,2,3,4},XT!U398,XT!Y398,XT!AC398,XT!AG398))=11)*(CHOOSE({1,2,3,4},XT!X398,XT!AB398,XT!AF398,XT!AJ398)))</f>
        <v>0</v>
      </c>
      <c r="AP398" t="str">
        <f>IFERROR(INDEX(CHOOSE({1,2,3,4}, DAY(XT!U398), DAY(XT!Y398), DAY(XT!AC398), DAY(XT!AG398)), MATCH(1, INDEX(--(MONTH(CHOOSE({1,2,3,4}, XT!U398,XT!Y398,XT!AC398,XT!AG398))=11), 0), 0)), "")</f>
        <v/>
      </c>
      <c r="AQ398" s="12" t="str">
        <f>IF(XT!$P398&gt;0,AP398,"")</f>
        <v/>
      </c>
      <c r="AR398" s="12" t="str">
        <f>IF(XT!$P398=0,AP398,"")</f>
        <v/>
      </c>
      <c r="AS398">
        <f>SUMPRODUCT((MONTH(CHOOSE({1,2,3,4},XT!U398,XT!Y398,XT!AC398,XT!AG398))=12)*(CHOOSE({1,2,3,4},XT!X398,XT!AB398,XT!AF398,XT!AJ398)))</f>
        <v>0</v>
      </c>
      <c r="AT398" t="str">
        <f>IFERROR(INDEX(CHOOSE({1,2,3,4}, DAY(XT!U398), DAY(XT!Y398), DAY(XT!AC398), DAY(XT!AG398)), MATCH(1, INDEX(--(MONTH(CHOOSE({1,2,3,4}, XT!U398,XT!Y398,XT!AC398,XT!AG398))=12), 0), 0)), "")</f>
        <v/>
      </c>
      <c r="AU398" s="12" t="str">
        <f>IF(XT!$P398&gt;0,AT398,"")</f>
        <v/>
      </c>
      <c r="AV398" s="12" t="str">
        <f>IF(XT!$P398=0,AT398,"")</f>
        <v/>
      </c>
    </row>
    <row r="399" spans="1:48">
      <c r="A399">
        <f>SUMPRODUCT((MONTH(CHOOSE({1,2,3,4},XT!U399,XT!Y399,XT!AC399,XT!AG399))=1)*(CHOOSE({1,2,3,4},XT!X399,XT!AB399,XT!AF399,XT!AJ399)))</f>
        <v>0</v>
      </c>
      <c r="B399">
        <f>IFERROR(INDEX(CHOOSE({1,2,3,4}, DAY(XT!U399), DAY(XT!Y399), DAY(XT!AC399), DAY(XT!AG399)), MATCH(1, INDEX(--(MONTH(CHOOSE({1,2,3,4}, XT!U399,XT!Y399,XT!AC399,XT!AG399))=1), 0), 0)), "")</f>
        <v>0</v>
      </c>
      <c r="C399" s="12" t="str">
        <f>IF(XT!$P399&gt;0,B399,"")</f>
        <v/>
      </c>
      <c r="D399" s="12">
        <f>IF(XT!$P399=0,B399,"")</f>
        <v>0</v>
      </c>
      <c r="E399">
        <f>SUMPRODUCT((MONTH(CHOOSE({1,2,3,4},XT!U399,XT!Y399,XT!AC399,XT!AG399))=2)*(CHOOSE({1,2,3,4},XT!X399,XT!AB399,XT!AF399,XT!AJ399)))</f>
        <v>0</v>
      </c>
      <c r="F399" t="str">
        <f>IFERROR(INDEX(CHOOSE({1,2,3,4}, DAY(XT!U399), DAY(XT!Y399), DAY(XT!AC399), DAY(XT!AG399)), MATCH(1, INDEX(--(MONTH(CHOOSE({1,2,3,4}, XT!U399,XT!Y399,XT!AC399,XT!AG399))=2), 0), 0)), "")</f>
        <v/>
      </c>
      <c r="G399" s="12" t="str">
        <f>IF(XT!$P399&gt;0,F399,"")</f>
        <v/>
      </c>
      <c r="H399" s="12" t="str">
        <f>IF(XT!$P399=0,F399,"")</f>
        <v/>
      </c>
      <c r="I399">
        <f>SUMPRODUCT((MONTH(CHOOSE({1,2,3,4},XT!U399,XT!Y399,XT!AC399,XT!AG399))=3)*(CHOOSE({1,2,3,4},XT!X399,XT!AB399,XT!AF399,XT!AJ399)))</f>
        <v>0</v>
      </c>
      <c r="J399" t="str">
        <f>IFERROR(INDEX(CHOOSE({1,2,3,4}, DAY(XT!U399), DAY(XT!Y399), DAY(XT!AC399), DAY(XT!AG399)), MATCH(1, INDEX(--(MONTH(CHOOSE({1,2,3,4}, XT!U399,XT!Y399,XT!AC399,XT!AG399))=3), 0), 0)), "")</f>
        <v/>
      </c>
      <c r="K399" s="12" t="str">
        <f>IF(XT!$P399&gt;0,J399,"")</f>
        <v/>
      </c>
      <c r="L399" s="12" t="str">
        <f>IF(XT!$P399=0,J399,"")</f>
        <v/>
      </c>
      <c r="M399">
        <f>SUMPRODUCT((MONTH(CHOOSE({1,2,3,4},XT!U399,XT!Y399,XT!AC399,XT!AG399))=4)*(CHOOSE({1,2,3,4},XT!X399,XT!AB399,XT!AF399,XT!AJ399)))</f>
        <v>0</v>
      </c>
      <c r="N399" t="str">
        <f>IFERROR(INDEX(CHOOSE({1,2,3,4}, DAY(XT!U399), DAY(XT!Y399), DAY(XT!AC399), DAY(XT!AG399)), MATCH(1, INDEX(--(MONTH(CHOOSE({1,2,3,4}, XT!U399,XT!Y399,XT!AC399,XT!AG399))=4), 0), 0)), "")</f>
        <v/>
      </c>
      <c r="O399" s="12" t="str">
        <f>IF(XT!$P399&gt;0,N399,"")</f>
        <v/>
      </c>
      <c r="P399" s="12" t="str">
        <f>IF(XT!$P399=0,N399,"")</f>
        <v/>
      </c>
      <c r="Q399">
        <f>SUMPRODUCT((MONTH(CHOOSE({1,2,3,4},XT!U399,XT!Y399,XT!AC399,XT!AG399))=5)*(CHOOSE({1,2,3,4},XT!X399,XT!AB399,XT!AF399,XT!AJ399)))</f>
        <v>0</v>
      </c>
      <c r="R399" t="str">
        <f>IFERROR(INDEX(CHOOSE({1,2,3,4}, DAY(XT!U399), DAY(XT!Y399), DAY(XT!AC399), DAY(XT!AG399)), MATCH(1, INDEX(--(MONTH(CHOOSE({1,2,3,4}, XT!U399,XT!Y399,XT!AC399,XT!AG399))=5), 0), 0)), "")</f>
        <v/>
      </c>
      <c r="S399" s="12" t="str">
        <f>IF(XT!$P399&gt;0,R399,"")</f>
        <v/>
      </c>
      <c r="T399" s="12" t="str">
        <f>IF(XT!$P399=0,R399,"")</f>
        <v/>
      </c>
      <c r="U399">
        <f>SUMPRODUCT((MONTH(CHOOSE({1,2,3,4},XT!U399,XT!Y399,XT!AC399,XT!AG399))=6)*(CHOOSE({1,2,3,4},XT!X399,XT!AB399,XT!AF399,XT!AJ399)))</f>
        <v>0</v>
      </c>
      <c r="V399" t="str">
        <f>IFERROR(INDEX(CHOOSE({1,2,3,4}, DAY(XT!U399), DAY(XT!Y399), DAY(XT!AC399), DAY(XT!AG399)), MATCH(1, INDEX(--(MONTH(CHOOSE({1,2,3,4}, XT!U399,XT!Y399,XT!AC399,XT!AG399))=6), 0), 0)), "")</f>
        <v/>
      </c>
      <c r="W399" s="12" t="str">
        <f>IF(XT!$P399&gt;0,V399,"")</f>
        <v/>
      </c>
      <c r="X399" s="12" t="str">
        <f>IF(XT!$P399=0,V399,"")</f>
        <v/>
      </c>
      <c r="Y399">
        <f>SUMPRODUCT((MONTH(CHOOSE({1,2,3,4},XT!U399,XT!Y399,XT!AC399,XT!AG399))=7)*(CHOOSE({1,2,3,4},XT!X399,XT!AB399,XT!AF399,XT!AJ399)))</f>
        <v>0</v>
      </c>
      <c r="Z399" t="str">
        <f>IFERROR(INDEX(CHOOSE({1,2,3,4}, DAY(XT!U399), DAY(XT!Y399), DAY(XT!AC399), DAY(XT!AG399)), MATCH(1, INDEX(--(MONTH(CHOOSE({1,2,3,4}, XT!U399,XT!Y399,XT!AC399,XT!AG399))=7), 0), 0)), "")</f>
        <v/>
      </c>
      <c r="AA399" s="12" t="str">
        <f>IF(XT!$P399&gt;0,Z399,"")</f>
        <v/>
      </c>
      <c r="AB399" s="12" t="str">
        <f>IF(XT!$P399=0,Z399,"")</f>
        <v/>
      </c>
      <c r="AC399">
        <f>SUMPRODUCT((MONTH(CHOOSE({1,2,3,4},XT!U399,XT!Y399,XT!AC399,XT!AG399))=8)*(CHOOSE({1,2,3,4},XT!X399,XT!AB399,XT!AF399,XT!AJ399)))</f>
        <v>0</v>
      </c>
      <c r="AD399" t="str">
        <f>IFERROR(INDEX(CHOOSE({1,2,3,4}, DAY(XT!U399), DAY(XT!Y399), DAY(XT!AC399), DAY(XT!AG399)), MATCH(1, INDEX(--(MONTH(CHOOSE({1,2,3,4}, XT!U399,XT!Y399,XT!AC399,XT!AG399))=8), 0), 0)), "")</f>
        <v/>
      </c>
      <c r="AE399" s="12" t="str">
        <f>IF(XT!$P399&gt;0,AD399,"")</f>
        <v/>
      </c>
      <c r="AF399" s="12" t="str">
        <f>IF(XT!$P399=0,AD399,"")</f>
        <v/>
      </c>
      <c r="AG399">
        <f>SUMPRODUCT((MONTH(CHOOSE({1,2,3,4},XT!U399,XT!Y399,XT!AC399,XT!AG399))=9)*(CHOOSE({1,2,3,4},XT!X399,XT!AB399,XT!AF399,XT!AJ399)))</f>
        <v>0</v>
      </c>
      <c r="AH399" t="str">
        <f>IFERROR(INDEX(CHOOSE({1,2,3,4}, DAY(XT!U399), DAY(XT!Y399), DAY(XT!AC399), DAY(XT!AG399)), MATCH(1, INDEX(--(MONTH(CHOOSE({1,2,3,4}, XT!U399,XT!Y399,XT!AC399,XT!AG399))=9), 0), 0)), "")</f>
        <v/>
      </c>
      <c r="AI399" s="12" t="str">
        <f>IF(XT!$P399&gt;0,AH399,"")</f>
        <v/>
      </c>
      <c r="AJ399" s="12" t="str">
        <f>IF(XT!$P399=0,AH399,"")</f>
        <v/>
      </c>
      <c r="AK399">
        <f>SUMPRODUCT((MONTH(CHOOSE({1,2,3,4},XT!U399,XT!Y399,XT!AC399,XT!AG399))=10)*(CHOOSE({1,2,3,4},XT!X399,XT!AB399,XT!AF399,XT!AJ399)))</f>
        <v>0</v>
      </c>
      <c r="AL399" t="str">
        <f>IFERROR(INDEX(CHOOSE({1,2,3,4}, DAY(XT!U399), DAY(XT!Y399), DAY(XT!AC399), DAY(XT!AG399)), MATCH(1, INDEX(--(MONTH(CHOOSE({1,2,3,4}, XT!U399,XT!Y399,XT!AC399,XT!AG399))=10), 0), 0)), "")</f>
        <v/>
      </c>
      <c r="AM399" s="12" t="str">
        <f>IF(XT!$P399&gt;0,AL399,"")</f>
        <v/>
      </c>
      <c r="AN399" s="12" t="str">
        <f>IF(XT!$P399=0,AL399,"")</f>
        <v/>
      </c>
      <c r="AO399">
        <f>SUMPRODUCT((MONTH(CHOOSE({1,2,3,4},XT!U399,XT!Y399,XT!AC399,XT!AG399))=11)*(CHOOSE({1,2,3,4},XT!X399,XT!AB399,XT!AF399,XT!AJ399)))</f>
        <v>0</v>
      </c>
      <c r="AP399" t="str">
        <f>IFERROR(INDEX(CHOOSE({1,2,3,4}, DAY(XT!U399), DAY(XT!Y399), DAY(XT!AC399), DAY(XT!AG399)), MATCH(1, INDEX(--(MONTH(CHOOSE({1,2,3,4}, XT!U399,XT!Y399,XT!AC399,XT!AG399))=11), 0), 0)), "")</f>
        <v/>
      </c>
      <c r="AQ399" s="12" t="str">
        <f>IF(XT!$P399&gt;0,AP399,"")</f>
        <v/>
      </c>
      <c r="AR399" s="12" t="str">
        <f>IF(XT!$P399=0,AP399,"")</f>
        <v/>
      </c>
      <c r="AS399">
        <f>SUMPRODUCT((MONTH(CHOOSE({1,2,3,4},XT!U399,XT!Y399,XT!AC399,XT!AG399))=12)*(CHOOSE({1,2,3,4},XT!X399,XT!AB399,XT!AF399,XT!AJ399)))</f>
        <v>0</v>
      </c>
      <c r="AT399" t="str">
        <f>IFERROR(INDEX(CHOOSE({1,2,3,4}, DAY(XT!U399), DAY(XT!Y399), DAY(XT!AC399), DAY(XT!AG399)), MATCH(1, INDEX(--(MONTH(CHOOSE({1,2,3,4}, XT!U399,XT!Y399,XT!AC399,XT!AG399))=12), 0), 0)), "")</f>
        <v/>
      </c>
      <c r="AU399" s="12" t="str">
        <f>IF(XT!$P399&gt;0,AT399,"")</f>
        <v/>
      </c>
      <c r="AV399" s="12" t="str">
        <f>IF(XT!$P399=0,AT399,"")</f>
        <v/>
      </c>
    </row>
    <row r="400" spans="1:48">
      <c r="A400">
        <f>SUMPRODUCT((MONTH(CHOOSE({1,2,3,4},XT!U400,XT!Y400,XT!AC400,XT!AG400))=1)*(CHOOSE({1,2,3,4},XT!X400,XT!AB400,XT!AF400,XT!AJ400)))</f>
        <v>0</v>
      </c>
      <c r="B400">
        <f>IFERROR(INDEX(CHOOSE({1,2,3,4}, DAY(XT!U400), DAY(XT!Y400), DAY(XT!AC400), DAY(XT!AG400)), MATCH(1, INDEX(--(MONTH(CHOOSE({1,2,3,4}, XT!U400,XT!Y400,XT!AC400,XT!AG400))=1), 0), 0)), "")</f>
        <v>0</v>
      </c>
      <c r="C400" s="12" t="str">
        <f>IF(XT!$P400&gt;0,B400,"")</f>
        <v/>
      </c>
      <c r="D400" s="12">
        <f>IF(XT!$P400=0,B400,"")</f>
        <v>0</v>
      </c>
      <c r="E400">
        <f>SUMPRODUCT((MONTH(CHOOSE({1,2,3,4},XT!U400,XT!Y400,XT!AC400,XT!AG400))=2)*(CHOOSE({1,2,3,4},XT!X400,XT!AB400,XT!AF400,XT!AJ400)))</f>
        <v>0</v>
      </c>
      <c r="F400" t="str">
        <f>IFERROR(INDEX(CHOOSE({1,2,3,4}, DAY(XT!U400), DAY(XT!Y400), DAY(XT!AC400), DAY(XT!AG400)), MATCH(1, INDEX(--(MONTH(CHOOSE({1,2,3,4}, XT!U400,XT!Y400,XT!AC400,XT!AG400))=2), 0), 0)), "")</f>
        <v/>
      </c>
      <c r="G400" s="12" t="str">
        <f>IF(XT!$P400&gt;0,F400,"")</f>
        <v/>
      </c>
      <c r="H400" s="12" t="str">
        <f>IF(XT!$P400=0,F400,"")</f>
        <v/>
      </c>
      <c r="I400">
        <f>SUMPRODUCT((MONTH(CHOOSE({1,2,3,4},XT!U400,XT!Y400,XT!AC400,XT!AG400))=3)*(CHOOSE({1,2,3,4},XT!X400,XT!AB400,XT!AF400,XT!AJ400)))</f>
        <v>0</v>
      </c>
      <c r="J400" t="str">
        <f>IFERROR(INDEX(CHOOSE({1,2,3,4}, DAY(XT!U400), DAY(XT!Y400), DAY(XT!AC400), DAY(XT!AG400)), MATCH(1, INDEX(--(MONTH(CHOOSE({1,2,3,4}, XT!U400,XT!Y400,XT!AC400,XT!AG400))=3), 0), 0)), "")</f>
        <v/>
      </c>
      <c r="K400" s="12" t="str">
        <f>IF(XT!$P400&gt;0,J400,"")</f>
        <v/>
      </c>
      <c r="L400" s="12" t="str">
        <f>IF(XT!$P400=0,J400,"")</f>
        <v/>
      </c>
      <c r="M400">
        <f>SUMPRODUCT((MONTH(CHOOSE({1,2,3,4},XT!U400,XT!Y400,XT!AC400,XT!AG400))=4)*(CHOOSE({1,2,3,4},XT!X400,XT!AB400,XT!AF400,XT!AJ400)))</f>
        <v>0</v>
      </c>
      <c r="N400" t="str">
        <f>IFERROR(INDEX(CHOOSE({1,2,3,4}, DAY(XT!U400), DAY(XT!Y400), DAY(XT!AC400), DAY(XT!AG400)), MATCH(1, INDEX(--(MONTH(CHOOSE({1,2,3,4}, XT!U400,XT!Y400,XT!AC400,XT!AG400))=4), 0), 0)), "")</f>
        <v/>
      </c>
      <c r="O400" s="12" t="str">
        <f>IF(XT!$P400&gt;0,N400,"")</f>
        <v/>
      </c>
      <c r="P400" s="12" t="str">
        <f>IF(XT!$P400=0,N400,"")</f>
        <v/>
      </c>
      <c r="Q400">
        <f>SUMPRODUCT((MONTH(CHOOSE({1,2,3,4},XT!U400,XT!Y400,XT!AC400,XT!AG400))=5)*(CHOOSE({1,2,3,4},XT!X400,XT!AB400,XT!AF400,XT!AJ400)))</f>
        <v>0</v>
      </c>
      <c r="R400" t="str">
        <f>IFERROR(INDEX(CHOOSE({1,2,3,4}, DAY(XT!U400), DAY(XT!Y400), DAY(XT!AC400), DAY(XT!AG400)), MATCH(1, INDEX(--(MONTH(CHOOSE({1,2,3,4}, XT!U400,XT!Y400,XT!AC400,XT!AG400))=5), 0), 0)), "")</f>
        <v/>
      </c>
      <c r="S400" s="12" t="str">
        <f>IF(XT!$P400&gt;0,R400,"")</f>
        <v/>
      </c>
      <c r="T400" s="12" t="str">
        <f>IF(XT!$P400=0,R400,"")</f>
        <v/>
      </c>
      <c r="U400">
        <f>SUMPRODUCT((MONTH(CHOOSE({1,2,3,4},XT!U400,XT!Y400,XT!AC400,XT!AG400))=6)*(CHOOSE({1,2,3,4},XT!X400,XT!AB400,XT!AF400,XT!AJ400)))</f>
        <v>0</v>
      </c>
      <c r="V400" t="str">
        <f>IFERROR(INDEX(CHOOSE({1,2,3,4}, DAY(XT!U400), DAY(XT!Y400), DAY(XT!AC400), DAY(XT!AG400)), MATCH(1, INDEX(--(MONTH(CHOOSE({1,2,3,4}, XT!U400,XT!Y400,XT!AC400,XT!AG400))=6), 0), 0)), "")</f>
        <v/>
      </c>
      <c r="W400" s="12" t="str">
        <f>IF(XT!$P400&gt;0,V400,"")</f>
        <v/>
      </c>
      <c r="X400" s="12" t="str">
        <f>IF(XT!$P400=0,V400,"")</f>
        <v/>
      </c>
      <c r="Y400">
        <f>SUMPRODUCT((MONTH(CHOOSE({1,2,3,4},XT!U400,XT!Y400,XT!AC400,XT!AG400))=7)*(CHOOSE({1,2,3,4},XT!X400,XT!AB400,XT!AF400,XT!AJ400)))</f>
        <v>0</v>
      </c>
      <c r="Z400" t="str">
        <f>IFERROR(INDEX(CHOOSE({1,2,3,4}, DAY(XT!U400), DAY(XT!Y400), DAY(XT!AC400), DAY(XT!AG400)), MATCH(1, INDEX(--(MONTH(CHOOSE({1,2,3,4}, XT!U400,XT!Y400,XT!AC400,XT!AG400))=7), 0), 0)), "")</f>
        <v/>
      </c>
      <c r="AA400" s="12" t="str">
        <f>IF(XT!$P400&gt;0,Z400,"")</f>
        <v/>
      </c>
      <c r="AB400" s="12" t="str">
        <f>IF(XT!$P400=0,Z400,"")</f>
        <v/>
      </c>
      <c r="AC400">
        <f>SUMPRODUCT((MONTH(CHOOSE({1,2,3,4},XT!U400,XT!Y400,XT!AC400,XT!AG400))=8)*(CHOOSE({1,2,3,4},XT!X400,XT!AB400,XT!AF400,XT!AJ400)))</f>
        <v>0</v>
      </c>
      <c r="AD400" t="str">
        <f>IFERROR(INDEX(CHOOSE({1,2,3,4}, DAY(XT!U400), DAY(XT!Y400), DAY(XT!AC400), DAY(XT!AG400)), MATCH(1, INDEX(--(MONTH(CHOOSE({1,2,3,4}, XT!U400,XT!Y400,XT!AC400,XT!AG400))=8), 0), 0)), "")</f>
        <v/>
      </c>
      <c r="AE400" s="12" t="str">
        <f>IF(XT!$P400&gt;0,AD400,"")</f>
        <v/>
      </c>
      <c r="AF400" s="12" t="str">
        <f>IF(XT!$P400=0,AD400,"")</f>
        <v/>
      </c>
      <c r="AG400">
        <f>SUMPRODUCT((MONTH(CHOOSE({1,2,3,4},XT!U400,XT!Y400,XT!AC400,XT!AG400))=9)*(CHOOSE({1,2,3,4},XT!X400,XT!AB400,XT!AF400,XT!AJ400)))</f>
        <v>0</v>
      </c>
      <c r="AH400" t="str">
        <f>IFERROR(INDEX(CHOOSE({1,2,3,4}, DAY(XT!U400), DAY(XT!Y400), DAY(XT!AC400), DAY(XT!AG400)), MATCH(1, INDEX(--(MONTH(CHOOSE({1,2,3,4}, XT!U400,XT!Y400,XT!AC400,XT!AG400))=9), 0), 0)), "")</f>
        <v/>
      </c>
      <c r="AI400" s="12" t="str">
        <f>IF(XT!$P400&gt;0,AH400,"")</f>
        <v/>
      </c>
      <c r="AJ400" s="12" t="str">
        <f>IF(XT!$P400=0,AH400,"")</f>
        <v/>
      </c>
      <c r="AK400">
        <f>SUMPRODUCT((MONTH(CHOOSE({1,2,3,4},XT!U400,XT!Y400,XT!AC400,XT!AG400))=10)*(CHOOSE({1,2,3,4},XT!X400,XT!AB400,XT!AF400,XT!AJ400)))</f>
        <v>0</v>
      </c>
      <c r="AL400" t="str">
        <f>IFERROR(INDEX(CHOOSE({1,2,3,4}, DAY(XT!U400), DAY(XT!Y400), DAY(XT!AC400), DAY(XT!AG400)), MATCH(1, INDEX(--(MONTH(CHOOSE({1,2,3,4}, XT!U400,XT!Y400,XT!AC400,XT!AG400))=10), 0), 0)), "")</f>
        <v/>
      </c>
      <c r="AM400" s="12" t="str">
        <f>IF(XT!$P400&gt;0,AL400,"")</f>
        <v/>
      </c>
      <c r="AN400" s="12" t="str">
        <f>IF(XT!$P400=0,AL400,"")</f>
        <v/>
      </c>
      <c r="AO400">
        <f>SUMPRODUCT((MONTH(CHOOSE({1,2,3,4},XT!U400,XT!Y400,XT!AC400,XT!AG400))=11)*(CHOOSE({1,2,3,4},XT!X400,XT!AB400,XT!AF400,XT!AJ400)))</f>
        <v>0</v>
      </c>
      <c r="AP400" t="str">
        <f>IFERROR(INDEX(CHOOSE({1,2,3,4}, DAY(XT!U400), DAY(XT!Y400), DAY(XT!AC400), DAY(XT!AG400)), MATCH(1, INDEX(--(MONTH(CHOOSE({1,2,3,4}, XT!U400,XT!Y400,XT!AC400,XT!AG400))=11), 0), 0)), "")</f>
        <v/>
      </c>
      <c r="AQ400" s="12" t="str">
        <f>IF(XT!$P400&gt;0,AP400,"")</f>
        <v/>
      </c>
      <c r="AR400" s="12" t="str">
        <f>IF(XT!$P400=0,AP400,"")</f>
        <v/>
      </c>
      <c r="AS400">
        <f>SUMPRODUCT((MONTH(CHOOSE({1,2,3,4},XT!U400,XT!Y400,XT!AC400,XT!AG400))=12)*(CHOOSE({1,2,3,4},XT!X400,XT!AB400,XT!AF400,XT!AJ400)))</f>
        <v>0</v>
      </c>
      <c r="AT400" t="str">
        <f>IFERROR(INDEX(CHOOSE({1,2,3,4}, DAY(XT!U400), DAY(XT!Y400), DAY(XT!AC400), DAY(XT!AG400)), MATCH(1, INDEX(--(MONTH(CHOOSE({1,2,3,4}, XT!U400,XT!Y400,XT!AC400,XT!AG400))=12), 0), 0)), "")</f>
        <v/>
      </c>
      <c r="AU400" s="12" t="str">
        <f>IF(XT!$P400&gt;0,AT400,"")</f>
        <v/>
      </c>
      <c r="AV400" s="12" t="str">
        <f>IF(XT!$P400=0,AT400,"")</f>
        <v/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L400"/>
  <sheetViews>
    <sheetView workbookViewId="0">
      <selection sqref="A1:L1048576"/>
    </sheetView>
  </sheetViews>
  <sheetFormatPr defaultRowHeight="13.6"/>
  <sheetData>
    <row r="1" spans="1:12">
      <c r="A1">
        <f>COUNTIF(A3:A400,"&gt;0")</f>
        <v>0</v>
      </c>
      <c r="B1">
        <f t="shared" ref="B1:L1" si="0">COUNTIF(B3:B400,"&gt;0")</f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</row>
    <row r="2" spans="1:12" s="10" customFormat="1" ht="12.9">
      <c r="A2" s="10">
        <f>SUM(A3:A444)</f>
        <v>0</v>
      </c>
      <c r="B2" s="10">
        <f t="shared" ref="B2:L2" si="1">SUM(B3:B444)</f>
        <v>0</v>
      </c>
      <c r="C2" s="10">
        <f t="shared" si="1"/>
        <v>0</v>
      </c>
      <c r="D2" s="10">
        <f t="shared" si="1"/>
        <v>0</v>
      </c>
      <c r="E2" s="10">
        <f t="shared" si="1"/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</row>
    <row r="3" spans="1:12" ht="15.8" customHeight="1">
      <c r="A3">
        <f>SUMPRODUCT((MONTH(CHOOSE({1,2,3,4},HN!T3,HN!X3,HN!AB3,HN!AF3))=1)*(CHOOSE({1,2,3,4},HN!W3,HN!AA3,HN!AE3,HN!AI3)))</f>
        <v>0</v>
      </c>
      <c r="B3">
        <f>SUMPRODUCT((MONTH(CHOOSE({1,2,3,4},HN!T3,HN!X3,HN!AB3,HN!AF3))=2)*(CHOOSE({1,2,3,4},HN!W3,HN!AA3,HN!AE3,HN!AI3)))</f>
        <v>0</v>
      </c>
      <c r="C3">
        <f>SUMPRODUCT((MONTH(CHOOSE({1,2,3,4},HN!T3,HN!X3,HN!AB3,HN!AF3))=3)*(CHOOSE({1,2,3,4},HN!W3,HN!AA3,HN!AE3,HN!AI3)))</f>
        <v>0</v>
      </c>
      <c r="D3">
        <f>SUMPRODUCT((MONTH(CHOOSE({1,2,3,4},HN!T3,HN!X3,HN!AB3,HN!AF3))=4)*(CHOOSE({1,2,3,4},HN!W3,HN!AA3,HN!AE3,HN!AI3)))</f>
        <v>0</v>
      </c>
      <c r="E3">
        <f>SUMPRODUCT((MONTH(CHOOSE({1,2,3,4},HN!T3,HN!X3,HN!AB3,HN!AF3))=5)*(CHOOSE({1,2,3,4},HN!W3,HN!AA3,HN!AE3,HN!AI3)))</f>
        <v>0</v>
      </c>
      <c r="F3">
        <f>SUMPRODUCT((MONTH(CHOOSE({1,2,3,4},HN!T3,HN!X3,HN!AB3,HN!AF3))=6)*(CHOOSE({1,2,3,4},HN!W3,HN!AA3,HN!AE3,HN!AI3)))</f>
        <v>0</v>
      </c>
      <c r="G3">
        <f>SUMPRODUCT((MONTH(CHOOSE({1,2,3,4},HN!T3,HN!X3,HN!AB3,HN!AF3))=7)*(CHOOSE({1,2,3,4},HN!W3,HN!AA3,HN!AE3,HN!AI3)))</f>
        <v>0</v>
      </c>
      <c r="H3">
        <f>SUMPRODUCT((MONTH(CHOOSE({1,2,3,4},HN!T3,HN!X3,HN!AB3,HN!AF3))=8)*(CHOOSE({1,2,3,4},HN!W3,HN!AA3,HN!AE3,HN!AI3)))</f>
        <v>0</v>
      </c>
      <c r="I3">
        <f>SUMPRODUCT((MONTH(CHOOSE({1,2,3,4},HN!T3,HN!X3,HN!AB3,HN!AF3))=9)*(CHOOSE({1,2,3,4},HN!W3,HN!AA3,HN!AE3,HN!AI3)))</f>
        <v>0</v>
      </c>
      <c r="J3">
        <f>SUMPRODUCT((MONTH(CHOOSE({1,2,3,4},HN!T3,HN!X3,HN!AB3,HN!AF3))=10)*(CHOOSE({1,2,3,4},HN!W3,HN!AA3,HN!AE3,HN!AI3)))</f>
        <v>0</v>
      </c>
      <c r="K3">
        <f>SUMPRODUCT((MONTH(CHOOSE({1,2,3,4},HN!T3,HN!X3,HN!AB3,HN!AF3))=11)*(CHOOSE({1,2,3,4},HN!W3,HN!AA3,HN!AE3,HN!AI3)))</f>
        <v>0</v>
      </c>
      <c r="L3">
        <f>SUMPRODUCT((MONTH(CHOOSE({1,2,3,4},HN!T3,HN!X3,HN!AB3,HN!AF3))=12)*(CHOOSE({1,2,3,4},HN!W3,HN!AA3,HN!AE3,HN!AI3)))</f>
        <v>0</v>
      </c>
    </row>
    <row r="4" spans="1:12">
      <c r="A4">
        <f>SUMPRODUCT((MONTH(CHOOSE({1,2,3,4},HN!T4,HN!X4,HN!AB4,HN!AF4))=1)*(CHOOSE({1,2,3,4},HN!W4,HN!AA4,HN!AE4,HN!AI4)))</f>
        <v>0</v>
      </c>
      <c r="B4">
        <f>SUMPRODUCT((MONTH(CHOOSE({1,2,3,4},HN!T4,HN!X4,HN!AB4,HN!AF4))=2)*(CHOOSE({1,2,3,4},HN!W4,HN!AA4,HN!AE4,HN!AI4)))</f>
        <v>0</v>
      </c>
      <c r="C4">
        <f>SUMPRODUCT((MONTH(CHOOSE({1,2,3,4},HN!T4,HN!X4,HN!AB4,HN!AF4))=3)*(CHOOSE({1,2,3,4},HN!W4,HN!AA4,HN!AE4,HN!AI4)))</f>
        <v>0</v>
      </c>
      <c r="D4">
        <f>SUMPRODUCT((MONTH(CHOOSE({1,2,3,4},HN!T4,HN!X4,HN!AB4,HN!AF4))=4)*(CHOOSE({1,2,3,4},HN!W4,HN!AA4,HN!AE4,HN!AI4)))</f>
        <v>0</v>
      </c>
      <c r="E4">
        <f>SUMPRODUCT((MONTH(CHOOSE({1,2,3,4},HN!T4,HN!X4,HN!AB4,HN!AF4))=5)*(CHOOSE({1,2,3,4},HN!W4,HN!AA4,HN!AE4,HN!AI4)))</f>
        <v>0</v>
      </c>
      <c r="F4">
        <f>SUMPRODUCT((MONTH(CHOOSE({1,2,3,4},HN!T4,HN!X4,HN!AB4,HN!AF4))=6)*(CHOOSE({1,2,3,4},HN!W4,HN!AA4,HN!AE4,HN!AI4)))</f>
        <v>0</v>
      </c>
      <c r="G4">
        <f>SUMPRODUCT((MONTH(CHOOSE({1,2,3,4},HN!T4,HN!X4,HN!AB4,HN!AF4))=7)*(CHOOSE({1,2,3,4},HN!W4,HN!AA4,HN!AE4,HN!AI4)))</f>
        <v>0</v>
      </c>
      <c r="H4">
        <f>SUMPRODUCT((MONTH(CHOOSE({1,2,3,4},HN!T4,HN!X4,HN!AB4,HN!AF4))=8)*(CHOOSE({1,2,3,4},HN!W4,HN!AA4,HN!AE4,HN!AI4)))</f>
        <v>0</v>
      </c>
      <c r="I4">
        <f>SUMPRODUCT((MONTH(CHOOSE({1,2,3,4},HN!T4,HN!X4,HN!AB4,HN!AF4))=9)*(CHOOSE({1,2,3,4},HN!W4,HN!AA4,HN!AE4,HN!AI4)))</f>
        <v>0</v>
      </c>
      <c r="J4">
        <f>SUMPRODUCT((MONTH(CHOOSE({1,2,3,4},HN!T4,HN!X4,HN!AB4,HN!AF4))=10)*(CHOOSE({1,2,3,4},HN!W4,HN!AA4,HN!AE4,HN!AI4)))</f>
        <v>0</v>
      </c>
      <c r="K4">
        <f>SUMPRODUCT((MONTH(CHOOSE({1,2,3,4},HN!T4,HN!X4,HN!AB4,HN!AF4))=11)*(CHOOSE({1,2,3,4},HN!W4,HN!AA4,HN!AE4,HN!AI4)))</f>
        <v>0</v>
      </c>
      <c r="L4">
        <f>SUMPRODUCT((MONTH(CHOOSE({1,2,3,4},HN!T4,HN!X4,HN!AB4,HN!AF4))=12)*(CHOOSE({1,2,3,4},HN!W4,HN!AA4,HN!AE4,HN!AI4)))</f>
        <v>0</v>
      </c>
    </row>
    <row r="5" spans="1:12">
      <c r="A5">
        <f>SUMPRODUCT((MONTH(CHOOSE({1,2,3,4},HN!T5,HN!X5,HN!AB5,HN!AF5))=1)*(CHOOSE({1,2,3,4},HN!W5,HN!AA5,HN!AE5,HN!AI5)))</f>
        <v>0</v>
      </c>
      <c r="B5">
        <f>SUMPRODUCT((MONTH(CHOOSE({1,2,3,4},HN!T5,HN!X5,HN!AB5,HN!AF5))=2)*(CHOOSE({1,2,3,4},HN!W5,HN!AA5,HN!AE5,HN!AI5)))</f>
        <v>0</v>
      </c>
      <c r="C5">
        <f>SUMPRODUCT((MONTH(CHOOSE({1,2,3,4},HN!T5,HN!X5,HN!AB5,HN!AF5))=3)*(CHOOSE({1,2,3,4},HN!W5,HN!AA5,HN!AE5,HN!AI5)))</f>
        <v>0</v>
      </c>
      <c r="D5">
        <f>SUMPRODUCT((MONTH(CHOOSE({1,2,3,4},HN!T5,HN!X5,HN!AB5,HN!AF5))=4)*(CHOOSE({1,2,3,4},HN!W5,HN!AA5,HN!AE5,HN!AI5)))</f>
        <v>0</v>
      </c>
      <c r="E5">
        <f>SUMPRODUCT((MONTH(CHOOSE({1,2,3,4},HN!T5,HN!X5,HN!AB5,HN!AF5))=5)*(CHOOSE({1,2,3,4},HN!W5,HN!AA5,HN!AE5,HN!AI5)))</f>
        <v>0</v>
      </c>
      <c r="F5">
        <f>SUMPRODUCT((MONTH(CHOOSE({1,2,3,4},HN!T5,HN!X5,HN!AB5,HN!AF5))=6)*(CHOOSE({1,2,3,4},HN!W5,HN!AA5,HN!AE5,HN!AI5)))</f>
        <v>0</v>
      </c>
      <c r="G5">
        <f>SUMPRODUCT((MONTH(CHOOSE({1,2,3,4},HN!T5,HN!X5,HN!AB5,HN!AF5))=7)*(CHOOSE({1,2,3,4},HN!W5,HN!AA5,HN!AE5,HN!AI5)))</f>
        <v>0</v>
      </c>
      <c r="H5">
        <f>SUMPRODUCT((MONTH(CHOOSE({1,2,3,4},HN!T5,HN!X5,HN!AB5,HN!AF5))=8)*(CHOOSE({1,2,3,4},HN!W5,HN!AA5,HN!AE5,HN!AI5)))</f>
        <v>0</v>
      </c>
      <c r="I5">
        <f>SUMPRODUCT((MONTH(CHOOSE({1,2,3,4},HN!T5,HN!X5,HN!AB5,HN!AF5))=9)*(CHOOSE({1,2,3,4},HN!W5,HN!AA5,HN!AE5,HN!AI5)))</f>
        <v>0</v>
      </c>
      <c r="J5">
        <f>SUMPRODUCT((MONTH(CHOOSE({1,2,3,4},HN!T5,HN!X5,HN!AB5,HN!AF5))=10)*(CHOOSE({1,2,3,4},HN!W5,HN!AA5,HN!AE5,HN!AI5)))</f>
        <v>0</v>
      </c>
      <c r="K5">
        <f>SUMPRODUCT((MONTH(CHOOSE({1,2,3,4},HN!T5,HN!X5,HN!AB5,HN!AF5))=11)*(CHOOSE({1,2,3,4},HN!W5,HN!AA5,HN!AE5,HN!AI5)))</f>
        <v>0</v>
      </c>
      <c r="L5">
        <f>SUMPRODUCT((MONTH(CHOOSE({1,2,3,4},HN!T5,HN!X5,HN!AB5,HN!AF5))=12)*(CHOOSE({1,2,3,4},HN!W5,HN!AA5,HN!AE5,HN!AI5)))</f>
        <v>0</v>
      </c>
    </row>
    <row r="6" spans="1:12">
      <c r="A6">
        <f>SUMPRODUCT((MONTH(CHOOSE({1,2,3,4},HN!T6,HN!X6,HN!AB6,HN!AF6))=1)*(CHOOSE({1,2,3,4},HN!W6,HN!AA6,HN!AE6,HN!AI6)))</f>
        <v>0</v>
      </c>
      <c r="B6">
        <f>SUMPRODUCT((MONTH(CHOOSE({1,2,3,4},HN!T6,HN!X6,HN!AB6,HN!AF6))=2)*(CHOOSE({1,2,3,4},HN!W6,HN!AA6,HN!AE6,HN!AI6)))</f>
        <v>0</v>
      </c>
      <c r="C6">
        <f>SUMPRODUCT((MONTH(CHOOSE({1,2,3,4},HN!T6,HN!X6,HN!AB6,HN!AF6))=3)*(CHOOSE({1,2,3,4},HN!W6,HN!AA6,HN!AE6,HN!AI6)))</f>
        <v>0</v>
      </c>
      <c r="D6">
        <f>SUMPRODUCT((MONTH(CHOOSE({1,2,3,4},HN!T6,HN!X6,HN!AB6,HN!AF6))=4)*(CHOOSE({1,2,3,4},HN!W6,HN!AA6,HN!AE6,HN!AI6)))</f>
        <v>0</v>
      </c>
      <c r="E6">
        <f>SUMPRODUCT((MONTH(CHOOSE({1,2,3,4},HN!T6,HN!X6,HN!AB6,HN!AF6))=5)*(CHOOSE({1,2,3,4},HN!W6,HN!AA6,HN!AE6,HN!AI6)))</f>
        <v>0</v>
      </c>
      <c r="F6">
        <f>SUMPRODUCT((MONTH(CHOOSE({1,2,3,4},HN!T6,HN!X6,HN!AB6,HN!AF6))=6)*(CHOOSE({1,2,3,4},HN!W6,HN!AA6,HN!AE6,HN!AI6)))</f>
        <v>0</v>
      </c>
      <c r="G6">
        <f>SUMPRODUCT((MONTH(CHOOSE({1,2,3,4},HN!T6,HN!X6,HN!AB6,HN!AF6))=7)*(CHOOSE({1,2,3,4},HN!W6,HN!AA6,HN!AE6,HN!AI6)))</f>
        <v>0</v>
      </c>
      <c r="H6">
        <f>SUMPRODUCT((MONTH(CHOOSE({1,2,3,4},HN!T6,HN!X6,HN!AB6,HN!AF6))=8)*(CHOOSE({1,2,3,4},HN!W6,HN!AA6,HN!AE6,HN!AI6)))</f>
        <v>0</v>
      </c>
      <c r="I6">
        <f>SUMPRODUCT((MONTH(CHOOSE({1,2,3,4},HN!T6,HN!X6,HN!AB6,HN!AF6))=9)*(CHOOSE({1,2,3,4},HN!W6,HN!AA6,HN!AE6,HN!AI6)))</f>
        <v>0</v>
      </c>
      <c r="J6">
        <f>SUMPRODUCT((MONTH(CHOOSE({1,2,3,4},HN!T6,HN!X6,HN!AB6,HN!AF6))=10)*(CHOOSE({1,2,3,4},HN!W6,HN!AA6,HN!AE6,HN!AI6)))</f>
        <v>0</v>
      </c>
      <c r="K6">
        <f>SUMPRODUCT((MONTH(CHOOSE({1,2,3,4},HN!T6,HN!X6,HN!AB6,HN!AF6))=11)*(CHOOSE({1,2,3,4},HN!W6,HN!AA6,HN!AE6,HN!AI6)))</f>
        <v>0</v>
      </c>
      <c r="L6">
        <f>SUMPRODUCT((MONTH(CHOOSE({1,2,3,4},HN!T6,HN!X6,HN!AB6,HN!AF6))=12)*(CHOOSE({1,2,3,4},HN!W6,HN!AA6,HN!AE6,HN!AI6)))</f>
        <v>0</v>
      </c>
    </row>
    <row r="7" spans="1:12">
      <c r="A7">
        <f>SUMPRODUCT((MONTH(CHOOSE({1,2,3,4},HN!T7,HN!X7,HN!AB7,HN!AF7))=1)*(CHOOSE({1,2,3,4},HN!W7,HN!AA7,HN!AE7,HN!AI7)))</f>
        <v>0</v>
      </c>
      <c r="B7">
        <f>SUMPRODUCT((MONTH(CHOOSE({1,2,3,4},HN!T7,HN!X7,HN!AB7,HN!AF7))=2)*(CHOOSE({1,2,3,4},HN!W7,HN!AA7,HN!AE7,HN!AI7)))</f>
        <v>0</v>
      </c>
      <c r="C7">
        <f>SUMPRODUCT((MONTH(CHOOSE({1,2,3,4},HN!T7,HN!X7,HN!AB7,HN!AF7))=3)*(CHOOSE({1,2,3,4},HN!W7,HN!AA7,HN!AE7,HN!AI7)))</f>
        <v>0</v>
      </c>
      <c r="D7">
        <f>SUMPRODUCT((MONTH(CHOOSE({1,2,3,4},HN!T7,HN!X7,HN!AB7,HN!AF7))=4)*(CHOOSE({1,2,3,4},HN!W7,HN!AA7,HN!AE7,HN!AI7)))</f>
        <v>0</v>
      </c>
      <c r="E7">
        <f>SUMPRODUCT((MONTH(CHOOSE({1,2,3,4},HN!T7,HN!X7,HN!AB7,HN!AF7))=5)*(CHOOSE({1,2,3,4},HN!W7,HN!AA7,HN!AE7,HN!AI7)))</f>
        <v>0</v>
      </c>
      <c r="F7">
        <f>SUMPRODUCT((MONTH(CHOOSE({1,2,3,4},HN!T7,HN!X7,HN!AB7,HN!AF7))=6)*(CHOOSE({1,2,3,4},HN!W7,HN!AA7,HN!AE7,HN!AI7)))</f>
        <v>0</v>
      </c>
      <c r="G7">
        <f>SUMPRODUCT((MONTH(CHOOSE({1,2,3,4},HN!T7,HN!X7,HN!AB7,HN!AF7))=7)*(CHOOSE({1,2,3,4},HN!W7,HN!AA7,HN!AE7,HN!AI7)))</f>
        <v>0</v>
      </c>
      <c r="H7">
        <f>SUMPRODUCT((MONTH(CHOOSE({1,2,3,4},HN!T7,HN!X7,HN!AB7,HN!AF7))=8)*(CHOOSE({1,2,3,4},HN!W7,HN!AA7,HN!AE7,HN!AI7)))</f>
        <v>0</v>
      </c>
      <c r="I7">
        <f>SUMPRODUCT((MONTH(CHOOSE({1,2,3,4},HN!T7,HN!X7,HN!AB7,HN!AF7))=9)*(CHOOSE({1,2,3,4},HN!W7,HN!AA7,HN!AE7,HN!AI7)))</f>
        <v>0</v>
      </c>
      <c r="J7">
        <f>SUMPRODUCT((MONTH(CHOOSE({1,2,3,4},HN!T7,HN!X7,HN!AB7,HN!AF7))=10)*(CHOOSE({1,2,3,4},HN!W7,HN!AA7,HN!AE7,HN!AI7)))</f>
        <v>0</v>
      </c>
      <c r="K7">
        <f>SUMPRODUCT((MONTH(CHOOSE({1,2,3,4},HN!T7,HN!X7,HN!AB7,HN!AF7))=11)*(CHOOSE({1,2,3,4},HN!W7,HN!AA7,HN!AE7,HN!AI7)))</f>
        <v>0</v>
      </c>
      <c r="L7">
        <f>SUMPRODUCT((MONTH(CHOOSE({1,2,3,4},HN!T7,HN!X7,HN!AB7,HN!AF7))=12)*(CHOOSE({1,2,3,4},HN!W7,HN!AA7,HN!AE7,HN!AI7)))</f>
        <v>0</v>
      </c>
    </row>
    <row r="8" spans="1:12">
      <c r="A8">
        <f>SUMPRODUCT((MONTH(CHOOSE({1,2,3,4},HN!T8,HN!X8,HN!AB8,HN!AF8))=1)*(CHOOSE({1,2,3,4},HN!W8,HN!AA8,HN!AE8,HN!AI8)))</f>
        <v>0</v>
      </c>
      <c r="B8">
        <f>SUMPRODUCT((MONTH(CHOOSE({1,2,3,4},HN!T8,HN!X8,HN!AB8,HN!AF8))=2)*(CHOOSE({1,2,3,4},HN!W8,HN!AA8,HN!AE8,HN!AI8)))</f>
        <v>0</v>
      </c>
      <c r="C8">
        <f>SUMPRODUCT((MONTH(CHOOSE({1,2,3,4},HN!T8,HN!X8,HN!AB8,HN!AF8))=3)*(CHOOSE({1,2,3,4},HN!W8,HN!AA8,HN!AE8,HN!AI8)))</f>
        <v>0</v>
      </c>
      <c r="D8">
        <f>SUMPRODUCT((MONTH(CHOOSE({1,2,3,4},HN!T8,HN!X8,HN!AB8,HN!AF8))=4)*(CHOOSE({1,2,3,4},HN!W8,HN!AA8,HN!AE8,HN!AI8)))</f>
        <v>0</v>
      </c>
      <c r="E8">
        <f>SUMPRODUCT((MONTH(CHOOSE({1,2,3,4},HN!T8,HN!X8,HN!AB8,HN!AF8))=5)*(CHOOSE({1,2,3,4},HN!W8,HN!AA8,HN!AE8,HN!AI8)))</f>
        <v>0</v>
      </c>
      <c r="F8">
        <f>SUMPRODUCT((MONTH(CHOOSE({1,2,3,4},HN!T8,HN!X8,HN!AB8,HN!AF8))=6)*(CHOOSE({1,2,3,4},HN!W8,HN!AA8,HN!AE8,HN!AI8)))</f>
        <v>0</v>
      </c>
      <c r="G8">
        <f>SUMPRODUCT((MONTH(CHOOSE({1,2,3,4},HN!T8,HN!X8,HN!AB8,HN!AF8))=7)*(CHOOSE({1,2,3,4},HN!W8,HN!AA8,HN!AE8,HN!AI8)))</f>
        <v>0</v>
      </c>
      <c r="H8">
        <f>SUMPRODUCT((MONTH(CHOOSE({1,2,3,4},HN!T8,HN!X8,HN!AB8,HN!AF8))=8)*(CHOOSE({1,2,3,4},HN!W8,HN!AA8,HN!AE8,HN!AI8)))</f>
        <v>0</v>
      </c>
      <c r="I8">
        <f>SUMPRODUCT((MONTH(CHOOSE({1,2,3,4},HN!T8,HN!X8,HN!AB8,HN!AF8))=9)*(CHOOSE({1,2,3,4},HN!W8,HN!AA8,HN!AE8,HN!AI8)))</f>
        <v>0</v>
      </c>
      <c r="J8">
        <f>SUMPRODUCT((MONTH(CHOOSE({1,2,3,4},HN!T8,HN!X8,HN!AB8,HN!AF8))=10)*(CHOOSE({1,2,3,4},HN!W8,HN!AA8,HN!AE8,HN!AI8)))</f>
        <v>0</v>
      </c>
      <c r="K8">
        <f>SUMPRODUCT((MONTH(CHOOSE({1,2,3,4},HN!T8,HN!X8,HN!AB8,HN!AF8))=11)*(CHOOSE({1,2,3,4},HN!W8,HN!AA8,HN!AE8,HN!AI8)))</f>
        <v>0</v>
      </c>
      <c r="L8">
        <f>SUMPRODUCT((MONTH(CHOOSE({1,2,3,4},HN!T8,HN!X8,HN!AB8,HN!AF8))=12)*(CHOOSE({1,2,3,4},HN!W8,HN!AA8,HN!AE8,HN!AI8)))</f>
        <v>0</v>
      </c>
    </row>
    <row r="9" spans="1:12">
      <c r="A9">
        <f>SUMPRODUCT((MONTH(CHOOSE({1,2,3,4},HN!T9,HN!X9,HN!AB9,HN!AF9))=1)*(CHOOSE({1,2,3,4},HN!W9,HN!AA9,HN!AE9,HN!AI9)))</f>
        <v>0</v>
      </c>
      <c r="B9">
        <f>SUMPRODUCT((MONTH(CHOOSE({1,2,3,4},HN!T9,HN!X9,HN!AB9,HN!AF9))=2)*(CHOOSE({1,2,3,4},HN!W9,HN!AA9,HN!AE9,HN!AI9)))</f>
        <v>0</v>
      </c>
      <c r="C9">
        <f>SUMPRODUCT((MONTH(CHOOSE({1,2,3,4},HN!T9,HN!X9,HN!AB9,HN!AF9))=3)*(CHOOSE({1,2,3,4},HN!W9,HN!AA9,HN!AE9,HN!AI9)))</f>
        <v>0</v>
      </c>
      <c r="D9">
        <f>SUMPRODUCT((MONTH(CHOOSE({1,2,3,4},HN!T9,HN!X9,HN!AB9,HN!AF9))=4)*(CHOOSE({1,2,3,4},HN!W9,HN!AA9,HN!AE9,HN!AI9)))</f>
        <v>0</v>
      </c>
      <c r="E9">
        <f>SUMPRODUCT((MONTH(CHOOSE({1,2,3,4},HN!T9,HN!X9,HN!AB9,HN!AF9))=5)*(CHOOSE({1,2,3,4},HN!W9,HN!AA9,HN!AE9,HN!AI9)))</f>
        <v>0</v>
      </c>
      <c r="F9">
        <f>SUMPRODUCT((MONTH(CHOOSE({1,2,3,4},HN!T9,HN!X9,HN!AB9,HN!AF9))=6)*(CHOOSE({1,2,3,4},HN!W9,HN!AA9,HN!AE9,HN!AI9)))</f>
        <v>0</v>
      </c>
      <c r="G9">
        <f>SUMPRODUCT((MONTH(CHOOSE({1,2,3,4},HN!T9,HN!X9,HN!AB9,HN!AF9))=7)*(CHOOSE({1,2,3,4},HN!W9,HN!AA9,HN!AE9,HN!AI9)))</f>
        <v>0</v>
      </c>
      <c r="H9">
        <f>SUMPRODUCT((MONTH(CHOOSE({1,2,3,4},HN!T9,HN!X9,HN!AB9,HN!AF9))=8)*(CHOOSE({1,2,3,4},HN!W9,HN!AA9,HN!AE9,HN!AI9)))</f>
        <v>0</v>
      </c>
      <c r="I9">
        <f>SUMPRODUCT((MONTH(CHOOSE({1,2,3,4},HN!T9,HN!X9,HN!AB9,HN!AF9))=9)*(CHOOSE({1,2,3,4},HN!W9,HN!AA9,HN!AE9,HN!AI9)))</f>
        <v>0</v>
      </c>
      <c r="J9">
        <f>SUMPRODUCT((MONTH(CHOOSE({1,2,3,4},HN!T9,HN!X9,HN!AB9,HN!AF9))=10)*(CHOOSE({1,2,3,4},HN!W9,HN!AA9,HN!AE9,HN!AI9)))</f>
        <v>0</v>
      </c>
      <c r="K9">
        <f>SUMPRODUCT((MONTH(CHOOSE({1,2,3,4},HN!T9,HN!X9,HN!AB9,HN!AF9))=11)*(CHOOSE({1,2,3,4},HN!W9,HN!AA9,HN!AE9,HN!AI9)))</f>
        <v>0</v>
      </c>
      <c r="L9">
        <f>SUMPRODUCT((MONTH(CHOOSE({1,2,3,4},HN!T9,HN!X9,HN!AB9,HN!AF9))=12)*(CHOOSE({1,2,3,4},HN!W9,HN!AA9,HN!AE9,HN!AI9)))</f>
        <v>0</v>
      </c>
    </row>
    <row r="10" spans="1:12">
      <c r="A10">
        <f>SUMPRODUCT((MONTH(CHOOSE({1,2,3,4},HN!T10,HN!X10,HN!AB10,HN!AF10))=1)*(CHOOSE({1,2,3,4},HN!W10,HN!AA10,HN!AE10,HN!AI10)))</f>
        <v>0</v>
      </c>
      <c r="B10">
        <f>SUMPRODUCT((MONTH(CHOOSE({1,2,3,4},HN!T10,HN!X10,HN!AB10,HN!AF10))=2)*(CHOOSE({1,2,3,4},HN!W10,HN!AA10,HN!AE10,HN!AI10)))</f>
        <v>0</v>
      </c>
      <c r="C10">
        <f>SUMPRODUCT((MONTH(CHOOSE({1,2,3,4},HN!T10,HN!X10,HN!AB10,HN!AF10))=3)*(CHOOSE({1,2,3,4},HN!W10,HN!AA10,HN!AE10,HN!AI10)))</f>
        <v>0</v>
      </c>
      <c r="D10">
        <f>SUMPRODUCT((MONTH(CHOOSE({1,2,3,4},HN!T10,HN!X10,HN!AB10,HN!AF10))=4)*(CHOOSE({1,2,3,4},HN!W10,HN!AA10,HN!AE10,HN!AI10)))</f>
        <v>0</v>
      </c>
      <c r="E10">
        <f>SUMPRODUCT((MONTH(CHOOSE({1,2,3,4},HN!T10,HN!X10,HN!AB10,HN!AF10))=5)*(CHOOSE({1,2,3,4},HN!W10,HN!AA10,HN!AE10,HN!AI10)))</f>
        <v>0</v>
      </c>
      <c r="F10">
        <f>SUMPRODUCT((MONTH(CHOOSE({1,2,3,4},HN!T10,HN!X10,HN!AB10,HN!AF10))=6)*(CHOOSE({1,2,3,4},HN!W10,HN!AA10,HN!AE10,HN!AI10)))</f>
        <v>0</v>
      </c>
      <c r="G10">
        <f>SUMPRODUCT((MONTH(CHOOSE({1,2,3,4},HN!T10,HN!X10,HN!AB10,HN!AF10))=7)*(CHOOSE({1,2,3,4},HN!W10,HN!AA10,HN!AE10,HN!AI10)))</f>
        <v>0</v>
      </c>
      <c r="H10">
        <f>SUMPRODUCT((MONTH(CHOOSE({1,2,3,4},HN!T10,HN!X10,HN!AB10,HN!AF10))=8)*(CHOOSE({1,2,3,4},HN!W10,HN!AA10,HN!AE10,HN!AI10)))</f>
        <v>0</v>
      </c>
      <c r="I10">
        <f>SUMPRODUCT((MONTH(CHOOSE({1,2,3,4},HN!T10,HN!X10,HN!AB10,HN!AF10))=9)*(CHOOSE({1,2,3,4},HN!W10,HN!AA10,HN!AE10,HN!AI10)))</f>
        <v>0</v>
      </c>
      <c r="J10">
        <f>SUMPRODUCT((MONTH(CHOOSE({1,2,3,4},HN!T10,HN!X10,HN!AB10,HN!AF10))=10)*(CHOOSE({1,2,3,4},HN!W10,HN!AA10,HN!AE10,HN!AI10)))</f>
        <v>0</v>
      </c>
      <c r="K10">
        <f>SUMPRODUCT((MONTH(CHOOSE({1,2,3,4},HN!T10,HN!X10,HN!AB10,HN!AF10))=11)*(CHOOSE({1,2,3,4},HN!W10,HN!AA10,HN!AE10,HN!AI10)))</f>
        <v>0</v>
      </c>
      <c r="L10">
        <f>SUMPRODUCT((MONTH(CHOOSE({1,2,3,4},HN!T10,HN!X10,HN!AB10,HN!AF10))=12)*(CHOOSE({1,2,3,4},HN!W10,HN!AA10,HN!AE10,HN!AI10)))</f>
        <v>0</v>
      </c>
    </row>
    <row r="11" spans="1:12">
      <c r="A11">
        <f>SUMPRODUCT((MONTH(CHOOSE({1,2,3,4},HN!T11,HN!X11,HN!AB11,HN!AF11))=1)*(CHOOSE({1,2,3,4},HN!W11,HN!AA11,HN!AE11,HN!AI11)))</f>
        <v>0</v>
      </c>
      <c r="B11">
        <f>SUMPRODUCT((MONTH(CHOOSE({1,2,3,4},HN!T11,HN!X11,HN!AB11,HN!AF11))=2)*(CHOOSE({1,2,3,4},HN!W11,HN!AA11,HN!AE11,HN!AI11)))</f>
        <v>0</v>
      </c>
      <c r="C11">
        <f>SUMPRODUCT((MONTH(CHOOSE({1,2,3,4},HN!T11,HN!X11,HN!AB11,HN!AF11))=3)*(CHOOSE({1,2,3,4},HN!W11,HN!AA11,HN!AE11,HN!AI11)))</f>
        <v>0</v>
      </c>
      <c r="D11">
        <f>SUMPRODUCT((MONTH(CHOOSE({1,2,3,4},HN!T11,HN!X11,HN!AB11,HN!AF11))=4)*(CHOOSE({1,2,3,4},HN!W11,HN!AA11,HN!AE11,HN!AI11)))</f>
        <v>0</v>
      </c>
      <c r="E11">
        <f>SUMPRODUCT((MONTH(CHOOSE({1,2,3,4},HN!T11,HN!X11,HN!AB11,HN!AF11))=5)*(CHOOSE({1,2,3,4},HN!W11,HN!AA11,HN!AE11,HN!AI11)))</f>
        <v>0</v>
      </c>
      <c r="F11">
        <f>SUMPRODUCT((MONTH(CHOOSE({1,2,3,4},HN!T11,HN!X11,HN!AB11,HN!AF11))=6)*(CHOOSE({1,2,3,4},HN!W11,HN!AA11,HN!AE11,HN!AI11)))</f>
        <v>0</v>
      </c>
      <c r="G11">
        <f>SUMPRODUCT((MONTH(CHOOSE({1,2,3,4},HN!T11,HN!X11,HN!AB11,HN!AF11))=7)*(CHOOSE({1,2,3,4},HN!W11,HN!AA11,HN!AE11,HN!AI11)))</f>
        <v>0</v>
      </c>
      <c r="H11">
        <f>SUMPRODUCT((MONTH(CHOOSE({1,2,3,4},HN!T11,HN!X11,HN!AB11,HN!AF11))=8)*(CHOOSE({1,2,3,4},HN!W11,HN!AA11,HN!AE11,HN!AI11)))</f>
        <v>0</v>
      </c>
      <c r="I11">
        <f>SUMPRODUCT((MONTH(CHOOSE({1,2,3,4},HN!T11,HN!X11,HN!AB11,HN!AF11))=9)*(CHOOSE({1,2,3,4},HN!W11,HN!AA11,HN!AE11,HN!AI11)))</f>
        <v>0</v>
      </c>
      <c r="J11">
        <f>SUMPRODUCT((MONTH(CHOOSE({1,2,3,4},HN!T11,HN!X11,HN!AB11,HN!AF11))=10)*(CHOOSE({1,2,3,4},HN!W11,HN!AA11,HN!AE11,HN!AI11)))</f>
        <v>0</v>
      </c>
      <c r="K11">
        <f>SUMPRODUCT((MONTH(CHOOSE({1,2,3,4},HN!T11,HN!X11,HN!AB11,HN!AF11))=11)*(CHOOSE({1,2,3,4},HN!W11,HN!AA11,HN!AE11,HN!AI11)))</f>
        <v>0</v>
      </c>
      <c r="L11">
        <f>SUMPRODUCT((MONTH(CHOOSE({1,2,3,4},HN!T11,HN!X11,HN!AB11,HN!AF11))=12)*(CHOOSE({1,2,3,4},HN!W11,HN!AA11,HN!AE11,HN!AI11)))</f>
        <v>0</v>
      </c>
    </row>
    <row r="12" spans="1:12">
      <c r="A12">
        <f>SUMPRODUCT((MONTH(CHOOSE({1,2,3,4},HN!T12,HN!X12,HN!AB12,HN!AF12))=1)*(CHOOSE({1,2,3,4},HN!W12,HN!AA12,HN!AE12,HN!AI12)))</f>
        <v>0</v>
      </c>
      <c r="B12">
        <f>SUMPRODUCT((MONTH(CHOOSE({1,2,3,4},HN!T12,HN!X12,HN!AB12,HN!AF12))=2)*(CHOOSE({1,2,3,4},HN!W12,HN!AA12,HN!AE12,HN!AI12)))</f>
        <v>0</v>
      </c>
      <c r="C12">
        <f>SUMPRODUCT((MONTH(CHOOSE({1,2,3,4},HN!T12,HN!X12,HN!AB12,HN!AF12))=3)*(CHOOSE({1,2,3,4},HN!W12,HN!AA12,HN!AE12,HN!AI12)))</f>
        <v>0</v>
      </c>
      <c r="D12">
        <f>SUMPRODUCT((MONTH(CHOOSE({1,2,3,4},HN!T12,HN!X12,HN!AB12,HN!AF12))=4)*(CHOOSE({1,2,3,4},HN!W12,HN!AA12,HN!AE12,HN!AI12)))</f>
        <v>0</v>
      </c>
      <c r="E12">
        <f>SUMPRODUCT((MONTH(CHOOSE({1,2,3,4},HN!T12,HN!X12,HN!AB12,HN!AF12))=5)*(CHOOSE({1,2,3,4},HN!W12,HN!AA12,HN!AE12,HN!AI12)))</f>
        <v>0</v>
      </c>
      <c r="F12">
        <f>SUMPRODUCT((MONTH(CHOOSE({1,2,3,4},HN!T12,HN!X12,HN!AB12,HN!AF12))=6)*(CHOOSE({1,2,3,4},HN!W12,HN!AA12,HN!AE12,HN!AI12)))</f>
        <v>0</v>
      </c>
      <c r="G12">
        <f>SUMPRODUCT((MONTH(CHOOSE({1,2,3,4},HN!T12,HN!X12,HN!AB12,HN!AF12))=7)*(CHOOSE({1,2,3,4},HN!W12,HN!AA12,HN!AE12,HN!AI12)))</f>
        <v>0</v>
      </c>
      <c r="H12">
        <f>SUMPRODUCT((MONTH(CHOOSE({1,2,3,4},HN!T12,HN!X12,HN!AB12,HN!AF12))=8)*(CHOOSE({1,2,3,4},HN!W12,HN!AA12,HN!AE12,HN!AI12)))</f>
        <v>0</v>
      </c>
      <c r="I12">
        <f>SUMPRODUCT((MONTH(CHOOSE({1,2,3,4},HN!T12,HN!X12,HN!AB12,HN!AF12))=9)*(CHOOSE({1,2,3,4},HN!W12,HN!AA12,HN!AE12,HN!AI12)))</f>
        <v>0</v>
      </c>
      <c r="J12">
        <f>SUMPRODUCT((MONTH(CHOOSE({1,2,3,4},HN!T12,HN!X12,HN!AB12,HN!AF12))=10)*(CHOOSE({1,2,3,4},HN!W12,HN!AA12,HN!AE12,HN!AI12)))</f>
        <v>0</v>
      </c>
      <c r="K12">
        <f>SUMPRODUCT((MONTH(CHOOSE({1,2,3,4},HN!T12,HN!X12,HN!AB12,HN!AF12))=11)*(CHOOSE({1,2,3,4},HN!W12,HN!AA12,HN!AE12,HN!AI12)))</f>
        <v>0</v>
      </c>
      <c r="L12">
        <f>SUMPRODUCT((MONTH(CHOOSE({1,2,3,4},HN!T12,HN!X12,HN!AB12,HN!AF12))=12)*(CHOOSE({1,2,3,4},HN!W12,HN!AA12,HN!AE12,HN!AI12)))</f>
        <v>0</v>
      </c>
    </row>
    <row r="13" spans="1:12">
      <c r="A13">
        <f>SUMPRODUCT((MONTH(CHOOSE({1,2,3,4},HN!T13,HN!X13,HN!AB13,HN!AF13))=1)*(CHOOSE({1,2,3,4},HN!W13,HN!AA13,HN!AE13,HN!AI13)))</f>
        <v>0</v>
      </c>
      <c r="B13">
        <f>SUMPRODUCT((MONTH(CHOOSE({1,2,3,4},HN!T13,HN!X13,HN!AB13,HN!AF13))=2)*(CHOOSE({1,2,3,4},HN!W13,HN!AA13,HN!AE13,HN!AI13)))</f>
        <v>0</v>
      </c>
      <c r="C13">
        <f>SUMPRODUCT((MONTH(CHOOSE({1,2,3,4},HN!T13,HN!X13,HN!AB13,HN!AF13))=3)*(CHOOSE({1,2,3,4},HN!W13,HN!AA13,HN!AE13,HN!AI13)))</f>
        <v>0</v>
      </c>
      <c r="D13">
        <f>SUMPRODUCT((MONTH(CHOOSE({1,2,3,4},HN!T13,HN!X13,HN!AB13,HN!AF13))=4)*(CHOOSE({1,2,3,4},HN!W13,HN!AA13,HN!AE13,HN!AI13)))</f>
        <v>0</v>
      </c>
      <c r="E13">
        <f>SUMPRODUCT((MONTH(CHOOSE({1,2,3,4},HN!T13,HN!X13,HN!AB13,HN!AF13))=5)*(CHOOSE({1,2,3,4},HN!W13,HN!AA13,HN!AE13,HN!AI13)))</f>
        <v>0</v>
      </c>
      <c r="F13">
        <f>SUMPRODUCT((MONTH(CHOOSE({1,2,3,4},HN!T13,HN!X13,HN!AB13,HN!AF13))=6)*(CHOOSE({1,2,3,4},HN!W13,HN!AA13,HN!AE13,HN!AI13)))</f>
        <v>0</v>
      </c>
      <c r="G13">
        <f>SUMPRODUCT((MONTH(CHOOSE({1,2,3,4},HN!T13,HN!X13,HN!AB13,HN!AF13))=7)*(CHOOSE({1,2,3,4},HN!W13,HN!AA13,HN!AE13,HN!AI13)))</f>
        <v>0</v>
      </c>
      <c r="H13">
        <f>SUMPRODUCT((MONTH(CHOOSE({1,2,3,4},HN!T13,HN!X13,HN!AB13,HN!AF13))=8)*(CHOOSE({1,2,3,4},HN!W13,HN!AA13,HN!AE13,HN!AI13)))</f>
        <v>0</v>
      </c>
      <c r="I13">
        <f>SUMPRODUCT((MONTH(CHOOSE({1,2,3,4},HN!T13,HN!X13,HN!AB13,HN!AF13))=9)*(CHOOSE({1,2,3,4},HN!W13,HN!AA13,HN!AE13,HN!AI13)))</f>
        <v>0</v>
      </c>
      <c r="J13">
        <f>SUMPRODUCT((MONTH(CHOOSE({1,2,3,4},HN!T13,HN!X13,HN!AB13,HN!AF13))=10)*(CHOOSE({1,2,3,4},HN!W13,HN!AA13,HN!AE13,HN!AI13)))</f>
        <v>0</v>
      </c>
      <c r="K13">
        <f>SUMPRODUCT((MONTH(CHOOSE({1,2,3,4},HN!T13,HN!X13,HN!AB13,HN!AF13))=11)*(CHOOSE({1,2,3,4},HN!W13,HN!AA13,HN!AE13,HN!AI13)))</f>
        <v>0</v>
      </c>
      <c r="L13">
        <f>SUMPRODUCT((MONTH(CHOOSE({1,2,3,4},HN!T13,HN!X13,HN!AB13,HN!AF13))=12)*(CHOOSE({1,2,3,4},HN!W13,HN!AA13,HN!AE13,HN!AI13)))</f>
        <v>0</v>
      </c>
    </row>
    <row r="14" spans="1:12">
      <c r="A14">
        <f>SUMPRODUCT((MONTH(CHOOSE({1,2,3,4},HN!T14,HN!X14,HN!AB14,HN!AF14))=1)*(CHOOSE({1,2,3,4},HN!W14,HN!AA14,HN!AE14,HN!AI14)))</f>
        <v>0</v>
      </c>
      <c r="B14">
        <f>SUMPRODUCT((MONTH(CHOOSE({1,2,3,4},HN!T14,HN!X14,HN!AB14,HN!AF14))=2)*(CHOOSE({1,2,3,4},HN!W14,HN!AA14,HN!AE14,HN!AI14)))</f>
        <v>0</v>
      </c>
      <c r="C14">
        <f>SUMPRODUCT((MONTH(CHOOSE({1,2,3,4},HN!T14,HN!X14,HN!AB14,HN!AF14))=3)*(CHOOSE({1,2,3,4},HN!W14,HN!AA14,HN!AE14,HN!AI14)))</f>
        <v>0</v>
      </c>
      <c r="D14">
        <f>SUMPRODUCT((MONTH(CHOOSE({1,2,3,4},HN!T14,HN!X14,HN!AB14,HN!AF14))=4)*(CHOOSE({1,2,3,4},HN!W14,HN!AA14,HN!AE14,HN!AI14)))</f>
        <v>0</v>
      </c>
      <c r="E14">
        <f>SUMPRODUCT((MONTH(CHOOSE({1,2,3,4},HN!T14,HN!X14,HN!AB14,HN!AF14))=5)*(CHOOSE({1,2,3,4},HN!W14,HN!AA14,HN!AE14,HN!AI14)))</f>
        <v>0</v>
      </c>
      <c r="F14">
        <f>SUMPRODUCT((MONTH(CHOOSE({1,2,3,4},HN!T14,HN!X14,HN!AB14,HN!AF14))=6)*(CHOOSE({1,2,3,4},HN!W14,HN!AA14,HN!AE14,HN!AI14)))</f>
        <v>0</v>
      </c>
      <c r="G14">
        <f>SUMPRODUCT((MONTH(CHOOSE({1,2,3,4},HN!T14,HN!X14,HN!AB14,HN!AF14))=7)*(CHOOSE({1,2,3,4},HN!W14,HN!AA14,HN!AE14,HN!AI14)))</f>
        <v>0</v>
      </c>
      <c r="H14">
        <f>SUMPRODUCT((MONTH(CHOOSE({1,2,3,4},HN!T14,HN!X14,HN!AB14,HN!AF14))=8)*(CHOOSE({1,2,3,4},HN!W14,HN!AA14,HN!AE14,HN!AI14)))</f>
        <v>0</v>
      </c>
      <c r="I14">
        <f>SUMPRODUCT((MONTH(CHOOSE({1,2,3,4},HN!T14,HN!X14,HN!AB14,HN!AF14))=9)*(CHOOSE({1,2,3,4},HN!W14,HN!AA14,HN!AE14,HN!AI14)))</f>
        <v>0</v>
      </c>
      <c r="J14">
        <f>SUMPRODUCT((MONTH(CHOOSE({1,2,3,4},HN!T14,HN!X14,HN!AB14,HN!AF14))=10)*(CHOOSE({1,2,3,4},HN!W14,HN!AA14,HN!AE14,HN!AI14)))</f>
        <v>0</v>
      </c>
      <c r="K14">
        <f>SUMPRODUCT((MONTH(CHOOSE({1,2,3,4},HN!T14,HN!X14,HN!AB14,HN!AF14))=11)*(CHOOSE({1,2,3,4},HN!W14,HN!AA14,HN!AE14,HN!AI14)))</f>
        <v>0</v>
      </c>
      <c r="L14">
        <f>SUMPRODUCT((MONTH(CHOOSE({1,2,3,4},HN!T14,HN!X14,HN!AB14,HN!AF14))=12)*(CHOOSE({1,2,3,4},HN!W14,HN!AA14,HN!AE14,HN!AI14)))</f>
        <v>0</v>
      </c>
    </row>
    <row r="15" spans="1:12">
      <c r="A15">
        <f>SUMPRODUCT((MONTH(CHOOSE({1,2,3,4},HN!T15,HN!X15,HN!AB15,HN!AF15))=1)*(CHOOSE({1,2,3,4},HN!W15,HN!AA15,HN!AE15,HN!AI15)))</f>
        <v>0</v>
      </c>
      <c r="B15">
        <f>SUMPRODUCT((MONTH(CHOOSE({1,2,3,4},HN!T15,HN!X15,HN!AB15,HN!AF15))=2)*(CHOOSE({1,2,3,4},HN!W15,HN!AA15,HN!AE15,HN!AI15)))</f>
        <v>0</v>
      </c>
      <c r="C15">
        <f>SUMPRODUCT((MONTH(CHOOSE({1,2,3,4},HN!T15,HN!X15,HN!AB15,HN!AF15))=3)*(CHOOSE({1,2,3,4},HN!W15,HN!AA15,HN!AE15,HN!AI15)))</f>
        <v>0</v>
      </c>
      <c r="D15">
        <f>SUMPRODUCT((MONTH(CHOOSE({1,2,3,4},HN!T15,HN!X15,HN!AB15,HN!AF15))=4)*(CHOOSE({1,2,3,4},HN!W15,HN!AA15,HN!AE15,HN!AI15)))</f>
        <v>0</v>
      </c>
      <c r="E15">
        <f>SUMPRODUCT((MONTH(CHOOSE({1,2,3,4},HN!T15,HN!X15,HN!AB15,HN!AF15))=5)*(CHOOSE({1,2,3,4},HN!W15,HN!AA15,HN!AE15,HN!AI15)))</f>
        <v>0</v>
      </c>
      <c r="F15">
        <f>SUMPRODUCT((MONTH(CHOOSE({1,2,3,4},HN!T15,HN!X15,HN!AB15,HN!AF15))=6)*(CHOOSE({1,2,3,4},HN!W15,HN!AA15,HN!AE15,HN!AI15)))</f>
        <v>0</v>
      </c>
      <c r="G15">
        <f>SUMPRODUCT((MONTH(CHOOSE({1,2,3,4},HN!T15,HN!X15,HN!AB15,HN!AF15))=7)*(CHOOSE({1,2,3,4},HN!W15,HN!AA15,HN!AE15,HN!AI15)))</f>
        <v>0</v>
      </c>
      <c r="H15">
        <f>SUMPRODUCT((MONTH(CHOOSE({1,2,3,4},HN!T15,HN!X15,HN!AB15,HN!AF15))=8)*(CHOOSE({1,2,3,4},HN!W15,HN!AA15,HN!AE15,HN!AI15)))</f>
        <v>0</v>
      </c>
      <c r="I15">
        <f>SUMPRODUCT((MONTH(CHOOSE({1,2,3,4},HN!T15,HN!X15,HN!AB15,HN!AF15))=9)*(CHOOSE({1,2,3,4},HN!W15,HN!AA15,HN!AE15,HN!AI15)))</f>
        <v>0</v>
      </c>
      <c r="J15">
        <f>SUMPRODUCT((MONTH(CHOOSE({1,2,3,4},HN!T15,HN!X15,HN!AB15,HN!AF15))=10)*(CHOOSE({1,2,3,4},HN!W15,HN!AA15,HN!AE15,HN!AI15)))</f>
        <v>0</v>
      </c>
      <c r="K15">
        <f>SUMPRODUCT((MONTH(CHOOSE({1,2,3,4},HN!T15,HN!X15,HN!AB15,HN!AF15))=11)*(CHOOSE({1,2,3,4},HN!W15,HN!AA15,HN!AE15,HN!AI15)))</f>
        <v>0</v>
      </c>
      <c r="L15">
        <f>SUMPRODUCT((MONTH(CHOOSE({1,2,3,4},HN!T15,HN!X15,HN!AB15,HN!AF15))=12)*(CHOOSE({1,2,3,4},HN!W15,HN!AA15,HN!AE15,HN!AI15)))</f>
        <v>0</v>
      </c>
    </row>
    <row r="16" spans="1:12">
      <c r="A16">
        <f>SUMPRODUCT((MONTH(CHOOSE({1,2,3,4},HN!T16,HN!X16,HN!AB16,HN!AF16))=1)*(CHOOSE({1,2,3,4},HN!W16,HN!AA16,HN!AE16,HN!AI16)))</f>
        <v>0</v>
      </c>
      <c r="B16">
        <f>SUMPRODUCT((MONTH(CHOOSE({1,2,3,4},HN!T16,HN!X16,HN!AB16,HN!AF16))=2)*(CHOOSE({1,2,3,4},HN!W16,HN!AA16,HN!AE16,HN!AI16)))</f>
        <v>0</v>
      </c>
      <c r="C16">
        <f>SUMPRODUCT((MONTH(CHOOSE({1,2,3,4},HN!T16,HN!X16,HN!AB16,HN!AF16))=3)*(CHOOSE({1,2,3,4},HN!W16,HN!AA16,HN!AE16,HN!AI16)))</f>
        <v>0</v>
      </c>
      <c r="D16">
        <f>SUMPRODUCT((MONTH(CHOOSE({1,2,3,4},HN!T16,HN!X16,HN!AB16,HN!AF16))=4)*(CHOOSE({1,2,3,4},HN!W16,HN!AA16,HN!AE16,HN!AI16)))</f>
        <v>0</v>
      </c>
      <c r="E16">
        <f>SUMPRODUCT((MONTH(CHOOSE({1,2,3,4},HN!T16,HN!X16,HN!AB16,HN!AF16))=5)*(CHOOSE({1,2,3,4},HN!W16,HN!AA16,HN!AE16,HN!AI16)))</f>
        <v>0</v>
      </c>
      <c r="F16">
        <f>SUMPRODUCT((MONTH(CHOOSE({1,2,3,4},HN!T16,HN!X16,HN!AB16,HN!AF16))=6)*(CHOOSE({1,2,3,4},HN!W16,HN!AA16,HN!AE16,HN!AI16)))</f>
        <v>0</v>
      </c>
      <c r="G16">
        <f>SUMPRODUCT((MONTH(CHOOSE({1,2,3,4},HN!T16,HN!X16,HN!AB16,HN!AF16))=7)*(CHOOSE({1,2,3,4},HN!W16,HN!AA16,HN!AE16,HN!AI16)))</f>
        <v>0</v>
      </c>
      <c r="H16">
        <f>SUMPRODUCT((MONTH(CHOOSE({1,2,3,4},HN!T16,HN!X16,HN!AB16,HN!AF16))=8)*(CHOOSE({1,2,3,4},HN!W16,HN!AA16,HN!AE16,HN!AI16)))</f>
        <v>0</v>
      </c>
      <c r="I16">
        <f>SUMPRODUCT((MONTH(CHOOSE({1,2,3,4},HN!T16,HN!X16,HN!AB16,HN!AF16))=9)*(CHOOSE({1,2,3,4},HN!W16,HN!AA16,HN!AE16,HN!AI16)))</f>
        <v>0</v>
      </c>
      <c r="J16">
        <f>SUMPRODUCT((MONTH(CHOOSE({1,2,3,4},HN!T16,HN!X16,HN!AB16,HN!AF16))=10)*(CHOOSE({1,2,3,4},HN!W16,HN!AA16,HN!AE16,HN!AI16)))</f>
        <v>0</v>
      </c>
      <c r="K16">
        <f>SUMPRODUCT((MONTH(CHOOSE({1,2,3,4},HN!T16,HN!X16,HN!AB16,HN!AF16))=11)*(CHOOSE({1,2,3,4},HN!W16,HN!AA16,HN!AE16,HN!AI16)))</f>
        <v>0</v>
      </c>
      <c r="L16">
        <f>SUMPRODUCT((MONTH(CHOOSE({1,2,3,4},HN!T16,HN!X16,HN!AB16,HN!AF16))=12)*(CHOOSE({1,2,3,4},HN!W16,HN!AA16,HN!AE16,HN!AI16)))</f>
        <v>0</v>
      </c>
    </row>
    <row r="17" spans="1:12">
      <c r="A17">
        <f>SUMPRODUCT((MONTH(CHOOSE({1,2,3,4},HN!T17,HN!X17,HN!AB17,HN!AF17))=1)*(CHOOSE({1,2,3,4},HN!W17,HN!AA17,HN!AE17,HN!AI17)))</f>
        <v>0</v>
      </c>
      <c r="B17">
        <f>SUMPRODUCT((MONTH(CHOOSE({1,2,3,4},HN!T17,HN!X17,HN!AB17,HN!AF17))=2)*(CHOOSE({1,2,3,4},HN!W17,HN!AA17,HN!AE17,HN!AI17)))</f>
        <v>0</v>
      </c>
      <c r="C17">
        <f>SUMPRODUCT((MONTH(CHOOSE({1,2,3,4},HN!T17,HN!X17,HN!AB17,HN!AF17))=3)*(CHOOSE({1,2,3,4},HN!W17,HN!AA17,HN!AE17,HN!AI17)))</f>
        <v>0</v>
      </c>
      <c r="D17">
        <f>SUMPRODUCT((MONTH(CHOOSE({1,2,3,4},HN!T17,HN!X17,HN!AB17,HN!AF17))=4)*(CHOOSE({1,2,3,4},HN!W17,HN!AA17,HN!AE17,HN!AI17)))</f>
        <v>0</v>
      </c>
      <c r="E17">
        <f>SUMPRODUCT((MONTH(CHOOSE({1,2,3,4},HN!T17,HN!X17,HN!AB17,HN!AF17))=5)*(CHOOSE({1,2,3,4},HN!W17,HN!AA17,HN!AE17,HN!AI17)))</f>
        <v>0</v>
      </c>
      <c r="F17">
        <f>SUMPRODUCT((MONTH(CHOOSE({1,2,3,4},HN!T17,HN!X17,HN!AB17,HN!AF17))=6)*(CHOOSE({1,2,3,4},HN!W17,HN!AA17,HN!AE17,HN!AI17)))</f>
        <v>0</v>
      </c>
      <c r="G17">
        <f>SUMPRODUCT((MONTH(CHOOSE({1,2,3,4},HN!T17,HN!X17,HN!AB17,HN!AF17))=7)*(CHOOSE({1,2,3,4},HN!W17,HN!AA17,HN!AE17,HN!AI17)))</f>
        <v>0</v>
      </c>
      <c r="H17">
        <f>SUMPRODUCT((MONTH(CHOOSE({1,2,3,4},HN!T17,HN!X17,HN!AB17,HN!AF17))=8)*(CHOOSE({1,2,3,4},HN!W17,HN!AA17,HN!AE17,HN!AI17)))</f>
        <v>0</v>
      </c>
      <c r="I17">
        <f>SUMPRODUCT((MONTH(CHOOSE({1,2,3,4},HN!T17,HN!X17,HN!AB17,HN!AF17))=9)*(CHOOSE({1,2,3,4},HN!W17,HN!AA17,HN!AE17,HN!AI17)))</f>
        <v>0</v>
      </c>
      <c r="J17">
        <f>SUMPRODUCT((MONTH(CHOOSE({1,2,3,4},HN!T17,HN!X17,HN!AB17,HN!AF17))=10)*(CHOOSE({1,2,3,4},HN!W17,HN!AA17,HN!AE17,HN!AI17)))</f>
        <v>0</v>
      </c>
      <c r="K17">
        <f>SUMPRODUCT((MONTH(CHOOSE({1,2,3,4},HN!T17,HN!X17,HN!AB17,HN!AF17))=11)*(CHOOSE({1,2,3,4},HN!W17,HN!AA17,HN!AE17,HN!AI17)))</f>
        <v>0</v>
      </c>
      <c r="L17">
        <f>SUMPRODUCT((MONTH(CHOOSE({1,2,3,4},HN!T17,HN!X17,HN!AB17,HN!AF17))=12)*(CHOOSE({1,2,3,4},HN!W17,HN!AA17,HN!AE17,HN!AI17)))</f>
        <v>0</v>
      </c>
    </row>
    <row r="18" spans="1:12">
      <c r="A18">
        <f>SUMPRODUCT((MONTH(CHOOSE({1,2,3,4},HN!T18,HN!X18,HN!AB18,HN!AF18))=1)*(CHOOSE({1,2,3,4},HN!W18,HN!AA18,HN!AE18,HN!AI18)))</f>
        <v>0</v>
      </c>
      <c r="B18">
        <f>SUMPRODUCT((MONTH(CHOOSE({1,2,3,4},HN!T18,HN!X18,HN!AB18,HN!AF18))=2)*(CHOOSE({1,2,3,4},HN!W18,HN!AA18,HN!AE18,HN!AI18)))</f>
        <v>0</v>
      </c>
      <c r="C18">
        <f>SUMPRODUCT((MONTH(CHOOSE({1,2,3,4},HN!T18,HN!X18,HN!AB18,HN!AF18))=3)*(CHOOSE({1,2,3,4},HN!W18,HN!AA18,HN!AE18,HN!AI18)))</f>
        <v>0</v>
      </c>
      <c r="D18">
        <f>SUMPRODUCT((MONTH(CHOOSE({1,2,3,4},HN!T18,HN!X18,HN!AB18,HN!AF18))=4)*(CHOOSE({1,2,3,4},HN!W18,HN!AA18,HN!AE18,HN!AI18)))</f>
        <v>0</v>
      </c>
      <c r="E18">
        <f>SUMPRODUCT((MONTH(CHOOSE({1,2,3,4},HN!T18,HN!X18,HN!AB18,HN!AF18))=5)*(CHOOSE({1,2,3,4},HN!W18,HN!AA18,HN!AE18,HN!AI18)))</f>
        <v>0</v>
      </c>
      <c r="F18">
        <f>SUMPRODUCT((MONTH(CHOOSE({1,2,3,4},HN!T18,HN!X18,HN!AB18,HN!AF18))=6)*(CHOOSE({1,2,3,4},HN!W18,HN!AA18,HN!AE18,HN!AI18)))</f>
        <v>0</v>
      </c>
      <c r="G18">
        <f>SUMPRODUCT((MONTH(CHOOSE({1,2,3,4},HN!T18,HN!X18,HN!AB18,HN!AF18))=7)*(CHOOSE({1,2,3,4},HN!W18,HN!AA18,HN!AE18,HN!AI18)))</f>
        <v>0</v>
      </c>
      <c r="H18">
        <f>SUMPRODUCT((MONTH(CHOOSE({1,2,3,4},HN!T18,HN!X18,HN!AB18,HN!AF18))=8)*(CHOOSE({1,2,3,4},HN!W18,HN!AA18,HN!AE18,HN!AI18)))</f>
        <v>0</v>
      </c>
      <c r="I18">
        <f>SUMPRODUCT((MONTH(CHOOSE({1,2,3,4},HN!T18,HN!X18,HN!AB18,HN!AF18))=9)*(CHOOSE({1,2,3,4},HN!W18,HN!AA18,HN!AE18,HN!AI18)))</f>
        <v>0</v>
      </c>
      <c r="J18">
        <f>SUMPRODUCT((MONTH(CHOOSE({1,2,3,4},HN!T18,HN!X18,HN!AB18,HN!AF18))=10)*(CHOOSE({1,2,3,4},HN!W18,HN!AA18,HN!AE18,HN!AI18)))</f>
        <v>0</v>
      </c>
      <c r="K18">
        <f>SUMPRODUCT((MONTH(CHOOSE({1,2,3,4},HN!T18,HN!X18,HN!AB18,HN!AF18))=11)*(CHOOSE({1,2,3,4},HN!W18,HN!AA18,HN!AE18,HN!AI18)))</f>
        <v>0</v>
      </c>
      <c r="L18">
        <f>SUMPRODUCT((MONTH(CHOOSE({1,2,3,4},HN!T18,HN!X18,HN!AB18,HN!AF18))=12)*(CHOOSE({1,2,3,4},HN!W18,HN!AA18,HN!AE18,HN!AI18)))</f>
        <v>0</v>
      </c>
    </row>
    <row r="19" spans="1:12">
      <c r="A19">
        <f>SUMPRODUCT((MONTH(CHOOSE({1,2,3,4},HN!T19,HN!X19,HN!AB19,HN!AF19))=1)*(CHOOSE({1,2,3,4},HN!W19,HN!AA19,HN!AE19,HN!AI19)))</f>
        <v>0</v>
      </c>
      <c r="B19">
        <f>SUMPRODUCT((MONTH(CHOOSE({1,2,3,4},HN!T19,HN!X19,HN!AB19,HN!AF19))=2)*(CHOOSE({1,2,3,4},HN!W19,HN!AA19,HN!AE19,HN!AI19)))</f>
        <v>0</v>
      </c>
      <c r="C19">
        <f>SUMPRODUCT((MONTH(CHOOSE({1,2,3,4},HN!T19,HN!X19,HN!AB19,HN!AF19))=3)*(CHOOSE({1,2,3,4},HN!W19,HN!AA19,HN!AE19,HN!AI19)))</f>
        <v>0</v>
      </c>
      <c r="D19">
        <f>SUMPRODUCT((MONTH(CHOOSE({1,2,3,4},HN!T19,HN!X19,HN!AB19,HN!AF19))=4)*(CHOOSE({1,2,3,4},HN!W19,HN!AA19,HN!AE19,HN!AI19)))</f>
        <v>0</v>
      </c>
      <c r="E19">
        <f>SUMPRODUCT((MONTH(CHOOSE({1,2,3,4},HN!T19,HN!X19,HN!AB19,HN!AF19))=5)*(CHOOSE({1,2,3,4},HN!W19,HN!AA19,HN!AE19,HN!AI19)))</f>
        <v>0</v>
      </c>
      <c r="F19">
        <f>SUMPRODUCT((MONTH(CHOOSE({1,2,3,4},HN!T19,HN!X19,HN!AB19,HN!AF19))=6)*(CHOOSE({1,2,3,4},HN!W19,HN!AA19,HN!AE19,HN!AI19)))</f>
        <v>0</v>
      </c>
      <c r="G19">
        <f>SUMPRODUCT((MONTH(CHOOSE({1,2,3,4},HN!T19,HN!X19,HN!AB19,HN!AF19))=7)*(CHOOSE({1,2,3,4},HN!W19,HN!AA19,HN!AE19,HN!AI19)))</f>
        <v>0</v>
      </c>
      <c r="H19">
        <f>SUMPRODUCT((MONTH(CHOOSE({1,2,3,4},HN!T19,HN!X19,HN!AB19,HN!AF19))=8)*(CHOOSE({1,2,3,4},HN!W19,HN!AA19,HN!AE19,HN!AI19)))</f>
        <v>0</v>
      </c>
      <c r="I19">
        <f>SUMPRODUCT((MONTH(CHOOSE({1,2,3,4},HN!T19,HN!X19,HN!AB19,HN!AF19))=9)*(CHOOSE({1,2,3,4},HN!W19,HN!AA19,HN!AE19,HN!AI19)))</f>
        <v>0</v>
      </c>
      <c r="J19">
        <f>SUMPRODUCT((MONTH(CHOOSE({1,2,3,4},HN!T19,HN!X19,HN!AB19,HN!AF19))=10)*(CHOOSE({1,2,3,4},HN!W19,HN!AA19,HN!AE19,HN!AI19)))</f>
        <v>0</v>
      </c>
      <c r="K19">
        <f>SUMPRODUCT((MONTH(CHOOSE({1,2,3,4},HN!T19,HN!X19,HN!AB19,HN!AF19))=11)*(CHOOSE({1,2,3,4},HN!W19,HN!AA19,HN!AE19,HN!AI19)))</f>
        <v>0</v>
      </c>
      <c r="L19">
        <f>SUMPRODUCT((MONTH(CHOOSE({1,2,3,4},HN!T19,HN!X19,HN!AB19,HN!AF19))=12)*(CHOOSE({1,2,3,4},HN!W19,HN!AA19,HN!AE19,HN!AI19)))</f>
        <v>0</v>
      </c>
    </row>
    <row r="20" spans="1:12">
      <c r="A20">
        <f>SUMPRODUCT((MONTH(CHOOSE({1,2,3,4},HN!T20,HN!X20,HN!AB20,HN!AF20))=1)*(CHOOSE({1,2,3,4},HN!W20,HN!AA20,HN!AE20,HN!AI20)))</f>
        <v>0</v>
      </c>
      <c r="B20">
        <f>SUMPRODUCT((MONTH(CHOOSE({1,2,3,4},HN!T20,HN!X20,HN!AB20,HN!AF20))=2)*(CHOOSE({1,2,3,4},HN!W20,HN!AA20,HN!AE20,HN!AI20)))</f>
        <v>0</v>
      </c>
      <c r="C20">
        <f>SUMPRODUCT((MONTH(CHOOSE({1,2,3,4},HN!T20,HN!X20,HN!AB20,HN!AF20))=3)*(CHOOSE({1,2,3,4},HN!W20,HN!AA20,HN!AE20,HN!AI20)))</f>
        <v>0</v>
      </c>
      <c r="D20">
        <f>SUMPRODUCT((MONTH(CHOOSE({1,2,3,4},HN!T20,HN!X20,HN!AB20,HN!AF20))=4)*(CHOOSE({1,2,3,4},HN!W20,HN!AA20,HN!AE20,HN!AI20)))</f>
        <v>0</v>
      </c>
      <c r="E20">
        <f>SUMPRODUCT((MONTH(CHOOSE({1,2,3,4},HN!T20,HN!X20,HN!AB20,HN!AF20))=5)*(CHOOSE({1,2,3,4},HN!W20,HN!AA20,HN!AE20,HN!AI20)))</f>
        <v>0</v>
      </c>
      <c r="F20">
        <f>SUMPRODUCT((MONTH(CHOOSE({1,2,3,4},HN!T20,HN!X20,HN!AB20,HN!AF20))=6)*(CHOOSE({1,2,3,4},HN!W20,HN!AA20,HN!AE20,HN!AI20)))</f>
        <v>0</v>
      </c>
      <c r="G20">
        <f>SUMPRODUCT((MONTH(CHOOSE({1,2,3,4},HN!T20,HN!X20,HN!AB20,HN!AF20))=7)*(CHOOSE({1,2,3,4},HN!W20,HN!AA20,HN!AE20,HN!AI20)))</f>
        <v>0</v>
      </c>
      <c r="H20">
        <f>SUMPRODUCT((MONTH(CHOOSE({1,2,3,4},HN!T20,HN!X20,HN!AB20,HN!AF20))=8)*(CHOOSE({1,2,3,4},HN!W20,HN!AA20,HN!AE20,HN!AI20)))</f>
        <v>0</v>
      </c>
      <c r="I20">
        <f>SUMPRODUCT((MONTH(CHOOSE({1,2,3,4},HN!T20,HN!X20,HN!AB20,HN!AF20))=9)*(CHOOSE({1,2,3,4},HN!W20,HN!AA20,HN!AE20,HN!AI20)))</f>
        <v>0</v>
      </c>
      <c r="J20">
        <f>SUMPRODUCT((MONTH(CHOOSE({1,2,3,4},HN!T20,HN!X20,HN!AB20,HN!AF20))=10)*(CHOOSE({1,2,3,4},HN!W20,HN!AA20,HN!AE20,HN!AI20)))</f>
        <v>0</v>
      </c>
      <c r="K20">
        <f>SUMPRODUCT((MONTH(CHOOSE({1,2,3,4},HN!T20,HN!X20,HN!AB20,HN!AF20))=11)*(CHOOSE({1,2,3,4},HN!W20,HN!AA20,HN!AE20,HN!AI20)))</f>
        <v>0</v>
      </c>
      <c r="L20">
        <f>SUMPRODUCT((MONTH(CHOOSE({1,2,3,4},HN!T20,HN!X20,HN!AB20,HN!AF20))=12)*(CHOOSE({1,2,3,4},HN!W20,HN!AA20,HN!AE20,HN!AI20)))</f>
        <v>0</v>
      </c>
    </row>
    <row r="21" spans="1:12">
      <c r="A21">
        <f>SUMPRODUCT((MONTH(CHOOSE({1,2,3,4},HN!T21,HN!X21,HN!AB21,HN!AF21))=1)*(CHOOSE({1,2,3,4},HN!W21,HN!AA21,HN!AE21,HN!AI21)))</f>
        <v>0</v>
      </c>
      <c r="B21">
        <f>SUMPRODUCT((MONTH(CHOOSE({1,2,3,4},HN!T21,HN!X21,HN!AB21,HN!AF21))=2)*(CHOOSE({1,2,3,4},HN!W21,HN!AA21,HN!AE21,HN!AI21)))</f>
        <v>0</v>
      </c>
      <c r="C21">
        <f>SUMPRODUCT((MONTH(CHOOSE({1,2,3,4},HN!T21,HN!X21,HN!AB21,HN!AF21))=3)*(CHOOSE({1,2,3,4},HN!W21,HN!AA21,HN!AE21,HN!AI21)))</f>
        <v>0</v>
      </c>
      <c r="D21">
        <f>SUMPRODUCT((MONTH(CHOOSE({1,2,3,4},HN!T21,HN!X21,HN!AB21,HN!AF21))=4)*(CHOOSE({1,2,3,4},HN!W21,HN!AA21,HN!AE21,HN!AI21)))</f>
        <v>0</v>
      </c>
      <c r="E21">
        <f>SUMPRODUCT((MONTH(CHOOSE({1,2,3,4},HN!T21,HN!X21,HN!AB21,HN!AF21))=5)*(CHOOSE({1,2,3,4},HN!W21,HN!AA21,HN!AE21,HN!AI21)))</f>
        <v>0</v>
      </c>
      <c r="F21">
        <f>SUMPRODUCT((MONTH(CHOOSE({1,2,3,4},HN!T21,HN!X21,HN!AB21,HN!AF21))=6)*(CHOOSE({1,2,3,4},HN!W21,HN!AA21,HN!AE21,HN!AI21)))</f>
        <v>0</v>
      </c>
      <c r="G21">
        <f>SUMPRODUCT((MONTH(CHOOSE({1,2,3,4},HN!T21,HN!X21,HN!AB21,HN!AF21))=7)*(CHOOSE({1,2,3,4},HN!W21,HN!AA21,HN!AE21,HN!AI21)))</f>
        <v>0</v>
      </c>
      <c r="H21">
        <f>SUMPRODUCT((MONTH(CHOOSE({1,2,3,4},HN!T21,HN!X21,HN!AB21,HN!AF21))=8)*(CHOOSE({1,2,3,4},HN!W21,HN!AA21,HN!AE21,HN!AI21)))</f>
        <v>0</v>
      </c>
      <c r="I21">
        <f>SUMPRODUCT((MONTH(CHOOSE({1,2,3,4},HN!T21,HN!X21,HN!AB21,HN!AF21))=9)*(CHOOSE({1,2,3,4},HN!W21,HN!AA21,HN!AE21,HN!AI21)))</f>
        <v>0</v>
      </c>
      <c r="J21">
        <f>SUMPRODUCT((MONTH(CHOOSE({1,2,3,4},HN!T21,HN!X21,HN!AB21,HN!AF21))=10)*(CHOOSE({1,2,3,4},HN!W21,HN!AA21,HN!AE21,HN!AI21)))</f>
        <v>0</v>
      </c>
      <c r="K21">
        <f>SUMPRODUCT((MONTH(CHOOSE({1,2,3,4},HN!T21,HN!X21,HN!AB21,HN!AF21))=11)*(CHOOSE({1,2,3,4},HN!W21,HN!AA21,HN!AE21,HN!AI21)))</f>
        <v>0</v>
      </c>
      <c r="L21">
        <f>SUMPRODUCT((MONTH(CHOOSE({1,2,3,4},HN!T21,HN!X21,HN!AB21,HN!AF21))=12)*(CHOOSE({1,2,3,4},HN!W21,HN!AA21,HN!AE21,HN!AI21)))</f>
        <v>0</v>
      </c>
    </row>
    <row r="22" spans="1:12">
      <c r="A22">
        <f>SUMPRODUCT((MONTH(CHOOSE({1,2,3,4},HN!T22,HN!X22,HN!AB22,HN!AF22))=1)*(CHOOSE({1,2,3,4},HN!W22,HN!AA22,HN!AE22,HN!AI22)))</f>
        <v>0</v>
      </c>
      <c r="B22">
        <f>SUMPRODUCT((MONTH(CHOOSE({1,2,3,4},HN!T22,HN!X22,HN!AB22,HN!AF22))=2)*(CHOOSE({1,2,3,4},HN!W22,HN!AA22,HN!AE22,HN!AI22)))</f>
        <v>0</v>
      </c>
      <c r="C22">
        <f>SUMPRODUCT((MONTH(CHOOSE({1,2,3,4},HN!T22,HN!X22,HN!AB22,HN!AF22))=3)*(CHOOSE({1,2,3,4},HN!W22,HN!AA22,HN!AE22,HN!AI22)))</f>
        <v>0</v>
      </c>
      <c r="D22">
        <f>SUMPRODUCT((MONTH(CHOOSE({1,2,3,4},HN!T22,HN!X22,HN!AB22,HN!AF22))=4)*(CHOOSE({1,2,3,4},HN!W22,HN!AA22,HN!AE22,HN!AI22)))</f>
        <v>0</v>
      </c>
      <c r="E22">
        <f>SUMPRODUCT((MONTH(CHOOSE({1,2,3,4},HN!T22,HN!X22,HN!AB22,HN!AF22))=5)*(CHOOSE({1,2,3,4},HN!W22,HN!AA22,HN!AE22,HN!AI22)))</f>
        <v>0</v>
      </c>
      <c r="F22">
        <f>SUMPRODUCT((MONTH(CHOOSE({1,2,3,4},HN!T22,HN!X22,HN!AB22,HN!AF22))=6)*(CHOOSE({1,2,3,4},HN!W22,HN!AA22,HN!AE22,HN!AI22)))</f>
        <v>0</v>
      </c>
      <c r="G22">
        <f>SUMPRODUCT((MONTH(CHOOSE({1,2,3,4},HN!T22,HN!X22,HN!AB22,HN!AF22))=7)*(CHOOSE({1,2,3,4},HN!W22,HN!AA22,HN!AE22,HN!AI22)))</f>
        <v>0</v>
      </c>
      <c r="H22">
        <f>SUMPRODUCT((MONTH(CHOOSE({1,2,3,4},HN!T22,HN!X22,HN!AB22,HN!AF22))=8)*(CHOOSE({1,2,3,4},HN!W22,HN!AA22,HN!AE22,HN!AI22)))</f>
        <v>0</v>
      </c>
      <c r="I22">
        <f>SUMPRODUCT((MONTH(CHOOSE({1,2,3,4},HN!T22,HN!X22,HN!AB22,HN!AF22))=9)*(CHOOSE({1,2,3,4},HN!W22,HN!AA22,HN!AE22,HN!AI22)))</f>
        <v>0</v>
      </c>
      <c r="J22">
        <f>SUMPRODUCT((MONTH(CHOOSE({1,2,3,4},HN!T22,HN!X22,HN!AB22,HN!AF22))=10)*(CHOOSE({1,2,3,4},HN!W22,HN!AA22,HN!AE22,HN!AI22)))</f>
        <v>0</v>
      </c>
      <c r="K22">
        <f>SUMPRODUCT((MONTH(CHOOSE({1,2,3,4},HN!T22,HN!X22,HN!AB22,HN!AF22))=11)*(CHOOSE({1,2,3,4},HN!W22,HN!AA22,HN!AE22,HN!AI22)))</f>
        <v>0</v>
      </c>
      <c r="L22">
        <f>SUMPRODUCT((MONTH(CHOOSE({1,2,3,4},HN!T22,HN!X22,HN!AB22,HN!AF22))=12)*(CHOOSE({1,2,3,4},HN!W22,HN!AA22,HN!AE22,HN!AI22)))</f>
        <v>0</v>
      </c>
    </row>
    <row r="23" spans="1:12">
      <c r="A23">
        <f>SUMPRODUCT((MONTH(CHOOSE({1,2,3,4},HN!T23,HN!X23,HN!AB23,HN!AF23))=1)*(CHOOSE({1,2,3,4},HN!W23,HN!AA23,HN!AE23,HN!AI23)))</f>
        <v>0</v>
      </c>
      <c r="B23">
        <f>SUMPRODUCT((MONTH(CHOOSE({1,2,3,4},HN!T23,HN!X23,HN!AB23,HN!AF23))=2)*(CHOOSE({1,2,3,4},HN!W23,HN!AA23,HN!AE23,HN!AI23)))</f>
        <v>0</v>
      </c>
      <c r="C23">
        <f>SUMPRODUCT((MONTH(CHOOSE({1,2,3,4},HN!T23,HN!X23,HN!AB23,HN!AF23))=3)*(CHOOSE({1,2,3,4},HN!W23,HN!AA23,HN!AE23,HN!AI23)))</f>
        <v>0</v>
      </c>
      <c r="D23">
        <f>SUMPRODUCT((MONTH(CHOOSE({1,2,3,4},HN!T23,HN!X23,HN!AB23,HN!AF23))=4)*(CHOOSE({1,2,3,4},HN!W23,HN!AA23,HN!AE23,HN!AI23)))</f>
        <v>0</v>
      </c>
      <c r="E23">
        <f>SUMPRODUCT((MONTH(CHOOSE({1,2,3,4},HN!T23,HN!X23,HN!AB23,HN!AF23))=5)*(CHOOSE({1,2,3,4},HN!W23,HN!AA23,HN!AE23,HN!AI23)))</f>
        <v>0</v>
      </c>
      <c r="F23">
        <f>SUMPRODUCT((MONTH(CHOOSE({1,2,3,4},HN!T23,HN!X23,HN!AB23,HN!AF23))=6)*(CHOOSE({1,2,3,4},HN!W23,HN!AA23,HN!AE23,HN!AI23)))</f>
        <v>0</v>
      </c>
      <c r="G23">
        <f>SUMPRODUCT((MONTH(CHOOSE({1,2,3,4},HN!T23,HN!X23,HN!AB23,HN!AF23))=7)*(CHOOSE({1,2,3,4},HN!W23,HN!AA23,HN!AE23,HN!AI23)))</f>
        <v>0</v>
      </c>
      <c r="H23">
        <f>SUMPRODUCT((MONTH(CHOOSE({1,2,3,4},HN!T23,HN!X23,HN!AB23,HN!AF23))=8)*(CHOOSE({1,2,3,4},HN!W23,HN!AA23,HN!AE23,HN!AI23)))</f>
        <v>0</v>
      </c>
      <c r="I23">
        <f>SUMPRODUCT((MONTH(CHOOSE({1,2,3,4},HN!T23,HN!X23,HN!AB23,HN!AF23))=9)*(CHOOSE({1,2,3,4},HN!W23,HN!AA23,HN!AE23,HN!AI23)))</f>
        <v>0</v>
      </c>
      <c r="J23">
        <f>SUMPRODUCT((MONTH(CHOOSE({1,2,3,4},HN!T23,HN!X23,HN!AB23,HN!AF23))=10)*(CHOOSE({1,2,3,4},HN!W23,HN!AA23,HN!AE23,HN!AI23)))</f>
        <v>0</v>
      </c>
      <c r="K23">
        <f>SUMPRODUCT((MONTH(CHOOSE({1,2,3,4},HN!T23,HN!X23,HN!AB23,HN!AF23))=11)*(CHOOSE({1,2,3,4},HN!W23,HN!AA23,HN!AE23,HN!AI23)))</f>
        <v>0</v>
      </c>
      <c r="L23">
        <f>SUMPRODUCT((MONTH(CHOOSE({1,2,3,4},HN!T23,HN!X23,HN!AB23,HN!AF23))=12)*(CHOOSE({1,2,3,4},HN!W23,HN!AA23,HN!AE23,HN!AI23)))</f>
        <v>0</v>
      </c>
    </row>
    <row r="24" spans="1:12">
      <c r="A24">
        <f>SUMPRODUCT((MONTH(CHOOSE({1,2,3,4},HN!T24,HN!X24,HN!AB24,HN!AF24))=1)*(CHOOSE({1,2,3,4},HN!W24,HN!AA24,HN!AE24,HN!AI24)))</f>
        <v>0</v>
      </c>
      <c r="B24">
        <f>SUMPRODUCT((MONTH(CHOOSE({1,2,3,4},HN!T24,HN!X24,HN!AB24,HN!AF24))=2)*(CHOOSE({1,2,3,4},HN!W24,HN!AA24,HN!AE24,HN!AI24)))</f>
        <v>0</v>
      </c>
      <c r="C24">
        <f>SUMPRODUCT((MONTH(CHOOSE({1,2,3,4},HN!T24,HN!X24,HN!AB24,HN!AF24))=3)*(CHOOSE({1,2,3,4},HN!W24,HN!AA24,HN!AE24,HN!AI24)))</f>
        <v>0</v>
      </c>
      <c r="D24">
        <f>SUMPRODUCT((MONTH(CHOOSE({1,2,3,4},HN!T24,HN!X24,HN!AB24,HN!AF24))=4)*(CHOOSE({1,2,3,4},HN!W24,HN!AA24,HN!AE24,HN!AI24)))</f>
        <v>0</v>
      </c>
      <c r="E24">
        <f>SUMPRODUCT((MONTH(CHOOSE({1,2,3,4},HN!T24,HN!X24,HN!AB24,HN!AF24))=5)*(CHOOSE({1,2,3,4},HN!W24,HN!AA24,HN!AE24,HN!AI24)))</f>
        <v>0</v>
      </c>
      <c r="F24">
        <f>SUMPRODUCT((MONTH(CHOOSE({1,2,3,4},HN!T24,HN!X24,HN!AB24,HN!AF24))=6)*(CHOOSE({1,2,3,4},HN!W24,HN!AA24,HN!AE24,HN!AI24)))</f>
        <v>0</v>
      </c>
      <c r="G24">
        <f>SUMPRODUCT((MONTH(CHOOSE({1,2,3,4},HN!T24,HN!X24,HN!AB24,HN!AF24))=7)*(CHOOSE({1,2,3,4},HN!W24,HN!AA24,HN!AE24,HN!AI24)))</f>
        <v>0</v>
      </c>
      <c r="H24">
        <f>SUMPRODUCT((MONTH(CHOOSE({1,2,3,4},HN!T24,HN!X24,HN!AB24,HN!AF24))=8)*(CHOOSE({1,2,3,4},HN!W24,HN!AA24,HN!AE24,HN!AI24)))</f>
        <v>0</v>
      </c>
      <c r="I24">
        <f>SUMPRODUCT((MONTH(CHOOSE({1,2,3,4},HN!T24,HN!X24,HN!AB24,HN!AF24))=9)*(CHOOSE({1,2,3,4},HN!W24,HN!AA24,HN!AE24,HN!AI24)))</f>
        <v>0</v>
      </c>
      <c r="J24">
        <f>SUMPRODUCT((MONTH(CHOOSE({1,2,3,4},HN!T24,HN!X24,HN!AB24,HN!AF24))=10)*(CHOOSE({1,2,3,4},HN!W24,HN!AA24,HN!AE24,HN!AI24)))</f>
        <v>0</v>
      </c>
      <c r="K24">
        <f>SUMPRODUCT((MONTH(CHOOSE({1,2,3,4},HN!T24,HN!X24,HN!AB24,HN!AF24))=11)*(CHOOSE({1,2,3,4},HN!W24,HN!AA24,HN!AE24,HN!AI24)))</f>
        <v>0</v>
      </c>
      <c r="L24">
        <f>SUMPRODUCT((MONTH(CHOOSE({1,2,3,4},HN!T24,HN!X24,HN!AB24,HN!AF24))=12)*(CHOOSE({1,2,3,4},HN!W24,HN!AA24,HN!AE24,HN!AI24)))</f>
        <v>0</v>
      </c>
    </row>
    <row r="25" spans="1:12">
      <c r="A25">
        <f>SUMPRODUCT((MONTH(CHOOSE({1,2,3,4},HN!T25,HN!X25,HN!AB25,HN!AF25))=1)*(CHOOSE({1,2,3,4},HN!W25,HN!AA25,HN!AE25,HN!AI25)))</f>
        <v>0</v>
      </c>
      <c r="B25">
        <f>SUMPRODUCT((MONTH(CHOOSE({1,2,3,4},HN!T25,HN!X25,HN!AB25,HN!AF25))=2)*(CHOOSE({1,2,3,4},HN!W25,HN!AA25,HN!AE25,HN!AI25)))</f>
        <v>0</v>
      </c>
      <c r="C25">
        <f>SUMPRODUCT((MONTH(CHOOSE({1,2,3,4},HN!T25,HN!X25,HN!AB25,HN!AF25))=3)*(CHOOSE({1,2,3,4},HN!W25,HN!AA25,HN!AE25,HN!AI25)))</f>
        <v>0</v>
      </c>
      <c r="D25">
        <f>SUMPRODUCT((MONTH(CHOOSE({1,2,3,4},HN!T25,HN!X25,HN!AB25,HN!AF25))=4)*(CHOOSE({1,2,3,4},HN!W25,HN!AA25,HN!AE25,HN!AI25)))</f>
        <v>0</v>
      </c>
      <c r="E25">
        <f>SUMPRODUCT((MONTH(CHOOSE({1,2,3,4},HN!T25,HN!X25,HN!AB25,HN!AF25))=5)*(CHOOSE({1,2,3,4},HN!W25,HN!AA25,HN!AE25,HN!AI25)))</f>
        <v>0</v>
      </c>
      <c r="F25">
        <f>SUMPRODUCT((MONTH(CHOOSE({1,2,3,4},HN!T25,HN!X25,HN!AB25,HN!AF25))=6)*(CHOOSE({1,2,3,4},HN!W25,HN!AA25,HN!AE25,HN!AI25)))</f>
        <v>0</v>
      </c>
      <c r="G25">
        <f>SUMPRODUCT((MONTH(CHOOSE({1,2,3,4},HN!T25,HN!X25,HN!AB25,HN!AF25))=7)*(CHOOSE({1,2,3,4},HN!W25,HN!AA25,HN!AE25,HN!AI25)))</f>
        <v>0</v>
      </c>
      <c r="H25">
        <f>SUMPRODUCT((MONTH(CHOOSE({1,2,3,4},HN!T25,HN!X25,HN!AB25,HN!AF25))=8)*(CHOOSE({1,2,3,4},HN!W25,HN!AA25,HN!AE25,HN!AI25)))</f>
        <v>0</v>
      </c>
      <c r="I25">
        <f>SUMPRODUCT((MONTH(CHOOSE({1,2,3,4},HN!T25,HN!X25,HN!AB25,HN!AF25))=9)*(CHOOSE({1,2,3,4},HN!W25,HN!AA25,HN!AE25,HN!AI25)))</f>
        <v>0</v>
      </c>
      <c r="J25">
        <f>SUMPRODUCT((MONTH(CHOOSE({1,2,3,4},HN!T25,HN!X25,HN!AB25,HN!AF25))=10)*(CHOOSE({1,2,3,4},HN!W25,HN!AA25,HN!AE25,HN!AI25)))</f>
        <v>0</v>
      </c>
      <c r="K25">
        <f>SUMPRODUCT((MONTH(CHOOSE({1,2,3,4},HN!T25,HN!X25,HN!AB25,HN!AF25))=11)*(CHOOSE({1,2,3,4},HN!W25,HN!AA25,HN!AE25,HN!AI25)))</f>
        <v>0</v>
      </c>
      <c r="L25">
        <f>SUMPRODUCT((MONTH(CHOOSE({1,2,3,4},HN!T25,HN!X25,HN!AB25,HN!AF25))=12)*(CHOOSE({1,2,3,4},HN!W25,HN!AA25,HN!AE25,HN!AI25)))</f>
        <v>0</v>
      </c>
    </row>
    <row r="26" spans="1:12">
      <c r="A26">
        <f>SUMPRODUCT((MONTH(CHOOSE({1,2,3,4},HN!T26,HN!X26,HN!AB26,HN!AF26))=1)*(CHOOSE({1,2,3,4},HN!W26,HN!AA26,HN!AE26,HN!AI26)))</f>
        <v>0</v>
      </c>
      <c r="B26">
        <f>SUMPRODUCT((MONTH(CHOOSE({1,2,3,4},HN!T26,HN!X26,HN!AB26,HN!AF26))=2)*(CHOOSE({1,2,3,4},HN!W26,HN!AA26,HN!AE26,HN!AI26)))</f>
        <v>0</v>
      </c>
      <c r="C26">
        <f>SUMPRODUCT((MONTH(CHOOSE({1,2,3,4},HN!T26,HN!X26,HN!AB26,HN!AF26))=3)*(CHOOSE({1,2,3,4},HN!W26,HN!AA26,HN!AE26,HN!AI26)))</f>
        <v>0</v>
      </c>
      <c r="D26">
        <f>SUMPRODUCT((MONTH(CHOOSE({1,2,3,4},HN!T26,HN!X26,HN!AB26,HN!AF26))=4)*(CHOOSE({1,2,3,4},HN!W26,HN!AA26,HN!AE26,HN!AI26)))</f>
        <v>0</v>
      </c>
      <c r="E26">
        <f>SUMPRODUCT((MONTH(CHOOSE({1,2,3,4},HN!T26,HN!X26,HN!AB26,HN!AF26))=5)*(CHOOSE({1,2,3,4},HN!W26,HN!AA26,HN!AE26,HN!AI26)))</f>
        <v>0</v>
      </c>
      <c r="F26">
        <f>SUMPRODUCT((MONTH(CHOOSE({1,2,3,4},HN!T26,HN!X26,HN!AB26,HN!AF26))=6)*(CHOOSE({1,2,3,4},HN!W26,HN!AA26,HN!AE26,HN!AI26)))</f>
        <v>0</v>
      </c>
      <c r="G26">
        <f>SUMPRODUCT((MONTH(CHOOSE({1,2,3,4},HN!T26,HN!X26,HN!AB26,HN!AF26))=7)*(CHOOSE({1,2,3,4},HN!W26,HN!AA26,HN!AE26,HN!AI26)))</f>
        <v>0</v>
      </c>
      <c r="H26">
        <f>SUMPRODUCT((MONTH(CHOOSE({1,2,3,4},HN!T26,HN!X26,HN!AB26,HN!AF26))=8)*(CHOOSE({1,2,3,4},HN!W26,HN!AA26,HN!AE26,HN!AI26)))</f>
        <v>0</v>
      </c>
      <c r="I26">
        <f>SUMPRODUCT((MONTH(CHOOSE({1,2,3,4},HN!T26,HN!X26,HN!AB26,HN!AF26))=9)*(CHOOSE({1,2,3,4},HN!W26,HN!AA26,HN!AE26,HN!AI26)))</f>
        <v>0</v>
      </c>
      <c r="J26">
        <f>SUMPRODUCT((MONTH(CHOOSE({1,2,3,4},HN!T26,HN!X26,HN!AB26,HN!AF26))=10)*(CHOOSE({1,2,3,4},HN!W26,HN!AA26,HN!AE26,HN!AI26)))</f>
        <v>0</v>
      </c>
      <c r="K26">
        <f>SUMPRODUCT((MONTH(CHOOSE({1,2,3,4},HN!T26,HN!X26,HN!AB26,HN!AF26))=11)*(CHOOSE({1,2,3,4},HN!W26,HN!AA26,HN!AE26,HN!AI26)))</f>
        <v>0</v>
      </c>
      <c r="L26">
        <f>SUMPRODUCT((MONTH(CHOOSE({1,2,3,4},HN!T26,HN!X26,HN!AB26,HN!AF26))=12)*(CHOOSE({1,2,3,4},HN!W26,HN!AA26,HN!AE26,HN!AI26)))</f>
        <v>0</v>
      </c>
    </row>
    <row r="27" spans="1:12">
      <c r="A27">
        <f>SUMPRODUCT((MONTH(CHOOSE({1,2,3,4},HN!T27,HN!X27,HN!AB27,HN!AF27))=1)*(CHOOSE({1,2,3,4},HN!W27,HN!AA27,HN!AE27,HN!AI27)))</f>
        <v>0</v>
      </c>
      <c r="B27">
        <f>SUMPRODUCT((MONTH(CHOOSE({1,2,3,4},HN!T27,HN!X27,HN!AB27,HN!AF27))=2)*(CHOOSE({1,2,3,4},HN!W27,HN!AA27,HN!AE27,HN!AI27)))</f>
        <v>0</v>
      </c>
      <c r="C27">
        <f>SUMPRODUCT((MONTH(CHOOSE({1,2,3,4},HN!T27,HN!X27,HN!AB27,HN!AF27))=3)*(CHOOSE({1,2,3,4},HN!W27,HN!AA27,HN!AE27,HN!AI27)))</f>
        <v>0</v>
      </c>
      <c r="D27">
        <f>SUMPRODUCT((MONTH(CHOOSE({1,2,3,4},HN!T27,HN!X27,HN!AB27,HN!AF27))=4)*(CHOOSE({1,2,3,4},HN!W27,HN!AA27,HN!AE27,HN!AI27)))</f>
        <v>0</v>
      </c>
      <c r="E27">
        <f>SUMPRODUCT((MONTH(CHOOSE({1,2,3,4},HN!T27,HN!X27,HN!AB27,HN!AF27))=5)*(CHOOSE({1,2,3,4},HN!W27,HN!AA27,HN!AE27,HN!AI27)))</f>
        <v>0</v>
      </c>
      <c r="F27">
        <f>SUMPRODUCT((MONTH(CHOOSE({1,2,3,4},HN!T27,HN!X27,HN!AB27,HN!AF27))=6)*(CHOOSE({1,2,3,4},HN!W27,HN!AA27,HN!AE27,HN!AI27)))</f>
        <v>0</v>
      </c>
      <c r="G27">
        <f>SUMPRODUCT((MONTH(CHOOSE({1,2,3,4},HN!T27,HN!X27,HN!AB27,HN!AF27))=7)*(CHOOSE({1,2,3,4},HN!W27,HN!AA27,HN!AE27,HN!AI27)))</f>
        <v>0</v>
      </c>
      <c r="H27">
        <f>SUMPRODUCT((MONTH(CHOOSE({1,2,3,4},HN!T27,HN!X27,HN!AB27,HN!AF27))=8)*(CHOOSE({1,2,3,4},HN!W27,HN!AA27,HN!AE27,HN!AI27)))</f>
        <v>0</v>
      </c>
      <c r="I27">
        <f>SUMPRODUCT((MONTH(CHOOSE({1,2,3,4},HN!T27,HN!X27,HN!AB27,HN!AF27))=9)*(CHOOSE({1,2,3,4},HN!W27,HN!AA27,HN!AE27,HN!AI27)))</f>
        <v>0</v>
      </c>
      <c r="J27">
        <f>SUMPRODUCT((MONTH(CHOOSE({1,2,3,4},HN!T27,HN!X27,HN!AB27,HN!AF27))=10)*(CHOOSE({1,2,3,4},HN!W27,HN!AA27,HN!AE27,HN!AI27)))</f>
        <v>0</v>
      </c>
      <c r="K27">
        <f>SUMPRODUCT((MONTH(CHOOSE({1,2,3,4},HN!T27,HN!X27,HN!AB27,HN!AF27))=11)*(CHOOSE({1,2,3,4},HN!W27,HN!AA27,HN!AE27,HN!AI27)))</f>
        <v>0</v>
      </c>
      <c r="L27">
        <f>SUMPRODUCT((MONTH(CHOOSE({1,2,3,4},HN!T27,HN!X27,HN!AB27,HN!AF27))=12)*(CHOOSE({1,2,3,4},HN!W27,HN!AA27,HN!AE27,HN!AI27)))</f>
        <v>0</v>
      </c>
    </row>
    <row r="28" spans="1:12">
      <c r="A28">
        <f>SUMPRODUCT((MONTH(CHOOSE({1,2,3,4},HN!T28,HN!X28,HN!AB28,HN!AF28))=1)*(CHOOSE({1,2,3,4},HN!W28,HN!AA28,HN!AE28,HN!AI28)))</f>
        <v>0</v>
      </c>
      <c r="B28">
        <f>SUMPRODUCT((MONTH(CHOOSE({1,2,3,4},HN!T28,HN!X28,HN!AB28,HN!AF28))=2)*(CHOOSE({1,2,3,4},HN!W28,HN!AA28,HN!AE28,HN!AI28)))</f>
        <v>0</v>
      </c>
      <c r="C28">
        <f>SUMPRODUCT((MONTH(CHOOSE({1,2,3,4},HN!T28,HN!X28,HN!AB28,HN!AF28))=3)*(CHOOSE({1,2,3,4},HN!W28,HN!AA28,HN!AE28,HN!AI28)))</f>
        <v>0</v>
      </c>
      <c r="D28">
        <f>SUMPRODUCT((MONTH(CHOOSE({1,2,3,4},HN!T28,HN!X28,HN!AB28,HN!AF28))=4)*(CHOOSE({1,2,3,4},HN!W28,HN!AA28,HN!AE28,HN!AI28)))</f>
        <v>0</v>
      </c>
      <c r="E28">
        <f>SUMPRODUCT((MONTH(CHOOSE({1,2,3,4},HN!T28,HN!X28,HN!AB28,HN!AF28))=5)*(CHOOSE({1,2,3,4},HN!W28,HN!AA28,HN!AE28,HN!AI28)))</f>
        <v>0</v>
      </c>
      <c r="F28">
        <f>SUMPRODUCT((MONTH(CHOOSE({1,2,3,4},HN!T28,HN!X28,HN!AB28,HN!AF28))=6)*(CHOOSE({1,2,3,4},HN!W28,HN!AA28,HN!AE28,HN!AI28)))</f>
        <v>0</v>
      </c>
      <c r="G28">
        <f>SUMPRODUCT((MONTH(CHOOSE({1,2,3,4},HN!T28,HN!X28,HN!AB28,HN!AF28))=7)*(CHOOSE({1,2,3,4},HN!W28,HN!AA28,HN!AE28,HN!AI28)))</f>
        <v>0</v>
      </c>
      <c r="H28">
        <f>SUMPRODUCT((MONTH(CHOOSE({1,2,3,4},HN!T28,HN!X28,HN!AB28,HN!AF28))=8)*(CHOOSE({1,2,3,4},HN!W28,HN!AA28,HN!AE28,HN!AI28)))</f>
        <v>0</v>
      </c>
      <c r="I28">
        <f>SUMPRODUCT((MONTH(CHOOSE({1,2,3,4},HN!T28,HN!X28,HN!AB28,HN!AF28))=9)*(CHOOSE({1,2,3,4},HN!W28,HN!AA28,HN!AE28,HN!AI28)))</f>
        <v>0</v>
      </c>
      <c r="J28">
        <f>SUMPRODUCT((MONTH(CHOOSE({1,2,3,4},HN!T28,HN!X28,HN!AB28,HN!AF28))=10)*(CHOOSE({1,2,3,4},HN!W28,HN!AA28,HN!AE28,HN!AI28)))</f>
        <v>0</v>
      </c>
      <c r="K28">
        <f>SUMPRODUCT((MONTH(CHOOSE({1,2,3,4},HN!T28,HN!X28,HN!AB28,HN!AF28))=11)*(CHOOSE({1,2,3,4},HN!W28,HN!AA28,HN!AE28,HN!AI28)))</f>
        <v>0</v>
      </c>
      <c r="L28">
        <f>SUMPRODUCT((MONTH(CHOOSE({1,2,3,4},HN!T28,HN!X28,HN!AB28,HN!AF28))=12)*(CHOOSE({1,2,3,4},HN!W28,HN!AA28,HN!AE28,HN!AI28)))</f>
        <v>0</v>
      </c>
    </row>
    <row r="29" spans="1:12">
      <c r="A29">
        <f>SUMPRODUCT((MONTH(CHOOSE({1,2,3,4},HN!T29,HN!X29,HN!AB29,HN!AF29))=1)*(CHOOSE({1,2,3,4},HN!W29,HN!AA29,HN!AE29,HN!AI29)))</f>
        <v>0</v>
      </c>
      <c r="B29">
        <f>SUMPRODUCT((MONTH(CHOOSE({1,2,3,4},HN!T29,HN!X29,HN!AB29,HN!AF29))=2)*(CHOOSE({1,2,3,4},HN!W29,HN!AA29,HN!AE29,HN!AI29)))</f>
        <v>0</v>
      </c>
      <c r="C29">
        <f>SUMPRODUCT((MONTH(CHOOSE({1,2,3,4},HN!T29,HN!X29,HN!AB29,HN!AF29))=3)*(CHOOSE({1,2,3,4},HN!W29,HN!AA29,HN!AE29,HN!AI29)))</f>
        <v>0</v>
      </c>
      <c r="D29">
        <f>SUMPRODUCT((MONTH(CHOOSE({1,2,3,4},HN!T29,HN!X29,HN!AB29,HN!AF29))=4)*(CHOOSE({1,2,3,4},HN!W29,HN!AA29,HN!AE29,HN!AI29)))</f>
        <v>0</v>
      </c>
      <c r="E29">
        <f>SUMPRODUCT((MONTH(CHOOSE({1,2,3,4},HN!T29,HN!X29,HN!AB29,HN!AF29))=5)*(CHOOSE({1,2,3,4},HN!W29,HN!AA29,HN!AE29,HN!AI29)))</f>
        <v>0</v>
      </c>
      <c r="F29">
        <f>SUMPRODUCT((MONTH(CHOOSE({1,2,3,4},HN!T29,HN!X29,HN!AB29,HN!AF29))=6)*(CHOOSE({1,2,3,4},HN!W29,HN!AA29,HN!AE29,HN!AI29)))</f>
        <v>0</v>
      </c>
      <c r="G29">
        <f>SUMPRODUCT((MONTH(CHOOSE({1,2,3,4},HN!T29,HN!X29,HN!AB29,HN!AF29))=7)*(CHOOSE({1,2,3,4},HN!W29,HN!AA29,HN!AE29,HN!AI29)))</f>
        <v>0</v>
      </c>
      <c r="H29">
        <f>SUMPRODUCT((MONTH(CHOOSE({1,2,3,4},HN!T29,HN!X29,HN!AB29,HN!AF29))=8)*(CHOOSE({1,2,3,4},HN!W29,HN!AA29,HN!AE29,HN!AI29)))</f>
        <v>0</v>
      </c>
      <c r="I29">
        <f>SUMPRODUCT((MONTH(CHOOSE({1,2,3,4},HN!T29,HN!X29,HN!AB29,HN!AF29))=9)*(CHOOSE({1,2,3,4},HN!W29,HN!AA29,HN!AE29,HN!AI29)))</f>
        <v>0</v>
      </c>
      <c r="J29">
        <f>SUMPRODUCT((MONTH(CHOOSE({1,2,3,4},HN!T29,HN!X29,HN!AB29,HN!AF29))=10)*(CHOOSE({1,2,3,4},HN!W29,HN!AA29,HN!AE29,HN!AI29)))</f>
        <v>0</v>
      </c>
      <c r="K29">
        <f>SUMPRODUCT((MONTH(CHOOSE({1,2,3,4},HN!T29,HN!X29,HN!AB29,HN!AF29))=11)*(CHOOSE({1,2,3,4},HN!W29,HN!AA29,HN!AE29,HN!AI29)))</f>
        <v>0</v>
      </c>
      <c r="L29">
        <f>SUMPRODUCT((MONTH(CHOOSE({1,2,3,4},HN!T29,HN!X29,HN!AB29,HN!AF29))=12)*(CHOOSE({1,2,3,4},HN!W29,HN!AA29,HN!AE29,HN!AI29)))</f>
        <v>0</v>
      </c>
    </row>
    <row r="30" spans="1:12">
      <c r="A30">
        <f>SUMPRODUCT((MONTH(CHOOSE({1,2,3,4},HN!T30,HN!X30,HN!AB30,HN!AF30))=1)*(CHOOSE({1,2,3,4},HN!W30,HN!AA30,HN!AE30,HN!AI30)))</f>
        <v>0</v>
      </c>
      <c r="B30">
        <f>SUMPRODUCT((MONTH(CHOOSE({1,2,3,4},HN!T30,HN!X30,HN!AB30,HN!AF30))=2)*(CHOOSE({1,2,3,4},HN!W30,HN!AA30,HN!AE30,HN!AI30)))</f>
        <v>0</v>
      </c>
      <c r="C30">
        <f>SUMPRODUCT((MONTH(CHOOSE({1,2,3,4},HN!T30,HN!X30,HN!AB30,HN!AF30))=3)*(CHOOSE({1,2,3,4},HN!W30,HN!AA30,HN!AE30,HN!AI30)))</f>
        <v>0</v>
      </c>
      <c r="D30">
        <f>SUMPRODUCT((MONTH(CHOOSE({1,2,3,4},HN!T30,HN!X30,HN!AB30,HN!AF30))=4)*(CHOOSE({1,2,3,4},HN!W30,HN!AA30,HN!AE30,HN!AI30)))</f>
        <v>0</v>
      </c>
      <c r="E30">
        <f>SUMPRODUCT((MONTH(CHOOSE({1,2,3,4},HN!T30,HN!X30,HN!AB30,HN!AF30))=5)*(CHOOSE({1,2,3,4},HN!W30,HN!AA30,HN!AE30,HN!AI30)))</f>
        <v>0</v>
      </c>
      <c r="F30">
        <f>SUMPRODUCT((MONTH(CHOOSE({1,2,3,4},HN!T30,HN!X30,HN!AB30,HN!AF30))=6)*(CHOOSE({1,2,3,4},HN!W30,HN!AA30,HN!AE30,HN!AI30)))</f>
        <v>0</v>
      </c>
      <c r="G30">
        <f>SUMPRODUCT((MONTH(CHOOSE({1,2,3,4},HN!T30,HN!X30,HN!AB30,HN!AF30))=7)*(CHOOSE({1,2,3,4},HN!W30,HN!AA30,HN!AE30,HN!AI30)))</f>
        <v>0</v>
      </c>
      <c r="H30">
        <f>SUMPRODUCT((MONTH(CHOOSE({1,2,3,4},HN!T30,HN!X30,HN!AB30,HN!AF30))=8)*(CHOOSE({1,2,3,4},HN!W30,HN!AA30,HN!AE30,HN!AI30)))</f>
        <v>0</v>
      </c>
      <c r="I30">
        <f>SUMPRODUCT((MONTH(CHOOSE({1,2,3,4},HN!T30,HN!X30,HN!AB30,HN!AF30))=9)*(CHOOSE({1,2,3,4},HN!W30,HN!AA30,HN!AE30,HN!AI30)))</f>
        <v>0</v>
      </c>
      <c r="J30">
        <f>SUMPRODUCT((MONTH(CHOOSE({1,2,3,4},HN!T30,HN!X30,HN!AB30,HN!AF30))=10)*(CHOOSE({1,2,3,4},HN!W30,HN!AA30,HN!AE30,HN!AI30)))</f>
        <v>0</v>
      </c>
      <c r="K30">
        <f>SUMPRODUCT((MONTH(CHOOSE({1,2,3,4},HN!T30,HN!X30,HN!AB30,HN!AF30))=11)*(CHOOSE({1,2,3,4},HN!W30,HN!AA30,HN!AE30,HN!AI30)))</f>
        <v>0</v>
      </c>
      <c r="L30">
        <f>SUMPRODUCT((MONTH(CHOOSE({1,2,3,4},HN!T30,HN!X30,HN!AB30,HN!AF30))=12)*(CHOOSE({1,2,3,4},HN!W30,HN!AA30,HN!AE30,HN!AI30)))</f>
        <v>0</v>
      </c>
    </row>
    <row r="31" spans="1:12">
      <c r="A31">
        <f>SUMPRODUCT((MONTH(CHOOSE({1,2,3,4},HN!T31,HN!X31,HN!AB31,HN!AF31))=1)*(CHOOSE({1,2,3,4},HN!W31,HN!AA31,HN!AE31,HN!AI31)))</f>
        <v>0</v>
      </c>
      <c r="B31">
        <f>SUMPRODUCT((MONTH(CHOOSE({1,2,3,4},HN!T31,HN!X31,HN!AB31,HN!AF31))=2)*(CHOOSE({1,2,3,4},HN!W31,HN!AA31,HN!AE31,HN!AI31)))</f>
        <v>0</v>
      </c>
      <c r="C31">
        <f>SUMPRODUCT((MONTH(CHOOSE({1,2,3,4},HN!T31,HN!X31,HN!AB31,HN!AF31))=3)*(CHOOSE({1,2,3,4},HN!W31,HN!AA31,HN!AE31,HN!AI31)))</f>
        <v>0</v>
      </c>
      <c r="D31">
        <f>SUMPRODUCT((MONTH(CHOOSE({1,2,3,4},HN!T31,HN!X31,HN!AB31,HN!AF31))=4)*(CHOOSE({1,2,3,4},HN!W31,HN!AA31,HN!AE31,HN!AI31)))</f>
        <v>0</v>
      </c>
      <c r="E31">
        <f>SUMPRODUCT((MONTH(CHOOSE({1,2,3,4},HN!T31,HN!X31,HN!AB31,HN!AF31))=5)*(CHOOSE({1,2,3,4},HN!W31,HN!AA31,HN!AE31,HN!AI31)))</f>
        <v>0</v>
      </c>
      <c r="F31">
        <f>SUMPRODUCT((MONTH(CHOOSE({1,2,3,4},HN!T31,HN!X31,HN!AB31,HN!AF31))=6)*(CHOOSE({1,2,3,4},HN!W31,HN!AA31,HN!AE31,HN!AI31)))</f>
        <v>0</v>
      </c>
      <c r="G31">
        <f>SUMPRODUCT((MONTH(CHOOSE({1,2,3,4},HN!T31,HN!X31,HN!AB31,HN!AF31))=7)*(CHOOSE({1,2,3,4},HN!W31,HN!AA31,HN!AE31,HN!AI31)))</f>
        <v>0</v>
      </c>
      <c r="H31">
        <f>SUMPRODUCT((MONTH(CHOOSE({1,2,3,4},HN!T31,HN!X31,HN!AB31,HN!AF31))=8)*(CHOOSE({1,2,3,4},HN!W31,HN!AA31,HN!AE31,HN!AI31)))</f>
        <v>0</v>
      </c>
      <c r="I31">
        <f>SUMPRODUCT((MONTH(CHOOSE({1,2,3,4},HN!T31,HN!X31,HN!AB31,HN!AF31))=9)*(CHOOSE({1,2,3,4},HN!W31,HN!AA31,HN!AE31,HN!AI31)))</f>
        <v>0</v>
      </c>
      <c r="J31">
        <f>SUMPRODUCT((MONTH(CHOOSE({1,2,3,4},HN!T31,HN!X31,HN!AB31,HN!AF31))=10)*(CHOOSE({1,2,3,4},HN!W31,HN!AA31,HN!AE31,HN!AI31)))</f>
        <v>0</v>
      </c>
      <c r="K31">
        <f>SUMPRODUCT((MONTH(CHOOSE({1,2,3,4},HN!T31,HN!X31,HN!AB31,HN!AF31))=11)*(CHOOSE({1,2,3,4},HN!W31,HN!AA31,HN!AE31,HN!AI31)))</f>
        <v>0</v>
      </c>
      <c r="L31">
        <f>SUMPRODUCT((MONTH(CHOOSE({1,2,3,4},HN!T31,HN!X31,HN!AB31,HN!AF31))=12)*(CHOOSE({1,2,3,4},HN!W31,HN!AA31,HN!AE31,HN!AI31)))</f>
        <v>0</v>
      </c>
    </row>
    <row r="32" spans="1:12">
      <c r="A32">
        <f>SUMPRODUCT((MONTH(CHOOSE({1,2,3,4},HN!T32,HN!X32,HN!AB32,HN!AF32))=1)*(CHOOSE({1,2,3,4},HN!W32,HN!AA32,HN!AE32,HN!AI32)))</f>
        <v>0</v>
      </c>
      <c r="B32">
        <f>SUMPRODUCT((MONTH(CHOOSE({1,2,3,4},HN!T32,HN!X32,HN!AB32,HN!AF32))=2)*(CHOOSE({1,2,3,4},HN!W32,HN!AA32,HN!AE32,HN!AI32)))</f>
        <v>0</v>
      </c>
      <c r="C32">
        <f>SUMPRODUCT((MONTH(CHOOSE({1,2,3,4},HN!T32,HN!X32,HN!AB32,HN!AF32))=3)*(CHOOSE({1,2,3,4},HN!W32,HN!AA32,HN!AE32,HN!AI32)))</f>
        <v>0</v>
      </c>
      <c r="D32">
        <f>SUMPRODUCT((MONTH(CHOOSE({1,2,3,4},HN!T32,HN!X32,HN!AB32,HN!AF32))=4)*(CHOOSE({1,2,3,4},HN!W32,HN!AA32,HN!AE32,HN!AI32)))</f>
        <v>0</v>
      </c>
      <c r="E32">
        <f>SUMPRODUCT((MONTH(CHOOSE({1,2,3,4},HN!T32,HN!X32,HN!AB32,HN!AF32))=5)*(CHOOSE({1,2,3,4},HN!W32,HN!AA32,HN!AE32,HN!AI32)))</f>
        <v>0</v>
      </c>
      <c r="F32">
        <f>SUMPRODUCT((MONTH(CHOOSE({1,2,3,4},HN!T32,HN!X32,HN!AB32,HN!AF32))=6)*(CHOOSE({1,2,3,4},HN!W32,HN!AA32,HN!AE32,HN!AI32)))</f>
        <v>0</v>
      </c>
      <c r="G32">
        <f>SUMPRODUCT((MONTH(CHOOSE({1,2,3,4},HN!T32,HN!X32,HN!AB32,HN!AF32))=7)*(CHOOSE({1,2,3,4},HN!W32,HN!AA32,HN!AE32,HN!AI32)))</f>
        <v>0</v>
      </c>
      <c r="H32">
        <f>SUMPRODUCT((MONTH(CHOOSE({1,2,3,4},HN!T32,HN!X32,HN!AB32,HN!AF32))=8)*(CHOOSE({1,2,3,4},HN!W32,HN!AA32,HN!AE32,HN!AI32)))</f>
        <v>0</v>
      </c>
      <c r="I32">
        <f>SUMPRODUCT((MONTH(CHOOSE({1,2,3,4},HN!T32,HN!X32,HN!AB32,HN!AF32))=9)*(CHOOSE({1,2,3,4},HN!W32,HN!AA32,HN!AE32,HN!AI32)))</f>
        <v>0</v>
      </c>
      <c r="J32">
        <f>SUMPRODUCT((MONTH(CHOOSE({1,2,3,4},HN!T32,HN!X32,HN!AB32,HN!AF32))=10)*(CHOOSE({1,2,3,4},HN!W32,HN!AA32,HN!AE32,HN!AI32)))</f>
        <v>0</v>
      </c>
      <c r="K32">
        <f>SUMPRODUCT((MONTH(CHOOSE({1,2,3,4},HN!T32,HN!X32,HN!AB32,HN!AF32))=11)*(CHOOSE({1,2,3,4},HN!W32,HN!AA32,HN!AE32,HN!AI32)))</f>
        <v>0</v>
      </c>
      <c r="L32">
        <f>SUMPRODUCT((MONTH(CHOOSE({1,2,3,4},HN!T32,HN!X32,HN!AB32,HN!AF32))=12)*(CHOOSE({1,2,3,4},HN!W32,HN!AA32,HN!AE32,HN!AI32)))</f>
        <v>0</v>
      </c>
    </row>
    <row r="33" spans="1:12">
      <c r="A33">
        <f>SUMPRODUCT((MONTH(CHOOSE({1,2,3,4},HN!T33,HN!X33,HN!AB33,HN!AF33))=1)*(CHOOSE({1,2,3,4},HN!W33,HN!AA33,HN!AE33,HN!AI33)))</f>
        <v>0</v>
      </c>
      <c r="B33">
        <f>SUMPRODUCT((MONTH(CHOOSE({1,2,3,4},HN!T33,HN!X33,HN!AB33,HN!AF33))=2)*(CHOOSE({1,2,3,4},HN!W33,HN!AA33,HN!AE33,HN!AI33)))</f>
        <v>0</v>
      </c>
      <c r="C33">
        <f>SUMPRODUCT((MONTH(CHOOSE({1,2,3,4},HN!T33,HN!X33,HN!AB33,HN!AF33))=3)*(CHOOSE({1,2,3,4},HN!W33,HN!AA33,HN!AE33,HN!AI33)))</f>
        <v>0</v>
      </c>
      <c r="D33">
        <f>SUMPRODUCT((MONTH(CHOOSE({1,2,3,4},HN!T33,HN!X33,HN!AB33,HN!AF33))=4)*(CHOOSE({1,2,3,4},HN!W33,HN!AA33,HN!AE33,HN!AI33)))</f>
        <v>0</v>
      </c>
      <c r="E33">
        <f>SUMPRODUCT((MONTH(CHOOSE({1,2,3,4},HN!T33,HN!X33,HN!AB33,HN!AF33))=5)*(CHOOSE({1,2,3,4},HN!W33,HN!AA33,HN!AE33,HN!AI33)))</f>
        <v>0</v>
      </c>
      <c r="F33">
        <f>SUMPRODUCT((MONTH(CHOOSE({1,2,3,4},HN!T33,HN!X33,HN!AB33,HN!AF33))=6)*(CHOOSE({1,2,3,4},HN!W33,HN!AA33,HN!AE33,HN!AI33)))</f>
        <v>0</v>
      </c>
      <c r="G33">
        <f>SUMPRODUCT((MONTH(CHOOSE({1,2,3,4},HN!T33,HN!X33,HN!AB33,HN!AF33))=7)*(CHOOSE({1,2,3,4},HN!W33,HN!AA33,HN!AE33,HN!AI33)))</f>
        <v>0</v>
      </c>
      <c r="H33">
        <f>SUMPRODUCT((MONTH(CHOOSE({1,2,3,4},HN!T33,HN!X33,HN!AB33,HN!AF33))=8)*(CHOOSE({1,2,3,4},HN!W33,HN!AA33,HN!AE33,HN!AI33)))</f>
        <v>0</v>
      </c>
      <c r="I33">
        <f>SUMPRODUCT((MONTH(CHOOSE({1,2,3,4},HN!T33,HN!X33,HN!AB33,HN!AF33))=9)*(CHOOSE({1,2,3,4},HN!W33,HN!AA33,HN!AE33,HN!AI33)))</f>
        <v>0</v>
      </c>
      <c r="J33">
        <f>SUMPRODUCT((MONTH(CHOOSE({1,2,3,4},HN!T33,HN!X33,HN!AB33,HN!AF33))=10)*(CHOOSE({1,2,3,4},HN!W33,HN!AA33,HN!AE33,HN!AI33)))</f>
        <v>0</v>
      </c>
      <c r="K33">
        <f>SUMPRODUCT((MONTH(CHOOSE({1,2,3,4},HN!T33,HN!X33,HN!AB33,HN!AF33))=11)*(CHOOSE({1,2,3,4},HN!W33,HN!AA33,HN!AE33,HN!AI33)))</f>
        <v>0</v>
      </c>
      <c r="L33">
        <f>SUMPRODUCT((MONTH(CHOOSE({1,2,3,4},HN!T33,HN!X33,HN!AB33,HN!AF33))=12)*(CHOOSE({1,2,3,4},HN!W33,HN!AA33,HN!AE33,HN!AI33)))</f>
        <v>0</v>
      </c>
    </row>
    <row r="34" spans="1:12">
      <c r="A34">
        <f>SUMPRODUCT((MONTH(CHOOSE({1,2,3,4},HN!T34,HN!X34,HN!AB34,HN!AF34))=1)*(CHOOSE({1,2,3,4},HN!W34,HN!AA34,HN!AE34,HN!AI34)))</f>
        <v>0</v>
      </c>
      <c r="B34">
        <f>SUMPRODUCT((MONTH(CHOOSE({1,2,3,4},HN!T34,HN!X34,HN!AB34,HN!AF34))=2)*(CHOOSE({1,2,3,4},HN!W34,HN!AA34,HN!AE34,HN!AI34)))</f>
        <v>0</v>
      </c>
      <c r="C34">
        <f>SUMPRODUCT((MONTH(CHOOSE({1,2,3,4},HN!T34,HN!X34,HN!AB34,HN!AF34))=3)*(CHOOSE({1,2,3,4},HN!W34,HN!AA34,HN!AE34,HN!AI34)))</f>
        <v>0</v>
      </c>
      <c r="D34">
        <f>SUMPRODUCT((MONTH(CHOOSE({1,2,3,4},HN!T34,HN!X34,HN!AB34,HN!AF34))=4)*(CHOOSE({1,2,3,4},HN!W34,HN!AA34,HN!AE34,HN!AI34)))</f>
        <v>0</v>
      </c>
      <c r="E34">
        <f>SUMPRODUCT((MONTH(CHOOSE({1,2,3,4},HN!T34,HN!X34,HN!AB34,HN!AF34))=5)*(CHOOSE({1,2,3,4},HN!W34,HN!AA34,HN!AE34,HN!AI34)))</f>
        <v>0</v>
      </c>
      <c r="F34">
        <f>SUMPRODUCT((MONTH(CHOOSE({1,2,3,4},HN!T34,HN!X34,HN!AB34,HN!AF34))=6)*(CHOOSE({1,2,3,4},HN!W34,HN!AA34,HN!AE34,HN!AI34)))</f>
        <v>0</v>
      </c>
      <c r="G34">
        <f>SUMPRODUCT((MONTH(CHOOSE({1,2,3,4},HN!T34,HN!X34,HN!AB34,HN!AF34))=7)*(CHOOSE({1,2,3,4},HN!W34,HN!AA34,HN!AE34,HN!AI34)))</f>
        <v>0</v>
      </c>
      <c r="H34">
        <f>SUMPRODUCT((MONTH(CHOOSE({1,2,3,4},HN!T34,HN!X34,HN!AB34,HN!AF34))=8)*(CHOOSE({1,2,3,4},HN!W34,HN!AA34,HN!AE34,HN!AI34)))</f>
        <v>0</v>
      </c>
      <c r="I34">
        <f>SUMPRODUCT((MONTH(CHOOSE({1,2,3,4},HN!T34,HN!X34,HN!AB34,HN!AF34))=9)*(CHOOSE({1,2,3,4},HN!W34,HN!AA34,HN!AE34,HN!AI34)))</f>
        <v>0</v>
      </c>
      <c r="J34">
        <f>SUMPRODUCT((MONTH(CHOOSE({1,2,3,4},HN!T34,HN!X34,HN!AB34,HN!AF34))=10)*(CHOOSE({1,2,3,4},HN!W34,HN!AA34,HN!AE34,HN!AI34)))</f>
        <v>0</v>
      </c>
      <c r="K34">
        <f>SUMPRODUCT((MONTH(CHOOSE({1,2,3,4},HN!T34,HN!X34,HN!AB34,HN!AF34))=11)*(CHOOSE({1,2,3,4},HN!W34,HN!AA34,HN!AE34,HN!AI34)))</f>
        <v>0</v>
      </c>
      <c r="L34">
        <f>SUMPRODUCT((MONTH(CHOOSE({1,2,3,4},HN!T34,HN!X34,HN!AB34,HN!AF34))=12)*(CHOOSE({1,2,3,4},HN!W34,HN!AA34,HN!AE34,HN!AI34)))</f>
        <v>0</v>
      </c>
    </row>
    <row r="35" spans="1:12">
      <c r="A35">
        <f>SUMPRODUCT((MONTH(CHOOSE({1,2,3,4},HN!T35,HN!X35,HN!AB35,HN!AF35))=1)*(CHOOSE({1,2,3,4},HN!W35,HN!AA35,HN!AE35,HN!AI35)))</f>
        <v>0</v>
      </c>
      <c r="B35">
        <f>SUMPRODUCT((MONTH(CHOOSE({1,2,3,4},HN!T35,HN!X35,HN!AB35,HN!AF35))=2)*(CHOOSE({1,2,3,4},HN!W35,HN!AA35,HN!AE35,HN!AI35)))</f>
        <v>0</v>
      </c>
      <c r="C35">
        <f>SUMPRODUCT((MONTH(CHOOSE({1,2,3,4},HN!T35,HN!X35,HN!AB35,HN!AF35))=3)*(CHOOSE({1,2,3,4},HN!W35,HN!AA35,HN!AE35,HN!AI35)))</f>
        <v>0</v>
      </c>
      <c r="D35">
        <f>SUMPRODUCT((MONTH(CHOOSE({1,2,3,4},HN!T35,HN!X35,HN!AB35,HN!AF35))=4)*(CHOOSE({1,2,3,4},HN!W35,HN!AA35,HN!AE35,HN!AI35)))</f>
        <v>0</v>
      </c>
      <c r="E35">
        <f>SUMPRODUCT((MONTH(CHOOSE({1,2,3,4},HN!T35,HN!X35,HN!AB35,HN!AF35))=5)*(CHOOSE({1,2,3,4},HN!W35,HN!AA35,HN!AE35,HN!AI35)))</f>
        <v>0</v>
      </c>
      <c r="F35">
        <f>SUMPRODUCT((MONTH(CHOOSE({1,2,3,4},HN!T35,HN!X35,HN!AB35,HN!AF35))=6)*(CHOOSE({1,2,3,4},HN!W35,HN!AA35,HN!AE35,HN!AI35)))</f>
        <v>0</v>
      </c>
      <c r="G35">
        <f>SUMPRODUCT((MONTH(CHOOSE({1,2,3,4},HN!T35,HN!X35,HN!AB35,HN!AF35))=7)*(CHOOSE({1,2,3,4},HN!W35,HN!AA35,HN!AE35,HN!AI35)))</f>
        <v>0</v>
      </c>
      <c r="H35">
        <f>SUMPRODUCT((MONTH(CHOOSE({1,2,3,4},HN!T35,HN!X35,HN!AB35,HN!AF35))=8)*(CHOOSE({1,2,3,4},HN!W35,HN!AA35,HN!AE35,HN!AI35)))</f>
        <v>0</v>
      </c>
      <c r="I35">
        <f>SUMPRODUCT((MONTH(CHOOSE({1,2,3,4},HN!T35,HN!X35,HN!AB35,HN!AF35))=9)*(CHOOSE({1,2,3,4},HN!W35,HN!AA35,HN!AE35,HN!AI35)))</f>
        <v>0</v>
      </c>
      <c r="J35">
        <f>SUMPRODUCT((MONTH(CHOOSE({1,2,3,4},HN!T35,HN!X35,HN!AB35,HN!AF35))=10)*(CHOOSE({1,2,3,4},HN!W35,HN!AA35,HN!AE35,HN!AI35)))</f>
        <v>0</v>
      </c>
      <c r="K35">
        <f>SUMPRODUCT((MONTH(CHOOSE({1,2,3,4},HN!T35,HN!X35,HN!AB35,HN!AF35))=11)*(CHOOSE({1,2,3,4},HN!W35,HN!AA35,HN!AE35,HN!AI35)))</f>
        <v>0</v>
      </c>
      <c r="L35">
        <f>SUMPRODUCT((MONTH(CHOOSE({1,2,3,4},HN!T35,HN!X35,HN!AB35,HN!AF35))=12)*(CHOOSE({1,2,3,4},HN!W35,HN!AA35,HN!AE35,HN!AI35)))</f>
        <v>0</v>
      </c>
    </row>
    <row r="36" spans="1:12">
      <c r="A36">
        <f>SUMPRODUCT((MONTH(CHOOSE({1,2,3,4},HN!T36,HN!X36,HN!AB36,HN!AF36))=1)*(CHOOSE({1,2,3,4},HN!W36,HN!AA36,HN!AE36,HN!AI36)))</f>
        <v>0</v>
      </c>
      <c r="B36">
        <f>SUMPRODUCT((MONTH(CHOOSE({1,2,3,4},HN!T36,HN!X36,HN!AB36,HN!AF36))=2)*(CHOOSE({1,2,3,4},HN!W36,HN!AA36,HN!AE36,HN!AI36)))</f>
        <v>0</v>
      </c>
      <c r="C36">
        <f>SUMPRODUCT((MONTH(CHOOSE({1,2,3,4},HN!T36,HN!X36,HN!AB36,HN!AF36))=3)*(CHOOSE({1,2,3,4},HN!W36,HN!AA36,HN!AE36,HN!AI36)))</f>
        <v>0</v>
      </c>
      <c r="D36">
        <f>SUMPRODUCT((MONTH(CHOOSE({1,2,3,4},HN!T36,HN!X36,HN!AB36,HN!AF36))=4)*(CHOOSE({1,2,3,4},HN!W36,HN!AA36,HN!AE36,HN!AI36)))</f>
        <v>0</v>
      </c>
      <c r="E36">
        <f>SUMPRODUCT((MONTH(CHOOSE({1,2,3,4},HN!T36,HN!X36,HN!AB36,HN!AF36))=5)*(CHOOSE({1,2,3,4},HN!W36,HN!AA36,HN!AE36,HN!AI36)))</f>
        <v>0</v>
      </c>
      <c r="F36">
        <f>SUMPRODUCT((MONTH(CHOOSE({1,2,3,4},HN!T36,HN!X36,HN!AB36,HN!AF36))=6)*(CHOOSE({1,2,3,4},HN!W36,HN!AA36,HN!AE36,HN!AI36)))</f>
        <v>0</v>
      </c>
      <c r="G36">
        <f>SUMPRODUCT((MONTH(CHOOSE({1,2,3,4},HN!T36,HN!X36,HN!AB36,HN!AF36))=7)*(CHOOSE({1,2,3,4},HN!W36,HN!AA36,HN!AE36,HN!AI36)))</f>
        <v>0</v>
      </c>
      <c r="H36">
        <f>SUMPRODUCT((MONTH(CHOOSE({1,2,3,4},HN!T36,HN!X36,HN!AB36,HN!AF36))=8)*(CHOOSE({1,2,3,4},HN!W36,HN!AA36,HN!AE36,HN!AI36)))</f>
        <v>0</v>
      </c>
      <c r="I36">
        <f>SUMPRODUCT((MONTH(CHOOSE({1,2,3,4},HN!T36,HN!X36,HN!AB36,HN!AF36))=9)*(CHOOSE({1,2,3,4},HN!W36,HN!AA36,HN!AE36,HN!AI36)))</f>
        <v>0</v>
      </c>
      <c r="J36">
        <f>SUMPRODUCT((MONTH(CHOOSE({1,2,3,4},HN!T36,HN!X36,HN!AB36,HN!AF36))=10)*(CHOOSE({1,2,3,4},HN!W36,HN!AA36,HN!AE36,HN!AI36)))</f>
        <v>0</v>
      </c>
      <c r="K36">
        <f>SUMPRODUCT((MONTH(CHOOSE({1,2,3,4},HN!T36,HN!X36,HN!AB36,HN!AF36))=11)*(CHOOSE({1,2,3,4},HN!W36,HN!AA36,HN!AE36,HN!AI36)))</f>
        <v>0</v>
      </c>
      <c r="L36">
        <f>SUMPRODUCT((MONTH(CHOOSE({1,2,3,4},HN!T36,HN!X36,HN!AB36,HN!AF36))=12)*(CHOOSE({1,2,3,4},HN!W36,HN!AA36,HN!AE36,HN!AI36)))</f>
        <v>0</v>
      </c>
    </row>
    <row r="37" spans="1:12">
      <c r="A37">
        <f>SUMPRODUCT((MONTH(CHOOSE({1,2,3,4},HN!T37,HN!X37,HN!AB37,HN!AF37))=1)*(CHOOSE({1,2,3,4},HN!W37,HN!AA37,HN!AE37,HN!AI37)))</f>
        <v>0</v>
      </c>
      <c r="B37">
        <f>SUMPRODUCT((MONTH(CHOOSE({1,2,3,4},HN!T37,HN!X37,HN!AB37,HN!AF37))=2)*(CHOOSE({1,2,3,4},HN!W37,HN!AA37,HN!AE37,HN!AI37)))</f>
        <v>0</v>
      </c>
      <c r="C37">
        <f>SUMPRODUCT((MONTH(CHOOSE({1,2,3,4},HN!T37,HN!X37,HN!AB37,HN!AF37))=3)*(CHOOSE({1,2,3,4},HN!W37,HN!AA37,HN!AE37,HN!AI37)))</f>
        <v>0</v>
      </c>
      <c r="D37">
        <f>SUMPRODUCT((MONTH(CHOOSE({1,2,3,4},HN!T37,HN!X37,HN!AB37,HN!AF37))=4)*(CHOOSE({1,2,3,4},HN!W37,HN!AA37,HN!AE37,HN!AI37)))</f>
        <v>0</v>
      </c>
      <c r="E37">
        <f>SUMPRODUCT((MONTH(CHOOSE({1,2,3,4},HN!T37,HN!X37,HN!AB37,HN!AF37))=5)*(CHOOSE({1,2,3,4},HN!W37,HN!AA37,HN!AE37,HN!AI37)))</f>
        <v>0</v>
      </c>
      <c r="F37">
        <f>SUMPRODUCT((MONTH(CHOOSE({1,2,3,4},HN!T37,HN!X37,HN!AB37,HN!AF37))=6)*(CHOOSE({1,2,3,4},HN!W37,HN!AA37,HN!AE37,HN!AI37)))</f>
        <v>0</v>
      </c>
      <c r="G37">
        <f>SUMPRODUCT((MONTH(CHOOSE({1,2,3,4},HN!T37,HN!X37,HN!AB37,HN!AF37))=7)*(CHOOSE({1,2,3,4},HN!W37,HN!AA37,HN!AE37,HN!AI37)))</f>
        <v>0</v>
      </c>
      <c r="H37">
        <f>SUMPRODUCT((MONTH(CHOOSE({1,2,3,4},HN!T37,HN!X37,HN!AB37,HN!AF37))=8)*(CHOOSE({1,2,3,4},HN!W37,HN!AA37,HN!AE37,HN!AI37)))</f>
        <v>0</v>
      </c>
      <c r="I37">
        <f>SUMPRODUCT((MONTH(CHOOSE({1,2,3,4},HN!T37,HN!X37,HN!AB37,HN!AF37))=9)*(CHOOSE({1,2,3,4},HN!W37,HN!AA37,HN!AE37,HN!AI37)))</f>
        <v>0</v>
      </c>
      <c r="J37">
        <f>SUMPRODUCT((MONTH(CHOOSE({1,2,3,4},HN!T37,HN!X37,HN!AB37,HN!AF37))=10)*(CHOOSE({1,2,3,4},HN!W37,HN!AA37,HN!AE37,HN!AI37)))</f>
        <v>0</v>
      </c>
      <c r="K37">
        <f>SUMPRODUCT((MONTH(CHOOSE({1,2,3,4},HN!T37,HN!X37,HN!AB37,HN!AF37))=11)*(CHOOSE({1,2,3,4},HN!W37,HN!AA37,HN!AE37,HN!AI37)))</f>
        <v>0</v>
      </c>
      <c r="L37">
        <f>SUMPRODUCT((MONTH(CHOOSE({1,2,3,4},HN!T37,HN!X37,HN!AB37,HN!AF37))=12)*(CHOOSE({1,2,3,4},HN!W37,HN!AA37,HN!AE37,HN!AI37)))</f>
        <v>0</v>
      </c>
    </row>
    <row r="38" spans="1:12">
      <c r="A38">
        <f>SUMPRODUCT((MONTH(CHOOSE({1,2,3,4},HN!T38,HN!X38,HN!AB38,HN!AF38))=1)*(CHOOSE({1,2,3,4},HN!W38,HN!AA38,HN!AE38,HN!AI38)))</f>
        <v>0</v>
      </c>
      <c r="B38">
        <f>SUMPRODUCT((MONTH(CHOOSE({1,2,3,4},HN!T38,HN!X38,HN!AB38,HN!AF38))=2)*(CHOOSE({1,2,3,4},HN!W38,HN!AA38,HN!AE38,HN!AI38)))</f>
        <v>0</v>
      </c>
      <c r="C38">
        <f>SUMPRODUCT((MONTH(CHOOSE({1,2,3,4},HN!T38,HN!X38,HN!AB38,HN!AF38))=3)*(CHOOSE({1,2,3,4},HN!W38,HN!AA38,HN!AE38,HN!AI38)))</f>
        <v>0</v>
      </c>
      <c r="D38">
        <f>SUMPRODUCT((MONTH(CHOOSE({1,2,3,4},HN!T38,HN!X38,HN!AB38,HN!AF38))=4)*(CHOOSE({1,2,3,4},HN!W38,HN!AA38,HN!AE38,HN!AI38)))</f>
        <v>0</v>
      </c>
      <c r="E38">
        <f>SUMPRODUCT((MONTH(CHOOSE({1,2,3,4},HN!T38,HN!X38,HN!AB38,HN!AF38))=5)*(CHOOSE({1,2,3,4},HN!W38,HN!AA38,HN!AE38,HN!AI38)))</f>
        <v>0</v>
      </c>
      <c r="F38">
        <f>SUMPRODUCT((MONTH(CHOOSE({1,2,3,4},HN!T38,HN!X38,HN!AB38,HN!AF38))=6)*(CHOOSE({1,2,3,4},HN!W38,HN!AA38,HN!AE38,HN!AI38)))</f>
        <v>0</v>
      </c>
      <c r="G38">
        <f>SUMPRODUCT((MONTH(CHOOSE({1,2,3,4},HN!T38,HN!X38,HN!AB38,HN!AF38))=7)*(CHOOSE({1,2,3,4},HN!W38,HN!AA38,HN!AE38,HN!AI38)))</f>
        <v>0</v>
      </c>
      <c r="H38">
        <f>SUMPRODUCT((MONTH(CHOOSE({1,2,3,4},HN!T38,HN!X38,HN!AB38,HN!AF38))=8)*(CHOOSE({1,2,3,4},HN!W38,HN!AA38,HN!AE38,HN!AI38)))</f>
        <v>0</v>
      </c>
      <c r="I38">
        <f>SUMPRODUCT((MONTH(CHOOSE({1,2,3,4},HN!T38,HN!X38,HN!AB38,HN!AF38))=9)*(CHOOSE({1,2,3,4},HN!W38,HN!AA38,HN!AE38,HN!AI38)))</f>
        <v>0</v>
      </c>
      <c r="J38">
        <f>SUMPRODUCT((MONTH(CHOOSE({1,2,3,4},HN!T38,HN!X38,HN!AB38,HN!AF38))=10)*(CHOOSE({1,2,3,4},HN!W38,HN!AA38,HN!AE38,HN!AI38)))</f>
        <v>0</v>
      </c>
      <c r="K38">
        <f>SUMPRODUCT((MONTH(CHOOSE({1,2,3,4},HN!T38,HN!X38,HN!AB38,HN!AF38))=11)*(CHOOSE({1,2,3,4},HN!W38,HN!AA38,HN!AE38,HN!AI38)))</f>
        <v>0</v>
      </c>
      <c r="L38">
        <f>SUMPRODUCT((MONTH(CHOOSE({1,2,3,4},HN!T38,HN!X38,HN!AB38,HN!AF38))=12)*(CHOOSE({1,2,3,4},HN!W38,HN!AA38,HN!AE38,HN!AI38)))</f>
        <v>0</v>
      </c>
    </row>
    <row r="39" spans="1:12">
      <c r="A39">
        <f>SUMPRODUCT((MONTH(CHOOSE({1,2,3,4},HN!T39,HN!X39,HN!AB39,HN!AF39))=1)*(CHOOSE({1,2,3,4},HN!W39,HN!AA39,HN!AE39,HN!AI39)))</f>
        <v>0</v>
      </c>
      <c r="B39">
        <f>SUMPRODUCT((MONTH(CHOOSE({1,2,3,4},HN!T39,HN!X39,HN!AB39,HN!AF39))=2)*(CHOOSE({1,2,3,4},HN!W39,HN!AA39,HN!AE39,HN!AI39)))</f>
        <v>0</v>
      </c>
      <c r="C39">
        <f>SUMPRODUCT((MONTH(CHOOSE({1,2,3,4},HN!T39,HN!X39,HN!AB39,HN!AF39))=3)*(CHOOSE({1,2,3,4},HN!W39,HN!AA39,HN!AE39,HN!AI39)))</f>
        <v>0</v>
      </c>
      <c r="D39">
        <f>SUMPRODUCT((MONTH(CHOOSE({1,2,3,4},HN!T39,HN!X39,HN!AB39,HN!AF39))=4)*(CHOOSE({1,2,3,4},HN!W39,HN!AA39,HN!AE39,HN!AI39)))</f>
        <v>0</v>
      </c>
      <c r="E39">
        <f>SUMPRODUCT((MONTH(CHOOSE({1,2,3,4},HN!T39,HN!X39,HN!AB39,HN!AF39))=5)*(CHOOSE({1,2,3,4},HN!W39,HN!AA39,HN!AE39,HN!AI39)))</f>
        <v>0</v>
      </c>
      <c r="F39">
        <f>SUMPRODUCT((MONTH(CHOOSE({1,2,3,4},HN!T39,HN!X39,HN!AB39,HN!AF39))=6)*(CHOOSE({1,2,3,4},HN!W39,HN!AA39,HN!AE39,HN!AI39)))</f>
        <v>0</v>
      </c>
      <c r="G39">
        <f>SUMPRODUCT((MONTH(CHOOSE({1,2,3,4},HN!T39,HN!X39,HN!AB39,HN!AF39))=7)*(CHOOSE({1,2,3,4},HN!W39,HN!AA39,HN!AE39,HN!AI39)))</f>
        <v>0</v>
      </c>
      <c r="H39">
        <f>SUMPRODUCT((MONTH(CHOOSE({1,2,3,4},HN!T39,HN!X39,HN!AB39,HN!AF39))=8)*(CHOOSE({1,2,3,4},HN!W39,HN!AA39,HN!AE39,HN!AI39)))</f>
        <v>0</v>
      </c>
      <c r="I39">
        <f>SUMPRODUCT((MONTH(CHOOSE({1,2,3,4},HN!T39,HN!X39,HN!AB39,HN!AF39))=9)*(CHOOSE({1,2,3,4},HN!W39,HN!AA39,HN!AE39,HN!AI39)))</f>
        <v>0</v>
      </c>
      <c r="J39">
        <f>SUMPRODUCT((MONTH(CHOOSE({1,2,3,4},HN!T39,HN!X39,HN!AB39,HN!AF39))=10)*(CHOOSE({1,2,3,4},HN!W39,HN!AA39,HN!AE39,HN!AI39)))</f>
        <v>0</v>
      </c>
      <c r="K39">
        <f>SUMPRODUCT((MONTH(CHOOSE({1,2,3,4},HN!T39,HN!X39,HN!AB39,HN!AF39))=11)*(CHOOSE({1,2,3,4},HN!W39,HN!AA39,HN!AE39,HN!AI39)))</f>
        <v>0</v>
      </c>
      <c r="L39">
        <f>SUMPRODUCT((MONTH(CHOOSE({1,2,3,4},HN!T39,HN!X39,HN!AB39,HN!AF39))=12)*(CHOOSE({1,2,3,4},HN!W39,HN!AA39,HN!AE39,HN!AI39)))</f>
        <v>0</v>
      </c>
    </row>
    <row r="40" spans="1:12">
      <c r="A40">
        <f>SUMPRODUCT((MONTH(CHOOSE({1,2,3,4},HN!T40,HN!X40,HN!AB40,HN!AF40))=1)*(CHOOSE({1,2,3,4},HN!W40,HN!AA40,HN!AE40,HN!AI40)))</f>
        <v>0</v>
      </c>
      <c r="B40">
        <f>SUMPRODUCT((MONTH(CHOOSE({1,2,3,4},HN!T40,HN!X40,HN!AB40,HN!AF40))=2)*(CHOOSE({1,2,3,4},HN!W40,HN!AA40,HN!AE40,HN!AI40)))</f>
        <v>0</v>
      </c>
      <c r="C40">
        <f>SUMPRODUCT((MONTH(CHOOSE({1,2,3,4},HN!T40,HN!X40,HN!AB40,HN!AF40))=3)*(CHOOSE({1,2,3,4},HN!W40,HN!AA40,HN!AE40,HN!AI40)))</f>
        <v>0</v>
      </c>
      <c r="D40">
        <f>SUMPRODUCT((MONTH(CHOOSE({1,2,3,4},HN!T40,HN!X40,HN!AB40,HN!AF40))=4)*(CHOOSE({1,2,3,4},HN!W40,HN!AA40,HN!AE40,HN!AI40)))</f>
        <v>0</v>
      </c>
      <c r="E40">
        <f>SUMPRODUCT((MONTH(CHOOSE({1,2,3,4},HN!T40,HN!X40,HN!AB40,HN!AF40))=5)*(CHOOSE({1,2,3,4},HN!W40,HN!AA40,HN!AE40,HN!AI40)))</f>
        <v>0</v>
      </c>
      <c r="F40">
        <f>SUMPRODUCT((MONTH(CHOOSE({1,2,3,4},HN!T40,HN!X40,HN!AB40,HN!AF40))=6)*(CHOOSE({1,2,3,4},HN!W40,HN!AA40,HN!AE40,HN!AI40)))</f>
        <v>0</v>
      </c>
      <c r="G40">
        <f>SUMPRODUCT((MONTH(CHOOSE({1,2,3,4},HN!T40,HN!X40,HN!AB40,HN!AF40))=7)*(CHOOSE({1,2,3,4},HN!W40,HN!AA40,HN!AE40,HN!AI40)))</f>
        <v>0</v>
      </c>
      <c r="H40">
        <f>SUMPRODUCT((MONTH(CHOOSE({1,2,3,4},HN!T40,HN!X40,HN!AB40,HN!AF40))=8)*(CHOOSE({1,2,3,4},HN!W40,HN!AA40,HN!AE40,HN!AI40)))</f>
        <v>0</v>
      </c>
      <c r="I40">
        <f>SUMPRODUCT((MONTH(CHOOSE({1,2,3,4},HN!T40,HN!X40,HN!AB40,HN!AF40))=9)*(CHOOSE({1,2,3,4},HN!W40,HN!AA40,HN!AE40,HN!AI40)))</f>
        <v>0</v>
      </c>
      <c r="J40">
        <f>SUMPRODUCT((MONTH(CHOOSE({1,2,3,4},HN!T40,HN!X40,HN!AB40,HN!AF40))=10)*(CHOOSE({1,2,3,4},HN!W40,HN!AA40,HN!AE40,HN!AI40)))</f>
        <v>0</v>
      </c>
      <c r="K40">
        <f>SUMPRODUCT((MONTH(CHOOSE({1,2,3,4},HN!T40,HN!X40,HN!AB40,HN!AF40))=11)*(CHOOSE({1,2,3,4},HN!W40,HN!AA40,HN!AE40,HN!AI40)))</f>
        <v>0</v>
      </c>
      <c r="L40">
        <f>SUMPRODUCT((MONTH(CHOOSE({1,2,3,4},HN!T40,HN!X40,HN!AB40,HN!AF40))=12)*(CHOOSE({1,2,3,4},HN!W40,HN!AA40,HN!AE40,HN!AI40)))</f>
        <v>0</v>
      </c>
    </row>
    <row r="41" spans="1:12">
      <c r="A41">
        <f>SUMPRODUCT((MONTH(CHOOSE({1,2,3,4},HN!T41,HN!X41,HN!AB41,HN!AF41))=1)*(CHOOSE({1,2,3,4},HN!W41,HN!AA41,HN!AE41,HN!AI41)))</f>
        <v>0</v>
      </c>
      <c r="B41">
        <f>SUMPRODUCT((MONTH(CHOOSE({1,2,3,4},HN!T41,HN!X41,HN!AB41,HN!AF41))=2)*(CHOOSE({1,2,3,4},HN!W41,HN!AA41,HN!AE41,HN!AI41)))</f>
        <v>0</v>
      </c>
      <c r="C41">
        <f>SUMPRODUCT((MONTH(CHOOSE({1,2,3,4},HN!T41,HN!X41,HN!AB41,HN!AF41))=3)*(CHOOSE({1,2,3,4},HN!W41,HN!AA41,HN!AE41,HN!AI41)))</f>
        <v>0</v>
      </c>
      <c r="D41">
        <f>SUMPRODUCT((MONTH(CHOOSE({1,2,3,4},HN!T41,HN!X41,HN!AB41,HN!AF41))=4)*(CHOOSE({1,2,3,4},HN!W41,HN!AA41,HN!AE41,HN!AI41)))</f>
        <v>0</v>
      </c>
      <c r="E41">
        <f>SUMPRODUCT((MONTH(CHOOSE({1,2,3,4},HN!T41,HN!X41,HN!AB41,HN!AF41))=5)*(CHOOSE({1,2,3,4},HN!W41,HN!AA41,HN!AE41,HN!AI41)))</f>
        <v>0</v>
      </c>
      <c r="F41">
        <f>SUMPRODUCT((MONTH(CHOOSE({1,2,3,4},HN!T41,HN!X41,HN!AB41,HN!AF41))=6)*(CHOOSE({1,2,3,4},HN!W41,HN!AA41,HN!AE41,HN!AI41)))</f>
        <v>0</v>
      </c>
      <c r="G41">
        <f>SUMPRODUCT((MONTH(CHOOSE({1,2,3,4},HN!T41,HN!X41,HN!AB41,HN!AF41))=7)*(CHOOSE({1,2,3,4},HN!W41,HN!AA41,HN!AE41,HN!AI41)))</f>
        <v>0</v>
      </c>
      <c r="H41">
        <f>SUMPRODUCT((MONTH(CHOOSE({1,2,3,4},HN!T41,HN!X41,HN!AB41,HN!AF41))=8)*(CHOOSE({1,2,3,4},HN!W41,HN!AA41,HN!AE41,HN!AI41)))</f>
        <v>0</v>
      </c>
      <c r="I41">
        <f>SUMPRODUCT((MONTH(CHOOSE({1,2,3,4},HN!T41,HN!X41,HN!AB41,HN!AF41))=9)*(CHOOSE({1,2,3,4},HN!W41,HN!AA41,HN!AE41,HN!AI41)))</f>
        <v>0</v>
      </c>
      <c r="J41">
        <f>SUMPRODUCT((MONTH(CHOOSE({1,2,3,4},HN!T41,HN!X41,HN!AB41,HN!AF41))=10)*(CHOOSE({1,2,3,4},HN!W41,HN!AA41,HN!AE41,HN!AI41)))</f>
        <v>0</v>
      </c>
      <c r="K41">
        <f>SUMPRODUCT((MONTH(CHOOSE({1,2,3,4},HN!T41,HN!X41,HN!AB41,HN!AF41))=11)*(CHOOSE({1,2,3,4},HN!W41,HN!AA41,HN!AE41,HN!AI41)))</f>
        <v>0</v>
      </c>
      <c r="L41">
        <f>SUMPRODUCT((MONTH(CHOOSE({1,2,3,4},HN!T41,HN!X41,HN!AB41,HN!AF41))=12)*(CHOOSE({1,2,3,4},HN!W41,HN!AA41,HN!AE41,HN!AI41)))</f>
        <v>0</v>
      </c>
    </row>
    <row r="42" spans="1:12">
      <c r="A42">
        <f>SUMPRODUCT((MONTH(CHOOSE({1,2,3,4},HN!T42,HN!X42,HN!AB42,HN!AF42))=1)*(CHOOSE({1,2,3,4},HN!W42,HN!AA42,HN!AE42,HN!AI42)))</f>
        <v>0</v>
      </c>
      <c r="B42">
        <f>SUMPRODUCT((MONTH(CHOOSE({1,2,3,4},HN!T42,HN!X42,HN!AB42,HN!AF42))=2)*(CHOOSE({1,2,3,4},HN!W42,HN!AA42,HN!AE42,HN!AI42)))</f>
        <v>0</v>
      </c>
      <c r="C42">
        <f>SUMPRODUCT((MONTH(CHOOSE({1,2,3,4},HN!T42,HN!X42,HN!AB42,HN!AF42))=3)*(CHOOSE({1,2,3,4},HN!W42,HN!AA42,HN!AE42,HN!AI42)))</f>
        <v>0</v>
      </c>
      <c r="D42">
        <f>SUMPRODUCT((MONTH(CHOOSE({1,2,3,4},HN!T42,HN!X42,HN!AB42,HN!AF42))=4)*(CHOOSE({1,2,3,4},HN!W42,HN!AA42,HN!AE42,HN!AI42)))</f>
        <v>0</v>
      </c>
      <c r="E42">
        <f>SUMPRODUCT((MONTH(CHOOSE({1,2,3,4},HN!T42,HN!X42,HN!AB42,HN!AF42))=5)*(CHOOSE({1,2,3,4},HN!W42,HN!AA42,HN!AE42,HN!AI42)))</f>
        <v>0</v>
      </c>
      <c r="F42">
        <f>SUMPRODUCT((MONTH(CHOOSE({1,2,3,4},HN!T42,HN!X42,HN!AB42,HN!AF42))=6)*(CHOOSE({1,2,3,4},HN!W42,HN!AA42,HN!AE42,HN!AI42)))</f>
        <v>0</v>
      </c>
      <c r="G42">
        <f>SUMPRODUCT((MONTH(CHOOSE({1,2,3,4},HN!T42,HN!X42,HN!AB42,HN!AF42))=7)*(CHOOSE({1,2,3,4},HN!W42,HN!AA42,HN!AE42,HN!AI42)))</f>
        <v>0</v>
      </c>
      <c r="H42">
        <f>SUMPRODUCT((MONTH(CHOOSE({1,2,3,4},HN!T42,HN!X42,HN!AB42,HN!AF42))=8)*(CHOOSE({1,2,3,4},HN!W42,HN!AA42,HN!AE42,HN!AI42)))</f>
        <v>0</v>
      </c>
      <c r="I42">
        <f>SUMPRODUCT((MONTH(CHOOSE({1,2,3,4},HN!T42,HN!X42,HN!AB42,HN!AF42))=9)*(CHOOSE({1,2,3,4},HN!W42,HN!AA42,HN!AE42,HN!AI42)))</f>
        <v>0</v>
      </c>
      <c r="J42">
        <f>SUMPRODUCT((MONTH(CHOOSE({1,2,3,4},HN!T42,HN!X42,HN!AB42,HN!AF42))=10)*(CHOOSE({1,2,3,4},HN!W42,HN!AA42,HN!AE42,HN!AI42)))</f>
        <v>0</v>
      </c>
      <c r="K42">
        <f>SUMPRODUCT((MONTH(CHOOSE({1,2,3,4},HN!T42,HN!X42,HN!AB42,HN!AF42))=11)*(CHOOSE({1,2,3,4},HN!W42,HN!AA42,HN!AE42,HN!AI42)))</f>
        <v>0</v>
      </c>
      <c r="L42">
        <f>SUMPRODUCT((MONTH(CHOOSE({1,2,3,4},HN!T42,HN!X42,HN!AB42,HN!AF42))=12)*(CHOOSE({1,2,3,4},HN!W42,HN!AA42,HN!AE42,HN!AI42)))</f>
        <v>0</v>
      </c>
    </row>
    <row r="43" spans="1:12">
      <c r="A43">
        <f>SUMPRODUCT((MONTH(CHOOSE({1,2,3,4},HN!T43,HN!X43,HN!AB43,HN!AF43))=1)*(CHOOSE({1,2,3,4},HN!W43,HN!AA43,HN!AE43,HN!AI43)))</f>
        <v>0</v>
      </c>
      <c r="B43">
        <f>SUMPRODUCT((MONTH(CHOOSE({1,2,3,4},HN!T43,HN!X43,HN!AB43,HN!AF43))=2)*(CHOOSE({1,2,3,4},HN!W43,HN!AA43,HN!AE43,HN!AI43)))</f>
        <v>0</v>
      </c>
      <c r="C43">
        <f>SUMPRODUCT((MONTH(CHOOSE({1,2,3,4},HN!T43,HN!X43,HN!AB43,HN!AF43))=3)*(CHOOSE({1,2,3,4},HN!W43,HN!AA43,HN!AE43,HN!AI43)))</f>
        <v>0</v>
      </c>
      <c r="D43">
        <f>SUMPRODUCT((MONTH(CHOOSE({1,2,3,4},HN!T43,HN!X43,HN!AB43,HN!AF43))=4)*(CHOOSE({1,2,3,4},HN!W43,HN!AA43,HN!AE43,HN!AI43)))</f>
        <v>0</v>
      </c>
      <c r="E43">
        <f>SUMPRODUCT((MONTH(CHOOSE({1,2,3,4},HN!T43,HN!X43,HN!AB43,HN!AF43))=5)*(CHOOSE({1,2,3,4},HN!W43,HN!AA43,HN!AE43,HN!AI43)))</f>
        <v>0</v>
      </c>
      <c r="F43">
        <f>SUMPRODUCT((MONTH(CHOOSE({1,2,3,4},HN!T43,HN!X43,HN!AB43,HN!AF43))=6)*(CHOOSE({1,2,3,4},HN!W43,HN!AA43,HN!AE43,HN!AI43)))</f>
        <v>0</v>
      </c>
      <c r="G43">
        <f>SUMPRODUCT((MONTH(CHOOSE({1,2,3,4},HN!T43,HN!X43,HN!AB43,HN!AF43))=7)*(CHOOSE({1,2,3,4},HN!W43,HN!AA43,HN!AE43,HN!AI43)))</f>
        <v>0</v>
      </c>
      <c r="H43">
        <f>SUMPRODUCT((MONTH(CHOOSE({1,2,3,4},HN!T43,HN!X43,HN!AB43,HN!AF43))=8)*(CHOOSE({1,2,3,4},HN!W43,HN!AA43,HN!AE43,HN!AI43)))</f>
        <v>0</v>
      </c>
      <c r="I43">
        <f>SUMPRODUCT((MONTH(CHOOSE({1,2,3,4},HN!T43,HN!X43,HN!AB43,HN!AF43))=9)*(CHOOSE({1,2,3,4},HN!W43,HN!AA43,HN!AE43,HN!AI43)))</f>
        <v>0</v>
      </c>
      <c r="J43">
        <f>SUMPRODUCT((MONTH(CHOOSE({1,2,3,4},HN!T43,HN!X43,HN!AB43,HN!AF43))=10)*(CHOOSE({1,2,3,4},HN!W43,HN!AA43,HN!AE43,HN!AI43)))</f>
        <v>0</v>
      </c>
      <c r="K43">
        <f>SUMPRODUCT((MONTH(CHOOSE({1,2,3,4},HN!T43,HN!X43,HN!AB43,HN!AF43))=11)*(CHOOSE({1,2,3,4},HN!W43,HN!AA43,HN!AE43,HN!AI43)))</f>
        <v>0</v>
      </c>
      <c r="L43">
        <f>SUMPRODUCT((MONTH(CHOOSE({1,2,3,4},HN!T43,HN!X43,HN!AB43,HN!AF43))=12)*(CHOOSE({1,2,3,4},HN!W43,HN!AA43,HN!AE43,HN!AI43)))</f>
        <v>0</v>
      </c>
    </row>
    <row r="44" spans="1:12">
      <c r="A44">
        <f>SUMPRODUCT((MONTH(CHOOSE({1,2,3,4},HN!T44,HN!X44,HN!AB44,HN!AF44))=1)*(CHOOSE({1,2,3,4},HN!W44,HN!AA44,HN!AE44,HN!AI44)))</f>
        <v>0</v>
      </c>
      <c r="B44">
        <f>SUMPRODUCT((MONTH(CHOOSE({1,2,3,4},HN!T44,HN!X44,HN!AB44,HN!AF44))=2)*(CHOOSE({1,2,3,4},HN!W44,HN!AA44,HN!AE44,HN!AI44)))</f>
        <v>0</v>
      </c>
      <c r="C44">
        <f>SUMPRODUCT((MONTH(CHOOSE({1,2,3,4},HN!T44,HN!X44,HN!AB44,HN!AF44))=3)*(CHOOSE({1,2,3,4},HN!W44,HN!AA44,HN!AE44,HN!AI44)))</f>
        <v>0</v>
      </c>
      <c r="D44">
        <f>SUMPRODUCT((MONTH(CHOOSE({1,2,3,4},HN!T44,HN!X44,HN!AB44,HN!AF44))=4)*(CHOOSE({1,2,3,4},HN!W44,HN!AA44,HN!AE44,HN!AI44)))</f>
        <v>0</v>
      </c>
      <c r="E44">
        <f>SUMPRODUCT((MONTH(CHOOSE({1,2,3,4},HN!T44,HN!X44,HN!AB44,HN!AF44))=5)*(CHOOSE({1,2,3,4},HN!W44,HN!AA44,HN!AE44,HN!AI44)))</f>
        <v>0</v>
      </c>
      <c r="F44">
        <f>SUMPRODUCT((MONTH(CHOOSE({1,2,3,4},HN!T44,HN!X44,HN!AB44,HN!AF44))=6)*(CHOOSE({1,2,3,4},HN!W44,HN!AA44,HN!AE44,HN!AI44)))</f>
        <v>0</v>
      </c>
      <c r="G44">
        <f>SUMPRODUCT((MONTH(CHOOSE({1,2,3,4},HN!T44,HN!X44,HN!AB44,HN!AF44))=7)*(CHOOSE({1,2,3,4},HN!W44,HN!AA44,HN!AE44,HN!AI44)))</f>
        <v>0</v>
      </c>
      <c r="H44">
        <f>SUMPRODUCT((MONTH(CHOOSE({1,2,3,4},HN!T44,HN!X44,HN!AB44,HN!AF44))=8)*(CHOOSE({1,2,3,4},HN!W44,HN!AA44,HN!AE44,HN!AI44)))</f>
        <v>0</v>
      </c>
      <c r="I44">
        <f>SUMPRODUCT((MONTH(CHOOSE({1,2,3,4},HN!T44,HN!X44,HN!AB44,HN!AF44))=9)*(CHOOSE({1,2,3,4},HN!W44,HN!AA44,HN!AE44,HN!AI44)))</f>
        <v>0</v>
      </c>
      <c r="J44">
        <f>SUMPRODUCT((MONTH(CHOOSE({1,2,3,4},HN!T44,HN!X44,HN!AB44,HN!AF44))=10)*(CHOOSE({1,2,3,4},HN!W44,HN!AA44,HN!AE44,HN!AI44)))</f>
        <v>0</v>
      </c>
      <c r="K44">
        <f>SUMPRODUCT((MONTH(CHOOSE({1,2,3,4},HN!T44,HN!X44,HN!AB44,HN!AF44))=11)*(CHOOSE({1,2,3,4},HN!W44,HN!AA44,HN!AE44,HN!AI44)))</f>
        <v>0</v>
      </c>
      <c r="L44">
        <f>SUMPRODUCT((MONTH(CHOOSE({1,2,3,4},HN!T44,HN!X44,HN!AB44,HN!AF44))=12)*(CHOOSE({1,2,3,4},HN!W44,HN!AA44,HN!AE44,HN!AI44)))</f>
        <v>0</v>
      </c>
    </row>
    <row r="45" spans="1:12">
      <c r="A45">
        <f>SUMPRODUCT((MONTH(CHOOSE({1,2,3,4},HN!T45,HN!X45,HN!AB45,HN!AF45))=1)*(CHOOSE({1,2,3,4},HN!W45,HN!AA45,HN!AE45,HN!AI45)))</f>
        <v>0</v>
      </c>
      <c r="B45">
        <f>SUMPRODUCT((MONTH(CHOOSE({1,2,3,4},HN!T45,HN!X45,HN!AB45,HN!AF45))=2)*(CHOOSE({1,2,3,4},HN!W45,HN!AA45,HN!AE45,HN!AI45)))</f>
        <v>0</v>
      </c>
      <c r="C45">
        <f>SUMPRODUCT((MONTH(CHOOSE({1,2,3,4},HN!T45,HN!X45,HN!AB45,HN!AF45))=3)*(CHOOSE({1,2,3,4},HN!W45,HN!AA45,HN!AE45,HN!AI45)))</f>
        <v>0</v>
      </c>
      <c r="D45">
        <f>SUMPRODUCT((MONTH(CHOOSE({1,2,3,4},HN!T45,HN!X45,HN!AB45,HN!AF45))=4)*(CHOOSE({1,2,3,4},HN!W45,HN!AA45,HN!AE45,HN!AI45)))</f>
        <v>0</v>
      </c>
      <c r="E45">
        <f>SUMPRODUCT((MONTH(CHOOSE({1,2,3,4},HN!T45,HN!X45,HN!AB45,HN!AF45))=5)*(CHOOSE({1,2,3,4},HN!W45,HN!AA45,HN!AE45,HN!AI45)))</f>
        <v>0</v>
      </c>
      <c r="F45">
        <f>SUMPRODUCT((MONTH(CHOOSE({1,2,3,4},HN!T45,HN!X45,HN!AB45,HN!AF45))=6)*(CHOOSE({1,2,3,4},HN!W45,HN!AA45,HN!AE45,HN!AI45)))</f>
        <v>0</v>
      </c>
      <c r="G45">
        <f>SUMPRODUCT((MONTH(CHOOSE({1,2,3,4},HN!T45,HN!X45,HN!AB45,HN!AF45))=7)*(CHOOSE({1,2,3,4},HN!W45,HN!AA45,HN!AE45,HN!AI45)))</f>
        <v>0</v>
      </c>
      <c r="H45">
        <f>SUMPRODUCT((MONTH(CHOOSE({1,2,3,4},HN!T45,HN!X45,HN!AB45,HN!AF45))=8)*(CHOOSE({1,2,3,4},HN!W45,HN!AA45,HN!AE45,HN!AI45)))</f>
        <v>0</v>
      </c>
      <c r="I45">
        <f>SUMPRODUCT((MONTH(CHOOSE({1,2,3,4},HN!T45,HN!X45,HN!AB45,HN!AF45))=9)*(CHOOSE({1,2,3,4},HN!W45,HN!AA45,HN!AE45,HN!AI45)))</f>
        <v>0</v>
      </c>
      <c r="J45">
        <f>SUMPRODUCT((MONTH(CHOOSE({1,2,3,4},HN!T45,HN!X45,HN!AB45,HN!AF45))=10)*(CHOOSE({1,2,3,4},HN!W45,HN!AA45,HN!AE45,HN!AI45)))</f>
        <v>0</v>
      </c>
      <c r="K45">
        <f>SUMPRODUCT((MONTH(CHOOSE({1,2,3,4},HN!T45,HN!X45,HN!AB45,HN!AF45))=11)*(CHOOSE({1,2,3,4},HN!W45,HN!AA45,HN!AE45,HN!AI45)))</f>
        <v>0</v>
      </c>
      <c r="L45">
        <f>SUMPRODUCT((MONTH(CHOOSE({1,2,3,4},HN!T45,HN!X45,HN!AB45,HN!AF45))=12)*(CHOOSE({1,2,3,4},HN!W45,HN!AA45,HN!AE45,HN!AI45)))</f>
        <v>0</v>
      </c>
    </row>
    <row r="46" spans="1:12">
      <c r="A46">
        <f>SUMPRODUCT((MONTH(CHOOSE({1,2,3,4},HN!T46,HN!X46,HN!AB46,HN!AF46))=1)*(CHOOSE({1,2,3,4},HN!W46,HN!AA46,HN!AE46,HN!AI46)))</f>
        <v>0</v>
      </c>
      <c r="B46">
        <f>SUMPRODUCT((MONTH(CHOOSE({1,2,3,4},HN!T46,HN!X46,HN!AB46,HN!AF46))=2)*(CHOOSE({1,2,3,4},HN!W46,HN!AA46,HN!AE46,HN!AI46)))</f>
        <v>0</v>
      </c>
      <c r="C46">
        <f>SUMPRODUCT((MONTH(CHOOSE({1,2,3,4},HN!T46,HN!X46,HN!AB46,HN!AF46))=3)*(CHOOSE({1,2,3,4},HN!W46,HN!AA46,HN!AE46,HN!AI46)))</f>
        <v>0</v>
      </c>
      <c r="D46">
        <f>SUMPRODUCT((MONTH(CHOOSE({1,2,3,4},HN!T46,HN!X46,HN!AB46,HN!AF46))=4)*(CHOOSE({1,2,3,4},HN!W46,HN!AA46,HN!AE46,HN!AI46)))</f>
        <v>0</v>
      </c>
      <c r="E46">
        <f>SUMPRODUCT((MONTH(CHOOSE({1,2,3,4},HN!T46,HN!X46,HN!AB46,HN!AF46))=5)*(CHOOSE({1,2,3,4},HN!W46,HN!AA46,HN!AE46,HN!AI46)))</f>
        <v>0</v>
      </c>
      <c r="F46">
        <f>SUMPRODUCT((MONTH(CHOOSE({1,2,3,4},HN!T46,HN!X46,HN!AB46,HN!AF46))=6)*(CHOOSE({1,2,3,4},HN!W46,HN!AA46,HN!AE46,HN!AI46)))</f>
        <v>0</v>
      </c>
      <c r="G46">
        <f>SUMPRODUCT((MONTH(CHOOSE({1,2,3,4},HN!T46,HN!X46,HN!AB46,HN!AF46))=7)*(CHOOSE({1,2,3,4},HN!W46,HN!AA46,HN!AE46,HN!AI46)))</f>
        <v>0</v>
      </c>
      <c r="H46">
        <f>SUMPRODUCT((MONTH(CHOOSE({1,2,3,4},HN!T46,HN!X46,HN!AB46,HN!AF46))=8)*(CHOOSE({1,2,3,4},HN!W46,HN!AA46,HN!AE46,HN!AI46)))</f>
        <v>0</v>
      </c>
      <c r="I46">
        <f>SUMPRODUCT((MONTH(CHOOSE({1,2,3,4},HN!T46,HN!X46,HN!AB46,HN!AF46))=9)*(CHOOSE({1,2,3,4},HN!W46,HN!AA46,HN!AE46,HN!AI46)))</f>
        <v>0</v>
      </c>
      <c r="J46">
        <f>SUMPRODUCT((MONTH(CHOOSE({1,2,3,4},HN!T46,HN!X46,HN!AB46,HN!AF46))=10)*(CHOOSE({1,2,3,4},HN!W46,HN!AA46,HN!AE46,HN!AI46)))</f>
        <v>0</v>
      </c>
      <c r="K46">
        <f>SUMPRODUCT((MONTH(CHOOSE({1,2,3,4},HN!T46,HN!X46,HN!AB46,HN!AF46))=11)*(CHOOSE({1,2,3,4},HN!W46,HN!AA46,HN!AE46,HN!AI46)))</f>
        <v>0</v>
      </c>
      <c r="L46">
        <f>SUMPRODUCT((MONTH(CHOOSE({1,2,3,4},HN!T46,HN!X46,HN!AB46,HN!AF46))=12)*(CHOOSE({1,2,3,4},HN!W46,HN!AA46,HN!AE46,HN!AI46)))</f>
        <v>0</v>
      </c>
    </row>
    <row r="47" spans="1:12">
      <c r="A47">
        <f>SUMPRODUCT((MONTH(CHOOSE({1,2,3,4},HN!T47,HN!X47,HN!AB47,HN!AF47))=1)*(CHOOSE({1,2,3,4},HN!W47,HN!AA47,HN!AE47,HN!AI47)))</f>
        <v>0</v>
      </c>
      <c r="B47">
        <f>SUMPRODUCT((MONTH(CHOOSE({1,2,3,4},HN!T47,HN!X47,HN!AB47,HN!AF47))=2)*(CHOOSE({1,2,3,4},HN!W47,HN!AA47,HN!AE47,HN!AI47)))</f>
        <v>0</v>
      </c>
      <c r="C47">
        <f>SUMPRODUCT((MONTH(CHOOSE({1,2,3,4},HN!T47,HN!X47,HN!AB47,HN!AF47))=3)*(CHOOSE({1,2,3,4},HN!W47,HN!AA47,HN!AE47,HN!AI47)))</f>
        <v>0</v>
      </c>
      <c r="D47">
        <f>SUMPRODUCT((MONTH(CHOOSE({1,2,3,4},HN!T47,HN!X47,HN!AB47,HN!AF47))=4)*(CHOOSE({1,2,3,4},HN!W47,HN!AA47,HN!AE47,HN!AI47)))</f>
        <v>0</v>
      </c>
      <c r="E47">
        <f>SUMPRODUCT((MONTH(CHOOSE({1,2,3,4},HN!T47,HN!X47,HN!AB47,HN!AF47))=5)*(CHOOSE({1,2,3,4},HN!W47,HN!AA47,HN!AE47,HN!AI47)))</f>
        <v>0</v>
      </c>
      <c r="F47">
        <f>SUMPRODUCT((MONTH(CHOOSE({1,2,3,4},HN!T47,HN!X47,HN!AB47,HN!AF47))=6)*(CHOOSE({1,2,3,4},HN!W47,HN!AA47,HN!AE47,HN!AI47)))</f>
        <v>0</v>
      </c>
      <c r="G47">
        <f>SUMPRODUCT((MONTH(CHOOSE({1,2,3,4},HN!T47,HN!X47,HN!AB47,HN!AF47))=7)*(CHOOSE({1,2,3,4},HN!W47,HN!AA47,HN!AE47,HN!AI47)))</f>
        <v>0</v>
      </c>
      <c r="H47">
        <f>SUMPRODUCT((MONTH(CHOOSE({1,2,3,4},HN!T47,HN!X47,HN!AB47,HN!AF47))=8)*(CHOOSE({1,2,3,4},HN!W47,HN!AA47,HN!AE47,HN!AI47)))</f>
        <v>0</v>
      </c>
      <c r="I47">
        <f>SUMPRODUCT((MONTH(CHOOSE({1,2,3,4},HN!T47,HN!X47,HN!AB47,HN!AF47))=9)*(CHOOSE({1,2,3,4},HN!W47,HN!AA47,HN!AE47,HN!AI47)))</f>
        <v>0</v>
      </c>
      <c r="J47">
        <f>SUMPRODUCT((MONTH(CHOOSE({1,2,3,4},HN!T47,HN!X47,HN!AB47,HN!AF47))=10)*(CHOOSE({1,2,3,4},HN!W47,HN!AA47,HN!AE47,HN!AI47)))</f>
        <v>0</v>
      </c>
      <c r="K47">
        <f>SUMPRODUCT((MONTH(CHOOSE({1,2,3,4},HN!T47,HN!X47,HN!AB47,HN!AF47))=11)*(CHOOSE({1,2,3,4},HN!W47,HN!AA47,HN!AE47,HN!AI47)))</f>
        <v>0</v>
      </c>
      <c r="L47">
        <f>SUMPRODUCT((MONTH(CHOOSE({1,2,3,4},HN!T47,HN!X47,HN!AB47,HN!AF47))=12)*(CHOOSE({1,2,3,4},HN!W47,HN!AA47,HN!AE47,HN!AI47)))</f>
        <v>0</v>
      </c>
    </row>
    <row r="48" spans="1:12">
      <c r="A48">
        <f>SUMPRODUCT((MONTH(CHOOSE({1,2,3,4},HN!T48,HN!X48,HN!AB48,HN!AF48))=1)*(CHOOSE({1,2,3,4},HN!W48,HN!AA48,HN!AE48,HN!AI48)))</f>
        <v>0</v>
      </c>
      <c r="B48">
        <f>SUMPRODUCT((MONTH(CHOOSE({1,2,3,4},HN!T48,HN!X48,HN!AB48,HN!AF48))=2)*(CHOOSE({1,2,3,4},HN!W48,HN!AA48,HN!AE48,HN!AI48)))</f>
        <v>0</v>
      </c>
      <c r="C48">
        <f>SUMPRODUCT((MONTH(CHOOSE({1,2,3,4},HN!T48,HN!X48,HN!AB48,HN!AF48))=3)*(CHOOSE({1,2,3,4},HN!W48,HN!AA48,HN!AE48,HN!AI48)))</f>
        <v>0</v>
      </c>
      <c r="D48">
        <f>SUMPRODUCT((MONTH(CHOOSE({1,2,3,4},HN!T48,HN!X48,HN!AB48,HN!AF48))=4)*(CHOOSE({1,2,3,4},HN!W48,HN!AA48,HN!AE48,HN!AI48)))</f>
        <v>0</v>
      </c>
      <c r="E48">
        <f>SUMPRODUCT((MONTH(CHOOSE({1,2,3,4},HN!T48,HN!X48,HN!AB48,HN!AF48))=5)*(CHOOSE({1,2,3,4},HN!W48,HN!AA48,HN!AE48,HN!AI48)))</f>
        <v>0</v>
      </c>
      <c r="F48">
        <f>SUMPRODUCT((MONTH(CHOOSE({1,2,3,4},HN!T48,HN!X48,HN!AB48,HN!AF48))=6)*(CHOOSE({1,2,3,4},HN!W48,HN!AA48,HN!AE48,HN!AI48)))</f>
        <v>0</v>
      </c>
      <c r="G48">
        <f>SUMPRODUCT((MONTH(CHOOSE({1,2,3,4},HN!T48,HN!X48,HN!AB48,HN!AF48))=7)*(CHOOSE({1,2,3,4},HN!W48,HN!AA48,HN!AE48,HN!AI48)))</f>
        <v>0</v>
      </c>
      <c r="H48">
        <f>SUMPRODUCT((MONTH(CHOOSE({1,2,3,4},HN!T48,HN!X48,HN!AB48,HN!AF48))=8)*(CHOOSE({1,2,3,4},HN!W48,HN!AA48,HN!AE48,HN!AI48)))</f>
        <v>0</v>
      </c>
      <c r="I48">
        <f>SUMPRODUCT((MONTH(CHOOSE({1,2,3,4},HN!T48,HN!X48,HN!AB48,HN!AF48))=9)*(CHOOSE({1,2,3,4},HN!W48,HN!AA48,HN!AE48,HN!AI48)))</f>
        <v>0</v>
      </c>
      <c r="J48">
        <f>SUMPRODUCT((MONTH(CHOOSE({1,2,3,4},HN!T48,HN!X48,HN!AB48,HN!AF48))=10)*(CHOOSE({1,2,3,4},HN!W48,HN!AA48,HN!AE48,HN!AI48)))</f>
        <v>0</v>
      </c>
      <c r="K48">
        <f>SUMPRODUCT((MONTH(CHOOSE({1,2,3,4},HN!T48,HN!X48,HN!AB48,HN!AF48))=11)*(CHOOSE({1,2,3,4},HN!W48,HN!AA48,HN!AE48,HN!AI48)))</f>
        <v>0</v>
      </c>
      <c r="L48">
        <f>SUMPRODUCT((MONTH(CHOOSE({1,2,3,4},HN!T48,HN!X48,HN!AB48,HN!AF48))=12)*(CHOOSE({1,2,3,4},HN!W48,HN!AA48,HN!AE48,HN!AI48)))</f>
        <v>0</v>
      </c>
    </row>
    <row r="49" spans="1:12">
      <c r="A49">
        <f>SUMPRODUCT((MONTH(CHOOSE({1,2,3,4},HN!T49,HN!X49,HN!AB49,HN!AF49))=1)*(CHOOSE({1,2,3,4},HN!W49,HN!AA49,HN!AE49,HN!AI49)))</f>
        <v>0</v>
      </c>
      <c r="B49">
        <f>SUMPRODUCT((MONTH(CHOOSE({1,2,3,4},HN!T49,HN!X49,HN!AB49,HN!AF49))=2)*(CHOOSE({1,2,3,4},HN!W49,HN!AA49,HN!AE49,HN!AI49)))</f>
        <v>0</v>
      </c>
      <c r="C49">
        <f>SUMPRODUCT((MONTH(CHOOSE({1,2,3,4},HN!T49,HN!X49,HN!AB49,HN!AF49))=3)*(CHOOSE({1,2,3,4},HN!W49,HN!AA49,HN!AE49,HN!AI49)))</f>
        <v>0</v>
      </c>
      <c r="D49">
        <f>SUMPRODUCT((MONTH(CHOOSE({1,2,3,4},HN!T49,HN!X49,HN!AB49,HN!AF49))=4)*(CHOOSE({1,2,3,4},HN!W49,HN!AA49,HN!AE49,HN!AI49)))</f>
        <v>0</v>
      </c>
      <c r="E49">
        <f>SUMPRODUCT((MONTH(CHOOSE({1,2,3,4},HN!T49,HN!X49,HN!AB49,HN!AF49))=5)*(CHOOSE({1,2,3,4},HN!W49,HN!AA49,HN!AE49,HN!AI49)))</f>
        <v>0</v>
      </c>
      <c r="F49">
        <f>SUMPRODUCT((MONTH(CHOOSE({1,2,3,4},HN!T49,HN!X49,HN!AB49,HN!AF49))=6)*(CHOOSE({1,2,3,4},HN!W49,HN!AA49,HN!AE49,HN!AI49)))</f>
        <v>0</v>
      </c>
      <c r="G49">
        <f>SUMPRODUCT((MONTH(CHOOSE({1,2,3,4},HN!T49,HN!X49,HN!AB49,HN!AF49))=7)*(CHOOSE({1,2,3,4},HN!W49,HN!AA49,HN!AE49,HN!AI49)))</f>
        <v>0</v>
      </c>
      <c r="H49">
        <f>SUMPRODUCT((MONTH(CHOOSE({1,2,3,4},HN!T49,HN!X49,HN!AB49,HN!AF49))=8)*(CHOOSE({1,2,3,4},HN!W49,HN!AA49,HN!AE49,HN!AI49)))</f>
        <v>0</v>
      </c>
      <c r="I49">
        <f>SUMPRODUCT((MONTH(CHOOSE({1,2,3,4},HN!T49,HN!X49,HN!AB49,HN!AF49))=9)*(CHOOSE({1,2,3,4},HN!W49,HN!AA49,HN!AE49,HN!AI49)))</f>
        <v>0</v>
      </c>
      <c r="J49">
        <f>SUMPRODUCT((MONTH(CHOOSE({1,2,3,4},HN!T49,HN!X49,HN!AB49,HN!AF49))=10)*(CHOOSE({1,2,3,4},HN!W49,HN!AA49,HN!AE49,HN!AI49)))</f>
        <v>0</v>
      </c>
      <c r="K49">
        <f>SUMPRODUCT((MONTH(CHOOSE({1,2,3,4},HN!T49,HN!X49,HN!AB49,HN!AF49))=11)*(CHOOSE({1,2,3,4},HN!W49,HN!AA49,HN!AE49,HN!AI49)))</f>
        <v>0</v>
      </c>
      <c r="L49">
        <f>SUMPRODUCT((MONTH(CHOOSE({1,2,3,4},HN!T49,HN!X49,HN!AB49,HN!AF49))=12)*(CHOOSE({1,2,3,4},HN!W49,HN!AA49,HN!AE49,HN!AI49)))</f>
        <v>0</v>
      </c>
    </row>
    <row r="50" spans="1:12">
      <c r="A50">
        <f>SUMPRODUCT((MONTH(CHOOSE({1,2,3,4},HN!T50,HN!X50,HN!AB50,HN!AF50))=1)*(CHOOSE({1,2,3,4},HN!W50,HN!AA50,HN!AE50,HN!AI50)))</f>
        <v>0</v>
      </c>
      <c r="B50">
        <f>SUMPRODUCT((MONTH(CHOOSE({1,2,3,4},HN!T50,HN!X50,HN!AB50,HN!AF50))=2)*(CHOOSE({1,2,3,4},HN!W50,HN!AA50,HN!AE50,HN!AI50)))</f>
        <v>0</v>
      </c>
      <c r="C50">
        <f>SUMPRODUCT((MONTH(CHOOSE({1,2,3,4},HN!T50,HN!X50,HN!AB50,HN!AF50))=3)*(CHOOSE({1,2,3,4},HN!W50,HN!AA50,HN!AE50,HN!AI50)))</f>
        <v>0</v>
      </c>
      <c r="D50">
        <f>SUMPRODUCT((MONTH(CHOOSE({1,2,3,4},HN!T50,HN!X50,HN!AB50,HN!AF50))=4)*(CHOOSE({1,2,3,4},HN!W50,HN!AA50,HN!AE50,HN!AI50)))</f>
        <v>0</v>
      </c>
      <c r="E50">
        <f>SUMPRODUCT((MONTH(CHOOSE({1,2,3,4},HN!T50,HN!X50,HN!AB50,HN!AF50))=5)*(CHOOSE({1,2,3,4},HN!W50,HN!AA50,HN!AE50,HN!AI50)))</f>
        <v>0</v>
      </c>
      <c r="F50">
        <f>SUMPRODUCT((MONTH(CHOOSE({1,2,3,4},HN!T50,HN!X50,HN!AB50,HN!AF50))=6)*(CHOOSE({1,2,3,4},HN!W50,HN!AA50,HN!AE50,HN!AI50)))</f>
        <v>0</v>
      </c>
      <c r="G50">
        <f>SUMPRODUCT((MONTH(CHOOSE({1,2,3,4},HN!T50,HN!X50,HN!AB50,HN!AF50))=7)*(CHOOSE({1,2,3,4},HN!W50,HN!AA50,HN!AE50,HN!AI50)))</f>
        <v>0</v>
      </c>
      <c r="H50">
        <f>SUMPRODUCT((MONTH(CHOOSE({1,2,3,4},HN!T50,HN!X50,HN!AB50,HN!AF50))=8)*(CHOOSE({1,2,3,4},HN!W50,HN!AA50,HN!AE50,HN!AI50)))</f>
        <v>0</v>
      </c>
      <c r="I50">
        <f>SUMPRODUCT((MONTH(CHOOSE({1,2,3,4},HN!T50,HN!X50,HN!AB50,HN!AF50))=9)*(CHOOSE({1,2,3,4},HN!W50,HN!AA50,HN!AE50,HN!AI50)))</f>
        <v>0</v>
      </c>
      <c r="J50">
        <f>SUMPRODUCT((MONTH(CHOOSE({1,2,3,4},HN!T50,HN!X50,HN!AB50,HN!AF50))=10)*(CHOOSE({1,2,3,4},HN!W50,HN!AA50,HN!AE50,HN!AI50)))</f>
        <v>0</v>
      </c>
      <c r="K50">
        <f>SUMPRODUCT((MONTH(CHOOSE({1,2,3,4},HN!T50,HN!X50,HN!AB50,HN!AF50))=11)*(CHOOSE({1,2,3,4},HN!W50,HN!AA50,HN!AE50,HN!AI50)))</f>
        <v>0</v>
      </c>
      <c r="L50">
        <f>SUMPRODUCT((MONTH(CHOOSE({1,2,3,4},HN!T50,HN!X50,HN!AB50,HN!AF50))=12)*(CHOOSE({1,2,3,4},HN!W50,HN!AA50,HN!AE50,HN!AI50)))</f>
        <v>0</v>
      </c>
    </row>
    <row r="51" spans="1:12">
      <c r="A51">
        <f>SUMPRODUCT((MONTH(CHOOSE({1,2,3,4},HN!T51,HN!X51,HN!AB51,HN!AF51))=1)*(CHOOSE({1,2,3,4},HN!W51,HN!AA51,HN!AE51,HN!AI51)))</f>
        <v>0</v>
      </c>
      <c r="B51">
        <f>SUMPRODUCT((MONTH(CHOOSE({1,2,3,4},HN!T51,HN!X51,HN!AB51,HN!AF51))=2)*(CHOOSE({1,2,3,4},HN!W51,HN!AA51,HN!AE51,HN!AI51)))</f>
        <v>0</v>
      </c>
      <c r="C51">
        <f>SUMPRODUCT((MONTH(CHOOSE({1,2,3,4},HN!T51,HN!X51,HN!AB51,HN!AF51))=3)*(CHOOSE({1,2,3,4},HN!W51,HN!AA51,HN!AE51,HN!AI51)))</f>
        <v>0</v>
      </c>
      <c r="D51">
        <f>SUMPRODUCT((MONTH(CHOOSE({1,2,3,4},HN!T51,HN!X51,HN!AB51,HN!AF51))=4)*(CHOOSE({1,2,3,4},HN!W51,HN!AA51,HN!AE51,HN!AI51)))</f>
        <v>0</v>
      </c>
      <c r="E51">
        <f>SUMPRODUCT((MONTH(CHOOSE({1,2,3,4},HN!T51,HN!X51,HN!AB51,HN!AF51))=5)*(CHOOSE({1,2,3,4},HN!W51,HN!AA51,HN!AE51,HN!AI51)))</f>
        <v>0</v>
      </c>
      <c r="F51">
        <f>SUMPRODUCT((MONTH(CHOOSE({1,2,3,4},HN!T51,HN!X51,HN!AB51,HN!AF51))=6)*(CHOOSE({1,2,3,4},HN!W51,HN!AA51,HN!AE51,HN!AI51)))</f>
        <v>0</v>
      </c>
      <c r="G51">
        <f>SUMPRODUCT((MONTH(CHOOSE({1,2,3,4},HN!T51,HN!X51,HN!AB51,HN!AF51))=7)*(CHOOSE({1,2,3,4},HN!W51,HN!AA51,HN!AE51,HN!AI51)))</f>
        <v>0</v>
      </c>
      <c r="H51">
        <f>SUMPRODUCT((MONTH(CHOOSE({1,2,3,4},HN!T51,HN!X51,HN!AB51,HN!AF51))=8)*(CHOOSE({1,2,3,4},HN!W51,HN!AA51,HN!AE51,HN!AI51)))</f>
        <v>0</v>
      </c>
      <c r="I51">
        <f>SUMPRODUCT((MONTH(CHOOSE({1,2,3,4},HN!T51,HN!X51,HN!AB51,HN!AF51))=9)*(CHOOSE({1,2,3,4},HN!W51,HN!AA51,HN!AE51,HN!AI51)))</f>
        <v>0</v>
      </c>
      <c r="J51">
        <f>SUMPRODUCT((MONTH(CHOOSE({1,2,3,4},HN!T51,HN!X51,HN!AB51,HN!AF51))=10)*(CHOOSE({1,2,3,4},HN!W51,HN!AA51,HN!AE51,HN!AI51)))</f>
        <v>0</v>
      </c>
      <c r="K51">
        <f>SUMPRODUCT((MONTH(CHOOSE({1,2,3,4},HN!T51,HN!X51,HN!AB51,HN!AF51))=11)*(CHOOSE({1,2,3,4},HN!W51,HN!AA51,HN!AE51,HN!AI51)))</f>
        <v>0</v>
      </c>
      <c r="L51">
        <f>SUMPRODUCT((MONTH(CHOOSE({1,2,3,4},HN!T51,HN!X51,HN!AB51,HN!AF51))=12)*(CHOOSE({1,2,3,4},HN!W51,HN!AA51,HN!AE51,HN!AI51)))</f>
        <v>0</v>
      </c>
    </row>
    <row r="52" spans="1:12">
      <c r="A52">
        <f>SUMPRODUCT((MONTH(CHOOSE({1,2,3,4},HN!T52,HN!X52,HN!AB52,HN!AF52))=1)*(CHOOSE({1,2,3,4},HN!W52,HN!AA52,HN!AE52,HN!AI52)))</f>
        <v>0</v>
      </c>
      <c r="B52">
        <f>SUMPRODUCT((MONTH(CHOOSE({1,2,3,4},HN!T52,HN!X52,HN!AB52,HN!AF52))=2)*(CHOOSE({1,2,3,4},HN!W52,HN!AA52,HN!AE52,HN!AI52)))</f>
        <v>0</v>
      </c>
      <c r="C52">
        <f>SUMPRODUCT((MONTH(CHOOSE({1,2,3,4},HN!T52,HN!X52,HN!AB52,HN!AF52))=3)*(CHOOSE({1,2,3,4},HN!W52,HN!AA52,HN!AE52,HN!AI52)))</f>
        <v>0</v>
      </c>
      <c r="D52">
        <f>SUMPRODUCT((MONTH(CHOOSE({1,2,3,4},HN!T52,HN!X52,HN!AB52,HN!AF52))=4)*(CHOOSE({1,2,3,4},HN!W52,HN!AA52,HN!AE52,HN!AI52)))</f>
        <v>0</v>
      </c>
      <c r="E52">
        <f>SUMPRODUCT((MONTH(CHOOSE({1,2,3,4},HN!T52,HN!X52,HN!AB52,HN!AF52))=5)*(CHOOSE({1,2,3,4},HN!W52,HN!AA52,HN!AE52,HN!AI52)))</f>
        <v>0</v>
      </c>
      <c r="F52">
        <f>SUMPRODUCT((MONTH(CHOOSE({1,2,3,4},HN!T52,HN!X52,HN!AB52,HN!AF52))=6)*(CHOOSE({1,2,3,4},HN!W52,HN!AA52,HN!AE52,HN!AI52)))</f>
        <v>0</v>
      </c>
      <c r="G52">
        <f>SUMPRODUCT((MONTH(CHOOSE({1,2,3,4},HN!T52,HN!X52,HN!AB52,HN!AF52))=7)*(CHOOSE({1,2,3,4},HN!W52,HN!AA52,HN!AE52,HN!AI52)))</f>
        <v>0</v>
      </c>
      <c r="H52">
        <f>SUMPRODUCT((MONTH(CHOOSE({1,2,3,4},HN!T52,HN!X52,HN!AB52,HN!AF52))=8)*(CHOOSE({1,2,3,4},HN!W52,HN!AA52,HN!AE52,HN!AI52)))</f>
        <v>0</v>
      </c>
      <c r="I52">
        <f>SUMPRODUCT((MONTH(CHOOSE({1,2,3,4},HN!T52,HN!X52,HN!AB52,HN!AF52))=9)*(CHOOSE({1,2,3,4},HN!W52,HN!AA52,HN!AE52,HN!AI52)))</f>
        <v>0</v>
      </c>
      <c r="J52">
        <f>SUMPRODUCT((MONTH(CHOOSE({1,2,3,4},HN!T52,HN!X52,HN!AB52,HN!AF52))=10)*(CHOOSE({1,2,3,4},HN!W52,HN!AA52,HN!AE52,HN!AI52)))</f>
        <v>0</v>
      </c>
      <c r="K52">
        <f>SUMPRODUCT((MONTH(CHOOSE({1,2,3,4},HN!T52,HN!X52,HN!AB52,HN!AF52))=11)*(CHOOSE({1,2,3,4},HN!W52,HN!AA52,HN!AE52,HN!AI52)))</f>
        <v>0</v>
      </c>
      <c r="L52">
        <f>SUMPRODUCT((MONTH(CHOOSE({1,2,3,4},HN!T52,HN!X52,HN!AB52,HN!AF52))=12)*(CHOOSE({1,2,3,4},HN!W52,HN!AA52,HN!AE52,HN!AI52)))</f>
        <v>0</v>
      </c>
    </row>
    <row r="53" spans="1:12">
      <c r="A53">
        <f>SUMPRODUCT((MONTH(CHOOSE({1,2,3,4},HN!T53,HN!X53,HN!AB53,HN!AF53))=1)*(CHOOSE({1,2,3,4},HN!W53,HN!AA53,HN!AE53,HN!AI53)))</f>
        <v>0</v>
      </c>
      <c r="B53">
        <f>SUMPRODUCT((MONTH(CHOOSE({1,2,3,4},HN!T53,HN!X53,HN!AB53,HN!AF53))=2)*(CHOOSE({1,2,3,4},HN!W53,HN!AA53,HN!AE53,HN!AI53)))</f>
        <v>0</v>
      </c>
      <c r="C53">
        <f>SUMPRODUCT((MONTH(CHOOSE({1,2,3,4},HN!T53,HN!X53,HN!AB53,HN!AF53))=3)*(CHOOSE({1,2,3,4},HN!W53,HN!AA53,HN!AE53,HN!AI53)))</f>
        <v>0</v>
      </c>
      <c r="D53">
        <f>SUMPRODUCT((MONTH(CHOOSE({1,2,3,4},HN!T53,HN!X53,HN!AB53,HN!AF53))=4)*(CHOOSE({1,2,3,4},HN!W53,HN!AA53,HN!AE53,HN!AI53)))</f>
        <v>0</v>
      </c>
      <c r="E53">
        <f>SUMPRODUCT((MONTH(CHOOSE({1,2,3,4},HN!T53,HN!X53,HN!AB53,HN!AF53))=5)*(CHOOSE({1,2,3,4},HN!W53,HN!AA53,HN!AE53,HN!AI53)))</f>
        <v>0</v>
      </c>
      <c r="F53">
        <f>SUMPRODUCT((MONTH(CHOOSE({1,2,3,4},HN!T53,HN!X53,HN!AB53,HN!AF53))=6)*(CHOOSE({1,2,3,4},HN!W53,HN!AA53,HN!AE53,HN!AI53)))</f>
        <v>0</v>
      </c>
      <c r="G53">
        <f>SUMPRODUCT((MONTH(CHOOSE({1,2,3,4},HN!T53,HN!X53,HN!AB53,HN!AF53))=7)*(CHOOSE({1,2,3,4},HN!W53,HN!AA53,HN!AE53,HN!AI53)))</f>
        <v>0</v>
      </c>
      <c r="H53">
        <f>SUMPRODUCT((MONTH(CHOOSE({1,2,3,4},HN!T53,HN!X53,HN!AB53,HN!AF53))=8)*(CHOOSE({1,2,3,4},HN!W53,HN!AA53,HN!AE53,HN!AI53)))</f>
        <v>0</v>
      </c>
      <c r="I53">
        <f>SUMPRODUCT((MONTH(CHOOSE({1,2,3,4},HN!T53,HN!X53,HN!AB53,HN!AF53))=9)*(CHOOSE({1,2,3,4},HN!W53,HN!AA53,HN!AE53,HN!AI53)))</f>
        <v>0</v>
      </c>
      <c r="J53">
        <f>SUMPRODUCT((MONTH(CHOOSE({1,2,3,4},HN!T53,HN!X53,HN!AB53,HN!AF53))=10)*(CHOOSE({1,2,3,4},HN!W53,HN!AA53,HN!AE53,HN!AI53)))</f>
        <v>0</v>
      </c>
      <c r="K53">
        <f>SUMPRODUCT((MONTH(CHOOSE({1,2,3,4},HN!T53,HN!X53,HN!AB53,HN!AF53))=11)*(CHOOSE({1,2,3,4},HN!W53,HN!AA53,HN!AE53,HN!AI53)))</f>
        <v>0</v>
      </c>
      <c r="L53">
        <f>SUMPRODUCT((MONTH(CHOOSE({1,2,3,4},HN!T53,HN!X53,HN!AB53,HN!AF53))=12)*(CHOOSE({1,2,3,4},HN!W53,HN!AA53,HN!AE53,HN!AI53)))</f>
        <v>0</v>
      </c>
    </row>
    <row r="54" spans="1:12">
      <c r="A54">
        <f>SUMPRODUCT((MONTH(CHOOSE({1,2,3,4},HN!T54,HN!X54,HN!AB54,HN!AF54))=1)*(CHOOSE({1,2,3,4},HN!W54,HN!AA54,HN!AE54,HN!AI54)))</f>
        <v>0</v>
      </c>
      <c r="B54">
        <f>SUMPRODUCT((MONTH(CHOOSE({1,2,3,4},HN!T54,HN!X54,HN!AB54,HN!AF54))=2)*(CHOOSE({1,2,3,4},HN!W54,HN!AA54,HN!AE54,HN!AI54)))</f>
        <v>0</v>
      </c>
      <c r="C54">
        <f>SUMPRODUCT((MONTH(CHOOSE({1,2,3,4},HN!T54,HN!X54,HN!AB54,HN!AF54))=3)*(CHOOSE({1,2,3,4},HN!W54,HN!AA54,HN!AE54,HN!AI54)))</f>
        <v>0</v>
      </c>
      <c r="D54">
        <f>SUMPRODUCT((MONTH(CHOOSE({1,2,3,4},HN!T54,HN!X54,HN!AB54,HN!AF54))=4)*(CHOOSE({1,2,3,4},HN!W54,HN!AA54,HN!AE54,HN!AI54)))</f>
        <v>0</v>
      </c>
      <c r="E54">
        <f>SUMPRODUCT((MONTH(CHOOSE({1,2,3,4},HN!T54,HN!X54,HN!AB54,HN!AF54))=5)*(CHOOSE({1,2,3,4},HN!W54,HN!AA54,HN!AE54,HN!AI54)))</f>
        <v>0</v>
      </c>
      <c r="F54">
        <f>SUMPRODUCT((MONTH(CHOOSE({1,2,3,4},HN!T54,HN!X54,HN!AB54,HN!AF54))=6)*(CHOOSE({1,2,3,4},HN!W54,HN!AA54,HN!AE54,HN!AI54)))</f>
        <v>0</v>
      </c>
      <c r="G54">
        <f>SUMPRODUCT((MONTH(CHOOSE({1,2,3,4},HN!T54,HN!X54,HN!AB54,HN!AF54))=7)*(CHOOSE({1,2,3,4},HN!W54,HN!AA54,HN!AE54,HN!AI54)))</f>
        <v>0</v>
      </c>
      <c r="H54">
        <f>SUMPRODUCT((MONTH(CHOOSE({1,2,3,4},HN!T54,HN!X54,HN!AB54,HN!AF54))=8)*(CHOOSE({1,2,3,4},HN!W54,HN!AA54,HN!AE54,HN!AI54)))</f>
        <v>0</v>
      </c>
      <c r="I54">
        <f>SUMPRODUCT((MONTH(CHOOSE({1,2,3,4},HN!T54,HN!X54,HN!AB54,HN!AF54))=9)*(CHOOSE({1,2,3,4},HN!W54,HN!AA54,HN!AE54,HN!AI54)))</f>
        <v>0</v>
      </c>
      <c r="J54">
        <f>SUMPRODUCT((MONTH(CHOOSE({1,2,3,4},HN!T54,HN!X54,HN!AB54,HN!AF54))=10)*(CHOOSE({1,2,3,4},HN!W54,HN!AA54,HN!AE54,HN!AI54)))</f>
        <v>0</v>
      </c>
      <c r="K54">
        <f>SUMPRODUCT((MONTH(CHOOSE({1,2,3,4},HN!T54,HN!X54,HN!AB54,HN!AF54))=11)*(CHOOSE({1,2,3,4},HN!W54,HN!AA54,HN!AE54,HN!AI54)))</f>
        <v>0</v>
      </c>
      <c r="L54">
        <f>SUMPRODUCT((MONTH(CHOOSE({1,2,3,4},HN!T54,HN!X54,HN!AB54,HN!AF54))=12)*(CHOOSE({1,2,3,4},HN!W54,HN!AA54,HN!AE54,HN!AI54)))</f>
        <v>0</v>
      </c>
    </row>
    <row r="55" spans="1:12">
      <c r="A55">
        <f>SUMPRODUCT((MONTH(CHOOSE({1,2,3,4},HN!T55,HN!X55,HN!AB55,HN!AF55))=1)*(CHOOSE({1,2,3,4},HN!W55,HN!AA55,HN!AE55,HN!AI55)))</f>
        <v>0</v>
      </c>
      <c r="B55">
        <f>SUMPRODUCT((MONTH(CHOOSE({1,2,3,4},HN!T55,HN!X55,HN!AB55,HN!AF55))=2)*(CHOOSE({1,2,3,4},HN!W55,HN!AA55,HN!AE55,HN!AI55)))</f>
        <v>0</v>
      </c>
      <c r="C55">
        <f>SUMPRODUCT((MONTH(CHOOSE({1,2,3,4},HN!T55,HN!X55,HN!AB55,HN!AF55))=3)*(CHOOSE({1,2,3,4},HN!W55,HN!AA55,HN!AE55,HN!AI55)))</f>
        <v>0</v>
      </c>
      <c r="D55">
        <f>SUMPRODUCT((MONTH(CHOOSE({1,2,3,4},HN!T55,HN!X55,HN!AB55,HN!AF55))=4)*(CHOOSE({1,2,3,4},HN!W55,HN!AA55,HN!AE55,HN!AI55)))</f>
        <v>0</v>
      </c>
      <c r="E55">
        <f>SUMPRODUCT((MONTH(CHOOSE({1,2,3,4},HN!T55,HN!X55,HN!AB55,HN!AF55))=5)*(CHOOSE({1,2,3,4},HN!W55,HN!AA55,HN!AE55,HN!AI55)))</f>
        <v>0</v>
      </c>
      <c r="F55">
        <f>SUMPRODUCT((MONTH(CHOOSE({1,2,3,4},HN!T55,HN!X55,HN!AB55,HN!AF55))=6)*(CHOOSE({1,2,3,4},HN!W55,HN!AA55,HN!AE55,HN!AI55)))</f>
        <v>0</v>
      </c>
      <c r="G55">
        <f>SUMPRODUCT((MONTH(CHOOSE({1,2,3,4},HN!T55,HN!X55,HN!AB55,HN!AF55))=7)*(CHOOSE({1,2,3,4},HN!W55,HN!AA55,HN!AE55,HN!AI55)))</f>
        <v>0</v>
      </c>
      <c r="H55">
        <f>SUMPRODUCT((MONTH(CHOOSE({1,2,3,4},HN!T55,HN!X55,HN!AB55,HN!AF55))=8)*(CHOOSE({1,2,3,4},HN!W55,HN!AA55,HN!AE55,HN!AI55)))</f>
        <v>0</v>
      </c>
      <c r="I55">
        <f>SUMPRODUCT((MONTH(CHOOSE({1,2,3,4},HN!T55,HN!X55,HN!AB55,HN!AF55))=9)*(CHOOSE({1,2,3,4},HN!W55,HN!AA55,HN!AE55,HN!AI55)))</f>
        <v>0</v>
      </c>
      <c r="J55">
        <f>SUMPRODUCT((MONTH(CHOOSE({1,2,3,4},HN!T55,HN!X55,HN!AB55,HN!AF55))=10)*(CHOOSE({1,2,3,4},HN!W55,HN!AA55,HN!AE55,HN!AI55)))</f>
        <v>0</v>
      </c>
      <c r="K55">
        <f>SUMPRODUCT((MONTH(CHOOSE({1,2,3,4},HN!T55,HN!X55,HN!AB55,HN!AF55))=11)*(CHOOSE({1,2,3,4},HN!W55,HN!AA55,HN!AE55,HN!AI55)))</f>
        <v>0</v>
      </c>
      <c r="L55">
        <f>SUMPRODUCT((MONTH(CHOOSE({1,2,3,4},HN!T55,HN!X55,HN!AB55,HN!AF55))=12)*(CHOOSE({1,2,3,4},HN!W55,HN!AA55,HN!AE55,HN!AI55)))</f>
        <v>0</v>
      </c>
    </row>
    <row r="56" spans="1:12">
      <c r="A56">
        <f>SUMPRODUCT((MONTH(CHOOSE({1,2,3,4},HN!T56,HN!X56,HN!AB56,HN!AF56))=1)*(CHOOSE({1,2,3,4},HN!W56,HN!AA56,HN!AE56,HN!AI56)))</f>
        <v>0</v>
      </c>
      <c r="B56">
        <f>SUMPRODUCT((MONTH(CHOOSE({1,2,3,4},HN!T56,HN!X56,HN!AB56,HN!AF56))=2)*(CHOOSE({1,2,3,4},HN!W56,HN!AA56,HN!AE56,HN!AI56)))</f>
        <v>0</v>
      </c>
      <c r="C56">
        <f>SUMPRODUCT((MONTH(CHOOSE({1,2,3,4},HN!T56,HN!X56,HN!AB56,HN!AF56))=3)*(CHOOSE({1,2,3,4},HN!W56,HN!AA56,HN!AE56,HN!AI56)))</f>
        <v>0</v>
      </c>
      <c r="D56">
        <f>SUMPRODUCT((MONTH(CHOOSE({1,2,3,4},HN!T56,HN!X56,HN!AB56,HN!AF56))=4)*(CHOOSE({1,2,3,4},HN!W56,HN!AA56,HN!AE56,HN!AI56)))</f>
        <v>0</v>
      </c>
      <c r="E56">
        <f>SUMPRODUCT((MONTH(CHOOSE({1,2,3,4},HN!T56,HN!X56,HN!AB56,HN!AF56))=5)*(CHOOSE({1,2,3,4},HN!W56,HN!AA56,HN!AE56,HN!AI56)))</f>
        <v>0</v>
      </c>
      <c r="F56">
        <f>SUMPRODUCT((MONTH(CHOOSE({1,2,3,4},HN!T56,HN!X56,HN!AB56,HN!AF56))=6)*(CHOOSE({1,2,3,4},HN!W56,HN!AA56,HN!AE56,HN!AI56)))</f>
        <v>0</v>
      </c>
      <c r="G56">
        <f>SUMPRODUCT((MONTH(CHOOSE({1,2,3,4},HN!T56,HN!X56,HN!AB56,HN!AF56))=7)*(CHOOSE({1,2,3,4},HN!W56,HN!AA56,HN!AE56,HN!AI56)))</f>
        <v>0</v>
      </c>
      <c r="H56">
        <f>SUMPRODUCT((MONTH(CHOOSE({1,2,3,4},HN!T56,HN!X56,HN!AB56,HN!AF56))=8)*(CHOOSE({1,2,3,4},HN!W56,HN!AA56,HN!AE56,HN!AI56)))</f>
        <v>0</v>
      </c>
      <c r="I56">
        <f>SUMPRODUCT((MONTH(CHOOSE({1,2,3,4},HN!T56,HN!X56,HN!AB56,HN!AF56))=9)*(CHOOSE({1,2,3,4},HN!W56,HN!AA56,HN!AE56,HN!AI56)))</f>
        <v>0</v>
      </c>
      <c r="J56">
        <f>SUMPRODUCT((MONTH(CHOOSE({1,2,3,4},HN!T56,HN!X56,HN!AB56,HN!AF56))=10)*(CHOOSE({1,2,3,4},HN!W56,HN!AA56,HN!AE56,HN!AI56)))</f>
        <v>0</v>
      </c>
      <c r="K56">
        <f>SUMPRODUCT((MONTH(CHOOSE({1,2,3,4},HN!T56,HN!X56,HN!AB56,HN!AF56))=11)*(CHOOSE({1,2,3,4},HN!W56,HN!AA56,HN!AE56,HN!AI56)))</f>
        <v>0</v>
      </c>
      <c r="L56">
        <f>SUMPRODUCT((MONTH(CHOOSE({1,2,3,4},HN!T56,HN!X56,HN!AB56,HN!AF56))=12)*(CHOOSE({1,2,3,4},HN!W56,HN!AA56,HN!AE56,HN!AI56)))</f>
        <v>0</v>
      </c>
    </row>
    <row r="57" spans="1:12">
      <c r="A57">
        <f>SUMPRODUCT((MONTH(CHOOSE({1,2,3,4},HN!T57,HN!X57,HN!AB57,HN!AF57))=1)*(CHOOSE({1,2,3,4},HN!W57,HN!AA57,HN!AE57,HN!AI57)))</f>
        <v>0</v>
      </c>
      <c r="B57">
        <f>SUMPRODUCT((MONTH(CHOOSE({1,2,3,4},HN!T57,HN!X57,HN!AB57,HN!AF57))=2)*(CHOOSE({1,2,3,4},HN!W57,HN!AA57,HN!AE57,HN!AI57)))</f>
        <v>0</v>
      </c>
      <c r="C57">
        <f>SUMPRODUCT((MONTH(CHOOSE({1,2,3,4},HN!T57,HN!X57,HN!AB57,HN!AF57))=3)*(CHOOSE({1,2,3,4},HN!W57,HN!AA57,HN!AE57,HN!AI57)))</f>
        <v>0</v>
      </c>
      <c r="D57">
        <f>SUMPRODUCT((MONTH(CHOOSE({1,2,3,4},HN!T57,HN!X57,HN!AB57,HN!AF57))=4)*(CHOOSE({1,2,3,4},HN!W57,HN!AA57,HN!AE57,HN!AI57)))</f>
        <v>0</v>
      </c>
      <c r="E57">
        <f>SUMPRODUCT((MONTH(CHOOSE({1,2,3,4},HN!T57,HN!X57,HN!AB57,HN!AF57))=5)*(CHOOSE({1,2,3,4},HN!W57,HN!AA57,HN!AE57,HN!AI57)))</f>
        <v>0</v>
      </c>
      <c r="F57">
        <f>SUMPRODUCT((MONTH(CHOOSE({1,2,3,4},HN!T57,HN!X57,HN!AB57,HN!AF57))=6)*(CHOOSE({1,2,3,4},HN!W57,HN!AA57,HN!AE57,HN!AI57)))</f>
        <v>0</v>
      </c>
      <c r="G57">
        <f>SUMPRODUCT((MONTH(CHOOSE({1,2,3,4},HN!T57,HN!X57,HN!AB57,HN!AF57))=7)*(CHOOSE({1,2,3,4},HN!W57,HN!AA57,HN!AE57,HN!AI57)))</f>
        <v>0</v>
      </c>
      <c r="H57">
        <f>SUMPRODUCT((MONTH(CHOOSE({1,2,3,4},HN!T57,HN!X57,HN!AB57,HN!AF57))=8)*(CHOOSE({1,2,3,4},HN!W57,HN!AA57,HN!AE57,HN!AI57)))</f>
        <v>0</v>
      </c>
      <c r="I57">
        <f>SUMPRODUCT((MONTH(CHOOSE({1,2,3,4},HN!T57,HN!X57,HN!AB57,HN!AF57))=9)*(CHOOSE({1,2,3,4},HN!W57,HN!AA57,HN!AE57,HN!AI57)))</f>
        <v>0</v>
      </c>
      <c r="J57">
        <f>SUMPRODUCT((MONTH(CHOOSE({1,2,3,4},HN!T57,HN!X57,HN!AB57,HN!AF57))=10)*(CHOOSE({1,2,3,4},HN!W57,HN!AA57,HN!AE57,HN!AI57)))</f>
        <v>0</v>
      </c>
      <c r="K57">
        <f>SUMPRODUCT((MONTH(CHOOSE({1,2,3,4},HN!T57,HN!X57,HN!AB57,HN!AF57))=11)*(CHOOSE({1,2,3,4},HN!W57,HN!AA57,HN!AE57,HN!AI57)))</f>
        <v>0</v>
      </c>
      <c r="L57">
        <f>SUMPRODUCT((MONTH(CHOOSE({1,2,3,4},HN!T57,HN!X57,HN!AB57,HN!AF57))=12)*(CHOOSE({1,2,3,4},HN!W57,HN!AA57,HN!AE57,HN!AI57)))</f>
        <v>0</v>
      </c>
    </row>
    <row r="58" spans="1:12">
      <c r="A58">
        <f>SUMPRODUCT((MONTH(CHOOSE({1,2,3,4},HN!T58,HN!X58,HN!AB58,HN!AF58))=1)*(CHOOSE({1,2,3,4},HN!W58,HN!AA58,HN!AE58,HN!AI58)))</f>
        <v>0</v>
      </c>
      <c r="B58">
        <f>SUMPRODUCT((MONTH(CHOOSE({1,2,3,4},HN!T58,HN!X58,HN!AB58,HN!AF58))=2)*(CHOOSE({1,2,3,4},HN!W58,HN!AA58,HN!AE58,HN!AI58)))</f>
        <v>0</v>
      </c>
      <c r="C58">
        <f>SUMPRODUCT((MONTH(CHOOSE({1,2,3,4},HN!T58,HN!X58,HN!AB58,HN!AF58))=3)*(CHOOSE({1,2,3,4},HN!W58,HN!AA58,HN!AE58,HN!AI58)))</f>
        <v>0</v>
      </c>
      <c r="D58">
        <f>SUMPRODUCT((MONTH(CHOOSE({1,2,3,4},HN!T58,HN!X58,HN!AB58,HN!AF58))=4)*(CHOOSE({1,2,3,4},HN!W58,HN!AA58,HN!AE58,HN!AI58)))</f>
        <v>0</v>
      </c>
      <c r="E58">
        <f>SUMPRODUCT((MONTH(CHOOSE({1,2,3,4},HN!T58,HN!X58,HN!AB58,HN!AF58))=5)*(CHOOSE({1,2,3,4},HN!W58,HN!AA58,HN!AE58,HN!AI58)))</f>
        <v>0</v>
      </c>
      <c r="F58">
        <f>SUMPRODUCT((MONTH(CHOOSE({1,2,3,4},HN!T58,HN!X58,HN!AB58,HN!AF58))=6)*(CHOOSE({1,2,3,4},HN!W58,HN!AA58,HN!AE58,HN!AI58)))</f>
        <v>0</v>
      </c>
      <c r="G58">
        <f>SUMPRODUCT((MONTH(CHOOSE({1,2,3,4},HN!T58,HN!X58,HN!AB58,HN!AF58))=7)*(CHOOSE({1,2,3,4},HN!W58,HN!AA58,HN!AE58,HN!AI58)))</f>
        <v>0</v>
      </c>
      <c r="H58">
        <f>SUMPRODUCT((MONTH(CHOOSE({1,2,3,4},HN!T58,HN!X58,HN!AB58,HN!AF58))=8)*(CHOOSE({1,2,3,4},HN!W58,HN!AA58,HN!AE58,HN!AI58)))</f>
        <v>0</v>
      </c>
      <c r="I58">
        <f>SUMPRODUCT((MONTH(CHOOSE({1,2,3,4},HN!T58,HN!X58,HN!AB58,HN!AF58))=9)*(CHOOSE({1,2,3,4},HN!W58,HN!AA58,HN!AE58,HN!AI58)))</f>
        <v>0</v>
      </c>
      <c r="J58">
        <f>SUMPRODUCT((MONTH(CHOOSE({1,2,3,4},HN!T58,HN!X58,HN!AB58,HN!AF58))=10)*(CHOOSE({1,2,3,4},HN!W58,HN!AA58,HN!AE58,HN!AI58)))</f>
        <v>0</v>
      </c>
      <c r="K58">
        <f>SUMPRODUCT((MONTH(CHOOSE({1,2,3,4},HN!T58,HN!X58,HN!AB58,HN!AF58))=11)*(CHOOSE({1,2,3,4},HN!W58,HN!AA58,HN!AE58,HN!AI58)))</f>
        <v>0</v>
      </c>
      <c r="L58">
        <f>SUMPRODUCT((MONTH(CHOOSE({1,2,3,4},HN!T58,HN!X58,HN!AB58,HN!AF58))=12)*(CHOOSE({1,2,3,4},HN!W58,HN!AA58,HN!AE58,HN!AI58)))</f>
        <v>0</v>
      </c>
    </row>
    <row r="59" spans="1:12">
      <c r="A59">
        <f>SUMPRODUCT((MONTH(CHOOSE({1,2,3,4},HN!T59,HN!X59,HN!AB59,HN!AF59))=1)*(CHOOSE({1,2,3,4},HN!W59,HN!AA59,HN!AE59,HN!AI59)))</f>
        <v>0</v>
      </c>
      <c r="B59">
        <f>SUMPRODUCT((MONTH(CHOOSE({1,2,3,4},HN!T59,HN!X59,HN!AB59,HN!AF59))=2)*(CHOOSE({1,2,3,4},HN!W59,HN!AA59,HN!AE59,HN!AI59)))</f>
        <v>0</v>
      </c>
      <c r="C59">
        <f>SUMPRODUCT((MONTH(CHOOSE({1,2,3,4},HN!T59,HN!X59,HN!AB59,HN!AF59))=3)*(CHOOSE({1,2,3,4},HN!W59,HN!AA59,HN!AE59,HN!AI59)))</f>
        <v>0</v>
      </c>
      <c r="D59">
        <f>SUMPRODUCT((MONTH(CHOOSE({1,2,3,4},HN!T59,HN!X59,HN!AB59,HN!AF59))=4)*(CHOOSE({1,2,3,4},HN!W59,HN!AA59,HN!AE59,HN!AI59)))</f>
        <v>0</v>
      </c>
      <c r="E59">
        <f>SUMPRODUCT((MONTH(CHOOSE({1,2,3,4},HN!T59,HN!X59,HN!AB59,HN!AF59))=5)*(CHOOSE({1,2,3,4},HN!W59,HN!AA59,HN!AE59,HN!AI59)))</f>
        <v>0</v>
      </c>
      <c r="F59">
        <f>SUMPRODUCT((MONTH(CHOOSE({1,2,3,4},HN!T59,HN!X59,HN!AB59,HN!AF59))=6)*(CHOOSE({1,2,3,4},HN!W59,HN!AA59,HN!AE59,HN!AI59)))</f>
        <v>0</v>
      </c>
      <c r="G59">
        <f>SUMPRODUCT((MONTH(CHOOSE({1,2,3,4},HN!T59,HN!X59,HN!AB59,HN!AF59))=7)*(CHOOSE({1,2,3,4},HN!W59,HN!AA59,HN!AE59,HN!AI59)))</f>
        <v>0</v>
      </c>
      <c r="H59">
        <f>SUMPRODUCT((MONTH(CHOOSE({1,2,3,4},HN!T59,HN!X59,HN!AB59,HN!AF59))=8)*(CHOOSE({1,2,3,4},HN!W59,HN!AA59,HN!AE59,HN!AI59)))</f>
        <v>0</v>
      </c>
      <c r="I59">
        <f>SUMPRODUCT((MONTH(CHOOSE({1,2,3,4},HN!T59,HN!X59,HN!AB59,HN!AF59))=9)*(CHOOSE({1,2,3,4},HN!W59,HN!AA59,HN!AE59,HN!AI59)))</f>
        <v>0</v>
      </c>
      <c r="J59">
        <f>SUMPRODUCT((MONTH(CHOOSE({1,2,3,4},HN!T59,HN!X59,HN!AB59,HN!AF59))=10)*(CHOOSE({1,2,3,4},HN!W59,HN!AA59,HN!AE59,HN!AI59)))</f>
        <v>0</v>
      </c>
      <c r="K59">
        <f>SUMPRODUCT((MONTH(CHOOSE({1,2,3,4},HN!T59,HN!X59,HN!AB59,HN!AF59))=11)*(CHOOSE({1,2,3,4},HN!W59,HN!AA59,HN!AE59,HN!AI59)))</f>
        <v>0</v>
      </c>
      <c r="L59">
        <f>SUMPRODUCT((MONTH(CHOOSE({1,2,3,4},HN!T59,HN!X59,HN!AB59,HN!AF59))=12)*(CHOOSE({1,2,3,4},HN!W59,HN!AA59,HN!AE59,HN!AI59)))</f>
        <v>0</v>
      </c>
    </row>
    <row r="60" spans="1:12">
      <c r="A60">
        <f>SUMPRODUCT((MONTH(CHOOSE({1,2,3,4},HN!T60,HN!X60,HN!AB60,HN!AF60))=1)*(CHOOSE({1,2,3,4},HN!W60,HN!AA60,HN!AE60,HN!AI60)))</f>
        <v>0</v>
      </c>
      <c r="B60">
        <f>SUMPRODUCT((MONTH(CHOOSE({1,2,3,4},HN!T60,HN!X60,HN!AB60,HN!AF60))=2)*(CHOOSE({1,2,3,4},HN!W60,HN!AA60,HN!AE60,HN!AI60)))</f>
        <v>0</v>
      </c>
      <c r="C60">
        <f>SUMPRODUCT((MONTH(CHOOSE({1,2,3,4},HN!T60,HN!X60,HN!AB60,HN!AF60))=3)*(CHOOSE({1,2,3,4},HN!W60,HN!AA60,HN!AE60,HN!AI60)))</f>
        <v>0</v>
      </c>
      <c r="D60">
        <f>SUMPRODUCT((MONTH(CHOOSE({1,2,3,4},HN!T60,HN!X60,HN!AB60,HN!AF60))=4)*(CHOOSE({1,2,3,4},HN!W60,HN!AA60,HN!AE60,HN!AI60)))</f>
        <v>0</v>
      </c>
      <c r="E60">
        <f>SUMPRODUCT((MONTH(CHOOSE({1,2,3,4},HN!T60,HN!X60,HN!AB60,HN!AF60))=5)*(CHOOSE({1,2,3,4},HN!W60,HN!AA60,HN!AE60,HN!AI60)))</f>
        <v>0</v>
      </c>
      <c r="F60">
        <f>SUMPRODUCT((MONTH(CHOOSE({1,2,3,4},HN!T60,HN!X60,HN!AB60,HN!AF60))=6)*(CHOOSE({1,2,3,4},HN!W60,HN!AA60,HN!AE60,HN!AI60)))</f>
        <v>0</v>
      </c>
      <c r="G60">
        <f>SUMPRODUCT((MONTH(CHOOSE({1,2,3,4},HN!T60,HN!X60,HN!AB60,HN!AF60))=7)*(CHOOSE({1,2,3,4},HN!W60,HN!AA60,HN!AE60,HN!AI60)))</f>
        <v>0</v>
      </c>
      <c r="H60">
        <f>SUMPRODUCT((MONTH(CHOOSE({1,2,3,4},HN!T60,HN!X60,HN!AB60,HN!AF60))=8)*(CHOOSE({1,2,3,4},HN!W60,HN!AA60,HN!AE60,HN!AI60)))</f>
        <v>0</v>
      </c>
      <c r="I60">
        <f>SUMPRODUCT((MONTH(CHOOSE({1,2,3,4},HN!T60,HN!X60,HN!AB60,HN!AF60))=9)*(CHOOSE({1,2,3,4},HN!W60,HN!AA60,HN!AE60,HN!AI60)))</f>
        <v>0</v>
      </c>
      <c r="J60">
        <f>SUMPRODUCT((MONTH(CHOOSE({1,2,3,4},HN!T60,HN!X60,HN!AB60,HN!AF60))=10)*(CHOOSE({1,2,3,4},HN!W60,HN!AA60,HN!AE60,HN!AI60)))</f>
        <v>0</v>
      </c>
      <c r="K60">
        <f>SUMPRODUCT((MONTH(CHOOSE({1,2,3,4},HN!T60,HN!X60,HN!AB60,HN!AF60))=11)*(CHOOSE({1,2,3,4},HN!W60,HN!AA60,HN!AE60,HN!AI60)))</f>
        <v>0</v>
      </c>
      <c r="L60">
        <f>SUMPRODUCT((MONTH(CHOOSE({1,2,3,4},HN!T60,HN!X60,HN!AB60,HN!AF60))=12)*(CHOOSE({1,2,3,4},HN!W60,HN!AA60,HN!AE60,HN!AI60)))</f>
        <v>0</v>
      </c>
    </row>
    <row r="61" spans="1:12">
      <c r="A61">
        <f>SUMPRODUCT((MONTH(CHOOSE({1,2,3,4},HN!T61,HN!X61,HN!AB61,HN!AF61))=1)*(CHOOSE({1,2,3,4},HN!W61,HN!AA61,HN!AE61,HN!AI61)))</f>
        <v>0</v>
      </c>
      <c r="B61">
        <f>SUMPRODUCT((MONTH(CHOOSE({1,2,3,4},HN!T61,HN!X61,HN!AB61,HN!AF61))=2)*(CHOOSE({1,2,3,4},HN!W61,HN!AA61,HN!AE61,HN!AI61)))</f>
        <v>0</v>
      </c>
      <c r="C61">
        <f>SUMPRODUCT((MONTH(CHOOSE({1,2,3,4},HN!T61,HN!X61,HN!AB61,HN!AF61))=3)*(CHOOSE({1,2,3,4},HN!W61,HN!AA61,HN!AE61,HN!AI61)))</f>
        <v>0</v>
      </c>
      <c r="D61">
        <f>SUMPRODUCT((MONTH(CHOOSE({1,2,3,4},HN!T61,HN!X61,HN!AB61,HN!AF61))=4)*(CHOOSE({1,2,3,4},HN!W61,HN!AA61,HN!AE61,HN!AI61)))</f>
        <v>0</v>
      </c>
      <c r="E61">
        <f>SUMPRODUCT((MONTH(CHOOSE({1,2,3,4},HN!T61,HN!X61,HN!AB61,HN!AF61))=5)*(CHOOSE({1,2,3,4},HN!W61,HN!AA61,HN!AE61,HN!AI61)))</f>
        <v>0</v>
      </c>
      <c r="F61">
        <f>SUMPRODUCT((MONTH(CHOOSE({1,2,3,4},HN!T61,HN!X61,HN!AB61,HN!AF61))=6)*(CHOOSE({1,2,3,4},HN!W61,HN!AA61,HN!AE61,HN!AI61)))</f>
        <v>0</v>
      </c>
      <c r="G61">
        <f>SUMPRODUCT((MONTH(CHOOSE({1,2,3,4},HN!T61,HN!X61,HN!AB61,HN!AF61))=7)*(CHOOSE({1,2,3,4},HN!W61,HN!AA61,HN!AE61,HN!AI61)))</f>
        <v>0</v>
      </c>
      <c r="H61">
        <f>SUMPRODUCT((MONTH(CHOOSE({1,2,3,4},HN!T61,HN!X61,HN!AB61,HN!AF61))=8)*(CHOOSE({1,2,3,4},HN!W61,HN!AA61,HN!AE61,HN!AI61)))</f>
        <v>0</v>
      </c>
      <c r="I61">
        <f>SUMPRODUCT((MONTH(CHOOSE({1,2,3,4},HN!T61,HN!X61,HN!AB61,HN!AF61))=9)*(CHOOSE({1,2,3,4},HN!W61,HN!AA61,HN!AE61,HN!AI61)))</f>
        <v>0</v>
      </c>
      <c r="J61">
        <f>SUMPRODUCT((MONTH(CHOOSE({1,2,3,4},HN!T61,HN!X61,HN!AB61,HN!AF61))=10)*(CHOOSE({1,2,3,4},HN!W61,HN!AA61,HN!AE61,HN!AI61)))</f>
        <v>0</v>
      </c>
      <c r="K61">
        <f>SUMPRODUCT((MONTH(CHOOSE({1,2,3,4},HN!T61,HN!X61,HN!AB61,HN!AF61))=11)*(CHOOSE({1,2,3,4},HN!W61,HN!AA61,HN!AE61,HN!AI61)))</f>
        <v>0</v>
      </c>
      <c r="L61">
        <f>SUMPRODUCT((MONTH(CHOOSE({1,2,3,4},HN!T61,HN!X61,HN!AB61,HN!AF61))=12)*(CHOOSE({1,2,3,4},HN!W61,HN!AA61,HN!AE61,HN!AI61)))</f>
        <v>0</v>
      </c>
    </row>
    <row r="62" spans="1:12">
      <c r="A62">
        <f>SUMPRODUCT((MONTH(CHOOSE({1,2,3,4},HN!T62,HN!X62,HN!AB62,HN!AF62))=1)*(CHOOSE({1,2,3,4},HN!W62,HN!AA62,HN!AE62,HN!AI62)))</f>
        <v>0</v>
      </c>
      <c r="B62">
        <f>SUMPRODUCT((MONTH(CHOOSE({1,2,3,4},HN!T62,HN!X62,HN!AB62,HN!AF62))=2)*(CHOOSE({1,2,3,4},HN!W62,HN!AA62,HN!AE62,HN!AI62)))</f>
        <v>0</v>
      </c>
      <c r="C62">
        <f>SUMPRODUCT((MONTH(CHOOSE({1,2,3,4},HN!T62,HN!X62,HN!AB62,HN!AF62))=3)*(CHOOSE({1,2,3,4},HN!W62,HN!AA62,HN!AE62,HN!AI62)))</f>
        <v>0</v>
      </c>
      <c r="D62">
        <f>SUMPRODUCT((MONTH(CHOOSE({1,2,3,4},HN!T62,HN!X62,HN!AB62,HN!AF62))=4)*(CHOOSE({1,2,3,4},HN!W62,HN!AA62,HN!AE62,HN!AI62)))</f>
        <v>0</v>
      </c>
      <c r="E62">
        <f>SUMPRODUCT((MONTH(CHOOSE({1,2,3,4},HN!T62,HN!X62,HN!AB62,HN!AF62))=5)*(CHOOSE({1,2,3,4},HN!W62,HN!AA62,HN!AE62,HN!AI62)))</f>
        <v>0</v>
      </c>
      <c r="F62">
        <f>SUMPRODUCT((MONTH(CHOOSE({1,2,3,4},HN!T62,HN!X62,HN!AB62,HN!AF62))=6)*(CHOOSE({1,2,3,4},HN!W62,HN!AA62,HN!AE62,HN!AI62)))</f>
        <v>0</v>
      </c>
      <c r="G62">
        <f>SUMPRODUCT((MONTH(CHOOSE({1,2,3,4},HN!T62,HN!X62,HN!AB62,HN!AF62))=7)*(CHOOSE({1,2,3,4},HN!W62,HN!AA62,HN!AE62,HN!AI62)))</f>
        <v>0</v>
      </c>
      <c r="H62">
        <f>SUMPRODUCT((MONTH(CHOOSE({1,2,3,4},HN!T62,HN!X62,HN!AB62,HN!AF62))=8)*(CHOOSE({1,2,3,4},HN!W62,HN!AA62,HN!AE62,HN!AI62)))</f>
        <v>0</v>
      </c>
      <c r="I62">
        <f>SUMPRODUCT((MONTH(CHOOSE({1,2,3,4},HN!T62,HN!X62,HN!AB62,HN!AF62))=9)*(CHOOSE({1,2,3,4},HN!W62,HN!AA62,HN!AE62,HN!AI62)))</f>
        <v>0</v>
      </c>
      <c r="J62">
        <f>SUMPRODUCT((MONTH(CHOOSE({1,2,3,4},HN!T62,HN!X62,HN!AB62,HN!AF62))=10)*(CHOOSE({1,2,3,4},HN!W62,HN!AA62,HN!AE62,HN!AI62)))</f>
        <v>0</v>
      </c>
      <c r="K62">
        <f>SUMPRODUCT((MONTH(CHOOSE({1,2,3,4},HN!T62,HN!X62,HN!AB62,HN!AF62))=11)*(CHOOSE({1,2,3,4},HN!W62,HN!AA62,HN!AE62,HN!AI62)))</f>
        <v>0</v>
      </c>
      <c r="L62">
        <f>SUMPRODUCT((MONTH(CHOOSE({1,2,3,4},HN!T62,HN!X62,HN!AB62,HN!AF62))=12)*(CHOOSE({1,2,3,4},HN!W62,HN!AA62,HN!AE62,HN!AI62)))</f>
        <v>0</v>
      </c>
    </row>
    <row r="63" spans="1:12">
      <c r="A63">
        <f>SUMPRODUCT((MONTH(CHOOSE({1,2,3,4},HN!T63,HN!X63,HN!AB63,HN!AF63))=1)*(CHOOSE({1,2,3,4},HN!W63,HN!AA63,HN!AE63,HN!AI63)))</f>
        <v>0</v>
      </c>
      <c r="B63">
        <f>SUMPRODUCT((MONTH(CHOOSE({1,2,3,4},HN!T63,HN!X63,HN!AB63,HN!AF63))=2)*(CHOOSE({1,2,3,4},HN!W63,HN!AA63,HN!AE63,HN!AI63)))</f>
        <v>0</v>
      </c>
      <c r="C63">
        <f>SUMPRODUCT((MONTH(CHOOSE({1,2,3,4},HN!T63,HN!X63,HN!AB63,HN!AF63))=3)*(CHOOSE({1,2,3,4},HN!W63,HN!AA63,HN!AE63,HN!AI63)))</f>
        <v>0</v>
      </c>
      <c r="D63">
        <f>SUMPRODUCT((MONTH(CHOOSE({1,2,3,4},HN!T63,HN!X63,HN!AB63,HN!AF63))=4)*(CHOOSE({1,2,3,4},HN!W63,HN!AA63,HN!AE63,HN!AI63)))</f>
        <v>0</v>
      </c>
      <c r="E63">
        <f>SUMPRODUCT((MONTH(CHOOSE({1,2,3,4},HN!T63,HN!X63,HN!AB63,HN!AF63))=5)*(CHOOSE({1,2,3,4},HN!W63,HN!AA63,HN!AE63,HN!AI63)))</f>
        <v>0</v>
      </c>
      <c r="F63">
        <f>SUMPRODUCT((MONTH(CHOOSE({1,2,3,4},HN!T63,HN!X63,HN!AB63,HN!AF63))=6)*(CHOOSE({1,2,3,4},HN!W63,HN!AA63,HN!AE63,HN!AI63)))</f>
        <v>0</v>
      </c>
      <c r="G63">
        <f>SUMPRODUCT((MONTH(CHOOSE({1,2,3,4},HN!T63,HN!X63,HN!AB63,HN!AF63))=7)*(CHOOSE({1,2,3,4},HN!W63,HN!AA63,HN!AE63,HN!AI63)))</f>
        <v>0</v>
      </c>
      <c r="H63">
        <f>SUMPRODUCT((MONTH(CHOOSE({1,2,3,4},HN!T63,HN!X63,HN!AB63,HN!AF63))=8)*(CHOOSE({1,2,3,4},HN!W63,HN!AA63,HN!AE63,HN!AI63)))</f>
        <v>0</v>
      </c>
      <c r="I63">
        <f>SUMPRODUCT((MONTH(CHOOSE({1,2,3,4},HN!T63,HN!X63,HN!AB63,HN!AF63))=9)*(CHOOSE({1,2,3,4},HN!W63,HN!AA63,HN!AE63,HN!AI63)))</f>
        <v>0</v>
      </c>
      <c r="J63">
        <f>SUMPRODUCT((MONTH(CHOOSE({1,2,3,4},HN!T63,HN!X63,HN!AB63,HN!AF63))=10)*(CHOOSE({1,2,3,4},HN!W63,HN!AA63,HN!AE63,HN!AI63)))</f>
        <v>0</v>
      </c>
      <c r="K63">
        <f>SUMPRODUCT((MONTH(CHOOSE({1,2,3,4},HN!T63,HN!X63,HN!AB63,HN!AF63))=11)*(CHOOSE({1,2,3,4},HN!W63,HN!AA63,HN!AE63,HN!AI63)))</f>
        <v>0</v>
      </c>
      <c r="L63">
        <f>SUMPRODUCT((MONTH(CHOOSE({1,2,3,4},HN!T63,HN!X63,HN!AB63,HN!AF63))=12)*(CHOOSE({1,2,3,4},HN!W63,HN!AA63,HN!AE63,HN!AI63)))</f>
        <v>0</v>
      </c>
    </row>
    <row r="64" spans="1:12">
      <c r="A64">
        <f>SUMPRODUCT((MONTH(CHOOSE({1,2,3,4},HN!T64,HN!X64,HN!AB64,HN!AF64))=1)*(CHOOSE({1,2,3,4},HN!W64,HN!AA64,HN!AE64,HN!AI64)))</f>
        <v>0</v>
      </c>
      <c r="B64">
        <f>SUMPRODUCT((MONTH(CHOOSE({1,2,3,4},HN!T64,HN!X64,HN!AB64,HN!AF64))=2)*(CHOOSE({1,2,3,4},HN!W64,HN!AA64,HN!AE64,HN!AI64)))</f>
        <v>0</v>
      </c>
      <c r="C64">
        <f>SUMPRODUCT((MONTH(CHOOSE({1,2,3,4},HN!T64,HN!X64,HN!AB64,HN!AF64))=3)*(CHOOSE({1,2,3,4},HN!W64,HN!AA64,HN!AE64,HN!AI64)))</f>
        <v>0</v>
      </c>
      <c r="D64">
        <f>SUMPRODUCT((MONTH(CHOOSE({1,2,3,4},HN!T64,HN!X64,HN!AB64,HN!AF64))=4)*(CHOOSE({1,2,3,4},HN!W64,HN!AA64,HN!AE64,HN!AI64)))</f>
        <v>0</v>
      </c>
      <c r="E64">
        <f>SUMPRODUCT((MONTH(CHOOSE({1,2,3,4},HN!T64,HN!X64,HN!AB64,HN!AF64))=5)*(CHOOSE({1,2,3,4},HN!W64,HN!AA64,HN!AE64,HN!AI64)))</f>
        <v>0</v>
      </c>
      <c r="F64">
        <f>SUMPRODUCT((MONTH(CHOOSE({1,2,3,4},HN!T64,HN!X64,HN!AB64,HN!AF64))=6)*(CHOOSE({1,2,3,4},HN!W64,HN!AA64,HN!AE64,HN!AI64)))</f>
        <v>0</v>
      </c>
      <c r="G64">
        <f>SUMPRODUCT((MONTH(CHOOSE({1,2,3,4},HN!T64,HN!X64,HN!AB64,HN!AF64))=7)*(CHOOSE({1,2,3,4},HN!W64,HN!AA64,HN!AE64,HN!AI64)))</f>
        <v>0</v>
      </c>
      <c r="H64">
        <f>SUMPRODUCT((MONTH(CHOOSE({1,2,3,4},HN!T64,HN!X64,HN!AB64,HN!AF64))=8)*(CHOOSE({1,2,3,4},HN!W64,HN!AA64,HN!AE64,HN!AI64)))</f>
        <v>0</v>
      </c>
      <c r="I64">
        <f>SUMPRODUCT((MONTH(CHOOSE({1,2,3,4},HN!T64,HN!X64,HN!AB64,HN!AF64))=9)*(CHOOSE({1,2,3,4},HN!W64,HN!AA64,HN!AE64,HN!AI64)))</f>
        <v>0</v>
      </c>
      <c r="J64">
        <f>SUMPRODUCT((MONTH(CHOOSE({1,2,3,4},HN!T64,HN!X64,HN!AB64,HN!AF64))=10)*(CHOOSE({1,2,3,4},HN!W64,HN!AA64,HN!AE64,HN!AI64)))</f>
        <v>0</v>
      </c>
      <c r="K64">
        <f>SUMPRODUCT((MONTH(CHOOSE({1,2,3,4},HN!T64,HN!X64,HN!AB64,HN!AF64))=11)*(CHOOSE({1,2,3,4},HN!W64,HN!AA64,HN!AE64,HN!AI64)))</f>
        <v>0</v>
      </c>
      <c r="L64">
        <f>SUMPRODUCT((MONTH(CHOOSE({1,2,3,4},HN!T64,HN!X64,HN!AB64,HN!AF64))=12)*(CHOOSE({1,2,3,4},HN!W64,HN!AA64,HN!AE64,HN!AI64)))</f>
        <v>0</v>
      </c>
    </row>
    <row r="65" spans="1:12">
      <c r="A65">
        <f>SUMPRODUCT((MONTH(CHOOSE({1,2,3,4},HN!T65,HN!X65,HN!AB65,HN!AF65))=1)*(CHOOSE({1,2,3,4},HN!W65,HN!AA65,HN!AE65,HN!AI65)))</f>
        <v>0</v>
      </c>
      <c r="B65">
        <f>SUMPRODUCT((MONTH(CHOOSE({1,2,3,4},HN!T65,HN!X65,HN!AB65,HN!AF65))=2)*(CHOOSE({1,2,3,4},HN!W65,HN!AA65,HN!AE65,HN!AI65)))</f>
        <v>0</v>
      </c>
      <c r="C65">
        <f>SUMPRODUCT((MONTH(CHOOSE({1,2,3,4},HN!T65,HN!X65,HN!AB65,HN!AF65))=3)*(CHOOSE({1,2,3,4},HN!W65,HN!AA65,HN!AE65,HN!AI65)))</f>
        <v>0</v>
      </c>
      <c r="D65">
        <f>SUMPRODUCT((MONTH(CHOOSE({1,2,3,4},HN!T65,HN!X65,HN!AB65,HN!AF65))=4)*(CHOOSE({1,2,3,4},HN!W65,HN!AA65,HN!AE65,HN!AI65)))</f>
        <v>0</v>
      </c>
      <c r="E65">
        <f>SUMPRODUCT((MONTH(CHOOSE({1,2,3,4},HN!T65,HN!X65,HN!AB65,HN!AF65))=5)*(CHOOSE({1,2,3,4},HN!W65,HN!AA65,HN!AE65,HN!AI65)))</f>
        <v>0</v>
      </c>
      <c r="F65">
        <f>SUMPRODUCT((MONTH(CHOOSE({1,2,3,4},HN!T65,HN!X65,HN!AB65,HN!AF65))=6)*(CHOOSE({1,2,3,4},HN!W65,HN!AA65,HN!AE65,HN!AI65)))</f>
        <v>0</v>
      </c>
      <c r="G65">
        <f>SUMPRODUCT((MONTH(CHOOSE({1,2,3,4},HN!T65,HN!X65,HN!AB65,HN!AF65))=7)*(CHOOSE({1,2,3,4},HN!W65,HN!AA65,HN!AE65,HN!AI65)))</f>
        <v>0</v>
      </c>
      <c r="H65">
        <f>SUMPRODUCT((MONTH(CHOOSE({1,2,3,4},HN!T65,HN!X65,HN!AB65,HN!AF65))=8)*(CHOOSE({1,2,3,4},HN!W65,HN!AA65,HN!AE65,HN!AI65)))</f>
        <v>0</v>
      </c>
      <c r="I65">
        <f>SUMPRODUCT((MONTH(CHOOSE({1,2,3,4},HN!T65,HN!X65,HN!AB65,HN!AF65))=9)*(CHOOSE({1,2,3,4},HN!W65,HN!AA65,HN!AE65,HN!AI65)))</f>
        <v>0</v>
      </c>
      <c r="J65">
        <f>SUMPRODUCT((MONTH(CHOOSE({1,2,3,4},HN!T65,HN!X65,HN!AB65,HN!AF65))=10)*(CHOOSE({1,2,3,4},HN!W65,HN!AA65,HN!AE65,HN!AI65)))</f>
        <v>0</v>
      </c>
      <c r="K65">
        <f>SUMPRODUCT((MONTH(CHOOSE({1,2,3,4},HN!T65,HN!X65,HN!AB65,HN!AF65))=11)*(CHOOSE({1,2,3,4},HN!W65,HN!AA65,HN!AE65,HN!AI65)))</f>
        <v>0</v>
      </c>
      <c r="L65">
        <f>SUMPRODUCT((MONTH(CHOOSE({1,2,3,4},HN!T65,HN!X65,HN!AB65,HN!AF65))=12)*(CHOOSE({1,2,3,4},HN!W65,HN!AA65,HN!AE65,HN!AI65)))</f>
        <v>0</v>
      </c>
    </row>
    <row r="66" spans="1:12">
      <c r="A66">
        <f>SUMPRODUCT((MONTH(CHOOSE({1,2,3,4},HN!T66,HN!X66,HN!AB66,HN!AF66))=1)*(CHOOSE({1,2,3,4},HN!W66,HN!AA66,HN!AE66,HN!AI66)))</f>
        <v>0</v>
      </c>
      <c r="B66">
        <f>SUMPRODUCT((MONTH(CHOOSE({1,2,3,4},HN!T66,HN!X66,HN!AB66,HN!AF66))=2)*(CHOOSE({1,2,3,4},HN!W66,HN!AA66,HN!AE66,HN!AI66)))</f>
        <v>0</v>
      </c>
      <c r="C66">
        <f>SUMPRODUCT((MONTH(CHOOSE({1,2,3,4},HN!T66,HN!X66,HN!AB66,HN!AF66))=3)*(CHOOSE({1,2,3,4},HN!W66,HN!AA66,HN!AE66,HN!AI66)))</f>
        <v>0</v>
      </c>
      <c r="D66">
        <f>SUMPRODUCT((MONTH(CHOOSE({1,2,3,4},HN!T66,HN!X66,HN!AB66,HN!AF66))=4)*(CHOOSE({1,2,3,4},HN!W66,HN!AA66,HN!AE66,HN!AI66)))</f>
        <v>0</v>
      </c>
      <c r="E66">
        <f>SUMPRODUCT((MONTH(CHOOSE({1,2,3,4},HN!T66,HN!X66,HN!AB66,HN!AF66))=5)*(CHOOSE({1,2,3,4},HN!W66,HN!AA66,HN!AE66,HN!AI66)))</f>
        <v>0</v>
      </c>
      <c r="F66">
        <f>SUMPRODUCT((MONTH(CHOOSE({1,2,3,4},HN!T66,HN!X66,HN!AB66,HN!AF66))=6)*(CHOOSE({1,2,3,4},HN!W66,HN!AA66,HN!AE66,HN!AI66)))</f>
        <v>0</v>
      </c>
      <c r="G66">
        <f>SUMPRODUCT((MONTH(CHOOSE({1,2,3,4},HN!T66,HN!X66,HN!AB66,HN!AF66))=7)*(CHOOSE({1,2,3,4},HN!W66,HN!AA66,HN!AE66,HN!AI66)))</f>
        <v>0</v>
      </c>
      <c r="H66">
        <f>SUMPRODUCT((MONTH(CHOOSE({1,2,3,4},HN!T66,HN!X66,HN!AB66,HN!AF66))=8)*(CHOOSE({1,2,3,4},HN!W66,HN!AA66,HN!AE66,HN!AI66)))</f>
        <v>0</v>
      </c>
      <c r="I66">
        <f>SUMPRODUCT((MONTH(CHOOSE({1,2,3,4},HN!T66,HN!X66,HN!AB66,HN!AF66))=9)*(CHOOSE({1,2,3,4},HN!W66,HN!AA66,HN!AE66,HN!AI66)))</f>
        <v>0</v>
      </c>
      <c r="J66">
        <f>SUMPRODUCT((MONTH(CHOOSE({1,2,3,4},HN!T66,HN!X66,HN!AB66,HN!AF66))=10)*(CHOOSE({1,2,3,4},HN!W66,HN!AA66,HN!AE66,HN!AI66)))</f>
        <v>0</v>
      </c>
      <c r="K66">
        <f>SUMPRODUCT((MONTH(CHOOSE({1,2,3,4},HN!T66,HN!X66,HN!AB66,HN!AF66))=11)*(CHOOSE({1,2,3,4},HN!W66,HN!AA66,HN!AE66,HN!AI66)))</f>
        <v>0</v>
      </c>
      <c r="L66">
        <f>SUMPRODUCT((MONTH(CHOOSE({1,2,3,4},HN!T66,HN!X66,HN!AB66,HN!AF66))=12)*(CHOOSE({1,2,3,4},HN!W66,HN!AA66,HN!AE66,HN!AI66)))</f>
        <v>0</v>
      </c>
    </row>
    <row r="67" spans="1:12">
      <c r="A67">
        <f>SUMPRODUCT((MONTH(CHOOSE({1,2,3,4},HN!T67,HN!X67,HN!AB67,HN!AF67))=1)*(CHOOSE({1,2,3,4},HN!W67,HN!AA67,HN!AE67,HN!AI67)))</f>
        <v>0</v>
      </c>
      <c r="B67">
        <f>SUMPRODUCT((MONTH(CHOOSE({1,2,3,4},HN!T67,HN!X67,HN!AB67,HN!AF67))=2)*(CHOOSE({1,2,3,4},HN!W67,HN!AA67,HN!AE67,HN!AI67)))</f>
        <v>0</v>
      </c>
      <c r="C67">
        <f>SUMPRODUCT((MONTH(CHOOSE({1,2,3,4},HN!T67,HN!X67,HN!AB67,HN!AF67))=3)*(CHOOSE({1,2,3,4},HN!W67,HN!AA67,HN!AE67,HN!AI67)))</f>
        <v>0</v>
      </c>
      <c r="D67">
        <f>SUMPRODUCT((MONTH(CHOOSE({1,2,3,4},HN!T67,HN!X67,HN!AB67,HN!AF67))=4)*(CHOOSE({1,2,3,4},HN!W67,HN!AA67,HN!AE67,HN!AI67)))</f>
        <v>0</v>
      </c>
      <c r="E67">
        <f>SUMPRODUCT((MONTH(CHOOSE({1,2,3,4},HN!T67,HN!X67,HN!AB67,HN!AF67))=5)*(CHOOSE({1,2,3,4},HN!W67,HN!AA67,HN!AE67,HN!AI67)))</f>
        <v>0</v>
      </c>
      <c r="F67">
        <f>SUMPRODUCT((MONTH(CHOOSE({1,2,3,4},HN!T67,HN!X67,HN!AB67,HN!AF67))=6)*(CHOOSE({1,2,3,4},HN!W67,HN!AA67,HN!AE67,HN!AI67)))</f>
        <v>0</v>
      </c>
      <c r="G67">
        <f>SUMPRODUCT((MONTH(CHOOSE({1,2,3,4},HN!T67,HN!X67,HN!AB67,HN!AF67))=7)*(CHOOSE({1,2,3,4},HN!W67,HN!AA67,HN!AE67,HN!AI67)))</f>
        <v>0</v>
      </c>
      <c r="H67">
        <f>SUMPRODUCT((MONTH(CHOOSE({1,2,3,4},HN!T67,HN!X67,HN!AB67,HN!AF67))=8)*(CHOOSE({1,2,3,4},HN!W67,HN!AA67,HN!AE67,HN!AI67)))</f>
        <v>0</v>
      </c>
      <c r="I67">
        <f>SUMPRODUCT((MONTH(CHOOSE({1,2,3,4},HN!T67,HN!X67,HN!AB67,HN!AF67))=9)*(CHOOSE({1,2,3,4},HN!W67,HN!AA67,HN!AE67,HN!AI67)))</f>
        <v>0</v>
      </c>
      <c r="J67">
        <f>SUMPRODUCT((MONTH(CHOOSE({1,2,3,4},HN!T67,HN!X67,HN!AB67,HN!AF67))=10)*(CHOOSE({1,2,3,4},HN!W67,HN!AA67,HN!AE67,HN!AI67)))</f>
        <v>0</v>
      </c>
      <c r="K67">
        <f>SUMPRODUCT((MONTH(CHOOSE({1,2,3,4},HN!T67,HN!X67,HN!AB67,HN!AF67))=11)*(CHOOSE({1,2,3,4},HN!W67,HN!AA67,HN!AE67,HN!AI67)))</f>
        <v>0</v>
      </c>
      <c r="L67">
        <f>SUMPRODUCT((MONTH(CHOOSE({1,2,3,4},HN!T67,HN!X67,HN!AB67,HN!AF67))=12)*(CHOOSE({1,2,3,4},HN!W67,HN!AA67,HN!AE67,HN!AI67)))</f>
        <v>0</v>
      </c>
    </row>
    <row r="68" spans="1:12">
      <c r="A68">
        <f>SUMPRODUCT((MONTH(CHOOSE({1,2,3,4},HN!T68,HN!X68,HN!AB68,HN!AF68))=1)*(CHOOSE({1,2,3,4},HN!W68,HN!AA68,HN!AE68,HN!AI68)))</f>
        <v>0</v>
      </c>
      <c r="B68">
        <f>SUMPRODUCT((MONTH(CHOOSE({1,2,3,4},HN!T68,HN!X68,HN!AB68,HN!AF68))=2)*(CHOOSE({1,2,3,4},HN!W68,HN!AA68,HN!AE68,HN!AI68)))</f>
        <v>0</v>
      </c>
      <c r="C68">
        <f>SUMPRODUCT((MONTH(CHOOSE({1,2,3,4},HN!T68,HN!X68,HN!AB68,HN!AF68))=3)*(CHOOSE({1,2,3,4},HN!W68,HN!AA68,HN!AE68,HN!AI68)))</f>
        <v>0</v>
      </c>
      <c r="D68">
        <f>SUMPRODUCT((MONTH(CHOOSE({1,2,3,4},HN!T68,HN!X68,HN!AB68,HN!AF68))=4)*(CHOOSE({1,2,3,4},HN!W68,HN!AA68,HN!AE68,HN!AI68)))</f>
        <v>0</v>
      </c>
      <c r="E68">
        <f>SUMPRODUCT((MONTH(CHOOSE({1,2,3,4},HN!T68,HN!X68,HN!AB68,HN!AF68))=5)*(CHOOSE({1,2,3,4},HN!W68,HN!AA68,HN!AE68,HN!AI68)))</f>
        <v>0</v>
      </c>
      <c r="F68">
        <f>SUMPRODUCT((MONTH(CHOOSE({1,2,3,4},HN!T68,HN!X68,HN!AB68,HN!AF68))=6)*(CHOOSE({1,2,3,4},HN!W68,HN!AA68,HN!AE68,HN!AI68)))</f>
        <v>0</v>
      </c>
      <c r="G68">
        <f>SUMPRODUCT((MONTH(CHOOSE({1,2,3,4},HN!T68,HN!X68,HN!AB68,HN!AF68))=7)*(CHOOSE({1,2,3,4},HN!W68,HN!AA68,HN!AE68,HN!AI68)))</f>
        <v>0</v>
      </c>
      <c r="H68">
        <f>SUMPRODUCT((MONTH(CHOOSE({1,2,3,4},HN!T68,HN!X68,HN!AB68,HN!AF68))=8)*(CHOOSE({1,2,3,4},HN!W68,HN!AA68,HN!AE68,HN!AI68)))</f>
        <v>0</v>
      </c>
      <c r="I68">
        <f>SUMPRODUCT((MONTH(CHOOSE({1,2,3,4},HN!T68,HN!X68,HN!AB68,HN!AF68))=9)*(CHOOSE({1,2,3,4},HN!W68,HN!AA68,HN!AE68,HN!AI68)))</f>
        <v>0</v>
      </c>
      <c r="J68">
        <f>SUMPRODUCT((MONTH(CHOOSE({1,2,3,4},HN!T68,HN!X68,HN!AB68,HN!AF68))=10)*(CHOOSE({1,2,3,4},HN!W68,HN!AA68,HN!AE68,HN!AI68)))</f>
        <v>0</v>
      </c>
      <c r="K68">
        <f>SUMPRODUCT((MONTH(CHOOSE({1,2,3,4},HN!T68,HN!X68,HN!AB68,HN!AF68))=11)*(CHOOSE({1,2,3,4},HN!W68,HN!AA68,HN!AE68,HN!AI68)))</f>
        <v>0</v>
      </c>
      <c r="L68">
        <f>SUMPRODUCT((MONTH(CHOOSE({1,2,3,4},HN!T68,HN!X68,HN!AB68,HN!AF68))=12)*(CHOOSE({1,2,3,4},HN!W68,HN!AA68,HN!AE68,HN!AI68)))</f>
        <v>0</v>
      </c>
    </row>
    <row r="69" spans="1:12">
      <c r="A69">
        <f>SUMPRODUCT((MONTH(CHOOSE({1,2,3,4},HN!T69,HN!X69,HN!AB69,HN!AF69))=1)*(CHOOSE({1,2,3,4},HN!W69,HN!AA69,HN!AE69,HN!AI69)))</f>
        <v>0</v>
      </c>
      <c r="B69">
        <f>SUMPRODUCT((MONTH(CHOOSE({1,2,3,4},HN!T69,HN!X69,HN!AB69,HN!AF69))=2)*(CHOOSE({1,2,3,4},HN!W69,HN!AA69,HN!AE69,HN!AI69)))</f>
        <v>0</v>
      </c>
      <c r="C69">
        <f>SUMPRODUCT((MONTH(CHOOSE({1,2,3,4},HN!T69,HN!X69,HN!AB69,HN!AF69))=3)*(CHOOSE({1,2,3,4},HN!W69,HN!AA69,HN!AE69,HN!AI69)))</f>
        <v>0</v>
      </c>
      <c r="D69">
        <f>SUMPRODUCT((MONTH(CHOOSE({1,2,3,4},HN!T69,HN!X69,HN!AB69,HN!AF69))=4)*(CHOOSE({1,2,3,4},HN!W69,HN!AA69,HN!AE69,HN!AI69)))</f>
        <v>0</v>
      </c>
      <c r="E69">
        <f>SUMPRODUCT((MONTH(CHOOSE({1,2,3,4},HN!T69,HN!X69,HN!AB69,HN!AF69))=5)*(CHOOSE({1,2,3,4},HN!W69,HN!AA69,HN!AE69,HN!AI69)))</f>
        <v>0</v>
      </c>
      <c r="F69">
        <f>SUMPRODUCT((MONTH(CHOOSE({1,2,3,4},HN!T69,HN!X69,HN!AB69,HN!AF69))=6)*(CHOOSE({1,2,3,4},HN!W69,HN!AA69,HN!AE69,HN!AI69)))</f>
        <v>0</v>
      </c>
      <c r="G69">
        <f>SUMPRODUCT((MONTH(CHOOSE({1,2,3,4},HN!T69,HN!X69,HN!AB69,HN!AF69))=7)*(CHOOSE({1,2,3,4},HN!W69,HN!AA69,HN!AE69,HN!AI69)))</f>
        <v>0</v>
      </c>
      <c r="H69">
        <f>SUMPRODUCT((MONTH(CHOOSE({1,2,3,4},HN!T69,HN!X69,HN!AB69,HN!AF69))=8)*(CHOOSE({1,2,3,4},HN!W69,HN!AA69,HN!AE69,HN!AI69)))</f>
        <v>0</v>
      </c>
      <c r="I69">
        <f>SUMPRODUCT((MONTH(CHOOSE({1,2,3,4},HN!T69,HN!X69,HN!AB69,HN!AF69))=9)*(CHOOSE({1,2,3,4},HN!W69,HN!AA69,HN!AE69,HN!AI69)))</f>
        <v>0</v>
      </c>
      <c r="J69">
        <f>SUMPRODUCT((MONTH(CHOOSE({1,2,3,4},HN!T69,HN!X69,HN!AB69,HN!AF69))=10)*(CHOOSE({1,2,3,4},HN!W69,HN!AA69,HN!AE69,HN!AI69)))</f>
        <v>0</v>
      </c>
      <c r="K69">
        <f>SUMPRODUCT((MONTH(CHOOSE({1,2,3,4},HN!T69,HN!X69,HN!AB69,HN!AF69))=11)*(CHOOSE({1,2,3,4},HN!W69,HN!AA69,HN!AE69,HN!AI69)))</f>
        <v>0</v>
      </c>
      <c r="L69">
        <f>SUMPRODUCT((MONTH(CHOOSE({1,2,3,4},HN!T69,HN!X69,HN!AB69,HN!AF69))=12)*(CHOOSE({1,2,3,4},HN!W69,HN!AA69,HN!AE69,HN!AI69)))</f>
        <v>0</v>
      </c>
    </row>
    <row r="70" spans="1:12">
      <c r="A70">
        <f>SUMPRODUCT((MONTH(CHOOSE({1,2,3,4},HN!T70,HN!X70,HN!AB70,HN!AF70))=1)*(CHOOSE({1,2,3,4},HN!W70,HN!AA70,HN!AE70,HN!AI70)))</f>
        <v>0</v>
      </c>
      <c r="B70">
        <f>SUMPRODUCT((MONTH(CHOOSE({1,2,3,4},HN!T70,HN!X70,HN!AB70,HN!AF70))=2)*(CHOOSE({1,2,3,4},HN!W70,HN!AA70,HN!AE70,HN!AI70)))</f>
        <v>0</v>
      </c>
      <c r="C70">
        <f>SUMPRODUCT((MONTH(CHOOSE({1,2,3,4},HN!T70,HN!X70,HN!AB70,HN!AF70))=3)*(CHOOSE({1,2,3,4},HN!W70,HN!AA70,HN!AE70,HN!AI70)))</f>
        <v>0</v>
      </c>
      <c r="D70">
        <f>SUMPRODUCT((MONTH(CHOOSE({1,2,3,4},HN!T70,HN!X70,HN!AB70,HN!AF70))=4)*(CHOOSE({1,2,3,4},HN!W70,HN!AA70,HN!AE70,HN!AI70)))</f>
        <v>0</v>
      </c>
      <c r="E70">
        <f>SUMPRODUCT((MONTH(CHOOSE({1,2,3,4},HN!T70,HN!X70,HN!AB70,HN!AF70))=5)*(CHOOSE({1,2,3,4},HN!W70,HN!AA70,HN!AE70,HN!AI70)))</f>
        <v>0</v>
      </c>
      <c r="F70">
        <f>SUMPRODUCT((MONTH(CHOOSE({1,2,3,4},HN!T70,HN!X70,HN!AB70,HN!AF70))=6)*(CHOOSE({1,2,3,4},HN!W70,HN!AA70,HN!AE70,HN!AI70)))</f>
        <v>0</v>
      </c>
      <c r="G70">
        <f>SUMPRODUCT((MONTH(CHOOSE({1,2,3,4},HN!T70,HN!X70,HN!AB70,HN!AF70))=7)*(CHOOSE({1,2,3,4},HN!W70,HN!AA70,HN!AE70,HN!AI70)))</f>
        <v>0</v>
      </c>
      <c r="H70">
        <f>SUMPRODUCT((MONTH(CHOOSE({1,2,3,4},HN!T70,HN!X70,HN!AB70,HN!AF70))=8)*(CHOOSE({1,2,3,4},HN!W70,HN!AA70,HN!AE70,HN!AI70)))</f>
        <v>0</v>
      </c>
      <c r="I70">
        <f>SUMPRODUCT((MONTH(CHOOSE({1,2,3,4},HN!T70,HN!X70,HN!AB70,HN!AF70))=9)*(CHOOSE({1,2,3,4},HN!W70,HN!AA70,HN!AE70,HN!AI70)))</f>
        <v>0</v>
      </c>
      <c r="J70">
        <f>SUMPRODUCT((MONTH(CHOOSE({1,2,3,4},HN!T70,HN!X70,HN!AB70,HN!AF70))=10)*(CHOOSE({1,2,3,4},HN!W70,HN!AA70,HN!AE70,HN!AI70)))</f>
        <v>0</v>
      </c>
      <c r="K70">
        <f>SUMPRODUCT((MONTH(CHOOSE({1,2,3,4},HN!T70,HN!X70,HN!AB70,HN!AF70))=11)*(CHOOSE({1,2,3,4},HN!W70,HN!AA70,HN!AE70,HN!AI70)))</f>
        <v>0</v>
      </c>
      <c r="L70">
        <f>SUMPRODUCT((MONTH(CHOOSE({1,2,3,4},HN!T70,HN!X70,HN!AB70,HN!AF70))=12)*(CHOOSE({1,2,3,4},HN!W70,HN!AA70,HN!AE70,HN!AI70)))</f>
        <v>0</v>
      </c>
    </row>
    <row r="71" spans="1:12">
      <c r="A71">
        <f>SUMPRODUCT((MONTH(CHOOSE({1,2,3,4},HN!T71,HN!X71,HN!AB71,HN!AF71))=1)*(CHOOSE({1,2,3,4},HN!W71,HN!AA71,HN!AE71,HN!AI71)))</f>
        <v>0</v>
      </c>
      <c r="B71">
        <f>SUMPRODUCT((MONTH(CHOOSE({1,2,3,4},HN!T71,HN!X71,HN!AB71,HN!AF71))=2)*(CHOOSE({1,2,3,4},HN!W71,HN!AA71,HN!AE71,HN!AI71)))</f>
        <v>0</v>
      </c>
      <c r="C71">
        <f>SUMPRODUCT((MONTH(CHOOSE({1,2,3,4},HN!T71,HN!X71,HN!AB71,HN!AF71))=3)*(CHOOSE({1,2,3,4},HN!W71,HN!AA71,HN!AE71,HN!AI71)))</f>
        <v>0</v>
      </c>
      <c r="D71">
        <f>SUMPRODUCT((MONTH(CHOOSE({1,2,3,4},HN!T71,HN!X71,HN!AB71,HN!AF71))=4)*(CHOOSE({1,2,3,4},HN!W71,HN!AA71,HN!AE71,HN!AI71)))</f>
        <v>0</v>
      </c>
      <c r="E71">
        <f>SUMPRODUCT((MONTH(CHOOSE({1,2,3,4},HN!T71,HN!X71,HN!AB71,HN!AF71))=5)*(CHOOSE({1,2,3,4},HN!W71,HN!AA71,HN!AE71,HN!AI71)))</f>
        <v>0</v>
      </c>
      <c r="F71">
        <f>SUMPRODUCT((MONTH(CHOOSE({1,2,3,4},HN!T71,HN!X71,HN!AB71,HN!AF71))=6)*(CHOOSE({1,2,3,4},HN!W71,HN!AA71,HN!AE71,HN!AI71)))</f>
        <v>0</v>
      </c>
      <c r="G71">
        <f>SUMPRODUCT((MONTH(CHOOSE({1,2,3,4},HN!T71,HN!X71,HN!AB71,HN!AF71))=7)*(CHOOSE({1,2,3,4},HN!W71,HN!AA71,HN!AE71,HN!AI71)))</f>
        <v>0</v>
      </c>
      <c r="H71">
        <f>SUMPRODUCT((MONTH(CHOOSE({1,2,3,4},HN!T71,HN!X71,HN!AB71,HN!AF71))=8)*(CHOOSE({1,2,3,4},HN!W71,HN!AA71,HN!AE71,HN!AI71)))</f>
        <v>0</v>
      </c>
      <c r="I71">
        <f>SUMPRODUCT((MONTH(CHOOSE({1,2,3,4},HN!T71,HN!X71,HN!AB71,HN!AF71))=9)*(CHOOSE({1,2,3,4},HN!W71,HN!AA71,HN!AE71,HN!AI71)))</f>
        <v>0</v>
      </c>
      <c r="J71">
        <f>SUMPRODUCT((MONTH(CHOOSE({1,2,3,4},HN!T71,HN!X71,HN!AB71,HN!AF71))=10)*(CHOOSE({1,2,3,4},HN!W71,HN!AA71,HN!AE71,HN!AI71)))</f>
        <v>0</v>
      </c>
      <c r="K71">
        <f>SUMPRODUCT((MONTH(CHOOSE({1,2,3,4},HN!T71,HN!X71,HN!AB71,HN!AF71))=11)*(CHOOSE({1,2,3,4},HN!W71,HN!AA71,HN!AE71,HN!AI71)))</f>
        <v>0</v>
      </c>
      <c r="L71">
        <f>SUMPRODUCT((MONTH(CHOOSE({1,2,3,4},HN!T71,HN!X71,HN!AB71,HN!AF71))=12)*(CHOOSE({1,2,3,4},HN!W71,HN!AA71,HN!AE71,HN!AI71)))</f>
        <v>0</v>
      </c>
    </row>
    <row r="72" spans="1:12">
      <c r="A72">
        <f>SUMPRODUCT((MONTH(CHOOSE({1,2,3,4},HN!T72,HN!X72,HN!AB72,HN!AF72))=1)*(CHOOSE({1,2,3,4},HN!W72,HN!AA72,HN!AE72,HN!AI72)))</f>
        <v>0</v>
      </c>
      <c r="B72">
        <f>SUMPRODUCT((MONTH(CHOOSE({1,2,3,4},HN!T72,HN!X72,HN!AB72,HN!AF72))=2)*(CHOOSE({1,2,3,4},HN!W72,HN!AA72,HN!AE72,HN!AI72)))</f>
        <v>0</v>
      </c>
      <c r="C72">
        <f>SUMPRODUCT((MONTH(CHOOSE({1,2,3,4},HN!T72,HN!X72,HN!AB72,HN!AF72))=3)*(CHOOSE({1,2,3,4},HN!W72,HN!AA72,HN!AE72,HN!AI72)))</f>
        <v>0</v>
      </c>
      <c r="D72">
        <f>SUMPRODUCT((MONTH(CHOOSE({1,2,3,4},HN!T72,HN!X72,HN!AB72,HN!AF72))=4)*(CHOOSE({1,2,3,4},HN!W72,HN!AA72,HN!AE72,HN!AI72)))</f>
        <v>0</v>
      </c>
      <c r="E72">
        <f>SUMPRODUCT((MONTH(CHOOSE({1,2,3,4},HN!T72,HN!X72,HN!AB72,HN!AF72))=5)*(CHOOSE({1,2,3,4},HN!W72,HN!AA72,HN!AE72,HN!AI72)))</f>
        <v>0</v>
      </c>
      <c r="F72">
        <f>SUMPRODUCT((MONTH(CHOOSE({1,2,3,4},HN!T72,HN!X72,HN!AB72,HN!AF72))=6)*(CHOOSE({1,2,3,4},HN!W72,HN!AA72,HN!AE72,HN!AI72)))</f>
        <v>0</v>
      </c>
      <c r="G72">
        <f>SUMPRODUCT((MONTH(CHOOSE({1,2,3,4},HN!T72,HN!X72,HN!AB72,HN!AF72))=7)*(CHOOSE({1,2,3,4},HN!W72,HN!AA72,HN!AE72,HN!AI72)))</f>
        <v>0</v>
      </c>
      <c r="H72">
        <f>SUMPRODUCT((MONTH(CHOOSE({1,2,3,4},HN!T72,HN!X72,HN!AB72,HN!AF72))=8)*(CHOOSE({1,2,3,4},HN!W72,HN!AA72,HN!AE72,HN!AI72)))</f>
        <v>0</v>
      </c>
      <c r="I72">
        <f>SUMPRODUCT((MONTH(CHOOSE({1,2,3,4},HN!T72,HN!X72,HN!AB72,HN!AF72))=9)*(CHOOSE({1,2,3,4},HN!W72,HN!AA72,HN!AE72,HN!AI72)))</f>
        <v>0</v>
      </c>
      <c r="J72">
        <f>SUMPRODUCT((MONTH(CHOOSE({1,2,3,4},HN!T72,HN!X72,HN!AB72,HN!AF72))=10)*(CHOOSE({1,2,3,4},HN!W72,HN!AA72,HN!AE72,HN!AI72)))</f>
        <v>0</v>
      </c>
      <c r="K72">
        <f>SUMPRODUCT((MONTH(CHOOSE({1,2,3,4},HN!T72,HN!X72,HN!AB72,HN!AF72))=11)*(CHOOSE({1,2,3,4},HN!W72,HN!AA72,HN!AE72,HN!AI72)))</f>
        <v>0</v>
      </c>
      <c r="L72">
        <f>SUMPRODUCT((MONTH(CHOOSE({1,2,3,4},HN!T72,HN!X72,HN!AB72,HN!AF72))=12)*(CHOOSE({1,2,3,4},HN!W72,HN!AA72,HN!AE72,HN!AI72)))</f>
        <v>0</v>
      </c>
    </row>
    <row r="73" spans="1:12">
      <c r="A73">
        <f>SUMPRODUCT((MONTH(CHOOSE({1,2,3,4},HN!T73,HN!X73,HN!AB73,HN!AF73))=1)*(CHOOSE({1,2,3,4},HN!W73,HN!AA73,HN!AE73,HN!AI73)))</f>
        <v>0</v>
      </c>
      <c r="B73">
        <f>SUMPRODUCT((MONTH(CHOOSE({1,2,3,4},HN!T73,HN!X73,HN!AB73,HN!AF73))=2)*(CHOOSE({1,2,3,4},HN!W73,HN!AA73,HN!AE73,HN!AI73)))</f>
        <v>0</v>
      </c>
      <c r="C73">
        <f>SUMPRODUCT((MONTH(CHOOSE({1,2,3,4},HN!T73,HN!X73,HN!AB73,HN!AF73))=3)*(CHOOSE({1,2,3,4},HN!W73,HN!AA73,HN!AE73,HN!AI73)))</f>
        <v>0</v>
      </c>
      <c r="D73">
        <f>SUMPRODUCT((MONTH(CHOOSE({1,2,3,4},HN!T73,HN!X73,HN!AB73,HN!AF73))=4)*(CHOOSE({1,2,3,4},HN!W73,HN!AA73,HN!AE73,HN!AI73)))</f>
        <v>0</v>
      </c>
      <c r="E73">
        <f>SUMPRODUCT((MONTH(CHOOSE({1,2,3,4},HN!T73,HN!X73,HN!AB73,HN!AF73))=5)*(CHOOSE({1,2,3,4},HN!W73,HN!AA73,HN!AE73,HN!AI73)))</f>
        <v>0</v>
      </c>
      <c r="F73">
        <f>SUMPRODUCT((MONTH(CHOOSE({1,2,3,4},HN!T73,HN!X73,HN!AB73,HN!AF73))=6)*(CHOOSE({1,2,3,4},HN!W73,HN!AA73,HN!AE73,HN!AI73)))</f>
        <v>0</v>
      </c>
      <c r="G73">
        <f>SUMPRODUCT((MONTH(CHOOSE({1,2,3,4},HN!T73,HN!X73,HN!AB73,HN!AF73))=7)*(CHOOSE({1,2,3,4},HN!W73,HN!AA73,HN!AE73,HN!AI73)))</f>
        <v>0</v>
      </c>
      <c r="H73">
        <f>SUMPRODUCT((MONTH(CHOOSE({1,2,3,4},HN!T73,HN!X73,HN!AB73,HN!AF73))=8)*(CHOOSE({1,2,3,4},HN!W73,HN!AA73,HN!AE73,HN!AI73)))</f>
        <v>0</v>
      </c>
      <c r="I73">
        <f>SUMPRODUCT((MONTH(CHOOSE({1,2,3,4},HN!T73,HN!X73,HN!AB73,HN!AF73))=9)*(CHOOSE({1,2,3,4},HN!W73,HN!AA73,HN!AE73,HN!AI73)))</f>
        <v>0</v>
      </c>
      <c r="J73">
        <f>SUMPRODUCT((MONTH(CHOOSE({1,2,3,4},HN!T73,HN!X73,HN!AB73,HN!AF73))=10)*(CHOOSE({1,2,3,4},HN!W73,HN!AA73,HN!AE73,HN!AI73)))</f>
        <v>0</v>
      </c>
      <c r="K73">
        <f>SUMPRODUCT((MONTH(CHOOSE({1,2,3,4},HN!T73,HN!X73,HN!AB73,HN!AF73))=11)*(CHOOSE({1,2,3,4},HN!W73,HN!AA73,HN!AE73,HN!AI73)))</f>
        <v>0</v>
      </c>
      <c r="L73">
        <f>SUMPRODUCT((MONTH(CHOOSE({1,2,3,4},HN!T73,HN!X73,HN!AB73,HN!AF73))=12)*(CHOOSE({1,2,3,4},HN!W73,HN!AA73,HN!AE73,HN!AI73)))</f>
        <v>0</v>
      </c>
    </row>
    <row r="74" spans="1:12">
      <c r="A74">
        <f>SUMPRODUCT((MONTH(CHOOSE({1,2,3,4},HN!T74,HN!X74,HN!AB74,HN!AF74))=1)*(CHOOSE({1,2,3,4},HN!W74,HN!AA74,HN!AE74,HN!AI74)))</f>
        <v>0</v>
      </c>
      <c r="B74">
        <f>SUMPRODUCT((MONTH(CHOOSE({1,2,3,4},HN!T74,HN!X74,HN!AB74,HN!AF74))=2)*(CHOOSE({1,2,3,4},HN!W74,HN!AA74,HN!AE74,HN!AI74)))</f>
        <v>0</v>
      </c>
      <c r="C74">
        <f>SUMPRODUCT((MONTH(CHOOSE({1,2,3,4},HN!T74,HN!X74,HN!AB74,HN!AF74))=3)*(CHOOSE({1,2,3,4},HN!W74,HN!AA74,HN!AE74,HN!AI74)))</f>
        <v>0</v>
      </c>
      <c r="D74">
        <f>SUMPRODUCT((MONTH(CHOOSE({1,2,3,4},HN!T74,HN!X74,HN!AB74,HN!AF74))=4)*(CHOOSE({1,2,3,4},HN!W74,HN!AA74,HN!AE74,HN!AI74)))</f>
        <v>0</v>
      </c>
      <c r="E74">
        <f>SUMPRODUCT((MONTH(CHOOSE({1,2,3,4},HN!T74,HN!X74,HN!AB74,HN!AF74))=5)*(CHOOSE({1,2,3,4},HN!W74,HN!AA74,HN!AE74,HN!AI74)))</f>
        <v>0</v>
      </c>
      <c r="F74">
        <f>SUMPRODUCT((MONTH(CHOOSE({1,2,3,4},HN!T74,HN!X74,HN!AB74,HN!AF74))=6)*(CHOOSE({1,2,3,4},HN!W74,HN!AA74,HN!AE74,HN!AI74)))</f>
        <v>0</v>
      </c>
      <c r="G74">
        <f>SUMPRODUCT((MONTH(CHOOSE({1,2,3,4},HN!T74,HN!X74,HN!AB74,HN!AF74))=7)*(CHOOSE({1,2,3,4},HN!W74,HN!AA74,HN!AE74,HN!AI74)))</f>
        <v>0</v>
      </c>
      <c r="H74">
        <f>SUMPRODUCT((MONTH(CHOOSE({1,2,3,4},HN!T74,HN!X74,HN!AB74,HN!AF74))=8)*(CHOOSE({1,2,3,4},HN!W74,HN!AA74,HN!AE74,HN!AI74)))</f>
        <v>0</v>
      </c>
      <c r="I74">
        <f>SUMPRODUCT((MONTH(CHOOSE({1,2,3,4},HN!T74,HN!X74,HN!AB74,HN!AF74))=9)*(CHOOSE({1,2,3,4},HN!W74,HN!AA74,HN!AE74,HN!AI74)))</f>
        <v>0</v>
      </c>
      <c r="J74">
        <f>SUMPRODUCT((MONTH(CHOOSE({1,2,3,4},HN!T74,HN!X74,HN!AB74,HN!AF74))=10)*(CHOOSE({1,2,3,4},HN!W74,HN!AA74,HN!AE74,HN!AI74)))</f>
        <v>0</v>
      </c>
      <c r="K74">
        <f>SUMPRODUCT((MONTH(CHOOSE({1,2,3,4},HN!T74,HN!X74,HN!AB74,HN!AF74))=11)*(CHOOSE({1,2,3,4},HN!W74,HN!AA74,HN!AE74,HN!AI74)))</f>
        <v>0</v>
      </c>
      <c r="L74">
        <f>SUMPRODUCT((MONTH(CHOOSE({1,2,3,4},HN!T74,HN!X74,HN!AB74,HN!AF74))=12)*(CHOOSE({1,2,3,4},HN!W74,HN!AA74,HN!AE74,HN!AI74)))</f>
        <v>0</v>
      </c>
    </row>
    <row r="75" spans="1:12">
      <c r="A75">
        <f>SUMPRODUCT((MONTH(CHOOSE({1,2,3,4},HN!T75,HN!X75,HN!AB75,HN!AF75))=1)*(CHOOSE({1,2,3,4},HN!W75,HN!AA75,HN!AE75,HN!AI75)))</f>
        <v>0</v>
      </c>
      <c r="B75">
        <f>SUMPRODUCT((MONTH(CHOOSE({1,2,3,4},HN!T75,HN!X75,HN!AB75,HN!AF75))=2)*(CHOOSE({1,2,3,4},HN!W75,HN!AA75,HN!AE75,HN!AI75)))</f>
        <v>0</v>
      </c>
      <c r="C75">
        <f>SUMPRODUCT((MONTH(CHOOSE({1,2,3,4},HN!T75,HN!X75,HN!AB75,HN!AF75))=3)*(CHOOSE({1,2,3,4},HN!W75,HN!AA75,HN!AE75,HN!AI75)))</f>
        <v>0</v>
      </c>
      <c r="D75">
        <f>SUMPRODUCT((MONTH(CHOOSE({1,2,3,4},HN!T75,HN!X75,HN!AB75,HN!AF75))=4)*(CHOOSE({1,2,3,4},HN!W75,HN!AA75,HN!AE75,HN!AI75)))</f>
        <v>0</v>
      </c>
      <c r="E75">
        <f>SUMPRODUCT((MONTH(CHOOSE({1,2,3,4},HN!T75,HN!X75,HN!AB75,HN!AF75))=5)*(CHOOSE({1,2,3,4},HN!W75,HN!AA75,HN!AE75,HN!AI75)))</f>
        <v>0</v>
      </c>
      <c r="F75">
        <f>SUMPRODUCT((MONTH(CHOOSE({1,2,3,4},HN!T75,HN!X75,HN!AB75,HN!AF75))=6)*(CHOOSE({1,2,3,4},HN!W75,HN!AA75,HN!AE75,HN!AI75)))</f>
        <v>0</v>
      </c>
      <c r="G75">
        <f>SUMPRODUCT((MONTH(CHOOSE({1,2,3,4},HN!T75,HN!X75,HN!AB75,HN!AF75))=7)*(CHOOSE({1,2,3,4},HN!W75,HN!AA75,HN!AE75,HN!AI75)))</f>
        <v>0</v>
      </c>
      <c r="H75">
        <f>SUMPRODUCT((MONTH(CHOOSE({1,2,3,4},HN!T75,HN!X75,HN!AB75,HN!AF75))=8)*(CHOOSE({1,2,3,4},HN!W75,HN!AA75,HN!AE75,HN!AI75)))</f>
        <v>0</v>
      </c>
      <c r="I75">
        <f>SUMPRODUCT((MONTH(CHOOSE({1,2,3,4},HN!T75,HN!X75,HN!AB75,HN!AF75))=9)*(CHOOSE({1,2,3,4},HN!W75,HN!AA75,HN!AE75,HN!AI75)))</f>
        <v>0</v>
      </c>
      <c r="J75">
        <f>SUMPRODUCT((MONTH(CHOOSE({1,2,3,4},HN!T75,HN!X75,HN!AB75,HN!AF75))=10)*(CHOOSE({1,2,3,4},HN!W75,HN!AA75,HN!AE75,HN!AI75)))</f>
        <v>0</v>
      </c>
      <c r="K75">
        <f>SUMPRODUCT((MONTH(CHOOSE({1,2,3,4},HN!T75,HN!X75,HN!AB75,HN!AF75))=11)*(CHOOSE({1,2,3,4},HN!W75,HN!AA75,HN!AE75,HN!AI75)))</f>
        <v>0</v>
      </c>
      <c r="L75">
        <f>SUMPRODUCT((MONTH(CHOOSE({1,2,3,4},HN!T75,HN!X75,HN!AB75,HN!AF75))=12)*(CHOOSE({1,2,3,4},HN!W75,HN!AA75,HN!AE75,HN!AI75)))</f>
        <v>0</v>
      </c>
    </row>
    <row r="76" spans="1:12">
      <c r="A76">
        <f>SUMPRODUCT((MONTH(CHOOSE({1,2,3,4},HN!T76,HN!X76,HN!AB76,HN!AF76))=1)*(CHOOSE({1,2,3,4},HN!W76,HN!AA76,HN!AE76,HN!AI76)))</f>
        <v>0</v>
      </c>
      <c r="B76">
        <f>SUMPRODUCT((MONTH(CHOOSE({1,2,3,4},HN!T76,HN!X76,HN!AB76,HN!AF76))=2)*(CHOOSE({1,2,3,4},HN!W76,HN!AA76,HN!AE76,HN!AI76)))</f>
        <v>0</v>
      </c>
      <c r="C76">
        <f>SUMPRODUCT((MONTH(CHOOSE({1,2,3,4},HN!T76,HN!X76,HN!AB76,HN!AF76))=3)*(CHOOSE({1,2,3,4},HN!W76,HN!AA76,HN!AE76,HN!AI76)))</f>
        <v>0</v>
      </c>
      <c r="D76">
        <f>SUMPRODUCT((MONTH(CHOOSE({1,2,3,4},HN!T76,HN!X76,HN!AB76,HN!AF76))=4)*(CHOOSE({1,2,3,4},HN!W76,HN!AA76,HN!AE76,HN!AI76)))</f>
        <v>0</v>
      </c>
      <c r="E76">
        <f>SUMPRODUCT((MONTH(CHOOSE({1,2,3,4},HN!T76,HN!X76,HN!AB76,HN!AF76))=5)*(CHOOSE({1,2,3,4},HN!W76,HN!AA76,HN!AE76,HN!AI76)))</f>
        <v>0</v>
      </c>
      <c r="F76">
        <f>SUMPRODUCT((MONTH(CHOOSE({1,2,3,4},HN!T76,HN!X76,HN!AB76,HN!AF76))=6)*(CHOOSE({1,2,3,4},HN!W76,HN!AA76,HN!AE76,HN!AI76)))</f>
        <v>0</v>
      </c>
      <c r="G76">
        <f>SUMPRODUCT((MONTH(CHOOSE({1,2,3,4},HN!T76,HN!X76,HN!AB76,HN!AF76))=7)*(CHOOSE({1,2,3,4},HN!W76,HN!AA76,HN!AE76,HN!AI76)))</f>
        <v>0</v>
      </c>
      <c r="H76">
        <f>SUMPRODUCT((MONTH(CHOOSE({1,2,3,4},HN!T76,HN!X76,HN!AB76,HN!AF76))=8)*(CHOOSE({1,2,3,4},HN!W76,HN!AA76,HN!AE76,HN!AI76)))</f>
        <v>0</v>
      </c>
      <c r="I76">
        <f>SUMPRODUCT((MONTH(CHOOSE({1,2,3,4},HN!T76,HN!X76,HN!AB76,HN!AF76))=9)*(CHOOSE({1,2,3,4},HN!W76,HN!AA76,HN!AE76,HN!AI76)))</f>
        <v>0</v>
      </c>
      <c r="J76">
        <f>SUMPRODUCT((MONTH(CHOOSE({1,2,3,4},HN!T76,HN!X76,HN!AB76,HN!AF76))=10)*(CHOOSE({1,2,3,4},HN!W76,HN!AA76,HN!AE76,HN!AI76)))</f>
        <v>0</v>
      </c>
      <c r="K76">
        <f>SUMPRODUCT((MONTH(CHOOSE({1,2,3,4},HN!T76,HN!X76,HN!AB76,HN!AF76))=11)*(CHOOSE({1,2,3,4},HN!W76,HN!AA76,HN!AE76,HN!AI76)))</f>
        <v>0</v>
      </c>
      <c r="L76">
        <f>SUMPRODUCT((MONTH(CHOOSE({1,2,3,4},HN!T76,HN!X76,HN!AB76,HN!AF76))=12)*(CHOOSE({1,2,3,4},HN!W76,HN!AA76,HN!AE76,HN!AI76)))</f>
        <v>0</v>
      </c>
    </row>
    <row r="77" spans="1:12">
      <c r="A77">
        <f>SUMPRODUCT((MONTH(CHOOSE({1,2,3,4},HN!T77,HN!X77,HN!AB77,HN!AF77))=1)*(CHOOSE({1,2,3,4},HN!W77,HN!AA77,HN!AE77,HN!AI77)))</f>
        <v>0</v>
      </c>
      <c r="B77">
        <f>SUMPRODUCT((MONTH(CHOOSE({1,2,3,4},HN!T77,HN!X77,HN!AB77,HN!AF77))=2)*(CHOOSE({1,2,3,4},HN!W77,HN!AA77,HN!AE77,HN!AI77)))</f>
        <v>0</v>
      </c>
      <c r="C77">
        <f>SUMPRODUCT((MONTH(CHOOSE({1,2,3,4},HN!T77,HN!X77,HN!AB77,HN!AF77))=3)*(CHOOSE({1,2,3,4},HN!W77,HN!AA77,HN!AE77,HN!AI77)))</f>
        <v>0</v>
      </c>
      <c r="D77">
        <f>SUMPRODUCT((MONTH(CHOOSE({1,2,3,4},HN!T77,HN!X77,HN!AB77,HN!AF77))=4)*(CHOOSE({1,2,3,4},HN!W77,HN!AA77,HN!AE77,HN!AI77)))</f>
        <v>0</v>
      </c>
      <c r="E77">
        <f>SUMPRODUCT((MONTH(CHOOSE({1,2,3,4},HN!T77,HN!X77,HN!AB77,HN!AF77))=5)*(CHOOSE({1,2,3,4},HN!W77,HN!AA77,HN!AE77,HN!AI77)))</f>
        <v>0</v>
      </c>
      <c r="F77">
        <f>SUMPRODUCT((MONTH(CHOOSE({1,2,3,4},HN!T77,HN!X77,HN!AB77,HN!AF77))=6)*(CHOOSE({1,2,3,4},HN!W77,HN!AA77,HN!AE77,HN!AI77)))</f>
        <v>0</v>
      </c>
      <c r="G77">
        <f>SUMPRODUCT((MONTH(CHOOSE({1,2,3,4},HN!T77,HN!X77,HN!AB77,HN!AF77))=7)*(CHOOSE({1,2,3,4},HN!W77,HN!AA77,HN!AE77,HN!AI77)))</f>
        <v>0</v>
      </c>
      <c r="H77">
        <f>SUMPRODUCT((MONTH(CHOOSE({1,2,3,4},HN!T77,HN!X77,HN!AB77,HN!AF77))=8)*(CHOOSE({1,2,3,4},HN!W77,HN!AA77,HN!AE77,HN!AI77)))</f>
        <v>0</v>
      </c>
      <c r="I77">
        <f>SUMPRODUCT((MONTH(CHOOSE({1,2,3,4},HN!T77,HN!X77,HN!AB77,HN!AF77))=9)*(CHOOSE({1,2,3,4},HN!W77,HN!AA77,HN!AE77,HN!AI77)))</f>
        <v>0</v>
      </c>
      <c r="J77">
        <f>SUMPRODUCT((MONTH(CHOOSE({1,2,3,4},HN!T77,HN!X77,HN!AB77,HN!AF77))=10)*(CHOOSE({1,2,3,4},HN!W77,HN!AA77,HN!AE77,HN!AI77)))</f>
        <v>0</v>
      </c>
      <c r="K77">
        <f>SUMPRODUCT((MONTH(CHOOSE({1,2,3,4},HN!T77,HN!X77,HN!AB77,HN!AF77))=11)*(CHOOSE({1,2,3,4},HN!W77,HN!AA77,HN!AE77,HN!AI77)))</f>
        <v>0</v>
      </c>
      <c r="L77">
        <f>SUMPRODUCT((MONTH(CHOOSE({1,2,3,4},HN!T77,HN!X77,HN!AB77,HN!AF77))=12)*(CHOOSE({1,2,3,4},HN!W77,HN!AA77,HN!AE77,HN!AI77)))</f>
        <v>0</v>
      </c>
    </row>
    <row r="78" spans="1:12">
      <c r="A78">
        <f>SUMPRODUCT((MONTH(CHOOSE({1,2,3,4},HN!T78,HN!X78,HN!AB78,HN!AF78))=1)*(CHOOSE({1,2,3,4},HN!W78,HN!AA78,HN!AE78,HN!AI78)))</f>
        <v>0</v>
      </c>
      <c r="B78">
        <f>SUMPRODUCT((MONTH(CHOOSE({1,2,3,4},HN!T78,HN!X78,HN!AB78,HN!AF78))=2)*(CHOOSE({1,2,3,4},HN!W78,HN!AA78,HN!AE78,HN!AI78)))</f>
        <v>0</v>
      </c>
      <c r="C78">
        <f>SUMPRODUCT((MONTH(CHOOSE({1,2,3,4},HN!T78,HN!X78,HN!AB78,HN!AF78))=3)*(CHOOSE({1,2,3,4},HN!W78,HN!AA78,HN!AE78,HN!AI78)))</f>
        <v>0</v>
      </c>
      <c r="D78">
        <f>SUMPRODUCT((MONTH(CHOOSE({1,2,3,4},HN!T78,HN!X78,HN!AB78,HN!AF78))=4)*(CHOOSE({1,2,3,4},HN!W78,HN!AA78,HN!AE78,HN!AI78)))</f>
        <v>0</v>
      </c>
      <c r="E78">
        <f>SUMPRODUCT((MONTH(CHOOSE({1,2,3,4},HN!T78,HN!X78,HN!AB78,HN!AF78))=5)*(CHOOSE({1,2,3,4},HN!W78,HN!AA78,HN!AE78,HN!AI78)))</f>
        <v>0</v>
      </c>
      <c r="F78">
        <f>SUMPRODUCT((MONTH(CHOOSE({1,2,3,4},HN!T78,HN!X78,HN!AB78,HN!AF78))=6)*(CHOOSE({1,2,3,4},HN!W78,HN!AA78,HN!AE78,HN!AI78)))</f>
        <v>0</v>
      </c>
      <c r="G78">
        <f>SUMPRODUCT((MONTH(CHOOSE({1,2,3,4},HN!T78,HN!X78,HN!AB78,HN!AF78))=7)*(CHOOSE({1,2,3,4},HN!W78,HN!AA78,HN!AE78,HN!AI78)))</f>
        <v>0</v>
      </c>
      <c r="H78">
        <f>SUMPRODUCT((MONTH(CHOOSE({1,2,3,4},HN!T78,HN!X78,HN!AB78,HN!AF78))=8)*(CHOOSE({1,2,3,4},HN!W78,HN!AA78,HN!AE78,HN!AI78)))</f>
        <v>0</v>
      </c>
      <c r="I78">
        <f>SUMPRODUCT((MONTH(CHOOSE({1,2,3,4},HN!T78,HN!X78,HN!AB78,HN!AF78))=9)*(CHOOSE({1,2,3,4},HN!W78,HN!AA78,HN!AE78,HN!AI78)))</f>
        <v>0</v>
      </c>
      <c r="J78">
        <f>SUMPRODUCT((MONTH(CHOOSE({1,2,3,4},HN!T78,HN!X78,HN!AB78,HN!AF78))=10)*(CHOOSE({1,2,3,4},HN!W78,HN!AA78,HN!AE78,HN!AI78)))</f>
        <v>0</v>
      </c>
      <c r="K78">
        <f>SUMPRODUCT((MONTH(CHOOSE({1,2,3,4},HN!T78,HN!X78,HN!AB78,HN!AF78))=11)*(CHOOSE({1,2,3,4},HN!W78,HN!AA78,HN!AE78,HN!AI78)))</f>
        <v>0</v>
      </c>
      <c r="L78">
        <f>SUMPRODUCT((MONTH(CHOOSE({1,2,3,4},HN!T78,HN!X78,HN!AB78,HN!AF78))=12)*(CHOOSE({1,2,3,4},HN!W78,HN!AA78,HN!AE78,HN!AI78)))</f>
        <v>0</v>
      </c>
    </row>
    <row r="79" spans="1:12">
      <c r="A79">
        <f>SUMPRODUCT((MONTH(CHOOSE({1,2,3,4},HN!T79,HN!X79,HN!AB79,HN!AF79))=1)*(CHOOSE({1,2,3,4},HN!W79,HN!AA79,HN!AE79,HN!AI79)))</f>
        <v>0</v>
      </c>
      <c r="B79">
        <f>SUMPRODUCT((MONTH(CHOOSE({1,2,3,4},HN!T79,HN!X79,HN!AB79,HN!AF79))=2)*(CHOOSE({1,2,3,4},HN!W79,HN!AA79,HN!AE79,HN!AI79)))</f>
        <v>0</v>
      </c>
      <c r="C79">
        <f>SUMPRODUCT((MONTH(CHOOSE({1,2,3,4},HN!T79,HN!X79,HN!AB79,HN!AF79))=3)*(CHOOSE({1,2,3,4},HN!W79,HN!AA79,HN!AE79,HN!AI79)))</f>
        <v>0</v>
      </c>
      <c r="D79">
        <f>SUMPRODUCT((MONTH(CHOOSE({1,2,3,4},HN!T79,HN!X79,HN!AB79,HN!AF79))=4)*(CHOOSE({1,2,3,4},HN!W79,HN!AA79,HN!AE79,HN!AI79)))</f>
        <v>0</v>
      </c>
      <c r="E79">
        <f>SUMPRODUCT((MONTH(CHOOSE({1,2,3,4},HN!T79,HN!X79,HN!AB79,HN!AF79))=5)*(CHOOSE({1,2,3,4},HN!W79,HN!AA79,HN!AE79,HN!AI79)))</f>
        <v>0</v>
      </c>
      <c r="F79">
        <f>SUMPRODUCT((MONTH(CHOOSE({1,2,3,4},HN!T79,HN!X79,HN!AB79,HN!AF79))=6)*(CHOOSE({1,2,3,4},HN!W79,HN!AA79,HN!AE79,HN!AI79)))</f>
        <v>0</v>
      </c>
      <c r="G79">
        <f>SUMPRODUCT((MONTH(CHOOSE({1,2,3,4},HN!T79,HN!X79,HN!AB79,HN!AF79))=7)*(CHOOSE({1,2,3,4},HN!W79,HN!AA79,HN!AE79,HN!AI79)))</f>
        <v>0</v>
      </c>
      <c r="H79">
        <f>SUMPRODUCT((MONTH(CHOOSE({1,2,3,4},HN!T79,HN!X79,HN!AB79,HN!AF79))=8)*(CHOOSE({1,2,3,4},HN!W79,HN!AA79,HN!AE79,HN!AI79)))</f>
        <v>0</v>
      </c>
      <c r="I79">
        <f>SUMPRODUCT((MONTH(CHOOSE({1,2,3,4},HN!T79,HN!X79,HN!AB79,HN!AF79))=9)*(CHOOSE({1,2,3,4},HN!W79,HN!AA79,HN!AE79,HN!AI79)))</f>
        <v>0</v>
      </c>
      <c r="J79">
        <f>SUMPRODUCT((MONTH(CHOOSE({1,2,3,4},HN!T79,HN!X79,HN!AB79,HN!AF79))=10)*(CHOOSE({1,2,3,4},HN!W79,HN!AA79,HN!AE79,HN!AI79)))</f>
        <v>0</v>
      </c>
      <c r="K79">
        <f>SUMPRODUCT((MONTH(CHOOSE({1,2,3,4},HN!T79,HN!X79,HN!AB79,HN!AF79))=11)*(CHOOSE({1,2,3,4},HN!W79,HN!AA79,HN!AE79,HN!AI79)))</f>
        <v>0</v>
      </c>
      <c r="L79">
        <f>SUMPRODUCT((MONTH(CHOOSE({1,2,3,4},HN!T79,HN!X79,HN!AB79,HN!AF79))=12)*(CHOOSE({1,2,3,4},HN!W79,HN!AA79,HN!AE79,HN!AI79)))</f>
        <v>0</v>
      </c>
    </row>
    <row r="80" spans="1:12">
      <c r="A80">
        <f>SUMPRODUCT((MONTH(CHOOSE({1,2,3,4},HN!T80,HN!X80,HN!AB80,HN!AF80))=1)*(CHOOSE({1,2,3,4},HN!W80,HN!AA80,HN!AE80,HN!AI80)))</f>
        <v>0</v>
      </c>
      <c r="B80">
        <f>SUMPRODUCT((MONTH(CHOOSE({1,2,3,4},HN!T80,HN!X80,HN!AB80,HN!AF80))=2)*(CHOOSE({1,2,3,4},HN!W80,HN!AA80,HN!AE80,HN!AI80)))</f>
        <v>0</v>
      </c>
      <c r="C80">
        <f>SUMPRODUCT((MONTH(CHOOSE({1,2,3,4},HN!T80,HN!X80,HN!AB80,HN!AF80))=3)*(CHOOSE({1,2,3,4},HN!W80,HN!AA80,HN!AE80,HN!AI80)))</f>
        <v>0</v>
      </c>
      <c r="D80">
        <f>SUMPRODUCT((MONTH(CHOOSE({1,2,3,4},HN!T80,HN!X80,HN!AB80,HN!AF80))=4)*(CHOOSE({1,2,3,4},HN!W80,HN!AA80,HN!AE80,HN!AI80)))</f>
        <v>0</v>
      </c>
      <c r="E80">
        <f>SUMPRODUCT((MONTH(CHOOSE({1,2,3,4},HN!T80,HN!X80,HN!AB80,HN!AF80))=5)*(CHOOSE({1,2,3,4},HN!W80,HN!AA80,HN!AE80,HN!AI80)))</f>
        <v>0</v>
      </c>
      <c r="F80">
        <f>SUMPRODUCT((MONTH(CHOOSE({1,2,3,4},HN!T80,HN!X80,HN!AB80,HN!AF80))=6)*(CHOOSE({1,2,3,4},HN!W80,HN!AA80,HN!AE80,HN!AI80)))</f>
        <v>0</v>
      </c>
      <c r="G80">
        <f>SUMPRODUCT((MONTH(CHOOSE({1,2,3,4},HN!T80,HN!X80,HN!AB80,HN!AF80))=7)*(CHOOSE({1,2,3,4},HN!W80,HN!AA80,HN!AE80,HN!AI80)))</f>
        <v>0</v>
      </c>
      <c r="H80">
        <f>SUMPRODUCT((MONTH(CHOOSE({1,2,3,4},HN!T80,HN!X80,HN!AB80,HN!AF80))=8)*(CHOOSE({1,2,3,4},HN!W80,HN!AA80,HN!AE80,HN!AI80)))</f>
        <v>0</v>
      </c>
      <c r="I80">
        <f>SUMPRODUCT((MONTH(CHOOSE({1,2,3,4},HN!T80,HN!X80,HN!AB80,HN!AF80))=9)*(CHOOSE({1,2,3,4},HN!W80,HN!AA80,HN!AE80,HN!AI80)))</f>
        <v>0</v>
      </c>
      <c r="J80">
        <f>SUMPRODUCT((MONTH(CHOOSE({1,2,3,4},HN!T80,HN!X80,HN!AB80,HN!AF80))=10)*(CHOOSE({1,2,3,4},HN!W80,HN!AA80,HN!AE80,HN!AI80)))</f>
        <v>0</v>
      </c>
      <c r="K80">
        <f>SUMPRODUCT((MONTH(CHOOSE({1,2,3,4},HN!T80,HN!X80,HN!AB80,HN!AF80))=11)*(CHOOSE({1,2,3,4},HN!W80,HN!AA80,HN!AE80,HN!AI80)))</f>
        <v>0</v>
      </c>
      <c r="L80">
        <f>SUMPRODUCT((MONTH(CHOOSE({1,2,3,4},HN!T80,HN!X80,HN!AB80,HN!AF80))=12)*(CHOOSE({1,2,3,4},HN!W80,HN!AA80,HN!AE80,HN!AI80)))</f>
        <v>0</v>
      </c>
    </row>
    <row r="81" spans="1:12">
      <c r="A81">
        <f>SUMPRODUCT((MONTH(CHOOSE({1,2,3,4},HN!T81,HN!X81,HN!AB81,HN!AF81))=1)*(CHOOSE({1,2,3,4},HN!W81,HN!AA81,HN!AE81,HN!AI81)))</f>
        <v>0</v>
      </c>
      <c r="B81">
        <f>SUMPRODUCT((MONTH(CHOOSE({1,2,3,4},HN!T81,HN!X81,HN!AB81,HN!AF81))=2)*(CHOOSE({1,2,3,4},HN!W81,HN!AA81,HN!AE81,HN!AI81)))</f>
        <v>0</v>
      </c>
      <c r="C81">
        <f>SUMPRODUCT((MONTH(CHOOSE({1,2,3,4},HN!T81,HN!X81,HN!AB81,HN!AF81))=3)*(CHOOSE({1,2,3,4},HN!W81,HN!AA81,HN!AE81,HN!AI81)))</f>
        <v>0</v>
      </c>
      <c r="D81">
        <f>SUMPRODUCT((MONTH(CHOOSE({1,2,3,4},HN!T81,HN!X81,HN!AB81,HN!AF81))=4)*(CHOOSE({1,2,3,4},HN!W81,HN!AA81,HN!AE81,HN!AI81)))</f>
        <v>0</v>
      </c>
      <c r="E81">
        <f>SUMPRODUCT((MONTH(CHOOSE({1,2,3,4},HN!T81,HN!X81,HN!AB81,HN!AF81))=5)*(CHOOSE({1,2,3,4},HN!W81,HN!AA81,HN!AE81,HN!AI81)))</f>
        <v>0</v>
      </c>
      <c r="F81">
        <f>SUMPRODUCT((MONTH(CHOOSE({1,2,3,4},HN!T81,HN!X81,HN!AB81,HN!AF81))=6)*(CHOOSE({1,2,3,4},HN!W81,HN!AA81,HN!AE81,HN!AI81)))</f>
        <v>0</v>
      </c>
      <c r="G81">
        <f>SUMPRODUCT((MONTH(CHOOSE({1,2,3,4},HN!T81,HN!X81,HN!AB81,HN!AF81))=7)*(CHOOSE({1,2,3,4},HN!W81,HN!AA81,HN!AE81,HN!AI81)))</f>
        <v>0</v>
      </c>
      <c r="H81">
        <f>SUMPRODUCT((MONTH(CHOOSE({1,2,3,4},HN!T81,HN!X81,HN!AB81,HN!AF81))=8)*(CHOOSE({1,2,3,4},HN!W81,HN!AA81,HN!AE81,HN!AI81)))</f>
        <v>0</v>
      </c>
      <c r="I81">
        <f>SUMPRODUCT((MONTH(CHOOSE({1,2,3,4},HN!T81,HN!X81,HN!AB81,HN!AF81))=9)*(CHOOSE({1,2,3,4},HN!W81,HN!AA81,HN!AE81,HN!AI81)))</f>
        <v>0</v>
      </c>
      <c r="J81">
        <f>SUMPRODUCT((MONTH(CHOOSE({1,2,3,4},HN!T81,HN!X81,HN!AB81,HN!AF81))=10)*(CHOOSE({1,2,3,4},HN!W81,HN!AA81,HN!AE81,HN!AI81)))</f>
        <v>0</v>
      </c>
      <c r="K81">
        <f>SUMPRODUCT((MONTH(CHOOSE({1,2,3,4},HN!T81,HN!X81,HN!AB81,HN!AF81))=11)*(CHOOSE({1,2,3,4},HN!W81,HN!AA81,HN!AE81,HN!AI81)))</f>
        <v>0</v>
      </c>
      <c r="L81">
        <f>SUMPRODUCT((MONTH(CHOOSE({1,2,3,4},HN!T81,HN!X81,HN!AB81,HN!AF81))=12)*(CHOOSE({1,2,3,4},HN!W81,HN!AA81,HN!AE81,HN!AI81)))</f>
        <v>0</v>
      </c>
    </row>
    <row r="82" spans="1:12">
      <c r="A82">
        <f>SUMPRODUCT((MONTH(CHOOSE({1,2,3,4},HN!T82,HN!X82,HN!AB82,HN!AF82))=1)*(CHOOSE({1,2,3,4},HN!W82,HN!AA82,HN!AE82,HN!AI82)))</f>
        <v>0</v>
      </c>
      <c r="B82">
        <f>SUMPRODUCT((MONTH(CHOOSE({1,2,3,4},HN!T82,HN!X82,HN!AB82,HN!AF82))=2)*(CHOOSE({1,2,3,4},HN!W82,HN!AA82,HN!AE82,HN!AI82)))</f>
        <v>0</v>
      </c>
      <c r="C82">
        <f>SUMPRODUCT((MONTH(CHOOSE({1,2,3,4},HN!T82,HN!X82,HN!AB82,HN!AF82))=3)*(CHOOSE({1,2,3,4},HN!W82,HN!AA82,HN!AE82,HN!AI82)))</f>
        <v>0</v>
      </c>
      <c r="D82">
        <f>SUMPRODUCT((MONTH(CHOOSE({1,2,3,4},HN!T82,HN!X82,HN!AB82,HN!AF82))=4)*(CHOOSE({1,2,3,4},HN!W82,HN!AA82,HN!AE82,HN!AI82)))</f>
        <v>0</v>
      </c>
      <c r="E82">
        <f>SUMPRODUCT((MONTH(CHOOSE({1,2,3,4},HN!T82,HN!X82,HN!AB82,HN!AF82))=5)*(CHOOSE({1,2,3,4},HN!W82,HN!AA82,HN!AE82,HN!AI82)))</f>
        <v>0</v>
      </c>
      <c r="F82">
        <f>SUMPRODUCT((MONTH(CHOOSE({1,2,3,4},HN!T82,HN!X82,HN!AB82,HN!AF82))=6)*(CHOOSE({1,2,3,4},HN!W82,HN!AA82,HN!AE82,HN!AI82)))</f>
        <v>0</v>
      </c>
      <c r="G82">
        <f>SUMPRODUCT((MONTH(CHOOSE({1,2,3,4},HN!T82,HN!X82,HN!AB82,HN!AF82))=7)*(CHOOSE({1,2,3,4},HN!W82,HN!AA82,HN!AE82,HN!AI82)))</f>
        <v>0</v>
      </c>
      <c r="H82">
        <f>SUMPRODUCT((MONTH(CHOOSE({1,2,3,4},HN!T82,HN!X82,HN!AB82,HN!AF82))=8)*(CHOOSE({1,2,3,4},HN!W82,HN!AA82,HN!AE82,HN!AI82)))</f>
        <v>0</v>
      </c>
      <c r="I82">
        <f>SUMPRODUCT((MONTH(CHOOSE({1,2,3,4},HN!T82,HN!X82,HN!AB82,HN!AF82))=9)*(CHOOSE({1,2,3,4},HN!W82,HN!AA82,HN!AE82,HN!AI82)))</f>
        <v>0</v>
      </c>
      <c r="J82">
        <f>SUMPRODUCT((MONTH(CHOOSE({1,2,3,4},HN!T82,HN!X82,HN!AB82,HN!AF82))=10)*(CHOOSE({1,2,3,4},HN!W82,HN!AA82,HN!AE82,HN!AI82)))</f>
        <v>0</v>
      </c>
      <c r="K82">
        <f>SUMPRODUCT((MONTH(CHOOSE({1,2,3,4},HN!T82,HN!X82,HN!AB82,HN!AF82))=11)*(CHOOSE({1,2,3,4},HN!W82,HN!AA82,HN!AE82,HN!AI82)))</f>
        <v>0</v>
      </c>
      <c r="L82">
        <f>SUMPRODUCT((MONTH(CHOOSE({1,2,3,4},HN!T82,HN!X82,HN!AB82,HN!AF82))=12)*(CHOOSE({1,2,3,4},HN!W82,HN!AA82,HN!AE82,HN!AI82)))</f>
        <v>0</v>
      </c>
    </row>
    <row r="83" spans="1:12">
      <c r="A83">
        <f>SUMPRODUCT((MONTH(CHOOSE({1,2,3,4},HN!T83,HN!X83,HN!AB83,HN!AF83))=1)*(CHOOSE({1,2,3,4},HN!W83,HN!AA83,HN!AE83,HN!AI83)))</f>
        <v>0</v>
      </c>
      <c r="B83">
        <f>SUMPRODUCT((MONTH(CHOOSE({1,2,3,4},HN!T83,HN!X83,HN!AB83,HN!AF83))=2)*(CHOOSE({1,2,3,4},HN!W83,HN!AA83,HN!AE83,HN!AI83)))</f>
        <v>0</v>
      </c>
      <c r="C83">
        <f>SUMPRODUCT((MONTH(CHOOSE({1,2,3,4},HN!T83,HN!X83,HN!AB83,HN!AF83))=3)*(CHOOSE({1,2,3,4},HN!W83,HN!AA83,HN!AE83,HN!AI83)))</f>
        <v>0</v>
      </c>
      <c r="D83">
        <f>SUMPRODUCT((MONTH(CHOOSE({1,2,3,4},HN!T83,HN!X83,HN!AB83,HN!AF83))=4)*(CHOOSE({1,2,3,4},HN!W83,HN!AA83,HN!AE83,HN!AI83)))</f>
        <v>0</v>
      </c>
      <c r="E83">
        <f>SUMPRODUCT((MONTH(CHOOSE({1,2,3,4},HN!T83,HN!X83,HN!AB83,HN!AF83))=5)*(CHOOSE({1,2,3,4},HN!W83,HN!AA83,HN!AE83,HN!AI83)))</f>
        <v>0</v>
      </c>
      <c r="F83">
        <f>SUMPRODUCT((MONTH(CHOOSE({1,2,3,4},HN!T83,HN!X83,HN!AB83,HN!AF83))=6)*(CHOOSE({1,2,3,4},HN!W83,HN!AA83,HN!AE83,HN!AI83)))</f>
        <v>0</v>
      </c>
      <c r="G83">
        <f>SUMPRODUCT((MONTH(CHOOSE({1,2,3,4},HN!T83,HN!X83,HN!AB83,HN!AF83))=7)*(CHOOSE({1,2,3,4},HN!W83,HN!AA83,HN!AE83,HN!AI83)))</f>
        <v>0</v>
      </c>
      <c r="H83">
        <f>SUMPRODUCT((MONTH(CHOOSE({1,2,3,4},HN!T83,HN!X83,HN!AB83,HN!AF83))=8)*(CHOOSE({1,2,3,4},HN!W83,HN!AA83,HN!AE83,HN!AI83)))</f>
        <v>0</v>
      </c>
      <c r="I83">
        <f>SUMPRODUCT((MONTH(CHOOSE({1,2,3,4},HN!T83,HN!X83,HN!AB83,HN!AF83))=9)*(CHOOSE({1,2,3,4},HN!W83,HN!AA83,HN!AE83,HN!AI83)))</f>
        <v>0</v>
      </c>
      <c r="J83">
        <f>SUMPRODUCT((MONTH(CHOOSE({1,2,3,4},HN!T83,HN!X83,HN!AB83,HN!AF83))=10)*(CHOOSE({1,2,3,4},HN!W83,HN!AA83,HN!AE83,HN!AI83)))</f>
        <v>0</v>
      </c>
      <c r="K83">
        <f>SUMPRODUCT((MONTH(CHOOSE({1,2,3,4},HN!T83,HN!X83,HN!AB83,HN!AF83))=11)*(CHOOSE({1,2,3,4},HN!W83,HN!AA83,HN!AE83,HN!AI83)))</f>
        <v>0</v>
      </c>
      <c r="L83">
        <f>SUMPRODUCT((MONTH(CHOOSE({1,2,3,4},HN!T83,HN!X83,HN!AB83,HN!AF83))=12)*(CHOOSE({1,2,3,4},HN!W83,HN!AA83,HN!AE83,HN!AI83)))</f>
        <v>0</v>
      </c>
    </row>
    <row r="84" spans="1:12">
      <c r="A84">
        <f>SUMPRODUCT((MONTH(CHOOSE({1,2,3,4},HN!T84,HN!X84,HN!AB84,HN!AF84))=1)*(CHOOSE({1,2,3,4},HN!W84,HN!AA84,HN!AE84,HN!AI84)))</f>
        <v>0</v>
      </c>
      <c r="B84">
        <f>SUMPRODUCT((MONTH(CHOOSE({1,2,3,4},HN!T84,HN!X84,HN!AB84,HN!AF84))=2)*(CHOOSE({1,2,3,4},HN!W84,HN!AA84,HN!AE84,HN!AI84)))</f>
        <v>0</v>
      </c>
      <c r="C84">
        <f>SUMPRODUCT((MONTH(CHOOSE({1,2,3,4},HN!T84,HN!X84,HN!AB84,HN!AF84))=3)*(CHOOSE({1,2,3,4},HN!W84,HN!AA84,HN!AE84,HN!AI84)))</f>
        <v>0</v>
      </c>
      <c r="D84">
        <f>SUMPRODUCT((MONTH(CHOOSE({1,2,3,4},HN!T84,HN!X84,HN!AB84,HN!AF84))=4)*(CHOOSE({1,2,3,4},HN!W84,HN!AA84,HN!AE84,HN!AI84)))</f>
        <v>0</v>
      </c>
      <c r="E84">
        <f>SUMPRODUCT((MONTH(CHOOSE({1,2,3,4},HN!T84,HN!X84,HN!AB84,HN!AF84))=5)*(CHOOSE({1,2,3,4},HN!W84,HN!AA84,HN!AE84,HN!AI84)))</f>
        <v>0</v>
      </c>
      <c r="F84">
        <f>SUMPRODUCT((MONTH(CHOOSE({1,2,3,4},HN!T84,HN!X84,HN!AB84,HN!AF84))=6)*(CHOOSE({1,2,3,4},HN!W84,HN!AA84,HN!AE84,HN!AI84)))</f>
        <v>0</v>
      </c>
      <c r="G84">
        <f>SUMPRODUCT((MONTH(CHOOSE({1,2,3,4},HN!T84,HN!X84,HN!AB84,HN!AF84))=7)*(CHOOSE({1,2,3,4},HN!W84,HN!AA84,HN!AE84,HN!AI84)))</f>
        <v>0</v>
      </c>
      <c r="H84">
        <f>SUMPRODUCT((MONTH(CHOOSE({1,2,3,4},HN!T84,HN!X84,HN!AB84,HN!AF84))=8)*(CHOOSE({1,2,3,4},HN!W84,HN!AA84,HN!AE84,HN!AI84)))</f>
        <v>0</v>
      </c>
      <c r="I84">
        <f>SUMPRODUCT((MONTH(CHOOSE({1,2,3,4},HN!T84,HN!X84,HN!AB84,HN!AF84))=9)*(CHOOSE({1,2,3,4},HN!W84,HN!AA84,HN!AE84,HN!AI84)))</f>
        <v>0</v>
      </c>
      <c r="J84">
        <f>SUMPRODUCT((MONTH(CHOOSE({1,2,3,4},HN!T84,HN!X84,HN!AB84,HN!AF84))=10)*(CHOOSE({1,2,3,4},HN!W84,HN!AA84,HN!AE84,HN!AI84)))</f>
        <v>0</v>
      </c>
      <c r="K84">
        <f>SUMPRODUCT((MONTH(CHOOSE({1,2,3,4},HN!T84,HN!X84,HN!AB84,HN!AF84))=11)*(CHOOSE({1,2,3,4},HN!W84,HN!AA84,HN!AE84,HN!AI84)))</f>
        <v>0</v>
      </c>
      <c r="L84">
        <f>SUMPRODUCT((MONTH(CHOOSE({1,2,3,4},HN!T84,HN!X84,HN!AB84,HN!AF84))=12)*(CHOOSE({1,2,3,4},HN!W84,HN!AA84,HN!AE84,HN!AI84)))</f>
        <v>0</v>
      </c>
    </row>
    <row r="85" spans="1:12">
      <c r="A85">
        <f>SUMPRODUCT((MONTH(CHOOSE({1,2,3,4},HN!T85,HN!X85,HN!AB85,HN!AF85))=1)*(CHOOSE({1,2,3,4},HN!W85,HN!AA85,HN!AE85,HN!AI85)))</f>
        <v>0</v>
      </c>
      <c r="B85">
        <f>SUMPRODUCT((MONTH(CHOOSE({1,2,3,4},HN!T85,HN!X85,HN!AB85,HN!AF85))=2)*(CHOOSE({1,2,3,4},HN!W85,HN!AA85,HN!AE85,HN!AI85)))</f>
        <v>0</v>
      </c>
      <c r="C85">
        <f>SUMPRODUCT((MONTH(CHOOSE({1,2,3,4},HN!T85,HN!X85,HN!AB85,HN!AF85))=3)*(CHOOSE({1,2,3,4},HN!W85,HN!AA85,HN!AE85,HN!AI85)))</f>
        <v>0</v>
      </c>
      <c r="D85">
        <f>SUMPRODUCT((MONTH(CHOOSE({1,2,3,4},HN!T85,HN!X85,HN!AB85,HN!AF85))=4)*(CHOOSE({1,2,3,4},HN!W85,HN!AA85,HN!AE85,HN!AI85)))</f>
        <v>0</v>
      </c>
      <c r="E85">
        <f>SUMPRODUCT((MONTH(CHOOSE({1,2,3,4},HN!T85,HN!X85,HN!AB85,HN!AF85))=5)*(CHOOSE({1,2,3,4},HN!W85,HN!AA85,HN!AE85,HN!AI85)))</f>
        <v>0</v>
      </c>
      <c r="F85">
        <f>SUMPRODUCT((MONTH(CHOOSE({1,2,3,4},HN!T85,HN!X85,HN!AB85,HN!AF85))=6)*(CHOOSE({1,2,3,4},HN!W85,HN!AA85,HN!AE85,HN!AI85)))</f>
        <v>0</v>
      </c>
      <c r="G85">
        <f>SUMPRODUCT((MONTH(CHOOSE({1,2,3,4},HN!T85,HN!X85,HN!AB85,HN!AF85))=7)*(CHOOSE({1,2,3,4},HN!W85,HN!AA85,HN!AE85,HN!AI85)))</f>
        <v>0</v>
      </c>
      <c r="H85">
        <f>SUMPRODUCT((MONTH(CHOOSE({1,2,3,4},HN!T85,HN!X85,HN!AB85,HN!AF85))=8)*(CHOOSE({1,2,3,4},HN!W85,HN!AA85,HN!AE85,HN!AI85)))</f>
        <v>0</v>
      </c>
      <c r="I85">
        <f>SUMPRODUCT((MONTH(CHOOSE({1,2,3,4},HN!T85,HN!X85,HN!AB85,HN!AF85))=9)*(CHOOSE({1,2,3,4},HN!W85,HN!AA85,HN!AE85,HN!AI85)))</f>
        <v>0</v>
      </c>
      <c r="J85">
        <f>SUMPRODUCT((MONTH(CHOOSE({1,2,3,4},HN!T85,HN!X85,HN!AB85,HN!AF85))=10)*(CHOOSE({1,2,3,4},HN!W85,HN!AA85,HN!AE85,HN!AI85)))</f>
        <v>0</v>
      </c>
      <c r="K85">
        <f>SUMPRODUCT((MONTH(CHOOSE({1,2,3,4},HN!T85,HN!X85,HN!AB85,HN!AF85))=11)*(CHOOSE({1,2,3,4},HN!W85,HN!AA85,HN!AE85,HN!AI85)))</f>
        <v>0</v>
      </c>
      <c r="L85">
        <f>SUMPRODUCT((MONTH(CHOOSE({1,2,3,4},HN!T85,HN!X85,HN!AB85,HN!AF85))=12)*(CHOOSE({1,2,3,4},HN!W85,HN!AA85,HN!AE85,HN!AI85)))</f>
        <v>0</v>
      </c>
    </row>
    <row r="86" spans="1:12">
      <c r="A86">
        <f>SUMPRODUCT((MONTH(CHOOSE({1,2,3,4},HN!T86,HN!X86,HN!AB86,HN!AF86))=1)*(CHOOSE({1,2,3,4},HN!W86,HN!AA86,HN!AE86,HN!AI86)))</f>
        <v>0</v>
      </c>
      <c r="B86">
        <f>SUMPRODUCT((MONTH(CHOOSE({1,2,3,4},HN!T86,HN!X86,HN!AB86,HN!AF86))=2)*(CHOOSE({1,2,3,4},HN!W86,HN!AA86,HN!AE86,HN!AI86)))</f>
        <v>0</v>
      </c>
      <c r="C86">
        <f>SUMPRODUCT((MONTH(CHOOSE({1,2,3,4},HN!T86,HN!X86,HN!AB86,HN!AF86))=3)*(CHOOSE({1,2,3,4},HN!W86,HN!AA86,HN!AE86,HN!AI86)))</f>
        <v>0</v>
      </c>
      <c r="D86">
        <f>SUMPRODUCT((MONTH(CHOOSE({1,2,3,4},HN!T86,HN!X86,HN!AB86,HN!AF86))=4)*(CHOOSE({1,2,3,4},HN!W86,HN!AA86,HN!AE86,HN!AI86)))</f>
        <v>0</v>
      </c>
      <c r="E86">
        <f>SUMPRODUCT((MONTH(CHOOSE({1,2,3,4},HN!T86,HN!X86,HN!AB86,HN!AF86))=5)*(CHOOSE({1,2,3,4},HN!W86,HN!AA86,HN!AE86,HN!AI86)))</f>
        <v>0</v>
      </c>
      <c r="F86">
        <f>SUMPRODUCT((MONTH(CHOOSE({1,2,3,4},HN!T86,HN!X86,HN!AB86,HN!AF86))=6)*(CHOOSE({1,2,3,4},HN!W86,HN!AA86,HN!AE86,HN!AI86)))</f>
        <v>0</v>
      </c>
      <c r="G86">
        <f>SUMPRODUCT((MONTH(CHOOSE({1,2,3,4},HN!T86,HN!X86,HN!AB86,HN!AF86))=7)*(CHOOSE({1,2,3,4},HN!W86,HN!AA86,HN!AE86,HN!AI86)))</f>
        <v>0</v>
      </c>
      <c r="H86">
        <f>SUMPRODUCT((MONTH(CHOOSE({1,2,3,4},HN!T86,HN!X86,HN!AB86,HN!AF86))=8)*(CHOOSE({1,2,3,4},HN!W86,HN!AA86,HN!AE86,HN!AI86)))</f>
        <v>0</v>
      </c>
      <c r="I86">
        <f>SUMPRODUCT((MONTH(CHOOSE({1,2,3,4},HN!T86,HN!X86,HN!AB86,HN!AF86))=9)*(CHOOSE({1,2,3,4},HN!W86,HN!AA86,HN!AE86,HN!AI86)))</f>
        <v>0</v>
      </c>
      <c r="J86">
        <f>SUMPRODUCT((MONTH(CHOOSE({1,2,3,4},HN!T86,HN!X86,HN!AB86,HN!AF86))=10)*(CHOOSE({1,2,3,4},HN!W86,HN!AA86,HN!AE86,HN!AI86)))</f>
        <v>0</v>
      </c>
      <c r="K86">
        <f>SUMPRODUCT((MONTH(CHOOSE({1,2,3,4},HN!T86,HN!X86,HN!AB86,HN!AF86))=11)*(CHOOSE({1,2,3,4},HN!W86,HN!AA86,HN!AE86,HN!AI86)))</f>
        <v>0</v>
      </c>
      <c r="L86">
        <f>SUMPRODUCT((MONTH(CHOOSE({1,2,3,4},HN!T86,HN!X86,HN!AB86,HN!AF86))=12)*(CHOOSE({1,2,3,4},HN!W86,HN!AA86,HN!AE86,HN!AI86)))</f>
        <v>0</v>
      </c>
    </row>
    <row r="87" spans="1:12">
      <c r="A87">
        <f>SUMPRODUCT((MONTH(CHOOSE({1,2,3,4},HN!T87,HN!X87,HN!AB87,HN!AF87))=1)*(CHOOSE({1,2,3,4},HN!W87,HN!AA87,HN!AE87,HN!AI87)))</f>
        <v>0</v>
      </c>
      <c r="B87">
        <f>SUMPRODUCT((MONTH(CHOOSE({1,2,3,4},HN!T87,HN!X87,HN!AB87,HN!AF87))=2)*(CHOOSE({1,2,3,4},HN!W87,HN!AA87,HN!AE87,HN!AI87)))</f>
        <v>0</v>
      </c>
      <c r="C87">
        <f>SUMPRODUCT((MONTH(CHOOSE({1,2,3,4},HN!T87,HN!X87,HN!AB87,HN!AF87))=3)*(CHOOSE({1,2,3,4},HN!W87,HN!AA87,HN!AE87,HN!AI87)))</f>
        <v>0</v>
      </c>
      <c r="D87">
        <f>SUMPRODUCT((MONTH(CHOOSE({1,2,3,4},HN!T87,HN!X87,HN!AB87,HN!AF87))=4)*(CHOOSE({1,2,3,4},HN!W87,HN!AA87,HN!AE87,HN!AI87)))</f>
        <v>0</v>
      </c>
      <c r="E87">
        <f>SUMPRODUCT((MONTH(CHOOSE({1,2,3,4},HN!T87,HN!X87,HN!AB87,HN!AF87))=5)*(CHOOSE({1,2,3,4},HN!W87,HN!AA87,HN!AE87,HN!AI87)))</f>
        <v>0</v>
      </c>
      <c r="F87">
        <f>SUMPRODUCT((MONTH(CHOOSE({1,2,3,4},HN!T87,HN!X87,HN!AB87,HN!AF87))=6)*(CHOOSE({1,2,3,4},HN!W87,HN!AA87,HN!AE87,HN!AI87)))</f>
        <v>0</v>
      </c>
      <c r="G87">
        <f>SUMPRODUCT((MONTH(CHOOSE({1,2,3,4},HN!T87,HN!X87,HN!AB87,HN!AF87))=7)*(CHOOSE({1,2,3,4},HN!W87,HN!AA87,HN!AE87,HN!AI87)))</f>
        <v>0</v>
      </c>
      <c r="H87">
        <f>SUMPRODUCT((MONTH(CHOOSE({1,2,3,4},HN!T87,HN!X87,HN!AB87,HN!AF87))=8)*(CHOOSE({1,2,3,4},HN!W87,HN!AA87,HN!AE87,HN!AI87)))</f>
        <v>0</v>
      </c>
      <c r="I87">
        <f>SUMPRODUCT((MONTH(CHOOSE({1,2,3,4},HN!T87,HN!X87,HN!AB87,HN!AF87))=9)*(CHOOSE({1,2,3,4},HN!W87,HN!AA87,HN!AE87,HN!AI87)))</f>
        <v>0</v>
      </c>
      <c r="J87">
        <f>SUMPRODUCT((MONTH(CHOOSE({1,2,3,4},HN!T87,HN!X87,HN!AB87,HN!AF87))=10)*(CHOOSE({1,2,3,4},HN!W87,HN!AA87,HN!AE87,HN!AI87)))</f>
        <v>0</v>
      </c>
      <c r="K87">
        <f>SUMPRODUCT((MONTH(CHOOSE({1,2,3,4},HN!T87,HN!X87,HN!AB87,HN!AF87))=11)*(CHOOSE({1,2,3,4},HN!W87,HN!AA87,HN!AE87,HN!AI87)))</f>
        <v>0</v>
      </c>
      <c r="L87">
        <f>SUMPRODUCT((MONTH(CHOOSE({1,2,3,4},HN!T87,HN!X87,HN!AB87,HN!AF87))=12)*(CHOOSE({1,2,3,4},HN!W87,HN!AA87,HN!AE87,HN!AI87)))</f>
        <v>0</v>
      </c>
    </row>
    <row r="88" spans="1:12">
      <c r="A88">
        <f>SUMPRODUCT((MONTH(CHOOSE({1,2,3,4},HN!T88,HN!X88,HN!AB88,HN!AF88))=1)*(CHOOSE({1,2,3,4},HN!W88,HN!AA88,HN!AE88,HN!AI88)))</f>
        <v>0</v>
      </c>
      <c r="B88">
        <f>SUMPRODUCT((MONTH(CHOOSE({1,2,3,4},HN!T88,HN!X88,HN!AB88,HN!AF88))=2)*(CHOOSE({1,2,3,4},HN!W88,HN!AA88,HN!AE88,HN!AI88)))</f>
        <v>0</v>
      </c>
      <c r="C88">
        <f>SUMPRODUCT((MONTH(CHOOSE({1,2,3,4},HN!T88,HN!X88,HN!AB88,HN!AF88))=3)*(CHOOSE({1,2,3,4},HN!W88,HN!AA88,HN!AE88,HN!AI88)))</f>
        <v>0</v>
      </c>
      <c r="D88">
        <f>SUMPRODUCT((MONTH(CHOOSE({1,2,3,4},HN!T88,HN!X88,HN!AB88,HN!AF88))=4)*(CHOOSE({1,2,3,4},HN!W88,HN!AA88,HN!AE88,HN!AI88)))</f>
        <v>0</v>
      </c>
      <c r="E88">
        <f>SUMPRODUCT((MONTH(CHOOSE({1,2,3,4},HN!T88,HN!X88,HN!AB88,HN!AF88))=5)*(CHOOSE({1,2,3,4},HN!W88,HN!AA88,HN!AE88,HN!AI88)))</f>
        <v>0</v>
      </c>
      <c r="F88">
        <f>SUMPRODUCT((MONTH(CHOOSE({1,2,3,4},HN!T88,HN!X88,HN!AB88,HN!AF88))=6)*(CHOOSE({1,2,3,4},HN!W88,HN!AA88,HN!AE88,HN!AI88)))</f>
        <v>0</v>
      </c>
      <c r="G88">
        <f>SUMPRODUCT((MONTH(CHOOSE({1,2,3,4},HN!T88,HN!X88,HN!AB88,HN!AF88))=7)*(CHOOSE({1,2,3,4},HN!W88,HN!AA88,HN!AE88,HN!AI88)))</f>
        <v>0</v>
      </c>
      <c r="H88">
        <f>SUMPRODUCT((MONTH(CHOOSE({1,2,3,4},HN!T88,HN!X88,HN!AB88,HN!AF88))=8)*(CHOOSE({1,2,3,4},HN!W88,HN!AA88,HN!AE88,HN!AI88)))</f>
        <v>0</v>
      </c>
      <c r="I88">
        <f>SUMPRODUCT((MONTH(CHOOSE({1,2,3,4},HN!T88,HN!X88,HN!AB88,HN!AF88))=9)*(CHOOSE({1,2,3,4},HN!W88,HN!AA88,HN!AE88,HN!AI88)))</f>
        <v>0</v>
      </c>
      <c r="J88">
        <f>SUMPRODUCT((MONTH(CHOOSE({1,2,3,4},HN!T88,HN!X88,HN!AB88,HN!AF88))=10)*(CHOOSE({1,2,3,4},HN!W88,HN!AA88,HN!AE88,HN!AI88)))</f>
        <v>0</v>
      </c>
      <c r="K88">
        <f>SUMPRODUCT((MONTH(CHOOSE({1,2,3,4},HN!T88,HN!X88,HN!AB88,HN!AF88))=11)*(CHOOSE({1,2,3,4},HN!W88,HN!AA88,HN!AE88,HN!AI88)))</f>
        <v>0</v>
      </c>
      <c r="L88">
        <f>SUMPRODUCT((MONTH(CHOOSE({1,2,3,4},HN!T88,HN!X88,HN!AB88,HN!AF88))=12)*(CHOOSE({1,2,3,4},HN!W88,HN!AA88,HN!AE88,HN!AI88)))</f>
        <v>0</v>
      </c>
    </row>
    <row r="89" spans="1:12">
      <c r="A89">
        <f>SUMPRODUCT((MONTH(CHOOSE({1,2,3,4},HN!T89,HN!X89,HN!AB89,HN!AF89))=1)*(CHOOSE({1,2,3,4},HN!W89,HN!AA89,HN!AE89,HN!AI89)))</f>
        <v>0</v>
      </c>
      <c r="B89">
        <f>SUMPRODUCT((MONTH(CHOOSE({1,2,3,4},HN!T89,HN!X89,HN!AB89,HN!AF89))=2)*(CHOOSE({1,2,3,4},HN!W89,HN!AA89,HN!AE89,HN!AI89)))</f>
        <v>0</v>
      </c>
      <c r="C89">
        <f>SUMPRODUCT((MONTH(CHOOSE({1,2,3,4},HN!T89,HN!X89,HN!AB89,HN!AF89))=3)*(CHOOSE({1,2,3,4},HN!W89,HN!AA89,HN!AE89,HN!AI89)))</f>
        <v>0</v>
      </c>
      <c r="D89">
        <f>SUMPRODUCT((MONTH(CHOOSE({1,2,3,4},HN!T89,HN!X89,HN!AB89,HN!AF89))=4)*(CHOOSE({1,2,3,4},HN!W89,HN!AA89,HN!AE89,HN!AI89)))</f>
        <v>0</v>
      </c>
      <c r="E89">
        <f>SUMPRODUCT((MONTH(CHOOSE({1,2,3,4},HN!T89,HN!X89,HN!AB89,HN!AF89))=5)*(CHOOSE({1,2,3,4},HN!W89,HN!AA89,HN!AE89,HN!AI89)))</f>
        <v>0</v>
      </c>
      <c r="F89">
        <f>SUMPRODUCT((MONTH(CHOOSE({1,2,3,4},HN!T89,HN!X89,HN!AB89,HN!AF89))=6)*(CHOOSE({1,2,3,4},HN!W89,HN!AA89,HN!AE89,HN!AI89)))</f>
        <v>0</v>
      </c>
      <c r="G89">
        <f>SUMPRODUCT((MONTH(CHOOSE({1,2,3,4},HN!T89,HN!X89,HN!AB89,HN!AF89))=7)*(CHOOSE({1,2,3,4},HN!W89,HN!AA89,HN!AE89,HN!AI89)))</f>
        <v>0</v>
      </c>
      <c r="H89">
        <f>SUMPRODUCT((MONTH(CHOOSE({1,2,3,4},HN!T89,HN!X89,HN!AB89,HN!AF89))=8)*(CHOOSE({1,2,3,4},HN!W89,HN!AA89,HN!AE89,HN!AI89)))</f>
        <v>0</v>
      </c>
      <c r="I89">
        <f>SUMPRODUCT((MONTH(CHOOSE({1,2,3,4},HN!T89,HN!X89,HN!AB89,HN!AF89))=9)*(CHOOSE({1,2,3,4},HN!W89,HN!AA89,HN!AE89,HN!AI89)))</f>
        <v>0</v>
      </c>
      <c r="J89">
        <f>SUMPRODUCT((MONTH(CHOOSE({1,2,3,4},HN!T89,HN!X89,HN!AB89,HN!AF89))=10)*(CHOOSE({1,2,3,4},HN!W89,HN!AA89,HN!AE89,HN!AI89)))</f>
        <v>0</v>
      </c>
      <c r="K89">
        <f>SUMPRODUCT((MONTH(CHOOSE({1,2,3,4},HN!T89,HN!X89,HN!AB89,HN!AF89))=11)*(CHOOSE({1,2,3,4},HN!W89,HN!AA89,HN!AE89,HN!AI89)))</f>
        <v>0</v>
      </c>
      <c r="L89">
        <f>SUMPRODUCT((MONTH(CHOOSE({1,2,3,4},HN!T89,HN!X89,HN!AB89,HN!AF89))=12)*(CHOOSE({1,2,3,4},HN!W89,HN!AA89,HN!AE89,HN!AI89)))</f>
        <v>0</v>
      </c>
    </row>
    <row r="90" spans="1:12">
      <c r="A90">
        <f>SUMPRODUCT((MONTH(CHOOSE({1,2,3,4},HN!T90,HN!X90,HN!AB90,HN!AF90))=1)*(CHOOSE({1,2,3,4},HN!W90,HN!AA90,HN!AE90,HN!AI90)))</f>
        <v>0</v>
      </c>
      <c r="B90">
        <f>SUMPRODUCT((MONTH(CHOOSE({1,2,3,4},HN!T90,HN!X90,HN!AB90,HN!AF90))=2)*(CHOOSE({1,2,3,4},HN!W90,HN!AA90,HN!AE90,HN!AI90)))</f>
        <v>0</v>
      </c>
      <c r="C90">
        <f>SUMPRODUCT((MONTH(CHOOSE({1,2,3,4},HN!T90,HN!X90,HN!AB90,HN!AF90))=3)*(CHOOSE({1,2,3,4},HN!W90,HN!AA90,HN!AE90,HN!AI90)))</f>
        <v>0</v>
      </c>
      <c r="D90">
        <f>SUMPRODUCT((MONTH(CHOOSE({1,2,3,4},HN!T90,HN!X90,HN!AB90,HN!AF90))=4)*(CHOOSE({1,2,3,4},HN!W90,HN!AA90,HN!AE90,HN!AI90)))</f>
        <v>0</v>
      </c>
      <c r="E90">
        <f>SUMPRODUCT((MONTH(CHOOSE({1,2,3,4},HN!T90,HN!X90,HN!AB90,HN!AF90))=5)*(CHOOSE({1,2,3,4},HN!W90,HN!AA90,HN!AE90,HN!AI90)))</f>
        <v>0</v>
      </c>
      <c r="F90">
        <f>SUMPRODUCT((MONTH(CHOOSE({1,2,3,4},HN!T90,HN!X90,HN!AB90,HN!AF90))=6)*(CHOOSE({1,2,3,4},HN!W90,HN!AA90,HN!AE90,HN!AI90)))</f>
        <v>0</v>
      </c>
      <c r="G90">
        <f>SUMPRODUCT((MONTH(CHOOSE({1,2,3,4},HN!T90,HN!X90,HN!AB90,HN!AF90))=7)*(CHOOSE({1,2,3,4},HN!W90,HN!AA90,HN!AE90,HN!AI90)))</f>
        <v>0</v>
      </c>
      <c r="H90">
        <f>SUMPRODUCT((MONTH(CHOOSE({1,2,3,4},HN!T90,HN!X90,HN!AB90,HN!AF90))=8)*(CHOOSE({1,2,3,4},HN!W90,HN!AA90,HN!AE90,HN!AI90)))</f>
        <v>0</v>
      </c>
      <c r="I90">
        <f>SUMPRODUCT((MONTH(CHOOSE({1,2,3,4},HN!T90,HN!X90,HN!AB90,HN!AF90))=9)*(CHOOSE({1,2,3,4},HN!W90,HN!AA90,HN!AE90,HN!AI90)))</f>
        <v>0</v>
      </c>
      <c r="J90">
        <f>SUMPRODUCT((MONTH(CHOOSE({1,2,3,4},HN!T90,HN!X90,HN!AB90,HN!AF90))=10)*(CHOOSE({1,2,3,4},HN!W90,HN!AA90,HN!AE90,HN!AI90)))</f>
        <v>0</v>
      </c>
      <c r="K90">
        <f>SUMPRODUCT((MONTH(CHOOSE({1,2,3,4},HN!T90,HN!X90,HN!AB90,HN!AF90))=11)*(CHOOSE({1,2,3,4},HN!W90,HN!AA90,HN!AE90,HN!AI90)))</f>
        <v>0</v>
      </c>
      <c r="L90">
        <f>SUMPRODUCT((MONTH(CHOOSE({1,2,3,4},HN!T90,HN!X90,HN!AB90,HN!AF90))=12)*(CHOOSE({1,2,3,4},HN!W90,HN!AA90,HN!AE90,HN!AI90)))</f>
        <v>0</v>
      </c>
    </row>
    <row r="91" spans="1:12">
      <c r="A91">
        <f>SUMPRODUCT((MONTH(CHOOSE({1,2,3,4},HN!T91,HN!X91,HN!AB91,HN!AF91))=1)*(CHOOSE({1,2,3,4},HN!W91,HN!AA91,HN!AE91,HN!AI91)))</f>
        <v>0</v>
      </c>
      <c r="B91">
        <f>SUMPRODUCT((MONTH(CHOOSE({1,2,3,4},HN!T91,HN!X91,HN!AB91,HN!AF91))=2)*(CHOOSE({1,2,3,4},HN!W91,HN!AA91,HN!AE91,HN!AI91)))</f>
        <v>0</v>
      </c>
      <c r="C91">
        <f>SUMPRODUCT((MONTH(CHOOSE({1,2,3,4},HN!T91,HN!X91,HN!AB91,HN!AF91))=3)*(CHOOSE({1,2,3,4},HN!W91,HN!AA91,HN!AE91,HN!AI91)))</f>
        <v>0</v>
      </c>
      <c r="D91">
        <f>SUMPRODUCT((MONTH(CHOOSE({1,2,3,4},HN!T91,HN!X91,HN!AB91,HN!AF91))=4)*(CHOOSE({1,2,3,4},HN!W91,HN!AA91,HN!AE91,HN!AI91)))</f>
        <v>0</v>
      </c>
      <c r="E91">
        <f>SUMPRODUCT((MONTH(CHOOSE({1,2,3,4},HN!T91,HN!X91,HN!AB91,HN!AF91))=5)*(CHOOSE({1,2,3,4},HN!W91,HN!AA91,HN!AE91,HN!AI91)))</f>
        <v>0</v>
      </c>
      <c r="F91">
        <f>SUMPRODUCT((MONTH(CHOOSE({1,2,3,4},HN!T91,HN!X91,HN!AB91,HN!AF91))=6)*(CHOOSE({1,2,3,4},HN!W91,HN!AA91,HN!AE91,HN!AI91)))</f>
        <v>0</v>
      </c>
      <c r="G91">
        <f>SUMPRODUCT((MONTH(CHOOSE({1,2,3,4},HN!T91,HN!X91,HN!AB91,HN!AF91))=7)*(CHOOSE({1,2,3,4},HN!W91,HN!AA91,HN!AE91,HN!AI91)))</f>
        <v>0</v>
      </c>
      <c r="H91">
        <f>SUMPRODUCT((MONTH(CHOOSE({1,2,3,4},HN!T91,HN!X91,HN!AB91,HN!AF91))=8)*(CHOOSE({1,2,3,4},HN!W91,HN!AA91,HN!AE91,HN!AI91)))</f>
        <v>0</v>
      </c>
      <c r="I91">
        <f>SUMPRODUCT((MONTH(CHOOSE({1,2,3,4},HN!T91,HN!X91,HN!AB91,HN!AF91))=9)*(CHOOSE({1,2,3,4},HN!W91,HN!AA91,HN!AE91,HN!AI91)))</f>
        <v>0</v>
      </c>
      <c r="J91">
        <f>SUMPRODUCT((MONTH(CHOOSE({1,2,3,4},HN!T91,HN!X91,HN!AB91,HN!AF91))=10)*(CHOOSE({1,2,3,4},HN!W91,HN!AA91,HN!AE91,HN!AI91)))</f>
        <v>0</v>
      </c>
      <c r="K91">
        <f>SUMPRODUCT((MONTH(CHOOSE({1,2,3,4},HN!T91,HN!X91,HN!AB91,HN!AF91))=11)*(CHOOSE({1,2,3,4},HN!W91,HN!AA91,HN!AE91,HN!AI91)))</f>
        <v>0</v>
      </c>
      <c r="L91">
        <f>SUMPRODUCT((MONTH(CHOOSE({1,2,3,4},HN!T91,HN!X91,HN!AB91,HN!AF91))=12)*(CHOOSE({1,2,3,4},HN!W91,HN!AA91,HN!AE91,HN!AI91)))</f>
        <v>0</v>
      </c>
    </row>
    <row r="92" spans="1:12">
      <c r="A92">
        <f>SUMPRODUCT((MONTH(CHOOSE({1,2,3,4},HN!T92,HN!X92,HN!AB92,HN!AF92))=1)*(CHOOSE({1,2,3,4},HN!W92,HN!AA92,HN!AE92,HN!AI92)))</f>
        <v>0</v>
      </c>
      <c r="B92">
        <f>SUMPRODUCT((MONTH(CHOOSE({1,2,3,4},HN!T92,HN!X92,HN!AB92,HN!AF92))=2)*(CHOOSE({1,2,3,4},HN!W92,HN!AA92,HN!AE92,HN!AI92)))</f>
        <v>0</v>
      </c>
      <c r="C92">
        <f>SUMPRODUCT((MONTH(CHOOSE({1,2,3,4},HN!T92,HN!X92,HN!AB92,HN!AF92))=3)*(CHOOSE({1,2,3,4},HN!W92,HN!AA92,HN!AE92,HN!AI92)))</f>
        <v>0</v>
      </c>
      <c r="D92">
        <f>SUMPRODUCT((MONTH(CHOOSE({1,2,3,4},HN!T92,HN!X92,HN!AB92,HN!AF92))=4)*(CHOOSE({1,2,3,4},HN!W92,HN!AA92,HN!AE92,HN!AI92)))</f>
        <v>0</v>
      </c>
      <c r="E92">
        <f>SUMPRODUCT((MONTH(CHOOSE({1,2,3,4},HN!T92,HN!X92,HN!AB92,HN!AF92))=5)*(CHOOSE({1,2,3,4},HN!W92,HN!AA92,HN!AE92,HN!AI92)))</f>
        <v>0</v>
      </c>
      <c r="F92">
        <f>SUMPRODUCT((MONTH(CHOOSE({1,2,3,4},HN!T92,HN!X92,HN!AB92,HN!AF92))=6)*(CHOOSE({1,2,3,4},HN!W92,HN!AA92,HN!AE92,HN!AI92)))</f>
        <v>0</v>
      </c>
      <c r="G92">
        <f>SUMPRODUCT((MONTH(CHOOSE({1,2,3,4},HN!T92,HN!X92,HN!AB92,HN!AF92))=7)*(CHOOSE({1,2,3,4},HN!W92,HN!AA92,HN!AE92,HN!AI92)))</f>
        <v>0</v>
      </c>
      <c r="H92">
        <f>SUMPRODUCT((MONTH(CHOOSE({1,2,3,4},HN!T92,HN!X92,HN!AB92,HN!AF92))=8)*(CHOOSE({1,2,3,4},HN!W92,HN!AA92,HN!AE92,HN!AI92)))</f>
        <v>0</v>
      </c>
      <c r="I92">
        <f>SUMPRODUCT((MONTH(CHOOSE({1,2,3,4},HN!T92,HN!X92,HN!AB92,HN!AF92))=9)*(CHOOSE({1,2,3,4},HN!W92,HN!AA92,HN!AE92,HN!AI92)))</f>
        <v>0</v>
      </c>
      <c r="J92">
        <f>SUMPRODUCT((MONTH(CHOOSE({1,2,3,4},HN!T92,HN!X92,HN!AB92,HN!AF92))=10)*(CHOOSE({1,2,3,4},HN!W92,HN!AA92,HN!AE92,HN!AI92)))</f>
        <v>0</v>
      </c>
      <c r="K92">
        <f>SUMPRODUCT((MONTH(CHOOSE({1,2,3,4},HN!T92,HN!X92,HN!AB92,HN!AF92))=11)*(CHOOSE({1,2,3,4},HN!W92,HN!AA92,HN!AE92,HN!AI92)))</f>
        <v>0</v>
      </c>
      <c r="L92">
        <f>SUMPRODUCT((MONTH(CHOOSE({1,2,3,4},HN!T92,HN!X92,HN!AB92,HN!AF92))=12)*(CHOOSE({1,2,3,4},HN!W92,HN!AA92,HN!AE92,HN!AI92)))</f>
        <v>0</v>
      </c>
    </row>
    <row r="93" spans="1:12">
      <c r="A93">
        <f>SUMPRODUCT((MONTH(CHOOSE({1,2,3,4},HN!T93,HN!X93,HN!AB93,HN!AF93))=1)*(CHOOSE({1,2,3,4},HN!W93,HN!AA93,HN!AE93,HN!AI93)))</f>
        <v>0</v>
      </c>
      <c r="B93">
        <f>SUMPRODUCT((MONTH(CHOOSE({1,2,3,4},HN!T93,HN!X93,HN!AB93,HN!AF93))=2)*(CHOOSE({1,2,3,4},HN!W93,HN!AA93,HN!AE93,HN!AI93)))</f>
        <v>0</v>
      </c>
      <c r="C93">
        <f>SUMPRODUCT((MONTH(CHOOSE({1,2,3,4},HN!T93,HN!X93,HN!AB93,HN!AF93))=3)*(CHOOSE({1,2,3,4},HN!W93,HN!AA93,HN!AE93,HN!AI93)))</f>
        <v>0</v>
      </c>
      <c r="D93">
        <f>SUMPRODUCT((MONTH(CHOOSE({1,2,3,4},HN!T93,HN!X93,HN!AB93,HN!AF93))=4)*(CHOOSE({1,2,3,4},HN!W93,HN!AA93,HN!AE93,HN!AI93)))</f>
        <v>0</v>
      </c>
      <c r="E93">
        <f>SUMPRODUCT((MONTH(CHOOSE({1,2,3,4},HN!T93,HN!X93,HN!AB93,HN!AF93))=5)*(CHOOSE({1,2,3,4},HN!W93,HN!AA93,HN!AE93,HN!AI93)))</f>
        <v>0</v>
      </c>
      <c r="F93">
        <f>SUMPRODUCT((MONTH(CHOOSE({1,2,3,4},HN!T93,HN!X93,HN!AB93,HN!AF93))=6)*(CHOOSE({1,2,3,4},HN!W93,HN!AA93,HN!AE93,HN!AI93)))</f>
        <v>0</v>
      </c>
      <c r="G93">
        <f>SUMPRODUCT((MONTH(CHOOSE({1,2,3,4},HN!T93,HN!X93,HN!AB93,HN!AF93))=7)*(CHOOSE({1,2,3,4},HN!W93,HN!AA93,HN!AE93,HN!AI93)))</f>
        <v>0</v>
      </c>
      <c r="H93">
        <f>SUMPRODUCT((MONTH(CHOOSE({1,2,3,4},HN!T93,HN!X93,HN!AB93,HN!AF93))=8)*(CHOOSE({1,2,3,4},HN!W93,HN!AA93,HN!AE93,HN!AI93)))</f>
        <v>0</v>
      </c>
      <c r="I93">
        <f>SUMPRODUCT((MONTH(CHOOSE({1,2,3,4},HN!T93,HN!X93,HN!AB93,HN!AF93))=9)*(CHOOSE({1,2,3,4},HN!W93,HN!AA93,HN!AE93,HN!AI93)))</f>
        <v>0</v>
      </c>
      <c r="J93">
        <f>SUMPRODUCT((MONTH(CHOOSE({1,2,3,4},HN!T93,HN!X93,HN!AB93,HN!AF93))=10)*(CHOOSE({1,2,3,4},HN!W93,HN!AA93,HN!AE93,HN!AI93)))</f>
        <v>0</v>
      </c>
      <c r="K93">
        <f>SUMPRODUCT((MONTH(CHOOSE({1,2,3,4},HN!T93,HN!X93,HN!AB93,HN!AF93))=11)*(CHOOSE({1,2,3,4},HN!W93,HN!AA93,HN!AE93,HN!AI93)))</f>
        <v>0</v>
      </c>
      <c r="L93">
        <f>SUMPRODUCT((MONTH(CHOOSE({1,2,3,4},HN!T93,HN!X93,HN!AB93,HN!AF93))=12)*(CHOOSE({1,2,3,4},HN!W93,HN!AA93,HN!AE93,HN!AI93)))</f>
        <v>0</v>
      </c>
    </row>
    <row r="94" spans="1:12">
      <c r="A94">
        <f>SUMPRODUCT((MONTH(CHOOSE({1,2,3,4},HN!T94,HN!X94,HN!AB94,HN!AF94))=1)*(CHOOSE({1,2,3,4},HN!W94,HN!AA94,HN!AE94,HN!AI94)))</f>
        <v>0</v>
      </c>
      <c r="B94">
        <f>SUMPRODUCT((MONTH(CHOOSE({1,2,3,4},HN!T94,HN!X94,HN!AB94,HN!AF94))=2)*(CHOOSE({1,2,3,4},HN!W94,HN!AA94,HN!AE94,HN!AI94)))</f>
        <v>0</v>
      </c>
      <c r="C94">
        <f>SUMPRODUCT((MONTH(CHOOSE({1,2,3,4},HN!T94,HN!X94,HN!AB94,HN!AF94))=3)*(CHOOSE({1,2,3,4},HN!W94,HN!AA94,HN!AE94,HN!AI94)))</f>
        <v>0</v>
      </c>
      <c r="D94">
        <f>SUMPRODUCT((MONTH(CHOOSE({1,2,3,4},HN!T94,HN!X94,HN!AB94,HN!AF94))=4)*(CHOOSE({1,2,3,4},HN!W94,HN!AA94,HN!AE94,HN!AI94)))</f>
        <v>0</v>
      </c>
      <c r="E94">
        <f>SUMPRODUCT((MONTH(CHOOSE({1,2,3,4},HN!T94,HN!X94,HN!AB94,HN!AF94))=5)*(CHOOSE({1,2,3,4},HN!W94,HN!AA94,HN!AE94,HN!AI94)))</f>
        <v>0</v>
      </c>
      <c r="F94">
        <f>SUMPRODUCT((MONTH(CHOOSE({1,2,3,4},HN!T94,HN!X94,HN!AB94,HN!AF94))=6)*(CHOOSE({1,2,3,4},HN!W94,HN!AA94,HN!AE94,HN!AI94)))</f>
        <v>0</v>
      </c>
      <c r="G94">
        <f>SUMPRODUCT((MONTH(CHOOSE({1,2,3,4},HN!T94,HN!X94,HN!AB94,HN!AF94))=7)*(CHOOSE({1,2,3,4},HN!W94,HN!AA94,HN!AE94,HN!AI94)))</f>
        <v>0</v>
      </c>
      <c r="H94">
        <f>SUMPRODUCT((MONTH(CHOOSE({1,2,3,4},HN!T94,HN!X94,HN!AB94,HN!AF94))=8)*(CHOOSE({1,2,3,4},HN!W94,HN!AA94,HN!AE94,HN!AI94)))</f>
        <v>0</v>
      </c>
      <c r="I94">
        <f>SUMPRODUCT((MONTH(CHOOSE({1,2,3,4},HN!T94,HN!X94,HN!AB94,HN!AF94))=9)*(CHOOSE({1,2,3,4},HN!W94,HN!AA94,HN!AE94,HN!AI94)))</f>
        <v>0</v>
      </c>
      <c r="J94">
        <f>SUMPRODUCT((MONTH(CHOOSE({1,2,3,4},HN!T94,HN!X94,HN!AB94,HN!AF94))=10)*(CHOOSE({1,2,3,4},HN!W94,HN!AA94,HN!AE94,HN!AI94)))</f>
        <v>0</v>
      </c>
      <c r="K94">
        <f>SUMPRODUCT((MONTH(CHOOSE({1,2,3,4},HN!T94,HN!X94,HN!AB94,HN!AF94))=11)*(CHOOSE({1,2,3,4},HN!W94,HN!AA94,HN!AE94,HN!AI94)))</f>
        <v>0</v>
      </c>
      <c r="L94">
        <f>SUMPRODUCT((MONTH(CHOOSE({1,2,3,4},HN!T94,HN!X94,HN!AB94,HN!AF94))=12)*(CHOOSE({1,2,3,4},HN!W94,HN!AA94,HN!AE94,HN!AI94)))</f>
        <v>0</v>
      </c>
    </row>
    <row r="95" spans="1:12">
      <c r="A95">
        <f>SUMPRODUCT((MONTH(CHOOSE({1,2,3,4},HN!T95,HN!X95,HN!AB95,HN!AF95))=1)*(CHOOSE({1,2,3,4},HN!W95,HN!AA95,HN!AE95,HN!AI95)))</f>
        <v>0</v>
      </c>
      <c r="B95">
        <f>SUMPRODUCT((MONTH(CHOOSE({1,2,3,4},HN!T95,HN!X95,HN!AB95,HN!AF95))=2)*(CHOOSE({1,2,3,4},HN!W95,HN!AA95,HN!AE95,HN!AI95)))</f>
        <v>0</v>
      </c>
      <c r="C95">
        <f>SUMPRODUCT((MONTH(CHOOSE({1,2,3,4},HN!T95,HN!X95,HN!AB95,HN!AF95))=3)*(CHOOSE({1,2,3,4},HN!W95,HN!AA95,HN!AE95,HN!AI95)))</f>
        <v>0</v>
      </c>
      <c r="D95">
        <f>SUMPRODUCT((MONTH(CHOOSE({1,2,3,4},HN!T95,HN!X95,HN!AB95,HN!AF95))=4)*(CHOOSE({1,2,3,4},HN!W95,HN!AA95,HN!AE95,HN!AI95)))</f>
        <v>0</v>
      </c>
      <c r="E95">
        <f>SUMPRODUCT((MONTH(CHOOSE({1,2,3,4},HN!T95,HN!X95,HN!AB95,HN!AF95))=5)*(CHOOSE({1,2,3,4},HN!W95,HN!AA95,HN!AE95,HN!AI95)))</f>
        <v>0</v>
      </c>
      <c r="F95">
        <f>SUMPRODUCT((MONTH(CHOOSE({1,2,3,4},HN!T95,HN!X95,HN!AB95,HN!AF95))=6)*(CHOOSE({1,2,3,4},HN!W95,HN!AA95,HN!AE95,HN!AI95)))</f>
        <v>0</v>
      </c>
      <c r="G95">
        <f>SUMPRODUCT((MONTH(CHOOSE({1,2,3,4},HN!T95,HN!X95,HN!AB95,HN!AF95))=7)*(CHOOSE({1,2,3,4},HN!W95,HN!AA95,HN!AE95,HN!AI95)))</f>
        <v>0</v>
      </c>
      <c r="H95">
        <f>SUMPRODUCT((MONTH(CHOOSE({1,2,3,4},HN!T95,HN!X95,HN!AB95,HN!AF95))=8)*(CHOOSE({1,2,3,4},HN!W95,HN!AA95,HN!AE95,HN!AI95)))</f>
        <v>0</v>
      </c>
      <c r="I95">
        <f>SUMPRODUCT((MONTH(CHOOSE({1,2,3,4},HN!T95,HN!X95,HN!AB95,HN!AF95))=9)*(CHOOSE({1,2,3,4},HN!W95,HN!AA95,HN!AE95,HN!AI95)))</f>
        <v>0</v>
      </c>
      <c r="J95">
        <f>SUMPRODUCT((MONTH(CHOOSE({1,2,3,4},HN!T95,HN!X95,HN!AB95,HN!AF95))=10)*(CHOOSE({1,2,3,4},HN!W95,HN!AA95,HN!AE95,HN!AI95)))</f>
        <v>0</v>
      </c>
      <c r="K95">
        <f>SUMPRODUCT((MONTH(CHOOSE({1,2,3,4},HN!T95,HN!X95,HN!AB95,HN!AF95))=11)*(CHOOSE({1,2,3,4},HN!W95,HN!AA95,HN!AE95,HN!AI95)))</f>
        <v>0</v>
      </c>
      <c r="L95">
        <f>SUMPRODUCT((MONTH(CHOOSE({1,2,3,4},HN!T95,HN!X95,HN!AB95,HN!AF95))=12)*(CHOOSE({1,2,3,4},HN!W95,HN!AA95,HN!AE95,HN!AI95)))</f>
        <v>0</v>
      </c>
    </row>
    <row r="96" spans="1:12">
      <c r="A96">
        <f>SUMPRODUCT((MONTH(CHOOSE({1,2,3,4},HN!T96,HN!X96,HN!AB96,HN!AF96))=1)*(CHOOSE({1,2,3,4},HN!W96,HN!AA96,HN!AE96,HN!AI96)))</f>
        <v>0</v>
      </c>
      <c r="B96">
        <f>SUMPRODUCT((MONTH(CHOOSE({1,2,3,4},HN!T96,HN!X96,HN!AB96,HN!AF96))=2)*(CHOOSE({1,2,3,4},HN!W96,HN!AA96,HN!AE96,HN!AI96)))</f>
        <v>0</v>
      </c>
      <c r="C96">
        <f>SUMPRODUCT((MONTH(CHOOSE({1,2,3,4},HN!T96,HN!X96,HN!AB96,HN!AF96))=3)*(CHOOSE({1,2,3,4},HN!W96,HN!AA96,HN!AE96,HN!AI96)))</f>
        <v>0</v>
      </c>
      <c r="D96">
        <f>SUMPRODUCT((MONTH(CHOOSE({1,2,3,4},HN!T96,HN!X96,HN!AB96,HN!AF96))=4)*(CHOOSE({1,2,3,4},HN!W96,HN!AA96,HN!AE96,HN!AI96)))</f>
        <v>0</v>
      </c>
      <c r="E96">
        <f>SUMPRODUCT((MONTH(CHOOSE({1,2,3,4},HN!T96,HN!X96,HN!AB96,HN!AF96))=5)*(CHOOSE({1,2,3,4},HN!W96,HN!AA96,HN!AE96,HN!AI96)))</f>
        <v>0</v>
      </c>
      <c r="F96">
        <f>SUMPRODUCT((MONTH(CHOOSE({1,2,3,4},HN!T96,HN!X96,HN!AB96,HN!AF96))=6)*(CHOOSE({1,2,3,4},HN!W96,HN!AA96,HN!AE96,HN!AI96)))</f>
        <v>0</v>
      </c>
      <c r="G96">
        <f>SUMPRODUCT((MONTH(CHOOSE({1,2,3,4},HN!T96,HN!X96,HN!AB96,HN!AF96))=7)*(CHOOSE({1,2,3,4},HN!W96,HN!AA96,HN!AE96,HN!AI96)))</f>
        <v>0</v>
      </c>
      <c r="H96">
        <f>SUMPRODUCT((MONTH(CHOOSE({1,2,3,4},HN!T96,HN!X96,HN!AB96,HN!AF96))=8)*(CHOOSE({1,2,3,4},HN!W96,HN!AA96,HN!AE96,HN!AI96)))</f>
        <v>0</v>
      </c>
      <c r="I96">
        <f>SUMPRODUCT((MONTH(CHOOSE({1,2,3,4},HN!T96,HN!X96,HN!AB96,HN!AF96))=9)*(CHOOSE({1,2,3,4},HN!W96,HN!AA96,HN!AE96,HN!AI96)))</f>
        <v>0</v>
      </c>
      <c r="J96">
        <f>SUMPRODUCT((MONTH(CHOOSE({1,2,3,4},HN!T96,HN!X96,HN!AB96,HN!AF96))=10)*(CHOOSE({1,2,3,4},HN!W96,HN!AA96,HN!AE96,HN!AI96)))</f>
        <v>0</v>
      </c>
      <c r="K96">
        <f>SUMPRODUCT((MONTH(CHOOSE({1,2,3,4},HN!T96,HN!X96,HN!AB96,HN!AF96))=11)*(CHOOSE({1,2,3,4},HN!W96,HN!AA96,HN!AE96,HN!AI96)))</f>
        <v>0</v>
      </c>
      <c r="L96">
        <f>SUMPRODUCT((MONTH(CHOOSE({1,2,3,4},HN!T96,HN!X96,HN!AB96,HN!AF96))=12)*(CHOOSE({1,2,3,4},HN!W96,HN!AA96,HN!AE96,HN!AI96)))</f>
        <v>0</v>
      </c>
    </row>
    <row r="97" spans="1:12">
      <c r="A97">
        <f>SUMPRODUCT((MONTH(CHOOSE({1,2,3,4},HN!T97,HN!X97,HN!AB97,HN!AF97))=1)*(CHOOSE({1,2,3,4},HN!W97,HN!AA97,HN!AE97,HN!AI97)))</f>
        <v>0</v>
      </c>
      <c r="B97">
        <f>SUMPRODUCT((MONTH(CHOOSE({1,2,3,4},HN!T97,HN!X97,HN!AB97,HN!AF97))=2)*(CHOOSE({1,2,3,4},HN!W97,HN!AA97,HN!AE97,HN!AI97)))</f>
        <v>0</v>
      </c>
      <c r="C97">
        <f>SUMPRODUCT((MONTH(CHOOSE({1,2,3,4},HN!T97,HN!X97,HN!AB97,HN!AF97))=3)*(CHOOSE({1,2,3,4},HN!W97,HN!AA97,HN!AE97,HN!AI97)))</f>
        <v>0</v>
      </c>
      <c r="D97">
        <f>SUMPRODUCT((MONTH(CHOOSE({1,2,3,4},HN!T97,HN!X97,HN!AB97,HN!AF97))=4)*(CHOOSE({1,2,3,4},HN!W97,HN!AA97,HN!AE97,HN!AI97)))</f>
        <v>0</v>
      </c>
      <c r="E97">
        <f>SUMPRODUCT((MONTH(CHOOSE({1,2,3,4},HN!T97,HN!X97,HN!AB97,HN!AF97))=5)*(CHOOSE({1,2,3,4},HN!W97,HN!AA97,HN!AE97,HN!AI97)))</f>
        <v>0</v>
      </c>
      <c r="F97">
        <f>SUMPRODUCT((MONTH(CHOOSE({1,2,3,4},HN!T97,HN!X97,HN!AB97,HN!AF97))=6)*(CHOOSE({1,2,3,4},HN!W97,HN!AA97,HN!AE97,HN!AI97)))</f>
        <v>0</v>
      </c>
      <c r="G97">
        <f>SUMPRODUCT((MONTH(CHOOSE({1,2,3,4},HN!T97,HN!X97,HN!AB97,HN!AF97))=7)*(CHOOSE({1,2,3,4},HN!W97,HN!AA97,HN!AE97,HN!AI97)))</f>
        <v>0</v>
      </c>
      <c r="H97">
        <f>SUMPRODUCT((MONTH(CHOOSE({1,2,3,4},HN!T97,HN!X97,HN!AB97,HN!AF97))=8)*(CHOOSE({1,2,3,4},HN!W97,HN!AA97,HN!AE97,HN!AI97)))</f>
        <v>0</v>
      </c>
      <c r="I97">
        <f>SUMPRODUCT((MONTH(CHOOSE({1,2,3,4},HN!T97,HN!X97,HN!AB97,HN!AF97))=9)*(CHOOSE({1,2,3,4},HN!W97,HN!AA97,HN!AE97,HN!AI97)))</f>
        <v>0</v>
      </c>
      <c r="J97">
        <f>SUMPRODUCT((MONTH(CHOOSE({1,2,3,4},HN!T97,HN!X97,HN!AB97,HN!AF97))=10)*(CHOOSE({1,2,3,4},HN!W97,HN!AA97,HN!AE97,HN!AI97)))</f>
        <v>0</v>
      </c>
      <c r="K97">
        <f>SUMPRODUCT((MONTH(CHOOSE({1,2,3,4},HN!T97,HN!X97,HN!AB97,HN!AF97))=11)*(CHOOSE({1,2,3,4},HN!W97,HN!AA97,HN!AE97,HN!AI97)))</f>
        <v>0</v>
      </c>
      <c r="L97">
        <f>SUMPRODUCT((MONTH(CHOOSE({1,2,3,4},HN!T97,HN!X97,HN!AB97,HN!AF97))=12)*(CHOOSE({1,2,3,4},HN!W97,HN!AA97,HN!AE97,HN!AI97)))</f>
        <v>0</v>
      </c>
    </row>
    <row r="98" spans="1:12">
      <c r="A98">
        <f>SUMPRODUCT((MONTH(CHOOSE({1,2,3,4},HN!T98,HN!X98,HN!AB98,HN!AF98))=1)*(CHOOSE({1,2,3,4},HN!W98,HN!AA98,HN!AE98,HN!AI98)))</f>
        <v>0</v>
      </c>
      <c r="B98">
        <f>SUMPRODUCT((MONTH(CHOOSE({1,2,3,4},HN!T98,HN!X98,HN!AB98,HN!AF98))=2)*(CHOOSE({1,2,3,4},HN!W98,HN!AA98,HN!AE98,HN!AI98)))</f>
        <v>0</v>
      </c>
      <c r="C98">
        <f>SUMPRODUCT((MONTH(CHOOSE({1,2,3,4},HN!T98,HN!X98,HN!AB98,HN!AF98))=3)*(CHOOSE({1,2,3,4},HN!W98,HN!AA98,HN!AE98,HN!AI98)))</f>
        <v>0</v>
      </c>
      <c r="D98">
        <f>SUMPRODUCT((MONTH(CHOOSE({1,2,3,4},HN!T98,HN!X98,HN!AB98,HN!AF98))=4)*(CHOOSE({1,2,3,4},HN!W98,HN!AA98,HN!AE98,HN!AI98)))</f>
        <v>0</v>
      </c>
      <c r="E98">
        <f>SUMPRODUCT((MONTH(CHOOSE({1,2,3,4},HN!T98,HN!X98,HN!AB98,HN!AF98))=5)*(CHOOSE({1,2,3,4},HN!W98,HN!AA98,HN!AE98,HN!AI98)))</f>
        <v>0</v>
      </c>
      <c r="F98">
        <f>SUMPRODUCT((MONTH(CHOOSE({1,2,3,4},HN!T98,HN!X98,HN!AB98,HN!AF98))=6)*(CHOOSE({1,2,3,4},HN!W98,HN!AA98,HN!AE98,HN!AI98)))</f>
        <v>0</v>
      </c>
      <c r="G98">
        <f>SUMPRODUCT((MONTH(CHOOSE({1,2,3,4},HN!T98,HN!X98,HN!AB98,HN!AF98))=7)*(CHOOSE({1,2,3,4},HN!W98,HN!AA98,HN!AE98,HN!AI98)))</f>
        <v>0</v>
      </c>
      <c r="H98">
        <f>SUMPRODUCT((MONTH(CHOOSE({1,2,3,4},HN!T98,HN!X98,HN!AB98,HN!AF98))=8)*(CHOOSE({1,2,3,4},HN!W98,HN!AA98,HN!AE98,HN!AI98)))</f>
        <v>0</v>
      </c>
      <c r="I98">
        <f>SUMPRODUCT((MONTH(CHOOSE({1,2,3,4},HN!T98,HN!X98,HN!AB98,HN!AF98))=9)*(CHOOSE({1,2,3,4},HN!W98,HN!AA98,HN!AE98,HN!AI98)))</f>
        <v>0</v>
      </c>
      <c r="J98">
        <f>SUMPRODUCT((MONTH(CHOOSE({1,2,3,4},HN!T98,HN!X98,HN!AB98,HN!AF98))=10)*(CHOOSE({1,2,3,4},HN!W98,HN!AA98,HN!AE98,HN!AI98)))</f>
        <v>0</v>
      </c>
      <c r="K98">
        <f>SUMPRODUCT((MONTH(CHOOSE({1,2,3,4},HN!T98,HN!X98,HN!AB98,HN!AF98))=11)*(CHOOSE({1,2,3,4},HN!W98,HN!AA98,HN!AE98,HN!AI98)))</f>
        <v>0</v>
      </c>
      <c r="L98">
        <f>SUMPRODUCT((MONTH(CHOOSE({1,2,3,4},HN!T98,HN!X98,HN!AB98,HN!AF98))=12)*(CHOOSE({1,2,3,4},HN!W98,HN!AA98,HN!AE98,HN!AI98)))</f>
        <v>0</v>
      </c>
    </row>
    <row r="99" spans="1:12">
      <c r="A99">
        <f>SUMPRODUCT((MONTH(CHOOSE({1,2,3,4},HN!T99,HN!X99,HN!AB99,HN!AF99))=1)*(CHOOSE({1,2,3,4},HN!W99,HN!AA99,HN!AE99,HN!AI99)))</f>
        <v>0</v>
      </c>
      <c r="B99">
        <f>SUMPRODUCT((MONTH(CHOOSE({1,2,3,4},HN!T99,HN!X99,HN!AB99,HN!AF99))=2)*(CHOOSE({1,2,3,4},HN!W99,HN!AA99,HN!AE99,HN!AI99)))</f>
        <v>0</v>
      </c>
      <c r="C99">
        <f>SUMPRODUCT((MONTH(CHOOSE({1,2,3,4},HN!T99,HN!X99,HN!AB99,HN!AF99))=3)*(CHOOSE({1,2,3,4},HN!W99,HN!AA99,HN!AE99,HN!AI99)))</f>
        <v>0</v>
      </c>
      <c r="D99">
        <f>SUMPRODUCT((MONTH(CHOOSE({1,2,3,4},HN!T99,HN!X99,HN!AB99,HN!AF99))=4)*(CHOOSE({1,2,3,4},HN!W99,HN!AA99,HN!AE99,HN!AI99)))</f>
        <v>0</v>
      </c>
      <c r="E99">
        <f>SUMPRODUCT((MONTH(CHOOSE({1,2,3,4},HN!T99,HN!X99,HN!AB99,HN!AF99))=5)*(CHOOSE({1,2,3,4},HN!W99,HN!AA99,HN!AE99,HN!AI99)))</f>
        <v>0</v>
      </c>
      <c r="F99">
        <f>SUMPRODUCT((MONTH(CHOOSE({1,2,3,4},HN!T99,HN!X99,HN!AB99,HN!AF99))=6)*(CHOOSE({1,2,3,4},HN!W99,HN!AA99,HN!AE99,HN!AI99)))</f>
        <v>0</v>
      </c>
      <c r="G99">
        <f>SUMPRODUCT((MONTH(CHOOSE({1,2,3,4},HN!T99,HN!X99,HN!AB99,HN!AF99))=7)*(CHOOSE({1,2,3,4},HN!W99,HN!AA99,HN!AE99,HN!AI99)))</f>
        <v>0</v>
      </c>
      <c r="H99">
        <f>SUMPRODUCT((MONTH(CHOOSE({1,2,3,4},HN!T99,HN!X99,HN!AB99,HN!AF99))=8)*(CHOOSE({1,2,3,4},HN!W99,HN!AA99,HN!AE99,HN!AI99)))</f>
        <v>0</v>
      </c>
      <c r="I99">
        <f>SUMPRODUCT((MONTH(CHOOSE({1,2,3,4},HN!T99,HN!X99,HN!AB99,HN!AF99))=9)*(CHOOSE({1,2,3,4},HN!W99,HN!AA99,HN!AE99,HN!AI99)))</f>
        <v>0</v>
      </c>
      <c r="J99">
        <f>SUMPRODUCT((MONTH(CHOOSE({1,2,3,4},HN!T99,HN!X99,HN!AB99,HN!AF99))=10)*(CHOOSE({1,2,3,4},HN!W99,HN!AA99,HN!AE99,HN!AI99)))</f>
        <v>0</v>
      </c>
      <c r="K99">
        <f>SUMPRODUCT((MONTH(CHOOSE({1,2,3,4},HN!T99,HN!X99,HN!AB99,HN!AF99))=11)*(CHOOSE({1,2,3,4},HN!W99,HN!AA99,HN!AE99,HN!AI99)))</f>
        <v>0</v>
      </c>
      <c r="L99">
        <f>SUMPRODUCT((MONTH(CHOOSE({1,2,3,4},HN!T99,HN!X99,HN!AB99,HN!AF99))=12)*(CHOOSE({1,2,3,4},HN!W99,HN!AA99,HN!AE99,HN!AI99)))</f>
        <v>0</v>
      </c>
    </row>
    <row r="100" spans="1:12">
      <c r="A100">
        <f>SUMPRODUCT((MONTH(CHOOSE({1,2,3,4},HN!T100,HN!X100,HN!AB100,HN!AF100))=1)*(CHOOSE({1,2,3,4},HN!W100,HN!AA100,HN!AE100,HN!AI100)))</f>
        <v>0</v>
      </c>
      <c r="B100">
        <f>SUMPRODUCT((MONTH(CHOOSE({1,2,3,4},HN!T100,HN!X100,HN!AB100,HN!AF100))=2)*(CHOOSE({1,2,3,4},HN!W100,HN!AA100,HN!AE100,HN!AI100)))</f>
        <v>0</v>
      </c>
      <c r="C100">
        <f>SUMPRODUCT((MONTH(CHOOSE({1,2,3,4},HN!T100,HN!X100,HN!AB100,HN!AF100))=3)*(CHOOSE({1,2,3,4},HN!W100,HN!AA100,HN!AE100,HN!AI100)))</f>
        <v>0</v>
      </c>
      <c r="D100">
        <f>SUMPRODUCT((MONTH(CHOOSE({1,2,3,4},HN!T100,HN!X100,HN!AB100,HN!AF100))=4)*(CHOOSE({1,2,3,4},HN!W100,HN!AA100,HN!AE100,HN!AI100)))</f>
        <v>0</v>
      </c>
      <c r="E100">
        <f>SUMPRODUCT((MONTH(CHOOSE({1,2,3,4},HN!T100,HN!X100,HN!AB100,HN!AF100))=5)*(CHOOSE({1,2,3,4},HN!W100,HN!AA100,HN!AE100,HN!AI100)))</f>
        <v>0</v>
      </c>
      <c r="F100">
        <f>SUMPRODUCT((MONTH(CHOOSE({1,2,3,4},HN!T100,HN!X100,HN!AB100,HN!AF100))=6)*(CHOOSE({1,2,3,4},HN!W100,HN!AA100,HN!AE100,HN!AI100)))</f>
        <v>0</v>
      </c>
      <c r="G100">
        <f>SUMPRODUCT((MONTH(CHOOSE({1,2,3,4},HN!T100,HN!X100,HN!AB100,HN!AF100))=7)*(CHOOSE({1,2,3,4},HN!W100,HN!AA100,HN!AE100,HN!AI100)))</f>
        <v>0</v>
      </c>
      <c r="H100">
        <f>SUMPRODUCT((MONTH(CHOOSE({1,2,3,4},HN!T100,HN!X100,HN!AB100,HN!AF100))=8)*(CHOOSE({1,2,3,4},HN!W100,HN!AA100,HN!AE100,HN!AI100)))</f>
        <v>0</v>
      </c>
      <c r="I100">
        <f>SUMPRODUCT((MONTH(CHOOSE({1,2,3,4},HN!T100,HN!X100,HN!AB100,HN!AF100))=9)*(CHOOSE({1,2,3,4},HN!W100,HN!AA100,HN!AE100,HN!AI100)))</f>
        <v>0</v>
      </c>
      <c r="J100">
        <f>SUMPRODUCT((MONTH(CHOOSE({1,2,3,4},HN!T100,HN!X100,HN!AB100,HN!AF100))=10)*(CHOOSE({1,2,3,4},HN!W100,HN!AA100,HN!AE100,HN!AI100)))</f>
        <v>0</v>
      </c>
      <c r="K100">
        <f>SUMPRODUCT((MONTH(CHOOSE({1,2,3,4},HN!T100,HN!X100,HN!AB100,HN!AF100))=11)*(CHOOSE({1,2,3,4},HN!W100,HN!AA100,HN!AE100,HN!AI100)))</f>
        <v>0</v>
      </c>
      <c r="L100">
        <f>SUMPRODUCT((MONTH(CHOOSE({1,2,3,4},HN!T100,HN!X100,HN!AB100,HN!AF100))=12)*(CHOOSE({1,2,3,4},HN!W100,HN!AA100,HN!AE100,HN!AI100)))</f>
        <v>0</v>
      </c>
    </row>
    <row r="101" spans="1:12">
      <c r="A101">
        <f>SUMPRODUCT((MONTH(CHOOSE({1,2,3,4},HN!T101,HN!X101,HN!AB101,HN!AF101))=1)*(CHOOSE({1,2,3,4},HN!W101,HN!AA101,HN!AE101,HN!AI101)))</f>
        <v>0</v>
      </c>
      <c r="B101">
        <f>SUMPRODUCT((MONTH(CHOOSE({1,2,3,4},HN!T101,HN!X101,HN!AB101,HN!AF101))=2)*(CHOOSE({1,2,3,4},HN!W101,HN!AA101,HN!AE101,HN!AI101)))</f>
        <v>0</v>
      </c>
      <c r="C101">
        <f>SUMPRODUCT((MONTH(CHOOSE({1,2,3,4},HN!T101,HN!X101,HN!AB101,HN!AF101))=3)*(CHOOSE({1,2,3,4},HN!W101,HN!AA101,HN!AE101,HN!AI101)))</f>
        <v>0</v>
      </c>
      <c r="D101">
        <f>SUMPRODUCT((MONTH(CHOOSE({1,2,3,4},HN!T101,HN!X101,HN!AB101,HN!AF101))=4)*(CHOOSE({1,2,3,4},HN!W101,HN!AA101,HN!AE101,HN!AI101)))</f>
        <v>0</v>
      </c>
      <c r="E101">
        <f>SUMPRODUCT((MONTH(CHOOSE({1,2,3,4},HN!T101,HN!X101,HN!AB101,HN!AF101))=5)*(CHOOSE({1,2,3,4},HN!W101,HN!AA101,HN!AE101,HN!AI101)))</f>
        <v>0</v>
      </c>
      <c r="F101">
        <f>SUMPRODUCT((MONTH(CHOOSE({1,2,3,4},HN!T101,HN!X101,HN!AB101,HN!AF101))=6)*(CHOOSE({1,2,3,4},HN!W101,HN!AA101,HN!AE101,HN!AI101)))</f>
        <v>0</v>
      </c>
      <c r="G101">
        <f>SUMPRODUCT((MONTH(CHOOSE({1,2,3,4},HN!T101,HN!X101,HN!AB101,HN!AF101))=7)*(CHOOSE({1,2,3,4},HN!W101,HN!AA101,HN!AE101,HN!AI101)))</f>
        <v>0</v>
      </c>
      <c r="H101">
        <f>SUMPRODUCT((MONTH(CHOOSE({1,2,3,4},HN!T101,HN!X101,HN!AB101,HN!AF101))=8)*(CHOOSE({1,2,3,4},HN!W101,HN!AA101,HN!AE101,HN!AI101)))</f>
        <v>0</v>
      </c>
      <c r="I101">
        <f>SUMPRODUCT((MONTH(CHOOSE({1,2,3,4},HN!T101,HN!X101,HN!AB101,HN!AF101))=9)*(CHOOSE({1,2,3,4},HN!W101,HN!AA101,HN!AE101,HN!AI101)))</f>
        <v>0</v>
      </c>
      <c r="J101">
        <f>SUMPRODUCT((MONTH(CHOOSE({1,2,3,4},HN!T101,HN!X101,HN!AB101,HN!AF101))=10)*(CHOOSE({1,2,3,4},HN!W101,HN!AA101,HN!AE101,HN!AI101)))</f>
        <v>0</v>
      </c>
      <c r="K101">
        <f>SUMPRODUCT((MONTH(CHOOSE({1,2,3,4},HN!T101,HN!X101,HN!AB101,HN!AF101))=11)*(CHOOSE({1,2,3,4},HN!W101,HN!AA101,HN!AE101,HN!AI101)))</f>
        <v>0</v>
      </c>
      <c r="L101">
        <f>SUMPRODUCT((MONTH(CHOOSE({1,2,3,4},HN!T101,HN!X101,HN!AB101,HN!AF101))=12)*(CHOOSE({1,2,3,4},HN!W101,HN!AA101,HN!AE101,HN!AI101)))</f>
        <v>0</v>
      </c>
    </row>
    <row r="102" spans="1:12">
      <c r="A102">
        <f>SUMPRODUCT((MONTH(CHOOSE({1,2,3,4},HN!T102,HN!X102,HN!AB102,HN!AF102))=1)*(CHOOSE({1,2,3,4},HN!W102,HN!AA102,HN!AE102,HN!AI102)))</f>
        <v>0</v>
      </c>
      <c r="B102">
        <f>SUMPRODUCT((MONTH(CHOOSE({1,2,3,4},HN!T102,HN!X102,HN!AB102,HN!AF102))=2)*(CHOOSE({1,2,3,4},HN!W102,HN!AA102,HN!AE102,HN!AI102)))</f>
        <v>0</v>
      </c>
      <c r="C102">
        <f>SUMPRODUCT((MONTH(CHOOSE({1,2,3,4},HN!T102,HN!X102,HN!AB102,HN!AF102))=3)*(CHOOSE({1,2,3,4},HN!W102,HN!AA102,HN!AE102,HN!AI102)))</f>
        <v>0</v>
      </c>
      <c r="D102">
        <f>SUMPRODUCT((MONTH(CHOOSE({1,2,3,4},HN!T102,HN!X102,HN!AB102,HN!AF102))=4)*(CHOOSE({1,2,3,4},HN!W102,HN!AA102,HN!AE102,HN!AI102)))</f>
        <v>0</v>
      </c>
      <c r="E102">
        <f>SUMPRODUCT((MONTH(CHOOSE({1,2,3,4},HN!T102,HN!X102,HN!AB102,HN!AF102))=5)*(CHOOSE({1,2,3,4},HN!W102,HN!AA102,HN!AE102,HN!AI102)))</f>
        <v>0</v>
      </c>
      <c r="F102">
        <f>SUMPRODUCT((MONTH(CHOOSE({1,2,3,4},HN!T102,HN!X102,HN!AB102,HN!AF102))=6)*(CHOOSE({1,2,3,4},HN!W102,HN!AA102,HN!AE102,HN!AI102)))</f>
        <v>0</v>
      </c>
      <c r="G102">
        <f>SUMPRODUCT((MONTH(CHOOSE({1,2,3,4},HN!T102,HN!X102,HN!AB102,HN!AF102))=7)*(CHOOSE({1,2,3,4},HN!W102,HN!AA102,HN!AE102,HN!AI102)))</f>
        <v>0</v>
      </c>
      <c r="H102">
        <f>SUMPRODUCT((MONTH(CHOOSE({1,2,3,4},HN!T102,HN!X102,HN!AB102,HN!AF102))=8)*(CHOOSE({1,2,3,4},HN!W102,HN!AA102,HN!AE102,HN!AI102)))</f>
        <v>0</v>
      </c>
      <c r="I102">
        <f>SUMPRODUCT((MONTH(CHOOSE({1,2,3,4},HN!T102,HN!X102,HN!AB102,HN!AF102))=9)*(CHOOSE({1,2,3,4},HN!W102,HN!AA102,HN!AE102,HN!AI102)))</f>
        <v>0</v>
      </c>
      <c r="J102">
        <f>SUMPRODUCT((MONTH(CHOOSE({1,2,3,4},HN!T102,HN!X102,HN!AB102,HN!AF102))=10)*(CHOOSE({1,2,3,4},HN!W102,HN!AA102,HN!AE102,HN!AI102)))</f>
        <v>0</v>
      </c>
      <c r="K102">
        <f>SUMPRODUCT((MONTH(CHOOSE({1,2,3,4},HN!T102,HN!X102,HN!AB102,HN!AF102))=11)*(CHOOSE({1,2,3,4},HN!W102,HN!AA102,HN!AE102,HN!AI102)))</f>
        <v>0</v>
      </c>
      <c r="L102">
        <f>SUMPRODUCT((MONTH(CHOOSE({1,2,3,4},HN!T102,HN!X102,HN!AB102,HN!AF102))=12)*(CHOOSE({1,2,3,4},HN!W102,HN!AA102,HN!AE102,HN!AI102)))</f>
        <v>0</v>
      </c>
    </row>
    <row r="103" spans="1:12">
      <c r="A103">
        <f>SUMPRODUCT((MONTH(CHOOSE({1,2,3,4},HN!T103,HN!X103,HN!AB103,HN!AF103))=1)*(CHOOSE({1,2,3,4},HN!W103,HN!AA103,HN!AE103,HN!AI103)))</f>
        <v>0</v>
      </c>
      <c r="B103">
        <f>SUMPRODUCT((MONTH(CHOOSE({1,2,3,4},HN!T103,HN!X103,HN!AB103,HN!AF103))=2)*(CHOOSE({1,2,3,4},HN!W103,HN!AA103,HN!AE103,HN!AI103)))</f>
        <v>0</v>
      </c>
      <c r="C103">
        <f>SUMPRODUCT((MONTH(CHOOSE({1,2,3,4},HN!T103,HN!X103,HN!AB103,HN!AF103))=3)*(CHOOSE({1,2,3,4},HN!W103,HN!AA103,HN!AE103,HN!AI103)))</f>
        <v>0</v>
      </c>
      <c r="D103">
        <f>SUMPRODUCT((MONTH(CHOOSE({1,2,3,4},HN!T103,HN!X103,HN!AB103,HN!AF103))=4)*(CHOOSE({1,2,3,4},HN!W103,HN!AA103,HN!AE103,HN!AI103)))</f>
        <v>0</v>
      </c>
      <c r="E103">
        <f>SUMPRODUCT((MONTH(CHOOSE({1,2,3,4},HN!T103,HN!X103,HN!AB103,HN!AF103))=5)*(CHOOSE({1,2,3,4},HN!W103,HN!AA103,HN!AE103,HN!AI103)))</f>
        <v>0</v>
      </c>
      <c r="F103">
        <f>SUMPRODUCT((MONTH(CHOOSE({1,2,3,4},HN!T103,HN!X103,HN!AB103,HN!AF103))=6)*(CHOOSE({1,2,3,4},HN!W103,HN!AA103,HN!AE103,HN!AI103)))</f>
        <v>0</v>
      </c>
      <c r="G103">
        <f>SUMPRODUCT((MONTH(CHOOSE({1,2,3,4},HN!T103,HN!X103,HN!AB103,HN!AF103))=7)*(CHOOSE({1,2,3,4},HN!W103,HN!AA103,HN!AE103,HN!AI103)))</f>
        <v>0</v>
      </c>
      <c r="H103">
        <f>SUMPRODUCT((MONTH(CHOOSE({1,2,3,4},HN!T103,HN!X103,HN!AB103,HN!AF103))=8)*(CHOOSE({1,2,3,4},HN!W103,HN!AA103,HN!AE103,HN!AI103)))</f>
        <v>0</v>
      </c>
      <c r="I103">
        <f>SUMPRODUCT((MONTH(CHOOSE({1,2,3,4},HN!T103,HN!X103,HN!AB103,HN!AF103))=9)*(CHOOSE({1,2,3,4},HN!W103,HN!AA103,HN!AE103,HN!AI103)))</f>
        <v>0</v>
      </c>
      <c r="J103">
        <f>SUMPRODUCT((MONTH(CHOOSE({1,2,3,4},HN!T103,HN!X103,HN!AB103,HN!AF103))=10)*(CHOOSE({1,2,3,4},HN!W103,HN!AA103,HN!AE103,HN!AI103)))</f>
        <v>0</v>
      </c>
      <c r="K103">
        <f>SUMPRODUCT((MONTH(CHOOSE({1,2,3,4},HN!T103,HN!X103,HN!AB103,HN!AF103))=11)*(CHOOSE({1,2,3,4},HN!W103,HN!AA103,HN!AE103,HN!AI103)))</f>
        <v>0</v>
      </c>
      <c r="L103">
        <f>SUMPRODUCT((MONTH(CHOOSE({1,2,3,4},HN!T103,HN!X103,HN!AB103,HN!AF103))=12)*(CHOOSE({1,2,3,4},HN!W103,HN!AA103,HN!AE103,HN!AI103)))</f>
        <v>0</v>
      </c>
    </row>
    <row r="104" spans="1:12">
      <c r="A104">
        <f>SUMPRODUCT((MONTH(CHOOSE({1,2,3,4},HN!T104,HN!X104,HN!AB104,HN!AF104))=1)*(CHOOSE({1,2,3,4},HN!W104,HN!AA104,HN!AE104,HN!AI104)))</f>
        <v>0</v>
      </c>
      <c r="B104">
        <f>SUMPRODUCT((MONTH(CHOOSE({1,2,3,4},HN!T104,HN!X104,HN!AB104,HN!AF104))=2)*(CHOOSE({1,2,3,4},HN!W104,HN!AA104,HN!AE104,HN!AI104)))</f>
        <v>0</v>
      </c>
      <c r="C104">
        <f>SUMPRODUCT((MONTH(CHOOSE({1,2,3,4},HN!T104,HN!X104,HN!AB104,HN!AF104))=3)*(CHOOSE({1,2,3,4},HN!W104,HN!AA104,HN!AE104,HN!AI104)))</f>
        <v>0</v>
      </c>
      <c r="D104">
        <f>SUMPRODUCT((MONTH(CHOOSE({1,2,3,4},HN!T104,HN!X104,HN!AB104,HN!AF104))=4)*(CHOOSE({1,2,3,4},HN!W104,HN!AA104,HN!AE104,HN!AI104)))</f>
        <v>0</v>
      </c>
      <c r="E104">
        <f>SUMPRODUCT((MONTH(CHOOSE({1,2,3,4},HN!T104,HN!X104,HN!AB104,HN!AF104))=5)*(CHOOSE({1,2,3,4},HN!W104,HN!AA104,HN!AE104,HN!AI104)))</f>
        <v>0</v>
      </c>
      <c r="F104">
        <f>SUMPRODUCT((MONTH(CHOOSE({1,2,3,4},HN!T104,HN!X104,HN!AB104,HN!AF104))=6)*(CHOOSE({1,2,3,4},HN!W104,HN!AA104,HN!AE104,HN!AI104)))</f>
        <v>0</v>
      </c>
      <c r="G104">
        <f>SUMPRODUCT((MONTH(CHOOSE({1,2,3,4},HN!T104,HN!X104,HN!AB104,HN!AF104))=7)*(CHOOSE({1,2,3,4},HN!W104,HN!AA104,HN!AE104,HN!AI104)))</f>
        <v>0</v>
      </c>
      <c r="H104">
        <f>SUMPRODUCT((MONTH(CHOOSE({1,2,3,4},HN!T104,HN!X104,HN!AB104,HN!AF104))=8)*(CHOOSE({1,2,3,4},HN!W104,HN!AA104,HN!AE104,HN!AI104)))</f>
        <v>0</v>
      </c>
      <c r="I104">
        <f>SUMPRODUCT((MONTH(CHOOSE({1,2,3,4},HN!T104,HN!X104,HN!AB104,HN!AF104))=9)*(CHOOSE({1,2,3,4},HN!W104,HN!AA104,HN!AE104,HN!AI104)))</f>
        <v>0</v>
      </c>
      <c r="J104">
        <f>SUMPRODUCT((MONTH(CHOOSE({1,2,3,4},HN!T104,HN!X104,HN!AB104,HN!AF104))=10)*(CHOOSE({1,2,3,4},HN!W104,HN!AA104,HN!AE104,HN!AI104)))</f>
        <v>0</v>
      </c>
      <c r="K104">
        <f>SUMPRODUCT((MONTH(CHOOSE({1,2,3,4},HN!T104,HN!X104,HN!AB104,HN!AF104))=11)*(CHOOSE({1,2,3,4},HN!W104,HN!AA104,HN!AE104,HN!AI104)))</f>
        <v>0</v>
      </c>
      <c r="L104">
        <f>SUMPRODUCT((MONTH(CHOOSE({1,2,3,4},HN!T104,HN!X104,HN!AB104,HN!AF104))=12)*(CHOOSE({1,2,3,4},HN!W104,HN!AA104,HN!AE104,HN!AI104)))</f>
        <v>0</v>
      </c>
    </row>
    <row r="105" spans="1:12">
      <c r="A105">
        <f>SUMPRODUCT((MONTH(CHOOSE({1,2,3,4},HN!T105,HN!X105,HN!AB105,HN!AF105))=1)*(CHOOSE({1,2,3,4},HN!W105,HN!AA105,HN!AE105,HN!AI105)))</f>
        <v>0</v>
      </c>
      <c r="B105">
        <f>SUMPRODUCT((MONTH(CHOOSE({1,2,3,4},HN!T105,HN!X105,HN!AB105,HN!AF105))=2)*(CHOOSE({1,2,3,4},HN!W105,HN!AA105,HN!AE105,HN!AI105)))</f>
        <v>0</v>
      </c>
      <c r="C105">
        <f>SUMPRODUCT((MONTH(CHOOSE({1,2,3,4},HN!T105,HN!X105,HN!AB105,HN!AF105))=3)*(CHOOSE({1,2,3,4},HN!W105,HN!AA105,HN!AE105,HN!AI105)))</f>
        <v>0</v>
      </c>
      <c r="D105">
        <f>SUMPRODUCT((MONTH(CHOOSE({1,2,3,4},HN!T105,HN!X105,HN!AB105,HN!AF105))=4)*(CHOOSE({1,2,3,4},HN!W105,HN!AA105,HN!AE105,HN!AI105)))</f>
        <v>0</v>
      </c>
      <c r="E105">
        <f>SUMPRODUCT((MONTH(CHOOSE({1,2,3,4},HN!T105,HN!X105,HN!AB105,HN!AF105))=5)*(CHOOSE({1,2,3,4},HN!W105,HN!AA105,HN!AE105,HN!AI105)))</f>
        <v>0</v>
      </c>
      <c r="F105">
        <f>SUMPRODUCT((MONTH(CHOOSE({1,2,3,4},HN!T105,HN!X105,HN!AB105,HN!AF105))=6)*(CHOOSE({1,2,3,4},HN!W105,HN!AA105,HN!AE105,HN!AI105)))</f>
        <v>0</v>
      </c>
      <c r="G105">
        <f>SUMPRODUCT((MONTH(CHOOSE({1,2,3,4},HN!T105,HN!X105,HN!AB105,HN!AF105))=7)*(CHOOSE({1,2,3,4},HN!W105,HN!AA105,HN!AE105,HN!AI105)))</f>
        <v>0</v>
      </c>
      <c r="H105">
        <f>SUMPRODUCT((MONTH(CHOOSE({1,2,3,4},HN!T105,HN!X105,HN!AB105,HN!AF105))=8)*(CHOOSE({1,2,3,4},HN!W105,HN!AA105,HN!AE105,HN!AI105)))</f>
        <v>0</v>
      </c>
      <c r="I105">
        <f>SUMPRODUCT((MONTH(CHOOSE({1,2,3,4},HN!T105,HN!X105,HN!AB105,HN!AF105))=9)*(CHOOSE({1,2,3,4},HN!W105,HN!AA105,HN!AE105,HN!AI105)))</f>
        <v>0</v>
      </c>
      <c r="J105">
        <f>SUMPRODUCT((MONTH(CHOOSE({1,2,3,4},HN!T105,HN!X105,HN!AB105,HN!AF105))=10)*(CHOOSE({1,2,3,4},HN!W105,HN!AA105,HN!AE105,HN!AI105)))</f>
        <v>0</v>
      </c>
      <c r="K105">
        <f>SUMPRODUCT((MONTH(CHOOSE({1,2,3,4},HN!T105,HN!X105,HN!AB105,HN!AF105))=11)*(CHOOSE({1,2,3,4},HN!W105,HN!AA105,HN!AE105,HN!AI105)))</f>
        <v>0</v>
      </c>
      <c r="L105">
        <f>SUMPRODUCT((MONTH(CHOOSE({1,2,3,4},HN!T105,HN!X105,HN!AB105,HN!AF105))=12)*(CHOOSE({1,2,3,4},HN!W105,HN!AA105,HN!AE105,HN!AI105)))</f>
        <v>0</v>
      </c>
    </row>
    <row r="106" spans="1:12">
      <c r="A106">
        <f>SUMPRODUCT((MONTH(CHOOSE({1,2,3,4},HN!T106,HN!X106,HN!AB106,HN!AF106))=1)*(CHOOSE({1,2,3,4},HN!W106,HN!AA106,HN!AE106,HN!AI106)))</f>
        <v>0</v>
      </c>
      <c r="B106">
        <f>SUMPRODUCT((MONTH(CHOOSE({1,2,3,4},HN!T106,HN!X106,HN!AB106,HN!AF106))=2)*(CHOOSE({1,2,3,4},HN!W106,HN!AA106,HN!AE106,HN!AI106)))</f>
        <v>0</v>
      </c>
      <c r="C106">
        <f>SUMPRODUCT((MONTH(CHOOSE({1,2,3,4},HN!T106,HN!X106,HN!AB106,HN!AF106))=3)*(CHOOSE({1,2,3,4},HN!W106,HN!AA106,HN!AE106,HN!AI106)))</f>
        <v>0</v>
      </c>
      <c r="D106">
        <f>SUMPRODUCT((MONTH(CHOOSE({1,2,3,4},HN!T106,HN!X106,HN!AB106,HN!AF106))=4)*(CHOOSE({1,2,3,4},HN!W106,HN!AA106,HN!AE106,HN!AI106)))</f>
        <v>0</v>
      </c>
      <c r="E106">
        <f>SUMPRODUCT((MONTH(CHOOSE({1,2,3,4},HN!T106,HN!X106,HN!AB106,HN!AF106))=5)*(CHOOSE({1,2,3,4},HN!W106,HN!AA106,HN!AE106,HN!AI106)))</f>
        <v>0</v>
      </c>
      <c r="F106">
        <f>SUMPRODUCT((MONTH(CHOOSE({1,2,3,4},HN!T106,HN!X106,HN!AB106,HN!AF106))=6)*(CHOOSE({1,2,3,4},HN!W106,HN!AA106,HN!AE106,HN!AI106)))</f>
        <v>0</v>
      </c>
      <c r="G106">
        <f>SUMPRODUCT((MONTH(CHOOSE({1,2,3,4},HN!T106,HN!X106,HN!AB106,HN!AF106))=7)*(CHOOSE({1,2,3,4},HN!W106,HN!AA106,HN!AE106,HN!AI106)))</f>
        <v>0</v>
      </c>
      <c r="H106">
        <f>SUMPRODUCT((MONTH(CHOOSE({1,2,3,4},HN!T106,HN!X106,HN!AB106,HN!AF106))=8)*(CHOOSE({1,2,3,4},HN!W106,HN!AA106,HN!AE106,HN!AI106)))</f>
        <v>0</v>
      </c>
      <c r="I106">
        <f>SUMPRODUCT((MONTH(CHOOSE({1,2,3,4},HN!T106,HN!X106,HN!AB106,HN!AF106))=9)*(CHOOSE({1,2,3,4},HN!W106,HN!AA106,HN!AE106,HN!AI106)))</f>
        <v>0</v>
      </c>
      <c r="J106">
        <f>SUMPRODUCT((MONTH(CHOOSE({1,2,3,4},HN!T106,HN!X106,HN!AB106,HN!AF106))=10)*(CHOOSE({1,2,3,4},HN!W106,HN!AA106,HN!AE106,HN!AI106)))</f>
        <v>0</v>
      </c>
      <c r="K106">
        <f>SUMPRODUCT((MONTH(CHOOSE({1,2,3,4},HN!T106,HN!X106,HN!AB106,HN!AF106))=11)*(CHOOSE({1,2,3,4},HN!W106,HN!AA106,HN!AE106,HN!AI106)))</f>
        <v>0</v>
      </c>
      <c r="L106">
        <f>SUMPRODUCT((MONTH(CHOOSE({1,2,3,4},HN!T106,HN!X106,HN!AB106,HN!AF106))=12)*(CHOOSE({1,2,3,4},HN!W106,HN!AA106,HN!AE106,HN!AI106)))</f>
        <v>0</v>
      </c>
    </row>
    <row r="107" spans="1:12">
      <c r="A107">
        <f>SUMPRODUCT((MONTH(CHOOSE({1,2,3,4},HN!T107,HN!X107,HN!AB107,HN!AF107))=1)*(CHOOSE({1,2,3,4},HN!W107,HN!AA107,HN!AE107,HN!AI107)))</f>
        <v>0</v>
      </c>
      <c r="B107">
        <f>SUMPRODUCT((MONTH(CHOOSE({1,2,3,4},HN!T107,HN!X107,HN!AB107,HN!AF107))=2)*(CHOOSE({1,2,3,4},HN!W107,HN!AA107,HN!AE107,HN!AI107)))</f>
        <v>0</v>
      </c>
      <c r="C107">
        <f>SUMPRODUCT((MONTH(CHOOSE({1,2,3,4},HN!T107,HN!X107,HN!AB107,HN!AF107))=3)*(CHOOSE({1,2,3,4},HN!W107,HN!AA107,HN!AE107,HN!AI107)))</f>
        <v>0</v>
      </c>
      <c r="D107">
        <f>SUMPRODUCT((MONTH(CHOOSE({1,2,3,4},HN!T107,HN!X107,HN!AB107,HN!AF107))=4)*(CHOOSE({1,2,3,4},HN!W107,HN!AA107,HN!AE107,HN!AI107)))</f>
        <v>0</v>
      </c>
      <c r="E107">
        <f>SUMPRODUCT((MONTH(CHOOSE({1,2,3,4},HN!T107,HN!X107,HN!AB107,HN!AF107))=5)*(CHOOSE({1,2,3,4},HN!W107,HN!AA107,HN!AE107,HN!AI107)))</f>
        <v>0</v>
      </c>
      <c r="F107">
        <f>SUMPRODUCT((MONTH(CHOOSE({1,2,3,4},HN!T107,HN!X107,HN!AB107,HN!AF107))=6)*(CHOOSE({1,2,3,4},HN!W107,HN!AA107,HN!AE107,HN!AI107)))</f>
        <v>0</v>
      </c>
      <c r="G107">
        <f>SUMPRODUCT((MONTH(CHOOSE({1,2,3,4},HN!T107,HN!X107,HN!AB107,HN!AF107))=7)*(CHOOSE({1,2,3,4},HN!W107,HN!AA107,HN!AE107,HN!AI107)))</f>
        <v>0</v>
      </c>
      <c r="H107">
        <f>SUMPRODUCT((MONTH(CHOOSE({1,2,3,4},HN!T107,HN!X107,HN!AB107,HN!AF107))=8)*(CHOOSE({1,2,3,4},HN!W107,HN!AA107,HN!AE107,HN!AI107)))</f>
        <v>0</v>
      </c>
      <c r="I107">
        <f>SUMPRODUCT((MONTH(CHOOSE({1,2,3,4},HN!T107,HN!X107,HN!AB107,HN!AF107))=9)*(CHOOSE({1,2,3,4},HN!W107,HN!AA107,HN!AE107,HN!AI107)))</f>
        <v>0</v>
      </c>
      <c r="J107">
        <f>SUMPRODUCT((MONTH(CHOOSE({1,2,3,4},HN!T107,HN!X107,HN!AB107,HN!AF107))=10)*(CHOOSE({1,2,3,4},HN!W107,HN!AA107,HN!AE107,HN!AI107)))</f>
        <v>0</v>
      </c>
      <c r="K107">
        <f>SUMPRODUCT((MONTH(CHOOSE({1,2,3,4},HN!T107,HN!X107,HN!AB107,HN!AF107))=11)*(CHOOSE({1,2,3,4},HN!W107,HN!AA107,HN!AE107,HN!AI107)))</f>
        <v>0</v>
      </c>
      <c r="L107">
        <f>SUMPRODUCT((MONTH(CHOOSE({1,2,3,4},HN!T107,HN!X107,HN!AB107,HN!AF107))=12)*(CHOOSE({1,2,3,4},HN!W107,HN!AA107,HN!AE107,HN!AI107)))</f>
        <v>0</v>
      </c>
    </row>
    <row r="108" spans="1:12">
      <c r="A108">
        <f>SUMPRODUCT((MONTH(CHOOSE({1,2,3,4},HN!T108,HN!X108,HN!AB108,HN!AF108))=1)*(CHOOSE({1,2,3,4},HN!W108,HN!AA108,HN!AE108,HN!AI108)))</f>
        <v>0</v>
      </c>
      <c r="B108">
        <f>SUMPRODUCT((MONTH(CHOOSE({1,2,3,4},HN!T108,HN!X108,HN!AB108,HN!AF108))=2)*(CHOOSE({1,2,3,4},HN!W108,HN!AA108,HN!AE108,HN!AI108)))</f>
        <v>0</v>
      </c>
      <c r="C108">
        <f>SUMPRODUCT((MONTH(CHOOSE({1,2,3,4},HN!T108,HN!X108,HN!AB108,HN!AF108))=3)*(CHOOSE({1,2,3,4},HN!W108,HN!AA108,HN!AE108,HN!AI108)))</f>
        <v>0</v>
      </c>
      <c r="D108">
        <f>SUMPRODUCT((MONTH(CHOOSE({1,2,3,4},HN!T108,HN!X108,HN!AB108,HN!AF108))=4)*(CHOOSE({1,2,3,4},HN!W108,HN!AA108,HN!AE108,HN!AI108)))</f>
        <v>0</v>
      </c>
      <c r="E108">
        <f>SUMPRODUCT((MONTH(CHOOSE({1,2,3,4},HN!T108,HN!X108,HN!AB108,HN!AF108))=5)*(CHOOSE({1,2,3,4},HN!W108,HN!AA108,HN!AE108,HN!AI108)))</f>
        <v>0</v>
      </c>
      <c r="F108">
        <f>SUMPRODUCT((MONTH(CHOOSE({1,2,3,4},HN!T108,HN!X108,HN!AB108,HN!AF108))=6)*(CHOOSE({1,2,3,4},HN!W108,HN!AA108,HN!AE108,HN!AI108)))</f>
        <v>0</v>
      </c>
      <c r="G108">
        <f>SUMPRODUCT((MONTH(CHOOSE({1,2,3,4},HN!T108,HN!X108,HN!AB108,HN!AF108))=7)*(CHOOSE({1,2,3,4},HN!W108,HN!AA108,HN!AE108,HN!AI108)))</f>
        <v>0</v>
      </c>
      <c r="H108">
        <f>SUMPRODUCT((MONTH(CHOOSE({1,2,3,4},HN!T108,HN!X108,HN!AB108,HN!AF108))=8)*(CHOOSE({1,2,3,4},HN!W108,HN!AA108,HN!AE108,HN!AI108)))</f>
        <v>0</v>
      </c>
      <c r="I108">
        <f>SUMPRODUCT((MONTH(CHOOSE({1,2,3,4},HN!T108,HN!X108,HN!AB108,HN!AF108))=9)*(CHOOSE({1,2,3,4},HN!W108,HN!AA108,HN!AE108,HN!AI108)))</f>
        <v>0</v>
      </c>
      <c r="J108">
        <f>SUMPRODUCT((MONTH(CHOOSE({1,2,3,4},HN!T108,HN!X108,HN!AB108,HN!AF108))=10)*(CHOOSE({1,2,3,4},HN!W108,HN!AA108,HN!AE108,HN!AI108)))</f>
        <v>0</v>
      </c>
      <c r="K108">
        <f>SUMPRODUCT((MONTH(CHOOSE({1,2,3,4},HN!T108,HN!X108,HN!AB108,HN!AF108))=11)*(CHOOSE({1,2,3,4},HN!W108,HN!AA108,HN!AE108,HN!AI108)))</f>
        <v>0</v>
      </c>
      <c r="L108">
        <f>SUMPRODUCT((MONTH(CHOOSE({1,2,3,4},HN!T108,HN!X108,HN!AB108,HN!AF108))=12)*(CHOOSE({1,2,3,4},HN!W108,HN!AA108,HN!AE108,HN!AI108)))</f>
        <v>0</v>
      </c>
    </row>
    <row r="109" spans="1:12">
      <c r="A109">
        <f>SUMPRODUCT((MONTH(CHOOSE({1,2,3,4},HN!T109,HN!X109,HN!AB109,HN!AF109))=1)*(CHOOSE({1,2,3,4},HN!W109,HN!AA109,HN!AE109,HN!AI109)))</f>
        <v>0</v>
      </c>
      <c r="B109">
        <f>SUMPRODUCT((MONTH(CHOOSE({1,2,3,4},HN!T109,HN!X109,HN!AB109,HN!AF109))=2)*(CHOOSE({1,2,3,4},HN!W109,HN!AA109,HN!AE109,HN!AI109)))</f>
        <v>0</v>
      </c>
      <c r="C109">
        <f>SUMPRODUCT((MONTH(CHOOSE({1,2,3,4},HN!T109,HN!X109,HN!AB109,HN!AF109))=3)*(CHOOSE({1,2,3,4},HN!W109,HN!AA109,HN!AE109,HN!AI109)))</f>
        <v>0</v>
      </c>
      <c r="D109">
        <f>SUMPRODUCT((MONTH(CHOOSE({1,2,3,4},HN!T109,HN!X109,HN!AB109,HN!AF109))=4)*(CHOOSE({1,2,3,4},HN!W109,HN!AA109,HN!AE109,HN!AI109)))</f>
        <v>0</v>
      </c>
      <c r="E109">
        <f>SUMPRODUCT((MONTH(CHOOSE({1,2,3,4},HN!T109,HN!X109,HN!AB109,HN!AF109))=5)*(CHOOSE({1,2,3,4},HN!W109,HN!AA109,HN!AE109,HN!AI109)))</f>
        <v>0</v>
      </c>
      <c r="F109">
        <f>SUMPRODUCT((MONTH(CHOOSE({1,2,3,4},HN!T109,HN!X109,HN!AB109,HN!AF109))=6)*(CHOOSE({1,2,3,4},HN!W109,HN!AA109,HN!AE109,HN!AI109)))</f>
        <v>0</v>
      </c>
      <c r="G109">
        <f>SUMPRODUCT((MONTH(CHOOSE({1,2,3,4},HN!T109,HN!X109,HN!AB109,HN!AF109))=7)*(CHOOSE({1,2,3,4},HN!W109,HN!AA109,HN!AE109,HN!AI109)))</f>
        <v>0</v>
      </c>
      <c r="H109">
        <f>SUMPRODUCT((MONTH(CHOOSE({1,2,3,4},HN!T109,HN!X109,HN!AB109,HN!AF109))=8)*(CHOOSE({1,2,3,4},HN!W109,HN!AA109,HN!AE109,HN!AI109)))</f>
        <v>0</v>
      </c>
      <c r="I109">
        <f>SUMPRODUCT((MONTH(CHOOSE({1,2,3,4},HN!T109,HN!X109,HN!AB109,HN!AF109))=9)*(CHOOSE({1,2,3,4},HN!W109,HN!AA109,HN!AE109,HN!AI109)))</f>
        <v>0</v>
      </c>
      <c r="J109">
        <f>SUMPRODUCT((MONTH(CHOOSE({1,2,3,4},HN!T109,HN!X109,HN!AB109,HN!AF109))=10)*(CHOOSE({1,2,3,4},HN!W109,HN!AA109,HN!AE109,HN!AI109)))</f>
        <v>0</v>
      </c>
      <c r="K109">
        <f>SUMPRODUCT((MONTH(CHOOSE({1,2,3,4},HN!T109,HN!X109,HN!AB109,HN!AF109))=11)*(CHOOSE({1,2,3,4},HN!W109,HN!AA109,HN!AE109,HN!AI109)))</f>
        <v>0</v>
      </c>
      <c r="L109">
        <f>SUMPRODUCT((MONTH(CHOOSE({1,2,3,4},HN!T109,HN!X109,HN!AB109,HN!AF109))=12)*(CHOOSE({1,2,3,4},HN!W109,HN!AA109,HN!AE109,HN!AI109)))</f>
        <v>0</v>
      </c>
    </row>
    <row r="110" spans="1:12">
      <c r="A110">
        <f>SUMPRODUCT((MONTH(CHOOSE({1,2,3,4},HN!T110,HN!X110,HN!AB110,HN!AF110))=1)*(CHOOSE({1,2,3,4},HN!W110,HN!AA110,HN!AE110,HN!AI110)))</f>
        <v>0</v>
      </c>
      <c r="B110">
        <f>SUMPRODUCT((MONTH(CHOOSE({1,2,3,4},HN!T110,HN!X110,HN!AB110,HN!AF110))=2)*(CHOOSE({1,2,3,4},HN!W110,HN!AA110,HN!AE110,HN!AI110)))</f>
        <v>0</v>
      </c>
      <c r="C110">
        <f>SUMPRODUCT((MONTH(CHOOSE({1,2,3,4},HN!T110,HN!X110,HN!AB110,HN!AF110))=3)*(CHOOSE({1,2,3,4},HN!W110,HN!AA110,HN!AE110,HN!AI110)))</f>
        <v>0</v>
      </c>
      <c r="D110">
        <f>SUMPRODUCT((MONTH(CHOOSE({1,2,3,4},HN!T110,HN!X110,HN!AB110,HN!AF110))=4)*(CHOOSE({1,2,3,4},HN!W110,HN!AA110,HN!AE110,HN!AI110)))</f>
        <v>0</v>
      </c>
      <c r="E110">
        <f>SUMPRODUCT((MONTH(CHOOSE({1,2,3,4},HN!T110,HN!X110,HN!AB110,HN!AF110))=5)*(CHOOSE({1,2,3,4},HN!W110,HN!AA110,HN!AE110,HN!AI110)))</f>
        <v>0</v>
      </c>
      <c r="F110">
        <f>SUMPRODUCT((MONTH(CHOOSE({1,2,3,4},HN!T110,HN!X110,HN!AB110,HN!AF110))=6)*(CHOOSE({1,2,3,4},HN!W110,HN!AA110,HN!AE110,HN!AI110)))</f>
        <v>0</v>
      </c>
      <c r="G110">
        <f>SUMPRODUCT((MONTH(CHOOSE({1,2,3,4},HN!T110,HN!X110,HN!AB110,HN!AF110))=7)*(CHOOSE({1,2,3,4},HN!W110,HN!AA110,HN!AE110,HN!AI110)))</f>
        <v>0</v>
      </c>
      <c r="H110">
        <f>SUMPRODUCT((MONTH(CHOOSE({1,2,3,4},HN!T110,HN!X110,HN!AB110,HN!AF110))=8)*(CHOOSE({1,2,3,4},HN!W110,HN!AA110,HN!AE110,HN!AI110)))</f>
        <v>0</v>
      </c>
      <c r="I110">
        <f>SUMPRODUCT((MONTH(CHOOSE({1,2,3,4},HN!T110,HN!X110,HN!AB110,HN!AF110))=9)*(CHOOSE({1,2,3,4},HN!W110,HN!AA110,HN!AE110,HN!AI110)))</f>
        <v>0</v>
      </c>
      <c r="J110">
        <f>SUMPRODUCT((MONTH(CHOOSE({1,2,3,4},HN!T110,HN!X110,HN!AB110,HN!AF110))=10)*(CHOOSE({1,2,3,4},HN!W110,HN!AA110,HN!AE110,HN!AI110)))</f>
        <v>0</v>
      </c>
      <c r="K110">
        <f>SUMPRODUCT((MONTH(CHOOSE({1,2,3,4},HN!T110,HN!X110,HN!AB110,HN!AF110))=11)*(CHOOSE({1,2,3,4},HN!W110,HN!AA110,HN!AE110,HN!AI110)))</f>
        <v>0</v>
      </c>
      <c r="L110">
        <f>SUMPRODUCT((MONTH(CHOOSE({1,2,3,4},HN!T110,HN!X110,HN!AB110,HN!AF110))=12)*(CHOOSE({1,2,3,4},HN!W110,HN!AA110,HN!AE110,HN!AI110)))</f>
        <v>0</v>
      </c>
    </row>
    <row r="111" spans="1:12">
      <c r="A111">
        <f>SUMPRODUCT((MONTH(CHOOSE({1,2,3,4},HN!T111,HN!X111,HN!AB111,HN!AF111))=1)*(CHOOSE({1,2,3,4},HN!W111,HN!AA111,HN!AE111,HN!AI111)))</f>
        <v>0</v>
      </c>
      <c r="B111">
        <f>SUMPRODUCT((MONTH(CHOOSE({1,2,3,4},HN!T111,HN!X111,HN!AB111,HN!AF111))=2)*(CHOOSE({1,2,3,4},HN!W111,HN!AA111,HN!AE111,HN!AI111)))</f>
        <v>0</v>
      </c>
      <c r="C111">
        <f>SUMPRODUCT((MONTH(CHOOSE({1,2,3,4},HN!T111,HN!X111,HN!AB111,HN!AF111))=3)*(CHOOSE({1,2,3,4},HN!W111,HN!AA111,HN!AE111,HN!AI111)))</f>
        <v>0</v>
      </c>
      <c r="D111">
        <f>SUMPRODUCT((MONTH(CHOOSE({1,2,3,4},HN!T111,HN!X111,HN!AB111,HN!AF111))=4)*(CHOOSE({1,2,3,4},HN!W111,HN!AA111,HN!AE111,HN!AI111)))</f>
        <v>0</v>
      </c>
      <c r="E111">
        <f>SUMPRODUCT((MONTH(CHOOSE({1,2,3,4},HN!T111,HN!X111,HN!AB111,HN!AF111))=5)*(CHOOSE({1,2,3,4},HN!W111,HN!AA111,HN!AE111,HN!AI111)))</f>
        <v>0</v>
      </c>
      <c r="F111">
        <f>SUMPRODUCT((MONTH(CHOOSE({1,2,3,4},HN!T111,HN!X111,HN!AB111,HN!AF111))=6)*(CHOOSE({1,2,3,4},HN!W111,HN!AA111,HN!AE111,HN!AI111)))</f>
        <v>0</v>
      </c>
      <c r="G111">
        <f>SUMPRODUCT((MONTH(CHOOSE({1,2,3,4},HN!T111,HN!X111,HN!AB111,HN!AF111))=7)*(CHOOSE({1,2,3,4},HN!W111,HN!AA111,HN!AE111,HN!AI111)))</f>
        <v>0</v>
      </c>
      <c r="H111">
        <f>SUMPRODUCT((MONTH(CHOOSE({1,2,3,4},HN!T111,HN!X111,HN!AB111,HN!AF111))=8)*(CHOOSE({1,2,3,4},HN!W111,HN!AA111,HN!AE111,HN!AI111)))</f>
        <v>0</v>
      </c>
      <c r="I111">
        <f>SUMPRODUCT((MONTH(CHOOSE({1,2,3,4},HN!T111,HN!X111,HN!AB111,HN!AF111))=9)*(CHOOSE({1,2,3,4},HN!W111,HN!AA111,HN!AE111,HN!AI111)))</f>
        <v>0</v>
      </c>
      <c r="J111">
        <f>SUMPRODUCT((MONTH(CHOOSE({1,2,3,4},HN!T111,HN!X111,HN!AB111,HN!AF111))=10)*(CHOOSE({1,2,3,4},HN!W111,HN!AA111,HN!AE111,HN!AI111)))</f>
        <v>0</v>
      </c>
      <c r="K111">
        <f>SUMPRODUCT((MONTH(CHOOSE({1,2,3,4},HN!T111,HN!X111,HN!AB111,HN!AF111))=11)*(CHOOSE({1,2,3,4},HN!W111,HN!AA111,HN!AE111,HN!AI111)))</f>
        <v>0</v>
      </c>
      <c r="L111">
        <f>SUMPRODUCT((MONTH(CHOOSE({1,2,3,4},HN!T111,HN!X111,HN!AB111,HN!AF111))=12)*(CHOOSE({1,2,3,4},HN!W111,HN!AA111,HN!AE111,HN!AI111)))</f>
        <v>0</v>
      </c>
    </row>
    <row r="112" spans="1:12">
      <c r="A112">
        <f>SUMPRODUCT((MONTH(CHOOSE({1,2,3,4},HN!T112,HN!X112,HN!AB112,HN!AF112))=1)*(CHOOSE({1,2,3,4},HN!W112,HN!AA112,HN!AE112,HN!AI112)))</f>
        <v>0</v>
      </c>
      <c r="B112">
        <f>SUMPRODUCT((MONTH(CHOOSE({1,2,3,4},HN!T112,HN!X112,HN!AB112,HN!AF112))=2)*(CHOOSE({1,2,3,4},HN!W112,HN!AA112,HN!AE112,HN!AI112)))</f>
        <v>0</v>
      </c>
      <c r="C112">
        <f>SUMPRODUCT((MONTH(CHOOSE({1,2,3,4},HN!T112,HN!X112,HN!AB112,HN!AF112))=3)*(CHOOSE({1,2,3,4},HN!W112,HN!AA112,HN!AE112,HN!AI112)))</f>
        <v>0</v>
      </c>
      <c r="D112">
        <f>SUMPRODUCT((MONTH(CHOOSE({1,2,3,4},HN!T112,HN!X112,HN!AB112,HN!AF112))=4)*(CHOOSE({1,2,3,4},HN!W112,HN!AA112,HN!AE112,HN!AI112)))</f>
        <v>0</v>
      </c>
      <c r="E112">
        <f>SUMPRODUCT((MONTH(CHOOSE({1,2,3,4},HN!T112,HN!X112,HN!AB112,HN!AF112))=5)*(CHOOSE({1,2,3,4},HN!W112,HN!AA112,HN!AE112,HN!AI112)))</f>
        <v>0</v>
      </c>
      <c r="F112">
        <f>SUMPRODUCT((MONTH(CHOOSE({1,2,3,4},HN!T112,HN!X112,HN!AB112,HN!AF112))=6)*(CHOOSE({1,2,3,4},HN!W112,HN!AA112,HN!AE112,HN!AI112)))</f>
        <v>0</v>
      </c>
      <c r="G112">
        <f>SUMPRODUCT((MONTH(CHOOSE({1,2,3,4},HN!T112,HN!X112,HN!AB112,HN!AF112))=7)*(CHOOSE({1,2,3,4},HN!W112,HN!AA112,HN!AE112,HN!AI112)))</f>
        <v>0</v>
      </c>
      <c r="H112">
        <f>SUMPRODUCT((MONTH(CHOOSE({1,2,3,4},HN!T112,HN!X112,HN!AB112,HN!AF112))=8)*(CHOOSE({1,2,3,4},HN!W112,HN!AA112,HN!AE112,HN!AI112)))</f>
        <v>0</v>
      </c>
      <c r="I112">
        <f>SUMPRODUCT((MONTH(CHOOSE({1,2,3,4},HN!T112,HN!X112,HN!AB112,HN!AF112))=9)*(CHOOSE({1,2,3,4},HN!W112,HN!AA112,HN!AE112,HN!AI112)))</f>
        <v>0</v>
      </c>
      <c r="J112">
        <f>SUMPRODUCT((MONTH(CHOOSE({1,2,3,4},HN!T112,HN!X112,HN!AB112,HN!AF112))=10)*(CHOOSE({1,2,3,4},HN!W112,HN!AA112,HN!AE112,HN!AI112)))</f>
        <v>0</v>
      </c>
      <c r="K112">
        <f>SUMPRODUCT((MONTH(CHOOSE({1,2,3,4},HN!T112,HN!X112,HN!AB112,HN!AF112))=11)*(CHOOSE({1,2,3,4},HN!W112,HN!AA112,HN!AE112,HN!AI112)))</f>
        <v>0</v>
      </c>
      <c r="L112">
        <f>SUMPRODUCT((MONTH(CHOOSE({1,2,3,4},HN!T112,HN!X112,HN!AB112,HN!AF112))=12)*(CHOOSE({1,2,3,4},HN!W112,HN!AA112,HN!AE112,HN!AI112)))</f>
        <v>0</v>
      </c>
    </row>
    <row r="113" spans="1:12">
      <c r="A113">
        <f>SUMPRODUCT((MONTH(CHOOSE({1,2,3,4},HN!T113,HN!X113,HN!AB113,HN!AF113))=1)*(CHOOSE({1,2,3,4},HN!W113,HN!AA113,HN!AE113,HN!AI113)))</f>
        <v>0</v>
      </c>
      <c r="B113">
        <f>SUMPRODUCT((MONTH(CHOOSE({1,2,3,4},HN!T113,HN!X113,HN!AB113,HN!AF113))=2)*(CHOOSE({1,2,3,4},HN!W113,HN!AA113,HN!AE113,HN!AI113)))</f>
        <v>0</v>
      </c>
      <c r="C113">
        <f>SUMPRODUCT((MONTH(CHOOSE({1,2,3,4},HN!T113,HN!X113,HN!AB113,HN!AF113))=3)*(CHOOSE({1,2,3,4},HN!W113,HN!AA113,HN!AE113,HN!AI113)))</f>
        <v>0</v>
      </c>
      <c r="D113">
        <f>SUMPRODUCT((MONTH(CHOOSE({1,2,3,4},HN!T113,HN!X113,HN!AB113,HN!AF113))=4)*(CHOOSE({1,2,3,4},HN!W113,HN!AA113,HN!AE113,HN!AI113)))</f>
        <v>0</v>
      </c>
      <c r="E113">
        <f>SUMPRODUCT((MONTH(CHOOSE({1,2,3,4},HN!T113,HN!X113,HN!AB113,HN!AF113))=5)*(CHOOSE({1,2,3,4},HN!W113,HN!AA113,HN!AE113,HN!AI113)))</f>
        <v>0</v>
      </c>
      <c r="F113">
        <f>SUMPRODUCT((MONTH(CHOOSE({1,2,3,4},HN!T113,HN!X113,HN!AB113,HN!AF113))=6)*(CHOOSE({1,2,3,4},HN!W113,HN!AA113,HN!AE113,HN!AI113)))</f>
        <v>0</v>
      </c>
      <c r="G113">
        <f>SUMPRODUCT((MONTH(CHOOSE({1,2,3,4},HN!T113,HN!X113,HN!AB113,HN!AF113))=7)*(CHOOSE({1,2,3,4},HN!W113,HN!AA113,HN!AE113,HN!AI113)))</f>
        <v>0</v>
      </c>
      <c r="H113">
        <f>SUMPRODUCT((MONTH(CHOOSE({1,2,3,4},HN!T113,HN!X113,HN!AB113,HN!AF113))=8)*(CHOOSE({1,2,3,4},HN!W113,HN!AA113,HN!AE113,HN!AI113)))</f>
        <v>0</v>
      </c>
      <c r="I113">
        <f>SUMPRODUCT((MONTH(CHOOSE({1,2,3,4},HN!T113,HN!X113,HN!AB113,HN!AF113))=9)*(CHOOSE({1,2,3,4},HN!W113,HN!AA113,HN!AE113,HN!AI113)))</f>
        <v>0</v>
      </c>
      <c r="J113">
        <f>SUMPRODUCT((MONTH(CHOOSE({1,2,3,4},HN!T113,HN!X113,HN!AB113,HN!AF113))=10)*(CHOOSE({1,2,3,4},HN!W113,HN!AA113,HN!AE113,HN!AI113)))</f>
        <v>0</v>
      </c>
      <c r="K113">
        <f>SUMPRODUCT((MONTH(CHOOSE({1,2,3,4},HN!T113,HN!X113,HN!AB113,HN!AF113))=11)*(CHOOSE({1,2,3,4},HN!W113,HN!AA113,HN!AE113,HN!AI113)))</f>
        <v>0</v>
      </c>
      <c r="L113">
        <f>SUMPRODUCT((MONTH(CHOOSE({1,2,3,4},HN!T113,HN!X113,HN!AB113,HN!AF113))=12)*(CHOOSE({1,2,3,4},HN!W113,HN!AA113,HN!AE113,HN!AI113)))</f>
        <v>0</v>
      </c>
    </row>
    <row r="114" spans="1:12">
      <c r="A114">
        <f>SUMPRODUCT((MONTH(CHOOSE({1,2,3,4},HN!T114,HN!X114,HN!AB114,HN!AF114))=1)*(CHOOSE({1,2,3,4},HN!W114,HN!AA114,HN!AE114,HN!AI114)))</f>
        <v>0</v>
      </c>
      <c r="B114">
        <f>SUMPRODUCT((MONTH(CHOOSE({1,2,3,4},HN!T114,HN!X114,HN!AB114,HN!AF114))=2)*(CHOOSE({1,2,3,4},HN!W114,HN!AA114,HN!AE114,HN!AI114)))</f>
        <v>0</v>
      </c>
      <c r="C114">
        <f>SUMPRODUCT((MONTH(CHOOSE({1,2,3,4},HN!T114,HN!X114,HN!AB114,HN!AF114))=3)*(CHOOSE({1,2,3,4},HN!W114,HN!AA114,HN!AE114,HN!AI114)))</f>
        <v>0</v>
      </c>
      <c r="D114">
        <f>SUMPRODUCT((MONTH(CHOOSE({1,2,3,4},HN!T114,HN!X114,HN!AB114,HN!AF114))=4)*(CHOOSE({1,2,3,4},HN!W114,HN!AA114,HN!AE114,HN!AI114)))</f>
        <v>0</v>
      </c>
      <c r="E114">
        <f>SUMPRODUCT((MONTH(CHOOSE({1,2,3,4},HN!T114,HN!X114,HN!AB114,HN!AF114))=5)*(CHOOSE({1,2,3,4},HN!W114,HN!AA114,HN!AE114,HN!AI114)))</f>
        <v>0</v>
      </c>
      <c r="F114">
        <f>SUMPRODUCT((MONTH(CHOOSE({1,2,3,4},HN!T114,HN!X114,HN!AB114,HN!AF114))=6)*(CHOOSE({1,2,3,4},HN!W114,HN!AA114,HN!AE114,HN!AI114)))</f>
        <v>0</v>
      </c>
      <c r="G114">
        <f>SUMPRODUCT((MONTH(CHOOSE({1,2,3,4},HN!T114,HN!X114,HN!AB114,HN!AF114))=7)*(CHOOSE({1,2,3,4},HN!W114,HN!AA114,HN!AE114,HN!AI114)))</f>
        <v>0</v>
      </c>
      <c r="H114">
        <f>SUMPRODUCT((MONTH(CHOOSE({1,2,3,4},HN!T114,HN!X114,HN!AB114,HN!AF114))=8)*(CHOOSE({1,2,3,4},HN!W114,HN!AA114,HN!AE114,HN!AI114)))</f>
        <v>0</v>
      </c>
      <c r="I114">
        <f>SUMPRODUCT((MONTH(CHOOSE({1,2,3,4},HN!T114,HN!X114,HN!AB114,HN!AF114))=9)*(CHOOSE({1,2,3,4},HN!W114,HN!AA114,HN!AE114,HN!AI114)))</f>
        <v>0</v>
      </c>
      <c r="J114">
        <f>SUMPRODUCT((MONTH(CHOOSE({1,2,3,4},HN!T114,HN!X114,HN!AB114,HN!AF114))=10)*(CHOOSE({1,2,3,4},HN!W114,HN!AA114,HN!AE114,HN!AI114)))</f>
        <v>0</v>
      </c>
      <c r="K114">
        <f>SUMPRODUCT((MONTH(CHOOSE({1,2,3,4},HN!T114,HN!X114,HN!AB114,HN!AF114))=11)*(CHOOSE({1,2,3,4},HN!W114,HN!AA114,HN!AE114,HN!AI114)))</f>
        <v>0</v>
      </c>
      <c r="L114">
        <f>SUMPRODUCT((MONTH(CHOOSE({1,2,3,4},HN!T114,HN!X114,HN!AB114,HN!AF114))=12)*(CHOOSE({1,2,3,4},HN!W114,HN!AA114,HN!AE114,HN!AI114)))</f>
        <v>0</v>
      </c>
    </row>
    <row r="115" spans="1:12">
      <c r="A115">
        <f>SUMPRODUCT((MONTH(CHOOSE({1,2,3,4},HN!T115,HN!X115,HN!AB115,HN!AF115))=1)*(CHOOSE({1,2,3,4},HN!W115,HN!AA115,HN!AE115,HN!AI115)))</f>
        <v>0</v>
      </c>
      <c r="B115">
        <f>SUMPRODUCT((MONTH(CHOOSE({1,2,3,4},HN!T115,HN!X115,HN!AB115,HN!AF115))=2)*(CHOOSE({1,2,3,4},HN!W115,HN!AA115,HN!AE115,HN!AI115)))</f>
        <v>0</v>
      </c>
      <c r="C115">
        <f>SUMPRODUCT((MONTH(CHOOSE({1,2,3,4},HN!T115,HN!X115,HN!AB115,HN!AF115))=3)*(CHOOSE({1,2,3,4},HN!W115,HN!AA115,HN!AE115,HN!AI115)))</f>
        <v>0</v>
      </c>
      <c r="D115">
        <f>SUMPRODUCT((MONTH(CHOOSE({1,2,3,4},HN!T115,HN!X115,HN!AB115,HN!AF115))=4)*(CHOOSE({1,2,3,4},HN!W115,HN!AA115,HN!AE115,HN!AI115)))</f>
        <v>0</v>
      </c>
      <c r="E115">
        <f>SUMPRODUCT((MONTH(CHOOSE({1,2,3,4},HN!T115,HN!X115,HN!AB115,HN!AF115))=5)*(CHOOSE({1,2,3,4},HN!W115,HN!AA115,HN!AE115,HN!AI115)))</f>
        <v>0</v>
      </c>
      <c r="F115">
        <f>SUMPRODUCT((MONTH(CHOOSE({1,2,3,4},HN!T115,HN!X115,HN!AB115,HN!AF115))=6)*(CHOOSE({1,2,3,4},HN!W115,HN!AA115,HN!AE115,HN!AI115)))</f>
        <v>0</v>
      </c>
      <c r="G115">
        <f>SUMPRODUCT((MONTH(CHOOSE({1,2,3,4},HN!T115,HN!X115,HN!AB115,HN!AF115))=7)*(CHOOSE({1,2,3,4},HN!W115,HN!AA115,HN!AE115,HN!AI115)))</f>
        <v>0</v>
      </c>
      <c r="H115">
        <f>SUMPRODUCT((MONTH(CHOOSE({1,2,3,4},HN!T115,HN!X115,HN!AB115,HN!AF115))=8)*(CHOOSE({1,2,3,4},HN!W115,HN!AA115,HN!AE115,HN!AI115)))</f>
        <v>0</v>
      </c>
      <c r="I115">
        <f>SUMPRODUCT((MONTH(CHOOSE({1,2,3,4},HN!T115,HN!X115,HN!AB115,HN!AF115))=9)*(CHOOSE({1,2,3,4},HN!W115,HN!AA115,HN!AE115,HN!AI115)))</f>
        <v>0</v>
      </c>
      <c r="J115">
        <f>SUMPRODUCT((MONTH(CHOOSE({1,2,3,4},HN!T115,HN!X115,HN!AB115,HN!AF115))=10)*(CHOOSE({1,2,3,4},HN!W115,HN!AA115,HN!AE115,HN!AI115)))</f>
        <v>0</v>
      </c>
      <c r="K115">
        <f>SUMPRODUCT((MONTH(CHOOSE({1,2,3,4},HN!T115,HN!X115,HN!AB115,HN!AF115))=11)*(CHOOSE({1,2,3,4},HN!W115,HN!AA115,HN!AE115,HN!AI115)))</f>
        <v>0</v>
      </c>
      <c r="L115">
        <f>SUMPRODUCT((MONTH(CHOOSE({1,2,3,4},HN!T115,HN!X115,HN!AB115,HN!AF115))=12)*(CHOOSE({1,2,3,4},HN!W115,HN!AA115,HN!AE115,HN!AI115)))</f>
        <v>0</v>
      </c>
    </row>
    <row r="116" spans="1:12">
      <c r="A116">
        <f>SUMPRODUCT((MONTH(CHOOSE({1,2,3,4},HN!T116,HN!X116,HN!AB116,HN!AF116))=1)*(CHOOSE({1,2,3,4},HN!W116,HN!AA116,HN!AE116,HN!AI116)))</f>
        <v>0</v>
      </c>
      <c r="B116">
        <f>SUMPRODUCT((MONTH(CHOOSE({1,2,3,4},HN!T116,HN!X116,HN!AB116,HN!AF116))=2)*(CHOOSE({1,2,3,4},HN!W116,HN!AA116,HN!AE116,HN!AI116)))</f>
        <v>0</v>
      </c>
      <c r="C116">
        <f>SUMPRODUCT((MONTH(CHOOSE({1,2,3,4},HN!T116,HN!X116,HN!AB116,HN!AF116))=3)*(CHOOSE({1,2,3,4},HN!W116,HN!AA116,HN!AE116,HN!AI116)))</f>
        <v>0</v>
      </c>
      <c r="D116">
        <f>SUMPRODUCT((MONTH(CHOOSE({1,2,3,4},HN!T116,HN!X116,HN!AB116,HN!AF116))=4)*(CHOOSE({1,2,3,4},HN!W116,HN!AA116,HN!AE116,HN!AI116)))</f>
        <v>0</v>
      </c>
      <c r="E116">
        <f>SUMPRODUCT((MONTH(CHOOSE({1,2,3,4},HN!T116,HN!X116,HN!AB116,HN!AF116))=5)*(CHOOSE({1,2,3,4},HN!W116,HN!AA116,HN!AE116,HN!AI116)))</f>
        <v>0</v>
      </c>
      <c r="F116">
        <f>SUMPRODUCT((MONTH(CHOOSE({1,2,3,4},HN!T116,HN!X116,HN!AB116,HN!AF116))=6)*(CHOOSE({1,2,3,4},HN!W116,HN!AA116,HN!AE116,HN!AI116)))</f>
        <v>0</v>
      </c>
      <c r="G116">
        <f>SUMPRODUCT((MONTH(CHOOSE({1,2,3,4},HN!T116,HN!X116,HN!AB116,HN!AF116))=7)*(CHOOSE({1,2,3,4},HN!W116,HN!AA116,HN!AE116,HN!AI116)))</f>
        <v>0</v>
      </c>
      <c r="H116">
        <f>SUMPRODUCT((MONTH(CHOOSE({1,2,3,4},HN!T116,HN!X116,HN!AB116,HN!AF116))=8)*(CHOOSE({1,2,3,4},HN!W116,HN!AA116,HN!AE116,HN!AI116)))</f>
        <v>0</v>
      </c>
      <c r="I116">
        <f>SUMPRODUCT((MONTH(CHOOSE({1,2,3,4},HN!T116,HN!X116,HN!AB116,HN!AF116))=9)*(CHOOSE({1,2,3,4},HN!W116,HN!AA116,HN!AE116,HN!AI116)))</f>
        <v>0</v>
      </c>
      <c r="J116">
        <f>SUMPRODUCT((MONTH(CHOOSE({1,2,3,4},HN!T116,HN!X116,HN!AB116,HN!AF116))=10)*(CHOOSE({1,2,3,4},HN!W116,HN!AA116,HN!AE116,HN!AI116)))</f>
        <v>0</v>
      </c>
      <c r="K116">
        <f>SUMPRODUCT((MONTH(CHOOSE({1,2,3,4},HN!T116,HN!X116,HN!AB116,HN!AF116))=11)*(CHOOSE({1,2,3,4},HN!W116,HN!AA116,HN!AE116,HN!AI116)))</f>
        <v>0</v>
      </c>
      <c r="L116">
        <f>SUMPRODUCT((MONTH(CHOOSE({1,2,3,4},HN!T116,HN!X116,HN!AB116,HN!AF116))=12)*(CHOOSE({1,2,3,4},HN!W116,HN!AA116,HN!AE116,HN!AI116)))</f>
        <v>0</v>
      </c>
    </row>
    <row r="117" spans="1:12">
      <c r="A117">
        <f>SUMPRODUCT((MONTH(CHOOSE({1,2,3,4},HN!T117,HN!X117,HN!AB117,HN!AF117))=1)*(CHOOSE({1,2,3,4},HN!W117,HN!AA117,HN!AE117,HN!AI117)))</f>
        <v>0</v>
      </c>
      <c r="B117">
        <f>SUMPRODUCT((MONTH(CHOOSE({1,2,3,4},HN!T117,HN!X117,HN!AB117,HN!AF117))=2)*(CHOOSE({1,2,3,4},HN!W117,HN!AA117,HN!AE117,HN!AI117)))</f>
        <v>0</v>
      </c>
      <c r="C117">
        <f>SUMPRODUCT((MONTH(CHOOSE({1,2,3,4},HN!T117,HN!X117,HN!AB117,HN!AF117))=3)*(CHOOSE({1,2,3,4},HN!W117,HN!AA117,HN!AE117,HN!AI117)))</f>
        <v>0</v>
      </c>
      <c r="D117">
        <f>SUMPRODUCT((MONTH(CHOOSE({1,2,3,4},HN!T117,HN!X117,HN!AB117,HN!AF117))=4)*(CHOOSE({1,2,3,4},HN!W117,HN!AA117,HN!AE117,HN!AI117)))</f>
        <v>0</v>
      </c>
      <c r="E117">
        <f>SUMPRODUCT((MONTH(CHOOSE({1,2,3,4},HN!T117,HN!X117,HN!AB117,HN!AF117))=5)*(CHOOSE({1,2,3,4},HN!W117,HN!AA117,HN!AE117,HN!AI117)))</f>
        <v>0</v>
      </c>
      <c r="F117">
        <f>SUMPRODUCT((MONTH(CHOOSE({1,2,3,4},HN!T117,HN!X117,HN!AB117,HN!AF117))=6)*(CHOOSE({1,2,3,4},HN!W117,HN!AA117,HN!AE117,HN!AI117)))</f>
        <v>0</v>
      </c>
      <c r="G117">
        <f>SUMPRODUCT((MONTH(CHOOSE({1,2,3,4},HN!T117,HN!X117,HN!AB117,HN!AF117))=7)*(CHOOSE({1,2,3,4},HN!W117,HN!AA117,HN!AE117,HN!AI117)))</f>
        <v>0</v>
      </c>
      <c r="H117">
        <f>SUMPRODUCT((MONTH(CHOOSE({1,2,3,4},HN!T117,HN!X117,HN!AB117,HN!AF117))=8)*(CHOOSE({1,2,3,4},HN!W117,HN!AA117,HN!AE117,HN!AI117)))</f>
        <v>0</v>
      </c>
      <c r="I117">
        <f>SUMPRODUCT((MONTH(CHOOSE({1,2,3,4},HN!T117,HN!X117,HN!AB117,HN!AF117))=9)*(CHOOSE({1,2,3,4},HN!W117,HN!AA117,HN!AE117,HN!AI117)))</f>
        <v>0</v>
      </c>
      <c r="J117">
        <f>SUMPRODUCT((MONTH(CHOOSE({1,2,3,4},HN!T117,HN!X117,HN!AB117,HN!AF117))=10)*(CHOOSE({1,2,3,4},HN!W117,HN!AA117,HN!AE117,HN!AI117)))</f>
        <v>0</v>
      </c>
      <c r="K117">
        <f>SUMPRODUCT((MONTH(CHOOSE({1,2,3,4},HN!T117,HN!X117,HN!AB117,HN!AF117))=11)*(CHOOSE({1,2,3,4},HN!W117,HN!AA117,HN!AE117,HN!AI117)))</f>
        <v>0</v>
      </c>
      <c r="L117">
        <f>SUMPRODUCT((MONTH(CHOOSE({1,2,3,4},HN!T117,HN!X117,HN!AB117,HN!AF117))=12)*(CHOOSE({1,2,3,4},HN!W117,HN!AA117,HN!AE117,HN!AI117)))</f>
        <v>0</v>
      </c>
    </row>
    <row r="118" spans="1:12">
      <c r="A118">
        <f>SUMPRODUCT((MONTH(CHOOSE({1,2,3,4},HN!T118,HN!X118,HN!AB118,HN!AF118))=1)*(CHOOSE({1,2,3,4},HN!W118,HN!AA118,HN!AE118,HN!AI118)))</f>
        <v>0</v>
      </c>
      <c r="B118">
        <f>SUMPRODUCT((MONTH(CHOOSE({1,2,3,4},HN!T118,HN!X118,HN!AB118,HN!AF118))=2)*(CHOOSE({1,2,3,4},HN!W118,HN!AA118,HN!AE118,HN!AI118)))</f>
        <v>0</v>
      </c>
      <c r="C118">
        <f>SUMPRODUCT((MONTH(CHOOSE({1,2,3,4},HN!T118,HN!X118,HN!AB118,HN!AF118))=3)*(CHOOSE({1,2,3,4},HN!W118,HN!AA118,HN!AE118,HN!AI118)))</f>
        <v>0</v>
      </c>
      <c r="D118">
        <f>SUMPRODUCT((MONTH(CHOOSE({1,2,3,4},HN!T118,HN!X118,HN!AB118,HN!AF118))=4)*(CHOOSE({1,2,3,4},HN!W118,HN!AA118,HN!AE118,HN!AI118)))</f>
        <v>0</v>
      </c>
      <c r="E118">
        <f>SUMPRODUCT((MONTH(CHOOSE({1,2,3,4},HN!T118,HN!X118,HN!AB118,HN!AF118))=5)*(CHOOSE({1,2,3,4},HN!W118,HN!AA118,HN!AE118,HN!AI118)))</f>
        <v>0</v>
      </c>
      <c r="F118">
        <f>SUMPRODUCT((MONTH(CHOOSE({1,2,3,4},HN!T118,HN!X118,HN!AB118,HN!AF118))=6)*(CHOOSE({1,2,3,4},HN!W118,HN!AA118,HN!AE118,HN!AI118)))</f>
        <v>0</v>
      </c>
      <c r="G118">
        <f>SUMPRODUCT((MONTH(CHOOSE({1,2,3,4},HN!T118,HN!X118,HN!AB118,HN!AF118))=7)*(CHOOSE({1,2,3,4},HN!W118,HN!AA118,HN!AE118,HN!AI118)))</f>
        <v>0</v>
      </c>
      <c r="H118">
        <f>SUMPRODUCT((MONTH(CHOOSE({1,2,3,4},HN!T118,HN!X118,HN!AB118,HN!AF118))=8)*(CHOOSE({1,2,3,4},HN!W118,HN!AA118,HN!AE118,HN!AI118)))</f>
        <v>0</v>
      </c>
      <c r="I118">
        <f>SUMPRODUCT((MONTH(CHOOSE({1,2,3,4},HN!T118,HN!X118,HN!AB118,HN!AF118))=9)*(CHOOSE({1,2,3,4},HN!W118,HN!AA118,HN!AE118,HN!AI118)))</f>
        <v>0</v>
      </c>
      <c r="J118">
        <f>SUMPRODUCT((MONTH(CHOOSE({1,2,3,4},HN!T118,HN!X118,HN!AB118,HN!AF118))=10)*(CHOOSE({1,2,3,4},HN!W118,HN!AA118,HN!AE118,HN!AI118)))</f>
        <v>0</v>
      </c>
      <c r="K118">
        <f>SUMPRODUCT((MONTH(CHOOSE({1,2,3,4},HN!T118,HN!X118,HN!AB118,HN!AF118))=11)*(CHOOSE({1,2,3,4},HN!W118,HN!AA118,HN!AE118,HN!AI118)))</f>
        <v>0</v>
      </c>
      <c r="L118">
        <f>SUMPRODUCT((MONTH(CHOOSE({1,2,3,4},HN!T118,HN!X118,HN!AB118,HN!AF118))=12)*(CHOOSE({1,2,3,4},HN!W118,HN!AA118,HN!AE118,HN!AI118)))</f>
        <v>0</v>
      </c>
    </row>
    <row r="119" spans="1:12">
      <c r="A119">
        <f>SUMPRODUCT((MONTH(CHOOSE({1,2,3,4},HN!T119,HN!X119,HN!AB119,HN!AF119))=1)*(CHOOSE({1,2,3,4},HN!W119,HN!AA119,HN!AE119,HN!AI119)))</f>
        <v>0</v>
      </c>
      <c r="B119">
        <f>SUMPRODUCT((MONTH(CHOOSE({1,2,3,4},HN!T119,HN!X119,HN!AB119,HN!AF119))=2)*(CHOOSE({1,2,3,4},HN!W119,HN!AA119,HN!AE119,HN!AI119)))</f>
        <v>0</v>
      </c>
      <c r="C119">
        <f>SUMPRODUCT((MONTH(CHOOSE({1,2,3,4},HN!T119,HN!X119,HN!AB119,HN!AF119))=3)*(CHOOSE({1,2,3,4},HN!W119,HN!AA119,HN!AE119,HN!AI119)))</f>
        <v>0</v>
      </c>
      <c r="D119">
        <f>SUMPRODUCT((MONTH(CHOOSE({1,2,3,4},HN!T119,HN!X119,HN!AB119,HN!AF119))=4)*(CHOOSE({1,2,3,4},HN!W119,HN!AA119,HN!AE119,HN!AI119)))</f>
        <v>0</v>
      </c>
      <c r="E119">
        <f>SUMPRODUCT((MONTH(CHOOSE({1,2,3,4},HN!T119,HN!X119,HN!AB119,HN!AF119))=5)*(CHOOSE({1,2,3,4},HN!W119,HN!AA119,HN!AE119,HN!AI119)))</f>
        <v>0</v>
      </c>
      <c r="F119">
        <f>SUMPRODUCT((MONTH(CHOOSE({1,2,3,4},HN!T119,HN!X119,HN!AB119,HN!AF119))=6)*(CHOOSE({1,2,3,4},HN!W119,HN!AA119,HN!AE119,HN!AI119)))</f>
        <v>0</v>
      </c>
      <c r="G119">
        <f>SUMPRODUCT((MONTH(CHOOSE({1,2,3,4},HN!T119,HN!X119,HN!AB119,HN!AF119))=7)*(CHOOSE({1,2,3,4},HN!W119,HN!AA119,HN!AE119,HN!AI119)))</f>
        <v>0</v>
      </c>
      <c r="H119">
        <f>SUMPRODUCT((MONTH(CHOOSE({1,2,3,4},HN!T119,HN!X119,HN!AB119,HN!AF119))=8)*(CHOOSE({1,2,3,4},HN!W119,HN!AA119,HN!AE119,HN!AI119)))</f>
        <v>0</v>
      </c>
      <c r="I119">
        <f>SUMPRODUCT((MONTH(CHOOSE({1,2,3,4},HN!T119,HN!X119,HN!AB119,HN!AF119))=9)*(CHOOSE({1,2,3,4},HN!W119,HN!AA119,HN!AE119,HN!AI119)))</f>
        <v>0</v>
      </c>
      <c r="J119">
        <f>SUMPRODUCT((MONTH(CHOOSE({1,2,3,4},HN!T119,HN!X119,HN!AB119,HN!AF119))=10)*(CHOOSE({1,2,3,4},HN!W119,HN!AA119,HN!AE119,HN!AI119)))</f>
        <v>0</v>
      </c>
      <c r="K119">
        <f>SUMPRODUCT((MONTH(CHOOSE({1,2,3,4},HN!T119,HN!X119,HN!AB119,HN!AF119))=11)*(CHOOSE({1,2,3,4},HN!W119,HN!AA119,HN!AE119,HN!AI119)))</f>
        <v>0</v>
      </c>
      <c r="L119">
        <f>SUMPRODUCT((MONTH(CHOOSE({1,2,3,4},HN!T119,HN!X119,HN!AB119,HN!AF119))=12)*(CHOOSE({1,2,3,4},HN!W119,HN!AA119,HN!AE119,HN!AI119)))</f>
        <v>0</v>
      </c>
    </row>
    <row r="120" spans="1:12">
      <c r="A120">
        <f>SUMPRODUCT((MONTH(CHOOSE({1,2,3,4},HN!T120,HN!X120,HN!AB120,HN!AF120))=1)*(CHOOSE({1,2,3,4},HN!W120,HN!AA120,HN!AE120,HN!AI120)))</f>
        <v>0</v>
      </c>
      <c r="B120">
        <f>SUMPRODUCT((MONTH(CHOOSE({1,2,3,4},HN!T120,HN!X120,HN!AB120,HN!AF120))=2)*(CHOOSE({1,2,3,4},HN!W120,HN!AA120,HN!AE120,HN!AI120)))</f>
        <v>0</v>
      </c>
      <c r="C120">
        <f>SUMPRODUCT((MONTH(CHOOSE({1,2,3,4},HN!T120,HN!X120,HN!AB120,HN!AF120))=3)*(CHOOSE({1,2,3,4},HN!W120,HN!AA120,HN!AE120,HN!AI120)))</f>
        <v>0</v>
      </c>
      <c r="D120">
        <f>SUMPRODUCT((MONTH(CHOOSE({1,2,3,4},HN!T120,HN!X120,HN!AB120,HN!AF120))=4)*(CHOOSE({1,2,3,4},HN!W120,HN!AA120,HN!AE120,HN!AI120)))</f>
        <v>0</v>
      </c>
      <c r="E120">
        <f>SUMPRODUCT((MONTH(CHOOSE({1,2,3,4},HN!T120,HN!X120,HN!AB120,HN!AF120))=5)*(CHOOSE({1,2,3,4},HN!W120,HN!AA120,HN!AE120,HN!AI120)))</f>
        <v>0</v>
      </c>
      <c r="F120">
        <f>SUMPRODUCT((MONTH(CHOOSE({1,2,3,4},HN!T120,HN!X120,HN!AB120,HN!AF120))=6)*(CHOOSE({1,2,3,4},HN!W120,HN!AA120,HN!AE120,HN!AI120)))</f>
        <v>0</v>
      </c>
      <c r="G120">
        <f>SUMPRODUCT((MONTH(CHOOSE({1,2,3,4},HN!T120,HN!X120,HN!AB120,HN!AF120))=7)*(CHOOSE({1,2,3,4},HN!W120,HN!AA120,HN!AE120,HN!AI120)))</f>
        <v>0</v>
      </c>
      <c r="H120">
        <f>SUMPRODUCT((MONTH(CHOOSE({1,2,3,4},HN!T120,HN!X120,HN!AB120,HN!AF120))=8)*(CHOOSE({1,2,3,4},HN!W120,HN!AA120,HN!AE120,HN!AI120)))</f>
        <v>0</v>
      </c>
      <c r="I120">
        <f>SUMPRODUCT((MONTH(CHOOSE({1,2,3,4},HN!T120,HN!X120,HN!AB120,HN!AF120))=9)*(CHOOSE({1,2,3,4},HN!W120,HN!AA120,HN!AE120,HN!AI120)))</f>
        <v>0</v>
      </c>
      <c r="J120">
        <f>SUMPRODUCT((MONTH(CHOOSE({1,2,3,4},HN!T120,HN!X120,HN!AB120,HN!AF120))=10)*(CHOOSE({1,2,3,4},HN!W120,HN!AA120,HN!AE120,HN!AI120)))</f>
        <v>0</v>
      </c>
      <c r="K120">
        <f>SUMPRODUCT((MONTH(CHOOSE({1,2,3,4},HN!T120,HN!X120,HN!AB120,HN!AF120))=11)*(CHOOSE({1,2,3,4},HN!W120,HN!AA120,HN!AE120,HN!AI120)))</f>
        <v>0</v>
      </c>
      <c r="L120">
        <f>SUMPRODUCT((MONTH(CHOOSE({1,2,3,4},HN!T120,HN!X120,HN!AB120,HN!AF120))=12)*(CHOOSE({1,2,3,4},HN!W120,HN!AA120,HN!AE120,HN!AI120)))</f>
        <v>0</v>
      </c>
    </row>
    <row r="121" spans="1:12">
      <c r="A121">
        <f>SUMPRODUCT((MONTH(CHOOSE({1,2,3,4},HN!T121,HN!X121,HN!AB121,HN!AF121))=1)*(CHOOSE({1,2,3,4},HN!W121,HN!AA121,HN!AE121,HN!AI121)))</f>
        <v>0</v>
      </c>
      <c r="B121">
        <f>SUMPRODUCT((MONTH(CHOOSE({1,2,3,4},HN!T121,HN!X121,HN!AB121,HN!AF121))=2)*(CHOOSE({1,2,3,4},HN!W121,HN!AA121,HN!AE121,HN!AI121)))</f>
        <v>0</v>
      </c>
      <c r="C121">
        <f>SUMPRODUCT((MONTH(CHOOSE({1,2,3,4},HN!T121,HN!X121,HN!AB121,HN!AF121))=3)*(CHOOSE({1,2,3,4},HN!W121,HN!AA121,HN!AE121,HN!AI121)))</f>
        <v>0</v>
      </c>
      <c r="D121">
        <f>SUMPRODUCT((MONTH(CHOOSE({1,2,3,4},HN!T121,HN!X121,HN!AB121,HN!AF121))=4)*(CHOOSE({1,2,3,4},HN!W121,HN!AA121,HN!AE121,HN!AI121)))</f>
        <v>0</v>
      </c>
      <c r="E121">
        <f>SUMPRODUCT((MONTH(CHOOSE({1,2,3,4},HN!T121,HN!X121,HN!AB121,HN!AF121))=5)*(CHOOSE({1,2,3,4},HN!W121,HN!AA121,HN!AE121,HN!AI121)))</f>
        <v>0</v>
      </c>
      <c r="F121">
        <f>SUMPRODUCT((MONTH(CHOOSE({1,2,3,4},HN!T121,HN!X121,HN!AB121,HN!AF121))=6)*(CHOOSE({1,2,3,4},HN!W121,HN!AA121,HN!AE121,HN!AI121)))</f>
        <v>0</v>
      </c>
      <c r="G121">
        <f>SUMPRODUCT((MONTH(CHOOSE({1,2,3,4},HN!T121,HN!X121,HN!AB121,HN!AF121))=7)*(CHOOSE({1,2,3,4},HN!W121,HN!AA121,HN!AE121,HN!AI121)))</f>
        <v>0</v>
      </c>
      <c r="H121">
        <f>SUMPRODUCT((MONTH(CHOOSE({1,2,3,4},HN!T121,HN!X121,HN!AB121,HN!AF121))=8)*(CHOOSE({1,2,3,4},HN!W121,HN!AA121,HN!AE121,HN!AI121)))</f>
        <v>0</v>
      </c>
      <c r="I121">
        <f>SUMPRODUCT((MONTH(CHOOSE({1,2,3,4},HN!T121,HN!X121,HN!AB121,HN!AF121))=9)*(CHOOSE({1,2,3,4},HN!W121,HN!AA121,HN!AE121,HN!AI121)))</f>
        <v>0</v>
      </c>
      <c r="J121">
        <f>SUMPRODUCT((MONTH(CHOOSE({1,2,3,4},HN!T121,HN!X121,HN!AB121,HN!AF121))=10)*(CHOOSE({1,2,3,4},HN!W121,HN!AA121,HN!AE121,HN!AI121)))</f>
        <v>0</v>
      </c>
      <c r="K121">
        <f>SUMPRODUCT((MONTH(CHOOSE({1,2,3,4},HN!T121,HN!X121,HN!AB121,HN!AF121))=11)*(CHOOSE({1,2,3,4},HN!W121,HN!AA121,HN!AE121,HN!AI121)))</f>
        <v>0</v>
      </c>
      <c r="L121">
        <f>SUMPRODUCT((MONTH(CHOOSE({1,2,3,4},HN!T121,HN!X121,HN!AB121,HN!AF121))=12)*(CHOOSE({1,2,3,4},HN!W121,HN!AA121,HN!AE121,HN!AI121)))</f>
        <v>0</v>
      </c>
    </row>
    <row r="122" spans="1:12">
      <c r="A122">
        <f>SUMPRODUCT((MONTH(CHOOSE({1,2,3,4},HN!T122,HN!X122,HN!AB122,HN!AF122))=1)*(CHOOSE({1,2,3,4},HN!W122,HN!AA122,HN!AE122,HN!AI122)))</f>
        <v>0</v>
      </c>
      <c r="B122">
        <f>SUMPRODUCT((MONTH(CHOOSE({1,2,3,4},HN!T122,HN!X122,HN!AB122,HN!AF122))=2)*(CHOOSE({1,2,3,4},HN!W122,HN!AA122,HN!AE122,HN!AI122)))</f>
        <v>0</v>
      </c>
      <c r="C122">
        <f>SUMPRODUCT((MONTH(CHOOSE({1,2,3,4},HN!T122,HN!X122,HN!AB122,HN!AF122))=3)*(CHOOSE({1,2,3,4},HN!W122,HN!AA122,HN!AE122,HN!AI122)))</f>
        <v>0</v>
      </c>
      <c r="D122">
        <f>SUMPRODUCT((MONTH(CHOOSE({1,2,3,4},HN!T122,HN!X122,HN!AB122,HN!AF122))=4)*(CHOOSE({1,2,3,4},HN!W122,HN!AA122,HN!AE122,HN!AI122)))</f>
        <v>0</v>
      </c>
      <c r="E122">
        <f>SUMPRODUCT((MONTH(CHOOSE({1,2,3,4},HN!T122,HN!X122,HN!AB122,HN!AF122))=5)*(CHOOSE({1,2,3,4},HN!W122,HN!AA122,HN!AE122,HN!AI122)))</f>
        <v>0</v>
      </c>
      <c r="F122">
        <f>SUMPRODUCT((MONTH(CHOOSE({1,2,3,4},HN!T122,HN!X122,HN!AB122,HN!AF122))=6)*(CHOOSE({1,2,3,4},HN!W122,HN!AA122,HN!AE122,HN!AI122)))</f>
        <v>0</v>
      </c>
      <c r="G122">
        <f>SUMPRODUCT((MONTH(CHOOSE({1,2,3,4},HN!T122,HN!X122,HN!AB122,HN!AF122))=7)*(CHOOSE({1,2,3,4},HN!W122,HN!AA122,HN!AE122,HN!AI122)))</f>
        <v>0</v>
      </c>
      <c r="H122">
        <f>SUMPRODUCT((MONTH(CHOOSE({1,2,3,4},HN!T122,HN!X122,HN!AB122,HN!AF122))=8)*(CHOOSE({1,2,3,4},HN!W122,HN!AA122,HN!AE122,HN!AI122)))</f>
        <v>0</v>
      </c>
      <c r="I122">
        <f>SUMPRODUCT((MONTH(CHOOSE({1,2,3,4},HN!T122,HN!X122,HN!AB122,HN!AF122))=9)*(CHOOSE({1,2,3,4},HN!W122,HN!AA122,HN!AE122,HN!AI122)))</f>
        <v>0</v>
      </c>
      <c r="J122">
        <f>SUMPRODUCT((MONTH(CHOOSE({1,2,3,4},HN!T122,HN!X122,HN!AB122,HN!AF122))=10)*(CHOOSE({1,2,3,4},HN!W122,HN!AA122,HN!AE122,HN!AI122)))</f>
        <v>0</v>
      </c>
      <c r="K122">
        <f>SUMPRODUCT((MONTH(CHOOSE({1,2,3,4},HN!T122,HN!X122,HN!AB122,HN!AF122))=11)*(CHOOSE({1,2,3,4},HN!W122,HN!AA122,HN!AE122,HN!AI122)))</f>
        <v>0</v>
      </c>
      <c r="L122">
        <f>SUMPRODUCT((MONTH(CHOOSE({1,2,3,4},HN!T122,HN!X122,HN!AB122,HN!AF122))=12)*(CHOOSE({1,2,3,4},HN!W122,HN!AA122,HN!AE122,HN!AI122)))</f>
        <v>0</v>
      </c>
    </row>
    <row r="123" spans="1:12">
      <c r="A123">
        <f>SUMPRODUCT((MONTH(CHOOSE({1,2,3,4},HN!T123,HN!X123,HN!AB123,HN!AF123))=1)*(CHOOSE({1,2,3,4},HN!W123,HN!AA123,HN!AE123,HN!AI123)))</f>
        <v>0</v>
      </c>
      <c r="B123">
        <f>SUMPRODUCT((MONTH(CHOOSE({1,2,3,4},HN!T123,HN!X123,HN!AB123,HN!AF123))=2)*(CHOOSE({1,2,3,4},HN!W123,HN!AA123,HN!AE123,HN!AI123)))</f>
        <v>0</v>
      </c>
      <c r="C123">
        <f>SUMPRODUCT((MONTH(CHOOSE({1,2,3,4},HN!T123,HN!X123,HN!AB123,HN!AF123))=3)*(CHOOSE({1,2,3,4},HN!W123,HN!AA123,HN!AE123,HN!AI123)))</f>
        <v>0</v>
      </c>
      <c r="D123">
        <f>SUMPRODUCT((MONTH(CHOOSE({1,2,3,4},HN!T123,HN!X123,HN!AB123,HN!AF123))=4)*(CHOOSE({1,2,3,4},HN!W123,HN!AA123,HN!AE123,HN!AI123)))</f>
        <v>0</v>
      </c>
      <c r="E123">
        <f>SUMPRODUCT((MONTH(CHOOSE({1,2,3,4},HN!T123,HN!X123,HN!AB123,HN!AF123))=5)*(CHOOSE({1,2,3,4},HN!W123,HN!AA123,HN!AE123,HN!AI123)))</f>
        <v>0</v>
      </c>
      <c r="F123">
        <f>SUMPRODUCT((MONTH(CHOOSE({1,2,3,4},HN!T123,HN!X123,HN!AB123,HN!AF123))=6)*(CHOOSE({1,2,3,4},HN!W123,HN!AA123,HN!AE123,HN!AI123)))</f>
        <v>0</v>
      </c>
      <c r="G123">
        <f>SUMPRODUCT((MONTH(CHOOSE({1,2,3,4},HN!T123,HN!X123,HN!AB123,HN!AF123))=7)*(CHOOSE({1,2,3,4},HN!W123,HN!AA123,HN!AE123,HN!AI123)))</f>
        <v>0</v>
      </c>
      <c r="H123">
        <f>SUMPRODUCT((MONTH(CHOOSE({1,2,3,4},HN!T123,HN!X123,HN!AB123,HN!AF123))=8)*(CHOOSE({1,2,3,4},HN!W123,HN!AA123,HN!AE123,HN!AI123)))</f>
        <v>0</v>
      </c>
      <c r="I123">
        <f>SUMPRODUCT((MONTH(CHOOSE({1,2,3,4},HN!T123,HN!X123,HN!AB123,HN!AF123))=9)*(CHOOSE({1,2,3,4},HN!W123,HN!AA123,HN!AE123,HN!AI123)))</f>
        <v>0</v>
      </c>
      <c r="J123">
        <f>SUMPRODUCT((MONTH(CHOOSE({1,2,3,4},HN!T123,HN!X123,HN!AB123,HN!AF123))=10)*(CHOOSE({1,2,3,4},HN!W123,HN!AA123,HN!AE123,HN!AI123)))</f>
        <v>0</v>
      </c>
      <c r="K123">
        <f>SUMPRODUCT((MONTH(CHOOSE({1,2,3,4},HN!T123,HN!X123,HN!AB123,HN!AF123))=11)*(CHOOSE({1,2,3,4},HN!W123,HN!AA123,HN!AE123,HN!AI123)))</f>
        <v>0</v>
      </c>
      <c r="L123">
        <f>SUMPRODUCT((MONTH(CHOOSE({1,2,3,4},HN!T123,HN!X123,HN!AB123,HN!AF123))=12)*(CHOOSE({1,2,3,4},HN!W123,HN!AA123,HN!AE123,HN!AI123)))</f>
        <v>0</v>
      </c>
    </row>
    <row r="124" spans="1:12">
      <c r="A124">
        <f>SUMPRODUCT((MONTH(CHOOSE({1,2,3,4},HN!T124,HN!X124,HN!AB124,HN!AF124))=1)*(CHOOSE({1,2,3,4},HN!W124,HN!AA124,HN!AE124,HN!AI124)))</f>
        <v>0</v>
      </c>
      <c r="B124">
        <f>SUMPRODUCT((MONTH(CHOOSE({1,2,3,4},HN!T124,HN!X124,HN!AB124,HN!AF124))=2)*(CHOOSE({1,2,3,4},HN!W124,HN!AA124,HN!AE124,HN!AI124)))</f>
        <v>0</v>
      </c>
      <c r="C124">
        <f>SUMPRODUCT((MONTH(CHOOSE({1,2,3,4},HN!T124,HN!X124,HN!AB124,HN!AF124))=3)*(CHOOSE({1,2,3,4},HN!W124,HN!AA124,HN!AE124,HN!AI124)))</f>
        <v>0</v>
      </c>
      <c r="D124">
        <f>SUMPRODUCT((MONTH(CHOOSE({1,2,3,4},HN!T124,HN!X124,HN!AB124,HN!AF124))=4)*(CHOOSE({1,2,3,4},HN!W124,HN!AA124,HN!AE124,HN!AI124)))</f>
        <v>0</v>
      </c>
      <c r="E124">
        <f>SUMPRODUCT((MONTH(CHOOSE({1,2,3,4},HN!T124,HN!X124,HN!AB124,HN!AF124))=5)*(CHOOSE({1,2,3,4},HN!W124,HN!AA124,HN!AE124,HN!AI124)))</f>
        <v>0</v>
      </c>
      <c r="F124">
        <f>SUMPRODUCT((MONTH(CHOOSE({1,2,3,4},HN!T124,HN!X124,HN!AB124,HN!AF124))=6)*(CHOOSE({1,2,3,4},HN!W124,HN!AA124,HN!AE124,HN!AI124)))</f>
        <v>0</v>
      </c>
      <c r="G124">
        <f>SUMPRODUCT((MONTH(CHOOSE({1,2,3,4},HN!T124,HN!X124,HN!AB124,HN!AF124))=7)*(CHOOSE({1,2,3,4},HN!W124,HN!AA124,HN!AE124,HN!AI124)))</f>
        <v>0</v>
      </c>
      <c r="H124">
        <f>SUMPRODUCT((MONTH(CHOOSE({1,2,3,4},HN!T124,HN!X124,HN!AB124,HN!AF124))=8)*(CHOOSE({1,2,3,4},HN!W124,HN!AA124,HN!AE124,HN!AI124)))</f>
        <v>0</v>
      </c>
      <c r="I124">
        <f>SUMPRODUCT((MONTH(CHOOSE({1,2,3,4},HN!T124,HN!X124,HN!AB124,HN!AF124))=9)*(CHOOSE({1,2,3,4},HN!W124,HN!AA124,HN!AE124,HN!AI124)))</f>
        <v>0</v>
      </c>
      <c r="J124">
        <f>SUMPRODUCT((MONTH(CHOOSE({1,2,3,4},HN!T124,HN!X124,HN!AB124,HN!AF124))=10)*(CHOOSE({1,2,3,4},HN!W124,HN!AA124,HN!AE124,HN!AI124)))</f>
        <v>0</v>
      </c>
      <c r="K124">
        <f>SUMPRODUCT((MONTH(CHOOSE({1,2,3,4},HN!T124,HN!X124,HN!AB124,HN!AF124))=11)*(CHOOSE({1,2,3,4},HN!W124,HN!AA124,HN!AE124,HN!AI124)))</f>
        <v>0</v>
      </c>
      <c r="L124">
        <f>SUMPRODUCT((MONTH(CHOOSE({1,2,3,4},HN!T124,HN!X124,HN!AB124,HN!AF124))=12)*(CHOOSE({1,2,3,4},HN!W124,HN!AA124,HN!AE124,HN!AI124)))</f>
        <v>0</v>
      </c>
    </row>
    <row r="125" spans="1:12">
      <c r="A125">
        <f>SUMPRODUCT((MONTH(CHOOSE({1,2,3,4},HN!T125,HN!X125,HN!AB125,HN!AF125))=1)*(CHOOSE({1,2,3,4},HN!W125,HN!AA125,HN!AE125,HN!AI125)))</f>
        <v>0</v>
      </c>
      <c r="B125">
        <f>SUMPRODUCT((MONTH(CHOOSE({1,2,3,4},HN!T125,HN!X125,HN!AB125,HN!AF125))=2)*(CHOOSE({1,2,3,4},HN!W125,HN!AA125,HN!AE125,HN!AI125)))</f>
        <v>0</v>
      </c>
      <c r="C125">
        <f>SUMPRODUCT((MONTH(CHOOSE({1,2,3,4},HN!T125,HN!X125,HN!AB125,HN!AF125))=3)*(CHOOSE({1,2,3,4},HN!W125,HN!AA125,HN!AE125,HN!AI125)))</f>
        <v>0</v>
      </c>
      <c r="D125">
        <f>SUMPRODUCT((MONTH(CHOOSE({1,2,3,4},HN!T125,HN!X125,HN!AB125,HN!AF125))=4)*(CHOOSE({1,2,3,4},HN!W125,HN!AA125,HN!AE125,HN!AI125)))</f>
        <v>0</v>
      </c>
      <c r="E125">
        <f>SUMPRODUCT((MONTH(CHOOSE({1,2,3,4},HN!T125,HN!X125,HN!AB125,HN!AF125))=5)*(CHOOSE({1,2,3,4},HN!W125,HN!AA125,HN!AE125,HN!AI125)))</f>
        <v>0</v>
      </c>
      <c r="F125">
        <f>SUMPRODUCT((MONTH(CHOOSE({1,2,3,4},HN!T125,HN!X125,HN!AB125,HN!AF125))=6)*(CHOOSE({1,2,3,4},HN!W125,HN!AA125,HN!AE125,HN!AI125)))</f>
        <v>0</v>
      </c>
      <c r="G125">
        <f>SUMPRODUCT((MONTH(CHOOSE({1,2,3,4},HN!T125,HN!X125,HN!AB125,HN!AF125))=7)*(CHOOSE({1,2,3,4},HN!W125,HN!AA125,HN!AE125,HN!AI125)))</f>
        <v>0</v>
      </c>
      <c r="H125">
        <f>SUMPRODUCT((MONTH(CHOOSE({1,2,3,4},HN!T125,HN!X125,HN!AB125,HN!AF125))=8)*(CHOOSE({1,2,3,4},HN!W125,HN!AA125,HN!AE125,HN!AI125)))</f>
        <v>0</v>
      </c>
      <c r="I125">
        <f>SUMPRODUCT((MONTH(CHOOSE({1,2,3,4},HN!T125,HN!X125,HN!AB125,HN!AF125))=9)*(CHOOSE({1,2,3,4},HN!W125,HN!AA125,HN!AE125,HN!AI125)))</f>
        <v>0</v>
      </c>
      <c r="J125">
        <f>SUMPRODUCT((MONTH(CHOOSE({1,2,3,4},HN!T125,HN!X125,HN!AB125,HN!AF125))=10)*(CHOOSE({1,2,3,4},HN!W125,HN!AA125,HN!AE125,HN!AI125)))</f>
        <v>0</v>
      </c>
      <c r="K125">
        <f>SUMPRODUCT((MONTH(CHOOSE({1,2,3,4},HN!T125,HN!X125,HN!AB125,HN!AF125))=11)*(CHOOSE({1,2,3,4},HN!W125,HN!AA125,HN!AE125,HN!AI125)))</f>
        <v>0</v>
      </c>
      <c r="L125">
        <f>SUMPRODUCT((MONTH(CHOOSE({1,2,3,4},HN!T125,HN!X125,HN!AB125,HN!AF125))=12)*(CHOOSE({1,2,3,4},HN!W125,HN!AA125,HN!AE125,HN!AI125)))</f>
        <v>0</v>
      </c>
    </row>
    <row r="126" spans="1:12">
      <c r="A126">
        <f>SUMPRODUCT((MONTH(CHOOSE({1,2,3,4},HN!T126,HN!X126,HN!AB126,HN!AF126))=1)*(CHOOSE({1,2,3,4},HN!W126,HN!AA126,HN!AE126,HN!AI126)))</f>
        <v>0</v>
      </c>
      <c r="B126">
        <f>SUMPRODUCT((MONTH(CHOOSE({1,2,3,4},HN!T126,HN!X126,HN!AB126,HN!AF126))=2)*(CHOOSE({1,2,3,4},HN!W126,HN!AA126,HN!AE126,HN!AI126)))</f>
        <v>0</v>
      </c>
      <c r="C126">
        <f>SUMPRODUCT((MONTH(CHOOSE({1,2,3,4},HN!T126,HN!X126,HN!AB126,HN!AF126))=3)*(CHOOSE({1,2,3,4},HN!W126,HN!AA126,HN!AE126,HN!AI126)))</f>
        <v>0</v>
      </c>
      <c r="D126">
        <f>SUMPRODUCT((MONTH(CHOOSE({1,2,3,4},HN!T126,HN!X126,HN!AB126,HN!AF126))=4)*(CHOOSE({1,2,3,4},HN!W126,HN!AA126,HN!AE126,HN!AI126)))</f>
        <v>0</v>
      </c>
      <c r="E126">
        <f>SUMPRODUCT((MONTH(CHOOSE({1,2,3,4},HN!T126,HN!X126,HN!AB126,HN!AF126))=5)*(CHOOSE({1,2,3,4},HN!W126,HN!AA126,HN!AE126,HN!AI126)))</f>
        <v>0</v>
      </c>
      <c r="F126">
        <f>SUMPRODUCT((MONTH(CHOOSE({1,2,3,4},HN!T126,HN!X126,HN!AB126,HN!AF126))=6)*(CHOOSE({1,2,3,4},HN!W126,HN!AA126,HN!AE126,HN!AI126)))</f>
        <v>0</v>
      </c>
      <c r="G126">
        <f>SUMPRODUCT((MONTH(CHOOSE({1,2,3,4},HN!T126,HN!X126,HN!AB126,HN!AF126))=7)*(CHOOSE({1,2,3,4},HN!W126,HN!AA126,HN!AE126,HN!AI126)))</f>
        <v>0</v>
      </c>
      <c r="H126">
        <f>SUMPRODUCT((MONTH(CHOOSE({1,2,3,4},HN!T126,HN!X126,HN!AB126,HN!AF126))=8)*(CHOOSE({1,2,3,4},HN!W126,HN!AA126,HN!AE126,HN!AI126)))</f>
        <v>0</v>
      </c>
      <c r="I126">
        <f>SUMPRODUCT((MONTH(CHOOSE({1,2,3,4},HN!T126,HN!X126,HN!AB126,HN!AF126))=9)*(CHOOSE({1,2,3,4},HN!W126,HN!AA126,HN!AE126,HN!AI126)))</f>
        <v>0</v>
      </c>
      <c r="J126">
        <f>SUMPRODUCT((MONTH(CHOOSE({1,2,3,4},HN!T126,HN!X126,HN!AB126,HN!AF126))=10)*(CHOOSE({1,2,3,4},HN!W126,HN!AA126,HN!AE126,HN!AI126)))</f>
        <v>0</v>
      </c>
      <c r="K126">
        <f>SUMPRODUCT((MONTH(CHOOSE({1,2,3,4},HN!T126,HN!X126,HN!AB126,HN!AF126))=11)*(CHOOSE({1,2,3,4},HN!W126,HN!AA126,HN!AE126,HN!AI126)))</f>
        <v>0</v>
      </c>
      <c r="L126">
        <f>SUMPRODUCT((MONTH(CHOOSE({1,2,3,4},HN!T126,HN!X126,HN!AB126,HN!AF126))=12)*(CHOOSE({1,2,3,4},HN!W126,HN!AA126,HN!AE126,HN!AI126)))</f>
        <v>0</v>
      </c>
    </row>
    <row r="127" spans="1:12">
      <c r="A127">
        <f>SUMPRODUCT((MONTH(CHOOSE({1,2,3,4},HN!T127,HN!X127,HN!AB127,HN!AF127))=1)*(CHOOSE({1,2,3,4},HN!W127,HN!AA127,HN!AE127,HN!AI127)))</f>
        <v>0</v>
      </c>
      <c r="B127">
        <f>SUMPRODUCT((MONTH(CHOOSE({1,2,3,4},HN!T127,HN!X127,HN!AB127,HN!AF127))=2)*(CHOOSE({1,2,3,4},HN!W127,HN!AA127,HN!AE127,HN!AI127)))</f>
        <v>0</v>
      </c>
      <c r="C127">
        <f>SUMPRODUCT((MONTH(CHOOSE({1,2,3,4},HN!T127,HN!X127,HN!AB127,HN!AF127))=3)*(CHOOSE({1,2,3,4},HN!W127,HN!AA127,HN!AE127,HN!AI127)))</f>
        <v>0</v>
      </c>
      <c r="D127">
        <f>SUMPRODUCT((MONTH(CHOOSE({1,2,3,4},HN!T127,HN!X127,HN!AB127,HN!AF127))=4)*(CHOOSE({1,2,3,4},HN!W127,HN!AA127,HN!AE127,HN!AI127)))</f>
        <v>0</v>
      </c>
      <c r="E127">
        <f>SUMPRODUCT((MONTH(CHOOSE({1,2,3,4},HN!T127,HN!X127,HN!AB127,HN!AF127))=5)*(CHOOSE({1,2,3,4},HN!W127,HN!AA127,HN!AE127,HN!AI127)))</f>
        <v>0</v>
      </c>
      <c r="F127">
        <f>SUMPRODUCT((MONTH(CHOOSE({1,2,3,4},HN!T127,HN!X127,HN!AB127,HN!AF127))=6)*(CHOOSE({1,2,3,4},HN!W127,HN!AA127,HN!AE127,HN!AI127)))</f>
        <v>0</v>
      </c>
      <c r="G127">
        <f>SUMPRODUCT((MONTH(CHOOSE({1,2,3,4},HN!T127,HN!X127,HN!AB127,HN!AF127))=7)*(CHOOSE({1,2,3,4},HN!W127,HN!AA127,HN!AE127,HN!AI127)))</f>
        <v>0</v>
      </c>
      <c r="H127">
        <f>SUMPRODUCT((MONTH(CHOOSE({1,2,3,4},HN!T127,HN!X127,HN!AB127,HN!AF127))=8)*(CHOOSE({1,2,3,4},HN!W127,HN!AA127,HN!AE127,HN!AI127)))</f>
        <v>0</v>
      </c>
      <c r="I127">
        <f>SUMPRODUCT((MONTH(CHOOSE({1,2,3,4},HN!T127,HN!X127,HN!AB127,HN!AF127))=9)*(CHOOSE({1,2,3,4},HN!W127,HN!AA127,HN!AE127,HN!AI127)))</f>
        <v>0</v>
      </c>
      <c r="J127">
        <f>SUMPRODUCT((MONTH(CHOOSE({1,2,3,4},HN!T127,HN!X127,HN!AB127,HN!AF127))=10)*(CHOOSE({1,2,3,4},HN!W127,HN!AA127,HN!AE127,HN!AI127)))</f>
        <v>0</v>
      </c>
      <c r="K127">
        <f>SUMPRODUCT((MONTH(CHOOSE({1,2,3,4},HN!T127,HN!X127,HN!AB127,HN!AF127))=11)*(CHOOSE({1,2,3,4},HN!W127,HN!AA127,HN!AE127,HN!AI127)))</f>
        <v>0</v>
      </c>
      <c r="L127">
        <f>SUMPRODUCT((MONTH(CHOOSE({1,2,3,4},HN!T127,HN!X127,HN!AB127,HN!AF127))=12)*(CHOOSE({1,2,3,4},HN!W127,HN!AA127,HN!AE127,HN!AI127)))</f>
        <v>0</v>
      </c>
    </row>
    <row r="128" spans="1:12">
      <c r="A128">
        <f>SUMPRODUCT((MONTH(CHOOSE({1,2,3,4},HN!T128,HN!X128,HN!AB128,HN!AF128))=1)*(CHOOSE({1,2,3,4},HN!W128,HN!AA128,HN!AE128,HN!AI128)))</f>
        <v>0</v>
      </c>
      <c r="B128">
        <f>SUMPRODUCT((MONTH(CHOOSE({1,2,3,4},HN!T128,HN!X128,HN!AB128,HN!AF128))=2)*(CHOOSE({1,2,3,4},HN!W128,HN!AA128,HN!AE128,HN!AI128)))</f>
        <v>0</v>
      </c>
      <c r="C128">
        <f>SUMPRODUCT((MONTH(CHOOSE({1,2,3,4},HN!T128,HN!X128,HN!AB128,HN!AF128))=3)*(CHOOSE({1,2,3,4},HN!W128,HN!AA128,HN!AE128,HN!AI128)))</f>
        <v>0</v>
      </c>
      <c r="D128">
        <f>SUMPRODUCT((MONTH(CHOOSE({1,2,3,4},HN!T128,HN!X128,HN!AB128,HN!AF128))=4)*(CHOOSE({1,2,3,4},HN!W128,HN!AA128,HN!AE128,HN!AI128)))</f>
        <v>0</v>
      </c>
      <c r="E128">
        <f>SUMPRODUCT((MONTH(CHOOSE({1,2,3,4},HN!T128,HN!X128,HN!AB128,HN!AF128))=5)*(CHOOSE({1,2,3,4},HN!W128,HN!AA128,HN!AE128,HN!AI128)))</f>
        <v>0</v>
      </c>
      <c r="F128">
        <f>SUMPRODUCT((MONTH(CHOOSE({1,2,3,4},HN!T128,HN!X128,HN!AB128,HN!AF128))=6)*(CHOOSE({1,2,3,4},HN!W128,HN!AA128,HN!AE128,HN!AI128)))</f>
        <v>0</v>
      </c>
      <c r="G128">
        <f>SUMPRODUCT((MONTH(CHOOSE({1,2,3,4},HN!T128,HN!X128,HN!AB128,HN!AF128))=7)*(CHOOSE({1,2,3,4},HN!W128,HN!AA128,HN!AE128,HN!AI128)))</f>
        <v>0</v>
      </c>
      <c r="H128">
        <f>SUMPRODUCT((MONTH(CHOOSE({1,2,3,4},HN!T128,HN!X128,HN!AB128,HN!AF128))=8)*(CHOOSE({1,2,3,4},HN!W128,HN!AA128,HN!AE128,HN!AI128)))</f>
        <v>0</v>
      </c>
      <c r="I128">
        <f>SUMPRODUCT((MONTH(CHOOSE({1,2,3,4},HN!T128,HN!X128,HN!AB128,HN!AF128))=9)*(CHOOSE({1,2,3,4},HN!W128,HN!AA128,HN!AE128,HN!AI128)))</f>
        <v>0</v>
      </c>
      <c r="J128">
        <f>SUMPRODUCT((MONTH(CHOOSE({1,2,3,4},HN!T128,HN!X128,HN!AB128,HN!AF128))=10)*(CHOOSE({1,2,3,4},HN!W128,HN!AA128,HN!AE128,HN!AI128)))</f>
        <v>0</v>
      </c>
      <c r="K128">
        <f>SUMPRODUCT((MONTH(CHOOSE({1,2,3,4},HN!T128,HN!X128,HN!AB128,HN!AF128))=11)*(CHOOSE({1,2,3,4},HN!W128,HN!AA128,HN!AE128,HN!AI128)))</f>
        <v>0</v>
      </c>
      <c r="L128">
        <f>SUMPRODUCT((MONTH(CHOOSE({1,2,3,4},HN!T128,HN!X128,HN!AB128,HN!AF128))=12)*(CHOOSE({1,2,3,4},HN!W128,HN!AA128,HN!AE128,HN!AI128)))</f>
        <v>0</v>
      </c>
    </row>
    <row r="129" spans="1:12">
      <c r="A129">
        <f>SUMPRODUCT((MONTH(CHOOSE({1,2,3,4},HN!T129,HN!X129,HN!AB129,HN!AF129))=1)*(CHOOSE({1,2,3,4},HN!W129,HN!AA129,HN!AE129,HN!AI129)))</f>
        <v>0</v>
      </c>
      <c r="B129">
        <f>SUMPRODUCT((MONTH(CHOOSE({1,2,3,4},HN!T129,HN!X129,HN!AB129,HN!AF129))=2)*(CHOOSE({1,2,3,4},HN!W129,HN!AA129,HN!AE129,HN!AI129)))</f>
        <v>0</v>
      </c>
      <c r="C129">
        <f>SUMPRODUCT((MONTH(CHOOSE({1,2,3,4},HN!T129,HN!X129,HN!AB129,HN!AF129))=3)*(CHOOSE({1,2,3,4},HN!W129,HN!AA129,HN!AE129,HN!AI129)))</f>
        <v>0</v>
      </c>
      <c r="D129">
        <f>SUMPRODUCT((MONTH(CHOOSE({1,2,3,4},HN!T129,HN!X129,HN!AB129,HN!AF129))=4)*(CHOOSE({1,2,3,4},HN!W129,HN!AA129,HN!AE129,HN!AI129)))</f>
        <v>0</v>
      </c>
      <c r="E129">
        <f>SUMPRODUCT((MONTH(CHOOSE({1,2,3,4},HN!T129,HN!X129,HN!AB129,HN!AF129))=5)*(CHOOSE({1,2,3,4},HN!W129,HN!AA129,HN!AE129,HN!AI129)))</f>
        <v>0</v>
      </c>
      <c r="F129">
        <f>SUMPRODUCT((MONTH(CHOOSE({1,2,3,4},HN!T129,HN!X129,HN!AB129,HN!AF129))=6)*(CHOOSE({1,2,3,4},HN!W129,HN!AA129,HN!AE129,HN!AI129)))</f>
        <v>0</v>
      </c>
      <c r="G129">
        <f>SUMPRODUCT((MONTH(CHOOSE({1,2,3,4},HN!T129,HN!X129,HN!AB129,HN!AF129))=7)*(CHOOSE({1,2,3,4},HN!W129,HN!AA129,HN!AE129,HN!AI129)))</f>
        <v>0</v>
      </c>
      <c r="H129">
        <f>SUMPRODUCT((MONTH(CHOOSE({1,2,3,4},HN!T129,HN!X129,HN!AB129,HN!AF129))=8)*(CHOOSE({1,2,3,4},HN!W129,HN!AA129,HN!AE129,HN!AI129)))</f>
        <v>0</v>
      </c>
      <c r="I129">
        <f>SUMPRODUCT((MONTH(CHOOSE({1,2,3,4},HN!T129,HN!X129,HN!AB129,HN!AF129))=9)*(CHOOSE({1,2,3,4},HN!W129,HN!AA129,HN!AE129,HN!AI129)))</f>
        <v>0</v>
      </c>
      <c r="J129">
        <f>SUMPRODUCT((MONTH(CHOOSE({1,2,3,4},HN!T129,HN!X129,HN!AB129,HN!AF129))=10)*(CHOOSE({1,2,3,4},HN!W129,HN!AA129,HN!AE129,HN!AI129)))</f>
        <v>0</v>
      </c>
      <c r="K129">
        <f>SUMPRODUCT((MONTH(CHOOSE({1,2,3,4},HN!T129,HN!X129,HN!AB129,HN!AF129))=11)*(CHOOSE({1,2,3,4},HN!W129,HN!AA129,HN!AE129,HN!AI129)))</f>
        <v>0</v>
      </c>
      <c r="L129">
        <f>SUMPRODUCT((MONTH(CHOOSE({1,2,3,4},HN!T129,HN!X129,HN!AB129,HN!AF129))=12)*(CHOOSE({1,2,3,4},HN!W129,HN!AA129,HN!AE129,HN!AI129)))</f>
        <v>0</v>
      </c>
    </row>
    <row r="130" spans="1:12">
      <c r="A130">
        <f>SUMPRODUCT((MONTH(CHOOSE({1,2,3,4},HN!T130,HN!X130,HN!AB130,HN!AF130))=1)*(CHOOSE({1,2,3,4},HN!W130,HN!AA130,HN!AE130,HN!AI130)))</f>
        <v>0</v>
      </c>
      <c r="B130">
        <f>SUMPRODUCT((MONTH(CHOOSE({1,2,3,4},HN!T130,HN!X130,HN!AB130,HN!AF130))=2)*(CHOOSE({1,2,3,4},HN!W130,HN!AA130,HN!AE130,HN!AI130)))</f>
        <v>0</v>
      </c>
      <c r="C130">
        <f>SUMPRODUCT((MONTH(CHOOSE({1,2,3,4},HN!T130,HN!X130,HN!AB130,HN!AF130))=3)*(CHOOSE({1,2,3,4},HN!W130,HN!AA130,HN!AE130,HN!AI130)))</f>
        <v>0</v>
      </c>
      <c r="D130">
        <f>SUMPRODUCT((MONTH(CHOOSE({1,2,3,4},HN!T130,HN!X130,HN!AB130,HN!AF130))=4)*(CHOOSE({1,2,3,4},HN!W130,HN!AA130,HN!AE130,HN!AI130)))</f>
        <v>0</v>
      </c>
      <c r="E130">
        <f>SUMPRODUCT((MONTH(CHOOSE({1,2,3,4},HN!T130,HN!X130,HN!AB130,HN!AF130))=5)*(CHOOSE({1,2,3,4},HN!W130,HN!AA130,HN!AE130,HN!AI130)))</f>
        <v>0</v>
      </c>
      <c r="F130">
        <f>SUMPRODUCT((MONTH(CHOOSE({1,2,3,4},HN!T130,HN!X130,HN!AB130,HN!AF130))=6)*(CHOOSE({1,2,3,4},HN!W130,HN!AA130,HN!AE130,HN!AI130)))</f>
        <v>0</v>
      </c>
      <c r="G130">
        <f>SUMPRODUCT((MONTH(CHOOSE({1,2,3,4},HN!T130,HN!X130,HN!AB130,HN!AF130))=7)*(CHOOSE({1,2,3,4},HN!W130,HN!AA130,HN!AE130,HN!AI130)))</f>
        <v>0</v>
      </c>
      <c r="H130">
        <f>SUMPRODUCT((MONTH(CHOOSE({1,2,3,4},HN!T130,HN!X130,HN!AB130,HN!AF130))=8)*(CHOOSE({1,2,3,4},HN!W130,HN!AA130,HN!AE130,HN!AI130)))</f>
        <v>0</v>
      </c>
      <c r="I130">
        <f>SUMPRODUCT((MONTH(CHOOSE({1,2,3,4},HN!T130,HN!X130,HN!AB130,HN!AF130))=9)*(CHOOSE({1,2,3,4},HN!W130,HN!AA130,HN!AE130,HN!AI130)))</f>
        <v>0</v>
      </c>
      <c r="J130">
        <f>SUMPRODUCT((MONTH(CHOOSE({1,2,3,4},HN!T130,HN!X130,HN!AB130,HN!AF130))=10)*(CHOOSE({1,2,3,4},HN!W130,HN!AA130,HN!AE130,HN!AI130)))</f>
        <v>0</v>
      </c>
      <c r="K130">
        <f>SUMPRODUCT((MONTH(CHOOSE({1,2,3,4},HN!T130,HN!X130,HN!AB130,HN!AF130))=11)*(CHOOSE({1,2,3,4},HN!W130,HN!AA130,HN!AE130,HN!AI130)))</f>
        <v>0</v>
      </c>
      <c r="L130">
        <f>SUMPRODUCT((MONTH(CHOOSE({1,2,3,4},HN!T130,HN!X130,HN!AB130,HN!AF130))=12)*(CHOOSE({1,2,3,4},HN!W130,HN!AA130,HN!AE130,HN!AI130)))</f>
        <v>0</v>
      </c>
    </row>
    <row r="131" spans="1:12">
      <c r="A131">
        <f>SUMPRODUCT((MONTH(CHOOSE({1,2,3,4},HN!T131,HN!X131,HN!AB131,HN!AF131))=1)*(CHOOSE({1,2,3,4},HN!W131,HN!AA131,HN!AE131,HN!AI131)))</f>
        <v>0</v>
      </c>
      <c r="B131">
        <f>SUMPRODUCT((MONTH(CHOOSE({1,2,3,4},HN!T131,HN!X131,HN!AB131,HN!AF131))=2)*(CHOOSE({1,2,3,4},HN!W131,HN!AA131,HN!AE131,HN!AI131)))</f>
        <v>0</v>
      </c>
      <c r="C131">
        <f>SUMPRODUCT((MONTH(CHOOSE({1,2,3,4},HN!T131,HN!X131,HN!AB131,HN!AF131))=3)*(CHOOSE({1,2,3,4},HN!W131,HN!AA131,HN!AE131,HN!AI131)))</f>
        <v>0</v>
      </c>
      <c r="D131">
        <f>SUMPRODUCT((MONTH(CHOOSE({1,2,3,4},HN!T131,HN!X131,HN!AB131,HN!AF131))=4)*(CHOOSE({1,2,3,4},HN!W131,HN!AA131,HN!AE131,HN!AI131)))</f>
        <v>0</v>
      </c>
      <c r="E131">
        <f>SUMPRODUCT((MONTH(CHOOSE({1,2,3,4},HN!T131,HN!X131,HN!AB131,HN!AF131))=5)*(CHOOSE({1,2,3,4},HN!W131,HN!AA131,HN!AE131,HN!AI131)))</f>
        <v>0</v>
      </c>
      <c r="F131">
        <f>SUMPRODUCT((MONTH(CHOOSE({1,2,3,4},HN!T131,HN!X131,HN!AB131,HN!AF131))=6)*(CHOOSE({1,2,3,4},HN!W131,HN!AA131,HN!AE131,HN!AI131)))</f>
        <v>0</v>
      </c>
      <c r="G131">
        <f>SUMPRODUCT((MONTH(CHOOSE({1,2,3,4},HN!T131,HN!X131,HN!AB131,HN!AF131))=7)*(CHOOSE({1,2,3,4},HN!W131,HN!AA131,HN!AE131,HN!AI131)))</f>
        <v>0</v>
      </c>
      <c r="H131">
        <f>SUMPRODUCT((MONTH(CHOOSE({1,2,3,4},HN!T131,HN!X131,HN!AB131,HN!AF131))=8)*(CHOOSE({1,2,3,4},HN!W131,HN!AA131,HN!AE131,HN!AI131)))</f>
        <v>0</v>
      </c>
      <c r="I131">
        <f>SUMPRODUCT((MONTH(CHOOSE({1,2,3,4},HN!T131,HN!X131,HN!AB131,HN!AF131))=9)*(CHOOSE({1,2,3,4},HN!W131,HN!AA131,HN!AE131,HN!AI131)))</f>
        <v>0</v>
      </c>
      <c r="J131">
        <f>SUMPRODUCT((MONTH(CHOOSE({1,2,3,4},HN!T131,HN!X131,HN!AB131,HN!AF131))=10)*(CHOOSE({1,2,3,4},HN!W131,HN!AA131,HN!AE131,HN!AI131)))</f>
        <v>0</v>
      </c>
      <c r="K131">
        <f>SUMPRODUCT((MONTH(CHOOSE({1,2,3,4},HN!T131,HN!X131,HN!AB131,HN!AF131))=11)*(CHOOSE({1,2,3,4},HN!W131,HN!AA131,HN!AE131,HN!AI131)))</f>
        <v>0</v>
      </c>
      <c r="L131">
        <f>SUMPRODUCT((MONTH(CHOOSE({1,2,3,4},HN!T131,HN!X131,HN!AB131,HN!AF131))=12)*(CHOOSE({1,2,3,4},HN!W131,HN!AA131,HN!AE131,HN!AI131)))</f>
        <v>0</v>
      </c>
    </row>
    <row r="132" spans="1:12">
      <c r="A132">
        <f>SUMPRODUCT((MONTH(CHOOSE({1,2,3,4},HN!T132,HN!X132,HN!AB132,HN!AF132))=1)*(CHOOSE({1,2,3,4},HN!W132,HN!AA132,HN!AE132,HN!AI132)))</f>
        <v>0</v>
      </c>
      <c r="B132">
        <f>SUMPRODUCT((MONTH(CHOOSE({1,2,3,4},HN!T132,HN!X132,HN!AB132,HN!AF132))=2)*(CHOOSE({1,2,3,4},HN!W132,HN!AA132,HN!AE132,HN!AI132)))</f>
        <v>0</v>
      </c>
      <c r="C132">
        <f>SUMPRODUCT((MONTH(CHOOSE({1,2,3,4},HN!T132,HN!X132,HN!AB132,HN!AF132))=3)*(CHOOSE({1,2,3,4},HN!W132,HN!AA132,HN!AE132,HN!AI132)))</f>
        <v>0</v>
      </c>
      <c r="D132">
        <f>SUMPRODUCT((MONTH(CHOOSE({1,2,3,4},HN!T132,HN!X132,HN!AB132,HN!AF132))=4)*(CHOOSE({1,2,3,4},HN!W132,HN!AA132,HN!AE132,HN!AI132)))</f>
        <v>0</v>
      </c>
      <c r="E132">
        <f>SUMPRODUCT((MONTH(CHOOSE({1,2,3,4},HN!T132,HN!X132,HN!AB132,HN!AF132))=5)*(CHOOSE({1,2,3,4},HN!W132,HN!AA132,HN!AE132,HN!AI132)))</f>
        <v>0</v>
      </c>
      <c r="F132">
        <f>SUMPRODUCT((MONTH(CHOOSE({1,2,3,4},HN!T132,HN!X132,HN!AB132,HN!AF132))=6)*(CHOOSE({1,2,3,4},HN!W132,HN!AA132,HN!AE132,HN!AI132)))</f>
        <v>0</v>
      </c>
      <c r="G132">
        <f>SUMPRODUCT((MONTH(CHOOSE({1,2,3,4},HN!T132,HN!X132,HN!AB132,HN!AF132))=7)*(CHOOSE({1,2,3,4},HN!W132,HN!AA132,HN!AE132,HN!AI132)))</f>
        <v>0</v>
      </c>
      <c r="H132">
        <f>SUMPRODUCT((MONTH(CHOOSE({1,2,3,4},HN!T132,HN!X132,HN!AB132,HN!AF132))=8)*(CHOOSE({1,2,3,4},HN!W132,HN!AA132,HN!AE132,HN!AI132)))</f>
        <v>0</v>
      </c>
      <c r="I132">
        <f>SUMPRODUCT((MONTH(CHOOSE({1,2,3,4},HN!T132,HN!X132,HN!AB132,HN!AF132))=9)*(CHOOSE({1,2,3,4},HN!W132,HN!AA132,HN!AE132,HN!AI132)))</f>
        <v>0</v>
      </c>
      <c r="J132">
        <f>SUMPRODUCT((MONTH(CHOOSE({1,2,3,4},HN!T132,HN!X132,HN!AB132,HN!AF132))=10)*(CHOOSE({1,2,3,4},HN!W132,HN!AA132,HN!AE132,HN!AI132)))</f>
        <v>0</v>
      </c>
      <c r="K132">
        <f>SUMPRODUCT((MONTH(CHOOSE({1,2,3,4},HN!T132,HN!X132,HN!AB132,HN!AF132))=11)*(CHOOSE({1,2,3,4},HN!W132,HN!AA132,HN!AE132,HN!AI132)))</f>
        <v>0</v>
      </c>
      <c r="L132">
        <f>SUMPRODUCT((MONTH(CHOOSE({1,2,3,4},HN!T132,HN!X132,HN!AB132,HN!AF132))=12)*(CHOOSE({1,2,3,4},HN!W132,HN!AA132,HN!AE132,HN!AI132)))</f>
        <v>0</v>
      </c>
    </row>
    <row r="133" spans="1:12">
      <c r="A133">
        <f>SUMPRODUCT((MONTH(CHOOSE({1,2,3,4},HN!T133,HN!X133,HN!AB133,HN!AF133))=1)*(CHOOSE({1,2,3,4},HN!W133,HN!AA133,HN!AE133,HN!AI133)))</f>
        <v>0</v>
      </c>
      <c r="B133">
        <f>SUMPRODUCT((MONTH(CHOOSE({1,2,3,4},HN!T133,HN!X133,HN!AB133,HN!AF133))=2)*(CHOOSE({1,2,3,4},HN!W133,HN!AA133,HN!AE133,HN!AI133)))</f>
        <v>0</v>
      </c>
      <c r="C133">
        <f>SUMPRODUCT((MONTH(CHOOSE({1,2,3,4},HN!T133,HN!X133,HN!AB133,HN!AF133))=3)*(CHOOSE({1,2,3,4},HN!W133,HN!AA133,HN!AE133,HN!AI133)))</f>
        <v>0</v>
      </c>
      <c r="D133">
        <f>SUMPRODUCT((MONTH(CHOOSE({1,2,3,4},HN!T133,HN!X133,HN!AB133,HN!AF133))=4)*(CHOOSE({1,2,3,4},HN!W133,HN!AA133,HN!AE133,HN!AI133)))</f>
        <v>0</v>
      </c>
      <c r="E133">
        <f>SUMPRODUCT((MONTH(CHOOSE({1,2,3,4},HN!T133,HN!X133,HN!AB133,HN!AF133))=5)*(CHOOSE({1,2,3,4},HN!W133,HN!AA133,HN!AE133,HN!AI133)))</f>
        <v>0</v>
      </c>
      <c r="F133">
        <f>SUMPRODUCT((MONTH(CHOOSE({1,2,3,4},HN!T133,HN!X133,HN!AB133,HN!AF133))=6)*(CHOOSE({1,2,3,4},HN!W133,HN!AA133,HN!AE133,HN!AI133)))</f>
        <v>0</v>
      </c>
      <c r="G133">
        <f>SUMPRODUCT((MONTH(CHOOSE({1,2,3,4},HN!T133,HN!X133,HN!AB133,HN!AF133))=7)*(CHOOSE({1,2,3,4},HN!W133,HN!AA133,HN!AE133,HN!AI133)))</f>
        <v>0</v>
      </c>
      <c r="H133">
        <f>SUMPRODUCT((MONTH(CHOOSE({1,2,3,4},HN!T133,HN!X133,HN!AB133,HN!AF133))=8)*(CHOOSE({1,2,3,4},HN!W133,HN!AA133,HN!AE133,HN!AI133)))</f>
        <v>0</v>
      </c>
      <c r="I133">
        <f>SUMPRODUCT((MONTH(CHOOSE({1,2,3,4},HN!T133,HN!X133,HN!AB133,HN!AF133))=9)*(CHOOSE({1,2,3,4},HN!W133,HN!AA133,HN!AE133,HN!AI133)))</f>
        <v>0</v>
      </c>
      <c r="J133">
        <f>SUMPRODUCT((MONTH(CHOOSE({1,2,3,4},HN!T133,HN!X133,HN!AB133,HN!AF133))=10)*(CHOOSE({1,2,3,4},HN!W133,HN!AA133,HN!AE133,HN!AI133)))</f>
        <v>0</v>
      </c>
      <c r="K133">
        <f>SUMPRODUCT((MONTH(CHOOSE({1,2,3,4},HN!T133,HN!X133,HN!AB133,HN!AF133))=11)*(CHOOSE({1,2,3,4},HN!W133,HN!AA133,HN!AE133,HN!AI133)))</f>
        <v>0</v>
      </c>
      <c r="L133">
        <f>SUMPRODUCT((MONTH(CHOOSE({1,2,3,4},HN!T133,HN!X133,HN!AB133,HN!AF133))=12)*(CHOOSE({1,2,3,4},HN!W133,HN!AA133,HN!AE133,HN!AI133)))</f>
        <v>0</v>
      </c>
    </row>
    <row r="134" spans="1:12">
      <c r="A134">
        <f>SUMPRODUCT((MONTH(CHOOSE({1,2,3,4},HN!T134,HN!X134,HN!AB134,HN!AF134))=1)*(CHOOSE({1,2,3,4},HN!W134,HN!AA134,HN!AE134,HN!AI134)))</f>
        <v>0</v>
      </c>
      <c r="B134">
        <f>SUMPRODUCT((MONTH(CHOOSE({1,2,3,4},HN!T134,HN!X134,HN!AB134,HN!AF134))=2)*(CHOOSE({1,2,3,4},HN!W134,HN!AA134,HN!AE134,HN!AI134)))</f>
        <v>0</v>
      </c>
      <c r="C134">
        <f>SUMPRODUCT((MONTH(CHOOSE({1,2,3,4},HN!T134,HN!X134,HN!AB134,HN!AF134))=3)*(CHOOSE({1,2,3,4},HN!W134,HN!AA134,HN!AE134,HN!AI134)))</f>
        <v>0</v>
      </c>
      <c r="D134">
        <f>SUMPRODUCT((MONTH(CHOOSE({1,2,3,4},HN!T134,HN!X134,HN!AB134,HN!AF134))=4)*(CHOOSE({1,2,3,4},HN!W134,HN!AA134,HN!AE134,HN!AI134)))</f>
        <v>0</v>
      </c>
      <c r="E134">
        <f>SUMPRODUCT((MONTH(CHOOSE({1,2,3,4},HN!T134,HN!X134,HN!AB134,HN!AF134))=5)*(CHOOSE({1,2,3,4},HN!W134,HN!AA134,HN!AE134,HN!AI134)))</f>
        <v>0</v>
      </c>
      <c r="F134">
        <f>SUMPRODUCT((MONTH(CHOOSE({1,2,3,4},HN!T134,HN!X134,HN!AB134,HN!AF134))=6)*(CHOOSE({1,2,3,4},HN!W134,HN!AA134,HN!AE134,HN!AI134)))</f>
        <v>0</v>
      </c>
      <c r="G134">
        <f>SUMPRODUCT((MONTH(CHOOSE({1,2,3,4},HN!T134,HN!X134,HN!AB134,HN!AF134))=7)*(CHOOSE({1,2,3,4},HN!W134,HN!AA134,HN!AE134,HN!AI134)))</f>
        <v>0</v>
      </c>
      <c r="H134">
        <f>SUMPRODUCT((MONTH(CHOOSE({1,2,3,4},HN!T134,HN!X134,HN!AB134,HN!AF134))=8)*(CHOOSE({1,2,3,4},HN!W134,HN!AA134,HN!AE134,HN!AI134)))</f>
        <v>0</v>
      </c>
      <c r="I134">
        <f>SUMPRODUCT((MONTH(CHOOSE({1,2,3,4},HN!T134,HN!X134,HN!AB134,HN!AF134))=9)*(CHOOSE({1,2,3,4},HN!W134,HN!AA134,HN!AE134,HN!AI134)))</f>
        <v>0</v>
      </c>
      <c r="J134">
        <f>SUMPRODUCT((MONTH(CHOOSE({1,2,3,4},HN!T134,HN!X134,HN!AB134,HN!AF134))=10)*(CHOOSE({1,2,3,4},HN!W134,HN!AA134,HN!AE134,HN!AI134)))</f>
        <v>0</v>
      </c>
      <c r="K134">
        <f>SUMPRODUCT((MONTH(CHOOSE({1,2,3,4},HN!T134,HN!X134,HN!AB134,HN!AF134))=11)*(CHOOSE({1,2,3,4},HN!W134,HN!AA134,HN!AE134,HN!AI134)))</f>
        <v>0</v>
      </c>
      <c r="L134">
        <f>SUMPRODUCT((MONTH(CHOOSE({1,2,3,4},HN!T134,HN!X134,HN!AB134,HN!AF134))=12)*(CHOOSE({1,2,3,4},HN!W134,HN!AA134,HN!AE134,HN!AI134)))</f>
        <v>0</v>
      </c>
    </row>
    <row r="135" spans="1:12">
      <c r="A135">
        <f>SUMPRODUCT((MONTH(CHOOSE({1,2,3,4},HN!T135,HN!X135,HN!AB135,HN!AF135))=1)*(CHOOSE({1,2,3,4},HN!W135,HN!AA135,HN!AE135,HN!AI135)))</f>
        <v>0</v>
      </c>
      <c r="B135">
        <f>SUMPRODUCT((MONTH(CHOOSE({1,2,3,4},HN!T135,HN!X135,HN!AB135,HN!AF135))=2)*(CHOOSE({1,2,3,4},HN!W135,HN!AA135,HN!AE135,HN!AI135)))</f>
        <v>0</v>
      </c>
      <c r="C135">
        <f>SUMPRODUCT((MONTH(CHOOSE({1,2,3,4},HN!T135,HN!X135,HN!AB135,HN!AF135))=3)*(CHOOSE({1,2,3,4},HN!W135,HN!AA135,HN!AE135,HN!AI135)))</f>
        <v>0</v>
      </c>
      <c r="D135">
        <f>SUMPRODUCT((MONTH(CHOOSE({1,2,3,4},HN!T135,HN!X135,HN!AB135,HN!AF135))=4)*(CHOOSE({1,2,3,4},HN!W135,HN!AA135,HN!AE135,HN!AI135)))</f>
        <v>0</v>
      </c>
      <c r="E135">
        <f>SUMPRODUCT((MONTH(CHOOSE({1,2,3,4},HN!T135,HN!X135,HN!AB135,HN!AF135))=5)*(CHOOSE({1,2,3,4},HN!W135,HN!AA135,HN!AE135,HN!AI135)))</f>
        <v>0</v>
      </c>
      <c r="F135">
        <f>SUMPRODUCT((MONTH(CHOOSE({1,2,3,4},HN!T135,HN!X135,HN!AB135,HN!AF135))=6)*(CHOOSE({1,2,3,4},HN!W135,HN!AA135,HN!AE135,HN!AI135)))</f>
        <v>0</v>
      </c>
      <c r="G135">
        <f>SUMPRODUCT((MONTH(CHOOSE({1,2,3,4},HN!T135,HN!X135,HN!AB135,HN!AF135))=7)*(CHOOSE({1,2,3,4},HN!W135,HN!AA135,HN!AE135,HN!AI135)))</f>
        <v>0</v>
      </c>
      <c r="H135">
        <f>SUMPRODUCT((MONTH(CHOOSE({1,2,3,4},HN!T135,HN!X135,HN!AB135,HN!AF135))=8)*(CHOOSE({1,2,3,4},HN!W135,HN!AA135,HN!AE135,HN!AI135)))</f>
        <v>0</v>
      </c>
      <c r="I135">
        <f>SUMPRODUCT((MONTH(CHOOSE({1,2,3,4},HN!T135,HN!X135,HN!AB135,HN!AF135))=9)*(CHOOSE({1,2,3,4},HN!W135,HN!AA135,HN!AE135,HN!AI135)))</f>
        <v>0</v>
      </c>
      <c r="J135">
        <f>SUMPRODUCT((MONTH(CHOOSE({1,2,3,4},HN!T135,HN!X135,HN!AB135,HN!AF135))=10)*(CHOOSE({1,2,3,4},HN!W135,HN!AA135,HN!AE135,HN!AI135)))</f>
        <v>0</v>
      </c>
      <c r="K135">
        <f>SUMPRODUCT((MONTH(CHOOSE({1,2,3,4},HN!T135,HN!X135,HN!AB135,HN!AF135))=11)*(CHOOSE({1,2,3,4},HN!W135,HN!AA135,HN!AE135,HN!AI135)))</f>
        <v>0</v>
      </c>
      <c r="L135">
        <f>SUMPRODUCT((MONTH(CHOOSE({1,2,3,4},HN!T135,HN!X135,HN!AB135,HN!AF135))=12)*(CHOOSE({1,2,3,4},HN!W135,HN!AA135,HN!AE135,HN!AI135)))</f>
        <v>0</v>
      </c>
    </row>
    <row r="136" spans="1:12">
      <c r="A136">
        <f>SUMPRODUCT((MONTH(CHOOSE({1,2,3,4},HN!T136,HN!X136,HN!AB136,HN!AF136))=1)*(CHOOSE({1,2,3,4},HN!W136,HN!AA136,HN!AE136,HN!AI136)))</f>
        <v>0</v>
      </c>
      <c r="B136">
        <f>SUMPRODUCT((MONTH(CHOOSE({1,2,3,4},HN!T136,HN!X136,HN!AB136,HN!AF136))=2)*(CHOOSE({1,2,3,4},HN!W136,HN!AA136,HN!AE136,HN!AI136)))</f>
        <v>0</v>
      </c>
      <c r="C136">
        <f>SUMPRODUCT((MONTH(CHOOSE({1,2,3,4},HN!T136,HN!X136,HN!AB136,HN!AF136))=3)*(CHOOSE({1,2,3,4},HN!W136,HN!AA136,HN!AE136,HN!AI136)))</f>
        <v>0</v>
      </c>
      <c r="D136">
        <f>SUMPRODUCT((MONTH(CHOOSE({1,2,3,4},HN!T136,HN!X136,HN!AB136,HN!AF136))=4)*(CHOOSE({1,2,3,4},HN!W136,HN!AA136,HN!AE136,HN!AI136)))</f>
        <v>0</v>
      </c>
      <c r="E136">
        <f>SUMPRODUCT((MONTH(CHOOSE({1,2,3,4},HN!T136,HN!X136,HN!AB136,HN!AF136))=5)*(CHOOSE({1,2,3,4},HN!W136,HN!AA136,HN!AE136,HN!AI136)))</f>
        <v>0</v>
      </c>
      <c r="F136">
        <f>SUMPRODUCT((MONTH(CHOOSE({1,2,3,4},HN!T136,HN!X136,HN!AB136,HN!AF136))=6)*(CHOOSE({1,2,3,4},HN!W136,HN!AA136,HN!AE136,HN!AI136)))</f>
        <v>0</v>
      </c>
      <c r="G136">
        <f>SUMPRODUCT((MONTH(CHOOSE({1,2,3,4},HN!T136,HN!X136,HN!AB136,HN!AF136))=7)*(CHOOSE({1,2,3,4},HN!W136,HN!AA136,HN!AE136,HN!AI136)))</f>
        <v>0</v>
      </c>
      <c r="H136">
        <f>SUMPRODUCT((MONTH(CHOOSE({1,2,3,4},HN!T136,HN!X136,HN!AB136,HN!AF136))=8)*(CHOOSE({1,2,3,4},HN!W136,HN!AA136,HN!AE136,HN!AI136)))</f>
        <v>0</v>
      </c>
      <c r="I136">
        <f>SUMPRODUCT((MONTH(CHOOSE({1,2,3,4},HN!T136,HN!X136,HN!AB136,HN!AF136))=9)*(CHOOSE({1,2,3,4},HN!W136,HN!AA136,HN!AE136,HN!AI136)))</f>
        <v>0</v>
      </c>
      <c r="J136">
        <f>SUMPRODUCT((MONTH(CHOOSE({1,2,3,4},HN!T136,HN!X136,HN!AB136,HN!AF136))=10)*(CHOOSE({1,2,3,4},HN!W136,HN!AA136,HN!AE136,HN!AI136)))</f>
        <v>0</v>
      </c>
      <c r="K136">
        <f>SUMPRODUCT((MONTH(CHOOSE({1,2,3,4},HN!T136,HN!X136,HN!AB136,HN!AF136))=11)*(CHOOSE({1,2,3,4},HN!W136,HN!AA136,HN!AE136,HN!AI136)))</f>
        <v>0</v>
      </c>
      <c r="L136">
        <f>SUMPRODUCT((MONTH(CHOOSE({1,2,3,4},HN!T136,HN!X136,HN!AB136,HN!AF136))=12)*(CHOOSE({1,2,3,4},HN!W136,HN!AA136,HN!AE136,HN!AI136)))</f>
        <v>0</v>
      </c>
    </row>
    <row r="137" spans="1:12">
      <c r="A137">
        <f>SUMPRODUCT((MONTH(CHOOSE({1,2,3,4},HN!T137,HN!X137,HN!AB137,HN!AF137))=1)*(CHOOSE({1,2,3,4},HN!W137,HN!AA137,HN!AE137,HN!AI137)))</f>
        <v>0</v>
      </c>
      <c r="B137">
        <f>SUMPRODUCT((MONTH(CHOOSE({1,2,3,4},HN!T137,HN!X137,HN!AB137,HN!AF137))=2)*(CHOOSE({1,2,3,4},HN!W137,HN!AA137,HN!AE137,HN!AI137)))</f>
        <v>0</v>
      </c>
      <c r="C137">
        <f>SUMPRODUCT((MONTH(CHOOSE({1,2,3,4},HN!T137,HN!X137,HN!AB137,HN!AF137))=3)*(CHOOSE({1,2,3,4},HN!W137,HN!AA137,HN!AE137,HN!AI137)))</f>
        <v>0</v>
      </c>
      <c r="D137">
        <f>SUMPRODUCT((MONTH(CHOOSE({1,2,3,4},HN!T137,HN!X137,HN!AB137,HN!AF137))=4)*(CHOOSE({1,2,3,4},HN!W137,HN!AA137,HN!AE137,HN!AI137)))</f>
        <v>0</v>
      </c>
      <c r="E137">
        <f>SUMPRODUCT((MONTH(CHOOSE({1,2,3,4},HN!T137,HN!X137,HN!AB137,HN!AF137))=5)*(CHOOSE({1,2,3,4},HN!W137,HN!AA137,HN!AE137,HN!AI137)))</f>
        <v>0</v>
      </c>
      <c r="F137">
        <f>SUMPRODUCT((MONTH(CHOOSE({1,2,3,4},HN!T137,HN!X137,HN!AB137,HN!AF137))=6)*(CHOOSE({1,2,3,4},HN!W137,HN!AA137,HN!AE137,HN!AI137)))</f>
        <v>0</v>
      </c>
      <c r="G137">
        <f>SUMPRODUCT((MONTH(CHOOSE({1,2,3,4},HN!T137,HN!X137,HN!AB137,HN!AF137))=7)*(CHOOSE({1,2,3,4},HN!W137,HN!AA137,HN!AE137,HN!AI137)))</f>
        <v>0</v>
      </c>
      <c r="H137">
        <f>SUMPRODUCT((MONTH(CHOOSE({1,2,3,4},HN!T137,HN!X137,HN!AB137,HN!AF137))=8)*(CHOOSE({1,2,3,4},HN!W137,HN!AA137,HN!AE137,HN!AI137)))</f>
        <v>0</v>
      </c>
      <c r="I137">
        <f>SUMPRODUCT((MONTH(CHOOSE({1,2,3,4},HN!T137,HN!X137,HN!AB137,HN!AF137))=9)*(CHOOSE({1,2,3,4},HN!W137,HN!AA137,HN!AE137,HN!AI137)))</f>
        <v>0</v>
      </c>
      <c r="J137">
        <f>SUMPRODUCT((MONTH(CHOOSE({1,2,3,4},HN!T137,HN!X137,HN!AB137,HN!AF137))=10)*(CHOOSE({1,2,3,4},HN!W137,HN!AA137,HN!AE137,HN!AI137)))</f>
        <v>0</v>
      </c>
      <c r="K137">
        <f>SUMPRODUCT((MONTH(CHOOSE({1,2,3,4},HN!T137,HN!X137,HN!AB137,HN!AF137))=11)*(CHOOSE({1,2,3,4},HN!W137,HN!AA137,HN!AE137,HN!AI137)))</f>
        <v>0</v>
      </c>
      <c r="L137">
        <f>SUMPRODUCT((MONTH(CHOOSE({1,2,3,4},HN!T137,HN!X137,HN!AB137,HN!AF137))=12)*(CHOOSE({1,2,3,4},HN!W137,HN!AA137,HN!AE137,HN!AI137)))</f>
        <v>0</v>
      </c>
    </row>
    <row r="138" spans="1:12">
      <c r="A138">
        <f>SUMPRODUCT((MONTH(CHOOSE({1,2,3,4},HN!T138,HN!X138,HN!AB138,HN!AF138))=1)*(CHOOSE({1,2,3,4},HN!W138,HN!AA138,HN!AE138,HN!AI138)))</f>
        <v>0</v>
      </c>
      <c r="B138">
        <f>SUMPRODUCT((MONTH(CHOOSE({1,2,3,4},HN!T138,HN!X138,HN!AB138,HN!AF138))=2)*(CHOOSE({1,2,3,4},HN!W138,HN!AA138,HN!AE138,HN!AI138)))</f>
        <v>0</v>
      </c>
      <c r="C138">
        <f>SUMPRODUCT((MONTH(CHOOSE({1,2,3,4},HN!T138,HN!X138,HN!AB138,HN!AF138))=3)*(CHOOSE({1,2,3,4},HN!W138,HN!AA138,HN!AE138,HN!AI138)))</f>
        <v>0</v>
      </c>
      <c r="D138">
        <f>SUMPRODUCT((MONTH(CHOOSE({1,2,3,4},HN!T138,HN!X138,HN!AB138,HN!AF138))=4)*(CHOOSE({1,2,3,4},HN!W138,HN!AA138,HN!AE138,HN!AI138)))</f>
        <v>0</v>
      </c>
      <c r="E138">
        <f>SUMPRODUCT((MONTH(CHOOSE({1,2,3,4},HN!T138,HN!X138,HN!AB138,HN!AF138))=5)*(CHOOSE({1,2,3,4},HN!W138,HN!AA138,HN!AE138,HN!AI138)))</f>
        <v>0</v>
      </c>
      <c r="F138">
        <f>SUMPRODUCT((MONTH(CHOOSE({1,2,3,4},HN!T138,HN!X138,HN!AB138,HN!AF138))=6)*(CHOOSE({1,2,3,4},HN!W138,HN!AA138,HN!AE138,HN!AI138)))</f>
        <v>0</v>
      </c>
      <c r="G138">
        <f>SUMPRODUCT((MONTH(CHOOSE({1,2,3,4},HN!T138,HN!X138,HN!AB138,HN!AF138))=7)*(CHOOSE({1,2,3,4},HN!W138,HN!AA138,HN!AE138,HN!AI138)))</f>
        <v>0</v>
      </c>
      <c r="H138">
        <f>SUMPRODUCT((MONTH(CHOOSE({1,2,3,4},HN!T138,HN!X138,HN!AB138,HN!AF138))=8)*(CHOOSE({1,2,3,4},HN!W138,HN!AA138,HN!AE138,HN!AI138)))</f>
        <v>0</v>
      </c>
      <c r="I138">
        <f>SUMPRODUCT((MONTH(CHOOSE({1,2,3,4},HN!T138,HN!X138,HN!AB138,HN!AF138))=9)*(CHOOSE({1,2,3,4},HN!W138,HN!AA138,HN!AE138,HN!AI138)))</f>
        <v>0</v>
      </c>
      <c r="J138">
        <f>SUMPRODUCT((MONTH(CHOOSE({1,2,3,4},HN!T138,HN!X138,HN!AB138,HN!AF138))=10)*(CHOOSE({1,2,3,4},HN!W138,HN!AA138,HN!AE138,HN!AI138)))</f>
        <v>0</v>
      </c>
      <c r="K138">
        <f>SUMPRODUCT((MONTH(CHOOSE({1,2,3,4},HN!T138,HN!X138,HN!AB138,HN!AF138))=11)*(CHOOSE({1,2,3,4},HN!W138,HN!AA138,HN!AE138,HN!AI138)))</f>
        <v>0</v>
      </c>
      <c r="L138">
        <f>SUMPRODUCT((MONTH(CHOOSE({1,2,3,4},HN!T138,HN!X138,HN!AB138,HN!AF138))=12)*(CHOOSE({1,2,3,4},HN!W138,HN!AA138,HN!AE138,HN!AI138)))</f>
        <v>0</v>
      </c>
    </row>
    <row r="139" spans="1:12">
      <c r="A139">
        <f>SUMPRODUCT((MONTH(CHOOSE({1,2,3,4},HN!T139,HN!X139,HN!AB139,HN!AF139))=1)*(CHOOSE({1,2,3,4},HN!W139,HN!AA139,HN!AE139,HN!AI139)))</f>
        <v>0</v>
      </c>
      <c r="B139">
        <f>SUMPRODUCT((MONTH(CHOOSE({1,2,3,4},HN!T139,HN!X139,HN!AB139,HN!AF139))=2)*(CHOOSE({1,2,3,4},HN!W139,HN!AA139,HN!AE139,HN!AI139)))</f>
        <v>0</v>
      </c>
      <c r="C139">
        <f>SUMPRODUCT((MONTH(CHOOSE({1,2,3,4},HN!T139,HN!X139,HN!AB139,HN!AF139))=3)*(CHOOSE({1,2,3,4},HN!W139,HN!AA139,HN!AE139,HN!AI139)))</f>
        <v>0</v>
      </c>
      <c r="D139">
        <f>SUMPRODUCT((MONTH(CHOOSE({1,2,3,4},HN!T139,HN!X139,HN!AB139,HN!AF139))=4)*(CHOOSE({1,2,3,4},HN!W139,HN!AA139,HN!AE139,HN!AI139)))</f>
        <v>0</v>
      </c>
      <c r="E139">
        <f>SUMPRODUCT((MONTH(CHOOSE({1,2,3,4},HN!T139,HN!X139,HN!AB139,HN!AF139))=5)*(CHOOSE({1,2,3,4},HN!W139,HN!AA139,HN!AE139,HN!AI139)))</f>
        <v>0</v>
      </c>
      <c r="F139">
        <f>SUMPRODUCT((MONTH(CHOOSE({1,2,3,4},HN!T139,HN!X139,HN!AB139,HN!AF139))=6)*(CHOOSE({1,2,3,4},HN!W139,HN!AA139,HN!AE139,HN!AI139)))</f>
        <v>0</v>
      </c>
      <c r="G139">
        <f>SUMPRODUCT((MONTH(CHOOSE({1,2,3,4},HN!T139,HN!X139,HN!AB139,HN!AF139))=7)*(CHOOSE({1,2,3,4},HN!W139,HN!AA139,HN!AE139,HN!AI139)))</f>
        <v>0</v>
      </c>
      <c r="H139">
        <f>SUMPRODUCT((MONTH(CHOOSE({1,2,3,4},HN!T139,HN!X139,HN!AB139,HN!AF139))=8)*(CHOOSE({1,2,3,4},HN!W139,HN!AA139,HN!AE139,HN!AI139)))</f>
        <v>0</v>
      </c>
      <c r="I139">
        <f>SUMPRODUCT((MONTH(CHOOSE({1,2,3,4},HN!T139,HN!X139,HN!AB139,HN!AF139))=9)*(CHOOSE({1,2,3,4},HN!W139,HN!AA139,HN!AE139,HN!AI139)))</f>
        <v>0</v>
      </c>
      <c r="J139">
        <f>SUMPRODUCT((MONTH(CHOOSE({1,2,3,4},HN!T139,HN!X139,HN!AB139,HN!AF139))=10)*(CHOOSE({1,2,3,4},HN!W139,HN!AA139,HN!AE139,HN!AI139)))</f>
        <v>0</v>
      </c>
      <c r="K139">
        <f>SUMPRODUCT((MONTH(CHOOSE({1,2,3,4},HN!T139,HN!X139,HN!AB139,HN!AF139))=11)*(CHOOSE({1,2,3,4},HN!W139,HN!AA139,HN!AE139,HN!AI139)))</f>
        <v>0</v>
      </c>
      <c r="L139">
        <f>SUMPRODUCT((MONTH(CHOOSE({1,2,3,4},HN!T139,HN!X139,HN!AB139,HN!AF139))=12)*(CHOOSE({1,2,3,4},HN!W139,HN!AA139,HN!AE139,HN!AI139)))</f>
        <v>0</v>
      </c>
    </row>
    <row r="140" spans="1:12">
      <c r="A140">
        <f>SUMPRODUCT((MONTH(CHOOSE({1,2,3,4},HN!T140,HN!X140,HN!AB140,HN!AF140))=1)*(CHOOSE({1,2,3,4},HN!W140,HN!AA140,HN!AE140,HN!AI140)))</f>
        <v>0</v>
      </c>
      <c r="B140">
        <f>SUMPRODUCT((MONTH(CHOOSE({1,2,3,4},HN!T140,HN!X140,HN!AB140,HN!AF140))=2)*(CHOOSE({1,2,3,4},HN!W140,HN!AA140,HN!AE140,HN!AI140)))</f>
        <v>0</v>
      </c>
      <c r="C140">
        <f>SUMPRODUCT((MONTH(CHOOSE({1,2,3,4},HN!T140,HN!X140,HN!AB140,HN!AF140))=3)*(CHOOSE({1,2,3,4},HN!W140,HN!AA140,HN!AE140,HN!AI140)))</f>
        <v>0</v>
      </c>
      <c r="D140">
        <f>SUMPRODUCT((MONTH(CHOOSE({1,2,3,4},HN!T140,HN!X140,HN!AB140,HN!AF140))=4)*(CHOOSE({1,2,3,4},HN!W140,HN!AA140,HN!AE140,HN!AI140)))</f>
        <v>0</v>
      </c>
      <c r="E140">
        <f>SUMPRODUCT((MONTH(CHOOSE({1,2,3,4},HN!T140,HN!X140,HN!AB140,HN!AF140))=5)*(CHOOSE({1,2,3,4},HN!W140,HN!AA140,HN!AE140,HN!AI140)))</f>
        <v>0</v>
      </c>
      <c r="F140">
        <f>SUMPRODUCT((MONTH(CHOOSE({1,2,3,4},HN!T140,HN!X140,HN!AB140,HN!AF140))=6)*(CHOOSE({1,2,3,4},HN!W140,HN!AA140,HN!AE140,HN!AI140)))</f>
        <v>0</v>
      </c>
      <c r="G140">
        <f>SUMPRODUCT((MONTH(CHOOSE({1,2,3,4},HN!T140,HN!X140,HN!AB140,HN!AF140))=7)*(CHOOSE({1,2,3,4},HN!W140,HN!AA140,HN!AE140,HN!AI140)))</f>
        <v>0</v>
      </c>
      <c r="H140">
        <f>SUMPRODUCT((MONTH(CHOOSE({1,2,3,4},HN!T140,HN!X140,HN!AB140,HN!AF140))=8)*(CHOOSE({1,2,3,4},HN!W140,HN!AA140,HN!AE140,HN!AI140)))</f>
        <v>0</v>
      </c>
      <c r="I140">
        <f>SUMPRODUCT((MONTH(CHOOSE({1,2,3,4},HN!T140,HN!X140,HN!AB140,HN!AF140))=9)*(CHOOSE({1,2,3,4},HN!W140,HN!AA140,HN!AE140,HN!AI140)))</f>
        <v>0</v>
      </c>
      <c r="J140">
        <f>SUMPRODUCT((MONTH(CHOOSE({1,2,3,4},HN!T140,HN!X140,HN!AB140,HN!AF140))=10)*(CHOOSE({1,2,3,4},HN!W140,HN!AA140,HN!AE140,HN!AI140)))</f>
        <v>0</v>
      </c>
      <c r="K140">
        <f>SUMPRODUCT((MONTH(CHOOSE({1,2,3,4},HN!T140,HN!X140,HN!AB140,HN!AF140))=11)*(CHOOSE({1,2,3,4},HN!W140,HN!AA140,HN!AE140,HN!AI140)))</f>
        <v>0</v>
      </c>
      <c r="L140">
        <f>SUMPRODUCT((MONTH(CHOOSE({1,2,3,4},HN!T140,HN!X140,HN!AB140,HN!AF140))=12)*(CHOOSE({1,2,3,4},HN!W140,HN!AA140,HN!AE140,HN!AI140)))</f>
        <v>0</v>
      </c>
    </row>
    <row r="141" spans="1:12">
      <c r="A141">
        <f>SUMPRODUCT((MONTH(CHOOSE({1,2,3,4},HN!T141,HN!X141,HN!AB141,HN!AF141))=1)*(CHOOSE({1,2,3,4},HN!W141,HN!AA141,HN!AE141,HN!AI141)))</f>
        <v>0</v>
      </c>
      <c r="B141">
        <f>SUMPRODUCT((MONTH(CHOOSE({1,2,3,4},HN!T141,HN!X141,HN!AB141,HN!AF141))=2)*(CHOOSE({1,2,3,4},HN!W141,HN!AA141,HN!AE141,HN!AI141)))</f>
        <v>0</v>
      </c>
      <c r="C141">
        <f>SUMPRODUCT((MONTH(CHOOSE({1,2,3,4},HN!T141,HN!X141,HN!AB141,HN!AF141))=3)*(CHOOSE({1,2,3,4},HN!W141,HN!AA141,HN!AE141,HN!AI141)))</f>
        <v>0</v>
      </c>
      <c r="D141">
        <f>SUMPRODUCT((MONTH(CHOOSE({1,2,3,4},HN!T141,HN!X141,HN!AB141,HN!AF141))=4)*(CHOOSE({1,2,3,4},HN!W141,HN!AA141,HN!AE141,HN!AI141)))</f>
        <v>0</v>
      </c>
      <c r="E141">
        <f>SUMPRODUCT((MONTH(CHOOSE({1,2,3,4},HN!T141,HN!X141,HN!AB141,HN!AF141))=5)*(CHOOSE({1,2,3,4},HN!W141,HN!AA141,HN!AE141,HN!AI141)))</f>
        <v>0</v>
      </c>
      <c r="F141">
        <f>SUMPRODUCT((MONTH(CHOOSE({1,2,3,4},HN!T141,HN!X141,HN!AB141,HN!AF141))=6)*(CHOOSE({1,2,3,4},HN!W141,HN!AA141,HN!AE141,HN!AI141)))</f>
        <v>0</v>
      </c>
      <c r="G141">
        <f>SUMPRODUCT((MONTH(CHOOSE({1,2,3,4},HN!T141,HN!X141,HN!AB141,HN!AF141))=7)*(CHOOSE({1,2,3,4},HN!W141,HN!AA141,HN!AE141,HN!AI141)))</f>
        <v>0</v>
      </c>
      <c r="H141">
        <f>SUMPRODUCT((MONTH(CHOOSE({1,2,3,4},HN!T141,HN!X141,HN!AB141,HN!AF141))=8)*(CHOOSE({1,2,3,4},HN!W141,HN!AA141,HN!AE141,HN!AI141)))</f>
        <v>0</v>
      </c>
      <c r="I141">
        <f>SUMPRODUCT((MONTH(CHOOSE({1,2,3,4},HN!T141,HN!X141,HN!AB141,HN!AF141))=9)*(CHOOSE({1,2,3,4},HN!W141,HN!AA141,HN!AE141,HN!AI141)))</f>
        <v>0</v>
      </c>
      <c r="J141">
        <f>SUMPRODUCT((MONTH(CHOOSE({1,2,3,4},HN!T141,HN!X141,HN!AB141,HN!AF141))=10)*(CHOOSE({1,2,3,4},HN!W141,HN!AA141,HN!AE141,HN!AI141)))</f>
        <v>0</v>
      </c>
      <c r="K141">
        <f>SUMPRODUCT((MONTH(CHOOSE({1,2,3,4},HN!T141,HN!X141,HN!AB141,HN!AF141))=11)*(CHOOSE({1,2,3,4},HN!W141,HN!AA141,HN!AE141,HN!AI141)))</f>
        <v>0</v>
      </c>
      <c r="L141">
        <f>SUMPRODUCT((MONTH(CHOOSE({1,2,3,4},HN!T141,HN!X141,HN!AB141,HN!AF141))=12)*(CHOOSE({1,2,3,4},HN!W141,HN!AA141,HN!AE141,HN!AI141)))</f>
        <v>0</v>
      </c>
    </row>
    <row r="142" spans="1:12">
      <c r="A142">
        <f>SUMPRODUCT((MONTH(CHOOSE({1,2,3,4},HN!T142,HN!X142,HN!AB142,HN!AF142))=1)*(CHOOSE({1,2,3,4},HN!W142,HN!AA142,HN!AE142,HN!AI142)))</f>
        <v>0</v>
      </c>
      <c r="B142">
        <f>SUMPRODUCT((MONTH(CHOOSE({1,2,3,4},HN!T142,HN!X142,HN!AB142,HN!AF142))=2)*(CHOOSE({1,2,3,4},HN!W142,HN!AA142,HN!AE142,HN!AI142)))</f>
        <v>0</v>
      </c>
      <c r="C142">
        <f>SUMPRODUCT((MONTH(CHOOSE({1,2,3,4},HN!T142,HN!X142,HN!AB142,HN!AF142))=3)*(CHOOSE({1,2,3,4},HN!W142,HN!AA142,HN!AE142,HN!AI142)))</f>
        <v>0</v>
      </c>
      <c r="D142">
        <f>SUMPRODUCT((MONTH(CHOOSE({1,2,3,4},HN!T142,HN!X142,HN!AB142,HN!AF142))=4)*(CHOOSE({1,2,3,4},HN!W142,HN!AA142,HN!AE142,HN!AI142)))</f>
        <v>0</v>
      </c>
      <c r="E142">
        <f>SUMPRODUCT((MONTH(CHOOSE({1,2,3,4},HN!T142,HN!X142,HN!AB142,HN!AF142))=5)*(CHOOSE({1,2,3,4},HN!W142,HN!AA142,HN!AE142,HN!AI142)))</f>
        <v>0</v>
      </c>
      <c r="F142">
        <f>SUMPRODUCT((MONTH(CHOOSE({1,2,3,4},HN!T142,HN!X142,HN!AB142,HN!AF142))=6)*(CHOOSE({1,2,3,4},HN!W142,HN!AA142,HN!AE142,HN!AI142)))</f>
        <v>0</v>
      </c>
      <c r="G142">
        <f>SUMPRODUCT((MONTH(CHOOSE({1,2,3,4},HN!T142,HN!X142,HN!AB142,HN!AF142))=7)*(CHOOSE({1,2,3,4},HN!W142,HN!AA142,HN!AE142,HN!AI142)))</f>
        <v>0</v>
      </c>
      <c r="H142">
        <f>SUMPRODUCT((MONTH(CHOOSE({1,2,3,4},HN!T142,HN!X142,HN!AB142,HN!AF142))=8)*(CHOOSE({1,2,3,4},HN!W142,HN!AA142,HN!AE142,HN!AI142)))</f>
        <v>0</v>
      </c>
      <c r="I142">
        <f>SUMPRODUCT((MONTH(CHOOSE({1,2,3,4},HN!T142,HN!X142,HN!AB142,HN!AF142))=9)*(CHOOSE({1,2,3,4},HN!W142,HN!AA142,HN!AE142,HN!AI142)))</f>
        <v>0</v>
      </c>
      <c r="J142">
        <f>SUMPRODUCT((MONTH(CHOOSE({1,2,3,4},HN!T142,HN!X142,HN!AB142,HN!AF142))=10)*(CHOOSE({1,2,3,4},HN!W142,HN!AA142,HN!AE142,HN!AI142)))</f>
        <v>0</v>
      </c>
      <c r="K142">
        <f>SUMPRODUCT((MONTH(CHOOSE({1,2,3,4},HN!T142,HN!X142,HN!AB142,HN!AF142))=11)*(CHOOSE({1,2,3,4},HN!W142,HN!AA142,HN!AE142,HN!AI142)))</f>
        <v>0</v>
      </c>
      <c r="L142">
        <f>SUMPRODUCT((MONTH(CHOOSE({1,2,3,4},HN!T142,HN!X142,HN!AB142,HN!AF142))=12)*(CHOOSE({1,2,3,4},HN!W142,HN!AA142,HN!AE142,HN!AI142)))</f>
        <v>0</v>
      </c>
    </row>
    <row r="143" spans="1:12">
      <c r="A143">
        <f>SUMPRODUCT((MONTH(CHOOSE({1,2,3,4},HN!T143,HN!X143,HN!AB143,HN!AF143))=1)*(CHOOSE({1,2,3,4},HN!W143,HN!AA143,HN!AE143,HN!AI143)))</f>
        <v>0</v>
      </c>
      <c r="B143">
        <f>SUMPRODUCT((MONTH(CHOOSE({1,2,3,4},HN!T143,HN!X143,HN!AB143,HN!AF143))=2)*(CHOOSE({1,2,3,4},HN!W143,HN!AA143,HN!AE143,HN!AI143)))</f>
        <v>0</v>
      </c>
      <c r="C143">
        <f>SUMPRODUCT((MONTH(CHOOSE({1,2,3,4},HN!T143,HN!X143,HN!AB143,HN!AF143))=3)*(CHOOSE({1,2,3,4},HN!W143,HN!AA143,HN!AE143,HN!AI143)))</f>
        <v>0</v>
      </c>
      <c r="D143">
        <f>SUMPRODUCT((MONTH(CHOOSE({1,2,3,4},HN!T143,HN!X143,HN!AB143,HN!AF143))=4)*(CHOOSE({1,2,3,4},HN!W143,HN!AA143,HN!AE143,HN!AI143)))</f>
        <v>0</v>
      </c>
      <c r="E143">
        <f>SUMPRODUCT((MONTH(CHOOSE({1,2,3,4},HN!T143,HN!X143,HN!AB143,HN!AF143))=5)*(CHOOSE({1,2,3,4},HN!W143,HN!AA143,HN!AE143,HN!AI143)))</f>
        <v>0</v>
      </c>
      <c r="F143">
        <f>SUMPRODUCT((MONTH(CHOOSE({1,2,3,4},HN!T143,HN!X143,HN!AB143,HN!AF143))=6)*(CHOOSE({1,2,3,4},HN!W143,HN!AA143,HN!AE143,HN!AI143)))</f>
        <v>0</v>
      </c>
      <c r="G143">
        <f>SUMPRODUCT((MONTH(CHOOSE({1,2,3,4},HN!T143,HN!X143,HN!AB143,HN!AF143))=7)*(CHOOSE({1,2,3,4},HN!W143,HN!AA143,HN!AE143,HN!AI143)))</f>
        <v>0</v>
      </c>
      <c r="H143">
        <f>SUMPRODUCT((MONTH(CHOOSE({1,2,3,4},HN!T143,HN!X143,HN!AB143,HN!AF143))=8)*(CHOOSE({1,2,3,4},HN!W143,HN!AA143,HN!AE143,HN!AI143)))</f>
        <v>0</v>
      </c>
      <c r="I143">
        <f>SUMPRODUCT((MONTH(CHOOSE({1,2,3,4},HN!T143,HN!X143,HN!AB143,HN!AF143))=9)*(CHOOSE({1,2,3,4},HN!W143,HN!AA143,HN!AE143,HN!AI143)))</f>
        <v>0</v>
      </c>
      <c r="J143">
        <f>SUMPRODUCT((MONTH(CHOOSE({1,2,3,4},HN!T143,HN!X143,HN!AB143,HN!AF143))=10)*(CHOOSE({1,2,3,4},HN!W143,HN!AA143,HN!AE143,HN!AI143)))</f>
        <v>0</v>
      </c>
      <c r="K143">
        <f>SUMPRODUCT((MONTH(CHOOSE({1,2,3,4},HN!T143,HN!X143,HN!AB143,HN!AF143))=11)*(CHOOSE({1,2,3,4},HN!W143,HN!AA143,HN!AE143,HN!AI143)))</f>
        <v>0</v>
      </c>
      <c r="L143">
        <f>SUMPRODUCT((MONTH(CHOOSE({1,2,3,4},HN!T143,HN!X143,HN!AB143,HN!AF143))=12)*(CHOOSE({1,2,3,4},HN!W143,HN!AA143,HN!AE143,HN!AI143)))</f>
        <v>0</v>
      </c>
    </row>
    <row r="144" spans="1:12">
      <c r="A144">
        <f>SUMPRODUCT((MONTH(CHOOSE({1,2,3,4},HN!T144,HN!X144,HN!AB144,HN!AF144))=1)*(CHOOSE({1,2,3,4},HN!W144,HN!AA144,HN!AE144,HN!AI144)))</f>
        <v>0</v>
      </c>
      <c r="B144">
        <f>SUMPRODUCT((MONTH(CHOOSE({1,2,3,4},HN!T144,HN!X144,HN!AB144,HN!AF144))=2)*(CHOOSE({1,2,3,4},HN!W144,HN!AA144,HN!AE144,HN!AI144)))</f>
        <v>0</v>
      </c>
      <c r="C144">
        <f>SUMPRODUCT((MONTH(CHOOSE({1,2,3,4},HN!T144,HN!X144,HN!AB144,HN!AF144))=3)*(CHOOSE({1,2,3,4},HN!W144,HN!AA144,HN!AE144,HN!AI144)))</f>
        <v>0</v>
      </c>
      <c r="D144">
        <f>SUMPRODUCT((MONTH(CHOOSE({1,2,3,4},HN!T144,HN!X144,HN!AB144,HN!AF144))=4)*(CHOOSE({1,2,3,4},HN!W144,HN!AA144,HN!AE144,HN!AI144)))</f>
        <v>0</v>
      </c>
      <c r="E144">
        <f>SUMPRODUCT((MONTH(CHOOSE({1,2,3,4},HN!T144,HN!X144,HN!AB144,HN!AF144))=5)*(CHOOSE({1,2,3,4},HN!W144,HN!AA144,HN!AE144,HN!AI144)))</f>
        <v>0</v>
      </c>
      <c r="F144">
        <f>SUMPRODUCT((MONTH(CHOOSE({1,2,3,4},HN!T144,HN!X144,HN!AB144,HN!AF144))=6)*(CHOOSE({1,2,3,4},HN!W144,HN!AA144,HN!AE144,HN!AI144)))</f>
        <v>0</v>
      </c>
      <c r="G144">
        <f>SUMPRODUCT((MONTH(CHOOSE({1,2,3,4},HN!T144,HN!X144,HN!AB144,HN!AF144))=7)*(CHOOSE({1,2,3,4},HN!W144,HN!AA144,HN!AE144,HN!AI144)))</f>
        <v>0</v>
      </c>
      <c r="H144">
        <f>SUMPRODUCT((MONTH(CHOOSE({1,2,3,4},HN!T144,HN!X144,HN!AB144,HN!AF144))=8)*(CHOOSE({1,2,3,4},HN!W144,HN!AA144,HN!AE144,HN!AI144)))</f>
        <v>0</v>
      </c>
      <c r="I144">
        <f>SUMPRODUCT((MONTH(CHOOSE({1,2,3,4},HN!T144,HN!X144,HN!AB144,HN!AF144))=9)*(CHOOSE({1,2,3,4},HN!W144,HN!AA144,HN!AE144,HN!AI144)))</f>
        <v>0</v>
      </c>
      <c r="J144">
        <f>SUMPRODUCT((MONTH(CHOOSE({1,2,3,4},HN!T144,HN!X144,HN!AB144,HN!AF144))=10)*(CHOOSE({1,2,3,4},HN!W144,HN!AA144,HN!AE144,HN!AI144)))</f>
        <v>0</v>
      </c>
      <c r="K144">
        <f>SUMPRODUCT((MONTH(CHOOSE({1,2,3,4},HN!T144,HN!X144,HN!AB144,HN!AF144))=11)*(CHOOSE({1,2,3,4},HN!W144,HN!AA144,HN!AE144,HN!AI144)))</f>
        <v>0</v>
      </c>
      <c r="L144">
        <f>SUMPRODUCT((MONTH(CHOOSE({1,2,3,4},HN!T144,HN!X144,HN!AB144,HN!AF144))=12)*(CHOOSE({1,2,3,4},HN!W144,HN!AA144,HN!AE144,HN!AI144)))</f>
        <v>0</v>
      </c>
    </row>
    <row r="145" spans="1:12">
      <c r="A145">
        <f>SUMPRODUCT((MONTH(CHOOSE({1,2,3,4},HN!T145,HN!X145,HN!AB145,HN!AF145))=1)*(CHOOSE({1,2,3,4},HN!W145,HN!AA145,HN!AE145,HN!AI145)))</f>
        <v>0</v>
      </c>
      <c r="B145">
        <f>SUMPRODUCT((MONTH(CHOOSE({1,2,3,4},HN!T145,HN!X145,HN!AB145,HN!AF145))=2)*(CHOOSE({1,2,3,4},HN!W145,HN!AA145,HN!AE145,HN!AI145)))</f>
        <v>0</v>
      </c>
      <c r="C145">
        <f>SUMPRODUCT((MONTH(CHOOSE({1,2,3,4},HN!T145,HN!X145,HN!AB145,HN!AF145))=3)*(CHOOSE({1,2,3,4},HN!W145,HN!AA145,HN!AE145,HN!AI145)))</f>
        <v>0</v>
      </c>
      <c r="D145">
        <f>SUMPRODUCT((MONTH(CHOOSE({1,2,3,4},HN!T145,HN!X145,HN!AB145,HN!AF145))=4)*(CHOOSE({1,2,3,4},HN!W145,HN!AA145,HN!AE145,HN!AI145)))</f>
        <v>0</v>
      </c>
      <c r="E145">
        <f>SUMPRODUCT((MONTH(CHOOSE({1,2,3,4},HN!T145,HN!X145,HN!AB145,HN!AF145))=5)*(CHOOSE({1,2,3,4},HN!W145,HN!AA145,HN!AE145,HN!AI145)))</f>
        <v>0</v>
      </c>
      <c r="F145">
        <f>SUMPRODUCT((MONTH(CHOOSE({1,2,3,4},HN!T145,HN!X145,HN!AB145,HN!AF145))=6)*(CHOOSE({1,2,3,4},HN!W145,HN!AA145,HN!AE145,HN!AI145)))</f>
        <v>0</v>
      </c>
      <c r="G145">
        <f>SUMPRODUCT((MONTH(CHOOSE({1,2,3,4},HN!T145,HN!X145,HN!AB145,HN!AF145))=7)*(CHOOSE({1,2,3,4},HN!W145,HN!AA145,HN!AE145,HN!AI145)))</f>
        <v>0</v>
      </c>
      <c r="H145">
        <f>SUMPRODUCT((MONTH(CHOOSE({1,2,3,4},HN!T145,HN!X145,HN!AB145,HN!AF145))=8)*(CHOOSE({1,2,3,4},HN!W145,HN!AA145,HN!AE145,HN!AI145)))</f>
        <v>0</v>
      </c>
      <c r="I145">
        <f>SUMPRODUCT((MONTH(CHOOSE({1,2,3,4},HN!T145,HN!X145,HN!AB145,HN!AF145))=9)*(CHOOSE({1,2,3,4},HN!W145,HN!AA145,HN!AE145,HN!AI145)))</f>
        <v>0</v>
      </c>
      <c r="J145">
        <f>SUMPRODUCT((MONTH(CHOOSE({1,2,3,4},HN!T145,HN!X145,HN!AB145,HN!AF145))=10)*(CHOOSE({1,2,3,4},HN!W145,HN!AA145,HN!AE145,HN!AI145)))</f>
        <v>0</v>
      </c>
      <c r="K145">
        <f>SUMPRODUCT((MONTH(CHOOSE({1,2,3,4},HN!T145,HN!X145,HN!AB145,HN!AF145))=11)*(CHOOSE({1,2,3,4},HN!W145,HN!AA145,HN!AE145,HN!AI145)))</f>
        <v>0</v>
      </c>
      <c r="L145">
        <f>SUMPRODUCT((MONTH(CHOOSE({1,2,3,4},HN!T145,HN!X145,HN!AB145,HN!AF145))=12)*(CHOOSE({1,2,3,4},HN!W145,HN!AA145,HN!AE145,HN!AI145)))</f>
        <v>0</v>
      </c>
    </row>
    <row r="146" spans="1:12">
      <c r="A146">
        <f>SUMPRODUCT((MONTH(CHOOSE({1,2,3,4},HN!T146,HN!X146,HN!AB146,HN!AF146))=1)*(CHOOSE({1,2,3,4},HN!W146,HN!AA146,HN!AE146,HN!AI146)))</f>
        <v>0</v>
      </c>
      <c r="B146">
        <f>SUMPRODUCT((MONTH(CHOOSE({1,2,3,4},HN!T146,HN!X146,HN!AB146,HN!AF146))=2)*(CHOOSE({1,2,3,4},HN!W146,HN!AA146,HN!AE146,HN!AI146)))</f>
        <v>0</v>
      </c>
      <c r="C146">
        <f>SUMPRODUCT((MONTH(CHOOSE({1,2,3,4},HN!T146,HN!X146,HN!AB146,HN!AF146))=3)*(CHOOSE({1,2,3,4},HN!W146,HN!AA146,HN!AE146,HN!AI146)))</f>
        <v>0</v>
      </c>
      <c r="D146">
        <f>SUMPRODUCT((MONTH(CHOOSE({1,2,3,4},HN!T146,HN!X146,HN!AB146,HN!AF146))=4)*(CHOOSE({1,2,3,4},HN!W146,HN!AA146,HN!AE146,HN!AI146)))</f>
        <v>0</v>
      </c>
      <c r="E146">
        <f>SUMPRODUCT((MONTH(CHOOSE({1,2,3,4},HN!T146,HN!X146,HN!AB146,HN!AF146))=5)*(CHOOSE({1,2,3,4},HN!W146,HN!AA146,HN!AE146,HN!AI146)))</f>
        <v>0</v>
      </c>
      <c r="F146">
        <f>SUMPRODUCT((MONTH(CHOOSE({1,2,3,4},HN!T146,HN!X146,HN!AB146,HN!AF146))=6)*(CHOOSE({1,2,3,4},HN!W146,HN!AA146,HN!AE146,HN!AI146)))</f>
        <v>0</v>
      </c>
      <c r="G146">
        <f>SUMPRODUCT((MONTH(CHOOSE({1,2,3,4},HN!T146,HN!X146,HN!AB146,HN!AF146))=7)*(CHOOSE({1,2,3,4},HN!W146,HN!AA146,HN!AE146,HN!AI146)))</f>
        <v>0</v>
      </c>
      <c r="H146">
        <f>SUMPRODUCT((MONTH(CHOOSE({1,2,3,4},HN!T146,HN!X146,HN!AB146,HN!AF146))=8)*(CHOOSE({1,2,3,4},HN!W146,HN!AA146,HN!AE146,HN!AI146)))</f>
        <v>0</v>
      </c>
      <c r="I146">
        <f>SUMPRODUCT((MONTH(CHOOSE({1,2,3,4},HN!T146,HN!X146,HN!AB146,HN!AF146))=9)*(CHOOSE({1,2,3,4},HN!W146,HN!AA146,HN!AE146,HN!AI146)))</f>
        <v>0</v>
      </c>
      <c r="J146">
        <f>SUMPRODUCT((MONTH(CHOOSE({1,2,3,4},HN!T146,HN!X146,HN!AB146,HN!AF146))=10)*(CHOOSE({1,2,3,4},HN!W146,HN!AA146,HN!AE146,HN!AI146)))</f>
        <v>0</v>
      </c>
      <c r="K146">
        <f>SUMPRODUCT((MONTH(CHOOSE({1,2,3,4},HN!T146,HN!X146,HN!AB146,HN!AF146))=11)*(CHOOSE({1,2,3,4},HN!W146,HN!AA146,HN!AE146,HN!AI146)))</f>
        <v>0</v>
      </c>
      <c r="L146">
        <f>SUMPRODUCT((MONTH(CHOOSE({1,2,3,4},HN!T146,HN!X146,HN!AB146,HN!AF146))=12)*(CHOOSE({1,2,3,4},HN!W146,HN!AA146,HN!AE146,HN!AI146)))</f>
        <v>0</v>
      </c>
    </row>
    <row r="147" spans="1:12">
      <c r="A147">
        <f>SUMPRODUCT((MONTH(CHOOSE({1,2,3,4},HN!T147,HN!X147,HN!AB147,HN!AF147))=1)*(CHOOSE({1,2,3,4},HN!W147,HN!AA147,HN!AE147,HN!AI147)))</f>
        <v>0</v>
      </c>
      <c r="B147">
        <f>SUMPRODUCT((MONTH(CHOOSE({1,2,3,4},HN!T147,HN!X147,HN!AB147,HN!AF147))=2)*(CHOOSE({1,2,3,4},HN!W147,HN!AA147,HN!AE147,HN!AI147)))</f>
        <v>0</v>
      </c>
      <c r="C147">
        <f>SUMPRODUCT((MONTH(CHOOSE({1,2,3,4},HN!T147,HN!X147,HN!AB147,HN!AF147))=3)*(CHOOSE({1,2,3,4},HN!W147,HN!AA147,HN!AE147,HN!AI147)))</f>
        <v>0</v>
      </c>
      <c r="D147">
        <f>SUMPRODUCT((MONTH(CHOOSE({1,2,3,4},HN!T147,HN!X147,HN!AB147,HN!AF147))=4)*(CHOOSE({1,2,3,4},HN!W147,HN!AA147,HN!AE147,HN!AI147)))</f>
        <v>0</v>
      </c>
      <c r="E147">
        <f>SUMPRODUCT((MONTH(CHOOSE({1,2,3,4},HN!T147,HN!X147,HN!AB147,HN!AF147))=5)*(CHOOSE({1,2,3,4},HN!W147,HN!AA147,HN!AE147,HN!AI147)))</f>
        <v>0</v>
      </c>
      <c r="F147">
        <f>SUMPRODUCT((MONTH(CHOOSE({1,2,3,4},HN!T147,HN!X147,HN!AB147,HN!AF147))=6)*(CHOOSE({1,2,3,4},HN!W147,HN!AA147,HN!AE147,HN!AI147)))</f>
        <v>0</v>
      </c>
      <c r="G147">
        <f>SUMPRODUCT((MONTH(CHOOSE({1,2,3,4},HN!T147,HN!X147,HN!AB147,HN!AF147))=7)*(CHOOSE({1,2,3,4},HN!W147,HN!AA147,HN!AE147,HN!AI147)))</f>
        <v>0</v>
      </c>
      <c r="H147">
        <f>SUMPRODUCT((MONTH(CHOOSE({1,2,3,4},HN!T147,HN!X147,HN!AB147,HN!AF147))=8)*(CHOOSE({1,2,3,4},HN!W147,HN!AA147,HN!AE147,HN!AI147)))</f>
        <v>0</v>
      </c>
      <c r="I147">
        <f>SUMPRODUCT((MONTH(CHOOSE({1,2,3,4},HN!T147,HN!X147,HN!AB147,HN!AF147))=9)*(CHOOSE({1,2,3,4},HN!W147,HN!AA147,HN!AE147,HN!AI147)))</f>
        <v>0</v>
      </c>
      <c r="J147">
        <f>SUMPRODUCT((MONTH(CHOOSE({1,2,3,4},HN!T147,HN!X147,HN!AB147,HN!AF147))=10)*(CHOOSE({1,2,3,4},HN!W147,HN!AA147,HN!AE147,HN!AI147)))</f>
        <v>0</v>
      </c>
      <c r="K147">
        <f>SUMPRODUCT((MONTH(CHOOSE({1,2,3,4},HN!T147,HN!X147,HN!AB147,HN!AF147))=11)*(CHOOSE({1,2,3,4},HN!W147,HN!AA147,HN!AE147,HN!AI147)))</f>
        <v>0</v>
      </c>
      <c r="L147">
        <f>SUMPRODUCT((MONTH(CHOOSE({1,2,3,4},HN!T147,HN!X147,HN!AB147,HN!AF147))=12)*(CHOOSE({1,2,3,4},HN!W147,HN!AA147,HN!AE147,HN!AI147)))</f>
        <v>0</v>
      </c>
    </row>
    <row r="148" spans="1:12">
      <c r="A148">
        <f>SUMPRODUCT((MONTH(CHOOSE({1,2,3,4},HN!T148,HN!X148,HN!AB148,HN!AF148))=1)*(CHOOSE({1,2,3,4},HN!W148,HN!AA148,HN!AE148,HN!AI148)))</f>
        <v>0</v>
      </c>
      <c r="B148">
        <f>SUMPRODUCT((MONTH(CHOOSE({1,2,3,4},HN!T148,HN!X148,HN!AB148,HN!AF148))=2)*(CHOOSE({1,2,3,4},HN!W148,HN!AA148,HN!AE148,HN!AI148)))</f>
        <v>0</v>
      </c>
      <c r="C148">
        <f>SUMPRODUCT((MONTH(CHOOSE({1,2,3,4},HN!T148,HN!X148,HN!AB148,HN!AF148))=3)*(CHOOSE({1,2,3,4},HN!W148,HN!AA148,HN!AE148,HN!AI148)))</f>
        <v>0</v>
      </c>
      <c r="D148">
        <f>SUMPRODUCT((MONTH(CHOOSE({1,2,3,4},HN!T148,HN!X148,HN!AB148,HN!AF148))=4)*(CHOOSE({1,2,3,4},HN!W148,HN!AA148,HN!AE148,HN!AI148)))</f>
        <v>0</v>
      </c>
      <c r="E148">
        <f>SUMPRODUCT((MONTH(CHOOSE({1,2,3,4},HN!T148,HN!X148,HN!AB148,HN!AF148))=5)*(CHOOSE({1,2,3,4},HN!W148,HN!AA148,HN!AE148,HN!AI148)))</f>
        <v>0</v>
      </c>
      <c r="F148">
        <f>SUMPRODUCT((MONTH(CHOOSE({1,2,3,4},HN!T148,HN!X148,HN!AB148,HN!AF148))=6)*(CHOOSE({1,2,3,4},HN!W148,HN!AA148,HN!AE148,HN!AI148)))</f>
        <v>0</v>
      </c>
      <c r="G148">
        <f>SUMPRODUCT((MONTH(CHOOSE({1,2,3,4},HN!T148,HN!X148,HN!AB148,HN!AF148))=7)*(CHOOSE({1,2,3,4},HN!W148,HN!AA148,HN!AE148,HN!AI148)))</f>
        <v>0</v>
      </c>
      <c r="H148">
        <f>SUMPRODUCT((MONTH(CHOOSE({1,2,3,4},HN!T148,HN!X148,HN!AB148,HN!AF148))=8)*(CHOOSE({1,2,3,4},HN!W148,HN!AA148,HN!AE148,HN!AI148)))</f>
        <v>0</v>
      </c>
      <c r="I148">
        <f>SUMPRODUCT((MONTH(CHOOSE({1,2,3,4},HN!T148,HN!X148,HN!AB148,HN!AF148))=9)*(CHOOSE({1,2,3,4},HN!W148,HN!AA148,HN!AE148,HN!AI148)))</f>
        <v>0</v>
      </c>
      <c r="J148">
        <f>SUMPRODUCT((MONTH(CHOOSE({1,2,3,4},HN!T148,HN!X148,HN!AB148,HN!AF148))=10)*(CHOOSE({1,2,3,4},HN!W148,HN!AA148,HN!AE148,HN!AI148)))</f>
        <v>0</v>
      </c>
      <c r="K148">
        <f>SUMPRODUCT((MONTH(CHOOSE({1,2,3,4},HN!T148,HN!X148,HN!AB148,HN!AF148))=11)*(CHOOSE({1,2,3,4},HN!W148,HN!AA148,HN!AE148,HN!AI148)))</f>
        <v>0</v>
      </c>
      <c r="L148">
        <f>SUMPRODUCT((MONTH(CHOOSE({1,2,3,4},HN!T148,HN!X148,HN!AB148,HN!AF148))=12)*(CHOOSE({1,2,3,4},HN!W148,HN!AA148,HN!AE148,HN!AI148)))</f>
        <v>0</v>
      </c>
    </row>
    <row r="149" spans="1:12">
      <c r="A149">
        <f>SUMPRODUCT((MONTH(CHOOSE({1,2,3,4},HN!T149,HN!X149,HN!AB149,HN!AF149))=1)*(CHOOSE({1,2,3,4},HN!W149,HN!AA149,HN!AE149,HN!AI149)))</f>
        <v>0</v>
      </c>
      <c r="B149">
        <f>SUMPRODUCT((MONTH(CHOOSE({1,2,3,4},HN!T149,HN!X149,HN!AB149,HN!AF149))=2)*(CHOOSE({1,2,3,4},HN!W149,HN!AA149,HN!AE149,HN!AI149)))</f>
        <v>0</v>
      </c>
      <c r="C149">
        <f>SUMPRODUCT((MONTH(CHOOSE({1,2,3,4},HN!T149,HN!X149,HN!AB149,HN!AF149))=3)*(CHOOSE({1,2,3,4},HN!W149,HN!AA149,HN!AE149,HN!AI149)))</f>
        <v>0</v>
      </c>
      <c r="D149">
        <f>SUMPRODUCT((MONTH(CHOOSE({1,2,3,4},HN!T149,HN!X149,HN!AB149,HN!AF149))=4)*(CHOOSE({1,2,3,4},HN!W149,HN!AA149,HN!AE149,HN!AI149)))</f>
        <v>0</v>
      </c>
      <c r="E149">
        <f>SUMPRODUCT((MONTH(CHOOSE({1,2,3,4},HN!T149,HN!X149,HN!AB149,HN!AF149))=5)*(CHOOSE({1,2,3,4},HN!W149,HN!AA149,HN!AE149,HN!AI149)))</f>
        <v>0</v>
      </c>
      <c r="F149">
        <f>SUMPRODUCT((MONTH(CHOOSE({1,2,3,4},HN!T149,HN!X149,HN!AB149,HN!AF149))=6)*(CHOOSE({1,2,3,4},HN!W149,HN!AA149,HN!AE149,HN!AI149)))</f>
        <v>0</v>
      </c>
      <c r="G149">
        <f>SUMPRODUCT((MONTH(CHOOSE({1,2,3,4},HN!T149,HN!X149,HN!AB149,HN!AF149))=7)*(CHOOSE({1,2,3,4},HN!W149,HN!AA149,HN!AE149,HN!AI149)))</f>
        <v>0</v>
      </c>
      <c r="H149">
        <f>SUMPRODUCT((MONTH(CHOOSE({1,2,3,4},HN!T149,HN!X149,HN!AB149,HN!AF149))=8)*(CHOOSE({1,2,3,4},HN!W149,HN!AA149,HN!AE149,HN!AI149)))</f>
        <v>0</v>
      </c>
      <c r="I149">
        <f>SUMPRODUCT((MONTH(CHOOSE({1,2,3,4},HN!T149,HN!X149,HN!AB149,HN!AF149))=9)*(CHOOSE({1,2,3,4},HN!W149,HN!AA149,HN!AE149,HN!AI149)))</f>
        <v>0</v>
      </c>
      <c r="J149">
        <f>SUMPRODUCT((MONTH(CHOOSE({1,2,3,4},HN!T149,HN!X149,HN!AB149,HN!AF149))=10)*(CHOOSE({1,2,3,4},HN!W149,HN!AA149,HN!AE149,HN!AI149)))</f>
        <v>0</v>
      </c>
      <c r="K149">
        <f>SUMPRODUCT((MONTH(CHOOSE({1,2,3,4},HN!T149,HN!X149,HN!AB149,HN!AF149))=11)*(CHOOSE({1,2,3,4},HN!W149,HN!AA149,HN!AE149,HN!AI149)))</f>
        <v>0</v>
      </c>
      <c r="L149">
        <f>SUMPRODUCT((MONTH(CHOOSE({1,2,3,4},HN!T149,HN!X149,HN!AB149,HN!AF149))=12)*(CHOOSE({1,2,3,4},HN!W149,HN!AA149,HN!AE149,HN!AI149)))</f>
        <v>0</v>
      </c>
    </row>
    <row r="150" spans="1:12">
      <c r="A150">
        <f>SUMPRODUCT((MONTH(CHOOSE({1,2,3,4},HN!T150,HN!X150,HN!AB150,HN!AF150))=1)*(CHOOSE({1,2,3,4},HN!W150,HN!AA150,HN!AE150,HN!AI150)))</f>
        <v>0</v>
      </c>
      <c r="B150">
        <f>SUMPRODUCT((MONTH(CHOOSE({1,2,3,4},HN!T150,HN!X150,HN!AB150,HN!AF150))=2)*(CHOOSE({1,2,3,4},HN!W150,HN!AA150,HN!AE150,HN!AI150)))</f>
        <v>0</v>
      </c>
      <c r="C150">
        <f>SUMPRODUCT((MONTH(CHOOSE({1,2,3,4},HN!T150,HN!X150,HN!AB150,HN!AF150))=3)*(CHOOSE({1,2,3,4},HN!W150,HN!AA150,HN!AE150,HN!AI150)))</f>
        <v>0</v>
      </c>
      <c r="D150">
        <f>SUMPRODUCT((MONTH(CHOOSE({1,2,3,4},HN!T150,HN!X150,HN!AB150,HN!AF150))=4)*(CHOOSE({1,2,3,4},HN!W150,HN!AA150,HN!AE150,HN!AI150)))</f>
        <v>0</v>
      </c>
      <c r="E150">
        <f>SUMPRODUCT((MONTH(CHOOSE({1,2,3,4},HN!T150,HN!X150,HN!AB150,HN!AF150))=5)*(CHOOSE({1,2,3,4},HN!W150,HN!AA150,HN!AE150,HN!AI150)))</f>
        <v>0</v>
      </c>
      <c r="F150">
        <f>SUMPRODUCT((MONTH(CHOOSE({1,2,3,4},HN!T150,HN!X150,HN!AB150,HN!AF150))=6)*(CHOOSE({1,2,3,4},HN!W150,HN!AA150,HN!AE150,HN!AI150)))</f>
        <v>0</v>
      </c>
      <c r="G150">
        <f>SUMPRODUCT((MONTH(CHOOSE({1,2,3,4},HN!T150,HN!X150,HN!AB150,HN!AF150))=7)*(CHOOSE({1,2,3,4},HN!W150,HN!AA150,HN!AE150,HN!AI150)))</f>
        <v>0</v>
      </c>
      <c r="H150">
        <f>SUMPRODUCT((MONTH(CHOOSE({1,2,3,4},HN!T150,HN!X150,HN!AB150,HN!AF150))=8)*(CHOOSE({1,2,3,4},HN!W150,HN!AA150,HN!AE150,HN!AI150)))</f>
        <v>0</v>
      </c>
      <c r="I150">
        <f>SUMPRODUCT((MONTH(CHOOSE({1,2,3,4},HN!T150,HN!X150,HN!AB150,HN!AF150))=9)*(CHOOSE({1,2,3,4},HN!W150,HN!AA150,HN!AE150,HN!AI150)))</f>
        <v>0</v>
      </c>
      <c r="J150">
        <f>SUMPRODUCT((MONTH(CHOOSE({1,2,3,4},HN!T150,HN!X150,HN!AB150,HN!AF150))=10)*(CHOOSE({1,2,3,4},HN!W150,HN!AA150,HN!AE150,HN!AI150)))</f>
        <v>0</v>
      </c>
      <c r="K150">
        <f>SUMPRODUCT((MONTH(CHOOSE({1,2,3,4},HN!T150,HN!X150,HN!AB150,HN!AF150))=11)*(CHOOSE({1,2,3,4},HN!W150,HN!AA150,HN!AE150,HN!AI150)))</f>
        <v>0</v>
      </c>
      <c r="L150">
        <f>SUMPRODUCT((MONTH(CHOOSE({1,2,3,4},HN!T150,HN!X150,HN!AB150,HN!AF150))=12)*(CHOOSE({1,2,3,4},HN!W150,HN!AA150,HN!AE150,HN!AI150)))</f>
        <v>0</v>
      </c>
    </row>
    <row r="151" spans="1:12">
      <c r="A151">
        <f>SUMPRODUCT((MONTH(CHOOSE({1,2,3,4},HN!T151,HN!X151,HN!AB151,HN!AF151))=1)*(CHOOSE({1,2,3,4},HN!W151,HN!AA151,HN!AE151,HN!AI151)))</f>
        <v>0</v>
      </c>
      <c r="B151">
        <f>SUMPRODUCT((MONTH(CHOOSE({1,2,3,4},HN!T151,HN!X151,HN!AB151,HN!AF151))=2)*(CHOOSE({1,2,3,4},HN!W151,HN!AA151,HN!AE151,HN!AI151)))</f>
        <v>0</v>
      </c>
      <c r="C151">
        <f>SUMPRODUCT((MONTH(CHOOSE({1,2,3,4},HN!T151,HN!X151,HN!AB151,HN!AF151))=3)*(CHOOSE({1,2,3,4},HN!W151,HN!AA151,HN!AE151,HN!AI151)))</f>
        <v>0</v>
      </c>
      <c r="D151">
        <f>SUMPRODUCT((MONTH(CHOOSE({1,2,3,4},HN!T151,HN!X151,HN!AB151,HN!AF151))=4)*(CHOOSE({1,2,3,4},HN!W151,HN!AA151,HN!AE151,HN!AI151)))</f>
        <v>0</v>
      </c>
      <c r="E151">
        <f>SUMPRODUCT((MONTH(CHOOSE({1,2,3,4},HN!T151,HN!X151,HN!AB151,HN!AF151))=5)*(CHOOSE({1,2,3,4},HN!W151,HN!AA151,HN!AE151,HN!AI151)))</f>
        <v>0</v>
      </c>
      <c r="F151">
        <f>SUMPRODUCT((MONTH(CHOOSE({1,2,3,4},HN!T151,HN!X151,HN!AB151,HN!AF151))=6)*(CHOOSE({1,2,3,4},HN!W151,HN!AA151,HN!AE151,HN!AI151)))</f>
        <v>0</v>
      </c>
      <c r="G151">
        <f>SUMPRODUCT((MONTH(CHOOSE({1,2,3,4},HN!T151,HN!X151,HN!AB151,HN!AF151))=7)*(CHOOSE({1,2,3,4},HN!W151,HN!AA151,HN!AE151,HN!AI151)))</f>
        <v>0</v>
      </c>
      <c r="H151">
        <f>SUMPRODUCT((MONTH(CHOOSE({1,2,3,4},HN!T151,HN!X151,HN!AB151,HN!AF151))=8)*(CHOOSE({1,2,3,4},HN!W151,HN!AA151,HN!AE151,HN!AI151)))</f>
        <v>0</v>
      </c>
      <c r="I151">
        <f>SUMPRODUCT((MONTH(CHOOSE({1,2,3,4},HN!T151,HN!X151,HN!AB151,HN!AF151))=9)*(CHOOSE({1,2,3,4},HN!W151,HN!AA151,HN!AE151,HN!AI151)))</f>
        <v>0</v>
      </c>
      <c r="J151">
        <f>SUMPRODUCT((MONTH(CHOOSE({1,2,3,4},HN!T151,HN!X151,HN!AB151,HN!AF151))=10)*(CHOOSE({1,2,3,4},HN!W151,HN!AA151,HN!AE151,HN!AI151)))</f>
        <v>0</v>
      </c>
      <c r="K151">
        <f>SUMPRODUCT((MONTH(CHOOSE({1,2,3,4},HN!T151,HN!X151,HN!AB151,HN!AF151))=11)*(CHOOSE({1,2,3,4},HN!W151,HN!AA151,HN!AE151,HN!AI151)))</f>
        <v>0</v>
      </c>
      <c r="L151">
        <f>SUMPRODUCT((MONTH(CHOOSE({1,2,3,4},HN!T151,HN!X151,HN!AB151,HN!AF151))=12)*(CHOOSE({1,2,3,4},HN!W151,HN!AA151,HN!AE151,HN!AI151)))</f>
        <v>0</v>
      </c>
    </row>
    <row r="152" spans="1:12">
      <c r="A152">
        <f>SUMPRODUCT((MONTH(CHOOSE({1,2,3,4},HN!T152,HN!X152,HN!AB152,HN!AF152))=1)*(CHOOSE({1,2,3,4},HN!W152,HN!AA152,HN!AE152,HN!AI152)))</f>
        <v>0</v>
      </c>
      <c r="B152">
        <f>SUMPRODUCT((MONTH(CHOOSE({1,2,3,4},HN!T152,HN!X152,HN!AB152,HN!AF152))=2)*(CHOOSE({1,2,3,4},HN!W152,HN!AA152,HN!AE152,HN!AI152)))</f>
        <v>0</v>
      </c>
      <c r="C152">
        <f>SUMPRODUCT((MONTH(CHOOSE({1,2,3,4},HN!T152,HN!X152,HN!AB152,HN!AF152))=3)*(CHOOSE({1,2,3,4},HN!W152,HN!AA152,HN!AE152,HN!AI152)))</f>
        <v>0</v>
      </c>
      <c r="D152">
        <f>SUMPRODUCT((MONTH(CHOOSE({1,2,3,4},HN!T152,HN!X152,HN!AB152,HN!AF152))=4)*(CHOOSE({1,2,3,4},HN!W152,HN!AA152,HN!AE152,HN!AI152)))</f>
        <v>0</v>
      </c>
      <c r="E152">
        <f>SUMPRODUCT((MONTH(CHOOSE({1,2,3,4},HN!T152,HN!X152,HN!AB152,HN!AF152))=5)*(CHOOSE({1,2,3,4},HN!W152,HN!AA152,HN!AE152,HN!AI152)))</f>
        <v>0</v>
      </c>
      <c r="F152">
        <f>SUMPRODUCT((MONTH(CHOOSE({1,2,3,4},HN!T152,HN!X152,HN!AB152,HN!AF152))=6)*(CHOOSE({1,2,3,4},HN!W152,HN!AA152,HN!AE152,HN!AI152)))</f>
        <v>0</v>
      </c>
      <c r="G152">
        <f>SUMPRODUCT((MONTH(CHOOSE({1,2,3,4},HN!T152,HN!X152,HN!AB152,HN!AF152))=7)*(CHOOSE({1,2,3,4},HN!W152,HN!AA152,HN!AE152,HN!AI152)))</f>
        <v>0</v>
      </c>
      <c r="H152">
        <f>SUMPRODUCT((MONTH(CHOOSE({1,2,3,4},HN!T152,HN!X152,HN!AB152,HN!AF152))=8)*(CHOOSE({1,2,3,4},HN!W152,HN!AA152,HN!AE152,HN!AI152)))</f>
        <v>0</v>
      </c>
      <c r="I152">
        <f>SUMPRODUCT((MONTH(CHOOSE({1,2,3,4},HN!T152,HN!X152,HN!AB152,HN!AF152))=9)*(CHOOSE({1,2,3,4},HN!W152,HN!AA152,HN!AE152,HN!AI152)))</f>
        <v>0</v>
      </c>
      <c r="J152">
        <f>SUMPRODUCT((MONTH(CHOOSE({1,2,3,4},HN!T152,HN!X152,HN!AB152,HN!AF152))=10)*(CHOOSE({1,2,3,4},HN!W152,HN!AA152,HN!AE152,HN!AI152)))</f>
        <v>0</v>
      </c>
      <c r="K152">
        <f>SUMPRODUCT((MONTH(CHOOSE({1,2,3,4},HN!T152,HN!X152,HN!AB152,HN!AF152))=11)*(CHOOSE({1,2,3,4},HN!W152,HN!AA152,HN!AE152,HN!AI152)))</f>
        <v>0</v>
      </c>
      <c r="L152">
        <f>SUMPRODUCT((MONTH(CHOOSE({1,2,3,4},HN!T152,HN!X152,HN!AB152,HN!AF152))=12)*(CHOOSE({1,2,3,4},HN!W152,HN!AA152,HN!AE152,HN!AI152)))</f>
        <v>0</v>
      </c>
    </row>
    <row r="153" spans="1:12">
      <c r="A153">
        <f>SUMPRODUCT((MONTH(CHOOSE({1,2,3,4},HN!T153,HN!X153,HN!AB153,HN!AF153))=1)*(CHOOSE({1,2,3,4},HN!W153,HN!AA153,HN!AE153,HN!AI153)))</f>
        <v>0</v>
      </c>
      <c r="B153">
        <f>SUMPRODUCT((MONTH(CHOOSE({1,2,3,4},HN!T153,HN!X153,HN!AB153,HN!AF153))=2)*(CHOOSE({1,2,3,4},HN!W153,HN!AA153,HN!AE153,HN!AI153)))</f>
        <v>0</v>
      </c>
      <c r="C153">
        <f>SUMPRODUCT((MONTH(CHOOSE({1,2,3,4},HN!T153,HN!X153,HN!AB153,HN!AF153))=3)*(CHOOSE({1,2,3,4},HN!W153,HN!AA153,HN!AE153,HN!AI153)))</f>
        <v>0</v>
      </c>
      <c r="D153">
        <f>SUMPRODUCT((MONTH(CHOOSE({1,2,3,4},HN!T153,HN!X153,HN!AB153,HN!AF153))=4)*(CHOOSE({1,2,3,4},HN!W153,HN!AA153,HN!AE153,HN!AI153)))</f>
        <v>0</v>
      </c>
      <c r="E153">
        <f>SUMPRODUCT((MONTH(CHOOSE({1,2,3,4},HN!T153,HN!X153,HN!AB153,HN!AF153))=5)*(CHOOSE({1,2,3,4},HN!W153,HN!AA153,HN!AE153,HN!AI153)))</f>
        <v>0</v>
      </c>
      <c r="F153">
        <f>SUMPRODUCT((MONTH(CHOOSE({1,2,3,4},HN!T153,HN!X153,HN!AB153,HN!AF153))=6)*(CHOOSE({1,2,3,4},HN!W153,HN!AA153,HN!AE153,HN!AI153)))</f>
        <v>0</v>
      </c>
      <c r="G153">
        <f>SUMPRODUCT((MONTH(CHOOSE({1,2,3,4},HN!T153,HN!X153,HN!AB153,HN!AF153))=7)*(CHOOSE({1,2,3,4},HN!W153,HN!AA153,HN!AE153,HN!AI153)))</f>
        <v>0</v>
      </c>
      <c r="H153">
        <f>SUMPRODUCT((MONTH(CHOOSE({1,2,3,4},HN!T153,HN!X153,HN!AB153,HN!AF153))=8)*(CHOOSE({1,2,3,4},HN!W153,HN!AA153,HN!AE153,HN!AI153)))</f>
        <v>0</v>
      </c>
      <c r="I153">
        <f>SUMPRODUCT((MONTH(CHOOSE({1,2,3,4},HN!T153,HN!X153,HN!AB153,HN!AF153))=9)*(CHOOSE({1,2,3,4},HN!W153,HN!AA153,HN!AE153,HN!AI153)))</f>
        <v>0</v>
      </c>
      <c r="J153">
        <f>SUMPRODUCT((MONTH(CHOOSE({1,2,3,4},HN!T153,HN!X153,HN!AB153,HN!AF153))=10)*(CHOOSE({1,2,3,4},HN!W153,HN!AA153,HN!AE153,HN!AI153)))</f>
        <v>0</v>
      </c>
      <c r="K153">
        <f>SUMPRODUCT((MONTH(CHOOSE({1,2,3,4},HN!T153,HN!X153,HN!AB153,HN!AF153))=11)*(CHOOSE({1,2,3,4},HN!W153,HN!AA153,HN!AE153,HN!AI153)))</f>
        <v>0</v>
      </c>
      <c r="L153">
        <f>SUMPRODUCT((MONTH(CHOOSE({1,2,3,4},HN!T153,HN!X153,HN!AB153,HN!AF153))=12)*(CHOOSE({1,2,3,4},HN!W153,HN!AA153,HN!AE153,HN!AI153)))</f>
        <v>0</v>
      </c>
    </row>
    <row r="154" spans="1:12">
      <c r="A154">
        <f>SUMPRODUCT((MONTH(CHOOSE({1,2,3,4},HN!T154,HN!X154,HN!AB154,HN!AF154))=1)*(CHOOSE({1,2,3,4},HN!W154,HN!AA154,HN!AE154,HN!AI154)))</f>
        <v>0</v>
      </c>
      <c r="B154">
        <f>SUMPRODUCT((MONTH(CHOOSE({1,2,3,4},HN!T154,HN!X154,HN!AB154,HN!AF154))=2)*(CHOOSE({1,2,3,4},HN!W154,HN!AA154,HN!AE154,HN!AI154)))</f>
        <v>0</v>
      </c>
      <c r="C154">
        <f>SUMPRODUCT((MONTH(CHOOSE({1,2,3,4},HN!T154,HN!X154,HN!AB154,HN!AF154))=3)*(CHOOSE({1,2,3,4},HN!W154,HN!AA154,HN!AE154,HN!AI154)))</f>
        <v>0</v>
      </c>
      <c r="D154">
        <f>SUMPRODUCT((MONTH(CHOOSE({1,2,3,4},HN!T154,HN!X154,HN!AB154,HN!AF154))=4)*(CHOOSE({1,2,3,4},HN!W154,HN!AA154,HN!AE154,HN!AI154)))</f>
        <v>0</v>
      </c>
      <c r="E154">
        <f>SUMPRODUCT((MONTH(CHOOSE({1,2,3,4},HN!T154,HN!X154,HN!AB154,HN!AF154))=5)*(CHOOSE({1,2,3,4},HN!W154,HN!AA154,HN!AE154,HN!AI154)))</f>
        <v>0</v>
      </c>
      <c r="F154">
        <f>SUMPRODUCT((MONTH(CHOOSE({1,2,3,4},HN!T154,HN!X154,HN!AB154,HN!AF154))=6)*(CHOOSE({1,2,3,4},HN!W154,HN!AA154,HN!AE154,HN!AI154)))</f>
        <v>0</v>
      </c>
      <c r="G154">
        <f>SUMPRODUCT((MONTH(CHOOSE({1,2,3,4},HN!T154,HN!X154,HN!AB154,HN!AF154))=7)*(CHOOSE({1,2,3,4},HN!W154,HN!AA154,HN!AE154,HN!AI154)))</f>
        <v>0</v>
      </c>
      <c r="H154">
        <f>SUMPRODUCT((MONTH(CHOOSE({1,2,3,4},HN!T154,HN!X154,HN!AB154,HN!AF154))=8)*(CHOOSE({1,2,3,4},HN!W154,HN!AA154,HN!AE154,HN!AI154)))</f>
        <v>0</v>
      </c>
      <c r="I154">
        <f>SUMPRODUCT((MONTH(CHOOSE({1,2,3,4},HN!T154,HN!X154,HN!AB154,HN!AF154))=9)*(CHOOSE({1,2,3,4},HN!W154,HN!AA154,HN!AE154,HN!AI154)))</f>
        <v>0</v>
      </c>
      <c r="J154">
        <f>SUMPRODUCT((MONTH(CHOOSE({1,2,3,4},HN!T154,HN!X154,HN!AB154,HN!AF154))=10)*(CHOOSE({1,2,3,4},HN!W154,HN!AA154,HN!AE154,HN!AI154)))</f>
        <v>0</v>
      </c>
      <c r="K154">
        <f>SUMPRODUCT((MONTH(CHOOSE({1,2,3,4},HN!T154,HN!X154,HN!AB154,HN!AF154))=11)*(CHOOSE({1,2,3,4},HN!W154,HN!AA154,HN!AE154,HN!AI154)))</f>
        <v>0</v>
      </c>
      <c r="L154">
        <f>SUMPRODUCT((MONTH(CHOOSE({1,2,3,4},HN!T154,HN!X154,HN!AB154,HN!AF154))=12)*(CHOOSE({1,2,3,4},HN!W154,HN!AA154,HN!AE154,HN!AI154)))</f>
        <v>0</v>
      </c>
    </row>
    <row r="155" spans="1:12">
      <c r="A155">
        <f>SUMPRODUCT((MONTH(CHOOSE({1,2,3,4},HN!T155,HN!X155,HN!AB155,HN!AF155))=1)*(CHOOSE({1,2,3,4},HN!W155,HN!AA155,HN!AE155,HN!AI155)))</f>
        <v>0</v>
      </c>
      <c r="B155">
        <f>SUMPRODUCT((MONTH(CHOOSE({1,2,3,4},HN!T155,HN!X155,HN!AB155,HN!AF155))=2)*(CHOOSE({1,2,3,4},HN!W155,HN!AA155,HN!AE155,HN!AI155)))</f>
        <v>0</v>
      </c>
      <c r="C155">
        <f>SUMPRODUCT((MONTH(CHOOSE({1,2,3,4},HN!T155,HN!X155,HN!AB155,HN!AF155))=3)*(CHOOSE({1,2,3,4},HN!W155,HN!AA155,HN!AE155,HN!AI155)))</f>
        <v>0</v>
      </c>
      <c r="D155">
        <f>SUMPRODUCT((MONTH(CHOOSE({1,2,3,4},HN!T155,HN!X155,HN!AB155,HN!AF155))=4)*(CHOOSE({1,2,3,4},HN!W155,HN!AA155,HN!AE155,HN!AI155)))</f>
        <v>0</v>
      </c>
      <c r="E155">
        <f>SUMPRODUCT((MONTH(CHOOSE({1,2,3,4},HN!T155,HN!X155,HN!AB155,HN!AF155))=5)*(CHOOSE({1,2,3,4},HN!W155,HN!AA155,HN!AE155,HN!AI155)))</f>
        <v>0</v>
      </c>
      <c r="F155">
        <f>SUMPRODUCT((MONTH(CHOOSE({1,2,3,4},HN!T155,HN!X155,HN!AB155,HN!AF155))=6)*(CHOOSE({1,2,3,4},HN!W155,HN!AA155,HN!AE155,HN!AI155)))</f>
        <v>0</v>
      </c>
      <c r="G155">
        <f>SUMPRODUCT((MONTH(CHOOSE({1,2,3,4},HN!T155,HN!X155,HN!AB155,HN!AF155))=7)*(CHOOSE({1,2,3,4},HN!W155,HN!AA155,HN!AE155,HN!AI155)))</f>
        <v>0</v>
      </c>
      <c r="H155">
        <f>SUMPRODUCT((MONTH(CHOOSE({1,2,3,4},HN!T155,HN!X155,HN!AB155,HN!AF155))=8)*(CHOOSE({1,2,3,4},HN!W155,HN!AA155,HN!AE155,HN!AI155)))</f>
        <v>0</v>
      </c>
      <c r="I155">
        <f>SUMPRODUCT((MONTH(CHOOSE({1,2,3,4},HN!T155,HN!X155,HN!AB155,HN!AF155))=9)*(CHOOSE({1,2,3,4},HN!W155,HN!AA155,HN!AE155,HN!AI155)))</f>
        <v>0</v>
      </c>
      <c r="J155">
        <f>SUMPRODUCT((MONTH(CHOOSE({1,2,3,4},HN!T155,HN!X155,HN!AB155,HN!AF155))=10)*(CHOOSE({1,2,3,4},HN!W155,HN!AA155,HN!AE155,HN!AI155)))</f>
        <v>0</v>
      </c>
      <c r="K155">
        <f>SUMPRODUCT((MONTH(CHOOSE({1,2,3,4},HN!T155,HN!X155,HN!AB155,HN!AF155))=11)*(CHOOSE({1,2,3,4},HN!W155,HN!AA155,HN!AE155,HN!AI155)))</f>
        <v>0</v>
      </c>
      <c r="L155">
        <f>SUMPRODUCT((MONTH(CHOOSE({1,2,3,4},HN!T155,HN!X155,HN!AB155,HN!AF155))=12)*(CHOOSE({1,2,3,4},HN!W155,HN!AA155,HN!AE155,HN!AI155)))</f>
        <v>0</v>
      </c>
    </row>
    <row r="156" spans="1:12">
      <c r="A156">
        <f>SUMPRODUCT((MONTH(CHOOSE({1,2,3,4},HN!T156,HN!X156,HN!AB156,HN!AF156))=1)*(CHOOSE({1,2,3,4},HN!W156,HN!AA156,HN!AE156,HN!AI156)))</f>
        <v>0</v>
      </c>
      <c r="B156">
        <f>SUMPRODUCT((MONTH(CHOOSE({1,2,3,4},HN!T156,HN!X156,HN!AB156,HN!AF156))=2)*(CHOOSE({1,2,3,4},HN!W156,HN!AA156,HN!AE156,HN!AI156)))</f>
        <v>0</v>
      </c>
      <c r="C156">
        <f>SUMPRODUCT((MONTH(CHOOSE({1,2,3,4},HN!T156,HN!X156,HN!AB156,HN!AF156))=3)*(CHOOSE({1,2,3,4},HN!W156,HN!AA156,HN!AE156,HN!AI156)))</f>
        <v>0</v>
      </c>
      <c r="D156">
        <f>SUMPRODUCT((MONTH(CHOOSE({1,2,3,4},HN!T156,HN!X156,HN!AB156,HN!AF156))=4)*(CHOOSE({1,2,3,4},HN!W156,HN!AA156,HN!AE156,HN!AI156)))</f>
        <v>0</v>
      </c>
      <c r="E156">
        <f>SUMPRODUCT((MONTH(CHOOSE({1,2,3,4},HN!T156,HN!X156,HN!AB156,HN!AF156))=5)*(CHOOSE({1,2,3,4},HN!W156,HN!AA156,HN!AE156,HN!AI156)))</f>
        <v>0</v>
      </c>
      <c r="F156">
        <f>SUMPRODUCT((MONTH(CHOOSE({1,2,3,4},HN!T156,HN!X156,HN!AB156,HN!AF156))=6)*(CHOOSE({1,2,3,4},HN!W156,HN!AA156,HN!AE156,HN!AI156)))</f>
        <v>0</v>
      </c>
      <c r="G156">
        <f>SUMPRODUCT((MONTH(CHOOSE({1,2,3,4},HN!T156,HN!X156,HN!AB156,HN!AF156))=7)*(CHOOSE({1,2,3,4},HN!W156,HN!AA156,HN!AE156,HN!AI156)))</f>
        <v>0</v>
      </c>
      <c r="H156">
        <f>SUMPRODUCT((MONTH(CHOOSE({1,2,3,4},HN!T156,HN!X156,HN!AB156,HN!AF156))=8)*(CHOOSE({1,2,3,4},HN!W156,HN!AA156,HN!AE156,HN!AI156)))</f>
        <v>0</v>
      </c>
      <c r="I156">
        <f>SUMPRODUCT((MONTH(CHOOSE({1,2,3,4},HN!T156,HN!X156,HN!AB156,HN!AF156))=9)*(CHOOSE({1,2,3,4},HN!W156,HN!AA156,HN!AE156,HN!AI156)))</f>
        <v>0</v>
      </c>
      <c r="J156">
        <f>SUMPRODUCT((MONTH(CHOOSE({1,2,3,4},HN!T156,HN!X156,HN!AB156,HN!AF156))=10)*(CHOOSE({1,2,3,4},HN!W156,HN!AA156,HN!AE156,HN!AI156)))</f>
        <v>0</v>
      </c>
      <c r="K156">
        <f>SUMPRODUCT((MONTH(CHOOSE({1,2,3,4},HN!T156,HN!X156,HN!AB156,HN!AF156))=11)*(CHOOSE({1,2,3,4},HN!W156,HN!AA156,HN!AE156,HN!AI156)))</f>
        <v>0</v>
      </c>
      <c r="L156">
        <f>SUMPRODUCT((MONTH(CHOOSE({1,2,3,4},HN!T156,HN!X156,HN!AB156,HN!AF156))=12)*(CHOOSE({1,2,3,4},HN!W156,HN!AA156,HN!AE156,HN!AI156)))</f>
        <v>0</v>
      </c>
    </row>
    <row r="157" spans="1:12">
      <c r="A157">
        <f>SUMPRODUCT((MONTH(CHOOSE({1,2,3,4},HN!T157,HN!X157,HN!AB157,HN!AF157))=1)*(CHOOSE({1,2,3,4},HN!W157,HN!AA157,HN!AE157,HN!AI157)))</f>
        <v>0</v>
      </c>
      <c r="B157">
        <f>SUMPRODUCT((MONTH(CHOOSE({1,2,3,4},HN!T157,HN!X157,HN!AB157,HN!AF157))=2)*(CHOOSE({1,2,3,4},HN!W157,HN!AA157,HN!AE157,HN!AI157)))</f>
        <v>0</v>
      </c>
      <c r="C157">
        <f>SUMPRODUCT((MONTH(CHOOSE({1,2,3,4},HN!T157,HN!X157,HN!AB157,HN!AF157))=3)*(CHOOSE({1,2,3,4},HN!W157,HN!AA157,HN!AE157,HN!AI157)))</f>
        <v>0</v>
      </c>
      <c r="D157">
        <f>SUMPRODUCT((MONTH(CHOOSE({1,2,3,4},HN!T157,HN!X157,HN!AB157,HN!AF157))=4)*(CHOOSE({1,2,3,4},HN!W157,HN!AA157,HN!AE157,HN!AI157)))</f>
        <v>0</v>
      </c>
      <c r="E157">
        <f>SUMPRODUCT((MONTH(CHOOSE({1,2,3,4},HN!T157,HN!X157,HN!AB157,HN!AF157))=5)*(CHOOSE({1,2,3,4},HN!W157,HN!AA157,HN!AE157,HN!AI157)))</f>
        <v>0</v>
      </c>
      <c r="F157">
        <f>SUMPRODUCT((MONTH(CHOOSE({1,2,3,4},HN!T157,HN!X157,HN!AB157,HN!AF157))=6)*(CHOOSE({1,2,3,4},HN!W157,HN!AA157,HN!AE157,HN!AI157)))</f>
        <v>0</v>
      </c>
      <c r="G157">
        <f>SUMPRODUCT((MONTH(CHOOSE({1,2,3,4},HN!T157,HN!X157,HN!AB157,HN!AF157))=7)*(CHOOSE({1,2,3,4},HN!W157,HN!AA157,HN!AE157,HN!AI157)))</f>
        <v>0</v>
      </c>
      <c r="H157">
        <f>SUMPRODUCT((MONTH(CHOOSE({1,2,3,4},HN!T157,HN!X157,HN!AB157,HN!AF157))=8)*(CHOOSE({1,2,3,4},HN!W157,HN!AA157,HN!AE157,HN!AI157)))</f>
        <v>0</v>
      </c>
      <c r="I157">
        <f>SUMPRODUCT((MONTH(CHOOSE({1,2,3,4},HN!T157,HN!X157,HN!AB157,HN!AF157))=9)*(CHOOSE({1,2,3,4},HN!W157,HN!AA157,HN!AE157,HN!AI157)))</f>
        <v>0</v>
      </c>
      <c r="J157">
        <f>SUMPRODUCT((MONTH(CHOOSE({1,2,3,4},HN!T157,HN!X157,HN!AB157,HN!AF157))=10)*(CHOOSE({1,2,3,4},HN!W157,HN!AA157,HN!AE157,HN!AI157)))</f>
        <v>0</v>
      </c>
      <c r="K157">
        <f>SUMPRODUCT((MONTH(CHOOSE({1,2,3,4},HN!T157,HN!X157,HN!AB157,HN!AF157))=11)*(CHOOSE({1,2,3,4},HN!W157,HN!AA157,HN!AE157,HN!AI157)))</f>
        <v>0</v>
      </c>
      <c r="L157">
        <f>SUMPRODUCT((MONTH(CHOOSE({1,2,3,4},HN!T157,HN!X157,HN!AB157,HN!AF157))=12)*(CHOOSE({1,2,3,4},HN!W157,HN!AA157,HN!AE157,HN!AI157)))</f>
        <v>0</v>
      </c>
    </row>
    <row r="158" spans="1:12">
      <c r="A158">
        <f>SUMPRODUCT((MONTH(CHOOSE({1,2,3,4},HN!T158,HN!X158,HN!AB158,HN!AF158))=1)*(CHOOSE({1,2,3,4},HN!W158,HN!AA158,HN!AE158,HN!AI158)))</f>
        <v>0</v>
      </c>
      <c r="B158">
        <f>SUMPRODUCT((MONTH(CHOOSE({1,2,3,4},HN!T158,HN!X158,HN!AB158,HN!AF158))=2)*(CHOOSE({1,2,3,4},HN!W158,HN!AA158,HN!AE158,HN!AI158)))</f>
        <v>0</v>
      </c>
      <c r="C158">
        <f>SUMPRODUCT((MONTH(CHOOSE({1,2,3,4},HN!T158,HN!X158,HN!AB158,HN!AF158))=3)*(CHOOSE({1,2,3,4},HN!W158,HN!AA158,HN!AE158,HN!AI158)))</f>
        <v>0</v>
      </c>
      <c r="D158">
        <f>SUMPRODUCT((MONTH(CHOOSE({1,2,3,4},HN!T158,HN!X158,HN!AB158,HN!AF158))=4)*(CHOOSE({1,2,3,4},HN!W158,HN!AA158,HN!AE158,HN!AI158)))</f>
        <v>0</v>
      </c>
      <c r="E158">
        <f>SUMPRODUCT((MONTH(CHOOSE({1,2,3,4},HN!T158,HN!X158,HN!AB158,HN!AF158))=5)*(CHOOSE({1,2,3,4},HN!W158,HN!AA158,HN!AE158,HN!AI158)))</f>
        <v>0</v>
      </c>
      <c r="F158">
        <f>SUMPRODUCT((MONTH(CHOOSE({1,2,3,4},HN!T158,HN!X158,HN!AB158,HN!AF158))=6)*(CHOOSE({1,2,3,4},HN!W158,HN!AA158,HN!AE158,HN!AI158)))</f>
        <v>0</v>
      </c>
      <c r="G158">
        <f>SUMPRODUCT((MONTH(CHOOSE({1,2,3,4},HN!T158,HN!X158,HN!AB158,HN!AF158))=7)*(CHOOSE({1,2,3,4},HN!W158,HN!AA158,HN!AE158,HN!AI158)))</f>
        <v>0</v>
      </c>
      <c r="H158">
        <f>SUMPRODUCT((MONTH(CHOOSE({1,2,3,4},HN!T158,HN!X158,HN!AB158,HN!AF158))=8)*(CHOOSE({1,2,3,4},HN!W158,HN!AA158,HN!AE158,HN!AI158)))</f>
        <v>0</v>
      </c>
      <c r="I158">
        <f>SUMPRODUCT((MONTH(CHOOSE({1,2,3,4},HN!T158,HN!X158,HN!AB158,HN!AF158))=9)*(CHOOSE({1,2,3,4},HN!W158,HN!AA158,HN!AE158,HN!AI158)))</f>
        <v>0</v>
      </c>
      <c r="J158">
        <f>SUMPRODUCT((MONTH(CHOOSE({1,2,3,4},HN!T158,HN!X158,HN!AB158,HN!AF158))=10)*(CHOOSE({1,2,3,4},HN!W158,HN!AA158,HN!AE158,HN!AI158)))</f>
        <v>0</v>
      </c>
      <c r="K158">
        <f>SUMPRODUCT((MONTH(CHOOSE({1,2,3,4},HN!T158,HN!X158,HN!AB158,HN!AF158))=11)*(CHOOSE({1,2,3,4},HN!W158,HN!AA158,HN!AE158,HN!AI158)))</f>
        <v>0</v>
      </c>
      <c r="L158">
        <f>SUMPRODUCT((MONTH(CHOOSE({1,2,3,4},HN!T158,HN!X158,HN!AB158,HN!AF158))=12)*(CHOOSE({1,2,3,4},HN!W158,HN!AA158,HN!AE158,HN!AI158)))</f>
        <v>0</v>
      </c>
    </row>
    <row r="159" spans="1:12">
      <c r="A159">
        <f>SUMPRODUCT((MONTH(CHOOSE({1,2,3,4},HN!T159,HN!X159,HN!AB159,HN!AF159))=1)*(CHOOSE({1,2,3,4},HN!W159,HN!AA159,HN!AE159,HN!AI159)))</f>
        <v>0</v>
      </c>
      <c r="B159">
        <f>SUMPRODUCT((MONTH(CHOOSE({1,2,3,4},HN!T159,HN!X159,HN!AB159,HN!AF159))=2)*(CHOOSE({1,2,3,4},HN!W159,HN!AA159,HN!AE159,HN!AI159)))</f>
        <v>0</v>
      </c>
      <c r="C159">
        <f>SUMPRODUCT((MONTH(CHOOSE({1,2,3,4},HN!T159,HN!X159,HN!AB159,HN!AF159))=3)*(CHOOSE({1,2,3,4},HN!W159,HN!AA159,HN!AE159,HN!AI159)))</f>
        <v>0</v>
      </c>
      <c r="D159">
        <f>SUMPRODUCT((MONTH(CHOOSE({1,2,3,4},HN!T159,HN!X159,HN!AB159,HN!AF159))=4)*(CHOOSE({1,2,3,4},HN!W159,HN!AA159,HN!AE159,HN!AI159)))</f>
        <v>0</v>
      </c>
      <c r="E159">
        <f>SUMPRODUCT((MONTH(CHOOSE({1,2,3,4},HN!T159,HN!X159,HN!AB159,HN!AF159))=5)*(CHOOSE({1,2,3,4},HN!W159,HN!AA159,HN!AE159,HN!AI159)))</f>
        <v>0</v>
      </c>
      <c r="F159">
        <f>SUMPRODUCT((MONTH(CHOOSE({1,2,3,4},HN!T159,HN!X159,HN!AB159,HN!AF159))=6)*(CHOOSE({1,2,3,4},HN!W159,HN!AA159,HN!AE159,HN!AI159)))</f>
        <v>0</v>
      </c>
      <c r="G159">
        <f>SUMPRODUCT((MONTH(CHOOSE({1,2,3,4},HN!T159,HN!X159,HN!AB159,HN!AF159))=7)*(CHOOSE({1,2,3,4},HN!W159,HN!AA159,HN!AE159,HN!AI159)))</f>
        <v>0</v>
      </c>
      <c r="H159">
        <f>SUMPRODUCT((MONTH(CHOOSE({1,2,3,4},HN!T159,HN!X159,HN!AB159,HN!AF159))=8)*(CHOOSE({1,2,3,4},HN!W159,HN!AA159,HN!AE159,HN!AI159)))</f>
        <v>0</v>
      </c>
      <c r="I159">
        <f>SUMPRODUCT((MONTH(CHOOSE({1,2,3,4},HN!T159,HN!X159,HN!AB159,HN!AF159))=9)*(CHOOSE({1,2,3,4},HN!W159,HN!AA159,HN!AE159,HN!AI159)))</f>
        <v>0</v>
      </c>
      <c r="J159">
        <f>SUMPRODUCT((MONTH(CHOOSE({1,2,3,4},HN!T159,HN!X159,HN!AB159,HN!AF159))=10)*(CHOOSE({1,2,3,4},HN!W159,HN!AA159,HN!AE159,HN!AI159)))</f>
        <v>0</v>
      </c>
      <c r="K159">
        <f>SUMPRODUCT((MONTH(CHOOSE({1,2,3,4},HN!T159,HN!X159,HN!AB159,HN!AF159))=11)*(CHOOSE({1,2,3,4},HN!W159,HN!AA159,HN!AE159,HN!AI159)))</f>
        <v>0</v>
      </c>
      <c r="L159">
        <f>SUMPRODUCT((MONTH(CHOOSE({1,2,3,4},HN!T159,HN!X159,HN!AB159,HN!AF159))=12)*(CHOOSE({1,2,3,4},HN!W159,HN!AA159,HN!AE159,HN!AI159)))</f>
        <v>0</v>
      </c>
    </row>
    <row r="160" spans="1:12">
      <c r="A160">
        <f>SUMPRODUCT((MONTH(CHOOSE({1,2,3,4},HN!T160,HN!X160,HN!AB160,HN!AF160))=1)*(CHOOSE({1,2,3,4},HN!W160,HN!AA160,HN!AE160,HN!AI160)))</f>
        <v>0</v>
      </c>
      <c r="B160">
        <f>SUMPRODUCT((MONTH(CHOOSE({1,2,3,4},HN!T160,HN!X160,HN!AB160,HN!AF160))=2)*(CHOOSE({1,2,3,4},HN!W160,HN!AA160,HN!AE160,HN!AI160)))</f>
        <v>0</v>
      </c>
      <c r="C160">
        <f>SUMPRODUCT((MONTH(CHOOSE({1,2,3,4},HN!T160,HN!X160,HN!AB160,HN!AF160))=3)*(CHOOSE({1,2,3,4},HN!W160,HN!AA160,HN!AE160,HN!AI160)))</f>
        <v>0</v>
      </c>
      <c r="D160">
        <f>SUMPRODUCT((MONTH(CHOOSE({1,2,3,4},HN!T160,HN!X160,HN!AB160,HN!AF160))=4)*(CHOOSE({1,2,3,4},HN!W160,HN!AA160,HN!AE160,HN!AI160)))</f>
        <v>0</v>
      </c>
      <c r="E160">
        <f>SUMPRODUCT((MONTH(CHOOSE({1,2,3,4},HN!T160,HN!X160,HN!AB160,HN!AF160))=5)*(CHOOSE({1,2,3,4},HN!W160,HN!AA160,HN!AE160,HN!AI160)))</f>
        <v>0</v>
      </c>
      <c r="F160">
        <f>SUMPRODUCT((MONTH(CHOOSE({1,2,3,4},HN!T160,HN!X160,HN!AB160,HN!AF160))=6)*(CHOOSE({1,2,3,4},HN!W160,HN!AA160,HN!AE160,HN!AI160)))</f>
        <v>0</v>
      </c>
      <c r="G160">
        <f>SUMPRODUCT((MONTH(CHOOSE({1,2,3,4},HN!T160,HN!X160,HN!AB160,HN!AF160))=7)*(CHOOSE({1,2,3,4},HN!W160,HN!AA160,HN!AE160,HN!AI160)))</f>
        <v>0</v>
      </c>
      <c r="H160">
        <f>SUMPRODUCT((MONTH(CHOOSE({1,2,3,4},HN!T160,HN!X160,HN!AB160,HN!AF160))=8)*(CHOOSE({1,2,3,4},HN!W160,HN!AA160,HN!AE160,HN!AI160)))</f>
        <v>0</v>
      </c>
      <c r="I160">
        <f>SUMPRODUCT((MONTH(CHOOSE({1,2,3,4},HN!T160,HN!X160,HN!AB160,HN!AF160))=9)*(CHOOSE({1,2,3,4},HN!W160,HN!AA160,HN!AE160,HN!AI160)))</f>
        <v>0</v>
      </c>
      <c r="J160">
        <f>SUMPRODUCT((MONTH(CHOOSE({1,2,3,4},HN!T160,HN!X160,HN!AB160,HN!AF160))=10)*(CHOOSE({1,2,3,4},HN!W160,HN!AA160,HN!AE160,HN!AI160)))</f>
        <v>0</v>
      </c>
      <c r="K160">
        <f>SUMPRODUCT((MONTH(CHOOSE({1,2,3,4},HN!T160,HN!X160,HN!AB160,HN!AF160))=11)*(CHOOSE({1,2,3,4},HN!W160,HN!AA160,HN!AE160,HN!AI160)))</f>
        <v>0</v>
      </c>
      <c r="L160">
        <f>SUMPRODUCT((MONTH(CHOOSE({1,2,3,4},HN!T160,HN!X160,HN!AB160,HN!AF160))=12)*(CHOOSE({1,2,3,4},HN!W160,HN!AA160,HN!AE160,HN!AI160)))</f>
        <v>0</v>
      </c>
    </row>
    <row r="161" spans="1:12">
      <c r="A161">
        <f>SUMPRODUCT((MONTH(CHOOSE({1,2,3,4},HN!T161,HN!X161,HN!AB161,HN!AF161))=1)*(CHOOSE({1,2,3,4},HN!W161,HN!AA161,HN!AE161,HN!AI161)))</f>
        <v>0</v>
      </c>
      <c r="B161">
        <f>SUMPRODUCT((MONTH(CHOOSE({1,2,3,4},HN!T161,HN!X161,HN!AB161,HN!AF161))=2)*(CHOOSE({1,2,3,4},HN!W161,HN!AA161,HN!AE161,HN!AI161)))</f>
        <v>0</v>
      </c>
      <c r="C161">
        <f>SUMPRODUCT((MONTH(CHOOSE({1,2,3,4},HN!T161,HN!X161,HN!AB161,HN!AF161))=3)*(CHOOSE({1,2,3,4},HN!W161,HN!AA161,HN!AE161,HN!AI161)))</f>
        <v>0</v>
      </c>
      <c r="D161">
        <f>SUMPRODUCT((MONTH(CHOOSE({1,2,3,4},HN!T161,HN!X161,HN!AB161,HN!AF161))=4)*(CHOOSE({1,2,3,4},HN!W161,HN!AA161,HN!AE161,HN!AI161)))</f>
        <v>0</v>
      </c>
      <c r="E161">
        <f>SUMPRODUCT((MONTH(CHOOSE({1,2,3,4},HN!T161,HN!X161,HN!AB161,HN!AF161))=5)*(CHOOSE({1,2,3,4},HN!W161,HN!AA161,HN!AE161,HN!AI161)))</f>
        <v>0</v>
      </c>
      <c r="F161">
        <f>SUMPRODUCT((MONTH(CHOOSE({1,2,3,4},HN!T161,HN!X161,HN!AB161,HN!AF161))=6)*(CHOOSE({1,2,3,4},HN!W161,HN!AA161,HN!AE161,HN!AI161)))</f>
        <v>0</v>
      </c>
      <c r="G161">
        <f>SUMPRODUCT((MONTH(CHOOSE({1,2,3,4},HN!T161,HN!X161,HN!AB161,HN!AF161))=7)*(CHOOSE({1,2,3,4},HN!W161,HN!AA161,HN!AE161,HN!AI161)))</f>
        <v>0</v>
      </c>
      <c r="H161">
        <f>SUMPRODUCT((MONTH(CHOOSE({1,2,3,4},HN!T161,HN!X161,HN!AB161,HN!AF161))=8)*(CHOOSE({1,2,3,4},HN!W161,HN!AA161,HN!AE161,HN!AI161)))</f>
        <v>0</v>
      </c>
      <c r="I161">
        <f>SUMPRODUCT((MONTH(CHOOSE({1,2,3,4},HN!T161,HN!X161,HN!AB161,HN!AF161))=9)*(CHOOSE({1,2,3,4},HN!W161,HN!AA161,HN!AE161,HN!AI161)))</f>
        <v>0</v>
      </c>
      <c r="J161">
        <f>SUMPRODUCT((MONTH(CHOOSE({1,2,3,4},HN!T161,HN!X161,HN!AB161,HN!AF161))=10)*(CHOOSE({1,2,3,4},HN!W161,HN!AA161,HN!AE161,HN!AI161)))</f>
        <v>0</v>
      </c>
      <c r="K161">
        <f>SUMPRODUCT((MONTH(CHOOSE({1,2,3,4},HN!T161,HN!X161,HN!AB161,HN!AF161))=11)*(CHOOSE({1,2,3,4},HN!W161,HN!AA161,HN!AE161,HN!AI161)))</f>
        <v>0</v>
      </c>
      <c r="L161">
        <f>SUMPRODUCT((MONTH(CHOOSE({1,2,3,4},HN!T161,HN!X161,HN!AB161,HN!AF161))=12)*(CHOOSE({1,2,3,4},HN!W161,HN!AA161,HN!AE161,HN!AI161)))</f>
        <v>0</v>
      </c>
    </row>
    <row r="162" spans="1:12">
      <c r="A162">
        <f>SUMPRODUCT((MONTH(CHOOSE({1,2,3,4},HN!T162,HN!X162,HN!AB162,HN!AF162))=1)*(CHOOSE({1,2,3,4},HN!W162,HN!AA162,HN!AE162,HN!AI162)))</f>
        <v>0</v>
      </c>
      <c r="B162">
        <f>SUMPRODUCT((MONTH(CHOOSE({1,2,3,4},HN!T162,HN!X162,HN!AB162,HN!AF162))=2)*(CHOOSE({1,2,3,4},HN!W162,HN!AA162,HN!AE162,HN!AI162)))</f>
        <v>0</v>
      </c>
      <c r="C162">
        <f>SUMPRODUCT((MONTH(CHOOSE({1,2,3,4},HN!T162,HN!X162,HN!AB162,HN!AF162))=3)*(CHOOSE({1,2,3,4},HN!W162,HN!AA162,HN!AE162,HN!AI162)))</f>
        <v>0</v>
      </c>
      <c r="D162">
        <f>SUMPRODUCT((MONTH(CHOOSE({1,2,3,4},HN!T162,HN!X162,HN!AB162,HN!AF162))=4)*(CHOOSE({1,2,3,4},HN!W162,HN!AA162,HN!AE162,HN!AI162)))</f>
        <v>0</v>
      </c>
      <c r="E162">
        <f>SUMPRODUCT((MONTH(CHOOSE({1,2,3,4},HN!T162,HN!X162,HN!AB162,HN!AF162))=5)*(CHOOSE({1,2,3,4},HN!W162,HN!AA162,HN!AE162,HN!AI162)))</f>
        <v>0</v>
      </c>
      <c r="F162">
        <f>SUMPRODUCT((MONTH(CHOOSE({1,2,3,4},HN!T162,HN!X162,HN!AB162,HN!AF162))=6)*(CHOOSE({1,2,3,4},HN!W162,HN!AA162,HN!AE162,HN!AI162)))</f>
        <v>0</v>
      </c>
      <c r="G162">
        <f>SUMPRODUCT((MONTH(CHOOSE({1,2,3,4},HN!T162,HN!X162,HN!AB162,HN!AF162))=7)*(CHOOSE({1,2,3,4},HN!W162,HN!AA162,HN!AE162,HN!AI162)))</f>
        <v>0</v>
      </c>
      <c r="H162">
        <f>SUMPRODUCT((MONTH(CHOOSE({1,2,3,4},HN!T162,HN!X162,HN!AB162,HN!AF162))=8)*(CHOOSE({1,2,3,4},HN!W162,HN!AA162,HN!AE162,HN!AI162)))</f>
        <v>0</v>
      </c>
      <c r="I162">
        <f>SUMPRODUCT((MONTH(CHOOSE({1,2,3,4},HN!T162,HN!X162,HN!AB162,HN!AF162))=9)*(CHOOSE({1,2,3,4},HN!W162,HN!AA162,HN!AE162,HN!AI162)))</f>
        <v>0</v>
      </c>
      <c r="J162">
        <f>SUMPRODUCT((MONTH(CHOOSE({1,2,3,4},HN!T162,HN!X162,HN!AB162,HN!AF162))=10)*(CHOOSE({1,2,3,4},HN!W162,HN!AA162,HN!AE162,HN!AI162)))</f>
        <v>0</v>
      </c>
      <c r="K162">
        <f>SUMPRODUCT((MONTH(CHOOSE({1,2,3,4},HN!T162,HN!X162,HN!AB162,HN!AF162))=11)*(CHOOSE({1,2,3,4},HN!W162,HN!AA162,HN!AE162,HN!AI162)))</f>
        <v>0</v>
      </c>
      <c r="L162">
        <f>SUMPRODUCT((MONTH(CHOOSE({1,2,3,4},HN!T162,HN!X162,HN!AB162,HN!AF162))=12)*(CHOOSE({1,2,3,4},HN!W162,HN!AA162,HN!AE162,HN!AI162)))</f>
        <v>0</v>
      </c>
    </row>
    <row r="163" spans="1:12">
      <c r="A163">
        <f>SUMPRODUCT((MONTH(CHOOSE({1,2,3,4},HN!T163,HN!X163,HN!AB163,HN!AF163))=1)*(CHOOSE({1,2,3,4},HN!W163,HN!AA163,HN!AE163,HN!AI163)))</f>
        <v>0</v>
      </c>
      <c r="B163">
        <f>SUMPRODUCT((MONTH(CHOOSE({1,2,3,4},HN!T163,HN!X163,HN!AB163,HN!AF163))=2)*(CHOOSE({1,2,3,4},HN!W163,HN!AA163,HN!AE163,HN!AI163)))</f>
        <v>0</v>
      </c>
      <c r="C163">
        <f>SUMPRODUCT((MONTH(CHOOSE({1,2,3,4},HN!T163,HN!X163,HN!AB163,HN!AF163))=3)*(CHOOSE({1,2,3,4},HN!W163,HN!AA163,HN!AE163,HN!AI163)))</f>
        <v>0</v>
      </c>
      <c r="D163">
        <f>SUMPRODUCT((MONTH(CHOOSE({1,2,3,4},HN!T163,HN!X163,HN!AB163,HN!AF163))=4)*(CHOOSE({1,2,3,4},HN!W163,HN!AA163,HN!AE163,HN!AI163)))</f>
        <v>0</v>
      </c>
      <c r="E163">
        <f>SUMPRODUCT((MONTH(CHOOSE({1,2,3,4},HN!T163,HN!X163,HN!AB163,HN!AF163))=5)*(CHOOSE({1,2,3,4},HN!W163,HN!AA163,HN!AE163,HN!AI163)))</f>
        <v>0</v>
      </c>
      <c r="F163">
        <f>SUMPRODUCT((MONTH(CHOOSE({1,2,3,4},HN!T163,HN!X163,HN!AB163,HN!AF163))=6)*(CHOOSE({1,2,3,4},HN!W163,HN!AA163,HN!AE163,HN!AI163)))</f>
        <v>0</v>
      </c>
      <c r="G163">
        <f>SUMPRODUCT((MONTH(CHOOSE({1,2,3,4},HN!T163,HN!X163,HN!AB163,HN!AF163))=7)*(CHOOSE({1,2,3,4},HN!W163,HN!AA163,HN!AE163,HN!AI163)))</f>
        <v>0</v>
      </c>
      <c r="H163">
        <f>SUMPRODUCT((MONTH(CHOOSE({1,2,3,4},HN!T163,HN!X163,HN!AB163,HN!AF163))=8)*(CHOOSE({1,2,3,4},HN!W163,HN!AA163,HN!AE163,HN!AI163)))</f>
        <v>0</v>
      </c>
      <c r="I163">
        <f>SUMPRODUCT((MONTH(CHOOSE({1,2,3,4},HN!T163,HN!X163,HN!AB163,HN!AF163))=9)*(CHOOSE({1,2,3,4},HN!W163,HN!AA163,HN!AE163,HN!AI163)))</f>
        <v>0</v>
      </c>
      <c r="J163">
        <f>SUMPRODUCT((MONTH(CHOOSE({1,2,3,4},HN!T163,HN!X163,HN!AB163,HN!AF163))=10)*(CHOOSE({1,2,3,4},HN!W163,HN!AA163,HN!AE163,HN!AI163)))</f>
        <v>0</v>
      </c>
      <c r="K163">
        <f>SUMPRODUCT((MONTH(CHOOSE({1,2,3,4},HN!T163,HN!X163,HN!AB163,HN!AF163))=11)*(CHOOSE({1,2,3,4},HN!W163,HN!AA163,HN!AE163,HN!AI163)))</f>
        <v>0</v>
      </c>
      <c r="L163">
        <f>SUMPRODUCT((MONTH(CHOOSE({1,2,3,4},HN!T163,HN!X163,HN!AB163,HN!AF163))=12)*(CHOOSE({1,2,3,4},HN!W163,HN!AA163,HN!AE163,HN!AI163)))</f>
        <v>0</v>
      </c>
    </row>
    <row r="164" spans="1:12">
      <c r="A164">
        <f>SUMPRODUCT((MONTH(CHOOSE({1,2,3,4},HN!T164,HN!X164,HN!AB164,HN!AF164))=1)*(CHOOSE({1,2,3,4},HN!W164,HN!AA164,HN!AE164,HN!AI164)))</f>
        <v>0</v>
      </c>
      <c r="B164">
        <f>SUMPRODUCT((MONTH(CHOOSE({1,2,3,4},HN!T164,HN!X164,HN!AB164,HN!AF164))=2)*(CHOOSE({1,2,3,4},HN!W164,HN!AA164,HN!AE164,HN!AI164)))</f>
        <v>0</v>
      </c>
      <c r="C164">
        <f>SUMPRODUCT((MONTH(CHOOSE({1,2,3,4},HN!T164,HN!X164,HN!AB164,HN!AF164))=3)*(CHOOSE({1,2,3,4},HN!W164,HN!AA164,HN!AE164,HN!AI164)))</f>
        <v>0</v>
      </c>
      <c r="D164">
        <f>SUMPRODUCT((MONTH(CHOOSE({1,2,3,4},HN!T164,HN!X164,HN!AB164,HN!AF164))=4)*(CHOOSE({1,2,3,4},HN!W164,HN!AA164,HN!AE164,HN!AI164)))</f>
        <v>0</v>
      </c>
      <c r="E164">
        <f>SUMPRODUCT((MONTH(CHOOSE({1,2,3,4},HN!T164,HN!X164,HN!AB164,HN!AF164))=5)*(CHOOSE({1,2,3,4},HN!W164,HN!AA164,HN!AE164,HN!AI164)))</f>
        <v>0</v>
      </c>
      <c r="F164">
        <f>SUMPRODUCT((MONTH(CHOOSE({1,2,3,4},HN!T164,HN!X164,HN!AB164,HN!AF164))=6)*(CHOOSE({1,2,3,4},HN!W164,HN!AA164,HN!AE164,HN!AI164)))</f>
        <v>0</v>
      </c>
      <c r="G164">
        <f>SUMPRODUCT((MONTH(CHOOSE({1,2,3,4},HN!T164,HN!X164,HN!AB164,HN!AF164))=7)*(CHOOSE({1,2,3,4},HN!W164,HN!AA164,HN!AE164,HN!AI164)))</f>
        <v>0</v>
      </c>
      <c r="H164">
        <f>SUMPRODUCT((MONTH(CHOOSE({1,2,3,4},HN!T164,HN!X164,HN!AB164,HN!AF164))=8)*(CHOOSE({1,2,3,4},HN!W164,HN!AA164,HN!AE164,HN!AI164)))</f>
        <v>0</v>
      </c>
      <c r="I164">
        <f>SUMPRODUCT((MONTH(CHOOSE({1,2,3,4},HN!T164,HN!X164,HN!AB164,HN!AF164))=9)*(CHOOSE({1,2,3,4},HN!W164,HN!AA164,HN!AE164,HN!AI164)))</f>
        <v>0</v>
      </c>
      <c r="J164">
        <f>SUMPRODUCT((MONTH(CHOOSE({1,2,3,4},HN!T164,HN!X164,HN!AB164,HN!AF164))=10)*(CHOOSE({1,2,3,4},HN!W164,HN!AA164,HN!AE164,HN!AI164)))</f>
        <v>0</v>
      </c>
      <c r="K164">
        <f>SUMPRODUCT((MONTH(CHOOSE({1,2,3,4},HN!T164,HN!X164,HN!AB164,HN!AF164))=11)*(CHOOSE({1,2,3,4},HN!W164,HN!AA164,HN!AE164,HN!AI164)))</f>
        <v>0</v>
      </c>
      <c r="L164">
        <f>SUMPRODUCT((MONTH(CHOOSE({1,2,3,4},HN!T164,HN!X164,HN!AB164,HN!AF164))=12)*(CHOOSE({1,2,3,4},HN!W164,HN!AA164,HN!AE164,HN!AI164)))</f>
        <v>0</v>
      </c>
    </row>
    <row r="165" spans="1:12">
      <c r="A165">
        <f>SUMPRODUCT((MONTH(CHOOSE({1,2,3,4},HN!T165,HN!X165,HN!AB165,HN!AF165))=1)*(CHOOSE({1,2,3,4},HN!W165,HN!AA165,HN!AE165,HN!AI165)))</f>
        <v>0</v>
      </c>
      <c r="B165">
        <f>SUMPRODUCT((MONTH(CHOOSE({1,2,3,4},HN!T165,HN!X165,HN!AB165,HN!AF165))=2)*(CHOOSE({1,2,3,4},HN!W165,HN!AA165,HN!AE165,HN!AI165)))</f>
        <v>0</v>
      </c>
      <c r="C165">
        <f>SUMPRODUCT((MONTH(CHOOSE({1,2,3,4},HN!T165,HN!X165,HN!AB165,HN!AF165))=3)*(CHOOSE({1,2,3,4},HN!W165,HN!AA165,HN!AE165,HN!AI165)))</f>
        <v>0</v>
      </c>
      <c r="D165">
        <f>SUMPRODUCT((MONTH(CHOOSE({1,2,3,4},HN!T165,HN!X165,HN!AB165,HN!AF165))=4)*(CHOOSE({1,2,3,4},HN!W165,HN!AA165,HN!AE165,HN!AI165)))</f>
        <v>0</v>
      </c>
      <c r="E165">
        <f>SUMPRODUCT((MONTH(CHOOSE({1,2,3,4},HN!T165,HN!X165,HN!AB165,HN!AF165))=5)*(CHOOSE({1,2,3,4},HN!W165,HN!AA165,HN!AE165,HN!AI165)))</f>
        <v>0</v>
      </c>
      <c r="F165">
        <f>SUMPRODUCT((MONTH(CHOOSE({1,2,3,4},HN!T165,HN!X165,HN!AB165,HN!AF165))=6)*(CHOOSE({1,2,3,4},HN!W165,HN!AA165,HN!AE165,HN!AI165)))</f>
        <v>0</v>
      </c>
      <c r="G165">
        <f>SUMPRODUCT((MONTH(CHOOSE({1,2,3,4},HN!T165,HN!X165,HN!AB165,HN!AF165))=7)*(CHOOSE({1,2,3,4},HN!W165,HN!AA165,HN!AE165,HN!AI165)))</f>
        <v>0</v>
      </c>
      <c r="H165">
        <f>SUMPRODUCT((MONTH(CHOOSE({1,2,3,4},HN!T165,HN!X165,HN!AB165,HN!AF165))=8)*(CHOOSE({1,2,3,4},HN!W165,HN!AA165,HN!AE165,HN!AI165)))</f>
        <v>0</v>
      </c>
      <c r="I165">
        <f>SUMPRODUCT((MONTH(CHOOSE({1,2,3,4},HN!T165,HN!X165,HN!AB165,HN!AF165))=9)*(CHOOSE({1,2,3,4},HN!W165,HN!AA165,HN!AE165,HN!AI165)))</f>
        <v>0</v>
      </c>
      <c r="J165">
        <f>SUMPRODUCT((MONTH(CHOOSE({1,2,3,4},HN!T165,HN!X165,HN!AB165,HN!AF165))=10)*(CHOOSE({1,2,3,4},HN!W165,HN!AA165,HN!AE165,HN!AI165)))</f>
        <v>0</v>
      </c>
      <c r="K165">
        <f>SUMPRODUCT((MONTH(CHOOSE({1,2,3,4},HN!T165,HN!X165,HN!AB165,HN!AF165))=11)*(CHOOSE({1,2,3,4},HN!W165,HN!AA165,HN!AE165,HN!AI165)))</f>
        <v>0</v>
      </c>
      <c r="L165">
        <f>SUMPRODUCT((MONTH(CHOOSE({1,2,3,4},HN!T165,HN!X165,HN!AB165,HN!AF165))=12)*(CHOOSE({1,2,3,4},HN!W165,HN!AA165,HN!AE165,HN!AI165)))</f>
        <v>0</v>
      </c>
    </row>
    <row r="166" spans="1:12">
      <c r="A166">
        <f>SUMPRODUCT((MONTH(CHOOSE({1,2,3,4},HN!T166,HN!X166,HN!AB166,HN!AF166))=1)*(CHOOSE({1,2,3,4},HN!W166,HN!AA166,HN!AE166,HN!AI166)))</f>
        <v>0</v>
      </c>
      <c r="B166">
        <f>SUMPRODUCT((MONTH(CHOOSE({1,2,3,4},HN!T166,HN!X166,HN!AB166,HN!AF166))=2)*(CHOOSE({1,2,3,4},HN!W166,HN!AA166,HN!AE166,HN!AI166)))</f>
        <v>0</v>
      </c>
      <c r="C166">
        <f>SUMPRODUCT((MONTH(CHOOSE({1,2,3,4},HN!T166,HN!X166,HN!AB166,HN!AF166))=3)*(CHOOSE({1,2,3,4},HN!W166,HN!AA166,HN!AE166,HN!AI166)))</f>
        <v>0</v>
      </c>
      <c r="D166">
        <f>SUMPRODUCT((MONTH(CHOOSE({1,2,3,4},HN!T166,HN!X166,HN!AB166,HN!AF166))=4)*(CHOOSE({1,2,3,4},HN!W166,HN!AA166,HN!AE166,HN!AI166)))</f>
        <v>0</v>
      </c>
      <c r="E166">
        <f>SUMPRODUCT((MONTH(CHOOSE({1,2,3,4},HN!T166,HN!X166,HN!AB166,HN!AF166))=5)*(CHOOSE({1,2,3,4},HN!W166,HN!AA166,HN!AE166,HN!AI166)))</f>
        <v>0</v>
      </c>
      <c r="F166">
        <f>SUMPRODUCT((MONTH(CHOOSE({1,2,3,4},HN!T166,HN!X166,HN!AB166,HN!AF166))=6)*(CHOOSE({1,2,3,4},HN!W166,HN!AA166,HN!AE166,HN!AI166)))</f>
        <v>0</v>
      </c>
      <c r="G166">
        <f>SUMPRODUCT((MONTH(CHOOSE({1,2,3,4},HN!T166,HN!X166,HN!AB166,HN!AF166))=7)*(CHOOSE({1,2,3,4},HN!W166,HN!AA166,HN!AE166,HN!AI166)))</f>
        <v>0</v>
      </c>
      <c r="H166">
        <f>SUMPRODUCT((MONTH(CHOOSE({1,2,3,4},HN!T166,HN!X166,HN!AB166,HN!AF166))=8)*(CHOOSE({1,2,3,4},HN!W166,HN!AA166,HN!AE166,HN!AI166)))</f>
        <v>0</v>
      </c>
      <c r="I166">
        <f>SUMPRODUCT((MONTH(CHOOSE({1,2,3,4},HN!T166,HN!X166,HN!AB166,HN!AF166))=9)*(CHOOSE({1,2,3,4},HN!W166,HN!AA166,HN!AE166,HN!AI166)))</f>
        <v>0</v>
      </c>
      <c r="J166">
        <f>SUMPRODUCT((MONTH(CHOOSE({1,2,3,4},HN!T166,HN!X166,HN!AB166,HN!AF166))=10)*(CHOOSE({1,2,3,4},HN!W166,HN!AA166,HN!AE166,HN!AI166)))</f>
        <v>0</v>
      </c>
      <c r="K166">
        <f>SUMPRODUCT((MONTH(CHOOSE({1,2,3,4},HN!T166,HN!X166,HN!AB166,HN!AF166))=11)*(CHOOSE({1,2,3,4},HN!W166,HN!AA166,HN!AE166,HN!AI166)))</f>
        <v>0</v>
      </c>
      <c r="L166">
        <f>SUMPRODUCT((MONTH(CHOOSE({1,2,3,4},HN!T166,HN!X166,HN!AB166,HN!AF166))=12)*(CHOOSE({1,2,3,4},HN!W166,HN!AA166,HN!AE166,HN!AI166)))</f>
        <v>0</v>
      </c>
    </row>
    <row r="167" spans="1:12">
      <c r="A167">
        <f>SUMPRODUCT((MONTH(CHOOSE({1,2,3,4},HN!T167,HN!X167,HN!AB167,HN!AF167))=1)*(CHOOSE({1,2,3,4},HN!W167,HN!AA167,HN!AE167,HN!AI167)))</f>
        <v>0</v>
      </c>
      <c r="B167">
        <f>SUMPRODUCT((MONTH(CHOOSE({1,2,3,4},HN!T167,HN!X167,HN!AB167,HN!AF167))=2)*(CHOOSE({1,2,3,4},HN!W167,HN!AA167,HN!AE167,HN!AI167)))</f>
        <v>0</v>
      </c>
      <c r="C167">
        <f>SUMPRODUCT((MONTH(CHOOSE({1,2,3,4},HN!T167,HN!X167,HN!AB167,HN!AF167))=3)*(CHOOSE({1,2,3,4},HN!W167,HN!AA167,HN!AE167,HN!AI167)))</f>
        <v>0</v>
      </c>
      <c r="D167">
        <f>SUMPRODUCT((MONTH(CHOOSE({1,2,3,4},HN!T167,HN!X167,HN!AB167,HN!AF167))=4)*(CHOOSE({1,2,3,4},HN!W167,HN!AA167,HN!AE167,HN!AI167)))</f>
        <v>0</v>
      </c>
      <c r="E167">
        <f>SUMPRODUCT((MONTH(CHOOSE({1,2,3,4},HN!T167,HN!X167,HN!AB167,HN!AF167))=5)*(CHOOSE({1,2,3,4},HN!W167,HN!AA167,HN!AE167,HN!AI167)))</f>
        <v>0</v>
      </c>
      <c r="F167">
        <f>SUMPRODUCT((MONTH(CHOOSE({1,2,3,4},HN!T167,HN!X167,HN!AB167,HN!AF167))=6)*(CHOOSE({1,2,3,4},HN!W167,HN!AA167,HN!AE167,HN!AI167)))</f>
        <v>0</v>
      </c>
      <c r="G167">
        <f>SUMPRODUCT((MONTH(CHOOSE({1,2,3,4},HN!T167,HN!X167,HN!AB167,HN!AF167))=7)*(CHOOSE({1,2,3,4},HN!W167,HN!AA167,HN!AE167,HN!AI167)))</f>
        <v>0</v>
      </c>
      <c r="H167">
        <f>SUMPRODUCT((MONTH(CHOOSE({1,2,3,4},HN!T167,HN!X167,HN!AB167,HN!AF167))=8)*(CHOOSE({1,2,3,4},HN!W167,HN!AA167,HN!AE167,HN!AI167)))</f>
        <v>0</v>
      </c>
      <c r="I167">
        <f>SUMPRODUCT((MONTH(CHOOSE({1,2,3,4},HN!T167,HN!X167,HN!AB167,HN!AF167))=9)*(CHOOSE({1,2,3,4},HN!W167,HN!AA167,HN!AE167,HN!AI167)))</f>
        <v>0</v>
      </c>
      <c r="J167">
        <f>SUMPRODUCT((MONTH(CHOOSE({1,2,3,4},HN!T167,HN!X167,HN!AB167,HN!AF167))=10)*(CHOOSE({1,2,3,4},HN!W167,HN!AA167,HN!AE167,HN!AI167)))</f>
        <v>0</v>
      </c>
      <c r="K167">
        <f>SUMPRODUCT((MONTH(CHOOSE({1,2,3,4},HN!T167,HN!X167,HN!AB167,HN!AF167))=11)*(CHOOSE({1,2,3,4},HN!W167,HN!AA167,HN!AE167,HN!AI167)))</f>
        <v>0</v>
      </c>
      <c r="L167">
        <f>SUMPRODUCT((MONTH(CHOOSE({1,2,3,4},HN!T167,HN!X167,HN!AB167,HN!AF167))=12)*(CHOOSE({1,2,3,4},HN!W167,HN!AA167,HN!AE167,HN!AI167)))</f>
        <v>0</v>
      </c>
    </row>
    <row r="168" spans="1:12">
      <c r="A168">
        <f>SUMPRODUCT((MONTH(CHOOSE({1,2,3,4},HN!T168,HN!X168,HN!AB168,HN!AF168))=1)*(CHOOSE({1,2,3,4},HN!W168,HN!AA168,HN!AE168,HN!AI168)))</f>
        <v>0</v>
      </c>
      <c r="B168">
        <f>SUMPRODUCT((MONTH(CHOOSE({1,2,3,4},HN!T168,HN!X168,HN!AB168,HN!AF168))=2)*(CHOOSE({1,2,3,4},HN!W168,HN!AA168,HN!AE168,HN!AI168)))</f>
        <v>0</v>
      </c>
      <c r="C168">
        <f>SUMPRODUCT((MONTH(CHOOSE({1,2,3,4},HN!T168,HN!X168,HN!AB168,HN!AF168))=3)*(CHOOSE({1,2,3,4},HN!W168,HN!AA168,HN!AE168,HN!AI168)))</f>
        <v>0</v>
      </c>
      <c r="D168">
        <f>SUMPRODUCT((MONTH(CHOOSE({1,2,3,4},HN!T168,HN!X168,HN!AB168,HN!AF168))=4)*(CHOOSE({1,2,3,4},HN!W168,HN!AA168,HN!AE168,HN!AI168)))</f>
        <v>0</v>
      </c>
      <c r="E168">
        <f>SUMPRODUCT((MONTH(CHOOSE({1,2,3,4},HN!T168,HN!X168,HN!AB168,HN!AF168))=5)*(CHOOSE({1,2,3,4},HN!W168,HN!AA168,HN!AE168,HN!AI168)))</f>
        <v>0</v>
      </c>
      <c r="F168">
        <f>SUMPRODUCT((MONTH(CHOOSE({1,2,3,4},HN!T168,HN!X168,HN!AB168,HN!AF168))=6)*(CHOOSE({1,2,3,4},HN!W168,HN!AA168,HN!AE168,HN!AI168)))</f>
        <v>0</v>
      </c>
      <c r="G168">
        <f>SUMPRODUCT((MONTH(CHOOSE({1,2,3,4},HN!T168,HN!X168,HN!AB168,HN!AF168))=7)*(CHOOSE({1,2,3,4},HN!W168,HN!AA168,HN!AE168,HN!AI168)))</f>
        <v>0</v>
      </c>
      <c r="H168">
        <f>SUMPRODUCT((MONTH(CHOOSE({1,2,3,4},HN!T168,HN!X168,HN!AB168,HN!AF168))=8)*(CHOOSE({1,2,3,4},HN!W168,HN!AA168,HN!AE168,HN!AI168)))</f>
        <v>0</v>
      </c>
      <c r="I168">
        <f>SUMPRODUCT((MONTH(CHOOSE({1,2,3,4},HN!T168,HN!X168,HN!AB168,HN!AF168))=9)*(CHOOSE({1,2,3,4},HN!W168,HN!AA168,HN!AE168,HN!AI168)))</f>
        <v>0</v>
      </c>
      <c r="J168">
        <f>SUMPRODUCT((MONTH(CHOOSE({1,2,3,4},HN!T168,HN!X168,HN!AB168,HN!AF168))=10)*(CHOOSE({1,2,3,4},HN!W168,HN!AA168,HN!AE168,HN!AI168)))</f>
        <v>0</v>
      </c>
      <c r="K168">
        <f>SUMPRODUCT((MONTH(CHOOSE({1,2,3,4},HN!T168,HN!X168,HN!AB168,HN!AF168))=11)*(CHOOSE({1,2,3,4},HN!W168,HN!AA168,HN!AE168,HN!AI168)))</f>
        <v>0</v>
      </c>
      <c r="L168">
        <f>SUMPRODUCT((MONTH(CHOOSE({1,2,3,4},HN!T168,HN!X168,HN!AB168,HN!AF168))=12)*(CHOOSE({1,2,3,4},HN!W168,HN!AA168,HN!AE168,HN!AI168)))</f>
        <v>0</v>
      </c>
    </row>
    <row r="169" spans="1:12">
      <c r="A169">
        <f>SUMPRODUCT((MONTH(CHOOSE({1,2,3,4},HN!T169,HN!X169,HN!AB169,HN!AF169))=1)*(CHOOSE({1,2,3,4},HN!W169,HN!AA169,HN!AE169,HN!AI169)))</f>
        <v>0</v>
      </c>
      <c r="B169">
        <f>SUMPRODUCT((MONTH(CHOOSE({1,2,3,4},HN!T169,HN!X169,HN!AB169,HN!AF169))=2)*(CHOOSE({1,2,3,4},HN!W169,HN!AA169,HN!AE169,HN!AI169)))</f>
        <v>0</v>
      </c>
      <c r="C169">
        <f>SUMPRODUCT((MONTH(CHOOSE({1,2,3,4},HN!T169,HN!X169,HN!AB169,HN!AF169))=3)*(CHOOSE({1,2,3,4},HN!W169,HN!AA169,HN!AE169,HN!AI169)))</f>
        <v>0</v>
      </c>
      <c r="D169">
        <f>SUMPRODUCT((MONTH(CHOOSE({1,2,3,4},HN!T169,HN!X169,HN!AB169,HN!AF169))=4)*(CHOOSE({1,2,3,4},HN!W169,HN!AA169,HN!AE169,HN!AI169)))</f>
        <v>0</v>
      </c>
      <c r="E169">
        <f>SUMPRODUCT((MONTH(CHOOSE({1,2,3,4},HN!T169,HN!X169,HN!AB169,HN!AF169))=5)*(CHOOSE({1,2,3,4},HN!W169,HN!AA169,HN!AE169,HN!AI169)))</f>
        <v>0</v>
      </c>
      <c r="F169">
        <f>SUMPRODUCT((MONTH(CHOOSE({1,2,3,4},HN!T169,HN!X169,HN!AB169,HN!AF169))=6)*(CHOOSE({1,2,3,4},HN!W169,HN!AA169,HN!AE169,HN!AI169)))</f>
        <v>0</v>
      </c>
      <c r="G169">
        <f>SUMPRODUCT((MONTH(CHOOSE({1,2,3,4},HN!T169,HN!X169,HN!AB169,HN!AF169))=7)*(CHOOSE({1,2,3,4},HN!W169,HN!AA169,HN!AE169,HN!AI169)))</f>
        <v>0</v>
      </c>
      <c r="H169">
        <f>SUMPRODUCT((MONTH(CHOOSE({1,2,3,4},HN!T169,HN!X169,HN!AB169,HN!AF169))=8)*(CHOOSE({1,2,3,4},HN!W169,HN!AA169,HN!AE169,HN!AI169)))</f>
        <v>0</v>
      </c>
      <c r="I169">
        <f>SUMPRODUCT((MONTH(CHOOSE({1,2,3,4},HN!T169,HN!X169,HN!AB169,HN!AF169))=9)*(CHOOSE({1,2,3,4},HN!W169,HN!AA169,HN!AE169,HN!AI169)))</f>
        <v>0</v>
      </c>
      <c r="J169">
        <f>SUMPRODUCT((MONTH(CHOOSE({1,2,3,4},HN!T169,HN!X169,HN!AB169,HN!AF169))=10)*(CHOOSE({1,2,3,4},HN!W169,HN!AA169,HN!AE169,HN!AI169)))</f>
        <v>0</v>
      </c>
      <c r="K169">
        <f>SUMPRODUCT((MONTH(CHOOSE({1,2,3,4},HN!T169,HN!X169,HN!AB169,HN!AF169))=11)*(CHOOSE({1,2,3,4},HN!W169,HN!AA169,HN!AE169,HN!AI169)))</f>
        <v>0</v>
      </c>
      <c r="L169">
        <f>SUMPRODUCT((MONTH(CHOOSE({1,2,3,4},HN!T169,HN!X169,HN!AB169,HN!AF169))=12)*(CHOOSE({1,2,3,4},HN!W169,HN!AA169,HN!AE169,HN!AI169)))</f>
        <v>0</v>
      </c>
    </row>
    <row r="170" spans="1:12">
      <c r="A170">
        <f>SUMPRODUCT((MONTH(CHOOSE({1,2,3,4},HN!T170,HN!X170,HN!AB170,HN!AF170))=1)*(CHOOSE({1,2,3,4},HN!W170,HN!AA170,HN!AE170,HN!AI170)))</f>
        <v>0</v>
      </c>
      <c r="B170">
        <f>SUMPRODUCT((MONTH(CHOOSE({1,2,3,4},HN!T170,HN!X170,HN!AB170,HN!AF170))=2)*(CHOOSE({1,2,3,4},HN!W170,HN!AA170,HN!AE170,HN!AI170)))</f>
        <v>0</v>
      </c>
      <c r="C170">
        <f>SUMPRODUCT((MONTH(CHOOSE({1,2,3,4},HN!T170,HN!X170,HN!AB170,HN!AF170))=3)*(CHOOSE({1,2,3,4},HN!W170,HN!AA170,HN!AE170,HN!AI170)))</f>
        <v>0</v>
      </c>
      <c r="D170">
        <f>SUMPRODUCT((MONTH(CHOOSE({1,2,3,4},HN!T170,HN!X170,HN!AB170,HN!AF170))=4)*(CHOOSE({1,2,3,4},HN!W170,HN!AA170,HN!AE170,HN!AI170)))</f>
        <v>0</v>
      </c>
      <c r="E170">
        <f>SUMPRODUCT((MONTH(CHOOSE({1,2,3,4},HN!T170,HN!X170,HN!AB170,HN!AF170))=5)*(CHOOSE({1,2,3,4},HN!W170,HN!AA170,HN!AE170,HN!AI170)))</f>
        <v>0</v>
      </c>
      <c r="F170">
        <f>SUMPRODUCT((MONTH(CHOOSE({1,2,3,4},HN!T170,HN!X170,HN!AB170,HN!AF170))=6)*(CHOOSE({1,2,3,4},HN!W170,HN!AA170,HN!AE170,HN!AI170)))</f>
        <v>0</v>
      </c>
      <c r="G170">
        <f>SUMPRODUCT((MONTH(CHOOSE({1,2,3,4},HN!T170,HN!X170,HN!AB170,HN!AF170))=7)*(CHOOSE({1,2,3,4},HN!W170,HN!AA170,HN!AE170,HN!AI170)))</f>
        <v>0</v>
      </c>
      <c r="H170">
        <f>SUMPRODUCT((MONTH(CHOOSE({1,2,3,4},HN!T170,HN!X170,HN!AB170,HN!AF170))=8)*(CHOOSE({1,2,3,4},HN!W170,HN!AA170,HN!AE170,HN!AI170)))</f>
        <v>0</v>
      </c>
      <c r="I170">
        <f>SUMPRODUCT((MONTH(CHOOSE({1,2,3,4},HN!T170,HN!X170,HN!AB170,HN!AF170))=9)*(CHOOSE({1,2,3,4},HN!W170,HN!AA170,HN!AE170,HN!AI170)))</f>
        <v>0</v>
      </c>
      <c r="J170">
        <f>SUMPRODUCT((MONTH(CHOOSE({1,2,3,4},HN!T170,HN!X170,HN!AB170,HN!AF170))=10)*(CHOOSE({1,2,3,4},HN!W170,HN!AA170,HN!AE170,HN!AI170)))</f>
        <v>0</v>
      </c>
      <c r="K170">
        <f>SUMPRODUCT((MONTH(CHOOSE({1,2,3,4},HN!T170,HN!X170,HN!AB170,HN!AF170))=11)*(CHOOSE({1,2,3,4},HN!W170,HN!AA170,HN!AE170,HN!AI170)))</f>
        <v>0</v>
      </c>
      <c r="L170">
        <f>SUMPRODUCT((MONTH(CHOOSE({1,2,3,4},HN!T170,HN!X170,HN!AB170,HN!AF170))=12)*(CHOOSE({1,2,3,4},HN!W170,HN!AA170,HN!AE170,HN!AI170)))</f>
        <v>0</v>
      </c>
    </row>
    <row r="171" spans="1:12">
      <c r="A171">
        <f>SUMPRODUCT((MONTH(CHOOSE({1,2,3,4},HN!T171,HN!X171,HN!AB171,HN!AF171))=1)*(CHOOSE({1,2,3,4},HN!W171,HN!AA171,HN!AE171,HN!AI171)))</f>
        <v>0</v>
      </c>
      <c r="B171">
        <f>SUMPRODUCT((MONTH(CHOOSE({1,2,3,4},HN!T171,HN!X171,HN!AB171,HN!AF171))=2)*(CHOOSE({1,2,3,4},HN!W171,HN!AA171,HN!AE171,HN!AI171)))</f>
        <v>0</v>
      </c>
      <c r="C171">
        <f>SUMPRODUCT((MONTH(CHOOSE({1,2,3,4},HN!T171,HN!X171,HN!AB171,HN!AF171))=3)*(CHOOSE({1,2,3,4},HN!W171,HN!AA171,HN!AE171,HN!AI171)))</f>
        <v>0</v>
      </c>
      <c r="D171">
        <f>SUMPRODUCT((MONTH(CHOOSE({1,2,3,4},HN!T171,HN!X171,HN!AB171,HN!AF171))=4)*(CHOOSE({1,2,3,4},HN!W171,HN!AA171,HN!AE171,HN!AI171)))</f>
        <v>0</v>
      </c>
      <c r="E171">
        <f>SUMPRODUCT((MONTH(CHOOSE({1,2,3,4},HN!T171,HN!X171,HN!AB171,HN!AF171))=5)*(CHOOSE({1,2,3,4},HN!W171,HN!AA171,HN!AE171,HN!AI171)))</f>
        <v>0</v>
      </c>
      <c r="F171">
        <f>SUMPRODUCT((MONTH(CHOOSE({1,2,3,4},HN!T171,HN!X171,HN!AB171,HN!AF171))=6)*(CHOOSE({1,2,3,4},HN!W171,HN!AA171,HN!AE171,HN!AI171)))</f>
        <v>0</v>
      </c>
      <c r="G171">
        <f>SUMPRODUCT((MONTH(CHOOSE({1,2,3,4},HN!T171,HN!X171,HN!AB171,HN!AF171))=7)*(CHOOSE({1,2,3,4},HN!W171,HN!AA171,HN!AE171,HN!AI171)))</f>
        <v>0</v>
      </c>
      <c r="H171">
        <f>SUMPRODUCT((MONTH(CHOOSE({1,2,3,4},HN!T171,HN!X171,HN!AB171,HN!AF171))=8)*(CHOOSE({1,2,3,4},HN!W171,HN!AA171,HN!AE171,HN!AI171)))</f>
        <v>0</v>
      </c>
      <c r="I171">
        <f>SUMPRODUCT((MONTH(CHOOSE({1,2,3,4},HN!T171,HN!X171,HN!AB171,HN!AF171))=9)*(CHOOSE({1,2,3,4},HN!W171,HN!AA171,HN!AE171,HN!AI171)))</f>
        <v>0</v>
      </c>
      <c r="J171">
        <f>SUMPRODUCT((MONTH(CHOOSE({1,2,3,4},HN!T171,HN!X171,HN!AB171,HN!AF171))=10)*(CHOOSE({1,2,3,4},HN!W171,HN!AA171,HN!AE171,HN!AI171)))</f>
        <v>0</v>
      </c>
      <c r="K171">
        <f>SUMPRODUCT((MONTH(CHOOSE({1,2,3,4},HN!T171,HN!X171,HN!AB171,HN!AF171))=11)*(CHOOSE({1,2,3,4},HN!W171,HN!AA171,HN!AE171,HN!AI171)))</f>
        <v>0</v>
      </c>
      <c r="L171">
        <f>SUMPRODUCT((MONTH(CHOOSE({1,2,3,4},HN!T171,HN!X171,HN!AB171,HN!AF171))=12)*(CHOOSE({1,2,3,4},HN!W171,HN!AA171,HN!AE171,HN!AI171)))</f>
        <v>0</v>
      </c>
    </row>
    <row r="172" spans="1:12">
      <c r="A172">
        <f>SUMPRODUCT((MONTH(CHOOSE({1,2,3,4},HN!T172,HN!X172,HN!AB172,HN!AF172))=1)*(CHOOSE({1,2,3,4},HN!W172,HN!AA172,HN!AE172,HN!AI172)))</f>
        <v>0</v>
      </c>
      <c r="B172">
        <f>SUMPRODUCT((MONTH(CHOOSE({1,2,3,4},HN!T172,HN!X172,HN!AB172,HN!AF172))=2)*(CHOOSE({1,2,3,4},HN!W172,HN!AA172,HN!AE172,HN!AI172)))</f>
        <v>0</v>
      </c>
      <c r="C172">
        <f>SUMPRODUCT((MONTH(CHOOSE({1,2,3,4},HN!T172,HN!X172,HN!AB172,HN!AF172))=3)*(CHOOSE({1,2,3,4},HN!W172,HN!AA172,HN!AE172,HN!AI172)))</f>
        <v>0</v>
      </c>
      <c r="D172">
        <f>SUMPRODUCT((MONTH(CHOOSE({1,2,3,4},HN!T172,HN!X172,HN!AB172,HN!AF172))=4)*(CHOOSE({1,2,3,4},HN!W172,HN!AA172,HN!AE172,HN!AI172)))</f>
        <v>0</v>
      </c>
      <c r="E172">
        <f>SUMPRODUCT((MONTH(CHOOSE({1,2,3,4},HN!T172,HN!X172,HN!AB172,HN!AF172))=5)*(CHOOSE({1,2,3,4},HN!W172,HN!AA172,HN!AE172,HN!AI172)))</f>
        <v>0</v>
      </c>
      <c r="F172">
        <f>SUMPRODUCT((MONTH(CHOOSE({1,2,3,4},HN!T172,HN!X172,HN!AB172,HN!AF172))=6)*(CHOOSE({1,2,3,4},HN!W172,HN!AA172,HN!AE172,HN!AI172)))</f>
        <v>0</v>
      </c>
      <c r="G172">
        <f>SUMPRODUCT((MONTH(CHOOSE({1,2,3,4},HN!T172,HN!X172,HN!AB172,HN!AF172))=7)*(CHOOSE({1,2,3,4},HN!W172,HN!AA172,HN!AE172,HN!AI172)))</f>
        <v>0</v>
      </c>
      <c r="H172">
        <f>SUMPRODUCT((MONTH(CHOOSE({1,2,3,4},HN!T172,HN!X172,HN!AB172,HN!AF172))=8)*(CHOOSE({1,2,3,4},HN!W172,HN!AA172,HN!AE172,HN!AI172)))</f>
        <v>0</v>
      </c>
      <c r="I172">
        <f>SUMPRODUCT((MONTH(CHOOSE({1,2,3,4},HN!T172,HN!X172,HN!AB172,HN!AF172))=9)*(CHOOSE({1,2,3,4},HN!W172,HN!AA172,HN!AE172,HN!AI172)))</f>
        <v>0</v>
      </c>
      <c r="J172">
        <f>SUMPRODUCT((MONTH(CHOOSE({1,2,3,4},HN!T172,HN!X172,HN!AB172,HN!AF172))=10)*(CHOOSE({1,2,3,4},HN!W172,HN!AA172,HN!AE172,HN!AI172)))</f>
        <v>0</v>
      </c>
      <c r="K172">
        <f>SUMPRODUCT((MONTH(CHOOSE({1,2,3,4},HN!T172,HN!X172,HN!AB172,HN!AF172))=11)*(CHOOSE({1,2,3,4},HN!W172,HN!AA172,HN!AE172,HN!AI172)))</f>
        <v>0</v>
      </c>
      <c r="L172">
        <f>SUMPRODUCT((MONTH(CHOOSE({1,2,3,4},HN!T172,HN!X172,HN!AB172,HN!AF172))=12)*(CHOOSE({1,2,3,4},HN!W172,HN!AA172,HN!AE172,HN!AI172)))</f>
        <v>0</v>
      </c>
    </row>
    <row r="173" spans="1:12">
      <c r="A173">
        <f>SUMPRODUCT((MONTH(CHOOSE({1,2,3,4},HN!T173,HN!X173,HN!AB173,HN!AF173))=1)*(CHOOSE({1,2,3,4},HN!W173,HN!AA173,HN!AE173,HN!AI173)))</f>
        <v>0</v>
      </c>
      <c r="B173">
        <f>SUMPRODUCT((MONTH(CHOOSE({1,2,3,4},HN!T173,HN!X173,HN!AB173,HN!AF173))=2)*(CHOOSE({1,2,3,4},HN!W173,HN!AA173,HN!AE173,HN!AI173)))</f>
        <v>0</v>
      </c>
      <c r="C173">
        <f>SUMPRODUCT((MONTH(CHOOSE({1,2,3,4},HN!T173,HN!X173,HN!AB173,HN!AF173))=3)*(CHOOSE({1,2,3,4},HN!W173,HN!AA173,HN!AE173,HN!AI173)))</f>
        <v>0</v>
      </c>
      <c r="D173">
        <f>SUMPRODUCT((MONTH(CHOOSE({1,2,3,4},HN!T173,HN!X173,HN!AB173,HN!AF173))=4)*(CHOOSE({1,2,3,4},HN!W173,HN!AA173,HN!AE173,HN!AI173)))</f>
        <v>0</v>
      </c>
      <c r="E173">
        <f>SUMPRODUCT((MONTH(CHOOSE({1,2,3,4},HN!T173,HN!X173,HN!AB173,HN!AF173))=5)*(CHOOSE({1,2,3,4},HN!W173,HN!AA173,HN!AE173,HN!AI173)))</f>
        <v>0</v>
      </c>
      <c r="F173">
        <f>SUMPRODUCT((MONTH(CHOOSE({1,2,3,4},HN!T173,HN!X173,HN!AB173,HN!AF173))=6)*(CHOOSE({1,2,3,4},HN!W173,HN!AA173,HN!AE173,HN!AI173)))</f>
        <v>0</v>
      </c>
      <c r="G173">
        <f>SUMPRODUCT((MONTH(CHOOSE({1,2,3,4},HN!T173,HN!X173,HN!AB173,HN!AF173))=7)*(CHOOSE({1,2,3,4},HN!W173,HN!AA173,HN!AE173,HN!AI173)))</f>
        <v>0</v>
      </c>
      <c r="H173">
        <f>SUMPRODUCT((MONTH(CHOOSE({1,2,3,4},HN!T173,HN!X173,HN!AB173,HN!AF173))=8)*(CHOOSE({1,2,3,4},HN!W173,HN!AA173,HN!AE173,HN!AI173)))</f>
        <v>0</v>
      </c>
      <c r="I173">
        <f>SUMPRODUCT((MONTH(CHOOSE({1,2,3,4},HN!T173,HN!X173,HN!AB173,HN!AF173))=9)*(CHOOSE({1,2,3,4},HN!W173,HN!AA173,HN!AE173,HN!AI173)))</f>
        <v>0</v>
      </c>
      <c r="J173">
        <f>SUMPRODUCT((MONTH(CHOOSE({1,2,3,4},HN!T173,HN!X173,HN!AB173,HN!AF173))=10)*(CHOOSE({1,2,3,4},HN!W173,HN!AA173,HN!AE173,HN!AI173)))</f>
        <v>0</v>
      </c>
      <c r="K173">
        <f>SUMPRODUCT((MONTH(CHOOSE({1,2,3,4},HN!T173,HN!X173,HN!AB173,HN!AF173))=11)*(CHOOSE({1,2,3,4},HN!W173,HN!AA173,HN!AE173,HN!AI173)))</f>
        <v>0</v>
      </c>
      <c r="L173">
        <f>SUMPRODUCT((MONTH(CHOOSE({1,2,3,4},HN!T173,HN!X173,HN!AB173,HN!AF173))=12)*(CHOOSE({1,2,3,4},HN!W173,HN!AA173,HN!AE173,HN!AI173)))</f>
        <v>0</v>
      </c>
    </row>
    <row r="174" spans="1:12">
      <c r="A174">
        <f>SUMPRODUCT((MONTH(CHOOSE({1,2,3,4},HN!T174,HN!X174,HN!AB174,HN!AF174))=1)*(CHOOSE({1,2,3,4},HN!W174,HN!AA174,HN!AE174,HN!AI174)))</f>
        <v>0</v>
      </c>
      <c r="B174">
        <f>SUMPRODUCT((MONTH(CHOOSE({1,2,3,4},HN!T174,HN!X174,HN!AB174,HN!AF174))=2)*(CHOOSE({1,2,3,4},HN!W174,HN!AA174,HN!AE174,HN!AI174)))</f>
        <v>0</v>
      </c>
      <c r="C174">
        <f>SUMPRODUCT((MONTH(CHOOSE({1,2,3,4},HN!T174,HN!X174,HN!AB174,HN!AF174))=3)*(CHOOSE({1,2,3,4},HN!W174,HN!AA174,HN!AE174,HN!AI174)))</f>
        <v>0</v>
      </c>
      <c r="D174">
        <f>SUMPRODUCT((MONTH(CHOOSE({1,2,3,4},HN!T174,HN!X174,HN!AB174,HN!AF174))=4)*(CHOOSE({1,2,3,4},HN!W174,HN!AA174,HN!AE174,HN!AI174)))</f>
        <v>0</v>
      </c>
      <c r="E174">
        <f>SUMPRODUCT((MONTH(CHOOSE({1,2,3,4},HN!T174,HN!X174,HN!AB174,HN!AF174))=5)*(CHOOSE({1,2,3,4},HN!W174,HN!AA174,HN!AE174,HN!AI174)))</f>
        <v>0</v>
      </c>
      <c r="F174">
        <f>SUMPRODUCT((MONTH(CHOOSE({1,2,3,4},HN!T174,HN!X174,HN!AB174,HN!AF174))=6)*(CHOOSE({1,2,3,4},HN!W174,HN!AA174,HN!AE174,HN!AI174)))</f>
        <v>0</v>
      </c>
      <c r="G174">
        <f>SUMPRODUCT((MONTH(CHOOSE({1,2,3,4},HN!T174,HN!X174,HN!AB174,HN!AF174))=7)*(CHOOSE({1,2,3,4},HN!W174,HN!AA174,HN!AE174,HN!AI174)))</f>
        <v>0</v>
      </c>
      <c r="H174">
        <f>SUMPRODUCT((MONTH(CHOOSE({1,2,3,4},HN!T174,HN!X174,HN!AB174,HN!AF174))=8)*(CHOOSE({1,2,3,4},HN!W174,HN!AA174,HN!AE174,HN!AI174)))</f>
        <v>0</v>
      </c>
      <c r="I174">
        <f>SUMPRODUCT((MONTH(CHOOSE({1,2,3,4},HN!T174,HN!X174,HN!AB174,HN!AF174))=9)*(CHOOSE({1,2,3,4},HN!W174,HN!AA174,HN!AE174,HN!AI174)))</f>
        <v>0</v>
      </c>
      <c r="J174">
        <f>SUMPRODUCT((MONTH(CHOOSE({1,2,3,4},HN!T174,HN!X174,HN!AB174,HN!AF174))=10)*(CHOOSE({1,2,3,4},HN!W174,HN!AA174,HN!AE174,HN!AI174)))</f>
        <v>0</v>
      </c>
      <c r="K174">
        <f>SUMPRODUCT((MONTH(CHOOSE({1,2,3,4},HN!T174,HN!X174,HN!AB174,HN!AF174))=11)*(CHOOSE({1,2,3,4},HN!W174,HN!AA174,HN!AE174,HN!AI174)))</f>
        <v>0</v>
      </c>
      <c r="L174">
        <f>SUMPRODUCT((MONTH(CHOOSE({1,2,3,4},HN!T174,HN!X174,HN!AB174,HN!AF174))=12)*(CHOOSE({1,2,3,4},HN!W174,HN!AA174,HN!AE174,HN!AI174)))</f>
        <v>0</v>
      </c>
    </row>
    <row r="175" spans="1:12">
      <c r="A175">
        <f>SUMPRODUCT((MONTH(CHOOSE({1,2,3,4},HN!T175,HN!X175,HN!AB175,HN!AF175))=1)*(CHOOSE({1,2,3,4},HN!W175,HN!AA175,HN!AE175,HN!AI175)))</f>
        <v>0</v>
      </c>
      <c r="B175">
        <f>SUMPRODUCT((MONTH(CHOOSE({1,2,3,4},HN!T175,HN!X175,HN!AB175,HN!AF175))=2)*(CHOOSE({1,2,3,4},HN!W175,HN!AA175,HN!AE175,HN!AI175)))</f>
        <v>0</v>
      </c>
      <c r="C175">
        <f>SUMPRODUCT((MONTH(CHOOSE({1,2,3,4},HN!T175,HN!X175,HN!AB175,HN!AF175))=3)*(CHOOSE({1,2,3,4},HN!W175,HN!AA175,HN!AE175,HN!AI175)))</f>
        <v>0</v>
      </c>
      <c r="D175">
        <f>SUMPRODUCT((MONTH(CHOOSE({1,2,3,4},HN!T175,HN!X175,HN!AB175,HN!AF175))=4)*(CHOOSE({1,2,3,4},HN!W175,HN!AA175,HN!AE175,HN!AI175)))</f>
        <v>0</v>
      </c>
      <c r="E175">
        <f>SUMPRODUCT((MONTH(CHOOSE({1,2,3,4},HN!T175,HN!X175,HN!AB175,HN!AF175))=5)*(CHOOSE({1,2,3,4},HN!W175,HN!AA175,HN!AE175,HN!AI175)))</f>
        <v>0</v>
      </c>
      <c r="F175">
        <f>SUMPRODUCT((MONTH(CHOOSE({1,2,3,4},HN!T175,HN!X175,HN!AB175,HN!AF175))=6)*(CHOOSE({1,2,3,4},HN!W175,HN!AA175,HN!AE175,HN!AI175)))</f>
        <v>0</v>
      </c>
      <c r="G175">
        <f>SUMPRODUCT((MONTH(CHOOSE({1,2,3,4},HN!T175,HN!X175,HN!AB175,HN!AF175))=7)*(CHOOSE({1,2,3,4},HN!W175,HN!AA175,HN!AE175,HN!AI175)))</f>
        <v>0</v>
      </c>
      <c r="H175">
        <f>SUMPRODUCT((MONTH(CHOOSE({1,2,3,4},HN!T175,HN!X175,HN!AB175,HN!AF175))=8)*(CHOOSE({1,2,3,4},HN!W175,HN!AA175,HN!AE175,HN!AI175)))</f>
        <v>0</v>
      </c>
      <c r="I175">
        <f>SUMPRODUCT((MONTH(CHOOSE({1,2,3,4},HN!T175,HN!X175,HN!AB175,HN!AF175))=9)*(CHOOSE({1,2,3,4},HN!W175,HN!AA175,HN!AE175,HN!AI175)))</f>
        <v>0</v>
      </c>
      <c r="J175">
        <f>SUMPRODUCT((MONTH(CHOOSE({1,2,3,4},HN!T175,HN!X175,HN!AB175,HN!AF175))=10)*(CHOOSE({1,2,3,4},HN!W175,HN!AA175,HN!AE175,HN!AI175)))</f>
        <v>0</v>
      </c>
      <c r="K175">
        <f>SUMPRODUCT((MONTH(CHOOSE({1,2,3,4},HN!T175,HN!X175,HN!AB175,HN!AF175))=11)*(CHOOSE({1,2,3,4},HN!W175,HN!AA175,HN!AE175,HN!AI175)))</f>
        <v>0</v>
      </c>
      <c r="L175">
        <f>SUMPRODUCT((MONTH(CHOOSE({1,2,3,4},HN!T175,HN!X175,HN!AB175,HN!AF175))=12)*(CHOOSE({1,2,3,4},HN!W175,HN!AA175,HN!AE175,HN!AI175)))</f>
        <v>0</v>
      </c>
    </row>
    <row r="176" spans="1:12">
      <c r="A176">
        <f>SUMPRODUCT((MONTH(CHOOSE({1,2,3,4},HN!T176,HN!X176,HN!AB176,HN!AF176))=1)*(CHOOSE({1,2,3,4},HN!W176,HN!AA176,HN!AE176,HN!AI176)))</f>
        <v>0</v>
      </c>
      <c r="B176">
        <f>SUMPRODUCT((MONTH(CHOOSE({1,2,3,4},HN!T176,HN!X176,HN!AB176,HN!AF176))=2)*(CHOOSE({1,2,3,4},HN!W176,HN!AA176,HN!AE176,HN!AI176)))</f>
        <v>0</v>
      </c>
      <c r="C176">
        <f>SUMPRODUCT((MONTH(CHOOSE({1,2,3,4},HN!T176,HN!X176,HN!AB176,HN!AF176))=3)*(CHOOSE({1,2,3,4},HN!W176,HN!AA176,HN!AE176,HN!AI176)))</f>
        <v>0</v>
      </c>
      <c r="D176">
        <f>SUMPRODUCT((MONTH(CHOOSE({1,2,3,4},HN!T176,HN!X176,HN!AB176,HN!AF176))=4)*(CHOOSE({1,2,3,4},HN!W176,HN!AA176,HN!AE176,HN!AI176)))</f>
        <v>0</v>
      </c>
      <c r="E176">
        <f>SUMPRODUCT((MONTH(CHOOSE({1,2,3,4},HN!T176,HN!X176,HN!AB176,HN!AF176))=5)*(CHOOSE({1,2,3,4},HN!W176,HN!AA176,HN!AE176,HN!AI176)))</f>
        <v>0</v>
      </c>
      <c r="F176">
        <f>SUMPRODUCT((MONTH(CHOOSE({1,2,3,4},HN!T176,HN!X176,HN!AB176,HN!AF176))=6)*(CHOOSE({1,2,3,4},HN!W176,HN!AA176,HN!AE176,HN!AI176)))</f>
        <v>0</v>
      </c>
      <c r="G176">
        <f>SUMPRODUCT((MONTH(CHOOSE({1,2,3,4},HN!T176,HN!X176,HN!AB176,HN!AF176))=7)*(CHOOSE({1,2,3,4},HN!W176,HN!AA176,HN!AE176,HN!AI176)))</f>
        <v>0</v>
      </c>
      <c r="H176">
        <f>SUMPRODUCT((MONTH(CHOOSE({1,2,3,4},HN!T176,HN!X176,HN!AB176,HN!AF176))=8)*(CHOOSE({1,2,3,4},HN!W176,HN!AA176,HN!AE176,HN!AI176)))</f>
        <v>0</v>
      </c>
      <c r="I176">
        <f>SUMPRODUCT((MONTH(CHOOSE({1,2,3,4},HN!T176,HN!X176,HN!AB176,HN!AF176))=9)*(CHOOSE({1,2,3,4},HN!W176,HN!AA176,HN!AE176,HN!AI176)))</f>
        <v>0</v>
      </c>
      <c r="J176">
        <f>SUMPRODUCT((MONTH(CHOOSE({1,2,3,4},HN!T176,HN!X176,HN!AB176,HN!AF176))=10)*(CHOOSE({1,2,3,4},HN!W176,HN!AA176,HN!AE176,HN!AI176)))</f>
        <v>0</v>
      </c>
      <c r="K176">
        <f>SUMPRODUCT((MONTH(CHOOSE({1,2,3,4},HN!T176,HN!X176,HN!AB176,HN!AF176))=11)*(CHOOSE({1,2,3,4},HN!W176,HN!AA176,HN!AE176,HN!AI176)))</f>
        <v>0</v>
      </c>
      <c r="L176">
        <f>SUMPRODUCT((MONTH(CHOOSE({1,2,3,4},HN!T176,HN!X176,HN!AB176,HN!AF176))=12)*(CHOOSE({1,2,3,4},HN!W176,HN!AA176,HN!AE176,HN!AI176)))</f>
        <v>0</v>
      </c>
    </row>
    <row r="177" spans="1:12">
      <c r="A177">
        <f>SUMPRODUCT((MONTH(CHOOSE({1,2,3,4},HN!T177,HN!X177,HN!AB177,HN!AF177))=1)*(CHOOSE({1,2,3,4},HN!W177,HN!AA177,HN!AE177,HN!AI177)))</f>
        <v>0</v>
      </c>
      <c r="B177">
        <f>SUMPRODUCT((MONTH(CHOOSE({1,2,3,4},HN!T177,HN!X177,HN!AB177,HN!AF177))=2)*(CHOOSE({1,2,3,4},HN!W177,HN!AA177,HN!AE177,HN!AI177)))</f>
        <v>0</v>
      </c>
      <c r="C177">
        <f>SUMPRODUCT((MONTH(CHOOSE({1,2,3,4},HN!T177,HN!X177,HN!AB177,HN!AF177))=3)*(CHOOSE({1,2,3,4},HN!W177,HN!AA177,HN!AE177,HN!AI177)))</f>
        <v>0</v>
      </c>
      <c r="D177">
        <f>SUMPRODUCT((MONTH(CHOOSE({1,2,3,4},HN!T177,HN!X177,HN!AB177,HN!AF177))=4)*(CHOOSE({1,2,3,4},HN!W177,HN!AA177,HN!AE177,HN!AI177)))</f>
        <v>0</v>
      </c>
      <c r="E177">
        <f>SUMPRODUCT((MONTH(CHOOSE({1,2,3,4},HN!T177,HN!X177,HN!AB177,HN!AF177))=5)*(CHOOSE({1,2,3,4},HN!W177,HN!AA177,HN!AE177,HN!AI177)))</f>
        <v>0</v>
      </c>
      <c r="F177">
        <f>SUMPRODUCT((MONTH(CHOOSE({1,2,3,4},HN!T177,HN!X177,HN!AB177,HN!AF177))=6)*(CHOOSE({1,2,3,4},HN!W177,HN!AA177,HN!AE177,HN!AI177)))</f>
        <v>0</v>
      </c>
      <c r="G177">
        <f>SUMPRODUCT((MONTH(CHOOSE({1,2,3,4},HN!T177,HN!X177,HN!AB177,HN!AF177))=7)*(CHOOSE({1,2,3,4},HN!W177,HN!AA177,HN!AE177,HN!AI177)))</f>
        <v>0</v>
      </c>
      <c r="H177">
        <f>SUMPRODUCT((MONTH(CHOOSE({1,2,3,4},HN!T177,HN!X177,HN!AB177,HN!AF177))=8)*(CHOOSE({1,2,3,4},HN!W177,HN!AA177,HN!AE177,HN!AI177)))</f>
        <v>0</v>
      </c>
      <c r="I177">
        <f>SUMPRODUCT((MONTH(CHOOSE({1,2,3,4},HN!T177,HN!X177,HN!AB177,HN!AF177))=9)*(CHOOSE({1,2,3,4},HN!W177,HN!AA177,HN!AE177,HN!AI177)))</f>
        <v>0</v>
      </c>
      <c r="J177">
        <f>SUMPRODUCT((MONTH(CHOOSE({1,2,3,4},HN!T177,HN!X177,HN!AB177,HN!AF177))=10)*(CHOOSE({1,2,3,4},HN!W177,HN!AA177,HN!AE177,HN!AI177)))</f>
        <v>0</v>
      </c>
      <c r="K177">
        <f>SUMPRODUCT((MONTH(CHOOSE({1,2,3,4},HN!T177,HN!X177,HN!AB177,HN!AF177))=11)*(CHOOSE({1,2,3,4},HN!W177,HN!AA177,HN!AE177,HN!AI177)))</f>
        <v>0</v>
      </c>
      <c r="L177">
        <f>SUMPRODUCT((MONTH(CHOOSE({1,2,3,4},HN!T177,HN!X177,HN!AB177,HN!AF177))=12)*(CHOOSE({1,2,3,4},HN!W177,HN!AA177,HN!AE177,HN!AI177)))</f>
        <v>0</v>
      </c>
    </row>
    <row r="178" spans="1:12">
      <c r="A178">
        <f>SUMPRODUCT((MONTH(CHOOSE({1,2,3,4},HN!T178,HN!X178,HN!AB178,HN!AF178))=1)*(CHOOSE({1,2,3,4},HN!W178,HN!AA178,HN!AE178,HN!AI178)))</f>
        <v>0</v>
      </c>
      <c r="B178">
        <f>SUMPRODUCT((MONTH(CHOOSE({1,2,3,4},HN!T178,HN!X178,HN!AB178,HN!AF178))=2)*(CHOOSE({1,2,3,4},HN!W178,HN!AA178,HN!AE178,HN!AI178)))</f>
        <v>0</v>
      </c>
      <c r="C178">
        <f>SUMPRODUCT((MONTH(CHOOSE({1,2,3,4},HN!T178,HN!X178,HN!AB178,HN!AF178))=3)*(CHOOSE({1,2,3,4},HN!W178,HN!AA178,HN!AE178,HN!AI178)))</f>
        <v>0</v>
      </c>
      <c r="D178">
        <f>SUMPRODUCT((MONTH(CHOOSE({1,2,3,4},HN!T178,HN!X178,HN!AB178,HN!AF178))=4)*(CHOOSE({1,2,3,4},HN!W178,HN!AA178,HN!AE178,HN!AI178)))</f>
        <v>0</v>
      </c>
      <c r="E178">
        <f>SUMPRODUCT((MONTH(CHOOSE({1,2,3,4},HN!T178,HN!X178,HN!AB178,HN!AF178))=5)*(CHOOSE({1,2,3,4},HN!W178,HN!AA178,HN!AE178,HN!AI178)))</f>
        <v>0</v>
      </c>
      <c r="F178">
        <f>SUMPRODUCT((MONTH(CHOOSE({1,2,3,4},HN!T178,HN!X178,HN!AB178,HN!AF178))=6)*(CHOOSE({1,2,3,4},HN!W178,HN!AA178,HN!AE178,HN!AI178)))</f>
        <v>0</v>
      </c>
      <c r="G178">
        <f>SUMPRODUCT((MONTH(CHOOSE({1,2,3,4},HN!T178,HN!X178,HN!AB178,HN!AF178))=7)*(CHOOSE({1,2,3,4},HN!W178,HN!AA178,HN!AE178,HN!AI178)))</f>
        <v>0</v>
      </c>
      <c r="H178">
        <f>SUMPRODUCT((MONTH(CHOOSE({1,2,3,4},HN!T178,HN!X178,HN!AB178,HN!AF178))=8)*(CHOOSE({1,2,3,4},HN!W178,HN!AA178,HN!AE178,HN!AI178)))</f>
        <v>0</v>
      </c>
      <c r="I178">
        <f>SUMPRODUCT((MONTH(CHOOSE({1,2,3,4},HN!T178,HN!X178,HN!AB178,HN!AF178))=9)*(CHOOSE({1,2,3,4},HN!W178,HN!AA178,HN!AE178,HN!AI178)))</f>
        <v>0</v>
      </c>
      <c r="J178">
        <f>SUMPRODUCT((MONTH(CHOOSE({1,2,3,4},HN!T178,HN!X178,HN!AB178,HN!AF178))=10)*(CHOOSE({1,2,3,4},HN!W178,HN!AA178,HN!AE178,HN!AI178)))</f>
        <v>0</v>
      </c>
      <c r="K178">
        <f>SUMPRODUCT((MONTH(CHOOSE({1,2,3,4},HN!T178,HN!X178,HN!AB178,HN!AF178))=11)*(CHOOSE({1,2,3,4},HN!W178,HN!AA178,HN!AE178,HN!AI178)))</f>
        <v>0</v>
      </c>
      <c r="L178">
        <f>SUMPRODUCT((MONTH(CHOOSE({1,2,3,4},HN!T178,HN!X178,HN!AB178,HN!AF178))=12)*(CHOOSE({1,2,3,4},HN!W178,HN!AA178,HN!AE178,HN!AI178)))</f>
        <v>0</v>
      </c>
    </row>
    <row r="179" spans="1:12">
      <c r="A179">
        <f>SUMPRODUCT((MONTH(CHOOSE({1,2,3,4},HN!T179,HN!X179,HN!AB179,HN!AF179))=1)*(CHOOSE({1,2,3,4},HN!W179,HN!AA179,HN!AE179,HN!AI179)))</f>
        <v>0</v>
      </c>
      <c r="B179">
        <f>SUMPRODUCT((MONTH(CHOOSE({1,2,3,4},HN!T179,HN!X179,HN!AB179,HN!AF179))=2)*(CHOOSE({1,2,3,4},HN!W179,HN!AA179,HN!AE179,HN!AI179)))</f>
        <v>0</v>
      </c>
      <c r="C179">
        <f>SUMPRODUCT((MONTH(CHOOSE({1,2,3,4},HN!T179,HN!X179,HN!AB179,HN!AF179))=3)*(CHOOSE({1,2,3,4},HN!W179,HN!AA179,HN!AE179,HN!AI179)))</f>
        <v>0</v>
      </c>
      <c r="D179">
        <f>SUMPRODUCT((MONTH(CHOOSE({1,2,3,4},HN!T179,HN!X179,HN!AB179,HN!AF179))=4)*(CHOOSE({1,2,3,4},HN!W179,HN!AA179,HN!AE179,HN!AI179)))</f>
        <v>0</v>
      </c>
      <c r="E179">
        <f>SUMPRODUCT((MONTH(CHOOSE({1,2,3,4},HN!T179,HN!X179,HN!AB179,HN!AF179))=5)*(CHOOSE({1,2,3,4},HN!W179,HN!AA179,HN!AE179,HN!AI179)))</f>
        <v>0</v>
      </c>
      <c r="F179">
        <f>SUMPRODUCT((MONTH(CHOOSE({1,2,3,4},HN!T179,HN!X179,HN!AB179,HN!AF179))=6)*(CHOOSE({1,2,3,4},HN!W179,HN!AA179,HN!AE179,HN!AI179)))</f>
        <v>0</v>
      </c>
      <c r="G179">
        <f>SUMPRODUCT((MONTH(CHOOSE({1,2,3,4},HN!T179,HN!X179,HN!AB179,HN!AF179))=7)*(CHOOSE({1,2,3,4},HN!W179,HN!AA179,HN!AE179,HN!AI179)))</f>
        <v>0</v>
      </c>
      <c r="H179">
        <f>SUMPRODUCT((MONTH(CHOOSE({1,2,3,4},HN!T179,HN!X179,HN!AB179,HN!AF179))=8)*(CHOOSE({1,2,3,4},HN!W179,HN!AA179,HN!AE179,HN!AI179)))</f>
        <v>0</v>
      </c>
      <c r="I179">
        <f>SUMPRODUCT((MONTH(CHOOSE({1,2,3,4},HN!T179,HN!X179,HN!AB179,HN!AF179))=9)*(CHOOSE({1,2,3,4},HN!W179,HN!AA179,HN!AE179,HN!AI179)))</f>
        <v>0</v>
      </c>
      <c r="J179">
        <f>SUMPRODUCT((MONTH(CHOOSE({1,2,3,4},HN!T179,HN!X179,HN!AB179,HN!AF179))=10)*(CHOOSE({1,2,3,4},HN!W179,HN!AA179,HN!AE179,HN!AI179)))</f>
        <v>0</v>
      </c>
      <c r="K179">
        <f>SUMPRODUCT((MONTH(CHOOSE({1,2,3,4},HN!T179,HN!X179,HN!AB179,HN!AF179))=11)*(CHOOSE({1,2,3,4},HN!W179,HN!AA179,HN!AE179,HN!AI179)))</f>
        <v>0</v>
      </c>
      <c r="L179">
        <f>SUMPRODUCT((MONTH(CHOOSE({1,2,3,4},HN!T179,HN!X179,HN!AB179,HN!AF179))=12)*(CHOOSE({1,2,3,4},HN!W179,HN!AA179,HN!AE179,HN!AI179)))</f>
        <v>0</v>
      </c>
    </row>
    <row r="180" spans="1:12">
      <c r="A180">
        <f>SUMPRODUCT((MONTH(CHOOSE({1,2,3,4},HN!T180,HN!X180,HN!AB180,HN!AF180))=1)*(CHOOSE({1,2,3,4},HN!W180,HN!AA180,HN!AE180,HN!AI180)))</f>
        <v>0</v>
      </c>
      <c r="B180">
        <f>SUMPRODUCT((MONTH(CHOOSE({1,2,3,4},HN!T180,HN!X180,HN!AB180,HN!AF180))=2)*(CHOOSE({1,2,3,4},HN!W180,HN!AA180,HN!AE180,HN!AI180)))</f>
        <v>0</v>
      </c>
      <c r="C180">
        <f>SUMPRODUCT((MONTH(CHOOSE({1,2,3,4},HN!T180,HN!X180,HN!AB180,HN!AF180))=3)*(CHOOSE({1,2,3,4},HN!W180,HN!AA180,HN!AE180,HN!AI180)))</f>
        <v>0</v>
      </c>
      <c r="D180">
        <f>SUMPRODUCT((MONTH(CHOOSE({1,2,3,4},HN!T180,HN!X180,HN!AB180,HN!AF180))=4)*(CHOOSE({1,2,3,4},HN!W180,HN!AA180,HN!AE180,HN!AI180)))</f>
        <v>0</v>
      </c>
      <c r="E180">
        <f>SUMPRODUCT((MONTH(CHOOSE({1,2,3,4},HN!T180,HN!X180,HN!AB180,HN!AF180))=5)*(CHOOSE({1,2,3,4},HN!W180,HN!AA180,HN!AE180,HN!AI180)))</f>
        <v>0</v>
      </c>
      <c r="F180">
        <f>SUMPRODUCT((MONTH(CHOOSE({1,2,3,4},HN!T180,HN!X180,HN!AB180,HN!AF180))=6)*(CHOOSE({1,2,3,4},HN!W180,HN!AA180,HN!AE180,HN!AI180)))</f>
        <v>0</v>
      </c>
      <c r="G180">
        <f>SUMPRODUCT((MONTH(CHOOSE({1,2,3,4},HN!T180,HN!X180,HN!AB180,HN!AF180))=7)*(CHOOSE({1,2,3,4},HN!W180,HN!AA180,HN!AE180,HN!AI180)))</f>
        <v>0</v>
      </c>
      <c r="H180">
        <f>SUMPRODUCT((MONTH(CHOOSE({1,2,3,4},HN!T180,HN!X180,HN!AB180,HN!AF180))=8)*(CHOOSE({1,2,3,4},HN!W180,HN!AA180,HN!AE180,HN!AI180)))</f>
        <v>0</v>
      </c>
      <c r="I180">
        <f>SUMPRODUCT((MONTH(CHOOSE({1,2,3,4},HN!T180,HN!X180,HN!AB180,HN!AF180))=9)*(CHOOSE({1,2,3,4},HN!W180,HN!AA180,HN!AE180,HN!AI180)))</f>
        <v>0</v>
      </c>
      <c r="J180">
        <f>SUMPRODUCT((MONTH(CHOOSE({1,2,3,4},HN!T180,HN!X180,HN!AB180,HN!AF180))=10)*(CHOOSE({1,2,3,4},HN!W180,HN!AA180,HN!AE180,HN!AI180)))</f>
        <v>0</v>
      </c>
      <c r="K180">
        <f>SUMPRODUCT((MONTH(CHOOSE({1,2,3,4},HN!T180,HN!X180,HN!AB180,HN!AF180))=11)*(CHOOSE({1,2,3,4},HN!W180,HN!AA180,HN!AE180,HN!AI180)))</f>
        <v>0</v>
      </c>
      <c r="L180">
        <f>SUMPRODUCT((MONTH(CHOOSE({1,2,3,4},HN!T180,HN!X180,HN!AB180,HN!AF180))=12)*(CHOOSE({1,2,3,4},HN!W180,HN!AA180,HN!AE180,HN!AI180)))</f>
        <v>0</v>
      </c>
    </row>
    <row r="181" spans="1:12">
      <c r="A181">
        <f>SUMPRODUCT((MONTH(CHOOSE({1,2,3,4},HN!T181,HN!X181,HN!AB181,HN!AF181))=1)*(CHOOSE({1,2,3,4},HN!W181,HN!AA181,HN!AE181,HN!AI181)))</f>
        <v>0</v>
      </c>
      <c r="B181">
        <f>SUMPRODUCT((MONTH(CHOOSE({1,2,3,4},HN!T181,HN!X181,HN!AB181,HN!AF181))=2)*(CHOOSE({1,2,3,4},HN!W181,HN!AA181,HN!AE181,HN!AI181)))</f>
        <v>0</v>
      </c>
      <c r="C181">
        <f>SUMPRODUCT((MONTH(CHOOSE({1,2,3,4},HN!T181,HN!X181,HN!AB181,HN!AF181))=3)*(CHOOSE({1,2,3,4},HN!W181,HN!AA181,HN!AE181,HN!AI181)))</f>
        <v>0</v>
      </c>
      <c r="D181">
        <f>SUMPRODUCT((MONTH(CHOOSE({1,2,3,4},HN!T181,HN!X181,HN!AB181,HN!AF181))=4)*(CHOOSE({1,2,3,4},HN!W181,HN!AA181,HN!AE181,HN!AI181)))</f>
        <v>0</v>
      </c>
      <c r="E181">
        <f>SUMPRODUCT((MONTH(CHOOSE({1,2,3,4},HN!T181,HN!X181,HN!AB181,HN!AF181))=5)*(CHOOSE({1,2,3,4},HN!W181,HN!AA181,HN!AE181,HN!AI181)))</f>
        <v>0</v>
      </c>
      <c r="F181">
        <f>SUMPRODUCT((MONTH(CHOOSE({1,2,3,4},HN!T181,HN!X181,HN!AB181,HN!AF181))=6)*(CHOOSE({1,2,3,4},HN!W181,HN!AA181,HN!AE181,HN!AI181)))</f>
        <v>0</v>
      </c>
      <c r="G181">
        <f>SUMPRODUCT((MONTH(CHOOSE({1,2,3,4},HN!T181,HN!X181,HN!AB181,HN!AF181))=7)*(CHOOSE({1,2,3,4},HN!W181,HN!AA181,HN!AE181,HN!AI181)))</f>
        <v>0</v>
      </c>
      <c r="H181">
        <f>SUMPRODUCT((MONTH(CHOOSE({1,2,3,4},HN!T181,HN!X181,HN!AB181,HN!AF181))=8)*(CHOOSE({1,2,3,4},HN!W181,HN!AA181,HN!AE181,HN!AI181)))</f>
        <v>0</v>
      </c>
      <c r="I181">
        <f>SUMPRODUCT((MONTH(CHOOSE({1,2,3,4},HN!T181,HN!X181,HN!AB181,HN!AF181))=9)*(CHOOSE({1,2,3,4},HN!W181,HN!AA181,HN!AE181,HN!AI181)))</f>
        <v>0</v>
      </c>
      <c r="J181">
        <f>SUMPRODUCT((MONTH(CHOOSE({1,2,3,4},HN!T181,HN!X181,HN!AB181,HN!AF181))=10)*(CHOOSE({1,2,3,4},HN!W181,HN!AA181,HN!AE181,HN!AI181)))</f>
        <v>0</v>
      </c>
      <c r="K181">
        <f>SUMPRODUCT((MONTH(CHOOSE({1,2,3,4},HN!T181,HN!X181,HN!AB181,HN!AF181))=11)*(CHOOSE({1,2,3,4},HN!W181,HN!AA181,HN!AE181,HN!AI181)))</f>
        <v>0</v>
      </c>
      <c r="L181">
        <f>SUMPRODUCT((MONTH(CHOOSE({1,2,3,4},HN!T181,HN!X181,HN!AB181,HN!AF181))=12)*(CHOOSE({1,2,3,4},HN!W181,HN!AA181,HN!AE181,HN!AI181)))</f>
        <v>0</v>
      </c>
    </row>
    <row r="182" spans="1:12">
      <c r="A182">
        <f>SUMPRODUCT((MONTH(CHOOSE({1,2,3,4},HN!T182,HN!X182,HN!AB182,HN!AF182))=1)*(CHOOSE({1,2,3,4},HN!W182,HN!AA182,HN!AE182,HN!AI182)))</f>
        <v>0</v>
      </c>
      <c r="B182">
        <f>SUMPRODUCT((MONTH(CHOOSE({1,2,3,4},HN!T182,HN!X182,HN!AB182,HN!AF182))=2)*(CHOOSE({1,2,3,4},HN!W182,HN!AA182,HN!AE182,HN!AI182)))</f>
        <v>0</v>
      </c>
      <c r="C182">
        <f>SUMPRODUCT((MONTH(CHOOSE({1,2,3,4},HN!T182,HN!X182,HN!AB182,HN!AF182))=3)*(CHOOSE({1,2,3,4},HN!W182,HN!AA182,HN!AE182,HN!AI182)))</f>
        <v>0</v>
      </c>
      <c r="D182">
        <f>SUMPRODUCT((MONTH(CHOOSE({1,2,3,4},HN!T182,HN!X182,HN!AB182,HN!AF182))=4)*(CHOOSE({1,2,3,4},HN!W182,HN!AA182,HN!AE182,HN!AI182)))</f>
        <v>0</v>
      </c>
      <c r="E182">
        <f>SUMPRODUCT((MONTH(CHOOSE({1,2,3,4},HN!T182,HN!X182,HN!AB182,HN!AF182))=5)*(CHOOSE({1,2,3,4},HN!W182,HN!AA182,HN!AE182,HN!AI182)))</f>
        <v>0</v>
      </c>
      <c r="F182">
        <f>SUMPRODUCT((MONTH(CHOOSE({1,2,3,4},HN!T182,HN!X182,HN!AB182,HN!AF182))=6)*(CHOOSE({1,2,3,4},HN!W182,HN!AA182,HN!AE182,HN!AI182)))</f>
        <v>0</v>
      </c>
      <c r="G182">
        <f>SUMPRODUCT((MONTH(CHOOSE({1,2,3,4},HN!T182,HN!X182,HN!AB182,HN!AF182))=7)*(CHOOSE({1,2,3,4},HN!W182,HN!AA182,HN!AE182,HN!AI182)))</f>
        <v>0</v>
      </c>
      <c r="H182">
        <f>SUMPRODUCT((MONTH(CHOOSE({1,2,3,4},HN!T182,HN!X182,HN!AB182,HN!AF182))=8)*(CHOOSE({1,2,3,4},HN!W182,HN!AA182,HN!AE182,HN!AI182)))</f>
        <v>0</v>
      </c>
      <c r="I182">
        <f>SUMPRODUCT((MONTH(CHOOSE({1,2,3,4},HN!T182,HN!X182,HN!AB182,HN!AF182))=9)*(CHOOSE({1,2,3,4},HN!W182,HN!AA182,HN!AE182,HN!AI182)))</f>
        <v>0</v>
      </c>
      <c r="J182">
        <f>SUMPRODUCT((MONTH(CHOOSE({1,2,3,4},HN!T182,HN!X182,HN!AB182,HN!AF182))=10)*(CHOOSE({1,2,3,4},HN!W182,HN!AA182,HN!AE182,HN!AI182)))</f>
        <v>0</v>
      </c>
      <c r="K182">
        <f>SUMPRODUCT((MONTH(CHOOSE({1,2,3,4},HN!T182,HN!X182,HN!AB182,HN!AF182))=11)*(CHOOSE({1,2,3,4},HN!W182,HN!AA182,HN!AE182,HN!AI182)))</f>
        <v>0</v>
      </c>
      <c r="L182">
        <f>SUMPRODUCT((MONTH(CHOOSE({1,2,3,4},HN!T182,HN!X182,HN!AB182,HN!AF182))=12)*(CHOOSE({1,2,3,4},HN!W182,HN!AA182,HN!AE182,HN!AI182)))</f>
        <v>0</v>
      </c>
    </row>
    <row r="183" spans="1:12">
      <c r="A183">
        <f>SUMPRODUCT((MONTH(CHOOSE({1,2,3,4},HN!T183,HN!X183,HN!AB183,HN!AF183))=1)*(CHOOSE({1,2,3,4},HN!W183,HN!AA183,HN!AE183,HN!AI183)))</f>
        <v>0</v>
      </c>
      <c r="B183">
        <f>SUMPRODUCT((MONTH(CHOOSE({1,2,3,4},HN!T183,HN!X183,HN!AB183,HN!AF183))=2)*(CHOOSE({1,2,3,4},HN!W183,HN!AA183,HN!AE183,HN!AI183)))</f>
        <v>0</v>
      </c>
      <c r="C183">
        <f>SUMPRODUCT((MONTH(CHOOSE({1,2,3,4},HN!T183,HN!X183,HN!AB183,HN!AF183))=3)*(CHOOSE({1,2,3,4},HN!W183,HN!AA183,HN!AE183,HN!AI183)))</f>
        <v>0</v>
      </c>
      <c r="D183">
        <f>SUMPRODUCT((MONTH(CHOOSE({1,2,3,4},HN!T183,HN!X183,HN!AB183,HN!AF183))=4)*(CHOOSE({1,2,3,4},HN!W183,HN!AA183,HN!AE183,HN!AI183)))</f>
        <v>0</v>
      </c>
      <c r="E183">
        <f>SUMPRODUCT((MONTH(CHOOSE({1,2,3,4},HN!T183,HN!X183,HN!AB183,HN!AF183))=5)*(CHOOSE({1,2,3,4},HN!W183,HN!AA183,HN!AE183,HN!AI183)))</f>
        <v>0</v>
      </c>
      <c r="F183">
        <f>SUMPRODUCT((MONTH(CHOOSE({1,2,3,4},HN!T183,HN!X183,HN!AB183,HN!AF183))=6)*(CHOOSE({1,2,3,4},HN!W183,HN!AA183,HN!AE183,HN!AI183)))</f>
        <v>0</v>
      </c>
      <c r="G183">
        <f>SUMPRODUCT((MONTH(CHOOSE({1,2,3,4},HN!T183,HN!X183,HN!AB183,HN!AF183))=7)*(CHOOSE({1,2,3,4},HN!W183,HN!AA183,HN!AE183,HN!AI183)))</f>
        <v>0</v>
      </c>
      <c r="H183">
        <f>SUMPRODUCT((MONTH(CHOOSE({1,2,3,4},HN!T183,HN!X183,HN!AB183,HN!AF183))=8)*(CHOOSE({1,2,3,4},HN!W183,HN!AA183,HN!AE183,HN!AI183)))</f>
        <v>0</v>
      </c>
      <c r="I183">
        <f>SUMPRODUCT((MONTH(CHOOSE({1,2,3,4},HN!T183,HN!X183,HN!AB183,HN!AF183))=9)*(CHOOSE({1,2,3,4},HN!W183,HN!AA183,HN!AE183,HN!AI183)))</f>
        <v>0</v>
      </c>
      <c r="J183">
        <f>SUMPRODUCT((MONTH(CHOOSE({1,2,3,4},HN!T183,HN!X183,HN!AB183,HN!AF183))=10)*(CHOOSE({1,2,3,4},HN!W183,HN!AA183,HN!AE183,HN!AI183)))</f>
        <v>0</v>
      </c>
      <c r="K183">
        <f>SUMPRODUCT((MONTH(CHOOSE({1,2,3,4},HN!T183,HN!X183,HN!AB183,HN!AF183))=11)*(CHOOSE({1,2,3,4},HN!W183,HN!AA183,HN!AE183,HN!AI183)))</f>
        <v>0</v>
      </c>
      <c r="L183">
        <f>SUMPRODUCT((MONTH(CHOOSE({1,2,3,4},HN!T183,HN!X183,HN!AB183,HN!AF183))=12)*(CHOOSE({1,2,3,4},HN!W183,HN!AA183,HN!AE183,HN!AI183)))</f>
        <v>0</v>
      </c>
    </row>
    <row r="184" spans="1:12">
      <c r="A184">
        <f>SUMPRODUCT((MONTH(CHOOSE({1,2,3,4},HN!T184,HN!X184,HN!AB184,HN!AF184))=1)*(CHOOSE({1,2,3,4},HN!W184,HN!AA184,HN!AE184,HN!AI184)))</f>
        <v>0</v>
      </c>
      <c r="B184">
        <f>SUMPRODUCT((MONTH(CHOOSE({1,2,3,4},HN!T184,HN!X184,HN!AB184,HN!AF184))=2)*(CHOOSE({1,2,3,4},HN!W184,HN!AA184,HN!AE184,HN!AI184)))</f>
        <v>0</v>
      </c>
      <c r="C184">
        <f>SUMPRODUCT((MONTH(CHOOSE({1,2,3,4},HN!T184,HN!X184,HN!AB184,HN!AF184))=3)*(CHOOSE({1,2,3,4},HN!W184,HN!AA184,HN!AE184,HN!AI184)))</f>
        <v>0</v>
      </c>
      <c r="D184">
        <f>SUMPRODUCT((MONTH(CHOOSE({1,2,3,4},HN!T184,HN!X184,HN!AB184,HN!AF184))=4)*(CHOOSE({1,2,3,4},HN!W184,HN!AA184,HN!AE184,HN!AI184)))</f>
        <v>0</v>
      </c>
      <c r="E184">
        <f>SUMPRODUCT((MONTH(CHOOSE({1,2,3,4},HN!T184,HN!X184,HN!AB184,HN!AF184))=5)*(CHOOSE({1,2,3,4},HN!W184,HN!AA184,HN!AE184,HN!AI184)))</f>
        <v>0</v>
      </c>
      <c r="F184">
        <f>SUMPRODUCT((MONTH(CHOOSE({1,2,3,4},HN!T184,HN!X184,HN!AB184,HN!AF184))=6)*(CHOOSE({1,2,3,4},HN!W184,HN!AA184,HN!AE184,HN!AI184)))</f>
        <v>0</v>
      </c>
      <c r="G184">
        <f>SUMPRODUCT((MONTH(CHOOSE({1,2,3,4},HN!T184,HN!X184,HN!AB184,HN!AF184))=7)*(CHOOSE({1,2,3,4},HN!W184,HN!AA184,HN!AE184,HN!AI184)))</f>
        <v>0</v>
      </c>
      <c r="H184">
        <f>SUMPRODUCT((MONTH(CHOOSE({1,2,3,4},HN!T184,HN!X184,HN!AB184,HN!AF184))=8)*(CHOOSE({1,2,3,4},HN!W184,HN!AA184,HN!AE184,HN!AI184)))</f>
        <v>0</v>
      </c>
      <c r="I184">
        <f>SUMPRODUCT((MONTH(CHOOSE({1,2,3,4},HN!T184,HN!X184,HN!AB184,HN!AF184))=9)*(CHOOSE({1,2,3,4},HN!W184,HN!AA184,HN!AE184,HN!AI184)))</f>
        <v>0</v>
      </c>
      <c r="J184">
        <f>SUMPRODUCT((MONTH(CHOOSE({1,2,3,4},HN!T184,HN!X184,HN!AB184,HN!AF184))=10)*(CHOOSE({1,2,3,4},HN!W184,HN!AA184,HN!AE184,HN!AI184)))</f>
        <v>0</v>
      </c>
      <c r="K184">
        <f>SUMPRODUCT((MONTH(CHOOSE({1,2,3,4},HN!T184,HN!X184,HN!AB184,HN!AF184))=11)*(CHOOSE({1,2,3,4},HN!W184,HN!AA184,HN!AE184,HN!AI184)))</f>
        <v>0</v>
      </c>
      <c r="L184">
        <f>SUMPRODUCT((MONTH(CHOOSE({1,2,3,4},HN!T184,HN!X184,HN!AB184,HN!AF184))=12)*(CHOOSE({1,2,3,4},HN!W184,HN!AA184,HN!AE184,HN!AI184)))</f>
        <v>0</v>
      </c>
    </row>
    <row r="185" spans="1:12">
      <c r="A185">
        <f>SUMPRODUCT((MONTH(CHOOSE({1,2,3,4},HN!T185,HN!X185,HN!AB185,HN!AF185))=1)*(CHOOSE({1,2,3,4},HN!W185,HN!AA185,HN!AE185,HN!AI185)))</f>
        <v>0</v>
      </c>
      <c r="B185">
        <f>SUMPRODUCT((MONTH(CHOOSE({1,2,3,4},HN!T185,HN!X185,HN!AB185,HN!AF185))=2)*(CHOOSE({1,2,3,4},HN!W185,HN!AA185,HN!AE185,HN!AI185)))</f>
        <v>0</v>
      </c>
      <c r="C185">
        <f>SUMPRODUCT((MONTH(CHOOSE({1,2,3,4},HN!T185,HN!X185,HN!AB185,HN!AF185))=3)*(CHOOSE({1,2,3,4},HN!W185,HN!AA185,HN!AE185,HN!AI185)))</f>
        <v>0</v>
      </c>
      <c r="D185">
        <f>SUMPRODUCT((MONTH(CHOOSE({1,2,3,4},HN!T185,HN!X185,HN!AB185,HN!AF185))=4)*(CHOOSE({1,2,3,4},HN!W185,HN!AA185,HN!AE185,HN!AI185)))</f>
        <v>0</v>
      </c>
      <c r="E185">
        <f>SUMPRODUCT((MONTH(CHOOSE({1,2,3,4},HN!T185,HN!X185,HN!AB185,HN!AF185))=5)*(CHOOSE({1,2,3,4},HN!W185,HN!AA185,HN!AE185,HN!AI185)))</f>
        <v>0</v>
      </c>
      <c r="F185">
        <f>SUMPRODUCT((MONTH(CHOOSE({1,2,3,4},HN!T185,HN!X185,HN!AB185,HN!AF185))=6)*(CHOOSE({1,2,3,4},HN!W185,HN!AA185,HN!AE185,HN!AI185)))</f>
        <v>0</v>
      </c>
      <c r="G185">
        <f>SUMPRODUCT((MONTH(CHOOSE({1,2,3,4},HN!T185,HN!X185,HN!AB185,HN!AF185))=7)*(CHOOSE({1,2,3,4},HN!W185,HN!AA185,HN!AE185,HN!AI185)))</f>
        <v>0</v>
      </c>
      <c r="H185">
        <f>SUMPRODUCT((MONTH(CHOOSE({1,2,3,4},HN!T185,HN!X185,HN!AB185,HN!AF185))=8)*(CHOOSE({1,2,3,4},HN!W185,HN!AA185,HN!AE185,HN!AI185)))</f>
        <v>0</v>
      </c>
      <c r="I185">
        <f>SUMPRODUCT((MONTH(CHOOSE({1,2,3,4},HN!T185,HN!X185,HN!AB185,HN!AF185))=9)*(CHOOSE({1,2,3,4},HN!W185,HN!AA185,HN!AE185,HN!AI185)))</f>
        <v>0</v>
      </c>
      <c r="J185">
        <f>SUMPRODUCT((MONTH(CHOOSE({1,2,3,4},HN!T185,HN!X185,HN!AB185,HN!AF185))=10)*(CHOOSE({1,2,3,4},HN!W185,HN!AA185,HN!AE185,HN!AI185)))</f>
        <v>0</v>
      </c>
      <c r="K185">
        <f>SUMPRODUCT((MONTH(CHOOSE({1,2,3,4},HN!T185,HN!X185,HN!AB185,HN!AF185))=11)*(CHOOSE({1,2,3,4},HN!W185,HN!AA185,HN!AE185,HN!AI185)))</f>
        <v>0</v>
      </c>
      <c r="L185">
        <f>SUMPRODUCT((MONTH(CHOOSE({1,2,3,4},HN!T185,HN!X185,HN!AB185,HN!AF185))=12)*(CHOOSE({1,2,3,4},HN!W185,HN!AA185,HN!AE185,HN!AI185)))</f>
        <v>0</v>
      </c>
    </row>
    <row r="186" spans="1:12">
      <c r="A186">
        <f>SUMPRODUCT((MONTH(CHOOSE({1,2,3,4},HN!T186,HN!X186,HN!AB186,HN!AF186))=1)*(CHOOSE({1,2,3,4},HN!W186,HN!AA186,HN!AE186,HN!AI186)))</f>
        <v>0</v>
      </c>
      <c r="B186">
        <f>SUMPRODUCT((MONTH(CHOOSE({1,2,3,4},HN!T186,HN!X186,HN!AB186,HN!AF186))=2)*(CHOOSE({1,2,3,4},HN!W186,HN!AA186,HN!AE186,HN!AI186)))</f>
        <v>0</v>
      </c>
      <c r="C186">
        <f>SUMPRODUCT((MONTH(CHOOSE({1,2,3,4},HN!T186,HN!X186,HN!AB186,HN!AF186))=3)*(CHOOSE({1,2,3,4},HN!W186,HN!AA186,HN!AE186,HN!AI186)))</f>
        <v>0</v>
      </c>
      <c r="D186">
        <f>SUMPRODUCT((MONTH(CHOOSE({1,2,3,4},HN!T186,HN!X186,HN!AB186,HN!AF186))=4)*(CHOOSE({1,2,3,4},HN!W186,HN!AA186,HN!AE186,HN!AI186)))</f>
        <v>0</v>
      </c>
      <c r="E186">
        <f>SUMPRODUCT((MONTH(CHOOSE({1,2,3,4},HN!T186,HN!X186,HN!AB186,HN!AF186))=5)*(CHOOSE({1,2,3,4},HN!W186,HN!AA186,HN!AE186,HN!AI186)))</f>
        <v>0</v>
      </c>
      <c r="F186">
        <f>SUMPRODUCT((MONTH(CHOOSE({1,2,3,4},HN!T186,HN!X186,HN!AB186,HN!AF186))=6)*(CHOOSE({1,2,3,4},HN!W186,HN!AA186,HN!AE186,HN!AI186)))</f>
        <v>0</v>
      </c>
      <c r="G186">
        <f>SUMPRODUCT((MONTH(CHOOSE({1,2,3,4},HN!T186,HN!X186,HN!AB186,HN!AF186))=7)*(CHOOSE({1,2,3,4},HN!W186,HN!AA186,HN!AE186,HN!AI186)))</f>
        <v>0</v>
      </c>
      <c r="H186">
        <f>SUMPRODUCT((MONTH(CHOOSE({1,2,3,4},HN!T186,HN!X186,HN!AB186,HN!AF186))=8)*(CHOOSE({1,2,3,4},HN!W186,HN!AA186,HN!AE186,HN!AI186)))</f>
        <v>0</v>
      </c>
      <c r="I186">
        <f>SUMPRODUCT((MONTH(CHOOSE({1,2,3,4},HN!T186,HN!X186,HN!AB186,HN!AF186))=9)*(CHOOSE({1,2,3,4},HN!W186,HN!AA186,HN!AE186,HN!AI186)))</f>
        <v>0</v>
      </c>
      <c r="J186">
        <f>SUMPRODUCT((MONTH(CHOOSE({1,2,3,4},HN!T186,HN!X186,HN!AB186,HN!AF186))=10)*(CHOOSE({1,2,3,4},HN!W186,HN!AA186,HN!AE186,HN!AI186)))</f>
        <v>0</v>
      </c>
      <c r="K186">
        <f>SUMPRODUCT((MONTH(CHOOSE({1,2,3,4},HN!T186,HN!X186,HN!AB186,HN!AF186))=11)*(CHOOSE({1,2,3,4},HN!W186,HN!AA186,HN!AE186,HN!AI186)))</f>
        <v>0</v>
      </c>
      <c r="L186">
        <f>SUMPRODUCT((MONTH(CHOOSE({1,2,3,4},HN!T186,HN!X186,HN!AB186,HN!AF186))=12)*(CHOOSE({1,2,3,4},HN!W186,HN!AA186,HN!AE186,HN!AI186)))</f>
        <v>0</v>
      </c>
    </row>
    <row r="187" spans="1:12">
      <c r="A187">
        <f>SUMPRODUCT((MONTH(CHOOSE({1,2,3,4},HN!T187,HN!X187,HN!AB187,HN!AF187))=1)*(CHOOSE({1,2,3,4},HN!W187,HN!AA187,HN!AE187,HN!AI187)))</f>
        <v>0</v>
      </c>
      <c r="B187">
        <f>SUMPRODUCT((MONTH(CHOOSE({1,2,3,4},HN!T187,HN!X187,HN!AB187,HN!AF187))=2)*(CHOOSE({1,2,3,4},HN!W187,HN!AA187,HN!AE187,HN!AI187)))</f>
        <v>0</v>
      </c>
      <c r="C187">
        <f>SUMPRODUCT((MONTH(CHOOSE({1,2,3,4},HN!T187,HN!X187,HN!AB187,HN!AF187))=3)*(CHOOSE({1,2,3,4},HN!W187,HN!AA187,HN!AE187,HN!AI187)))</f>
        <v>0</v>
      </c>
      <c r="D187">
        <f>SUMPRODUCT((MONTH(CHOOSE({1,2,3,4},HN!T187,HN!X187,HN!AB187,HN!AF187))=4)*(CHOOSE({1,2,3,4},HN!W187,HN!AA187,HN!AE187,HN!AI187)))</f>
        <v>0</v>
      </c>
      <c r="E187">
        <f>SUMPRODUCT((MONTH(CHOOSE({1,2,3,4},HN!T187,HN!X187,HN!AB187,HN!AF187))=5)*(CHOOSE({1,2,3,4},HN!W187,HN!AA187,HN!AE187,HN!AI187)))</f>
        <v>0</v>
      </c>
      <c r="F187">
        <f>SUMPRODUCT((MONTH(CHOOSE({1,2,3,4},HN!T187,HN!X187,HN!AB187,HN!AF187))=6)*(CHOOSE({1,2,3,4},HN!W187,HN!AA187,HN!AE187,HN!AI187)))</f>
        <v>0</v>
      </c>
      <c r="G187">
        <f>SUMPRODUCT((MONTH(CHOOSE({1,2,3,4},HN!T187,HN!X187,HN!AB187,HN!AF187))=7)*(CHOOSE({1,2,3,4},HN!W187,HN!AA187,HN!AE187,HN!AI187)))</f>
        <v>0</v>
      </c>
      <c r="H187">
        <f>SUMPRODUCT((MONTH(CHOOSE({1,2,3,4},HN!T187,HN!X187,HN!AB187,HN!AF187))=8)*(CHOOSE({1,2,3,4},HN!W187,HN!AA187,HN!AE187,HN!AI187)))</f>
        <v>0</v>
      </c>
      <c r="I187">
        <f>SUMPRODUCT((MONTH(CHOOSE({1,2,3,4},HN!T187,HN!X187,HN!AB187,HN!AF187))=9)*(CHOOSE({1,2,3,4},HN!W187,HN!AA187,HN!AE187,HN!AI187)))</f>
        <v>0</v>
      </c>
      <c r="J187">
        <f>SUMPRODUCT((MONTH(CHOOSE({1,2,3,4},HN!T187,HN!X187,HN!AB187,HN!AF187))=10)*(CHOOSE({1,2,3,4},HN!W187,HN!AA187,HN!AE187,HN!AI187)))</f>
        <v>0</v>
      </c>
      <c r="K187">
        <f>SUMPRODUCT((MONTH(CHOOSE({1,2,3,4},HN!T187,HN!X187,HN!AB187,HN!AF187))=11)*(CHOOSE({1,2,3,4},HN!W187,HN!AA187,HN!AE187,HN!AI187)))</f>
        <v>0</v>
      </c>
      <c r="L187">
        <f>SUMPRODUCT((MONTH(CHOOSE({1,2,3,4},HN!T187,HN!X187,HN!AB187,HN!AF187))=12)*(CHOOSE({1,2,3,4},HN!W187,HN!AA187,HN!AE187,HN!AI187)))</f>
        <v>0</v>
      </c>
    </row>
    <row r="188" spans="1:12">
      <c r="A188">
        <f>SUMPRODUCT((MONTH(CHOOSE({1,2,3,4},HN!T188,HN!X188,HN!AB188,HN!AF188))=1)*(CHOOSE({1,2,3,4},HN!W188,HN!AA188,HN!AE188,HN!AI188)))</f>
        <v>0</v>
      </c>
      <c r="B188">
        <f>SUMPRODUCT((MONTH(CHOOSE({1,2,3,4},HN!T188,HN!X188,HN!AB188,HN!AF188))=2)*(CHOOSE({1,2,3,4},HN!W188,HN!AA188,HN!AE188,HN!AI188)))</f>
        <v>0</v>
      </c>
      <c r="C188">
        <f>SUMPRODUCT((MONTH(CHOOSE({1,2,3,4},HN!T188,HN!X188,HN!AB188,HN!AF188))=3)*(CHOOSE({1,2,3,4},HN!W188,HN!AA188,HN!AE188,HN!AI188)))</f>
        <v>0</v>
      </c>
      <c r="D188">
        <f>SUMPRODUCT((MONTH(CHOOSE({1,2,3,4},HN!T188,HN!X188,HN!AB188,HN!AF188))=4)*(CHOOSE({1,2,3,4},HN!W188,HN!AA188,HN!AE188,HN!AI188)))</f>
        <v>0</v>
      </c>
      <c r="E188">
        <f>SUMPRODUCT((MONTH(CHOOSE({1,2,3,4},HN!T188,HN!X188,HN!AB188,HN!AF188))=5)*(CHOOSE({1,2,3,4},HN!W188,HN!AA188,HN!AE188,HN!AI188)))</f>
        <v>0</v>
      </c>
      <c r="F188">
        <f>SUMPRODUCT((MONTH(CHOOSE({1,2,3,4},HN!T188,HN!X188,HN!AB188,HN!AF188))=6)*(CHOOSE({1,2,3,4},HN!W188,HN!AA188,HN!AE188,HN!AI188)))</f>
        <v>0</v>
      </c>
      <c r="G188">
        <f>SUMPRODUCT((MONTH(CHOOSE({1,2,3,4},HN!T188,HN!X188,HN!AB188,HN!AF188))=7)*(CHOOSE({1,2,3,4},HN!W188,HN!AA188,HN!AE188,HN!AI188)))</f>
        <v>0</v>
      </c>
      <c r="H188">
        <f>SUMPRODUCT((MONTH(CHOOSE({1,2,3,4},HN!T188,HN!X188,HN!AB188,HN!AF188))=8)*(CHOOSE({1,2,3,4},HN!W188,HN!AA188,HN!AE188,HN!AI188)))</f>
        <v>0</v>
      </c>
      <c r="I188">
        <f>SUMPRODUCT((MONTH(CHOOSE({1,2,3,4},HN!T188,HN!X188,HN!AB188,HN!AF188))=9)*(CHOOSE({1,2,3,4},HN!W188,HN!AA188,HN!AE188,HN!AI188)))</f>
        <v>0</v>
      </c>
      <c r="J188">
        <f>SUMPRODUCT((MONTH(CHOOSE({1,2,3,4},HN!T188,HN!X188,HN!AB188,HN!AF188))=10)*(CHOOSE({1,2,3,4},HN!W188,HN!AA188,HN!AE188,HN!AI188)))</f>
        <v>0</v>
      </c>
      <c r="K188">
        <f>SUMPRODUCT((MONTH(CHOOSE({1,2,3,4},HN!T188,HN!X188,HN!AB188,HN!AF188))=11)*(CHOOSE({1,2,3,4},HN!W188,HN!AA188,HN!AE188,HN!AI188)))</f>
        <v>0</v>
      </c>
      <c r="L188">
        <f>SUMPRODUCT((MONTH(CHOOSE({1,2,3,4},HN!T188,HN!X188,HN!AB188,HN!AF188))=12)*(CHOOSE({1,2,3,4},HN!W188,HN!AA188,HN!AE188,HN!AI188)))</f>
        <v>0</v>
      </c>
    </row>
    <row r="189" spans="1:12">
      <c r="A189">
        <f>SUMPRODUCT((MONTH(CHOOSE({1,2,3,4},HN!T189,HN!X189,HN!AB189,HN!AF189))=1)*(CHOOSE({1,2,3,4},HN!W189,HN!AA189,HN!AE189,HN!AI189)))</f>
        <v>0</v>
      </c>
      <c r="B189">
        <f>SUMPRODUCT((MONTH(CHOOSE({1,2,3,4},HN!T189,HN!X189,HN!AB189,HN!AF189))=2)*(CHOOSE({1,2,3,4},HN!W189,HN!AA189,HN!AE189,HN!AI189)))</f>
        <v>0</v>
      </c>
      <c r="C189">
        <f>SUMPRODUCT((MONTH(CHOOSE({1,2,3,4},HN!T189,HN!X189,HN!AB189,HN!AF189))=3)*(CHOOSE({1,2,3,4},HN!W189,HN!AA189,HN!AE189,HN!AI189)))</f>
        <v>0</v>
      </c>
      <c r="D189">
        <f>SUMPRODUCT((MONTH(CHOOSE({1,2,3,4},HN!T189,HN!X189,HN!AB189,HN!AF189))=4)*(CHOOSE({1,2,3,4},HN!W189,HN!AA189,HN!AE189,HN!AI189)))</f>
        <v>0</v>
      </c>
      <c r="E189">
        <f>SUMPRODUCT((MONTH(CHOOSE({1,2,3,4},HN!T189,HN!X189,HN!AB189,HN!AF189))=5)*(CHOOSE({1,2,3,4},HN!W189,HN!AA189,HN!AE189,HN!AI189)))</f>
        <v>0</v>
      </c>
      <c r="F189">
        <f>SUMPRODUCT((MONTH(CHOOSE({1,2,3,4},HN!T189,HN!X189,HN!AB189,HN!AF189))=6)*(CHOOSE({1,2,3,4},HN!W189,HN!AA189,HN!AE189,HN!AI189)))</f>
        <v>0</v>
      </c>
      <c r="G189">
        <f>SUMPRODUCT((MONTH(CHOOSE({1,2,3,4},HN!T189,HN!X189,HN!AB189,HN!AF189))=7)*(CHOOSE({1,2,3,4},HN!W189,HN!AA189,HN!AE189,HN!AI189)))</f>
        <v>0</v>
      </c>
      <c r="H189">
        <f>SUMPRODUCT((MONTH(CHOOSE({1,2,3,4},HN!T189,HN!X189,HN!AB189,HN!AF189))=8)*(CHOOSE({1,2,3,4},HN!W189,HN!AA189,HN!AE189,HN!AI189)))</f>
        <v>0</v>
      </c>
      <c r="I189">
        <f>SUMPRODUCT((MONTH(CHOOSE({1,2,3,4},HN!T189,HN!X189,HN!AB189,HN!AF189))=9)*(CHOOSE({1,2,3,4},HN!W189,HN!AA189,HN!AE189,HN!AI189)))</f>
        <v>0</v>
      </c>
      <c r="J189">
        <f>SUMPRODUCT((MONTH(CHOOSE({1,2,3,4},HN!T189,HN!X189,HN!AB189,HN!AF189))=10)*(CHOOSE({1,2,3,4},HN!W189,HN!AA189,HN!AE189,HN!AI189)))</f>
        <v>0</v>
      </c>
      <c r="K189">
        <f>SUMPRODUCT((MONTH(CHOOSE({1,2,3,4},HN!T189,HN!X189,HN!AB189,HN!AF189))=11)*(CHOOSE({1,2,3,4},HN!W189,HN!AA189,HN!AE189,HN!AI189)))</f>
        <v>0</v>
      </c>
      <c r="L189">
        <f>SUMPRODUCT((MONTH(CHOOSE({1,2,3,4},HN!T189,HN!X189,HN!AB189,HN!AF189))=12)*(CHOOSE({1,2,3,4},HN!W189,HN!AA189,HN!AE189,HN!AI189)))</f>
        <v>0</v>
      </c>
    </row>
    <row r="190" spans="1:12">
      <c r="A190">
        <f>SUMPRODUCT((MONTH(CHOOSE({1,2,3,4},HN!T190,HN!X190,HN!AB190,HN!AF190))=1)*(CHOOSE({1,2,3,4},HN!W190,HN!AA190,HN!AE190,HN!AI190)))</f>
        <v>0</v>
      </c>
      <c r="B190">
        <f>SUMPRODUCT((MONTH(CHOOSE({1,2,3,4},HN!T190,HN!X190,HN!AB190,HN!AF190))=2)*(CHOOSE({1,2,3,4},HN!W190,HN!AA190,HN!AE190,HN!AI190)))</f>
        <v>0</v>
      </c>
      <c r="C190">
        <f>SUMPRODUCT((MONTH(CHOOSE({1,2,3,4},HN!T190,HN!X190,HN!AB190,HN!AF190))=3)*(CHOOSE({1,2,3,4},HN!W190,HN!AA190,HN!AE190,HN!AI190)))</f>
        <v>0</v>
      </c>
      <c r="D190">
        <f>SUMPRODUCT((MONTH(CHOOSE({1,2,3,4},HN!T190,HN!X190,HN!AB190,HN!AF190))=4)*(CHOOSE({1,2,3,4},HN!W190,HN!AA190,HN!AE190,HN!AI190)))</f>
        <v>0</v>
      </c>
      <c r="E190">
        <f>SUMPRODUCT((MONTH(CHOOSE({1,2,3,4},HN!T190,HN!X190,HN!AB190,HN!AF190))=5)*(CHOOSE({1,2,3,4},HN!W190,HN!AA190,HN!AE190,HN!AI190)))</f>
        <v>0</v>
      </c>
      <c r="F190">
        <f>SUMPRODUCT((MONTH(CHOOSE({1,2,3,4},HN!T190,HN!X190,HN!AB190,HN!AF190))=6)*(CHOOSE({1,2,3,4},HN!W190,HN!AA190,HN!AE190,HN!AI190)))</f>
        <v>0</v>
      </c>
      <c r="G190">
        <f>SUMPRODUCT((MONTH(CHOOSE({1,2,3,4},HN!T190,HN!X190,HN!AB190,HN!AF190))=7)*(CHOOSE({1,2,3,4},HN!W190,HN!AA190,HN!AE190,HN!AI190)))</f>
        <v>0</v>
      </c>
      <c r="H190">
        <f>SUMPRODUCT((MONTH(CHOOSE({1,2,3,4},HN!T190,HN!X190,HN!AB190,HN!AF190))=8)*(CHOOSE({1,2,3,4},HN!W190,HN!AA190,HN!AE190,HN!AI190)))</f>
        <v>0</v>
      </c>
      <c r="I190">
        <f>SUMPRODUCT((MONTH(CHOOSE({1,2,3,4},HN!T190,HN!X190,HN!AB190,HN!AF190))=9)*(CHOOSE({1,2,3,4},HN!W190,HN!AA190,HN!AE190,HN!AI190)))</f>
        <v>0</v>
      </c>
      <c r="J190">
        <f>SUMPRODUCT((MONTH(CHOOSE({1,2,3,4},HN!T190,HN!X190,HN!AB190,HN!AF190))=10)*(CHOOSE({1,2,3,4},HN!W190,HN!AA190,HN!AE190,HN!AI190)))</f>
        <v>0</v>
      </c>
      <c r="K190">
        <f>SUMPRODUCT((MONTH(CHOOSE({1,2,3,4},HN!T190,HN!X190,HN!AB190,HN!AF190))=11)*(CHOOSE({1,2,3,4},HN!W190,HN!AA190,HN!AE190,HN!AI190)))</f>
        <v>0</v>
      </c>
      <c r="L190">
        <f>SUMPRODUCT((MONTH(CHOOSE({1,2,3,4},HN!T190,HN!X190,HN!AB190,HN!AF190))=12)*(CHOOSE({1,2,3,4},HN!W190,HN!AA190,HN!AE190,HN!AI190)))</f>
        <v>0</v>
      </c>
    </row>
    <row r="191" spans="1:12">
      <c r="A191">
        <f>SUMPRODUCT((MONTH(CHOOSE({1,2,3,4},HN!T191,HN!X191,HN!AB191,HN!AF191))=1)*(CHOOSE({1,2,3,4},HN!W191,HN!AA191,HN!AE191,HN!AI191)))</f>
        <v>0</v>
      </c>
      <c r="B191">
        <f>SUMPRODUCT((MONTH(CHOOSE({1,2,3,4},HN!T191,HN!X191,HN!AB191,HN!AF191))=2)*(CHOOSE({1,2,3,4},HN!W191,HN!AA191,HN!AE191,HN!AI191)))</f>
        <v>0</v>
      </c>
      <c r="C191">
        <f>SUMPRODUCT((MONTH(CHOOSE({1,2,3,4},HN!T191,HN!X191,HN!AB191,HN!AF191))=3)*(CHOOSE({1,2,3,4},HN!W191,HN!AA191,HN!AE191,HN!AI191)))</f>
        <v>0</v>
      </c>
      <c r="D191">
        <f>SUMPRODUCT((MONTH(CHOOSE({1,2,3,4},HN!T191,HN!X191,HN!AB191,HN!AF191))=4)*(CHOOSE({1,2,3,4},HN!W191,HN!AA191,HN!AE191,HN!AI191)))</f>
        <v>0</v>
      </c>
      <c r="E191">
        <f>SUMPRODUCT((MONTH(CHOOSE({1,2,3,4},HN!T191,HN!X191,HN!AB191,HN!AF191))=5)*(CHOOSE({1,2,3,4},HN!W191,HN!AA191,HN!AE191,HN!AI191)))</f>
        <v>0</v>
      </c>
      <c r="F191">
        <f>SUMPRODUCT((MONTH(CHOOSE({1,2,3,4},HN!T191,HN!X191,HN!AB191,HN!AF191))=6)*(CHOOSE({1,2,3,4},HN!W191,HN!AA191,HN!AE191,HN!AI191)))</f>
        <v>0</v>
      </c>
      <c r="G191">
        <f>SUMPRODUCT((MONTH(CHOOSE({1,2,3,4},HN!T191,HN!X191,HN!AB191,HN!AF191))=7)*(CHOOSE({1,2,3,4},HN!W191,HN!AA191,HN!AE191,HN!AI191)))</f>
        <v>0</v>
      </c>
      <c r="H191">
        <f>SUMPRODUCT((MONTH(CHOOSE({1,2,3,4},HN!T191,HN!X191,HN!AB191,HN!AF191))=8)*(CHOOSE({1,2,3,4},HN!W191,HN!AA191,HN!AE191,HN!AI191)))</f>
        <v>0</v>
      </c>
      <c r="I191">
        <f>SUMPRODUCT((MONTH(CHOOSE({1,2,3,4},HN!T191,HN!X191,HN!AB191,HN!AF191))=9)*(CHOOSE({1,2,3,4},HN!W191,HN!AA191,HN!AE191,HN!AI191)))</f>
        <v>0</v>
      </c>
      <c r="J191">
        <f>SUMPRODUCT((MONTH(CHOOSE({1,2,3,4},HN!T191,HN!X191,HN!AB191,HN!AF191))=10)*(CHOOSE({1,2,3,4},HN!W191,HN!AA191,HN!AE191,HN!AI191)))</f>
        <v>0</v>
      </c>
      <c r="K191">
        <f>SUMPRODUCT((MONTH(CHOOSE({1,2,3,4},HN!T191,HN!X191,HN!AB191,HN!AF191))=11)*(CHOOSE({1,2,3,4},HN!W191,HN!AA191,HN!AE191,HN!AI191)))</f>
        <v>0</v>
      </c>
      <c r="L191">
        <f>SUMPRODUCT((MONTH(CHOOSE({1,2,3,4},HN!T191,HN!X191,HN!AB191,HN!AF191))=12)*(CHOOSE({1,2,3,4},HN!W191,HN!AA191,HN!AE191,HN!AI191)))</f>
        <v>0</v>
      </c>
    </row>
    <row r="192" spans="1:12">
      <c r="A192">
        <f>SUMPRODUCT((MONTH(CHOOSE({1,2,3,4},HN!T192,HN!X192,HN!AB192,HN!AF192))=1)*(CHOOSE({1,2,3,4},HN!W192,HN!AA192,HN!AE192,HN!AI192)))</f>
        <v>0</v>
      </c>
      <c r="B192">
        <f>SUMPRODUCT((MONTH(CHOOSE({1,2,3,4},HN!T192,HN!X192,HN!AB192,HN!AF192))=2)*(CHOOSE({1,2,3,4},HN!W192,HN!AA192,HN!AE192,HN!AI192)))</f>
        <v>0</v>
      </c>
      <c r="C192">
        <f>SUMPRODUCT((MONTH(CHOOSE({1,2,3,4},HN!T192,HN!X192,HN!AB192,HN!AF192))=3)*(CHOOSE({1,2,3,4},HN!W192,HN!AA192,HN!AE192,HN!AI192)))</f>
        <v>0</v>
      </c>
      <c r="D192">
        <f>SUMPRODUCT((MONTH(CHOOSE({1,2,3,4},HN!T192,HN!X192,HN!AB192,HN!AF192))=4)*(CHOOSE({1,2,3,4},HN!W192,HN!AA192,HN!AE192,HN!AI192)))</f>
        <v>0</v>
      </c>
      <c r="E192">
        <f>SUMPRODUCT((MONTH(CHOOSE({1,2,3,4},HN!T192,HN!X192,HN!AB192,HN!AF192))=5)*(CHOOSE({1,2,3,4},HN!W192,HN!AA192,HN!AE192,HN!AI192)))</f>
        <v>0</v>
      </c>
      <c r="F192">
        <f>SUMPRODUCT((MONTH(CHOOSE({1,2,3,4},HN!T192,HN!X192,HN!AB192,HN!AF192))=6)*(CHOOSE({1,2,3,4},HN!W192,HN!AA192,HN!AE192,HN!AI192)))</f>
        <v>0</v>
      </c>
      <c r="G192">
        <f>SUMPRODUCT((MONTH(CHOOSE({1,2,3,4},HN!T192,HN!X192,HN!AB192,HN!AF192))=7)*(CHOOSE({1,2,3,4},HN!W192,HN!AA192,HN!AE192,HN!AI192)))</f>
        <v>0</v>
      </c>
      <c r="H192">
        <f>SUMPRODUCT((MONTH(CHOOSE({1,2,3,4},HN!T192,HN!X192,HN!AB192,HN!AF192))=8)*(CHOOSE({1,2,3,4},HN!W192,HN!AA192,HN!AE192,HN!AI192)))</f>
        <v>0</v>
      </c>
      <c r="I192">
        <f>SUMPRODUCT((MONTH(CHOOSE({1,2,3,4},HN!T192,HN!X192,HN!AB192,HN!AF192))=9)*(CHOOSE({1,2,3,4},HN!W192,HN!AA192,HN!AE192,HN!AI192)))</f>
        <v>0</v>
      </c>
      <c r="J192">
        <f>SUMPRODUCT((MONTH(CHOOSE({1,2,3,4},HN!T192,HN!X192,HN!AB192,HN!AF192))=10)*(CHOOSE({1,2,3,4},HN!W192,HN!AA192,HN!AE192,HN!AI192)))</f>
        <v>0</v>
      </c>
      <c r="K192">
        <f>SUMPRODUCT((MONTH(CHOOSE({1,2,3,4},HN!T192,HN!X192,HN!AB192,HN!AF192))=11)*(CHOOSE({1,2,3,4},HN!W192,HN!AA192,HN!AE192,HN!AI192)))</f>
        <v>0</v>
      </c>
      <c r="L192">
        <f>SUMPRODUCT((MONTH(CHOOSE({1,2,3,4},HN!T192,HN!X192,HN!AB192,HN!AF192))=12)*(CHOOSE({1,2,3,4},HN!W192,HN!AA192,HN!AE192,HN!AI192)))</f>
        <v>0</v>
      </c>
    </row>
    <row r="193" spans="1:12">
      <c r="A193">
        <f>SUMPRODUCT((MONTH(CHOOSE({1,2,3,4},HN!T193,HN!X193,HN!AB193,HN!AF193))=1)*(CHOOSE({1,2,3,4},HN!W193,HN!AA193,HN!AE193,HN!AI193)))</f>
        <v>0</v>
      </c>
      <c r="B193">
        <f>SUMPRODUCT((MONTH(CHOOSE({1,2,3,4},HN!T193,HN!X193,HN!AB193,HN!AF193))=2)*(CHOOSE({1,2,3,4},HN!W193,HN!AA193,HN!AE193,HN!AI193)))</f>
        <v>0</v>
      </c>
      <c r="C193">
        <f>SUMPRODUCT((MONTH(CHOOSE({1,2,3,4},HN!T193,HN!X193,HN!AB193,HN!AF193))=3)*(CHOOSE({1,2,3,4},HN!W193,HN!AA193,HN!AE193,HN!AI193)))</f>
        <v>0</v>
      </c>
      <c r="D193">
        <f>SUMPRODUCT((MONTH(CHOOSE({1,2,3,4},HN!T193,HN!X193,HN!AB193,HN!AF193))=4)*(CHOOSE({1,2,3,4},HN!W193,HN!AA193,HN!AE193,HN!AI193)))</f>
        <v>0</v>
      </c>
      <c r="E193">
        <f>SUMPRODUCT((MONTH(CHOOSE({1,2,3,4},HN!T193,HN!X193,HN!AB193,HN!AF193))=5)*(CHOOSE({1,2,3,4},HN!W193,HN!AA193,HN!AE193,HN!AI193)))</f>
        <v>0</v>
      </c>
      <c r="F193">
        <f>SUMPRODUCT((MONTH(CHOOSE({1,2,3,4},HN!T193,HN!X193,HN!AB193,HN!AF193))=6)*(CHOOSE({1,2,3,4},HN!W193,HN!AA193,HN!AE193,HN!AI193)))</f>
        <v>0</v>
      </c>
      <c r="G193">
        <f>SUMPRODUCT((MONTH(CHOOSE({1,2,3,4},HN!T193,HN!X193,HN!AB193,HN!AF193))=7)*(CHOOSE({1,2,3,4},HN!W193,HN!AA193,HN!AE193,HN!AI193)))</f>
        <v>0</v>
      </c>
      <c r="H193">
        <f>SUMPRODUCT((MONTH(CHOOSE({1,2,3,4},HN!T193,HN!X193,HN!AB193,HN!AF193))=8)*(CHOOSE({1,2,3,4},HN!W193,HN!AA193,HN!AE193,HN!AI193)))</f>
        <v>0</v>
      </c>
      <c r="I193">
        <f>SUMPRODUCT((MONTH(CHOOSE({1,2,3,4},HN!T193,HN!X193,HN!AB193,HN!AF193))=9)*(CHOOSE({1,2,3,4},HN!W193,HN!AA193,HN!AE193,HN!AI193)))</f>
        <v>0</v>
      </c>
      <c r="J193">
        <f>SUMPRODUCT((MONTH(CHOOSE({1,2,3,4},HN!T193,HN!X193,HN!AB193,HN!AF193))=10)*(CHOOSE({1,2,3,4},HN!W193,HN!AA193,HN!AE193,HN!AI193)))</f>
        <v>0</v>
      </c>
      <c r="K193">
        <f>SUMPRODUCT((MONTH(CHOOSE({1,2,3,4},HN!T193,HN!X193,HN!AB193,HN!AF193))=11)*(CHOOSE({1,2,3,4},HN!W193,HN!AA193,HN!AE193,HN!AI193)))</f>
        <v>0</v>
      </c>
      <c r="L193">
        <f>SUMPRODUCT((MONTH(CHOOSE({1,2,3,4},HN!T193,HN!X193,HN!AB193,HN!AF193))=12)*(CHOOSE({1,2,3,4},HN!W193,HN!AA193,HN!AE193,HN!AI193)))</f>
        <v>0</v>
      </c>
    </row>
    <row r="194" spans="1:12">
      <c r="A194">
        <f>SUMPRODUCT((MONTH(CHOOSE({1,2,3,4},HN!T194,HN!X194,HN!AB194,HN!AF194))=1)*(CHOOSE({1,2,3,4},HN!W194,HN!AA194,HN!AE194,HN!AI194)))</f>
        <v>0</v>
      </c>
      <c r="B194">
        <f>SUMPRODUCT((MONTH(CHOOSE({1,2,3,4},HN!T194,HN!X194,HN!AB194,HN!AF194))=2)*(CHOOSE({1,2,3,4},HN!W194,HN!AA194,HN!AE194,HN!AI194)))</f>
        <v>0</v>
      </c>
      <c r="C194">
        <f>SUMPRODUCT((MONTH(CHOOSE({1,2,3,4},HN!T194,HN!X194,HN!AB194,HN!AF194))=3)*(CHOOSE({1,2,3,4},HN!W194,HN!AA194,HN!AE194,HN!AI194)))</f>
        <v>0</v>
      </c>
      <c r="D194">
        <f>SUMPRODUCT((MONTH(CHOOSE({1,2,3,4},HN!T194,HN!X194,HN!AB194,HN!AF194))=4)*(CHOOSE({1,2,3,4},HN!W194,HN!AA194,HN!AE194,HN!AI194)))</f>
        <v>0</v>
      </c>
      <c r="E194">
        <f>SUMPRODUCT((MONTH(CHOOSE({1,2,3,4},HN!T194,HN!X194,HN!AB194,HN!AF194))=5)*(CHOOSE({1,2,3,4},HN!W194,HN!AA194,HN!AE194,HN!AI194)))</f>
        <v>0</v>
      </c>
      <c r="F194">
        <f>SUMPRODUCT((MONTH(CHOOSE({1,2,3,4},HN!T194,HN!X194,HN!AB194,HN!AF194))=6)*(CHOOSE({1,2,3,4},HN!W194,HN!AA194,HN!AE194,HN!AI194)))</f>
        <v>0</v>
      </c>
      <c r="G194">
        <f>SUMPRODUCT((MONTH(CHOOSE({1,2,3,4},HN!T194,HN!X194,HN!AB194,HN!AF194))=7)*(CHOOSE({1,2,3,4},HN!W194,HN!AA194,HN!AE194,HN!AI194)))</f>
        <v>0</v>
      </c>
      <c r="H194">
        <f>SUMPRODUCT((MONTH(CHOOSE({1,2,3,4},HN!T194,HN!X194,HN!AB194,HN!AF194))=8)*(CHOOSE({1,2,3,4},HN!W194,HN!AA194,HN!AE194,HN!AI194)))</f>
        <v>0</v>
      </c>
      <c r="I194">
        <f>SUMPRODUCT((MONTH(CHOOSE({1,2,3,4},HN!T194,HN!X194,HN!AB194,HN!AF194))=9)*(CHOOSE({1,2,3,4},HN!W194,HN!AA194,HN!AE194,HN!AI194)))</f>
        <v>0</v>
      </c>
      <c r="J194">
        <f>SUMPRODUCT((MONTH(CHOOSE({1,2,3,4},HN!T194,HN!X194,HN!AB194,HN!AF194))=10)*(CHOOSE({1,2,3,4},HN!W194,HN!AA194,HN!AE194,HN!AI194)))</f>
        <v>0</v>
      </c>
      <c r="K194">
        <f>SUMPRODUCT((MONTH(CHOOSE({1,2,3,4},HN!T194,HN!X194,HN!AB194,HN!AF194))=11)*(CHOOSE({1,2,3,4},HN!W194,HN!AA194,HN!AE194,HN!AI194)))</f>
        <v>0</v>
      </c>
      <c r="L194">
        <f>SUMPRODUCT((MONTH(CHOOSE({1,2,3,4},HN!T194,HN!X194,HN!AB194,HN!AF194))=12)*(CHOOSE({1,2,3,4},HN!W194,HN!AA194,HN!AE194,HN!AI194)))</f>
        <v>0</v>
      </c>
    </row>
    <row r="195" spans="1:12">
      <c r="A195">
        <f>SUMPRODUCT((MONTH(CHOOSE({1,2,3,4},HN!T195,HN!X195,HN!AB195,HN!AF195))=1)*(CHOOSE({1,2,3,4},HN!W195,HN!AA195,HN!AE195,HN!AI195)))</f>
        <v>0</v>
      </c>
      <c r="B195">
        <f>SUMPRODUCT((MONTH(CHOOSE({1,2,3,4},HN!T195,HN!X195,HN!AB195,HN!AF195))=2)*(CHOOSE({1,2,3,4},HN!W195,HN!AA195,HN!AE195,HN!AI195)))</f>
        <v>0</v>
      </c>
      <c r="C195">
        <f>SUMPRODUCT((MONTH(CHOOSE({1,2,3,4},HN!T195,HN!X195,HN!AB195,HN!AF195))=3)*(CHOOSE({1,2,3,4},HN!W195,HN!AA195,HN!AE195,HN!AI195)))</f>
        <v>0</v>
      </c>
      <c r="D195">
        <f>SUMPRODUCT((MONTH(CHOOSE({1,2,3,4},HN!T195,HN!X195,HN!AB195,HN!AF195))=4)*(CHOOSE({1,2,3,4},HN!W195,HN!AA195,HN!AE195,HN!AI195)))</f>
        <v>0</v>
      </c>
      <c r="E195">
        <f>SUMPRODUCT((MONTH(CHOOSE({1,2,3,4},HN!T195,HN!X195,HN!AB195,HN!AF195))=5)*(CHOOSE({1,2,3,4},HN!W195,HN!AA195,HN!AE195,HN!AI195)))</f>
        <v>0</v>
      </c>
      <c r="F195">
        <f>SUMPRODUCT((MONTH(CHOOSE({1,2,3,4},HN!T195,HN!X195,HN!AB195,HN!AF195))=6)*(CHOOSE({1,2,3,4},HN!W195,HN!AA195,HN!AE195,HN!AI195)))</f>
        <v>0</v>
      </c>
      <c r="G195">
        <f>SUMPRODUCT((MONTH(CHOOSE({1,2,3,4},HN!T195,HN!X195,HN!AB195,HN!AF195))=7)*(CHOOSE({1,2,3,4},HN!W195,HN!AA195,HN!AE195,HN!AI195)))</f>
        <v>0</v>
      </c>
      <c r="H195">
        <f>SUMPRODUCT((MONTH(CHOOSE({1,2,3,4},HN!T195,HN!X195,HN!AB195,HN!AF195))=8)*(CHOOSE({1,2,3,4},HN!W195,HN!AA195,HN!AE195,HN!AI195)))</f>
        <v>0</v>
      </c>
      <c r="I195">
        <f>SUMPRODUCT((MONTH(CHOOSE({1,2,3,4},HN!T195,HN!X195,HN!AB195,HN!AF195))=9)*(CHOOSE({1,2,3,4},HN!W195,HN!AA195,HN!AE195,HN!AI195)))</f>
        <v>0</v>
      </c>
      <c r="J195">
        <f>SUMPRODUCT((MONTH(CHOOSE({1,2,3,4},HN!T195,HN!X195,HN!AB195,HN!AF195))=10)*(CHOOSE({1,2,3,4},HN!W195,HN!AA195,HN!AE195,HN!AI195)))</f>
        <v>0</v>
      </c>
      <c r="K195">
        <f>SUMPRODUCT((MONTH(CHOOSE({1,2,3,4},HN!T195,HN!X195,HN!AB195,HN!AF195))=11)*(CHOOSE({1,2,3,4},HN!W195,HN!AA195,HN!AE195,HN!AI195)))</f>
        <v>0</v>
      </c>
      <c r="L195">
        <f>SUMPRODUCT((MONTH(CHOOSE({1,2,3,4},HN!T195,HN!X195,HN!AB195,HN!AF195))=12)*(CHOOSE({1,2,3,4},HN!W195,HN!AA195,HN!AE195,HN!AI195)))</f>
        <v>0</v>
      </c>
    </row>
    <row r="196" spans="1:12">
      <c r="A196">
        <f>SUMPRODUCT((MONTH(CHOOSE({1,2,3,4},HN!T196,HN!X196,HN!AB196,HN!AF196))=1)*(CHOOSE({1,2,3,4},HN!W196,HN!AA196,HN!AE196,HN!AI196)))</f>
        <v>0</v>
      </c>
      <c r="B196">
        <f>SUMPRODUCT((MONTH(CHOOSE({1,2,3,4},HN!T196,HN!X196,HN!AB196,HN!AF196))=2)*(CHOOSE({1,2,3,4},HN!W196,HN!AA196,HN!AE196,HN!AI196)))</f>
        <v>0</v>
      </c>
      <c r="C196">
        <f>SUMPRODUCT((MONTH(CHOOSE({1,2,3,4},HN!T196,HN!X196,HN!AB196,HN!AF196))=3)*(CHOOSE({1,2,3,4},HN!W196,HN!AA196,HN!AE196,HN!AI196)))</f>
        <v>0</v>
      </c>
      <c r="D196">
        <f>SUMPRODUCT((MONTH(CHOOSE({1,2,3,4},HN!T196,HN!X196,HN!AB196,HN!AF196))=4)*(CHOOSE({1,2,3,4},HN!W196,HN!AA196,HN!AE196,HN!AI196)))</f>
        <v>0</v>
      </c>
      <c r="E196">
        <f>SUMPRODUCT((MONTH(CHOOSE({1,2,3,4},HN!T196,HN!X196,HN!AB196,HN!AF196))=5)*(CHOOSE({1,2,3,4},HN!W196,HN!AA196,HN!AE196,HN!AI196)))</f>
        <v>0</v>
      </c>
      <c r="F196">
        <f>SUMPRODUCT((MONTH(CHOOSE({1,2,3,4},HN!T196,HN!X196,HN!AB196,HN!AF196))=6)*(CHOOSE({1,2,3,4},HN!W196,HN!AA196,HN!AE196,HN!AI196)))</f>
        <v>0</v>
      </c>
      <c r="G196">
        <f>SUMPRODUCT((MONTH(CHOOSE({1,2,3,4},HN!T196,HN!X196,HN!AB196,HN!AF196))=7)*(CHOOSE({1,2,3,4},HN!W196,HN!AA196,HN!AE196,HN!AI196)))</f>
        <v>0</v>
      </c>
      <c r="H196">
        <f>SUMPRODUCT((MONTH(CHOOSE({1,2,3,4},HN!T196,HN!X196,HN!AB196,HN!AF196))=8)*(CHOOSE({1,2,3,4},HN!W196,HN!AA196,HN!AE196,HN!AI196)))</f>
        <v>0</v>
      </c>
      <c r="I196">
        <f>SUMPRODUCT((MONTH(CHOOSE({1,2,3,4},HN!T196,HN!X196,HN!AB196,HN!AF196))=9)*(CHOOSE({1,2,3,4},HN!W196,HN!AA196,HN!AE196,HN!AI196)))</f>
        <v>0</v>
      </c>
      <c r="J196">
        <f>SUMPRODUCT((MONTH(CHOOSE({1,2,3,4},HN!T196,HN!X196,HN!AB196,HN!AF196))=10)*(CHOOSE({1,2,3,4},HN!W196,HN!AA196,HN!AE196,HN!AI196)))</f>
        <v>0</v>
      </c>
      <c r="K196">
        <f>SUMPRODUCT((MONTH(CHOOSE({1,2,3,4},HN!T196,HN!X196,HN!AB196,HN!AF196))=11)*(CHOOSE({1,2,3,4},HN!W196,HN!AA196,HN!AE196,HN!AI196)))</f>
        <v>0</v>
      </c>
      <c r="L196">
        <f>SUMPRODUCT((MONTH(CHOOSE({1,2,3,4},HN!T196,HN!X196,HN!AB196,HN!AF196))=12)*(CHOOSE({1,2,3,4},HN!W196,HN!AA196,HN!AE196,HN!AI196)))</f>
        <v>0</v>
      </c>
    </row>
    <row r="197" spans="1:12">
      <c r="A197">
        <f>SUMPRODUCT((MONTH(CHOOSE({1,2,3,4},HN!T197,HN!X197,HN!AB197,HN!AF197))=1)*(CHOOSE({1,2,3,4},HN!W197,HN!AA197,HN!AE197,HN!AI197)))</f>
        <v>0</v>
      </c>
      <c r="B197">
        <f>SUMPRODUCT((MONTH(CHOOSE({1,2,3,4},HN!T197,HN!X197,HN!AB197,HN!AF197))=2)*(CHOOSE({1,2,3,4},HN!W197,HN!AA197,HN!AE197,HN!AI197)))</f>
        <v>0</v>
      </c>
      <c r="C197">
        <f>SUMPRODUCT((MONTH(CHOOSE({1,2,3,4},HN!T197,HN!X197,HN!AB197,HN!AF197))=3)*(CHOOSE({1,2,3,4},HN!W197,HN!AA197,HN!AE197,HN!AI197)))</f>
        <v>0</v>
      </c>
      <c r="D197">
        <f>SUMPRODUCT((MONTH(CHOOSE({1,2,3,4},HN!T197,HN!X197,HN!AB197,HN!AF197))=4)*(CHOOSE({1,2,3,4},HN!W197,HN!AA197,HN!AE197,HN!AI197)))</f>
        <v>0</v>
      </c>
      <c r="E197">
        <f>SUMPRODUCT((MONTH(CHOOSE({1,2,3,4},HN!T197,HN!X197,HN!AB197,HN!AF197))=5)*(CHOOSE({1,2,3,4},HN!W197,HN!AA197,HN!AE197,HN!AI197)))</f>
        <v>0</v>
      </c>
      <c r="F197">
        <f>SUMPRODUCT((MONTH(CHOOSE({1,2,3,4},HN!T197,HN!X197,HN!AB197,HN!AF197))=6)*(CHOOSE({1,2,3,4},HN!W197,HN!AA197,HN!AE197,HN!AI197)))</f>
        <v>0</v>
      </c>
      <c r="G197">
        <f>SUMPRODUCT((MONTH(CHOOSE({1,2,3,4},HN!T197,HN!X197,HN!AB197,HN!AF197))=7)*(CHOOSE({1,2,3,4},HN!W197,HN!AA197,HN!AE197,HN!AI197)))</f>
        <v>0</v>
      </c>
      <c r="H197">
        <f>SUMPRODUCT((MONTH(CHOOSE({1,2,3,4},HN!T197,HN!X197,HN!AB197,HN!AF197))=8)*(CHOOSE({1,2,3,4},HN!W197,HN!AA197,HN!AE197,HN!AI197)))</f>
        <v>0</v>
      </c>
      <c r="I197">
        <f>SUMPRODUCT((MONTH(CHOOSE({1,2,3,4},HN!T197,HN!X197,HN!AB197,HN!AF197))=9)*(CHOOSE({1,2,3,4},HN!W197,HN!AA197,HN!AE197,HN!AI197)))</f>
        <v>0</v>
      </c>
      <c r="J197">
        <f>SUMPRODUCT((MONTH(CHOOSE({1,2,3,4},HN!T197,HN!X197,HN!AB197,HN!AF197))=10)*(CHOOSE({1,2,3,4},HN!W197,HN!AA197,HN!AE197,HN!AI197)))</f>
        <v>0</v>
      </c>
      <c r="K197">
        <f>SUMPRODUCT((MONTH(CHOOSE({1,2,3,4},HN!T197,HN!X197,HN!AB197,HN!AF197))=11)*(CHOOSE({1,2,3,4},HN!W197,HN!AA197,HN!AE197,HN!AI197)))</f>
        <v>0</v>
      </c>
      <c r="L197">
        <f>SUMPRODUCT((MONTH(CHOOSE({1,2,3,4},HN!T197,HN!X197,HN!AB197,HN!AF197))=12)*(CHOOSE({1,2,3,4},HN!W197,HN!AA197,HN!AE197,HN!AI197)))</f>
        <v>0</v>
      </c>
    </row>
    <row r="198" spans="1:12">
      <c r="A198">
        <f>SUMPRODUCT((MONTH(CHOOSE({1,2,3,4},HN!T198,HN!X198,HN!AB198,HN!AF198))=1)*(CHOOSE({1,2,3,4},HN!W198,HN!AA198,HN!AE198,HN!AI198)))</f>
        <v>0</v>
      </c>
      <c r="B198">
        <f>SUMPRODUCT((MONTH(CHOOSE({1,2,3,4},HN!T198,HN!X198,HN!AB198,HN!AF198))=2)*(CHOOSE({1,2,3,4},HN!W198,HN!AA198,HN!AE198,HN!AI198)))</f>
        <v>0</v>
      </c>
      <c r="C198">
        <f>SUMPRODUCT((MONTH(CHOOSE({1,2,3,4},HN!T198,HN!X198,HN!AB198,HN!AF198))=3)*(CHOOSE({1,2,3,4},HN!W198,HN!AA198,HN!AE198,HN!AI198)))</f>
        <v>0</v>
      </c>
      <c r="D198">
        <f>SUMPRODUCT((MONTH(CHOOSE({1,2,3,4},HN!T198,HN!X198,HN!AB198,HN!AF198))=4)*(CHOOSE({1,2,3,4},HN!W198,HN!AA198,HN!AE198,HN!AI198)))</f>
        <v>0</v>
      </c>
      <c r="E198">
        <f>SUMPRODUCT((MONTH(CHOOSE({1,2,3,4},HN!T198,HN!X198,HN!AB198,HN!AF198))=5)*(CHOOSE({1,2,3,4},HN!W198,HN!AA198,HN!AE198,HN!AI198)))</f>
        <v>0</v>
      </c>
      <c r="F198">
        <f>SUMPRODUCT((MONTH(CHOOSE({1,2,3,4},HN!T198,HN!X198,HN!AB198,HN!AF198))=6)*(CHOOSE({1,2,3,4},HN!W198,HN!AA198,HN!AE198,HN!AI198)))</f>
        <v>0</v>
      </c>
      <c r="G198">
        <f>SUMPRODUCT((MONTH(CHOOSE({1,2,3,4},HN!T198,HN!X198,HN!AB198,HN!AF198))=7)*(CHOOSE({1,2,3,4},HN!W198,HN!AA198,HN!AE198,HN!AI198)))</f>
        <v>0</v>
      </c>
      <c r="H198">
        <f>SUMPRODUCT((MONTH(CHOOSE({1,2,3,4},HN!T198,HN!X198,HN!AB198,HN!AF198))=8)*(CHOOSE({1,2,3,4},HN!W198,HN!AA198,HN!AE198,HN!AI198)))</f>
        <v>0</v>
      </c>
      <c r="I198">
        <f>SUMPRODUCT((MONTH(CHOOSE({1,2,3,4},HN!T198,HN!X198,HN!AB198,HN!AF198))=9)*(CHOOSE({1,2,3,4},HN!W198,HN!AA198,HN!AE198,HN!AI198)))</f>
        <v>0</v>
      </c>
      <c r="J198">
        <f>SUMPRODUCT((MONTH(CHOOSE({1,2,3,4},HN!T198,HN!X198,HN!AB198,HN!AF198))=10)*(CHOOSE({1,2,3,4},HN!W198,HN!AA198,HN!AE198,HN!AI198)))</f>
        <v>0</v>
      </c>
      <c r="K198">
        <f>SUMPRODUCT((MONTH(CHOOSE({1,2,3,4},HN!T198,HN!X198,HN!AB198,HN!AF198))=11)*(CHOOSE({1,2,3,4},HN!W198,HN!AA198,HN!AE198,HN!AI198)))</f>
        <v>0</v>
      </c>
      <c r="L198">
        <f>SUMPRODUCT((MONTH(CHOOSE({1,2,3,4},HN!T198,HN!X198,HN!AB198,HN!AF198))=12)*(CHOOSE({1,2,3,4},HN!W198,HN!AA198,HN!AE198,HN!AI198)))</f>
        <v>0</v>
      </c>
    </row>
    <row r="199" spans="1:12">
      <c r="A199">
        <f>SUMPRODUCT((MONTH(CHOOSE({1,2,3,4},HN!T199,HN!X199,HN!AB199,HN!AF199))=1)*(CHOOSE({1,2,3,4},HN!W199,HN!AA199,HN!AE199,HN!AI199)))</f>
        <v>0</v>
      </c>
      <c r="B199">
        <f>SUMPRODUCT((MONTH(CHOOSE({1,2,3,4},HN!T199,HN!X199,HN!AB199,HN!AF199))=2)*(CHOOSE({1,2,3,4},HN!W199,HN!AA199,HN!AE199,HN!AI199)))</f>
        <v>0</v>
      </c>
      <c r="C199">
        <f>SUMPRODUCT((MONTH(CHOOSE({1,2,3,4},HN!T199,HN!X199,HN!AB199,HN!AF199))=3)*(CHOOSE({1,2,3,4},HN!W199,HN!AA199,HN!AE199,HN!AI199)))</f>
        <v>0</v>
      </c>
      <c r="D199">
        <f>SUMPRODUCT((MONTH(CHOOSE({1,2,3,4},HN!T199,HN!X199,HN!AB199,HN!AF199))=4)*(CHOOSE({1,2,3,4},HN!W199,HN!AA199,HN!AE199,HN!AI199)))</f>
        <v>0</v>
      </c>
      <c r="E199">
        <f>SUMPRODUCT((MONTH(CHOOSE({1,2,3,4},HN!T199,HN!X199,HN!AB199,HN!AF199))=5)*(CHOOSE({1,2,3,4},HN!W199,HN!AA199,HN!AE199,HN!AI199)))</f>
        <v>0</v>
      </c>
      <c r="F199">
        <f>SUMPRODUCT((MONTH(CHOOSE({1,2,3,4},HN!T199,HN!X199,HN!AB199,HN!AF199))=6)*(CHOOSE({1,2,3,4},HN!W199,HN!AA199,HN!AE199,HN!AI199)))</f>
        <v>0</v>
      </c>
      <c r="G199">
        <f>SUMPRODUCT((MONTH(CHOOSE({1,2,3,4},HN!T199,HN!X199,HN!AB199,HN!AF199))=7)*(CHOOSE({1,2,3,4},HN!W199,HN!AA199,HN!AE199,HN!AI199)))</f>
        <v>0</v>
      </c>
      <c r="H199">
        <f>SUMPRODUCT((MONTH(CHOOSE({1,2,3,4},HN!T199,HN!X199,HN!AB199,HN!AF199))=8)*(CHOOSE({1,2,3,4},HN!W199,HN!AA199,HN!AE199,HN!AI199)))</f>
        <v>0</v>
      </c>
      <c r="I199">
        <f>SUMPRODUCT((MONTH(CHOOSE({1,2,3,4},HN!T199,HN!X199,HN!AB199,HN!AF199))=9)*(CHOOSE({1,2,3,4},HN!W199,HN!AA199,HN!AE199,HN!AI199)))</f>
        <v>0</v>
      </c>
      <c r="J199">
        <f>SUMPRODUCT((MONTH(CHOOSE({1,2,3,4},HN!T199,HN!X199,HN!AB199,HN!AF199))=10)*(CHOOSE({1,2,3,4},HN!W199,HN!AA199,HN!AE199,HN!AI199)))</f>
        <v>0</v>
      </c>
      <c r="K199">
        <f>SUMPRODUCT((MONTH(CHOOSE({1,2,3,4},HN!T199,HN!X199,HN!AB199,HN!AF199))=11)*(CHOOSE({1,2,3,4},HN!W199,HN!AA199,HN!AE199,HN!AI199)))</f>
        <v>0</v>
      </c>
      <c r="L199">
        <f>SUMPRODUCT((MONTH(CHOOSE({1,2,3,4},HN!T199,HN!X199,HN!AB199,HN!AF199))=12)*(CHOOSE({1,2,3,4},HN!W199,HN!AA199,HN!AE199,HN!AI199)))</f>
        <v>0</v>
      </c>
    </row>
    <row r="200" spans="1:12">
      <c r="A200">
        <f>SUMPRODUCT((MONTH(CHOOSE({1,2,3,4},HN!T200,HN!X200,HN!AB200,HN!AF200))=1)*(CHOOSE({1,2,3,4},HN!W200,HN!AA200,HN!AE200,HN!AI200)))</f>
        <v>0</v>
      </c>
      <c r="B200">
        <f>SUMPRODUCT((MONTH(CHOOSE({1,2,3,4},HN!T200,HN!X200,HN!AB200,HN!AF200))=2)*(CHOOSE({1,2,3,4},HN!W200,HN!AA200,HN!AE200,HN!AI200)))</f>
        <v>0</v>
      </c>
      <c r="C200">
        <f>SUMPRODUCT((MONTH(CHOOSE({1,2,3,4},HN!T200,HN!X200,HN!AB200,HN!AF200))=3)*(CHOOSE({1,2,3,4},HN!W200,HN!AA200,HN!AE200,HN!AI200)))</f>
        <v>0</v>
      </c>
      <c r="D200">
        <f>SUMPRODUCT((MONTH(CHOOSE({1,2,3,4},HN!T200,HN!X200,HN!AB200,HN!AF200))=4)*(CHOOSE({1,2,3,4},HN!W200,HN!AA200,HN!AE200,HN!AI200)))</f>
        <v>0</v>
      </c>
      <c r="E200">
        <f>SUMPRODUCT((MONTH(CHOOSE({1,2,3,4},HN!T200,HN!X200,HN!AB200,HN!AF200))=5)*(CHOOSE({1,2,3,4},HN!W200,HN!AA200,HN!AE200,HN!AI200)))</f>
        <v>0</v>
      </c>
      <c r="F200">
        <f>SUMPRODUCT((MONTH(CHOOSE({1,2,3,4},HN!T200,HN!X200,HN!AB200,HN!AF200))=6)*(CHOOSE({1,2,3,4},HN!W200,HN!AA200,HN!AE200,HN!AI200)))</f>
        <v>0</v>
      </c>
      <c r="G200">
        <f>SUMPRODUCT((MONTH(CHOOSE({1,2,3,4},HN!T200,HN!X200,HN!AB200,HN!AF200))=7)*(CHOOSE({1,2,3,4},HN!W200,HN!AA200,HN!AE200,HN!AI200)))</f>
        <v>0</v>
      </c>
      <c r="H200">
        <f>SUMPRODUCT((MONTH(CHOOSE({1,2,3,4},HN!T200,HN!X200,HN!AB200,HN!AF200))=8)*(CHOOSE({1,2,3,4},HN!W200,HN!AA200,HN!AE200,HN!AI200)))</f>
        <v>0</v>
      </c>
      <c r="I200">
        <f>SUMPRODUCT((MONTH(CHOOSE({1,2,3,4},HN!T200,HN!X200,HN!AB200,HN!AF200))=9)*(CHOOSE({1,2,3,4},HN!W200,HN!AA200,HN!AE200,HN!AI200)))</f>
        <v>0</v>
      </c>
      <c r="J200">
        <f>SUMPRODUCT((MONTH(CHOOSE({1,2,3,4},HN!T200,HN!X200,HN!AB200,HN!AF200))=10)*(CHOOSE({1,2,3,4},HN!W200,HN!AA200,HN!AE200,HN!AI200)))</f>
        <v>0</v>
      </c>
      <c r="K200">
        <f>SUMPRODUCT((MONTH(CHOOSE({1,2,3,4},HN!T200,HN!X200,HN!AB200,HN!AF200))=11)*(CHOOSE({1,2,3,4},HN!W200,HN!AA200,HN!AE200,HN!AI200)))</f>
        <v>0</v>
      </c>
      <c r="L200">
        <f>SUMPRODUCT((MONTH(CHOOSE({1,2,3,4},HN!T200,HN!X200,HN!AB200,HN!AF200))=12)*(CHOOSE({1,2,3,4},HN!W200,HN!AA200,HN!AE200,HN!AI200)))</f>
        <v>0</v>
      </c>
    </row>
    <row r="201" spans="1:12">
      <c r="A201">
        <f>SUMPRODUCT((MONTH(CHOOSE({1,2,3,4},HN!T201,HN!X201,HN!AB201,HN!AF201))=1)*(CHOOSE({1,2,3,4},HN!W201,HN!AA201,HN!AE201,HN!AI201)))</f>
        <v>0</v>
      </c>
      <c r="B201">
        <f>SUMPRODUCT((MONTH(CHOOSE({1,2,3,4},HN!T201,HN!X201,HN!AB201,HN!AF201))=2)*(CHOOSE({1,2,3,4},HN!W201,HN!AA201,HN!AE201,HN!AI201)))</f>
        <v>0</v>
      </c>
      <c r="C201">
        <f>SUMPRODUCT((MONTH(CHOOSE({1,2,3,4},HN!T201,HN!X201,HN!AB201,HN!AF201))=3)*(CHOOSE({1,2,3,4},HN!W201,HN!AA201,HN!AE201,HN!AI201)))</f>
        <v>0</v>
      </c>
      <c r="D201">
        <f>SUMPRODUCT((MONTH(CHOOSE({1,2,3,4},HN!T201,HN!X201,HN!AB201,HN!AF201))=4)*(CHOOSE({1,2,3,4},HN!W201,HN!AA201,HN!AE201,HN!AI201)))</f>
        <v>0</v>
      </c>
      <c r="E201">
        <f>SUMPRODUCT((MONTH(CHOOSE({1,2,3,4},HN!T201,HN!X201,HN!AB201,HN!AF201))=5)*(CHOOSE({1,2,3,4},HN!W201,HN!AA201,HN!AE201,HN!AI201)))</f>
        <v>0</v>
      </c>
      <c r="F201">
        <f>SUMPRODUCT((MONTH(CHOOSE({1,2,3,4},HN!T201,HN!X201,HN!AB201,HN!AF201))=6)*(CHOOSE({1,2,3,4},HN!W201,HN!AA201,HN!AE201,HN!AI201)))</f>
        <v>0</v>
      </c>
      <c r="G201">
        <f>SUMPRODUCT((MONTH(CHOOSE({1,2,3,4},HN!T201,HN!X201,HN!AB201,HN!AF201))=7)*(CHOOSE({1,2,3,4},HN!W201,HN!AA201,HN!AE201,HN!AI201)))</f>
        <v>0</v>
      </c>
      <c r="H201">
        <f>SUMPRODUCT((MONTH(CHOOSE({1,2,3,4},HN!T201,HN!X201,HN!AB201,HN!AF201))=8)*(CHOOSE({1,2,3,4},HN!W201,HN!AA201,HN!AE201,HN!AI201)))</f>
        <v>0</v>
      </c>
      <c r="I201">
        <f>SUMPRODUCT((MONTH(CHOOSE({1,2,3,4},HN!T201,HN!X201,HN!AB201,HN!AF201))=9)*(CHOOSE({1,2,3,4},HN!W201,HN!AA201,HN!AE201,HN!AI201)))</f>
        <v>0</v>
      </c>
      <c r="J201">
        <f>SUMPRODUCT((MONTH(CHOOSE({1,2,3,4},HN!T201,HN!X201,HN!AB201,HN!AF201))=10)*(CHOOSE({1,2,3,4},HN!W201,HN!AA201,HN!AE201,HN!AI201)))</f>
        <v>0</v>
      </c>
      <c r="K201">
        <f>SUMPRODUCT((MONTH(CHOOSE({1,2,3,4},HN!T201,HN!X201,HN!AB201,HN!AF201))=11)*(CHOOSE({1,2,3,4},HN!W201,HN!AA201,HN!AE201,HN!AI201)))</f>
        <v>0</v>
      </c>
      <c r="L201">
        <f>SUMPRODUCT((MONTH(CHOOSE({1,2,3,4},HN!T201,HN!X201,HN!AB201,HN!AF201))=12)*(CHOOSE({1,2,3,4},HN!W201,HN!AA201,HN!AE201,HN!AI201)))</f>
        <v>0</v>
      </c>
    </row>
    <row r="202" spans="1:12">
      <c r="A202">
        <f>SUMPRODUCT((MONTH(CHOOSE({1,2,3,4},HN!T202,HN!X202,HN!AB202,HN!AF202))=1)*(CHOOSE({1,2,3,4},HN!W202,HN!AA202,HN!AE202,HN!AI202)))</f>
        <v>0</v>
      </c>
      <c r="B202">
        <f>SUMPRODUCT((MONTH(CHOOSE({1,2,3,4},HN!T202,HN!X202,HN!AB202,HN!AF202))=2)*(CHOOSE({1,2,3,4},HN!W202,HN!AA202,HN!AE202,HN!AI202)))</f>
        <v>0</v>
      </c>
      <c r="C202">
        <f>SUMPRODUCT((MONTH(CHOOSE({1,2,3,4},HN!T202,HN!X202,HN!AB202,HN!AF202))=3)*(CHOOSE({1,2,3,4},HN!W202,HN!AA202,HN!AE202,HN!AI202)))</f>
        <v>0</v>
      </c>
      <c r="D202">
        <f>SUMPRODUCT((MONTH(CHOOSE({1,2,3,4},HN!T202,HN!X202,HN!AB202,HN!AF202))=4)*(CHOOSE({1,2,3,4},HN!W202,HN!AA202,HN!AE202,HN!AI202)))</f>
        <v>0</v>
      </c>
      <c r="E202">
        <f>SUMPRODUCT((MONTH(CHOOSE({1,2,3,4},HN!T202,HN!X202,HN!AB202,HN!AF202))=5)*(CHOOSE({1,2,3,4},HN!W202,HN!AA202,HN!AE202,HN!AI202)))</f>
        <v>0</v>
      </c>
      <c r="F202">
        <f>SUMPRODUCT((MONTH(CHOOSE({1,2,3,4},HN!T202,HN!X202,HN!AB202,HN!AF202))=6)*(CHOOSE({1,2,3,4},HN!W202,HN!AA202,HN!AE202,HN!AI202)))</f>
        <v>0</v>
      </c>
      <c r="G202">
        <f>SUMPRODUCT((MONTH(CHOOSE({1,2,3,4},HN!T202,HN!X202,HN!AB202,HN!AF202))=7)*(CHOOSE({1,2,3,4},HN!W202,HN!AA202,HN!AE202,HN!AI202)))</f>
        <v>0</v>
      </c>
      <c r="H202">
        <f>SUMPRODUCT((MONTH(CHOOSE({1,2,3,4},HN!T202,HN!X202,HN!AB202,HN!AF202))=8)*(CHOOSE({1,2,3,4},HN!W202,HN!AA202,HN!AE202,HN!AI202)))</f>
        <v>0</v>
      </c>
      <c r="I202">
        <f>SUMPRODUCT((MONTH(CHOOSE({1,2,3,4},HN!T202,HN!X202,HN!AB202,HN!AF202))=9)*(CHOOSE({1,2,3,4},HN!W202,HN!AA202,HN!AE202,HN!AI202)))</f>
        <v>0</v>
      </c>
      <c r="J202">
        <f>SUMPRODUCT((MONTH(CHOOSE({1,2,3,4},HN!T202,HN!X202,HN!AB202,HN!AF202))=10)*(CHOOSE({1,2,3,4},HN!W202,HN!AA202,HN!AE202,HN!AI202)))</f>
        <v>0</v>
      </c>
      <c r="K202">
        <f>SUMPRODUCT((MONTH(CHOOSE({1,2,3,4},HN!T202,HN!X202,HN!AB202,HN!AF202))=11)*(CHOOSE({1,2,3,4},HN!W202,HN!AA202,HN!AE202,HN!AI202)))</f>
        <v>0</v>
      </c>
      <c r="L202">
        <f>SUMPRODUCT((MONTH(CHOOSE({1,2,3,4},HN!T202,HN!X202,HN!AB202,HN!AF202))=12)*(CHOOSE({1,2,3,4},HN!W202,HN!AA202,HN!AE202,HN!AI202)))</f>
        <v>0</v>
      </c>
    </row>
    <row r="203" spans="1:12">
      <c r="A203">
        <f>SUMPRODUCT((MONTH(CHOOSE({1,2,3,4},HN!T203,HN!X203,HN!AB203,HN!AF203))=1)*(CHOOSE({1,2,3,4},HN!W203,HN!AA203,HN!AE203,HN!AI203)))</f>
        <v>0</v>
      </c>
      <c r="B203">
        <f>SUMPRODUCT((MONTH(CHOOSE({1,2,3,4},HN!T203,HN!X203,HN!AB203,HN!AF203))=2)*(CHOOSE({1,2,3,4},HN!W203,HN!AA203,HN!AE203,HN!AI203)))</f>
        <v>0</v>
      </c>
      <c r="C203">
        <f>SUMPRODUCT((MONTH(CHOOSE({1,2,3,4},HN!T203,HN!X203,HN!AB203,HN!AF203))=3)*(CHOOSE({1,2,3,4},HN!W203,HN!AA203,HN!AE203,HN!AI203)))</f>
        <v>0</v>
      </c>
      <c r="D203">
        <f>SUMPRODUCT((MONTH(CHOOSE({1,2,3,4},HN!T203,HN!X203,HN!AB203,HN!AF203))=4)*(CHOOSE({1,2,3,4},HN!W203,HN!AA203,HN!AE203,HN!AI203)))</f>
        <v>0</v>
      </c>
      <c r="E203">
        <f>SUMPRODUCT((MONTH(CHOOSE({1,2,3,4},HN!T203,HN!X203,HN!AB203,HN!AF203))=5)*(CHOOSE({1,2,3,4},HN!W203,HN!AA203,HN!AE203,HN!AI203)))</f>
        <v>0</v>
      </c>
      <c r="F203">
        <f>SUMPRODUCT((MONTH(CHOOSE({1,2,3,4},HN!T203,HN!X203,HN!AB203,HN!AF203))=6)*(CHOOSE({1,2,3,4},HN!W203,HN!AA203,HN!AE203,HN!AI203)))</f>
        <v>0</v>
      </c>
      <c r="G203">
        <f>SUMPRODUCT((MONTH(CHOOSE({1,2,3,4},HN!T203,HN!X203,HN!AB203,HN!AF203))=7)*(CHOOSE({1,2,3,4},HN!W203,HN!AA203,HN!AE203,HN!AI203)))</f>
        <v>0</v>
      </c>
      <c r="H203">
        <f>SUMPRODUCT((MONTH(CHOOSE({1,2,3,4},HN!T203,HN!X203,HN!AB203,HN!AF203))=8)*(CHOOSE({1,2,3,4},HN!W203,HN!AA203,HN!AE203,HN!AI203)))</f>
        <v>0</v>
      </c>
      <c r="I203">
        <f>SUMPRODUCT((MONTH(CHOOSE({1,2,3,4},HN!T203,HN!X203,HN!AB203,HN!AF203))=9)*(CHOOSE({1,2,3,4},HN!W203,HN!AA203,HN!AE203,HN!AI203)))</f>
        <v>0</v>
      </c>
      <c r="J203">
        <f>SUMPRODUCT((MONTH(CHOOSE({1,2,3,4},HN!T203,HN!X203,HN!AB203,HN!AF203))=10)*(CHOOSE({1,2,3,4},HN!W203,HN!AA203,HN!AE203,HN!AI203)))</f>
        <v>0</v>
      </c>
      <c r="K203">
        <f>SUMPRODUCT((MONTH(CHOOSE({1,2,3,4},HN!T203,HN!X203,HN!AB203,HN!AF203))=11)*(CHOOSE({1,2,3,4},HN!W203,HN!AA203,HN!AE203,HN!AI203)))</f>
        <v>0</v>
      </c>
      <c r="L203">
        <f>SUMPRODUCT((MONTH(CHOOSE({1,2,3,4},HN!T203,HN!X203,HN!AB203,HN!AF203))=12)*(CHOOSE({1,2,3,4},HN!W203,HN!AA203,HN!AE203,HN!AI203)))</f>
        <v>0</v>
      </c>
    </row>
    <row r="204" spans="1:12">
      <c r="A204">
        <f>SUMPRODUCT((MONTH(CHOOSE({1,2,3,4},HN!T204,HN!X204,HN!AB204,HN!AF204))=1)*(CHOOSE({1,2,3,4},HN!W204,HN!AA204,HN!AE204,HN!AI204)))</f>
        <v>0</v>
      </c>
      <c r="B204">
        <f>SUMPRODUCT((MONTH(CHOOSE({1,2,3,4},HN!T204,HN!X204,HN!AB204,HN!AF204))=2)*(CHOOSE({1,2,3,4},HN!W204,HN!AA204,HN!AE204,HN!AI204)))</f>
        <v>0</v>
      </c>
      <c r="C204">
        <f>SUMPRODUCT((MONTH(CHOOSE({1,2,3,4},HN!T204,HN!X204,HN!AB204,HN!AF204))=3)*(CHOOSE({1,2,3,4},HN!W204,HN!AA204,HN!AE204,HN!AI204)))</f>
        <v>0</v>
      </c>
      <c r="D204">
        <f>SUMPRODUCT((MONTH(CHOOSE({1,2,3,4},HN!T204,HN!X204,HN!AB204,HN!AF204))=4)*(CHOOSE({1,2,3,4},HN!W204,HN!AA204,HN!AE204,HN!AI204)))</f>
        <v>0</v>
      </c>
      <c r="E204">
        <f>SUMPRODUCT((MONTH(CHOOSE({1,2,3,4},HN!T204,HN!X204,HN!AB204,HN!AF204))=5)*(CHOOSE({1,2,3,4},HN!W204,HN!AA204,HN!AE204,HN!AI204)))</f>
        <v>0</v>
      </c>
      <c r="F204">
        <f>SUMPRODUCT((MONTH(CHOOSE({1,2,3,4},HN!T204,HN!X204,HN!AB204,HN!AF204))=6)*(CHOOSE({1,2,3,4},HN!W204,HN!AA204,HN!AE204,HN!AI204)))</f>
        <v>0</v>
      </c>
      <c r="G204">
        <f>SUMPRODUCT((MONTH(CHOOSE({1,2,3,4},HN!T204,HN!X204,HN!AB204,HN!AF204))=7)*(CHOOSE({1,2,3,4},HN!W204,HN!AA204,HN!AE204,HN!AI204)))</f>
        <v>0</v>
      </c>
      <c r="H204">
        <f>SUMPRODUCT((MONTH(CHOOSE({1,2,3,4},HN!T204,HN!X204,HN!AB204,HN!AF204))=8)*(CHOOSE({1,2,3,4},HN!W204,HN!AA204,HN!AE204,HN!AI204)))</f>
        <v>0</v>
      </c>
      <c r="I204">
        <f>SUMPRODUCT((MONTH(CHOOSE({1,2,3,4},HN!T204,HN!X204,HN!AB204,HN!AF204))=9)*(CHOOSE({1,2,3,4},HN!W204,HN!AA204,HN!AE204,HN!AI204)))</f>
        <v>0</v>
      </c>
      <c r="J204">
        <f>SUMPRODUCT((MONTH(CHOOSE({1,2,3,4},HN!T204,HN!X204,HN!AB204,HN!AF204))=10)*(CHOOSE({1,2,3,4},HN!W204,HN!AA204,HN!AE204,HN!AI204)))</f>
        <v>0</v>
      </c>
      <c r="K204">
        <f>SUMPRODUCT((MONTH(CHOOSE({1,2,3,4},HN!T204,HN!X204,HN!AB204,HN!AF204))=11)*(CHOOSE({1,2,3,4},HN!W204,HN!AA204,HN!AE204,HN!AI204)))</f>
        <v>0</v>
      </c>
      <c r="L204">
        <f>SUMPRODUCT((MONTH(CHOOSE({1,2,3,4},HN!T204,HN!X204,HN!AB204,HN!AF204))=12)*(CHOOSE({1,2,3,4},HN!W204,HN!AA204,HN!AE204,HN!AI204)))</f>
        <v>0</v>
      </c>
    </row>
    <row r="205" spans="1:12">
      <c r="A205">
        <f>SUMPRODUCT((MONTH(CHOOSE({1,2,3,4},HN!T205,HN!X205,HN!AB205,HN!AF205))=1)*(CHOOSE({1,2,3,4},HN!W205,HN!AA205,HN!AE205,HN!AI205)))</f>
        <v>0</v>
      </c>
      <c r="B205">
        <f>SUMPRODUCT((MONTH(CHOOSE({1,2,3,4},HN!T205,HN!X205,HN!AB205,HN!AF205))=2)*(CHOOSE({1,2,3,4},HN!W205,HN!AA205,HN!AE205,HN!AI205)))</f>
        <v>0</v>
      </c>
      <c r="C205">
        <f>SUMPRODUCT((MONTH(CHOOSE({1,2,3,4},HN!T205,HN!X205,HN!AB205,HN!AF205))=3)*(CHOOSE({1,2,3,4},HN!W205,HN!AA205,HN!AE205,HN!AI205)))</f>
        <v>0</v>
      </c>
      <c r="D205">
        <f>SUMPRODUCT((MONTH(CHOOSE({1,2,3,4},HN!T205,HN!X205,HN!AB205,HN!AF205))=4)*(CHOOSE({1,2,3,4},HN!W205,HN!AA205,HN!AE205,HN!AI205)))</f>
        <v>0</v>
      </c>
      <c r="E205">
        <f>SUMPRODUCT((MONTH(CHOOSE({1,2,3,4},HN!T205,HN!X205,HN!AB205,HN!AF205))=5)*(CHOOSE({1,2,3,4},HN!W205,HN!AA205,HN!AE205,HN!AI205)))</f>
        <v>0</v>
      </c>
      <c r="F205">
        <f>SUMPRODUCT((MONTH(CHOOSE({1,2,3,4},HN!T205,HN!X205,HN!AB205,HN!AF205))=6)*(CHOOSE({1,2,3,4},HN!W205,HN!AA205,HN!AE205,HN!AI205)))</f>
        <v>0</v>
      </c>
      <c r="G205">
        <f>SUMPRODUCT((MONTH(CHOOSE({1,2,3,4},HN!T205,HN!X205,HN!AB205,HN!AF205))=7)*(CHOOSE({1,2,3,4},HN!W205,HN!AA205,HN!AE205,HN!AI205)))</f>
        <v>0</v>
      </c>
      <c r="H205">
        <f>SUMPRODUCT((MONTH(CHOOSE({1,2,3,4},HN!T205,HN!X205,HN!AB205,HN!AF205))=8)*(CHOOSE({1,2,3,4},HN!W205,HN!AA205,HN!AE205,HN!AI205)))</f>
        <v>0</v>
      </c>
      <c r="I205">
        <f>SUMPRODUCT((MONTH(CHOOSE({1,2,3,4},HN!T205,HN!X205,HN!AB205,HN!AF205))=9)*(CHOOSE({1,2,3,4},HN!W205,HN!AA205,HN!AE205,HN!AI205)))</f>
        <v>0</v>
      </c>
      <c r="J205">
        <f>SUMPRODUCT((MONTH(CHOOSE({1,2,3,4},HN!T205,HN!X205,HN!AB205,HN!AF205))=10)*(CHOOSE({1,2,3,4},HN!W205,HN!AA205,HN!AE205,HN!AI205)))</f>
        <v>0</v>
      </c>
      <c r="K205">
        <f>SUMPRODUCT((MONTH(CHOOSE({1,2,3,4},HN!T205,HN!X205,HN!AB205,HN!AF205))=11)*(CHOOSE({1,2,3,4},HN!W205,HN!AA205,HN!AE205,HN!AI205)))</f>
        <v>0</v>
      </c>
      <c r="L205">
        <f>SUMPRODUCT((MONTH(CHOOSE({1,2,3,4},HN!T205,HN!X205,HN!AB205,HN!AF205))=12)*(CHOOSE({1,2,3,4},HN!W205,HN!AA205,HN!AE205,HN!AI205)))</f>
        <v>0</v>
      </c>
    </row>
    <row r="206" spans="1:12">
      <c r="A206">
        <f>SUMPRODUCT((MONTH(CHOOSE({1,2,3,4},HN!T206,HN!X206,HN!AB206,HN!AF206))=1)*(CHOOSE({1,2,3,4},HN!W206,HN!AA206,HN!AE206,HN!AI206)))</f>
        <v>0</v>
      </c>
      <c r="B206">
        <f>SUMPRODUCT((MONTH(CHOOSE({1,2,3,4},HN!T206,HN!X206,HN!AB206,HN!AF206))=2)*(CHOOSE({1,2,3,4},HN!W206,HN!AA206,HN!AE206,HN!AI206)))</f>
        <v>0</v>
      </c>
      <c r="C206">
        <f>SUMPRODUCT((MONTH(CHOOSE({1,2,3,4},HN!T206,HN!X206,HN!AB206,HN!AF206))=3)*(CHOOSE({1,2,3,4},HN!W206,HN!AA206,HN!AE206,HN!AI206)))</f>
        <v>0</v>
      </c>
      <c r="D206">
        <f>SUMPRODUCT((MONTH(CHOOSE({1,2,3,4},HN!T206,HN!X206,HN!AB206,HN!AF206))=4)*(CHOOSE({1,2,3,4},HN!W206,HN!AA206,HN!AE206,HN!AI206)))</f>
        <v>0</v>
      </c>
      <c r="E206">
        <f>SUMPRODUCT((MONTH(CHOOSE({1,2,3,4},HN!T206,HN!X206,HN!AB206,HN!AF206))=5)*(CHOOSE({1,2,3,4},HN!W206,HN!AA206,HN!AE206,HN!AI206)))</f>
        <v>0</v>
      </c>
      <c r="F206">
        <f>SUMPRODUCT((MONTH(CHOOSE({1,2,3,4},HN!T206,HN!X206,HN!AB206,HN!AF206))=6)*(CHOOSE({1,2,3,4},HN!W206,HN!AA206,HN!AE206,HN!AI206)))</f>
        <v>0</v>
      </c>
      <c r="G206">
        <f>SUMPRODUCT((MONTH(CHOOSE({1,2,3,4},HN!T206,HN!X206,HN!AB206,HN!AF206))=7)*(CHOOSE({1,2,3,4},HN!W206,HN!AA206,HN!AE206,HN!AI206)))</f>
        <v>0</v>
      </c>
      <c r="H206">
        <f>SUMPRODUCT((MONTH(CHOOSE({1,2,3,4},HN!T206,HN!X206,HN!AB206,HN!AF206))=8)*(CHOOSE({1,2,3,4},HN!W206,HN!AA206,HN!AE206,HN!AI206)))</f>
        <v>0</v>
      </c>
      <c r="I206">
        <f>SUMPRODUCT((MONTH(CHOOSE({1,2,3,4},HN!T206,HN!X206,HN!AB206,HN!AF206))=9)*(CHOOSE({1,2,3,4},HN!W206,HN!AA206,HN!AE206,HN!AI206)))</f>
        <v>0</v>
      </c>
      <c r="J206">
        <f>SUMPRODUCT((MONTH(CHOOSE({1,2,3,4},HN!T206,HN!X206,HN!AB206,HN!AF206))=10)*(CHOOSE({1,2,3,4},HN!W206,HN!AA206,HN!AE206,HN!AI206)))</f>
        <v>0</v>
      </c>
      <c r="K206">
        <f>SUMPRODUCT((MONTH(CHOOSE({1,2,3,4},HN!T206,HN!X206,HN!AB206,HN!AF206))=11)*(CHOOSE({1,2,3,4},HN!W206,HN!AA206,HN!AE206,HN!AI206)))</f>
        <v>0</v>
      </c>
      <c r="L206">
        <f>SUMPRODUCT((MONTH(CHOOSE({1,2,3,4},HN!T206,HN!X206,HN!AB206,HN!AF206))=12)*(CHOOSE({1,2,3,4},HN!W206,HN!AA206,HN!AE206,HN!AI206)))</f>
        <v>0</v>
      </c>
    </row>
    <row r="207" spans="1:12">
      <c r="A207">
        <f>SUMPRODUCT((MONTH(CHOOSE({1,2,3,4},HN!T207,HN!X207,HN!AB207,HN!AF207))=1)*(CHOOSE({1,2,3,4},HN!W207,HN!AA207,HN!AE207,HN!AI207)))</f>
        <v>0</v>
      </c>
      <c r="B207">
        <f>SUMPRODUCT((MONTH(CHOOSE({1,2,3,4},HN!T207,HN!X207,HN!AB207,HN!AF207))=2)*(CHOOSE({1,2,3,4},HN!W207,HN!AA207,HN!AE207,HN!AI207)))</f>
        <v>0</v>
      </c>
      <c r="C207">
        <f>SUMPRODUCT((MONTH(CHOOSE({1,2,3,4},HN!T207,HN!X207,HN!AB207,HN!AF207))=3)*(CHOOSE({1,2,3,4},HN!W207,HN!AA207,HN!AE207,HN!AI207)))</f>
        <v>0</v>
      </c>
      <c r="D207">
        <f>SUMPRODUCT((MONTH(CHOOSE({1,2,3,4},HN!T207,HN!X207,HN!AB207,HN!AF207))=4)*(CHOOSE({1,2,3,4},HN!W207,HN!AA207,HN!AE207,HN!AI207)))</f>
        <v>0</v>
      </c>
      <c r="E207">
        <f>SUMPRODUCT((MONTH(CHOOSE({1,2,3,4},HN!T207,HN!X207,HN!AB207,HN!AF207))=5)*(CHOOSE({1,2,3,4},HN!W207,HN!AA207,HN!AE207,HN!AI207)))</f>
        <v>0</v>
      </c>
      <c r="F207">
        <f>SUMPRODUCT((MONTH(CHOOSE({1,2,3,4},HN!T207,HN!X207,HN!AB207,HN!AF207))=6)*(CHOOSE({1,2,3,4},HN!W207,HN!AA207,HN!AE207,HN!AI207)))</f>
        <v>0</v>
      </c>
      <c r="G207">
        <f>SUMPRODUCT((MONTH(CHOOSE({1,2,3,4},HN!T207,HN!X207,HN!AB207,HN!AF207))=7)*(CHOOSE({1,2,3,4},HN!W207,HN!AA207,HN!AE207,HN!AI207)))</f>
        <v>0</v>
      </c>
      <c r="H207">
        <f>SUMPRODUCT((MONTH(CHOOSE({1,2,3,4},HN!T207,HN!X207,HN!AB207,HN!AF207))=8)*(CHOOSE({1,2,3,4},HN!W207,HN!AA207,HN!AE207,HN!AI207)))</f>
        <v>0</v>
      </c>
      <c r="I207">
        <f>SUMPRODUCT((MONTH(CHOOSE({1,2,3,4},HN!T207,HN!X207,HN!AB207,HN!AF207))=9)*(CHOOSE({1,2,3,4},HN!W207,HN!AA207,HN!AE207,HN!AI207)))</f>
        <v>0</v>
      </c>
      <c r="J207">
        <f>SUMPRODUCT((MONTH(CHOOSE({1,2,3,4},HN!T207,HN!X207,HN!AB207,HN!AF207))=10)*(CHOOSE({1,2,3,4},HN!W207,HN!AA207,HN!AE207,HN!AI207)))</f>
        <v>0</v>
      </c>
      <c r="K207">
        <f>SUMPRODUCT((MONTH(CHOOSE({1,2,3,4},HN!T207,HN!X207,HN!AB207,HN!AF207))=11)*(CHOOSE({1,2,3,4},HN!W207,HN!AA207,HN!AE207,HN!AI207)))</f>
        <v>0</v>
      </c>
      <c r="L207">
        <f>SUMPRODUCT((MONTH(CHOOSE({1,2,3,4},HN!T207,HN!X207,HN!AB207,HN!AF207))=12)*(CHOOSE({1,2,3,4},HN!W207,HN!AA207,HN!AE207,HN!AI207)))</f>
        <v>0</v>
      </c>
    </row>
    <row r="208" spans="1:12">
      <c r="A208">
        <f>SUMPRODUCT((MONTH(CHOOSE({1,2,3,4},HN!T208,HN!X208,HN!AB208,HN!AF208))=1)*(CHOOSE({1,2,3,4},HN!W208,HN!AA208,HN!AE208,HN!AI208)))</f>
        <v>0</v>
      </c>
      <c r="B208">
        <f>SUMPRODUCT((MONTH(CHOOSE({1,2,3,4},HN!T208,HN!X208,HN!AB208,HN!AF208))=2)*(CHOOSE({1,2,3,4},HN!W208,HN!AA208,HN!AE208,HN!AI208)))</f>
        <v>0</v>
      </c>
      <c r="C208">
        <f>SUMPRODUCT((MONTH(CHOOSE({1,2,3,4},HN!T208,HN!X208,HN!AB208,HN!AF208))=3)*(CHOOSE({1,2,3,4},HN!W208,HN!AA208,HN!AE208,HN!AI208)))</f>
        <v>0</v>
      </c>
      <c r="D208">
        <f>SUMPRODUCT((MONTH(CHOOSE({1,2,3,4},HN!T208,HN!X208,HN!AB208,HN!AF208))=4)*(CHOOSE({1,2,3,4},HN!W208,HN!AA208,HN!AE208,HN!AI208)))</f>
        <v>0</v>
      </c>
      <c r="E208">
        <f>SUMPRODUCT((MONTH(CHOOSE({1,2,3,4},HN!T208,HN!X208,HN!AB208,HN!AF208))=5)*(CHOOSE({1,2,3,4},HN!W208,HN!AA208,HN!AE208,HN!AI208)))</f>
        <v>0</v>
      </c>
      <c r="F208">
        <f>SUMPRODUCT((MONTH(CHOOSE({1,2,3,4},HN!T208,HN!X208,HN!AB208,HN!AF208))=6)*(CHOOSE({1,2,3,4},HN!W208,HN!AA208,HN!AE208,HN!AI208)))</f>
        <v>0</v>
      </c>
      <c r="G208">
        <f>SUMPRODUCT((MONTH(CHOOSE({1,2,3,4},HN!T208,HN!X208,HN!AB208,HN!AF208))=7)*(CHOOSE({1,2,3,4},HN!W208,HN!AA208,HN!AE208,HN!AI208)))</f>
        <v>0</v>
      </c>
      <c r="H208">
        <f>SUMPRODUCT((MONTH(CHOOSE({1,2,3,4},HN!T208,HN!X208,HN!AB208,HN!AF208))=8)*(CHOOSE({1,2,3,4},HN!W208,HN!AA208,HN!AE208,HN!AI208)))</f>
        <v>0</v>
      </c>
      <c r="I208">
        <f>SUMPRODUCT((MONTH(CHOOSE({1,2,3,4},HN!T208,HN!X208,HN!AB208,HN!AF208))=9)*(CHOOSE({1,2,3,4},HN!W208,HN!AA208,HN!AE208,HN!AI208)))</f>
        <v>0</v>
      </c>
      <c r="J208">
        <f>SUMPRODUCT((MONTH(CHOOSE({1,2,3,4},HN!T208,HN!X208,HN!AB208,HN!AF208))=10)*(CHOOSE({1,2,3,4},HN!W208,HN!AA208,HN!AE208,HN!AI208)))</f>
        <v>0</v>
      </c>
      <c r="K208">
        <f>SUMPRODUCT((MONTH(CHOOSE({1,2,3,4},HN!T208,HN!X208,HN!AB208,HN!AF208))=11)*(CHOOSE({1,2,3,4},HN!W208,HN!AA208,HN!AE208,HN!AI208)))</f>
        <v>0</v>
      </c>
      <c r="L208">
        <f>SUMPRODUCT((MONTH(CHOOSE({1,2,3,4},HN!T208,HN!X208,HN!AB208,HN!AF208))=12)*(CHOOSE({1,2,3,4},HN!W208,HN!AA208,HN!AE208,HN!AI208)))</f>
        <v>0</v>
      </c>
    </row>
    <row r="209" spans="1:12">
      <c r="A209">
        <f>SUMPRODUCT((MONTH(CHOOSE({1,2,3,4},HN!T209,HN!X209,HN!AB209,HN!AF209))=1)*(CHOOSE({1,2,3,4},HN!W209,HN!AA209,HN!AE209,HN!AI209)))</f>
        <v>0</v>
      </c>
      <c r="B209">
        <f>SUMPRODUCT((MONTH(CHOOSE({1,2,3,4},HN!T209,HN!X209,HN!AB209,HN!AF209))=2)*(CHOOSE({1,2,3,4},HN!W209,HN!AA209,HN!AE209,HN!AI209)))</f>
        <v>0</v>
      </c>
      <c r="C209">
        <f>SUMPRODUCT((MONTH(CHOOSE({1,2,3,4},HN!T209,HN!X209,HN!AB209,HN!AF209))=3)*(CHOOSE({1,2,3,4},HN!W209,HN!AA209,HN!AE209,HN!AI209)))</f>
        <v>0</v>
      </c>
      <c r="D209">
        <f>SUMPRODUCT((MONTH(CHOOSE({1,2,3,4},HN!T209,HN!X209,HN!AB209,HN!AF209))=4)*(CHOOSE({1,2,3,4},HN!W209,HN!AA209,HN!AE209,HN!AI209)))</f>
        <v>0</v>
      </c>
      <c r="E209">
        <f>SUMPRODUCT((MONTH(CHOOSE({1,2,3,4},HN!T209,HN!X209,HN!AB209,HN!AF209))=5)*(CHOOSE({1,2,3,4},HN!W209,HN!AA209,HN!AE209,HN!AI209)))</f>
        <v>0</v>
      </c>
      <c r="F209">
        <f>SUMPRODUCT((MONTH(CHOOSE({1,2,3,4},HN!T209,HN!X209,HN!AB209,HN!AF209))=6)*(CHOOSE({1,2,3,4},HN!W209,HN!AA209,HN!AE209,HN!AI209)))</f>
        <v>0</v>
      </c>
      <c r="G209">
        <f>SUMPRODUCT((MONTH(CHOOSE({1,2,3,4},HN!T209,HN!X209,HN!AB209,HN!AF209))=7)*(CHOOSE({1,2,3,4},HN!W209,HN!AA209,HN!AE209,HN!AI209)))</f>
        <v>0</v>
      </c>
      <c r="H209">
        <f>SUMPRODUCT((MONTH(CHOOSE({1,2,3,4},HN!T209,HN!X209,HN!AB209,HN!AF209))=8)*(CHOOSE({1,2,3,4},HN!W209,HN!AA209,HN!AE209,HN!AI209)))</f>
        <v>0</v>
      </c>
      <c r="I209">
        <f>SUMPRODUCT((MONTH(CHOOSE({1,2,3,4},HN!T209,HN!X209,HN!AB209,HN!AF209))=9)*(CHOOSE({1,2,3,4},HN!W209,HN!AA209,HN!AE209,HN!AI209)))</f>
        <v>0</v>
      </c>
      <c r="J209">
        <f>SUMPRODUCT((MONTH(CHOOSE({1,2,3,4},HN!T209,HN!X209,HN!AB209,HN!AF209))=10)*(CHOOSE({1,2,3,4},HN!W209,HN!AA209,HN!AE209,HN!AI209)))</f>
        <v>0</v>
      </c>
      <c r="K209">
        <f>SUMPRODUCT((MONTH(CHOOSE({1,2,3,4},HN!T209,HN!X209,HN!AB209,HN!AF209))=11)*(CHOOSE({1,2,3,4},HN!W209,HN!AA209,HN!AE209,HN!AI209)))</f>
        <v>0</v>
      </c>
      <c r="L209">
        <f>SUMPRODUCT((MONTH(CHOOSE({1,2,3,4},HN!T209,HN!X209,HN!AB209,HN!AF209))=12)*(CHOOSE({1,2,3,4},HN!W209,HN!AA209,HN!AE209,HN!AI209)))</f>
        <v>0</v>
      </c>
    </row>
    <row r="210" spans="1:12">
      <c r="A210">
        <f>SUMPRODUCT((MONTH(CHOOSE({1,2,3,4},HN!T210,HN!X210,HN!AB210,HN!AF210))=1)*(CHOOSE({1,2,3,4},HN!W210,HN!AA210,HN!AE210,HN!AI210)))</f>
        <v>0</v>
      </c>
      <c r="B210">
        <f>SUMPRODUCT((MONTH(CHOOSE({1,2,3,4},HN!T210,HN!X210,HN!AB210,HN!AF210))=2)*(CHOOSE({1,2,3,4},HN!W210,HN!AA210,HN!AE210,HN!AI210)))</f>
        <v>0</v>
      </c>
      <c r="C210">
        <f>SUMPRODUCT((MONTH(CHOOSE({1,2,3,4},HN!T210,HN!X210,HN!AB210,HN!AF210))=3)*(CHOOSE({1,2,3,4},HN!W210,HN!AA210,HN!AE210,HN!AI210)))</f>
        <v>0</v>
      </c>
      <c r="D210">
        <f>SUMPRODUCT((MONTH(CHOOSE({1,2,3,4},HN!T210,HN!X210,HN!AB210,HN!AF210))=4)*(CHOOSE({1,2,3,4},HN!W210,HN!AA210,HN!AE210,HN!AI210)))</f>
        <v>0</v>
      </c>
      <c r="E210">
        <f>SUMPRODUCT((MONTH(CHOOSE({1,2,3,4},HN!T210,HN!X210,HN!AB210,HN!AF210))=5)*(CHOOSE({1,2,3,4},HN!W210,HN!AA210,HN!AE210,HN!AI210)))</f>
        <v>0</v>
      </c>
      <c r="F210">
        <f>SUMPRODUCT((MONTH(CHOOSE({1,2,3,4},HN!T210,HN!X210,HN!AB210,HN!AF210))=6)*(CHOOSE({1,2,3,4},HN!W210,HN!AA210,HN!AE210,HN!AI210)))</f>
        <v>0</v>
      </c>
      <c r="G210">
        <f>SUMPRODUCT((MONTH(CHOOSE({1,2,3,4},HN!T210,HN!X210,HN!AB210,HN!AF210))=7)*(CHOOSE({1,2,3,4},HN!W210,HN!AA210,HN!AE210,HN!AI210)))</f>
        <v>0</v>
      </c>
      <c r="H210">
        <f>SUMPRODUCT((MONTH(CHOOSE({1,2,3,4},HN!T210,HN!X210,HN!AB210,HN!AF210))=8)*(CHOOSE({1,2,3,4},HN!W210,HN!AA210,HN!AE210,HN!AI210)))</f>
        <v>0</v>
      </c>
      <c r="I210">
        <f>SUMPRODUCT((MONTH(CHOOSE({1,2,3,4},HN!T210,HN!X210,HN!AB210,HN!AF210))=9)*(CHOOSE({1,2,3,4},HN!W210,HN!AA210,HN!AE210,HN!AI210)))</f>
        <v>0</v>
      </c>
      <c r="J210">
        <f>SUMPRODUCT((MONTH(CHOOSE({1,2,3,4},HN!T210,HN!X210,HN!AB210,HN!AF210))=10)*(CHOOSE({1,2,3,4},HN!W210,HN!AA210,HN!AE210,HN!AI210)))</f>
        <v>0</v>
      </c>
      <c r="K210">
        <f>SUMPRODUCT((MONTH(CHOOSE({1,2,3,4},HN!T210,HN!X210,HN!AB210,HN!AF210))=11)*(CHOOSE({1,2,3,4},HN!W210,HN!AA210,HN!AE210,HN!AI210)))</f>
        <v>0</v>
      </c>
      <c r="L210">
        <f>SUMPRODUCT((MONTH(CHOOSE({1,2,3,4},HN!T210,HN!X210,HN!AB210,HN!AF210))=12)*(CHOOSE({1,2,3,4},HN!W210,HN!AA210,HN!AE210,HN!AI210)))</f>
        <v>0</v>
      </c>
    </row>
    <row r="211" spans="1:12">
      <c r="A211">
        <f>SUMPRODUCT((MONTH(CHOOSE({1,2,3,4},HN!T211,HN!X211,HN!AB211,HN!AF211))=1)*(CHOOSE({1,2,3,4},HN!W211,HN!AA211,HN!AE211,HN!AI211)))</f>
        <v>0</v>
      </c>
      <c r="B211">
        <f>SUMPRODUCT((MONTH(CHOOSE({1,2,3,4},HN!T211,HN!X211,HN!AB211,HN!AF211))=2)*(CHOOSE({1,2,3,4},HN!W211,HN!AA211,HN!AE211,HN!AI211)))</f>
        <v>0</v>
      </c>
      <c r="C211">
        <f>SUMPRODUCT((MONTH(CHOOSE({1,2,3,4},HN!T211,HN!X211,HN!AB211,HN!AF211))=3)*(CHOOSE({1,2,3,4},HN!W211,HN!AA211,HN!AE211,HN!AI211)))</f>
        <v>0</v>
      </c>
      <c r="D211">
        <f>SUMPRODUCT((MONTH(CHOOSE({1,2,3,4},HN!T211,HN!X211,HN!AB211,HN!AF211))=4)*(CHOOSE({1,2,3,4},HN!W211,HN!AA211,HN!AE211,HN!AI211)))</f>
        <v>0</v>
      </c>
      <c r="E211">
        <f>SUMPRODUCT((MONTH(CHOOSE({1,2,3,4},HN!T211,HN!X211,HN!AB211,HN!AF211))=5)*(CHOOSE({1,2,3,4},HN!W211,HN!AA211,HN!AE211,HN!AI211)))</f>
        <v>0</v>
      </c>
      <c r="F211">
        <f>SUMPRODUCT((MONTH(CHOOSE({1,2,3,4},HN!T211,HN!X211,HN!AB211,HN!AF211))=6)*(CHOOSE({1,2,3,4},HN!W211,HN!AA211,HN!AE211,HN!AI211)))</f>
        <v>0</v>
      </c>
      <c r="G211">
        <f>SUMPRODUCT((MONTH(CHOOSE({1,2,3,4},HN!T211,HN!X211,HN!AB211,HN!AF211))=7)*(CHOOSE({1,2,3,4},HN!W211,HN!AA211,HN!AE211,HN!AI211)))</f>
        <v>0</v>
      </c>
      <c r="H211">
        <f>SUMPRODUCT((MONTH(CHOOSE({1,2,3,4},HN!T211,HN!X211,HN!AB211,HN!AF211))=8)*(CHOOSE({1,2,3,4},HN!W211,HN!AA211,HN!AE211,HN!AI211)))</f>
        <v>0</v>
      </c>
      <c r="I211">
        <f>SUMPRODUCT((MONTH(CHOOSE({1,2,3,4},HN!T211,HN!X211,HN!AB211,HN!AF211))=9)*(CHOOSE({1,2,3,4},HN!W211,HN!AA211,HN!AE211,HN!AI211)))</f>
        <v>0</v>
      </c>
      <c r="J211">
        <f>SUMPRODUCT((MONTH(CHOOSE({1,2,3,4},HN!T211,HN!X211,HN!AB211,HN!AF211))=10)*(CHOOSE({1,2,3,4},HN!W211,HN!AA211,HN!AE211,HN!AI211)))</f>
        <v>0</v>
      </c>
      <c r="K211">
        <f>SUMPRODUCT((MONTH(CHOOSE({1,2,3,4},HN!T211,HN!X211,HN!AB211,HN!AF211))=11)*(CHOOSE({1,2,3,4},HN!W211,HN!AA211,HN!AE211,HN!AI211)))</f>
        <v>0</v>
      </c>
      <c r="L211">
        <f>SUMPRODUCT((MONTH(CHOOSE({1,2,3,4},HN!T211,HN!X211,HN!AB211,HN!AF211))=12)*(CHOOSE({1,2,3,4},HN!W211,HN!AA211,HN!AE211,HN!AI211)))</f>
        <v>0</v>
      </c>
    </row>
    <row r="212" spans="1:12">
      <c r="A212">
        <f>SUMPRODUCT((MONTH(CHOOSE({1,2,3,4},HN!T212,HN!X212,HN!AB212,HN!AF212))=1)*(CHOOSE({1,2,3,4},HN!W212,HN!AA212,HN!AE212,HN!AI212)))</f>
        <v>0</v>
      </c>
      <c r="B212">
        <f>SUMPRODUCT((MONTH(CHOOSE({1,2,3,4},HN!T212,HN!X212,HN!AB212,HN!AF212))=2)*(CHOOSE({1,2,3,4},HN!W212,HN!AA212,HN!AE212,HN!AI212)))</f>
        <v>0</v>
      </c>
      <c r="C212">
        <f>SUMPRODUCT((MONTH(CHOOSE({1,2,3,4},HN!T212,HN!X212,HN!AB212,HN!AF212))=3)*(CHOOSE({1,2,3,4},HN!W212,HN!AA212,HN!AE212,HN!AI212)))</f>
        <v>0</v>
      </c>
      <c r="D212">
        <f>SUMPRODUCT((MONTH(CHOOSE({1,2,3,4},HN!T212,HN!X212,HN!AB212,HN!AF212))=4)*(CHOOSE({1,2,3,4},HN!W212,HN!AA212,HN!AE212,HN!AI212)))</f>
        <v>0</v>
      </c>
      <c r="E212">
        <f>SUMPRODUCT((MONTH(CHOOSE({1,2,3,4},HN!T212,HN!X212,HN!AB212,HN!AF212))=5)*(CHOOSE({1,2,3,4},HN!W212,HN!AA212,HN!AE212,HN!AI212)))</f>
        <v>0</v>
      </c>
      <c r="F212">
        <f>SUMPRODUCT((MONTH(CHOOSE({1,2,3,4},HN!T212,HN!X212,HN!AB212,HN!AF212))=6)*(CHOOSE({1,2,3,4},HN!W212,HN!AA212,HN!AE212,HN!AI212)))</f>
        <v>0</v>
      </c>
      <c r="G212">
        <f>SUMPRODUCT((MONTH(CHOOSE({1,2,3,4},HN!T212,HN!X212,HN!AB212,HN!AF212))=7)*(CHOOSE({1,2,3,4},HN!W212,HN!AA212,HN!AE212,HN!AI212)))</f>
        <v>0</v>
      </c>
      <c r="H212">
        <f>SUMPRODUCT((MONTH(CHOOSE({1,2,3,4},HN!T212,HN!X212,HN!AB212,HN!AF212))=8)*(CHOOSE({1,2,3,4},HN!W212,HN!AA212,HN!AE212,HN!AI212)))</f>
        <v>0</v>
      </c>
      <c r="I212">
        <f>SUMPRODUCT((MONTH(CHOOSE({1,2,3,4},HN!T212,HN!X212,HN!AB212,HN!AF212))=9)*(CHOOSE({1,2,3,4},HN!W212,HN!AA212,HN!AE212,HN!AI212)))</f>
        <v>0</v>
      </c>
      <c r="J212">
        <f>SUMPRODUCT((MONTH(CHOOSE({1,2,3,4},HN!T212,HN!X212,HN!AB212,HN!AF212))=10)*(CHOOSE({1,2,3,4},HN!W212,HN!AA212,HN!AE212,HN!AI212)))</f>
        <v>0</v>
      </c>
      <c r="K212">
        <f>SUMPRODUCT((MONTH(CHOOSE({1,2,3,4},HN!T212,HN!X212,HN!AB212,HN!AF212))=11)*(CHOOSE({1,2,3,4},HN!W212,HN!AA212,HN!AE212,HN!AI212)))</f>
        <v>0</v>
      </c>
      <c r="L212">
        <f>SUMPRODUCT((MONTH(CHOOSE({1,2,3,4},HN!T212,HN!X212,HN!AB212,HN!AF212))=12)*(CHOOSE({1,2,3,4},HN!W212,HN!AA212,HN!AE212,HN!AI212)))</f>
        <v>0</v>
      </c>
    </row>
    <row r="213" spans="1:12">
      <c r="A213">
        <f>SUMPRODUCT((MONTH(CHOOSE({1,2,3,4},HN!T213,HN!X213,HN!AB213,HN!AF213))=1)*(CHOOSE({1,2,3,4},HN!W213,HN!AA213,HN!AE213,HN!AI213)))</f>
        <v>0</v>
      </c>
      <c r="B213">
        <f>SUMPRODUCT((MONTH(CHOOSE({1,2,3,4},HN!T213,HN!X213,HN!AB213,HN!AF213))=2)*(CHOOSE({1,2,3,4},HN!W213,HN!AA213,HN!AE213,HN!AI213)))</f>
        <v>0</v>
      </c>
      <c r="C213">
        <f>SUMPRODUCT((MONTH(CHOOSE({1,2,3,4},HN!T213,HN!X213,HN!AB213,HN!AF213))=3)*(CHOOSE({1,2,3,4},HN!W213,HN!AA213,HN!AE213,HN!AI213)))</f>
        <v>0</v>
      </c>
      <c r="D213">
        <f>SUMPRODUCT((MONTH(CHOOSE({1,2,3,4},HN!T213,HN!X213,HN!AB213,HN!AF213))=4)*(CHOOSE({1,2,3,4},HN!W213,HN!AA213,HN!AE213,HN!AI213)))</f>
        <v>0</v>
      </c>
      <c r="E213">
        <f>SUMPRODUCT((MONTH(CHOOSE({1,2,3,4},HN!T213,HN!X213,HN!AB213,HN!AF213))=5)*(CHOOSE({1,2,3,4},HN!W213,HN!AA213,HN!AE213,HN!AI213)))</f>
        <v>0</v>
      </c>
      <c r="F213">
        <f>SUMPRODUCT((MONTH(CHOOSE({1,2,3,4},HN!T213,HN!X213,HN!AB213,HN!AF213))=6)*(CHOOSE({1,2,3,4},HN!W213,HN!AA213,HN!AE213,HN!AI213)))</f>
        <v>0</v>
      </c>
      <c r="G213">
        <f>SUMPRODUCT((MONTH(CHOOSE({1,2,3,4},HN!T213,HN!X213,HN!AB213,HN!AF213))=7)*(CHOOSE({1,2,3,4},HN!W213,HN!AA213,HN!AE213,HN!AI213)))</f>
        <v>0</v>
      </c>
      <c r="H213">
        <f>SUMPRODUCT((MONTH(CHOOSE({1,2,3,4},HN!T213,HN!X213,HN!AB213,HN!AF213))=8)*(CHOOSE({1,2,3,4},HN!W213,HN!AA213,HN!AE213,HN!AI213)))</f>
        <v>0</v>
      </c>
      <c r="I213">
        <f>SUMPRODUCT((MONTH(CHOOSE({1,2,3,4},HN!T213,HN!X213,HN!AB213,HN!AF213))=9)*(CHOOSE({1,2,3,4},HN!W213,HN!AA213,HN!AE213,HN!AI213)))</f>
        <v>0</v>
      </c>
      <c r="J213">
        <f>SUMPRODUCT((MONTH(CHOOSE({1,2,3,4},HN!T213,HN!X213,HN!AB213,HN!AF213))=10)*(CHOOSE({1,2,3,4},HN!W213,HN!AA213,HN!AE213,HN!AI213)))</f>
        <v>0</v>
      </c>
      <c r="K213">
        <f>SUMPRODUCT((MONTH(CHOOSE({1,2,3,4},HN!T213,HN!X213,HN!AB213,HN!AF213))=11)*(CHOOSE({1,2,3,4},HN!W213,HN!AA213,HN!AE213,HN!AI213)))</f>
        <v>0</v>
      </c>
      <c r="L213">
        <f>SUMPRODUCT((MONTH(CHOOSE({1,2,3,4},HN!T213,HN!X213,HN!AB213,HN!AF213))=12)*(CHOOSE({1,2,3,4},HN!W213,HN!AA213,HN!AE213,HN!AI213)))</f>
        <v>0</v>
      </c>
    </row>
    <row r="214" spans="1:12">
      <c r="A214">
        <f>SUMPRODUCT((MONTH(CHOOSE({1,2,3,4},HN!T214,HN!X214,HN!AB214,HN!AF214))=1)*(CHOOSE({1,2,3,4},HN!W214,HN!AA214,HN!AE214,HN!AI214)))</f>
        <v>0</v>
      </c>
      <c r="B214">
        <f>SUMPRODUCT((MONTH(CHOOSE({1,2,3,4},HN!T214,HN!X214,HN!AB214,HN!AF214))=2)*(CHOOSE({1,2,3,4},HN!W214,HN!AA214,HN!AE214,HN!AI214)))</f>
        <v>0</v>
      </c>
      <c r="C214">
        <f>SUMPRODUCT((MONTH(CHOOSE({1,2,3,4},HN!T214,HN!X214,HN!AB214,HN!AF214))=3)*(CHOOSE({1,2,3,4},HN!W214,HN!AA214,HN!AE214,HN!AI214)))</f>
        <v>0</v>
      </c>
      <c r="D214">
        <f>SUMPRODUCT((MONTH(CHOOSE({1,2,3,4},HN!T214,HN!X214,HN!AB214,HN!AF214))=4)*(CHOOSE({1,2,3,4},HN!W214,HN!AA214,HN!AE214,HN!AI214)))</f>
        <v>0</v>
      </c>
      <c r="E214">
        <f>SUMPRODUCT((MONTH(CHOOSE({1,2,3,4},HN!T214,HN!X214,HN!AB214,HN!AF214))=5)*(CHOOSE({1,2,3,4},HN!W214,HN!AA214,HN!AE214,HN!AI214)))</f>
        <v>0</v>
      </c>
      <c r="F214">
        <f>SUMPRODUCT((MONTH(CHOOSE({1,2,3,4},HN!T214,HN!X214,HN!AB214,HN!AF214))=6)*(CHOOSE({1,2,3,4},HN!W214,HN!AA214,HN!AE214,HN!AI214)))</f>
        <v>0</v>
      </c>
      <c r="G214">
        <f>SUMPRODUCT((MONTH(CHOOSE({1,2,3,4},HN!T214,HN!X214,HN!AB214,HN!AF214))=7)*(CHOOSE({1,2,3,4},HN!W214,HN!AA214,HN!AE214,HN!AI214)))</f>
        <v>0</v>
      </c>
      <c r="H214">
        <f>SUMPRODUCT((MONTH(CHOOSE({1,2,3,4},HN!T214,HN!X214,HN!AB214,HN!AF214))=8)*(CHOOSE({1,2,3,4},HN!W214,HN!AA214,HN!AE214,HN!AI214)))</f>
        <v>0</v>
      </c>
      <c r="I214">
        <f>SUMPRODUCT((MONTH(CHOOSE({1,2,3,4},HN!T214,HN!X214,HN!AB214,HN!AF214))=9)*(CHOOSE({1,2,3,4},HN!W214,HN!AA214,HN!AE214,HN!AI214)))</f>
        <v>0</v>
      </c>
      <c r="J214">
        <f>SUMPRODUCT((MONTH(CHOOSE({1,2,3,4},HN!T214,HN!X214,HN!AB214,HN!AF214))=10)*(CHOOSE({1,2,3,4},HN!W214,HN!AA214,HN!AE214,HN!AI214)))</f>
        <v>0</v>
      </c>
      <c r="K214">
        <f>SUMPRODUCT((MONTH(CHOOSE({1,2,3,4},HN!T214,HN!X214,HN!AB214,HN!AF214))=11)*(CHOOSE({1,2,3,4},HN!W214,HN!AA214,HN!AE214,HN!AI214)))</f>
        <v>0</v>
      </c>
      <c r="L214">
        <f>SUMPRODUCT((MONTH(CHOOSE({1,2,3,4},HN!T214,HN!X214,HN!AB214,HN!AF214))=12)*(CHOOSE({1,2,3,4},HN!W214,HN!AA214,HN!AE214,HN!AI214)))</f>
        <v>0</v>
      </c>
    </row>
    <row r="215" spans="1:12">
      <c r="A215">
        <f>SUMPRODUCT((MONTH(CHOOSE({1,2,3,4},HN!T215,HN!X215,HN!AB215,HN!AF215))=1)*(CHOOSE({1,2,3,4},HN!W215,HN!AA215,HN!AE215,HN!AI215)))</f>
        <v>0</v>
      </c>
      <c r="B215">
        <f>SUMPRODUCT((MONTH(CHOOSE({1,2,3,4},HN!T215,HN!X215,HN!AB215,HN!AF215))=2)*(CHOOSE({1,2,3,4},HN!W215,HN!AA215,HN!AE215,HN!AI215)))</f>
        <v>0</v>
      </c>
      <c r="C215">
        <f>SUMPRODUCT((MONTH(CHOOSE({1,2,3,4},HN!T215,HN!X215,HN!AB215,HN!AF215))=3)*(CHOOSE({1,2,3,4},HN!W215,HN!AA215,HN!AE215,HN!AI215)))</f>
        <v>0</v>
      </c>
      <c r="D215">
        <f>SUMPRODUCT((MONTH(CHOOSE({1,2,3,4},HN!T215,HN!X215,HN!AB215,HN!AF215))=4)*(CHOOSE({1,2,3,4},HN!W215,HN!AA215,HN!AE215,HN!AI215)))</f>
        <v>0</v>
      </c>
      <c r="E215">
        <f>SUMPRODUCT((MONTH(CHOOSE({1,2,3,4},HN!T215,HN!X215,HN!AB215,HN!AF215))=5)*(CHOOSE({1,2,3,4},HN!W215,HN!AA215,HN!AE215,HN!AI215)))</f>
        <v>0</v>
      </c>
      <c r="F215">
        <f>SUMPRODUCT((MONTH(CHOOSE({1,2,3,4},HN!T215,HN!X215,HN!AB215,HN!AF215))=6)*(CHOOSE({1,2,3,4},HN!W215,HN!AA215,HN!AE215,HN!AI215)))</f>
        <v>0</v>
      </c>
      <c r="G215">
        <f>SUMPRODUCT((MONTH(CHOOSE({1,2,3,4},HN!T215,HN!X215,HN!AB215,HN!AF215))=7)*(CHOOSE({1,2,3,4},HN!W215,HN!AA215,HN!AE215,HN!AI215)))</f>
        <v>0</v>
      </c>
      <c r="H215">
        <f>SUMPRODUCT((MONTH(CHOOSE({1,2,3,4},HN!T215,HN!X215,HN!AB215,HN!AF215))=8)*(CHOOSE({1,2,3,4},HN!W215,HN!AA215,HN!AE215,HN!AI215)))</f>
        <v>0</v>
      </c>
      <c r="I215">
        <f>SUMPRODUCT((MONTH(CHOOSE({1,2,3,4},HN!T215,HN!X215,HN!AB215,HN!AF215))=9)*(CHOOSE({1,2,3,4},HN!W215,HN!AA215,HN!AE215,HN!AI215)))</f>
        <v>0</v>
      </c>
      <c r="J215">
        <f>SUMPRODUCT((MONTH(CHOOSE({1,2,3,4},HN!T215,HN!X215,HN!AB215,HN!AF215))=10)*(CHOOSE({1,2,3,4},HN!W215,HN!AA215,HN!AE215,HN!AI215)))</f>
        <v>0</v>
      </c>
      <c r="K215">
        <f>SUMPRODUCT((MONTH(CHOOSE({1,2,3,4},HN!T215,HN!X215,HN!AB215,HN!AF215))=11)*(CHOOSE({1,2,3,4},HN!W215,HN!AA215,HN!AE215,HN!AI215)))</f>
        <v>0</v>
      </c>
      <c r="L215">
        <f>SUMPRODUCT((MONTH(CHOOSE({1,2,3,4},HN!T215,HN!X215,HN!AB215,HN!AF215))=12)*(CHOOSE({1,2,3,4},HN!W215,HN!AA215,HN!AE215,HN!AI215)))</f>
        <v>0</v>
      </c>
    </row>
    <row r="216" spans="1:12">
      <c r="A216">
        <f>SUMPRODUCT((MONTH(CHOOSE({1,2,3,4},HN!T216,HN!X216,HN!AB216,HN!AF216))=1)*(CHOOSE({1,2,3,4},HN!W216,HN!AA216,HN!AE216,HN!AI216)))</f>
        <v>0</v>
      </c>
      <c r="B216">
        <f>SUMPRODUCT((MONTH(CHOOSE({1,2,3,4},HN!T216,HN!X216,HN!AB216,HN!AF216))=2)*(CHOOSE({1,2,3,4},HN!W216,HN!AA216,HN!AE216,HN!AI216)))</f>
        <v>0</v>
      </c>
      <c r="C216">
        <f>SUMPRODUCT((MONTH(CHOOSE({1,2,3,4},HN!T216,HN!X216,HN!AB216,HN!AF216))=3)*(CHOOSE({1,2,3,4},HN!W216,HN!AA216,HN!AE216,HN!AI216)))</f>
        <v>0</v>
      </c>
      <c r="D216">
        <f>SUMPRODUCT((MONTH(CHOOSE({1,2,3,4},HN!T216,HN!X216,HN!AB216,HN!AF216))=4)*(CHOOSE({1,2,3,4},HN!W216,HN!AA216,HN!AE216,HN!AI216)))</f>
        <v>0</v>
      </c>
      <c r="E216">
        <f>SUMPRODUCT((MONTH(CHOOSE({1,2,3,4},HN!T216,HN!X216,HN!AB216,HN!AF216))=5)*(CHOOSE({1,2,3,4},HN!W216,HN!AA216,HN!AE216,HN!AI216)))</f>
        <v>0</v>
      </c>
      <c r="F216">
        <f>SUMPRODUCT((MONTH(CHOOSE({1,2,3,4},HN!T216,HN!X216,HN!AB216,HN!AF216))=6)*(CHOOSE({1,2,3,4},HN!W216,HN!AA216,HN!AE216,HN!AI216)))</f>
        <v>0</v>
      </c>
      <c r="G216">
        <f>SUMPRODUCT((MONTH(CHOOSE({1,2,3,4},HN!T216,HN!X216,HN!AB216,HN!AF216))=7)*(CHOOSE({1,2,3,4},HN!W216,HN!AA216,HN!AE216,HN!AI216)))</f>
        <v>0</v>
      </c>
      <c r="H216">
        <f>SUMPRODUCT((MONTH(CHOOSE({1,2,3,4},HN!T216,HN!X216,HN!AB216,HN!AF216))=8)*(CHOOSE({1,2,3,4},HN!W216,HN!AA216,HN!AE216,HN!AI216)))</f>
        <v>0</v>
      </c>
      <c r="I216">
        <f>SUMPRODUCT((MONTH(CHOOSE({1,2,3,4},HN!T216,HN!X216,HN!AB216,HN!AF216))=9)*(CHOOSE({1,2,3,4},HN!W216,HN!AA216,HN!AE216,HN!AI216)))</f>
        <v>0</v>
      </c>
      <c r="J216">
        <f>SUMPRODUCT((MONTH(CHOOSE({1,2,3,4},HN!T216,HN!X216,HN!AB216,HN!AF216))=10)*(CHOOSE({1,2,3,4},HN!W216,HN!AA216,HN!AE216,HN!AI216)))</f>
        <v>0</v>
      </c>
      <c r="K216">
        <f>SUMPRODUCT((MONTH(CHOOSE({1,2,3,4},HN!T216,HN!X216,HN!AB216,HN!AF216))=11)*(CHOOSE({1,2,3,4},HN!W216,HN!AA216,HN!AE216,HN!AI216)))</f>
        <v>0</v>
      </c>
      <c r="L216">
        <f>SUMPRODUCT((MONTH(CHOOSE({1,2,3,4},HN!T216,HN!X216,HN!AB216,HN!AF216))=12)*(CHOOSE({1,2,3,4},HN!W216,HN!AA216,HN!AE216,HN!AI216)))</f>
        <v>0</v>
      </c>
    </row>
    <row r="217" spans="1:12">
      <c r="A217">
        <f>SUMPRODUCT((MONTH(CHOOSE({1,2,3,4},HN!T217,HN!X217,HN!AB217,HN!AF217))=1)*(CHOOSE({1,2,3,4},HN!W217,HN!AA217,HN!AE217,HN!AI217)))</f>
        <v>0</v>
      </c>
      <c r="B217">
        <f>SUMPRODUCT((MONTH(CHOOSE({1,2,3,4},HN!T217,HN!X217,HN!AB217,HN!AF217))=2)*(CHOOSE({1,2,3,4},HN!W217,HN!AA217,HN!AE217,HN!AI217)))</f>
        <v>0</v>
      </c>
      <c r="C217">
        <f>SUMPRODUCT((MONTH(CHOOSE({1,2,3,4},HN!T217,HN!X217,HN!AB217,HN!AF217))=3)*(CHOOSE({1,2,3,4},HN!W217,HN!AA217,HN!AE217,HN!AI217)))</f>
        <v>0</v>
      </c>
      <c r="D217">
        <f>SUMPRODUCT((MONTH(CHOOSE({1,2,3,4},HN!T217,HN!X217,HN!AB217,HN!AF217))=4)*(CHOOSE({1,2,3,4},HN!W217,HN!AA217,HN!AE217,HN!AI217)))</f>
        <v>0</v>
      </c>
      <c r="E217">
        <f>SUMPRODUCT((MONTH(CHOOSE({1,2,3,4},HN!T217,HN!X217,HN!AB217,HN!AF217))=5)*(CHOOSE({1,2,3,4},HN!W217,HN!AA217,HN!AE217,HN!AI217)))</f>
        <v>0</v>
      </c>
      <c r="F217">
        <f>SUMPRODUCT((MONTH(CHOOSE({1,2,3,4},HN!T217,HN!X217,HN!AB217,HN!AF217))=6)*(CHOOSE({1,2,3,4},HN!W217,HN!AA217,HN!AE217,HN!AI217)))</f>
        <v>0</v>
      </c>
      <c r="G217">
        <f>SUMPRODUCT((MONTH(CHOOSE({1,2,3,4},HN!T217,HN!X217,HN!AB217,HN!AF217))=7)*(CHOOSE({1,2,3,4},HN!W217,HN!AA217,HN!AE217,HN!AI217)))</f>
        <v>0</v>
      </c>
      <c r="H217">
        <f>SUMPRODUCT((MONTH(CHOOSE({1,2,3,4},HN!T217,HN!X217,HN!AB217,HN!AF217))=8)*(CHOOSE({1,2,3,4},HN!W217,HN!AA217,HN!AE217,HN!AI217)))</f>
        <v>0</v>
      </c>
      <c r="I217">
        <f>SUMPRODUCT((MONTH(CHOOSE({1,2,3,4},HN!T217,HN!X217,HN!AB217,HN!AF217))=9)*(CHOOSE({1,2,3,4},HN!W217,HN!AA217,HN!AE217,HN!AI217)))</f>
        <v>0</v>
      </c>
      <c r="J217">
        <f>SUMPRODUCT((MONTH(CHOOSE({1,2,3,4},HN!T217,HN!X217,HN!AB217,HN!AF217))=10)*(CHOOSE({1,2,3,4},HN!W217,HN!AA217,HN!AE217,HN!AI217)))</f>
        <v>0</v>
      </c>
      <c r="K217">
        <f>SUMPRODUCT((MONTH(CHOOSE({1,2,3,4},HN!T217,HN!X217,HN!AB217,HN!AF217))=11)*(CHOOSE({1,2,3,4},HN!W217,HN!AA217,HN!AE217,HN!AI217)))</f>
        <v>0</v>
      </c>
      <c r="L217">
        <f>SUMPRODUCT((MONTH(CHOOSE({1,2,3,4},HN!T217,HN!X217,HN!AB217,HN!AF217))=12)*(CHOOSE({1,2,3,4},HN!W217,HN!AA217,HN!AE217,HN!AI217)))</f>
        <v>0</v>
      </c>
    </row>
    <row r="218" spans="1:12">
      <c r="A218">
        <f>SUMPRODUCT((MONTH(CHOOSE({1,2,3,4},HN!T218,HN!X218,HN!AB218,HN!AF218))=1)*(CHOOSE({1,2,3,4},HN!W218,HN!AA218,HN!AE218,HN!AI218)))</f>
        <v>0</v>
      </c>
      <c r="B218">
        <f>SUMPRODUCT((MONTH(CHOOSE({1,2,3,4},HN!T218,HN!X218,HN!AB218,HN!AF218))=2)*(CHOOSE({1,2,3,4},HN!W218,HN!AA218,HN!AE218,HN!AI218)))</f>
        <v>0</v>
      </c>
      <c r="C218">
        <f>SUMPRODUCT((MONTH(CHOOSE({1,2,3,4},HN!T218,HN!X218,HN!AB218,HN!AF218))=3)*(CHOOSE({1,2,3,4},HN!W218,HN!AA218,HN!AE218,HN!AI218)))</f>
        <v>0</v>
      </c>
      <c r="D218">
        <f>SUMPRODUCT((MONTH(CHOOSE({1,2,3,4},HN!T218,HN!X218,HN!AB218,HN!AF218))=4)*(CHOOSE({1,2,3,4},HN!W218,HN!AA218,HN!AE218,HN!AI218)))</f>
        <v>0</v>
      </c>
      <c r="E218">
        <f>SUMPRODUCT((MONTH(CHOOSE({1,2,3,4},HN!T218,HN!X218,HN!AB218,HN!AF218))=5)*(CHOOSE({1,2,3,4},HN!W218,HN!AA218,HN!AE218,HN!AI218)))</f>
        <v>0</v>
      </c>
      <c r="F218">
        <f>SUMPRODUCT((MONTH(CHOOSE({1,2,3,4},HN!T218,HN!X218,HN!AB218,HN!AF218))=6)*(CHOOSE({1,2,3,4},HN!W218,HN!AA218,HN!AE218,HN!AI218)))</f>
        <v>0</v>
      </c>
      <c r="G218">
        <f>SUMPRODUCT((MONTH(CHOOSE({1,2,3,4},HN!T218,HN!X218,HN!AB218,HN!AF218))=7)*(CHOOSE({1,2,3,4},HN!W218,HN!AA218,HN!AE218,HN!AI218)))</f>
        <v>0</v>
      </c>
      <c r="H218">
        <f>SUMPRODUCT((MONTH(CHOOSE({1,2,3,4},HN!T218,HN!X218,HN!AB218,HN!AF218))=8)*(CHOOSE({1,2,3,4},HN!W218,HN!AA218,HN!AE218,HN!AI218)))</f>
        <v>0</v>
      </c>
      <c r="I218">
        <f>SUMPRODUCT((MONTH(CHOOSE({1,2,3,4},HN!T218,HN!X218,HN!AB218,HN!AF218))=9)*(CHOOSE({1,2,3,4},HN!W218,HN!AA218,HN!AE218,HN!AI218)))</f>
        <v>0</v>
      </c>
      <c r="J218">
        <f>SUMPRODUCT((MONTH(CHOOSE({1,2,3,4},HN!T218,HN!X218,HN!AB218,HN!AF218))=10)*(CHOOSE({1,2,3,4},HN!W218,HN!AA218,HN!AE218,HN!AI218)))</f>
        <v>0</v>
      </c>
      <c r="K218">
        <f>SUMPRODUCT((MONTH(CHOOSE({1,2,3,4},HN!T218,HN!X218,HN!AB218,HN!AF218))=11)*(CHOOSE({1,2,3,4},HN!W218,HN!AA218,HN!AE218,HN!AI218)))</f>
        <v>0</v>
      </c>
      <c r="L218">
        <f>SUMPRODUCT((MONTH(CHOOSE({1,2,3,4},HN!T218,HN!X218,HN!AB218,HN!AF218))=12)*(CHOOSE({1,2,3,4},HN!W218,HN!AA218,HN!AE218,HN!AI218)))</f>
        <v>0</v>
      </c>
    </row>
    <row r="219" spans="1:12">
      <c r="A219">
        <f>SUMPRODUCT((MONTH(CHOOSE({1,2,3,4},HN!T219,HN!X219,HN!AB219,HN!AF219))=1)*(CHOOSE({1,2,3,4},HN!W219,HN!AA219,HN!AE219,HN!AI219)))</f>
        <v>0</v>
      </c>
      <c r="B219">
        <f>SUMPRODUCT((MONTH(CHOOSE({1,2,3,4},HN!T219,HN!X219,HN!AB219,HN!AF219))=2)*(CHOOSE({1,2,3,4},HN!W219,HN!AA219,HN!AE219,HN!AI219)))</f>
        <v>0</v>
      </c>
      <c r="C219">
        <f>SUMPRODUCT((MONTH(CHOOSE({1,2,3,4},HN!T219,HN!X219,HN!AB219,HN!AF219))=3)*(CHOOSE({1,2,3,4},HN!W219,HN!AA219,HN!AE219,HN!AI219)))</f>
        <v>0</v>
      </c>
      <c r="D219">
        <f>SUMPRODUCT((MONTH(CHOOSE({1,2,3,4},HN!T219,HN!X219,HN!AB219,HN!AF219))=4)*(CHOOSE({1,2,3,4},HN!W219,HN!AA219,HN!AE219,HN!AI219)))</f>
        <v>0</v>
      </c>
      <c r="E219">
        <f>SUMPRODUCT((MONTH(CHOOSE({1,2,3,4},HN!T219,HN!X219,HN!AB219,HN!AF219))=5)*(CHOOSE({1,2,3,4},HN!W219,HN!AA219,HN!AE219,HN!AI219)))</f>
        <v>0</v>
      </c>
      <c r="F219">
        <f>SUMPRODUCT((MONTH(CHOOSE({1,2,3,4},HN!T219,HN!X219,HN!AB219,HN!AF219))=6)*(CHOOSE({1,2,3,4},HN!W219,HN!AA219,HN!AE219,HN!AI219)))</f>
        <v>0</v>
      </c>
      <c r="G219">
        <f>SUMPRODUCT((MONTH(CHOOSE({1,2,3,4},HN!T219,HN!X219,HN!AB219,HN!AF219))=7)*(CHOOSE({1,2,3,4},HN!W219,HN!AA219,HN!AE219,HN!AI219)))</f>
        <v>0</v>
      </c>
      <c r="H219">
        <f>SUMPRODUCT((MONTH(CHOOSE({1,2,3,4},HN!T219,HN!X219,HN!AB219,HN!AF219))=8)*(CHOOSE({1,2,3,4},HN!W219,HN!AA219,HN!AE219,HN!AI219)))</f>
        <v>0</v>
      </c>
      <c r="I219">
        <f>SUMPRODUCT((MONTH(CHOOSE({1,2,3,4},HN!T219,HN!X219,HN!AB219,HN!AF219))=9)*(CHOOSE({1,2,3,4},HN!W219,HN!AA219,HN!AE219,HN!AI219)))</f>
        <v>0</v>
      </c>
      <c r="J219">
        <f>SUMPRODUCT((MONTH(CHOOSE({1,2,3,4},HN!T219,HN!X219,HN!AB219,HN!AF219))=10)*(CHOOSE({1,2,3,4},HN!W219,HN!AA219,HN!AE219,HN!AI219)))</f>
        <v>0</v>
      </c>
      <c r="K219">
        <f>SUMPRODUCT((MONTH(CHOOSE({1,2,3,4},HN!T219,HN!X219,HN!AB219,HN!AF219))=11)*(CHOOSE({1,2,3,4},HN!W219,HN!AA219,HN!AE219,HN!AI219)))</f>
        <v>0</v>
      </c>
      <c r="L219">
        <f>SUMPRODUCT((MONTH(CHOOSE({1,2,3,4},HN!T219,HN!X219,HN!AB219,HN!AF219))=12)*(CHOOSE({1,2,3,4},HN!W219,HN!AA219,HN!AE219,HN!AI219)))</f>
        <v>0</v>
      </c>
    </row>
    <row r="220" spans="1:12">
      <c r="A220">
        <f>SUMPRODUCT((MONTH(CHOOSE({1,2,3,4},HN!T220,HN!X220,HN!AB220,HN!AF220))=1)*(CHOOSE({1,2,3,4},HN!W220,HN!AA220,HN!AE220,HN!AI220)))</f>
        <v>0</v>
      </c>
      <c r="B220">
        <f>SUMPRODUCT((MONTH(CHOOSE({1,2,3,4},HN!T220,HN!X220,HN!AB220,HN!AF220))=2)*(CHOOSE({1,2,3,4},HN!W220,HN!AA220,HN!AE220,HN!AI220)))</f>
        <v>0</v>
      </c>
      <c r="C220">
        <f>SUMPRODUCT((MONTH(CHOOSE({1,2,3,4},HN!T220,HN!X220,HN!AB220,HN!AF220))=3)*(CHOOSE({1,2,3,4},HN!W220,HN!AA220,HN!AE220,HN!AI220)))</f>
        <v>0</v>
      </c>
      <c r="D220">
        <f>SUMPRODUCT((MONTH(CHOOSE({1,2,3,4},HN!T220,HN!X220,HN!AB220,HN!AF220))=4)*(CHOOSE({1,2,3,4},HN!W220,HN!AA220,HN!AE220,HN!AI220)))</f>
        <v>0</v>
      </c>
      <c r="E220">
        <f>SUMPRODUCT((MONTH(CHOOSE({1,2,3,4},HN!T220,HN!X220,HN!AB220,HN!AF220))=5)*(CHOOSE({1,2,3,4},HN!W220,HN!AA220,HN!AE220,HN!AI220)))</f>
        <v>0</v>
      </c>
      <c r="F220">
        <f>SUMPRODUCT((MONTH(CHOOSE({1,2,3,4},HN!T220,HN!X220,HN!AB220,HN!AF220))=6)*(CHOOSE({1,2,3,4},HN!W220,HN!AA220,HN!AE220,HN!AI220)))</f>
        <v>0</v>
      </c>
      <c r="G220">
        <f>SUMPRODUCT((MONTH(CHOOSE({1,2,3,4},HN!T220,HN!X220,HN!AB220,HN!AF220))=7)*(CHOOSE({1,2,3,4},HN!W220,HN!AA220,HN!AE220,HN!AI220)))</f>
        <v>0</v>
      </c>
      <c r="H220">
        <f>SUMPRODUCT((MONTH(CHOOSE({1,2,3,4},HN!T220,HN!X220,HN!AB220,HN!AF220))=8)*(CHOOSE({1,2,3,4},HN!W220,HN!AA220,HN!AE220,HN!AI220)))</f>
        <v>0</v>
      </c>
      <c r="I220">
        <f>SUMPRODUCT((MONTH(CHOOSE({1,2,3,4},HN!T220,HN!X220,HN!AB220,HN!AF220))=9)*(CHOOSE({1,2,3,4},HN!W220,HN!AA220,HN!AE220,HN!AI220)))</f>
        <v>0</v>
      </c>
      <c r="J220">
        <f>SUMPRODUCT((MONTH(CHOOSE({1,2,3,4},HN!T220,HN!X220,HN!AB220,HN!AF220))=10)*(CHOOSE({1,2,3,4},HN!W220,HN!AA220,HN!AE220,HN!AI220)))</f>
        <v>0</v>
      </c>
      <c r="K220">
        <f>SUMPRODUCT((MONTH(CHOOSE({1,2,3,4},HN!T220,HN!X220,HN!AB220,HN!AF220))=11)*(CHOOSE({1,2,3,4},HN!W220,HN!AA220,HN!AE220,HN!AI220)))</f>
        <v>0</v>
      </c>
      <c r="L220">
        <f>SUMPRODUCT((MONTH(CHOOSE({1,2,3,4},HN!T220,HN!X220,HN!AB220,HN!AF220))=12)*(CHOOSE({1,2,3,4},HN!W220,HN!AA220,HN!AE220,HN!AI220)))</f>
        <v>0</v>
      </c>
    </row>
    <row r="221" spans="1:12">
      <c r="A221">
        <f>SUMPRODUCT((MONTH(CHOOSE({1,2,3,4},HN!T221,HN!X221,HN!AB221,HN!AF221))=1)*(CHOOSE({1,2,3,4},HN!W221,HN!AA221,HN!AE221,HN!AI221)))</f>
        <v>0</v>
      </c>
      <c r="B221">
        <f>SUMPRODUCT((MONTH(CHOOSE({1,2,3,4},HN!T221,HN!X221,HN!AB221,HN!AF221))=2)*(CHOOSE({1,2,3,4},HN!W221,HN!AA221,HN!AE221,HN!AI221)))</f>
        <v>0</v>
      </c>
      <c r="C221">
        <f>SUMPRODUCT((MONTH(CHOOSE({1,2,3,4},HN!T221,HN!X221,HN!AB221,HN!AF221))=3)*(CHOOSE({1,2,3,4},HN!W221,HN!AA221,HN!AE221,HN!AI221)))</f>
        <v>0</v>
      </c>
      <c r="D221">
        <f>SUMPRODUCT((MONTH(CHOOSE({1,2,3,4},HN!T221,HN!X221,HN!AB221,HN!AF221))=4)*(CHOOSE({1,2,3,4},HN!W221,HN!AA221,HN!AE221,HN!AI221)))</f>
        <v>0</v>
      </c>
      <c r="E221">
        <f>SUMPRODUCT((MONTH(CHOOSE({1,2,3,4},HN!T221,HN!X221,HN!AB221,HN!AF221))=5)*(CHOOSE({1,2,3,4},HN!W221,HN!AA221,HN!AE221,HN!AI221)))</f>
        <v>0</v>
      </c>
      <c r="F221">
        <f>SUMPRODUCT((MONTH(CHOOSE({1,2,3,4},HN!T221,HN!X221,HN!AB221,HN!AF221))=6)*(CHOOSE({1,2,3,4},HN!W221,HN!AA221,HN!AE221,HN!AI221)))</f>
        <v>0</v>
      </c>
      <c r="G221">
        <f>SUMPRODUCT((MONTH(CHOOSE({1,2,3,4},HN!T221,HN!X221,HN!AB221,HN!AF221))=7)*(CHOOSE({1,2,3,4},HN!W221,HN!AA221,HN!AE221,HN!AI221)))</f>
        <v>0</v>
      </c>
      <c r="H221">
        <f>SUMPRODUCT((MONTH(CHOOSE({1,2,3,4},HN!T221,HN!X221,HN!AB221,HN!AF221))=8)*(CHOOSE({1,2,3,4},HN!W221,HN!AA221,HN!AE221,HN!AI221)))</f>
        <v>0</v>
      </c>
      <c r="I221">
        <f>SUMPRODUCT((MONTH(CHOOSE({1,2,3,4},HN!T221,HN!X221,HN!AB221,HN!AF221))=9)*(CHOOSE({1,2,3,4},HN!W221,HN!AA221,HN!AE221,HN!AI221)))</f>
        <v>0</v>
      </c>
      <c r="J221">
        <f>SUMPRODUCT((MONTH(CHOOSE({1,2,3,4},HN!T221,HN!X221,HN!AB221,HN!AF221))=10)*(CHOOSE({1,2,3,4},HN!W221,HN!AA221,HN!AE221,HN!AI221)))</f>
        <v>0</v>
      </c>
      <c r="K221">
        <f>SUMPRODUCT((MONTH(CHOOSE({1,2,3,4},HN!T221,HN!X221,HN!AB221,HN!AF221))=11)*(CHOOSE({1,2,3,4},HN!W221,HN!AA221,HN!AE221,HN!AI221)))</f>
        <v>0</v>
      </c>
      <c r="L221">
        <f>SUMPRODUCT((MONTH(CHOOSE({1,2,3,4},HN!T221,HN!X221,HN!AB221,HN!AF221))=12)*(CHOOSE({1,2,3,4},HN!W221,HN!AA221,HN!AE221,HN!AI221)))</f>
        <v>0</v>
      </c>
    </row>
    <row r="222" spans="1:12">
      <c r="A222">
        <f>SUMPRODUCT((MONTH(CHOOSE({1,2,3,4},HN!T222,HN!X222,HN!AB222,HN!AF222))=1)*(CHOOSE({1,2,3,4},HN!W222,HN!AA222,HN!AE222,HN!AI222)))</f>
        <v>0</v>
      </c>
      <c r="B222">
        <f>SUMPRODUCT((MONTH(CHOOSE({1,2,3,4},HN!T222,HN!X222,HN!AB222,HN!AF222))=2)*(CHOOSE({1,2,3,4},HN!W222,HN!AA222,HN!AE222,HN!AI222)))</f>
        <v>0</v>
      </c>
      <c r="C222">
        <f>SUMPRODUCT((MONTH(CHOOSE({1,2,3,4},HN!T222,HN!X222,HN!AB222,HN!AF222))=3)*(CHOOSE({1,2,3,4},HN!W222,HN!AA222,HN!AE222,HN!AI222)))</f>
        <v>0</v>
      </c>
      <c r="D222">
        <f>SUMPRODUCT((MONTH(CHOOSE({1,2,3,4},HN!T222,HN!X222,HN!AB222,HN!AF222))=4)*(CHOOSE({1,2,3,4},HN!W222,HN!AA222,HN!AE222,HN!AI222)))</f>
        <v>0</v>
      </c>
      <c r="E222">
        <f>SUMPRODUCT((MONTH(CHOOSE({1,2,3,4},HN!T222,HN!X222,HN!AB222,HN!AF222))=5)*(CHOOSE({1,2,3,4},HN!W222,HN!AA222,HN!AE222,HN!AI222)))</f>
        <v>0</v>
      </c>
      <c r="F222">
        <f>SUMPRODUCT((MONTH(CHOOSE({1,2,3,4},HN!T222,HN!X222,HN!AB222,HN!AF222))=6)*(CHOOSE({1,2,3,4},HN!W222,HN!AA222,HN!AE222,HN!AI222)))</f>
        <v>0</v>
      </c>
      <c r="G222">
        <f>SUMPRODUCT((MONTH(CHOOSE({1,2,3,4},HN!T222,HN!X222,HN!AB222,HN!AF222))=7)*(CHOOSE({1,2,3,4},HN!W222,HN!AA222,HN!AE222,HN!AI222)))</f>
        <v>0</v>
      </c>
      <c r="H222">
        <f>SUMPRODUCT((MONTH(CHOOSE({1,2,3,4},HN!T222,HN!X222,HN!AB222,HN!AF222))=8)*(CHOOSE({1,2,3,4},HN!W222,HN!AA222,HN!AE222,HN!AI222)))</f>
        <v>0</v>
      </c>
      <c r="I222">
        <f>SUMPRODUCT((MONTH(CHOOSE({1,2,3,4},HN!T222,HN!X222,HN!AB222,HN!AF222))=9)*(CHOOSE({1,2,3,4},HN!W222,HN!AA222,HN!AE222,HN!AI222)))</f>
        <v>0</v>
      </c>
      <c r="J222">
        <f>SUMPRODUCT((MONTH(CHOOSE({1,2,3,4},HN!T222,HN!X222,HN!AB222,HN!AF222))=10)*(CHOOSE({1,2,3,4},HN!W222,HN!AA222,HN!AE222,HN!AI222)))</f>
        <v>0</v>
      </c>
      <c r="K222">
        <f>SUMPRODUCT((MONTH(CHOOSE({1,2,3,4},HN!T222,HN!X222,HN!AB222,HN!AF222))=11)*(CHOOSE({1,2,3,4},HN!W222,HN!AA222,HN!AE222,HN!AI222)))</f>
        <v>0</v>
      </c>
      <c r="L222">
        <f>SUMPRODUCT((MONTH(CHOOSE({1,2,3,4},HN!T222,HN!X222,HN!AB222,HN!AF222))=12)*(CHOOSE({1,2,3,4},HN!W222,HN!AA222,HN!AE222,HN!AI222)))</f>
        <v>0</v>
      </c>
    </row>
    <row r="223" spans="1:12">
      <c r="A223">
        <f>SUMPRODUCT((MONTH(CHOOSE({1,2,3,4},HN!T223,HN!X223,HN!AB223,HN!AF223))=1)*(CHOOSE({1,2,3,4},HN!W223,HN!AA223,HN!AE223,HN!AI223)))</f>
        <v>0</v>
      </c>
      <c r="B223">
        <f>SUMPRODUCT((MONTH(CHOOSE({1,2,3,4},HN!T223,HN!X223,HN!AB223,HN!AF223))=2)*(CHOOSE({1,2,3,4},HN!W223,HN!AA223,HN!AE223,HN!AI223)))</f>
        <v>0</v>
      </c>
      <c r="C223">
        <f>SUMPRODUCT((MONTH(CHOOSE({1,2,3,4},HN!T223,HN!X223,HN!AB223,HN!AF223))=3)*(CHOOSE({1,2,3,4},HN!W223,HN!AA223,HN!AE223,HN!AI223)))</f>
        <v>0</v>
      </c>
      <c r="D223">
        <f>SUMPRODUCT((MONTH(CHOOSE({1,2,3,4},HN!T223,HN!X223,HN!AB223,HN!AF223))=4)*(CHOOSE({1,2,3,4},HN!W223,HN!AA223,HN!AE223,HN!AI223)))</f>
        <v>0</v>
      </c>
      <c r="E223">
        <f>SUMPRODUCT((MONTH(CHOOSE({1,2,3,4},HN!T223,HN!X223,HN!AB223,HN!AF223))=5)*(CHOOSE({1,2,3,4},HN!W223,HN!AA223,HN!AE223,HN!AI223)))</f>
        <v>0</v>
      </c>
      <c r="F223">
        <f>SUMPRODUCT((MONTH(CHOOSE({1,2,3,4},HN!T223,HN!X223,HN!AB223,HN!AF223))=6)*(CHOOSE({1,2,3,4},HN!W223,HN!AA223,HN!AE223,HN!AI223)))</f>
        <v>0</v>
      </c>
      <c r="G223">
        <f>SUMPRODUCT((MONTH(CHOOSE({1,2,3,4},HN!T223,HN!X223,HN!AB223,HN!AF223))=7)*(CHOOSE({1,2,3,4},HN!W223,HN!AA223,HN!AE223,HN!AI223)))</f>
        <v>0</v>
      </c>
      <c r="H223">
        <f>SUMPRODUCT((MONTH(CHOOSE({1,2,3,4},HN!T223,HN!X223,HN!AB223,HN!AF223))=8)*(CHOOSE({1,2,3,4},HN!W223,HN!AA223,HN!AE223,HN!AI223)))</f>
        <v>0</v>
      </c>
      <c r="I223">
        <f>SUMPRODUCT((MONTH(CHOOSE({1,2,3,4},HN!T223,HN!X223,HN!AB223,HN!AF223))=9)*(CHOOSE({1,2,3,4},HN!W223,HN!AA223,HN!AE223,HN!AI223)))</f>
        <v>0</v>
      </c>
      <c r="J223">
        <f>SUMPRODUCT((MONTH(CHOOSE({1,2,3,4},HN!T223,HN!X223,HN!AB223,HN!AF223))=10)*(CHOOSE({1,2,3,4},HN!W223,HN!AA223,HN!AE223,HN!AI223)))</f>
        <v>0</v>
      </c>
      <c r="K223">
        <f>SUMPRODUCT((MONTH(CHOOSE({1,2,3,4},HN!T223,HN!X223,HN!AB223,HN!AF223))=11)*(CHOOSE({1,2,3,4},HN!W223,HN!AA223,HN!AE223,HN!AI223)))</f>
        <v>0</v>
      </c>
      <c r="L223">
        <f>SUMPRODUCT((MONTH(CHOOSE({1,2,3,4},HN!T223,HN!X223,HN!AB223,HN!AF223))=12)*(CHOOSE({1,2,3,4},HN!W223,HN!AA223,HN!AE223,HN!AI223)))</f>
        <v>0</v>
      </c>
    </row>
    <row r="224" spans="1:12">
      <c r="A224">
        <f>SUMPRODUCT((MONTH(CHOOSE({1,2,3,4},HN!T224,HN!X224,HN!AB224,HN!AF224))=1)*(CHOOSE({1,2,3,4},HN!W224,HN!AA224,HN!AE224,HN!AI224)))</f>
        <v>0</v>
      </c>
      <c r="B224">
        <f>SUMPRODUCT((MONTH(CHOOSE({1,2,3,4},HN!T224,HN!X224,HN!AB224,HN!AF224))=2)*(CHOOSE({1,2,3,4},HN!W224,HN!AA224,HN!AE224,HN!AI224)))</f>
        <v>0</v>
      </c>
      <c r="C224">
        <f>SUMPRODUCT((MONTH(CHOOSE({1,2,3,4},HN!T224,HN!X224,HN!AB224,HN!AF224))=3)*(CHOOSE({1,2,3,4},HN!W224,HN!AA224,HN!AE224,HN!AI224)))</f>
        <v>0</v>
      </c>
      <c r="D224">
        <f>SUMPRODUCT((MONTH(CHOOSE({1,2,3,4},HN!T224,HN!X224,HN!AB224,HN!AF224))=4)*(CHOOSE({1,2,3,4},HN!W224,HN!AA224,HN!AE224,HN!AI224)))</f>
        <v>0</v>
      </c>
      <c r="E224">
        <f>SUMPRODUCT((MONTH(CHOOSE({1,2,3,4},HN!T224,HN!X224,HN!AB224,HN!AF224))=5)*(CHOOSE({1,2,3,4},HN!W224,HN!AA224,HN!AE224,HN!AI224)))</f>
        <v>0</v>
      </c>
      <c r="F224">
        <f>SUMPRODUCT((MONTH(CHOOSE({1,2,3,4},HN!T224,HN!X224,HN!AB224,HN!AF224))=6)*(CHOOSE({1,2,3,4},HN!W224,HN!AA224,HN!AE224,HN!AI224)))</f>
        <v>0</v>
      </c>
      <c r="G224">
        <f>SUMPRODUCT((MONTH(CHOOSE({1,2,3,4},HN!T224,HN!X224,HN!AB224,HN!AF224))=7)*(CHOOSE({1,2,3,4},HN!W224,HN!AA224,HN!AE224,HN!AI224)))</f>
        <v>0</v>
      </c>
      <c r="H224">
        <f>SUMPRODUCT((MONTH(CHOOSE({1,2,3,4},HN!T224,HN!X224,HN!AB224,HN!AF224))=8)*(CHOOSE({1,2,3,4},HN!W224,HN!AA224,HN!AE224,HN!AI224)))</f>
        <v>0</v>
      </c>
      <c r="I224">
        <f>SUMPRODUCT((MONTH(CHOOSE({1,2,3,4},HN!T224,HN!X224,HN!AB224,HN!AF224))=9)*(CHOOSE({1,2,3,4},HN!W224,HN!AA224,HN!AE224,HN!AI224)))</f>
        <v>0</v>
      </c>
      <c r="J224">
        <f>SUMPRODUCT((MONTH(CHOOSE({1,2,3,4},HN!T224,HN!X224,HN!AB224,HN!AF224))=10)*(CHOOSE({1,2,3,4},HN!W224,HN!AA224,HN!AE224,HN!AI224)))</f>
        <v>0</v>
      </c>
      <c r="K224">
        <f>SUMPRODUCT((MONTH(CHOOSE({1,2,3,4},HN!T224,HN!X224,HN!AB224,HN!AF224))=11)*(CHOOSE({1,2,3,4},HN!W224,HN!AA224,HN!AE224,HN!AI224)))</f>
        <v>0</v>
      </c>
      <c r="L224">
        <f>SUMPRODUCT((MONTH(CHOOSE({1,2,3,4},HN!T224,HN!X224,HN!AB224,HN!AF224))=12)*(CHOOSE({1,2,3,4},HN!W224,HN!AA224,HN!AE224,HN!AI224)))</f>
        <v>0</v>
      </c>
    </row>
    <row r="225" spans="1:12">
      <c r="A225">
        <f>SUMPRODUCT((MONTH(CHOOSE({1,2,3,4},HN!T225,HN!X225,HN!AB225,HN!AF225))=1)*(CHOOSE({1,2,3,4},HN!W225,HN!AA225,HN!AE225,HN!AI225)))</f>
        <v>0</v>
      </c>
      <c r="B225">
        <f>SUMPRODUCT((MONTH(CHOOSE({1,2,3,4},HN!T225,HN!X225,HN!AB225,HN!AF225))=2)*(CHOOSE({1,2,3,4},HN!W225,HN!AA225,HN!AE225,HN!AI225)))</f>
        <v>0</v>
      </c>
      <c r="C225">
        <f>SUMPRODUCT((MONTH(CHOOSE({1,2,3,4},HN!T225,HN!X225,HN!AB225,HN!AF225))=3)*(CHOOSE({1,2,3,4},HN!W225,HN!AA225,HN!AE225,HN!AI225)))</f>
        <v>0</v>
      </c>
      <c r="D225">
        <f>SUMPRODUCT((MONTH(CHOOSE({1,2,3,4},HN!T225,HN!X225,HN!AB225,HN!AF225))=4)*(CHOOSE({1,2,3,4},HN!W225,HN!AA225,HN!AE225,HN!AI225)))</f>
        <v>0</v>
      </c>
      <c r="E225">
        <f>SUMPRODUCT((MONTH(CHOOSE({1,2,3,4},HN!T225,HN!X225,HN!AB225,HN!AF225))=5)*(CHOOSE({1,2,3,4},HN!W225,HN!AA225,HN!AE225,HN!AI225)))</f>
        <v>0</v>
      </c>
      <c r="F225">
        <f>SUMPRODUCT((MONTH(CHOOSE({1,2,3,4},HN!T225,HN!X225,HN!AB225,HN!AF225))=6)*(CHOOSE({1,2,3,4},HN!W225,HN!AA225,HN!AE225,HN!AI225)))</f>
        <v>0</v>
      </c>
      <c r="G225">
        <f>SUMPRODUCT((MONTH(CHOOSE({1,2,3,4},HN!T225,HN!X225,HN!AB225,HN!AF225))=7)*(CHOOSE({1,2,3,4},HN!W225,HN!AA225,HN!AE225,HN!AI225)))</f>
        <v>0</v>
      </c>
      <c r="H225">
        <f>SUMPRODUCT((MONTH(CHOOSE({1,2,3,4},HN!T225,HN!X225,HN!AB225,HN!AF225))=8)*(CHOOSE({1,2,3,4},HN!W225,HN!AA225,HN!AE225,HN!AI225)))</f>
        <v>0</v>
      </c>
      <c r="I225">
        <f>SUMPRODUCT((MONTH(CHOOSE({1,2,3,4},HN!T225,HN!X225,HN!AB225,HN!AF225))=9)*(CHOOSE({1,2,3,4},HN!W225,HN!AA225,HN!AE225,HN!AI225)))</f>
        <v>0</v>
      </c>
      <c r="J225">
        <f>SUMPRODUCT((MONTH(CHOOSE({1,2,3,4},HN!T225,HN!X225,HN!AB225,HN!AF225))=10)*(CHOOSE({1,2,3,4},HN!W225,HN!AA225,HN!AE225,HN!AI225)))</f>
        <v>0</v>
      </c>
      <c r="K225">
        <f>SUMPRODUCT((MONTH(CHOOSE({1,2,3,4},HN!T225,HN!X225,HN!AB225,HN!AF225))=11)*(CHOOSE({1,2,3,4},HN!W225,HN!AA225,HN!AE225,HN!AI225)))</f>
        <v>0</v>
      </c>
      <c r="L225">
        <f>SUMPRODUCT((MONTH(CHOOSE({1,2,3,4},HN!T225,HN!X225,HN!AB225,HN!AF225))=12)*(CHOOSE({1,2,3,4},HN!W225,HN!AA225,HN!AE225,HN!AI225)))</f>
        <v>0</v>
      </c>
    </row>
    <row r="226" spans="1:12">
      <c r="A226">
        <f>SUMPRODUCT((MONTH(CHOOSE({1,2,3,4},HN!T226,HN!X226,HN!AB226,HN!AF226))=1)*(CHOOSE({1,2,3,4},HN!W226,HN!AA226,HN!AE226,HN!AI226)))</f>
        <v>0</v>
      </c>
      <c r="B226">
        <f>SUMPRODUCT((MONTH(CHOOSE({1,2,3,4},HN!T226,HN!X226,HN!AB226,HN!AF226))=2)*(CHOOSE({1,2,3,4},HN!W226,HN!AA226,HN!AE226,HN!AI226)))</f>
        <v>0</v>
      </c>
      <c r="C226">
        <f>SUMPRODUCT((MONTH(CHOOSE({1,2,3,4},HN!T226,HN!X226,HN!AB226,HN!AF226))=3)*(CHOOSE({1,2,3,4},HN!W226,HN!AA226,HN!AE226,HN!AI226)))</f>
        <v>0</v>
      </c>
      <c r="D226">
        <f>SUMPRODUCT((MONTH(CHOOSE({1,2,3,4},HN!T226,HN!X226,HN!AB226,HN!AF226))=4)*(CHOOSE({1,2,3,4},HN!W226,HN!AA226,HN!AE226,HN!AI226)))</f>
        <v>0</v>
      </c>
      <c r="E226">
        <f>SUMPRODUCT((MONTH(CHOOSE({1,2,3,4},HN!T226,HN!X226,HN!AB226,HN!AF226))=5)*(CHOOSE({1,2,3,4},HN!W226,HN!AA226,HN!AE226,HN!AI226)))</f>
        <v>0</v>
      </c>
      <c r="F226">
        <f>SUMPRODUCT((MONTH(CHOOSE({1,2,3,4},HN!T226,HN!X226,HN!AB226,HN!AF226))=6)*(CHOOSE({1,2,3,4},HN!W226,HN!AA226,HN!AE226,HN!AI226)))</f>
        <v>0</v>
      </c>
      <c r="G226">
        <f>SUMPRODUCT((MONTH(CHOOSE({1,2,3,4},HN!T226,HN!X226,HN!AB226,HN!AF226))=7)*(CHOOSE({1,2,3,4},HN!W226,HN!AA226,HN!AE226,HN!AI226)))</f>
        <v>0</v>
      </c>
      <c r="H226">
        <f>SUMPRODUCT((MONTH(CHOOSE({1,2,3,4},HN!T226,HN!X226,HN!AB226,HN!AF226))=8)*(CHOOSE({1,2,3,4},HN!W226,HN!AA226,HN!AE226,HN!AI226)))</f>
        <v>0</v>
      </c>
      <c r="I226">
        <f>SUMPRODUCT((MONTH(CHOOSE({1,2,3,4},HN!T226,HN!X226,HN!AB226,HN!AF226))=9)*(CHOOSE({1,2,3,4},HN!W226,HN!AA226,HN!AE226,HN!AI226)))</f>
        <v>0</v>
      </c>
      <c r="J226">
        <f>SUMPRODUCT((MONTH(CHOOSE({1,2,3,4},HN!T226,HN!X226,HN!AB226,HN!AF226))=10)*(CHOOSE({1,2,3,4},HN!W226,HN!AA226,HN!AE226,HN!AI226)))</f>
        <v>0</v>
      </c>
      <c r="K226">
        <f>SUMPRODUCT((MONTH(CHOOSE({1,2,3,4},HN!T226,HN!X226,HN!AB226,HN!AF226))=11)*(CHOOSE({1,2,3,4},HN!W226,HN!AA226,HN!AE226,HN!AI226)))</f>
        <v>0</v>
      </c>
      <c r="L226">
        <f>SUMPRODUCT((MONTH(CHOOSE({1,2,3,4},HN!T226,HN!X226,HN!AB226,HN!AF226))=12)*(CHOOSE({1,2,3,4},HN!W226,HN!AA226,HN!AE226,HN!AI226)))</f>
        <v>0</v>
      </c>
    </row>
    <row r="227" spans="1:12">
      <c r="A227">
        <f>SUMPRODUCT((MONTH(CHOOSE({1,2,3,4},HN!T227,HN!X227,HN!AB227,HN!AF227))=1)*(CHOOSE({1,2,3,4},HN!W227,HN!AA227,HN!AE227,HN!AI227)))</f>
        <v>0</v>
      </c>
      <c r="B227">
        <f>SUMPRODUCT((MONTH(CHOOSE({1,2,3,4},HN!T227,HN!X227,HN!AB227,HN!AF227))=2)*(CHOOSE({1,2,3,4},HN!W227,HN!AA227,HN!AE227,HN!AI227)))</f>
        <v>0</v>
      </c>
      <c r="C227">
        <f>SUMPRODUCT((MONTH(CHOOSE({1,2,3,4},HN!T227,HN!X227,HN!AB227,HN!AF227))=3)*(CHOOSE({1,2,3,4},HN!W227,HN!AA227,HN!AE227,HN!AI227)))</f>
        <v>0</v>
      </c>
      <c r="D227">
        <f>SUMPRODUCT((MONTH(CHOOSE({1,2,3,4},HN!T227,HN!X227,HN!AB227,HN!AF227))=4)*(CHOOSE({1,2,3,4},HN!W227,HN!AA227,HN!AE227,HN!AI227)))</f>
        <v>0</v>
      </c>
      <c r="E227">
        <f>SUMPRODUCT((MONTH(CHOOSE({1,2,3,4},HN!T227,HN!X227,HN!AB227,HN!AF227))=5)*(CHOOSE({1,2,3,4},HN!W227,HN!AA227,HN!AE227,HN!AI227)))</f>
        <v>0</v>
      </c>
      <c r="F227">
        <f>SUMPRODUCT((MONTH(CHOOSE({1,2,3,4},HN!T227,HN!X227,HN!AB227,HN!AF227))=6)*(CHOOSE({1,2,3,4},HN!W227,HN!AA227,HN!AE227,HN!AI227)))</f>
        <v>0</v>
      </c>
      <c r="G227">
        <f>SUMPRODUCT((MONTH(CHOOSE({1,2,3,4},HN!T227,HN!X227,HN!AB227,HN!AF227))=7)*(CHOOSE({1,2,3,4},HN!W227,HN!AA227,HN!AE227,HN!AI227)))</f>
        <v>0</v>
      </c>
      <c r="H227">
        <f>SUMPRODUCT((MONTH(CHOOSE({1,2,3,4},HN!T227,HN!X227,HN!AB227,HN!AF227))=8)*(CHOOSE({1,2,3,4},HN!W227,HN!AA227,HN!AE227,HN!AI227)))</f>
        <v>0</v>
      </c>
      <c r="I227">
        <f>SUMPRODUCT((MONTH(CHOOSE({1,2,3,4},HN!T227,HN!X227,HN!AB227,HN!AF227))=9)*(CHOOSE({1,2,3,4},HN!W227,HN!AA227,HN!AE227,HN!AI227)))</f>
        <v>0</v>
      </c>
      <c r="J227">
        <f>SUMPRODUCT((MONTH(CHOOSE({1,2,3,4},HN!T227,HN!X227,HN!AB227,HN!AF227))=10)*(CHOOSE({1,2,3,4},HN!W227,HN!AA227,HN!AE227,HN!AI227)))</f>
        <v>0</v>
      </c>
      <c r="K227">
        <f>SUMPRODUCT((MONTH(CHOOSE({1,2,3,4},HN!T227,HN!X227,HN!AB227,HN!AF227))=11)*(CHOOSE({1,2,3,4},HN!W227,HN!AA227,HN!AE227,HN!AI227)))</f>
        <v>0</v>
      </c>
      <c r="L227">
        <f>SUMPRODUCT((MONTH(CHOOSE({1,2,3,4},HN!T227,HN!X227,HN!AB227,HN!AF227))=12)*(CHOOSE({1,2,3,4},HN!W227,HN!AA227,HN!AE227,HN!AI227)))</f>
        <v>0</v>
      </c>
    </row>
    <row r="228" spans="1:12">
      <c r="A228">
        <f>SUMPRODUCT((MONTH(CHOOSE({1,2,3,4},HN!T228,HN!X228,HN!AB228,HN!AF228))=1)*(CHOOSE({1,2,3,4},HN!W228,HN!AA228,HN!AE228,HN!AI228)))</f>
        <v>0</v>
      </c>
      <c r="B228">
        <f>SUMPRODUCT((MONTH(CHOOSE({1,2,3,4},HN!T228,HN!X228,HN!AB228,HN!AF228))=2)*(CHOOSE({1,2,3,4},HN!W228,HN!AA228,HN!AE228,HN!AI228)))</f>
        <v>0</v>
      </c>
      <c r="C228">
        <f>SUMPRODUCT((MONTH(CHOOSE({1,2,3,4},HN!T228,HN!X228,HN!AB228,HN!AF228))=3)*(CHOOSE({1,2,3,4},HN!W228,HN!AA228,HN!AE228,HN!AI228)))</f>
        <v>0</v>
      </c>
      <c r="D228">
        <f>SUMPRODUCT((MONTH(CHOOSE({1,2,3,4},HN!T228,HN!X228,HN!AB228,HN!AF228))=4)*(CHOOSE({1,2,3,4},HN!W228,HN!AA228,HN!AE228,HN!AI228)))</f>
        <v>0</v>
      </c>
      <c r="E228">
        <f>SUMPRODUCT((MONTH(CHOOSE({1,2,3,4},HN!T228,HN!X228,HN!AB228,HN!AF228))=5)*(CHOOSE({1,2,3,4},HN!W228,HN!AA228,HN!AE228,HN!AI228)))</f>
        <v>0</v>
      </c>
      <c r="F228">
        <f>SUMPRODUCT((MONTH(CHOOSE({1,2,3,4},HN!T228,HN!X228,HN!AB228,HN!AF228))=6)*(CHOOSE({1,2,3,4},HN!W228,HN!AA228,HN!AE228,HN!AI228)))</f>
        <v>0</v>
      </c>
      <c r="G228">
        <f>SUMPRODUCT((MONTH(CHOOSE({1,2,3,4},HN!T228,HN!X228,HN!AB228,HN!AF228))=7)*(CHOOSE({1,2,3,4},HN!W228,HN!AA228,HN!AE228,HN!AI228)))</f>
        <v>0</v>
      </c>
      <c r="H228">
        <f>SUMPRODUCT((MONTH(CHOOSE({1,2,3,4},HN!T228,HN!X228,HN!AB228,HN!AF228))=8)*(CHOOSE({1,2,3,4},HN!W228,HN!AA228,HN!AE228,HN!AI228)))</f>
        <v>0</v>
      </c>
      <c r="I228">
        <f>SUMPRODUCT((MONTH(CHOOSE({1,2,3,4},HN!T228,HN!X228,HN!AB228,HN!AF228))=9)*(CHOOSE({1,2,3,4},HN!W228,HN!AA228,HN!AE228,HN!AI228)))</f>
        <v>0</v>
      </c>
      <c r="J228">
        <f>SUMPRODUCT((MONTH(CHOOSE({1,2,3,4},HN!T228,HN!X228,HN!AB228,HN!AF228))=10)*(CHOOSE({1,2,3,4},HN!W228,HN!AA228,HN!AE228,HN!AI228)))</f>
        <v>0</v>
      </c>
      <c r="K228">
        <f>SUMPRODUCT((MONTH(CHOOSE({1,2,3,4},HN!T228,HN!X228,HN!AB228,HN!AF228))=11)*(CHOOSE({1,2,3,4},HN!W228,HN!AA228,HN!AE228,HN!AI228)))</f>
        <v>0</v>
      </c>
      <c r="L228">
        <f>SUMPRODUCT((MONTH(CHOOSE({1,2,3,4},HN!T228,HN!X228,HN!AB228,HN!AF228))=12)*(CHOOSE({1,2,3,4},HN!W228,HN!AA228,HN!AE228,HN!AI228)))</f>
        <v>0</v>
      </c>
    </row>
    <row r="229" spans="1:12">
      <c r="A229">
        <f>SUMPRODUCT((MONTH(CHOOSE({1,2,3,4},HN!T229,HN!X229,HN!AB229,HN!AF229))=1)*(CHOOSE({1,2,3,4},HN!W229,HN!AA229,HN!AE229,HN!AI229)))</f>
        <v>0</v>
      </c>
      <c r="B229">
        <f>SUMPRODUCT((MONTH(CHOOSE({1,2,3,4},HN!T229,HN!X229,HN!AB229,HN!AF229))=2)*(CHOOSE({1,2,3,4},HN!W229,HN!AA229,HN!AE229,HN!AI229)))</f>
        <v>0</v>
      </c>
      <c r="C229">
        <f>SUMPRODUCT((MONTH(CHOOSE({1,2,3,4},HN!T229,HN!X229,HN!AB229,HN!AF229))=3)*(CHOOSE({1,2,3,4},HN!W229,HN!AA229,HN!AE229,HN!AI229)))</f>
        <v>0</v>
      </c>
      <c r="D229">
        <f>SUMPRODUCT((MONTH(CHOOSE({1,2,3,4},HN!T229,HN!X229,HN!AB229,HN!AF229))=4)*(CHOOSE({1,2,3,4},HN!W229,HN!AA229,HN!AE229,HN!AI229)))</f>
        <v>0</v>
      </c>
      <c r="E229">
        <f>SUMPRODUCT((MONTH(CHOOSE({1,2,3,4},HN!T229,HN!X229,HN!AB229,HN!AF229))=5)*(CHOOSE({1,2,3,4},HN!W229,HN!AA229,HN!AE229,HN!AI229)))</f>
        <v>0</v>
      </c>
      <c r="F229">
        <f>SUMPRODUCT((MONTH(CHOOSE({1,2,3,4},HN!T229,HN!X229,HN!AB229,HN!AF229))=6)*(CHOOSE({1,2,3,4},HN!W229,HN!AA229,HN!AE229,HN!AI229)))</f>
        <v>0</v>
      </c>
      <c r="G229">
        <f>SUMPRODUCT((MONTH(CHOOSE({1,2,3,4},HN!T229,HN!X229,HN!AB229,HN!AF229))=7)*(CHOOSE({1,2,3,4},HN!W229,HN!AA229,HN!AE229,HN!AI229)))</f>
        <v>0</v>
      </c>
      <c r="H229">
        <f>SUMPRODUCT((MONTH(CHOOSE({1,2,3,4},HN!T229,HN!X229,HN!AB229,HN!AF229))=8)*(CHOOSE({1,2,3,4},HN!W229,HN!AA229,HN!AE229,HN!AI229)))</f>
        <v>0</v>
      </c>
      <c r="I229">
        <f>SUMPRODUCT((MONTH(CHOOSE({1,2,3,4},HN!T229,HN!X229,HN!AB229,HN!AF229))=9)*(CHOOSE({1,2,3,4},HN!W229,HN!AA229,HN!AE229,HN!AI229)))</f>
        <v>0</v>
      </c>
      <c r="J229">
        <f>SUMPRODUCT((MONTH(CHOOSE({1,2,3,4},HN!T229,HN!X229,HN!AB229,HN!AF229))=10)*(CHOOSE({1,2,3,4},HN!W229,HN!AA229,HN!AE229,HN!AI229)))</f>
        <v>0</v>
      </c>
      <c r="K229">
        <f>SUMPRODUCT((MONTH(CHOOSE({1,2,3,4},HN!T229,HN!X229,HN!AB229,HN!AF229))=11)*(CHOOSE({1,2,3,4},HN!W229,HN!AA229,HN!AE229,HN!AI229)))</f>
        <v>0</v>
      </c>
      <c r="L229">
        <f>SUMPRODUCT((MONTH(CHOOSE({1,2,3,4},HN!T229,HN!X229,HN!AB229,HN!AF229))=12)*(CHOOSE({1,2,3,4},HN!W229,HN!AA229,HN!AE229,HN!AI229)))</f>
        <v>0</v>
      </c>
    </row>
    <row r="230" spans="1:12">
      <c r="A230">
        <f>SUMPRODUCT((MONTH(CHOOSE({1,2,3,4},HN!T230,HN!X230,HN!AB230,HN!AF230))=1)*(CHOOSE({1,2,3,4},HN!W230,HN!AA230,HN!AE230,HN!AI230)))</f>
        <v>0</v>
      </c>
      <c r="B230">
        <f>SUMPRODUCT((MONTH(CHOOSE({1,2,3,4},HN!T230,HN!X230,HN!AB230,HN!AF230))=2)*(CHOOSE({1,2,3,4},HN!W230,HN!AA230,HN!AE230,HN!AI230)))</f>
        <v>0</v>
      </c>
      <c r="C230">
        <f>SUMPRODUCT((MONTH(CHOOSE({1,2,3,4},HN!T230,HN!X230,HN!AB230,HN!AF230))=3)*(CHOOSE({1,2,3,4},HN!W230,HN!AA230,HN!AE230,HN!AI230)))</f>
        <v>0</v>
      </c>
      <c r="D230">
        <f>SUMPRODUCT((MONTH(CHOOSE({1,2,3,4},HN!T230,HN!X230,HN!AB230,HN!AF230))=4)*(CHOOSE({1,2,3,4},HN!W230,HN!AA230,HN!AE230,HN!AI230)))</f>
        <v>0</v>
      </c>
      <c r="E230">
        <f>SUMPRODUCT((MONTH(CHOOSE({1,2,3,4},HN!T230,HN!X230,HN!AB230,HN!AF230))=5)*(CHOOSE({1,2,3,4},HN!W230,HN!AA230,HN!AE230,HN!AI230)))</f>
        <v>0</v>
      </c>
      <c r="F230">
        <f>SUMPRODUCT((MONTH(CHOOSE({1,2,3,4},HN!T230,HN!X230,HN!AB230,HN!AF230))=6)*(CHOOSE({1,2,3,4},HN!W230,HN!AA230,HN!AE230,HN!AI230)))</f>
        <v>0</v>
      </c>
      <c r="G230">
        <f>SUMPRODUCT((MONTH(CHOOSE({1,2,3,4},HN!T230,HN!X230,HN!AB230,HN!AF230))=7)*(CHOOSE({1,2,3,4},HN!W230,HN!AA230,HN!AE230,HN!AI230)))</f>
        <v>0</v>
      </c>
      <c r="H230">
        <f>SUMPRODUCT((MONTH(CHOOSE({1,2,3,4},HN!T230,HN!X230,HN!AB230,HN!AF230))=8)*(CHOOSE({1,2,3,4},HN!W230,HN!AA230,HN!AE230,HN!AI230)))</f>
        <v>0</v>
      </c>
      <c r="I230">
        <f>SUMPRODUCT((MONTH(CHOOSE({1,2,3,4},HN!T230,HN!X230,HN!AB230,HN!AF230))=9)*(CHOOSE({1,2,3,4},HN!W230,HN!AA230,HN!AE230,HN!AI230)))</f>
        <v>0</v>
      </c>
      <c r="J230">
        <f>SUMPRODUCT((MONTH(CHOOSE({1,2,3,4},HN!T230,HN!X230,HN!AB230,HN!AF230))=10)*(CHOOSE({1,2,3,4},HN!W230,HN!AA230,HN!AE230,HN!AI230)))</f>
        <v>0</v>
      </c>
      <c r="K230">
        <f>SUMPRODUCT((MONTH(CHOOSE({1,2,3,4},HN!T230,HN!X230,HN!AB230,HN!AF230))=11)*(CHOOSE({1,2,3,4},HN!W230,HN!AA230,HN!AE230,HN!AI230)))</f>
        <v>0</v>
      </c>
      <c r="L230">
        <f>SUMPRODUCT((MONTH(CHOOSE({1,2,3,4},HN!T230,HN!X230,HN!AB230,HN!AF230))=12)*(CHOOSE({1,2,3,4},HN!W230,HN!AA230,HN!AE230,HN!AI230)))</f>
        <v>0</v>
      </c>
    </row>
    <row r="231" spans="1:12">
      <c r="A231">
        <f>SUMPRODUCT((MONTH(CHOOSE({1,2,3,4},HN!T231,HN!X231,HN!AB231,HN!AF231))=1)*(CHOOSE({1,2,3,4},HN!W231,HN!AA231,HN!AE231,HN!AI231)))</f>
        <v>0</v>
      </c>
      <c r="B231">
        <f>SUMPRODUCT((MONTH(CHOOSE({1,2,3,4},HN!T231,HN!X231,HN!AB231,HN!AF231))=2)*(CHOOSE({1,2,3,4},HN!W231,HN!AA231,HN!AE231,HN!AI231)))</f>
        <v>0</v>
      </c>
      <c r="C231">
        <f>SUMPRODUCT((MONTH(CHOOSE({1,2,3,4},HN!T231,HN!X231,HN!AB231,HN!AF231))=3)*(CHOOSE({1,2,3,4},HN!W231,HN!AA231,HN!AE231,HN!AI231)))</f>
        <v>0</v>
      </c>
      <c r="D231">
        <f>SUMPRODUCT((MONTH(CHOOSE({1,2,3,4},HN!T231,HN!X231,HN!AB231,HN!AF231))=4)*(CHOOSE({1,2,3,4},HN!W231,HN!AA231,HN!AE231,HN!AI231)))</f>
        <v>0</v>
      </c>
      <c r="E231">
        <f>SUMPRODUCT((MONTH(CHOOSE({1,2,3,4},HN!T231,HN!X231,HN!AB231,HN!AF231))=5)*(CHOOSE({1,2,3,4},HN!W231,HN!AA231,HN!AE231,HN!AI231)))</f>
        <v>0</v>
      </c>
      <c r="F231">
        <f>SUMPRODUCT((MONTH(CHOOSE({1,2,3,4},HN!T231,HN!X231,HN!AB231,HN!AF231))=6)*(CHOOSE({1,2,3,4},HN!W231,HN!AA231,HN!AE231,HN!AI231)))</f>
        <v>0</v>
      </c>
      <c r="G231">
        <f>SUMPRODUCT((MONTH(CHOOSE({1,2,3,4},HN!T231,HN!X231,HN!AB231,HN!AF231))=7)*(CHOOSE({1,2,3,4},HN!W231,HN!AA231,HN!AE231,HN!AI231)))</f>
        <v>0</v>
      </c>
      <c r="H231">
        <f>SUMPRODUCT((MONTH(CHOOSE({1,2,3,4},HN!T231,HN!X231,HN!AB231,HN!AF231))=8)*(CHOOSE({1,2,3,4},HN!W231,HN!AA231,HN!AE231,HN!AI231)))</f>
        <v>0</v>
      </c>
      <c r="I231">
        <f>SUMPRODUCT((MONTH(CHOOSE({1,2,3,4},HN!T231,HN!X231,HN!AB231,HN!AF231))=9)*(CHOOSE({1,2,3,4},HN!W231,HN!AA231,HN!AE231,HN!AI231)))</f>
        <v>0</v>
      </c>
      <c r="J231">
        <f>SUMPRODUCT((MONTH(CHOOSE({1,2,3,4},HN!T231,HN!X231,HN!AB231,HN!AF231))=10)*(CHOOSE({1,2,3,4},HN!W231,HN!AA231,HN!AE231,HN!AI231)))</f>
        <v>0</v>
      </c>
      <c r="K231">
        <f>SUMPRODUCT((MONTH(CHOOSE({1,2,3,4},HN!T231,HN!X231,HN!AB231,HN!AF231))=11)*(CHOOSE({1,2,3,4},HN!W231,HN!AA231,HN!AE231,HN!AI231)))</f>
        <v>0</v>
      </c>
      <c r="L231">
        <f>SUMPRODUCT((MONTH(CHOOSE({1,2,3,4},HN!T231,HN!X231,HN!AB231,HN!AF231))=12)*(CHOOSE({1,2,3,4},HN!W231,HN!AA231,HN!AE231,HN!AI231)))</f>
        <v>0</v>
      </c>
    </row>
    <row r="232" spans="1:12">
      <c r="A232">
        <f>SUMPRODUCT((MONTH(CHOOSE({1,2,3,4},HN!T232,HN!X232,HN!AB232,HN!AF232))=1)*(CHOOSE({1,2,3,4},HN!W232,HN!AA232,HN!AE232,HN!AI232)))</f>
        <v>0</v>
      </c>
      <c r="B232">
        <f>SUMPRODUCT((MONTH(CHOOSE({1,2,3,4},HN!T232,HN!X232,HN!AB232,HN!AF232))=2)*(CHOOSE({1,2,3,4},HN!W232,HN!AA232,HN!AE232,HN!AI232)))</f>
        <v>0</v>
      </c>
      <c r="C232">
        <f>SUMPRODUCT((MONTH(CHOOSE({1,2,3,4},HN!T232,HN!X232,HN!AB232,HN!AF232))=3)*(CHOOSE({1,2,3,4},HN!W232,HN!AA232,HN!AE232,HN!AI232)))</f>
        <v>0</v>
      </c>
      <c r="D232">
        <f>SUMPRODUCT((MONTH(CHOOSE({1,2,3,4},HN!T232,HN!X232,HN!AB232,HN!AF232))=4)*(CHOOSE({1,2,3,4},HN!W232,HN!AA232,HN!AE232,HN!AI232)))</f>
        <v>0</v>
      </c>
      <c r="E232">
        <f>SUMPRODUCT((MONTH(CHOOSE({1,2,3,4},HN!T232,HN!X232,HN!AB232,HN!AF232))=5)*(CHOOSE({1,2,3,4},HN!W232,HN!AA232,HN!AE232,HN!AI232)))</f>
        <v>0</v>
      </c>
      <c r="F232">
        <f>SUMPRODUCT((MONTH(CHOOSE({1,2,3,4},HN!T232,HN!X232,HN!AB232,HN!AF232))=6)*(CHOOSE({1,2,3,4},HN!W232,HN!AA232,HN!AE232,HN!AI232)))</f>
        <v>0</v>
      </c>
      <c r="G232">
        <f>SUMPRODUCT((MONTH(CHOOSE({1,2,3,4},HN!T232,HN!X232,HN!AB232,HN!AF232))=7)*(CHOOSE({1,2,3,4},HN!W232,HN!AA232,HN!AE232,HN!AI232)))</f>
        <v>0</v>
      </c>
      <c r="H232">
        <f>SUMPRODUCT((MONTH(CHOOSE({1,2,3,4},HN!T232,HN!X232,HN!AB232,HN!AF232))=8)*(CHOOSE({1,2,3,4},HN!W232,HN!AA232,HN!AE232,HN!AI232)))</f>
        <v>0</v>
      </c>
      <c r="I232">
        <f>SUMPRODUCT((MONTH(CHOOSE({1,2,3,4},HN!T232,HN!X232,HN!AB232,HN!AF232))=9)*(CHOOSE({1,2,3,4},HN!W232,HN!AA232,HN!AE232,HN!AI232)))</f>
        <v>0</v>
      </c>
      <c r="J232">
        <f>SUMPRODUCT((MONTH(CHOOSE({1,2,3,4},HN!T232,HN!X232,HN!AB232,HN!AF232))=10)*(CHOOSE({1,2,3,4},HN!W232,HN!AA232,HN!AE232,HN!AI232)))</f>
        <v>0</v>
      </c>
      <c r="K232">
        <f>SUMPRODUCT((MONTH(CHOOSE({1,2,3,4},HN!T232,HN!X232,HN!AB232,HN!AF232))=11)*(CHOOSE({1,2,3,4},HN!W232,HN!AA232,HN!AE232,HN!AI232)))</f>
        <v>0</v>
      </c>
      <c r="L232">
        <f>SUMPRODUCT((MONTH(CHOOSE({1,2,3,4},HN!T232,HN!X232,HN!AB232,HN!AF232))=12)*(CHOOSE({1,2,3,4},HN!W232,HN!AA232,HN!AE232,HN!AI232)))</f>
        <v>0</v>
      </c>
    </row>
    <row r="233" spans="1:12">
      <c r="A233">
        <f>SUMPRODUCT((MONTH(CHOOSE({1,2,3,4},HN!T233,HN!X233,HN!AB233,HN!AF233))=1)*(CHOOSE({1,2,3,4},HN!W233,HN!AA233,HN!AE233,HN!AI233)))</f>
        <v>0</v>
      </c>
      <c r="B233">
        <f>SUMPRODUCT((MONTH(CHOOSE({1,2,3,4},HN!T233,HN!X233,HN!AB233,HN!AF233))=2)*(CHOOSE({1,2,3,4},HN!W233,HN!AA233,HN!AE233,HN!AI233)))</f>
        <v>0</v>
      </c>
      <c r="C233">
        <f>SUMPRODUCT((MONTH(CHOOSE({1,2,3,4},HN!T233,HN!X233,HN!AB233,HN!AF233))=3)*(CHOOSE({1,2,3,4},HN!W233,HN!AA233,HN!AE233,HN!AI233)))</f>
        <v>0</v>
      </c>
      <c r="D233">
        <f>SUMPRODUCT((MONTH(CHOOSE({1,2,3,4},HN!T233,HN!X233,HN!AB233,HN!AF233))=4)*(CHOOSE({1,2,3,4},HN!W233,HN!AA233,HN!AE233,HN!AI233)))</f>
        <v>0</v>
      </c>
      <c r="E233">
        <f>SUMPRODUCT((MONTH(CHOOSE({1,2,3,4},HN!T233,HN!X233,HN!AB233,HN!AF233))=5)*(CHOOSE({1,2,3,4},HN!W233,HN!AA233,HN!AE233,HN!AI233)))</f>
        <v>0</v>
      </c>
      <c r="F233">
        <f>SUMPRODUCT((MONTH(CHOOSE({1,2,3,4},HN!T233,HN!X233,HN!AB233,HN!AF233))=6)*(CHOOSE({1,2,3,4},HN!W233,HN!AA233,HN!AE233,HN!AI233)))</f>
        <v>0</v>
      </c>
      <c r="G233">
        <f>SUMPRODUCT((MONTH(CHOOSE({1,2,3,4},HN!T233,HN!X233,HN!AB233,HN!AF233))=7)*(CHOOSE({1,2,3,4},HN!W233,HN!AA233,HN!AE233,HN!AI233)))</f>
        <v>0</v>
      </c>
      <c r="H233">
        <f>SUMPRODUCT((MONTH(CHOOSE({1,2,3,4},HN!T233,HN!X233,HN!AB233,HN!AF233))=8)*(CHOOSE({1,2,3,4},HN!W233,HN!AA233,HN!AE233,HN!AI233)))</f>
        <v>0</v>
      </c>
      <c r="I233">
        <f>SUMPRODUCT((MONTH(CHOOSE({1,2,3,4},HN!T233,HN!X233,HN!AB233,HN!AF233))=9)*(CHOOSE({1,2,3,4},HN!W233,HN!AA233,HN!AE233,HN!AI233)))</f>
        <v>0</v>
      </c>
      <c r="J233">
        <f>SUMPRODUCT((MONTH(CHOOSE({1,2,3,4},HN!T233,HN!X233,HN!AB233,HN!AF233))=10)*(CHOOSE({1,2,3,4},HN!W233,HN!AA233,HN!AE233,HN!AI233)))</f>
        <v>0</v>
      </c>
      <c r="K233">
        <f>SUMPRODUCT((MONTH(CHOOSE({1,2,3,4},HN!T233,HN!X233,HN!AB233,HN!AF233))=11)*(CHOOSE({1,2,3,4},HN!W233,HN!AA233,HN!AE233,HN!AI233)))</f>
        <v>0</v>
      </c>
      <c r="L233">
        <f>SUMPRODUCT((MONTH(CHOOSE({1,2,3,4},HN!T233,HN!X233,HN!AB233,HN!AF233))=12)*(CHOOSE({1,2,3,4},HN!W233,HN!AA233,HN!AE233,HN!AI233)))</f>
        <v>0</v>
      </c>
    </row>
    <row r="234" spans="1:12">
      <c r="A234">
        <f>SUMPRODUCT((MONTH(CHOOSE({1,2,3,4},HN!T234,HN!X234,HN!AB234,HN!AF234))=1)*(CHOOSE({1,2,3,4},HN!W234,HN!AA234,HN!AE234,HN!AI234)))</f>
        <v>0</v>
      </c>
      <c r="B234">
        <f>SUMPRODUCT((MONTH(CHOOSE({1,2,3,4},HN!T234,HN!X234,HN!AB234,HN!AF234))=2)*(CHOOSE({1,2,3,4},HN!W234,HN!AA234,HN!AE234,HN!AI234)))</f>
        <v>0</v>
      </c>
      <c r="C234">
        <f>SUMPRODUCT((MONTH(CHOOSE({1,2,3,4},HN!T234,HN!X234,HN!AB234,HN!AF234))=3)*(CHOOSE({1,2,3,4},HN!W234,HN!AA234,HN!AE234,HN!AI234)))</f>
        <v>0</v>
      </c>
      <c r="D234">
        <f>SUMPRODUCT((MONTH(CHOOSE({1,2,3,4},HN!T234,HN!X234,HN!AB234,HN!AF234))=4)*(CHOOSE({1,2,3,4},HN!W234,HN!AA234,HN!AE234,HN!AI234)))</f>
        <v>0</v>
      </c>
      <c r="E234">
        <f>SUMPRODUCT((MONTH(CHOOSE({1,2,3,4},HN!T234,HN!X234,HN!AB234,HN!AF234))=5)*(CHOOSE({1,2,3,4},HN!W234,HN!AA234,HN!AE234,HN!AI234)))</f>
        <v>0</v>
      </c>
      <c r="F234">
        <f>SUMPRODUCT((MONTH(CHOOSE({1,2,3,4},HN!T234,HN!X234,HN!AB234,HN!AF234))=6)*(CHOOSE({1,2,3,4},HN!W234,HN!AA234,HN!AE234,HN!AI234)))</f>
        <v>0</v>
      </c>
      <c r="G234">
        <f>SUMPRODUCT((MONTH(CHOOSE({1,2,3,4},HN!T234,HN!X234,HN!AB234,HN!AF234))=7)*(CHOOSE({1,2,3,4},HN!W234,HN!AA234,HN!AE234,HN!AI234)))</f>
        <v>0</v>
      </c>
      <c r="H234">
        <f>SUMPRODUCT((MONTH(CHOOSE({1,2,3,4},HN!T234,HN!X234,HN!AB234,HN!AF234))=8)*(CHOOSE({1,2,3,4},HN!W234,HN!AA234,HN!AE234,HN!AI234)))</f>
        <v>0</v>
      </c>
      <c r="I234">
        <f>SUMPRODUCT((MONTH(CHOOSE({1,2,3,4},HN!T234,HN!X234,HN!AB234,HN!AF234))=9)*(CHOOSE({1,2,3,4},HN!W234,HN!AA234,HN!AE234,HN!AI234)))</f>
        <v>0</v>
      </c>
      <c r="J234">
        <f>SUMPRODUCT((MONTH(CHOOSE({1,2,3,4},HN!T234,HN!X234,HN!AB234,HN!AF234))=10)*(CHOOSE({1,2,3,4},HN!W234,HN!AA234,HN!AE234,HN!AI234)))</f>
        <v>0</v>
      </c>
      <c r="K234">
        <f>SUMPRODUCT((MONTH(CHOOSE({1,2,3,4},HN!T234,HN!X234,HN!AB234,HN!AF234))=11)*(CHOOSE({1,2,3,4},HN!W234,HN!AA234,HN!AE234,HN!AI234)))</f>
        <v>0</v>
      </c>
      <c r="L234">
        <f>SUMPRODUCT((MONTH(CHOOSE({1,2,3,4},HN!T234,HN!X234,HN!AB234,HN!AF234))=12)*(CHOOSE({1,2,3,4},HN!W234,HN!AA234,HN!AE234,HN!AI234)))</f>
        <v>0</v>
      </c>
    </row>
    <row r="235" spans="1:12">
      <c r="A235">
        <f>SUMPRODUCT((MONTH(CHOOSE({1,2,3,4},HN!T235,HN!X235,HN!AB235,HN!AF235))=1)*(CHOOSE({1,2,3,4},HN!W235,HN!AA235,HN!AE235,HN!AI235)))</f>
        <v>0</v>
      </c>
      <c r="B235">
        <f>SUMPRODUCT((MONTH(CHOOSE({1,2,3,4},HN!T235,HN!X235,HN!AB235,HN!AF235))=2)*(CHOOSE({1,2,3,4},HN!W235,HN!AA235,HN!AE235,HN!AI235)))</f>
        <v>0</v>
      </c>
      <c r="C235">
        <f>SUMPRODUCT((MONTH(CHOOSE({1,2,3,4},HN!T235,HN!X235,HN!AB235,HN!AF235))=3)*(CHOOSE({1,2,3,4},HN!W235,HN!AA235,HN!AE235,HN!AI235)))</f>
        <v>0</v>
      </c>
      <c r="D235">
        <f>SUMPRODUCT((MONTH(CHOOSE({1,2,3,4},HN!T235,HN!X235,HN!AB235,HN!AF235))=4)*(CHOOSE({1,2,3,4},HN!W235,HN!AA235,HN!AE235,HN!AI235)))</f>
        <v>0</v>
      </c>
      <c r="E235">
        <f>SUMPRODUCT((MONTH(CHOOSE({1,2,3,4},HN!T235,HN!X235,HN!AB235,HN!AF235))=5)*(CHOOSE({1,2,3,4},HN!W235,HN!AA235,HN!AE235,HN!AI235)))</f>
        <v>0</v>
      </c>
      <c r="F235">
        <f>SUMPRODUCT((MONTH(CHOOSE({1,2,3,4},HN!T235,HN!X235,HN!AB235,HN!AF235))=6)*(CHOOSE({1,2,3,4},HN!W235,HN!AA235,HN!AE235,HN!AI235)))</f>
        <v>0</v>
      </c>
      <c r="G235">
        <f>SUMPRODUCT((MONTH(CHOOSE({1,2,3,4},HN!T235,HN!X235,HN!AB235,HN!AF235))=7)*(CHOOSE({1,2,3,4},HN!W235,HN!AA235,HN!AE235,HN!AI235)))</f>
        <v>0</v>
      </c>
      <c r="H235">
        <f>SUMPRODUCT((MONTH(CHOOSE({1,2,3,4},HN!T235,HN!X235,HN!AB235,HN!AF235))=8)*(CHOOSE({1,2,3,4},HN!W235,HN!AA235,HN!AE235,HN!AI235)))</f>
        <v>0</v>
      </c>
      <c r="I235">
        <f>SUMPRODUCT((MONTH(CHOOSE({1,2,3,4},HN!T235,HN!X235,HN!AB235,HN!AF235))=9)*(CHOOSE({1,2,3,4},HN!W235,HN!AA235,HN!AE235,HN!AI235)))</f>
        <v>0</v>
      </c>
      <c r="J235">
        <f>SUMPRODUCT((MONTH(CHOOSE({1,2,3,4},HN!T235,HN!X235,HN!AB235,HN!AF235))=10)*(CHOOSE({1,2,3,4},HN!W235,HN!AA235,HN!AE235,HN!AI235)))</f>
        <v>0</v>
      </c>
      <c r="K235">
        <f>SUMPRODUCT((MONTH(CHOOSE({1,2,3,4},HN!T235,HN!X235,HN!AB235,HN!AF235))=11)*(CHOOSE({1,2,3,4},HN!W235,HN!AA235,HN!AE235,HN!AI235)))</f>
        <v>0</v>
      </c>
      <c r="L235">
        <f>SUMPRODUCT((MONTH(CHOOSE({1,2,3,4},HN!T235,HN!X235,HN!AB235,HN!AF235))=12)*(CHOOSE({1,2,3,4},HN!W235,HN!AA235,HN!AE235,HN!AI235)))</f>
        <v>0</v>
      </c>
    </row>
    <row r="236" spans="1:12">
      <c r="A236">
        <f>SUMPRODUCT((MONTH(CHOOSE({1,2,3,4},HN!T236,HN!X236,HN!AB236,HN!AF236))=1)*(CHOOSE({1,2,3,4},HN!W236,HN!AA236,HN!AE236,HN!AI236)))</f>
        <v>0</v>
      </c>
      <c r="B236">
        <f>SUMPRODUCT((MONTH(CHOOSE({1,2,3,4},HN!T236,HN!X236,HN!AB236,HN!AF236))=2)*(CHOOSE({1,2,3,4},HN!W236,HN!AA236,HN!AE236,HN!AI236)))</f>
        <v>0</v>
      </c>
      <c r="C236">
        <f>SUMPRODUCT((MONTH(CHOOSE({1,2,3,4},HN!T236,HN!X236,HN!AB236,HN!AF236))=3)*(CHOOSE({1,2,3,4},HN!W236,HN!AA236,HN!AE236,HN!AI236)))</f>
        <v>0</v>
      </c>
      <c r="D236">
        <f>SUMPRODUCT((MONTH(CHOOSE({1,2,3,4},HN!T236,HN!X236,HN!AB236,HN!AF236))=4)*(CHOOSE({1,2,3,4},HN!W236,HN!AA236,HN!AE236,HN!AI236)))</f>
        <v>0</v>
      </c>
      <c r="E236">
        <f>SUMPRODUCT((MONTH(CHOOSE({1,2,3,4},HN!T236,HN!X236,HN!AB236,HN!AF236))=5)*(CHOOSE({1,2,3,4},HN!W236,HN!AA236,HN!AE236,HN!AI236)))</f>
        <v>0</v>
      </c>
      <c r="F236">
        <f>SUMPRODUCT((MONTH(CHOOSE({1,2,3,4},HN!T236,HN!X236,HN!AB236,HN!AF236))=6)*(CHOOSE({1,2,3,4},HN!W236,HN!AA236,HN!AE236,HN!AI236)))</f>
        <v>0</v>
      </c>
      <c r="G236">
        <f>SUMPRODUCT((MONTH(CHOOSE({1,2,3,4},HN!T236,HN!X236,HN!AB236,HN!AF236))=7)*(CHOOSE({1,2,3,4},HN!W236,HN!AA236,HN!AE236,HN!AI236)))</f>
        <v>0</v>
      </c>
      <c r="H236">
        <f>SUMPRODUCT((MONTH(CHOOSE({1,2,3,4},HN!T236,HN!X236,HN!AB236,HN!AF236))=8)*(CHOOSE({1,2,3,4},HN!W236,HN!AA236,HN!AE236,HN!AI236)))</f>
        <v>0</v>
      </c>
      <c r="I236">
        <f>SUMPRODUCT((MONTH(CHOOSE({1,2,3,4},HN!T236,HN!X236,HN!AB236,HN!AF236))=9)*(CHOOSE({1,2,3,4},HN!W236,HN!AA236,HN!AE236,HN!AI236)))</f>
        <v>0</v>
      </c>
      <c r="J236">
        <f>SUMPRODUCT((MONTH(CHOOSE({1,2,3,4},HN!T236,HN!X236,HN!AB236,HN!AF236))=10)*(CHOOSE({1,2,3,4},HN!W236,HN!AA236,HN!AE236,HN!AI236)))</f>
        <v>0</v>
      </c>
      <c r="K236">
        <f>SUMPRODUCT((MONTH(CHOOSE({1,2,3,4},HN!T236,HN!X236,HN!AB236,HN!AF236))=11)*(CHOOSE({1,2,3,4},HN!W236,HN!AA236,HN!AE236,HN!AI236)))</f>
        <v>0</v>
      </c>
      <c r="L236">
        <f>SUMPRODUCT((MONTH(CHOOSE({1,2,3,4},HN!T236,HN!X236,HN!AB236,HN!AF236))=12)*(CHOOSE({1,2,3,4},HN!W236,HN!AA236,HN!AE236,HN!AI236)))</f>
        <v>0</v>
      </c>
    </row>
    <row r="237" spans="1:12">
      <c r="A237">
        <f>SUMPRODUCT((MONTH(CHOOSE({1,2,3,4},HN!T237,HN!X237,HN!AB237,HN!AF237))=1)*(CHOOSE({1,2,3,4},HN!W237,HN!AA237,HN!AE237,HN!AI237)))</f>
        <v>0</v>
      </c>
      <c r="B237">
        <f>SUMPRODUCT((MONTH(CHOOSE({1,2,3,4},HN!T237,HN!X237,HN!AB237,HN!AF237))=2)*(CHOOSE({1,2,3,4},HN!W237,HN!AA237,HN!AE237,HN!AI237)))</f>
        <v>0</v>
      </c>
      <c r="C237">
        <f>SUMPRODUCT((MONTH(CHOOSE({1,2,3,4},HN!T237,HN!X237,HN!AB237,HN!AF237))=3)*(CHOOSE({1,2,3,4},HN!W237,HN!AA237,HN!AE237,HN!AI237)))</f>
        <v>0</v>
      </c>
      <c r="D237">
        <f>SUMPRODUCT((MONTH(CHOOSE({1,2,3,4},HN!T237,HN!X237,HN!AB237,HN!AF237))=4)*(CHOOSE({1,2,3,4},HN!W237,HN!AA237,HN!AE237,HN!AI237)))</f>
        <v>0</v>
      </c>
      <c r="E237">
        <f>SUMPRODUCT((MONTH(CHOOSE({1,2,3,4},HN!T237,HN!X237,HN!AB237,HN!AF237))=5)*(CHOOSE({1,2,3,4},HN!W237,HN!AA237,HN!AE237,HN!AI237)))</f>
        <v>0</v>
      </c>
      <c r="F237">
        <f>SUMPRODUCT((MONTH(CHOOSE({1,2,3,4},HN!T237,HN!X237,HN!AB237,HN!AF237))=6)*(CHOOSE({1,2,3,4},HN!W237,HN!AA237,HN!AE237,HN!AI237)))</f>
        <v>0</v>
      </c>
      <c r="G237">
        <f>SUMPRODUCT((MONTH(CHOOSE({1,2,3,4},HN!T237,HN!X237,HN!AB237,HN!AF237))=7)*(CHOOSE({1,2,3,4},HN!W237,HN!AA237,HN!AE237,HN!AI237)))</f>
        <v>0</v>
      </c>
      <c r="H237">
        <f>SUMPRODUCT((MONTH(CHOOSE({1,2,3,4},HN!T237,HN!X237,HN!AB237,HN!AF237))=8)*(CHOOSE({1,2,3,4},HN!W237,HN!AA237,HN!AE237,HN!AI237)))</f>
        <v>0</v>
      </c>
      <c r="I237">
        <f>SUMPRODUCT((MONTH(CHOOSE({1,2,3,4},HN!T237,HN!X237,HN!AB237,HN!AF237))=9)*(CHOOSE({1,2,3,4},HN!W237,HN!AA237,HN!AE237,HN!AI237)))</f>
        <v>0</v>
      </c>
      <c r="J237">
        <f>SUMPRODUCT((MONTH(CHOOSE({1,2,3,4},HN!T237,HN!X237,HN!AB237,HN!AF237))=10)*(CHOOSE({1,2,3,4},HN!W237,HN!AA237,HN!AE237,HN!AI237)))</f>
        <v>0</v>
      </c>
      <c r="K237">
        <f>SUMPRODUCT((MONTH(CHOOSE({1,2,3,4},HN!T237,HN!X237,HN!AB237,HN!AF237))=11)*(CHOOSE({1,2,3,4},HN!W237,HN!AA237,HN!AE237,HN!AI237)))</f>
        <v>0</v>
      </c>
      <c r="L237">
        <f>SUMPRODUCT((MONTH(CHOOSE({1,2,3,4},HN!T237,HN!X237,HN!AB237,HN!AF237))=12)*(CHOOSE({1,2,3,4},HN!W237,HN!AA237,HN!AE237,HN!AI237)))</f>
        <v>0</v>
      </c>
    </row>
    <row r="238" spans="1:12">
      <c r="A238">
        <f>SUMPRODUCT((MONTH(CHOOSE({1,2,3,4},HN!T238,HN!X238,HN!AB238,HN!AF238))=1)*(CHOOSE({1,2,3,4},HN!W238,HN!AA238,HN!AE238,HN!AI238)))</f>
        <v>0</v>
      </c>
      <c r="B238">
        <f>SUMPRODUCT((MONTH(CHOOSE({1,2,3,4},HN!T238,HN!X238,HN!AB238,HN!AF238))=2)*(CHOOSE({1,2,3,4},HN!W238,HN!AA238,HN!AE238,HN!AI238)))</f>
        <v>0</v>
      </c>
      <c r="C238">
        <f>SUMPRODUCT((MONTH(CHOOSE({1,2,3,4},HN!T238,HN!X238,HN!AB238,HN!AF238))=3)*(CHOOSE({1,2,3,4},HN!W238,HN!AA238,HN!AE238,HN!AI238)))</f>
        <v>0</v>
      </c>
      <c r="D238">
        <f>SUMPRODUCT((MONTH(CHOOSE({1,2,3,4},HN!T238,HN!X238,HN!AB238,HN!AF238))=4)*(CHOOSE({1,2,3,4},HN!W238,HN!AA238,HN!AE238,HN!AI238)))</f>
        <v>0</v>
      </c>
      <c r="E238">
        <f>SUMPRODUCT((MONTH(CHOOSE({1,2,3,4},HN!T238,HN!X238,HN!AB238,HN!AF238))=5)*(CHOOSE({1,2,3,4},HN!W238,HN!AA238,HN!AE238,HN!AI238)))</f>
        <v>0</v>
      </c>
      <c r="F238">
        <f>SUMPRODUCT((MONTH(CHOOSE({1,2,3,4},HN!T238,HN!X238,HN!AB238,HN!AF238))=6)*(CHOOSE({1,2,3,4},HN!W238,HN!AA238,HN!AE238,HN!AI238)))</f>
        <v>0</v>
      </c>
      <c r="G238">
        <f>SUMPRODUCT((MONTH(CHOOSE({1,2,3,4},HN!T238,HN!X238,HN!AB238,HN!AF238))=7)*(CHOOSE({1,2,3,4},HN!W238,HN!AA238,HN!AE238,HN!AI238)))</f>
        <v>0</v>
      </c>
      <c r="H238">
        <f>SUMPRODUCT((MONTH(CHOOSE({1,2,3,4},HN!T238,HN!X238,HN!AB238,HN!AF238))=8)*(CHOOSE({1,2,3,4},HN!W238,HN!AA238,HN!AE238,HN!AI238)))</f>
        <v>0</v>
      </c>
      <c r="I238">
        <f>SUMPRODUCT((MONTH(CHOOSE({1,2,3,4},HN!T238,HN!X238,HN!AB238,HN!AF238))=9)*(CHOOSE({1,2,3,4},HN!W238,HN!AA238,HN!AE238,HN!AI238)))</f>
        <v>0</v>
      </c>
      <c r="J238">
        <f>SUMPRODUCT((MONTH(CHOOSE({1,2,3,4},HN!T238,HN!X238,HN!AB238,HN!AF238))=10)*(CHOOSE({1,2,3,4},HN!W238,HN!AA238,HN!AE238,HN!AI238)))</f>
        <v>0</v>
      </c>
      <c r="K238">
        <f>SUMPRODUCT((MONTH(CHOOSE({1,2,3,4},HN!T238,HN!X238,HN!AB238,HN!AF238))=11)*(CHOOSE({1,2,3,4},HN!W238,HN!AA238,HN!AE238,HN!AI238)))</f>
        <v>0</v>
      </c>
      <c r="L238">
        <f>SUMPRODUCT((MONTH(CHOOSE({1,2,3,4},HN!T238,HN!X238,HN!AB238,HN!AF238))=12)*(CHOOSE({1,2,3,4},HN!W238,HN!AA238,HN!AE238,HN!AI238)))</f>
        <v>0</v>
      </c>
    </row>
    <row r="239" spans="1:12">
      <c r="A239">
        <f>SUMPRODUCT((MONTH(CHOOSE({1,2,3,4},HN!T239,HN!X239,HN!AB239,HN!AF239))=1)*(CHOOSE({1,2,3,4},HN!W239,HN!AA239,HN!AE239,HN!AI239)))</f>
        <v>0</v>
      </c>
      <c r="B239">
        <f>SUMPRODUCT((MONTH(CHOOSE({1,2,3,4},HN!T239,HN!X239,HN!AB239,HN!AF239))=2)*(CHOOSE({1,2,3,4},HN!W239,HN!AA239,HN!AE239,HN!AI239)))</f>
        <v>0</v>
      </c>
      <c r="C239">
        <f>SUMPRODUCT((MONTH(CHOOSE({1,2,3,4},HN!T239,HN!X239,HN!AB239,HN!AF239))=3)*(CHOOSE({1,2,3,4},HN!W239,HN!AA239,HN!AE239,HN!AI239)))</f>
        <v>0</v>
      </c>
      <c r="D239">
        <f>SUMPRODUCT((MONTH(CHOOSE({1,2,3,4},HN!T239,HN!X239,HN!AB239,HN!AF239))=4)*(CHOOSE({1,2,3,4},HN!W239,HN!AA239,HN!AE239,HN!AI239)))</f>
        <v>0</v>
      </c>
      <c r="E239">
        <f>SUMPRODUCT((MONTH(CHOOSE({1,2,3,4},HN!T239,HN!X239,HN!AB239,HN!AF239))=5)*(CHOOSE({1,2,3,4},HN!W239,HN!AA239,HN!AE239,HN!AI239)))</f>
        <v>0</v>
      </c>
      <c r="F239">
        <f>SUMPRODUCT((MONTH(CHOOSE({1,2,3,4},HN!T239,HN!X239,HN!AB239,HN!AF239))=6)*(CHOOSE({1,2,3,4},HN!W239,HN!AA239,HN!AE239,HN!AI239)))</f>
        <v>0</v>
      </c>
      <c r="G239">
        <f>SUMPRODUCT((MONTH(CHOOSE({1,2,3,4},HN!T239,HN!X239,HN!AB239,HN!AF239))=7)*(CHOOSE({1,2,3,4},HN!W239,HN!AA239,HN!AE239,HN!AI239)))</f>
        <v>0</v>
      </c>
      <c r="H239">
        <f>SUMPRODUCT((MONTH(CHOOSE({1,2,3,4},HN!T239,HN!X239,HN!AB239,HN!AF239))=8)*(CHOOSE({1,2,3,4},HN!W239,HN!AA239,HN!AE239,HN!AI239)))</f>
        <v>0</v>
      </c>
      <c r="I239">
        <f>SUMPRODUCT((MONTH(CHOOSE({1,2,3,4},HN!T239,HN!X239,HN!AB239,HN!AF239))=9)*(CHOOSE({1,2,3,4},HN!W239,HN!AA239,HN!AE239,HN!AI239)))</f>
        <v>0</v>
      </c>
      <c r="J239">
        <f>SUMPRODUCT((MONTH(CHOOSE({1,2,3,4},HN!T239,HN!X239,HN!AB239,HN!AF239))=10)*(CHOOSE({1,2,3,4},HN!W239,HN!AA239,HN!AE239,HN!AI239)))</f>
        <v>0</v>
      </c>
      <c r="K239">
        <f>SUMPRODUCT((MONTH(CHOOSE({1,2,3,4},HN!T239,HN!X239,HN!AB239,HN!AF239))=11)*(CHOOSE({1,2,3,4},HN!W239,HN!AA239,HN!AE239,HN!AI239)))</f>
        <v>0</v>
      </c>
      <c r="L239">
        <f>SUMPRODUCT((MONTH(CHOOSE({1,2,3,4},HN!T239,HN!X239,HN!AB239,HN!AF239))=12)*(CHOOSE({1,2,3,4},HN!W239,HN!AA239,HN!AE239,HN!AI239)))</f>
        <v>0</v>
      </c>
    </row>
    <row r="240" spans="1:12">
      <c r="A240">
        <f>SUMPRODUCT((MONTH(CHOOSE({1,2,3,4},HN!T240,HN!X240,HN!AB240,HN!AF240))=1)*(CHOOSE({1,2,3,4},HN!W240,HN!AA240,HN!AE240,HN!AI240)))</f>
        <v>0</v>
      </c>
      <c r="B240">
        <f>SUMPRODUCT((MONTH(CHOOSE({1,2,3,4},HN!T240,HN!X240,HN!AB240,HN!AF240))=2)*(CHOOSE({1,2,3,4},HN!W240,HN!AA240,HN!AE240,HN!AI240)))</f>
        <v>0</v>
      </c>
      <c r="C240">
        <f>SUMPRODUCT((MONTH(CHOOSE({1,2,3,4},HN!T240,HN!X240,HN!AB240,HN!AF240))=3)*(CHOOSE({1,2,3,4},HN!W240,HN!AA240,HN!AE240,HN!AI240)))</f>
        <v>0</v>
      </c>
      <c r="D240">
        <f>SUMPRODUCT((MONTH(CHOOSE({1,2,3,4},HN!T240,HN!X240,HN!AB240,HN!AF240))=4)*(CHOOSE({1,2,3,4},HN!W240,HN!AA240,HN!AE240,HN!AI240)))</f>
        <v>0</v>
      </c>
      <c r="E240">
        <f>SUMPRODUCT((MONTH(CHOOSE({1,2,3,4},HN!T240,HN!X240,HN!AB240,HN!AF240))=5)*(CHOOSE({1,2,3,4},HN!W240,HN!AA240,HN!AE240,HN!AI240)))</f>
        <v>0</v>
      </c>
      <c r="F240">
        <f>SUMPRODUCT((MONTH(CHOOSE({1,2,3,4},HN!T240,HN!X240,HN!AB240,HN!AF240))=6)*(CHOOSE({1,2,3,4},HN!W240,HN!AA240,HN!AE240,HN!AI240)))</f>
        <v>0</v>
      </c>
      <c r="G240">
        <f>SUMPRODUCT((MONTH(CHOOSE({1,2,3,4},HN!T240,HN!X240,HN!AB240,HN!AF240))=7)*(CHOOSE({1,2,3,4},HN!W240,HN!AA240,HN!AE240,HN!AI240)))</f>
        <v>0</v>
      </c>
      <c r="H240">
        <f>SUMPRODUCT((MONTH(CHOOSE({1,2,3,4},HN!T240,HN!X240,HN!AB240,HN!AF240))=8)*(CHOOSE({1,2,3,4},HN!W240,HN!AA240,HN!AE240,HN!AI240)))</f>
        <v>0</v>
      </c>
      <c r="I240">
        <f>SUMPRODUCT((MONTH(CHOOSE({1,2,3,4},HN!T240,HN!X240,HN!AB240,HN!AF240))=9)*(CHOOSE({1,2,3,4},HN!W240,HN!AA240,HN!AE240,HN!AI240)))</f>
        <v>0</v>
      </c>
      <c r="J240">
        <f>SUMPRODUCT((MONTH(CHOOSE({1,2,3,4},HN!T240,HN!X240,HN!AB240,HN!AF240))=10)*(CHOOSE({1,2,3,4},HN!W240,HN!AA240,HN!AE240,HN!AI240)))</f>
        <v>0</v>
      </c>
      <c r="K240">
        <f>SUMPRODUCT((MONTH(CHOOSE({1,2,3,4},HN!T240,HN!X240,HN!AB240,HN!AF240))=11)*(CHOOSE({1,2,3,4},HN!W240,HN!AA240,HN!AE240,HN!AI240)))</f>
        <v>0</v>
      </c>
      <c r="L240">
        <f>SUMPRODUCT((MONTH(CHOOSE({1,2,3,4},HN!T240,HN!X240,HN!AB240,HN!AF240))=12)*(CHOOSE({1,2,3,4},HN!W240,HN!AA240,HN!AE240,HN!AI240)))</f>
        <v>0</v>
      </c>
    </row>
    <row r="241" spans="1:12">
      <c r="A241">
        <f>SUMPRODUCT((MONTH(CHOOSE({1,2,3,4},HN!T241,HN!X241,HN!AB241,HN!AF241))=1)*(CHOOSE({1,2,3,4},HN!W241,HN!AA241,HN!AE241,HN!AI241)))</f>
        <v>0</v>
      </c>
      <c r="B241">
        <f>SUMPRODUCT((MONTH(CHOOSE({1,2,3,4},HN!T241,HN!X241,HN!AB241,HN!AF241))=2)*(CHOOSE({1,2,3,4},HN!W241,HN!AA241,HN!AE241,HN!AI241)))</f>
        <v>0</v>
      </c>
      <c r="C241">
        <f>SUMPRODUCT((MONTH(CHOOSE({1,2,3,4},HN!T241,HN!X241,HN!AB241,HN!AF241))=3)*(CHOOSE({1,2,3,4},HN!W241,HN!AA241,HN!AE241,HN!AI241)))</f>
        <v>0</v>
      </c>
      <c r="D241">
        <f>SUMPRODUCT((MONTH(CHOOSE({1,2,3,4},HN!T241,HN!X241,HN!AB241,HN!AF241))=4)*(CHOOSE({1,2,3,4},HN!W241,HN!AA241,HN!AE241,HN!AI241)))</f>
        <v>0</v>
      </c>
      <c r="E241">
        <f>SUMPRODUCT((MONTH(CHOOSE({1,2,3,4},HN!T241,HN!X241,HN!AB241,HN!AF241))=5)*(CHOOSE({1,2,3,4},HN!W241,HN!AA241,HN!AE241,HN!AI241)))</f>
        <v>0</v>
      </c>
      <c r="F241">
        <f>SUMPRODUCT((MONTH(CHOOSE({1,2,3,4},HN!T241,HN!X241,HN!AB241,HN!AF241))=6)*(CHOOSE({1,2,3,4},HN!W241,HN!AA241,HN!AE241,HN!AI241)))</f>
        <v>0</v>
      </c>
      <c r="G241">
        <f>SUMPRODUCT((MONTH(CHOOSE({1,2,3,4},HN!T241,HN!X241,HN!AB241,HN!AF241))=7)*(CHOOSE({1,2,3,4},HN!W241,HN!AA241,HN!AE241,HN!AI241)))</f>
        <v>0</v>
      </c>
      <c r="H241">
        <f>SUMPRODUCT((MONTH(CHOOSE({1,2,3,4},HN!T241,HN!X241,HN!AB241,HN!AF241))=8)*(CHOOSE({1,2,3,4},HN!W241,HN!AA241,HN!AE241,HN!AI241)))</f>
        <v>0</v>
      </c>
      <c r="I241">
        <f>SUMPRODUCT((MONTH(CHOOSE({1,2,3,4},HN!T241,HN!X241,HN!AB241,HN!AF241))=9)*(CHOOSE({1,2,3,4},HN!W241,HN!AA241,HN!AE241,HN!AI241)))</f>
        <v>0</v>
      </c>
      <c r="J241">
        <f>SUMPRODUCT((MONTH(CHOOSE({1,2,3,4},HN!T241,HN!X241,HN!AB241,HN!AF241))=10)*(CHOOSE({1,2,3,4},HN!W241,HN!AA241,HN!AE241,HN!AI241)))</f>
        <v>0</v>
      </c>
      <c r="K241">
        <f>SUMPRODUCT((MONTH(CHOOSE({1,2,3,4},HN!T241,HN!X241,HN!AB241,HN!AF241))=11)*(CHOOSE({1,2,3,4},HN!W241,HN!AA241,HN!AE241,HN!AI241)))</f>
        <v>0</v>
      </c>
      <c r="L241">
        <f>SUMPRODUCT((MONTH(CHOOSE({1,2,3,4},HN!T241,HN!X241,HN!AB241,HN!AF241))=12)*(CHOOSE({1,2,3,4},HN!W241,HN!AA241,HN!AE241,HN!AI241)))</f>
        <v>0</v>
      </c>
    </row>
    <row r="242" spans="1:12">
      <c r="A242">
        <f>SUMPRODUCT((MONTH(CHOOSE({1,2,3,4},HN!T242,HN!X242,HN!AB242,HN!AF242))=1)*(CHOOSE({1,2,3,4},HN!W242,HN!AA242,HN!AE242,HN!AI242)))</f>
        <v>0</v>
      </c>
      <c r="B242">
        <f>SUMPRODUCT((MONTH(CHOOSE({1,2,3,4},HN!T242,HN!X242,HN!AB242,HN!AF242))=2)*(CHOOSE({1,2,3,4},HN!W242,HN!AA242,HN!AE242,HN!AI242)))</f>
        <v>0</v>
      </c>
      <c r="C242">
        <f>SUMPRODUCT((MONTH(CHOOSE({1,2,3,4},HN!T242,HN!X242,HN!AB242,HN!AF242))=3)*(CHOOSE({1,2,3,4},HN!W242,HN!AA242,HN!AE242,HN!AI242)))</f>
        <v>0</v>
      </c>
      <c r="D242">
        <f>SUMPRODUCT((MONTH(CHOOSE({1,2,3,4},HN!T242,HN!X242,HN!AB242,HN!AF242))=4)*(CHOOSE({1,2,3,4},HN!W242,HN!AA242,HN!AE242,HN!AI242)))</f>
        <v>0</v>
      </c>
      <c r="E242">
        <f>SUMPRODUCT((MONTH(CHOOSE({1,2,3,4},HN!T242,HN!X242,HN!AB242,HN!AF242))=5)*(CHOOSE({1,2,3,4},HN!W242,HN!AA242,HN!AE242,HN!AI242)))</f>
        <v>0</v>
      </c>
      <c r="F242">
        <f>SUMPRODUCT((MONTH(CHOOSE({1,2,3,4},HN!T242,HN!X242,HN!AB242,HN!AF242))=6)*(CHOOSE({1,2,3,4},HN!W242,HN!AA242,HN!AE242,HN!AI242)))</f>
        <v>0</v>
      </c>
      <c r="G242">
        <f>SUMPRODUCT((MONTH(CHOOSE({1,2,3,4},HN!T242,HN!X242,HN!AB242,HN!AF242))=7)*(CHOOSE({1,2,3,4},HN!W242,HN!AA242,HN!AE242,HN!AI242)))</f>
        <v>0</v>
      </c>
      <c r="H242">
        <f>SUMPRODUCT((MONTH(CHOOSE({1,2,3,4},HN!T242,HN!X242,HN!AB242,HN!AF242))=8)*(CHOOSE({1,2,3,4},HN!W242,HN!AA242,HN!AE242,HN!AI242)))</f>
        <v>0</v>
      </c>
      <c r="I242">
        <f>SUMPRODUCT((MONTH(CHOOSE({1,2,3,4},HN!T242,HN!X242,HN!AB242,HN!AF242))=9)*(CHOOSE({1,2,3,4},HN!W242,HN!AA242,HN!AE242,HN!AI242)))</f>
        <v>0</v>
      </c>
      <c r="J242">
        <f>SUMPRODUCT((MONTH(CHOOSE({1,2,3,4},HN!T242,HN!X242,HN!AB242,HN!AF242))=10)*(CHOOSE({1,2,3,4},HN!W242,HN!AA242,HN!AE242,HN!AI242)))</f>
        <v>0</v>
      </c>
      <c r="K242">
        <f>SUMPRODUCT((MONTH(CHOOSE({1,2,3,4},HN!T242,HN!X242,HN!AB242,HN!AF242))=11)*(CHOOSE({1,2,3,4},HN!W242,HN!AA242,HN!AE242,HN!AI242)))</f>
        <v>0</v>
      </c>
      <c r="L242">
        <f>SUMPRODUCT((MONTH(CHOOSE({1,2,3,4},HN!T242,HN!X242,HN!AB242,HN!AF242))=12)*(CHOOSE({1,2,3,4},HN!W242,HN!AA242,HN!AE242,HN!AI242)))</f>
        <v>0</v>
      </c>
    </row>
    <row r="243" spans="1:12">
      <c r="A243">
        <f>SUMPRODUCT((MONTH(CHOOSE({1,2,3,4},HN!T243,HN!X243,HN!AB243,HN!AF243))=1)*(CHOOSE({1,2,3,4},HN!W243,HN!AA243,HN!AE243,HN!AI243)))</f>
        <v>0</v>
      </c>
      <c r="B243">
        <f>SUMPRODUCT((MONTH(CHOOSE({1,2,3,4},HN!T243,HN!X243,HN!AB243,HN!AF243))=2)*(CHOOSE({1,2,3,4},HN!W243,HN!AA243,HN!AE243,HN!AI243)))</f>
        <v>0</v>
      </c>
      <c r="C243">
        <f>SUMPRODUCT((MONTH(CHOOSE({1,2,3,4},HN!T243,HN!X243,HN!AB243,HN!AF243))=3)*(CHOOSE({1,2,3,4},HN!W243,HN!AA243,HN!AE243,HN!AI243)))</f>
        <v>0</v>
      </c>
      <c r="D243">
        <f>SUMPRODUCT((MONTH(CHOOSE({1,2,3,4},HN!T243,HN!X243,HN!AB243,HN!AF243))=4)*(CHOOSE({1,2,3,4},HN!W243,HN!AA243,HN!AE243,HN!AI243)))</f>
        <v>0</v>
      </c>
      <c r="E243">
        <f>SUMPRODUCT((MONTH(CHOOSE({1,2,3,4},HN!T243,HN!X243,HN!AB243,HN!AF243))=5)*(CHOOSE({1,2,3,4},HN!W243,HN!AA243,HN!AE243,HN!AI243)))</f>
        <v>0</v>
      </c>
      <c r="F243">
        <f>SUMPRODUCT((MONTH(CHOOSE({1,2,3,4},HN!T243,HN!X243,HN!AB243,HN!AF243))=6)*(CHOOSE({1,2,3,4},HN!W243,HN!AA243,HN!AE243,HN!AI243)))</f>
        <v>0</v>
      </c>
      <c r="G243">
        <f>SUMPRODUCT((MONTH(CHOOSE({1,2,3,4},HN!T243,HN!X243,HN!AB243,HN!AF243))=7)*(CHOOSE({1,2,3,4},HN!W243,HN!AA243,HN!AE243,HN!AI243)))</f>
        <v>0</v>
      </c>
      <c r="H243">
        <f>SUMPRODUCT((MONTH(CHOOSE({1,2,3,4},HN!T243,HN!X243,HN!AB243,HN!AF243))=8)*(CHOOSE({1,2,3,4},HN!W243,HN!AA243,HN!AE243,HN!AI243)))</f>
        <v>0</v>
      </c>
      <c r="I243">
        <f>SUMPRODUCT((MONTH(CHOOSE({1,2,3,4},HN!T243,HN!X243,HN!AB243,HN!AF243))=9)*(CHOOSE({1,2,3,4},HN!W243,HN!AA243,HN!AE243,HN!AI243)))</f>
        <v>0</v>
      </c>
      <c r="J243">
        <f>SUMPRODUCT((MONTH(CHOOSE({1,2,3,4},HN!T243,HN!X243,HN!AB243,HN!AF243))=10)*(CHOOSE({1,2,3,4},HN!W243,HN!AA243,HN!AE243,HN!AI243)))</f>
        <v>0</v>
      </c>
      <c r="K243">
        <f>SUMPRODUCT((MONTH(CHOOSE({1,2,3,4},HN!T243,HN!X243,HN!AB243,HN!AF243))=11)*(CHOOSE({1,2,3,4},HN!W243,HN!AA243,HN!AE243,HN!AI243)))</f>
        <v>0</v>
      </c>
      <c r="L243">
        <f>SUMPRODUCT((MONTH(CHOOSE({1,2,3,4},HN!T243,HN!X243,HN!AB243,HN!AF243))=12)*(CHOOSE({1,2,3,4},HN!W243,HN!AA243,HN!AE243,HN!AI243)))</f>
        <v>0</v>
      </c>
    </row>
    <row r="244" spans="1:12">
      <c r="A244">
        <f>SUMPRODUCT((MONTH(CHOOSE({1,2,3,4},HN!T244,HN!X244,HN!AB244,HN!AF244))=1)*(CHOOSE({1,2,3,4},HN!W244,HN!AA244,HN!AE244,HN!AI244)))</f>
        <v>0</v>
      </c>
      <c r="B244">
        <f>SUMPRODUCT((MONTH(CHOOSE({1,2,3,4},HN!T244,HN!X244,HN!AB244,HN!AF244))=2)*(CHOOSE({1,2,3,4},HN!W244,HN!AA244,HN!AE244,HN!AI244)))</f>
        <v>0</v>
      </c>
      <c r="C244">
        <f>SUMPRODUCT((MONTH(CHOOSE({1,2,3,4},HN!T244,HN!X244,HN!AB244,HN!AF244))=3)*(CHOOSE({1,2,3,4},HN!W244,HN!AA244,HN!AE244,HN!AI244)))</f>
        <v>0</v>
      </c>
      <c r="D244">
        <f>SUMPRODUCT((MONTH(CHOOSE({1,2,3,4},HN!T244,HN!X244,HN!AB244,HN!AF244))=4)*(CHOOSE({1,2,3,4},HN!W244,HN!AA244,HN!AE244,HN!AI244)))</f>
        <v>0</v>
      </c>
      <c r="E244">
        <f>SUMPRODUCT((MONTH(CHOOSE({1,2,3,4},HN!T244,HN!X244,HN!AB244,HN!AF244))=5)*(CHOOSE({1,2,3,4},HN!W244,HN!AA244,HN!AE244,HN!AI244)))</f>
        <v>0</v>
      </c>
      <c r="F244">
        <f>SUMPRODUCT((MONTH(CHOOSE({1,2,3,4},HN!T244,HN!X244,HN!AB244,HN!AF244))=6)*(CHOOSE({1,2,3,4},HN!W244,HN!AA244,HN!AE244,HN!AI244)))</f>
        <v>0</v>
      </c>
      <c r="G244">
        <f>SUMPRODUCT((MONTH(CHOOSE({1,2,3,4},HN!T244,HN!X244,HN!AB244,HN!AF244))=7)*(CHOOSE({1,2,3,4},HN!W244,HN!AA244,HN!AE244,HN!AI244)))</f>
        <v>0</v>
      </c>
      <c r="H244">
        <f>SUMPRODUCT((MONTH(CHOOSE({1,2,3,4},HN!T244,HN!X244,HN!AB244,HN!AF244))=8)*(CHOOSE({1,2,3,4},HN!W244,HN!AA244,HN!AE244,HN!AI244)))</f>
        <v>0</v>
      </c>
      <c r="I244">
        <f>SUMPRODUCT((MONTH(CHOOSE({1,2,3,4},HN!T244,HN!X244,HN!AB244,HN!AF244))=9)*(CHOOSE({1,2,3,4},HN!W244,HN!AA244,HN!AE244,HN!AI244)))</f>
        <v>0</v>
      </c>
      <c r="J244">
        <f>SUMPRODUCT((MONTH(CHOOSE({1,2,3,4},HN!T244,HN!X244,HN!AB244,HN!AF244))=10)*(CHOOSE({1,2,3,4},HN!W244,HN!AA244,HN!AE244,HN!AI244)))</f>
        <v>0</v>
      </c>
      <c r="K244">
        <f>SUMPRODUCT((MONTH(CHOOSE({1,2,3,4},HN!T244,HN!X244,HN!AB244,HN!AF244))=11)*(CHOOSE({1,2,3,4},HN!W244,HN!AA244,HN!AE244,HN!AI244)))</f>
        <v>0</v>
      </c>
      <c r="L244">
        <f>SUMPRODUCT((MONTH(CHOOSE({1,2,3,4},HN!T244,HN!X244,HN!AB244,HN!AF244))=12)*(CHOOSE({1,2,3,4},HN!W244,HN!AA244,HN!AE244,HN!AI244)))</f>
        <v>0</v>
      </c>
    </row>
    <row r="245" spans="1:12">
      <c r="A245">
        <f>SUMPRODUCT((MONTH(CHOOSE({1,2,3,4},HN!T245,HN!X245,HN!AB245,HN!AF245))=1)*(CHOOSE({1,2,3,4},HN!W245,HN!AA245,HN!AE245,HN!AI245)))</f>
        <v>0</v>
      </c>
      <c r="B245">
        <f>SUMPRODUCT((MONTH(CHOOSE({1,2,3,4},HN!T245,HN!X245,HN!AB245,HN!AF245))=2)*(CHOOSE({1,2,3,4},HN!W245,HN!AA245,HN!AE245,HN!AI245)))</f>
        <v>0</v>
      </c>
      <c r="C245">
        <f>SUMPRODUCT((MONTH(CHOOSE({1,2,3,4},HN!T245,HN!X245,HN!AB245,HN!AF245))=3)*(CHOOSE({1,2,3,4},HN!W245,HN!AA245,HN!AE245,HN!AI245)))</f>
        <v>0</v>
      </c>
      <c r="D245">
        <f>SUMPRODUCT((MONTH(CHOOSE({1,2,3,4},HN!T245,HN!X245,HN!AB245,HN!AF245))=4)*(CHOOSE({1,2,3,4},HN!W245,HN!AA245,HN!AE245,HN!AI245)))</f>
        <v>0</v>
      </c>
      <c r="E245">
        <f>SUMPRODUCT((MONTH(CHOOSE({1,2,3,4},HN!T245,HN!X245,HN!AB245,HN!AF245))=5)*(CHOOSE({1,2,3,4},HN!W245,HN!AA245,HN!AE245,HN!AI245)))</f>
        <v>0</v>
      </c>
      <c r="F245">
        <f>SUMPRODUCT((MONTH(CHOOSE({1,2,3,4},HN!T245,HN!X245,HN!AB245,HN!AF245))=6)*(CHOOSE({1,2,3,4},HN!W245,HN!AA245,HN!AE245,HN!AI245)))</f>
        <v>0</v>
      </c>
      <c r="G245">
        <f>SUMPRODUCT((MONTH(CHOOSE({1,2,3,4},HN!T245,HN!X245,HN!AB245,HN!AF245))=7)*(CHOOSE({1,2,3,4},HN!W245,HN!AA245,HN!AE245,HN!AI245)))</f>
        <v>0</v>
      </c>
      <c r="H245">
        <f>SUMPRODUCT((MONTH(CHOOSE({1,2,3,4},HN!T245,HN!X245,HN!AB245,HN!AF245))=8)*(CHOOSE({1,2,3,4},HN!W245,HN!AA245,HN!AE245,HN!AI245)))</f>
        <v>0</v>
      </c>
      <c r="I245">
        <f>SUMPRODUCT((MONTH(CHOOSE({1,2,3,4},HN!T245,HN!X245,HN!AB245,HN!AF245))=9)*(CHOOSE({1,2,3,4},HN!W245,HN!AA245,HN!AE245,HN!AI245)))</f>
        <v>0</v>
      </c>
      <c r="J245">
        <f>SUMPRODUCT((MONTH(CHOOSE({1,2,3,4},HN!T245,HN!X245,HN!AB245,HN!AF245))=10)*(CHOOSE({1,2,3,4},HN!W245,HN!AA245,HN!AE245,HN!AI245)))</f>
        <v>0</v>
      </c>
      <c r="K245">
        <f>SUMPRODUCT((MONTH(CHOOSE({1,2,3,4},HN!T245,HN!X245,HN!AB245,HN!AF245))=11)*(CHOOSE({1,2,3,4},HN!W245,HN!AA245,HN!AE245,HN!AI245)))</f>
        <v>0</v>
      </c>
      <c r="L245">
        <f>SUMPRODUCT((MONTH(CHOOSE({1,2,3,4},HN!T245,HN!X245,HN!AB245,HN!AF245))=12)*(CHOOSE({1,2,3,4},HN!W245,HN!AA245,HN!AE245,HN!AI245)))</f>
        <v>0</v>
      </c>
    </row>
    <row r="246" spans="1:12">
      <c r="A246">
        <f>SUMPRODUCT((MONTH(CHOOSE({1,2,3,4},HN!T246,HN!X246,HN!AB246,HN!AF246))=1)*(CHOOSE({1,2,3,4},HN!W246,HN!AA246,HN!AE246,HN!AI246)))</f>
        <v>0</v>
      </c>
      <c r="B246">
        <f>SUMPRODUCT((MONTH(CHOOSE({1,2,3,4},HN!T246,HN!X246,HN!AB246,HN!AF246))=2)*(CHOOSE({1,2,3,4},HN!W246,HN!AA246,HN!AE246,HN!AI246)))</f>
        <v>0</v>
      </c>
      <c r="C246">
        <f>SUMPRODUCT((MONTH(CHOOSE({1,2,3,4},HN!T246,HN!X246,HN!AB246,HN!AF246))=3)*(CHOOSE({1,2,3,4},HN!W246,HN!AA246,HN!AE246,HN!AI246)))</f>
        <v>0</v>
      </c>
      <c r="D246">
        <f>SUMPRODUCT((MONTH(CHOOSE({1,2,3,4},HN!T246,HN!X246,HN!AB246,HN!AF246))=4)*(CHOOSE({1,2,3,4},HN!W246,HN!AA246,HN!AE246,HN!AI246)))</f>
        <v>0</v>
      </c>
      <c r="E246">
        <f>SUMPRODUCT((MONTH(CHOOSE({1,2,3,4},HN!T246,HN!X246,HN!AB246,HN!AF246))=5)*(CHOOSE({1,2,3,4},HN!W246,HN!AA246,HN!AE246,HN!AI246)))</f>
        <v>0</v>
      </c>
      <c r="F246">
        <f>SUMPRODUCT((MONTH(CHOOSE({1,2,3,4},HN!T246,HN!X246,HN!AB246,HN!AF246))=6)*(CHOOSE({1,2,3,4},HN!W246,HN!AA246,HN!AE246,HN!AI246)))</f>
        <v>0</v>
      </c>
      <c r="G246">
        <f>SUMPRODUCT((MONTH(CHOOSE({1,2,3,4},HN!T246,HN!X246,HN!AB246,HN!AF246))=7)*(CHOOSE({1,2,3,4},HN!W246,HN!AA246,HN!AE246,HN!AI246)))</f>
        <v>0</v>
      </c>
      <c r="H246">
        <f>SUMPRODUCT((MONTH(CHOOSE({1,2,3,4},HN!T246,HN!X246,HN!AB246,HN!AF246))=8)*(CHOOSE({1,2,3,4},HN!W246,HN!AA246,HN!AE246,HN!AI246)))</f>
        <v>0</v>
      </c>
      <c r="I246">
        <f>SUMPRODUCT((MONTH(CHOOSE({1,2,3,4},HN!T246,HN!X246,HN!AB246,HN!AF246))=9)*(CHOOSE({1,2,3,4},HN!W246,HN!AA246,HN!AE246,HN!AI246)))</f>
        <v>0</v>
      </c>
      <c r="J246">
        <f>SUMPRODUCT((MONTH(CHOOSE({1,2,3,4},HN!T246,HN!X246,HN!AB246,HN!AF246))=10)*(CHOOSE({1,2,3,4},HN!W246,HN!AA246,HN!AE246,HN!AI246)))</f>
        <v>0</v>
      </c>
      <c r="K246">
        <f>SUMPRODUCT((MONTH(CHOOSE({1,2,3,4},HN!T246,HN!X246,HN!AB246,HN!AF246))=11)*(CHOOSE({1,2,3,4},HN!W246,HN!AA246,HN!AE246,HN!AI246)))</f>
        <v>0</v>
      </c>
      <c r="L246">
        <f>SUMPRODUCT((MONTH(CHOOSE({1,2,3,4},HN!T246,HN!X246,HN!AB246,HN!AF246))=12)*(CHOOSE({1,2,3,4},HN!W246,HN!AA246,HN!AE246,HN!AI246)))</f>
        <v>0</v>
      </c>
    </row>
    <row r="247" spans="1:12">
      <c r="A247">
        <f>SUMPRODUCT((MONTH(CHOOSE({1,2,3,4},HN!T247,HN!X247,HN!AB247,HN!AF247))=1)*(CHOOSE({1,2,3,4},HN!W247,HN!AA247,HN!AE247,HN!AI247)))</f>
        <v>0</v>
      </c>
      <c r="B247">
        <f>SUMPRODUCT((MONTH(CHOOSE({1,2,3,4},HN!T247,HN!X247,HN!AB247,HN!AF247))=2)*(CHOOSE({1,2,3,4},HN!W247,HN!AA247,HN!AE247,HN!AI247)))</f>
        <v>0</v>
      </c>
      <c r="C247">
        <f>SUMPRODUCT((MONTH(CHOOSE({1,2,3,4},HN!T247,HN!X247,HN!AB247,HN!AF247))=3)*(CHOOSE({1,2,3,4},HN!W247,HN!AA247,HN!AE247,HN!AI247)))</f>
        <v>0</v>
      </c>
      <c r="D247">
        <f>SUMPRODUCT((MONTH(CHOOSE({1,2,3,4},HN!T247,HN!X247,HN!AB247,HN!AF247))=4)*(CHOOSE({1,2,3,4},HN!W247,HN!AA247,HN!AE247,HN!AI247)))</f>
        <v>0</v>
      </c>
      <c r="E247">
        <f>SUMPRODUCT((MONTH(CHOOSE({1,2,3,4},HN!T247,HN!X247,HN!AB247,HN!AF247))=5)*(CHOOSE({1,2,3,4},HN!W247,HN!AA247,HN!AE247,HN!AI247)))</f>
        <v>0</v>
      </c>
      <c r="F247">
        <f>SUMPRODUCT((MONTH(CHOOSE({1,2,3,4},HN!T247,HN!X247,HN!AB247,HN!AF247))=6)*(CHOOSE({1,2,3,4},HN!W247,HN!AA247,HN!AE247,HN!AI247)))</f>
        <v>0</v>
      </c>
      <c r="G247">
        <f>SUMPRODUCT((MONTH(CHOOSE({1,2,3,4},HN!T247,HN!X247,HN!AB247,HN!AF247))=7)*(CHOOSE({1,2,3,4},HN!W247,HN!AA247,HN!AE247,HN!AI247)))</f>
        <v>0</v>
      </c>
      <c r="H247">
        <f>SUMPRODUCT((MONTH(CHOOSE({1,2,3,4},HN!T247,HN!X247,HN!AB247,HN!AF247))=8)*(CHOOSE({1,2,3,4},HN!W247,HN!AA247,HN!AE247,HN!AI247)))</f>
        <v>0</v>
      </c>
      <c r="I247">
        <f>SUMPRODUCT((MONTH(CHOOSE({1,2,3,4},HN!T247,HN!X247,HN!AB247,HN!AF247))=9)*(CHOOSE({1,2,3,4},HN!W247,HN!AA247,HN!AE247,HN!AI247)))</f>
        <v>0</v>
      </c>
      <c r="J247">
        <f>SUMPRODUCT((MONTH(CHOOSE({1,2,3,4},HN!T247,HN!X247,HN!AB247,HN!AF247))=10)*(CHOOSE({1,2,3,4},HN!W247,HN!AA247,HN!AE247,HN!AI247)))</f>
        <v>0</v>
      </c>
      <c r="K247">
        <f>SUMPRODUCT((MONTH(CHOOSE({1,2,3,4},HN!T247,HN!X247,HN!AB247,HN!AF247))=11)*(CHOOSE({1,2,3,4},HN!W247,HN!AA247,HN!AE247,HN!AI247)))</f>
        <v>0</v>
      </c>
      <c r="L247">
        <f>SUMPRODUCT((MONTH(CHOOSE({1,2,3,4},HN!T247,HN!X247,HN!AB247,HN!AF247))=12)*(CHOOSE({1,2,3,4},HN!W247,HN!AA247,HN!AE247,HN!AI247)))</f>
        <v>0</v>
      </c>
    </row>
    <row r="248" spans="1:12">
      <c r="A248">
        <f>SUMPRODUCT((MONTH(CHOOSE({1,2,3,4},HN!T248,HN!X248,HN!AB248,HN!AF248))=1)*(CHOOSE({1,2,3,4},HN!W248,HN!AA248,HN!AE248,HN!AI248)))</f>
        <v>0</v>
      </c>
      <c r="B248">
        <f>SUMPRODUCT((MONTH(CHOOSE({1,2,3,4},HN!T248,HN!X248,HN!AB248,HN!AF248))=2)*(CHOOSE({1,2,3,4},HN!W248,HN!AA248,HN!AE248,HN!AI248)))</f>
        <v>0</v>
      </c>
      <c r="C248">
        <f>SUMPRODUCT((MONTH(CHOOSE({1,2,3,4},HN!T248,HN!X248,HN!AB248,HN!AF248))=3)*(CHOOSE({1,2,3,4},HN!W248,HN!AA248,HN!AE248,HN!AI248)))</f>
        <v>0</v>
      </c>
      <c r="D248">
        <f>SUMPRODUCT((MONTH(CHOOSE({1,2,3,4},HN!T248,HN!X248,HN!AB248,HN!AF248))=4)*(CHOOSE({1,2,3,4},HN!W248,HN!AA248,HN!AE248,HN!AI248)))</f>
        <v>0</v>
      </c>
      <c r="E248">
        <f>SUMPRODUCT((MONTH(CHOOSE({1,2,3,4},HN!T248,HN!X248,HN!AB248,HN!AF248))=5)*(CHOOSE({1,2,3,4},HN!W248,HN!AA248,HN!AE248,HN!AI248)))</f>
        <v>0</v>
      </c>
      <c r="F248">
        <f>SUMPRODUCT((MONTH(CHOOSE({1,2,3,4},HN!T248,HN!X248,HN!AB248,HN!AF248))=6)*(CHOOSE({1,2,3,4},HN!W248,HN!AA248,HN!AE248,HN!AI248)))</f>
        <v>0</v>
      </c>
      <c r="G248">
        <f>SUMPRODUCT((MONTH(CHOOSE({1,2,3,4},HN!T248,HN!X248,HN!AB248,HN!AF248))=7)*(CHOOSE({1,2,3,4},HN!W248,HN!AA248,HN!AE248,HN!AI248)))</f>
        <v>0</v>
      </c>
      <c r="H248">
        <f>SUMPRODUCT((MONTH(CHOOSE({1,2,3,4},HN!T248,HN!X248,HN!AB248,HN!AF248))=8)*(CHOOSE({1,2,3,4},HN!W248,HN!AA248,HN!AE248,HN!AI248)))</f>
        <v>0</v>
      </c>
      <c r="I248">
        <f>SUMPRODUCT((MONTH(CHOOSE({1,2,3,4},HN!T248,HN!X248,HN!AB248,HN!AF248))=9)*(CHOOSE({1,2,3,4},HN!W248,HN!AA248,HN!AE248,HN!AI248)))</f>
        <v>0</v>
      </c>
      <c r="J248">
        <f>SUMPRODUCT((MONTH(CHOOSE({1,2,3,4},HN!T248,HN!X248,HN!AB248,HN!AF248))=10)*(CHOOSE({1,2,3,4},HN!W248,HN!AA248,HN!AE248,HN!AI248)))</f>
        <v>0</v>
      </c>
      <c r="K248">
        <f>SUMPRODUCT((MONTH(CHOOSE({1,2,3,4},HN!T248,HN!X248,HN!AB248,HN!AF248))=11)*(CHOOSE({1,2,3,4},HN!W248,HN!AA248,HN!AE248,HN!AI248)))</f>
        <v>0</v>
      </c>
      <c r="L248">
        <f>SUMPRODUCT((MONTH(CHOOSE({1,2,3,4},HN!T248,HN!X248,HN!AB248,HN!AF248))=12)*(CHOOSE({1,2,3,4},HN!W248,HN!AA248,HN!AE248,HN!AI248)))</f>
        <v>0</v>
      </c>
    </row>
    <row r="249" spans="1:12">
      <c r="A249">
        <f>SUMPRODUCT((MONTH(CHOOSE({1,2,3,4},HN!T249,HN!X249,HN!AB249,HN!AF249))=1)*(CHOOSE({1,2,3,4},HN!W249,HN!AA249,HN!AE249,HN!AI249)))</f>
        <v>0</v>
      </c>
      <c r="B249">
        <f>SUMPRODUCT((MONTH(CHOOSE({1,2,3,4},HN!T249,HN!X249,HN!AB249,HN!AF249))=2)*(CHOOSE({1,2,3,4},HN!W249,HN!AA249,HN!AE249,HN!AI249)))</f>
        <v>0</v>
      </c>
      <c r="C249">
        <f>SUMPRODUCT((MONTH(CHOOSE({1,2,3,4},HN!T249,HN!X249,HN!AB249,HN!AF249))=3)*(CHOOSE({1,2,3,4},HN!W249,HN!AA249,HN!AE249,HN!AI249)))</f>
        <v>0</v>
      </c>
      <c r="D249">
        <f>SUMPRODUCT((MONTH(CHOOSE({1,2,3,4},HN!T249,HN!X249,HN!AB249,HN!AF249))=4)*(CHOOSE({1,2,3,4},HN!W249,HN!AA249,HN!AE249,HN!AI249)))</f>
        <v>0</v>
      </c>
      <c r="E249">
        <f>SUMPRODUCT((MONTH(CHOOSE({1,2,3,4},HN!T249,HN!X249,HN!AB249,HN!AF249))=5)*(CHOOSE({1,2,3,4},HN!W249,HN!AA249,HN!AE249,HN!AI249)))</f>
        <v>0</v>
      </c>
      <c r="F249">
        <f>SUMPRODUCT((MONTH(CHOOSE({1,2,3,4},HN!T249,HN!X249,HN!AB249,HN!AF249))=6)*(CHOOSE({1,2,3,4},HN!W249,HN!AA249,HN!AE249,HN!AI249)))</f>
        <v>0</v>
      </c>
      <c r="G249">
        <f>SUMPRODUCT((MONTH(CHOOSE({1,2,3,4},HN!T249,HN!X249,HN!AB249,HN!AF249))=7)*(CHOOSE({1,2,3,4},HN!W249,HN!AA249,HN!AE249,HN!AI249)))</f>
        <v>0</v>
      </c>
      <c r="H249">
        <f>SUMPRODUCT((MONTH(CHOOSE({1,2,3,4},HN!T249,HN!X249,HN!AB249,HN!AF249))=8)*(CHOOSE({1,2,3,4},HN!W249,HN!AA249,HN!AE249,HN!AI249)))</f>
        <v>0</v>
      </c>
      <c r="I249">
        <f>SUMPRODUCT((MONTH(CHOOSE({1,2,3,4},HN!T249,HN!X249,HN!AB249,HN!AF249))=9)*(CHOOSE({1,2,3,4},HN!W249,HN!AA249,HN!AE249,HN!AI249)))</f>
        <v>0</v>
      </c>
      <c r="J249">
        <f>SUMPRODUCT((MONTH(CHOOSE({1,2,3,4},HN!T249,HN!X249,HN!AB249,HN!AF249))=10)*(CHOOSE({1,2,3,4},HN!W249,HN!AA249,HN!AE249,HN!AI249)))</f>
        <v>0</v>
      </c>
      <c r="K249">
        <f>SUMPRODUCT((MONTH(CHOOSE({1,2,3,4},HN!T249,HN!X249,HN!AB249,HN!AF249))=11)*(CHOOSE({1,2,3,4},HN!W249,HN!AA249,HN!AE249,HN!AI249)))</f>
        <v>0</v>
      </c>
      <c r="L249">
        <f>SUMPRODUCT((MONTH(CHOOSE({1,2,3,4},HN!T249,HN!X249,HN!AB249,HN!AF249))=12)*(CHOOSE({1,2,3,4},HN!W249,HN!AA249,HN!AE249,HN!AI249)))</f>
        <v>0</v>
      </c>
    </row>
    <row r="250" spans="1:12">
      <c r="A250">
        <f>SUMPRODUCT((MONTH(CHOOSE({1,2,3,4},HN!T250,HN!X250,HN!AB250,HN!AF250))=1)*(CHOOSE({1,2,3,4},HN!W250,HN!AA250,HN!AE250,HN!AI250)))</f>
        <v>0</v>
      </c>
      <c r="B250">
        <f>SUMPRODUCT((MONTH(CHOOSE({1,2,3,4},HN!T250,HN!X250,HN!AB250,HN!AF250))=2)*(CHOOSE({1,2,3,4},HN!W250,HN!AA250,HN!AE250,HN!AI250)))</f>
        <v>0</v>
      </c>
      <c r="C250">
        <f>SUMPRODUCT((MONTH(CHOOSE({1,2,3,4},HN!T250,HN!X250,HN!AB250,HN!AF250))=3)*(CHOOSE({1,2,3,4},HN!W250,HN!AA250,HN!AE250,HN!AI250)))</f>
        <v>0</v>
      </c>
      <c r="D250">
        <f>SUMPRODUCT((MONTH(CHOOSE({1,2,3,4},HN!T250,HN!X250,HN!AB250,HN!AF250))=4)*(CHOOSE({1,2,3,4},HN!W250,HN!AA250,HN!AE250,HN!AI250)))</f>
        <v>0</v>
      </c>
      <c r="E250">
        <f>SUMPRODUCT((MONTH(CHOOSE({1,2,3,4},HN!T250,HN!X250,HN!AB250,HN!AF250))=5)*(CHOOSE({1,2,3,4},HN!W250,HN!AA250,HN!AE250,HN!AI250)))</f>
        <v>0</v>
      </c>
      <c r="F250">
        <f>SUMPRODUCT((MONTH(CHOOSE({1,2,3,4},HN!T250,HN!X250,HN!AB250,HN!AF250))=6)*(CHOOSE({1,2,3,4},HN!W250,HN!AA250,HN!AE250,HN!AI250)))</f>
        <v>0</v>
      </c>
      <c r="G250">
        <f>SUMPRODUCT((MONTH(CHOOSE({1,2,3,4},HN!T250,HN!X250,HN!AB250,HN!AF250))=7)*(CHOOSE({1,2,3,4},HN!W250,HN!AA250,HN!AE250,HN!AI250)))</f>
        <v>0</v>
      </c>
      <c r="H250">
        <f>SUMPRODUCT((MONTH(CHOOSE({1,2,3,4},HN!T250,HN!X250,HN!AB250,HN!AF250))=8)*(CHOOSE({1,2,3,4},HN!W250,HN!AA250,HN!AE250,HN!AI250)))</f>
        <v>0</v>
      </c>
      <c r="I250">
        <f>SUMPRODUCT((MONTH(CHOOSE({1,2,3,4},HN!T250,HN!X250,HN!AB250,HN!AF250))=9)*(CHOOSE({1,2,3,4},HN!W250,HN!AA250,HN!AE250,HN!AI250)))</f>
        <v>0</v>
      </c>
      <c r="J250">
        <f>SUMPRODUCT((MONTH(CHOOSE({1,2,3,4},HN!T250,HN!X250,HN!AB250,HN!AF250))=10)*(CHOOSE({1,2,3,4},HN!W250,HN!AA250,HN!AE250,HN!AI250)))</f>
        <v>0</v>
      </c>
      <c r="K250">
        <f>SUMPRODUCT((MONTH(CHOOSE({1,2,3,4},HN!T250,HN!X250,HN!AB250,HN!AF250))=11)*(CHOOSE({1,2,3,4},HN!W250,HN!AA250,HN!AE250,HN!AI250)))</f>
        <v>0</v>
      </c>
      <c r="L250">
        <f>SUMPRODUCT((MONTH(CHOOSE({1,2,3,4},HN!T250,HN!X250,HN!AB250,HN!AF250))=12)*(CHOOSE({1,2,3,4},HN!W250,HN!AA250,HN!AE250,HN!AI250)))</f>
        <v>0</v>
      </c>
    </row>
    <row r="251" spans="1:12">
      <c r="A251">
        <f>SUMPRODUCT((MONTH(CHOOSE({1,2,3,4},HN!T251,HN!X251,HN!AB251,HN!AF251))=1)*(CHOOSE({1,2,3,4},HN!W251,HN!AA251,HN!AE251,HN!AI251)))</f>
        <v>0</v>
      </c>
      <c r="B251">
        <f>SUMPRODUCT((MONTH(CHOOSE({1,2,3,4},HN!T251,HN!X251,HN!AB251,HN!AF251))=2)*(CHOOSE({1,2,3,4},HN!W251,HN!AA251,HN!AE251,HN!AI251)))</f>
        <v>0</v>
      </c>
      <c r="C251">
        <f>SUMPRODUCT((MONTH(CHOOSE({1,2,3,4},HN!T251,HN!X251,HN!AB251,HN!AF251))=3)*(CHOOSE({1,2,3,4},HN!W251,HN!AA251,HN!AE251,HN!AI251)))</f>
        <v>0</v>
      </c>
      <c r="D251">
        <f>SUMPRODUCT((MONTH(CHOOSE({1,2,3,4},HN!T251,HN!X251,HN!AB251,HN!AF251))=4)*(CHOOSE({1,2,3,4},HN!W251,HN!AA251,HN!AE251,HN!AI251)))</f>
        <v>0</v>
      </c>
      <c r="E251">
        <f>SUMPRODUCT((MONTH(CHOOSE({1,2,3,4},HN!T251,HN!X251,HN!AB251,HN!AF251))=5)*(CHOOSE({1,2,3,4},HN!W251,HN!AA251,HN!AE251,HN!AI251)))</f>
        <v>0</v>
      </c>
      <c r="F251">
        <f>SUMPRODUCT((MONTH(CHOOSE({1,2,3,4},HN!T251,HN!X251,HN!AB251,HN!AF251))=6)*(CHOOSE({1,2,3,4},HN!W251,HN!AA251,HN!AE251,HN!AI251)))</f>
        <v>0</v>
      </c>
      <c r="G251">
        <f>SUMPRODUCT((MONTH(CHOOSE({1,2,3,4},HN!T251,HN!X251,HN!AB251,HN!AF251))=7)*(CHOOSE({1,2,3,4},HN!W251,HN!AA251,HN!AE251,HN!AI251)))</f>
        <v>0</v>
      </c>
      <c r="H251">
        <f>SUMPRODUCT((MONTH(CHOOSE({1,2,3,4},HN!T251,HN!X251,HN!AB251,HN!AF251))=8)*(CHOOSE({1,2,3,4},HN!W251,HN!AA251,HN!AE251,HN!AI251)))</f>
        <v>0</v>
      </c>
      <c r="I251">
        <f>SUMPRODUCT((MONTH(CHOOSE({1,2,3,4},HN!T251,HN!X251,HN!AB251,HN!AF251))=9)*(CHOOSE({1,2,3,4},HN!W251,HN!AA251,HN!AE251,HN!AI251)))</f>
        <v>0</v>
      </c>
      <c r="J251">
        <f>SUMPRODUCT((MONTH(CHOOSE({1,2,3,4},HN!T251,HN!X251,HN!AB251,HN!AF251))=10)*(CHOOSE({1,2,3,4},HN!W251,HN!AA251,HN!AE251,HN!AI251)))</f>
        <v>0</v>
      </c>
      <c r="K251">
        <f>SUMPRODUCT((MONTH(CHOOSE({1,2,3,4},HN!T251,HN!X251,HN!AB251,HN!AF251))=11)*(CHOOSE({1,2,3,4},HN!W251,HN!AA251,HN!AE251,HN!AI251)))</f>
        <v>0</v>
      </c>
      <c r="L251">
        <f>SUMPRODUCT((MONTH(CHOOSE({1,2,3,4},HN!T251,HN!X251,HN!AB251,HN!AF251))=12)*(CHOOSE({1,2,3,4},HN!W251,HN!AA251,HN!AE251,HN!AI251)))</f>
        <v>0</v>
      </c>
    </row>
    <row r="252" spans="1:12">
      <c r="A252">
        <f>SUMPRODUCT((MONTH(CHOOSE({1,2,3,4},HN!T252,HN!X252,HN!AB252,HN!AF252))=1)*(CHOOSE({1,2,3,4},HN!W252,HN!AA252,HN!AE252,HN!AI252)))</f>
        <v>0</v>
      </c>
      <c r="B252">
        <f>SUMPRODUCT((MONTH(CHOOSE({1,2,3,4},HN!T252,HN!X252,HN!AB252,HN!AF252))=2)*(CHOOSE({1,2,3,4},HN!W252,HN!AA252,HN!AE252,HN!AI252)))</f>
        <v>0</v>
      </c>
      <c r="C252">
        <f>SUMPRODUCT((MONTH(CHOOSE({1,2,3,4},HN!T252,HN!X252,HN!AB252,HN!AF252))=3)*(CHOOSE({1,2,3,4},HN!W252,HN!AA252,HN!AE252,HN!AI252)))</f>
        <v>0</v>
      </c>
      <c r="D252">
        <f>SUMPRODUCT((MONTH(CHOOSE({1,2,3,4},HN!T252,HN!X252,HN!AB252,HN!AF252))=4)*(CHOOSE({1,2,3,4},HN!W252,HN!AA252,HN!AE252,HN!AI252)))</f>
        <v>0</v>
      </c>
      <c r="E252">
        <f>SUMPRODUCT((MONTH(CHOOSE({1,2,3,4},HN!T252,HN!X252,HN!AB252,HN!AF252))=5)*(CHOOSE({1,2,3,4},HN!W252,HN!AA252,HN!AE252,HN!AI252)))</f>
        <v>0</v>
      </c>
      <c r="F252">
        <f>SUMPRODUCT((MONTH(CHOOSE({1,2,3,4},HN!T252,HN!X252,HN!AB252,HN!AF252))=6)*(CHOOSE({1,2,3,4},HN!W252,HN!AA252,HN!AE252,HN!AI252)))</f>
        <v>0</v>
      </c>
      <c r="G252">
        <f>SUMPRODUCT((MONTH(CHOOSE({1,2,3,4},HN!T252,HN!X252,HN!AB252,HN!AF252))=7)*(CHOOSE({1,2,3,4},HN!W252,HN!AA252,HN!AE252,HN!AI252)))</f>
        <v>0</v>
      </c>
      <c r="H252">
        <f>SUMPRODUCT((MONTH(CHOOSE({1,2,3,4},HN!T252,HN!X252,HN!AB252,HN!AF252))=8)*(CHOOSE({1,2,3,4},HN!W252,HN!AA252,HN!AE252,HN!AI252)))</f>
        <v>0</v>
      </c>
      <c r="I252">
        <f>SUMPRODUCT((MONTH(CHOOSE({1,2,3,4},HN!T252,HN!X252,HN!AB252,HN!AF252))=9)*(CHOOSE({1,2,3,4},HN!W252,HN!AA252,HN!AE252,HN!AI252)))</f>
        <v>0</v>
      </c>
      <c r="J252">
        <f>SUMPRODUCT((MONTH(CHOOSE({1,2,3,4},HN!T252,HN!X252,HN!AB252,HN!AF252))=10)*(CHOOSE({1,2,3,4},HN!W252,HN!AA252,HN!AE252,HN!AI252)))</f>
        <v>0</v>
      </c>
      <c r="K252">
        <f>SUMPRODUCT((MONTH(CHOOSE({1,2,3,4},HN!T252,HN!X252,HN!AB252,HN!AF252))=11)*(CHOOSE({1,2,3,4},HN!W252,HN!AA252,HN!AE252,HN!AI252)))</f>
        <v>0</v>
      </c>
      <c r="L252">
        <f>SUMPRODUCT((MONTH(CHOOSE({1,2,3,4},HN!T252,HN!X252,HN!AB252,HN!AF252))=12)*(CHOOSE({1,2,3,4},HN!W252,HN!AA252,HN!AE252,HN!AI252)))</f>
        <v>0</v>
      </c>
    </row>
    <row r="253" spans="1:12">
      <c r="A253">
        <f>SUMPRODUCT((MONTH(CHOOSE({1,2,3,4},HN!T253,HN!X253,HN!AB253,HN!AF253))=1)*(CHOOSE({1,2,3,4},HN!W253,HN!AA253,HN!AE253,HN!AI253)))</f>
        <v>0</v>
      </c>
      <c r="B253">
        <f>SUMPRODUCT((MONTH(CHOOSE({1,2,3,4},HN!T253,HN!X253,HN!AB253,HN!AF253))=2)*(CHOOSE({1,2,3,4},HN!W253,HN!AA253,HN!AE253,HN!AI253)))</f>
        <v>0</v>
      </c>
      <c r="C253">
        <f>SUMPRODUCT((MONTH(CHOOSE({1,2,3,4},HN!T253,HN!X253,HN!AB253,HN!AF253))=3)*(CHOOSE({1,2,3,4},HN!W253,HN!AA253,HN!AE253,HN!AI253)))</f>
        <v>0</v>
      </c>
      <c r="D253">
        <f>SUMPRODUCT((MONTH(CHOOSE({1,2,3,4},HN!T253,HN!X253,HN!AB253,HN!AF253))=4)*(CHOOSE({1,2,3,4},HN!W253,HN!AA253,HN!AE253,HN!AI253)))</f>
        <v>0</v>
      </c>
      <c r="E253">
        <f>SUMPRODUCT((MONTH(CHOOSE({1,2,3,4},HN!T253,HN!X253,HN!AB253,HN!AF253))=5)*(CHOOSE({1,2,3,4},HN!W253,HN!AA253,HN!AE253,HN!AI253)))</f>
        <v>0</v>
      </c>
      <c r="F253">
        <f>SUMPRODUCT((MONTH(CHOOSE({1,2,3,4},HN!T253,HN!X253,HN!AB253,HN!AF253))=6)*(CHOOSE({1,2,3,4},HN!W253,HN!AA253,HN!AE253,HN!AI253)))</f>
        <v>0</v>
      </c>
      <c r="G253">
        <f>SUMPRODUCT((MONTH(CHOOSE({1,2,3,4},HN!T253,HN!X253,HN!AB253,HN!AF253))=7)*(CHOOSE({1,2,3,4},HN!W253,HN!AA253,HN!AE253,HN!AI253)))</f>
        <v>0</v>
      </c>
      <c r="H253">
        <f>SUMPRODUCT((MONTH(CHOOSE({1,2,3,4},HN!T253,HN!X253,HN!AB253,HN!AF253))=8)*(CHOOSE({1,2,3,4},HN!W253,HN!AA253,HN!AE253,HN!AI253)))</f>
        <v>0</v>
      </c>
      <c r="I253">
        <f>SUMPRODUCT((MONTH(CHOOSE({1,2,3,4},HN!T253,HN!X253,HN!AB253,HN!AF253))=9)*(CHOOSE({1,2,3,4},HN!W253,HN!AA253,HN!AE253,HN!AI253)))</f>
        <v>0</v>
      </c>
      <c r="J253">
        <f>SUMPRODUCT((MONTH(CHOOSE({1,2,3,4},HN!T253,HN!X253,HN!AB253,HN!AF253))=10)*(CHOOSE({1,2,3,4},HN!W253,HN!AA253,HN!AE253,HN!AI253)))</f>
        <v>0</v>
      </c>
      <c r="K253">
        <f>SUMPRODUCT((MONTH(CHOOSE({1,2,3,4},HN!T253,HN!X253,HN!AB253,HN!AF253))=11)*(CHOOSE({1,2,3,4},HN!W253,HN!AA253,HN!AE253,HN!AI253)))</f>
        <v>0</v>
      </c>
      <c r="L253">
        <f>SUMPRODUCT((MONTH(CHOOSE({1,2,3,4},HN!T253,HN!X253,HN!AB253,HN!AF253))=12)*(CHOOSE({1,2,3,4},HN!W253,HN!AA253,HN!AE253,HN!AI253)))</f>
        <v>0</v>
      </c>
    </row>
    <row r="254" spans="1:12">
      <c r="A254">
        <f>SUMPRODUCT((MONTH(CHOOSE({1,2,3,4},HN!T254,HN!X254,HN!AB254,HN!AF254))=1)*(CHOOSE({1,2,3,4},HN!W254,HN!AA254,HN!AE254,HN!AI254)))</f>
        <v>0</v>
      </c>
      <c r="B254">
        <f>SUMPRODUCT((MONTH(CHOOSE({1,2,3,4},HN!T254,HN!X254,HN!AB254,HN!AF254))=2)*(CHOOSE({1,2,3,4},HN!W254,HN!AA254,HN!AE254,HN!AI254)))</f>
        <v>0</v>
      </c>
      <c r="C254">
        <f>SUMPRODUCT((MONTH(CHOOSE({1,2,3,4},HN!T254,HN!X254,HN!AB254,HN!AF254))=3)*(CHOOSE({1,2,3,4},HN!W254,HN!AA254,HN!AE254,HN!AI254)))</f>
        <v>0</v>
      </c>
      <c r="D254">
        <f>SUMPRODUCT((MONTH(CHOOSE({1,2,3,4},HN!T254,HN!X254,HN!AB254,HN!AF254))=4)*(CHOOSE({1,2,3,4},HN!W254,HN!AA254,HN!AE254,HN!AI254)))</f>
        <v>0</v>
      </c>
      <c r="E254">
        <f>SUMPRODUCT((MONTH(CHOOSE({1,2,3,4},HN!T254,HN!X254,HN!AB254,HN!AF254))=5)*(CHOOSE({1,2,3,4},HN!W254,HN!AA254,HN!AE254,HN!AI254)))</f>
        <v>0</v>
      </c>
      <c r="F254">
        <f>SUMPRODUCT((MONTH(CHOOSE({1,2,3,4},HN!T254,HN!X254,HN!AB254,HN!AF254))=6)*(CHOOSE({1,2,3,4},HN!W254,HN!AA254,HN!AE254,HN!AI254)))</f>
        <v>0</v>
      </c>
      <c r="G254">
        <f>SUMPRODUCT((MONTH(CHOOSE({1,2,3,4},HN!T254,HN!X254,HN!AB254,HN!AF254))=7)*(CHOOSE({1,2,3,4},HN!W254,HN!AA254,HN!AE254,HN!AI254)))</f>
        <v>0</v>
      </c>
      <c r="H254">
        <f>SUMPRODUCT((MONTH(CHOOSE({1,2,3,4},HN!T254,HN!X254,HN!AB254,HN!AF254))=8)*(CHOOSE({1,2,3,4},HN!W254,HN!AA254,HN!AE254,HN!AI254)))</f>
        <v>0</v>
      </c>
      <c r="I254">
        <f>SUMPRODUCT((MONTH(CHOOSE({1,2,3,4},HN!T254,HN!X254,HN!AB254,HN!AF254))=9)*(CHOOSE({1,2,3,4},HN!W254,HN!AA254,HN!AE254,HN!AI254)))</f>
        <v>0</v>
      </c>
      <c r="J254">
        <f>SUMPRODUCT((MONTH(CHOOSE({1,2,3,4},HN!T254,HN!X254,HN!AB254,HN!AF254))=10)*(CHOOSE({1,2,3,4},HN!W254,HN!AA254,HN!AE254,HN!AI254)))</f>
        <v>0</v>
      </c>
      <c r="K254">
        <f>SUMPRODUCT((MONTH(CHOOSE({1,2,3,4},HN!T254,HN!X254,HN!AB254,HN!AF254))=11)*(CHOOSE({1,2,3,4},HN!W254,HN!AA254,HN!AE254,HN!AI254)))</f>
        <v>0</v>
      </c>
      <c r="L254">
        <f>SUMPRODUCT((MONTH(CHOOSE({1,2,3,4},HN!T254,HN!X254,HN!AB254,HN!AF254))=12)*(CHOOSE({1,2,3,4},HN!W254,HN!AA254,HN!AE254,HN!AI254)))</f>
        <v>0</v>
      </c>
    </row>
    <row r="255" spans="1:12">
      <c r="A255">
        <f>SUMPRODUCT((MONTH(CHOOSE({1,2,3,4},HN!T255,HN!X255,HN!AB255,HN!AF255))=1)*(CHOOSE({1,2,3,4},HN!W255,HN!AA255,HN!AE255,HN!AI255)))</f>
        <v>0</v>
      </c>
      <c r="B255">
        <f>SUMPRODUCT((MONTH(CHOOSE({1,2,3,4},HN!T255,HN!X255,HN!AB255,HN!AF255))=2)*(CHOOSE({1,2,3,4},HN!W255,HN!AA255,HN!AE255,HN!AI255)))</f>
        <v>0</v>
      </c>
      <c r="C255">
        <f>SUMPRODUCT((MONTH(CHOOSE({1,2,3,4},HN!T255,HN!X255,HN!AB255,HN!AF255))=3)*(CHOOSE({1,2,3,4},HN!W255,HN!AA255,HN!AE255,HN!AI255)))</f>
        <v>0</v>
      </c>
      <c r="D255">
        <f>SUMPRODUCT((MONTH(CHOOSE({1,2,3,4},HN!T255,HN!X255,HN!AB255,HN!AF255))=4)*(CHOOSE({1,2,3,4},HN!W255,HN!AA255,HN!AE255,HN!AI255)))</f>
        <v>0</v>
      </c>
      <c r="E255">
        <f>SUMPRODUCT((MONTH(CHOOSE({1,2,3,4},HN!T255,HN!X255,HN!AB255,HN!AF255))=5)*(CHOOSE({1,2,3,4},HN!W255,HN!AA255,HN!AE255,HN!AI255)))</f>
        <v>0</v>
      </c>
      <c r="F255">
        <f>SUMPRODUCT((MONTH(CHOOSE({1,2,3,4},HN!T255,HN!X255,HN!AB255,HN!AF255))=6)*(CHOOSE({1,2,3,4},HN!W255,HN!AA255,HN!AE255,HN!AI255)))</f>
        <v>0</v>
      </c>
      <c r="G255">
        <f>SUMPRODUCT((MONTH(CHOOSE({1,2,3,4},HN!T255,HN!X255,HN!AB255,HN!AF255))=7)*(CHOOSE({1,2,3,4},HN!W255,HN!AA255,HN!AE255,HN!AI255)))</f>
        <v>0</v>
      </c>
      <c r="H255">
        <f>SUMPRODUCT((MONTH(CHOOSE({1,2,3,4},HN!T255,HN!X255,HN!AB255,HN!AF255))=8)*(CHOOSE({1,2,3,4},HN!W255,HN!AA255,HN!AE255,HN!AI255)))</f>
        <v>0</v>
      </c>
      <c r="I255">
        <f>SUMPRODUCT((MONTH(CHOOSE({1,2,3,4},HN!T255,HN!X255,HN!AB255,HN!AF255))=9)*(CHOOSE({1,2,3,4},HN!W255,HN!AA255,HN!AE255,HN!AI255)))</f>
        <v>0</v>
      </c>
      <c r="J255">
        <f>SUMPRODUCT((MONTH(CHOOSE({1,2,3,4},HN!T255,HN!X255,HN!AB255,HN!AF255))=10)*(CHOOSE({1,2,3,4},HN!W255,HN!AA255,HN!AE255,HN!AI255)))</f>
        <v>0</v>
      </c>
      <c r="K255">
        <f>SUMPRODUCT((MONTH(CHOOSE({1,2,3,4},HN!T255,HN!X255,HN!AB255,HN!AF255))=11)*(CHOOSE({1,2,3,4},HN!W255,HN!AA255,HN!AE255,HN!AI255)))</f>
        <v>0</v>
      </c>
      <c r="L255">
        <f>SUMPRODUCT((MONTH(CHOOSE({1,2,3,4},HN!T255,HN!X255,HN!AB255,HN!AF255))=12)*(CHOOSE({1,2,3,4},HN!W255,HN!AA255,HN!AE255,HN!AI255)))</f>
        <v>0</v>
      </c>
    </row>
    <row r="256" spans="1:12">
      <c r="A256">
        <f>SUMPRODUCT((MONTH(CHOOSE({1,2,3,4},HN!T256,HN!X256,HN!AB256,HN!AF256))=1)*(CHOOSE({1,2,3,4},HN!W256,HN!AA256,HN!AE256,HN!AI256)))</f>
        <v>0</v>
      </c>
      <c r="B256">
        <f>SUMPRODUCT((MONTH(CHOOSE({1,2,3,4},HN!T256,HN!X256,HN!AB256,HN!AF256))=2)*(CHOOSE({1,2,3,4},HN!W256,HN!AA256,HN!AE256,HN!AI256)))</f>
        <v>0</v>
      </c>
      <c r="C256">
        <f>SUMPRODUCT((MONTH(CHOOSE({1,2,3,4},HN!T256,HN!X256,HN!AB256,HN!AF256))=3)*(CHOOSE({1,2,3,4},HN!W256,HN!AA256,HN!AE256,HN!AI256)))</f>
        <v>0</v>
      </c>
      <c r="D256">
        <f>SUMPRODUCT((MONTH(CHOOSE({1,2,3,4},HN!T256,HN!X256,HN!AB256,HN!AF256))=4)*(CHOOSE({1,2,3,4},HN!W256,HN!AA256,HN!AE256,HN!AI256)))</f>
        <v>0</v>
      </c>
      <c r="E256">
        <f>SUMPRODUCT((MONTH(CHOOSE({1,2,3,4},HN!T256,HN!X256,HN!AB256,HN!AF256))=5)*(CHOOSE({1,2,3,4},HN!W256,HN!AA256,HN!AE256,HN!AI256)))</f>
        <v>0</v>
      </c>
      <c r="F256">
        <f>SUMPRODUCT((MONTH(CHOOSE({1,2,3,4},HN!T256,HN!X256,HN!AB256,HN!AF256))=6)*(CHOOSE({1,2,3,4},HN!W256,HN!AA256,HN!AE256,HN!AI256)))</f>
        <v>0</v>
      </c>
      <c r="G256">
        <f>SUMPRODUCT((MONTH(CHOOSE({1,2,3,4},HN!T256,HN!X256,HN!AB256,HN!AF256))=7)*(CHOOSE({1,2,3,4},HN!W256,HN!AA256,HN!AE256,HN!AI256)))</f>
        <v>0</v>
      </c>
      <c r="H256">
        <f>SUMPRODUCT((MONTH(CHOOSE({1,2,3,4},HN!T256,HN!X256,HN!AB256,HN!AF256))=8)*(CHOOSE({1,2,3,4},HN!W256,HN!AA256,HN!AE256,HN!AI256)))</f>
        <v>0</v>
      </c>
      <c r="I256">
        <f>SUMPRODUCT((MONTH(CHOOSE({1,2,3,4},HN!T256,HN!X256,HN!AB256,HN!AF256))=9)*(CHOOSE({1,2,3,4},HN!W256,HN!AA256,HN!AE256,HN!AI256)))</f>
        <v>0</v>
      </c>
      <c r="J256">
        <f>SUMPRODUCT((MONTH(CHOOSE({1,2,3,4},HN!T256,HN!X256,HN!AB256,HN!AF256))=10)*(CHOOSE({1,2,3,4},HN!W256,HN!AA256,HN!AE256,HN!AI256)))</f>
        <v>0</v>
      </c>
      <c r="K256">
        <f>SUMPRODUCT((MONTH(CHOOSE({1,2,3,4},HN!T256,HN!X256,HN!AB256,HN!AF256))=11)*(CHOOSE({1,2,3,4},HN!W256,HN!AA256,HN!AE256,HN!AI256)))</f>
        <v>0</v>
      </c>
      <c r="L256">
        <f>SUMPRODUCT((MONTH(CHOOSE({1,2,3,4},HN!T256,HN!X256,HN!AB256,HN!AF256))=12)*(CHOOSE({1,2,3,4},HN!W256,HN!AA256,HN!AE256,HN!AI256)))</f>
        <v>0</v>
      </c>
    </row>
    <row r="257" spans="1:12">
      <c r="A257">
        <f>SUMPRODUCT((MONTH(CHOOSE({1,2,3,4},HN!T257,HN!X257,HN!AB257,HN!AF257))=1)*(CHOOSE({1,2,3,4},HN!W257,HN!AA257,HN!AE257,HN!AI257)))</f>
        <v>0</v>
      </c>
      <c r="B257">
        <f>SUMPRODUCT((MONTH(CHOOSE({1,2,3,4},HN!T257,HN!X257,HN!AB257,HN!AF257))=2)*(CHOOSE({1,2,3,4},HN!W257,HN!AA257,HN!AE257,HN!AI257)))</f>
        <v>0</v>
      </c>
      <c r="C257">
        <f>SUMPRODUCT((MONTH(CHOOSE({1,2,3,4},HN!T257,HN!X257,HN!AB257,HN!AF257))=3)*(CHOOSE({1,2,3,4},HN!W257,HN!AA257,HN!AE257,HN!AI257)))</f>
        <v>0</v>
      </c>
      <c r="D257">
        <f>SUMPRODUCT((MONTH(CHOOSE({1,2,3,4},HN!T257,HN!X257,HN!AB257,HN!AF257))=4)*(CHOOSE({1,2,3,4},HN!W257,HN!AA257,HN!AE257,HN!AI257)))</f>
        <v>0</v>
      </c>
      <c r="E257">
        <f>SUMPRODUCT((MONTH(CHOOSE({1,2,3,4},HN!T257,HN!X257,HN!AB257,HN!AF257))=5)*(CHOOSE({1,2,3,4},HN!W257,HN!AA257,HN!AE257,HN!AI257)))</f>
        <v>0</v>
      </c>
      <c r="F257">
        <f>SUMPRODUCT((MONTH(CHOOSE({1,2,3,4},HN!T257,HN!X257,HN!AB257,HN!AF257))=6)*(CHOOSE({1,2,3,4},HN!W257,HN!AA257,HN!AE257,HN!AI257)))</f>
        <v>0</v>
      </c>
      <c r="G257">
        <f>SUMPRODUCT((MONTH(CHOOSE({1,2,3,4},HN!T257,HN!X257,HN!AB257,HN!AF257))=7)*(CHOOSE({1,2,3,4},HN!W257,HN!AA257,HN!AE257,HN!AI257)))</f>
        <v>0</v>
      </c>
      <c r="H257">
        <f>SUMPRODUCT((MONTH(CHOOSE({1,2,3,4},HN!T257,HN!X257,HN!AB257,HN!AF257))=8)*(CHOOSE({1,2,3,4},HN!W257,HN!AA257,HN!AE257,HN!AI257)))</f>
        <v>0</v>
      </c>
      <c r="I257">
        <f>SUMPRODUCT((MONTH(CHOOSE({1,2,3,4},HN!T257,HN!X257,HN!AB257,HN!AF257))=9)*(CHOOSE({1,2,3,4},HN!W257,HN!AA257,HN!AE257,HN!AI257)))</f>
        <v>0</v>
      </c>
      <c r="J257">
        <f>SUMPRODUCT((MONTH(CHOOSE({1,2,3,4},HN!T257,HN!X257,HN!AB257,HN!AF257))=10)*(CHOOSE({1,2,3,4},HN!W257,HN!AA257,HN!AE257,HN!AI257)))</f>
        <v>0</v>
      </c>
      <c r="K257">
        <f>SUMPRODUCT((MONTH(CHOOSE({1,2,3,4},HN!T257,HN!X257,HN!AB257,HN!AF257))=11)*(CHOOSE({1,2,3,4},HN!W257,HN!AA257,HN!AE257,HN!AI257)))</f>
        <v>0</v>
      </c>
      <c r="L257">
        <f>SUMPRODUCT((MONTH(CHOOSE({1,2,3,4},HN!T257,HN!X257,HN!AB257,HN!AF257))=12)*(CHOOSE({1,2,3,4},HN!W257,HN!AA257,HN!AE257,HN!AI257)))</f>
        <v>0</v>
      </c>
    </row>
    <row r="258" spans="1:12">
      <c r="A258">
        <f>SUMPRODUCT((MONTH(CHOOSE({1,2,3,4},HN!T258,HN!X258,HN!AB258,HN!AF258))=1)*(CHOOSE({1,2,3,4},HN!W258,HN!AA258,HN!AE258,HN!AI258)))</f>
        <v>0</v>
      </c>
      <c r="B258">
        <f>SUMPRODUCT((MONTH(CHOOSE({1,2,3,4},HN!T258,HN!X258,HN!AB258,HN!AF258))=2)*(CHOOSE({1,2,3,4},HN!W258,HN!AA258,HN!AE258,HN!AI258)))</f>
        <v>0</v>
      </c>
      <c r="C258">
        <f>SUMPRODUCT((MONTH(CHOOSE({1,2,3,4},HN!T258,HN!X258,HN!AB258,HN!AF258))=3)*(CHOOSE({1,2,3,4},HN!W258,HN!AA258,HN!AE258,HN!AI258)))</f>
        <v>0</v>
      </c>
      <c r="D258">
        <f>SUMPRODUCT((MONTH(CHOOSE({1,2,3,4},HN!T258,HN!X258,HN!AB258,HN!AF258))=4)*(CHOOSE({1,2,3,4},HN!W258,HN!AA258,HN!AE258,HN!AI258)))</f>
        <v>0</v>
      </c>
      <c r="E258">
        <f>SUMPRODUCT((MONTH(CHOOSE({1,2,3,4},HN!T258,HN!X258,HN!AB258,HN!AF258))=5)*(CHOOSE({1,2,3,4},HN!W258,HN!AA258,HN!AE258,HN!AI258)))</f>
        <v>0</v>
      </c>
      <c r="F258">
        <f>SUMPRODUCT((MONTH(CHOOSE({1,2,3,4},HN!T258,HN!X258,HN!AB258,HN!AF258))=6)*(CHOOSE({1,2,3,4},HN!W258,HN!AA258,HN!AE258,HN!AI258)))</f>
        <v>0</v>
      </c>
      <c r="G258">
        <f>SUMPRODUCT((MONTH(CHOOSE({1,2,3,4},HN!T258,HN!X258,HN!AB258,HN!AF258))=7)*(CHOOSE({1,2,3,4},HN!W258,HN!AA258,HN!AE258,HN!AI258)))</f>
        <v>0</v>
      </c>
      <c r="H258">
        <f>SUMPRODUCT((MONTH(CHOOSE({1,2,3,4},HN!T258,HN!X258,HN!AB258,HN!AF258))=8)*(CHOOSE({1,2,3,4},HN!W258,HN!AA258,HN!AE258,HN!AI258)))</f>
        <v>0</v>
      </c>
      <c r="I258">
        <f>SUMPRODUCT((MONTH(CHOOSE({1,2,3,4},HN!T258,HN!X258,HN!AB258,HN!AF258))=9)*(CHOOSE({1,2,3,4},HN!W258,HN!AA258,HN!AE258,HN!AI258)))</f>
        <v>0</v>
      </c>
      <c r="J258">
        <f>SUMPRODUCT((MONTH(CHOOSE({1,2,3,4},HN!T258,HN!X258,HN!AB258,HN!AF258))=10)*(CHOOSE({1,2,3,4},HN!W258,HN!AA258,HN!AE258,HN!AI258)))</f>
        <v>0</v>
      </c>
      <c r="K258">
        <f>SUMPRODUCT((MONTH(CHOOSE({1,2,3,4},HN!T258,HN!X258,HN!AB258,HN!AF258))=11)*(CHOOSE({1,2,3,4},HN!W258,HN!AA258,HN!AE258,HN!AI258)))</f>
        <v>0</v>
      </c>
      <c r="L258">
        <f>SUMPRODUCT((MONTH(CHOOSE({1,2,3,4},HN!T258,HN!X258,HN!AB258,HN!AF258))=12)*(CHOOSE({1,2,3,4},HN!W258,HN!AA258,HN!AE258,HN!AI258)))</f>
        <v>0</v>
      </c>
    </row>
    <row r="259" spans="1:12">
      <c r="A259">
        <f>SUMPRODUCT((MONTH(CHOOSE({1,2,3,4},HN!T259,HN!X259,HN!AB259,HN!AF259))=1)*(CHOOSE({1,2,3,4},HN!W259,HN!AA259,HN!AE259,HN!AI259)))</f>
        <v>0</v>
      </c>
      <c r="B259">
        <f>SUMPRODUCT((MONTH(CHOOSE({1,2,3,4},HN!T259,HN!X259,HN!AB259,HN!AF259))=2)*(CHOOSE({1,2,3,4},HN!W259,HN!AA259,HN!AE259,HN!AI259)))</f>
        <v>0</v>
      </c>
      <c r="C259">
        <f>SUMPRODUCT((MONTH(CHOOSE({1,2,3,4},HN!T259,HN!X259,HN!AB259,HN!AF259))=3)*(CHOOSE({1,2,3,4},HN!W259,HN!AA259,HN!AE259,HN!AI259)))</f>
        <v>0</v>
      </c>
      <c r="D259">
        <f>SUMPRODUCT((MONTH(CHOOSE({1,2,3,4},HN!T259,HN!X259,HN!AB259,HN!AF259))=4)*(CHOOSE({1,2,3,4},HN!W259,HN!AA259,HN!AE259,HN!AI259)))</f>
        <v>0</v>
      </c>
      <c r="E259">
        <f>SUMPRODUCT((MONTH(CHOOSE({1,2,3,4},HN!T259,HN!X259,HN!AB259,HN!AF259))=5)*(CHOOSE({1,2,3,4},HN!W259,HN!AA259,HN!AE259,HN!AI259)))</f>
        <v>0</v>
      </c>
      <c r="F259">
        <f>SUMPRODUCT((MONTH(CHOOSE({1,2,3,4},HN!T259,HN!X259,HN!AB259,HN!AF259))=6)*(CHOOSE({1,2,3,4},HN!W259,HN!AA259,HN!AE259,HN!AI259)))</f>
        <v>0</v>
      </c>
      <c r="G259">
        <f>SUMPRODUCT((MONTH(CHOOSE({1,2,3,4},HN!T259,HN!X259,HN!AB259,HN!AF259))=7)*(CHOOSE({1,2,3,4},HN!W259,HN!AA259,HN!AE259,HN!AI259)))</f>
        <v>0</v>
      </c>
      <c r="H259">
        <f>SUMPRODUCT((MONTH(CHOOSE({1,2,3,4},HN!T259,HN!X259,HN!AB259,HN!AF259))=8)*(CHOOSE({1,2,3,4},HN!W259,HN!AA259,HN!AE259,HN!AI259)))</f>
        <v>0</v>
      </c>
      <c r="I259">
        <f>SUMPRODUCT((MONTH(CHOOSE({1,2,3,4},HN!T259,HN!X259,HN!AB259,HN!AF259))=9)*(CHOOSE({1,2,3,4},HN!W259,HN!AA259,HN!AE259,HN!AI259)))</f>
        <v>0</v>
      </c>
      <c r="J259">
        <f>SUMPRODUCT((MONTH(CHOOSE({1,2,3,4},HN!T259,HN!X259,HN!AB259,HN!AF259))=10)*(CHOOSE({1,2,3,4},HN!W259,HN!AA259,HN!AE259,HN!AI259)))</f>
        <v>0</v>
      </c>
      <c r="K259">
        <f>SUMPRODUCT((MONTH(CHOOSE({1,2,3,4},HN!T259,HN!X259,HN!AB259,HN!AF259))=11)*(CHOOSE({1,2,3,4},HN!W259,HN!AA259,HN!AE259,HN!AI259)))</f>
        <v>0</v>
      </c>
      <c r="L259">
        <f>SUMPRODUCT((MONTH(CHOOSE({1,2,3,4},HN!T259,HN!X259,HN!AB259,HN!AF259))=12)*(CHOOSE({1,2,3,4},HN!W259,HN!AA259,HN!AE259,HN!AI259)))</f>
        <v>0</v>
      </c>
    </row>
    <row r="260" spans="1:12">
      <c r="A260">
        <f>SUMPRODUCT((MONTH(CHOOSE({1,2,3,4},HN!T260,HN!X260,HN!AB260,HN!AF260))=1)*(CHOOSE({1,2,3,4},HN!W260,HN!AA260,HN!AE260,HN!AI260)))</f>
        <v>0</v>
      </c>
      <c r="B260">
        <f>SUMPRODUCT((MONTH(CHOOSE({1,2,3,4},HN!T260,HN!X260,HN!AB260,HN!AF260))=2)*(CHOOSE({1,2,3,4},HN!W260,HN!AA260,HN!AE260,HN!AI260)))</f>
        <v>0</v>
      </c>
      <c r="C260">
        <f>SUMPRODUCT((MONTH(CHOOSE({1,2,3,4},HN!T260,HN!X260,HN!AB260,HN!AF260))=3)*(CHOOSE({1,2,3,4},HN!W260,HN!AA260,HN!AE260,HN!AI260)))</f>
        <v>0</v>
      </c>
      <c r="D260">
        <f>SUMPRODUCT((MONTH(CHOOSE({1,2,3,4},HN!T260,HN!X260,HN!AB260,HN!AF260))=4)*(CHOOSE({1,2,3,4},HN!W260,HN!AA260,HN!AE260,HN!AI260)))</f>
        <v>0</v>
      </c>
      <c r="E260">
        <f>SUMPRODUCT((MONTH(CHOOSE({1,2,3,4},HN!T260,HN!X260,HN!AB260,HN!AF260))=5)*(CHOOSE({1,2,3,4},HN!W260,HN!AA260,HN!AE260,HN!AI260)))</f>
        <v>0</v>
      </c>
      <c r="F260">
        <f>SUMPRODUCT((MONTH(CHOOSE({1,2,3,4},HN!T260,HN!X260,HN!AB260,HN!AF260))=6)*(CHOOSE({1,2,3,4},HN!W260,HN!AA260,HN!AE260,HN!AI260)))</f>
        <v>0</v>
      </c>
      <c r="G260">
        <f>SUMPRODUCT((MONTH(CHOOSE({1,2,3,4},HN!T260,HN!X260,HN!AB260,HN!AF260))=7)*(CHOOSE({1,2,3,4},HN!W260,HN!AA260,HN!AE260,HN!AI260)))</f>
        <v>0</v>
      </c>
      <c r="H260">
        <f>SUMPRODUCT((MONTH(CHOOSE({1,2,3,4},HN!T260,HN!X260,HN!AB260,HN!AF260))=8)*(CHOOSE({1,2,3,4},HN!W260,HN!AA260,HN!AE260,HN!AI260)))</f>
        <v>0</v>
      </c>
      <c r="I260">
        <f>SUMPRODUCT((MONTH(CHOOSE({1,2,3,4},HN!T260,HN!X260,HN!AB260,HN!AF260))=9)*(CHOOSE({1,2,3,4},HN!W260,HN!AA260,HN!AE260,HN!AI260)))</f>
        <v>0</v>
      </c>
      <c r="J260">
        <f>SUMPRODUCT((MONTH(CHOOSE({1,2,3,4},HN!T260,HN!X260,HN!AB260,HN!AF260))=10)*(CHOOSE({1,2,3,4},HN!W260,HN!AA260,HN!AE260,HN!AI260)))</f>
        <v>0</v>
      </c>
      <c r="K260">
        <f>SUMPRODUCT((MONTH(CHOOSE({1,2,3,4},HN!T260,HN!X260,HN!AB260,HN!AF260))=11)*(CHOOSE({1,2,3,4},HN!W260,HN!AA260,HN!AE260,HN!AI260)))</f>
        <v>0</v>
      </c>
      <c r="L260">
        <f>SUMPRODUCT((MONTH(CHOOSE({1,2,3,4},HN!T260,HN!X260,HN!AB260,HN!AF260))=12)*(CHOOSE({1,2,3,4},HN!W260,HN!AA260,HN!AE260,HN!AI260)))</f>
        <v>0</v>
      </c>
    </row>
    <row r="261" spans="1:12">
      <c r="A261">
        <f>SUMPRODUCT((MONTH(CHOOSE({1,2,3,4},HN!T261,HN!X261,HN!AB261,HN!AF261))=1)*(CHOOSE({1,2,3,4},HN!W261,HN!AA261,HN!AE261,HN!AI261)))</f>
        <v>0</v>
      </c>
      <c r="B261">
        <f>SUMPRODUCT((MONTH(CHOOSE({1,2,3,4},HN!T261,HN!X261,HN!AB261,HN!AF261))=2)*(CHOOSE({1,2,3,4},HN!W261,HN!AA261,HN!AE261,HN!AI261)))</f>
        <v>0</v>
      </c>
      <c r="C261">
        <f>SUMPRODUCT((MONTH(CHOOSE({1,2,3,4},HN!T261,HN!X261,HN!AB261,HN!AF261))=3)*(CHOOSE({1,2,3,4},HN!W261,HN!AA261,HN!AE261,HN!AI261)))</f>
        <v>0</v>
      </c>
      <c r="D261">
        <f>SUMPRODUCT((MONTH(CHOOSE({1,2,3,4},HN!T261,HN!X261,HN!AB261,HN!AF261))=4)*(CHOOSE({1,2,3,4},HN!W261,HN!AA261,HN!AE261,HN!AI261)))</f>
        <v>0</v>
      </c>
      <c r="E261">
        <f>SUMPRODUCT((MONTH(CHOOSE({1,2,3,4},HN!T261,HN!X261,HN!AB261,HN!AF261))=5)*(CHOOSE({1,2,3,4},HN!W261,HN!AA261,HN!AE261,HN!AI261)))</f>
        <v>0</v>
      </c>
      <c r="F261">
        <f>SUMPRODUCT((MONTH(CHOOSE({1,2,3,4},HN!T261,HN!X261,HN!AB261,HN!AF261))=6)*(CHOOSE({1,2,3,4},HN!W261,HN!AA261,HN!AE261,HN!AI261)))</f>
        <v>0</v>
      </c>
      <c r="G261">
        <f>SUMPRODUCT((MONTH(CHOOSE({1,2,3,4},HN!T261,HN!X261,HN!AB261,HN!AF261))=7)*(CHOOSE({1,2,3,4},HN!W261,HN!AA261,HN!AE261,HN!AI261)))</f>
        <v>0</v>
      </c>
      <c r="H261">
        <f>SUMPRODUCT((MONTH(CHOOSE({1,2,3,4},HN!T261,HN!X261,HN!AB261,HN!AF261))=8)*(CHOOSE({1,2,3,4},HN!W261,HN!AA261,HN!AE261,HN!AI261)))</f>
        <v>0</v>
      </c>
      <c r="I261">
        <f>SUMPRODUCT((MONTH(CHOOSE({1,2,3,4},HN!T261,HN!X261,HN!AB261,HN!AF261))=9)*(CHOOSE({1,2,3,4},HN!W261,HN!AA261,HN!AE261,HN!AI261)))</f>
        <v>0</v>
      </c>
      <c r="J261">
        <f>SUMPRODUCT((MONTH(CHOOSE({1,2,3,4},HN!T261,HN!X261,HN!AB261,HN!AF261))=10)*(CHOOSE({1,2,3,4},HN!W261,HN!AA261,HN!AE261,HN!AI261)))</f>
        <v>0</v>
      </c>
      <c r="K261">
        <f>SUMPRODUCT((MONTH(CHOOSE({1,2,3,4},HN!T261,HN!X261,HN!AB261,HN!AF261))=11)*(CHOOSE({1,2,3,4},HN!W261,HN!AA261,HN!AE261,HN!AI261)))</f>
        <v>0</v>
      </c>
      <c r="L261">
        <f>SUMPRODUCT((MONTH(CHOOSE({1,2,3,4},HN!T261,HN!X261,HN!AB261,HN!AF261))=12)*(CHOOSE({1,2,3,4},HN!W261,HN!AA261,HN!AE261,HN!AI261)))</f>
        <v>0</v>
      </c>
    </row>
    <row r="262" spans="1:12">
      <c r="A262">
        <f>SUMPRODUCT((MONTH(CHOOSE({1,2,3,4},HN!T262,HN!X262,HN!AB262,HN!AF262))=1)*(CHOOSE({1,2,3,4},HN!W262,HN!AA262,HN!AE262,HN!AI262)))</f>
        <v>0</v>
      </c>
      <c r="B262">
        <f>SUMPRODUCT((MONTH(CHOOSE({1,2,3,4},HN!T262,HN!X262,HN!AB262,HN!AF262))=2)*(CHOOSE({1,2,3,4},HN!W262,HN!AA262,HN!AE262,HN!AI262)))</f>
        <v>0</v>
      </c>
      <c r="C262">
        <f>SUMPRODUCT((MONTH(CHOOSE({1,2,3,4},HN!T262,HN!X262,HN!AB262,HN!AF262))=3)*(CHOOSE({1,2,3,4},HN!W262,HN!AA262,HN!AE262,HN!AI262)))</f>
        <v>0</v>
      </c>
      <c r="D262">
        <f>SUMPRODUCT((MONTH(CHOOSE({1,2,3,4},HN!T262,HN!X262,HN!AB262,HN!AF262))=4)*(CHOOSE({1,2,3,4},HN!W262,HN!AA262,HN!AE262,HN!AI262)))</f>
        <v>0</v>
      </c>
      <c r="E262">
        <f>SUMPRODUCT((MONTH(CHOOSE({1,2,3,4},HN!T262,HN!X262,HN!AB262,HN!AF262))=5)*(CHOOSE({1,2,3,4},HN!W262,HN!AA262,HN!AE262,HN!AI262)))</f>
        <v>0</v>
      </c>
      <c r="F262">
        <f>SUMPRODUCT((MONTH(CHOOSE({1,2,3,4},HN!T262,HN!X262,HN!AB262,HN!AF262))=6)*(CHOOSE({1,2,3,4},HN!W262,HN!AA262,HN!AE262,HN!AI262)))</f>
        <v>0</v>
      </c>
      <c r="G262">
        <f>SUMPRODUCT((MONTH(CHOOSE({1,2,3,4},HN!T262,HN!X262,HN!AB262,HN!AF262))=7)*(CHOOSE({1,2,3,4},HN!W262,HN!AA262,HN!AE262,HN!AI262)))</f>
        <v>0</v>
      </c>
      <c r="H262">
        <f>SUMPRODUCT((MONTH(CHOOSE({1,2,3,4},HN!T262,HN!X262,HN!AB262,HN!AF262))=8)*(CHOOSE({1,2,3,4},HN!W262,HN!AA262,HN!AE262,HN!AI262)))</f>
        <v>0</v>
      </c>
      <c r="I262">
        <f>SUMPRODUCT((MONTH(CHOOSE({1,2,3,4},HN!T262,HN!X262,HN!AB262,HN!AF262))=9)*(CHOOSE({1,2,3,4},HN!W262,HN!AA262,HN!AE262,HN!AI262)))</f>
        <v>0</v>
      </c>
      <c r="J262">
        <f>SUMPRODUCT((MONTH(CHOOSE({1,2,3,4},HN!T262,HN!X262,HN!AB262,HN!AF262))=10)*(CHOOSE({1,2,3,4},HN!W262,HN!AA262,HN!AE262,HN!AI262)))</f>
        <v>0</v>
      </c>
      <c r="K262">
        <f>SUMPRODUCT((MONTH(CHOOSE({1,2,3,4},HN!T262,HN!X262,HN!AB262,HN!AF262))=11)*(CHOOSE({1,2,3,4},HN!W262,HN!AA262,HN!AE262,HN!AI262)))</f>
        <v>0</v>
      </c>
      <c r="L262">
        <f>SUMPRODUCT((MONTH(CHOOSE({1,2,3,4},HN!T262,HN!X262,HN!AB262,HN!AF262))=12)*(CHOOSE({1,2,3,4},HN!W262,HN!AA262,HN!AE262,HN!AI262)))</f>
        <v>0</v>
      </c>
    </row>
    <row r="263" spans="1:12">
      <c r="A263">
        <f>SUMPRODUCT((MONTH(CHOOSE({1,2,3,4},HN!T263,HN!X263,HN!AB263,HN!AF263))=1)*(CHOOSE({1,2,3,4},HN!W263,HN!AA263,HN!AE263,HN!AI263)))</f>
        <v>0</v>
      </c>
      <c r="B263">
        <f>SUMPRODUCT((MONTH(CHOOSE({1,2,3,4},HN!T263,HN!X263,HN!AB263,HN!AF263))=2)*(CHOOSE({1,2,3,4},HN!W263,HN!AA263,HN!AE263,HN!AI263)))</f>
        <v>0</v>
      </c>
      <c r="C263">
        <f>SUMPRODUCT((MONTH(CHOOSE({1,2,3,4},HN!T263,HN!X263,HN!AB263,HN!AF263))=3)*(CHOOSE({1,2,3,4},HN!W263,HN!AA263,HN!AE263,HN!AI263)))</f>
        <v>0</v>
      </c>
      <c r="D263">
        <f>SUMPRODUCT((MONTH(CHOOSE({1,2,3,4},HN!T263,HN!X263,HN!AB263,HN!AF263))=4)*(CHOOSE({1,2,3,4},HN!W263,HN!AA263,HN!AE263,HN!AI263)))</f>
        <v>0</v>
      </c>
      <c r="E263">
        <f>SUMPRODUCT((MONTH(CHOOSE({1,2,3,4},HN!T263,HN!X263,HN!AB263,HN!AF263))=5)*(CHOOSE({1,2,3,4},HN!W263,HN!AA263,HN!AE263,HN!AI263)))</f>
        <v>0</v>
      </c>
      <c r="F263">
        <f>SUMPRODUCT((MONTH(CHOOSE({1,2,3,4},HN!T263,HN!X263,HN!AB263,HN!AF263))=6)*(CHOOSE({1,2,3,4},HN!W263,HN!AA263,HN!AE263,HN!AI263)))</f>
        <v>0</v>
      </c>
      <c r="G263">
        <f>SUMPRODUCT((MONTH(CHOOSE({1,2,3,4},HN!T263,HN!X263,HN!AB263,HN!AF263))=7)*(CHOOSE({1,2,3,4},HN!W263,HN!AA263,HN!AE263,HN!AI263)))</f>
        <v>0</v>
      </c>
      <c r="H263">
        <f>SUMPRODUCT((MONTH(CHOOSE({1,2,3,4},HN!T263,HN!X263,HN!AB263,HN!AF263))=8)*(CHOOSE({1,2,3,4},HN!W263,HN!AA263,HN!AE263,HN!AI263)))</f>
        <v>0</v>
      </c>
      <c r="I263">
        <f>SUMPRODUCT((MONTH(CHOOSE({1,2,3,4},HN!T263,HN!X263,HN!AB263,HN!AF263))=9)*(CHOOSE({1,2,3,4},HN!W263,HN!AA263,HN!AE263,HN!AI263)))</f>
        <v>0</v>
      </c>
      <c r="J263">
        <f>SUMPRODUCT((MONTH(CHOOSE({1,2,3,4},HN!T263,HN!X263,HN!AB263,HN!AF263))=10)*(CHOOSE({1,2,3,4},HN!W263,HN!AA263,HN!AE263,HN!AI263)))</f>
        <v>0</v>
      </c>
      <c r="K263">
        <f>SUMPRODUCT((MONTH(CHOOSE({1,2,3,4},HN!T263,HN!X263,HN!AB263,HN!AF263))=11)*(CHOOSE({1,2,3,4},HN!W263,HN!AA263,HN!AE263,HN!AI263)))</f>
        <v>0</v>
      </c>
      <c r="L263">
        <f>SUMPRODUCT((MONTH(CHOOSE({1,2,3,4},HN!T263,HN!X263,HN!AB263,HN!AF263))=12)*(CHOOSE({1,2,3,4},HN!W263,HN!AA263,HN!AE263,HN!AI263)))</f>
        <v>0</v>
      </c>
    </row>
    <row r="264" spans="1:12">
      <c r="A264">
        <f>SUMPRODUCT((MONTH(CHOOSE({1,2,3,4},HN!T264,HN!X264,HN!AB264,HN!AF264))=1)*(CHOOSE({1,2,3,4},HN!W264,HN!AA264,HN!AE264,HN!AI264)))</f>
        <v>0</v>
      </c>
      <c r="B264">
        <f>SUMPRODUCT((MONTH(CHOOSE({1,2,3,4},HN!T264,HN!X264,HN!AB264,HN!AF264))=2)*(CHOOSE({1,2,3,4},HN!W264,HN!AA264,HN!AE264,HN!AI264)))</f>
        <v>0</v>
      </c>
      <c r="C264">
        <f>SUMPRODUCT((MONTH(CHOOSE({1,2,3,4},HN!T264,HN!X264,HN!AB264,HN!AF264))=3)*(CHOOSE({1,2,3,4},HN!W264,HN!AA264,HN!AE264,HN!AI264)))</f>
        <v>0</v>
      </c>
      <c r="D264">
        <f>SUMPRODUCT((MONTH(CHOOSE({1,2,3,4},HN!T264,HN!X264,HN!AB264,HN!AF264))=4)*(CHOOSE({1,2,3,4},HN!W264,HN!AA264,HN!AE264,HN!AI264)))</f>
        <v>0</v>
      </c>
      <c r="E264">
        <f>SUMPRODUCT((MONTH(CHOOSE({1,2,3,4},HN!T264,HN!X264,HN!AB264,HN!AF264))=5)*(CHOOSE({1,2,3,4},HN!W264,HN!AA264,HN!AE264,HN!AI264)))</f>
        <v>0</v>
      </c>
      <c r="F264">
        <f>SUMPRODUCT((MONTH(CHOOSE({1,2,3,4},HN!T264,HN!X264,HN!AB264,HN!AF264))=6)*(CHOOSE({1,2,3,4},HN!W264,HN!AA264,HN!AE264,HN!AI264)))</f>
        <v>0</v>
      </c>
      <c r="G264">
        <f>SUMPRODUCT((MONTH(CHOOSE({1,2,3,4},HN!T264,HN!X264,HN!AB264,HN!AF264))=7)*(CHOOSE({1,2,3,4},HN!W264,HN!AA264,HN!AE264,HN!AI264)))</f>
        <v>0</v>
      </c>
      <c r="H264">
        <f>SUMPRODUCT((MONTH(CHOOSE({1,2,3,4},HN!T264,HN!X264,HN!AB264,HN!AF264))=8)*(CHOOSE({1,2,3,4},HN!W264,HN!AA264,HN!AE264,HN!AI264)))</f>
        <v>0</v>
      </c>
      <c r="I264">
        <f>SUMPRODUCT((MONTH(CHOOSE({1,2,3,4},HN!T264,HN!X264,HN!AB264,HN!AF264))=9)*(CHOOSE({1,2,3,4},HN!W264,HN!AA264,HN!AE264,HN!AI264)))</f>
        <v>0</v>
      </c>
      <c r="J264">
        <f>SUMPRODUCT((MONTH(CHOOSE({1,2,3,4},HN!T264,HN!X264,HN!AB264,HN!AF264))=10)*(CHOOSE({1,2,3,4},HN!W264,HN!AA264,HN!AE264,HN!AI264)))</f>
        <v>0</v>
      </c>
      <c r="K264">
        <f>SUMPRODUCT((MONTH(CHOOSE({1,2,3,4},HN!T264,HN!X264,HN!AB264,HN!AF264))=11)*(CHOOSE({1,2,3,4},HN!W264,HN!AA264,HN!AE264,HN!AI264)))</f>
        <v>0</v>
      </c>
      <c r="L264">
        <f>SUMPRODUCT((MONTH(CHOOSE({1,2,3,4},HN!T264,HN!X264,HN!AB264,HN!AF264))=12)*(CHOOSE({1,2,3,4},HN!W264,HN!AA264,HN!AE264,HN!AI264)))</f>
        <v>0</v>
      </c>
    </row>
    <row r="265" spans="1:12">
      <c r="A265">
        <f>SUMPRODUCT((MONTH(CHOOSE({1,2,3,4},HN!T265,HN!X265,HN!AB265,HN!AF265))=1)*(CHOOSE({1,2,3,4},HN!W265,HN!AA265,HN!AE265,HN!AI265)))</f>
        <v>0</v>
      </c>
      <c r="B265">
        <f>SUMPRODUCT((MONTH(CHOOSE({1,2,3,4},HN!T265,HN!X265,HN!AB265,HN!AF265))=2)*(CHOOSE({1,2,3,4},HN!W265,HN!AA265,HN!AE265,HN!AI265)))</f>
        <v>0</v>
      </c>
      <c r="C265">
        <f>SUMPRODUCT((MONTH(CHOOSE({1,2,3,4},HN!T265,HN!X265,HN!AB265,HN!AF265))=3)*(CHOOSE({1,2,3,4},HN!W265,HN!AA265,HN!AE265,HN!AI265)))</f>
        <v>0</v>
      </c>
      <c r="D265">
        <f>SUMPRODUCT((MONTH(CHOOSE({1,2,3,4},HN!T265,HN!X265,HN!AB265,HN!AF265))=4)*(CHOOSE({1,2,3,4},HN!W265,HN!AA265,HN!AE265,HN!AI265)))</f>
        <v>0</v>
      </c>
      <c r="E265">
        <f>SUMPRODUCT((MONTH(CHOOSE({1,2,3,4},HN!T265,HN!X265,HN!AB265,HN!AF265))=5)*(CHOOSE({1,2,3,4},HN!W265,HN!AA265,HN!AE265,HN!AI265)))</f>
        <v>0</v>
      </c>
      <c r="F265">
        <f>SUMPRODUCT((MONTH(CHOOSE({1,2,3,4},HN!T265,HN!X265,HN!AB265,HN!AF265))=6)*(CHOOSE({1,2,3,4},HN!W265,HN!AA265,HN!AE265,HN!AI265)))</f>
        <v>0</v>
      </c>
      <c r="G265">
        <f>SUMPRODUCT((MONTH(CHOOSE({1,2,3,4},HN!T265,HN!X265,HN!AB265,HN!AF265))=7)*(CHOOSE({1,2,3,4},HN!W265,HN!AA265,HN!AE265,HN!AI265)))</f>
        <v>0</v>
      </c>
      <c r="H265">
        <f>SUMPRODUCT((MONTH(CHOOSE({1,2,3,4},HN!T265,HN!X265,HN!AB265,HN!AF265))=8)*(CHOOSE({1,2,3,4},HN!W265,HN!AA265,HN!AE265,HN!AI265)))</f>
        <v>0</v>
      </c>
      <c r="I265">
        <f>SUMPRODUCT((MONTH(CHOOSE({1,2,3,4},HN!T265,HN!X265,HN!AB265,HN!AF265))=9)*(CHOOSE({1,2,3,4},HN!W265,HN!AA265,HN!AE265,HN!AI265)))</f>
        <v>0</v>
      </c>
      <c r="J265">
        <f>SUMPRODUCT((MONTH(CHOOSE({1,2,3,4},HN!T265,HN!X265,HN!AB265,HN!AF265))=10)*(CHOOSE({1,2,3,4},HN!W265,HN!AA265,HN!AE265,HN!AI265)))</f>
        <v>0</v>
      </c>
      <c r="K265">
        <f>SUMPRODUCT((MONTH(CHOOSE({1,2,3,4},HN!T265,HN!X265,HN!AB265,HN!AF265))=11)*(CHOOSE({1,2,3,4},HN!W265,HN!AA265,HN!AE265,HN!AI265)))</f>
        <v>0</v>
      </c>
      <c r="L265">
        <f>SUMPRODUCT((MONTH(CHOOSE({1,2,3,4},HN!T265,HN!X265,HN!AB265,HN!AF265))=12)*(CHOOSE({1,2,3,4},HN!W265,HN!AA265,HN!AE265,HN!AI265)))</f>
        <v>0</v>
      </c>
    </row>
    <row r="266" spans="1:12">
      <c r="A266">
        <f>SUMPRODUCT((MONTH(CHOOSE({1,2,3,4},HN!T266,HN!X266,HN!AB266,HN!AF266))=1)*(CHOOSE({1,2,3,4},HN!W266,HN!AA266,HN!AE266,HN!AI266)))</f>
        <v>0</v>
      </c>
      <c r="B266">
        <f>SUMPRODUCT((MONTH(CHOOSE({1,2,3,4},HN!T266,HN!X266,HN!AB266,HN!AF266))=2)*(CHOOSE({1,2,3,4},HN!W266,HN!AA266,HN!AE266,HN!AI266)))</f>
        <v>0</v>
      </c>
      <c r="C266">
        <f>SUMPRODUCT((MONTH(CHOOSE({1,2,3,4},HN!T266,HN!X266,HN!AB266,HN!AF266))=3)*(CHOOSE({1,2,3,4},HN!W266,HN!AA266,HN!AE266,HN!AI266)))</f>
        <v>0</v>
      </c>
      <c r="D266">
        <f>SUMPRODUCT((MONTH(CHOOSE({1,2,3,4},HN!T266,HN!X266,HN!AB266,HN!AF266))=4)*(CHOOSE({1,2,3,4},HN!W266,HN!AA266,HN!AE266,HN!AI266)))</f>
        <v>0</v>
      </c>
      <c r="E266">
        <f>SUMPRODUCT((MONTH(CHOOSE({1,2,3,4},HN!T266,HN!X266,HN!AB266,HN!AF266))=5)*(CHOOSE({1,2,3,4},HN!W266,HN!AA266,HN!AE266,HN!AI266)))</f>
        <v>0</v>
      </c>
      <c r="F266">
        <f>SUMPRODUCT((MONTH(CHOOSE({1,2,3,4},HN!T266,HN!X266,HN!AB266,HN!AF266))=6)*(CHOOSE({1,2,3,4},HN!W266,HN!AA266,HN!AE266,HN!AI266)))</f>
        <v>0</v>
      </c>
      <c r="G266">
        <f>SUMPRODUCT((MONTH(CHOOSE({1,2,3,4},HN!T266,HN!X266,HN!AB266,HN!AF266))=7)*(CHOOSE({1,2,3,4},HN!W266,HN!AA266,HN!AE266,HN!AI266)))</f>
        <v>0</v>
      </c>
      <c r="H266">
        <f>SUMPRODUCT((MONTH(CHOOSE({1,2,3,4},HN!T266,HN!X266,HN!AB266,HN!AF266))=8)*(CHOOSE({1,2,3,4},HN!W266,HN!AA266,HN!AE266,HN!AI266)))</f>
        <v>0</v>
      </c>
      <c r="I266">
        <f>SUMPRODUCT((MONTH(CHOOSE({1,2,3,4},HN!T266,HN!X266,HN!AB266,HN!AF266))=9)*(CHOOSE({1,2,3,4},HN!W266,HN!AA266,HN!AE266,HN!AI266)))</f>
        <v>0</v>
      </c>
      <c r="J266">
        <f>SUMPRODUCT((MONTH(CHOOSE({1,2,3,4},HN!T266,HN!X266,HN!AB266,HN!AF266))=10)*(CHOOSE({1,2,3,4},HN!W266,HN!AA266,HN!AE266,HN!AI266)))</f>
        <v>0</v>
      </c>
      <c r="K266">
        <f>SUMPRODUCT((MONTH(CHOOSE({1,2,3,4},HN!T266,HN!X266,HN!AB266,HN!AF266))=11)*(CHOOSE({1,2,3,4},HN!W266,HN!AA266,HN!AE266,HN!AI266)))</f>
        <v>0</v>
      </c>
      <c r="L266">
        <f>SUMPRODUCT((MONTH(CHOOSE({1,2,3,4},HN!T266,HN!X266,HN!AB266,HN!AF266))=12)*(CHOOSE({1,2,3,4},HN!W266,HN!AA266,HN!AE266,HN!AI266)))</f>
        <v>0</v>
      </c>
    </row>
    <row r="267" spans="1:12">
      <c r="A267">
        <f>SUMPRODUCT((MONTH(CHOOSE({1,2,3,4},HN!T267,HN!X267,HN!AB267,HN!AF267))=1)*(CHOOSE({1,2,3,4},HN!W267,HN!AA267,HN!AE267,HN!AI267)))</f>
        <v>0</v>
      </c>
      <c r="B267">
        <f>SUMPRODUCT((MONTH(CHOOSE({1,2,3,4},HN!T267,HN!X267,HN!AB267,HN!AF267))=2)*(CHOOSE({1,2,3,4},HN!W267,HN!AA267,HN!AE267,HN!AI267)))</f>
        <v>0</v>
      </c>
      <c r="C267">
        <f>SUMPRODUCT((MONTH(CHOOSE({1,2,3,4},HN!T267,HN!X267,HN!AB267,HN!AF267))=3)*(CHOOSE({1,2,3,4},HN!W267,HN!AA267,HN!AE267,HN!AI267)))</f>
        <v>0</v>
      </c>
      <c r="D267">
        <f>SUMPRODUCT((MONTH(CHOOSE({1,2,3,4},HN!T267,HN!X267,HN!AB267,HN!AF267))=4)*(CHOOSE({1,2,3,4},HN!W267,HN!AA267,HN!AE267,HN!AI267)))</f>
        <v>0</v>
      </c>
      <c r="E267">
        <f>SUMPRODUCT((MONTH(CHOOSE({1,2,3,4},HN!T267,HN!X267,HN!AB267,HN!AF267))=5)*(CHOOSE({1,2,3,4},HN!W267,HN!AA267,HN!AE267,HN!AI267)))</f>
        <v>0</v>
      </c>
      <c r="F267">
        <f>SUMPRODUCT((MONTH(CHOOSE({1,2,3,4},HN!T267,HN!X267,HN!AB267,HN!AF267))=6)*(CHOOSE({1,2,3,4},HN!W267,HN!AA267,HN!AE267,HN!AI267)))</f>
        <v>0</v>
      </c>
      <c r="G267">
        <f>SUMPRODUCT((MONTH(CHOOSE({1,2,3,4},HN!T267,HN!X267,HN!AB267,HN!AF267))=7)*(CHOOSE({1,2,3,4},HN!W267,HN!AA267,HN!AE267,HN!AI267)))</f>
        <v>0</v>
      </c>
      <c r="H267">
        <f>SUMPRODUCT((MONTH(CHOOSE({1,2,3,4},HN!T267,HN!X267,HN!AB267,HN!AF267))=8)*(CHOOSE({1,2,3,4},HN!W267,HN!AA267,HN!AE267,HN!AI267)))</f>
        <v>0</v>
      </c>
      <c r="I267">
        <f>SUMPRODUCT((MONTH(CHOOSE({1,2,3,4},HN!T267,HN!X267,HN!AB267,HN!AF267))=9)*(CHOOSE({1,2,3,4},HN!W267,HN!AA267,HN!AE267,HN!AI267)))</f>
        <v>0</v>
      </c>
      <c r="J267">
        <f>SUMPRODUCT((MONTH(CHOOSE({1,2,3,4},HN!T267,HN!X267,HN!AB267,HN!AF267))=10)*(CHOOSE({1,2,3,4},HN!W267,HN!AA267,HN!AE267,HN!AI267)))</f>
        <v>0</v>
      </c>
      <c r="K267">
        <f>SUMPRODUCT((MONTH(CHOOSE({1,2,3,4},HN!T267,HN!X267,HN!AB267,HN!AF267))=11)*(CHOOSE({1,2,3,4},HN!W267,HN!AA267,HN!AE267,HN!AI267)))</f>
        <v>0</v>
      </c>
      <c r="L267">
        <f>SUMPRODUCT((MONTH(CHOOSE({1,2,3,4},HN!T267,HN!X267,HN!AB267,HN!AF267))=12)*(CHOOSE({1,2,3,4},HN!W267,HN!AA267,HN!AE267,HN!AI267)))</f>
        <v>0</v>
      </c>
    </row>
    <row r="268" spans="1:12">
      <c r="A268">
        <f>SUMPRODUCT((MONTH(CHOOSE({1,2,3,4},HN!T268,HN!X268,HN!AB268,HN!AF268))=1)*(CHOOSE({1,2,3,4},HN!W268,HN!AA268,HN!AE268,HN!AI268)))</f>
        <v>0</v>
      </c>
      <c r="B268">
        <f>SUMPRODUCT((MONTH(CHOOSE({1,2,3,4},HN!T268,HN!X268,HN!AB268,HN!AF268))=2)*(CHOOSE({1,2,3,4},HN!W268,HN!AA268,HN!AE268,HN!AI268)))</f>
        <v>0</v>
      </c>
      <c r="C268">
        <f>SUMPRODUCT((MONTH(CHOOSE({1,2,3,4},HN!T268,HN!X268,HN!AB268,HN!AF268))=3)*(CHOOSE({1,2,3,4},HN!W268,HN!AA268,HN!AE268,HN!AI268)))</f>
        <v>0</v>
      </c>
      <c r="D268">
        <f>SUMPRODUCT((MONTH(CHOOSE({1,2,3,4},HN!T268,HN!X268,HN!AB268,HN!AF268))=4)*(CHOOSE({1,2,3,4},HN!W268,HN!AA268,HN!AE268,HN!AI268)))</f>
        <v>0</v>
      </c>
      <c r="E268">
        <f>SUMPRODUCT((MONTH(CHOOSE({1,2,3,4},HN!T268,HN!X268,HN!AB268,HN!AF268))=5)*(CHOOSE({1,2,3,4},HN!W268,HN!AA268,HN!AE268,HN!AI268)))</f>
        <v>0</v>
      </c>
      <c r="F268">
        <f>SUMPRODUCT((MONTH(CHOOSE({1,2,3,4},HN!T268,HN!X268,HN!AB268,HN!AF268))=6)*(CHOOSE({1,2,3,4},HN!W268,HN!AA268,HN!AE268,HN!AI268)))</f>
        <v>0</v>
      </c>
      <c r="G268">
        <f>SUMPRODUCT((MONTH(CHOOSE({1,2,3,4},HN!T268,HN!X268,HN!AB268,HN!AF268))=7)*(CHOOSE({1,2,3,4},HN!W268,HN!AA268,HN!AE268,HN!AI268)))</f>
        <v>0</v>
      </c>
      <c r="H268">
        <f>SUMPRODUCT((MONTH(CHOOSE({1,2,3,4},HN!T268,HN!X268,HN!AB268,HN!AF268))=8)*(CHOOSE({1,2,3,4},HN!W268,HN!AA268,HN!AE268,HN!AI268)))</f>
        <v>0</v>
      </c>
      <c r="I268">
        <f>SUMPRODUCT((MONTH(CHOOSE({1,2,3,4},HN!T268,HN!X268,HN!AB268,HN!AF268))=9)*(CHOOSE({1,2,3,4},HN!W268,HN!AA268,HN!AE268,HN!AI268)))</f>
        <v>0</v>
      </c>
      <c r="J268">
        <f>SUMPRODUCT((MONTH(CHOOSE({1,2,3,4},HN!T268,HN!X268,HN!AB268,HN!AF268))=10)*(CHOOSE({1,2,3,4},HN!W268,HN!AA268,HN!AE268,HN!AI268)))</f>
        <v>0</v>
      </c>
      <c r="K268">
        <f>SUMPRODUCT((MONTH(CHOOSE({1,2,3,4},HN!T268,HN!X268,HN!AB268,HN!AF268))=11)*(CHOOSE({1,2,3,4},HN!W268,HN!AA268,HN!AE268,HN!AI268)))</f>
        <v>0</v>
      </c>
      <c r="L268">
        <f>SUMPRODUCT((MONTH(CHOOSE({1,2,3,4},HN!T268,HN!X268,HN!AB268,HN!AF268))=12)*(CHOOSE({1,2,3,4},HN!W268,HN!AA268,HN!AE268,HN!AI268)))</f>
        <v>0</v>
      </c>
    </row>
    <row r="269" spans="1:12">
      <c r="A269">
        <f>SUMPRODUCT((MONTH(CHOOSE({1,2,3,4},HN!T269,HN!X269,HN!AB269,HN!AF269))=1)*(CHOOSE({1,2,3,4},HN!W269,HN!AA269,HN!AE269,HN!AI269)))</f>
        <v>0</v>
      </c>
      <c r="B269">
        <f>SUMPRODUCT((MONTH(CHOOSE({1,2,3,4},HN!T269,HN!X269,HN!AB269,HN!AF269))=2)*(CHOOSE({1,2,3,4},HN!W269,HN!AA269,HN!AE269,HN!AI269)))</f>
        <v>0</v>
      </c>
      <c r="C269">
        <f>SUMPRODUCT((MONTH(CHOOSE({1,2,3,4},HN!T269,HN!X269,HN!AB269,HN!AF269))=3)*(CHOOSE({1,2,3,4},HN!W269,HN!AA269,HN!AE269,HN!AI269)))</f>
        <v>0</v>
      </c>
      <c r="D269">
        <f>SUMPRODUCT((MONTH(CHOOSE({1,2,3,4},HN!T269,HN!X269,HN!AB269,HN!AF269))=4)*(CHOOSE({1,2,3,4},HN!W269,HN!AA269,HN!AE269,HN!AI269)))</f>
        <v>0</v>
      </c>
      <c r="E269">
        <f>SUMPRODUCT((MONTH(CHOOSE({1,2,3,4},HN!T269,HN!X269,HN!AB269,HN!AF269))=5)*(CHOOSE({1,2,3,4},HN!W269,HN!AA269,HN!AE269,HN!AI269)))</f>
        <v>0</v>
      </c>
      <c r="F269">
        <f>SUMPRODUCT((MONTH(CHOOSE({1,2,3,4},HN!T269,HN!X269,HN!AB269,HN!AF269))=6)*(CHOOSE({1,2,3,4},HN!W269,HN!AA269,HN!AE269,HN!AI269)))</f>
        <v>0</v>
      </c>
      <c r="G269">
        <f>SUMPRODUCT((MONTH(CHOOSE({1,2,3,4},HN!T269,HN!X269,HN!AB269,HN!AF269))=7)*(CHOOSE({1,2,3,4},HN!W269,HN!AA269,HN!AE269,HN!AI269)))</f>
        <v>0</v>
      </c>
      <c r="H269">
        <f>SUMPRODUCT((MONTH(CHOOSE({1,2,3,4},HN!T269,HN!X269,HN!AB269,HN!AF269))=8)*(CHOOSE({1,2,3,4},HN!W269,HN!AA269,HN!AE269,HN!AI269)))</f>
        <v>0</v>
      </c>
      <c r="I269">
        <f>SUMPRODUCT((MONTH(CHOOSE({1,2,3,4},HN!T269,HN!X269,HN!AB269,HN!AF269))=9)*(CHOOSE({1,2,3,4},HN!W269,HN!AA269,HN!AE269,HN!AI269)))</f>
        <v>0</v>
      </c>
      <c r="J269">
        <f>SUMPRODUCT((MONTH(CHOOSE({1,2,3,4},HN!T269,HN!X269,HN!AB269,HN!AF269))=10)*(CHOOSE({1,2,3,4},HN!W269,HN!AA269,HN!AE269,HN!AI269)))</f>
        <v>0</v>
      </c>
      <c r="K269">
        <f>SUMPRODUCT((MONTH(CHOOSE({1,2,3,4},HN!T269,HN!X269,HN!AB269,HN!AF269))=11)*(CHOOSE({1,2,3,4},HN!W269,HN!AA269,HN!AE269,HN!AI269)))</f>
        <v>0</v>
      </c>
      <c r="L269">
        <f>SUMPRODUCT((MONTH(CHOOSE({1,2,3,4},HN!T269,HN!X269,HN!AB269,HN!AF269))=12)*(CHOOSE({1,2,3,4},HN!W269,HN!AA269,HN!AE269,HN!AI269)))</f>
        <v>0</v>
      </c>
    </row>
    <row r="270" spans="1:12">
      <c r="A270">
        <f>SUMPRODUCT((MONTH(CHOOSE({1,2,3,4},HN!T270,HN!X270,HN!AB270,HN!AF270))=1)*(CHOOSE({1,2,3,4},HN!W270,HN!AA270,HN!AE270,HN!AI270)))</f>
        <v>0</v>
      </c>
      <c r="B270">
        <f>SUMPRODUCT((MONTH(CHOOSE({1,2,3,4},HN!T270,HN!X270,HN!AB270,HN!AF270))=2)*(CHOOSE({1,2,3,4},HN!W270,HN!AA270,HN!AE270,HN!AI270)))</f>
        <v>0</v>
      </c>
      <c r="C270">
        <f>SUMPRODUCT((MONTH(CHOOSE({1,2,3,4},HN!T270,HN!X270,HN!AB270,HN!AF270))=3)*(CHOOSE({1,2,3,4},HN!W270,HN!AA270,HN!AE270,HN!AI270)))</f>
        <v>0</v>
      </c>
      <c r="D270">
        <f>SUMPRODUCT((MONTH(CHOOSE({1,2,3,4},HN!T270,HN!X270,HN!AB270,HN!AF270))=4)*(CHOOSE({1,2,3,4},HN!W270,HN!AA270,HN!AE270,HN!AI270)))</f>
        <v>0</v>
      </c>
      <c r="E270">
        <f>SUMPRODUCT((MONTH(CHOOSE({1,2,3,4},HN!T270,HN!X270,HN!AB270,HN!AF270))=5)*(CHOOSE({1,2,3,4},HN!W270,HN!AA270,HN!AE270,HN!AI270)))</f>
        <v>0</v>
      </c>
      <c r="F270">
        <f>SUMPRODUCT((MONTH(CHOOSE({1,2,3,4},HN!T270,HN!X270,HN!AB270,HN!AF270))=6)*(CHOOSE({1,2,3,4},HN!W270,HN!AA270,HN!AE270,HN!AI270)))</f>
        <v>0</v>
      </c>
      <c r="G270">
        <f>SUMPRODUCT((MONTH(CHOOSE({1,2,3,4},HN!T270,HN!X270,HN!AB270,HN!AF270))=7)*(CHOOSE({1,2,3,4},HN!W270,HN!AA270,HN!AE270,HN!AI270)))</f>
        <v>0</v>
      </c>
      <c r="H270">
        <f>SUMPRODUCT((MONTH(CHOOSE({1,2,3,4},HN!T270,HN!X270,HN!AB270,HN!AF270))=8)*(CHOOSE({1,2,3,4},HN!W270,HN!AA270,HN!AE270,HN!AI270)))</f>
        <v>0</v>
      </c>
      <c r="I270">
        <f>SUMPRODUCT((MONTH(CHOOSE({1,2,3,4},HN!T270,HN!X270,HN!AB270,HN!AF270))=9)*(CHOOSE({1,2,3,4},HN!W270,HN!AA270,HN!AE270,HN!AI270)))</f>
        <v>0</v>
      </c>
      <c r="J270">
        <f>SUMPRODUCT((MONTH(CHOOSE({1,2,3,4},HN!T270,HN!X270,HN!AB270,HN!AF270))=10)*(CHOOSE({1,2,3,4},HN!W270,HN!AA270,HN!AE270,HN!AI270)))</f>
        <v>0</v>
      </c>
      <c r="K270">
        <f>SUMPRODUCT((MONTH(CHOOSE({1,2,3,4},HN!T270,HN!X270,HN!AB270,HN!AF270))=11)*(CHOOSE({1,2,3,4},HN!W270,HN!AA270,HN!AE270,HN!AI270)))</f>
        <v>0</v>
      </c>
      <c r="L270">
        <f>SUMPRODUCT((MONTH(CHOOSE({1,2,3,4},HN!T270,HN!X270,HN!AB270,HN!AF270))=12)*(CHOOSE({1,2,3,4},HN!W270,HN!AA270,HN!AE270,HN!AI270)))</f>
        <v>0</v>
      </c>
    </row>
    <row r="271" spans="1:12">
      <c r="A271">
        <f>SUMPRODUCT((MONTH(CHOOSE({1,2,3,4},HN!T271,HN!X271,HN!AB271,HN!AF271))=1)*(CHOOSE({1,2,3,4},HN!W271,HN!AA271,HN!AE271,HN!AI271)))</f>
        <v>0</v>
      </c>
      <c r="B271">
        <f>SUMPRODUCT((MONTH(CHOOSE({1,2,3,4},HN!T271,HN!X271,HN!AB271,HN!AF271))=2)*(CHOOSE({1,2,3,4},HN!W271,HN!AA271,HN!AE271,HN!AI271)))</f>
        <v>0</v>
      </c>
      <c r="C271">
        <f>SUMPRODUCT((MONTH(CHOOSE({1,2,3,4},HN!T271,HN!X271,HN!AB271,HN!AF271))=3)*(CHOOSE({1,2,3,4},HN!W271,HN!AA271,HN!AE271,HN!AI271)))</f>
        <v>0</v>
      </c>
      <c r="D271">
        <f>SUMPRODUCT((MONTH(CHOOSE({1,2,3,4},HN!T271,HN!X271,HN!AB271,HN!AF271))=4)*(CHOOSE({1,2,3,4},HN!W271,HN!AA271,HN!AE271,HN!AI271)))</f>
        <v>0</v>
      </c>
      <c r="E271">
        <f>SUMPRODUCT((MONTH(CHOOSE({1,2,3,4},HN!T271,HN!X271,HN!AB271,HN!AF271))=5)*(CHOOSE({1,2,3,4},HN!W271,HN!AA271,HN!AE271,HN!AI271)))</f>
        <v>0</v>
      </c>
      <c r="F271">
        <f>SUMPRODUCT((MONTH(CHOOSE({1,2,3,4},HN!T271,HN!X271,HN!AB271,HN!AF271))=6)*(CHOOSE({1,2,3,4},HN!W271,HN!AA271,HN!AE271,HN!AI271)))</f>
        <v>0</v>
      </c>
      <c r="G271">
        <f>SUMPRODUCT((MONTH(CHOOSE({1,2,3,4},HN!T271,HN!X271,HN!AB271,HN!AF271))=7)*(CHOOSE({1,2,3,4},HN!W271,HN!AA271,HN!AE271,HN!AI271)))</f>
        <v>0</v>
      </c>
      <c r="H271">
        <f>SUMPRODUCT((MONTH(CHOOSE({1,2,3,4},HN!T271,HN!X271,HN!AB271,HN!AF271))=8)*(CHOOSE({1,2,3,4},HN!W271,HN!AA271,HN!AE271,HN!AI271)))</f>
        <v>0</v>
      </c>
      <c r="I271">
        <f>SUMPRODUCT((MONTH(CHOOSE({1,2,3,4},HN!T271,HN!X271,HN!AB271,HN!AF271))=9)*(CHOOSE({1,2,3,4},HN!W271,HN!AA271,HN!AE271,HN!AI271)))</f>
        <v>0</v>
      </c>
      <c r="J271">
        <f>SUMPRODUCT((MONTH(CHOOSE({1,2,3,4},HN!T271,HN!X271,HN!AB271,HN!AF271))=10)*(CHOOSE({1,2,3,4},HN!W271,HN!AA271,HN!AE271,HN!AI271)))</f>
        <v>0</v>
      </c>
      <c r="K271">
        <f>SUMPRODUCT((MONTH(CHOOSE({1,2,3,4},HN!T271,HN!X271,HN!AB271,HN!AF271))=11)*(CHOOSE({1,2,3,4},HN!W271,HN!AA271,HN!AE271,HN!AI271)))</f>
        <v>0</v>
      </c>
      <c r="L271">
        <f>SUMPRODUCT((MONTH(CHOOSE({1,2,3,4},HN!T271,HN!X271,HN!AB271,HN!AF271))=12)*(CHOOSE({1,2,3,4},HN!W271,HN!AA271,HN!AE271,HN!AI271)))</f>
        <v>0</v>
      </c>
    </row>
    <row r="272" spans="1:12">
      <c r="A272">
        <f>SUMPRODUCT((MONTH(CHOOSE({1,2,3,4},HN!T272,HN!X272,HN!AB272,HN!AF272))=1)*(CHOOSE({1,2,3,4},HN!W272,HN!AA272,HN!AE272,HN!AI272)))</f>
        <v>0</v>
      </c>
      <c r="B272">
        <f>SUMPRODUCT((MONTH(CHOOSE({1,2,3,4},HN!T272,HN!X272,HN!AB272,HN!AF272))=2)*(CHOOSE({1,2,3,4},HN!W272,HN!AA272,HN!AE272,HN!AI272)))</f>
        <v>0</v>
      </c>
      <c r="C272">
        <f>SUMPRODUCT((MONTH(CHOOSE({1,2,3,4},HN!T272,HN!X272,HN!AB272,HN!AF272))=3)*(CHOOSE({1,2,3,4},HN!W272,HN!AA272,HN!AE272,HN!AI272)))</f>
        <v>0</v>
      </c>
      <c r="D272">
        <f>SUMPRODUCT((MONTH(CHOOSE({1,2,3,4},HN!T272,HN!X272,HN!AB272,HN!AF272))=4)*(CHOOSE({1,2,3,4},HN!W272,HN!AA272,HN!AE272,HN!AI272)))</f>
        <v>0</v>
      </c>
      <c r="E272">
        <f>SUMPRODUCT((MONTH(CHOOSE({1,2,3,4},HN!T272,HN!X272,HN!AB272,HN!AF272))=5)*(CHOOSE({1,2,3,4},HN!W272,HN!AA272,HN!AE272,HN!AI272)))</f>
        <v>0</v>
      </c>
      <c r="F272">
        <f>SUMPRODUCT((MONTH(CHOOSE({1,2,3,4},HN!T272,HN!X272,HN!AB272,HN!AF272))=6)*(CHOOSE({1,2,3,4},HN!W272,HN!AA272,HN!AE272,HN!AI272)))</f>
        <v>0</v>
      </c>
      <c r="G272">
        <f>SUMPRODUCT((MONTH(CHOOSE({1,2,3,4},HN!T272,HN!X272,HN!AB272,HN!AF272))=7)*(CHOOSE({1,2,3,4},HN!W272,HN!AA272,HN!AE272,HN!AI272)))</f>
        <v>0</v>
      </c>
      <c r="H272">
        <f>SUMPRODUCT((MONTH(CHOOSE({1,2,3,4},HN!T272,HN!X272,HN!AB272,HN!AF272))=8)*(CHOOSE({1,2,3,4},HN!W272,HN!AA272,HN!AE272,HN!AI272)))</f>
        <v>0</v>
      </c>
      <c r="I272">
        <f>SUMPRODUCT((MONTH(CHOOSE({1,2,3,4},HN!T272,HN!X272,HN!AB272,HN!AF272))=9)*(CHOOSE({1,2,3,4},HN!W272,HN!AA272,HN!AE272,HN!AI272)))</f>
        <v>0</v>
      </c>
      <c r="J272">
        <f>SUMPRODUCT((MONTH(CHOOSE({1,2,3,4},HN!T272,HN!X272,HN!AB272,HN!AF272))=10)*(CHOOSE({1,2,3,4},HN!W272,HN!AA272,HN!AE272,HN!AI272)))</f>
        <v>0</v>
      </c>
      <c r="K272">
        <f>SUMPRODUCT((MONTH(CHOOSE({1,2,3,4},HN!T272,HN!X272,HN!AB272,HN!AF272))=11)*(CHOOSE({1,2,3,4},HN!W272,HN!AA272,HN!AE272,HN!AI272)))</f>
        <v>0</v>
      </c>
      <c r="L272">
        <f>SUMPRODUCT((MONTH(CHOOSE({1,2,3,4},HN!T272,HN!X272,HN!AB272,HN!AF272))=12)*(CHOOSE({1,2,3,4},HN!W272,HN!AA272,HN!AE272,HN!AI272)))</f>
        <v>0</v>
      </c>
    </row>
    <row r="273" spans="1:12">
      <c r="A273">
        <f>SUMPRODUCT((MONTH(CHOOSE({1,2,3,4},HN!T273,HN!X273,HN!AB273,HN!AF273))=1)*(CHOOSE({1,2,3,4},HN!W273,HN!AA273,HN!AE273,HN!AI273)))</f>
        <v>0</v>
      </c>
      <c r="B273">
        <f>SUMPRODUCT((MONTH(CHOOSE({1,2,3,4},HN!T273,HN!X273,HN!AB273,HN!AF273))=2)*(CHOOSE({1,2,3,4},HN!W273,HN!AA273,HN!AE273,HN!AI273)))</f>
        <v>0</v>
      </c>
      <c r="C273">
        <f>SUMPRODUCT((MONTH(CHOOSE({1,2,3,4},HN!T273,HN!X273,HN!AB273,HN!AF273))=3)*(CHOOSE({1,2,3,4},HN!W273,HN!AA273,HN!AE273,HN!AI273)))</f>
        <v>0</v>
      </c>
      <c r="D273">
        <f>SUMPRODUCT((MONTH(CHOOSE({1,2,3,4},HN!T273,HN!X273,HN!AB273,HN!AF273))=4)*(CHOOSE({1,2,3,4},HN!W273,HN!AA273,HN!AE273,HN!AI273)))</f>
        <v>0</v>
      </c>
      <c r="E273">
        <f>SUMPRODUCT((MONTH(CHOOSE({1,2,3,4},HN!T273,HN!X273,HN!AB273,HN!AF273))=5)*(CHOOSE({1,2,3,4},HN!W273,HN!AA273,HN!AE273,HN!AI273)))</f>
        <v>0</v>
      </c>
      <c r="F273">
        <f>SUMPRODUCT((MONTH(CHOOSE({1,2,3,4},HN!T273,HN!X273,HN!AB273,HN!AF273))=6)*(CHOOSE({1,2,3,4},HN!W273,HN!AA273,HN!AE273,HN!AI273)))</f>
        <v>0</v>
      </c>
      <c r="G273">
        <f>SUMPRODUCT((MONTH(CHOOSE({1,2,3,4},HN!T273,HN!X273,HN!AB273,HN!AF273))=7)*(CHOOSE({1,2,3,4},HN!W273,HN!AA273,HN!AE273,HN!AI273)))</f>
        <v>0</v>
      </c>
      <c r="H273">
        <f>SUMPRODUCT((MONTH(CHOOSE({1,2,3,4},HN!T273,HN!X273,HN!AB273,HN!AF273))=8)*(CHOOSE({1,2,3,4},HN!W273,HN!AA273,HN!AE273,HN!AI273)))</f>
        <v>0</v>
      </c>
      <c r="I273">
        <f>SUMPRODUCT((MONTH(CHOOSE({1,2,3,4},HN!T273,HN!X273,HN!AB273,HN!AF273))=9)*(CHOOSE({1,2,3,4},HN!W273,HN!AA273,HN!AE273,HN!AI273)))</f>
        <v>0</v>
      </c>
      <c r="J273">
        <f>SUMPRODUCT((MONTH(CHOOSE({1,2,3,4},HN!T273,HN!X273,HN!AB273,HN!AF273))=10)*(CHOOSE({1,2,3,4},HN!W273,HN!AA273,HN!AE273,HN!AI273)))</f>
        <v>0</v>
      </c>
      <c r="K273">
        <f>SUMPRODUCT((MONTH(CHOOSE({1,2,3,4},HN!T273,HN!X273,HN!AB273,HN!AF273))=11)*(CHOOSE({1,2,3,4},HN!W273,HN!AA273,HN!AE273,HN!AI273)))</f>
        <v>0</v>
      </c>
      <c r="L273">
        <f>SUMPRODUCT((MONTH(CHOOSE({1,2,3,4},HN!T273,HN!X273,HN!AB273,HN!AF273))=12)*(CHOOSE({1,2,3,4},HN!W273,HN!AA273,HN!AE273,HN!AI273)))</f>
        <v>0</v>
      </c>
    </row>
    <row r="274" spans="1:12">
      <c r="A274">
        <f>SUMPRODUCT((MONTH(CHOOSE({1,2,3,4},HN!T274,HN!X274,HN!AB274,HN!AF274))=1)*(CHOOSE({1,2,3,4},HN!W274,HN!AA274,HN!AE274,HN!AI274)))</f>
        <v>0</v>
      </c>
      <c r="B274">
        <f>SUMPRODUCT((MONTH(CHOOSE({1,2,3,4},HN!T274,HN!X274,HN!AB274,HN!AF274))=2)*(CHOOSE({1,2,3,4},HN!W274,HN!AA274,HN!AE274,HN!AI274)))</f>
        <v>0</v>
      </c>
      <c r="C274">
        <f>SUMPRODUCT((MONTH(CHOOSE({1,2,3,4},HN!T274,HN!X274,HN!AB274,HN!AF274))=3)*(CHOOSE({1,2,3,4},HN!W274,HN!AA274,HN!AE274,HN!AI274)))</f>
        <v>0</v>
      </c>
      <c r="D274">
        <f>SUMPRODUCT((MONTH(CHOOSE({1,2,3,4},HN!T274,HN!X274,HN!AB274,HN!AF274))=4)*(CHOOSE({1,2,3,4},HN!W274,HN!AA274,HN!AE274,HN!AI274)))</f>
        <v>0</v>
      </c>
      <c r="E274">
        <f>SUMPRODUCT((MONTH(CHOOSE({1,2,3,4},HN!T274,HN!X274,HN!AB274,HN!AF274))=5)*(CHOOSE({1,2,3,4},HN!W274,HN!AA274,HN!AE274,HN!AI274)))</f>
        <v>0</v>
      </c>
      <c r="F274">
        <f>SUMPRODUCT((MONTH(CHOOSE({1,2,3,4},HN!T274,HN!X274,HN!AB274,HN!AF274))=6)*(CHOOSE({1,2,3,4},HN!W274,HN!AA274,HN!AE274,HN!AI274)))</f>
        <v>0</v>
      </c>
      <c r="G274">
        <f>SUMPRODUCT((MONTH(CHOOSE({1,2,3,4},HN!T274,HN!X274,HN!AB274,HN!AF274))=7)*(CHOOSE({1,2,3,4},HN!W274,HN!AA274,HN!AE274,HN!AI274)))</f>
        <v>0</v>
      </c>
      <c r="H274">
        <f>SUMPRODUCT((MONTH(CHOOSE({1,2,3,4},HN!T274,HN!X274,HN!AB274,HN!AF274))=8)*(CHOOSE({1,2,3,4},HN!W274,HN!AA274,HN!AE274,HN!AI274)))</f>
        <v>0</v>
      </c>
      <c r="I274">
        <f>SUMPRODUCT((MONTH(CHOOSE({1,2,3,4},HN!T274,HN!X274,HN!AB274,HN!AF274))=9)*(CHOOSE({1,2,3,4},HN!W274,HN!AA274,HN!AE274,HN!AI274)))</f>
        <v>0</v>
      </c>
      <c r="J274">
        <f>SUMPRODUCT((MONTH(CHOOSE({1,2,3,4},HN!T274,HN!X274,HN!AB274,HN!AF274))=10)*(CHOOSE({1,2,3,4},HN!W274,HN!AA274,HN!AE274,HN!AI274)))</f>
        <v>0</v>
      </c>
      <c r="K274">
        <f>SUMPRODUCT((MONTH(CHOOSE({1,2,3,4},HN!T274,HN!X274,HN!AB274,HN!AF274))=11)*(CHOOSE({1,2,3,4},HN!W274,HN!AA274,HN!AE274,HN!AI274)))</f>
        <v>0</v>
      </c>
      <c r="L274">
        <f>SUMPRODUCT((MONTH(CHOOSE({1,2,3,4},HN!T274,HN!X274,HN!AB274,HN!AF274))=12)*(CHOOSE({1,2,3,4},HN!W274,HN!AA274,HN!AE274,HN!AI274)))</f>
        <v>0</v>
      </c>
    </row>
    <row r="275" spans="1:12">
      <c r="A275">
        <f>SUMPRODUCT((MONTH(CHOOSE({1,2,3,4},HN!T275,HN!X275,HN!AB275,HN!AF275))=1)*(CHOOSE({1,2,3,4},HN!W275,HN!AA275,HN!AE275,HN!AI275)))</f>
        <v>0</v>
      </c>
      <c r="B275">
        <f>SUMPRODUCT((MONTH(CHOOSE({1,2,3,4},HN!T275,HN!X275,HN!AB275,HN!AF275))=2)*(CHOOSE({1,2,3,4},HN!W275,HN!AA275,HN!AE275,HN!AI275)))</f>
        <v>0</v>
      </c>
      <c r="C275">
        <f>SUMPRODUCT((MONTH(CHOOSE({1,2,3,4},HN!T275,HN!X275,HN!AB275,HN!AF275))=3)*(CHOOSE({1,2,3,4},HN!W275,HN!AA275,HN!AE275,HN!AI275)))</f>
        <v>0</v>
      </c>
      <c r="D275">
        <f>SUMPRODUCT((MONTH(CHOOSE({1,2,3,4},HN!T275,HN!X275,HN!AB275,HN!AF275))=4)*(CHOOSE({1,2,3,4},HN!W275,HN!AA275,HN!AE275,HN!AI275)))</f>
        <v>0</v>
      </c>
      <c r="E275">
        <f>SUMPRODUCT((MONTH(CHOOSE({1,2,3,4},HN!T275,HN!X275,HN!AB275,HN!AF275))=5)*(CHOOSE({1,2,3,4},HN!W275,HN!AA275,HN!AE275,HN!AI275)))</f>
        <v>0</v>
      </c>
      <c r="F275">
        <f>SUMPRODUCT((MONTH(CHOOSE({1,2,3,4},HN!T275,HN!X275,HN!AB275,HN!AF275))=6)*(CHOOSE({1,2,3,4},HN!W275,HN!AA275,HN!AE275,HN!AI275)))</f>
        <v>0</v>
      </c>
      <c r="G275">
        <f>SUMPRODUCT((MONTH(CHOOSE({1,2,3,4},HN!T275,HN!X275,HN!AB275,HN!AF275))=7)*(CHOOSE({1,2,3,4},HN!W275,HN!AA275,HN!AE275,HN!AI275)))</f>
        <v>0</v>
      </c>
      <c r="H275">
        <f>SUMPRODUCT((MONTH(CHOOSE({1,2,3,4},HN!T275,HN!X275,HN!AB275,HN!AF275))=8)*(CHOOSE({1,2,3,4},HN!W275,HN!AA275,HN!AE275,HN!AI275)))</f>
        <v>0</v>
      </c>
      <c r="I275">
        <f>SUMPRODUCT((MONTH(CHOOSE({1,2,3,4},HN!T275,HN!X275,HN!AB275,HN!AF275))=9)*(CHOOSE({1,2,3,4},HN!W275,HN!AA275,HN!AE275,HN!AI275)))</f>
        <v>0</v>
      </c>
      <c r="J275">
        <f>SUMPRODUCT((MONTH(CHOOSE({1,2,3,4},HN!T275,HN!X275,HN!AB275,HN!AF275))=10)*(CHOOSE({1,2,3,4},HN!W275,HN!AA275,HN!AE275,HN!AI275)))</f>
        <v>0</v>
      </c>
      <c r="K275">
        <f>SUMPRODUCT((MONTH(CHOOSE({1,2,3,4},HN!T275,HN!X275,HN!AB275,HN!AF275))=11)*(CHOOSE({1,2,3,4},HN!W275,HN!AA275,HN!AE275,HN!AI275)))</f>
        <v>0</v>
      </c>
      <c r="L275">
        <f>SUMPRODUCT((MONTH(CHOOSE({1,2,3,4},HN!T275,HN!X275,HN!AB275,HN!AF275))=12)*(CHOOSE({1,2,3,4},HN!W275,HN!AA275,HN!AE275,HN!AI275)))</f>
        <v>0</v>
      </c>
    </row>
    <row r="276" spans="1:12">
      <c r="A276">
        <f>SUMPRODUCT((MONTH(CHOOSE({1,2,3,4},HN!T276,HN!X276,HN!AB276,HN!AF276))=1)*(CHOOSE({1,2,3,4},HN!W276,HN!AA276,HN!AE276,HN!AI276)))</f>
        <v>0</v>
      </c>
      <c r="B276">
        <f>SUMPRODUCT((MONTH(CHOOSE({1,2,3,4},HN!T276,HN!X276,HN!AB276,HN!AF276))=2)*(CHOOSE({1,2,3,4},HN!W276,HN!AA276,HN!AE276,HN!AI276)))</f>
        <v>0</v>
      </c>
      <c r="C276">
        <f>SUMPRODUCT((MONTH(CHOOSE({1,2,3,4},HN!T276,HN!X276,HN!AB276,HN!AF276))=3)*(CHOOSE({1,2,3,4},HN!W276,HN!AA276,HN!AE276,HN!AI276)))</f>
        <v>0</v>
      </c>
      <c r="D276">
        <f>SUMPRODUCT((MONTH(CHOOSE({1,2,3,4},HN!T276,HN!X276,HN!AB276,HN!AF276))=4)*(CHOOSE({1,2,3,4},HN!W276,HN!AA276,HN!AE276,HN!AI276)))</f>
        <v>0</v>
      </c>
      <c r="E276">
        <f>SUMPRODUCT((MONTH(CHOOSE({1,2,3,4},HN!T276,HN!X276,HN!AB276,HN!AF276))=5)*(CHOOSE({1,2,3,4},HN!W276,HN!AA276,HN!AE276,HN!AI276)))</f>
        <v>0</v>
      </c>
      <c r="F276">
        <f>SUMPRODUCT((MONTH(CHOOSE({1,2,3,4},HN!T276,HN!X276,HN!AB276,HN!AF276))=6)*(CHOOSE({1,2,3,4},HN!W276,HN!AA276,HN!AE276,HN!AI276)))</f>
        <v>0</v>
      </c>
      <c r="G276">
        <f>SUMPRODUCT((MONTH(CHOOSE({1,2,3,4},HN!T276,HN!X276,HN!AB276,HN!AF276))=7)*(CHOOSE({1,2,3,4},HN!W276,HN!AA276,HN!AE276,HN!AI276)))</f>
        <v>0</v>
      </c>
      <c r="H276">
        <f>SUMPRODUCT((MONTH(CHOOSE({1,2,3,4},HN!T276,HN!X276,HN!AB276,HN!AF276))=8)*(CHOOSE({1,2,3,4},HN!W276,HN!AA276,HN!AE276,HN!AI276)))</f>
        <v>0</v>
      </c>
      <c r="I276">
        <f>SUMPRODUCT((MONTH(CHOOSE({1,2,3,4},HN!T276,HN!X276,HN!AB276,HN!AF276))=9)*(CHOOSE({1,2,3,4},HN!W276,HN!AA276,HN!AE276,HN!AI276)))</f>
        <v>0</v>
      </c>
      <c r="J276">
        <f>SUMPRODUCT((MONTH(CHOOSE({1,2,3,4},HN!T276,HN!X276,HN!AB276,HN!AF276))=10)*(CHOOSE({1,2,3,4},HN!W276,HN!AA276,HN!AE276,HN!AI276)))</f>
        <v>0</v>
      </c>
      <c r="K276">
        <f>SUMPRODUCT((MONTH(CHOOSE({1,2,3,4},HN!T276,HN!X276,HN!AB276,HN!AF276))=11)*(CHOOSE({1,2,3,4},HN!W276,HN!AA276,HN!AE276,HN!AI276)))</f>
        <v>0</v>
      </c>
      <c r="L276">
        <f>SUMPRODUCT((MONTH(CHOOSE({1,2,3,4},HN!T276,HN!X276,HN!AB276,HN!AF276))=12)*(CHOOSE({1,2,3,4},HN!W276,HN!AA276,HN!AE276,HN!AI276)))</f>
        <v>0</v>
      </c>
    </row>
    <row r="277" spans="1:12">
      <c r="A277">
        <f>SUMPRODUCT((MONTH(CHOOSE({1,2,3,4},HN!T277,HN!X277,HN!AB277,HN!AF277))=1)*(CHOOSE({1,2,3,4},HN!W277,HN!AA277,HN!AE277,HN!AI277)))</f>
        <v>0</v>
      </c>
      <c r="B277">
        <f>SUMPRODUCT((MONTH(CHOOSE({1,2,3,4},HN!T277,HN!X277,HN!AB277,HN!AF277))=2)*(CHOOSE({1,2,3,4},HN!W277,HN!AA277,HN!AE277,HN!AI277)))</f>
        <v>0</v>
      </c>
      <c r="C277">
        <f>SUMPRODUCT((MONTH(CHOOSE({1,2,3,4},HN!T277,HN!X277,HN!AB277,HN!AF277))=3)*(CHOOSE({1,2,3,4},HN!W277,HN!AA277,HN!AE277,HN!AI277)))</f>
        <v>0</v>
      </c>
      <c r="D277">
        <f>SUMPRODUCT((MONTH(CHOOSE({1,2,3,4},HN!T277,HN!X277,HN!AB277,HN!AF277))=4)*(CHOOSE({1,2,3,4},HN!W277,HN!AA277,HN!AE277,HN!AI277)))</f>
        <v>0</v>
      </c>
      <c r="E277">
        <f>SUMPRODUCT((MONTH(CHOOSE({1,2,3,4},HN!T277,HN!X277,HN!AB277,HN!AF277))=5)*(CHOOSE({1,2,3,4},HN!W277,HN!AA277,HN!AE277,HN!AI277)))</f>
        <v>0</v>
      </c>
      <c r="F277">
        <f>SUMPRODUCT((MONTH(CHOOSE({1,2,3,4},HN!T277,HN!X277,HN!AB277,HN!AF277))=6)*(CHOOSE({1,2,3,4},HN!W277,HN!AA277,HN!AE277,HN!AI277)))</f>
        <v>0</v>
      </c>
      <c r="G277">
        <f>SUMPRODUCT((MONTH(CHOOSE({1,2,3,4},HN!T277,HN!X277,HN!AB277,HN!AF277))=7)*(CHOOSE({1,2,3,4},HN!W277,HN!AA277,HN!AE277,HN!AI277)))</f>
        <v>0</v>
      </c>
      <c r="H277">
        <f>SUMPRODUCT((MONTH(CHOOSE({1,2,3,4},HN!T277,HN!X277,HN!AB277,HN!AF277))=8)*(CHOOSE({1,2,3,4},HN!W277,HN!AA277,HN!AE277,HN!AI277)))</f>
        <v>0</v>
      </c>
      <c r="I277">
        <f>SUMPRODUCT((MONTH(CHOOSE({1,2,3,4},HN!T277,HN!X277,HN!AB277,HN!AF277))=9)*(CHOOSE({1,2,3,4},HN!W277,HN!AA277,HN!AE277,HN!AI277)))</f>
        <v>0</v>
      </c>
      <c r="J277">
        <f>SUMPRODUCT((MONTH(CHOOSE({1,2,3,4},HN!T277,HN!X277,HN!AB277,HN!AF277))=10)*(CHOOSE({1,2,3,4},HN!W277,HN!AA277,HN!AE277,HN!AI277)))</f>
        <v>0</v>
      </c>
      <c r="K277">
        <f>SUMPRODUCT((MONTH(CHOOSE({1,2,3,4},HN!T277,HN!X277,HN!AB277,HN!AF277))=11)*(CHOOSE({1,2,3,4},HN!W277,HN!AA277,HN!AE277,HN!AI277)))</f>
        <v>0</v>
      </c>
      <c r="L277">
        <f>SUMPRODUCT((MONTH(CHOOSE({1,2,3,4},HN!T277,HN!X277,HN!AB277,HN!AF277))=12)*(CHOOSE({1,2,3,4},HN!W277,HN!AA277,HN!AE277,HN!AI277)))</f>
        <v>0</v>
      </c>
    </row>
    <row r="278" spans="1:12">
      <c r="A278">
        <f>SUMPRODUCT((MONTH(CHOOSE({1,2,3,4},HN!T278,HN!X278,HN!AB278,HN!AF278))=1)*(CHOOSE({1,2,3,4},HN!W278,HN!AA278,HN!AE278,HN!AI278)))</f>
        <v>0</v>
      </c>
      <c r="B278">
        <f>SUMPRODUCT((MONTH(CHOOSE({1,2,3,4},HN!T278,HN!X278,HN!AB278,HN!AF278))=2)*(CHOOSE({1,2,3,4},HN!W278,HN!AA278,HN!AE278,HN!AI278)))</f>
        <v>0</v>
      </c>
      <c r="C278">
        <f>SUMPRODUCT((MONTH(CHOOSE({1,2,3,4},HN!T278,HN!X278,HN!AB278,HN!AF278))=3)*(CHOOSE({1,2,3,4},HN!W278,HN!AA278,HN!AE278,HN!AI278)))</f>
        <v>0</v>
      </c>
      <c r="D278">
        <f>SUMPRODUCT((MONTH(CHOOSE({1,2,3,4},HN!T278,HN!X278,HN!AB278,HN!AF278))=4)*(CHOOSE({1,2,3,4},HN!W278,HN!AA278,HN!AE278,HN!AI278)))</f>
        <v>0</v>
      </c>
      <c r="E278">
        <f>SUMPRODUCT((MONTH(CHOOSE({1,2,3,4},HN!T278,HN!X278,HN!AB278,HN!AF278))=5)*(CHOOSE({1,2,3,4},HN!W278,HN!AA278,HN!AE278,HN!AI278)))</f>
        <v>0</v>
      </c>
      <c r="F278">
        <f>SUMPRODUCT((MONTH(CHOOSE({1,2,3,4},HN!T278,HN!X278,HN!AB278,HN!AF278))=6)*(CHOOSE({1,2,3,4},HN!W278,HN!AA278,HN!AE278,HN!AI278)))</f>
        <v>0</v>
      </c>
      <c r="G278">
        <f>SUMPRODUCT((MONTH(CHOOSE({1,2,3,4},HN!T278,HN!X278,HN!AB278,HN!AF278))=7)*(CHOOSE({1,2,3,4},HN!W278,HN!AA278,HN!AE278,HN!AI278)))</f>
        <v>0</v>
      </c>
      <c r="H278">
        <f>SUMPRODUCT((MONTH(CHOOSE({1,2,3,4},HN!T278,HN!X278,HN!AB278,HN!AF278))=8)*(CHOOSE({1,2,3,4},HN!W278,HN!AA278,HN!AE278,HN!AI278)))</f>
        <v>0</v>
      </c>
      <c r="I278">
        <f>SUMPRODUCT((MONTH(CHOOSE({1,2,3,4},HN!T278,HN!X278,HN!AB278,HN!AF278))=9)*(CHOOSE({1,2,3,4},HN!W278,HN!AA278,HN!AE278,HN!AI278)))</f>
        <v>0</v>
      </c>
      <c r="J278">
        <f>SUMPRODUCT((MONTH(CHOOSE({1,2,3,4},HN!T278,HN!X278,HN!AB278,HN!AF278))=10)*(CHOOSE({1,2,3,4},HN!W278,HN!AA278,HN!AE278,HN!AI278)))</f>
        <v>0</v>
      </c>
      <c r="K278">
        <f>SUMPRODUCT((MONTH(CHOOSE({1,2,3,4},HN!T278,HN!X278,HN!AB278,HN!AF278))=11)*(CHOOSE({1,2,3,4},HN!W278,HN!AA278,HN!AE278,HN!AI278)))</f>
        <v>0</v>
      </c>
      <c r="L278">
        <f>SUMPRODUCT((MONTH(CHOOSE({1,2,3,4},HN!T278,HN!X278,HN!AB278,HN!AF278))=12)*(CHOOSE({1,2,3,4},HN!W278,HN!AA278,HN!AE278,HN!AI278)))</f>
        <v>0</v>
      </c>
    </row>
    <row r="279" spans="1:12">
      <c r="A279">
        <f>SUMPRODUCT((MONTH(CHOOSE({1,2,3,4},HN!T279,HN!X279,HN!AB279,HN!AF279))=1)*(CHOOSE({1,2,3,4},HN!W279,HN!AA279,HN!AE279,HN!AI279)))</f>
        <v>0</v>
      </c>
      <c r="B279">
        <f>SUMPRODUCT((MONTH(CHOOSE({1,2,3,4},HN!T279,HN!X279,HN!AB279,HN!AF279))=2)*(CHOOSE({1,2,3,4},HN!W279,HN!AA279,HN!AE279,HN!AI279)))</f>
        <v>0</v>
      </c>
      <c r="C279">
        <f>SUMPRODUCT((MONTH(CHOOSE({1,2,3,4},HN!T279,HN!X279,HN!AB279,HN!AF279))=3)*(CHOOSE({1,2,3,4},HN!W279,HN!AA279,HN!AE279,HN!AI279)))</f>
        <v>0</v>
      </c>
      <c r="D279">
        <f>SUMPRODUCT((MONTH(CHOOSE({1,2,3,4},HN!T279,HN!X279,HN!AB279,HN!AF279))=4)*(CHOOSE({1,2,3,4},HN!W279,HN!AA279,HN!AE279,HN!AI279)))</f>
        <v>0</v>
      </c>
      <c r="E279">
        <f>SUMPRODUCT((MONTH(CHOOSE({1,2,3,4},HN!T279,HN!X279,HN!AB279,HN!AF279))=5)*(CHOOSE({1,2,3,4},HN!W279,HN!AA279,HN!AE279,HN!AI279)))</f>
        <v>0</v>
      </c>
      <c r="F279">
        <f>SUMPRODUCT((MONTH(CHOOSE({1,2,3,4},HN!T279,HN!X279,HN!AB279,HN!AF279))=6)*(CHOOSE({1,2,3,4},HN!W279,HN!AA279,HN!AE279,HN!AI279)))</f>
        <v>0</v>
      </c>
      <c r="G279">
        <f>SUMPRODUCT((MONTH(CHOOSE({1,2,3,4},HN!T279,HN!X279,HN!AB279,HN!AF279))=7)*(CHOOSE({1,2,3,4},HN!W279,HN!AA279,HN!AE279,HN!AI279)))</f>
        <v>0</v>
      </c>
      <c r="H279">
        <f>SUMPRODUCT((MONTH(CHOOSE({1,2,3,4},HN!T279,HN!X279,HN!AB279,HN!AF279))=8)*(CHOOSE({1,2,3,4},HN!W279,HN!AA279,HN!AE279,HN!AI279)))</f>
        <v>0</v>
      </c>
      <c r="I279">
        <f>SUMPRODUCT((MONTH(CHOOSE({1,2,3,4},HN!T279,HN!X279,HN!AB279,HN!AF279))=9)*(CHOOSE({1,2,3,4},HN!W279,HN!AA279,HN!AE279,HN!AI279)))</f>
        <v>0</v>
      </c>
      <c r="J279">
        <f>SUMPRODUCT((MONTH(CHOOSE({1,2,3,4},HN!T279,HN!X279,HN!AB279,HN!AF279))=10)*(CHOOSE({1,2,3,4},HN!W279,HN!AA279,HN!AE279,HN!AI279)))</f>
        <v>0</v>
      </c>
      <c r="K279">
        <f>SUMPRODUCT((MONTH(CHOOSE({1,2,3,4},HN!T279,HN!X279,HN!AB279,HN!AF279))=11)*(CHOOSE({1,2,3,4},HN!W279,HN!AA279,HN!AE279,HN!AI279)))</f>
        <v>0</v>
      </c>
      <c r="L279">
        <f>SUMPRODUCT((MONTH(CHOOSE({1,2,3,4},HN!T279,HN!X279,HN!AB279,HN!AF279))=12)*(CHOOSE({1,2,3,4},HN!W279,HN!AA279,HN!AE279,HN!AI279)))</f>
        <v>0</v>
      </c>
    </row>
    <row r="280" spans="1:12">
      <c r="A280">
        <f>SUMPRODUCT((MONTH(CHOOSE({1,2,3,4},HN!T280,HN!X280,HN!AB280,HN!AF280))=1)*(CHOOSE({1,2,3,4},HN!W280,HN!AA280,HN!AE280,HN!AI280)))</f>
        <v>0</v>
      </c>
      <c r="B280">
        <f>SUMPRODUCT((MONTH(CHOOSE({1,2,3,4},HN!T280,HN!X280,HN!AB280,HN!AF280))=2)*(CHOOSE({1,2,3,4},HN!W280,HN!AA280,HN!AE280,HN!AI280)))</f>
        <v>0</v>
      </c>
      <c r="C280">
        <f>SUMPRODUCT((MONTH(CHOOSE({1,2,3,4},HN!T280,HN!X280,HN!AB280,HN!AF280))=3)*(CHOOSE({1,2,3,4},HN!W280,HN!AA280,HN!AE280,HN!AI280)))</f>
        <v>0</v>
      </c>
      <c r="D280">
        <f>SUMPRODUCT((MONTH(CHOOSE({1,2,3,4},HN!T280,HN!X280,HN!AB280,HN!AF280))=4)*(CHOOSE({1,2,3,4},HN!W280,HN!AA280,HN!AE280,HN!AI280)))</f>
        <v>0</v>
      </c>
      <c r="E280">
        <f>SUMPRODUCT((MONTH(CHOOSE({1,2,3,4},HN!T280,HN!X280,HN!AB280,HN!AF280))=5)*(CHOOSE({1,2,3,4},HN!W280,HN!AA280,HN!AE280,HN!AI280)))</f>
        <v>0</v>
      </c>
      <c r="F280">
        <f>SUMPRODUCT((MONTH(CHOOSE({1,2,3,4},HN!T280,HN!X280,HN!AB280,HN!AF280))=6)*(CHOOSE({1,2,3,4},HN!W280,HN!AA280,HN!AE280,HN!AI280)))</f>
        <v>0</v>
      </c>
      <c r="G280">
        <f>SUMPRODUCT((MONTH(CHOOSE({1,2,3,4},HN!T280,HN!X280,HN!AB280,HN!AF280))=7)*(CHOOSE({1,2,3,4},HN!W280,HN!AA280,HN!AE280,HN!AI280)))</f>
        <v>0</v>
      </c>
      <c r="H280">
        <f>SUMPRODUCT((MONTH(CHOOSE({1,2,3,4},HN!T280,HN!X280,HN!AB280,HN!AF280))=8)*(CHOOSE({1,2,3,4},HN!W280,HN!AA280,HN!AE280,HN!AI280)))</f>
        <v>0</v>
      </c>
      <c r="I280">
        <f>SUMPRODUCT((MONTH(CHOOSE({1,2,3,4},HN!T280,HN!X280,HN!AB280,HN!AF280))=9)*(CHOOSE({1,2,3,4},HN!W280,HN!AA280,HN!AE280,HN!AI280)))</f>
        <v>0</v>
      </c>
      <c r="J280">
        <f>SUMPRODUCT((MONTH(CHOOSE({1,2,3,4},HN!T280,HN!X280,HN!AB280,HN!AF280))=10)*(CHOOSE({1,2,3,4},HN!W280,HN!AA280,HN!AE280,HN!AI280)))</f>
        <v>0</v>
      </c>
      <c r="K280">
        <f>SUMPRODUCT((MONTH(CHOOSE({1,2,3,4},HN!T280,HN!X280,HN!AB280,HN!AF280))=11)*(CHOOSE({1,2,3,4},HN!W280,HN!AA280,HN!AE280,HN!AI280)))</f>
        <v>0</v>
      </c>
      <c r="L280">
        <f>SUMPRODUCT((MONTH(CHOOSE({1,2,3,4},HN!T280,HN!X280,HN!AB280,HN!AF280))=12)*(CHOOSE({1,2,3,4},HN!W280,HN!AA280,HN!AE280,HN!AI280)))</f>
        <v>0</v>
      </c>
    </row>
    <row r="281" spans="1:12">
      <c r="A281">
        <f>SUMPRODUCT((MONTH(CHOOSE({1,2,3,4},HN!T281,HN!X281,HN!AB281,HN!AF281))=1)*(CHOOSE({1,2,3,4},HN!W281,HN!AA281,HN!AE281,HN!AI281)))</f>
        <v>0</v>
      </c>
      <c r="B281">
        <f>SUMPRODUCT((MONTH(CHOOSE({1,2,3,4},HN!T281,HN!X281,HN!AB281,HN!AF281))=2)*(CHOOSE({1,2,3,4},HN!W281,HN!AA281,HN!AE281,HN!AI281)))</f>
        <v>0</v>
      </c>
      <c r="C281">
        <f>SUMPRODUCT((MONTH(CHOOSE({1,2,3,4},HN!T281,HN!X281,HN!AB281,HN!AF281))=3)*(CHOOSE({1,2,3,4},HN!W281,HN!AA281,HN!AE281,HN!AI281)))</f>
        <v>0</v>
      </c>
      <c r="D281">
        <f>SUMPRODUCT((MONTH(CHOOSE({1,2,3,4},HN!T281,HN!X281,HN!AB281,HN!AF281))=4)*(CHOOSE({1,2,3,4},HN!W281,HN!AA281,HN!AE281,HN!AI281)))</f>
        <v>0</v>
      </c>
      <c r="E281">
        <f>SUMPRODUCT((MONTH(CHOOSE({1,2,3,4},HN!T281,HN!X281,HN!AB281,HN!AF281))=5)*(CHOOSE({1,2,3,4},HN!W281,HN!AA281,HN!AE281,HN!AI281)))</f>
        <v>0</v>
      </c>
      <c r="F281">
        <f>SUMPRODUCT((MONTH(CHOOSE({1,2,3,4},HN!T281,HN!X281,HN!AB281,HN!AF281))=6)*(CHOOSE({1,2,3,4},HN!W281,HN!AA281,HN!AE281,HN!AI281)))</f>
        <v>0</v>
      </c>
      <c r="G281">
        <f>SUMPRODUCT((MONTH(CHOOSE({1,2,3,4},HN!T281,HN!X281,HN!AB281,HN!AF281))=7)*(CHOOSE({1,2,3,4},HN!W281,HN!AA281,HN!AE281,HN!AI281)))</f>
        <v>0</v>
      </c>
      <c r="H281">
        <f>SUMPRODUCT((MONTH(CHOOSE({1,2,3,4},HN!T281,HN!X281,HN!AB281,HN!AF281))=8)*(CHOOSE({1,2,3,4},HN!W281,HN!AA281,HN!AE281,HN!AI281)))</f>
        <v>0</v>
      </c>
      <c r="I281">
        <f>SUMPRODUCT((MONTH(CHOOSE({1,2,3,4},HN!T281,HN!X281,HN!AB281,HN!AF281))=9)*(CHOOSE({1,2,3,4},HN!W281,HN!AA281,HN!AE281,HN!AI281)))</f>
        <v>0</v>
      </c>
      <c r="J281">
        <f>SUMPRODUCT((MONTH(CHOOSE({1,2,3,4},HN!T281,HN!X281,HN!AB281,HN!AF281))=10)*(CHOOSE({1,2,3,4},HN!W281,HN!AA281,HN!AE281,HN!AI281)))</f>
        <v>0</v>
      </c>
      <c r="K281">
        <f>SUMPRODUCT((MONTH(CHOOSE({1,2,3,4},HN!T281,HN!X281,HN!AB281,HN!AF281))=11)*(CHOOSE({1,2,3,4},HN!W281,HN!AA281,HN!AE281,HN!AI281)))</f>
        <v>0</v>
      </c>
      <c r="L281">
        <f>SUMPRODUCT((MONTH(CHOOSE({1,2,3,4},HN!T281,HN!X281,HN!AB281,HN!AF281))=12)*(CHOOSE({1,2,3,4},HN!W281,HN!AA281,HN!AE281,HN!AI281)))</f>
        <v>0</v>
      </c>
    </row>
    <row r="282" spans="1:12">
      <c r="A282">
        <f>SUMPRODUCT((MONTH(CHOOSE({1,2,3,4},HN!T282,HN!X282,HN!AB282,HN!AF282))=1)*(CHOOSE({1,2,3,4},HN!W282,HN!AA282,HN!AE282,HN!AI282)))</f>
        <v>0</v>
      </c>
      <c r="B282">
        <f>SUMPRODUCT((MONTH(CHOOSE({1,2,3,4},HN!T282,HN!X282,HN!AB282,HN!AF282))=2)*(CHOOSE({1,2,3,4},HN!W282,HN!AA282,HN!AE282,HN!AI282)))</f>
        <v>0</v>
      </c>
      <c r="C282">
        <f>SUMPRODUCT((MONTH(CHOOSE({1,2,3,4},HN!T282,HN!X282,HN!AB282,HN!AF282))=3)*(CHOOSE({1,2,3,4},HN!W282,HN!AA282,HN!AE282,HN!AI282)))</f>
        <v>0</v>
      </c>
      <c r="D282">
        <f>SUMPRODUCT((MONTH(CHOOSE({1,2,3,4},HN!T282,HN!X282,HN!AB282,HN!AF282))=4)*(CHOOSE({1,2,3,4},HN!W282,HN!AA282,HN!AE282,HN!AI282)))</f>
        <v>0</v>
      </c>
      <c r="E282">
        <f>SUMPRODUCT((MONTH(CHOOSE({1,2,3,4},HN!T282,HN!X282,HN!AB282,HN!AF282))=5)*(CHOOSE({1,2,3,4},HN!W282,HN!AA282,HN!AE282,HN!AI282)))</f>
        <v>0</v>
      </c>
      <c r="F282">
        <f>SUMPRODUCT((MONTH(CHOOSE({1,2,3,4},HN!T282,HN!X282,HN!AB282,HN!AF282))=6)*(CHOOSE({1,2,3,4},HN!W282,HN!AA282,HN!AE282,HN!AI282)))</f>
        <v>0</v>
      </c>
      <c r="G282">
        <f>SUMPRODUCT((MONTH(CHOOSE({1,2,3,4},HN!T282,HN!X282,HN!AB282,HN!AF282))=7)*(CHOOSE({1,2,3,4},HN!W282,HN!AA282,HN!AE282,HN!AI282)))</f>
        <v>0</v>
      </c>
      <c r="H282">
        <f>SUMPRODUCT((MONTH(CHOOSE({1,2,3,4},HN!T282,HN!X282,HN!AB282,HN!AF282))=8)*(CHOOSE({1,2,3,4},HN!W282,HN!AA282,HN!AE282,HN!AI282)))</f>
        <v>0</v>
      </c>
      <c r="I282">
        <f>SUMPRODUCT((MONTH(CHOOSE({1,2,3,4},HN!T282,HN!X282,HN!AB282,HN!AF282))=9)*(CHOOSE({1,2,3,4},HN!W282,HN!AA282,HN!AE282,HN!AI282)))</f>
        <v>0</v>
      </c>
      <c r="J282">
        <f>SUMPRODUCT((MONTH(CHOOSE({1,2,3,4},HN!T282,HN!X282,HN!AB282,HN!AF282))=10)*(CHOOSE({1,2,3,4},HN!W282,HN!AA282,HN!AE282,HN!AI282)))</f>
        <v>0</v>
      </c>
      <c r="K282">
        <f>SUMPRODUCT((MONTH(CHOOSE({1,2,3,4},HN!T282,HN!X282,HN!AB282,HN!AF282))=11)*(CHOOSE({1,2,3,4},HN!W282,HN!AA282,HN!AE282,HN!AI282)))</f>
        <v>0</v>
      </c>
      <c r="L282">
        <f>SUMPRODUCT((MONTH(CHOOSE({1,2,3,4},HN!T282,HN!X282,HN!AB282,HN!AF282))=12)*(CHOOSE({1,2,3,4},HN!W282,HN!AA282,HN!AE282,HN!AI282)))</f>
        <v>0</v>
      </c>
    </row>
    <row r="283" spans="1:12">
      <c r="A283">
        <f>SUMPRODUCT((MONTH(CHOOSE({1,2,3,4},HN!T283,HN!X283,HN!AB283,HN!AF283))=1)*(CHOOSE({1,2,3,4},HN!W283,HN!AA283,HN!AE283,HN!AI283)))</f>
        <v>0</v>
      </c>
      <c r="B283">
        <f>SUMPRODUCT((MONTH(CHOOSE({1,2,3,4},HN!T283,HN!X283,HN!AB283,HN!AF283))=2)*(CHOOSE({1,2,3,4},HN!W283,HN!AA283,HN!AE283,HN!AI283)))</f>
        <v>0</v>
      </c>
      <c r="C283">
        <f>SUMPRODUCT((MONTH(CHOOSE({1,2,3,4},HN!T283,HN!X283,HN!AB283,HN!AF283))=3)*(CHOOSE({1,2,3,4},HN!W283,HN!AA283,HN!AE283,HN!AI283)))</f>
        <v>0</v>
      </c>
      <c r="D283">
        <f>SUMPRODUCT((MONTH(CHOOSE({1,2,3,4},HN!T283,HN!X283,HN!AB283,HN!AF283))=4)*(CHOOSE({1,2,3,4},HN!W283,HN!AA283,HN!AE283,HN!AI283)))</f>
        <v>0</v>
      </c>
      <c r="E283">
        <f>SUMPRODUCT((MONTH(CHOOSE({1,2,3,4},HN!T283,HN!X283,HN!AB283,HN!AF283))=5)*(CHOOSE({1,2,3,4},HN!W283,HN!AA283,HN!AE283,HN!AI283)))</f>
        <v>0</v>
      </c>
      <c r="F283">
        <f>SUMPRODUCT((MONTH(CHOOSE({1,2,3,4},HN!T283,HN!X283,HN!AB283,HN!AF283))=6)*(CHOOSE({1,2,3,4},HN!W283,HN!AA283,HN!AE283,HN!AI283)))</f>
        <v>0</v>
      </c>
      <c r="G283">
        <f>SUMPRODUCT((MONTH(CHOOSE({1,2,3,4},HN!T283,HN!X283,HN!AB283,HN!AF283))=7)*(CHOOSE({1,2,3,4},HN!W283,HN!AA283,HN!AE283,HN!AI283)))</f>
        <v>0</v>
      </c>
      <c r="H283">
        <f>SUMPRODUCT((MONTH(CHOOSE({1,2,3,4},HN!T283,HN!X283,HN!AB283,HN!AF283))=8)*(CHOOSE({1,2,3,4},HN!W283,HN!AA283,HN!AE283,HN!AI283)))</f>
        <v>0</v>
      </c>
      <c r="I283">
        <f>SUMPRODUCT((MONTH(CHOOSE({1,2,3,4},HN!T283,HN!X283,HN!AB283,HN!AF283))=9)*(CHOOSE({1,2,3,4},HN!W283,HN!AA283,HN!AE283,HN!AI283)))</f>
        <v>0</v>
      </c>
      <c r="J283">
        <f>SUMPRODUCT((MONTH(CHOOSE({1,2,3,4},HN!T283,HN!X283,HN!AB283,HN!AF283))=10)*(CHOOSE({1,2,3,4},HN!W283,HN!AA283,HN!AE283,HN!AI283)))</f>
        <v>0</v>
      </c>
      <c r="K283">
        <f>SUMPRODUCT((MONTH(CHOOSE({1,2,3,4},HN!T283,HN!X283,HN!AB283,HN!AF283))=11)*(CHOOSE({1,2,3,4},HN!W283,HN!AA283,HN!AE283,HN!AI283)))</f>
        <v>0</v>
      </c>
      <c r="L283">
        <f>SUMPRODUCT((MONTH(CHOOSE({1,2,3,4},HN!T283,HN!X283,HN!AB283,HN!AF283))=12)*(CHOOSE({1,2,3,4},HN!W283,HN!AA283,HN!AE283,HN!AI283)))</f>
        <v>0</v>
      </c>
    </row>
    <row r="284" spans="1:12">
      <c r="A284">
        <f>SUMPRODUCT((MONTH(CHOOSE({1,2,3,4},HN!T284,HN!X284,HN!AB284,HN!AF284))=1)*(CHOOSE({1,2,3,4},HN!W284,HN!AA284,HN!AE284,HN!AI284)))</f>
        <v>0</v>
      </c>
      <c r="B284">
        <f>SUMPRODUCT((MONTH(CHOOSE({1,2,3,4},HN!T284,HN!X284,HN!AB284,HN!AF284))=2)*(CHOOSE({1,2,3,4},HN!W284,HN!AA284,HN!AE284,HN!AI284)))</f>
        <v>0</v>
      </c>
      <c r="C284">
        <f>SUMPRODUCT((MONTH(CHOOSE({1,2,3,4},HN!T284,HN!X284,HN!AB284,HN!AF284))=3)*(CHOOSE({1,2,3,4},HN!W284,HN!AA284,HN!AE284,HN!AI284)))</f>
        <v>0</v>
      </c>
      <c r="D284">
        <f>SUMPRODUCT((MONTH(CHOOSE({1,2,3,4},HN!T284,HN!X284,HN!AB284,HN!AF284))=4)*(CHOOSE({1,2,3,4},HN!W284,HN!AA284,HN!AE284,HN!AI284)))</f>
        <v>0</v>
      </c>
      <c r="E284">
        <f>SUMPRODUCT((MONTH(CHOOSE({1,2,3,4},HN!T284,HN!X284,HN!AB284,HN!AF284))=5)*(CHOOSE({1,2,3,4},HN!W284,HN!AA284,HN!AE284,HN!AI284)))</f>
        <v>0</v>
      </c>
      <c r="F284">
        <f>SUMPRODUCT((MONTH(CHOOSE({1,2,3,4},HN!T284,HN!X284,HN!AB284,HN!AF284))=6)*(CHOOSE({1,2,3,4},HN!W284,HN!AA284,HN!AE284,HN!AI284)))</f>
        <v>0</v>
      </c>
      <c r="G284">
        <f>SUMPRODUCT((MONTH(CHOOSE({1,2,3,4},HN!T284,HN!X284,HN!AB284,HN!AF284))=7)*(CHOOSE({1,2,3,4},HN!W284,HN!AA284,HN!AE284,HN!AI284)))</f>
        <v>0</v>
      </c>
      <c r="H284">
        <f>SUMPRODUCT((MONTH(CHOOSE({1,2,3,4},HN!T284,HN!X284,HN!AB284,HN!AF284))=8)*(CHOOSE({1,2,3,4},HN!W284,HN!AA284,HN!AE284,HN!AI284)))</f>
        <v>0</v>
      </c>
      <c r="I284">
        <f>SUMPRODUCT((MONTH(CHOOSE({1,2,3,4},HN!T284,HN!X284,HN!AB284,HN!AF284))=9)*(CHOOSE({1,2,3,4},HN!W284,HN!AA284,HN!AE284,HN!AI284)))</f>
        <v>0</v>
      </c>
      <c r="J284">
        <f>SUMPRODUCT((MONTH(CHOOSE({1,2,3,4},HN!T284,HN!X284,HN!AB284,HN!AF284))=10)*(CHOOSE({1,2,3,4},HN!W284,HN!AA284,HN!AE284,HN!AI284)))</f>
        <v>0</v>
      </c>
      <c r="K284">
        <f>SUMPRODUCT((MONTH(CHOOSE({1,2,3,4},HN!T284,HN!X284,HN!AB284,HN!AF284))=11)*(CHOOSE({1,2,3,4},HN!W284,HN!AA284,HN!AE284,HN!AI284)))</f>
        <v>0</v>
      </c>
      <c r="L284">
        <f>SUMPRODUCT((MONTH(CHOOSE({1,2,3,4},HN!T284,HN!X284,HN!AB284,HN!AF284))=12)*(CHOOSE({1,2,3,4},HN!W284,HN!AA284,HN!AE284,HN!AI284)))</f>
        <v>0</v>
      </c>
    </row>
    <row r="285" spans="1:12">
      <c r="A285">
        <f>SUMPRODUCT((MONTH(CHOOSE({1,2,3,4},HN!T285,HN!X285,HN!AB285,HN!AF285))=1)*(CHOOSE({1,2,3,4},HN!W285,HN!AA285,HN!AE285,HN!AI285)))</f>
        <v>0</v>
      </c>
      <c r="B285">
        <f>SUMPRODUCT((MONTH(CHOOSE({1,2,3,4},HN!T285,HN!X285,HN!AB285,HN!AF285))=2)*(CHOOSE({1,2,3,4},HN!W285,HN!AA285,HN!AE285,HN!AI285)))</f>
        <v>0</v>
      </c>
      <c r="C285">
        <f>SUMPRODUCT((MONTH(CHOOSE({1,2,3,4},HN!T285,HN!X285,HN!AB285,HN!AF285))=3)*(CHOOSE({1,2,3,4},HN!W285,HN!AA285,HN!AE285,HN!AI285)))</f>
        <v>0</v>
      </c>
      <c r="D285">
        <f>SUMPRODUCT((MONTH(CHOOSE({1,2,3,4},HN!T285,HN!X285,HN!AB285,HN!AF285))=4)*(CHOOSE({1,2,3,4},HN!W285,HN!AA285,HN!AE285,HN!AI285)))</f>
        <v>0</v>
      </c>
      <c r="E285">
        <f>SUMPRODUCT((MONTH(CHOOSE({1,2,3,4},HN!T285,HN!X285,HN!AB285,HN!AF285))=5)*(CHOOSE({1,2,3,4},HN!W285,HN!AA285,HN!AE285,HN!AI285)))</f>
        <v>0</v>
      </c>
      <c r="F285">
        <f>SUMPRODUCT((MONTH(CHOOSE({1,2,3,4},HN!T285,HN!X285,HN!AB285,HN!AF285))=6)*(CHOOSE({1,2,3,4},HN!W285,HN!AA285,HN!AE285,HN!AI285)))</f>
        <v>0</v>
      </c>
      <c r="G285">
        <f>SUMPRODUCT((MONTH(CHOOSE({1,2,3,4},HN!T285,HN!X285,HN!AB285,HN!AF285))=7)*(CHOOSE({1,2,3,4},HN!W285,HN!AA285,HN!AE285,HN!AI285)))</f>
        <v>0</v>
      </c>
      <c r="H285">
        <f>SUMPRODUCT((MONTH(CHOOSE({1,2,3,4},HN!T285,HN!X285,HN!AB285,HN!AF285))=8)*(CHOOSE({1,2,3,4},HN!W285,HN!AA285,HN!AE285,HN!AI285)))</f>
        <v>0</v>
      </c>
      <c r="I285">
        <f>SUMPRODUCT((MONTH(CHOOSE({1,2,3,4},HN!T285,HN!X285,HN!AB285,HN!AF285))=9)*(CHOOSE({1,2,3,4},HN!W285,HN!AA285,HN!AE285,HN!AI285)))</f>
        <v>0</v>
      </c>
      <c r="J285">
        <f>SUMPRODUCT((MONTH(CHOOSE({1,2,3,4},HN!T285,HN!X285,HN!AB285,HN!AF285))=10)*(CHOOSE({1,2,3,4},HN!W285,HN!AA285,HN!AE285,HN!AI285)))</f>
        <v>0</v>
      </c>
      <c r="K285">
        <f>SUMPRODUCT((MONTH(CHOOSE({1,2,3,4},HN!T285,HN!X285,HN!AB285,HN!AF285))=11)*(CHOOSE({1,2,3,4},HN!W285,HN!AA285,HN!AE285,HN!AI285)))</f>
        <v>0</v>
      </c>
      <c r="L285">
        <f>SUMPRODUCT((MONTH(CHOOSE({1,2,3,4},HN!T285,HN!X285,HN!AB285,HN!AF285))=12)*(CHOOSE({1,2,3,4},HN!W285,HN!AA285,HN!AE285,HN!AI285)))</f>
        <v>0</v>
      </c>
    </row>
    <row r="286" spans="1:12">
      <c r="A286">
        <f>SUMPRODUCT((MONTH(CHOOSE({1,2,3,4},HN!T286,HN!X286,HN!AB286,HN!AF286))=1)*(CHOOSE({1,2,3,4},HN!W286,HN!AA286,HN!AE286,HN!AI286)))</f>
        <v>0</v>
      </c>
      <c r="B286">
        <f>SUMPRODUCT((MONTH(CHOOSE({1,2,3,4},HN!T286,HN!X286,HN!AB286,HN!AF286))=2)*(CHOOSE({1,2,3,4},HN!W286,HN!AA286,HN!AE286,HN!AI286)))</f>
        <v>0</v>
      </c>
      <c r="C286">
        <f>SUMPRODUCT((MONTH(CHOOSE({1,2,3,4},HN!T286,HN!X286,HN!AB286,HN!AF286))=3)*(CHOOSE({1,2,3,4},HN!W286,HN!AA286,HN!AE286,HN!AI286)))</f>
        <v>0</v>
      </c>
      <c r="D286">
        <f>SUMPRODUCT((MONTH(CHOOSE({1,2,3,4},HN!T286,HN!X286,HN!AB286,HN!AF286))=4)*(CHOOSE({1,2,3,4},HN!W286,HN!AA286,HN!AE286,HN!AI286)))</f>
        <v>0</v>
      </c>
      <c r="E286">
        <f>SUMPRODUCT((MONTH(CHOOSE({1,2,3,4},HN!T286,HN!X286,HN!AB286,HN!AF286))=5)*(CHOOSE({1,2,3,4},HN!W286,HN!AA286,HN!AE286,HN!AI286)))</f>
        <v>0</v>
      </c>
      <c r="F286">
        <f>SUMPRODUCT((MONTH(CHOOSE({1,2,3,4},HN!T286,HN!X286,HN!AB286,HN!AF286))=6)*(CHOOSE({1,2,3,4},HN!W286,HN!AA286,HN!AE286,HN!AI286)))</f>
        <v>0</v>
      </c>
      <c r="G286">
        <f>SUMPRODUCT((MONTH(CHOOSE({1,2,3,4},HN!T286,HN!X286,HN!AB286,HN!AF286))=7)*(CHOOSE({1,2,3,4},HN!W286,HN!AA286,HN!AE286,HN!AI286)))</f>
        <v>0</v>
      </c>
      <c r="H286">
        <f>SUMPRODUCT((MONTH(CHOOSE({1,2,3,4},HN!T286,HN!X286,HN!AB286,HN!AF286))=8)*(CHOOSE({1,2,3,4},HN!W286,HN!AA286,HN!AE286,HN!AI286)))</f>
        <v>0</v>
      </c>
      <c r="I286">
        <f>SUMPRODUCT((MONTH(CHOOSE({1,2,3,4},HN!T286,HN!X286,HN!AB286,HN!AF286))=9)*(CHOOSE({1,2,3,4},HN!W286,HN!AA286,HN!AE286,HN!AI286)))</f>
        <v>0</v>
      </c>
      <c r="J286">
        <f>SUMPRODUCT((MONTH(CHOOSE({1,2,3,4},HN!T286,HN!X286,HN!AB286,HN!AF286))=10)*(CHOOSE({1,2,3,4},HN!W286,HN!AA286,HN!AE286,HN!AI286)))</f>
        <v>0</v>
      </c>
      <c r="K286">
        <f>SUMPRODUCT((MONTH(CHOOSE({1,2,3,4},HN!T286,HN!X286,HN!AB286,HN!AF286))=11)*(CHOOSE({1,2,3,4},HN!W286,HN!AA286,HN!AE286,HN!AI286)))</f>
        <v>0</v>
      </c>
      <c r="L286">
        <f>SUMPRODUCT((MONTH(CHOOSE({1,2,3,4},HN!T286,HN!X286,HN!AB286,HN!AF286))=12)*(CHOOSE({1,2,3,4},HN!W286,HN!AA286,HN!AE286,HN!AI286)))</f>
        <v>0</v>
      </c>
    </row>
    <row r="287" spans="1:12">
      <c r="A287">
        <f>SUMPRODUCT((MONTH(CHOOSE({1,2,3,4},HN!T287,HN!X287,HN!AB287,HN!AF287))=1)*(CHOOSE({1,2,3,4},HN!W287,HN!AA287,HN!AE287,HN!AI287)))</f>
        <v>0</v>
      </c>
      <c r="B287">
        <f>SUMPRODUCT((MONTH(CHOOSE({1,2,3,4},HN!T287,HN!X287,HN!AB287,HN!AF287))=2)*(CHOOSE({1,2,3,4},HN!W287,HN!AA287,HN!AE287,HN!AI287)))</f>
        <v>0</v>
      </c>
      <c r="C287">
        <f>SUMPRODUCT((MONTH(CHOOSE({1,2,3,4},HN!T287,HN!X287,HN!AB287,HN!AF287))=3)*(CHOOSE({1,2,3,4},HN!W287,HN!AA287,HN!AE287,HN!AI287)))</f>
        <v>0</v>
      </c>
      <c r="D287">
        <f>SUMPRODUCT((MONTH(CHOOSE({1,2,3,4},HN!T287,HN!X287,HN!AB287,HN!AF287))=4)*(CHOOSE({1,2,3,4},HN!W287,HN!AA287,HN!AE287,HN!AI287)))</f>
        <v>0</v>
      </c>
      <c r="E287">
        <f>SUMPRODUCT((MONTH(CHOOSE({1,2,3,4},HN!T287,HN!X287,HN!AB287,HN!AF287))=5)*(CHOOSE({1,2,3,4},HN!W287,HN!AA287,HN!AE287,HN!AI287)))</f>
        <v>0</v>
      </c>
      <c r="F287">
        <f>SUMPRODUCT((MONTH(CHOOSE({1,2,3,4},HN!T287,HN!X287,HN!AB287,HN!AF287))=6)*(CHOOSE({1,2,3,4},HN!W287,HN!AA287,HN!AE287,HN!AI287)))</f>
        <v>0</v>
      </c>
      <c r="G287">
        <f>SUMPRODUCT((MONTH(CHOOSE({1,2,3,4},HN!T287,HN!X287,HN!AB287,HN!AF287))=7)*(CHOOSE({1,2,3,4},HN!W287,HN!AA287,HN!AE287,HN!AI287)))</f>
        <v>0</v>
      </c>
      <c r="H287">
        <f>SUMPRODUCT((MONTH(CHOOSE({1,2,3,4},HN!T287,HN!X287,HN!AB287,HN!AF287))=8)*(CHOOSE({1,2,3,4},HN!W287,HN!AA287,HN!AE287,HN!AI287)))</f>
        <v>0</v>
      </c>
      <c r="I287">
        <f>SUMPRODUCT((MONTH(CHOOSE({1,2,3,4},HN!T287,HN!X287,HN!AB287,HN!AF287))=9)*(CHOOSE({1,2,3,4},HN!W287,HN!AA287,HN!AE287,HN!AI287)))</f>
        <v>0</v>
      </c>
      <c r="J287">
        <f>SUMPRODUCT((MONTH(CHOOSE({1,2,3,4},HN!T287,HN!X287,HN!AB287,HN!AF287))=10)*(CHOOSE({1,2,3,4},HN!W287,HN!AA287,HN!AE287,HN!AI287)))</f>
        <v>0</v>
      </c>
      <c r="K287">
        <f>SUMPRODUCT((MONTH(CHOOSE({1,2,3,4},HN!T287,HN!X287,HN!AB287,HN!AF287))=11)*(CHOOSE({1,2,3,4},HN!W287,HN!AA287,HN!AE287,HN!AI287)))</f>
        <v>0</v>
      </c>
      <c r="L287">
        <f>SUMPRODUCT((MONTH(CHOOSE({1,2,3,4},HN!T287,HN!X287,HN!AB287,HN!AF287))=12)*(CHOOSE({1,2,3,4},HN!W287,HN!AA287,HN!AE287,HN!AI287)))</f>
        <v>0</v>
      </c>
    </row>
    <row r="288" spans="1:12">
      <c r="A288">
        <f>SUMPRODUCT((MONTH(CHOOSE({1,2,3,4},HN!T288,HN!X288,HN!AB288,HN!AF288))=1)*(CHOOSE({1,2,3,4},HN!W288,HN!AA288,HN!AE288,HN!AI288)))</f>
        <v>0</v>
      </c>
      <c r="B288">
        <f>SUMPRODUCT((MONTH(CHOOSE({1,2,3,4},HN!T288,HN!X288,HN!AB288,HN!AF288))=2)*(CHOOSE({1,2,3,4},HN!W288,HN!AA288,HN!AE288,HN!AI288)))</f>
        <v>0</v>
      </c>
      <c r="C288">
        <f>SUMPRODUCT((MONTH(CHOOSE({1,2,3,4},HN!T288,HN!X288,HN!AB288,HN!AF288))=3)*(CHOOSE({1,2,3,4},HN!W288,HN!AA288,HN!AE288,HN!AI288)))</f>
        <v>0</v>
      </c>
      <c r="D288">
        <f>SUMPRODUCT((MONTH(CHOOSE({1,2,3,4},HN!T288,HN!X288,HN!AB288,HN!AF288))=4)*(CHOOSE({1,2,3,4},HN!W288,HN!AA288,HN!AE288,HN!AI288)))</f>
        <v>0</v>
      </c>
      <c r="E288">
        <f>SUMPRODUCT((MONTH(CHOOSE({1,2,3,4},HN!T288,HN!X288,HN!AB288,HN!AF288))=5)*(CHOOSE({1,2,3,4},HN!W288,HN!AA288,HN!AE288,HN!AI288)))</f>
        <v>0</v>
      </c>
      <c r="F288">
        <f>SUMPRODUCT((MONTH(CHOOSE({1,2,3,4},HN!T288,HN!X288,HN!AB288,HN!AF288))=6)*(CHOOSE({1,2,3,4},HN!W288,HN!AA288,HN!AE288,HN!AI288)))</f>
        <v>0</v>
      </c>
      <c r="G288">
        <f>SUMPRODUCT((MONTH(CHOOSE({1,2,3,4},HN!T288,HN!X288,HN!AB288,HN!AF288))=7)*(CHOOSE({1,2,3,4},HN!W288,HN!AA288,HN!AE288,HN!AI288)))</f>
        <v>0</v>
      </c>
      <c r="H288">
        <f>SUMPRODUCT((MONTH(CHOOSE({1,2,3,4},HN!T288,HN!X288,HN!AB288,HN!AF288))=8)*(CHOOSE({1,2,3,4},HN!W288,HN!AA288,HN!AE288,HN!AI288)))</f>
        <v>0</v>
      </c>
      <c r="I288">
        <f>SUMPRODUCT((MONTH(CHOOSE({1,2,3,4},HN!T288,HN!X288,HN!AB288,HN!AF288))=9)*(CHOOSE({1,2,3,4},HN!W288,HN!AA288,HN!AE288,HN!AI288)))</f>
        <v>0</v>
      </c>
      <c r="J288">
        <f>SUMPRODUCT((MONTH(CHOOSE({1,2,3,4},HN!T288,HN!X288,HN!AB288,HN!AF288))=10)*(CHOOSE({1,2,3,4},HN!W288,HN!AA288,HN!AE288,HN!AI288)))</f>
        <v>0</v>
      </c>
      <c r="K288">
        <f>SUMPRODUCT((MONTH(CHOOSE({1,2,3,4},HN!T288,HN!X288,HN!AB288,HN!AF288))=11)*(CHOOSE({1,2,3,4},HN!W288,HN!AA288,HN!AE288,HN!AI288)))</f>
        <v>0</v>
      </c>
      <c r="L288">
        <f>SUMPRODUCT((MONTH(CHOOSE({1,2,3,4},HN!T288,HN!X288,HN!AB288,HN!AF288))=12)*(CHOOSE({1,2,3,4},HN!W288,HN!AA288,HN!AE288,HN!AI288)))</f>
        <v>0</v>
      </c>
    </row>
    <row r="289" spans="1:12">
      <c r="A289">
        <f>SUMPRODUCT((MONTH(CHOOSE({1,2,3,4},HN!T289,HN!X289,HN!AB289,HN!AF289))=1)*(CHOOSE({1,2,3,4},HN!W289,HN!AA289,HN!AE289,HN!AI289)))</f>
        <v>0</v>
      </c>
      <c r="B289">
        <f>SUMPRODUCT((MONTH(CHOOSE({1,2,3,4},HN!T289,HN!X289,HN!AB289,HN!AF289))=2)*(CHOOSE({1,2,3,4},HN!W289,HN!AA289,HN!AE289,HN!AI289)))</f>
        <v>0</v>
      </c>
      <c r="C289">
        <f>SUMPRODUCT((MONTH(CHOOSE({1,2,3,4},HN!T289,HN!X289,HN!AB289,HN!AF289))=3)*(CHOOSE({1,2,3,4},HN!W289,HN!AA289,HN!AE289,HN!AI289)))</f>
        <v>0</v>
      </c>
      <c r="D289">
        <f>SUMPRODUCT((MONTH(CHOOSE({1,2,3,4},HN!T289,HN!X289,HN!AB289,HN!AF289))=4)*(CHOOSE({1,2,3,4},HN!W289,HN!AA289,HN!AE289,HN!AI289)))</f>
        <v>0</v>
      </c>
      <c r="E289">
        <f>SUMPRODUCT((MONTH(CHOOSE({1,2,3,4},HN!T289,HN!X289,HN!AB289,HN!AF289))=5)*(CHOOSE({1,2,3,4},HN!W289,HN!AA289,HN!AE289,HN!AI289)))</f>
        <v>0</v>
      </c>
      <c r="F289">
        <f>SUMPRODUCT((MONTH(CHOOSE({1,2,3,4},HN!T289,HN!X289,HN!AB289,HN!AF289))=6)*(CHOOSE({1,2,3,4},HN!W289,HN!AA289,HN!AE289,HN!AI289)))</f>
        <v>0</v>
      </c>
      <c r="G289">
        <f>SUMPRODUCT((MONTH(CHOOSE({1,2,3,4},HN!T289,HN!X289,HN!AB289,HN!AF289))=7)*(CHOOSE({1,2,3,4},HN!W289,HN!AA289,HN!AE289,HN!AI289)))</f>
        <v>0</v>
      </c>
      <c r="H289">
        <f>SUMPRODUCT((MONTH(CHOOSE({1,2,3,4},HN!T289,HN!X289,HN!AB289,HN!AF289))=8)*(CHOOSE({1,2,3,4},HN!W289,HN!AA289,HN!AE289,HN!AI289)))</f>
        <v>0</v>
      </c>
      <c r="I289">
        <f>SUMPRODUCT((MONTH(CHOOSE({1,2,3,4},HN!T289,HN!X289,HN!AB289,HN!AF289))=9)*(CHOOSE({1,2,3,4},HN!W289,HN!AA289,HN!AE289,HN!AI289)))</f>
        <v>0</v>
      </c>
      <c r="J289">
        <f>SUMPRODUCT((MONTH(CHOOSE({1,2,3,4},HN!T289,HN!X289,HN!AB289,HN!AF289))=10)*(CHOOSE({1,2,3,4},HN!W289,HN!AA289,HN!AE289,HN!AI289)))</f>
        <v>0</v>
      </c>
      <c r="K289">
        <f>SUMPRODUCT((MONTH(CHOOSE({1,2,3,4},HN!T289,HN!X289,HN!AB289,HN!AF289))=11)*(CHOOSE({1,2,3,4},HN!W289,HN!AA289,HN!AE289,HN!AI289)))</f>
        <v>0</v>
      </c>
      <c r="L289">
        <f>SUMPRODUCT((MONTH(CHOOSE({1,2,3,4},HN!T289,HN!X289,HN!AB289,HN!AF289))=12)*(CHOOSE({1,2,3,4},HN!W289,HN!AA289,HN!AE289,HN!AI289)))</f>
        <v>0</v>
      </c>
    </row>
    <row r="290" spans="1:12">
      <c r="A290">
        <f>SUMPRODUCT((MONTH(CHOOSE({1,2,3,4},HN!T290,HN!X290,HN!AB290,HN!AF290))=1)*(CHOOSE({1,2,3,4},HN!W290,HN!AA290,HN!AE290,HN!AI290)))</f>
        <v>0</v>
      </c>
      <c r="B290">
        <f>SUMPRODUCT((MONTH(CHOOSE({1,2,3,4},HN!T290,HN!X290,HN!AB290,HN!AF290))=2)*(CHOOSE({1,2,3,4},HN!W290,HN!AA290,HN!AE290,HN!AI290)))</f>
        <v>0</v>
      </c>
      <c r="C290">
        <f>SUMPRODUCT((MONTH(CHOOSE({1,2,3,4},HN!T290,HN!X290,HN!AB290,HN!AF290))=3)*(CHOOSE({1,2,3,4},HN!W290,HN!AA290,HN!AE290,HN!AI290)))</f>
        <v>0</v>
      </c>
      <c r="D290">
        <f>SUMPRODUCT((MONTH(CHOOSE({1,2,3,4},HN!T290,HN!X290,HN!AB290,HN!AF290))=4)*(CHOOSE({1,2,3,4},HN!W290,HN!AA290,HN!AE290,HN!AI290)))</f>
        <v>0</v>
      </c>
      <c r="E290">
        <f>SUMPRODUCT((MONTH(CHOOSE({1,2,3,4},HN!T290,HN!X290,HN!AB290,HN!AF290))=5)*(CHOOSE({1,2,3,4},HN!W290,HN!AA290,HN!AE290,HN!AI290)))</f>
        <v>0</v>
      </c>
      <c r="F290">
        <f>SUMPRODUCT((MONTH(CHOOSE({1,2,3,4},HN!T290,HN!X290,HN!AB290,HN!AF290))=6)*(CHOOSE({1,2,3,4},HN!W290,HN!AA290,HN!AE290,HN!AI290)))</f>
        <v>0</v>
      </c>
      <c r="G290">
        <f>SUMPRODUCT((MONTH(CHOOSE({1,2,3,4},HN!T290,HN!X290,HN!AB290,HN!AF290))=7)*(CHOOSE({1,2,3,4},HN!W290,HN!AA290,HN!AE290,HN!AI290)))</f>
        <v>0</v>
      </c>
      <c r="H290">
        <f>SUMPRODUCT((MONTH(CHOOSE({1,2,3,4},HN!T290,HN!X290,HN!AB290,HN!AF290))=8)*(CHOOSE({1,2,3,4},HN!W290,HN!AA290,HN!AE290,HN!AI290)))</f>
        <v>0</v>
      </c>
      <c r="I290">
        <f>SUMPRODUCT((MONTH(CHOOSE({1,2,3,4},HN!T290,HN!X290,HN!AB290,HN!AF290))=9)*(CHOOSE({1,2,3,4},HN!W290,HN!AA290,HN!AE290,HN!AI290)))</f>
        <v>0</v>
      </c>
      <c r="J290">
        <f>SUMPRODUCT((MONTH(CHOOSE({1,2,3,4},HN!T290,HN!X290,HN!AB290,HN!AF290))=10)*(CHOOSE({1,2,3,4},HN!W290,HN!AA290,HN!AE290,HN!AI290)))</f>
        <v>0</v>
      </c>
      <c r="K290">
        <f>SUMPRODUCT((MONTH(CHOOSE({1,2,3,4},HN!T290,HN!X290,HN!AB290,HN!AF290))=11)*(CHOOSE({1,2,3,4},HN!W290,HN!AA290,HN!AE290,HN!AI290)))</f>
        <v>0</v>
      </c>
      <c r="L290">
        <f>SUMPRODUCT((MONTH(CHOOSE({1,2,3,4},HN!T290,HN!X290,HN!AB290,HN!AF290))=12)*(CHOOSE({1,2,3,4},HN!W290,HN!AA290,HN!AE290,HN!AI290)))</f>
        <v>0</v>
      </c>
    </row>
    <row r="291" spans="1:12">
      <c r="A291">
        <f>SUMPRODUCT((MONTH(CHOOSE({1,2,3,4},HN!T291,HN!X291,HN!AB291,HN!AF291))=1)*(CHOOSE({1,2,3,4},HN!W291,HN!AA291,HN!AE291,HN!AI291)))</f>
        <v>0</v>
      </c>
      <c r="B291">
        <f>SUMPRODUCT((MONTH(CHOOSE({1,2,3,4},HN!T291,HN!X291,HN!AB291,HN!AF291))=2)*(CHOOSE({1,2,3,4},HN!W291,HN!AA291,HN!AE291,HN!AI291)))</f>
        <v>0</v>
      </c>
      <c r="C291">
        <f>SUMPRODUCT((MONTH(CHOOSE({1,2,3,4},HN!T291,HN!X291,HN!AB291,HN!AF291))=3)*(CHOOSE({1,2,3,4},HN!W291,HN!AA291,HN!AE291,HN!AI291)))</f>
        <v>0</v>
      </c>
      <c r="D291">
        <f>SUMPRODUCT((MONTH(CHOOSE({1,2,3,4},HN!T291,HN!X291,HN!AB291,HN!AF291))=4)*(CHOOSE({1,2,3,4},HN!W291,HN!AA291,HN!AE291,HN!AI291)))</f>
        <v>0</v>
      </c>
      <c r="E291">
        <f>SUMPRODUCT((MONTH(CHOOSE({1,2,3,4},HN!T291,HN!X291,HN!AB291,HN!AF291))=5)*(CHOOSE({1,2,3,4},HN!W291,HN!AA291,HN!AE291,HN!AI291)))</f>
        <v>0</v>
      </c>
      <c r="F291">
        <f>SUMPRODUCT((MONTH(CHOOSE({1,2,3,4},HN!T291,HN!X291,HN!AB291,HN!AF291))=6)*(CHOOSE({1,2,3,4},HN!W291,HN!AA291,HN!AE291,HN!AI291)))</f>
        <v>0</v>
      </c>
      <c r="G291">
        <f>SUMPRODUCT((MONTH(CHOOSE({1,2,3,4},HN!T291,HN!X291,HN!AB291,HN!AF291))=7)*(CHOOSE({1,2,3,4},HN!W291,HN!AA291,HN!AE291,HN!AI291)))</f>
        <v>0</v>
      </c>
      <c r="H291">
        <f>SUMPRODUCT((MONTH(CHOOSE({1,2,3,4},HN!T291,HN!X291,HN!AB291,HN!AF291))=8)*(CHOOSE({1,2,3,4},HN!W291,HN!AA291,HN!AE291,HN!AI291)))</f>
        <v>0</v>
      </c>
      <c r="I291">
        <f>SUMPRODUCT((MONTH(CHOOSE({1,2,3,4},HN!T291,HN!X291,HN!AB291,HN!AF291))=9)*(CHOOSE({1,2,3,4},HN!W291,HN!AA291,HN!AE291,HN!AI291)))</f>
        <v>0</v>
      </c>
      <c r="J291">
        <f>SUMPRODUCT((MONTH(CHOOSE({1,2,3,4},HN!T291,HN!X291,HN!AB291,HN!AF291))=10)*(CHOOSE({1,2,3,4},HN!W291,HN!AA291,HN!AE291,HN!AI291)))</f>
        <v>0</v>
      </c>
      <c r="K291">
        <f>SUMPRODUCT((MONTH(CHOOSE({1,2,3,4},HN!T291,HN!X291,HN!AB291,HN!AF291))=11)*(CHOOSE({1,2,3,4},HN!W291,HN!AA291,HN!AE291,HN!AI291)))</f>
        <v>0</v>
      </c>
      <c r="L291">
        <f>SUMPRODUCT((MONTH(CHOOSE({1,2,3,4},HN!T291,HN!X291,HN!AB291,HN!AF291))=12)*(CHOOSE({1,2,3,4},HN!W291,HN!AA291,HN!AE291,HN!AI291)))</f>
        <v>0</v>
      </c>
    </row>
    <row r="292" spans="1:12">
      <c r="A292">
        <f>SUMPRODUCT((MONTH(CHOOSE({1,2,3,4},HN!T292,HN!X292,HN!AB292,HN!AF292))=1)*(CHOOSE({1,2,3,4},HN!W292,HN!AA292,HN!AE292,HN!AI292)))</f>
        <v>0</v>
      </c>
      <c r="B292">
        <f>SUMPRODUCT((MONTH(CHOOSE({1,2,3,4},HN!T292,HN!X292,HN!AB292,HN!AF292))=2)*(CHOOSE({1,2,3,4},HN!W292,HN!AA292,HN!AE292,HN!AI292)))</f>
        <v>0</v>
      </c>
      <c r="C292">
        <f>SUMPRODUCT((MONTH(CHOOSE({1,2,3,4},HN!T292,HN!X292,HN!AB292,HN!AF292))=3)*(CHOOSE({1,2,3,4},HN!W292,HN!AA292,HN!AE292,HN!AI292)))</f>
        <v>0</v>
      </c>
      <c r="D292">
        <f>SUMPRODUCT((MONTH(CHOOSE({1,2,3,4},HN!T292,HN!X292,HN!AB292,HN!AF292))=4)*(CHOOSE({1,2,3,4},HN!W292,HN!AA292,HN!AE292,HN!AI292)))</f>
        <v>0</v>
      </c>
      <c r="E292">
        <f>SUMPRODUCT((MONTH(CHOOSE({1,2,3,4},HN!T292,HN!X292,HN!AB292,HN!AF292))=5)*(CHOOSE({1,2,3,4},HN!W292,HN!AA292,HN!AE292,HN!AI292)))</f>
        <v>0</v>
      </c>
      <c r="F292">
        <f>SUMPRODUCT((MONTH(CHOOSE({1,2,3,4},HN!T292,HN!X292,HN!AB292,HN!AF292))=6)*(CHOOSE({1,2,3,4},HN!W292,HN!AA292,HN!AE292,HN!AI292)))</f>
        <v>0</v>
      </c>
      <c r="G292">
        <f>SUMPRODUCT((MONTH(CHOOSE({1,2,3,4},HN!T292,HN!X292,HN!AB292,HN!AF292))=7)*(CHOOSE({1,2,3,4},HN!W292,HN!AA292,HN!AE292,HN!AI292)))</f>
        <v>0</v>
      </c>
      <c r="H292">
        <f>SUMPRODUCT((MONTH(CHOOSE({1,2,3,4},HN!T292,HN!X292,HN!AB292,HN!AF292))=8)*(CHOOSE({1,2,3,4},HN!W292,HN!AA292,HN!AE292,HN!AI292)))</f>
        <v>0</v>
      </c>
      <c r="I292">
        <f>SUMPRODUCT((MONTH(CHOOSE({1,2,3,4},HN!T292,HN!X292,HN!AB292,HN!AF292))=9)*(CHOOSE({1,2,3,4},HN!W292,HN!AA292,HN!AE292,HN!AI292)))</f>
        <v>0</v>
      </c>
      <c r="J292">
        <f>SUMPRODUCT((MONTH(CHOOSE({1,2,3,4},HN!T292,HN!X292,HN!AB292,HN!AF292))=10)*(CHOOSE({1,2,3,4},HN!W292,HN!AA292,HN!AE292,HN!AI292)))</f>
        <v>0</v>
      </c>
      <c r="K292">
        <f>SUMPRODUCT((MONTH(CHOOSE({1,2,3,4},HN!T292,HN!X292,HN!AB292,HN!AF292))=11)*(CHOOSE({1,2,3,4},HN!W292,HN!AA292,HN!AE292,HN!AI292)))</f>
        <v>0</v>
      </c>
      <c r="L292">
        <f>SUMPRODUCT((MONTH(CHOOSE({1,2,3,4},HN!T292,HN!X292,HN!AB292,HN!AF292))=12)*(CHOOSE({1,2,3,4},HN!W292,HN!AA292,HN!AE292,HN!AI292)))</f>
        <v>0</v>
      </c>
    </row>
    <row r="293" spans="1:12">
      <c r="A293">
        <f>SUMPRODUCT((MONTH(CHOOSE({1,2,3,4},HN!T293,HN!X293,HN!AB293,HN!AF293))=1)*(CHOOSE({1,2,3,4},HN!W293,HN!AA293,HN!AE293,HN!AI293)))</f>
        <v>0</v>
      </c>
      <c r="B293">
        <f>SUMPRODUCT((MONTH(CHOOSE({1,2,3,4},HN!T293,HN!X293,HN!AB293,HN!AF293))=2)*(CHOOSE({1,2,3,4},HN!W293,HN!AA293,HN!AE293,HN!AI293)))</f>
        <v>0</v>
      </c>
      <c r="C293">
        <f>SUMPRODUCT((MONTH(CHOOSE({1,2,3,4},HN!T293,HN!X293,HN!AB293,HN!AF293))=3)*(CHOOSE({1,2,3,4},HN!W293,HN!AA293,HN!AE293,HN!AI293)))</f>
        <v>0</v>
      </c>
      <c r="D293">
        <f>SUMPRODUCT((MONTH(CHOOSE({1,2,3,4},HN!T293,HN!X293,HN!AB293,HN!AF293))=4)*(CHOOSE({1,2,3,4},HN!W293,HN!AA293,HN!AE293,HN!AI293)))</f>
        <v>0</v>
      </c>
      <c r="E293">
        <f>SUMPRODUCT((MONTH(CHOOSE({1,2,3,4},HN!T293,HN!X293,HN!AB293,HN!AF293))=5)*(CHOOSE({1,2,3,4},HN!W293,HN!AA293,HN!AE293,HN!AI293)))</f>
        <v>0</v>
      </c>
      <c r="F293">
        <f>SUMPRODUCT((MONTH(CHOOSE({1,2,3,4},HN!T293,HN!X293,HN!AB293,HN!AF293))=6)*(CHOOSE({1,2,3,4},HN!W293,HN!AA293,HN!AE293,HN!AI293)))</f>
        <v>0</v>
      </c>
      <c r="G293">
        <f>SUMPRODUCT((MONTH(CHOOSE({1,2,3,4},HN!T293,HN!X293,HN!AB293,HN!AF293))=7)*(CHOOSE({1,2,3,4},HN!W293,HN!AA293,HN!AE293,HN!AI293)))</f>
        <v>0</v>
      </c>
      <c r="H293">
        <f>SUMPRODUCT((MONTH(CHOOSE({1,2,3,4},HN!T293,HN!X293,HN!AB293,HN!AF293))=8)*(CHOOSE({1,2,3,4},HN!W293,HN!AA293,HN!AE293,HN!AI293)))</f>
        <v>0</v>
      </c>
      <c r="I293">
        <f>SUMPRODUCT((MONTH(CHOOSE({1,2,3,4},HN!T293,HN!X293,HN!AB293,HN!AF293))=9)*(CHOOSE({1,2,3,4},HN!W293,HN!AA293,HN!AE293,HN!AI293)))</f>
        <v>0</v>
      </c>
      <c r="J293">
        <f>SUMPRODUCT((MONTH(CHOOSE({1,2,3,4},HN!T293,HN!X293,HN!AB293,HN!AF293))=10)*(CHOOSE({1,2,3,4},HN!W293,HN!AA293,HN!AE293,HN!AI293)))</f>
        <v>0</v>
      </c>
      <c r="K293">
        <f>SUMPRODUCT((MONTH(CHOOSE({1,2,3,4},HN!T293,HN!X293,HN!AB293,HN!AF293))=11)*(CHOOSE({1,2,3,4},HN!W293,HN!AA293,HN!AE293,HN!AI293)))</f>
        <v>0</v>
      </c>
      <c r="L293">
        <f>SUMPRODUCT((MONTH(CHOOSE({1,2,3,4},HN!T293,HN!X293,HN!AB293,HN!AF293))=12)*(CHOOSE({1,2,3,4},HN!W293,HN!AA293,HN!AE293,HN!AI293)))</f>
        <v>0</v>
      </c>
    </row>
    <row r="294" spans="1:12">
      <c r="A294">
        <f>SUMPRODUCT((MONTH(CHOOSE({1,2,3,4},HN!T294,HN!X294,HN!AB294,HN!AF294))=1)*(CHOOSE({1,2,3,4},HN!W294,HN!AA294,HN!AE294,HN!AI294)))</f>
        <v>0</v>
      </c>
      <c r="B294">
        <f>SUMPRODUCT((MONTH(CHOOSE({1,2,3,4},HN!T294,HN!X294,HN!AB294,HN!AF294))=2)*(CHOOSE({1,2,3,4},HN!W294,HN!AA294,HN!AE294,HN!AI294)))</f>
        <v>0</v>
      </c>
      <c r="C294">
        <f>SUMPRODUCT((MONTH(CHOOSE({1,2,3,4},HN!T294,HN!X294,HN!AB294,HN!AF294))=3)*(CHOOSE({1,2,3,4},HN!W294,HN!AA294,HN!AE294,HN!AI294)))</f>
        <v>0</v>
      </c>
      <c r="D294">
        <f>SUMPRODUCT((MONTH(CHOOSE({1,2,3,4},HN!T294,HN!X294,HN!AB294,HN!AF294))=4)*(CHOOSE({1,2,3,4},HN!W294,HN!AA294,HN!AE294,HN!AI294)))</f>
        <v>0</v>
      </c>
      <c r="E294">
        <f>SUMPRODUCT((MONTH(CHOOSE({1,2,3,4},HN!T294,HN!X294,HN!AB294,HN!AF294))=5)*(CHOOSE({1,2,3,4},HN!W294,HN!AA294,HN!AE294,HN!AI294)))</f>
        <v>0</v>
      </c>
      <c r="F294">
        <f>SUMPRODUCT((MONTH(CHOOSE({1,2,3,4},HN!T294,HN!X294,HN!AB294,HN!AF294))=6)*(CHOOSE({1,2,3,4},HN!W294,HN!AA294,HN!AE294,HN!AI294)))</f>
        <v>0</v>
      </c>
      <c r="G294">
        <f>SUMPRODUCT((MONTH(CHOOSE({1,2,3,4},HN!T294,HN!X294,HN!AB294,HN!AF294))=7)*(CHOOSE({1,2,3,4},HN!W294,HN!AA294,HN!AE294,HN!AI294)))</f>
        <v>0</v>
      </c>
      <c r="H294">
        <f>SUMPRODUCT((MONTH(CHOOSE({1,2,3,4},HN!T294,HN!X294,HN!AB294,HN!AF294))=8)*(CHOOSE({1,2,3,4},HN!W294,HN!AA294,HN!AE294,HN!AI294)))</f>
        <v>0</v>
      </c>
      <c r="I294">
        <f>SUMPRODUCT((MONTH(CHOOSE({1,2,3,4},HN!T294,HN!X294,HN!AB294,HN!AF294))=9)*(CHOOSE({1,2,3,4},HN!W294,HN!AA294,HN!AE294,HN!AI294)))</f>
        <v>0</v>
      </c>
      <c r="J294">
        <f>SUMPRODUCT((MONTH(CHOOSE({1,2,3,4},HN!T294,HN!X294,HN!AB294,HN!AF294))=10)*(CHOOSE({1,2,3,4},HN!W294,HN!AA294,HN!AE294,HN!AI294)))</f>
        <v>0</v>
      </c>
      <c r="K294">
        <f>SUMPRODUCT((MONTH(CHOOSE({1,2,3,4},HN!T294,HN!X294,HN!AB294,HN!AF294))=11)*(CHOOSE({1,2,3,4},HN!W294,HN!AA294,HN!AE294,HN!AI294)))</f>
        <v>0</v>
      </c>
      <c r="L294">
        <f>SUMPRODUCT((MONTH(CHOOSE({1,2,3,4},HN!T294,HN!X294,HN!AB294,HN!AF294))=12)*(CHOOSE({1,2,3,4},HN!W294,HN!AA294,HN!AE294,HN!AI294)))</f>
        <v>0</v>
      </c>
    </row>
    <row r="295" spans="1:12">
      <c r="A295">
        <f>SUMPRODUCT((MONTH(CHOOSE({1,2,3,4},HN!T295,HN!X295,HN!AB295,HN!AF295))=1)*(CHOOSE({1,2,3,4},HN!W295,HN!AA295,HN!AE295,HN!AI295)))</f>
        <v>0</v>
      </c>
      <c r="B295">
        <f>SUMPRODUCT((MONTH(CHOOSE({1,2,3,4},HN!T295,HN!X295,HN!AB295,HN!AF295))=2)*(CHOOSE({1,2,3,4},HN!W295,HN!AA295,HN!AE295,HN!AI295)))</f>
        <v>0</v>
      </c>
      <c r="C295">
        <f>SUMPRODUCT((MONTH(CHOOSE({1,2,3,4},HN!T295,HN!X295,HN!AB295,HN!AF295))=3)*(CHOOSE({1,2,3,4},HN!W295,HN!AA295,HN!AE295,HN!AI295)))</f>
        <v>0</v>
      </c>
      <c r="D295">
        <f>SUMPRODUCT((MONTH(CHOOSE({1,2,3,4},HN!T295,HN!X295,HN!AB295,HN!AF295))=4)*(CHOOSE({1,2,3,4},HN!W295,HN!AA295,HN!AE295,HN!AI295)))</f>
        <v>0</v>
      </c>
      <c r="E295">
        <f>SUMPRODUCT((MONTH(CHOOSE({1,2,3,4},HN!T295,HN!X295,HN!AB295,HN!AF295))=5)*(CHOOSE({1,2,3,4},HN!W295,HN!AA295,HN!AE295,HN!AI295)))</f>
        <v>0</v>
      </c>
      <c r="F295">
        <f>SUMPRODUCT((MONTH(CHOOSE({1,2,3,4},HN!T295,HN!X295,HN!AB295,HN!AF295))=6)*(CHOOSE({1,2,3,4},HN!W295,HN!AA295,HN!AE295,HN!AI295)))</f>
        <v>0</v>
      </c>
      <c r="G295">
        <f>SUMPRODUCT((MONTH(CHOOSE({1,2,3,4},HN!T295,HN!X295,HN!AB295,HN!AF295))=7)*(CHOOSE({1,2,3,4},HN!W295,HN!AA295,HN!AE295,HN!AI295)))</f>
        <v>0</v>
      </c>
      <c r="H295">
        <f>SUMPRODUCT((MONTH(CHOOSE({1,2,3,4},HN!T295,HN!X295,HN!AB295,HN!AF295))=8)*(CHOOSE({1,2,3,4},HN!W295,HN!AA295,HN!AE295,HN!AI295)))</f>
        <v>0</v>
      </c>
      <c r="I295">
        <f>SUMPRODUCT((MONTH(CHOOSE({1,2,3,4},HN!T295,HN!X295,HN!AB295,HN!AF295))=9)*(CHOOSE({1,2,3,4},HN!W295,HN!AA295,HN!AE295,HN!AI295)))</f>
        <v>0</v>
      </c>
      <c r="J295">
        <f>SUMPRODUCT((MONTH(CHOOSE({1,2,3,4},HN!T295,HN!X295,HN!AB295,HN!AF295))=10)*(CHOOSE({1,2,3,4},HN!W295,HN!AA295,HN!AE295,HN!AI295)))</f>
        <v>0</v>
      </c>
      <c r="K295">
        <f>SUMPRODUCT((MONTH(CHOOSE({1,2,3,4},HN!T295,HN!X295,HN!AB295,HN!AF295))=11)*(CHOOSE({1,2,3,4},HN!W295,HN!AA295,HN!AE295,HN!AI295)))</f>
        <v>0</v>
      </c>
      <c r="L295">
        <f>SUMPRODUCT((MONTH(CHOOSE({1,2,3,4},HN!T295,HN!X295,HN!AB295,HN!AF295))=12)*(CHOOSE({1,2,3,4},HN!W295,HN!AA295,HN!AE295,HN!AI295)))</f>
        <v>0</v>
      </c>
    </row>
    <row r="296" spans="1:12">
      <c r="A296">
        <f>SUMPRODUCT((MONTH(CHOOSE({1,2,3,4},HN!T296,HN!X296,HN!AB296,HN!AF296))=1)*(CHOOSE({1,2,3,4},HN!W296,HN!AA296,HN!AE296,HN!AI296)))</f>
        <v>0</v>
      </c>
      <c r="B296">
        <f>SUMPRODUCT((MONTH(CHOOSE({1,2,3,4},HN!T296,HN!X296,HN!AB296,HN!AF296))=2)*(CHOOSE({1,2,3,4},HN!W296,HN!AA296,HN!AE296,HN!AI296)))</f>
        <v>0</v>
      </c>
      <c r="C296">
        <f>SUMPRODUCT((MONTH(CHOOSE({1,2,3,4},HN!T296,HN!X296,HN!AB296,HN!AF296))=3)*(CHOOSE({1,2,3,4},HN!W296,HN!AA296,HN!AE296,HN!AI296)))</f>
        <v>0</v>
      </c>
      <c r="D296">
        <f>SUMPRODUCT((MONTH(CHOOSE({1,2,3,4},HN!T296,HN!X296,HN!AB296,HN!AF296))=4)*(CHOOSE({1,2,3,4},HN!W296,HN!AA296,HN!AE296,HN!AI296)))</f>
        <v>0</v>
      </c>
      <c r="E296">
        <f>SUMPRODUCT((MONTH(CHOOSE({1,2,3,4},HN!T296,HN!X296,HN!AB296,HN!AF296))=5)*(CHOOSE({1,2,3,4},HN!W296,HN!AA296,HN!AE296,HN!AI296)))</f>
        <v>0</v>
      </c>
      <c r="F296">
        <f>SUMPRODUCT((MONTH(CHOOSE({1,2,3,4},HN!T296,HN!X296,HN!AB296,HN!AF296))=6)*(CHOOSE({1,2,3,4},HN!W296,HN!AA296,HN!AE296,HN!AI296)))</f>
        <v>0</v>
      </c>
      <c r="G296">
        <f>SUMPRODUCT((MONTH(CHOOSE({1,2,3,4},HN!T296,HN!X296,HN!AB296,HN!AF296))=7)*(CHOOSE({1,2,3,4},HN!W296,HN!AA296,HN!AE296,HN!AI296)))</f>
        <v>0</v>
      </c>
      <c r="H296">
        <f>SUMPRODUCT((MONTH(CHOOSE({1,2,3,4},HN!T296,HN!X296,HN!AB296,HN!AF296))=8)*(CHOOSE({1,2,3,4},HN!W296,HN!AA296,HN!AE296,HN!AI296)))</f>
        <v>0</v>
      </c>
      <c r="I296">
        <f>SUMPRODUCT((MONTH(CHOOSE({1,2,3,4},HN!T296,HN!X296,HN!AB296,HN!AF296))=9)*(CHOOSE({1,2,3,4},HN!W296,HN!AA296,HN!AE296,HN!AI296)))</f>
        <v>0</v>
      </c>
      <c r="J296">
        <f>SUMPRODUCT((MONTH(CHOOSE({1,2,3,4},HN!T296,HN!X296,HN!AB296,HN!AF296))=10)*(CHOOSE({1,2,3,4},HN!W296,HN!AA296,HN!AE296,HN!AI296)))</f>
        <v>0</v>
      </c>
      <c r="K296">
        <f>SUMPRODUCT((MONTH(CHOOSE({1,2,3,4},HN!T296,HN!X296,HN!AB296,HN!AF296))=11)*(CHOOSE({1,2,3,4},HN!W296,HN!AA296,HN!AE296,HN!AI296)))</f>
        <v>0</v>
      </c>
      <c r="L296">
        <f>SUMPRODUCT((MONTH(CHOOSE({1,2,3,4},HN!T296,HN!X296,HN!AB296,HN!AF296))=12)*(CHOOSE({1,2,3,4},HN!W296,HN!AA296,HN!AE296,HN!AI296)))</f>
        <v>0</v>
      </c>
    </row>
    <row r="297" spans="1:12">
      <c r="A297">
        <f>SUMPRODUCT((MONTH(CHOOSE({1,2,3,4},HN!T297,HN!X297,HN!AB297,HN!AF297))=1)*(CHOOSE({1,2,3,4},HN!W297,HN!AA297,HN!AE297,HN!AI297)))</f>
        <v>0</v>
      </c>
      <c r="B297">
        <f>SUMPRODUCT((MONTH(CHOOSE({1,2,3,4},HN!T297,HN!X297,HN!AB297,HN!AF297))=2)*(CHOOSE({1,2,3,4},HN!W297,HN!AA297,HN!AE297,HN!AI297)))</f>
        <v>0</v>
      </c>
      <c r="C297">
        <f>SUMPRODUCT((MONTH(CHOOSE({1,2,3,4},HN!T297,HN!X297,HN!AB297,HN!AF297))=3)*(CHOOSE({1,2,3,4},HN!W297,HN!AA297,HN!AE297,HN!AI297)))</f>
        <v>0</v>
      </c>
      <c r="D297">
        <f>SUMPRODUCT((MONTH(CHOOSE({1,2,3,4},HN!T297,HN!X297,HN!AB297,HN!AF297))=4)*(CHOOSE({1,2,3,4},HN!W297,HN!AA297,HN!AE297,HN!AI297)))</f>
        <v>0</v>
      </c>
      <c r="E297">
        <f>SUMPRODUCT((MONTH(CHOOSE({1,2,3,4},HN!T297,HN!X297,HN!AB297,HN!AF297))=5)*(CHOOSE({1,2,3,4},HN!W297,HN!AA297,HN!AE297,HN!AI297)))</f>
        <v>0</v>
      </c>
      <c r="F297">
        <f>SUMPRODUCT((MONTH(CHOOSE({1,2,3,4},HN!T297,HN!X297,HN!AB297,HN!AF297))=6)*(CHOOSE({1,2,3,4},HN!W297,HN!AA297,HN!AE297,HN!AI297)))</f>
        <v>0</v>
      </c>
      <c r="G297">
        <f>SUMPRODUCT((MONTH(CHOOSE({1,2,3,4},HN!T297,HN!X297,HN!AB297,HN!AF297))=7)*(CHOOSE({1,2,3,4},HN!W297,HN!AA297,HN!AE297,HN!AI297)))</f>
        <v>0</v>
      </c>
      <c r="H297">
        <f>SUMPRODUCT((MONTH(CHOOSE({1,2,3,4},HN!T297,HN!X297,HN!AB297,HN!AF297))=8)*(CHOOSE({1,2,3,4},HN!W297,HN!AA297,HN!AE297,HN!AI297)))</f>
        <v>0</v>
      </c>
      <c r="I297">
        <f>SUMPRODUCT((MONTH(CHOOSE({1,2,3,4},HN!T297,HN!X297,HN!AB297,HN!AF297))=9)*(CHOOSE({1,2,3,4},HN!W297,HN!AA297,HN!AE297,HN!AI297)))</f>
        <v>0</v>
      </c>
      <c r="J297">
        <f>SUMPRODUCT((MONTH(CHOOSE({1,2,3,4},HN!T297,HN!X297,HN!AB297,HN!AF297))=10)*(CHOOSE({1,2,3,4},HN!W297,HN!AA297,HN!AE297,HN!AI297)))</f>
        <v>0</v>
      </c>
      <c r="K297">
        <f>SUMPRODUCT((MONTH(CHOOSE({1,2,3,4},HN!T297,HN!X297,HN!AB297,HN!AF297))=11)*(CHOOSE({1,2,3,4},HN!W297,HN!AA297,HN!AE297,HN!AI297)))</f>
        <v>0</v>
      </c>
      <c r="L297">
        <f>SUMPRODUCT((MONTH(CHOOSE({1,2,3,4},HN!T297,HN!X297,HN!AB297,HN!AF297))=12)*(CHOOSE({1,2,3,4},HN!W297,HN!AA297,HN!AE297,HN!AI297)))</f>
        <v>0</v>
      </c>
    </row>
    <row r="298" spans="1:12">
      <c r="A298">
        <f>SUMPRODUCT((MONTH(CHOOSE({1,2,3,4},HN!T298,HN!X298,HN!AB298,HN!AF298))=1)*(CHOOSE({1,2,3,4},HN!W298,HN!AA298,HN!AE298,HN!AI298)))</f>
        <v>0</v>
      </c>
      <c r="B298">
        <f>SUMPRODUCT((MONTH(CHOOSE({1,2,3,4},HN!T298,HN!X298,HN!AB298,HN!AF298))=2)*(CHOOSE({1,2,3,4},HN!W298,HN!AA298,HN!AE298,HN!AI298)))</f>
        <v>0</v>
      </c>
      <c r="C298">
        <f>SUMPRODUCT((MONTH(CHOOSE({1,2,3,4},HN!T298,HN!X298,HN!AB298,HN!AF298))=3)*(CHOOSE({1,2,3,4},HN!W298,HN!AA298,HN!AE298,HN!AI298)))</f>
        <v>0</v>
      </c>
      <c r="D298">
        <f>SUMPRODUCT((MONTH(CHOOSE({1,2,3,4},HN!T298,HN!X298,HN!AB298,HN!AF298))=4)*(CHOOSE({1,2,3,4},HN!W298,HN!AA298,HN!AE298,HN!AI298)))</f>
        <v>0</v>
      </c>
      <c r="E298">
        <f>SUMPRODUCT((MONTH(CHOOSE({1,2,3,4},HN!T298,HN!X298,HN!AB298,HN!AF298))=5)*(CHOOSE({1,2,3,4},HN!W298,HN!AA298,HN!AE298,HN!AI298)))</f>
        <v>0</v>
      </c>
      <c r="F298">
        <f>SUMPRODUCT((MONTH(CHOOSE({1,2,3,4},HN!T298,HN!X298,HN!AB298,HN!AF298))=6)*(CHOOSE({1,2,3,4},HN!W298,HN!AA298,HN!AE298,HN!AI298)))</f>
        <v>0</v>
      </c>
      <c r="G298">
        <f>SUMPRODUCT((MONTH(CHOOSE({1,2,3,4},HN!T298,HN!X298,HN!AB298,HN!AF298))=7)*(CHOOSE({1,2,3,4},HN!W298,HN!AA298,HN!AE298,HN!AI298)))</f>
        <v>0</v>
      </c>
      <c r="H298">
        <f>SUMPRODUCT((MONTH(CHOOSE({1,2,3,4},HN!T298,HN!X298,HN!AB298,HN!AF298))=8)*(CHOOSE({1,2,3,4},HN!W298,HN!AA298,HN!AE298,HN!AI298)))</f>
        <v>0</v>
      </c>
      <c r="I298">
        <f>SUMPRODUCT((MONTH(CHOOSE({1,2,3,4},HN!T298,HN!X298,HN!AB298,HN!AF298))=9)*(CHOOSE({1,2,3,4},HN!W298,HN!AA298,HN!AE298,HN!AI298)))</f>
        <v>0</v>
      </c>
      <c r="J298">
        <f>SUMPRODUCT((MONTH(CHOOSE({1,2,3,4},HN!T298,HN!X298,HN!AB298,HN!AF298))=10)*(CHOOSE({1,2,3,4},HN!W298,HN!AA298,HN!AE298,HN!AI298)))</f>
        <v>0</v>
      </c>
      <c r="K298">
        <f>SUMPRODUCT((MONTH(CHOOSE({1,2,3,4},HN!T298,HN!X298,HN!AB298,HN!AF298))=11)*(CHOOSE({1,2,3,4},HN!W298,HN!AA298,HN!AE298,HN!AI298)))</f>
        <v>0</v>
      </c>
      <c r="L298">
        <f>SUMPRODUCT((MONTH(CHOOSE({1,2,3,4},HN!T298,HN!X298,HN!AB298,HN!AF298))=12)*(CHOOSE({1,2,3,4},HN!W298,HN!AA298,HN!AE298,HN!AI298)))</f>
        <v>0</v>
      </c>
    </row>
    <row r="299" spans="1:12">
      <c r="A299">
        <f>SUMPRODUCT((MONTH(CHOOSE({1,2,3,4},HN!T299,HN!X299,HN!AB299,HN!AF299))=1)*(CHOOSE({1,2,3,4},HN!W299,HN!AA299,HN!AE299,HN!AI299)))</f>
        <v>0</v>
      </c>
      <c r="B299">
        <f>SUMPRODUCT((MONTH(CHOOSE({1,2,3,4},HN!T299,HN!X299,HN!AB299,HN!AF299))=2)*(CHOOSE({1,2,3,4},HN!W299,HN!AA299,HN!AE299,HN!AI299)))</f>
        <v>0</v>
      </c>
      <c r="C299">
        <f>SUMPRODUCT((MONTH(CHOOSE({1,2,3,4},HN!T299,HN!X299,HN!AB299,HN!AF299))=3)*(CHOOSE({1,2,3,4},HN!W299,HN!AA299,HN!AE299,HN!AI299)))</f>
        <v>0</v>
      </c>
      <c r="D299">
        <f>SUMPRODUCT((MONTH(CHOOSE({1,2,3,4},HN!T299,HN!X299,HN!AB299,HN!AF299))=4)*(CHOOSE({1,2,3,4},HN!W299,HN!AA299,HN!AE299,HN!AI299)))</f>
        <v>0</v>
      </c>
      <c r="E299">
        <f>SUMPRODUCT((MONTH(CHOOSE({1,2,3,4},HN!T299,HN!X299,HN!AB299,HN!AF299))=5)*(CHOOSE({1,2,3,4},HN!W299,HN!AA299,HN!AE299,HN!AI299)))</f>
        <v>0</v>
      </c>
      <c r="F299">
        <f>SUMPRODUCT((MONTH(CHOOSE({1,2,3,4},HN!T299,HN!X299,HN!AB299,HN!AF299))=6)*(CHOOSE({1,2,3,4},HN!W299,HN!AA299,HN!AE299,HN!AI299)))</f>
        <v>0</v>
      </c>
      <c r="G299">
        <f>SUMPRODUCT((MONTH(CHOOSE({1,2,3,4},HN!T299,HN!X299,HN!AB299,HN!AF299))=7)*(CHOOSE({1,2,3,4},HN!W299,HN!AA299,HN!AE299,HN!AI299)))</f>
        <v>0</v>
      </c>
      <c r="H299">
        <f>SUMPRODUCT((MONTH(CHOOSE({1,2,3,4},HN!T299,HN!X299,HN!AB299,HN!AF299))=8)*(CHOOSE({1,2,3,4},HN!W299,HN!AA299,HN!AE299,HN!AI299)))</f>
        <v>0</v>
      </c>
      <c r="I299">
        <f>SUMPRODUCT((MONTH(CHOOSE({1,2,3,4},HN!T299,HN!X299,HN!AB299,HN!AF299))=9)*(CHOOSE({1,2,3,4},HN!W299,HN!AA299,HN!AE299,HN!AI299)))</f>
        <v>0</v>
      </c>
      <c r="J299">
        <f>SUMPRODUCT((MONTH(CHOOSE({1,2,3,4},HN!T299,HN!X299,HN!AB299,HN!AF299))=10)*(CHOOSE({1,2,3,4},HN!W299,HN!AA299,HN!AE299,HN!AI299)))</f>
        <v>0</v>
      </c>
      <c r="K299">
        <f>SUMPRODUCT((MONTH(CHOOSE({1,2,3,4},HN!T299,HN!X299,HN!AB299,HN!AF299))=11)*(CHOOSE({1,2,3,4},HN!W299,HN!AA299,HN!AE299,HN!AI299)))</f>
        <v>0</v>
      </c>
      <c r="L299">
        <f>SUMPRODUCT((MONTH(CHOOSE({1,2,3,4},HN!T299,HN!X299,HN!AB299,HN!AF299))=12)*(CHOOSE({1,2,3,4},HN!W299,HN!AA299,HN!AE299,HN!AI299)))</f>
        <v>0</v>
      </c>
    </row>
    <row r="300" spans="1:12">
      <c r="A300">
        <f>SUMPRODUCT((MONTH(CHOOSE({1,2,3,4},HN!T300,HN!X300,HN!AB300,HN!AF300))=1)*(CHOOSE({1,2,3,4},HN!W300,HN!AA300,HN!AE300,HN!AI300)))</f>
        <v>0</v>
      </c>
      <c r="B300">
        <f>SUMPRODUCT((MONTH(CHOOSE({1,2,3,4},HN!T300,HN!X300,HN!AB300,HN!AF300))=2)*(CHOOSE({1,2,3,4},HN!W300,HN!AA300,HN!AE300,HN!AI300)))</f>
        <v>0</v>
      </c>
      <c r="C300">
        <f>SUMPRODUCT((MONTH(CHOOSE({1,2,3,4},HN!T300,HN!X300,HN!AB300,HN!AF300))=3)*(CHOOSE({1,2,3,4},HN!W300,HN!AA300,HN!AE300,HN!AI300)))</f>
        <v>0</v>
      </c>
      <c r="D300">
        <f>SUMPRODUCT((MONTH(CHOOSE({1,2,3,4},HN!T300,HN!X300,HN!AB300,HN!AF300))=4)*(CHOOSE({1,2,3,4},HN!W300,HN!AA300,HN!AE300,HN!AI300)))</f>
        <v>0</v>
      </c>
      <c r="E300">
        <f>SUMPRODUCT((MONTH(CHOOSE({1,2,3,4},HN!T300,HN!X300,HN!AB300,HN!AF300))=5)*(CHOOSE({1,2,3,4},HN!W300,HN!AA300,HN!AE300,HN!AI300)))</f>
        <v>0</v>
      </c>
      <c r="F300">
        <f>SUMPRODUCT((MONTH(CHOOSE({1,2,3,4},HN!T300,HN!X300,HN!AB300,HN!AF300))=6)*(CHOOSE({1,2,3,4},HN!W300,HN!AA300,HN!AE300,HN!AI300)))</f>
        <v>0</v>
      </c>
      <c r="G300">
        <f>SUMPRODUCT((MONTH(CHOOSE({1,2,3,4},HN!T300,HN!X300,HN!AB300,HN!AF300))=7)*(CHOOSE({1,2,3,4},HN!W300,HN!AA300,HN!AE300,HN!AI300)))</f>
        <v>0</v>
      </c>
      <c r="H300">
        <f>SUMPRODUCT((MONTH(CHOOSE({1,2,3,4},HN!T300,HN!X300,HN!AB300,HN!AF300))=8)*(CHOOSE({1,2,3,4},HN!W300,HN!AA300,HN!AE300,HN!AI300)))</f>
        <v>0</v>
      </c>
      <c r="I300">
        <f>SUMPRODUCT((MONTH(CHOOSE({1,2,3,4},HN!T300,HN!X300,HN!AB300,HN!AF300))=9)*(CHOOSE({1,2,3,4},HN!W300,HN!AA300,HN!AE300,HN!AI300)))</f>
        <v>0</v>
      </c>
      <c r="J300">
        <f>SUMPRODUCT((MONTH(CHOOSE({1,2,3,4},HN!T300,HN!X300,HN!AB300,HN!AF300))=10)*(CHOOSE({1,2,3,4},HN!W300,HN!AA300,HN!AE300,HN!AI300)))</f>
        <v>0</v>
      </c>
      <c r="K300">
        <f>SUMPRODUCT((MONTH(CHOOSE({1,2,3,4},HN!T300,HN!X300,HN!AB300,HN!AF300))=11)*(CHOOSE({1,2,3,4},HN!W300,HN!AA300,HN!AE300,HN!AI300)))</f>
        <v>0</v>
      </c>
      <c r="L300">
        <f>SUMPRODUCT((MONTH(CHOOSE({1,2,3,4},HN!T300,HN!X300,HN!AB300,HN!AF300))=12)*(CHOOSE({1,2,3,4},HN!W300,HN!AA300,HN!AE300,HN!AI300)))</f>
        <v>0</v>
      </c>
    </row>
    <row r="301" spans="1:12">
      <c r="A301">
        <f>SUMPRODUCT((MONTH(CHOOSE({1,2,3,4},HN!T301,HN!X301,HN!AB301,HN!AF301))=1)*(CHOOSE({1,2,3,4},HN!W301,HN!AA301,HN!AE301,HN!AI301)))</f>
        <v>0</v>
      </c>
      <c r="B301">
        <f>SUMPRODUCT((MONTH(CHOOSE({1,2,3,4},HN!T301,HN!X301,HN!AB301,HN!AF301))=2)*(CHOOSE({1,2,3,4},HN!W301,HN!AA301,HN!AE301,HN!AI301)))</f>
        <v>0</v>
      </c>
      <c r="C301">
        <f>SUMPRODUCT((MONTH(CHOOSE({1,2,3,4},HN!T301,HN!X301,HN!AB301,HN!AF301))=3)*(CHOOSE({1,2,3,4},HN!W301,HN!AA301,HN!AE301,HN!AI301)))</f>
        <v>0</v>
      </c>
      <c r="D301">
        <f>SUMPRODUCT((MONTH(CHOOSE({1,2,3,4},HN!T301,HN!X301,HN!AB301,HN!AF301))=4)*(CHOOSE({1,2,3,4},HN!W301,HN!AA301,HN!AE301,HN!AI301)))</f>
        <v>0</v>
      </c>
      <c r="E301">
        <f>SUMPRODUCT((MONTH(CHOOSE({1,2,3,4},HN!T301,HN!X301,HN!AB301,HN!AF301))=5)*(CHOOSE({1,2,3,4},HN!W301,HN!AA301,HN!AE301,HN!AI301)))</f>
        <v>0</v>
      </c>
      <c r="F301">
        <f>SUMPRODUCT((MONTH(CHOOSE({1,2,3,4},HN!T301,HN!X301,HN!AB301,HN!AF301))=6)*(CHOOSE({1,2,3,4},HN!W301,HN!AA301,HN!AE301,HN!AI301)))</f>
        <v>0</v>
      </c>
      <c r="G301">
        <f>SUMPRODUCT((MONTH(CHOOSE({1,2,3,4},HN!T301,HN!X301,HN!AB301,HN!AF301))=7)*(CHOOSE({1,2,3,4},HN!W301,HN!AA301,HN!AE301,HN!AI301)))</f>
        <v>0</v>
      </c>
      <c r="H301">
        <f>SUMPRODUCT((MONTH(CHOOSE({1,2,3,4},HN!T301,HN!X301,HN!AB301,HN!AF301))=8)*(CHOOSE({1,2,3,4},HN!W301,HN!AA301,HN!AE301,HN!AI301)))</f>
        <v>0</v>
      </c>
      <c r="I301">
        <f>SUMPRODUCT((MONTH(CHOOSE({1,2,3,4},HN!T301,HN!X301,HN!AB301,HN!AF301))=9)*(CHOOSE({1,2,3,4},HN!W301,HN!AA301,HN!AE301,HN!AI301)))</f>
        <v>0</v>
      </c>
      <c r="J301">
        <f>SUMPRODUCT((MONTH(CHOOSE({1,2,3,4},HN!T301,HN!X301,HN!AB301,HN!AF301))=10)*(CHOOSE({1,2,3,4},HN!W301,HN!AA301,HN!AE301,HN!AI301)))</f>
        <v>0</v>
      </c>
      <c r="K301">
        <f>SUMPRODUCT((MONTH(CHOOSE({1,2,3,4},HN!T301,HN!X301,HN!AB301,HN!AF301))=11)*(CHOOSE({1,2,3,4},HN!W301,HN!AA301,HN!AE301,HN!AI301)))</f>
        <v>0</v>
      </c>
      <c r="L301">
        <f>SUMPRODUCT((MONTH(CHOOSE({1,2,3,4},HN!T301,HN!X301,HN!AB301,HN!AF301))=12)*(CHOOSE({1,2,3,4},HN!W301,HN!AA301,HN!AE301,HN!AI301)))</f>
        <v>0</v>
      </c>
    </row>
    <row r="302" spans="1:12">
      <c r="A302">
        <f>SUMPRODUCT((MONTH(CHOOSE({1,2,3,4},HN!T302,HN!X302,HN!AB302,HN!AF302))=1)*(CHOOSE({1,2,3,4},HN!W302,HN!AA302,HN!AE302,HN!AI302)))</f>
        <v>0</v>
      </c>
      <c r="B302">
        <f>SUMPRODUCT((MONTH(CHOOSE({1,2,3,4},HN!T302,HN!X302,HN!AB302,HN!AF302))=2)*(CHOOSE({1,2,3,4},HN!W302,HN!AA302,HN!AE302,HN!AI302)))</f>
        <v>0</v>
      </c>
      <c r="C302">
        <f>SUMPRODUCT((MONTH(CHOOSE({1,2,3,4},HN!T302,HN!X302,HN!AB302,HN!AF302))=3)*(CHOOSE({1,2,3,4},HN!W302,HN!AA302,HN!AE302,HN!AI302)))</f>
        <v>0</v>
      </c>
      <c r="D302">
        <f>SUMPRODUCT((MONTH(CHOOSE({1,2,3,4},HN!T302,HN!X302,HN!AB302,HN!AF302))=4)*(CHOOSE({1,2,3,4},HN!W302,HN!AA302,HN!AE302,HN!AI302)))</f>
        <v>0</v>
      </c>
      <c r="E302">
        <f>SUMPRODUCT((MONTH(CHOOSE({1,2,3,4},HN!T302,HN!X302,HN!AB302,HN!AF302))=5)*(CHOOSE({1,2,3,4},HN!W302,HN!AA302,HN!AE302,HN!AI302)))</f>
        <v>0</v>
      </c>
      <c r="F302">
        <f>SUMPRODUCT((MONTH(CHOOSE({1,2,3,4},HN!T302,HN!X302,HN!AB302,HN!AF302))=6)*(CHOOSE({1,2,3,4},HN!W302,HN!AA302,HN!AE302,HN!AI302)))</f>
        <v>0</v>
      </c>
      <c r="G302">
        <f>SUMPRODUCT((MONTH(CHOOSE({1,2,3,4},HN!T302,HN!X302,HN!AB302,HN!AF302))=7)*(CHOOSE({1,2,3,4},HN!W302,HN!AA302,HN!AE302,HN!AI302)))</f>
        <v>0</v>
      </c>
      <c r="H302">
        <f>SUMPRODUCT((MONTH(CHOOSE({1,2,3,4},HN!T302,HN!X302,HN!AB302,HN!AF302))=8)*(CHOOSE({1,2,3,4},HN!W302,HN!AA302,HN!AE302,HN!AI302)))</f>
        <v>0</v>
      </c>
      <c r="I302">
        <f>SUMPRODUCT((MONTH(CHOOSE({1,2,3,4},HN!T302,HN!X302,HN!AB302,HN!AF302))=9)*(CHOOSE({1,2,3,4},HN!W302,HN!AA302,HN!AE302,HN!AI302)))</f>
        <v>0</v>
      </c>
      <c r="J302">
        <f>SUMPRODUCT((MONTH(CHOOSE({1,2,3,4},HN!T302,HN!X302,HN!AB302,HN!AF302))=10)*(CHOOSE({1,2,3,4},HN!W302,HN!AA302,HN!AE302,HN!AI302)))</f>
        <v>0</v>
      </c>
      <c r="K302">
        <f>SUMPRODUCT((MONTH(CHOOSE({1,2,3,4},HN!T302,HN!X302,HN!AB302,HN!AF302))=11)*(CHOOSE({1,2,3,4},HN!W302,HN!AA302,HN!AE302,HN!AI302)))</f>
        <v>0</v>
      </c>
      <c r="L302">
        <f>SUMPRODUCT((MONTH(CHOOSE({1,2,3,4},HN!T302,HN!X302,HN!AB302,HN!AF302))=12)*(CHOOSE({1,2,3,4},HN!W302,HN!AA302,HN!AE302,HN!AI302)))</f>
        <v>0</v>
      </c>
    </row>
    <row r="303" spans="1:12">
      <c r="A303">
        <f>SUMPRODUCT((MONTH(CHOOSE({1,2,3,4},HN!T303,HN!X303,HN!AB303,HN!AF303))=1)*(CHOOSE({1,2,3,4},HN!W303,HN!AA303,HN!AE303,HN!AI303)))</f>
        <v>0</v>
      </c>
      <c r="B303">
        <f>SUMPRODUCT((MONTH(CHOOSE({1,2,3,4},HN!T303,HN!X303,HN!AB303,HN!AF303))=2)*(CHOOSE({1,2,3,4},HN!W303,HN!AA303,HN!AE303,HN!AI303)))</f>
        <v>0</v>
      </c>
      <c r="C303">
        <f>SUMPRODUCT((MONTH(CHOOSE({1,2,3,4},HN!T303,HN!X303,HN!AB303,HN!AF303))=3)*(CHOOSE({1,2,3,4},HN!W303,HN!AA303,HN!AE303,HN!AI303)))</f>
        <v>0</v>
      </c>
      <c r="D303">
        <f>SUMPRODUCT((MONTH(CHOOSE({1,2,3,4},HN!T303,HN!X303,HN!AB303,HN!AF303))=4)*(CHOOSE({1,2,3,4},HN!W303,HN!AA303,HN!AE303,HN!AI303)))</f>
        <v>0</v>
      </c>
      <c r="E303">
        <f>SUMPRODUCT((MONTH(CHOOSE({1,2,3,4},HN!T303,HN!X303,HN!AB303,HN!AF303))=5)*(CHOOSE({1,2,3,4},HN!W303,HN!AA303,HN!AE303,HN!AI303)))</f>
        <v>0</v>
      </c>
      <c r="F303">
        <f>SUMPRODUCT((MONTH(CHOOSE({1,2,3,4},HN!T303,HN!X303,HN!AB303,HN!AF303))=6)*(CHOOSE({1,2,3,4},HN!W303,HN!AA303,HN!AE303,HN!AI303)))</f>
        <v>0</v>
      </c>
      <c r="G303">
        <f>SUMPRODUCT((MONTH(CHOOSE({1,2,3,4},HN!T303,HN!X303,HN!AB303,HN!AF303))=7)*(CHOOSE({1,2,3,4},HN!W303,HN!AA303,HN!AE303,HN!AI303)))</f>
        <v>0</v>
      </c>
      <c r="H303">
        <f>SUMPRODUCT((MONTH(CHOOSE({1,2,3,4},HN!T303,HN!X303,HN!AB303,HN!AF303))=8)*(CHOOSE({1,2,3,4},HN!W303,HN!AA303,HN!AE303,HN!AI303)))</f>
        <v>0</v>
      </c>
      <c r="I303">
        <f>SUMPRODUCT((MONTH(CHOOSE({1,2,3,4},HN!T303,HN!X303,HN!AB303,HN!AF303))=9)*(CHOOSE({1,2,3,4},HN!W303,HN!AA303,HN!AE303,HN!AI303)))</f>
        <v>0</v>
      </c>
      <c r="J303">
        <f>SUMPRODUCT((MONTH(CHOOSE({1,2,3,4},HN!T303,HN!X303,HN!AB303,HN!AF303))=10)*(CHOOSE({1,2,3,4},HN!W303,HN!AA303,HN!AE303,HN!AI303)))</f>
        <v>0</v>
      </c>
      <c r="K303">
        <f>SUMPRODUCT((MONTH(CHOOSE({1,2,3,4},HN!T303,HN!X303,HN!AB303,HN!AF303))=11)*(CHOOSE({1,2,3,4},HN!W303,HN!AA303,HN!AE303,HN!AI303)))</f>
        <v>0</v>
      </c>
      <c r="L303">
        <f>SUMPRODUCT((MONTH(CHOOSE({1,2,3,4},HN!T303,HN!X303,HN!AB303,HN!AF303))=12)*(CHOOSE({1,2,3,4},HN!W303,HN!AA303,HN!AE303,HN!AI303)))</f>
        <v>0</v>
      </c>
    </row>
    <row r="304" spans="1:12">
      <c r="A304">
        <f>SUMPRODUCT((MONTH(CHOOSE({1,2,3,4},HN!T304,HN!X304,HN!AB304,HN!AF304))=1)*(CHOOSE({1,2,3,4},HN!W304,HN!AA304,HN!AE304,HN!AI304)))</f>
        <v>0</v>
      </c>
      <c r="B304">
        <f>SUMPRODUCT((MONTH(CHOOSE({1,2,3,4},HN!T304,HN!X304,HN!AB304,HN!AF304))=2)*(CHOOSE({1,2,3,4},HN!W304,HN!AA304,HN!AE304,HN!AI304)))</f>
        <v>0</v>
      </c>
      <c r="C304">
        <f>SUMPRODUCT((MONTH(CHOOSE({1,2,3,4},HN!T304,HN!X304,HN!AB304,HN!AF304))=3)*(CHOOSE({1,2,3,4},HN!W304,HN!AA304,HN!AE304,HN!AI304)))</f>
        <v>0</v>
      </c>
      <c r="D304">
        <f>SUMPRODUCT((MONTH(CHOOSE({1,2,3,4},HN!T304,HN!X304,HN!AB304,HN!AF304))=4)*(CHOOSE({1,2,3,4},HN!W304,HN!AA304,HN!AE304,HN!AI304)))</f>
        <v>0</v>
      </c>
      <c r="E304">
        <f>SUMPRODUCT((MONTH(CHOOSE({1,2,3,4},HN!T304,HN!X304,HN!AB304,HN!AF304))=5)*(CHOOSE({1,2,3,4},HN!W304,HN!AA304,HN!AE304,HN!AI304)))</f>
        <v>0</v>
      </c>
      <c r="F304">
        <f>SUMPRODUCT((MONTH(CHOOSE({1,2,3,4},HN!T304,HN!X304,HN!AB304,HN!AF304))=6)*(CHOOSE({1,2,3,4},HN!W304,HN!AA304,HN!AE304,HN!AI304)))</f>
        <v>0</v>
      </c>
      <c r="G304">
        <f>SUMPRODUCT((MONTH(CHOOSE({1,2,3,4},HN!T304,HN!X304,HN!AB304,HN!AF304))=7)*(CHOOSE({1,2,3,4},HN!W304,HN!AA304,HN!AE304,HN!AI304)))</f>
        <v>0</v>
      </c>
      <c r="H304">
        <f>SUMPRODUCT((MONTH(CHOOSE({1,2,3,4},HN!T304,HN!X304,HN!AB304,HN!AF304))=8)*(CHOOSE({1,2,3,4},HN!W304,HN!AA304,HN!AE304,HN!AI304)))</f>
        <v>0</v>
      </c>
      <c r="I304">
        <f>SUMPRODUCT((MONTH(CHOOSE({1,2,3,4},HN!T304,HN!X304,HN!AB304,HN!AF304))=9)*(CHOOSE({1,2,3,4},HN!W304,HN!AA304,HN!AE304,HN!AI304)))</f>
        <v>0</v>
      </c>
      <c r="J304">
        <f>SUMPRODUCT((MONTH(CHOOSE({1,2,3,4},HN!T304,HN!X304,HN!AB304,HN!AF304))=10)*(CHOOSE({1,2,3,4},HN!W304,HN!AA304,HN!AE304,HN!AI304)))</f>
        <v>0</v>
      </c>
      <c r="K304">
        <f>SUMPRODUCT((MONTH(CHOOSE({1,2,3,4},HN!T304,HN!X304,HN!AB304,HN!AF304))=11)*(CHOOSE({1,2,3,4},HN!W304,HN!AA304,HN!AE304,HN!AI304)))</f>
        <v>0</v>
      </c>
      <c r="L304">
        <f>SUMPRODUCT((MONTH(CHOOSE({1,2,3,4},HN!T304,HN!X304,HN!AB304,HN!AF304))=12)*(CHOOSE({1,2,3,4},HN!W304,HN!AA304,HN!AE304,HN!AI304)))</f>
        <v>0</v>
      </c>
    </row>
    <row r="305" spans="1:12">
      <c r="A305">
        <f>SUMPRODUCT((MONTH(CHOOSE({1,2,3,4},HN!T305,HN!X305,HN!AB305,HN!AF305))=1)*(CHOOSE({1,2,3,4},HN!W305,HN!AA305,HN!AE305,HN!AI305)))</f>
        <v>0</v>
      </c>
      <c r="B305">
        <f>SUMPRODUCT((MONTH(CHOOSE({1,2,3,4},HN!T305,HN!X305,HN!AB305,HN!AF305))=2)*(CHOOSE({1,2,3,4},HN!W305,HN!AA305,HN!AE305,HN!AI305)))</f>
        <v>0</v>
      </c>
      <c r="C305">
        <f>SUMPRODUCT((MONTH(CHOOSE({1,2,3,4},HN!T305,HN!X305,HN!AB305,HN!AF305))=3)*(CHOOSE({1,2,3,4},HN!W305,HN!AA305,HN!AE305,HN!AI305)))</f>
        <v>0</v>
      </c>
      <c r="D305">
        <f>SUMPRODUCT((MONTH(CHOOSE({1,2,3,4},HN!T305,HN!X305,HN!AB305,HN!AF305))=4)*(CHOOSE({1,2,3,4},HN!W305,HN!AA305,HN!AE305,HN!AI305)))</f>
        <v>0</v>
      </c>
      <c r="E305">
        <f>SUMPRODUCT((MONTH(CHOOSE({1,2,3,4},HN!T305,HN!X305,HN!AB305,HN!AF305))=5)*(CHOOSE({1,2,3,4},HN!W305,HN!AA305,HN!AE305,HN!AI305)))</f>
        <v>0</v>
      </c>
      <c r="F305">
        <f>SUMPRODUCT((MONTH(CHOOSE({1,2,3,4},HN!T305,HN!X305,HN!AB305,HN!AF305))=6)*(CHOOSE({1,2,3,4},HN!W305,HN!AA305,HN!AE305,HN!AI305)))</f>
        <v>0</v>
      </c>
      <c r="G305">
        <f>SUMPRODUCT((MONTH(CHOOSE({1,2,3,4},HN!T305,HN!X305,HN!AB305,HN!AF305))=7)*(CHOOSE({1,2,3,4},HN!W305,HN!AA305,HN!AE305,HN!AI305)))</f>
        <v>0</v>
      </c>
      <c r="H305">
        <f>SUMPRODUCT((MONTH(CHOOSE({1,2,3,4},HN!T305,HN!X305,HN!AB305,HN!AF305))=8)*(CHOOSE({1,2,3,4},HN!W305,HN!AA305,HN!AE305,HN!AI305)))</f>
        <v>0</v>
      </c>
      <c r="I305">
        <f>SUMPRODUCT((MONTH(CHOOSE({1,2,3,4},HN!T305,HN!X305,HN!AB305,HN!AF305))=9)*(CHOOSE({1,2,3,4},HN!W305,HN!AA305,HN!AE305,HN!AI305)))</f>
        <v>0</v>
      </c>
      <c r="J305">
        <f>SUMPRODUCT((MONTH(CHOOSE({1,2,3,4},HN!T305,HN!X305,HN!AB305,HN!AF305))=10)*(CHOOSE({1,2,3,4},HN!W305,HN!AA305,HN!AE305,HN!AI305)))</f>
        <v>0</v>
      </c>
      <c r="K305">
        <f>SUMPRODUCT((MONTH(CHOOSE({1,2,3,4},HN!T305,HN!X305,HN!AB305,HN!AF305))=11)*(CHOOSE({1,2,3,4},HN!W305,HN!AA305,HN!AE305,HN!AI305)))</f>
        <v>0</v>
      </c>
      <c r="L305">
        <f>SUMPRODUCT((MONTH(CHOOSE({1,2,3,4},HN!T305,HN!X305,HN!AB305,HN!AF305))=12)*(CHOOSE({1,2,3,4},HN!W305,HN!AA305,HN!AE305,HN!AI305)))</f>
        <v>0</v>
      </c>
    </row>
    <row r="306" spans="1:12">
      <c r="A306">
        <f>SUMPRODUCT((MONTH(CHOOSE({1,2,3,4},HN!T306,HN!X306,HN!AB306,HN!AF306))=1)*(CHOOSE({1,2,3,4},HN!W306,HN!AA306,HN!AE306,HN!AI306)))</f>
        <v>0</v>
      </c>
      <c r="B306">
        <f>SUMPRODUCT((MONTH(CHOOSE({1,2,3,4},HN!T306,HN!X306,HN!AB306,HN!AF306))=2)*(CHOOSE({1,2,3,4},HN!W306,HN!AA306,HN!AE306,HN!AI306)))</f>
        <v>0</v>
      </c>
      <c r="C306">
        <f>SUMPRODUCT((MONTH(CHOOSE({1,2,3,4},HN!T306,HN!X306,HN!AB306,HN!AF306))=3)*(CHOOSE({1,2,3,4},HN!W306,HN!AA306,HN!AE306,HN!AI306)))</f>
        <v>0</v>
      </c>
      <c r="D306">
        <f>SUMPRODUCT((MONTH(CHOOSE({1,2,3,4},HN!T306,HN!X306,HN!AB306,HN!AF306))=4)*(CHOOSE({1,2,3,4},HN!W306,HN!AA306,HN!AE306,HN!AI306)))</f>
        <v>0</v>
      </c>
      <c r="E306">
        <f>SUMPRODUCT((MONTH(CHOOSE({1,2,3,4},HN!T306,HN!X306,HN!AB306,HN!AF306))=5)*(CHOOSE({1,2,3,4},HN!W306,HN!AA306,HN!AE306,HN!AI306)))</f>
        <v>0</v>
      </c>
      <c r="F306">
        <f>SUMPRODUCT((MONTH(CHOOSE({1,2,3,4},HN!T306,HN!X306,HN!AB306,HN!AF306))=6)*(CHOOSE({1,2,3,4},HN!W306,HN!AA306,HN!AE306,HN!AI306)))</f>
        <v>0</v>
      </c>
      <c r="G306">
        <f>SUMPRODUCT((MONTH(CHOOSE({1,2,3,4},HN!T306,HN!X306,HN!AB306,HN!AF306))=7)*(CHOOSE({1,2,3,4},HN!W306,HN!AA306,HN!AE306,HN!AI306)))</f>
        <v>0</v>
      </c>
      <c r="H306">
        <f>SUMPRODUCT((MONTH(CHOOSE({1,2,3,4},HN!T306,HN!X306,HN!AB306,HN!AF306))=8)*(CHOOSE({1,2,3,4},HN!W306,HN!AA306,HN!AE306,HN!AI306)))</f>
        <v>0</v>
      </c>
      <c r="I306">
        <f>SUMPRODUCT((MONTH(CHOOSE({1,2,3,4},HN!T306,HN!X306,HN!AB306,HN!AF306))=9)*(CHOOSE({1,2,3,4},HN!W306,HN!AA306,HN!AE306,HN!AI306)))</f>
        <v>0</v>
      </c>
      <c r="J306">
        <f>SUMPRODUCT((MONTH(CHOOSE({1,2,3,4},HN!T306,HN!X306,HN!AB306,HN!AF306))=10)*(CHOOSE({1,2,3,4},HN!W306,HN!AA306,HN!AE306,HN!AI306)))</f>
        <v>0</v>
      </c>
      <c r="K306">
        <f>SUMPRODUCT((MONTH(CHOOSE({1,2,3,4},HN!T306,HN!X306,HN!AB306,HN!AF306))=11)*(CHOOSE({1,2,3,4},HN!W306,HN!AA306,HN!AE306,HN!AI306)))</f>
        <v>0</v>
      </c>
      <c r="L306">
        <f>SUMPRODUCT((MONTH(CHOOSE({1,2,3,4},HN!T306,HN!X306,HN!AB306,HN!AF306))=12)*(CHOOSE({1,2,3,4},HN!W306,HN!AA306,HN!AE306,HN!AI306)))</f>
        <v>0</v>
      </c>
    </row>
    <row r="307" spans="1:12">
      <c r="A307">
        <f>SUMPRODUCT((MONTH(CHOOSE({1,2,3,4},HN!T307,HN!X307,HN!AB307,HN!AF307))=1)*(CHOOSE({1,2,3,4},HN!W307,HN!AA307,HN!AE307,HN!AI307)))</f>
        <v>0</v>
      </c>
      <c r="B307">
        <f>SUMPRODUCT((MONTH(CHOOSE({1,2,3,4},HN!T307,HN!X307,HN!AB307,HN!AF307))=2)*(CHOOSE({1,2,3,4},HN!W307,HN!AA307,HN!AE307,HN!AI307)))</f>
        <v>0</v>
      </c>
      <c r="C307">
        <f>SUMPRODUCT((MONTH(CHOOSE({1,2,3,4},HN!T307,HN!X307,HN!AB307,HN!AF307))=3)*(CHOOSE({1,2,3,4},HN!W307,HN!AA307,HN!AE307,HN!AI307)))</f>
        <v>0</v>
      </c>
      <c r="D307">
        <f>SUMPRODUCT((MONTH(CHOOSE({1,2,3,4},HN!T307,HN!X307,HN!AB307,HN!AF307))=4)*(CHOOSE({1,2,3,4},HN!W307,HN!AA307,HN!AE307,HN!AI307)))</f>
        <v>0</v>
      </c>
      <c r="E307">
        <f>SUMPRODUCT((MONTH(CHOOSE({1,2,3,4},HN!T307,HN!X307,HN!AB307,HN!AF307))=5)*(CHOOSE({1,2,3,4},HN!W307,HN!AA307,HN!AE307,HN!AI307)))</f>
        <v>0</v>
      </c>
      <c r="F307">
        <f>SUMPRODUCT((MONTH(CHOOSE({1,2,3,4},HN!T307,HN!X307,HN!AB307,HN!AF307))=6)*(CHOOSE({1,2,3,4},HN!W307,HN!AA307,HN!AE307,HN!AI307)))</f>
        <v>0</v>
      </c>
      <c r="G307">
        <f>SUMPRODUCT((MONTH(CHOOSE({1,2,3,4},HN!T307,HN!X307,HN!AB307,HN!AF307))=7)*(CHOOSE({1,2,3,4},HN!W307,HN!AA307,HN!AE307,HN!AI307)))</f>
        <v>0</v>
      </c>
      <c r="H307">
        <f>SUMPRODUCT((MONTH(CHOOSE({1,2,3,4},HN!T307,HN!X307,HN!AB307,HN!AF307))=8)*(CHOOSE({1,2,3,4},HN!W307,HN!AA307,HN!AE307,HN!AI307)))</f>
        <v>0</v>
      </c>
      <c r="I307">
        <f>SUMPRODUCT((MONTH(CHOOSE({1,2,3,4},HN!T307,HN!X307,HN!AB307,HN!AF307))=9)*(CHOOSE({1,2,3,4},HN!W307,HN!AA307,HN!AE307,HN!AI307)))</f>
        <v>0</v>
      </c>
      <c r="J307">
        <f>SUMPRODUCT((MONTH(CHOOSE({1,2,3,4},HN!T307,HN!X307,HN!AB307,HN!AF307))=10)*(CHOOSE({1,2,3,4},HN!W307,HN!AA307,HN!AE307,HN!AI307)))</f>
        <v>0</v>
      </c>
      <c r="K307">
        <f>SUMPRODUCT((MONTH(CHOOSE({1,2,3,4},HN!T307,HN!X307,HN!AB307,HN!AF307))=11)*(CHOOSE({1,2,3,4},HN!W307,HN!AA307,HN!AE307,HN!AI307)))</f>
        <v>0</v>
      </c>
      <c r="L307">
        <f>SUMPRODUCT((MONTH(CHOOSE({1,2,3,4},HN!T307,HN!X307,HN!AB307,HN!AF307))=12)*(CHOOSE({1,2,3,4},HN!W307,HN!AA307,HN!AE307,HN!AI307)))</f>
        <v>0</v>
      </c>
    </row>
    <row r="308" spans="1:12">
      <c r="A308">
        <f>SUMPRODUCT((MONTH(CHOOSE({1,2,3,4},HN!T308,HN!X308,HN!AB308,HN!AF308))=1)*(CHOOSE({1,2,3,4},HN!W308,HN!AA308,HN!AE308,HN!AI308)))</f>
        <v>0</v>
      </c>
      <c r="B308">
        <f>SUMPRODUCT((MONTH(CHOOSE({1,2,3,4},HN!T308,HN!X308,HN!AB308,HN!AF308))=2)*(CHOOSE({1,2,3,4},HN!W308,HN!AA308,HN!AE308,HN!AI308)))</f>
        <v>0</v>
      </c>
      <c r="C308">
        <f>SUMPRODUCT((MONTH(CHOOSE({1,2,3,4},HN!T308,HN!X308,HN!AB308,HN!AF308))=3)*(CHOOSE({1,2,3,4},HN!W308,HN!AA308,HN!AE308,HN!AI308)))</f>
        <v>0</v>
      </c>
      <c r="D308">
        <f>SUMPRODUCT((MONTH(CHOOSE({1,2,3,4},HN!T308,HN!X308,HN!AB308,HN!AF308))=4)*(CHOOSE({1,2,3,4},HN!W308,HN!AA308,HN!AE308,HN!AI308)))</f>
        <v>0</v>
      </c>
      <c r="E308">
        <f>SUMPRODUCT((MONTH(CHOOSE({1,2,3,4},HN!T308,HN!X308,HN!AB308,HN!AF308))=5)*(CHOOSE({1,2,3,4},HN!W308,HN!AA308,HN!AE308,HN!AI308)))</f>
        <v>0</v>
      </c>
      <c r="F308">
        <f>SUMPRODUCT((MONTH(CHOOSE({1,2,3,4},HN!T308,HN!X308,HN!AB308,HN!AF308))=6)*(CHOOSE({1,2,3,4},HN!W308,HN!AA308,HN!AE308,HN!AI308)))</f>
        <v>0</v>
      </c>
      <c r="G308">
        <f>SUMPRODUCT((MONTH(CHOOSE({1,2,3,4},HN!T308,HN!X308,HN!AB308,HN!AF308))=7)*(CHOOSE({1,2,3,4},HN!W308,HN!AA308,HN!AE308,HN!AI308)))</f>
        <v>0</v>
      </c>
      <c r="H308">
        <f>SUMPRODUCT((MONTH(CHOOSE({1,2,3,4},HN!T308,HN!X308,HN!AB308,HN!AF308))=8)*(CHOOSE({1,2,3,4},HN!W308,HN!AA308,HN!AE308,HN!AI308)))</f>
        <v>0</v>
      </c>
      <c r="I308">
        <f>SUMPRODUCT((MONTH(CHOOSE({1,2,3,4},HN!T308,HN!X308,HN!AB308,HN!AF308))=9)*(CHOOSE({1,2,3,4},HN!W308,HN!AA308,HN!AE308,HN!AI308)))</f>
        <v>0</v>
      </c>
      <c r="J308">
        <f>SUMPRODUCT((MONTH(CHOOSE({1,2,3,4},HN!T308,HN!X308,HN!AB308,HN!AF308))=10)*(CHOOSE({1,2,3,4},HN!W308,HN!AA308,HN!AE308,HN!AI308)))</f>
        <v>0</v>
      </c>
      <c r="K308">
        <f>SUMPRODUCT((MONTH(CHOOSE({1,2,3,4},HN!T308,HN!X308,HN!AB308,HN!AF308))=11)*(CHOOSE({1,2,3,4},HN!W308,HN!AA308,HN!AE308,HN!AI308)))</f>
        <v>0</v>
      </c>
      <c r="L308">
        <f>SUMPRODUCT((MONTH(CHOOSE({1,2,3,4},HN!T308,HN!X308,HN!AB308,HN!AF308))=12)*(CHOOSE({1,2,3,4},HN!W308,HN!AA308,HN!AE308,HN!AI308)))</f>
        <v>0</v>
      </c>
    </row>
    <row r="309" spans="1:12">
      <c r="A309">
        <f>SUMPRODUCT((MONTH(CHOOSE({1,2,3,4},HN!T309,HN!X309,HN!AB309,HN!AF309))=1)*(CHOOSE({1,2,3,4},HN!W309,HN!AA309,HN!AE309,HN!AI309)))</f>
        <v>0</v>
      </c>
      <c r="B309">
        <f>SUMPRODUCT((MONTH(CHOOSE({1,2,3,4},HN!T309,HN!X309,HN!AB309,HN!AF309))=2)*(CHOOSE({1,2,3,4},HN!W309,HN!AA309,HN!AE309,HN!AI309)))</f>
        <v>0</v>
      </c>
      <c r="C309">
        <f>SUMPRODUCT((MONTH(CHOOSE({1,2,3,4},HN!T309,HN!X309,HN!AB309,HN!AF309))=3)*(CHOOSE({1,2,3,4},HN!W309,HN!AA309,HN!AE309,HN!AI309)))</f>
        <v>0</v>
      </c>
      <c r="D309">
        <f>SUMPRODUCT((MONTH(CHOOSE({1,2,3,4},HN!T309,HN!X309,HN!AB309,HN!AF309))=4)*(CHOOSE({1,2,3,4},HN!W309,HN!AA309,HN!AE309,HN!AI309)))</f>
        <v>0</v>
      </c>
      <c r="E309">
        <f>SUMPRODUCT((MONTH(CHOOSE({1,2,3,4},HN!T309,HN!X309,HN!AB309,HN!AF309))=5)*(CHOOSE({1,2,3,4},HN!W309,HN!AA309,HN!AE309,HN!AI309)))</f>
        <v>0</v>
      </c>
      <c r="F309">
        <f>SUMPRODUCT((MONTH(CHOOSE({1,2,3,4},HN!T309,HN!X309,HN!AB309,HN!AF309))=6)*(CHOOSE({1,2,3,4},HN!W309,HN!AA309,HN!AE309,HN!AI309)))</f>
        <v>0</v>
      </c>
      <c r="G309">
        <f>SUMPRODUCT((MONTH(CHOOSE({1,2,3,4},HN!T309,HN!X309,HN!AB309,HN!AF309))=7)*(CHOOSE({1,2,3,4},HN!W309,HN!AA309,HN!AE309,HN!AI309)))</f>
        <v>0</v>
      </c>
      <c r="H309">
        <f>SUMPRODUCT((MONTH(CHOOSE({1,2,3,4},HN!T309,HN!X309,HN!AB309,HN!AF309))=8)*(CHOOSE({1,2,3,4},HN!W309,HN!AA309,HN!AE309,HN!AI309)))</f>
        <v>0</v>
      </c>
      <c r="I309">
        <f>SUMPRODUCT((MONTH(CHOOSE({1,2,3,4},HN!T309,HN!X309,HN!AB309,HN!AF309))=9)*(CHOOSE({1,2,3,4},HN!W309,HN!AA309,HN!AE309,HN!AI309)))</f>
        <v>0</v>
      </c>
      <c r="J309">
        <f>SUMPRODUCT((MONTH(CHOOSE({1,2,3,4},HN!T309,HN!X309,HN!AB309,HN!AF309))=10)*(CHOOSE({1,2,3,4},HN!W309,HN!AA309,HN!AE309,HN!AI309)))</f>
        <v>0</v>
      </c>
      <c r="K309">
        <f>SUMPRODUCT((MONTH(CHOOSE({1,2,3,4},HN!T309,HN!X309,HN!AB309,HN!AF309))=11)*(CHOOSE({1,2,3,4},HN!W309,HN!AA309,HN!AE309,HN!AI309)))</f>
        <v>0</v>
      </c>
      <c r="L309">
        <f>SUMPRODUCT((MONTH(CHOOSE({1,2,3,4},HN!T309,HN!X309,HN!AB309,HN!AF309))=12)*(CHOOSE({1,2,3,4},HN!W309,HN!AA309,HN!AE309,HN!AI309)))</f>
        <v>0</v>
      </c>
    </row>
    <row r="310" spans="1:12">
      <c r="A310">
        <f>SUMPRODUCT((MONTH(CHOOSE({1,2,3,4},HN!T310,HN!X310,HN!AB310,HN!AF310))=1)*(CHOOSE({1,2,3,4},HN!W310,HN!AA310,HN!AE310,HN!AI310)))</f>
        <v>0</v>
      </c>
      <c r="B310">
        <f>SUMPRODUCT((MONTH(CHOOSE({1,2,3,4},HN!T310,HN!X310,HN!AB310,HN!AF310))=2)*(CHOOSE({1,2,3,4},HN!W310,HN!AA310,HN!AE310,HN!AI310)))</f>
        <v>0</v>
      </c>
      <c r="C310">
        <f>SUMPRODUCT((MONTH(CHOOSE({1,2,3,4},HN!T310,HN!X310,HN!AB310,HN!AF310))=3)*(CHOOSE({1,2,3,4},HN!W310,HN!AA310,HN!AE310,HN!AI310)))</f>
        <v>0</v>
      </c>
      <c r="D310">
        <f>SUMPRODUCT((MONTH(CHOOSE({1,2,3,4},HN!T310,HN!X310,HN!AB310,HN!AF310))=4)*(CHOOSE({1,2,3,4},HN!W310,HN!AA310,HN!AE310,HN!AI310)))</f>
        <v>0</v>
      </c>
      <c r="E310">
        <f>SUMPRODUCT((MONTH(CHOOSE({1,2,3,4},HN!T310,HN!X310,HN!AB310,HN!AF310))=5)*(CHOOSE({1,2,3,4},HN!W310,HN!AA310,HN!AE310,HN!AI310)))</f>
        <v>0</v>
      </c>
      <c r="F310">
        <f>SUMPRODUCT((MONTH(CHOOSE({1,2,3,4},HN!T310,HN!X310,HN!AB310,HN!AF310))=6)*(CHOOSE({1,2,3,4},HN!W310,HN!AA310,HN!AE310,HN!AI310)))</f>
        <v>0</v>
      </c>
      <c r="G310">
        <f>SUMPRODUCT((MONTH(CHOOSE({1,2,3,4},HN!T310,HN!X310,HN!AB310,HN!AF310))=7)*(CHOOSE({1,2,3,4},HN!W310,HN!AA310,HN!AE310,HN!AI310)))</f>
        <v>0</v>
      </c>
      <c r="H310">
        <f>SUMPRODUCT((MONTH(CHOOSE({1,2,3,4},HN!T310,HN!X310,HN!AB310,HN!AF310))=8)*(CHOOSE({1,2,3,4},HN!W310,HN!AA310,HN!AE310,HN!AI310)))</f>
        <v>0</v>
      </c>
      <c r="I310">
        <f>SUMPRODUCT((MONTH(CHOOSE({1,2,3,4},HN!T310,HN!X310,HN!AB310,HN!AF310))=9)*(CHOOSE({1,2,3,4},HN!W310,HN!AA310,HN!AE310,HN!AI310)))</f>
        <v>0</v>
      </c>
      <c r="J310">
        <f>SUMPRODUCT((MONTH(CHOOSE({1,2,3,4},HN!T310,HN!X310,HN!AB310,HN!AF310))=10)*(CHOOSE({1,2,3,4},HN!W310,HN!AA310,HN!AE310,HN!AI310)))</f>
        <v>0</v>
      </c>
      <c r="K310">
        <f>SUMPRODUCT((MONTH(CHOOSE({1,2,3,4},HN!T310,HN!X310,HN!AB310,HN!AF310))=11)*(CHOOSE({1,2,3,4},HN!W310,HN!AA310,HN!AE310,HN!AI310)))</f>
        <v>0</v>
      </c>
      <c r="L310">
        <f>SUMPRODUCT((MONTH(CHOOSE({1,2,3,4},HN!T310,HN!X310,HN!AB310,HN!AF310))=12)*(CHOOSE({1,2,3,4},HN!W310,HN!AA310,HN!AE310,HN!AI310)))</f>
        <v>0</v>
      </c>
    </row>
    <row r="311" spans="1:12">
      <c r="A311">
        <f>SUMPRODUCT((MONTH(CHOOSE({1,2,3,4},HN!T311,HN!X311,HN!AB311,HN!AF311))=1)*(CHOOSE({1,2,3,4},HN!W311,HN!AA311,HN!AE311,HN!AI311)))</f>
        <v>0</v>
      </c>
      <c r="B311">
        <f>SUMPRODUCT((MONTH(CHOOSE({1,2,3,4},HN!T311,HN!X311,HN!AB311,HN!AF311))=2)*(CHOOSE({1,2,3,4},HN!W311,HN!AA311,HN!AE311,HN!AI311)))</f>
        <v>0</v>
      </c>
      <c r="C311">
        <f>SUMPRODUCT((MONTH(CHOOSE({1,2,3,4},HN!T311,HN!X311,HN!AB311,HN!AF311))=3)*(CHOOSE({1,2,3,4},HN!W311,HN!AA311,HN!AE311,HN!AI311)))</f>
        <v>0</v>
      </c>
      <c r="D311">
        <f>SUMPRODUCT((MONTH(CHOOSE({1,2,3,4},HN!T311,HN!X311,HN!AB311,HN!AF311))=4)*(CHOOSE({1,2,3,4},HN!W311,HN!AA311,HN!AE311,HN!AI311)))</f>
        <v>0</v>
      </c>
      <c r="E311">
        <f>SUMPRODUCT((MONTH(CHOOSE({1,2,3,4},HN!T311,HN!X311,HN!AB311,HN!AF311))=5)*(CHOOSE({1,2,3,4},HN!W311,HN!AA311,HN!AE311,HN!AI311)))</f>
        <v>0</v>
      </c>
      <c r="F311">
        <f>SUMPRODUCT((MONTH(CHOOSE({1,2,3,4},HN!T311,HN!X311,HN!AB311,HN!AF311))=6)*(CHOOSE({1,2,3,4},HN!W311,HN!AA311,HN!AE311,HN!AI311)))</f>
        <v>0</v>
      </c>
      <c r="G311">
        <f>SUMPRODUCT((MONTH(CHOOSE({1,2,3,4},HN!T311,HN!X311,HN!AB311,HN!AF311))=7)*(CHOOSE({1,2,3,4},HN!W311,HN!AA311,HN!AE311,HN!AI311)))</f>
        <v>0</v>
      </c>
      <c r="H311">
        <f>SUMPRODUCT((MONTH(CHOOSE({1,2,3,4},HN!T311,HN!X311,HN!AB311,HN!AF311))=8)*(CHOOSE({1,2,3,4},HN!W311,HN!AA311,HN!AE311,HN!AI311)))</f>
        <v>0</v>
      </c>
      <c r="I311">
        <f>SUMPRODUCT((MONTH(CHOOSE({1,2,3,4},HN!T311,HN!X311,HN!AB311,HN!AF311))=9)*(CHOOSE({1,2,3,4},HN!W311,HN!AA311,HN!AE311,HN!AI311)))</f>
        <v>0</v>
      </c>
      <c r="J311">
        <f>SUMPRODUCT((MONTH(CHOOSE({1,2,3,4},HN!T311,HN!X311,HN!AB311,HN!AF311))=10)*(CHOOSE({1,2,3,4},HN!W311,HN!AA311,HN!AE311,HN!AI311)))</f>
        <v>0</v>
      </c>
      <c r="K311">
        <f>SUMPRODUCT((MONTH(CHOOSE({1,2,3,4},HN!T311,HN!X311,HN!AB311,HN!AF311))=11)*(CHOOSE({1,2,3,4},HN!W311,HN!AA311,HN!AE311,HN!AI311)))</f>
        <v>0</v>
      </c>
      <c r="L311">
        <f>SUMPRODUCT((MONTH(CHOOSE({1,2,3,4},HN!T311,HN!X311,HN!AB311,HN!AF311))=12)*(CHOOSE({1,2,3,4},HN!W311,HN!AA311,HN!AE311,HN!AI311)))</f>
        <v>0</v>
      </c>
    </row>
    <row r="312" spans="1:12">
      <c r="A312">
        <f>SUMPRODUCT((MONTH(CHOOSE({1,2,3,4},HN!T312,HN!X312,HN!AB312,HN!AF312))=1)*(CHOOSE({1,2,3,4},HN!W312,HN!AA312,HN!AE312,HN!AI312)))</f>
        <v>0</v>
      </c>
      <c r="B312">
        <f>SUMPRODUCT((MONTH(CHOOSE({1,2,3,4},HN!T312,HN!X312,HN!AB312,HN!AF312))=2)*(CHOOSE({1,2,3,4},HN!W312,HN!AA312,HN!AE312,HN!AI312)))</f>
        <v>0</v>
      </c>
      <c r="C312">
        <f>SUMPRODUCT((MONTH(CHOOSE({1,2,3,4},HN!T312,HN!X312,HN!AB312,HN!AF312))=3)*(CHOOSE({1,2,3,4},HN!W312,HN!AA312,HN!AE312,HN!AI312)))</f>
        <v>0</v>
      </c>
      <c r="D312">
        <f>SUMPRODUCT((MONTH(CHOOSE({1,2,3,4},HN!T312,HN!X312,HN!AB312,HN!AF312))=4)*(CHOOSE({1,2,3,4},HN!W312,HN!AA312,HN!AE312,HN!AI312)))</f>
        <v>0</v>
      </c>
      <c r="E312">
        <f>SUMPRODUCT((MONTH(CHOOSE({1,2,3,4},HN!T312,HN!X312,HN!AB312,HN!AF312))=5)*(CHOOSE({1,2,3,4},HN!W312,HN!AA312,HN!AE312,HN!AI312)))</f>
        <v>0</v>
      </c>
      <c r="F312">
        <f>SUMPRODUCT((MONTH(CHOOSE({1,2,3,4},HN!T312,HN!X312,HN!AB312,HN!AF312))=6)*(CHOOSE({1,2,3,4},HN!W312,HN!AA312,HN!AE312,HN!AI312)))</f>
        <v>0</v>
      </c>
      <c r="G312">
        <f>SUMPRODUCT((MONTH(CHOOSE({1,2,3,4},HN!T312,HN!X312,HN!AB312,HN!AF312))=7)*(CHOOSE({1,2,3,4},HN!W312,HN!AA312,HN!AE312,HN!AI312)))</f>
        <v>0</v>
      </c>
      <c r="H312">
        <f>SUMPRODUCT((MONTH(CHOOSE({1,2,3,4},HN!T312,HN!X312,HN!AB312,HN!AF312))=8)*(CHOOSE({1,2,3,4},HN!W312,HN!AA312,HN!AE312,HN!AI312)))</f>
        <v>0</v>
      </c>
      <c r="I312">
        <f>SUMPRODUCT((MONTH(CHOOSE({1,2,3,4},HN!T312,HN!X312,HN!AB312,HN!AF312))=9)*(CHOOSE({1,2,3,4},HN!W312,HN!AA312,HN!AE312,HN!AI312)))</f>
        <v>0</v>
      </c>
      <c r="J312">
        <f>SUMPRODUCT((MONTH(CHOOSE({1,2,3,4},HN!T312,HN!X312,HN!AB312,HN!AF312))=10)*(CHOOSE({1,2,3,4},HN!W312,HN!AA312,HN!AE312,HN!AI312)))</f>
        <v>0</v>
      </c>
      <c r="K312">
        <f>SUMPRODUCT((MONTH(CHOOSE({1,2,3,4},HN!T312,HN!X312,HN!AB312,HN!AF312))=11)*(CHOOSE({1,2,3,4},HN!W312,HN!AA312,HN!AE312,HN!AI312)))</f>
        <v>0</v>
      </c>
      <c r="L312">
        <f>SUMPRODUCT((MONTH(CHOOSE({1,2,3,4},HN!T312,HN!X312,HN!AB312,HN!AF312))=12)*(CHOOSE({1,2,3,4},HN!W312,HN!AA312,HN!AE312,HN!AI312)))</f>
        <v>0</v>
      </c>
    </row>
    <row r="313" spans="1:12">
      <c r="A313">
        <f>SUMPRODUCT((MONTH(CHOOSE({1,2,3,4},HN!T313,HN!X313,HN!AB313,HN!AF313))=1)*(CHOOSE({1,2,3,4},HN!W313,HN!AA313,HN!AE313,HN!AI313)))</f>
        <v>0</v>
      </c>
      <c r="B313">
        <f>SUMPRODUCT((MONTH(CHOOSE({1,2,3,4},HN!T313,HN!X313,HN!AB313,HN!AF313))=2)*(CHOOSE({1,2,3,4},HN!W313,HN!AA313,HN!AE313,HN!AI313)))</f>
        <v>0</v>
      </c>
      <c r="C313">
        <f>SUMPRODUCT((MONTH(CHOOSE({1,2,3,4},HN!T313,HN!X313,HN!AB313,HN!AF313))=3)*(CHOOSE({1,2,3,4},HN!W313,HN!AA313,HN!AE313,HN!AI313)))</f>
        <v>0</v>
      </c>
      <c r="D313">
        <f>SUMPRODUCT((MONTH(CHOOSE({1,2,3,4},HN!T313,HN!X313,HN!AB313,HN!AF313))=4)*(CHOOSE({1,2,3,4},HN!W313,HN!AA313,HN!AE313,HN!AI313)))</f>
        <v>0</v>
      </c>
      <c r="E313">
        <f>SUMPRODUCT((MONTH(CHOOSE({1,2,3,4},HN!T313,HN!X313,HN!AB313,HN!AF313))=5)*(CHOOSE({1,2,3,4},HN!W313,HN!AA313,HN!AE313,HN!AI313)))</f>
        <v>0</v>
      </c>
      <c r="F313">
        <f>SUMPRODUCT((MONTH(CHOOSE({1,2,3,4},HN!T313,HN!X313,HN!AB313,HN!AF313))=6)*(CHOOSE({1,2,3,4},HN!W313,HN!AA313,HN!AE313,HN!AI313)))</f>
        <v>0</v>
      </c>
      <c r="G313">
        <f>SUMPRODUCT((MONTH(CHOOSE({1,2,3,4},HN!T313,HN!X313,HN!AB313,HN!AF313))=7)*(CHOOSE({1,2,3,4},HN!W313,HN!AA313,HN!AE313,HN!AI313)))</f>
        <v>0</v>
      </c>
      <c r="H313">
        <f>SUMPRODUCT((MONTH(CHOOSE({1,2,3,4},HN!T313,HN!X313,HN!AB313,HN!AF313))=8)*(CHOOSE({1,2,3,4},HN!W313,HN!AA313,HN!AE313,HN!AI313)))</f>
        <v>0</v>
      </c>
      <c r="I313">
        <f>SUMPRODUCT((MONTH(CHOOSE({1,2,3,4},HN!T313,HN!X313,HN!AB313,HN!AF313))=9)*(CHOOSE({1,2,3,4},HN!W313,HN!AA313,HN!AE313,HN!AI313)))</f>
        <v>0</v>
      </c>
      <c r="J313">
        <f>SUMPRODUCT((MONTH(CHOOSE({1,2,3,4},HN!T313,HN!X313,HN!AB313,HN!AF313))=10)*(CHOOSE({1,2,3,4},HN!W313,HN!AA313,HN!AE313,HN!AI313)))</f>
        <v>0</v>
      </c>
      <c r="K313">
        <f>SUMPRODUCT((MONTH(CHOOSE({1,2,3,4},HN!T313,HN!X313,HN!AB313,HN!AF313))=11)*(CHOOSE({1,2,3,4},HN!W313,HN!AA313,HN!AE313,HN!AI313)))</f>
        <v>0</v>
      </c>
      <c r="L313">
        <f>SUMPRODUCT((MONTH(CHOOSE({1,2,3,4},HN!T313,HN!X313,HN!AB313,HN!AF313))=12)*(CHOOSE({1,2,3,4},HN!W313,HN!AA313,HN!AE313,HN!AI313)))</f>
        <v>0</v>
      </c>
    </row>
    <row r="314" spans="1:12">
      <c r="A314">
        <f>SUMPRODUCT((MONTH(CHOOSE({1,2,3,4},HN!T314,HN!X314,HN!AB314,HN!AF314))=1)*(CHOOSE({1,2,3,4},HN!W314,HN!AA314,HN!AE314,HN!AI314)))</f>
        <v>0</v>
      </c>
      <c r="B314">
        <f>SUMPRODUCT((MONTH(CHOOSE({1,2,3,4},HN!T314,HN!X314,HN!AB314,HN!AF314))=2)*(CHOOSE({1,2,3,4},HN!W314,HN!AA314,HN!AE314,HN!AI314)))</f>
        <v>0</v>
      </c>
      <c r="C314">
        <f>SUMPRODUCT((MONTH(CHOOSE({1,2,3,4},HN!T314,HN!X314,HN!AB314,HN!AF314))=3)*(CHOOSE({1,2,3,4},HN!W314,HN!AA314,HN!AE314,HN!AI314)))</f>
        <v>0</v>
      </c>
      <c r="D314">
        <f>SUMPRODUCT((MONTH(CHOOSE({1,2,3,4},HN!T314,HN!X314,HN!AB314,HN!AF314))=4)*(CHOOSE({1,2,3,4},HN!W314,HN!AA314,HN!AE314,HN!AI314)))</f>
        <v>0</v>
      </c>
      <c r="E314">
        <f>SUMPRODUCT((MONTH(CHOOSE({1,2,3,4},HN!T314,HN!X314,HN!AB314,HN!AF314))=5)*(CHOOSE({1,2,3,4},HN!W314,HN!AA314,HN!AE314,HN!AI314)))</f>
        <v>0</v>
      </c>
      <c r="F314">
        <f>SUMPRODUCT((MONTH(CHOOSE({1,2,3,4},HN!T314,HN!X314,HN!AB314,HN!AF314))=6)*(CHOOSE({1,2,3,4},HN!W314,HN!AA314,HN!AE314,HN!AI314)))</f>
        <v>0</v>
      </c>
      <c r="G314">
        <f>SUMPRODUCT((MONTH(CHOOSE({1,2,3,4},HN!T314,HN!X314,HN!AB314,HN!AF314))=7)*(CHOOSE({1,2,3,4},HN!W314,HN!AA314,HN!AE314,HN!AI314)))</f>
        <v>0</v>
      </c>
      <c r="H314">
        <f>SUMPRODUCT((MONTH(CHOOSE({1,2,3,4},HN!T314,HN!X314,HN!AB314,HN!AF314))=8)*(CHOOSE({1,2,3,4},HN!W314,HN!AA314,HN!AE314,HN!AI314)))</f>
        <v>0</v>
      </c>
      <c r="I314">
        <f>SUMPRODUCT((MONTH(CHOOSE({1,2,3,4},HN!T314,HN!X314,HN!AB314,HN!AF314))=9)*(CHOOSE({1,2,3,4},HN!W314,HN!AA314,HN!AE314,HN!AI314)))</f>
        <v>0</v>
      </c>
      <c r="J314">
        <f>SUMPRODUCT((MONTH(CHOOSE({1,2,3,4},HN!T314,HN!X314,HN!AB314,HN!AF314))=10)*(CHOOSE({1,2,3,4},HN!W314,HN!AA314,HN!AE314,HN!AI314)))</f>
        <v>0</v>
      </c>
      <c r="K314">
        <f>SUMPRODUCT((MONTH(CHOOSE({1,2,3,4},HN!T314,HN!X314,HN!AB314,HN!AF314))=11)*(CHOOSE({1,2,3,4},HN!W314,HN!AA314,HN!AE314,HN!AI314)))</f>
        <v>0</v>
      </c>
      <c r="L314">
        <f>SUMPRODUCT((MONTH(CHOOSE({1,2,3,4},HN!T314,HN!X314,HN!AB314,HN!AF314))=12)*(CHOOSE({1,2,3,4},HN!W314,HN!AA314,HN!AE314,HN!AI314)))</f>
        <v>0</v>
      </c>
    </row>
    <row r="315" spans="1:12">
      <c r="A315">
        <f>SUMPRODUCT((MONTH(CHOOSE({1,2,3,4},HN!T315,HN!X315,HN!AB315,HN!AF315))=1)*(CHOOSE({1,2,3,4},HN!W315,HN!AA315,HN!AE315,HN!AI315)))</f>
        <v>0</v>
      </c>
      <c r="B315">
        <f>SUMPRODUCT((MONTH(CHOOSE({1,2,3,4},HN!T315,HN!X315,HN!AB315,HN!AF315))=2)*(CHOOSE({1,2,3,4},HN!W315,HN!AA315,HN!AE315,HN!AI315)))</f>
        <v>0</v>
      </c>
      <c r="C315">
        <f>SUMPRODUCT((MONTH(CHOOSE({1,2,3,4},HN!T315,HN!X315,HN!AB315,HN!AF315))=3)*(CHOOSE({1,2,3,4},HN!W315,HN!AA315,HN!AE315,HN!AI315)))</f>
        <v>0</v>
      </c>
      <c r="D315">
        <f>SUMPRODUCT((MONTH(CHOOSE({1,2,3,4},HN!T315,HN!X315,HN!AB315,HN!AF315))=4)*(CHOOSE({1,2,3,4},HN!W315,HN!AA315,HN!AE315,HN!AI315)))</f>
        <v>0</v>
      </c>
      <c r="E315">
        <f>SUMPRODUCT((MONTH(CHOOSE({1,2,3,4},HN!T315,HN!X315,HN!AB315,HN!AF315))=5)*(CHOOSE({1,2,3,4},HN!W315,HN!AA315,HN!AE315,HN!AI315)))</f>
        <v>0</v>
      </c>
      <c r="F315">
        <f>SUMPRODUCT((MONTH(CHOOSE({1,2,3,4},HN!T315,HN!X315,HN!AB315,HN!AF315))=6)*(CHOOSE({1,2,3,4},HN!W315,HN!AA315,HN!AE315,HN!AI315)))</f>
        <v>0</v>
      </c>
      <c r="G315">
        <f>SUMPRODUCT((MONTH(CHOOSE({1,2,3,4},HN!T315,HN!X315,HN!AB315,HN!AF315))=7)*(CHOOSE({1,2,3,4},HN!W315,HN!AA315,HN!AE315,HN!AI315)))</f>
        <v>0</v>
      </c>
      <c r="H315">
        <f>SUMPRODUCT((MONTH(CHOOSE({1,2,3,4},HN!T315,HN!X315,HN!AB315,HN!AF315))=8)*(CHOOSE({1,2,3,4},HN!W315,HN!AA315,HN!AE315,HN!AI315)))</f>
        <v>0</v>
      </c>
      <c r="I315">
        <f>SUMPRODUCT((MONTH(CHOOSE({1,2,3,4},HN!T315,HN!X315,HN!AB315,HN!AF315))=9)*(CHOOSE({1,2,3,4},HN!W315,HN!AA315,HN!AE315,HN!AI315)))</f>
        <v>0</v>
      </c>
      <c r="J315">
        <f>SUMPRODUCT((MONTH(CHOOSE({1,2,3,4},HN!T315,HN!X315,HN!AB315,HN!AF315))=10)*(CHOOSE({1,2,3,4},HN!W315,HN!AA315,HN!AE315,HN!AI315)))</f>
        <v>0</v>
      </c>
      <c r="K315">
        <f>SUMPRODUCT((MONTH(CHOOSE({1,2,3,4},HN!T315,HN!X315,HN!AB315,HN!AF315))=11)*(CHOOSE({1,2,3,4},HN!W315,HN!AA315,HN!AE315,HN!AI315)))</f>
        <v>0</v>
      </c>
      <c r="L315">
        <f>SUMPRODUCT((MONTH(CHOOSE({1,2,3,4},HN!T315,HN!X315,HN!AB315,HN!AF315))=12)*(CHOOSE({1,2,3,4},HN!W315,HN!AA315,HN!AE315,HN!AI315)))</f>
        <v>0</v>
      </c>
    </row>
    <row r="316" spans="1:12">
      <c r="A316">
        <f>SUMPRODUCT((MONTH(CHOOSE({1,2,3,4},HN!T316,HN!X316,HN!AB316,HN!AF316))=1)*(CHOOSE({1,2,3,4},HN!W316,HN!AA316,HN!AE316,HN!AI316)))</f>
        <v>0</v>
      </c>
      <c r="B316">
        <f>SUMPRODUCT((MONTH(CHOOSE({1,2,3,4},HN!T316,HN!X316,HN!AB316,HN!AF316))=2)*(CHOOSE({1,2,3,4},HN!W316,HN!AA316,HN!AE316,HN!AI316)))</f>
        <v>0</v>
      </c>
      <c r="C316">
        <f>SUMPRODUCT((MONTH(CHOOSE({1,2,3,4},HN!T316,HN!X316,HN!AB316,HN!AF316))=3)*(CHOOSE({1,2,3,4},HN!W316,HN!AA316,HN!AE316,HN!AI316)))</f>
        <v>0</v>
      </c>
      <c r="D316">
        <f>SUMPRODUCT((MONTH(CHOOSE({1,2,3,4},HN!T316,HN!X316,HN!AB316,HN!AF316))=4)*(CHOOSE({1,2,3,4},HN!W316,HN!AA316,HN!AE316,HN!AI316)))</f>
        <v>0</v>
      </c>
      <c r="E316">
        <f>SUMPRODUCT((MONTH(CHOOSE({1,2,3,4},HN!T316,HN!X316,HN!AB316,HN!AF316))=5)*(CHOOSE({1,2,3,4},HN!W316,HN!AA316,HN!AE316,HN!AI316)))</f>
        <v>0</v>
      </c>
      <c r="F316">
        <f>SUMPRODUCT((MONTH(CHOOSE({1,2,3,4},HN!T316,HN!X316,HN!AB316,HN!AF316))=6)*(CHOOSE({1,2,3,4},HN!W316,HN!AA316,HN!AE316,HN!AI316)))</f>
        <v>0</v>
      </c>
      <c r="G316">
        <f>SUMPRODUCT((MONTH(CHOOSE({1,2,3,4},HN!T316,HN!X316,HN!AB316,HN!AF316))=7)*(CHOOSE({1,2,3,4},HN!W316,HN!AA316,HN!AE316,HN!AI316)))</f>
        <v>0</v>
      </c>
      <c r="H316">
        <f>SUMPRODUCT((MONTH(CHOOSE({1,2,3,4},HN!T316,HN!X316,HN!AB316,HN!AF316))=8)*(CHOOSE({1,2,3,4},HN!W316,HN!AA316,HN!AE316,HN!AI316)))</f>
        <v>0</v>
      </c>
      <c r="I316">
        <f>SUMPRODUCT((MONTH(CHOOSE({1,2,3,4},HN!T316,HN!X316,HN!AB316,HN!AF316))=9)*(CHOOSE({1,2,3,4},HN!W316,HN!AA316,HN!AE316,HN!AI316)))</f>
        <v>0</v>
      </c>
      <c r="J316">
        <f>SUMPRODUCT((MONTH(CHOOSE({1,2,3,4},HN!T316,HN!X316,HN!AB316,HN!AF316))=10)*(CHOOSE({1,2,3,4},HN!W316,HN!AA316,HN!AE316,HN!AI316)))</f>
        <v>0</v>
      </c>
      <c r="K316">
        <f>SUMPRODUCT((MONTH(CHOOSE({1,2,3,4},HN!T316,HN!X316,HN!AB316,HN!AF316))=11)*(CHOOSE({1,2,3,4},HN!W316,HN!AA316,HN!AE316,HN!AI316)))</f>
        <v>0</v>
      </c>
      <c r="L316">
        <f>SUMPRODUCT((MONTH(CHOOSE({1,2,3,4},HN!T316,HN!X316,HN!AB316,HN!AF316))=12)*(CHOOSE({1,2,3,4},HN!W316,HN!AA316,HN!AE316,HN!AI316)))</f>
        <v>0</v>
      </c>
    </row>
    <row r="317" spans="1:12">
      <c r="A317">
        <f>SUMPRODUCT((MONTH(CHOOSE({1,2,3,4},HN!T317,HN!X317,HN!AB317,HN!AF317))=1)*(CHOOSE({1,2,3,4},HN!W317,HN!AA317,HN!AE317,HN!AI317)))</f>
        <v>0</v>
      </c>
      <c r="B317">
        <f>SUMPRODUCT((MONTH(CHOOSE({1,2,3,4},HN!T317,HN!X317,HN!AB317,HN!AF317))=2)*(CHOOSE({1,2,3,4},HN!W317,HN!AA317,HN!AE317,HN!AI317)))</f>
        <v>0</v>
      </c>
      <c r="C317">
        <f>SUMPRODUCT((MONTH(CHOOSE({1,2,3,4},HN!T317,HN!X317,HN!AB317,HN!AF317))=3)*(CHOOSE({1,2,3,4},HN!W317,HN!AA317,HN!AE317,HN!AI317)))</f>
        <v>0</v>
      </c>
      <c r="D317">
        <f>SUMPRODUCT((MONTH(CHOOSE({1,2,3,4},HN!T317,HN!X317,HN!AB317,HN!AF317))=4)*(CHOOSE({1,2,3,4},HN!W317,HN!AA317,HN!AE317,HN!AI317)))</f>
        <v>0</v>
      </c>
      <c r="E317">
        <f>SUMPRODUCT((MONTH(CHOOSE({1,2,3,4},HN!T317,HN!X317,HN!AB317,HN!AF317))=5)*(CHOOSE({1,2,3,4},HN!W317,HN!AA317,HN!AE317,HN!AI317)))</f>
        <v>0</v>
      </c>
      <c r="F317">
        <f>SUMPRODUCT((MONTH(CHOOSE({1,2,3,4},HN!T317,HN!X317,HN!AB317,HN!AF317))=6)*(CHOOSE({1,2,3,4},HN!W317,HN!AA317,HN!AE317,HN!AI317)))</f>
        <v>0</v>
      </c>
      <c r="G317">
        <f>SUMPRODUCT((MONTH(CHOOSE({1,2,3,4},HN!T317,HN!X317,HN!AB317,HN!AF317))=7)*(CHOOSE({1,2,3,4},HN!W317,HN!AA317,HN!AE317,HN!AI317)))</f>
        <v>0</v>
      </c>
      <c r="H317">
        <f>SUMPRODUCT((MONTH(CHOOSE({1,2,3,4},HN!T317,HN!X317,HN!AB317,HN!AF317))=8)*(CHOOSE({1,2,3,4},HN!W317,HN!AA317,HN!AE317,HN!AI317)))</f>
        <v>0</v>
      </c>
      <c r="I317">
        <f>SUMPRODUCT((MONTH(CHOOSE({1,2,3,4},HN!T317,HN!X317,HN!AB317,HN!AF317))=9)*(CHOOSE({1,2,3,4},HN!W317,HN!AA317,HN!AE317,HN!AI317)))</f>
        <v>0</v>
      </c>
      <c r="J317">
        <f>SUMPRODUCT((MONTH(CHOOSE({1,2,3,4},HN!T317,HN!X317,HN!AB317,HN!AF317))=10)*(CHOOSE({1,2,3,4},HN!W317,HN!AA317,HN!AE317,HN!AI317)))</f>
        <v>0</v>
      </c>
      <c r="K317">
        <f>SUMPRODUCT((MONTH(CHOOSE({1,2,3,4},HN!T317,HN!X317,HN!AB317,HN!AF317))=11)*(CHOOSE({1,2,3,4},HN!W317,HN!AA317,HN!AE317,HN!AI317)))</f>
        <v>0</v>
      </c>
      <c r="L317">
        <f>SUMPRODUCT((MONTH(CHOOSE({1,2,3,4},HN!T317,HN!X317,HN!AB317,HN!AF317))=12)*(CHOOSE({1,2,3,4},HN!W317,HN!AA317,HN!AE317,HN!AI317)))</f>
        <v>0</v>
      </c>
    </row>
    <row r="318" spans="1:12">
      <c r="A318">
        <f>SUMPRODUCT((MONTH(CHOOSE({1,2,3,4},HN!T318,HN!X318,HN!AB318,HN!AF318))=1)*(CHOOSE({1,2,3,4},HN!W318,HN!AA318,HN!AE318,HN!AI318)))</f>
        <v>0</v>
      </c>
      <c r="B318">
        <f>SUMPRODUCT((MONTH(CHOOSE({1,2,3,4},HN!T318,HN!X318,HN!AB318,HN!AF318))=2)*(CHOOSE({1,2,3,4},HN!W318,HN!AA318,HN!AE318,HN!AI318)))</f>
        <v>0</v>
      </c>
      <c r="C318">
        <f>SUMPRODUCT((MONTH(CHOOSE({1,2,3,4},HN!T318,HN!X318,HN!AB318,HN!AF318))=3)*(CHOOSE({1,2,3,4},HN!W318,HN!AA318,HN!AE318,HN!AI318)))</f>
        <v>0</v>
      </c>
      <c r="D318">
        <f>SUMPRODUCT((MONTH(CHOOSE({1,2,3,4},HN!T318,HN!X318,HN!AB318,HN!AF318))=4)*(CHOOSE({1,2,3,4},HN!W318,HN!AA318,HN!AE318,HN!AI318)))</f>
        <v>0</v>
      </c>
      <c r="E318">
        <f>SUMPRODUCT((MONTH(CHOOSE({1,2,3,4},HN!T318,HN!X318,HN!AB318,HN!AF318))=5)*(CHOOSE({1,2,3,4},HN!W318,HN!AA318,HN!AE318,HN!AI318)))</f>
        <v>0</v>
      </c>
      <c r="F318">
        <f>SUMPRODUCT((MONTH(CHOOSE({1,2,3,4},HN!T318,HN!X318,HN!AB318,HN!AF318))=6)*(CHOOSE({1,2,3,4},HN!W318,HN!AA318,HN!AE318,HN!AI318)))</f>
        <v>0</v>
      </c>
      <c r="G318">
        <f>SUMPRODUCT((MONTH(CHOOSE({1,2,3,4},HN!T318,HN!X318,HN!AB318,HN!AF318))=7)*(CHOOSE({1,2,3,4},HN!W318,HN!AA318,HN!AE318,HN!AI318)))</f>
        <v>0</v>
      </c>
      <c r="H318">
        <f>SUMPRODUCT((MONTH(CHOOSE({1,2,3,4},HN!T318,HN!X318,HN!AB318,HN!AF318))=8)*(CHOOSE({1,2,3,4},HN!W318,HN!AA318,HN!AE318,HN!AI318)))</f>
        <v>0</v>
      </c>
      <c r="I318">
        <f>SUMPRODUCT((MONTH(CHOOSE({1,2,3,4},HN!T318,HN!X318,HN!AB318,HN!AF318))=9)*(CHOOSE({1,2,3,4},HN!W318,HN!AA318,HN!AE318,HN!AI318)))</f>
        <v>0</v>
      </c>
      <c r="J318">
        <f>SUMPRODUCT((MONTH(CHOOSE({1,2,3,4},HN!T318,HN!X318,HN!AB318,HN!AF318))=10)*(CHOOSE({1,2,3,4},HN!W318,HN!AA318,HN!AE318,HN!AI318)))</f>
        <v>0</v>
      </c>
      <c r="K318">
        <f>SUMPRODUCT((MONTH(CHOOSE({1,2,3,4},HN!T318,HN!X318,HN!AB318,HN!AF318))=11)*(CHOOSE({1,2,3,4},HN!W318,HN!AA318,HN!AE318,HN!AI318)))</f>
        <v>0</v>
      </c>
      <c r="L318">
        <f>SUMPRODUCT((MONTH(CHOOSE({1,2,3,4},HN!T318,HN!X318,HN!AB318,HN!AF318))=12)*(CHOOSE({1,2,3,4},HN!W318,HN!AA318,HN!AE318,HN!AI318)))</f>
        <v>0</v>
      </c>
    </row>
    <row r="319" spans="1:12">
      <c r="A319">
        <f>SUMPRODUCT((MONTH(CHOOSE({1,2,3,4},HN!T319,HN!X319,HN!AB319,HN!AF319))=1)*(CHOOSE({1,2,3,4},HN!W319,HN!AA319,HN!AE319,HN!AI319)))</f>
        <v>0</v>
      </c>
      <c r="B319">
        <f>SUMPRODUCT((MONTH(CHOOSE({1,2,3,4},HN!T319,HN!X319,HN!AB319,HN!AF319))=2)*(CHOOSE({1,2,3,4},HN!W319,HN!AA319,HN!AE319,HN!AI319)))</f>
        <v>0</v>
      </c>
      <c r="C319">
        <f>SUMPRODUCT((MONTH(CHOOSE({1,2,3,4},HN!T319,HN!X319,HN!AB319,HN!AF319))=3)*(CHOOSE({1,2,3,4},HN!W319,HN!AA319,HN!AE319,HN!AI319)))</f>
        <v>0</v>
      </c>
      <c r="D319">
        <f>SUMPRODUCT((MONTH(CHOOSE({1,2,3,4},HN!T319,HN!X319,HN!AB319,HN!AF319))=4)*(CHOOSE({1,2,3,4},HN!W319,HN!AA319,HN!AE319,HN!AI319)))</f>
        <v>0</v>
      </c>
      <c r="E319">
        <f>SUMPRODUCT((MONTH(CHOOSE({1,2,3,4},HN!T319,HN!X319,HN!AB319,HN!AF319))=5)*(CHOOSE({1,2,3,4},HN!W319,HN!AA319,HN!AE319,HN!AI319)))</f>
        <v>0</v>
      </c>
      <c r="F319">
        <f>SUMPRODUCT((MONTH(CHOOSE({1,2,3,4},HN!T319,HN!X319,HN!AB319,HN!AF319))=6)*(CHOOSE({1,2,3,4},HN!W319,HN!AA319,HN!AE319,HN!AI319)))</f>
        <v>0</v>
      </c>
      <c r="G319">
        <f>SUMPRODUCT((MONTH(CHOOSE({1,2,3,4},HN!T319,HN!X319,HN!AB319,HN!AF319))=7)*(CHOOSE({1,2,3,4},HN!W319,HN!AA319,HN!AE319,HN!AI319)))</f>
        <v>0</v>
      </c>
      <c r="H319">
        <f>SUMPRODUCT((MONTH(CHOOSE({1,2,3,4},HN!T319,HN!X319,HN!AB319,HN!AF319))=8)*(CHOOSE({1,2,3,4},HN!W319,HN!AA319,HN!AE319,HN!AI319)))</f>
        <v>0</v>
      </c>
      <c r="I319">
        <f>SUMPRODUCT((MONTH(CHOOSE({1,2,3,4},HN!T319,HN!X319,HN!AB319,HN!AF319))=9)*(CHOOSE({1,2,3,4},HN!W319,HN!AA319,HN!AE319,HN!AI319)))</f>
        <v>0</v>
      </c>
      <c r="J319">
        <f>SUMPRODUCT((MONTH(CHOOSE({1,2,3,4},HN!T319,HN!X319,HN!AB319,HN!AF319))=10)*(CHOOSE({1,2,3,4},HN!W319,HN!AA319,HN!AE319,HN!AI319)))</f>
        <v>0</v>
      </c>
      <c r="K319">
        <f>SUMPRODUCT((MONTH(CHOOSE({1,2,3,4},HN!T319,HN!X319,HN!AB319,HN!AF319))=11)*(CHOOSE({1,2,3,4},HN!W319,HN!AA319,HN!AE319,HN!AI319)))</f>
        <v>0</v>
      </c>
      <c r="L319">
        <f>SUMPRODUCT((MONTH(CHOOSE({1,2,3,4},HN!T319,HN!X319,HN!AB319,HN!AF319))=12)*(CHOOSE({1,2,3,4},HN!W319,HN!AA319,HN!AE319,HN!AI319)))</f>
        <v>0</v>
      </c>
    </row>
    <row r="320" spans="1:12">
      <c r="A320">
        <f>SUMPRODUCT((MONTH(CHOOSE({1,2,3,4},HN!T320,HN!X320,HN!AB320,HN!AF320))=1)*(CHOOSE({1,2,3,4},HN!W320,HN!AA320,HN!AE320,HN!AI320)))</f>
        <v>0</v>
      </c>
      <c r="B320">
        <f>SUMPRODUCT((MONTH(CHOOSE({1,2,3,4},HN!T320,HN!X320,HN!AB320,HN!AF320))=2)*(CHOOSE({1,2,3,4},HN!W320,HN!AA320,HN!AE320,HN!AI320)))</f>
        <v>0</v>
      </c>
      <c r="C320">
        <f>SUMPRODUCT((MONTH(CHOOSE({1,2,3,4},HN!T320,HN!X320,HN!AB320,HN!AF320))=3)*(CHOOSE({1,2,3,4},HN!W320,HN!AA320,HN!AE320,HN!AI320)))</f>
        <v>0</v>
      </c>
      <c r="D320">
        <f>SUMPRODUCT((MONTH(CHOOSE({1,2,3,4},HN!T320,HN!X320,HN!AB320,HN!AF320))=4)*(CHOOSE({1,2,3,4},HN!W320,HN!AA320,HN!AE320,HN!AI320)))</f>
        <v>0</v>
      </c>
      <c r="E320">
        <f>SUMPRODUCT((MONTH(CHOOSE({1,2,3,4},HN!T320,HN!X320,HN!AB320,HN!AF320))=5)*(CHOOSE({1,2,3,4},HN!W320,HN!AA320,HN!AE320,HN!AI320)))</f>
        <v>0</v>
      </c>
      <c r="F320">
        <f>SUMPRODUCT((MONTH(CHOOSE({1,2,3,4},HN!T320,HN!X320,HN!AB320,HN!AF320))=6)*(CHOOSE({1,2,3,4},HN!W320,HN!AA320,HN!AE320,HN!AI320)))</f>
        <v>0</v>
      </c>
      <c r="G320">
        <f>SUMPRODUCT((MONTH(CHOOSE({1,2,3,4},HN!T320,HN!X320,HN!AB320,HN!AF320))=7)*(CHOOSE({1,2,3,4},HN!W320,HN!AA320,HN!AE320,HN!AI320)))</f>
        <v>0</v>
      </c>
      <c r="H320">
        <f>SUMPRODUCT((MONTH(CHOOSE({1,2,3,4},HN!T320,HN!X320,HN!AB320,HN!AF320))=8)*(CHOOSE({1,2,3,4},HN!W320,HN!AA320,HN!AE320,HN!AI320)))</f>
        <v>0</v>
      </c>
      <c r="I320">
        <f>SUMPRODUCT((MONTH(CHOOSE({1,2,3,4},HN!T320,HN!X320,HN!AB320,HN!AF320))=9)*(CHOOSE({1,2,3,4},HN!W320,HN!AA320,HN!AE320,HN!AI320)))</f>
        <v>0</v>
      </c>
      <c r="J320">
        <f>SUMPRODUCT((MONTH(CHOOSE({1,2,3,4},HN!T320,HN!X320,HN!AB320,HN!AF320))=10)*(CHOOSE({1,2,3,4},HN!W320,HN!AA320,HN!AE320,HN!AI320)))</f>
        <v>0</v>
      </c>
      <c r="K320">
        <f>SUMPRODUCT((MONTH(CHOOSE({1,2,3,4},HN!T320,HN!X320,HN!AB320,HN!AF320))=11)*(CHOOSE({1,2,3,4},HN!W320,HN!AA320,HN!AE320,HN!AI320)))</f>
        <v>0</v>
      </c>
      <c r="L320">
        <f>SUMPRODUCT((MONTH(CHOOSE({1,2,3,4},HN!T320,HN!X320,HN!AB320,HN!AF320))=12)*(CHOOSE({1,2,3,4},HN!W320,HN!AA320,HN!AE320,HN!AI320)))</f>
        <v>0</v>
      </c>
    </row>
    <row r="321" spans="1:12">
      <c r="A321">
        <f>SUMPRODUCT((MONTH(CHOOSE({1,2,3,4},HN!T321,HN!X321,HN!AB321,HN!AF321))=1)*(CHOOSE({1,2,3,4},HN!W321,HN!AA321,HN!AE321,HN!AI321)))</f>
        <v>0</v>
      </c>
      <c r="B321">
        <f>SUMPRODUCT((MONTH(CHOOSE({1,2,3,4},HN!T321,HN!X321,HN!AB321,HN!AF321))=2)*(CHOOSE({1,2,3,4},HN!W321,HN!AA321,HN!AE321,HN!AI321)))</f>
        <v>0</v>
      </c>
      <c r="C321">
        <f>SUMPRODUCT((MONTH(CHOOSE({1,2,3,4},HN!T321,HN!X321,HN!AB321,HN!AF321))=3)*(CHOOSE({1,2,3,4},HN!W321,HN!AA321,HN!AE321,HN!AI321)))</f>
        <v>0</v>
      </c>
      <c r="D321">
        <f>SUMPRODUCT((MONTH(CHOOSE({1,2,3,4},HN!T321,HN!X321,HN!AB321,HN!AF321))=4)*(CHOOSE({1,2,3,4},HN!W321,HN!AA321,HN!AE321,HN!AI321)))</f>
        <v>0</v>
      </c>
      <c r="E321">
        <f>SUMPRODUCT((MONTH(CHOOSE({1,2,3,4},HN!T321,HN!X321,HN!AB321,HN!AF321))=5)*(CHOOSE({1,2,3,4},HN!W321,HN!AA321,HN!AE321,HN!AI321)))</f>
        <v>0</v>
      </c>
      <c r="F321">
        <f>SUMPRODUCT((MONTH(CHOOSE({1,2,3,4},HN!T321,HN!X321,HN!AB321,HN!AF321))=6)*(CHOOSE({1,2,3,4},HN!W321,HN!AA321,HN!AE321,HN!AI321)))</f>
        <v>0</v>
      </c>
      <c r="G321">
        <f>SUMPRODUCT((MONTH(CHOOSE({1,2,3,4},HN!T321,HN!X321,HN!AB321,HN!AF321))=7)*(CHOOSE({1,2,3,4},HN!W321,HN!AA321,HN!AE321,HN!AI321)))</f>
        <v>0</v>
      </c>
      <c r="H321">
        <f>SUMPRODUCT((MONTH(CHOOSE({1,2,3,4},HN!T321,HN!X321,HN!AB321,HN!AF321))=8)*(CHOOSE({1,2,3,4},HN!W321,HN!AA321,HN!AE321,HN!AI321)))</f>
        <v>0</v>
      </c>
      <c r="I321">
        <f>SUMPRODUCT((MONTH(CHOOSE({1,2,3,4},HN!T321,HN!X321,HN!AB321,HN!AF321))=9)*(CHOOSE({1,2,3,4},HN!W321,HN!AA321,HN!AE321,HN!AI321)))</f>
        <v>0</v>
      </c>
      <c r="J321">
        <f>SUMPRODUCT((MONTH(CHOOSE({1,2,3,4},HN!T321,HN!X321,HN!AB321,HN!AF321))=10)*(CHOOSE({1,2,3,4},HN!W321,HN!AA321,HN!AE321,HN!AI321)))</f>
        <v>0</v>
      </c>
      <c r="K321">
        <f>SUMPRODUCT((MONTH(CHOOSE({1,2,3,4},HN!T321,HN!X321,HN!AB321,HN!AF321))=11)*(CHOOSE({1,2,3,4},HN!W321,HN!AA321,HN!AE321,HN!AI321)))</f>
        <v>0</v>
      </c>
      <c r="L321">
        <f>SUMPRODUCT((MONTH(CHOOSE({1,2,3,4},HN!T321,HN!X321,HN!AB321,HN!AF321))=12)*(CHOOSE({1,2,3,4},HN!W321,HN!AA321,HN!AE321,HN!AI321)))</f>
        <v>0</v>
      </c>
    </row>
    <row r="322" spans="1:12">
      <c r="A322">
        <f>SUMPRODUCT((MONTH(CHOOSE({1,2,3,4},HN!T322,HN!X322,HN!AB322,HN!AF322))=1)*(CHOOSE({1,2,3,4},HN!W322,HN!AA322,HN!AE322,HN!AI322)))</f>
        <v>0</v>
      </c>
      <c r="B322">
        <f>SUMPRODUCT((MONTH(CHOOSE({1,2,3,4},HN!T322,HN!X322,HN!AB322,HN!AF322))=2)*(CHOOSE({1,2,3,4},HN!W322,HN!AA322,HN!AE322,HN!AI322)))</f>
        <v>0</v>
      </c>
      <c r="C322">
        <f>SUMPRODUCT((MONTH(CHOOSE({1,2,3,4},HN!T322,HN!X322,HN!AB322,HN!AF322))=3)*(CHOOSE({1,2,3,4},HN!W322,HN!AA322,HN!AE322,HN!AI322)))</f>
        <v>0</v>
      </c>
      <c r="D322">
        <f>SUMPRODUCT((MONTH(CHOOSE({1,2,3,4},HN!T322,HN!X322,HN!AB322,HN!AF322))=4)*(CHOOSE({1,2,3,4},HN!W322,HN!AA322,HN!AE322,HN!AI322)))</f>
        <v>0</v>
      </c>
      <c r="E322">
        <f>SUMPRODUCT((MONTH(CHOOSE({1,2,3,4},HN!T322,HN!X322,HN!AB322,HN!AF322))=5)*(CHOOSE({1,2,3,4},HN!W322,HN!AA322,HN!AE322,HN!AI322)))</f>
        <v>0</v>
      </c>
      <c r="F322">
        <f>SUMPRODUCT((MONTH(CHOOSE({1,2,3,4},HN!T322,HN!X322,HN!AB322,HN!AF322))=6)*(CHOOSE({1,2,3,4},HN!W322,HN!AA322,HN!AE322,HN!AI322)))</f>
        <v>0</v>
      </c>
      <c r="G322">
        <f>SUMPRODUCT((MONTH(CHOOSE({1,2,3,4},HN!T322,HN!X322,HN!AB322,HN!AF322))=7)*(CHOOSE({1,2,3,4},HN!W322,HN!AA322,HN!AE322,HN!AI322)))</f>
        <v>0</v>
      </c>
      <c r="H322">
        <f>SUMPRODUCT((MONTH(CHOOSE({1,2,3,4},HN!T322,HN!X322,HN!AB322,HN!AF322))=8)*(CHOOSE({1,2,3,4},HN!W322,HN!AA322,HN!AE322,HN!AI322)))</f>
        <v>0</v>
      </c>
      <c r="I322">
        <f>SUMPRODUCT((MONTH(CHOOSE({1,2,3,4},HN!T322,HN!X322,HN!AB322,HN!AF322))=9)*(CHOOSE({1,2,3,4},HN!W322,HN!AA322,HN!AE322,HN!AI322)))</f>
        <v>0</v>
      </c>
      <c r="J322">
        <f>SUMPRODUCT((MONTH(CHOOSE({1,2,3,4},HN!T322,HN!X322,HN!AB322,HN!AF322))=10)*(CHOOSE({1,2,3,4},HN!W322,HN!AA322,HN!AE322,HN!AI322)))</f>
        <v>0</v>
      </c>
      <c r="K322">
        <f>SUMPRODUCT((MONTH(CHOOSE({1,2,3,4},HN!T322,HN!X322,HN!AB322,HN!AF322))=11)*(CHOOSE({1,2,3,4},HN!W322,HN!AA322,HN!AE322,HN!AI322)))</f>
        <v>0</v>
      </c>
      <c r="L322">
        <f>SUMPRODUCT((MONTH(CHOOSE({1,2,3,4},HN!T322,HN!X322,HN!AB322,HN!AF322))=12)*(CHOOSE({1,2,3,4},HN!W322,HN!AA322,HN!AE322,HN!AI322)))</f>
        <v>0</v>
      </c>
    </row>
    <row r="323" spans="1:12">
      <c r="A323">
        <f>SUMPRODUCT((MONTH(CHOOSE({1,2,3,4},HN!T323,HN!X323,HN!AB323,HN!AF323))=1)*(CHOOSE({1,2,3,4},HN!W323,HN!AA323,HN!AE323,HN!AI323)))</f>
        <v>0</v>
      </c>
      <c r="B323">
        <f>SUMPRODUCT((MONTH(CHOOSE({1,2,3,4},HN!T323,HN!X323,HN!AB323,HN!AF323))=2)*(CHOOSE({1,2,3,4},HN!W323,HN!AA323,HN!AE323,HN!AI323)))</f>
        <v>0</v>
      </c>
      <c r="C323">
        <f>SUMPRODUCT((MONTH(CHOOSE({1,2,3,4},HN!T323,HN!X323,HN!AB323,HN!AF323))=3)*(CHOOSE({1,2,3,4},HN!W323,HN!AA323,HN!AE323,HN!AI323)))</f>
        <v>0</v>
      </c>
      <c r="D323">
        <f>SUMPRODUCT((MONTH(CHOOSE({1,2,3,4},HN!T323,HN!X323,HN!AB323,HN!AF323))=4)*(CHOOSE({1,2,3,4},HN!W323,HN!AA323,HN!AE323,HN!AI323)))</f>
        <v>0</v>
      </c>
      <c r="E323">
        <f>SUMPRODUCT((MONTH(CHOOSE({1,2,3,4},HN!T323,HN!X323,HN!AB323,HN!AF323))=5)*(CHOOSE({1,2,3,4},HN!W323,HN!AA323,HN!AE323,HN!AI323)))</f>
        <v>0</v>
      </c>
      <c r="F323">
        <f>SUMPRODUCT((MONTH(CHOOSE({1,2,3,4},HN!T323,HN!X323,HN!AB323,HN!AF323))=6)*(CHOOSE({1,2,3,4},HN!W323,HN!AA323,HN!AE323,HN!AI323)))</f>
        <v>0</v>
      </c>
      <c r="G323">
        <f>SUMPRODUCT((MONTH(CHOOSE({1,2,3,4},HN!T323,HN!X323,HN!AB323,HN!AF323))=7)*(CHOOSE({1,2,3,4},HN!W323,HN!AA323,HN!AE323,HN!AI323)))</f>
        <v>0</v>
      </c>
      <c r="H323">
        <f>SUMPRODUCT((MONTH(CHOOSE({1,2,3,4},HN!T323,HN!X323,HN!AB323,HN!AF323))=8)*(CHOOSE({1,2,3,4},HN!W323,HN!AA323,HN!AE323,HN!AI323)))</f>
        <v>0</v>
      </c>
      <c r="I323">
        <f>SUMPRODUCT((MONTH(CHOOSE({1,2,3,4},HN!T323,HN!X323,HN!AB323,HN!AF323))=9)*(CHOOSE({1,2,3,4},HN!W323,HN!AA323,HN!AE323,HN!AI323)))</f>
        <v>0</v>
      </c>
      <c r="J323">
        <f>SUMPRODUCT((MONTH(CHOOSE({1,2,3,4},HN!T323,HN!X323,HN!AB323,HN!AF323))=10)*(CHOOSE({1,2,3,4},HN!W323,HN!AA323,HN!AE323,HN!AI323)))</f>
        <v>0</v>
      </c>
      <c r="K323">
        <f>SUMPRODUCT((MONTH(CHOOSE({1,2,3,4},HN!T323,HN!X323,HN!AB323,HN!AF323))=11)*(CHOOSE({1,2,3,4},HN!W323,HN!AA323,HN!AE323,HN!AI323)))</f>
        <v>0</v>
      </c>
      <c r="L323">
        <f>SUMPRODUCT((MONTH(CHOOSE({1,2,3,4},HN!T323,HN!X323,HN!AB323,HN!AF323))=12)*(CHOOSE({1,2,3,4},HN!W323,HN!AA323,HN!AE323,HN!AI323)))</f>
        <v>0</v>
      </c>
    </row>
    <row r="324" spans="1:12">
      <c r="A324">
        <f>SUMPRODUCT((MONTH(CHOOSE({1,2,3,4},HN!T324,HN!X324,HN!AB324,HN!AF324))=1)*(CHOOSE({1,2,3,4},HN!W324,HN!AA324,HN!AE324,HN!AI324)))</f>
        <v>0</v>
      </c>
      <c r="B324">
        <f>SUMPRODUCT((MONTH(CHOOSE({1,2,3,4},HN!T324,HN!X324,HN!AB324,HN!AF324))=2)*(CHOOSE({1,2,3,4},HN!W324,HN!AA324,HN!AE324,HN!AI324)))</f>
        <v>0</v>
      </c>
      <c r="C324">
        <f>SUMPRODUCT((MONTH(CHOOSE({1,2,3,4},HN!T324,HN!X324,HN!AB324,HN!AF324))=3)*(CHOOSE({1,2,3,4},HN!W324,HN!AA324,HN!AE324,HN!AI324)))</f>
        <v>0</v>
      </c>
      <c r="D324">
        <f>SUMPRODUCT((MONTH(CHOOSE({1,2,3,4},HN!T324,HN!X324,HN!AB324,HN!AF324))=4)*(CHOOSE({1,2,3,4},HN!W324,HN!AA324,HN!AE324,HN!AI324)))</f>
        <v>0</v>
      </c>
      <c r="E324">
        <f>SUMPRODUCT((MONTH(CHOOSE({1,2,3,4},HN!T324,HN!X324,HN!AB324,HN!AF324))=5)*(CHOOSE({1,2,3,4},HN!W324,HN!AA324,HN!AE324,HN!AI324)))</f>
        <v>0</v>
      </c>
      <c r="F324">
        <f>SUMPRODUCT((MONTH(CHOOSE({1,2,3,4},HN!T324,HN!X324,HN!AB324,HN!AF324))=6)*(CHOOSE({1,2,3,4},HN!W324,HN!AA324,HN!AE324,HN!AI324)))</f>
        <v>0</v>
      </c>
      <c r="G324">
        <f>SUMPRODUCT((MONTH(CHOOSE({1,2,3,4},HN!T324,HN!X324,HN!AB324,HN!AF324))=7)*(CHOOSE({1,2,3,4},HN!W324,HN!AA324,HN!AE324,HN!AI324)))</f>
        <v>0</v>
      </c>
      <c r="H324">
        <f>SUMPRODUCT((MONTH(CHOOSE({1,2,3,4},HN!T324,HN!X324,HN!AB324,HN!AF324))=8)*(CHOOSE({1,2,3,4},HN!W324,HN!AA324,HN!AE324,HN!AI324)))</f>
        <v>0</v>
      </c>
      <c r="I324">
        <f>SUMPRODUCT((MONTH(CHOOSE({1,2,3,4},HN!T324,HN!X324,HN!AB324,HN!AF324))=9)*(CHOOSE({1,2,3,4},HN!W324,HN!AA324,HN!AE324,HN!AI324)))</f>
        <v>0</v>
      </c>
      <c r="J324">
        <f>SUMPRODUCT((MONTH(CHOOSE({1,2,3,4},HN!T324,HN!X324,HN!AB324,HN!AF324))=10)*(CHOOSE({1,2,3,4},HN!W324,HN!AA324,HN!AE324,HN!AI324)))</f>
        <v>0</v>
      </c>
      <c r="K324">
        <f>SUMPRODUCT((MONTH(CHOOSE({1,2,3,4},HN!T324,HN!X324,HN!AB324,HN!AF324))=11)*(CHOOSE({1,2,3,4},HN!W324,HN!AA324,HN!AE324,HN!AI324)))</f>
        <v>0</v>
      </c>
      <c r="L324">
        <f>SUMPRODUCT((MONTH(CHOOSE({1,2,3,4},HN!T324,HN!X324,HN!AB324,HN!AF324))=12)*(CHOOSE({1,2,3,4},HN!W324,HN!AA324,HN!AE324,HN!AI324)))</f>
        <v>0</v>
      </c>
    </row>
    <row r="325" spans="1:12">
      <c r="A325">
        <f>SUMPRODUCT((MONTH(CHOOSE({1,2,3,4},HN!T325,HN!X325,HN!AB325,HN!AF325))=1)*(CHOOSE({1,2,3,4},HN!W325,HN!AA325,HN!AE325,HN!AI325)))</f>
        <v>0</v>
      </c>
      <c r="B325">
        <f>SUMPRODUCT((MONTH(CHOOSE({1,2,3,4},HN!T325,HN!X325,HN!AB325,HN!AF325))=2)*(CHOOSE({1,2,3,4},HN!W325,HN!AA325,HN!AE325,HN!AI325)))</f>
        <v>0</v>
      </c>
      <c r="C325">
        <f>SUMPRODUCT((MONTH(CHOOSE({1,2,3,4},HN!T325,HN!X325,HN!AB325,HN!AF325))=3)*(CHOOSE({1,2,3,4},HN!W325,HN!AA325,HN!AE325,HN!AI325)))</f>
        <v>0</v>
      </c>
      <c r="D325">
        <f>SUMPRODUCT((MONTH(CHOOSE({1,2,3,4},HN!T325,HN!X325,HN!AB325,HN!AF325))=4)*(CHOOSE({1,2,3,4},HN!W325,HN!AA325,HN!AE325,HN!AI325)))</f>
        <v>0</v>
      </c>
      <c r="E325">
        <f>SUMPRODUCT((MONTH(CHOOSE({1,2,3,4},HN!T325,HN!X325,HN!AB325,HN!AF325))=5)*(CHOOSE({1,2,3,4},HN!W325,HN!AA325,HN!AE325,HN!AI325)))</f>
        <v>0</v>
      </c>
      <c r="F325">
        <f>SUMPRODUCT((MONTH(CHOOSE({1,2,3,4},HN!T325,HN!X325,HN!AB325,HN!AF325))=6)*(CHOOSE({1,2,3,4},HN!W325,HN!AA325,HN!AE325,HN!AI325)))</f>
        <v>0</v>
      </c>
      <c r="G325">
        <f>SUMPRODUCT((MONTH(CHOOSE({1,2,3,4},HN!T325,HN!X325,HN!AB325,HN!AF325))=7)*(CHOOSE({1,2,3,4},HN!W325,HN!AA325,HN!AE325,HN!AI325)))</f>
        <v>0</v>
      </c>
      <c r="H325">
        <f>SUMPRODUCT((MONTH(CHOOSE({1,2,3,4},HN!T325,HN!X325,HN!AB325,HN!AF325))=8)*(CHOOSE({1,2,3,4},HN!W325,HN!AA325,HN!AE325,HN!AI325)))</f>
        <v>0</v>
      </c>
      <c r="I325">
        <f>SUMPRODUCT((MONTH(CHOOSE({1,2,3,4},HN!T325,HN!X325,HN!AB325,HN!AF325))=9)*(CHOOSE({1,2,3,4},HN!W325,HN!AA325,HN!AE325,HN!AI325)))</f>
        <v>0</v>
      </c>
      <c r="J325">
        <f>SUMPRODUCT((MONTH(CHOOSE({1,2,3,4},HN!T325,HN!X325,HN!AB325,HN!AF325))=10)*(CHOOSE({1,2,3,4},HN!W325,HN!AA325,HN!AE325,HN!AI325)))</f>
        <v>0</v>
      </c>
      <c r="K325">
        <f>SUMPRODUCT((MONTH(CHOOSE({1,2,3,4},HN!T325,HN!X325,HN!AB325,HN!AF325))=11)*(CHOOSE({1,2,3,4},HN!W325,HN!AA325,HN!AE325,HN!AI325)))</f>
        <v>0</v>
      </c>
      <c r="L325">
        <f>SUMPRODUCT((MONTH(CHOOSE({1,2,3,4},HN!T325,HN!X325,HN!AB325,HN!AF325))=12)*(CHOOSE({1,2,3,4},HN!W325,HN!AA325,HN!AE325,HN!AI325)))</f>
        <v>0</v>
      </c>
    </row>
    <row r="326" spans="1:12">
      <c r="A326">
        <f>SUMPRODUCT((MONTH(CHOOSE({1,2,3,4},HN!T326,HN!X326,HN!AB326,HN!AF326))=1)*(CHOOSE({1,2,3,4},HN!W326,HN!AA326,HN!AE326,HN!AI326)))</f>
        <v>0</v>
      </c>
      <c r="B326">
        <f>SUMPRODUCT((MONTH(CHOOSE({1,2,3,4},HN!T326,HN!X326,HN!AB326,HN!AF326))=2)*(CHOOSE({1,2,3,4},HN!W326,HN!AA326,HN!AE326,HN!AI326)))</f>
        <v>0</v>
      </c>
      <c r="C326">
        <f>SUMPRODUCT((MONTH(CHOOSE({1,2,3,4},HN!T326,HN!X326,HN!AB326,HN!AF326))=3)*(CHOOSE({1,2,3,4},HN!W326,HN!AA326,HN!AE326,HN!AI326)))</f>
        <v>0</v>
      </c>
      <c r="D326">
        <f>SUMPRODUCT((MONTH(CHOOSE({1,2,3,4},HN!T326,HN!X326,HN!AB326,HN!AF326))=4)*(CHOOSE({1,2,3,4},HN!W326,HN!AA326,HN!AE326,HN!AI326)))</f>
        <v>0</v>
      </c>
      <c r="E326">
        <f>SUMPRODUCT((MONTH(CHOOSE({1,2,3,4},HN!T326,HN!X326,HN!AB326,HN!AF326))=5)*(CHOOSE({1,2,3,4},HN!W326,HN!AA326,HN!AE326,HN!AI326)))</f>
        <v>0</v>
      </c>
      <c r="F326">
        <f>SUMPRODUCT((MONTH(CHOOSE({1,2,3,4},HN!T326,HN!X326,HN!AB326,HN!AF326))=6)*(CHOOSE({1,2,3,4},HN!W326,HN!AA326,HN!AE326,HN!AI326)))</f>
        <v>0</v>
      </c>
      <c r="G326">
        <f>SUMPRODUCT((MONTH(CHOOSE({1,2,3,4},HN!T326,HN!X326,HN!AB326,HN!AF326))=7)*(CHOOSE({1,2,3,4},HN!W326,HN!AA326,HN!AE326,HN!AI326)))</f>
        <v>0</v>
      </c>
      <c r="H326">
        <f>SUMPRODUCT((MONTH(CHOOSE({1,2,3,4},HN!T326,HN!X326,HN!AB326,HN!AF326))=8)*(CHOOSE({1,2,3,4},HN!W326,HN!AA326,HN!AE326,HN!AI326)))</f>
        <v>0</v>
      </c>
      <c r="I326">
        <f>SUMPRODUCT((MONTH(CHOOSE({1,2,3,4},HN!T326,HN!X326,HN!AB326,HN!AF326))=9)*(CHOOSE({1,2,3,4},HN!W326,HN!AA326,HN!AE326,HN!AI326)))</f>
        <v>0</v>
      </c>
      <c r="J326">
        <f>SUMPRODUCT((MONTH(CHOOSE({1,2,3,4},HN!T326,HN!X326,HN!AB326,HN!AF326))=10)*(CHOOSE({1,2,3,4},HN!W326,HN!AA326,HN!AE326,HN!AI326)))</f>
        <v>0</v>
      </c>
      <c r="K326">
        <f>SUMPRODUCT((MONTH(CHOOSE({1,2,3,4},HN!T326,HN!X326,HN!AB326,HN!AF326))=11)*(CHOOSE({1,2,3,4},HN!W326,HN!AA326,HN!AE326,HN!AI326)))</f>
        <v>0</v>
      </c>
      <c r="L326">
        <f>SUMPRODUCT((MONTH(CHOOSE({1,2,3,4},HN!T326,HN!X326,HN!AB326,HN!AF326))=12)*(CHOOSE({1,2,3,4},HN!W326,HN!AA326,HN!AE326,HN!AI326)))</f>
        <v>0</v>
      </c>
    </row>
    <row r="327" spans="1:12">
      <c r="A327">
        <f>SUMPRODUCT((MONTH(CHOOSE({1,2,3,4},HN!T327,HN!X327,HN!AB327,HN!AF327))=1)*(CHOOSE({1,2,3,4},HN!W327,HN!AA327,HN!AE327,HN!AI327)))</f>
        <v>0</v>
      </c>
      <c r="B327">
        <f>SUMPRODUCT((MONTH(CHOOSE({1,2,3,4},HN!T327,HN!X327,HN!AB327,HN!AF327))=2)*(CHOOSE({1,2,3,4},HN!W327,HN!AA327,HN!AE327,HN!AI327)))</f>
        <v>0</v>
      </c>
      <c r="C327">
        <f>SUMPRODUCT((MONTH(CHOOSE({1,2,3,4},HN!T327,HN!X327,HN!AB327,HN!AF327))=3)*(CHOOSE({1,2,3,4},HN!W327,HN!AA327,HN!AE327,HN!AI327)))</f>
        <v>0</v>
      </c>
      <c r="D327">
        <f>SUMPRODUCT((MONTH(CHOOSE({1,2,3,4},HN!T327,HN!X327,HN!AB327,HN!AF327))=4)*(CHOOSE({1,2,3,4},HN!W327,HN!AA327,HN!AE327,HN!AI327)))</f>
        <v>0</v>
      </c>
      <c r="E327">
        <f>SUMPRODUCT((MONTH(CHOOSE({1,2,3,4},HN!T327,HN!X327,HN!AB327,HN!AF327))=5)*(CHOOSE({1,2,3,4},HN!W327,HN!AA327,HN!AE327,HN!AI327)))</f>
        <v>0</v>
      </c>
      <c r="F327">
        <f>SUMPRODUCT((MONTH(CHOOSE({1,2,3,4},HN!T327,HN!X327,HN!AB327,HN!AF327))=6)*(CHOOSE({1,2,3,4},HN!W327,HN!AA327,HN!AE327,HN!AI327)))</f>
        <v>0</v>
      </c>
      <c r="G327">
        <f>SUMPRODUCT((MONTH(CHOOSE({1,2,3,4},HN!T327,HN!X327,HN!AB327,HN!AF327))=7)*(CHOOSE({1,2,3,4},HN!W327,HN!AA327,HN!AE327,HN!AI327)))</f>
        <v>0</v>
      </c>
      <c r="H327">
        <f>SUMPRODUCT((MONTH(CHOOSE({1,2,3,4},HN!T327,HN!X327,HN!AB327,HN!AF327))=8)*(CHOOSE({1,2,3,4},HN!W327,HN!AA327,HN!AE327,HN!AI327)))</f>
        <v>0</v>
      </c>
      <c r="I327">
        <f>SUMPRODUCT((MONTH(CHOOSE({1,2,3,4},HN!T327,HN!X327,HN!AB327,HN!AF327))=9)*(CHOOSE({1,2,3,4},HN!W327,HN!AA327,HN!AE327,HN!AI327)))</f>
        <v>0</v>
      </c>
      <c r="J327">
        <f>SUMPRODUCT((MONTH(CHOOSE({1,2,3,4},HN!T327,HN!X327,HN!AB327,HN!AF327))=10)*(CHOOSE({1,2,3,4},HN!W327,HN!AA327,HN!AE327,HN!AI327)))</f>
        <v>0</v>
      </c>
      <c r="K327">
        <f>SUMPRODUCT((MONTH(CHOOSE({1,2,3,4},HN!T327,HN!X327,HN!AB327,HN!AF327))=11)*(CHOOSE({1,2,3,4},HN!W327,HN!AA327,HN!AE327,HN!AI327)))</f>
        <v>0</v>
      </c>
      <c r="L327">
        <f>SUMPRODUCT((MONTH(CHOOSE({1,2,3,4},HN!T327,HN!X327,HN!AB327,HN!AF327))=12)*(CHOOSE({1,2,3,4},HN!W327,HN!AA327,HN!AE327,HN!AI327)))</f>
        <v>0</v>
      </c>
    </row>
    <row r="328" spans="1:12">
      <c r="A328">
        <f>SUMPRODUCT((MONTH(CHOOSE({1,2,3,4},HN!T328,HN!X328,HN!AB328,HN!AF328))=1)*(CHOOSE({1,2,3,4},HN!W328,HN!AA328,HN!AE328,HN!AI328)))</f>
        <v>0</v>
      </c>
      <c r="B328">
        <f>SUMPRODUCT((MONTH(CHOOSE({1,2,3,4},HN!T328,HN!X328,HN!AB328,HN!AF328))=2)*(CHOOSE({1,2,3,4},HN!W328,HN!AA328,HN!AE328,HN!AI328)))</f>
        <v>0</v>
      </c>
      <c r="C328">
        <f>SUMPRODUCT((MONTH(CHOOSE({1,2,3,4},HN!T328,HN!X328,HN!AB328,HN!AF328))=3)*(CHOOSE({1,2,3,4},HN!W328,HN!AA328,HN!AE328,HN!AI328)))</f>
        <v>0</v>
      </c>
      <c r="D328">
        <f>SUMPRODUCT((MONTH(CHOOSE({1,2,3,4},HN!T328,HN!X328,HN!AB328,HN!AF328))=4)*(CHOOSE({1,2,3,4},HN!W328,HN!AA328,HN!AE328,HN!AI328)))</f>
        <v>0</v>
      </c>
      <c r="E328">
        <f>SUMPRODUCT((MONTH(CHOOSE({1,2,3,4},HN!T328,HN!X328,HN!AB328,HN!AF328))=5)*(CHOOSE({1,2,3,4},HN!W328,HN!AA328,HN!AE328,HN!AI328)))</f>
        <v>0</v>
      </c>
      <c r="F328">
        <f>SUMPRODUCT((MONTH(CHOOSE({1,2,3,4},HN!T328,HN!X328,HN!AB328,HN!AF328))=6)*(CHOOSE({1,2,3,4},HN!W328,HN!AA328,HN!AE328,HN!AI328)))</f>
        <v>0</v>
      </c>
      <c r="G328">
        <f>SUMPRODUCT((MONTH(CHOOSE({1,2,3,4},HN!T328,HN!X328,HN!AB328,HN!AF328))=7)*(CHOOSE({1,2,3,4},HN!W328,HN!AA328,HN!AE328,HN!AI328)))</f>
        <v>0</v>
      </c>
      <c r="H328">
        <f>SUMPRODUCT((MONTH(CHOOSE({1,2,3,4},HN!T328,HN!X328,HN!AB328,HN!AF328))=8)*(CHOOSE({1,2,3,4},HN!W328,HN!AA328,HN!AE328,HN!AI328)))</f>
        <v>0</v>
      </c>
      <c r="I328">
        <f>SUMPRODUCT((MONTH(CHOOSE({1,2,3,4},HN!T328,HN!X328,HN!AB328,HN!AF328))=9)*(CHOOSE({1,2,3,4},HN!W328,HN!AA328,HN!AE328,HN!AI328)))</f>
        <v>0</v>
      </c>
      <c r="J328">
        <f>SUMPRODUCT((MONTH(CHOOSE({1,2,3,4},HN!T328,HN!X328,HN!AB328,HN!AF328))=10)*(CHOOSE({1,2,3,4},HN!W328,HN!AA328,HN!AE328,HN!AI328)))</f>
        <v>0</v>
      </c>
      <c r="K328">
        <f>SUMPRODUCT((MONTH(CHOOSE({1,2,3,4},HN!T328,HN!X328,HN!AB328,HN!AF328))=11)*(CHOOSE({1,2,3,4},HN!W328,HN!AA328,HN!AE328,HN!AI328)))</f>
        <v>0</v>
      </c>
      <c r="L328">
        <f>SUMPRODUCT((MONTH(CHOOSE({1,2,3,4},HN!T328,HN!X328,HN!AB328,HN!AF328))=12)*(CHOOSE({1,2,3,4},HN!W328,HN!AA328,HN!AE328,HN!AI328)))</f>
        <v>0</v>
      </c>
    </row>
    <row r="329" spans="1:12">
      <c r="A329">
        <f>SUMPRODUCT((MONTH(CHOOSE({1,2,3,4},HN!T329,HN!X329,HN!AB329,HN!AF329))=1)*(CHOOSE({1,2,3,4},HN!W329,HN!AA329,HN!AE329,HN!AI329)))</f>
        <v>0</v>
      </c>
      <c r="B329">
        <f>SUMPRODUCT((MONTH(CHOOSE({1,2,3,4},HN!T329,HN!X329,HN!AB329,HN!AF329))=2)*(CHOOSE({1,2,3,4},HN!W329,HN!AA329,HN!AE329,HN!AI329)))</f>
        <v>0</v>
      </c>
      <c r="C329">
        <f>SUMPRODUCT((MONTH(CHOOSE({1,2,3,4},HN!T329,HN!X329,HN!AB329,HN!AF329))=3)*(CHOOSE({1,2,3,4},HN!W329,HN!AA329,HN!AE329,HN!AI329)))</f>
        <v>0</v>
      </c>
      <c r="D329">
        <f>SUMPRODUCT((MONTH(CHOOSE({1,2,3,4},HN!T329,HN!X329,HN!AB329,HN!AF329))=4)*(CHOOSE({1,2,3,4},HN!W329,HN!AA329,HN!AE329,HN!AI329)))</f>
        <v>0</v>
      </c>
      <c r="E329">
        <f>SUMPRODUCT((MONTH(CHOOSE({1,2,3,4},HN!T329,HN!X329,HN!AB329,HN!AF329))=5)*(CHOOSE({1,2,3,4},HN!W329,HN!AA329,HN!AE329,HN!AI329)))</f>
        <v>0</v>
      </c>
      <c r="F329">
        <f>SUMPRODUCT((MONTH(CHOOSE({1,2,3,4},HN!T329,HN!X329,HN!AB329,HN!AF329))=6)*(CHOOSE({1,2,3,4},HN!W329,HN!AA329,HN!AE329,HN!AI329)))</f>
        <v>0</v>
      </c>
      <c r="G329">
        <f>SUMPRODUCT((MONTH(CHOOSE({1,2,3,4},HN!T329,HN!X329,HN!AB329,HN!AF329))=7)*(CHOOSE({1,2,3,4},HN!W329,HN!AA329,HN!AE329,HN!AI329)))</f>
        <v>0</v>
      </c>
      <c r="H329">
        <f>SUMPRODUCT((MONTH(CHOOSE({1,2,3,4},HN!T329,HN!X329,HN!AB329,HN!AF329))=8)*(CHOOSE({1,2,3,4},HN!W329,HN!AA329,HN!AE329,HN!AI329)))</f>
        <v>0</v>
      </c>
      <c r="I329">
        <f>SUMPRODUCT((MONTH(CHOOSE({1,2,3,4},HN!T329,HN!X329,HN!AB329,HN!AF329))=9)*(CHOOSE({1,2,3,4},HN!W329,HN!AA329,HN!AE329,HN!AI329)))</f>
        <v>0</v>
      </c>
      <c r="J329">
        <f>SUMPRODUCT((MONTH(CHOOSE({1,2,3,4},HN!T329,HN!X329,HN!AB329,HN!AF329))=10)*(CHOOSE({1,2,3,4},HN!W329,HN!AA329,HN!AE329,HN!AI329)))</f>
        <v>0</v>
      </c>
      <c r="K329">
        <f>SUMPRODUCT((MONTH(CHOOSE({1,2,3,4},HN!T329,HN!X329,HN!AB329,HN!AF329))=11)*(CHOOSE({1,2,3,4},HN!W329,HN!AA329,HN!AE329,HN!AI329)))</f>
        <v>0</v>
      </c>
      <c r="L329">
        <f>SUMPRODUCT((MONTH(CHOOSE({1,2,3,4},HN!T329,HN!X329,HN!AB329,HN!AF329))=12)*(CHOOSE({1,2,3,4},HN!W329,HN!AA329,HN!AE329,HN!AI329)))</f>
        <v>0</v>
      </c>
    </row>
    <row r="330" spans="1:12">
      <c r="A330">
        <f>SUMPRODUCT((MONTH(CHOOSE({1,2,3,4},HN!T330,HN!X330,HN!AB330,HN!AF330))=1)*(CHOOSE({1,2,3,4},HN!W330,HN!AA330,HN!AE330,HN!AI330)))</f>
        <v>0</v>
      </c>
      <c r="B330">
        <f>SUMPRODUCT((MONTH(CHOOSE({1,2,3,4},HN!T330,HN!X330,HN!AB330,HN!AF330))=2)*(CHOOSE({1,2,3,4},HN!W330,HN!AA330,HN!AE330,HN!AI330)))</f>
        <v>0</v>
      </c>
      <c r="C330">
        <f>SUMPRODUCT((MONTH(CHOOSE({1,2,3,4},HN!T330,HN!X330,HN!AB330,HN!AF330))=3)*(CHOOSE({1,2,3,4},HN!W330,HN!AA330,HN!AE330,HN!AI330)))</f>
        <v>0</v>
      </c>
      <c r="D330">
        <f>SUMPRODUCT((MONTH(CHOOSE({1,2,3,4},HN!T330,HN!X330,HN!AB330,HN!AF330))=4)*(CHOOSE({1,2,3,4},HN!W330,HN!AA330,HN!AE330,HN!AI330)))</f>
        <v>0</v>
      </c>
      <c r="E330">
        <f>SUMPRODUCT((MONTH(CHOOSE({1,2,3,4},HN!T330,HN!X330,HN!AB330,HN!AF330))=5)*(CHOOSE({1,2,3,4},HN!W330,HN!AA330,HN!AE330,HN!AI330)))</f>
        <v>0</v>
      </c>
      <c r="F330">
        <f>SUMPRODUCT((MONTH(CHOOSE({1,2,3,4},HN!T330,HN!X330,HN!AB330,HN!AF330))=6)*(CHOOSE({1,2,3,4},HN!W330,HN!AA330,HN!AE330,HN!AI330)))</f>
        <v>0</v>
      </c>
      <c r="G330">
        <f>SUMPRODUCT((MONTH(CHOOSE({1,2,3,4},HN!T330,HN!X330,HN!AB330,HN!AF330))=7)*(CHOOSE({1,2,3,4},HN!W330,HN!AA330,HN!AE330,HN!AI330)))</f>
        <v>0</v>
      </c>
      <c r="H330">
        <f>SUMPRODUCT((MONTH(CHOOSE({1,2,3,4},HN!T330,HN!X330,HN!AB330,HN!AF330))=8)*(CHOOSE({1,2,3,4},HN!W330,HN!AA330,HN!AE330,HN!AI330)))</f>
        <v>0</v>
      </c>
      <c r="I330">
        <f>SUMPRODUCT((MONTH(CHOOSE({1,2,3,4},HN!T330,HN!X330,HN!AB330,HN!AF330))=9)*(CHOOSE({1,2,3,4},HN!W330,HN!AA330,HN!AE330,HN!AI330)))</f>
        <v>0</v>
      </c>
      <c r="J330">
        <f>SUMPRODUCT((MONTH(CHOOSE({1,2,3,4},HN!T330,HN!X330,HN!AB330,HN!AF330))=10)*(CHOOSE({1,2,3,4},HN!W330,HN!AA330,HN!AE330,HN!AI330)))</f>
        <v>0</v>
      </c>
      <c r="K330">
        <f>SUMPRODUCT((MONTH(CHOOSE({1,2,3,4},HN!T330,HN!X330,HN!AB330,HN!AF330))=11)*(CHOOSE({1,2,3,4},HN!W330,HN!AA330,HN!AE330,HN!AI330)))</f>
        <v>0</v>
      </c>
      <c r="L330">
        <f>SUMPRODUCT((MONTH(CHOOSE({1,2,3,4},HN!T330,HN!X330,HN!AB330,HN!AF330))=12)*(CHOOSE({1,2,3,4},HN!W330,HN!AA330,HN!AE330,HN!AI330)))</f>
        <v>0</v>
      </c>
    </row>
    <row r="331" spans="1:12">
      <c r="A331">
        <f>SUMPRODUCT((MONTH(CHOOSE({1,2,3,4},HN!T331,HN!X331,HN!AB331,HN!AF331))=1)*(CHOOSE({1,2,3,4},HN!W331,HN!AA331,HN!AE331,HN!AI331)))</f>
        <v>0</v>
      </c>
      <c r="B331">
        <f>SUMPRODUCT((MONTH(CHOOSE({1,2,3,4},HN!T331,HN!X331,HN!AB331,HN!AF331))=2)*(CHOOSE({1,2,3,4},HN!W331,HN!AA331,HN!AE331,HN!AI331)))</f>
        <v>0</v>
      </c>
      <c r="C331">
        <f>SUMPRODUCT((MONTH(CHOOSE({1,2,3,4},HN!T331,HN!X331,HN!AB331,HN!AF331))=3)*(CHOOSE({1,2,3,4},HN!W331,HN!AA331,HN!AE331,HN!AI331)))</f>
        <v>0</v>
      </c>
      <c r="D331">
        <f>SUMPRODUCT((MONTH(CHOOSE({1,2,3,4},HN!T331,HN!X331,HN!AB331,HN!AF331))=4)*(CHOOSE({1,2,3,4},HN!W331,HN!AA331,HN!AE331,HN!AI331)))</f>
        <v>0</v>
      </c>
      <c r="E331">
        <f>SUMPRODUCT((MONTH(CHOOSE({1,2,3,4},HN!T331,HN!X331,HN!AB331,HN!AF331))=5)*(CHOOSE({1,2,3,4},HN!W331,HN!AA331,HN!AE331,HN!AI331)))</f>
        <v>0</v>
      </c>
      <c r="F331">
        <f>SUMPRODUCT((MONTH(CHOOSE({1,2,3,4},HN!T331,HN!X331,HN!AB331,HN!AF331))=6)*(CHOOSE({1,2,3,4},HN!W331,HN!AA331,HN!AE331,HN!AI331)))</f>
        <v>0</v>
      </c>
      <c r="G331">
        <f>SUMPRODUCT((MONTH(CHOOSE({1,2,3,4},HN!T331,HN!X331,HN!AB331,HN!AF331))=7)*(CHOOSE({1,2,3,4},HN!W331,HN!AA331,HN!AE331,HN!AI331)))</f>
        <v>0</v>
      </c>
      <c r="H331">
        <f>SUMPRODUCT((MONTH(CHOOSE({1,2,3,4},HN!T331,HN!X331,HN!AB331,HN!AF331))=8)*(CHOOSE({1,2,3,4},HN!W331,HN!AA331,HN!AE331,HN!AI331)))</f>
        <v>0</v>
      </c>
      <c r="I331">
        <f>SUMPRODUCT((MONTH(CHOOSE({1,2,3,4},HN!T331,HN!X331,HN!AB331,HN!AF331))=9)*(CHOOSE({1,2,3,4},HN!W331,HN!AA331,HN!AE331,HN!AI331)))</f>
        <v>0</v>
      </c>
      <c r="J331">
        <f>SUMPRODUCT((MONTH(CHOOSE({1,2,3,4},HN!T331,HN!X331,HN!AB331,HN!AF331))=10)*(CHOOSE({1,2,3,4},HN!W331,HN!AA331,HN!AE331,HN!AI331)))</f>
        <v>0</v>
      </c>
      <c r="K331">
        <f>SUMPRODUCT((MONTH(CHOOSE({1,2,3,4},HN!T331,HN!X331,HN!AB331,HN!AF331))=11)*(CHOOSE({1,2,3,4},HN!W331,HN!AA331,HN!AE331,HN!AI331)))</f>
        <v>0</v>
      </c>
      <c r="L331">
        <f>SUMPRODUCT((MONTH(CHOOSE({1,2,3,4},HN!T331,HN!X331,HN!AB331,HN!AF331))=12)*(CHOOSE({1,2,3,4},HN!W331,HN!AA331,HN!AE331,HN!AI331)))</f>
        <v>0</v>
      </c>
    </row>
    <row r="332" spans="1:12">
      <c r="A332">
        <f>SUMPRODUCT((MONTH(CHOOSE({1,2,3,4},HN!T332,HN!X332,HN!AB332,HN!AF332))=1)*(CHOOSE({1,2,3,4},HN!W332,HN!AA332,HN!AE332,HN!AI332)))</f>
        <v>0</v>
      </c>
      <c r="B332">
        <f>SUMPRODUCT((MONTH(CHOOSE({1,2,3,4},HN!T332,HN!X332,HN!AB332,HN!AF332))=2)*(CHOOSE({1,2,3,4},HN!W332,HN!AA332,HN!AE332,HN!AI332)))</f>
        <v>0</v>
      </c>
      <c r="C332">
        <f>SUMPRODUCT((MONTH(CHOOSE({1,2,3,4},HN!T332,HN!X332,HN!AB332,HN!AF332))=3)*(CHOOSE({1,2,3,4},HN!W332,HN!AA332,HN!AE332,HN!AI332)))</f>
        <v>0</v>
      </c>
      <c r="D332">
        <f>SUMPRODUCT((MONTH(CHOOSE({1,2,3,4},HN!T332,HN!X332,HN!AB332,HN!AF332))=4)*(CHOOSE({1,2,3,4},HN!W332,HN!AA332,HN!AE332,HN!AI332)))</f>
        <v>0</v>
      </c>
      <c r="E332">
        <f>SUMPRODUCT((MONTH(CHOOSE({1,2,3,4},HN!T332,HN!X332,HN!AB332,HN!AF332))=5)*(CHOOSE({1,2,3,4},HN!W332,HN!AA332,HN!AE332,HN!AI332)))</f>
        <v>0</v>
      </c>
      <c r="F332">
        <f>SUMPRODUCT((MONTH(CHOOSE({1,2,3,4},HN!T332,HN!X332,HN!AB332,HN!AF332))=6)*(CHOOSE({1,2,3,4},HN!W332,HN!AA332,HN!AE332,HN!AI332)))</f>
        <v>0</v>
      </c>
      <c r="G332">
        <f>SUMPRODUCT((MONTH(CHOOSE({1,2,3,4},HN!T332,HN!X332,HN!AB332,HN!AF332))=7)*(CHOOSE({1,2,3,4},HN!W332,HN!AA332,HN!AE332,HN!AI332)))</f>
        <v>0</v>
      </c>
      <c r="H332">
        <f>SUMPRODUCT((MONTH(CHOOSE({1,2,3,4},HN!T332,HN!X332,HN!AB332,HN!AF332))=8)*(CHOOSE({1,2,3,4},HN!W332,HN!AA332,HN!AE332,HN!AI332)))</f>
        <v>0</v>
      </c>
      <c r="I332">
        <f>SUMPRODUCT((MONTH(CHOOSE({1,2,3,4},HN!T332,HN!X332,HN!AB332,HN!AF332))=9)*(CHOOSE({1,2,3,4},HN!W332,HN!AA332,HN!AE332,HN!AI332)))</f>
        <v>0</v>
      </c>
      <c r="J332">
        <f>SUMPRODUCT((MONTH(CHOOSE({1,2,3,4},HN!T332,HN!X332,HN!AB332,HN!AF332))=10)*(CHOOSE({1,2,3,4},HN!W332,HN!AA332,HN!AE332,HN!AI332)))</f>
        <v>0</v>
      </c>
      <c r="K332">
        <f>SUMPRODUCT((MONTH(CHOOSE({1,2,3,4},HN!T332,HN!X332,HN!AB332,HN!AF332))=11)*(CHOOSE({1,2,3,4},HN!W332,HN!AA332,HN!AE332,HN!AI332)))</f>
        <v>0</v>
      </c>
      <c r="L332">
        <f>SUMPRODUCT((MONTH(CHOOSE({1,2,3,4},HN!T332,HN!X332,HN!AB332,HN!AF332))=12)*(CHOOSE({1,2,3,4},HN!W332,HN!AA332,HN!AE332,HN!AI332)))</f>
        <v>0</v>
      </c>
    </row>
    <row r="333" spans="1:12">
      <c r="A333">
        <f>SUMPRODUCT((MONTH(CHOOSE({1,2,3,4},HN!T333,HN!X333,HN!AB333,HN!AF333))=1)*(CHOOSE({1,2,3,4},HN!W333,HN!AA333,HN!AE333,HN!AI333)))</f>
        <v>0</v>
      </c>
      <c r="B333">
        <f>SUMPRODUCT((MONTH(CHOOSE({1,2,3,4},HN!T333,HN!X333,HN!AB333,HN!AF333))=2)*(CHOOSE({1,2,3,4},HN!W333,HN!AA333,HN!AE333,HN!AI333)))</f>
        <v>0</v>
      </c>
      <c r="C333">
        <f>SUMPRODUCT((MONTH(CHOOSE({1,2,3,4},HN!T333,HN!X333,HN!AB333,HN!AF333))=3)*(CHOOSE({1,2,3,4},HN!W333,HN!AA333,HN!AE333,HN!AI333)))</f>
        <v>0</v>
      </c>
      <c r="D333">
        <f>SUMPRODUCT((MONTH(CHOOSE({1,2,3,4},HN!T333,HN!X333,HN!AB333,HN!AF333))=4)*(CHOOSE({1,2,3,4},HN!W333,HN!AA333,HN!AE333,HN!AI333)))</f>
        <v>0</v>
      </c>
      <c r="E333">
        <f>SUMPRODUCT((MONTH(CHOOSE({1,2,3,4},HN!T333,HN!X333,HN!AB333,HN!AF333))=5)*(CHOOSE({1,2,3,4},HN!W333,HN!AA333,HN!AE333,HN!AI333)))</f>
        <v>0</v>
      </c>
      <c r="F333">
        <f>SUMPRODUCT((MONTH(CHOOSE({1,2,3,4},HN!T333,HN!X333,HN!AB333,HN!AF333))=6)*(CHOOSE({1,2,3,4},HN!W333,HN!AA333,HN!AE333,HN!AI333)))</f>
        <v>0</v>
      </c>
      <c r="G333">
        <f>SUMPRODUCT((MONTH(CHOOSE({1,2,3,4},HN!T333,HN!X333,HN!AB333,HN!AF333))=7)*(CHOOSE({1,2,3,4},HN!W333,HN!AA333,HN!AE333,HN!AI333)))</f>
        <v>0</v>
      </c>
      <c r="H333">
        <f>SUMPRODUCT((MONTH(CHOOSE({1,2,3,4},HN!T333,HN!X333,HN!AB333,HN!AF333))=8)*(CHOOSE({1,2,3,4},HN!W333,HN!AA333,HN!AE333,HN!AI333)))</f>
        <v>0</v>
      </c>
      <c r="I333">
        <f>SUMPRODUCT((MONTH(CHOOSE({1,2,3,4},HN!T333,HN!X333,HN!AB333,HN!AF333))=9)*(CHOOSE({1,2,3,4},HN!W333,HN!AA333,HN!AE333,HN!AI333)))</f>
        <v>0</v>
      </c>
      <c r="J333">
        <f>SUMPRODUCT((MONTH(CHOOSE({1,2,3,4},HN!T333,HN!X333,HN!AB333,HN!AF333))=10)*(CHOOSE({1,2,3,4},HN!W333,HN!AA333,HN!AE333,HN!AI333)))</f>
        <v>0</v>
      </c>
      <c r="K333">
        <f>SUMPRODUCT((MONTH(CHOOSE({1,2,3,4},HN!T333,HN!X333,HN!AB333,HN!AF333))=11)*(CHOOSE({1,2,3,4},HN!W333,HN!AA333,HN!AE333,HN!AI333)))</f>
        <v>0</v>
      </c>
      <c r="L333">
        <f>SUMPRODUCT((MONTH(CHOOSE({1,2,3,4},HN!T333,HN!X333,HN!AB333,HN!AF333))=12)*(CHOOSE({1,2,3,4},HN!W333,HN!AA333,HN!AE333,HN!AI333)))</f>
        <v>0</v>
      </c>
    </row>
    <row r="334" spans="1:12">
      <c r="A334">
        <f>SUMPRODUCT((MONTH(CHOOSE({1,2,3,4},HN!T334,HN!X334,HN!AB334,HN!AF334))=1)*(CHOOSE({1,2,3,4},HN!W334,HN!AA334,HN!AE334,HN!AI334)))</f>
        <v>0</v>
      </c>
      <c r="B334">
        <f>SUMPRODUCT((MONTH(CHOOSE({1,2,3,4},HN!T334,HN!X334,HN!AB334,HN!AF334))=2)*(CHOOSE({1,2,3,4},HN!W334,HN!AA334,HN!AE334,HN!AI334)))</f>
        <v>0</v>
      </c>
      <c r="C334">
        <f>SUMPRODUCT((MONTH(CHOOSE({1,2,3,4},HN!T334,HN!X334,HN!AB334,HN!AF334))=3)*(CHOOSE({1,2,3,4},HN!W334,HN!AA334,HN!AE334,HN!AI334)))</f>
        <v>0</v>
      </c>
      <c r="D334">
        <f>SUMPRODUCT((MONTH(CHOOSE({1,2,3,4},HN!T334,HN!X334,HN!AB334,HN!AF334))=4)*(CHOOSE({1,2,3,4},HN!W334,HN!AA334,HN!AE334,HN!AI334)))</f>
        <v>0</v>
      </c>
      <c r="E334">
        <f>SUMPRODUCT((MONTH(CHOOSE({1,2,3,4},HN!T334,HN!X334,HN!AB334,HN!AF334))=5)*(CHOOSE({1,2,3,4},HN!W334,HN!AA334,HN!AE334,HN!AI334)))</f>
        <v>0</v>
      </c>
      <c r="F334">
        <f>SUMPRODUCT((MONTH(CHOOSE({1,2,3,4},HN!T334,HN!X334,HN!AB334,HN!AF334))=6)*(CHOOSE({1,2,3,4},HN!W334,HN!AA334,HN!AE334,HN!AI334)))</f>
        <v>0</v>
      </c>
      <c r="G334">
        <f>SUMPRODUCT((MONTH(CHOOSE({1,2,3,4},HN!T334,HN!X334,HN!AB334,HN!AF334))=7)*(CHOOSE({1,2,3,4},HN!W334,HN!AA334,HN!AE334,HN!AI334)))</f>
        <v>0</v>
      </c>
      <c r="H334">
        <f>SUMPRODUCT((MONTH(CHOOSE({1,2,3,4},HN!T334,HN!X334,HN!AB334,HN!AF334))=8)*(CHOOSE({1,2,3,4},HN!W334,HN!AA334,HN!AE334,HN!AI334)))</f>
        <v>0</v>
      </c>
      <c r="I334">
        <f>SUMPRODUCT((MONTH(CHOOSE({1,2,3,4},HN!T334,HN!X334,HN!AB334,HN!AF334))=9)*(CHOOSE({1,2,3,4},HN!W334,HN!AA334,HN!AE334,HN!AI334)))</f>
        <v>0</v>
      </c>
      <c r="J334">
        <f>SUMPRODUCT((MONTH(CHOOSE({1,2,3,4},HN!T334,HN!X334,HN!AB334,HN!AF334))=10)*(CHOOSE({1,2,3,4},HN!W334,HN!AA334,HN!AE334,HN!AI334)))</f>
        <v>0</v>
      </c>
      <c r="K334">
        <f>SUMPRODUCT((MONTH(CHOOSE({1,2,3,4},HN!T334,HN!X334,HN!AB334,HN!AF334))=11)*(CHOOSE({1,2,3,4},HN!W334,HN!AA334,HN!AE334,HN!AI334)))</f>
        <v>0</v>
      </c>
      <c r="L334">
        <f>SUMPRODUCT((MONTH(CHOOSE({1,2,3,4},HN!T334,HN!X334,HN!AB334,HN!AF334))=12)*(CHOOSE({1,2,3,4},HN!W334,HN!AA334,HN!AE334,HN!AI334)))</f>
        <v>0</v>
      </c>
    </row>
    <row r="335" spans="1:12">
      <c r="A335">
        <f>SUMPRODUCT((MONTH(CHOOSE({1,2,3,4},HN!T335,HN!X335,HN!AB335,HN!AF335))=1)*(CHOOSE({1,2,3,4},HN!W335,HN!AA335,HN!AE335,HN!AI335)))</f>
        <v>0</v>
      </c>
      <c r="B335">
        <f>SUMPRODUCT((MONTH(CHOOSE({1,2,3,4},HN!T335,HN!X335,HN!AB335,HN!AF335))=2)*(CHOOSE({1,2,3,4},HN!W335,HN!AA335,HN!AE335,HN!AI335)))</f>
        <v>0</v>
      </c>
      <c r="C335">
        <f>SUMPRODUCT((MONTH(CHOOSE({1,2,3,4},HN!T335,HN!X335,HN!AB335,HN!AF335))=3)*(CHOOSE({1,2,3,4},HN!W335,HN!AA335,HN!AE335,HN!AI335)))</f>
        <v>0</v>
      </c>
      <c r="D335">
        <f>SUMPRODUCT((MONTH(CHOOSE({1,2,3,4},HN!T335,HN!X335,HN!AB335,HN!AF335))=4)*(CHOOSE({1,2,3,4},HN!W335,HN!AA335,HN!AE335,HN!AI335)))</f>
        <v>0</v>
      </c>
      <c r="E335">
        <f>SUMPRODUCT((MONTH(CHOOSE({1,2,3,4},HN!T335,HN!X335,HN!AB335,HN!AF335))=5)*(CHOOSE({1,2,3,4},HN!W335,HN!AA335,HN!AE335,HN!AI335)))</f>
        <v>0</v>
      </c>
      <c r="F335">
        <f>SUMPRODUCT((MONTH(CHOOSE({1,2,3,4},HN!T335,HN!X335,HN!AB335,HN!AF335))=6)*(CHOOSE({1,2,3,4},HN!W335,HN!AA335,HN!AE335,HN!AI335)))</f>
        <v>0</v>
      </c>
      <c r="G335">
        <f>SUMPRODUCT((MONTH(CHOOSE({1,2,3,4},HN!T335,HN!X335,HN!AB335,HN!AF335))=7)*(CHOOSE({1,2,3,4},HN!W335,HN!AA335,HN!AE335,HN!AI335)))</f>
        <v>0</v>
      </c>
      <c r="H335">
        <f>SUMPRODUCT((MONTH(CHOOSE({1,2,3,4},HN!T335,HN!X335,HN!AB335,HN!AF335))=8)*(CHOOSE({1,2,3,4},HN!W335,HN!AA335,HN!AE335,HN!AI335)))</f>
        <v>0</v>
      </c>
      <c r="I335">
        <f>SUMPRODUCT((MONTH(CHOOSE({1,2,3,4},HN!T335,HN!X335,HN!AB335,HN!AF335))=9)*(CHOOSE({1,2,3,4},HN!W335,HN!AA335,HN!AE335,HN!AI335)))</f>
        <v>0</v>
      </c>
      <c r="J335">
        <f>SUMPRODUCT((MONTH(CHOOSE({1,2,3,4},HN!T335,HN!X335,HN!AB335,HN!AF335))=10)*(CHOOSE({1,2,3,4},HN!W335,HN!AA335,HN!AE335,HN!AI335)))</f>
        <v>0</v>
      </c>
      <c r="K335">
        <f>SUMPRODUCT((MONTH(CHOOSE({1,2,3,4},HN!T335,HN!X335,HN!AB335,HN!AF335))=11)*(CHOOSE({1,2,3,4},HN!W335,HN!AA335,HN!AE335,HN!AI335)))</f>
        <v>0</v>
      </c>
      <c r="L335">
        <f>SUMPRODUCT((MONTH(CHOOSE({1,2,3,4},HN!T335,HN!X335,HN!AB335,HN!AF335))=12)*(CHOOSE({1,2,3,4},HN!W335,HN!AA335,HN!AE335,HN!AI335)))</f>
        <v>0</v>
      </c>
    </row>
    <row r="336" spans="1:12">
      <c r="A336">
        <f>SUMPRODUCT((MONTH(CHOOSE({1,2,3,4},HN!T336,HN!X336,HN!AB336,HN!AF336))=1)*(CHOOSE({1,2,3,4},HN!W336,HN!AA336,HN!AE336,HN!AI336)))</f>
        <v>0</v>
      </c>
      <c r="B336">
        <f>SUMPRODUCT((MONTH(CHOOSE({1,2,3,4},HN!T336,HN!X336,HN!AB336,HN!AF336))=2)*(CHOOSE({1,2,3,4},HN!W336,HN!AA336,HN!AE336,HN!AI336)))</f>
        <v>0</v>
      </c>
      <c r="C336">
        <f>SUMPRODUCT((MONTH(CHOOSE({1,2,3,4},HN!T336,HN!X336,HN!AB336,HN!AF336))=3)*(CHOOSE({1,2,3,4},HN!W336,HN!AA336,HN!AE336,HN!AI336)))</f>
        <v>0</v>
      </c>
      <c r="D336">
        <f>SUMPRODUCT((MONTH(CHOOSE({1,2,3,4},HN!T336,HN!X336,HN!AB336,HN!AF336))=4)*(CHOOSE({1,2,3,4},HN!W336,HN!AA336,HN!AE336,HN!AI336)))</f>
        <v>0</v>
      </c>
      <c r="E336">
        <f>SUMPRODUCT((MONTH(CHOOSE({1,2,3,4},HN!T336,HN!X336,HN!AB336,HN!AF336))=5)*(CHOOSE({1,2,3,4},HN!W336,HN!AA336,HN!AE336,HN!AI336)))</f>
        <v>0</v>
      </c>
      <c r="F336">
        <f>SUMPRODUCT((MONTH(CHOOSE({1,2,3,4},HN!T336,HN!X336,HN!AB336,HN!AF336))=6)*(CHOOSE({1,2,3,4},HN!W336,HN!AA336,HN!AE336,HN!AI336)))</f>
        <v>0</v>
      </c>
      <c r="G336">
        <f>SUMPRODUCT((MONTH(CHOOSE({1,2,3,4},HN!T336,HN!X336,HN!AB336,HN!AF336))=7)*(CHOOSE({1,2,3,4},HN!W336,HN!AA336,HN!AE336,HN!AI336)))</f>
        <v>0</v>
      </c>
      <c r="H336">
        <f>SUMPRODUCT((MONTH(CHOOSE({1,2,3,4},HN!T336,HN!X336,HN!AB336,HN!AF336))=8)*(CHOOSE({1,2,3,4},HN!W336,HN!AA336,HN!AE336,HN!AI336)))</f>
        <v>0</v>
      </c>
      <c r="I336">
        <f>SUMPRODUCT((MONTH(CHOOSE({1,2,3,4},HN!T336,HN!X336,HN!AB336,HN!AF336))=9)*(CHOOSE({1,2,3,4},HN!W336,HN!AA336,HN!AE336,HN!AI336)))</f>
        <v>0</v>
      </c>
      <c r="J336">
        <f>SUMPRODUCT((MONTH(CHOOSE({1,2,3,4},HN!T336,HN!X336,HN!AB336,HN!AF336))=10)*(CHOOSE({1,2,3,4},HN!W336,HN!AA336,HN!AE336,HN!AI336)))</f>
        <v>0</v>
      </c>
      <c r="K336">
        <f>SUMPRODUCT((MONTH(CHOOSE({1,2,3,4},HN!T336,HN!X336,HN!AB336,HN!AF336))=11)*(CHOOSE({1,2,3,4},HN!W336,HN!AA336,HN!AE336,HN!AI336)))</f>
        <v>0</v>
      </c>
      <c r="L336">
        <f>SUMPRODUCT((MONTH(CHOOSE({1,2,3,4},HN!T336,HN!X336,HN!AB336,HN!AF336))=12)*(CHOOSE({1,2,3,4},HN!W336,HN!AA336,HN!AE336,HN!AI336)))</f>
        <v>0</v>
      </c>
    </row>
    <row r="337" spans="1:12">
      <c r="A337">
        <f>SUMPRODUCT((MONTH(CHOOSE({1,2,3,4},HN!T337,HN!X337,HN!AB337,HN!AF337))=1)*(CHOOSE({1,2,3,4},HN!W337,HN!AA337,HN!AE337,HN!AI337)))</f>
        <v>0</v>
      </c>
      <c r="B337">
        <f>SUMPRODUCT((MONTH(CHOOSE({1,2,3,4},HN!T337,HN!X337,HN!AB337,HN!AF337))=2)*(CHOOSE({1,2,3,4},HN!W337,HN!AA337,HN!AE337,HN!AI337)))</f>
        <v>0</v>
      </c>
      <c r="C337">
        <f>SUMPRODUCT((MONTH(CHOOSE({1,2,3,4},HN!T337,HN!X337,HN!AB337,HN!AF337))=3)*(CHOOSE({1,2,3,4},HN!W337,HN!AA337,HN!AE337,HN!AI337)))</f>
        <v>0</v>
      </c>
      <c r="D337">
        <f>SUMPRODUCT((MONTH(CHOOSE({1,2,3,4},HN!T337,HN!X337,HN!AB337,HN!AF337))=4)*(CHOOSE({1,2,3,4},HN!W337,HN!AA337,HN!AE337,HN!AI337)))</f>
        <v>0</v>
      </c>
      <c r="E337">
        <f>SUMPRODUCT((MONTH(CHOOSE({1,2,3,4},HN!T337,HN!X337,HN!AB337,HN!AF337))=5)*(CHOOSE({1,2,3,4},HN!W337,HN!AA337,HN!AE337,HN!AI337)))</f>
        <v>0</v>
      </c>
      <c r="F337">
        <f>SUMPRODUCT((MONTH(CHOOSE({1,2,3,4},HN!T337,HN!X337,HN!AB337,HN!AF337))=6)*(CHOOSE({1,2,3,4},HN!W337,HN!AA337,HN!AE337,HN!AI337)))</f>
        <v>0</v>
      </c>
      <c r="G337">
        <f>SUMPRODUCT((MONTH(CHOOSE({1,2,3,4},HN!T337,HN!X337,HN!AB337,HN!AF337))=7)*(CHOOSE({1,2,3,4},HN!W337,HN!AA337,HN!AE337,HN!AI337)))</f>
        <v>0</v>
      </c>
      <c r="H337">
        <f>SUMPRODUCT((MONTH(CHOOSE({1,2,3,4},HN!T337,HN!X337,HN!AB337,HN!AF337))=8)*(CHOOSE({1,2,3,4},HN!W337,HN!AA337,HN!AE337,HN!AI337)))</f>
        <v>0</v>
      </c>
      <c r="I337">
        <f>SUMPRODUCT((MONTH(CHOOSE({1,2,3,4},HN!T337,HN!X337,HN!AB337,HN!AF337))=9)*(CHOOSE({1,2,3,4},HN!W337,HN!AA337,HN!AE337,HN!AI337)))</f>
        <v>0</v>
      </c>
      <c r="J337">
        <f>SUMPRODUCT((MONTH(CHOOSE({1,2,3,4},HN!T337,HN!X337,HN!AB337,HN!AF337))=10)*(CHOOSE({1,2,3,4},HN!W337,HN!AA337,HN!AE337,HN!AI337)))</f>
        <v>0</v>
      </c>
      <c r="K337">
        <f>SUMPRODUCT((MONTH(CHOOSE({1,2,3,4},HN!T337,HN!X337,HN!AB337,HN!AF337))=11)*(CHOOSE({1,2,3,4},HN!W337,HN!AA337,HN!AE337,HN!AI337)))</f>
        <v>0</v>
      </c>
      <c r="L337">
        <f>SUMPRODUCT((MONTH(CHOOSE({1,2,3,4},HN!T337,HN!X337,HN!AB337,HN!AF337))=12)*(CHOOSE({1,2,3,4},HN!W337,HN!AA337,HN!AE337,HN!AI337)))</f>
        <v>0</v>
      </c>
    </row>
    <row r="338" spans="1:12">
      <c r="A338">
        <f>SUMPRODUCT((MONTH(CHOOSE({1,2,3,4},HN!T338,HN!X338,HN!AB338,HN!AF338))=1)*(CHOOSE({1,2,3,4},HN!W338,HN!AA338,HN!AE338,HN!AI338)))</f>
        <v>0</v>
      </c>
      <c r="B338">
        <f>SUMPRODUCT((MONTH(CHOOSE({1,2,3,4},HN!T338,HN!X338,HN!AB338,HN!AF338))=2)*(CHOOSE({1,2,3,4},HN!W338,HN!AA338,HN!AE338,HN!AI338)))</f>
        <v>0</v>
      </c>
      <c r="C338">
        <f>SUMPRODUCT((MONTH(CHOOSE({1,2,3,4},HN!T338,HN!X338,HN!AB338,HN!AF338))=3)*(CHOOSE({1,2,3,4},HN!W338,HN!AA338,HN!AE338,HN!AI338)))</f>
        <v>0</v>
      </c>
      <c r="D338">
        <f>SUMPRODUCT((MONTH(CHOOSE({1,2,3,4},HN!T338,HN!X338,HN!AB338,HN!AF338))=4)*(CHOOSE({1,2,3,4},HN!W338,HN!AA338,HN!AE338,HN!AI338)))</f>
        <v>0</v>
      </c>
      <c r="E338">
        <f>SUMPRODUCT((MONTH(CHOOSE({1,2,3,4},HN!T338,HN!X338,HN!AB338,HN!AF338))=5)*(CHOOSE({1,2,3,4},HN!W338,HN!AA338,HN!AE338,HN!AI338)))</f>
        <v>0</v>
      </c>
      <c r="F338">
        <f>SUMPRODUCT((MONTH(CHOOSE({1,2,3,4},HN!T338,HN!X338,HN!AB338,HN!AF338))=6)*(CHOOSE({1,2,3,4},HN!W338,HN!AA338,HN!AE338,HN!AI338)))</f>
        <v>0</v>
      </c>
      <c r="G338">
        <f>SUMPRODUCT((MONTH(CHOOSE({1,2,3,4},HN!T338,HN!X338,HN!AB338,HN!AF338))=7)*(CHOOSE({1,2,3,4},HN!W338,HN!AA338,HN!AE338,HN!AI338)))</f>
        <v>0</v>
      </c>
      <c r="H338">
        <f>SUMPRODUCT((MONTH(CHOOSE({1,2,3,4},HN!T338,HN!X338,HN!AB338,HN!AF338))=8)*(CHOOSE({1,2,3,4},HN!W338,HN!AA338,HN!AE338,HN!AI338)))</f>
        <v>0</v>
      </c>
      <c r="I338">
        <f>SUMPRODUCT((MONTH(CHOOSE({1,2,3,4},HN!T338,HN!X338,HN!AB338,HN!AF338))=9)*(CHOOSE({1,2,3,4},HN!W338,HN!AA338,HN!AE338,HN!AI338)))</f>
        <v>0</v>
      </c>
      <c r="J338">
        <f>SUMPRODUCT((MONTH(CHOOSE({1,2,3,4},HN!T338,HN!X338,HN!AB338,HN!AF338))=10)*(CHOOSE({1,2,3,4},HN!W338,HN!AA338,HN!AE338,HN!AI338)))</f>
        <v>0</v>
      </c>
      <c r="K338">
        <f>SUMPRODUCT((MONTH(CHOOSE({1,2,3,4},HN!T338,HN!X338,HN!AB338,HN!AF338))=11)*(CHOOSE({1,2,3,4},HN!W338,HN!AA338,HN!AE338,HN!AI338)))</f>
        <v>0</v>
      </c>
      <c r="L338">
        <f>SUMPRODUCT((MONTH(CHOOSE({1,2,3,4},HN!T338,HN!X338,HN!AB338,HN!AF338))=12)*(CHOOSE({1,2,3,4},HN!W338,HN!AA338,HN!AE338,HN!AI338)))</f>
        <v>0</v>
      </c>
    </row>
    <row r="339" spans="1:12">
      <c r="A339">
        <f>SUMPRODUCT((MONTH(CHOOSE({1,2,3,4},HN!T339,HN!X339,HN!AB339,HN!AF339))=1)*(CHOOSE({1,2,3,4},HN!W339,HN!AA339,HN!AE339,HN!AI339)))</f>
        <v>0</v>
      </c>
      <c r="B339">
        <f>SUMPRODUCT((MONTH(CHOOSE({1,2,3,4},HN!T339,HN!X339,HN!AB339,HN!AF339))=2)*(CHOOSE({1,2,3,4},HN!W339,HN!AA339,HN!AE339,HN!AI339)))</f>
        <v>0</v>
      </c>
      <c r="C339">
        <f>SUMPRODUCT((MONTH(CHOOSE({1,2,3,4},HN!T339,HN!X339,HN!AB339,HN!AF339))=3)*(CHOOSE({1,2,3,4},HN!W339,HN!AA339,HN!AE339,HN!AI339)))</f>
        <v>0</v>
      </c>
      <c r="D339">
        <f>SUMPRODUCT((MONTH(CHOOSE({1,2,3,4},HN!T339,HN!X339,HN!AB339,HN!AF339))=4)*(CHOOSE({1,2,3,4},HN!W339,HN!AA339,HN!AE339,HN!AI339)))</f>
        <v>0</v>
      </c>
      <c r="E339">
        <f>SUMPRODUCT((MONTH(CHOOSE({1,2,3,4},HN!T339,HN!X339,HN!AB339,HN!AF339))=5)*(CHOOSE({1,2,3,4},HN!W339,HN!AA339,HN!AE339,HN!AI339)))</f>
        <v>0</v>
      </c>
      <c r="F339">
        <f>SUMPRODUCT((MONTH(CHOOSE({1,2,3,4},HN!T339,HN!X339,HN!AB339,HN!AF339))=6)*(CHOOSE({1,2,3,4},HN!W339,HN!AA339,HN!AE339,HN!AI339)))</f>
        <v>0</v>
      </c>
      <c r="G339">
        <f>SUMPRODUCT((MONTH(CHOOSE({1,2,3,4},HN!T339,HN!X339,HN!AB339,HN!AF339))=7)*(CHOOSE({1,2,3,4},HN!W339,HN!AA339,HN!AE339,HN!AI339)))</f>
        <v>0</v>
      </c>
      <c r="H339">
        <f>SUMPRODUCT((MONTH(CHOOSE({1,2,3,4},HN!T339,HN!X339,HN!AB339,HN!AF339))=8)*(CHOOSE({1,2,3,4},HN!W339,HN!AA339,HN!AE339,HN!AI339)))</f>
        <v>0</v>
      </c>
      <c r="I339">
        <f>SUMPRODUCT((MONTH(CHOOSE({1,2,3,4},HN!T339,HN!X339,HN!AB339,HN!AF339))=9)*(CHOOSE({1,2,3,4},HN!W339,HN!AA339,HN!AE339,HN!AI339)))</f>
        <v>0</v>
      </c>
      <c r="J339">
        <f>SUMPRODUCT((MONTH(CHOOSE({1,2,3,4},HN!T339,HN!X339,HN!AB339,HN!AF339))=10)*(CHOOSE({1,2,3,4},HN!W339,HN!AA339,HN!AE339,HN!AI339)))</f>
        <v>0</v>
      </c>
      <c r="K339">
        <f>SUMPRODUCT((MONTH(CHOOSE({1,2,3,4},HN!T339,HN!X339,HN!AB339,HN!AF339))=11)*(CHOOSE({1,2,3,4},HN!W339,HN!AA339,HN!AE339,HN!AI339)))</f>
        <v>0</v>
      </c>
      <c r="L339">
        <f>SUMPRODUCT((MONTH(CHOOSE({1,2,3,4},HN!T339,HN!X339,HN!AB339,HN!AF339))=12)*(CHOOSE({1,2,3,4},HN!W339,HN!AA339,HN!AE339,HN!AI339)))</f>
        <v>0</v>
      </c>
    </row>
    <row r="340" spans="1:12">
      <c r="A340">
        <f>SUMPRODUCT((MONTH(CHOOSE({1,2,3,4},HN!T340,HN!X340,HN!AB340,HN!AF340))=1)*(CHOOSE({1,2,3,4},HN!W340,HN!AA340,HN!AE340,HN!AI340)))</f>
        <v>0</v>
      </c>
      <c r="B340">
        <f>SUMPRODUCT((MONTH(CHOOSE({1,2,3,4},HN!T340,HN!X340,HN!AB340,HN!AF340))=2)*(CHOOSE({1,2,3,4},HN!W340,HN!AA340,HN!AE340,HN!AI340)))</f>
        <v>0</v>
      </c>
      <c r="C340">
        <f>SUMPRODUCT((MONTH(CHOOSE({1,2,3,4},HN!T340,HN!X340,HN!AB340,HN!AF340))=3)*(CHOOSE({1,2,3,4},HN!W340,HN!AA340,HN!AE340,HN!AI340)))</f>
        <v>0</v>
      </c>
      <c r="D340">
        <f>SUMPRODUCT((MONTH(CHOOSE({1,2,3,4},HN!T340,HN!X340,HN!AB340,HN!AF340))=4)*(CHOOSE({1,2,3,4},HN!W340,HN!AA340,HN!AE340,HN!AI340)))</f>
        <v>0</v>
      </c>
      <c r="E340">
        <f>SUMPRODUCT((MONTH(CHOOSE({1,2,3,4},HN!T340,HN!X340,HN!AB340,HN!AF340))=5)*(CHOOSE({1,2,3,4},HN!W340,HN!AA340,HN!AE340,HN!AI340)))</f>
        <v>0</v>
      </c>
      <c r="F340">
        <f>SUMPRODUCT((MONTH(CHOOSE({1,2,3,4},HN!T340,HN!X340,HN!AB340,HN!AF340))=6)*(CHOOSE({1,2,3,4},HN!W340,HN!AA340,HN!AE340,HN!AI340)))</f>
        <v>0</v>
      </c>
      <c r="G340">
        <f>SUMPRODUCT((MONTH(CHOOSE({1,2,3,4},HN!T340,HN!X340,HN!AB340,HN!AF340))=7)*(CHOOSE({1,2,3,4},HN!W340,HN!AA340,HN!AE340,HN!AI340)))</f>
        <v>0</v>
      </c>
      <c r="H340">
        <f>SUMPRODUCT((MONTH(CHOOSE({1,2,3,4},HN!T340,HN!X340,HN!AB340,HN!AF340))=8)*(CHOOSE({1,2,3,4},HN!W340,HN!AA340,HN!AE340,HN!AI340)))</f>
        <v>0</v>
      </c>
      <c r="I340">
        <f>SUMPRODUCT((MONTH(CHOOSE({1,2,3,4},HN!T340,HN!X340,HN!AB340,HN!AF340))=9)*(CHOOSE({1,2,3,4},HN!W340,HN!AA340,HN!AE340,HN!AI340)))</f>
        <v>0</v>
      </c>
      <c r="J340">
        <f>SUMPRODUCT((MONTH(CHOOSE({1,2,3,4},HN!T340,HN!X340,HN!AB340,HN!AF340))=10)*(CHOOSE({1,2,3,4},HN!W340,HN!AA340,HN!AE340,HN!AI340)))</f>
        <v>0</v>
      </c>
      <c r="K340">
        <f>SUMPRODUCT((MONTH(CHOOSE({1,2,3,4},HN!T340,HN!X340,HN!AB340,HN!AF340))=11)*(CHOOSE({1,2,3,4},HN!W340,HN!AA340,HN!AE340,HN!AI340)))</f>
        <v>0</v>
      </c>
      <c r="L340">
        <f>SUMPRODUCT((MONTH(CHOOSE({1,2,3,4},HN!T340,HN!X340,HN!AB340,HN!AF340))=12)*(CHOOSE({1,2,3,4},HN!W340,HN!AA340,HN!AE340,HN!AI340)))</f>
        <v>0</v>
      </c>
    </row>
    <row r="341" spans="1:12">
      <c r="A341">
        <f>SUMPRODUCT((MONTH(CHOOSE({1,2,3,4},HN!T341,HN!X341,HN!AB341,HN!AF341))=1)*(CHOOSE({1,2,3,4},HN!W341,HN!AA341,HN!AE341,HN!AI341)))</f>
        <v>0</v>
      </c>
      <c r="B341">
        <f>SUMPRODUCT((MONTH(CHOOSE({1,2,3,4},HN!T341,HN!X341,HN!AB341,HN!AF341))=2)*(CHOOSE({1,2,3,4},HN!W341,HN!AA341,HN!AE341,HN!AI341)))</f>
        <v>0</v>
      </c>
      <c r="C341">
        <f>SUMPRODUCT((MONTH(CHOOSE({1,2,3,4},HN!T341,HN!X341,HN!AB341,HN!AF341))=3)*(CHOOSE({1,2,3,4},HN!W341,HN!AA341,HN!AE341,HN!AI341)))</f>
        <v>0</v>
      </c>
      <c r="D341">
        <f>SUMPRODUCT((MONTH(CHOOSE({1,2,3,4},HN!T341,HN!X341,HN!AB341,HN!AF341))=4)*(CHOOSE({1,2,3,4},HN!W341,HN!AA341,HN!AE341,HN!AI341)))</f>
        <v>0</v>
      </c>
      <c r="E341">
        <f>SUMPRODUCT((MONTH(CHOOSE({1,2,3,4},HN!T341,HN!X341,HN!AB341,HN!AF341))=5)*(CHOOSE({1,2,3,4},HN!W341,HN!AA341,HN!AE341,HN!AI341)))</f>
        <v>0</v>
      </c>
      <c r="F341">
        <f>SUMPRODUCT((MONTH(CHOOSE({1,2,3,4},HN!T341,HN!X341,HN!AB341,HN!AF341))=6)*(CHOOSE({1,2,3,4},HN!W341,HN!AA341,HN!AE341,HN!AI341)))</f>
        <v>0</v>
      </c>
      <c r="G341">
        <f>SUMPRODUCT((MONTH(CHOOSE({1,2,3,4},HN!T341,HN!X341,HN!AB341,HN!AF341))=7)*(CHOOSE({1,2,3,4},HN!W341,HN!AA341,HN!AE341,HN!AI341)))</f>
        <v>0</v>
      </c>
      <c r="H341">
        <f>SUMPRODUCT((MONTH(CHOOSE({1,2,3,4},HN!T341,HN!X341,HN!AB341,HN!AF341))=8)*(CHOOSE({1,2,3,4},HN!W341,HN!AA341,HN!AE341,HN!AI341)))</f>
        <v>0</v>
      </c>
      <c r="I341">
        <f>SUMPRODUCT((MONTH(CHOOSE({1,2,3,4},HN!T341,HN!X341,HN!AB341,HN!AF341))=9)*(CHOOSE({1,2,3,4},HN!W341,HN!AA341,HN!AE341,HN!AI341)))</f>
        <v>0</v>
      </c>
      <c r="J341">
        <f>SUMPRODUCT((MONTH(CHOOSE({1,2,3,4},HN!T341,HN!X341,HN!AB341,HN!AF341))=10)*(CHOOSE({1,2,3,4},HN!W341,HN!AA341,HN!AE341,HN!AI341)))</f>
        <v>0</v>
      </c>
      <c r="K341">
        <f>SUMPRODUCT((MONTH(CHOOSE({1,2,3,4},HN!T341,HN!X341,HN!AB341,HN!AF341))=11)*(CHOOSE({1,2,3,4},HN!W341,HN!AA341,HN!AE341,HN!AI341)))</f>
        <v>0</v>
      </c>
      <c r="L341">
        <f>SUMPRODUCT((MONTH(CHOOSE({1,2,3,4},HN!T341,HN!X341,HN!AB341,HN!AF341))=12)*(CHOOSE({1,2,3,4},HN!W341,HN!AA341,HN!AE341,HN!AI341)))</f>
        <v>0</v>
      </c>
    </row>
    <row r="342" spans="1:12">
      <c r="A342">
        <f>SUMPRODUCT((MONTH(CHOOSE({1,2,3,4},HN!T342,HN!X342,HN!AB342,HN!AF342))=1)*(CHOOSE({1,2,3,4},HN!W342,HN!AA342,HN!AE342,HN!AI342)))</f>
        <v>0</v>
      </c>
      <c r="B342">
        <f>SUMPRODUCT((MONTH(CHOOSE({1,2,3,4},HN!T342,HN!X342,HN!AB342,HN!AF342))=2)*(CHOOSE({1,2,3,4},HN!W342,HN!AA342,HN!AE342,HN!AI342)))</f>
        <v>0</v>
      </c>
      <c r="C342">
        <f>SUMPRODUCT((MONTH(CHOOSE({1,2,3,4},HN!T342,HN!X342,HN!AB342,HN!AF342))=3)*(CHOOSE({1,2,3,4},HN!W342,HN!AA342,HN!AE342,HN!AI342)))</f>
        <v>0</v>
      </c>
      <c r="D342">
        <f>SUMPRODUCT((MONTH(CHOOSE({1,2,3,4},HN!T342,HN!X342,HN!AB342,HN!AF342))=4)*(CHOOSE({1,2,3,4},HN!W342,HN!AA342,HN!AE342,HN!AI342)))</f>
        <v>0</v>
      </c>
      <c r="E342">
        <f>SUMPRODUCT((MONTH(CHOOSE({1,2,3,4},HN!T342,HN!X342,HN!AB342,HN!AF342))=5)*(CHOOSE({1,2,3,4},HN!W342,HN!AA342,HN!AE342,HN!AI342)))</f>
        <v>0</v>
      </c>
      <c r="F342">
        <f>SUMPRODUCT((MONTH(CHOOSE({1,2,3,4},HN!T342,HN!X342,HN!AB342,HN!AF342))=6)*(CHOOSE({1,2,3,4},HN!W342,HN!AA342,HN!AE342,HN!AI342)))</f>
        <v>0</v>
      </c>
      <c r="G342">
        <f>SUMPRODUCT((MONTH(CHOOSE({1,2,3,4},HN!T342,HN!X342,HN!AB342,HN!AF342))=7)*(CHOOSE({1,2,3,4},HN!W342,HN!AA342,HN!AE342,HN!AI342)))</f>
        <v>0</v>
      </c>
      <c r="H342">
        <f>SUMPRODUCT((MONTH(CHOOSE({1,2,3,4},HN!T342,HN!X342,HN!AB342,HN!AF342))=8)*(CHOOSE({1,2,3,4},HN!W342,HN!AA342,HN!AE342,HN!AI342)))</f>
        <v>0</v>
      </c>
      <c r="I342">
        <f>SUMPRODUCT((MONTH(CHOOSE({1,2,3,4},HN!T342,HN!X342,HN!AB342,HN!AF342))=9)*(CHOOSE({1,2,3,4},HN!W342,HN!AA342,HN!AE342,HN!AI342)))</f>
        <v>0</v>
      </c>
      <c r="J342">
        <f>SUMPRODUCT((MONTH(CHOOSE({1,2,3,4},HN!T342,HN!X342,HN!AB342,HN!AF342))=10)*(CHOOSE({1,2,3,4},HN!W342,HN!AA342,HN!AE342,HN!AI342)))</f>
        <v>0</v>
      </c>
      <c r="K342">
        <f>SUMPRODUCT((MONTH(CHOOSE({1,2,3,4},HN!T342,HN!X342,HN!AB342,HN!AF342))=11)*(CHOOSE({1,2,3,4},HN!W342,HN!AA342,HN!AE342,HN!AI342)))</f>
        <v>0</v>
      </c>
      <c r="L342">
        <f>SUMPRODUCT((MONTH(CHOOSE({1,2,3,4},HN!T342,HN!X342,HN!AB342,HN!AF342))=12)*(CHOOSE({1,2,3,4},HN!W342,HN!AA342,HN!AE342,HN!AI342)))</f>
        <v>0</v>
      </c>
    </row>
    <row r="343" spans="1:12">
      <c r="A343">
        <f>SUMPRODUCT((MONTH(CHOOSE({1,2,3,4},HN!T343,HN!X343,HN!AB343,HN!AF343))=1)*(CHOOSE({1,2,3,4},HN!W343,HN!AA343,HN!AE343,HN!AI343)))</f>
        <v>0</v>
      </c>
      <c r="B343">
        <f>SUMPRODUCT((MONTH(CHOOSE({1,2,3,4},HN!T343,HN!X343,HN!AB343,HN!AF343))=2)*(CHOOSE({1,2,3,4},HN!W343,HN!AA343,HN!AE343,HN!AI343)))</f>
        <v>0</v>
      </c>
      <c r="C343">
        <f>SUMPRODUCT((MONTH(CHOOSE({1,2,3,4},HN!T343,HN!X343,HN!AB343,HN!AF343))=3)*(CHOOSE({1,2,3,4},HN!W343,HN!AA343,HN!AE343,HN!AI343)))</f>
        <v>0</v>
      </c>
      <c r="D343">
        <f>SUMPRODUCT((MONTH(CHOOSE({1,2,3,4},HN!T343,HN!X343,HN!AB343,HN!AF343))=4)*(CHOOSE({1,2,3,4},HN!W343,HN!AA343,HN!AE343,HN!AI343)))</f>
        <v>0</v>
      </c>
      <c r="E343">
        <f>SUMPRODUCT((MONTH(CHOOSE({1,2,3,4},HN!T343,HN!X343,HN!AB343,HN!AF343))=5)*(CHOOSE({1,2,3,4},HN!W343,HN!AA343,HN!AE343,HN!AI343)))</f>
        <v>0</v>
      </c>
      <c r="F343">
        <f>SUMPRODUCT((MONTH(CHOOSE({1,2,3,4},HN!T343,HN!X343,HN!AB343,HN!AF343))=6)*(CHOOSE({1,2,3,4},HN!W343,HN!AA343,HN!AE343,HN!AI343)))</f>
        <v>0</v>
      </c>
      <c r="G343">
        <f>SUMPRODUCT((MONTH(CHOOSE({1,2,3,4},HN!T343,HN!X343,HN!AB343,HN!AF343))=7)*(CHOOSE({1,2,3,4},HN!W343,HN!AA343,HN!AE343,HN!AI343)))</f>
        <v>0</v>
      </c>
      <c r="H343">
        <f>SUMPRODUCT((MONTH(CHOOSE({1,2,3,4},HN!T343,HN!X343,HN!AB343,HN!AF343))=8)*(CHOOSE({1,2,3,4},HN!W343,HN!AA343,HN!AE343,HN!AI343)))</f>
        <v>0</v>
      </c>
      <c r="I343">
        <f>SUMPRODUCT((MONTH(CHOOSE({1,2,3,4},HN!T343,HN!X343,HN!AB343,HN!AF343))=9)*(CHOOSE({1,2,3,4},HN!W343,HN!AA343,HN!AE343,HN!AI343)))</f>
        <v>0</v>
      </c>
      <c r="J343">
        <f>SUMPRODUCT((MONTH(CHOOSE({1,2,3,4},HN!T343,HN!X343,HN!AB343,HN!AF343))=10)*(CHOOSE({1,2,3,4},HN!W343,HN!AA343,HN!AE343,HN!AI343)))</f>
        <v>0</v>
      </c>
      <c r="K343">
        <f>SUMPRODUCT((MONTH(CHOOSE({1,2,3,4},HN!T343,HN!X343,HN!AB343,HN!AF343))=11)*(CHOOSE({1,2,3,4},HN!W343,HN!AA343,HN!AE343,HN!AI343)))</f>
        <v>0</v>
      </c>
      <c r="L343">
        <f>SUMPRODUCT((MONTH(CHOOSE({1,2,3,4},HN!T343,HN!X343,HN!AB343,HN!AF343))=12)*(CHOOSE({1,2,3,4},HN!W343,HN!AA343,HN!AE343,HN!AI343)))</f>
        <v>0</v>
      </c>
    </row>
    <row r="344" spans="1:12">
      <c r="A344">
        <f>SUMPRODUCT((MONTH(CHOOSE({1,2,3,4},HN!T344,HN!X344,HN!AB344,HN!AF344))=1)*(CHOOSE({1,2,3,4},HN!W344,HN!AA344,HN!AE344,HN!AI344)))</f>
        <v>0</v>
      </c>
      <c r="B344">
        <f>SUMPRODUCT((MONTH(CHOOSE({1,2,3,4},HN!T344,HN!X344,HN!AB344,HN!AF344))=2)*(CHOOSE({1,2,3,4},HN!W344,HN!AA344,HN!AE344,HN!AI344)))</f>
        <v>0</v>
      </c>
      <c r="C344">
        <f>SUMPRODUCT((MONTH(CHOOSE({1,2,3,4},HN!T344,HN!X344,HN!AB344,HN!AF344))=3)*(CHOOSE({1,2,3,4},HN!W344,HN!AA344,HN!AE344,HN!AI344)))</f>
        <v>0</v>
      </c>
      <c r="D344">
        <f>SUMPRODUCT((MONTH(CHOOSE({1,2,3,4},HN!T344,HN!X344,HN!AB344,HN!AF344))=4)*(CHOOSE({1,2,3,4},HN!W344,HN!AA344,HN!AE344,HN!AI344)))</f>
        <v>0</v>
      </c>
      <c r="E344">
        <f>SUMPRODUCT((MONTH(CHOOSE({1,2,3,4},HN!T344,HN!X344,HN!AB344,HN!AF344))=5)*(CHOOSE({1,2,3,4},HN!W344,HN!AA344,HN!AE344,HN!AI344)))</f>
        <v>0</v>
      </c>
      <c r="F344">
        <f>SUMPRODUCT((MONTH(CHOOSE({1,2,3,4},HN!T344,HN!X344,HN!AB344,HN!AF344))=6)*(CHOOSE({1,2,3,4},HN!W344,HN!AA344,HN!AE344,HN!AI344)))</f>
        <v>0</v>
      </c>
      <c r="G344">
        <f>SUMPRODUCT((MONTH(CHOOSE({1,2,3,4},HN!T344,HN!X344,HN!AB344,HN!AF344))=7)*(CHOOSE({1,2,3,4},HN!W344,HN!AA344,HN!AE344,HN!AI344)))</f>
        <v>0</v>
      </c>
      <c r="H344">
        <f>SUMPRODUCT((MONTH(CHOOSE({1,2,3,4},HN!T344,HN!X344,HN!AB344,HN!AF344))=8)*(CHOOSE({1,2,3,4},HN!W344,HN!AA344,HN!AE344,HN!AI344)))</f>
        <v>0</v>
      </c>
      <c r="I344">
        <f>SUMPRODUCT((MONTH(CHOOSE({1,2,3,4},HN!T344,HN!X344,HN!AB344,HN!AF344))=9)*(CHOOSE({1,2,3,4},HN!W344,HN!AA344,HN!AE344,HN!AI344)))</f>
        <v>0</v>
      </c>
      <c r="J344">
        <f>SUMPRODUCT((MONTH(CHOOSE({1,2,3,4},HN!T344,HN!X344,HN!AB344,HN!AF344))=10)*(CHOOSE({1,2,3,4},HN!W344,HN!AA344,HN!AE344,HN!AI344)))</f>
        <v>0</v>
      </c>
      <c r="K344">
        <f>SUMPRODUCT((MONTH(CHOOSE({1,2,3,4},HN!T344,HN!X344,HN!AB344,HN!AF344))=11)*(CHOOSE({1,2,3,4},HN!W344,HN!AA344,HN!AE344,HN!AI344)))</f>
        <v>0</v>
      </c>
      <c r="L344">
        <f>SUMPRODUCT((MONTH(CHOOSE({1,2,3,4},HN!T344,HN!X344,HN!AB344,HN!AF344))=12)*(CHOOSE({1,2,3,4},HN!W344,HN!AA344,HN!AE344,HN!AI344)))</f>
        <v>0</v>
      </c>
    </row>
    <row r="345" spans="1:12">
      <c r="A345">
        <f>SUMPRODUCT((MONTH(CHOOSE({1,2,3,4},HN!T345,HN!X345,HN!AB345,HN!AF345))=1)*(CHOOSE({1,2,3,4},HN!W345,HN!AA345,HN!AE345,HN!AI345)))</f>
        <v>0</v>
      </c>
      <c r="B345">
        <f>SUMPRODUCT((MONTH(CHOOSE({1,2,3,4},HN!T345,HN!X345,HN!AB345,HN!AF345))=2)*(CHOOSE({1,2,3,4},HN!W345,HN!AA345,HN!AE345,HN!AI345)))</f>
        <v>0</v>
      </c>
      <c r="C345">
        <f>SUMPRODUCT((MONTH(CHOOSE({1,2,3,4},HN!T345,HN!X345,HN!AB345,HN!AF345))=3)*(CHOOSE({1,2,3,4},HN!W345,HN!AA345,HN!AE345,HN!AI345)))</f>
        <v>0</v>
      </c>
      <c r="D345">
        <f>SUMPRODUCT((MONTH(CHOOSE({1,2,3,4},HN!T345,HN!X345,HN!AB345,HN!AF345))=4)*(CHOOSE({1,2,3,4},HN!W345,HN!AA345,HN!AE345,HN!AI345)))</f>
        <v>0</v>
      </c>
      <c r="E345">
        <f>SUMPRODUCT((MONTH(CHOOSE({1,2,3,4},HN!T345,HN!X345,HN!AB345,HN!AF345))=5)*(CHOOSE({1,2,3,4},HN!W345,HN!AA345,HN!AE345,HN!AI345)))</f>
        <v>0</v>
      </c>
      <c r="F345">
        <f>SUMPRODUCT((MONTH(CHOOSE({1,2,3,4},HN!T345,HN!X345,HN!AB345,HN!AF345))=6)*(CHOOSE({1,2,3,4},HN!W345,HN!AA345,HN!AE345,HN!AI345)))</f>
        <v>0</v>
      </c>
      <c r="G345">
        <f>SUMPRODUCT((MONTH(CHOOSE({1,2,3,4},HN!T345,HN!X345,HN!AB345,HN!AF345))=7)*(CHOOSE({1,2,3,4},HN!W345,HN!AA345,HN!AE345,HN!AI345)))</f>
        <v>0</v>
      </c>
      <c r="H345">
        <f>SUMPRODUCT((MONTH(CHOOSE({1,2,3,4},HN!T345,HN!X345,HN!AB345,HN!AF345))=8)*(CHOOSE({1,2,3,4},HN!W345,HN!AA345,HN!AE345,HN!AI345)))</f>
        <v>0</v>
      </c>
      <c r="I345">
        <f>SUMPRODUCT((MONTH(CHOOSE({1,2,3,4},HN!T345,HN!X345,HN!AB345,HN!AF345))=9)*(CHOOSE({1,2,3,4},HN!W345,HN!AA345,HN!AE345,HN!AI345)))</f>
        <v>0</v>
      </c>
      <c r="J345">
        <f>SUMPRODUCT((MONTH(CHOOSE({1,2,3,4},HN!T345,HN!X345,HN!AB345,HN!AF345))=10)*(CHOOSE({1,2,3,4},HN!W345,HN!AA345,HN!AE345,HN!AI345)))</f>
        <v>0</v>
      </c>
      <c r="K345">
        <f>SUMPRODUCT((MONTH(CHOOSE({1,2,3,4},HN!T345,HN!X345,HN!AB345,HN!AF345))=11)*(CHOOSE({1,2,3,4},HN!W345,HN!AA345,HN!AE345,HN!AI345)))</f>
        <v>0</v>
      </c>
      <c r="L345">
        <f>SUMPRODUCT((MONTH(CHOOSE({1,2,3,4},HN!T345,HN!X345,HN!AB345,HN!AF345))=12)*(CHOOSE({1,2,3,4},HN!W345,HN!AA345,HN!AE345,HN!AI345)))</f>
        <v>0</v>
      </c>
    </row>
    <row r="346" spans="1:12">
      <c r="A346">
        <f>SUMPRODUCT((MONTH(CHOOSE({1,2,3,4},HN!T346,HN!X346,HN!AB346,HN!AF346))=1)*(CHOOSE({1,2,3,4},HN!W346,HN!AA346,HN!AE346,HN!AI346)))</f>
        <v>0</v>
      </c>
      <c r="B346">
        <f>SUMPRODUCT((MONTH(CHOOSE({1,2,3,4},HN!T346,HN!X346,HN!AB346,HN!AF346))=2)*(CHOOSE({1,2,3,4},HN!W346,HN!AA346,HN!AE346,HN!AI346)))</f>
        <v>0</v>
      </c>
      <c r="C346">
        <f>SUMPRODUCT((MONTH(CHOOSE({1,2,3,4},HN!T346,HN!X346,HN!AB346,HN!AF346))=3)*(CHOOSE({1,2,3,4},HN!W346,HN!AA346,HN!AE346,HN!AI346)))</f>
        <v>0</v>
      </c>
      <c r="D346">
        <f>SUMPRODUCT((MONTH(CHOOSE({1,2,3,4},HN!T346,HN!X346,HN!AB346,HN!AF346))=4)*(CHOOSE({1,2,3,4},HN!W346,HN!AA346,HN!AE346,HN!AI346)))</f>
        <v>0</v>
      </c>
      <c r="E346">
        <f>SUMPRODUCT((MONTH(CHOOSE({1,2,3,4},HN!T346,HN!X346,HN!AB346,HN!AF346))=5)*(CHOOSE({1,2,3,4},HN!W346,HN!AA346,HN!AE346,HN!AI346)))</f>
        <v>0</v>
      </c>
      <c r="F346">
        <f>SUMPRODUCT((MONTH(CHOOSE({1,2,3,4},HN!T346,HN!X346,HN!AB346,HN!AF346))=6)*(CHOOSE({1,2,3,4},HN!W346,HN!AA346,HN!AE346,HN!AI346)))</f>
        <v>0</v>
      </c>
      <c r="G346">
        <f>SUMPRODUCT((MONTH(CHOOSE({1,2,3,4},HN!T346,HN!X346,HN!AB346,HN!AF346))=7)*(CHOOSE({1,2,3,4},HN!W346,HN!AA346,HN!AE346,HN!AI346)))</f>
        <v>0</v>
      </c>
      <c r="H346">
        <f>SUMPRODUCT((MONTH(CHOOSE({1,2,3,4},HN!T346,HN!X346,HN!AB346,HN!AF346))=8)*(CHOOSE({1,2,3,4},HN!W346,HN!AA346,HN!AE346,HN!AI346)))</f>
        <v>0</v>
      </c>
      <c r="I346">
        <f>SUMPRODUCT((MONTH(CHOOSE({1,2,3,4},HN!T346,HN!X346,HN!AB346,HN!AF346))=9)*(CHOOSE({1,2,3,4},HN!W346,HN!AA346,HN!AE346,HN!AI346)))</f>
        <v>0</v>
      </c>
      <c r="J346">
        <f>SUMPRODUCT((MONTH(CHOOSE({1,2,3,4},HN!T346,HN!X346,HN!AB346,HN!AF346))=10)*(CHOOSE({1,2,3,4},HN!W346,HN!AA346,HN!AE346,HN!AI346)))</f>
        <v>0</v>
      </c>
      <c r="K346">
        <f>SUMPRODUCT((MONTH(CHOOSE({1,2,3,4},HN!T346,HN!X346,HN!AB346,HN!AF346))=11)*(CHOOSE({1,2,3,4},HN!W346,HN!AA346,HN!AE346,HN!AI346)))</f>
        <v>0</v>
      </c>
      <c r="L346">
        <f>SUMPRODUCT((MONTH(CHOOSE({1,2,3,4},HN!T346,HN!X346,HN!AB346,HN!AF346))=12)*(CHOOSE({1,2,3,4},HN!W346,HN!AA346,HN!AE346,HN!AI346)))</f>
        <v>0</v>
      </c>
    </row>
    <row r="347" spans="1:12">
      <c r="A347">
        <f>SUMPRODUCT((MONTH(CHOOSE({1,2,3,4},HN!T347,HN!X347,HN!AB347,HN!AF347))=1)*(CHOOSE({1,2,3,4},HN!W347,HN!AA347,HN!AE347,HN!AI347)))</f>
        <v>0</v>
      </c>
      <c r="B347">
        <f>SUMPRODUCT((MONTH(CHOOSE({1,2,3,4},HN!T347,HN!X347,HN!AB347,HN!AF347))=2)*(CHOOSE({1,2,3,4},HN!W347,HN!AA347,HN!AE347,HN!AI347)))</f>
        <v>0</v>
      </c>
      <c r="C347">
        <f>SUMPRODUCT((MONTH(CHOOSE({1,2,3,4},HN!T347,HN!X347,HN!AB347,HN!AF347))=3)*(CHOOSE({1,2,3,4},HN!W347,HN!AA347,HN!AE347,HN!AI347)))</f>
        <v>0</v>
      </c>
      <c r="D347">
        <f>SUMPRODUCT((MONTH(CHOOSE({1,2,3,4},HN!T347,HN!X347,HN!AB347,HN!AF347))=4)*(CHOOSE({1,2,3,4},HN!W347,HN!AA347,HN!AE347,HN!AI347)))</f>
        <v>0</v>
      </c>
      <c r="E347">
        <f>SUMPRODUCT((MONTH(CHOOSE({1,2,3,4},HN!T347,HN!X347,HN!AB347,HN!AF347))=5)*(CHOOSE({1,2,3,4},HN!W347,HN!AA347,HN!AE347,HN!AI347)))</f>
        <v>0</v>
      </c>
      <c r="F347">
        <f>SUMPRODUCT((MONTH(CHOOSE({1,2,3,4},HN!T347,HN!X347,HN!AB347,HN!AF347))=6)*(CHOOSE({1,2,3,4},HN!W347,HN!AA347,HN!AE347,HN!AI347)))</f>
        <v>0</v>
      </c>
      <c r="G347">
        <f>SUMPRODUCT((MONTH(CHOOSE({1,2,3,4},HN!T347,HN!X347,HN!AB347,HN!AF347))=7)*(CHOOSE({1,2,3,4},HN!W347,HN!AA347,HN!AE347,HN!AI347)))</f>
        <v>0</v>
      </c>
      <c r="H347">
        <f>SUMPRODUCT((MONTH(CHOOSE({1,2,3,4},HN!T347,HN!X347,HN!AB347,HN!AF347))=8)*(CHOOSE({1,2,3,4},HN!W347,HN!AA347,HN!AE347,HN!AI347)))</f>
        <v>0</v>
      </c>
      <c r="I347">
        <f>SUMPRODUCT((MONTH(CHOOSE({1,2,3,4},HN!T347,HN!X347,HN!AB347,HN!AF347))=9)*(CHOOSE({1,2,3,4},HN!W347,HN!AA347,HN!AE347,HN!AI347)))</f>
        <v>0</v>
      </c>
      <c r="J347">
        <f>SUMPRODUCT((MONTH(CHOOSE({1,2,3,4},HN!T347,HN!X347,HN!AB347,HN!AF347))=10)*(CHOOSE({1,2,3,4},HN!W347,HN!AA347,HN!AE347,HN!AI347)))</f>
        <v>0</v>
      </c>
      <c r="K347">
        <f>SUMPRODUCT((MONTH(CHOOSE({1,2,3,4},HN!T347,HN!X347,HN!AB347,HN!AF347))=11)*(CHOOSE({1,2,3,4},HN!W347,HN!AA347,HN!AE347,HN!AI347)))</f>
        <v>0</v>
      </c>
      <c r="L347">
        <f>SUMPRODUCT((MONTH(CHOOSE({1,2,3,4},HN!T347,HN!X347,HN!AB347,HN!AF347))=12)*(CHOOSE({1,2,3,4},HN!W347,HN!AA347,HN!AE347,HN!AI347)))</f>
        <v>0</v>
      </c>
    </row>
    <row r="348" spans="1:12">
      <c r="A348">
        <f>SUMPRODUCT((MONTH(CHOOSE({1,2,3,4},HN!T348,HN!X348,HN!AB348,HN!AF348))=1)*(CHOOSE({1,2,3,4},HN!W348,HN!AA348,HN!AE348,HN!AI348)))</f>
        <v>0</v>
      </c>
      <c r="B348">
        <f>SUMPRODUCT((MONTH(CHOOSE({1,2,3,4},HN!T348,HN!X348,HN!AB348,HN!AF348))=2)*(CHOOSE({1,2,3,4},HN!W348,HN!AA348,HN!AE348,HN!AI348)))</f>
        <v>0</v>
      </c>
      <c r="C348">
        <f>SUMPRODUCT((MONTH(CHOOSE({1,2,3,4},HN!T348,HN!X348,HN!AB348,HN!AF348))=3)*(CHOOSE({1,2,3,4},HN!W348,HN!AA348,HN!AE348,HN!AI348)))</f>
        <v>0</v>
      </c>
      <c r="D348">
        <f>SUMPRODUCT((MONTH(CHOOSE({1,2,3,4},HN!T348,HN!X348,HN!AB348,HN!AF348))=4)*(CHOOSE({1,2,3,4},HN!W348,HN!AA348,HN!AE348,HN!AI348)))</f>
        <v>0</v>
      </c>
      <c r="E348">
        <f>SUMPRODUCT((MONTH(CHOOSE({1,2,3,4},HN!T348,HN!X348,HN!AB348,HN!AF348))=5)*(CHOOSE({1,2,3,4},HN!W348,HN!AA348,HN!AE348,HN!AI348)))</f>
        <v>0</v>
      </c>
      <c r="F348">
        <f>SUMPRODUCT((MONTH(CHOOSE({1,2,3,4},HN!T348,HN!X348,HN!AB348,HN!AF348))=6)*(CHOOSE({1,2,3,4},HN!W348,HN!AA348,HN!AE348,HN!AI348)))</f>
        <v>0</v>
      </c>
      <c r="G348">
        <f>SUMPRODUCT((MONTH(CHOOSE({1,2,3,4},HN!T348,HN!X348,HN!AB348,HN!AF348))=7)*(CHOOSE({1,2,3,4},HN!W348,HN!AA348,HN!AE348,HN!AI348)))</f>
        <v>0</v>
      </c>
      <c r="H348">
        <f>SUMPRODUCT((MONTH(CHOOSE({1,2,3,4},HN!T348,HN!X348,HN!AB348,HN!AF348))=8)*(CHOOSE({1,2,3,4},HN!W348,HN!AA348,HN!AE348,HN!AI348)))</f>
        <v>0</v>
      </c>
      <c r="I348">
        <f>SUMPRODUCT((MONTH(CHOOSE({1,2,3,4},HN!T348,HN!X348,HN!AB348,HN!AF348))=9)*(CHOOSE({1,2,3,4},HN!W348,HN!AA348,HN!AE348,HN!AI348)))</f>
        <v>0</v>
      </c>
      <c r="J348">
        <f>SUMPRODUCT((MONTH(CHOOSE({1,2,3,4},HN!T348,HN!X348,HN!AB348,HN!AF348))=10)*(CHOOSE({1,2,3,4},HN!W348,HN!AA348,HN!AE348,HN!AI348)))</f>
        <v>0</v>
      </c>
      <c r="K348">
        <f>SUMPRODUCT((MONTH(CHOOSE({1,2,3,4},HN!T348,HN!X348,HN!AB348,HN!AF348))=11)*(CHOOSE({1,2,3,4},HN!W348,HN!AA348,HN!AE348,HN!AI348)))</f>
        <v>0</v>
      </c>
      <c r="L348">
        <f>SUMPRODUCT((MONTH(CHOOSE({1,2,3,4},HN!T348,HN!X348,HN!AB348,HN!AF348))=12)*(CHOOSE({1,2,3,4},HN!W348,HN!AA348,HN!AE348,HN!AI348)))</f>
        <v>0</v>
      </c>
    </row>
    <row r="349" spans="1:12">
      <c r="A349">
        <f>SUMPRODUCT((MONTH(CHOOSE({1,2,3,4},HN!T349,HN!X349,HN!AB349,HN!AF349))=1)*(CHOOSE({1,2,3,4},HN!W349,HN!AA349,HN!AE349,HN!AI349)))</f>
        <v>0</v>
      </c>
      <c r="B349">
        <f>SUMPRODUCT((MONTH(CHOOSE({1,2,3,4},HN!T349,HN!X349,HN!AB349,HN!AF349))=2)*(CHOOSE({1,2,3,4},HN!W349,HN!AA349,HN!AE349,HN!AI349)))</f>
        <v>0</v>
      </c>
      <c r="C349">
        <f>SUMPRODUCT((MONTH(CHOOSE({1,2,3,4},HN!T349,HN!X349,HN!AB349,HN!AF349))=3)*(CHOOSE({1,2,3,4},HN!W349,HN!AA349,HN!AE349,HN!AI349)))</f>
        <v>0</v>
      </c>
      <c r="D349">
        <f>SUMPRODUCT((MONTH(CHOOSE({1,2,3,4},HN!T349,HN!X349,HN!AB349,HN!AF349))=4)*(CHOOSE({1,2,3,4},HN!W349,HN!AA349,HN!AE349,HN!AI349)))</f>
        <v>0</v>
      </c>
      <c r="E349">
        <f>SUMPRODUCT((MONTH(CHOOSE({1,2,3,4},HN!T349,HN!X349,HN!AB349,HN!AF349))=5)*(CHOOSE({1,2,3,4},HN!W349,HN!AA349,HN!AE349,HN!AI349)))</f>
        <v>0</v>
      </c>
      <c r="F349">
        <f>SUMPRODUCT((MONTH(CHOOSE({1,2,3,4},HN!T349,HN!X349,HN!AB349,HN!AF349))=6)*(CHOOSE({1,2,3,4},HN!W349,HN!AA349,HN!AE349,HN!AI349)))</f>
        <v>0</v>
      </c>
      <c r="G349">
        <f>SUMPRODUCT((MONTH(CHOOSE({1,2,3,4},HN!T349,HN!X349,HN!AB349,HN!AF349))=7)*(CHOOSE({1,2,3,4},HN!W349,HN!AA349,HN!AE349,HN!AI349)))</f>
        <v>0</v>
      </c>
      <c r="H349">
        <f>SUMPRODUCT((MONTH(CHOOSE({1,2,3,4},HN!T349,HN!X349,HN!AB349,HN!AF349))=8)*(CHOOSE({1,2,3,4},HN!W349,HN!AA349,HN!AE349,HN!AI349)))</f>
        <v>0</v>
      </c>
      <c r="I349">
        <f>SUMPRODUCT((MONTH(CHOOSE({1,2,3,4},HN!T349,HN!X349,HN!AB349,HN!AF349))=9)*(CHOOSE({1,2,3,4},HN!W349,HN!AA349,HN!AE349,HN!AI349)))</f>
        <v>0</v>
      </c>
      <c r="J349">
        <f>SUMPRODUCT((MONTH(CHOOSE({1,2,3,4},HN!T349,HN!X349,HN!AB349,HN!AF349))=10)*(CHOOSE({1,2,3,4},HN!W349,HN!AA349,HN!AE349,HN!AI349)))</f>
        <v>0</v>
      </c>
      <c r="K349">
        <f>SUMPRODUCT((MONTH(CHOOSE({1,2,3,4},HN!T349,HN!X349,HN!AB349,HN!AF349))=11)*(CHOOSE({1,2,3,4},HN!W349,HN!AA349,HN!AE349,HN!AI349)))</f>
        <v>0</v>
      </c>
      <c r="L349">
        <f>SUMPRODUCT((MONTH(CHOOSE({1,2,3,4},HN!T349,HN!X349,HN!AB349,HN!AF349))=12)*(CHOOSE({1,2,3,4},HN!W349,HN!AA349,HN!AE349,HN!AI349)))</f>
        <v>0</v>
      </c>
    </row>
    <row r="350" spans="1:12">
      <c r="A350">
        <f>SUMPRODUCT((MONTH(CHOOSE({1,2,3,4},HN!T350,HN!X350,HN!AB350,HN!AF350))=1)*(CHOOSE({1,2,3,4},HN!W350,HN!AA350,HN!AE350,HN!AI350)))</f>
        <v>0</v>
      </c>
      <c r="B350">
        <f>SUMPRODUCT((MONTH(CHOOSE({1,2,3,4},HN!T350,HN!X350,HN!AB350,HN!AF350))=2)*(CHOOSE({1,2,3,4},HN!W350,HN!AA350,HN!AE350,HN!AI350)))</f>
        <v>0</v>
      </c>
      <c r="C350">
        <f>SUMPRODUCT((MONTH(CHOOSE({1,2,3,4},HN!T350,HN!X350,HN!AB350,HN!AF350))=3)*(CHOOSE({1,2,3,4},HN!W350,HN!AA350,HN!AE350,HN!AI350)))</f>
        <v>0</v>
      </c>
      <c r="D350">
        <f>SUMPRODUCT((MONTH(CHOOSE({1,2,3,4},HN!T350,HN!X350,HN!AB350,HN!AF350))=4)*(CHOOSE({1,2,3,4},HN!W350,HN!AA350,HN!AE350,HN!AI350)))</f>
        <v>0</v>
      </c>
      <c r="E350">
        <f>SUMPRODUCT((MONTH(CHOOSE({1,2,3,4},HN!T350,HN!X350,HN!AB350,HN!AF350))=5)*(CHOOSE({1,2,3,4},HN!W350,HN!AA350,HN!AE350,HN!AI350)))</f>
        <v>0</v>
      </c>
      <c r="F350">
        <f>SUMPRODUCT((MONTH(CHOOSE({1,2,3,4},HN!T350,HN!X350,HN!AB350,HN!AF350))=6)*(CHOOSE({1,2,3,4},HN!W350,HN!AA350,HN!AE350,HN!AI350)))</f>
        <v>0</v>
      </c>
      <c r="G350">
        <f>SUMPRODUCT((MONTH(CHOOSE({1,2,3,4},HN!T350,HN!X350,HN!AB350,HN!AF350))=7)*(CHOOSE({1,2,3,4},HN!W350,HN!AA350,HN!AE350,HN!AI350)))</f>
        <v>0</v>
      </c>
      <c r="H350">
        <f>SUMPRODUCT((MONTH(CHOOSE({1,2,3,4},HN!T350,HN!X350,HN!AB350,HN!AF350))=8)*(CHOOSE({1,2,3,4},HN!W350,HN!AA350,HN!AE350,HN!AI350)))</f>
        <v>0</v>
      </c>
      <c r="I350">
        <f>SUMPRODUCT((MONTH(CHOOSE({1,2,3,4},HN!T350,HN!X350,HN!AB350,HN!AF350))=9)*(CHOOSE({1,2,3,4},HN!W350,HN!AA350,HN!AE350,HN!AI350)))</f>
        <v>0</v>
      </c>
      <c r="J350">
        <f>SUMPRODUCT((MONTH(CHOOSE({1,2,3,4},HN!T350,HN!X350,HN!AB350,HN!AF350))=10)*(CHOOSE({1,2,3,4},HN!W350,HN!AA350,HN!AE350,HN!AI350)))</f>
        <v>0</v>
      </c>
      <c r="K350">
        <f>SUMPRODUCT((MONTH(CHOOSE({1,2,3,4},HN!T350,HN!X350,HN!AB350,HN!AF350))=11)*(CHOOSE({1,2,3,4},HN!W350,HN!AA350,HN!AE350,HN!AI350)))</f>
        <v>0</v>
      </c>
      <c r="L350">
        <f>SUMPRODUCT((MONTH(CHOOSE({1,2,3,4},HN!T350,HN!X350,HN!AB350,HN!AF350))=12)*(CHOOSE({1,2,3,4},HN!W350,HN!AA350,HN!AE350,HN!AI350)))</f>
        <v>0</v>
      </c>
    </row>
    <row r="351" spans="1:12">
      <c r="A351">
        <f>SUMPRODUCT((MONTH(CHOOSE({1,2,3,4},HN!T351,HN!X351,HN!AB351,HN!AF351))=1)*(CHOOSE({1,2,3,4},HN!W351,HN!AA351,HN!AE351,HN!AI351)))</f>
        <v>0</v>
      </c>
      <c r="B351">
        <f>SUMPRODUCT((MONTH(CHOOSE({1,2,3,4},HN!T351,HN!X351,HN!AB351,HN!AF351))=2)*(CHOOSE({1,2,3,4},HN!W351,HN!AA351,HN!AE351,HN!AI351)))</f>
        <v>0</v>
      </c>
      <c r="C351">
        <f>SUMPRODUCT((MONTH(CHOOSE({1,2,3,4},HN!T351,HN!X351,HN!AB351,HN!AF351))=3)*(CHOOSE({1,2,3,4},HN!W351,HN!AA351,HN!AE351,HN!AI351)))</f>
        <v>0</v>
      </c>
      <c r="D351">
        <f>SUMPRODUCT((MONTH(CHOOSE({1,2,3,4},HN!T351,HN!X351,HN!AB351,HN!AF351))=4)*(CHOOSE({1,2,3,4},HN!W351,HN!AA351,HN!AE351,HN!AI351)))</f>
        <v>0</v>
      </c>
      <c r="E351">
        <f>SUMPRODUCT((MONTH(CHOOSE({1,2,3,4},HN!T351,HN!X351,HN!AB351,HN!AF351))=5)*(CHOOSE({1,2,3,4},HN!W351,HN!AA351,HN!AE351,HN!AI351)))</f>
        <v>0</v>
      </c>
      <c r="F351">
        <f>SUMPRODUCT((MONTH(CHOOSE({1,2,3,4},HN!T351,HN!X351,HN!AB351,HN!AF351))=6)*(CHOOSE({1,2,3,4},HN!W351,HN!AA351,HN!AE351,HN!AI351)))</f>
        <v>0</v>
      </c>
      <c r="G351">
        <f>SUMPRODUCT((MONTH(CHOOSE({1,2,3,4},HN!T351,HN!X351,HN!AB351,HN!AF351))=7)*(CHOOSE({1,2,3,4},HN!W351,HN!AA351,HN!AE351,HN!AI351)))</f>
        <v>0</v>
      </c>
      <c r="H351">
        <f>SUMPRODUCT((MONTH(CHOOSE({1,2,3,4},HN!T351,HN!X351,HN!AB351,HN!AF351))=8)*(CHOOSE({1,2,3,4},HN!W351,HN!AA351,HN!AE351,HN!AI351)))</f>
        <v>0</v>
      </c>
      <c r="I351">
        <f>SUMPRODUCT((MONTH(CHOOSE({1,2,3,4},HN!T351,HN!X351,HN!AB351,HN!AF351))=9)*(CHOOSE({1,2,3,4},HN!W351,HN!AA351,HN!AE351,HN!AI351)))</f>
        <v>0</v>
      </c>
      <c r="J351">
        <f>SUMPRODUCT((MONTH(CHOOSE({1,2,3,4},HN!T351,HN!X351,HN!AB351,HN!AF351))=10)*(CHOOSE({1,2,3,4},HN!W351,HN!AA351,HN!AE351,HN!AI351)))</f>
        <v>0</v>
      </c>
      <c r="K351">
        <f>SUMPRODUCT((MONTH(CHOOSE({1,2,3,4},HN!T351,HN!X351,HN!AB351,HN!AF351))=11)*(CHOOSE({1,2,3,4},HN!W351,HN!AA351,HN!AE351,HN!AI351)))</f>
        <v>0</v>
      </c>
      <c r="L351">
        <f>SUMPRODUCT((MONTH(CHOOSE({1,2,3,4},HN!T351,HN!X351,HN!AB351,HN!AF351))=12)*(CHOOSE({1,2,3,4},HN!W351,HN!AA351,HN!AE351,HN!AI351)))</f>
        <v>0</v>
      </c>
    </row>
    <row r="352" spans="1:12">
      <c r="A352">
        <f>SUMPRODUCT((MONTH(CHOOSE({1,2,3,4},HN!T352,HN!X352,HN!AB352,HN!AF352))=1)*(CHOOSE({1,2,3,4},HN!W352,HN!AA352,HN!AE352,HN!AI352)))</f>
        <v>0</v>
      </c>
      <c r="B352">
        <f>SUMPRODUCT((MONTH(CHOOSE({1,2,3,4},HN!T352,HN!X352,HN!AB352,HN!AF352))=2)*(CHOOSE({1,2,3,4},HN!W352,HN!AA352,HN!AE352,HN!AI352)))</f>
        <v>0</v>
      </c>
      <c r="C352">
        <f>SUMPRODUCT((MONTH(CHOOSE({1,2,3,4},HN!T352,HN!X352,HN!AB352,HN!AF352))=3)*(CHOOSE({1,2,3,4},HN!W352,HN!AA352,HN!AE352,HN!AI352)))</f>
        <v>0</v>
      </c>
      <c r="D352">
        <f>SUMPRODUCT((MONTH(CHOOSE({1,2,3,4},HN!T352,HN!X352,HN!AB352,HN!AF352))=4)*(CHOOSE({1,2,3,4},HN!W352,HN!AA352,HN!AE352,HN!AI352)))</f>
        <v>0</v>
      </c>
      <c r="E352">
        <f>SUMPRODUCT((MONTH(CHOOSE({1,2,3,4},HN!T352,HN!X352,HN!AB352,HN!AF352))=5)*(CHOOSE({1,2,3,4},HN!W352,HN!AA352,HN!AE352,HN!AI352)))</f>
        <v>0</v>
      </c>
      <c r="F352">
        <f>SUMPRODUCT((MONTH(CHOOSE({1,2,3,4},HN!T352,HN!X352,HN!AB352,HN!AF352))=6)*(CHOOSE({1,2,3,4},HN!W352,HN!AA352,HN!AE352,HN!AI352)))</f>
        <v>0</v>
      </c>
      <c r="G352">
        <f>SUMPRODUCT((MONTH(CHOOSE({1,2,3,4},HN!T352,HN!X352,HN!AB352,HN!AF352))=7)*(CHOOSE({1,2,3,4},HN!W352,HN!AA352,HN!AE352,HN!AI352)))</f>
        <v>0</v>
      </c>
      <c r="H352">
        <f>SUMPRODUCT((MONTH(CHOOSE({1,2,3,4},HN!T352,HN!X352,HN!AB352,HN!AF352))=8)*(CHOOSE({1,2,3,4},HN!W352,HN!AA352,HN!AE352,HN!AI352)))</f>
        <v>0</v>
      </c>
      <c r="I352">
        <f>SUMPRODUCT((MONTH(CHOOSE({1,2,3,4},HN!T352,HN!X352,HN!AB352,HN!AF352))=9)*(CHOOSE({1,2,3,4},HN!W352,HN!AA352,HN!AE352,HN!AI352)))</f>
        <v>0</v>
      </c>
      <c r="J352">
        <f>SUMPRODUCT((MONTH(CHOOSE({1,2,3,4},HN!T352,HN!X352,HN!AB352,HN!AF352))=10)*(CHOOSE({1,2,3,4},HN!W352,HN!AA352,HN!AE352,HN!AI352)))</f>
        <v>0</v>
      </c>
      <c r="K352">
        <f>SUMPRODUCT((MONTH(CHOOSE({1,2,3,4},HN!T352,HN!X352,HN!AB352,HN!AF352))=11)*(CHOOSE({1,2,3,4},HN!W352,HN!AA352,HN!AE352,HN!AI352)))</f>
        <v>0</v>
      </c>
      <c r="L352">
        <f>SUMPRODUCT((MONTH(CHOOSE({1,2,3,4},HN!T352,HN!X352,HN!AB352,HN!AF352))=12)*(CHOOSE({1,2,3,4},HN!W352,HN!AA352,HN!AE352,HN!AI352)))</f>
        <v>0</v>
      </c>
    </row>
    <row r="353" spans="1:12">
      <c r="A353">
        <f>SUMPRODUCT((MONTH(CHOOSE({1,2,3,4},HN!T353,HN!X353,HN!AB353,HN!AF353))=1)*(CHOOSE({1,2,3,4},HN!W353,HN!AA353,HN!AE353,HN!AI353)))</f>
        <v>0</v>
      </c>
      <c r="B353">
        <f>SUMPRODUCT((MONTH(CHOOSE({1,2,3,4},HN!T353,HN!X353,HN!AB353,HN!AF353))=2)*(CHOOSE({1,2,3,4},HN!W353,HN!AA353,HN!AE353,HN!AI353)))</f>
        <v>0</v>
      </c>
      <c r="C353">
        <f>SUMPRODUCT((MONTH(CHOOSE({1,2,3,4},HN!T353,HN!X353,HN!AB353,HN!AF353))=3)*(CHOOSE({1,2,3,4},HN!W353,HN!AA353,HN!AE353,HN!AI353)))</f>
        <v>0</v>
      </c>
      <c r="D353">
        <f>SUMPRODUCT((MONTH(CHOOSE({1,2,3,4},HN!T353,HN!X353,HN!AB353,HN!AF353))=4)*(CHOOSE({1,2,3,4},HN!W353,HN!AA353,HN!AE353,HN!AI353)))</f>
        <v>0</v>
      </c>
      <c r="E353">
        <f>SUMPRODUCT((MONTH(CHOOSE({1,2,3,4},HN!T353,HN!X353,HN!AB353,HN!AF353))=5)*(CHOOSE({1,2,3,4},HN!W353,HN!AA353,HN!AE353,HN!AI353)))</f>
        <v>0</v>
      </c>
      <c r="F353">
        <f>SUMPRODUCT((MONTH(CHOOSE({1,2,3,4},HN!T353,HN!X353,HN!AB353,HN!AF353))=6)*(CHOOSE({1,2,3,4},HN!W353,HN!AA353,HN!AE353,HN!AI353)))</f>
        <v>0</v>
      </c>
      <c r="G353">
        <f>SUMPRODUCT((MONTH(CHOOSE({1,2,3,4},HN!T353,HN!X353,HN!AB353,HN!AF353))=7)*(CHOOSE({1,2,3,4},HN!W353,HN!AA353,HN!AE353,HN!AI353)))</f>
        <v>0</v>
      </c>
      <c r="H353">
        <f>SUMPRODUCT((MONTH(CHOOSE({1,2,3,4},HN!T353,HN!X353,HN!AB353,HN!AF353))=8)*(CHOOSE({1,2,3,4},HN!W353,HN!AA353,HN!AE353,HN!AI353)))</f>
        <v>0</v>
      </c>
      <c r="I353">
        <f>SUMPRODUCT((MONTH(CHOOSE({1,2,3,4},HN!T353,HN!X353,HN!AB353,HN!AF353))=9)*(CHOOSE({1,2,3,4},HN!W353,HN!AA353,HN!AE353,HN!AI353)))</f>
        <v>0</v>
      </c>
      <c r="J353">
        <f>SUMPRODUCT((MONTH(CHOOSE({1,2,3,4},HN!T353,HN!X353,HN!AB353,HN!AF353))=10)*(CHOOSE({1,2,3,4},HN!W353,HN!AA353,HN!AE353,HN!AI353)))</f>
        <v>0</v>
      </c>
      <c r="K353">
        <f>SUMPRODUCT((MONTH(CHOOSE({1,2,3,4},HN!T353,HN!X353,HN!AB353,HN!AF353))=11)*(CHOOSE({1,2,3,4},HN!W353,HN!AA353,HN!AE353,HN!AI353)))</f>
        <v>0</v>
      </c>
      <c r="L353">
        <f>SUMPRODUCT((MONTH(CHOOSE({1,2,3,4},HN!T353,HN!X353,HN!AB353,HN!AF353))=12)*(CHOOSE({1,2,3,4},HN!W353,HN!AA353,HN!AE353,HN!AI353)))</f>
        <v>0</v>
      </c>
    </row>
    <row r="354" spans="1:12">
      <c r="A354">
        <f>SUMPRODUCT((MONTH(CHOOSE({1,2,3,4},HN!T354,HN!X354,HN!AB354,HN!AF354))=1)*(CHOOSE({1,2,3,4},HN!W354,HN!AA354,HN!AE354,HN!AI354)))</f>
        <v>0</v>
      </c>
      <c r="B354">
        <f>SUMPRODUCT((MONTH(CHOOSE({1,2,3,4},HN!T354,HN!X354,HN!AB354,HN!AF354))=2)*(CHOOSE({1,2,3,4},HN!W354,HN!AA354,HN!AE354,HN!AI354)))</f>
        <v>0</v>
      </c>
      <c r="C354">
        <f>SUMPRODUCT((MONTH(CHOOSE({1,2,3,4},HN!T354,HN!X354,HN!AB354,HN!AF354))=3)*(CHOOSE({1,2,3,4},HN!W354,HN!AA354,HN!AE354,HN!AI354)))</f>
        <v>0</v>
      </c>
      <c r="D354">
        <f>SUMPRODUCT((MONTH(CHOOSE({1,2,3,4},HN!T354,HN!X354,HN!AB354,HN!AF354))=4)*(CHOOSE({1,2,3,4},HN!W354,HN!AA354,HN!AE354,HN!AI354)))</f>
        <v>0</v>
      </c>
      <c r="E354">
        <f>SUMPRODUCT((MONTH(CHOOSE({1,2,3,4},HN!T354,HN!X354,HN!AB354,HN!AF354))=5)*(CHOOSE({1,2,3,4},HN!W354,HN!AA354,HN!AE354,HN!AI354)))</f>
        <v>0</v>
      </c>
      <c r="F354">
        <f>SUMPRODUCT((MONTH(CHOOSE({1,2,3,4},HN!T354,HN!X354,HN!AB354,HN!AF354))=6)*(CHOOSE({1,2,3,4},HN!W354,HN!AA354,HN!AE354,HN!AI354)))</f>
        <v>0</v>
      </c>
      <c r="G354">
        <f>SUMPRODUCT((MONTH(CHOOSE({1,2,3,4},HN!T354,HN!X354,HN!AB354,HN!AF354))=7)*(CHOOSE({1,2,3,4},HN!W354,HN!AA354,HN!AE354,HN!AI354)))</f>
        <v>0</v>
      </c>
      <c r="H354">
        <f>SUMPRODUCT((MONTH(CHOOSE({1,2,3,4},HN!T354,HN!X354,HN!AB354,HN!AF354))=8)*(CHOOSE({1,2,3,4},HN!W354,HN!AA354,HN!AE354,HN!AI354)))</f>
        <v>0</v>
      </c>
      <c r="I354">
        <f>SUMPRODUCT((MONTH(CHOOSE({1,2,3,4},HN!T354,HN!X354,HN!AB354,HN!AF354))=9)*(CHOOSE({1,2,3,4},HN!W354,HN!AA354,HN!AE354,HN!AI354)))</f>
        <v>0</v>
      </c>
      <c r="J354">
        <f>SUMPRODUCT((MONTH(CHOOSE({1,2,3,4},HN!T354,HN!X354,HN!AB354,HN!AF354))=10)*(CHOOSE({1,2,3,4},HN!W354,HN!AA354,HN!AE354,HN!AI354)))</f>
        <v>0</v>
      </c>
      <c r="K354">
        <f>SUMPRODUCT((MONTH(CHOOSE({1,2,3,4},HN!T354,HN!X354,HN!AB354,HN!AF354))=11)*(CHOOSE({1,2,3,4},HN!W354,HN!AA354,HN!AE354,HN!AI354)))</f>
        <v>0</v>
      </c>
      <c r="L354">
        <f>SUMPRODUCT((MONTH(CHOOSE({1,2,3,4},HN!T354,HN!X354,HN!AB354,HN!AF354))=12)*(CHOOSE({1,2,3,4},HN!W354,HN!AA354,HN!AE354,HN!AI354)))</f>
        <v>0</v>
      </c>
    </row>
    <row r="355" spans="1:12">
      <c r="A355">
        <f>SUMPRODUCT((MONTH(CHOOSE({1,2,3,4},HN!T355,HN!X355,HN!AB355,HN!AF355))=1)*(CHOOSE({1,2,3,4},HN!W355,HN!AA355,HN!AE355,HN!AI355)))</f>
        <v>0</v>
      </c>
      <c r="B355">
        <f>SUMPRODUCT((MONTH(CHOOSE({1,2,3,4},HN!T355,HN!X355,HN!AB355,HN!AF355))=2)*(CHOOSE({1,2,3,4},HN!W355,HN!AA355,HN!AE355,HN!AI355)))</f>
        <v>0</v>
      </c>
      <c r="C355">
        <f>SUMPRODUCT((MONTH(CHOOSE({1,2,3,4},HN!T355,HN!X355,HN!AB355,HN!AF355))=3)*(CHOOSE({1,2,3,4},HN!W355,HN!AA355,HN!AE355,HN!AI355)))</f>
        <v>0</v>
      </c>
      <c r="D355">
        <f>SUMPRODUCT((MONTH(CHOOSE({1,2,3,4},HN!T355,HN!X355,HN!AB355,HN!AF355))=4)*(CHOOSE({1,2,3,4},HN!W355,HN!AA355,HN!AE355,HN!AI355)))</f>
        <v>0</v>
      </c>
      <c r="E355">
        <f>SUMPRODUCT((MONTH(CHOOSE({1,2,3,4},HN!T355,HN!X355,HN!AB355,HN!AF355))=5)*(CHOOSE({1,2,3,4},HN!W355,HN!AA355,HN!AE355,HN!AI355)))</f>
        <v>0</v>
      </c>
      <c r="F355">
        <f>SUMPRODUCT((MONTH(CHOOSE({1,2,3,4},HN!T355,HN!X355,HN!AB355,HN!AF355))=6)*(CHOOSE({1,2,3,4},HN!W355,HN!AA355,HN!AE355,HN!AI355)))</f>
        <v>0</v>
      </c>
      <c r="G355">
        <f>SUMPRODUCT((MONTH(CHOOSE({1,2,3,4},HN!T355,HN!X355,HN!AB355,HN!AF355))=7)*(CHOOSE({1,2,3,4},HN!W355,HN!AA355,HN!AE355,HN!AI355)))</f>
        <v>0</v>
      </c>
      <c r="H355">
        <f>SUMPRODUCT((MONTH(CHOOSE({1,2,3,4},HN!T355,HN!X355,HN!AB355,HN!AF355))=8)*(CHOOSE({1,2,3,4},HN!W355,HN!AA355,HN!AE355,HN!AI355)))</f>
        <v>0</v>
      </c>
      <c r="I355">
        <f>SUMPRODUCT((MONTH(CHOOSE({1,2,3,4},HN!T355,HN!X355,HN!AB355,HN!AF355))=9)*(CHOOSE({1,2,3,4},HN!W355,HN!AA355,HN!AE355,HN!AI355)))</f>
        <v>0</v>
      </c>
      <c r="J355">
        <f>SUMPRODUCT((MONTH(CHOOSE({1,2,3,4},HN!T355,HN!X355,HN!AB355,HN!AF355))=10)*(CHOOSE({1,2,3,4},HN!W355,HN!AA355,HN!AE355,HN!AI355)))</f>
        <v>0</v>
      </c>
      <c r="K355">
        <f>SUMPRODUCT((MONTH(CHOOSE({1,2,3,4},HN!T355,HN!X355,HN!AB355,HN!AF355))=11)*(CHOOSE({1,2,3,4},HN!W355,HN!AA355,HN!AE355,HN!AI355)))</f>
        <v>0</v>
      </c>
      <c r="L355">
        <f>SUMPRODUCT((MONTH(CHOOSE({1,2,3,4},HN!T355,HN!X355,HN!AB355,HN!AF355))=12)*(CHOOSE({1,2,3,4},HN!W355,HN!AA355,HN!AE355,HN!AI355)))</f>
        <v>0</v>
      </c>
    </row>
    <row r="356" spans="1:12">
      <c r="A356">
        <f>SUMPRODUCT((MONTH(CHOOSE({1,2,3,4},HN!T356,HN!X356,HN!AB356,HN!AF356))=1)*(CHOOSE({1,2,3,4},HN!W356,HN!AA356,HN!AE356,HN!AI356)))</f>
        <v>0</v>
      </c>
      <c r="B356">
        <f>SUMPRODUCT((MONTH(CHOOSE({1,2,3,4},HN!T356,HN!X356,HN!AB356,HN!AF356))=2)*(CHOOSE({1,2,3,4},HN!W356,HN!AA356,HN!AE356,HN!AI356)))</f>
        <v>0</v>
      </c>
      <c r="C356">
        <f>SUMPRODUCT((MONTH(CHOOSE({1,2,3,4},HN!T356,HN!X356,HN!AB356,HN!AF356))=3)*(CHOOSE({1,2,3,4},HN!W356,HN!AA356,HN!AE356,HN!AI356)))</f>
        <v>0</v>
      </c>
      <c r="D356">
        <f>SUMPRODUCT((MONTH(CHOOSE({1,2,3,4},HN!T356,HN!X356,HN!AB356,HN!AF356))=4)*(CHOOSE({1,2,3,4},HN!W356,HN!AA356,HN!AE356,HN!AI356)))</f>
        <v>0</v>
      </c>
      <c r="E356">
        <f>SUMPRODUCT((MONTH(CHOOSE({1,2,3,4},HN!T356,HN!X356,HN!AB356,HN!AF356))=5)*(CHOOSE({1,2,3,4},HN!W356,HN!AA356,HN!AE356,HN!AI356)))</f>
        <v>0</v>
      </c>
      <c r="F356">
        <f>SUMPRODUCT((MONTH(CHOOSE({1,2,3,4},HN!T356,HN!X356,HN!AB356,HN!AF356))=6)*(CHOOSE({1,2,3,4},HN!W356,HN!AA356,HN!AE356,HN!AI356)))</f>
        <v>0</v>
      </c>
      <c r="G356">
        <f>SUMPRODUCT((MONTH(CHOOSE({1,2,3,4},HN!T356,HN!X356,HN!AB356,HN!AF356))=7)*(CHOOSE({1,2,3,4},HN!W356,HN!AA356,HN!AE356,HN!AI356)))</f>
        <v>0</v>
      </c>
      <c r="H356">
        <f>SUMPRODUCT((MONTH(CHOOSE({1,2,3,4},HN!T356,HN!X356,HN!AB356,HN!AF356))=8)*(CHOOSE({1,2,3,4},HN!W356,HN!AA356,HN!AE356,HN!AI356)))</f>
        <v>0</v>
      </c>
      <c r="I356">
        <f>SUMPRODUCT((MONTH(CHOOSE({1,2,3,4},HN!T356,HN!X356,HN!AB356,HN!AF356))=9)*(CHOOSE({1,2,3,4},HN!W356,HN!AA356,HN!AE356,HN!AI356)))</f>
        <v>0</v>
      </c>
      <c r="J356">
        <f>SUMPRODUCT((MONTH(CHOOSE({1,2,3,4},HN!T356,HN!X356,HN!AB356,HN!AF356))=10)*(CHOOSE({1,2,3,4},HN!W356,HN!AA356,HN!AE356,HN!AI356)))</f>
        <v>0</v>
      </c>
      <c r="K356">
        <f>SUMPRODUCT((MONTH(CHOOSE({1,2,3,4},HN!T356,HN!X356,HN!AB356,HN!AF356))=11)*(CHOOSE({1,2,3,4},HN!W356,HN!AA356,HN!AE356,HN!AI356)))</f>
        <v>0</v>
      </c>
      <c r="L356">
        <f>SUMPRODUCT((MONTH(CHOOSE({1,2,3,4},HN!T356,HN!X356,HN!AB356,HN!AF356))=12)*(CHOOSE({1,2,3,4},HN!W356,HN!AA356,HN!AE356,HN!AI356)))</f>
        <v>0</v>
      </c>
    </row>
    <row r="357" spans="1:12">
      <c r="A357">
        <f>SUMPRODUCT((MONTH(CHOOSE({1,2,3,4},HN!T357,HN!X357,HN!AB357,HN!AF357))=1)*(CHOOSE({1,2,3,4},HN!W357,HN!AA357,HN!AE357,HN!AI357)))</f>
        <v>0</v>
      </c>
      <c r="B357">
        <f>SUMPRODUCT((MONTH(CHOOSE({1,2,3,4},HN!T357,HN!X357,HN!AB357,HN!AF357))=2)*(CHOOSE({1,2,3,4},HN!W357,HN!AA357,HN!AE357,HN!AI357)))</f>
        <v>0</v>
      </c>
      <c r="C357">
        <f>SUMPRODUCT((MONTH(CHOOSE({1,2,3,4},HN!T357,HN!X357,HN!AB357,HN!AF357))=3)*(CHOOSE({1,2,3,4},HN!W357,HN!AA357,HN!AE357,HN!AI357)))</f>
        <v>0</v>
      </c>
      <c r="D357">
        <f>SUMPRODUCT((MONTH(CHOOSE({1,2,3,4},HN!T357,HN!X357,HN!AB357,HN!AF357))=4)*(CHOOSE({1,2,3,4},HN!W357,HN!AA357,HN!AE357,HN!AI357)))</f>
        <v>0</v>
      </c>
      <c r="E357">
        <f>SUMPRODUCT((MONTH(CHOOSE({1,2,3,4},HN!T357,HN!X357,HN!AB357,HN!AF357))=5)*(CHOOSE({1,2,3,4},HN!W357,HN!AA357,HN!AE357,HN!AI357)))</f>
        <v>0</v>
      </c>
      <c r="F357">
        <f>SUMPRODUCT((MONTH(CHOOSE({1,2,3,4},HN!T357,HN!X357,HN!AB357,HN!AF357))=6)*(CHOOSE({1,2,3,4},HN!W357,HN!AA357,HN!AE357,HN!AI357)))</f>
        <v>0</v>
      </c>
      <c r="G357">
        <f>SUMPRODUCT((MONTH(CHOOSE({1,2,3,4},HN!T357,HN!X357,HN!AB357,HN!AF357))=7)*(CHOOSE({1,2,3,4},HN!W357,HN!AA357,HN!AE357,HN!AI357)))</f>
        <v>0</v>
      </c>
      <c r="H357">
        <f>SUMPRODUCT((MONTH(CHOOSE({1,2,3,4},HN!T357,HN!X357,HN!AB357,HN!AF357))=8)*(CHOOSE({1,2,3,4},HN!W357,HN!AA357,HN!AE357,HN!AI357)))</f>
        <v>0</v>
      </c>
      <c r="I357">
        <f>SUMPRODUCT((MONTH(CHOOSE({1,2,3,4},HN!T357,HN!X357,HN!AB357,HN!AF357))=9)*(CHOOSE({1,2,3,4},HN!W357,HN!AA357,HN!AE357,HN!AI357)))</f>
        <v>0</v>
      </c>
      <c r="J357">
        <f>SUMPRODUCT((MONTH(CHOOSE({1,2,3,4},HN!T357,HN!X357,HN!AB357,HN!AF357))=10)*(CHOOSE({1,2,3,4},HN!W357,HN!AA357,HN!AE357,HN!AI357)))</f>
        <v>0</v>
      </c>
      <c r="K357">
        <f>SUMPRODUCT((MONTH(CHOOSE({1,2,3,4},HN!T357,HN!X357,HN!AB357,HN!AF357))=11)*(CHOOSE({1,2,3,4},HN!W357,HN!AA357,HN!AE357,HN!AI357)))</f>
        <v>0</v>
      </c>
      <c r="L357">
        <f>SUMPRODUCT((MONTH(CHOOSE({1,2,3,4},HN!T357,HN!X357,HN!AB357,HN!AF357))=12)*(CHOOSE({1,2,3,4},HN!W357,HN!AA357,HN!AE357,HN!AI357)))</f>
        <v>0</v>
      </c>
    </row>
    <row r="358" spans="1:12">
      <c r="A358">
        <f>SUMPRODUCT((MONTH(CHOOSE({1,2,3,4},HN!T358,HN!X358,HN!AB358,HN!AF358))=1)*(CHOOSE({1,2,3,4},HN!W358,HN!AA358,HN!AE358,HN!AI358)))</f>
        <v>0</v>
      </c>
      <c r="B358">
        <f>SUMPRODUCT((MONTH(CHOOSE({1,2,3,4},HN!T358,HN!X358,HN!AB358,HN!AF358))=2)*(CHOOSE({1,2,3,4},HN!W358,HN!AA358,HN!AE358,HN!AI358)))</f>
        <v>0</v>
      </c>
      <c r="C358">
        <f>SUMPRODUCT((MONTH(CHOOSE({1,2,3,4},HN!T358,HN!X358,HN!AB358,HN!AF358))=3)*(CHOOSE({1,2,3,4},HN!W358,HN!AA358,HN!AE358,HN!AI358)))</f>
        <v>0</v>
      </c>
      <c r="D358">
        <f>SUMPRODUCT((MONTH(CHOOSE({1,2,3,4},HN!T358,HN!X358,HN!AB358,HN!AF358))=4)*(CHOOSE({1,2,3,4},HN!W358,HN!AA358,HN!AE358,HN!AI358)))</f>
        <v>0</v>
      </c>
      <c r="E358">
        <f>SUMPRODUCT((MONTH(CHOOSE({1,2,3,4},HN!T358,HN!X358,HN!AB358,HN!AF358))=5)*(CHOOSE({1,2,3,4},HN!W358,HN!AA358,HN!AE358,HN!AI358)))</f>
        <v>0</v>
      </c>
      <c r="F358">
        <f>SUMPRODUCT((MONTH(CHOOSE({1,2,3,4},HN!T358,HN!X358,HN!AB358,HN!AF358))=6)*(CHOOSE({1,2,3,4},HN!W358,HN!AA358,HN!AE358,HN!AI358)))</f>
        <v>0</v>
      </c>
      <c r="G358">
        <f>SUMPRODUCT((MONTH(CHOOSE({1,2,3,4},HN!T358,HN!X358,HN!AB358,HN!AF358))=7)*(CHOOSE({1,2,3,4},HN!W358,HN!AA358,HN!AE358,HN!AI358)))</f>
        <v>0</v>
      </c>
      <c r="H358">
        <f>SUMPRODUCT((MONTH(CHOOSE({1,2,3,4},HN!T358,HN!X358,HN!AB358,HN!AF358))=8)*(CHOOSE({1,2,3,4},HN!W358,HN!AA358,HN!AE358,HN!AI358)))</f>
        <v>0</v>
      </c>
      <c r="I358">
        <f>SUMPRODUCT((MONTH(CHOOSE({1,2,3,4},HN!T358,HN!X358,HN!AB358,HN!AF358))=9)*(CHOOSE({1,2,3,4},HN!W358,HN!AA358,HN!AE358,HN!AI358)))</f>
        <v>0</v>
      </c>
      <c r="J358">
        <f>SUMPRODUCT((MONTH(CHOOSE({1,2,3,4},HN!T358,HN!X358,HN!AB358,HN!AF358))=10)*(CHOOSE({1,2,3,4},HN!W358,HN!AA358,HN!AE358,HN!AI358)))</f>
        <v>0</v>
      </c>
      <c r="K358">
        <f>SUMPRODUCT((MONTH(CHOOSE({1,2,3,4},HN!T358,HN!X358,HN!AB358,HN!AF358))=11)*(CHOOSE({1,2,3,4},HN!W358,HN!AA358,HN!AE358,HN!AI358)))</f>
        <v>0</v>
      </c>
      <c r="L358">
        <f>SUMPRODUCT((MONTH(CHOOSE({1,2,3,4},HN!T358,HN!X358,HN!AB358,HN!AF358))=12)*(CHOOSE({1,2,3,4},HN!W358,HN!AA358,HN!AE358,HN!AI358)))</f>
        <v>0</v>
      </c>
    </row>
    <row r="359" spans="1:12">
      <c r="A359">
        <f>SUMPRODUCT((MONTH(CHOOSE({1,2,3,4},HN!T359,HN!X359,HN!AB359,HN!AF359))=1)*(CHOOSE({1,2,3,4},HN!W359,HN!AA359,HN!AE359,HN!AI359)))</f>
        <v>0</v>
      </c>
      <c r="B359">
        <f>SUMPRODUCT((MONTH(CHOOSE({1,2,3,4},HN!T359,HN!X359,HN!AB359,HN!AF359))=2)*(CHOOSE({1,2,3,4},HN!W359,HN!AA359,HN!AE359,HN!AI359)))</f>
        <v>0</v>
      </c>
      <c r="C359">
        <f>SUMPRODUCT((MONTH(CHOOSE({1,2,3,4},HN!T359,HN!X359,HN!AB359,HN!AF359))=3)*(CHOOSE({1,2,3,4},HN!W359,HN!AA359,HN!AE359,HN!AI359)))</f>
        <v>0</v>
      </c>
      <c r="D359">
        <f>SUMPRODUCT((MONTH(CHOOSE({1,2,3,4},HN!T359,HN!X359,HN!AB359,HN!AF359))=4)*(CHOOSE({1,2,3,4},HN!W359,HN!AA359,HN!AE359,HN!AI359)))</f>
        <v>0</v>
      </c>
      <c r="E359">
        <f>SUMPRODUCT((MONTH(CHOOSE({1,2,3,4},HN!T359,HN!X359,HN!AB359,HN!AF359))=5)*(CHOOSE({1,2,3,4},HN!W359,HN!AA359,HN!AE359,HN!AI359)))</f>
        <v>0</v>
      </c>
      <c r="F359">
        <f>SUMPRODUCT((MONTH(CHOOSE({1,2,3,4},HN!T359,HN!X359,HN!AB359,HN!AF359))=6)*(CHOOSE({1,2,3,4},HN!W359,HN!AA359,HN!AE359,HN!AI359)))</f>
        <v>0</v>
      </c>
      <c r="G359">
        <f>SUMPRODUCT((MONTH(CHOOSE({1,2,3,4},HN!T359,HN!X359,HN!AB359,HN!AF359))=7)*(CHOOSE({1,2,3,4},HN!W359,HN!AA359,HN!AE359,HN!AI359)))</f>
        <v>0</v>
      </c>
      <c r="H359">
        <f>SUMPRODUCT((MONTH(CHOOSE({1,2,3,4},HN!T359,HN!X359,HN!AB359,HN!AF359))=8)*(CHOOSE({1,2,3,4},HN!W359,HN!AA359,HN!AE359,HN!AI359)))</f>
        <v>0</v>
      </c>
      <c r="I359">
        <f>SUMPRODUCT((MONTH(CHOOSE({1,2,3,4},HN!T359,HN!X359,HN!AB359,HN!AF359))=9)*(CHOOSE({1,2,3,4},HN!W359,HN!AA359,HN!AE359,HN!AI359)))</f>
        <v>0</v>
      </c>
      <c r="J359">
        <f>SUMPRODUCT((MONTH(CHOOSE({1,2,3,4},HN!T359,HN!X359,HN!AB359,HN!AF359))=10)*(CHOOSE({1,2,3,4},HN!W359,HN!AA359,HN!AE359,HN!AI359)))</f>
        <v>0</v>
      </c>
      <c r="K359">
        <f>SUMPRODUCT((MONTH(CHOOSE({1,2,3,4},HN!T359,HN!X359,HN!AB359,HN!AF359))=11)*(CHOOSE({1,2,3,4},HN!W359,HN!AA359,HN!AE359,HN!AI359)))</f>
        <v>0</v>
      </c>
      <c r="L359">
        <f>SUMPRODUCT((MONTH(CHOOSE({1,2,3,4},HN!T359,HN!X359,HN!AB359,HN!AF359))=12)*(CHOOSE({1,2,3,4},HN!W359,HN!AA359,HN!AE359,HN!AI359)))</f>
        <v>0</v>
      </c>
    </row>
    <row r="360" spans="1:12">
      <c r="A360">
        <f>SUMPRODUCT((MONTH(CHOOSE({1,2,3,4},HN!T360,HN!X360,HN!AB360,HN!AF360))=1)*(CHOOSE({1,2,3,4},HN!W360,HN!AA360,HN!AE360,HN!AI360)))</f>
        <v>0</v>
      </c>
      <c r="B360">
        <f>SUMPRODUCT((MONTH(CHOOSE({1,2,3,4},HN!T360,HN!X360,HN!AB360,HN!AF360))=2)*(CHOOSE({1,2,3,4},HN!W360,HN!AA360,HN!AE360,HN!AI360)))</f>
        <v>0</v>
      </c>
      <c r="C360">
        <f>SUMPRODUCT((MONTH(CHOOSE({1,2,3,4},HN!T360,HN!X360,HN!AB360,HN!AF360))=3)*(CHOOSE({1,2,3,4},HN!W360,HN!AA360,HN!AE360,HN!AI360)))</f>
        <v>0</v>
      </c>
      <c r="D360">
        <f>SUMPRODUCT((MONTH(CHOOSE({1,2,3,4},HN!T360,HN!X360,HN!AB360,HN!AF360))=4)*(CHOOSE({1,2,3,4},HN!W360,HN!AA360,HN!AE360,HN!AI360)))</f>
        <v>0</v>
      </c>
      <c r="E360">
        <f>SUMPRODUCT((MONTH(CHOOSE({1,2,3,4},HN!T360,HN!X360,HN!AB360,HN!AF360))=5)*(CHOOSE({1,2,3,4},HN!W360,HN!AA360,HN!AE360,HN!AI360)))</f>
        <v>0</v>
      </c>
      <c r="F360">
        <f>SUMPRODUCT((MONTH(CHOOSE({1,2,3,4},HN!T360,HN!X360,HN!AB360,HN!AF360))=6)*(CHOOSE({1,2,3,4},HN!W360,HN!AA360,HN!AE360,HN!AI360)))</f>
        <v>0</v>
      </c>
      <c r="G360">
        <f>SUMPRODUCT((MONTH(CHOOSE({1,2,3,4},HN!T360,HN!X360,HN!AB360,HN!AF360))=7)*(CHOOSE({1,2,3,4},HN!W360,HN!AA360,HN!AE360,HN!AI360)))</f>
        <v>0</v>
      </c>
      <c r="H360">
        <f>SUMPRODUCT((MONTH(CHOOSE({1,2,3,4},HN!T360,HN!X360,HN!AB360,HN!AF360))=8)*(CHOOSE({1,2,3,4},HN!W360,HN!AA360,HN!AE360,HN!AI360)))</f>
        <v>0</v>
      </c>
      <c r="I360">
        <f>SUMPRODUCT((MONTH(CHOOSE({1,2,3,4},HN!T360,HN!X360,HN!AB360,HN!AF360))=9)*(CHOOSE({1,2,3,4},HN!W360,HN!AA360,HN!AE360,HN!AI360)))</f>
        <v>0</v>
      </c>
      <c r="J360">
        <f>SUMPRODUCT((MONTH(CHOOSE({1,2,3,4},HN!T360,HN!X360,HN!AB360,HN!AF360))=10)*(CHOOSE({1,2,3,4},HN!W360,HN!AA360,HN!AE360,HN!AI360)))</f>
        <v>0</v>
      </c>
      <c r="K360">
        <f>SUMPRODUCT((MONTH(CHOOSE({1,2,3,4},HN!T360,HN!X360,HN!AB360,HN!AF360))=11)*(CHOOSE({1,2,3,4},HN!W360,HN!AA360,HN!AE360,HN!AI360)))</f>
        <v>0</v>
      </c>
      <c r="L360">
        <f>SUMPRODUCT((MONTH(CHOOSE({1,2,3,4},HN!T360,HN!X360,HN!AB360,HN!AF360))=12)*(CHOOSE({1,2,3,4},HN!W360,HN!AA360,HN!AE360,HN!AI360)))</f>
        <v>0</v>
      </c>
    </row>
    <row r="361" spans="1:12">
      <c r="A361">
        <f>SUMPRODUCT((MONTH(CHOOSE({1,2,3,4},HN!T361,HN!X361,HN!AB361,HN!AF361))=1)*(CHOOSE({1,2,3,4},HN!W361,HN!AA361,HN!AE361,HN!AI361)))</f>
        <v>0</v>
      </c>
      <c r="B361">
        <f>SUMPRODUCT((MONTH(CHOOSE({1,2,3,4},HN!T361,HN!X361,HN!AB361,HN!AF361))=2)*(CHOOSE({1,2,3,4},HN!W361,HN!AA361,HN!AE361,HN!AI361)))</f>
        <v>0</v>
      </c>
      <c r="C361">
        <f>SUMPRODUCT((MONTH(CHOOSE({1,2,3,4},HN!T361,HN!X361,HN!AB361,HN!AF361))=3)*(CHOOSE({1,2,3,4},HN!W361,HN!AA361,HN!AE361,HN!AI361)))</f>
        <v>0</v>
      </c>
      <c r="D361">
        <f>SUMPRODUCT((MONTH(CHOOSE({1,2,3,4},HN!T361,HN!X361,HN!AB361,HN!AF361))=4)*(CHOOSE({1,2,3,4},HN!W361,HN!AA361,HN!AE361,HN!AI361)))</f>
        <v>0</v>
      </c>
      <c r="E361">
        <f>SUMPRODUCT((MONTH(CHOOSE({1,2,3,4},HN!T361,HN!X361,HN!AB361,HN!AF361))=5)*(CHOOSE({1,2,3,4},HN!W361,HN!AA361,HN!AE361,HN!AI361)))</f>
        <v>0</v>
      </c>
      <c r="F361">
        <f>SUMPRODUCT((MONTH(CHOOSE({1,2,3,4},HN!T361,HN!X361,HN!AB361,HN!AF361))=6)*(CHOOSE({1,2,3,4},HN!W361,HN!AA361,HN!AE361,HN!AI361)))</f>
        <v>0</v>
      </c>
      <c r="G361">
        <f>SUMPRODUCT((MONTH(CHOOSE({1,2,3,4},HN!T361,HN!X361,HN!AB361,HN!AF361))=7)*(CHOOSE({1,2,3,4},HN!W361,HN!AA361,HN!AE361,HN!AI361)))</f>
        <v>0</v>
      </c>
      <c r="H361">
        <f>SUMPRODUCT((MONTH(CHOOSE({1,2,3,4},HN!T361,HN!X361,HN!AB361,HN!AF361))=8)*(CHOOSE({1,2,3,4},HN!W361,HN!AA361,HN!AE361,HN!AI361)))</f>
        <v>0</v>
      </c>
      <c r="I361">
        <f>SUMPRODUCT((MONTH(CHOOSE({1,2,3,4},HN!T361,HN!X361,HN!AB361,HN!AF361))=9)*(CHOOSE({1,2,3,4},HN!W361,HN!AA361,HN!AE361,HN!AI361)))</f>
        <v>0</v>
      </c>
      <c r="J361">
        <f>SUMPRODUCT((MONTH(CHOOSE({1,2,3,4},HN!T361,HN!X361,HN!AB361,HN!AF361))=10)*(CHOOSE({1,2,3,4},HN!W361,HN!AA361,HN!AE361,HN!AI361)))</f>
        <v>0</v>
      </c>
      <c r="K361">
        <f>SUMPRODUCT((MONTH(CHOOSE({1,2,3,4},HN!T361,HN!X361,HN!AB361,HN!AF361))=11)*(CHOOSE({1,2,3,4},HN!W361,HN!AA361,HN!AE361,HN!AI361)))</f>
        <v>0</v>
      </c>
      <c r="L361">
        <f>SUMPRODUCT((MONTH(CHOOSE({1,2,3,4},HN!T361,HN!X361,HN!AB361,HN!AF361))=12)*(CHOOSE({1,2,3,4},HN!W361,HN!AA361,HN!AE361,HN!AI361)))</f>
        <v>0</v>
      </c>
    </row>
    <row r="362" spans="1:12">
      <c r="A362">
        <f>SUMPRODUCT((MONTH(CHOOSE({1,2,3,4},HN!T362,HN!X362,HN!AB362,HN!AF362))=1)*(CHOOSE({1,2,3,4},HN!W362,HN!AA362,HN!AE362,HN!AI362)))</f>
        <v>0</v>
      </c>
      <c r="B362">
        <f>SUMPRODUCT((MONTH(CHOOSE({1,2,3,4},HN!T362,HN!X362,HN!AB362,HN!AF362))=2)*(CHOOSE({1,2,3,4},HN!W362,HN!AA362,HN!AE362,HN!AI362)))</f>
        <v>0</v>
      </c>
      <c r="C362">
        <f>SUMPRODUCT((MONTH(CHOOSE({1,2,3,4},HN!T362,HN!X362,HN!AB362,HN!AF362))=3)*(CHOOSE({1,2,3,4},HN!W362,HN!AA362,HN!AE362,HN!AI362)))</f>
        <v>0</v>
      </c>
      <c r="D362">
        <f>SUMPRODUCT((MONTH(CHOOSE({1,2,3,4},HN!T362,HN!X362,HN!AB362,HN!AF362))=4)*(CHOOSE({1,2,3,4},HN!W362,HN!AA362,HN!AE362,HN!AI362)))</f>
        <v>0</v>
      </c>
      <c r="E362">
        <f>SUMPRODUCT((MONTH(CHOOSE({1,2,3,4},HN!T362,HN!X362,HN!AB362,HN!AF362))=5)*(CHOOSE({1,2,3,4},HN!W362,HN!AA362,HN!AE362,HN!AI362)))</f>
        <v>0</v>
      </c>
      <c r="F362">
        <f>SUMPRODUCT((MONTH(CHOOSE({1,2,3,4},HN!T362,HN!X362,HN!AB362,HN!AF362))=6)*(CHOOSE({1,2,3,4},HN!W362,HN!AA362,HN!AE362,HN!AI362)))</f>
        <v>0</v>
      </c>
      <c r="G362">
        <f>SUMPRODUCT((MONTH(CHOOSE({1,2,3,4},HN!T362,HN!X362,HN!AB362,HN!AF362))=7)*(CHOOSE({1,2,3,4},HN!W362,HN!AA362,HN!AE362,HN!AI362)))</f>
        <v>0</v>
      </c>
      <c r="H362">
        <f>SUMPRODUCT((MONTH(CHOOSE({1,2,3,4},HN!T362,HN!X362,HN!AB362,HN!AF362))=8)*(CHOOSE({1,2,3,4},HN!W362,HN!AA362,HN!AE362,HN!AI362)))</f>
        <v>0</v>
      </c>
      <c r="I362">
        <f>SUMPRODUCT((MONTH(CHOOSE({1,2,3,4},HN!T362,HN!X362,HN!AB362,HN!AF362))=9)*(CHOOSE({1,2,3,4},HN!W362,HN!AA362,HN!AE362,HN!AI362)))</f>
        <v>0</v>
      </c>
      <c r="J362">
        <f>SUMPRODUCT((MONTH(CHOOSE({1,2,3,4},HN!T362,HN!X362,HN!AB362,HN!AF362))=10)*(CHOOSE({1,2,3,4},HN!W362,HN!AA362,HN!AE362,HN!AI362)))</f>
        <v>0</v>
      </c>
      <c r="K362">
        <f>SUMPRODUCT((MONTH(CHOOSE({1,2,3,4},HN!T362,HN!X362,HN!AB362,HN!AF362))=11)*(CHOOSE({1,2,3,4},HN!W362,HN!AA362,HN!AE362,HN!AI362)))</f>
        <v>0</v>
      </c>
      <c r="L362">
        <f>SUMPRODUCT((MONTH(CHOOSE({1,2,3,4},HN!T362,HN!X362,HN!AB362,HN!AF362))=12)*(CHOOSE({1,2,3,4},HN!W362,HN!AA362,HN!AE362,HN!AI362)))</f>
        <v>0</v>
      </c>
    </row>
    <row r="363" spans="1:12">
      <c r="A363">
        <f>SUMPRODUCT((MONTH(CHOOSE({1,2,3,4},HN!T363,HN!X363,HN!AB363,HN!AF363))=1)*(CHOOSE({1,2,3,4},HN!W363,HN!AA363,HN!AE363,HN!AI363)))</f>
        <v>0</v>
      </c>
      <c r="B363">
        <f>SUMPRODUCT((MONTH(CHOOSE({1,2,3,4},HN!T363,HN!X363,HN!AB363,HN!AF363))=2)*(CHOOSE({1,2,3,4},HN!W363,HN!AA363,HN!AE363,HN!AI363)))</f>
        <v>0</v>
      </c>
      <c r="C363">
        <f>SUMPRODUCT((MONTH(CHOOSE({1,2,3,4},HN!T363,HN!X363,HN!AB363,HN!AF363))=3)*(CHOOSE({1,2,3,4},HN!W363,HN!AA363,HN!AE363,HN!AI363)))</f>
        <v>0</v>
      </c>
      <c r="D363">
        <f>SUMPRODUCT((MONTH(CHOOSE({1,2,3,4},HN!T363,HN!X363,HN!AB363,HN!AF363))=4)*(CHOOSE({1,2,3,4},HN!W363,HN!AA363,HN!AE363,HN!AI363)))</f>
        <v>0</v>
      </c>
      <c r="E363">
        <f>SUMPRODUCT((MONTH(CHOOSE({1,2,3,4},HN!T363,HN!X363,HN!AB363,HN!AF363))=5)*(CHOOSE({1,2,3,4},HN!W363,HN!AA363,HN!AE363,HN!AI363)))</f>
        <v>0</v>
      </c>
      <c r="F363">
        <f>SUMPRODUCT((MONTH(CHOOSE({1,2,3,4},HN!T363,HN!X363,HN!AB363,HN!AF363))=6)*(CHOOSE({1,2,3,4},HN!W363,HN!AA363,HN!AE363,HN!AI363)))</f>
        <v>0</v>
      </c>
      <c r="G363">
        <f>SUMPRODUCT((MONTH(CHOOSE({1,2,3,4},HN!T363,HN!X363,HN!AB363,HN!AF363))=7)*(CHOOSE({1,2,3,4},HN!W363,HN!AA363,HN!AE363,HN!AI363)))</f>
        <v>0</v>
      </c>
      <c r="H363">
        <f>SUMPRODUCT((MONTH(CHOOSE({1,2,3,4},HN!T363,HN!X363,HN!AB363,HN!AF363))=8)*(CHOOSE({1,2,3,4},HN!W363,HN!AA363,HN!AE363,HN!AI363)))</f>
        <v>0</v>
      </c>
      <c r="I363">
        <f>SUMPRODUCT((MONTH(CHOOSE({1,2,3,4},HN!T363,HN!X363,HN!AB363,HN!AF363))=9)*(CHOOSE({1,2,3,4},HN!W363,HN!AA363,HN!AE363,HN!AI363)))</f>
        <v>0</v>
      </c>
      <c r="J363">
        <f>SUMPRODUCT((MONTH(CHOOSE({1,2,3,4},HN!T363,HN!X363,HN!AB363,HN!AF363))=10)*(CHOOSE({1,2,3,4},HN!W363,HN!AA363,HN!AE363,HN!AI363)))</f>
        <v>0</v>
      </c>
      <c r="K363">
        <f>SUMPRODUCT((MONTH(CHOOSE({1,2,3,4},HN!T363,HN!X363,HN!AB363,HN!AF363))=11)*(CHOOSE({1,2,3,4},HN!W363,HN!AA363,HN!AE363,HN!AI363)))</f>
        <v>0</v>
      </c>
      <c r="L363">
        <f>SUMPRODUCT((MONTH(CHOOSE({1,2,3,4},HN!T363,HN!X363,HN!AB363,HN!AF363))=12)*(CHOOSE({1,2,3,4},HN!W363,HN!AA363,HN!AE363,HN!AI363)))</f>
        <v>0</v>
      </c>
    </row>
    <row r="364" spans="1:12">
      <c r="A364">
        <f>SUMPRODUCT((MONTH(CHOOSE({1,2,3,4},HN!T364,HN!X364,HN!AB364,HN!AF364))=1)*(CHOOSE({1,2,3,4},HN!W364,HN!AA364,HN!AE364,HN!AI364)))</f>
        <v>0</v>
      </c>
      <c r="B364">
        <f>SUMPRODUCT((MONTH(CHOOSE({1,2,3,4},HN!T364,HN!X364,HN!AB364,HN!AF364))=2)*(CHOOSE({1,2,3,4},HN!W364,HN!AA364,HN!AE364,HN!AI364)))</f>
        <v>0</v>
      </c>
      <c r="C364">
        <f>SUMPRODUCT((MONTH(CHOOSE({1,2,3,4},HN!T364,HN!X364,HN!AB364,HN!AF364))=3)*(CHOOSE({1,2,3,4},HN!W364,HN!AA364,HN!AE364,HN!AI364)))</f>
        <v>0</v>
      </c>
      <c r="D364">
        <f>SUMPRODUCT((MONTH(CHOOSE({1,2,3,4},HN!T364,HN!X364,HN!AB364,HN!AF364))=4)*(CHOOSE({1,2,3,4},HN!W364,HN!AA364,HN!AE364,HN!AI364)))</f>
        <v>0</v>
      </c>
      <c r="E364">
        <f>SUMPRODUCT((MONTH(CHOOSE({1,2,3,4},HN!T364,HN!X364,HN!AB364,HN!AF364))=5)*(CHOOSE({1,2,3,4},HN!W364,HN!AA364,HN!AE364,HN!AI364)))</f>
        <v>0</v>
      </c>
      <c r="F364">
        <f>SUMPRODUCT((MONTH(CHOOSE({1,2,3,4},HN!T364,HN!X364,HN!AB364,HN!AF364))=6)*(CHOOSE({1,2,3,4},HN!W364,HN!AA364,HN!AE364,HN!AI364)))</f>
        <v>0</v>
      </c>
      <c r="G364">
        <f>SUMPRODUCT((MONTH(CHOOSE({1,2,3,4},HN!T364,HN!X364,HN!AB364,HN!AF364))=7)*(CHOOSE({1,2,3,4},HN!W364,HN!AA364,HN!AE364,HN!AI364)))</f>
        <v>0</v>
      </c>
      <c r="H364">
        <f>SUMPRODUCT((MONTH(CHOOSE({1,2,3,4},HN!T364,HN!X364,HN!AB364,HN!AF364))=8)*(CHOOSE({1,2,3,4},HN!W364,HN!AA364,HN!AE364,HN!AI364)))</f>
        <v>0</v>
      </c>
      <c r="I364">
        <f>SUMPRODUCT((MONTH(CHOOSE({1,2,3,4},HN!T364,HN!X364,HN!AB364,HN!AF364))=9)*(CHOOSE({1,2,3,4},HN!W364,HN!AA364,HN!AE364,HN!AI364)))</f>
        <v>0</v>
      </c>
      <c r="J364">
        <f>SUMPRODUCT((MONTH(CHOOSE({1,2,3,4},HN!T364,HN!X364,HN!AB364,HN!AF364))=10)*(CHOOSE({1,2,3,4},HN!W364,HN!AA364,HN!AE364,HN!AI364)))</f>
        <v>0</v>
      </c>
      <c r="K364">
        <f>SUMPRODUCT((MONTH(CHOOSE({1,2,3,4},HN!T364,HN!X364,HN!AB364,HN!AF364))=11)*(CHOOSE({1,2,3,4},HN!W364,HN!AA364,HN!AE364,HN!AI364)))</f>
        <v>0</v>
      </c>
      <c r="L364">
        <f>SUMPRODUCT((MONTH(CHOOSE({1,2,3,4},HN!T364,HN!X364,HN!AB364,HN!AF364))=12)*(CHOOSE({1,2,3,4},HN!W364,HN!AA364,HN!AE364,HN!AI364)))</f>
        <v>0</v>
      </c>
    </row>
    <row r="365" spans="1:12">
      <c r="A365">
        <f>SUMPRODUCT((MONTH(CHOOSE({1,2,3,4},HN!T365,HN!X365,HN!AB365,HN!AF365))=1)*(CHOOSE({1,2,3,4},HN!W365,HN!AA365,HN!AE365,HN!AI365)))</f>
        <v>0</v>
      </c>
      <c r="B365">
        <f>SUMPRODUCT((MONTH(CHOOSE({1,2,3,4},HN!T365,HN!X365,HN!AB365,HN!AF365))=2)*(CHOOSE({1,2,3,4},HN!W365,HN!AA365,HN!AE365,HN!AI365)))</f>
        <v>0</v>
      </c>
      <c r="C365">
        <f>SUMPRODUCT((MONTH(CHOOSE({1,2,3,4},HN!T365,HN!X365,HN!AB365,HN!AF365))=3)*(CHOOSE({1,2,3,4},HN!W365,HN!AA365,HN!AE365,HN!AI365)))</f>
        <v>0</v>
      </c>
      <c r="D365">
        <f>SUMPRODUCT((MONTH(CHOOSE({1,2,3,4},HN!T365,HN!X365,HN!AB365,HN!AF365))=4)*(CHOOSE({1,2,3,4},HN!W365,HN!AA365,HN!AE365,HN!AI365)))</f>
        <v>0</v>
      </c>
      <c r="E365">
        <f>SUMPRODUCT((MONTH(CHOOSE({1,2,3,4},HN!T365,HN!X365,HN!AB365,HN!AF365))=5)*(CHOOSE({1,2,3,4},HN!W365,HN!AA365,HN!AE365,HN!AI365)))</f>
        <v>0</v>
      </c>
      <c r="F365">
        <f>SUMPRODUCT((MONTH(CHOOSE({1,2,3,4},HN!T365,HN!X365,HN!AB365,HN!AF365))=6)*(CHOOSE({1,2,3,4},HN!W365,HN!AA365,HN!AE365,HN!AI365)))</f>
        <v>0</v>
      </c>
      <c r="G365">
        <f>SUMPRODUCT((MONTH(CHOOSE({1,2,3,4},HN!T365,HN!X365,HN!AB365,HN!AF365))=7)*(CHOOSE({1,2,3,4},HN!W365,HN!AA365,HN!AE365,HN!AI365)))</f>
        <v>0</v>
      </c>
      <c r="H365">
        <f>SUMPRODUCT((MONTH(CHOOSE({1,2,3,4},HN!T365,HN!X365,HN!AB365,HN!AF365))=8)*(CHOOSE({1,2,3,4},HN!W365,HN!AA365,HN!AE365,HN!AI365)))</f>
        <v>0</v>
      </c>
      <c r="I365">
        <f>SUMPRODUCT((MONTH(CHOOSE({1,2,3,4},HN!T365,HN!X365,HN!AB365,HN!AF365))=9)*(CHOOSE({1,2,3,4},HN!W365,HN!AA365,HN!AE365,HN!AI365)))</f>
        <v>0</v>
      </c>
      <c r="J365">
        <f>SUMPRODUCT((MONTH(CHOOSE({1,2,3,4},HN!T365,HN!X365,HN!AB365,HN!AF365))=10)*(CHOOSE({1,2,3,4},HN!W365,HN!AA365,HN!AE365,HN!AI365)))</f>
        <v>0</v>
      </c>
      <c r="K365">
        <f>SUMPRODUCT((MONTH(CHOOSE({1,2,3,4},HN!T365,HN!X365,HN!AB365,HN!AF365))=11)*(CHOOSE({1,2,3,4},HN!W365,HN!AA365,HN!AE365,HN!AI365)))</f>
        <v>0</v>
      </c>
      <c r="L365">
        <f>SUMPRODUCT((MONTH(CHOOSE({1,2,3,4},HN!T365,HN!X365,HN!AB365,HN!AF365))=12)*(CHOOSE({1,2,3,4},HN!W365,HN!AA365,HN!AE365,HN!AI365)))</f>
        <v>0</v>
      </c>
    </row>
    <row r="366" spans="1:12">
      <c r="A366">
        <f>SUMPRODUCT((MONTH(CHOOSE({1,2,3,4},HN!T366,HN!X366,HN!AB366,HN!AF366))=1)*(CHOOSE({1,2,3,4},HN!W366,HN!AA366,HN!AE366,HN!AI366)))</f>
        <v>0</v>
      </c>
      <c r="B366">
        <f>SUMPRODUCT((MONTH(CHOOSE({1,2,3,4},HN!T366,HN!X366,HN!AB366,HN!AF366))=2)*(CHOOSE({1,2,3,4},HN!W366,HN!AA366,HN!AE366,HN!AI366)))</f>
        <v>0</v>
      </c>
      <c r="C366">
        <f>SUMPRODUCT((MONTH(CHOOSE({1,2,3,4},HN!T366,HN!X366,HN!AB366,HN!AF366))=3)*(CHOOSE({1,2,3,4},HN!W366,HN!AA366,HN!AE366,HN!AI366)))</f>
        <v>0</v>
      </c>
      <c r="D366">
        <f>SUMPRODUCT((MONTH(CHOOSE({1,2,3,4},HN!T366,HN!X366,HN!AB366,HN!AF366))=4)*(CHOOSE({1,2,3,4},HN!W366,HN!AA366,HN!AE366,HN!AI366)))</f>
        <v>0</v>
      </c>
      <c r="E366">
        <f>SUMPRODUCT((MONTH(CHOOSE({1,2,3,4},HN!T366,HN!X366,HN!AB366,HN!AF366))=5)*(CHOOSE({1,2,3,4},HN!W366,HN!AA366,HN!AE366,HN!AI366)))</f>
        <v>0</v>
      </c>
      <c r="F366">
        <f>SUMPRODUCT((MONTH(CHOOSE({1,2,3,4},HN!T366,HN!X366,HN!AB366,HN!AF366))=6)*(CHOOSE({1,2,3,4},HN!W366,HN!AA366,HN!AE366,HN!AI366)))</f>
        <v>0</v>
      </c>
      <c r="G366">
        <f>SUMPRODUCT((MONTH(CHOOSE({1,2,3,4},HN!T366,HN!X366,HN!AB366,HN!AF366))=7)*(CHOOSE({1,2,3,4},HN!W366,HN!AA366,HN!AE366,HN!AI366)))</f>
        <v>0</v>
      </c>
      <c r="H366">
        <f>SUMPRODUCT((MONTH(CHOOSE({1,2,3,4},HN!T366,HN!X366,HN!AB366,HN!AF366))=8)*(CHOOSE({1,2,3,4},HN!W366,HN!AA366,HN!AE366,HN!AI366)))</f>
        <v>0</v>
      </c>
      <c r="I366">
        <f>SUMPRODUCT((MONTH(CHOOSE({1,2,3,4},HN!T366,HN!X366,HN!AB366,HN!AF366))=9)*(CHOOSE({1,2,3,4},HN!W366,HN!AA366,HN!AE366,HN!AI366)))</f>
        <v>0</v>
      </c>
      <c r="J366">
        <f>SUMPRODUCT((MONTH(CHOOSE({1,2,3,4},HN!T366,HN!X366,HN!AB366,HN!AF366))=10)*(CHOOSE({1,2,3,4},HN!W366,HN!AA366,HN!AE366,HN!AI366)))</f>
        <v>0</v>
      </c>
      <c r="K366">
        <f>SUMPRODUCT((MONTH(CHOOSE({1,2,3,4},HN!T366,HN!X366,HN!AB366,HN!AF366))=11)*(CHOOSE({1,2,3,4},HN!W366,HN!AA366,HN!AE366,HN!AI366)))</f>
        <v>0</v>
      </c>
      <c r="L366">
        <f>SUMPRODUCT((MONTH(CHOOSE({1,2,3,4},HN!T366,HN!X366,HN!AB366,HN!AF366))=12)*(CHOOSE({1,2,3,4},HN!W366,HN!AA366,HN!AE366,HN!AI366)))</f>
        <v>0</v>
      </c>
    </row>
    <row r="367" spans="1:12">
      <c r="A367">
        <f>SUMPRODUCT((MONTH(CHOOSE({1,2,3,4},HN!T367,HN!X367,HN!AB367,HN!AF367))=1)*(CHOOSE({1,2,3,4},HN!W367,HN!AA367,HN!AE367,HN!AI367)))</f>
        <v>0</v>
      </c>
      <c r="B367">
        <f>SUMPRODUCT((MONTH(CHOOSE({1,2,3,4},HN!T367,HN!X367,HN!AB367,HN!AF367))=2)*(CHOOSE({1,2,3,4},HN!W367,HN!AA367,HN!AE367,HN!AI367)))</f>
        <v>0</v>
      </c>
      <c r="C367">
        <f>SUMPRODUCT((MONTH(CHOOSE({1,2,3,4},HN!T367,HN!X367,HN!AB367,HN!AF367))=3)*(CHOOSE({1,2,3,4},HN!W367,HN!AA367,HN!AE367,HN!AI367)))</f>
        <v>0</v>
      </c>
      <c r="D367">
        <f>SUMPRODUCT((MONTH(CHOOSE({1,2,3,4},HN!T367,HN!X367,HN!AB367,HN!AF367))=4)*(CHOOSE({1,2,3,4},HN!W367,HN!AA367,HN!AE367,HN!AI367)))</f>
        <v>0</v>
      </c>
      <c r="E367">
        <f>SUMPRODUCT((MONTH(CHOOSE({1,2,3,4},HN!T367,HN!X367,HN!AB367,HN!AF367))=5)*(CHOOSE({1,2,3,4},HN!W367,HN!AA367,HN!AE367,HN!AI367)))</f>
        <v>0</v>
      </c>
      <c r="F367">
        <f>SUMPRODUCT((MONTH(CHOOSE({1,2,3,4},HN!T367,HN!X367,HN!AB367,HN!AF367))=6)*(CHOOSE({1,2,3,4},HN!W367,HN!AA367,HN!AE367,HN!AI367)))</f>
        <v>0</v>
      </c>
      <c r="G367">
        <f>SUMPRODUCT((MONTH(CHOOSE({1,2,3,4},HN!T367,HN!X367,HN!AB367,HN!AF367))=7)*(CHOOSE({1,2,3,4},HN!W367,HN!AA367,HN!AE367,HN!AI367)))</f>
        <v>0</v>
      </c>
      <c r="H367">
        <f>SUMPRODUCT((MONTH(CHOOSE({1,2,3,4},HN!T367,HN!X367,HN!AB367,HN!AF367))=8)*(CHOOSE({1,2,3,4},HN!W367,HN!AA367,HN!AE367,HN!AI367)))</f>
        <v>0</v>
      </c>
      <c r="I367">
        <f>SUMPRODUCT((MONTH(CHOOSE({1,2,3,4},HN!T367,HN!X367,HN!AB367,HN!AF367))=9)*(CHOOSE({1,2,3,4},HN!W367,HN!AA367,HN!AE367,HN!AI367)))</f>
        <v>0</v>
      </c>
      <c r="J367">
        <f>SUMPRODUCT((MONTH(CHOOSE({1,2,3,4},HN!T367,HN!X367,HN!AB367,HN!AF367))=10)*(CHOOSE({1,2,3,4},HN!W367,HN!AA367,HN!AE367,HN!AI367)))</f>
        <v>0</v>
      </c>
      <c r="K367">
        <f>SUMPRODUCT((MONTH(CHOOSE({1,2,3,4},HN!T367,HN!X367,HN!AB367,HN!AF367))=11)*(CHOOSE({1,2,3,4},HN!W367,HN!AA367,HN!AE367,HN!AI367)))</f>
        <v>0</v>
      </c>
      <c r="L367">
        <f>SUMPRODUCT((MONTH(CHOOSE({1,2,3,4},HN!T367,HN!X367,HN!AB367,HN!AF367))=12)*(CHOOSE({1,2,3,4},HN!W367,HN!AA367,HN!AE367,HN!AI367)))</f>
        <v>0</v>
      </c>
    </row>
    <row r="368" spans="1:12">
      <c r="A368">
        <f>SUMPRODUCT((MONTH(CHOOSE({1,2,3,4},HN!T368,HN!X368,HN!AB368,HN!AF368))=1)*(CHOOSE({1,2,3,4},HN!W368,HN!AA368,HN!AE368,HN!AI368)))</f>
        <v>0</v>
      </c>
      <c r="B368">
        <f>SUMPRODUCT((MONTH(CHOOSE({1,2,3,4},HN!T368,HN!X368,HN!AB368,HN!AF368))=2)*(CHOOSE({1,2,3,4},HN!W368,HN!AA368,HN!AE368,HN!AI368)))</f>
        <v>0</v>
      </c>
      <c r="C368">
        <f>SUMPRODUCT((MONTH(CHOOSE({1,2,3,4},HN!T368,HN!X368,HN!AB368,HN!AF368))=3)*(CHOOSE({1,2,3,4},HN!W368,HN!AA368,HN!AE368,HN!AI368)))</f>
        <v>0</v>
      </c>
      <c r="D368">
        <f>SUMPRODUCT((MONTH(CHOOSE({1,2,3,4},HN!T368,HN!X368,HN!AB368,HN!AF368))=4)*(CHOOSE({1,2,3,4},HN!W368,HN!AA368,HN!AE368,HN!AI368)))</f>
        <v>0</v>
      </c>
      <c r="E368">
        <f>SUMPRODUCT((MONTH(CHOOSE({1,2,3,4},HN!T368,HN!X368,HN!AB368,HN!AF368))=5)*(CHOOSE({1,2,3,4},HN!W368,HN!AA368,HN!AE368,HN!AI368)))</f>
        <v>0</v>
      </c>
      <c r="F368">
        <f>SUMPRODUCT((MONTH(CHOOSE({1,2,3,4},HN!T368,HN!X368,HN!AB368,HN!AF368))=6)*(CHOOSE({1,2,3,4},HN!W368,HN!AA368,HN!AE368,HN!AI368)))</f>
        <v>0</v>
      </c>
      <c r="G368">
        <f>SUMPRODUCT((MONTH(CHOOSE({1,2,3,4},HN!T368,HN!X368,HN!AB368,HN!AF368))=7)*(CHOOSE({1,2,3,4},HN!W368,HN!AA368,HN!AE368,HN!AI368)))</f>
        <v>0</v>
      </c>
      <c r="H368">
        <f>SUMPRODUCT((MONTH(CHOOSE({1,2,3,4},HN!T368,HN!X368,HN!AB368,HN!AF368))=8)*(CHOOSE({1,2,3,4},HN!W368,HN!AA368,HN!AE368,HN!AI368)))</f>
        <v>0</v>
      </c>
      <c r="I368">
        <f>SUMPRODUCT((MONTH(CHOOSE({1,2,3,4},HN!T368,HN!X368,HN!AB368,HN!AF368))=9)*(CHOOSE({1,2,3,4},HN!W368,HN!AA368,HN!AE368,HN!AI368)))</f>
        <v>0</v>
      </c>
      <c r="J368">
        <f>SUMPRODUCT((MONTH(CHOOSE({1,2,3,4},HN!T368,HN!X368,HN!AB368,HN!AF368))=10)*(CHOOSE({1,2,3,4},HN!W368,HN!AA368,HN!AE368,HN!AI368)))</f>
        <v>0</v>
      </c>
      <c r="K368">
        <f>SUMPRODUCT((MONTH(CHOOSE({1,2,3,4},HN!T368,HN!X368,HN!AB368,HN!AF368))=11)*(CHOOSE({1,2,3,4},HN!W368,HN!AA368,HN!AE368,HN!AI368)))</f>
        <v>0</v>
      </c>
      <c r="L368">
        <f>SUMPRODUCT((MONTH(CHOOSE({1,2,3,4},HN!T368,HN!X368,HN!AB368,HN!AF368))=12)*(CHOOSE({1,2,3,4},HN!W368,HN!AA368,HN!AE368,HN!AI368)))</f>
        <v>0</v>
      </c>
    </row>
    <row r="369" spans="1:12">
      <c r="A369">
        <f>SUMPRODUCT((MONTH(CHOOSE({1,2,3,4},HN!T369,HN!X369,HN!AB369,HN!AF369))=1)*(CHOOSE({1,2,3,4},HN!W369,HN!AA369,HN!AE369,HN!AI369)))</f>
        <v>0</v>
      </c>
      <c r="B369">
        <f>SUMPRODUCT((MONTH(CHOOSE({1,2,3,4},HN!T369,HN!X369,HN!AB369,HN!AF369))=2)*(CHOOSE({1,2,3,4},HN!W369,HN!AA369,HN!AE369,HN!AI369)))</f>
        <v>0</v>
      </c>
      <c r="C369">
        <f>SUMPRODUCT((MONTH(CHOOSE({1,2,3,4},HN!T369,HN!X369,HN!AB369,HN!AF369))=3)*(CHOOSE({1,2,3,4},HN!W369,HN!AA369,HN!AE369,HN!AI369)))</f>
        <v>0</v>
      </c>
      <c r="D369">
        <f>SUMPRODUCT((MONTH(CHOOSE({1,2,3,4},HN!T369,HN!X369,HN!AB369,HN!AF369))=4)*(CHOOSE({1,2,3,4},HN!W369,HN!AA369,HN!AE369,HN!AI369)))</f>
        <v>0</v>
      </c>
      <c r="E369">
        <f>SUMPRODUCT((MONTH(CHOOSE({1,2,3,4},HN!T369,HN!X369,HN!AB369,HN!AF369))=5)*(CHOOSE({1,2,3,4},HN!W369,HN!AA369,HN!AE369,HN!AI369)))</f>
        <v>0</v>
      </c>
      <c r="F369">
        <f>SUMPRODUCT((MONTH(CHOOSE({1,2,3,4},HN!T369,HN!X369,HN!AB369,HN!AF369))=6)*(CHOOSE({1,2,3,4},HN!W369,HN!AA369,HN!AE369,HN!AI369)))</f>
        <v>0</v>
      </c>
      <c r="G369">
        <f>SUMPRODUCT((MONTH(CHOOSE({1,2,3,4},HN!T369,HN!X369,HN!AB369,HN!AF369))=7)*(CHOOSE({1,2,3,4},HN!W369,HN!AA369,HN!AE369,HN!AI369)))</f>
        <v>0</v>
      </c>
      <c r="H369">
        <f>SUMPRODUCT((MONTH(CHOOSE({1,2,3,4},HN!T369,HN!X369,HN!AB369,HN!AF369))=8)*(CHOOSE({1,2,3,4},HN!W369,HN!AA369,HN!AE369,HN!AI369)))</f>
        <v>0</v>
      </c>
      <c r="I369">
        <f>SUMPRODUCT((MONTH(CHOOSE({1,2,3,4},HN!T369,HN!X369,HN!AB369,HN!AF369))=9)*(CHOOSE({1,2,3,4},HN!W369,HN!AA369,HN!AE369,HN!AI369)))</f>
        <v>0</v>
      </c>
      <c r="J369">
        <f>SUMPRODUCT((MONTH(CHOOSE({1,2,3,4},HN!T369,HN!X369,HN!AB369,HN!AF369))=10)*(CHOOSE({1,2,3,4},HN!W369,HN!AA369,HN!AE369,HN!AI369)))</f>
        <v>0</v>
      </c>
      <c r="K369">
        <f>SUMPRODUCT((MONTH(CHOOSE({1,2,3,4},HN!T369,HN!X369,HN!AB369,HN!AF369))=11)*(CHOOSE({1,2,3,4},HN!W369,HN!AA369,HN!AE369,HN!AI369)))</f>
        <v>0</v>
      </c>
      <c r="L369">
        <f>SUMPRODUCT((MONTH(CHOOSE({1,2,3,4},HN!T369,HN!X369,HN!AB369,HN!AF369))=12)*(CHOOSE({1,2,3,4},HN!W369,HN!AA369,HN!AE369,HN!AI369)))</f>
        <v>0</v>
      </c>
    </row>
    <row r="370" spans="1:12">
      <c r="A370">
        <f>SUMPRODUCT((MONTH(CHOOSE({1,2,3,4},HN!T370,HN!X370,HN!AB370,HN!AF370))=1)*(CHOOSE({1,2,3,4},HN!W370,HN!AA370,HN!AE370,HN!AI370)))</f>
        <v>0</v>
      </c>
      <c r="B370">
        <f>SUMPRODUCT((MONTH(CHOOSE({1,2,3,4},HN!T370,HN!X370,HN!AB370,HN!AF370))=2)*(CHOOSE({1,2,3,4},HN!W370,HN!AA370,HN!AE370,HN!AI370)))</f>
        <v>0</v>
      </c>
      <c r="C370">
        <f>SUMPRODUCT((MONTH(CHOOSE({1,2,3,4},HN!T370,HN!X370,HN!AB370,HN!AF370))=3)*(CHOOSE({1,2,3,4},HN!W370,HN!AA370,HN!AE370,HN!AI370)))</f>
        <v>0</v>
      </c>
      <c r="D370">
        <f>SUMPRODUCT((MONTH(CHOOSE({1,2,3,4},HN!T370,HN!X370,HN!AB370,HN!AF370))=4)*(CHOOSE({1,2,3,4},HN!W370,HN!AA370,HN!AE370,HN!AI370)))</f>
        <v>0</v>
      </c>
      <c r="E370">
        <f>SUMPRODUCT((MONTH(CHOOSE({1,2,3,4},HN!T370,HN!X370,HN!AB370,HN!AF370))=5)*(CHOOSE({1,2,3,4},HN!W370,HN!AA370,HN!AE370,HN!AI370)))</f>
        <v>0</v>
      </c>
      <c r="F370">
        <f>SUMPRODUCT((MONTH(CHOOSE({1,2,3,4},HN!T370,HN!X370,HN!AB370,HN!AF370))=6)*(CHOOSE({1,2,3,4},HN!W370,HN!AA370,HN!AE370,HN!AI370)))</f>
        <v>0</v>
      </c>
      <c r="G370">
        <f>SUMPRODUCT((MONTH(CHOOSE({1,2,3,4},HN!T370,HN!X370,HN!AB370,HN!AF370))=7)*(CHOOSE({1,2,3,4},HN!W370,HN!AA370,HN!AE370,HN!AI370)))</f>
        <v>0</v>
      </c>
      <c r="H370">
        <f>SUMPRODUCT((MONTH(CHOOSE({1,2,3,4},HN!T370,HN!X370,HN!AB370,HN!AF370))=8)*(CHOOSE({1,2,3,4},HN!W370,HN!AA370,HN!AE370,HN!AI370)))</f>
        <v>0</v>
      </c>
      <c r="I370">
        <f>SUMPRODUCT((MONTH(CHOOSE({1,2,3,4},HN!T370,HN!X370,HN!AB370,HN!AF370))=9)*(CHOOSE({1,2,3,4},HN!W370,HN!AA370,HN!AE370,HN!AI370)))</f>
        <v>0</v>
      </c>
      <c r="J370">
        <f>SUMPRODUCT((MONTH(CHOOSE({1,2,3,4},HN!T370,HN!X370,HN!AB370,HN!AF370))=10)*(CHOOSE({1,2,3,4},HN!W370,HN!AA370,HN!AE370,HN!AI370)))</f>
        <v>0</v>
      </c>
      <c r="K370">
        <f>SUMPRODUCT((MONTH(CHOOSE({1,2,3,4},HN!T370,HN!X370,HN!AB370,HN!AF370))=11)*(CHOOSE({1,2,3,4},HN!W370,HN!AA370,HN!AE370,HN!AI370)))</f>
        <v>0</v>
      </c>
      <c r="L370">
        <f>SUMPRODUCT((MONTH(CHOOSE({1,2,3,4},HN!T370,HN!X370,HN!AB370,HN!AF370))=12)*(CHOOSE({1,2,3,4},HN!W370,HN!AA370,HN!AE370,HN!AI370)))</f>
        <v>0</v>
      </c>
    </row>
    <row r="371" spans="1:12">
      <c r="A371">
        <f>SUMPRODUCT((MONTH(CHOOSE({1,2,3,4},HN!T371,HN!X371,HN!AB371,HN!AF371))=1)*(CHOOSE({1,2,3,4},HN!W371,HN!AA371,HN!AE371,HN!AI371)))</f>
        <v>0</v>
      </c>
      <c r="B371">
        <f>SUMPRODUCT((MONTH(CHOOSE({1,2,3,4},HN!T371,HN!X371,HN!AB371,HN!AF371))=2)*(CHOOSE({1,2,3,4},HN!W371,HN!AA371,HN!AE371,HN!AI371)))</f>
        <v>0</v>
      </c>
      <c r="C371">
        <f>SUMPRODUCT((MONTH(CHOOSE({1,2,3,4},HN!T371,HN!X371,HN!AB371,HN!AF371))=3)*(CHOOSE({1,2,3,4},HN!W371,HN!AA371,HN!AE371,HN!AI371)))</f>
        <v>0</v>
      </c>
      <c r="D371">
        <f>SUMPRODUCT((MONTH(CHOOSE({1,2,3,4},HN!T371,HN!X371,HN!AB371,HN!AF371))=4)*(CHOOSE({1,2,3,4},HN!W371,HN!AA371,HN!AE371,HN!AI371)))</f>
        <v>0</v>
      </c>
      <c r="E371">
        <f>SUMPRODUCT((MONTH(CHOOSE({1,2,3,4},HN!T371,HN!X371,HN!AB371,HN!AF371))=5)*(CHOOSE({1,2,3,4},HN!W371,HN!AA371,HN!AE371,HN!AI371)))</f>
        <v>0</v>
      </c>
      <c r="F371">
        <f>SUMPRODUCT((MONTH(CHOOSE({1,2,3,4},HN!T371,HN!X371,HN!AB371,HN!AF371))=6)*(CHOOSE({1,2,3,4},HN!W371,HN!AA371,HN!AE371,HN!AI371)))</f>
        <v>0</v>
      </c>
      <c r="G371">
        <f>SUMPRODUCT((MONTH(CHOOSE({1,2,3,4},HN!T371,HN!X371,HN!AB371,HN!AF371))=7)*(CHOOSE({1,2,3,4},HN!W371,HN!AA371,HN!AE371,HN!AI371)))</f>
        <v>0</v>
      </c>
      <c r="H371">
        <f>SUMPRODUCT((MONTH(CHOOSE({1,2,3,4},HN!T371,HN!X371,HN!AB371,HN!AF371))=8)*(CHOOSE({1,2,3,4},HN!W371,HN!AA371,HN!AE371,HN!AI371)))</f>
        <v>0</v>
      </c>
      <c r="I371">
        <f>SUMPRODUCT((MONTH(CHOOSE({1,2,3,4},HN!T371,HN!X371,HN!AB371,HN!AF371))=9)*(CHOOSE({1,2,3,4},HN!W371,HN!AA371,HN!AE371,HN!AI371)))</f>
        <v>0</v>
      </c>
      <c r="J371">
        <f>SUMPRODUCT((MONTH(CHOOSE({1,2,3,4},HN!T371,HN!X371,HN!AB371,HN!AF371))=10)*(CHOOSE({1,2,3,4},HN!W371,HN!AA371,HN!AE371,HN!AI371)))</f>
        <v>0</v>
      </c>
      <c r="K371">
        <f>SUMPRODUCT((MONTH(CHOOSE({1,2,3,4},HN!T371,HN!X371,HN!AB371,HN!AF371))=11)*(CHOOSE({1,2,3,4},HN!W371,HN!AA371,HN!AE371,HN!AI371)))</f>
        <v>0</v>
      </c>
      <c r="L371">
        <f>SUMPRODUCT((MONTH(CHOOSE({1,2,3,4},HN!T371,HN!X371,HN!AB371,HN!AF371))=12)*(CHOOSE({1,2,3,4},HN!W371,HN!AA371,HN!AE371,HN!AI371)))</f>
        <v>0</v>
      </c>
    </row>
    <row r="372" spans="1:12">
      <c r="A372">
        <f>SUMPRODUCT((MONTH(CHOOSE({1,2,3,4},HN!T372,HN!X372,HN!AB372,HN!AF372))=1)*(CHOOSE({1,2,3,4},HN!W372,HN!AA372,HN!AE372,HN!AI372)))</f>
        <v>0</v>
      </c>
      <c r="B372">
        <f>SUMPRODUCT((MONTH(CHOOSE({1,2,3,4},HN!T372,HN!X372,HN!AB372,HN!AF372))=2)*(CHOOSE({1,2,3,4},HN!W372,HN!AA372,HN!AE372,HN!AI372)))</f>
        <v>0</v>
      </c>
      <c r="C372">
        <f>SUMPRODUCT((MONTH(CHOOSE({1,2,3,4},HN!T372,HN!X372,HN!AB372,HN!AF372))=3)*(CHOOSE({1,2,3,4},HN!W372,HN!AA372,HN!AE372,HN!AI372)))</f>
        <v>0</v>
      </c>
      <c r="D372">
        <f>SUMPRODUCT((MONTH(CHOOSE({1,2,3,4},HN!T372,HN!X372,HN!AB372,HN!AF372))=4)*(CHOOSE({1,2,3,4},HN!W372,HN!AA372,HN!AE372,HN!AI372)))</f>
        <v>0</v>
      </c>
      <c r="E372">
        <f>SUMPRODUCT((MONTH(CHOOSE({1,2,3,4},HN!T372,HN!X372,HN!AB372,HN!AF372))=5)*(CHOOSE({1,2,3,4},HN!W372,HN!AA372,HN!AE372,HN!AI372)))</f>
        <v>0</v>
      </c>
      <c r="F372">
        <f>SUMPRODUCT((MONTH(CHOOSE({1,2,3,4},HN!T372,HN!X372,HN!AB372,HN!AF372))=6)*(CHOOSE({1,2,3,4},HN!W372,HN!AA372,HN!AE372,HN!AI372)))</f>
        <v>0</v>
      </c>
      <c r="G372">
        <f>SUMPRODUCT((MONTH(CHOOSE({1,2,3,4},HN!T372,HN!X372,HN!AB372,HN!AF372))=7)*(CHOOSE({1,2,3,4},HN!W372,HN!AA372,HN!AE372,HN!AI372)))</f>
        <v>0</v>
      </c>
      <c r="H372">
        <f>SUMPRODUCT((MONTH(CHOOSE({1,2,3,4},HN!T372,HN!X372,HN!AB372,HN!AF372))=8)*(CHOOSE({1,2,3,4},HN!W372,HN!AA372,HN!AE372,HN!AI372)))</f>
        <v>0</v>
      </c>
      <c r="I372">
        <f>SUMPRODUCT((MONTH(CHOOSE({1,2,3,4},HN!T372,HN!X372,HN!AB372,HN!AF372))=9)*(CHOOSE({1,2,3,4},HN!W372,HN!AA372,HN!AE372,HN!AI372)))</f>
        <v>0</v>
      </c>
      <c r="J372">
        <f>SUMPRODUCT((MONTH(CHOOSE({1,2,3,4},HN!T372,HN!X372,HN!AB372,HN!AF372))=10)*(CHOOSE({1,2,3,4},HN!W372,HN!AA372,HN!AE372,HN!AI372)))</f>
        <v>0</v>
      </c>
      <c r="K372">
        <f>SUMPRODUCT((MONTH(CHOOSE({1,2,3,4},HN!T372,HN!X372,HN!AB372,HN!AF372))=11)*(CHOOSE({1,2,3,4},HN!W372,HN!AA372,HN!AE372,HN!AI372)))</f>
        <v>0</v>
      </c>
      <c r="L372">
        <f>SUMPRODUCT((MONTH(CHOOSE({1,2,3,4},HN!T372,HN!X372,HN!AB372,HN!AF372))=12)*(CHOOSE({1,2,3,4},HN!W372,HN!AA372,HN!AE372,HN!AI372)))</f>
        <v>0</v>
      </c>
    </row>
    <row r="373" spans="1:12">
      <c r="A373">
        <f>SUMPRODUCT((MONTH(CHOOSE({1,2,3,4},HN!T373,HN!X373,HN!AB373,HN!AF373))=1)*(CHOOSE({1,2,3,4},HN!W373,HN!AA373,HN!AE373,HN!AI373)))</f>
        <v>0</v>
      </c>
      <c r="B373">
        <f>SUMPRODUCT((MONTH(CHOOSE({1,2,3,4},HN!T373,HN!X373,HN!AB373,HN!AF373))=2)*(CHOOSE({1,2,3,4},HN!W373,HN!AA373,HN!AE373,HN!AI373)))</f>
        <v>0</v>
      </c>
      <c r="C373">
        <f>SUMPRODUCT((MONTH(CHOOSE({1,2,3,4},HN!T373,HN!X373,HN!AB373,HN!AF373))=3)*(CHOOSE({1,2,3,4},HN!W373,HN!AA373,HN!AE373,HN!AI373)))</f>
        <v>0</v>
      </c>
      <c r="D373">
        <f>SUMPRODUCT((MONTH(CHOOSE({1,2,3,4},HN!T373,HN!X373,HN!AB373,HN!AF373))=4)*(CHOOSE({1,2,3,4},HN!W373,HN!AA373,HN!AE373,HN!AI373)))</f>
        <v>0</v>
      </c>
      <c r="E373">
        <f>SUMPRODUCT((MONTH(CHOOSE({1,2,3,4},HN!T373,HN!X373,HN!AB373,HN!AF373))=5)*(CHOOSE({1,2,3,4},HN!W373,HN!AA373,HN!AE373,HN!AI373)))</f>
        <v>0</v>
      </c>
      <c r="F373">
        <f>SUMPRODUCT((MONTH(CHOOSE({1,2,3,4},HN!T373,HN!X373,HN!AB373,HN!AF373))=6)*(CHOOSE({1,2,3,4},HN!W373,HN!AA373,HN!AE373,HN!AI373)))</f>
        <v>0</v>
      </c>
      <c r="G373">
        <f>SUMPRODUCT((MONTH(CHOOSE({1,2,3,4},HN!T373,HN!X373,HN!AB373,HN!AF373))=7)*(CHOOSE({1,2,3,4},HN!W373,HN!AA373,HN!AE373,HN!AI373)))</f>
        <v>0</v>
      </c>
      <c r="H373">
        <f>SUMPRODUCT((MONTH(CHOOSE({1,2,3,4},HN!T373,HN!X373,HN!AB373,HN!AF373))=8)*(CHOOSE({1,2,3,4},HN!W373,HN!AA373,HN!AE373,HN!AI373)))</f>
        <v>0</v>
      </c>
      <c r="I373">
        <f>SUMPRODUCT((MONTH(CHOOSE({1,2,3,4},HN!T373,HN!X373,HN!AB373,HN!AF373))=9)*(CHOOSE({1,2,3,4},HN!W373,HN!AA373,HN!AE373,HN!AI373)))</f>
        <v>0</v>
      </c>
      <c r="J373">
        <f>SUMPRODUCT((MONTH(CHOOSE({1,2,3,4},HN!T373,HN!X373,HN!AB373,HN!AF373))=10)*(CHOOSE({1,2,3,4},HN!W373,HN!AA373,HN!AE373,HN!AI373)))</f>
        <v>0</v>
      </c>
      <c r="K373">
        <f>SUMPRODUCT((MONTH(CHOOSE({1,2,3,4},HN!T373,HN!X373,HN!AB373,HN!AF373))=11)*(CHOOSE({1,2,3,4},HN!W373,HN!AA373,HN!AE373,HN!AI373)))</f>
        <v>0</v>
      </c>
      <c r="L373">
        <f>SUMPRODUCT((MONTH(CHOOSE({1,2,3,4},HN!T373,HN!X373,HN!AB373,HN!AF373))=12)*(CHOOSE({1,2,3,4},HN!W373,HN!AA373,HN!AE373,HN!AI373)))</f>
        <v>0</v>
      </c>
    </row>
    <row r="374" spans="1:12">
      <c r="A374">
        <f>SUMPRODUCT((MONTH(CHOOSE({1,2,3,4},HN!T374,HN!X374,HN!AB374,HN!AF374))=1)*(CHOOSE({1,2,3,4},HN!W374,HN!AA374,HN!AE374,HN!AI374)))</f>
        <v>0</v>
      </c>
      <c r="B374">
        <f>SUMPRODUCT((MONTH(CHOOSE({1,2,3,4},HN!T374,HN!X374,HN!AB374,HN!AF374))=2)*(CHOOSE({1,2,3,4},HN!W374,HN!AA374,HN!AE374,HN!AI374)))</f>
        <v>0</v>
      </c>
      <c r="C374">
        <f>SUMPRODUCT((MONTH(CHOOSE({1,2,3,4},HN!T374,HN!X374,HN!AB374,HN!AF374))=3)*(CHOOSE({1,2,3,4},HN!W374,HN!AA374,HN!AE374,HN!AI374)))</f>
        <v>0</v>
      </c>
      <c r="D374">
        <f>SUMPRODUCT((MONTH(CHOOSE({1,2,3,4},HN!T374,HN!X374,HN!AB374,HN!AF374))=4)*(CHOOSE({1,2,3,4},HN!W374,HN!AA374,HN!AE374,HN!AI374)))</f>
        <v>0</v>
      </c>
      <c r="E374">
        <f>SUMPRODUCT((MONTH(CHOOSE({1,2,3,4},HN!T374,HN!X374,HN!AB374,HN!AF374))=5)*(CHOOSE({1,2,3,4},HN!W374,HN!AA374,HN!AE374,HN!AI374)))</f>
        <v>0</v>
      </c>
      <c r="F374">
        <f>SUMPRODUCT((MONTH(CHOOSE({1,2,3,4},HN!T374,HN!X374,HN!AB374,HN!AF374))=6)*(CHOOSE({1,2,3,4},HN!W374,HN!AA374,HN!AE374,HN!AI374)))</f>
        <v>0</v>
      </c>
      <c r="G374">
        <f>SUMPRODUCT((MONTH(CHOOSE({1,2,3,4},HN!T374,HN!X374,HN!AB374,HN!AF374))=7)*(CHOOSE({1,2,3,4},HN!W374,HN!AA374,HN!AE374,HN!AI374)))</f>
        <v>0</v>
      </c>
      <c r="H374">
        <f>SUMPRODUCT((MONTH(CHOOSE({1,2,3,4},HN!T374,HN!X374,HN!AB374,HN!AF374))=8)*(CHOOSE({1,2,3,4},HN!W374,HN!AA374,HN!AE374,HN!AI374)))</f>
        <v>0</v>
      </c>
      <c r="I374">
        <f>SUMPRODUCT((MONTH(CHOOSE({1,2,3,4},HN!T374,HN!X374,HN!AB374,HN!AF374))=9)*(CHOOSE({1,2,3,4},HN!W374,HN!AA374,HN!AE374,HN!AI374)))</f>
        <v>0</v>
      </c>
      <c r="J374">
        <f>SUMPRODUCT((MONTH(CHOOSE({1,2,3,4},HN!T374,HN!X374,HN!AB374,HN!AF374))=10)*(CHOOSE({1,2,3,4},HN!W374,HN!AA374,HN!AE374,HN!AI374)))</f>
        <v>0</v>
      </c>
      <c r="K374">
        <f>SUMPRODUCT((MONTH(CHOOSE({1,2,3,4},HN!T374,HN!X374,HN!AB374,HN!AF374))=11)*(CHOOSE({1,2,3,4},HN!W374,HN!AA374,HN!AE374,HN!AI374)))</f>
        <v>0</v>
      </c>
      <c r="L374">
        <f>SUMPRODUCT((MONTH(CHOOSE({1,2,3,4},HN!T374,HN!X374,HN!AB374,HN!AF374))=12)*(CHOOSE({1,2,3,4},HN!W374,HN!AA374,HN!AE374,HN!AI374)))</f>
        <v>0</v>
      </c>
    </row>
    <row r="375" spans="1:12">
      <c r="A375">
        <f>SUMPRODUCT((MONTH(CHOOSE({1,2,3,4},HN!T375,HN!X375,HN!AB375,HN!AF375))=1)*(CHOOSE({1,2,3,4},HN!W375,HN!AA375,HN!AE375,HN!AI375)))</f>
        <v>0</v>
      </c>
      <c r="B375">
        <f>SUMPRODUCT((MONTH(CHOOSE({1,2,3,4},HN!T375,HN!X375,HN!AB375,HN!AF375))=2)*(CHOOSE({1,2,3,4},HN!W375,HN!AA375,HN!AE375,HN!AI375)))</f>
        <v>0</v>
      </c>
      <c r="C375">
        <f>SUMPRODUCT((MONTH(CHOOSE({1,2,3,4},HN!T375,HN!X375,HN!AB375,HN!AF375))=3)*(CHOOSE({1,2,3,4},HN!W375,HN!AA375,HN!AE375,HN!AI375)))</f>
        <v>0</v>
      </c>
      <c r="D375">
        <f>SUMPRODUCT((MONTH(CHOOSE({1,2,3,4},HN!T375,HN!X375,HN!AB375,HN!AF375))=4)*(CHOOSE({1,2,3,4},HN!W375,HN!AA375,HN!AE375,HN!AI375)))</f>
        <v>0</v>
      </c>
      <c r="E375">
        <f>SUMPRODUCT((MONTH(CHOOSE({1,2,3,4},HN!T375,HN!X375,HN!AB375,HN!AF375))=5)*(CHOOSE({1,2,3,4},HN!W375,HN!AA375,HN!AE375,HN!AI375)))</f>
        <v>0</v>
      </c>
      <c r="F375">
        <f>SUMPRODUCT((MONTH(CHOOSE({1,2,3,4},HN!T375,HN!X375,HN!AB375,HN!AF375))=6)*(CHOOSE({1,2,3,4},HN!W375,HN!AA375,HN!AE375,HN!AI375)))</f>
        <v>0</v>
      </c>
      <c r="G375">
        <f>SUMPRODUCT((MONTH(CHOOSE({1,2,3,4},HN!T375,HN!X375,HN!AB375,HN!AF375))=7)*(CHOOSE({1,2,3,4},HN!W375,HN!AA375,HN!AE375,HN!AI375)))</f>
        <v>0</v>
      </c>
      <c r="H375">
        <f>SUMPRODUCT((MONTH(CHOOSE({1,2,3,4},HN!T375,HN!X375,HN!AB375,HN!AF375))=8)*(CHOOSE({1,2,3,4},HN!W375,HN!AA375,HN!AE375,HN!AI375)))</f>
        <v>0</v>
      </c>
      <c r="I375">
        <f>SUMPRODUCT((MONTH(CHOOSE({1,2,3,4},HN!T375,HN!X375,HN!AB375,HN!AF375))=9)*(CHOOSE({1,2,3,4},HN!W375,HN!AA375,HN!AE375,HN!AI375)))</f>
        <v>0</v>
      </c>
      <c r="J375">
        <f>SUMPRODUCT((MONTH(CHOOSE({1,2,3,4},HN!T375,HN!X375,HN!AB375,HN!AF375))=10)*(CHOOSE({1,2,3,4},HN!W375,HN!AA375,HN!AE375,HN!AI375)))</f>
        <v>0</v>
      </c>
      <c r="K375">
        <f>SUMPRODUCT((MONTH(CHOOSE({1,2,3,4},HN!T375,HN!X375,HN!AB375,HN!AF375))=11)*(CHOOSE({1,2,3,4},HN!W375,HN!AA375,HN!AE375,HN!AI375)))</f>
        <v>0</v>
      </c>
      <c r="L375">
        <f>SUMPRODUCT((MONTH(CHOOSE({1,2,3,4},HN!T375,HN!X375,HN!AB375,HN!AF375))=12)*(CHOOSE({1,2,3,4},HN!W375,HN!AA375,HN!AE375,HN!AI375)))</f>
        <v>0</v>
      </c>
    </row>
    <row r="376" spans="1:12">
      <c r="A376">
        <f>SUMPRODUCT((MONTH(CHOOSE({1,2,3,4},HN!T376,HN!X376,HN!AB376,HN!AF376))=1)*(CHOOSE({1,2,3,4},HN!W376,HN!AA376,HN!AE376,HN!AI376)))</f>
        <v>0</v>
      </c>
      <c r="B376">
        <f>SUMPRODUCT((MONTH(CHOOSE({1,2,3,4},HN!T376,HN!X376,HN!AB376,HN!AF376))=2)*(CHOOSE({1,2,3,4},HN!W376,HN!AA376,HN!AE376,HN!AI376)))</f>
        <v>0</v>
      </c>
      <c r="C376">
        <f>SUMPRODUCT((MONTH(CHOOSE({1,2,3,4},HN!T376,HN!X376,HN!AB376,HN!AF376))=3)*(CHOOSE({1,2,3,4},HN!W376,HN!AA376,HN!AE376,HN!AI376)))</f>
        <v>0</v>
      </c>
      <c r="D376">
        <f>SUMPRODUCT((MONTH(CHOOSE({1,2,3,4},HN!T376,HN!X376,HN!AB376,HN!AF376))=4)*(CHOOSE({1,2,3,4},HN!W376,HN!AA376,HN!AE376,HN!AI376)))</f>
        <v>0</v>
      </c>
      <c r="E376">
        <f>SUMPRODUCT((MONTH(CHOOSE({1,2,3,4},HN!T376,HN!X376,HN!AB376,HN!AF376))=5)*(CHOOSE({1,2,3,4},HN!W376,HN!AA376,HN!AE376,HN!AI376)))</f>
        <v>0</v>
      </c>
      <c r="F376">
        <f>SUMPRODUCT((MONTH(CHOOSE({1,2,3,4},HN!T376,HN!X376,HN!AB376,HN!AF376))=6)*(CHOOSE({1,2,3,4},HN!W376,HN!AA376,HN!AE376,HN!AI376)))</f>
        <v>0</v>
      </c>
      <c r="G376">
        <f>SUMPRODUCT((MONTH(CHOOSE({1,2,3,4},HN!T376,HN!X376,HN!AB376,HN!AF376))=7)*(CHOOSE({1,2,3,4},HN!W376,HN!AA376,HN!AE376,HN!AI376)))</f>
        <v>0</v>
      </c>
      <c r="H376">
        <f>SUMPRODUCT((MONTH(CHOOSE({1,2,3,4},HN!T376,HN!X376,HN!AB376,HN!AF376))=8)*(CHOOSE({1,2,3,4},HN!W376,HN!AA376,HN!AE376,HN!AI376)))</f>
        <v>0</v>
      </c>
      <c r="I376">
        <f>SUMPRODUCT((MONTH(CHOOSE({1,2,3,4},HN!T376,HN!X376,HN!AB376,HN!AF376))=9)*(CHOOSE({1,2,3,4},HN!W376,HN!AA376,HN!AE376,HN!AI376)))</f>
        <v>0</v>
      </c>
      <c r="J376">
        <f>SUMPRODUCT((MONTH(CHOOSE({1,2,3,4},HN!T376,HN!X376,HN!AB376,HN!AF376))=10)*(CHOOSE({1,2,3,4},HN!W376,HN!AA376,HN!AE376,HN!AI376)))</f>
        <v>0</v>
      </c>
      <c r="K376">
        <f>SUMPRODUCT((MONTH(CHOOSE({1,2,3,4},HN!T376,HN!X376,HN!AB376,HN!AF376))=11)*(CHOOSE({1,2,3,4},HN!W376,HN!AA376,HN!AE376,HN!AI376)))</f>
        <v>0</v>
      </c>
      <c r="L376">
        <f>SUMPRODUCT((MONTH(CHOOSE({1,2,3,4},HN!T376,HN!X376,HN!AB376,HN!AF376))=12)*(CHOOSE({1,2,3,4},HN!W376,HN!AA376,HN!AE376,HN!AI376)))</f>
        <v>0</v>
      </c>
    </row>
    <row r="377" spans="1:12">
      <c r="A377">
        <f>SUMPRODUCT((MONTH(CHOOSE({1,2,3,4},HN!T377,HN!X377,HN!AB377,HN!AF377))=1)*(CHOOSE({1,2,3,4},HN!W377,HN!AA377,HN!AE377,HN!AI377)))</f>
        <v>0</v>
      </c>
      <c r="B377">
        <f>SUMPRODUCT((MONTH(CHOOSE({1,2,3,4},HN!T377,HN!X377,HN!AB377,HN!AF377))=2)*(CHOOSE({1,2,3,4},HN!W377,HN!AA377,HN!AE377,HN!AI377)))</f>
        <v>0</v>
      </c>
      <c r="C377">
        <f>SUMPRODUCT((MONTH(CHOOSE({1,2,3,4},HN!T377,HN!X377,HN!AB377,HN!AF377))=3)*(CHOOSE({1,2,3,4},HN!W377,HN!AA377,HN!AE377,HN!AI377)))</f>
        <v>0</v>
      </c>
      <c r="D377">
        <f>SUMPRODUCT((MONTH(CHOOSE({1,2,3,4},HN!T377,HN!X377,HN!AB377,HN!AF377))=4)*(CHOOSE({1,2,3,4},HN!W377,HN!AA377,HN!AE377,HN!AI377)))</f>
        <v>0</v>
      </c>
      <c r="E377">
        <f>SUMPRODUCT((MONTH(CHOOSE({1,2,3,4},HN!T377,HN!X377,HN!AB377,HN!AF377))=5)*(CHOOSE({1,2,3,4},HN!W377,HN!AA377,HN!AE377,HN!AI377)))</f>
        <v>0</v>
      </c>
      <c r="F377">
        <f>SUMPRODUCT((MONTH(CHOOSE({1,2,3,4},HN!T377,HN!X377,HN!AB377,HN!AF377))=6)*(CHOOSE({1,2,3,4},HN!W377,HN!AA377,HN!AE377,HN!AI377)))</f>
        <v>0</v>
      </c>
      <c r="G377">
        <f>SUMPRODUCT((MONTH(CHOOSE({1,2,3,4},HN!T377,HN!X377,HN!AB377,HN!AF377))=7)*(CHOOSE({1,2,3,4},HN!W377,HN!AA377,HN!AE377,HN!AI377)))</f>
        <v>0</v>
      </c>
      <c r="H377">
        <f>SUMPRODUCT((MONTH(CHOOSE({1,2,3,4},HN!T377,HN!X377,HN!AB377,HN!AF377))=8)*(CHOOSE({1,2,3,4},HN!W377,HN!AA377,HN!AE377,HN!AI377)))</f>
        <v>0</v>
      </c>
      <c r="I377">
        <f>SUMPRODUCT((MONTH(CHOOSE({1,2,3,4},HN!T377,HN!X377,HN!AB377,HN!AF377))=9)*(CHOOSE({1,2,3,4},HN!W377,HN!AA377,HN!AE377,HN!AI377)))</f>
        <v>0</v>
      </c>
      <c r="J377">
        <f>SUMPRODUCT((MONTH(CHOOSE({1,2,3,4},HN!T377,HN!X377,HN!AB377,HN!AF377))=10)*(CHOOSE({1,2,3,4},HN!W377,HN!AA377,HN!AE377,HN!AI377)))</f>
        <v>0</v>
      </c>
      <c r="K377">
        <f>SUMPRODUCT((MONTH(CHOOSE({1,2,3,4},HN!T377,HN!X377,HN!AB377,HN!AF377))=11)*(CHOOSE({1,2,3,4},HN!W377,HN!AA377,HN!AE377,HN!AI377)))</f>
        <v>0</v>
      </c>
      <c r="L377">
        <f>SUMPRODUCT((MONTH(CHOOSE({1,2,3,4},HN!T377,HN!X377,HN!AB377,HN!AF377))=12)*(CHOOSE({1,2,3,4},HN!W377,HN!AA377,HN!AE377,HN!AI377)))</f>
        <v>0</v>
      </c>
    </row>
    <row r="378" spans="1:12">
      <c r="A378">
        <f>SUMPRODUCT((MONTH(CHOOSE({1,2,3,4},HN!T378,HN!X378,HN!AB378,HN!AF378))=1)*(CHOOSE({1,2,3,4},HN!W378,HN!AA378,HN!AE378,HN!AI378)))</f>
        <v>0</v>
      </c>
      <c r="B378">
        <f>SUMPRODUCT((MONTH(CHOOSE({1,2,3,4},HN!T378,HN!X378,HN!AB378,HN!AF378))=2)*(CHOOSE({1,2,3,4},HN!W378,HN!AA378,HN!AE378,HN!AI378)))</f>
        <v>0</v>
      </c>
      <c r="C378">
        <f>SUMPRODUCT((MONTH(CHOOSE({1,2,3,4},HN!T378,HN!X378,HN!AB378,HN!AF378))=3)*(CHOOSE({1,2,3,4},HN!W378,HN!AA378,HN!AE378,HN!AI378)))</f>
        <v>0</v>
      </c>
      <c r="D378">
        <f>SUMPRODUCT((MONTH(CHOOSE({1,2,3,4},HN!T378,HN!X378,HN!AB378,HN!AF378))=4)*(CHOOSE({1,2,3,4},HN!W378,HN!AA378,HN!AE378,HN!AI378)))</f>
        <v>0</v>
      </c>
      <c r="E378">
        <f>SUMPRODUCT((MONTH(CHOOSE({1,2,3,4},HN!T378,HN!X378,HN!AB378,HN!AF378))=5)*(CHOOSE({1,2,3,4},HN!W378,HN!AA378,HN!AE378,HN!AI378)))</f>
        <v>0</v>
      </c>
      <c r="F378">
        <f>SUMPRODUCT((MONTH(CHOOSE({1,2,3,4},HN!T378,HN!X378,HN!AB378,HN!AF378))=6)*(CHOOSE({1,2,3,4},HN!W378,HN!AA378,HN!AE378,HN!AI378)))</f>
        <v>0</v>
      </c>
      <c r="G378">
        <f>SUMPRODUCT((MONTH(CHOOSE({1,2,3,4},HN!T378,HN!X378,HN!AB378,HN!AF378))=7)*(CHOOSE({1,2,3,4},HN!W378,HN!AA378,HN!AE378,HN!AI378)))</f>
        <v>0</v>
      </c>
      <c r="H378">
        <f>SUMPRODUCT((MONTH(CHOOSE({1,2,3,4},HN!T378,HN!X378,HN!AB378,HN!AF378))=8)*(CHOOSE({1,2,3,4},HN!W378,HN!AA378,HN!AE378,HN!AI378)))</f>
        <v>0</v>
      </c>
      <c r="I378">
        <f>SUMPRODUCT((MONTH(CHOOSE({1,2,3,4},HN!T378,HN!X378,HN!AB378,HN!AF378))=9)*(CHOOSE({1,2,3,4},HN!W378,HN!AA378,HN!AE378,HN!AI378)))</f>
        <v>0</v>
      </c>
      <c r="J378">
        <f>SUMPRODUCT((MONTH(CHOOSE({1,2,3,4},HN!T378,HN!X378,HN!AB378,HN!AF378))=10)*(CHOOSE({1,2,3,4},HN!W378,HN!AA378,HN!AE378,HN!AI378)))</f>
        <v>0</v>
      </c>
      <c r="K378">
        <f>SUMPRODUCT((MONTH(CHOOSE({1,2,3,4},HN!T378,HN!X378,HN!AB378,HN!AF378))=11)*(CHOOSE({1,2,3,4},HN!W378,HN!AA378,HN!AE378,HN!AI378)))</f>
        <v>0</v>
      </c>
      <c r="L378">
        <f>SUMPRODUCT((MONTH(CHOOSE({1,2,3,4},HN!T378,HN!X378,HN!AB378,HN!AF378))=12)*(CHOOSE({1,2,3,4},HN!W378,HN!AA378,HN!AE378,HN!AI378)))</f>
        <v>0</v>
      </c>
    </row>
    <row r="379" spans="1:12">
      <c r="A379">
        <f>SUMPRODUCT((MONTH(CHOOSE({1,2,3,4},HN!T379,HN!X379,HN!AB379,HN!AF379))=1)*(CHOOSE({1,2,3,4},HN!W379,HN!AA379,HN!AE379,HN!AI379)))</f>
        <v>0</v>
      </c>
      <c r="B379">
        <f>SUMPRODUCT((MONTH(CHOOSE({1,2,3,4},HN!T379,HN!X379,HN!AB379,HN!AF379))=2)*(CHOOSE({1,2,3,4},HN!W379,HN!AA379,HN!AE379,HN!AI379)))</f>
        <v>0</v>
      </c>
      <c r="C379">
        <f>SUMPRODUCT((MONTH(CHOOSE({1,2,3,4},HN!T379,HN!X379,HN!AB379,HN!AF379))=3)*(CHOOSE({1,2,3,4},HN!W379,HN!AA379,HN!AE379,HN!AI379)))</f>
        <v>0</v>
      </c>
      <c r="D379">
        <f>SUMPRODUCT((MONTH(CHOOSE({1,2,3,4},HN!T379,HN!X379,HN!AB379,HN!AF379))=4)*(CHOOSE({1,2,3,4},HN!W379,HN!AA379,HN!AE379,HN!AI379)))</f>
        <v>0</v>
      </c>
      <c r="E379">
        <f>SUMPRODUCT((MONTH(CHOOSE({1,2,3,4},HN!T379,HN!X379,HN!AB379,HN!AF379))=5)*(CHOOSE({1,2,3,4},HN!W379,HN!AA379,HN!AE379,HN!AI379)))</f>
        <v>0</v>
      </c>
      <c r="F379">
        <f>SUMPRODUCT((MONTH(CHOOSE({1,2,3,4},HN!T379,HN!X379,HN!AB379,HN!AF379))=6)*(CHOOSE({1,2,3,4},HN!W379,HN!AA379,HN!AE379,HN!AI379)))</f>
        <v>0</v>
      </c>
      <c r="G379">
        <f>SUMPRODUCT((MONTH(CHOOSE({1,2,3,4},HN!T379,HN!X379,HN!AB379,HN!AF379))=7)*(CHOOSE({1,2,3,4},HN!W379,HN!AA379,HN!AE379,HN!AI379)))</f>
        <v>0</v>
      </c>
      <c r="H379">
        <f>SUMPRODUCT((MONTH(CHOOSE({1,2,3,4},HN!T379,HN!X379,HN!AB379,HN!AF379))=8)*(CHOOSE({1,2,3,4},HN!W379,HN!AA379,HN!AE379,HN!AI379)))</f>
        <v>0</v>
      </c>
      <c r="I379">
        <f>SUMPRODUCT((MONTH(CHOOSE({1,2,3,4},HN!T379,HN!X379,HN!AB379,HN!AF379))=9)*(CHOOSE({1,2,3,4},HN!W379,HN!AA379,HN!AE379,HN!AI379)))</f>
        <v>0</v>
      </c>
      <c r="J379">
        <f>SUMPRODUCT((MONTH(CHOOSE({1,2,3,4},HN!T379,HN!X379,HN!AB379,HN!AF379))=10)*(CHOOSE({1,2,3,4},HN!W379,HN!AA379,HN!AE379,HN!AI379)))</f>
        <v>0</v>
      </c>
      <c r="K379">
        <f>SUMPRODUCT((MONTH(CHOOSE({1,2,3,4},HN!T379,HN!X379,HN!AB379,HN!AF379))=11)*(CHOOSE({1,2,3,4},HN!W379,HN!AA379,HN!AE379,HN!AI379)))</f>
        <v>0</v>
      </c>
      <c r="L379">
        <f>SUMPRODUCT((MONTH(CHOOSE({1,2,3,4},HN!T379,HN!X379,HN!AB379,HN!AF379))=12)*(CHOOSE({1,2,3,4},HN!W379,HN!AA379,HN!AE379,HN!AI379)))</f>
        <v>0</v>
      </c>
    </row>
    <row r="380" spans="1:12">
      <c r="A380">
        <f>SUMPRODUCT((MONTH(CHOOSE({1,2,3,4},HN!T380,HN!X380,HN!AB380,HN!AF380))=1)*(CHOOSE({1,2,3,4},HN!W380,HN!AA380,HN!AE380,HN!AI380)))</f>
        <v>0</v>
      </c>
      <c r="B380">
        <f>SUMPRODUCT((MONTH(CHOOSE({1,2,3,4},HN!T380,HN!X380,HN!AB380,HN!AF380))=2)*(CHOOSE({1,2,3,4},HN!W380,HN!AA380,HN!AE380,HN!AI380)))</f>
        <v>0</v>
      </c>
      <c r="C380">
        <f>SUMPRODUCT((MONTH(CHOOSE({1,2,3,4},HN!T380,HN!X380,HN!AB380,HN!AF380))=3)*(CHOOSE({1,2,3,4},HN!W380,HN!AA380,HN!AE380,HN!AI380)))</f>
        <v>0</v>
      </c>
      <c r="D380">
        <f>SUMPRODUCT((MONTH(CHOOSE({1,2,3,4},HN!T380,HN!X380,HN!AB380,HN!AF380))=4)*(CHOOSE({1,2,3,4},HN!W380,HN!AA380,HN!AE380,HN!AI380)))</f>
        <v>0</v>
      </c>
      <c r="E380">
        <f>SUMPRODUCT((MONTH(CHOOSE({1,2,3,4},HN!T380,HN!X380,HN!AB380,HN!AF380))=5)*(CHOOSE({1,2,3,4},HN!W380,HN!AA380,HN!AE380,HN!AI380)))</f>
        <v>0</v>
      </c>
      <c r="F380">
        <f>SUMPRODUCT((MONTH(CHOOSE({1,2,3,4},HN!T380,HN!X380,HN!AB380,HN!AF380))=6)*(CHOOSE({1,2,3,4},HN!W380,HN!AA380,HN!AE380,HN!AI380)))</f>
        <v>0</v>
      </c>
      <c r="G380">
        <f>SUMPRODUCT((MONTH(CHOOSE({1,2,3,4},HN!T380,HN!X380,HN!AB380,HN!AF380))=7)*(CHOOSE({1,2,3,4},HN!W380,HN!AA380,HN!AE380,HN!AI380)))</f>
        <v>0</v>
      </c>
      <c r="H380">
        <f>SUMPRODUCT((MONTH(CHOOSE({1,2,3,4},HN!T380,HN!X380,HN!AB380,HN!AF380))=8)*(CHOOSE({1,2,3,4},HN!W380,HN!AA380,HN!AE380,HN!AI380)))</f>
        <v>0</v>
      </c>
      <c r="I380">
        <f>SUMPRODUCT((MONTH(CHOOSE({1,2,3,4},HN!T380,HN!X380,HN!AB380,HN!AF380))=9)*(CHOOSE({1,2,3,4},HN!W380,HN!AA380,HN!AE380,HN!AI380)))</f>
        <v>0</v>
      </c>
      <c r="J380">
        <f>SUMPRODUCT((MONTH(CHOOSE({1,2,3,4},HN!T380,HN!X380,HN!AB380,HN!AF380))=10)*(CHOOSE({1,2,3,4},HN!W380,HN!AA380,HN!AE380,HN!AI380)))</f>
        <v>0</v>
      </c>
      <c r="K380">
        <f>SUMPRODUCT((MONTH(CHOOSE({1,2,3,4},HN!T380,HN!X380,HN!AB380,HN!AF380))=11)*(CHOOSE({1,2,3,4},HN!W380,HN!AA380,HN!AE380,HN!AI380)))</f>
        <v>0</v>
      </c>
      <c r="L380">
        <f>SUMPRODUCT((MONTH(CHOOSE({1,2,3,4},HN!T380,HN!X380,HN!AB380,HN!AF380))=12)*(CHOOSE({1,2,3,4},HN!W380,HN!AA380,HN!AE380,HN!AI380)))</f>
        <v>0</v>
      </c>
    </row>
    <row r="381" spans="1:12">
      <c r="A381">
        <f>SUMPRODUCT((MONTH(CHOOSE({1,2,3,4},HN!T381,HN!X381,HN!AB381,HN!AF381))=1)*(CHOOSE({1,2,3,4},HN!W381,HN!AA381,HN!AE381,HN!AI381)))</f>
        <v>0</v>
      </c>
      <c r="B381">
        <f>SUMPRODUCT((MONTH(CHOOSE({1,2,3,4},HN!T381,HN!X381,HN!AB381,HN!AF381))=2)*(CHOOSE({1,2,3,4},HN!W381,HN!AA381,HN!AE381,HN!AI381)))</f>
        <v>0</v>
      </c>
      <c r="C381">
        <f>SUMPRODUCT((MONTH(CHOOSE({1,2,3,4},HN!T381,HN!X381,HN!AB381,HN!AF381))=3)*(CHOOSE({1,2,3,4},HN!W381,HN!AA381,HN!AE381,HN!AI381)))</f>
        <v>0</v>
      </c>
      <c r="D381">
        <f>SUMPRODUCT((MONTH(CHOOSE({1,2,3,4},HN!T381,HN!X381,HN!AB381,HN!AF381))=4)*(CHOOSE({1,2,3,4},HN!W381,HN!AA381,HN!AE381,HN!AI381)))</f>
        <v>0</v>
      </c>
      <c r="E381">
        <f>SUMPRODUCT((MONTH(CHOOSE({1,2,3,4},HN!T381,HN!X381,HN!AB381,HN!AF381))=5)*(CHOOSE({1,2,3,4},HN!W381,HN!AA381,HN!AE381,HN!AI381)))</f>
        <v>0</v>
      </c>
      <c r="F381">
        <f>SUMPRODUCT((MONTH(CHOOSE({1,2,3,4},HN!T381,HN!X381,HN!AB381,HN!AF381))=6)*(CHOOSE({1,2,3,4},HN!W381,HN!AA381,HN!AE381,HN!AI381)))</f>
        <v>0</v>
      </c>
      <c r="G381">
        <f>SUMPRODUCT((MONTH(CHOOSE({1,2,3,4},HN!T381,HN!X381,HN!AB381,HN!AF381))=7)*(CHOOSE({1,2,3,4},HN!W381,HN!AA381,HN!AE381,HN!AI381)))</f>
        <v>0</v>
      </c>
      <c r="H381">
        <f>SUMPRODUCT((MONTH(CHOOSE({1,2,3,4},HN!T381,HN!X381,HN!AB381,HN!AF381))=8)*(CHOOSE({1,2,3,4},HN!W381,HN!AA381,HN!AE381,HN!AI381)))</f>
        <v>0</v>
      </c>
      <c r="I381">
        <f>SUMPRODUCT((MONTH(CHOOSE({1,2,3,4},HN!T381,HN!X381,HN!AB381,HN!AF381))=9)*(CHOOSE({1,2,3,4},HN!W381,HN!AA381,HN!AE381,HN!AI381)))</f>
        <v>0</v>
      </c>
      <c r="J381">
        <f>SUMPRODUCT((MONTH(CHOOSE({1,2,3,4},HN!T381,HN!X381,HN!AB381,HN!AF381))=10)*(CHOOSE({1,2,3,4},HN!W381,HN!AA381,HN!AE381,HN!AI381)))</f>
        <v>0</v>
      </c>
      <c r="K381">
        <f>SUMPRODUCT((MONTH(CHOOSE({1,2,3,4},HN!T381,HN!X381,HN!AB381,HN!AF381))=11)*(CHOOSE({1,2,3,4},HN!W381,HN!AA381,HN!AE381,HN!AI381)))</f>
        <v>0</v>
      </c>
      <c r="L381">
        <f>SUMPRODUCT((MONTH(CHOOSE({1,2,3,4},HN!T381,HN!X381,HN!AB381,HN!AF381))=12)*(CHOOSE({1,2,3,4},HN!W381,HN!AA381,HN!AE381,HN!AI381)))</f>
        <v>0</v>
      </c>
    </row>
    <row r="382" spans="1:12">
      <c r="A382">
        <f>SUMPRODUCT((MONTH(CHOOSE({1,2,3,4},HN!T382,HN!X382,HN!AB382,HN!AF382))=1)*(CHOOSE({1,2,3,4},HN!W382,HN!AA382,HN!AE382,HN!AI382)))</f>
        <v>0</v>
      </c>
      <c r="B382">
        <f>SUMPRODUCT((MONTH(CHOOSE({1,2,3,4},HN!T382,HN!X382,HN!AB382,HN!AF382))=2)*(CHOOSE({1,2,3,4},HN!W382,HN!AA382,HN!AE382,HN!AI382)))</f>
        <v>0</v>
      </c>
      <c r="C382">
        <f>SUMPRODUCT((MONTH(CHOOSE({1,2,3,4},HN!T382,HN!X382,HN!AB382,HN!AF382))=3)*(CHOOSE({1,2,3,4},HN!W382,HN!AA382,HN!AE382,HN!AI382)))</f>
        <v>0</v>
      </c>
      <c r="D382">
        <f>SUMPRODUCT((MONTH(CHOOSE({1,2,3,4},HN!T382,HN!X382,HN!AB382,HN!AF382))=4)*(CHOOSE({1,2,3,4},HN!W382,HN!AA382,HN!AE382,HN!AI382)))</f>
        <v>0</v>
      </c>
      <c r="E382">
        <f>SUMPRODUCT((MONTH(CHOOSE({1,2,3,4},HN!T382,HN!X382,HN!AB382,HN!AF382))=5)*(CHOOSE({1,2,3,4},HN!W382,HN!AA382,HN!AE382,HN!AI382)))</f>
        <v>0</v>
      </c>
      <c r="F382">
        <f>SUMPRODUCT((MONTH(CHOOSE({1,2,3,4},HN!T382,HN!X382,HN!AB382,HN!AF382))=6)*(CHOOSE({1,2,3,4},HN!W382,HN!AA382,HN!AE382,HN!AI382)))</f>
        <v>0</v>
      </c>
      <c r="G382">
        <f>SUMPRODUCT((MONTH(CHOOSE({1,2,3,4},HN!T382,HN!X382,HN!AB382,HN!AF382))=7)*(CHOOSE({1,2,3,4},HN!W382,HN!AA382,HN!AE382,HN!AI382)))</f>
        <v>0</v>
      </c>
      <c r="H382">
        <f>SUMPRODUCT((MONTH(CHOOSE({1,2,3,4},HN!T382,HN!X382,HN!AB382,HN!AF382))=8)*(CHOOSE({1,2,3,4},HN!W382,HN!AA382,HN!AE382,HN!AI382)))</f>
        <v>0</v>
      </c>
      <c r="I382">
        <f>SUMPRODUCT((MONTH(CHOOSE({1,2,3,4},HN!T382,HN!X382,HN!AB382,HN!AF382))=9)*(CHOOSE({1,2,3,4},HN!W382,HN!AA382,HN!AE382,HN!AI382)))</f>
        <v>0</v>
      </c>
      <c r="J382">
        <f>SUMPRODUCT((MONTH(CHOOSE({1,2,3,4},HN!T382,HN!X382,HN!AB382,HN!AF382))=10)*(CHOOSE({1,2,3,4},HN!W382,HN!AA382,HN!AE382,HN!AI382)))</f>
        <v>0</v>
      </c>
      <c r="K382">
        <f>SUMPRODUCT((MONTH(CHOOSE({1,2,3,4},HN!T382,HN!X382,HN!AB382,HN!AF382))=11)*(CHOOSE({1,2,3,4},HN!W382,HN!AA382,HN!AE382,HN!AI382)))</f>
        <v>0</v>
      </c>
      <c r="L382">
        <f>SUMPRODUCT((MONTH(CHOOSE({1,2,3,4},HN!T382,HN!X382,HN!AB382,HN!AF382))=12)*(CHOOSE({1,2,3,4},HN!W382,HN!AA382,HN!AE382,HN!AI382)))</f>
        <v>0</v>
      </c>
    </row>
    <row r="383" spans="1:12">
      <c r="A383">
        <f>SUMPRODUCT((MONTH(CHOOSE({1,2,3,4},HN!T383,HN!X383,HN!AB383,HN!AF383))=1)*(CHOOSE({1,2,3,4},HN!W383,HN!AA383,HN!AE383,HN!AI383)))</f>
        <v>0</v>
      </c>
      <c r="B383">
        <f>SUMPRODUCT((MONTH(CHOOSE({1,2,3,4},HN!T383,HN!X383,HN!AB383,HN!AF383))=2)*(CHOOSE({1,2,3,4},HN!W383,HN!AA383,HN!AE383,HN!AI383)))</f>
        <v>0</v>
      </c>
      <c r="C383">
        <f>SUMPRODUCT((MONTH(CHOOSE({1,2,3,4},HN!T383,HN!X383,HN!AB383,HN!AF383))=3)*(CHOOSE({1,2,3,4},HN!W383,HN!AA383,HN!AE383,HN!AI383)))</f>
        <v>0</v>
      </c>
      <c r="D383">
        <f>SUMPRODUCT((MONTH(CHOOSE({1,2,3,4},HN!T383,HN!X383,HN!AB383,HN!AF383))=4)*(CHOOSE({1,2,3,4},HN!W383,HN!AA383,HN!AE383,HN!AI383)))</f>
        <v>0</v>
      </c>
      <c r="E383">
        <f>SUMPRODUCT((MONTH(CHOOSE({1,2,3,4},HN!T383,HN!X383,HN!AB383,HN!AF383))=5)*(CHOOSE({1,2,3,4},HN!W383,HN!AA383,HN!AE383,HN!AI383)))</f>
        <v>0</v>
      </c>
      <c r="F383">
        <f>SUMPRODUCT((MONTH(CHOOSE({1,2,3,4},HN!T383,HN!X383,HN!AB383,HN!AF383))=6)*(CHOOSE({1,2,3,4},HN!W383,HN!AA383,HN!AE383,HN!AI383)))</f>
        <v>0</v>
      </c>
      <c r="G383">
        <f>SUMPRODUCT((MONTH(CHOOSE({1,2,3,4},HN!T383,HN!X383,HN!AB383,HN!AF383))=7)*(CHOOSE({1,2,3,4},HN!W383,HN!AA383,HN!AE383,HN!AI383)))</f>
        <v>0</v>
      </c>
      <c r="H383">
        <f>SUMPRODUCT((MONTH(CHOOSE({1,2,3,4},HN!T383,HN!X383,HN!AB383,HN!AF383))=8)*(CHOOSE({1,2,3,4},HN!W383,HN!AA383,HN!AE383,HN!AI383)))</f>
        <v>0</v>
      </c>
      <c r="I383">
        <f>SUMPRODUCT((MONTH(CHOOSE({1,2,3,4},HN!T383,HN!X383,HN!AB383,HN!AF383))=9)*(CHOOSE({1,2,3,4},HN!W383,HN!AA383,HN!AE383,HN!AI383)))</f>
        <v>0</v>
      </c>
      <c r="J383">
        <f>SUMPRODUCT((MONTH(CHOOSE({1,2,3,4},HN!T383,HN!X383,HN!AB383,HN!AF383))=10)*(CHOOSE({1,2,3,4},HN!W383,HN!AA383,HN!AE383,HN!AI383)))</f>
        <v>0</v>
      </c>
      <c r="K383">
        <f>SUMPRODUCT((MONTH(CHOOSE({1,2,3,4},HN!T383,HN!X383,HN!AB383,HN!AF383))=11)*(CHOOSE({1,2,3,4},HN!W383,HN!AA383,HN!AE383,HN!AI383)))</f>
        <v>0</v>
      </c>
      <c r="L383">
        <f>SUMPRODUCT((MONTH(CHOOSE({1,2,3,4},HN!T383,HN!X383,HN!AB383,HN!AF383))=12)*(CHOOSE({1,2,3,4},HN!W383,HN!AA383,HN!AE383,HN!AI383)))</f>
        <v>0</v>
      </c>
    </row>
    <row r="384" spans="1:12">
      <c r="A384">
        <f>SUMPRODUCT((MONTH(CHOOSE({1,2,3,4},HN!T384,HN!X384,HN!AB384,HN!AF384))=1)*(CHOOSE({1,2,3,4},HN!W384,HN!AA384,HN!AE384,HN!AI384)))</f>
        <v>0</v>
      </c>
      <c r="B384">
        <f>SUMPRODUCT((MONTH(CHOOSE({1,2,3,4},HN!T384,HN!X384,HN!AB384,HN!AF384))=2)*(CHOOSE({1,2,3,4},HN!W384,HN!AA384,HN!AE384,HN!AI384)))</f>
        <v>0</v>
      </c>
      <c r="C384">
        <f>SUMPRODUCT((MONTH(CHOOSE({1,2,3,4},HN!T384,HN!X384,HN!AB384,HN!AF384))=3)*(CHOOSE({1,2,3,4},HN!W384,HN!AA384,HN!AE384,HN!AI384)))</f>
        <v>0</v>
      </c>
      <c r="D384">
        <f>SUMPRODUCT((MONTH(CHOOSE({1,2,3,4},HN!T384,HN!X384,HN!AB384,HN!AF384))=4)*(CHOOSE({1,2,3,4},HN!W384,HN!AA384,HN!AE384,HN!AI384)))</f>
        <v>0</v>
      </c>
      <c r="E384">
        <f>SUMPRODUCT((MONTH(CHOOSE({1,2,3,4},HN!T384,HN!X384,HN!AB384,HN!AF384))=5)*(CHOOSE({1,2,3,4},HN!W384,HN!AA384,HN!AE384,HN!AI384)))</f>
        <v>0</v>
      </c>
      <c r="F384">
        <f>SUMPRODUCT((MONTH(CHOOSE({1,2,3,4},HN!T384,HN!X384,HN!AB384,HN!AF384))=6)*(CHOOSE({1,2,3,4},HN!W384,HN!AA384,HN!AE384,HN!AI384)))</f>
        <v>0</v>
      </c>
      <c r="G384">
        <f>SUMPRODUCT((MONTH(CHOOSE({1,2,3,4},HN!T384,HN!X384,HN!AB384,HN!AF384))=7)*(CHOOSE({1,2,3,4},HN!W384,HN!AA384,HN!AE384,HN!AI384)))</f>
        <v>0</v>
      </c>
      <c r="H384">
        <f>SUMPRODUCT((MONTH(CHOOSE({1,2,3,4},HN!T384,HN!X384,HN!AB384,HN!AF384))=8)*(CHOOSE({1,2,3,4},HN!W384,HN!AA384,HN!AE384,HN!AI384)))</f>
        <v>0</v>
      </c>
      <c r="I384">
        <f>SUMPRODUCT((MONTH(CHOOSE({1,2,3,4},HN!T384,HN!X384,HN!AB384,HN!AF384))=9)*(CHOOSE({1,2,3,4},HN!W384,HN!AA384,HN!AE384,HN!AI384)))</f>
        <v>0</v>
      </c>
      <c r="J384">
        <f>SUMPRODUCT((MONTH(CHOOSE({1,2,3,4},HN!T384,HN!X384,HN!AB384,HN!AF384))=10)*(CHOOSE({1,2,3,4},HN!W384,HN!AA384,HN!AE384,HN!AI384)))</f>
        <v>0</v>
      </c>
      <c r="K384">
        <f>SUMPRODUCT((MONTH(CHOOSE({1,2,3,4},HN!T384,HN!X384,HN!AB384,HN!AF384))=11)*(CHOOSE({1,2,3,4},HN!W384,HN!AA384,HN!AE384,HN!AI384)))</f>
        <v>0</v>
      </c>
      <c r="L384">
        <f>SUMPRODUCT((MONTH(CHOOSE({1,2,3,4},HN!T384,HN!X384,HN!AB384,HN!AF384))=12)*(CHOOSE({1,2,3,4},HN!W384,HN!AA384,HN!AE384,HN!AI384)))</f>
        <v>0</v>
      </c>
    </row>
    <row r="385" spans="1:12">
      <c r="A385">
        <f>SUMPRODUCT((MONTH(CHOOSE({1,2,3,4},HN!T385,HN!X385,HN!AB385,HN!AF385))=1)*(CHOOSE({1,2,3,4},HN!W385,HN!AA385,HN!AE385,HN!AI385)))</f>
        <v>0</v>
      </c>
      <c r="B385">
        <f>SUMPRODUCT((MONTH(CHOOSE({1,2,3,4},HN!T385,HN!X385,HN!AB385,HN!AF385))=2)*(CHOOSE({1,2,3,4},HN!W385,HN!AA385,HN!AE385,HN!AI385)))</f>
        <v>0</v>
      </c>
      <c r="C385">
        <f>SUMPRODUCT((MONTH(CHOOSE({1,2,3,4},HN!T385,HN!X385,HN!AB385,HN!AF385))=3)*(CHOOSE({1,2,3,4},HN!W385,HN!AA385,HN!AE385,HN!AI385)))</f>
        <v>0</v>
      </c>
      <c r="D385">
        <f>SUMPRODUCT((MONTH(CHOOSE({1,2,3,4},HN!T385,HN!X385,HN!AB385,HN!AF385))=4)*(CHOOSE({1,2,3,4},HN!W385,HN!AA385,HN!AE385,HN!AI385)))</f>
        <v>0</v>
      </c>
      <c r="E385">
        <f>SUMPRODUCT((MONTH(CHOOSE({1,2,3,4},HN!T385,HN!X385,HN!AB385,HN!AF385))=5)*(CHOOSE({1,2,3,4},HN!W385,HN!AA385,HN!AE385,HN!AI385)))</f>
        <v>0</v>
      </c>
      <c r="F385">
        <f>SUMPRODUCT((MONTH(CHOOSE({1,2,3,4},HN!T385,HN!X385,HN!AB385,HN!AF385))=6)*(CHOOSE({1,2,3,4},HN!W385,HN!AA385,HN!AE385,HN!AI385)))</f>
        <v>0</v>
      </c>
      <c r="G385">
        <f>SUMPRODUCT((MONTH(CHOOSE({1,2,3,4},HN!T385,HN!X385,HN!AB385,HN!AF385))=7)*(CHOOSE({1,2,3,4},HN!W385,HN!AA385,HN!AE385,HN!AI385)))</f>
        <v>0</v>
      </c>
      <c r="H385">
        <f>SUMPRODUCT((MONTH(CHOOSE({1,2,3,4},HN!T385,HN!X385,HN!AB385,HN!AF385))=8)*(CHOOSE({1,2,3,4},HN!W385,HN!AA385,HN!AE385,HN!AI385)))</f>
        <v>0</v>
      </c>
      <c r="I385">
        <f>SUMPRODUCT((MONTH(CHOOSE({1,2,3,4},HN!T385,HN!X385,HN!AB385,HN!AF385))=9)*(CHOOSE({1,2,3,4},HN!W385,HN!AA385,HN!AE385,HN!AI385)))</f>
        <v>0</v>
      </c>
      <c r="J385">
        <f>SUMPRODUCT((MONTH(CHOOSE({1,2,3,4},HN!T385,HN!X385,HN!AB385,HN!AF385))=10)*(CHOOSE({1,2,3,4},HN!W385,HN!AA385,HN!AE385,HN!AI385)))</f>
        <v>0</v>
      </c>
      <c r="K385">
        <f>SUMPRODUCT((MONTH(CHOOSE({1,2,3,4},HN!T385,HN!X385,HN!AB385,HN!AF385))=11)*(CHOOSE({1,2,3,4},HN!W385,HN!AA385,HN!AE385,HN!AI385)))</f>
        <v>0</v>
      </c>
      <c r="L385">
        <f>SUMPRODUCT((MONTH(CHOOSE({1,2,3,4},HN!T385,HN!X385,HN!AB385,HN!AF385))=12)*(CHOOSE({1,2,3,4},HN!W385,HN!AA385,HN!AE385,HN!AI385)))</f>
        <v>0</v>
      </c>
    </row>
    <row r="386" spans="1:12">
      <c r="A386">
        <f>SUMPRODUCT((MONTH(CHOOSE({1,2,3,4},HN!T386,HN!X386,HN!AB386,HN!AF386))=1)*(CHOOSE({1,2,3,4},HN!W386,HN!AA386,HN!AE386,HN!AI386)))</f>
        <v>0</v>
      </c>
      <c r="B386">
        <f>SUMPRODUCT((MONTH(CHOOSE({1,2,3,4},HN!T386,HN!X386,HN!AB386,HN!AF386))=2)*(CHOOSE({1,2,3,4},HN!W386,HN!AA386,HN!AE386,HN!AI386)))</f>
        <v>0</v>
      </c>
      <c r="C386">
        <f>SUMPRODUCT((MONTH(CHOOSE({1,2,3,4},HN!T386,HN!X386,HN!AB386,HN!AF386))=3)*(CHOOSE({1,2,3,4},HN!W386,HN!AA386,HN!AE386,HN!AI386)))</f>
        <v>0</v>
      </c>
      <c r="D386">
        <f>SUMPRODUCT((MONTH(CHOOSE({1,2,3,4},HN!T386,HN!X386,HN!AB386,HN!AF386))=4)*(CHOOSE({1,2,3,4},HN!W386,HN!AA386,HN!AE386,HN!AI386)))</f>
        <v>0</v>
      </c>
      <c r="E386">
        <f>SUMPRODUCT((MONTH(CHOOSE({1,2,3,4},HN!T386,HN!X386,HN!AB386,HN!AF386))=5)*(CHOOSE({1,2,3,4},HN!W386,HN!AA386,HN!AE386,HN!AI386)))</f>
        <v>0</v>
      </c>
      <c r="F386">
        <f>SUMPRODUCT((MONTH(CHOOSE({1,2,3,4},HN!T386,HN!X386,HN!AB386,HN!AF386))=6)*(CHOOSE({1,2,3,4},HN!W386,HN!AA386,HN!AE386,HN!AI386)))</f>
        <v>0</v>
      </c>
      <c r="G386">
        <f>SUMPRODUCT((MONTH(CHOOSE({1,2,3,4},HN!T386,HN!X386,HN!AB386,HN!AF386))=7)*(CHOOSE({1,2,3,4},HN!W386,HN!AA386,HN!AE386,HN!AI386)))</f>
        <v>0</v>
      </c>
      <c r="H386">
        <f>SUMPRODUCT((MONTH(CHOOSE({1,2,3,4},HN!T386,HN!X386,HN!AB386,HN!AF386))=8)*(CHOOSE({1,2,3,4},HN!W386,HN!AA386,HN!AE386,HN!AI386)))</f>
        <v>0</v>
      </c>
      <c r="I386">
        <f>SUMPRODUCT((MONTH(CHOOSE({1,2,3,4},HN!T386,HN!X386,HN!AB386,HN!AF386))=9)*(CHOOSE({1,2,3,4},HN!W386,HN!AA386,HN!AE386,HN!AI386)))</f>
        <v>0</v>
      </c>
      <c r="J386">
        <f>SUMPRODUCT((MONTH(CHOOSE({1,2,3,4},HN!T386,HN!X386,HN!AB386,HN!AF386))=10)*(CHOOSE({1,2,3,4},HN!W386,HN!AA386,HN!AE386,HN!AI386)))</f>
        <v>0</v>
      </c>
      <c r="K386">
        <f>SUMPRODUCT((MONTH(CHOOSE({1,2,3,4},HN!T386,HN!X386,HN!AB386,HN!AF386))=11)*(CHOOSE({1,2,3,4},HN!W386,HN!AA386,HN!AE386,HN!AI386)))</f>
        <v>0</v>
      </c>
      <c r="L386">
        <f>SUMPRODUCT((MONTH(CHOOSE({1,2,3,4},HN!T386,HN!X386,HN!AB386,HN!AF386))=12)*(CHOOSE({1,2,3,4},HN!W386,HN!AA386,HN!AE386,HN!AI386)))</f>
        <v>0</v>
      </c>
    </row>
    <row r="387" spans="1:12">
      <c r="A387">
        <f>SUMPRODUCT((MONTH(CHOOSE({1,2,3,4},HN!T387,HN!X387,HN!AB387,HN!AF387))=1)*(CHOOSE({1,2,3,4},HN!W387,HN!AA387,HN!AE387,HN!AI387)))</f>
        <v>0</v>
      </c>
      <c r="B387">
        <f>SUMPRODUCT((MONTH(CHOOSE({1,2,3,4},HN!T387,HN!X387,HN!AB387,HN!AF387))=2)*(CHOOSE({1,2,3,4},HN!W387,HN!AA387,HN!AE387,HN!AI387)))</f>
        <v>0</v>
      </c>
      <c r="C387">
        <f>SUMPRODUCT((MONTH(CHOOSE({1,2,3,4},HN!T387,HN!X387,HN!AB387,HN!AF387))=3)*(CHOOSE({1,2,3,4},HN!W387,HN!AA387,HN!AE387,HN!AI387)))</f>
        <v>0</v>
      </c>
      <c r="D387">
        <f>SUMPRODUCT((MONTH(CHOOSE({1,2,3,4},HN!T387,HN!X387,HN!AB387,HN!AF387))=4)*(CHOOSE({1,2,3,4},HN!W387,HN!AA387,HN!AE387,HN!AI387)))</f>
        <v>0</v>
      </c>
      <c r="E387">
        <f>SUMPRODUCT((MONTH(CHOOSE({1,2,3,4},HN!T387,HN!X387,HN!AB387,HN!AF387))=5)*(CHOOSE({1,2,3,4},HN!W387,HN!AA387,HN!AE387,HN!AI387)))</f>
        <v>0</v>
      </c>
      <c r="F387">
        <f>SUMPRODUCT((MONTH(CHOOSE({1,2,3,4},HN!T387,HN!X387,HN!AB387,HN!AF387))=6)*(CHOOSE({1,2,3,4},HN!W387,HN!AA387,HN!AE387,HN!AI387)))</f>
        <v>0</v>
      </c>
      <c r="G387">
        <f>SUMPRODUCT((MONTH(CHOOSE({1,2,3,4},HN!T387,HN!X387,HN!AB387,HN!AF387))=7)*(CHOOSE({1,2,3,4},HN!W387,HN!AA387,HN!AE387,HN!AI387)))</f>
        <v>0</v>
      </c>
      <c r="H387">
        <f>SUMPRODUCT((MONTH(CHOOSE({1,2,3,4},HN!T387,HN!X387,HN!AB387,HN!AF387))=8)*(CHOOSE({1,2,3,4},HN!W387,HN!AA387,HN!AE387,HN!AI387)))</f>
        <v>0</v>
      </c>
      <c r="I387">
        <f>SUMPRODUCT((MONTH(CHOOSE({1,2,3,4},HN!T387,HN!X387,HN!AB387,HN!AF387))=9)*(CHOOSE({1,2,3,4},HN!W387,HN!AA387,HN!AE387,HN!AI387)))</f>
        <v>0</v>
      </c>
      <c r="J387">
        <f>SUMPRODUCT((MONTH(CHOOSE({1,2,3,4},HN!T387,HN!X387,HN!AB387,HN!AF387))=10)*(CHOOSE({1,2,3,4},HN!W387,HN!AA387,HN!AE387,HN!AI387)))</f>
        <v>0</v>
      </c>
      <c r="K387">
        <f>SUMPRODUCT((MONTH(CHOOSE({1,2,3,4},HN!T387,HN!X387,HN!AB387,HN!AF387))=11)*(CHOOSE({1,2,3,4},HN!W387,HN!AA387,HN!AE387,HN!AI387)))</f>
        <v>0</v>
      </c>
      <c r="L387">
        <f>SUMPRODUCT((MONTH(CHOOSE({1,2,3,4},HN!T387,HN!X387,HN!AB387,HN!AF387))=12)*(CHOOSE({1,2,3,4},HN!W387,HN!AA387,HN!AE387,HN!AI387)))</f>
        <v>0</v>
      </c>
    </row>
    <row r="388" spans="1:12">
      <c r="A388">
        <f>SUMPRODUCT((MONTH(CHOOSE({1,2,3,4},HN!T388,HN!X388,HN!AB388,HN!AF388))=1)*(CHOOSE({1,2,3,4},HN!W388,HN!AA388,HN!AE388,HN!AI388)))</f>
        <v>0</v>
      </c>
      <c r="B388">
        <f>SUMPRODUCT((MONTH(CHOOSE({1,2,3,4},HN!T388,HN!X388,HN!AB388,HN!AF388))=2)*(CHOOSE({1,2,3,4},HN!W388,HN!AA388,HN!AE388,HN!AI388)))</f>
        <v>0</v>
      </c>
      <c r="C388">
        <f>SUMPRODUCT((MONTH(CHOOSE({1,2,3,4},HN!T388,HN!X388,HN!AB388,HN!AF388))=3)*(CHOOSE({1,2,3,4},HN!W388,HN!AA388,HN!AE388,HN!AI388)))</f>
        <v>0</v>
      </c>
      <c r="D388">
        <f>SUMPRODUCT((MONTH(CHOOSE({1,2,3,4},HN!T388,HN!X388,HN!AB388,HN!AF388))=4)*(CHOOSE({1,2,3,4},HN!W388,HN!AA388,HN!AE388,HN!AI388)))</f>
        <v>0</v>
      </c>
      <c r="E388">
        <f>SUMPRODUCT((MONTH(CHOOSE({1,2,3,4},HN!T388,HN!X388,HN!AB388,HN!AF388))=5)*(CHOOSE({1,2,3,4},HN!W388,HN!AA388,HN!AE388,HN!AI388)))</f>
        <v>0</v>
      </c>
      <c r="F388">
        <f>SUMPRODUCT((MONTH(CHOOSE({1,2,3,4},HN!T388,HN!X388,HN!AB388,HN!AF388))=6)*(CHOOSE({1,2,3,4},HN!W388,HN!AA388,HN!AE388,HN!AI388)))</f>
        <v>0</v>
      </c>
      <c r="G388">
        <f>SUMPRODUCT((MONTH(CHOOSE({1,2,3,4},HN!T388,HN!X388,HN!AB388,HN!AF388))=7)*(CHOOSE({1,2,3,4},HN!W388,HN!AA388,HN!AE388,HN!AI388)))</f>
        <v>0</v>
      </c>
      <c r="H388">
        <f>SUMPRODUCT((MONTH(CHOOSE({1,2,3,4},HN!T388,HN!X388,HN!AB388,HN!AF388))=8)*(CHOOSE({1,2,3,4},HN!W388,HN!AA388,HN!AE388,HN!AI388)))</f>
        <v>0</v>
      </c>
      <c r="I388">
        <f>SUMPRODUCT((MONTH(CHOOSE({1,2,3,4},HN!T388,HN!X388,HN!AB388,HN!AF388))=9)*(CHOOSE({1,2,3,4},HN!W388,HN!AA388,HN!AE388,HN!AI388)))</f>
        <v>0</v>
      </c>
      <c r="J388">
        <f>SUMPRODUCT((MONTH(CHOOSE({1,2,3,4},HN!T388,HN!X388,HN!AB388,HN!AF388))=10)*(CHOOSE({1,2,3,4},HN!W388,HN!AA388,HN!AE388,HN!AI388)))</f>
        <v>0</v>
      </c>
      <c r="K388">
        <f>SUMPRODUCT((MONTH(CHOOSE({1,2,3,4},HN!T388,HN!X388,HN!AB388,HN!AF388))=11)*(CHOOSE({1,2,3,4},HN!W388,HN!AA388,HN!AE388,HN!AI388)))</f>
        <v>0</v>
      </c>
      <c r="L388">
        <f>SUMPRODUCT((MONTH(CHOOSE({1,2,3,4},HN!T388,HN!X388,HN!AB388,HN!AF388))=12)*(CHOOSE({1,2,3,4},HN!W388,HN!AA388,HN!AE388,HN!AI388)))</f>
        <v>0</v>
      </c>
    </row>
    <row r="389" spans="1:12">
      <c r="A389">
        <f>SUMPRODUCT((MONTH(CHOOSE({1,2,3,4},HN!T389,HN!X389,HN!AB389,HN!AF389))=1)*(CHOOSE({1,2,3,4},HN!W389,HN!AA389,HN!AE389,HN!AI389)))</f>
        <v>0</v>
      </c>
      <c r="B389">
        <f>SUMPRODUCT((MONTH(CHOOSE({1,2,3,4},HN!T389,HN!X389,HN!AB389,HN!AF389))=2)*(CHOOSE({1,2,3,4},HN!W389,HN!AA389,HN!AE389,HN!AI389)))</f>
        <v>0</v>
      </c>
      <c r="C389">
        <f>SUMPRODUCT((MONTH(CHOOSE({1,2,3,4},HN!T389,HN!X389,HN!AB389,HN!AF389))=3)*(CHOOSE({1,2,3,4},HN!W389,HN!AA389,HN!AE389,HN!AI389)))</f>
        <v>0</v>
      </c>
      <c r="D389">
        <f>SUMPRODUCT((MONTH(CHOOSE({1,2,3,4},HN!T389,HN!X389,HN!AB389,HN!AF389))=4)*(CHOOSE({1,2,3,4},HN!W389,HN!AA389,HN!AE389,HN!AI389)))</f>
        <v>0</v>
      </c>
      <c r="E389">
        <f>SUMPRODUCT((MONTH(CHOOSE({1,2,3,4},HN!T389,HN!X389,HN!AB389,HN!AF389))=5)*(CHOOSE({1,2,3,4},HN!W389,HN!AA389,HN!AE389,HN!AI389)))</f>
        <v>0</v>
      </c>
      <c r="F389">
        <f>SUMPRODUCT((MONTH(CHOOSE({1,2,3,4},HN!T389,HN!X389,HN!AB389,HN!AF389))=6)*(CHOOSE({1,2,3,4},HN!W389,HN!AA389,HN!AE389,HN!AI389)))</f>
        <v>0</v>
      </c>
      <c r="G389">
        <f>SUMPRODUCT((MONTH(CHOOSE({1,2,3,4},HN!T389,HN!X389,HN!AB389,HN!AF389))=7)*(CHOOSE({1,2,3,4},HN!W389,HN!AA389,HN!AE389,HN!AI389)))</f>
        <v>0</v>
      </c>
      <c r="H389">
        <f>SUMPRODUCT((MONTH(CHOOSE({1,2,3,4},HN!T389,HN!X389,HN!AB389,HN!AF389))=8)*(CHOOSE({1,2,3,4},HN!W389,HN!AA389,HN!AE389,HN!AI389)))</f>
        <v>0</v>
      </c>
      <c r="I389">
        <f>SUMPRODUCT((MONTH(CHOOSE({1,2,3,4},HN!T389,HN!X389,HN!AB389,HN!AF389))=9)*(CHOOSE({1,2,3,4},HN!W389,HN!AA389,HN!AE389,HN!AI389)))</f>
        <v>0</v>
      </c>
      <c r="J389">
        <f>SUMPRODUCT((MONTH(CHOOSE({1,2,3,4},HN!T389,HN!X389,HN!AB389,HN!AF389))=10)*(CHOOSE({1,2,3,4},HN!W389,HN!AA389,HN!AE389,HN!AI389)))</f>
        <v>0</v>
      </c>
      <c r="K389">
        <f>SUMPRODUCT((MONTH(CHOOSE({1,2,3,4},HN!T389,HN!X389,HN!AB389,HN!AF389))=11)*(CHOOSE({1,2,3,4},HN!W389,HN!AA389,HN!AE389,HN!AI389)))</f>
        <v>0</v>
      </c>
      <c r="L389">
        <f>SUMPRODUCT((MONTH(CHOOSE({1,2,3,4},HN!T389,HN!X389,HN!AB389,HN!AF389))=12)*(CHOOSE({1,2,3,4},HN!W389,HN!AA389,HN!AE389,HN!AI389)))</f>
        <v>0</v>
      </c>
    </row>
    <row r="390" spans="1:12">
      <c r="A390">
        <f>SUMPRODUCT((MONTH(CHOOSE({1,2,3,4},HN!T390,HN!X390,HN!AB390,HN!AF390))=1)*(CHOOSE({1,2,3,4},HN!W390,HN!AA390,HN!AE390,HN!AI390)))</f>
        <v>0</v>
      </c>
      <c r="B390">
        <f>SUMPRODUCT((MONTH(CHOOSE({1,2,3,4},HN!T390,HN!X390,HN!AB390,HN!AF390))=2)*(CHOOSE({1,2,3,4},HN!W390,HN!AA390,HN!AE390,HN!AI390)))</f>
        <v>0</v>
      </c>
      <c r="C390">
        <f>SUMPRODUCT((MONTH(CHOOSE({1,2,3,4},HN!T390,HN!X390,HN!AB390,HN!AF390))=3)*(CHOOSE({1,2,3,4},HN!W390,HN!AA390,HN!AE390,HN!AI390)))</f>
        <v>0</v>
      </c>
      <c r="D390">
        <f>SUMPRODUCT((MONTH(CHOOSE({1,2,3,4},HN!T390,HN!X390,HN!AB390,HN!AF390))=4)*(CHOOSE({1,2,3,4},HN!W390,HN!AA390,HN!AE390,HN!AI390)))</f>
        <v>0</v>
      </c>
      <c r="E390">
        <f>SUMPRODUCT((MONTH(CHOOSE({1,2,3,4},HN!T390,HN!X390,HN!AB390,HN!AF390))=5)*(CHOOSE({1,2,3,4},HN!W390,HN!AA390,HN!AE390,HN!AI390)))</f>
        <v>0</v>
      </c>
      <c r="F390">
        <f>SUMPRODUCT((MONTH(CHOOSE({1,2,3,4},HN!T390,HN!X390,HN!AB390,HN!AF390))=6)*(CHOOSE({1,2,3,4},HN!W390,HN!AA390,HN!AE390,HN!AI390)))</f>
        <v>0</v>
      </c>
      <c r="G390">
        <f>SUMPRODUCT((MONTH(CHOOSE({1,2,3,4},HN!T390,HN!X390,HN!AB390,HN!AF390))=7)*(CHOOSE({1,2,3,4},HN!W390,HN!AA390,HN!AE390,HN!AI390)))</f>
        <v>0</v>
      </c>
      <c r="H390">
        <f>SUMPRODUCT((MONTH(CHOOSE({1,2,3,4},HN!T390,HN!X390,HN!AB390,HN!AF390))=8)*(CHOOSE({1,2,3,4},HN!W390,HN!AA390,HN!AE390,HN!AI390)))</f>
        <v>0</v>
      </c>
      <c r="I390">
        <f>SUMPRODUCT((MONTH(CHOOSE({1,2,3,4},HN!T390,HN!X390,HN!AB390,HN!AF390))=9)*(CHOOSE({1,2,3,4},HN!W390,HN!AA390,HN!AE390,HN!AI390)))</f>
        <v>0</v>
      </c>
      <c r="J390">
        <f>SUMPRODUCT((MONTH(CHOOSE({1,2,3,4},HN!T390,HN!X390,HN!AB390,HN!AF390))=10)*(CHOOSE({1,2,3,4},HN!W390,HN!AA390,HN!AE390,HN!AI390)))</f>
        <v>0</v>
      </c>
      <c r="K390">
        <f>SUMPRODUCT((MONTH(CHOOSE({1,2,3,4},HN!T390,HN!X390,HN!AB390,HN!AF390))=11)*(CHOOSE({1,2,3,4},HN!W390,HN!AA390,HN!AE390,HN!AI390)))</f>
        <v>0</v>
      </c>
      <c r="L390">
        <f>SUMPRODUCT((MONTH(CHOOSE({1,2,3,4},HN!T390,HN!X390,HN!AB390,HN!AF390))=12)*(CHOOSE({1,2,3,4},HN!W390,HN!AA390,HN!AE390,HN!AI390)))</f>
        <v>0</v>
      </c>
    </row>
    <row r="391" spans="1:12">
      <c r="A391">
        <f>SUMPRODUCT((MONTH(CHOOSE({1,2,3,4},HN!T391,HN!X391,HN!AB391,HN!AF391))=1)*(CHOOSE({1,2,3,4},HN!W391,HN!AA391,HN!AE391,HN!AI391)))</f>
        <v>0</v>
      </c>
      <c r="B391">
        <f>SUMPRODUCT((MONTH(CHOOSE({1,2,3,4},HN!T391,HN!X391,HN!AB391,HN!AF391))=2)*(CHOOSE({1,2,3,4},HN!W391,HN!AA391,HN!AE391,HN!AI391)))</f>
        <v>0</v>
      </c>
      <c r="C391">
        <f>SUMPRODUCT((MONTH(CHOOSE({1,2,3,4},HN!T391,HN!X391,HN!AB391,HN!AF391))=3)*(CHOOSE({1,2,3,4},HN!W391,HN!AA391,HN!AE391,HN!AI391)))</f>
        <v>0</v>
      </c>
      <c r="D391">
        <f>SUMPRODUCT((MONTH(CHOOSE({1,2,3,4},HN!T391,HN!X391,HN!AB391,HN!AF391))=4)*(CHOOSE({1,2,3,4},HN!W391,HN!AA391,HN!AE391,HN!AI391)))</f>
        <v>0</v>
      </c>
      <c r="E391">
        <f>SUMPRODUCT((MONTH(CHOOSE({1,2,3,4},HN!T391,HN!X391,HN!AB391,HN!AF391))=5)*(CHOOSE({1,2,3,4},HN!W391,HN!AA391,HN!AE391,HN!AI391)))</f>
        <v>0</v>
      </c>
      <c r="F391">
        <f>SUMPRODUCT((MONTH(CHOOSE({1,2,3,4},HN!T391,HN!X391,HN!AB391,HN!AF391))=6)*(CHOOSE({1,2,3,4},HN!W391,HN!AA391,HN!AE391,HN!AI391)))</f>
        <v>0</v>
      </c>
      <c r="G391">
        <f>SUMPRODUCT((MONTH(CHOOSE({1,2,3,4},HN!T391,HN!X391,HN!AB391,HN!AF391))=7)*(CHOOSE({1,2,3,4},HN!W391,HN!AA391,HN!AE391,HN!AI391)))</f>
        <v>0</v>
      </c>
      <c r="H391">
        <f>SUMPRODUCT((MONTH(CHOOSE({1,2,3,4},HN!T391,HN!X391,HN!AB391,HN!AF391))=8)*(CHOOSE({1,2,3,4},HN!W391,HN!AA391,HN!AE391,HN!AI391)))</f>
        <v>0</v>
      </c>
      <c r="I391">
        <f>SUMPRODUCT((MONTH(CHOOSE({1,2,3,4},HN!T391,HN!X391,HN!AB391,HN!AF391))=9)*(CHOOSE({1,2,3,4},HN!W391,HN!AA391,HN!AE391,HN!AI391)))</f>
        <v>0</v>
      </c>
      <c r="J391">
        <f>SUMPRODUCT((MONTH(CHOOSE({1,2,3,4},HN!T391,HN!X391,HN!AB391,HN!AF391))=10)*(CHOOSE({1,2,3,4},HN!W391,HN!AA391,HN!AE391,HN!AI391)))</f>
        <v>0</v>
      </c>
      <c r="K391">
        <f>SUMPRODUCT((MONTH(CHOOSE({1,2,3,4},HN!T391,HN!X391,HN!AB391,HN!AF391))=11)*(CHOOSE({1,2,3,4},HN!W391,HN!AA391,HN!AE391,HN!AI391)))</f>
        <v>0</v>
      </c>
      <c r="L391">
        <f>SUMPRODUCT((MONTH(CHOOSE({1,2,3,4},HN!T391,HN!X391,HN!AB391,HN!AF391))=12)*(CHOOSE({1,2,3,4},HN!W391,HN!AA391,HN!AE391,HN!AI391)))</f>
        <v>0</v>
      </c>
    </row>
    <row r="392" spans="1:12">
      <c r="A392">
        <f>SUMPRODUCT((MONTH(CHOOSE({1,2,3,4},HN!T392,HN!X392,HN!AB392,HN!AF392))=1)*(CHOOSE({1,2,3,4},HN!W392,HN!AA392,HN!AE392,HN!AI392)))</f>
        <v>0</v>
      </c>
      <c r="B392">
        <f>SUMPRODUCT((MONTH(CHOOSE({1,2,3,4},HN!T392,HN!X392,HN!AB392,HN!AF392))=2)*(CHOOSE({1,2,3,4},HN!W392,HN!AA392,HN!AE392,HN!AI392)))</f>
        <v>0</v>
      </c>
      <c r="C392">
        <f>SUMPRODUCT((MONTH(CHOOSE({1,2,3,4},HN!T392,HN!X392,HN!AB392,HN!AF392))=3)*(CHOOSE({1,2,3,4},HN!W392,HN!AA392,HN!AE392,HN!AI392)))</f>
        <v>0</v>
      </c>
      <c r="D392">
        <f>SUMPRODUCT((MONTH(CHOOSE({1,2,3,4},HN!T392,HN!X392,HN!AB392,HN!AF392))=4)*(CHOOSE({1,2,3,4},HN!W392,HN!AA392,HN!AE392,HN!AI392)))</f>
        <v>0</v>
      </c>
      <c r="E392">
        <f>SUMPRODUCT((MONTH(CHOOSE({1,2,3,4},HN!T392,HN!X392,HN!AB392,HN!AF392))=5)*(CHOOSE({1,2,3,4},HN!W392,HN!AA392,HN!AE392,HN!AI392)))</f>
        <v>0</v>
      </c>
      <c r="F392">
        <f>SUMPRODUCT((MONTH(CHOOSE({1,2,3,4},HN!T392,HN!X392,HN!AB392,HN!AF392))=6)*(CHOOSE({1,2,3,4},HN!W392,HN!AA392,HN!AE392,HN!AI392)))</f>
        <v>0</v>
      </c>
      <c r="G392">
        <f>SUMPRODUCT((MONTH(CHOOSE({1,2,3,4},HN!T392,HN!X392,HN!AB392,HN!AF392))=7)*(CHOOSE({1,2,3,4},HN!W392,HN!AA392,HN!AE392,HN!AI392)))</f>
        <v>0</v>
      </c>
      <c r="H392">
        <f>SUMPRODUCT((MONTH(CHOOSE({1,2,3,4},HN!T392,HN!X392,HN!AB392,HN!AF392))=8)*(CHOOSE({1,2,3,4},HN!W392,HN!AA392,HN!AE392,HN!AI392)))</f>
        <v>0</v>
      </c>
      <c r="I392">
        <f>SUMPRODUCT((MONTH(CHOOSE({1,2,3,4},HN!T392,HN!X392,HN!AB392,HN!AF392))=9)*(CHOOSE({1,2,3,4},HN!W392,HN!AA392,HN!AE392,HN!AI392)))</f>
        <v>0</v>
      </c>
      <c r="J392">
        <f>SUMPRODUCT((MONTH(CHOOSE({1,2,3,4},HN!T392,HN!X392,HN!AB392,HN!AF392))=10)*(CHOOSE({1,2,3,4},HN!W392,HN!AA392,HN!AE392,HN!AI392)))</f>
        <v>0</v>
      </c>
      <c r="K392">
        <f>SUMPRODUCT((MONTH(CHOOSE({1,2,3,4},HN!T392,HN!X392,HN!AB392,HN!AF392))=11)*(CHOOSE({1,2,3,4},HN!W392,HN!AA392,HN!AE392,HN!AI392)))</f>
        <v>0</v>
      </c>
      <c r="L392">
        <f>SUMPRODUCT((MONTH(CHOOSE({1,2,3,4},HN!T392,HN!X392,HN!AB392,HN!AF392))=12)*(CHOOSE({1,2,3,4},HN!W392,HN!AA392,HN!AE392,HN!AI392)))</f>
        <v>0</v>
      </c>
    </row>
    <row r="393" spans="1:12">
      <c r="A393">
        <f>SUMPRODUCT((MONTH(CHOOSE({1,2,3,4},HN!T393,HN!X393,HN!AB393,HN!AF393))=1)*(CHOOSE({1,2,3,4},HN!W393,HN!AA393,HN!AE393,HN!AI393)))</f>
        <v>0</v>
      </c>
      <c r="B393">
        <f>SUMPRODUCT((MONTH(CHOOSE({1,2,3,4},HN!T393,HN!X393,HN!AB393,HN!AF393))=2)*(CHOOSE({1,2,3,4},HN!W393,HN!AA393,HN!AE393,HN!AI393)))</f>
        <v>0</v>
      </c>
      <c r="C393">
        <f>SUMPRODUCT((MONTH(CHOOSE({1,2,3,4},HN!T393,HN!X393,HN!AB393,HN!AF393))=3)*(CHOOSE({1,2,3,4},HN!W393,HN!AA393,HN!AE393,HN!AI393)))</f>
        <v>0</v>
      </c>
      <c r="D393">
        <f>SUMPRODUCT((MONTH(CHOOSE({1,2,3,4},HN!T393,HN!X393,HN!AB393,HN!AF393))=4)*(CHOOSE({1,2,3,4},HN!W393,HN!AA393,HN!AE393,HN!AI393)))</f>
        <v>0</v>
      </c>
      <c r="E393">
        <f>SUMPRODUCT((MONTH(CHOOSE({1,2,3,4},HN!T393,HN!X393,HN!AB393,HN!AF393))=5)*(CHOOSE({1,2,3,4},HN!W393,HN!AA393,HN!AE393,HN!AI393)))</f>
        <v>0</v>
      </c>
      <c r="F393">
        <f>SUMPRODUCT((MONTH(CHOOSE({1,2,3,4},HN!T393,HN!X393,HN!AB393,HN!AF393))=6)*(CHOOSE({1,2,3,4},HN!W393,HN!AA393,HN!AE393,HN!AI393)))</f>
        <v>0</v>
      </c>
      <c r="G393">
        <f>SUMPRODUCT((MONTH(CHOOSE({1,2,3,4},HN!T393,HN!X393,HN!AB393,HN!AF393))=7)*(CHOOSE({1,2,3,4},HN!W393,HN!AA393,HN!AE393,HN!AI393)))</f>
        <v>0</v>
      </c>
      <c r="H393">
        <f>SUMPRODUCT((MONTH(CHOOSE({1,2,3,4},HN!T393,HN!X393,HN!AB393,HN!AF393))=8)*(CHOOSE({1,2,3,4},HN!W393,HN!AA393,HN!AE393,HN!AI393)))</f>
        <v>0</v>
      </c>
      <c r="I393">
        <f>SUMPRODUCT((MONTH(CHOOSE({1,2,3,4},HN!T393,HN!X393,HN!AB393,HN!AF393))=9)*(CHOOSE({1,2,3,4},HN!W393,HN!AA393,HN!AE393,HN!AI393)))</f>
        <v>0</v>
      </c>
      <c r="J393">
        <f>SUMPRODUCT((MONTH(CHOOSE({1,2,3,4},HN!T393,HN!X393,HN!AB393,HN!AF393))=10)*(CHOOSE({1,2,3,4},HN!W393,HN!AA393,HN!AE393,HN!AI393)))</f>
        <v>0</v>
      </c>
      <c r="K393">
        <f>SUMPRODUCT((MONTH(CHOOSE({1,2,3,4},HN!T393,HN!X393,HN!AB393,HN!AF393))=11)*(CHOOSE({1,2,3,4},HN!W393,HN!AA393,HN!AE393,HN!AI393)))</f>
        <v>0</v>
      </c>
      <c r="L393">
        <f>SUMPRODUCT((MONTH(CHOOSE({1,2,3,4},HN!T393,HN!X393,HN!AB393,HN!AF393))=12)*(CHOOSE({1,2,3,4},HN!W393,HN!AA393,HN!AE393,HN!AI393)))</f>
        <v>0</v>
      </c>
    </row>
    <row r="394" spans="1:12">
      <c r="A394">
        <f>SUMPRODUCT((MONTH(CHOOSE({1,2,3,4},HN!T394,HN!X394,HN!AB394,HN!AF394))=1)*(CHOOSE({1,2,3,4},HN!W394,HN!AA394,HN!AE394,HN!AI394)))</f>
        <v>0</v>
      </c>
      <c r="B394">
        <f>SUMPRODUCT((MONTH(CHOOSE({1,2,3,4},HN!T394,HN!X394,HN!AB394,HN!AF394))=2)*(CHOOSE({1,2,3,4},HN!W394,HN!AA394,HN!AE394,HN!AI394)))</f>
        <v>0</v>
      </c>
      <c r="C394">
        <f>SUMPRODUCT((MONTH(CHOOSE({1,2,3,4},HN!T394,HN!X394,HN!AB394,HN!AF394))=3)*(CHOOSE({1,2,3,4},HN!W394,HN!AA394,HN!AE394,HN!AI394)))</f>
        <v>0</v>
      </c>
      <c r="D394">
        <f>SUMPRODUCT((MONTH(CHOOSE({1,2,3,4},HN!T394,HN!X394,HN!AB394,HN!AF394))=4)*(CHOOSE({1,2,3,4},HN!W394,HN!AA394,HN!AE394,HN!AI394)))</f>
        <v>0</v>
      </c>
      <c r="E394">
        <f>SUMPRODUCT((MONTH(CHOOSE({1,2,3,4},HN!T394,HN!X394,HN!AB394,HN!AF394))=5)*(CHOOSE({1,2,3,4},HN!W394,HN!AA394,HN!AE394,HN!AI394)))</f>
        <v>0</v>
      </c>
      <c r="F394">
        <f>SUMPRODUCT((MONTH(CHOOSE({1,2,3,4},HN!T394,HN!X394,HN!AB394,HN!AF394))=6)*(CHOOSE({1,2,3,4},HN!W394,HN!AA394,HN!AE394,HN!AI394)))</f>
        <v>0</v>
      </c>
      <c r="G394">
        <f>SUMPRODUCT((MONTH(CHOOSE({1,2,3,4},HN!T394,HN!X394,HN!AB394,HN!AF394))=7)*(CHOOSE({1,2,3,4},HN!W394,HN!AA394,HN!AE394,HN!AI394)))</f>
        <v>0</v>
      </c>
      <c r="H394">
        <f>SUMPRODUCT((MONTH(CHOOSE({1,2,3,4},HN!T394,HN!X394,HN!AB394,HN!AF394))=8)*(CHOOSE({1,2,3,4},HN!W394,HN!AA394,HN!AE394,HN!AI394)))</f>
        <v>0</v>
      </c>
      <c r="I394">
        <f>SUMPRODUCT((MONTH(CHOOSE({1,2,3,4},HN!T394,HN!X394,HN!AB394,HN!AF394))=9)*(CHOOSE({1,2,3,4},HN!W394,HN!AA394,HN!AE394,HN!AI394)))</f>
        <v>0</v>
      </c>
      <c r="J394">
        <f>SUMPRODUCT((MONTH(CHOOSE({1,2,3,4},HN!T394,HN!X394,HN!AB394,HN!AF394))=10)*(CHOOSE({1,2,3,4},HN!W394,HN!AA394,HN!AE394,HN!AI394)))</f>
        <v>0</v>
      </c>
      <c r="K394">
        <f>SUMPRODUCT((MONTH(CHOOSE({1,2,3,4},HN!T394,HN!X394,HN!AB394,HN!AF394))=11)*(CHOOSE({1,2,3,4},HN!W394,HN!AA394,HN!AE394,HN!AI394)))</f>
        <v>0</v>
      </c>
      <c r="L394">
        <f>SUMPRODUCT((MONTH(CHOOSE({1,2,3,4},HN!T394,HN!X394,HN!AB394,HN!AF394))=12)*(CHOOSE({1,2,3,4},HN!W394,HN!AA394,HN!AE394,HN!AI394)))</f>
        <v>0</v>
      </c>
    </row>
    <row r="395" spans="1:12">
      <c r="A395">
        <f>SUMPRODUCT((MONTH(CHOOSE({1,2,3,4},HN!T395,HN!X395,HN!AB395,HN!AF395))=1)*(CHOOSE({1,2,3,4},HN!W395,HN!AA395,HN!AE395,HN!AI395)))</f>
        <v>0</v>
      </c>
      <c r="B395">
        <f>SUMPRODUCT((MONTH(CHOOSE({1,2,3,4},HN!T395,HN!X395,HN!AB395,HN!AF395))=2)*(CHOOSE({1,2,3,4},HN!W395,HN!AA395,HN!AE395,HN!AI395)))</f>
        <v>0</v>
      </c>
      <c r="C395">
        <f>SUMPRODUCT((MONTH(CHOOSE({1,2,3,4},HN!T395,HN!X395,HN!AB395,HN!AF395))=3)*(CHOOSE({1,2,3,4},HN!W395,HN!AA395,HN!AE395,HN!AI395)))</f>
        <v>0</v>
      </c>
      <c r="D395">
        <f>SUMPRODUCT((MONTH(CHOOSE({1,2,3,4},HN!T395,HN!X395,HN!AB395,HN!AF395))=4)*(CHOOSE({1,2,3,4},HN!W395,HN!AA395,HN!AE395,HN!AI395)))</f>
        <v>0</v>
      </c>
      <c r="E395">
        <f>SUMPRODUCT((MONTH(CHOOSE({1,2,3,4},HN!T395,HN!X395,HN!AB395,HN!AF395))=5)*(CHOOSE({1,2,3,4},HN!W395,HN!AA395,HN!AE395,HN!AI395)))</f>
        <v>0</v>
      </c>
      <c r="F395">
        <f>SUMPRODUCT((MONTH(CHOOSE({1,2,3,4},HN!T395,HN!X395,HN!AB395,HN!AF395))=6)*(CHOOSE({1,2,3,4},HN!W395,HN!AA395,HN!AE395,HN!AI395)))</f>
        <v>0</v>
      </c>
      <c r="G395">
        <f>SUMPRODUCT((MONTH(CHOOSE({1,2,3,4},HN!T395,HN!X395,HN!AB395,HN!AF395))=7)*(CHOOSE({1,2,3,4},HN!W395,HN!AA395,HN!AE395,HN!AI395)))</f>
        <v>0</v>
      </c>
      <c r="H395">
        <f>SUMPRODUCT((MONTH(CHOOSE({1,2,3,4},HN!T395,HN!X395,HN!AB395,HN!AF395))=8)*(CHOOSE({1,2,3,4},HN!W395,HN!AA395,HN!AE395,HN!AI395)))</f>
        <v>0</v>
      </c>
      <c r="I395">
        <f>SUMPRODUCT((MONTH(CHOOSE({1,2,3,4},HN!T395,HN!X395,HN!AB395,HN!AF395))=9)*(CHOOSE({1,2,3,4},HN!W395,HN!AA395,HN!AE395,HN!AI395)))</f>
        <v>0</v>
      </c>
      <c r="J395">
        <f>SUMPRODUCT((MONTH(CHOOSE({1,2,3,4},HN!T395,HN!X395,HN!AB395,HN!AF395))=10)*(CHOOSE({1,2,3,4},HN!W395,HN!AA395,HN!AE395,HN!AI395)))</f>
        <v>0</v>
      </c>
      <c r="K395">
        <f>SUMPRODUCT((MONTH(CHOOSE({1,2,3,4},HN!T395,HN!X395,HN!AB395,HN!AF395))=11)*(CHOOSE({1,2,3,4},HN!W395,HN!AA395,HN!AE395,HN!AI395)))</f>
        <v>0</v>
      </c>
      <c r="L395">
        <f>SUMPRODUCT((MONTH(CHOOSE({1,2,3,4},HN!T395,HN!X395,HN!AB395,HN!AF395))=12)*(CHOOSE({1,2,3,4},HN!W395,HN!AA395,HN!AE395,HN!AI395)))</f>
        <v>0</v>
      </c>
    </row>
    <row r="396" spans="1:12">
      <c r="A396">
        <f>SUMPRODUCT((MONTH(CHOOSE({1,2,3,4},HN!T396,HN!X396,HN!AB396,HN!AF396))=1)*(CHOOSE({1,2,3,4},HN!W396,HN!AA396,HN!AE396,HN!AI396)))</f>
        <v>0</v>
      </c>
      <c r="B396">
        <f>SUMPRODUCT((MONTH(CHOOSE({1,2,3,4},HN!T396,HN!X396,HN!AB396,HN!AF396))=2)*(CHOOSE({1,2,3,4},HN!W396,HN!AA396,HN!AE396,HN!AI396)))</f>
        <v>0</v>
      </c>
      <c r="C396">
        <f>SUMPRODUCT((MONTH(CHOOSE({1,2,3,4},HN!T396,HN!X396,HN!AB396,HN!AF396))=3)*(CHOOSE({1,2,3,4},HN!W396,HN!AA396,HN!AE396,HN!AI396)))</f>
        <v>0</v>
      </c>
      <c r="D396">
        <f>SUMPRODUCT((MONTH(CHOOSE({1,2,3,4},HN!T396,HN!X396,HN!AB396,HN!AF396))=4)*(CHOOSE({1,2,3,4},HN!W396,HN!AA396,HN!AE396,HN!AI396)))</f>
        <v>0</v>
      </c>
      <c r="E396">
        <f>SUMPRODUCT((MONTH(CHOOSE({1,2,3,4},HN!T396,HN!X396,HN!AB396,HN!AF396))=5)*(CHOOSE({1,2,3,4},HN!W396,HN!AA396,HN!AE396,HN!AI396)))</f>
        <v>0</v>
      </c>
      <c r="F396">
        <f>SUMPRODUCT((MONTH(CHOOSE({1,2,3,4},HN!T396,HN!X396,HN!AB396,HN!AF396))=6)*(CHOOSE({1,2,3,4},HN!W396,HN!AA396,HN!AE396,HN!AI396)))</f>
        <v>0</v>
      </c>
      <c r="G396">
        <f>SUMPRODUCT((MONTH(CHOOSE({1,2,3,4},HN!T396,HN!X396,HN!AB396,HN!AF396))=7)*(CHOOSE({1,2,3,4},HN!W396,HN!AA396,HN!AE396,HN!AI396)))</f>
        <v>0</v>
      </c>
      <c r="H396">
        <f>SUMPRODUCT((MONTH(CHOOSE({1,2,3,4},HN!T396,HN!X396,HN!AB396,HN!AF396))=8)*(CHOOSE({1,2,3,4},HN!W396,HN!AA396,HN!AE396,HN!AI396)))</f>
        <v>0</v>
      </c>
      <c r="I396">
        <f>SUMPRODUCT((MONTH(CHOOSE({1,2,3,4},HN!T396,HN!X396,HN!AB396,HN!AF396))=9)*(CHOOSE({1,2,3,4},HN!W396,HN!AA396,HN!AE396,HN!AI396)))</f>
        <v>0</v>
      </c>
      <c r="J396">
        <f>SUMPRODUCT((MONTH(CHOOSE({1,2,3,4},HN!T396,HN!X396,HN!AB396,HN!AF396))=10)*(CHOOSE({1,2,3,4},HN!W396,HN!AA396,HN!AE396,HN!AI396)))</f>
        <v>0</v>
      </c>
      <c r="K396">
        <f>SUMPRODUCT((MONTH(CHOOSE({1,2,3,4},HN!T396,HN!X396,HN!AB396,HN!AF396))=11)*(CHOOSE({1,2,3,4},HN!W396,HN!AA396,HN!AE396,HN!AI396)))</f>
        <v>0</v>
      </c>
      <c r="L396">
        <f>SUMPRODUCT((MONTH(CHOOSE({1,2,3,4},HN!T396,HN!X396,HN!AB396,HN!AF396))=12)*(CHOOSE({1,2,3,4},HN!W396,HN!AA396,HN!AE396,HN!AI396)))</f>
        <v>0</v>
      </c>
    </row>
    <row r="397" spans="1:12">
      <c r="A397">
        <f>SUMPRODUCT((MONTH(CHOOSE({1,2,3,4},HN!T397,HN!X397,HN!AB397,HN!AF397))=1)*(CHOOSE({1,2,3,4},HN!W397,HN!AA397,HN!AE397,HN!AI397)))</f>
        <v>0</v>
      </c>
      <c r="B397">
        <f>SUMPRODUCT((MONTH(CHOOSE({1,2,3,4},HN!T397,HN!X397,HN!AB397,HN!AF397))=2)*(CHOOSE({1,2,3,4},HN!W397,HN!AA397,HN!AE397,HN!AI397)))</f>
        <v>0</v>
      </c>
      <c r="C397">
        <f>SUMPRODUCT((MONTH(CHOOSE({1,2,3,4},HN!T397,HN!X397,HN!AB397,HN!AF397))=3)*(CHOOSE({1,2,3,4},HN!W397,HN!AA397,HN!AE397,HN!AI397)))</f>
        <v>0</v>
      </c>
      <c r="D397">
        <f>SUMPRODUCT((MONTH(CHOOSE({1,2,3,4},HN!T397,HN!X397,HN!AB397,HN!AF397))=4)*(CHOOSE({1,2,3,4},HN!W397,HN!AA397,HN!AE397,HN!AI397)))</f>
        <v>0</v>
      </c>
      <c r="E397">
        <f>SUMPRODUCT((MONTH(CHOOSE({1,2,3,4},HN!T397,HN!X397,HN!AB397,HN!AF397))=5)*(CHOOSE({1,2,3,4},HN!W397,HN!AA397,HN!AE397,HN!AI397)))</f>
        <v>0</v>
      </c>
      <c r="F397">
        <f>SUMPRODUCT((MONTH(CHOOSE({1,2,3,4},HN!T397,HN!X397,HN!AB397,HN!AF397))=6)*(CHOOSE({1,2,3,4},HN!W397,HN!AA397,HN!AE397,HN!AI397)))</f>
        <v>0</v>
      </c>
      <c r="G397">
        <f>SUMPRODUCT((MONTH(CHOOSE({1,2,3,4},HN!T397,HN!X397,HN!AB397,HN!AF397))=7)*(CHOOSE({1,2,3,4},HN!W397,HN!AA397,HN!AE397,HN!AI397)))</f>
        <v>0</v>
      </c>
      <c r="H397">
        <f>SUMPRODUCT((MONTH(CHOOSE({1,2,3,4},HN!T397,HN!X397,HN!AB397,HN!AF397))=8)*(CHOOSE({1,2,3,4},HN!W397,HN!AA397,HN!AE397,HN!AI397)))</f>
        <v>0</v>
      </c>
      <c r="I397">
        <f>SUMPRODUCT((MONTH(CHOOSE({1,2,3,4},HN!T397,HN!X397,HN!AB397,HN!AF397))=9)*(CHOOSE({1,2,3,4},HN!W397,HN!AA397,HN!AE397,HN!AI397)))</f>
        <v>0</v>
      </c>
      <c r="J397">
        <f>SUMPRODUCT((MONTH(CHOOSE({1,2,3,4},HN!T397,HN!X397,HN!AB397,HN!AF397))=10)*(CHOOSE({1,2,3,4},HN!W397,HN!AA397,HN!AE397,HN!AI397)))</f>
        <v>0</v>
      </c>
      <c r="K397">
        <f>SUMPRODUCT((MONTH(CHOOSE({1,2,3,4},HN!T397,HN!X397,HN!AB397,HN!AF397))=11)*(CHOOSE({1,2,3,4},HN!W397,HN!AA397,HN!AE397,HN!AI397)))</f>
        <v>0</v>
      </c>
      <c r="L397">
        <f>SUMPRODUCT((MONTH(CHOOSE({1,2,3,4},HN!T397,HN!X397,HN!AB397,HN!AF397))=12)*(CHOOSE({1,2,3,4},HN!W397,HN!AA397,HN!AE397,HN!AI397)))</f>
        <v>0</v>
      </c>
    </row>
    <row r="398" spans="1:12">
      <c r="A398">
        <f>SUMPRODUCT((MONTH(CHOOSE({1,2,3,4},HN!T398,HN!X398,HN!AB398,HN!AF398))=1)*(CHOOSE({1,2,3,4},HN!W398,HN!AA398,HN!AE398,HN!AI398)))</f>
        <v>0</v>
      </c>
      <c r="B398">
        <f>SUMPRODUCT((MONTH(CHOOSE({1,2,3,4},HN!T398,HN!X398,HN!AB398,HN!AF398))=2)*(CHOOSE({1,2,3,4},HN!W398,HN!AA398,HN!AE398,HN!AI398)))</f>
        <v>0</v>
      </c>
      <c r="C398">
        <f>SUMPRODUCT((MONTH(CHOOSE({1,2,3,4},HN!T398,HN!X398,HN!AB398,HN!AF398))=3)*(CHOOSE({1,2,3,4},HN!W398,HN!AA398,HN!AE398,HN!AI398)))</f>
        <v>0</v>
      </c>
      <c r="D398">
        <f>SUMPRODUCT((MONTH(CHOOSE({1,2,3,4},HN!T398,HN!X398,HN!AB398,HN!AF398))=4)*(CHOOSE({1,2,3,4},HN!W398,HN!AA398,HN!AE398,HN!AI398)))</f>
        <v>0</v>
      </c>
      <c r="E398">
        <f>SUMPRODUCT((MONTH(CHOOSE({1,2,3,4},HN!T398,HN!X398,HN!AB398,HN!AF398))=5)*(CHOOSE({1,2,3,4},HN!W398,HN!AA398,HN!AE398,HN!AI398)))</f>
        <v>0</v>
      </c>
      <c r="F398">
        <f>SUMPRODUCT((MONTH(CHOOSE({1,2,3,4},HN!T398,HN!X398,HN!AB398,HN!AF398))=6)*(CHOOSE({1,2,3,4},HN!W398,HN!AA398,HN!AE398,HN!AI398)))</f>
        <v>0</v>
      </c>
      <c r="G398">
        <f>SUMPRODUCT((MONTH(CHOOSE({1,2,3,4},HN!T398,HN!X398,HN!AB398,HN!AF398))=7)*(CHOOSE({1,2,3,4},HN!W398,HN!AA398,HN!AE398,HN!AI398)))</f>
        <v>0</v>
      </c>
      <c r="H398">
        <f>SUMPRODUCT((MONTH(CHOOSE({1,2,3,4},HN!T398,HN!X398,HN!AB398,HN!AF398))=8)*(CHOOSE({1,2,3,4},HN!W398,HN!AA398,HN!AE398,HN!AI398)))</f>
        <v>0</v>
      </c>
      <c r="I398">
        <f>SUMPRODUCT((MONTH(CHOOSE({1,2,3,4},HN!T398,HN!X398,HN!AB398,HN!AF398))=9)*(CHOOSE({1,2,3,4},HN!W398,HN!AA398,HN!AE398,HN!AI398)))</f>
        <v>0</v>
      </c>
      <c r="J398">
        <f>SUMPRODUCT((MONTH(CHOOSE({1,2,3,4},HN!T398,HN!X398,HN!AB398,HN!AF398))=10)*(CHOOSE({1,2,3,4},HN!W398,HN!AA398,HN!AE398,HN!AI398)))</f>
        <v>0</v>
      </c>
      <c r="K398">
        <f>SUMPRODUCT((MONTH(CHOOSE({1,2,3,4},HN!T398,HN!X398,HN!AB398,HN!AF398))=11)*(CHOOSE({1,2,3,4},HN!W398,HN!AA398,HN!AE398,HN!AI398)))</f>
        <v>0</v>
      </c>
      <c r="L398">
        <f>SUMPRODUCT((MONTH(CHOOSE({1,2,3,4},HN!T398,HN!X398,HN!AB398,HN!AF398))=12)*(CHOOSE({1,2,3,4},HN!W398,HN!AA398,HN!AE398,HN!AI398)))</f>
        <v>0</v>
      </c>
    </row>
    <row r="399" spans="1:12">
      <c r="A399">
        <f>SUMPRODUCT((MONTH(CHOOSE({1,2,3,4},HN!T399,HN!X399,HN!AB399,HN!AF399))=1)*(CHOOSE({1,2,3,4},HN!W399,HN!AA399,HN!AE399,HN!AI399)))</f>
        <v>0</v>
      </c>
      <c r="B399">
        <f>SUMPRODUCT((MONTH(CHOOSE({1,2,3,4},HN!T399,HN!X399,HN!AB399,HN!AF399))=2)*(CHOOSE({1,2,3,4},HN!W399,HN!AA399,HN!AE399,HN!AI399)))</f>
        <v>0</v>
      </c>
      <c r="C399">
        <f>SUMPRODUCT((MONTH(CHOOSE({1,2,3,4},HN!T399,HN!X399,HN!AB399,HN!AF399))=3)*(CHOOSE({1,2,3,4},HN!W399,HN!AA399,HN!AE399,HN!AI399)))</f>
        <v>0</v>
      </c>
      <c r="D399">
        <f>SUMPRODUCT((MONTH(CHOOSE({1,2,3,4},HN!T399,HN!X399,HN!AB399,HN!AF399))=4)*(CHOOSE({1,2,3,4},HN!W399,HN!AA399,HN!AE399,HN!AI399)))</f>
        <v>0</v>
      </c>
      <c r="E399">
        <f>SUMPRODUCT((MONTH(CHOOSE({1,2,3,4},HN!T399,HN!X399,HN!AB399,HN!AF399))=5)*(CHOOSE({1,2,3,4},HN!W399,HN!AA399,HN!AE399,HN!AI399)))</f>
        <v>0</v>
      </c>
      <c r="F399">
        <f>SUMPRODUCT((MONTH(CHOOSE({1,2,3,4},HN!T399,HN!X399,HN!AB399,HN!AF399))=6)*(CHOOSE({1,2,3,4},HN!W399,HN!AA399,HN!AE399,HN!AI399)))</f>
        <v>0</v>
      </c>
      <c r="G399">
        <f>SUMPRODUCT((MONTH(CHOOSE({1,2,3,4},HN!T399,HN!X399,HN!AB399,HN!AF399))=7)*(CHOOSE({1,2,3,4},HN!W399,HN!AA399,HN!AE399,HN!AI399)))</f>
        <v>0</v>
      </c>
      <c r="H399">
        <f>SUMPRODUCT((MONTH(CHOOSE({1,2,3,4},HN!T399,HN!X399,HN!AB399,HN!AF399))=8)*(CHOOSE({1,2,3,4},HN!W399,HN!AA399,HN!AE399,HN!AI399)))</f>
        <v>0</v>
      </c>
      <c r="I399">
        <f>SUMPRODUCT((MONTH(CHOOSE({1,2,3,4},HN!T399,HN!X399,HN!AB399,HN!AF399))=9)*(CHOOSE({1,2,3,4},HN!W399,HN!AA399,HN!AE399,HN!AI399)))</f>
        <v>0</v>
      </c>
      <c r="J399">
        <f>SUMPRODUCT((MONTH(CHOOSE({1,2,3,4},HN!T399,HN!X399,HN!AB399,HN!AF399))=10)*(CHOOSE({1,2,3,4},HN!W399,HN!AA399,HN!AE399,HN!AI399)))</f>
        <v>0</v>
      </c>
      <c r="K399">
        <f>SUMPRODUCT((MONTH(CHOOSE({1,2,3,4},HN!T399,HN!X399,HN!AB399,HN!AF399))=11)*(CHOOSE({1,2,3,4},HN!W399,HN!AA399,HN!AE399,HN!AI399)))</f>
        <v>0</v>
      </c>
      <c r="L399">
        <f>SUMPRODUCT((MONTH(CHOOSE({1,2,3,4},HN!T399,HN!X399,HN!AB399,HN!AF399))=12)*(CHOOSE({1,2,3,4},HN!W399,HN!AA399,HN!AE399,HN!AI399)))</f>
        <v>0</v>
      </c>
    </row>
    <row r="400" spans="1:12">
      <c r="A400">
        <f>SUMPRODUCT((MONTH(CHOOSE({1,2,3,4},HN!T400,HN!X400,HN!AB400,HN!AF400))=1)*(CHOOSE({1,2,3,4},HN!W400,HN!AA400,HN!AE400,HN!AI400)))</f>
        <v>0</v>
      </c>
      <c r="B400">
        <f>SUMPRODUCT((MONTH(CHOOSE({1,2,3,4},HN!T400,HN!X400,HN!AB400,HN!AF400))=2)*(CHOOSE({1,2,3,4},HN!W400,HN!AA400,HN!AE400,HN!AI400)))</f>
        <v>0</v>
      </c>
      <c r="C400">
        <f>SUMPRODUCT((MONTH(CHOOSE({1,2,3,4},HN!T400,HN!X400,HN!AB400,HN!AF400))=3)*(CHOOSE({1,2,3,4},HN!W400,HN!AA400,HN!AE400,HN!AI400)))</f>
        <v>0</v>
      </c>
      <c r="D400">
        <f>SUMPRODUCT((MONTH(CHOOSE({1,2,3,4},HN!T400,HN!X400,HN!AB400,HN!AF400))=4)*(CHOOSE({1,2,3,4},HN!W400,HN!AA400,HN!AE400,HN!AI400)))</f>
        <v>0</v>
      </c>
      <c r="E400">
        <f>SUMPRODUCT((MONTH(CHOOSE({1,2,3,4},HN!T400,HN!X400,HN!AB400,HN!AF400))=5)*(CHOOSE({1,2,3,4},HN!W400,HN!AA400,HN!AE400,HN!AI400)))</f>
        <v>0</v>
      </c>
      <c r="F400">
        <f>SUMPRODUCT((MONTH(CHOOSE({1,2,3,4},HN!T400,HN!X400,HN!AB400,HN!AF400))=6)*(CHOOSE({1,2,3,4},HN!W400,HN!AA400,HN!AE400,HN!AI400)))</f>
        <v>0</v>
      </c>
      <c r="G400">
        <f>SUMPRODUCT((MONTH(CHOOSE({1,2,3,4},HN!T400,HN!X400,HN!AB400,HN!AF400))=7)*(CHOOSE({1,2,3,4},HN!W400,HN!AA400,HN!AE400,HN!AI400)))</f>
        <v>0</v>
      </c>
      <c r="H400">
        <f>SUMPRODUCT((MONTH(CHOOSE({1,2,3,4},HN!T400,HN!X400,HN!AB400,HN!AF400))=8)*(CHOOSE({1,2,3,4},HN!W400,HN!AA400,HN!AE400,HN!AI400)))</f>
        <v>0</v>
      </c>
      <c r="I400">
        <f>SUMPRODUCT((MONTH(CHOOSE({1,2,3,4},HN!T400,HN!X400,HN!AB400,HN!AF400))=9)*(CHOOSE({1,2,3,4},HN!W400,HN!AA400,HN!AE400,HN!AI400)))</f>
        <v>0</v>
      </c>
      <c r="J400">
        <f>SUMPRODUCT((MONTH(CHOOSE({1,2,3,4},HN!T400,HN!X400,HN!AB400,HN!AF400))=10)*(CHOOSE({1,2,3,4},HN!W400,HN!AA400,HN!AE400,HN!AI400)))</f>
        <v>0</v>
      </c>
      <c r="K400">
        <f>SUMPRODUCT((MONTH(CHOOSE({1,2,3,4},HN!T400,HN!X400,HN!AB400,HN!AF400))=11)*(CHOOSE({1,2,3,4},HN!W400,HN!AA400,HN!AE400,HN!AI400)))</f>
        <v>0</v>
      </c>
      <c r="L400">
        <f>SUMPRODUCT((MONTH(CHOOSE({1,2,3,4},HN!T400,HN!X400,HN!AB400,HN!AF400))=12)*(CHOOSE({1,2,3,4},HN!W400,HN!AA400,HN!AE400,HN!AI400)))</f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1:L400"/>
  <sheetViews>
    <sheetView workbookViewId="0">
      <selection activeCell="B4" sqref="B4"/>
    </sheetView>
  </sheetViews>
  <sheetFormatPr defaultRowHeight="13.6"/>
  <sheetData>
    <row r="1" spans="1:12">
      <c r="A1">
        <f>COUNTIF(A3:A400,"&gt;0")</f>
        <v>0</v>
      </c>
      <c r="B1">
        <f t="shared" ref="B1:L1" si="0">COUNTIF(B3:B400,"&gt;0")</f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</row>
    <row r="2" spans="1:12" s="10" customFormat="1" ht="12.9">
      <c r="A2" s="10">
        <f>SUM(A3:A444)</f>
        <v>0</v>
      </c>
      <c r="B2" s="10">
        <f t="shared" ref="B2:L2" si="1">SUM(B3:B444)</f>
        <v>0</v>
      </c>
      <c r="C2" s="10">
        <f t="shared" si="1"/>
        <v>0</v>
      </c>
      <c r="D2" s="10">
        <f t="shared" si="1"/>
        <v>0</v>
      </c>
      <c r="E2" s="10">
        <f t="shared" si="1"/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</row>
    <row r="3" spans="1:12" ht="15.8" customHeight="1">
      <c r="A3">
        <f>SUMPRODUCT((MONTH(CHOOSE({1,2,3,4},NĐ!T3,NĐ!X3,NĐ!AB3,NĐ!AF3))=1)*(CHOOSE({1,2,3,4},NĐ!W3,NĐ!AA3,NĐ!AE3,NĐ!AI3)))</f>
        <v>0</v>
      </c>
      <c r="B3">
        <f>SUMPRODUCT((MONTH(CHOOSE({1,2,3,4},NĐ!T3,NĐ!X3,NĐ!AB3,NĐ!AF3))=2)*(CHOOSE({1,2,3,4},NĐ!W3,NĐ!AA3,NĐ!AE3,NĐ!AI3)))</f>
        <v>0</v>
      </c>
      <c r="C3">
        <f>SUMPRODUCT((MONTH(CHOOSE({1,2,3,4},NĐ!T3,NĐ!X3,NĐ!AB3,NĐ!AF3))=3)*(CHOOSE({1,2,3,4},NĐ!W3,NĐ!AA3,NĐ!AE3,NĐ!AI3)))</f>
        <v>0</v>
      </c>
      <c r="D3">
        <f>SUMPRODUCT((MONTH(CHOOSE({1,2,3,4},NĐ!T3,NĐ!X3,NĐ!AB3,NĐ!AF3))=4)*(CHOOSE({1,2,3,4},NĐ!W3,NĐ!AA3,NĐ!AE3,NĐ!AI3)))</f>
        <v>0</v>
      </c>
      <c r="E3">
        <f>SUMPRODUCT((MONTH(CHOOSE({1,2,3,4},NĐ!T3,NĐ!X3,NĐ!AB3,NĐ!AF3))=5)*(CHOOSE({1,2,3,4},NĐ!W3,NĐ!AA3,NĐ!AE3,NĐ!AI3)))</f>
        <v>0</v>
      </c>
      <c r="F3">
        <f>SUMPRODUCT((MONTH(CHOOSE({1,2,3,4},NĐ!T3,NĐ!X3,NĐ!AB3,NĐ!AF3))=6)*(CHOOSE({1,2,3,4},NĐ!W3,NĐ!AA3,NĐ!AE3,NĐ!AI3)))</f>
        <v>0</v>
      </c>
      <c r="G3">
        <f>SUMPRODUCT((MONTH(CHOOSE({1,2,3,4},NĐ!T3,NĐ!X3,NĐ!AB3,NĐ!AF3))=7)*(CHOOSE({1,2,3,4},NĐ!W3,NĐ!AA3,NĐ!AE3,NĐ!AI3)))</f>
        <v>0</v>
      </c>
      <c r="H3">
        <f>SUMPRODUCT((MONTH(CHOOSE({1,2,3,4},NĐ!T3,NĐ!X3,NĐ!AB3,NĐ!AF3))=8)*(CHOOSE({1,2,3,4},NĐ!W3,NĐ!AA3,NĐ!AE3,NĐ!AI3)))</f>
        <v>0</v>
      </c>
      <c r="I3">
        <f>SUMPRODUCT((MONTH(CHOOSE({1,2,3,4},NĐ!T3,NĐ!X3,NĐ!AB3,NĐ!AF3))=9)*(CHOOSE({1,2,3,4},NĐ!W3,NĐ!AA3,NĐ!AE3,NĐ!AI3)))</f>
        <v>0</v>
      </c>
      <c r="J3">
        <f>SUMPRODUCT((MONTH(CHOOSE({1,2,3,4},NĐ!T3,NĐ!X3,NĐ!AB3,NĐ!AF3))=10)*(CHOOSE({1,2,3,4},NĐ!W3,NĐ!AA3,NĐ!AE3,NĐ!AI3)))</f>
        <v>0</v>
      </c>
      <c r="K3">
        <f>SUMPRODUCT((MONTH(CHOOSE({1,2,3,4},NĐ!T3,NĐ!X3,NĐ!AB3,NĐ!AF3))=11)*(CHOOSE({1,2,3,4},NĐ!W3,NĐ!AA3,NĐ!AE3,NĐ!AI3)))</f>
        <v>0</v>
      </c>
      <c r="L3">
        <f>SUMPRODUCT((MONTH(CHOOSE({1,2,3,4},NĐ!T3,NĐ!X3,NĐ!AB3,NĐ!AF3))=12)*(CHOOSE({1,2,3,4},NĐ!W3,NĐ!AA3,NĐ!AE3,NĐ!AI3)))</f>
        <v>0</v>
      </c>
    </row>
    <row r="4" spans="1:12">
      <c r="A4">
        <f>SUMPRODUCT((MONTH(CHOOSE({1,2,3,4},NĐ!T4,NĐ!X4,NĐ!AB4,NĐ!AF4))=1)*(CHOOSE({1,2,3,4},NĐ!W4,NĐ!AA4,NĐ!AE4,NĐ!AI4)))</f>
        <v>0</v>
      </c>
      <c r="B4">
        <f>SUMPRODUCT((MONTH(CHOOSE({1,2,3,4},NĐ!T4,NĐ!X4,NĐ!AB4,NĐ!AF4))=2)*(CHOOSE({1,2,3,4},NĐ!W4,NĐ!AA4,NĐ!AE4,NĐ!AI4)))</f>
        <v>0</v>
      </c>
      <c r="C4">
        <f>SUMPRODUCT((MONTH(CHOOSE({1,2,3,4},NĐ!T4,NĐ!X4,NĐ!AB4,NĐ!AF4))=3)*(CHOOSE({1,2,3,4},NĐ!W4,NĐ!AA4,NĐ!AE4,NĐ!AI4)))</f>
        <v>0</v>
      </c>
      <c r="D4">
        <f>SUMPRODUCT((MONTH(CHOOSE({1,2,3,4},NĐ!T4,NĐ!X4,NĐ!AB4,NĐ!AF4))=4)*(CHOOSE({1,2,3,4},NĐ!W4,NĐ!AA4,NĐ!AE4,NĐ!AI4)))</f>
        <v>0</v>
      </c>
      <c r="E4">
        <f>SUMPRODUCT((MONTH(CHOOSE({1,2,3,4},NĐ!T4,NĐ!X4,NĐ!AB4,NĐ!AF4))=5)*(CHOOSE({1,2,3,4},NĐ!W4,NĐ!AA4,NĐ!AE4,NĐ!AI4)))</f>
        <v>0</v>
      </c>
      <c r="F4">
        <f>SUMPRODUCT((MONTH(CHOOSE({1,2,3,4},NĐ!T4,NĐ!X4,NĐ!AB4,NĐ!AF4))=6)*(CHOOSE({1,2,3,4},NĐ!W4,NĐ!AA4,NĐ!AE4,NĐ!AI4)))</f>
        <v>0</v>
      </c>
      <c r="G4">
        <f>SUMPRODUCT((MONTH(CHOOSE({1,2,3,4},NĐ!T4,NĐ!X4,NĐ!AB4,NĐ!AF4))=7)*(CHOOSE({1,2,3,4},NĐ!W4,NĐ!AA4,NĐ!AE4,NĐ!AI4)))</f>
        <v>0</v>
      </c>
      <c r="H4">
        <f>SUMPRODUCT((MONTH(CHOOSE({1,2,3,4},NĐ!T4,NĐ!X4,NĐ!AB4,NĐ!AF4))=8)*(CHOOSE({1,2,3,4},NĐ!W4,NĐ!AA4,NĐ!AE4,NĐ!AI4)))</f>
        <v>0</v>
      </c>
      <c r="I4">
        <f>SUMPRODUCT((MONTH(CHOOSE({1,2,3,4},NĐ!T4,NĐ!X4,NĐ!AB4,NĐ!AF4))=9)*(CHOOSE({1,2,3,4},NĐ!W4,NĐ!AA4,NĐ!AE4,NĐ!AI4)))</f>
        <v>0</v>
      </c>
      <c r="J4">
        <f>SUMPRODUCT((MONTH(CHOOSE({1,2,3,4},NĐ!T4,NĐ!X4,NĐ!AB4,NĐ!AF4))=10)*(CHOOSE({1,2,3,4},NĐ!W4,NĐ!AA4,NĐ!AE4,NĐ!AI4)))</f>
        <v>0</v>
      </c>
      <c r="K4">
        <f>SUMPRODUCT((MONTH(CHOOSE({1,2,3,4},NĐ!T4,NĐ!X4,NĐ!AB4,NĐ!AF4))=11)*(CHOOSE({1,2,3,4},NĐ!W4,NĐ!AA4,NĐ!AE4,NĐ!AI4)))</f>
        <v>0</v>
      </c>
      <c r="L4">
        <f>SUMPRODUCT((MONTH(CHOOSE({1,2,3,4},NĐ!T4,NĐ!X4,NĐ!AB4,NĐ!AF4))=12)*(CHOOSE({1,2,3,4},NĐ!W4,NĐ!AA4,NĐ!AE4,NĐ!AI4)))</f>
        <v>0</v>
      </c>
    </row>
    <row r="5" spans="1:12">
      <c r="A5">
        <f>SUMPRODUCT((MONTH(CHOOSE({1,2,3,4},NĐ!T5,NĐ!X5,NĐ!AB5,NĐ!AF5))=1)*(CHOOSE({1,2,3,4},NĐ!W5,NĐ!AA5,NĐ!AE5,NĐ!AI5)))</f>
        <v>0</v>
      </c>
      <c r="B5">
        <f>SUMPRODUCT((MONTH(CHOOSE({1,2,3,4},NĐ!T5,NĐ!X5,NĐ!AB5,NĐ!AF5))=2)*(CHOOSE({1,2,3,4},NĐ!W5,NĐ!AA5,NĐ!AE5,NĐ!AI5)))</f>
        <v>0</v>
      </c>
      <c r="C5">
        <f>SUMPRODUCT((MONTH(CHOOSE({1,2,3,4},NĐ!T5,NĐ!X5,NĐ!AB5,NĐ!AF5))=3)*(CHOOSE({1,2,3,4},NĐ!W5,NĐ!AA5,NĐ!AE5,NĐ!AI5)))</f>
        <v>0</v>
      </c>
      <c r="D5">
        <f>SUMPRODUCT((MONTH(CHOOSE({1,2,3,4},NĐ!T5,NĐ!X5,NĐ!AB5,NĐ!AF5))=4)*(CHOOSE({1,2,3,4},NĐ!W5,NĐ!AA5,NĐ!AE5,NĐ!AI5)))</f>
        <v>0</v>
      </c>
      <c r="E5">
        <f>SUMPRODUCT((MONTH(CHOOSE({1,2,3,4},NĐ!T5,NĐ!X5,NĐ!AB5,NĐ!AF5))=5)*(CHOOSE({1,2,3,4},NĐ!W5,NĐ!AA5,NĐ!AE5,NĐ!AI5)))</f>
        <v>0</v>
      </c>
      <c r="F5">
        <f>SUMPRODUCT((MONTH(CHOOSE({1,2,3,4},NĐ!T5,NĐ!X5,NĐ!AB5,NĐ!AF5))=6)*(CHOOSE({1,2,3,4},NĐ!W5,NĐ!AA5,NĐ!AE5,NĐ!AI5)))</f>
        <v>0</v>
      </c>
      <c r="G5">
        <f>SUMPRODUCT((MONTH(CHOOSE({1,2,3,4},NĐ!T5,NĐ!X5,NĐ!AB5,NĐ!AF5))=7)*(CHOOSE({1,2,3,4},NĐ!W5,NĐ!AA5,NĐ!AE5,NĐ!AI5)))</f>
        <v>0</v>
      </c>
      <c r="H5">
        <f>SUMPRODUCT((MONTH(CHOOSE({1,2,3,4},NĐ!T5,NĐ!X5,NĐ!AB5,NĐ!AF5))=8)*(CHOOSE({1,2,3,4},NĐ!W5,NĐ!AA5,NĐ!AE5,NĐ!AI5)))</f>
        <v>0</v>
      </c>
      <c r="I5">
        <f>SUMPRODUCT((MONTH(CHOOSE({1,2,3,4},NĐ!T5,NĐ!X5,NĐ!AB5,NĐ!AF5))=9)*(CHOOSE({1,2,3,4},NĐ!W5,NĐ!AA5,NĐ!AE5,NĐ!AI5)))</f>
        <v>0</v>
      </c>
      <c r="J5">
        <f>SUMPRODUCT((MONTH(CHOOSE({1,2,3,4},NĐ!T5,NĐ!X5,NĐ!AB5,NĐ!AF5))=10)*(CHOOSE({1,2,3,4},NĐ!W5,NĐ!AA5,NĐ!AE5,NĐ!AI5)))</f>
        <v>0</v>
      </c>
      <c r="K5">
        <f>SUMPRODUCT((MONTH(CHOOSE({1,2,3,4},NĐ!T5,NĐ!X5,NĐ!AB5,NĐ!AF5))=11)*(CHOOSE({1,2,3,4},NĐ!W5,NĐ!AA5,NĐ!AE5,NĐ!AI5)))</f>
        <v>0</v>
      </c>
      <c r="L5">
        <f>SUMPRODUCT((MONTH(CHOOSE({1,2,3,4},NĐ!T5,NĐ!X5,NĐ!AB5,NĐ!AF5))=12)*(CHOOSE({1,2,3,4},NĐ!W5,NĐ!AA5,NĐ!AE5,NĐ!AI5)))</f>
        <v>0</v>
      </c>
    </row>
    <row r="6" spans="1:12">
      <c r="A6">
        <f>SUMPRODUCT((MONTH(CHOOSE({1,2,3,4},NĐ!T6,NĐ!X6,NĐ!AB6,NĐ!AF6))=1)*(CHOOSE({1,2,3,4},NĐ!W6,NĐ!AA6,NĐ!AE6,NĐ!AI6)))</f>
        <v>0</v>
      </c>
      <c r="B6">
        <f>SUMPRODUCT((MONTH(CHOOSE({1,2,3,4},NĐ!T6,NĐ!X6,NĐ!AB6,NĐ!AF6))=2)*(CHOOSE({1,2,3,4},NĐ!W6,NĐ!AA6,NĐ!AE6,NĐ!AI6)))</f>
        <v>0</v>
      </c>
      <c r="C6">
        <f>SUMPRODUCT((MONTH(CHOOSE({1,2,3,4},NĐ!T6,NĐ!X6,NĐ!AB6,NĐ!AF6))=3)*(CHOOSE({1,2,3,4},NĐ!W6,NĐ!AA6,NĐ!AE6,NĐ!AI6)))</f>
        <v>0</v>
      </c>
      <c r="D6">
        <f>SUMPRODUCT((MONTH(CHOOSE({1,2,3,4},NĐ!T6,NĐ!X6,NĐ!AB6,NĐ!AF6))=4)*(CHOOSE({1,2,3,4},NĐ!W6,NĐ!AA6,NĐ!AE6,NĐ!AI6)))</f>
        <v>0</v>
      </c>
      <c r="E6">
        <f>SUMPRODUCT((MONTH(CHOOSE({1,2,3,4},NĐ!T6,NĐ!X6,NĐ!AB6,NĐ!AF6))=5)*(CHOOSE({1,2,3,4},NĐ!W6,NĐ!AA6,NĐ!AE6,NĐ!AI6)))</f>
        <v>0</v>
      </c>
      <c r="F6">
        <f>SUMPRODUCT((MONTH(CHOOSE({1,2,3,4},NĐ!T6,NĐ!X6,NĐ!AB6,NĐ!AF6))=6)*(CHOOSE({1,2,3,4},NĐ!W6,NĐ!AA6,NĐ!AE6,NĐ!AI6)))</f>
        <v>0</v>
      </c>
      <c r="G6">
        <f>SUMPRODUCT((MONTH(CHOOSE({1,2,3,4},NĐ!T6,NĐ!X6,NĐ!AB6,NĐ!AF6))=7)*(CHOOSE({1,2,3,4},NĐ!W6,NĐ!AA6,NĐ!AE6,NĐ!AI6)))</f>
        <v>0</v>
      </c>
      <c r="H6">
        <f>SUMPRODUCT((MONTH(CHOOSE({1,2,3,4},NĐ!T6,NĐ!X6,NĐ!AB6,NĐ!AF6))=8)*(CHOOSE({1,2,3,4},NĐ!W6,NĐ!AA6,NĐ!AE6,NĐ!AI6)))</f>
        <v>0</v>
      </c>
      <c r="I6">
        <f>SUMPRODUCT((MONTH(CHOOSE({1,2,3,4},NĐ!T6,NĐ!X6,NĐ!AB6,NĐ!AF6))=9)*(CHOOSE({1,2,3,4},NĐ!W6,NĐ!AA6,NĐ!AE6,NĐ!AI6)))</f>
        <v>0</v>
      </c>
      <c r="J6">
        <f>SUMPRODUCT((MONTH(CHOOSE({1,2,3,4},NĐ!T6,NĐ!X6,NĐ!AB6,NĐ!AF6))=10)*(CHOOSE({1,2,3,4},NĐ!W6,NĐ!AA6,NĐ!AE6,NĐ!AI6)))</f>
        <v>0</v>
      </c>
      <c r="K6">
        <f>SUMPRODUCT((MONTH(CHOOSE({1,2,3,4},NĐ!T6,NĐ!X6,NĐ!AB6,NĐ!AF6))=11)*(CHOOSE({1,2,3,4},NĐ!W6,NĐ!AA6,NĐ!AE6,NĐ!AI6)))</f>
        <v>0</v>
      </c>
      <c r="L6">
        <f>SUMPRODUCT((MONTH(CHOOSE({1,2,3,4},NĐ!T6,NĐ!X6,NĐ!AB6,NĐ!AF6))=12)*(CHOOSE({1,2,3,4},NĐ!W6,NĐ!AA6,NĐ!AE6,NĐ!AI6)))</f>
        <v>0</v>
      </c>
    </row>
    <row r="7" spans="1:12">
      <c r="A7">
        <f>SUMPRODUCT((MONTH(CHOOSE({1,2,3,4},NĐ!T7,NĐ!X7,NĐ!AB7,NĐ!AF7))=1)*(CHOOSE({1,2,3,4},NĐ!W7,NĐ!AA7,NĐ!AE7,NĐ!AI7)))</f>
        <v>0</v>
      </c>
      <c r="B7">
        <f>SUMPRODUCT((MONTH(CHOOSE({1,2,3,4},NĐ!T7,NĐ!X7,NĐ!AB7,NĐ!AF7))=2)*(CHOOSE({1,2,3,4},NĐ!W7,NĐ!AA7,NĐ!AE7,NĐ!AI7)))</f>
        <v>0</v>
      </c>
      <c r="C7">
        <f>SUMPRODUCT((MONTH(CHOOSE({1,2,3,4},NĐ!T7,NĐ!X7,NĐ!AB7,NĐ!AF7))=3)*(CHOOSE({1,2,3,4},NĐ!W7,NĐ!AA7,NĐ!AE7,NĐ!AI7)))</f>
        <v>0</v>
      </c>
      <c r="D7">
        <f>SUMPRODUCT((MONTH(CHOOSE({1,2,3,4},NĐ!T7,NĐ!X7,NĐ!AB7,NĐ!AF7))=4)*(CHOOSE({1,2,3,4},NĐ!W7,NĐ!AA7,NĐ!AE7,NĐ!AI7)))</f>
        <v>0</v>
      </c>
      <c r="E7">
        <f>SUMPRODUCT((MONTH(CHOOSE({1,2,3,4},NĐ!T7,NĐ!X7,NĐ!AB7,NĐ!AF7))=5)*(CHOOSE({1,2,3,4},NĐ!W7,NĐ!AA7,NĐ!AE7,NĐ!AI7)))</f>
        <v>0</v>
      </c>
      <c r="F7">
        <f>SUMPRODUCT((MONTH(CHOOSE({1,2,3,4},NĐ!T7,NĐ!X7,NĐ!AB7,NĐ!AF7))=6)*(CHOOSE({1,2,3,4},NĐ!W7,NĐ!AA7,NĐ!AE7,NĐ!AI7)))</f>
        <v>0</v>
      </c>
      <c r="G7">
        <f>SUMPRODUCT((MONTH(CHOOSE({1,2,3,4},NĐ!T7,NĐ!X7,NĐ!AB7,NĐ!AF7))=7)*(CHOOSE({1,2,3,4},NĐ!W7,NĐ!AA7,NĐ!AE7,NĐ!AI7)))</f>
        <v>0</v>
      </c>
      <c r="H7">
        <f>SUMPRODUCT((MONTH(CHOOSE({1,2,3,4},NĐ!T7,NĐ!X7,NĐ!AB7,NĐ!AF7))=8)*(CHOOSE({1,2,3,4},NĐ!W7,NĐ!AA7,NĐ!AE7,NĐ!AI7)))</f>
        <v>0</v>
      </c>
      <c r="I7">
        <f>SUMPRODUCT((MONTH(CHOOSE({1,2,3,4},NĐ!T7,NĐ!X7,NĐ!AB7,NĐ!AF7))=9)*(CHOOSE({1,2,3,4},NĐ!W7,NĐ!AA7,NĐ!AE7,NĐ!AI7)))</f>
        <v>0</v>
      </c>
      <c r="J7">
        <f>SUMPRODUCT((MONTH(CHOOSE({1,2,3,4},NĐ!T7,NĐ!X7,NĐ!AB7,NĐ!AF7))=10)*(CHOOSE({1,2,3,4},NĐ!W7,NĐ!AA7,NĐ!AE7,NĐ!AI7)))</f>
        <v>0</v>
      </c>
      <c r="K7">
        <f>SUMPRODUCT((MONTH(CHOOSE({1,2,3,4},NĐ!T7,NĐ!X7,NĐ!AB7,NĐ!AF7))=11)*(CHOOSE({1,2,3,4},NĐ!W7,NĐ!AA7,NĐ!AE7,NĐ!AI7)))</f>
        <v>0</v>
      </c>
      <c r="L7">
        <f>SUMPRODUCT((MONTH(CHOOSE({1,2,3,4},NĐ!T7,NĐ!X7,NĐ!AB7,NĐ!AF7))=12)*(CHOOSE({1,2,3,4},NĐ!W7,NĐ!AA7,NĐ!AE7,NĐ!AI7)))</f>
        <v>0</v>
      </c>
    </row>
    <row r="8" spans="1:12">
      <c r="A8">
        <f>SUMPRODUCT((MONTH(CHOOSE({1,2,3,4},NĐ!T8,NĐ!X8,NĐ!AB8,NĐ!AF8))=1)*(CHOOSE({1,2,3,4},NĐ!W8,NĐ!AA8,NĐ!AE8,NĐ!AI8)))</f>
        <v>0</v>
      </c>
      <c r="B8">
        <f>SUMPRODUCT((MONTH(CHOOSE({1,2,3,4},NĐ!T8,NĐ!X8,NĐ!AB8,NĐ!AF8))=2)*(CHOOSE({1,2,3,4},NĐ!W8,NĐ!AA8,NĐ!AE8,NĐ!AI8)))</f>
        <v>0</v>
      </c>
      <c r="C8">
        <f>SUMPRODUCT((MONTH(CHOOSE({1,2,3,4},NĐ!T8,NĐ!X8,NĐ!AB8,NĐ!AF8))=3)*(CHOOSE({1,2,3,4},NĐ!W8,NĐ!AA8,NĐ!AE8,NĐ!AI8)))</f>
        <v>0</v>
      </c>
      <c r="D8">
        <f>SUMPRODUCT((MONTH(CHOOSE({1,2,3,4},NĐ!T8,NĐ!X8,NĐ!AB8,NĐ!AF8))=4)*(CHOOSE({1,2,3,4},NĐ!W8,NĐ!AA8,NĐ!AE8,NĐ!AI8)))</f>
        <v>0</v>
      </c>
      <c r="E8">
        <f>SUMPRODUCT((MONTH(CHOOSE({1,2,3,4},NĐ!T8,NĐ!X8,NĐ!AB8,NĐ!AF8))=5)*(CHOOSE({1,2,3,4},NĐ!W8,NĐ!AA8,NĐ!AE8,NĐ!AI8)))</f>
        <v>0</v>
      </c>
      <c r="F8">
        <f>SUMPRODUCT((MONTH(CHOOSE({1,2,3,4},NĐ!T8,NĐ!X8,NĐ!AB8,NĐ!AF8))=6)*(CHOOSE({1,2,3,4},NĐ!W8,NĐ!AA8,NĐ!AE8,NĐ!AI8)))</f>
        <v>0</v>
      </c>
      <c r="G8">
        <f>SUMPRODUCT((MONTH(CHOOSE({1,2,3,4},NĐ!T8,NĐ!X8,NĐ!AB8,NĐ!AF8))=7)*(CHOOSE({1,2,3,4},NĐ!W8,NĐ!AA8,NĐ!AE8,NĐ!AI8)))</f>
        <v>0</v>
      </c>
      <c r="H8">
        <f>SUMPRODUCT((MONTH(CHOOSE({1,2,3,4},NĐ!T8,NĐ!X8,NĐ!AB8,NĐ!AF8))=8)*(CHOOSE({1,2,3,4},NĐ!W8,NĐ!AA8,NĐ!AE8,NĐ!AI8)))</f>
        <v>0</v>
      </c>
      <c r="I8">
        <f>SUMPRODUCT((MONTH(CHOOSE({1,2,3,4},NĐ!T8,NĐ!X8,NĐ!AB8,NĐ!AF8))=9)*(CHOOSE({1,2,3,4},NĐ!W8,NĐ!AA8,NĐ!AE8,NĐ!AI8)))</f>
        <v>0</v>
      </c>
      <c r="J8">
        <f>SUMPRODUCT((MONTH(CHOOSE({1,2,3,4},NĐ!T8,NĐ!X8,NĐ!AB8,NĐ!AF8))=10)*(CHOOSE({1,2,3,4},NĐ!W8,NĐ!AA8,NĐ!AE8,NĐ!AI8)))</f>
        <v>0</v>
      </c>
      <c r="K8">
        <f>SUMPRODUCT((MONTH(CHOOSE({1,2,3,4},NĐ!T8,NĐ!X8,NĐ!AB8,NĐ!AF8))=11)*(CHOOSE({1,2,3,4},NĐ!W8,NĐ!AA8,NĐ!AE8,NĐ!AI8)))</f>
        <v>0</v>
      </c>
      <c r="L8">
        <f>SUMPRODUCT((MONTH(CHOOSE({1,2,3,4},NĐ!T8,NĐ!X8,NĐ!AB8,NĐ!AF8))=12)*(CHOOSE({1,2,3,4},NĐ!W8,NĐ!AA8,NĐ!AE8,NĐ!AI8)))</f>
        <v>0</v>
      </c>
    </row>
    <row r="9" spans="1:12">
      <c r="A9">
        <f>SUMPRODUCT((MONTH(CHOOSE({1,2,3,4},NĐ!T9,NĐ!X9,NĐ!AB9,NĐ!AF9))=1)*(CHOOSE({1,2,3,4},NĐ!W9,NĐ!AA9,NĐ!AE9,NĐ!AI9)))</f>
        <v>0</v>
      </c>
      <c r="B9">
        <f>SUMPRODUCT((MONTH(CHOOSE({1,2,3,4},NĐ!T9,NĐ!X9,NĐ!AB9,NĐ!AF9))=2)*(CHOOSE({1,2,3,4},NĐ!W9,NĐ!AA9,NĐ!AE9,NĐ!AI9)))</f>
        <v>0</v>
      </c>
      <c r="C9">
        <f>SUMPRODUCT((MONTH(CHOOSE({1,2,3,4},NĐ!T9,NĐ!X9,NĐ!AB9,NĐ!AF9))=3)*(CHOOSE({1,2,3,4},NĐ!W9,NĐ!AA9,NĐ!AE9,NĐ!AI9)))</f>
        <v>0</v>
      </c>
      <c r="D9">
        <f>SUMPRODUCT((MONTH(CHOOSE({1,2,3,4},NĐ!T9,NĐ!X9,NĐ!AB9,NĐ!AF9))=4)*(CHOOSE({1,2,3,4},NĐ!W9,NĐ!AA9,NĐ!AE9,NĐ!AI9)))</f>
        <v>0</v>
      </c>
      <c r="E9">
        <f>SUMPRODUCT((MONTH(CHOOSE({1,2,3,4},NĐ!T9,NĐ!X9,NĐ!AB9,NĐ!AF9))=5)*(CHOOSE({1,2,3,4},NĐ!W9,NĐ!AA9,NĐ!AE9,NĐ!AI9)))</f>
        <v>0</v>
      </c>
      <c r="F9">
        <f>SUMPRODUCT((MONTH(CHOOSE({1,2,3,4},NĐ!T9,NĐ!X9,NĐ!AB9,NĐ!AF9))=6)*(CHOOSE({1,2,3,4},NĐ!W9,NĐ!AA9,NĐ!AE9,NĐ!AI9)))</f>
        <v>0</v>
      </c>
      <c r="G9">
        <f>SUMPRODUCT((MONTH(CHOOSE({1,2,3,4},NĐ!T9,NĐ!X9,NĐ!AB9,NĐ!AF9))=7)*(CHOOSE({1,2,3,4},NĐ!W9,NĐ!AA9,NĐ!AE9,NĐ!AI9)))</f>
        <v>0</v>
      </c>
      <c r="H9">
        <f>SUMPRODUCT((MONTH(CHOOSE({1,2,3,4},NĐ!T9,NĐ!X9,NĐ!AB9,NĐ!AF9))=8)*(CHOOSE({1,2,3,4},NĐ!W9,NĐ!AA9,NĐ!AE9,NĐ!AI9)))</f>
        <v>0</v>
      </c>
      <c r="I9">
        <f>SUMPRODUCT((MONTH(CHOOSE({1,2,3,4},NĐ!T9,NĐ!X9,NĐ!AB9,NĐ!AF9))=9)*(CHOOSE({1,2,3,4},NĐ!W9,NĐ!AA9,NĐ!AE9,NĐ!AI9)))</f>
        <v>0</v>
      </c>
      <c r="J9">
        <f>SUMPRODUCT((MONTH(CHOOSE({1,2,3,4},NĐ!T9,NĐ!X9,NĐ!AB9,NĐ!AF9))=10)*(CHOOSE({1,2,3,4},NĐ!W9,NĐ!AA9,NĐ!AE9,NĐ!AI9)))</f>
        <v>0</v>
      </c>
      <c r="K9">
        <f>SUMPRODUCT((MONTH(CHOOSE({1,2,3,4},NĐ!T9,NĐ!X9,NĐ!AB9,NĐ!AF9))=11)*(CHOOSE({1,2,3,4},NĐ!W9,NĐ!AA9,NĐ!AE9,NĐ!AI9)))</f>
        <v>0</v>
      </c>
      <c r="L9">
        <f>SUMPRODUCT((MONTH(CHOOSE({1,2,3,4},NĐ!T9,NĐ!X9,NĐ!AB9,NĐ!AF9))=12)*(CHOOSE({1,2,3,4},NĐ!W9,NĐ!AA9,NĐ!AE9,NĐ!AI9)))</f>
        <v>0</v>
      </c>
    </row>
    <row r="10" spans="1:12">
      <c r="A10">
        <f>SUMPRODUCT((MONTH(CHOOSE({1,2,3,4},NĐ!T10,NĐ!X10,NĐ!AB10,NĐ!AF10))=1)*(CHOOSE({1,2,3,4},NĐ!W10,NĐ!AA10,NĐ!AE10,NĐ!AI10)))</f>
        <v>0</v>
      </c>
      <c r="B10">
        <f>SUMPRODUCT((MONTH(CHOOSE({1,2,3,4},NĐ!T10,NĐ!X10,NĐ!AB10,NĐ!AF10))=2)*(CHOOSE({1,2,3,4},NĐ!W10,NĐ!AA10,NĐ!AE10,NĐ!AI10)))</f>
        <v>0</v>
      </c>
      <c r="C10">
        <f>SUMPRODUCT((MONTH(CHOOSE({1,2,3,4},NĐ!T10,NĐ!X10,NĐ!AB10,NĐ!AF10))=3)*(CHOOSE({1,2,3,4},NĐ!W10,NĐ!AA10,NĐ!AE10,NĐ!AI10)))</f>
        <v>0</v>
      </c>
      <c r="D10">
        <f>SUMPRODUCT((MONTH(CHOOSE({1,2,3,4},NĐ!T10,NĐ!X10,NĐ!AB10,NĐ!AF10))=4)*(CHOOSE({1,2,3,4},NĐ!W10,NĐ!AA10,NĐ!AE10,NĐ!AI10)))</f>
        <v>0</v>
      </c>
      <c r="E10">
        <f>SUMPRODUCT((MONTH(CHOOSE({1,2,3,4},NĐ!T10,NĐ!X10,NĐ!AB10,NĐ!AF10))=5)*(CHOOSE({1,2,3,4},NĐ!W10,NĐ!AA10,NĐ!AE10,NĐ!AI10)))</f>
        <v>0</v>
      </c>
      <c r="F10">
        <f>SUMPRODUCT((MONTH(CHOOSE({1,2,3,4},NĐ!T10,NĐ!X10,NĐ!AB10,NĐ!AF10))=6)*(CHOOSE({1,2,3,4},NĐ!W10,NĐ!AA10,NĐ!AE10,NĐ!AI10)))</f>
        <v>0</v>
      </c>
      <c r="G10">
        <f>SUMPRODUCT((MONTH(CHOOSE({1,2,3,4},NĐ!T10,NĐ!X10,NĐ!AB10,NĐ!AF10))=7)*(CHOOSE({1,2,3,4},NĐ!W10,NĐ!AA10,NĐ!AE10,NĐ!AI10)))</f>
        <v>0</v>
      </c>
      <c r="H10">
        <f>SUMPRODUCT((MONTH(CHOOSE({1,2,3,4},NĐ!T10,NĐ!X10,NĐ!AB10,NĐ!AF10))=8)*(CHOOSE({1,2,3,4},NĐ!W10,NĐ!AA10,NĐ!AE10,NĐ!AI10)))</f>
        <v>0</v>
      </c>
      <c r="I10">
        <f>SUMPRODUCT((MONTH(CHOOSE({1,2,3,4},NĐ!T10,NĐ!X10,NĐ!AB10,NĐ!AF10))=9)*(CHOOSE({1,2,3,4},NĐ!W10,NĐ!AA10,NĐ!AE10,NĐ!AI10)))</f>
        <v>0</v>
      </c>
      <c r="J10">
        <f>SUMPRODUCT((MONTH(CHOOSE({1,2,3,4},NĐ!T10,NĐ!X10,NĐ!AB10,NĐ!AF10))=10)*(CHOOSE({1,2,3,4},NĐ!W10,NĐ!AA10,NĐ!AE10,NĐ!AI10)))</f>
        <v>0</v>
      </c>
      <c r="K10">
        <f>SUMPRODUCT((MONTH(CHOOSE({1,2,3,4},NĐ!T10,NĐ!X10,NĐ!AB10,NĐ!AF10))=11)*(CHOOSE({1,2,3,4},NĐ!W10,NĐ!AA10,NĐ!AE10,NĐ!AI10)))</f>
        <v>0</v>
      </c>
      <c r="L10">
        <f>SUMPRODUCT((MONTH(CHOOSE({1,2,3,4},NĐ!T10,NĐ!X10,NĐ!AB10,NĐ!AF10))=12)*(CHOOSE({1,2,3,4},NĐ!W10,NĐ!AA10,NĐ!AE10,NĐ!AI10)))</f>
        <v>0</v>
      </c>
    </row>
    <row r="11" spans="1:12">
      <c r="A11">
        <f>SUMPRODUCT((MONTH(CHOOSE({1,2,3,4},NĐ!T11,NĐ!X11,NĐ!AB11,NĐ!AF11))=1)*(CHOOSE({1,2,3,4},NĐ!W11,NĐ!AA11,NĐ!AE11,NĐ!AI11)))</f>
        <v>0</v>
      </c>
      <c r="B11">
        <f>SUMPRODUCT((MONTH(CHOOSE({1,2,3,4},NĐ!T11,NĐ!X11,NĐ!AB11,NĐ!AF11))=2)*(CHOOSE({1,2,3,4},NĐ!W11,NĐ!AA11,NĐ!AE11,NĐ!AI11)))</f>
        <v>0</v>
      </c>
      <c r="C11">
        <f>SUMPRODUCT((MONTH(CHOOSE({1,2,3,4},NĐ!T11,NĐ!X11,NĐ!AB11,NĐ!AF11))=3)*(CHOOSE({1,2,3,4},NĐ!W11,NĐ!AA11,NĐ!AE11,NĐ!AI11)))</f>
        <v>0</v>
      </c>
      <c r="D11">
        <f>SUMPRODUCT((MONTH(CHOOSE({1,2,3,4},NĐ!T11,NĐ!X11,NĐ!AB11,NĐ!AF11))=4)*(CHOOSE({1,2,3,4},NĐ!W11,NĐ!AA11,NĐ!AE11,NĐ!AI11)))</f>
        <v>0</v>
      </c>
      <c r="E11">
        <f>SUMPRODUCT((MONTH(CHOOSE({1,2,3,4},NĐ!T11,NĐ!X11,NĐ!AB11,NĐ!AF11))=5)*(CHOOSE({1,2,3,4},NĐ!W11,NĐ!AA11,NĐ!AE11,NĐ!AI11)))</f>
        <v>0</v>
      </c>
      <c r="F11">
        <f>SUMPRODUCT((MONTH(CHOOSE({1,2,3,4},NĐ!T11,NĐ!X11,NĐ!AB11,NĐ!AF11))=6)*(CHOOSE({1,2,3,4},NĐ!W11,NĐ!AA11,NĐ!AE11,NĐ!AI11)))</f>
        <v>0</v>
      </c>
      <c r="G11">
        <f>SUMPRODUCT((MONTH(CHOOSE({1,2,3,4},NĐ!T11,NĐ!X11,NĐ!AB11,NĐ!AF11))=7)*(CHOOSE({1,2,3,4},NĐ!W11,NĐ!AA11,NĐ!AE11,NĐ!AI11)))</f>
        <v>0</v>
      </c>
      <c r="H11">
        <f>SUMPRODUCT((MONTH(CHOOSE({1,2,3,4},NĐ!T11,NĐ!X11,NĐ!AB11,NĐ!AF11))=8)*(CHOOSE({1,2,3,4},NĐ!W11,NĐ!AA11,NĐ!AE11,NĐ!AI11)))</f>
        <v>0</v>
      </c>
      <c r="I11">
        <f>SUMPRODUCT((MONTH(CHOOSE({1,2,3,4},NĐ!T11,NĐ!X11,NĐ!AB11,NĐ!AF11))=9)*(CHOOSE({1,2,3,4},NĐ!W11,NĐ!AA11,NĐ!AE11,NĐ!AI11)))</f>
        <v>0</v>
      </c>
      <c r="J11">
        <f>SUMPRODUCT((MONTH(CHOOSE({1,2,3,4},NĐ!T11,NĐ!X11,NĐ!AB11,NĐ!AF11))=10)*(CHOOSE({1,2,3,4},NĐ!W11,NĐ!AA11,NĐ!AE11,NĐ!AI11)))</f>
        <v>0</v>
      </c>
      <c r="K11">
        <f>SUMPRODUCT((MONTH(CHOOSE({1,2,3,4},NĐ!T11,NĐ!X11,NĐ!AB11,NĐ!AF11))=11)*(CHOOSE({1,2,3,4},NĐ!W11,NĐ!AA11,NĐ!AE11,NĐ!AI11)))</f>
        <v>0</v>
      </c>
      <c r="L11">
        <f>SUMPRODUCT((MONTH(CHOOSE({1,2,3,4},NĐ!T11,NĐ!X11,NĐ!AB11,NĐ!AF11))=12)*(CHOOSE({1,2,3,4},NĐ!W11,NĐ!AA11,NĐ!AE11,NĐ!AI11)))</f>
        <v>0</v>
      </c>
    </row>
    <row r="12" spans="1:12">
      <c r="A12">
        <f>SUMPRODUCT((MONTH(CHOOSE({1,2,3,4},NĐ!T12,NĐ!X12,NĐ!AB12,NĐ!AF12))=1)*(CHOOSE({1,2,3,4},NĐ!W12,NĐ!AA12,NĐ!AE12,NĐ!AI12)))</f>
        <v>0</v>
      </c>
      <c r="B12">
        <f>SUMPRODUCT((MONTH(CHOOSE({1,2,3,4},NĐ!T12,NĐ!X12,NĐ!AB12,NĐ!AF12))=2)*(CHOOSE({1,2,3,4},NĐ!W12,NĐ!AA12,NĐ!AE12,NĐ!AI12)))</f>
        <v>0</v>
      </c>
      <c r="C12">
        <f>SUMPRODUCT((MONTH(CHOOSE({1,2,3,4},NĐ!T12,NĐ!X12,NĐ!AB12,NĐ!AF12))=3)*(CHOOSE({1,2,3,4},NĐ!W12,NĐ!AA12,NĐ!AE12,NĐ!AI12)))</f>
        <v>0</v>
      </c>
      <c r="D12">
        <f>SUMPRODUCT((MONTH(CHOOSE({1,2,3,4},NĐ!T12,NĐ!X12,NĐ!AB12,NĐ!AF12))=4)*(CHOOSE({1,2,3,4},NĐ!W12,NĐ!AA12,NĐ!AE12,NĐ!AI12)))</f>
        <v>0</v>
      </c>
      <c r="E12">
        <f>SUMPRODUCT((MONTH(CHOOSE({1,2,3,4},NĐ!T12,NĐ!X12,NĐ!AB12,NĐ!AF12))=5)*(CHOOSE({1,2,3,4},NĐ!W12,NĐ!AA12,NĐ!AE12,NĐ!AI12)))</f>
        <v>0</v>
      </c>
      <c r="F12">
        <f>SUMPRODUCT((MONTH(CHOOSE({1,2,3,4},NĐ!T12,NĐ!X12,NĐ!AB12,NĐ!AF12))=6)*(CHOOSE({1,2,3,4},NĐ!W12,NĐ!AA12,NĐ!AE12,NĐ!AI12)))</f>
        <v>0</v>
      </c>
      <c r="G12">
        <f>SUMPRODUCT((MONTH(CHOOSE({1,2,3,4},NĐ!T12,NĐ!X12,NĐ!AB12,NĐ!AF12))=7)*(CHOOSE({1,2,3,4},NĐ!W12,NĐ!AA12,NĐ!AE12,NĐ!AI12)))</f>
        <v>0</v>
      </c>
      <c r="H12">
        <f>SUMPRODUCT((MONTH(CHOOSE({1,2,3,4},NĐ!T12,NĐ!X12,NĐ!AB12,NĐ!AF12))=8)*(CHOOSE({1,2,3,4},NĐ!W12,NĐ!AA12,NĐ!AE12,NĐ!AI12)))</f>
        <v>0</v>
      </c>
      <c r="I12">
        <f>SUMPRODUCT((MONTH(CHOOSE({1,2,3,4},NĐ!T12,NĐ!X12,NĐ!AB12,NĐ!AF12))=9)*(CHOOSE({1,2,3,4},NĐ!W12,NĐ!AA12,NĐ!AE12,NĐ!AI12)))</f>
        <v>0</v>
      </c>
      <c r="J12">
        <f>SUMPRODUCT((MONTH(CHOOSE({1,2,3,4},NĐ!T12,NĐ!X12,NĐ!AB12,NĐ!AF12))=10)*(CHOOSE({1,2,3,4},NĐ!W12,NĐ!AA12,NĐ!AE12,NĐ!AI12)))</f>
        <v>0</v>
      </c>
      <c r="K12">
        <f>SUMPRODUCT((MONTH(CHOOSE({1,2,3,4},NĐ!T12,NĐ!X12,NĐ!AB12,NĐ!AF12))=11)*(CHOOSE({1,2,3,4},NĐ!W12,NĐ!AA12,NĐ!AE12,NĐ!AI12)))</f>
        <v>0</v>
      </c>
      <c r="L12">
        <f>SUMPRODUCT((MONTH(CHOOSE({1,2,3,4},NĐ!T12,NĐ!X12,NĐ!AB12,NĐ!AF12))=12)*(CHOOSE({1,2,3,4},NĐ!W12,NĐ!AA12,NĐ!AE12,NĐ!AI12)))</f>
        <v>0</v>
      </c>
    </row>
    <row r="13" spans="1:12">
      <c r="A13">
        <f>SUMPRODUCT((MONTH(CHOOSE({1,2,3,4},NĐ!T13,NĐ!X13,NĐ!AB13,NĐ!AF13))=1)*(CHOOSE({1,2,3,4},NĐ!W13,NĐ!AA13,NĐ!AE13,NĐ!AI13)))</f>
        <v>0</v>
      </c>
      <c r="B13">
        <f>SUMPRODUCT((MONTH(CHOOSE({1,2,3,4},NĐ!T13,NĐ!X13,NĐ!AB13,NĐ!AF13))=2)*(CHOOSE({1,2,3,4},NĐ!W13,NĐ!AA13,NĐ!AE13,NĐ!AI13)))</f>
        <v>0</v>
      </c>
      <c r="C13">
        <f>SUMPRODUCT((MONTH(CHOOSE({1,2,3,4},NĐ!T13,NĐ!X13,NĐ!AB13,NĐ!AF13))=3)*(CHOOSE({1,2,3,4},NĐ!W13,NĐ!AA13,NĐ!AE13,NĐ!AI13)))</f>
        <v>0</v>
      </c>
      <c r="D13">
        <f>SUMPRODUCT((MONTH(CHOOSE({1,2,3,4},NĐ!T13,NĐ!X13,NĐ!AB13,NĐ!AF13))=4)*(CHOOSE({1,2,3,4},NĐ!W13,NĐ!AA13,NĐ!AE13,NĐ!AI13)))</f>
        <v>0</v>
      </c>
      <c r="E13">
        <f>SUMPRODUCT((MONTH(CHOOSE({1,2,3,4},NĐ!T13,NĐ!X13,NĐ!AB13,NĐ!AF13))=5)*(CHOOSE({1,2,3,4},NĐ!W13,NĐ!AA13,NĐ!AE13,NĐ!AI13)))</f>
        <v>0</v>
      </c>
      <c r="F13">
        <f>SUMPRODUCT((MONTH(CHOOSE({1,2,3,4},NĐ!T13,NĐ!X13,NĐ!AB13,NĐ!AF13))=6)*(CHOOSE({1,2,3,4},NĐ!W13,NĐ!AA13,NĐ!AE13,NĐ!AI13)))</f>
        <v>0</v>
      </c>
      <c r="G13">
        <f>SUMPRODUCT((MONTH(CHOOSE({1,2,3,4},NĐ!T13,NĐ!X13,NĐ!AB13,NĐ!AF13))=7)*(CHOOSE({1,2,3,4},NĐ!W13,NĐ!AA13,NĐ!AE13,NĐ!AI13)))</f>
        <v>0</v>
      </c>
      <c r="H13">
        <f>SUMPRODUCT((MONTH(CHOOSE({1,2,3,4},NĐ!T13,NĐ!X13,NĐ!AB13,NĐ!AF13))=8)*(CHOOSE({1,2,3,4},NĐ!W13,NĐ!AA13,NĐ!AE13,NĐ!AI13)))</f>
        <v>0</v>
      </c>
      <c r="I13">
        <f>SUMPRODUCT((MONTH(CHOOSE({1,2,3,4},NĐ!T13,NĐ!X13,NĐ!AB13,NĐ!AF13))=9)*(CHOOSE({1,2,3,4},NĐ!W13,NĐ!AA13,NĐ!AE13,NĐ!AI13)))</f>
        <v>0</v>
      </c>
      <c r="J13">
        <f>SUMPRODUCT((MONTH(CHOOSE({1,2,3,4},NĐ!T13,NĐ!X13,NĐ!AB13,NĐ!AF13))=10)*(CHOOSE({1,2,3,4},NĐ!W13,NĐ!AA13,NĐ!AE13,NĐ!AI13)))</f>
        <v>0</v>
      </c>
      <c r="K13">
        <f>SUMPRODUCT((MONTH(CHOOSE({1,2,3,4},NĐ!T13,NĐ!X13,NĐ!AB13,NĐ!AF13))=11)*(CHOOSE({1,2,3,4},NĐ!W13,NĐ!AA13,NĐ!AE13,NĐ!AI13)))</f>
        <v>0</v>
      </c>
      <c r="L13">
        <f>SUMPRODUCT((MONTH(CHOOSE({1,2,3,4},NĐ!T13,NĐ!X13,NĐ!AB13,NĐ!AF13))=12)*(CHOOSE({1,2,3,4},NĐ!W13,NĐ!AA13,NĐ!AE13,NĐ!AI13)))</f>
        <v>0</v>
      </c>
    </row>
    <row r="14" spans="1:12">
      <c r="A14">
        <f>SUMPRODUCT((MONTH(CHOOSE({1,2,3,4},NĐ!T14,NĐ!X14,NĐ!AB14,NĐ!AF14))=1)*(CHOOSE({1,2,3,4},NĐ!W14,NĐ!AA14,NĐ!AE14,NĐ!AI14)))</f>
        <v>0</v>
      </c>
      <c r="B14">
        <f>SUMPRODUCT((MONTH(CHOOSE({1,2,3,4},NĐ!T14,NĐ!X14,NĐ!AB14,NĐ!AF14))=2)*(CHOOSE({1,2,3,4},NĐ!W14,NĐ!AA14,NĐ!AE14,NĐ!AI14)))</f>
        <v>0</v>
      </c>
      <c r="C14">
        <f>SUMPRODUCT((MONTH(CHOOSE({1,2,3,4},NĐ!T14,NĐ!X14,NĐ!AB14,NĐ!AF14))=3)*(CHOOSE({1,2,3,4},NĐ!W14,NĐ!AA14,NĐ!AE14,NĐ!AI14)))</f>
        <v>0</v>
      </c>
      <c r="D14">
        <f>SUMPRODUCT((MONTH(CHOOSE({1,2,3,4},NĐ!T14,NĐ!X14,NĐ!AB14,NĐ!AF14))=4)*(CHOOSE({1,2,3,4},NĐ!W14,NĐ!AA14,NĐ!AE14,NĐ!AI14)))</f>
        <v>0</v>
      </c>
      <c r="E14">
        <f>SUMPRODUCT((MONTH(CHOOSE({1,2,3,4},NĐ!T14,NĐ!X14,NĐ!AB14,NĐ!AF14))=5)*(CHOOSE({1,2,3,4},NĐ!W14,NĐ!AA14,NĐ!AE14,NĐ!AI14)))</f>
        <v>0</v>
      </c>
      <c r="F14">
        <f>SUMPRODUCT((MONTH(CHOOSE({1,2,3,4},NĐ!T14,NĐ!X14,NĐ!AB14,NĐ!AF14))=6)*(CHOOSE({1,2,3,4},NĐ!W14,NĐ!AA14,NĐ!AE14,NĐ!AI14)))</f>
        <v>0</v>
      </c>
      <c r="G14">
        <f>SUMPRODUCT((MONTH(CHOOSE({1,2,3,4},NĐ!T14,NĐ!X14,NĐ!AB14,NĐ!AF14))=7)*(CHOOSE({1,2,3,4},NĐ!W14,NĐ!AA14,NĐ!AE14,NĐ!AI14)))</f>
        <v>0</v>
      </c>
      <c r="H14">
        <f>SUMPRODUCT((MONTH(CHOOSE({1,2,3,4},NĐ!T14,NĐ!X14,NĐ!AB14,NĐ!AF14))=8)*(CHOOSE({1,2,3,4},NĐ!W14,NĐ!AA14,NĐ!AE14,NĐ!AI14)))</f>
        <v>0</v>
      </c>
      <c r="I14">
        <f>SUMPRODUCT((MONTH(CHOOSE({1,2,3,4},NĐ!T14,NĐ!X14,NĐ!AB14,NĐ!AF14))=9)*(CHOOSE({1,2,3,4},NĐ!W14,NĐ!AA14,NĐ!AE14,NĐ!AI14)))</f>
        <v>0</v>
      </c>
      <c r="J14">
        <f>SUMPRODUCT((MONTH(CHOOSE({1,2,3,4},NĐ!T14,NĐ!X14,NĐ!AB14,NĐ!AF14))=10)*(CHOOSE({1,2,3,4},NĐ!W14,NĐ!AA14,NĐ!AE14,NĐ!AI14)))</f>
        <v>0</v>
      </c>
      <c r="K14">
        <f>SUMPRODUCT((MONTH(CHOOSE({1,2,3,4},NĐ!T14,NĐ!X14,NĐ!AB14,NĐ!AF14))=11)*(CHOOSE({1,2,3,4},NĐ!W14,NĐ!AA14,NĐ!AE14,NĐ!AI14)))</f>
        <v>0</v>
      </c>
      <c r="L14">
        <f>SUMPRODUCT((MONTH(CHOOSE({1,2,3,4},NĐ!T14,NĐ!X14,NĐ!AB14,NĐ!AF14))=12)*(CHOOSE({1,2,3,4},NĐ!W14,NĐ!AA14,NĐ!AE14,NĐ!AI14)))</f>
        <v>0</v>
      </c>
    </row>
    <row r="15" spans="1:12">
      <c r="A15">
        <f>SUMPRODUCT((MONTH(CHOOSE({1,2,3,4},NĐ!T15,NĐ!X15,NĐ!AB15,NĐ!AF15))=1)*(CHOOSE({1,2,3,4},NĐ!W15,NĐ!AA15,NĐ!AE15,NĐ!AI15)))</f>
        <v>0</v>
      </c>
      <c r="B15">
        <f>SUMPRODUCT((MONTH(CHOOSE({1,2,3,4},NĐ!T15,NĐ!X15,NĐ!AB15,NĐ!AF15))=2)*(CHOOSE({1,2,3,4},NĐ!W15,NĐ!AA15,NĐ!AE15,NĐ!AI15)))</f>
        <v>0</v>
      </c>
      <c r="C15">
        <f>SUMPRODUCT((MONTH(CHOOSE({1,2,3,4},NĐ!T15,NĐ!X15,NĐ!AB15,NĐ!AF15))=3)*(CHOOSE({1,2,3,4},NĐ!W15,NĐ!AA15,NĐ!AE15,NĐ!AI15)))</f>
        <v>0</v>
      </c>
      <c r="D15">
        <f>SUMPRODUCT((MONTH(CHOOSE({1,2,3,4},NĐ!T15,NĐ!X15,NĐ!AB15,NĐ!AF15))=4)*(CHOOSE({1,2,3,4},NĐ!W15,NĐ!AA15,NĐ!AE15,NĐ!AI15)))</f>
        <v>0</v>
      </c>
      <c r="E15">
        <f>SUMPRODUCT((MONTH(CHOOSE({1,2,3,4},NĐ!T15,NĐ!X15,NĐ!AB15,NĐ!AF15))=5)*(CHOOSE({1,2,3,4},NĐ!W15,NĐ!AA15,NĐ!AE15,NĐ!AI15)))</f>
        <v>0</v>
      </c>
      <c r="F15">
        <f>SUMPRODUCT((MONTH(CHOOSE({1,2,3,4},NĐ!T15,NĐ!X15,NĐ!AB15,NĐ!AF15))=6)*(CHOOSE({1,2,3,4},NĐ!W15,NĐ!AA15,NĐ!AE15,NĐ!AI15)))</f>
        <v>0</v>
      </c>
      <c r="G15">
        <f>SUMPRODUCT((MONTH(CHOOSE({1,2,3,4},NĐ!T15,NĐ!X15,NĐ!AB15,NĐ!AF15))=7)*(CHOOSE({1,2,3,4},NĐ!W15,NĐ!AA15,NĐ!AE15,NĐ!AI15)))</f>
        <v>0</v>
      </c>
      <c r="H15">
        <f>SUMPRODUCT((MONTH(CHOOSE({1,2,3,4},NĐ!T15,NĐ!X15,NĐ!AB15,NĐ!AF15))=8)*(CHOOSE({1,2,3,4},NĐ!W15,NĐ!AA15,NĐ!AE15,NĐ!AI15)))</f>
        <v>0</v>
      </c>
      <c r="I15">
        <f>SUMPRODUCT((MONTH(CHOOSE({1,2,3,4},NĐ!T15,NĐ!X15,NĐ!AB15,NĐ!AF15))=9)*(CHOOSE({1,2,3,4},NĐ!W15,NĐ!AA15,NĐ!AE15,NĐ!AI15)))</f>
        <v>0</v>
      </c>
      <c r="J15">
        <f>SUMPRODUCT((MONTH(CHOOSE({1,2,3,4},NĐ!T15,NĐ!X15,NĐ!AB15,NĐ!AF15))=10)*(CHOOSE({1,2,3,4},NĐ!W15,NĐ!AA15,NĐ!AE15,NĐ!AI15)))</f>
        <v>0</v>
      </c>
      <c r="K15">
        <f>SUMPRODUCT((MONTH(CHOOSE({1,2,3,4},NĐ!T15,NĐ!X15,NĐ!AB15,NĐ!AF15))=11)*(CHOOSE({1,2,3,4},NĐ!W15,NĐ!AA15,NĐ!AE15,NĐ!AI15)))</f>
        <v>0</v>
      </c>
      <c r="L15">
        <f>SUMPRODUCT((MONTH(CHOOSE({1,2,3,4},NĐ!T15,NĐ!X15,NĐ!AB15,NĐ!AF15))=12)*(CHOOSE({1,2,3,4},NĐ!W15,NĐ!AA15,NĐ!AE15,NĐ!AI15)))</f>
        <v>0</v>
      </c>
    </row>
    <row r="16" spans="1:12">
      <c r="A16">
        <f>SUMPRODUCT((MONTH(CHOOSE({1,2,3,4},NĐ!T16,NĐ!X16,NĐ!AB16,NĐ!AF16))=1)*(CHOOSE({1,2,3,4},NĐ!W16,NĐ!AA16,NĐ!AE16,NĐ!AI16)))</f>
        <v>0</v>
      </c>
      <c r="B16">
        <f>SUMPRODUCT((MONTH(CHOOSE({1,2,3,4},NĐ!T16,NĐ!X16,NĐ!AB16,NĐ!AF16))=2)*(CHOOSE({1,2,3,4},NĐ!W16,NĐ!AA16,NĐ!AE16,NĐ!AI16)))</f>
        <v>0</v>
      </c>
      <c r="C16">
        <f>SUMPRODUCT((MONTH(CHOOSE({1,2,3,4},NĐ!T16,NĐ!X16,NĐ!AB16,NĐ!AF16))=3)*(CHOOSE({1,2,3,4},NĐ!W16,NĐ!AA16,NĐ!AE16,NĐ!AI16)))</f>
        <v>0</v>
      </c>
      <c r="D16">
        <f>SUMPRODUCT((MONTH(CHOOSE({1,2,3,4},NĐ!T16,NĐ!X16,NĐ!AB16,NĐ!AF16))=4)*(CHOOSE({1,2,3,4},NĐ!W16,NĐ!AA16,NĐ!AE16,NĐ!AI16)))</f>
        <v>0</v>
      </c>
      <c r="E16">
        <f>SUMPRODUCT((MONTH(CHOOSE({1,2,3,4},NĐ!T16,NĐ!X16,NĐ!AB16,NĐ!AF16))=5)*(CHOOSE({1,2,3,4},NĐ!W16,NĐ!AA16,NĐ!AE16,NĐ!AI16)))</f>
        <v>0</v>
      </c>
      <c r="F16">
        <f>SUMPRODUCT((MONTH(CHOOSE({1,2,3,4},NĐ!T16,NĐ!X16,NĐ!AB16,NĐ!AF16))=6)*(CHOOSE({1,2,3,4},NĐ!W16,NĐ!AA16,NĐ!AE16,NĐ!AI16)))</f>
        <v>0</v>
      </c>
      <c r="G16">
        <f>SUMPRODUCT((MONTH(CHOOSE({1,2,3,4},NĐ!T16,NĐ!X16,NĐ!AB16,NĐ!AF16))=7)*(CHOOSE({1,2,3,4},NĐ!W16,NĐ!AA16,NĐ!AE16,NĐ!AI16)))</f>
        <v>0</v>
      </c>
      <c r="H16">
        <f>SUMPRODUCT((MONTH(CHOOSE({1,2,3,4},NĐ!T16,NĐ!X16,NĐ!AB16,NĐ!AF16))=8)*(CHOOSE({1,2,3,4},NĐ!W16,NĐ!AA16,NĐ!AE16,NĐ!AI16)))</f>
        <v>0</v>
      </c>
      <c r="I16">
        <f>SUMPRODUCT((MONTH(CHOOSE({1,2,3,4},NĐ!T16,NĐ!X16,NĐ!AB16,NĐ!AF16))=9)*(CHOOSE({1,2,3,4},NĐ!W16,NĐ!AA16,NĐ!AE16,NĐ!AI16)))</f>
        <v>0</v>
      </c>
      <c r="J16">
        <f>SUMPRODUCT((MONTH(CHOOSE({1,2,3,4},NĐ!T16,NĐ!X16,NĐ!AB16,NĐ!AF16))=10)*(CHOOSE({1,2,3,4},NĐ!W16,NĐ!AA16,NĐ!AE16,NĐ!AI16)))</f>
        <v>0</v>
      </c>
      <c r="K16">
        <f>SUMPRODUCT((MONTH(CHOOSE({1,2,3,4},NĐ!T16,NĐ!X16,NĐ!AB16,NĐ!AF16))=11)*(CHOOSE({1,2,3,4},NĐ!W16,NĐ!AA16,NĐ!AE16,NĐ!AI16)))</f>
        <v>0</v>
      </c>
      <c r="L16">
        <f>SUMPRODUCT((MONTH(CHOOSE({1,2,3,4},NĐ!T16,NĐ!X16,NĐ!AB16,NĐ!AF16))=12)*(CHOOSE({1,2,3,4},NĐ!W16,NĐ!AA16,NĐ!AE16,NĐ!AI16)))</f>
        <v>0</v>
      </c>
    </row>
    <row r="17" spans="1:12">
      <c r="A17">
        <f>SUMPRODUCT((MONTH(CHOOSE({1,2,3,4},NĐ!T17,NĐ!X17,NĐ!AB17,NĐ!AF17))=1)*(CHOOSE({1,2,3,4},NĐ!W17,NĐ!AA17,NĐ!AE17,NĐ!AI17)))</f>
        <v>0</v>
      </c>
      <c r="B17">
        <f>SUMPRODUCT((MONTH(CHOOSE({1,2,3,4},NĐ!T17,NĐ!X17,NĐ!AB17,NĐ!AF17))=2)*(CHOOSE({1,2,3,4},NĐ!W17,NĐ!AA17,NĐ!AE17,NĐ!AI17)))</f>
        <v>0</v>
      </c>
      <c r="C17">
        <f>SUMPRODUCT((MONTH(CHOOSE({1,2,3,4},NĐ!T17,NĐ!X17,NĐ!AB17,NĐ!AF17))=3)*(CHOOSE({1,2,3,4},NĐ!W17,NĐ!AA17,NĐ!AE17,NĐ!AI17)))</f>
        <v>0</v>
      </c>
      <c r="D17">
        <f>SUMPRODUCT((MONTH(CHOOSE({1,2,3,4},NĐ!T17,NĐ!X17,NĐ!AB17,NĐ!AF17))=4)*(CHOOSE({1,2,3,4},NĐ!W17,NĐ!AA17,NĐ!AE17,NĐ!AI17)))</f>
        <v>0</v>
      </c>
      <c r="E17">
        <f>SUMPRODUCT((MONTH(CHOOSE({1,2,3,4},NĐ!T17,NĐ!X17,NĐ!AB17,NĐ!AF17))=5)*(CHOOSE({1,2,3,4},NĐ!W17,NĐ!AA17,NĐ!AE17,NĐ!AI17)))</f>
        <v>0</v>
      </c>
      <c r="F17">
        <f>SUMPRODUCT((MONTH(CHOOSE({1,2,3,4},NĐ!T17,NĐ!X17,NĐ!AB17,NĐ!AF17))=6)*(CHOOSE({1,2,3,4},NĐ!W17,NĐ!AA17,NĐ!AE17,NĐ!AI17)))</f>
        <v>0</v>
      </c>
      <c r="G17">
        <f>SUMPRODUCT((MONTH(CHOOSE({1,2,3,4},NĐ!T17,NĐ!X17,NĐ!AB17,NĐ!AF17))=7)*(CHOOSE({1,2,3,4},NĐ!W17,NĐ!AA17,NĐ!AE17,NĐ!AI17)))</f>
        <v>0</v>
      </c>
      <c r="H17">
        <f>SUMPRODUCT((MONTH(CHOOSE({1,2,3,4},NĐ!T17,NĐ!X17,NĐ!AB17,NĐ!AF17))=8)*(CHOOSE({1,2,3,4},NĐ!W17,NĐ!AA17,NĐ!AE17,NĐ!AI17)))</f>
        <v>0</v>
      </c>
      <c r="I17">
        <f>SUMPRODUCT((MONTH(CHOOSE({1,2,3,4},NĐ!T17,NĐ!X17,NĐ!AB17,NĐ!AF17))=9)*(CHOOSE({1,2,3,4},NĐ!W17,NĐ!AA17,NĐ!AE17,NĐ!AI17)))</f>
        <v>0</v>
      </c>
      <c r="J17">
        <f>SUMPRODUCT((MONTH(CHOOSE({1,2,3,4},NĐ!T17,NĐ!X17,NĐ!AB17,NĐ!AF17))=10)*(CHOOSE({1,2,3,4},NĐ!W17,NĐ!AA17,NĐ!AE17,NĐ!AI17)))</f>
        <v>0</v>
      </c>
      <c r="K17">
        <f>SUMPRODUCT((MONTH(CHOOSE({1,2,3,4},NĐ!T17,NĐ!X17,NĐ!AB17,NĐ!AF17))=11)*(CHOOSE({1,2,3,4},NĐ!W17,NĐ!AA17,NĐ!AE17,NĐ!AI17)))</f>
        <v>0</v>
      </c>
      <c r="L17">
        <f>SUMPRODUCT((MONTH(CHOOSE({1,2,3,4},NĐ!T17,NĐ!X17,NĐ!AB17,NĐ!AF17))=12)*(CHOOSE({1,2,3,4},NĐ!W17,NĐ!AA17,NĐ!AE17,NĐ!AI17)))</f>
        <v>0</v>
      </c>
    </row>
    <row r="18" spans="1:12">
      <c r="A18">
        <f>SUMPRODUCT((MONTH(CHOOSE({1,2,3,4},NĐ!T18,NĐ!X18,NĐ!AB18,NĐ!AF18))=1)*(CHOOSE({1,2,3,4},NĐ!W18,NĐ!AA18,NĐ!AE18,NĐ!AI18)))</f>
        <v>0</v>
      </c>
      <c r="B18">
        <f>SUMPRODUCT((MONTH(CHOOSE({1,2,3,4},NĐ!T18,NĐ!X18,NĐ!AB18,NĐ!AF18))=2)*(CHOOSE({1,2,3,4},NĐ!W18,NĐ!AA18,NĐ!AE18,NĐ!AI18)))</f>
        <v>0</v>
      </c>
      <c r="C18">
        <f>SUMPRODUCT((MONTH(CHOOSE({1,2,3,4},NĐ!T18,NĐ!X18,NĐ!AB18,NĐ!AF18))=3)*(CHOOSE({1,2,3,4},NĐ!W18,NĐ!AA18,NĐ!AE18,NĐ!AI18)))</f>
        <v>0</v>
      </c>
      <c r="D18">
        <f>SUMPRODUCT((MONTH(CHOOSE({1,2,3,4},NĐ!T18,NĐ!X18,NĐ!AB18,NĐ!AF18))=4)*(CHOOSE({1,2,3,4},NĐ!W18,NĐ!AA18,NĐ!AE18,NĐ!AI18)))</f>
        <v>0</v>
      </c>
      <c r="E18">
        <f>SUMPRODUCT((MONTH(CHOOSE({1,2,3,4},NĐ!T18,NĐ!X18,NĐ!AB18,NĐ!AF18))=5)*(CHOOSE({1,2,3,4},NĐ!W18,NĐ!AA18,NĐ!AE18,NĐ!AI18)))</f>
        <v>0</v>
      </c>
      <c r="F18">
        <f>SUMPRODUCT((MONTH(CHOOSE({1,2,3,4},NĐ!T18,NĐ!X18,NĐ!AB18,NĐ!AF18))=6)*(CHOOSE({1,2,3,4},NĐ!W18,NĐ!AA18,NĐ!AE18,NĐ!AI18)))</f>
        <v>0</v>
      </c>
      <c r="G18">
        <f>SUMPRODUCT((MONTH(CHOOSE({1,2,3,4},NĐ!T18,NĐ!X18,NĐ!AB18,NĐ!AF18))=7)*(CHOOSE({1,2,3,4},NĐ!W18,NĐ!AA18,NĐ!AE18,NĐ!AI18)))</f>
        <v>0</v>
      </c>
      <c r="H18">
        <f>SUMPRODUCT((MONTH(CHOOSE({1,2,3,4},NĐ!T18,NĐ!X18,NĐ!AB18,NĐ!AF18))=8)*(CHOOSE({1,2,3,4},NĐ!W18,NĐ!AA18,NĐ!AE18,NĐ!AI18)))</f>
        <v>0</v>
      </c>
      <c r="I18">
        <f>SUMPRODUCT((MONTH(CHOOSE({1,2,3,4},NĐ!T18,NĐ!X18,NĐ!AB18,NĐ!AF18))=9)*(CHOOSE({1,2,3,4},NĐ!W18,NĐ!AA18,NĐ!AE18,NĐ!AI18)))</f>
        <v>0</v>
      </c>
      <c r="J18">
        <f>SUMPRODUCT((MONTH(CHOOSE({1,2,3,4},NĐ!T18,NĐ!X18,NĐ!AB18,NĐ!AF18))=10)*(CHOOSE({1,2,3,4},NĐ!W18,NĐ!AA18,NĐ!AE18,NĐ!AI18)))</f>
        <v>0</v>
      </c>
      <c r="K18">
        <f>SUMPRODUCT((MONTH(CHOOSE({1,2,3,4},NĐ!T18,NĐ!X18,NĐ!AB18,NĐ!AF18))=11)*(CHOOSE({1,2,3,4},NĐ!W18,NĐ!AA18,NĐ!AE18,NĐ!AI18)))</f>
        <v>0</v>
      </c>
      <c r="L18">
        <f>SUMPRODUCT((MONTH(CHOOSE({1,2,3,4},NĐ!T18,NĐ!X18,NĐ!AB18,NĐ!AF18))=12)*(CHOOSE({1,2,3,4},NĐ!W18,NĐ!AA18,NĐ!AE18,NĐ!AI18)))</f>
        <v>0</v>
      </c>
    </row>
    <row r="19" spans="1:12">
      <c r="A19">
        <f>SUMPRODUCT((MONTH(CHOOSE({1,2,3,4},NĐ!T19,NĐ!X19,NĐ!AB19,NĐ!AF19))=1)*(CHOOSE({1,2,3,4},NĐ!W19,NĐ!AA19,NĐ!AE19,NĐ!AI19)))</f>
        <v>0</v>
      </c>
      <c r="B19">
        <f>SUMPRODUCT((MONTH(CHOOSE({1,2,3,4},NĐ!T19,NĐ!X19,NĐ!AB19,NĐ!AF19))=2)*(CHOOSE({1,2,3,4},NĐ!W19,NĐ!AA19,NĐ!AE19,NĐ!AI19)))</f>
        <v>0</v>
      </c>
      <c r="C19">
        <f>SUMPRODUCT((MONTH(CHOOSE({1,2,3,4},NĐ!T19,NĐ!X19,NĐ!AB19,NĐ!AF19))=3)*(CHOOSE({1,2,3,4},NĐ!W19,NĐ!AA19,NĐ!AE19,NĐ!AI19)))</f>
        <v>0</v>
      </c>
      <c r="D19">
        <f>SUMPRODUCT((MONTH(CHOOSE({1,2,3,4},NĐ!T19,NĐ!X19,NĐ!AB19,NĐ!AF19))=4)*(CHOOSE({1,2,3,4},NĐ!W19,NĐ!AA19,NĐ!AE19,NĐ!AI19)))</f>
        <v>0</v>
      </c>
      <c r="E19">
        <f>SUMPRODUCT((MONTH(CHOOSE({1,2,3,4},NĐ!T19,NĐ!X19,NĐ!AB19,NĐ!AF19))=5)*(CHOOSE({1,2,3,4},NĐ!W19,NĐ!AA19,NĐ!AE19,NĐ!AI19)))</f>
        <v>0</v>
      </c>
      <c r="F19">
        <f>SUMPRODUCT((MONTH(CHOOSE({1,2,3,4},NĐ!T19,NĐ!X19,NĐ!AB19,NĐ!AF19))=6)*(CHOOSE({1,2,3,4},NĐ!W19,NĐ!AA19,NĐ!AE19,NĐ!AI19)))</f>
        <v>0</v>
      </c>
      <c r="G19">
        <f>SUMPRODUCT((MONTH(CHOOSE({1,2,3,4},NĐ!T19,NĐ!X19,NĐ!AB19,NĐ!AF19))=7)*(CHOOSE({1,2,3,4},NĐ!W19,NĐ!AA19,NĐ!AE19,NĐ!AI19)))</f>
        <v>0</v>
      </c>
      <c r="H19">
        <f>SUMPRODUCT((MONTH(CHOOSE({1,2,3,4},NĐ!T19,NĐ!X19,NĐ!AB19,NĐ!AF19))=8)*(CHOOSE({1,2,3,4},NĐ!W19,NĐ!AA19,NĐ!AE19,NĐ!AI19)))</f>
        <v>0</v>
      </c>
      <c r="I19">
        <f>SUMPRODUCT((MONTH(CHOOSE({1,2,3,4},NĐ!T19,NĐ!X19,NĐ!AB19,NĐ!AF19))=9)*(CHOOSE({1,2,3,4},NĐ!W19,NĐ!AA19,NĐ!AE19,NĐ!AI19)))</f>
        <v>0</v>
      </c>
      <c r="J19">
        <f>SUMPRODUCT((MONTH(CHOOSE({1,2,3,4},NĐ!T19,NĐ!X19,NĐ!AB19,NĐ!AF19))=10)*(CHOOSE({1,2,3,4},NĐ!W19,NĐ!AA19,NĐ!AE19,NĐ!AI19)))</f>
        <v>0</v>
      </c>
      <c r="K19">
        <f>SUMPRODUCT((MONTH(CHOOSE({1,2,3,4},NĐ!T19,NĐ!X19,NĐ!AB19,NĐ!AF19))=11)*(CHOOSE({1,2,3,4},NĐ!W19,NĐ!AA19,NĐ!AE19,NĐ!AI19)))</f>
        <v>0</v>
      </c>
      <c r="L19">
        <f>SUMPRODUCT((MONTH(CHOOSE({1,2,3,4},NĐ!T19,NĐ!X19,NĐ!AB19,NĐ!AF19))=12)*(CHOOSE({1,2,3,4},NĐ!W19,NĐ!AA19,NĐ!AE19,NĐ!AI19)))</f>
        <v>0</v>
      </c>
    </row>
    <row r="20" spans="1:12">
      <c r="A20">
        <f>SUMPRODUCT((MONTH(CHOOSE({1,2,3,4},NĐ!T20,NĐ!X20,NĐ!AB20,NĐ!AF20))=1)*(CHOOSE({1,2,3,4},NĐ!W20,NĐ!AA20,NĐ!AE20,NĐ!AI20)))</f>
        <v>0</v>
      </c>
      <c r="B20">
        <f>SUMPRODUCT((MONTH(CHOOSE({1,2,3,4},NĐ!T20,NĐ!X20,NĐ!AB20,NĐ!AF20))=2)*(CHOOSE({1,2,3,4},NĐ!W20,NĐ!AA20,NĐ!AE20,NĐ!AI20)))</f>
        <v>0</v>
      </c>
      <c r="C20">
        <f>SUMPRODUCT((MONTH(CHOOSE({1,2,3,4},NĐ!T20,NĐ!X20,NĐ!AB20,NĐ!AF20))=3)*(CHOOSE({1,2,3,4},NĐ!W20,NĐ!AA20,NĐ!AE20,NĐ!AI20)))</f>
        <v>0</v>
      </c>
      <c r="D20">
        <f>SUMPRODUCT((MONTH(CHOOSE({1,2,3,4},NĐ!T20,NĐ!X20,NĐ!AB20,NĐ!AF20))=4)*(CHOOSE({1,2,3,4},NĐ!W20,NĐ!AA20,NĐ!AE20,NĐ!AI20)))</f>
        <v>0</v>
      </c>
      <c r="E20">
        <f>SUMPRODUCT((MONTH(CHOOSE({1,2,3,4},NĐ!T20,NĐ!X20,NĐ!AB20,NĐ!AF20))=5)*(CHOOSE({1,2,3,4},NĐ!W20,NĐ!AA20,NĐ!AE20,NĐ!AI20)))</f>
        <v>0</v>
      </c>
      <c r="F20">
        <f>SUMPRODUCT((MONTH(CHOOSE({1,2,3,4},NĐ!T20,NĐ!X20,NĐ!AB20,NĐ!AF20))=6)*(CHOOSE({1,2,3,4},NĐ!W20,NĐ!AA20,NĐ!AE20,NĐ!AI20)))</f>
        <v>0</v>
      </c>
      <c r="G20">
        <f>SUMPRODUCT((MONTH(CHOOSE({1,2,3,4},NĐ!T20,NĐ!X20,NĐ!AB20,NĐ!AF20))=7)*(CHOOSE({1,2,3,4},NĐ!W20,NĐ!AA20,NĐ!AE20,NĐ!AI20)))</f>
        <v>0</v>
      </c>
      <c r="H20">
        <f>SUMPRODUCT((MONTH(CHOOSE({1,2,3,4},NĐ!T20,NĐ!X20,NĐ!AB20,NĐ!AF20))=8)*(CHOOSE({1,2,3,4},NĐ!W20,NĐ!AA20,NĐ!AE20,NĐ!AI20)))</f>
        <v>0</v>
      </c>
      <c r="I20">
        <f>SUMPRODUCT((MONTH(CHOOSE({1,2,3,4},NĐ!T20,NĐ!X20,NĐ!AB20,NĐ!AF20))=9)*(CHOOSE({1,2,3,4},NĐ!W20,NĐ!AA20,NĐ!AE20,NĐ!AI20)))</f>
        <v>0</v>
      </c>
      <c r="J20">
        <f>SUMPRODUCT((MONTH(CHOOSE({1,2,3,4},NĐ!T20,NĐ!X20,NĐ!AB20,NĐ!AF20))=10)*(CHOOSE({1,2,3,4},NĐ!W20,NĐ!AA20,NĐ!AE20,NĐ!AI20)))</f>
        <v>0</v>
      </c>
      <c r="K20">
        <f>SUMPRODUCT((MONTH(CHOOSE({1,2,3,4},NĐ!T20,NĐ!X20,NĐ!AB20,NĐ!AF20))=11)*(CHOOSE({1,2,3,4},NĐ!W20,NĐ!AA20,NĐ!AE20,NĐ!AI20)))</f>
        <v>0</v>
      </c>
      <c r="L20">
        <f>SUMPRODUCT((MONTH(CHOOSE({1,2,3,4},NĐ!T20,NĐ!X20,NĐ!AB20,NĐ!AF20))=12)*(CHOOSE({1,2,3,4},NĐ!W20,NĐ!AA20,NĐ!AE20,NĐ!AI20)))</f>
        <v>0</v>
      </c>
    </row>
    <row r="21" spans="1:12">
      <c r="A21">
        <f>SUMPRODUCT((MONTH(CHOOSE({1,2,3,4},NĐ!T21,NĐ!X21,NĐ!AB21,NĐ!AF21))=1)*(CHOOSE({1,2,3,4},NĐ!W21,NĐ!AA21,NĐ!AE21,NĐ!AI21)))</f>
        <v>0</v>
      </c>
      <c r="B21">
        <f>SUMPRODUCT((MONTH(CHOOSE({1,2,3,4},NĐ!T21,NĐ!X21,NĐ!AB21,NĐ!AF21))=2)*(CHOOSE({1,2,3,4},NĐ!W21,NĐ!AA21,NĐ!AE21,NĐ!AI21)))</f>
        <v>0</v>
      </c>
      <c r="C21">
        <f>SUMPRODUCT((MONTH(CHOOSE({1,2,3,4},NĐ!T21,NĐ!X21,NĐ!AB21,NĐ!AF21))=3)*(CHOOSE({1,2,3,4},NĐ!W21,NĐ!AA21,NĐ!AE21,NĐ!AI21)))</f>
        <v>0</v>
      </c>
      <c r="D21">
        <f>SUMPRODUCT((MONTH(CHOOSE({1,2,3,4},NĐ!T21,NĐ!X21,NĐ!AB21,NĐ!AF21))=4)*(CHOOSE({1,2,3,4},NĐ!W21,NĐ!AA21,NĐ!AE21,NĐ!AI21)))</f>
        <v>0</v>
      </c>
      <c r="E21">
        <f>SUMPRODUCT((MONTH(CHOOSE({1,2,3,4},NĐ!T21,NĐ!X21,NĐ!AB21,NĐ!AF21))=5)*(CHOOSE({1,2,3,4},NĐ!W21,NĐ!AA21,NĐ!AE21,NĐ!AI21)))</f>
        <v>0</v>
      </c>
      <c r="F21">
        <f>SUMPRODUCT((MONTH(CHOOSE({1,2,3,4},NĐ!T21,NĐ!X21,NĐ!AB21,NĐ!AF21))=6)*(CHOOSE({1,2,3,4},NĐ!W21,NĐ!AA21,NĐ!AE21,NĐ!AI21)))</f>
        <v>0</v>
      </c>
      <c r="G21">
        <f>SUMPRODUCT((MONTH(CHOOSE({1,2,3,4},NĐ!T21,NĐ!X21,NĐ!AB21,NĐ!AF21))=7)*(CHOOSE({1,2,3,4},NĐ!W21,NĐ!AA21,NĐ!AE21,NĐ!AI21)))</f>
        <v>0</v>
      </c>
      <c r="H21">
        <f>SUMPRODUCT((MONTH(CHOOSE({1,2,3,4},NĐ!T21,NĐ!X21,NĐ!AB21,NĐ!AF21))=8)*(CHOOSE({1,2,3,4},NĐ!W21,NĐ!AA21,NĐ!AE21,NĐ!AI21)))</f>
        <v>0</v>
      </c>
      <c r="I21">
        <f>SUMPRODUCT((MONTH(CHOOSE({1,2,3,4},NĐ!T21,NĐ!X21,NĐ!AB21,NĐ!AF21))=9)*(CHOOSE({1,2,3,4},NĐ!W21,NĐ!AA21,NĐ!AE21,NĐ!AI21)))</f>
        <v>0</v>
      </c>
      <c r="J21">
        <f>SUMPRODUCT((MONTH(CHOOSE({1,2,3,4},NĐ!T21,NĐ!X21,NĐ!AB21,NĐ!AF21))=10)*(CHOOSE({1,2,3,4},NĐ!W21,NĐ!AA21,NĐ!AE21,NĐ!AI21)))</f>
        <v>0</v>
      </c>
      <c r="K21">
        <f>SUMPRODUCT((MONTH(CHOOSE({1,2,3,4},NĐ!T21,NĐ!X21,NĐ!AB21,NĐ!AF21))=11)*(CHOOSE({1,2,3,4},NĐ!W21,NĐ!AA21,NĐ!AE21,NĐ!AI21)))</f>
        <v>0</v>
      </c>
      <c r="L21">
        <f>SUMPRODUCT((MONTH(CHOOSE({1,2,3,4},NĐ!T21,NĐ!X21,NĐ!AB21,NĐ!AF21))=12)*(CHOOSE({1,2,3,4},NĐ!W21,NĐ!AA21,NĐ!AE21,NĐ!AI21)))</f>
        <v>0</v>
      </c>
    </row>
    <row r="22" spans="1:12">
      <c r="A22">
        <f>SUMPRODUCT((MONTH(CHOOSE({1,2,3,4},NĐ!T22,NĐ!X22,NĐ!AB22,NĐ!AF22))=1)*(CHOOSE({1,2,3,4},NĐ!W22,NĐ!AA22,NĐ!AE22,NĐ!AI22)))</f>
        <v>0</v>
      </c>
      <c r="B22">
        <f>SUMPRODUCT((MONTH(CHOOSE({1,2,3,4},NĐ!T22,NĐ!X22,NĐ!AB22,NĐ!AF22))=2)*(CHOOSE({1,2,3,4},NĐ!W22,NĐ!AA22,NĐ!AE22,NĐ!AI22)))</f>
        <v>0</v>
      </c>
      <c r="C22">
        <f>SUMPRODUCT((MONTH(CHOOSE({1,2,3,4},NĐ!T22,NĐ!X22,NĐ!AB22,NĐ!AF22))=3)*(CHOOSE({1,2,3,4},NĐ!W22,NĐ!AA22,NĐ!AE22,NĐ!AI22)))</f>
        <v>0</v>
      </c>
      <c r="D22">
        <f>SUMPRODUCT((MONTH(CHOOSE({1,2,3,4},NĐ!T22,NĐ!X22,NĐ!AB22,NĐ!AF22))=4)*(CHOOSE({1,2,3,4},NĐ!W22,NĐ!AA22,NĐ!AE22,NĐ!AI22)))</f>
        <v>0</v>
      </c>
      <c r="E22">
        <f>SUMPRODUCT((MONTH(CHOOSE({1,2,3,4},NĐ!T22,NĐ!X22,NĐ!AB22,NĐ!AF22))=5)*(CHOOSE({1,2,3,4},NĐ!W22,NĐ!AA22,NĐ!AE22,NĐ!AI22)))</f>
        <v>0</v>
      </c>
      <c r="F22">
        <f>SUMPRODUCT((MONTH(CHOOSE({1,2,3,4},NĐ!T22,NĐ!X22,NĐ!AB22,NĐ!AF22))=6)*(CHOOSE({1,2,3,4},NĐ!W22,NĐ!AA22,NĐ!AE22,NĐ!AI22)))</f>
        <v>0</v>
      </c>
      <c r="G22">
        <f>SUMPRODUCT((MONTH(CHOOSE({1,2,3,4},NĐ!T22,NĐ!X22,NĐ!AB22,NĐ!AF22))=7)*(CHOOSE({1,2,3,4},NĐ!W22,NĐ!AA22,NĐ!AE22,NĐ!AI22)))</f>
        <v>0</v>
      </c>
      <c r="H22">
        <f>SUMPRODUCT((MONTH(CHOOSE({1,2,3,4},NĐ!T22,NĐ!X22,NĐ!AB22,NĐ!AF22))=8)*(CHOOSE({1,2,3,4},NĐ!W22,NĐ!AA22,NĐ!AE22,NĐ!AI22)))</f>
        <v>0</v>
      </c>
      <c r="I22">
        <f>SUMPRODUCT((MONTH(CHOOSE({1,2,3,4},NĐ!T22,NĐ!X22,NĐ!AB22,NĐ!AF22))=9)*(CHOOSE({1,2,3,4},NĐ!W22,NĐ!AA22,NĐ!AE22,NĐ!AI22)))</f>
        <v>0</v>
      </c>
      <c r="J22">
        <f>SUMPRODUCT((MONTH(CHOOSE({1,2,3,4},NĐ!T22,NĐ!X22,NĐ!AB22,NĐ!AF22))=10)*(CHOOSE({1,2,3,4},NĐ!W22,NĐ!AA22,NĐ!AE22,NĐ!AI22)))</f>
        <v>0</v>
      </c>
      <c r="K22">
        <f>SUMPRODUCT((MONTH(CHOOSE({1,2,3,4},NĐ!T22,NĐ!X22,NĐ!AB22,NĐ!AF22))=11)*(CHOOSE({1,2,3,4},NĐ!W22,NĐ!AA22,NĐ!AE22,NĐ!AI22)))</f>
        <v>0</v>
      </c>
      <c r="L22">
        <f>SUMPRODUCT((MONTH(CHOOSE({1,2,3,4},NĐ!T22,NĐ!X22,NĐ!AB22,NĐ!AF22))=12)*(CHOOSE({1,2,3,4},NĐ!W22,NĐ!AA22,NĐ!AE22,NĐ!AI22)))</f>
        <v>0</v>
      </c>
    </row>
    <row r="23" spans="1:12">
      <c r="A23">
        <f>SUMPRODUCT((MONTH(CHOOSE({1,2,3,4},NĐ!T23,NĐ!X23,NĐ!AB23,NĐ!AF23))=1)*(CHOOSE({1,2,3,4},NĐ!W23,NĐ!AA23,NĐ!AE23,NĐ!AI23)))</f>
        <v>0</v>
      </c>
      <c r="B23">
        <f>SUMPRODUCT((MONTH(CHOOSE({1,2,3,4},NĐ!T23,NĐ!X23,NĐ!AB23,NĐ!AF23))=2)*(CHOOSE({1,2,3,4},NĐ!W23,NĐ!AA23,NĐ!AE23,NĐ!AI23)))</f>
        <v>0</v>
      </c>
      <c r="C23">
        <f>SUMPRODUCT((MONTH(CHOOSE({1,2,3,4},NĐ!T23,NĐ!X23,NĐ!AB23,NĐ!AF23))=3)*(CHOOSE({1,2,3,4},NĐ!W23,NĐ!AA23,NĐ!AE23,NĐ!AI23)))</f>
        <v>0</v>
      </c>
      <c r="D23">
        <f>SUMPRODUCT((MONTH(CHOOSE({1,2,3,4},NĐ!T23,NĐ!X23,NĐ!AB23,NĐ!AF23))=4)*(CHOOSE({1,2,3,4},NĐ!W23,NĐ!AA23,NĐ!AE23,NĐ!AI23)))</f>
        <v>0</v>
      </c>
      <c r="E23">
        <f>SUMPRODUCT((MONTH(CHOOSE({1,2,3,4},NĐ!T23,NĐ!X23,NĐ!AB23,NĐ!AF23))=5)*(CHOOSE({1,2,3,4},NĐ!W23,NĐ!AA23,NĐ!AE23,NĐ!AI23)))</f>
        <v>0</v>
      </c>
      <c r="F23">
        <f>SUMPRODUCT((MONTH(CHOOSE({1,2,3,4},NĐ!T23,NĐ!X23,NĐ!AB23,NĐ!AF23))=6)*(CHOOSE({1,2,3,4},NĐ!W23,NĐ!AA23,NĐ!AE23,NĐ!AI23)))</f>
        <v>0</v>
      </c>
      <c r="G23">
        <f>SUMPRODUCT((MONTH(CHOOSE({1,2,3,4},NĐ!T23,NĐ!X23,NĐ!AB23,NĐ!AF23))=7)*(CHOOSE({1,2,3,4},NĐ!W23,NĐ!AA23,NĐ!AE23,NĐ!AI23)))</f>
        <v>0</v>
      </c>
      <c r="H23">
        <f>SUMPRODUCT((MONTH(CHOOSE({1,2,3,4},NĐ!T23,NĐ!X23,NĐ!AB23,NĐ!AF23))=8)*(CHOOSE({1,2,3,4},NĐ!W23,NĐ!AA23,NĐ!AE23,NĐ!AI23)))</f>
        <v>0</v>
      </c>
      <c r="I23">
        <f>SUMPRODUCT((MONTH(CHOOSE({1,2,3,4},NĐ!T23,NĐ!X23,NĐ!AB23,NĐ!AF23))=9)*(CHOOSE({1,2,3,4},NĐ!W23,NĐ!AA23,NĐ!AE23,NĐ!AI23)))</f>
        <v>0</v>
      </c>
      <c r="J23">
        <f>SUMPRODUCT((MONTH(CHOOSE({1,2,3,4},NĐ!T23,NĐ!X23,NĐ!AB23,NĐ!AF23))=10)*(CHOOSE({1,2,3,4},NĐ!W23,NĐ!AA23,NĐ!AE23,NĐ!AI23)))</f>
        <v>0</v>
      </c>
      <c r="K23">
        <f>SUMPRODUCT((MONTH(CHOOSE({1,2,3,4},NĐ!T23,NĐ!X23,NĐ!AB23,NĐ!AF23))=11)*(CHOOSE({1,2,3,4},NĐ!W23,NĐ!AA23,NĐ!AE23,NĐ!AI23)))</f>
        <v>0</v>
      </c>
      <c r="L23">
        <f>SUMPRODUCT((MONTH(CHOOSE({1,2,3,4},NĐ!T23,NĐ!X23,NĐ!AB23,NĐ!AF23))=12)*(CHOOSE({1,2,3,4},NĐ!W23,NĐ!AA23,NĐ!AE23,NĐ!AI23)))</f>
        <v>0</v>
      </c>
    </row>
    <row r="24" spans="1:12">
      <c r="A24">
        <f>SUMPRODUCT((MONTH(CHOOSE({1,2,3,4},NĐ!T24,NĐ!X24,NĐ!AB24,NĐ!AF24))=1)*(CHOOSE({1,2,3,4},NĐ!W24,NĐ!AA24,NĐ!AE24,NĐ!AI24)))</f>
        <v>0</v>
      </c>
      <c r="B24">
        <f>SUMPRODUCT((MONTH(CHOOSE({1,2,3,4},NĐ!T24,NĐ!X24,NĐ!AB24,NĐ!AF24))=2)*(CHOOSE({1,2,3,4},NĐ!W24,NĐ!AA24,NĐ!AE24,NĐ!AI24)))</f>
        <v>0</v>
      </c>
      <c r="C24">
        <f>SUMPRODUCT((MONTH(CHOOSE({1,2,3,4},NĐ!T24,NĐ!X24,NĐ!AB24,NĐ!AF24))=3)*(CHOOSE({1,2,3,4},NĐ!W24,NĐ!AA24,NĐ!AE24,NĐ!AI24)))</f>
        <v>0</v>
      </c>
      <c r="D24">
        <f>SUMPRODUCT((MONTH(CHOOSE({1,2,3,4},NĐ!T24,NĐ!X24,NĐ!AB24,NĐ!AF24))=4)*(CHOOSE({1,2,3,4},NĐ!W24,NĐ!AA24,NĐ!AE24,NĐ!AI24)))</f>
        <v>0</v>
      </c>
      <c r="E24">
        <f>SUMPRODUCT((MONTH(CHOOSE({1,2,3,4},NĐ!T24,NĐ!X24,NĐ!AB24,NĐ!AF24))=5)*(CHOOSE({1,2,3,4},NĐ!W24,NĐ!AA24,NĐ!AE24,NĐ!AI24)))</f>
        <v>0</v>
      </c>
      <c r="F24">
        <f>SUMPRODUCT((MONTH(CHOOSE({1,2,3,4},NĐ!T24,NĐ!X24,NĐ!AB24,NĐ!AF24))=6)*(CHOOSE({1,2,3,4},NĐ!W24,NĐ!AA24,NĐ!AE24,NĐ!AI24)))</f>
        <v>0</v>
      </c>
      <c r="G24">
        <f>SUMPRODUCT((MONTH(CHOOSE({1,2,3,4},NĐ!T24,NĐ!X24,NĐ!AB24,NĐ!AF24))=7)*(CHOOSE({1,2,3,4},NĐ!W24,NĐ!AA24,NĐ!AE24,NĐ!AI24)))</f>
        <v>0</v>
      </c>
      <c r="H24">
        <f>SUMPRODUCT((MONTH(CHOOSE({1,2,3,4},NĐ!T24,NĐ!X24,NĐ!AB24,NĐ!AF24))=8)*(CHOOSE({1,2,3,4},NĐ!W24,NĐ!AA24,NĐ!AE24,NĐ!AI24)))</f>
        <v>0</v>
      </c>
      <c r="I24">
        <f>SUMPRODUCT((MONTH(CHOOSE({1,2,3,4},NĐ!T24,NĐ!X24,NĐ!AB24,NĐ!AF24))=9)*(CHOOSE({1,2,3,4},NĐ!W24,NĐ!AA24,NĐ!AE24,NĐ!AI24)))</f>
        <v>0</v>
      </c>
      <c r="J24">
        <f>SUMPRODUCT((MONTH(CHOOSE({1,2,3,4},NĐ!T24,NĐ!X24,NĐ!AB24,NĐ!AF24))=10)*(CHOOSE({1,2,3,4},NĐ!W24,NĐ!AA24,NĐ!AE24,NĐ!AI24)))</f>
        <v>0</v>
      </c>
      <c r="K24">
        <f>SUMPRODUCT((MONTH(CHOOSE({1,2,3,4},NĐ!T24,NĐ!X24,NĐ!AB24,NĐ!AF24))=11)*(CHOOSE({1,2,3,4},NĐ!W24,NĐ!AA24,NĐ!AE24,NĐ!AI24)))</f>
        <v>0</v>
      </c>
      <c r="L24">
        <f>SUMPRODUCT((MONTH(CHOOSE({1,2,3,4},NĐ!T24,NĐ!X24,NĐ!AB24,NĐ!AF24))=12)*(CHOOSE({1,2,3,4},NĐ!W24,NĐ!AA24,NĐ!AE24,NĐ!AI24)))</f>
        <v>0</v>
      </c>
    </row>
    <row r="25" spans="1:12">
      <c r="A25">
        <f>SUMPRODUCT((MONTH(CHOOSE({1,2,3,4},NĐ!T25,NĐ!X25,NĐ!AB25,NĐ!AF25))=1)*(CHOOSE({1,2,3,4},NĐ!W25,NĐ!AA25,NĐ!AE25,NĐ!AI25)))</f>
        <v>0</v>
      </c>
      <c r="B25">
        <f>SUMPRODUCT((MONTH(CHOOSE({1,2,3,4},NĐ!T25,NĐ!X25,NĐ!AB25,NĐ!AF25))=2)*(CHOOSE({1,2,3,4},NĐ!W25,NĐ!AA25,NĐ!AE25,NĐ!AI25)))</f>
        <v>0</v>
      </c>
      <c r="C25">
        <f>SUMPRODUCT((MONTH(CHOOSE({1,2,3,4},NĐ!T25,NĐ!X25,NĐ!AB25,NĐ!AF25))=3)*(CHOOSE({1,2,3,4},NĐ!W25,NĐ!AA25,NĐ!AE25,NĐ!AI25)))</f>
        <v>0</v>
      </c>
      <c r="D25">
        <f>SUMPRODUCT((MONTH(CHOOSE({1,2,3,4},NĐ!T25,NĐ!X25,NĐ!AB25,NĐ!AF25))=4)*(CHOOSE({1,2,3,4},NĐ!W25,NĐ!AA25,NĐ!AE25,NĐ!AI25)))</f>
        <v>0</v>
      </c>
      <c r="E25">
        <f>SUMPRODUCT((MONTH(CHOOSE({1,2,3,4},NĐ!T25,NĐ!X25,NĐ!AB25,NĐ!AF25))=5)*(CHOOSE({1,2,3,4},NĐ!W25,NĐ!AA25,NĐ!AE25,NĐ!AI25)))</f>
        <v>0</v>
      </c>
      <c r="F25">
        <f>SUMPRODUCT((MONTH(CHOOSE({1,2,3,4},NĐ!T25,NĐ!X25,NĐ!AB25,NĐ!AF25))=6)*(CHOOSE({1,2,3,4},NĐ!W25,NĐ!AA25,NĐ!AE25,NĐ!AI25)))</f>
        <v>0</v>
      </c>
      <c r="G25">
        <f>SUMPRODUCT((MONTH(CHOOSE({1,2,3,4},NĐ!T25,NĐ!X25,NĐ!AB25,NĐ!AF25))=7)*(CHOOSE({1,2,3,4},NĐ!W25,NĐ!AA25,NĐ!AE25,NĐ!AI25)))</f>
        <v>0</v>
      </c>
      <c r="H25">
        <f>SUMPRODUCT((MONTH(CHOOSE({1,2,3,4},NĐ!T25,NĐ!X25,NĐ!AB25,NĐ!AF25))=8)*(CHOOSE({1,2,3,4},NĐ!W25,NĐ!AA25,NĐ!AE25,NĐ!AI25)))</f>
        <v>0</v>
      </c>
      <c r="I25">
        <f>SUMPRODUCT((MONTH(CHOOSE({1,2,3,4},NĐ!T25,NĐ!X25,NĐ!AB25,NĐ!AF25))=9)*(CHOOSE({1,2,3,4},NĐ!W25,NĐ!AA25,NĐ!AE25,NĐ!AI25)))</f>
        <v>0</v>
      </c>
      <c r="J25">
        <f>SUMPRODUCT((MONTH(CHOOSE({1,2,3,4},NĐ!T25,NĐ!X25,NĐ!AB25,NĐ!AF25))=10)*(CHOOSE({1,2,3,4},NĐ!W25,NĐ!AA25,NĐ!AE25,NĐ!AI25)))</f>
        <v>0</v>
      </c>
      <c r="K25">
        <f>SUMPRODUCT((MONTH(CHOOSE({1,2,3,4},NĐ!T25,NĐ!X25,NĐ!AB25,NĐ!AF25))=11)*(CHOOSE({1,2,3,4},NĐ!W25,NĐ!AA25,NĐ!AE25,NĐ!AI25)))</f>
        <v>0</v>
      </c>
      <c r="L25">
        <f>SUMPRODUCT((MONTH(CHOOSE({1,2,3,4},NĐ!T25,NĐ!X25,NĐ!AB25,NĐ!AF25))=12)*(CHOOSE({1,2,3,4},NĐ!W25,NĐ!AA25,NĐ!AE25,NĐ!AI25)))</f>
        <v>0</v>
      </c>
    </row>
    <row r="26" spans="1:12">
      <c r="A26">
        <f>SUMPRODUCT((MONTH(CHOOSE({1,2,3,4},NĐ!T26,NĐ!X26,NĐ!AB26,NĐ!AF26))=1)*(CHOOSE({1,2,3,4},NĐ!W26,NĐ!AA26,NĐ!AE26,NĐ!AI26)))</f>
        <v>0</v>
      </c>
      <c r="B26">
        <f>SUMPRODUCT((MONTH(CHOOSE({1,2,3,4},NĐ!T26,NĐ!X26,NĐ!AB26,NĐ!AF26))=2)*(CHOOSE({1,2,3,4},NĐ!W26,NĐ!AA26,NĐ!AE26,NĐ!AI26)))</f>
        <v>0</v>
      </c>
      <c r="C26">
        <f>SUMPRODUCT((MONTH(CHOOSE({1,2,3,4},NĐ!T26,NĐ!X26,NĐ!AB26,NĐ!AF26))=3)*(CHOOSE({1,2,3,4},NĐ!W26,NĐ!AA26,NĐ!AE26,NĐ!AI26)))</f>
        <v>0</v>
      </c>
      <c r="D26">
        <f>SUMPRODUCT((MONTH(CHOOSE({1,2,3,4},NĐ!T26,NĐ!X26,NĐ!AB26,NĐ!AF26))=4)*(CHOOSE({1,2,3,4},NĐ!W26,NĐ!AA26,NĐ!AE26,NĐ!AI26)))</f>
        <v>0</v>
      </c>
      <c r="E26">
        <f>SUMPRODUCT((MONTH(CHOOSE({1,2,3,4},NĐ!T26,NĐ!X26,NĐ!AB26,NĐ!AF26))=5)*(CHOOSE({1,2,3,4},NĐ!W26,NĐ!AA26,NĐ!AE26,NĐ!AI26)))</f>
        <v>0</v>
      </c>
      <c r="F26">
        <f>SUMPRODUCT((MONTH(CHOOSE({1,2,3,4},NĐ!T26,NĐ!X26,NĐ!AB26,NĐ!AF26))=6)*(CHOOSE({1,2,3,4},NĐ!W26,NĐ!AA26,NĐ!AE26,NĐ!AI26)))</f>
        <v>0</v>
      </c>
      <c r="G26">
        <f>SUMPRODUCT((MONTH(CHOOSE({1,2,3,4},NĐ!T26,NĐ!X26,NĐ!AB26,NĐ!AF26))=7)*(CHOOSE({1,2,3,4},NĐ!W26,NĐ!AA26,NĐ!AE26,NĐ!AI26)))</f>
        <v>0</v>
      </c>
      <c r="H26">
        <f>SUMPRODUCT((MONTH(CHOOSE({1,2,3,4},NĐ!T26,NĐ!X26,NĐ!AB26,NĐ!AF26))=8)*(CHOOSE({1,2,3,4},NĐ!W26,NĐ!AA26,NĐ!AE26,NĐ!AI26)))</f>
        <v>0</v>
      </c>
      <c r="I26">
        <f>SUMPRODUCT((MONTH(CHOOSE({1,2,3,4},NĐ!T26,NĐ!X26,NĐ!AB26,NĐ!AF26))=9)*(CHOOSE({1,2,3,4},NĐ!W26,NĐ!AA26,NĐ!AE26,NĐ!AI26)))</f>
        <v>0</v>
      </c>
      <c r="J26">
        <f>SUMPRODUCT((MONTH(CHOOSE({1,2,3,4},NĐ!T26,NĐ!X26,NĐ!AB26,NĐ!AF26))=10)*(CHOOSE({1,2,3,4},NĐ!W26,NĐ!AA26,NĐ!AE26,NĐ!AI26)))</f>
        <v>0</v>
      </c>
      <c r="K26">
        <f>SUMPRODUCT((MONTH(CHOOSE({1,2,3,4},NĐ!T26,NĐ!X26,NĐ!AB26,NĐ!AF26))=11)*(CHOOSE({1,2,3,4},NĐ!W26,NĐ!AA26,NĐ!AE26,NĐ!AI26)))</f>
        <v>0</v>
      </c>
      <c r="L26">
        <f>SUMPRODUCT((MONTH(CHOOSE({1,2,3,4},NĐ!T26,NĐ!X26,NĐ!AB26,NĐ!AF26))=12)*(CHOOSE({1,2,3,4},NĐ!W26,NĐ!AA26,NĐ!AE26,NĐ!AI26)))</f>
        <v>0</v>
      </c>
    </row>
    <row r="27" spans="1:12">
      <c r="A27">
        <f>SUMPRODUCT((MONTH(CHOOSE({1,2,3,4},NĐ!T27,NĐ!X27,NĐ!AB27,NĐ!AF27))=1)*(CHOOSE({1,2,3,4},NĐ!W27,NĐ!AA27,NĐ!AE27,NĐ!AI27)))</f>
        <v>0</v>
      </c>
      <c r="B27">
        <f>SUMPRODUCT((MONTH(CHOOSE({1,2,3,4},NĐ!T27,NĐ!X27,NĐ!AB27,NĐ!AF27))=2)*(CHOOSE({1,2,3,4},NĐ!W27,NĐ!AA27,NĐ!AE27,NĐ!AI27)))</f>
        <v>0</v>
      </c>
      <c r="C27">
        <f>SUMPRODUCT((MONTH(CHOOSE({1,2,3,4},NĐ!T27,NĐ!X27,NĐ!AB27,NĐ!AF27))=3)*(CHOOSE({1,2,3,4},NĐ!W27,NĐ!AA27,NĐ!AE27,NĐ!AI27)))</f>
        <v>0</v>
      </c>
      <c r="D27">
        <f>SUMPRODUCT((MONTH(CHOOSE({1,2,3,4},NĐ!T27,NĐ!X27,NĐ!AB27,NĐ!AF27))=4)*(CHOOSE({1,2,3,4},NĐ!W27,NĐ!AA27,NĐ!AE27,NĐ!AI27)))</f>
        <v>0</v>
      </c>
      <c r="E27">
        <f>SUMPRODUCT((MONTH(CHOOSE({1,2,3,4},NĐ!T27,NĐ!X27,NĐ!AB27,NĐ!AF27))=5)*(CHOOSE({1,2,3,4},NĐ!W27,NĐ!AA27,NĐ!AE27,NĐ!AI27)))</f>
        <v>0</v>
      </c>
      <c r="F27">
        <f>SUMPRODUCT((MONTH(CHOOSE({1,2,3,4},NĐ!T27,NĐ!X27,NĐ!AB27,NĐ!AF27))=6)*(CHOOSE({1,2,3,4},NĐ!W27,NĐ!AA27,NĐ!AE27,NĐ!AI27)))</f>
        <v>0</v>
      </c>
      <c r="G27">
        <f>SUMPRODUCT((MONTH(CHOOSE({1,2,3,4},NĐ!T27,NĐ!X27,NĐ!AB27,NĐ!AF27))=7)*(CHOOSE({1,2,3,4},NĐ!W27,NĐ!AA27,NĐ!AE27,NĐ!AI27)))</f>
        <v>0</v>
      </c>
      <c r="H27">
        <f>SUMPRODUCT((MONTH(CHOOSE({1,2,3,4},NĐ!T27,NĐ!X27,NĐ!AB27,NĐ!AF27))=8)*(CHOOSE({1,2,3,4},NĐ!W27,NĐ!AA27,NĐ!AE27,NĐ!AI27)))</f>
        <v>0</v>
      </c>
      <c r="I27">
        <f>SUMPRODUCT((MONTH(CHOOSE({1,2,3,4},NĐ!T27,NĐ!X27,NĐ!AB27,NĐ!AF27))=9)*(CHOOSE({1,2,3,4},NĐ!W27,NĐ!AA27,NĐ!AE27,NĐ!AI27)))</f>
        <v>0</v>
      </c>
      <c r="J27">
        <f>SUMPRODUCT((MONTH(CHOOSE({1,2,3,4},NĐ!T27,NĐ!X27,NĐ!AB27,NĐ!AF27))=10)*(CHOOSE({1,2,3,4},NĐ!W27,NĐ!AA27,NĐ!AE27,NĐ!AI27)))</f>
        <v>0</v>
      </c>
      <c r="K27">
        <f>SUMPRODUCT((MONTH(CHOOSE({1,2,3,4},NĐ!T27,NĐ!X27,NĐ!AB27,NĐ!AF27))=11)*(CHOOSE({1,2,3,4},NĐ!W27,NĐ!AA27,NĐ!AE27,NĐ!AI27)))</f>
        <v>0</v>
      </c>
      <c r="L27">
        <f>SUMPRODUCT((MONTH(CHOOSE({1,2,3,4},NĐ!T27,NĐ!X27,NĐ!AB27,NĐ!AF27))=12)*(CHOOSE({1,2,3,4},NĐ!W27,NĐ!AA27,NĐ!AE27,NĐ!AI27)))</f>
        <v>0</v>
      </c>
    </row>
    <row r="28" spans="1:12">
      <c r="A28">
        <f>SUMPRODUCT((MONTH(CHOOSE({1,2,3,4},NĐ!T28,NĐ!X28,NĐ!AB28,NĐ!AF28))=1)*(CHOOSE({1,2,3,4},NĐ!W28,NĐ!AA28,NĐ!AE28,NĐ!AI28)))</f>
        <v>0</v>
      </c>
      <c r="B28">
        <f>SUMPRODUCT((MONTH(CHOOSE({1,2,3,4},NĐ!T28,NĐ!X28,NĐ!AB28,NĐ!AF28))=2)*(CHOOSE({1,2,3,4},NĐ!W28,NĐ!AA28,NĐ!AE28,NĐ!AI28)))</f>
        <v>0</v>
      </c>
      <c r="C28">
        <f>SUMPRODUCT((MONTH(CHOOSE({1,2,3,4},NĐ!T28,NĐ!X28,NĐ!AB28,NĐ!AF28))=3)*(CHOOSE({1,2,3,4},NĐ!W28,NĐ!AA28,NĐ!AE28,NĐ!AI28)))</f>
        <v>0</v>
      </c>
      <c r="D28">
        <f>SUMPRODUCT((MONTH(CHOOSE({1,2,3,4},NĐ!T28,NĐ!X28,NĐ!AB28,NĐ!AF28))=4)*(CHOOSE({1,2,3,4},NĐ!W28,NĐ!AA28,NĐ!AE28,NĐ!AI28)))</f>
        <v>0</v>
      </c>
      <c r="E28">
        <f>SUMPRODUCT((MONTH(CHOOSE({1,2,3,4},NĐ!T28,NĐ!X28,NĐ!AB28,NĐ!AF28))=5)*(CHOOSE({1,2,3,4},NĐ!W28,NĐ!AA28,NĐ!AE28,NĐ!AI28)))</f>
        <v>0</v>
      </c>
      <c r="F28">
        <f>SUMPRODUCT((MONTH(CHOOSE({1,2,3,4},NĐ!T28,NĐ!X28,NĐ!AB28,NĐ!AF28))=6)*(CHOOSE({1,2,3,4},NĐ!W28,NĐ!AA28,NĐ!AE28,NĐ!AI28)))</f>
        <v>0</v>
      </c>
      <c r="G28">
        <f>SUMPRODUCT((MONTH(CHOOSE({1,2,3,4},NĐ!T28,NĐ!X28,NĐ!AB28,NĐ!AF28))=7)*(CHOOSE({1,2,3,4},NĐ!W28,NĐ!AA28,NĐ!AE28,NĐ!AI28)))</f>
        <v>0</v>
      </c>
      <c r="H28">
        <f>SUMPRODUCT((MONTH(CHOOSE({1,2,3,4},NĐ!T28,NĐ!X28,NĐ!AB28,NĐ!AF28))=8)*(CHOOSE({1,2,3,4},NĐ!W28,NĐ!AA28,NĐ!AE28,NĐ!AI28)))</f>
        <v>0</v>
      </c>
      <c r="I28">
        <f>SUMPRODUCT((MONTH(CHOOSE({1,2,3,4},NĐ!T28,NĐ!X28,NĐ!AB28,NĐ!AF28))=9)*(CHOOSE({1,2,3,4},NĐ!W28,NĐ!AA28,NĐ!AE28,NĐ!AI28)))</f>
        <v>0</v>
      </c>
      <c r="J28">
        <f>SUMPRODUCT((MONTH(CHOOSE({1,2,3,4},NĐ!T28,NĐ!X28,NĐ!AB28,NĐ!AF28))=10)*(CHOOSE({1,2,3,4},NĐ!W28,NĐ!AA28,NĐ!AE28,NĐ!AI28)))</f>
        <v>0</v>
      </c>
      <c r="K28">
        <f>SUMPRODUCT((MONTH(CHOOSE({1,2,3,4},NĐ!T28,NĐ!X28,NĐ!AB28,NĐ!AF28))=11)*(CHOOSE({1,2,3,4},NĐ!W28,NĐ!AA28,NĐ!AE28,NĐ!AI28)))</f>
        <v>0</v>
      </c>
      <c r="L28">
        <f>SUMPRODUCT((MONTH(CHOOSE({1,2,3,4},NĐ!T28,NĐ!X28,NĐ!AB28,NĐ!AF28))=12)*(CHOOSE({1,2,3,4},NĐ!W28,NĐ!AA28,NĐ!AE28,NĐ!AI28)))</f>
        <v>0</v>
      </c>
    </row>
    <row r="29" spans="1:12">
      <c r="A29">
        <f>SUMPRODUCT((MONTH(CHOOSE({1,2,3,4},NĐ!T29,NĐ!X29,NĐ!AB29,NĐ!AF29))=1)*(CHOOSE({1,2,3,4},NĐ!W29,NĐ!AA29,NĐ!AE29,NĐ!AI29)))</f>
        <v>0</v>
      </c>
      <c r="B29">
        <f>SUMPRODUCT((MONTH(CHOOSE({1,2,3,4},NĐ!T29,NĐ!X29,NĐ!AB29,NĐ!AF29))=2)*(CHOOSE({1,2,3,4},NĐ!W29,NĐ!AA29,NĐ!AE29,NĐ!AI29)))</f>
        <v>0</v>
      </c>
      <c r="C29">
        <f>SUMPRODUCT((MONTH(CHOOSE({1,2,3,4},NĐ!T29,NĐ!X29,NĐ!AB29,NĐ!AF29))=3)*(CHOOSE({1,2,3,4},NĐ!W29,NĐ!AA29,NĐ!AE29,NĐ!AI29)))</f>
        <v>0</v>
      </c>
      <c r="D29">
        <f>SUMPRODUCT((MONTH(CHOOSE({1,2,3,4},NĐ!T29,NĐ!X29,NĐ!AB29,NĐ!AF29))=4)*(CHOOSE({1,2,3,4},NĐ!W29,NĐ!AA29,NĐ!AE29,NĐ!AI29)))</f>
        <v>0</v>
      </c>
      <c r="E29">
        <f>SUMPRODUCT((MONTH(CHOOSE({1,2,3,4},NĐ!T29,NĐ!X29,NĐ!AB29,NĐ!AF29))=5)*(CHOOSE({1,2,3,4},NĐ!W29,NĐ!AA29,NĐ!AE29,NĐ!AI29)))</f>
        <v>0</v>
      </c>
      <c r="F29">
        <f>SUMPRODUCT((MONTH(CHOOSE({1,2,3,4},NĐ!T29,NĐ!X29,NĐ!AB29,NĐ!AF29))=6)*(CHOOSE({1,2,3,4},NĐ!W29,NĐ!AA29,NĐ!AE29,NĐ!AI29)))</f>
        <v>0</v>
      </c>
      <c r="G29">
        <f>SUMPRODUCT((MONTH(CHOOSE({1,2,3,4},NĐ!T29,NĐ!X29,NĐ!AB29,NĐ!AF29))=7)*(CHOOSE({1,2,3,4},NĐ!W29,NĐ!AA29,NĐ!AE29,NĐ!AI29)))</f>
        <v>0</v>
      </c>
      <c r="H29">
        <f>SUMPRODUCT((MONTH(CHOOSE({1,2,3,4},NĐ!T29,NĐ!X29,NĐ!AB29,NĐ!AF29))=8)*(CHOOSE({1,2,3,4},NĐ!W29,NĐ!AA29,NĐ!AE29,NĐ!AI29)))</f>
        <v>0</v>
      </c>
      <c r="I29">
        <f>SUMPRODUCT((MONTH(CHOOSE({1,2,3,4},NĐ!T29,NĐ!X29,NĐ!AB29,NĐ!AF29))=9)*(CHOOSE({1,2,3,4},NĐ!W29,NĐ!AA29,NĐ!AE29,NĐ!AI29)))</f>
        <v>0</v>
      </c>
      <c r="J29">
        <f>SUMPRODUCT((MONTH(CHOOSE({1,2,3,4},NĐ!T29,NĐ!X29,NĐ!AB29,NĐ!AF29))=10)*(CHOOSE({1,2,3,4},NĐ!W29,NĐ!AA29,NĐ!AE29,NĐ!AI29)))</f>
        <v>0</v>
      </c>
      <c r="K29">
        <f>SUMPRODUCT((MONTH(CHOOSE({1,2,3,4},NĐ!T29,NĐ!X29,NĐ!AB29,NĐ!AF29))=11)*(CHOOSE({1,2,3,4},NĐ!W29,NĐ!AA29,NĐ!AE29,NĐ!AI29)))</f>
        <v>0</v>
      </c>
      <c r="L29">
        <f>SUMPRODUCT((MONTH(CHOOSE({1,2,3,4},NĐ!T29,NĐ!X29,NĐ!AB29,NĐ!AF29))=12)*(CHOOSE({1,2,3,4},NĐ!W29,NĐ!AA29,NĐ!AE29,NĐ!AI29)))</f>
        <v>0</v>
      </c>
    </row>
    <row r="30" spans="1:12">
      <c r="A30">
        <f>SUMPRODUCT((MONTH(CHOOSE({1,2,3,4},NĐ!T30,NĐ!X30,NĐ!AB30,NĐ!AF30))=1)*(CHOOSE({1,2,3,4},NĐ!W30,NĐ!AA30,NĐ!AE30,NĐ!AI30)))</f>
        <v>0</v>
      </c>
      <c r="B30">
        <f>SUMPRODUCT((MONTH(CHOOSE({1,2,3,4},NĐ!T30,NĐ!X30,NĐ!AB30,NĐ!AF30))=2)*(CHOOSE({1,2,3,4},NĐ!W30,NĐ!AA30,NĐ!AE30,NĐ!AI30)))</f>
        <v>0</v>
      </c>
      <c r="C30">
        <f>SUMPRODUCT((MONTH(CHOOSE({1,2,3,4},NĐ!T30,NĐ!X30,NĐ!AB30,NĐ!AF30))=3)*(CHOOSE({1,2,3,4},NĐ!W30,NĐ!AA30,NĐ!AE30,NĐ!AI30)))</f>
        <v>0</v>
      </c>
      <c r="D30">
        <f>SUMPRODUCT((MONTH(CHOOSE({1,2,3,4},NĐ!T30,NĐ!X30,NĐ!AB30,NĐ!AF30))=4)*(CHOOSE({1,2,3,4},NĐ!W30,NĐ!AA30,NĐ!AE30,NĐ!AI30)))</f>
        <v>0</v>
      </c>
      <c r="E30">
        <f>SUMPRODUCT((MONTH(CHOOSE({1,2,3,4},NĐ!T30,NĐ!X30,NĐ!AB30,NĐ!AF30))=5)*(CHOOSE({1,2,3,4},NĐ!W30,NĐ!AA30,NĐ!AE30,NĐ!AI30)))</f>
        <v>0</v>
      </c>
      <c r="F30">
        <f>SUMPRODUCT((MONTH(CHOOSE({1,2,3,4},NĐ!T30,NĐ!X30,NĐ!AB30,NĐ!AF30))=6)*(CHOOSE({1,2,3,4},NĐ!W30,NĐ!AA30,NĐ!AE30,NĐ!AI30)))</f>
        <v>0</v>
      </c>
      <c r="G30">
        <f>SUMPRODUCT((MONTH(CHOOSE({1,2,3,4},NĐ!T30,NĐ!X30,NĐ!AB30,NĐ!AF30))=7)*(CHOOSE({1,2,3,4},NĐ!W30,NĐ!AA30,NĐ!AE30,NĐ!AI30)))</f>
        <v>0</v>
      </c>
      <c r="H30">
        <f>SUMPRODUCT((MONTH(CHOOSE({1,2,3,4},NĐ!T30,NĐ!X30,NĐ!AB30,NĐ!AF30))=8)*(CHOOSE({1,2,3,4},NĐ!W30,NĐ!AA30,NĐ!AE30,NĐ!AI30)))</f>
        <v>0</v>
      </c>
      <c r="I30">
        <f>SUMPRODUCT((MONTH(CHOOSE({1,2,3,4},NĐ!T30,NĐ!X30,NĐ!AB30,NĐ!AF30))=9)*(CHOOSE({1,2,3,4},NĐ!W30,NĐ!AA30,NĐ!AE30,NĐ!AI30)))</f>
        <v>0</v>
      </c>
      <c r="J30">
        <f>SUMPRODUCT((MONTH(CHOOSE({1,2,3,4},NĐ!T30,NĐ!X30,NĐ!AB30,NĐ!AF30))=10)*(CHOOSE({1,2,3,4},NĐ!W30,NĐ!AA30,NĐ!AE30,NĐ!AI30)))</f>
        <v>0</v>
      </c>
      <c r="K30">
        <f>SUMPRODUCT((MONTH(CHOOSE({1,2,3,4},NĐ!T30,NĐ!X30,NĐ!AB30,NĐ!AF30))=11)*(CHOOSE({1,2,3,4},NĐ!W30,NĐ!AA30,NĐ!AE30,NĐ!AI30)))</f>
        <v>0</v>
      </c>
      <c r="L30">
        <f>SUMPRODUCT((MONTH(CHOOSE({1,2,3,4},NĐ!T30,NĐ!X30,NĐ!AB30,NĐ!AF30))=12)*(CHOOSE({1,2,3,4},NĐ!W30,NĐ!AA30,NĐ!AE30,NĐ!AI30)))</f>
        <v>0</v>
      </c>
    </row>
    <row r="31" spans="1:12">
      <c r="A31">
        <f>SUMPRODUCT((MONTH(CHOOSE({1,2,3,4},NĐ!T31,NĐ!X31,NĐ!AB31,NĐ!AF31))=1)*(CHOOSE({1,2,3,4},NĐ!W31,NĐ!AA31,NĐ!AE31,NĐ!AI31)))</f>
        <v>0</v>
      </c>
      <c r="B31">
        <f>SUMPRODUCT((MONTH(CHOOSE({1,2,3,4},NĐ!T31,NĐ!X31,NĐ!AB31,NĐ!AF31))=2)*(CHOOSE({1,2,3,4},NĐ!W31,NĐ!AA31,NĐ!AE31,NĐ!AI31)))</f>
        <v>0</v>
      </c>
      <c r="C31">
        <f>SUMPRODUCT((MONTH(CHOOSE({1,2,3,4},NĐ!T31,NĐ!X31,NĐ!AB31,NĐ!AF31))=3)*(CHOOSE({1,2,3,4},NĐ!W31,NĐ!AA31,NĐ!AE31,NĐ!AI31)))</f>
        <v>0</v>
      </c>
      <c r="D31">
        <f>SUMPRODUCT((MONTH(CHOOSE({1,2,3,4},NĐ!T31,NĐ!X31,NĐ!AB31,NĐ!AF31))=4)*(CHOOSE({1,2,3,4},NĐ!W31,NĐ!AA31,NĐ!AE31,NĐ!AI31)))</f>
        <v>0</v>
      </c>
      <c r="E31">
        <f>SUMPRODUCT((MONTH(CHOOSE({1,2,3,4},NĐ!T31,NĐ!X31,NĐ!AB31,NĐ!AF31))=5)*(CHOOSE({1,2,3,4},NĐ!W31,NĐ!AA31,NĐ!AE31,NĐ!AI31)))</f>
        <v>0</v>
      </c>
      <c r="F31">
        <f>SUMPRODUCT((MONTH(CHOOSE({1,2,3,4},NĐ!T31,NĐ!X31,NĐ!AB31,NĐ!AF31))=6)*(CHOOSE({1,2,3,4},NĐ!W31,NĐ!AA31,NĐ!AE31,NĐ!AI31)))</f>
        <v>0</v>
      </c>
      <c r="G31">
        <f>SUMPRODUCT((MONTH(CHOOSE({1,2,3,4},NĐ!T31,NĐ!X31,NĐ!AB31,NĐ!AF31))=7)*(CHOOSE({1,2,3,4},NĐ!W31,NĐ!AA31,NĐ!AE31,NĐ!AI31)))</f>
        <v>0</v>
      </c>
      <c r="H31">
        <f>SUMPRODUCT((MONTH(CHOOSE({1,2,3,4},NĐ!T31,NĐ!X31,NĐ!AB31,NĐ!AF31))=8)*(CHOOSE({1,2,3,4},NĐ!W31,NĐ!AA31,NĐ!AE31,NĐ!AI31)))</f>
        <v>0</v>
      </c>
      <c r="I31">
        <f>SUMPRODUCT((MONTH(CHOOSE({1,2,3,4},NĐ!T31,NĐ!X31,NĐ!AB31,NĐ!AF31))=9)*(CHOOSE({1,2,3,4},NĐ!W31,NĐ!AA31,NĐ!AE31,NĐ!AI31)))</f>
        <v>0</v>
      </c>
      <c r="J31">
        <f>SUMPRODUCT((MONTH(CHOOSE({1,2,3,4},NĐ!T31,NĐ!X31,NĐ!AB31,NĐ!AF31))=10)*(CHOOSE({1,2,3,4},NĐ!W31,NĐ!AA31,NĐ!AE31,NĐ!AI31)))</f>
        <v>0</v>
      </c>
      <c r="K31">
        <f>SUMPRODUCT((MONTH(CHOOSE({1,2,3,4},NĐ!T31,NĐ!X31,NĐ!AB31,NĐ!AF31))=11)*(CHOOSE({1,2,3,4},NĐ!W31,NĐ!AA31,NĐ!AE31,NĐ!AI31)))</f>
        <v>0</v>
      </c>
      <c r="L31">
        <f>SUMPRODUCT((MONTH(CHOOSE({1,2,3,4},NĐ!T31,NĐ!X31,NĐ!AB31,NĐ!AF31))=12)*(CHOOSE({1,2,3,4},NĐ!W31,NĐ!AA31,NĐ!AE31,NĐ!AI31)))</f>
        <v>0</v>
      </c>
    </row>
    <row r="32" spans="1:12">
      <c r="A32">
        <f>SUMPRODUCT((MONTH(CHOOSE({1,2,3,4},NĐ!T32,NĐ!X32,NĐ!AB32,NĐ!AF32))=1)*(CHOOSE({1,2,3,4},NĐ!W32,NĐ!AA32,NĐ!AE32,NĐ!AI32)))</f>
        <v>0</v>
      </c>
      <c r="B32">
        <f>SUMPRODUCT((MONTH(CHOOSE({1,2,3,4},NĐ!T32,NĐ!X32,NĐ!AB32,NĐ!AF32))=2)*(CHOOSE({1,2,3,4},NĐ!W32,NĐ!AA32,NĐ!AE32,NĐ!AI32)))</f>
        <v>0</v>
      </c>
      <c r="C32">
        <f>SUMPRODUCT((MONTH(CHOOSE({1,2,3,4},NĐ!T32,NĐ!X32,NĐ!AB32,NĐ!AF32))=3)*(CHOOSE({1,2,3,4},NĐ!W32,NĐ!AA32,NĐ!AE32,NĐ!AI32)))</f>
        <v>0</v>
      </c>
      <c r="D32">
        <f>SUMPRODUCT((MONTH(CHOOSE({1,2,3,4},NĐ!T32,NĐ!X32,NĐ!AB32,NĐ!AF32))=4)*(CHOOSE({1,2,3,4},NĐ!W32,NĐ!AA32,NĐ!AE32,NĐ!AI32)))</f>
        <v>0</v>
      </c>
      <c r="E32">
        <f>SUMPRODUCT((MONTH(CHOOSE({1,2,3,4},NĐ!T32,NĐ!X32,NĐ!AB32,NĐ!AF32))=5)*(CHOOSE({1,2,3,4},NĐ!W32,NĐ!AA32,NĐ!AE32,NĐ!AI32)))</f>
        <v>0</v>
      </c>
      <c r="F32">
        <f>SUMPRODUCT((MONTH(CHOOSE({1,2,3,4},NĐ!T32,NĐ!X32,NĐ!AB32,NĐ!AF32))=6)*(CHOOSE({1,2,3,4},NĐ!W32,NĐ!AA32,NĐ!AE32,NĐ!AI32)))</f>
        <v>0</v>
      </c>
      <c r="G32">
        <f>SUMPRODUCT((MONTH(CHOOSE({1,2,3,4},NĐ!T32,NĐ!X32,NĐ!AB32,NĐ!AF32))=7)*(CHOOSE({1,2,3,4},NĐ!W32,NĐ!AA32,NĐ!AE32,NĐ!AI32)))</f>
        <v>0</v>
      </c>
      <c r="H32">
        <f>SUMPRODUCT((MONTH(CHOOSE({1,2,3,4},NĐ!T32,NĐ!X32,NĐ!AB32,NĐ!AF32))=8)*(CHOOSE({1,2,3,4},NĐ!W32,NĐ!AA32,NĐ!AE32,NĐ!AI32)))</f>
        <v>0</v>
      </c>
      <c r="I32">
        <f>SUMPRODUCT((MONTH(CHOOSE({1,2,3,4},NĐ!T32,NĐ!X32,NĐ!AB32,NĐ!AF32))=9)*(CHOOSE({1,2,3,4},NĐ!W32,NĐ!AA32,NĐ!AE32,NĐ!AI32)))</f>
        <v>0</v>
      </c>
      <c r="J32">
        <f>SUMPRODUCT((MONTH(CHOOSE({1,2,3,4},NĐ!T32,NĐ!X32,NĐ!AB32,NĐ!AF32))=10)*(CHOOSE({1,2,3,4},NĐ!W32,NĐ!AA32,NĐ!AE32,NĐ!AI32)))</f>
        <v>0</v>
      </c>
      <c r="K32">
        <f>SUMPRODUCT((MONTH(CHOOSE({1,2,3,4},NĐ!T32,NĐ!X32,NĐ!AB32,NĐ!AF32))=11)*(CHOOSE({1,2,3,4},NĐ!W32,NĐ!AA32,NĐ!AE32,NĐ!AI32)))</f>
        <v>0</v>
      </c>
      <c r="L32">
        <f>SUMPRODUCT((MONTH(CHOOSE({1,2,3,4},NĐ!T32,NĐ!X32,NĐ!AB32,NĐ!AF32))=12)*(CHOOSE({1,2,3,4},NĐ!W32,NĐ!AA32,NĐ!AE32,NĐ!AI32)))</f>
        <v>0</v>
      </c>
    </row>
    <row r="33" spans="1:12">
      <c r="A33">
        <f>SUMPRODUCT((MONTH(CHOOSE({1,2,3,4},NĐ!T33,NĐ!X33,NĐ!AB33,NĐ!AF33))=1)*(CHOOSE({1,2,3,4},NĐ!W33,NĐ!AA33,NĐ!AE33,NĐ!AI33)))</f>
        <v>0</v>
      </c>
      <c r="B33">
        <f>SUMPRODUCT((MONTH(CHOOSE({1,2,3,4},NĐ!T33,NĐ!X33,NĐ!AB33,NĐ!AF33))=2)*(CHOOSE({1,2,3,4},NĐ!W33,NĐ!AA33,NĐ!AE33,NĐ!AI33)))</f>
        <v>0</v>
      </c>
      <c r="C33">
        <f>SUMPRODUCT((MONTH(CHOOSE({1,2,3,4},NĐ!T33,NĐ!X33,NĐ!AB33,NĐ!AF33))=3)*(CHOOSE({1,2,3,4},NĐ!W33,NĐ!AA33,NĐ!AE33,NĐ!AI33)))</f>
        <v>0</v>
      </c>
      <c r="D33">
        <f>SUMPRODUCT((MONTH(CHOOSE({1,2,3,4},NĐ!T33,NĐ!X33,NĐ!AB33,NĐ!AF33))=4)*(CHOOSE({1,2,3,4},NĐ!W33,NĐ!AA33,NĐ!AE33,NĐ!AI33)))</f>
        <v>0</v>
      </c>
      <c r="E33">
        <f>SUMPRODUCT((MONTH(CHOOSE({1,2,3,4},NĐ!T33,NĐ!X33,NĐ!AB33,NĐ!AF33))=5)*(CHOOSE({1,2,3,4},NĐ!W33,NĐ!AA33,NĐ!AE33,NĐ!AI33)))</f>
        <v>0</v>
      </c>
      <c r="F33">
        <f>SUMPRODUCT((MONTH(CHOOSE({1,2,3,4},NĐ!T33,NĐ!X33,NĐ!AB33,NĐ!AF33))=6)*(CHOOSE({1,2,3,4},NĐ!W33,NĐ!AA33,NĐ!AE33,NĐ!AI33)))</f>
        <v>0</v>
      </c>
      <c r="G33">
        <f>SUMPRODUCT((MONTH(CHOOSE({1,2,3,4},NĐ!T33,NĐ!X33,NĐ!AB33,NĐ!AF33))=7)*(CHOOSE({1,2,3,4},NĐ!W33,NĐ!AA33,NĐ!AE33,NĐ!AI33)))</f>
        <v>0</v>
      </c>
      <c r="H33">
        <f>SUMPRODUCT((MONTH(CHOOSE({1,2,3,4},NĐ!T33,NĐ!X33,NĐ!AB33,NĐ!AF33))=8)*(CHOOSE({1,2,3,4},NĐ!W33,NĐ!AA33,NĐ!AE33,NĐ!AI33)))</f>
        <v>0</v>
      </c>
      <c r="I33">
        <f>SUMPRODUCT((MONTH(CHOOSE({1,2,3,4},NĐ!T33,NĐ!X33,NĐ!AB33,NĐ!AF33))=9)*(CHOOSE({1,2,3,4},NĐ!W33,NĐ!AA33,NĐ!AE33,NĐ!AI33)))</f>
        <v>0</v>
      </c>
      <c r="J33">
        <f>SUMPRODUCT((MONTH(CHOOSE({1,2,3,4},NĐ!T33,NĐ!X33,NĐ!AB33,NĐ!AF33))=10)*(CHOOSE({1,2,3,4},NĐ!W33,NĐ!AA33,NĐ!AE33,NĐ!AI33)))</f>
        <v>0</v>
      </c>
      <c r="K33">
        <f>SUMPRODUCT((MONTH(CHOOSE({1,2,3,4},NĐ!T33,NĐ!X33,NĐ!AB33,NĐ!AF33))=11)*(CHOOSE({1,2,3,4},NĐ!W33,NĐ!AA33,NĐ!AE33,NĐ!AI33)))</f>
        <v>0</v>
      </c>
      <c r="L33">
        <f>SUMPRODUCT((MONTH(CHOOSE({1,2,3,4},NĐ!T33,NĐ!X33,NĐ!AB33,NĐ!AF33))=12)*(CHOOSE({1,2,3,4},NĐ!W33,NĐ!AA33,NĐ!AE33,NĐ!AI33)))</f>
        <v>0</v>
      </c>
    </row>
    <row r="34" spans="1:12">
      <c r="A34">
        <f>SUMPRODUCT((MONTH(CHOOSE({1,2,3,4},NĐ!T34,NĐ!X34,NĐ!AB34,NĐ!AF34))=1)*(CHOOSE({1,2,3,4},NĐ!W34,NĐ!AA34,NĐ!AE34,NĐ!AI34)))</f>
        <v>0</v>
      </c>
      <c r="B34">
        <f>SUMPRODUCT((MONTH(CHOOSE({1,2,3,4},NĐ!T34,NĐ!X34,NĐ!AB34,NĐ!AF34))=2)*(CHOOSE({1,2,3,4},NĐ!W34,NĐ!AA34,NĐ!AE34,NĐ!AI34)))</f>
        <v>0</v>
      </c>
      <c r="C34">
        <f>SUMPRODUCT((MONTH(CHOOSE({1,2,3,4},NĐ!T34,NĐ!X34,NĐ!AB34,NĐ!AF34))=3)*(CHOOSE({1,2,3,4},NĐ!W34,NĐ!AA34,NĐ!AE34,NĐ!AI34)))</f>
        <v>0</v>
      </c>
      <c r="D34">
        <f>SUMPRODUCT((MONTH(CHOOSE({1,2,3,4},NĐ!T34,NĐ!X34,NĐ!AB34,NĐ!AF34))=4)*(CHOOSE({1,2,3,4},NĐ!W34,NĐ!AA34,NĐ!AE34,NĐ!AI34)))</f>
        <v>0</v>
      </c>
      <c r="E34">
        <f>SUMPRODUCT((MONTH(CHOOSE({1,2,3,4},NĐ!T34,NĐ!X34,NĐ!AB34,NĐ!AF34))=5)*(CHOOSE({1,2,3,4},NĐ!W34,NĐ!AA34,NĐ!AE34,NĐ!AI34)))</f>
        <v>0</v>
      </c>
      <c r="F34">
        <f>SUMPRODUCT((MONTH(CHOOSE({1,2,3,4},NĐ!T34,NĐ!X34,NĐ!AB34,NĐ!AF34))=6)*(CHOOSE({1,2,3,4},NĐ!W34,NĐ!AA34,NĐ!AE34,NĐ!AI34)))</f>
        <v>0</v>
      </c>
      <c r="G34">
        <f>SUMPRODUCT((MONTH(CHOOSE({1,2,3,4},NĐ!T34,NĐ!X34,NĐ!AB34,NĐ!AF34))=7)*(CHOOSE({1,2,3,4},NĐ!W34,NĐ!AA34,NĐ!AE34,NĐ!AI34)))</f>
        <v>0</v>
      </c>
      <c r="H34">
        <f>SUMPRODUCT((MONTH(CHOOSE({1,2,3,4},NĐ!T34,NĐ!X34,NĐ!AB34,NĐ!AF34))=8)*(CHOOSE({1,2,3,4},NĐ!W34,NĐ!AA34,NĐ!AE34,NĐ!AI34)))</f>
        <v>0</v>
      </c>
      <c r="I34">
        <f>SUMPRODUCT((MONTH(CHOOSE({1,2,3,4},NĐ!T34,NĐ!X34,NĐ!AB34,NĐ!AF34))=9)*(CHOOSE({1,2,3,4},NĐ!W34,NĐ!AA34,NĐ!AE34,NĐ!AI34)))</f>
        <v>0</v>
      </c>
      <c r="J34">
        <f>SUMPRODUCT((MONTH(CHOOSE({1,2,3,4},NĐ!T34,NĐ!X34,NĐ!AB34,NĐ!AF34))=10)*(CHOOSE({1,2,3,4},NĐ!W34,NĐ!AA34,NĐ!AE34,NĐ!AI34)))</f>
        <v>0</v>
      </c>
      <c r="K34">
        <f>SUMPRODUCT((MONTH(CHOOSE({1,2,3,4},NĐ!T34,NĐ!X34,NĐ!AB34,NĐ!AF34))=11)*(CHOOSE({1,2,3,4},NĐ!W34,NĐ!AA34,NĐ!AE34,NĐ!AI34)))</f>
        <v>0</v>
      </c>
      <c r="L34">
        <f>SUMPRODUCT((MONTH(CHOOSE({1,2,3,4},NĐ!T34,NĐ!X34,NĐ!AB34,NĐ!AF34))=12)*(CHOOSE({1,2,3,4},NĐ!W34,NĐ!AA34,NĐ!AE34,NĐ!AI34)))</f>
        <v>0</v>
      </c>
    </row>
    <row r="35" spans="1:12">
      <c r="A35">
        <f>SUMPRODUCT((MONTH(CHOOSE({1,2,3,4},NĐ!T35,NĐ!X35,NĐ!AB35,NĐ!AF35))=1)*(CHOOSE({1,2,3,4},NĐ!W35,NĐ!AA35,NĐ!AE35,NĐ!AI35)))</f>
        <v>0</v>
      </c>
      <c r="B35">
        <f>SUMPRODUCT((MONTH(CHOOSE({1,2,3,4},NĐ!T35,NĐ!X35,NĐ!AB35,NĐ!AF35))=2)*(CHOOSE({1,2,3,4},NĐ!W35,NĐ!AA35,NĐ!AE35,NĐ!AI35)))</f>
        <v>0</v>
      </c>
      <c r="C35">
        <f>SUMPRODUCT((MONTH(CHOOSE({1,2,3,4},NĐ!T35,NĐ!X35,NĐ!AB35,NĐ!AF35))=3)*(CHOOSE({1,2,3,4},NĐ!W35,NĐ!AA35,NĐ!AE35,NĐ!AI35)))</f>
        <v>0</v>
      </c>
      <c r="D35">
        <f>SUMPRODUCT((MONTH(CHOOSE({1,2,3,4},NĐ!T35,NĐ!X35,NĐ!AB35,NĐ!AF35))=4)*(CHOOSE({1,2,3,4},NĐ!W35,NĐ!AA35,NĐ!AE35,NĐ!AI35)))</f>
        <v>0</v>
      </c>
      <c r="E35">
        <f>SUMPRODUCT((MONTH(CHOOSE({1,2,3,4},NĐ!T35,NĐ!X35,NĐ!AB35,NĐ!AF35))=5)*(CHOOSE({1,2,3,4},NĐ!W35,NĐ!AA35,NĐ!AE35,NĐ!AI35)))</f>
        <v>0</v>
      </c>
      <c r="F35">
        <f>SUMPRODUCT((MONTH(CHOOSE({1,2,3,4},NĐ!T35,NĐ!X35,NĐ!AB35,NĐ!AF35))=6)*(CHOOSE({1,2,3,4},NĐ!W35,NĐ!AA35,NĐ!AE35,NĐ!AI35)))</f>
        <v>0</v>
      </c>
      <c r="G35">
        <f>SUMPRODUCT((MONTH(CHOOSE({1,2,3,4},NĐ!T35,NĐ!X35,NĐ!AB35,NĐ!AF35))=7)*(CHOOSE({1,2,3,4},NĐ!W35,NĐ!AA35,NĐ!AE35,NĐ!AI35)))</f>
        <v>0</v>
      </c>
      <c r="H35">
        <f>SUMPRODUCT((MONTH(CHOOSE({1,2,3,4},NĐ!T35,NĐ!X35,NĐ!AB35,NĐ!AF35))=8)*(CHOOSE({1,2,3,4},NĐ!W35,NĐ!AA35,NĐ!AE35,NĐ!AI35)))</f>
        <v>0</v>
      </c>
      <c r="I35">
        <f>SUMPRODUCT((MONTH(CHOOSE({1,2,3,4},NĐ!T35,NĐ!X35,NĐ!AB35,NĐ!AF35))=9)*(CHOOSE({1,2,3,4},NĐ!W35,NĐ!AA35,NĐ!AE35,NĐ!AI35)))</f>
        <v>0</v>
      </c>
      <c r="J35">
        <f>SUMPRODUCT((MONTH(CHOOSE({1,2,3,4},NĐ!T35,NĐ!X35,NĐ!AB35,NĐ!AF35))=10)*(CHOOSE({1,2,3,4},NĐ!W35,NĐ!AA35,NĐ!AE35,NĐ!AI35)))</f>
        <v>0</v>
      </c>
      <c r="K35">
        <f>SUMPRODUCT((MONTH(CHOOSE({1,2,3,4},NĐ!T35,NĐ!X35,NĐ!AB35,NĐ!AF35))=11)*(CHOOSE({1,2,3,4},NĐ!W35,NĐ!AA35,NĐ!AE35,NĐ!AI35)))</f>
        <v>0</v>
      </c>
      <c r="L35">
        <f>SUMPRODUCT((MONTH(CHOOSE({1,2,3,4},NĐ!T35,NĐ!X35,NĐ!AB35,NĐ!AF35))=12)*(CHOOSE({1,2,3,4},NĐ!W35,NĐ!AA35,NĐ!AE35,NĐ!AI35)))</f>
        <v>0</v>
      </c>
    </row>
    <row r="36" spans="1:12">
      <c r="A36">
        <f>SUMPRODUCT((MONTH(CHOOSE({1,2,3,4},NĐ!T36,NĐ!X36,NĐ!AB36,NĐ!AF36))=1)*(CHOOSE({1,2,3,4},NĐ!W36,NĐ!AA36,NĐ!AE36,NĐ!AI36)))</f>
        <v>0</v>
      </c>
      <c r="B36">
        <f>SUMPRODUCT((MONTH(CHOOSE({1,2,3,4},NĐ!T36,NĐ!X36,NĐ!AB36,NĐ!AF36))=2)*(CHOOSE({1,2,3,4},NĐ!W36,NĐ!AA36,NĐ!AE36,NĐ!AI36)))</f>
        <v>0</v>
      </c>
      <c r="C36">
        <f>SUMPRODUCT((MONTH(CHOOSE({1,2,3,4},NĐ!T36,NĐ!X36,NĐ!AB36,NĐ!AF36))=3)*(CHOOSE({1,2,3,4},NĐ!W36,NĐ!AA36,NĐ!AE36,NĐ!AI36)))</f>
        <v>0</v>
      </c>
      <c r="D36">
        <f>SUMPRODUCT((MONTH(CHOOSE({1,2,3,4},NĐ!T36,NĐ!X36,NĐ!AB36,NĐ!AF36))=4)*(CHOOSE({1,2,3,4},NĐ!W36,NĐ!AA36,NĐ!AE36,NĐ!AI36)))</f>
        <v>0</v>
      </c>
      <c r="E36">
        <f>SUMPRODUCT((MONTH(CHOOSE({1,2,3,4},NĐ!T36,NĐ!X36,NĐ!AB36,NĐ!AF36))=5)*(CHOOSE({1,2,3,4},NĐ!W36,NĐ!AA36,NĐ!AE36,NĐ!AI36)))</f>
        <v>0</v>
      </c>
      <c r="F36">
        <f>SUMPRODUCT((MONTH(CHOOSE({1,2,3,4},NĐ!T36,NĐ!X36,NĐ!AB36,NĐ!AF36))=6)*(CHOOSE({1,2,3,4},NĐ!W36,NĐ!AA36,NĐ!AE36,NĐ!AI36)))</f>
        <v>0</v>
      </c>
      <c r="G36">
        <f>SUMPRODUCT((MONTH(CHOOSE({1,2,3,4},NĐ!T36,NĐ!X36,NĐ!AB36,NĐ!AF36))=7)*(CHOOSE({1,2,3,4},NĐ!W36,NĐ!AA36,NĐ!AE36,NĐ!AI36)))</f>
        <v>0</v>
      </c>
      <c r="H36">
        <f>SUMPRODUCT((MONTH(CHOOSE({1,2,3,4},NĐ!T36,NĐ!X36,NĐ!AB36,NĐ!AF36))=8)*(CHOOSE({1,2,3,4},NĐ!W36,NĐ!AA36,NĐ!AE36,NĐ!AI36)))</f>
        <v>0</v>
      </c>
      <c r="I36">
        <f>SUMPRODUCT((MONTH(CHOOSE({1,2,3,4},NĐ!T36,NĐ!X36,NĐ!AB36,NĐ!AF36))=9)*(CHOOSE({1,2,3,4},NĐ!W36,NĐ!AA36,NĐ!AE36,NĐ!AI36)))</f>
        <v>0</v>
      </c>
      <c r="J36">
        <f>SUMPRODUCT((MONTH(CHOOSE({1,2,3,4},NĐ!T36,NĐ!X36,NĐ!AB36,NĐ!AF36))=10)*(CHOOSE({1,2,3,4},NĐ!W36,NĐ!AA36,NĐ!AE36,NĐ!AI36)))</f>
        <v>0</v>
      </c>
      <c r="K36">
        <f>SUMPRODUCT((MONTH(CHOOSE({1,2,3,4},NĐ!T36,NĐ!X36,NĐ!AB36,NĐ!AF36))=11)*(CHOOSE({1,2,3,4},NĐ!W36,NĐ!AA36,NĐ!AE36,NĐ!AI36)))</f>
        <v>0</v>
      </c>
      <c r="L36">
        <f>SUMPRODUCT((MONTH(CHOOSE({1,2,3,4},NĐ!T36,NĐ!X36,NĐ!AB36,NĐ!AF36))=12)*(CHOOSE({1,2,3,4},NĐ!W36,NĐ!AA36,NĐ!AE36,NĐ!AI36)))</f>
        <v>0</v>
      </c>
    </row>
    <row r="37" spans="1:12">
      <c r="A37">
        <f>SUMPRODUCT((MONTH(CHOOSE({1,2,3,4},NĐ!T37,NĐ!X37,NĐ!AB37,NĐ!AF37))=1)*(CHOOSE({1,2,3,4},NĐ!W37,NĐ!AA37,NĐ!AE37,NĐ!AI37)))</f>
        <v>0</v>
      </c>
      <c r="B37">
        <f>SUMPRODUCT((MONTH(CHOOSE({1,2,3,4},NĐ!T37,NĐ!X37,NĐ!AB37,NĐ!AF37))=2)*(CHOOSE({1,2,3,4},NĐ!W37,NĐ!AA37,NĐ!AE37,NĐ!AI37)))</f>
        <v>0</v>
      </c>
      <c r="C37">
        <f>SUMPRODUCT((MONTH(CHOOSE({1,2,3,4},NĐ!T37,NĐ!X37,NĐ!AB37,NĐ!AF37))=3)*(CHOOSE({1,2,3,4},NĐ!W37,NĐ!AA37,NĐ!AE37,NĐ!AI37)))</f>
        <v>0</v>
      </c>
      <c r="D37">
        <f>SUMPRODUCT((MONTH(CHOOSE({1,2,3,4},NĐ!T37,NĐ!X37,NĐ!AB37,NĐ!AF37))=4)*(CHOOSE({1,2,3,4},NĐ!W37,NĐ!AA37,NĐ!AE37,NĐ!AI37)))</f>
        <v>0</v>
      </c>
      <c r="E37">
        <f>SUMPRODUCT((MONTH(CHOOSE({1,2,3,4},NĐ!T37,NĐ!X37,NĐ!AB37,NĐ!AF37))=5)*(CHOOSE({1,2,3,4},NĐ!W37,NĐ!AA37,NĐ!AE37,NĐ!AI37)))</f>
        <v>0</v>
      </c>
      <c r="F37">
        <f>SUMPRODUCT((MONTH(CHOOSE({1,2,3,4},NĐ!T37,NĐ!X37,NĐ!AB37,NĐ!AF37))=6)*(CHOOSE({1,2,3,4},NĐ!W37,NĐ!AA37,NĐ!AE37,NĐ!AI37)))</f>
        <v>0</v>
      </c>
      <c r="G37">
        <f>SUMPRODUCT((MONTH(CHOOSE({1,2,3,4},NĐ!T37,NĐ!X37,NĐ!AB37,NĐ!AF37))=7)*(CHOOSE({1,2,3,4},NĐ!W37,NĐ!AA37,NĐ!AE37,NĐ!AI37)))</f>
        <v>0</v>
      </c>
      <c r="H37">
        <f>SUMPRODUCT((MONTH(CHOOSE({1,2,3,4},NĐ!T37,NĐ!X37,NĐ!AB37,NĐ!AF37))=8)*(CHOOSE({1,2,3,4},NĐ!W37,NĐ!AA37,NĐ!AE37,NĐ!AI37)))</f>
        <v>0</v>
      </c>
      <c r="I37">
        <f>SUMPRODUCT((MONTH(CHOOSE({1,2,3,4},NĐ!T37,NĐ!X37,NĐ!AB37,NĐ!AF37))=9)*(CHOOSE({1,2,3,4},NĐ!W37,NĐ!AA37,NĐ!AE37,NĐ!AI37)))</f>
        <v>0</v>
      </c>
      <c r="J37">
        <f>SUMPRODUCT((MONTH(CHOOSE({1,2,3,4},NĐ!T37,NĐ!X37,NĐ!AB37,NĐ!AF37))=10)*(CHOOSE({1,2,3,4},NĐ!W37,NĐ!AA37,NĐ!AE37,NĐ!AI37)))</f>
        <v>0</v>
      </c>
      <c r="K37">
        <f>SUMPRODUCT((MONTH(CHOOSE({1,2,3,4},NĐ!T37,NĐ!X37,NĐ!AB37,NĐ!AF37))=11)*(CHOOSE({1,2,3,4},NĐ!W37,NĐ!AA37,NĐ!AE37,NĐ!AI37)))</f>
        <v>0</v>
      </c>
      <c r="L37">
        <f>SUMPRODUCT((MONTH(CHOOSE({1,2,3,4},NĐ!T37,NĐ!X37,NĐ!AB37,NĐ!AF37))=12)*(CHOOSE({1,2,3,4},NĐ!W37,NĐ!AA37,NĐ!AE37,NĐ!AI37)))</f>
        <v>0</v>
      </c>
    </row>
    <row r="38" spans="1:12">
      <c r="A38">
        <f>SUMPRODUCT((MONTH(CHOOSE({1,2,3,4},NĐ!T38,NĐ!X38,NĐ!AB38,NĐ!AF38))=1)*(CHOOSE({1,2,3,4},NĐ!W38,NĐ!AA38,NĐ!AE38,NĐ!AI38)))</f>
        <v>0</v>
      </c>
      <c r="B38">
        <f>SUMPRODUCT((MONTH(CHOOSE({1,2,3,4},NĐ!T38,NĐ!X38,NĐ!AB38,NĐ!AF38))=2)*(CHOOSE({1,2,3,4},NĐ!W38,NĐ!AA38,NĐ!AE38,NĐ!AI38)))</f>
        <v>0</v>
      </c>
      <c r="C38">
        <f>SUMPRODUCT((MONTH(CHOOSE({1,2,3,4},NĐ!T38,NĐ!X38,NĐ!AB38,NĐ!AF38))=3)*(CHOOSE({1,2,3,4},NĐ!W38,NĐ!AA38,NĐ!AE38,NĐ!AI38)))</f>
        <v>0</v>
      </c>
      <c r="D38">
        <f>SUMPRODUCT((MONTH(CHOOSE({1,2,3,4},NĐ!T38,NĐ!X38,NĐ!AB38,NĐ!AF38))=4)*(CHOOSE({1,2,3,4},NĐ!W38,NĐ!AA38,NĐ!AE38,NĐ!AI38)))</f>
        <v>0</v>
      </c>
      <c r="E38">
        <f>SUMPRODUCT((MONTH(CHOOSE({1,2,3,4},NĐ!T38,NĐ!X38,NĐ!AB38,NĐ!AF38))=5)*(CHOOSE({1,2,3,4},NĐ!W38,NĐ!AA38,NĐ!AE38,NĐ!AI38)))</f>
        <v>0</v>
      </c>
      <c r="F38">
        <f>SUMPRODUCT((MONTH(CHOOSE({1,2,3,4},NĐ!T38,NĐ!X38,NĐ!AB38,NĐ!AF38))=6)*(CHOOSE({1,2,3,4},NĐ!W38,NĐ!AA38,NĐ!AE38,NĐ!AI38)))</f>
        <v>0</v>
      </c>
      <c r="G38">
        <f>SUMPRODUCT((MONTH(CHOOSE({1,2,3,4},NĐ!T38,NĐ!X38,NĐ!AB38,NĐ!AF38))=7)*(CHOOSE({1,2,3,4},NĐ!W38,NĐ!AA38,NĐ!AE38,NĐ!AI38)))</f>
        <v>0</v>
      </c>
      <c r="H38">
        <f>SUMPRODUCT((MONTH(CHOOSE({1,2,3,4},NĐ!T38,NĐ!X38,NĐ!AB38,NĐ!AF38))=8)*(CHOOSE({1,2,3,4},NĐ!W38,NĐ!AA38,NĐ!AE38,NĐ!AI38)))</f>
        <v>0</v>
      </c>
      <c r="I38">
        <f>SUMPRODUCT((MONTH(CHOOSE({1,2,3,4},NĐ!T38,NĐ!X38,NĐ!AB38,NĐ!AF38))=9)*(CHOOSE({1,2,3,4},NĐ!W38,NĐ!AA38,NĐ!AE38,NĐ!AI38)))</f>
        <v>0</v>
      </c>
      <c r="J38">
        <f>SUMPRODUCT((MONTH(CHOOSE({1,2,3,4},NĐ!T38,NĐ!X38,NĐ!AB38,NĐ!AF38))=10)*(CHOOSE({1,2,3,4},NĐ!W38,NĐ!AA38,NĐ!AE38,NĐ!AI38)))</f>
        <v>0</v>
      </c>
      <c r="K38">
        <f>SUMPRODUCT((MONTH(CHOOSE({1,2,3,4},NĐ!T38,NĐ!X38,NĐ!AB38,NĐ!AF38))=11)*(CHOOSE({1,2,3,4},NĐ!W38,NĐ!AA38,NĐ!AE38,NĐ!AI38)))</f>
        <v>0</v>
      </c>
      <c r="L38">
        <f>SUMPRODUCT((MONTH(CHOOSE({1,2,3,4},NĐ!T38,NĐ!X38,NĐ!AB38,NĐ!AF38))=12)*(CHOOSE({1,2,3,4},NĐ!W38,NĐ!AA38,NĐ!AE38,NĐ!AI38)))</f>
        <v>0</v>
      </c>
    </row>
    <row r="39" spans="1:12">
      <c r="A39">
        <f>SUMPRODUCT((MONTH(CHOOSE({1,2,3,4},NĐ!T39,NĐ!X39,NĐ!AB39,NĐ!AF39))=1)*(CHOOSE({1,2,3,4},NĐ!W39,NĐ!AA39,NĐ!AE39,NĐ!AI39)))</f>
        <v>0</v>
      </c>
      <c r="B39">
        <f>SUMPRODUCT((MONTH(CHOOSE({1,2,3,4},NĐ!T39,NĐ!X39,NĐ!AB39,NĐ!AF39))=2)*(CHOOSE({1,2,3,4},NĐ!W39,NĐ!AA39,NĐ!AE39,NĐ!AI39)))</f>
        <v>0</v>
      </c>
      <c r="C39">
        <f>SUMPRODUCT((MONTH(CHOOSE({1,2,3,4},NĐ!T39,NĐ!X39,NĐ!AB39,NĐ!AF39))=3)*(CHOOSE({1,2,3,4},NĐ!W39,NĐ!AA39,NĐ!AE39,NĐ!AI39)))</f>
        <v>0</v>
      </c>
      <c r="D39">
        <f>SUMPRODUCT((MONTH(CHOOSE({1,2,3,4},NĐ!T39,NĐ!X39,NĐ!AB39,NĐ!AF39))=4)*(CHOOSE({1,2,3,4},NĐ!W39,NĐ!AA39,NĐ!AE39,NĐ!AI39)))</f>
        <v>0</v>
      </c>
      <c r="E39">
        <f>SUMPRODUCT((MONTH(CHOOSE({1,2,3,4},NĐ!T39,NĐ!X39,NĐ!AB39,NĐ!AF39))=5)*(CHOOSE({1,2,3,4},NĐ!W39,NĐ!AA39,NĐ!AE39,NĐ!AI39)))</f>
        <v>0</v>
      </c>
      <c r="F39">
        <f>SUMPRODUCT((MONTH(CHOOSE({1,2,3,4},NĐ!T39,NĐ!X39,NĐ!AB39,NĐ!AF39))=6)*(CHOOSE({1,2,3,4},NĐ!W39,NĐ!AA39,NĐ!AE39,NĐ!AI39)))</f>
        <v>0</v>
      </c>
      <c r="G39">
        <f>SUMPRODUCT((MONTH(CHOOSE({1,2,3,4},NĐ!T39,NĐ!X39,NĐ!AB39,NĐ!AF39))=7)*(CHOOSE({1,2,3,4},NĐ!W39,NĐ!AA39,NĐ!AE39,NĐ!AI39)))</f>
        <v>0</v>
      </c>
      <c r="H39">
        <f>SUMPRODUCT((MONTH(CHOOSE({1,2,3,4},NĐ!T39,NĐ!X39,NĐ!AB39,NĐ!AF39))=8)*(CHOOSE({1,2,3,4},NĐ!W39,NĐ!AA39,NĐ!AE39,NĐ!AI39)))</f>
        <v>0</v>
      </c>
      <c r="I39">
        <f>SUMPRODUCT((MONTH(CHOOSE({1,2,3,4},NĐ!T39,NĐ!X39,NĐ!AB39,NĐ!AF39))=9)*(CHOOSE({1,2,3,4},NĐ!W39,NĐ!AA39,NĐ!AE39,NĐ!AI39)))</f>
        <v>0</v>
      </c>
      <c r="J39">
        <f>SUMPRODUCT((MONTH(CHOOSE({1,2,3,4},NĐ!T39,NĐ!X39,NĐ!AB39,NĐ!AF39))=10)*(CHOOSE({1,2,3,4},NĐ!W39,NĐ!AA39,NĐ!AE39,NĐ!AI39)))</f>
        <v>0</v>
      </c>
      <c r="K39">
        <f>SUMPRODUCT((MONTH(CHOOSE({1,2,3,4},NĐ!T39,NĐ!X39,NĐ!AB39,NĐ!AF39))=11)*(CHOOSE({1,2,3,4},NĐ!W39,NĐ!AA39,NĐ!AE39,NĐ!AI39)))</f>
        <v>0</v>
      </c>
      <c r="L39">
        <f>SUMPRODUCT((MONTH(CHOOSE({1,2,3,4},NĐ!T39,NĐ!X39,NĐ!AB39,NĐ!AF39))=12)*(CHOOSE({1,2,3,4},NĐ!W39,NĐ!AA39,NĐ!AE39,NĐ!AI39)))</f>
        <v>0</v>
      </c>
    </row>
    <row r="40" spans="1:12">
      <c r="A40">
        <f>SUMPRODUCT((MONTH(CHOOSE({1,2,3,4},NĐ!T40,NĐ!X40,NĐ!AB40,NĐ!AF40))=1)*(CHOOSE({1,2,3,4},NĐ!W40,NĐ!AA40,NĐ!AE40,NĐ!AI40)))</f>
        <v>0</v>
      </c>
      <c r="B40">
        <f>SUMPRODUCT((MONTH(CHOOSE({1,2,3,4},NĐ!T40,NĐ!X40,NĐ!AB40,NĐ!AF40))=2)*(CHOOSE({1,2,3,4},NĐ!W40,NĐ!AA40,NĐ!AE40,NĐ!AI40)))</f>
        <v>0</v>
      </c>
      <c r="C40">
        <f>SUMPRODUCT((MONTH(CHOOSE({1,2,3,4},NĐ!T40,NĐ!X40,NĐ!AB40,NĐ!AF40))=3)*(CHOOSE({1,2,3,4},NĐ!W40,NĐ!AA40,NĐ!AE40,NĐ!AI40)))</f>
        <v>0</v>
      </c>
      <c r="D40">
        <f>SUMPRODUCT((MONTH(CHOOSE({1,2,3,4},NĐ!T40,NĐ!X40,NĐ!AB40,NĐ!AF40))=4)*(CHOOSE({1,2,3,4},NĐ!W40,NĐ!AA40,NĐ!AE40,NĐ!AI40)))</f>
        <v>0</v>
      </c>
      <c r="E40">
        <f>SUMPRODUCT((MONTH(CHOOSE({1,2,3,4},NĐ!T40,NĐ!X40,NĐ!AB40,NĐ!AF40))=5)*(CHOOSE({1,2,3,4},NĐ!W40,NĐ!AA40,NĐ!AE40,NĐ!AI40)))</f>
        <v>0</v>
      </c>
      <c r="F40">
        <f>SUMPRODUCT((MONTH(CHOOSE({1,2,3,4},NĐ!T40,NĐ!X40,NĐ!AB40,NĐ!AF40))=6)*(CHOOSE({1,2,3,4},NĐ!W40,NĐ!AA40,NĐ!AE40,NĐ!AI40)))</f>
        <v>0</v>
      </c>
      <c r="G40">
        <f>SUMPRODUCT((MONTH(CHOOSE({1,2,3,4},NĐ!T40,NĐ!X40,NĐ!AB40,NĐ!AF40))=7)*(CHOOSE({1,2,3,4},NĐ!W40,NĐ!AA40,NĐ!AE40,NĐ!AI40)))</f>
        <v>0</v>
      </c>
      <c r="H40">
        <f>SUMPRODUCT((MONTH(CHOOSE({1,2,3,4},NĐ!T40,NĐ!X40,NĐ!AB40,NĐ!AF40))=8)*(CHOOSE({1,2,3,4},NĐ!W40,NĐ!AA40,NĐ!AE40,NĐ!AI40)))</f>
        <v>0</v>
      </c>
      <c r="I40">
        <f>SUMPRODUCT((MONTH(CHOOSE({1,2,3,4},NĐ!T40,NĐ!X40,NĐ!AB40,NĐ!AF40))=9)*(CHOOSE({1,2,3,4},NĐ!W40,NĐ!AA40,NĐ!AE40,NĐ!AI40)))</f>
        <v>0</v>
      </c>
      <c r="J40">
        <f>SUMPRODUCT((MONTH(CHOOSE({1,2,3,4},NĐ!T40,NĐ!X40,NĐ!AB40,NĐ!AF40))=10)*(CHOOSE({1,2,3,4},NĐ!W40,NĐ!AA40,NĐ!AE40,NĐ!AI40)))</f>
        <v>0</v>
      </c>
      <c r="K40">
        <f>SUMPRODUCT((MONTH(CHOOSE({1,2,3,4},NĐ!T40,NĐ!X40,NĐ!AB40,NĐ!AF40))=11)*(CHOOSE({1,2,3,4},NĐ!W40,NĐ!AA40,NĐ!AE40,NĐ!AI40)))</f>
        <v>0</v>
      </c>
      <c r="L40">
        <f>SUMPRODUCT((MONTH(CHOOSE({1,2,3,4},NĐ!T40,NĐ!X40,NĐ!AB40,NĐ!AF40))=12)*(CHOOSE({1,2,3,4},NĐ!W40,NĐ!AA40,NĐ!AE40,NĐ!AI40)))</f>
        <v>0</v>
      </c>
    </row>
    <row r="41" spans="1:12">
      <c r="A41">
        <f>SUMPRODUCT((MONTH(CHOOSE({1,2,3,4},NĐ!T41,NĐ!X41,NĐ!AB41,NĐ!AF41))=1)*(CHOOSE({1,2,3,4},NĐ!W41,NĐ!AA41,NĐ!AE41,NĐ!AI41)))</f>
        <v>0</v>
      </c>
      <c r="B41">
        <f>SUMPRODUCT((MONTH(CHOOSE({1,2,3,4},NĐ!T41,NĐ!X41,NĐ!AB41,NĐ!AF41))=2)*(CHOOSE({1,2,3,4},NĐ!W41,NĐ!AA41,NĐ!AE41,NĐ!AI41)))</f>
        <v>0</v>
      </c>
      <c r="C41">
        <f>SUMPRODUCT((MONTH(CHOOSE({1,2,3,4},NĐ!T41,NĐ!X41,NĐ!AB41,NĐ!AF41))=3)*(CHOOSE({1,2,3,4},NĐ!W41,NĐ!AA41,NĐ!AE41,NĐ!AI41)))</f>
        <v>0</v>
      </c>
      <c r="D41">
        <f>SUMPRODUCT((MONTH(CHOOSE({1,2,3,4},NĐ!T41,NĐ!X41,NĐ!AB41,NĐ!AF41))=4)*(CHOOSE({1,2,3,4},NĐ!W41,NĐ!AA41,NĐ!AE41,NĐ!AI41)))</f>
        <v>0</v>
      </c>
      <c r="E41">
        <f>SUMPRODUCT((MONTH(CHOOSE({1,2,3,4},NĐ!T41,NĐ!X41,NĐ!AB41,NĐ!AF41))=5)*(CHOOSE({1,2,3,4},NĐ!W41,NĐ!AA41,NĐ!AE41,NĐ!AI41)))</f>
        <v>0</v>
      </c>
      <c r="F41">
        <f>SUMPRODUCT((MONTH(CHOOSE({1,2,3,4},NĐ!T41,NĐ!X41,NĐ!AB41,NĐ!AF41))=6)*(CHOOSE({1,2,3,4},NĐ!W41,NĐ!AA41,NĐ!AE41,NĐ!AI41)))</f>
        <v>0</v>
      </c>
      <c r="G41">
        <f>SUMPRODUCT((MONTH(CHOOSE({1,2,3,4},NĐ!T41,NĐ!X41,NĐ!AB41,NĐ!AF41))=7)*(CHOOSE({1,2,3,4},NĐ!W41,NĐ!AA41,NĐ!AE41,NĐ!AI41)))</f>
        <v>0</v>
      </c>
      <c r="H41">
        <f>SUMPRODUCT((MONTH(CHOOSE({1,2,3,4},NĐ!T41,NĐ!X41,NĐ!AB41,NĐ!AF41))=8)*(CHOOSE({1,2,3,4},NĐ!W41,NĐ!AA41,NĐ!AE41,NĐ!AI41)))</f>
        <v>0</v>
      </c>
      <c r="I41">
        <f>SUMPRODUCT((MONTH(CHOOSE({1,2,3,4},NĐ!T41,NĐ!X41,NĐ!AB41,NĐ!AF41))=9)*(CHOOSE({1,2,3,4},NĐ!W41,NĐ!AA41,NĐ!AE41,NĐ!AI41)))</f>
        <v>0</v>
      </c>
      <c r="J41">
        <f>SUMPRODUCT((MONTH(CHOOSE({1,2,3,4},NĐ!T41,NĐ!X41,NĐ!AB41,NĐ!AF41))=10)*(CHOOSE({1,2,3,4},NĐ!W41,NĐ!AA41,NĐ!AE41,NĐ!AI41)))</f>
        <v>0</v>
      </c>
      <c r="K41">
        <f>SUMPRODUCT((MONTH(CHOOSE({1,2,3,4},NĐ!T41,NĐ!X41,NĐ!AB41,NĐ!AF41))=11)*(CHOOSE({1,2,3,4},NĐ!W41,NĐ!AA41,NĐ!AE41,NĐ!AI41)))</f>
        <v>0</v>
      </c>
      <c r="L41">
        <f>SUMPRODUCT((MONTH(CHOOSE({1,2,3,4},NĐ!T41,NĐ!X41,NĐ!AB41,NĐ!AF41))=12)*(CHOOSE({1,2,3,4},NĐ!W41,NĐ!AA41,NĐ!AE41,NĐ!AI41)))</f>
        <v>0</v>
      </c>
    </row>
    <row r="42" spans="1:12">
      <c r="A42">
        <f>SUMPRODUCT((MONTH(CHOOSE({1,2,3,4},NĐ!T42,NĐ!X42,NĐ!AB42,NĐ!AF42))=1)*(CHOOSE({1,2,3,4},NĐ!W42,NĐ!AA42,NĐ!AE42,NĐ!AI42)))</f>
        <v>0</v>
      </c>
      <c r="B42">
        <f>SUMPRODUCT((MONTH(CHOOSE({1,2,3,4},NĐ!T42,NĐ!X42,NĐ!AB42,NĐ!AF42))=2)*(CHOOSE({1,2,3,4},NĐ!W42,NĐ!AA42,NĐ!AE42,NĐ!AI42)))</f>
        <v>0</v>
      </c>
      <c r="C42">
        <f>SUMPRODUCT((MONTH(CHOOSE({1,2,3,4},NĐ!T42,NĐ!X42,NĐ!AB42,NĐ!AF42))=3)*(CHOOSE({1,2,3,4},NĐ!W42,NĐ!AA42,NĐ!AE42,NĐ!AI42)))</f>
        <v>0</v>
      </c>
      <c r="D42">
        <f>SUMPRODUCT((MONTH(CHOOSE({1,2,3,4},NĐ!T42,NĐ!X42,NĐ!AB42,NĐ!AF42))=4)*(CHOOSE({1,2,3,4},NĐ!W42,NĐ!AA42,NĐ!AE42,NĐ!AI42)))</f>
        <v>0</v>
      </c>
      <c r="E42">
        <f>SUMPRODUCT((MONTH(CHOOSE({1,2,3,4},NĐ!T42,NĐ!X42,NĐ!AB42,NĐ!AF42))=5)*(CHOOSE({1,2,3,4},NĐ!W42,NĐ!AA42,NĐ!AE42,NĐ!AI42)))</f>
        <v>0</v>
      </c>
      <c r="F42">
        <f>SUMPRODUCT((MONTH(CHOOSE({1,2,3,4},NĐ!T42,NĐ!X42,NĐ!AB42,NĐ!AF42))=6)*(CHOOSE({1,2,3,4},NĐ!W42,NĐ!AA42,NĐ!AE42,NĐ!AI42)))</f>
        <v>0</v>
      </c>
      <c r="G42">
        <f>SUMPRODUCT((MONTH(CHOOSE({1,2,3,4},NĐ!T42,NĐ!X42,NĐ!AB42,NĐ!AF42))=7)*(CHOOSE({1,2,3,4},NĐ!W42,NĐ!AA42,NĐ!AE42,NĐ!AI42)))</f>
        <v>0</v>
      </c>
      <c r="H42">
        <f>SUMPRODUCT((MONTH(CHOOSE({1,2,3,4},NĐ!T42,NĐ!X42,NĐ!AB42,NĐ!AF42))=8)*(CHOOSE({1,2,3,4},NĐ!W42,NĐ!AA42,NĐ!AE42,NĐ!AI42)))</f>
        <v>0</v>
      </c>
      <c r="I42">
        <f>SUMPRODUCT((MONTH(CHOOSE({1,2,3,4},NĐ!T42,NĐ!X42,NĐ!AB42,NĐ!AF42))=9)*(CHOOSE({1,2,3,4},NĐ!W42,NĐ!AA42,NĐ!AE42,NĐ!AI42)))</f>
        <v>0</v>
      </c>
      <c r="J42">
        <f>SUMPRODUCT((MONTH(CHOOSE({1,2,3,4},NĐ!T42,NĐ!X42,NĐ!AB42,NĐ!AF42))=10)*(CHOOSE({1,2,3,4},NĐ!W42,NĐ!AA42,NĐ!AE42,NĐ!AI42)))</f>
        <v>0</v>
      </c>
      <c r="K42">
        <f>SUMPRODUCT((MONTH(CHOOSE({1,2,3,4},NĐ!T42,NĐ!X42,NĐ!AB42,NĐ!AF42))=11)*(CHOOSE({1,2,3,4},NĐ!W42,NĐ!AA42,NĐ!AE42,NĐ!AI42)))</f>
        <v>0</v>
      </c>
      <c r="L42">
        <f>SUMPRODUCT((MONTH(CHOOSE({1,2,3,4},NĐ!T42,NĐ!X42,NĐ!AB42,NĐ!AF42))=12)*(CHOOSE({1,2,3,4},NĐ!W42,NĐ!AA42,NĐ!AE42,NĐ!AI42)))</f>
        <v>0</v>
      </c>
    </row>
    <row r="43" spans="1:12">
      <c r="A43">
        <f>SUMPRODUCT((MONTH(CHOOSE({1,2,3,4},NĐ!T43,NĐ!X43,NĐ!AB43,NĐ!AF43))=1)*(CHOOSE({1,2,3,4},NĐ!W43,NĐ!AA43,NĐ!AE43,NĐ!AI43)))</f>
        <v>0</v>
      </c>
      <c r="B43">
        <f>SUMPRODUCT((MONTH(CHOOSE({1,2,3,4},NĐ!T43,NĐ!X43,NĐ!AB43,NĐ!AF43))=2)*(CHOOSE({1,2,3,4},NĐ!W43,NĐ!AA43,NĐ!AE43,NĐ!AI43)))</f>
        <v>0</v>
      </c>
      <c r="C43">
        <f>SUMPRODUCT((MONTH(CHOOSE({1,2,3,4},NĐ!T43,NĐ!X43,NĐ!AB43,NĐ!AF43))=3)*(CHOOSE({1,2,3,4},NĐ!W43,NĐ!AA43,NĐ!AE43,NĐ!AI43)))</f>
        <v>0</v>
      </c>
      <c r="D43">
        <f>SUMPRODUCT((MONTH(CHOOSE({1,2,3,4},NĐ!T43,NĐ!X43,NĐ!AB43,NĐ!AF43))=4)*(CHOOSE({1,2,3,4},NĐ!W43,NĐ!AA43,NĐ!AE43,NĐ!AI43)))</f>
        <v>0</v>
      </c>
      <c r="E43">
        <f>SUMPRODUCT((MONTH(CHOOSE({1,2,3,4},NĐ!T43,NĐ!X43,NĐ!AB43,NĐ!AF43))=5)*(CHOOSE({1,2,3,4},NĐ!W43,NĐ!AA43,NĐ!AE43,NĐ!AI43)))</f>
        <v>0</v>
      </c>
      <c r="F43">
        <f>SUMPRODUCT((MONTH(CHOOSE({1,2,3,4},NĐ!T43,NĐ!X43,NĐ!AB43,NĐ!AF43))=6)*(CHOOSE({1,2,3,4},NĐ!W43,NĐ!AA43,NĐ!AE43,NĐ!AI43)))</f>
        <v>0</v>
      </c>
      <c r="G43">
        <f>SUMPRODUCT((MONTH(CHOOSE({1,2,3,4},NĐ!T43,NĐ!X43,NĐ!AB43,NĐ!AF43))=7)*(CHOOSE({1,2,3,4},NĐ!W43,NĐ!AA43,NĐ!AE43,NĐ!AI43)))</f>
        <v>0</v>
      </c>
      <c r="H43">
        <f>SUMPRODUCT((MONTH(CHOOSE({1,2,3,4},NĐ!T43,NĐ!X43,NĐ!AB43,NĐ!AF43))=8)*(CHOOSE({1,2,3,4},NĐ!W43,NĐ!AA43,NĐ!AE43,NĐ!AI43)))</f>
        <v>0</v>
      </c>
      <c r="I43">
        <f>SUMPRODUCT((MONTH(CHOOSE({1,2,3,4},NĐ!T43,NĐ!X43,NĐ!AB43,NĐ!AF43))=9)*(CHOOSE({1,2,3,4},NĐ!W43,NĐ!AA43,NĐ!AE43,NĐ!AI43)))</f>
        <v>0</v>
      </c>
      <c r="J43">
        <f>SUMPRODUCT((MONTH(CHOOSE({1,2,3,4},NĐ!T43,NĐ!X43,NĐ!AB43,NĐ!AF43))=10)*(CHOOSE({1,2,3,4},NĐ!W43,NĐ!AA43,NĐ!AE43,NĐ!AI43)))</f>
        <v>0</v>
      </c>
      <c r="K43">
        <f>SUMPRODUCT((MONTH(CHOOSE({1,2,3,4},NĐ!T43,NĐ!X43,NĐ!AB43,NĐ!AF43))=11)*(CHOOSE({1,2,3,4},NĐ!W43,NĐ!AA43,NĐ!AE43,NĐ!AI43)))</f>
        <v>0</v>
      </c>
      <c r="L43">
        <f>SUMPRODUCT((MONTH(CHOOSE({1,2,3,4},NĐ!T43,NĐ!X43,NĐ!AB43,NĐ!AF43))=12)*(CHOOSE({1,2,3,4},NĐ!W43,NĐ!AA43,NĐ!AE43,NĐ!AI43)))</f>
        <v>0</v>
      </c>
    </row>
    <row r="44" spans="1:12">
      <c r="A44">
        <f>SUMPRODUCT((MONTH(CHOOSE({1,2,3,4},NĐ!T44,NĐ!X44,NĐ!AB44,NĐ!AF44))=1)*(CHOOSE({1,2,3,4},NĐ!W44,NĐ!AA44,NĐ!AE44,NĐ!AI44)))</f>
        <v>0</v>
      </c>
      <c r="B44">
        <f>SUMPRODUCT((MONTH(CHOOSE({1,2,3,4},NĐ!T44,NĐ!X44,NĐ!AB44,NĐ!AF44))=2)*(CHOOSE({1,2,3,4},NĐ!W44,NĐ!AA44,NĐ!AE44,NĐ!AI44)))</f>
        <v>0</v>
      </c>
      <c r="C44">
        <f>SUMPRODUCT((MONTH(CHOOSE({1,2,3,4},NĐ!T44,NĐ!X44,NĐ!AB44,NĐ!AF44))=3)*(CHOOSE({1,2,3,4},NĐ!W44,NĐ!AA44,NĐ!AE44,NĐ!AI44)))</f>
        <v>0</v>
      </c>
      <c r="D44">
        <f>SUMPRODUCT((MONTH(CHOOSE({1,2,3,4},NĐ!T44,NĐ!X44,NĐ!AB44,NĐ!AF44))=4)*(CHOOSE({1,2,3,4},NĐ!W44,NĐ!AA44,NĐ!AE44,NĐ!AI44)))</f>
        <v>0</v>
      </c>
      <c r="E44">
        <f>SUMPRODUCT((MONTH(CHOOSE({1,2,3,4},NĐ!T44,NĐ!X44,NĐ!AB44,NĐ!AF44))=5)*(CHOOSE({1,2,3,4},NĐ!W44,NĐ!AA44,NĐ!AE44,NĐ!AI44)))</f>
        <v>0</v>
      </c>
      <c r="F44">
        <f>SUMPRODUCT((MONTH(CHOOSE({1,2,3,4},NĐ!T44,NĐ!X44,NĐ!AB44,NĐ!AF44))=6)*(CHOOSE({1,2,3,4},NĐ!W44,NĐ!AA44,NĐ!AE44,NĐ!AI44)))</f>
        <v>0</v>
      </c>
      <c r="G44">
        <f>SUMPRODUCT((MONTH(CHOOSE({1,2,3,4},NĐ!T44,NĐ!X44,NĐ!AB44,NĐ!AF44))=7)*(CHOOSE({1,2,3,4},NĐ!W44,NĐ!AA44,NĐ!AE44,NĐ!AI44)))</f>
        <v>0</v>
      </c>
      <c r="H44">
        <f>SUMPRODUCT((MONTH(CHOOSE({1,2,3,4},NĐ!T44,NĐ!X44,NĐ!AB44,NĐ!AF44))=8)*(CHOOSE({1,2,3,4},NĐ!W44,NĐ!AA44,NĐ!AE44,NĐ!AI44)))</f>
        <v>0</v>
      </c>
      <c r="I44">
        <f>SUMPRODUCT((MONTH(CHOOSE({1,2,3,4},NĐ!T44,NĐ!X44,NĐ!AB44,NĐ!AF44))=9)*(CHOOSE({1,2,3,4},NĐ!W44,NĐ!AA44,NĐ!AE44,NĐ!AI44)))</f>
        <v>0</v>
      </c>
      <c r="J44">
        <f>SUMPRODUCT((MONTH(CHOOSE({1,2,3,4},NĐ!T44,NĐ!X44,NĐ!AB44,NĐ!AF44))=10)*(CHOOSE({1,2,3,4},NĐ!W44,NĐ!AA44,NĐ!AE44,NĐ!AI44)))</f>
        <v>0</v>
      </c>
      <c r="K44">
        <f>SUMPRODUCT((MONTH(CHOOSE({1,2,3,4},NĐ!T44,NĐ!X44,NĐ!AB44,NĐ!AF44))=11)*(CHOOSE({1,2,3,4},NĐ!W44,NĐ!AA44,NĐ!AE44,NĐ!AI44)))</f>
        <v>0</v>
      </c>
      <c r="L44">
        <f>SUMPRODUCT((MONTH(CHOOSE({1,2,3,4},NĐ!T44,NĐ!X44,NĐ!AB44,NĐ!AF44))=12)*(CHOOSE({1,2,3,4},NĐ!W44,NĐ!AA44,NĐ!AE44,NĐ!AI44)))</f>
        <v>0</v>
      </c>
    </row>
    <row r="45" spans="1:12">
      <c r="A45">
        <f>SUMPRODUCT((MONTH(CHOOSE({1,2,3,4},NĐ!T45,NĐ!X45,NĐ!AB45,NĐ!AF45))=1)*(CHOOSE({1,2,3,4},NĐ!W45,NĐ!AA45,NĐ!AE45,NĐ!AI45)))</f>
        <v>0</v>
      </c>
      <c r="B45">
        <f>SUMPRODUCT((MONTH(CHOOSE({1,2,3,4},NĐ!T45,NĐ!X45,NĐ!AB45,NĐ!AF45))=2)*(CHOOSE({1,2,3,4},NĐ!W45,NĐ!AA45,NĐ!AE45,NĐ!AI45)))</f>
        <v>0</v>
      </c>
      <c r="C45">
        <f>SUMPRODUCT((MONTH(CHOOSE({1,2,3,4},NĐ!T45,NĐ!X45,NĐ!AB45,NĐ!AF45))=3)*(CHOOSE({1,2,3,4},NĐ!W45,NĐ!AA45,NĐ!AE45,NĐ!AI45)))</f>
        <v>0</v>
      </c>
      <c r="D45">
        <f>SUMPRODUCT((MONTH(CHOOSE({1,2,3,4},NĐ!T45,NĐ!X45,NĐ!AB45,NĐ!AF45))=4)*(CHOOSE({1,2,3,4},NĐ!W45,NĐ!AA45,NĐ!AE45,NĐ!AI45)))</f>
        <v>0</v>
      </c>
      <c r="E45">
        <f>SUMPRODUCT((MONTH(CHOOSE({1,2,3,4},NĐ!T45,NĐ!X45,NĐ!AB45,NĐ!AF45))=5)*(CHOOSE({1,2,3,4},NĐ!W45,NĐ!AA45,NĐ!AE45,NĐ!AI45)))</f>
        <v>0</v>
      </c>
      <c r="F45">
        <f>SUMPRODUCT((MONTH(CHOOSE({1,2,3,4},NĐ!T45,NĐ!X45,NĐ!AB45,NĐ!AF45))=6)*(CHOOSE({1,2,3,4},NĐ!W45,NĐ!AA45,NĐ!AE45,NĐ!AI45)))</f>
        <v>0</v>
      </c>
      <c r="G45">
        <f>SUMPRODUCT((MONTH(CHOOSE({1,2,3,4},NĐ!T45,NĐ!X45,NĐ!AB45,NĐ!AF45))=7)*(CHOOSE({1,2,3,4},NĐ!W45,NĐ!AA45,NĐ!AE45,NĐ!AI45)))</f>
        <v>0</v>
      </c>
      <c r="H45">
        <f>SUMPRODUCT((MONTH(CHOOSE({1,2,3,4},NĐ!T45,NĐ!X45,NĐ!AB45,NĐ!AF45))=8)*(CHOOSE({1,2,3,4},NĐ!W45,NĐ!AA45,NĐ!AE45,NĐ!AI45)))</f>
        <v>0</v>
      </c>
      <c r="I45">
        <f>SUMPRODUCT((MONTH(CHOOSE({1,2,3,4},NĐ!T45,NĐ!X45,NĐ!AB45,NĐ!AF45))=9)*(CHOOSE({1,2,3,4},NĐ!W45,NĐ!AA45,NĐ!AE45,NĐ!AI45)))</f>
        <v>0</v>
      </c>
      <c r="J45">
        <f>SUMPRODUCT((MONTH(CHOOSE({1,2,3,4},NĐ!T45,NĐ!X45,NĐ!AB45,NĐ!AF45))=10)*(CHOOSE({1,2,3,4},NĐ!W45,NĐ!AA45,NĐ!AE45,NĐ!AI45)))</f>
        <v>0</v>
      </c>
      <c r="K45">
        <f>SUMPRODUCT((MONTH(CHOOSE({1,2,3,4},NĐ!T45,NĐ!X45,NĐ!AB45,NĐ!AF45))=11)*(CHOOSE({1,2,3,4},NĐ!W45,NĐ!AA45,NĐ!AE45,NĐ!AI45)))</f>
        <v>0</v>
      </c>
      <c r="L45">
        <f>SUMPRODUCT((MONTH(CHOOSE({1,2,3,4},NĐ!T45,NĐ!X45,NĐ!AB45,NĐ!AF45))=12)*(CHOOSE({1,2,3,4},NĐ!W45,NĐ!AA45,NĐ!AE45,NĐ!AI45)))</f>
        <v>0</v>
      </c>
    </row>
    <row r="46" spans="1:12">
      <c r="A46">
        <f>SUMPRODUCT((MONTH(CHOOSE({1,2,3,4},NĐ!T46,NĐ!X46,NĐ!AB46,NĐ!AF46))=1)*(CHOOSE({1,2,3,4},NĐ!W46,NĐ!AA46,NĐ!AE46,NĐ!AI46)))</f>
        <v>0</v>
      </c>
      <c r="B46">
        <f>SUMPRODUCT((MONTH(CHOOSE({1,2,3,4},NĐ!T46,NĐ!X46,NĐ!AB46,NĐ!AF46))=2)*(CHOOSE({1,2,3,4},NĐ!W46,NĐ!AA46,NĐ!AE46,NĐ!AI46)))</f>
        <v>0</v>
      </c>
      <c r="C46">
        <f>SUMPRODUCT((MONTH(CHOOSE({1,2,3,4},NĐ!T46,NĐ!X46,NĐ!AB46,NĐ!AF46))=3)*(CHOOSE({1,2,3,4},NĐ!W46,NĐ!AA46,NĐ!AE46,NĐ!AI46)))</f>
        <v>0</v>
      </c>
      <c r="D46">
        <f>SUMPRODUCT((MONTH(CHOOSE({1,2,3,4},NĐ!T46,NĐ!X46,NĐ!AB46,NĐ!AF46))=4)*(CHOOSE({1,2,3,4},NĐ!W46,NĐ!AA46,NĐ!AE46,NĐ!AI46)))</f>
        <v>0</v>
      </c>
      <c r="E46">
        <f>SUMPRODUCT((MONTH(CHOOSE({1,2,3,4},NĐ!T46,NĐ!X46,NĐ!AB46,NĐ!AF46))=5)*(CHOOSE({1,2,3,4},NĐ!W46,NĐ!AA46,NĐ!AE46,NĐ!AI46)))</f>
        <v>0</v>
      </c>
      <c r="F46">
        <f>SUMPRODUCT((MONTH(CHOOSE({1,2,3,4},NĐ!T46,NĐ!X46,NĐ!AB46,NĐ!AF46))=6)*(CHOOSE({1,2,3,4},NĐ!W46,NĐ!AA46,NĐ!AE46,NĐ!AI46)))</f>
        <v>0</v>
      </c>
      <c r="G46">
        <f>SUMPRODUCT((MONTH(CHOOSE({1,2,3,4},NĐ!T46,NĐ!X46,NĐ!AB46,NĐ!AF46))=7)*(CHOOSE({1,2,3,4},NĐ!W46,NĐ!AA46,NĐ!AE46,NĐ!AI46)))</f>
        <v>0</v>
      </c>
      <c r="H46">
        <f>SUMPRODUCT((MONTH(CHOOSE({1,2,3,4},NĐ!T46,NĐ!X46,NĐ!AB46,NĐ!AF46))=8)*(CHOOSE({1,2,3,4},NĐ!W46,NĐ!AA46,NĐ!AE46,NĐ!AI46)))</f>
        <v>0</v>
      </c>
      <c r="I46">
        <f>SUMPRODUCT((MONTH(CHOOSE({1,2,3,4},NĐ!T46,NĐ!X46,NĐ!AB46,NĐ!AF46))=9)*(CHOOSE({1,2,3,4},NĐ!W46,NĐ!AA46,NĐ!AE46,NĐ!AI46)))</f>
        <v>0</v>
      </c>
      <c r="J46">
        <f>SUMPRODUCT((MONTH(CHOOSE({1,2,3,4},NĐ!T46,NĐ!X46,NĐ!AB46,NĐ!AF46))=10)*(CHOOSE({1,2,3,4},NĐ!W46,NĐ!AA46,NĐ!AE46,NĐ!AI46)))</f>
        <v>0</v>
      </c>
      <c r="K46">
        <f>SUMPRODUCT((MONTH(CHOOSE({1,2,3,4},NĐ!T46,NĐ!X46,NĐ!AB46,NĐ!AF46))=11)*(CHOOSE({1,2,3,4},NĐ!W46,NĐ!AA46,NĐ!AE46,NĐ!AI46)))</f>
        <v>0</v>
      </c>
      <c r="L46">
        <f>SUMPRODUCT((MONTH(CHOOSE({1,2,3,4},NĐ!T46,NĐ!X46,NĐ!AB46,NĐ!AF46))=12)*(CHOOSE({1,2,3,4},NĐ!W46,NĐ!AA46,NĐ!AE46,NĐ!AI46)))</f>
        <v>0</v>
      </c>
    </row>
    <row r="47" spans="1:12">
      <c r="A47">
        <f>SUMPRODUCT((MONTH(CHOOSE({1,2,3,4},NĐ!T47,NĐ!X47,NĐ!AB47,NĐ!AF47))=1)*(CHOOSE({1,2,3,4},NĐ!W47,NĐ!AA47,NĐ!AE47,NĐ!AI47)))</f>
        <v>0</v>
      </c>
      <c r="B47">
        <f>SUMPRODUCT((MONTH(CHOOSE({1,2,3,4},NĐ!T47,NĐ!X47,NĐ!AB47,NĐ!AF47))=2)*(CHOOSE({1,2,3,4},NĐ!W47,NĐ!AA47,NĐ!AE47,NĐ!AI47)))</f>
        <v>0</v>
      </c>
      <c r="C47">
        <f>SUMPRODUCT((MONTH(CHOOSE({1,2,3,4},NĐ!T47,NĐ!X47,NĐ!AB47,NĐ!AF47))=3)*(CHOOSE({1,2,3,4},NĐ!W47,NĐ!AA47,NĐ!AE47,NĐ!AI47)))</f>
        <v>0</v>
      </c>
      <c r="D47">
        <f>SUMPRODUCT((MONTH(CHOOSE({1,2,3,4},NĐ!T47,NĐ!X47,NĐ!AB47,NĐ!AF47))=4)*(CHOOSE({1,2,3,4},NĐ!W47,NĐ!AA47,NĐ!AE47,NĐ!AI47)))</f>
        <v>0</v>
      </c>
      <c r="E47">
        <f>SUMPRODUCT((MONTH(CHOOSE({1,2,3,4},NĐ!T47,NĐ!X47,NĐ!AB47,NĐ!AF47))=5)*(CHOOSE({1,2,3,4},NĐ!W47,NĐ!AA47,NĐ!AE47,NĐ!AI47)))</f>
        <v>0</v>
      </c>
      <c r="F47">
        <f>SUMPRODUCT((MONTH(CHOOSE({1,2,3,4},NĐ!T47,NĐ!X47,NĐ!AB47,NĐ!AF47))=6)*(CHOOSE({1,2,3,4},NĐ!W47,NĐ!AA47,NĐ!AE47,NĐ!AI47)))</f>
        <v>0</v>
      </c>
      <c r="G47">
        <f>SUMPRODUCT((MONTH(CHOOSE({1,2,3,4},NĐ!T47,NĐ!X47,NĐ!AB47,NĐ!AF47))=7)*(CHOOSE({1,2,3,4},NĐ!W47,NĐ!AA47,NĐ!AE47,NĐ!AI47)))</f>
        <v>0</v>
      </c>
      <c r="H47">
        <f>SUMPRODUCT((MONTH(CHOOSE({1,2,3,4},NĐ!T47,NĐ!X47,NĐ!AB47,NĐ!AF47))=8)*(CHOOSE({1,2,3,4},NĐ!W47,NĐ!AA47,NĐ!AE47,NĐ!AI47)))</f>
        <v>0</v>
      </c>
      <c r="I47">
        <f>SUMPRODUCT((MONTH(CHOOSE({1,2,3,4},NĐ!T47,NĐ!X47,NĐ!AB47,NĐ!AF47))=9)*(CHOOSE({1,2,3,4},NĐ!W47,NĐ!AA47,NĐ!AE47,NĐ!AI47)))</f>
        <v>0</v>
      </c>
      <c r="J47">
        <f>SUMPRODUCT((MONTH(CHOOSE({1,2,3,4},NĐ!T47,NĐ!X47,NĐ!AB47,NĐ!AF47))=10)*(CHOOSE({1,2,3,4},NĐ!W47,NĐ!AA47,NĐ!AE47,NĐ!AI47)))</f>
        <v>0</v>
      </c>
      <c r="K47">
        <f>SUMPRODUCT((MONTH(CHOOSE({1,2,3,4},NĐ!T47,NĐ!X47,NĐ!AB47,NĐ!AF47))=11)*(CHOOSE({1,2,3,4},NĐ!W47,NĐ!AA47,NĐ!AE47,NĐ!AI47)))</f>
        <v>0</v>
      </c>
      <c r="L47">
        <f>SUMPRODUCT((MONTH(CHOOSE({1,2,3,4},NĐ!T47,NĐ!X47,NĐ!AB47,NĐ!AF47))=12)*(CHOOSE({1,2,3,4},NĐ!W47,NĐ!AA47,NĐ!AE47,NĐ!AI47)))</f>
        <v>0</v>
      </c>
    </row>
    <row r="48" spans="1:12">
      <c r="A48">
        <f>SUMPRODUCT((MONTH(CHOOSE({1,2,3,4},NĐ!T48,NĐ!X48,NĐ!AB48,NĐ!AF48))=1)*(CHOOSE({1,2,3,4},NĐ!W48,NĐ!AA48,NĐ!AE48,NĐ!AI48)))</f>
        <v>0</v>
      </c>
      <c r="B48">
        <f>SUMPRODUCT((MONTH(CHOOSE({1,2,3,4},NĐ!T48,NĐ!X48,NĐ!AB48,NĐ!AF48))=2)*(CHOOSE({1,2,3,4},NĐ!W48,NĐ!AA48,NĐ!AE48,NĐ!AI48)))</f>
        <v>0</v>
      </c>
      <c r="C48">
        <f>SUMPRODUCT((MONTH(CHOOSE({1,2,3,4},NĐ!T48,NĐ!X48,NĐ!AB48,NĐ!AF48))=3)*(CHOOSE({1,2,3,4},NĐ!W48,NĐ!AA48,NĐ!AE48,NĐ!AI48)))</f>
        <v>0</v>
      </c>
      <c r="D48">
        <f>SUMPRODUCT((MONTH(CHOOSE({1,2,3,4},NĐ!T48,NĐ!X48,NĐ!AB48,NĐ!AF48))=4)*(CHOOSE({1,2,3,4},NĐ!W48,NĐ!AA48,NĐ!AE48,NĐ!AI48)))</f>
        <v>0</v>
      </c>
      <c r="E48">
        <f>SUMPRODUCT((MONTH(CHOOSE({1,2,3,4},NĐ!T48,NĐ!X48,NĐ!AB48,NĐ!AF48))=5)*(CHOOSE({1,2,3,4},NĐ!W48,NĐ!AA48,NĐ!AE48,NĐ!AI48)))</f>
        <v>0</v>
      </c>
      <c r="F48">
        <f>SUMPRODUCT((MONTH(CHOOSE({1,2,3,4},NĐ!T48,NĐ!X48,NĐ!AB48,NĐ!AF48))=6)*(CHOOSE({1,2,3,4},NĐ!W48,NĐ!AA48,NĐ!AE48,NĐ!AI48)))</f>
        <v>0</v>
      </c>
      <c r="G48">
        <f>SUMPRODUCT((MONTH(CHOOSE({1,2,3,4},NĐ!T48,NĐ!X48,NĐ!AB48,NĐ!AF48))=7)*(CHOOSE({1,2,3,4},NĐ!W48,NĐ!AA48,NĐ!AE48,NĐ!AI48)))</f>
        <v>0</v>
      </c>
      <c r="H48">
        <f>SUMPRODUCT((MONTH(CHOOSE({1,2,3,4},NĐ!T48,NĐ!X48,NĐ!AB48,NĐ!AF48))=8)*(CHOOSE({1,2,3,4},NĐ!W48,NĐ!AA48,NĐ!AE48,NĐ!AI48)))</f>
        <v>0</v>
      </c>
      <c r="I48">
        <f>SUMPRODUCT((MONTH(CHOOSE({1,2,3,4},NĐ!T48,NĐ!X48,NĐ!AB48,NĐ!AF48))=9)*(CHOOSE({1,2,3,4},NĐ!W48,NĐ!AA48,NĐ!AE48,NĐ!AI48)))</f>
        <v>0</v>
      </c>
      <c r="J48">
        <f>SUMPRODUCT((MONTH(CHOOSE({1,2,3,4},NĐ!T48,NĐ!X48,NĐ!AB48,NĐ!AF48))=10)*(CHOOSE({1,2,3,4},NĐ!W48,NĐ!AA48,NĐ!AE48,NĐ!AI48)))</f>
        <v>0</v>
      </c>
      <c r="K48">
        <f>SUMPRODUCT((MONTH(CHOOSE({1,2,3,4},NĐ!T48,NĐ!X48,NĐ!AB48,NĐ!AF48))=11)*(CHOOSE({1,2,3,4},NĐ!W48,NĐ!AA48,NĐ!AE48,NĐ!AI48)))</f>
        <v>0</v>
      </c>
      <c r="L48">
        <f>SUMPRODUCT((MONTH(CHOOSE({1,2,3,4},NĐ!T48,NĐ!X48,NĐ!AB48,NĐ!AF48))=12)*(CHOOSE({1,2,3,4},NĐ!W48,NĐ!AA48,NĐ!AE48,NĐ!AI48)))</f>
        <v>0</v>
      </c>
    </row>
    <row r="49" spans="1:12">
      <c r="A49">
        <f>SUMPRODUCT((MONTH(CHOOSE({1,2,3,4},NĐ!T49,NĐ!X49,NĐ!AB49,NĐ!AF49))=1)*(CHOOSE({1,2,3,4},NĐ!W49,NĐ!AA49,NĐ!AE49,NĐ!AI49)))</f>
        <v>0</v>
      </c>
      <c r="B49">
        <f>SUMPRODUCT((MONTH(CHOOSE({1,2,3,4},NĐ!T49,NĐ!X49,NĐ!AB49,NĐ!AF49))=2)*(CHOOSE({1,2,3,4},NĐ!W49,NĐ!AA49,NĐ!AE49,NĐ!AI49)))</f>
        <v>0</v>
      </c>
      <c r="C49">
        <f>SUMPRODUCT((MONTH(CHOOSE({1,2,3,4},NĐ!T49,NĐ!X49,NĐ!AB49,NĐ!AF49))=3)*(CHOOSE({1,2,3,4},NĐ!W49,NĐ!AA49,NĐ!AE49,NĐ!AI49)))</f>
        <v>0</v>
      </c>
      <c r="D49">
        <f>SUMPRODUCT((MONTH(CHOOSE({1,2,3,4},NĐ!T49,NĐ!X49,NĐ!AB49,NĐ!AF49))=4)*(CHOOSE({1,2,3,4},NĐ!W49,NĐ!AA49,NĐ!AE49,NĐ!AI49)))</f>
        <v>0</v>
      </c>
      <c r="E49">
        <f>SUMPRODUCT((MONTH(CHOOSE({1,2,3,4},NĐ!T49,NĐ!X49,NĐ!AB49,NĐ!AF49))=5)*(CHOOSE({1,2,3,4},NĐ!W49,NĐ!AA49,NĐ!AE49,NĐ!AI49)))</f>
        <v>0</v>
      </c>
      <c r="F49">
        <f>SUMPRODUCT((MONTH(CHOOSE({1,2,3,4},NĐ!T49,NĐ!X49,NĐ!AB49,NĐ!AF49))=6)*(CHOOSE({1,2,3,4},NĐ!W49,NĐ!AA49,NĐ!AE49,NĐ!AI49)))</f>
        <v>0</v>
      </c>
      <c r="G49">
        <f>SUMPRODUCT((MONTH(CHOOSE({1,2,3,4},NĐ!T49,NĐ!X49,NĐ!AB49,NĐ!AF49))=7)*(CHOOSE({1,2,3,4},NĐ!W49,NĐ!AA49,NĐ!AE49,NĐ!AI49)))</f>
        <v>0</v>
      </c>
      <c r="H49">
        <f>SUMPRODUCT((MONTH(CHOOSE({1,2,3,4},NĐ!T49,NĐ!X49,NĐ!AB49,NĐ!AF49))=8)*(CHOOSE({1,2,3,4},NĐ!W49,NĐ!AA49,NĐ!AE49,NĐ!AI49)))</f>
        <v>0</v>
      </c>
      <c r="I49">
        <f>SUMPRODUCT((MONTH(CHOOSE({1,2,3,4},NĐ!T49,NĐ!X49,NĐ!AB49,NĐ!AF49))=9)*(CHOOSE({1,2,3,4},NĐ!W49,NĐ!AA49,NĐ!AE49,NĐ!AI49)))</f>
        <v>0</v>
      </c>
      <c r="J49">
        <f>SUMPRODUCT((MONTH(CHOOSE({1,2,3,4},NĐ!T49,NĐ!X49,NĐ!AB49,NĐ!AF49))=10)*(CHOOSE({1,2,3,4},NĐ!W49,NĐ!AA49,NĐ!AE49,NĐ!AI49)))</f>
        <v>0</v>
      </c>
      <c r="K49">
        <f>SUMPRODUCT((MONTH(CHOOSE({1,2,3,4},NĐ!T49,NĐ!X49,NĐ!AB49,NĐ!AF49))=11)*(CHOOSE({1,2,3,4},NĐ!W49,NĐ!AA49,NĐ!AE49,NĐ!AI49)))</f>
        <v>0</v>
      </c>
      <c r="L49">
        <f>SUMPRODUCT((MONTH(CHOOSE({1,2,3,4},NĐ!T49,NĐ!X49,NĐ!AB49,NĐ!AF49))=12)*(CHOOSE({1,2,3,4},NĐ!W49,NĐ!AA49,NĐ!AE49,NĐ!AI49)))</f>
        <v>0</v>
      </c>
    </row>
    <row r="50" spans="1:12">
      <c r="A50">
        <f>SUMPRODUCT((MONTH(CHOOSE({1,2,3,4},NĐ!T50,NĐ!X50,NĐ!AB50,NĐ!AF50))=1)*(CHOOSE({1,2,3,4},NĐ!W50,NĐ!AA50,NĐ!AE50,NĐ!AI50)))</f>
        <v>0</v>
      </c>
      <c r="B50">
        <f>SUMPRODUCT((MONTH(CHOOSE({1,2,3,4},NĐ!T50,NĐ!X50,NĐ!AB50,NĐ!AF50))=2)*(CHOOSE({1,2,3,4},NĐ!W50,NĐ!AA50,NĐ!AE50,NĐ!AI50)))</f>
        <v>0</v>
      </c>
      <c r="C50">
        <f>SUMPRODUCT((MONTH(CHOOSE({1,2,3,4},NĐ!T50,NĐ!X50,NĐ!AB50,NĐ!AF50))=3)*(CHOOSE({1,2,3,4},NĐ!W50,NĐ!AA50,NĐ!AE50,NĐ!AI50)))</f>
        <v>0</v>
      </c>
      <c r="D50">
        <f>SUMPRODUCT((MONTH(CHOOSE({1,2,3,4},NĐ!T50,NĐ!X50,NĐ!AB50,NĐ!AF50))=4)*(CHOOSE({1,2,3,4},NĐ!W50,NĐ!AA50,NĐ!AE50,NĐ!AI50)))</f>
        <v>0</v>
      </c>
      <c r="E50">
        <f>SUMPRODUCT((MONTH(CHOOSE({1,2,3,4},NĐ!T50,NĐ!X50,NĐ!AB50,NĐ!AF50))=5)*(CHOOSE({1,2,3,4},NĐ!W50,NĐ!AA50,NĐ!AE50,NĐ!AI50)))</f>
        <v>0</v>
      </c>
      <c r="F50">
        <f>SUMPRODUCT((MONTH(CHOOSE({1,2,3,4},NĐ!T50,NĐ!X50,NĐ!AB50,NĐ!AF50))=6)*(CHOOSE({1,2,3,4},NĐ!W50,NĐ!AA50,NĐ!AE50,NĐ!AI50)))</f>
        <v>0</v>
      </c>
      <c r="G50">
        <f>SUMPRODUCT((MONTH(CHOOSE({1,2,3,4},NĐ!T50,NĐ!X50,NĐ!AB50,NĐ!AF50))=7)*(CHOOSE({1,2,3,4},NĐ!W50,NĐ!AA50,NĐ!AE50,NĐ!AI50)))</f>
        <v>0</v>
      </c>
      <c r="H50">
        <f>SUMPRODUCT((MONTH(CHOOSE({1,2,3,4},NĐ!T50,NĐ!X50,NĐ!AB50,NĐ!AF50))=8)*(CHOOSE({1,2,3,4},NĐ!W50,NĐ!AA50,NĐ!AE50,NĐ!AI50)))</f>
        <v>0</v>
      </c>
      <c r="I50">
        <f>SUMPRODUCT((MONTH(CHOOSE({1,2,3,4},NĐ!T50,NĐ!X50,NĐ!AB50,NĐ!AF50))=9)*(CHOOSE({1,2,3,4},NĐ!W50,NĐ!AA50,NĐ!AE50,NĐ!AI50)))</f>
        <v>0</v>
      </c>
      <c r="J50">
        <f>SUMPRODUCT((MONTH(CHOOSE({1,2,3,4},NĐ!T50,NĐ!X50,NĐ!AB50,NĐ!AF50))=10)*(CHOOSE({1,2,3,4},NĐ!W50,NĐ!AA50,NĐ!AE50,NĐ!AI50)))</f>
        <v>0</v>
      </c>
      <c r="K50">
        <f>SUMPRODUCT((MONTH(CHOOSE({1,2,3,4},NĐ!T50,NĐ!X50,NĐ!AB50,NĐ!AF50))=11)*(CHOOSE({1,2,3,4},NĐ!W50,NĐ!AA50,NĐ!AE50,NĐ!AI50)))</f>
        <v>0</v>
      </c>
      <c r="L50">
        <f>SUMPRODUCT((MONTH(CHOOSE({1,2,3,4},NĐ!T50,NĐ!X50,NĐ!AB50,NĐ!AF50))=12)*(CHOOSE({1,2,3,4},NĐ!W50,NĐ!AA50,NĐ!AE50,NĐ!AI50)))</f>
        <v>0</v>
      </c>
    </row>
    <row r="51" spans="1:12">
      <c r="A51">
        <f>SUMPRODUCT((MONTH(CHOOSE({1,2,3,4},NĐ!T51,NĐ!X51,NĐ!AB51,NĐ!AF51))=1)*(CHOOSE({1,2,3,4},NĐ!W51,NĐ!AA51,NĐ!AE51,NĐ!AI51)))</f>
        <v>0</v>
      </c>
      <c r="B51">
        <f>SUMPRODUCT((MONTH(CHOOSE({1,2,3,4},NĐ!T51,NĐ!X51,NĐ!AB51,NĐ!AF51))=2)*(CHOOSE({1,2,3,4},NĐ!W51,NĐ!AA51,NĐ!AE51,NĐ!AI51)))</f>
        <v>0</v>
      </c>
      <c r="C51">
        <f>SUMPRODUCT((MONTH(CHOOSE({1,2,3,4},NĐ!T51,NĐ!X51,NĐ!AB51,NĐ!AF51))=3)*(CHOOSE({1,2,3,4},NĐ!W51,NĐ!AA51,NĐ!AE51,NĐ!AI51)))</f>
        <v>0</v>
      </c>
      <c r="D51">
        <f>SUMPRODUCT((MONTH(CHOOSE({1,2,3,4},NĐ!T51,NĐ!X51,NĐ!AB51,NĐ!AF51))=4)*(CHOOSE({1,2,3,4},NĐ!W51,NĐ!AA51,NĐ!AE51,NĐ!AI51)))</f>
        <v>0</v>
      </c>
      <c r="E51">
        <f>SUMPRODUCT((MONTH(CHOOSE({1,2,3,4},NĐ!T51,NĐ!X51,NĐ!AB51,NĐ!AF51))=5)*(CHOOSE({1,2,3,4},NĐ!W51,NĐ!AA51,NĐ!AE51,NĐ!AI51)))</f>
        <v>0</v>
      </c>
      <c r="F51">
        <f>SUMPRODUCT((MONTH(CHOOSE({1,2,3,4},NĐ!T51,NĐ!X51,NĐ!AB51,NĐ!AF51))=6)*(CHOOSE({1,2,3,4},NĐ!W51,NĐ!AA51,NĐ!AE51,NĐ!AI51)))</f>
        <v>0</v>
      </c>
      <c r="G51">
        <f>SUMPRODUCT((MONTH(CHOOSE({1,2,3,4},NĐ!T51,NĐ!X51,NĐ!AB51,NĐ!AF51))=7)*(CHOOSE({1,2,3,4},NĐ!W51,NĐ!AA51,NĐ!AE51,NĐ!AI51)))</f>
        <v>0</v>
      </c>
      <c r="H51">
        <f>SUMPRODUCT((MONTH(CHOOSE({1,2,3,4},NĐ!T51,NĐ!X51,NĐ!AB51,NĐ!AF51))=8)*(CHOOSE({1,2,3,4},NĐ!W51,NĐ!AA51,NĐ!AE51,NĐ!AI51)))</f>
        <v>0</v>
      </c>
      <c r="I51">
        <f>SUMPRODUCT((MONTH(CHOOSE({1,2,3,4},NĐ!T51,NĐ!X51,NĐ!AB51,NĐ!AF51))=9)*(CHOOSE({1,2,3,4},NĐ!W51,NĐ!AA51,NĐ!AE51,NĐ!AI51)))</f>
        <v>0</v>
      </c>
      <c r="J51">
        <f>SUMPRODUCT((MONTH(CHOOSE({1,2,3,4},NĐ!T51,NĐ!X51,NĐ!AB51,NĐ!AF51))=10)*(CHOOSE({1,2,3,4},NĐ!W51,NĐ!AA51,NĐ!AE51,NĐ!AI51)))</f>
        <v>0</v>
      </c>
      <c r="K51">
        <f>SUMPRODUCT((MONTH(CHOOSE({1,2,3,4},NĐ!T51,NĐ!X51,NĐ!AB51,NĐ!AF51))=11)*(CHOOSE({1,2,3,4},NĐ!W51,NĐ!AA51,NĐ!AE51,NĐ!AI51)))</f>
        <v>0</v>
      </c>
      <c r="L51">
        <f>SUMPRODUCT((MONTH(CHOOSE({1,2,3,4},NĐ!T51,NĐ!X51,NĐ!AB51,NĐ!AF51))=12)*(CHOOSE({1,2,3,4},NĐ!W51,NĐ!AA51,NĐ!AE51,NĐ!AI51)))</f>
        <v>0</v>
      </c>
    </row>
    <row r="52" spans="1:12">
      <c r="A52">
        <f>SUMPRODUCT((MONTH(CHOOSE({1,2,3,4},NĐ!T52,NĐ!X52,NĐ!AB52,NĐ!AF52))=1)*(CHOOSE({1,2,3,4},NĐ!W52,NĐ!AA52,NĐ!AE52,NĐ!AI52)))</f>
        <v>0</v>
      </c>
      <c r="B52">
        <f>SUMPRODUCT((MONTH(CHOOSE({1,2,3,4},NĐ!T52,NĐ!X52,NĐ!AB52,NĐ!AF52))=2)*(CHOOSE({1,2,3,4},NĐ!W52,NĐ!AA52,NĐ!AE52,NĐ!AI52)))</f>
        <v>0</v>
      </c>
      <c r="C52">
        <f>SUMPRODUCT((MONTH(CHOOSE({1,2,3,4},NĐ!T52,NĐ!X52,NĐ!AB52,NĐ!AF52))=3)*(CHOOSE({1,2,3,4},NĐ!W52,NĐ!AA52,NĐ!AE52,NĐ!AI52)))</f>
        <v>0</v>
      </c>
      <c r="D52">
        <f>SUMPRODUCT((MONTH(CHOOSE({1,2,3,4},NĐ!T52,NĐ!X52,NĐ!AB52,NĐ!AF52))=4)*(CHOOSE({1,2,3,4},NĐ!W52,NĐ!AA52,NĐ!AE52,NĐ!AI52)))</f>
        <v>0</v>
      </c>
      <c r="E52">
        <f>SUMPRODUCT((MONTH(CHOOSE({1,2,3,4},NĐ!T52,NĐ!X52,NĐ!AB52,NĐ!AF52))=5)*(CHOOSE({1,2,3,4},NĐ!W52,NĐ!AA52,NĐ!AE52,NĐ!AI52)))</f>
        <v>0</v>
      </c>
      <c r="F52">
        <f>SUMPRODUCT((MONTH(CHOOSE({1,2,3,4},NĐ!T52,NĐ!X52,NĐ!AB52,NĐ!AF52))=6)*(CHOOSE({1,2,3,4},NĐ!W52,NĐ!AA52,NĐ!AE52,NĐ!AI52)))</f>
        <v>0</v>
      </c>
      <c r="G52">
        <f>SUMPRODUCT((MONTH(CHOOSE({1,2,3,4},NĐ!T52,NĐ!X52,NĐ!AB52,NĐ!AF52))=7)*(CHOOSE({1,2,3,4},NĐ!W52,NĐ!AA52,NĐ!AE52,NĐ!AI52)))</f>
        <v>0</v>
      </c>
      <c r="H52">
        <f>SUMPRODUCT((MONTH(CHOOSE({1,2,3,4},NĐ!T52,NĐ!X52,NĐ!AB52,NĐ!AF52))=8)*(CHOOSE({1,2,3,4},NĐ!W52,NĐ!AA52,NĐ!AE52,NĐ!AI52)))</f>
        <v>0</v>
      </c>
      <c r="I52">
        <f>SUMPRODUCT((MONTH(CHOOSE({1,2,3,4},NĐ!T52,NĐ!X52,NĐ!AB52,NĐ!AF52))=9)*(CHOOSE({1,2,3,4},NĐ!W52,NĐ!AA52,NĐ!AE52,NĐ!AI52)))</f>
        <v>0</v>
      </c>
      <c r="J52">
        <f>SUMPRODUCT((MONTH(CHOOSE({1,2,3,4},NĐ!T52,NĐ!X52,NĐ!AB52,NĐ!AF52))=10)*(CHOOSE({1,2,3,4},NĐ!W52,NĐ!AA52,NĐ!AE52,NĐ!AI52)))</f>
        <v>0</v>
      </c>
      <c r="K52">
        <f>SUMPRODUCT((MONTH(CHOOSE({1,2,3,4},NĐ!T52,NĐ!X52,NĐ!AB52,NĐ!AF52))=11)*(CHOOSE({1,2,3,4},NĐ!W52,NĐ!AA52,NĐ!AE52,NĐ!AI52)))</f>
        <v>0</v>
      </c>
      <c r="L52">
        <f>SUMPRODUCT((MONTH(CHOOSE({1,2,3,4},NĐ!T52,NĐ!X52,NĐ!AB52,NĐ!AF52))=12)*(CHOOSE({1,2,3,4},NĐ!W52,NĐ!AA52,NĐ!AE52,NĐ!AI52)))</f>
        <v>0</v>
      </c>
    </row>
    <row r="53" spans="1:12">
      <c r="A53">
        <f>SUMPRODUCT((MONTH(CHOOSE({1,2,3,4},NĐ!T53,NĐ!X53,NĐ!AB53,NĐ!AF53))=1)*(CHOOSE({1,2,3,4},NĐ!W53,NĐ!AA53,NĐ!AE53,NĐ!AI53)))</f>
        <v>0</v>
      </c>
      <c r="B53">
        <f>SUMPRODUCT((MONTH(CHOOSE({1,2,3,4},NĐ!T53,NĐ!X53,NĐ!AB53,NĐ!AF53))=2)*(CHOOSE({1,2,3,4},NĐ!W53,NĐ!AA53,NĐ!AE53,NĐ!AI53)))</f>
        <v>0</v>
      </c>
      <c r="C53">
        <f>SUMPRODUCT((MONTH(CHOOSE({1,2,3,4},NĐ!T53,NĐ!X53,NĐ!AB53,NĐ!AF53))=3)*(CHOOSE({1,2,3,4},NĐ!W53,NĐ!AA53,NĐ!AE53,NĐ!AI53)))</f>
        <v>0</v>
      </c>
      <c r="D53">
        <f>SUMPRODUCT((MONTH(CHOOSE({1,2,3,4},NĐ!T53,NĐ!X53,NĐ!AB53,NĐ!AF53))=4)*(CHOOSE({1,2,3,4},NĐ!W53,NĐ!AA53,NĐ!AE53,NĐ!AI53)))</f>
        <v>0</v>
      </c>
      <c r="E53">
        <f>SUMPRODUCT((MONTH(CHOOSE({1,2,3,4},NĐ!T53,NĐ!X53,NĐ!AB53,NĐ!AF53))=5)*(CHOOSE({1,2,3,4},NĐ!W53,NĐ!AA53,NĐ!AE53,NĐ!AI53)))</f>
        <v>0</v>
      </c>
      <c r="F53">
        <f>SUMPRODUCT((MONTH(CHOOSE({1,2,3,4},NĐ!T53,NĐ!X53,NĐ!AB53,NĐ!AF53))=6)*(CHOOSE({1,2,3,4},NĐ!W53,NĐ!AA53,NĐ!AE53,NĐ!AI53)))</f>
        <v>0</v>
      </c>
      <c r="G53">
        <f>SUMPRODUCT((MONTH(CHOOSE({1,2,3,4},NĐ!T53,NĐ!X53,NĐ!AB53,NĐ!AF53))=7)*(CHOOSE({1,2,3,4},NĐ!W53,NĐ!AA53,NĐ!AE53,NĐ!AI53)))</f>
        <v>0</v>
      </c>
      <c r="H53">
        <f>SUMPRODUCT((MONTH(CHOOSE({1,2,3,4},NĐ!T53,NĐ!X53,NĐ!AB53,NĐ!AF53))=8)*(CHOOSE({1,2,3,4},NĐ!W53,NĐ!AA53,NĐ!AE53,NĐ!AI53)))</f>
        <v>0</v>
      </c>
      <c r="I53">
        <f>SUMPRODUCT((MONTH(CHOOSE({1,2,3,4},NĐ!T53,NĐ!X53,NĐ!AB53,NĐ!AF53))=9)*(CHOOSE({1,2,3,4},NĐ!W53,NĐ!AA53,NĐ!AE53,NĐ!AI53)))</f>
        <v>0</v>
      </c>
      <c r="J53">
        <f>SUMPRODUCT((MONTH(CHOOSE({1,2,3,4},NĐ!T53,NĐ!X53,NĐ!AB53,NĐ!AF53))=10)*(CHOOSE({1,2,3,4},NĐ!W53,NĐ!AA53,NĐ!AE53,NĐ!AI53)))</f>
        <v>0</v>
      </c>
      <c r="K53">
        <f>SUMPRODUCT((MONTH(CHOOSE({1,2,3,4},NĐ!T53,NĐ!X53,NĐ!AB53,NĐ!AF53))=11)*(CHOOSE({1,2,3,4},NĐ!W53,NĐ!AA53,NĐ!AE53,NĐ!AI53)))</f>
        <v>0</v>
      </c>
      <c r="L53">
        <f>SUMPRODUCT((MONTH(CHOOSE({1,2,3,4},NĐ!T53,NĐ!X53,NĐ!AB53,NĐ!AF53))=12)*(CHOOSE({1,2,3,4},NĐ!W53,NĐ!AA53,NĐ!AE53,NĐ!AI53)))</f>
        <v>0</v>
      </c>
    </row>
    <row r="54" spans="1:12">
      <c r="A54">
        <f>SUMPRODUCT((MONTH(CHOOSE({1,2,3,4},NĐ!T54,NĐ!X54,NĐ!AB54,NĐ!AF54))=1)*(CHOOSE({1,2,3,4},NĐ!W54,NĐ!AA54,NĐ!AE54,NĐ!AI54)))</f>
        <v>0</v>
      </c>
      <c r="B54">
        <f>SUMPRODUCT((MONTH(CHOOSE({1,2,3,4},NĐ!T54,NĐ!X54,NĐ!AB54,NĐ!AF54))=2)*(CHOOSE({1,2,3,4},NĐ!W54,NĐ!AA54,NĐ!AE54,NĐ!AI54)))</f>
        <v>0</v>
      </c>
      <c r="C54">
        <f>SUMPRODUCT((MONTH(CHOOSE({1,2,3,4},NĐ!T54,NĐ!X54,NĐ!AB54,NĐ!AF54))=3)*(CHOOSE({1,2,3,4},NĐ!W54,NĐ!AA54,NĐ!AE54,NĐ!AI54)))</f>
        <v>0</v>
      </c>
      <c r="D54">
        <f>SUMPRODUCT((MONTH(CHOOSE({1,2,3,4},NĐ!T54,NĐ!X54,NĐ!AB54,NĐ!AF54))=4)*(CHOOSE({1,2,3,4},NĐ!W54,NĐ!AA54,NĐ!AE54,NĐ!AI54)))</f>
        <v>0</v>
      </c>
      <c r="E54">
        <f>SUMPRODUCT((MONTH(CHOOSE({1,2,3,4},NĐ!T54,NĐ!X54,NĐ!AB54,NĐ!AF54))=5)*(CHOOSE({1,2,3,4},NĐ!W54,NĐ!AA54,NĐ!AE54,NĐ!AI54)))</f>
        <v>0</v>
      </c>
      <c r="F54">
        <f>SUMPRODUCT((MONTH(CHOOSE({1,2,3,4},NĐ!T54,NĐ!X54,NĐ!AB54,NĐ!AF54))=6)*(CHOOSE({1,2,3,4},NĐ!W54,NĐ!AA54,NĐ!AE54,NĐ!AI54)))</f>
        <v>0</v>
      </c>
      <c r="G54">
        <f>SUMPRODUCT((MONTH(CHOOSE({1,2,3,4},NĐ!T54,NĐ!X54,NĐ!AB54,NĐ!AF54))=7)*(CHOOSE({1,2,3,4},NĐ!W54,NĐ!AA54,NĐ!AE54,NĐ!AI54)))</f>
        <v>0</v>
      </c>
      <c r="H54">
        <f>SUMPRODUCT((MONTH(CHOOSE({1,2,3,4},NĐ!T54,NĐ!X54,NĐ!AB54,NĐ!AF54))=8)*(CHOOSE({1,2,3,4},NĐ!W54,NĐ!AA54,NĐ!AE54,NĐ!AI54)))</f>
        <v>0</v>
      </c>
      <c r="I54">
        <f>SUMPRODUCT((MONTH(CHOOSE({1,2,3,4},NĐ!T54,NĐ!X54,NĐ!AB54,NĐ!AF54))=9)*(CHOOSE({1,2,3,4},NĐ!W54,NĐ!AA54,NĐ!AE54,NĐ!AI54)))</f>
        <v>0</v>
      </c>
      <c r="J54">
        <f>SUMPRODUCT((MONTH(CHOOSE({1,2,3,4},NĐ!T54,NĐ!X54,NĐ!AB54,NĐ!AF54))=10)*(CHOOSE({1,2,3,4},NĐ!W54,NĐ!AA54,NĐ!AE54,NĐ!AI54)))</f>
        <v>0</v>
      </c>
      <c r="K54">
        <f>SUMPRODUCT((MONTH(CHOOSE({1,2,3,4},NĐ!T54,NĐ!X54,NĐ!AB54,NĐ!AF54))=11)*(CHOOSE({1,2,3,4},NĐ!W54,NĐ!AA54,NĐ!AE54,NĐ!AI54)))</f>
        <v>0</v>
      </c>
      <c r="L54">
        <f>SUMPRODUCT((MONTH(CHOOSE({1,2,3,4},NĐ!T54,NĐ!X54,NĐ!AB54,NĐ!AF54))=12)*(CHOOSE({1,2,3,4},NĐ!W54,NĐ!AA54,NĐ!AE54,NĐ!AI54)))</f>
        <v>0</v>
      </c>
    </row>
    <row r="55" spans="1:12">
      <c r="A55">
        <f>SUMPRODUCT((MONTH(CHOOSE({1,2,3,4},NĐ!T55,NĐ!X55,NĐ!AB55,NĐ!AF55))=1)*(CHOOSE({1,2,3,4},NĐ!W55,NĐ!AA55,NĐ!AE55,NĐ!AI55)))</f>
        <v>0</v>
      </c>
      <c r="B55">
        <f>SUMPRODUCT((MONTH(CHOOSE({1,2,3,4},NĐ!T55,NĐ!X55,NĐ!AB55,NĐ!AF55))=2)*(CHOOSE({1,2,3,4},NĐ!W55,NĐ!AA55,NĐ!AE55,NĐ!AI55)))</f>
        <v>0</v>
      </c>
      <c r="C55">
        <f>SUMPRODUCT((MONTH(CHOOSE({1,2,3,4},NĐ!T55,NĐ!X55,NĐ!AB55,NĐ!AF55))=3)*(CHOOSE({1,2,3,4},NĐ!W55,NĐ!AA55,NĐ!AE55,NĐ!AI55)))</f>
        <v>0</v>
      </c>
      <c r="D55">
        <f>SUMPRODUCT((MONTH(CHOOSE({1,2,3,4},NĐ!T55,NĐ!X55,NĐ!AB55,NĐ!AF55))=4)*(CHOOSE({1,2,3,4},NĐ!W55,NĐ!AA55,NĐ!AE55,NĐ!AI55)))</f>
        <v>0</v>
      </c>
      <c r="E55">
        <f>SUMPRODUCT((MONTH(CHOOSE({1,2,3,4},NĐ!T55,NĐ!X55,NĐ!AB55,NĐ!AF55))=5)*(CHOOSE({1,2,3,4},NĐ!W55,NĐ!AA55,NĐ!AE55,NĐ!AI55)))</f>
        <v>0</v>
      </c>
      <c r="F55">
        <f>SUMPRODUCT((MONTH(CHOOSE({1,2,3,4},NĐ!T55,NĐ!X55,NĐ!AB55,NĐ!AF55))=6)*(CHOOSE({1,2,3,4},NĐ!W55,NĐ!AA55,NĐ!AE55,NĐ!AI55)))</f>
        <v>0</v>
      </c>
      <c r="G55">
        <f>SUMPRODUCT((MONTH(CHOOSE({1,2,3,4},NĐ!T55,NĐ!X55,NĐ!AB55,NĐ!AF55))=7)*(CHOOSE({1,2,3,4},NĐ!W55,NĐ!AA55,NĐ!AE55,NĐ!AI55)))</f>
        <v>0</v>
      </c>
      <c r="H55">
        <f>SUMPRODUCT((MONTH(CHOOSE({1,2,3,4},NĐ!T55,NĐ!X55,NĐ!AB55,NĐ!AF55))=8)*(CHOOSE({1,2,3,4},NĐ!W55,NĐ!AA55,NĐ!AE55,NĐ!AI55)))</f>
        <v>0</v>
      </c>
      <c r="I55">
        <f>SUMPRODUCT((MONTH(CHOOSE({1,2,3,4},NĐ!T55,NĐ!X55,NĐ!AB55,NĐ!AF55))=9)*(CHOOSE({1,2,3,4},NĐ!W55,NĐ!AA55,NĐ!AE55,NĐ!AI55)))</f>
        <v>0</v>
      </c>
      <c r="J55">
        <f>SUMPRODUCT((MONTH(CHOOSE({1,2,3,4},NĐ!T55,NĐ!X55,NĐ!AB55,NĐ!AF55))=10)*(CHOOSE({1,2,3,4},NĐ!W55,NĐ!AA55,NĐ!AE55,NĐ!AI55)))</f>
        <v>0</v>
      </c>
      <c r="K55">
        <f>SUMPRODUCT((MONTH(CHOOSE({1,2,3,4},NĐ!T55,NĐ!X55,NĐ!AB55,NĐ!AF55))=11)*(CHOOSE({1,2,3,4},NĐ!W55,NĐ!AA55,NĐ!AE55,NĐ!AI55)))</f>
        <v>0</v>
      </c>
      <c r="L55">
        <f>SUMPRODUCT((MONTH(CHOOSE({1,2,3,4},NĐ!T55,NĐ!X55,NĐ!AB55,NĐ!AF55))=12)*(CHOOSE({1,2,3,4},NĐ!W55,NĐ!AA55,NĐ!AE55,NĐ!AI55)))</f>
        <v>0</v>
      </c>
    </row>
    <row r="56" spans="1:12">
      <c r="A56">
        <f>SUMPRODUCT((MONTH(CHOOSE({1,2,3,4},NĐ!T56,NĐ!X56,NĐ!AB56,NĐ!AF56))=1)*(CHOOSE({1,2,3,4},NĐ!W56,NĐ!AA56,NĐ!AE56,NĐ!AI56)))</f>
        <v>0</v>
      </c>
      <c r="B56">
        <f>SUMPRODUCT((MONTH(CHOOSE({1,2,3,4},NĐ!T56,NĐ!X56,NĐ!AB56,NĐ!AF56))=2)*(CHOOSE({1,2,3,4},NĐ!W56,NĐ!AA56,NĐ!AE56,NĐ!AI56)))</f>
        <v>0</v>
      </c>
      <c r="C56">
        <f>SUMPRODUCT((MONTH(CHOOSE({1,2,3,4},NĐ!T56,NĐ!X56,NĐ!AB56,NĐ!AF56))=3)*(CHOOSE({1,2,3,4},NĐ!W56,NĐ!AA56,NĐ!AE56,NĐ!AI56)))</f>
        <v>0</v>
      </c>
      <c r="D56">
        <f>SUMPRODUCT((MONTH(CHOOSE({1,2,3,4},NĐ!T56,NĐ!X56,NĐ!AB56,NĐ!AF56))=4)*(CHOOSE({1,2,3,4},NĐ!W56,NĐ!AA56,NĐ!AE56,NĐ!AI56)))</f>
        <v>0</v>
      </c>
      <c r="E56">
        <f>SUMPRODUCT((MONTH(CHOOSE({1,2,3,4},NĐ!T56,NĐ!X56,NĐ!AB56,NĐ!AF56))=5)*(CHOOSE({1,2,3,4},NĐ!W56,NĐ!AA56,NĐ!AE56,NĐ!AI56)))</f>
        <v>0</v>
      </c>
      <c r="F56">
        <f>SUMPRODUCT((MONTH(CHOOSE({1,2,3,4},NĐ!T56,NĐ!X56,NĐ!AB56,NĐ!AF56))=6)*(CHOOSE({1,2,3,4},NĐ!W56,NĐ!AA56,NĐ!AE56,NĐ!AI56)))</f>
        <v>0</v>
      </c>
      <c r="G56">
        <f>SUMPRODUCT((MONTH(CHOOSE({1,2,3,4},NĐ!T56,NĐ!X56,NĐ!AB56,NĐ!AF56))=7)*(CHOOSE({1,2,3,4},NĐ!W56,NĐ!AA56,NĐ!AE56,NĐ!AI56)))</f>
        <v>0</v>
      </c>
      <c r="H56">
        <f>SUMPRODUCT((MONTH(CHOOSE({1,2,3,4},NĐ!T56,NĐ!X56,NĐ!AB56,NĐ!AF56))=8)*(CHOOSE({1,2,3,4},NĐ!W56,NĐ!AA56,NĐ!AE56,NĐ!AI56)))</f>
        <v>0</v>
      </c>
      <c r="I56">
        <f>SUMPRODUCT((MONTH(CHOOSE({1,2,3,4},NĐ!T56,NĐ!X56,NĐ!AB56,NĐ!AF56))=9)*(CHOOSE({1,2,3,4},NĐ!W56,NĐ!AA56,NĐ!AE56,NĐ!AI56)))</f>
        <v>0</v>
      </c>
      <c r="J56">
        <f>SUMPRODUCT((MONTH(CHOOSE({1,2,3,4},NĐ!T56,NĐ!X56,NĐ!AB56,NĐ!AF56))=10)*(CHOOSE({1,2,3,4},NĐ!W56,NĐ!AA56,NĐ!AE56,NĐ!AI56)))</f>
        <v>0</v>
      </c>
      <c r="K56">
        <f>SUMPRODUCT((MONTH(CHOOSE({1,2,3,4},NĐ!T56,NĐ!X56,NĐ!AB56,NĐ!AF56))=11)*(CHOOSE({1,2,3,4},NĐ!W56,NĐ!AA56,NĐ!AE56,NĐ!AI56)))</f>
        <v>0</v>
      </c>
      <c r="L56">
        <f>SUMPRODUCT((MONTH(CHOOSE({1,2,3,4},NĐ!T56,NĐ!X56,NĐ!AB56,NĐ!AF56))=12)*(CHOOSE({1,2,3,4},NĐ!W56,NĐ!AA56,NĐ!AE56,NĐ!AI56)))</f>
        <v>0</v>
      </c>
    </row>
    <row r="57" spans="1:12">
      <c r="A57">
        <f>SUMPRODUCT((MONTH(CHOOSE({1,2,3,4},NĐ!T57,NĐ!X57,NĐ!AB57,NĐ!AF57))=1)*(CHOOSE({1,2,3,4},NĐ!W57,NĐ!AA57,NĐ!AE57,NĐ!AI57)))</f>
        <v>0</v>
      </c>
      <c r="B57">
        <f>SUMPRODUCT((MONTH(CHOOSE({1,2,3,4},NĐ!T57,NĐ!X57,NĐ!AB57,NĐ!AF57))=2)*(CHOOSE({1,2,3,4},NĐ!W57,NĐ!AA57,NĐ!AE57,NĐ!AI57)))</f>
        <v>0</v>
      </c>
      <c r="C57">
        <f>SUMPRODUCT((MONTH(CHOOSE({1,2,3,4},NĐ!T57,NĐ!X57,NĐ!AB57,NĐ!AF57))=3)*(CHOOSE({1,2,3,4},NĐ!W57,NĐ!AA57,NĐ!AE57,NĐ!AI57)))</f>
        <v>0</v>
      </c>
      <c r="D57">
        <f>SUMPRODUCT((MONTH(CHOOSE({1,2,3,4},NĐ!T57,NĐ!X57,NĐ!AB57,NĐ!AF57))=4)*(CHOOSE({1,2,3,4},NĐ!W57,NĐ!AA57,NĐ!AE57,NĐ!AI57)))</f>
        <v>0</v>
      </c>
      <c r="E57">
        <f>SUMPRODUCT((MONTH(CHOOSE({1,2,3,4},NĐ!T57,NĐ!X57,NĐ!AB57,NĐ!AF57))=5)*(CHOOSE({1,2,3,4},NĐ!W57,NĐ!AA57,NĐ!AE57,NĐ!AI57)))</f>
        <v>0</v>
      </c>
      <c r="F57">
        <f>SUMPRODUCT((MONTH(CHOOSE({1,2,3,4},NĐ!T57,NĐ!X57,NĐ!AB57,NĐ!AF57))=6)*(CHOOSE({1,2,3,4},NĐ!W57,NĐ!AA57,NĐ!AE57,NĐ!AI57)))</f>
        <v>0</v>
      </c>
      <c r="G57">
        <f>SUMPRODUCT((MONTH(CHOOSE({1,2,3,4},NĐ!T57,NĐ!X57,NĐ!AB57,NĐ!AF57))=7)*(CHOOSE({1,2,3,4},NĐ!W57,NĐ!AA57,NĐ!AE57,NĐ!AI57)))</f>
        <v>0</v>
      </c>
      <c r="H57">
        <f>SUMPRODUCT((MONTH(CHOOSE({1,2,3,4},NĐ!T57,NĐ!X57,NĐ!AB57,NĐ!AF57))=8)*(CHOOSE({1,2,3,4},NĐ!W57,NĐ!AA57,NĐ!AE57,NĐ!AI57)))</f>
        <v>0</v>
      </c>
      <c r="I57">
        <f>SUMPRODUCT((MONTH(CHOOSE({1,2,3,4},NĐ!T57,NĐ!X57,NĐ!AB57,NĐ!AF57))=9)*(CHOOSE({1,2,3,4},NĐ!W57,NĐ!AA57,NĐ!AE57,NĐ!AI57)))</f>
        <v>0</v>
      </c>
      <c r="J57">
        <f>SUMPRODUCT((MONTH(CHOOSE({1,2,3,4},NĐ!T57,NĐ!X57,NĐ!AB57,NĐ!AF57))=10)*(CHOOSE({1,2,3,4},NĐ!W57,NĐ!AA57,NĐ!AE57,NĐ!AI57)))</f>
        <v>0</v>
      </c>
      <c r="K57">
        <f>SUMPRODUCT((MONTH(CHOOSE({1,2,3,4},NĐ!T57,NĐ!X57,NĐ!AB57,NĐ!AF57))=11)*(CHOOSE({1,2,3,4},NĐ!W57,NĐ!AA57,NĐ!AE57,NĐ!AI57)))</f>
        <v>0</v>
      </c>
      <c r="L57">
        <f>SUMPRODUCT((MONTH(CHOOSE({1,2,3,4},NĐ!T57,NĐ!X57,NĐ!AB57,NĐ!AF57))=12)*(CHOOSE({1,2,3,4},NĐ!W57,NĐ!AA57,NĐ!AE57,NĐ!AI57)))</f>
        <v>0</v>
      </c>
    </row>
    <row r="58" spans="1:12">
      <c r="A58">
        <f>SUMPRODUCT((MONTH(CHOOSE({1,2,3,4},NĐ!T58,NĐ!X58,NĐ!AB58,NĐ!AF58))=1)*(CHOOSE({1,2,3,4},NĐ!W58,NĐ!AA58,NĐ!AE58,NĐ!AI58)))</f>
        <v>0</v>
      </c>
      <c r="B58">
        <f>SUMPRODUCT((MONTH(CHOOSE({1,2,3,4},NĐ!T58,NĐ!X58,NĐ!AB58,NĐ!AF58))=2)*(CHOOSE({1,2,3,4},NĐ!W58,NĐ!AA58,NĐ!AE58,NĐ!AI58)))</f>
        <v>0</v>
      </c>
      <c r="C58">
        <f>SUMPRODUCT((MONTH(CHOOSE({1,2,3,4},NĐ!T58,NĐ!X58,NĐ!AB58,NĐ!AF58))=3)*(CHOOSE({1,2,3,4},NĐ!W58,NĐ!AA58,NĐ!AE58,NĐ!AI58)))</f>
        <v>0</v>
      </c>
      <c r="D58">
        <f>SUMPRODUCT((MONTH(CHOOSE({1,2,3,4},NĐ!T58,NĐ!X58,NĐ!AB58,NĐ!AF58))=4)*(CHOOSE({1,2,3,4},NĐ!W58,NĐ!AA58,NĐ!AE58,NĐ!AI58)))</f>
        <v>0</v>
      </c>
      <c r="E58">
        <f>SUMPRODUCT((MONTH(CHOOSE({1,2,3,4},NĐ!T58,NĐ!X58,NĐ!AB58,NĐ!AF58))=5)*(CHOOSE({1,2,3,4},NĐ!W58,NĐ!AA58,NĐ!AE58,NĐ!AI58)))</f>
        <v>0</v>
      </c>
      <c r="F58">
        <f>SUMPRODUCT((MONTH(CHOOSE({1,2,3,4},NĐ!T58,NĐ!X58,NĐ!AB58,NĐ!AF58))=6)*(CHOOSE({1,2,3,4},NĐ!W58,NĐ!AA58,NĐ!AE58,NĐ!AI58)))</f>
        <v>0</v>
      </c>
      <c r="G58">
        <f>SUMPRODUCT((MONTH(CHOOSE({1,2,3,4},NĐ!T58,NĐ!X58,NĐ!AB58,NĐ!AF58))=7)*(CHOOSE({1,2,3,4},NĐ!W58,NĐ!AA58,NĐ!AE58,NĐ!AI58)))</f>
        <v>0</v>
      </c>
      <c r="H58">
        <f>SUMPRODUCT((MONTH(CHOOSE({1,2,3,4},NĐ!T58,NĐ!X58,NĐ!AB58,NĐ!AF58))=8)*(CHOOSE({1,2,3,4},NĐ!W58,NĐ!AA58,NĐ!AE58,NĐ!AI58)))</f>
        <v>0</v>
      </c>
      <c r="I58">
        <f>SUMPRODUCT((MONTH(CHOOSE({1,2,3,4},NĐ!T58,NĐ!X58,NĐ!AB58,NĐ!AF58))=9)*(CHOOSE({1,2,3,4},NĐ!W58,NĐ!AA58,NĐ!AE58,NĐ!AI58)))</f>
        <v>0</v>
      </c>
      <c r="J58">
        <f>SUMPRODUCT((MONTH(CHOOSE({1,2,3,4},NĐ!T58,NĐ!X58,NĐ!AB58,NĐ!AF58))=10)*(CHOOSE({1,2,3,4},NĐ!W58,NĐ!AA58,NĐ!AE58,NĐ!AI58)))</f>
        <v>0</v>
      </c>
      <c r="K58">
        <f>SUMPRODUCT((MONTH(CHOOSE({1,2,3,4},NĐ!T58,NĐ!X58,NĐ!AB58,NĐ!AF58))=11)*(CHOOSE({1,2,3,4},NĐ!W58,NĐ!AA58,NĐ!AE58,NĐ!AI58)))</f>
        <v>0</v>
      </c>
      <c r="L58">
        <f>SUMPRODUCT((MONTH(CHOOSE({1,2,3,4},NĐ!T58,NĐ!X58,NĐ!AB58,NĐ!AF58))=12)*(CHOOSE({1,2,3,4},NĐ!W58,NĐ!AA58,NĐ!AE58,NĐ!AI58)))</f>
        <v>0</v>
      </c>
    </row>
    <row r="59" spans="1:12">
      <c r="A59">
        <f>SUMPRODUCT((MONTH(CHOOSE({1,2,3,4},NĐ!T59,NĐ!X59,NĐ!AB59,NĐ!AF59))=1)*(CHOOSE({1,2,3,4},NĐ!W59,NĐ!AA59,NĐ!AE59,NĐ!AI59)))</f>
        <v>0</v>
      </c>
      <c r="B59">
        <f>SUMPRODUCT((MONTH(CHOOSE({1,2,3,4},NĐ!T59,NĐ!X59,NĐ!AB59,NĐ!AF59))=2)*(CHOOSE({1,2,3,4},NĐ!W59,NĐ!AA59,NĐ!AE59,NĐ!AI59)))</f>
        <v>0</v>
      </c>
      <c r="C59">
        <f>SUMPRODUCT((MONTH(CHOOSE({1,2,3,4},NĐ!T59,NĐ!X59,NĐ!AB59,NĐ!AF59))=3)*(CHOOSE({1,2,3,4},NĐ!W59,NĐ!AA59,NĐ!AE59,NĐ!AI59)))</f>
        <v>0</v>
      </c>
      <c r="D59">
        <f>SUMPRODUCT((MONTH(CHOOSE({1,2,3,4},NĐ!T59,NĐ!X59,NĐ!AB59,NĐ!AF59))=4)*(CHOOSE({1,2,3,4},NĐ!W59,NĐ!AA59,NĐ!AE59,NĐ!AI59)))</f>
        <v>0</v>
      </c>
      <c r="E59">
        <f>SUMPRODUCT((MONTH(CHOOSE({1,2,3,4},NĐ!T59,NĐ!X59,NĐ!AB59,NĐ!AF59))=5)*(CHOOSE({1,2,3,4},NĐ!W59,NĐ!AA59,NĐ!AE59,NĐ!AI59)))</f>
        <v>0</v>
      </c>
      <c r="F59">
        <f>SUMPRODUCT((MONTH(CHOOSE({1,2,3,4},NĐ!T59,NĐ!X59,NĐ!AB59,NĐ!AF59))=6)*(CHOOSE({1,2,3,4},NĐ!W59,NĐ!AA59,NĐ!AE59,NĐ!AI59)))</f>
        <v>0</v>
      </c>
      <c r="G59">
        <f>SUMPRODUCT((MONTH(CHOOSE({1,2,3,4},NĐ!T59,NĐ!X59,NĐ!AB59,NĐ!AF59))=7)*(CHOOSE({1,2,3,4},NĐ!W59,NĐ!AA59,NĐ!AE59,NĐ!AI59)))</f>
        <v>0</v>
      </c>
      <c r="H59">
        <f>SUMPRODUCT((MONTH(CHOOSE({1,2,3,4},NĐ!T59,NĐ!X59,NĐ!AB59,NĐ!AF59))=8)*(CHOOSE({1,2,3,4},NĐ!W59,NĐ!AA59,NĐ!AE59,NĐ!AI59)))</f>
        <v>0</v>
      </c>
      <c r="I59">
        <f>SUMPRODUCT((MONTH(CHOOSE({1,2,3,4},NĐ!T59,NĐ!X59,NĐ!AB59,NĐ!AF59))=9)*(CHOOSE({1,2,3,4},NĐ!W59,NĐ!AA59,NĐ!AE59,NĐ!AI59)))</f>
        <v>0</v>
      </c>
      <c r="J59">
        <f>SUMPRODUCT((MONTH(CHOOSE({1,2,3,4},NĐ!T59,NĐ!X59,NĐ!AB59,NĐ!AF59))=10)*(CHOOSE({1,2,3,4},NĐ!W59,NĐ!AA59,NĐ!AE59,NĐ!AI59)))</f>
        <v>0</v>
      </c>
      <c r="K59">
        <f>SUMPRODUCT((MONTH(CHOOSE({1,2,3,4},NĐ!T59,NĐ!X59,NĐ!AB59,NĐ!AF59))=11)*(CHOOSE({1,2,3,4},NĐ!W59,NĐ!AA59,NĐ!AE59,NĐ!AI59)))</f>
        <v>0</v>
      </c>
      <c r="L59">
        <f>SUMPRODUCT((MONTH(CHOOSE({1,2,3,4},NĐ!T59,NĐ!X59,NĐ!AB59,NĐ!AF59))=12)*(CHOOSE({1,2,3,4},NĐ!W59,NĐ!AA59,NĐ!AE59,NĐ!AI59)))</f>
        <v>0</v>
      </c>
    </row>
    <row r="60" spans="1:12">
      <c r="A60">
        <f>SUMPRODUCT((MONTH(CHOOSE({1,2,3,4},NĐ!T60,NĐ!X60,NĐ!AB60,NĐ!AF60))=1)*(CHOOSE({1,2,3,4},NĐ!W60,NĐ!AA60,NĐ!AE60,NĐ!AI60)))</f>
        <v>0</v>
      </c>
      <c r="B60">
        <f>SUMPRODUCT((MONTH(CHOOSE({1,2,3,4},NĐ!T60,NĐ!X60,NĐ!AB60,NĐ!AF60))=2)*(CHOOSE({1,2,3,4},NĐ!W60,NĐ!AA60,NĐ!AE60,NĐ!AI60)))</f>
        <v>0</v>
      </c>
      <c r="C60">
        <f>SUMPRODUCT((MONTH(CHOOSE({1,2,3,4},NĐ!T60,NĐ!X60,NĐ!AB60,NĐ!AF60))=3)*(CHOOSE({1,2,3,4},NĐ!W60,NĐ!AA60,NĐ!AE60,NĐ!AI60)))</f>
        <v>0</v>
      </c>
      <c r="D60">
        <f>SUMPRODUCT((MONTH(CHOOSE({1,2,3,4},NĐ!T60,NĐ!X60,NĐ!AB60,NĐ!AF60))=4)*(CHOOSE({1,2,3,4},NĐ!W60,NĐ!AA60,NĐ!AE60,NĐ!AI60)))</f>
        <v>0</v>
      </c>
      <c r="E60">
        <f>SUMPRODUCT((MONTH(CHOOSE({1,2,3,4},NĐ!T60,NĐ!X60,NĐ!AB60,NĐ!AF60))=5)*(CHOOSE({1,2,3,4},NĐ!W60,NĐ!AA60,NĐ!AE60,NĐ!AI60)))</f>
        <v>0</v>
      </c>
      <c r="F60">
        <f>SUMPRODUCT((MONTH(CHOOSE({1,2,3,4},NĐ!T60,NĐ!X60,NĐ!AB60,NĐ!AF60))=6)*(CHOOSE({1,2,3,4},NĐ!W60,NĐ!AA60,NĐ!AE60,NĐ!AI60)))</f>
        <v>0</v>
      </c>
      <c r="G60">
        <f>SUMPRODUCT((MONTH(CHOOSE({1,2,3,4},NĐ!T60,NĐ!X60,NĐ!AB60,NĐ!AF60))=7)*(CHOOSE({1,2,3,4},NĐ!W60,NĐ!AA60,NĐ!AE60,NĐ!AI60)))</f>
        <v>0</v>
      </c>
      <c r="H60">
        <f>SUMPRODUCT((MONTH(CHOOSE({1,2,3,4},NĐ!T60,NĐ!X60,NĐ!AB60,NĐ!AF60))=8)*(CHOOSE({1,2,3,4},NĐ!W60,NĐ!AA60,NĐ!AE60,NĐ!AI60)))</f>
        <v>0</v>
      </c>
      <c r="I60">
        <f>SUMPRODUCT((MONTH(CHOOSE({1,2,3,4},NĐ!T60,NĐ!X60,NĐ!AB60,NĐ!AF60))=9)*(CHOOSE({1,2,3,4},NĐ!W60,NĐ!AA60,NĐ!AE60,NĐ!AI60)))</f>
        <v>0</v>
      </c>
      <c r="J60">
        <f>SUMPRODUCT((MONTH(CHOOSE({1,2,3,4},NĐ!T60,NĐ!X60,NĐ!AB60,NĐ!AF60))=10)*(CHOOSE({1,2,3,4},NĐ!W60,NĐ!AA60,NĐ!AE60,NĐ!AI60)))</f>
        <v>0</v>
      </c>
      <c r="K60">
        <f>SUMPRODUCT((MONTH(CHOOSE({1,2,3,4},NĐ!T60,NĐ!X60,NĐ!AB60,NĐ!AF60))=11)*(CHOOSE({1,2,3,4},NĐ!W60,NĐ!AA60,NĐ!AE60,NĐ!AI60)))</f>
        <v>0</v>
      </c>
      <c r="L60">
        <f>SUMPRODUCT((MONTH(CHOOSE({1,2,3,4},NĐ!T60,NĐ!X60,NĐ!AB60,NĐ!AF60))=12)*(CHOOSE({1,2,3,4},NĐ!W60,NĐ!AA60,NĐ!AE60,NĐ!AI60)))</f>
        <v>0</v>
      </c>
    </row>
    <row r="61" spans="1:12">
      <c r="A61">
        <f>SUMPRODUCT((MONTH(CHOOSE({1,2,3,4},NĐ!T61,NĐ!X61,NĐ!AB61,NĐ!AF61))=1)*(CHOOSE({1,2,3,4},NĐ!W61,NĐ!AA61,NĐ!AE61,NĐ!AI61)))</f>
        <v>0</v>
      </c>
      <c r="B61">
        <f>SUMPRODUCT((MONTH(CHOOSE({1,2,3,4},NĐ!T61,NĐ!X61,NĐ!AB61,NĐ!AF61))=2)*(CHOOSE({1,2,3,4},NĐ!W61,NĐ!AA61,NĐ!AE61,NĐ!AI61)))</f>
        <v>0</v>
      </c>
      <c r="C61">
        <f>SUMPRODUCT((MONTH(CHOOSE({1,2,3,4},NĐ!T61,NĐ!X61,NĐ!AB61,NĐ!AF61))=3)*(CHOOSE({1,2,3,4},NĐ!W61,NĐ!AA61,NĐ!AE61,NĐ!AI61)))</f>
        <v>0</v>
      </c>
      <c r="D61">
        <f>SUMPRODUCT((MONTH(CHOOSE({1,2,3,4},NĐ!T61,NĐ!X61,NĐ!AB61,NĐ!AF61))=4)*(CHOOSE({1,2,3,4},NĐ!W61,NĐ!AA61,NĐ!AE61,NĐ!AI61)))</f>
        <v>0</v>
      </c>
      <c r="E61">
        <f>SUMPRODUCT((MONTH(CHOOSE({1,2,3,4},NĐ!T61,NĐ!X61,NĐ!AB61,NĐ!AF61))=5)*(CHOOSE({1,2,3,4},NĐ!W61,NĐ!AA61,NĐ!AE61,NĐ!AI61)))</f>
        <v>0</v>
      </c>
      <c r="F61">
        <f>SUMPRODUCT((MONTH(CHOOSE({1,2,3,4},NĐ!T61,NĐ!X61,NĐ!AB61,NĐ!AF61))=6)*(CHOOSE({1,2,3,4},NĐ!W61,NĐ!AA61,NĐ!AE61,NĐ!AI61)))</f>
        <v>0</v>
      </c>
      <c r="G61">
        <f>SUMPRODUCT((MONTH(CHOOSE({1,2,3,4},NĐ!T61,NĐ!X61,NĐ!AB61,NĐ!AF61))=7)*(CHOOSE({1,2,3,4},NĐ!W61,NĐ!AA61,NĐ!AE61,NĐ!AI61)))</f>
        <v>0</v>
      </c>
      <c r="H61">
        <f>SUMPRODUCT((MONTH(CHOOSE({1,2,3,4},NĐ!T61,NĐ!X61,NĐ!AB61,NĐ!AF61))=8)*(CHOOSE({1,2,3,4},NĐ!W61,NĐ!AA61,NĐ!AE61,NĐ!AI61)))</f>
        <v>0</v>
      </c>
      <c r="I61">
        <f>SUMPRODUCT((MONTH(CHOOSE({1,2,3,4},NĐ!T61,NĐ!X61,NĐ!AB61,NĐ!AF61))=9)*(CHOOSE({1,2,3,4},NĐ!W61,NĐ!AA61,NĐ!AE61,NĐ!AI61)))</f>
        <v>0</v>
      </c>
      <c r="J61">
        <f>SUMPRODUCT((MONTH(CHOOSE({1,2,3,4},NĐ!T61,NĐ!X61,NĐ!AB61,NĐ!AF61))=10)*(CHOOSE({1,2,3,4},NĐ!W61,NĐ!AA61,NĐ!AE61,NĐ!AI61)))</f>
        <v>0</v>
      </c>
      <c r="K61">
        <f>SUMPRODUCT((MONTH(CHOOSE({1,2,3,4},NĐ!T61,NĐ!X61,NĐ!AB61,NĐ!AF61))=11)*(CHOOSE({1,2,3,4},NĐ!W61,NĐ!AA61,NĐ!AE61,NĐ!AI61)))</f>
        <v>0</v>
      </c>
      <c r="L61">
        <f>SUMPRODUCT((MONTH(CHOOSE({1,2,3,4},NĐ!T61,NĐ!X61,NĐ!AB61,NĐ!AF61))=12)*(CHOOSE({1,2,3,4},NĐ!W61,NĐ!AA61,NĐ!AE61,NĐ!AI61)))</f>
        <v>0</v>
      </c>
    </row>
    <row r="62" spans="1:12">
      <c r="A62">
        <f>SUMPRODUCT((MONTH(CHOOSE({1,2,3,4},NĐ!T62,NĐ!X62,NĐ!AB62,NĐ!AF62))=1)*(CHOOSE({1,2,3,4},NĐ!W62,NĐ!AA62,NĐ!AE62,NĐ!AI62)))</f>
        <v>0</v>
      </c>
      <c r="B62">
        <f>SUMPRODUCT((MONTH(CHOOSE({1,2,3,4},NĐ!T62,NĐ!X62,NĐ!AB62,NĐ!AF62))=2)*(CHOOSE({1,2,3,4},NĐ!W62,NĐ!AA62,NĐ!AE62,NĐ!AI62)))</f>
        <v>0</v>
      </c>
      <c r="C62">
        <f>SUMPRODUCT((MONTH(CHOOSE({1,2,3,4},NĐ!T62,NĐ!X62,NĐ!AB62,NĐ!AF62))=3)*(CHOOSE({1,2,3,4},NĐ!W62,NĐ!AA62,NĐ!AE62,NĐ!AI62)))</f>
        <v>0</v>
      </c>
      <c r="D62">
        <f>SUMPRODUCT((MONTH(CHOOSE({1,2,3,4},NĐ!T62,NĐ!X62,NĐ!AB62,NĐ!AF62))=4)*(CHOOSE({1,2,3,4},NĐ!W62,NĐ!AA62,NĐ!AE62,NĐ!AI62)))</f>
        <v>0</v>
      </c>
      <c r="E62">
        <f>SUMPRODUCT((MONTH(CHOOSE({1,2,3,4},NĐ!T62,NĐ!X62,NĐ!AB62,NĐ!AF62))=5)*(CHOOSE({1,2,3,4},NĐ!W62,NĐ!AA62,NĐ!AE62,NĐ!AI62)))</f>
        <v>0</v>
      </c>
      <c r="F62">
        <f>SUMPRODUCT((MONTH(CHOOSE({1,2,3,4},NĐ!T62,NĐ!X62,NĐ!AB62,NĐ!AF62))=6)*(CHOOSE({1,2,3,4},NĐ!W62,NĐ!AA62,NĐ!AE62,NĐ!AI62)))</f>
        <v>0</v>
      </c>
      <c r="G62">
        <f>SUMPRODUCT((MONTH(CHOOSE({1,2,3,4},NĐ!T62,NĐ!X62,NĐ!AB62,NĐ!AF62))=7)*(CHOOSE({1,2,3,4},NĐ!W62,NĐ!AA62,NĐ!AE62,NĐ!AI62)))</f>
        <v>0</v>
      </c>
      <c r="H62">
        <f>SUMPRODUCT((MONTH(CHOOSE({1,2,3,4},NĐ!T62,NĐ!X62,NĐ!AB62,NĐ!AF62))=8)*(CHOOSE({1,2,3,4},NĐ!W62,NĐ!AA62,NĐ!AE62,NĐ!AI62)))</f>
        <v>0</v>
      </c>
      <c r="I62">
        <f>SUMPRODUCT((MONTH(CHOOSE({1,2,3,4},NĐ!T62,NĐ!X62,NĐ!AB62,NĐ!AF62))=9)*(CHOOSE({1,2,3,4},NĐ!W62,NĐ!AA62,NĐ!AE62,NĐ!AI62)))</f>
        <v>0</v>
      </c>
      <c r="J62">
        <f>SUMPRODUCT((MONTH(CHOOSE({1,2,3,4},NĐ!T62,NĐ!X62,NĐ!AB62,NĐ!AF62))=10)*(CHOOSE({1,2,3,4},NĐ!W62,NĐ!AA62,NĐ!AE62,NĐ!AI62)))</f>
        <v>0</v>
      </c>
      <c r="K62">
        <f>SUMPRODUCT((MONTH(CHOOSE({1,2,3,4},NĐ!T62,NĐ!X62,NĐ!AB62,NĐ!AF62))=11)*(CHOOSE({1,2,3,4},NĐ!W62,NĐ!AA62,NĐ!AE62,NĐ!AI62)))</f>
        <v>0</v>
      </c>
      <c r="L62">
        <f>SUMPRODUCT((MONTH(CHOOSE({1,2,3,4},NĐ!T62,NĐ!X62,NĐ!AB62,NĐ!AF62))=12)*(CHOOSE({1,2,3,4},NĐ!W62,NĐ!AA62,NĐ!AE62,NĐ!AI62)))</f>
        <v>0</v>
      </c>
    </row>
    <row r="63" spans="1:12">
      <c r="A63">
        <f>SUMPRODUCT((MONTH(CHOOSE({1,2,3,4},NĐ!T63,NĐ!X63,NĐ!AB63,NĐ!AF63))=1)*(CHOOSE({1,2,3,4},NĐ!W63,NĐ!AA63,NĐ!AE63,NĐ!AI63)))</f>
        <v>0</v>
      </c>
      <c r="B63">
        <f>SUMPRODUCT((MONTH(CHOOSE({1,2,3,4},NĐ!T63,NĐ!X63,NĐ!AB63,NĐ!AF63))=2)*(CHOOSE({1,2,3,4},NĐ!W63,NĐ!AA63,NĐ!AE63,NĐ!AI63)))</f>
        <v>0</v>
      </c>
      <c r="C63">
        <f>SUMPRODUCT((MONTH(CHOOSE({1,2,3,4},NĐ!T63,NĐ!X63,NĐ!AB63,NĐ!AF63))=3)*(CHOOSE({1,2,3,4},NĐ!W63,NĐ!AA63,NĐ!AE63,NĐ!AI63)))</f>
        <v>0</v>
      </c>
      <c r="D63">
        <f>SUMPRODUCT((MONTH(CHOOSE({1,2,3,4},NĐ!T63,NĐ!X63,NĐ!AB63,NĐ!AF63))=4)*(CHOOSE({1,2,3,4},NĐ!W63,NĐ!AA63,NĐ!AE63,NĐ!AI63)))</f>
        <v>0</v>
      </c>
      <c r="E63">
        <f>SUMPRODUCT((MONTH(CHOOSE({1,2,3,4},NĐ!T63,NĐ!X63,NĐ!AB63,NĐ!AF63))=5)*(CHOOSE({1,2,3,4},NĐ!W63,NĐ!AA63,NĐ!AE63,NĐ!AI63)))</f>
        <v>0</v>
      </c>
      <c r="F63">
        <f>SUMPRODUCT((MONTH(CHOOSE({1,2,3,4},NĐ!T63,NĐ!X63,NĐ!AB63,NĐ!AF63))=6)*(CHOOSE({1,2,3,4},NĐ!W63,NĐ!AA63,NĐ!AE63,NĐ!AI63)))</f>
        <v>0</v>
      </c>
      <c r="G63">
        <f>SUMPRODUCT((MONTH(CHOOSE({1,2,3,4},NĐ!T63,NĐ!X63,NĐ!AB63,NĐ!AF63))=7)*(CHOOSE({1,2,3,4},NĐ!W63,NĐ!AA63,NĐ!AE63,NĐ!AI63)))</f>
        <v>0</v>
      </c>
      <c r="H63">
        <f>SUMPRODUCT((MONTH(CHOOSE({1,2,3,4},NĐ!T63,NĐ!X63,NĐ!AB63,NĐ!AF63))=8)*(CHOOSE({1,2,3,4},NĐ!W63,NĐ!AA63,NĐ!AE63,NĐ!AI63)))</f>
        <v>0</v>
      </c>
      <c r="I63">
        <f>SUMPRODUCT((MONTH(CHOOSE({1,2,3,4},NĐ!T63,NĐ!X63,NĐ!AB63,NĐ!AF63))=9)*(CHOOSE({1,2,3,4},NĐ!W63,NĐ!AA63,NĐ!AE63,NĐ!AI63)))</f>
        <v>0</v>
      </c>
      <c r="J63">
        <f>SUMPRODUCT((MONTH(CHOOSE({1,2,3,4},NĐ!T63,NĐ!X63,NĐ!AB63,NĐ!AF63))=10)*(CHOOSE({1,2,3,4},NĐ!W63,NĐ!AA63,NĐ!AE63,NĐ!AI63)))</f>
        <v>0</v>
      </c>
      <c r="K63">
        <f>SUMPRODUCT((MONTH(CHOOSE({1,2,3,4},NĐ!T63,NĐ!X63,NĐ!AB63,NĐ!AF63))=11)*(CHOOSE({1,2,3,4},NĐ!W63,NĐ!AA63,NĐ!AE63,NĐ!AI63)))</f>
        <v>0</v>
      </c>
      <c r="L63">
        <f>SUMPRODUCT((MONTH(CHOOSE({1,2,3,4},NĐ!T63,NĐ!X63,NĐ!AB63,NĐ!AF63))=12)*(CHOOSE({1,2,3,4},NĐ!W63,NĐ!AA63,NĐ!AE63,NĐ!AI63)))</f>
        <v>0</v>
      </c>
    </row>
    <row r="64" spans="1:12">
      <c r="A64">
        <f>SUMPRODUCT((MONTH(CHOOSE({1,2,3,4},NĐ!T64,NĐ!X64,NĐ!AB64,NĐ!AF64))=1)*(CHOOSE({1,2,3,4},NĐ!W64,NĐ!AA64,NĐ!AE64,NĐ!AI64)))</f>
        <v>0</v>
      </c>
      <c r="B64">
        <f>SUMPRODUCT((MONTH(CHOOSE({1,2,3,4},NĐ!T64,NĐ!X64,NĐ!AB64,NĐ!AF64))=2)*(CHOOSE({1,2,3,4},NĐ!W64,NĐ!AA64,NĐ!AE64,NĐ!AI64)))</f>
        <v>0</v>
      </c>
      <c r="C64">
        <f>SUMPRODUCT((MONTH(CHOOSE({1,2,3,4},NĐ!T64,NĐ!X64,NĐ!AB64,NĐ!AF64))=3)*(CHOOSE({1,2,3,4},NĐ!W64,NĐ!AA64,NĐ!AE64,NĐ!AI64)))</f>
        <v>0</v>
      </c>
      <c r="D64">
        <f>SUMPRODUCT((MONTH(CHOOSE({1,2,3,4},NĐ!T64,NĐ!X64,NĐ!AB64,NĐ!AF64))=4)*(CHOOSE({1,2,3,4},NĐ!W64,NĐ!AA64,NĐ!AE64,NĐ!AI64)))</f>
        <v>0</v>
      </c>
      <c r="E64">
        <f>SUMPRODUCT((MONTH(CHOOSE({1,2,3,4},NĐ!T64,NĐ!X64,NĐ!AB64,NĐ!AF64))=5)*(CHOOSE({1,2,3,4},NĐ!W64,NĐ!AA64,NĐ!AE64,NĐ!AI64)))</f>
        <v>0</v>
      </c>
      <c r="F64">
        <f>SUMPRODUCT((MONTH(CHOOSE({1,2,3,4},NĐ!T64,NĐ!X64,NĐ!AB64,NĐ!AF64))=6)*(CHOOSE({1,2,3,4},NĐ!W64,NĐ!AA64,NĐ!AE64,NĐ!AI64)))</f>
        <v>0</v>
      </c>
      <c r="G64">
        <f>SUMPRODUCT((MONTH(CHOOSE({1,2,3,4},NĐ!T64,NĐ!X64,NĐ!AB64,NĐ!AF64))=7)*(CHOOSE({1,2,3,4},NĐ!W64,NĐ!AA64,NĐ!AE64,NĐ!AI64)))</f>
        <v>0</v>
      </c>
      <c r="H64">
        <f>SUMPRODUCT((MONTH(CHOOSE({1,2,3,4},NĐ!T64,NĐ!X64,NĐ!AB64,NĐ!AF64))=8)*(CHOOSE({1,2,3,4},NĐ!W64,NĐ!AA64,NĐ!AE64,NĐ!AI64)))</f>
        <v>0</v>
      </c>
      <c r="I64">
        <f>SUMPRODUCT((MONTH(CHOOSE({1,2,3,4},NĐ!T64,NĐ!X64,NĐ!AB64,NĐ!AF64))=9)*(CHOOSE({1,2,3,4},NĐ!W64,NĐ!AA64,NĐ!AE64,NĐ!AI64)))</f>
        <v>0</v>
      </c>
      <c r="J64">
        <f>SUMPRODUCT((MONTH(CHOOSE({1,2,3,4},NĐ!T64,NĐ!X64,NĐ!AB64,NĐ!AF64))=10)*(CHOOSE({1,2,3,4},NĐ!W64,NĐ!AA64,NĐ!AE64,NĐ!AI64)))</f>
        <v>0</v>
      </c>
      <c r="K64">
        <f>SUMPRODUCT((MONTH(CHOOSE({1,2,3,4},NĐ!T64,NĐ!X64,NĐ!AB64,NĐ!AF64))=11)*(CHOOSE({1,2,3,4},NĐ!W64,NĐ!AA64,NĐ!AE64,NĐ!AI64)))</f>
        <v>0</v>
      </c>
      <c r="L64">
        <f>SUMPRODUCT((MONTH(CHOOSE({1,2,3,4},NĐ!T64,NĐ!X64,NĐ!AB64,NĐ!AF64))=12)*(CHOOSE({1,2,3,4},NĐ!W64,NĐ!AA64,NĐ!AE64,NĐ!AI64)))</f>
        <v>0</v>
      </c>
    </row>
    <row r="65" spans="1:12">
      <c r="A65">
        <f>SUMPRODUCT((MONTH(CHOOSE({1,2,3,4},NĐ!T65,NĐ!X65,NĐ!AB65,NĐ!AF65))=1)*(CHOOSE({1,2,3,4},NĐ!W65,NĐ!AA65,NĐ!AE65,NĐ!AI65)))</f>
        <v>0</v>
      </c>
      <c r="B65">
        <f>SUMPRODUCT((MONTH(CHOOSE({1,2,3,4},NĐ!T65,NĐ!X65,NĐ!AB65,NĐ!AF65))=2)*(CHOOSE({1,2,3,4},NĐ!W65,NĐ!AA65,NĐ!AE65,NĐ!AI65)))</f>
        <v>0</v>
      </c>
      <c r="C65">
        <f>SUMPRODUCT((MONTH(CHOOSE({1,2,3,4},NĐ!T65,NĐ!X65,NĐ!AB65,NĐ!AF65))=3)*(CHOOSE({1,2,3,4},NĐ!W65,NĐ!AA65,NĐ!AE65,NĐ!AI65)))</f>
        <v>0</v>
      </c>
      <c r="D65">
        <f>SUMPRODUCT((MONTH(CHOOSE({1,2,3,4},NĐ!T65,NĐ!X65,NĐ!AB65,NĐ!AF65))=4)*(CHOOSE({1,2,3,4},NĐ!W65,NĐ!AA65,NĐ!AE65,NĐ!AI65)))</f>
        <v>0</v>
      </c>
      <c r="E65">
        <f>SUMPRODUCT((MONTH(CHOOSE({1,2,3,4},NĐ!T65,NĐ!X65,NĐ!AB65,NĐ!AF65))=5)*(CHOOSE({1,2,3,4},NĐ!W65,NĐ!AA65,NĐ!AE65,NĐ!AI65)))</f>
        <v>0</v>
      </c>
      <c r="F65">
        <f>SUMPRODUCT((MONTH(CHOOSE({1,2,3,4},NĐ!T65,NĐ!X65,NĐ!AB65,NĐ!AF65))=6)*(CHOOSE({1,2,3,4},NĐ!W65,NĐ!AA65,NĐ!AE65,NĐ!AI65)))</f>
        <v>0</v>
      </c>
      <c r="G65">
        <f>SUMPRODUCT((MONTH(CHOOSE({1,2,3,4},NĐ!T65,NĐ!X65,NĐ!AB65,NĐ!AF65))=7)*(CHOOSE({1,2,3,4},NĐ!W65,NĐ!AA65,NĐ!AE65,NĐ!AI65)))</f>
        <v>0</v>
      </c>
      <c r="H65">
        <f>SUMPRODUCT((MONTH(CHOOSE({1,2,3,4},NĐ!T65,NĐ!X65,NĐ!AB65,NĐ!AF65))=8)*(CHOOSE({1,2,3,4},NĐ!W65,NĐ!AA65,NĐ!AE65,NĐ!AI65)))</f>
        <v>0</v>
      </c>
      <c r="I65">
        <f>SUMPRODUCT((MONTH(CHOOSE({1,2,3,4},NĐ!T65,NĐ!X65,NĐ!AB65,NĐ!AF65))=9)*(CHOOSE({1,2,3,4},NĐ!W65,NĐ!AA65,NĐ!AE65,NĐ!AI65)))</f>
        <v>0</v>
      </c>
      <c r="J65">
        <f>SUMPRODUCT((MONTH(CHOOSE({1,2,3,4},NĐ!T65,NĐ!X65,NĐ!AB65,NĐ!AF65))=10)*(CHOOSE({1,2,3,4},NĐ!W65,NĐ!AA65,NĐ!AE65,NĐ!AI65)))</f>
        <v>0</v>
      </c>
      <c r="K65">
        <f>SUMPRODUCT((MONTH(CHOOSE({1,2,3,4},NĐ!T65,NĐ!X65,NĐ!AB65,NĐ!AF65))=11)*(CHOOSE({1,2,3,4},NĐ!W65,NĐ!AA65,NĐ!AE65,NĐ!AI65)))</f>
        <v>0</v>
      </c>
      <c r="L65">
        <f>SUMPRODUCT((MONTH(CHOOSE({1,2,3,4},NĐ!T65,NĐ!X65,NĐ!AB65,NĐ!AF65))=12)*(CHOOSE({1,2,3,4},NĐ!W65,NĐ!AA65,NĐ!AE65,NĐ!AI65)))</f>
        <v>0</v>
      </c>
    </row>
    <row r="66" spans="1:12">
      <c r="A66">
        <f>SUMPRODUCT((MONTH(CHOOSE({1,2,3,4},NĐ!T66,NĐ!X66,NĐ!AB66,NĐ!AF66))=1)*(CHOOSE({1,2,3,4},NĐ!W66,NĐ!AA66,NĐ!AE66,NĐ!AI66)))</f>
        <v>0</v>
      </c>
      <c r="B66">
        <f>SUMPRODUCT((MONTH(CHOOSE({1,2,3,4},NĐ!T66,NĐ!X66,NĐ!AB66,NĐ!AF66))=2)*(CHOOSE({1,2,3,4},NĐ!W66,NĐ!AA66,NĐ!AE66,NĐ!AI66)))</f>
        <v>0</v>
      </c>
      <c r="C66">
        <f>SUMPRODUCT((MONTH(CHOOSE({1,2,3,4},NĐ!T66,NĐ!X66,NĐ!AB66,NĐ!AF66))=3)*(CHOOSE({1,2,3,4},NĐ!W66,NĐ!AA66,NĐ!AE66,NĐ!AI66)))</f>
        <v>0</v>
      </c>
      <c r="D66">
        <f>SUMPRODUCT((MONTH(CHOOSE({1,2,3,4},NĐ!T66,NĐ!X66,NĐ!AB66,NĐ!AF66))=4)*(CHOOSE({1,2,3,4},NĐ!W66,NĐ!AA66,NĐ!AE66,NĐ!AI66)))</f>
        <v>0</v>
      </c>
      <c r="E66">
        <f>SUMPRODUCT((MONTH(CHOOSE({1,2,3,4},NĐ!T66,NĐ!X66,NĐ!AB66,NĐ!AF66))=5)*(CHOOSE({1,2,3,4},NĐ!W66,NĐ!AA66,NĐ!AE66,NĐ!AI66)))</f>
        <v>0</v>
      </c>
      <c r="F66">
        <f>SUMPRODUCT((MONTH(CHOOSE({1,2,3,4},NĐ!T66,NĐ!X66,NĐ!AB66,NĐ!AF66))=6)*(CHOOSE({1,2,3,4},NĐ!W66,NĐ!AA66,NĐ!AE66,NĐ!AI66)))</f>
        <v>0</v>
      </c>
      <c r="G66">
        <f>SUMPRODUCT((MONTH(CHOOSE({1,2,3,4},NĐ!T66,NĐ!X66,NĐ!AB66,NĐ!AF66))=7)*(CHOOSE({1,2,3,4},NĐ!W66,NĐ!AA66,NĐ!AE66,NĐ!AI66)))</f>
        <v>0</v>
      </c>
      <c r="H66">
        <f>SUMPRODUCT((MONTH(CHOOSE({1,2,3,4},NĐ!T66,NĐ!X66,NĐ!AB66,NĐ!AF66))=8)*(CHOOSE({1,2,3,4},NĐ!W66,NĐ!AA66,NĐ!AE66,NĐ!AI66)))</f>
        <v>0</v>
      </c>
      <c r="I66">
        <f>SUMPRODUCT((MONTH(CHOOSE({1,2,3,4},NĐ!T66,NĐ!X66,NĐ!AB66,NĐ!AF66))=9)*(CHOOSE({1,2,3,4},NĐ!W66,NĐ!AA66,NĐ!AE66,NĐ!AI66)))</f>
        <v>0</v>
      </c>
      <c r="J66">
        <f>SUMPRODUCT((MONTH(CHOOSE({1,2,3,4},NĐ!T66,NĐ!X66,NĐ!AB66,NĐ!AF66))=10)*(CHOOSE({1,2,3,4},NĐ!W66,NĐ!AA66,NĐ!AE66,NĐ!AI66)))</f>
        <v>0</v>
      </c>
      <c r="K66">
        <f>SUMPRODUCT((MONTH(CHOOSE({1,2,3,4},NĐ!T66,NĐ!X66,NĐ!AB66,NĐ!AF66))=11)*(CHOOSE({1,2,3,4},NĐ!W66,NĐ!AA66,NĐ!AE66,NĐ!AI66)))</f>
        <v>0</v>
      </c>
      <c r="L66">
        <f>SUMPRODUCT((MONTH(CHOOSE({1,2,3,4},NĐ!T66,NĐ!X66,NĐ!AB66,NĐ!AF66))=12)*(CHOOSE({1,2,3,4},NĐ!W66,NĐ!AA66,NĐ!AE66,NĐ!AI66)))</f>
        <v>0</v>
      </c>
    </row>
    <row r="67" spans="1:12">
      <c r="A67">
        <f>SUMPRODUCT((MONTH(CHOOSE({1,2,3,4},NĐ!T67,NĐ!X67,NĐ!AB67,NĐ!AF67))=1)*(CHOOSE({1,2,3,4},NĐ!W67,NĐ!AA67,NĐ!AE67,NĐ!AI67)))</f>
        <v>0</v>
      </c>
      <c r="B67">
        <f>SUMPRODUCT((MONTH(CHOOSE({1,2,3,4},NĐ!T67,NĐ!X67,NĐ!AB67,NĐ!AF67))=2)*(CHOOSE({1,2,3,4},NĐ!W67,NĐ!AA67,NĐ!AE67,NĐ!AI67)))</f>
        <v>0</v>
      </c>
      <c r="C67">
        <f>SUMPRODUCT((MONTH(CHOOSE({1,2,3,4},NĐ!T67,NĐ!X67,NĐ!AB67,NĐ!AF67))=3)*(CHOOSE({1,2,3,4},NĐ!W67,NĐ!AA67,NĐ!AE67,NĐ!AI67)))</f>
        <v>0</v>
      </c>
      <c r="D67">
        <f>SUMPRODUCT((MONTH(CHOOSE({1,2,3,4},NĐ!T67,NĐ!X67,NĐ!AB67,NĐ!AF67))=4)*(CHOOSE({1,2,3,4},NĐ!W67,NĐ!AA67,NĐ!AE67,NĐ!AI67)))</f>
        <v>0</v>
      </c>
      <c r="E67">
        <f>SUMPRODUCT((MONTH(CHOOSE({1,2,3,4},NĐ!T67,NĐ!X67,NĐ!AB67,NĐ!AF67))=5)*(CHOOSE({1,2,3,4},NĐ!W67,NĐ!AA67,NĐ!AE67,NĐ!AI67)))</f>
        <v>0</v>
      </c>
      <c r="F67">
        <f>SUMPRODUCT((MONTH(CHOOSE({1,2,3,4},NĐ!T67,NĐ!X67,NĐ!AB67,NĐ!AF67))=6)*(CHOOSE({1,2,3,4},NĐ!W67,NĐ!AA67,NĐ!AE67,NĐ!AI67)))</f>
        <v>0</v>
      </c>
      <c r="G67">
        <f>SUMPRODUCT((MONTH(CHOOSE({1,2,3,4},NĐ!T67,NĐ!X67,NĐ!AB67,NĐ!AF67))=7)*(CHOOSE({1,2,3,4},NĐ!W67,NĐ!AA67,NĐ!AE67,NĐ!AI67)))</f>
        <v>0</v>
      </c>
      <c r="H67">
        <f>SUMPRODUCT((MONTH(CHOOSE({1,2,3,4},NĐ!T67,NĐ!X67,NĐ!AB67,NĐ!AF67))=8)*(CHOOSE({1,2,3,4},NĐ!W67,NĐ!AA67,NĐ!AE67,NĐ!AI67)))</f>
        <v>0</v>
      </c>
      <c r="I67">
        <f>SUMPRODUCT((MONTH(CHOOSE({1,2,3,4},NĐ!T67,NĐ!X67,NĐ!AB67,NĐ!AF67))=9)*(CHOOSE({1,2,3,4},NĐ!W67,NĐ!AA67,NĐ!AE67,NĐ!AI67)))</f>
        <v>0</v>
      </c>
      <c r="J67">
        <f>SUMPRODUCT((MONTH(CHOOSE({1,2,3,4},NĐ!T67,NĐ!X67,NĐ!AB67,NĐ!AF67))=10)*(CHOOSE({1,2,3,4},NĐ!W67,NĐ!AA67,NĐ!AE67,NĐ!AI67)))</f>
        <v>0</v>
      </c>
      <c r="K67">
        <f>SUMPRODUCT((MONTH(CHOOSE({1,2,3,4},NĐ!T67,NĐ!X67,NĐ!AB67,NĐ!AF67))=11)*(CHOOSE({1,2,3,4},NĐ!W67,NĐ!AA67,NĐ!AE67,NĐ!AI67)))</f>
        <v>0</v>
      </c>
      <c r="L67">
        <f>SUMPRODUCT((MONTH(CHOOSE({1,2,3,4},NĐ!T67,NĐ!X67,NĐ!AB67,NĐ!AF67))=12)*(CHOOSE({1,2,3,4},NĐ!W67,NĐ!AA67,NĐ!AE67,NĐ!AI67)))</f>
        <v>0</v>
      </c>
    </row>
    <row r="68" spans="1:12">
      <c r="A68">
        <f>SUMPRODUCT((MONTH(CHOOSE({1,2,3,4},NĐ!T68,NĐ!X68,NĐ!AB68,NĐ!AF68))=1)*(CHOOSE({1,2,3,4},NĐ!W68,NĐ!AA68,NĐ!AE68,NĐ!AI68)))</f>
        <v>0</v>
      </c>
      <c r="B68">
        <f>SUMPRODUCT((MONTH(CHOOSE({1,2,3,4},NĐ!T68,NĐ!X68,NĐ!AB68,NĐ!AF68))=2)*(CHOOSE({1,2,3,4},NĐ!W68,NĐ!AA68,NĐ!AE68,NĐ!AI68)))</f>
        <v>0</v>
      </c>
      <c r="C68">
        <f>SUMPRODUCT((MONTH(CHOOSE({1,2,3,4},NĐ!T68,NĐ!X68,NĐ!AB68,NĐ!AF68))=3)*(CHOOSE({1,2,3,4},NĐ!W68,NĐ!AA68,NĐ!AE68,NĐ!AI68)))</f>
        <v>0</v>
      </c>
      <c r="D68">
        <f>SUMPRODUCT((MONTH(CHOOSE({1,2,3,4},NĐ!T68,NĐ!X68,NĐ!AB68,NĐ!AF68))=4)*(CHOOSE({1,2,3,4},NĐ!W68,NĐ!AA68,NĐ!AE68,NĐ!AI68)))</f>
        <v>0</v>
      </c>
      <c r="E68">
        <f>SUMPRODUCT((MONTH(CHOOSE({1,2,3,4},NĐ!T68,NĐ!X68,NĐ!AB68,NĐ!AF68))=5)*(CHOOSE({1,2,3,4},NĐ!W68,NĐ!AA68,NĐ!AE68,NĐ!AI68)))</f>
        <v>0</v>
      </c>
      <c r="F68">
        <f>SUMPRODUCT((MONTH(CHOOSE({1,2,3,4},NĐ!T68,NĐ!X68,NĐ!AB68,NĐ!AF68))=6)*(CHOOSE({1,2,3,4},NĐ!W68,NĐ!AA68,NĐ!AE68,NĐ!AI68)))</f>
        <v>0</v>
      </c>
      <c r="G68">
        <f>SUMPRODUCT((MONTH(CHOOSE({1,2,3,4},NĐ!T68,NĐ!X68,NĐ!AB68,NĐ!AF68))=7)*(CHOOSE({1,2,3,4},NĐ!W68,NĐ!AA68,NĐ!AE68,NĐ!AI68)))</f>
        <v>0</v>
      </c>
      <c r="H68">
        <f>SUMPRODUCT((MONTH(CHOOSE({1,2,3,4},NĐ!T68,NĐ!X68,NĐ!AB68,NĐ!AF68))=8)*(CHOOSE({1,2,3,4},NĐ!W68,NĐ!AA68,NĐ!AE68,NĐ!AI68)))</f>
        <v>0</v>
      </c>
      <c r="I68">
        <f>SUMPRODUCT((MONTH(CHOOSE({1,2,3,4},NĐ!T68,NĐ!X68,NĐ!AB68,NĐ!AF68))=9)*(CHOOSE({1,2,3,4},NĐ!W68,NĐ!AA68,NĐ!AE68,NĐ!AI68)))</f>
        <v>0</v>
      </c>
      <c r="J68">
        <f>SUMPRODUCT((MONTH(CHOOSE({1,2,3,4},NĐ!T68,NĐ!X68,NĐ!AB68,NĐ!AF68))=10)*(CHOOSE({1,2,3,4},NĐ!W68,NĐ!AA68,NĐ!AE68,NĐ!AI68)))</f>
        <v>0</v>
      </c>
      <c r="K68">
        <f>SUMPRODUCT((MONTH(CHOOSE({1,2,3,4},NĐ!T68,NĐ!X68,NĐ!AB68,NĐ!AF68))=11)*(CHOOSE({1,2,3,4},NĐ!W68,NĐ!AA68,NĐ!AE68,NĐ!AI68)))</f>
        <v>0</v>
      </c>
      <c r="L68">
        <f>SUMPRODUCT((MONTH(CHOOSE({1,2,3,4},NĐ!T68,NĐ!X68,NĐ!AB68,NĐ!AF68))=12)*(CHOOSE({1,2,3,4},NĐ!W68,NĐ!AA68,NĐ!AE68,NĐ!AI68)))</f>
        <v>0</v>
      </c>
    </row>
    <row r="69" spans="1:12">
      <c r="A69">
        <f>SUMPRODUCT((MONTH(CHOOSE({1,2,3,4},NĐ!T69,NĐ!X69,NĐ!AB69,NĐ!AF69))=1)*(CHOOSE({1,2,3,4},NĐ!W69,NĐ!AA69,NĐ!AE69,NĐ!AI69)))</f>
        <v>0</v>
      </c>
      <c r="B69">
        <f>SUMPRODUCT((MONTH(CHOOSE({1,2,3,4},NĐ!T69,NĐ!X69,NĐ!AB69,NĐ!AF69))=2)*(CHOOSE({1,2,3,4},NĐ!W69,NĐ!AA69,NĐ!AE69,NĐ!AI69)))</f>
        <v>0</v>
      </c>
      <c r="C69">
        <f>SUMPRODUCT((MONTH(CHOOSE({1,2,3,4},NĐ!T69,NĐ!X69,NĐ!AB69,NĐ!AF69))=3)*(CHOOSE({1,2,3,4},NĐ!W69,NĐ!AA69,NĐ!AE69,NĐ!AI69)))</f>
        <v>0</v>
      </c>
      <c r="D69">
        <f>SUMPRODUCT((MONTH(CHOOSE({1,2,3,4},NĐ!T69,NĐ!X69,NĐ!AB69,NĐ!AF69))=4)*(CHOOSE({1,2,3,4},NĐ!W69,NĐ!AA69,NĐ!AE69,NĐ!AI69)))</f>
        <v>0</v>
      </c>
      <c r="E69">
        <f>SUMPRODUCT((MONTH(CHOOSE({1,2,3,4},NĐ!T69,NĐ!X69,NĐ!AB69,NĐ!AF69))=5)*(CHOOSE({1,2,3,4},NĐ!W69,NĐ!AA69,NĐ!AE69,NĐ!AI69)))</f>
        <v>0</v>
      </c>
      <c r="F69">
        <f>SUMPRODUCT((MONTH(CHOOSE({1,2,3,4},NĐ!T69,NĐ!X69,NĐ!AB69,NĐ!AF69))=6)*(CHOOSE({1,2,3,4},NĐ!W69,NĐ!AA69,NĐ!AE69,NĐ!AI69)))</f>
        <v>0</v>
      </c>
      <c r="G69">
        <f>SUMPRODUCT((MONTH(CHOOSE({1,2,3,4},NĐ!T69,NĐ!X69,NĐ!AB69,NĐ!AF69))=7)*(CHOOSE({1,2,3,4},NĐ!W69,NĐ!AA69,NĐ!AE69,NĐ!AI69)))</f>
        <v>0</v>
      </c>
      <c r="H69">
        <f>SUMPRODUCT((MONTH(CHOOSE({1,2,3,4},NĐ!T69,NĐ!X69,NĐ!AB69,NĐ!AF69))=8)*(CHOOSE({1,2,3,4},NĐ!W69,NĐ!AA69,NĐ!AE69,NĐ!AI69)))</f>
        <v>0</v>
      </c>
      <c r="I69">
        <f>SUMPRODUCT((MONTH(CHOOSE({1,2,3,4},NĐ!T69,NĐ!X69,NĐ!AB69,NĐ!AF69))=9)*(CHOOSE({1,2,3,4},NĐ!W69,NĐ!AA69,NĐ!AE69,NĐ!AI69)))</f>
        <v>0</v>
      </c>
      <c r="J69">
        <f>SUMPRODUCT((MONTH(CHOOSE({1,2,3,4},NĐ!T69,NĐ!X69,NĐ!AB69,NĐ!AF69))=10)*(CHOOSE({1,2,3,4},NĐ!W69,NĐ!AA69,NĐ!AE69,NĐ!AI69)))</f>
        <v>0</v>
      </c>
      <c r="K69">
        <f>SUMPRODUCT((MONTH(CHOOSE({1,2,3,4},NĐ!T69,NĐ!X69,NĐ!AB69,NĐ!AF69))=11)*(CHOOSE({1,2,3,4},NĐ!W69,NĐ!AA69,NĐ!AE69,NĐ!AI69)))</f>
        <v>0</v>
      </c>
      <c r="L69">
        <f>SUMPRODUCT((MONTH(CHOOSE({1,2,3,4},NĐ!T69,NĐ!X69,NĐ!AB69,NĐ!AF69))=12)*(CHOOSE({1,2,3,4},NĐ!W69,NĐ!AA69,NĐ!AE69,NĐ!AI69)))</f>
        <v>0</v>
      </c>
    </row>
    <row r="70" spans="1:12">
      <c r="A70">
        <f>SUMPRODUCT((MONTH(CHOOSE({1,2,3,4},NĐ!T70,NĐ!X70,NĐ!AB70,NĐ!AF70))=1)*(CHOOSE({1,2,3,4},NĐ!W70,NĐ!AA70,NĐ!AE70,NĐ!AI70)))</f>
        <v>0</v>
      </c>
      <c r="B70">
        <f>SUMPRODUCT((MONTH(CHOOSE({1,2,3,4},NĐ!T70,NĐ!X70,NĐ!AB70,NĐ!AF70))=2)*(CHOOSE({1,2,3,4},NĐ!W70,NĐ!AA70,NĐ!AE70,NĐ!AI70)))</f>
        <v>0</v>
      </c>
      <c r="C70">
        <f>SUMPRODUCT((MONTH(CHOOSE({1,2,3,4},NĐ!T70,NĐ!X70,NĐ!AB70,NĐ!AF70))=3)*(CHOOSE({1,2,3,4},NĐ!W70,NĐ!AA70,NĐ!AE70,NĐ!AI70)))</f>
        <v>0</v>
      </c>
      <c r="D70">
        <f>SUMPRODUCT((MONTH(CHOOSE({1,2,3,4},NĐ!T70,NĐ!X70,NĐ!AB70,NĐ!AF70))=4)*(CHOOSE({1,2,3,4},NĐ!W70,NĐ!AA70,NĐ!AE70,NĐ!AI70)))</f>
        <v>0</v>
      </c>
      <c r="E70">
        <f>SUMPRODUCT((MONTH(CHOOSE({1,2,3,4},NĐ!T70,NĐ!X70,NĐ!AB70,NĐ!AF70))=5)*(CHOOSE({1,2,3,4},NĐ!W70,NĐ!AA70,NĐ!AE70,NĐ!AI70)))</f>
        <v>0</v>
      </c>
      <c r="F70">
        <f>SUMPRODUCT((MONTH(CHOOSE({1,2,3,4},NĐ!T70,NĐ!X70,NĐ!AB70,NĐ!AF70))=6)*(CHOOSE({1,2,3,4},NĐ!W70,NĐ!AA70,NĐ!AE70,NĐ!AI70)))</f>
        <v>0</v>
      </c>
      <c r="G70">
        <f>SUMPRODUCT((MONTH(CHOOSE({1,2,3,4},NĐ!T70,NĐ!X70,NĐ!AB70,NĐ!AF70))=7)*(CHOOSE({1,2,3,4},NĐ!W70,NĐ!AA70,NĐ!AE70,NĐ!AI70)))</f>
        <v>0</v>
      </c>
      <c r="H70">
        <f>SUMPRODUCT((MONTH(CHOOSE({1,2,3,4},NĐ!T70,NĐ!X70,NĐ!AB70,NĐ!AF70))=8)*(CHOOSE({1,2,3,4},NĐ!W70,NĐ!AA70,NĐ!AE70,NĐ!AI70)))</f>
        <v>0</v>
      </c>
      <c r="I70">
        <f>SUMPRODUCT((MONTH(CHOOSE({1,2,3,4},NĐ!T70,NĐ!X70,NĐ!AB70,NĐ!AF70))=9)*(CHOOSE({1,2,3,4},NĐ!W70,NĐ!AA70,NĐ!AE70,NĐ!AI70)))</f>
        <v>0</v>
      </c>
      <c r="J70">
        <f>SUMPRODUCT((MONTH(CHOOSE({1,2,3,4},NĐ!T70,NĐ!X70,NĐ!AB70,NĐ!AF70))=10)*(CHOOSE({1,2,3,4},NĐ!W70,NĐ!AA70,NĐ!AE70,NĐ!AI70)))</f>
        <v>0</v>
      </c>
      <c r="K70">
        <f>SUMPRODUCT((MONTH(CHOOSE({1,2,3,4},NĐ!T70,NĐ!X70,NĐ!AB70,NĐ!AF70))=11)*(CHOOSE({1,2,3,4},NĐ!W70,NĐ!AA70,NĐ!AE70,NĐ!AI70)))</f>
        <v>0</v>
      </c>
      <c r="L70">
        <f>SUMPRODUCT((MONTH(CHOOSE({1,2,3,4},NĐ!T70,NĐ!X70,NĐ!AB70,NĐ!AF70))=12)*(CHOOSE({1,2,3,4},NĐ!W70,NĐ!AA70,NĐ!AE70,NĐ!AI70)))</f>
        <v>0</v>
      </c>
    </row>
    <row r="71" spans="1:12">
      <c r="A71">
        <f>SUMPRODUCT((MONTH(CHOOSE({1,2,3,4},NĐ!T71,NĐ!X71,NĐ!AB71,NĐ!AF71))=1)*(CHOOSE({1,2,3,4},NĐ!W71,NĐ!AA71,NĐ!AE71,NĐ!AI71)))</f>
        <v>0</v>
      </c>
      <c r="B71">
        <f>SUMPRODUCT((MONTH(CHOOSE({1,2,3,4},NĐ!T71,NĐ!X71,NĐ!AB71,NĐ!AF71))=2)*(CHOOSE({1,2,3,4},NĐ!W71,NĐ!AA71,NĐ!AE71,NĐ!AI71)))</f>
        <v>0</v>
      </c>
      <c r="C71">
        <f>SUMPRODUCT((MONTH(CHOOSE({1,2,3,4},NĐ!T71,NĐ!X71,NĐ!AB71,NĐ!AF71))=3)*(CHOOSE({1,2,3,4},NĐ!W71,NĐ!AA71,NĐ!AE71,NĐ!AI71)))</f>
        <v>0</v>
      </c>
      <c r="D71">
        <f>SUMPRODUCT((MONTH(CHOOSE({1,2,3,4},NĐ!T71,NĐ!X71,NĐ!AB71,NĐ!AF71))=4)*(CHOOSE({1,2,3,4},NĐ!W71,NĐ!AA71,NĐ!AE71,NĐ!AI71)))</f>
        <v>0</v>
      </c>
      <c r="E71">
        <f>SUMPRODUCT((MONTH(CHOOSE({1,2,3,4},NĐ!T71,NĐ!X71,NĐ!AB71,NĐ!AF71))=5)*(CHOOSE({1,2,3,4},NĐ!W71,NĐ!AA71,NĐ!AE71,NĐ!AI71)))</f>
        <v>0</v>
      </c>
      <c r="F71">
        <f>SUMPRODUCT((MONTH(CHOOSE({1,2,3,4},NĐ!T71,NĐ!X71,NĐ!AB71,NĐ!AF71))=6)*(CHOOSE({1,2,3,4},NĐ!W71,NĐ!AA71,NĐ!AE71,NĐ!AI71)))</f>
        <v>0</v>
      </c>
      <c r="G71">
        <f>SUMPRODUCT((MONTH(CHOOSE({1,2,3,4},NĐ!T71,NĐ!X71,NĐ!AB71,NĐ!AF71))=7)*(CHOOSE({1,2,3,4},NĐ!W71,NĐ!AA71,NĐ!AE71,NĐ!AI71)))</f>
        <v>0</v>
      </c>
      <c r="H71">
        <f>SUMPRODUCT((MONTH(CHOOSE({1,2,3,4},NĐ!T71,NĐ!X71,NĐ!AB71,NĐ!AF71))=8)*(CHOOSE({1,2,3,4},NĐ!W71,NĐ!AA71,NĐ!AE71,NĐ!AI71)))</f>
        <v>0</v>
      </c>
      <c r="I71">
        <f>SUMPRODUCT((MONTH(CHOOSE({1,2,3,4},NĐ!T71,NĐ!X71,NĐ!AB71,NĐ!AF71))=9)*(CHOOSE({1,2,3,4},NĐ!W71,NĐ!AA71,NĐ!AE71,NĐ!AI71)))</f>
        <v>0</v>
      </c>
      <c r="J71">
        <f>SUMPRODUCT((MONTH(CHOOSE({1,2,3,4},NĐ!T71,NĐ!X71,NĐ!AB71,NĐ!AF71))=10)*(CHOOSE({1,2,3,4},NĐ!W71,NĐ!AA71,NĐ!AE71,NĐ!AI71)))</f>
        <v>0</v>
      </c>
      <c r="K71">
        <f>SUMPRODUCT((MONTH(CHOOSE({1,2,3,4},NĐ!T71,NĐ!X71,NĐ!AB71,NĐ!AF71))=11)*(CHOOSE({1,2,3,4},NĐ!W71,NĐ!AA71,NĐ!AE71,NĐ!AI71)))</f>
        <v>0</v>
      </c>
      <c r="L71">
        <f>SUMPRODUCT((MONTH(CHOOSE({1,2,3,4},NĐ!T71,NĐ!X71,NĐ!AB71,NĐ!AF71))=12)*(CHOOSE({1,2,3,4},NĐ!W71,NĐ!AA71,NĐ!AE71,NĐ!AI71)))</f>
        <v>0</v>
      </c>
    </row>
    <row r="72" spans="1:12">
      <c r="A72">
        <f>SUMPRODUCT((MONTH(CHOOSE({1,2,3,4},NĐ!T72,NĐ!X72,NĐ!AB72,NĐ!AF72))=1)*(CHOOSE({1,2,3,4},NĐ!W72,NĐ!AA72,NĐ!AE72,NĐ!AI72)))</f>
        <v>0</v>
      </c>
      <c r="B72">
        <f>SUMPRODUCT((MONTH(CHOOSE({1,2,3,4},NĐ!T72,NĐ!X72,NĐ!AB72,NĐ!AF72))=2)*(CHOOSE({1,2,3,4},NĐ!W72,NĐ!AA72,NĐ!AE72,NĐ!AI72)))</f>
        <v>0</v>
      </c>
      <c r="C72">
        <f>SUMPRODUCT((MONTH(CHOOSE({1,2,3,4},NĐ!T72,NĐ!X72,NĐ!AB72,NĐ!AF72))=3)*(CHOOSE({1,2,3,4},NĐ!W72,NĐ!AA72,NĐ!AE72,NĐ!AI72)))</f>
        <v>0</v>
      </c>
      <c r="D72">
        <f>SUMPRODUCT((MONTH(CHOOSE({1,2,3,4},NĐ!T72,NĐ!X72,NĐ!AB72,NĐ!AF72))=4)*(CHOOSE({1,2,3,4},NĐ!W72,NĐ!AA72,NĐ!AE72,NĐ!AI72)))</f>
        <v>0</v>
      </c>
      <c r="E72">
        <f>SUMPRODUCT((MONTH(CHOOSE({1,2,3,4},NĐ!T72,NĐ!X72,NĐ!AB72,NĐ!AF72))=5)*(CHOOSE({1,2,3,4},NĐ!W72,NĐ!AA72,NĐ!AE72,NĐ!AI72)))</f>
        <v>0</v>
      </c>
      <c r="F72">
        <f>SUMPRODUCT((MONTH(CHOOSE({1,2,3,4},NĐ!T72,NĐ!X72,NĐ!AB72,NĐ!AF72))=6)*(CHOOSE({1,2,3,4},NĐ!W72,NĐ!AA72,NĐ!AE72,NĐ!AI72)))</f>
        <v>0</v>
      </c>
      <c r="G72">
        <f>SUMPRODUCT((MONTH(CHOOSE({1,2,3,4},NĐ!T72,NĐ!X72,NĐ!AB72,NĐ!AF72))=7)*(CHOOSE({1,2,3,4},NĐ!W72,NĐ!AA72,NĐ!AE72,NĐ!AI72)))</f>
        <v>0</v>
      </c>
      <c r="H72">
        <f>SUMPRODUCT((MONTH(CHOOSE({1,2,3,4},NĐ!T72,NĐ!X72,NĐ!AB72,NĐ!AF72))=8)*(CHOOSE({1,2,3,4},NĐ!W72,NĐ!AA72,NĐ!AE72,NĐ!AI72)))</f>
        <v>0</v>
      </c>
      <c r="I72">
        <f>SUMPRODUCT((MONTH(CHOOSE({1,2,3,4},NĐ!T72,NĐ!X72,NĐ!AB72,NĐ!AF72))=9)*(CHOOSE({1,2,3,4},NĐ!W72,NĐ!AA72,NĐ!AE72,NĐ!AI72)))</f>
        <v>0</v>
      </c>
      <c r="J72">
        <f>SUMPRODUCT((MONTH(CHOOSE({1,2,3,4},NĐ!T72,NĐ!X72,NĐ!AB72,NĐ!AF72))=10)*(CHOOSE({1,2,3,4},NĐ!W72,NĐ!AA72,NĐ!AE72,NĐ!AI72)))</f>
        <v>0</v>
      </c>
      <c r="K72">
        <f>SUMPRODUCT((MONTH(CHOOSE({1,2,3,4},NĐ!T72,NĐ!X72,NĐ!AB72,NĐ!AF72))=11)*(CHOOSE({1,2,3,4},NĐ!W72,NĐ!AA72,NĐ!AE72,NĐ!AI72)))</f>
        <v>0</v>
      </c>
      <c r="L72">
        <f>SUMPRODUCT((MONTH(CHOOSE({1,2,3,4},NĐ!T72,NĐ!X72,NĐ!AB72,NĐ!AF72))=12)*(CHOOSE({1,2,3,4},NĐ!W72,NĐ!AA72,NĐ!AE72,NĐ!AI72)))</f>
        <v>0</v>
      </c>
    </row>
    <row r="73" spans="1:12">
      <c r="A73">
        <f>SUMPRODUCT((MONTH(CHOOSE({1,2,3,4},NĐ!T73,NĐ!X73,NĐ!AB73,NĐ!AF73))=1)*(CHOOSE({1,2,3,4},NĐ!W73,NĐ!AA73,NĐ!AE73,NĐ!AI73)))</f>
        <v>0</v>
      </c>
      <c r="B73">
        <f>SUMPRODUCT((MONTH(CHOOSE({1,2,3,4},NĐ!T73,NĐ!X73,NĐ!AB73,NĐ!AF73))=2)*(CHOOSE({1,2,3,4},NĐ!W73,NĐ!AA73,NĐ!AE73,NĐ!AI73)))</f>
        <v>0</v>
      </c>
      <c r="C73">
        <f>SUMPRODUCT((MONTH(CHOOSE({1,2,3,4},NĐ!T73,NĐ!X73,NĐ!AB73,NĐ!AF73))=3)*(CHOOSE({1,2,3,4},NĐ!W73,NĐ!AA73,NĐ!AE73,NĐ!AI73)))</f>
        <v>0</v>
      </c>
      <c r="D73">
        <f>SUMPRODUCT((MONTH(CHOOSE({1,2,3,4},NĐ!T73,NĐ!X73,NĐ!AB73,NĐ!AF73))=4)*(CHOOSE({1,2,3,4},NĐ!W73,NĐ!AA73,NĐ!AE73,NĐ!AI73)))</f>
        <v>0</v>
      </c>
      <c r="E73">
        <f>SUMPRODUCT((MONTH(CHOOSE({1,2,3,4},NĐ!T73,NĐ!X73,NĐ!AB73,NĐ!AF73))=5)*(CHOOSE({1,2,3,4},NĐ!W73,NĐ!AA73,NĐ!AE73,NĐ!AI73)))</f>
        <v>0</v>
      </c>
      <c r="F73">
        <f>SUMPRODUCT((MONTH(CHOOSE({1,2,3,4},NĐ!T73,NĐ!X73,NĐ!AB73,NĐ!AF73))=6)*(CHOOSE({1,2,3,4},NĐ!W73,NĐ!AA73,NĐ!AE73,NĐ!AI73)))</f>
        <v>0</v>
      </c>
      <c r="G73">
        <f>SUMPRODUCT((MONTH(CHOOSE({1,2,3,4},NĐ!T73,NĐ!X73,NĐ!AB73,NĐ!AF73))=7)*(CHOOSE({1,2,3,4},NĐ!W73,NĐ!AA73,NĐ!AE73,NĐ!AI73)))</f>
        <v>0</v>
      </c>
      <c r="H73">
        <f>SUMPRODUCT((MONTH(CHOOSE({1,2,3,4},NĐ!T73,NĐ!X73,NĐ!AB73,NĐ!AF73))=8)*(CHOOSE({1,2,3,4},NĐ!W73,NĐ!AA73,NĐ!AE73,NĐ!AI73)))</f>
        <v>0</v>
      </c>
      <c r="I73">
        <f>SUMPRODUCT((MONTH(CHOOSE({1,2,3,4},NĐ!T73,NĐ!X73,NĐ!AB73,NĐ!AF73))=9)*(CHOOSE({1,2,3,4},NĐ!W73,NĐ!AA73,NĐ!AE73,NĐ!AI73)))</f>
        <v>0</v>
      </c>
      <c r="J73">
        <f>SUMPRODUCT((MONTH(CHOOSE({1,2,3,4},NĐ!T73,NĐ!X73,NĐ!AB73,NĐ!AF73))=10)*(CHOOSE({1,2,3,4},NĐ!W73,NĐ!AA73,NĐ!AE73,NĐ!AI73)))</f>
        <v>0</v>
      </c>
      <c r="K73">
        <f>SUMPRODUCT((MONTH(CHOOSE({1,2,3,4},NĐ!T73,NĐ!X73,NĐ!AB73,NĐ!AF73))=11)*(CHOOSE({1,2,3,4},NĐ!W73,NĐ!AA73,NĐ!AE73,NĐ!AI73)))</f>
        <v>0</v>
      </c>
      <c r="L73">
        <f>SUMPRODUCT((MONTH(CHOOSE({1,2,3,4},NĐ!T73,NĐ!X73,NĐ!AB73,NĐ!AF73))=12)*(CHOOSE({1,2,3,4},NĐ!W73,NĐ!AA73,NĐ!AE73,NĐ!AI73)))</f>
        <v>0</v>
      </c>
    </row>
    <row r="74" spans="1:12">
      <c r="A74">
        <f>SUMPRODUCT((MONTH(CHOOSE({1,2,3,4},NĐ!T74,NĐ!X74,NĐ!AB74,NĐ!AF74))=1)*(CHOOSE({1,2,3,4},NĐ!W74,NĐ!AA74,NĐ!AE74,NĐ!AI74)))</f>
        <v>0</v>
      </c>
      <c r="B74">
        <f>SUMPRODUCT((MONTH(CHOOSE({1,2,3,4},NĐ!T74,NĐ!X74,NĐ!AB74,NĐ!AF74))=2)*(CHOOSE({1,2,3,4},NĐ!W74,NĐ!AA74,NĐ!AE74,NĐ!AI74)))</f>
        <v>0</v>
      </c>
      <c r="C74">
        <f>SUMPRODUCT((MONTH(CHOOSE({1,2,3,4},NĐ!T74,NĐ!X74,NĐ!AB74,NĐ!AF74))=3)*(CHOOSE({1,2,3,4},NĐ!W74,NĐ!AA74,NĐ!AE74,NĐ!AI74)))</f>
        <v>0</v>
      </c>
      <c r="D74">
        <f>SUMPRODUCT((MONTH(CHOOSE({1,2,3,4},NĐ!T74,NĐ!X74,NĐ!AB74,NĐ!AF74))=4)*(CHOOSE({1,2,3,4},NĐ!W74,NĐ!AA74,NĐ!AE74,NĐ!AI74)))</f>
        <v>0</v>
      </c>
      <c r="E74">
        <f>SUMPRODUCT((MONTH(CHOOSE({1,2,3,4},NĐ!T74,NĐ!X74,NĐ!AB74,NĐ!AF74))=5)*(CHOOSE({1,2,3,4},NĐ!W74,NĐ!AA74,NĐ!AE74,NĐ!AI74)))</f>
        <v>0</v>
      </c>
      <c r="F74">
        <f>SUMPRODUCT((MONTH(CHOOSE({1,2,3,4},NĐ!T74,NĐ!X74,NĐ!AB74,NĐ!AF74))=6)*(CHOOSE({1,2,3,4},NĐ!W74,NĐ!AA74,NĐ!AE74,NĐ!AI74)))</f>
        <v>0</v>
      </c>
      <c r="G74">
        <f>SUMPRODUCT((MONTH(CHOOSE({1,2,3,4},NĐ!T74,NĐ!X74,NĐ!AB74,NĐ!AF74))=7)*(CHOOSE({1,2,3,4},NĐ!W74,NĐ!AA74,NĐ!AE74,NĐ!AI74)))</f>
        <v>0</v>
      </c>
      <c r="H74">
        <f>SUMPRODUCT((MONTH(CHOOSE({1,2,3,4},NĐ!T74,NĐ!X74,NĐ!AB74,NĐ!AF74))=8)*(CHOOSE({1,2,3,4},NĐ!W74,NĐ!AA74,NĐ!AE74,NĐ!AI74)))</f>
        <v>0</v>
      </c>
      <c r="I74">
        <f>SUMPRODUCT((MONTH(CHOOSE({1,2,3,4},NĐ!T74,NĐ!X74,NĐ!AB74,NĐ!AF74))=9)*(CHOOSE({1,2,3,4},NĐ!W74,NĐ!AA74,NĐ!AE74,NĐ!AI74)))</f>
        <v>0</v>
      </c>
      <c r="J74">
        <f>SUMPRODUCT((MONTH(CHOOSE({1,2,3,4},NĐ!T74,NĐ!X74,NĐ!AB74,NĐ!AF74))=10)*(CHOOSE({1,2,3,4},NĐ!W74,NĐ!AA74,NĐ!AE74,NĐ!AI74)))</f>
        <v>0</v>
      </c>
      <c r="K74">
        <f>SUMPRODUCT((MONTH(CHOOSE({1,2,3,4},NĐ!T74,NĐ!X74,NĐ!AB74,NĐ!AF74))=11)*(CHOOSE({1,2,3,4},NĐ!W74,NĐ!AA74,NĐ!AE74,NĐ!AI74)))</f>
        <v>0</v>
      </c>
      <c r="L74">
        <f>SUMPRODUCT((MONTH(CHOOSE({1,2,3,4},NĐ!T74,NĐ!X74,NĐ!AB74,NĐ!AF74))=12)*(CHOOSE({1,2,3,4},NĐ!W74,NĐ!AA74,NĐ!AE74,NĐ!AI74)))</f>
        <v>0</v>
      </c>
    </row>
    <row r="75" spans="1:12">
      <c r="A75">
        <f>SUMPRODUCT((MONTH(CHOOSE({1,2,3,4},NĐ!T75,NĐ!X75,NĐ!AB75,NĐ!AF75))=1)*(CHOOSE({1,2,3,4},NĐ!W75,NĐ!AA75,NĐ!AE75,NĐ!AI75)))</f>
        <v>0</v>
      </c>
      <c r="B75">
        <f>SUMPRODUCT((MONTH(CHOOSE({1,2,3,4},NĐ!T75,NĐ!X75,NĐ!AB75,NĐ!AF75))=2)*(CHOOSE({1,2,3,4},NĐ!W75,NĐ!AA75,NĐ!AE75,NĐ!AI75)))</f>
        <v>0</v>
      </c>
      <c r="C75">
        <f>SUMPRODUCT((MONTH(CHOOSE({1,2,3,4},NĐ!T75,NĐ!X75,NĐ!AB75,NĐ!AF75))=3)*(CHOOSE({1,2,3,4},NĐ!W75,NĐ!AA75,NĐ!AE75,NĐ!AI75)))</f>
        <v>0</v>
      </c>
      <c r="D75">
        <f>SUMPRODUCT((MONTH(CHOOSE({1,2,3,4},NĐ!T75,NĐ!X75,NĐ!AB75,NĐ!AF75))=4)*(CHOOSE({1,2,3,4},NĐ!W75,NĐ!AA75,NĐ!AE75,NĐ!AI75)))</f>
        <v>0</v>
      </c>
      <c r="E75">
        <f>SUMPRODUCT((MONTH(CHOOSE({1,2,3,4},NĐ!T75,NĐ!X75,NĐ!AB75,NĐ!AF75))=5)*(CHOOSE({1,2,3,4},NĐ!W75,NĐ!AA75,NĐ!AE75,NĐ!AI75)))</f>
        <v>0</v>
      </c>
      <c r="F75">
        <f>SUMPRODUCT((MONTH(CHOOSE({1,2,3,4},NĐ!T75,NĐ!X75,NĐ!AB75,NĐ!AF75))=6)*(CHOOSE({1,2,3,4},NĐ!W75,NĐ!AA75,NĐ!AE75,NĐ!AI75)))</f>
        <v>0</v>
      </c>
      <c r="G75">
        <f>SUMPRODUCT((MONTH(CHOOSE({1,2,3,4},NĐ!T75,NĐ!X75,NĐ!AB75,NĐ!AF75))=7)*(CHOOSE({1,2,3,4},NĐ!W75,NĐ!AA75,NĐ!AE75,NĐ!AI75)))</f>
        <v>0</v>
      </c>
      <c r="H75">
        <f>SUMPRODUCT((MONTH(CHOOSE({1,2,3,4},NĐ!T75,NĐ!X75,NĐ!AB75,NĐ!AF75))=8)*(CHOOSE({1,2,3,4},NĐ!W75,NĐ!AA75,NĐ!AE75,NĐ!AI75)))</f>
        <v>0</v>
      </c>
      <c r="I75">
        <f>SUMPRODUCT((MONTH(CHOOSE({1,2,3,4},NĐ!T75,NĐ!X75,NĐ!AB75,NĐ!AF75))=9)*(CHOOSE({1,2,3,4},NĐ!W75,NĐ!AA75,NĐ!AE75,NĐ!AI75)))</f>
        <v>0</v>
      </c>
      <c r="J75">
        <f>SUMPRODUCT((MONTH(CHOOSE({1,2,3,4},NĐ!T75,NĐ!X75,NĐ!AB75,NĐ!AF75))=10)*(CHOOSE({1,2,3,4},NĐ!W75,NĐ!AA75,NĐ!AE75,NĐ!AI75)))</f>
        <v>0</v>
      </c>
      <c r="K75">
        <f>SUMPRODUCT((MONTH(CHOOSE({1,2,3,4},NĐ!T75,NĐ!X75,NĐ!AB75,NĐ!AF75))=11)*(CHOOSE({1,2,3,4},NĐ!W75,NĐ!AA75,NĐ!AE75,NĐ!AI75)))</f>
        <v>0</v>
      </c>
      <c r="L75">
        <f>SUMPRODUCT((MONTH(CHOOSE({1,2,3,4},NĐ!T75,NĐ!X75,NĐ!AB75,NĐ!AF75))=12)*(CHOOSE({1,2,3,4},NĐ!W75,NĐ!AA75,NĐ!AE75,NĐ!AI75)))</f>
        <v>0</v>
      </c>
    </row>
    <row r="76" spans="1:12">
      <c r="A76">
        <f>SUMPRODUCT((MONTH(CHOOSE({1,2,3,4},NĐ!T76,NĐ!X76,NĐ!AB76,NĐ!AF76))=1)*(CHOOSE({1,2,3,4},NĐ!W76,NĐ!AA76,NĐ!AE76,NĐ!AI76)))</f>
        <v>0</v>
      </c>
      <c r="B76">
        <f>SUMPRODUCT((MONTH(CHOOSE({1,2,3,4},NĐ!T76,NĐ!X76,NĐ!AB76,NĐ!AF76))=2)*(CHOOSE({1,2,3,4},NĐ!W76,NĐ!AA76,NĐ!AE76,NĐ!AI76)))</f>
        <v>0</v>
      </c>
      <c r="C76">
        <f>SUMPRODUCT((MONTH(CHOOSE({1,2,3,4},NĐ!T76,NĐ!X76,NĐ!AB76,NĐ!AF76))=3)*(CHOOSE({1,2,3,4},NĐ!W76,NĐ!AA76,NĐ!AE76,NĐ!AI76)))</f>
        <v>0</v>
      </c>
      <c r="D76">
        <f>SUMPRODUCT((MONTH(CHOOSE({1,2,3,4},NĐ!T76,NĐ!X76,NĐ!AB76,NĐ!AF76))=4)*(CHOOSE({1,2,3,4},NĐ!W76,NĐ!AA76,NĐ!AE76,NĐ!AI76)))</f>
        <v>0</v>
      </c>
      <c r="E76">
        <f>SUMPRODUCT((MONTH(CHOOSE({1,2,3,4},NĐ!T76,NĐ!X76,NĐ!AB76,NĐ!AF76))=5)*(CHOOSE({1,2,3,4},NĐ!W76,NĐ!AA76,NĐ!AE76,NĐ!AI76)))</f>
        <v>0</v>
      </c>
      <c r="F76">
        <f>SUMPRODUCT((MONTH(CHOOSE({1,2,3,4},NĐ!T76,NĐ!X76,NĐ!AB76,NĐ!AF76))=6)*(CHOOSE({1,2,3,4},NĐ!W76,NĐ!AA76,NĐ!AE76,NĐ!AI76)))</f>
        <v>0</v>
      </c>
      <c r="G76">
        <f>SUMPRODUCT((MONTH(CHOOSE({1,2,3,4},NĐ!T76,NĐ!X76,NĐ!AB76,NĐ!AF76))=7)*(CHOOSE({1,2,3,4},NĐ!W76,NĐ!AA76,NĐ!AE76,NĐ!AI76)))</f>
        <v>0</v>
      </c>
      <c r="H76">
        <f>SUMPRODUCT((MONTH(CHOOSE({1,2,3,4},NĐ!T76,NĐ!X76,NĐ!AB76,NĐ!AF76))=8)*(CHOOSE({1,2,3,4},NĐ!W76,NĐ!AA76,NĐ!AE76,NĐ!AI76)))</f>
        <v>0</v>
      </c>
      <c r="I76">
        <f>SUMPRODUCT((MONTH(CHOOSE({1,2,3,4},NĐ!T76,NĐ!X76,NĐ!AB76,NĐ!AF76))=9)*(CHOOSE({1,2,3,4},NĐ!W76,NĐ!AA76,NĐ!AE76,NĐ!AI76)))</f>
        <v>0</v>
      </c>
      <c r="J76">
        <f>SUMPRODUCT((MONTH(CHOOSE({1,2,3,4},NĐ!T76,NĐ!X76,NĐ!AB76,NĐ!AF76))=10)*(CHOOSE({1,2,3,4},NĐ!W76,NĐ!AA76,NĐ!AE76,NĐ!AI76)))</f>
        <v>0</v>
      </c>
      <c r="K76">
        <f>SUMPRODUCT((MONTH(CHOOSE({1,2,3,4},NĐ!T76,NĐ!X76,NĐ!AB76,NĐ!AF76))=11)*(CHOOSE({1,2,3,4},NĐ!W76,NĐ!AA76,NĐ!AE76,NĐ!AI76)))</f>
        <v>0</v>
      </c>
      <c r="L76">
        <f>SUMPRODUCT((MONTH(CHOOSE({1,2,3,4},NĐ!T76,NĐ!X76,NĐ!AB76,NĐ!AF76))=12)*(CHOOSE({1,2,3,4},NĐ!W76,NĐ!AA76,NĐ!AE76,NĐ!AI76)))</f>
        <v>0</v>
      </c>
    </row>
    <row r="77" spans="1:12">
      <c r="A77">
        <f>SUMPRODUCT((MONTH(CHOOSE({1,2,3,4},NĐ!T77,NĐ!X77,NĐ!AB77,NĐ!AF77))=1)*(CHOOSE({1,2,3,4},NĐ!W77,NĐ!AA77,NĐ!AE77,NĐ!AI77)))</f>
        <v>0</v>
      </c>
      <c r="B77">
        <f>SUMPRODUCT((MONTH(CHOOSE({1,2,3,4},NĐ!T77,NĐ!X77,NĐ!AB77,NĐ!AF77))=2)*(CHOOSE({1,2,3,4},NĐ!W77,NĐ!AA77,NĐ!AE77,NĐ!AI77)))</f>
        <v>0</v>
      </c>
      <c r="C77">
        <f>SUMPRODUCT((MONTH(CHOOSE({1,2,3,4},NĐ!T77,NĐ!X77,NĐ!AB77,NĐ!AF77))=3)*(CHOOSE({1,2,3,4},NĐ!W77,NĐ!AA77,NĐ!AE77,NĐ!AI77)))</f>
        <v>0</v>
      </c>
      <c r="D77">
        <f>SUMPRODUCT((MONTH(CHOOSE({1,2,3,4},NĐ!T77,NĐ!X77,NĐ!AB77,NĐ!AF77))=4)*(CHOOSE({1,2,3,4},NĐ!W77,NĐ!AA77,NĐ!AE77,NĐ!AI77)))</f>
        <v>0</v>
      </c>
      <c r="E77">
        <f>SUMPRODUCT((MONTH(CHOOSE({1,2,3,4},NĐ!T77,NĐ!X77,NĐ!AB77,NĐ!AF77))=5)*(CHOOSE({1,2,3,4},NĐ!W77,NĐ!AA77,NĐ!AE77,NĐ!AI77)))</f>
        <v>0</v>
      </c>
      <c r="F77">
        <f>SUMPRODUCT((MONTH(CHOOSE({1,2,3,4},NĐ!T77,NĐ!X77,NĐ!AB77,NĐ!AF77))=6)*(CHOOSE({1,2,3,4},NĐ!W77,NĐ!AA77,NĐ!AE77,NĐ!AI77)))</f>
        <v>0</v>
      </c>
      <c r="G77">
        <f>SUMPRODUCT((MONTH(CHOOSE({1,2,3,4},NĐ!T77,NĐ!X77,NĐ!AB77,NĐ!AF77))=7)*(CHOOSE({1,2,3,4},NĐ!W77,NĐ!AA77,NĐ!AE77,NĐ!AI77)))</f>
        <v>0</v>
      </c>
      <c r="H77">
        <f>SUMPRODUCT((MONTH(CHOOSE({1,2,3,4},NĐ!T77,NĐ!X77,NĐ!AB77,NĐ!AF77))=8)*(CHOOSE({1,2,3,4},NĐ!W77,NĐ!AA77,NĐ!AE77,NĐ!AI77)))</f>
        <v>0</v>
      </c>
      <c r="I77">
        <f>SUMPRODUCT((MONTH(CHOOSE({1,2,3,4},NĐ!T77,NĐ!X77,NĐ!AB77,NĐ!AF77))=9)*(CHOOSE({1,2,3,4},NĐ!W77,NĐ!AA77,NĐ!AE77,NĐ!AI77)))</f>
        <v>0</v>
      </c>
      <c r="J77">
        <f>SUMPRODUCT((MONTH(CHOOSE({1,2,3,4},NĐ!T77,NĐ!X77,NĐ!AB77,NĐ!AF77))=10)*(CHOOSE({1,2,3,4},NĐ!W77,NĐ!AA77,NĐ!AE77,NĐ!AI77)))</f>
        <v>0</v>
      </c>
      <c r="K77">
        <f>SUMPRODUCT((MONTH(CHOOSE({1,2,3,4},NĐ!T77,NĐ!X77,NĐ!AB77,NĐ!AF77))=11)*(CHOOSE({1,2,3,4},NĐ!W77,NĐ!AA77,NĐ!AE77,NĐ!AI77)))</f>
        <v>0</v>
      </c>
      <c r="L77">
        <f>SUMPRODUCT((MONTH(CHOOSE({1,2,3,4},NĐ!T77,NĐ!X77,NĐ!AB77,NĐ!AF77))=12)*(CHOOSE({1,2,3,4},NĐ!W77,NĐ!AA77,NĐ!AE77,NĐ!AI77)))</f>
        <v>0</v>
      </c>
    </row>
    <row r="78" spans="1:12">
      <c r="A78">
        <f>SUMPRODUCT((MONTH(CHOOSE({1,2,3,4},NĐ!T78,NĐ!X78,NĐ!AB78,NĐ!AF78))=1)*(CHOOSE({1,2,3,4},NĐ!W78,NĐ!AA78,NĐ!AE78,NĐ!AI78)))</f>
        <v>0</v>
      </c>
      <c r="B78">
        <f>SUMPRODUCT((MONTH(CHOOSE({1,2,3,4},NĐ!T78,NĐ!X78,NĐ!AB78,NĐ!AF78))=2)*(CHOOSE({1,2,3,4},NĐ!W78,NĐ!AA78,NĐ!AE78,NĐ!AI78)))</f>
        <v>0</v>
      </c>
      <c r="C78">
        <f>SUMPRODUCT((MONTH(CHOOSE({1,2,3,4},NĐ!T78,NĐ!X78,NĐ!AB78,NĐ!AF78))=3)*(CHOOSE({1,2,3,4},NĐ!W78,NĐ!AA78,NĐ!AE78,NĐ!AI78)))</f>
        <v>0</v>
      </c>
      <c r="D78">
        <f>SUMPRODUCT((MONTH(CHOOSE({1,2,3,4},NĐ!T78,NĐ!X78,NĐ!AB78,NĐ!AF78))=4)*(CHOOSE({1,2,3,4},NĐ!W78,NĐ!AA78,NĐ!AE78,NĐ!AI78)))</f>
        <v>0</v>
      </c>
      <c r="E78">
        <f>SUMPRODUCT((MONTH(CHOOSE({1,2,3,4},NĐ!T78,NĐ!X78,NĐ!AB78,NĐ!AF78))=5)*(CHOOSE({1,2,3,4},NĐ!W78,NĐ!AA78,NĐ!AE78,NĐ!AI78)))</f>
        <v>0</v>
      </c>
      <c r="F78">
        <f>SUMPRODUCT((MONTH(CHOOSE({1,2,3,4},NĐ!T78,NĐ!X78,NĐ!AB78,NĐ!AF78))=6)*(CHOOSE({1,2,3,4},NĐ!W78,NĐ!AA78,NĐ!AE78,NĐ!AI78)))</f>
        <v>0</v>
      </c>
      <c r="G78">
        <f>SUMPRODUCT((MONTH(CHOOSE({1,2,3,4},NĐ!T78,NĐ!X78,NĐ!AB78,NĐ!AF78))=7)*(CHOOSE({1,2,3,4},NĐ!W78,NĐ!AA78,NĐ!AE78,NĐ!AI78)))</f>
        <v>0</v>
      </c>
      <c r="H78">
        <f>SUMPRODUCT((MONTH(CHOOSE({1,2,3,4},NĐ!T78,NĐ!X78,NĐ!AB78,NĐ!AF78))=8)*(CHOOSE({1,2,3,4},NĐ!W78,NĐ!AA78,NĐ!AE78,NĐ!AI78)))</f>
        <v>0</v>
      </c>
      <c r="I78">
        <f>SUMPRODUCT((MONTH(CHOOSE({1,2,3,4},NĐ!T78,NĐ!X78,NĐ!AB78,NĐ!AF78))=9)*(CHOOSE({1,2,3,4},NĐ!W78,NĐ!AA78,NĐ!AE78,NĐ!AI78)))</f>
        <v>0</v>
      </c>
      <c r="J78">
        <f>SUMPRODUCT((MONTH(CHOOSE({1,2,3,4},NĐ!T78,NĐ!X78,NĐ!AB78,NĐ!AF78))=10)*(CHOOSE({1,2,3,4},NĐ!W78,NĐ!AA78,NĐ!AE78,NĐ!AI78)))</f>
        <v>0</v>
      </c>
      <c r="K78">
        <f>SUMPRODUCT((MONTH(CHOOSE({1,2,3,4},NĐ!T78,NĐ!X78,NĐ!AB78,NĐ!AF78))=11)*(CHOOSE({1,2,3,4},NĐ!W78,NĐ!AA78,NĐ!AE78,NĐ!AI78)))</f>
        <v>0</v>
      </c>
      <c r="L78">
        <f>SUMPRODUCT((MONTH(CHOOSE({1,2,3,4},NĐ!T78,NĐ!X78,NĐ!AB78,NĐ!AF78))=12)*(CHOOSE({1,2,3,4},NĐ!W78,NĐ!AA78,NĐ!AE78,NĐ!AI78)))</f>
        <v>0</v>
      </c>
    </row>
    <row r="79" spans="1:12">
      <c r="A79">
        <f>SUMPRODUCT((MONTH(CHOOSE({1,2,3,4},NĐ!T79,NĐ!X79,NĐ!AB79,NĐ!AF79))=1)*(CHOOSE({1,2,3,4},NĐ!W79,NĐ!AA79,NĐ!AE79,NĐ!AI79)))</f>
        <v>0</v>
      </c>
      <c r="B79">
        <f>SUMPRODUCT((MONTH(CHOOSE({1,2,3,4},NĐ!T79,NĐ!X79,NĐ!AB79,NĐ!AF79))=2)*(CHOOSE({1,2,3,4},NĐ!W79,NĐ!AA79,NĐ!AE79,NĐ!AI79)))</f>
        <v>0</v>
      </c>
      <c r="C79">
        <f>SUMPRODUCT((MONTH(CHOOSE({1,2,3,4},NĐ!T79,NĐ!X79,NĐ!AB79,NĐ!AF79))=3)*(CHOOSE({1,2,3,4},NĐ!W79,NĐ!AA79,NĐ!AE79,NĐ!AI79)))</f>
        <v>0</v>
      </c>
      <c r="D79">
        <f>SUMPRODUCT((MONTH(CHOOSE({1,2,3,4},NĐ!T79,NĐ!X79,NĐ!AB79,NĐ!AF79))=4)*(CHOOSE({1,2,3,4},NĐ!W79,NĐ!AA79,NĐ!AE79,NĐ!AI79)))</f>
        <v>0</v>
      </c>
      <c r="E79">
        <f>SUMPRODUCT((MONTH(CHOOSE({1,2,3,4},NĐ!T79,NĐ!X79,NĐ!AB79,NĐ!AF79))=5)*(CHOOSE({1,2,3,4},NĐ!W79,NĐ!AA79,NĐ!AE79,NĐ!AI79)))</f>
        <v>0</v>
      </c>
      <c r="F79">
        <f>SUMPRODUCT((MONTH(CHOOSE({1,2,3,4},NĐ!T79,NĐ!X79,NĐ!AB79,NĐ!AF79))=6)*(CHOOSE({1,2,3,4},NĐ!W79,NĐ!AA79,NĐ!AE79,NĐ!AI79)))</f>
        <v>0</v>
      </c>
      <c r="G79">
        <f>SUMPRODUCT((MONTH(CHOOSE({1,2,3,4},NĐ!T79,NĐ!X79,NĐ!AB79,NĐ!AF79))=7)*(CHOOSE({1,2,3,4},NĐ!W79,NĐ!AA79,NĐ!AE79,NĐ!AI79)))</f>
        <v>0</v>
      </c>
      <c r="H79">
        <f>SUMPRODUCT((MONTH(CHOOSE({1,2,3,4},NĐ!T79,NĐ!X79,NĐ!AB79,NĐ!AF79))=8)*(CHOOSE({1,2,3,4},NĐ!W79,NĐ!AA79,NĐ!AE79,NĐ!AI79)))</f>
        <v>0</v>
      </c>
      <c r="I79">
        <f>SUMPRODUCT((MONTH(CHOOSE({1,2,3,4},NĐ!T79,NĐ!X79,NĐ!AB79,NĐ!AF79))=9)*(CHOOSE({1,2,3,4},NĐ!W79,NĐ!AA79,NĐ!AE79,NĐ!AI79)))</f>
        <v>0</v>
      </c>
      <c r="J79">
        <f>SUMPRODUCT((MONTH(CHOOSE({1,2,3,4},NĐ!T79,NĐ!X79,NĐ!AB79,NĐ!AF79))=10)*(CHOOSE({1,2,3,4},NĐ!W79,NĐ!AA79,NĐ!AE79,NĐ!AI79)))</f>
        <v>0</v>
      </c>
      <c r="K79">
        <f>SUMPRODUCT((MONTH(CHOOSE({1,2,3,4},NĐ!T79,NĐ!X79,NĐ!AB79,NĐ!AF79))=11)*(CHOOSE({1,2,3,4},NĐ!W79,NĐ!AA79,NĐ!AE79,NĐ!AI79)))</f>
        <v>0</v>
      </c>
      <c r="L79">
        <f>SUMPRODUCT((MONTH(CHOOSE({1,2,3,4},NĐ!T79,NĐ!X79,NĐ!AB79,NĐ!AF79))=12)*(CHOOSE({1,2,3,4},NĐ!W79,NĐ!AA79,NĐ!AE79,NĐ!AI79)))</f>
        <v>0</v>
      </c>
    </row>
    <row r="80" spans="1:12">
      <c r="A80">
        <f>SUMPRODUCT((MONTH(CHOOSE({1,2,3,4},NĐ!T80,NĐ!X80,NĐ!AB80,NĐ!AF80))=1)*(CHOOSE({1,2,3,4},NĐ!W80,NĐ!AA80,NĐ!AE80,NĐ!AI80)))</f>
        <v>0</v>
      </c>
      <c r="B80">
        <f>SUMPRODUCT((MONTH(CHOOSE({1,2,3,4},NĐ!T80,NĐ!X80,NĐ!AB80,NĐ!AF80))=2)*(CHOOSE({1,2,3,4},NĐ!W80,NĐ!AA80,NĐ!AE80,NĐ!AI80)))</f>
        <v>0</v>
      </c>
      <c r="C80">
        <f>SUMPRODUCT((MONTH(CHOOSE({1,2,3,4},NĐ!T80,NĐ!X80,NĐ!AB80,NĐ!AF80))=3)*(CHOOSE({1,2,3,4},NĐ!W80,NĐ!AA80,NĐ!AE80,NĐ!AI80)))</f>
        <v>0</v>
      </c>
      <c r="D80">
        <f>SUMPRODUCT((MONTH(CHOOSE({1,2,3,4},NĐ!T80,NĐ!X80,NĐ!AB80,NĐ!AF80))=4)*(CHOOSE({1,2,3,4},NĐ!W80,NĐ!AA80,NĐ!AE80,NĐ!AI80)))</f>
        <v>0</v>
      </c>
      <c r="E80">
        <f>SUMPRODUCT((MONTH(CHOOSE({1,2,3,4},NĐ!T80,NĐ!X80,NĐ!AB80,NĐ!AF80))=5)*(CHOOSE({1,2,3,4},NĐ!W80,NĐ!AA80,NĐ!AE80,NĐ!AI80)))</f>
        <v>0</v>
      </c>
      <c r="F80">
        <f>SUMPRODUCT((MONTH(CHOOSE({1,2,3,4},NĐ!T80,NĐ!X80,NĐ!AB80,NĐ!AF80))=6)*(CHOOSE({1,2,3,4},NĐ!W80,NĐ!AA80,NĐ!AE80,NĐ!AI80)))</f>
        <v>0</v>
      </c>
      <c r="G80">
        <f>SUMPRODUCT((MONTH(CHOOSE({1,2,3,4},NĐ!T80,NĐ!X80,NĐ!AB80,NĐ!AF80))=7)*(CHOOSE({1,2,3,4},NĐ!W80,NĐ!AA80,NĐ!AE80,NĐ!AI80)))</f>
        <v>0</v>
      </c>
      <c r="H80">
        <f>SUMPRODUCT((MONTH(CHOOSE({1,2,3,4},NĐ!T80,NĐ!X80,NĐ!AB80,NĐ!AF80))=8)*(CHOOSE({1,2,3,4},NĐ!W80,NĐ!AA80,NĐ!AE80,NĐ!AI80)))</f>
        <v>0</v>
      </c>
      <c r="I80">
        <f>SUMPRODUCT((MONTH(CHOOSE({1,2,3,4},NĐ!T80,NĐ!X80,NĐ!AB80,NĐ!AF80))=9)*(CHOOSE({1,2,3,4},NĐ!W80,NĐ!AA80,NĐ!AE80,NĐ!AI80)))</f>
        <v>0</v>
      </c>
      <c r="J80">
        <f>SUMPRODUCT((MONTH(CHOOSE({1,2,3,4},NĐ!T80,NĐ!X80,NĐ!AB80,NĐ!AF80))=10)*(CHOOSE({1,2,3,4},NĐ!W80,NĐ!AA80,NĐ!AE80,NĐ!AI80)))</f>
        <v>0</v>
      </c>
      <c r="K80">
        <f>SUMPRODUCT((MONTH(CHOOSE({1,2,3,4},NĐ!T80,NĐ!X80,NĐ!AB80,NĐ!AF80))=11)*(CHOOSE({1,2,3,4},NĐ!W80,NĐ!AA80,NĐ!AE80,NĐ!AI80)))</f>
        <v>0</v>
      </c>
      <c r="L80">
        <f>SUMPRODUCT((MONTH(CHOOSE({1,2,3,4},NĐ!T80,NĐ!X80,NĐ!AB80,NĐ!AF80))=12)*(CHOOSE({1,2,3,4},NĐ!W80,NĐ!AA80,NĐ!AE80,NĐ!AI80)))</f>
        <v>0</v>
      </c>
    </row>
    <row r="81" spans="1:12">
      <c r="A81">
        <f>SUMPRODUCT((MONTH(CHOOSE({1,2,3,4},NĐ!T81,NĐ!X81,NĐ!AB81,NĐ!AF81))=1)*(CHOOSE({1,2,3,4},NĐ!W81,NĐ!AA81,NĐ!AE81,NĐ!AI81)))</f>
        <v>0</v>
      </c>
      <c r="B81">
        <f>SUMPRODUCT((MONTH(CHOOSE({1,2,3,4},NĐ!T81,NĐ!X81,NĐ!AB81,NĐ!AF81))=2)*(CHOOSE({1,2,3,4},NĐ!W81,NĐ!AA81,NĐ!AE81,NĐ!AI81)))</f>
        <v>0</v>
      </c>
      <c r="C81">
        <f>SUMPRODUCT((MONTH(CHOOSE({1,2,3,4},NĐ!T81,NĐ!X81,NĐ!AB81,NĐ!AF81))=3)*(CHOOSE({1,2,3,4},NĐ!W81,NĐ!AA81,NĐ!AE81,NĐ!AI81)))</f>
        <v>0</v>
      </c>
      <c r="D81">
        <f>SUMPRODUCT((MONTH(CHOOSE({1,2,3,4},NĐ!T81,NĐ!X81,NĐ!AB81,NĐ!AF81))=4)*(CHOOSE({1,2,3,4},NĐ!W81,NĐ!AA81,NĐ!AE81,NĐ!AI81)))</f>
        <v>0</v>
      </c>
      <c r="E81">
        <f>SUMPRODUCT((MONTH(CHOOSE({1,2,3,4},NĐ!T81,NĐ!X81,NĐ!AB81,NĐ!AF81))=5)*(CHOOSE({1,2,3,4},NĐ!W81,NĐ!AA81,NĐ!AE81,NĐ!AI81)))</f>
        <v>0</v>
      </c>
      <c r="F81">
        <f>SUMPRODUCT((MONTH(CHOOSE({1,2,3,4},NĐ!T81,NĐ!X81,NĐ!AB81,NĐ!AF81))=6)*(CHOOSE({1,2,3,4},NĐ!W81,NĐ!AA81,NĐ!AE81,NĐ!AI81)))</f>
        <v>0</v>
      </c>
      <c r="G81">
        <f>SUMPRODUCT((MONTH(CHOOSE({1,2,3,4},NĐ!T81,NĐ!X81,NĐ!AB81,NĐ!AF81))=7)*(CHOOSE({1,2,3,4},NĐ!W81,NĐ!AA81,NĐ!AE81,NĐ!AI81)))</f>
        <v>0</v>
      </c>
      <c r="H81">
        <f>SUMPRODUCT((MONTH(CHOOSE({1,2,3,4},NĐ!T81,NĐ!X81,NĐ!AB81,NĐ!AF81))=8)*(CHOOSE({1,2,3,4},NĐ!W81,NĐ!AA81,NĐ!AE81,NĐ!AI81)))</f>
        <v>0</v>
      </c>
      <c r="I81">
        <f>SUMPRODUCT((MONTH(CHOOSE({1,2,3,4},NĐ!T81,NĐ!X81,NĐ!AB81,NĐ!AF81))=9)*(CHOOSE({1,2,3,4},NĐ!W81,NĐ!AA81,NĐ!AE81,NĐ!AI81)))</f>
        <v>0</v>
      </c>
      <c r="J81">
        <f>SUMPRODUCT((MONTH(CHOOSE({1,2,3,4},NĐ!T81,NĐ!X81,NĐ!AB81,NĐ!AF81))=10)*(CHOOSE({1,2,3,4},NĐ!W81,NĐ!AA81,NĐ!AE81,NĐ!AI81)))</f>
        <v>0</v>
      </c>
      <c r="K81">
        <f>SUMPRODUCT((MONTH(CHOOSE({1,2,3,4},NĐ!T81,NĐ!X81,NĐ!AB81,NĐ!AF81))=11)*(CHOOSE({1,2,3,4},NĐ!W81,NĐ!AA81,NĐ!AE81,NĐ!AI81)))</f>
        <v>0</v>
      </c>
      <c r="L81">
        <f>SUMPRODUCT((MONTH(CHOOSE({1,2,3,4},NĐ!T81,NĐ!X81,NĐ!AB81,NĐ!AF81))=12)*(CHOOSE({1,2,3,4},NĐ!W81,NĐ!AA81,NĐ!AE81,NĐ!AI81)))</f>
        <v>0</v>
      </c>
    </row>
    <row r="82" spans="1:12">
      <c r="A82">
        <f>SUMPRODUCT((MONTH(CHOOSE({1,2,3,4},NĐ!T82,NĐ!X82,NĐ!AB82,NĐ!AF82))=1)*(CHOOSE({1,2,3,4},NĐ!W82,NĐ!AA82,NĐ!AE82,NĐ!AI82)))</f>
        <v>0</v>
      </c>
      <c r="B82">
        <f>SUMPRODUCT((MONTH(CHOOSE({1,2,3,4},NĐ!T82,NĐ!X82,NĐ!AB82,NĐ!AF82))=2)*(CHOOSE({1,2,3,4},NĐ!W82,NĐ!AA82,NĐ!AE82,NĐ!AI82)))</f>
        <v>0</v>
      </c>
      <c r="C82">
        <f>SUMPRODUCT((MONTH(CHOOSE({1,2,3,4},NĐ!T82,NĐ!X82,NĐ!AB82,NĐ!AF82))=3)*(CHOOSE({1,2,3,4},NĐ!W82,NĐ!AA82,NĐ!AE82,NĐ!AI82)))</f>
        <v>0</v>
      </c>
      <c r="D82">
        <f>SUMPRODUCT((MONTH(CHOOSE({1,2,3,4},NĐ!T82,NĐ!X82,NĐ!AB82,NĐ!AF82))=4)*(CHOOSE({1,2,3,4},NĐ!W82,NĐ!AA82,NĐ!AE82,NĐ!AI82)))</f>
        <v>0</v>
      </c>
      <c r="E82">
        <f>SUMPRODUCT((MONTH(CHOOSE({1,2,3,4},NĐ!T82,NĐ!X82,NĐ!AB82,NĐ!AF82))=5)*(CHOOSE({1,2,3,4},NĐ!W82,NĐ!AA82,NĐ!AE82,NĐ!AI82)))</f>
        <v>0</v>
      </c>
      <c r="F82">
        <f>SUMPRODUCT((MONTH(CHOOSE({1,2,3,4},NĐ!T82,NĐ!X82,NĐ!AB82,NĐ!AF82))=6)*(CHOOSE({1,2,3,4},NĐ!W82,NĐ!AA82,NĐ!AE82,NĐ!AI82)))</f>
        <v>0</v>
      </c>
      <c r="G82">
        <f>SUMPRODUCT((MONTH(CHOOSE({1,2,3,4},NĐ!T82,NĐ!X82,NĐ!AB82,NĐ!AF82))=7)*(CHOOSE({1,2,3,4},NĐ!W82,NĐ!AA82,NĐ!AE82,NĐ!AI82)))</f>
        <v>0</v>
      </c>
      <c r="H82">
        <f>SUMPRODUCT((MONTH(CHOOSE({1,2,3,4},NĐ!T82,NĐ!X82,NĐ!AB82,NĐ!AF82))=8)*(CHOOSE({1,2,3,4},NĐ!W82,NĐ!AA82,NĐ!AE82,NĐ!AI82)))</f>
        <v>0</v>
      </c>
      <c r="I82">
        <f>SUMPRODUCT((MONTH(CHOOSE({1,2,3,4},NĐ!T82,NĐ!X82,NĐ!AB82,NĐ!AF82))=9)*(CHOOSE({1,2,3,4},NĐ!W82,NĐ!AA82,NĐ!AE82,NĐ!AI82)))</f>
        <v>0</v>
      </c>
      <c r="J82">
        <f>SUMPRODUCT((MONTH(CHOOSE({1,2,3,4},NĐ!T82,NĐ!X82,NĐ!AB82,NĐ!AF82))=10)*(CHOOSE({1,2,3,4},NĐ!W82,NĐ!AA82,NĐ!AE82,NĐ!AI82)))</f>
        <v>0</v>
      </c>
      <c r="K82">
        <f>SUMPRODUCT((MONTH(CHOOSE({1,2,3,4},NĐ!T82,NĐ!X82,NĐ!AB82,NĐ!AF82))=11)*(CHOOSE({1,2,3,4},NĐ!W82,NĐ!AA82,NĐ!AE82,NĐ!AI82)))</f>
        <v>0</v>
      </c>
      <c r="L82">
        <f>SUMPRODUCT((MONTH(CHOOSE({1,2,3,4},NĐ!T82,NĐ!X82,NĐ!AB82,NĐ!AF82))=12)*(CHOOSE({1,2,3,4},NĐ!W82,NĐ!AA82,NĐ!AE82,NĐ!AI82)))</f>
        <v>0</v>
      </c>
    </row>
    <row r="83" spans="1:12">
      <c r="A83">
        <f>SUMPRODUCT((MONTH(CHOOSE({1,2,3,4},NĐ!T83,NĐ!X83,NĐ!AB83,NĐ!AF83))=1)*(CHOOSE({1,2,3,4},NĐ!W83,NĐ!AA83,NĐ!AE83,NĐ!AI83)))</f>
        <v>0</v>
      </c>
      <c r="B83">
        <f>SUMPRODUCT((MONTH(CHOOSE({1,2,3,4},NĐ!T83,NĐ!X83,NĐ!AB83,NĐ!AF83))=2)*(CHOOSE({1,2,3,4},NĐ!W83,NĐ!AA83,NĐ!AE83,NĐ!AI83)))</f>
        <v>0</v>
      </c>
      <c r="C83">
        <f>SUMPRODUCT((MONTH(CHOOSE({1,2,3,4},NĐ!T83,NĐ!X83,NĐ!AB83,NĐ!AF83))=3)*(CHOOSE({1,2,3,4},NĐ!W83,NĐ!AA83,NĐ!AE83,NĐ!AI83)))</f>
        <v>0</v>
      </c>
      <c r="D83">
        <f>SUMPRODUCT((MONTH(CHOOSE({1,2,3,4},NĐ!T83,NĐ!X83,NĐ!AB83,NĐ!AF83))=4)*(CHOOSE({1,2,3,4},NĐ!W83,NĐ!AA83,NĐ!AE83,NĐ!AI83)))</f>
        <v>0</v>
      </c>
      <c r="E83">
        <f>SUMPRODUCT((MONTH(CHOOSE({1,2,3,4},NĐ!T83,NĐ!X83,NĐ!AB83,NĐ!AF83))=5)*(CHOOSE({1,2,3,4},NĐ!W83,NĐ!AA83,NĐ!AE83,NĐ!AI83)))</f>
        <v>0</v>
      </c>
      <c r="F83">
        <f>SUMPRODUCT((MONTH(CHOOSE({1,2,3,4},NĐ!T83,NĐ!X83,NĐ!AB83,NĐ!AF83))=6)*(CHOOSE({1,2,3,4},NĐ!W83,NĐ!AA83,NĐ!AE83,NĐ!AI83)))</f>
        <v>0</v>
      </c>
      <c r="G83">
        <f>SUMPRODUCT((MONTH(CHOOSE({1,2,3,4},NĐ!T83,NĐ!X83,NĐ!AB83,NĐ!AF83))=7)*(CHOOSE({1,2,3,4},NĐ!W83,NĐ!AA83,NĐ!AE83,NĐ!AI83)))</f>
        <v>0</v>
      </c>
      <c r="H83">
        <f>SUMPRODUCT((MONTH(CHOOSE({1,2,3,4},NĐ!T83,NĐ!X83,NĐ!AB83,NĐ!AF83))=8)*(CHOOSE({1,2,3,4},NĐ!W83,NĐ!AA83,NĐ!AE83,NĐ!AI83)))</f>
        <v>0</v>
      </c>
      <c r="I83">
        <f>SUMPRODUCT((MONTH(CHOOSE({1,2,3,4},NĐ!T83,NĐ!X83,NĐ!AB83,NĐ!AF83))=9)*(CHOOSE({1,2,3,4},NĐ!W83,NĐ!AA83,NĐ!AE83,NĐ!AI83)))</f>
        <v>0</v>
      </c>
      <c r="J83">
        <f>SUMPRODUCT((MONTH(CHOOSE({1,2,3,4},NĐ!T83,NĐ!X83,NĐ!AB83,NĐ!AF83))=10)*(CHOOSE({1,2,3,4},NĐ!W83,NĐ!AA83,NĐ!AE83,NĐ!AI83)))</f>
        <v>0</v>
      </c>
      <c r="K83">
        <f>SUMPRODUCT((MONTH(CHOOSE({1,2,3,4},NĐ!T83,NĐ!X83,NĐ!AB83,NĐ!AF83))=11)*(CHOOSE({1,2,3,4},NĐ!W83,NĐ!AA83,NĐ!AE83,NĐ!AI83)))</f>
        <v>0</v>
      </c>
      <c r="L83">
        <f>SUMPRODUCT((MONTH(CHOOSE({1,2,3,4},NĐ!T83,NĐ!X83,NĐ!AB83,NĐ!AF83))=12)*(CHOOSE({1,2,3,4},NĐ!W83,NĐ!AA83,NĐ!AE83,NĐ!AI83)))</f>
        <v>0</v>
      </c>
    </row>
    <row r="84" spans="1:12">
      <c r="A84">
        <f>SUMPRODUCT((MONTH(CHOOSE({1,2,3,4},NĐ!T84,NĐ!X84,NĐ!AB84,NĐ!AF84))=1)*(CHOOSE({1,2,3,4},NĐ!W84,NĐ!AA84,NĐ!AE84,NĐ!AI84)))</f>
        <v>0</v>
      </c>
      <c r="B84">
        <f>SUMPRODUCT((MONTH(CHOOSE({1,2,3,4},NĐ!T84,NĐ!X84,NĐ!AB84,NĐ!AF84))=2)*(CHOOSE({1,2,3,4},NĐ!W84,NĐ!AA84,NĐ!AE84,NĐ!AI84)))</f>
        <v>0</v>
      </c>
      <c r="C84">
        <f>SUMPRODUCT((MONTH(CHOOSE({1,2,3,4},NĐ!T84,NĐ!X84,NĐ!AB84,NĐ!AF84))=3)*(CHOOSE({1,2,3,4},NĐ!W84,NĐ!AA84,NĐ!AE84,NĐ!AI84)))</f>
        <v>0</v>
      </c>
      <c r="D84">
        <f>SUMPRODUCT((MONTH(CHOOSE({1,2,3,4},NĐ!T84,NĐ!X84,NĐ!AB84,NĐ!AF84))=4)*(CHOOSE({1,2,3,4},NĐ!W84,NĐ!AA84,NĐ!AE84,NĐ!AI84)))</f>
        <v>0</v>
      </c>
      <c r="E84">
        <f>SUMPRODUCT((MONTH(CHOOSE({1,2,3,4},NĐ!T84,NĐ!X84,NĐ!AB84,NĐ!AF84))=5)*(CHOOSE({1,2,3,4},NĐ!W84,NĐ!AA84,NĐ!AE84,NĐ!AI84)))</f>
        <v>0</v>
      </c>
      <c r="F84">
        <f>SUMPRODUCT((MONTH(CHOOSE({1,2,3,4},NĐ!T84,NĐ!X84,NĐ!AB84,NĐ!AF84))=6)*(CHOOSE({1,2,3,4},NĐ!W84,NĐ!AA84,NĐ!AE84,NĐ!AI84)))</f>
        <v>0</v>
      </c>
      <c r="G84">
        <f>SUMPRODUCT((MONTH(CHOOSE({1,2,3,4},NĐ!T84,NĐ!X84,NĐ!AB84,NĐ!AF84))=7)*(CHOOSE({1,2,3,4},NĐ!W84,NĐ!AA84,NĐ!AE84,NĐ!AI84)))</f>
        <v>0</v>
      </c>
      <c r="H84">
        <f>SUMPRODUCT((MONTH(CHOOSE({1,2,3,4},NĐ!T84,NĐ!X84,NĐ!AB84,NĐ!AF84))=8)*(CHOOSE({1,2,3,4},NĐ!W84,NĐ!AA84,NĐ!AE84,NĐ!AI84)))</f>
        <v>0</v>
      </c>
      <c r="I84">
        <f>SUMPRODUCT((MONTH(CHOOSE({1,2,3,4},NĐ!T84,NĐ!X84,NĐ!AB84,NĐ!AF84))=9)*(CHOOSE({1,2,3,4},NĐ!W84,NĐ!AA84,NĐ!AE84,NĐ!AI84)))</f>
        <v>0</v>
      </c>
      <c r="J84">
        <f>SUMPRODUCT((MONTH(CHOOSE({1,2,3,4},NĐ!T84,NĐ!X84,NĐ!AB84,NĐ!AF84))=10)*(CHOOSE({1,2,3,4},NĐ!W84,NĐ!AA84,NĐ!AE84,NĐ!AI84)))</f>
        <v>0</v>
      </c>
      <c r="K84">
        <f>SUMPRODUCT((MONTH(CHOOSE({1,2,3,4},NĐ!T84,NĐ!X84,NĐ!AB84,NĐ!AF84))=11)*(CHOOSE({1,2,3,4},NĐ!W84,NĐ!AA84,NĐ!AE84,NĐ!AI84)))</f>
        <v>0</v>
      </c>
      <c r="L84">
        <f>SUMPRODUCT((MONTH(CHOOSE({1,2,3,4},NĐ!T84,NĐ!X84,NĐ!AB84,NĐ!AF84))=12)*(CHOOSE({1,2,3,4},NĐ!W84,NĐ!AA84,NĐ!AE84,NĐ!AI84)))</f>
        <v>0</v>
      </c>
    </row>
    <row r="85" spans="1:12">
      <c r="A85">
        <f>SUMPRODUCT((MONTH(CHOOSE({1,2,3,4},NĐ!T85,NĐ!X85,NĐ!AB85,NĐ!AF85))=1)*(CHOOSE({1,2,3,4},NĐ!W85,NĐ!AA85,NĐ!AE85,NĐ!AI85)))</f>
        <v>0</v>
      </c>
      <c r="B85">
        <f>SUMPRODUCT((MONTH(CHOOSE({1,2,3,4},NĐ!T85,NĐ!X85,NĐ!AB85,NĐ!AF85))=2)*(CHOOSE({1,2,3,4},NĐ!W85,NĐ!AA85,NĐ!AE85,NĐ!AI85)))</f>
        <v>0</v>
      </c>
      <c r="C85">
        <f>SUMPRODUCT((MONTH(CHOOSE({1,2,3,4},NĐ!T85,NĐ!X85,NĐ!AB85,NĐ!AF85))=3)*(CHOOSE({1,2,3,4},NĐ!W85,NĐ!AA85,NĐ!AE85,NĐ!AI85)))</f>
        <v>0</v>
      </c>
      <c r="D85">
        <f>SUMPRODUCT((MONTH(CHOOSE({1,2,3,4},NĐ!T85,NĐ!X85,NĐ!AB85,NĐ!AF85))=4)*(CHOOSE({1,2,3,4},NĐ!W85,NĐ!AA85,NĐ!AE85,NĐ!AI85)))</f>
        <v>0</v>
      </c>
      <c r="E85">
        <f>SUMPRODUCT((MONTH(CHOOSE({1,2,3,4},NĐ!T85,NĐ!X85,NĐ!AB85,NĐ!AF85))=5)*(CHOOSE({1,2,3,4},NĐ!W85,NĐ!AA85,NĐ!AE85,NĐ!AI85)))</f>
        <v>0</v>
      </c>
      <c r="F85">
        <f>SUMPRODUCT((MONTH(CHOOSE({1,2,3,4},NĐ!T85,NĐ!X85,NĐ!AB85,NĐ!AF85))=6)*(CHOOSE({1,2,3,4},NĐ!W85,NĐ!AA85,NĐ!AE85,NĐ!AI85)))</f>
        <v>0</v>
      </c>
      <c r="G85">
        <f>SUMPRODUCT((MONTH(CHOOSE({1,2,3,4},NĐ!T85,NĐ!X85,NĐ!AB85,NĐ!AF85))=7)*(CHOOSE({1,2,3,4},NĐ!W85,NĐ!AA85,NĐ!AE85,NĐ!AI85)))</f>
        <v>0</v>
      </c>
      <c r="H85">
        <f>SUMPRODUCT((MONTH(CHOOSE({1,2,3,4},NĐ!T85,NĐ!X85,NĐ!AB85,NĐ!AF85))=8)*(CHOOSE({1,2,3,4},NĐ!W85,NĐ!AA85,NĐ!AE85,NĐ!AI85)))</f>
        <v>0</v>
      </c>
      <c r="I85">
        <f>SUMPRODUCT((MONTH(CHOOSE({1,2,3,4},NĐ!T85,NĐ!X85,NĐ!AB85,NĐ!AF85))=9)*(CHOOSE({1,2,3,4},NĐ!W85,NĐ!AA85,NĐ!AE85,NĐ!AI85)))</f>
        <v>0</v>
      </c>
      <c r="J85">
        <f>SUMPRODUCT((MONTH(CHOOSE({1,2,3,4},NĐ!T85,NĐ!X85,NĐ!AB85,NĐ!AF85))=10)*(CHOOSE({1,2,3,4},NĐ!W85,NĐ!AA85,NĐ!AE85,NĐ!AI85)))</f>
        <v>0</v>
      </c>
      <c r="K85">
        <f>SUMPRODUCT((MONTH(CHOOSE({1,2,3,4},NĐ!T85,NĐ!X85,NĐ!AB85,NĐ!AF85))=11)*(CHOOSE({1,2,3,4},NĐ!W85,NĐ!AA85,NĐ!AE85,NĐ!AI85)))</f>
        <v>0</v>
      </c>
      <c r="L85">
        <f>SUMPRODUCT((MONTH(CHOOSE({1,2,3,4},NĐ!T85,NĐ!X85,NĐ!AB85,NĐ!AF85))=12)*(CHOOSE({1,2,3,4},NĐ!W85,NĐ!AA85,NĐ!AE85,NĐ!AI85)))</f>
        <v>0</v>
      </c>
    </row>
    <row r="86" spans="1:12">
      <c r="A86">
        <f>SUMPRODUCT((MONTH(CHOOSE({1,2,3,4},NĐ!T86,NĐ!X86,NĐ!AB86,NĐ!AF86))=1)*(CHOOSE({1,2,3,4},NĐ!W86,NĐ!AA86,NĐ!AE86,NĐ!AI86)))</f>
        <v>0</v>
      </c>
      <c r="B86">
        <f>SUMPRODUCT((MONTH(CHOOSE({1,2,3,4},NĐ!T86,NĐ!X86,NĐ!AB86,NĐ!AF86))=2)*(CHOOSE({1,2,3,4},NĐ!W86,NĐ!AA86,NĐ!AE86,NĐ!AI86)))</f>
        <v>0</v>
      </c>
      <c r="C86">
        <f>SUMPRODUCT((MONTH(CHOOSE({1,2,3,4},NĐ!T86,NĐ!X86,NĐ!AB86,NĐ!AF86))=3)*(CHOOSE({1,2,3,4},NĐ!W86,NĐ!AA86,NĐ!AE86,NĐ!AI86)))</f>
        <v>0</v>
      </c>
      <c r="D86">
        <f>SUMPRODUCT((MONTH(CHOOSE({1,2,3,4},NĐ!T86,NĐ!X86,NĐ!AB86,NĐ!AF86))=4)*(CHOOSE({1,2,3,4},NĐ!W86,NĐ!AA86,NĐ!AE86,NĐ!AI86)))</f>
        <v>0</v>
      </c>
      <c r="E86">
        <f>SUMPRODUCT((MONTH(CHOOSE({1,2,3,4},NĐ!T86,NĐ!X86,NĐ!AB86,NĐ!AF86))=5)*(CHOOSE({1,2,3,4},NĐ!W86,NĐ!AA86,NĐ!AE86,NĐ!AI86)))</f>
        <v>0</v>
      </c>
      <c r="F86">
        <f>SUMPRODUCT((MONTH(CHOOSE({1,2,3,4},NĐ!T86,NĐ!X86,NĐ!AB86,NĐ!AF86))=6)*(CHOOSE({1,2,3,4},NĐ!W86,NĐ!AA86,NĐ!AE86,NĐ!AI86)))</f>
        <v>0</v>
      </c>
      <c r="G86">
        <f>SUMPRODUCT((MONTH(CHOOSE({1,2,3,4},NĐ!T86,NĐ!X86,NĐ!AB86,NĐ!AF86))=7)*(CHOOSE({1,2,3,4},NĐ!W86,NĐ!AA86,NĐ!AE86,NĐ!AI86)))</f>
        <v>0</v>
      </c>
      <c r="H86">
        <f>SUMPRODUCT((MONTH(CHOOSE({1,2,3,4},NĐ!T86,NĐ!X86,NĐ!AB86,NĐ!AF86))=8)*(CHOOSE({1,2,3,4},NĐ!W86,NĐ!AA86,NĐ!AE86,NĐ!AI86)))</f>
        <v>0</v>
      </c>
      <c r="I86">
        <f>SUMPRODUCT((MONTH(CHOOSE({1,2,3,4},NĐ!T86,NĐ!X86,NĐ!AB86,NĐ!AF86))=9)*(CHOOSE({1,2,3,4},NĐ!W86,NĐ!AA86,NĐ!AE86,NĐ!AI86)))</f>
        <v>0</v>
      </c>
      <c r="J86">
        <f>SUMPRODUCT((MONTH(CHOOSE({1,2,3,4},NĐ!T86,NĐ!X86,NĐ!AB86,NĐ!AF86))=10)*(CHOOSE({1,2,3,4},NĐ!W86,NĐ!AA86,NĐ!AE86,NĐ!AI86)))</f>
        <v>0</v>
      </c>
      <c r="K86">
        <f>SUMPRODUCT((MONTH(CHOOSE({1,2,3,4},NĐ!T86,NĐ!X86,NĐ!AB86,NĐ!AF86))=11)*(CHOOSE({1,2,3,4},NĐ!W86,NĐ!AA86,NĐ!AE86,NĐ!AI86)))</f>
        <v>0</v>
      </c>
      <c r="L86">
        <f>SUMPRODUCT((MONTH(CHOOSE({1,2,3,4},NĐ!T86,NĐ!X86,NĐ!AB86,NĐ!AF86))=12)*(CHOOSE({1,2,3,4},NĐ!W86,NĐ!AA86,NĐ!AE86,NĐ!AI86)))</f>
        <v>0</v>
      </c>
    </row>
    <row r="87" spans="1:12">
      <c r="A87">
        <f>SUMPRODUCT((MONTH(CHOOSE({1,2,3,4},NĐ!T87,NĐ!X87,NĐ!AB87,NĐ!AF87))=1)*(CHOOSE({1,2,3,4},NĐ!W87,NĐ!AA87,NĐ!AE87,NĐ!AI87)))</f>
        <v>0</v>
      </c>
      <c r="B87">
        <f>SUMPRODUCT((MONTH(CHOOSE({1,2,3,4},NĐ!T87,NĐ!X87,NĐ!AB87,NĐ!AF87))=2)*(CHOOSE({1,2,3,4},NĐ!W87,NĐ!AA87,NĐ!AE87,NĐ!AI87)))</f>
        <v>0</v>
      </c>
      <c r="C87">
        <f>SUMPRODUCT((MONTH(CHOOSE({1,2,3,4},NĐ!T87,NĐ!X87,NĐ!AB87,NĐ!AF87))=3)*(CHOOSE({1,2,3,4},NĐ!W87,NĐ!AA87,NĐ!AE87,NĐ!AI87)))</f>
        <v>0</v>
      </c>
      <c r="D87">
        <f>SUMPRODUCT((MONTH(CHOOSE({1,2,3,4},NĐ!T87,NĐ!X87,NĐ!AB87,NĐ!AF87))=4)*(CHOOSE({1,2,3,4},NĐ!W87,NĐ!AA87,NĐ!AE87,NĐ!AI87)))</f>
        <v>0</v>
      </c>
      <c r="E87">
        <f>SUMPRODUCT((MONTH(CHOOSE({1,2,3,4},NĐ!T87,NĐ!X87,NĐ!AB87,NĐ!AF87))=5)*(CHOOSE({1,2,3,4},NĐ!W87,NĐ!AA87,NĐ!AE87,NĐ!AI87)))</f>
        <v>0</v>
      </c>
      <c r="F87">
        <f>SUMPRODUCT((MONTH(CHOOSE({1,2,3,4},NĐ!T87,NĐ!X87,NĐ!AB87,NĐ!AF87))=6)*(CHOOSE({1,2,3,4},NĐ!W87,NĐ!AA87,NĐ!AE87,NĐ!AI87)))</f>
        <v>0</v>
      </c>
      <c r="G87">
        <f>SUMPRODUCT((MONTH(CHOOSE({1,2,3,4},NĐ!T87,NĐ!X87,NĐ!AB87,NĐ!AF87))=7)*(CHOOSE({1,2,3,4},NĐ!W87,NĐ!AA87,NĐ!AE87,NĐ!AI87)))</f>
        <v>0</v>
      </c>
      <c r="H87">
        <f>SUMPRODUCT((MONTH(CHOOSE({1,2,3,4},NĐ!T87,NĐ!X87,NĐ!AB87,NĐ!AF87))=8)*(CHOOSE({1,2,3,4},NĐ!W87,NĐ!AA87,NĐ!AE87,NĐ!AI87)))</f>
        <v>0</v>
      </c>
      <c r="I87">
        <f>SUMPRODUCT((MONTH(CHOOSE({1,2,3,4},NĐ!T87,NĐ!X87,NĐ!AB87,NĐ!AF87))=9)*(CHOOSE({1,2,3,4},NĐ!W87,NĐ!AA87,NĐ!AE87,NĐ!AI87)))</f>
        <v>0</v>
      </c>
      <c r="J87">
        <f>SUMPRODUCT((MONTH(CHOOSE({1,2,3,4},NĐ!T87,NĐ!X87,NĐ!AB87,NĐ!AF87))=10)*(CHOOSE({1,2,3,4},NĐ!W87,NĐ!AA87,NĐ!AE87,NĐ!AI87)))</f>
        <v>0</v>
      </c>
      <c r="K87">
        <f>SUMPRODUCT((MONTH(CHOOSE({1,2,3,4},NĐ!T87,NĐ!X87,NĐ!AB87,NĐ!AF87))=11)*(CHOOSE({1,2,3,4},NĐ!W87,NĐ!AA87,NĐ!AE87,NĐ!AI87)))</f>
        <v>0</v>
      </c>
      <c r="L87">
        <f>SUMPRODUCT((MONTH(CHOOSE({1,2,3,4},NĐ!T87,NĐ!X87,NĐ!AB87,NĐ!AF87))=12)*(CHOOSE({1,2,3,4},NĐ!W87,NĐ!AA87,NĐ!AE87,NĐ!AI87)))</f>
        <v>0</v>
      </c>
    </row>
    <row r="88" spans="1:12">
      <c r="A88">
        <f>SUMPRODUCT((MONTH(CHOOSE({1,2,3,4},NĐ!T88,NĐ!X88,NĐ!AB88,NĐ!AF88))=1)*(CHOOSE({1,2,3,4},NĐ!W88,NĐ!AA88,NĐ!AE88,NĐ!AI88)))</f>
        <v>0</v>
      </c>
      <c r="B88">
        <f>SUMPRODUCT((MONTH(CHOOSE({1,2,3,4},NĐ!T88,NĐ!X88,NĐ!AB88,NĐ!AF88))=2)*(CHOOSE({1,2,3,4},NĐ!W88,NĐ!AA88,NĐ!AE88,NĐ!AI88)))</f>
        <v>0</v>
      </c>
      <c r="C88">
        <f>SUMPRODUCT((MONTH(CHOOSE({1,2,3,4},NĐ!T88,NĐ!X88,NĐ!AB88,NĐ!AF88))=3)*(CHOOSE({1,2,3,4},NĐ!W88,NĐ!AA88,NĐ!AE88,NĐ!AI88)))</f>
        <v>0</v>
      </c>
      <c r="D88">
        <f>SUMPRODUCT((MONTH(CHOOSE({1,2,3,4},NĐ!T88,NĐ!X88,NĐ!AB88,NĐ!AF88))=4)*(CHOOSE({1,2,3,4},NĐ!W88,NĐ!AA88,NĐ!AE88,NĐ!AI88)))</f>
        <v>0</v>
      </c>
      <c r="E88">
        <f>SUMPRODUCT((MONTH(CHOOSE({1,2,3,4},NĐ!T88,NĐ!X88,NĐ!AB88,NĐ!AF88))=5)*(CHOOSE({1,2,3,4},NĐ!W88,NĐ!AA88,NĐ!AE88,NĐ!AI88)))</f>
        <v>0</v>
      </c>
      <c r="F88">
        <f>SUMPRODUCT((MONTH(CHOOSE({1,2,3,4},NĐ!T88,NĐ!X88,NĐ!AB88,NĐ!AF88))=6)*(CHOOSE({1,2,3,4},NĐ!W88,NĐ!AA88,NĐ!AE88,NĐ!AI88)))</f>
        <v>0</v>
      </c>
      <c r="G88">
        <f>SUMPRODUCT((MONTH(CHOOSE({1,2,3,4},NĐ!T88,NĐ!X88,NĐ!AB88,NĐ!AF88))=7)*(CHOOSE({1,2,3,4},NĐ!W88,NĐ!AA88,NĐ!AE88,NĐ!AI88)))</f>
        <v>0</v>
      </c>
      <c r="H88">
        <f>SUMPRODUCT((MONTH(CHOOSE({1,2,3,4},NĐ!T88,NĐ!X88,NĐ!AB88,NĐ!AF88))=8)*(CHOOSE({1,2,3,4},NĐ!W88,NĐ!AA88,NĐ!AE88,NĐ!AI88)))</f>
        <v>0</v>
      </c>
      <c r="I88">
        <f>SUMPRODUCT((MONTH(CHOOSE({1,2,3,4},NĐ!T88,NĐ!X88,NĐ!AB88,NĐ!AF88))=9)*(CHOOSE({1,2,3,4},NĐ!W88,NĐ!AA88,NĐ!AE88,NĐ!AI88)))</f>
        <v>0</v>
      </c>
      <c r="J88">
        <f>SUMPRODUCT((MONTH(CHOOSE({1,2,3,4},NĐ!T88,NĐ!X88,NĐ!AB88,NĐ!AF88))=10)*(CHOOSE({1,2,3,4},NĐ!W88,NĐ!AA88,NĐ!AE88,NĐ!AI88)))</f>
        <v>0</v>
      </c>
      <c r="K88">
        <f>SUMPRODUCT((MONTH(CHOOSE({1,2,3,4},NĐ!T88,NĐ!X88,NĐ!AB88,NĐ!AF88))=11)*(CHOOSE({1,2,3,4},NĐ!W88,NĐ!AA88,NĐ!AE88,NĐ!AI88)))</f>
        <v>0</v>
      </c>
      <c r="L88">
        <f>SUMPRODUCT((MONTH(CHOOSE({1,2,3,4},NĐ!T88,NĐ!X88,NĐ!AB88,NĐ!AF88))=12)*(CHOOSE({1,2,3,4},NĐ!W88,NĐ!AA88,NĐ!AE88,NĐ!AI88)))</f>
        <v>0</v>
      </c>
    </row>
    <row r="89" spans="1:12">
      <c r="A89">
        <f>SUMPRODUCT((MONTH(CHOOSE({1,2,3,4},NĐ!T89,NĐ!X89,NĐ!AB89,NĐ!AF89))=1)*(CHOOSE({1,2,3,4},NĐ!W89,NĐ!AA89,NĐ!AE89,NĐ!AI89)))</f>
        <v>0</v>
      </c>
      <c r="B89">
        <f>SUMPRODUCT((MONTH(CHOOSE({1,2,3,4},NĐ!T89,NĐ!X89,NĐ!AB89,NĐ!AF89))=2)*(CHOOSE({1,2,3,4},NĐ!W89,NĐ!AA89,NĐ!AE89,NĐ!AI89)))</f>
        <v>0</v>
      </c>
      <c r="C89">
        <f>SUMPRODUCT((MONTH(CHOOSE({1,2,3,4},NĐ!T89,NĐ!X89,NĐ!AB89,NĐ!AF89))=3)*(CHOOSE({1,2,3,4},NĐ!W89,NĐ!AA89,NĐ!AE89,NĐ!AI89)))</f>
        <v>0</v>
      </c>
      <c r="D89">
        <f>SUMPRODUCT((MONTH(CHOOSE({1,2,3,4},NĐ!T89,NĐ!X89,NĐ!AB89,NĐ!AF89))=4)*(CHOOSE({1,2,3,4},NĐ!W89,NĐ!AA89,NĐ!AE89,NĐ!AI89)))</f>
        <v>0</v>
      </c>
      <c r="E89">
        <f>SUMPRODUCT((MONTH(CHOOSE({1,2,3,4},NĐ!T89,NĐ!X89,NĐ!AB89,NĐ!AF89))=5)*(CHOOSE({1,2,3,4},NĐ!W89,NĐ!AA89,NĐ!AE89,NĐ!AI89)))</f>
        <v>0</v>
      </c>
      <c r="F89">
        <f>SUMPRODUCT((MONTH(CHOOSE({1,2,3,4},NĐ!T89,NĐ!X89,NĐ!AB89,NĐ!AF89))=6)*(CHOOSE({1,2,3,4},NĐ!W89,NĐ!AA89,NĐ!AE89,NĐ!AI89)))</f>
        <v>0</v>
      </c>
      <c r="G89">
        <f>SUMPRODUCT((MONTH(CHOOSE({1,2,3,4},NĐ!T89,NĐ!X89,NĐ!AB89,NĐ!AF89))=7)*(CHOOSE({1,2,3,4},NĐ!W89,NĐ!AA89,NĐ!AE89,NĐ!AI89)))</f>
        <v>0</v>
      </c>
      <c r="H89">
        <f>SUMPRODUCT((MONTH(CHOOSE({1,2,3,4},NĐ!T89,NĐ!X89,NĐ!AB89,NĐ!AF89))=8)*(CHOOSE({1,2,3,4},NĐ!W89,NĐ!AA89,NĐ!AE89,NĐ!AI89)))</f>
        <v>0</v>
      </c>
      <c r="I89">
        <f>SUMPRODUCT((MONTH(CHOOSE({1,2,3,4},NĐ!T89,NĐ!X89,NĐ!AB89,NĐ!AF89))=9)*(CHOOSE({1,2,3,4},NĐ!W89,NĐ!AA89,NĐ!AE89,NĐ!AI89)))</f>
        <v>0</v>
      </c>
      <c r="J89">
        <f>SUMPRODUCT((MONTH(CHOOSE({1,2,3,4},NĐ!T89,NĐ!X89,NĐ!AB89,NĐ!AF89))=10)*(CHOOSE({1,2,3,4},NĐ!W89,NĐ!AA89,NĐ!AE89,NĐ!AI89)))</f>
        <v>0</v>
      </c>
      <c r="K89">
        <f>SUMPRODUCT((MONTH(CHOOSE({1,2,3,4},NĐ!T89,NĐ!X89,NĐ!AB89,NĐ!AF89))=11)*(CHOOSE({1,2,3,4},NĐ!W89,NĐ!AA89,NĐ!AE89,NĐ!AI89)))</f>
        <v>0</v>
      </c>
      <c r="L89">
        <f>SUMPRODUCT((MONTH(CHOOSE({1,2,3,4},NĐ!T89,NĐ!X89,NĐ!AB89,NĐ!AF89))=12)*(CHOOSE({1,2,3,4},NĐ!W89,NĐ!AA89,NĐ!AE89,NĐ!AI89)))</f>
        <v>0</v>
      </c>
    </row>
    <row r="90" spans="1:12">
      <c r="A90">
        <f>SUMPRODUCT((MONTH(CHOOSE({1,2,3,4},NĐ!T90,NĐ!X90,NĐ!AB90,NĐ!AF90))=1)*(CHOOSE({1,2,3,4},NĐ!W90,NĐ!AA90,NĐ!AE90,NĐ!AI90)))</f>
        <v>0</v>
      </c>
      <c r="B90">
        <f>SUMPRODUCT((MONTH(CHOOSE({1,2,3,4},NĐ!T90,NĐ!X90,NĐ!AB90,NĐ!AF90))=2)*(CHOOSE({1,2,3,4},NĐ!W90,NĐ!AA90,NĐ!AE90,NĐ!AI90)))</f>
        <v>0</v>
      </c>
      <c r="C90">
        <f>SUMPRODUCT((MONTH(CHOOSE({1,2,3,4},NĐ!T90,NĐ!X90,NĐ!AB90,NĐ!AF90))=3)*(CHOOSE({1,2,3,4},NĐ!W90,NĐ!AA90,NĐ!AE90,NĐ!AI90)))</f>
        <v>0</v>
      </c>
      <c r="D90">
        <f>SUMPRODUCT((MONTH(CHOOSE({1,2,3,4},NĐ!T90,NĐ!X90,NĐ!AB90,NĐ!AF90))=4)*(CHOOSE({1,2,3,4},NĐ!W90,NĐ!AA90,NĐ!AE90,NĐ!AI90)))</f>
        <v>0</v>
      </c>
      <c r="E90">
        <f>SUMPRODUCT((MONTH(CHOOSE({1,2,3,4},NĐ!T90,NĐ!X90,NĐ!AB90,NĐ!AF90))=5)*(CHOOSE({1,2,3,4},NĐ!W90,NĐ!AA90,NĐ!AE90,NĐ!AI90)))</f>
        <v>0</v>
      </c>
      <c r="F90">
        <f>SUMPRODUCT((MONTH(CHOOSE({1,2,3,4},NĐ!T90,NĐ!X90,NĐ!AB90,NĐ!AF90))=6)*(CHOOSE({1,2,3,4},NĐ!W90,NĐ!AA90,NĐ!AE90,NĐ!AI90)))</f>
        <v>0</v>
      </c>
      <c r="G90">
        <f>SUMPRODUCT((MONTH(CHOOSE({1,2,3,4},NĐ!T90,NĐ!X90,NĐ!AB90,NĐ!AF90))=7)*(CHOOSE({1,2,3,4},NĐ!W90,NĐ!AA90,NĐ!AE90,NĐ!AI90)))</f>
        <v>0</v>
      </c>
      <c r="H90">
        <f>SUMPRODUCT((MONTH(CHOOSE({1,2,3,4},NĐ!T90,NĐ!X90,NĐ!AB90,NĐ!AF90))=8)*(CHOOSE({1,2,3,4},NĐ!W90,NĐ!AA90,NĐ!AE90,NĐ!AI90)))</f>
        <v>0</v>
      </c>
      <c r="I90">
        <f>SUMPRODUCT((MONTH(CHOOSE({1,2,3,4},NĐ!T90,NĐ!X90,NĐ!AB90,NĐ!AF90))=9)*(CHOOSE({1,2,3,4},NĐ!W90,NĐ!AA90,NĐ!AE90,NĐ!AI90)))</f>
        <v>0</v>
      </c>
      <c r="J90">
        <f>SUMPRODUCT((MONTH(CHOOSE({1,2,3,4},NĐ!T90,NĐ!X90,NĐ!AB90,NĐ!AF90))=10)*(CHOOSE({1,2,3,4},NĐ!W90,NĐ!AA90,NĐ!AE90,NĐ!AI90)))</f>
        <v>0</v>
      </c>
      <c r="K90">
        <f>SUMPRODUCT((MONTH(CHOOSE({1,2,3,4},NĐ!T90,NĐ!X90,NĐ!AB90,NĐ!AF90))=11)*(CHOOSE({1,2,3,4},NĐ!W90,NĐ!AA90,NĐ!AE90,NĐ!AI90)))</f>
        <v>0</v>
      </c>
      <c r="L90">
        <f>SUMPRODUCT((MONTH(CHOOSE({1,2,3,4},NĐ!T90,NĐ!X90,NĐ!AB90,NĐ!AF90))=12)*(CHOOSE({1,2,3,4},NĐ!W90,NĐ!AA90,NĐ!AE90,NĐ!AI90)))</f>
        <v>0</v>
      </c>
    </row>
    <row r="91" spans="1:12">
      <c r="A91">
        <f>SUMPRODUCT((MONTH(CHOOSE({1,2,3,4},NĐ!T91,NĐ!X91,NĐ!AB91,NĐ!AF91))=1)*(CHOOSE({1,2,3,4},NĐ!W91,NĐ!AA91,NĐ!AE91,NĐ!AI91)))</f>
        <v>0</v>
      </c>
      <c r="B91">
        <f>SUMPRODUCT((MONTH(CHOOSE({1,2,3,4},NĐ!T91,NĐ!X91,NĐ!AB91,NĐ!AF91))=2)*(CHOOSE({1,2,3,4},NĐ!W91,NĐ!AA91,NĐ!AE91,NĐ!AI91)))</f>
        <v>0</v>
      </c>
      <c r="C91">
        <f>SUMPRODUCT((MONTH(CHOOSE({1,2,3,4},NĐ!T91,NĐ!X91,NĐ!AB91,NĐ!AF91))=3)*(CHOOSE({1,2,3,4},NĐ!W91,NĐ!AA91,NĐ!AE91,NĐ!AI91)))</f>
        <v>0</v>
      </c>
      <c r="D91">
        <f>SUMPRODUCT((MONTH(CHOOSE({1,2,3,4},NĐ!T91,NĐ!X91,NĐ!AB91,NĐ!AF91))=4)*(CHOOSE({1,2,3,4},NĐ!W91,NĐ!AA91,NĐ!AE91,NĐ!AI91)))</f>
        <v>0</v>
      </c>
      <c r="E91">
        <f>SUMPRODUCT((MONTH(CHOOSE({1,2,3,4},NĐ!T91,NĐ!X91,NĐ!AB91,NĐ!AF91))=5)*(CHOOSE({1,2,3,4},NĐ!W91,NĐ!AA91,NĐ!AE91,NĐ!AI91)))</f>
        <v>0</v>
      </c>
      <c r="F91">
        <f>SUMPRODUCT((MONTH(CHOOSE({1,2,3,4},NĐ!T91,NĐ!X91,NĐ!AB91,NĐ!AF91))=6)*(CHOOSE({1,2,3,4},NĐ!W91,NĐ!AA91,NĐ!AE91,NĐ!AI91)))</f>
        <v>0</v>
      </c>
      <c r="G91">
        <f>SUMPRODUCT((MONTH(CHOOSE({1,2,3,4},NĐ!T91,NĐ!X91,NĐ!AB91,NĐ!AF91))=7)*(CHOOSE({1,2,3,4},NĐ!W91,NĐ!AA91,NĐ!AE91,NĐ!AI91)))</f>
        <v>0</v>
      </c>
      <c r="H91">
        <f>SUMPRODUCT((MONTH(CHOOSE({1,2,3,4},NĐ!T91,NĐ!X91,NĐ!AB91,NĐ!AF91))=8)*(CHOOSE({1,2,3,4},NĐ!W91,NĐ!AA91,NĐ!AE91,NĐ!AI91)))</f>
        <v>0</v>
      </c>
      <c r="I91">
        <f>SUMPRODUCT((MONTH(CHOOSE({1,2,3,4},NĐ!T91,NĐ!X91,NĐ!AB91,NĐ!AF91))=9)*(CHOOSE({1,2,3,4},NĐ!W91,NĐ!AA91,NĐ!AE91,NĐ!AI91)))</f>
        <v>0</v>
      </c>
      <c r="J91">
        <f>SUMPRODUCT((MONTH(CHOOSE({1,2,3,4},NĐ!T91,NĐ!X91,NĐ!AB91,NĐ!AF91))=10)*(CHOOSE({1,2,3,4},NĐ!W91,NĐ!AA91,NĐ!AE91,NĐ!AI91)))</f>
        <v>0</v>
      </c>
      <c r="K91">
        <f>SUMPRODUCT((MONTH(CHOOSE({1,2,3,4},NĐ!T91,NĐ!X91,NĐ!AB91,NĐ!AF91))=11)*(CHOOSE({1,2,3,4},NĐ!W91,NĐ!AA91,NĐ!AE91,NĐ!AI91)))</f>
        <v>0</v>
      </c>
      <c r="L91">
        <f>SUMPRODUCT((MONTH(CHOOSE({1,2,3,4},NĐ!T91,NĐ!X91,NĐ!AB91,NĐ!AF91))=12)*(CHOOSE({1,2,3,4},NĐ!W91,NĐ!AA91,NĐ!AE91,NĐ!AI91)))</f>
        <v>0</v>
      </c>
    </row>
    <row r="92" spans="1:12">
      <c r="A92">
        <f>SUMPRODUCT((MONTH(CHOOSE({1,2,3,4},NĐ!T92,NĐ!X92,NĐ!AB92,NĐ!AF92))=1)*(CHOOSE({1,2,3,4},NĐ!W92,NĐ!AA92,NĐ!AE92,NĐ!AI92)))</f>
        <v>0</v>
      </c>
      <c r="B92">
        <f>SUMPRODUCT((MONTH(CHOOSE({1,2,3,4},NĐ!T92,NĐ!X92,NĐ!AB92,NĐ!AF92))=2)*(CHOOSE({1,2,3,4},NĐ!W92,NĐ!AA92,NĐ!AE92,NĐ!AI92)))</f>
        <v>0</v>
      </c>
      <c r="C92">
        <f>SUMPRODUCT((MONTH(CHOOSE({1,2,3,4},NĐ!T92,NĐ!X92,NĐ!AB92,NĐ!AF92))=3)*(CHOOSE({1,2,3,4},NĐ!W92,NĐ!AA92,NĐ!AE92,NĐ!AI92)))</f>
        <v>0</v>
      </c>
      <c r="D92">
        <f>SUMPRODUCT((MONTH(CHOOSE({1,2,3,4},NĐ!T92,NĐ!X92,NĐ!AB92,NĐ!AF92))=4)*(CHOOSE({1,2,3,4},NĐ!W92,NĐ!AA92,NĐ!AE92,NĐ!AI92)))</f>
        <v>0</v>
      </c>
      <c r="E92">
        <f>SUMPRODUCT((MONTH(CHOOSE({1,2,3,4},NĐ!T92,NĐ!X92,NĐ!AB92,NĐ!AF92))=5)*(CHOOSE({1,2,3,4},NĐ!W92,NĐ!AA92,NĐ!AE92,NĐ!AI92)))</f>
        <v>0</v>
      </c>
      <c r="F92">
        <f>SUMPRODUCT((MONTH(CHOOSE({1,2,3,4},NĐ!T92,NĐ!X92,NĐ!AB92,NĐ!AF92))=6)*(CHOOSE({1,2,3,4},NĐ!W92,NĐ!AA92,NĐ!AE92,NĐ!AI92)))</f>
        <v>0</v>
      </c>
      <c r="G92">
        <f>SUMPRODUCT((MONTH(CHOOSE({1,2,3,4},NĐ!T92,NĐ!X92,NĐ!AB92,NĐ!AF92))=7)*(CHOOSE({1,2,3,4},NĐ!W92,NĐ!AA92,NĐ!AE92,NĐ!AI92)))</f>
        <v>0</v>
      </c>
      <c r="H92">
        <f>SUMPRODUCT((MONTH(CHOOSE({1,2,3,4},NĐ!T92,NĐ!X92,NĐ!AB92,NĐ!AF92))=8)*(CHOOSE({1,2,3,4},NĐ!W92,NĐ!AA92,NĐ!AE92,NĐ!AI92)))</f>
        <v>0</v>
      </c>
      <c r="I92">
        <f>SUMPRODUCT((MONTH(CHOOSE({1,2,3,4},NĐ!T92,NĐ!X92,NĐ!AB92,NĐ!AF92))=9)*(CHOOSE({1,2,3,4},NĐ!W92,NĐ!AA92,NĐ!AE92,NĐ!AI92)))</f>
        <v>0</v>
      </c>
      <c r="J92">
        <f>SUMPRODUCT((MONTH(CHOOSE({1,2,3,4},NĐ!T92,NĐ!X92,NĐ!AB92,NĐ!AF92))=10)*(CHOOSE({1,2,3,4},NĐ!W92,NĐ!AA92,NĐ!AE92,NĐ!AI92)))</f>
        <v>0</v>
      </c>
      <c r="K92">
        <f>SUMPRODUCT((MONTH(CHOOSE({1,2,3,4},NĐ!T92,NĐ!X92,NĐ!AB92,NĐ!AF92))=11)*(CHOOSE({1,2,3,4},NĐ!W92,NĐ!AA92,NĐ!AE92,NĐ!AI92)))</f>
        <v>0</v>
      </c>
      <c r="L92">
        <f>SUMPRODUCT((MONTH(CHOOSE({1,2,3,4},NĐ!T92,NĐ!X92,NĐ!AB92,NĐ!AF92))=12)*(CHOOSE({1,2,3,4},NĐ!W92,NĐ!AA92,NĐ!AE92,NĐ!AI92)))</f>
        <v>0</v>
      </c>
    </row>
    <row r="93" spans="1:12">
      <c r="A93">
        <f>SUMPRODUCT((MONTH(CHOOSE({1,2,3,4},NĐ!T93,NĐ!X93,NĐ!AB93,NĐ!AF93))=1)*(CHOOSE({1,2,3,4},NĐ!W93,NĐ!AA93,NĐ!AE93,NĐ!AI93)))</f>
        <v>0</v>
      </c>
      <c r="B93">
        <f>SUMPRODUCT((MONTH(CHOOSE({1,2,3,4},NĐ!T93,NĐ!X93,NĐ!AB93,NĐ!AF93))=2)*(CHOOSE({1,2,3,4},NĐ!W93,NĐ!AA93,NĐ!AE93,NĐ!AI93)))</f>
        <v>0</v>
      </c>
      <c r="C93">
        <f>SUMPRODUCT((MONTH(CHOOSE({1,2,3,4},NĐ!T93,NĐ!X93,NĐ!AB93,NĐ!AF93))=3)*(CHOOSE({1,2,3,4},NĐ!W93,NĐ!AA93,NĐ!AE93,NĐ!AI93)))</f>
        <v>0</v>
      </c>
      <c r="D93">
        <f>SUMPRODUCT((MONTH(CHOOSE({1,2,3,4},NĐ!T93,NĐ!X93,NĐ!AB93,NĐ!AF93))=4)*(CHOOSE({1,2,3,4},NĐ!W93,NĐ!AA93,NĐ!AE93,NĐ!AI93)))</f>
        <v>0</v>
      </c>
      <c r="E93">
        <f>SUMPRODUCT((MONTH(CHOOSE({1,2,3,4},NĐ!T93,NĐ!X93,NĐ!AB93,NĐ!AF93))=5)*(CHOOSE({1,2,3,4},NĐ!W93,NĐ!AA93,NĐ!AE93,NĐ!AI93)))</f>
        <v>0</v>
      </c>
      <c r="F93">
        <f>SUMPRODUCT((MONTH(CHOOSE({1,2,3,4},NĐ!T93,NĐ!X93,NĐ!AB93,NĐ!AF93))=6)*(CHOOSE({1,2,3,4},NĐ!W93,NĐ!AA93,NĐ!AE93,NĐ!AI93)))</f>
        <v>0</v>
      </c>
      <c r="G93">
        <f>SUMPRODUCT((MONTH(CHOOSE({1,2,3,4},NĐ!T93,NĐ!X93,NĐ!AB93,NĐ!AF93))=7)*(CHOOSE({1,2,3,4},NĐ!W93,NĐ!AA93,NĐ!AE93,NĐ!AI93)))</f>
        <v>0</v>
      </c>
      <c r="H93">
        <f>SUMPRODUCT((MONTH(CHOOSE({1,2,3,4},NĐ!T93,NĐ!X93,NĐ!AB93,NĐ!AF93))=8)*(CHOOSE({1,2,3,4},NĐ!W93,NĐ!AA93,NĐ!AE93,NĐ!AI93)))</f>
        <v>0</v>
      </c>
      <c r="I93">
        <f>SUMPRODUCT((MONTH(CHOOSE({1,2,3,4},NĐ!T93,NĐ!X93,NĐ!AB93,NĐ!AF93))=9)*(CHOOSE({1,2,3,4},NĐ!W93,NĐ!AA93,NĐ!AE93,NĐ!AI93)))</f>
        <v>0</v>
      </c>
      <c r="J93">
        <f>SUMPRODUCT((MONTH(CHOOSE({1,2,3,4},NĐ!T93,NĐ!X93,NĐ!AB93,NĐ!AF93))=10)*(CHOOSE({1,2,3,4},NĐ!W93,NĐ!AA93,NĐ!AE93,NĐ!AI93)))</f>
        <v>0</v>
      </c>
      <c r="K93">
        <f>SUMPRODUCT((MONTH(CHOOSE({1,2,3,4},NĐ!T93,NĐ!X93,NĐ!AB93,NĐ!AF93))=11)*(CHOOSE({1,2,3,4},NĐ!W93,NĐ!AA93,NĐ!AE93,NĐ!AI93)))</f>
        <v>0</v>
      </c>
      <c r="L93">
        <f>SUMPRODUCT((MONTH(CHOOSE({1,2,3,4},NĐ!T93,NĐ!X93,NĐ!AB93,NĐ!AF93))=12)*(CHOOSE({1,2,3,4},NĐ!W93,NĐ!AA93,NĐ!AE93,NĐ!AI93)))</f>
        <v>0</v>
      </c>
    </row>
    <row r="94" spans="1:12">
      <c r="A94">
        <f>SUMPRODUCT((MONTH(CHOOSE({1,2,3,4},NĐ!T94,NĐ!X94,NĐ!AB94,NĐ!AF94))=1)*(CHOOSE({1,2,3,4},NĐ!W94,NĐ!AA94,NĐ!AE94,NĐ!AI94)))</f>
        <v>0</v>
      </c>
      <c r="B94">
        <f>SUMPRODUCT((MONTH(CHOOSE({1,2,3,4},NĐ!T94,NĐ!X94,NĐ!AB94,NĐ!AF94))=2)*(CHOOSE({1,2,3,4},NĐ!W94,NĐ!AA94,NĐ!AE94,NĐ!AI94)))</f>
        <v>0</v>
      </c>
      <c r="C94">
        <f>SUMPRODUCT((MONTH(CHOOSE({1,2,3,4},NĐ!T94,NĐ!X94,NĐ!AB94,NĐ!AF94))=3)*(CHOOSE({1,2,3,4},NĐ!W94,NĐ!AA94,NĐ!AE94,NĐ!AI94)))</f>
        <v>0</v>
      </c>
      <c r="D94">
        <f>SUMPRODUCT((MONTH(CHOOSE({1,2,3,4},NĐ!T94,NĐ!X94,NĐ!AB94,NĐ!AF94))=4)*(CHOOSE({1,2,3,4},NĐ!W94,NĐ!AA94,NĐ!AE94,NĐ!AI94)))</f>
        <v>0</v>
      </c>
      <c r="E94">
        <f>SUMPRODUCT((MONTH(CHOOSE({1,2,3,4},NĐ!T94,NĐ!X94,NĐ!AB94,NĐ!AF94))=5)*(CHOOSE({1,2,3,4},NĐ!W94,NĐ!AA94,NĐ!AE94,NĐ!AI94)))</f>
        <v>0</v>
      </c>
      <c r="F94">
        <f>SUMPRODUCT((MONTH(CHOOSE({1,2,3,4},NĐ!T94,NĐ!X94,NĐ!AB94,NĐ!AF94))=6)*(CHOOSE({1,2,3,4},NĐ!W94,NĐ!AA94,NĐ!AE94,NĐ!AI94)))</f>
        <v>0</v>
      </c>
      <c r="G94">
        <f>SUMPRODUCT((MONTH(CHOOSE({1,2,3,4},NĐ!T94,NĐ!X94,NĐ!AB94,NĐ!AF94))=7)*(CHOOSE({1,2,3,4},NĐ!W94,NĐ!AA94,NĐ!AE94,NĐ!AI94)))</f>
        <v>0</v>
      </c>
      <c r="H94">
        <f>SUMPRODUCT((MONTH(CHOOSE({1,2,3,4},NĐ!T94,NĐ!X94,NĐ!AB94,NĐ!AF94))=8)*(CHOOSE({1,2,3,4},NĐ!W94,NĐ!AA94,NĐ!AE94,NĐ!AI94)))</f>
        <v>0</v>
      </c>
      <c r="I94">
        <f>SUMPRODUCT((MONTH(CHOOSE({1,2,3,4},NĐ!T94,NĐ!X94,NĐ!AB94,NĐ!AF94))=9)*(CHOOSE({1,2,3,4},NĐ!W94,NĐ!AA94,NĐ!AE94,NĐ!AI94)))</f>
        <v>0</v>
      </c>
      <c r="J94">
        <f>SUMPRODUCT((MONTH(CHOOSE({1,2,3,4},NĐ!T94,NĐ!X94,NĐ!AB94,NĐ!AF94))=10)*(CHOOSE({1,2,3,4},NĐ!W94,NĐ!AA94,NĐ!AE94,NĐ!AI94)))</f>
        <v>0</v>
      </c>
      <c r="K94">
        <f>SUMPRODUCT((MONTH(CHOOSE({1,2,3,4},NĐ!T94,NĐ!X94,NĐ!AB94,NĐ!AF94))=11)*(CHOOSE({1,2,3,4},NĐ!W94,NĐ!AA94,NĐ!AE94,NĐ!AI94)))</f>
        <v>0</v>
      </c>
      <c r="L94">
        <f>SUMPRODUCT((MONTH(CHOOSE({1,2,3,4},NĐ!T94,NĐ!X94,NĐ!AB94,NĐ!AF94))=12)*(CHOOSE({1,2,3,4},NĐ!W94,NĐ!AA94,NĐ!AE94,NĐ!AI94)))</f>
        <v>0</v>
      </c>
    </row>
    <row r="95" spans="1:12">
      <c r="A95">
        <f>SUMPRODUCT((MONTH(CHOOSE({1,2,3,4},NĐ!T95,NĐ!X95,NĐ!AB95,NĐ!AF95))=1)*(CHOOSE({1,2,3,4},NĐ!W95,NĐ!AA95,NĐ!AE95,NĐ!AI95)))</f>
        <v>0</v>
      </c>
      <c r="B95">
        <f>SUMPRODUCT((MONTH(CHOOSE({1,2,3,4},NĐ!T95,NĐ!X95,NĐ!AB95,NĐ!AF95))=2)*(CHOOSE({1,2,3,4},NĐ!W95,NĐ!AA95,NĐ!AE95,NĐ!AI95)))</f>
        <v>0</v>
      </c>
      <c r="C95">
        <f>SUMPRODUCT((MONTH(CHOOSE({1,2,3,4},NĐ!T95,NĐ!X95,NĐ!AB95,NĐ!AF95))=3)*(CHOOSE({1,2,3,4},NĐ!W95,NĐ!AA95,NĐ!AE95,NĐ!AI95)))</f>
        <v>0</v>
      </c>
      <c r="D95">
        <f>SUMPRODUCT((MONTH(CHOOSE({1,2,3,4},NĐ!T95,NĐ!X95,NĐ!AB95,NĐ!AF95))=4)*(CHOOSE({1,2,3,4},NĐ!W95,NĐ!AA95,NĐ!AE95,NĐ!AI95)))</f>
        <v>0</v>
      </c>
      <c r="E95">
        <f>SUMPRODUCT((MONTH(CHOOSE({1,2,3,4},NĐ!T95,NĐ!X95,NĐ!AB95,NĐ!AF95))=5)*(CHOOSE({1,2,3,4},NĐ!W95,NĐ!AA95,NĐ!AE95,NĐ!AI95)))</f>
        <v>0</v>
      </c>
      <c r="F95">
        <f>SUMPRODUCT((MONTH(CHOOSE({1,2,3,4},NĐ!T95,NĐ!X95,NĐ!AB95,NĐ!AF95))=6)*(CHOOSE({1,2,3,4},NĐ!W95,NĐ!AA95,NĐ!AE95,NĐ!AI95)))</f>
        <v>0</v>
      </c>
      <c r="G95">
        <f>SUMPRODUCT((MONTH(CHOOSE({1,2,3,4},NĐ!T95,NĐ!X95,NĐ!AB95,NĐ!AF95))=7)*(CHOOSE({1,2,3,4},NĐ!W95,NĐ!AA95,NĐ!AE95,NĐ!AI95)))</f>
        <v>0</v>
      </c>
      <c r="H95">
        <f>SUMPRODUCT((MONTH(CHOOSE({1,2,3,4},NĐ!T95,NĐ!X95,NĐ!AB95,NĐ!AF95))=8)*(CHOOSE({1,2,3,4},NĐ!W95,NĐ!AA95,NĐ!AE95,NĐ!AI95)))</f>
        <v>0</v>
      </c>
      <c r="I95">
        <f>SUMPRODUCT((MONTH(CHOOSE({1,2,3,4},NĐ!T95,NĐ!X95,NĐ!AB95,NĐ!AF95))=9)*(CHOOSE({1,2,3,4},NĐ!W95,NĐ!AA95,NĐ!AE95,NĐ!AI95)))</f>
        <v>0</v>
      </c>
      <c r="J95">
        <f>SUMPRODUCT((MONTH(CHOOSE({1,2,3,4},NĐ!T95,NĐ!X95,NĐ!AB95,NĐ!AF95))=10)*(CHOOSE({1,2,3,4},NĐ!W95,NĐ!AA95,NĐ!AE95,NĐ!AI95)))</f>
        <v>0</v>
      </c>
      <c r="K95">
        <f>SUMPRODUCT((MONTH(CHOOSE({1,2,3,4},NĐ!T95,NĐ!X95,NĐ!AB95,NĐ!AF95))=11)*(CHOOSE({1,2,3,4},NĐ!W95,NĐ!AA95,NĐ!AE95,NĐ!AI95)))</f>
        <v>0</v>
      </c>
      <c r="L95">
        <f>SUMPRODUCT((MONTH(CHOOSE({1,2,3,4},NĐ!T95,NĐ!X95,NĐ!AB95,NĐ!AF95))=12)*(CHOOSE({1,2,3,4},NĐ!W95,NĐ!AA95,NĐ!AE95,NĐ!AI95)))</f>
        <v>0</v>
      </c>
    </row>
    <row r="96" spans="1:12">
      <c r="A96">
        <f>SUMPRODUCT((MONTH(CHOOSE({1,2,3,4},NĐ!T96,NĐ!X96,NĐ!AB96,NĐ!AF96))=1)*(CHOOSE({1,2,3,4},NĐ!W96,NĐ!AA96,NĐ!AE96,NĐ!AI96)))</f>
        <v>0</v>
      </c>
      <c r="B96">
        <f>SUMPRODUCT((MONTH(CHOOSE({1,2,3,4},NĐ!T96,NĐ!X96,NĐ!AB96,NĐ!AF96))=2)*(CHOOSE({1,2,3,4},NĐ!W96,NĐ!AA96,NĐ!AE96,NĐ!AI96)))</f>
        <v>0</v>
      </c>
      <c r="C96">
        <f>SUMPRODUCT((MONTH(CHOOSE({1,2,3,4},NĐ!T96,NĐ!X96,NĐ!AB96,NĐ!AF96))=3)*(CHOOSE({1,2,3,4},NĐ!W96,NĐ!AA96,NĐ!AE96,NĐ!AI96)))</f>
        <v>0</v>
      </c>
      <c r="D96">
        <f>SUMPRODUCT((MONTH(CHOOSE({1,2,3,4},NĐ!T96,NĐ!X96,NĐ!AB96,NĐ!AF96))=4)*(CHOOSE({1,2,3,4},NĐ!W96,NĐ!AA96,NĐ!AE96,NĐ!AI96)))</f>
        <v>0</v>
      </c>
      <c r="E96">
        <f>SUMPRODUCT((MONTH(CHOOSE({1,2,3,4},NĐ!T96,NĐ!X96,NĐ!AB96,NĐ!AF96))=5)*(CHOOSE({1,2,3,4},NĐ!W96,NĐ!AA96,NĐ!AE96,NĐ!AI96)))</f>
        <v>0</v>
      </c>
      <c r="F96">
        <f>SUMPRODUCT((MONTH(CHOOSE({1,2,3,4},NĐ!T96,NĐ!X96,NĐ!AB96,NĐ!AF96))=6)*(CHOOSE({1,2,3,4},NĐ!W96,NĐ!AA96,NĐ!AE96,NĐ!AI96)))</f>
        <v>0</v>
      </c>
      <c r="G96">
        <f>SUMPRODUCT((MONTH(CHOOSE({1,2,3,4},NĐ!T96,NĐ!X96,NĐ!AB96,NĐ!AF96))=7)*(CHOOSE({1,2,3,4},NĐ!W96,NĐ!AA96,NĐ!AE96,NĐ!AI96)))</f>
        <v>0</v>
      </c>
      <c r="H96">
        <f>SUMPRODUCT((MONTH(CHOOSE({1,2,3,4},NĐ!T96,NĐ!X96,NĐ!AB96,NĐ!AF96))=8)*(CHOOSE({1,2,3,4},NĐ!W96,NĐ!AA96,NĐ!AE96,NĐ!AI96)))</f>
        <v>0</v>
      </c>
      <c r="I96">
        <f>SUMPRODUCT((MONTH(CHOOSE({1,2,3,4},NĐ!T96,NĐ!X96,NĐ!AB96,NĐ!AF96))=9)*(CHOOSE({1,2,3,4},NĐ!W96,NĐ!AA96,NĐ!AE96,NĐ!AI96)))</f>
        <v>0</v>
      </c>
      <c r="J96">
        <f>SUMPRODUCT((MONTH(CHOOSE({1,2,3,4},NĐ!T96,NĐ!X96,NĐ!AB96,NĐ!AF96))=10)*(CHOOSE({1,2,3,4},NĐ!W96,NĐ!AA96,NĐ!AE96,NĐ!AI96)))</f>
        <v>0</v>
      </c>
      <c r="K96">
        <f>SUMPRODUCT((MONTH(CHOOSE({1,2,3,4},NĐ!T96,NĐ!X96,NĐ!AB96,NĐ!AF96))=11)*(CHOOSE({1,2,3,4},NĐ!W96,NĐ!AA96,NĐ!AE96,NĐ!AI96)))</f>
        <v>0</v>
      </c>
      <c r="L96">
        <f>SUMPRODUCT((MONTH(CHOOSE({1,2,3,4},NĐ!T96,NĐ!X96,NĐ!AB96,NĐ!AF96))=12)*(CHOOSE({1,2,3,4},NĐ!W96,NĐ!AA96,NĐ!AE96,NĐ!AI96)))</f>
        <v>0</v>
      </c>
    </row>
    <row r="97" spans="1:12">
      <c r="A97">
        <f>SUMPRODUCT((MONTH(CHOOSE({1,2,3,4},NĐ!T97,NĐ!X97,NĐ!AB97,NĐ!AF97))=1)*(CHOOSE({1,2,3,4},NĐ!W97,NĐ!AA97,NĐ!AE97,NĐ!AI97)))</f>
        <v>0</v>
      </c>
      <c r="B97">
        <f>SUMPRODUCT((MONTH(CHOOSE({1,2,3,4},NĐ!T97,NĐ!X97,NĐ!AB97,NĐ!AF97))=2)*(CHOOSE({1,2,3,4},NĐ!W97,NĐ!AA97,NĐ!AE97,NĐ!AI97)))</f>
        <v>0</v>
      </c>
      <c r="C97">
        <f>SUMPRODUCT((MONTH(CHOOSE({1,2,3,4},NĐ!T97,NĐ!X97,NĐ!AB97,NĐ!AF97))=3)*(CHOOSE({1,2,3,4},NĐ!W97,NĐ!AA97,NĐ!AE97,NĐ!AI97)))</f>
        <v>0</v>
      </c>
      <c r="D97">
        <f>SUMPRODUCT((MONTH(CHOOSE({1,2,3,4},NĐ!T97,NĐ!X97,NĐ!AB97,NĐ!AF97))=4)*(CHOOSE({1,2,3,4},NĐ!W97,NĐ!AA97,NĐ!AE97,NĐ!AI97)))</f>
        <v>0</v>
      </c>
      <c r="E97">
        <f>SUMPRODUCT((MONTH(CHOOSE({1,2,3,4},NĐ!T97,NĐ!X97,NĐ!AB97,NĐ!AF97))=5)*(CHOOSE({1,2,3,4},NĐ!W97,NĐ!AA97,NĐ!AE97,NĐ!AI97)))</f>
        <v>0</v>
      </c>
      <c r="F97">
        <f>SUMPRODUCT((MONTH(CHOOSE({1,2,3,4},NĐ!T97,NĐ!X97,NĐ!AB97,NĐ!AF97))=6)*(CHOOSE({1,2,3,4},NĐ!W97,NĐ!AA97,NĐ!AE97,NĐ!AI97)))</f>
        <v>0</v>
      </c>
      <c r="G97">
        <f>SUMPRODUCT((MONTH(CHOOSE({1,2,3,4},NĐ!T97,NĐ!X97,NĐ!AB97,NĐ!AF97))=7)*(CHOOSE({1,2,3,4},NĐ!W97,NĐ!AA97,NĐ!AE97,NĐ!AI97)))</f>
        <v>0</v>
      </c>
      <c r="H97">
        <f>SUMPRODUCT((MONTH(CHOOSE({1,2,3,4},NĐ!T97,NĐ!X97,NĐ!AB97,NĐ!AF97))=8)*(CHOOSE({1,2,3,4},NĐ!W97,NĐ!AA97,NĐ!AE97,NĐ!AI97)))</f>
        <v>0</v>
      </c>
      <c r="I97">
        <f>SUMPRODUCT((MONTH(CHOOSE({1,2,3,4},NĐ!T97,NĐ!X97,NĐ!AB97,NĐ!AF97))=9)*(CHOOSE({1,2,3,4},NĐ!W97,NĐ!AA97,NĐ!AE97,NĐ!AI97)))</f>
        <v>0</v>
      </c>
      <c r="J97">
        <f>SUMPRODUCT((MONTH(CHOOSE({1,2,3,4},NĐ!T97,NĐ!X97,NĐ!AB97,NĐ!AF97))=10)*(CHOOSE({1,2,3,4},NĐ!W97,NĐ!AA97,NĐ!AE97,NĐ!AI97)))</f>
        <v>0</v>
      </c>
      <c r="K97">
        <f>SUMPRODUCT((MONTH(CHOOSE({1,2,3,4},NĐ!T97,NĐ!X97,NĐ!AB97,NĐ!AF97))=11)*(CHOOSE({1,2,3,4},NĐ!W97,NĐ!AA97,NĐ!AE97,NĐ!AI97)))</f>
        <v>0</v>
      </c>
      <c r="L97">
        <f>SUMPRODUCT((MONTH(CHOOSE({1,2,3,4},NĐ!T97,NĐ!X97,NĐ!AB97,NĐ!AF97))=12)*(CHOOSE({1,2,3,4},NĐ!W97,NĐ!AA97,NĐ!AE97,NĐ!AI97)))</f>
        <v>0</v>
      </c>
    </row>
    <row r="98" spans="1:12">
      <c r="A98">
        <f>SUMPRODUCT((MONTH(CHOOSE({1,2,3,4},NĐ!T98,NĐ!X98,NĐ!AB98,NĐ!AF98))=1)*(CHOOSE({1,2,3,4},NĐ!W98,NĐ!AA98,NĐ!AE98,NĐ!AI98)))</f>
        <v>0</v>
      </c>
      <c r="B98">
        <f>SUMPRODUCT((MONTH(CHOOSE({1,2,3,4},NĐ!T98,NĐ!X98,NĐ!AB98,NĐ!AF98))=2)*(CHOOSE({1,2,3,4},NĐ!W98,NĐ!AA98,NĐ!AE98,NĐ!AI98)))</f>
        <v>0</v>
      </c>
      <c r="C98">
        <f>SUMPRODUCT((MONTH(CHOOSE({1,2,3,4},NĐ!T98,NĐ!X98,NĐ!AB98,NĐ!AF98))=3)*(CHOOSE({1,2,3,4},NĐ!W98,NĐ!AA98,NĐ!AE98,NĐ!AI98)))</f>
        <v>0</v>
      </c>
      <c r="D98">
        <f>SUMPRODUCT((MONTH(CHOOSE({1,2,3,4},NĐ!T98,NĐ!X98,NĐ!AB98,NĐ!AF98))=4)*(CHOOSE({1,2,3,4},NĐ!W98,NĐ!AA98,NĐ!AE98,NĐ!AI98)))</f>
        <v>0</v>
      </c>
      <c r="E98">
        <f>SUMPRODUCT((MONTH(CHOOSE({1,2,3,4},NĐ!T98,NĐ!X98,NĐ!AB98,NĐ!AF98))=5)*(CHOOSE({1,2,3,4},NĐ!W98,NĐ!AA98,NĐ!AE98,NĐ!AI98)))</f>
        <v>0</v>
      </c>
      <c r="F98">
        <f>SUMPRODUCT((MONTH(CHOOSE({1,2,3,4},NĐ!T98,NĐ!X98,NĐ!AB98,NĐ!AF98))=6)*(CHOOSE({1,2,3,4},NĐ!W98,NĐ!AA98,NĐ!AE98,NĐ!AI98)))</f>
        <v>0</v>
      </c>
      <c r="G98">
        <f>SUMPRODUCT((MONTH(CHOOSE({1,2,3,4},NĐ!T98,NĐ!X98,NĐ!AB98,NĐ!AF98))=7)*(CHOOSE({1,2,3,4},NĐ!W98,NĐ!AA98,NĐ!AE98,NĐ!AI98)))</f>
        <v>0</v>
      </c>
      <c r="H98">
        <f>SUMPRODUCT((MONTH(CHOOSE({1,2,3,4},NĐ!T98,NĐ!X98,NĐ!AB98,NĐ!AF98))=8)*(CHOOSE({1,2,3,4},NĐ!W98,NĐ!AA98,NĐ!AE98,NĐ!AI98)))</f>
        <v>0</v>
      </c>
      <c r="I98">
        <f>SUMPRODUCT((MONTH(CHOOSE({1,2,3,4},NĐ!T98,NĐ!X98,NĐ!AB98,NĐ!AF98))=9)*(CHOOSE({1,2,3,4},NĐ!W98,NĐ!AA98,NĐ!AE98,NĐ!AI98)))</f>
        <v>0</v>
      </c>
      <c r="J98">
        <f>SUMPRODUCT((MONTH(CHOOSE({1,2,3,4},NĐ!T98,NĐ!X98,NĐ!AB98,NĐ!AF98))=10)*(CHOOSE({1,2,3,4},NĐ!W98,NĐ!AA98,NĐ!AE98,NĐ!AI98)))</f>
        <v>0</v>
      </c>
      <c r="K98">
        <f>SUMPRODUCT((MONTH(CHOOSE({1,2,3,4},NĐ!T98,NĐ!X98,NĐ!AB98,NĐ!AF98))=11)*(CHOOSE({1,2,3,4},NĐ!W98,NĐ!AA98,NĐ!AE98,NĐ!AI98)))</f>
        <v>0</v>
      </c>
      <c r="L98">
        <f>SUMPRODUCT((MONTH(CHOOSE({1,2,3,4},NĐ!T98,NĐ!X98,NĐ!AB98,NĐ!AF98))=12)*(CHOOSE({1,2,3,4},NĐ!W98,NĐ!AA98,NĐ!AE98,NĐ!AI98)))</f>
        <v>0</v>
      </c>
    </row>
    <row r="99" spans="1:12">
      <c r="A99">
        <f>SUMPRODUCT((MONTH(CHOOSE({1,2,3,4},NĐ!T99,NĐ!X99,NĐ!AB99,NĐ!AF99))=1)*(CHOOSE({1,2,3,4},NĐ!W99,NĐ!AA99,NĐ!AE99,NĐ!AI99)))</f>
        <v>0</v>
      </c>
      <c r="B99">
        <f>SUMPRODUCT((MONTH(CHOOSE({1,2,3,4},NĐ!T99,NĐ!X99,NĐ!AB99,NĐ!AF99))=2)*(CHOOSE({1,2,3,4},NĐ!W99,NĐ!AA99,NĐ!AE99,NĐ!AI99)))</f>
        <v>0</v>
      </c>
      <c r="C99">
        <f>SUMPRODUCT((MONTH(CHOOSE({1,2,3,4},NĐ!T99,NĐ!X99,NĐ!AB99,NĐ!AF99))=3)*(CHOOSE({1,2,3,4},NĐ!W99,NĐ!AA99,NĐ!AE99,NĐ!AI99)))</f>
        <v>0</v>
      </c>
      <c r="D99">
        <f>SUMPRODUCT((MONTH(CHOOSE({1,2,3,4},NĐ!T99,NĐ!X99,NĐ!AB99,NĐ!AF99))=4)*(CHOOSE({1,2,3,4},NĐ!W99,NĐ!AA99,NĐ!AE99,NĐ!AI99)))</f>
        <v>0</v>
      </c>
      <c r="E99">
        <f>SUMPRODUCT((MONTH(CHOOSE({1,2,3,4},NĐ!T99,NĐ!X99,NĐ!AB99,NĐ!AF99))=5)*(CHOOSE({1,2,3,4},NĐ!W99,NĐ!AA99,NĐ!AE99,NĐ!AI99)))</f>
        <v>0</v>
      </c>
      <c r="F99">
        <f>SUMPRODUCT((MONTH(CHOOSE({1,2,3,4},NĐ!T99,NĐ!X99,NĐ!AB99,NĐ!AF99))=6)*(CHOOSE({1,2,3,4},NĐ!W99,NĐ!AA99,NĐ!AE99,NĐ!AI99)))</f>
        <v>0</v>
      </c>
      <c r="G99">
        <f>SUMPRODUCT((MONTH(CHOOSE({1,2,3,4},NĐ!T99,NĐ!X99,NĐ!AB99,NĐ!AF99))=7)*(CHOOSE({1,2,3,4},NĐ!W99,NĐ!AA99,NĐ!AE99,NĐ!AI99)))</f>
        <v>0</v>
      </c>
      <c r="H99">
        <f>SUMPRODUCT((MONTH(CHOOSE({1,2,3,4},NĐ!T99,NĐ!X99,NĐ!AB99,NĐ!AF99))=8)*(CHOOSE({1,2,3,4},NĐ!W99,NĐ!AA99,NĐ!AE99,NĐ!AI99)))</f>
        <v>0</v>
      </c>
      <c r="I99">
        <f>SUMPRODUCT((MONTH(CHOOSE({1,2,3,4},NĐ!T99,NĐ!X99,NĐ!AB99,NĐ!AF99))=9)*(CHOOSE({1,2,3,4},NĐ!W99,NĐ!AA99,NĐ!AE99,NĐ!AI99)))</f>
        <v>0</v>
      </c>
      <c r="J99">
        <f>SUMPRODUCT((MONTH(CHOOSE({1,2,3,4},NĐ!T99,NĐ!X99,NĐ!AB99,NĐ!AF99))=10)*(CHOOSE({1,2,3,4},NĐ!W99,NĐ!AA99,NĐ!AE99,NĐ!AI99)))</f>
        <v>0</v>
      </c>
      <c r="K99">
        <f>SUMPRODUCT((MONTH(CHOOSE({1,2,3,4},NĐ!T99,NĐ!X99,NĐ!AB99,NĐ!AF99))=11)*(CHOOSE({1,2,3,4},NĐ!W99,NĐ!AA99,NĐ!AE99,NĐ!AI99)))</f>
        <v>0</v>
      </c>
      <c r="L99">
        <f>SUMPRODUCT((MONTH(CHOOSE({1,2,3,4},NĐ!T99,NĐ!X99,NĐ!AB99,NĐ!AF99))=12)*(CHOOSE({1,2,3,4},NĐ!W99,NĐ!AA99,NĐ!AE99,NĐ!AI99)))</f>
        <v>0</v>
      </c>
    </row>
    <row r="100" spans="1:12">
      <c r="A100">
        <f>SUMPRODUCT((MONTH(CHOOSE({1,2,3,4},NĐ!T100,NĐ!X100,NĐ!AB100,NĐ!AF100))=1)*(CHOOSE({1,2,3,4},NĐ!W100,NĐ!AA100,NĐ!AE100,NĐ!AI100)))</f>
        <v>0</v>
      </c>
      <c r="B100">
        <f>SUMPRODUCT((MONTH(CHOOSE({1,2,3,4},NĐ!T100,NĐ!X100,NĐ!AB100,NĐ!AF100))=2)*(CHOOSE({1,2,3,4},NĐ!W100,NĐ!AA100,NĐ!AE100,NĐ!AI100)))</f>
        <v>0</v>
      </c>
      <c r="C100">
        <f>SUMPRODUCT((MONTH(CHOOSE({1,2,3,4},NĐ!T100,NĐ!X100,NĐ!AB100,NĐ!AF100))=3)*(CHOOSE({1,2,3,4},NĐ!W100,NĐ!AA100,NĐ!AE100,NĐ!AI100)))</f>
        <v>0</v>
      </c>
      <c r="D100">
        <f>SUMPRODUCT((MONTH(CHOOSE({1,2,3,4},NĐ!T100,NĐ!X100,NĐ!AB100,NĐ!AF100))=4)*(CHOOSE({1,2,3,4},NĐ!W100,NĐ!AA100,NĐ!AE100,NĐ!AI100)))</f>
        <v>0</v>
      </c>
      <c r="E100">
        <f>SUMPRODUCT((MONTH(CHOOSE({1,2,3,4},NĐ!T100,NĐ!X100,NĐ!AB100,NĐ!AF100))=5)*(CHOOSE({1,2,3,4},NĐ!W100,NĐ!AA100,NĐ!AE100,NĐ!AI100)))</f>
        <v>0</v>
      </c>
      <c r="F100">
        <f>SUMPRODUCT((MONTH(CHOOSE({1,2,3,4},NĐ!T100,NĐ!X100,NĐ!AB100,NĐ!AF100))=6)*(CHOOSE({1,2,3,4},NĐ!W100,NĐ!AA100,NĐ!AE100,NĐ!AI100)))</f>
        <v>0</v>
      </c>
      <c r="G100">
        <f>SUMPRODUCT((MONTH(CHOOSE({1,2,3,4},NĐ!T100,NĐ!X100,NĐ!AB100,NĐ!AF100))=7)*(CHOOSE({1,2,3,4},NĐ!W100,NĐ!AA100,NĐ!AE100,NĐ!AI100)))</f>
        <v>0</v>
      </c>
      <c r="H100">
        <f>SUMPRODUCT((MONTH(CHOOSE({1,2,3,4},NĐ!T100,NĐ!X100,NĐ!AB100,NĐ!AF100))=8)*(CHOOSE({1,2,3,4},NĐ!W100,NĐ!AA100,NĐ!AE100,NĐ!AI100)))</f>
        <v>0</v>
      </c>
      <c r="I100">
        <f>SUMPRODUCT((MONTH(CHOOSE({1,2,3,4},NĐ!T100,NĐ!X100,NĐ!AB100,NĐ!AF100))=9)*(CHOOSE({1,2,3,4},NĐ!W100,NĐ!AA100,NĐ!AE100,NĐ!AI100)))</f>
        <v>0</v>
      </c>
      <c r="J100">
        <f>SUMPRODUCT((MONTH(CHOOSE({1,2,3,4},NĐ!T100,NĐ!X100,NĐ!AB100,NĐ!AF100))=10)*(CHOOSE({1,2,3,4},NĐ!W100,NĐ!AA100,NĐ!AE100,NĐ!AI100)))</f>
        <v>0</v>
      </c>
      <c r="K100">
        <f>SUMPRODUCT((MONTH(CHOOSE({1,2,3,4},NĐ!T100,NĐ!X100,NĐ!AB100,NĐ!AF100))=11)*(CHOOSE({1,2,3,4},NĐ!W100,NĐ!AA100,NĐ!AE100,NĐ!AI100)))</f>
        <v>0</v>
      </c>
      <c r="L100">
        <f>SUMPRODUCT((MONTH(CHOOSE({1,2,3,4},NĐ!T100,NĐ!X100,NĐ!AB100,NĐ!AF100))=12)*(CHOOSE({1,2,3,4},NĐ!W100,NĐ!AA100,NĐ!AE100,NĐ!AI100)))</f>
        <v>0</v>
      </c>
    </row>
    <row r="101" spans="1:12">
      <c r="A101">
        <f>SUMPRODUCT((MONTH(CHOOSE({1,2,3,4},NĐ!T101,NĐ!X101,NĐ!AB101,NĐ!AF101))=1)*(CHOOSE({1,2,3,4},NĐ!W101,NĐ!AA101,NĐ!AE101,NĐ!AI101)))</f>
        <v>0</v>
      </c>
      <c r="B101">
        <f>SUMPRODUCT((MONTH(CHOOSE({1,2,3,4},NĐ!T101,NĐ!X101,NĐ!AB101,NĐ!AF101))=2)*(CHOOSE({1,2,3,4},NĐ!W101,NĐ!AA101,NĐ!AE101,NĐ!AI101)))</f>
        <v>0</v>
      </c>
      <c r="C101">
        <f>SUMPRODUCT((MONTH(CHOOSE({1,2,3,4},NĐ!T101,NĐ!X101,NĐ!AB101,NĐ!AF101))=3)*(CHOOSE({1,2,3,4},NĐ!W101,NĐ!AA101,NĐ!AE101,NĐ!AI101)))</f>
        <v>0</v>
      </c>
      <c r="D101">
        <f>SUMPRODUCT((MONTH(CHOOSE({1,2,3,4},NĐ!T101,NĐ!X101,NĐ!AB101,NĐ!AF101))=4)*(CHOOSE({1,2,3,4},NĐ!W101,NĐ!AA101,NĐ!AE101,NĐ!AI101)))</f>
        <v>0</v>
      </c>
      <c r="E101">
        <f>SUMPRODUCT((MONTH(CHOOSE({1,2,3,4},NĐ!T101,NĐ!X101,NĐ!AB101,NĐ!AF101))=5)*(CHOOSE({1,2,3,4},NĐ!W101,NĐ!AA101,NĐ!AE101,NĐ!AI101)))</f>
        <v>0</v>
      </c>
      <c r="F101">
        <f>SUMPRODUCT((MONTH(CHOOSE({1,2,3,4},NĐ!T101,NĐ!X101,NĐ!AB101,NĐ!AF101))=6)*(CHOOSE({1,2,3,4},NĐ!W101,NĐ!AA101,NĐ!AE101,NĐ!AI101)))</f>
        <v>0</v>
      </c>
      <c r="G101">
        <f>SUMPRODUCT((MONTH(CHOOSE({1,2,3,4},NĐ!T101,NĐ!X101,NĐ!AB101,NĐ!AF101))=7)*(CHOOSE({1,2,3,4},NĐ!W101,NĐ!AA101,NĐ!AE101,NĐ!AI101)))</f>
        <v>0</v>
      </c>
      <c r="H101">
        <f>SUMPRODUCT((MONTH(CHOOSE({1,2,3,4},NĐ!T101,NĐ!X101,NĐ!AB101,NĐ!AF101))=8)*(CHOOSE({1,2,3,4},NĐ!W101,NĐ!AA101,NĐ!AE101,NĐ!AI101)))</f>
        <v>0</v>
      </c>
      <c r="I101">
        <f>SUMPRODUCT((MONTH(CHOOSE({1,2,3,4},NĐ!T101,NĐ!X101,NĐ!AB101,NĐ!AF101))=9)*(CHOOSE({1,2,3,4},NĐ!W101,NĐ!AA101,NĐ!AE101,NĐ!AI101)))</f>
        <v>0</v>
      </c>
      <c r="J101">
        <f>SUMPRODUCT((MONTH(CHOOSE({1,2,3,4},NĐ!T101,NĐ!X101,NĐ!AB101,NĐ!AF101))=10)*(CHOOSE({1,2,3,4},NĐ!W101,NĐ!AA101,NĐ!AE101,NĐ!AI101)))</f>
        <v>0</v>
      </c>
      <c r="K101">
        <f>SUMPRODUCT((MONTH(CHOOSE({1,2,3,4},NĐ!T101,NĐ!X101,NĐ!AB101,NĐ!AF101))=11)*(CHOOSE({1,2,3,4},NĐ!W101,NĐ!AA101,NĐ!AE101,NĐ!AI101)))</f>
        <v>0</v>
      </c>
      <c r="L101">
        <f>SUMPRODUCT((MONTH(CHOOSE({1,2,3,4},NĐ!T101,NĐ!X101,NĐ!AB101,NĐ!AF101))=12)*(CHOOSE({1,2,3,4},NĐ!W101,NĐ!AA101,NĐ!AE101,NĐ!AI101)))</f>
        <v>0</v>
      </c>
    </row>
    <row r="102" spans="1:12">
      <c r="A102">
        <f>SUMPRODUCT((MONTH(CHOOSE({1,2,3,4},NĐ!T102,NĐ!X102,NĐ!AB102,NĐ!AF102))=1)*(CHOOSE({1,2,3,4},NĐ!W102,NĐ!AA102,NĐ!AE102,NĐ!AI102)))</f>
        <v>0</v>
      </c>
      <c r="B102">
        <f>SUMPRODUCT((MONTH(CHOOSE({1,2,3,4},NĐ!T102,NĐ!X102,NĐ!AB102,NĐ!AF102))=2)*(CHOOSE({1,2,3,4},NĐ!W102,NĐ!AA102,NĐ!AE102,NĐ!AI102)))</f>
        <v>0</v>
      </c>
      <c r="C102">
        <f>SUMPRODUCT((MONTH(CHOOSE({1,2,3,4},NĐ!T102,NĐ!X102,NĐ!AB102,NĐ!AF102))=3)*(CHOOSE({1,2,3,4},NĐ!W102,NĐ!AA102,NĐ!AE102,NĐ!AI102)))</f>
        <v>0</v>
      </c>
      <c r="D102">
        <f>SUMPRODUCT((MONTH(CHOOSE({1,2,3,4},NĐ!T102,NĐ!X102,NĐ!AB102,NĐ!AF102))=4)*(CHOOSE({1,2,3,4},NĐ!W102,NĐ!AA102,NĐ!AE102,NĐ!AI102)))</f>
        <v>0</v>
      </c>
      <c r="E102">
        <f>SUMPRODUCT((MONTH(CHOOSE({1,2,3,4},NĐ!T102,NĐ!X102,NĐ!AB102,NĐ!AF102))=5)*(CHOOSE({1,2,3,4},NĐ!W102,NĐ!AA102,NĐ!AE102,NĐ!AI102)))</f>
        <v>0</v>
      </c>
      <c r="F102">
        <f>SUMPRODUCT((MONTH(CHOOSE({1,2,3,4},NĐ!T102,NĐ!X102,NĐ!AB102,NĐ!AF102))=6)*(CHOOSE({1,2,3,4},NĐ!W102,NĐ!AA102,NĐ!AE102,NĐ!AI102)))</f>
        <v>0</v>
      </c>
      <c r="G102">
        <f>SUMPRODUCT((MONTH(CHOOSE({1,2,3,4},NĐ!T102,NĐ!X102,NĐ!AB102,NĐ!AF102))=7)*(CHOOSE({1,2,3,4},NĐ!W102,NĐ!AA102,NĐ!AE102,NĐ!AI102)))</f>
        <v>0</v>
      </c>
      <c r="H102">
        <f>SUMPRODUCT((MONTH(CHOOSE({1,2,3,4},NĐ!T102,NĐ!X102,NĐ!AB102,NĐ!AF102))=8)*(CHOOSE({1,2,3,4},NĐ!W102,NĐ!AA102,NĐ!AE102,NĐ!AI102)))</f>
        <v>0</v>
      </c>
      <c r="I102">
        <f>SUMPRODUCT((MONTH(CHOOSE({1,2,3,4},NĐ!T102,NĐ!X102,NĐ!AB102,NĐ!AF102))=9)*(CHOOSE({1,2,3,4},NĐ!W102,NĐ!AA102,NĐ!AE102,NĐ!AI102)))</f>
        <v>0</v>
      </c>
      <c r="J102">
        <f>SUMPRODUCT((MONTH(CHOOSE({1,2,3,4},NĐ!T102,NĐ!X102,NĐ!AB102,NĐ!AF102))=10)*(CHOOSE({1,2,3,4},NĐ!W102,NĐ!AA102,NĐ!AE102,NĐ!AI102)))</f>
        <v>0</v>
      </c>
      <c r="K102">
        <f>SUMPRODUCT((MONTH(CHOOSE({1,2,3,4},NĐ!T102,NĐ!X102,NĐ!AB102,NĐ!AF102))=11)*(CHOOSE({1,2,3,4},NĐ!W102,NĐ!AA102,NĐ!AE102,NĐ!AI102)))</f>
        <v>0</v>
      </c>
      <c r="L102">
        <f>SUMPRODUCT((MONTH(CHOOSE({1,2,3,4},NĐ!T102,NĐ!X102,NĐ!AB102,NĐ!AF102))=12)*(CHOOSE({1,2,3,4},NĐ!W102,NĐ!AA102,NĐ!AE102,NĐ!AI102)))</f>
        <v>0</v>
      </c>
    </row>
    <row r="103" spans="1:12">
      <c r="A103">
        <f>SUMPRODUCT((MONTH(CHOOSE({1,2,3,4},NĐ!T103,NĐ!X103,NĐ!AB103,NĐ!AF103))=1)*(CHOOSE({1,2,3,4},NĐ!W103,NĐ!AA103,NĐ!AE103,NĐ!AI103)))</f>
        <v>0</v>
      </c>
      <c r="B103">
        <f>SUMPRODUCT((MONTH(CHOOSE({1,2,3,4},NĐ!T103,NĐ!X103,NĐ!AB103,NĐ!AF103))=2)*(CHOOSE({1,2,3,4},NĐ!W103,NĐ!AA103,NĐ!AE103,NĐ!AI103)))</f>
        <v>0</v>
      </c>
      <c r="C103">
        <f>SUMPRODUCT((MONTH(CHOOSE({1,2,3,4},NĐ!T103,NĐ!X103,NĐ!AB103,NĐ!AF103))=3)*(CHOOSE({1,2,3,4},NĐ!W103,NĐ!AA103,NĐ!AE103,NĐ!AI103)))</f>
        <v>0</v>
      </c>
      <c r="D103">
        <f>SUMPRODUCT((MONTH(CHOOSE({1,2,3,4},NĐ!T103,NĐ!X103,NĐ!AB103,NĐ!AF103))=4)*(CHOOSE({1,2,3,4},NĐ!W103,NĐ!AA103,NĐ!AE103,NĐ!AI103)))</f>
        <v>0</v>
      </c>
      <c r="E103">
        <f>SUMPRODUCT((MONTH(CHOOSE({1,2,3,4},NĐ!T103,NĐ!X103,NĐ!AB103,NĐ!AF103))=5)*(CHOOSE({1,2,3,4},NĐ!W103,NĐ!AA103,NĐ!AE103,NĐ!AI103)))</f>
        <v>0</v>
      </c>
      <c r="F103">
        <f>SUMPRODUCT((MONTH(CHOOSE({1,2,3,4},NĐ!T103,NĐ!X103,NĐ!AB103,NĐ!AF103))=6)*(CHOOSE({1,2,3,4},NĐ!W103,NĐ!AA103,NĐ!AE103,NĐ!AI103)))</f>
        <v>0</v>
      </c>
      <c r="G103">
        <f>SUMPRODUCT((MONTH(CHOOSE({1,2,3,4},NĐ!T103,NĐ!X103,NĐ!AB103,NĐ!AF103))=7)*(CHOOSE({1,2,3,4},NĐ!W103,NĐ!AA103,NĐ!AE103,NĐ!AI103)))</f>
        <v>0</v>
      </c>
      <c r="H103">
        <f>SUMPRODUCT((MONTH(CHOOSE({1,2,3,4},NĐ!T103,NĐ!X103,NĐ!AB103,NĐ!AF103))=8)*(CHOOSE({1,2,3,4},NĐ!W103,NĐ!AA103,NĐ!AE103,NĐ!AI103)))</f>
        <v>0</v>
      </c>
      <c r="I103">
        <f>SUMPRODUCT((MONTH(CHOOSE({1,2,3,4},NĐ!T103,NĐ!X103,NĐ!AB103,NĐ!AF103))=9)*(CHOOSE({1,2,3,4},NĐ!W103,NĐ!AA103,NĐ!AE103,NĐ!AI103)))</f>
        <v>0</v>
      </c>
      <c r="J103">
        <f>SUMPRODUCT((MONTH(CHOOSE({1,2,3,4},NĐ!T103,NĐ!X103,NĐ!AB103,NĐ!AF103))=10)*(CHOOSE({1,2,3,4},NĐ!W103,NĐ!AA103,NĐ!AE103,NĐ!AI103)))</f>
        <v>0</v>
      </c>
      <c r="K103">
        <f>SUMPRODUCT((MONTH(CHOOSE({1,2,3,4},NĐ!T103,NĐ!X103,NĐ!AB103,NĐ!AF103))=11)*(CHOOSE({1,2,3,4},NĐ!W103,NĐ!AA103,NĐ!AE103,NĐ!AI103)))</f>
        <v>0</v>
      </c>
      <c r="L103">
        <f>SUMPRODUCT((MONTH(CHOOSE({1,2,3,4},NĐ!T103,NĐ!X103,NĐ!AB103,NĐ!AF103))=12)*(CHOOSE({1,2,3,4},NĐ!W103,NĐ!AA103,NĐ!AE103,NĐ!AI103)))</f>
        <v>0</v>
      </c>
    </row>
    <row r="104" spans="1:12">
      <c r="A104">
        <f>SUMPRODUCT((MONTH(CHOOSE({1,2,3,4},NĐ!T104,NĐ!X104,NĐ!AB104,NĐ!AF104))=1)*(CHOOSE({1,2,3,4},NĐ!W104,NĐ!AA104,NĐ!AE104,NĐ!AI104)))</f>
        <v>0</v>
      </c>
      <c r="B104">
        <f>SUMPRODUCT((MONTH(CHOOSE({1,2,3,4},NĐ!T104,NĐ!X104,NĐ!AB104,NĐ!AF104))=2)*(CHOOSE({1,2,3,4},NĐ!W104,NĐ!AA104,NĐ!AE104,NĐ!AI104)))</f>
        <v>0</v>
      </c>
      <c r="C104">
        <f>SUMPRODUCT((MONTH(CHOOSE({1,2,3,4},NĐ!T104,NĐ!X104,NĐ!AB104,NĐ!AF104))=3)*(CHOOSE({1,2,3,4},NĐ!W104,NĐ!AA104,NĐ!AE104,NĐ!AI104)))</f>
        <v>0</v>
      </c>
      <c r="D104">
        <f>SUMPRODUCT((MONTH(CHOOSE({1,2,3,4},NĐ!T104,NĐ!X104,NĐ!AB104,NĐ!AF104))=4)*(CHOOSE({1,2,3,4},NĐ!W104,NĐ!AA104,NĐ!AE104,NĐ!AI104)))</f>
        <v>0</v>
      </c>
      <c r="E104">
        <f>SUMPRODUCT((MONTH(CHOOSE({1,2,3,4},NĐ!T104,NĐ!X104,NĐ!AB104,NĐ!AF104))=5)*(CHOOSE({1,2,3,4},NĐ!W104,NĐ!AA104,NĐ!AE104,NĐ!AI104)))</f>
        <v>0</v>
      </c>
      <c r="F104">
        <f>SUMPRODUCT((MONTH(CHOOSE({1,2,3,4},NĐ!T104,NĐ!X104,NĐ!AB104,NĐ!AF104))=6)*(CHOOSE({1,2,3,4},NĐ!W104,NĐ!AA104,NĐ!AE104,NĐ!AI104)))</f>
        <v>0</v>
      </c>
      <c r="G104">
        <f>SUMPRODUCT((MONTH(CHOOSE({1,2,3,4},NĐ!T104,NĐ!X104,NĐ!AB104,NĐ!AF104))=7)*(CHOOSE({1,2,3,4},NĐ!W104,NĐ!AA104,NĐ!AE104,NĐ!AI104)))</f>
        <v>0</v>
      </c>
      <c r="H104">
        <f>SUMPRODUCT((MONTH(CHOOSE({1,2,3,4},NĐ!T104,NĐ!X104,NĐ!AB104,NĐ!AF104))=8)*(CHOOSE({1,2,3,4},NĐ!W104,NĐ!AA104,NĐ!AE104,NĐ!AI104)))</f>
        <v>0</v>
      </c>
      <c r="I104">
        <f>SUMPRODUCT((MONTH(CHOOSE({1,2,3,4},NĐ!T104,NĐ!X104,NĐ!AB104,NĐ!AF104))=9)*(CHOOSE({1,2,3,4},NĐ!W104,NĐ!AA104,NĐ!AE104,NĐ!AI104)))</f>
        <v>0</v>
      </c>
      <c r="J104">
        <f>SUMPRODUCT((MONTH(CHOOSE({1,2,3,4},NĐ!T104,NĐ!X104,NĐ!AB104,NĐ!AF104))=10)*(CHOOSE({1,2,3,4},NĐ!W104,NĐ!AA104,NĐ!AE104,NĐ!AI104)))</f>
        <v>0</v>
      </c>
      <c r="K104">
        <f>SUMPRODUCT((MONTH(CHOOSE({1,2,3,4},NĐ!T104,NĐ!X104,NĐ!AB104,NĐ!AF104))=11)*(CHOOSE({1,2,3,4},NĐ!W104,NĐ!AA104,NĐ!AE104,NĐ!AI104)))</f>
        <v>0</v>
      </c>
      <c r="L104">
        <f>SUMPRODUCT((MONTH(CHOOSE({1,2,3,4},NĐ!T104,NĐ!X104,NĐ!AB104,NĐ!AF104))=12)*(CHOOSE({1,2,3,4},NĐ!W104,NĐ!AA104,NĐ!AE104,NĐ!AI104)))</f>
        <v>0</v>
      </c>
    </row>
    <row r="105" spans="1:12">
      <c r="A105">
        <f>SUMPRODUCT((MONTH(CHOOSE({1,2,3,4},NĐ!T105,NĐ!X105,NĐ!AB105,NĐ!AF105))=1)*(CHOOSE({1,2,3,4},NĐ!W105,NĐ!AA105,NĐ!AE105,NĐ!AI105)))</f>
        <v>0</v>
      </c>
      <c r="B105">
        <f>SUMPRODUCT((MONTH(CHOOSE({1,2,3,4},NĐ!T105,NĐ!X105,NĐ!AB105,NĐ!AF105))=2)*(CHOOSE({1,2,3,4},NĐ!W105,NĐ!AA105,NĐ!AE105,NĐ!AI105)))</f>
        <v>0</v>
      </c>
      <c r="C105">
        <f>SUMPRODUCT((MONTH(CHOOSE({1,2,3,4},NĐ!T105,NĐ!X105,NĐ!AB105,NĐ!AF105))=3)*(CHOOSE({1,2,3,4},NĐ!W105,NĐ!AA105,NĐ!AE105,NĐ!AI105)))</f>
        <v>0</v>
      </c>
      <c r="D105">
        <f>SUMPRODUCT((MONTH(CHOOSE({1,2,3,4},NĐ!T105,NĐ!X105,NĐ!AB105,NĐ!AF105))=4)*(CHOOSE({1,2,3,4},NĐ!W105,NĐ!AA105,NĐ!AE105,NĐ!AI105)))</f>
        <v>0</v>
      </c>
      <c r="E105">
        <f>SUMPRODUCT((MONTH(CHOOSE({1,2,3,4},NĐ!T105,NĐ!X105,NĐ!AB105,NĐ!AF105))=5)*(CHOOSE({1,2,3,4},NĐ!W105,NĐ!AA105,NĐ!AE105,NĐ!AI105)))</f>
        <v>0</v>
      </c>
      <c r="F105">
        <f>SUMPRODUCT((MONTH(CHOOSE({1,2,3,4},NĐ!T105,NĐ!X105,NĐ!AB105,NĐ!AF105))=6)*(CHOOSE({1,2,3,4},NĐ!W105,NĐ!AA105,NĐ!AE105,NĐ!AI105)))</f>
        <v>0</v>
      </c>
      <c r="G105">
        <f>SUMPRODUCT((MONTH(CHOOSE({1,2,3,4},NĐ!T105,NĐ!X105,NĐ!AB105,NĐ!AF105))=7)*(CHOOSE({1,2,3,4},NĐ!W105,NĐ!AA105,NĐ!AE105,NĐ!AI105)))</f>
        <v>0</v>
      </c>
      <c r="H105">
        <f>SUMPRODUCT((MONTH(CHOOSE({1,2,3,4},NĐ!T105,NĐ!X105,NĐ!AB105,NĐ!AF105))=8)*(CHOOSE({1,2,3,4},NĐ!W105,NĐ!AA105,NĐ!AE105,NĐ!AI105)))</f>
        <v>0</v>
      </c>
      <c r="I105">
        <f>SUMPRODUCT((MONTH(CHOOSE({1,2,3,4},NĐ!T105,NĐ!X105,NĐ!AB105,NĐ!AF105))=9)*(CHOOSE({1,2,3,4},NĐ!W105,NĐ!AA105,NĐ!AE105,NĐ!AI105)))</f>
        <v>0</v>
      </c>
      <c r="J105">
        <f>SUMPRODUCT((MONTH(CHOOSE({1,2,3,4},NĐ!T105,NĐ!X105,NĐ!AB105,NĐ!AF105))=10)*(CHOOSE({1,2,3,4},NĐ!W105,NĐ!AA105,NĐ!AE105,NĐ!AI105)))</f>
        <v>0</v>
      </c>
      <c r="K105">
        <f>SUMPRODUCT((MONTH(CHOOSE({1,2,3,4},NĐ!T105,NĐ!X105,NĐ!AB105,NĐ!AF105))=11)*(CHOOSE({1,2,3,4},NĐ!W105,NĐ!AA105,NĐ!AE105,NĐ!AI105)))</f>
        <v>0</v>
      </c>
      <c r="L105">
        <f>SUMPRODUCT((MONTH(CHOOSE({1,2,3,4},NĐ!T105,NĐ!X105,NĐ!AB105,NĐ!AF105))=12)*(CHOOSE({1,2,3,4},NĐ!W105,NĐ!AA105,NĐ!AE105,NĐ!AI105)))</f>
        <v>0</v>
      </c>
    </row>
    <row r="106" spans="1:12">
      <c r="A106">
        <f>SUMPRODUCT((MONTH(CHOOSE({1,2,3,4},NĐ!T106,NĐ!X106,NĐ!AB106,NĐ!AF106))=1)*(CHOOSE({1,2,3,4},NĐ!W106,NĐ!AA106,NĐ!AE106,NĐ!AI106)))</f>
        <v>0</v>
      </c>
      <c r="B106">
        <f>SUMPRODUCT((MONTH(CHOOSE({1,2,3,4},NĐ!T106,NĐ!X106,NĐ!AB106,NĐ!AF106))=2)*(CHOOSE({1,2,3,4},NĐ!W106,NĐ!AA106,NĐ!AE106,NĐ!AI106)))</f>
        <v>0</v>
      </c>
      <c r="C106">
        <f>SUMPRODUCT((MONTH(CHOOSE({1,2,3,4},NĐ!T106,NĐ!X106,NĐ!AB106,NĐ!AF106))=3)*(CHOOSE({1,2,3,4},NĐ!W106,NĐ!AA106,NĐ!AE106,NĐ!AI106)))</f>
        <v>0</v>
      </c>
      <c r="D106">
        <f>SUMPRODUCT((MONTH(CHOOSE({1,2,3,4},NĐ!T106,NĐ!X106,NĐ!AB106,NĐ!AF106))=4)*(CHOOSE({1,2,3,4},NĐ!W106,NĐ!AA106,NĐ!AE106,NĐ!AI106)))</f>
        <v>0</v>
      </c>
      <c r="E106">
        <f>SUMPRODUCT((MONTH(CHOOSE({1,2,3,4},NĐ!T106,NĐ!X106,NĐ!AB106,NĐ!AF106))=5)*(CHOOSE({1,2,3,4},NĐ!W106,NĐ!AA106,NĐ!AE106,NĐ!AI106)))</f>
        <v>0</v>
      </c>
      <c r="F106">
        <f>SUMPRODUCT((MONTH(CHOOSE({1,2,3,4},NĐ!T106,NĐ!X106,NĐ!AB106,NĐ!AF106))=6)*(CHOOSE({1,2,3,4},NĐ!W106,NĐ!AA106,NĐ!AE106,NĐ!AI106)))</f>
        <v>0</v>
      </c>
      <c r="G106">
        <f>SUMPRODUCT((MONTH(CHOOSE({1,2,3,4},NĐ!T106,NĐ!X106,NĐ!AB106,NĐ!AF106))=7)*(CHOOSE({1,2,3,4},NĐ!W106,NĐ!AA106,NĐ!AE106,NĐ!AI106)))</f>
        <v>0</v>
      </c>
      <c r="H106">
        <f>SUMPRODUCT((MONTH(CHOOSE({1,2,3,4},NĐ!T106,NĐ!X106,NĐ!AB106,NĐ!AF106))=8)*(CHOOSE({1,2,3,4},NĐ!W106,NĐ!AA106,NĐ!AE106,NĐ!AI106)))</f>
        <v>0</v>
      </c>
      <c r="I106">
        <f>SUMPRODUCT((MONTH(CHOOSE({1,2,3,4},NĐ!T106,NĐ!X106,NĐ!AB106,NĐ!AF106))=9)*(CHOOSE({1,2,3,4},NĐ!W106,NĐ!AA106,NĐ!AE106,NĐ!AI106)))</f>
        <v>0</v>
      </c>
      <c r="J106">
        <f>SUMPRODUCT((MONTH(CHOOSE({1,2,3,4},NĐ!T106,NĐ!X106,NĐ!AB106,NĐ!AF106))=10)*(CHOOSE({1,2,3,4},NĐ!W106,NĐ!AA106,NĐ!AE106,NĐ!AI106)))</f>
        <v>0</v>
      </c>
      <c r="K106">
        <f>SUMPRODUCT((MONTH(CHOOSE({1,2,3,4},NĐ!T106,NĐ!X106,NĐ!AB106,NĐ!AF106))=11)*(CHOOSE({1,2,3,4},NĐ!W106,NĐ!AA106,NĐ!AE106,NĐ!AI106)))</f>
        <v>0</v>
      </c>
      <c r="L106">
        <f>SUMPRODUCT((MONTH(CHOOSE({1,2,3,4},NĐ!T106,NĐ!X106,NĐ!AB106,NĐ!AF106))=12)*(CHOOSE({1,2,3,4},NĐ!W106,NĐ!AA106,NĐ!AE106,NĐ!AI106)))</f>
        <v>0</v>
      </c>
    </row>
    <row r="107" spans="1:12">
      <c r="A107">
        <f>SUMPRODUCT((MONTH(CHOOSE({1,2,3,4},NĐ!T107,NĐ!X107,NĐ!AB107,NĐ!AF107))=1)*(CHOOSE({1,2,3,4},NĐ!W107,NĐ!AA107,NĐ!AE107,NĐ!AI107)))</f>
        <v>0</v>
      </c>
      <c r="B107">
        <f>SUMPRODUCT((MONTH(CHOOSE({1,2,3,4},NĐ!T107,NĐ!X107,NĐ!AB107,NĐ!AF107))=2)*(CHOOSE({1,2,3,4},NĐ!W107,NĐ!AA107,NĐ!AE107,NĐ!AI107)))</f>
        <v>0</v>
      </c>
      <c r="C107">
        <f>SUMPRODUCT((MONTH(CHOOSE({1,2,3,4},NĐ!T107,NĐ!X107,NĐ!AB107,NĐ!AF107))=3)*(CHOOSE({1,2,3,4},NĐ!W107,NĐ!AA107,NĐ!AE107,NĐ!AI107)))</f>
        <v>0</v>
      </c>
      <c r="D107">
        <f>SUMPRODUCT((MONTH(CHOOSE({1,2,3,4},NĐ!T107,NĐ!X107,NĐ!AB107,NĐ!AF107))=4)*(CHOOSE({1,2,3,4},NĐ!W107,NĐ!AA107,NĐ!AE107,NĐ!AI107)))</f>
        <v>0</v>
      </c>
      <c r="E107">
        <f>SUMPRODUCT((MONTH(CHOOSE({1,2,3,4},NĐ!T107,NĐ!X107,NĐ!AB107,NĐ!AF107))=5)*(CHOOSE({1,2,3,4},NĐ!W107,NĐ!AA107,NĐ!AE107,NĐ!AI107)))</f>
        <v>0</v>
      </c>
      <c r="F107">
        <f>SUMPRODUCT((MONTH(CHOOSE({1,2,3,4},NĐ!T107,NĐ!X107,NĐ!AB107,NĐ!AF107))=6)*(CHOOSE({1,2,3,4},NĐ!W107,NĐ!AA107,NĐ!AE107,NĐ!AI107)))</f>
        <v>0</v>
      </c>
      <c r="G107">
        <f>SUMPRODUCT((MONTH(CHOOSE({1,2,3,4},NĐ!T107,NĐ!X107,NĐ!AB107,NĐ!AF107))=7)*(CHOOSE({1,2,3,4},NĐ!W107,NĐ!AA107,NĐ!AE107,NĐ!AI107)))</f>
        <v>0</v>
      </c>
      <c r="H107">
        <f>SUMPRODUCT((MONTH(CHOOSE({1,2,3,4},NĐ!T107,NĐ!X107,NĐ!AB107,NĐ!AF107))=8)*(CHOOSE({1,2,3,4},NĐ!W107,NĐ!AA107,NĐ!AE107,NĐ!AI107)))</f>
        <v>0</v>
      </c>
      <c r="I107">
        <f>SUMPRODUCT((MONTH(CHOOSE({1,2,3,4},NĐ!T107,NĐ!X107,NĐ!AB107,NĐ!AF107))=9)*(CHOOSE({1,2,3,4},NĐ!W107,NĐ!AA107,NĐ!AE107,NĐ!AI107)))</f>
        <v>0</v>
      </c>
      <c r="J107">
        <f>SUMPRODUCT((MONTH(CHOOSE({1,2,3,4},NĐ!T107,NĐ!X107,NĐ!AB107,NĐ!AF107))=10)*(CHOOSE({1,2,3,4},NĐ!W107,NĐ!AA107,NĐ!AE107,NĐ!AI107)))</f>
        <v>0</v>
      </c>
      <c r="K107">
        <f>SUMPRODUCT((MONTH(CHOOSE({1,2,3,4},NĐ!T107,NĐ!X107,NĐ!AB107,NĐ!AF107))=11)*(CHOOSE({1,2,3,4},NĐ!W107,NĐ!AA107,NĐ!AE107,NĐ!AI107)))</f>
        <v>0</v>
      </c>
      <c r="L107">
        <f>SUMPRODUCT((MONTH(CHOOSE({1,2,3,4},NĐ!T107,NĐ!X107,NĐ!AB107,NĐ!AF107))=12)*(CHOOSE({1,2,3,4},NĐ!W107,NĐ!AA107,NĐ!AE107,NĐ!AI107)))</f>
        <v>0</v>
      </c>
    </row>
    <row r="108" spans="1:12">
      <c r="A108">
        <f>SUMPRODUCT((MONTH(CHOOSE({1,2,3,4},NĐ!T108,NĐ!X108,NĐ!AB108,NĐ!AF108))=1)*(CHOOSE({1,2,3,4},NĐ!W108,NĐ!AA108,NĐ!AE108,NĐ!AI108)))</f>
        <v>0</v>
      </c>
      <c r="B108">
        <f>SUMPRODUCT((MONTH(CHOOSE({1,2,3,4},NĐ!T108,NĐ!X108,NĐ!AB108,NĐ!AF108))=2)*(CHOOSE({1,2,3,4},NĐ!W108,NĐ!AA108,NĐ!AE108,NĐ!AI108)))</f>
        <v>0</v>
      </c>
      <c r="C108">
        <f>SUMPRODUCT((MONTH(CHOOSE({1,2,3,4},NĐ!T108,NĐ!X108,NĐ!AB108,NĐ!AF108))=3)*(CHOOSE({1,2,3,4},NĐ!W108,NĐ!AA108,NĐ!AE108,NĐ!AI108)))</f>
        <v>0</v>
      </c>
      <c r="D108">
        <f>SUMPRODUCT((MONTH(CHOOSE({1,2,3,4},NĐ!T108,NĐ!X108,NĐ!AB108,NĐ!AF108))=4)*(CHOOSE({1,2,3,4},NĐ!W108,NĐ!AA108,NĐ!AE108,NĐ!AI108)))</f>
        <v>0</v>
      </c>
      <c r="E108">
        <f>SUMPRODUCT((MONTH(CHOOSE({1,2,3,4},NĐ!T108,NĐ!X108,NĐ!AB108,NĐ!AF108))=5)*(CHOOSE({1,2,3,4},NĐ!W108,NĐ!AA108,NĐ!AE108,NĐ!AI108)))</f>
        <v>0</v>
      </c>
      <c r="F108">
        <f>SUMPRODUCT((MONTH(CHOOSE({1,2,3,4},NĐ!T108,NĐ!X108,NĐ!AB108,NĐ!AF108))=6)*(CHOOSE({1,2,3,4},NĐ!W108,NĐ!AA108,NĐ!AE108,NĐ!AI108)))</f>
        <v>0</v>
      </c>
      <c r="G108">
        <f>SUMPRODUCT((MONTH(CHOOSE({1,2,3,4},NĐ!T108,NĐ!X108,NĐ!AB108,NĐ!AF108))=7)*(CHOOSE({1,2,3,4},NĐ!W108,NĐ!AA108,NĐ!AE108,NĐ!AI108)))</f>
        <v>0</v>
      </c>
      <c r="H108">
        <f>SUMPRODUCT((MONTH(CHOOSE({1,2,3,4},NĐ!T108,NĐ!X108,NĐ!AB108,NĐ!AF108))=8)*(CHOOSE({1,2,3,4},NĐ!W108,NĐ!AA108,NĐ!AE108,NĐ!AI108)))</f>
        <v>0</v>
      </c>
      <c r="I108">
        <f>SUMPRODUCT((MONTH(CHOOSE({1,2,3,4},NĐ!T108,NĐ!X108,NĐ!AB108,NĐ!AF108))=9)*(CHOOSE({1,2,3,4},NĐ!W108,NĐ!AA108,NĐ!AE108,NĐ!AI108)))</f>
        <v>0</v>
      </c>
      <c r="J108">
        <f>SUMPRODUCT((MONTH(CHOOSE({1,2,3,4},NĐ!T108,NĐ!X108,NĐ!AB108,NĐ!AF108))=10)*(CHOOSE({1,2,3,4},NĐ!W108,NĐ!AA108,NĐ!AE108,NĐ!AI108)))</f>
        <v>0</v>
      </c>
      <c r="K108">
        <f>SUMPRODUCT((MONTH(CHOOSE({1,2,3,4},NĐ!T108,NĐ!X108,NĐ!AB108,NĐ!AF108))=11)*(CHOOSE({1,2,3,4},NĐ!W108,NĐ!AA108,NĐ!AE108,NĐ!AI108)))</f>
        <v>0</v>
      </c>
      <c r="L108">
        <f>SUMPRODUCT((MONTH(CHOOSE({1,2,3,4},NĐ!T108,NĐ!X108,NĐ!AB108,NĐ!AF108))=12)*(CHOOSE({1,2,3,4},NĐ!W108,NĐ!AA108,NĐ!AE108,NĐ!AI108)))</f>
        <v>0</v>
      </c>
    </row>
    <row r="109" spans="1:12">
      <c r="A109">
        <f>SUMPRODUCT((MONTH(CHOOSE({1,2,3,4},NĐ!T109,NĐ!X109,NĐ!AB109,NĐ!AF109))=1)*(CHOOSE({1,2,3,4},NĐ!W109,NĐ!AA109,NĐ!AE109,NĐ!AI109)))</f>
        <v>0</v>
      </c>
      <c r="B109">
        <f>SUMPRODUCT((MONTH(CHOOSE({1,2,3,4},NĐ!T109,NĐ!X109,NĐ!AB109,NĐ!AF109))=2)*(CHOOSE({1,2,3,4},NĐ!W109,NĐ!AA109,NĐ!AE109,NĐ!AI109)))</f>
        <v>0</v>
      </c>
      <c r="C109">
        <f>SUMPRODUCT((MONTH(CHOOSE({1,2,3,4},NĐ!T109,NĐ!X109,NĐ!AB109,NĐ!AF109))=3)*(CHOOSE({1,2,3,4},NĐ!W109,NĐ!AA109,NĐ!AE109,NĐ!AI109)))</f>
        <v>0</v>
      </c>
      <c r="D109">
        <f>SUMPRODUCT((MONTH(CHOOSE({1,2,3,4},NĐ!T109,NĐ!X109,NĐ!AB109,NĐ!AF109))=4)*(CHOOSE({1,2,3,4},NĐ!W109,NĐ!AA109,NĐ!AE109,NĐ!AI109)))</f>
        <v>0</v>
      </c>
      <c r="E109">
        <f>SUMPRODUCT((MONTH(CHOOSE({1,2,3,4},NĐ!T109,NĐ!X109,NĐ!AB109,NĐ!AF109))=5)*(CHOOSE({1,2,3,4},NĐ!W109,NĐ!AA109,NĐ!AE109,NĐ!AI109)))</f>
        <v>0</v>
      </c>
      <c r="F109">
        <f>SUMPRODUCT((MONTH(CHOOSE({1,2,3,4},NĐ!T109,NĐ!X109,NĐ!AB109,NĐ!AF109))=6)*(CHOOSE({1,2,3,4},NĐ!W109,NĐ!AA109,NĐ!AE109,NĐ!AI109)))</f>
        <v>0</v>
      </c>
      <c r="G109">
        <f>SUMPRODUCT((MONTH(CHOOSE({1,2,3,4},NĐ!T109,NĐ!X109,NĐ!AB109,NĐ!AF109))=7)*(CHOOSE({1,2,3,4},NĐ!W109,NĐ!AA109,NĐ!AE109,NĐ!AI109)))</f>
        <v>0</v>
      </c>
      <c r="H109">
        <f>SUMPRODUCT((MONTH(CHOOSE({1,2,3,4},NĐ!T109,NĐ!X109,NĐ!AB109,NĐ!AF109))=8)*(CHOOSE({1,2,3,4},NĐ!W109,NĐ!AA109,NĐ!AE109,NĐ!AI109)))</f>
        <v>0</v>
      </c>
      <c r="I109">
        <f>SUMPRODUCT((MONTH(CHOOSE({1,2,3,4},NĐ!T109,NĐ!X109,NĐ!AB109,NĐ!AF109))=9)*(CHOOSE({1,2,3,4},NĐ!W109,NĐ!AA109,NĐ!AE109,NĐ!AI109)))</f>
        <v>0</v>
      </c>
      <c r="J109">
        <f>SUMPRODUCT((MONTH(CHOOSE({1,2,3,4},NĐ!T109,NĐ!X109,NĐ!AB109,NĐ!AF109))=10)*(CHOOSE({1,2,3,4},NĐ!W109,NĐ!AA109,NĐ!AE109,NĐ!AI109)))</f>
        <v>0</v>
      </c>
      <c r="K109">
        <f>SUMPRODUCT((MONTH(CHOOSE({1,2,3,4},NĐ!T109,NĐ!X109,NĐ!AB109,NĐ!AF109))=11)*(CHOOSE({1,2,3,4},NĐ!W109,NĐ!AA109,NĐ!AE109,NĐ!AI109)))</f>
        <v>0</v>
      </c>
      <c r="L109">
        <f>SUMPRODUCT((MONTH(CHOOSE({1,2,3,4},NĐ!T109,NĐ!X109,NĐ!AB109,NĐ!AF109))=12)*(CHOOSE({1,2,3,4},NĐ!W109,NĐ!AA109,NĐ!AE109,NĐ!AI109)))</f>
        <v>0</v>
      </c>
    </row>
    <row r="110" spans="1:12">
      <c r="A110">
        <f>SUMPRODUCT((MONTH(CHOOSE({1,2,3,4},NĐ!T110,NĐ!X110,NĐ!AB110,NĐ!AF110))=1)*(CHOOSE({1,2,3,4},NĐ!W110,NĐ!AA110,NĐ!AE110,NĐ!AI110)))</f>
        <v>0</v>
      </c>
      <c r="B110">
        <f>SUMPRODUCT((MONTH(CHOOSE({1,2,3,4},NĐ!T110,NĐ!X110,NĐ!AB110,NĐ!AF110))=2)*(CHOOSE({1,2,3,4},NĐ!W110,NĐ!AA110,NĐ!AE110,NĐ!AI110)))</f>
        <v>0</v>
      </c>
      <c r="C110">
        <f>SUMPRODUCT((MONTH(CHOOSE({1,2,3,4},NĐ!T110,NĐ!X110,NĐ!AB110,NĐ!AF110))=3)*(CHOOSE({1,2,3,4},NĐ!W110,NĐ!AA110,NĐ!AE110,NĐ!AI110)))</f>
        <v>0</v>
      </c>
      <c r="D110">
        <f>SUMPRODUCT((MONTH(CHOOSE({1,2,3,4},NĐ!T110,NĐ!X110,NĐ!AB110,NĐ!AF110))=4)*(CHOOSE({1,2,3,4},NĐ!W110,NĐ!AA110,NĐ!AE110,NĐ!AI110)))</f>
        <v>0</v>
      </c>
      <c r="E110">
        <f>SUMPRODUCT((MONTH(CHOOSE({1,2,3,4},NĐ!T110,NĐ!X110,NĐ!AB110,NĐ!AF110))=5)*(CHOOSE({1,2,3,4},NĐ!W110,NĐ!AA110,NĐ!AE110,NĐ!AI110)))</f>
        <v>0</v>
      </c>
      <c r="F110">
        <f>SUMPRODUCT((MONTH(CHOOSE({1,2,3,4},NĐ!T110,NĐ!X110,NĐ!AB110,NĐ!AF110))=6)*(CHOOSE({1,2,3,4},NĐ!W110,NĐ!AA110,NĐ!AE110,NĐ!AI110)))</f>
        <v>0</v>
      </c>
      <c r="G110">
        <f>SUMPRODUCT((MONTH(CHOOSE({1,2,3,4},NĐ!T110,NĐ!X110,NĐ!AB110,NĐ!AF110))=7)*(CHOOSE({1,2,3,4},NĐ!W110,NĐ!AA110,NĐ!AE110,NĐ!AI110)))</f>
        <v>0</v>
      </c>
      <c r="H110">
        <f>SUMPRODUCT((MONTH(CHOOSE({1,2,3,4},NĐ!T110,NĐ!X110,NĐ!AB110,NĐ!AF110))=8)*(CHOOSE({1,2,3,4},NĐ!W110,NĐ!AA110,NĐ!AE110,NĐ!AI110)))</f>
        <v>0</v>
      </c>
      <c r="I110">
        <f>SUMPRODUCT((MONTH(CHOOSE({1,2,3,4},NĐ!T110,NĐ!X110,NĐ!AB110,NĐ!AF110))=9)*(CHOOSE({1,2,3,4},NĐ!W110,NĐ!AA110,NĐ!AE110,NĐ!AI110)))</f>
        <v>0</v>
      </c>
      <c r="J110">
        <f>SUMPRODUCT((MONTH(CHOOSE({1,2,3,4},NĐ!T110,NĐ!X110,NĐ!AB110,NĐ!AF110))=10)*(CHOOSE({1,2,3,4},NĐ!W110,NĐ!AA110,NĐ!AE110,NĐ!AI110)))</f>
        <v>0</v>
      </c>
      <c r="K110">
        <f>SUMPRODUCT((MONTH(CHOOSE({1,2,3,4},NĐ!T110,NĐ!X110,NĐ!AB110,NĐ!AF110))=11)*(CHOOSE({1,2,3,4},NĐ!W110,NĐ!AA110,NĐ!AE110,NĐ!AI110)))</f>
        <v>0</v>
      </c>
      <c r="L110">
        <f>SUMPRODUCT((MONTH(CHOOSE({1,2,3,4},NĐ!T110,NĐ!X110,NĐ!AB110,NĐ!AF110))=12)*(CHOOSE({1,2,3,4},NĐ!W110,NĐ!AA110,NĐ!AE110,NĐ!AI110)))</f>
        <v>0</v>
      </c>
    </row>
    <row r="111" spans="1:12">
      <c r="A111">
        <f>SUMPRODUCT((MONTH(CHOOSE({1,2,3,4},NĐ!T111,NĐ!X111,NĐ!AB111,NĐ!AF111))=1)*(CHOOSE({1,2,3,4},NĐ!W111,NĐ!AA111,NĐ!AE111,NĐ!AI111)))</f>
        <v>0</v>
      </c>
      <c r="B111">
        <f>SUMPRODUCT((MONTH(CHOOSE({1,2,3,4},NĐ!T111,NĐ!X111,NĐ!AB111,NĐ!AF111))=2)*(CHOOSE({1,2,3,4},NĐ!W111,NĐ!AA111,NĐ!AE111,NĐ!AI111)))</f>
        <v>0</v>
      </c>
      <c r="C111">
        <f>SUMPRODUCT((MONTH(CHOOSE({1,2,3,4},NĐ!T111,NĐ!X111,NĐ!AB111,NĐ!AF111))=3)*(CHOOSE({1,2,3,4},NĐ!W111,NĐ!AA111,NĐ!AE111,NĐ!AI111)))</f>
        <v>0</v>
      </c>
      <c r="D111">
        <f>SUMPRODUCT((MONTH(CHOOSE({1,2,3,4},NĐ!T111,NĐ!X111,NĐ!AB111,NĐ!AF111))=4)*(CHOOSE({1,2,3,4},NĐ!W111,NĐ!AA111,NĐ!AE111,NĐ!AI111)))</f>
        <v>0</v>
      </c>
      <c r="E111">
        <f>SUMPRODUCT((MONTH(CHOOSE({1,2,3,4},NĐ!T111,NĐ!X111,NĐ!AB111,NĐ!AF111))=5)*(CHOOSE({1,2,3,4},NĐ!W111,NĐ!AA111,NĐ!AE111,NĐ!AI111)))</f>
        <v>0</v>
      </c>
      <c r="F111">
        <f>SUMPRODUCT((MONTH(CHOOSE({1,2,3,4},NĐ!T111,NĐ!X111,NĐ!AB111,NĐ!AF111))=6)*(CHOOSE({1,2,3,4},NĐ!W111,NĐ!AA111,NĐ!AE111,NĐ!AI111)))</f>
        <v>0</v>
      </c>
      <c r="G111">
        <f>SUMPRODUCT((MONTH(CHOOSE({1,2,3,4},NĐ!T111,NĐ!X111,NĐ!AB111,NĐ!AF111))=7)*(CHOOSE({1,2,3,4},NĐ!W111,NĐ!AA111,NĐ!AE111,NĐ!AI111)))</f>
        <v>0</v>
      </c>
      <c r="H111">
        <f>SUMPRODUCT((MONTH(CHOOSE({1,2,3,4},NĐ!T111,NĐ!X111,NĐ!AB111,NĐ!AF111))=8)*(CHOOSE({1,2,3,4},NĐ!W111,NĐ!AA111,NĐ!AE111,NĐ!AI111)))</f>
        <v>0</v>
      </c>
      <c r="I111">
        <f>SUMPRODUCT((MONTH(CHOOSE({1,2,3,4},NĐ!T111,NĐ!X111,NĐ!AB111,NĐ!AF111))=9)*(CHOOSE({1,2,3,4},NĐ!W111,NĐ!AA111,NĐ!AE111,NĐ!AI111)))</f>
        <v>0</v>
      </c>
      <c r="J111">
        <f>SUMPRODUCT((MONTH(CHOOSE({1,2,3,4},NĐ!T111,NĐ!X111,NĐ!AB111,NĐ!AF111))=10)*(CHOOSE({1,2,3,4},NĐ!W111,NĐ!AA111,NĐ!AE111,NĐ!AI111)))</f>
        <v>0</v>
      </c>
      <c r="K111">
        <f>SUMPRODUCT((MONTH(CHOOSE({1,2,3,4},NĐ!T111,NĐ!X111,NĐ!AB111,NĐ!AF111))=11)*(CHOOSE({1,2,3,4},NĐ!W111,NĐ!AA111,NĐ!AE111,NĐ!AI111)))</f>
        <v>0</v>
      </c>
      <c r="L111">
        <f>SUMPRODUCT((MONTH(CHOOSE({1,2,3,4},NĐ!T111,NĐ!X111,NĐ!AB111,NĐ!AF111))=12)*(CHOOSE({1,2,3,4},NĐ!W111,NĐ!AA111,NĐ!AE111,NĐ!AI111)))</f>
        <v>0</v>
      </c>
    </row>
    <row r="112" spans="1:12">
      <c r="A112">
        <f>SUMPRODUCT((MONTH(CHOOSE({1,2,3,4},NĐ!T112,NĐ!X112,NĐ!AB112,NĐ!AF112))=1)*(CHOOSE({1,2,3,4},NĐ!W112,NĐ!AA112,NĐ!AE112,NĐ!AI112)))</f>
        <v>0</v>
      </c>
      <c r="B112">
        <f>SUMPRODUCT((MONTH(CHOOSE({1,2,3,4},NĐ!T112,NĐ!X112,NĐ!AB112,NĐ!AF112))=2)*(CHOOSE({1,2,3,4},NĐ!W112,NĐ!AA112,NĐ!AE112,NĐ!AI112)))</f>
        <v>0</v>
      </c>
      <c r="C112">
        <f>SUMPRODUCT((MONTH(CHOOSE({1,2,3,4},NĐ!T112,NĐ!X112,NĐ!AB112,NĐ!AF112))=3)*(CHOOSE({1,2,3,4},NĐ!W112,NĐ!AA112,NĐ!AE112,NĐ!AI112)))</f>
        <v>0</v>
      </c>
      <c r="D112">
        <f>SUMPRODUCT((MONTH(CHOOSE({1,2,3,4},NĐ!T112,NĐ!X112,NĐ!AB112,NĐ!AF112))=4)*(CHOOSE({1,2,3,4},NĐ!W112,NĐ!AA112,NĐ!AE112,NĐ!AI112)))</f>
        <v>0</v>
      </c>
      <c r="E112">
        <f>SUMPRODUCT((MONTH(CHOOSE({1,2,3,4},NĐ!T112,NĐ!X112,NĐ!AB112,NĐ!AF112))=5)*(CHOOSE({1,2,3,4},NĐ!W112,NĐ!AA112,NĐ!AE112,NĐ!AI112)))</f>
        <v>0</v>
      </c>
      <c r="F112">
        <f>SUMPRODUCT((MONTH(CHOOSE({1,2,3,4},NĐ!T112,NĐ!X112,NĐ!AB112,NĐ!AF112))=6)*(CHOOSE({1,2,3,4},NĐ!W112,NĐ!AA112,NĐ!AE112,NĐ!AI112)))</f>
        <v>0</v>
      </c>
      <c r="G112">
        <f>SUMPRODUCT((MONTH(CHOOSE({1,2,3,4},NĐ!T112,NĐ!X112,NĐ!AB112,NĐ!AF112))=7)*(CHOOSE({1,2,3,4},NĐ!W112,NĐ!AA112,NĐ!AE112,NĐ!AI112)))</f>
        <v>0</v>
      </c>
      <c r="H112">
        <f>SUMPRODUCT((MONTH(CHOOSE({1,2,3,4},NĐ!T112,NĐ!X112,NĐ!AB112,NĐ!AF112))=8)*(CHOOSE({1,2,3,4},NĐ!W112,NĐ!AA112,NĐ!AE112,NĐ!AI112)))</f>
        <v>0</v>
      </c>
      <c r="I112">
        <f>SUMPRODUCT((MONTH(CHOOSE({1,2,3,4},NĐ!T112,NĐ!X112,NĐ!AB112,NĐ!AF112))=9)*(CHOOSE({1,2,3,4},NĐ!W112,NĐ!AA112,NĐ!AE112,NĐ!AI112)))</f>
        <v>0</v>
      </c>
      <c r="J112">
        <f>SUMPRODUCT((MONTH(CHOOSE({1,2,3,4},NĐ!T112,NĐ!X112,NĐ!AB112,NĐ!AF112))=10)*(CHOOSE({1,2,3,4},NĐ!W112,NĐ!AA112,NĐ!AE112,NĐ!AI112)))</f>
        <v>0</v>
      </c>
      <c r="K112">
        <f>SUMPRODUCT((MONTH(CHOOSE({1,2,3,4},NĐ!T112,NĐ!X112,NĐ!AB112,NĐ!AF112))=11)*(CHOOSE({1,2,3,4},NĐ!W112,NĐ!AA112,NĐ!AE112,NĐ!AI112)))</f>
        <v>0</v>
      </c>
      <c r="L112">
        <f>SUMPRODUCT((MONTH(CHOOSE({1,2,3,4},NĐ!T112,NĐ!X112,NĐ!AB112,NĐ!AF112))=12)*(CHOOSE({1,2,3,4},NĐ!W112,NĐ!AA112,NĐ!AE112,NĐ!AI112)))</f>
        <v>0</v>
      </c>
    </row>
    <row r="113" spans="1:12">
      <c r="A113">
        <f>SUMPRODUCT((MONTH(CHOOSE({1,2,3,4},NĐ!T113,NĐ!X113,NĐ!AB113,NĐ!AF113))=1)*(CHOOSE({1,2,3,4},NĐ!W113,NĐ!AA113,NĐ!AE113,NĐ!AI113)))</f>
        <v>0</v>
      </c>
      <c r="B113">
        <f>SUMPRODUCT((MONTH(CHOOSE({1,2,3,4},NĐ!T113,NĐ!X113,NĐ!AB113,NĐ!AF113))=2)*(CHOOSE({1,2,3,4},NĐ!W113,NĐ!AA113,NĐ!AE113,NĐ!AI113)))</f>
        <v>0</v>
      </c>
      <c r="C113">
        <f>SUMPRODUCT((MONTH(CHOOSE({1,2,3,4},NĐ!T113,NĐ!X113,NĐ!AB113,NĐ!AF113))=3)*(CHOOSE({1,2,3,4},NĐ!W113,NĐ!AA113,NĐ!AE113,NĐ!AI113)))</f>
        <v>0</v>
      </c>
      <c r="D113">
        <f>SUMPRODUCT((MONTH(CHOOSE({1,2,3,4},NĐ!T113,NĐ!X113,NĐ!AB113,NĐ!AF113))=4)*(CHOOSE({1,2,3,4},NĐ!W113,NĐ!AA113,NĐ!AE113,NĐ!AI113)))</f>
        <v>0</v>
      </c>
      <c r="E113">
        <f>SUMPRODUCT((MONTH(CHOOSE({1,2,3,4},NĐ!T113,NĐ!X113,NĐ!AB113,NĐ!AF113))=5)*(CHOOSE({1,2,3,4},NĐ!W113,NĐ!AA113,NĐ!AE113,NĐ!AI113)))</f>
        <v>0</v>
      </c>
      <c r="F113">
        <f>SUMPRODUCT((MONTH(CHOOSE({1,2,3,4},NĐ!T113,NĐ!X113,NĐ!AB113,NĐ!AF113))=6)*(CHOOSE({1,2,3,4},NĐ!W113,NĐ!AA113,NĐ!AE113,NĐ!AI113)))</f>
        <v>0</v>
      </c>
      <c r="G113">
        <f>SUMPRODUCT((MONTH(CHOOSE({1,2,3,4},NĐ!T113,NĐ!X113,NĐ!AB113,NĐ!AF113))=7)*(CHOOSE({1,2,3,4},NĐ!W113,NĐ!AA113,NĐ!AE113,NĐ!AI113)))</f>
        <v>0</v>
      </c>
      <c r="H113">
        <f>SUMPRODUCT((MONTH(CHOOSE({1,2,3,4},NĐ!T113,NĐ!X113,NĐ!AB113,NĐ!AF113))=8)*(CHOOSE({1,2,3,4},NĐ!W113,NĐ!AA113,NĐ!AE113,NĐ!AI113)))</f>
        <v>0</v>
      </c>
      <c r="I113">
        <f>SUMPRODUCT((MONTH(CHOOSE({1,2,3,4},NĐ!T113,NĐ!X113,NĐ!AB113,NĐ!AF113))=9)*(CHOOSE({1,2,3,4},NĐ!W113,NĐ!AA113,NĐ!AE113,NĐ!AI113)))</f>
        <v>0</v>
      </c>
      <c r="J113">
        <f>SUMPRODUCT((MONTH(CHOOSE({1,2,3,4},NĐ!T113,NĐ!X113,NĐ!AB113,NĐ!AF113))=10)*(CHOOSE({1,2,3,4},NĐ!W113,NĐ!AA113,NĐ!AE113,NĐ!AI113)))</f>
        <v>0</v>
      </c>
      <c r="K113">
        <f>SUMPRODUCT((MONTH(CHOOSE({1,2,3,4},NĐ!T113,NĐ!X113,NĐ!AB113,NĐ!AF113))=11)*(CHOOSE({1,2,3,4},NĐ!W113,NĐ!AA113,NĐ!AE113,NĐ!AI113)))</f>
        <v>0</v>
      </c>
      <c r="L113">
        <f>SUMPRODUCT((MONTH(CHOOSE({1,2,3,4},NĐ!T113,NĐ!X113,NĐ!AB113,NĐ!AF113))=12)*(CHOOSE({1,2,3,4},NĐ!W113,NĐ!AA113,NĐ!AE113,NĐ!AI113)))</f>
        <v>0</v>
      </c>
    </row>
    <row r="114" spans="1:12">
      <c r="A114">
        <f>SUMPRODUCT((MONTH(CHOOSE({1,2,3,4},NĐ!T114,NĐ!X114,NĐ!AB114,NĐ!AF114))=1)*(CHOOSE({1,2,3,4},NĐ!W114,NĐ!AA114,NĐ!AE114,NĐ!AI114)))</f>
        <v>0</v>
      </c>
      <c r="B114">
        <f>SUMPRODUCT((MONTH(CHOOSE({1,2,3,4},NĐ!T114,NĐ!X114,NĐ!AB114,NĐ!AF114))=2)*(CHOOSE({1,2,3,4},NĐ!W114,NĐ!AA114,NĐ!AE114,NĐ!AI114)))</f>
        <v>0</v>
      </c>
      <c r="C114">
        <f>SUMPRODUCT((MONTH(CHOOSE({1,2,3,4},NĐ!T114,NĐ!X114,NĐ!AB114,NĐ!AF114))=3)*(CHOOSE({1,2,3,4},NĐ!W114,NĐ!AA114,NĐ!AE114,NĐ!AI114)))</f>
        <v>0</v>
      </c>
      <c r="D114">
        <f>SUMPRODUCT((MONTH(CHOOSE({1,2,3,4},NĐ!T114,NĐ!X114,NĐ!AB114,NĐ!AF114))=4)*(CHOOSE({1,2,3,4},NĐ!W114,NĐ!AA114,NĐ!AE114,NĐ!AI114)))</f>
        <v>0</v>
      </c>
      <c r="E114">
        <f>SUMPRODUCT((MONTH(CHOOSE({1,2,3,4},NĐ!T114,NĐ!X114,NĐ!AB114,NĐ!AF114))=5)*(CHOOSE({1,2,3,4},NĐ!W114,NĐ!AA114,NĐ!AE114,NĐ!AI114)))</f>
        <v>0</v>
      </c>
      <c r="F114">
        <f>SUMPRODUCT((MONTH(CHOOSE({1,2,3,4},NĐ!T114,NĐ!X114,NĐ!AB114,NĐ!AF114))=6)*(CHOOSE({1,2,3,4},NĐ!W114,NĐ!AA114,NĐ!AE114,NĐ!AI114)))</f>
        <v>0</v>
      </c>
      <c r="G114">
        <f>SUMPRODUCT((MONTH(CHOOSE({1,2,3,4},NĐ!T114,NĐ!X114,NĐ!AB114,NĐ!AF114))=7)*(CHOOSE({1,2,3,4},NĐ!W114,NĐ!AA114,NĐ!AE114,NĐ!AI114)))</f>
        <v>0</v>
      </c>
      <c r="H114">
        <f>SUMPRODUCT((MONTH(CHOOSE({1,2,3,4},NĐ!T114,NĐ!X114,NĐ!AB114,NĐ!AF114))=8)*(CHOOSE({1,2,3,4},NĐ!W114,NĐ!AA114,NĐ!AE114,NĐ!AI114)))</f>
        <v>0</v>
      </c>
      <c r="I114">
        <f>SUMPRODUCT((MONTH(CHOOSE({1,2,3,4},NĐ!T114,NĐ!X114,NĐ!AB114,NĐ!AF114))=9)*(CHOOSE({1,2,3,4},NĐ!W114,NĐ!AA114,NĐ!AE114,NĐ!AI114)))</f>
        <v>0</v>
      </c>
      <c r="J114">
        <f>SUMPRODUCT((MONTH(CHOOSE({1,2,3,4},NĐ!T114,NĐ!X114,NĐ!AB114,NĐ!AF114))=10)*(CHOOSE({1,2,3,4},NĐ!W114,NĐ!AA114,NĐ!AE114,NĐ!AI114)))</f>
        <v>0</v>
      </c>
      <c r="K114">
        <f>SUMPRODUCT((MONTH(CHOOSE({1,2,3,4},NĐ!T114,NĐ!X114,NĐ!AB114,NĐ!AF114))=11)*(CHOOSE({1,2,3,4},NĐ!W114,NĐ!AA114,NĐ!AE114,NĐ!AI114)))</f>
        <v>0</v>
      </c>
      <c r="L114">
        <f>SUMPRODUCT((MONTH(CHOOSE({1,2,3,4},NĐ!T114,NĐ!X114,NĐ!AB114,NĐ!AF114))=12)*(CHOOSE({1,2,3,4},NĐ!W114,NĐ!AA114,NĐ!AE114,NĐ!AI114)))</f>
        <v>0</v>
      </c>
    </row>
    <row r="115" spans="1:12">
      <c r="A115">
        <f>SUMPRODUCT((MONTH(CHOOSE({1,2,3,4},NĐ!T115,NĐ!X115,NĐ!AB115,NĐ!AF115))=1)*(CHOOSE({1,2,3,4},NĐ!W115,NĐ!AA115,NĐ!AE115,NĐ!AI115)))</f>
        <v>0</v>
      </c>
      <c r="B115">
        <f>SUMPRODUCT((MONTH(CHOOSE({1,2,3,4},NĐ!T115,NĐ!X115,NĐ!AB115,NĐ!AF115))=2)*(CHOOSE({1,2,3,4},NĐ!W115,NĐ!AA115,NĐ!AE115,NĐ!AI115)))</f>
        <v>0</v>
      </c>
      <c r="C115">
        <f>SUMPRODUCT((MONTH(CHOOSE({1,2,3,4},NĐ!T115,NĐ!X115,NĐ!AB115,NĐ!AF115))=3)*(CHOOSE({1,2,3,4},NĐ!W115,NĐ!AA115,NĐ!AE115,NĐ!AI115)))</f>
        <v>0</v>
      </c>
      <c r="D115">
        <f>SUMPRODUCT((MONTH(CHOOSE({1,2,3,4},NĐ!T115,NĐ!X115,NĐ!AB115,NĐ!AF115))=4)*(CHOOSE({1,2,3,4},NĐ!W115,NĐ!AA115,NĐ!AE115,NĐ!AI115)))</f>
        <v>0</v>
      </c>
      <c r="E115">
        <f>SUMPRODUCT((MONTH(CHOOSE({1,2,3,4},NĐ!T115,NĐ!X115,NĐ!AB115,NĐ!AF115))=5)*(CHOOSE({1,2,3,4},NĐ!W115,NĐ!AA115,NĐ!AE115,NĐ!AI115)))</f>
        <v>0</v>
      </c>
      <c r="F115">
        <f>SUMPRODUCT((MONTH(CHOOSE({1,2,3,4},NĐ!T115,NĐ!X115,NĐ!AB115,NĐ!AF115))=6)*(CHOOSE({1,2,3,4},NĐ!W115,NĐ!AA115,NĐ!AE115,NĐ!AI115)))</f>
        <v>0</v>
      </c>
      <c r="G115">
        <f>SUMPRODUCT((MONTH(CHOOSE({1,2,3,4},NĐ!T115,NĐ!X115,NĐ!AB115,NĐ!AF115))=7)*(CHOOSE({1,2,3,4},NĐ!W115,NĐ!AA115,NĐ!AE115,NĐ!AI115)))</f>
        <v>0</v>
      </c>
      <c r="H115">
        <f>SUMPRODUCT((MONTH(CHOOSE({1,2,3,4},NĐ!T115,NĐ!X115,NĐ!AB115,NĐ!AF115))=8)*(CHOOSE({1,2,3,4},NĐ!W115,NĐ!AA115,NĐ!AE115,NĐ!AI115)))</f>
        <v>0</v>
      </c>
      <c r="I115">
        <f>SUMPRODUCT((MONTH(CHOOSE({1,2,3,4},NĐ!T115,NĐ!X115,NĐ!AB115,NĐ!AF115))=9)*(CHOOSE({1,2,3,4},NĐ!W115,NĐ!AA115,NĐ!AE115,NĐ!AI115)))</f>
        <v>0</v>
      </c>
      <c r="J115">
        <f>SUMPRODUCT((MONTH(CHOOSE({1,2,3,4},NĐ!T115,NĐ!X115,NĐ!AB115,NĐ!AF115))=10)*(CHOOSE({1,2,3,4},NĐ!W115,NĐ!AA115,NĐ!AE115,NĐ!AI115)))</f>
        <v>0</v>
      </c>
      <c r="K115">
        <f>SUMPRODUCT((MONTH(CHOOSE({1,2,3,4},NĐ!T115,NĐ!X115,NĐ!AB115,NĐ!AF115))=11)*(CHOOSE({1,2,3,4},NĐ!W115,NĐ!AA115,NĐ!AE115,NĐ!AI115)))</f>
        <v>0</v>
      </c>
      <c r="L115">
        <f>SUMPRODUCT((MONTH(CHOOSE({1,2,3,4},NĐ!T115,NĐ!X115,NĐ!AB115,NĐ!AF115))=12)*(CHOOSE({1,2,3,4},NĐ!W115,NĐ!AA115,NĐ!AE115,NĐ!AI115)))</f>
        <v>0</v>
      </c>
    </row>
    <row r="116" spans="1:12">
      <c r="A116">
        <f>SUMPRODUCT((MONTH(CHOOSE({1,2,3,4},NĐ!T116,NĐ!X116,NĐ!AB116,NĐ!AF116))=1)*(CHOOSE({1,2,3,4},NĐ!W116,NĐ!AA116,NĐ!AE116,NĐ!AI116)))</f>
        <v>0</v>
      </c>
      <c r="B116">
        <f>SUMPRODUCT((MONTH(CHOOSE({1,2,3,4},NĐ!T116,NĐ!X116,NĐ!AB116,NĐ!AF116))=2)*(CHOOSE({1,2,3,4},NĐ!W116,NĐ!AA116,NĐ!AE116,NĐ!AI116)))</f>
        <v>0</v>
      </c>
      <c r="C116">
        <f>SUMPRODUCT((MONTH(CHOOSE({1,2,3,4},NĐ!T116,NĐ!X116,NĐ!AB116,NĐ!AF116))=3)*(CHOOSE({1,2,3,4},NĐ!W116,NĐ!AA116,NĐ!AE116,NĐ!AI116)))</f>
        <v>0</v>
      </c>
      <c r="D116">
        <f>SUMPRODUCT((MONTH(CHOOSE({1,2,3,4},NĐ!T116,NĐ!X116,NĐ!AB116,NĐ!AF116))=4)*(CHOOSE({1,2,3,4},NĐ!W116,NĐ!AA116,NĐ!AE116,NĐ!AI116)))</f>
        <v>0</v>
      </c>
      <c r="E116">
        <f>SUMPRODUCT((MONTH(CHOOSE({1,2,3,4},NĐ!T116,NĐ!X116,NĐ!AB116,NĐ!AF116))=5)*(CHOOSE({1,2,3,4},NĐ!W116,NĐ!AA116,NĐ!AE116,NĐ!AI116)))</f>
        <v>0</v>
      </c>
      <c r="F116">
        <f>SUMPRODUCT((MONTH(CHOOSE({1,2,3,4},NĐ!T116,NĐ!X116,NĐ!AB116,NĐ!AF116))=6)*(CHOOSE({1,2,3,4},NĐ!W116,NĐ!AA116,NĐ!AE116,NĐ!AI116)))</f>
        <v>0</v>
      </c>
      <c r="G116">
        <f>SUMPRODUCT((MONTH(CHOOSE({1,2,3,4},NĐ!T116,NĐ!X116,NĐ!AB116,NĐ!AF116))=7)*(CHOOSE({1,2,3,4},NĐ!W116,NĐ!AA116,NĐ!AE116,NĐ!AI116)))</f>
        <v>0</v>
      </c>
      <c r="H116">
        <f>SUMPRODUCT((MONTH(CHOOSE({1,2,3,4},NĐ!T116,NĐ!X116,NĐ!AB116,NĐ!AF116))=8)*(CHOOSE({1,2,3,4},NĐ!W116,NĐ!AA116,NĐ!AE116,NĐ!AI116)))</f>
        <v>0</v>
      </c>
      <c r="I116">
        <f>SUMPRODUCT((MONTH(CHOOSE({1,2,3,4},NĐ!T116,NĐ!X116,NĐ!AB116,NĐ!AF116))=9)*(CHOOSE({1,2,3,4},NĐ!W116,NĐ!AA116,NĐ!AE116,NĐ!AI116)))</f>
        <v>0</v>
      </c>
      <c r="J116">
        <f>SUMPRODUCT((MONTH(CHOOSE({1,2,3,4},NĐ!T116,NĐ!X116,NĐ!AB116,NĐ!AF116))=10)*(CHOOSE({1,2,3,4},NĐ!W116,NĐ!AA116,NĐ!AE116,NĐ!AI116)))</f>
        <v>0</v>
      </c>
      <c r="K116">
        <f>SUMPRODUCT((MONTH(CHOOSE({1,2,3,4},NĐ!T116,NĐ!X116,NĐ!AB116,NĐ!AF116))=11)*(CHOOSE({1,2,3,4},NĐ!W116,NĐ!AA116,NĐ!AE116,NĐ!AI116)))</f>
        <v>0</v>
      </c>
      <c r="L116">
        <f>SUMPRODUCT((MONTH(CHOOSE({1,2,3,4},NĐ!T116,NĐ!X116,NĐ!AB116,NĐ!AF116))=12)*(CHOOSE({1,2,3,4},NĐ!W116,NĐ!AA116,NĐ!AE116,NĐ!AI116)))</f>
        <v>0</v>
      </c>
    </row>
    <row r="117" spans="1:12">
      <c r="A117">
        <f>SUMPRODUCT((MONTH(CHOOSE({1,2,3,4},NĐ!T117,NĐ!X117,NĐ!AB117,NĐ!AF117))=1)*(CHOOSE({1,2,3,4},NĐ!W117,NĐ!AA117,NĐ!AE117,NĐ!AI117)))</f>
        <v>0</v>
      </c>
      <c r="B117">
        <f>SUMPRODUCT((MONTH(CHOOSE({1,2,3,4},NĐ!T117,NĐ!X117,NĐ!AB117,NĐ!AF117))=2)*(CHOOSE({1,2,3,4},NĐ!W117,NĐ!AA117,NĐ!AE117,NĐ!AI117)))</f>
        <v>0</v>
      </c>
      <c r="C117">
        <f>SUMPRODUCT((MONTH(CHOOSE({1,2,3,4},NĐ!T117,NĐ!X117,NĐ!AB117,NĐ!AF117))=3)*(CHOOSE({1,2,3,4},NĐ!W117,NĐ!AA117,NĐ!AE117,NĐ!AI117)))</f>
        <v>0</v>
      </c>
      <c r="D117">
        <f>SUMPRODUCT((MONTH(CHOOSE({1,2,3,4},NĐ!T117,NĐ!X117,NĐ!AB117,NĐ!AF117))=4)*(CHOOSE({1,2,3,4},NĐ!W117,NĐ!AA117,NĐ!AE117,NĐ!AI117)))</f>
        <v>0</v>
      </c>
      <c r="E117">
        <f>SUMPRODUCT((MONTH(CHOOSE({1,2,3,4},NĐ!T117,NĐ!X117,NĐ!AB117,NĐ!AF117))=5)*(CHOOSE({1,2,3,4},NĐ!W117,NĐ!AA117,NĐ!AE117,NĐ!AI117)))</f>
        <v>0</v>
      </c>
      <c r="F117">
        <f>SUMPRODUCT((MONTH(CHOOSE({1,2,3,4},NĐ!T117,NĐ!X117,NĐ!AB117,NĐ!AF117))=6)*(CHOOSE({1,2,3,4},NĐ!W117,NĐ!AA117,NĐ!AE117,NĐ!AI117)))</f>
        <v>0</v>
      </c>
      <c r="G117">
        <f>SUMPRODUCT((MONTH(CHOOSE({1,2,3,4},NĐ!T117,NĐ!X117,NĐ!AB117,NĐ!AF117))=7)*(CHOOSE({1,2,3,4},NĐ!W117,NĐ!AA117,NĐ!AE117,NĐ!AI117)))</f>
        <v>0</v>
      </c>
      <c r="H117">
        <f>SUMPRODUCT((MONTH(CHOOSE({1,2,3,4},NĐ!T117,NĐ!X117,NĐ!AB117,NĐ!AF117))=8)*(CHOOSE({1,2,3,4},NĐ!W117,NĐ!AA117,NĐ!AE117,NĐ!AI117)))</f>
        <v>0</v>
      </c>
      <c r="I117">
        <f>SUMPRODUCT((MONTH(CHOOSE({1,2,3,4},NĐ!T117,NĐ!X117,NĐ!AB117,NĐ!AF117))=9)*(CHOOSE({1,2,3,4},NĐ!W117,NĐ!AA117,NĐ!AE117,NĐ!AI117)))</f>
        <v>0</v>
      </c>
      <c r="J117">
        <f>SUMPRODUCT((MONTH(CHOOSE({1,2,3,4},NĐ!T117,NĐ!X117,NĐ!AB117,NĐ!AF117))=10)*(CHOOSE({1,2,3,4},NĐ!W117,NĐ!AA117,NĐ!AE117,NĐ!AI117)))</f>
        <v>0</v>
      </c>
      <c r="K117">
        <f>SUMPRODUCT((MONTH(CHOOSE({1,2,3,4},NĐ!T117,NĐ!X117,NĐ!AB117,NĐ!AF117))=11)*(CHOOSE({1,2,3,4},NĐ!W117,NĐ!AA117,NĐ!AE117,NĐ!AI117)))</f>
        <v>0</v>
      </c>
      <c r="L117">
        <f>SUMPRODUCT((MONTH(CHOOSE({1,2,3,4},NĐ!T117,NĐ!X117,NĐ!AB117,NĐ!AF117))=12)*(CHOOSE({1,2,3,4},NĐ!W117,NĐ!AA117,NĐ!AE117,NĐ!AI117)))</f>
        <v>0</v>
      </c>
    </row>
    <row r="118" spans="1:12">
      <c r="A118">
        <f>SUMPRODUCT((MONTH(CHOOSE({1,2,3,4},NĐ!T118,NĐ!X118,NĐ!AB118,NĐ!AF118))=1)*(CHOOSE({1,2,3,4},NĐ!W118,NĐ!AA118,NĐ!AE118,NĐ!AI118)))</f>
        <v>0</v>
      </c>
      <c r="B118">
        <f>SUMPRODUCT((MONTH(CHOOSE({1,2,3,4},NĐ!T118,NĐ!X118,NĐ!AB118,NĐ!AF118))=2)*(CHOOSE({1,2,3,4},NĐ!W118,NĐ!AA118,NĐ!AE118,NĐ!AI118)))</f>
        <v>0</v>
      </c>
      <c r="C118">
        <f>SUMPRODUCT((MONTH(CHOOSE({1,2,3,4},NĐ!T118,NĐ!X118,NĐ!AB118,NĐ!AF118))=3)*(CHOOSE({1,2,3,4},NĐ!W118,NĐ!AA118,NĐ!AE118,NĐ!AI118)))</f>
        <v>0</v>
      </c>
      <c r="D118">
        <f>SUMPRODUCT((MONTH(CHOOSE({1,2,3,4},NĐ!T118,NĐ!X118,NĐ!AB118,NĐ!AF118))=4)*(CHOOSE({1,2,3,4},NĐ!W118,NĐ!AA118,NĐ!AE118,NĐ!AI118)))</f>
        <v>0</v>
      </c>
      <c r="E118">
        <f>SUMPRODUCT((MONTH(CHOOSE({1,2,3,4},NĐ!T118,NĐ!X118,NĐ!AB118,NĐ!AF118))=5)*(CHOOSE({1,2,3,4},NĐ!W118,NĐ!AA118,NĐ!AE118,NĐ!AI118)))</f>
        <v>0</v>
      </c>
      <c r="F118">
        <f>SUMPRODUCT((MONTH(CHOOSE({1,2,3,4},NĐ!T118,NĐ!X118,NĐ!AB118,NĐ!AF118))=6)*(CHOOSE({1,2,3,4},NĐ!W118,NĐ!AA118,NĐ!AE118,NĐ!AI118)))</f>
        <v>0</v>
      </c>
      <c r="G118">
        <f>SUMPRODUCT((MONTH(CHOOSE({1,2,3,4},NĐ!T118,NĐ!X118,NĐ!AB118,NĐ!AF118))=7)*(CHOOSE({1,2,3,4},NĐ!W118,NĐ!AA118,NĐ!AE118,NĐ!AI118)))</f>
        <v>0</v>
      </c>
      <c r="H118">
        <f>SUMPRODUCT((MONTH(CHOOSE({1,2,3,4},NĐ!T118,NĐ!X118,NĐ!AB118,NĐ!AF118))=8)*(CHOOSE({1,2,3,4},NĐ!W118,NĐ!AA118,NĐ!AE118,NĐ!AI118)))</f>
        <v>0</v>
      </c>
      <c r="I118">
        <f>SUMPRODUCT((MONTH(CHOOSE({1,2,3,4},NĐ!T118,NĐ!X118,NĐ!AB118,NĐ!AF118))=9)*(CHOOSE({1,2,3,4},NĐ!W118,NĐ!AA118,NĐ!AE118,NĐ!AI118)))</f>
        <v>0</v>
      </c>
      <c r="J118">
        <f>SUMPRODUCT((MONTH(CHOOSE({1,2,3,4},NĐ!T118,NĐ!X118,NĐ!AB118,NĐ!AF118))=10)*(CHOOSE({1,2,3,4},NĐ!W118,NĐ!AA118,NĐ!AE118,NĐ!AI118)))</f>
        <v>0</v>
      </c>
      <c r="K118">
        <f>SUMPRODUCT((MONTH(CHOOSE({1,2,3,4},NĐ!T118,NĐ!X118,NĐ!AB118,NĐ!AF118))=11)*(CHOOSE({1,2,3,4},NĐ!W118,NĐ!AA118,NĐ!AE118,NĐ!AI118)))</f>
        <v>0</v>
      </c>
      <c r="L118">
        <f>SUMPRODUCT((MONTH(CHOOSE({1,2,3,4},NĐ!T118,NĐ!X118,NĐ!AB118,NĐ!AF118))=12)*(CHOOSE({1,2,3,4},NĐ!W118,NĐ!AA118,NĐ!AE118,NĐ!AI118)))</f>
        <v>0</v>
      </c>
    </row>
    <row r="119" spans="1:12">
      <c r="A119">
        <f>SUMPRODUCT((MONTH(CHOOSE({1,2,3,4},NĐ!T119,NĐ!X119,NĐ!AB119,NĐ!AF119))=1)*(CHOOSE({1,2,3,4},NĐ!W119,NĐ!AA119,NĐ!AE119,NĐ!AI119)))</f>
        <v>0</v>
      </c>
      <c r="B119">
        <f>SUMPRODUCT((MONTH(CHOOSE({1,2,3,4},NĐ!T119,NĐ!X119,NĐ!AB119,NĐ!AF119))=2)*(CHOOSE({1,2,3,4},NĐ!W119,NĐ!AA119,NĐ!AE119,NĐ!AI119)))</f>
        <v>0</v>
      </c>
      <c r="C119">
        <f>SUMPRODUCT((MONTH(CHOOSE({1,2,3,4},NĐ!T119,NĐ!X119,NĐ!AB119,NĐ!AF119))=3)*(CHOOSE({1,2,3,4},NĐ!W119,NĐ!AA119,NĐ!AE119,NĐ!AI119)))</f>
        <v>0</v>
      </c>
      <c r="D119">
        <f>SUMPRODUCT((MONTH(CHOOSE({1,2,3,4},NĐ!T119,NĐ!X119,NĐ!AB119,NĐ!AF119))=4)*(CHOOSE({1,2,3,4},NĐ!W119,NĐ!AA119,NĐ!AE119,NĐ!AI119)))</f>
        <v>0</v>
      </c>
      <c r="E119">
        <f>SUMPRODUCT((MONTH(CHOOSE({1,2,3,4},NĐ!T119,NĐ!X119,NĐ!AB119,NĐ!AF119))=5)*(CHOOSE({1,2,3,4},NĐ!W119,NĐ!AA119,NĐ!AE119,NĐ!AI119)))</f>
        <v>0</v>
      </c>
      <c r="F119">
        <f>SUMPRODUCT((MONTH(CHOOSE({1,2,3,4},NĐ!T119,NĐ!X119,NĐ!AB119,NĐ!AF119))=6)*(CHOOSE({1,2,3,4},NĐ!W119,NĐ!AA119,NĐ!AE119,NĐ!AI119)))</f>
        <v>0</v>
      </c>
      <c r="G119">
        <f>SUMPRODUCT((MONTH(CHOOSE({1,2,3,4},NĐ!T119,NĐ!X119,NĐ!AB119,NĐ!AF119))=7)*(CHOOSE({1,2,3,4},NĐ!W119,NĐ!AA119,NĐ!AE119,NĐ!AI119)))</f>
        <v>0</v>
      </c>
      <c r="H119">
        <f>SUMPRODUCT((MONTH(CHOOSE({1,2,3,4},NĐ!T119,NĐ!X119,NĐ!AB119,NĐ!AF119))=8)*(CHOOSE({1,2,3,4},NĐ!W119,NĐ!AA119,NĐ!AE119,NĐ!AI119)))</f>
        <v>0</v>
      </c>
      <c r="I119">
        <f>SUMPRODUCT((MONTH(CHOOSE({1,2,3,4},NĐ!T119,NĐ!X119,NĐ!AB119,NĐ!AF119))=9)*(CHOOSE({1,2,3,4},NĐ!W119,NĐ!AA119,NĐ!AE119,NĐ!AI119)))</f>
        <v>0</v>
      </c>
      <c r="J119">
        <f>SUMPRODUCT((MONTH(CHOOSE({1,2,3,4},NĐ!T119,NĐ!X119,NĐ!AB119,NĐ!AF119))=10)*(CHOOSE({1,2,3,4},NĐ!W119,NĐ!AA119,NĐ!AE119,NĐ!AI119)))</f>
        <v>0</v>
      </c>
      <c r="K119">
        <f>SUMPRODUCT((MONTH(CHOOSE({1,2,3,4},NĐ!T119,NĐ!X119,NĐ!AB119,NĐ!AF119))=11)*(CHOOSE({1,2,3,4},NĐ!W119,NĐ!AA119,NĐ!AE119,NĐ!AI119)))</f>
        <v>0</v>
      </c>
      <c r="L119">
        <f>SUMPRODUCT((MONTH(CHOOSE({1,2,3,4},NĐ!T119,NĐ!X119,NĐ!AB119,NĐ!AF119))=12)*(CHOOSE({1,2,3,4},NĐ!W119,NĐ!AA119,NĐ!AE119,NĐ!AI119)))</f>
        <v>0</v>
      </c>
    </row>
    <row r="120" spans="1:12">
      <c r="A120">
        <f>SUMPRODUCT((MONTH(CHOOSE({1,2,3,4},NĐ!T120,NĐ!X120,NĐ!AB120,NĐ!AF120))=1)*(CHOOSE({1,2,3,4},NĐ!W120,NĐ!AA120,NĐ!AE120,NĐ!AI120)))</f>
        <v>0</v>
      </c>
      <c r="B120">
        <f>SUMPRODUCT((MONTH(CHOOSE({1,2,3,4},NĐ!T120,NĐ!X120,NĐ!AB120,NĐ!AF120))=2)*(CHOOSE({1,2,3,4},NĐ!W120,NĐ!AA120,NĐ!AE120,NĐ!AI120)))</f>
        <v>0</v>
      </c>
      <c r="C120">
        <f>SUMPRODUCT((MONTH(CHOOSE({1,2,3,4},NĐ!T120,NĐ!X120,NĐ!AB120,NĐ!AF120))=3)*(CHOOSE({1,2,3,4},NĐ!W120,NĐ!AA120,NĐ!AE120,NĐ!AI120)))</f>
        <v>0</v>
      </c>
      <c r="D120">
        <f>SUMPRODUCT((MONTH(CHOOSE({1,2,3,4},NĐ!T120,NĐ!X120,NĐ!AB120,NĐ!AF120))=4)*(CHOOSE({1,2,3,4},NĐ!W120,NĐ!AA120,NĐ!AE120,NĐ!AI120)))</f>
        <v>0</v>
      </c>
      <c r="E120">
        <f>SUMPRODUCT((MONTH(CHOOSE({1,2,3,4},NĐ!T120,NĐ!X120,NĐ!AB120,NĐ!AF120))=5)*(CHOOSE({1,2,3,4},NĐ!W120,NĐ!AA120,NĐ!AE120,NĐ!AI120)))</f>
        <v>0</v>
      </c>
      <c r="F120">
        <f>SUMPRODUCT((MONTH(CHOOSE({1,2,3,4},NĐ!T120,NĐ!X120,NĐ!AB120,NĐ!AF120))=6)*(CHOOSE({1,2,3,4},NĐ!W120,NĐ!AA120,NĐ!AE120,NĐ!AI120)))</f>
        <v>0</v>
      </c>
      <c r="G120">
        <f>SUMPRODUCT((MONTH(CHOOSE({1,2,3,4},NĐ!T120,NĐ!X120,NĐ!AB120,NĐ!AF120))=7)*(CHOOSE({1,2,3,4},NĐ!W120,NĐ!AA120,NĐ!AE120,NĐ!AI120)))</f>
        <v>0</v>
      </c>
      <c r="H120">
        <f>SUMPRODUCT((MONTH(CHOOSE({1,2,3,4},NĐ!T120,NĐ!X120,NĐ!AB120,NĐ!AF120))=8)*(CHOOSE({1,2,3,4},NĐ!W120,NĐ!AA120,NĐ!AE120,NĐ!AI120)))</f>
        <v>0</v>
      </c>
      <c r="I120">
        <f>SUMPRODUCT((MONTH(CHOOSE({1,2,3,4},NĐ!T120,NĐ!X120,NĐ!AB120,NĐ!AF120))=9)*(CHOOSE({1,2,3,4},NĐ!W120,NĐ!AA120,NĐ!AE120,NĐ!AI120)))</f>
        <v>0</v>
      </c>
      <c r="J120">
        <f>SUMPRODUCT((MONTH(CHOOSE({1,2,3,4},NĐ!T120,NĐ!X120,NĐ!AB120,NĐ!AF120))=10)*(CHOOSE({1,2,3,4},NĐ!W120,NĐ!AA120,NĐ!AE120,NĐ!AI120)))</f>
        <v>0</v>
      </c>
      <c r="K120">
        <f>SUMPRODUCT((MONTH(CHOOSE({1,2,3,4},NĐ!T120,NĐ!X120,NĐ!AB120,NĐ!AF120))=11)*(CHOOSE({1,2,3,4},NĐ!W120,NĐ!AA120,NĐ!AE120,NĐ!AI120)))</f>
        <v>0</v>
      </c>
      <c r="L120">
        <f>SUMPRODUCT((MONTH(CHOOSE({1,2,3,4},NĐ!T120,NĐ!X120,NĐ!AB120,NĐ!AF120))=12)*(CHOOSE({1,2,3,4},NĐ!W120,NĐ!AA120,NĐ!AE120,NĐ!AI120)))</f>
        <v>0</v>
      </c>
    </row>
    <row r="121" spans="1:12">
      <c r="A121">
        <f>SUMPRODUCT((MONTH(CHOOSE({1,2,3,4},NĐ!T121,NĐ!X121,NĐ!AB121,NĐ!AF121))=1)*(CHOOSE({1,2,3,4},NĐ!W121,NĐ!AA121,NĐ!AE121,NĐ!AI121)))</f>
        <v>0</v>
      </c>
      <c r="B121">
        <f>SUMPRODUCT((MONTH(CHOOSE({1,2,3,4},NĐ!T121,NĐ!X121,NĐ!AB121,NĐ!AF121))=2)*(CHOOSE({1,2,3,4},NĐ!W121,NĐ!AA121,NĐ!AE121,NĐ!AI121)))</f>
        <v>0</v>
      </c>
      <c r="C121">
        <f>SUMPRODUCT((MONTH(CHOOSE({1,2,3,4},NĐ!T121,NĐ!X121,NĐ!AB121,NĐ!AF121))=3)*(CHOOSE({1,2,3,4},NĐ!W121,NĐ!AA121,NĐ!AE121,NĐ!AI121)))</f>
        <v>0</v>
      </c>
      <c r="D121">
        <f>SUMPRODUCT((MONTH(CHOOSE({1,2,3,4},NĐ!T121,NĐ!X121,NĐ!AB121,NĐ!AF121))=4)*(CHOOSE({1,2,3,4},NĐ!W121,NĐ!AA121,NĐ!AE121,NĐ!AI121)))</f>
        <v>0</v>
      </c>
      <c r="E121">
        <f>SUMPRODUCT((MONTH(CHOOSE({1,2,3,4},NĐ!T121,NĐ!X121,NĐ!AB121,NĐ!AF121))=5)*(CHOOSE({1,2,3,4},NĐ!W121,NĐ!AA121,NĐ!AE121,NĐ!AI121)))</f>
        <v>0</v>
      </c>
      <c r="F121">
        <f>SUMPRODUCT((MONTH(CHOOSE({1,2,3,4},NĐ!T121,NĐ!X121,NĐ!AB121,NĐ!AF121))=6)*(CHOOSE({1,2,3,4},NĐ!W121,NĐ!AA121,NĐ!AE121,NĐ!AI121)))</f>
        <v>0</v>
      </c>
      <c r="G121">
        <f>SUMPRODUCT((MONTH(CHOOSE({1,2,3,4},NĐ!T121,NĐ!X121,NĐ!AB121,NĐ!AF121))=7)*(CHOOSE({1,2,3,4},NĐ!W121,NĐ!AA121,NĐ!AE121,NĐ!AI121)))</f>
        <v>0</v>
      </c>
      <c r="H121">
        <f>SUMPRODUCT((MONTH(CHOOSE({1,2,3,4},NĐ!T121,NĐ!X121,NĐ!AB121,NĐ!AF121))=8)*(CHOOSE({1,2,3,4},NĐ!W121,NĐ!AA121,NĐ!AE121,NĐ!AI121)))</f>
        <v>0</v>
      </c>
      <c r="I121">
        <f>SUMPRODUCT((MONTH(CHOOSE({1,2,3,4},NĐ!T121,NĐ!X121,NĐ!AB121,NĐ!AF121))=9)*(CHOOSE({1,2,3,4},NĐ!W121,NĐ!AA121,NĐ!AE121,NĐ!AI121)))</f>
        <v>0</v>
      </c>
      <c r="J121">
        <f>SUMPRODUCT((MONTH(CHOOSE({1,2,3,4},NĐ!T121,NĐ!X121,NĐ!AB121,NĐ!AF121))=10)*(CHOOSE({1,2,3,4},NĐ!W121,NĐ!AA121,NĐ!AE121,NĐ!AI121)))</f>
        <v>0</v>
      </c>
      <c r="K121">
        <f>SUMPRODUCT((MONTH(CHOOSE({1,2,3,4},NĐ!T121,NĐ!X121,NĐ!AB121,NĐ!AF121))=11)*(CHOOSE({1,2,3,4},NĐ!W121,NĐ!AA121,NĐ!AE121,NĐ!AI121)))</f>
        <v>0</v>
      </c>
      <c r="L121">
        <f>SUMPRODUCT((MONTH(CHOOSE({1,2,3,4},NĐ!T121,NĐ!X121,NĐ!AB121,NĐ!AF121))=12)*(CHOOSE({1,2,3,4},NĐ!W121,NĐ!AA121,NĐ!AE121,NĐ!AI121)))</f>
        <v>0</v>
      </c>
    </row>
    <row r="122" spans="1:12">
      <c r="A122">
        <f>SUMPRODUCT((MONTH(CHOOSE({1,2,3,4},NĐ!T122,NĐ!X122,NĐ!AB122,NĐ!AF122))=1)*(CHOOSE({1,2,3,4},NĐ!W122,NĐ!AA122,NĐ!AE122,NĐ!AI122)))</f>
        <v>0</v>
      </c>
      <c r="B122">
        <f>SUMPRODUCT((MONTH(CHOOSE({1,2,3,4},NĐ!T122,NĐ!X122,NĐ!AB122,NĐ!AF122))=2)*(CHOOSE({1,2,3,4},NĐ!W122,NĐ!AA122,NĐ!AE122,NĐ!AI122)))</f>
        <v>0</v>
      </c>
      <c r="C122">
        <f>SUMPRODUCT((MONTH(CHOOSE({1,2,3,4},NĐ!T122,NĐ!X122,NĐ!AB122,NĐ!AF122))=3)*(CHOOSE({1,2,3,4},NĐ!W122,NĐ!AA122,NĐ!AE122,NĐ!AI122)))</f>
        <v>0</v>
      </c>
      <c r="D122">
        <f>SUMPRODUCT((MONTH(CHOOSE({1,2,3,4},NĐ!T122,NĐ!X122,NĐ!AB122,NĐ!AF122))=4)*(CHOOSE({1,2,3,4},NĐ!W122,NĐ!AA122,NĐ!AE122,NĐ!AI122)))</f>
        <v>0</v>
      </c>
      <c r="E122">
        <f>SUMPRODUCT((MONTH(CHOOSE({1,2,3,4},NĐ!T122,NĐ!X122,NĐ!AB122,NĐ!AF122))=5)*(CHOOSE({1,2,3,4},NĐ!W122,NĐ!AA122,NĐ!AE122,NĐ!AI122)))</f>
        <v>0</v>
      </c>
      <c r="F122">
        <f>SUMPRODUCT((MONTH(CHOOSE({1,2,3,4},NĐ!T122,NĐ!X122,NĐ!AB122,NĐ!AF122))=6)*(CHOOSE({1,2,3,4},NĐ!W122,NĐ!AA122,NĐ!AE122,NĐ!AI122)))</f>
        <v>0</v>
      </c>
      <c r="G122">
        <f>SUMPRODUCT((MONTH(CHOOSE({1,2,3,4},NĐ!T122,NĐ!X122,NĐ!AB122,NĐ!AF122))=7)*(CHOOSE({1,2,3,4},NĐ!W122,NĐ!AA122,NĐ!AE122,NĐ!AI122)))</f>
        <v>0</v>
      </c>
      <c r="H122">
        <f>SUMPRODUCT((MONTH(CHOOSE({1,2,3,4},NĐ!T122,NĐ!X122,NĐ!AB122,NĐ!AF122))=8)*(CHOOSE({1,2,3,4},NĐ!W122,NĐ!AA122,NĐ!AE122,NĐ!AI122)))</f>
        <v>0</v>
      </c>
      <c r="I122">
        <f>SUMPRODUCT((MONTH(CHOOSE({1,2,3,4},NĐ!T122,NĐ!X122,NĐ!AB122,NĐ!AF122))=9)*(CHOOSE({1,2,3,4},NĐ!W122,NĐ!AA122,NĐ!AE122,NĐ!AI122)))</f>
        <v>0</v>
      </c>
      <c r="J122">
        <f>SUMPRODUCT((MONTH(CHOOSE({1,2,3,4},NĐ!T122,NĐ!X122,NĐ!AB122,NĐ!AF122))=10)*(CHOOSE({1,2,3,4},NĐ!W122,NĐ!AA122,NĐ!AE122,NĐ!AI122)))</f>
        <v>0</v>
      </c>
      <c r="K122">
        <f>SUMPRODUCT((MONTH(CHOOSE({1,2,3,4},NĐ!T122,NĐ!X122,NĐ!AB122,NĐ!AF122))=11)*(CHOOSE({1,2,3,4},NĐ!W122,NĐ!AA122,NĐ!AE122,NĐ!AI122)))</f>
        <v>0</v>
      </c>
      <c r="L122">
        <f>SUMPRODUCT((MONTH(CHOOSE({1,2,3,4},NĐ!T122,NĐ!X122,NĐ!AB122,NĐ!AF122))=12)*(CHOOSE({1,2,3,4},NĐ!W122,NĐ!AA122,NĐ!AE122,NĐ!AI122)))</f>
        <v>0</v>
      </c>
    </row>
    <row r="123" spans="1:12">
      <c r="A123">
        <f>SUMPRODUCT((MONTH(CHOOSE({1,2,3,4},NĐ!T123,NĐ!X123,NĐ!AB123,NĐ!AF123))=1)*(CHOOSE({1,2,3,4},NĐ!W123,NĐ!AA123,NĐ!AE123,NĐ!AI123)))</f>
        <v>0</v>
      </c>
      <c r="B123">
        <f>SUMPRODUCT((MONTH(CHOOSE({1,2,3,4},NĐ!T123,NĐ!X123,NĐ!AB123,NĐ!AF123))=2)*(CHOOSE({1,2,3,4},NĐ!W123,NĐ!AA123,NĐ!AE123,NĐ!AI123)))</f>
        <v>0</v>
      </c>
      <c r="C123">
        <f>SUMPRODUCT((MONTH(CHOOSE({1,2,3,4},NĐ!T123,NĐ!X123,NĐ!AB123,NĐ!AF123))=3)*(CHOOSE({1,2,3,4},NĐ!W123,NĐ!AA123,NĐ!AE123,NĐ!AI123)))</f>
        <v>0</v>
      </c>
      <c r="D123">
        <f>SUMPRODUCT((MONTH(CHOOSE({1,2,3,4},NĐ!T123,NĐ!X123,NĐ!AB123,NĐ!AF123))=4)*(CHOOSE({1,2,3,4},NĐ!W123,NĐ!AA123,NĐ!AE123,NĐ!AI123)))</f>
        <v>0</v>
      </c>
      <c r="E123">
        <f>SUMPRODUCT((MONTH(CHOOSE({1,2,3,4},NĐ!T123,NĐ!X123,NĐ!AB123,NĐ!AF123))=5)*(CHOOSE({1,2,3,4},NĐ!W123,NĐ!AA123,NĐ!AE123,NĐ!AI123)))</f>
        <v>0</v>
      </c>
      <c r="F123">
        <f>SUMPRODUCT((MONTH(CHOOSE({1,2,3,4},NĐ!T123,NĐ!X123,NĐ!AB123,NĐ!AF123))=6)*(CHOOSE({1,2,3,4},NĐ!W123,NĐ!AA123,NĐ!AE123,NĐ!AI123)))</f>
        <v>0</v>
      </c>
      <c r="G123">
        <f>SUMPRODUCT((MONTH(CHOOSE({1,2,3,4},NĐ!T123,NĐ!X123,NĐ!AB123,NĐ!AF123))=7)*(CHOOSE({1,2,3,4},NĐ!W123,NĐ!AA123,NĐ!AE123,NĐ!AI123)))</f>
        <v>0</v>
      </c>
      <c r="H123">
        <f>SUMPRODUCT((MONTH(CHOOSE({1,2,3,4},NĐ!T123,NĐ!X123,NĐ!AB123,NĐ!AF123))=8)*(CHOOSE({1,2,3,4},NĐ!W123,NĐ!AA123,NĐ!AE123,NĐ!AI123)))</f>
        <v>0</v>
      </c>
      <c r="I123">
        <f>SUMPRODUCT((MONTH(CHOOSE({1,2,3,4},NĐ!T123,NĐ!X123,NĐ!AB123,NĐ!AF123))=9)*(CHOOSE({1,2,3,4},NĐ!W123,NĐ!AA123,NĐ!AE123,NĐ!AI123)))</f>
        <v>0</v>
      </c>
      <c r="J123">
        <f>SUMPRODUCT((MONTH(CHOOSE({1,2,3,4},NĐ!T123,NĐ!X123,NĐ!AB123,NĐ!AF123))=10)*(CHOOSE({1,2,3,4},NĐ!W123,NĐ!AA123,NĐ!AE123,NĐ!AI123)))</f>
        <v>0</v>
      </c>
      <c r="K123">
        <f>SUMPRODUCT((MONTH(CHOOSE({1,2,3,4},NĐ!T123,NĐ!X123,NĐ!AB123,NĐ!AF123))=11)*(CHOOSE({1,2,3,4},NĐ!W123,NĐ!AA123,NĐ!AE123,NĐ!AI123)))</f>
        <v>0</v>
      </c>
      <c r="L123">
        <f>SUMPRODUCT((MONTH(CHOOSE({1,2,3,4},NĐ!T123,NĐ!X123,NĐ!AB123,NĐ!AF123))=12)*(CHOOSE({1,2,3,4},NĐ!W123,NĐ!AA123,NĐ!AE123,NĐ!AI123)))</f>
        <v>0</v>
      </c>
    </row>
    <row r="124" spans="1:12">
      <c r="A124">
        <f>SUMPRODUCT((MONTH(CHOOSE({1,2,3,4},NĐ!T124,NĐ!X124,NĐ!AB124,NĐ!AF124))=1)*(CHOOSE({1,2,3,4},NĐ!W124,NĐ!AA124,NĐ!AE124,NĐ!AI124)))</f>
        <v>0</v>
      </c>
      <c r="B124">
        <f>SUMPRODUCT((MONTH(CHOOSE({1,2,3,4},NĐ!T124,NĐ!X124,NĐ!AB124,NĐ!AF124))=2)*(CHOOSE({1,2,3,4},NĐ!W124,NĐ!AA124,NĐ!AE124,NĐ!AI124)))</f>
        <v>0</v>
      </c>
      <c r="C124">
        <f>SUMPRODUCT((MONTH(CHOOSE({1,2,3,4},NĐ!T124,NĐ!X124,NĐ!AB124,NĐ!AF124))=3)*(CHOOSE({1,2,3,4},NĐ!W124,NĐ!AA124,NĐ!AE124,NĐ!AI124)))</f>
        <v>0</v>
      </c>
      <c r="D124">
        <f>SUMPRODUCT((MONTH(CHOOSE({1,2,3,4},NĐ!T124,NĐ!X124,NĐ!AB124,NĐ!AF124))=4)*(CHOOSE({1,2,3,4},NĐ!W124,NĐ!AA124,NĐ!AE124,NĐ!AI124)))</f>
        <v>0</v>
      </c>
      <c r="E124">
        <f>SUMPRODUCT((MONTH(CHOOSE({1,2,3,4},NĐ!T124,NĐ!X124,NĐ!AB124,NĐ!AF124))=5)*(CHOOSE({1,2,3,4},NĐ!W124,NĐ!AA124,NĐ!AE124,NĐ!AI124)))</f>
        <v>0</v>
      </c>
      <c r="F124">
        <f>SUMPRODUCT((MONTH(CHOOSE({1,2,3,4},NĐ!T124,NĐ!X124,NĐ!AB124,NĐ!AF124))=6)*(CHOOSE({1,2,3,4},NĐ!W124,NĐ!AA124,NĐ!AE124,NĐ!AI124)))</f>
        <v>0</v>
      </c>
      <c r="G124">
        <f>SUMPRODUCT((MONTH(CHOOSE({1,2,3,4},NĐ!T124,NĐ!X124,NĐ!AB124,NĐ!AF124))=7)*(CHOOSE({1,2,3,4},NĐ!W124,NĐ!AA124,NĐ!AE124,NĐ!AI124)))</f>
        <v>0</v>
      </c>
      <c r="H124">
        <f>SUMPRODUCT((MONTH(CHOOSE({1,2,3,4},NĐ!T124,NĐ!X124,NĐ!AB124,NĐ!AF124))=8)*(CHOOSE({1,2,3,4},NĐ!W124,NĐ!AA124,NĐ!AE124,NĐ!AI124)))</f>
        <v>0</v>
      </c>
      <c r="I124">
        <f>SUMPRODUCT((MONTH(CHOOSE({1,2,3,4},NĐ!T124,NĐ!X124,NĐ!AB124,NĐ!AF124))=9)*(CHOOSE({1,2,3,4},NĐ!W124,NĐ!AA124,NĐ!AE124,NĐ!AI124)))</f>
        <v>0</v>
      </c>
      <c r="J124">
        <f>SUMPRODUCT((MONTH(CHOOSE({1,2,3,4},NĐ!T124,NĐ!X124,NĐ!AB124,NĐ!AF124))=10)*(CHOOSE({1,2,3,4},NĐ!W124,NĐ!AA124,NĐ!AE124,NĐ!AI124)))</f>
        <v>0</v>
      </c>
      <c r="K124">
        <f>SUMPRODUCT((MONTH(CHOOSE({1,2,3,4},NĐ!T124,NĐ!X124,NĐ!AB124,NĐ!AF124))=11)*(CHOOSE({1,2,3,4},NĐ!W124,NĐ!AA124,NĐ!AE124,NĐ!AI124)))</f>
        <v>0</v>
      </c>
      <c r="L124">
        <f>SUMPRODUCT((MONTH(CHOOSE({1,2,3,4},NĐ!T124,NĐ!X124,NĐ!AB124,NĐ!AF124))=12)*(CHOOSE({1,2,3,4},NĐ!W124,NĐ!AA124,NĐ!AE124,NĐ!AI124)))</f>
        <v>0</v>
      </c>
    </row>
    <row r="125" spans="1:12">
      <c r="A125">
        <f>SUMPRODUCT((MONTH(CHOOSE({1,2,3,4},NĐ!T125,NĐ!X125,NĐ!AB125,NĐ!AF125))=1)*(CHOOSE({1,2,3,4},NĐ!W125,NĐ!AA125,NĐ!AE125,NĐ!AI125)))</f>
        <v>0</v>
      </c>
      <c r="B125">
        <f>SUMPRODUCT((MONTH(CHOOSE({1,2,3,4},NĐ!T125,NĐ!X125,NĐ!AB125,NĐ!AF125))=2)*(CHOOSE({1,2,3,4},NĐ!W125,NĐ!AA125,NĐ!AE125,NĐ!AI125)))</f>
        <v>0</v>
      </c>
      <c r="C125">
        <f>SUMPRODUCT((MONTH(CHOOSE({1,2,3,4},NĐ!T125,NĐ!X125,NĐ!AB125,NĐ!AF125))=3)*(CHOOSE({1,2,3,4},NĐ!W125,NĐ!AA125,NĐ!AE125,NĐ!AI125)))</f>
        <v>0</v>
      </c>
      <c r="D125">
        <f>SUMPRODUCT((MONTH(CHOOSE({1,2,3,4},NĐ!T125,NĐ!X125,NĐ!AB125,NĐ!AF125))=4)*(CHOOSE({1,2,3,4},NĐ!W125,NĐ!AA125,NĐ!AE125,NĐ!AI125)))</f>
        <v>0</v>
      </c>
      <c r="E125">
        <f>SUMPRODUCT((MONTH(CHOOSE({1,2,3,4},NĐ!T125,NĐ!X125,NĐ!AB125,NĐ!AF125))=5)*(CHOOSE({1,2,3,4},NĐ!W125,NĐ!AA125,NĐ!AE125,NĐ!AI125)))</f>
        <v>0</v>
      </c>
      <c r="F125">
        <f>SUMPRODUCT((MONTH(CHOOSE({1,2,3,4},NĐ!T125,NĐ!X125,NĐ!AB125,NĐ!AF125))=6)*(CHOOSE({1,2,3,4},NĐ!W125,NĐ!AA125,NĐ!AE125,NĐ!AI125)))</f>
        <v>0</v>
      </c>
      <c r="G125">
        <f>SUMPRODUCT((MONTH(CHOOSE({1,2,3,4},NĐ!T125,NĐ!X125,NĐ!AB125,NĐ!AF125))=7)*(CHOOSE({1,2,3,4},NĐ!W125,NĐ!AA125,NĐ!AE125,NĐ!AI125)))</f>
        <v>0</v>
      </c>
      <c r="H125">
        <f>SUMPRODUCT((MONTH(CHOOSE({1,2,3,4},NĐ!T125,NĐ!X125,NĐ!AB125,NĐ!AF125))=8)*(CHOOSE({1,2,3,4},NĐ!W125,NĐ!AA125,NĐ!AE125,NĐ!AI125)))</f>
        <v>0</v>
      </c>
      <c r="I125">
        <f>SUMPRODUCT((MONTH(CHOOSE({1,2,3,4},NĐ!T125,NĐ!X125,NĐ!AB125,NĐ!AF125))=9)*(CHOOSE({1,2,3,4},NĐ!W125,NĐ!AA125,NĐ!AE125,NĐ!AI125)))</f>
        <v>0</v>
      </c>
      <c r="J125">
        <f>SUMPRODUCT((MONTH(CHOOSE({1,2,3,4},NĐ!T125,NĐ!X125,NĐ!AB125,NĐ!AF125))=10)*(CHOOSE({1,2,3,4},NĐ!W125,NĐ!AA125,NĐ!AE125,NĐ!AI125)))</f>
        <v>0</v>
      </c>
      <c r="K125">
        <f>SUMPRODUCT((MONTH(CHOOSE({1,2,3,4},NĐ!T125,NĐ!X125,NĐ!AB125,NĐ!AF125))=11)*(CHOOSE({1,2,3,4},NĐ!W125,NĐ!AA125,NĐ!AE125,NĐ!AI125)))</f>
        <v>0</v>
      </c>
      <c r="L125">
        <f>SUMPRODUCT((MONTH(CHOOSE({1,2,3,4},NĐ!T125,NĐ!X125,NĐ!AB125,NĐ!AF125))=12)*(CHOOSE({1,2,3,4},NĐ!W125,NĐ!AA125,NĐ!AE125,NĐ!AI125)))</f>
        <v>0</v>
      </c>
    </row>
    <row r="126" spans="1:12">
      <c r="A126">
        <f>SUMPRODUCT((MONTH(CHOOSE({1,2,3,4},NĐ!T126,NĐ!X126,NĐ!AB126,NĐ!AF126))=1)*(CHOOSE({1,2,3,4},NĐ!W126,NĐ!AA126,NĐ!AE126,NĐ!AI126)))</f>
        <v>0</v>
      </c>
      <c r="B126">
        <f>SUMPRODUCT((MONTH(CHOOSE({1,2,3,4},NĐ!T126,NĐ!X126,NĐ!AB126,NĐ!AF126))=2)*(CHOOSE({1,2,3,4},NĐ!W126,NĐ!AA126,NĐ!AE126,NĐ!AI126)))</f>
        <v>0</v>
      </c>
      <c r="C126">
        <f>SUMPRODUCT((MONTH(CHOOSE({1,2,3,4},NĐ!T126,NĐ!X126,NĐ!AB126,NĐ!AF126))=3)*(CHOOSE({1,2,3,4},NĐ!W126,NĐ!AA126,NĐ!AE126,NĐ!AI126)))</f>
        <v>0</v>
      </c>
      <c r="D126">
        <f>SUMPRODUCT((MONTH(CHOOSE({1,2,3,4},NĐ!T126,NĐ!X126,NĐ!AB126,NĐ!AF126))=4)*(CHOOSE({1,2,3,4},NĐ!W126,NĐ!AA126,NĐ!AE126,NĐ!AI126)))</f>
        <v>0</v>
      </c>
      <c r="E126">
        <f>SUMPRODUCT((MONTH(CHOOSE({1,2,3,4},NĐ!T126,NĐ!X126,NĐ!AB126,NĐ!AF126))=5)*(CHOOSE({1,2,3,4},NĐ!W126,NĐ!AA126,NĐ!AE126,NĐ!AI126)))</f>
        <v>0</v>
      </c>
      <c r="F126">
        <f>SUMPRODUCT((MONTH(CHOOSE({1,2,3,4},NĐ!T126,NĐ!X126,NĐ!AB126,NĐ!AF126))=6)*(CHOOSE({1,2,3,4},NĐ!W126,NĐ!AA126,NĐ!AE126,NĐ!AI126)))</f>
        <v>0</v>
      </c>
      <c r="G126">
        <f>SUMPRODUCT((MONTH(CHOOSE({1,2,3,4},NĐ!T126,NĐ!X126,NĐ!AB126,NĐ!AF126))=7)*(CHOOSE({1,2,3,4},NĐ!W126,NĐ!AA126,NĐ!AE126,NĐ!AI126)))</f>
        <v>0</v>
      </c>
      <c r="H126">
        <f>SUMPRODUCT((MONTH(CHOOSE({1,2,3,4},NĐ!T126,NĐ!X126,NĐ!AB126,NĐ!AF126))=8)*(CHOOSE({1,2,3,4},NĐ!W126,NĐ!AA126,NĐ!AE126,NĐ!AI126)))</f>
        <v>0</v>
      </c>
      <c r="I126">
        <f>SUMPRODUCT((MONTH(CHOOSE({1,2,3,4},NĐ!T126,NĐ!X126,NĐ!AB126,NĐ!AF126))=9)*(CHOOSE({1,2,3,4},NĐ!W126,NĐ!AA126,NĐ!AE126,NĐ!AI126)))</f>
        <v>0</v>
      </c>
      <c r="J126">
        <f>SUMPRODUCT((MONTH(CHOOSE({1,2,3,4},NĐ!T126,NĐ!X126,NĐ!AB126,NĐ!AF126))=10)*(CHOOSE({1,2,3,4},NĐ!W126,NĐ!AA126,NĐ!AE126,NĐ!AI126)))</f>
        <v>0</v>
      </c>
      <c r="K126">
        <f>SUMPRODUCT((MONTH(CHOOSE({1,2,3,4},NĐ!T126,NĐ!X126,NĐ!AB126,NĐ!AF126))=11)*(CHOOSE({1,2,3,4},NĐ!W126,NĐ!AA126,NĐ!AE126,NĐ!AI126)))</f>
        <v>0</v>
      </c>
      <c r="L126">
        <f>SUMPRODUCT((MONTH(CHOOSE({1,2,3,4},NĐ!T126,NĐ!X126,NĐ!AB126,NĐ!AF126))=12)*(CHOOSE({1,2,3,4},NĐ!W126,NĐ!AA126,NĐ!AE126,NĐ!AI126)))</f>
        <v>0</v>
      </c>
    </row>
    <row r="127" spans="1:12">
      <c r="A127">
        <f>SUMPRODUCT((MONTH(CHOOSE({1,2,3,4},NĐ!T127,NĐ!X127,NĐ!AB127,NĐ!AF127))=1)*(CHOOSE({1,2,3,4},NĐ!W127,NĐ!AA127,NĐ!AE127,NĐ!AI127)))</f>
        <v>0</v>
      </c>
      <c r="B127">
        <f>SUMPRODUCT((MONTH(CHOOSE({1,2,3,4},NĐ!T127,NĐ!X127,NĐ!AB127,NĐ!AF127))=2)*(CHOOSE({1,2,3,4},NĐ!W127,NĐ!AA127,NĐ!AE127,NĐ!AI127)))</f>
        <v>0</v>
      </c>
      <c r="C127">
        <f>SUMPRODUCT((MONTH(CHOOSE({1,2,3,4},NĐ!T127,NĐ!X127,NĐ!AB127,NĐ!AF127))=3)*(CHOOSE({1,2,3,4},NĐ!W127,NĐ!AA127,NĐ!AE127,NĐ!AI127)))</f>
        <v>0</v>
      </c>
      <c r="D127">
        <f>SUMPRODUCT((MONTH(CHOOSE({1,2,3,4},NĐ!T127,NĐ!X127,NĐ!AB127,NĐ!AF127))=4)*(CHOOSE({1,2,3,4},NĐ!W127,NĐ!AA127,NĐ!AE127,NĐ!AI127)))</f>
        <v>0</v>
      </c>
      <c r="E127">
        <f>SUMPRODUCT((MONTH(CHOOSE({1,2,3,4},NĐ!T127,NĐ!X127,NĐ!AB127,NĐ!AF127))=5)*(CHOOSE({1,2,3,4},NĐ!W127,NĐ!AA127,NĐ!AE127,NĐ!AI127)))</f>
        <v>0</v>
      </c>
      <c r="F127">
        <f>SUMPRODUCT((MONTH(CHOOSE({1,2,3,4},NĐ!T127,NĐ!X127,NĐ!AB127,NĐ!AF127))=6)*(CHOOSE({1,2,3,4},NĐ!W127,NĐ!AA127,NĐ!AE127,NĐ!AI127)))</f>
        <v>0</v>
      </c>
      <c r="G127">
        <f>SUMPRODUCT((MONTH(CHOOSE({1,2,3,4},NĐ!T127,NĐ!X127,NĐ!AB127,NĐ!AF127))=7)*(CHOOSE({1,2,3,4},NĐ!W127,NĐ!AA127,NĐ!AE127,NĐ!AI127)))</f>
        <v>0</v>
      </c>
      <c r="H127">
        <f>SUMPRODUCT((MONTH(CHOOSE({1,2,3,4},NĐ!T127,NĐ!X127,NĐ!AB127,NĐ!AF127))=8)*(CHOOSE({1,2,3,4},NĐ!W127,NĐ!AA127,NĐ!AE127,NĐ!AI127)))</f>
        <v>0</v>
      </c>
      <c r="I127">
        <f>SUMPRODUCT((MONTH(CHOOSE({1,2,3,4},NĐ!T127,NĐ!X127,NĐ!AB127,NĐ!AF127))=9)*(CHOOSE({1,2,3,4},NĐ!W127,NĐ!AA127,NĐ!AE127,NĐ!AI127)))</f>
        <v>0</v>
      </c>
      <c r="J127">
        <f>SUMPRODUCT((MONTH(CHOOSE({1,2,3,4},NĐ!T127,NĐ!X127,NĐ!AB127,NĐ!AF127))=10)*(CHOOSE({1,2,3,4},NĐ!W127,NĐ!AA127,NĐ!AE127,NĐ!AI127)))</f>
        <v>0</v>
      </c>
      <c r="K127">
        <f>SUMPRODUCT((MONTH(CHOOSE({1,2,3,4},NĐ!T127,NĐ!X127,NĐ!AB127,NĐ!AF127))=11)*(CHOOSE({1,2,3,4},NĐ!W127,NĐ!AA127,NĐ!AE127,NĐ!AI127)))</f>
        <v>0</v>
      </c>
      <c r="L127">
        <f>SUMPRODUCT((MONTH(CHOOSE({1,2,3,4},NĐ!T127,NĐ!X127,NĐ!AB127,NĐ!AF127))=12)*(CHOOSE({1,2,3,4},NĐ!W127,NĐ!AA127,NĐ!AE127,NĐ!AI127)))</f>
        <v>0</v>
      </c>
    </row>
    <row r="128" spans="1:12">
      <c r="A128">
        <f>SUMPRODUCT((MONTH(CHOOSE({1,2,3,4},NĐ!T128,NĐ!X128,NĐ!AB128,NĐ!AF128))=1)*(CHOOSE({1,2,3,4},NĐ!W128,NĐ!AA128,NĐ!AE128,NĐ!AI128)))</f>
        <v>0</v>
      </c>
      <c r="B128">
        <f>SUMPRODUCT((MONTH(CHOOSE({1,2,3,4},NĐ!T128,NĐ!X128,NĐ!AB128,NĐ!AF128))=2)*(CHOOSE({1,2,3,4},NĐ!W128,NĐ!AA128,NĐ!AE128,NĐ!AI128)))</f>
        <v>0</v>
      </c>
      <c r="C128">
        <f>SUMPRODUCT((MONTH(CHOOSE({1,2,3,4},NĐ!T128,NĐ!X128,NĐ!AB128,NĐ!AF128))=3)*(CHOOSE({1,2,3,4},NĐ!W128,NĐ!AA128,NĐ!AE128,NĐ!AI128)))</f>
        <v>0</v>
      </c>
      <c r="D128">
        <f>SUMPRODUCT((MONTH(CHOOSE({1,2,3,4},NĐ!T128,NĐ!X128,NĐ!AB128,NĐ!AF128))=4)*(CHOOSE({1,2,3,4},NĐ!W128,NĐ!AA128,NĐ!AE128,NĐ!AI128)))</f>
        <v>0</v>
      </c>
      <c r="E128">
        <f>SUMPRODUCT((MONTH(CHOOSE({1,2,3,4},NĐ!T128,NĐ!X128,NĐ!AB128,NĐ!AF128))=5)*(CHOOSE({1,2,3,4},NĐ!W128,NĐ!AA128,NĐ!AE128,NĐ!AI128)))</f>
        <v>0</v>
      </c>
      <c r="F128">
        <f>SUMPRODUCT((MONTH(CHOOSE({1,2,3,4},NĐ!T128,NĐ!X128,NĐ!AB128,NĐ!AF128))=6)*(CHOOSE({1,2,3,4},NĐ!W128,NĐ!AA128,NĐ!AE128,NĐ!AI128)))</f>
        <v>0</v>
      </c>
      <c r="G128">
        <f>SUMPRODUCT((MONTH(CHOOSE({1,2,3,4},NĐ!T128,NĐ!X128,NĐ!AB128,NĐ!AF128))=7)*(CHOOSE({1,2,3,4},NĐ!W128,NĐ!AA128,NĐ!AE128,NĐ!AI128)))</f>
        <v>0</v>
      </c>
      <c r="H128">
        <f>SUMPRODUCT((MONTH(CHOOSE({1,2,3,4},NĐ!T128,NĐ!X128,NĐ!AB128,NĐ!AF128))=8)*(CHOOSE({1,2,3,4},NĐ!W128,NĐ!AA128,NĐ!AE128,NĐ!AI128)))</f>
        <v>0</v>
      </c>
      <c r="I128">
        <f>SUMPRODUCT((MONTH(CHOOSE({1,2,3,4},NĐ!T128,NĐ!X128,NĐ!AB128,NĐ!AF128))=9)*(CHOOSE({1,2,3,4},NĐ!W128,NĐ!AA128,NĐ!AE128,NĐ!AI128)))</f>
        <v>0</v>
      </c>
      <c r="J128">
        <f>SUMPRODUCT((MONTH(CHOOSE({1,2,3,4},NĐ!T128,NĐ!X128,NĐ!AB128,NĐ!AF128))=10)*(CHOOSE({1,2,3,4},NĐ!W128,NĐ!AA128,NĐ!AE128,NĐ!AI128)))</f>
        <v>0</v>
      </c>
      <c r="K128">
        <f>SUMPRODUCT((MONTH(CHOOSE({1,2,3,4},NĐ!T128,NĐ!X128,NĐ!AB128,NĐ!AF128))=11)*(CHOOSE({1,2,3,4},NĐ!W128,NĐ!AA128,NĐ!AE128,NĐ!AI128)))</f>
        <v>0</v>
      </c>
      <c r="L128">
        <f>SUMPRODUCT((MONTH(CHOOSE({1,2,3,4},NĐ!T128,NĐ!X128,NĐ!AB128,NĐ!AF128))=12)*(CHOOSE({1,2,3,4},NĐ!W128,NĐ!AA128,NĐ!AE128,NĐ!AI128)))</f>
        <v>0</v>
      </c>
    </row>
    <row r="129" spans="1:12">
      <c r="A129">
        <f>SUMPRODUCT((MONTH(CHOOSE({1,2,3,4},NĐ!T129,NĐ!X129,NĐ!AB129,NĐ!AF129))=1)*(CHOOSE({1,2,3,4},NĐ!W129,NĐ!AA129,NĐ!AE129,NĐ!AI129)))</f>
        <v>0</v>
      </c>
      <c r="B129">
        <f>SUMPRODUCT((MONTH(CHOOSE({1,2,3,4},NĐ!T129,NĐ!X129,NĐ!AB129,NĐ!AF129))=2)*(CHOOSE({1,2,3,4},NĐ!W129,NĐ!AA129,NĐ!AE129,NĐ!AI129)))</f>
        <v>0</v>
      </c>
      <c r="C129">
        <f>SUMPRODUCT((MONTH(CHOOSE({1,2,3,4},NĐ!T129,NĐ!X129,NĐ!AB129,NĐ!AF129))=3)*(CHOOSE({1,2,3,4},NĐ!W129,NĐ!AA129,NĐ!AE129,NĐ!AI129)))</f>
        <v>0</v>
      </c>
      <c r="D129">
        <f>SUMPRODUCT((MONTH(CHOOSE({1,2,3,4},NĐ!T129,NĐ!X129,NĐ!AB129,NĐ!AF129))=4)*(CHOOSE({1,2,3,4},NĐ!W129,NĐ!AA129,NĐ!AE129,NĐ!AI129)))</f>
        <v>0</v>
      </c>
      <c r="E129">
        <f>SUMPRODUCT((MONTH(CHOOSE({1,2,3,4},NĐ!T129,NĐ!X129,NĐ!AB129,NĐ!AF129))=5)*(CHOOSE({1,2,3,4},NĐ!W129,NĐ!AA129,NĐ!AE129,NĐ!AI129)))</f>
        <v>0</v>
      </c>
      <c r="F129">
        <f>SUMPRODUCT((MONTH(CHOOSE({1,2,3,4},NĐ!T129,NĐ!X129,NĐ!AB129,NĐ!AF129))=6)*(CHOOSE({1,2,3,4},NĐ!W129,NĐ!AA129,NĐ!AE129,NĐ!AI129)))</f>
        <v>0</v>
      </c>
      <c r="G129">
        <f>SUMPRODUCT((MONTH(CHOOSE({1,2,3,4},NĐ!T129,NĐ!X129,NĐ!AB129,NĐ!AF129))=7)*(CHOOSE({1,2,3,4},NĐ!W129,NĐ!AA129,NĐ!AE129,NĐ!AI129)))</f>
        <v>0</v>
      </c>
      <c r="H129">
        <f>SUMPRODUCT((MONTH(CHOOSE({1,2,3,4},NĐ!T129,NĐ!X129,NĐ!AB129,NĐ!AF129))=8)*(CHOOSE({1,2,3,4},NĐ!W129,NĐ!AA129,NĐ!AE129,NĐ!AI129)))</f>
        <v>0</v>
      </c>
      <c r="I129">
        <f>SUMPRODUCT((MONTH(CHOOSE({1,2,3,4},NĐ!T129,NĐ!X129,NĐ!AB129,NĐ!AF129))=9)*(CHOOSE({1,2,3,4},NĐ!W129,NĐ!AA129,NĐ!AE129,NĐ!AI129)))</f>
        <v>0</v>
      </c>
      <c r="J129">
        <f>SUMPRODUCT((MONTH(CHOOSE({1,2,3,4},NĐ!T129,NĐ!X129,NĐ!AB129,NĐ!AF129))=10)*(CHOOSE({1,2,3,4},NĐ!W129,NĐ!AA129,NĐ!AE129,NĐ!AI129)))</f>
        <v>0</v>
      </c>
      <c r="K129">
        <f>SUMPRODUCT((MONTH(CHOOSE({1,2,3,4},NĐ!T129,NĐ!X129,NĐ!AB129,NĐ!AF129))=11)*(CHOOSE({1,2,3,4},NĐ!W129,NĐ!AA129,NĐ!AE129,NĐ!AI129)))</f>
        <v>0</v>
      </c>
      <c r="L129">
        <f>SUMPRODUCT((MONTH(CHOOSE({1,2,3,4},NĐ!T129,NĐ!X129,NĐ!AB129,NĐ!AF129))=12)*(CHOOSE({1,2,3,4},NĐ!W129,NĐ!AA129,NĐ!AE129,NĐ!AI129)))</f>
        <v>0</v>
      </c>
    </row>
    <row r="130" spans="1:12">
      <c r="A130">
        <f>SUMPRODUCT((MONTH(CHOOSE({1,2,3,4},NĐ!T130,NĐ!X130,NĐ!AB130,NĐ!AF130))=1)*(CHOOSE({1,2,3,4},NĐ!W130,NĐ!AA130,NĐ!AE130,NĐ!AI130)))</f>
        <v>0</v>
      </c>
      <c r="B130">
        <f>SUMPRODUCT((MONTH(CHOOSE({1,2,3,4},NĐ!T130,NĐ!X130,NĐ!AB130,NĐ!AF130))=2)*(CHOOSE({1,2,3,4},NĐ!W130,NĐ!AA130,NĐ!AE130,NĐ!AI130)))</f>
        <v>0</v>
      </c>
      <c r="C130">
        <f>SUMPRODUCT((MONTH(CHOOSE({1,2,3,4},NĐ!T130,NĐ!X130,NĐ!AB130,NĐ!AF130))=3)*(CHOOSE({1,2,3,4},NĐ!W130,NĐ!AA130,NĐ!AE130,NĐ!AI130)))</f>
        <v>0</v>
      </c>
      <c r="D130">
        <f>SUMPRODUCT((MONTH(CHOOSE({1,2,3,4},NĐ!T130,NĐ!X130,NĐ!AB130,NĐ!AF130))=4)*(CHOOSE({1,2,3,4},NĐ!W130,NĐ!AA130,NĐ!AE130,NĐ!AI130)))</f>
        <v>0</v>
      </c>
      <c r="E130">
        <f>SUMPRODUCT((MONTH(CHOOSE({1,2,3,4},NĐ!T130,NĐ!X130,NĐ!AB130,NĐ!AF130))=5)*(CHOOSE({1,2,3,4},NĐ!W130,NĐ!AA130,NĐ!AE130,NĐ!AI130)))</f>
        <v>0</v>
      </c>
      <c r="F130">
        <f>SUMPRODUCT((MONTH(CHOOSE({1,2,3,4},NĐ!T130,NĐ!X130,NĐ!AB130,NĐ!AF130))=6)*(CHOOSE({1,2,3,4},NĐ!W130,NĐ!AA130,NĐ!AE130,NĐ!AI130)))</f>
        <v>0</v>
      </c>
      <c r="G130">
        <f>SUMPRODUCT((MONTH(CHOOSE({1,2,3,4},NĐ!T130,NĐ!X130,NĐ!AB130,NĐ!AF130))=7)*(CHOOSE({1,2,3,4},NĐ!W130,NĐ!AA130,NĐ!AE130,NĐ!AI130)))</f>
        <v>0</v>
      </c>
      <c r="H130">
        <f>SUMPRODUCT((MONTH(CHOOSE({1,2,3,4},NĐ!T130,NĐ!X130,NĐ!AB130,NĐ!AF130))=8)*(CHOOSE({1,2,3,4},NĐ!W130,NĐ!AA130,NĐ!AE130,NĐ!AI130)))</f>
        <v>0</v>
      </c>
      <c r="I130">
        <f>SUMPRODUCT((MONTH(CHOOSE({1,2,3,4},NĐ!T130,NĐ!X130,NĐ!AB130,NĐ!AF130))=9)*(CHOOSE({1,2,3,4},NĐ!W130,NĐ!AA130,NĐ!AE130,NĐ!AI130)))</f>
        <v>0</v>
      </c>
      <c r="J130">
        <f>SUMPRODUCT((MONTH(CHOOSE({1,2,3,4},NĐ!T130,NĐ!X130,NĐ!AB130,NĐ!AF130))=10)*(CHOOSE({1,2,3,4},NĐ!W130,NĐ!AA130,NĐ!AE130,NĐ!AI130)))</f>
        <v>0</v>
      </c>
      <c r="K130">
        <f>SUMPRODUCT((MONTH(CHOOSE({1,2,3,4},NĐ!T130,NĐ!X130,NĐ!AB130,NĐ!AF130))=11)*(CHOOSE({1,2,3,4},NĐ!W130,NĐ!AA130,NĐ!AE130,NĐ!AI130)))</f>
        <v>0</v>
      </c>
      <c r="L130">
        <f>SUMPRODUCT((MONTH(CHOOSE({1,2,3,4},NĐ!T130,NĐ!X130,NĐ!AB130,NĐ!AF130))=12)*(CHOOSE({1,2,3,4},NĐ!W130,NĐ!AA130,NĐ!AE130,NĐ!AI130)))</f>
        <v>0</v>
      </c>
    </row>
    <row r="131" spans="1:12">
      <c r="A131">
        <f>SUMPRODUCT((MONTH(CHOOSE({1,2,3,4},NĐ!T131,NĐ!X131,NĐ!AB131,NĐ!AF131))=1)*(CHOOSE({1,2,3,4},NĐ!W131,NĐ!AA131,NĐ!AE131,NĐ!AI131)))</f>
        <v>0</v>
      </c>
      <c r="B131">
        <f>SUMPRODUCT((MONTH(CHOOSE({1,2,3,4},NĐ!T131,NĐ!X131,NĐ!AB131,NĐ!AF131))=2)*(CHOOSE({1,2,3,4},NĐ!W131,NĐ!AA131,NĐ!AE131,NĐ!AI131)))</f>
        <v>0</v>
      </c>
      <c r="C131">
        <f>SUMPRODUCT((MONTH(CHOOSE({1,2,3,4},NĐ!T131,NĐ!X131,NĐ!AB131,NĐ!AF131))=3)*(CHOOSE({1,2,3,4},NĐ!W131,NĐ!AA131,NĐ!AE131,NĐ!AI131)))</f>
        <v>0</v>
      </c>
      <c r="D131">
        <f>SUMPRODUCT((MONTH(CHOOSE({1,2,3,4},NĐ!T131,NĐ!X131,NĐ!AB131,NĐ!AF131))=4)*(CHOOSE({1,2,3,4},NĐ!W131,NĐ!AA131,NĐ!AE131,NĐ!AI131)))</f>
        <v>0</v>
      </c>
      <c r="E131">
        <f>SUMPRODUCT((MONTH(CHOOSE({1,2,3,4},NĐ!T131,NĐ!X131,NĐ!AB131,NĐ!AF131))=5)*(CHOOSE({1,2,3,4},NĐ!W131,NĐ!AA131,NĐ!AE131,NĐ!AI131)))</f>
        <v>0</v>
      </c>
      <c r="F131">
        <f>SUMPRODUCT((MONTH(CHOOSE({1,2,3,4},NĐ!T131,NĐ!X131,NĐ!AB131,NĐ!AF131))=6)*(CHOOSE({1,2,3,4},NĐ!W131,NĐ!AA131,NĐ!AE131,NĐ!AI131)))</f>
        <v>0</v>
      </c>
      <c r="G131">
        <f>SUMPRODUCT((MONTH(CHOOSE({1,2,3,4},NĐ!T131,NĐ!X131,NĐ!AB131,NĐ!AF131))=7)*(CHOOSE({1,2,3,4},NĐ!W131,NĐ!AA131,NĐ!AE131,NĐ!AI131)))</f>
        <v>0</v>
      </c>
      <c r="H131">
        <f>SUMPRODUCT((MONTH(CHOOSE({1,2,3,4},NĐ!T131,NĐ!X131,NĐ!AB131,NĐ!AF131))=8)*(CHOOSE({1,2,3,4},NĐ!W131,NĐ!AA131,NĐ!AE131,NĐ!AI131)))</f>
        <v>0</v>
      </c>
      <c r="I131">
        <f>SUMPRODUCT((MONTH(CHOOSE({1,2,3,4},NĐ!T131,NĐ!X131,NĐ!AB131,NĐ!AF131))=9)*(CHOOSE({1,2,3,4},NĐ!W131,NĐ!AA131,NĐ!AE131,NĐ!AI131)))</f>
        <v>0</v>
      </c>
      <c r="J131">
        <f>SUMPRODUCT((MONTH(CHOOSE({1,2,3,4},NĐ!T131,NĐ!X131,NĐ!AB131,NĐ!AF131))=10)*(CHOOSE({1,2,3,4},NĐ!W131,NĐ!AA131,NĐ!AE131,NĐ!AI131)))</f>
        <v>0</v>
      </c>
      <c r="K131">
        <f>SUMPRODUCT((MONTH(CHOOSE({1,2,3,4},NĐ!T131,NĐ!X131,NĐ!AB131,NĐ!AF131))=11)*(CHOOSE({1,2,3,4},NĐ!W131,NĐ!AA131,NĐ!AE131,NĐ!AI131)))</f>
        <v>0</v>
      </c>
      <c r="L131">
        <f>SUMPRODUCT((MONTH(CHOOSE({1,2,3,4},NĐ!T131,NĐ!X131,NĐ!AB131,NĐ!AF131))=12)*(CHOOSE({1,2,3,4},NĐ!W131,NĐ!AA131,NĐ!AE131,NĐ!AI131)))</f>
        <v>0</v>
      </c>
    </row>
    <row r="132" spans="1:12">
      <c r="A132">
        <f>SUMPRODUCT((MONTH(CHOOSE({1,2,3,4},NĐ!T132,NĐ!X132,NĐ!AB132,NĐ!AF132))=1)*(CHOOSE({1,2,3,4},NĐ!W132,NĐ!AA132,NĐ!AE132,NĐ!AI132)))</f>
        <v>0</v>
      </c>
      <c r="B132">
        <f>SUMPRODUCT((MONTH(CHOOSE({1,2,3,4},NĐ!T132,NĐ!X132,NĐ!AB132,NĐ!AF132))=2)*(CHOOSE({1,2,3,4},NĐ!W132,NĐ!AA132,NĐ!AE132,NĐ!AI132)))</f>
        <v>0</v>
      </c>
      <c r="C132">
        <f>SUMPRODUCT((MONTH(CHOOSE({1,2,3,4},NĐ!T132,NĐ!X132,NĐ!AB132,NĐ!AF132))=3)*(CHOOSE({1,2,3,4},NĐ!W132,NĐ!AA132,NĐ!AE132,NĐ!AI132)))</f>
        <v>0</v>
      </c>
      <c r="D132">
        <f>SUMPRODUCT((MONTH(CHOOSE({1,2,3,4},NĐ!T132,NĐ!X132,NĐ!AB132,NĐ!AF132))=4)*(CHOOSE({1,2,3,4},NĐ!W132,NĐ!AA132,NĐ!AE132,NĐ!AI132)))</f>
        <v>0</v>
      </c>
      <c r="E132">
        <f>SUMPRODUCT((MONTH(CHOOSE({1,2,3,4},NĐ!T132,NĐ!X132,NĐ!AB132,NĐ!AF132))=5)*(CHOOSE({1,2,3,4},NĐ!W132,NĐ!AA132,NĐ!AE132,NĐ!AI132)))</f>
        <v>0</v>
      </c>
      <c r="F132">
        <f>SUMPRODUCT((MONTH(CHOOSE({1,2,3,4},NĐ!T132,NĐ!X132,NĐ!AB132,NĐ!AF132))=6)*(CHOOSE({1,2,3,4},NĐ!W132,NĐ!AA132,NĐ!AE132,NĐ!AI132)))</f>
        <v>0</v>
      </c>
      <c r="G132">
        <f>SUMPRODUCT((MONTH(CHOOSE({1,2,3,4},NĐ!T132,NĐ!X132,NĐ!AB132,NĐ!AF132))=7)*(CHOOSE({1,2,3,4},NĐ!W132,NĐ!AA132,NĐ!AE132,NĐ!AI132)))</f>
        <v>0</v>
      </c>
      <c r="H132">
        <f>SUMPRODUCT((MONTH(CHOOSE({1,2,3,4},NĐ!T132,NĐ!X132,NĐ!AB132,NĐ!AF132))=8)*(CHOOSE({1,2,3,4},NĐ!W132,NĐ!AA132,NĐ!AE132,NĐ!AI132)))</f>
        <v>0</v>
      </c>
      <c r="I132">
        <f>SUMPRODUCT((MONTH(CHOOSE({1,2,3,4},NĐ!T132,NĐ!X132,NĐ!AB132,NĐ!AF132))=9)*(CHOOSE({1,2,3,4},NĐ!W132,NĐ!AA132,NĐ!AE132,NĐ!AI132)))</f>
        <v>0</v>
      </c>
      <c r="J132">
        <f>SUMPRODUCT((MONTH(CHOOSE({1,2,3,4},NĐ!T132,NĐ!X132,NĐ!AB132,NĐ!AF132))=10)*(CHOOSE({1,2,3,4},NĐ!W132,NĐ!AA132,NĐ!AE132,NĐ!AI132)))</f>
        <v>0</v>
      </c>
      <c r="K132">
        <f>SUMPRODUCT((MONTH(CHOOSE({1,2,3,4},NĐ!T132,NĐ!X132,NĐ!AB132,NĐ!AF132))=11)*(CHOOSE({1,2,3,4},NĐ!W132,NĐ!AA132,NĐ!AE132,NĐ!AI132)))</f>
        <v>0</v>
      </c>
      <c r="L132">
        <f>SUMPRODUCT((MONTH(CHOOSE({1,2,3,4},NĐ!T132,NĐ!X132,NĐ!AB132,NĐ!AF132))=12)*(CHOOSE({1,2,3,4},NĐ!W132,NĐ!AA132,NĐ!AE132,NĐ!AI132)))</f>
        <v>0</v>
      </c>
    </row>
    <row r="133" spans="1:12">
      <c r="A133">
        <f>SUMPRODUCT((MONTH(CHOOSE({1,2,3,4},NĐ!T133,NĐ!X133,NĐ!AB133,NĐ!AF133))=1)*(CHOOSE({1,2,3,4},NĐ!W133,NĐ!AA133,NĐ!AE133,NĐ!AI133)))</f>
        <v>0</v>
      </c>
      <c r="B133">
        <f>SUMPRODUCT((MONTH(CHOOSE({1,2,3,4},NĐ!T133,NĐ!X133,NĐ!AB133,NĐ!AF133))=2)*(CHOOSE({1,2,3,4},NĐ!W133,NĐ!AA133,NĐ!AE133,NĐ!AI133)))</f>
        <v>0</v>
      </c>
      <c r="C133">
        <f>SUMPRODUCT((MONTH(CHOOSE({1,2,3,4},NĐ!T133,NĐ!X133,NĐ!AB133,NĐ!AF133))=3)*(CHOOSE({1,2,3,4},NĐ!W133,NĐ!AA133,NĐ!AE133,NĐ!AI133)))</f>
        <v>0</v>
      </c>
      <c r="D133">
        <f>SUMPRODUCT((MONTH(CHOOSE({1,2,3,4},NĐ!T133,NĐ!X133,NĐ!AB133,NĐ!AF133))=4)*(CHOOSE({1,2,3,4},NĐ!W133,NĐ!AA133,NĐ!AE133,NĐ!AI133)))</f>
        <v>0</v>
      </c>
      <c r="E133">
        <f>SUMPRODUCT((MONTH(CHOOSE({1,2,3,4},NĐ!T133,NĐ!X133,NĐ!AB133,NĐ!AF133))=5)*(CHOOSE({1,2,3,4},NĐ!W133,NĐ!AA133,NĐ!AE133,NĐ!AI133)))</f>
        <v>0</v>
      </c>
      <c r="F133">
        <f>SUMPRODUCT((MONTH(CHOOSE({1,2,3,4},NĐ!T133,NĐ!X133,NĐ!AB133,NĐ!AF133))=6)*(CHOOSE({1,2,3,4},NĐ!W133,NĐ!AA133,NĐ!AE133,NĐ!AI133)))</f>
        <v>0</v>
      </c>
      <c r="G133">
        <f>SUMPRODUCT((MONTH(CHOOSE({1,2,3,4},NĐ!T133,NĐ!X133,NĐ!AB133,NĐ!AF133))=7)*(CHOOSE({1,2,3,4},NĐ!W133,NĐ!AA133,NĐ!AE133,NĐ!AI133)))</f>
        <v>0</v>
      </c>
      <c r="H133">
        <f>SUMPRODUCT((MONTH(CHOOSE({1,2,3,4},NĐ!T133,NĐ!X133,NĐ!AB133,NĐ!AF133))=8)*(CHOOSE({1,2,3,4},NĐ!W133,NĐ!AA133,NĐ!AE133,NĐ!AI133)))</f>
        <v>0</v>
      </c>
      <c r="I133">
        <f>SUMPRODUCT((MONTH(CHOOSE({1,2,3,4},NĐ!T133,NĐ!X133,NĐ!AB133,NĐ!AF133))=9)*(CHOOSE({1,2,3,4},NĐ!W133,NĐ!AA133,NĐ!AE133,NĐ!AI133)))</f>
        <v>0</v>
      </c>
      <c r="J133">
        <f>SUMPRODUCT((MONTH(CHOOSE({1,2,3,4},NĐ!T133,NĐ!X133,NĐ!AB133,NĐ!AF133))=10)*(CHOOSE({1,2,3,4},NĐ!W133,NĐ!AA133,NĐ!AE133,NĐ!AI133)))</f>
        <v>0</v>
      </c>
      <c r="K133">
        <f>SUMPRODUCT((MONTH(CHOOSE({1,2,3,4},NĐ!T133,NĐ!X133,NĐ!AB133,NĐ!AF133))=11)*(CHOOSE({1,2,3,4},NĐ!W133,NĐ!AA133,NĐ!AE133,NĐ!AI133)))</f>
        <v>0</v>
      </c>
      <c r="L133">
        <f>SUMPRODUCT((MONTH(CHOOSE({1,2,3,4},NĐ!T133,NĐ!X133,NĐ!AB133,NĐ!AF133))=12)*(CHOOSE({1,2,3,4},NĐ!W133,NĐ!AA133,NĐ!AE133,NĐ!AI133)))</f>
        <v>0</v>
      </c>
    </row>
    <row r="134" spans="1:12">
      <c r="A134">
        <f>SUMPRODUCT((MONTH(CHOOSE({1,2,3,4},NĐ!T134,NĐ!X134,NĐ!AB134,NĐ!AF134))=1)*(CHOOSE({1,2,3,4},NĐ!W134,NĐ!AA134,NĐ!AE134,NĐ!AI134)))</f>
        <v>0</v>
      </c>
      <c r="B134">
        <f>SUMPRODUCT((MONTH(CHOOSE({1,2,3,4},NĐ!T134,NĐ!X134,NĐ!AB134,NĐ!AF134))=2)*(CHOOSE({1,2,3,4},NĐ!W134,NĐ!AA134,NĐ!AE134,NĐ!AI134)))</f>
        <v>0</v>
      </c>
      <c r="C134">
        <f>SUMPRODUCT((MONTH(CHOOSE({1,2,3,4},NĐ!T134,NĐ!X134,NĐ!AB134,NĐ!AF134))=3)*(CHOOSE({1,2,3,4},NĐ!W134,NĐ!AA134,NĐ!AE134,NĐ!AI134)))</f>
        <v>0</v>
      </c>
      <c r="D134">
        <f>SUMPRODUCT((MONTH(CHOOSE({1,2,3,4},NĐ!T134,NĐ!X134,NĐ!AB134,NĐ!AF134))=4)*(CHOOSE({1,2,3,4},NĐ!W134,NĐ!AA134,NĐ!AE134,NĐ!AI134)))</f>
        <v>0</v>
      </c>
      <c r="E134">
        <f>SUMPRODUCT((MONTH(CHOOSE({1,2,3,4},NĐ!T134,NĐ!X134,NĐ!AB134,NĐ!AF134))=5)*(CHOOSE({1,2,3,4},NĐ!W134,NĐ!AA134,NĐ!AE134,NĐ!AI134)))</f>
        <v>0</v>
      </c>
      <c r="F134">
        <f>SUMPRODUCT((MONTH(CHOOSE({1,2,3,4},NĐ!T134,NĐ!X134,NĐ!AB134,NĐ!AF134))=6)*(CHOOSE({1,2,3,4},NĐ!W134,NĐ!AA134,NĐ!AE134,NĐ!AI134)))</f>
        <v>0</v>
      </c>
      <c r="G134">
        <f>SUMPRODUCT((MONTH(CHOOSE({1,2,3,4},NĐ!T134,NĐ!X134,NĐ!AB134,NĐ!AF134))=7)*(CHOOSE({1,2,3,4},NĐ!W134,NĐ!AA134,NĐ!AE134,NĐ!AI134)))</f>
        <v>0</v>
      </c>
      <c r="H134">
        <f>SUMPRODUCT((MONTH(CHOOSE({1,2,3,4},NĐ!T134,NĐ!X134,NĐ!AB134,NĐ!AF134))=8)*(CHOOSE({1,2,3,4},NĐ!W134,NĐ!AA134,NĐ!AE134,NĐ!AI134)))</f>
        <v>0</v>
      </c>
      <c r="I134">
        <f>SUMPRODUCT((MONTH(CHOOSE({1,2,3,4},NĐ!T134,NĐ!X134,NĐ!AB134,NĐ!AF134))=9)*(CHOOSE({1,2,3,4},NĐ!W134,NĐ!AA134,NĐ!AE134,NĐ!AI134)))</f>
        <v>0</v>
      </c>
      <c r="J134">
        <f>SUMPRODUCT((MONTH(CHOOSE({1,2,3,4},NĐ!T134,NĐ!X134,NĐ!AB134,NĐ!AF134))=10)*(CHOOSE({1,2,3,4},NĐ!W134,NĐ!AA134,NĐ!AE134,NĐ!AI134)))</f>
        <v>0</v>
      </c>
      <c r="K134">
        <f>SUMPRODUCT((MONTH(CHOOSE({1,2,3,4},NĐ!T134,NĐ!X134,NĐ!AB134,NĐ!AF134))=11)*(CHOOSE({1,2,3,4},NĐ!W134,NĐ!AA134,NĐ!AE134,NĐ!AI134)))</f>
        <v>0</v>
      </c>
      <c r="L134">
        <f>SUMPRODUCT((MONTH(CHOOSE({1,2,3,4},NĐ!T134,NĐ!X134,NĐ!AB134,NĐ!AF134))=12)*(CHOOSE({1,2,3,4},NĐ!W134,NĐ!AA134,NĐ!AE134,NĐ!AI134)))</f>
        <v>0</v>
      </c>
    </row>
    <row r="135" spans="1:12">
      <c r="A135">
        <f>SUMPRODUCT((MONTH(CHOOSE({1,2,3,4},NĐ!T135,NĐ!X135,NĐ!AB135,NĐ!AF135))=1)*(CHOOSE({1,2,3,4},NĐ!W135,NĐ!AA135,NĐ!AE135,NĐ!AI135)))</f>
        <v>0</v>
      </c>
      <c r="B135">
        <f>SUMPRODUCT((MONTH(CHOOSE({1,2,3,4},NĐ!T135,NĐ!X135,NĐ!AB135,NĐ!AF135))=2)*(CHOOSE({1,2,3,4},NĐ!W135,NĐ!AA135,NĐ!AE135,NĐ!AI135)))</f>
        <v>0</v>
      </c>
      <c r="C135">
        <f>SUMPRODUCT((MONTH(CHOOSE({1,2,3,4},NĐ!T135,NĐ!X135,NĐ!AB135,NĐ!AF135))=3)*(CHOOSE({1,2,3,4},NĐ!W135,NĐ!AA135,NĐ!AE135,NĐ!AI135)))</f>
        <v>0</v>
      </c>
      <c r="D135">
        <f>SUMPRODUCT((MONTH(CHOOSE({1,2,3,4},NĐ!T135,NĐ!X135,NĐ!AB135,NĐ!AF135))=4)*(CHOOSE({1,2,3,4},NĐ!W135,NĐ!AA135,NĐ!AE135,NĐ!AI135)))</f>
        <v>0</v>
      </c>
      <c r="E135">
        <f>SUMPRODUCT((MONTH(CHOOSE({1,2,3,4},NĐ!T135,NĐ!X135,NĐ!AB135,NĐ!AF135))=5)*(CHOOSE({1,2,3,4},NĐ!W135,NĐ!AA135,NĐ!AE135,NĐ!AI135)))</f>
        <v>0</v>
      </c>
      <c r="F135">
        <f>SUMPRODUCT((MONTH(CHOOSE({1,2,3,4},NĐ!T135,NĐ!X135,NĐ!AB135,NĐ!AF135))=6)*(CHOOSE({1,2,3,4},NĐ!W135,NĐ!AA135,NĐ!AE135,NĐ!AI135)))</f>
        <v>0</v>
      </c>
      <c r="G135">
        <f>SUMPRODUCT((MONTH(CHOOSE({1,2,3,4},NĐ!T135,NĐ!X135,NĐ!AB135,NĐ!AF135))=7)*(CHOOSE({1,2,3,4},NĐ!W135,NĐ!AA135,NĐ!AE135,NĐ!AI135)))</f>
        <v>0</v>
      </c>
      <c r="H135">
        <f>SUMPRODUCT((MONTH(CHOOSE({1,2,3,4},NĐ!T135,NĐ!X135,NĐ!AB135,NĐ!AF135))=8)*(CHOOSE({1,2,3,4},NĐ!W135,NĐ!AA135,NĐ!AE135,NĐ!AI135)))</f>
        <v>0</v>
      </c>
      <c r="I135">
        <f>SUMPRODUCT((MONTH(CHOOSE({1,2,3,4},NĐ!T135,NĐ!X135,NĐ!AB135,NĐ!AF135))=9)*(CHOOSE({1,2,3,4},NĐ!W135,NĐ!AA135,NĐ!AE135,NĐ!AI135)))</f>
        <v>0</v>
      </c>
      <c r="J135">
        <f>SUMPRODUCT((MONTH(CHOOSE({1,2,3,4},NĐ!T135,NĐ!X135,NĐ!AB135,NĐ!AF135))=10)*(CHOOSE({1,2,3,4},NĐ!W135,NĐ!AA135,NĐ!AE135,NĐ!AI135)))</f>
        <v>0</v>
      </c>
      <c r="K135">
        <f>SUMPRODUCT((MONTH(CHOOSE({1,2,3,4},NĐ!T135,NĐ!X135,NĐ!AB135,NĐ!AF135))=11)*(CHOOSE({1,2,3,4},NĐ!W135,NĐ!AA135,NĐ!AE135,NĐ!AI135)))</f>
        <v>0</v>
      </c>
      <c r="L135">
        <f>SUMPRODUCT((MONTH(CHOOSE({1,2,3,4},NĐ!T135,NĐ!X135,NĐ!AB135,NĐ!AF135))=12)*(CHOOSE({1,2,3,4},NĐ!W135,NĐ!AA135,NĐ!AE135,NĐ!AI135)))</f>
        <v>0</v>
      </c>
    </row>
    <row r="136" spans="1:12">
      <c r="A136">
        <f>SUMPRODUCT((MONTH(CHOOSE({1,2,3,4},NĐ!T136,NĐ!X136,NĐ!AB136,NĐ!AF136))=1)*(CHOOSE({1,2,3,4},NĐ!W136,NĐ!AA136,NĐ!AE136,NĐ!AI136)))</f>
        <v>0</v>
      </c>
      <c r="B136">
        <f>SUMPRODUCT((MONTH(CHOOSE({1,2,3,4},NĐ!T136,NĐ!X136,NĐ!AB136,NĐ!AF136))=2)*(CHOOSE({1,2,3,4},NĐ!W136,NĐ!AA136,NĐ!AE136,NĐ!AI136)))</f>
        <v>0</v>
      </c>
      <c r="C136">
        <f>SUMPRODUCT((MONTH(CHOOSE({1,2,3,4},NĐ!T136,NĐ!X136,NĐ!AB136,NĐ!AF136))=3)*(CHOOSE({1,2,3,4},NĐ!W136,NĐ!AA136,NĐ!AE136,NĐ!AI136)))</f>
        <v>0</v>
      </c>
      <c r="D136">
        <f>SUMPRODUCT((MONTH(CHOOSE({1,2,3,4},NĐ!T136,NĐ!X136,NĐ!AB136,NĐ!AF136))=4)*(CHOOSE({1,2,3,4},NĐ!W136,NĐ!AA136,NĐ!AE136,NĐ!AI136)))</f>
        <v>0</v>
      </c>
      <c r="E136">
        <f>SUMPRODUCT((MONTH(CHOOSE({1,2,3,4},NĐ!T136,NĐ!X136,NĐ!AB136,NĐ!AF136))=5)*(CHOOSE({1,2,3,4},NĐ!W136,NĐ!AA136,NĐ!AE136,NĐ!AI136)))</f>
        <v>0</v>
      </c>
      <c r="F136">
        <f>SUMPRODUCT((MONTH(CHOOSE({1,2,3,4},NĐ!T136,NĐ!X136,NĐ!AB136,NĐ!AF136))=6)*(CHOOSE({1,2,3,4},NĐ!W136,NĐ!AA136,NĐ!AE136,NĐ!AI136)))</f>
        <v>0</v>
      </c>
      <c r="G136">
        <f>SUMPRODUCT((MONTH(CHOOSE({1,2,3,4},NĐ!T136,NĐ!X136,NĐ!AB136,NĐ!AF136))=7)*(CHOOSE({1,2,3,4},NĐ!W136,NĐ!AA136,NĐ!AE136,NĐ!AI136)))</f>
        <v>0</v>
      </c>
      <c r="H136">
        <f>SUMPRODUCT((MONTH(CHOOSE({1,2,3,4},NĐ!T136,NĐ!X136,NĐ!AB136,NĐ!AF136))=8)*(CHOOSE({1,2,3,4},NĐ!W136,NĐ!AA136,NĐ!AE136,NĐ!AI136)))</f>
        <v>0</v>
      </c>
      <c r="I136">
        <f>SUMPRODUCT((MONTH(CHOOSE({1,2,3,4},NĐ!T136,NĐ!X136,NĐ!AB136,NĐ!AF136))=9)*(CHOOSE({1,2,3,4},NĐ!W136,NĐ!AA136,NĐ!AE136,NĐ!AI136)))</f>
        <v>0</v>
      </c>
      <c r="J136">
        <f>SUMPRODUCT((MONTH(CHOOSE({1,2,3,4},NĐ!T136,NĐ!X136,NĐ!AB136,NĐ!AF136))=10)*(CHOOSE({1,2,3,4},NĐ!W136,NĐ!AA136,NĐ!AE136,NĐ!AI136)))</f>
        <v>0</v>
      </c>
      <c r="K136">
        <f>SUMPRODUCT((MONTH(CHOOSE({1,2,3,4},NĐ!T136,NĐ!X136,NĐ!AB136,NĐ!AF136))=11)*(CHOOSE({1,2,3,4},NĐ!W136,NĐ!AA136,NĐ!AE136,NĐ!AI136)))</f>
        <v>0</v>
      </c>
      <c r="L136">
        <f>SUMPRODUCT((MONTH(CHOOSE({1,2,3,4},NĐ!T136,NĐ!X136,NĐ!AB136,NĐ!AF136))=12)*(CHOOSE({1,2,3,4},NĐ!W136,NĐ!AA136,NĐ!AE136,NĐ!AI136)))</f>
        <v>0</v>
      </c>
    </row>
    <row r="137" spans="1:12">
      <c r="A137">
        <f>SUMPRODUCT((MONTH(CHOOSE({1,2,3,4},NĐ!T137,NĐ!X137,NĐ!AB137,NĐ!AF137))=1)*(CHOOSE({1,2,3,4},NĐ!W137,NĐ!AA137,NĐ!AE137,NĐ!AI137)))</f>
        <v>0</v>
      </c>
      <c r="B137">
        <f>SUMPRODUCT((MONTH(CHOOSE({1,2,3,4},NĐ!T137,NĐ!X137,NĐ!AB137,NĐ!AF137))=2)*(CHOOSE({1,2,3,4},NĐ!W137,NĐ!AA137,NĐ!AE137,NĐ!AI137)))</f>
        <v>0</v>
      </c>
      <c r="C137">
        <f>SUMPRODUCT((MONTH(CHOOSE({1,2,3,4},NĐ!T137,NĐ!X137,NĐ!AB137,NĐ!AF137))=3)*(CHOOSE({1,2,3,4},NĐ!W137,NĐ!AA137,NĐ!AE137,NĐ!AI137)))</f>
        <v>0</v>
      </c>
      <c r="D137">
        <f>SUMPRODUCT((MONTH(CHOOSE({1,2,3,4},NĐ!T137,NĐ!X137,NĐ!AB137,NĐ!AF137))=4)*(CHOOSE({1,2,3,4},NĐ!W137,NĐ!AA137,NĐ!AE137,NĐ!AI137)))</f>
        <v>0</v>
      </c>
      <c r="E137">
        <f>SUMPRODUCT((MONTH(CHOOSE({1,2,3,4},NĐ!T137,NĐ!X137,NĐ!AB137,NĐ!AF137))=5)*(CHOOSE({1,2,3,4},NĐ!W137,NĐ!AA137,NĐ!AE137,NĐ!AI137)))</f>
        <v>0</v>
      </c>
      <c r="F137">
        <f>SUMPRODUCT((MONTH(CHOOSE({1,2,3,4},NĐ!T137,NĐ!X137,NĐ!AB137,NĐ!AF137))=6)*(CHOOSE({1,2,3,4},NĐ!W137,NĐ!AA137,NĐ!AE137,NĐ!AI137)))</f>
        <v>0</v>
      </c>
      <c r="G137">
        <f>SUMPRODUCT((MONTH(CHOOSE({1,2,3,4},NĐ!T137,NĐ!X137,NĐ!AB137,NĐ!AF137))=7)*(CHOOSE({1,2,3,4},NĐ!W137,NĐ!AA137,NĐ!AE137,NĐ!AI137)))</f>
        <v>0</v>
      </c>
      <c r="H137">
        <f>SUMPRODUCT((MONTH(CHOOSE({1,2,3,4},NĐ!T137,NĐ!X137,NĐ!AB137,NĐ!AF137))=8)*(CHOOSE({1,2,3,4},NĐ!W137,NĐ!AA137,NĐ!AE137,NĐ!AI137)))</f>
        <v>0</v>
      </c>
      <c r="I137">
        <f>SUMPRODUCT((MONTH(CHOOSE({1,2,3,4},NĐ!T137,NĐ!X137,NĐ!AB137,NĐ!AF137))=9)*(CHOOSE({1,2,3,4},NĐ!W137,NĐ!AA137,NĐ!AE137,NĐ!AI137)))</f>
        <v>0</v>
      </c>
      <c r="J137">
        <f>SUMPRODUCT((MONTH(CHOOSE({1,2,3,4},NĐ!T137,NĐ!X137,NĐ!AB137,NĐ!AF137))=10)*(CHOOSE({1,2,3,4},NĐ!W137,NĐ!AA137,NĐ!AE137,NĐ!AI137)))</f>
        <v>0</v>
      </c>
      <c r="K137">
        <f>SUMPRODUCT((MONTH(CHOOSE({1,2,3,4},NĐ!T137,NĐ!X137,NĐ!AB137,NĐ!AF137))=11)*(CHOOSE({1,2,3,4},NĐ!W137,NĐ!AA137,NĐ!AE137,NĐ!AI137)))</f>
        <v>0</v>
      </c>
      <c r="L137">
        <f>SUMPRODUCT((MONTH(CHOOSE({1,2,3,4},NĐ!T137,NĐ!X137,NĐ!AB137,NĐ!AF137))=12)*(CHOOSE({1,2,3,4},NĐ!W137,NĐ!AA137,NĐ!AE137,NĐ!AI137)))</f>
        <v>0</v>
      </c>
    </row>
    <row r="138" spans="1:12">
      <c r="A138">
        <f>SUMPRODUCT((MONTH(CHOOSE({1,2,3,4},NĐ!T138,NĐ!X138,NĐ!AB138,NĐ!AF138))=1)*(CHOOSE({1,2,3,4},NĐ!W138,NĐ!AA138,NĐ!AE138,NĐ!AI138)))</f>
        <v>0</v>
      </c>
      <c r="B138">
        <f>SUMPRODUCT((MONTH(CHOOSE({1,2,3,4},NĐ!T138,NĐ!X138,NĐ!AB138,NĐ!AF138))=2)*(CHOOSE({1,2,3,4},NĐ!W138,NĐ!AA138,NĐ!AE138,NĐ!AI138)))</f>
        <v>0</v>
      </c>
      <c r="C138">
        <f>SUMPRODUCT((MONTH(CHOOSE({1,2,3,4},NĐ!T138,NĐ!X138,NĐ!AB138,NĐ!AF138))=3)*(CHOOSE({1,2,3,4},NĐ!W138,NĐ!AA138,NĐ!AE138,NĐ!AI138)))</f>
        <v>0</v>
      </c>
      <c r="D138">
        <f>SUMPRODUCT((MONTH(CHOOSE({1,2,3,4},NĐ!T138,NĐ!X138,NĐ!AB138,NĐ!AF138))=4)*(CHOOSE({1,2,3,4},NĐ!W138,NĐ!AA138,NĐ!AE138,NĐ!AI138)))</f>
        <v>0</v>
      </c>
      <c r="E138">
        <f>SUMPRODUCT((MONTH(CHOOSE({1,2,3,4},NĐ!T138,NĐ!X138,NĐ!AB138,NĐ!AF138))=5)*(CHOOSE({1,2,3,4},NĐ!W138,NĐ!AA138,NĐ!AE138,NĐ!AI138)))</f>
        <v>0</v>
      </c>
      <c r="F138">
        <f>SUMPRODUCT((MONTH(CHOOSE({1,2,3,4},NĐ!T138,NĐ!X138,NĐ!AB138,NĐ!AF138))=6)*(CHOOSE({1,2,3,4},NĐ!W138,NĐ!AA138,NĐ!AE138,NĐ!AI138)))</f>
        <v>0</v>
      </c>
      <c r="G138">
        <f>SUMPRODUCT((MONTH(CHOOSE({1,2,3,4},NĐ!T138,NĐ!X138,NĐ!AB138,NĐ!AF138))=7)*(CHOOSE({1,2,3,4},NĐ!W138,NĐ!AA138,NĐ!AE138,NĐ!AI138)))</f>
        <v>0</v>
      </c>
      <c r="H138">
        <f>SUMPRODUCT((MONTH(CHOOSE({1,2,3,4},NĐ!T138,NĐ!X138,NĐ!AB138,NĐ!AF138))=8)*(CHOOSE({1,2,3,4},NĐ!W138,NĐ!AA138,NĐ!AE138,NĐ!AI138)))</f>
        <v>0</v>
      </c>
      <c r="I138">
        <f>SUMPRODUCT((MONTH(CHOOSE({1,2,3,4},NĐ!T138,NĐ!X138,NĐ!AB138,NĐ!AF138))=9)*(CHOOSE({1,2,3,4},NĐ!W138,NĐ!AA138,NĐ!AE138,NĐ!AI138)))</f>
        <v>0</v>
      </c>
      <c r="J138">
        <f>SUMPRODUCT((MONTH(CHOOSE({1,2,3,4},NĐ!T138,NĐ!X138,NĐ!AB138,NĐ!AF138))=10)*(CHOOSE({1,2,3,4},NĐ!W138,NĐ!AA138,NĐ!AE138,NĐ!AI138)))</f>
        <v>0</v>
      </c>
      <c r="K138">
        <f>SUMPRODUCT((MONTH(CHOOSE({1,2,3,4},NĐ!T138,NĐ!X138,NĐ!AB138,NĐ!AF138))=11)*(CHOOSE({1,2,3,4},NĐ!W138,NĐ!AA138,NĐ!AE138,NĐ!AI138)))</f>
        <v>0</v>
      </c>
      <c r="L138">
        <f>SUMPRODUCT((MONTH(CHOOSE({1,2,3,4},NĐ!T138,NĐ!X138,NĐ!AB138,NĐ!AF138))=12)*(CHOOSE({1,2,3,4},NĐ!W138,NĐ!AA138,NĐ!AE138,NĐ!AI138)))</f>
        <v>0</v>
      </c>
    </row>
    <row r="139" spans="1:12">
      <c r="A139">
        <f>SUMPRODUCT((MONTH(CHOOSE({1,2,3,4},NĐ!T139,NĐ!X139,NĐ!AB139,NĐ!AF139))=1)*(CHOOSE({1,2,3,4},NĐ!W139,NĐ!AA139,NĐ!AE139,NĐ!AI139)))</f>
        <v>0</v>
      </c>
      <c r="B139">
        <f>SUMPRODUCT((MONTH(CHOOSE({1,2,3,4},NĐ!T139,NĐ!X139,NĐ!AB139,NĐ!AF139))=2)*(CHOOSE({1,2,3,4},NĐ!W139,NĐ!AA139,NĐ!AE139,NĐ!AI139)))</f>
        <v>0</v>
      </c>
      <c r="C139">
        <f>SUMPRODUCT((MONTH(CHOOSE({1,2,3,4},NĐ!T139,NĐ!X139,NĐ!AB139,NĐ!AF139))=3)*(CHOOSE({1,2,3,4},NĐ!W139,NĐ!AA139,NĐ!AE139,NĐ!AI139)))</f>
        <v>0</v>
      </c>
      <c r="D139">
        <f>SUMPRODUCT((MONTH(CHOOSE({1,2,3,4},NĐ!T139,NĐ!X139,NĐ!AB139,NĐ!AF139))=4)*(CHOOSE({1,2,3,4},NĐ!W139,NĐ!AA139,NĐ!AE139,NĐ!AI139)))</f>
        <v>0</v>
      </c>
      <c r="E139">
        <f>SUMPRODUCT((MONTH(CHOOSE({1,2,3,4},NĐ!T139,NĐ!X139,NĐ!AB139,NĐ!AF139))=5)*(CHOOSE({1,2,3,4},NĐ!W139,NĐ!AA139,NĐ!AE139,NĐ!AI139)))</f>
        <v>0</v>
      </c>
      <c r="F139">
        <f>SUMPRODUCT((MONTH(CHOOSE({1,2,3,4},NĐ!T139,NĐ!X139,NĐ!AB139,NĐ!AF139))=6)*(CHOOSE({1,2,3,4},NĐ!W139,NĐ!AA139,NĐ!AE139,NĐ!AI139)))</f>
        <v>0</v>
      </c>
      <c r="G139">
        <f>SUMPRODUCT((MONTH(CHOOSE({1,2,3,4},NĐ!T139,NĐ!X139,NĐ!AB139,NĐ!AF139))=7)*(CHOOSE({1,2,3,4},NĐ!W139,NĐ!AA139,NĐ!AE139,NĐ!AI139)))</f>
        <v>0</v>
      </c>
      <c r="H139">
        <f>SUMPRODUCT((MONTH(CHOOSE({1,2,3,4},NĐ!T139,NĐ!X139,NĐ!AB139,NĐ!AF139))=8)*(CHOOSE({1,2,3,4},NĐ!W139,NĐ!AA139,NĐ!AE139,NĐ!AI139)))</f>
        <v>0</v>
      </c>
      <c r="I139">
        <f>SUMPRODUCT((MONTH(CHOOSE({1,2,3,4},NĐ!T139,NĐ!X139,NĐ!AB139,NĐ!AF139))=9)*(CHOOSE({1,2,3,4},NĐ!W139,NĐ!AA139,NĐ!AE139,NĐ!AI139)))</f>
        <v>0</v>
      </c>
      <c r="J139">
        <f>SUMPRODUCT((MONTH(CHOOSE({1,2,3,4},NĐ!T139,NĐ!X139,NĐ!AB139,NĐ!AF139))=10)*(CHOOSE({1,2,3,4},NĐ!W139,NĐ!AA139,NĐ!AE139,NĐ!AI139)))</f>
        <v>0</v>
      </c>
      <c r="K139">
        <f>SUMPRODUCT((MONTH(CHOOSE({1,2,3,4},NĐ!T139,NĐ!X139,NĐ!AB139,NĐ!AF139))=11)*(CHOOSE({1,2,3,4},NĐ!W139,NĐ!AA139,NĐ!AE139,NĐ!AI139)))</f>
        <v>0</v>
      </c>
      <c r="L139">
        <f>SUMPRODUCT((MONTH(CHOOSE({1,2,3,4},NĐ!T139,NĐ!X139,NĐ!AB139,NĐ!AF139))=12)*(CHOOSE({1,2,3,4},NĐ!W139,NĐ!AA139,NĐ!AE139,NĐ!AI139)))</f>
        <v>0</v>
      </c>
    </row>
    <row r="140" spans="1:12">
      <c r="A140">
        <f>SUMPRODUCT((MONTH(CHOOSE({1,2,3,4},NĐ!T140,NĐ!X140,NĐ!AB140,NĐ!AF140))=1)*(CHOOSE({1,2,3,4},NĐ!W140,NĐ!AA140,NĐ!AE140,NĐ!AI140)))</f>
        <v>0</v>
      </c>
      <c r="B140">
        <f>SUMPRODUCT((MONTH(CHOOSE({1,2,3,4},NĐ!T140,NĐ!X140,NĐ!AB140,NĐ!AF140))=2)*(CHOOSE({1,2,3,4},NĐ!W140,NĐ!AA140,NĐ!AE140,NĐ!AI140)))</f>
        <v>0</v>
      </c>
      <c r="C140">
        <f>SUMPRODUCT((MONTH(CHOOSE({1,2,3,4},NĐ!T140,NĐ!X140,NĐ!AB140,NĐ!AF140))=3)*(CHOOSE({1,2,3,4},NĐ!W140,NĐ!AA140,NĐ!AE140,NĐ!AI140)))</f>
        <v>0</v>
      </c>
      <c r="D140">
        <f>SUMPRODUCT((MONTH(CHOOSE({1,2,3,4},NĐ!T140,NĐ!X140,NĐ!AB140,NĐ!AF140))=4)*(CHOOSE({1,2,3,4},NĐ!W140,NĐ!AA140,NĐ!AE140,NĐ!AI140)))</f>
        <v>0</v>
      </c>
      <c r="E140">
        <f>SUMPRODUCT((MONTH(CHOOSE({1,2,3,4},NĐ!T140,NĐ!X140,NĐ!AB140,NĐ!AF140))=5)*(CHOOSE({1,2,3,4},NĐ!W140,NĐ!AA140,NĐ!AE140,NĐ!AI140)))</f>
        <v>0</v>
      </c>
      <c r="F140">
        <f>SUMPRODUCT((MONTH(CHOOSE({1,2,3,4},NĐ!T140,NĐ!X140,NĐ!AB140,NĐ!AF140))=6)*(CHOOSE({1,2,3,4},NĐ!W140,NĐ!AA140,NĐ!AE140,NĐ!AI140)))</f>
        <v>0</v>
      </c>
      <c r="G140">
        <f>SUMPRODUCT((MONTH(CHOOSE({1,2,3,4},NĐ!T140,NĐ!X140,NĐ!AB140,NĐ!AF140))=7)*(CHOOSE({1,2,3,4},NĐ!W140,NĐ!AA140,NĐ!AE140,NĐ!AI140)))</f>
        <v>0</v>
      </c>
      <c r="H140">
        <f>SUMPRODUCT((MONTH(CHOOSE({1,2,3,4},NĐ!T140,NĐ!X140,NĐ!AB140,NĐ!AF140))=8)*(CHOOSE({1,2,3,4},NĐ!W140,NĐ!AA140,NĐ!AE140,NĐ!AI140)))</f>
        <v>0</v>
      </c>
      <c r="I140">
        <f>SUMPRODUCT((MONTH(CHOOSE({1,2,3,4},NĐ!T140,NĐ!X140,NĐ!AB140,NĐ!AF140))=9)*(CHOOSE({1,2,3,4},NĐ!W140,NĐ!AA140,NĐ!AE140,NĐ!AI140)))</f>
        <v>0</v>
      </c>
      <c r="J140">
        <f>SUMPRODUCT((MONTH(CHOOSE({1,2,3,4},NĐ!T140,NĐ!X140,NĐ!AB140,NĐ!AF140))=10)*(CHOOSE({1,2,3,4},NĐ!W140,NĐ!AA140,NĐ!AE140,NĐ!AI140)))</f>
        <v>0</v>
      </c>
      <c r="K140">
        <f>SUMPRODUCT((MONTH(CHOOSE({1,2,3,4},NĐ!T140,NĐ!X140,NĐ!AB140,NĐ!AF140))=11)*(CHOOSE({1,2,3,4},NĐ!W140,NĐ!AA140,NĐ!AE140,NĐ!AI140)))</f>
        <v>0</v>
      </c>
      <c r="L140">
        <f>SUMPRODUCT((MONTH(CHOOSE({1,2,3,4},NĐ!T140,NĐ!X140,NĐ!AB140,NĐ!AF140))=12)*(CHOOSE({1,2,3,4},NĐ!W140,NĐ!AA140,NĐ!AE140,NĐ!AI140)))</f>
        <v>0</v>
      </c>
    </row>
    <row r="141" spans="1:12">
      <c r="A141">
        <f>SUMPRODUCT((MONTH(CHOOSE({1,2,3,4},NĐ!T141,NĐ!X141,NĐ!AB141,NĐ!AF141))=1)*(CHOOSE({1,2,3,4},NĐ!W141,NĐ!AA141,NĐ!AE141,NĐ!AI141)))</f>
        <v>0</v>
      </c>
      <c r="B141">
        <f>SUMPRODUCT((MONTH(CHOOSE({1,2,3,4},NĐ!T141,NĐ!X141,NĐ!AB141,NĐ!AF141))=2)*(CHOOSE({1,2,3,4},NĐ!W141,NĐ!AA141,NĐ!AE141,NĐ!AI141)))</f>
        <v>0</v>
      </c>
      <c r="C141">
        <f>SUMPRODUCT((MONTH(CHOOSE({1,2,3,4},NĐ!T141,NĐ!X141,NĐ!AB141,NĐ!AF141))=3)*(CHOOSE({1,2,3,4},NĐ!W141,NĐ!AA141,NĐ!AE141,NĐ!AI141)))</f>
        <v>0</v>
      </c>
      <c r="D141">
        <f>SUMPRODUCT((MONTH(CHOOSE({1,2,3,4},NĐ!T141,NĐ!X141,NĐ!AB141,NĐ!AF141))=4)*(CHOOSE({1,2,3,4},NĐ!W141,NĐ!AA141,NĐ!AE141,NĐ!AI141)))</f>
        <v>0</v>
      </c>
      <c r="E141">
        <f>SUMPRODUCT((MONTH(CHOOSE({1,2,3,4},NĐ!T141,NĐ!X141,NĐ!AB141,NĐ!AF141))=5)*(CHOOSE({1,2,3,4},NĐ!W141,NĐ!AA141,NĐ!AE141,NĐ!AI141)))</f>
        <v>0</v>
      </c>
      <c r="F141">
        <f>SUMPRODUCT((MONTH(CHOOSE({1,2,3,4},NĐ!T141,NĐ!X141,NĐ!AB141,NĐ!AF141))=6)*(CHOOSE({1,2,3,4},NĐ!W141,NĐ!AA141,NĐ!AE141,NĐ!AI141)))</f>
        <v>0</v>
      </c>
      <c r="G141">
        <f>SUMPRODUCT((MONTH(CHOOSE({1,2,3,4},NĐ!T141,NĐ!X141,NĐ!AB141,NĐ!AF141))=7)*(CHOOSE({1,2,3,4},NĐ!W141,NĐ!AA141,NĐ!AE141,NĐ!AI141)))</f>
        <v>0</v>
      </c>
      <c r="H141">
        <f>SUMPRODUCT((MONTH(CHOOSE({1,2,3,4},NĐ!T141,NĐ!X141,NĐ!AB141,NĐ!AF141))=8)*(CHOOSE({1,2,3,4},NĐ!W141,NĐ!AA141,NĐ!AE141,NĐ!AI141)))</f>
        <v>0</v>
      </c>
      <c r="I141">
        <f>SUMPRODUCT((MONTH(CHOOSE({1,2,3,4},NĐ!T141,NĐ!X141,NĐ!AB141,NĐ!AF141))=9)*(CHOOSE({1,2,3,4},NĐ!W141,NĐ!AA141,NĐ!AE141,NĐ!AI141)))</f>
        <v>0</v>
      </c>
      <c r="J141">
        <f>SUMPRODUCT((MONTH(CHOOSE({1,2,3,4},NĐ!T141,NĐ!X141,NĐ!AB141,NĐ!AF141))=10)*(CHOOSE({1,2,3,4},NĐ!W141,NĐ!AA141,NĐ!AE141,NĐ!AI141)))</f>
        <v>0</v>
      </c>
      <c r="K141">
        <f>SUMPRODUCT((MONTH(CHOOSE({1,2,3,4},NĐ!T141,NĐ!X141,NĐ!AB141,NĐ!AF141))=11)*(CHOOSE({1,2,3,4},NĐ!W141,NĐ!AA141,NĐ!AE141,NĐ!AI141)))</f>
        <v>0</v>
      </c>
      <c r="L141">
        <f>SUMPRODUCT((MONTH(CHOOSE({1,2,3,4},NĐ!T141,NĐ!X141,NĐ!AB141,NĐ!AF141))=12)*(CHOOSE({1,2,3,4},NĐ!W141,NĐ!AA141,NĐ!AE141,NĐ!AI141)))</f>
        <v>0</v>
      </c>
    </row>
    <row r="142" spans="1:12">
      <c r="A142">
        <f>SUMPRODUCT((MONTH(CHOOSE({1,2,3,4},NĐ!T142,NĐ!X142,NĐ!AB142,NĐ!AF142))=1)*(CHOOSE({1,2,3,4},NĐ!W142,NĐ!AA142,NĐ!AE142,NĐ!AI142)))</f>
        <v>0</v>
      </c>
      <c r="B142">
        <f>SUMPRODUCT((MONTH(CHOOSE({1,2,3,4},NĐ!T142,NĐ!X142,NĐ!AB142,NĐ!AF142))=2)*(CHOOSE({1,2,3,4},NĐ!W142,NĐ!AA142,NĐ!AE142,NĐ!AI142)))</f>
        <v>0</v>
      </c>
      <c r="C142">
        <f>SUMPRODUCT((MONTH(CHOOSE({1,2,3,4},NĐ!T142,NĐ!X142,NĐ!AB142,NĐ!AF142))=3)*(CHOOSE({1,2,3,4},NĐ!W142,NĐ!AA142,NĐ!AE142,NĐ!AI142)))</f>
        <v>0</v>
      </c>
      <c r="D142">
        <f>SUMPRODUCT((MONTH(CHOOSE({1,2,3,4},NĐ!T142,NĐ!X142,NĐ!AB142,NĐ!AF142))=4)*(CHOOSE({1,2,3,4},NĐ!W142,NĐ!AA142,NĐ!AE142,NĐ!AI142)))</f>
        <v>0</v>
      </c>
      <c r="E142">
        <f>SUMPRODUCT((MONTH(CHOOSE({1,2,3,4},NĐ!T142,NĐ!X142,NĐ!AB142,NĐ!AF142))=5)*(CHOOSE({1,2,3,4},NĐ!W142,NĐ!AA142,NĐ!AE142,NĐ!AI142)))</f>
        <v>0</v>
      </c>
      <c r="F142">
        <f>SUMPRODUCT((MONTH(CHOOSE({1,2,3,4},NĐ!T142,NĐ!X142,NĐ!AB142,NĐ!AF142))=6)*(CHOOSE({1,2,3,4},NĐ!W142,NĐ!AA142,NĐ!AE142,NĐ!AI142)))</f>
        <v>0</v>
      </c>
      <c r="G142">
        <f>SUMPRODUCT((MONTH(CHOOSE({1,2,3,4},NĐ!T142,NĐ!X142,NĐ!AB142,NĐ!AF142))=7)*(CHOOSE({1,2,3,4},NĐ!W142,NĐ!AA142,NĐ!AE142,NĐ!AI142)))</f>
        <v>0</v>
      </c>
      <c r="H142">
        <f>SUMPRODUCT((MONTH(CHOOSE({1,2,3,4},NĐ!T142,NĐ!X142,NĐ!AB142,NĐ!AF142))=8)*(CHOOSE({1,2,3,4},NĐ!W142,NĐ!AA142,NĐ!AE142,NĐ!AI142)))</f>
        <v>0</v>
      </c>
      <c r="I142">
        <f>SUMPRODUCT((MONTH(CHOOSE({1,2,3,4},NĐ!T142,NĐ!X142,NĐ!AB142,NĐ!AF142))=9)*(CHOOSE({1,2,3,4},NĐ!W142,NĐ!AA142,NĐ!AE142,NĐ!AI142)))</f>
        <v>0</v>
      </c>
      <c r="J142">
        <f>SUMPRODUCT((MONTH(CHOOSE({1,2,3,4},NĐ!T142,NĐ!X142,NĐ!AB142,NĐ!AF142))=10)*(CHOOSE({1,2,3,4},NĐ!W142,NĐ!AA142,NĐ!AE142,NĐ!AI142)))</f>
        <v>0</v>
      </c>
      <c r="K142">
        <f>SUMPRODUCT((MONTH(CHOOSE({1,2,3,4},NĐ!T142,NĐ!X142,NĐ!AB142,NĐ!AF142))=11)*(CHOOSE({1,2,3,4},NĐ!W142,NĐ!AA142,NĐ!AE142,NĐ!AI142)))</f>
        <v>0</v>
      </c>
      <c r="L142">
        <f>SUMPRODUCT((MONTH(CHOOSE({1,2,3,4},NĐ!T142,NĐ!X142,NĐ!AB142,NĐ!AF142))=12)*(CHOOSE({1,2,3,4},NĐ!W142,NĐ!AA142,NĐ!AE142,NĐ!AI142)))</f>
        <v>0</v>
      </c>
    </row>
    <row r="143" spans="1:12">
      <c r="A143">
        <f>SUMPRODUCT((MONTH(CHOOSE({1,2,3,4},NĐ!T143,NĐ!X143,NĐ!AB143,NĐ!AF143))=1)*(CHOOSE({1,2,3,4},NĐ!W143,NĐ!AA143,NĐ!AE143,NĐ!AI143)))</f>
        <v>0</v>
      </c>
      <c r="B143">
        <f>SUMPRODUCT((MONTH(CHOOSE({1,2,3,4},NĐ!T143,NĐ!X143,NĐ!AB143,NĐ!AF143))=2)*(CHOOSE({1,2,3,4},NĐ!W143,NĐ!AA143,NĐ!AE143,NĐ!AI143)))</f>
        <v>0</v>
      </c>
      <c r="C143">
        <f>SUMPRODUCT((MONTH(CHOOSE({1,2,3,4},NĐ!T143,NĐ!X143,NĐ!AB143,NĐ!AF143))=3)*(CHOOSE({1,2,3,4},NĐ!W143,NĐ!AA143,NĐ!AE143,NĐ!AI143)))</f>
        <v>0</v>
      </c>
      <c r="D143">
        <f>SUMPRODUCT((MONTH(CHOOSE({1,2,3,4},NĐ!T143,NĐ!X143,NĐ!AB143,NĐ!AF143))=4)*(CHOOSE({1,2,3,4},NĐ!W143,NĐ!AA143,NĐ!AE143,NĐ!AI143)))</f>
        <v>0</v>
      </c>
      <c r="E143">
        <f>SUMPRODUCT((MONTH(CHOOSE({1,2,3,4},NĐ!T143,NĐ!X143,NĐ!AB143,NĐ!AF143))=5)*(CHOOSE({1,2,3,4},NĐ!W143,NĐ!AA143,NĐ!AE143,NĐ!AI143)))</f>
        <v>0</v>
      </c>
      <c r="F143">
        <f>SUMPRODUCT((MONTH(CHOOSE({1,2,3,4},NĐ!T143,NĐ!X143,NĐ!AB143,NĐ!AF143))=6)*(CHOOSE({1,2,3,4},NĐ!W143,NĐ!AA143,NĐ!AE143,NĐ!AI143)))</f>
        <v>0</v>
      </c>
      <c r="G143">
        <f>SUMPRODUCT((MONTH(CHOOSE({1,2,3,4},NĐ!T143,NĐ!X143,NĐ!AB143,NĐ!AF143))=7)*(CHOOSE({1,2,3,4},NĐ!W143,NĐ!AA143,NĐ!AE143,NĐ!AI143)))</f>
        <v>0</v>
      </c>
      <c r="H143">
        <f>SUMPRODUCT((MONTH(CHOOSE({1,2,3,4},NĐ!T143,NĐ!X143,NĐ!AB143,NĐ!AF143))=8)*(CHOOSE({1,2,3,4},NĐ!W143,NĐ!AA143,NĐ!AE143,NĐ!AI143)))</f>
        <v>0</v>
      </c>
      <c r="I143">
        <f>SUMPRODUCT((MONTH(CHOOSE({1,2,3,4},NĐ!T143,NĐ!X143,NĐ!AB143,NĐ!AF143))=9)*(CHOOSE({1,2,3,4},NĐ!W143,NĐ!AA143,NĐ!AE143,NĐ!AI143)))</f>
        <v>0</v>
      </c>
      <c r="J143">
        <f>SUMPRODUCT((MONTH(CHOOSE({1,2,3,4},NĐ!T143,NĐ!X143,NĐ!AB143,NĐ!AF143))=10)*(CHOOSE({1,2,3,4},NĐ!W143,NĐ!AA143,NĐ!AE143,NĐ!AI143)))</f>
        <v>0</v>
      </c>
      <c r="K143">
        <f>SUMPRODUCT((MONTH(CHOOSE({1,2,3,4},NĐ!T143,NĐ!X143,NĐ!AB143,NĐ!AF143))=11)*(CHOOSE({1,2,3,4},NĐ!W143,NĐ!AA143,NĐ!AE143,NĐ!AI143)))</f>
        <v>0</v>
      </c>
      <c r="L143">
        <f>SUMPRODUCT((MONTH(CHOOSE({1,2,3,4},NĐ!T143,NĐ!X143,NĐ!AB143,NĐ!AF143))=12)*(CHOOSE({1,2,3,4},NĐ!W143,NĐ!AA143,NĐ!AE143,NĐ!AI143)))</f>
        <v>0</v>
      </c>
    </row>
    <row r="144" spans="1:12">
      <c r="A144">
        <f>SUMPRODUCT((MONTH(CHOOSE({1,2,3,4},NĐ!T144,NĐ!X144,NĐ!AB144,NĐ!AF144))=1)*(CHOOSE({1,2,3,4},NĐ!W144,NĐ!AA144,NĐ!AE144,NĐ!AI144)))</f>
        <v>0</v>
      </c>
      <c r="B144">
        <f>SUMPRODUCT((MONTH(CHOOSE({1,2,3,4},NĐ!T144,NĐ!X144,NĐ!AB144,NĐ!AF144))=2)*(CHOOSE({1,2,3,4},NĐ!W144,NĐ!AA144,NĐ!AE144,NĐ!AI144)))</f>
        <v>0</v>
      </c>
      <c r="C144">
        <f>SUMPRODUCT((MONTH(CHOOSE({1,2,3,4},NĐ!T144,NĐ!X144,NĐ!AB144,NĐ!AF144))=3)*(CHOOSE({1,2,3,4},NĐ!W144,NĐ!AA144,NĐ!AE144,NĐ!AI144)))</f>
        <v>0</v>
      </c>
      <c r="D144">
        <f>SUMPRODUCT((MONTH(CHOOSE({1,2,3,4},NĐ!T144,NĐ!X144,NĐ!AB144,NĐ!AF144))=4)*(CHOOSE({1,2,3,4},NĐ!W144,NĐ!AA144,NĐ!AE144,NĐ!AI144)))</f>
        <v>0</v>
      </c>
      <c r="E144">
        <f>SUMPRODUCT((MONTH(CHOOSE({1,2,3,4},NĐ!T144,NĐ!X144,NĐ!AB144,NĐ!AF144))=5)*(CHOOSE({1,2,3,4},NĐ!W144,NĐ!AA144,NĐ!AE144,NĐ!AI144)))</f>
        <v>0</v>
      </c>
      <c r="F144">
        <f>SUMPRODUCT((MONTH(CHOOSE({1,2,3,4},NĐ!T144,NĐ!X144,NĐ!AB144,NĐ!AF144))=6)*(CHOOSE({1,2,3,4},NĐ!W144,NĐ!AA144,NĐ!AE144,NĐ!AI144)))</f>
        <v>0</v>
      </c>
      <c r="G144">
        <f>SUMPRODUCT((MONTH(CHOOSE({1,2,3,4},NĐ!T144,NĐ!X144,NĐ!AB144,NĐ!AF144))=7)*(CHOOSE({1,2,3,4},NĐ!W144,NĐ!AA144,NĐ!AE144,NĐ!AI144)))</f>
        <v>0</v>
      </c>
      <c r="H144">
        <f>SUMPRODUCT((MONTH(CHOOSE({1,2,3,4},NĐ!T144,NĐ!X144,NĐ!AB144,NĐ!AF144))=8)*(CHOOSE({1,2,3,4},NĐ!W144,NĐ!AA144,NĐ!AE144,NĐ!AI144)))</f>
        <v>0</v>
      </c>
      <c r="I144">
        <f>SUMPRODUCT((MONTH(CHOOSE({1,2,3,4},NĐ!T144,NĐ!X144,NĐ!AB144,NĐ!AF144))=9)*(CHOOSE({1,2,3,4},NĐ!W144,NĐ!AA144,NĐ!AE144,NĐ!AI144)))</f>
        <v>0</v>
      </c>
      <c r="J144">
        <f>SUMPRODUCT((MONTH(CHOOSE({1,2,3,4},NĐ!T144,NĐ!X144,NĐ!AB144,NĐ!AF144))=10)*(CHOOSE({1,2,3,4},NĐ!W144,NĐ!AA144,NĐ!AE144,NĐ!AI144)))</f>
        <v>0</v>
      </c>
      <c r="K144">
        <f>SUMPRODUCT((MONTH(CHOOSE({1,2,3,4},NĐ!T144,NĐ!X144,NĐ!AB144,NĐ!AF144))=11)*(CHOOSE({1,2,3,4},NĐ!W144,NĐ!AA144,NĐ!AE144,NĐ!AI144)))</f>
        <v>0</v>
      </c>
      <c r="L144">
        <f>SUMPRODUCT((MONTH(CHOOSE({1,2,3,4},NĐ!T144,NĐ!X144,NĐ!AB144,NĐ!AF144))=12)*(CHOOSE({1,2,3,4},NĐ!W144,NĐ!AA144,NĐ!AE144,NĐ!AI144)))</f>
        <v>0</v>
      </c>
    </row>
    <row r="145" spans="1:12">
      <c r="A145">
        <f>SUMPRODUCT((MONTH(CHOOSE({1,2,3,4},NĐ!T145,NĐ!X145,NĐ!AB145,NĐ!AF145))=1)*(CHOOSE({1,2,3,4},NĐ!W145,NĐ!AA145,NĐ!AE145,NĐ!AI145)))</f>
        <v>0</v>
      </c>
      <c r="B145">
        <f>SUMPRODUCT((MONTH(CHOOSE({1,2,3,4},NĐ!T145,NĐ!X145,NĐ!AB145,NĐ!AF145))=2)*(CHOOSE({1,2,3,4},NĐ!W145,NĐ!AA145,NĐ!AE145,NĐ!AI145)))</f>
        <v>0</v>
      </c>
      <c r="C145">
        <f>SUMPRODUCT((MONTH(CHOOSE({1,2,3,4},NĐ!T145,NĐ!X145,NĐ!AB145,NĐ!AF145))=3)*(CHOOSE({1,2,3,4},NĐ!W145,NĐ!AA145,NĐ!AE145,NĐ!AI145)))</f>
        <v>0</v>
      </c>
      <c r="D145">
        <f>SUMPRODUCT((MONTH(CHOOSE({1,2,3,4},NĐ!T145,NĐ!X145,NĐ!AB145,NĐ!AF145))=4)*(CHOOSE({1,2,3,4},NĐ!W145,NĐ!AA145,NĐ!AE145,NĐ!AI145)))</f>
        <v>0</v>
      </c>
      <c r="E145">
        <f>SUMPRODUCT((MONTH(CHOOSE({1,2,3,4},NĐ!T145,NĐ!X145,NĐ!AB145,NĐ!AF145))=5)*(CHOOSE({1,2,3,4},NĐ!W145,NĐ!AA145,NĐ!AE145,NĐ!AI145)))</f>
        <v>0</v>
      </c>
      <c r="F145">
        <f>SUMPRODUCT((MONTH(CHOOSE({1,2,3,4},NĐ!T145,NĐ!X145,NĐ!AB145,NĐ!AF145))=6)*(CHOOSE({1,2,3,4},NĐ!W145,NĐ!AA145,NĐ!AE145,NĐ!AI145)))</f>
        <v>0</v>
      </c>
      <c r="G145">
        <f>SUMPRODUCT((MONTH(CHOOSE({1,2,3,4},NĐ!T145,NĐ!X145,NĐ!AB145,NĐ!AF145))=7)*(CHOOSE({1,2,3,4},NĐ!W145,NĐ!AA145,NĐ!AE145,NĐ!AI145)))</f>
        <v>0</v>
      </c>
      <c r="H145">
        <f>SUMPRODUCT((MONTH(CHOOSE({1,2,3,4},NĐ!T145,NĐ!X145,NĐ!AB145,NĐ!AF145))=8)*(CHOOSE({1,2,3,4},NĐ!W145,NĐ!AA145,NĐ!AE145,NĐ!AI145)))</f>
        <v>0</v>
      </c>
      <c r="I145">
        <f>SUMPRODUCT((MONTH(CHOOSE({1,2,3,4},NĐ!T145,NĐ!X145,NĐ!AB145,NĐ!AF145))=9)*(CHOOSE({1,2,3,4},NĐ!W145,NĐ!AA145,NĐ!AE145,NĐ!AI145)))</f>
        <v>0</v>
      </c>
      <c r="J145">
        <f>SUMPRODUCT((MONTH(CHOOSE({1,2,3,4},NĐ!T145,NĐ!X145,NĐ!AB145,NĐ!AF145))=10)*(CHOOSE({1,2,3,4},NĐ!W145,NĐ!AA145,NĐ!AE145,NĐ!AI145)))</f>
        <v>0</v>
      </c>
      <c r="K145">
        <f>SUMPRODUCT((MONTH(CHOOSE({1,2,3,4},NĐ!T145,NĐ!X145,NĐ!AB145,NĐ!AF145))=11)*(CHOOSE({1,2,3,4},NĐ!W145,NĐ!AA145,NĐ!AE145,NĐ!AI145)))</f>
        <v>0</v>
      </c>
      <c r="L145">
        <f>SUMPRODUCT((MONTH(CHOOSE({1,2,3,4},NĐ!T145,NĐ!X145,NĐ!AB145,NĐ!AF145))=12)*(CHOOSE({1,2,3,4},NĐ!W145,NĐ!AA145,NĐ!AE145,NĐ!AI145)))</f>
        <v>0</v>
      </c>
    </row>
    <row r="146" spans="1:12">
      <c r="A146">
        <f>SUMPRODUCT((MONTH(CHOOSE({1,2,3,4},NĐ!T146,NĐ!X146,NĐ!AB146,NĐ!AF146))=1)*(CHOOSE({1,2,3,4},NĐ!W146,NĐ!AA146,NĐ!AE146,NĐ!AI146)))</f>
        <v>0</v>
      </c>
      <c r="B146">
        <f>SUMPRODUCT((MONTH(CHOOSE({1,2,3,4},NĐ!T146,NĐ!X146,NĐ!AB146,NĐ!AF146))=2)*(CHOOSE({1,2,3,4},NĐ!W146,NĐ!AA146,NĐ!AE146,NĐ!AI146)))</f>
        <v>0</v>
      </c>
      <c r="C146">
        <f>SUMPRODUCT((MONTH(CHOOSE({1,2,3,4},NĐ!T146,NĐ!X146,NĐ!AB146,NĐ!AF146))=3)*(CHOOSE({1,2,3,4},NĐ!W146,NĐ!AA146,NĐ!AE146,NĐ!AI146)))</f>
        <v>0</v>
      </c>
      <c r="D146">
        <f>SUMPRODUCT((MONTH(CHOOSE({1,2,3,4},NĐ!T146,NĐ!X146,NĐ!AB146,NĐ!AF146))=4)*(CHOOSE({1,2,3,4},NĐ!W146,NĐ!AA146,NĐ!AE146,NĐ!AI146)))</f>
        <v>0</v>
      </c>
      <c r="E146">
        <f>SUMPRODUCT((MONTH(CHOOSE({1,2,3,4},NĐ!T146,NĐ!X146,NĐ!AB146,NĐ!AF146))=5)*(CHOOSE({1,2,3,4},NĐ!W146,NĐ!AA146,NĐ!AE146,NĐ!AI146)))</f>
        <v>0</v>
      </c>
      <c r="F146">
        <f>SUMPRODUCT((MONTH(CHOOSE({1,2,3,4},NĐ!T146,NĐ!X146,NĐ!AB146,NĐ!AF146))=6)*(CHOOSE({1,2,3,4},NĐ!W146,NĐ!AA146,NĐ!AE146,NĐ!AI146)))</f>
        <v>0</v>
      </c>
      <c r="G146">
        <f>SUMPRODUCT((MONTH(CHOOSE({1,2,3,4},NĐ!T146,NĐ!X146,NĐ!AB146,NĐ!AF146))=7)*(CHOOSE({1,2,3,4},NĐ!W146,NĐ!AA146,NĐ!AE146,NĐ!AI146)))</f>
        <v>0</v>
      </c>
      <c r="H146">
        <f>SUMPRODUCT((MONTH(CHOOSE({1,2,3,4},NĐ!T146,NĐ!X146,NĐ!AB146,NĐ!AF146))=8)*(CHOOSE({1,2,3,4},NĐ!W146,NĐ!AA146,NĐ!AE146,NĐ!AI146)))</f>
        <v>0</v>
      </c>
      <c r="I146">
        <f>SUMPRODUCT((MONTH(CHOOSE({1,2,3,4},NĐ!T146,NĐ!X146,NĐ!AB146,NĐ!AF146))=9)*(CHOOSE({1,2,3,4},NĐ!W146,NĐ!AA146,NĐ!AE146,NĐ!AI146)))</f>
        <v>0</v>
      </c>
      <c r="J146">
        <f>SUMPRODUCT((MONTH(CHOOSE({1,2,3,4},NĐ!T146,NĐ!X146,NĐ!AB146,NĐ!AF146))=10)*(CHOOSE({1,2,3,4},NĐ!W146,NĐ!AA146,NĐ!AE146,NĐ!AI146)))</f>
        <v>0</v>
      </c>
      <c r="K146">
        <f>SUMPRODUCT((MONTH(CHOOSE({1,2,3,4},NĐ!T146,NĐ!X146,NĐ!AB146,NĐ!AF146))=11)*(CHOOSE({1,2,3,4},NĐ!W146,NĐ!AA146,NĐ!AE146,NĐ!AI146)))</f>
        <v>0</v>
      </c>
      <c r="L146">
        <f>SUMPRODUCT((MONTH(CHOOSE({1,2,3,4},NĐ!T146,NĐ!X146,NĐ!AB146,NĐ!AF146))=12)*(CHOOSE({1,2,3,4},NĐ!W146,NĐ!AA146,NĐ!AE146,NĐ!AI146)))</f>
        <v>0</v>
      </c>
    </row>
    <row r="147" spans="1:12">
      <c r="A147">
        <f>SUMPRODUCT((MONTH(CHOOSE({1,2,3,4},NĐ!T147,NĐ!X147,NĐ!AB147,NĐ!AF147))=1)*(CHOOSE({1,2,3,4},NĐ!W147,NĐ!AA147,NĐ!AE147,NĐ!AI147)))</f>
        <v>0</v>
      </c>
      <c r="B147">
        <f>SUMPRODUCT((MONTH(CHOOSE({1,2,3,4},NĐ!T147,NĐ!X147,NĐ!AB147,NĐ!AF147))=2)*(CHOOSE({1,2,3,4},NĐ!W147,NĐ!AA147,NĐ!AE147,NĐ!AI147)))</f>
        <v>0</v>
      </c>
      <c r="C147">
        <f>SUMPRODUCT((MONTH(CHOOSE({1,2,3,4},NĐ!T147,NĐ!X147,NĐ!AB147,NĐ!AF147))=3)*(CHOOSE({1,2,3,4},NĐ!W147,NĐ!AA147,NĐ!AE147,NĐ!AI147)))</f>
        <v>0</v>
      </c>
      <c r="D147">
        <f>SUMPRODUCT((MONTH(CHOOSE({1,2,3,4},NĐ!T147,NĐ!X147,NĐ!AB147,NĐ!AF147))=4)*(CHOOSE({1,2,3,4},NĐ!W147,NĐ!AA147,NĐ!AE147,NĐ!AI147)))</f>
        <v>0</v>
      </c>
      <c r="E147">
        <f>SUMPRODUCT((MONTH(CHOOSE({1,2,3,4},NĐ!T147,NĐ!X147,NĐ!AB147,NĐ!AF147))=5)*(CHOOSE({1,2,3,4},NĐ!W147,NĐ!AA147,NĐ!AE147,NĐ!AI147)))</f>
        <v>0</v>
      </c>
      <c r="F147">
        <f>SUMPRODUCT((MONTH(CHOOSE({1,2,3,4},NĐ!T147,NĐ!X147,NĐ!AB147,NĐ!AF147))=6)*(CHOOSE({1,2,3,4},NĐ!W147,NĐ!AA147,NĐ!AE147,NĐ!AI147)))</f>
        <v>0</v>
      </c>
      <c r="G147">
        <f>SUMPRODUCT((MONTH(CHOOSE({1,2,3,4},NĐ!T147,NĐ!X147,NĐ!AB147,NĐ!AF147))=7)*(CHOOSE({1,2,3,4},NĐ!W147,NĐ!AA147,NĐ!AE147,NĐ!AI147)))</f>
        <v>0</v>
      </c>
      <c r="H147">
        <f>SUMPRODUCT((MONTH(CHOOSE({1,2,3,4},NĐ!T147,NĐ!X147,NĐ!AB147,NĐ!AF147))=8)*(CHOOSE({1,2,3,4},NĐ!W147,NĐ!AA147,NĐ!AE147,NĐ!AI147)))</f>
        <v>0</v>
      </c>
      <c r="I147">
        <f>SUMPRODUCT((MONTH(CHOOSE({1,2,3,4},NĐ!T147,NĐ!X147,NĐ!AB147,NĐ!AF147))=9)*(CHOOSE({1,2,3,4},NĐ!W147,NĐ!AA147,NĐ!AE147,NĐ!AI147)))</f>
        <v>0</v>
      </c>
      <c r="J147">
        <f>SUMPRODUCT((MONTH(CHOOSE({1,2,3,4},NĐ!T147,NĐ!X147,NĐ!AB147,NĐ!AF147))=10)*(CHOOSE({1,2,3,4},NĐ!W147,NĐ!AA147,NĐ!AE147,NĐ!AI147)))</f>
        <v>0</v>
      </c>
      <c r="K147">
        <f>SUMPRODUCT((MONTH(CHOOSE({1,2,3,4},NĐ!T147,NĐ!X147,NĐ!AB147,NĐ!AF147))=11)*(CHOOSE({1,2,3,4},NĐ!W147,NĐ!AA147,NĐ!AE147,NĐ!AI147)))</f>
        <v>0</v>
      </c>
      <c r="L147">
        <f>SUMPRODUCT((MONTH(CHOOSE({1,2,3,4},NĐ!T147,NĐ!X147,NĐ!AB147,NĐ!AF147))=12)*(CHOOSE({1,2,3,4},NĐ!W147,NĐ!AA147,NĐ!AE147,NĐ!AI147)))</f>
        <v>0</v>
      </c>
    </row>
    <row r="148" spans="1:12">
      <c r="A148">
        <f>SUMPRODUCT((MONTH(CHOOSE({1,2,3,4},NĐ!T148,NĐ!X148,NĐ!AB148,NĐ!AF148))=1)*(CHOOSE({1,2,3,4},NĐ!W148,NĐ!AA148,NĐ!AE148,NĐ!AI148)))</f>
        <v>0</v>
      </c>
      <c r="B148">
        <f>SUMPRODUCT((MONTH(CHOOSE({1,2,3,4},NĐ!T148,NĐ!X148,NĐ!AB148,NĐ!AF148))=2)*(CHOOSE({1,2,3,4},NĐ!W148,NĐ!AA148,NĐ!AE148,NĐ!AI148)))</f>
        <v>0</v>
      </c>
      <c r="C148">
        <f>SUMPRODUCT((MONTH(CHOOSE({1,2,3,4},NĐ!T148,NĐ!X148,NĐ!AB148,NĐ!AF148))=3)*(CHOOSE({1,2,3,4},NĐ!W148,NĐ!AA148,NĐ!AE148,NĐ!AI148)))</f>
        <v>0</v>
      </c>
      <c r="D148">
        <f>SUMPRODUCT((MONTH(CHOOSE({1,2,3,4},NĐ!T148,NĐ!X148,NĐ!AB148,NĐ!AF148))=4)*(CHOOSE({1,2,3,4},NĐ!W148,NĐ!AA148,NĐ!AE148,NĐ!AI148)))</f>
        <v>0</v>
      </c>
      <c r="E148">
        <f>SUMPRODUCT((MONTH(CHOOSE({1,2,3,4},NĐ!T148,NĐ!X148,NĐ!AB148,NĐ!AF148))=5)*(CHOOSE({1,2,3,4},NĐ!W148,NĐ!AA148,NĐ!AE148,NĐ!AI148)))</f>
        <v>0</v>
      </c>
      <c r="F148">
        <f>SUMPRODUCT((MONTH(CHOOSE({1,2,3,4},NĐ!T148,NĐ!X148,NĐ!AB148,NĐ!AF148))=6)*(CHOOSE({1,2,3,4},NĐ!W148,NĐ!AA148,NĐ!AE148,NĐ!AI148)))</f>
        <v>0</v>
      </c>
      <c r="G148">
        <f>SUMPRODUCT((MONTH(CHOOSE({1,2,3,4},NĐ!T148,NĐ!X148,NĐ!AB148,NĐ!AF148))=7)*(CHOOSE({1,2,3,4},NĐ!W148,NĐ!AA148,NĐ!AE148,NĐ!AI148)))</f>
        <v>0</v>
      </c>
      <c r="H148">
        <f>SUMPRODUCT((MONTH(CHOOSE({1,2,3,4},NĐ!T148,NĐ!X148,NĐ!AB148,NĐ!AF148))=8)*(CHOOSE({1,2,3,4},NĐ!W148,NĐ!AA148,NĐ!AE148,NĐ!AI148)))</f>
        <v>0</v>
      </c>
      <c r="I148">
        <f>SUMPRODUCT((MONTH(CHOOSE({1,2,3,4},NĐ!T148,NĐ!X148,NĐ!AB148,NĐ!AF148))=9)*(CHOOSE({1,2,3,4},NĐ!W148,NĐ!AA148,NĐ!AE148,NĐ!AI148)))</f>
        <v>0</v>
      </c>
      <c r="J148">
        <f>SUMPRODUCT((MONTH(CHOOSE({1,2,3,4},NĐ!T148,NĐ!X148,NĐ!AB148,NĐ!AF148))=10)*(CHOOSE({1,2,3,4},NĐ!W148,NĐ!AA148,NĐ!AE148,NĐ!AI148)))</f>
        <v>0</v>
      </c>
      <c r="K148">
        <f>SUMPRODUCT((MONTH(CHOOSE({1,2,3,4},NĐ!T148,NĐ!X148,NĐ!AB148,NĐ!AF148))=11)*(CHOOSE({1,2,3,4},NĐ!W148,NĐ!AA148,NĐ!AE148,NĐ!AI148)))</f>
        <v>0</v>
      </c>
      <c r="L148">
        <f>SUMPRODUCT((MONTH(CHOOSE({1,2,3,4},NĐ!T148,NĐ!X148,NĐ!AB148,NĐ!AF148))=12)*(CHOOSE({1,2,3,4},NĐ!W148,NĐ!AA148,NĐ!AE148,NĐ!AI148)))</f>
        <v>0</v>
      </c>
    </row>
    <row r="149" spans="1:12">
      <c r="A149">
        <f>SUMPRODUCT((MONTH(CHOOSE({1,2,3,4},NĐ!T149,NĐ!X149,NĐ!AB149,NĐ!AF149))=1)*(CHOOSE({1,2,3,4},NĐ!W149,NĐ!AA149,NĐ!AE149,NĐ!AI149)))</f>
        <v>0</v>
      </c>
      <c r="B149">
        <f>SUMPRODUCT((MONTH(CHOOSE({1,2,3,4},NĐ!T149,NĐ!X149,NĐ!AB149,NĐ!AF149))=2)*(CHOOSE({1,2,3,4},NĐ!W149,NĐ!AA149,NĐ!AE149,NĐ!AI149)))</f>
        <v>0</v>
      </c>
      <c r="C149">
        <f>SUMPRODUCT((MONTH(CHOOSE({1,2,3,4},NĐ!T149,NĐ!X149,NĐ!AB149,NĐ!AF149))=3)*(CHOOSE({1,2,3,4},NĐ!W149,NĐ!AA149,NĐ!AE149,NĐ!AI149)))</f>
        <v>0</v>
      </c>
      <c r="D149">
        <f>SUMPRODUCT((MONTH(CHOOSE({1,2,3,4},NĐ!T149,NĐ!X149,NĐ!AB149,NĐ!AF149))=4)*(CHOOSE({1,2,3,4},NĐ!W149,NĐ!AA149,NĐ!AE149,NĐ!AI149)))</f>
        <v>0</v>
      </c>
      <c r="E149">
        <f>SUMPRODUCT((MONTH(CHOOSE({1,2,3,4},NĐ!T149,NĐ!X149,NĐ!AB149,NĐ!AF149))=5)*(CHOOSE({1,2,3,4},NĐ!W149,NĐ!AA149,NĐ!AE149,NĐ!AI149)))</f>
        <v>0</v>
      </c>
      <c r="F149">
        <f>SUMPRODUCT((MONTH(CHOOSE({1,2,3,4},NĐ!T149,NĐ!X149,NĐ!AB149,NĐ!AF149))=6)*(CHOOSE({1,2,3,4},NĐ!W149,NĐ!AA149,NĐ!AE149,NĐ!AI149)))</f>
        <v>0</v>
      </c>
      <c r="G149">
        <f>SUMPRODUCT((MONTH(CHOOSE({1,2,3,4},NĐ!T149,NĐ!X149,NĐ!AB149,NĐ!AF149))=7)*(CHOOSE({1,2,3,4},NĐ!W149,NĐ!AA149,NĐ!AE149,NĐ!AI149)))</f>
        <v>0</v>
      </c>
      <c r="H149">
        <f>SUMPRODUCT((MONTH(CHOOSE({1,2,3,4},NĐ!T149,NĐ!X149,NĐ!AB149,NĐ!AF149))=8)*(CHOOSE({1,2,3,4},NĐ!W149,NĐ!AA149,NĐ!AE149,NĐ!AI149)))</f>
        <v>0</v>
      </c>
      <c r="I149">
        <f>SUMPRODUCT((MONTH(CHOOSE({1,2,3,4},NĐ!T149,NĐ!X149,NĐ!AB149,NĐ!AF149))=9)*(CHOOSE({1,2,3,4},NĐ!W149,NĐ!AA149,NĐ!AE149,NĐ!AI149)))</f>
        <v>0</v>
      </c>
      <c r="J149">
        <f>SUMPRODUCT((MONTH(CHOOSE({1,2,3,4},NĐ!T149,NĐ!X149,NĐ!AB149,NĐ!AF149))=10)*(CHOOSE({1,2,3,4},NĐ!W149,NĐ!AA149,NĐ!AE149,NĐ!AI149)))</f>
        <v>0</v>
      </c>
      <c r="K149">
        <f>SUMPRODUCT((MONTH(CHOOSE({1,2,3,4},NĐ!T149,NĐ!X149,NĐ!AB149,NĐ!AF149))=11)*(CHOOSE({1,2,3,4},NĐ!W149,NĐ!AA149,NĐ!AE149,NĐ!AI149)))</f>
        <v>0</v>
      </c>
      <c r="L149">
        <f>SUMPRODUCT((MONTH(CHOOSE({1,2,3,4},NĐ!T149,NĐ!X149,NĐ!AB149,NĐ!AF149))=12)*(CHOOSE({1,2,3,4},NĐ!W149,NĐ!AA149,NĐ!AE149,NĐ!AI149)))</f>
        <v>0</v>
      </c>
    </row>
    <row r="150" spans="1:12">
      <c r="A150">
        <f>SUMPRODUCT((MONTH(CHOOSE({1,2,3,4},NĐ!T150,NĐ!X150,NĐ!AB150,NĐ!AF150))=1)*(CHOOSE({1,2,3,4},NĐ!W150,NĐ!AA150,NĐ!AE150,NĐ!AI150)))</f>
        <v>0</v>
      </c>
      <c r="B150">
        <f>SUMPRODUCT((MONTH(CHOOSE({1,2,3,4},NĐ!T150,NĐ!X150,NĐ!AB150,NĐ!AF150))=2)*(CHOOSE({1,2,3,4},NĐ!W150,NĐ!AA150,NĐ!AE150,NĐ!AI150)))</f>
        <v>0</v>
      </c>
      <c r="C150">
        <f>SUMPRODUCT((MONTH(CHOOSE({1,2,3,4},NĐ!T150,NĐ!X150,NĐ!AB150,NĐ!AF150))=3)*(CHOOSE({1,2,3,4},NĐ!W150,NĐ!AA150,NĐ!AE150,NĐ!AI150)))</f>
        <v>0</v>
      </c>
      <c r="D150">
        <f>SUMPRODUCT((MONTH(CHOOSE({1,2,3,4},NĐ!T150,NĐ!X150,NĐ!AB150,NĐ!AF150))=4)*(CHOOSE({1,2,3,4},NĐ!W150,NĐ!AA150,NĐ!AE150,NĐ!AI150)))</f>
        <v>0</v>
      </c>
      <c r="E150">
        <f>SUMPRODUCT((MONTH(CHOOSE({1,2,3,4},NĐ!T150,NĐ!X150,NĐ!AB150,NĐ!AF150))=5)*(CHOOSE({1,2,3,4},NĐ!W150,NĐ!AA150,NĐ!AE150,NĐ!AI150)))</f>
        <v>0</v>
      </c>
      <c r="F150">
        <f>SUMPRODUCT((MONTH(CHOOSE({1,2,3,4},NĐ!T150,NĐ!X150,NĐ!AB150,NĐ!AF150))=6)*(CHOOSE({1,2,3,4},NĐ!W150,NĐ!AA150,NĐ!AE150,NĐ!AI150)))</f>
        <v>0</v>
      </c>
      <c r="G150">
        <f>SUMPRODUCT((MONTH(CHOOSE({1,2,3,4},NĐ!T150,NĐ!X150,NĐ!AB150,NĐ!AF150))=7)*(CHOOSE({1,2,3,4},NĐ!W150,NĐ!AA150,NĐ!AE150,NĐ!AI150)))</f>
        <v>0</v>
      </c>
      <c r="H150">
        <f>SUMPRODUCT((MONTH(CHOOSE({1,2,3,4},NĐ!T150,NĐ!X150,NĐ!AB150,NĐ!AF150))=8)*(CHOOSE({1,2,3,4},NĐ!W150,NĐ!AA150,NĐ!AE150,NĐ!AI150)))</f>
        <v>0</v>
      </c>
      <c r="I150">
        <f>SUMPRODUCT((MONTH(CHOOSE({1,2,3,4},NĐ!T150,NĐ!X150,NĐ!AB150,NĐ!AF150))=9)*(CHOOSE({1,2,3,4},NĐ!W150,NĐ!AA150,NĐ!AE150,NĐ!AI150)))</f>
        <v>0</v>
      </c>
      <c r="J150">
        <f>SUMPRODUCT((MONTH(CHOOSE({1,2,3,4},NĐ!T150,NĐ!X150,NĐ!AB150,NĐ!AF150))=10)*(CHOOSE({1,2,3,4},NĐ!W150,NĐ!AA150,NĐ!AE150,NĐ!AI150)))</f>
        <v>0</v>
      </c>
      <c r="K150">
        <f>SUMPRODUCT((MONTH(CHOOSE({1,2,3,4},NĐ!T150,NĐ!X150,NĐ!AB150,NĐ!AF150))=11)*(CHOOSE({1,2,3,4},NĐ!W150,NĐ!AA150,NĐ!AE150,NĐ!AI150)))</f>
        <v>0</v>
      </c>
      <c r="L150">
        <f>SUMPRODUCT((MONTH(CHOOSE({1,2,3,4},NĐ!T150,NĐ!X150,NĐ!AB150,NĐ!AF150))=12)*(CHOOSE({1,2,3,4},NĐ!W150,NĐ!AA150,NĐ!AE150,NĐ!AI150)))</f>
        <v>0</v>
      </c>
    </row>
    <row r="151" spans="1:12">
      <c r="A151">
        <f>SUMPRODUCT((MONTH(CHOOSE({1,2,3,4},NĐ!T151,NĐ!X151,NĐ!AB151,NĐ!AF151))=1)*(CHOOSE({1,2,3,4},NĐ!W151,NĐ!AA151,NĐ!AE151,NĐ!AI151)))</f>
        <v>0</v>
      </c>
      <c r="B151">
        <f>SUMPRODUCT((MONTH(CHOOSE({1,2,3,4},NĐ!T151,NĐ!X151,NĐ!AB151,NĐ!AF151))=2)*(CHOOSE({1,2,3,4},NĐ!W151,NĐ!AA151,NĐ!AE151,NĐ!AI151)))</f>
        <v>0</v>
      </c>
      <c r="C151">
        <f>SUMPRODUCT((MONTH(CHOOSE({1,2,3,4},NĐ!T151,NĐ!X151,NĐ!AB151,NĐ!AF151))=3)*(CHOOSE({1,2,3,4},NĐ!W151,NĐ!AA151,NĐ!AE151,NĐ!AI151)))</f>
        <v>0</v>
      </c>
      <c r="D151">
        <f>SUMPRODUCT((MONTH(CHOOSE({1,2,3,4},NĐ!T151,NĐ!X151,NĐ!AB151,NĐ!AF151))=4)*(CHOOSE({1,2,3,4},NĐ!W151,NĐ!AA151,NĐ!AE151,NĐ!AI151)))</f>
        <v>0</v>
      </c>
      <c r="E151">
        <f>SUMPRODUCT((MONTH(CHOOSE({1,2,3,4},NĐ!T151,NĐ!X151,NĐ!AB151,NĐ!AF151))=5)*(CHOOSE({1,2,3,4},NĐ!W151,NĐ!AA151,NĐ!AE151,NĐ!AI151)))</f>
        <v>0</v>
      </c>
      <c r="F151">
        <f>SUMPRODUCT((MONTH(CHOOSE({1,2,3,4},NĐ!T151,NĐ!X151,NĐ!AB151,NĐ!AF151))=6)*(CHOOSE({1,2,3,4},NĐ!W151,NĐ!AA151,NĐ!AE151,NĐ!AI151)))</f>
        <v>0</v>
      </c>
      <c r="G151">
        <f>SUMPRODUCT((MONTH(CHOOSE({1,2,3,4},NĐ!T151,NĐ!X151,NĐ!AB151,NĐ!AF151))=7)*(CHOOSE({1,2,3,4},NĐ!W151,NĐ!AA151,NĐ!AE151,NĐ!AI151)))</f>
        <v>0</v>
      </c>
      <c r="H151">
        <f>SUMPRODUCT((MONTH(CHOOSE({1,2,3,4},NĐ!T151,NĐ!X151,NĐ!AB151,NĐ!AF151))=8)*(CHOOSE({1,2,3,4},NĐ!W151,NĐ!AA151,NĐ!AE151,NĐ!AI151)))</f>
        <v>0</v>
      </c>
      <c r="I151">
        <f>SUMPRODUCT((MONTH(CHOOSE({1,2,3,4},NĐ!T151,NĐ!X151,NĐ!AB151,NĐ!AF151))=9)*(CHOOSE({1,2,3,4},NĐ!W151,NĐ!AA151,NĐ!AE151,NĐ!AI151)))</f>
        <v>0</v>
      </c>
      <c r="J151">
        <f>SUMPRODUCT((MONTH(CHOOSE({1,2,3,4},NĐ!T151,NĐ!X151,NĐ!AB151,NĐ!AF151))=10)*(CHOOSE({1,2,3,4},NĐ!W151,NĐ!AA151,NĐ!AE151,NĐ!AI151)))</f>
        <v>0</v>
      </c>
      <c r="K151">
        <f>SUMPRODUCT((MONTH(CHOOSE({1,2,3,4},NĐ!T151,NĐ!X151,NĐ!AB151,NĐ!AF151))=11)*(CHOOSE({1,2,3,4},NĐ!W151,NĐ!AA151,NĐ!AE151,NĐ!AI151)))</f>
        <v>0</v>
      </c>
      <c r="L151">
        <f>SUMPRODUCT((MONTH(CHOOSE({1,2,3,4},NĐ!T151,NĐ!X151,NĐ!AB151,NĐ!AF151))=12)*(CHOOSE({1,2,3,4},NĐ!W151,NĐ!AA151,NĐ!AE151,NĐ!AI151)))</f>
        <v>0</v>
      </c>
    </row>
    <row r="152" spans="1:12">
      <c r="A152">
        <f>SUMPRODUCT((MONTH(CHOOSE({1,2,3,4},NĐ!T152,NĐ!X152,NĐ!AB152,NĐ!AF152))=1)*(CHOOSE({1,2,3,4},NĐ!W152,NĐ!AA152,NĐ!AE152,NĐ!AI152)))</f>
        <v>0</v>
      </c>
      <c r="B152">
        <f>SUMPRODUCT((MONTH(CHOOSE({1,2,3,4},NĐ!T152,NĐ!X152,NĐ!AB152,NĐ!AF152))=2)*(CHOOSE({1,2,3,4},NĐ!W152,NĐ!AA152,NĐ!AE152,NĐ!AI152)))</f>
        <v>0</v>
      </c>
      <c r="C152">
        <f>SUMPRODUCT((MONTH(CHOOSE({1,2,3,4},NĐ!T152,NĐ!X152,NĐ!AB152,NĐ!AF152))=3)*(CHOOSE({1,2,3,4},NĐ!W152,NĐ!AA152,NĐ!AE152,NĐ!AI152)))</f>
        <v>0</v>
      </c>
      <c r="D152">
        <f>SUMPRODUCT((MONTH(CHOOSE({1,2,3,4},NĐ!T152,NĐ!X152,NĐ!AB152,NĐ!AF152))=4)*(CHOOSE({1,2,3,4},NĐ!W152,NĐ!AA152,NĐ!AE152,NĐ!AI152)))</f>
        <v>0</v>
      </c>
      <c r="E152">
        <f>SUMPRODUCT((MONTH(CHOOSE({1,2,3,4},NĐ!T152,NĐ!X152,NĐ!AB152,NĐ!AF152))=5)*(CHOOSE({1,2,3,4},NĐ!W152,NĐ!AA152,NĐ!AE152,NĐ!AI152)))</f>
        <v>0</v>
      </c>
      <c r="F152">
        <f>SUMPRODUCT((MONTH(CHOOSE({1,2,3,4},NĐ!T152,NĐ!X152,NĐ!AB152,NĐ!AF152))=6)*(CHOOSE({1,2,3,4},NĐ!W152,NĐ!AA152,NĐ!AE152,NĐ!AI152)))</f>
        <v>0</v>
      </c>
      <c r="G152">
        <f>SUMPRODUCT((MONTH(CHOOSE({1,2,3,4},NĐ!T152,NĐ!X152,NĐ!AB152,NĐ!AF152))=7)*(CHOOSE({1,2,3,4},NĐ!W152,NĐ!AA152,NĐ!AE152,NĐ!AI152)))</f>
        <v>0</v>
      </c>
      <c r="H152">
        <f>SUMPRODUCT((MONTH(CHOOSE({1,2,3,4},NĐ!T152,NĐ!X152,NĐ!AB152,NĐ!AF152))=8)*(CHOOSE({1,2,3,4},NĐ!W152,NĐ!AA152,NĐ!AE152,NĐ!AI152)))</f>
        <v>0</v>
      </c>
      <c r="I152">
        <f>SUMPRODUCT((MONTH(CHOOSE({1,2,3,4},NĐ!T152,NĐ!X152,NĐ!AB152,NĐ!AF152))=9)*(CHOOSE({1,2,3,4},NĐ!W152,NĐ!AA152,NĐ!AE152,NĐ!AI152)))</f>
        <v>0</v>
      </c>
      <c r="J152">
        <f>SUMPRODUCT((MONTH(CHOOSE({1,2,3,4},NĐ!T152,NĐ!X152,NĐ!AB152,NĐ!AF152))=10)*(CHOOSE({1,2,3,4},NĐ!W152,NĐ!AA152,NĐ!AE152,NĐ!AI152)))</f>
        <v>0</v>
      </c>
      <c r="K152">
        <f>SUMPRODUCT((MONTH(CHOOSE({1,2,3,4},NĐ!T152,NĐ!X152,NĐ!AB152,NĐ!AF152))=11)*(CHOOSE({1,2,3,4},NĐ!W152,NĐ!AA152,NĐ!AE152,NĐ!AI152)))</f>
        <v>0</v>
      </c>
      <c r="L152">
        <f>SUMPRODUCT((MONTH(CHOOSE({1,2,3,4},NĐ!T152,NĐ!X152,NĐ!AB152,NĐ!AF152))=12)*(CHOOSE({1,2,3,4},NĐ!W152,NĐ!AA152,NĐ!AE152,NĐ!AI152)))</f>
        <v>0</v>
      </c>
    </row>
    <row r="153" spans="1:12">
      <c r="A153">
        <f>SUMPRODUCT((MONTH(CHOOSE({1,2,3,4},NĐ!T153,NĐ!X153,NĐ!AB153,NĐ!AF153))=1)*(CHOOSE({1,2,3,4},NĐ!W153,NĐ!AA153,NĐ!AE153,NĐ!AI153)))</f>
        <v>0</v>
      </c>
      <c r="B153">
        <f>SUMPRODUCT((MONTH(CHOOSE({1,2,3,4},NĐ!T153,NĐ!X153,NĐ!AB153,NĐ!AF153))=2)*(CHOOSE({1,2,3,4},NĐ!W153,NĐ!AA153,NĐ!AE153,NĐ!AI153)))</f>
        <v>0</v>
      </c>
      <c r="C153">
        <f>SUMPRODUCT((MONTH(CHOOSE({1,2,3,4},NĐ!T153,NĐ!X153,NĐ!AB153,NĐ!AF153))=3)*(CHOOSE({1,2,3,4},NĐ!W153,NĐ!AA153,NĐ!AE153,NĐ!AI153)))</f>
        <v>0</v>
      </c>
      <c r="D153">
        <f>SUMPRODUCT((MONTH(CHOOSE({1,2,3,4},NĐ!T153,NĐ!X153,NĐ!AB153,NĐ!AF153))=4)*(CHOOSE({1,2,3,4},NĐ!W153,NĐ!AA153,NĐ!AE153,NĐ!AI153)))</f>
        <v>0</v>
      </c>
      <c r="E153">
        <f>SUMPRODUCT((MONTH(CHOOSE({1,2,3,4},NĐ!T153,NĐ!X153,NĐ!AB153,NĐ!AF153))=5)*(CHOOSE({1,2,3,4},NĐ!W153,NĐ!AA153,NĐ!AE153,NĐ!AI153)))</f>
        <v>0</v>
      </c>
      <c r="F153">
        <f>SUMPRODUCT((MONTH(CHOOSE({1,2,3,4},NĐ!T153,NĐ!X153,NĐ!AB153,NĐ!AF153))=6)*(CHOOSE({1,2,3,4},NĐ!W153,NĐ!AA153,NĐ!AE153,NĐ!AI153)))</f>
        <v>0</v>
      </c>
      <c r="G153">
        <f>SUMPRODUCT((MONTH(CHOOSE({1,2,3,4},NĐ!T153,NĐ!X153,NĐ!AB153,NĐ!AF153))=7)*(CHOOSE({1,2,3,4},NĐ!W153,NĐ!AA153,NĐ!AE153,NĐ!AI153)))</f>
        <v>0</v>
      </c>
      <c r="H153">
        <f>SUMPRODUCT((MONTH(CHOOSE({1,2,3,4},NĐ!T153,NĐ!X153,NĐ!AB153,NĐ!AF153))=8)*(CHOOSE({1,2,3,4},NĐ!W153,NĐ!AA153,NĐ!AE153,NĐ!AI153)))</f>
        <v>0</v>
      </c>
      <c r="I153">
        <f>SUMPRODUCT((MONTH(CHOOSE({1,2,3,4},NĐ!T153,NĐ!X153,NĐ!AB153,NĐ!AF153))=9)*(CHOOSE({1,2,3,4},NĐ!W153,NĐ!AA153,NĐ!AE153,NĐ!AI153)))</f>
        <v>0</v>
      </c>
      <c r="J153">
        <f>SUMPRODUCT((MONTH(CHOOSE({1,2,3,4},NĐ!T153,NĐ!X153,NĐ!AB153,NĐ!AF153))=10)*(CHOOSE({1,2,3,4},NĐ!W153,NĐ!AA153,NĐ!AE153,NĐ!AI153)))</f>
        <v>0</v>
      </c>
      <c r="K153">
        <f>SUMPRODUCT((MONTH(CHOOSE({1,2,3,4},NĐ!T153,NĐ!X153,NĐ!AB153,NĐ!AF153))=11)*(CHOOSE({1,2,3,4},NĐ!W153,NĐ!AA153,NĐ!AE153,NĐ!AI153)))</f>
        <v>0</v>
      </c>
      <c r="L153">
        <f>SUMPRODUCT((MONTH(CHOOSE({1,2,3,4},NĐ!T153,NĐ!X153,NĐ!AB153,NĐ!AF153))=12)*(CHOOSE({1,2,3,4},NĐ!W153,NĐ!AA153,NĐ!AE153,NĐ!AI153)))</f>
        <v>0</v>
      </c>
    </row>
    <row r="154" spans="1:12">
      <c r="A154">
        <f>SUMPRODUCT((MONTH(CHOOSE({1,2,3,4},NĐ!T154,NĐ!X154,NĐ!AB154,NĐ!AF154))=1)*(CHOOSE({1,2,3,4},NĐ!W154,NĐ!AA154,NĐ!AE154,NĐ!AI154)))</f>
        <v>0</v>
      </c>
      <c r="B154">
        <f>SUMPRODUCT((MONTH(CHOOSE({1,2,3,4},NĐ!T154,NĐ!X154,NĐ!AB154,NĐ!AF154))=2)*(CHOOSE({1,2,3,4},NĐ!W154,NĐ!AA154,NĐ!AE154,NĐ!AI154)))</f>
        <v>0</v>
      </c>
      <c r="C154">
        <f>SUMPRODUCT((MONTH(CHOOSE({1,2,3,4},NĐ!T154,NĐ!X154,NĐ!AB154,NĐ!AF154))=3)*(CHOOSE({1,2,3,4},NĐ!W154,NĐ!AA154,NĐ!AE154,NĐ!AI154)))</f>
        <v>0</v>
      </c>
      <c r="D154">
        <f>SUMPRODUCT((MONTH(CHOOSE({1,2,3,4},NĐ!T154,NĐ!X154,NĐ!AB154,NĐ!AF154))=4)*(CHOOSE({1,2,3,4},NĐ!W154,NĐ!AA154,NĐ!AE154,NĐ!AI154)))</f>
        <v>0</v>
      </c>
      <c r="E154">
        <f>SUMPRODUCT((MONTH(CHOOSE({1,2,3,4},NĐ!T154,NĐ!X154,NĐ!AB154,NĐ!AF154))=5)*(CHOOSE({1,2,3,4},NĐ!W154,NĐ!AA154,NĐ!AE154,NĐ!AI154)))</f>
        <v>0</v>
      </c>
      <c r="F154">
        <f>SUMPRODUCT((MONTH(CHOOSE({1,2,3,4},NĐ!T154,NĐ!X154,NĐ!AB154,NĐ!AF154))=6)*(CHOOSE({1,2,3,4},NĐ!W154,NĐ!AA154,NĐ!AE154,NĐ!AI154)))</f>
        <v>0</v>
      </c>
      <c r="G154">
        <f>SUMPRODUCT((MONTH(CHOOSE({1,2,3,4},NĐ!T154,NĐ!X154,NĐ!AB154,NĐ!AF154))=7)*(CHOOSE({1,2,3,4},NĐ!W154,NĐ!AA154,NĐ!AE154,NĐ!AI154)))</f>
        <v>0</v>
      </c>
      <c r="H154">
        <f>SUMPRODUCT((MONTH(CHOOSE({1,2,3,4},NĐ!T154,NĐ!X154,NĐ!AB154,NĐ!AF154))=8)*(CHOOSE({1,2,3,4},NĐ!W154,NĐ!AA154,NĐ!AE154,NĐ!AI154)))</f>
        <v>0</v>
      </c>
      <c r="I154">
        <f>SUMPRODUCT((MONTH(CHOOSE({1,2,3,4},NĐ!T154,NĐ!X154,NĐ!AB154,NĐ!AF154))=9)*(CHOOSE({1,2,3,4},NĐ!W154,NĐ!AA154,NĐ!AE154,NĐ!AI154)))</f>
        <v>0</v>
      </c>
      <c r="J154">
        <f>SUMPRODUCT((MONTH(CHOOSE({1,2,3,4},NĐ!T154,NĐ!X154,NĐ!AB154,NĐ!AF154))=10)*(CHOOSE({1,2,3,4},NĐ!W154,NĐ!AA154,NĐ!AE154,NĐ!AI154)))</f>
        <v>0</v>
      </c>
      <c r="K154">
        <f>SUMPRODUCT((MONTH(CHOOSE({1,2,3,4},NĐ!T154,NĐ!X154,NĐ!AB154,NĐ!AF154))=11)*(CHOOSE({1,2,3,4},NĐ!W154,NĐ!AA154,NĐ!AE154,NĐ!AI154)))</f>
        <v>0</v>
      </c>
      <c r="L154">
        <f>SUMPRODUCT((MONTH(CHOOSE({1,2,3,4},NĐ!T154,NĐ!X154,NĐ!AB154,NĐ!AF154))=12)*(CHOOSE({1,2,3,4},NĐ!W154,NĐ!AA154,NĐ!AE154,NĐ!AI154)))</f>
        <v>0</v>
      </c>
    </row>
    <row r="155" spans="1:12">
      <c r="A155">
        <f>SUMPRODUCT((MONTH(CHOOSE({1,2,3,4},NĐ!T155,NĐ!X155,NĐ!AB155,NĐ!AF155))=1)*(CHOOSE({1,2,3,4},NĐ!W155,NĐ!AA155,NĐ!AE155,NĐ!AI155)))</f>
        <v>0</v>
      </c>
      <c r="B155">
        <f>SUMPRODUCT((MONTH(CHOOSE({1,2,3,4},NĐ!T155,NĐ!X155,NĐ!AB155,NĐ!AF155))=2)*(CHOOSE({1,2,3,4},NĐ!W155,NĐ!AA155,NĐ!AE155,NĐ!AI155)))</f>
        <v>0</v>
      </c>
      <c r="C155">
        <f>SUMPRODUCT((MONTH(CHOOSE({1,2,3,4},NĐ!T155,NĐ!X155,NĐ!AB155,NĐ!AF155))=3)*(CHOOSE({1,2,3,4},NĐ!W155,NĐ!AA155,NĐ!AE155,NĐ!AI155)))</f>
        <v>0</v>
      </c>
      <c r="D155">
        <f>SUMPRODUCT((MONTH(CHOOSE({1,2,3,4},NĐ!T155,NĐ!X155,NĐ!AB155,NĐ!AF155))=4)*(CHOOSE({1,2,3,4},NĐ!W155,NĐ!AA155,NĐ!AE155,NĐ!AI155)))</f>
        <v>0</v>
      </c>
      <c r="E155">
        <f>SUMPRODUCT((MONTH(CHOOSE({1,2,3,4},NĐ!T155,NĐ!X155,NĐ!AB155,NĐ!AF155))=5)*(CHOOSE({1,2,3,4},NĐ!W155,NĐ!AA155,NĐ!AE155,NĐ!AI155)))</f>
        <v>0</v>
      </c>
      <c r="F155">
        <f>SUMPRODUCT((MONTH(CHOOSE({1,2,3,4},NĐ!T155,NĐ!X155,NĐ!AB155,NĐ!AF155))=6)*(CHOOSE({1,2,3,4},NĐ!W155,NĐ!AA155,NĐ!AE155,NĐ!AI155)))</f>
        <v>0</v>
      </c>
      <c r="G155">
        <f>SUMPRODUCT((MONTH(CHOOSE({1,2,3,4},NĐ!T155,NĐ!X155,NĐ!AB155,NĐ!AF155))=7)*(CHOOSE({1,2,3,4},NĐ!W155,NĐ!AA155,NĐ!AE155,NĐ!AI155)))</f>
        <v>0</v>
      </c>
      <c r="H155">
        <f>SUMPRODUCT((MONTH(CHOOSE({1,2,3,4},NĐ!T155,NĐ!X155,NĐ!AB155,NĐ!AF155))=8)*(CHOOSE({1,2,3,4},NĐ!W155,NĐ!AA155,NĐ!AE155,NĐ!AI155)))</f>
        <v>0</v>
      </c>
      <c r="I155">
        <f>SUMPRODUCT((MONTH(CHOOSE({1,2,3,4},NĐ!T155,NĐ!X155,NĐ!AB155,NĐ!AF155))=9)*(CHOOSE({1,2,3,4},NĐ!W155,NĐ!AA155,NĐ!AE155,NĐ!AI155)))</f>
        <v>0</v>
      </c>
      <c r="J155">
        <f>SUMPRODUCT((MONTH(CHOOSE({1,2,3,4},NĐ!T155,NĐ!X155,NĐ!AB155,NĐ!AF155))=10)*(CHOOSE({1,2,3,4},NĐ!W155,NĐ!AA155,NĐ!AE155,NĐ!AI155)))</f>
        <v>0</v>
      </c>
      <c r="K155">
        <f>SUMPRODUCT((MONTH(CHOOSE({1,2,3,4},NĐ!T155,NĐ!X155,NĐ!AB155,NĐ!AF155))=11)*(CHOOSE({1,2,3,4},NĐ!W155,NĐ!AA155,NĐ!AE155,NĐ!AI155)))</f>
        <v>0</v>
      </c>
      <c r="L155">
        <f>SUMPRODUCT((MONTH(CHOOSE({1,2,3,4},NĐ!T155,NĐ!X155,NĐ!AB155,NĐ!AF155))=12)*(CHOOSE({1,2,3,4},NĐ!W155,NĐ!AA155,NĐ!AE155,NĐ!AI155)))</f>
        <v>0</v>
      </c>
    </row>
    <row r="156" spans="1:12">
      <c r="A156">
        <f>SUMPRODUCT((MONTH(CHOOSE({1,2,3,4},NĐ!T156,NĐ!X156,NĐ!AB156,NĐ!AF156))=1)*(CHOOSE({1,2,3,4},NĐ!W156,NĐ!AA156,NĐ!AE156,NĐ!AI156)))</f>
        <v>0</v>
      </c>
      <c r="B156">
        <f>SUMPRODUCT((MONTH(CHOOSE({1,2,3,4},NĐ!T156,NĐ!X156,NĐ!AB156,NĐ!AF156))=2)*(CHOOSE({1,2,3,4},NĐ!W156,NĐ!AA156,NĐ!AE156,NĐ!AI156)))</f>
        <v>0</v>
      </c>
      <c r="C156">
        <f>SUMPRODUCT((MONTH(CHOOSE({1,2,3,4},NĐ!T156,NĐ!X156,NĐ!AB156,NĐ!AF156))=3)*(CHOOSE({1,2,3,4},NĐ!W156,NĐ!AA156,NĐ!AE156,NĐ!AI156)))</f>
        <v>0</v>
      </c>
      <c r="D156">
        <f>SUMPRODUCT((MONTH(CHOOSE({1,2,3,4},NĐ!T156,NĐ!X156,NĐ!AB156,NĐ!AF156))=4)*(CHOOSE({1,2,3,4},NĐ!W156,NĐ!AA156,NĐ!AE156,NĐ!AI156)))</f>
        <v>0</v>
      </c>
      <c r="E156">
        <f>SUMPRODUCT((MONTH(CHOOSE({1,2,3,4},NĐ!T156,NĐ!X156,NĐ!AB156,NĐ!AF156))=5)*(CHOOSE({1,2,3,4},NĐ!W156,NĐ!AA156,NĐ!AE156,NĐ!AI156)))</f>
        <v>0</v>
      </c>
      <c r="F156">
        <f>SUMPRODUCT((MONTH(CHOOSE({1,2,3,4},NĐ!T156,NĐ!X156,NĐ!AB156,NĐ!AF156))=6)*(CHOOSE({1,2,3,4},NĐ!W156,NĐ!AA156,NĐ!AE156,NĐ!AI156)))</f>
        <v>0</v>
      </c>
      <c r="G156">
        <f>SUMPRODUCT((MONTH(CHOOSE({1,2,3,4},NĐ!T156,NĐ!X156,NĐ!AB156,NĐ!AF156))=7)*(CHOOSE({1,2,3,4},NĐ!W156,NĐ!AA156,NĐ!AE156,NĐ!AI156)))</f>
        <v>0</v>
      </c>
      <c r="H156">
        <f>SUMPRODUCT((MONTH(CHOOSE({1,2,3,4},NĐ!T156,NĐ!X156,NĐ!AB156,NĐ!AF156))=8)*(CHOOSE({1,2,3,4},NĐ!W156,NĐ!AA156,NĐ!AE156,NĐ!AI156)))</f>
        <v>0</v>
      </c>
      <c r="I156">
        <f>SUMPRODUCT((MONTH(CHOOSE({1,2,3,4},NĐ!T156,NĐ!X156,NĐ!AB156,NĐ!AF156))=9)*(CHOOSE({1,2,3,4},NĐ!W156,NĐ!AA156,NĐ!AE156,NĐ!AI156)))</f>
        <v>0</v>
      </c>
      <c r="J156">
        <f>SUMPRODUCT((MONTH(CHOOSE({1,2,3,4},NĐ!T156,NĐ!X156,NĐ!AB156,NĐ!AF156))=10)*(CHOOSE({1,2,3,4},NĐ!W156,NĐ!AA156,NĐ!AE156,NĐ!AI156)))</f>
        <v>0</v>
      </c>
      <c r="K156">
        <f>SUMPRODUCT((MONTH(CHOOSE({1,2,3,4},NĐ!T156,NĐ!X156,NĐ!AB156,NĐ!AF156))=11)*(CHOOSE({1,2,3,4},NĐ!W156,NĐ!AA156,NĐ!AE156,NĐ!AI156)))</f>
        <v>0</v>
      </c>
      <c r="L156">
        <f>SUMPRODUCT((MONTH(CHOOSE({1,2,3,4},NĐ!T156,NĐ!X156,NĐ!AB156,NĐ!AF156))=12)*(CHOOSE({1,2,3,4},NĐ!W156,NĐ!AA156,NĐ!AE156,NĐ!AI156)))</f>
        <v>0</v>
      </c>
    </row>
    <row r="157" spans="1:12">
      <c r="A157">
        <f>SUMPRODUCT((MONTH(CHOOSE({1,2,3,4},NĐ!T157,NĐ!X157,NĐ!AB157,NĐ!AF157))=1)*(CHOOSE({1,2,3,4},NĐ!W157,NĐ!AA157,NĐ!AE157,NĐ!AI157)))</f>
        <v>0</v>
      </c>
      <c r="B157">
        <f>SUMPRODUCT((MONTH(CHOOSE({1,2,3,4},NĐ!T157,NĐ!X157,NĐ!AB157,NĐ!AF157))=2)*(CHOOSE({1,2,3,4},NĐ!W157,NĐ!AA157,NĐ!AE157,NĐ!AI157)))</f>
        <v>0</v>
      </c>
      <c r="C157">
        <f>SUMPRODUCT((MONTH(CHOOSE({1,2,3,4},NĐ!T157,NĐ!X157,NĐ!AB157,NĐ!AF157))=3)*(CHOOSE({1,2,3,4},NĐ!W157,NĐ!AA157,NĐ!AE157,NĐ!AI157)))</f>
        <v>0</v>
      </c>
      <c r="D157">
        <f>SUMPRODUCT((MONTH(CHOOSE({1,2,3,4},NĐ!T157,NĐ!X157,NĐ!AB157,NĐ!AF157))=4)*(CHOOSE({1,2,3,4},NĐ!W157,NĐ!AA157,NĐ!AE157,NĐ!AI157)))</f>
        <v>0</v>
      </c>
      <c r="E157">
        <f>SUMPRODUCT((MONTH(CHOOSE({1,2,3,4},NĐ!T157,NĐ!X157,NĐ!AB157,NĐ!AF157))=5)*(CHOOSE({1,2,3,4},NĐ!W157,NĐ!AA157,NĐ!AE157,NĐ!AI157)))</f>
        <v>0</v>
      </c>
      <c r="F157">
        <f>SUMPRODUCT((MONTH(CHOOSE({1,2,3,4},NĐ!T157,NĐ!X157,NĐ!AB157,NĐ!AF157))=6)*(CHOOSE({1,2,3,4},NĐ!W157,NĐ!AA157,NĐ!AE157,NĐ!AI157)))</f>
        <v>0</v>
      </c>
      <c r="G157">
        <f>SUMPRODUCT((MONTH(CHOOSE({1,2,3,4},NĐ!T157,NĐ!X157,NĐ!AB157,NĐ!AF157))=7)*(CHOOSE({1,2,3,4},NĐ!W157,NĐ!AA157,NĐ!AE157,NĐ!AI157)))</f>
        <v>0</v>
      </c>
      <c r="H157">
        <f>SUMPRODUCT((MONTH(CHOOSE({1,2,3,4},NĐ!T157,NĐ!X157,NĐ!AB157,NĐ!AF157))=8)*(CHOOSE({1,2,3,4},NĐ!W157,NĐ!AA157,NĐ!AE157,NĐ!AI157)))</f>
        <v>0</v>
      </c>
      <c r="I157">
        <f>SUMPRODUCT((MONTH(CHOOSE({1,2,3,4},NĐ!T157,NĐ!X157,NĐ!AB157,NĐ!AF157))=9)*(CHOOSE({1,2,3,4},NĐ!W157,NĐ!AA157,NĐ!AE157,NĐ!AI157)))</f>
        <v>0</v>
      </c>
      <c r="J157">
        <f>SUMPRODUCT((MONTH(CHOOSE({1,2,3,4},NĐ!T157,NĐ!X157,NĐ!AB157,NĐ!AF157))=10)*(CHOOSE({1,2,3,4},NĐ!W157,NĐ!AA157,NĐ!AE157,NĐ!AI157)))</f>
        <v>0</v>
      </c>
      <c r="K157">
        <f>SUMPRODUCT((MONTH(CHOOSE({1,2,3,4},NĐ!T157,NĐ!X157,NĐ!AB157,NĐ!AF157))=11)*(CHOOSE({1,2,3,4},NĐ!W157,NĐ!AA157,NĐ!AE157,NĐ!AI157)))</f>
        <v>0</v>
      </c>
      <c r="L157">
        <f>SUMPRODUCT((MONTH(CHOOSE({1,2,3,4},NĐ!T157,NĐ!X157,NĐ!AB157,NĐ!AF157))=12)*(CHOOSE({1,2,3,4},NĐ!W157,NĐ!AA157,NĐ!AE157,NĐ!AI157)))</f>
        <v>0</v>
      </c>
    </row>
    <row r="158" spans="1:12">
      <c r="A158">
        <f>SUMPRODUCT((MONTH(CHOOSE({1,2,3,4},NĐ!T158,NĐ!X158,NĐ!AB158,NĐ!AF158))=1)*(CHOOSE({1,2,3,4},NĐ!W158,NĐ!AA158,NĐ!AE158,NĐ!AI158)))</f>
        <v>0</v>
      </c>
      <c r="B158">
        <f>SUMPRODUCT((MONTH(CHOOSE({1,2,3,4},NĐ!T158,NĐ!X158,NĐ!AB158,NĐ!AF158))=2)*(CHOOSE({1,2,3,4},NĐ!W158,NĐ!AA158,NĐ!AE158,NĐ!AI158)))</f>
        <v>0</v>
      </c>
      <c r="C158">
        <f>SUMPRODUCT((MONTH(CHOOSE({1,2,3,4},NĐ!T158,NĐ!X158,NĐ!AB158,NĐ!AF158))=3)*(CHOOSE({1,2,3,4},NĐ!W158,NĐ!AA158,NĐ!AE158,NĐ!AI158)))</f>
        <v>0</v>
      </c>
      <c r="D158">
        <f>SUMPRODUCT((MONTH(CHOOSE({1,2,3,4},NĐ!T158,NĐ!X158,NĐ!AB158,NĐ!AF158))=4)*(CHOOSE({1,2,3,4},NĐ!W158,NĐ!AA158,NĐ!AE158,NĐ!AI158)))</f>
        <v>0</v>
      </c>
      <c r="E158">
        <f>SUMPRODUCT((MONTH(CHOOSE({1,2,3,4},NĐ!T158,NĐ!X158,NĐ!AB158,NĐ!AF158))=5)*(CHOOSE({1,2,3,4},NĐ!W158,NĐ!AA158,NĐ!AE158,NĐ!AI158)))</f>
        <v>0</v>
      </c>
      <c r="F158">
        <f>SUMPRODUCT((MONTH(CHOOSE({1,2,3,4},NĐ!T158,NĐ!X158,NĐ!AB158,NĐ!AF158))=6)*(CHOOSE({1,2,3,4},NĐ!W158,NĐ!AA158,NĐ!AE158,NĐ!AI158)))</f>
        <v>0</v>
      </c>
      <c r="G158">
        <f>SUMPRODUCT((MONTH(CHOOSE({1,2,3,4},NĐ!T158,NĐ!X158,NĐ!AB158,NĐ!AF158))=7)*(CHOOSE({1,2,3,4},NĐ!W158,NĐ!AA158,NĐ!AE158,NĐ!AI158)))</f>
        <v>0</v>
      </c>
      <c r="H158">
        <f>SUMPRODUCT((MONTH(CHOOSE({1,2,3,4},NĐ!T158,NĐ!X158,NĐ!AB158,NĐ!AF158))=8)*(CHOOSE({1,2,3,4},NĐ!W158,NĐ!AA158,NĐ!AE158,NĐ!AI158)))</f>
        <v>0</v>
      </c>
      <c r="I158">
        <f>SUMPRODUCT((MONTH(CHOOSE({1,2,3,4},NĐ!T158,NĐ!X158,NĐ!AB158,NĐ!AF158))=9)*(CHOOSE({1,2,3,4},NĐ!W158,NĐ!AA158,NĐ!AE158,NĐ!AI158)))</f>
        <v>0</v>
      </c>
      <c r="J158">
        <f>SUMPRODUCT((MONTH(CHOOSE({1,2,3,4},NĐ!T158,NĐ!X158,NĐ!AB158,NĐ!AF158))=10)*(CHOOSE({1,2,3,4},NĐ!W158,NĐ!AA158,NĐ!AE158,NĐ!AI158)))</f>
        <v>0</v>
      </c>
      <c r="K158">
        <f>SUMPRODUCT((MONTH(CHOOSE({1,2,3,4},NĐ!T158,NĐ!X158,NĐ!AB158,NĐ!AF158))=11)*(CHOOSE({1,2,3,4},NĐ!W158,NĐ!AA158,NĐ!AE158,NĐ!AI158)))</f>
        <v>0</v>
      </c>
      <c r="L158">
        <f>SUMPRODUCT((MONTH(CHOOSE({1,2,3,4},NĐ!T158,NĐ!X158,NĐ!AB158,NĐ!AF158))=12)*(CHOOSE({1,2,3,4},NĐ!W158,NĐ!AA158,NĐ!AE158,NĐ!AI158)))</f>
        <v>0</v>
      </c>
    </row>
    <row r="159" spans="1:12">
      <c r="A159">
        <f>SUMPRODUCT((MONTH(CHOOSE({1,2,3,4},NĐ!T159,NĐ!X159,NĐ!AB159,NĐ!AF159))=1)*(CHOOSE({1,2,3,4},NĐ!W159,NĐ!AA159,NĐ!AE159,NĐ!AI159)))</f>
        <v>0</v>
      </c>
      <c r="B159">
        <f>SUMPRODUCT((MONTH(CHOOSE({1,2,3,4},NĐ!T159,NĐ!X159,NĐ!AB159,NĐ!AF159))=2)*(CHOOSE({1,2,3,4},NĐ!W159,NĐ!AA159,NĐ!AE159,NĐ!AI159)))</f>
        <v>0</v>
      </c>
      <c r="C159">
        <f>SUMPRODUCT((MONTH(CHOOSE({1,2,3,4},NĐ!T159,NĐ!X159,NĐ!AB159,NĐ!AF159))=3)*(CHOOSE({1,2,3,4},NĐ!W159,NĐ!AA159,NĐ!AE159,NĐ!AI159)))</f>
        <v>0</v>
      </c>
      <c r="D159">
        <f>SUMPRODUCT((MONTH(CHOOSE({1,2,3,4},NĐ!T159,NĐ!X159,NĐ!AB159,NĐ!AF159))=4)*(CHOOSE({1,2,3,4},NĐ!W159,NĐ!AA159,NĐ!AE159,NĐ!AI159)))</f>
        <v>0</v>
      </c>
      <c r="E159">
        <f>SUMPRODUCT((MONTH(CHOOSE({1,2,3,4},NĐ!T159,NĐ!X159,NĐ!AB159,NĐ!AF159))=5)*(CHOOSE({1,2,3,4},NĐ!W159,NĐ!AA159,NĐ!AE159,NĐ!AI159)))</f>
        <v>0</v>
      </c>
      <c r="F159">
        <f>SUMPRODUCT((MONTH(CHOOSE({1,2,3,4},NĐ!T159,NĐ!X159,NĐ!AB159,NĐ!AF159))=6)*(CHOOSE({1,2,3,4},NĐ!W159,NĐ!AA159,NĐ!AE159,NĐ!AI159)))</f>
        <v>0</v>
      </c>
      <c r="G159">
        <f>SUMPRODUCT((MONTH(CHOOSE({1,2,3,4},NĐ!T159,NĐ!X159,NĐ!AB159,NĐ!AF159))=7)*(CHOOSE({1,2,3,4},NĐ!W159,NĐ!AA159,NĐ!AE159,NĐ!AI159)))</f>
        <v>0</v>
      </c>
      <c r="H159">
        <f>SUMPRODUCT((MONTH(CHOOSE({1,2,3,4},NĐ!T159,NĐ!X159,NĐ!AB159,NĐ!AF159))=8)*(CHOOSE({1,2,3,4},NĐ!W159,NĐ!AA159,NĐ!AE159,NĐ!AI159)))</f>
        <v>0</v>
      </c>
      <c r="I159">
        <f>SUMPRODUCT((MONTH(CHOOSE({1,2,3,4},NĐ!T159,NĐ!X159,NĐ!AB159,NĐ!AF159))=9)*(CHOOSE({1,2,3,4},NĐ!W159,NĐ!AA159,NĐ!AE159,NĐ!AI159)))</f>
        <v>0</v>
      </c>
      <c r="J159">
        <f>SUMPRODUCT((MONTH(CHOOSE({1,2,3,4},NĐ!T159,NĐ!X159,NĐ!AB159,NĐ!AF159))=10)*(CHOOSE({1,2,3,4},NĐ!W159,NĐ!AA159,NĐ!AE159,NĐ!AI159)))</f>
        <v>0</v>
      </c>
      <c r="K159">
        <f>SUMPRODUCT((MONTH(CHOOSE({1,2,3,4},NĐ!T159,NĐ!X159,NĐ!AB159,NĐ!AF159))=11)*(CHOOSE({1,2,3,4},NĐ!W159,NĐ!AA159,NĐ!AE159,NĐ!AI159)))</f>
        <v>0</v>
      </c>
      <c r="L159">
        <f>SUMPRODUCT((MONTH(CHOOSE({1,2,3,4},NĐ!T159,NĐ!X159,NĐ!AB159,NĐ!AF159))=12)*(CHOOSE({1,2,3,4},NĐ!W159,NĐ!AA159,NĐ!AE159,NĐ!AI159)))</f>
        <v>0</v>
      </c>
    </row>
    <row r="160" spans="1:12">
      <c r="A160">
        <f>SUMPRODUCT((MONTH(CHOOSE({1,2,3,4},NĐ!T160,NĐ!X160,NĐ!AB160,NĐ!AF160))=1)*(CHOOSE({1,2,3,4},NĐ!W160,NĐ!AA160,NĐ!AE160,NĐ!AI160)))</f>
        <v>0</v>
      </c>
      <c r="B160">
        <f>SUMPRODUCT((MONTH(CHOOSE({1,2,3,4},NĐ!T160,NĐ!X160,NĐ!AB160,NĐ!AF160))=2)*(CHOOSE({1,2,3,4},NĐ!W160,NĐ!AA160,NĐ!AE160,NĐ!AI160)))</f>
        <v>0</v>
      </c>
      <c r="C160">
        <f>SUMPRODUCT((MONTH(CHOOSE({1,2,3,4},NĐ!T160,NĐ!X160,NĐ!AB160,NĐ!AF160))=3)*(CHOOSE({1,2,3,4},NĐ!W160,NĐ!AA160,NĐ!AE160,NĐ!AI160)))</f>
        <v>0</v>
      </c>
      <c r="D160">
        <f>SUMPRODUCT((MONTH(CHOOSE({1,2,3,4},NĐ!T160,NĐ!X160,NĐ!AB160,NĐ!AF160))=4)*(CHOOSE({1,2,3,4},NĐ!W160,NĐ!AA160,NĐ!AE160,NĐ!AI160)))</f>
        <v>0</v>
      </c>
      <c r="E160">
        <f>SUMPRODUCT((MONTH(CHOOSE({1,2,3,4},NĐ!T160,NĐ!X160,NĐ!AB160,NĐ!AF160))=5)*(CHOOSE({1,2,3,4},NĐ!W160,NĐ!AA160,NĐ!AE160,NĐ!AI160)))</f>
        <v>0</v>
      </c>
      <c r="F160">
        <f>SUMPRODUCT((MONTH(CHOOSE({1,2,3,4},NĐ!T160,NĐ!X160,NĐ!AB160,NĐ!AF160))=6)*(CHOOSE({1,2,3,4},NĐ!W160,NĐ!AA160,NĐ!AE160,NĐ!AI160)))</f>
        <v>0</v>
      </c>
      <c r="G160">
        <f>SUMPRODUCT((MONTH(CHOOSE({1,2,3,4},NĐ!T160,NĐ!X160,NĐ!AB160,NĐ!AF160))=7)*(CHOOSE({1,2,3,4},NĐ!W160,NĐ!AA160,NĐ!AE160,NĐ!AI160)))</f>
        <v>0</v>
      </c>
      <c r="H160">
        <f>SUMPRODUCT((MONTH(CHOOSE({1,2,3,4},NĐ!T160,NĐ!X160,NĐ!AB160,NĐ!AF160))=8)*(CHOOSE({1,2,3,4},NĐ!W160,NĐ!AA160,NĐ!AE160,NĐ!AI160)))</f>
        <v>0</v>
      </c>
      <c r="I160">
        <f>SUMPRODUCT((MONTH(CHOOSE({1,2,3,4},NĐ!T160,NĐ!X160,NĐ!AB160,NĐ!AF160))=9)*(CHOOSE({1,2,3,4},NĐ!W160,NĐ!AA160,NĐ!AE160,NĐ!AI160)))</f>
        <v>0</v>
      </c>
      <c r="J160">
        <f>SUMPRODUCT((MONTH(CHOOSE({1,2,3,4},NĐ!T160,NĐ!X160,NĐ!AB160,NĐ!AF160))=10)*(CHOOSE({1,2,3,4},NĐ!W160,NĐ!AA160,NĐ!AE160,NĐ!AI160)))</f>
        <v>0</v>
      </c>
      <c r="K160">
        <f>SUMPRODUCT((MONTH(CHOOSE({1,2,3,4},NĐ!T160,NĐ!X160,NĐ!AB160,NĐ!AF160))=11)*(CHOOSE({1,2,3,4},NĐ!W160,NĐ!AA160,NĐ!AE160,NĐ!AI160)))</f>
        <v>0</v>
      </c>
      <c r="L160">
        <f>SUMPRODUCT((MONTH(CHOOSE({1,2,3,4},NĐ!T160,NĐ!X160,NĐ!AB160,NĐ!AF160))=12)*(CHOOSE({1,2,3,4},NĐ!W160,NĐ!AA160,NĐ!AE160,NĐ!AI160)))</f>
        <v>0</v>
      </c>
    </row>
    <row r="161" spans="1:12">
      <c r="A161">
        <f>SUMPRODUCT((MONTH(CHOOSE({1,2,3,4},NĐ!T161,NĐ!X161,NĐ!AB161,NĐ!AF161))=1)*(CHOOSE({1,2,3,4},NĐ!W161,NĐ!AA161,NĐ!AE161,NĐ!AI161)))</f>
        <v>0</v>
      </c>
      <c r="B161">
        <f>SUMPRODUCT((MONTH(CHOOSE({1,2,3,4},NĐ!T161,NĐ!X161,NĐ!AB161,NĐ!AF161))=2)*(CHOOSE({1,2,3,4},NĐ!W161,NĐ!AA161,NĐ!AE161,NĐ!AI161)))</f>
        <v>0</v>
      </c>
      <c r="C161">
        <f>SUMPRODUCT((MONTH(CHOOSE({1,2,3,4},NĐ!T161,NĐ!X161,NĐ!AB161,NĐ!AF161))=3)*(CHOOSE({1,2,3,4},NĐ!W161,NĐ!AA161,NĐ!AE161,NĐ!AI161)))</f>
        <v>0</v>
      </c>
      <c r="D161">
        <f>SUMPRODUCT((MONTH(CHOOSE({1,2,3,4},NĐ!T161,NĐ!X161,NĐ!AB161,NĐ!AF161))=4)*(CHOOSE({1,2,3,4},NĐ!W161,NĐ!AA161,NĐ!AE161,NĐ!AI161)))</f>
        <v>0</v>
      </c>
      <c r="E161">
        <f>SUMPRODUCT((MONTH(CHOOSE({1,2,3,4},NĐ!T161,NĐ!X161,NĐ!AB161,NĐ!AF161))=5)*(CHOOSE({1,2,3,4},NĐ!W161,NĐ!AA161,NĐ!AE161,NĐ!AI161)))</f>
        <v>0</v>
      </c>
      <c r="F161">
        <f>SUMPRODUCT((MONTH(CHOOSE({1,2,3,4},NĐ!T161,NĐ!X161,NĐ!AB161,NĐ!AF161))=6)*(CHOOSE({1,2,3,4},NĐ!W161,NĐ!AA161,NĐ!AE161,NĐ!AI161)))</f>
        <v>0</v>
      </c>
      <c r="G161">
        <f>SUMPRODUCT((MONTH(CHOOSE({1,2,3,4},NĐ!T161,NĐ!X161,NĐ!AB161,NĐ!AF161))=7)*(CHOOSE({1,2,3,4},NĐ!W161,NĐ!AA161,NĐ!AE161,NĐ!AI161)))</f>
        <v>0</v>
      </c>
      <c r="H161">
        <f>SUMPRODUCT((MONTH(CHOOSE({1,2,3,4},NĐ!T161,NĐ!X161,NĐ!AB161,NĐ!AF161))=8)*(CHOOSE({1,2,3,4},NĐ!W161,NĐ!AA161,NĐ!AE161,NĐ!AI161)))</f>
        <v>0</v>
      </c>
      <c r="I161">
        <f>SUMPRODUCT((MONTH(CHOOSE({1,2,3,4},NĐ!T161,NĐ!X161,NĐ!AB161,NĐ!AF161))=9)*(CHOOSE({1,2,3,4},NĐ!W161,NĐ!AA161,NĐ!AE161,NĐ!AI161)))</f>
        <v>0</v>
      </c>
      <c r="J161">
        <f>SUMPRODUCT((MONTH(CHOOSE({1,2,3,4},NĐ!T161,NĐ!X161,NĐ!AB161,NĐ!AF161))=10)*(CHOOSE({1,2,3,4},NĐ!W161,NĐ!AA161,NĐ!AE161,NĐ!AI161)))</f>
        <v>0</v>
      </c>
      <c r="K161">
        <f>SUMPRODUCT((MONTH(CHOOSE({1,2,3,4},NĐ!T161,NĐ!X161,NĐ!AB161,NĐ!AF161))=11)*(CHOOSE({1,2,3,4},NĐ!W161,NĐ!AA161,NĐ!AE161,NĐ!AI161)))</f>
        <v>0</v>
      </c>
      <c r="L161">
        <f>SUMPRODUCT((MONTH(CHOOSE({1,2,3,4},NĐ!T161,NĐ!X161,NĐ!AB161,NĐ!AF161))=12)*(CHOOSE({1,2,3,4},NĐ!W161,NĐ!AA161,NĐ!AE161,NĐ!AI161)))</f>
        <v>0</v>
      </c>
    </row>
    <row r="162" spans="1:12">
      <c r="A162">
        <f>SUMPRODUCT((MONTH(CHOOSE({1,2,3,4},NĐ!T162,NĐ!X162,NĐ!AB162,NĐ!AF162))=1)*(CHOOSE({1,2,3,4},NĐ!W162,NĐ!AA162,NĐ!AE162,NĐ!AI162)))</f>
        <v>0</v>
      </c>
      <c r="B162">
        <f>SUMPRODUCT((MONTH(CHOOSE({1,2,3,4},NĐ!T162,NĐ!X162,NĐ!AB162,NĐ!AF162))=2)*(CHOOSE({1,2,3,4},NĐ!W162,NĐ!AA162,NĐ!AE162,NĐ!AI162)))</f>
        <v>0</v>
      </c>
      <c r="C162">
        <f>SUMPRODUCT((MONTH(CHOOSE({1,2,3,4},NĐ!T162,NĐ!X162,NĐ!AB162,NĐ!AF162))=3)*(CHOOSE({1,2,3,4},NĐ!W162,NĐ!AA162,NĐ!AE162,NĐ!AI162)))</f>
        <v>0</v>
      </c>
      <c r="D162">
        <f>SUMPRODUCT((MONTH(CHOOSE({1,2,3,4},NĐ!T162,NĐ!X162,NĐ!AB162,NĐ!AF162))=4)*(CHOOSE({1,2,3,4},NĐ!W162,NĐ!AA162,NĐ!AE162,NĐ!AI162)))</f>
        <v>0</v>
      </c>
      <c r="E162">
        <f>SUMPRODUCT((MONTH(CHOOSE({1,2,3,4},NĐ!T162,NĐ!X162,NĐ!AB162,NĐ!AF162))=5)*(CHOOSE({1,2,3,4},NĐ!W162,NĐ!AA162,NĐ!AE162,NĐ!AI162)))</f>
        <v>0</v>
      </c>
      <c r="F162">
        <f>SUMPRODUCT((MONTH(CHOOSE({1,2,3,4},NĐ!T162,NĐ!X162,NĐ!AB162,NĐ!AF162))=6)*(CHOOSE({1,2,3,4},NĐ!W162,NĐ!AA162,NĐ!AE162,NĐ!AI162)))</f>
        <v>0</v>
      </c>
      <c r="G162">
        <f>SUMPRODUCT((MONTH(CHOOSE({1,2,3,4},NĐ!T162,NĐ!X162,NĐ!AB162,NĐ!AF162))=7)*(CHOOSE({1,2,3,4},NĐ!W162,NĐ!AA162,NĐ!AE162,NĐ!AI162)))</f>
        <v>0</v>
      </c>
      <c r="H162">
        <f>SUMPRODUCT((MONTH(CHOOSE({1,2,3,4},NĐ!T162,NĐ!X162,NĐ!AB162,NĐ!AF162))=8)*(CHOOSE({1,2,3,4},NĐ!W162,NĐ!AA162,NĐ!AE162,NĐ!AI162)))</f>
        <v>0</v>
      </c>
      <c r="I162">
        <f>SUMPRODUCT((MONTH(CHOOSE({1,2,3,4},NĐ!T162,NĐ!X162,NĐ!AB162,NĐ!AF162))=9)*(CHOOSE({1,2,3,4},NĐ!W162,NĐ!AA162,NĐ!AE162,NĐ!AI162)))</f>
        <v>0</v>
      </c>
      <c r="J162">
        <f>SUMPRODUCT((MONTH(CHOOSE({1,2,3,4},NĐ!T162,NĐ!X162,NĐ!AB162,NĐ!AF162))=10)*(CHOOSE({1,2,3,4},NĐ!W162,NĐ!AA162,NĐ!AE162,NĐ!AI162)))</f>
        <v>0</v>
      </c>
      <c r="K162">
        <f>SUMPRODUCT((MONTH(CHOOSE({1,2,3,4},NĐ!T162,NĐ!X162,NĐ!AB162,NĐ!AF162))=11)*(CHOOSE({1,2,3,4},NĐ!W162,NĐ!AA162,NĐ!AE162,NĐ!AI162)))</f>
        <v>0</v>
      </c>
      <c r="L162">
        <f>SUMPRODUCT((MONTH(CHOOSE({1,2,3,4},NĐ!T162,NĐ!X162,NĐ!AB162,NĐ!AF162))=12)*(CHOOSE({1,2,3,4},NĐ!W162,NĐ!AA162,NĐ!AE162,NĐ!AI162)))</f>
        <v>0</v>
      </c>
    </row>
    <row r="163" spans="1:12">
      <c r="A163">
        <f>SUMPRODUCT((MONTH(CHOOSE({1,2,3,4},NĐ!T163,NĐ!X163,NĐ!AB163,NĐ!AF163))=1)*(CHOOSE({1,2,3,4},NĐ!W163,NĐ!AA163,NĐ!AE163,NĐ!AI163)))</f>
        <v>0</v>
      </c>
      <c r="B163">
        <f>SUMPRODUCT((MONTH(CHOOSE({1,2,3,4},NĐ!T163,NĐ!X163,NĐ!AB163,NĐ!AF163))=2)*(CHOOSE({1,2,3,4},NĐ!W163,NĐ!AA163,NĐ!AE163,NĐ!AI163)))</f>
        <v>0</v>
      </c>
      <c r="C163">
        <f>SUMPRODUCT((MONTH(CHOOSE({1,2,3,4},NĐ!T163,NĐ!X163,NĐ!AB163,NĐ!AF163))=3)*(CHOOSE({1,2,3,4},NĐ!W163,NĐ!AA163,NĐ!AE163,NĐ!AI163)))</f>
        <v>0</v>
      </c>
      <c r="D163">
        <f>SUMPRODUCT((MONTH(CHOOSE({1,2,3,4},NĐ!T163,NĐ!X163,NĐ!AB163,NĐ!AF163))=4)*(CHOOSE({1,2,3,4},NĐ!W163,NĐ!AA163,NĐ!AE163,NĐ!AI163)))</f>
        <v>0</v>
      </c>
      <c r="E163">
        <f>SUMPRODUCT((MONTH(CHOOSE({1,2,3,4},NĐ!T163,NĐ!X163,NĐ!AB163,NĐ!AF163))=5)*(CHOOSE({1,2,3,4},NĐ!W163,NĐ!AA163,NĐ!AE163,NĐ!AI163)))</f>
        <v>0</v>
      </c>
      <c r="F163">
        <f>SUMPRODUCT((MONTH(CHOOSE({1,2,3,4},NĐ!T163,NĐ!X163,NĐ!AB163,NĐ!AF163))=6)*(CHOOSE({1,2,3,4},NĐ!W163,NĐ!AA163,NĐ!AE163,NĐ!AI163)))</f>
        <v>0</v>
      </c>
      <c r="G163">
        <f>SUMPRODUCT((MONTH(CHOOSE({1,2,3,4},NĐ!T163,NĐ!X163,NĐ!AB163,NĐ!AF163))=7)*(CHOOSE({1,2,3,4},NĐ!W163,NĐ!AA163,NĐ!AE163,NĐ!AI163)))</f>
        <v>0</v>
      </c>
      <c r="H163">
        <f>SUMPRODUCT((MONTH(CHOOSE({1,2,3,4},NĐ!T163,NĐ!X163,NĐ!AB163,NĐ!AF163))=8)*(CHOOSE({1,2,3,4},NĐ!W163,NĐ!AA163,NĐ!AE163,NĐ!AI163)))</f>
        <v>0</v>
      </c>
      <c r="I163">
        <f>SUMPRODUCT((MONTH(CHOOSE({1,2,3,4},NĐ!T163,NĐ!X163,NĐ!AB163,NĐ!AF163))=9)*(CHOOSE({1,2,3,4},NĐ!W163,NĐ!AA163,NĐ!AE163,NĐ!AI163)))</f>
        <v>0</v>
      </c>
      <c r="J163">
        <f>SUMPRODUCT((MONTH(CHOOSE({1,2,3,4},NĐ!T163,NĐ!X163,NĐ!AB163,NĐ!AF163))=10)*(CHOOSE({1,2,3,4},NĐ!W163,NĐ!AA163,NĐ!AE163,NĐ!AI163)))</f>
        <v>0</v>
      </c>
      <c r="K163">
        <f>SUMPRODUCT((MONTH(CHOOSE({1,2,3,4},NĐ!T163,NĐ!X163,NĐ!AB163,NĐ!AF163))=11)*(CHOOSE({1,2,3,4},NĐ!W163,NĐ!AA163,NĐ!AE163,NĐ!AI163)))</f>
        <v>0</v>
      </c>
      <c r="L163">
        <f>SUMPRODUCT((MONTH(CHOOSE({1,2,3,4},NĐ!T163,NĐ!X163,NĐ!AB163,NĐ!AF163))=12)*(CHOOSE({1,2,3,4},NĐ!W163,NĐ!AA163,NĐ!AE163,NĐ!AI163)))</f>
        <v>0</v>
      </c>
    </row>
    <row r="164" spans="1:12">
      <c r="A164">
        <f>SUMPRODUCT((MONTH(CHOOSE({1,2,3,4},NĐ!T164,NĐ!X164,NĐ!AB164,NĐ!AF164))=1)*(CHOOSE({1,2,3,4},NĐ!W164,NĐ!AA164,NĐ!AE164,NĐ!AI164)))</f>
        <v>0</v>
      </c>
      <c r="B164">
        <f>SUMPRODUCT((MONTH(CHOOSE({1,2,3,4},NĐ!T164,NĐ!X164,NĐ!AB164,NĐ!AF164))=2)*(CHOOSE({1,2,3,4},NĐ!W164,NĐ!AA164,NĐ!AE164,NĐ!AI164)))</f>
        <v>0</v>
      </c>
      <c r="C164">
        <f>SUMPRODUCT((MONTH(CHOOSE({1,2,3,4},NĐ!T164,NĐ!X164,NĐ!AB164,NĐ!AF164))=3)*(CHOOSE({1,2,3,4},NĐ!W164,NĐ!AA164,NĐ!AE164,NĐ!AI164)))</f>
        <v>0</v>
      </c>
      <c r="D164">
        <f>SUMPRODUCT((MONTH(CHOOSE({1,2,3,4},NĐ!T164,NĐ!X164,NĐ!AB164,NĐ!AF164))=4)*(CHOOSE({1,2,3,4},NĐ!W164,NĐ!AA164,NĐ!AE164,NĐ!AI164)))</f>
        <v>0</v>
      </c>
      <c r="E164">
        <f>SUMPRODUCT((MONTH(CHOOSE({1,2,3,4},NĐ!T164,NĐ!X164,NĐ!AB164,NĐ!AF164))=5)*(CHOOSE({1,2,3,4},NĐ!W164,NĐ!AA164,NĐ!AE164,NĐ!AI164)))</f>
        <v>0</v>
      </c>
      <c r="F164">
        <f>SUMPRODUCT((MONTH(CHOOSE({1,2,3,4},NĐ!T164,NĐ!X164,NĐ!AB164,NĐ!AF164))=6)*(CHOOSE({1,2,3,4},NĐ!W164,NĐ!AA164,NĐ!AE164,NĐ!AI164)))</f>
        <v>0</v>
      </c>
      <c r="G164">
        <f>SUMPRODUCT((MONTH(CHOOSE({1,2,3,4},NĐ!T164,NĐ!X164,NĐ!AB164,NĐ!AF164))=7)*(CHOOSE({1,2,3,4},NĐ!W164,NĐ!AA164,NĐ!AE164,NĐ!AI164)))</f>
        <v>0</v>
      </c>
      <c r="H164">
        <f>SUMPRODUCT((MONTH(CHOOSE({1,2,3,4},NĐ!T164,NĐ!X164,NĐ!AB164,NĐ!AF164))=8)*(CHOOSE({1,2,3,4},NĐ!W164,NĐ!AA164,NĐ!AE164,NĐ!AI164)))</f>
        <v>0</v>
      </c>
      <c r="I164">
        <f>SUMPRODUCT((MONTH(CHOOSE({1,2,3,4},NĐ!T164,NĐ!X164,NĐ!AB164,NĐ!AF164))=9)*(CHOOSE({1,2,3,4},NĐ!W164,NĐ!AA164,NĐ!AE164,NĐ!AI164)))</f>
        <v>0</v>
      </c>
      <c r="J164">
        <f>SUMPRODUCT((MONTH(CHOOSE({1,2,3,4},NĐ!T164,NĐ!X164,NĐ!AB164,NĐ!AF164))=10)*(CHOOSE({1,2,3,4},NĐ!W164,NĐ!AA164,NĐ!AE164,NĐ!AI164)))</f>
        <v>0</v>
      </c>
      <c r="K164">
        <f>SUMPRODUCT((MONTH(CHOOSE({1,2,3,4},NĐ!T164,NĐ!X164,NĐ!AB164,NĐ!AF164))=11)*(CHOOSE({1,2,3,4},NĐ!W164,NĐ!AA164,NĐ!AE164,NĐ!AI164)))</f>
        <v>0</v>
      </c>
      <c r="L164">
        <f>SUMPRODUCT((MONTH(CHOOSE({1,2,3,4},NĐ!T164,NĐ!X164,NĐ!AB164,NĐ!AF164))=12)*(CHOOSE({1,2,3,4},NĐ!W164,NĐ!AA164,NĐ!AE164,NĐ!AI164)))</f>
        <v>0</v>
      </c>
    </row>
    <row r="165" spans="1:12">
      <c r="A165">
        <f>SUMPRODUCT((MONTH(CHOOSE({1,2,3,4},NĐ!T165,NĐ!X165,NĐ!AB165,NĐ!AF165))=1)*(CHOOSE({1,2,3,4},NĐ!W165,NĐ!AA165,NĐ!AE165,NĐ!AI165)))</f>
        <v>0</v>
      </c>
      <c r="B165">
        <f>SUMPRODUCT((MONTH(CHOOSE({1,2,3,4},NĐ!T165,NĐ!X165,NĐ!AB165,NĐ!AF165))=2)*(CHOOSE({1,2,3,4},NĐ!W165,NĐ!AA165,NĐ!AE165,NĐ!AI165)))</f>
        <v>0</v>
      </c>
      <c r="C165">
        <f>SUMPRODUCT((MONTH(CHOOSE({1,2,3,4},NĐ!T165,NĐ!X165,NĐ!AB165,NĐ!AF165))=3)*(CHOOSE({1,2,3,4},NĐ!W165,NĐ!AA165,NĐ!AE165,NĐ!AI165)))</f>
        <v>0</v>
      </c>
      <c r="D165">
        <f>SUMPRODUCT((MONTH(CHOOSE({1,2,3,4},NĐ!T165,NĐ!X165,NĐ!AB165,NĐ!AF165))=4)*(CHOOSE({1,2,3,4},NĐ!W165,NĐ!AA165,NĐ!AE165,NĐ!AI165)))</f>
        <v>0</v>
      </c>
      <c r="E165">
        <f>SUMPRODUCT((MONTH(CHOOSE({1,2,3,4},NĐ!T165,NĐ!X165,NĐ!AB165,NĐ!AF165))=5)*(CHOOSE({1,2,3,4},NĐ!W165,NĐ!AA165,NĐ!AE165,NĐ!AI165)))</f>
        <v>0</v>
      </c>
      <c r="F165">
        <f>SUMPRODUCT((MONTH(CHOOSE({1,2,3,4},NĐ!T165,NĐ!X165,NĐ!AB165,NĐ!AF165))=6)*(CHOOSE({1,2,3,4},NĐ!W165,NĐ!AA165,NĐ!AE165,NĐ!AI165)))</f>
        <v>0</v>
      </c>
      <c r="G165">
        <f>SUMPRODUCT((MONTH(CHOOSE({1,2,3,4},NĐ!T165,NĐ!X165,NĐ!AB165,NĐ!AF165))=7)*(CHOOSE({1,2,3,4},NĐ!W165,NĐ!AA165,NĐ!AE165,NĐ!AI165)))</f>
        <v>0</v>
      </c>
      <c r="H165">
        <f>SUMPRODUCT((MONTH(CHOOSE({1,2,3,4},NĐ!T165,NĐ!X165,NĐ!AB165,NĐ!AF165))=8)*(CHOOSE({1,2,3,4},NĐ!W165,NĐ!AA165,NĐ!AE165,NĐ!AI165)))</f>
        <v>0</v>
      </c>
      <c r="I165">
        <f>SUMPRODUCT((MONTH(CHOOSE({1,2,3,4},NĐ!T165,NĐ!X165,NĐ!AB165,NĐ!AF165))=9)*(CHOOSE({1,2,3,4},NĐ!W165,NĐ!AA165,NĐ!AE165,NĐ!AI165)))</f>
        <v>0</v>
      </c>
      <c r="J165">
        <f>SUMPRODUCT((MONTH(CHOOSE({1,2,3,4},NĐ!T165,NĐ!X165,NĐ!AB165,NĐ!AF165))=10)*(CHOOSE({1,2,3,4},NĐ!W165,NĐ!AA165,NĐ!AE165,NĐ!AI165)))</f>
        <v>0</v>
      </c>
      <c r="K165">
        <f>SUMPRODUCT((MONTH(CHOOSE({1,2,3,4},NĐ!T165,NĐ!X165,NĐ!AB165,NĐ!AF165))=11)*(CHOOSE({1,2,3,4},NĐ!W165,NĐ!AA165,NĐ!AE165,NĐ!AI165)))</f>
        <v>0</v>
      </c>
      <c r="L165">
        <f>SUMPRODUCT((MONTH(CHOOSE({1,2,3,4},NĐ!T165,NĐ!X165,NĐ!AB165,NĐ!AF165))=12)*(CHOOSE({1,2,3,4},NĐ!W165,NĐ!AA165,NĐ!AE165,NĐ!AI165)))</f>
        <v>0</v>
      </c>
    </row>
    <row r="166" spans="1:12">
      <c r="A166">
        <f>SUMPRODUCT((MONTH(CHOOSE({1,2,3,4},NĐ!T166,NĐ!X166,NĐ!AB166,NĐ!AF166))=1)*(CHOOSE({1,2,3,4},NĐ!W166,NĐ!AA166,NĐ!AE166,NĐ!AI166)))</f>
        <v>0</v>
      </c>
      <c r="B166">
        <f>SUMPRODUCT((MONTH(CHOOSE({1,2,3,4},NĐ!T166,NĐ!X166,NĐ!AB166,NĐ!AF166))=2)*(CHOOSE({1,2,3,4},NĐ!W166,NĐ!AA166,NĐ!AE166,NĐ!AI166)))</f>
        <v>0</v>
      </c>
      <c r="C166">
        <f>SUMPRODUCT((MONTH(CHOOSE({1,2,3,4},NĐ!T166,NĐ!X166,NĐ!AB166,NĐ!AF166))=3)*(CHOOSE({1,2,3,4},NĐ!W166,NĐ!AA166,NĐ!AE166,NĐ!AI166)))</f>
        <v>0</v>
      </c>
      <c r="D166">
        <f>SUMPRODUCT((MONTH(CHOOSE({1,2,3,4},NĐ!T166,NĐ!X166,NĐ!AB166,NĐ!AF166))=4)*(CHOOSE({1,2,3,4},NĐ!W166,NĐ!AA166,NĐ!AE166,NĐ!AI166)))</f>
        <v>0</v>
      </c>
      <c r="E166">
        <f>SUMPRODUCT((MONTH(CHOOSE({1,2,3,4},NĐ!T166,NĐ!X166,NĐ!AB166,NĐ!AF166))=5)*(CHOOSE({1,2,3,4},NĐ!W166,NĐ!AA166,NĐ!AE166,NĐ!AI166)))</f>
        <v>0</v>
      </c>
      <c r="F166">
        <f>SUMPRODUCT((MONTH(CHOOSE({1,2,3,4},NĐ!T166,NĐ!X166,NĐ!AB166,NĐ!AF166))=6)*(CHOOSE({1,2,3,4},NĐ!W166,NĐ!AA166,NĐ!AE166,NĐ!AI166)))</f>
        <v>0</v>
      </c>
      <c r="G166">
        <f>SUMPRODUCT((MONTH(CHOOSE({1,2,3,4},NĐ!T166,NĐ!X166,NĐ!AB166,NĐ!AF166))=7)*(CHOOSE({1,2,3,4},NĐ!W166,NĐ!AA166,NĐ!AE166,NĐ!AI166)))</f>
        <v>0</v>
      </c>
      <c r="H166">
        <f>SUMPRODUCT((MONTH(CHOOSE({1,2,3,4},NĐ!T166,NĐ!X166,NĐ!AB166,NĐ!AF166))=8)*(CHOOSE({1,2,3,4},NĐ!W166,NĐ!AA166,NĐ!AE166,NĐ!AI166)))</f>
        <v>0</v>
      </c>
      <c r="I166">
        <f>SUMPRODUCT((MONTH(CHOOSE({1,2,3,4},NĐ!T166,NĐ!X166,NĐ!AB166,NĐ!AF166))=9)*(CHOOSE({1,2,3,4},NĐ!W166,NĐ!AA166,NĐ!AE166,NĐ!AI166)))</f>
        <v>0</v>
      </c>
      <c r="J166">
        <f>SUMPRODUCT((MONTH(CHOOSE({1,2,3,4},NĐ!T166,NĐ!X166,NĐ!AB166,NĐ!AF166))=10)*(CHOOSE({1,2,3,4},NĐ!W166,NĐ!AA166,NĐ!AE166,NĐ!AI166)))</f>
        <v>0</v>
      </c>
      <c r="K166">
        <f>SUMPRODUCT((MONTH(CHOOSE({1,2,3,4},NĐ!T166,NĐ!X166,NĐ!AB166,NĐ!AF166))=11)*(CHOOSE({1,2,3,4},NĐ!W166,NĐ!AA166,NĐ!AE166,NĐ!AI166)))</f>
        <v>0</v>
      </c>
      <c r="L166">
        <f>SUMPRODUCT((MONTH(CHOOSE({1,2,3,4},NĐ!T166,NĐ!X166,NĐ!AB166,NĐ!AF166))=12)*(CHOOSE({1,2,3,4},NĐ!W166,NĐ!AA166,NĐ!AE166,NĐ!AI166)))</f>
        <v>0</v>
      </c>
    </row>
    <row r="167" spans="1:12">
      <c r="A167">
        <f>SUMPRODUCT((MONTH(CHOOSE({1,2,3,4},NĐ!T167,NĐ!X167,NĐ!AB167,NĐ!AF167))=1)*(CHOOSE({1,2,3,4},NĐ!W167,NĐ!AA167,NĐ!AE167,NĐ!AI167)))</f>
        <v>0</v>
      </c>
      <c r="B167">
        <f>SUMPRODUCT((MONTH(CHOOSE({1,2,3,4},NĐ!T167,NĐ!X167,NĐ!AB167,NĐ!AF167))=2)*(CHOOSE({1,2,3,4},NĐ!W167,NĐ!AA167,NĐ!AE167,NĐ!AI167)))</f>
        <v>0</v>
      </c>
      <c r="C167">
        <f>SUMPRODUCT((MONTH(CHOOSE({1,2,3,4},NĐ!T167,NĐ!X167,NĐ!AB167,NĐ!AF167))=3)*(CHOOSE({1,2,3,4},NĐ!W167,NĐ!AA167,NĐ!AE167,NĐ!AI167)))</f>
        <v>0</v>
      </c>
      <c r="D167">
        <f>SUMPRODUCT((MONTH(CHOOSE({1,2,3,4},NĐ!T167,NĐ!X167,NĐ!AB167,NĐ!AF167))=4)*(CHOOSE({1,2,3,4},NĐ!W167,NĐ!AA167,NĐ!AE167,NĐ!AI167)))</f>
        <v>0</v>
      </c>
      <c r="E167">
        <f>SUMPRODUCT((MONTH(CHOOSE({1,2,3,4},NĐ!T167,NĐ!X167,NĐ!AB167,NĐ!AF167))=5)*(CHOOSE({1,2,3,4},NĐ!W167,NĐ!AA167,NĐ!AE167,NĐ!AI167)))</f>
        <v>0</v>
      </c>
      <c r="F167">
        <f>SUMPRODUCT((MONTH(CHOOSE({1,2,3,4},NĐ!T167,NĐ!X167,NĐ!AB167,NĐ!AF167))=6)*(CHOOSE({1,2,3,4},NĐ!W167,NĐ!AA167,NĐ!AE167,NĐ!AI167)))</f>
        <v>0</v>
      </c>
      <c r="G167">
        <f>SUMPRODUCT((MONTH(CHOOSE({1,2,3,4},NĐ!T167,NĐ!X167,NĐ!AB167,NĐ!AF167))=7)*(CHOOSE({1,2,3,4},NĐ!W167,NĐ!AA167,NĐ!AE167,NĐ!AI167)))</f>
        <v>0</v>
      </c>
      <c r="H167">
        <f>SUMPRODUCT((MONTH(CHOOSE({1,2,3,4},NĐ!T167,NĐ!X167,NĐ!AB167,NĐ!AF167))=8)*(CHOOSE({1,2,3,4},NĐ!W167,NĐ!AA167,NĐ!AE167,NĐ!AI167)))</f>
        <v>0</v>
      </c>
      <c r="I167">
        <f>SUMPRODUCT((MONTH(CHOOSE({1,2,3,4},NĐ!T167,NĐ!X167,NĐ!AB167,NĐ!AF167))=9)*(CHOOSE({1,2,3,4},NĐ!W167,NĐ!AA167,NĐ!AE167,NĐ!AI167)))</f>
        <v>0</v>
      </c>
      <c r="J167">
        <f>SUMPRODUCT((MONTH(CHOOSE({1,2,3,4},NĐ!T167,NĐ!X167,NĐ!AB167,NĐ!AF167))=10)*(CHOOSE({1,2,3,4},NĐ!W167,NĐ!AA167,NĐ!AE167,NĐ!AI167)))</f>
        <v>0</v>
      </c>
      <c r="K167">
        <f>SUMPRODUCT((MONTH(CHOOSE({1,2,3,4},NĐ!T167,NĐ!X167,NĐ!AB167,NĐ!AF167))=11)*(CHOOSE({1,2,3,4},NĐ!W167,NĐ!AA167,NĐ!AE167,NĐ!AI167)))</f>
        <v>0</v>
      </c>
      <c r="L167">
        <f>SUMPRODUCT((MONTH(CHOOSE({1,2,3,4},NĐ!T167,NĐ!X167,NĐ!AB167,NĐ!AF167))=12)*(CHOOSE({1,2,3,4},NĐ!W167,NĐ!AA167,NĐ!AE167,NĐ!AI167)))</f>
        <v>0</v>
      </c>
    </row>
    <row r="168" spans="1:12">
      <c r="A168">
        <f>SUMPRODUCT((MONTH(CHOOSE({1,2,3,4},NĐ!T168,NĐ!X168,NĐ!AB168,NĐ!AF168))=1)*(CHOOSE({1,2,3,4},NĐ!W168,NĐ!AA168,NĐ!AE168,NĐ!AI168)))</f>
        <v>0</v>
      </c>
      <c r="B168">
        <f>SUMPRODUCT((MONTH(CHOOSE({1,2,3,4},NĐ!T168,NĐ!X168,NĐ!AB168,NĐ!AF168))=2)*(CHOOSE({1,2,3,4},NĐ!W168,NĐ!AA168,NĐ!AE168,NĐ!AI168)))</f>
        <v>0</v>
      </c>
      <c r="C168">
        <f>SUMPRODUCT((MONTH(CHOOSE({1,2,3,4},NĐ!T168,NĐ!X168,NĐ!AB168,NĐ!AF168))=3)*(CHOOSE({1,2,3,4},NĐ!W168,NĐ!AA168,NĐ!AE168,NĐ!AI168)))</f>
        <v>0</v>
      </c>
      <c r="D168">
        <f>SUMPRODUCT((MONTH(CHOOSE({1,2,3,4},NĐ!T168,NĐ!X168,NĐ!AB168,NĐ!AF168))=4)*(CHOOSE({1,2,3,4},NĐ!W168,NĐ!AA168,NĐ!AE168,NĐ!AI168)))</f>
        <v>0</v>
      </c>
      <c r="E168">
        <f>SUMPRODUCT((MONTH(CHOOSE({1,2,3,4},NĐ!T168,NĐ!X168,NĐ!AB168,NĐ!AF168))=5)*(CHOOSE({1,2,3,4},NĐ!W168,NĐ!AA168,NĐ!AE168,NĐ!AI168)))</f>
        <v>0</v>
      </c>
      <c r="F168">
        <f>SUMPRODUCT((MONTH(CHOOSE({1,2,3,4},NĐ!T168,NĐ!X168,NĐ!AB168,NĐ!AF168))=6)*(CHOOSE({1,2,3,4},NĐ!W168,NĐ!AA168,NĐ!AE168,NĐ!AI168)))</f>
        <v>0</v>
      </c>
      <c r="G168">
        <f>SUMPRODUCT((MONTH(CHOOSE({1,2,3,4},NĐ!T168,NĐ!X168,NĐ!AB168,NĐ!AF168))=7)*(CHOOSE({1,2,3,4},NĐ!W168,NĐ!AA168,NĐ!AE168,NĐ!AI168)))</f>
        <v>0</v>
      </c>
      <c r="H168">
        <f>SUMPRODUCT((MONTH(CHOOSE({1,2,3,4},NĐ!T168,NĐ!X168,NĐ!AB168,NĐ!AF168))=8)*(CHOOSE({1,2,3,4},NĐ!W168,NĐ!AA168,NĐ!AE168,NĐ!AI168)))</f>
        <v>0</v>
      </c>
      <c r="I168">
        <f>SUMPRODUCT((MONTH(CHOOSE({1,2,3,4},NĐ!T168,NĐ!X168,NĐ!AB168,NĐ!AF168))=9)*(CHOOSE({1,2,3,4},NĐ!W168,NĐ!AA168,NĐ!AE168,NĐ!AI168)))</f>
        <v>0</v>
      </c>
      <c r="J168">
        <f>SUMPRODUCT((MONTH(CHOOSE({1,2,3,4},NĐ!T168,NĐ!X168,NĐ!AB168,NĐ!AF168))=10)*(CHOOSE({1,2,3,4},NĐ!W168,NĐ!AA168,NĐ!AE168,NĐ!AI168)))</f>
        <v>0</v>
      </c>
      <c r="K168">
        <f>SUMPRODUCT((MONTH(CHOOSE({1,2,3,4},NĐ!T168,NĐ!X168,NĐ!AB168,NĐ!AF168))=11)*(CHOOSE({1,2,3,4},NĐ!W168,NĐ!AA168,NĐ!AE168,NĐ!AI168)))</f>
        <v>0</v>
      </c>
      <c r="L168">
        <f>SUMPRODUCT((MONTH(CHOOSE({1,2,3,4},NĐ!T168,NĐ!X168,NĐ!AB168,NĐ!AF168))=12)*(CHOOSE({1,2,3,4},NĐ!W168,NĐ!AA168,NĐ!AE168,NĐ!AI168)))</f>
        <v>0</v>
      </c>
    </row>
    <row r="169" spans="1:12">
      <c r="A169">
        <f>SUMPRODUCT((MONTH(CHOOSE({1,2,3,4},NĐ!T169,NĐ!X169,NĐ!AB169,NĐ!AF169))=1)*(CHOOSE({1,2,3,4},NĐ!W169,NĐ!AA169,NĐ!AE169,NĐ!AI169)))</f>
        <v>0</v>
      </c>
      <c r="B169">
        <f>SUMPRODUCT((MONTH(CHOOSE({1,2,3,4},NĐ!T169,NĐ!X169,NĐ!AB169,NĐ!AF169))=2)*(CHOOSE({1,2,3,4},NĐ!W169,NĐ!AA169,NĐ!AE169,NĐ!AI169)))</f>
        <v>0</v>
      </c>
      <c r="C169">
        <f>SUMPRODUCT((MONTH(CHOOSE({1,2,3,4},NĐ!T169,NĐ!X169,NĐ!AB169,NĐ!AF169))=3)*(CHOOSE({1,2,3,4},NĐ!W169,NĐ!AA169,NĐ!AE169,NĐ!AI169)))</f>
        <v>0</v>
      </c>
      <c r="D169">
        <f>SUMPRODUCT((MONTH(CHOOSE({1,2,3,4},NĐ!T169,NĐ!X169,NĐ!AB169,NĐ!AF169))=4)*(CHOOSE({1,2,3,4},NĐ!W169,NĐ!AA169,NĐ!AE169,NĐ!AI169)))</f>
        <v>0</v>
      </c>
      <c r="E169">
        <f>SUMPRODUCT((MONTH(CHOOSE({1,2,3,4},NĐ!T169,NĐ!X169,NĐ!AB169,NĐ!AF169))=5)*(CHOOSE({1,2,3,4},NĐ!W169,NĐ!AA169,NĐ!AE169,NĐ!AI169)))</f>
        <v>0</v>
      </c>
      <c r="F169">
        <f>SUMPRODUCT((MONTH(CHOOSE({1,2,3,4},NĐ!T169,NĐ!X169,NĐ!AB169,NĐ!AF169))=6)*(CHOOSE({1,2,3,4},NĐ!W169,NĐ!AA169,NĐ!AE169,NĐ!AI169)))</f>
        <v>0</v>
      </c>
      <c r="G169">
        <f>SUMPRODUCT((MONTH(CHOOSE({1,2,3,4},NĐ!T169,NĐ!X169,NĐ!AB169,NĐ!AF169))=7)*(CHOOSE({1,2,3,4},NĐ!W169,NĐ!AA169,NĐ!AE169,NĐ!AI169)))</f>
        <v>0</v>
      </c>
      <c r="H169">
        <f>SUMPRODUCT((MONTH(CHOOSE({1,2,3,4},NĐ!T169,NĐ!X169,NĐ!AB169,NĐ!AF169))=8)*(CHOOSE({1,2,3,4},NĐ!W169,NĐ!AA169,NĐ!AE169,NĐ!AI169)))</f>
        <v>0</v>
      </c>
      <c r="I169">
        <f>SUMPRODUCT((MONTH(CHOOSE({1,2,3,4},NĐ!T169,NĐ!X169,NĐ!AB169,NĐ!AF169))=9)*(CHOOSE({1,2,3,4},NĐ!W169,NĐ!AA169,NĐ!AE169,NĐ!AI169)))</f>
        <v>0</v>
      </c>
      <c r="J169">
        <f>SUMPRODUCT((MONTH(CHOOSE({1,2,3,4},NĐ!T169,NĐ!X169,NĐ!AB169,NĐ!AF169))=10)*(CHOOSE({1,2,3,4},NĐ!W169,NĐ!AA169,NĐ!AE169,NĐ!AI169)))</f>
        <v>0</v>
      </c>
      <c r="K169">
        <f>SUMPRODUCT((MONTH(CHOOSE({1,2,3,4},NĐ!T169,NĐ!X169,NĐ!AB169,NĐ!AF169))=11)*(CHOOSE({1,2,3,4},NĐ!W169,NĐ!AA169,NĐ!AE169,NĐ!AI169)))</f>
        <v>0</v>
      </c>
      <c r="L169">
        <f>SUMPRODUCT((MONTH(CHOOSE({1,2,3,4},NĐ!T169,NĐ!X169,NĐ!AB169,NĐ!AF169))=12)*(CHOOSE({1,2,3,4},NĐ!W169,NĐ!AA169,NĐ!AE169,NĐ!AI169)))</f>
        <v>0</v>
      </c>
    </row>
    <row r="170" spans="1:12">
      <c r="A170">
        <f>SUMPRODUCT((MONTH(CHOOSE({1,2,3,4},NĐ!T170,NĐ!X170,NĐ!AB170,NĐ!AF170))=1)*(CHOOSE({1,2,3,4},NĐ!W170,NĐ!AA170,NĐ!AE170,NĐ!AI170)))</f>
        <v>0</v>
      </c>
      <c r="B170">
        <f>SUMPRODUCT((MONTH(CHOOSE({1,2,3,4},NĐ!T170,NĐ!X170,NĐ!AB170,NĐ!AF170))=2)*(CHOOSE({1,2,3,4},NĐ!W170,NĐ!AA170,NĐ!AE170,NĐ!AI170)))</f>
        <v>0</v>
      </c>
      <c r="C170">
        <f>SUMPRODUCT((MONTH(CHOOSE({1,2,3,4},NĐ!T170,NĐ!X170,NĐ!AB170,NĐ!AF170))=3)*(CHOOSE({1,2,3,4},NĐ!W170,NĐ!AA170,NĐ!AE170,NĐ!AI170)))</f>
        <v>0</v>
      </c>
      <c r="D170">
        <f>SUMPRODUCT((MONTH(CHOOSE({1,2,3,4},NĐ!T170,NĐ!X170,NĐ!AB170,NĐ!AF170))=4)*(CHOOSE({1,2,3,4},NĐ!W170,NĐ!AA170,NĐ!AE170,NĐ!AI170)))</f>
        <v>0</v>
      </c>
      <c r="E170">
        <f>SUMPRODUCT((MONTH(CHOOSE({1,2,3,4},NĐ!T170,NĐ!X170,NĐ!AB170,NĐ!AF170))=5)*(CHOOSE({1,2,3,4},NĐ!W170,NĐ!AA170,NĐ!AE170,NĐ!AI170)))</f>
        <v>0</v>
      </c>
      <c r="F170">
        <f>SUMPRODUCT((MONTH(CHOOSE({1,2,3,4},NĐ!T170,NĐ!X170,NĐ!AB170,NĐ!AF170))=6)*(CHOOSE({1,2,3,4},NĐ!W170,NĐ!AA170,NĐ!AE170,NĐ!AI170)))</f>
        <v>0</v>
      </c>
      <c r="G170">
        <f>SUMPRODUCT((MONTH(CHOOSE({1,2,3,4},NĐ!T170,NĐ!X170,NĐ!AB170,NĐ!AF170))=7)*(CHOOSE({1,2,3,4},NĐ!W170,NĐ!AA170,NĐ!AE170,NĐ!AI170)))</f>
        <v>0</v>
      </c>
      <c r="H170">
        <f>SUMPRODUCT((MONTH(CHOOSE({1,2,3,4},NĐ!T170,NĐ!X170,NĐ!AB170,NĐ!AF170))=8)*(CHOOSE({1,2,3,4},NĐ!W170,NĐ!AA170,NĐ!AE170,NĐ!AI170)))</f>
        <v>0</v>
      </c>
      <c r="I170">
        <f>SUMPRODUCT((MONTH(CHOOSE({1,2,3,4},NĐ!T170,NĐ!X170,NĐ!AB170,NĐ!AF170))=9)*(CHOOSE({1,2,3,4},NĐ!W170,NĐ!AA170,NĐ!AE170,NĐ!AI170)))</f>
        <v>0</v>
      </c>
      <c r="J170">
        <f>SUMPRODUCT((MONTH(CHOOSE({1,2,3,4},NĐ!T170,NĐ!X170,NĐ!AB170,NĐ!AF170))=10)*(CHOOSE({1,2,3,4},NĐ!W170,NĐ!AA170,NĐ!AE170,NĐ!AI170)))</f>
        <v>0</v>
      </c>
      <c r="K170">
        <f>SUMPRODUCT((MONTH(CHOOSE({1,2,3,4},NĐ!T170,NĐ!X170,NĐ!AB170,NĐ!AF170))=11)*(CHOOSE({1,2,3,4},NĐ!W170,NĐ!AA170,NĐ!AE170,NĐ!AI170)))</f>
        <v>0</v>
      </c>
      <c r="L170">
        <f>SUMPRODUCT((MONTH(CHOOSE({1,2,3,4},NĐ!T170,NĐ!X170,NĐ!AB170,NĐ!AF170))=12)*(CHOOSE({1,2,3,4},NĐ!W170,NĐ!AA170,NĐ!AE170,NĐ!AI170)))</f>
        <v>0</v>
      </c>
    </row>
    <row r="171" spans="1:12">
      <c r="A171">
        <f>SUMPRODUCT((MONTH(CHOOSE({1,2,3,4},NĐ!T171,NĐ!X171,NĐ!AB171,NĐ!AF171))=1)*(CHOOSE({1,2,3,4},NĐ!W171,NĐ!AA171,NĐ!AE171,NĐ!AI171)))</f>
        <v>0</v>
      </c>
      <c r="B171">
        <f>SUMPRODUCT((MONTH(CHOOSE({1,2,3,4},NĐ!T171,NĐ!X171,NĐ!AB171,NĐ!AF171))=2)*(CHOOSE({1,2,3,4},NĐ!W171,NĐ!AA171,NĐ!AE171,NĐ!AI171)))</f>
        <v>0</v>
      </c>
      <c r="C171">
        <f>SUMPRODUCT((MONTH(CHOOSE({1,2,3,4},NĐ!T171,NĐ!X171,NĐ!AB171,NĐ!AF171))=3)*(CHOOSE({1,2,3,4},NĐ!W171,NĐ!AA171,NĐ!AE171,NĐ!AI171)))</f>
        <v>0</v>
      </c>
      <c r="D171">
        <f>SUMPRODUCT((MONTH(CHOOSE({1,2,3,4},NĐ!T171,NĐ!X171,NĐ!AB171,NĐ!AF171))=4)*(CHOOSE({1,2,3,4},NĐ!W171,NĐ!AA171,NĐ!AE171,NĐ!AI171)))</f>
        <v>0</v>
      </c>
      <c r="E171">
        <f>SUMPRODUCT((MONTH(CHOOSE({1,2,3,4},NĐ!T171,NĐ!X171,NĐ!AB171,NĐ!AF171))=5)*(CHOOSE({1,2,3,4},NĐ!W171,NĐ!AA171,NĐ!AE171,NĐ!AI171)))</f>
        <v>0</v>
      </c>
      <c r="F171">
        <f>SUMPRODUCT((MONTH(CHOOSE({1,2,3,4},NĐ!T171,NĐ!X171,NĐ!AB171,NĐ!AF171))=6)*(CHOOSE({1,2,3,4},NĐ!W171,NĐ!AA171,NĐ!AE171,NĐ!AI171)))</f>
        <v>0</v>
      </c>
      <c r="G171">
        <f>SUMPRODUCT((MONTH(CHOOSE({1,2,3,4},NĐ!T171,NĐ!X171,NĐ!AB171,NĐ!AF171))=7)*(CHOOSE({1,2,3,4},NĐ!W171,NĐ!AA171,NĐ!AE171,NĐ!AI171)))</f>
        <v>0</v>
      </c>
      <c r="H171">
        <f>SUMPRODUCT((MONTH(CHOOSE({1,2,3,4},NĐ!T171,NĐ!X171,NĐ!AB171,NĐ!AF171))=8)*(CHOOSE({1,2,3,4},NĐ!W171,NĐ!AA171,NĐ!AE171,NĐ!AI171)))</f>
        <v>0</v>
      </c>
      <c r="I171">
        <f>SUMPRODUCT((MONTH(CHOOSE({1,2,3,4},NĐ!T171,NĐ!X171,NĐ!AB171,NĐ!AF171))=9)*(CHOOSE({1,2,3,4},NĐ!W171,NĐ!AA171,NĐ!AE171,NĐ!AI171)))</f>
        <v>0</v>
      </c>
      <c r="J171">
        <f>SUMPRODUCT((MONTH(CHOOSE({1,2,3,4},NĐ!T171,NĐ!X171,NĐ!AB171,NĐ!AF171))=10)*(CHOOSE({1,2,3,4},NĐ!W171,NĐ!AA171,NĐ!AE171,NĐ!AI171)))</f>
        <v>0</v>
      </c>
      <c r="K171">
        <f>SUMPRODUCT((MONTH(CHOOSE({1,2,3,4},NĐ!T171,NĐ!X171,NĐ!AB171,NĐ!AF171))=11)*(CHOOSE({1,2,3,4},NĐ!W171,NĐ!AA171,NĐ!AE171,NĐ!AI171)))</f>
        <v>0</v>
      </c>
      <c r="L171">
        <f>SUMPRODUCT((MONTH(CHOOSE({1,2,3,4},NĐ!T171,NĐ!X171,NĐ!AB171,NĐ!AF171))=12)*(CHOOSE({1,2,3,4},NĐ!W171,NĐ!AA171,NĐ!AE171,NĐ!AI171)))</f>
        <v>0</v>
      </c>
    </row>
    <row r="172" spans="1:12">
      <c r="A172">
        <f>SUMPRODUCT((MONTH(CHOOSE({1,2,3,4},NĐ!T172,NĐ!X172,NĐ!AB172,NĐ!AF172))=1)*(CHOOSE({1,2,3,4},NĐ!W172,NĐ!AA172,NĐ!AE172,NĐ!AI172)))</f>
        <v>0</v>
      </c>
      <c r="B172">
        <f>SUMPRODUCT((MONTH(CHOOSE({1,2,3,4},NĐ!T172,NĐ!X172,NĐ!AB172,NĐ!AF172))=2)*(CHOOSE({1,2,3,4},NĐ!W172,NĐ!AA172,NĐ!AE172,NĐ!AI172)))</f>
        <v>0</v>
      </c>
      <c r="C172">
        <f>SUMPRODUCT((MONTH(CHOOSE({1,2,3,4},NĐ!T172,NĐ!X172,NĐ!AB172,NĐ!AF172))=3)*(CHOOSE({1,2,3,4},NĐ!W172,NĐ!AA172,NĐ!AE172,NĐ!AI172)))</f>
        <v>0</v>
      </c>
      <c r="D172">
        <f>SUMPRODUCT((MONTH(CHOOSE({1,2,3,4},NĐ!T172,NĐ!X172,NĐ!AB172,NĐ!AF172))=4)*(CHOOSE({1,2,3,4},NĐ!W172,NĐ!AA172,NĐ!AE172,NĐ!AI172)))</f>
        <v>0</v>
      </c>
      <c r="E172">
        <f>SUMPRODUCT((MONTH(CHOOSE({1,2,3,4},NĐ!T172,NĐ!X172,NĐ!AB172,NĐ!AF172))=5)*(CHOOSE({1,2,3,4},NĐ!W172,NĐ!AA172,NĐ!AE172,NĐ!AI172)))</f>
        <v>0</v>
      </c>
      <c r="F172">
        <f>SUMPRODUCT((MONTH(CHOOSE({1,2,3,4},NĐ!T172,NĐ!X172,NĐ!AB172,NĐ!AF172))=6)*(CHOOSE({1,2,3,4},NĐ!W172,NĐ!AA172,NĐ!AE172,NĐ!AI172)))</f>
        <v>0</v>
      </c>
      <c r="G172">
        <f>SUMPRODUCT((MONTH(CHOOSE({1,2,3,4},NĐ!T172,NĐ!X172,NĐ!AB172,NĐ!AF172))=7)*(CHOOSE({1,2,3,4},NĐ!W172,NĐ!AA172,NĐ!AE172,NĐ!AI172)))</f>
        <v>0</v>
      </c>
      <c r="H172">
        <f>SUMPRODUCT((MONTH(CHOOSE({1,2,3,4},NĐ!T172,NĐ!X172,NĐ!AB172,NĐ!AF172))=8)*(CHOOSE({1,2,3,4},NĐ!W172,NĐ!AA172,NĐ!AE172,NĐ!AI172)))</f>
        <v>0</v>
      </c>
      <c r="I172">
        <f>SUMPRODUCT((MONTH(CHOOSE({1,2,3,4},NĐ!T172,NĐ!X172,NĐ!AB172,NĐ!AF172))=9)*(CHOOSE({1,2,3,4},NĐ!W172,NĐ!AA172,NĐ!AE172,NĐ!AI172)))</f>
        <v>0</v>
      </c>
      <c r="J172">
        <f>SUMPRODUCT((MONTH(CHOOSE({1,2,3,4},NĐ!T172,NĐ!X172,NĐ!AB172,NĐ!AF172))=10)*(CHOOSE({1,2,3,4},NĐ!W172,NĐ!AA172,NĐ!AE172,NĐ!AI172)))</f>
        <v>0</v>
      </c>
      <c r="K172">
        <f>SUMPRODUCT((MONTH(CHOOSE({1,2,3,4},NĐ!T172,NĐ!X172,NĐ!AB172,NĐ!AF172))=11)*(CHOOSE({1,2,3,4},NĐ!W172,NĐ!AA172,NĐ!AE172,NĐ!AI172)))</f>
        <v>0</v>
      </c>
      <c r="L172">
        <f>SUMPRODUCT((MONTH(CHOOSE({1,2,3,4},NĐ!T172,NĐ!X172,NĐ!AB172,NĐ!AF172))=12)*(CHOOSE({1,2,3,4},NĐ!W172,NĐ!AA172,NĐ!AE172,NĐ!AI172)))</f>
        <v>0</v>
      </c>
    </row>
    <row r="173" spans="1:12">
      <c r="A173">
        <f>SUMPRODUCT((MONTH(CHOOSE({1,2,3,4},NĐ!T173,NĐ!X173,NĐ!AB173,NĐ!AF173))=1)*(CHOOSE({1,2,3,4},NĐ!W173,NĐ!AA173,NĐ!AE173,NĐ!AI173)))</f>
        <v>0</v>
      </c>
      <c r="B173">
        <f>SUMPRODUCT((MONTH(CHOOSE({1,2,3,4},NĐ!T173,NĐ!X173,NĐ!AB173,NĐ!AF173))=2)*(CHOOSE({1,2,3,4},NĐ!W173,NĐ!AA173,NĐ!AE173,NĐ!AI173)))</f>
        <v>0</v>
      </c>
      <c r="C173">
        <f>SUMPRODUCT((MONTH(CHOOSE({1,2,3,4},NĐ!T173,NĐ!X173,NĐ!AB173,NĐ!AF173))=3)*(CHOOSE({1,2,3,4},NĐ!W173,NĐ!AA173,NĐ!AE173,NĐ!AI173)))</f>
        <v>0</v>
      </c>
      <c r="D173">
        <f>SUMPRODUCT((MONTH(CHOOSE({1,2,3,4},NĐ!T173,NĐ!X173,NĐ!AB173,NĐ!AF173))=4)*(CHOOSE({1,2,3,4},NĐ!W173,NĐ!AA173,NĐ!AE173,NĐ!AI173)))</f>
        <v>0</v>
      </c>
      <c r="E173">
        <f>SUMPRODUCT((MONTH(CHOOSE({1,2,3,4},NĐ!T173,NĐ!X173,NĐ!AB173,NĐ!AF173))=5)*(CHOOSE({1,2,3,4},NĐ!W173,NĐ!AA173,NĐ!AE173,NĐ!AI173)))</f>
        <v>0</v>
      </c>
      <c r="F173">
        <f>SUMPRODUCT((MONTH(CHOOSE({1,2,3,4},NĐ!T173,NĐ!X173,NĐ!AB173,NĐ!AF173))=6)*(CHOOSE({1,2,3,4},NĐ!W173,NĐ!AA173,NĐ!AE173,NĐ!AI173)))</f>
        <v>0</v>
      </c>
      <c r="G173">
        <f>SUMPRODUCT((MONTH(CHOOSE({1,2,3,4},NĐ!T173,NĐ!X173,NĐ!AB173,NĐ!AF173))=7)*(CHOOSE({1,2,3,4},NĐ!W173,NĐ!AA173,NĐ!AE173,NĐ!AI173)))</f>
        <v>0</v>
      </c>
      <c r="H173">
        <f>SUMPRODUCT((MONTH(CHOOSE({1,2,3,4},NĐ!T173,NĐ!X173,NĐ!AB173,NĐ!AF173))=8)*(CHOOSE({1,2,3,4},NĐ!W173,NĐ!AA173,NĐ!AE173,NĐ!AI173)))</f>
        <v>0</v>
      </c>
      <c r="I173">
        <f>SUMPRODUCT((MONTH(CHOOSE({1,2,3,4},NĐ!T173,NĐ!X173,NĐ!AB173,NĐ!AF173))=9)*(CHOOSE({1,2,3,4},NĐ!W173,NĐ!AA173,NĐ!AE173,NĐ!AI173)))</f>
        <v>0</v>
      </c>
      <c r="J173">
        <f>SUMPRODUCT((MONTH(CHOOSE({1,2,3,4},NĐ!T173,NĐ!X173,NĐ!AB173,NĐ!AF173))=10)*(CHOOSE({1,2,3,4},NĐ!W173,NĐ!AA173,NĐ!AE173,NĐ!AI173)))</f>
        <v>0</v>
      </c>
      <c r="K173">
        <f>SUMPRODUCT((MONTH(CHOOSE({1,2,3,4},NĐ!T173,NĐ!X173,NĐ!AB173,NĐ!AF173))=11)*(CHOOSE({1,2,3,4},NĐ!W173,NĐ!AA173,NĐ!AE173,NĐ!AI173)))</f>
        <v>0</v>
      </c>
      <c r="L173">
        <f>SUMPRODUCT((MONTH(CHOOSE({1,2,3,4},NĐ!T173,NĐ!X173,NĐ!AB173,NĐ!AF173))=12)*(CHOOSE({1,2,3,4},NĐ!W173,NĐ!AA173,NĐ!AE173,NĐ!AI173)))</f>
        <v>0</v>
      </c>
    </row>
    <row r="174" spans="1:12">
      <c r="A174">
        <f>SUMPRODUCT((MONTH(CHOOSE({1,2,3,4},NĐ!T174,NĐ!X174,NĐ!AB174,NĐ!AF174))=1)*(CHOOSE({1,2,3,4},NĐ!W174,NĐ!AA174,NĐ!AE174,NĐ!AI174)))</f>
        <v>0</v>
      </c>
      <c r="B174">
        <f>SUMPRODUCT((MONTH(CHOOSE({1,2,3,4},NĐ!T174,NĐ!X174,NĐ!AB174,NĐ!AF174))=2)*(CHOOSE({1,2,3,4},NĐ!W174,NĐ!AA174,NĐ!AE174,NĐ!AI174)))</f>
        <v>0</v>
      </c>
      <c r="C174">
        <f>SUMPRODUCT((MONTH(CHOOSE({1,2,3,4},NĐ!T174,NĐ!X174,NĐ!AB174,NĐ!AF174))=3)*(CHOOSE({1,2,3,4},NĐ!W174,NĐ!AA174,NĐ!AE174,NĐ!AI174)))</f>
        <v>0</v>
      </c>
      <c r="D174">
        <f>SUMPRODUCT((MONTH(CHOOSE({1,2,3,4},NĐ!T174,NĐ!X174,NĐ!AB174,NĐ!AF174))=4)*(CHOOSE({1,2,3,4},NĐ!W174,NĐ!AA174,NĐ!AE174,NĐ!AI174)))</f>
        <v>0</v>
      </c>
      <c r="E174">
        <f>SUMPRODUCT((MONTH(CHOOSE({1,2,3,4},NĐ!T174,NĐ!X174,NĐ!AB174,NĐ!AF174))=5)*(CHOOSE({1,2,3,4},NĐ!W174,NĐ!AA174,NĐ!AE174,NĐ!AI174)))</f>
        <v>0</v>
      </c>
      <c r="F174">
        <f>SUMPRODUCT((MONTH(CHOOSE({1,2,3,4},NĐ!T174,NĐ!X174,NĐ!AB174,NĐ!AF174))=6)*(CHOOSE({1,2,3,4},NĐ!W174,NĐ!AA174,NĐ!AE174,NĐ!AI174)))</f>
        <v>0</v>
      </c>
      <c r="G174">
        <f>SUMPRODUCT((MONTH(CHOOSE({1,2,3,4},NĐ!T174,NĐ!X174,NĐ!AB174,NĐ!AF174))=7)*(CHOOSE({1,2,3,4},NĐ!W174,NĐ!AA174,NĐ!AE174,NĐ!AI174)))</f>
        <v>0</v>
      </c>
      <c r="H174">
        <f>SUMPRODUCT((MONTH(CHOOSE({1,2,3,4},NĐ!T174,NĐ!X174,NĐ!AB174,NĐ!AF174))=8)*(CHOOSE({1,2,3,4},NĐ!W174,NĐ!AA174,NĐ!AE174,NĐ!AI174)))</f>
        <v>0</v>
      </c>
      <c r="I174">
        <f>SUMPRODUCT((MONTH(CHOOSE({1,2,3,4},NĐ!T174,NĐ!X174,NĐ!AB174,NĐ!AF174))=9)*(CHOOSE({1,2,3,4},NĐ!W174,NĐ!AA174,NĐ!AE174,NĐ!AI174)))</f>
        <v>0</v>
      </c>
      <c r="J174">
        <f>SUMPRODUCT((MONTH(CHOOSE({1,2,3,4},NĐ!T174,NĐ!X174,NĐ!AB174,NĐ!AF174))=10)*(CHOOSE({1,2,3,4},NĐ!W174,NĐ!AA174,NĐ!AE174,NĐ!AI174)))</f>
        <v>0</v>
      </c>
      <c r="K174">
        <f>SUMPRODUCT((MONTH(CHOOSE({1,2,3,4},NĐ!T174,NĐ!X174,NĐ!AB174,NĐ!AF174))=11)*(CHOOSE({1,2,3,4},NĐ!W174,NĐ!AA174,NĐ!AE174,NĐ!AI174)))</f>
        <v>0</v>
      </c>
      <c r="L174">
        <f>SUMPRODUCT((MONTH(CHOOSE({1,2,3,4},NĐ!T174,NĐ!X174,NĐ!AB174,NĐ!AF174))=12)*(CHOOSE({1,2,3,4},NĐ!W174,NĐ!AA174,NĐ!AE174,NĐ!AI174)))</f>
        <v>0</v>
      </c>
    </row>
    <row r="175" spans="1:12">
      <c r="A175">
        <f>SUMPRODUCT((MONTH(CHOOSE({1,2,3,4},NĐ!T175,NĐ!X175,NĐ!AB175,NĐ!AF175))=1)*(CHOOSE({1,2,3,4},NĐ!W175,NĐ!AA175,NĐ!AE175,NĐ!AI175)))</f>
        <v>0</v>
      </c>
      <c r="B175">
        <f>SUMPRODUCT((MONTH(CHOOSE({1,2,3,4},NĐ!T175,NĐ!X175,NĐ!AB175,NĐ!AF175))=2)*(CHOOSE({1,2,3,4},NĐ!W175,NĐ!AA175,NĐ!AE175,NĐ!AI175)))</f>
        <v>0</v>
      </c>
      <c r="C175">
        <f>SUMPRODUCT((MONTH(CHOOSE({1,2,3,4},NĐ!T175,NĐ!X175,NĐ!AB175,NĐ!AF175))=3)*(CHOOSE({1,2,3,4},NĐ!W175,NĐ!AA175,NĐ!AE175,NĐ!AI175)))</f>
        <v>0</v>
      </c>
      <c r="D175">
        <f>SUMPRODUCT((MONTH(CHOOSE({1,2,3,4},NĐ!T175,NĐ!X175,NĐ!AB175,NĐ!AF175))=4)*(CHOOSE({1,2,3,4},NĐ!W175,NĐ!AA175,NĐ!AE175,NĐ!AI175)))</f>
        <v>0</v>
      </c>
      <c r="E175">
        <f>SUMPRODUCT((MONTH(CHOOSE({1,2,3,4},NĐ!T175,NĐ!X175,NĐ!AB175,NĐ!AF175))=5)*(CHOOSE({1,2,3,4},NĐ!W175,NĐ!AA175,NĐ!AE175,NĐ!AI175)))</f>
        <v>0</v>
      </c>
      <c r="F175">
        <f>SUMPRODUCT((MONTH(CHOOSE({1,2,3,4},NĐ!T175,NĐ!X175,NĐ!AB175,NĐ!AF175))=6)*(CHOOSE({1,2,3,4},NĐ!W175,NĐ!AA175,NĐ!AE175,NĐ!AI175)))</f>
        <v>0</v>
      </c>
      <c r="G175">
        <f>SUMPRODUCT((MONTH(CHOOSE({1,2,3,4},NĐ!T175,NĐ!X175,NĐ!AB175,NĐ!AF175))=7)*(CHOOSE({1,2,3,4},NĐ!W175,NĐ!AA175,NĐ!AE175,NĐ!AI175)))</f>
        <v>0</v>
      </c>
      <c r="H175">
        <f>SUMPRODUCT((MONTH(CHOOSE({1,2,3,4},NĐ!T175,NĐ!X175,NĐ!AB175,NĐ!AF175))=8)*(CHOOSE({1,2,3,4},NĐ!W175,NĐ!AA175,NĐ!AE175,NĐ!AI175)))</f>
        <v>0</v>
      </c>
      <c r="I175">
        <f>SUMPRODUCT((MONTH(CHOOSE({1,2,3,4},NĐ!T175,NĐ!X175,NĐ!AB175,NĐ!AF175))=9)*(CHOOSE({1,2,3,4},NĐ!W175,NĐ!AA175,NĐ!AE175,NĐ!AI175)))</f>
        <v>0</v>
      </c>
      <c r="J175">
        <f>SUMPRODUCT((MONTH(CHOOSE({1,2,3,4},NĐ!T175,NĐ!X175,NĐ!AB175,NĐ!AF175))=10)*(CHOOSE({1,2,3,4},NĐ!W175,NĐ!AA175,NĐ!AE175,NĐ!AI175)))</f>
        <v>0</v>
      </c>
      <c r="K175">
        <f>SUMPRODUCT((MONTH(CHOOSE({1,2,3,4},NĐ!T175,NĐ!X175,NĐ!AB175,NĐ!AF175))=11)*(CHOOSE({1,2,3,4},NĐ!W175,NĐ!AA175,NĐ!AE175,NĐ!AI175)))</f>
        <v>0</v>
      </c>
      <c r="L175">
        <f>SUMPRODUCT((MONTH(CHOOSE({1,2,3,4},NĐ!T175,NĐ!X175,NĐ!AB175,NĐ!AF175))=12)*(CHOOSE({1,2,3,4},NĐ!W175,NĐ!AA175,NĐ!AE175,NĐ!AI175)))</f>
        <v>0</v>
      </c>
    </row>
    <row r="176" spans="1:12">
      <c r="A176">
        <f>SUMPRODUCT((MONTH(CHOOSE({1,2,3,4},NĐ!T176,NĐ!X176,NĐ!AB176,NĐ!AF176))=1)*(CHOOSE({1,2,3,4},NĐ!W176,NĐ!AA176,NĐ!AE176,NĐ!AI176)))</f>
        <v>0</v>
      </c>
      <c r="B176">
        <f>SUMPRODUCT((MONTH(CHOOSE({1,2,3,4},NĐ!T176,NĐ!X176,NĐ!AB176,NĐ!AF176))=2)*(CHOOSE({1,2,3,4},NĐ!W176,NĐ!AA176,NĐ!AE176,NĐ!AI176)))</f>
        <v>0</v>
      </c>
      <c r="C176">
        <f>SUMPRODUCT((MONTH(CHOOSE({1,2,3,4},NĐ!T176,NĐ!X176,NĐ!AB176,NĐ!AF176))=3)*(CHOOSE({1,2,3,4},NĐ!W176,NĐ!AA176,NĐ!AE176,NĐ!AI176)))</f>
        <v>0</v>
      </c>
      <c r="D176">
        <f>SUMPRODUCT((MONTH(CHOOSE({1,2,3,4},NĐ!T176,NĐ!X176,NĐ!AB176,NĐ!AF176))=4)*(CHOOSE({1,2,3,4},NĐ!W176,NĐ!AA176,NĐ!AE176,NĐ!AI176)))</f>
        <v>0</v>
      </c>
      <c r="E176">
        <f>SUMPRODUCT((MONTH(CHOOSE({1,2,3,4},NĐ!T176,NĐ!X176,NĐ!AB176,NĐ!AF176))=5)*(CHOOSE({1,2,3,4},NĐ!W176,NĐ!AA176,NĐ!AE176,NĐ!AI176)))</f>
        <v>0</v>
      </c>
      <c r="F176">
        <f>SUMPRODUCT((MONTH(CHOOSE({1,2,3,4},NĐ!T176,NĐ!X176,NĐ!AB176,NĐ!AF176))=6)*(CHOOSE({1,2,3,4},NĐ!W176,NĐ!AA176,NĐ!AE176,NĐ!AI176)))</f>
        <v>0</v>
      </c>
      <c r="G176">
        <f>SUMPRODUCT((MONTH(CHOOSE({1,2,3,4},NĐ!T176,NĐ!X176,NĐ!AB176,NĐ!AF176))=7)*(CHOOSE({1,2,3,4},NĐ!W176,NĐ!AA176,NĐ!AE176,NĐ!AI176)))</f>
        <v>0</v>
      </c>
      <c r="H176">
        <f>SUMPRODUCT((MONTH(CHOOSE({1,2,3,4},NĐ!T176,NĐ!X176,NĐ!AB176,NĐ!AF176))=8)*(CHOOSE({1,2,3,4},NĐ!W176,NĐ!AA176,NĐ!AE176,NĐ!AI176)))</f>
        <v>0</v>
      </c>
      <c r="I176">
        <f>SUMPRODUCT((MONTH(CHOOSE({1,2,3,4},NĐ!T176,NĐ!X176,NĐ!AB176,NĐ!AF176))=9)*(CHOOSE({1,2,3,4},NĐ!W176,NĐ!AA176,NĐ!AE176,NĐ!AI176)))</f>
        <v>0</v>
      </c>
      <c r="J176">
        <f>SUMPRODUCT((MONTH(CHOOSE({1,2,3,4},NĐ!T176,NĐ!X176,NĐ!AB176,NĐ!AF176))=10)*(CHOOSE({1,2,3,4},NĐ!W176,NĐ!AA176,NĐ!AE176,NĐ!AI176)))</f>
        <v>0</v>
      </c>
      <c r="K176">
        <f>SUMPRODUCT((MONTH(CHOOSE({1,2,3,4},NĐ!T176,NĐ!X176,NĐ!AB176,NĐ!AF176))=11)*(CHOOSE({1,2,3,4},NĐ!W176,NĐ!AA176,NĐ!AE176,NĐ!AI176)))</f>
        <v>0</v>
      </c>
      <c r="L176">
        <f>SUMPRODUCT((MONTH(CHOOSE({1,2,3,4},NĐ!T176,NĐ!X176,NĐ!AB176,NĐ!AF176))=12)*(CHOOSE({1,2,3,4},NĐ!W176,NĐ!AA176,NĐ!AE176,NĐ!AI176)))</f>
        <v>0</v>
      </c>
    </row>
    <row r="177" spans="1:12">
      <c r="A177">
        <f>SUMPRODUCT((MONTH(CHOOSE({1,2,3,4},NĐ!T177,NĐ!X177,NĐ!AB177,NĐ!AF177))=1)*(CHOOSE({1,2,3,4},NĐ!W177,NĐ!AA177,NĐ!AE177,NĐ!AI177)))</f>
        <v>0</v>
      </c>
      <c r="B177">
        <f>SUMPRODUCT((MONTH(CHOOSE({1,2,3,4},NĐ!T177,NĐ!X177,NĐ!AB177,NĐ!AF177))=2)*(CHOOSE({1,2,3,4},NĐ!W177,NĐ!AA177,NĐ!AE177,NĐ!AI177)))</f>
        <v>0</v>
      </c>
      <c r="C177">
        <f>SUMPRODUCT((MONTH(CHOOSE({1,2,3,4},NĐ!T177,NĐ!X177,NĐ!AB177,NĐ!AF177))=3)*(CHOOSE({1,2,3,4},NĐ!W177,NĐ!AA177,NĐ!AE177,NĐ!AI177)))</f>
        <v>0</v>
      </c>
      <c r="D177">
        <f>SUMPRODUCT((MONTH(CHOOSE({1,2,3,4},NĐ!T177,NĐ!X177,NĐ!AB177,NĐ!AF177))=4)*(CHOOSE({1,2,3,4},NĐ!W177,NĐ!AA177,NĐ!AE177,NĐ!AI177)))</f>
        <v>0</v>
      </c>
      <c r="E177">
        <f>SUMPRODUCT((MONTH(CHOOSE({1,2,3,4},NĐ!T177,NĐ!X177,NĐ!AB177,NĐ!AF177))=5)*(CHOOSE({1,2,3,4},NĐ!W177,NĐ!AA177,NĐ!AE177,NĐ!AI177)))</f>
        <v>0</v>
      </c>
      <c r="F177">
        <f>SUMPRODUCT((MONTH(CHOOSE({1,2,3,4},NĐ!T177,NĐ!X177,NĐ!AB177,NĐ!AF177))=6)*(CHOOSE({1,2,3,4},NĐ!W177,NĐ!AA177,NĐ!AE177,NĐ!AI177)))</f>
        <v>0</v>
      </c>
      <c r="G177">
        <f>SUMPRODUCT((MONTH(CHOOSE({1,2,3,4},NĐ!T177,NĐ!X177,NĐ!AB177,NĐ!AF177))=7)*(CHOOSE({1,2,3,4},NĐ!W177,NĐ!AA177,NĐ!AE177,NĐ!AI177)))</f>
        <v>0</v>
      </c>
      <c r="H177">
        <f>SUMPRODUCT((MONTH(CHOOSE({1,2,3,4},NĐ!T177,NĐ!X177,NĐ!AB177,NĐ!AF177))=8)*(CHOOSE({1,2,3,4},NĐ!W177,NĐ!AA177,NĐ!AE177,NĐ!AI177)))</f>
        <v>0</v>
      </c>
      <c r="I177">
        <f>SUMPRODUCT((MONTH(CHOOSE({1,2,3,4},NĐ!T177,NĐ!X177,NĐ!AB177,NĐ!AF177))=9)*(CHOOSE({1,2,3,4},NĐ!W177,NĐ!AA177,NĐ!AE177,NĐ!AI177)))</f>
        <v>0</v>
      </c>
      <c r="J177">
        <f>SUMPRODUCT((MONTH(CHOOSE({1,2,3,4},NĐ!T177,NĐ!X177,NĐ!AB177,NĐ!AF177))=10)*(CHOOSE({1,2,3,4},NĐ!W177,NĐ!AA177,NĐ!AE177,NĐ!AI177)))</f>
        <v>0</v>
      </c>
      <c r="K177">
        <f>SUMPRODUCT((MONTH(CHOOSE({1,2,3,4},NĐ!T177,NĐ!X177,NĐ!AB177,NĐ!AF177))=11)*(CHOOSE({1,2,3,4},NĐ!W177,NĐ!AA177,NĐ!AE177,NĐ!AI177)))</f>
        <v>0</v>
      </c>
      <c r="L177">
        <f>SUMPRODUCT((MONTH(CHOOSE({1,2,3,4},NĐ!T177,NĐ!X177,NĐ!AB177,NĐ!AF177))=12)*(CHOOSE({1,2,3,4},NĐ!W177,NĐ!AA177,NĐ!AE177,NĐ!AI177)))</f>
        <v>0</v>
      </c>
    </row>
    <row r="178" spans="1:12">
      <c r="A178">
        <f>SUMPRODUCT((MONTH(CHOOSE({1,2,3,4},NĐ!T178,NĐ!X178,NĐ!AB178,NĐ!AF178))=1)*(CHOOSE({1,2,3,4},NĐ!W178,NĐ!AA178,NĐ!AE178,NĐ!AI178)))</f>
        <v>0</v>
      </c>
      <c r="B178">
        <f>SUMPRODUCT((MONTH(CHOOSE({1,2,3,4},NĐ!T178,NĐ!X178,NĐ!AB178,NĐ!AF178))=2)*(CHOOSE({1,2,3,4},NĐ!W178,NĐ!AA178,NĐ!AE178,NĐ!AI178)))</f>
        <v>0</v>
      </c>
      <c r="C178">
        <f>SUMPRODUCT((MONTH(CHOOSE({1,2,3,4},NĐ!T178,NĐ!X178,NĐ!AB178,NĐ!AF178))=3)*(CHOOSE({1,2,3,4},NĐ!W178,NĐ!AA178,NĐ!AE178,NĐ!AI178)))</f>
        <v>0</v>
      </c>
      <c r="D178">
        <f>SUMPRODUCT((MONTH(CHOOSE({1,2,3,4},NĐ!T178,NĐ!X178,NĐ!AB178,NĐ!AF178))=4)*(CHOOSE({1,2,3,4},NĐ!W178,NĐ!AA178,NĐ!AE178,NĐ!AI178)))</f>
        <v>0</v>
      </c>
      <c r="E178">
        <f>SUMPRODUCT((MONTH(CHOOSE({1,2,3,4},NĐ!T178,NĐ!X178,NĐ!AB178,NĐ!AF178))=5)*(CHOOSE({1,2,3,4},NĐ!W178,NĐ!AA178,NĐ!AE178,NĐ!AI178)))</f>
        <v>0</v>
      </c>
      <c r="F178">
        <f>SUMPRODUCT((MONTH(CHOOSE({1,2,3,4},NĐ!T178,NĐ!X178,NĐ!AB178,NĐ!AF178))=6)*(CHOOSE({1,2,3,4},NĐ!W178,NĐ!AA178,NĐ!AE178,NĐ!AI178)))</f>
        <v>0</v>
      </c>
      <c r="G178">
        <f>SUMPRODUCT((MONTH(CHOOSE({1,2,3,4},NĐ!T178,NĐ!X178,NĐ!AB178,NĐ!AF178))=7)*(CHOOSE({1,2,3,4},NĐ!W178,NĐ!AA178,NĐ!AE178,NĐ!AI178)))</f>
        <v>0</v>
      </c>
      <c r="H178">
        <f>SUMPRODUCT((MONTH(CHOOSE({1,2,3,4},NĐ!T178,NĐ!X178,NĐ!AB178,NĐ!AF178))=8)*(CHOOSE({1,2,3,4},NĐ!W178,NĐ!AA178,NĐ!AE178,NĐ!AI178)))</f>
        <v>0</v>
      </c>
      <c r="I178">
        <f>SUMPRODUCT((MONTH(CHOOSE({1,2,3,4},NĐ!T178,NĐ!X178,NĐ!AB178,NĐ!AF178))=9)*(CHOOSE({1,2,3,4},NĐ!W178,NĐ!AA178,NĐ!AE178,NĐ!AI178)))</f>
        <v>0</v>
      </c>
      <c r="J178">
        <f>SUMPRODUCT((MONTH(CHOOSE({1,2,3,4},NĐ!T178,NĐ!X178,NĐ!AB178,NĐ!AF178))=10)*(CHOOSE({1,2,3,4},NĐ!W178,NĐ!AA178,NĐ!AE178,NĐ!AI178)))</f>
        <v>0</v>
      </c>
      <c r="K178">
        <f>SUMPRODUCT((MONTH(CHOOSE({1,2,3,4},NĐ!T178,NĐ!X178,NĐ!AB178,NĐ!AF178))=11)*(CHOOSE({1,2,3,4},NĐ!W178,NĐ!AA178,NĐ!AE178,NĐ!AI178)))</f>
        <v>0</v>
      </c>
      <c r="L178">
        <f>SUMPRODUCT((MONTH(CHOOSE({1,2,3,4},NĐ!T178,NĐ!X178,NĐ!AB178,NĐ!AF178))=12)*(CHOOSE({1,2,3,4},NĐ!W178,NĐ!AA178,NĐ!AE178,NĐ!AI178)))</f>
        <v>0</v>
      </c>
    </row>
    <row r="179" spans="1:12">
      <c r="A179">
        <f>SUMPRODUCT((MONTH(CHOOSE({1,2,3,4},NĐ!T179,NĐ!X179,NĐ!AB179,NĐ!AF179))=1)*(CHOOSE({1,2,3,4},NĐ!W179,NĐ!AA179,NĐ!AE179,NĐ!AI179)))</f>
        <v>0</v>
      </c>
      <c r="B179">
        <f>SUMPRODUCT((MONTH(CHOOSE({1,2,3,4},NĐ!T179,NĐ!X179,NĐ!AB179,NĐ!AF179))=2)*(CHOOSE({1,2,3,4},NĐ!W179,NĐ!AA179,NĐ!AE179,NĐ!AI179)))</f>
        <v>0</v>
      </c>
      <c r="C179">
        <f>SUMPRODUCT((MONTH(CHOOSE({1,2,3,4},NĐ!T179,NĐ!X179,NĐ!AB179,NĐ!AF179))=3)*(CHOOSE({1,2,3,4},NĐ!W179,NĐ!AA179,NĐ!AE179,NĐ!AI179)))</f>
        <v>0</v>
      </c>
      <c r="D179">
        <f>SUMPRODUCT((MONTH(CHOOSE({1,2,3,4},NĐ!T179,NĐ!X179,NĐ!AB179,NĐ!AF179))=4)*(CHOOSE({1,2,3,4},NĐ!W179,NĐ!AA179,NĐ!AE179,NĐ!AI179)))</f>
        <v>0</v>
      </c>
      <c r="E179">
        <f>SUMPRODUCT((MONTH(CHOOSE({1,2,3,4},NĐ!T179,NĐ!X179,NĐ!AB179,NĐ!AF179))=5)*(CHOOSE({1,2,3,4},NĐ!W179,NĐ!AA179,NĐ!AE179,NĐ!AI179)))</f>
        <v>0</v>
      </c>
      <c r="F179">
        <f>SUMPRODUCT((MONTH(CHOOSE({1,2,3,4},NĐ!T179,NĐ!X179,NĐ!AB179,NĐ!AF179))=6)*(CHOOSE({1,2,3,4},NĐ!W179,NĐ!AA179,NĐ!AE179,NĐ!AI179)))</f>
        <v>0</v>
      </c>
      <c r="G179">
        <f>SUMPRODUCT((MONTH(CHOOSE({1,2,3,4},NĐ!T179,NĐ!X179,NĐ!AB179,NĐ!AF179))=7)*(CHOOSE({1,2,3,4},NĐ!W179,NĐ!AA179,NĐ!AE179,NĐ!AI179)))</f>
        <v>0</v>
      </c>
      <c r="H179">
        <f>SUMPRODUCT((MONTH(CHOOSE({1,2,3,4},NĐ!T179,NĐ!X179,NĐ!AB179,NĐ!AF179))=8)*(CHOOSE({1,2,3,4},NĐ!W179,NĐ!AA179,NĐ!AE179,NĐ!AI179)))</f>
        <v>0</v>
      </c>
      <c r="I179">
        <f>SUMPRODUCT((MONTH(CHOOSE({1,2,3,4},NĐ!T179,NĐ!X179,NĐ!AB179,NĐ!AF179))=9)*(CHOOSE({1,2,3,4},NĐ!W179,NĐ!AA179,NĐ!AE179,NĐ!AI179)))</f>
        <v>0</v>
      </c>
      <c r="J179">
        <f>SUMPRODUCT((MONTH(CHOOSE({1,2,3,4},NĐ!T179,NĐ!X179,NĐ!AB179,NĐ!AF179))=10)*(CHOOSE({1,2,3,4},NĐ!W179,NĐ!AA179,NĐ!AE179,NĐ!AI179)))</f>
        <v>0</v>
      </c>
      <c r="K179">
        <f>SUMPRODUCT((MONTH(CHOOSE({1,2,3,4},NĐ!T179,NĐ!X179,NĐ!AB179,NĐ!AF179))=11)*(CHOOSE({1,2,3,4},NĐ!W179,NĐ!AA179,NĐ!AE179,NĐ!AI179)))</f>
        <v>0</v>
      </c>
      <c r="L179">
        <f>SUMPRODUCT((MONTH(CHOOSE({1,2,3,4},NĐ!T179,NĐ!X179,NĐ!AB179,NĐ!AF179))=12)*(CHOOSE({1,2,3,4},NĐ!W179,NĐ!AA179,NĐ!AE179,NĐ!AI179)))</f>
        <v>0</v>
      </c>
    </row>
    <row r="180" spans="1:12">
      <c r="A180">
        <f>SUMPRODUCT((MONTH(CHOOSE({1,2,3,4},NĐ!T180,NĐ!X180,NĐ!AB180,NĐ!AF180))=1)*(CHOOSE({1,2,3,4},NĐ!W180,NĐ!AA180,NĐ!AE180,NĐ!AI180)))</f>
        <v>0</v>
      </c>
      <c r="B180">
        <f>SUMPRODUCT((MONTH(CHOOSE({1,2,3,4},NĐ!T180,NĐ!X180,NĐ!AB180,NĐ!AF180))=2)*(CHOOSE({1,2,3,4},NĐ!W180,NĐ!AA180,NĐ!AE180,NĐ!AI180)))</f>
        <v>0</v>
      </c>
      <c r="C180">
        <f>SUMPRODUCT((MONTH(CHOOSE({1,2,3,4},NĐ!T180,NĐ!X180,NĐ!AB180,NĐ!AF180))=3)*(CHOOSE({1,2,3,4},NĐ!W180,NĐ!AA180,NĐ!AE180,NĐ!AI180)))</f>
        <v>0</v>
      </c>
      <c r="D180">
        <f>SUMPRODUCT((MONTH(CHOOSE({1,2,3,4},NĐ!T180,NĐ!X180,NĐ!AB180,NĐ!AF180))=4)*(CHOOSE({1,2,3,4},NĐ!W180,NĐ!AA180,NĐ!AE180,NĐ!AI180)))</f>
        <v>0</v>
      </c>
      <c r="E180">
        <f>SUMPRODUCT((MONTH(CHOOSE({1,2,3,4},NĐ!T180,NĐ!X180,NĐ!AB180,NĐ!AF180))=5)*(CHOOSE({1,2,3,4},NĐ!W180,NĐ!AA180,NĐ!AE180,NĐ!AI180)))</f>
        <v>0</v>
      </c>
      <c r="F180">
        <f>SUMPRODUCT((MONTH(CHOOSE({1,2,3,4},NĐ!T180,NĐ!X180,NĐ!AB180,NĐ!AF180))=6)*(CHOOSE({1,2,3,4},NĐ!W180,NĐ!AA180,NĐ!AE180,NĐ!AI180)))</f>
        <v>0</v>
      </c>
      <c r="G180">
        <f>SUMPRODUCT((MONTH(CHOOSE({1,2,3,4},NĐ!T180,NĐ!X180,NĐ!AB180,NĐ!AF180))=7)*(CHOOSE({1,2,3,4},NĐ!W180,NĐ!AA180,NĐ!AE180,NĐ!AI180)))</f>
        <v>0</v>
      </c>
      <c r="H180">
        <f>SUMPRODUCT((MONTH(CHOOSE({1,2,3,4},NĐ!T180,NĐ!X180,NĐ!AB180,NĐ!AF180))=8)*(CHOOSE({1,2,3,4},NĐ!W180,NĐ!AA180,NĐ!AE180,NĐ!AI180)))</f>
        <v>0</v>
      </c>
      <c r="I180">
        <f>SUMPRODUCT((MONTH(CHOOSE({1,2,3,4},NĐ!T180,NĐ!X180,NĐ!AB180,NĐ!AF180))=9)*(CHOOSE({1,2,3,4},NĐ!W180,NĐ!AA180,NĐ!AE180,NĐ!AI180)))</f>
        <v>0</v>
      </c>
      <c r="J180">
        <f>SUMPRODUCT((MONTH(CHOOSE({1,2,3,4},NĐ!T180,NĐ!X180,NĐ!AB180,NĐ!AF180))=10)*(CHOOSE({1,2,3,4},NĐ!W180,NĐ!AA180,NĐ!AE180,NĐ!AI180)))</f>
        <v>0</v>
      </c>
      <c r="K180">
        <f>SUMPRODUCT((MONTH(CHOOSE({1,2,3,4},NĐ!T180,NĐ!X180,NĐ!AB180,NĐ!AF180))=11)*(CHOOSE({1,2,3,4},NĐ!W180,NĐ!AA180,NĐ!AE180,NĐ!AI180)))</f>
        <v>0</v>
      </c>
      <c r="L180">
        <f>SUMPRODUCT((MONTH(CHOOSE({1,2,3,4},NĐ!T180,NĐ!X180,NĐ!AB180,NĐ!AF180))=12)*(CHOOSE({1,2,3,4},NĐ!W180,NĐ!AA180,NĐ!AE180,NĐ!AI180)))</f>
        <v>0</v>
      </c>
    </row>
    <row r="181" spans="1:12">
      <c r="A181">
        <f>SUMPRODUCT((MONTH(CHOOSE({1,2,3,4},NĐ!T181,NĐ!X181,NĐ!AB181,NĐ!AF181))=1)*(CHOOSE({1,2,3,4},NĐ!W181,NĐ!AA181,NĐ!AE181,NĐ!AI181)))</f>
        <v>0</v>
      </c>
      <c r="B181">
        <f>SUMPRODUCT((MONTH(CHOOSE({1,2,3,4},NĐ!T181,NĐ!X181,NĐ!AB181,NĐ!AF181))=2)*(CHOOSE({1,2,3,4},NĐ!W181,NĐ!AA181,NĐ!AE181,NĐ!AI181)))</f>
        <v>0</v>
      </c>
      <c r="C181">
        <f>SUMPRODUCT((MONTH(CHOOSE({1,2,3,4},NĐ!T181,NĐ!X181,NĐ!AB181,NĐ!AF181))=3)*(CHOOSE({1,2,3,4},NĐ!W181,NĐ!AA181,NĐ!AE181,NĐ!AI181)))</f>
        <v>0</v>
      </c>
      <c r="D181">
        <f>SUMPRODUCT((MONTH(CHOOSE({1,2,3,4},NĐ!T181,NĐ!X181,NĐ!AB181,NĐ!AF181))=4)*(CHOOSE({1,2,3,4},NĐ!W181,NĐ!AA181,NĐ!AE181,NĐ!AI181)))</f>
        <v>0</v>
      </c>
      <c r="E181">
        <f>SUMPRODUCT((MONTH(CHOOSE({1,2,3,4},NĐ!T181,NĐ!X181,NĐ!AB181,NĐ!AF181))=5)*(CHOOSE({1,2,3,4},NĐ!W181,NĐ!AA181,NĐ!AE181,NĐ!AI181)))</f>
        <v>0</v>
      </c>
      <c r="F181">
        <f>SUMPRODUCT((MONTH(CHOOSE({1,2,3,4},NĐ!T181,NĐ!X181,NĐ!AB181,NĐ!AF181))=6)*(CHOOSE({1,2,3,4},NĐ!W181,NĐ!AA181,NĐ!AE181,NĐ!AI181)))</f>
        <v>0</v>
      </c>
      <c r="G181">
        <f>SUMPRODUCT((MONTH(CHOOSE({1,2,3,4},NĐ!T181,NĐ!X181,NĐ!AB181,NĐ!AF181))=7)*(CHOOSE({1,2,3,4},NĐ!W181,NĐ!AA181,NĐ!AE181,NĐ!AI181)))</f>
        <v>0</v>
      </c>
      <c r="H181">
        <f>SUMPRODUCT((MONTH(CHOOSE({1,2,3,4},NĐ!T181,NĐ!X181,NĐ!AB181,NĐ!AF181))=8)*(CHOOSE({1,2,3,4},NĐ!W181,NĐ!AA181,NĐ!AE181,NĐ!AI181)))</f>
        <v>0</v>
      </c>
      <c r="I181">
        <f>SUMPRODUCT((MONTH(CHOOSE({1,2,3,4},NĐ!T181,NĐ!X181,NĐ!AB181,NĐ!AF181))=9)*(CHOOSE({1,2,3,4},NĐ!W181,NĐ!AA181,NĐ!AE181,NĐ!AI181)))</f>
        <v>0</v>
      </c>
      <c r="J181">
        <f>SUMPRODUCT((MONTH(CHOOSE({1,2,3,4},NĐ!T181,NĐ!X181,NĐ!AB181,NĐ!AF181))=10)*(CHOOSE({1,2,3,4},NĐ!W181,NĐ!AA181,NĐ!AE181,NĐ!AI181)))</f>
        <v>0</v>
      </c>
      <c r="K181">
        <f>SUMPRODUCT((MONTH(CHOOSE({1,2,3,4},NĐ!T181,NĐ!X181,NĐ!AB181,NĐ!AF181))=11)*(CHOOSE({1,2,3,4},NĐ!W181,NĐ!AA181,NĐ!AE181,NĐ!AI181)))</f>
        <v>0</v>
      </c>
      <c r="L181">
        <f>SUMPRODUCT((MONTH(CHOOSE({1,2,3,4},NĐ!T181,NĐ!X181,NĐ!AB181,NĐ!AF181))=12)*(CHOOSE({1,2,3,4},NĐ!W181,NĐ!AA181,NĐ!AE181,NĐ!AI181)))</f>
        <v>0</v>
      </c>
    </row>
    <row r="182" spans="1:12">
      <c r="A182">
        <f>SUMPRODUCT((MONTH(CHOOSE({1,2,3,4},NĐ!T182,NĐ!X182,NĐ!AB182,NĐ!AF182))=1)*(CHOOSE({1,2,3,4},NĐ!W182,NĐ!AA182,NĐ!AE182,NĐ!AI182)))</f>
        <v>0</v>
      </c>
      <c r="B182">
        <f>SUMPRODUCT((MONTH(CHOOSE({1,2,3,4},NĐ!T182,NĐ!X182,NĐ!AB182,NĐ!AF182))=2)*(CHOOSE({1,2,3,4},NĐ!W182,NĐ!AA182,NĐ!AE182,NĐ!AI182)))</f>
        <v>0</v>
      </c>
      <c r="C182">
        <f>SUMPRODUCT((MONTH(CHOOSE({1,2,3,4},NĐ!T182,NĐ!X182,NĐ!AB182,NĐ!AF182))=3)*(CHOOSE({1,2,3,4},NĐ!W182,NĐ!AA182,NĐ!AE182,NĐ!AI182)))</f>
        <v>0</v>
      </c>
      <c r="D182">
        <f>SUMPRODUCT((MONTH(CHOOSE({1,2,3,4},NĐ!T182,NĐ!X182,NĐ!AB182,NĐ!AF182))=4)*(CHOOSE({1,2,3,4},NĐ!W182,NĐ!AA182,NĐ!AE182,NĐ!AI182)))</f>
        <v>0</v>
      </c>
      <c r="E182">
        <f>SUMPRODUCT((MONTH(CHOOSE({1,2,3,4},NĐ!T182,NĐ!X182,NĐ!AB182,NĐ!AF182))=5)*(CHOOSE({1,2,3,4},NĐ!W182,NĐ!AA182,NĐ!AE182,NĐ!AI182)))</f>
        <v>0</v>
      </c>
      <c r="F182">
        <f>SUMPRODUCT((MONTH(CHOOSE({1,2,3,4},NĐ!T182,NĐ!X182,NĐ!AB182,NĐ!AF182))=6)*(CHOOSE({1,2,3,4},NĐ!W182,NĐ!AA182,NĐ!AE182,NĐ!AI182)))</f>
        <v>0</v>
      </c>
      <c r="G182">
        <f>SUMPRODUCT((MONTH(CHOOSE({1,2,3,4},NĐ!T182,NĐ!X182,NĐ!AB182,NĐ!AF182))=7)*(CHOOSE({1,2,3,4},NĐ!W182,NĐ!AA182,NĐ!AE182,NĐ!AI182)))</f>
        <v>0</v>
      </c>
      <c r="H182">
        <f>SUMPRODUCT((MONTH(CHOOSE({1,2,3,4},NĐ!T182,NĐ!X182,NĐ!AB182,NĐ!AF182))=8)*(CHOOSE({1,2,3,4},NĐ!W182,NĐ!AA182,NĐ!AE182,NĐ!AI182)))</f>
        <v>0</v>
      </c>
      <c r="I182">
        <f>SUMPRODUCT((MONTH(CHOOSE({1,2,3,4},NĐ!T182,NĐ!X182,NĐ!AB182,NĐ!AF182))=9)*(CHOOSE({1,2,3,4},NĐ!W182,NĐ!AA182,NĐ!AE182,NĐ!AI182)))</f>
        <v>0</v>
      </c>
      <c r="J182">
        <f>SUMPRODUCT((MONTH(CHOOSE({1,2,3,4},NĐ!T182,NĐ!X182,NĐ!AB182,NĐ!AF182))=10)*(CHOOSE({1,2,3,4},NĐ!W182,NĐ!AA182,NĐ!AE182,NĐ!AI182)))</f>
        <v>0</v>
      </c>
      <c r="K182">
        <f>SUMPRODUCT((MONTH(CHOOSE({1,2,3,4},NĐ!T182,NĐ!X182,NĐ!AB182,NĐ!AF182))=11)*(CHOOSE({1,2,3,4},NĐ!W182,NĐ!AA182,NĐ!AE182,NĐ!AI182)))</f>
        <v>0</v>
      </c>
      <c r="L182">
        <f>SUMPRODUCT((MONTH(CHOOSE({1,2,3,4},NĐ!T182,NĐ!X182,NĐ!AB182,NĐ!AF182))=12)*(CHOOSE({1,2,3,4},NĐ!W182,NĐ!AA182,NĐ!AE182,NĐ!AI182)))</f>
        <v>0</v>
      </c>
    </row>
    <row r="183" spans="1:12">
      <c r="A183">
        <f>SUMPRODUCT((MONTH(CHOOSE({1,2,3,4},NĐ!T183,NĐ!X183,NĐ!AB183,NĐ!AF183))=1)*(CHOOSE({1,2,3,4},NĐ!W183,NĐ!AA183,NĐ!AE183,NĐ!AI183)))</f>
        <v>0</v>
      </c>
      <c r="B183">
        <f>SUMPRODUCT((MONTH(CHOOSE({1,2,3,4},NĐ!T183,NĐ!X183,NĐ!AB183,NĐ!AF183))=2)*(CHOOSE({1,2,3,4},NĐ!W183,NĐ!AA183,NĐ!AE183,NĐ!AI183)))</f>
        <v>0</v>
      </c>
      <c r="C183">
        <f>SUMPRODUCT((MONTH(CHOOSE({1,2,3,4},NĐ!T183,NĐ!X183,NĐ!AB183,NĐ!AF183))=3)*(CHOOSE({1,2,3,4},NĐ!W183,NĐ!AA183,NĐ!AE183,NĐ!AI183)))</f>
        <v>0</v>
      </c>
      <c r="D183">
        <f>SUMPRODUCT((MONTH(CHOOSE({1,2,3,4},NĐ!T183,NĐ!X183,NĐ!AB183,NĐ!AF183))=4)*(CHOOSE({1,2,3,4},NĐ!W183,NĐ!AA183,NĐ!AE183,NĐ!AI183)))</f>
        <v>0</v>
      </c>
      <c r="E183">
        <f>SUMPRODUCT((MONTH(CHOOSE({1,2,3,4},NĐ!T183,NĐ!X183,NĐ!AB183,NĐ!AF183))=5)*(CHOOSE({1,2,3,4},NĐ!W183,NĐ!AA183,NĐ!AE183,NĐ!AI183)))</f>
        <v>0</v>
      </c>
      <c r="F183">
        <f>SUMPRODUCT((MONTH(CHOOSE({1,2,3,4},NĐ!T183,NĐ!X183,NĐ!AB183,NĐ!AF183))=6)*(CHOOSE({1,2,3,4},NĐ!W183,NĐ!AA183,NĐ!AE183,NĐ!AI183)))</f>
        <v>0</v>
      </c>
      <c r="G183">
        <f>SUMPRODUCT((MONTH(CHOOSE({1,2,3,4},NĐ!T183,NĐ!X183,NĐ!AB183,NĐ!AF183))=7)*(CHOOSE({1,2,3,4},NĐ!W183,NĐ!AA183,NĐ!AE183,NĐ!AI183)))</f>
        <v>0</v>
      </c>
      <c r="H183">
        <f>SUMPRODUCT((MONTH(CHOOSE({1,2,3,4},NĐ!T183,NĐ!X183,NĐ!AB183,NĐ!AF183))=8)*(CHOOSE({1,2,3,4},NĐ!W183,NĐ!AA183,NĐ!AE183,NĐ!AI183)))</f>
        <v>0</v>
      </c>
      <c r="I183">
        <f>SUMPRODUCT((MONTH(CHOOSE({1,2,3,4},NĐ!T183,NĐ!X183,NĐ!AB183,NĐ!AF183))=9)*(CHOOSE({1,2,3,4},NĐ!W183,NĐ!AA183,NĐ!AE183,NĐ!AI183)))</f>
        <v>0</v>
      </c>
      <c r="J183">
        <f>SUMPRODUCT((MONTH(CHOOSE({1,2,3,4},NĐ!T183,NĐ!X183,NĐ!AB183,NĐ!AF183))=10)*(CHOOSE({1,2,3,4},NĐ!W183,NĐ!AA183,NĐ!AE183,NĐ!AI183)))</f>
        <v>0</v>
      </c>
      <c r="K183">
        <f>SUMPRODUCT((MONTH(CHOOSE({1,2,3,4},NĐ!T183,NĐ!X183,NĐ!AB183,NĐ!AF183))=11)*(CHOOSE({1,2,3,4},NĐ!W183,NĐ!AA183,NĐ!AE183,NĐ!AI183)))</f>
        <v>0</v>
      </c>
      <c r="L183">
        <f>SUMPRODUCT((MONTH(CHOOSE({1,2,3,4},NĐ!T183,NĐ!X183,NĐ!AB183,NĐ!AF183))=12)*(CHOOSE({1,2,3,4},NĐ!W183,NĐ!AA183,NĐ!AE183,NĐ!AI183)))</f>
        <v>0</v>
      </c>
    </row>
    <row r="184" spans="1:12">
      <c r="A184">
        <f>SUMPRODUCT((MONTH(CHOOSE({1,2,3,4},NĐ!T184,NĐ!X184,NĐ!AB184,NĐ!AF184))=1)*(CHOOSE({1,2,3,4},NĐ!W184,NĐ!AA184,NĐ!AE184,NĐ!AI184)))</f>
        <v>0</v>
      </c>
      <c r="B184">
        <f>SUMPRODUCT((MONTH(CHOOSE({1,2,3,4},NĐ!T184,NĐ!X184,NĐ!AB184,NĐ!AF184))=2)*(CHOOSE({1,2,3,4},NĐ!W184,NĐ!AA184,NĐ!AE184,NĐ!AI184)))</f>
        <v>0</v>
      </c>
      <c r="C184">
        <f>SUMPRODUCT((MONTH(CHOOSE({1,2,3,4},NĐ!T184,NĐ!X184,NĐ!AB184,NĐ!AF184))=3)*(CHOOSE({1,2,3,4},NĐ!W184,NĐ!AA184,NĐ!AE184,NĐ!AI184)))</f>
        <v>0</v>
      </c>
      <c r="D184">
        <f>SUMPRODUCT((MONTH(CHOOSE({1,2,3,4},NĐ!T184,NĐ!X184,NĐ!AB184,NĐ!AF184))=4)*(CHOOSE({1,2,3,4},NĐ!W184,NĐ!AA184,NĐ!AE184,NĐ!AI184)))</f>
        <v>0</v>
      </c>
      <c r="E184">
        <f>SUMPRODUCT((MONTH(CHOOSE({1,2,3,4},NĐ!T184,NĐ!X184,NĐ!AB184,NĐ!AF184))=5)*(CHOOSE({1,2,3,4},NĐ!W184,NĐ!AA184,NĐ!AE184,NĐ!AI184)))</f>
        <v>0</v>
      </c>
      <c r="F184">
        <f>SUMPRODUCT((MONTH(CHOOSE({1,2,3,4},NĐ!T184,NĐ!X184,NĐ!AB184,NĐ!AF184))=6)*(CHOOSE({1,2,3,4},NĐ!W184,NĐ!AA184,NĐ!AE184,NĐ!AI184)))</f>
        <v>0</v>
      </c>
      <c r="G184">
        <f>SUMPRODUCT((MONTH(CHOOSE({1,2,3,4},NĐ!T184,NĐ!X184,NĐ!AB184,NĐ!AF184))=7)*(CHOOSE({1,2,3,4},NĐ!W184,NĐ!AA184,NĐ!AE184,NĐ!AI184)))</f>
        <v>0</v>
      </c>
      <c r="H184">
        <f>SUMPRODUCT((MONTH(CHOOSE({1,2,3,4},NĐ!T184,NĐ!X184,NĐ!AB184,NĐ!AF184))=8)*(CHOOSE({1,2,3,4},NĐ!W184,NĐ!AA184,NĐ!AE184,NĐ!AI184)))</f>
        <v>0</v>
      </c>
      <c r="I184">
        <f>SUMPRODUCT((MONTH(CHOOSE({1,2,3,4},NĐ!T184,NĐ!X184,NĐ!AB184,NĐ!AF184))=9)*(CHOOSE({1,2,3,4},NĐ!W184,NĐ!AA184,NĐ!AE184,NĐ!AI184)))</f>
        <v>0</v>
      </c>
      <c r="J184">
        <f>SUMPRODUCT((MONTH(CHOOSE({1,2,3,4},NĐ!T184,NĐ!X184,NĐ!AB184,NĐ!AF184))=10)*(CHOOSE({1,2,3,4},NĐ!W184,NĐ!AA184,NĐ!AE184,NĐ!AI184)))</f>
        <v>0</v>
      </c>
      <c r="K184">
        <f>SUMPRODUCT((MONTH(CHOOSE({1,2,3,4},NĐ!T184,NĐ!X184,NĐ!AB184,NĐ!AF184))=11)*(CHOOSE({1,2,3,4},NĐ!W184,NĐ!AA184,NĐ!AE184,NĐ!AI184)))</f>
        <v>0</v>
      </c>
      <c r="L184">
        <f>SUMPRODUCT((MONTH(CHOOSE({1,2,3,4},NĐ!T184,NĐ!X184,NĐ!AB184,NĐ!AF184))=12)*(CHOOSE({1,2,3,4},NĐ!W184,NĐ!AA184,NĐ!AE184,NĐ!AI184)))</f>
        <v>0</v>
      </c>
    </row>
    <row r="185" spans="1:12">
      <c r="A185">
        <f>SUMPRODUCT((MONTH(CHOOSE({1,2,3,4},NĐ!T185,NĐ!X185,NĐ!AB185,NĐ!AF185))=1)*(CHOOSE({1,2,3,4},NĐ!W185,NĐ!AA185,NĐ!AE185,NĐ!AI185)))</f>
        <v>0</v>
      </c>
      <c r="B185">
        <f>SUMPRODUCT((MONTH(CHOOSE({1,2,3,4},NĐ!T185,NĐ!X185,NĐ!AB185,NĐ!AF185))=2)*(CHOOSE({1,2,3,4},NĐ!W185,NĐ!AA185,NĐ!AE185,NĐ!AI185)))</f>
        <v>0</v>
      </c>
      <c r="C185">
        <f>SUMPRODUCT((MONTH(CHOOSE({1,2,3,4},NĐ!T185,NĐ!X185,NĐ!AB185,NĐ!AF185))=3)*(CHOOSE({1,2,3,4},NĐ!W185,NĐ!AA185,NĐ!AE185,NĐ!AI185)))</f>
        <v>0</v>
      </c>
      <c r="D185">
        <f>SUMPRODUCT((MONTH(CHOOSE({1,2,3,4},NĐ!T185,NĐ!X185,NĐ!AB185,NĐ!AF185))=4)*(CHOOSE({1,2,3,4},NĐ!W185,NĐ!AA185,NĐ!AE185,NĐ!AI185)))</f>
        <v>0</v>
      </c>
      <c r="E185">
        <f>SUMPRODUCT((MONTH(CHOOSE({1,2,3,4},NĐ!T185,NĐ!X185,NĐ!AB185,NĐ!AF185))=5)*(CHOOSE({1,2,3,4},NĐ!W185,NĐ!AA185,NĐ!AE185,NĐ!AI185)))</f>
        <v>0</v>
      </c>
      <c r="F185">
        <f>SUMPRODUCT((MONTH(CHOOSE({1,2,3,4},NĐ!T185,NĐ!X185,NĐ!AB185,NĐ!AF185))=6)*(CHOOSE({1,2,3,4},NĐ!W185,NĐ!AA185,NĐ!AE185,NĐ!AI185)))</f>
        <v>0</v>
      </c>
      <c r="G185">
        <f>SUMPRODUCT((MONTH(CHOOSE({1,2,3,4},NĐ!T185,NĐ!X185,NĐ!AB185,NĐ!AF185))=7)*(CHOOSE({1,2,3,4},NĐ!W185,NĐ!AA185,NĐ!AE185,NĐ!AI185)))</f>
        <v>0</v>
      </c>
      <c r="H185">
        <f>SUMPRODUCT((MONTH(CHOOSE({1,2,3,4},NĐ!T185,NĐ!X185,NĐ!AB185,NĐ!AF185))=8)*(CHOOSE({1,2,3,4},NĐ!W185,NĐ!AA185,NĐ!AE185,NĐ!AI185)))</f>
        <v>0</v>
      </c>
      <c r="I185">
        <f>SUMPRODUCT((MONTH(CHOOSE({1,2,3,4},NĐ!T185,NĐ!X185,NĐ!AB185,NĐ!AF185))=9)*(CHOOSE({1,2,3,4},NĐ!W185,NĐ!AA185,NĐ!AE185,NĐ!AI185)))</f>
        <v>0</v>
      </c>
      <c r="J185">
        <f>SUMPRODUCT((MONTH(CHOOSE({1,2,3,4},NĐ!T185,NĐ!X185,NĐ!AB185,NĐ!AF185))=10)*(CHOOSE({1,2,3,4},NĐ!W185,NĐ!AA185,NĐ!AE185,NĐ!AI185)))</f>
        <v>0</v>
      </c>
      <c r="K185">
        <f>SUMPRODUCT((MONTH(CHOOSE({1,2,3,4},NĐ!T185,NĐ!X185,NĐ!AB185,NĐ!AF185))=11)*(CHOOSE({1,2,3,4},NĐ!W185,NĐ!AA185,NĐ!AE185,NĐ!AI185)))</f>
        <v>0</v>
      </c>
      <c r="L185">
        <f>SUMPRODUCT((MONTH(CHOOSE({1,2,3,4},NĐ!T185,NĐ!X185,NĐ!AB185,NĐ!AF185))=12)*(CHOOSE({1,2,3,4},NĐ!W185,NĐ!AA185,NĐ!AE185,NĐ!AI185)))</f>
        <v>0</v>
      </c>
    </row>
    <row r="186" spans="1:12">
      <c r="A186">
        <f>SUMPRODUCT((MONTH(CHOOSE({1,2,3,4},NĐ!T186,NĐ!X186,NĐ!AB186,NĐ!AF186))=1)*(CHOOSE({1,2,3,4},NĐ!W186,NĐ!AA186,NĐ!AE186,NĐ!AI186)))</f>
        <v>0</v>
      </c>
      <c r="B186">
        <f>SUMPRODUCT((MONTH(CHOOSE({1,2,3,4},NĐ!T186,NĐ!X186,NĐ!AB186,NĐ!AF186))=2)*(CHOOSE({1,2,3,4},NĐ!W186,NĐ!AA186,NĐ!AE186,NĐ!AI186)))</f>
        <v>0</v>
      </c>
      <c r="C186">
        <f>SUMPRODUCT((MONTH(CHOOSE({1,2,3,4},NĐ!T186,NĐ!X186,NĐ!AB186,NĐ!AF186))=3)*(CHOOSE({1,2,3,4},NĐ!W186,NĐ!AA186,NĐ!AE186,NĐ!AI186)))</f>
        <v>0</v>
      </c>
      <c r="D186">
        <f>SUMPRODUCT((MONTH(CHOOSE({1,2,3,4},NĐ!T186,NĐ!X186,NĐ!AB186,NĐ!AF186))=4)*(CHOOSE({1,2,3,4},NĐ!W186,NĐ!AA186,NĐ!AE186,NĐ!AI186)))</f>
        <v>0</v>
      </c>
      <c r="E186">
        <f>SUMPRODUCT((MONTH(CHOOSE({1,2,3,4},NĐ!T186,NĐ!X186,NĐ!AB186,NĐ!AF186))=5)*(CHOOSE({1,2,3,4},NĐ!W186,NĐ!AA186,NĐ!AE186,NĐ!AI186)))</f>
        <v>0</v>
      </c>
      <c r="F186">
        <f>SUMPRODUCT((MONTH(CHOOSE({1,2,3,4},NĐ!T186,NĐ!X186,NĐ!AB186,NĐ!AF186))=6)*(CHOOSE({1,2,3,4},NĐ!W186,NĐ!AA186,NĐ!AE186,NĐ!AI186)))</f>
        <v>0</v>
      </c>
      <c r="G186">
        <f>SUMPRODUCT((MONTH(CHOOSE({1,2,3,4},NĐ!T186,NĐ!X186,NĐ!AB186,NĐ!AF186))=7)*(CHOOSE({1,2,3,4},NĐ!W186,NĐ!AA186,NĐ!AE186,NĐ!AI186)))</f>
        <v>0</v>
      </c>
      <c r="H186">
        <f>SUMPRODUCT((MONTH(CHOOSE({1,2,3,4},NĐ!T186,NĐ!X186,NĐ!AB186,NĐ!AF186))=8)*(CHOOSE({1,2,3,4},NĐ!W186,NĐ!AA186,NĐ!AE186,NĐ!AI186)))</f>
        <v>0</v>
      </c>
      <c r="I186">
        <f>SUMPRODUCT((MONTH(CHOOSE({1,2,3,4},NĐ!T186,NĐ!X186,NĐ!AB186,NĐ!AF186))=9)*(CHOOSE({1,2,3,4},NĐ!W186,NĐ!AA186,NĐ!AE186,NĐ!AI186)))</f>
        <v>0</v>
      </c>
      <c r="J186">
        <f>SUMPRODUCT((MONTH(CHOOSE({1,2,3,4},NĐ!T186,NĐ!X186,NĐ!AB186,NĐ!AF186))=10)*(CHOOSE({1,2,3,4},NĐ!W186,NĐ!AA186,NĐ!AE186,NĐ!AI186)))</f>
        <v>0</v>
      </c>
      <c r="K186">
        <f>SUMPRODUCT((MONTH(CHOOSE({1,2,3,4},NĐ!T186,NĐ!X186,NĐ!AB186,NĐ!AF186))=11)*(CHOOSE({1,2,3,4},NĐ!W186,NĐ!AA186,NĐ!AE186,NĐ!AI186)))</f>
        <v>0</v>
      </c>
      <c r="L186">
        <f>SUMPRODUCT((MONTH(CHOOSE({1,2,3,4},NĐ!T186,NĐ!X186,NĐ!AB186,NĐ!AF186))=12)*(CHOOSE({1,2,3,4},NĐ!W186,NĐ!AA186,NĐ!AE186,NĐ!AI186)))</f>
        <v>0</v>
      </c>
    </row>
    <row r="187" spans="1:12">
      <c r="A187">
        <f>SUMPRODUCT((MONTH(CHOOSE({1,2,3,4},NĐ!T187,NĐ!X187,NĐ!AB187,NĐ!AF187))=1)*(CHOOSE({1,2,3,4},NĐ!W187,NĐ!AA187,NĐ!AE187,NĐ!AI187)))</f>
        <v>0</v>
      </c>
      <c r="B187">
        <f>SUMPRODUCT((MONTH(CHOOSE({1,2,3,4},NĐ!T187,NĐ!X187,NĐ!AB187,NĐ!AF187))=2)*(CHOOSE({1,2,3,4},NĐ!W187,NĐ!AA187,NĐ!AE187,NĐ!AI187)))</f>
        <v>0</v>
      </c>
      <c r="C187">
        <f>SUMPRODUCT((MONTH(CHOOSE({1,2,3,4},NĐ!T187,NĐ!X187,NĐ!AB187,NĐ!AF187))=3)*(CHOOSE({1,2,3,4},NĐ!W187,NĐ!AA187,NĐ!AE187,NĐ!AI187)))</f>
        <v>0</v>
      </c>
      <c r="D187">
        <f>SUMPRODUCT((MONTH(CHOOSE({1,2,3,4},NĐ!T187,NĐ!X187,NĐ!AB187,NĐ!AF187))=4)*(CHOOSE({1,2,3,4},NĐ!W187,NĐ!AA187,NĐ!AE187,NĐ!AI187)))</f>
        <v>0</v>
      </c>
      <c r="E187">
        <f>SUMPRODUCT((MONTH(CHOOSE({1,2,3,4},NĐ!T187,NĐ!X187,NĐ!AB187,NĐ!AF187))=5)*(CHOOSE({1,2,3,4},NĐ!W187,NĐ!AA187,NĐ!AE187,NĐ!AI187)))</f>
        <v>0</v>
      </c>
      <c r="F187">
        <f>SUMPRODUCT((MONTH(CHOOSE({1,2,3,4},NĐ!T187,NĐ!X187,NĐ!AB187,NĐ!AF187))=6)*(CHOOSE({1,2,3,4},NĐ!W187,NĐ!AA187,NĐ!AE187,NĐ!AI187)))</f>
        <v>0</v>
      </c>
      <c r="G187">
        <f>SUMPRODUCT((MONTH(CHOOSE({1,2,3,4},NĐ!T187,NĐ!X187,NĐ!AB187,NĐ!AF187))=7)*(CHOOSE({1,2,3,4},NĐ!W187,NĐ!AA187,NĐ!AE187,NĐ!AI187)))</f>
        <v>0</v>
      </c>
      <c r="H187">
        <f>SUMPRODUCT((MONTH(CHOOSE({1,2,3,4},NĐ!T187,NĐ!X187,NĐ!AB187,NĐ!AF187))=8)*(CHOOSE({1,2,3,4},NĐ!W187,NĐ!AA187,NĐ!AE187,NĐ!AI187)))</f>
        <v>0</v>
      </c>
      <c r="I187">
        <f>SUMPRODUCT((MONTH(CHOOSE({1,2,3,4},NĐ!T187,NĐ!X187,NĐ!AB187,NĐ!AF187))=9)*(CHOOSE({1,2,3,4},NĐ!W187,NĐ!AA187,NĐ!AE187,NĐ!AI187)))</f>
        <v>0</v>
      </c>
      <c r="J187">
        <f>SUMPRODUCT((MONTH(CHOOSE({1,2,3,4},NĐ!T187,NĐ!X187,NĐ!AB187,NĐ!AF187))=10)*(CHOOSE({1,2,3,4},NĐ!W187,NĐ!AA187,NĐ!AE187,NĐ!AI187)))</f>
        <v>0</v>
      </c>
      <c r="K187">
        <f>SUMPRODUCT((MONTH(CHOOSE({1,2,3,4},NĐ!T187,NĐ!X187,NĐ!AB187,NĐ!AF187))=11)*(CHOOSE({1,2,3,4},NĐ!W187,NĐ!AA187,NĐ!AE187,NĐ!AI187)))</f>
        <v>0</v>
      </c>
      <c r="L187">
        <f>SUMPRODUCT((MONTH(CHOOSE({1,2,3,4},NĐ!T187,NĐ!X187,NĐ!AB187,NĐ!AF187))=12)*(CHOOSE({1,2,3,4},NĐ!W187,NĐ!AA187,NĐ!AE187,NĐ!AI187)))</f>
        <v>0</v>
      </c>
    </row>
    <row r="188" spans="1:12">
      <c r="A188">
        <f>SUMPRODUCT((MONTH(CHOOSE({1,2,3,4},NĐ!T188,NĐ!X188,NĐ!AB188,NĐ!AF188))=1)*(CHOOSE({1,2,3,4},NĐ!W188,NĐ!AA188,NĐ!AE188,NĐ!AI188)))</f>
        <v>0</v>
      </c>
      <c r="B188">
        <f>SUMPRODUCT((MONTH(CHOOSE({1,2,3,4},NĐ!T188,NĐ!X188,NĐ!AB188,NĐ!AF188))=2)*(CHOOSE({1,2,3,4},NĐ!W188,NĐ!AA188,NĐ!AE188,NĐ!AI188)))</f>
        <v>0</v>
      </c>
      <c r="C188">
        <f>SUMPRODUCT((MONTH(CHOOSE({1,2,3,4},NĐ!T188,NĐ!X188,NĐ!AB188,NĐ!AF188))=3)*(CHOOSE({1,2,3,4},NĐ!W188,NĐ!AA188,NĐ!AE188,NĐ!AI188)))</f>
        <v>0</v>
      </c>
      <c r="D188">
        <f>SUMPRODUCT((MONTH(CHOOSE({1,2,3,4},NĐ!T188,NĐ!X188,NĐ!AB188,NĐ!AF188))=4)*(CHOOSE({1,2,3,4},NĐ!W188,NĐ!AA188,NĐ!AE188,NĐ!AI188)))</f>
        <v>0</v>
      </c>
      <c r="E188">
        <f>SUMPRODUCT((MONTH(CHOOSE({1,2,3,4},NĐ!T188,NĐ!X188,NĐ!AB188,NĐ!AF188))=5)*(CHOOSE({1,2,3,4},NĐ!W188,NĐ!AA188,NĐ!AE188,NĐ!AI188)))</f>
        <v>0</v>
      </c>
      <c r="F188">
        <f>SUMPRODUCT((MONTH(CHOOSE({1,2,3,4},NĐ!T188,NĐ!X188,NĐ!AB188,NĐ!AF188))=6)*(CHOOSE({1,2,3,4},NĐ!W188,NĐ!AA188,NĐ!AE188,NĐ!AI188)))</f>
        <v>0</v>
      </c>
      <c r="G188">
        <f>SUMPRODUCT((MONTH(CHOOSE({1,2,3,4},NĐ!T188,NĐ!X188,NĐ!AB188,NĐ!AF188))=7)*(CHOOSE({1,2,3,4},NĐ!W188,NĐ!AA188,NĐ!AE188,NĐ!AI188)))</f>
        <v>0</v>
      </c>
      <c r="H188">
        <f>SUMPRODUCT((MONTH(CHOOSE({1,2,3,4},NĐ!T188,NĐ!X188,NĐ!AB188,NĐ!AF188))=8)*(CHOOSE({1,2,3,4},NĐ!W188,NĐ!AA188,NĐ!AE188,NĐ!AI188)))</f>
        <v>0</v>
      </c>
      <c r="I188">
        <f>SUMPRODUCT((MONTH(CHOOSE({1,2,3,4},NĐ!T188,NĐ!X188,NĐ!AB188,NĐ!AF188))=9)*(CHOOSE({1,2,3,4},NĐ!W188,NĐ!AA188,NĐ!AE188,NĐ!AI188)))</f>
        <v>0</v>
      </c>
      <c r="J188">
        <f>SUMPRODUCT((MONTH(CHOOSE({1,2,3,4},NĐ!T188,NĐ!X188,NĐ!AB188,NĐ!AF188))=10)*(CHOOSE({1,2,3,4},NĐ!W188,NĐ!AA188,NĐ!AE188,NĐ!AI188)))</f>
        <v>0</v>
      </c>
      <c r="K188">
        <f>SUMPRODUCT((MONTH(CHOOSE({1,2,3,4},NĐ!T188,NĐ!X188,NĐ!AB188,NĐ!AF188))=11)*(CHOOSE({1,2,3,4},NĐ!W188,NĐ!AA188,NĐ!AE188,NĐ!AI188)))</f>
        <v>0</v>
      </c>
      <c r="L188">
        <f>SUMPRODUCT((MONTH(CHOOSE({1,2,3,4},NĐ!T188,NĐ!X188,NĐ!AB188,NĐ!AF188))=12)*(CHOOSE({1,2,3,4},NĐ!W188,NĐ!AA188,NĐ!AE188,NĐ!AI188)))</f>
        <v>0</v>
      </c>
    </row>
    <row r="189" spans="1:12">
      <c r="A189">
        <f>SUMPRODUCT((MONTH(CHOOSE({1,2,3,4},NĐ!T189,NĐ!X189,NĐ!AB189,NĐ!AF189))=1)*(CHOOSE({1,2,3,4},NĐ!W189,NĐ!AA189,NĐ!AE189,NĐ!AI189)))</f>
        <v>0</v>
      </c>
      <c r="B189">
        <f>SUMPRODUCT((MONTH(CHOOSE({1,2,3,4},NĐ!T189,NĐ!X189,NĐ!AB189,NĐ!AF189))=2)*(CHOOSE({1,2,3,4},NĐ!W189,NĐ!AA189,NĐ!AE189,NĐ!AI189)))</f>
        <v>0</v>
      </c>
      <c r="C189">
        <f>SUMPRODUCT((MONTH(CHOOSE({1,2,3,4},NĐ!T189,NĐ!X189,NĐ!AB189,NĐ!AF189))=3)*(CHOOSE({1,2,3,4},NĐ!W189,NĐ!AA189,NĐ!AE189,NĐ!AI189)))</f>
        <v>0</v>
      </c>
      <c r="D189">
        <f>SUMPRODUCT((MONTH(CHOOSE({1,2,3,4},NĐ!T189,NĐ!X189,NĐ!AB189,NĐ!AF189))=4)*(CHOOSE({1,2,3,4},NĐ!W189,NĐ!AA189,NĐ!AE189,NĐ!AI189)))</f>
        <v>0</v>
      </c>
      <c r="E189">
        <f>SUMPRODUCT((MONTH(CHOOSE({1,2,3,4},NĐ!T189,NĐ!X189,NĐ!AB189,NĐ!AF189))=5)*(CHOOSE({1,2,3,4},NĐ!W189,NĐ!AA189,NĐ!AE189,NĐ!AI189)))</f>
        <v>0</v>
      </c>
      <c r="F189">
        <f>SUMPRODUCT((MONTH(CHOOSE({1,2,3,4},NĐ!T189,NĐ!X189,NĐ!AB189,NĐ!AF189))=6)*(CHOOSE({1,2,3,4},NĐ!W189,NĐ!AA189,NĐ!AE189,NĐ!AI189)))</f>
        <v>0</v>
      </c>
      <c r="G189">
        <f>SUMPRODUCT((MONTH(CHOOSE({1,2,3,4},NĐ!T189,NĐ!X189,NĐ!AB189,NĐ!AF189))=7)*(CHOOSE({1,2,3,4},NĐ!W189,NĐ!AA189,NĐ!AE189,NĐ!AI189)))</f>
        <v>0</v>
      </c>
      <c r="H189">
        <f>SUMPRODUCT((MONTH(CHOOSE({1,2,3,4},NĐ!T189,NĐ!X189,NĐ!AB189,NĐ!AF189))=8)*(CHOOSE({1,2,3,4},NĐ!W189,NĐ!AA189,NĐ!AE189,NĐ!AI189)))</f>
        <v>0</v>
      </c>
      <c r="I189">
        <f>SUMPRODUCT((MONTH(CHOOSE({1,2,3,4},NĐ!T189,NĐ!X189,NĐ!AB189,NĐ!AF189))=9)*(CHOOSE({1,2,3,4},NĐ!W189,NĐ!AA189,NĐ!AE189,NĐ!AI189)))</f>
        <v>0</v>
      </c>
      <c r="J189">
        <f>SUMPRODUCT((MONTH(CHOOSE({1,2,3,4},NĐ!T189,NĐ!X189,NĐ!AB189,NĐ!AF189))=10)*(CHOOSE({1,2,3,4},NĐ!W189,NĐ!AA189,NĐ!AE189,NĐ!AI189)))</f>
        <v>0</v>
      </c>
      <c r="K189">
        <f>SUMPRODUCT((MONTH(CHOOSE({1,2,3,4},NĐ!T189,NĐ!X189,NĐ!AB189,NĐ!AF189))=11)*(CHOOSE({1,2,3,4},NĐ!W189,NĐ!AA189,NĐ!AE189,NĐ!AI189)))</f>
        <v>0</v>
      </c>
      <c r="L189">
        <f>SUMPRODUCT((MONTH(CHOOSE({1,2,3,4},NĐ!T189,NĐ!X189,NĐ!AB189,NĐ!AF189))=12)*(CHOOSE({1,2,3,4},NĐ!W189,NĐ!AA189,NĐ!AE189,NĐ!AI189)))</f>
        <v>0</v>
      </c>
    </row>
    <row r="190" spans="1:12">
      <c r="A190">
        <f>SUMPRODUCT((MONTH(CHOOSE({1,2,3,4},NĐ!T190,NĐ!X190,NĐ!AB190,NĐ!AF190))=1)*(CHOOSE({1,2,3,4},NĐ!W190,NĐ!AA190,NĐ!AE190,NĐ!AI190)))</f>
        <v>0</v>
      </c>
      <c r="B190">
        <f>SUMPRODUCT((MONTH(CHOOSE({1,2,3,4},NĐ!T190,NĐ!X190,NĐ!AB190,NĐ!AF190))=2)*(CHOOSE({1,2,3,4},NĐ!W190,NĐ!AA190,NĐ!AE190,NĐ!AI190)))</f>
        <v>0</v>
      </c>
      <c r="C190">
        <f>SUMPRODUCT((MONTH(CHOOSE({1,2,3,4},NĐ!T190,NĐ!X190,NĐ!AB190,NĐ!AF190))=3)*(CHOOSE({1,2,3,4},NĐ!W190,NĐ!AA190,NĐ!AE190,NĐ!AI190)))</f>
        <v>0</v>
      </c>
      <c r="D190">
        <f>SUMPRODUCT((MONTH(CHOOSE({1,2,3,4},NĐ!T190,NĐ!X190,NĐ!AB190,NĐ!AF190))=4)*(CHOOSE({1,2,3,4},NĐ!W190,NĐ!AA190,NĐ!AE190,NĐ!AI190)))</f>
        <v>0</v>
      </c>
      <c r="E190">
        <f>SUMPRODUCT((MONTH(CHOOSE({1,2,3,4},NĐ!T190,NĐ!X190,NĐ!AB190,NĐ!AF190))=5)*(CHOOSE({1,2,3,4},NĐ!W190,NĐ!AA190,NĐ!AE190,NĐ!AI190)))</f>
        <v>0</v>
      </c>
      <c r="F190">
        <f>SUMPRODUCT((MONTH(CHOOSE({1,2,3,4},NĐ!T190,NĐ!X190,NĐ!AB190,NĐ!AF190))=6)*(CHOOSE({1,2,3,4},NĐ!W190,NĐ!AA190,NĐ!AE190,NĐ!AI190)))</f>
        <v>0</v>
      </c>
      <c r="G190">
        <f>SUMPRODUCT((MONTH(CHOOSE({1,2,3,4},NĐ!T190,NĐ!X190,NĐ!AB190,NĐ!AF190))=7)*(CHOOSE({1,2,3,4},NĐ!W190,NĐ!AA190,NĐ!AE190,NĐ!AI190)))</f>
        <v>0</v>
      </c>
      <c r="H190">
        <f>SUMPRODUCT((MONTH(CHOOSE({1,2,3,4},NĐ!T190,NĐ!X190,NĐ!AB190,NĐ!AF190))=8)*(CHOOSE({1,2,3,4},NĐ!W190,NĐ!AA190,NĐ!AE190,NĐ!AI190)))</f>
        <v>0</v>
      </c>
      <c r="I190">
        <f>SUMPRODUCT((MONTH(CHOOSE({1,2,3,4},NĐ!T190,NĐ!X190,NĐ!AB190,NĐ!AF190))=9)*(CHOOSE({1,2,3,4},NĐ!W190,NĐ!AA190,NĐ!AE190,NĐ!AI190)))</f>
        <v>0</v>
      </c>
      <c r="J190">
        <f>SUMPRODUCT((MONTH(CHOOSE({1,2,3,4},NĐ!T190,NĐ!X190,NĐ!AB190,NĐ!AF190))=10)*(CHOOSE({1,2,3,4},NĐ!W190,NĐ!AA190,NĐ!AE190,NĐ!AI190)))</f>
        <v>0</v>
      </c>
      <c r="K190">
        <f>SUMPRODUCT((MONTH(CHOOSE({1,2,3,4},NĐ!T190,NĐ!X190,NĐ!AB190,NĐ!AF190))=11)*(CHOOSE({1,2,3,4},NĐ!W190,NĐ!AA190,NĐ!AE190,NĐ!AI190)))</f>
        <v>0</v>
      </c>
      <c r="L190">
        <f>SUMPRODUCT((MONTH(CHOOSE({1,2,3,4},NĐ!T190,NĐ!X190,NĐ!AB190,NĐ!AF190))=12)*(CHOOSE({1,2,3,4},NĐ!W190,NĐ!AA190,NĐ!AE190,NĐ!AI190)))</f>
        <v>0</v>
      </c>
    </row>
    <row r="191" spans="1:12">
      <c r="A191">
        <f>SUMPRODUCT((MONTH(CHOOSE({1,2,3,4},NĐ!T191,NĐ!X191,NĐ!AB191,NĐ!AF191))=1)*(CHOOSE({1,2,3,4},NĐ!W191,NĐ!AA191,NĐ!AE191,NĐ!AI191)))</f>
        <v>0</v>
      </c>
      <c r="B191">
        <f>SUMPRODUCT((MONTH(CHOOSE({1,2,3,4},NĐ!T191,NĐ!X191,NĐ!AB191,NĐ!AF191))=2)*(CHOOSE({1,2,3,4},NĐ!W191,NĐ!AA191,NĐ!AE191,NĐ!AI191)))</f>
        <v>0</v>
      </c>
      <c r="C191">
        <f>SUMPRODUCT((MONTH(CHOOSE({1,2,3,4},NĐ!T191,NĐ!X191,NĐ!AB191,NĐ!AF191))=3)*(CHOOSE({1,2,3,4},NĐ!W191,NĐ!AA191,NĐ!AE191,NĐ!AI191)))</f>
        <v>0</v>
      </c>
      <c r="D191">
        <f>SUMPRODUCT((MONTH(CHOOSE({1,2,3,4},NĐ!T191,NĐ!X191,NĐ!AB191,NĐ!AF191))=4)*(CHOOSE({1,2,3,4},NĐ!W191,NĐ!AA191,NĐ!AE191,NĐ!AI191)))</f>
        <v>0</v>
      </c>
      <c r="E191">
        <f>SUMPRODUCT((MONTH(CHOOSE({1,2,3,4},NĐ!T191,NĐ!X191,NĐ!AB191,NĐ!AF191))=5)*(CHOOSE({1,2,3,4},NĐ!W191,NĐ!AA191,NĐ!AE191,NĐ!AI191)))</f>
        <v>0</v>
      </c>
      <c r="F191">
        <f>SUMPRODUCT((MONTH(CHOOSE({1,2,3,4},NĐ!T191,NĐ!X191,NĐ!AB191,NĐ!AF191))=6)*(CHOOSE({1,2,3,4},NĐ!W191,NĐ!AA191,NĐ!AE191,NĐ!AI191)))</f>
        <v>0</v>
      </c>
      <c r="G191">
        <f>SUMPRODUCT((MONTH(CHOOSE({1,2,3,4},NĐ!T191,NĐ!X191,NĐ!AB191,NĐ!AF191))=7)*(CHOOSE({1,2,3,4},NĐ!W191,NĐ!AA191,NĐ!AE191,NĐ!AI191)))</f>
        <v>0</v>
      </c>
      <c r="H191">
        <f>SUMPRODUCT((MONTH(CHOOSE({1,2,3,4},NĐ!T191,NĐ!X191,NĐ!AB191,NĐ!AF191))=8)*(CHOOSE({1,2,3,4},NĐ!W191,NĐ!AA191,NĐ!AE191,NĐ!AI191)))</f>
        <v>0</v>
      </c>
      <c r="I191">
        <f>SUMPRODUCT((MONTH(CHOOSE({1,2,3,4},NĐ!T191,NĐ!X191,NĐ!AB191,NĐ!AF191))=9)*(CHOOSE({1,2,3,4},NĐ!W191,NĐ!AA191,NĐ!AE191,NĐ!AI191)))</f>
        <v>0</v>
      </c>
      <c r="J191">
        <f>SUMPRODUCT((MONTH(CHOOSE({1,2,3,4},NĐ!T191,NĐ!X191,NĐ!AB191,NĐ!AF191))=10)*(CHOOSE({1,2,3,4},NĐ!W191,NĐ!AA191,NĐ!AE191,NĐ!AI191)))</f>
        <v>0</v>
      </c>
      <c r="K191">
        <f>SUMPRODUCT((MONTH(CHOOSE({1,2,3,4},NĐ!T191,NĐ!X191,NĐ!AB191,NĐ!AF191))=11)*(CHOOSE({1,2,3,4},NĐ!W191,NĐ!AA191,NĐ!AE191,NĐ!AI191)))</f>
        <v>0</v>
      </c>
      <c r="L191">
        <f>SUMPRODUCT((MONTH(CHOOSE({1,2,3,4},NĐ!T191,NĐ!X191,NĐ!AB191,NĐ!AF191))=12)*(CHOOSE({1,2,3,4},NĐ!W191,NĐ!AA191,NĐ!AE191,NĐ!AI191)))</f>
        <v>0</v>
      </c>
    </row>
    <row r="192" spans="1:12">
      <c r="A192">
        <f>SUMPRODUCT((MONTH(CHOOSE({1,2,3,4},NĐ!T192,NĐ!X192,NĐ!AB192,NĐ!AF192))=1)*(CHOOSE({1,2,3,4},NĐ!W192,NĐ!AA192,NĐ!AE192,NĐ!AI192)))</f>
        <v>0</v>
      </c>
      <c r="B192">
        <f>SUMPRODUCT((MONTH(CHOOSE({1,2,3,4},NĐ!T192,NĐ!X192,NĐ!AB192,NĐ!AF192))=2)*(CHOOSE({1,2,3,4},NĐ!W192,NĐ!AA192,NĐ!AE192,NĐ!AI192)))</f>
        <v>0</v>
      </c>
      <c r="C192">
        <f>SUMPRODUCT((MONTH(CHOOSE({1,2,3,4},NĐ!T192,NĐ!X192,NĐ!AB192,NĐ!AF192))=3)*(CHOOSE({1,2,3,4},NĐ!W192,NĐ!AA192,NĐ!AE192,NĐ!AI192)))</f>
        <v>0</v>
      </c>
      <c r="D192">
        <f>SUMPRODUCT((MONTH(CHOOSE({1,2,3,4},NĐ!T192,NĐ!X192,NĐ!AB192,NĐ!AF192))=4)*(CHOOSE({1,2,3,4},NĐ!W192,NĐ!AA192,NĐ!AE192,NĐ!AI192)))</f>
        <v>0</v>
      </c>
      <c r="E192">
        <f>SUMPRODUCT((MONTH(CHOOSE({1,2,3,4},NĐ!T192,NĐ!X192,NĐ!AB192,NĐ!AF192))=5)*(CHOOSE({1,2,3,4},NĐ!W192,NĐ!AA192,NĐ!AE192,NĐ!AI192)))</f>
        <v>0</v>
      </c>
      <c r="F192">
        <f>SUMPRODUCT((MONTH(CHOOSE({1,2,3,4},NĐ!T192,NĐ!X192,NĐ!AB192,NĐ!AF192))=6)*(CHOOSE({1,2,3,4},NĐ!W192,NĐ!AA192,NĐ!AE192,NĐ!AI192)))</f>
        <v>0</v>
      </c>
      <c r="G192">
        <f>SUMPRODUCT((MONTH(CHOOSE({1,2,3,4},NĐ!T192,NĐ!X192,NĐ!AB192,NĐ!AF192))=7)*(CHOOSE({1,2,3,4},NĐ!W192,NĐ!AA192,NĐ!AE192,NĐ!AI192)))</f>
        <v>0</v>
      </c>
      <c r="H192">
        <f>SUMPRODUCT((MONTH(CHOOSE({1,2,3,4},NĐ!T192,NĐ!X192,NĐ!AB192,NĐ!AF192))=8)*(CHOOSE({1,2,3,4},NĐ!W192,NĐ!AA192,NĐ!AE192,NĐ!AI192)))</f>
        <v>0</v>
      </c>
      <c r="I192">
        <f>SUMPRODUCT((MONTH(CHOOSE({1,2,3,4},NĐ!T192,NĐ!X192,NĐ!AB192,NĐ!AF192))=9)*(CHOOSE({1,2,3,4},NĐ!W192,NĐ!AA192,NĐ!AE192,NĐ!AI192)))</f>
        <v>0</v>
      </c>
      <c r="J192">
        <f>SUMPRODUCT((MONTH(CHOOSE({1,2,3,4},NĐ!T192,NĐ!X192,NĐ!AB192,NĐ!AF192))=10)*(CHOOSE({1,2,3,4},NĐ!W192,NĐ!AA192,NĐ!AE192,NĐ!AI192)))</f>
        <v>0</v>
      </c>
      <c r="K192">
        <f>SUMPRODUCT((MONTH(CHOOSE({1,2,3,4},NĐ!T192,NĐ!X192,NĐ!AB192,NĐ!AF192))=11)*(CHOOSE({1,2,3,4},NĐ!W192,NĐ!AA192,NĐ!AE192,NĐ!AI192)))</f>
        <v>0</v>
      </c>
      <c r="L192">
        <f>SUMPRODUCT((MONTH(CHOOSE({1,2,3,4},NĐ!T192,NĐ!X192,NĐ!AB192,NĐ!AF192))=12)*(CHOOSE({1,2,3,4},NĐ!W192,NĐ!AA192,NĐ!AE192,NĐ!AI192)))</f>
        <v>0</v>
      </c>
    </row>
    <row r="193" spans="1:12">
      <c r="A193">
        <f>SUMPRODUCT((MONTH(CHOOSE({1,2,3,4},NĐ!T193,NĐ!X193,NĐ!AB193,NĐ!AF193))=1)*(CHOOSE({1,2,3,4},NĐ!W193,NĐ!AA193,NĐ!AE193,NĐ!AI193)))</f>
        <v>0</v>
      </c>
      <c r="B193">
        <f>SUMPRODUCT((MONTH(CHOOSE({1,2,3,4},NĐ!T193,NĐ!X193,NĐ!AB193,NĐ!AF193))=2)*(CHOOSE({1,2,3,4},NĐ!W193,NĐ!AA193,NĐ!AE193,NĐ!AI193)))</f>
        <v>0</v>
      </c>
      <c r="C193">
        <f>SUMPRODUCT((MONTH(CHOOSE({1,2,3,4},NĐ!T193,NĐ!X193,NĐ!AB193,NĐ!AF193))=3)*(CHOOSE({1,2,3,4},NĐ!W193,NĐ!AA193,NĐ!AE193,NĐ!AI193)))</f>
        <v>0</v>
      </c>
      <c r="D193">
        <f>SUMPRODUCT((MONTH(CHOOSE({1,2,3,4},NĐ!T193,NĐ!X193,NĐ!AB193,NĐ!AF193))=4)*(CHOOSE({1,2,3,4},NĐ!W193,NĐ!AA193,NĐ!AE193,NĐ!AI193)))</f>
        <v>0</v>
      </c>
      <c r="E193">
        <f>SUMPRODUCT((MONTH(CHOOSE({1,2,3,4},NĐ!T193,NĐ!X193,NĐ!AB193,NĐ!AF193))=5)*(CHOOSE({1,2,3,4},NĐ!W193,NĐ!AA193,NĐ!AE193,NĐ!AI193)))</f>
        <v>0</v>
      </c>
      <c r="F193">
        <f>SUMPRODUCT((MONTH(CHOOSE({1,2,3,4},NĐ!T193,NĐ!X193,NĐ!AB193,NĐ!AF193))=6)*(CHOOSE({1,2,3,4},NĐ!W193,NĐ!AA193,NĐ!AE193,NĐ!AI193)))</f>
        <v>0</v>
      </c>
      <c r="G193">
        <f>SUMPRODUCT((MONTH(CHOOSE({1,2,3,4},NĐ!T193,NĐ!X193,NĐ!AB193,NĐ!AF193))=7)*(CHOOSE({1,2,3,4},NĐ!W193,NĐ!AA193,NĐ!AE193,NĐ!AI193)))</f>
        <v>0</v>
      </c>
      <c r="H193">
        <f>SUMPRODUCT((MONTH(CHOOSE({1,2,3,4},NĐ!T193,NĐ!X193,NĐ!AB193,NĐ!AF193))=8)*(CHOOSE({1,2,3,4},NĐ!W193,NĐ!AA193,NĐ!AE193,NĐ!AI193)))</f>
        <v>0</v>
      </c>
      <c r="I193">
        <f>SUMPRODUCT((MONTH(CHOOSE({1,2,3,4},NĐ!T193,NĐ!X193,NĐ!AB193,NĐ!AF193))=9)*(CHOOSE({1,2,3,4},NĐ!W193,NĐ!AA193,NĐ!AE193,NĐ!AI193)))</f>
        <v>0</v>
      </c>
      <c r="J193">
        <f>SUMPRODUCT((MONTH(CHOOSE({1,2,3,4},NĐ!T193,NĐ!X193,NĐ!AB193,NĐ!AF193))=10)*(CHOOSE({1,2,3,4},NĐ!W193,NĐ!AA193,NĐ!AE193,NĐ!AI193)))</f>
        <v>0</v>
      </c>
      <c r="K193">
        <f>SUMPRODUCT((MONTH(CHOOSE({1,2,3,4},NĐ!T193,NĐ!X193,NĐ!AB193,NĐ!AF193))=11)*(CHOOSE({1,2,3,4},NĐ!W193,NĐ!AA193,NĐ!AE193,NĐ!AI193)))</f>
        <v>0</v>
      </c>
      <c r="L193">
        <f>SUMPRODUCT((MONTH(CHOOSE({1,2,3,4},NĐ!T193,NĐ!X193,NĐ!AB193,NĐ!AF193))=12)*(CHOOSE({1,2,3,4},NĐ!W193,NĐ!AA193,NĐ!AE193,NĐ!AI193)))</f>
        <v>0</v>
      </c>
    </row>
    <row r="194" spans="1:12">
      <c r="A194">
        <f>SUMPRODUCT((MONTH(CHOOSE({1,2,3,4},NĐ!T194,NĐ!X194,NĐ!AB194,NĐ!AF194))=1)*(CHOOSE({1,2,3,4},NĐ!W194,NĐ!AA194,NĐ!AE194,NĐ!AI194)))</f>
        <v>0</v>
      </c>
      <c r="B194">
        <f>SUMPRODUCT((MONTH(CHOOSE({1,2,3,4},NĐ!T194,NĐ!X194,NĐ!AB194,NĐ!AF194))=2)*(CHOOSE({1,2,3,4},NĐ!W194,NĐ!AA194,NĐ!AE194,NĐ!AI194)))</f>
        <v>0</v>
      </c>
      <c r="C194">
        <f>SUMPRODUCT((MONTH(CHOOSE({1,2,3,4},NĐ!T194,NĐ!X194,NĐ!AB194,NĐ!AF194))=3)*(CHOOSE({1,2,3,4},NĐ!W194,NĐ!AA194,NĐ!AE194,NĐ!AI194)))</f>
        <v>0</v>
      </c>
      <c r="D194">
        <f>SUMPRODUCT((MONTH(CHOOSE({1,2,3,4},NĐ!T194,NĐ!X194,NĐ!AB194,NĐ!AF194))=4)*(CHOOSE({1,2,3,4},NĐ!W194,NĐ!AA194,NĐ!AE194,NĐ!AI194)))</f>
        <v>0</v>
      </c>
      <c r="E194">
        <f>SUMPRODUCT((MONTH(CHOOSE({1,2,3,4},NĐ!T194,NĐ!X194,NĐ!AB194,NĐ!AF194))=5)*(CHOOSE({1,2,3,4},NĐ!W194,NĐ!AA194,NĐ!AE194,NĐ!AI194)))</f>
        <v>0</v>
      </c>
      <c r="F194">
        <f>SUMPRODUCT((MONTH(CHOOSE({1,2,3,4},NĐ!T194,NĐ!X194,NĐ!AB194,NĐ!AF194))=6)*(CHOOSE({1,2,3,4},NĐ!W194,NĐ!AA194,NĐ!AE194,NĐ!AI194)))</f>
        <v>0</v>
      </c>
      <c r="G194">
        <f>SUMPRODUCT((MONTH(CHOOSE({1,2,3,4},NĐ!T194,NĐ!X194,NĐ!AB194,NĐ!AF194))=7)*(CHOOSE({1,2,3,4},NĐ!W194,NĐ!AA194,NĐ!AE194,NĐ!AI194)))</f>
        <v>0</v>
      </c>
      <c r="H194">
        <f>SUMPRODUCT((MONTH(CHOOSE({1,2,3,4},NĐ!T194,NĐ!X194,NĐ!AB194,NĐ!AF194))=8)*(CHOOSE({1,2,3,4},NĐ!W194,NĐ!AA194,NĐ!AE194,NĐ!AI194)))</f>
        <v>0</v>
      </c>
      <c r="I194">
        <f>SUMPRODUCT((MONTH(CHOOSE({1,2,3,4},NĐ!T194,NĐ!X194,NĐ!AB194,NĐ!AF194))=9)*(CHOOSE({1,2,3,4},NĐ!W194,NĐ!AA194,NĐ!AE194,NĐ!AI194)))</f>
        <v>0</v>
      </c>
      <c r="J194">
        <f>SUMPRODUCT((MONTH(CHOOSE({1,2,3,4},NĐ!T194,NĐ!X194,NĐ!AB194,NĐ!AF194))=10)*(CHOOSE({1,2,3,4},NĐ!W194,NĐ!AA194,NĐ!AE194,NĐ!AI194)))</f>
        <v>0</v>
      </c>
      <c r="K194">
        <f>SUMPRODUCT((MONTH(CHOOSE({1,2,3,4},NĐ!T194,NĐ!X194,NĐ!AB194,NĐ!AF194))=11)*(CHOOSE({1,2,3,4},NĐ!W194,NĐ!AA194,NĐ!AE194,NĐ!AI194)))</f>
        <v>0</v>
      </c>
      <c r="L194">
        <f>SUMPRODUCT((MONTH(CHOOSE({1,2,3,4},NĐ!T194,NĐ!X194,NĐ!AB194,NĐ!AF194))=12)*(CHOOSE({1,2,3,4},NĐ!W194,NĐ!AA194,NĐ!AE194,NĐ!AI194)))</f>
        <v>0</v>
      </c>
    </row>
    <row r="195" spans="1:12">
      <c r="A195">
        <f>SUMPRODUCT((MONTH(CHOOSE({1,2,3,4},NĐ!T195,NĐ!X195,NĐ!AB195,NĐ!AF195))=1)*(CHOOSE({1,2,3,4},NĐ!W195,NĐ!AA195,NĐ!AE195,NĐ!AI195)))</f>
        <v>0</v>
      </c>
      <c r="B195">
        <f>SUMPRODUCT((MONTH(CHOOSE({1,2,3,4},NĐ!T195,NĐ!X195,NĐ!AB195,NĐ!AF195))=2)*(CHOOSE({1,2,3,4},NĐ!W195,NĐ!AA195,NĐ!AE195,NĐ!AI195)))</f>
        <v>0</v>
      </c>
      <c r="C195">
        <f>SUMPRODUCT((MONTH(CHOOSE({1,2,3,4},NĐ!T195,NĐ!X195,NĐ!AB195,NĐ!AF195))=3)*(CHOOSE({1,2,3,4},NĐ!W195,NĐ!AA195,NĐ!AE195,NĐ!AI195)))</f>
        <v>0</v>
      </c>
      <c r="D195">
        <f>SUMPRODUCT((MONTH(CHOOSE({1,2,3,4},NĐ!T195,NĐ!X195,NĐ!AB195,NĐ!AF195))=4)*(CHOOSE({1,2,3,4},NĐ!W195,NĐ!AA195,NĐ!AE195,NĐ!AI195)))</f>
        <v>0</v>
      </c>
      <c r="E195">
        <f>SUMPRODUCT((MONTH(CHOOSE({1,2,3,4},NĐ!T195,NĐ!X195,NĐ!AB195,NĐ!AF195))=5)*(CHOOSE({1,2,3,4},NĐ!W195,NĐ!AA195,NĐ!AE195,NĐ!AI195)))</f>
        <v>0</v>
      </c>
      <c r="F195">
        <f>SUMPRODUCT((MONTH(CHOOSE({1,2,3,4},NĐ!T195,NĐ!X195,NĐ!AB195,NĐ!AF195))=6)*(CHOOSE({1,2,3,4},NĐ!W195,NĐ!AA195,NĐ!AE195,NĐ!AI195)))</f>
        <v>0</v>
      </c>
      <c r="G195">
        <f>SUMPRODUCT((MONTH(CHOOSE({1,2,3,4},NĐ!T195,NĐ!X195,NĐ!AB195,NĐ!AF195))=7)*(CHOOSE({1,2,3,4},NĐ!W195,NĐ!AA195,NĐ!AE195,NĐ!AI195)))</f>
        <v>0</v>
      </c>
      <c r="H195">
        <f>SUMPRODUCT((MONTH(CHOOSE({1,2,3,4},NĐ!T195,NĐ!X195,NĐ!AB195,NĐ!AF195))=8)*(CHOOSE({1,2,3,4},NĐ!W195,NĐ!AA195,NĐ!AE195,NĐ!AI195)))</f>
        <v>0</v>
      </c>
      <c r="I195">
        <f>SUMPRODUCT((MONTH(CHOOSE({1,2,3,4},NĐ!T195,NĐ!X195,NĐ!AB195,NĐ!AF195))=9)*(CHOOSE({1,2,3,4},NĐ!W195,NĐ!AA195,NĐ!AE195,NĐ!AI195)))</f>
        <v>0</v>
      </c>
      <c r="J195">
        <f>SUMPRODUCT((MONTH(CHOOSE({1,2,3,4},NĐ!T195,NĐ!X195,NĐ!AB195,NĐ!AF195))=10)*(CHOOSE({1,2,3,4},NĐ!W195,NĐ!AA195,NĐ!AE195,NĐ!AI195)))</f>
        <v>0</v>
      </c>
      <c r="K195">
        <f>SUMPRODUCT((MONTH(CHOOSE({1,2,3,4},NĐ!T195,NĐ!X195,NĐ!AB195,NĐ!AF195))=11)*(CHOOSE({1,2,3,4},NĐ!W195,NĐ!AA195,NĐ!AE195,NĐ!AI195)))</f>
        <v>0</v>
      </c>
      <c r="L195">
        <f>SUMPRODUCT((MONTH(CHOOSE({1,2,3,4},NĐ!T195,NĐ!X195,NĐ!AB195,NĐ!AF195))=12)*(CHOOSE({1,2,3,4},NĐ!W195,NĐ!AA195,NĐ!AE195,NĐ!AI195)))</f>
        <v>0</v>
      </c>
    </row>
    <row r="196" spans="1:12">
      <c r="A196">
        <f>SUMPRODUCT((MONTH(CHOOSE({1,2,3,4},NĐ!T196,NĐ!X196,NĐ!AB196,NĐ!AF196))=1)*(CHOOSE({1,2,3,4},NĐ!W196,NĐ!AA196,NĐ!AE196,NĐ!AI196)))</f>
        <v>0</v>
      </c>
      <c r="B196">
        <f>SUMPRODUCT((MONTH(CHOOSE({1,2,3,4},NĐ!T196,NĐ!X196,NĐ!AB196,NĐ!AF196))=2)*(CHOOSE({1,2,3,4},NĐ!W196,NĐ!AA196,NĐ!AE196,NĐ!AI196)))</f>
        <v>0</v>
      </c>
      <c r="C196">
        <f>SUMPRODUCT((MONTH(CHOOSE({1,2,3,4},NĐ!T196,NĐ!X196,NĐ!AB196,NĐ!AF196))=3)*(CHOOSE({1,2,3,4},NĐ!W196,NĐ!AA196,NĐ!AE196,NĐ!AI196)))</f>
        <v>0</v>
      </c>
      <c r="D196">
        <f>SUMPRODUCT((MONTH(CHOOSE({1,2,3,4},NĐ!T196,NĐ!X196,NĐ!AB196,NĐ!AF196))=4)*(CHOOSE({1,2,3,4},NĐ!W196,NĐ!AA196,NĐ!AE196,NĐ!AI196)))</f>
        <v>0</v>
      </c>
      <c r="E196">
        <f>SUMPRODUCT((MONTH(CHOOSE({1,2,3,4},NĐ!T196,NĐ!X196,NĐ!AB196,NĐ!AF196))=5)*(CHOOSE({1,2,3,4},NĐ!W196,NĐ!AA196,NĐ!AE196,NĐ!AI196)))</f>
        <v>0</v>
      </c>
      <c r="F196">
        <f>SUMPRODUCT((MONTH(CHOOSE({1,2,3,4},NĐ!T196,NĐ!X196,NĐ!AB196,NĐ!AF196))=6)*(CHOOSE({1,2,3,4},NĐ!W196,NĐ!AA196,NĐ!AE196,NĐ!AI196)))</f>
        <v>0</v>
      </c>
      <c r="G196">
        <f>SUMPRODUCT((MONTH(CHOOSE({1,2,3,4},NĐ!T196,NĐ!X196,NĐ!AB196,NĐ!AF196))=7)*(CHOOSE({1,2,3,4},NĐ!W196,NĐ!AA196,NĐ!AE196,NĐ!AI196)))</f>
        <v>0</v>
      </c>
      <c r="H196">
        <f>SUMPRODUCT((MONTH(CHOOSE({1,2,3,4},NĐ!T196,NĐ!X196,NĐ!AB196,NĐ!AF196))=8)*(CHOOSE({1,2,3,4},NĐ!W196,NĐ!AA196,NĐ!AE196,NĐ!AI196)))</f>
        <v>0</v>
      </c>
      <c r="I196">
        <f>SUMPRODUCT((MONTH(CHOOSE({1,2,3,4},NĐ!T196,NĐ!X196,NĐ!AB196,NĐ!AF196))=9)*(CHOOSE({1,2,3,4},NĐ!W196,NĐ!AA196,NĐ!AE196,NĐ!AI196)))</f>
        <v>0</v>
      </c>
      <c r="J196">
        <f>SUMPRODUCT((MONTH(CHOOSE({1,2,3,4},NĐ!T196,NĐ!X196,NĐ!AB196,NĐ!AF196))=10)*(CHOOSE({1,2,3,4},NĐ!W196,NĐ!AA196,NĐ!AE196,NĐ!AI196)))</f>
        <v>0</v>
      </c>
      <c r="K196">
        <f>SUMPRODUCT((MONTH(CHOOSE({1,2,3,4},NĐ!T196,NĐ!X196,NĐ!AB196,NĐ!AF196))=11)*(CHOOSE({1,2,3,4},NĐ!W196,NĐ!AA196,NĐ!AE196,NĐ!AI196)))</f>
        <v>0</v>
      </c>
      <c r="L196">
        <f>SUMPRODUCT((MONTH(CHOOSE({1,2,3,4},NĐ!T196,NĐ!X196,NĐ!AB196,NĐ!AF196))=12)*(CHOOSE({1,2,3,4},NĐ!W196,NĐ!AA196,NĐ!AE196,NĐ!AI196)))</f>
        <v>0</v>
      </c>
    </row>
    <row r="197" spans="1:12">
      <c r="A197">
        <f>SUMPRODUCT((MONTH(CHOOSE({1,2,3,4},NĐ!T197,NĐ!X197,NĐ!AB197,NĐ!AF197))=1)*(CHOOSE({1,2,3,4},NĐ!W197,NĐ!AA197,NĐ!AE197,NĐ!AI197)))</f>
        <v>0</v>
      </c>
      <c r="B197">
        <f>SUMPRODUCT((MONTH(CHOOSE({1,2,3,4},NĐ!T197,NĐ!X197,NĐ!AB197,NĐ!AF197))=2)*(CHOOSE({1,2,3,4},NĐ!W197,NĐ!AA197,NĐ!AE197,NĐ!AI197)))</f>
        <v>0</v>
      </c>
      <c r="C197">
        <f>SUMPRODUCT((MONTH(CHOOSE({1,2,3,4},NĐ!T197,NĐ!X197,NĐ!AB197,NĐ!AF197))=3)*(CHOOSE({1,2,3,4},NĐ!W197,NĐ!AA197,NĐ!AE197,NĐ!AI197)))</f>
        <v>0</v>
      </c>
      <c r="D197">
        <f>SUMPRODUCT((MONTH(CHOOSE({1,2,3,4},NĐ!T197,NĐ!X197,NĐ!AB197,NĐ!AF197))=4)*(CHOOSE({1,2,3,4},NĐ!W197,NĐ!AA197,NĐ!AE197,NĐ!AI197)))</f>
        <v>0</v>
      </c>
      <c r="E197">
        <f>SUMPRODUCT((MONTH(CHOOSE({1,2,3,4},NĐ!T197,NĐ!X197,NĐ!AB197,NĐ!AF197))=5)*(CHOOSE({1,2,3,4},NĐ!W197,NĐ!AA197,NĐ!AE197,NĐ!AI197)))</f>
        <v>0</v>
      </c>
      <c r="F197">
        <f>SUMPRODUCT((MONTH(CHOOSE({1,2,3,4},NĐ!T197,NĐ!X197,NĐ!AB197,NĐ!AF197))=6)*(CHOOSE({1,2,3,4},NĐ!W197,NĐ!AA197,NĐ!AE197,NĐ!AI197)))</f>
        <v>0</v>
      </c>
      <c r="G197">
        <f>SUMPRODUCT((MONTH(CHOOSE({1,2,3,4},NĐ!T197,NĐ!X197,NĐ!AB197,NĐ!AF197))=7)*(CHOOSE({1,2,3,4},NĐ!W197,NĐ!AA197,NĐ!AE197,NĐ!AI197)))</f>
        <v>0</v>
      </c>
      <c r="H197">
        <f>SUMPRODUCT((MONTH(CHOOSE({1,2,3,4},NĐ!T197,NĐ!X197,NĐ!AB197,NĐ!AF197))=8)*(CHOOSE({1,2,3,4},NĐ!W197,NĐ!AA197,NĐ!AE197,NĐ!AI197)))</f>
        <v>0</v>
      </c>
      <c r="I197">
        <f>SUMPRODUCT((MONTH(CHOOSE({1,2,3,4},NĐ!T197,NĐ!X197,NĐ!AB197,NĐ!AF197))=9)*(CHOOSE({1,2,3,4},NĐ!W197,NĐ!AA197,NĐ!AE197,NĐ!AI197)))</f>
        <v>0</v>
      </c>
      <c r="J197">
        <f>SUMPRODUCT((MONTH(CHOOSE({1,2,3,4},NĐ!T197,NĐ!X197,NĐ!AB197,NĐ!AF197))=10)*(CHOOSE({1,2,3,4},NĐ!W197,NĐ!AA197,NĐ!AE197,NĐ!AI197)))</f>
        <v>0</v>
      </c>
      <c r="K197">
        <f>SUMPRODUCT((MONTH(CHOOSE({1,2,3,4},NĐ!T197,NĐ!X197,NĐ!AB197,NĐ!AF197))=11)*(CHOOSE({1,2,3,4},NĐ!W197,NĐ!AA197,NĐ!AE197,NĐ!AI197)))</f>
        <v>0</v>
      </c>
      <c r="L197">
        <f>SUMPRODUCT((MONTH(CHOOSE({1,2,3,4},NĐ!T197,NĐ!X197,NĐ!AB197,NĐ!AF197))=12)*(CHOOSE({1,2,3,4},NĐ!W197,NĐ!AA197,NĐ!AE197,NĐ!AI197)))</f>
        <v>0</v>
      </c>
    </row>
    <row r="198" spans="1:12">
      <c r="A198">
        <f>SUMPRODUCT((MONTH(CHOOSE({1,2,3,4},NĐ!T198,NĐ!X198,NĐ!AB198,NĐ!AF198))=1)*(CHOOSE({1,2,3,4},NĐ!W198,NĐ!AA198,NĐ!AE198,NĐ!AI198)))</f>
        <v>0</v>
      </c>
      <c r="B198">
        <f>SUMPRODUCT((MONTH(CHOOSE({1,2,3,4},NĐ!T198,NĐ!X198,NĐ!AB198,NĐ!AF198))=2)*(CHOOSE({1,2,3,4},NĐ!W198,NĐ!AA198,NĐ!AE198,NĐ!AI198)))</f>
        <v>0</v>
      </c>
      <c r="C198">
        <f>SUMPRODUCT((MONTH(CHOOSE({1,2,3,4},NĐ!T198,NĐ!X198,NĐ!AB198,NĐ!AF198))=3)*(CHOOSE({1,2,3,4},NĐ!W198,NĐ!AA198,NĐ!AE198,NĐ!AI198)))</f>
        <v>0</v>
      </c>
      <c r="D198">
        <f>SUMPRODUCT((MONTH(CHOOSE({1,2,3,4},NĐ!T198,NĐ!X198,NĐ!AB198,NĐ!AF198))=4)*(CHOOSE({1,2,3,4},NĐ!W198,NĐ!AA198,NĐ!AE198,NĐ!AI198)))</f>
        <v>0</v>
      </c>
      <c r="E198">
        <f>SUMPRODUCT((MONTH(CHOOSE({1,2,3,4},NĐ!T198,NĐ!X198,NĐ!AB198,NĐ!AF198))=5)*(CHOOSE({1,2,3,4},NĐ!W198,NĐ!AA198,NĐ!AE198,NĐ!AI198)))</f>
        <v>0</v>
      </c>
      <c r="F198">
        <f>SUMPRODUCT((MONTH(CHOOSE({1,2,3,4},NĐ!T198,NĐ!X198,NĐ!AB198,NĐ!AF198))=6)*(CHOOSE({1,2,3,4},NĐ!W198,NĐ!AA198,NĐ!AE198,NĐ!AI198)))</f>
        <v>0</v>
      </c>
      <c r="G198">
        <f>SUMPRODUCT((MONTH(CHOOSE({1,2,3,4},NĐ!T198,NĐ!X198,NĐ!AB198,NĐ!AF198))=7)*(CHOOSE({1,2,3,4},NĐ!W198,NĐ!AA198,NĐ!AE198,NĐ!AI198)))</f>
        <v>0</v>
      </c>
      <c r="H198">
        <f>SUMPRODUCT((MONTH(CHOOSE({1,2,3,4},NĐ!T198,NĐ!X198,NĐ!AB198,NĐ!AF198))=8)*(CHOOSE({1,2,3,4},NĐ!W198,NĐ!AA198,NĐ!AE198,NĐ!AI198)))</f>
        <v>0</v>
      </c>
      <c r="I198">
        <f>SUMPRODUCT((MONTH(CHOOSE({1,2,3,4},NĐ!T198,NĐ!X198,NĐ!AB198,NĐ!AF198))=9)*(CHOOSE({1,2,3,4},NĐ!W198,NĐ!AA198,NĐ!AE198,NĐ!AI198)))</f>
        <v>0</v>
      </c>
      <c r="J198">
        <f>SUMPRODUCT((MONTH(CHOOSE({1,2,3,4},NĐ!T198,NĐ!X198,NĐ!AB198,NĐ!AF198))=10)*(CHOOSE({1,2,3,4},NĐ!W198,NĐ!AA198,NĐ!AE198,NĐ!AI198)))</f>
        <v>0</v>
      </c>
      <c r="K198">
        <f>SUMPRODUCT((MONTH(CHOOSE({1,2,3,4},NĐ!T198,NĐ!X198,NĐ!AB198,NĐ!AF198))=11)*(CHOOSE({1,2,3,4},NĐ!W198,NĐ!AA198,NĐ!AE198,NĐ!AI198)))</f>
        <v>0</v>
      </c>
      <c r="L198">
        <f>SUMPRODUCT((MONTH(CHOOSE({1,2,3,4},NĐ!T198,NĐ!X198,NĐ!AB198,NĐ!AF198))=12)*(CHOOSE({1,2,3,4},NĐ!W198,NĐ!AA198,NĐ!AE198,NĐ!AI198)))</f>
        <v>0</v>
      </c>
    </row>
    <row r="199" spans="1:12">
      <c r="A199">
        <f>SUMPRODUCT((MONTH(CHOOSE({1,2,3,4},NĐ!T199,NĐ!X199,NĐ!AB199,NĐ!AF199))=1)*(CHOOSE({1,2,3,4},NĐ!W199,NĐ!AA199,NĐ!AE199,NĐ!AI199)))</f>
        <v>0</v>
      </c>
      <c r="B199">
        <f>SUMPRODUCT((MONTH(CHOOSE({1,2,3,4},NĐ!T199,NĐ!X199,NĐ!AB199,NĐ!AF199))=2)*(CHOOSE({1,2,3,4},NĐ!W199,NĐ!AA199,NĐ!AE199,NĐ!AI199)))</f>
        <v>0</v>
      </c>
      <c r="C199">
        <f>SUMPRODUCT((MONTH(CHOOSE({1,2,3,4},NĐ!T199,NĐ!X199,NĐ!AB199,NĐ!AF199))=3)*(CHOOSE({1,2,3,4},NĐ!W199,NĐ!AA199,NĐ!AE199,NĐ!AI199)))</f>
        <v>0</v>
      </c>
      <c r="D199">
        <f>SUMPRODUCT((MONTH(CHOOSE({1,2,3,4},NĐ!T199,NĐ!X199,NĐ!AB199,NĐ!AF199))=4)*(CHOOSE({1,2,3,4},NĐ!W199,NĐ!AA199,NĐ!AE199,NĐ!AI199)))</f>
        <v>0</v>
      </c>
      <c r="E199">
        <f>SUMPRODUCT((MONTH(CHOOSE({1,2,3,4},NĐ!T199,NĐ!X199,NĐ!AB199,NĐ!AF199))=5)*(CHOOSE({1,2,3,4},NĐ!W199,NĐ!AA199,NĐ!AE199,NĐ!AI199)))</f>
        <v>0</v>
      </c>
      <c r="F199">
        <f>SUMPRODUCT((MONTH(CHOOSE({1,2,3,4},NĐ!T199,NĐ!X199,NĐ!AB199,NĐ!AF199))=6)*(CHOOSE({1,2,3,4},NĐ!W199,NĐ!AA199,NĐ!AE199,NĐ!AI199)))</f>
        <v>0</v>
      </c>
      <c r="G199">
        <f>SUMPRODUCT((MONTH(CHOOSE({1,2,3,4},NĐ!T199,NĐ!X199,NĐ!AB199,NĐ!AF199))=7)*(CHOOSE({1,2,3,4},NĐ!W199,NĐ!AA199,NĐ!AE199,NĐ!AI199)))</f>
        <v>0</v>
      </c>
      <c r="H199">
        <f>SUMPRODUCT((MONTH(CHOOSE({1,2,3,4},NĐ!T199,NĐ!X199,NĐ!AB199,NĐ!AF199))=8)*(CHOOSE({1,2,3,4},NĐ!W199,NĐ!AA199,NĐ!AE199,NĐ!AI199)))</f>
        <v>0</v>
      </c>
      <c r="I199">
        <f>SUMPRODUCT((MONTH(CHOOSE({1,2,3,4},NĐ!T199,NĐ!X199,NĐ!AB199,NĐ!AF199))=9)*(CHOOSE({1,2,3,4},NĐ!W199,NĐ!AA199,NĐ!AE199,NĐ!AI199)))</f>
        <v>0</v>
      </c>
      <c r="J199">
        <f>SUMPRODUCT((MONTH(CHOOSE({1,2,3,4},NĐ!T199,NĐ!X199,NĐ!AB199,NĐ!AF199))=10)*(CHOOSE({1,2,3,4},NĐ!W199,NĐ!AA199,NĐ!AE199,NĐ!AI199)))</f>
        <v>0</v>
      </c>
      <c r="K199">
        <f>SUMPRODUCT((MONTH(CHOOSE({1,2,3,4},NĐ!T199,NĐ!X199,NĐ!AB199,NĐ!AF199))=11)*(CHOOSE({1,2,3,4},NĐ!W199,NĐ!AA199,NĐ!AE199,NĐ!AI199)))</f>
        <v>0</v>
      </c>
      <c r="L199">
        <f>SUMPRODUCT((MONTH(CHOOSE({1,2,3,4},NĐ!T199,NĐ!X199,NĐ!AB199,NĐ!AF199))=12)*(CHOOSE({1,2,3,4},NĐ!W199,NĐ!AA199,NĐ!AE199,NĐ!AI199)))</f>
        <v>0</v>
      </c>
    </row>
    <row r="200" spans="1:12">
      <c r="A200">
        <f>SUMPRODUCT((MONTH(CHOOSE({1,2,3,4},NĐ!T200,NĐ!X200,NĐ!AB200,NĐ!AF200))=1)*(CHOOSE({1,2,3,4},NĐ!W200,NĐ!AA200,NĐ!AE200,NĐ!AI200)))</f>
        <v>0</v>
      </c>
      <c r="B200">
        <f>SUMPRODUCT((MONTH(CHOOSE({1,2,3,4},NĐ!T200,NĐ!X200,NĐ!AB200,NĐ!AF200))=2)*(CHOOSE({1,2,3,4},NĐ!W200,NĐ!AA200,NĐ!AE200,NĐ!AI200)))</f>
        <v>0</v>
      </c>
      <c r="C200">
        <f>SUMPRODUCT((MONTH(CHOOSE({1,2,3,4},NĐ!T200,NĐ!X200,NĐ!AB200,NĐ!AF200))=3)*(CHOOSE({1,2,3,4},NĐ!W200,NĐ!AA200,NĐ!AE200,NĐ!AI200)))</f>
        <v>0</v>
      </c>
      <c r="D200">
        <f>SUMPRODUCT((MONTH(CHOOSE({1,2,3,4},NĐ!T200,NĐ!X200,NĐ!AB200,NĐ!AF200))=4)*(CHOOSE({1,2,3,4},NĐ!W200,NĐ!AA200,NĐ!AE200,NĐ!AI200)))</f>
        <v>0</v>
      </c>
      <c r="E200">
        <f>SUMPRODUCT((MONTH(CHOOSE({1,2,3,4},NĐ!T200,NĐ!X200,NĐ!AB200,NĐ!AF200))=5)*(CHOOSE({1,2,3,4},NĐ!W200,NĐ!AA200,NĐ!AE200,NĐ!AI200)))</f>
        <v>0</v>
      </c>
      <c r="F200">
        <f>SUMPRODUCT((MONTH(CHOOSE({1,2,3,4},NĐ!T200,NĐ!X200,NĐ!AB200,NĐ!AF200))=6)*(CHOOSE({1,2,3,4},NĐ!W200,NĐ!AA200,NĐ!AE200,NĐ!AI200)))</f>
        <v>0</v>
      </c>
      <c r="G200">
        <f>SUMPRODUCT((MONTH(CHOOSE({1,2,3,4},NĐ!T200,NĐ!X200,NĐ!AB200,NĐ!AF200))=7)*(CHOOSE({1,2,3,4},NĐ!W200,NĐ!AA200,NĐ!AE200,NĐ!AI200)))</f>
        <v>0</v>
      </c>
      <c r="H200">
        <f>SUMPRODUCT((MONTH(CHOOSE({1,2,3,4},NĐ!T200,NĐ!X200,NĐ!AB200,NĐ!AF200))=8)*(CHOOSE({1,2,3,4},NĐ!W200,NĐ!AA200,NĐ!AE200,NĐ!AI200)))</f>
        <v>0</v>
      </c>
      <c r="I200">
        <f>SUMPRODUCT((MONTH(CHOOSE({1,2,3,4},NĐ!T200,NĐ!X200,NĐ!AB200,NĐ!AF200))=9)*(CHOOSE({1,2,3,4},NĐ!W200,NĐ!AA200,NĐ!AE200,NĐ!AI200)))</f>
        <v>0</v>
      </c>
      <c r="J200">
        <f>SUMPRODUCT((MONTH(CHOOSE({1,2,3,4},NĐ!T200,NĐ!X200,NĐ!AB200,NĐ!AF200))=10)*(CHOOSE({1,2,3,4},NĐ!W200,NĐ!AA200,NĐ!AE200,NĐ!AI200)))</f>
        <v>0</v>
      </c>
      <c r="K200">
        <f>SUMPRODUCT((MONTH(CHOOSE({1,2,3,4},NĐ!T200,NĐ!X200,NĐ!AB200,NĐ!AF200))=11)*(CHOOSE({1,2,3,4},NĐ!W200,NĐ!AA200,NĐ!AE200,NĐ!AI200)))</f>
        <v>0</v>
      </c>
      <c r="L200">
        <f>SUMPRODUCT((MONTH(CHOOSE({1,2,3,4},NĐ!T200,NĐ!X200,NĐ!AB200,NĐ!AF200))=12)*(CHOOSE({1,2,3,4},NĐ!W200,NĐ!AA200,NĐ!AE200,NĐ!AI200)))</f>
        <v>0</v>
      </c>
    </row>
    <row r="201" spans="1:12">
      <c r="A201">
        <f>SUMPRODUCT((MONTH(CHOOSE({1,2,3,4},NĐ!T201,NĐ!X201,NĐ!AB201,NĐ!AF201))=1)*(CHOOSE({1,2,3,4},NĐ!W201,NĐ!AA201,NĐ!AE201,NĐ!AI201)))</f>
        <v>0</v>
      </c>
      <c r="B201">
        <f>SUMPRODUCT((MONTH(CHOOSE({1,2,3,4},NĐ!T201,NĐ!X201,NĐ!AB201,NĐ!AF201))=2)*(CHOOSE({1,2,3,4},NĐ!W201,NĐ!AA201,NĐ!AE201,NĐ!AI201)))</f>
        <v>0</v>
      </c>
      <c r="C201">
        <f>SUMPRODUCT((MONTH(CHOOSE({1,2,3,4},NĐ!T201,NĐ!X201,NĐ!AB201,NĐ!AF201))=3)*(CHOOSE({1,2,3,4},NĐ!W201,NĐ!AA201,NĐ!AE201,NĐ!AI201)))</f>
        <v>0</v>
      </c>
      <c r="D201">
        <f>SUMPRODUCT((MONTH(CHOOSE({1,2,3,4},NĐ!T201,NĐ!X201,NĐ!AB201,NĐ!AF201))=4)*(CHOOSE({1,2,3,4},NĐ!W201,NĐ!AA201,NĐ!AE201,NĐ!AI201)))</f>
        <v>0</v>
      </c>
      <c r="E201">
        <f>SUMPRODUCT((MONTH(CHOOSE({1,2,3,4},NĐ!T201,NĐ!X201,NĐ!AB201,NĐ!AF201))=5)*(CHOOSE({1,2,3,4},NĐ!W201,NĐ!AA201,NĐ!AE201,NĐ!AI201)))</f>
        <v>0</v>
      </c>
      <c r="F201">
        <f>SUMPRODUCT((MONTH(CHOOSE({1,2,3,4},NĐ!T201,NĐ!X201,NĐ!AB201,NĐ!AF201))=6)*(CHOOSE({1,2,3,4},NĐ!W201,NĐ!AA201,NĐ!AE201,NĐ!AI201)))</f>
        <v>0</v>
      </c>
      <c r="G201">
        <f>SUMPRODUCT((MONTH(CHOOSE({1,2,3,4},NĐ!T201,NĐ!X201,NĐ!AB201,NĐ!AF201))=7)*(CHOOSE({1,2,3,4},NĐ!W201,NĐ!AA201,NĐ!AE201,NĐ!AI201)))</f>
        <v>0</v>
      </c>
      <c r="H201">
        <f>SUMPRODUCT((MONTH(CHOOSE({1,2,3,4},NĐ!T201,NĐ!X201,NĐ!AB201,NĐ!AF201))=8)*(CHOOSE({1,2,3,4},NĐ!W201,NĐ!AA201,NĐ!AE201,NĐ!AI201)))</f>
        <v>0</v>
      </c>
      <c r="I201">
        <f>SUMPRODUCT((MONTH(CHOOSE({1,2,3,4},NĐ!T201,NĐ!X201,NĐ!AB201,NĐ!AF201))=9)*(CHOOSE({1,2,3,4},NĐ!W201,NĐ!AA201,NĐ!AE201,NĐ!AI201)))</f>
        <v>0</v>
      </c>
      <c r="J201">
        <f>SUMPRODUCT((MONTH(CHOOSE({1,2,3,4},NĐ!T201,NĐ!X201,NĐ!AB201,NĐ!AF201))=10)*(CHOOSE({1,2,3,4},NĐ!W201,NĐ!AA201,NĐ!AE201,NĐ!AI201)))</f>
        <v>0</v>
      </c>
      <c r="K201">
        <f>SUMPRODUCT((MONTH(CHOOSE({1,2,3,4},NĐ!T201,NĐ!X201,NĐ!AB201,NĐ!AF201))=11)*(CHOOSE({1,2,3,4},NĐ!W201,NĐ!AA201,NĐ!AE201,NĐ!AI201)))</f>
        <v>0</v>
      </c>
      <c r="L201">
        <f>SUMPRODUCT((MONTH(CHOOSE({1,2,3,4},NĐ!T201,NĐ!X201,NĐ!AB201,NĐ!AF201))=12)*(CHOOSE({1,2,3,4},NĐ!W201,NĐ!AA201,NĐ!AE201,NĐ!AI201)))</f>
        <v>0</v>
      </c>
    </row>
    <row r="202" spans="1:12">
      <c r="A202">
        <f>SUMPRODUCT((MONTH(CHOOSE({1,2,3,4},NĐ!T202,NĐ!X202,NĐ!AB202,NĐ!AF202))=1)*(CHOOSE({1,2,3,4},NĐ!W202,NĐ!AA202,NĐ!AE202,NĐ!AI202)))</f>
        <v>0</v>
      </c>
      <c r="B202">
        <f>SUMPRODUCT((MONTH(CHOOSE({1,2,3,4},NĐ!T202,NĐ!X202,NĐ!AB202,NĐ!AF202))=2)*(CHOOSE({1,2,3,4},NĐ!W202,NĐ!AA202,NĐ!AE202,NĐ!AI202)))</f>
        <v>0</v>
      </c>
      <c r="C202">
        <f>SUMPRODUCT((MONTH(CHOOSE({1,2,3,4},NĐ!T202,NĐ!X202,NĐ!AB202,NĐ!AF202))=3)*(CHOOSE({1,2,3,4},NĐ!W202,NĐ!AA202,NĐ!AE202,NĐ!AI202)))</f>
        <v>0</v>
      </c>
      <c r="D202">
        <f>SUMPRODUCT((MONTH(CHOOSE({1,2,3,4},NĐ!T202,NĐ!X202,NĐ!AB202,NĐ!AF202))=4)*(CHOOSE({1,2,3,4},NĐ!W202,NĐ!AA202,NĐ!AE202,NĐ!AI202)))</f>
        <v>0</v>
      </c>
      <c r="E202">
        <f>SUMPRODUCT((MONTH(CHOOSE({1,2,3,4},NĐ!T202,NĐ!X202,NĐ!AB202,NĐ!AF202))=5)*(CHOOSE({1,2,3,4},NĐ!W202,NĐ!AA202,NĐ!AE202,NĐ!AI202)))</f>
        <v>0</v>
      </c>
      <c r="F202">
        <f>SUMPRODUCT((MONTH(CHOOSE({1,2,3,4},NĐ!T202,NĐ!X202,NĐ!AB202,NĐ!AF202))=6)*(CHOOSE({1,2,3,4},NĐ!W202,NĐ!AA202,NĐ!AE202,NĐ!AI202)))</f>
        <v>0</v>
      </c>
      <c r="G202">
        <f>SUMPRODUCT((MONTH(CHOOSE({1,2,3,4},NĐ!T202,NĐ!X202,NĐ!AB202,NĐ!AF202))=7)*(CHOOSE({1,2,3,4},NĐ!W202,NĐ!AA202,NĐ!AE202,NĐ!AI202)))</f>
        <v>0</v>
      </c>
      <c r="H202">
        <f>SUMPRODUCT((MONTH(CHOOSE({1,2,3,4},NĐ!T202,NĐ!X202,NĐ!AB202,NĐ!AF202))=8)*(CHOOSE({1,2,3,4},NĐ!W202,NĐ!AA202,NĐ!AE202,NĐ!AI202)))</f>
        <v>0</v>
      </c>
      <c r="I202">
        <f>SUMPRODUCT((MONTH(CHOOSE({1,2,3,4},NĐ!T202,NĐ!X202,NĐ!AB202,NĐ!AF202))=9)*(CHOOSE({1,2,3,4},NĐ!W202,NĐ!AA202,NĐ!AE202,NĐ!AI202)))</f>
        <v>0</v>
      </c>
      <c r="J202">
        <f>SUMPRODUCT((MONTH(CHOOSE({1,2,3,4},NĐ!T202,NĐ!X202,NĐ!AB202,NĐ!AF202))=10)*(CHOOSE({1,2,3,4},NĐ!W202,NĐ!AA202,NĐ!AE202,NĐ!AI202)))</f>
        <v>0</v>
      </c>
      <c r="K202">
        <f>SUMPRODUCT((MONTH(CHOOSE({1,2,3,4},NĐ!T202,NĐ!X202,NĐ!AB202,NĐ!AF202))=11)*(CHOOSE({1,2,3,4},NĐ!W202,NĐ!AA202,NĐ!AE202,NĐ!AI202)))</f>
        <v>0</v>
      </c>
      <c r="L202">
        <f>SUMPRODUCT((MONTH(CHOOSE({1,2,3,4},NĐ!T202,NĐ!X202,NĐ!AB202,NĐ!AF202))=12)*(CHOOSE({1,2,3,4},NĐ!W202,NĐ!AA202,NĐ!AE202,NĐ!AI202)))</f>
        <v>0</v>
      </c>
    </row>
    <row r="203" spans="1:12">
      <c r="A203">
        <f>SUMPRODUCT((MONTH(CHOOSE({1,2,3,4},NĐ!T203,NĐ!X203,NĐ!AB203,NĐ!AF203))=1)*(CHOOSE({1,2,3,4},NĐ!W203,NĐ!AA203,NĐ!AE203,NĐ!AI203)))</f>
        <v>0</v>
      </c>
      <c r="B203">
        <f>SUMPRODUCT((MONTH(CHOOSE({1,2,3,4},NĐ!T203,NĐ!X203,NĐ!AB203,NĐ!AF203))=2)*(CHOOSE({1,2,3,4},NĐ!W203,NĐ!AA203,NĐ!AE203,NĐ!AI203)))</f>
        <v>0</v>
      </c>
      <c r="C203">
        <f>SUMPRODUCT((MONTH(CHOOSE({1,2,3,4},NĐ!T203,NĐ!X203,NĐ!AB203,NĐ!AF203))=3)*(CHOOSE({1,2,3,4},NĐ!W203,NĐ!AA203,NĐ!AE203,NĐ!AI203)))</f>
        <v>0</v>
      </c>
      <c r="D203">
        <f>SUMPRODUCT((MONTH(CHOOSE({1,2,3,4},NĐ!T203,NĐ!X203,NĐ!AB203,NĐ!AF203))=4)*(CHOOSE({1,2,3,4},NĐ!W203,NĐ!AA203,NĐ!AE203,NĐ!AI203)))</f>
        <v>0</v>
      </c>
      <c r="E203">
        <f>SUMPRODUCT((MONTH(CHOOSE({1,2,3,4},NĐ!T203,NĐ!X203,NĐ!AB203,NĐ!AF203))=5)*(CHOOSE({1,2,3,4},NĐ!W203,NĐ!AA203,NĐ!AE203,NĐ!AI203)))</f>
        <v>0</v>
      </c>
      <c r="F203">
        <f>SUMPRODUCT((MONTH(CHOOSE({1,2,3,4},NĐ!T203,NĐ!X203,NĐ!AB203,NĐ!AF203))=6)*(CHOOSE({1,2,3,4},NĐ!W203,NĐ!AA203,NĐ!AE203,NĐ!AI203)))</f>
        <v>0</v>
      </c>
      <c r="G203">
        <f>SUMPRODUCT((MONTH(CHOOSE({1,2,3,4},NĐ!T203,NĐ!X203,NĐ!AB203,NĐ!AF203))=7)*(CHOOSE({1,2,3,4},NĐ!W203,NĐ!AA203,NĐ!AE203,NĐ!AI203)))</f>
        <v>0</v>
      </c>
      <c r="H203">
        <f>SUMPRODUCT((MONTH(CHOOSE({1,2,3,4},NĐ!T203,NĐ!X203,NĐ!AB203,NĐ!AF203))=8)*(CHOOSE({1,2,3,4},NĐ!W203,NĐ!AA203,NĐ!AE203,NĐ!AI203)))</f>
        <v>0</v>
      </c>
      <c r="I203">
        <f>SUMPRODUCT((MONTH(CHOOSE({1,2,3,4},NĐ!T203,NĐ!X203,NĐ!AB203,NĐ!AF203))=9)*(CHOOSE({1,2,3,4},NĐ!W203,NĐ!AA203,NĐ!AE203,NĐ!AI203)))</f>
        <v>0</v>
      </c>
      <c r="J203">
        <f>SUMPRODUCT((MONTH(CHOOSE({1,2,3,4},NĐ!T203,NĐ!X203,NĐ!AB203,NĐ!AF203))=10)*(CHOOSE({1,2,3,4},NĐ!W203,NĐ!AA203,NĐ!AE203,NĐ!AI203)))</f>
        <v>0</v>
      </c>
      <c r="K203">
        <f>SUMPRODUCT((MONTH(CHOOSE({1,2,3,4},NĐ!T203,NĐ!X203,NĐ!AB203,NĐ!AF203))=11)*(CHOOSE({1,2,3,4},NĐ!W203,NĐ!AA203,NĐ!AE203,NĐ!AI203)))</f>
        <v>0</v>
      </c>
      <c r="L203">
        <f>SUMPRODUCT((MONTH(CHOOSE({1,2,3,4},NĐ!T203,NĐ!X203,NĐ!AB203,NĐ!AF203))=12)*(CHOOSE({1,2,3,4},NĐ!W203,NĐ!AA203,NĐ!AE203,NĐ!AI203)))</f>
        <v>0</v>
      </c>
    </row>
    <row r="204" spans="1:12">
      <c r="A204">
        <f>SUMPRODUCT((MONTH(CHOOSE({1,2,3,4},NĐ!T204,NĐ!X204,NĐ!AB204,NĐ!AF204))=1)*(CHOOSE({1,2,3,4},NĐ!W204,NĐ!AA204,NĐ!AE204,NĐ!AI204)))</f>
        <v>0</v>
      </c>
      <c r="B204">
        <f>SUMPRODUCT((MONTH(CHOOSE({1,2,3,4},NĐ!T204,NĐ!X204,NĐ!AB204,NĐ!AF204))=2)*(CHOOSE({1,2,3,4},NĐ!W204,NĐ!AA204,NĐ!AE204,NĐ!AI204)))</f>
        <v>0</v>
      </c>
      <c r="C204">
        <f>SUMPRODUCT((MONTH(CHOOSE({1,2,3,4},NĐ!T204,NĐ!X204,NĐ!AB204,NĐ!AF204))=3)*(CHOOSE({1,2,3,4},NĐ!W204,NĐ!AA204,NĐ!AE204,NĐ!AI204)))</f>
        <v>0</v>
      </c>
      <c r="D204">
        <f>SUMPRODUCT((MONTH(CHOOSE({1,2,3,4},NĐ!T204,NĐ!X204,NĐ!AB204,NĐ!AF204))=4)*(CHOOSE({1,2,3,4},NĐ!W204,NĐ!AA204,NĐ!AE204,NĐ!AI204)))</f>
        <v>0</v>
      </c>
      <c r="E204">
        <f>SUMPRODUCT((MONTH(CHOOSE({1,2,3,4},NĐ!T204,NĐ!X204,NĐ!AB204,NĐ!AF204))=5)*(CHOOSE({1,2,3,4},NĐ!W204,NĐ!AA204,NĐ!AE204,NĐ!AI204)))</f>
        <v>0</v>
      </c>
      <c r="F204">
        <f>SUMPRODUCT((MONTH(CHOOSE({1,2,3,4},NĐ!T204,NĐ!X204,NĐ!AB204,NĐ!AF204))=6)*(CHOOSE({1,2,3,4},NĐ!W204,NĐ!AA204,NĐ!AE204,NĐ!AI204)))</f>
        <v>0</v>
      </c>
      <c r="G204">
        <f>SUMPRODUCT((MONTH(CHOOSE({1,2,3,4},NĐ!T204,NĐ!X204,NĐ!AB204,NĐ!AF204))=7)*(CHOOSE({1,2,3,4},NĐ!W204,NĐ!AA204,NĐ!AE204,NĐ!AI204)))</f>
        <v>0</v>
      </c>
      <c r="H204">
        <f>SUMPRODUCT((MONTH(CHOOSE({1,2,3,4},NĐ!T204,NĐ!X204,NĐ!AB204,NĐ!AF204))=8)*(CHOOSE({1,2,3,4},NĐ!W204,NĐ!AA204,NĐ!AE204,NĐ!AI204)))</f>
        <v>0</v>
      </c>
      <c r="I204">
        <f>SUMPRODUCT((MONTH(CHOOSE({1,2,3,4},NĐ!T204,NĐ!X204,NĐ!AB204,NĐ!AF204))=9)*(CHOOSE({1,2,3,4},NĐ!W204,NĐ!AA204,NĐ!AE204,NĐ!AI204)))</f>
        <v>0</v>
      </c>
      <c r="J204">
        <f>SUMPRODUCT((MONTH(CHOOSE({1,2,3,4},NĐ!T204,NĐ!X204,NĐ!AB204,NĐ!AF204))=10)*(CHOOSE({1,2,3,4},NĐ!W204,NĐ!AA204,NĐ!AE204,NĐ!AI204)))</f>
        <v>0</v>
      </c>
      <c r="K204">
        <f>SUMPRODUCT((MONTH(CHOOSE({1,2,3,4},NĐ!T204,NĐ!X204,NĐ!AB204,NĐ!AF204))=11)*(CHOOSE({1,2,3,4},NĐ!W204,NĐ!AA204,NĐ!AE204,NĐ!AI204)))</f>
        <v>0</v>
      </c>
      <c r="L204">
        <f>SUMPRODUCT((MONTH(CHOOSE({1,2,3,4},NĐ!T204,NĐ!X204,NĐ!AB204,NĐ!AF204))=12)*(CHOOSE({1,2,3,4},NĐ!W204,NĐ!AA204,NĐ!AE204,NĐ!AI204)))</f>
        <v>0</v>
      </c>
    </row>
    <row r="205" spans="1:12">
      <c r="A205">
        <f>SUMPRODUCT((MONTH(CHOOSE({1,2,3,4},NĐ!T205,NĐ!X205,NĐ!AB205,NĐ!AF205))=1)*(CHOOSE({1,2,3,4},NĐ!W205,NĐ!AA205,NĐ!AE205,NĐ!AI205)))</f>
        <v>0</v>
      </c>
      <c r="B205">
        <f>SUMPRODUCT((MONTH(CHOOSE({1,2,3,4},NĐ!T205,NĐ!X205,NĐ!AB205,NĐ!AF205))=2)*(CHOOSE({1,2,3,4},NĐ!W205,NĐ!AA205,NĐ!AE205,NĐ!AI205)))</f>
        <v>0</v>
      </c>
      <c r="C205">
        <f>SUMPRODUCT((MONTH(CHOOSE({1,2,3,4},NĐ!T205,NĐ!X205,NĐ!AB205,NĐ!AF205))=3)*(CHOOSE({1,2,3,4},NĐ!W205,NĐ!AA205,NĐ!AE205,NĐ!AI205)))</f>
        <v>0</v>
      </c>
      <c r="D205">
        <f>SUMPRODUCT((MONTH(CHOOSE({1,2,3,4},NĐ!T205,NĐ!X205,NĐ!AB205,NĐ!AF205))=4)*(CHOOSE({1,2,3,4},NĐ!W205,NĐ!AA205,NĐ!AE205,NĐ!AI205)))</f>
        <v>0</v>
      </c>
      <c r="E205">
        <f>SUMPRODUCT((MONTH(CHOOSE({1,2,3,4},NĐ!T205,NĐ!X205,NĐ!AB205,NĐ!AF205))=5)*(CHOOSE({1,2,3,4},NĐ!W205,NĐ!AA205,NĐ!AE205,NĐ!AI205)))</f>
        <v>0</v>
      </c>
      <c r="F205">
        <f>SUMPRODUCT((MONTH(CHOOSE({1,2,3,4},NĐ!T205,NĐ!X205,NĐ!AB205,NĐ!AF205))=6)*(CHOOSE({1,2,3,4},NĐ!W205,NĐ!AA205,NĐ!AE205,NĐ!AI205)))</f>
        <v>0</v>
      </c>
      <c r="G205">
        <f>SUMPRODUCT((MONTH(CHOOSE({1,2,3,4},NĐ!T205,NĐ!X205,NĐ!AB205,NĐ!AF205))=7)*(CHOOSE({1,2,3,4},NĐ!W205,NĐ!AA205,NĐ!AE205,NĐ!AI205)))</f>
        <v>0</v>
      </c>
      <c r="H205">
        <f>SUMPRODUCT((MONTH(CHOOSE({1,2,3,4},NĐ!T205,NĐ!X205,NĐ!AB205,NĐ!AF205))=8)*(CHOOSE({1,2,3,4},NĐ!W205,NĐ!AA205,NĐ!AE205,NĐ!AI205)))</f>
        <v>0</v>
      </c>
      <c r="I205">
        <f>SUMPRODUCT((MONTH(CHOOSE({1,2,3,4},NĐ!T205,NĐ!X205,NĐ!AB205,NĐ!AF205))=9)*(CHOOSE({1,2,3,4},NĐ!W205,NĐ!AA205,NĐ!AE205,NĐ!AI205)))</f>
        <v>0</v>
      </c>
      <c r="J205">
        <f>SUMPRODUCT((MONTH(CHOOSE({1,2,3,4},NĐ!T205,NĐ!X205,NĐ!AB205,NĐ!AF205))=10)*(CHOOSE({1,2,3,4},NĐ!W205,NĐ!AA205,NĐ!AE205,NĐ!AI205)))</f>
        <v>0</v>
      </c>
      <c r="K205">
        <f>SUMPRODUCT((MONTH(CHOOSE({1,2,3,4},NĐ!T205,NĐ!X205,NĐ!AB205,NĐ!AF205))=11)*(CHOOSE({1,2,3,4},NĐ!W205,NĐ!AA205,NĐ!AE205,NĐ!AI205)))</f>
        <v>0</v>
      </c>
      <c r="L205">
        <f>SUMPRODUCT((MONTH(CHOOSE({1,2,3,4},NĐ!T205,NĐ!X205,NĐ!AB205,NĐ!AF205))=12)*(CHOOSE({1,2,3,4},NĐ!W205,NĐ!AA205,NĐ!AE205,NĐ!AI205)))</f>
        <v>0</v>
      </c>
    </row>
    <row r="206" spans="1:12">
      <c r="A206">
        <f>SUMPRODUCT((MONTH(CHOOSE({1,2,3,4},NĐ!T206,NĐ!X206,NĐ!AB206,NĐ!AF206))=1)*(CHOOSE({1,2,3,4},NĐ!W206,NĐ!AA206,NĐ!AE206,NĐ!AI206)))</f>
        <v>0</v>
      </c>
      <c r="B206">
        <f>SUMPRODUCT((MONTH(CHOOSE({1,2,3,4},NĐ!T206,NĐ!X206,NĐ!AB206,NĐ!AF206))=2)*(CHOOSE({1,2,3,4},NĐ!W206,NĐ!AA206,NĐ!AE206,NĐ!AI206)))</f>
        <v>0</v>
      </c>
      <c r="C206">
        <f>SUMPRODUCT((MONTH(CHOOSE({1,2,3,4},NĐ!T206,NĐ!X206,NĐ!AB206,NĐ!AF206))=3)*(CHOOSE({1,2,3,4},NĐ!W206,NĐ!AA206,NĐ!AE206,NĐ!AI206)))</f>
        <v>0</v>
      </c>
      <c r="D206">
        <f>SUMPRODUCT((MONTH(CHOOSE({1,2,3,4},NĐ!T206,NĐ!X206,NĐ!AB206,NĐ!AF206))=4)*(CHOOSE({1,2,3,4},NĐ!W206,NĐ!AA206,NĐ!AE206,NĐ!AI206)))</f>
        <v>0</v>
      </c>
      <c r="E206">
        <f>SUMPRODUCT((MONTH(CHOOSE({1,2,3,4},NĐ!T206,NĐ!X206,NĐ!AB206,NĐ!AF206))=5)*(CHOOSE({1,2,3,4},NĐ!W206,NĐ!AA206,NĐ!AE206,NĐ!AI206)))</f>
        <v>0</v>
      </c>
      <c r="F206">
        <f>SUMPRODUCT((MONTH(CHOOSE({1,2,3,4},NĐ!T206,NĐ!X206,NĐ!AB206,NĐ!AF206))=6)*(CHOOSE({1,2,3,4},NĐ!W206,NĐ!AA206,NĐ!AE206,NĐ!AI206)))</f>
        <v>0</v>
      </c>
      <c r="G206">
        <f>SUMPRODUCT((MONTH(CHOOSE({1,2,3,4},NĐ!T206,NĐ!X206,NĐ!AB206,NĐ!AF206))=7)*(CHOOSE({1,2,3,4},NĐ!W206,NĐ!AA206,NĐ!AE206,NĐ!AI206)))</f>
        <v>0</v>
      </c>
      <c r="H206">
        <f>SUMPRODUCT((MONTH(CHOOSE({1,2,3,4},NĐ!T206,NĐ!X206,NĐ!AB206,NĐ!AF206))=8)*(CHOOSE({1,2,3,4},NĐ!W206,NĐ!AA206,NĐ!AE206,NĐ!AI206)))</f>
        <v>0</v>
      </c>
      <c r="I206">
        <f>SUMPRODUCT((MONTH(CHOOSE({1,2,3,4},NĐ!T206,NĐ!X206,NĐ!AB206,NĐ!AF206))=9)*(CHOOSE({1,2,3,4},NĐ!W206,NĐ!AA206,NĐ!AE206,NĐ!AI206)))</f>
        <v>0</v>
      </c>
      <c r="J206">
        <f>SUMPRODUCT((MONTH(CHOOSE({1,2,3,4},NĐ!T206,NĐ!X206,NĐ!AB206,NĐ!AF206))=10)*(CHOOSE({1,2,3,4},NĐ!W206,NĐ!AA206,NĐ!AE206,NĐ!AI206)))</f>
        <v>0</v>
      </c>
      <c r="K206">
        <f>SUMPRODUCT((MONTH(CHOOSE({1,2,3,4},NĐ!T206,NĐ!X206,NĐ!AB206,NĐ!AF206))=11)*(CHOOSE({1,2,3,4},NĐ!W206,NĐ!AA206,NĐ!AE206,NĐ!AI206)))</f>
        <v>0</v>
      </c>
      <c r="L206">
        <f>SUMPRODUCT((MONTH(CHOOSE({1,2,3,4},NĐ!T206,NĐ!X206,NĐ!AB206,NĐ!AF206))=12)*(CHOOSE({1,2,3,4},NĐ!W206,NĐ!AA206,NĐ!AE206,NĐ!AI206)))</f>
        <v>0</v>
      </c>
    </row>
    <row r="207" spans="1:12">
      <c r="A207">
        <f>SUMPRODUCT((MONTH(CHOOSE({1,2,3,4},NĐ!T207,NĐ!X207,NĐ!AB207,NĐ!AF207))=1)*(CHOOSE({1,2,3,4},NĐ!W207,NĐ!AA207,NĐ!AE207,NĐ!AI207)))</f>
        <v>0</v>
      </c>
      <c r="B207">
        <f>SUMPRODUCT((MONTH(CHOOSE({1,2,3,4},NĐ!T207,NĐ!X207,NĐ!AB207,NĐ!AF207))=2)*(CHOOSE({1,2,3,4},NĐ!W207,NĐ!AA207,NĐ!AE207,NĐ!AI207)))</f>
        <v>0</v>
      </c>
      <c r="C207">
        <f>SUMPRODUCT((MONTH(CHOOSE({1,2,3,4},NĐ!T207,NĐ!X207,NĐ!AB207,NĐ!AF207))=3)*(CHOOSE({1,2,3,4},NĐ!W207,NĐ!AA207,NĐ!AE207,NĐ!AI207)))</f>
        <v>0</v>
      </c>
      <c r="D207">
        <f>SUMPRODUCT((MONTH(CHOOSE({1,2,3,4},NĐ!T207,NĐ!X207,NĐ!AB207,NĐ!AF207))=4)*(CHOOSE({1,2,3,4},NĐ!W207,NĐ!AA207,NĐ!AE207,NĐ!AI207)))</f>
        <v>0</v>
      </c>
      <c r="E207">
        <f>SUMPRODUCT((MONTH(CHOOSE({1,2,3,4},NĐ!T207,NĐ!X207,NĐ!AB207,NĐ!AF207))=5)*(CHOOSE({1,2,3,4},NĐ!W207,NĐ!AA207,NĐ!AE207,NĐ!AI207)))</f>
        <v>0</v>
      </c>
      <c r="F207">
        <f>SUMPRODUCT((MONTH(CHOOSE({1,2,3,4},NĐ!T207,NĐ!X207,NĐ!AB207,NĐ!AF207))=6)*(CHOOSE({1,2,3,4},NĐ!W207,NĐ!AA207,NĐ!AE207,NĐ!AI207)))</f>
        <v>0</v>
      </c>
      <c r="G207">
        <f>SUMPRODUCT((MONTH(CHOOSE({1,2,3,4},NĐ!T207,NĐ!X207,NĐ!AB207,NĐ!AF207))=7)*(CHOOSE({1,2,3,4},NĐ!W207,NĐ!AA207,NĐ!AE207,NĐ!AI207)))</f>
        <v>0</v>
      </c>
      <c r="H207">
        <f>SUMPRODUCT((MONTH(CHOOSE({1,2,3,4},NĐ!T207,NĐ!X207,NĐ!AB207,NĐ!AF207))=8)*(CHOOSE({1,2,3,4},NĐ!W207,NĐ!AA207,NĐ!AE207,NĐ!AI207)))</f>
        <v>0</v>
      </c>
      <c r="I207">
        <f>SUMPRODUCT((MONTH(CHOOSE({1,2,3,4},NĐ!T207,NĐ!X207,NĐ!AB207,NĐ!AF207))=9)*(CHOOSE({1,2,3,4},NĐ!W207,NĐ!AA207,NĐ!AE207,NĐ!AI207)))</f>
        <v>0</v>
      </c>
      <c r="J207">
        <f>SUMPRODUCT((MONTH(CHOOSE({1,2,3,4},NĐ!T207,NĐ!X207,NĐ!AB207,NĐ!AF207))=10)*(CHOOSE({1,2,3,4},NĐ!W207,NĐ!AA207,NĐ!AE207,NĐ!AI207)))</f>
        <v>0</v>
      </c>
      <c r="K207">
        <f>SUMPRODUCT((MONTH(CHOOSE({1,2,3,4},NĐ!T207,NĐ!X207,NĐ!AB207,NĐ!AF207))=11)*(CHOOSE({1,2,3,4},NĐ!W207,NĐ!AA207,NĐ!AE207,NĐ!AI207)))</f>
        <v>0</v>
      </c>
      <c r="L207">
        <f>SUMPRODUCT((MONTH(CHOOSE({1,2,3,4},NĐ!T207,NĐ!X207,NĐ!AB207,NĐ!AF207))=12)*(CHOOSE({1,2,3,4},NĐ!W207,NĐ!AA207,NĐ!AE207,NĐ!AI207)))</f>
        <v>0</v>
      </c>
    </row>
    <row r="208" spans="1:12">
      <c r="A208">
        <f>SUMPRODUCT((MONTH(CHOOSE({1,2,3,4},NĐ!T208,NĐ!X208,NĐ!AB208,NĐ!AF208))=1)*(CHOOSE({1,2,3,4},NĐ!W208,NĐ!AA208,NĐ!AE208,NĐ!AI208)))</f>
        <v>0</v>
      </c>
      <c r="B208">
        <f>SUMPRODUCT((MONTH(CHOOSE({1,2,3,4},NĐ!T208,NĐ!X208,NĐ!AB208,NĐ!AF208))=2)*(CHOOSE({1,2,3,4},NĐ!W208,NĐ!AA208,NĐ!AE208,NĐ!AI208)))</f>
        <v>0</v>
      </c>
      <c r="C208">
        <f>SUMPRODUCT((MONTH(CHOOSE({1,2,3,4},NĐ!T208,NĐ!X208,NĐ!AB208,NĐ!AF208))=3)*(CHOOSE({1,2,3,4},NĐ!W208,NĐ!AA208,NĐ!AE208,NĐ!AI208)))</f>
        <v>0</v>
      </c>
      <c r="D208">
        <f>SUMPRODUCT((MONTH(CHOOSE({1,2,3,4},NĐ!T208,NĐ!X208,NĐ!AB208,NĐ!AF208))=4)*(CHOOSE({1,2,3,4},NĐ!W208,NĐ!AA208,NĐ!AE208,NĐ!AI208)))</f>
        <v>0</v>
      </c>
      <c r="E208">
        <f>SUMPRODUCT((MONTH(CHOOSE({1,2,3,4},NĐ!T208,NĐ!X208,NĐ!AB208,NĐ!AF208))=5)*(CHOOSE({1,2,3,4},NĐ!W208,NĐ!AA208,NĐ!AE208,NĐ!AI208)))</f>
        <v>0</v>
      </c>
      <c r="F208">
        <f>SUMPRODUCT((MONTH(CHOOSE({1,2,3,4},NĐ!T208,NĐ!X208,NĐ!AB208,NĐ!AF208))=6)*(CHOOSE({1,2,3,4},NĐ!W208,NĐ!AA208,NĐ!AE208,NĐ!AI208)))</f>
        <v>0</v>
      </c>
      <c r="G208">
        <f>SUMPRODUCT((MONTH(CHOOSE({1,2,3,4},NĐ!T208,NĐ!X208,NĐ!AB208,NĐ!AF208))=7)*(CHOOSE({1,2,3,4},NĐ!W208,NĐ!AA208,NĐ!AE208,NĐ!AI208)))</f>
        <v>0</v>
      </c>
      <c r="H208">
        <f>SUMPRODUCT((MONTH(CHOOSE({1,2,3,4},NĐ!T208,NĐ!X208,NĐ!AB208,NĐ!AF208))=8)*(CHOOSE({1,2,3,4},NĐ!W208,NĐ!AA208,NĐ!AE208,NĐ!AI208)))</f>
        <v>0</v>
      </c>
      <c r="I208">
        <f>SUMPRODUCT((MONTH(CHOOSE({1,2,3,4},NĐ!T208,NĐ!X208,NĐ!AB208,NĐ!AF208))=9)*(CHOOSE({1,2,3,4},NĐ!W208,NĐ!AA208,NĐ!AE208,NĐ!AI208)))</f>
        <v>0</v>
      </c>
      <c r="J208">
        <f>SUMPRODUCT((MONTH(CHOOSE({1,2,3,4},NĐ!T208,NĐ!X208,NĐ!AB208,NĐ!AF208))=10)*(CHOOSE({1,2,3,4},NĐ!W208,NĐ!AA208,NĐ!AE208,NĐ!AI208)))</f>
        <v>0</v>
      </c>
      <c r="K208">
        <f>SUMPRODUCT((MONTH(CHOOSE({1,2,3,4},NĐ!T208,NĐ!X208,NĐ!AB208,NĐ!AF208))=11)*(CHOOSE({1,2,3,4},NĐ!W208,NĐ!AA208,NĐ!AE208,NĐ!AI208)))</f>
        <v>0</v>
      </c>
      <c r="L208">
        <f>SUMPRODUCT((MONTH(CHOOSE({1,2,3,4},NĐ!T208,NĐ!X208,NĐ!AB208,NĐ!AF208))=12)*(CHOOSE({1,2,3,4},NĐ!W208,NĐ!AA208,NĐ!AE208,NĐ!AI208)))</f>
        <v>0</v>
      </c>
    </row>
    <row r="209" spans="1:12">
      <c r="A209">
        <f>SUMPRODUCT((MONTH(CHOOSE({1,2,3,4},NĐ!T209,NĐ!X209,NĐ!AB209,NĐ!AF209))=1)*(CHOOSE({1,2,3,4},NĐ!W209,NĐ!AA209,NĐ!AE209,NĐ!AI209)))</f>
        <v>0</v>
      </c>
      <c r="B209">
        <f>SUMPRODUCT((MONTH(CHOOSE({1,2,3,4},NĐ!T209,NĐ!X209,NĐ!AB209,NĐ!AF209))=2)*(CHOOSE({1,2,3,4},NĐ!W209,NĐ!AA209,NĐ!AE209,NĐ!AI209)))</f>
        <v>0</v>
      </c>
      <c r="C209">
        <f>SUMPRODUCT((MONTH(CHOOSE({1,2,3,4},NĐ!T209,NĐ!X209,NĐ!AB209,NĐ!AF209))=3)*(CHOOSE({1,2,3,4},NĐ!W209,NĐ!AA209,NĐ!AE209,NĐ!AI209)))</f>
        <v>0</v>
      </c>
      <c r="D209">
        <f>SUMPRODUCT((MONTH(CHOOSE({1,2,3,4},NĐ!T209,NĐ!X209,NĐ!AB209,NĐ!AF209))=4)*(CHOOSE({1,2,3,4},NĐ!W209,NĐ!AA209,NĐ!AE209,NĐ!AI209)))</f>
        <v>0</v>
      </c>
      <c r="E209">
        <f>SUMPRODUCT((MONTH(CHOOSE({1,2,3,4},NĐ!T209,NĐ!X209,NĐ!AB209,NĐ!AF209))=5)*(CHOOSE({1,2,3,4},NĐ!W209,NĐ!AA209,NĐ!AE209,NĐ!AI209)))</f>
        <v>0</v>
      </c>
      <c r="F209">
        <f>SUMPRODUCT((MONTH(CHOOSE({1,2,3,4},NĐ!T209,NĐ!X209,NĐ!AB209,NĐ!AF209))=6)*(CHOOSE({1,2,3,4},NĐ!W209,NĐ!AA209,NĐ!AE209,NĐ!AI209)))</f>
        <v>0</v>
      </c>
      <c r="G209">
        <f>SUMPRODUCT((MONTH(CHOOSE({1,2,3,4},NĐ!T209,NĐ!X209,NĐ!AB209,NĐ!AF209))=7)*(CHOOSE({1,2,3,4},NĐ!W209,NĐ!AA209,NĐ!AE209,NĐ!AI209)))</f>
        <v>0</v>
      </c>
      <c r="H209">
        <f>SUMPRODUCT((MONTH(CHOOSE({1,2,3,4},NĐ!T209,NĐ!X209,NĐ!AB209,NĐ!AF209))=8)*(CHOOSE({1,2,3,4},NĐ!W209,NĐ!AA209,NĐ!AE209,NĐ!AI209)))</f>
        <v>0</v>
      </c>
      <c r="I209">
        <f>SUMPRODUCT((MONTH(CHOOSE({1,2,3,4},NĐ!T209,NĐ!X209,NĐ!AB209,NĐ!AF209))=9)*(CHOOSE({1,2,3,4},NĐ!W209,NĐ!AA209,NĐ!AE209,NĐ!AI209)))</f>
        <v>0</v>
      </c>
      <c r="J209">
        <f>SUMPRODUCT((MONTH(CHOOSE({1,2,3,4},NĐ!T209,NĐ!X209,NĐ!AB209,NĐ!AF209))=10)*(CHOOSE({1,2,3,4},NĐ!W209,NĐ!AA209,NĐ!AE209,NĐ!AI209)))</f>
        <v>0</v>
      </c>
      <c r="K209">
        <f>SUMPRODUCT((MONTH(CHOOSE({1,2,3,4},NĐ!T209,NĐ!X209,NĐ!AB209,NĐ!AF209))=11)*(CHOOSE({1,2,3,4},NĐ!W209,NĐ!AA209,NĐ!AE209,NĐ!AI209)))</f>
        <v>0</v>
      </c>
      <c r="L209">
        <f>SUMPRODUCT((MONTH(CHOOSE({1,2,3,4},NĐ!T209,NĐ!X209,NĐ!AB209,NĐ!AF209))=12)*(CHOOSE({1,2,3,4},NĐ!W209,NĐ!AA209,NĐ!AE209,NĐ!AI209)))</f>
        <v>0</v>
      </c>
    </row>
    <row r="210" spans="1:12">
      <c r="A210">
        <f>SUMPRODUCT((MONTH(CHOOSE({1,2,3,4},NĐ!T210,NĐ!X210,NĐ!AB210,NĐ!AF210))=1)*(CHOOSE({1,2,3,4},NĐ!W210,NĐ!AA210,NĐ!AE210,NĐ!AI210)))</f>
        <v>0</v>
      </c>
      <c r="B210">
        <f>SUMPRODUCT((MONTH(CHOOSE({1,2,3,4},NĐ!T210,NĐ!X210,NĐ!AB210,NĐ!AF210))=2)*(CHOOSE({1,2,3,4},NĐ!W210,NĐ!AA210,NĐ!AE210,NĐ!AI210)))</f>
        <v>0</v>
      </c>
      <c r="C210">
        <f>SUMPRODUCT((MONTH(CHOOSE({1,2,3,4},NĐ!T210,NĐ!X210,NĐ!AB210,NĐ!AF210))=3)*(CHOOSE({1,2,3,4},NĐ!W210,NĐ!AA210,NĐ!AE210,NĐ!AI210)))</f>
        <v>0</v>
      </c>
      <c r="D210">
        <f>SUMPRODUCT((MONTH(CHOOSE({1,2,3,4},NĐ!T210,NĐ!X210,NĐ!AB210,NĐ!AF210))=4)*(CHOOSE({1,2,3,4},NĐ!W210,NĐ!AA210,NĐ!AE210,NĐ!AI210)))</f>
        <v>0</v>
      </c>
      <c r="E210">
        <f>SUMPRODUCT((MONTH(CHOOSE({1,2,3,4},NĐ!T210,NĐ!X210,NĐ!AB210,NĐ!AF210))=5)*(CHOOSE({1,2,3,4},NĐ!W210,NĐ!AA210,NĐ!AE210,NĐ!AI210)))</f>
        <v>0</v>
      </c>
      <c r="F210">
        <f>SUMPRODUCT((MONTH(CHOOSE({1,2,3,4},NĐ!T210,NĐ!X210,NĐ!AB210,NĐ!AF210))=6)*(CHOOSE({1,2,3,4},NĐ!W210,NĐ!AA210,NĐ!AE210,NĐ!AI210)))</f>
        <v>0</v>
      </c>
      <c r="G210">
        <f>SUMPRODUCT((MONTH(CHOOSE({1,2,3,4},NĐ!T210,NĐ!X210,NĐ!AB210,NĐ!AF210))=7)*(CHOOSE({1,2,3,4},NĐ!W210,NĐ!AA210,NĐ!AE210,NĐ!AI210)))</f>
        <v>0</v>
      </c>
      <c r="H210">
        <f>SUMPRODUCT((MONTH(CHOOSE({1,2,3,4},NĐ!T210,NĐ!X210,NĐ!AB210,NĐ!AF210))=8)*(CHOOSE({1,2,3,4},NĐ!W210,NĐ!AA210,NĐ!AE210,NĐ!AI210)))</f>
        <v>0</v>
      </c>
      <c r="I210">
        <f>SUMPRODUCT((MONTH(CHOOSE({1,2,3,4},NĐ!T210,NĐ!X210,NĐ!AB210,NĐ!AF210))=9)*(CHOOSE({1,2,3,4},NĐ!W210,NĐ!AA210,NĐ!AE210,NĐ!AI210)))</f>
        <v>0</v>
      </c>
      <c r="J210">
        <f>SUMPRODUCT((MONTH(CHOOSE({1,2,3,4},NĐ!T210,NĐ!X210,NĐ!AB210,NĐ!AF210))=10)*(CHOOSE({1,2,3,4},NĐ!W210,NĐ!AA210,NĐ!AE210,NĐ!AI210)))</f>
        <v>0</v>
      </c>
      <c r="K210">
        <f>SUMPRODUCT((MONTH(CHOOSE({1,2,3,4},NĐ!T210,NĐ!X210,NĐ!AB210,NĐ!AF210))=11)*(CHOOSE({1,2,3,4},NĐ!W210,NĐ!AA210,NĐ!AE210,NĐ!AI210)))</f>
        <v>0</v>
      </c>
      <c r="L210">
        <f>SUMPRODUCT((MONTH(CHOOSE({1,2,3,4},NĐ!T210,NĐ!X210,NĐ!AB210,NĐ!AF210))=12)*(CHOOSE({1,2,3,4},NĐ!W210,NĐ!AA210,NĐ!AE210,NĐ!AI210)))</f>
        <v>0</v>
      </c>
    </row>
    <row r="211" spans="1:12">
      <c r="A211">
        <f>SUMPRODUCT((MONTH(CHOOSE({1,2,3,4},NĐ!T211,NĐ!X211,NĐ!AB211,NĐ!AF211))=1)*(CHOOSE({1,2,3,4},NĐ!W211,NĐ!AA211,NĐ!AE211,NĐ!AI211)))</f>
        <v>0</v>
      </c>
      <c r="B211">
        <f>SUMPRODUCT((MONTH(CHOOSE({1,2,3,4},NĐ!T211,NĐ!X211,NĐ!AB211,NĐ!AF211))=2)*(CHOOSE({1,2,3,4},NĐ!W211,NĐ!AA211,NĐ!AE211,NĐ!AI211)))</f>
        <v>0</v>
      </c>
      <c r="C211">
        <f>SUMPRODUCT((MONTH(CHOOSE({1,2,3,4},NĐ!T211,NĐ!X211,NĐ!AB211,NĐ!AF211))=3)*(CHOOSE({1,2,3,4},NĐ!W211,NĐ!AA211,NĐ!AE211,NĐ!AI211)))</f>
        <v>0</v>
      </c>
      <c r="D211">
        <f>SUMPRODUCT((MONTH(CHOOSE({1,2,3,4},NĐ!T211,NĐ!X211,NĐ!AB211,NĐ!AF211))=4)*(CHOOSE({1,2,3,4},NĐ!W211,NĐ!AA211,NĐ!AE211,NĐ!AI211)))</f>
        <v>0</v>
      </c>
      <c r="E211">
        <f>SUMPRODUCT((MONTH(CHOOSE({1,2,3,4},NĐ!T211,NĐ!X211,NĐ!AB211,NĐ!AF211))=5)*(CHOOSE({1,2,3,4},NĐ!W211,NĐ!AA211,NĐ!AE211,NĐ!AI211)))</f>
        <v>0</v>
      </c>
      <c r="F211">
        <f>SUMPRODUCT((MONTH(CHOOSE({1,2,3,4},NĐ!T211,NĐ!X211,NĐ!AB211,NĐ!AF211))=6)*(CHOOSE({1,2,3,4},NĐ!W211,NĐ!AA211,NĐ!AE211,NĐ!AI211)))</f>
        <v>0</v>
      </c>
      <c r="G211">
        <f>SUMPRODUCT((MONTH(CHOOSE({1,2,3,4},NĐ!T211,NĐ!X211,NĐ!AB211,NĐ!AF211))=7)*(CHOOSE({1,2,3,4},NĐ!W211,NĐ!AA211,NĐ!AE211,NĐ!AI211)))</f>
        <v>0</v>
      </c>
      <c r="H211">
        <f>SUMPRODUCT((MONTH(CHOOSE({1,2,3,4},NĐ!T211,NĐ!X211,NĐ!AB211,NĐ!AF211))=8)*(CHOOSE({1,2,3,4},NĐ!W211,NĐ!AA211,NĐ!AE211,NĐ!AI211)))</f>
        <v>0</v>
      </c>
      <c r="I211">
        <f>SUMPRODUCT((MONTH(CHOOSE({1,2,3,4},NĐ!T211,NĐ!X211,NĐ!AB211,NĐ!AF211))=9)*(CHOOSE({1,2,3,4},NĐ!W211,NĐ!AA211,NĐ!AE211,NĐ!AI211)))</f>
        <v>0</v>
      </c>
      <c r="J211">
        <f>SUMPRODUCT((MONTH(CHOOSE({1,2,3,4},NĐ!T211,NĐ!X211,NĐ!AB211,NĐ!AF211))=10)*(CHOOSE({1,2,3,4},NĐ!W211,NĐ!AA211,NĐ!AE211,NĐ!AI211)))</f>
        <v>0</v>
      </c>
      <c r="K211">
        <f>SUMPRODUCT((MONTH(CHOOSE({1,2,3,4},NĐ!T211,NĐ!X211,NĐ!AB211,NĐ!AF211))=11)*(CHOOSE({1,2,3,4},NĐ!W211,NĐ!AA211,NĐ!AE211,NĐ!AI211)))</f>
        <v>0</v>
      </c>
      <c r="L211">
        <f>SUMPRODUCT((MONTH(CHOOSE({1,2,3,4},NĐ!T211,NĐ!X211,NĐ!AB211,NĐ!AF211))=12)*(CHOOSE({1,2,3,4},NĐ!W211,NĐ!AA211,NĐ!AE211,NĐ!AI211)))</f>
        <v>0</v>
      </c>
    </row>
    <row r="212" spans="1:12">
      <c r="A212">
        <f>SUMPRODUCT((MONTH(CHOOSE({1,2,3,4},NĐ!T212,NĐ!X212,NĐ!AB212,NĐ!AF212))=1)*(CHOOSE({1,2,3,4},NĐ!W212,NĐ!AA212,NĐ!AE212,NĐ!AI212)))</f>
        <v>0</v>
      </c>
      <c r="B212">
        <f>SUMPRODUCT((MONTH(CHOOSE({1,2,3,4},NĐ!T212,NĐ!X212,NĐ!AB212,NĐ!AF212))=2)*(CHOOSE({1,2,3,4},NĐ!W212,NĐ!AA212,NĐ!AE212,NĐ!AI212)))</f>
        <v>0</v>
      </c>
      <c r="C212">
        <f>SUMPRODUCT((MONTH(CHOOSE({1,2,3,4},NĐ!T212,NĐ!X212,NĐ!AB212,NĐ!AF212))=3)*(CHOOSE({1,2,3,4},NĐ!W212,NĐ!AA212,NĐ!AE212,NĐ!AI212)))</f>
        <v>0</v>
      </c>
      <c r="D212">
        <f>SUMPRODUCT((MONTH(CHOOSE({1,2,3,4},NĐ!T212,NĐ!X212,NĐ!AB212,NĐ!AF212))=4)*(CHOOSE({1,2,3,4},NĐ!W212,NĐ!AA212,NĐ!AE212,NĐ!AI212)))</f>
        <v>0</v>
      </c>
      <c r="E212">
        <f>SUMPRODUCT((MONTH(CHOOSE({1,2,3,4},NĐ!T212,NĐ!X212,NĐ!AB212,NĐ!AF212))=5)*(CHOOSE({1,2,3,4},NĐ!W212,NĐ!AA212,NĐ!AE212,NĐ!AI212)))</f>
        <v>0</v>
      </c>
      <c r="F212">
        <f>SUMPRODUCT((MONTH(CHOOSE({1,2,3,4},NĐ!T212,NĐ!X212,NĐ!AB212,NĐ!AF212))=6)*(CHOOSE({1,2,3,4},NĐ!W212,NĐ!AA212,NĐ!AE212,NĐ!AI212)))</f>
        <v>0</v>
      </c>
      <c r="G212">
        <f>SUMPRODUCT((MONTH(CHOOSE({1,2,3,4},NĐ!T212,NĐ!X212,NĐ!AB212,NĐ!AF212))=7)*(CHOOSE({1,2,3,4},NĐ!W212,NĐ!AA212,NĐ!AE212,NĐ!AI212)))</f>
        <v>0</v>
      </c>
      <c r="H212">
        <f>SUMPRODUCT((MONTH(CHOOSE({1,2,3,4},NĐ!T212,NĐ!X212,NĐ!AB212,NĐ!AF212))=8)*(CHOOSE({1,2,3,4},NĐ!W212,NĐ!AA212,NĐ!AE212,NĐ!AI212)))</f>
        <v>0</v>
      </c>
      <c r="I212">
        <f>SUMPRODUCT((MONTH(CHOOSE({1,2,3,4},NĐ!T212,NĐ!X212,NĐ!AB212,NĐ!AF212))=9)*(CHOOSE({1,2,3,4},NĐ!W212,NĐ!AA212,NĐ!AE212,NĐ!AI212)))</f>
        <v>0</v>
      </c>
      <c r="J212">
        <f>SUMPRODUCT((MONTH(CHOOSE({1,2,3,4},NĐ!T212,NĐ!X212,NĐ!AB212,NĐ!AF212))=10)*(CHOOSE({1,2,3,4},NĐ!W212,NĐ!AA212,NĐ!AE212,NĐ!AI212)))</f>
        <v>0</v>
      </c>
      <c r="K212">
        <f>SUMPRODUCT((MONTH(CHOOSE({1,2,3,4},NĐ!T212,NĐ!X212,NĐ!AB212,NĐ!AF212))=11)*(CHOOSE({1,2,3,4},NĐ!W212,NĐ!AA212,NĐ!AE212,NĐ!AI212)))</f>
        <v>0</v>
      </c>
      <c r="L212">
        <f>SUMPRODUCT((MONTH(CHOOSE({1,2,3,4},NĐ!T212,NĐ!X212,NĐ!AB212,NĐ!AF212))=12)*(CHOOSE({1,2,3,4},NĐ!W212,NĐ!AA212,NĐ!AE212,NĐ!AI212)))</f>
        <v>0</v>
      </c>
    </row>
    <row r="213" spans="1:12">
      <c r="A213">
        <f>SUMPRODUCT((MONTH(CHOOSE({1,2,3,4},NĐ!T213,NĐ!X213,NĐ!AB213,NĐ!AF213))=1)*(CHOOSE({1,2,3,4},NĐ!W213,NĐ!AA213,NĐ!AE213,NĐ!AI213)))</f>
        <v>0</v>
      </c>
      <c r="B213">
        <f>SUMPRODUCT((MONTH(CHOOSE({1,2,3,4},NĐ!T213,NĐ!X213,NĐ!AB213,NĐ!AF213))=2)*(CHOOSE({1,2,3,4},NĐ!W213,NĐ!AA213,NĐ!AE213,NĐ!AI213)))</f>
        <v>0</v>
      </c>
      <c r="C213">
        <f>SUMPRODUCT((MONTH(CHOOSE({1,2,3,4},NĐ!T213,NĐ!X213,NĐ!AB213,NĐ!AF213))=3)*(CHOOSE({1,2,3,4},NĐ!W213,NĐ!AA213,NĐ!AE213,NĐ!AI213)))</f>
        <v>0</v>
      </c>
      <c r="D213">
        <f>SUMPRODUCT((MONTH(CHOOSE({1,2,3,4},NĐ!T213,NĐ!X213,NĐ!AB213,NĐ!AF213))=4)*(CHOOSE({1,2,3,4},NĐ!W213,NĐ!AA213,NĐ!AE213,NĐ!AI213)))</f>
        <v>0</v>
      </c>
      <c r="E213">
        <f>SUMPRODUCT((MONTH(CHOOSE({1,2,3,4},NĐ!T213,NĐ!X213,NĐ!AB213,NĐ!AF213))=5)*(CHOOSE({1,2,3,4},NĐ!W213,NĐ!AA213,NĐ!AE213,NĐ!AI213)))</f>
        <v>0</v>
      </c>
      <c r="F213">
        <f>SUMPRODUCT((MONTH(CHOOSE({1,2,3,4},NĐ!T213,NĐ!X213,NĐ!AB213,NĐ!AF213))=6)*(CHOOSE({1,2,3,4},NĐ!W213,NĐ!AA213,NĐ!AE213,NĐ!AI213)))</f>
        <v>0</v>
      </c>
      <c r="G213">
        <f>SUMPRODUCT((MONTH(CHOOSE({1,2,3,4},NĐ!T213,NĐ!X213,NĐ!AB213,NĐ!AF213))=7)*(CHOOSE({1,2,3,4},NĐ!W213,NĐ!AA213,NĐ!AE213,NĐ!AI213)))</f>
        <v>0</v>
      </c>
      <c r="H213">
        <f>SUMPRODUCT((MONTH(CHOOSE({1,2,3,4},NĐ!T213,NĐ!X213,NĐ!AB213,NĐ!AF213))=8)*(CHOOSE({1,2,3,4},NĐ!W213,NĐ!AA213,NĐ!AE213,NĐ!AI213)))</f>
        <v>0</v>
      </c>
      <c r="I213">
        <f>SUMPRODUCT((MONTH(CHOOSE({1,2,3,4},NĐ!T213,NĐ!X213,NĐ!AB213,NĐ!AF213))=9)*(CHOOSE({1,2,3,4},NĐ!W213,NĐ!AA213,NĐ!AE213,NĐ!AI213)))</f>
        <v>0</v>
      </c>
      <c r="J213">
        <f>SUMPRODUCT((MONTH(CHOOSE({1,2,3,4},NĐ!T213,NĐ!X213,NĐ!AB213,NĐ!AF213))=10)*(CHOOSE({1,2,3,4},NĐ!W213,NĐ!AA213,NĐ!AE213,NĐ!AI213)))</f>
        <v>0</v>
      </c>
      <c r="K213">
        <f>SUMPRODUCT((MONTH(CHOOSE({1,2,3,4},NĐ!T213,NĐ!X213,NĐ!AB213,NĐ!AF213))=11)*(CHOOSE({1,2,3,4},NĐ!W213,NĐ!AA213,NĐ!AE213,NĐ!AI213)))</f>
        <v>0</v>
      </c>
      <c r="L213">
        <f>SUMPRODUCT((MONTH(CHOOSE({1,2,3,4},NĐ!T213,NĐ!X213,NĐ!AB213,NĐ!AF213))=12)*(CHOOSE({1,2,3,4},NĐ!W213,NĐ!AA213,NĐ!AE213,NĐ!AI213)))</f>
        <v>0</v>
      </c>
    </row>
    <row r="214" spans="1:12">
      <c r="A214">
        <f>SUMPRODUCT((MONTH(CHOOSE({1,2,3,4},NĐ!T214,NĐ!X214,NĐ!AB214,NĐ!AF214))=1)*(CHOOSE({1,2,3,4},NĐ!W214,NĐ!AA214,NĐ!AE214,NĐ!AI214)))</f>
        <v>0</v>
      </c>
      <c r="B214">
        <f>SUMPRODUCT((MONTH(CHOOSE({1,2,3,4},NĐ!T214,NĐ!X214,NĐ!AB214,NĐ!AF214))=2)*(CHOOSE({1,2,3,4},NĐ!W214,NĐ!AA214,NĐ!AE214,NĐ!AI214)))</f>
        <v>0</v>
      </c>
      <c r="C214">
        <f>SUMPRODUCT((MONTH(CHOOSE({1,2,3,4},NĐ!T214,NĐ!X214,NĐ!AB214,NĐ!AF214))=3)*(CHOOSE({1,2,3,4},NĐ!W214,NĐ!AA214,NĐ!AE214,NĐ!AI214)))</f>
        <v>0</v>
      </c>
      <c r="D214">
        <f>SUMPRODUCT((MONTH(CHOOSE({1,2,3,4},NĐ!T214,NĐ!X214,NĐ!AB214,NĐ!AF214))=4)*(CHOOSE({1,2,3,4},NĐ!W214,NĐ!AA214,NĐ!AE214,NĐ!AI214)))</f>
        <v>0</v>
      </c>
      <c r="E214">
        <f>SUMPRODUCT((MONTH(CHOOSE({1,2,3,4},NĐ!T214,NĐ!X214,NĐ!AB214,NĐ!AF214))=5)*(CHOOSE({1,2,3,4},NĐ!W214,NĐ!AA214,NĐ!AE214,NĐ!AI214)))</f>
        <v>0</v>
      </c>
      <c r="F214">
        <f>SUMPRODUCT((MONTH(CHOOSE({1,2,3,4},NĐ!T214,NĐ!X214,NĐ!AB214,NĐ!AF214))=6)*(CHOOSE({1,2,3,4},NĐ!W214,NĐ!AA214,NĐ!AE214,NĐ!AI214)))</f>
        <v>0</v>
      </c>
      <c r="G214">
        <f>SUMPRODUCT((MONTH(CHOOSE({1,2,3,4},NĐ!T214,NĐ!X214,NĐ!AB214,NĐ!AF214))=7)*(CHOOSE({1,2,3,4},NĐ!W214,NĐ!AA214,NĐ!AE214,NĐ!AI214)))</f>
        <v>0</v>
      </c>
      <c r="H214">
        <f>SUMPRODUCT((MONTH(CHOOSE({1,2,3,4},NĐ!T214,NĐ!X214,NĐ!AB214,NĐ!AF214))=8)*(CHOOSE({1,2,3,4},NĐ!W214,NĐ!AA214,NĐ!AE214,NĐ!AI214)))</f>
        <v>0</v>
      </c>
      <c r="I214">
        <f>SUMPRODUCT((MONTH(CHOOSE({1,2,3,4},NĐ!T214,NĐ!X214,NĐ!AB214,NĐ!AF214))=9)*(CHOOSE({1,2,3,4},NĐ!W214,NĐ!AA214,NĐ!AE214,NĐ!AI214)))</f>
        <v>0</v>
      </c>
      <c r="J214">
        <f>SUMPRODUCT((MONTH(CHOOSE({1,2,3,4},NĐ!T214,NĐ!X214,NĐ!AB214,NĐ!AF214))=10)*(CHOOSE({1,2,3,4},NĐ!W214,NĐ!AA214,NĐ!AE214,NĐ!AI214)))</f>
        <v>0</v>
      </c>
      <c r="K214">
        <f>SUMPRODUCT((MONTH(CHOOSE({1,2,3,4},NĐ!T214,NĐ!X214,NĐ!AB214,NĐ!AF214))=11)*(CHOOSE({1,2,3,4},NĐ!W214,NĐ!AA214,NĐ!AE214,NĐ!AI214)))</f>
        <v>0</v>
      </c>
      <c r="L214">
        <f>SUMPRODUCT((MONTH(CHOOSE({1,2,3,4},NĐ!T214,NĐ!X214,NĐ!AB214,NĐ!AF214))=12)*(CHOOSE({1,2,3,4},NĐ!W214,NĐ!AA214,NĐ!AE214,NĐ!AI214)))</f>
        <v>0</v>
      </c>
    </row>
    <row r="215" spans="1:12">
      <c r="A215">
        <f>SUMPRODUCT((MONTH(CHOOSE({1,2,3,4},NĐ!T215,NĐ!X215,NĐ!AB215,NĐ!AF215))=1)*(CHOOSE({1,2,3,4},NĐ!W215,NĐ!AA215,NĐ!AE215,NĐ!AI215)))</f>
        <v>0</v>
      </c>
      <c r="B215">
        <f>SUMPRODUCT((MONTH(CHOOSE({1,2,3,4},NĐ!T215,NĐ!X215,NĐ!AB215,NĐ!AF215))=2)*(CHOOSE({1,2,3,4},NĐ!W215,NĐ!AA215,NĐ!AE215,NĐ!AI215)))</f>
        <v>0</v>
      </c>
      <c r="C215">
        <f>SUMPRODUCT((MONTH(CHOOSE({1,2,3,4},NĐ!T215,NĐ!X215,NĐ!AB215,NĐ!AF215))=3)*(CHOOSE({1,2,3,4},NĐ!W215,NĐ!AA215,NĐ!AE215,NĐ!AI215)))</f>
        <v>0</v>
      </c>
      <c r="D215">
        <f>SUMPRODUCT((MONTH(CHOOSE({1,2,3,4},NĐ!T215,NĐ!X215,NĐ!AB215,NĐ!AF215))=4)*(CHOOSE({1,2,3,4},NĐ!W215,NĐ!AA215,NĐ!AE215,NĐ!AI215)))</f>
        <v>0</v>
      </c>
      <c r="E215">
        <f>SUMPRODUCT((MONTH(CHOOSE({1,2,3,4},NĐ!T215,NĐ!X215,NĐ!AB215,NĐ!AF215))=5)*(CHOOSE({1,2,3,4},NĐ!W215,NĐ!AA215,NĐ!AE215,NĐ!AI215)))</f>
        <v>0</v>
      </c>
      <c r="F215">
        <f>SUMPRODUCT((MONTH(CHOOSE({1,2,3,4},NĐ!T215,NĐ!X215,NĐ!AB215,NĐ!AF215))=6)*(CHOOSE({1,2,3,4},NĐ!W215,NĐ!AA215,NĐ!AE215,NĐ!AI215)))</f>
        <v>0</v>
      </c>
      <c r="G215">
        <f>SUMPRODUCT((MONTH(CHOOSE({1,2,3,4},NĐ!T215,NĐ!X215,NĐ!AB215,NĐ!AF215))=7)*(CHOOSE({1,2,3,4},NĐ!W215,NĐ!AA215,NĐ!AE215,NĐ!AI215)))</f>
        <v>0</v>
      </c>
      <c r="H215">
        <f>SUMPRODUCT((MONTH(CHOOSE({1,2,3,4},NĐ!T215,NĐ!X215,NĐ!AB215,NĐ!AF215))=8)*(CHOOSE({1,2,3,4},NĐ!W215,NĐ!AA215,NĐ!AE215,NĐ!AI215)))</f>
        <v>0</v>
      </c>
      <c r="I215">
        <f>SUMPRODUCT((MONTH(CHOOSE({1,2,3,4},NĐ!T215,NĐ!X215,NĐ!AB215,NĐ!AF215))=9)*(CHOOSE({1,2,3,4},NĐ!W215,NĐ!AA215,NĐ!AE215,NĐ!AI215)))</f>
        <v>0</v>
      </c>
      <c r="J215">
        <f>SUMPRODUCT((MONTH(CHOOSE({1,2,3,4},NĐ!T215,NĐ!X215,NĐ!AB215,NĐ!AF215))=10)*(CHOOSE({1,2,3,4},NĐ!W215,NĐ!AA215,NĐ!AE215,NĐ!AI215)))</f>
        <v>0</v>
      </c>
      <c r="K215">
        <f>SUMPRODUCT((MONTH(CHOOSE({1,2,3,4},NĐ!T215,NĐ!X215,NĐ!AB215,NĐ!AF215))=11)*(CHOOSE({1,2,3,4},NĐ!W215,NĐ!AA215,NĐ!AE215,NĐ!AI215)))</f>
        <v>0</v>
      </c>
      <c r="L215">
        <f>SUMPRODUCT((MONTH(CHOOSE({1,2,3,4},NĐ!T215,NĐ!X215,NĐ!AB215,NĐ!AF215))=12)*(CHOOSE({1,2,3,4},NĐ!W215,NĐ!AA215,NĐ!AE215,NĐ!AI215)))</f>
        <v>0</v>
      </c>
    </row>
    <row r="216" spans="1:12">
      <c r="A216">
        <f>SUMPRODUCT((MONTH(CHOOSE({1,2,3,4},NĐ!T216,NĐ!X216,NĐ!AB216,NĐ!AF216))=1)*(CHOOSE({1,2,3,4},NĐ!W216,NĐ!AA216,NĐ!AE216,NĐ!AI216)))</f>
        <v>0</v>
      </c>
      <c r="B216">
        <f>SUMPRODUCT((MONTH(CHOOSE({1,2,3,4},NĐ!T216,NĐ!X216,NĐ!AB216,NĐ!AF216))=2)*(CHOOSE({1,2,3,4},NĐ!W216,NĐ!AA216,NĐ!AE216,NĐ!AI216)))</f>
        <v>0</v>
      </c>
      <c r="C216">
        <f>SUMPRODUCT((MONTH(CHOOSE({1,2,3,4},NĐ!T216,NĐ!X216,NĐ!AB216,NĐ!AF216))=3)*(CHOOSE({1,2,3,4},NĐ!W216,NĐ!AA216,NĐ!AE216,NĐ!AI216)))</f>
        <v>0</v>
      </c>
      <c r="D216">
        <f>SUMPRODUCT((MONTH(CHOOSE({1,2,3,4},NĐ!T216,NĐ!X216,NĐ!AB216,NĐ!AF216))=4)*(CHOOSE({1,2,3,4},NĐ!W216,NĐ!AA216,NĐ!AE216,NĐ!AI216)))</f>
        <v>0</v>
      </c>
      <c r="E216">
        <f>SUMPRODUCT((MONTH(CHOOSE({1,2,3,4},NĐ!T216,NĐ!X216,NĐ!AB216,NĐ!AF216))=5)*(CHOOSE({1,2,3,4},NĐ!W216,NĐ!AA216,NĐ!AE216,NĐ!AI216)))</f>
        <v>0</v>
      </c>
      <c r="F216">
        <f>SUMPRODUCT((MONTH(CHOOSE({1,2,3,4},NĐ!T216,NĐ!X216,NĐ!AB216,NĐ!AF216))=6)*(CHOOSE({1,2,3,4},NĐ!W216,NĐ!AA216,NĐ!AE216,NĐ!AI216)))</f>
        <v>0</v>
      </c>
      <c r="G216">
        <f>SUMPRODUCT((MONTH(CHOOSE({1,2,3,4},NĐ!T216,NĐ!X216,NĐ!AB216,NĐ!AF216))=7)*(CHOOSE({1,2,3,4},NĐ!W216,NĐ!AA216,NĐ!AE216,NĐ!AI216)))</f>
        <v>0</v>
      </c>
      <c r="H216">
        <f>SUMPRODUCT((MONTH(CHOOSE({1,2,3,4},NĐ!T216,NĐ!X216,NĐ!AB216,NĐ!AF216))=8)*(CHOOSE({1,2,3,4},NĐ!W216,NĐ!AA216,NĐ!AE216,NĐ!AI216)))</f>
        <v>0</v>
      </c>
      <c r="I216">
        <f>SUMPRODUCT((MONTH(CHOOSE({1,2,3,4},NĐ!T216,NĐ!X216,NĐ!AB216,NĐ!AF216))=9)*(CHOOSE({1,2,3,4},NĐ!W216,NĐ!AA216,NĐ!AE216,NĐ!AI216)))</f>
        <v>0</v>
      </c>
      <c r="J216">
        <f>SUMPRODUCT((MONTH(CHOOSE({1,2,3,4},NĐ!T216,NĐ!X216,NĐ!AB216,NĐ!AF216))=10)*(CHOOSE({1,2,3,4},NĐ!W216,NĐ!AA216,NĐ!AE216,NĐ!AI216)))</f>
        <v>0</v>
      </c>
      <c r="K216">
        <f>SUMPRODUCT((MONTH(CHOOSE({1,2,3,4},NĐ!T216,NĐ!X216,NĐ!AB216,NĐ!AF216))=11)*(CHOOSE({1,2,3,4},NĐ!W216,NĐ!AA216,NĐ!AE216,NĐ!AI216)))</f>
        <v>0</v>
      </c>
      <c r="L216">
        <f>SUMPRODUCT((MONTH(CHOOSE({1,2,3,4},NĐ!T216,NĐ!X216,NĐ!AB216,NĐ!AF216))=12)*(CHOOSE({1,2,3,4},NĐ!W216,NĐ!AA216,NĐ!AE216,NĐ!AI216)))</f>
        <v>0</v>
      </c>
    </row>
    <row r="217" spans="1:12">
      <c r="A217">
        <f>SUMPRODUCT((MONTH(CHOOSE({1,2,3,4},NĐ!T217,NĐ!X217,NĐ!AB217,NĐ!AF217))=1)*(CHOOSE({1,2,3,4},NĐ!W217,NĐ!AA217,NĐ!AE217,NĐ!AI217)))</f>
        <v>0</v>
      </c>
      <c r="B217">
        <f>SUMPRODUCT((MONTH(CHOOSE({1,2,3,4},NĐ!T217,NĐ!X217,NĐ!AB217,NĐ!AF217))=2)*(CHOOSE({1,2,3,4},NĐ!W217,NĐ!AA217,NĐ!AE217,NĐ!AI217)))</f>
        <v>0</v>
      </c>
      <c r="C217">
        <f>SUMPRODUCT((MONTH(CHOOSE({1,2,3,4},NĐ!T217,NĐ!X217,NĐ!AB217,NĐ!AF217))=3)*(CHOOSE({1,2,3,4},NĐ!W217,NĐ!AA217,NĐ!AE217,NĐ!AI217)))</f>
        <v>0</v>
      </c>
      <c r="D217">
        <f>SUMPRODUCT((MONTH(CHOOSE({1,2,3,4},NĐ!T217,NĐ!X217,NĐ!AB217,NĐ!AF217))=4)*(CHOOSE({1,2,3,4},NĐ!W217,NĐ!AA217,NĐ!AE217,NĐ!AI217)))</f>
        <v>0</v>
      </c>
      <c r="E217">
        <f>SUMPRODUCT((MONTH(CHOOSE({1,2,3,4},NĐ!T217,NĐ!X217,NĐ!AB217,NĐ!AF217))=5)*(CHOOSE({1,2,3,4},NĐ!W217,NĐ!AA217,NĐ!AE217,NĐ!AI217)))</f>
        <v>0</v>
      </c>
      <c r="F217">
        <f>SUMPRODUCT((MONTH(CHOOSE({1,2,3,4},NĐ!T217,NĐ!X217,NĐ!AB217,NĐ!AF217))=6)*(CHOOSE({1,2,3,4},NĐ!W217,NĐ!AA217,NĐ!AE217,NĐ!AI217)))</f>
        <v>0</v>
      </c>
      <c r="G217">
        <f>SUMPRODUCT((MONTH(CHOOSE({1,2,3,4},NĐ!T217,NĐ!X217,NĐ!AB217,NĐ!AF217))=7)*(CHOOSE({1,2,3,4},NĐ!W217,NĐ!AA217,NĐ!AE217,NĐ!AI217)))</f>
        <v>0</v>
      </c>
      <c r="H217">
        <f>SUMPRODUCT((MONTH(CHOOSE({1,2,3,4},NĐ!T217,NĐ!X217,NĐ!AB217,NĐ!AF217))=8)*(CHOOSE({1,2,3,4},NĐ!W217,NĐ!AA217,NĐ!AE217,NĐ!AI217)))</f>
        <v>0</v>
      </c>
      <c r="I217">
        <f>SUMPRODUCT((MONTH(CHOOSE({1,2,3,4},NĐ!T217,NĐ!X217,NĐ!AB217,NĐ!AF217))=9)*(CHOOSE({1,2,3,4},NĐ!W217,NĐ!AA217,NĐ!AE217,NĐ!AI217)))</f>
        <v>0</v>
      </c>
      <c r="J217">
        <f>SUMPRODUCT((MONTH(CHOOSE({1,2,3,4},NĐ!T217,NĐ!X217,NĐ!AB217,NĐ!AF217))=10)*(CHOOSE({1,2,3,4},NĐ!W217,NĐ!AA217,NĐ!AE217,NĐ!AI217)))</f>
        <v>0</v>
      </c>
      <c r="K217">
        <f>SUMPRODUCT((MONTH(CHOOSE({1,2,3,4},NĐ!T217,NĐ!X217,NĐ!AB217,NĐ!AF217))=11)*(CHOOSE({1,2,3,4},NĐ!W217,NĐ!AA217,NĐ!AE217,NĐ!AI217)))</f>
        <v>0</v>
      </c>
      <c r="L217">
        <f>SUMPRODUCT((MONTH(CHOOSE({1,2,3,4},NĐ!T217,NĐ!X217,NĐ!AB217,NĐ!AF217))=12)*(CHOOSE({1,2,3,4},NĐ!W217,NĐ!AA217,NĐ!AE217,NĐ!AI217)))</f>
        <v>0</v>
      </c>
    </row>
    <row r="218" spans="1:12">
      <c r="A218">
        <f>SUMPRODUCT((MONTH(CHOOSE({1,2,3,4},NĐ!T218,NĐ!X218,NĐ!AB218,NĐ!AF218))=1)*(CHOOSE({1,2,3,4},NĐ!W218,NĐ!AA218,NĐ!AE218,NĐ!AI218)))</f>
        <v>0</v>
      </c>
      <c r="B218">
        <f>SUMPRODUCT((MONTH(CHOOSE({1,2,3,4},NĐ!T218,NĐ!X218,NĐ!AB218,NĐ!AF218))=2)*(CHOOSE({1,2,3,4},NĐ!W218,NĐ!AA218,NĐ!AE218,NĐ!AI218)))</f>
        <v>0</v>
      </c>
      <c r="C218">
        <f>SUMPRODUCT((MONTH(CHOOSE({1,2,3,4},NĐ!T218,NĐ!X218,NĐ!AB218,NĐ!AF218))=3)*(CHOOSE({1,2,3,4},NĐ!W218,NĐ!AA218,NĐ!AE218,NĐ!AI218)))</f>
        <v>0</v>
      </c>
      <c r="D218">
        <f>SUMPRODUCT((MONTH(CHOOSE({1,2,3,4},NĐ!T218,NĐ!X218,NĐ!AB218,NĐ!AF218))=4)*(CHOOSE({1,2,3,4},NĐ!W218,NĐ!AA218,NĐ!AE218,NĐ!AI218)))</f>
        <v>0</v>
      </c>
      <c r="E218">
        <f>SUMPRODUCT((MONTH(CHOOSE({1,2,3,4},NĐ!T218,NĐ!X218,NĐ!AB218,NĐ!AF218))=5)*(CHOOSE({1,2,3,4},NĐ!W218,NĐ!AA218,NĐ!AE218,NĐ!AI218)))</f>
        <v>0</v>
      </c>
      <c r="F218">
        <f>SUMPRODUCT((MONTH(CHOOSE({1,2,3,4},NĐ!T218,NĐ!X218,NĐ!AB218,NĐ!AF218))=6)*(CHOOSE({1,2,3,4},NĐ!W218,NĐ!AA218,NĐ!AE218,NĐ!AI218)))</f>
        <v>0</v>
      </c>
      <c r="G218">
        <f>SUMPRODUCT((MONTH(CHOOSE({1,2,3,4},NĐ!T218,NĐ!X218,NĐ!AB218,NĐ!AF218))=7)*(CHOOSE({1,2,3,4},NĐ!W218,NĐ!AA218,NĐ!AE218,NĐ!AI218)))</f>
        <v>0</v>
      </c>
      <c r="H218">
        <f>SUMPRODUCT((MONTH(CHOOSE({1,2,3,4},NĐ!T218,NĐ!X218,NĐ!AB218,NĐ!AF218))=8)*(CHOOSE({1,2,3,4},NĐ!W218,NĐ!AA218,NĐ!AE218,NĐ!AI218)))</f>
        <v>0</v>
      </c>
      <c r="I218">
        <f>SUMPRODUCT((MONTH(CHOOSE({1,2,3,4},NĐ!T218,NĐ!X218,NĐ!AB218,NĐ!AF218))=9)*(CHOOSE({1,2,3,4},NĐ!W218,NĐ!AA218,NĐ!AE218,NĐ!AI218)))</f>
        <v>0</v>
      </c>
      <c r="J218">
        <f>SUMPRODUCT((MONTH(CHOOSE({1,2,3,4},NĐ!T218,NĐ!X218,NĐ!AB218,NĐ!AF218))=10)*(CHOOSE({1,2,3,4},NĐ!W218,NĐ!AA218,NĐ!AE218,NĐ!AI218)))</f>
        <v>0</v>
      </c>
      <c r="K218">
        <f>SUMPRODUCT((MONTH(CHOOSE({1,2,3,4},NĐ!T218,NĐ!X218,NĐ!AB218,NĐ!AF218))=11)*(CHOOSE({1,2,3,4},NĐ!W218,NĐ!AA218,NĐ!AE218,NĐ!AI218)))</f>
        <v>0</v>
      </c>
      <c r="L218">
        <f>SUMPRODUCT((MONTH(CHOOSE({1,2,3,4},NĐ!T218,NĐ!X218,NĐ!AB218,NĐ!AF218))=12)*(CHOOSE({1,2,3,4},NĐ!W218,NĐ!AA218,NĐ!AE218,NĐ!AI218)))</f>
        <v>0</v>
      </c>
    </row>
    <row r="219" spans="1:12">
      <c r="A219">
        <f>SUMPRODUCT((MONTH(CHOOSE({1,2,3,4},NĐ!T219,NĐ!X219,NĐ!AB219,NĐ!AF219))=1)*(CHOOSE({1,2,3,4},NĐ!W219,NĐ!AA219,NĐ!AE219,NĐ!AI219)))</f>
        <v>0</v>
      </c>
      <c r="B219">
        <f>SUMPRODUCT((MONTH(CHOOSE({1,2,3,4},NĐ!T219,NĐ!X219,NĐ!AB219,NĐ!AF219))=2)*(CHOOSE({1,2,3,4},NĐ!W219,NĐ!AA219,NĐ!AE219,NĐ!AI219)))</f>
        <v>0</v>
      </c>
      <c r="C219">
        <f>SUMPRODUCT((MONTH(CHOOSE({1,2,3,4},NĐ!T219,NĐ!X219,NĐ!AB219,NĐ!AF219))=3)*(CHOOSE({1,2,3,4},NĐ!W219,NĐ!AA219,NĐ!AE219,NĐ!AI219)))</f>
        <v>0</v>
      </c>
      <c r="D219">
        <f>SUMPRODUCT((MONTH(CHOOSE({1,2,3,4},NĐ!T219,NĐ!X219,NĐ!AB219,NĐ!AF219))=4)*(CHOOSE({1,2,3,4},NĐ!W219,NĐ!AA219,NĐ!AE219,NĐ!AI219)))</f>
        <v>0</v>
      </c>
      <c r="E219">
        <f>SUMPRODUCT((MONTH(CHOOSE({1,2,3,4},NĐ!T219,NĐ!X219,NĐ!AB219,NĐ!AF219))=5)*(CHOOSE({1,2,3,4},NĐ!W219,NĐ!AA219,NĐ!AE219,NĐ!AI219)))</f>
        <v>0</v>
      </c>
      <c r="F219">
        <f>SUMPRODUCT((MONTH(CHOOSE({1,2,3,4},NĐ!T219,NĐ!X219,NĐ!AB219,NĐ!AF219))=6)*(CHOOSE({1,2,3,4},NĐ!W219,NĐ!AA219,NĐ!AE219,NĐ!AI219)))</f>
        <v>0</v>
      </c>
      <c r="G219">
        <f>SUMPRODUCT((MONTH(CHOOSE({1,2,3,4},NĐ!T219,NĐ!X219,NĐ!AB219,NĐ!AF219))=7)*(CHOOSE({1,2,3,4},NĐ!W219,NĐ!AA219,NĐ!AE219,NĐ!AI219)))</f>
        <v>0</v>
      </c>
      <c r="H219">
        <f>SUMPRODUCT((MONTH(CHOOSE({1,2,3,4},NĐ!T219,NĐ!X219,NĐ!AB219,NĐ!AF219))=8)*(CHOOSE({1,2,3,4},NĐ!W219,NĐ!AA219,NĐ!AE219,NĐ!AI219)))</f>
        <v>0</v>
      </c>
      <c r="I219">
        <f>SUMPRODUCT((MONTH(CHOOSE({1,2,3,4},NĐ!T219,NĐ!X219,NĐ!AB219,NĐ!AF219))=9)*(CHOOSE({1,2,3,4},NĐ!W219,NĐ!AA219,NĐ!AE219,NĐ!AI219)))</f>
        <v>0</v>
      </c>
      <c r="J219">
        <f>SUMPRODUCT((MONTH(CHOOSE({1,2,3,4},NĐ!T219,NĐ!X219,NĐ!AB219,NĐ!AF219))=10)*(CHOOSE({1,2,3,4},NĐ!W219,NĐ!AA219,NĐ!AE219,NĐ!AI219)))</f>
        <v>0</v>
      </c>
      <c r="K219">
        <f>SUMPRODUCT((MONTH(CHOOSE({1,2,3,4},NĐ!T219,NĐ!X219,NĐ!AB219,NĐ!AF219))=11)*(CHOOSE({1,2,3,4},NĐ!W219,NĐ!AA219,NĐ!AE219,NĐ!AI219)))</f>
        <v>0</v>
      </c>
      <c r="L219">
        <f>SUMPRODUCT((MONTH(CHOOSE({1,2,3,4},NĐ!T219,NĐ!X219,NĐ!AB219,NĐ!AF219))=12)*(CHOOSE({1,2,3,4},NĐ!W219,NĐ!AA219,NĐ!AE219,NĐ!AI219)))</f>
        <v>0</v>
      </c>
    </row>
    <row r="220" spans="1:12">
      <c r="A220">
        <f>SUMPRODUCT((MONTH(CHOOSE({1,2,3,4},NĐ!T220,NĐ!X220,NĐ!AB220,NĐ!AF220))=1)*(CHOOSE({1,2,3,4},NĐ!W220,NĐ!AA220,NĐ!AE220,NĐ!AI220)))</f>
        <v>0</v>
      </c>
      <c r="B220">
        <f>SUMPRODUCT((MONTH(CHOOSE({1,2,3,4},NĐ!T220,NĐ!X220,NĐ!AB220,NĐ!AF220))=2)*(CHOOSE({1,2,3,4},NĐ!W220,NĐ!AA220,NĐ!AE220,NĐ!AI220)))</f>
        <v>0</v>
      </c>
      <c r="C220">
        <f>SUMPRODUCT((MONTH(CHOOSE({1,2,3,4},NĐ!T220,NĐ!X220,NĐ!AB220,NĐ!AF220))=3)*(CHOOSE({1,2,3,4},NĐ!W220,NĐ!AA220,NĐ!AE220,NĐ!AI220)))</f>
        <v>0</v>
      </c>
      <c r="D220">
        <f>SUMPRODUCT((MONTH(CHOOSE({1,2,3,4},NĐ!T220,NĐ!X220,NĐ!AB220,NĐ!AF220))=4)*(CHOOSE({1,2,3,4},NĐ!W220,NĐ!AA220,NĐ!AE220,NĐ!AI220)))</f>
        <v>0</v>
      </c>
      <c r="E220">
        <f>SUMPRODUCT((MONTH(CHOOSE({1,2,3,4},NĐ!T220,NĐ!X220,NĐ!AB220,NĐ!AF220))=5)*(CHOOSE({1,2,3,4},NĐ!W220,NĐ!AA220,NĐ!AE220,NĐ!AI220)))</f>
        <v>0</v>
      </c>
      <c r="F220">
        <f>SUMPRODUCT((MONTH(CHOOSE({1,2,3,4},NĐ!T220,NĐ!X220,NĐ!AB220,NĐ!AF220))=6)*(CHOOSE({1,2,3,4},NĐ!W220,NĐ!AA220,NĐ!AE220,NĐ!AI220)))</f>
        <v>0</v>
      </c>
      <c r="G220">
        <f>SUMPRODUCT((MONTH(CHOOSE({1,2,3,4},NĐ!T220,NĐ!X220,NĐ!AB220,NĐ!AF220))=7)*(CHOOSE({1,2,3,4},NĐ!W220,NĐ!AA220,NĐ!AE220,NĐ!AI220)))</f>
        <v>0</v>
      </c>
      <c r="H220">
        <f>SUMPRODUCT((MONTH(CHOOSE({1,2,3,4},NĐ!T220,NĐ!X220,NĐ!AB220,NĐ!AF220))=8)*(CHOOSE({1,2,3,4},NĐ!W220,NĐ!AA220,NĐ!AE220,NĐ!AI220)))</f>
        <v>0</v>
      </c>
      <c r="I220">
        <f>SUMPRODUCT((MONTH(CHOOSE({1,2,3,4},NĐ!T220,NĐ!X220,NĐ!AB220,NĐ!AF220))=9)*(CHOOSE({1,2,3,4},NĐ!W220,NĐ!AA220,NĐ!AE220,NĐ!AI220)))</f>
        <v>0</v>
      </c>
      <c r="J220">
        <f>SUMPRODUCT((MONTH(CHOOSE({1,2,3,4},NĐ!T220,NĐ!X220,NĐ!AB220,NĐ!AF220))=10)*(CHOOSE({1,2,3,4},NĐ!W220,NĐ!AA220,NĐ!AE220,NĐ!AI220)))</f>
        <v>0</v>
      </c>
      <c r="K220">
        <f>SUMPRODUCT((MONTH(CHOOSE({1,2,3,4},NĐ!T220,NĐ!X220,NĐ!AB220,NĐ!AF220))=11)*(CHOOSE({1,2,3,4},NĐ!W220,NĐ!AA220,NĐ!AE220,NĐ!AI220)))</f>
        <v>0</v>
      </c>
      <c r="L220">
        <f>SUMPRODUCT((MONTH(CHOOSE({1,2,3,4},NĐ!T220,NĐ!X220,NĐ!AB220,NĐ!AF220))=12)*(CHOOSE({1,2,3,4},NĐ!W220,NĐ!AA220,NĐ!AE220,NĐ!AI220)))</f>
        <v>0</v>
      </c>
    </row>
    <row r="221" spans="1:12">
      <c r="A221">
        <f>SUMPRODUCT((MONTH(CHOOSE({1,2,3,4},NĐ!T221,NĐ!X221,NĐ!AB221,NĐ!AF221))=1)*(CHOOSE({1,2,3,4},NĐ!W221,NĐ!AA221,NĐ!AE221,NĐ!AI221)))</f>
        <v>0</v>
      </c>
      <c r="B221">
        <f>SUMPRODUCT((MONTH(CHOOSE({1,2,3,4},NĐ!T221,NĐ!X221,NĐ!AB221,NĐ!AF221))=2)*(CHOOSE({1,2,3,4},NĐ!W221,NĐ!AA221,NĐ!AE221,NĐ!AI221)))</f>
        <v>0</v>
      </c>
      <c r="C221">
        <f>SUMPRODUCT((MONTH(CHOOSE({1,2,3,4},NĐ!T221,NĐ!X221,NĐ!AB221,NĐ!AF221))=3)*(CHOOSE({1,2,3,4},NĐ!W221,NĐ!AA221,NĐ!AE221,NĐ!AI221)))</f>
        <v>0</v>
      </c>
      <c r="D221">
        <f>SUMPRODUCT((MONTH(CHOOSE({1,2,3,4},NĐ!T221,NĐ!X221,NĐ!AB221,NĐ!AF221))=4)*(CHOOSE({1,2,3,4},NĐ!W221,NĐ!AA221,NĐ!AE221,NĐ!AI221)))</f>
        <v>0</v>
      </c>
      <c r="E221">
        <f>SUMPRODUCT((MONTH(CHOOSE({1,2,3,4},NĐ!T221,NĐ!X221,NĐ!AB221,NĐ!AF221))=5)*(CHOOSE({1,2,3,4},NĐ!W221,NĐ!AA221,NĐ!AE221,NĐ!AI221)))</f>
        <v>0</v>
      </c>
      <c r="F221">
        <f>SUMPRODUCT((MONTH(CHOOSE({1,2,3,4},NĐ!T221,NĐ!X221,NĐ!AB221,NĐ!AF221))=6)*(CHOOSE({1,2,3,4},NĐ!W221,NĐ!AA221,NĐ!AE221,NĐ!AI221)))</f>
        <v>0</v>
      </c>
      <c r="G221">
        <f>SUMPRODUCT((MONTH(CHOOSE({1,2,3,4},NĐ!T221,NĐ!X221,NĐ!AB221,NĐ!AF221))=7)*(CHOOSE({1,2,3,4},NĐ!W221,NĐ!AA221,NĐ!AE221,NĐ!AI221)))</f>
        <v>0</v>
      </c>
      <c r="H221">
        <f>SUMPRODUCT((MONTH(CHOOSE({1,2,3,4},NĐ!T221,NĐ!X221,NĐ!AB221,NĐ!AF221))=8)*(CHOOSE({1,2,3,4},NĐ!W221,NĐ!AA221,NĐ!AE221,NĐ!AI221)))</f>
        <v>0</v>
      </c>
      <c r="I221">
        <f>SUMPRODUCT((MONTH(CHOOSE({1,2,3,4},NĐ!T221,NĐ!X221,NĐ!AB221,NĐ!AF221))=9)*(CHOOSE({1,2,3,4},NĐ!W221,NĐ!AA221,NĐ!AE221,NĐ!AI221)))</f>
        <v>0</v>
      </c>
      <c r="J221">
        <f>SUMPRODUCT((MONTH(CHOOSE({1,2,3,4},NĐ!T221,NĐ!X221,NĐ!AB221,NĐ!AF221))=10)*(CHOOSE({1,2,3,4},NĐ!W221,NĐ!AA221,NĐ!AE221,NĐ!AI221)))</f>
        <v>0</v>
      </c>
      <c r="K221">
        <f>SUMPRODUCT((MONTH(CHOOSE({1,2,3,4},NĐ!T221,NĐ!X221,NĐ!AB221,NĐ!AF221))=11)*(CHOOSE({1,2,3,4},NĐ!W221,NĐ!AA221,NĐ!AE221,NĐ!AI221)))</f>
        <v>0</v>
      </c>
      <c r="L221">
        <f>SUMPRODUCT((MONTH(CHOOSE({1,2,3,4},NĐ!T221,NĐ!X221,NĐ!AB221,NĐ!AF221))=12)*(CHOOSE({1,2,3,4},NĐ!W221,NĐ!AA221,NĐ!AE221,NĐ!AI221)))</f>
        <v>0</v>
      </c>
    </row>
    <row r="222" spans="1:12">
      <c r="A222">
        <f>SUMPRODUCT((MONTH(CHOOSE({1,2,3,4},NĐ!T222,NĐ!X222,NĐ!AB222,NĐ!AF222))=1)*(CHOOSE({1,2,3,4},NĐ!W222,NĐ!AA222,NĐ!AE222,NĐ!AI222)))</f>
        <v>0</v>
      </c>
      <c r="B222">
        <f>SUMPRODUCT((MONTH(CHOOSE({1,2,3,4},NĐ!T222,NĐ!X222,NĐ!AB222,NĐ!AF222))=2)*(CHOOSE({1,2,3,4},NĐ!W222,NĐ!AA222,NĐ!AE222,NĐ!AI222)))</f>
        <v>0</v>
      </c>
      <c r="C222">
        <f>SUMPRODUCT((MONTH(CHOOSE({1,2,3,4},NĐ!T222,NĐ!X222,NĐ!AB222,NĐ!AF222))=3)*(CHOOSE({1,2,3,4},NĐ!W222,NĐ!AA222,NĐ!AE222,NĐ!AI222)))</f>
        <v>0</v>
      </c>
      <c r="D222">
        <f>SUMPRODUCT((MONTH(CHOOSE({1,2,3,4},NĐ!T222,NĐ!X222,NĐ!AB222,NĐ!AF222))=4)*(CHOOSE({1,2,3,4},NĐ!W222,NĐ!AA222,NĐ!AE222,NĐ!AI222)))</f>
        <v>0</v>
      </c>
      <c r="E222">
        <f>SUMPRODUCT((MONTH(CHOOSE({1,2,3,4},NĐ!T222,NĐ!X222,NĐ!AB222,NĐ!AF222))=5)*(CHOOSE({1,2,3,4},NĐ!W222,NĐ!AA222,NĐ!AE222,NĐ!AI222)))</f>
        <v>0</v>
      </c>
      <c r="F222">
        <f>SUMPRODUCT((MONTH(CHOOSE({1,2,3,4},NĐ!T222,NĐ!X222,NĐ!AB222,NĐ!AF222))=6)*(CHOOSE({1,2,3,4},NĐ!W222,NĐ!AA222,NĐ!AE222,NĐ!AI222)))</f>
        <v>0</v>
      </c>
      <c r="G222">
        <f>SUMPRODUCT((MONTH(CHOOSE({1,2,3,4},NĐ!T222,NĐ!X222,NĐ!AB222,NĐ!AF222))=7)*(CHOOSE({1,2,3,4},NĐ!W222,NĐ!AA222,NĐ!AE222,NĐ!AI222)))</f>
        <v>0</v>
      </c>
      <c r="H222">
        <f>SUMPRODUCT((MONTH(CHOOSE({1,2,3,4},NĐ!T222,NĐ!X222,NĐ!AB222,NĐ!AF222))=8)*(CHOOSE({1,2,3,4},NĐ!W222,NĐ!AA222,NĐ!AE222,NĐ!AI222)))</f>
        <v>0</v>
      </c>
      <c r="I222">
        <f>SUMPRODUCT((MONTH(CHOOSE({1,2,3,4},NĐ!T222,NĐ!X222,NĐ!AB222,NĐ!AF222))=9)*(CHOOSE({1,2,3,4},NĐ!W222,NĐ!AA222,NĐ!AE222,NĐ!AI222)))</f>
        <v>0</v>
      </c>
      <c r="J222">
        <f>SUMPRODUCT((MONTH(CHOOSE({1,2,3,4},NĐ!T222,NĐ!X222,NĐ!AB222,NĐ!AF222))=10)*(CHOOSE({1,2,3,4},NĐ!W222,NĐ!AA222,NĐ!AE222,NĐ!AI222)))</f>
        <v>0</v>
      </c>
      <c r="K222">
        <f>SUMPRODUCT((MONTH(CHOOSE({1,2,3,4},NĐ!T222,NĐ!X222,NĐ!AB222,NĐ!AF222))=11)*(CHOOSE({1,2,3,4},NĐ!W222,NĐ!AA222,NĐ!AE222,NĐ!AI222)))</f>
        <v>0</v>
      </c>
      <c r="L222">
        <f>SUMPRODUCT((MONTH(CHOOSE({1,2,3,4},NĐ!T222,NĐ!X222,NĐ!AB222,NĐ!AF222))=12)*(CHOOSE({1,2,3,4},NĐ!W222,NĐ!AA222,NĐ!AE222,NĐ!AI222)))</f>
        <v>0</v>
      </c>
    </row>
    <row r="223" spans="1:12">
      <c r="A223">
        <f>SUMPRODUCT((MONTH(CHOOSE({1,2,3,4},NĐ!T223,NĐ!X223,NĐ!AB223,NĐ!AF223))=1)*(CHOOSE({1,2,3,4},NĐ!W223,NĐ!AA223,NĐ!AE223,NĐ!AI223)))</f>
        <v>0</v>
      </c>
      <c r="B223">
        <f>SUMPRODUCT((MONTH(CHOOSE({1,2,3,4},NĐ!T223,NĐ!X223,NĐ!AB223,NĐ!AF223))=2)*(CHOOSE({1,2,3,4},NĐ!W223,NĐ!AA223,NĐ!AE223,NĐ!AI223)))</f>
        <v>0</v>
      </c>
      <c r="C223">
        <f>SUMPRODUCT((MONTH(CHOOSE({1,2,3,4},NĐ!T223,NĐ!X223,NĐ!AB223,NĐ!AF223))=3)*(CHOOSE({1,2,3,4},NĐ!W223,NĐ!AA223,NĐ!AE223,NĐ!AI223)))</f>
        <v>0</v>
      </c>
      <c r="D223">
        <f>SUMPRODUCT((MONTH(CHOOSE({1,2,3,4},NĐ!T223,NĐ!X223,NĐ!AB223,NĐ!AF223))=4)*(CHOOSE({1,2,3,4},NĐ!W223,NĐ!AA223,NĐ!AE223,NĐ!AI223)))</f>
        <v>0</v>
      </c>
      <c r="E223">
        <f>SUMPRODUCT((MONTH(CHOOSE({1,2,3,4},NĐ!T223,NĐ!X223,NĐ!AB223,NĐ!AF223))=5)*(CHOOSE({1,2,3,4},NĐ!W223,NĐ!AA223,NĐ!AE223,NĐ!AI223)))</f>
        <v>0</v>
      </c>
      <c r="F223">
        <f>SUMPRODUCT((MONTH(CHOOSE({1,2,3,4},NĐ!T223,NĐ!X223,NĐ!AB223,NĐ!AF223))=6)*(CHOOSE({1,2,3,4},NĐ!W223,NĐ!AA223,NĐ!AE223,NĐ!AI223)))</f>
        <v>0</v>
      </c>
      <c r="G223">
        <f>SUMPRODUCT((MONTH(CHOOSE({1,2,3,4},NĐ!T223,NĐ!X223,NĐ!AB223,NĐ!AF223))=7)*(CHOOSE({1,2,3,4},NĐ!W223,NĐ!AA223,NĐ!AE223,NĐ!AI223)))</f>
        <v>0</v>
      </c>
      <c r="H223">
        <f>SUMPRODUCT((MONTH(CHOOSE({1,2,3,4},NĐ!T223,NĐ!X223,NĐ!AB223,NĐ!AF223))=8)*(CHOOSE({1,2,3,4},NĐ!W223,NĐ!AA223,NĐ!AE223,NĐ!AI223)))</f>
        <v>0</v>
      </c>
      <c r="I223">
        <f>SUMPRODUCT((MONTH(CHOOSE({1,2,3,4},NĐ!T223,NĐ!X223,NĐ!AB223,NĐ!AF223))=9)*(CHOOSE({1,2,3,4},NĐ!W223,NĐ!AA223,NĐ!AE223,NĐ!AI223)))</f>
        <v>0</v>
      </c>
      <c r="J223">
        <f>SUMPRODUCT((MONTH(CHOOSE({1,2,3,4},NĐ!T223,NĐ!X223,NĐ!AB223,NĐ!AF223))=10)*(CHOOSE({1,2,3,4},NĐ!W223,NĐ!AA223,NĐ!AE223,NĐ!AI223)))</f>
        <v>0</v>
      </c>
      <c r="K223">
        <f>SUMPRODUCT((MONTH(CHOOSE({1,2,3,4},NĐ!T223,NĐ!X223,NĐ!AB223,NĐ!AF223))=11)*(CHOOSE({1,2,3,4},NĐ!W223,NĐ!AA223,NĐ!AE223,NĐ!AI223)))</f>
        <v>0</v>
      </c>
      <c r="L223">
        <f>SUMPRODUCT((MONTH(CHOOSE({1,2,3,4},NĐ!T223,NĐ!X223,NĐ!AB223,NĐ!AF223))=12)*(CHOOSE({1,2,3,4},NĐ!W223,NĐ!AA223,NĐ!AE223,NĐ!AI223)))</f>
        <v>0</v>
      </c>
    </row>
    <row r="224" spans="1:12">
      <c r="A224">
        <f>SUMPRODUCT((MONTH(CHOOSE({1,2,3,4},NĐ!T224,NĐ!X224,NĐ!AB224,NĐ!AF224))=1)*(CHOOSE({1,2,3,4},NĐ!W224,NĐ!AA224,NĐ!AE224,NĐ!AI224)))</f>
        <v>0</v>
      </c>
      <c r="B224">
        <f>SUMPRODUCT((MONTH(CHOOSE({1,2,3,4},NĐ!T224,NĐ!X224,NĐ!AB224,NĐ!AF224))=2)*(CHOOSE({1,2,3,4},NĐ!W224,NĐ!AA224,NĐ!AE224,NĐ!AI224)))</f>
        <v>0</v>
      </c>
      <c r="C224">
        <f>SUMPRODUCT((MONTH(CHOOSE({1,2,3,4},NĐ!T224,NĐ!X224,NĐ!AB224,NĐ!AF224))=3)*(CHOOSE({1,2,3,4},NĐ!W224,NĐ!AA224,NĐ!AE224,NĐ!AI224)))</f>
        <v>0</v>
      </c>
      <c r="D224">
        <f>SUMPRODUCT((MONTH(CHOOSE({1,2,3,4},NĐ!T224,NĐ!X224,NĐ!AB224,NĐ!AF224))=4)*(CHOOSE({1,2,3,4},NĐ!W224,NĐ!AA224,NĐ!AE224,NĐ!AI224)))</f>
        <v>0</v>
      </c>
      <c r="E224">
        <f>SUMPRODUCT((MONTH(CHOOSE({1,2,3,4},NĐ!T224,NĐ!X224,NĐ!AB224,NĐ!AF224))=5)*(CHOOSE({1,2,3,4},NĐ!W224,NĐ!AA224,NĐ!AE224,NĐ!AI224)))</f>
        <v>0</v>
      </c>
      <c r="F224">
        <f>SUMPRODUCT((MONTH(CHOOSE({1,2,3,4},NĐ!T224,NĐ!X224,NĐ!AB224,NĐ!AF224))=6)*(CHOOSE({1,2,3,4},NĐ!W224,NĐ!AA224,NĐ!AE224,NĐ!AI224)))</f>
        <v>0</v>
      </c>
      <c r="G224">
        <f>SUMPRODUCT((MONTH(CHOOSE({1,2,3,4},NĐ!T224,NĐ!X224,NĐ!AB224,NĐ!AF224))=7)*(CHOOSE({1,2,3,4},NĐ!W224,NĐ!AA224,NĐ!AE224,NĐ!AI224)))</f>
        <v>0</v>
      </c>
      <c r="H224">
        <f>SUMPRODUCT((MONTH(CHOOSE({1,2,3,4},NĐ!T224,NĐ!X224,NĐ!AB224,NĐ!AF224))=8)*(CHOOSE({1,2,3,4},NĐ!W224,NĐ!AA224,NĐ!AE224,NĐ!AI224)))</f>
        <v>0</v>
      </c>
      <c r="I224">
        <f>SUMPRODUCT((MONTH(CHOOSE({1,2,3,4},NĐ!T224,NĐ!X224,NĐ!AB224,NĐ!AF224))=9)*(CHOOSE({1,2,3,4},NĐ!W224,NĐ!AA224,NĐ!AE224,NĐ!AI224)))</f>
        <v>0</v>
      </c>
      <c r="J224">
        <f>SUMPRODUCT((MONTH(CHOOSE({1,2,3,4},NĐ!T224,NĐ!X224,NĐ!AB224,NĐ!AF224))=10)*(CHOOSE({1,2,3,4},NĐ!W224,NĐ!AA224,NĐ!AE224,NĐ!AI224)))</f>
        <v>0</v>
      </c>
      <c r="K224">
        <f>SUMPRODUCT((MONTH(CHOOSE({1,2,3,4},NĐ!T224,NĐ!X224,NĐ!AB224,NĐ!AF224))=11)*(CHOOSE({1,2,3,4},NĐ!W224,NĐ!AA224,NĐ!AE224,NĐ!AI224)))</f>
        <v>0</v>
      </c>
      <c r="L224">
        <f>SUMPRODUCT((MONTH(CHOOSE({1,2,3,4},NĐ!T224,NĐ!X224,NĐ!AB224,NĐ!AF224))=12)*(CHOOSE({1,2,3,4},NĐ!W224,NĐ!AA224,NĐ!AE224,NĐ!AI224)))</f>
        <v>0</v>
      </c>
    </row>
    <row r="225" spans="1:12">
      <c r="A225">
        <f>SUMPRODUCT((MONTH(CHOOSE({1,2,3,4},NĐ!T225,NĐ!X225,NĐ!AB225,NĐ!AF225))=1)*(CHOOSE({1,2,3,4},NĐ!W225,NĐ!AA225,NĐ!AE225,NĐ!AI225)))</f>
        <v>0</v>
      </c>
      <c r="B225">
        <f>SUMPRODUCT((MONTH(CHOOSE({1,2,3,4},NĐ!T225,NĐ!X225,NĐ!AB225,NĐ!AF225))=2)*(CHOOSE({1,2,3,4},NĐ!W225,NĐ!AA225,NĐ!AE225,NĐ!AI225)))</f>
        <v>0</v>
      </c>
      <c r="C225">
        <f>SUMPRODUCT((MONTH(CHOOSE({1,2,3,4},NĐ!T225,NĐ!X225,NĐ!AB225,NĐ!AF225))=3)*(CHOOSE({1,2,3,4},NĐ!W225,NĐ!AA225,NĐ!AE225,NĐ!AI225)))</f>
        <v>0</v>
      </c>
      <c r="D225">
        <f>SUMPRODUCT((MONTH(CHOOSE({1,2,3,4},NĐ!T225,NĐ!X225,NĐ!AB225,NĐ!AF225))=4)*(CHOOSE({1,2,3,4},NĐ!W225,NĐ!AA225,NĐ!AE225,NĐ!AI225)))</f>
        <v>0</v>
      </c>
      <c r="E225">
        <f>SUMPRODUCT((MONTH(CHOOSE({1,2,3,4},NĐ!T225,NĐ!X225,NĐ!AB225,NĐ!AF225))=5)*(CHOOSE({1,2,3,4},NĐ!W225,NĐ!AA225,NĐ!AE225,NĐ!AI225)))</f>
        <v>0</v>
      </c>
      <c r="F225">
        <f>SUMPRODUCT((MONTH(CHOOSE({1,2,3,4},NĐ!T225,NĐ!X225,NĐ!AB225,NĐ!AF225))=6)*(CHOOSE({1,2,3,4},NĐ!W225,NĐ!AA225,NĐ!AE225,NĐ!AI225)))</f>
        <v>0</v>
      </c>
      <c r="G225">
        <f>SUMPRODUCT((MONTH(CHOOSE({1,2,3,4},NĐ!T225,NĐ!X225,NĐ!AB225,NĐ!AF225))=7)*(CHOOSE({1,2,3,4},NĐ!W225,NĐ!AA225,NĐ!AE225,NĐ!AI225)))</f>
        <v>0</v>
      </c>
      <c r="H225">
        <f>SUMPRODUCT((MONTH(CHOOSE({1,2,3,4},NĐ!T225,NĐ!X225,NĐ!AB225,NĐ!AF225))=8)*(CHOOSE({1,2,3,4},NĐ!W225,NĐ!AA225,NĐ!AE225,NĐ!AI225)))</f>
        <v>0</v>
      </c>
      <c r="I225">
        <f>SUMPRODUCT((MONTH(CHOOSE({1,2,3,4},NĐ!T225,NĐ!X225,NĐ!AB225,NĐ!AF225))=9)*(CHOOSE({1,2,3,4},NĐ!W225,NĐ!AA225,NĐ!AE225,NĐ!AI225)))</f>
        <v>0</v>
      </c>
      <c r="J225">
        <f>SUMPRODUCT((MONTH(CHOOSE({1,2,3,4},NĐ!T225,NĐ!X225,NĐ!AB225,NĐ!AF225))=10)*(CHOOSE({1,2,3,4},NĐ!W225,NĐ!AA225,NĐ!AE225,NĐ!AI225)))</f>
        <v>0</v>
      </c>
      <c r="K225">
        <f>SUMPRODUCT((MONTH(CHOOSE({1,2,3,4},NĐ!T225,NĐ!X225,NĐ!AB225,NĐ!AF225))=11)*(CHOOSE({1,2,3,4},NĐ!W225,NĐ!AA225,NĐ!AE225,NĐ!AI225)))</f>
        <v>0</v>
      </c>
      <c r="L225">
        <f>SUMPRODUCT((MONTH(CHOOSE({1,2,3,4},NĐ!T225,NĐ!X225,NĐ!AB225,NĐ!AF225))=12)*(CHOOSE({1,2,3,4},NĐ!W225,NĐ!AA225,NĐ!AE225,NĐ!AI225)))</f>
        <v>0</v>
      </c>
    </row>
    <row r="226" spans="1:12">
      <c r="A226">
        <f>SUMPRODUCT((MONTH(CHOOSE({1,2,3,4},NĐ!T226,NĐ!X226,NĐ!AB226,NĐ!AF226))=1)*(CHOOSE({1,2,3,4},NĐ!W226,NĐ!AA226,NĐ!AE226,NĐ!AI226)))</f>
        <v>0</v>
      </c>
      <c r="B226">
        <f>SUMPRODUCT((MONTH(CHOOSE({1,2,3,4},NĐ!T226,NĐ!X226,NĐ!AB226,NĐ!AF226))=2)*(CHOOSE({1,2,3,4},NĐ!W226,NĐ!AA226,NĐ!AE226,NĐ!AI226)))</f>
        <v>0</v>
      </c>
      <c r="C226">
        <f>SUMPRODUCT((MONTH(CHOOSE({1,2,3,4},NĐ!T226,NĐ!X226,NĐ!AB226,NĐ!AF226))=3)*(CHOOSE({1,2,3,4},NĐ!W226,NĐ!AA226,NĐ!AE226,NĐ!AI226)))</f>
        <v>0</v>
      </c>
      <c r="D226">
        <f>SUMPRODUCT((MONTH(CHOOSE({1,2,3,4},NĐ!T226,NĐ!X226,NĐ!AB226,NĐ!AF226))=4)*(CHOOSE({1,2,3,4},NĐ!W226,NĐ!AA226,NĐ!AE226,NĐ!AI226)))</f>
        <v>0</v>
      </c>
      <c r="E226">
        <f>SUMPRODUCT((MONTH(CHOOSE({1,2,3,4},NĐ!T226,NĐ!X226,NĐ!AB226,NĐ!AF226))=5)*(CHOOSE({1,2,3,4},NĐ!W226,NĐ!AA226,NĐ!AE226,NĐ!AI226)))</f>
        <v>0</v>
      </c>
      <c r="F226">
        <f>SUMPRODUCT((MONTH(CHOOSE({1,2,3,4},NĐ!T226,NĐ!X226,NĐ!AB226,NĐ!AF226))=6)*(CHOOSE({1,2,3,4},NĐ!W226,NĐ!AA226,NĐ!AE226,NĐ!AI226)))</f>
        <v>0</v>
      </c>
      <c r="G226">
        <f>SUMPRODUCT((MONTH(CHOOSE({1,2,3,4},NĐ!T226,NĐ!X226,NĐ!AB226,NĐ!AF226))=7)*(CHOOSE({1,2,3,4},NĐ!W226,NĐ!AA226,NĐ!AE226,NĐ!AI226)))</f>
        <v>0</v>
      </c>
      <c r="H226">
        <f>SUMPRODUCT((MONTH(CHOOSE({1,2,3,4},NĐ!T226,NĐ!X226,NĐ!AB226,NĐ!AF226))=8)*(CHOOSE({1,2,3,4},NĐ!W226,NĐ!AA226,NĐ!AE226,NĐ!AI226)))</f>
        <v>0</v>
      </c>
      <c r="I226">
        <f>SUMPRODUCT((MONTH(CHOOSE({1,2,3,4},NĐ!T226,NĐ!X226,NĐ!AB226,NĐ!AF226))=9)*(CHOOSE({1,2,3,4},NĐ!W226,NĐ!AA226,NĐ!AE226,NĐ!AI226)))</f>
        <v>0</v>
      </c>
      <c r="J226">
        <f>SUMPRODUCT((MONTH(CHOOSE({1,2,3,4},NĐ!T226,NĐ!X226,NĐ!AB226,NĐ!AF226))=10)*(CHOOSE({1,2,3,4},NĐ!W226,NĐ!AA226,NĐ!AE226,NĐ!AI226)))</f>
        <v>0</v>
      </c>
      <c r="K226">
        <f>SUMPRODUCT((MONTH(CHOOSE({1,2,3,4},NĐ!T226,NĐ!X226,NĐ!AB226,NĐ!AF226))=11)*(CHOOSE({1,2,3,4},NĐ!W226,NĐ!AA226,NĐ!AE226,NĐ!AI226)))</f>
        <v>0</v>
      </c>
      <c r="L226">
        <f>SUMPRODUCT((MONTH(CHOOSE({1,2,3,4},NĐ!T226,NĐ!X226,NĐ!AB226,NĐ!AF226))=12)*(CHOOSE({1,2,3,4},NĐ!W226,NĐ!AA226,NĐ!AE226,NĐ!AI226)))</f>
        <v>0</v>
      </c>
    </row>
    <row r="227" spans="1:12">
      <c r="A227">
        <f>SUMPRODUCT((MONTH(CHOOSE({1,2,3,4},NĐ!T227,NĐ!X227,NĐ!AB227,NĐ!AF227))=1)*(CHOOSE({1,2,3,4},NĐ!W227,NĐ!AA227,NĐ!AE227,NĐ!AI227)))</f>
        <v>0</v>
      </c>
      <c r="B227">
        <f>SUMPRODUCT((MONTH(CHOOSE({1,2,3,4},NĐ!T227,NĐ!X227,NĐ!AB227,NĐ!AF227))=2)*(CHOOSE({1,2,3,4},NĐ!W227,NĐ!AA227,NĐ!AE227,NĐ!AI227)))</f>
        <v>0</v>
      </c>
      <c r="C227">
        <f>SUMPRODUCT((MONTH(CHOOSE({1,2,3,4},NĐ!T227,NĐ!X227,NĐ!AB227,NĐ!AF227))=3)*(CHOOSE({1,2,3,4},NĐ!W227,NĐ!AA227,NĐ!AE227,NĐ!AI227)))</f>
        <v>0</v>
      </c>
      <c r="D227">
        <f>SUMPRODUCT((MONTH(CHOOSE({1,2,3,4},NĐ!T227,NĐ!X227,NĐ!AB227,NĐ!AF227))=4)*(CHOOSE({1,2,3,4},NĐ!W227,NĐ!AA227,NĐ!AE227,NĐ!AI227)))</f>
        <v>0</v>
      </c>
      <c r="E227">
        <f>SUMPRODUCT((MONTH(CHOOSE({1,2,3,4},NĐ!T227,NĐ!X227,NĐ!AB227,NĐ!AF227))=5)*(CHOOSE({1,2,3,4},NĐ!W227,NĐ!AA227,NĐ!AE227,NĐ!AI227)))</f>
        <v>0</v>
      </c>
      <c r="F227">
        <f>SUMPRODUCT((MONTH(CHOOSE({1,2,3,4},NĐ!T227,NĐ!X227,NĐ!AB227,NĐ!AF227))=6)*(CHOOSE({1,2,3,4},NĐ!W227,NĐ!AA227,NĐ!AE227,NĐ!AI227)))</f>
        <v>0</v>
      </c>
      <c r="G227">
        <f>SUMPRODUCT((MONTH(CHOOSE({1,2,3,4},NĐ!T227,NĐ!X227,NĐ!AB227,NĐ!AF227))=7)*(CHOOSE({1,2,3,4},NĐ!W227,NĐ!AA227,NĐ!AE227,NĐ!AI227)))</f>
        <v>0</v>
      </c>
      <c r="H227">
        <f>SUMPRODUCT((MONTH(CHOOSE({1,2,3,4},NĐ!T227,NĐ!X227,NĐ!AB227,NĐ!AF227))=8)*(CHOOSE({1,2,3,4},NĐ!W227,NĐ!AA227,NĐ!AE227,NĐ!AI227)))</f>
        <v>0</v>
      </c>
      <c r="I227">
        <f>SUMPRODUCT((MONTH(CHOOSE({1,2,3,4},NĐ!T227,NĐ!X227,NĐ!AB227,NĐ!AF227))=9)*(CHOOSE({1,2,3,4},NĐ!W227,NĐ!AA227,NĐ!AE227,NĐ!AI227)))</f>
        <v>0</v>
      </c>
      <c r="J227">
        <f>SUMPRODUCT((MONTH(CHOOSE({1,2,3,4},NĐ!T227,NĐ!X227,NĐ!AB227,NĐ!AF227))=10)*(CHOOSE({1,2,3,4},NĐ!W227,NĐ!AA227,NĐ!AE227,NĐ!AI227)))</f>
        <v>0</v>
      </c>
      <c r="K227">
        <f>SUMPRODUCT((MONTH(CHOOSE({1,2,3,4},NĐ!T227,NĐ!X227,NĐ!AB227,NĐ!AF227))=11)*(CHOOSE({1,2,3,4},NĐ!W227,NĐ!AA227,NĐ!AE227,NĐ!AI227)))</f>
        <v>0</v>
      </c>
      <c r="L227">
        <f>SUMPRODUCT((MONTH(CHOOSE({1,2,3,4},NĐ!T227,NĐ!X227,NĐ!AB227,NĐ!AF227))=12)*(CHOOSE({1,2,3,4},NĐ!W227,NĐ!AA227,NĐ!AE227,NĐ!AI227)))</f>
        <v>0</v>
      </c>
    </row>
    <row r="228" spans="1:12">
      <c r="A228">
        <f>SUMPRODUCT((MONTH(CHOOSE({1,2,3,4},NĐ!T228,NĐ!X228,NĐ!AB228,NĐ!AF228))=1)*(CHOOSE({1,2,3,4},NĐ!W228,NĐ!AA228,NĐ!AE228,NĐ!AI228)))</f>
        <v>0</v>
      </c>
      <c r="B228">
        <f>SUMPRODUCT((MONTH(CHOOSE({1,2,3,4},NĐ!T228,NĐ!X228,NĐ!AB228,NĐ!AF228))=2)*(CHOOSE({1,2,3,4},NĐ!W228,NĐ!AA228,NĐ!AE228,NĐ!AI228)))</f>
        <v>0</v>
      </c>
      <c r="C228">
        <f>SUMPRODUCT((MONTH(CHOOSE({1,2,3,4},NĐ!T228,NĐ!X228,NĐ!AB228,NĐ!AF228))=3)*(CHOOSE({1,2,3,4},NĐ!W228,NĐ!AA228,NĐ!AE228,NĐ!AI228)))</f>
        <v>0</v>
      </c>
      <c r="D228">
        <f>SUMPRODUCT((MONTH(CHOOSE({1,2,3,4},NĐ!T228,NĐ!X228,NĐ!AB228,NĐ!AF228))=4)*(CHOOSE({1,2,3,4},NĐ!W228,NĐ!AA228,NĐ!AE228,NĐ!AI228)))</f>
        <v>0</v>
      </c>
      <c r="E228">
        <f>SUMPRODUCT((MONTH(CHOOSE({1,2,3,4},NĐ!T228,NĐ!X228,NĐ!AB228,NĐ!AF228))=5)*(CHOOSE({1,2,3,4},NĐ!W228,NĐ!AA228,NĐ!AE228,NĐ!AI228)))</f>
        <v>0</v>
      </c>
      <c r="F228">
        <f>SUMPRODUCT((MONTH(CHOOSE({1,2,3,4},NĐ!T228,NĐ!X228,NĐ!AB228,NĐ!AF228))=6)*(CHOOSE({1,2,3,4},NĐ!W228,NĐ!AA228,NĐ!AE228,NĐ!AI228)))</f>
        <v>0</v>
      </c>
      <c r="G228">
        <f>SUMPRODUCT((MONTH(CHOOSE({1,2,3,4},NĐ!T228,NĐ!X228,NĐ!AB228,NĐ!AF228))=7)*(CHOOSE({1,2,3,4},NĐ!W228,NĐ!AA228,NĐ!AE228,NĐ!AI228)))</f>
        <v>0</v>
      </c>
      <c r="H228">
        <f>SUMPRODUCT((MONTH(CHOOSE({1,2,3,4},NĐ!T228,NĐ!X228,NĐ!AB228,NĐ!AF228))=8)*(CHOOSE({1,2,3,4},NĐ!W228,NĐ!AA228,NĐ!AE228,NĐ!AI228)))</f>
        <v>0</v>
      </c>
      <c r="I228">
        <f>SUMPRODUCT((MONTH(CHOOSE({1,2,3,4},NĐ!T228,NĐ!X228,NĐ!AB228,NĐ!AF228))=9)*(CHOOSE({1,2,3,4},NĐ!W228,NĐ!AA228,NĐ!AE228,NĐ!AI228)))</f>
        <v>0</v>
      </c>
      <c r="J228">
        <f>SUMPRODUCT((MONTH(CHOOSE({1,2,3,4},NĐ!T228,NĐ!X228,NĐ!AB228,NĐ!AF228))=10)*(CHOOSE({1,2,3,4},NĐ!W228,NĐ!AA228,NĐ!AE228,NĐ!AI228)))</f>
        <v>0</v>
      </c>
      <c r="K228">
        <f>SUMPRODUCT((MONTH(CHOOSE({1,2,3,4},NĐ!T228,NĐ!X228,NĐ!AB228,NĐ!AF228))=11)*(CHOOSE({1,2,3,4},NĐ!W228,NĐ!AA228,NĐ!AE228,NĐ!AI228)))</f>
        <v>0</v>
      </c>
      <c r="L228">
        <f>SUMPRODUCT((MONTH(CHOOSE({1,2,3,4},NĐ!T228,NĐ!X228,NĐ!AB228,NĐ!AF228))=12)*(CHOOSE({1,2,3,4},NĐ!W228,NĐ!AA228,NĐ!AE228,NĐ!AI228)))</f>
        <v>0</v>
      </c>
    </row>
    <row r="229" spans="1:12">
      <c r="A229">
        <f>SUMPRODUCT((MONTH(CHOOSE({1,2,3,4},NĐ!T229,NĐ!X229,NĐ!AB229,NĐ!AF229))=1)*(CHOOSE({1,2,3,4},NĐ!W229,NĐ!AA229,NĐ!AE229,NĐ!AI229)))</f>
        <v>0</v>
      </c>
      <c r="B229">
        <f>SUMPRODUCT((MONTH(CHOOSE({1,2,3,4},NĐ!T229,NĐ!X229,NĐ!AB229,NĐ!AF229))=2)*(CHOOSE({1,2,3,4},NĐ!W229,NĐ!AA229,NĐ!AE229,NĐ!AI229)))</f>
        <v>0</v>
      </c>
      <c r="C229">
        <f>SUMPRODUCT((MONTH(CHOOSE({1,2,3,4},NĐ!T229,NĐ!X229,NĐ!AB229,NĐ!AF229))=3)*(CHOOSE({1,2,3,4},NĐ!W229,NĐ!AA229,NĐ!AE229,NĐ!AI229)))</f>
        <v>0</v>
      </c>
      <c r="D229">
        <f>SUMPRODUCT((MONTH(CHOOSE({1,2,3,4},NĐ!T229,NĐ!X229,NĐ!AB229,NĐ!AF229))=4)*(CHOOSE({1,2,3,4},NĐ!W229,NĐ!AA229,NĐ!AE229,NĐ!AI229)))</f>
        <v>0</v>
      </c>
      <c r="E229">
        <f>SUMPRODUCT((MONTH(CHOOSE({1,2,3,4},NĐ!T229,NĐ!X229,NĐ!AB229,NĐ!AF229))=5)*(CHOOSE({1,2,3,4},NĐ!W229,NĐ!AA229,NĐ!AE229,NĐ!AI229)))</f>
        <v>0</v>
      </c>
      <c r="F229">
        <f>SUMPRODUCT((MONTH(CHOOSE({1,2,3,4},NĐ!T229,NĐ!X229,NĐ!AB229,NĐ!AF229))=6)*(CHOOSE({1,2,3,4},NĐ!W229,NĐ!AA229,NĐ!AE229,NĐ!AI229)))</f>
        <v>0</v>
      </c>
      <c r="G229">
        <f>SUMPRODUCT((MONTH(CHOOSE({1,2,3,4},NĐ!T229,NĐ!X229,NĐ!AB229,NĐ!AF229))=7)*(CHOOSE({1,2,3,4},NĐ!W229,NĐ!AA229,NĐ!AE229,NĐ!AI229)))</f>
        <v>0</v>
      </c>
      <c r="H229">
        <f>SUMPRODUCT((MONTH(CHOOSE({1,2,3,4},NĐ!T229,NĐ!X229,NĐ!AB229,NĐ!AF229))=8)*(CHOOSE({1,2,3,4},NĐ!W229,NĐ!AA229,NĐ!AE229,NĐ!AI229)))</f>
        <v>0</v>
      </c>
      <c r="I229">
        <f>SUMPRODUCT((MONTH(CHOOSE({1,2,3,4},NĐ!T229,NĐ!X229,NĐ!AB229,NĐ!AF229))=9)*(CHOOSE({1,2,3,4},NĐ!W229,NĐ!AA229,NĐ!AE229,NĐ!AI229)))</f>
        <v>0</v>
      </c>
      <c r="J229">
        <f>SUMPRODUCT((MONTH(CHOOSE({1,2,3,4},NĐ!T229,NĐ!X229,NĐ!AB229,NĐ!AF229))=10)*(CHOOSE({1,2,3,4},NĐ!W229,NĐ!AA229,NĐ!AE229,NĐ!AI229)))</f>
        <v>0</v>
      </c>
      <c r="K229">
        <f>SUMPRODUCT((MONTH(CHOOSE({1,2,3,4},NĐ!T229,NĐ!X229,NĐ!AB229,NĐ!AF229))=11)*(CHOOSE({1,2,3,4},NĐ!W229,NĐ!AA229,NĐ!AE229,NĐ!AI229)))</f>
        <v>0</v>
      </c>
      <c r="L229">
        <f>SUMPRODUCT((MONTH(CHOOSE({1,2,3,4},NĐ!T229,NĐ!X229,NĐ!AB229,NĐ!AF229))=12)*(CHOOSE({1,2,3,4},NĐ!W229,NĐ!AA229,NĐ!AE229,NĐ!AI229)))</f>
        <v>0</v>
      </c>
    </row>
    <row r="230" spans="1:12">
      <c r="A230">
        <f>SUMPRODUCT((MONTH(CHOOSE({1,2,3,4},NĐ!T230,NĐ!X230,NĐ!AB230,NĐ!AF230))=1)*(CHOOSE({1,2,3,4},NĐ!W230,NĐ!AA230,NĐ!AE230,NĐ!AI230)))</f>
        <v>0</v>
      </c>
      <c r="B230">
        <f>SUMPRODUCT((MONTH(CHOOSE({1,2,3,4},NĐ!T230,NĐ!X230,NĐ!AB230,NĐ!AF230))=2)*(CHOOSE({1,2,3,4},NĐ!W230,NĐ!AA230,NĐ!AE230,NĐ!AI230)))</f>
        <v>0</v>
      </c>
      <c r="C230">
        <f>SUMPRODUCT((MONTH(CHOOSE({1,2,3,4},NĐ!T230,NĐ!X230,NĐ!AB230,NĐ!AF230))=3)*(CHOOSE({1,2,3,4},NĐ!W230,NĐ!AA230,NĐ!AE230,NĐ!AI230)))</f>
        <v>0</v>
      </c>
      <c r="D230">
        <f>SUMPRODUCT((MONTH(CHOOSE({1,2,3,4},NĐ!T230,NĐ!X230,NĐ!AB230,NĐ!AF230))=4)*(CHOOSE({1,2,3,4},NĐ!W230,NĐ!AA230,NĐ!AE230,NĐ!AI230)))</f>
        <v>0</v>
      </c>
      <c r="E230">
        <f>SUMPRODUCT((MONTH(CHOOSE({1,2,3,4},NĐ!T230,NĐ!X230,NĐ!AB230,NĐ!AF230))=5)*(CHOOSE({1,2,3,4},NĐ!W230,NĐ!AA230,NĐ!AE230,NĐ!AI230)))</f>
        <v>0</v>
      </c>
      <c r="F230">
        <f>SUMPRODUCT((MONTH(CHOOSE({1,2,3,4},NĐ!T230,NĐ!X230,NĐ!AB230,NĐ!AF230))=6)*(CHOOSE({1,2,3,4},NĐ!W230,NĐ!AA230,NĐ!AE230,NĐ!AI230)))</f>
        <v>0</v>
      </c>
      <c r="G230">
        <f>SUMPRODUCT((MONTH(CHOOSE({1,2,3,4},NĐ!T230,NĐ!X230,NĐ!AB230,NĐ!AF230))=7)*(CHOOSE({1,2,3,4},NĐ!W230,NĐ!AA230,NĐ!AE230,NĐ!AI230)))</f>
        <v>0</v>
      </c>
      <c r="H230">
        <f>SUMPRODUCT((MONTH(CHOOSE({1,2,3,4},NĐ!T230,NĐ!X230,NĐ!AB230,NĐ!AF230))=8)*(CHOOSE({1,2,3,4},NĐ!W230,NĐ!AA230,NĐ!AE230,NĐ!AI230)))</f>
        <v>0</v>
      </c>
      <c r="I230">
        <f>SUMPRODUCT((MONTH(CHOOSE({1,2,3,4},NĐ!T230,NĐ!X230,NĐ!AB230,NĐ!AF230))=9)*(CHOOSE({1,2,3,4},NĐ!W230,NĐ!AA230,NĐ!AE230,NĐ!AI230)))</f>
        <v>0</v>
      </c>
      <c r="J230">
        <f>SUMPRODUCT((MONTH(CHOOSE({1,2,3,4},NĐ!T230,NĐ!X230,NĐ!AB230,NĐ!AF230))=10)*(CHOOSE({1,2,3,4},NĐ!W230,NĐ!AA230,NĐ!AE230,NĐ!AI230)))</f>
        <v>0</v>
      </c>
      <c r="K230">
        <f>SUMPRODUCT((MONTH(CHOOSE({1,2,3,4},NĐ!T230,NĐ!X230,NĐ!AB230,NĐ!AF230))=11)*(CHOOSE({1,2,3,4},NĐ!W230,NĐ!AA230,NĐ!AE230,NĐ!AI230)))</f>
        <v>0</v>
      </c>
      <c r="L230">
        <f>SUMPRODUCT((MONTH(CHOOSE({1,2,3,4},NĐ!T230,NĐ!X230,NĐ!AB230,NĐ!AF230))=12)*(CHOOSE({1,2,3,4},NĐ!W230,NĐ!AA230,NĐ!AE230,NĐ!AI230)))</f>
        <v>0</v>
      </c>
    </row>
    <row r="231" spans="1:12">
      <c r="A231">
        <f>SUMPRODUCT((MONTH(CHOOSE({1,2,3,4},NĐ!T231,NĐ!X231,NĐ!AB231,NĐ!AF231))=1)*(CHOOSE({1,2,3,4},NĐ!W231,NĐ!AA231,NĐ!AE231,NĐ!AI231)))</f>
        <v>0</v>
      </c>
      <c r="B231">
        <f>SUMPRODUCT((MONTH(CHOOSE({1,2,3,4},NĐ!T231,NĐ!X231,NĐ!AB231,NĐ!AF231))=2)*(CHOOSE({1,2,3,4},NĐ!W231,NĐ!AA231,NĐ!AE231,NĐ!AI231)))</f>
        <v>0</v>
      </c>
      <c r="C231">
        <f>SUMPRODUCT((MONTH(CHOOSE({1,2,3,4},NĐ!T231,NĐ!X231,NĐ!AB231,NĐ!AF231))=3)*(CHOOSE({1,2,3,4},NĐ!W231,NĐ!AA231,NĐ!AE231,NĐ!AI231)))</f>
        <v>0</v>
      </c>
      <c r="D231">
        <f>SUMPRODUCT((MONTH(CHOOSE({1,2,3,4},NĐ!T231,NĐ!X231,NĐ!AB231,NĐ!AF231))=4)*(CHOOSE({1,2,3,4},NĐ!W231,NĐ!AA231,NĐ!AE231,NĐ!AI231)))</f>
        <v>0</v>
      </c>
      <c r="E231">
        <f>SUMPRODUCT((MONTH(CHOOSE({1,2,3,4},NĐ!T231,NĐ!X231,NĐ!AB231,NĐ!AF231))=5)*(CHOOSE({1,2,3,4},NĐ!W231,NĐ!AA231,NĐ!AE231,NĐ!AI231)))</f>
        <v>0</v>
      </c>
      <c r="F231">
        <f>SUMPRODUCT((MONTH(CHOOSE({1,2,3,4},NĐ!T231,NĐ!X231,NĐ!AB231,NĐ!AF231))=6)*(CHOOSE({1,2,3,4},NĐ!W231,NĐ!AA231,NĐ!AE231,NĐ!AI231)))</f>
        <v>0</v>
      </c>
      <c r="G231">
        <f>SUMPRODUCT((MONTH(CHOOSE({1,2,3,4},NĐ!T231,NĐ!X231,NĐ!AB231,NĐ!AF231))=7)*(CHOOSE({1,2,3,4},NĐ!W231,NĐ!AA231,NĐ!AE231,NĐ!AI231)))</f>
        <v>0</v>
      </c>
      <c r="H231">
        <f>SUMPRODUCT((MONTH(CHOOSE({1,2,3,4},NĐ!T231,NĐ!X231,NĐ!AB231,NĐ!AF231))=8)*(CHOOSE({1,2,3,4},NĐ!W231,NĐ!AA231,NĐ!AE231,NĐ!AI231)))</f>
        <v>0</v>
      </c>
      <c r="I231">
        <f>SUMPRODUCT((MONTH(CHOOSE({1,2,3,4},NĐ!T231,NĐ!X231,NĐ!AB231,NĐ!AF231))=9)*(CHOOSE({1,2,3,4},NĐ!W231,NĐ!AA231,NĐ!AE231,NĐ!AI231)))</f>
        <v>0</v>
      </c>
      <c r="J231">
        <f>SUMPRODUCT((MONTH(CHOOSE({1,2,3,4},NĐ!T231,NĐ!X231,NĐ!AB231,NĐ!AF231))=10)*(CHOOSE({1,2,3,4},NĐ!W231,NĐ!AA231,NĐ!AE231,NĐ!AI231)))</f>
        <v>0</v>
      </c>
      <c r="K231">
        <f>SUMPRODUCT((MONTH(CHOOSE({1,2,3,4},NĐ!T231,NĐ!X231,NĐ!AB231,NĐ!AF231))=11)*(CHOOSE({1,2,3,4},NĐ!W231,NĐ!AA231,NĐ!AE231,NĐ!AI231)))</f>
        <v>0</v>
      </c>
      <c r="L231">
        <f>SUMPRODUCT((MONTH(CHOOSE({1,2,3,4},NĐ!T231,NĐ!X231,NĐ!AB231,NĐ!AF231))=12)*(CHOOSE({1,2,3,4},NĐ!W231,NĐ!AA231,NĐ!AE231,NĐ!AI231)))</f>
        <v>0</v>
      </c>
    </row>
    <row r="232" spans="1:12">
      <c r="A232">
        <f>SUMPRODUCT((MONTH(CHOOSE({1,2,3,4},NĐ!T232,NĐ!X232,NĐ!AB232,NĐ!AF232))=1)*(CHOOSE({1,2,3,4},NĐ!W232,NĐ!AA232,NĐ!AE232,NĐ!AI232)))</f>
        <v>0</v>
      </c>
      <c r="B232">
        <f>SUMPRODUCT((MONTH(CHOOSE({1,2,3,4},NĐ!T232,NĐ!X232,NĐ!AB232,NĐ!AF232))=2)*(CHOOSE({1,2,3,4},NĐ!W232,NĐ!AA232,NĐ!AE232,NĐ!AI232)))</f>
        <v>0</v>
      </c>
      <c r="C232">
        <f>SUMPRODUCT((MONTH(CHOOSE({1,2,3,4},NĐ!T232,NĐ!X232,NĐ!AB232,NĐ!AF232))=3)*(CHOOSE({1,2,3,4},NĐ!W232,NĐ!AA232,NĐ!AE232,NĐ!AI232)))</f>
        <v>0</v>
      </c>
      <c r="D232">
        <f>SUMPRODUCT((MONTH(CHOOSE({1,2,3,4},NĐ!T232,NĐ!X232,NĐ!AB232,NĐ!AF232))=4)*(CHOOSE({1,2,3,4},NĐ!W232,NĐ!AA232,NĐ!AE232,NĐ!AI232)))</f>
        <v>0</v>
      </c>
      <c r="E232">
        <f>SUMPRODUCT((MONTH(CHOOSE({1,2,3,4},NĐ!T232,NĐ!X232,NĐ!AB232,NĐ!AF232))=5)*(CHOOSE({1,2,3,4},NĐ!W232,NĐ!AA232,NĐ!AE232,NĐ!AI232)))</f>
        <v>0</v>
      </c>
      <c r="F232">
        <f>SUMPRODUCT((MONTH(CHOOSE({1,2,3,4},NĐ!T232,NĐ!X232,NĐ!AB232,NĐ!AF232))=6)*(CHOOSE({1,2,3,4},NĐ!W232,NĐ!AA232,NĐ!AE232,NĐ!AI232)))</f>
        <v>0</v>
      </c>
      <c r="G232">
        <f>SUMPRODUCT((MONTH(CHOOSE({1,2,3,4},NĐ!T232,NĐ!X232,NĐ!AB232,NĐ!AF232))=7)*(CHOOSE({1,2,3,4},NĐ!W232,NĐ!AA232,NĐ!AE232,NĐ!AI232)))</f>
        <v>0</v>
      </c>
      <c r="H232">
        <f>SUMPRODUCT((MONTH(CHOOSE({1,2,3,4},NĐ!T232,NĐ!X232,NĐ!AB232,NĐ!AF232))=8)*(CHOOSE({1,2,3,4},NĐ!W232,NĐ!AA232,NĐ!AE232,NĐ!AI232)))</f>
        <v>0</v>
      </c>
      <c r="I232">
        <f>SUMPRODUCT((MONTH(CHOOSE({1,2,3,4},NĐ!T232,NĐ!X232,NĐ!AB232,NĐ!AF232))=9)*(CHOOSE({1,2,3,4},NĐ!W232,NĐ!AA232,NĐ!AE232,NĐ!AI232)))</f>
        <v>0</v>
      </c>
      <c r="J232">
        <f>SUMPRODUCT((MONTH(CHOOSE({1,2,3,4},NĐ!T232,NĐ!X232,NĐ!AB232,NĐ!AF232))=10)*(CHOOSE({1,2,3,4},NĐ!W232,NĐ!AA232,NĐ!AE232,NĐ!AI232)))</f>
        <v>0</v>
      </c>
      <c r="K232">
        <f>SUMPRODUCT((MONTH(CHOOSE({1,2,3,4},NĐ!T232,NĐ!X232,NĐ!AB232,NĐ!AF232))=11)*(CHOOSE({1,2,3,4},NĐ!W232,NĐ!AA232,NĐ!AE232,NĐ!AI232)))</f>
        <v>0</v>
      </c>
      <c r="L232">
        <f>SUMPRODUCT((MONTH(CHOOSE({1,2,3,4},NĐ!T232,NĐ!X232,NĐ!AB232,NĐ!AF232))=12)*(CHOOSE({1,2,3,4},NĐ!W232,NĐ!AA232,NĐ!AE232,NĐ!AI232)))</f>
        <v>0</v>
      </c>
    </row>
    <row r="233" spans="1:12">
      <c r="A233">
        <f>SUMPRODUCT((MONTH(CHOOSE({1,2,3,4},NĐ!T233,NĐ!X233,NĐ!AB233,NĐ!AF233))=1)*(CHOOSE({1,2,3,4},NĐ!W233,NĐ!AA233,NĐ!AE233,NĐ!AI233)))</f>
        <v>0</v>
      </c>
      <c r="B233">
        <f>SUMPRODUCT((MONTH(CHOOSE({1,2,3,4},NĐ!T233,NĐ!X233,NĐ!AB233,NĐ!AF233))=2)*(CHOOSE({1,2,3,4},NĐ!W233,NĐ!AA233,NĐ!AE233,NĐ!AI233)))</f>
        <v>0</v>
      </c>
      <c r="C233">
        <f>SUMPRODUCT((MONTH(CHOOSE({1,2,3,4},NĐ!T233,NĐ!X233,NĐ!AB233,NĐ!AF233))=3)*(CHOOSE({1,2,3,4},NĐ!W233,NĐ!AA233,NĐ!AE233,NĐ!AI233)))</f>
        <v>0</v>
      </c>
      <c r="D233">
        <f>SUMPRODUCT((MONTH(CHOOSE({1,2,3,4},NĐ!T233,NĐ!X233,NĐ!AB233,NĐ!AF233))=4)*(CHOOSE({1,2,3,4},NĐ!W233,NĐ!AA233,NĐ!AE233,NĐ!AI233)))</f>
        <v>0</v>
      </c>
      <c r="E233">
        <f>SUMPRODUCT((MONTH(CHOOSE({1,2,3,4},NĐ!T233,NĐ!X233,NĐ!AB233,NĐ!AF233))=5)*(CHOOSE({1,2,3,4},NĐ!W233,NĐ!AA233,NĐ!AE233,NĐ!AI233)))</f>
        <v>0</v>
      </c>
      <c r="F233">
        <f>SUMPRODUCT((MONTH(CHOOSE({1,2,3,4},NĐ!T233,NĐ!X233,NĐ!AB233,NĐ!AF233))=6)*(CHOOSE({1,2,3,4},NĐ!W233,NĐ!AA233,NĐ!AE233,NĐ!AI233)))</f>
        <v>0</v>
      </c>
      <c r="G233">
        <f>SUMPRODUCT((MONTH(CHOOSE({1,2,3,4},NĐ!T233,NĐ!X233,NĐ!AB233,NĐ!AF233))=7)*(CHOOSE({1,2,3,4},NĐ!W233,NĐ!AA233,NĐ!AE233,NĐ!AI233)))</f>
        <v>0</v>
      </c>
      <c r="H233">
        <f>SUMPRODUCT((MONTH(CHOOSE({1,2,3,4},NĐ!T233,NĐ!X233,NĐ!AB233,NĐ!AF233))=8)*(CHOOSE({1,2,3,4},NĐ!W233,NĐ!AA233,NĐ!AE233,NĐ!AI233)))</f>
        <v>0</v>
      </c>
      <c r="I233">
        <f>SUMPRODUCT((MONTH(CHOOSE({1,2,3,4},NĐ!T233,NĐ!X233,NĐ!AB233,NĐ!AF233))=9)*(CHOOSE({1,2,3,4},NĐ!W233,NĐ!AA233,NĐ!AE233,NĐ!AI233)))</f>
        <v>0</v>
      </c>
      <c r="J233">
        <f>SUMPRODUCT((MONTH(CHOOSE({1,2,3,4},NĐ!T233,NĐ!X233,NĐ!AB233,NĐ!AF233))=10)*(CHOOSE({1,2,3,4},NĐ!W233,NĐ!AA233,NĐ!AE233,NĐ!AI233)))</f>
        <v>0</v>
      </c>
      <c r="K233">
        <f>SUMPRODUCT((MONTH(CHOOSE({1,2,3,4},NĐ!T233,NĐ!X233,NĐ!AB233,NĐ!AF233))=11)*(CHOOSE({1,2,3,4},NĐ!W233,NĐ!AA233,NĐ!AE233,NĐ!AI233)))</f>
        <v>0</v>
      </c>
      <c r="L233">
        <f>SUMPRODUCT((MONTH(CHOOSE({1,2,3,4},NĐ!T233,NĐ!X233,NĐ!AB233,NĐ!AF233))=12)*(CHOOSE({1,2,3,4},NĐ!W233,NĐ!AA233,NĐ!AE233,NĐ!AI233)))</f>
        <v>0</v>
      </c>
    </row>
    <row r="234" spans="1:12">
      <c r="A234">
        <f>SUMPRODUCT((MONTH(CHOOSE({1,2,3,4},NĐ!T234,NĐ!X234,NĐ!AB234,NĐ!AF234))=1)*(CHOOSE({1,2,3,4},NĐ!W234,NĐ!AA234,NĐ!AE234,NĐ!AI234)))</f>
        <v>0</v>
      </c>
      <c r="B234">
        <f>SUMPRODUCT((MONTH(CHOOSE({1,2,3,4},NĐ!T234,NĐ!X234,NĐ!AB234,NĐ!AF234))=2)*(CHOOSE({1,2,3,4},NĐ!W234,NĐ!AA234,NĐ!AE234,NĐ!AI234)))</f>
        <v>0</v>
      </c>
      <c r="C234">
        <f>SUMPRODUCT((MONTH(CHOOSE({1,2,3,4},NĐ!T234,NĐ!X234,NĐ!AB234,NĐ!AF234))=3)*(CHOOSE({1,2,3,4},NĐ!W234,NĐ!AA234,NĐ!AE234,NĐ!AI234)))</f>
        <v>0</v>
      </c>
      <c r="D234">
        <f>SUMPRODUCT((MONTH(CHOOSE({1,2,3,4},NĐ!T234,NĐ!X234,NĐ!AB234,NĐ!AF234))=4)*(CHOOSE({1,2,3,4},NĐ!W234,NĐ!AA234,NĐ!AE234,NĐ!AI234)))</f>
        <v>0</v>
      </c>
      <c r="E234">
        <f>SUMPRODUCT((MONTH(CHOOSE({1,2,3,4},NĐ!T234,NĐ!X234,NĐ!AB234,NĐ!AF234))=5)*(CHOOSE({1,2,3,4},NĐ!W234,NĐ!AA234,NĐ!AE234,NĐ!AI234)))</f>
        <v>0</v>
      </c>
      <c r="F234">
        <f>SUMPRODUCT((MONTH(CHOOSE({1,2,3,4},NĐ!T234,NĐ!X234,NĐ!AB234,NĐ!AF234))=6)*(CHOOSE({1,2,3,4},NĐ!W234,NĐ!AA234,NĐ!AE234,NĐ!AI234)))</f>
        <v>0</v>
      </c>
      <c r="G234">
        <f>SUMPRODUCT((MONTH(CHOOSE({1,2,3,4},NĐ!T234,NĐ!X234,NĐ!AB234,NĐ!AF234))=7)*(CHOOSE({1,2,3,4},NĐ!W234,NĐ!AA234,NĐ!AE234,NĐ!AI234)))</f>
        <v>0</v>
      </c>
      <c r="H234">
        <f>SUMPRODUCT((MONTH(CHOOSE({1,2,3,4},NĐ!T234,NĐ!X234,NĐ!AB234,NĐ!AF234))=8)*(CHOOSE({1,2,3,4},NĐ!W234,NĐ!AA234,NĐ!AE234,NĐ!AI234)))</f>
        <v>0</v>
      </c>
      <c r="I234">
        <f>SUMPRODUCT((MONTH(CHOOSE({1,2,3,4},NĐ!T234,NĐ!X234,NĐ!AB234,NĐ!AF234))=9)*(CHOOSE({1,2,3,4},NĐ!W234,NĐ!AA234,NĐ!AE234,NĐ!AI234)))</f>
        <v>0</v>
      </c>
      <c r="J234">
        <f>SUMPRODUCT((MONTH(CHOOSE({1,2,3,4},NĐ!T234,NĐ!X234,NĐ!AB234,NĐ!AF234))=10)*(CHOOSE({1,2,3,4},NĐ!W234,NĐ!AA234,NĐ!AE234,NĐ!AI234)))</f>
        <v>0</v>
      </c>
      <c r="K234">
        <f>SUMPRODUCT((MONTH(CHOOSE({1,2,3,4},NĐ!T234,NĐ!X234,NĐ!AB234,NĐ!AF234))=11)*(CHOOSE({1,2,3,4},NĐ!W234,NĐ!AA234,NĐ!AE234,NĐ!AI234)))</f>
        <v>0</v>
      </c>
      <c r="L234">
        <f>SUMPRODUCT((MONTH(CHOOSE({1,2,3,4},NĐ!T234,NĐ!X234,NĐ!AB234,NĐ!AF234))=12)*(CHOOSE({1,2,3,4},NĐ!W234,NĐ!AA234,NĐ!AE234,NĐ!AI234)))</f>
        <v>0</v>
      </c>
    </row>
    <row r="235" spans="1:12">
      <c r="A235">
        <f>SUMPRODUCT((MONTH(CHOOSE({1,2,3,4},NĐ!T235,NĐ!X235,NĐ!AB235,NĐ!AF235))=1)*(CHOOSE({1,2,3,4},NĐ!W235,NĐ!AA235,NĐ!AE235,NĐ!AI235)))</f>
        <v>0</v>
      </c>
      <c r="B235">
        <f>SUMPRODUCT((MONTH(CHOOSE({1,2,3,4},NĐ!T235,NĐ!X235,NĐ!AB235,NĐ!AF235))=2)*(CHOOSE({1,2,3,4},NĐ!W235,NĐ!AA235,NĐ!AE235,NĐ!AI235)))</f>
        <v>0</v>
      </c>
      <c r="C235">
        <f>SUMPRODUCT((MONTH(CHOOSE({1,2,3,4},NĐ!T235,NĐ!X235,NĐ!AB235,NĐ!AF235))=3)*(CHOOSE({1,2,3,4},NĐ!W235,NĐ!AA235,NĐ!AE235,NĐ!AI235)))</f>
        <v>0</v>
      </c>
      <c r="D235">
        <f>SUMPRODUCT((MONTH(CHOOSE({1,2,3,4},NĐ!T235,NĐ!X235,NĐ!AB235,NĐ!AF235))=4)*(CHOOSE({1,2,3,4},NĐ!W235,NĐ!AA235,NĐ!AE235,NĐ!AI235)))</f>
        <v>0</v>
      </c>
      <c r="E235">
        <f>SUMPRODUCT((MONTH(CHOOSE({1,2,3,4},NĐ!T235,NĐ!X235,NĐ!AB235,NĐ!AF235))=5)*(CHOOSE({1,2,3,4},NĐ!W235,NĐ!AA235,NĐ!AE235,NĐ!AI235)))</f>
        <v>0</v>
      </c>
      <c r="F235">
        <f>SUMPRODUCT((MONTH(CHOOSE({1,2,3,4},NĐ!T235,NĐ!X235,NĐ!AB235,NĐ!AF235))=6)*(CHOOSE({1,2,3,4},NĐ!W235,NĐ!AA235,NĐ!AE235,NĐ!AI235)))</f>
        <v>0</v>
      </c>
      <c r="G235">
        <f>SUMPRODUCT((MONTH(CHOOSE({1,2,3,4},NĐ!T235,NĐ!X235,NĐ!AB235,NĐ!AF235))=7)*(CHOOSE({1,2,3,4},NĐ!W235,NĐ!AA235,NĐ!AE235,NĐ!AI235)))</f>
        <v>0</v>
      </c>
      <c r="H235">
        <f>SUMPRODUCT((MONTH(CHOOSE({1,2,3,4},NĐ!T235,NĐ!X235,NĐ!AB235,NĐ!AF235))=8)*(CHOOSE({1,2,3,4},NĐ!W235,NĐ!AA235,NĐ!AE235,NĐ!AI235)))</f>
        <v>0</v>
      </c>
      <c r="I235">
        <f>SUMPRODUCT((MONTH(CHOOSE({1,2,3,4},NĐ!T235,NĐ!X235,NĐ!AB235,NĐ!AF235))=9)*(CHOOSE({1,2,3,4},NĐ!W235,NĐ!AA235,NĐ!AE235,NĐ!AI235)))</f>
        <v>0</v>
      </c>
      <c r="J235">
        <f>SUMPRODUCT((MONTH(CHOOSE({1,2,3,4},NĐ!T235,NĐ!X235,NĐ!AB235,NĐ!AF235))=10)*(CHOOSE({1,2,3,4},NĐ!W235,NĐ!AA235,NĐ!AE235,NĐ!AI235)))</f>
        <v>0</v>
      </c>
      <c r="K235">
        <f>SUMPRODUCT((MONTH(CHOOSE({1,2,3,4},NĐ!T235,NĐ!X235,NĐ!AB235,NĐ!AF235))=11)*(CHOOSE({1,2,3,4},NĐ!W235,NĐ!AA235,NĐ!AE235,NĐ!AI235)))</f>
        <v>0</v>
      </c>
      <c r="L235">
        <f>SUMPRODUCT((MONTH(CHOOSE({1,2,3,4},NĐ!T235,NĐ!X235,NĐ!AB235,NĐ!AF235))=12)*(CHOOSE({1,2,3,4},NĐ!W235,NĐ!AA235,NĐ!AE235,NĐ!AI235)))</f>
        <v>0</v>
      </c>
    </row>
    <row r="236" spans="1:12">
      <c r="A236">
        <f>SUMPRODUCT((MONTH(CHOOSE({1,2,3,4},NĐ!T236,NĐ!X236,NĐ!AB236,NĐ!AF236))=1)*(CHOOSE({1,2,3,4},NĐ!W236,NĐ!AA236,NĐ!AE236,NĐ!AI236)))</f>
        <v>0</v>
      </c>
      <c r="B236">
        <f>SUMPRODUCT((MONTH(CHOOSE({1,2,3,4},NĐ!T236,NĐ!X236,NĐ!AB236,NĐ!AF236))=2)*(CHOOSE({1,2,3,4},NĐ!W236,NĐ!AA236,NĐ!AE236,NĐ!AI236)))</f>
        <v>0</v>
      </c>
      <c r="C236">
        <f>SUMPRODUCT((MONTH(CHOOSE({1,2,3,4},NĐ!T236,NĐ!X236,NĐ!AB236,NĐ!AF236))=3)*(CHOOSE({1,2,3,4},NĐ!W236,NĐ!AA236,NĐ!AE236,NĐ!AI236)))</f>
        <v>0</v>
      </c>
      <c r="D236">
        <f>SUMPRODUCT((MONTH(CHOOSE({1,2,3,4},NĐ!T236,NĐ!X236,NĐ!AB236,NĐ!AF236))=4)*(CHOOSE({1,2,3,4},NĐ!W236,NĐ!AA236,NĐ!AE236,NĐ!AI236)))</f>
        <v>0</v>
      </c>
      <c r="E236">
        <f>SUMPRODUCT((MONTH(CHOOSE({1,2,3,4},NĐ!T236,NĐ!X236,NĐ!AB236,NĐ!AF236))=5)*(CHOOSE({1,2,3,4},NĐ!W236,NĐ!AA236,NĐ!AE236,NĐ!AI236)))</f>
        <v>0</v>
      </c>
      <c r="F236">
        <f>SUMPRODUCT((MONTH(CHOOSE({1,2,3,4},NĐ!T236,NĐ!X236,NĐ!AB236,NĐ!AF236))=6)*(CHOOSE({1,2,3,4},NĐ!W236,NĐ!AA236,NĐ!AE236,NĐ!AI236)))</f>
        <v>0</v>
      </c>
      <c r="G236">
        <f>SUMPRODUCT((MONTH(CHOOSE({1,2,3,4},NĐ!T236,NĐ!X236,NĐ!AB236,NĐ!AF236))=7)*(CHOOSE({1,2,3,4},NĐ!W236,NĐ!AA236,NĐ!AE236,NĐ!AI236)))</f>
        <v>0</v>
      </c>
      <c r="H236">
        <f>SUMPRODUCT((MONTH(CHOOSE({1,2,3,4},NĐ!T236,NĐ!X236,NĐ!AB236,NĐ!AF236))=8)*(CHOOSE({1,2,3,4},NĐ!W236,NĐ!AA236,NĐ!AE236,NĐ!AI236)))</f>
        <v>0</v>
      </c>
      <c r="I236">
        <f>SUMPRODUCT((MONTH(CHOOSE({1,2,3,4},NĐ!T236,NĐ!X236,NĐ!AB236,NĐ!AF236))=9)*(CHOOSE({1,2,3,4},NĐ!W236,NĐ!AA236,NĐ!AE236,NĐ!AI236)))</f>
        <v>0</v>
      </c>
      <c r="J236">
        <f>SUMPRODUCT((MONTH(CHOOSE({1,2,3,4},NĐ!T236,NĐ!X236,NĐ!AB236,NĐ!AF236))=10)*(CHOOSE({1,2,3,4},NĐ!W236,NĐ!AA236,NĐ!AE236,NĐ!AI236)))</f>
        <v>0</v>
      </c>
      <c r="K236">
        <f>SUMPRODUCT((MONTH(CHOOSE({1,2,3,4},NĐ!T236,NĐ!X236,NĐ!AB236,NĐ!AF236))=11)*(CHOOSE({1,2,3,4},NĐ!W236,NĐ!AA236,NĐ!AE236,NĐ!AI236)))</f>
        <v>0</v>
      </c>
      <c r="L236">
        <f>SUMPRODUCT((MONTH(CHOOSE({1,2,3,4},NĐ!T236,NĐ!X236,NĐ!AB236,NĐ!AF236))=12)*(CHOOSE({1,2,3,4},NĐ!W236,NĐ!AA236,NĐ!AE236,NĐ!AI236)))</f>
        <v>0</v>
      </c>
    </row>
    <row r="237" spans="1:12">
      <c r="A237">
        <f>SUMPRODUCT((MONTH(CHOOSE({1,2,3,4},NĐ!T237,NĐ!X237,NĐ!AB237,NĐ!AF237))=1)*(CHOOSE({1,2,3,4},NĐ!W237,NĐ!AA237,NĐ!AE237,NĐ!AI237)))</f>
        <v>0</v>
      </c>
      <c r="B237">
        <f>SUMPRODUCT((MONTH(CHOOSE({1,2,3,4},NĐ!T237,NĐ!X237,NĐ!AB237,NĐ!AF237))=2)*(CHOOSE({1,2,3,4},NĐ!W237,NĐ!AA237,NĐ!AE237,NĐ!AI237)))</f>
        <v>0</v>
      </c>
      <c r="C237">
        <f>SUMPRODUCT((MONTH(CHOOSE({1,2,3,4},NĐ!T237,NĐ!X237,NĐ!AB237,NĐ!AF237))=3)*(CHOOSE({1,2,3,4},NĐ!W237,NĐ!AA237,NĐ!AE237,NĐ!AI237)))</f>
        <v>0</v>
      </c>
      <c r="D237">
        <f>SUMPRODUCT((MONTH(CHOOSE({1,2,3,4},NĐ!T237,NĐ!X237,NĐ!AB237,NĐ!AF237))=4)*(CHOOSE({1,2,3,4},NĐ!W237,NĐ!AA237,NĐ!AE237,NĐ!AI237)))</f>
        <v>0</v>
      </c>
      <c r="E237">
        <f>SUMPRODUCT((MONTH(CHOOSE({1,2,3,4},NĐ!T237,NĐ!X237,NĐ!AB237,NĐ!AF237))=5)*(CHOOSE({1,2,3,4},NĐ!W237,NĐ!AA237,NĐ!AE237,NĐ!AI237)))</f>
        <v>0</v>
      </c>
      <c r="F237">
        <f>SUMPRODUCT((MONTH(CHOOSE({1,2,3,4},NĐ!T237,NĐ!X237,NĐ!AB237,NĐ!AF237))=6)*(CHOOSE({1,2,3,4},NĐ!W237,NĐ!AA237,NĐ!AE237,NĐ!AI237)))</f>
        <v>0</v>
      </c>
      <c r="G237">
        <f>SUMPRODUCT((MONTH(CHOOSE({1,2,3,4},NĐ!T237,NĐ!X237,NĐ!AB237,NĐ!AF237))=7)*(CHOOSE({1,2,3,4},NĐ!W237,NĐ!AA237,NĐ!AE237,NĐ!AI237)))</f>
        <v>0</v>
      </c>
      <c r="H237">
        <f>SUMPRODUCT((MONTH(CHOOSE({1,2,3,4},NĐ!T237,NĐ!X237,NĐ!AB237,NĐ!AF237))=8)*(CHOOSE({1,2,3,4},NĐ!W237,NĐ!AA237,NĐ!AE237,NĐ!AI237)))</f>
        <v>0</v>
      </c>
      <c r="I237">
        <f>SUMPRODUCT((MONTH(CHOOSE({1,2,3,4},NĐ!T237,NĐ!X237,NĐ!AB237,NĐ!AF237))=9)*(CHOOSE({1,2,3,4},NĐ!W237,NĐ!AA237,NĐ!AE237,NĐ!AI237)))</f>
        <v>0</v>
      </c>
      <c r="J237">
        <f>SUMPRODUCT((MONTH(CHOOSE({1,2,3,4},NĐ!T237,NĐ!X237,NĐ!AB237,NĐ!AF237))=10)*(CHOOSE({1,2,3,4},NĐ!W237,NĐ!AA237,NĐ!AE237,NĐ!AI237)))</f>
        <v>0</v>
      </c>
      <c r="K237">
        <f>SUMPRODUCT((MONTH(CHOOSE({1,2,3,4},NĐ!T237,NĐ!X237,NĐ!AB237,NĐ!AF237))=11)*(CHOOSE({1,2,3,4},NĐ!W237,NĐ!AA237,NĐ!AE237,NĐ!AI237)))</f>
        <v>0</v>
      </c>
      <c r="L237">
        <f>SUMPRODUCT((MONTH(CHOOSE({1,2,3,4},NĐ!T237,NĐ!X237,NĐ!AB237,NĐ!AF237))=12)*(CHOOSE({1,2,3,4},NĐ!W237,NĐ!AA237,NĐ!AE237,NĐ!AI237)))</f>
        <v>0</v>
      </c>
    </row>
    <row r="238" spans="1:12">
      <c r="A238">
        <f>SUMPRODUCT((MONTH(CHOOSE({1,2,3,4},NĐ!T238,NĐ!X238,NĐ!AB238,NĐ!AF238))=1)*(CHOOSE({1,2,3,4},NĐ!W238,NĐ!AA238,NĐ!AE238,NĐ!AI238)))</f>
        <v>0</v>
      </c>
      <c r="B238">
        <f>SUMPRODUCT((MONTH(CHOOSE({1,2,3,4},NĐ!T238,NĐ!X238,NĐ!AB238,NĐ!AF238))=2)*(CHOOSE({1,2,3,4},NĐ!W238,NĐ!AA238,NĐ!AE238,NĐ!AI238)))</f>
        <v>0</v>
      </c>
      <c r="C238">
        <f>SUMPRODUCT((MONTH(CHOOSE({1,2,3,4},NĐ!T238,NĐ!X238,NĐ!AB238,NĐ!AF238))=3)*(CHOOSE({1,2,3,4},NĐ!W238,NĐ!AA238,NĐ!AE238,NĐ!AI238)))</f>
        <v>0</v>
      </c>
      <c r="D238">
        <f>SUMPRODUCT((MONTH(CHOOSE({1,2,3,4},NĐ!T238,NĐ!X238,NĐ!AB238,NĐ!AF238))=4)*(CHOOSE({1,2,3,4},NĐ!W238,NĐ!AA238,NĐ!AE238,NĐ!AI238)))</f>
        <v>0</v>
      </c>
      <c r="E238">
        <f>SUMPRODUCT((MONTH(CHOOSE({1,2,3,4},NĐ!T238,NĐ!X238,NĐ!AB238,NĐ!AF238))=5)*(CHOOSE({1,2,3,4},NĐ!W238,NĐ!AA238,NĐ!AE238,NĐ!AI238)))</f>
        <v>0</v>
      </c>
      <c r="F238">
        <f>SUMPRODUCT((MONTH(CHOOSE({1,2,3,4},NĐ!T238,NĐ!X238,NĐ!AB238,NĐ!AF238))=6)*(CHOOSE({1,2,3,4},NĐ!W238,NĐ!AA238,NĐ!AE238,NĐ!AI238)))</f>
        <v>0</v>
      </c>
      <c r="G238">
        <f>SUMPRODUCT((MONTH(CHOOSE({1,2,3,4},NĐ!T238,NĐ!X238,NĐ!AB238,NĐ!AF238))=7)*(CHOOSE({1,2,3,4},NĐ!W238,NĐ!AA238,NĐ!AE238,NĐ!AI238)))</f>
        <v>0</v>
      </c>
      <c r="H238">
        <f>SUMPRODUCT((MONTH(CHOOSE({1,2,3,4},NĐ!T238,NĐ!X238,NĐ!AB238,NĐ!AF238))=8)*(CHOOSE({1,2,3,4},NĐ!W238,NĐ!AA238,NĐ!AE238,NĐ!AI238)))</f>
        <v>0</v>
      </c>
      <c r="I238">
        <f>SUMPRODUCT((MONTH(CHOOSE({1,2,3,4},NĐ!T238,NĐ!X238,NĐ!AB238,NĐ!AF238))=9)*(CHOOSE({1,2,3,4},NĐ!W238,NĐ!AA238,NĐ!AE238,NĐ!AI238)))</f>
        <v>0</v>
      </c>
      <c r="J238">
        <f>SUMPRODUCT((MONTH(CHOOSE({1,2,3,4},NĐ!T238,NĐ!X238,NĐ!AB238,NĐ!AF238))=10)*(CHOOSE({1,2,3,4},NĐ!W238,NĐ!AA238,NĐ!AE238,NĐ!AI238)))</f>
        <v>0</v>
      </c>
      <c r="K238">
        <f>SUMPRODUCT((MONTH(CHOOSE({1,2,3,4},NĐ!T238,NĐ!X238,NĐ!AB238,NĐ!AF238))=11)*(CHOOSE({1,2,3,4},NĐ!W238,NĐ!AA238,NĐ!AE238,NĐ!AI238)))</f>
        <v>0</v>
      </c>
      <c r="L238">
        <f>SUMPRODUCT((MONTH(CHOOSE({1,2,3,4},NĐ!T238,NĐ!X238,NĐ!AB238,NĐ!AF238))=12)*(CHOOSE({1,2,3,4},NĐ!W238,NĐ!AA238,NĐ!AE238,NĐ!AI238)))</f>
        <v>0</v>
      </c>
    </row>
    <row r="239" spans="1:12">
      <c r="A239">
        <f>SUMPRODUCT((MONTH(CHOOSE({1,2,3,4},NĐ!T239,NĐ!X239,NĐ!AB239,NĐ!AF239))=1)*(CHOOSE({1,2,3,4},NĐ!W239,NĐ!AA239,NĐ!AE239,NĐ!AI239)))</f>
        <v>0</v>
      </c>
      <c r="B239">
        <f>SUMPRODUCT((MONTH(CHOOSE({1,2,3,4},NĐ!T239,NĐ!X239,NĐ!AB239,NĐ!AF239))=2)*(CHOOSE({1,2,3,4},NĐ!W239,NĐ!AA239,NĐ!AE239,NĐ!AI239)))</f>
        <v>0</v>
      </c>
      <c r="C239">
        <f>SUMPRODUCT((MONTH(CHOOSE({1,2,3,4},NĐ!T239,NĐ!X239,NĐ!AB239,NĐ!AF239))=3)*(CHOOSE({1,2,3,4},NĐ!W239,NĐ!AA239,NĐ!AE239,NĐ!AI239)))</f>
        <v>0</v>
      </c>
      <c r="D239">
        <f>SUMPRODUCT((MONTH(CHOOSE({1,2,3,4},NĐ!T239,NĐ!X239,NĐ!AB239,NĐ!AF239))=4)*(CHOOSE({1,2,3,4},NĐ!W239,NĐ!AA239,NĐ!AE239,NĐ!AI239)))</f>
        <v>0</v>
      </c>
      <c r="E239">
        <f>SUMPRODUCT((MONTH(CHOOSE({1,2,3,4},NĐ!T239,NĐ!X239,NĐ!AB239,NĐ!AF239))=5)*(CHOOSE({1,2,3,4},NĐ!W239,NĐ!AA239,NĐ!AE239,NĐ!AI239)))</f>
        <v>0</v>
      </c>
      <c r="F239">
        <f>SUMPRODUCT((MONTH(CHOOSE({1,2,3,4},NĐ!T239,NĐ!X239,NĐ!AB239,NĐ!AF239))=6)*(CHOOSE({1,2,3,4},NĐ!W239,NĐ!AA239,NĐ!AE239,NĐ!AI239)))</f>
        <v>0</v>
      </c>
      <c r="G239">
        <f>SUMPRODUCT((MONTH(CHOOSE({1,2,3,4},NĐ!T239,NĐ!X239,NĐ!AB239,NĐ!AF239))=7)*(CHOOSE({1,2,3,4},NĐ!W239,NĐ!AA239,NĐ!AE239,NĐ!AI239)))</f>
        <v>0</v>
      </c>
      <c r="H239">
        <f>SUMPRODUCT((MONTH(CHOOSE({1,2,3,4},NĐ!T239,NĐ!X239,NĐ!AB239,NĐ!AF239))=8)*(CHOOSE({1,2,3,4},NĐ!W239,NĐ!AA239,NĐ!AE239,NĐ!AI239)))</f>
        <v>0</v>
      </c>
      <c r="I239">
        <f>SUMPRODUCT((MONTH(CHOOSE({1,2,3,4},NĐ!T239,NĐ!X239,NĐ!AB239,NĐ!AF239))=9)*(CHOOSE({1,2,3,4},NĐ!W239,NĐ!AA239,NĐ!AE239,NĐ!AI239)))</f>
        <v>0</v>
      </c>
      <c r="J239">
        <f>SUMPRODUCT((MONTH(CHOOSE({1,2,3,4},NĐ!T239,NĐ!X239,NĐ!AB239,NĐ!AF239))=10)*(CHOOSE({1,2,3,4},NĐ!W239,NĐ!AA239,NĐ!AE239,NĐ!AI239)))</f>
        <v>0</v>
      </c>
      <c r="K239">
        <f>SUMPRODUCT((MONTH(CHOOSE({1,2,3,4},NĐ!T239,NĐ!X239,NĐ!AB239,NĐ!AF239))=11)*(CHOOSE({1,2,3,4},NĐ!W239,NĐ!AA239,NĐ!AE239,NĐ!AI239)))</f>
        <v>0</v>
      </c>
      <c r="L239">
        <f>SUMPRODUCT((MONTH(CHOOSE({1,2,3,4},NĐ!T239,NĐ!X239,NĐ!AB239,NĐ!AF239))=12)*(CHOOSE({1,2,3,4},NĐ!W239,NĐ!AA239,NĐ!AE239,NĐ!AI239)))</f>
        <v>0</v>
      </c>
    </row>
    <row r="240" spans="1:12">
      <c r="A240">
        <f>SUMPRODUCT((MONTH(CHOOSE({1,2,3,4},NĐ!T240,NĐ!X240,NĐ!AB240,NĐ!AF240))=1)*(CHOOSE({1,2,3,4},NĐ!W240,NĐ!AA240,NĐ!AE240,NĐ!AI240)))</f>
        <v>0</v>
      </c>
      <c r="B240">
        <f>SUMPRODUCT((MONTH(CHOOSE({1,2,3,4},NĐ!T240,NĐ!X240,NĐ!AB240,NĐ!AF240))=2)*(CHOOSE({1,2,3,4},NĐ!W240,NĐ!AA240,NĐ!AE240,NĐ!AI240)))</f>
        <v>0</v>
      </c>
      <c r="C240">
        <f>SUMPRODUCT((MONTH(CHOOSE({1,2,3,4},NĐ!T240,NĐ!X240,NĐ!AB240,NĐ!AF240))=3)*(CHOOSE({1,2,3,4},NĐ!W240,NĐ!AA240,NĐ!AE240,NĐ!AI240)))</f>
        <v>0</v>
      </c>
      <c r="D240">
        <f>SUMPRODUCT((MONTH(CHOOSE({1,2,3,4},NĐ!T240,NĐ!X240,NĐ!AB240,NĐ!AF240))=4)*(CHOOSE({1,2,3,4},NĐ!W240,NĐ!AA240,NĐ!AE240,NĐ!AI240)))</f>
        <v>0</v>
      </c>
      <c r="E240">
        <f>SUMPRODUCT((MONTH(CHOOSE({1,2,3,4},NĐ!T240,NĐ!X240,NĐ!AB240,NĐ!AF240))=5)*(CHOOSE({1,2,3,4},NĐ!W240,NĐ!AA240,NĐ!AE240,NĐ!AI240)))</f>
        <v>0</v>
      </c>
      <c r="F240">
        <f>SUMPRODUCT((MONTH(CHOOSE({1,2,3,4},NĐ!T240,NĐ!X240,NĐ!AB240,NĐ!AF240))=6)*(CHOOSE({1,2,3,4},NĐ!W240,NĐ!AA240,NĐ!AE240,NĐ!AI240)))</f>
        <v>0</v>
      </c>
      <c r="G240">
        <f>SUMPRODUCT((MONTH(CHOOSE({1,2,3,4},NĐ!T240,NĐ!X240,NĐ!AB240,NĐ!AF240))=7)*(CHOOSE({1,2,3,4},NĐ!W240,NĐ!AA240,NĐ!AE240,NĐ!AI240)))</f>
        <v>0</v>
      </c>
      <c r="H240">
        <f>SUMPRODUCT((MONTH(CHOOSE({1,2,3,4},NĐ!T240,NĐ!X240,NĐ!AB240,NĐ!AF240))=8)*(CHOOSE({1,2,3,4},NĐ!W240,NĐ!AA240,NĐ!AE240,NĐ!AI240)))</f>
        <v>0</v>
      </c>
      <c r="I240">
        <f>SUMPRODUCT((MONTH(CHOOSE({1,2,3,4},NĐ!T240,NĐ!X240,NĐ!AB240,NĐ!AF240))=9)*(CHOOSE({1,2,3,4},NĐ!W240,NĐ!AA240,NĐ!AE240,NĐ!AI240)))</f>
        <v>0</v>
      </c>
      <c r="J240">
        <f>SUMPRODUCT((MONTH(CHOOSE({1,2,3,4},NĐ!T240,NĐ!X240,NĐ!AB240,NĐ!AF240))=10)*(CHOOSE({1,2,3,4},NĐ!W240,NĐ!AA240,NĐ!AE240,NĐ!AI240)))</f>
        <v>0</v>
      </c>
      <c r="K240">
        <f>SUMPRODUCT((MONTH(CHOOSE({1,2,3,4},NĐ!T240,NĐ!X240,NĐ!AB240,NĐ!AF240))=11)*(CHOOSE({1,2,3,4},NĐ!W240,NĐ!AA240,NĐ!AE240,NĐ!AI240)))</f>
        <v>0</v>
      </c>
      <c r="L240">
        <f>SUMPRODUCT((MONTH(CHOOSE({1,2,3,4},NĐ!T240,NĐ!X240,NĐ!AB240,NĐ!AF240))=12)*(CHOOSE({1,2,3,4},NĐ!W240,NĐ!AA240,NĐ!AE240,NĐ!AI240)))</f>
        <v>0</v>
      </c>
    </row>
    <row r="241" spans="1:12">
      <c r="A241">
        <f>SUMPRODUCT((MONTH(CHOOSE({1,2,3,4},NĐ!T241,NĐ!X241,NĐ!AB241,NĐ!AF241))=1)*(CHOOSE({1,2,3,4},NĐ!W241,NĐ!AA241,NĐ!AE241,NĐ!AI241)))</f>
        <v>0</v>
      </c>
      <c r="B241">
        <f>SUMPRODUCT((MONTH(CHOOSE({1,2,3,4},NĐ!T241,NĐ!X241,NĐ!AB241,NĐ!AF241))=2)*(CHOOSE({1,2,3,4},NĐ!W241,NĐ!AA241,NĐ!AE241,NĐ!AI241)))</f>
        <v>0</v>
      </c>
      <c r="C241">
        <f>SUMPRODUCT((MONTH(CHOOSE({1,2,3,4},NĐ!T241,NĐ!X241,NĐ!AB241,NĐ!AF241))=3)*(CHOOSE({1,2,3,4},NĐ!W241,NĐ!AA241,NĐ!AE241,NĐ!AI241)))</f>
        <v>0</v>
      </c>
      <c r="D241">
        <f>SUMPRODUCT((MONTH(CHOOSE({1,2,3,4},NĐ!T241,NĐ!X241,NĐ!AB241,NĐ!AF241))=4)*(CHOOSE({1,2,3,4},NĐ!W241,NĐ!AA241,NĐ!AE241,NĐ!AI241)))</f>
        <v>0</v>
      </c>
      <c r="E241">
        <f>SUMPRODUCT((MONTH(CHOOSE({1,2,3,4},NĐ!T241,NĐ!X241,NĐ!AB241,NĐ!AF241))=5)*(CHOOSE({1,2,3,4},NĐ!W241,NĐ!AA241,NĐ!AE241,NĐ!AI241)))</f>
        <v>0</v>
      </c>
      <c r="F241">
        <f>SUMPRODUCT((MONTH(CHOOSE({1,2,3,4},NĐ!T241,NĐ!X241,NĐ!AB241,NĐ!AF241))=6)*(CHOOSE({1,2,3,4},NĐ!W241,NĐ!AA241,NĐ!AE241,NĐ!AI241)))</f>
        <v>0</v>
      </c>
      <c r="G241">
        <f>SUMPRODUCT((MONTH(CHOOSE({1,2,3,4},NĐ!T241,NĐ!X241,NĐ!AB241,NĐ!AF241))=7)*(CHOOSE({1,2,3,4},NĐ!W241,NĐ!AA241,NĐ!AE241,NĐ!AI241)))</f>
        <v>0</v>
      </c>
      <c r="H241">
        <f>SUMPRODUCT((MONTH(CHOOSE({1,2,3,4},NĐ!T241,NĐ!X241,NĐ!AB241,NĐ!AF241))=8)*(CHOOSE({1,2,3,4},NĐ!W241,NĐ!AA241,NĐ!AE241,NĐ!AI241)))</f>
        <v>0</v>
      </c>
      <c r="I241">
        <f>SUMPRODUCT((MONTH(CHOOSE({1,2,3,4},NĐ!T241,NĐ!X241,NĐ!AB241,NĐ!AF241))=9)*(CHOOSE({1,2,3,4},NĐ!W241,NĐ!AA241,NĐ!AE241,NĐ!AI241)))</f>
        <v>0</v>
      </c>
      <c r="J241">
        <f>SUMPRODUCT((MONTH(CHOOSE({1,2,3,4},NĐ!T241,NĐ!X241,NĐ!AB241,NĐ!AF241))=10)*(CHOOSE({1,2,3,4},NĐ!W241,NĐ!AA241,NĐ!AE241,NĐ!AI241)))</f>
        <v>0</v>
      </c>
      <c r="K241">
        <f>SUMPRODUCT((MONTH(CHOOSE({1,2,3,4},NĐ!T241,NĐ!X241,NĐ!AB241,NĐ!AF241))=11)*(CHOOSE({1,2,3,4},NĐ!W241,NĐ!AA241,NĐ!AE241,NĐ!AI241)))</f>
        <v>0</v>
      </c>
      <c r="L241">
        <f>SUMPRODUCT((MONTH(CHOOSE({1,2,3,4},NĐ!T241,NĐ!X241,NĐ!AB241,NĐ!AF241))=12)*(CHOOSE({1,2,3,4},NĐ!W241,NĐ!AA241,NĐ!AE241,NĐ!AI241)))</f>
        <v>0</v>
      </c>
    </row>
    <row r="242" spans="1:12">
      <c r="A242">
        <f>SUMPRODUCT((MONTH(CHOOSE({1,2,3,4},NĐ!T242,NĐ!X242,NĐ!AB242,NĐ!AF242))=1)*(CHOOSE({1,2,3,4},NĐ!W242,NĐ!AA242,NĐ!AE242,NĐ!AI242)))</f>
        <v>0</v>
      </c>
      <c r="B242">
        <f>SUMPRODUCT((MONTH(CHOOSE({1,2,3,4},NĐ!T242,NĐ!X242,NĐ!AB242,NĐ!AF242))=2)*(CHOOSE({1,2,3,4},NĐ!W242,NĐ!AA242,NĐ!AE242,NĐ!AI242)))</f>
        <v>0</v>
      </c>
      <c r="C242">
        <f>SUMPRODUCT((MONTH(CHOOSE({1,2,3,4},NĐ!T242,NĐ!X242,NĐ!AB242,NĐ!AF242))=3)*(CHOOSE({1,2,3,4},NĐ!W242,NĐ!AA242,NĐ!AE242,NĐ!AI242)))</f>
        <v>0</v>
      </c>
      <c r="D242">
        <f>SUMPRODUCT((MONTH(CHOOSE({1,2,3,4},NĐ!T242,NĐ!X242,NĐ!AB242,NĐ!AF242))=4)*(CHOOSE({1,2,3,4},NĐ!W242,NĐ!AA242,NĐ!AE242,NĐ!AI242)))</f>
        <v>0</v>
      </c>
      <c r="E242">
        <f>SUMPRODUCT((MONTH(CHOOSE({1,2,3,4},NĐ!T242,NĐ!X242,NĐ!AB242,NĐ!AF242))=5)*(CHOOSE({1,2,3,4},NĐ!W242,NĐ!AA242,NĐ!AE242,NĐ!AI242)))</f>
        <v>0</v>
      </c>
      <c r="F242">
        <f>SUMPRODUCT((MONTH(CHOOSE({1,2,3,4},NĐ!T242,NĐ!X242,NĐ!AB242,NĐ!AF242))=6)*(CHOOSE({1,2,3,4},NĐ!W242,NĐ!AA242,NĐ!AE242,NĐ!AI242)))</f>
        <v>0</v>
      </c>
      <c r="G242">
        <f>SUMPRODUCT((MONTH(CHOOSE({1,2,3,4},NĐ!T242,NĐ!X242,NĐ!AB242,NĐ!AF242))=7)*(CHOOSE({1,2,3,4},NĐ!W242,NĐ!AA242,NĐ!AE242,NĐ!AI242)))</f>
        <v>0</v>
      </c>
      <c r="H242">
        <f>SUMPRODUCT((MONTH(CHOOSE({1,2,3,4},NĐ!T242,NĐ!X242,NĐ!AB242,NĐ!AF242))=8)*(CHOOSE({1,2,3,4},NĐ!W242,NĐ!AA242,NĐ!AE242,NĐ!AI242)))</f>
        <v>0</v>
      </c>
      <c r="I242">
        <f>SUMPRODUCT((MONTH(CHOOSE({1,2,3,4},NĐ!T242,NĐ!X242,NĐ!AB242,NĐ!AF242))=9)*(CHOOSE({1,2,3,4},NĐ!W242,NĐ!AA242,NĐ!AE242,NĐ!AI242)))</f>
        <v>0</v>
      </c>
      <c r="J242">
        <f>SUMPRODUCT((MONTH(CHOOSE({1,2,3,4},NĐ!T242,NĐ!X242,NĐ!AB242,NĐ!AF242))=10)*(CHOOSE({1,2,3,4},NĐ!W242,NĐ!AA242,NĐ!AE242,NĐ!AI242)))</f>
        <v>0</v>
      </c>
      <c r="K242">
        <f>SUMPRODUCT((MONTH(CHOOSE({1,2,3,4},NĐ!T242,NĐ!X242,NĐ!AB242,NĐ!AF242))=11)*(CHOOSE({1,2,3,4},NĐ!W242,NĐ!AA242,NĐ!AE242,NĐ!AI242)))</f>
        <v>0</v>
      </c>
      <c r="L242">
        <f>SUMPRODUCT((MONTH(CHOOSE({1,2,3,4},NĐ!T242,NĐ!X242,NĐ!AB242,NĐ!AF242))=12)*(CHOOSE({1,2,3,4},NĐ!W242,NĐ!AA242,NĐ!AE242,NĐ!AI242)))</f>
        <v>0</v>
      </c>
    </row>
    <row r="243" spans="1:12">
      <c r="A243">
        <f>SUMPRODUCT((MONTH(CHOOSE({1,2,3,4},NĐ!T243,NĐ!X243,NĐ!AB243,NĐ!AF243))=1)*(CHOOSE({1,2,3,4},NĐ!W243,NĐ!AA243,NĐ!AE243,NĐ!AI243)))</f>
        <v>0</v>
      </c>
      <c r="B243">
        <f>SUMPRODUCT((MONTH(CHOOSE({1,2,3,4},NĐ!T243,NĐ!X243,NĐ!AB243,NĐ!AF243))=2)*(CHOOSE({1,2,3,4},NĐ!W243,NĐ!AA243,NĐ!AE243,NĐ!AI243)))</f>
        <v>0</v>
      </c>
      <c r="C243">
        <f>SUMPRODUCT((MONTH(CHOOSE({1,2,3,4},NĐ!T243,NĐ!X243,NĐ!AB243,NĐ!AF243))=3)*(CHOOSE({1,2,3,4},NĐ!W243,NĐ!AA243,NĐ!AE243,NĐ!AI243)))</f>
        <v>0</v>
      </c>
      <c r="D243">
        <f>SUMPRODUCT((MONTH(CHOOSE({1,2,3,4},NĐ!T243,NĐ!X243,NĐ!AB243,NĐ!AF243))=4)*(CHOOSE({1,2,3,4},NĐ!W243,NĐ!AA243,NĐ!AE243,NĐ!AI243)))</f>
        <v>0</v>
      </c>
      <c r="E243">
        <f>SUMPRODUCT((MONTH(CHOOSE({1,2,3,4},NĐ!T243,NĐ!X243,NĐ!AB243,NĐ!AF243))=5)*(CHOOSE({1,2,3,4},NĐ!W243,NĐ!AA243,NĐ!AE243,NĐ!AI243)))</f>
        <v>0</v>
      </c>
      <c r="F243">
        <f>SUMPRODUCT((MONTH(CHOOSE({1,2,3,4},NĐ!T243,NĐ!X243,NĐ!AB243,NĐ!AF243))=6)*(CHOOSE({1,2,3,4},NĐ!W243,NĐ!AA243,NĐ!AE243,NĐ!AI243)))</f>
        <v>0</v>
      </c>
      <c r="G243">
        <f>SUMPRODUCT((MONTH(CHOOSE({1,2,3,4},NĐ!T243,NĐ!X243,NĐ!AB243,NĐ!AF243))=7)*(CHOOSE({1,2,3,4},NĐ!W243,NĐ!AA243,NĐ!AE243,NĐ!AI243)))</f>
        <v>0</v>
      </c>
      <c r="H243">
        <f>SUMPRODUCT((MONTH(CHOOSE({1,2,3,4},NĐ!T243,NĐ!X243,NĐ!AB243,NĐ!AF243))=8)*(CHOOSE({1,2,3,4},NĐ!W243,NĐ!AA243,NĐ!AE243,NĐ!AI243)))</f>
        <v>0</v>
      </c>
      <c r="I243">
        <f>SUMPRODUCT((MONTH(CHOOSE({1,2,3,4},NĐ!T243,NĐ!X243,NĐ!AB243,NĐ!AF243))=9)*(CHOOSE({1,2,3,4},NĐ!W243,NĐ!AA243,NĐ!AE243,NĐ!AI243)))</f>
        <v>0</v>
      </c>
      <c r="J243">
        <f>SUMPRODUCT((MONTH(CHOOSE({1,2,3,4},NĐ!T243,NĐ!X243,NĐ!AB243,NĐ!AF243))=10)*(CHOOSE({1,2,3,4},NĐ!W243,NĐ!AA243,NĐ!AE243,NĐ!AI243)))</f>
        <v>0</v>
      </c>
      <c r="K243">
        <f>SUMPRODUCT((MONTH(CHOOSE({1,2,3,4},NĐ!T243,NĐ!X243,NĐ!AB243,NĐ!AF243))=11)*(CHOOSE({1,2,3,4},NĐ!W243,NĐ!AA243,NĐ!AE243,NĐ!AI243)))</f>
        <v>0</v>
      </c>
      <c r="L243">
        <f>SUMPRODUCT((MONTH(CHOOSE({1,2,3,4},NĐ!T243,NĐ!X243,NĐ!AB243,NĐ!AF243))=12)*(CHOOSE({1,2,3,4},NĐ!W243,NĐ!AA243,NĐ!AE243,NĐ!AI243)))</f>
        <v>0</v>
      </c>
    </row>
    <row r="244" spans="1:12">
      <c r="A244">
        <f>SUMPRODUCT((MONTH(CHOOSE({1,2,3,4},NĐ!T244,NĐ!X244,NĐ!AB244,NĐ!AF244))=1)*(CHOOSE({1,2,3,4},NĐ!W244,NĐ!AA244,NĐ!AE244,NĐ!AI244)))</f>
        <v>0</v>
      </c>
      <c r="B244">
        <f>SUMPRODUCT((MONTH(CHOOSE({1,2,3,4},NĐ!T244,NĐ!X244,NĐ!AB244,NĐ!AF244))=2)*(CHOOSE({1,2,3,4},NĐ!W244,NĐ!AA244,NĐ!AE244,NĐ!AI244)))</f>
        <v>0</v>
      </c>
      <c r="C244">
        <f>SUMPRODUCT((MONTH(CHOOSE({1,2,3,4},NĐ!T244,NĐ!X244,NĐ!AB244,NĐ!AF244))=3)*(CHOOSE({1,2,3,4},NĐ!W244,NĐ!AA244,NĐ!AE244,NĐ!AI244)))</f>
        <v>0</v>
      </c>
      <c r="D244">
        <f>SUMPRODUCT((MONTH(CHOOSE({1,2,3,4},NĐ!T244,NĐ!X244,NĐ!AB244,NĐ!AF244))=4)*(CHOOSE({1,2,3,4},NĐ!W244,NĐ!AA244,NĐ!AE244,NĐ!AI244)))</f>
        <v>0</v>
      </c>
      <c r="E244">
        <f>SUMPRODUCT((MONTH(CHOOSE({1,2,3,4},NĐ!T244,NĐ!X244,NĐ!AB244,NĐ!AF244))=5)*(CHOOSE({1,2,3,4},NĐ!W244,NĐ!AA244,NĐ!AE244,NĐ!AI244)))</f>
        <v>0</v>
      </c>
      <c r="F244">
        <f>SUMPRODUCT((MONTH(CHOOSE({1,2,3,4},NĐ!T244,NĐ!X244,NĐ!AB244,NĐ!AF244))=6)*(CHOOSE({1,2,3,4},NĐ!W244,NĐ!AA244,NĐ!AE244,NĐ!AI244)))</f>
        <v>0</v>
      </c>
      <c r="G244">
        <f>SUMPRODUCT((MONTH(CHOOSE({1,2,3,4},NĐ!T244,NĐ!X244,NĐ!AB244,NĐ!AF244))=7)*(CHOOSE({1,2,3,4},NĐ!W244,NĐ!AA244,NĐ!AE244,NĐ!AI244)))</f>
        <v>0</v>
      </c>
      <c r="H244">
        <f>SUMPRODUCT((MONTH(CHOOSE({1,2,3,4},NĐ!T244,NĐ!X244,NĐ!AB244,NĐ!AF244))=8)*(CHOOSE({1,2,3,4},NĐ!W244,NĐ!AA244,NĐ!AE244,NĐ!AI244)))</f>
        <v>0</v>
      </c>
      <c r="I244">
        <f>SUMPRODUCT((MONTH(CHOOSE({1,2,3,4},NĐ!T244,NĐ!X244,NĐ!AB244,NĐ!AF244))=9)*(CHOOSE({1,2,3,4},NĐ!W244,NĐ!AA244,NĐ!AE244,NĐ!AI244)))</f>
        <v>0</v>
      </c>
      <c r="J244">
        <f>SUMPRODUCT((MONTH(CHOOSE({1,2,3,4},NĐ!T244,NĐ!X244,NĐ!AB244,NĐ!AF244))=10)*(CHOOSE({1,2,3,4},NĐ!W244,NĐ!AA244,NĐ!AE244,NĐ!AI244)))</f>
        <v>0</v>
      </c>
      <c r="K244">
        <f>SUMPRODUCT((MONTH(CHOOSE({1,2,3,4},NĐ!T244,NĐ!X244,NĐ!AB244,NĐ!AF244))=11)*(CHOOSE({1,2,3,4},NĐ!W244,NĐ!AA244,NĐ!AE244,NĐ!AI244)))</f>
        <v>0</v>
      </c>
      <c r="L244">
        <f>SUMPRODUCT((MONTH(CHOOSE({1,2,3,4},NĐ!T244,NĐ!X244,NĐ!AB244,NĐ!AF244))=12)*(CHOOSE({1,2,3,4},NĐ!W244,NĐ!AA244,NĐ!AE244,NĐ!AI244)))</f>
        <v>0</v>
      </c>
    </row>
    <row r="245" spans="1:12">
      <c r="A245">
        <f>SUMPRODUCT((MONTH(CHOOSE({1,2,3,4},NĐ!T245,NĐ!X245,NĐ!AB245,NĐ!AF245))=1)*(CHOOSE({1,2,3,4},NĐ!W245,NĐ!AA245,NĐ!AE245,NĐ!AI245)))</f>
        <v>0</v>
      </c>
      <c r="B245">
        <f>SUMPRODUCT((MONTH(CHOOSE({1,2,3,4},NĐ!T245,NĐ!X245,NĐ!AB245,NĐ!AF245))=2)*(CHOOSE({1,2,3,4},NĐ!W245,NĐ!AA245,NĐ!AE245,NĐ!AI245)))</f>
        <v>0</v>
      </c>
      <c r="C245">
        <f>SUMPRODUCT((MONTH(CHOOSE({1,2,3,4},NĐ!T245,NĐ!X245,NĐ!AB245,NĐ!AF245))=3)*(CHOOSE({1,2,3,4},NĐ!W245,NĐ!AA245,NĐ!AE245,NĐ!AI245)))</f>
        <v>0</v>
      </c>
      <c r="D245">
        <f>SUMPRODUCT((MONTH(CHOOSE({1,2,3,4},NĐ!T245,NĐ!X245,NĐ!AB245,NĐ!AF245))=4)*(CHOOSE({1,2,3,4},NĐ!W245,NĐ!AA245,NĐ!AE245,NĐ!AI245)))</f>
        <v>0</v>
      </c>
      <c r="E245">
        <f>SUMPRODUCT((MONTH(CHOOSE({1,2,3,4},NĐ!T245,NĐ!X245,NĐ!AB245,NĐ!AF245))=5)*(CHOOSE({1,2,3,4},NĐ!W245,NĐ!AA245,NĐ!AE245,NĐ!AI245)))</f>
        <v>0</v>
      </c>
      <c r="F245">
        <f>SUMPRODUCT((MONTH(CHOOSE({1,2,3,4},NĐ!T245,NĐ!X245,NĐ!AB245,NĐ!AF245))=6)*(CHOOSE({1,2,3,4},NĐ!W245,NĐ!AA245,NĐ!AE245,NĐ!AI245)))</f>
        <v>0</v>
      </c>
      <c r="G245">
        <f>SUMPRODUCT((MONTH(CHOOSE({1,2,3,4},NĐ!T245,NĐ!X245,NĐ!AB245,NĐ!AF245))=7)*(CHOOSE({1,2,3,4},NĐ!W245,NĐ!AA245,NĐ!AE245,NĐ!AI245)))</f>
        <v>0</v>
      </c>
      <c r="H245">
        <f>SUMPRODUCT((MONTH(CHOOSE({1,2,3,4},NĐ!T245,NĐ!X245,NĐ!AB245,NĐ!AF245))=8)*(CHOOSE({1,2,3,4},NĐ!W245,NĐ!AA245,NĐ!AE245,NĐ!AI245)))</f>
        <v>0</v>
      </c>
      <c r="I245">
        <f>SUMPRODUCT((MONTH(CHOOSE({1,2,3,4},NĐ!T245,NĐ!X245,NĐ!AB245,NĐ!AF245))=9)*(CHOOSE({1,2,3,4},NĐ!W245,NĐ!AA245,NĐ!AE245,NĐ!AI245)))</f>
        <v>0</v>
      </c>
      <c r="J245">
        <f>SUMPRODUCT((MONTH(CHOOSE({1,2,3,4},NĐ!T245,NĐ!X245,NĐ!AB245,NĐ!AF245))=10)*(CHOOSE({1,2,3,4},NĐ!W245,NĐ!AA245,NĐ!AE245,NĐ!AI245)))</f>
        <v>0</v>
      </c>
      <c r="K245">
        <f>SUMPRODUCT((MONTH(CHOOSE({1,2,3,4},NĐ!T245,NĐ!X245,NĐ!AB245,NĐ!AF245))=11)*(CHOOSE({1,2,3,4},NĐ!W245,NĐ!AA245,NĐ!AE245,NĐ!AI245)))</f>
        <v>0</v>
      </c>
      <c r="L245">
        <f>SUMPRODUCT((MONTH(CHOOSE({1,2,3,4},NĐ!T245,NĐ!X245,NĐ!AB245,NĐ!AF245))=12)*(CHOOSE({1,2,3,4},NĐ!W245,NĐ!AA245,NĐ!AE245,NĐ!AI245)))</f>
        <v>0</v>
      </c>
    </row>
    <row r="246" spans="1:12">
      <c r="A246">
        <f>SUMPRODUCT((MONTH(CHOOSE({1,2,3,4},NĐ!T246,NĐ!X246,NĐ!AB246,NĐ!AF246))=1)*(CHOOSE({1,2,3,4},NĐ!W246,NĐ!AA246,NĐ!AE246,NĐ!AI246)))</f>
        <v>0</v>
      </c>
      <c r="B246">
        <f>SUMPRODUCT((MONTH(CHOOSE({1,2,3,4},NĐ!T246,NĐ!X246,NĐ!AB246,NĐ!AF246))=2)*(CHOOSE({1,2,3,4},NĐ!W246,NĐ!AA246,NĐ!AE246,NĐ!AI246)))</f>
        <v>0</v>
      </c>
      <c r="C246">
        <f>SUMPRODUCT((MONTH(CHOOSE({1,2,3,4},NĐ!T246,NĐ!X246,NĐ!AB246,NĐ!AF246))=3)*(CHOOSE({1,2,3,4},NĐ!W246,NĐ!AA246,NĐ!AE246,NĐ!AI246)))</f>
        <v>0</v>
      </c>
      <c r="D246">
        <f>SUMPRODUCT((MONTH(CHOOSE({1,2,3,4},NĐ!T246,NĐ!X246,NĐ!AB246,NĐ!AF246))=4)*(CHOOSE({1,2,3,4},NĐ!W246,NĐ!AA246,NĐ!AE246,NĐ!AI246)))</f>
        <v>0</v>
      </c>
      <c r="E246">
        <f>SUMPRODUCT((MONTH(CHOOSE({1,2,3,4},NĐ!T246,NĐ!X246,NĐ!AB246,NĐ!AF246))=5)*(CHOOSE({1,2,3,4},NĐ!W246,NĐ!AA246,NĐ!AE246,NĐ!AI246)))</f>
        <v>0</v>
      </c>
      <c r="F246">
        <f>SUMPRODUCT((MONTH(CHOOSE({1,2,3,4},NĐ!T246,NĐ!X246,NĐ!AB246,NĐ!AF246))=6)*(CHOOSE({1,2,3,4},NĐ!W246,NĐ!AA246,NĐ!AE246,NĐ!AI246)))</f>
        <v>0</v>
      </c>
      <c r="G246">
        <f>SUMPRODUCT((MONTH(CHOOSE({1,2,3,4},NĐ!T246,NĐ!X246,NĐ!AB246,NĐ!AF246))=7)*(CHOOSE({1,2,3,4},NĐ!W246,NĐ!AA246,NĐ!AE246,NĐ!AI246)))</f>
        <v>0</v>
      </c>
      <c r="H246">
        <f>SUMPRODUCT((MONTH(CHOOSE({1,2,3,4},NĐ!T246,NĐ!X246,NĐ!AB246,NĐ!AF246))=8)*(CHOOSE({1,2,3,4},NĐ!W246,NĐ!AA246,NĐ!AE246,NĐ!AI246)))</f>
        <v>0</v>
      </c>
      <c r="I246">
        <f>SUMPRODUCT((MONTH(CHOOSE({1,2,3,4},NĐ!T246,NĐ!X246,NĐ!AB246,NĐ!AF246))=9)*(CHOOSE({1,2,3,4},NĐ!W246,NĐ!AA246,NĐ!AE246,NĐ!AI246)))</f>
        <v>0</v>
      </c>
      <c r="J246">
        <f>SUMPRODUCT((MONTH(CHOOSE({1,2,3,4},NĐ!T246,NĐ!X246,NĐ!AB246,NĐ!AF246))=10)*(CHOOSE({1,2,3,4},NĐ!W246,NĐ!AA246,NĐ!AE246,NĐ!AI246)))</f>
        <v>0</v>
      </c>
      <c r="K246">
        <f>SUMPRODUCT((MONTH(CHOOSE({1,2,3,4},NĐ!T246,NĐ!X246,NĐ!AB246,NĐ!AF246))=11)*(CHOOSE({1,2,3,4},NĐ!W246,NĐ!AA246,NĐ!AE246,NĐ!AI246)))</f>
        <v>0</v>
      </c>
      <c r="L246">
        <f>SUMPRODUCT((MONTH(CHOOSE({1,2,3,4},NĐ!T246,NĐ!X246,NĐ!AB246,NĐ!AF246))=12)*(CHOOSE({1,2,3,4},NĐ!W246,NĐ!AA246,NĐ!AE246,NĐ!AI246)))</f>
        <v>0</v>
      </c>
    </row>
    <row r="247" spans="1:12">
      <c r="A247">
        <f>SUMPRODUCT((MONTH(CHOOSE({1,2,3,4},NĐ!T247,NĐ!X247,NĐ!AB247,NĐ!AF247))=1)*(CHOOSE({1,2,3,4},NĐ!W247,NĐ!AA247,NĐ!AE247,NĐ!AI247)))</f>
        <v>0</v>
      </c>
      <c r="B247">
        <f>SUMPRODUCT((MONTH(CHOOSE({1,2,3,4},NĐ!T247,NĐ!X247,NĐ!AB247,NĐ!AF247))=2)*(CHOOSE({1,2,3,4},NĐ!W247,NĐ!AA247,NĐ!AE247,NĐ!AI247)))</f>
        <v>0</v>
      </c>
      <c r="C247">
        <f>SUMPRODUCT((MONTH(CHOOSE({1,2,3,4},NĐ!T247,NĐ!X247,NĐ!AB247,NĐ!AF247))=3)*(CHOOSE({1,2,3,4},NĐ!W247,NĐ!AA247,NĐ!AE247,NĐ!AI247)))</f>
        <v>0</v>
      </c>
      <c r="D247">
        <f>SUMPRODUCT((MONTH(CHOOSE({1,2,3,4},NĐ!T247,NĐ!X247,NĐ!AB247,NĐ!AF247))=4)*(CHOOSE({1,2,3,4},NĐ!W247,NĐ!AA247,NĐ!AE247,NĐ!AI247)))</f>
        <v>0</v>
      </c>
      <c r="E247">
        <f>SUMPRODUCT((MONTH(CHOOSE({1,2,3,4},NĐ!T247,NĐ!X247,NĐ!AB247,NĐ!AF247))=5)*(CHOOSE({1,2,3,4},NĐ!W247,NĐ!AA247,NĐ!AE247,NĐ!AI247)))</f>
        <v>0</v>
      </c>
      <c r="F247">
        <f>SUMPRODUCT((MONTH(CHOOSE({1,2,3,4},NĐ!T247,NĐ!X247,NĐ!AB247,NĐ!AF247))=6)*(CHOOSE({1,2,3,4},NĐ!W247,NĐ!AA247,NĐ!AE247,NĐ!AI247)))</f>
        <v>0</v>
      </c>
      <c r="G247">
        <f>SUMPRODUCT((MONTH(CHOOSE({1,2,3,4},NĐ!T247,NĐ!X247,NĐ!AB247,NĐ!AF247))=7)*(CHOOSE({1,2,3,4},NĐ!W247,NĐ!AA247,NĐ!AE247,NĐ!AI247)))</f>
        <v>0</v>
      </c>
      <c r="H247">
        <f>SUMPRODUCT((MONTH(CHOOSE({1,2,3,4},NĐ!T247,NĐ!X247,NĐ!AB247,NĐ!AF247))=8)*(CHOOSE({1,2,3,4},NĐ!W247,NĐ!AA247,NĐ!AE247,NĐ!AI247)))</f>
        <v>0</v>
      </c>
      <c r="I247">
        <f>SUMPRODUCT((MONTH(CHOOSE({1,2,3,4},NĐ!T247,NĐ!X247,NĐ!AB247,NĐ!AF247))=9)*(CHOOSE({1,2,3,4},NĐ!W247,NĐ!AA247,NĐ!AE247,NĐ!AI247)))</f>
        <v>0</v>
      </c>
      <c r="J247">
        <f>SUMPRODUCT((MONTH(CHOOSE({1,2,3,4},NĐ!T247,NĐ!X247,NĐ!AB247,NĐ!AF247))=10)*(CHOOSE({1,2,3,4},NĐ!W247,NĐ!AA247,NĐ!AE247,NĐ!AI247)))</f>
        <v>0</v>
      </c>
      <c r="K247">
        <f>SUMPRODUCT((MONTH(CHOOSE({1,2,3,4},NĐ!T247,NĐ!X247,NĐ!AB247,NĐ!AF247))=11)*(CHOOSE({1,2,3,4},NĐ!W247,NĐ!AA247,NĐ!AE247,NĐ!AI247)))</f>
        <v>0</v>
      </c>
      <c r="L247">
        <f>SUMPRODUCT((MONTH(CHOOSE({1,2,3,4},NĐ!T247,NĐ!X247,NĐ!AB247,NĐ!AF247))=12)*(CHOOSE({1,2,3,4},NĐ!W247,NĐ!AA247,NĐ!AE247,NĐ!AI247)))</f>
        <v>0</v>
      </c>
    </row>
    <row r="248" spans="1:12">
      <c r="A248">
        <f>SUMPRODUCT((MONTH(CHOOSE({1,2,3,4},NĐ!T248,NĐ!X248,NĐ!AB248,NĐ!AF248))=1)*(CHOOSE({1,2,3,4},NĐ!W248,NĐ!AA248,NĐ!AE248,NĐ!AI248)))</f>
        <v>0</v>
      </c>
      <c r="B248">
        <f>SUMPRODUCT((MONTH(CHOOSE({1,2,3,4},NĐ!T248,NĐ!X248,NĐ!AB248,NĐ!AF248))=2)*(CHOOSE({1,2,3,4},NĐ!W248,NĐ!AA248,NĐ!AE248,NĐ!AI248)))</f>
        <v>0</v>
      </c>
      <c r="C248">
        <f>SUMPRODUCT((MONTH(CHOOSE({1,2,3,4},NĐ!T248,NĐ!X248,NĐ!AB248,NĐ!AF248))=3)*(CHOOSE({1,2,3,4},NĐ!W248,NĐ!AA248,NĐ!AE248,NĐ!AI248)))</f>
        <v>0</v>
      </c>
      <c r="D248">
        <f>SUMPRODUCT((MONTH(CHOOSE({1,2,3,4},NĐ!T248,NĐ!X248,NĐ!AB248,NĐ!AF248))=4)*(CHOOSE({1,2,3,4},NĐ!W248,NĐ!AA248,NĐ!AE248,NĐ!AI248)))</f>
        <v>0</v>
      </c>
      <c r="E248">
        <f>SUMPRODUCT((MONTH(CHOOSE({1,2,3,4},NĐ!T248,NĐ!X248,NĐ!AB248,NĐ!AF248))=5)*(CHOOSE({1,2,3,4},NĐ!W248,NĐ!AA248,NĐ!AE248,NĐ!AI248)))</f>
        <v>0</v>
      </c>
      <c r="F248">
        <f>SUMPRODUCT((MONTH(CHOOSE({1,2,3,4},NĐ!T248,NĐ!X248,NĐ!AB248,NĐ!AF248))=6)*(CHOOSE({1,2,3,4},NĐ!W248,NĐ!AA248,NĐ!AE248,NĐ!AI248)))</f>
        <v>0</v>
      </c>
      <c r="G248">
        <f>SUMPRODUCT((MONTH(CHOOSE({1,2,3,4},NĐ!T248,NĐ!X248,NĐ!AB248,NĐ!AF248))=7)*(CHOOSE({1,2,3,4},NĐ!W248,NĐ!AA248,NĐ!AE248,NĐ!AI248)))</f>
        <v>0</v>
      </c>
      <c r="H248">
        <f>SUMPRODUCT((MONTH(CHOOSE({1,2,3,4},NĐ!T248,NĐ!X248,NĐ!AB248,NĐ!AF248))=8)*(CHOOSE({1,2,3,4},NĐ!W248,NĐ!AA248,NĐ!AE248,NĐ!AI248)))</f>
        <v>0</v>
      </c>
      <c r="I248">
        <f>SUMPRODUCT((MONTH(CHOOSE({1,2,3,4},NĐ!T248,NĐ!X248,NĐ!AB248,NĐ!AF248))=9)*(CHOOSE({1,2,3,4},NĐ!W248,NĐ!AA248,NĐ!AE248,NĐ!AI248)))</f>
        <v>0</v>
      </c>
      <c r="J248">
        <f>SUMPRODUCT((MONTH(CHOOSE({1,2,3,4},NĐ!T248,NĐ!X248,NĐ!AB248,NĐ!AF248))=10)*(CHOOSE({1,2,3,4},NĐ!W248,NĐ!AA248,NĐ!AE248,NĐ!AI248)))</f>
        <v>0</v>
      </c>
      <c r="K248">
        <f>SUMPRODUCT((MONTH(CHOOSE({1,2,3,4},NĐ!T248,NĐ!X248,NĐ!AB248,NĐ!AF248))=11)*(CHOOSE({1,2,3,4},NĐ!W248,NĐ!AA248,NĐ!AE248,NĐ!AI248)))</f>
        <v>0</v>
      </c>
      <c r="L248">
        <f>SUMPRODUCT((MONTH(CHOOSE({1,2,3,4},NĐ!T248,NĐ!X248,NĐ!AB248,NĐ!AF248))=12)*(CHOOSE({1,2,3,4},NĐ!W248,NĐ!AA248,NĐ!AE248,NĐ!AI248)))</f>
        <v>0</v>
      </c>
    </row>
    <row r="249" spans="1:12">
      <c r="A249">
        <f>SUMPRODUCT((MONTH(CHOOSE({1,2,3,4},NĐ!T249,NĐ!X249,NĐ!AB249,NĐ!AF249))=1)*(CHOOSE({1,2,3,4},NĐ!W249,NĐ!AA249,NĐ!AE249,NĐ!AI249)))</f>
        <v>0</v>
      </c>
      <c r="B249">
        <f>SUMPRODUCT((MONTH(CHOOSE({1,2,3,4},NĐ!T249,NĐ!X249,NĐ!AB249,NĐ!AF249))=2)*(CHOOSE({1,2,3,4},NĐ!W249,NĐ!AA249,NĐ!AE249,NĐ!AI249)))</f>
        <v>0</v>
      </c>
      <c r="C249">
        <f>SUMPRODUCT((MONTH(CHOOSE({1,2,3,4},NĐ!T249,NĐ!X249,NĐ!AB249,NĐ!AF249))=3)*(CHOOSE({1,2,3,4},NĐ!W249,NĐ!AA249,NĐ!AE249,NĐ!AI249)))</f>
        <v>0</v>
      </c>
      <c r="D249">
        <f>SUMPRODUCT((MONTH(CHOOSE({1,2,3,4},NĐ!T249,NĐ!X249,NĐ!AB249,NĐ!AF249))=4)*(CHOOSE({1,2,3,4},NĐ!W249,NĐ!AA249,NĐ!AE249,NĐ!AI249)))</f>
        <v>0</v>
      </c>
      <c r="E249">
        <f>SUMPRODUCT((MONTH(CHOOSE({1,2,3,4},NĐ!T249,NĐ!X249,NĐ!AB249,NĐ!AF249))=5)*(CHOOSE({1,2,3,4},NĐ!W249,NĐ!AA249,NĐ!AE249,NĐ!AI249)))</f>
        <v>0</v>
      </c>
      <c r="F249">
        <f>SUMPRODUCT((MONTH(CHOOSE({1,2,3,4},NĐ!T249,NĐ!X249,NĐ!AB249,NĐ!AF249))=6)*(CHOOSE({1,2,3,4},NĐ!W249,NĐ!AA249,NĐ!AE249,NĐ!AI249)))</f>
        <v>0</v>
      </c>
      <c r="G249">
        <f>SUMPRODUCT((MONTH(CHOOSE({1,2,3,4},NĐ!T249,NĐ!X249,NĐ!AB249,NĐ!AF249))=7)*(CHOOSE({1,2,3,4},NĐ!W249,NĐ!AA249,NĐ!AE249,NĐ!AI249)))</f>
        <v>0</v>
      </c>
      <c r="H249">
        <f>SUMPRODUCT((MONTH(CHOOSE({1,2,3,4},NĐ!T249,NĐ!X249,NĐ!AB249,NĐ!AF249))=8)*(CHOOSE({1,2,3,4},NĐ!W249,NĐ!AA249,NĐ!AE249,NĐ!AI249)))</f>
        <v>0</v>
      </c>
      <c r="I249">
        <f>SUMPRODUCT((MONTH(CHOOSE({1,2,3,4},NĐ!T249,NĐ!X249,NĐ!AB249,NĐ!AF249))=9)*(CHOOSE({1,2,3,4},NĐ!W249,NĐ!AA249,NĐ!AE249,NĐ!AI249)))</f>
        <v>0</v>
      </c>
      <c r="J249">
        <f>SUMPRODUCT((MONTH(CHOOSE({1,2,3,4},NĐ!T249,NĐ!X249,NĐ!AB249,NĐ!AF249))=10)*(CHOOSE({1,2,3,4},NĐ!W249,NĐ!AA249,NĐ!AE249,NĐ!AI249)))</f>
        <v>0</v>
      </c>
      <c r="K249">
        <f>SUMPRODUCT((MONTH(CHOOSE({1,2,3,4},NĐ!T249,NĐ!X249,NĐ!AB249,NĐ!AF249))=11)*(CHOOSE({1,2,3,4},NĐ!W249,NĐ!AA249,NĐ!AE249,NĐ!AI249)))</f>
        <v>0</v>
      </c>
      <c r="L249">
        <f>SUMPRODUCT((MONTH(CHOOSE({1,2,3,4},NĐ!T249,NĐ!X249,NĐ!AB249,NĐ!AF249))=12)*(CHOOSE({1,2,3,4},NĐ!W249,NĐ!AA249,NĐ!AE249,NĐ!AI249)))</f>
        <v>0</v>
      </c>
    </row>
    <row r="250" spans="1:12">
      <c r="A250">
        <f>SUMPRODUCT((MONTH(CHOOSE({1,2,3,4},NĐ!T250,NĐ!X250,NĐ!AB250,NĐ!AF250))=1)*(CHOOSE({1,2,3,4},NĐ!W250,NĐ!AA250,NĐ!AE250,NĐ!AI250)))</f>
        <v>0</v>
      </c>
      <c r="B250">
        <f>SUMPRODUCT((MONTH(CHOOSE({1,2,3,4},NĐ!T250,NĐ!X250,NĐ!AB250,NĐ!AF250))=2)*(CHOOSE({1,2,3,4},NĐ!W250,NĐ!AA250,NĐ!AE250,NĐ!AI250)))</f>
        <v>0</v>
      </c>
      <c r="C250">
        <f>SUMPRODUCT((MONTH(CHOOSE({1,2,3,4},NĐ!T250,NĐ!X250,NĐ!AB250,NĐ!AF250))=3)*(CHOOSE({1,2,3,4},NĐ!W250,NĐ!AA250,NĐ!AE250,NĐ!AI250)))</f>
        <v>0</v>
      </c>
      <c r="D250">
        <f>SUMPRODUCT((MONTH(CHOOSE({1,2,3,4},NĐ!T250,NĐ!X250,NĐ!AB250,NĐ!AF250))=4)*(CHOOSE({1,2,3,4},NĐ!W250,NĐ!AA250,NĐ!AE250,NĐ!AI250)))</f>
        <v>0</v>
      </c>
      <c r="E250">
        <f>SUMPRODUCT((MONTH(CHOOSE({1,2,3,4},NĐ!T250,NĐ!X250,NĐ!AB250,NĐ!AF250))=5)*(CHOOSE({1,2,3,4},NĐ!W250,NĐ!AA250,NĐ!AE250,NĐ!AI250)))</f>
        <v>0</v>
      </c>
      <c r="F250">
        <f>SUMPRODUCT((MONTH(CHOOSE({1,2,3,4},NĐ!T250,NĐ!X250,NĐ!AB250,NĐ!AF250))=6)*(CHOOSE({1,2,3,4},NĐ!W250,NĐ!AA250,NĐ!AE250,NĐ!AI250)))</f>
        <v>0</v>
      </c>
      <c r="G250">
        <f>SUMPRODUCT((MONTH(CHOOSE({1,2,3,4},NĐ!T250,NĐ!X250,NĐ!AB250,NĐ!AF250))=7)*(CHOOSE({1,2,3,4},NĐ!W250,NĐ!AA250,NĐ!AE250,NĐ!AI250)))</f>
        <v>0</v>
      </c>
      <c r="H250">
        <f>SUMPRODUCT((MONTH(CHOOSE({1,2,3,4},NĐ!T250,NĐ!X250,NĐ!AB250,NĐ!AF250))=8)*(CHOOSE({1,2,3,4},NĐ!W250,NĐ!AA250,NĐ!AE250,NĐ!AI250)))</f>
        <v>0</v>
      </c>
      <c r="I250">
        <f>SUMPRODUCT((MONTH(CHOOSE({1,2,3,4},NĐ!T250,NĐ!X250,NĐ!AB250,NĐ!AF250))=9)*(CHOOSE({1,2,3,4},NĐ!W250,NĐ!AA250,NĐ!AE250,NĐ!AI250)))</f>
        <v>0</v>
      </c>
      <c r="J250">
        <f>SUMPRODUCT((MONTH(CHOOSE({1,2,3,4},NĐ!T250,NĐ!X250,NĐ!AB250,NĐ!AF250))=10)*(CHOOSE({1,2,3,4},NĐ!W250,NĐ!AA250,NĐ!AE250,NĐ!AI250)))</f>
        <v>0</v>
      </c>
      <c r="K250">
        <f>SUMPRODUCT((MONTH(CHOOSE({1,2,3,4},NĐ!T250,NĐ!X250,NĐ!AB250,NĐ!AF250))=11)*(CHOOSE({1,2,3,4},NĐ!W250,NĐ!AA250,NĐ!AE250,NĐ!AI250)))</f>
        <v>0</v>
      </c>
      <c r="L250">
        <f>SUMPRODUCT((MONTH(CHOOSE({1,2,3,4},NĐ!T250,NĐ!X250,NĐ!AB250,NĐ!AF250))=12)*(CHOOSE({1,2,3,4},NĐ!W250,NĐ!AA250,NĐ!AE250,NĐ!AI250)))</f>
        <v>0</v>
      </c>
    </row>
    <row r="251" spans="1:12">
      <c r="A251">
        <f>SUMPRODUCT((MONTH(CHOOSE({1,2,3,4},NĐ!T251,NĐ!X251,NĐ!AB251,NĐ!AF251))=1)*(CHOOSE({1,2,3,4},NĐ!W251,NĐ!AA251,NĐ!AE251,NĐ!AI251)))</f>
        <v>0</v>
      </c>
      <c r="B251">
        <f>SUMPRODUCT((MONTH(CHOOSE({1,2,3,4},NĐ!T251,NĐ!X251,NĐ!AB251,NĐ!AF251))=2)*(CHOOSE({1,2,3,4},NĐ!W251,NĐ!AA251,NĐ!AE251,NĐ!AI251)))</f>
        <v>0</v>
      </c>
      <c r="C251">
        <f>SUMPRODUCT((MONTH(CHOOSE({1,2,3,4},NĐ!T251,NĐ!X251,NĐ!AB251,NĐ!AF251))=3)*(CHOOSE({1,2,3,4},NĐ!W251,NĐ!AA251,NĐ!AE251,NĐ!AI251)))</f>
        <v>0</v>
      </c>
      <c r="D251">
        <f>SUMPRODUCT((MONTH(CHOOSE({1,2,3,4},NĐ!T251,NĐ!X251,NĐ!AB251,NĐ!AF251))=4)*(CHOOSE({1,2,3,4},NĐ!W251,NĐ!AA251,NĐ!AE251,NĐ!AI251)))</f>
        <v>0</v>
      </c>
      <c r="E251">
        <f>SUMPRODUCT((MONTH(CHOOSE({1,2,3,4},NĐ!T251,NĐ!X251,NĐ!AB251,NĐ!AF251))=5)*(CHOOSE({1,2,3,4},NĐ!W251,NĐ!AA251,NĐ!AE251,NĐ!AI251)))</f>
        <v>0</v>
      </c>
      <c r="F251">
        <f>SUMPRODUCT((MONTH(CHOOSE({1,2,3,4},NĐ!T251,NĐ!X251,NĐ!AB251,NĐ!AF251))=6)*(CHOOSE({1,2,3,4},NĐ!W251,NĐ!AA251,NĐ!AE251,NĐ!AI251)))</f>
        <v>0</v>
      </c>
      <c r="G251">
        <f>SUMPRODUCT((MONTH(CHOOSE({1,2,3,4},NĐ!T251,NĐ!X251,NĐ!AB251,NĐ!AF251))=7)*(CHOOSE({1,2,3,4},NĐ!W251,NĐ!AA251,NĐ!AE251,NĐ!AI251)))</f>
        <v>0</v>
      </c>
      <c r="H251">
        <f>SUMPRODUCT((MONTH(CHOOSE({1,2,3,4},NĐ!T251,NĐ!X251,NĐ!AB251,NĐ!AF251))=8)*(CHOOSE({1,2,3,4},NĐ!W251,NĐ!AA251,NĐ!AE251,NĐ!AI251)))</f>
        <v>0</v>
      </c>
      <c r="I251">
        <f>SUMPRODUCT((MONTH(CHOOSE({1,2,3,4},NĐ!T251,NĐ!X251,NĐ!AB251,NĐ!AF251))=9)*(CHOOSE({1,2,3,4},NĐ!W251,NĐ!AA251,NĐ!AE251,NĐ!AI251)))</f>
        <v>0</v>
      </c>
      <c r="J251">
        <f>SUMPRODUCT((MONTH(CHOOSE({1,2,3,4},NĐ!T251,NĐ!X251,NĐ!AB251,NĐ!AF251))=10)*(CHOOSE({1,2,3,4},NĐ!W251,NĐ!AA251,NĐ!AE251,NĐ!AI251)))</f>
        <v>0</v>
      </c>
      <c r="K251">
        <f>SUMPRODUCT((MONTH(CHOOSE({1,2,3,4},NĐ!T251,NĐ!X251,NĐ!AB251,NĐ!AF251))=11)*(CHOOSE({1,2,3,4},NĐ!W251,NĐ!AA251,NĐ!AE251,NĐ!AI251)))</f>
        <v>0</v>
      </c>
      <c r="L251">
        <f>SUMPRODUCT((MONTH(CHOOSE({1,2,3,4},NĐ!T251,NĐ!X251,NĐ!AB251,NĐ!AF251))=12)*(CHOOSE({1,2,3,4},NĐ!W251,NĐ!AA251,NĐ!AE251,NĐ!AI251)))</f>
        <v>0</v>
      </c>
    </row>
    <row r="252" spans="1:12">
      <c r="A252">
        <f>SUMPRODUCT((MONTH(CHOOSE({1,2,3,4},NĐ!T252,NĐ!X252,NĐ!AB252,NĐ!AF252))=1)*(CHOOSE({1,2,3,4},NĐ!W252,NĐ!AA252,NĐ!AE252,NĐ!AI252)))</f>
        <v>0</v>
      </c>
      <c r="B252">
        <f>SUMPRODUCT((MONTH(CHOOSE({1,2,3,4},NĐ!T252,NĐ!X252,NĐ!AB252,NĐ!AF252))=2)*(CHOOSE({1,2,3,4},NĐ!W252,NĐ!AA252,NĐ!AE252,NĐ!AI252)))</f>
        <v>0</v>
      </c>
      <c r="C252">
        <f>SUMPRODUCT((MONTH(CHOOSE({1,2,3,4},NĐ!T252,NĐ!X252,NĐ!AB252,NĐ!AF252))=3)*(CHOOSE({1,2,3,4},NĐ!W252,NĐ!AA252,NĐ!AE252,NĐ!AI252)))</f>
        <v>0</v>
      </c>
      <c r="D252">
        <f>SUMPRODUCT((MONTH(CHOOSE({1,2,3,4},NĐ!T252,NĐ!X252,NĐ!AB252,NĐ!AF252))=4)*(CHOOSE({1,2,3,4},NĐ!W252,NĐ!AA252,NĐ!AE252,NĐ!AI252)))</f>
        <v>0</v>
      </c>
      <c r="E252">
        <f>SUMPRODUCT((MONTH(CHOOSE({1,2,3,4},NĐ!T252,NĐ!X252,NĐ!AB252,NĐ!AF252))=5)*(CHOOSE({1,2,3,4},NĐ!W252,NĐ!AA252,NĐ!AE252,NĐ!AI252)))</f>
        <v>0</v>
      </c>
      <c r="F252">
        <f>SUMPRODUCT((MONTH(CHOOSE({1,2,3,4},NĐ!T252,NĐ!X252,NĐ!AB252,NĐ!AF252))=6)*(CHOOSE({1,2,3,4},NĐ!W252,NĐ!AA252,NĐ!AE252,NĐ!AI252)))</f>
        <v>0</v>
      </c>
      <c r="G252">
        <f>SUMPRODUCT((MONTH(CHOOSE({1,2,3,4},NĐ!T252,NĐ!X252,NĐ!AB252,NĐ!AF252))=7)*(CHOOSE({1,2,3,4},NĐ!W252,NĐ!AA252,NĐ!AE252,NĐ!AI252)))</f>
        <v>0</v>
      </c>
      <c r="H252">
        <f>SUMPRODUCT((MONTH(CHOOSE({1,2,3,4},NĐ!T252,NĐ!X252,NĐ!AB252,NĐ!AF252))=8)*(CHOOSE({1,2,3,4},NĐ!W252,NĐ!AA252,NĐ!AE252,NĐ!AI252)))</f>
        <v>0</v>
      </c>
      <c r="I252">
        <f>SUMPRODUCT((MONTH(CHOOSE({1,2,3,4},NĐ!T252,NĐ!X252,NĐ!AB252,NĐ!AF252))=9)*(CHOOSE({1,2,3,4},NĐ!W252,NĐ!AA252,NĐ!AE252,NĐ!AI252)))</f>
        <v>0</v>
      </c>
      <c r="J252">
        <f>SUMPRODUCT((MONTH(CHOOSE({1,2,3,4},NĐ!T252,NĐ!X252,NĐ!AB252,NĐ!AF252))=10)*(CHOOSE({1,2,3,4},NĐ!W252,NĐ!AA252,NĐ!AE252,NĐ!AI252)))</f>
        <v>0</v>
      </c>
      <c r="K252">
        <f>SUMPRODUCT((MONTH(CHOOSE({1,2,3,4},NĐ!T252,NĐ!X252,NĐ!AB252,NĐ!AF252))=11)*(CHOOSE({1,2,3,4},NĐ!W252,NĐ!AA252,NĐ!AE252,NĐ!AI252)))</f>
        <v>0</v>
      </c>
      <c r="L252">
        <f>SUMPRODUCT((MONTH(CHOOSE({1,2,3,4},NĐ!T252,NĐ!X252,NĐ!AB252,NĐ!AF252))=12)*(CHOOSE({1,2,3,4},NĐ!W252,NĐ!AA252,NĐ!AE252,NĐ!AI252)))</f>
        <v>0</v>
      </c>
    </row>
    <row r="253" spans="1:12">
      <c r="A253">
        <f>SUMPRODUCT((MONTH(CHOOSE({1,2,3,4},NĐ!T253,NĐ!X253,NĐ!AB253,NĐ!AF253))=1)*(CHOOSE({1,2,3,4},NĐ!W253,NĐ!AA253,NĐ!AE253,NĐ!AI253)))</f>
        <v>0</v>
      </c>
      <c r="B253">
        <f>SUMPRODUCT((MONTH(CHOOSE({1,2,3,4},NĐ!T253,NĐ!X253,NĐ!AB253,NĐ!AF253))=2)*(CHOOSE({1,2,3,4},NĐ!W253,NĐ!AA253,NĐ!AE253,NĐ!AI253)))</f>
        <v>0</v>
      </c>
      <c r="C253">
        <f>SUMPRODUCT((MONTH(CHOOSE({1,2,3,4},NĐ!T253,NĐ!X253,NĐ!AB253,NĐ!AF253))=3)*(CHOOSE({1,2,3,4},NĐ!W253,NĐ!AA253,NĐ!AE253,NĐ!AI253)))</f>
        <v>0</v>
      </c>
      <c r="D253">
        <f>SUMPRODUCT((MONTH(CHOOSE({1,2,3,4},NĐ!T253,NĐ!X253,NĐ!AB253,NĐ!AF253))=4)*(CHOOSE({1,2,3,4},NĐ!W253,NĐ!AA253,NĐ!AE253,NĐ!AI253)))</f>
        <v>0</v>
      </c>
      <c r="E253">
        <f>SUMPRODUCT((MONTH(CHOOSE({1,2,3,4},NĐ!T253,NĐ!X253,NĐ!AB253,NĐ!AF253))=5)*(CHOOSE({1,2,3,4},NĐ!W253,NĐ!AA253,NĐ!AE253,NĐ!AI253)))</f>
        <v>0</v>
      </c>
      <c r="F253">
        <f>SUMPRODUCT((MONTH(CHOOSE({1,2,3,4},NĐ!T253,NĐ!X253,NĐ!AB253,NĐ!AF253))=6)*(CHOOSE({1,2,3,4},NĐ!W253,NĐ!AA253,NĐ!AE253,NĐ!AI253)))</f>
        <v>0</v>
      </c>
      <c r="G253">
        <f>SUMPRODUCT((MONTH(CHOOSE({1,2,3,4},NĐ!T253,NĐ!X253,NĐ!AB253,NĐ!AF253))=7)*(CHOOSE({1,2,3,4},NĐ!W253,NĐ!AA253,NĐ!AE253,NĐ!AI253)))</f>
        <v>0</v>
      </c>
      <c r="H253">
        <f>SUMPRODUCT((MONTH(CHOOSE({1,2,3,4},NĐ!T253,NĐ!X253,NĐ!AB253,NĐ!AF253))=8)*(CHOOSE({1,2,3,4},NĐ!W253,NĐ!AA253,NĐ!AE253,NĐ!AI253)))</f>
        <v>0</v>
      </c>
      <c r="I253">
        <f>SUMPRODUCT((MONTH(CHOOSE({1,2,3,4},NĐ!T253,NĐ!X253,NĐ!AB253,NĐ!AF253))=9)*(CHOOSE({1,2,3,4},NĐ!W253,NĐ!AA253,NĐ!AE253,NĐ!AI253)))</f>
        <v>0</v>
      </c>
      <c r="J253">
        <f>SUMPRODUCT((MONTH(CHOOSE({1,2,3,4},NĐ!T253,NĐ!X253,NĐ!AB253,NĐ!AF253))=10)*(CHOOSE({1,2,3,4},NĐ!W253,NĐ!AA253,NĐ!AE253,NĐ!AI253)))</f>
        <v>0</v>
      </c>
      <c r="K253">
        <f>SUMPRODUCT((MONTH(CHOOSE({1,2,3,4},NĐ!T253,NĐ!X253,NĐ!AB253,NĐ!AF253))=11)*(CHOOSE({1,2,3,4},NĐ!W253,NĐ!AA253,NĐ!AE253,NĐ!AI253)))</f>
        <v>0</v>
      </c>
      <c r="L253">
        <f>SUMPRODUCT((MONTH(CHOOSE({1,2,3,4},NĐ!T253,NĐ!X253,NĐ!AB253,NĐ!AF253))=12)*(CHOOSE({1,2,3,4},NĐ!W253,NĐ!AA253,NĐ!AE253,NĐ!AI253)))</f>
        <v>0</v>
      </c>
    </row>
    <row r="254" spans="1:12">
      <c r="A254">
        <f>SUMPRODUCT((MONTH(CHOOSE({1,2,3,4},NĐ!T254,NĐ!X254,NĐ!AB254,NĐ!AF254))=1)*(CHOOSE({1,2,3,4},NĐ!W254,NĐ!AA254,NĐ!AE254,NĐ!AI254)))</f>
        <v>0</v>
      </c>
      <c r="B254">
        <f>SUMPRODUCT((MONTH(CHOOSE({1,2,3,4},NĐ!T254,NĐ!X254,NĐ!AB254,NĐ!AF254))=2)*(CHOOSE({1,2,3,4},NĐ!W254,NĐ!AA254,NĐ!AE254,NĐ!AI254)))</f>
        <v>0</v>
      </c>
      <c r="C254">
        <f>SUMPRODUCT((MONTH(CHOOSE({1,2,3,4},NĐ!T254,NĐ!X254,NĐ!AB254,NĐ!AF254))=3)*(CHOOSE({1,2,3,4},NĐ!W254,NĐ!AA254,NĐ!AE254,NĐ!AI254)))</f>
        <v>0</v>
      </c>
      <c r="D254">
        <f>SUMPRODUCT((MONTH(CHOOSE({1,2,3,4},NĐ!T254,NĐ!X254,NĐ!AB254,NĐ!AF254))=4)*(CHOOSE({1,2,3,4},NĐ!W254,NĐ!AA254,NĐ!AE254,NĐ!AI254)))</f>
        <v>0</v>
      </c>
      <c r="E254">
        <f>SUMPRODUCT((MONTH(CHOOSE({1,2,3,4},NĐ!T254,NĐ!X254,NĐ!AB254,NĐ!AF254))=5)*(CHOOSE({1,2,3,4},NĐ!W254,NĐ!AA254,NĐ!AE254,NĐ!AI254)))</f>
        <v>0</v>
      </c>
      <c r="F254">
        <f>SUMPRODUCT((MONTH(CHOOSE({1,2,3,4},NĐ!T254,NĐ!X254,NĐ!AB254,NĐ!AF254))=6)*(CHOOSE({1,2,3,4},NĐ!W254,NĐ!AA254,NĐ!AE254,NĐ!AI254)))</f>
        <v>0</v>
      </c>
      <c r="G254">
        <f>SUMPRODUCT((MONTH(CHOOSE({1,2,3,4},NĐ!T254,NĐ!X254,NĐ!AB254,NĐ!AF254))=7)*(CHOOSE({1,2,3,4},NĐ!W254,NĐ!AA254,NĐ!AE254,NĐ!AI254)))</f>
        <v>0</v>
      </c>
      <c r="H254">
        <f>SUMPRODUCT((MONTH(CHOOSE({1,2,3,4},NĐ!T254,NĐ!X254,NĐ!AB254,NĐ!AF254))=8)*(CHOOSE({1,2,3,4},NĐ!W254,NĐ!AA254,NĐ!AE254,NĐ!AI254)))</f>
        <v>0</v>
      </c>
      <c r="I254">
        <f>SUMPRODUCT((MONTH(CHOOSE({1,2,3,4},NĐ!T254,NĐ!X254,NĐ!AB254,NĐ!AF254))=9)*(CHOOSE({1,2,3,4},NĐ!W254,NĐ!AA254,NĐ!AE254,NĐ!AI254)))</f>
        <v>0</v>
      </c>
      <c r="J254">
        <f>SUMPRODUCT((MONTH(CHOOSE({1,2,3,4},NĐ!T254,NĐ!X254,NĐ!AB254,NĐ!AF254))=10)*(CHOOSE({1,2,3,4},NĐ!W254,NĐ!AA254,NĐ!AE254,NĐ!AI254)))</f>
        <v>0</v>
      </c>
      <c r="K254">
        <f>SUMPRODUCT((MONTH(CHOOSE({1,2,3,4},NĐ!T254,NĐ!X254,NĐ!AB254,NĐ!AF254))=11)*(CHOOSE({1,2,3,4},NĐ!W254,NĐ!AA254,NĐ!AE254,NĐ!AI254)))</f>
        <v>0</v>
      </c>
      <c r="L254">
        <f>SUMPRODUCT((MONTH(CHOOSE({1,2,3,4},NĐ!T254,NĐ!X254,NĐ!AB254,NĐ!AF254))=12)*(CHOOSE({1,2,3,4},NĐ!W254,NĐ!AA254,NĐ!AE254,NĐ!AI254)))</f>
        <v>0</v>
      </c>
    </row>
    <row r="255" spans="1:12">
      <c r="A255">
        <f>SUMPRODUCT((MONTH(CHOOSE({1,2,3,4},NĐ!T255,NĐ!X255,NĐ!AB255,NĐ!AF255))=1)*(CHOOSE({1,2,3,4},NĐ!W255,NĐ!AA255,NĐ!AE255,NĐ!AI255)))</f>
        <v>0</v>
      </c>
      <c r="B255">
        <f>SUMPRODUCT((MONTH(CHOOSE({1,2,3,4},NĐ!T255,NĐ!X255,NĐ!AB255,NĐ!AF255))=2)*(CHOOSE({1,2,3,4},NĐ!W255,NĐ!AA255,NĐ!AE255,NĐ!AI255)))</f>
        <v>0</v>
      </c>
      <c r="C255">
        <f>SUMPRODUCT((MONTH(CHOOSE({1,2,3,4},NĐ!T255,NĐ!X255,NĐ!AB255,NĐ!AF255))=3)*(CHOOSE({1,2,3,4},NĐ!W255,NĐ!AA255,NĐ!AE255,NĐ!AI255)))</f>
        <v>0</v>
      </c>
      <c r="D255">
        <f>SUMPRODUCT((MONTH(CHOOSE({1,2,3,4},NĐ!T255,NĐ!X255,NĐ!AB255,NĐ!AF255))=4)*(CHOOSE({1,2,3,4},NĐ!W255,NĐ!AA255,NĐ!AE255,NĐ!AI255)))</f>
        <v>0</v>
      </c>
      <c r="E255">
        <f>SUMPRODUCT((MONTH(CHOOSE({1,2,3,4},NĐ!T255,NĐ!X255,NĐ!AB255,NĐ!AF255))=5)*(CHOOSE({1,2,3,4},NĐ!W255,NĐ!AA255,NĐ!AE255,NĐ!AI255)))</f>
        <v>0</v>
      </c>
      <c r="F255">
        <f>SUMPRODUCT((MONTH(CHOOSE({1,2,3,4},NĐ!T255,NĐ!X255,NĐ!AB255,NĐ!AF255))=6)*(CHOOSE({1,2,3,4},NĐ!W255,NĐ!AA255,NĐ!AE255,NĐ!AI255)))</f>
        <v>0</v>
      </c>
      <c r="G255">
        <f>SUMPRODUCT((MONTH(CHOOSE({1,2,3,4},NĐ!T255,NĐ!X255,NĐ!AB255,NĐ!AF255))=7)*(CHOOSE({1,2,3,4},NĐ!W255,NĐ!AA255,NĐ!AE255,NĐ!AI255)))</f>
        <v>0</v>
      </c>
      <c r="H255">
        <f>SUMPRODUCT((MONTH(CHOOSE({1,2,3,4},NĐ!T255,NĐ!X255,NĐ!AB255,NĐ!AF255))=8)*(CHOOSE({1,2,3,4},NĐ!W255,NĐ!AA255,NĐ!AE255,NĐ!AI255)))</f>
        <v>0</v>
      </c>
      <c r="I255">
        <f>SUMPRODUCT((MONTH(CHOOSE({1,2,3,4},NĐ!T255,NĐ!X255,NĐ!AB255,NĐ!AF255))=9)*(CHOOSE({1,2,3,4},NĐ!W255,NĐ!AA255,NĐ!AE255,NĐ!AI255)))</f>
        <v>0</v>
      </c>
      <c r="J255">
        <f>SUMPRODUCT((MONTH(CHOOSE({1,2,3,4},NĐ!T255,NĐ!X255,NĐ!AB255,NĐ!AF255))=10)*(CHOOSE({1,2,3,4},NĐ!W255,NĐ!AA255,NĐ!AE255,NĐ!AI255)))</f>
        <v>0</v>
      </c>
      <c r="K255">
        <f>SUMPRODUCT((MONTH(CHOOSE({1,2,3,4},NĐ!T255,NĐ!X255,NĐ!AB255,NĐ!AF255))=11)*(CHOOSE({1,2,3,4},NĐ!W255,NĐ!AA255,NĐ!AE255,NĐ!AI255)))</f>
        <v>0</v>
      </c>
      <c r="L255">
        <f>SUMPRODUCT((MONTH(CHOOSE({1,2,3,4},NĐ!T255,NĐ!X255,NĐ!AB255,NĐ!AF255))=12)*(CHOOSE({1,2,3,4},NĐ!W255,NĐ!AA255,NĐ!AE255,NĐ!AI255)))</f>
        <v>0</v>
      </c>
    </row>
    <row r="256" spans="1:12">
      <c r="A256">
        <f>SUMPRODUCT((MONTH(CHOOSE({1,2,3,4},NĐ!T256,NĐ!X256,NĐ!AB256,NĐ!AF256))=1)*(CHOOSE({1,2,3,4},NĐ!W256,NĐ!AA256,NĐ!AE256,NĐ!AI256)))</f>
        <v>0</v>
      </c>
      <c r="B256">
        <f>SUMPRODUCT((MONTH(CHOOSE({1,2,3,4},NĐ!T256,NĐ!X256,NĐ!AB256,NĐ!AF256))=2)*(CHOOSE({1,2,3,4},NĐ!W256,NĐ!AA256,NĐ!AE256,NĐ!AI256)))</f>
        <v>0</v>
      </c>
      <c r="C256">
        <f>SUMPRODUCT((MONTH(CHOOSE({1,2,3,4},NĐ!T256,NĐ!X256,NĐ!AB256,NĐ!AF256))=3)*(CHOOSE({1,2,3,4},NĐ!W256,NĐ!AA256,NĐ!AE256,NĐ!AI256)))</f>
        <v>0</v>
      </c>
      <c r="D256">
        <f>SUMPRODUCT((MONTH(CHOOSE({1,2,3,4},NĐ!T256,NĐ!X256,NĐ!AB256,NĐ!AF256))=4)*(CHOOSE({1,2,3,4},NĐ!W256,NĐ!AA256,NĐ!AE256,NĐ!AI256)))</f>
        <v>0</v>
      </c>
      <c r="E256">
        <f>SUMPRODUCT((MONTH(CHOOSE({1,2,3,4},NĐ!T256,NĐ!X256,NĐ!AB256,NĐ!AF256))=5)*(CHOOSE({1,2,3,4},NĐ!W256,NĐ!AA256,NĐ!AE256,NĐ!AI256)))</f>
        <v>0</v>
      </c>
      <c r="F256">
        <f>SUMPRODUCT((MONTH(CHOOSE({1,2,3,4},NĐ!T256,NĐ!X256,NĐ!AB256,NĐ!AF256))=6)*(CHOOSE({1,2,3,4},NĐ!W256,NĐ!AA256,NĐ!AE256,NĐ!AI256)))</f>
        <v>0</v>
      </c>
      <c r="G256">
        <f>SUMPRODUCT((MONTH(CHOOSE({1,2,3,4},NĐ!T256,NĐ!X256,NĐ!AB256,NĐ!AF256))=7)*(CHOOSE({1,2,3,4},NĐ!W256,NĐ!AA256,NĐ!AE256,NĐ!AI256)))</f>
        <v>0</v>
      </c>
      <c r="H256">
        <f>SUMPRODUCT((MONTH(CHOOSE({1,2,3,4},NĐ!T256,NĐ!X256,NĐ!AB256,NĐ!AF256))=8)*(CHOOSE({1,2,3,4},NĐ!W256,NĐ!AA256,NĐ!AE256,NĐ!AI256)))</f>
        <v>0</v>
      </c>
      <c r="I256">
        <f>SUMPRODUCT((MONTH(CHOOSE({1,2,3,4},NĐ!T256,NĐ!X256,NĐ!AB256,NĐ!AF256))=9)*(CHOOSE({1,2,3,4},NĐ!W256,NĐ!AA256,NĐ!AE256,NĐ!AI256)))</f>
        <v>0</v>
      </c>
      <c r="J256">
        <f>SUMPRODUCT((MONTH(CHOOSE({1,2,3,4},NĐ!T256,NĐ!X256,NĐ!AB256,NĐ!AF256))=10)*(CHOOSE({1,2,3,4},NĐ!W256,NĐ!AA256,NĐ!AE256,NĐ!AI256)))</f>
        <v>0</v>
      </c>
      <c r="K256">
        <f>SUMPRODUCT((MONTH(CHOOSE({1,2,3,4},NĐ!T256,NĐ!X256,NĐ!AB256,NĐ!AF256))=11)*(CHOOSE({1,2,3,4},NĐ!W256,NĐ!AA256,NĐ!AE256,NĐ!AI256)))</f>
        <v>0</v>
      </c>
      <c r="L256">
        <f>SUMPRODUCT((MONTH(CHOOSE({1,2,3,4},NĐ!T256,NĐ!X256,NĐ!AB256,NĐ!AF256))=12)*(CHOOSE({1,2,3,4},NĐ!W256,NĐ!AA256,NĐ!AE256,NĐ!AI256)))</f>
        <v>0</v>
      </c>
    </row>
    <row r="257" spans="1:12">
      <c r="A257">
        <f>SUMPRODUCT((MONTH(CHOOSE({1,2,3,4},NĐ!T257,NĐ!X257,NĐ!AB257,NĐ!AF257))=1)*(CHOOSE({1,2,3,4},NĐ!W257,NĐ!AA257,NĐ!AE257,NĐ!AI257)))</f>
        <v>0</v>
      </c>
      <c r="B257">
        <f>SUMPRODUCT((MONTH(CHOOSE({1,2,3,4},NĐ!T257,NĐ!X257,NĐ!AB257,NĐ!AF257))=2)*(CHOOSE({1,2,3,4},NĐ!W257,NĐ!AA257,NĐ!AE257,NĐ!AI257)))</f>
        <v>0</v>
      </c>
      <c r="C257">
        <f>SUMPRODUCT((MONTH(CHOOSE({1,2,3,4},NĐ!T257,NĐ!X257,NĐ!AB257,NĐ!AF257))=3)*(CHOOSE({1,2,3,4},NĐ!W257,NĐ!AA257,NĐ!AE257,NĐ!AI257)))</f>
        <v>0</v>
      </c>
      <c r="D257">
        <f>SUMPRODUCT((MONTH(CHOOSE({1,2,3,4},NĐ!T257,NĐ!X257,NĐ!AB257,NĐ!AF257))=4)*(CHOOSE({1,2,3,4},NĐ!W257,NĐ!AA257,NĐ!AE257,NĐ!AI257)))</f>
        <v>0</v>
      </c>
      <c r="E257">
        <f>SUMPRODUCT((MONTH(CHOOSE({1,2,3,4},NĐ!T257,NĐ!X257,NĐ!AB257,NĐ!AF257))=5)*(CHOOSE({1,2,3,4},NĐ!W257,NĐ!AA257,NĐ!AE257,NĐ!AI257)))</f>
        <v>0</v>
      </c>
      <c r="F257">
        <f>SUMPRODUCT((MONTH(CHOOSE({1,2,3,4},NĐ!T257,NĐ!X257,NĐ!AB257,NĐ!AF257))=6)*(CHOOSE({1,2,3,4},NĐ!W257,NĐ!AA257,NĐ!AE257,NĐ!AI257)))</f>
        <v>0</v>
      </c>
      <c r="G257">
        <f>SUMPRODUCT((MONTH(CHOOSE({1,2,3,4},NĐ!T257,NĐ!X257,NĐ!AB257,NĐ!AF257))=7)*(CHOOSE({1,2,3,4},NĐ!W257,NĐ!AA257,NĐ!AE257,NĐ!AI257)))</f>
        <v>0</v>
      </c>
      <c r="H257">
        <f>SUMPRODUCT((MONTH(CHOOSE({1,2,3,4},NĐ!T257,NĐ!X257,NĐ!AB257,NĐ!AF257))=8)*(CHOOSE({1,2,3,4},NĐ!W257,NĐ!AA257,NĐ!AE257,NĐ!AI257)))</f>
        <v>0</v>
      </c>
      <c r="I257">
        <f>SUMPRODUCT((MONTH(CHOOSE({1,2,3,4},NĐ!T257,NĐ!X257,NĐ!AB257,NĐ!AF257))=9)*(CHOOSE({1,2,3,4},NĐ!W257,NĐ!AA257,NĐ!AE257,NĐ!AI257)))</f>
        <v>0</v>
      </c>
      <c r="J257">
        <f>SUMPRODUCT((MONTH(CHOOSE({1,2,3,4},NĐ!T257,NĐ!X257,NĐ!AB257,NĐ!AF257))=10)*(CHOOSE({1,2,3,4},NĐ!W257,NĐ!AA257,NĐ!AE257,NĐ!AI257)))</f>
        <v>0</v>
      </c>
      <c r="K257">
        <f>SUMPRODUCT((MONTH(CHOOSE({1,2,3,4},NĐ!T257,NĐ!X257,NĐ!AB257,NĐ!AF257))=11)*(CHOOSE({1,2,3,4},NĐ!W257,NĐ!AA257,NĐ!AE257,NĐ!AI257)))</f>
        <v>0</v>
      </c>
      <c r="L257">
        <f>SUMPRODUCT((MONTH(CHOOSE({1,2,3,4},NĐ!T257,NĐ!X257,NĐ!AB257,NĐ!AF257))=12)*(CHOOSE({1,2,3,4},NĐ!W257,NĐ!AA257,NĐ!AE257,NĐ!AI257)))</f>
        <v>0</v>
      </c>
    </row>
    <row r="258" spans="1:12">
      <c r="A258">
        <f>SUMPRODUCT((MONTH(CHOOSE({1,2,3,4},NĐ!T258,NĐ!X258,NĐ!AB258,NĐ!AF258))=1)*(CHOOSE({1,2,3,4},NĐ!W258,NĐ!AA258,NĐ!AE258,NĐ!AI258)))</f>
        <v>0</v>
      </c>
      <c r="B258">
        <f>SUMPRODUCT((MONTH(CHOOSE({1,2,3,4},NĐ!T258,NĐ!X258,NĐ!AB258,NĐ!AF258))=2)*(CHOOSE({1,2,3,4},NĐ!W258,NĐ!AA258,NĐ!AE258,NĐ!AI258)))</f>
        <v>0</v>
      </c>
      <c r="C258">
        <f>SUMPRODUCT((MONTH(CHOOSE({1,2,3,4},NĐ!T258,NĐ!X258,NĐ!AB258,NĐ!AF258))=3)*(CHOOSE({1,2,3,4},NĐ!W258,NĐ!AA258,NĐ!AE258,NĐ!AI258)))</f>
        <v>0</v>
      </c>
      <c r="D258">
        <f>SUMPRODUCT((MONTH(CHOOSE({1,2,3,4},NĐ!T258,NĐ!X258,NĐ!AB258,NĐ!AF258))=4)*(CHOOSE({1,2,3,4},NĐ!W258,NĐ!AA258,NĐ!AE258,NĐ!AI258)))</f>
        <v>0</v>
      </c>
      <c r="E258">
        <f>SUMPRODUCT((MONTH(CHOOSE({1,2,3,4},NĐ!T258,NĐ!X258,NĐ!AB258,NĐ!AF258))=5)*(CHOOSE({1,2,3,4},NĐ!W258,NĐ!AA258,NĐ!AE258,NĐ!AI258)))</f>
        <v>0</v>
      </c>
      <c r="F258">
        <f>SUMPRODUCT((MONTH(CHOOSE({1,2,3,4},NĐ!T258,NĐ!X258,NĐ!AB258,NĐ!AF258))=6)*(CHOOSE({1,2,3,4},NĐ!W258,NĐ!AA258,NĐ!AE258,NĐ!AI258)))</f>
        <v>0</v>
      </c>
      <c r="G258">
        <f>SUMPRODUCT((MONTH(CHOOSE({1,2,3,4},NĐ!T258,NĐ!X258,NĐ!AB258,NĐ!AF258))=7)*(CHOOSE({1,2,3,4},NĐ!W258,NĐ!AA258,NĐ!AE258,NĐ!AI258)))</f>
        <v>0</v>
      </c>
      <c r="H258">
        <f>SUMPRODUCT((MONTH(CHOOSE({1,2,3,4},NĐ!T258,NĐ!X258,NĐ!AB258,NĐ!AF258))=8)*(CHOOSE({1,2,3,4},NĐ!W258,NĐ!AA258,NĐ!AE258,NĐ!AI258)))</f>
        <v>0</v>
      </c>
      <c r="I258">
        <f>SUMPRODUCT((MONTH(CHOOSE({1,2,3,4},NĐ!T258,NĐ!X258,NĐ!AB258,NĐ!AF258))=9)*(CHOOSE({1,2,3,4},NĐ!W258,NĐ!AA258,NĐ!AE258,NĐ!AI258)))</f>
        <v>0</v>
      </c>
      <c r="J258">
        <f>SUMPRODUCT((MONTH(CHOOSE({1,2,3,4},NĐ!T258,NĐ!X258,NĐ!AB258,NĐ!AF258))=10)*(CHOOSE({1,2,3,4},NĐ!W258,NĐ!AA258,NĐ!AE258,NĐ!AI258)))</f>
        <v>0</v>
      </c>
      <c r="K258">
        <f>SUMPRODUCT((MONTH(CHOOSE({1,2,3,4},NĐ!T258,NĐ!X258,NĐ!AB258,NĐ!AF258))=11)*(CHOOSE({1,2,3,4},NĐ!W258,NĐ!AA258,NĐ!AE258,NĐ!AI258)))</f>
        <v>0</v>
      </c>
      <c r="L258">
        <f>SUMPRODUCT((MONTH(CHOOSE({1,2,3,4},NĐ!T258,NĐ!X258,NĐ!AB258,NĐ!AF258))=12)*(CHOOSE({1,2,3,4},NĐ!W258,NĐ!AA258,NĐ!AE258,NĐ!AI258)))</f>
        <v>0</v>
      </c>
    </row>
    <row r="259" spans="1:12">
      <c r="A259">
        <f>SUMPRODUCT((MONTH(CHOOSE({1,2,3,4},NĐ!T259,NĐ!X259,NĐ!AB259,NĐ!AF259))=1)*(CHOOSE({1,2,3,4},NĐ!W259,NĐ!AA259,NĐ!AE259,NĐ!AI259)))</f>
        <v>0</v>
      </c>
      <c r="B259">
        <f>SUMPRODUCT((MONTH(CHOOSE({1,2,3,4},NĐ!T259,NĐ!X259,NĐ!AB259,NĐ!AF259))=2)*(CHOOSE({1,2,3,4},NĐ!W259,NĐ!AA259,NĐ!AE259,NĐ!AI259)))</f>
        <v>0</v>
      </c>
      <c r="C259">
        <f>SUMPRODUCT((MONTH(CHOOSE({1,2,3,4},NĐ!T259,NĐ!X259,NĐ!AB259,NĐ!AF259))=3)*(CHOOSE({1,2,3,4},NĐ!W259,NĐ!AA259,NĐ!AE259,NĐ!AI259)))</f>
        <v>0</v>
      </c>
      <c r="D259">
        <f>SUMPRODUCT((MONTH(CHOOSE({1,2,3,4},NĐ!T259,NĐ!X259,NĐ!AB259,NĐ!AF259))=4)*(CHOOSE({1,2,3,4},NĐ!W259,NĐ!AA259,NĐ!AE259,NĐ!AI259)))</f>
        <v>0</v>
      </c>
      <c r="E259">
        <f>SUMPRODUCT((MONTH(CHOOSE({1,2,3,4},NĐ!T259,NĐ!X259,NĐ!AB259,NĐ!AF259))=5)*(CHOOSE({1,2,3,4},NĐ!W259,NĐ!AA259,NĐ!AE259,NĐ!AI259)))</f>
        <v>0</v>
      </c>
      <c r="F259">
        <f>SUMPRODUCT((MONTH(CHOOSE({1,2,3,4},NĐ!T259,NĐ!X259,NĐ!AB259,NĐ!AF259))=6)*(CHOOSE({1,2,3,4},NĐ!W259,NĐ!AA259,NĐ!AE259,NĐ!AI259)))</f>
        <v>0</v>
      </c>
      <c r="G259">
        <f>SUMPRODUCT((MONTH(CHOOSE({1,2,3,4},NĐ!T259,NĐ!X259,NĐ!AB259,NĐ!AF259))=7)*(CHOOSE({1,2,3,4},NĐ!W259,NĐ!AA259,NĐ!AE259,NĐ!AI259)))</f>
        <v>0</v>
      </c>
      <c r="H259">
        <f>SUMPRODUCT((MONTH(CHOOSE({1,2,3,4},NĐ!T259,NĐ!X259,NĐ!AB259,NĐ!AF259))=8)*(CHOOSE({1,2,3,4},NĐ!W259,NĐ!AA259,NĐ!AE259,NĐ!AI259)))</f>
        <v>0</v>
      </c>
      <c r="I259">
        <f>SUMPRODUCT((MONTH(CHOOSE({1,2,3,4},NĐ!T259,NĐ!X259,NĐ!AB259,NĐ!AF259))=9)*(CHOOSE({1,2,3,4},NĐ!W259,NĐ!AA259,NĐ!AE259,NĐ!AI259)))</f>
        <v>0</v>
      </c>
      <c r="J259">
        <f>SUMPRODUCT((MONTH(CHOOSE({1,2,3,4},NĐ!T259,NĐ!X259,NĐ!AB259,NĐ!AF259))=10)*(CHOOSE({1,2,3,4},NĐ!W259,NĐ!AA259,NĐ!AE259,NĐ!AI259)))</f>
        <v>0</v>
      </c>
      <c r="K259">
        <f>SUMPRODUCT((MONTH(CHOOSE({1,2,3,4},NĐ!T259,NĐ!X259,NĐ!AB259,NĐ!AF259))=11)*(CHOOSE({1,2,3,4},NĐ!W259,NĐ!AA259,NĐ!AE259,NĐ!AI259)))</f>
        <v>0</v>
      </c>
      <c r="L259">
        <f>SUMPRODUCT((MONTH(CHOOSE({1,2,3,4},NĐ!T259,NĐ!X259,NĐ!AB259,NĐ!AF259))=12)*(CHOOSE({1,2,3,4},NĐ!W259,NĐ!AA259,NĐ!AE259,NĐ!AI259)))</f>
        <v>0</v>
      </c>
    </row>
    <row r="260" spans="1:12">
      <c r="A260">
        <f>SUMPRODUCT((MONTH(CHOOSE({1,2,3,4},NĐ!T260,NĐ!X260,NĐ!AB260,NĐ!AF260))=1)*(CHOOSE({1,2,3,4},NĐ!W260,NĐ!AA260,NĐ!AE260,NĐ!AI260)))</f>
        <v>0</v>
      </c>
      <c r="B260">
        <f>SUMPRODUCT((MONTH(CHOOSE({1,2,3,4},NĐ!T260,NĐ!X260,NĐ!AB260,NĐ!AF260))=2)*(CHOOSE({1,2,3,4},NĐ!W260,NĐ!AA260,NĐ!AE260,NĐ!AI260)))</f>
        <v>0</v>
      </c>
      <c r="C260">
        <f>SUMPRODUCT((MONTH(CHOOSE({1,2,3,4},NĐ!T260,NĐ!X260,NĐ!AB260,NĐ!AF260))=3)*(CHOOSE({1,2,3,4},NĐ!W260,NĐ!AA260,NĐ!AE260,NĐ!AI260)))</f>
        <v>0</v>
      </c>
      <c r="D260">
        <f>SUMPRODUCT((MONTH(CHOOSE({1,2,3,4},NĐ!T260,NĐ!X260,NĐ!AB260,NĐ!AF260))=4)*(CHOOSE({1,2,3,4},NĐ!W260,NĐ!AA260,NĐ!AE260,NĐ!AI260)))</f>
        <v>0</v>
      </c>
      <c r="E260">
        <f>SUMPRODUCT((MONTH(CHOOSE({1,2,3,4},NĐ!T260,NĐ!X260,NĐ!AB260,NĐ!AF260))=5)*(CHOOSE({1,2,3,4},NĐ!W260,NĐ!AA260,NĐ!AE260,NĐ!AI260)))</f>
        <v>0</v>
      </c>
      <c r="F260">
        <f>SUMPRODUCT((MONTH(CHOOSE({1,2,3,4},NĐ!T260,NĐ!X260,NĐ!AB260,NĐ!AF260))=6)*(CHOOSE({1,2,3,4},NĐ!W260,NĐ!AA260,NĐ!AE260,NĐ!AI260)))</f>
        <v>0</v>
      </c>
      <c r="G260">
        <f>SUMPRODUCT((MONTH(CHOOSE({1,2,3,4},NĐ!T260,NĐ!X260,NĐ!AB260,NĐ!AF260))=7)*(CHOOSE({1,2,3,4},NĐ!W260,NĐ!AA260,NĐ!AE260,NĐ!AI260)))</f>
        <v>0</v>
      </c>
      <c r="H260">
        <f>SUMPRODUCT((MONTH(CHOOSE({1,2,3,4},NĐ!T260,NĐ!X260,NĐ!AB260,NĐ!AF260))=8)*(CHOOSE({1,2,3,4},NĐ!W260,NĐ!AA260,NĐ!AE260,NĐ!AI260)))</f>
        <v>0</v>
      </c>
      <c r="I260">
        <f>SUMPRODUCT((MONTH(CHOOSE({1,2,3,4},NĐ!T260,NĐ!X260,NĐ!AB260,NĐ!AF260))=9)*(CHOOSE({1,2,3,4},NĐ!W260,NĐ!AA260,NĐ!AE260,NĐ!AI260)))</f>
        <v>0</v>
      </c>
      <c r="J260">
        <f>SUMPRODUCT((MONTH(CHOOSE({1,2,3,4},NĐ!T260,NĐ!X260,NĐ!AB260,NĐ!AF260))=10)*(CHOOSE({1,2,3,4},NĐ!W260,NĐ!AA260,NĐ!AE260,NĐ!AI260)))</f>
        <v>0</v>
      </c>
      <c r="K260">
        <f>SUMPRODUCT((MONTH(CHOOSE({1,2,3,4},NĐ!T260,NĐ!X260,NĐ!AB260,NĐ!AF260))=11)*(CHOOSE({1,2,3,4},NĐ!W260,NĐ!AA260,NĐ!AE260,NĐ!AI260)))</f>
        <v>0</v>
      </c>
      <c r="L260">
        <f>SUMPRODUCT((MONTH(CHOOSE({1,2,3,4},NĐ!T260,NĐ!X260,NĐ!AB260,NĐ!AF260))=12)*(CHOOSE({1,2,3,4},NĐ!W260,NĐ!AA260,NĐ!AE260,NĐ!AI260)))</f>
        <v>0</v>
      </c>
    </row>
    <row r="261" spans="1:12">
      <c r="A261">
        <f>SUMPRODUCT((MONTH(CHOOSE({1,2,3,4},NĐ!T261,NĐ!X261,NĐ!AB261,NĐ!AF261))=1)*(CHOOSE({1,2,3,4},NĐ!W261,NĐ!AA261,NĐ!AE261,NĐ!AI261)))</f>
        <v>0</v>
      </c>
      <c r="B261">
        <f>SUMPRODUCT((MONTH(CHOOSE({1,2,3,4},NĐ!T261,NĐ!X261,NĐ!AB261,NĐ!AF261))=2)*(CHOOSE({1,2,3,4},NĐ!W261,NĐ!AA261,NĐ!AE261,NĐ!AI261)))</f>
        <v>0</v>
      </c>
      <c r="C261">
        <f>SUMPRODUCT((MONTH(CHOOSE({1,2,3,4},NĐ!T261,NĐ!X261,NĐ!AB261,NĐ!AF261))=3)*(CHOOSE({1,2,3,4},NĐ!W261,NĐ!AA261,NĐ!AE261,NĐ!AI261)))</f>
        <v>0</v>
      </c>
      <c r="D261">
        <f>SUMPRODUCT((MONTH(CHOOSE({1,2,3,4},NĐ!T261,NĐ!X261,NĐ!AB261,NĐ!AF261))=4)*(CHOOSE({1,2,3,4},NĐ!W261,NĐ!AA261,NĐ!AE261,NĐ!AI261)))</f>
        <v>0</v>
      </c>
      <c r="E261">
        <f>SUMPRODUCT((MONTH(CHOOSE({1,2,3,4},NĐ!T261,NĐ!X261,NĐ!AB261,NĐ!AF261))=5)*(CHOOSE({1,2,3,4},NĐ!W261,NĐ!AA261,NĐ!AE261,NĐ!AI261)))</f>
        <v>0</v>
      </c>
      <c r="F261">
        <f>SUMPRODUCT((MONTH(CHOOSE({1,2,3,4},NĐ!T261,NĐ!X261,NĐ!AB261,NĐ!AF261))=6)*(CHOOSE({1,2,3,4},NĐ!W261,NĐ!AA261,NĐ!AE261,NĐ!AI261)))</f>
        <v>0</v>
      </c>
      <c r="G261">
        <f>SUMPRODUCT((MONTH(CHOOSE({1,2,3,4},NĐ!T261,NĐ!X261,NĐ!AB261,NĐ!AF261))=7)*(CHOOSE({1,2,3,4},NĐ!W261,NĐ!AA261,NĐ!AE261,NĐ!AI261)))</f>
        <v>0</v>
      </c>
      <c r="H261">
        <f>SUMPRODUCT((MONTH(CHOOSE({1,2,3,4},NĐ!T261,NĐ!X261,NĐ!AB261,NĐ!AF261))=8)*(CHOOSE({1,2,3,4},NĐ!W261,NĐ!AA261,NĐ!AE261,NĐ!AI261)))</f>
        <v>0</v>
      </c>
      <c r="I261">
        <f>SUMPRODUCT((MONTH(CHOOSE({1,2,3,4},NĐ!T261,NĐ!X261,NĐ!AB261,NĐ!AF261))=9)*(CHOOSE({1,2,3,4},NĐ!W261,NĐ!AA261,NĐ!AE261,NĐ!AI261)))</f>
        <v>0</v>
      </c>
      <c r="J261">
        <f>SUMPRODUCT((MONTH(CHOOSE({1,2,3,4},NĐ!T261,NĐ!X261,NĐ!AB261,NĐ!AF261))=10)*(CHOOSE({1,2,3,4},NĐ!W261,NĐ!AA261,NĐ!AE261,NĐ!AI261)))</f>
        <v>0</v>
      </c>
      <c r="K261">
        <f>SUMPRODUCT((MONTH(CHOOSE({1,2,3,4},NĐ!T261,NĐ!X261,NĐ!AB261,NĐ!AF261))=11)*(CHOOSE({1,2,3,4},NĐ!W261,NĐ!AA261,NĐ!AE261,NĐ!AI261)))</f>
        <v>0</v>
      </c>
      <c r="L261">
        <f>SUMPRODUCT((MONTH(CHOOSE({1,2,3,4},NĐ!T261,NĐ!X261,NĐ!AB261,NĐ!AF261))=12)*(CHOOSE({1,2,3,4},NĐ!W261,NĐ!AA261,NĐ!AE261,NĐ!AI261)))</f>
        <v>0</v>
      </c>
    </row>
    <row r="262" spans="1:12">
      <c r="A262">
        <f>SUMPRODUCT((MONTH(CHOOSE({1,2,3,4},NĐ!T262,NĐ!X262,NĐ!AB262,NĐ!AF262))=1)*(CHOOSE({1,2,3,4},NĐ!W262,NĐ!AA262,NĐ!AE262,NĐ!AI262)))</f>
        <v>0</v>
      </c>
      <c r="B262">
        <f>SUMPRODUCT((MONTH(CHOOSE({1,2,3,4},NĐ!T262,NĐ!X262,NĐ!AB262,NĐ!AF262))=2)*(CHOOSE({1,2,3,4},NĐ!W262,NĐ!AA262,NĐ!AE262,NĐ!AI262)))</f>
        <v>0</v>
      </c>
      <c r="C262">
        <f>SUMPRODUCT((MONTH(CHOOSE({1,2,3,4},NĐ!T262,NĐ!X262,NĐ!AB262,NĐ!AF262))=3)*(CHOOSE({1,2,3,4},NĐ!W262,NĐ!AA262,NĐ!AE262,NĐ!AI262)))</f>
        <v>0</v>
      </c>
      <c r="D262">
        <f>SUMPRODUCT((MONTH(CHOOSE({1,2,3,4},NĐ!T262,NĐ!X262,NĐ!AB262,NĐ!AF262))=4)*(CHOOSE({1,2,3,4},NĐ!W262,NĐ!AA262,NĐ!AE262,NĐ!AI262)))</f>
        <v>0</v>
      </c>
      <c r="E262">
        <f>SUMPRODUCT((MONTH(CHOOSE({1,2,3,4},NĐ!T262,NĐ!X262,NĐ!AB262,NĐ!AF262))=5)*(CHOOSE({1,2,3,4},NĐ!W262,NĐ!AA262,NĐ!AE262,NĐ!AI262)))</f>
        <v>0</v>
      </c>
      <c r="F262">
        <f>SUMPRODUCT((MONTH(CHOOSE({1,2,3,4},NĐ!T262,NĐ!X262,NĐ!AB262,NĐ!AF262))=6)*(CHOOSE({1,2,3,4},NĐ!W262,NĐ!AA262,NĐ!AE262,NĐ!AI262)))</f>
        <v>0</v>
      </c>
      <c r="G262">
        <f>SUMPRODUCT((MONTH(CHOOSE({1,2,3,4},NĐ!T262,NĐ!X262,NĐ!AB262,NĐ!AF262))=7)*(CHOOSE({1,2,3,4},NĐ!W262,NĐ!AA262,NĐ!AE262,NĐ!AI262)))</f>
        <v>0</v>
      </c>
      <c r="H262">
        <f>SUMPRODUCT((MONTH(CHOOSE({1,2,3,4},NĐ!T262,NĐ!X262,NĐ!AB262,NĐ!AF262))=8)*(CHOOSE({1,2,3,4},NĐ!W262,NĐ!AA262,NĐ!AE262,NĐ!AI262)))</f>
        <v>0</v>
      </c>
      <c r="I262">
        <f>SUMPRODUCT((MONTH(CHOOSE({1,2,3,4},NĐ!T262,NĐ!X262,NĐ!AB262,NĐ!AF262))=9)*(CHOOSE({1,2,3,4},NĐ!W262,NĐ!AA262,NĐ!AE262,NĐ!AI262)))</f>
        <v>0</v>
      </c>
      <c r="J262">
        <f>SUMPRODUCT((MONTH(CHOOSE({1,2,3,4},NĐ!T262,NĐ!X262,NĐ!AB262,NĐ!AF262))=10)*(CHOOSE({1,2,3,4},NĐ!W262,NĐ!AA262,NĐ!AE262,NĐ!AI262)))</f>
        <v>0</v>
      </c>
      <c r="K262">
        <f>SUMPRODUCT((MONTH(CHOOSE({1,2,3,4},NĐ!T262,NĐ!X262,NĐ!AB262,NĐ!AF262))=11)*(CHOOSE({1,2,3,4},NĐ!W262,NĐ!AA262,NĐ!AE262,NĐ!AI262)))</f>
        <v>0</v>
      </c>
      <c r="L262">
        <f>SUMPRODUCT((MONTH(CHOOSE({1,2,3,4},NĐ!T262,NĐ!X262,NĐ!AB262,NĐ!AF262))=12)*(CHOOSE({1,2,3,4},NĐ!W262,NĐ!AA262,NĐ!AE262,NĐ!AI262)))</f>
        <v>0</v>
      </c>
    </row>
    <row r="263" spans="1:12">
      <c r="A263">
        <f>SUMPRODUCT((MONTH(CHOOSE({1,2,3,4},NĐ!T263,NĐ!X263,NĐ!AB263,NĐ!AF263))=1)*(CHOOSE({1,2,3,4},NĐ!W263,NĐ!AA263,NĐ!AE263,NĐ!AI263)))</f>
        <v>0</v>
      </c>
      <c r="B263">
        <f>SUMPRODUCT((MONTH(CHOOSE({1,2,3,4},NĐ!T263,NĐ!X263,NĐ!AB263,NĐ!AF263))=2)*(CHOOSE({1,2,3,4},NĐ!W263,NĐ!AA263,NĐ!AE263,NĐ!AI263)))</f>
        <v>0</v>
      </c>
      <c r="C263">
        <f>SUMPRODUCT((MONTH(CHOOSE({1,2,3,4},NĐ!T263,NĐ!X263,NĐ!AB263,NĐ!AF263))=3)*(CHOOSE({1,2,3,4},NĐ!W263,NĐ!AA263,NĐ!AE263,NĐ!AI263)))</f>
        <v>0</v>
      </c>
      <c r="D263">
        <f>SUMPRODUCT((MONTH(CHOOSE({1,2,3,4},NĐ!T263,NĐ!X263,NĐ!AB263,NĐ!AF263))=4)*(CHOOSE({1,2,3,4},NĐ!W263,NĐ!AA263,NĐ!AE263,NĐ!AI263)))</f>
        <v>0</v>
      </c>
      <c r="E263">
        <f>SUMPRODUCT((MONTH(CHOOSE({1,2,3,4},NĐ!T263,NĐ!X263,NĐ!AB263,NĐ!AF263))=5)*(CHOOSE({1,2,3,4},NĐ!W263,NĐ!AA263,NĐ!AE263,NĐ!AI263)))</f>
        <v>0</v>
      </c>
      <c r="F263">
        <f>SUMPRODUCT((MONTH(CHOOSE({1,2,3,4},NĐ!T263,NĐ!X263,NĐ!AB263,NĐ!AF263))=6)*(CHOOSE({1,2,3,4},NĐ!W263,NĐ!AA263,NĐ!AE263,NĐ!AI263)))</f>
        <v>0</v>
      </c>
      <c r="G263">
        <f>SUMPRODUCT((MONTH(CHOOSE({1,2,3,4},NĐ!T263,NĐ!X263,NĐ!AB263,NĐ!AF263))=7)*(CHOOSE({1,2,3,4},NĐ!W263,NĐ!AA263,NĐ!AE263,NĐ!AI263)))</f>
        <v>0</v>
      </c>
      <c r="H263">
        <f>SUMPRODUCT((MONTH(CHOOSE({1,2,3,4},NĐ!T263,NĐ!X263,NĐ!AB263,NĐ!AF263))=8)*(CHOOSE({1,2,3,4},NĐ!W263,NĐ!AA263,NĐ!AE263,NĐ!AI263)))</f>
        <v>0</v>
      </c>
      <c r="I263">
        <f>SUMPRODUCT((MONTH(CHOOSE({1,2,3,4},NĐ!T263,NĐ!X263,NĐ!AB263,NĐ!AF263))=9)*(CHOOSE({1,2,3,4},NĐ!W263,NĐ!AA263,NĐ!AE263,NĐ!AI263)))</f>
        <v>0</v>
      </c>
      <c r="J263">
        <f>SUMPRODUCT((MONTH(CHOOSE({1,2,3,4},NĐ!T263,NĐ!X263,NĐ!AB263,NĐ!AF263))=10)*(CHOOSE({1,2,3,4},NĐ!W263,NĐ!AA263,NĐ!AE263,NĐ!AI263)))</f>
        <v>0</v>
      </c>
      <c r="K263">
        <f>SUMPRODUCT((MONTH(CHOOSE({1,2,3,4},NĐ!T263,NĐ!X263,NĐ!AB263,NĐ!AF263))=11)*(CHOOSE({1,2,3,4},NĐ!W263,NĐ!AA263,NĐ!AE263,NĐ!AI263)))</f>
        <v>0</v>
      </c>
      <c r="L263">
        <f>SUMPRODUCT((MONTH(CHOOSE({1,2,3,4},NĐ!T263,NĐ!X263,NĐ!AB263,NĐ!AF263))=12)*(CHOOSE({1,2,3,4},NĐ!W263,NĐ!AA263,NĐ!AE263,NĐ!AI263)))</f>
        <v>0</v>
      </c>
    </row>
    <row r="264" spans="1:12">
      <c r="A264">
        <f>SUMPRODUCT((MONTH(CHOOSE({1,2,3,4},NĐ!T264,NĐ!X264,NĐ!AB264,NĐ!AF264))=1)*(CHOOSE({1,2,3,4},NĐ!W264,NĐ!AA264,NĐ!AE264,NĐ!AI264)))</f>
        <v>0</v>
      </c>
      <c r="B264">
        <f>SUMPRODUCT((MONTH(CHOOSE({1,2,3,4},NĐ!T264,NĐ!X264,NĐ!AB264,NĐ!AF264))=2)*(CHOOSE({1,2,3,4},NĐ!W264,NĐ!AA264,NĐ!AE264,NĐ!AI264)))</f>
        <v>0</v>
      </c>
      <c r="C264">
        <f>SUMPRODUCT((MONTH(CHOOSE({1,2,3,4},NĐ!T264,NĐ!X264,NĐ!AB264,NĐ!AF264))=3)*(CHOOSE({1,2,3,4},NĐ!W264,NĐ!AA264,NĐ!AE264,NĐ!AI264)))</f>
        <v>0</v>
      </c>
      <c r="D264">
        <f>SUMPRODUCT((MONTH(CHOOSE({1,2,3,4},NĐ!T264,NĐ!X264,NĐ!AB264,NĐ!AF264))=4)*(CHOOSE({1,2,3,4},NĐ!W264,NĐ!AA264,NĐ!AE264,NĐ!AI264)))</f>
        <v>0</v>
      </c>
      <c r="E264">
        <f>SUMPRODUCT((MONTH(CHOOSE({1,2,3,4},NĐ!T264,NĐ!X264,NĐ!AB264,NĐ!AF264))=5)*(CHOOSE({1,2,3,4},NĐ!W264,NĐ!AA264,NĐ!AE264,NĐ!AI264)))</f>
        <v>0</v>
      </c>
      <c r="F264">
        <f>SUMPRODUCT((MONTH(CHOOSE({1,2,3,4},NĐ!T264,NĐ!X264,NĐ!AB264,NĐ!AF264))=6)*(CHOOSE({1,2,3,4},NĐ!W264,NĐ!AA264,NĐ!AE264,NĐ!AI264)))</f>
        <v>0</v>
      </c>
      <c r="G264">
        <f>SUMPRODUCT((MONTH(CHOOSE({1,2,3,4},NĐ!T264,NĐ!X264,NĐ!AB264,NĐ!AF264))=7)*(CHOOSE({1,2,3,4},NĐ!W264,NĐ!AA264,NĐ!AE264,NĐ!AI264)))</f>
        <v>0</v>
      </c>
      <c r="H264">
        <f>SUMPRODUCT((MONTH(CHOOSE({1,2,3,4},NĐ!T264,NĐ!X264,NĐ!AB264,NĐ!AF264))=8)*(CHOOSE({1,2,3,4},NĐ!W264,NĐ!AA264,NĐ!AE264,NĐ!AI264)))</f>
        <v>0</v>
      </c>
      <c r="I264">
        <f>SUMPRODUCT((MONTH(CHOOSE({1,2,3,4},NĐ!T264,NĐ!X264,NĐ!AB264,NĐ!AF264))=9)*(CHOOSE({1,2,3,4},NĐ!W264,NĐ!AA264,NĐ!AE264,NĐ!AI264)))</f>
        <v>0</v>
      </c>
      <c r="J264">
        <f>SUMPRODUCT((MONTH(CHOOSE({1,2,3,4},NĐ!T264,NĐ!X264,NĐ!AB264,NĐ!AF264))=10)*(CHOOSE({1,2,3,4},NĐ!W264,NĐ!AA264,NĐ!AE264,NĐ!AI264)))</f>
        <v>0</v>
      </c>
      <c r="K264">
        <f>SUMPRODUCT((MONTH(CHOOSE({1,2,3,4},NĐ!T264,NĐ!X264,NĐ!AB264,NĐ!AF264))=11)*(CHOOSE({1,2,3,4},NĐ!W264,NĐ!AA264,NĐ!AE264,NĐ!AI264)))</f>
        <v>0</v>
      </c>
      <c r="L264">
        <f>SUMPRODUCT((MONTH(CHOOSE({1,2,3,4},NĐ!T264,NĐ!X264,NĐ!AB264,NĐ!AF264))=12)*(CHOOSE({1,2,3,4},NĐ!W264,NĐ!AA264,NĐ!AE264,NĐ!AI264)))</f>
        <v>0</v>
      </c>
    </row>
    <row r="265" spans="1:12">
      <c r="A265">
        <f>SUMPRODUCT((MONTH(CHOOSE({1,2,3,4},NĐ!T265,NĐ!X265,NĐ!AB265,NĐ!AF265))=1)*(CHOOSE({1,2,3,4},NĐ!W265,NĐ!AA265,NĐ!AE265,NĐ!AI265)))</f>
        <v>0</v>
      </c>
      <c r="B265">
        <f>SUMPRODUCT((MONTH(CHOOSE({1,2,3,4},NĐ!T265,NĐ!X265,NĐ!AB265,NĐ!AF265))=2)*(CHOOSE({1,2,3,4},NĐ!W265,NĐ!AA265,NĐ!AE265,NĐ!AI265)))</f>
        <v>0</v>
      </c>
      <c r="C265">
        <f>SUMPRODUCT((MONTH(CHOOSE({1,2,3,4},NĐ!T265,NĐ!X265,NĐ!AB265,NĐ!AF265))=3)*(CHOOSE({1,2,3,4},NĐ!W265,NĐ!AA265,NĐ!AE265,NĐ!AI265)))</f>
        <v>0</v>
      </c>
      <c r="D265">
        <f>SUMPRODUCT((MONTH(CHOOSE({1,2,3,4},NĐ!T265,NĐ!X265,NĐ!AB265,NĐ!AF265))=4)*(CHOOSE({1,2,3,4},NĐ!W265,NĐ!AA265,NĐ!AE265,NĐ!AI265)))</f>
        <v>0</v>
      </c>
      <c r="E265">
        <f>SUMPRODUCT((MONTH(CHOOSE({1,2,3,4},NĐ!T265,NĐ!X265,NĐ!AB265,NĐ!AF265))=5)*(CHOOSE({1,2,3,4},NĐ!W265,NĐ!AA265,NĐ!AE265,NĐ!AI265)))</f>
        <v>0</v>
      </c>
      <c r="F265">
        <f>SUMPRODUCT((MONTH(CHOOSE({1,2,3,4},NĐ!T265,NĐ!X265,NĐ!AB265,NĐ!AF265))=6)*(CHOOSE({1,2,3,4},NĐ!W265,NĐ!AA265,NĐ!AE265,NĐ!AI265)))</f>
        <v>0</v>
      </c>
      <c r="G265">
        <f>SUMPRODUCT((MONTH(CHOOSE({1,2,3,4},NĐ!T265,NĐ!X265,NĐ!AB265,NĐ!AF265))=7)*(CHOOSE({1,2,3,4},NĐ!W265,NĐ!AA265,NĐ!AE265,NĐ!AI265)))</f>
        <v>0</v>
      </c>
      <c r="H265">
        <f>SUMPRODUCT((MONTH(CHOOSE({1,2,3,4},NĐ!T265,NĐ!X265,NĐ!AB265,NĐ!AF265))=8)*(CHOOSE({1,2,3,4},NĐ!W265,NĐ!AA265,NĐ!AE265,NĐ!AI265)))</f>
        <v>0</v>
      </c>
      <c r="I265">
        <f>SUMPRODUCT((MONTH(CHOOSE({1,2,3,4},NĐ!T265,NĐ!X265,NĐ!AB265,NĐ!AF265))=9)*(CHOOSE({1,2,3,4},NĐ!W265,NĐ!AA265,NĐ!AE265,NĐ!AI265)))</f>
        <v>0</v>
      </c>
      <c r="J265">
        <f>SUMPRODUCT((MONTH(CHOOSE({1,2,3,4},NĐ!T265,NĐ!X265,NĐ!AB265,NĐ!AF265))=10)*(CHOOSE({1,2,3,4},NĐ!W265,NĐ!AA265,NĐ!AE265,NĐ!AI265)))</f>
        <v>0</v>
      </c>
      <c r="K265">
        <f>SUMPRODUCT((MONTH(CHOOSE({1,2,3,4},NĐ!T265,NĐ!X265,NĐ!AB265,NĐ!AF265))=11)*(CHOOSE({1,2,3,4},NĐ!W265,NĐ!AA265,NĐ!AE265,NĐ!AI265)))</f>
        <v>0</v>
      </c>
      <c r="L265">
        <f>SUMPRODUCT((MONTH(CHOOSE({1,2,3,4},NĐ!T265,NĐ!X265,NĐ!AB265,NĐ!AF265))=12)*(CHOOSE({1,2,3,4},NĐ!W265,NĐ!AA265,NĐ!AE265,NĐ!AI265)))</f>
        <v>0</v>
      </c>
    </row>
    <row r="266" spans="1:12">
      <c r="A266">
        <f>SUMPRODUCT((MONTH(CHOOSE({1,2,3,4},NĐ!T266,NĐ!X266,NĐ!AB266,NĐ!AF266))=1)*(CHOOSE({1,2,3,4},NĐ!W266,NĐ!AA266,NĐ!AE266,NĐ!AI266)))</f>
        <v>0</v>
      </c>
      <c r="B266">
        <f>SUMPRODUCT((MONTH(CHOOSE({1,2,3,4},NĐ!T266,NĐ!X266,NĐ!AB266,NĐ!AF266))=2)*(CHOOSE({1,2,3,4},NĐ!W266,NĐ!AA266,NĐ!AE266,NĐ!AI266)))</f>
        <v>0</v>
      </c>
      <c r="C266">
        <f>SUMPRODUCT((MONTH(CHOOSE({1,2,3,4},NĐ!T266,NĐ!X266,NĐ!AB266,NĐ!AF266))=3)*(CHOOSE({1,2,3,4},NĐ!W266,NĐ!AA266,NĐ!AE266,NĐ!AI266)))</f>
        <v>0</v>
      </c>
      <c r="D266">
        <f>SUMPRODUCT((MONTH(CHOOSE({1,2,3,4},NĐ!T266,NĐ!X266,NĐ!AB266,NĐ!AF266))=4)*(CHOOSE({1,2,3,4},NĐ!W266,NĐ!AA266,NĐ!AE266,NĐ!AI266)))</f>
        <v>0</v>
      </c>
      <c r="E266">
        <f>SUMPRODUCT((MONTH(CHOOSE({1,2,3,4},NĐ!T266,NĐ!X266,NĐ!AB266,NĐ!AF266))=5)*(CHOOSE({1,2,3,4},NĐ!W266,NĐ!AA266,NĐ!AE266,NĐ!AI266)))</f>
        <v>0</v>
      </c>
      <c r="F266">
        <f>SUMPRODUCT((MONTH(CHOOSE({1,2,3,4},NĐ!T266,NĐ!X266,NĐ!AB266,NĐ!AF266))=6)*(CHOOSE({1,2,3,4},NĐ!W266,NĐ!AA266,NĐ!AE266,NĐ!AI266)))</f>
        <v>0</v>
      </c>
      <c r="G266">
        <f>SUMPRODUCT((MONTH(CHOOSE({1,2,3,4},NĐ!T266,NĐ!X266,NĐ!AB266,NĐ!AF266))=7)*(CHOOSE({1,2,3,4},NĐ!W266,NĐ!AA266,NĐ!AE266,NĐ!AI266)))</f>
        <v>0</v>
      </c>
      <c r="H266">
        <f>SUMPRODUCT((MONTH(CHOOSE({1,2,3,4},NĐ!T266,NĐ!X266,NĐ!AB266,NĐ!AF266))=8)*(CHOOSE({1,2,3,4},NĐ!W266,NĐ!AA266,NĐ!AE266,NĐ!AI266)))</f>
        <v>0</v>
      </c>
      <c r="I266">
        <f>SUMPRODUCT((MONTH(CHOOSE({1,2,3,4},NĐ!T266,NĐ!X266,NĐ!AB266,NĐ!AF266))=9)*(CHOOSE({1,2,3,4},NĐ!W266,NĐ!AA266,NĐ!AE266,NĐ!AI266)))</f>
        <v>0</v>
      </c>
      <c r="J266">
        <f>SUMPRODUCT((MONTH(CHOOSE({1,2,3,4},NĐ!T266,NĐ!X266,NĐ!AB266,NĐ!AF266))=10)*(CHOOSE({1,2,3,4},NĐ!W266,NĐ!AA266,NĐ!AE266,NĐ!AI266)))</f>
        <v>0</v>
      </c>
      <c r="K266">
        <f>SUMPRODUCT((MONTH(CHOOSE({1,2,3,4},NĐ!T266,NĐ!X266,NĐ!AB266,NĐ!AF266))=11)*(CHOOSE({1,2,3,4},NĐ!W266,NĐ!AA266,NĐ!AE266,NĐ!AI266)))</f>
        <v>0</v>
      </c>
      <c r="L266">
        <f>SUMPRODUCT((MONTH(CHOOSE({1,2,3,4},NĐ!T266,NĐ!X266,NĐ!AB266,NĐ!AF266))=12)*(CHOOSE({1,2,3,4},NĐ!W266,NĐ!AA266,NĐ!AE266,NĐ!AI266)))</f>
        <v>0</v>
      </c>
    </row>
    <row r="267" spans="1:12">
      <c r="A267">
        <f>SUMPRODUCT((MONTH(CHOOSE({1,2,3,4},NĐ!T267,NĐ!X267,NĐ!AB267,NĐ!AF267))=1)*(CHOOSE({1,2,3,4},NĐ!W267,NĐ!AA267,NĐ!AE267,NĐ!AI267)))</f>
        <v>0</v>
      </c>
      <c r="B267">
        <f>SUMPRODUCT((MONTH(CHOOSE({1,2,3,4},NĐ!T267,NĐ!X267,NĐ!AB267,NĐ!AF267))=2)*(CHOOSE({1,2,3,4},NĐ!W267,NĐ!AA267,NĐ!AE267,NĐ!AI267)))</f>
        <v>0</v>
      </c>
      <c r="C267">
        <f>SUMPRODUCT((MONTH(CHOOSE({1,2,3,4},NĐ!T267,NĐ!X267,NĐ!AB267,NĐ!AF267))=3)*(CHOOSE({1,2,3,4},NĐ!W267,NĐ!AA267,NĐ!AE267,NĐ!AI267)))</f>
        <v>0</v>
      </c>
      <c r="D267">
        <f>SUMPRODUCT((MONTH(CHOOSE({1,2,3,4},NĐ!T267,NĐ!X267,NĐ!AB267,NĐ!AF267))=4)*(CHOOSE({1,2,3,4},NĐ!W267,NĐ!AA267,NĐ!AE267,NĐ!AI267)))</f>
        <v>0</v>
      </c>
      <c r="E267">
        <f>SUMPRODUCT((MONTH(CHOOSE({1,2,3,4},NĐ!T267,NĐ!X267,NĐ!AB267,NĐ!AF267))=5)*(CHOOSE({1,2,3,4},NĐ!W267,NĐ!AA267,NĐ!AE267,NĐ!AI267)))</f>
        <v>0</v>
      </c>
      <c r="F267">
        <f>SUMPRODUCT((MONTH(CHOOSE({1,2,3,4},NĐ!T267,NĐ!X267,NĐ!AB267,NĐ!AF267))=6)*(CHOOSE({1,2,3,4},NĐ!W267,NĐ!AA267,NĐ!AE267,NĐ!AI267)))</f>
        <v>0</v>
      </c>
      <c r="G267">
        <f>SUMPRODUCT((MONTH(CHOOSE({1,2,3,4},NĐ!T267,NĐ!X267,NĐ!AB267,NĐ!AF267))=7)*(CHOOSE({1,2,3,4},NĐ!W267,NĐ!AA267,NĐ!AE267,NĐ!AI267)))</f>
        <v>0</v>
      </c>
      <c r="H267">
        <f>SUMPRODUCT((MONTH(CHOOSE({1,2,3,4},NĐ!T267,NĐ!X267,NĐ!AB267,NĐ!AF267))=8)*(CHOOSE({1,2,3,4},NĐ!W267,NĐ!AA267,NĐ!AE267,NĐ!AI267)))</f>
        <v>0</v>
      </c>
      <c r="I267">
        <f>SUMPRODUCT((MONTH(CHOOSE({1,2,3,4},NĐ!T267,NĐ!X267,NĐ!AB267,NĐ!AF267))=9)*(CHOOSE({1,2,3,4},NĐ!W267,NĐ!AA267,NĐ!AE267,NĐ!AI267)))</f>
        <v>0</v>
      </c>
      <c r="J267">
        <f>SUMPRODUCT((MONTH(CHOOSE({1,2,3,4},NĐ!T267,NĐ!X267,NĐ!AB267,NĐ!AF267))=10)*(CHOOSE({1,2,3,4},NĐ!W267,NĐ!AA267,NĐ!AE267,NĐ!AI267)))</f>
        <v>0</v>
      </c>
      <c r="K267">
        <f>SUMPRODUCT((MONTH(CHOOSE({1,2,3,4},NĐ!T267,NĐ!X267,NĐ!AB267,NĐ!AF267))=11)*(CHOOSE({1,2,3,4},NĐ!W267,NĐ!AA267,NĐ!AE267,NĐ!AI267)))</f>
        <v>0</v>
      </c>
      <c r="L267">
        <f>SUMPRODUCT((MONTH(CHOOSE({1,2,3,4},NĐ!T267,NĐ!X267,NĐ!AB267,NĐ!AF267))=12)*(CHOOSE({1,2,3,4},NĐ!W267,NĐ!AA267,NĐ!AE267,NĐ!AI267)))</f>
        <v>0</v>
      </c>
    </row>
    <row r="268" spans="1:12">
      <c r="A268">
        <f>SUMPRODUCT((MONTH(CHOOSE({1,2,3,4},NĐ!T268,NĐ!X268,NĐ!AB268,NĐ!AF268))=1)*(CHOOSE({1,2,3,4},NĐ!W268,NĐ!AA268,NĐ!AE268,NĐ!AI268)))</f>
        <v>0</v>
      </c>
      <c r="B268">
        <f>SUMPRODUCT((MONTH(CHOOSE({1,2,3,4},NĐ!T268,NĐ!X268,NĐ!AB268,NĐ!AF268))=2)*(CHOOSE({1,2,3,4},NĐ!W268,NĐ!AA268,NĐ!AE268,NĐ!AI268)))</f>
        <v>0</v>
      </c>
      <c r="C268">
        <f>SUMPRODUCT((MONTH(CHOOSE({1,2,3,4},NĐ!T268,NĐ!X268,NĐ!AB268,NĐ!AF268))=3)*(CHOOSE({1,2,3,4},NĐ!W268,NĐ!AA268,NĐ!AE268,NĐ!AI268)))</f>
        <v>0</v>
      </c>
      <c r="D268">
        <f>SUMPRODUCT((MONTH(CHOOSE({1,2,3,4},NĐ!T268,NĐ!X268,NĐ!AB268,NĐ!AF268))=4)*(CHOOSE({1,2,3,4},NĐ!W268,NĐ!AA268,NĐ!AE268,NĐ!AI268)))</f>
        <v>0</v>
      </c>
      <c r="E268">
        <f>SUMPRODUCT((MONTH(CHOOSE({1,2,3,4},NĐ!T268,NĐ!X268,NĐ!AB268,NĐ!AF268))=5)*(CHOOSE({1,2,3,4},NĐ!W268,NĐ!AA268,NĐ!AE268,NĐ!AI268)))</f>
        <v>0</v>
      </c>
      <c r="F268">
        <f>SUMPRODUCT((MONTH(CHOOSE({1,2,3,4},NĐ!T268,NĐ!X268,NĐ!AB268,NĐ!AF268))=6)*(CHOOSE({1,2,3,4},NĐ!W268,NĐ!AA268,NĐ!AE268,NĐ!AI268)))</f>
        <v>0</v>
      </c>
      <c r="G268">
        <f>SUMPRODUCT((MONTH(CHOOSE({1,2,3,4},NĐ!T268,NĐ!X268,NĐ!AB268,NĐ!AF268))=7)*(CHOOSE({1,2,3,4},NĐ!W268,NĐ!AA268,NĐ!AE268,NĐ!AI268)))</f>
        <v>0</v>
      </c>
      <c r="H268">
        <f>SUMPRODUCT((MONTH(CHOOSE({1,2,3,4},NĐ!T268,NĐ!X268,NĐ!AB268,NĐ!AF268))=8)*(CHOOSE({1,2,3,4},NĐ!W268,NĐ!AA268,NĐ!AE268,NĐ!AI268)))</f>
        <v>0</v>
      </c>
      <c r="I268">
        <f>SUMPRODUCT((MONTH(CHOOSE({1,2,3,4},NĐ!T268,NĐ!X268,NĐ!AB268,NĐ!AF268))=9)*(CHOOSE({1,2,3,4},NĐ!W268,NĐ!AA268,NĐ!AE268,NĐ!AI268)))</f>
        <v>0</v>
      </c>
      <c r="J268">
        <f>SUMPRODUCT((MONTH(CHOOSE({1,2,3,4},NĐ!T268,NĐ!X268,NĐ!AB268,NĐ!AF268))=10)*(CHOOSE({1,2,3,4},NĐ!W268,NĐ!AA268,NĐ!AE268,NĐ!AI268)))</f>
        <v>0</v>
      </c>
      <c r="K268">
        <f>SUMPRODUCT((MONTH(CHOOSE({1,2,3,4},NĐ!T268,NĐ!X268,NĐ!AB268,NĐ!AF268))=11)*(CHOOSE({1,2,3,4},NĐ!W268,NĐ!AA268,NĐ!AE268,NĐ!AI268)))</f>
        <v>0</v>
      </c>
      <c r="L268">
        <f>SUMPRODUCT((MONTH(CHOOSE({1,2,3,4},NĐ!T268,NĐ!X268,NĐ!AB268,NĐ!AF268))=12)*(CHOOSE({1,2,3,4},NĐ!W268,NĐ!AA268,NĐ!AE268,NĐ!AI268)))</f>
        <v>0</v>
      </c>
    </row>
    <row r="269" spans="1:12">
      <c r="A269">
        <f>SUMPRODUCT((MONTH(CHOOSE({1,2,3,4},NĐ!T269,NĐ!X269,NĐ!AB269,NĐ!AF269))=1)*(CHOOSE({1,2,3,4},NĐ!W269,NĐ!AA269,NĐ!AE269,NĐ!AI269)))</f>
        <v>0</v>
      </c>
      <c r="B269">
        <f>SUMPRODUCT((MONTH(CHOOSE({1,2,3,4},NĐ!T269,NĐ!X269,NĐ!AB269,NĐ!AF269))=2)*(CHOOSE({1,2,3,4},NĐ!W269,NĐ!AA269,NĐ!AE269,NĐ!AI269)))</f>
        <v>0</v>
      </c>
      <c r="C269">
        <f>SUMPRODUCT((MONTH(CHOOSE({1,2,3,4},NĐ!T269,NĐ!X269,NĐ!AB269,NĐ!AF269))=3)*(CHOOSE({1,2,3,4},NĐ!W269,NĐ!AA269,NĐ!AE269,NĐ!AI269)))</f>
        <v>0</v>
      </c>
      <c r="D269">
        <f>SUMPRODUCT((MONTH(CHOOSE({1,2,3,4},NĐ!T269,NĐ!X269,NĐ!AB269,NĐ!AF269))=4)*(CHOOSE({1,2,3,4},NĐ!W269,NĐ!AA269,NĐ!AE269,NĐ!AI269)))</f>
        <v>0</v>
      </c>
      <c r="E269">
        <f>SUMPRODUCT((MONTH(CHOOSE({1,2,3,4},NĐ!T269,NĐ!X269,NĐ!AB269,NĐ!AF269))=5)*(CHOOSE({1,2,3,4},NĐ!W269,NĐ!AA269,NĐ!AE269,NĐ!AI269)))</f>
        <v>0</v>
      </c>
      <c r="F269">
        <f>SUMPRODUCT((MONTH(CHOOSE({1,2,3,4},NĐ!T269,NĐ!X269,NĐ!AB269,NĐ!AF269))=6)*(CHOOSE({1,2,3,4},NĐ!W269,NĐ!AA269,NĐ!AE269,NĐ!AI269)))</f>
        <v>0</v>
      </c>
      <c r="G269">
        <f>SUMPRODUCT((MONTH(CHOOSE({1,2,3,4},NĐ!T269,NĐ!X269,NĐ!AB269,NĐ!AF269))=7)*(CHOOSE({1,2,3,4},NĐ!W269,NĐ!AA269,NĐ!AE269,NĐ!AI269)))</f>
        <v>0</v>
      </c>
      <c r="H269">
        <f>SUMPRODUCT((MONTH(CHOOSE({1,2,3,4},NĐ!T269,NĐ!X269,NĐ!AB269,NĐ!AF269))=8)*(CHOOSE({1,2,3,4},NĐ!W269,NĐ!AA269,NĐ!AE269,NĐ!AI269)))</f>
        <v>0</v>
      </c>
      <c r="I269">
        <f>SUMPRODUCT((MONTH(CHOOSE({1,2,3,4},NĐ!T269,NĐ!X269,NĐ!AB269,NĐ!AF269))=9)*(CHOOSE({1,2,3,4},NĐ!W269,NĐ!AA269,NĐ!AE269,NĐ!AI269)))</f>
        <v>0</v>
      </c>
      <c r="J269">
        <f>SUMPRODUCT((MONTH(CHOOSE({1,2,3,4},NĐ!T269,NĐ!X269,NĐ!AB269,NĐ!AF269))=10)*(CHOOSE({1,2,3,4},NĐ!W269,NĐ!AA269,NĐ!AE269,NĐ!AI269)))</f>
        <v>0</v>
      </c>
      <c r="K269">
        <f>SUMPRODUCT((MONTH(CHOOSE({1,2,3,4},NĐ!T269,NĐ!X269,NĐ!AB269,NĐ!AF269))=11)*(CHOOSE({1,2,3,4},NĐ!W269,NĐ!AA269,NĐ!AE269,NĐ!AI269)))</f>
        <v>0</v>
      </c>
      <c r="L269">
        <f>SUMPRODUCT((MONTH(CHOOSE({1,2,3,4},NĐ!T269,NĐ!X269,NĐ!AB269,NĐ!AF269))=12)*(CHOOSE({1,2,3,4},NĐ!W269,NĐ!AA269,NĐ!AE269,NĐ!AI269)))</f>
        <v>0</v>
      </c>
    </row>
    <row r="270" spans="1:12">
      <c r="A270">
        <f>SUMPRODUCT((MONTH(CHOOSE({1,2,3,4},NĐ!T270,NĐ!X270,NĐ!AB270,NĐ!AF270))=1)*(CHOOSE({1,2,3,4},NĐ!W270,NĐ!AA270,NĐ!AE270,NĐ!AI270)))</f>
        <v>0</v>
      </c>
      <c r="B270">
        <f>SUMPRODUCT((MONTH(CHOOSE({1,2,3,4},NĐ!T270,NĐ!X270,NĐ!AB270,NĐ!AF270))=2)*(CHOOSE({1,2,3,4},NĐ!W270,NĐ!AA270,NĐ!AE270,NĐ!AI270)))</f>
        <v>0</v>
      </c>
      <c r="C270">
        <f>SUMPRODUCT((MONTH(CHOOSE({1,2,3,4},NĐ!T270,NĐ!X270,NĐ!AB270,NĐ!AF270))=3)*(CHOOSE({1,2,3,4},NĐ!W270,NĐ!AA270,NĐ!AE270,NĐ!AI270)))</f>
        <v>0</v>
      </c>
      <c r="D270">
        <f>SUMPRODUCT((MONTH(CHOOSE({1,2,3,4},NĐ!T270,NĐ!X270,NĐ!AB270,NĐ!AF270))=4)*(CHOOSE({1,2,3,4},NĐ!W270,NĐ!AA270,NĐ!AE270,NĐ!AI270)))</f>
        <v>0</v>
      </c>
      <c r="E270">
        <f>SUMPRODUCT((MONTH(CHOOSE({1,2,3,4},NĐ!T270,NĐ!X270,NĐ!AB270,NĐ!AF270))=5)*(CHOOSE({1,2,3,4},NĐ!W270,NĐ!AA270,NĐ!AE270,NĐ!AI270)))</f>
        <v>0</v>
      </c>
      <c r="F270">
        <f>SUMPRODUCT((MONTH(CHOOSE({1,2,3,4},NĐ!T270,NĐ!X270,NĐ!AB270,NĐ!AF270))=6)*(CHOOSE({1,2,3,4},NĐ!W270,NĐ!AA270,NĐ!AE270,NĐ!AI270)))</f>
        <v>0</v>
      </c>
      <c r="G270">
        <f>SUMPRODUCT((MONTH(CHOOSE({1,2,3,4},NĐ!T270,NĐ!X270,NĐ!AB270,NĐ!AF270))=7)*(CHOOSE({1,2,3,4},NĐ!W270,NĐ!AA270,NĐ!AE270,NĐ!AI270)))</f>
        <v>0</v>
      </c>
      <c r="H270">
        <f>SUMPRODUCT((MONTH(CHOOSE({1,2,3,4},NĐ!T270,NĐ!X270,NĐ!AB270,NĐ!AF270))=8)*(CHOOSE({1,2,3,4},NĐ!W270,NĐ!AA270,NĐ!AE270,NĐ!AI270)))</f>
        <v>0</v>
      </c>
      <c r="I270">
        <f>SUMPRODUCT((MONTH(CHOOSE({1,2,3,4},NĐ!T270,NĐ!X270,NĐ!AB270,NĐ!AF270))=9)*(CHOOSE({1,2,3,4},NĐ!W270,NĐ!AA270,NĐ!AE270,NĐ!AI270)))</f>
        <v>0</v>
      </c>
      <c r="J270">
        <f>SUMPRODUCT((MONTH(CHOOSE({1,2,3,4},NĐ!T270,NĐ!X270,NĐ!AB270,NĐ!AF270))=10)*(CHOOSE({1,2,3,4},NĐ!W270,NĐ!AA270,NĐ!AE270,NĐ!AI270)))</f>
        <v>0</v>
      </c>
      <c r="K270">
        <f>SUMPRODUCT((MONTH(CHOOSE({1,2,3,4},NĐ!T270,NĐ!X270,NĐ!AB270,NĐ!AF270))=11)*(CHOOSE({1,2,3,4},NĐ!W270,NĐ!AA270,NĐ!AE270,NĐ!AI270)))</f>
        <v>0</v>
      </c>
      <c r="L270">
        <f>SUMPRODUCT((MONTH(CHOOSE({1,2,3,4},NĐ!T270,NĐ!X270,NĐ!AB270,NĐ!AF270))=12)*(CHOOSE({1,2,3,4},NĐ!W270,NĐ!AA270,NĐ!AE270,NĐ!AI270)))</f>
        <v>0</v>
      </c>
    </row>
    <row r="271" spans="1:12">
      <c r="A271">
        <f>SUMPRODUCT((MONTH(CHOOSE({1,2,3,4},NĐ!T271,NĐ!X271,NĐ!AB271,NĐ!AF271))=1)*(CHOOSE({1,2,3,4},NĐ!W271,NĐ!AA271,NĐ!AE271,NĐ!AI271)))</f>
        <v>0</v>
      </c>
      <c r="B271">
        <f>SUMPRODUCT((MONTH(CHOOSE({1,2,3,4},NĐ!T271,NĐ!X271,NĐ!AB271,NĐ!AF271))=2)*(CHOOSE({1,2,3,4},NĐ!W271,NĐ!AA271,NĐ!AE271,NĐ!AI271)))</f>
        <v>0</v>
      </c>
      <c r="C271">
        <f>SUMPRODUCT((MONTH(CHOOSE({1,2,3,4},NĐ!T271,NĐ!X271,NĐ!AB271,NĐ!AF271))=3)*(CHOOSE({1,2,3,4},NĐ!W271,NĐ!AA271,NĐ!AE271,NĐ!AI271)))</f>
        <v>0</v>
      </c>
      <c r="D271">
        <f>SUMPRODUCT((MONTH(CHOOSE({1,2,3,4},NĐ!T271,NĐ!X271,NĐ!AB271,NĐ!AF271))=4)*(CHOOSE({1,2,3,4},NĐ!W271,NĐ!AA271,NĐ!AE271,NĐ!AI271)))</f>
        <v>0</v>
      </c>
      <c r="E271">
        <f>SUMPRODUCT((MONTH(CHOOSE({1,2,3,4},NĐ!T271,NĐ!X271,NĐ!AB271,NĐ!AF271))=5)*(CHOOSE({1,2,3,4},NĐ!W271,NĐ!AA271,NĐ!AE271,NĐ!AI271)))</f>
        <v>0</v>
      </c>
      <c r="F271">
        <f>SUMPRODUCT((MONTH(CHOOSE({1,2,3,4},NĐ!T271,NĐ!X271,NĐ!AB271,NĐ!AF271))=6)*(CHOOSE({1,2,3,4},NĐ!W271,NĐ!AA271,NĐ!AE271,NĐ!AI271)))</f>
        <v>0</v>
      </c>
      <c r="G271">
        <f>SUMPRODUCT((MONTH(CHOOSE({1,2,3,4},NĐ!T271,NĐ!X271,NĐ!AB271,NĐ!AF271))=7)*(CHOOSE({1,2,3,4},NĐ!W271,NĐ!AA271,NĐ!AE271,NĐ!AI271)))</f>
        <v>0</v>
      </c>
      <c r="H271">
        <f>SUMPRODUCT((MONTH(CHOOSE({1,2,3,4},NĐ!T271,NĐ!X271,NĐ!AB271,NĐ!AF271))=8)*(CHOOSE({1,2,3,4},NĐ!W271,NĐ!AA271,NĐ!AE271,NĐ!AI271)))</f>
        <v>0</v>
      </c>
      <c r="I271">
        <f>SUMPRODUCT((MONTH(CHOOSE({1,2,3,4},NĐ!T271,NĐ!X271,NĐ!AB271,NĐ!AF271))=9)*(CHOOSE({1,2,3,4},NĐ!W271,NĐ!AA271,NĐ!AE271,NĐ!AI271)))</f>
        <v>0</v>
      </c>
      <c r="J271">
        <f>SUMPRODUCT((MONTH(CHOOSE({1,2,3,4},NĐ!T271,NĐ!X271,NĐ!AB271,NĐ!AF271))=10)*(CHOOSE({1,2,3,4},NĐ!W271,NĐ!AA271,NĐ!AE271,NĐ!AI271)))</f>
        <v>0</v>
      </c>
      <c r="K271">
        <f>SUMPRODUCT((MONTH(CHOOSE({1,2,3,4},NĐ!T271,NĐ!X271,NĐ!AB271,NĐ!AF271))=11)*(CHOOSE({1,2,3,4},NĐ!W271,NĐ!AA271,NĐ!AE271,NĐ!AI271)))</f>
        <v>0</v>
      </c>
      <c r="L271">
        <f>SUMPRODUCT((MONTH(CHOOSE({1,2,3,4},NĐ!T271,NĐ!X271,NĐ!AB271,NĐ!AF271))=12)*(CHOOSE({1,2,3,4},NĐ!W271,NĐ!AA271,NĐ!AE271,NĐ!AI271)))</f>
        <v>0</v>
      </c>
    </row>
    <row r="272" spans="1:12">
      <c r="A272">
        <f>SUMPRODUCT((MONTH(CHOOSE({1,2,3,4},NĐ!T272,NĐ!X272,NĐ!AB272,NĐ!AF272))=1)*(CHOOSE({1,2,3,4},NĐ!W272,NĐ!AA272,NĐ!AE272,NĐ!AI272)))</f>
        <v>0</v>
      </c>
      <c r="B272">
        <f>SUMPRODUCT((MONTH(CHOOSE({1,2,3,4},NĐ!T272,NĐ!X272,NĐ!AB272,NĐ!AF272))=2)*(CHOOSE({1,2,3,4},NĐ!W272,NĐ!AA272,NĐ!AE272,NĐ!AI272)))</f>
        <v>0</v>
      </c>
      <c r="C272">
        <f>SUMPRODUCT((MONTH(CHOOSE({1,2,3,4},NĐ!T272,NĐ!X272,NĐ!AB272,NĐ!AF272))=3)*(CHOOSE({1,2,3,4},NĐ!W272,NĐ!AA272,NĐ!AE272,NĐ!AI272)))</f>
        <v>0</v>
      </c>
      <c r="D272">
        <f>SUMPRODUCT((MONTH(CHOOSE({1,2,3,4},NĐ!T272,NĐ!X272,NĐ!AB272,NĐ!AF272))=4)*(CHOOSE({1,2,3,4},NĐ!W272,NĐ!AA272,NĐ!AE272,NĐ!AI272)))</f>
        <v>0</v>
      </c>
      <c r="E272">
        <f>SUMPRODUCT((MONTH(CHOOSE({1,2,3,4},NĐ!T272,NĐ!X272,NĐ!AB272,NĐ!AF272))=5)*(CHOOSE({1,2,3,4},NĐ!W272,NĐ!AA272,NĐ!AE272,NĐ!AI272)))</f>
        <v>0</v>
      </c>
      <c r="F272">
        <f>SUMPRODUCT((MONTH(CHOOSE({1,2,3,4},NĐ!T272,NĐ!X272,NĐ!AB272,NĐ!AF272))=6)*(CHOOSE({1,2,3,4},NĐ!W272,NĐ!AA272,NĐ!AE272,NĐ!AI272)))</f>
        <v>0</v>
      </c>
      <c r="G272">
        <f>SUMPRODUCT((MONTH(CHOOSE({1,2,3,4},NĐ!T272,NĐ!X272,NĐ!AB272,NĐ!AF272))=7)*(CHOOSE({1,2,3,4},NĐ!W272,NĐ!AA272,NĐ!AE272,NĐ!AI272)))</f>
        <v>0</v>
      </c>
      <c r="H272">
        <f>SUMPRODUCT((MONTH(CHOOSE({1,2,3,4},NĐ!T272,NĐ!X272,NĐ!AB272,NĐ!AF272))=8)*(CHOOSE({1,2,3,4},NĐ!W272,NĐ!AA272,NĐ!AE272,NĐ!AI272)))</f>
        <v>0</v>
      </c>
      <c r="I272">
        <f>SUMPRODUCT((MONTH(CHOOSE({1,2,3,4},NĐ!T272,NĐ!X272,NĐ!AB272,NĐ!AF272))=9)*(CHOOSE({1,2,3,4},NĐ!W272,NĐ!AA272,NĐ!AE272,NĐ!AI272)))</f>
        <v>0</v>
      </c>
      <c r="J272">
        <f>SUMPRODUCT((MONTH(CHOOSE({1,2,3,4},NĐ!T272,NĐ!X272,NĐ!AB272,NĐ!AF272))=10)*(CHOOSE({1,2,3,4},NĐ!W272,NĐ!AA272,NĐ!AE272,NĐ!AI272)))</f>
        <v>0</v>
      </c>
      <c r="K272">
        <f>SUMPRODUCT((MONTH(CHOOSE({1,2,3,4},NĐ!T272,NĐ!X272,NĐ!AB272,NĐ!AF272))=11)*(CHOOSE({1,2,3,4},NĐ!W272,NĐ!AA272,NĐ!AE272,NĐ!AI272)))</f>
        <v>0</v>
      </c>
      <c r="L272">
        <f>SUMPRODUCT((MONTH(CHOOSE({1,2,3,4},NĐ!T272,NĐ!X272,NĐ!AB272,NĐ!AF272))=12)*(CHOOSE({1,2,3,4},NĐ!W272,NĐ!AA272,NĐ!AE272,NĐ!AI272)))</f>
        <v>0</v>
      </c>
    </row>
    <row r="273" spans="1:12">
      <c r="A273">
        <f>SUMPRODUCT((MONTH(CHOOSE({1,2,3,4},NĐ!T273,NĐ!X273,NĐ!AB273,NĐ!AF273))=1)*(CHOOSE({1,2,3,4},NĐ!W273,NĐ!AA273,NĐ!AE273,NĐ!AI273)))</f>
        <v>0</v>
      </c>
      <c r="B273">
        <f>SUMPRODUCT((MONTH(CHOOSE({1,2,3,4},NĐ!T273,NĐ!X273,NĐ!AB273,NĐ!AF273))=2)*(CHOOSE({1,2,3,4},NĐ!W273,NĐ!AA273,NĐ!AE273,NĐ!AI273)))</f>
        <v>0</v>
      </c>
      <c r="C273">
        <f>SUMPRODUCT((MONTH(CHOOSE({1,2,3,4},NĐ!T273,NĐ!X273,NĐ!AB273,NĐ!AF273))=3)*(CHOOSE({1,2,3,4},NĐ!W273,NĐ!AA273,NĐ!AE273,NĐ!AI273)))</f>
        <v>0</v>
      </c>
      <c r="D273">
        <f>SUMPRODUCT((MONTH(CHOOSE({1,2,3,4},NĐ!T273,NĐ!X273,NĐ!AB273,NĐ!AF273))=4)*(CHOOSE({1,2,3,4},NĐ!W273,NĐ!AA273,NĐ!AE273,NĐ!AI273)))</f>
        <v>0</v>
      </c>
      <c r="E273">
        <f>SUMPRODUCT((MONTH(CHOOSE({1,2,3,4},NĐ!T273,NĐ!X273,NĐ!AB273,NĐ!AF273))=5)*(CHOOSE({1,2,3,4},NĐ!W273,NĐ!AA273,NĐ!AE273,NĐ!AI273)))</f>
        <v>0</v>
      </c>
      <c r="F273">
        <f>SUMPRODUCT((MONTH(CHOOSE({1,2,3,4},NĐ!T273,NĐ!X273,NĐ!AB273,NĐ!AF273))=6)*(CHOOSE({1,2,3,4},NĐ!W273,NĐ!AA273,NĐ!AE273,NĐ!AI273)))</f>
        <v>0</v>
      </c>
      <c r="G273">
        <f>SUMPRODUCT((MONTH(CHOOSE({1,2,3,4},NĐ!T273,NĐ!X273,NĐ!AB273,NĐ!AF273))=7)*(CHOOSE({1,2,3,4},NĐ!W273,NĐ!AA273,NĐ!AE273,NĐ!AI273)))</f>
        <v>0</v>
      </c>
      <c r="H273">
        <f>SUMPRODUCT((MONTH(CHOOSE({1,2,3,4},NĐ!T273,NĐ!X273,NĐ!AB273,NĐ!AF273))=8)*(CHOOSE({1,2,3,4},NĐ!W273,NĐ!AA273,NĐ!AE273,NĐ!AI273)))</f>
        <v>0</v>
      </c>
      <c r="I273">
        <f>SUMPRODUCT((MONTH(CHOOSE({1,2,3,4},NĐ!T273,NĐ!X273,NĐ!AB273,NĐ!AF273))=9)*(CHOOSE({1,2,3,4},NĐ!W273,NĐ!AA273,NĐ!AE273,NĐ!AI273)))</f>
        <v>0</v>
      </c>
      <c r="J273">
        <f>SUMPRODUCT((MONTH(CHOOSE({1,2,3,4},NĐ!T273,NĐ!X273,NĐ!AB273,NĐ!AF273))=10)*(CHOOSE({1,2,3,4},NĐ!W273,NĐ!AA273,NĐ!AE273,NĐ!AI273)))</f>
        <v>0</v>
      </c>
      <c r="K273">
        <f>SUMPRODUCT((MONTH(CHOOSE({1,2,3,4},NĐ!T273,NĐ!X273,NĐ!AB273,NĐ!AF273))=11)*(CHOOSE({1,2,3,4},NĐ!W273,NĐ!AA273,NĐ!AE273,NĐ!AI273)))</f>
        <v>0</v>
      </c>
      <c r="L273">
        <f>SUMPRODUCT((MONTH(CHOOSE({1,2,3,4},NĐ!T273,NĐ!X273,NĐ!AB273,NĐ!AF273))=12)*(CHOOSE({1,2,3,4},NĐ!W273,NĐ!AA273,NĐ!AE273,NĐ!AI273)))</f>
        <v>0</v>
      </c>
    </row>
    <row r="274" spans="1:12">
      <c r="A274">
        <f>SUMPRODUCT((MONTH(CHOOSE({1,2,3,4},NĐ!T274,NĐ!X274,NĐ!AB274,NĐ!AF274))=1)*(CHOOSE({1,2,3,4},NĐ!W274,NĐ!AA274,NĐ!AE274,NĐ!AI274)))</f>
        <v>0</v>
      </c>
      <c r="B274">
        <f>SUMPRODUCT((MONTH(CHOOSE({1,2,3,4},NĐ!T274,NĐ!X274,NĐ!AB274,NĐ!AF274))=2)*(CHOOSE({1,2,3,4},NĐ!W274,NĐ!AA274,NĐ!AE274,NĐ!AI274)))</f>
        <v>0</v>
      </c>
      <c r="C274">
        <f>SUMPRODUCT((MONTH(CHOOSE({1,2,3,4},NĐ!T274,NĐ!X274,NĐ!AB274,NĐ!AF274))=3)*(CHOOSE({1,2,3,4},NĐ!W274,NĐ!AA274,NĐ!AE274,NĐ!AI274)))</f>
        <v>0</v>
      </c>
      <c r="D274">
        <f>SUMPRODUCT((MONTH(CHOOSE({1,2,3,4},NĐ!T274,NĐ!X274,NĐ!AB274,NĐ!AF274))=4)*(CHOOSE({1,2,3,4},NĐ!W274,NĐ!AA274,NĐ!AE274,NĐ!AI274)))</f>
        <v>0</v>
      </c>
      <c r="E274">
        <f>SUMPRODUCT((MONTH(CHOOSE({1,2,3,4},NĐ!T274,NĐ!X274,NĐ!AB274,NĐ!AF274))=5)*(CHOOSE({1,2,3,4},NĐ!W274,NĐ!AA274,NĐ!AE274,NĐ!AI274)))</f>
        <v>0</v>
      </c>
      <c r="F274">
        <f>SUMPRODUCT((MONTH(CHOOSE({1,2,3,4},NĐ!T274,NĐ!X274,NĐ!AB274,NĐ!AF274))=6)*(CHOOSE({1,2,3,4},NĐ!W274,NĐ!AA274,NĐ!AE274,NĐ!AI274)))</f>
        <v>0</v>
      </c>
      <c r="G274">
        <f>SUMPRODUCT((MONTH(CHOOSE({1,2,3,4},NĐ!T274,NĐ!X274,NĐ!AB274,NĐ!AF274))=7)*(CHOOSE({1,2,3,4},NĐ!W274,NĐ!AA274,NĐ!AE274,NĐ!AI274)))</f>
        <v>0</v>
      </c>
      <c r="H274">
        <f>SUMPRODUCT((MONTH(CHOOSE({1,2,3,4},NĐ!T274,NĐ!X274,NĐ!AB274,NĐ!AF274))=8)*(CHOOSE({1,2,3,4},NĐ!W274,NĐ!AA274,NĐ!AE274,NĐ!AI274)))</f>
        <v>0</v>
      </c>
      <c r="I274">
        <f>SUMPRODUCT((MONTH(CHOOSE({1,2,3,4},NĐ!T274,NĐ!X274,NĐ!AB274,NĐ!AF274))=9)*(CHOOSE({1,2,3,4},NĐ!W274,NĐ!AA274,NĐ!AE274,NĐ!AI274)))</f>
        <v>0</v>
      </c>
      <c r="J274">
        <f>SUMPRODUCT((MONTH(CHOOSE({1,2,3,4},NĐ!T274,NĐ!X274,NĐ!AB274,NĐ!AF274))=10)*(CHOOSE({1,2,3,4},NĐ!W274,NĐ!AA274,NĐ!AE274,NĐ!AI274)))</f>
        <v>0</v>
      </c>
      <c r="K274">
        <f>SUMPRODUCT((MONTH(CHOOSE({1,2,3,4},NĐ!T274,NĐ!X274,NĐ!AB274,NĐ!AF274))=11)*(CHOOSE({1,2,3,4},NĐ!W274,NĐ!AA274,NĐ!AE274,NĐ!AI274)))</f>
        <v>0</v>
      </c>
      <c r="L274">
        <f>SUMPRODUCT((MONTH(CHOOSE({1,2,3,4},NĐ!T274,NĐ!X274,NĐ!AB274,NĐ!AF274))=12)*(CHOOSE({1,2,3,4},NĐ!W274,NĐ!AA274,NĐ!AE274,NĐ!AI274)))</f>
        <v>0</v>
      </c>
    </row>
    <row r="275" spans="1:12">
      <c r="A275">
        <f>SUMPRODUCT((MONTH(CHOOSE({1,2,3,4},NĐ!T275,NĐ!X275,NĐ!AB275,NĐ!AF275))=1)*(CHOOSE({1,2,3,4},NĐ!W275,NĐ!AA275,NĐ!AE275,NĐ!AI275)))</f>
        <v>0</v>
      </c>
      <c r="B275">
        <f>SUMPRODUCT((MONTH(CHOOSE({1,2,3,4},NĐ!T275,NĐ!X275,NĐ!AB275,NĐ!AF275))=2)*(CHOOSE({1,2,3,4},NĐ!W275,NĐ!AA275,NĐ!AE275,NĐ!AI275)))</f>
        <v>0</v>
      </c>
      <c r="C275">
        <f>SUMPRODUCT((MONTH(CHOOSE({1,2,3,4},NĐ!T275,NĐ!X275,NĐ!AB275,NĐ!AF275))=3)*(CHOOSE({1,2,3,4},NĐ!W275,NĐ!AA275,NĐ!AE275,NĐ!AI275)))</f>
        <v>0</v>
      </c>
      <c r="D275">
        <f>SUMPRODUCT((MONTH(CHOOSE({1,2,3,4},NĐ!T275,NĐ!X275,NĐ!AB275,NĐ!AF275))=4)*(CHOOSE({1,2,3,4},NĐ!W275,NĐ!AA275,NĐ!AE275,NĐ!AI275)))</f>
        <v>0</v>
      </c>
      <c r="E275">
        <f>SUMPRODUCT((MONTH(CHOOSE({1,2,3,4},NĐ!T275,NĐ!X275,NĐ!AB275,NĐ!AF275))=5)*(CHOOSE({1,2,3,4},NĐ!W275,NĐ!AA275,NĐ!AE275,NĐ!AI275)))</f>
        <v>0</v>
      </c>
      <c r="F275">
        <f>SUMPRODUCT((MONTH(CHOOSE({1,2,3,4},NĐ!T275,NĐ!X275,NĐ!AB275,NĐ!AF275))=6)*(CHOOSE({1,2,3,4},NĐ!W275,NĐ!AA275,NĐ!AE275,NĐ!AI275)))</f>
        <v>0</v>
      </c>
      <c r="G275">
        <f>SUMPRODUCT((MONTH(CHOOSE({1,2,3,4},NĐ!T275,NĐ!X275,NĐ!AB275,NĐ!AF275))=7)*(CHOOSE({1,2,3,4},NĐ!W275,NĐ!AA275,NĐ!AE275,NĐ!AI275)))</f>
        <v>0</v>
      </c>
      <c r="H275">
        <f>SUMPRODUCT((MONTH(CHOOSE({1,2,3,4},NĐ!T275,NĐ!X275,NĐ!AB275,NĐ!AF275))=8)*(CHOOSE({1,2,3,4},NĐ!W275,NĐ!AA275,NĐ!AE275,NĐ!AI275)))</f>
        <v>0</v>
      </c>
      <c r="I275">
        <f>SUMPRODUCT((MONTH(CHOOSE({1,2,3,4},NĐ!T275,NĐ!X275,NĐ!AB275,NĐ!AF275))=9)*(CHOOSE({1,2,3,4},NĐ!W275,NĐ!AA275,NĐ!AE275,NĐ!AI275)))</f>
        <v>0</v>
      </c>
      <c r="J275">
        <f>SUMPRODUCT((MONTH(CHOOSE({1,2,3,4},NĐ!T275,NĐ!X275,NĐ!AB275,NĐ!AF275))=10)*(CHOOSE({1,2,3,4},NĐ!W275,NĐ!AA275,NĐ!AE275,NĐ!AI275)))</f>
        <v>0</v>
      </c>
      <c r="K275">
        <f>SUMPRODUCT((MONTH(CHOOSE({1,2,3,4},NĐ!T275,NĐ!X275,NĐ!AB275,NĐ!AF275))=11)*(CHOOSE({1,2,3,4},NĐ!W275,NĐ!AA275,NĐ!AE275,NĐ!AI275)))</f>
        <v>0</v>
      </c>
      <c r="L275">
        <f>SUMPRODUCT((MONTH(CHOOSE({1,2,3,4},NĐ!T275,NĐ!X275,NĐ!AB275,NĐ!AF275))=12)*(CHOOSE({1,2,3,4},NĐ!W275,NĐ!AA275,NĐ!AE275,NĐ!AI275)))</f>
        <v>0</v>
      </c>
    </row>
    <row r="276" spans="1:12">
      <c r="A276">
        <f>SUMPRODUCT((MONTH(CHOOSE({1,2,3,4},NĐ!T276,NĐ!X276,NĐ!AB276,NĐ!AF276))=1)*(CHOOSE({1,2,3,4},NĐ!W276,NĐ!AA276,NĐ!AE276,NĐ!AI276)))</f>
        <v>0</v>
      </c>
      <c r="B276">
        <f>SUMPRODUCT((MONTH(CHOOSE({1,2,3,4},NĐ!T276,NĐ!X276,NĐ!AB276,NĐ!AF276))=2)*(CHOOSE({1,2,3,4},NĐ!W276,NĐ!AA276,NĐ!AE276,NĐ!AI276)))</f>
        <v>0</v>
      </c>
      <c r="C276">
        <f>SUMPRODUCT((MONTH(CHOOSE({1,2,3,4},NĐ!T276,NĐ!X276,NĐ!AB276,NĐ!AF276))=3)*(CHOOSE({1,2,3,4},NĐ!W276,NĐ!AA276,NĐ!AE276,NĐ!AI276)))</f>
        <v>0</v>
      </c>
      <c r="D276">
        <f>SUMPRODUCT((MONTH(CHOOSE({1,2,3,4},NĐ!T276,NĐ!X276,NĐ!AB276,NĐ!AF276))=4)*(CHOOSE({1,2,3,4},NĐ!W276,NĐ!AA276,NĐ!AE276,NĐ!AI276)))</f>
        <v>0</v>
      </c>
      <c r="E276">
        <f>SUMPRODUCT((MONTH(CHOOSE({1,2,3,4},NĐ!T276,NĐ!X276,NĐ!AB276,NĐ!AF276))=5)*(CHOOSE({1,2,3,4},NĐ!W276,NĐ!AA276,NĐ!AE276,NĐ!AI276)))</f>
        <v>0</v>
      </c>
      <c r="F276">
        <f>SUMPRODUCT((MONTH(CHOOSE({1,2,3,4},NĐ!T276,NĐ!X276,NĐ!AB276,NĐ!AF276))=6)*(CHOOSE({1,2,3,4},NĐ!W276,NĐ!AA276,NĐ!AE276,NĐ!AI276)))</f>
        <v>0</v>
      </c>
      <c r="G276">
        <f>SUMPRODUCT((MONTH(CHOOSE({1,2,3,4},NĐ!T276,NĐ!X276,NĐ!AB276,NĐ!AF276))=7)*(CHOOSE({1,2,3,4},NĐ!W276,NĐ!AA276,NĐ!AE276,NĐ!AI276)))</f>
        <v>0</v>
      </c>
      <c r="H276">
        <f>SUMPRODUCT((MONTH(CHOOSE({1,2,3,4},NĐ!T276,NĐ!X276,NĐ!AB276,NĐ!AF276))=8)*(CHOOSE({1,2,3,4},NĐ!W276,NĐ!AA276,NĐ!AE276,NĐ!AI276)))</f>
        <v>0</v>
      </c>
      <c r="I276">
        <f>SUMPRODUCT((MONTH(CHOOSE({1,2,3,4},NĐ!T276,NĐ!X276,NĐ!AB276,NĐ!AF276))=9)*(CHOOSE({1,2,3,4},NĐ!W276,NĐ!AA276,NĐ!AE276,NĐ!AI276)))</f>
        <v>0</v>
      </c>
      <c r="J276">
        <f>SUMPRODUCT((MONTH(CHOOSE({1,2,3,4},NĐ!T276,NĐ!X276,NĐ!AB276,NĐ!AF276))=10)*(CHOOSE({1,2,3,4},NĐ!W276,NĐ!AA276,NĐ!AE276,NĐ!AI276)))</f>
        <v>0</v>
      </c>
      <c r="K276">
        <f>SUMPRODUCT((MONTH(CHOOSE({1,2,3,4},NĐ!T276,NĐ!X276,NĐ!AB276,NĐ!AF276))=11)*(CHOOSE({1,2,3,4},NĐ!W276,NĐ!AA276,NĐ!AE276,NĐ!AI276)))</f>
        <v>0</v>
      </c>
      <c r="L276">
        <f>SUMPRODUCT((MONTH(CHOOSE({1,2,3,4},NĐ!T276,NĐ!X276,NĐ!AB276,NĐ!AF276))=12)*(CHOOSE({1,2,3,4},NĐ!W276,NĐ!AA276,NĐ!AE276,NĐ!AI276)))</f>
        <v>0</v>
      </c>
    </row>
    <row r="277" spans="1:12">
      <c r="A277">
        <f>SUMPRODUCT((MONTH(CHOOSE({1,2,3,4},NĐ!T277,NĐ!X277,NĐ!AB277,NĐ!AF277))=1)*(CHOOSE({1,2,3,4},NĐ!W277,NĐ!AA277,NĐ!AE277,NĐ!AI277)))</f>
        <v>0</v>
      </c>
      <c r="B277">
        <f>SUMPRODUCT((MONTH(CHOOSE({1,2,3,4},NĐ!T277,NĐ!X277,NĐ!AB277,NĐ!AF277))=2)*(CHOOSE({1,2,3,4},NĐ!W277,NĐ!AA277,NĐ!AE277,NĐ!AI277)))</f>
        <v>0</v>
      </c>
      <c r="C277">
        <f>SUMPRODUCT((MONTH(CHOOSE({1,2,3,4},NĐ!T277,NĐ!X277,NĐ!AB277,NĐ!AF277))=3)*(CHOOSE({1,2,3,4},NĐ!W277,NĐ!AA277,NĐ!AE277,NĐ!AI277)))</f>
        <v>0</v>
      </c>
      <c r="D277">
        <f>SUMPRODUCT((MONTH(CHOOSE({1,2,3,4},NĐ!T277,NĐ!X277,NĐ!AB277,NĐ!AF277))=4)*(CHOOSE({1,2,3,4},NĐ!W277,NĐ!AA277,NĐ!AE277,NĐ!AI277)))</f>
        <v>0</v>
      </c>
      <c r="E277">
        <f>SUMPRODUCT((MONTH(CHOOSE({1,2,3,4},NĐ!T277,NĐ!X277,NĐ!AB277,NĐ!AF277))=5)*(CHOOSE({1,2,3,4},NĐ!W277,NĐ!AA277,NĐ!AE277,NĐ!AI277)))</f>
        <v>0</v>
      </c>
      <c r="F277">
        <f>SUMPRODUCT((MONTH(CHOOSE({1,2,3,4},NĐ!T277,NĐ!X277,NĐ!AB277,NĐ!AF277))=6)*(CHOOSE({1,2,3,4},NĐ!W277,NĐ!AA277,NĐ!AE277,NĐ!AI277)))</f>
        <v>0</v>
      </c>
      <c r="G277">
        <f>SUMPRODUCT((MONTH(CHOOSE({1,2,3,4},NĐ!T277,NĐ!X277,NĐ!AB277,NĐ!AF277))=7)*(CHOOSE({1,2,3,4},NĐ!W277,NĐ!AA277,NĐ!AE277,NĐ!AI277)))</f>
        <v>0</v>
      </c>
      <c r="H277">
        <f>SUMPRODUCT((MONTH(CHOOSE({1,2,3,4},NĐ!T277,NĐ!X277,NĐ!AB277,NĐ!AF277))=8)*(CHOOSE({1,2,3,4},NĐ!W277,NĐ!AA277,NĐ!AE277,NĐ!AI277)))</f>
        <v>0</v>
      </c>
      <c r="I277">
        <f>SUMPRODUCT((MONTH(CHOOSE({1,2,3,4},NĐ!T277,NĐ!X277,NĐ!AB277,NĐ!AF277))=9)*(CHOOSE({1,2,3,4},NĐ!W277,NĐ!AA277,NĐ!AE277,NĐ!AI277)))</f>
        <v>0</v>
      </c>
      <c r="J277">
        <f>SUMPRODUCT((MONTH(CHOOSE({1,2,3,4},NĐ!T277,NĐ!X277,NĐ!AB277,NĐ!AF277))=10)*(CHOOSE({1,2,3,4},NĐ!W277,NĐ!AA277,NĐ!AE277,NĐ!AI277)))</f>
        <v>0</v>
      </c>
      <c r="K277">
        <f>SUMPRODUCT((MONTH(CHOOSE({1,2,3,4},NĐ!T277,NĐ!X277,NĐ!AB277,NĐ!AF277))=11)*(CHOOSE({1,2,3,4},NĐ!W277,NĐ!AA277,NĐ!AE277,NĐ!AI277)))</f>
        <v>0</v>
      </c>
      <c r="L277">
        <f>SUMPRODUCT((MONTH(CHOOSE({1,2,3,4},NĐ!T277,NĐ!X277,NĐ!AB277,NĐ!AF277))=12)*(CHOOSE({1,2,3,4},NĐ!W277,NĐ!AA277,NĐ!AE277,NĐ!AI277)))</f>
        <v>0</v>
      </c>
    </row>
    <row r="278" spans="1:12">
      <c r="A278">
        <f>SUMPRODUCT((MONTH(CHOOSE({1,2,3,4},NĐ!T278,NĐ!X278,NĐ!AB278,NĐ!AF278))=1)*(CHOOSE({1,2,3,4},NĐ!W278,NĐ!AA278,NĐ!AE278,NĐ!AI278)))</f>
        <v>0</v>
      </c>
      <c r="B278">
        <f>SUMPRODUCT((MONTH(CHOOSE({1,2,3,4},NĐ!T278,NĐ!X278,NĐ!AB278,NĐ!AF278))=2)*(CHOOSE({1,2,3,4},NĐ!W278,NĐ!AA278,NĐ!AE278,NĐ!AI278)))</f>
        <v>0</v>
      </c>
      <c r="C278">
        <f>SUMPRODUCT((MONTH(CHOOSE({1,2,3,4},NĐ!T278,NĐ!X278,NĐ!AB278,NĐ!AF278))=3)*(CHOOSE({1,2,3,4},NĐ!W278,NĐ!AA278,NĐ!AE278,NĐ!AI278)))</f>
        <v>0</v>
      </c>
      <c r="D278">
        <f>SUMPRODUCT((MONTH(CHOOSE({1,2,3,4},NĐ!T278,NĐ!X278,NĐ!AB278,NĐ!AF278))=4)*(CHOOSE({1,2,3,4},NĐ!W278,NĐ!AA278,NĐ!AE278,NĐ!AI278)))</f>
        <v>0</v>
      </c>
      <c r="E278">
        <f>SUMPRODUCT((MONTH(CHOOSE({1,2,3,4},NĐ!T278,NĐ!X278,NĐ!AB278,NĐ!AF278))=5)*(CHOOSE({1,2,3,4},NĐ!W278,NĐ!AA278,NĐ!AE278,NĐ!AI278)))</f>
        <v>0</v>
      </c>
      <c r="F278">
        <f>SUMPRODUCT((MONTH(CHOOSE({1,2,3,4},NĐ!T278,NĐ!X278,NĐ!AB278,NĐ!AF278))=6)*(CHOOSE({1,2,3,4},NĐ!W278,NĐ!AA278,NĐ!AE278,NĐ!AI278)))</f>
        <v>0</v>
      </c>
      <c r="G278">
        <f>SUMPRODUCT((MONTH(CHOOSE({1,2,3,4},NĐ!T278,NĐ!X278,NĐ!AB278,NĐ!AF278))=7)*(CHOOSE({1,2,3,4},NĐ!W278,NĐ!AA278,NĐ!AE278,NĐ!AI278)))</f>
        <v>0</v>
      </c>
      <c r="H278">
        <f>SUMPRODUCT((MONTH(CHOOSE({1,2,3,4},NĐ!T278,NĐ!X278,NĐ!AB278,NĐ!AF278))=8)*(CHOOSE({1,2,3,4},NĐ!W278,NĐ!AA278,NĐ!AE278,NĐ!AI278)))</f>
        <v>0</v>
      </c>
      <c r="I278">
        <f>SUMPRODUCT((MONTH(CHOOSE({1,2,3,4},NĐ!T278,NĐ!X278,NĐ!AB278,NĐ!AF278))=9)*(CHOOSE({1,2,3,4},NĐ!W278,NĐ!AA278,NĐ!AE278,NĐ!AI278)))</f>
        <v>0</v>
      </c>
      <c r="J278">
        <f>SUMPRODUCT((MONTH(CHOOSE({1,2,3,4},NĐ!T278,NĐ!X278,NĐ!AB278,NĐ!AF278))=10)*(CHOOSE({1,2,3,4},NĐ!W278,NĐ!AA278,NĐ!AE278,NĐ!AI278)))</f>
        <v>0</v>
      </c>
      <c r="K278">
        <f>SUMPRODUCT((MONTH(CHOOSE({1,2,3,4},NĐ!T278,NĐ!X278,NĐ!AB278,NĐ!AF278))=11)*(CHOOSE({1,2,3,4},NĐ!W278,NĐ!AA278,NĐ!AE278,NĐ!AI278)))</f>
        <v>0</v>
      </c>
      <c r="L278">
        <f>SUMPRODUCT((MONTH(CHOOSE({1,2,3,4},NĐ!T278,NĐ!X278,NĐ!AB278,NĐ!AF278))=12)*(CHOOSE({1,2,3,4},NĐ!W278,NĐ!AA278,NĐ!AE278,NĐ!AI278)))</f>
        <v>0</v>
      </c>
    </row>
    <row r="279" spans="1:12">
      <c r="A279">
        <f>SUMPRODUCT((MONTH(CHOOSE({1,2,3,4},NĐ!T279,NĐ!X279,NĐ!AB279,NĐ!AF279))=1)*(CHOOSE({1,2,3,4},NĐ!W279,NĐ!AA279,NĐ!AE279,NĐ!AI279)))</f>
        <v>0</v>
      </c>
      <c r="B279">
        <f>SUMPRODUCT((MONTH(CHOOSE({1,2,3,4},NĐ!T279,NĐ!X279,NĐ!AB279,NĐ!AF279))=2)*(CHOOSE({1,2,3,4},NĐ!W279,NĐ!AA279,NĐ!AE279,NĐ!AI279)))</f>
        <v>0</v>
      </c>
      <c r="C279">
        <f>SUMPRODUCT((MONTH(CHOOSE({1,2,3,4},NĐ!T279,NĐ!X279,NĐ!AB279,NĐ!AF279))=3)*(CHOOSE({1,2,3,4},NĐ!W279,NĐ!AA279,NĐ!AE279,NĐ!AI279)))</f>
        <v>0</v>
      </c>
      <c r="D279">
        <f>SUMPRODUCT((MONTH(CHOOSE({1,2,3,4},NĐ!T279,NĐ!X279,NĐ!AB279,NĐ!AF279))=4)*(CHOOSE({1,2,3,4},NĐ!W279,NĐ!AA279,NĐ!AE279,NĐ!AI279)))</f>
        <v>0</v>
      </c>
      <c r="E279">
        <f>SUMPRODUCT((MONTH(CHOOSE({1,2,3,4},NĐ!T279,NĐ!X279,NĐ!AB279,NĐ!AF279))=5)*(CHOOSE({1,2,3,4},NĐ!W279,NĐ!AA279,NĐ!AE279,NĐ!AI279)))</f>
        <v>0</v>
      </c>
      <c r="F279">
        <f>SUMPRODUCT((MONTH(CHOOSE({1,2,3,4},NĐ!T279,NĐ!X279,NĐ!AB279,NĐ!AF279))=6)*(CHOOSE({1,2,3,4},NĐ!W279,NĐ!AA279,NĐ!AE279,NĐ!AI279)))</f>
        <v>0</v>
      </c>
      <c r="G279">
        <f>SUMPRODUCT((MONTH(CHOOSE({1,2,3,4},NĐ!T279,NĐ!X279,NĐ!AB279,NĐ!AF279))=7)*(CHOOSE({1,2,3,4},NĐ!W279,NĐ!AA279,NĐ!AE279,NĐ!AI279)))</f>
        <v>0</v>
      </c>
      <c r="H279">
        <f>SUMPRODUCT((MONTH(CHOOSE({1,2,3,4},NĐ!T279,NĐ!X279,NĐ!AB279,NĐ!AF279))=8)*(CHOOSE({1,2,3,4},NĐ!W279,NĐ!AA279,NĐ!AE279,NĐ!AI279)))</f>
        <v>0</v>
      </c>
      <c r="I279">
        <f>SUMPRODUCT((MONTH(CHOOSE({1,2,3,4},NĐ!T279,NĐ!X279,NĐ!AB279,NĐ!AF279))=9)*(CHOOSE({1,2,3,4},NĐ!W279,NĐ!AA279,NĐ!AE279,NĐ!AI279)))</f>
        <v>0</v>
      </c>
      <c r="J279">
        <f>SUMPRODUCT((MONTH(CHOOSE({1,2,3,4},NĐ!T279,NĐ!X279,NĐ!AB279,NĐ!AF279))=10)*(CHOOSE({1,2,3,4},NĐ!W279,NĐ!AA279,NĐ!AE279,NĐ!AI279)))</f>
        <v>0</v>
      </c>
      <c r="K279">
        <f>SUMPRODUCT((MONTH(CHOOSE({1,2,3,4},NĐ!T279,NĐ!X279,NĐ!AB279,NĐ!AF279))=11)*(CHOOSE({1,2,3,4},NĐ!W279,NĐ!AA279,NĐ!AE279,NĐ!AI279)))</f>
        <v>0</v>
      </c>
      <c r="L279">
        <f>SUMPRODUCT((MONTH(CHOOSE({1,2,3,4},NĐ!T279,NĐ!X279,NĐ!AB279,NĐ!AF279))=12)*(CHOOSE({1,2,3,4},NĐ!W279,NĐ!AA279,NĐ!AE279,NĐ!AI279)))</f>
        <v>0</v>
      </c>
    </row>
    <row r="280" spans="1:12">
      <c r="A280">
        <f>SUMPRODUCT((MONTH(CHOOSE({1,2,3,4},NĐ!T280,NĐ!X280,NĐ!AB280,NĐ!AF280))=1)*(CHOOSE({1,2,3,4},NĐ!W280,NĐ!AA280,NĐ!AE280,NĐ!AI280)))</f>
        <v>0</v>
      </c>
      <c r="B280">
        <f>SUMPRODUCT((MONTH(CHOOSE({1,2,3,4},NĐ!T280,NĐ!X280,NĐ!AB280,NĐ!AF280))=2)*(CHOOSE({1,2,3,4},NĐ!W280,NĐ!AA280,NĐ!AE280,NĐ!AI280)))</f>
        <v>0</v>
      </c>
      <c r="C280">
        <f>SUMPRODUCT((MONTH(CHOOSE({1,2,3,4},NĐ!T280,NĐ!X280,NĐ!AB280,NĐ!AF280))=3)*(CHOOSE({1,2,3,4},NĐ!W280,NĐ!AA280,NĐ!AE280,NĐ!AI280)))</f>
        <v>0</v>
      </c>
      <c r="D280">
        <f>SUMPRODUCT((MONTH(CHOOSE({1,2,3,4},NĐ!T280,NĐ!X280,NĐ!AB280,NĐ!AF280))=4)*(CHOOSE({1,2,3,4},NĐ!W280,NĐ!AA280,NĐ!AE280,NĐ!AI280)))</f>
        <v>0</v>
      </c>
      <c r="E280">
        <f>SUMPRODUCT((MONTH(CHOOSE({1,2,3,4},NĐ!T280,NĐ!X280,NĐ!AB280,NĐ!AF280))=5)*(CHOOSE({1,2,3,4},NĐ!W280,NĐ!AA280,NĐ!AE280,NĐ!AI280)))</f>
        <v>0</v>
      </c>
      <c r="F280">
        <f>SUMPRODUCT((MONTH(CHOOSE({1,2,3,4},NĐ!T280,NĐ!X280,NĐ!AB280,NĐ!AF280))=6)*(CHOOSE({1,2,3,4},NĐ!W280,NĐ!AA280,NĐ!AE280,NĐ!AI280)))</f>
        <v>0</v>
      </c>
      <c r="G280">
        <f>SUMPRODUCT((MONTH(CHOOSE({1,2,3,4},NĐ!T280,NĐ!X280,NĐ!AB280,NĐ!AF280))=7)*(CHOOSE({1,2,3,4},NĐ!W280,NĐ!AA280,NĐ!AE280,NĐ!AI280)))</f>
        <v>0</v>
      </c>
      <c r="H280">
        <f>SUMPRODUCT((MONTH(CHOOSE({1,2,3,4},NĐ!T280,NĐ!X280,NĐ!AB280,NĐ!AF280))=8)*(CHOOSE({1,2,3,4},NĐ!W280,NĐ!AA280,NĐ!AE280,NĐ!AI280)))</f>
        <v>0</v>
      </c>
      <c r="I280">
        <f>SUMPRODUCT((MONTH(CHOOSE({1,2,3,4},NĐ!T280,NĐ!X280,NĐ!AB280,NĐ!AF280))=9)*(CHOOSE({1,2,3,4},NĐ!W280,NĐ!AA280,NĐ!AE280,NĐ!AI280)))</f>
        <v>0</v>
      </c>
      <c r="J280">
        <f>SUMPRODUCT((MONTH(CHOOSE({1,2,3,4},NĐ!T280,NĐ!X280,NĐ!AB280,NĐ!AF280))=10)*(CHOOSE({1,2,3,4},NĐ!W280,NĐ!AA280,NĐ!AE280,NĐ!AI280)))</f>
        <v>0</v>
      </c>
      <c r="K280">
        <f>SUMPRODUCT((MONTH(CHOOSE({1,2,3,4},NĐ!T280,NĐ!X280,NĐ!AB280,NĐ!AF280))=11)*(CHOOSE({1,2,3,4},NĐ!W280,NĐ!AA280,NĐ!AE280,NĐ!AI280)))</f>
        <v>0</v>
      </c>
      <c r="L280">
        <f>SUMPRODUCT((MONTH(CHOOSE({1,2,3,4},NĐ!T280,NĐ!X280,NĐ!AB280,NĐ!AF280))=12)*(CHOOSE({1,2,3,4},NĐ!W280,NĐ!AA280,NĐ!AE280,NĐ!AI280)))</f>
        <v>0</v>
      </c>
    </row>
    <row r="281" spans="1:12">
      <c r="A281">
        <f>SUMPRODUCT((MONTH(CHOOSE({1,2,3,4},NĐ!T281,NĐ!X281,NĐ!AB281,NĐ!AF281))=1)*(CHOOSE({1,2,3,4},NĐ!W281,NĐ!AA281,NĐ!AE281,NĐ!AI281)))</f>
        <v>0</v>
      </c>
      <c r="B281">
        <f>SUMPRODUCT((MONTH(CHOOSE({1,2,3,4},NĐ!T281,NĐ!X281,NĐ!AB281,NĐ!AF281))=2)*(CHOOSE({1,2,3,4},NĐ!W281,NĐ!AA281,NĐ!AE281,NĐ!AI281)))</f>
        <v>0</v>
      </c>
      <c r="C281">
        <f>SUMPRODUCT((MONTH(CHOOSE({1,2,3,4},NĐ!T281,NĐ!X281,NĐ!AB281,NĐ!AF281))=3)*(CHOOSE({1,2,3,4},NĐ!W281,NĐ!AA281,NĐ!AE281,NĐ!AI281)))</f>
        <v>0</v>
      </c>
      <c r="D281">
        <f>SUMPRODUCT((MONTH(CHOOSE({1,2,3,4},NĐ!T281,NĐ!X281,NĐ!AB281,NĐ!AF281))=4)*(CHOOSE({1,2,3,4},NĐ!W281,NĐ!AA281,NĐ!AE281,NĐ!AI281)))</f>
        <v>0</v>
      </c>
      <c r="E281">
        <f>SUMPRODUCT((MONTH(CHOOSE({1,2,3,4},NĐ!T281,NĐ!X281,NĐ!AB281,NĐ!AF281))=5)*(CHOOSE({1,2,3,4},NĐ!W281,NĐ!AA281,NĐ!AE281,NĐ!AI281)))</f>
        <v>0</v>
      </c>
      <c r="F281">
        <f>SUMPRODUCT((MONTH(CHOOSE({1,2,3,4},NĐ!T281,NĐ!X281,NĐ!AB281,NĐ!AF281))=6)*(CHOOSE({1,2,3,4},NĐ!W281,NĐ!AA281,NĐ!AE281,NĐ!AI281)))</f>
        <v>0</v>
      </c>
      <c r="G281">
        <f>SUMPRODUCT((MONTH(CHOOSE({1,2,3,4},NĐ!T281,NĐ!X281,NĐ!AB281,NĐ!AF281))=7)*(CHOOSE({1,2,3,4},NĐ!W281,NĐ!AA281,NĐ!AE281,NĐ!AI281)))</f>
        <v>0</v>
      </c>
      <c r="H281">
        <f>SUMPRODUCT((MONTH(CHOOSE({1,2,3,4},NĐ!T281,NĐ!X281,NĐ!AB281,NĐ!AF281))=8)*(CHOOSE({1,2,3,4},NĐ!W281,NĐ!AA281,NĐ!AE281,NĐ!AI281)))</f>
        <v>0</v>
      </c>
      <c r="I281">
        <f>SUMPRODUCT((MONTH(CHOOSE({1,2,3,4},NĐ!T281,NĐ!X281,NĐ!AB281,NĐ!AF281))=9)*(CHOOSE({1,2,3,4},NĐ!W281,NĐ!AA281,NĐ!AE281,NĐ!AI281)))</f>
        <v>0</v>
      </c>
      <c r="J281">
        <f>SUMPRODUCT((MONTH(CHOOSE({1,2,3,4},NĐ!T281,NĐ!X281,NĐ!AB281,NĐ!AF281))=10)*(CHOOSE({1,2,3,4},NĐ!W281,NĐ!AA281,NĐ!AE281,NĐ!AI281)))</f>
        <v>0</v>
      </c>
      <c r="K281">
        <f>SUMPRODUCT((MONTH(CHOOSE({1,2,3,4},NĐ!T281,NĐ!X281,NĐ!AB281,NĐ!AF281))=11)*(CHOOSE({1,2,3,4},NĐ!W281,NĐ!AA281,NĐ!AE281,NĐ!AI281)))</f>
        <v>0</v>
      </c>
      <c r="L281">
        <f>SUMPRODUCT((MONTH(CHOOSE({1,2,3,4},NĐ!T281,NĐ!X281,NĐ!AB281,NĐ!AF281))=12)*(CHOOSE({1,2,3,4},NĐ!W281,NĐ!AA281,NĐ!AE281,NĐ!AI281)))</f>
        <v>0</v>
      </c>
    </row>
    <row r="282" spans="1:12">
      <c r="A282">
        <f>SUMPRODUCT((MONTH(CHOOSE({1,2,3,4},NĐ!T282,NĐ!X282,NĐ!AB282,NĐ!AF282))=1)*(CHOOSE({1,2,3,4},NĐ!W282,NĐ!AA282,NĐ!AE282,NĐ!AI282)))</f>
        <v>0</v>
      </c>
      <c r="B282">
        <f>SUMPRODUCT((MONTH(CHOOSE({1,2,3,4},NĐ!T282,NĐ!X282,NĐ!AB282,NĐ!AF282))=2)*(CHOOSE({1,2,3,4},NĐ!W282,NĐ!AA282,NĐ!AE282,NĐ!AI282)))</f>
        <v>0</v>
      </c>
      <c r="C282">
        <f>SUMPRODUCT((MONTH(CHOOSE({1,2,3,4},NĐ!T282,NĐ!X282,NĐ!AB282,NĐ!AF282))=3)*(CHOOSE({1,2,3,4},NĐ!W282,NĐ!AA282,NĐ!AE282,NĐ!AI282)))</f>
        <v>0</v>
      </c>
      <c r="D282">
        <f>SUMPRODUCT((MONTH(CHOOSE({1,2,3,4},NĐ!T282,NĐ!X282,NĐ!AB282,NĐ!AF282))=4)*(CHOOSE({1,2,3,4},NĐ!W282,NĐ!AA282,NĐ!AE282,NĐ!AI282)))</f>
        <v>0</v>
      </c>
      <c r="E282">
        <f>SUMPRODUCT((MONTH(CHOOSE({1,2,3,4},NĐ!T282,NĐ!X282,NĐ!AB282,NĐ!AF282))=5)*(CHOOSE({1,2,3,4},NĐ!W282,NĐ!AA282,NĐ!AE282,NĐ!AI282)))</f>
        <v>0</v>
      </c>
      <c r="F282">
        <f>SUMPRODUCT((MONTH(CHOOSE({1,2,3,4},NĐ!T282,NĐ!X282,NĐ!AB282,NĐ!AF282))=6)*(CHOOSE({1,2,3,4},NĐ!W282,NĐ!AA282,NĐ!AE282,NĐ!AI282)))</f>
        <v>0</v>
      </c>
      <c r="G282">
        <f>SUMPRODUCT((MONTH(CHOOSE({1,2,3,4},NĐ!T282,NĐ!X282,NĐ!AB282,NĐ!AF282))=7)*(CHOOSE({1,2,3,4},NĐ!W282,NĐ!AA282,NĐ!AE282,NĐ!AI282)))</f>
        <v>0</v>
      </c>
      <c r="H282">
        <f>SUMPRODUCT((MONTH(CHOOSE({1,2,3,4},NĐ!T282,NĐ!X282,NĐ!AB282,NĐ!AF282))=8)*(CHOOSE({1,2,3,4},NĐ!W282,NĐ!AA282,NĐ!AE282,NĐ!AI282)))</f>
        <v>0</v>
      </c>
      <c r="I282">
        <f>SUMPRODUCT((MONTH(CHOOSE({1,2,3,4},NĐ!T282,NĐ!X282,NĐ!AB282,NĐ!AF282))=9)*(CHOOSE({1,2,3,4},NĐ!W282,NĐ!AA282,NĐ!AE282,NĐ!AI282)))</f>
        <v>0</v>
      </c>
      <c r="J282">
        <f>SUMPRODUCT((MONTH(CHOOSE({1,2,3,4},NĐ!T282,NĐ!X282,NĐ!AB282,NĐ!AF282))=10)*(CHOOSE({1,2,3,4},NĐ!W282,NĐ!AA282,NĐ!AE282,NĐ!AI282)))</f>
        <v>0</v>
      </c>
      <c r="K282">
        <f>SUMPRODUCT((MONTH(CHOOSE({1,2,3,4},NĐ!T282,NĐ!X282,NĐ!AB282,NĐ!AF282))=11)*(CHOOSE({1,2,3,4},NĐ!W282,NĐ!AA282,NĐ!AE282,NĐ!AI282)))</f>
        <v>0</v>
      </c>
      <c r="L282">
        <f>SUMPRODUCT((MONTH(CHOOSE({1,2,3,4},NĐ!T282,NĐ!X282,NĐ!AB282,NĐ!AF282))=12)*(CHOOSE({1,2,3,4},NĐ!W282,NĐ!AA282,NĐ!AE282,NĐ!AI282)))</f>
        <v>0</v>
      </c>
    </row>
    <row r="283" spans="1:12">
      <c r="A283">
        <f>SUMPRODUCT((MONTH(CHOOSE({1,2,3,4},NĐ!T283,NĐ!X283,NĐ!AB283,NĐ!AF283))=1)*(CHOOSE({1,2,3,4},NĐ!W283,NĐ!AA283,NĐ!AE283,NĐ!AI283)))</f>
        <v>0</v>
      </c>
      <c r="B283">
        <f>SUMPRODUCT((MONTH(CHOOSE({1,2,3,4},NĐ!T283,NĐ!X283,NĐ!AB283,NĐ!AF283))=2)*(CHOOSE({1,2,3,4},NĐ!W283,NĐ!AA283,NĐ!AE283,NĐ!AI283)))</f>
        <v>0</v>
      </c>
      <c r="C283">
        <f>SUMPRODUCT((MONTH(CHOOSE({1,2,3,4},NĐ!T283,NĐ!X283,NĐ!AB283,NĐ!AF283))=3)*(CHOOSE({1,2,3,4},NĐ!W283,NĐ!AA283,NĐ!AE283,NĐ!AI283)))</f>
        <v>0</v>
      </c>
      <c r="D283">
        <f>SUMPRODUCT((MONTH(CHOOSE({1,2,3,4},NĐ!T283,NĐ!X283,NĐ!AB283,NĐ!AF283))=4)*(CHOOSE({1,2,3,4},NĐ!W283,NĐ!AA283,NĐ!AE283,NĐ!AI283)))</f>
        <v>0</v>
      </c>
      <c r="E283">
        <f>SUMPRODUCT((MONTH(CHOOSE({1,2,3,4},NĐ!T283,NĐ!X283,NĐ!AB283,NĐ!AF283))=5)*(CHOOSE({1,2,3,4},NĐ!W283,NĐ!AA283,NĐ!AE283,NĐ!AI283)))</f>
        <v>0</v>
      </c>
      <c r="F283">
        <f>SUMPRODUCT((MONTH(CHOOSE({1,2,3,4},NĐ!T283,NĐ!X283,NĐ!AB283,NĐ!AF283))=6)*(CHOOSE({1,2,3,4},NĐ!W283,NĐ!AA283,NĐ!AE283,NĐ!AI283)))</f>
        <v>0</v>
      </c>
      <c r="G283">
        <f>SUMPRODUCT((MONTH(CHOOSE({1,2,3,4},NĐ!T283,NĐ!X283,NĐ!AB283,NĐ!AF283))=7)*(CHOOSE({1,2,3,4},NĐ!W283,NĐ!AA283,NĐ!AE283,NĐ!AI283)))</f>
        <v>0</v>
      </c>
      <c r="H283">
        <f>SUMPRODUCT((MONTH(CHOOSE({1,2,3,4},NĐ!T283,NĐ!X283,NĐ!AB283,NĐ!AF283))=8)*(CHOOSE({1,2,3,4},NĐ!W283,NĐ!AA283,NĐ!AE283,NĐ!AI283)))</f>
        <v>0</v>
      </c>
      <c r="I283">
        <f>SUMPRODUCT((MONTH(CHOOSE({1,2,3,4},NĐ!T283,NĐ!X283,NĐ!AB283,NĐ!AF283))=9)*(CHOOSE({1,2,3,4},NĐ!W283,NĐ!AA283,NĐ!AE283,NĐ!AI283)))</f>
        <v>0</v>
      </c>
      <c r="J283">
        <f>SUMPRODUCT((MONTH(CHOOSE({1,2,3,4},NĐ!T283,NĐ!X283,NĐ!AB283,NĐ!AF283))=10)*(CHOOSE({1,2,3,4},NĐ!W283,NĐ!AA283,NĐ!AE283,NĐ!AI283)))</f>
        <v>0</v>
      </c>
      <c r="K283">
        <f>SUMPRODUCT((MONTH(CHOOSE({1,2,3,4},NĐ!T283,NĐ!X283,NĐ!AB283,NĐ!AF283))=11)*(CHOOSE({1,2,3,4},NĐ!W283,NĐ!AA283,NĐ!AE283,NĐ!AI283)))</f>
        <v>0</v>
      </c>
      <c r="L283">
        <f>SUMPRODUCT((MONTH(CHOOSE({1,2,3,4},NĐ!T283,NĐ!X283,NĐ!AB283,NĐ!AF283))=12)*(CHOOSE({1,2,3,4},NĐ!W283,NĐ!AA283,NĐ!AE283,NĐ!AI283)))</f>
        <v>0</v>
      </c>
    </row>
    <row r="284" spans="1:12">
      <c r="A284">
        <f>SUMPRODUCT((MONTH(CHOOSE({1,2,3,4},NĐ!T284,NĐ!X284,NĐ!AB284,NĐ!AF284))=1)*(CHOOSE({1,2,3,4},NĐ!W284,NĐ!AA284,NĐ!AE284,NĐ!AI284)))</f>
        <v>0</v>
      </c>
      <c r="B284">
        <f>SUMPRODUCT((MONTH(CHOOSE({1,2,3,4},NĐ!T284,NĐ!X284,NĐ!AB284,NĐ!AF284))=2)*(CHOOSE({1,2,3,4},NĐ!W284,NĐ!AA284,NĐ!AE284,NĐ!AI284)))</f>
        <v>0</v>
      </c>
      <c r="C284">
        <f>SUMPRODUCT((MONTH(CHOOSE({1,2,3,4},NĐ!T284,NĐ!X284,NĐ!AB284,NĐ!AF284))=3)*(CHOOSE({1,2,3,4},NĐ!W284,NĐ!AA284,NĐ!AE284,NĐ!AI284)))</f>
        <v>0</v>
      </c>
      <c r="D284">
        <f>SUMPRODUCT((MONTH(CHOOSE({1,2,3,4},NĐ!T284,NĐ!X284,NĐ!AB284,NĐ!AF284))=4)*(CHOOSE({1,2,3,4},NĐ!W284,NĐ!AA284,NĐ!AE284,NĐ!AI284)))</f>
        <v>0</v>
      </c>
      <c r="E284">
        <f>SUMPRODUCT((MONTH(CHOOSE({1,2,3,4},NĐ!T284,NĐ!X284,NĐ!AB284,NĐ!AF284))=5)*(CHOOSE({1,2,3,4},NĐ!W284,NĐ!AA284,NĐ!AE284,NĐ!AI284)))</f>
        <v>0</v>
      </c>
      <c r="F284">
        <f>SUMPRODUCT((MONTH(CHOOSE({1,2,3,4},NĐ!T284,NĐ!X284,NĐ!AB284,NĐ!AF284))=6)*(CHOOSE({1,2,3,4},NĐ!W284,NĐ!AA284,NĐ!AE284,NĐ!AI284)))</f>
        <v>0</v>
      </c>
      <c r="G284">
        <f>SUMPRODUCT((MONTH(CHOOSE({1,2,3,4},NĐ!T284,NĐ!X284,NĐ!AB284,NĐ!AF284))=7)*(CHOOSE({1,2,3,4},NĐ!W284,NĐ!AA284,NĐ!AE284,NĐ!AI284)))</f>
        <v>0</v>
      </c>
      <c r="H284">
        <f>SUMPRODUCT((MONTH(CHOOSE({1,2,3,4},NĐ!T284,NĐ!X284,NĐ!AB284,NĐ!AF284))=8)*(CHOOSE({1,2,3,4},NĐ!W284,NĐ!AA284,NĐ!AE284,NĐ!AI284)))</f>
        <v>0</v>
      </c>
      <c r="I284">
        <f>SUMPRODUCT((MONTH(CHOOSE({1,2,3,4},NĐ!T284,NĐ!X284,NĐ!AB284,NĐ!AF284))=9)*(CHOOSE({1,2,3,4},NĐ!W284,NĐ!AA284,NĐ!AE284,NĐ!AI284)))</f>
        <v>0</v>
      </c>
      <c r="J284">
        <f>SUMPRODUCT((MONTH(CHOOSE({1,2,3,4},NĐ!T284,NĐ!X284,NĐ!AB284,NĐ!AF284))=10)*(CHOOSE({1,2,3,4},NĐ!W284,NĐ!AA284,NĐ!AE284,NĐ!AI284)))</f>
        <v>0</v>
      </c>
      <c r="K284">
        <f>SUMPRODUCT((MONTH(CHOOSE({1,2,3,4},NĐ!T284,NĐ!X284,NĐ!AB284,NĐ!AF284))=11)*(CHOOSE({1,2,3,4},NĐ!W284,NĐ!AA284,NĐ!AE284,NĐ!AI284)))</f>
        <v>0</v>
      </c>
      <c r="L284">
        <f>SUMPRODUCT((MONTH(CHOOSE({1,2,3,4},NĐ!T284,NĐ!X284,NĐ!AB284,NĐ!AF284))=12)*(CHOOSE({1,2,3,4},NĐ!W284,NĐ!AA284,NĐ!AE284,NĐ!AI284)))</f>
        <v>0</v>
      </c>
    </row>
    <row r="285" spans="1:12">
      <c r="A285">
        <f>SUMPRODUCT((MONTH(CHOOSE({1,2,3,4},NĐ!T285,NĐ!X285,NĐ!AB285,NĐ!AF285))=1)*(CHOOSE({1,2,3,4},NĐ!W285,NĐ!AA285,NĐ!AE285,NĐ!AI285)))</f>
        <v>0</v>
      </c>
      <c r="B285">
        <f>SUMPRODUCT((MONTH(CHOOSE({1,2,3,4},NĐ!T285,NĐ!X285,NĐ!AB285,NĐ!AF285))=2)*(CHOOSE({1,2,3,4},NĐ!W285,NĐ!AA285,NĐ!AE285,NĐ!AI285)))</f>
        <v>0</v>
      </c>
      <c r="C285">
        <f>SUMPRODUCT((MONTH(CHOOSE({1,2,3,4},NĐ!T285,NĐ!X285,NĐ!AB285,NĐ!AF285))=3)*(CHOOSE({1,2,3,4},NĐ!W285,NĐ!AA285,NĐ!AE285,NĐ!AI285)))</f>
        <v>0</v>
      </c>
      <c r="D285">
        <f>SUMPRODUCT((MONTH(CHOOSE({1,2,3,4},NĐ!T285,NĐ!X285,NĐ!AB285,NĐ!AF285))=4)*(CHOOSE({1,2,3,4},NĐ!W285,NĐ!AA285,NĐ!AE285,NĐ!AI285)))</f>
        <v>0</v>
      </c>
      <c r="E285">
        <f>SUMPRODUCT((MONTH(CHOOSE({1,2,3,4},NĐ!T285,NĐ!X285,NĐ!AB285,NĐ!AF285))=5)*(CHOOSE({1,2,3,4},NĐ!W285,NĐ!AA285,NĐ!AE285,NĐ!AI285)))</f>
        <v>0</v>
      </c>
      <c r="F285">
        <f>SUMPRODUCT((MONTH(CHOOSE({1,2,3,4},NĐ!T285,NĐ!X285,NĐ!AB285,NĐ!AF285))=6)*(CHOOSE({1,2,3,4},NĐ!W285,NĐ!AA285,NĐ!AE285,NĐ!AI285)))</f>
        <v>0</v>
      </c>
      <c r="G285">
        <f>SUMPRODUCT((MONTH(CHOOSE({1,2,3,4},NĐ!T285,NĐ!X285,NĐ!AB285,NĐ!AF285))=7)*(CHOOSE({1,2,3,4},NĐ!W285,NĐ!AA285,NĐ!AE285,NĐ!AI285)))</f>
        <v>0</v>
      </c>
      <c r="H285">
        <f>SUMPRODUCT((MONTH(CHOOSE({1,2,3,4},NĐ!T285,NĐ!X285,NĐ!AB285,NĐ!AF285))=8)*(CHOOSE({1,2,3,4},NĐ!W285,NĐ!AA285,NĐ!AE285,NĐ!AI285)))</f>
        <v>0</v>
      </c>
      <c r="I285">
        <f>SUMPRODUCT((MONTH(CHOOSE({1,2,3,4},NĐ!T285,NĐ!X285,NĐ!AB285,NĐ!AF285))=9)*(CHOOSE({1,2,3,4},NĐ!W285,NĐ!AA285,NĐ!AE285,NĐ!AI285)))</f>
        <v>0</v>
      </c>
      <c r="J285">
        <f>SUMPRODUCT((MONTH(CHOOSE({1,2,3,4},NĐ!T285,NĐ!X285,NĐ!AB285,NĐ!AF285))=10)*(CHOOSE({1,2,3,4},NĐ!W285,NĐ!AA285,NĐ!AE285,NĐ!AI285)))</f>
        <v>0</v>
      </c>
      <c r="K285">
        <f>SUMPRODUCT((MONTH(CHOOSE({1,2,3,4},NĐ!T285,NĐ!X285,NĐ!AB285,NĐ!AF285))=11)*(CHOOSE({1,2,3,4},NĐ!W285,NĐ!AA285,NĐ!AE285,NĐ!AI285)))</f>
        <v>0</v>
      </c>
      <c r="L285">
        <f>SUMPRODUCT((MONTH(CHOOSE({1,2,3,4},NĐ!T285,NĐ!X285,NĐ!AB285,NĐ!AF285))=12)*(CHOOSE({1,2,3,4},NĐ!W285,NĐ!AA285,NĐ!AE285,NĐ!AI285)))</f>
        <v>0</v>
      </c>
    </row>
    <row r="286" spans="1:12">
      <c r="A286">
        <f>SUMPRODUCT((MONTH(CHOOSE({1,2,3,4},NĐ!T286,NĐ!X286,NĐ!AB286,NĐ!AF286))=1)*(CHOOSE({1,2,3,4},NĐ!W286,NĐ!AA286,NĐ!AE286,NĐ!AI286)))</f>
        <v>0</v>
      </c>
      <c r="B286">
        <f>SUMPRODUCT((MONTH(CHOOSE({1,2,3,4},NĐ!T286,NĐ!X286,NĐ!AB286,NĐ!AF286))=2)*(CHOOSE({1,2,3,4},NĐ!W286,NĐ!AA286,NĐ!AE286,NĐ!AI286)))</f>
        <v>0</v>
      </c>
      <c r="C286">
        <f>SUMPRODUCT((MONTH(CHOOSE({1,2,3,4},NĐ!T286,NĐ!X286,NĐ!AB286,NĐ!AF286))=3)*(CHOOSE({1,2,3,4},NĐ!W286,NĐ!AA286,NĐ!AE286,NĐ!AI286)))</f>
        <v>0</v>
      </c>
      <c r="D286">
        <f>SUMPRODUCT((MONTH(CHOOSE({1,2,3,4},NĐ!T286,NĐ!X286,NĐ!AB286,NĐ!AF286))=4)*(CHOOSE({1,2,3,4},NĐ!W286,NĐ!AA286,NĐ!AE286,NĐ!AI286)))</f>
        <v>0</v>
      </c>
      <c r="E286">
        <f>SUMPRODUCT((MONTH(CHOOSE({1,2,3,4},NĐ!T286,NĐ!X286,NĐ!AB286,NĐ!AF286))=5)*(CHOOSE({1,2,3,4},NĐ!W286,NĐ!AA286,NĐ!AE286,NĐ!AI286)))</f>
        <v>0</v>
      </c>
      <c r="F286">
        <f>SUMPRODUCT((MONTH(CHOOSE({1,2,3,4},NĐ!T286,NĐ!X286,NĐ!AB286,NĐ!AF286))=6)*(CHOOSE({1,2,3,4},NĐ!W286,NĐ!AA286,NĐ!AE286,NĐ!AI286)))</f>
        <v>0</v>
      </c>
      <c r="G286">
        <f>SUMPRODUCT((MONTH(CHOOSE({1,2,3,4},NĐ!T286,NĐ!X286,NĐ!AB286,NĐ!AF286))=7)*(CHOOSE({1,2,3,4},NĐ!W286,NĐ!AA286,NĐ!AE286,NĐ!AI286)))</f>
        <v>0</v>
      </c>
      <c r="H286">
        <f>SUMPRODUCT((MONTH(CHOOSE({1,2,3,4},NĐ!T286,NĐ!X286,NĐ!AB286,NĐ!AF286))=8)*(CHOOSE({1,2,3,4},NĐ!W286,NĐ!AA286,NĐ!AE286,NĐ!AI286)))</f>
        <v>0</v>
      </c>
      <c r="I286">
        <f>SUMPRODUCT((MONTH(CHOOSE({1,2,3,4},NĐ!T286,NĐ!X286,NĐ!AB286,NĐ!AF286))=9)*(CHOOSE({1,2,3,4},NĐ!W286,NĐ!AA286,NĐ!AE286,NĐ!AI286)))</f>
        <v>0</v>
      </c>
      <c r="J286">
        <f>SUMPRODUCT((MONTH(CHOOSE({1,2,3,4},NĐ!T286,NĐ!X286,NĐ!AB286,NĐ!AF286))=10)*(CHOOSE({1,2,3,4},NĐ!W286,NĐ!AA286,NĐ!AE286,NĐ!AI286)))</f>
        <v>0</v>
      </c>
      <c r="K286">
        <f>SUMPRODUCT((MONTH(CHOOSE({1,2,3,4},NĐ!T286,NĐ!X286,NĐ!AB286,NĐ!AF286))=11)*(CHOOSE({1,2,3,4},NĐ!W286,NĐ!AA286,NĐ!AE286,NĐ!AI286)))</f>
        <v>0</v>
      </c>
      <c r="L286">
        <f>SUMPRODUCT((MONTH(CHOOSE({1,2,3,4},NĐ!T286,NĐ!X286,NĐ!AB286,NĐ!AF286))=12)*(CHOOSE({1,2,3,4},NĐ!W286,NĐ!AA286,NĐ!AE286,NĐ!AI286)))</f>
        <v>0</v>
      </c>
    </row>
    <row r="287" spans="1:12">
      <c r="A287">
        <f>SUMPRODUCT((MONTH(CHOOSE({1,2,3,4},NĐ!T287,NĐ!X287,NĐ!AB287,NĐ!AF287))=1)*(CHOOSE({1,2,3,4},NĐ!W287,NĐ!AA287,NĐ!AE287,NĐ!AI287)))</f>
        <v>0</v>
      </c>
      <c r="B287">
        <f>SUMPRODUCT((MONTH(CHOOSE({1,2,3,4},NĐ!T287,NĐ!X287,NĐ!AB287,NĐ!AF287))=2)*(CHOOSE({1,2,3,4},NĐ!W287,NĐ!AA287,NĐ!AE287,NĐ!AI287)))</f>
        <v>0</v>
      </c>
      <c r="C287">
        <f>SUMPRODUCT((MONTH(CHOOSE({1,2,3,4},NĐ!T287,NĐ!X287,NĐ!AB287,NĐ!AF287))=3)*(CHOOSE({1,2,3,4},NĐ!W287,NĐ!AA287,NĐ!AE287,NĐ!AI287)))</f>
        <v>0</v>
      </c>
      <c r="D287">
        <f>SUMPRODUCT((MONTH(CHOOSE({1,2,3,4},NĐ!T287,NĐ!X287,NĐ!AB287,NĐ!AF287))=4)*(CHOOSE({1,2,3,4},NĐ!W287,NĐ!AA287,NĐ!AE287,NĐ!AI287)))</f>
        <v>0</v>
      </c>
      <c r="E287">
        <f>SUMPRODUCT((MONTH(CHOOSE({1,2,3,4},NĐ!T287,NĐ!X287,NĐ!AB287,NĐ!AF287))=5)*(CHOOSE({1,2,3,4},NĐ!W287,NĐ!AA287,NĐ!AE287,NĐ!AI287)))</f>
        <v>0</v>
      </c>
      <c r="F287">
        <f>SUMPRODUCT((MONTH(CHOOSE({1,2,3,4},NĐ!T287,NĐ!X287,NĐ!AB287,NĐ!AF287))=6)*(CHOOSE({1,2,3,4},NĐ!W287,NĐ!AA287,NĐ!AE287,NĐ!AI287)))</f>
        <v>0</v>
      </c>
      <c r="G287">
        <f>SUMPRODUCT((MONTH(CHOOSE({1,2,3,4},NĐ!T287,NĐ!X287,NĐ!AB287,NĐ!AF287))=7)*(CHOOSE({1,2,3,4},NĐ!W287,NĐ!AA287,NĐ!AE287,NĐ!AI287)))</f>
        <v>0</v>
      </c>
      <c r="H287">
        <f>SUMPRODUCT((MONTH(CHOOSE({1,2,3,4},NĐ!T287,NĐ!X287,NĐ!AB287,NĐ!AF287))=8)*(CHOOSE({1,2,3,4},NĐ!W287,NĐ!AA287,NĐ!AE287,NĐ!AI287)))</f>
        <v>0</v>
      </c>
      <c r="I287">
        <f>SUMPRODUCT((MONTH(CHOOSE({1,2,3,4},NĐ!T287,NĐ!X287,NĐ!AB287,NĐ!AF287))=9)*(CHOOSE({1,2,3,4},NĐ!W287,NĐ!AA287,NĐ!AE287,NĐ!AI287)))</f>
        <v>0</v>
      </c>
      <c r="J287">
        <f>SUMPRODUCT((MONTH(CHOOSE({1,2,3,4},NĐ!T287,NĐ!X287,NĐ!AB287,NĐ!AF287))=10)*(CHOOSE({1,2,3,4},NĐ!W287,NĐ!AA287,NĐ!AE287,NĐ!AI287)))</f>
        <v>0</v>
      </c>
      <c r="K287">
        <f>SUMPRODUCT((MONTH(CHOOSE({1,2,3,4},NĐ!T287,NĐ!X287,NĐ!AB287,NĐ!AF287))=11)*(CHOOSE({1,2,3,4},NĐ!W287,NĐ!AA287,NĐ!AE287,NĐ!AI287)))</f>
        <v>0</v>
      </c>
      <c r="L287">
        <f>SUMPRODUCT((MONTH(CHOOSE({1,2,3,4},NĐ!T287,NĐ!X287,NĐ!AB287,NĐ!AF287))=12)*(CHOOSE({1,2,3,4},NĐ!W287,NĐ!AA287,NĐ!AE287,NĐ!AI287)))</f>
        <v>0</v>
      </c>
    </row>
    <row r="288" spans="1:12">
      <c r="A288">
        <f>SUMPRODUCT((MONTH(CHOOSE({1,2,3,4},NĐ!T288,NĐ!X288,NĐ!AB288,NĐ!AF288))=1)*(CHOOSE({1,2,3,4},NĐ!W288,NĐ!AA288,NĐ!AE288,NĐ!AI288)))</f>
        <v>0</v>
      </c>
      <c r="B288">
        <f>SUMPRODUCT((MONTH(CHOOSE({1,2,3,4},NĐ!T288,NĐ!X288,NĐ!AB288,NĐ!AF288))=2)*(CHOOSE({1,2,3,4},NĐ!W288,NĐ!AA288,NĐ!AE288,NĐ!AI288)))</f>
        <v>0</v>
      </c>
      <c r="C288">
        <f>SUMPRODUCT((MONTH(CHOOSE({1,2,3,4},NĐ!T288,NĐ!X288,NĐ!AB288,NĐ!AF288))=3)*(CHOOSE({1,2,3,4},NĐ!W288,NĐ!AA288,NĐ!AE288,NĐ!AI288)))</f>
        <v>0</v>
      </c>
      <c r="D288">
        <f>SUMPRODUCT((MONTH(CHOOSE({1,2,3,4},NĐ!T288,NĐ!X288,NĐ!AB288,NĐ!AF288))=4)*(CHOOSE({1,2,3,4},NĐ!W288,NĐ!AA288,NĐ!AE288,NĐ!AI288)))</f>
        <v>0</v>
      </c>
      <c r="E288">
        <f>SUMPRODUCT((MONTH(CHOOSE({1,2,3,4},NĐ!T288,NĐ!X288,NĐ!AB288,NĐ!AF288))=5)*(CHOOSE({1,2,3,4},NĐ!W288,NĐ!AA288,NĐ!AE288,NĐ!AI288)))</f>
        <v>0</v>
      </c>
      <c r="F288">
        <f>SUMPRODUCT((MONTH(CHOOSE({1,2,3,4},NĐ!T288,NĐ!X288,NĐ!AB288,NĐ!AF288))=6)*(CHOOSE({1,2,3,4},NĐ!W288,NĐ!AA288,NĐ!AE288,NĐ!AI288)))</f>
        <v>0</v>
      </c>
      <c r="G288">
        <f>SUMPRODUCT((MONTH(CHOOSE({1,2,3,4},NĐ!T288,NĐ!X288,NĐ!AB288,NĐ!AF288))=7)*(CHOOSE({1,2,3,4},NĐ!W288,NĐ!AA288,NĐ!AE288,NĐ!AI288)))</f>
        <v>0</v>
      </c>
      <c r="H288">
        <f>SUMPRODUCT((MONTH(CHOOSE({1,2,3,4},NĐ!T288,NĐ!X288,NĐ!AB288,NĐ!AF288))=8)*(CHOOSE({1,2,3,4},NĐ!W288,NĐ!AA288,NĐ!AE288,NĐ!AI288)))</f>
        <v>0</v>
      </c>
      <c r="I288">
        <f>SUMPRODUCT((MONTH(CHOOSE({1,2,3,4},NĐ!T288,NĐ!X288,NĐ!AB288,NĐ!AF288))=9)*(CHOOSE({1,2,3,4},NĐ!W288,NĐ!AA288,NĐ!AE288,NĐ!AI288)))</f>
        <v>0</v>
      </c>
      <c r="J288">
        <f>SUMPRODUCT((MONTH(CHOOSE({1,2,3,4},NĐ!T288,NĐ!X288,NĐ!AB288,NĐ!AF288))=10)*(CHOOSE({1,2,3,4},NĐ!W288,NĐ!AA288,NĐ!AE288,NĐ!AI288)))</f>
        <v>0</v>
      </c>
      <c r="K288">
        <f>SUMPRODUCT((MONTH(CHOOSE({1,2,3,4},NĐ!T288,NĐ!X288,NĐ!AB288,NĐ!AF288))=11)*(CHOOSE({1,2,3,4},NĐ!W288,NĐ!AA288,NĐ!AE288,NĐ!AI288)))</f>
        <v>0</v>
      </c>
      <c r="L288">
        <f>SUMPRODUCT((MONTH(CHOOSE({1,2,3,4},NĐ!T288,NĐ!X288,NĐ!AB288,NĐ!AF288))=12)*(CHOOSE({1,2,3,4},NĐ!W288,NĐ!AA288,NĐ!AE288,NĐ!AI288)))</f>
        <v>0</v>
      </c>
    </row>
    <row r="289" spans="1:12">
      <c r="A289">
        <f>SUMPRODUCT((MONTH(CHOOSE({1,2,3,4},NĐ!T289,NĐ!X289,NĐ!AB289,NĐ!AF289))=1)*(CHOOSE({1,2,3,4},NĐ!W289,NĐ!AA289,NĐ!AE289,NĐ!AI289)))</f>
        <v>0</v>
      </c>
      <c r="B289">
        <f>SUMPRODUCT((MONTH(CHOOSE({1,2,3,4},NĐ!T289,NĐ!X289,NĐ!AB289,NĐ!AF289))=2)*(CHOOSE({1,2,3,4},NĐ!W289,NĐ!AA289,NĐ!AE289,NĐ!AI289)))</f>
        <v>0</v>
      </c>
      <c r="C289">
        <f>SUMPRODUCT((MONTH(CHOOSE({1,2,3,4},NĐ!T289,NĐ!X289,NĐ!AB289,NĐ!AF289))=3)*(CHOOSE({1,2,3,4},NĐ!W289,NĐ!AA289,NĐ!AE289,NĐ!AI289)))</f>
        <v>0</v>
      </c>
      <c r="D289">
        <f>SUMPRODUCT((MONTH(CHOOSE({1,2,3,4},NĐ!T289,NĐ!X289,NĐ!AB289,NĐ!AF289))=4)*(CHOOSE({1,2,3,4},NĐ!W289,NĐ!AA289,NĐ!AE289,NĐ!AI289)))</f>
        <v>0</v>
      </c>
      <c r="E289">
        <f>SUMPRODUCT((MONTH(CHOOSE({1,2,3,4},NĐ!T289,NĐ!X289,NĐ!AB289,NĐ!AF289))=5)*(CHOOSE({1,2,3,4},NĐ!W289,NĐ!AA289,NĐ!AE289,NĐ!AI289)))</f>
        <v>0</v>
      </c>
      <c r="F289">
        <f>SUMPRODUCT((MONTH(CHOOSE({1,2,3,4},NĐ!T289,NĐ!X289,NĐ!AB289,NĐ!AF289))=6)*(CHOOSE({1,2,3,4},NĐ!W289,NĐ!AA289,NĐ!AE289,NĐ!AI289)))</f>
        <v>0</v>
      </c>
      <c r="G289">
        <f>SUMPRODUCT((MONTH(CHOOSE({1,2,3,4},NĐ!T289,NĐ!X289,NĐ!AB289,NĐ!AF289))=7)*(CHOOSE({1,2,3,4},NĐ!W289,NĐ!AA289,NĐ!AE289,NĐ!AI289)))</f>
        <v>0</v>
      </c>
      <c r="H289">
        <f>SUMPRODUCT((MONTH(CHOOSE({1,2,3,4},NĐ!T289,NĐ!X289,NĐ!AB289,NĐ!AF289))=8)*(CHOOSE({1,2,3,4},NĐ!W289,NĐ!AA289,NĐ!AE289,NĐ!AI289)))</f>
        <v>0</v>
      </c>
      <c r="I289">
        <f>SUMPRODUCT((MONTH(CHOOSE({1,2,3,4},NĐ!T289,NĐ!X289,NĐ!AB289,NĐ!AF289))=9)*(CHOOSE({1,2,3,4},NĐ!W289,NĐ!AA289,NĐ!AE289,NĐ!AI289)))</f>
        <v>0</v>
      </c>
      <c r="J289">
        <f>SUMPRODUCT((MONTH(CHOOSE({1,2,3,4},NĐ!T289,NĐ!X289,NĐ!AB289,NĐ!AF289))=10)*(CHOOSE({1,2,3,4},NĐ!W289,NĐ!AA289,NĐ!AE289,NĐ!AI289)))</f>
        <v>0</v>
      </c>
      <c r="K289">
        <f>SUMPRODUCT((MONTH(CHOOSE({1,2,3,4},NĐ!T289,NĐ!X289,NĐ!AB289,NĐ!AF289))=11)*(CHOOSE({1,2,3,4},NĐ!W289,NĐ!AA289,NĐ!AE289,NĐ!AI289)))</f>
        <v>0</v>
      </c>
      <c r="L289">
        <f>SUMPRODUCT((MONTH(CHOOSE({1,2,3,4},NĐ!T289,NĐ!X289,NĐ!AB289,NĐ!AF289))=12)*(CHOOSE({1,2,3,4},NĐ!W289,NĐ!AA289,NĐ!AE289,NĐ!AI289)))</f>
        <v>0</v>
      </c>
    </row>
    <row r="290" spans="1:12">
      <c r="A290">
        <f>SUMPRODUCT((MONTH(CHOOSE({1,2,3,4},NĐ!T290,NĐ!X290,NĐ!AB290,NĐ!AF290))=1)*(CHOOSE({1,2,3,4},NĐ!W290,NĐ!AA290,NĐ!AE290,NĐ!AI290)))</f>
        <v>0</v>
      </c>
      <c r="B290">
        <f>SUMPRODUCT((MONTH(CHOOSE({1,2,3,4},NĐ!T290,NĐ!X290,NĐ!AB290,NĐ!AF290))=2)*(CHOOSE({1,2,3,4},NĐ!W290,NĐ!AA290,NĐ!AE290,NĐ!AI290)))</f>
        <v>0</v>
      </c>
      <c r="C290">
        <f>SUMPRODUCT((MONTH(CHOOSE({1,2,3,4},NĐ!T290,NĐ!X290,NĐ!AB290,NĐ!AF290))=3)*(CHOOSE({1,2,3,4},NĐ!W290,NĐ!AA290,NĐ!AE290,NĐ!AI290)))</f>
        <v>0</v>
      </c>
      <c r="D290">
        <f>SUMPRODUCT((MONTH(CHOOSE({1,2,3,4},NĐ!T290,NĐ!X290,NĐ!AB290,NĐ!AF290))=4)*(CHOOSE({1,2,3,4},NĐ!W290,NĐ!AA290,NĐ!AE290,NĐ!AI290)))</f>
        <v>0</v>
      </c>
      <c r="E290">
        <f>SUMPRODUCT((MONTH(CHOOSE({1,2,3,4},NĐ!T290,NĐ!X290,NĐ!AB290,NĐ!AF290))=5)*(CHOOSE({1,2,3,4},NĐ!W290,NĐ!AA290,NĐ!AE290,NĐ!AI290)))</f>
        <v>0</v>
      </c>
      <c r="F290">
        <f>SUMPRODUCT((MONTH(CHOOSE({1,2,3,4},NĐ!T290,NĐ!X290,NĐ!AB290,NĐ!AF290))=6)*(CHOOSE({1,2,3,4},NĐ!W290,NĐ!AA290,NĐ!AE290,NĐ!AI290)))</f>
        <v>0</v>
      </c>
      <c r="G290">
        <f>SUMPRODUCT((MONTH(CHOOSE({1,2,3,4},NĐ!T290,NĐ!X290,NĐ!AB290,NĐ!AF290))=7)*(CHOOSE({1,2,3,4},NĐ!W290,NĐ!AA290,NĐ!AE290,NĐ!AI290)))</f>
        <v>0</v>
      </c>
      <c r="H290">
        <f>SUMPRODUCT((MONTH(CHOOSE({1,2,3,4},NĐ!T290,NĐ!X290,NĐ!AB290,NĐ!AF290))=8)*(CHOOSE({1,2,3,4},NĐ!W290,NĐ!AA290,NĐ!AE290,NĐ!AI290)))</f>
        <v>0</v>
      </c>
      <c r="I290">
        <f>SUMPRODUCT((MONTH(CHOOSE({1,2,3,4},NĐ!T290,NĐ!X290,NĐ!AB290,NĐ!AF290))=9)*(CHOOSE({1,2,3,4},NĐ!W290,NĐ!AA290,NĐ!AE290,NĐ!AI290)))</f>
        <v>0</v>
      </c>
      <c r="J290">
        <f>SUMPRODUCT((MONTH(CHOOSE({1,2,3,4},NĐ!T290,NĐ!X290,NĐ!AB290,NĐ!AF290))=10)*(CHOOSE({1,2,3,4},NĐ!W290,NĐ!AA290,NĐ!AE290,NĐ!AI290)))</f>
        <v>0</v>
      </c>
      <c r="K290">
        <f>SUMPRODUCT((MONTH(CHOOSE({1,2,3,4},NĐ!T290,NĐ!X290,NĐ!AB290,NĐ!AF290))=11)*(CHOOSE({1,2,3,4},NĐ!W290,NĐ!AA290,NĐ!AE290,NĐ!AI290)))</f>
        <v>0</v>
      </c>
      <c r="L290">
        <f>SUMPRODUCT((MONTH(CHOOSE({1,2,3,4},NĐ!T290,NĐ!X290,NĐ!AB290,NĐ!AF290))=12)*(CHOOSE({1,2,3,4},NĐ!W290,NĐ!AA290,NĐ!AE290,NĐ!AI290)))</f>
        <v>0</v>
      </c>
    </row>
    <row r="291" spans="1:12">
      <c r="A291">
        <f>SUMPRODUCT((MONTH(CHOOSE({1,2,3,4},NĐ!T291,NĐ!X291,NĐ!AB291,NĐ!AF291))=1)*(CHOOSE({1,2,3,4},NĐ!W291,NĐ!AA291,NĐ!AE291,NĐ!AI291)))</f>
        <v>0</v>
      </c>
      <c r="B291">
        <f>SUMPRODUCT((MONTH(CHOOSE({1,2,3,4},NĐ!T291,NĐ!X291,NĐ!AB291,NĐ!AF291))=2)*(CHOOSE({1,2,3,4},NĐ!W291,NĐ!AA291,NĐ!AE291,NĐ!AI291)))</f>
        <v>0</v>
      </c>
      <c r="C291">
        <f>SUMPRODUCT((MONTH(CHOOSE({1,2,3,4},NĐ!T291,NĐ!X291,NĐ!AB291,NĐ!AF291))=3)*(CHOOSE({1,2,3,4},NĐ!W291,NĐ!AA291,NĐ!AE291,NĐ!AI291)))</f>
        <v>0</v>
      </c>
      <c r="D291">
        <f>SUMPRODUCT((MONTH(CHOOSE({1,2,3,4},NĐ!T291,NĐ!X291,NĐ!AB291,NĐ!AF291))=4)*(CHOOSE({1,2,3,4},NĐ!W291,NĐ!AA291,NĐ!AE291,NĐ!AI291)))</f>
        <v>0</v>
      </c>
      <c r="E291">
        <f>SUMPRODUCT((MONTH(CHOOSE({1,2,3,4},NĐ!T291,NĐ!X291,NĐ!AB291,NĐ!AF291))=5)*(CHOOSE({1,2,3,4},NĐ!W291,NĐ!AA291,NĐ!AE291,NĐ!AI291)))</f>
        <v>0</v>
      </c>
      <c r="F291">
        <f>SUMPRODUCT((MONTH(CHOOSE({1,2,3,4},NĐ!T291,NĐ!X291,NĐ!AB291,NĐ!AF291))=6)*(CHOOSE({1,2,3,4},NĐ!W291,NĐ!AA291,NĐ!AE291,NĐ!AI291)))</f>
        <v>0</v>
      </c>
      <c r="G291">
        <f>SUMPRODUCT((MONTH(CHOOSE({1,2,3,4},NĐ!T291,NĐ!X291,NĐ!AB291,NĐ!AF291))=7)*(CHOOSE({1,2,3,4},NĐ!W291,NĐ!AA291,NĐ!AE291,NĐ!AI291)))</f>
        <v>0</v>
      </c>
      <c r="H291">
        <f>SUMPRODUCT((MONTH(CHOOSE({1,2,3,4},NĐ!T291,NĐ!X291,NĐ!AB291,NĐ!AF291))=8)*(CHOOSE({1,2,3,4},NĐ!W291,NĐ!AA291,NĐ!AE291,NĐ!AI291)))</f>
        <v>0</v>
      </c>
      <c r="I291">
        <f>SUMPRODUCT((MONTH(CHOOSE({1,2,3,4},NĐ!T291,NĐ!X291,NĐ!AB291,NĐ!AF291))=9)*(CHOOSE({1,2,3,4},NĐ!W291,NĐ!AA291,NĐ!AE291,NĐ!AI291)))</f>
        <v>0</v>
      </c>
      <c r="J291">
        <f>SUMPRODUCT((MONTH(CHOOSE({1,2,3,4},NĐ!T291,NĐ!X291,NĐ!AB291,NĐ!AF291))=10)*(CHOOSE({1,2,3,4},NĐ!W291,NĐ!AA291,NĐ!AE291,NĐ!AI291)))</f>
        <v>0</v>
      </c>
      <c r="K291">
        <f>SUMPRODUCT((MONTH(CHOOSE({1,2,3,4},NĐ!T291,NĐ!X291,NĐ!AB291,NĐ!AF291))=11)*(CHOOSE({1,2,3,4},NĐ!W291,NĐ!AA291,NĐ!AE291,NĐ!AI291)))</f>
        <v>0</v>
      </c>
      <c r="L291">
        <f>SUMPRODUCT((MONTH(CHOOSE({1,2,3,4},NĐ!T291,NĐ!X291,NĐ!AB291,NĐ!AF291))=12)*(CHOOSE({1,2,3,4},NĐ!W291,NĐ!AA291,NĐ!AE291,NĐ!AI291)))</f>
        <v>0</v>
      </c>
    </row>
    <row r="292" spans="1:12">
      <c r="A292">
        <f>SUMPRODUCT((MONTH(CHOOSE({1,2,3,4},NĐ!T292,NĐ!X292,NĐ!AB292,NĐ!AF292))=1)*(CHOOSE({1,2,3,4},NĐ!W292,NĐ!AA292,NĐ!AE292,NĐ!AI292)))</f>
        <v>0</v>
      </c>
      <c r="B292">
        <f>SUMPRODUCT((MONTH(CHOOSE({1,2,3,4},NĐ!T292,NĐ!X292,NĐ!AB292,NĐ!AF292))=2)*(CHOOSE({1,2,3,4},NĐ!W292,NĐ!AA292,NĐ!AE292,NĐ!AI292)))</f>
        <v>0</v>
      </c>
      <c r="C292">
        <f>SUMPRODUCT((MONTH(CHOOSE({1,2,3,4},NĐ!T292,NĐ!X292,NĐ!AB292,NĐ!AF292))=3)*(CHOOSE({1,2,3,4},NĐ!W292,NĐ!AA292,NĐ!AE292,NĐ!AI292)))</f>
        <v>0</v>
      </c>
      <c r="D292">
        <f>SUMPRODUCT((MONTH(CHOOSE({1,2,3,4},NĐ!T292,NĐ!X292,NĐ!AB292,NĐ!AF292))=4)*(CHOOSE({1,2,3,4},NĐ!W292,NĐ!AA292,NĐ!AE292,NĐ!AI292)))</f>
        <v>0</v>
      </c>
      <c r="E292">
        <f>SUMPRODUCT((MONTH(CHOOSE({1,2,3,4},NĐ!T292,NĐ!X292,NĐ!AB292,NĐ!AF292))=5)*(CHOOSE({1,2,3,4},NĐ!W292,NĐ!AA292,NĐ!AE292,NĐ!AI292)))</f>
        <v>0</v>
      </c>
      <c r="F292">
        <f>SUMPRODUCT((MONTH(CHOOSE({1,2,3,4},NĐ!T292,NĐ!X292,NĐ!AB292,NĐ!AF292))=6)*(CHOOSE({1,2,3,4},NĐ!W292,NĐ!AA292,NĐ!AE292,NĐ!AI292)))</f>
        <v>0</v>
      </c>
      <c r="G292">
        <f>SUMPRODUCT((MONTH(CHOOSE({1,2,3,4},NĐ!T292,NĐ!X292,NĐ!AB292,NĐ!AF292))=7)*(CHOOSE({1,2,3,4},NĐ!W292,NĐ!AA292,NĐ!AE292,NĐ!AI292)))</f>
        <v>0</v>
      </c>
      <c r="H292">
        <f>SUMPRODUCT((MONTH(CHOOSE({1,2,3,4},NĐ!T292,NĐ!X292,NĐ!AB292,NĐ!AF292))=8)*(CHOOSE({1,2,3,4},NĐ!W292,NĐ!AA292,NĐ!AE292,NĐ!AI292)))</f>
        <v>0</v>
      </c>
      <c r="I292">
        <f>SUMPRODUCT((MONTH(CHOOSE({1,2,3,4},NĐ!T292,NĐ!X292,NĐ!AB292,NĐ!AF292))=9)*(CHOOSE({1,2,3,4},NĐ!W292,NĐ!AA292,NĐ!AE292,NĐ!AI292)))</f>
        <v>0</v>
      </c>
      <c r="J292">
        <f>SUMPRODUCT((MONTH(CHOOSE({1,2,3,4},NĐ!T292,NĐ!X292,NĐ!AB292,NĐ!AF292))=10)*(CHOOSE({1,2,3,4},NĐ!W292,NĐ!AA292,NĐ!AE292,NĐ!AI292)))</f>
        <v>0</v>
      </c>
      <c r="K292">
        <f>SUMPRODUCT((MONTH(CHOOSE({1,2,3,4},NĐ!T292,NĐ!X292,NĐ!AB292,NĐ!AF292))=11)*(CHOOSE({1,2,3,4},NĐ!W292,NĐ!AA292,NĐ!AE292,NĐ!AI292)))</f>
        <v>0</v>
      </c>
      <c r="L292">
        <f>SUMPRODUCT((MONTH(CHOOSE({1,2,3,4},NĐ!T292,NĐ!X292,NĐ!AB292,NĐ!AF292))=12)*(CHOOSE({1,2,3,4},NĐ!W292,NĐ!AA292,NĐ!AE292,NĐ!AI292)))</f>
        <v>0</v>
      </c>
    </row>
    <row r="293" spans="1:12">
      <c r="A293">
        <f>SUMPRODUCT((MONTH(CHOOSE({1,2,3,4},NĐ!T293,NĐ!X293,NĐ!AB293,NĐ!AF293))=1)*(CHOOSE({1,2,3,4},NĐ!W293,NĐ!AA293,NĐ!AE293,NĐ!AI293)))</f>
        <v>0</v>
      </c>
      <c r="B293">
        <f>SUMPRODUCT((MONTH(CHOOSE({1,2,3,4},NĐ!T293,NĐ!X293,NĐ!AB293,NĐ!AF293))=2)*(CHOOSE({1,2,3,4},NĐ!W293,NĐ!AA293,NĐ!AE293,NĐ!AI293)))</f>
        <v>0</v>
      </c>
      <c r="C293">
        <f>SUMPRODUCT((MONTH(CHOOSE({1,2,3,4},NĐ!T293,NĐ!X293,NĐ!AB293,NĐ!AF293))=3)*(CHOOSE({1,2,3,4},NĐ!W293,NĐ!AA293,NĐ!AE293,NĐ!AI293)))</f>
        <v>0</v>
      </c>
      <c r="D293">
        <f>SUMPRODUCT((MONTH(CHOOSE({1,2,3,4},NĐ!T293,NĐ!X293,NĐ!AB293,NĐ!AF293))=4)*(CHOOSE({1,2,3,4},NĐ!W293,NĐ!AA293,NĐ!AE293,NĐ!AI293)))</f>
        <v>0</v>
      </c>
      <c r="E293">
        <f>SUMPRODUCT((MONTH(CHOOSE({1,2,3,4},NĐ!T293,NĐ!X293,NĐ!AB293,NĐ!AF293))=5)*(CHOOSE({1,2,3,4},NĐ!W293,NĐ!AA293,NĐ!AE293,NĐ!AI293)))</f>
        <v>0</v>
      </c>
      <c r="F293">
        <f>SUMPRODUCT((MONTH(CHOOSE({1,2,3,4},NĐ!T293,NĐ!X293,NĐ!AB293,NĐ!AF293))=6)*(CHOOSE({1,2,3,4},NĐ!W293,NĐ!AA293,NĐ!AE293,NĐ!AI293)))</f>
        <v>0</v>
      </c>
      <c r="G293">
        <f>SUMPRODUCT((MONTH(CHOOSE({1,2,3,4},NĐ!T293,NĐ!X293,NĐ!AB293,NĐ!AF293))=7)*(CHOOSE({1,2,3,4},NĐ!W293,NĐ!AA293,NĐ!AE293,NĐ!AI293)))</f>
        <v>0</v>
      </c>
      <c r="H293">
        <f>SUMPRODUCT((MONTH(CHOOSE({1,2,3,4},NĐ!T293,NĐ!X293,NĐ!AB293,NĐ!AF293))=8)*(CHOOSE({1,2,3,4},NĐ!W293,NĐ!AA293,NĐ!AE293,NĐ!AI293)))</f>
        <v>0</v>
      </c>
      <c r="I293">
        <f>SUMPRODUCT((MONTH(CHOOSE({1,2,3,4},NĐ!T293,NĐ!X293,NĐ!AB293,NĐ!AF293))=9)*(CHOOSE({1,2,3,4},NĐ!W293,NĐ!AA293,NĐ!AE293,NĐ!AI293)))</f>
        <v>0</v>
      </c>
      <c r="J293">
        <f>SUMPRODUCT((MONTH(CHOOSE({1,2,3,4},NĐ!T293,NĐ!X293,NĐ!AB293,NĐ!AF293))=10)*(CHOOSE({1,2,3,4},NĐ!W293,NĐ!AA293,NĐ!AE293,NĐ!AI293)))</f>
        <v>0</v>
      </c>
      <c r="K293">
        <f>SUMPRODUCT((MONTH(CHOOSE({1,2,3,4},NĐ!T293,NĐ!X293,NĐ!AB293,NĐ!AF293))=11)*(CHOOSE({1,2,3,4},NĐ!W293,NĐ!AA293,NĐ!AE293,NĐ!AI293)))</f>
        <v>0</v>
      </c>
      <c r="L293">
        <f>SUMPRODUCT((MONTH(CHOOSE({1,2,3,4},NĐ!T293,NĐ!X293,NĐ!AB293,NĐ!AF293))=12)*(CHOOSE({1,2,3,4},NĐ!W293,NĐ!AA293,NĐ!AE293,NĐ!AI293)))</f>
        <v>0</v>
      </c>
    </row>
    <row r="294" spans="1:12">
      <c r="A294">
        <f>SUMPRODUCT((MONTH(CHOOSE({1,2,3,4},NĐ!T294,NĐ!X294,NĐ!AB294,NĐ!AF294))=1)*(CHOOSE({1,2,3,4},NĐ!W294,NĐ!AA294,NĐ!AE294,NĐ!AI294)))</f>
        <v>0</v>
      </c>
      <c r="B294">
        <f>SUMPRODUCT((MONTH(CHOOSE({1,2,3,4},NĐ!T294,NĐ!X294,NĐ!AB294,NĐ!AF294))=2)*(CHOOSE({1,2,3,4},NĐ!W294,NĐ!AA294,NĐ!AE294,NĐ!AI294)))</f>
        <v>0</v>
      </c>
      <c r="C294">
        <f>SUMPRODUCT((MONTH(CHOOSE({1,2,3,4},NĐ!T294,NĐ!X294,NĐ!AB294,NĐ!AF294))=3)*(CHOOSE({1,2,3,4},NĐ!W294,NĐ!AA294,NĐ!AE294,NĐ!AI294)))</f>
        <v>0</v>
      </c>
      <c r="D294">
        <f>SUMPRODUCT((MONTH(CHOOSE({1,2,3,4},NĐ!T294,NĐ!X294,NĐ!AB294,NĐ!AF294))=4)*(CHOOSE({1,2,3,4},NĐ!W294,NĐ!AA294,NĐ!AE294,NĐ!AI294)))</f>
        <v>0</v>
      </c>
      <c r="E294">
        <f>SUMPRODUCT((MONTH(CHOOSE({1,2,3,4},NĐ!T294,NĐ!X294,NĐ!AB294,NĐ!AF294))=5)*(CHOOSE({1,2,3,4},NĐ!W294,NĐ!AA294,NĐ!AE294,NĐ!AI294)))</f>
        <v>0</v>
      </c>
      <c r="F294">
        <f>SUMPRODUCT((MONTH(CHOOSE({1,2,3,4},NĐ!T294,NĐ!X294,NĐ!AB294,NĐ!AF294))=6)*(CHOOSE({1,2,3,4},NĐ!W294,NĐ!AA294,NĐ!AE294,NĐ!AI294)))</f>
        <v>0</v>
      </c>
      <c r="G294">
        <f>SUMPRODUCT((MONTH(CHOOSE({1,2,3,4},NĐ!T294,NĐ!X294,NĐ!AB294,NĐ!AF294))=7)*(CHOOSE({1,2,3,4},NĐ!W294,NĐ!AA294,NĐ!AE294,NĐ!AI294)))</f>
        <v>0</v>
      </c>
      <c r="H294">
        <f>SUMPRODUCT((MONTH(CHOOSE({1,2,3,4},NĐ!T294,NĐ!X294,NĐ!AB294,NĐ!AF294))=8)*(CHOOSE({1,2,3,4},NĐ!W294,NĐ!AA294,NĐ!AE294,NĐ!AI294)))</f>
        <v>0</v>
      </c>
      <c r="I294">
        <f>SUMPRODUCT((MONTH(CHOOSE({1,2,3,4},NĐ!T294,NĐ!X294,NĐ!AB294,NĐ!AF294))=9)*(CHOOSE({1,2,3,4},NĐ!W294,NĐ!AA294,NĐ!AE294,NĐ!AI294)))</f>
        <v>0</v>
      </c>
      <c r="J294">
        <f>SUMPRODUCT((MONTH(CHOOSE({1,2,3,4},NĐ!T294,NĐ!X294,NĐ!AB294,NĐ!AF294))=10)*(CHOOSE({1,2,3,4},NĐ!W294,NĐ!AA294,NĐ!AE294,NĐ!AI294)))</f>
        <v>0</v>
      </c>
      <c r="K294">
        <f>SUMPRODUCT((MONTH(CHOOSE({1,2,3,4},NĐ!T294,NĐ!X294,NĐ!AB294,NĐ!AF294))=11)*(CHOOSE({1,2,3,4},NĐ!W294,NĐ!AA294,NĐ!AE294,NĐ!AI294)))</f>
        <v>0</v>
      </c>
      <c r="L294">
        <f>SUMPRODUCT((MONTH(CHOOSE({1,2,3,4},NĐ!T294,NĐ!X294,NĐ!AB294,NĐ!AF294))=12)*(CHOOSE({1,2,3,4},NĐ!W294,NĐ!AA294,NĐ!AE294,NĐ!AI294)))</f>
        <v>0</v>
      </c>
    </row>
    <row r="295" spans="1:12">
      <c r="A295">
        <f>SUMPRODUCT((MONTH(CHOOSE({1,2,3,4},NĐ!T295,NĐ!X295,NĐ!AB295,NĐ!AF295))=1)*(CHOOSE({1,2,3,4},NĐ!W295,NĐ!AA295,NĐ!AE295,NĐ!AI295)))</f>
        <v>0</v>
      </c>
      <c r="B295">
        <f>SUMPRODUCT((MONTH(CHOOSE({1,2,3,4},NĐ!T295,NĐ!X295,NĐ!AB295,NĐ!AF295))=2)*(CHOOSE({1,2,3,4},NĐ!W295,NĐ!AA295,NĐ!AE295,NĐ!AI295)))</f>
        <v>0</v>
      </c>
      <c r="C295">
        <f>SUMPRODUCT((MONTH(CHOOSE({1,2,3,4},NĐ!T295,NĐ!X295,NĐ!AB295,NĐ!AF295))=3)*(CHOOSE({1,2,3,4},NĐ!W295,NĐ!AA295,NĐ!AE295,NĐ!AI295)))</f>
        <v>0</v>
      </c>
      <c r="D295">
        <f>SUMPRODUCT((MONTH(CHOOSE({1,2,3,4},NĐ!T295,NĐ!X295,NĐ!AB295,NĐ!AF295))=4)*(CHOOSE({1,2,3,4},NĐ!W295,NĐ!AA295,NĐ!AE295,NĐ!AI295)))</f>
        <v>0</v>
      </c>
      <c r="E295">
        <f>SUMPRODUCT((MONTH(CHOOSE({1,2,3,4},NĐ!T295,NĐ!X295,NĐ!AB295,NĐ!AF295))=5)*(CHOOSE({1,2,3,4},NĐ!W295,NĐ!AA295,NĐ!AE295,NĐ!AI295)))</f>
        <v>0</v>
      </c>
      <c r="F295">
        <f>SUMPRODUCT((MONTH(CHOOSE({1,2,3,4},NĐ!T295,NĐ!X295,NĐ!AB295,NĐ!AF295))=6)*(CHOOSE({1,2,3,4},NĐ!W295,NĐ!AA295,NĐ!AE295,NĐ!AI295)))</f>
        <v>0</v>
      </c>
      <c r="G295">
        <f>SUMPRODUCT((MONTH(CHOOSE({1,2,3,4},NĐ!T295,NĐ!X295,NĐ!AB295,NĐ!AF295))=7)*(CHOOSE({1,2,3,4},NĐ!W295,NĐ!AA295,NĐ!AE295,NĐ!AI295)))</f>
        <v>0</v>
      </c>
      <c r="H295">
        <f>SUMPRODUCT((MONTH(CHOOSE({1,2,3,4},NĐ!T295,NĐ!X295,NĐ!AB295,NĐ!AF295))=8)*(CHOOSE({1,2,3,4},NĐ!W295,NĐ!AA295,NĐ!AE295,NĐ!AI295)))</f>
        <v>0</v>
      </c>
      <c r="I295">
        <f>SUMPRODUCT((MONTH(CHOOSE({1,2,3,4},NĐ!T295,NĐ!X295,NĐ!AB295,NĐ!AF295))=9)*(CHOOSE({1,2,3,4},NĐ!W295,NĐ!AA295,NĐ!AE295,NĐ!AI295)))</f>
        <v>0</v>
      </c>
      <c r="J295">
        <f>SUMPRODUCT((MONTH(CHOOSE({1,2,3,4},NĐ!T295,NĐ!X295,NĐ!AB295,NĐ!AF295))=10)*(CHOOSE({1,2,3,4},NĐ!W295,NĐ!AA295,NĐ!AE295,NĐ!AI295)))</f>
        <v>0</v>
      </c>
      <c r="K295">
        <f>SUMPRODUCT((MONTH(CHOOSE({1,2,3,4},NĐ!T295,NĐ!X295,NĐ!AB295,NĐ!AF295))=11)*(CHOOSE({1,2,3,4},NĐ!W295,NĐ!AA295,NĐ!AE295,NĐ!AI295)))</f>
        <v>0</v>
      </c>
      <c r="L295">
        <f>SUMPRODUCT((MONTH(CHOOSE({1,2,3,4},NĐ!T295,NĐ!X295,NĐ!AB295,NĐ!AF295))=12)*(CHOOSE({1,2,3,4},NĐ!W295,NĐ!AA295,NĐ!AE295,NĐ!AI295)))</f>
        <v>0</v>
      </c>
    </row>
    <row r="296" spans="1:12">
      <c r="A296">
        <f>SUMPRODUCT((MONTH(CHOOSE({1,2,3,4},NĐ!T296,NĐ!X296,NĐ!AB296,NĐ!AF296))=1)*(CHOOSE({1,2,3,4},NĐ!W296,NĐ!AA296,NĐ!AE296,NĐ!AI296)))</f>
        <v>0</v>
      </c>
      <c r="B296">
        <f>SUMPRODUCT((MONTH(CHOOSE({1,2,3,4},NĐ!T296,NĐ!X296,NĐ!AB296,NĐ!AF296))=2)*(CHOOSE({1,2,3,4},NĐ!W296,NĐ!AA296,NĐ!AE296,NĐ!AI296)))</f>
        <v>0</v>
      </c>
      <c r="C296">
        <f>SUMPRODUCT((MONTH(CHOOSE({1,2,3,4},NĐ!T296,NĐ!X296,NĐ!AB296,NĐ!AF296))=3)*(CHOOSE({1,2,3,4},NĐ!W296,NĐ!AA296,NĐ!AE296,NĐ!AI296)))</f>
        <v>0</v>
      </c>
      <c r="D296">
        <f>SUMPRODUCT((MONTH(CHOOSE({1,2,3,4},NĐ!T296,NĐ!X296,NĐ!AB296,NĐ!AF296))=4)*(CHOOSE({1,2,3,4},NĐ!W296,NĐ!AA296,NĐ!AE296,NĐ!AI296)))</f>
        <v>0</v>
      </c>
      <c r="E296">
        <f>SUMPRODUCT((MONTH(CHOOSE({1,2,3,4},NĐ!T296,NĐ!X296,NĐ!AB296,NĐ!AF296))=5)*(CHOOSE({1,2,3,4},NĐ!W296,NĐ!AA296,NĐ!AE296,NĐ!AI296)))</f>
        <v>0</v>
      </c>
      <c r="F296">
        <f>SUMPRODUCT((MONTH(CHOOSE({1,2,3,4},NĐ!T296,NĐ!X296,NĐ!AB296,NĐ!AF296))=6)*(CHOOSE({1,2,3,4},NĐ!W296,NĐ!AA296,NĐ!AE296,NĐ!AI296)))</f>
        <v>0</v>
      </c>
      <c r="G296">
        <f>SUMPRODUCT((MONTH(CHOOSE({1,2,3,4},NĐ!T296,NĐ!X296,NĐ!AB296,NĐ!AF296))=7)*(CHOOSE({1,2,3,4},NĐ!W296,NĐ!AA296,NĐ!AE296,NĐ!AI296)))</f>
        <v>0</v>
      </c>
      <c r="H296">
        <f>SUMPRODUCT((MONTH(CHOOSE({1,2,3,4},NĐ!T296,NĐ!X296,NĐ!AB296,NĐ!AF296))=8)*(CHOOSE({1,2,3,4},NĐ!W296,NĐ!AA296,NĐ!AE296,NĐ!AI296)))</f>
        <v>0</v>
      </c>
      <c r="I296">
        <f>SUMPRODUCT((MONTH(CHOOSE({1,2,3,4},NĐ!T296,NĐ!X296,NĐ!AB296,NĐ!AF296))=9)*(CHOOSE({1,2,3,4},NĐ!W296,NĐ!AA296,NĐ!AE296,NĐ!AI296)))</f>
        <v>0</v>
      </c>
      <c r="J296">
        <f>SUMPRODUCT((MONTH(CHOOSE({1,2,3,4},NĐ!T296,NĐ!X296,NĐ!AB296,NĐ!AF296))=10)*(CHOOSE({1,2,3,4},NĐ!W296,NĐ!AA296,NĐ!AE296,NĐ!AI296)))</f>
        <v>0</v>
      </c>
      <c r="K296">
        <f>SUMPRODUCT((MONTH(CHOOSE({1,2,3,4},NĐ!T296,NĐ!X296,NĐ!AB296,NĐ!AF296))=11)*(CHOOSE({1,2,3,4},NĐ!W296,NĐ!AA296,NĐ!AE296,NĐ!AI296)))</f>
        <v>0</v>
      </c>
      <c r="L296">
        <f>SUMPRODUCT((MONTH(CHOOSE({1,2,3,4},NĐ!T296,NĐ!X296,NĐ!AB296,NĐ!AF296))=12)*(CHOOSE({1,2,3,4},NĐ!W296,NĐ!AA296,NĐ!AE296,NĐ!AI296)))</f>
        <v>0</v>
      </c>
    </row>
    <row r="297" spans="1:12">
      <c r="A297">
        <f>SUMPRODUCT((MONTH(CHOOSE({1,2,3,4},NĐ!T297,NĐ!X297,NĐ!AB297,NĐ!AF297))=1)*(CHOOSE({1,2,3,4},NĐ!W297,NĐ!AA297,NĐ!AE297,NĐ!AI297)))</f>
        <v>0</v>
      </c>
      <c r="B297">
        <f>SUMPRODUCT((MONTH(CHOOSE({1,2,3,4},NĐ!T297,NĐ!X297,NĐ!AB297,NĐ!AF297))=2)*(CHOOSE({1,2,3,4},NĐ!W297,NĐ!AA297,NĐ!AE297,NĐ!AI297)))</f>
        <v>0</v>
      </c>
      <c r="C297">
        <f>SUMPRODUCT((MONTH(CHOOSE({1,2,3,4},NĐ!T297,NĐ!X297,NĐ!AB297,NĐ!AF297))=3)*(CHOOSE({1,2,3,4},NĐ!W297,NĐ!AA297,NĐ!AE297,NĐ!AI297)))</f>
        <v>0</v>
      </c>
      <c r="D297">
        <f>SUMPRODUCT((MONTH(CHOOSE({1,2,3,4},NĐ!T297,NĐ!X297,NĐ!AB297,NĐ!AF297))=4)*(CHOOSE({1,2,3,4},NĐ!W297,NĐ!AA297,NĐ!AE297,NĐ!AI297)))</f>
        <v>0</v>
      </c>
      <c r="E297">
        <f>SUMPRODUCT((MONTH(CHOOSE({1,2,3,4},NĐ!T297,NĐ!X297,NĐ!AB297,NĐ!AF297))=5)*(CHOOSE({1,2,3,4},NĐ!W297,NĐ!AA297,NĐ!AE297,NĐ!AI297)))</f>
        <v>0</v>
      </c>
      <c r="F297">
        <f>SUMPRODUCT((MONTH(CHOOSE({1,2,3,4},NĐ!T297,NĐ!X297,NĐ!AB297,NĐ!AF297))=6)*(CHOOSE({1,2,3,4},NĐ!W297,NĐ!AA297,NĐ!AE297,NĐ!AI297)))</f>
        <v>0</v>
      </c>
      <c r="G297">
        <f>SUMPRODUCT((MONTH(CHOOSE({1,2,3,4},NĐ!T297,NĐ!X297,NĐ!AB297,NĐ!AF297))=7)*(CHOOSE({1,2,3,4},NĐ!W297,NĐ!AA297,NĐ!AE297,NĐ!AI297)))</f>
        <v>0</v>
      </c>
      <c r="H297">
        <f>SUMPRODUCT((MONTH(CHOOSE({1,2,3,4},NĐ!T297,NĐ!X297,NĐ!AB297,NĐ!AF297))=8)*(CHOOSE({1,2,3,4},NĐ!W297,NĐ!AA297,NĐ!AE297,NĐ!AI297)))</f>
        <v>0</v>
      </c>
      <c r="I297">
        <f>SUMPRODUCT((MONTH(CHOOSE({1,2,3,4},NĐ!T297,NĐ!X297,NĐ!AB297,NĐ!AF297))=9)*(CHOOSE({1,2,3,4},NĐ!W297,NĐ!AA297,NĐ!AE297,NĐ!AI297)))</f>
        <v>0</v>
      </c>
      <c r="J297">
        <f>SUMPRODUCT((MONTH(CHOOSE({1,2,3,4},NĐ!T297,NĐ!X297,NĐ!AB297,NĐ!AF297))=10)*(CHOOSE({1,2,3,4},NĐ!W297,NĐ!AA297,NĐ!AE297,NĐ!AI297)))</f>
        <v>0</v>
      </c>
      <c r="K297">
        <f>SUMPRODUCT((MONTH(CHOOSE({1,2,3,4},NĐ!T297,NĐ!X297,NĐ!AB297,NĐ!AF297))=11)*(CHOOSE({1,2,3,4},NĐ!W297,NĐ!AA297,NĐ!AE297,NĐ!AI297)))</f>
        <v>0</v>
      </c>
      <c r="L297">
        <f>SUMPRODUCT((MONTH(CHOOSE({1,2,3,4},NĐ!T297,NĐ!X297,NĐ!AB297,NĐ!AF297))=12)*(CHOOSE({1,2,3,4},NĐ!W297,NĐ!AA297,NĐ!AE297,NĐ!AI297)))</f>
        <v>0</v>
      </c>
    </row>
    <row r="298" spans="1:12">
      <c r="A298">
        <f>SUMPRODUCT((MONTH(CHOOSE({1,2,3,4},NĐ!T298,NĐ!X298,NĐ!AB298,NĐ!AF298))=1)*(CHOOSE({1,2,3,4},NĐ!W298,NĐ!AA298,NĐ!AE298,NĐ!AI298)))</f>
        <v>0</v>
      </c>
      <c r="B298">
        <f>SUMPRODUCT((MONTH(CHOOSE({1,2,3,4},NĐ!T298,NĐ!X298,NĐ!AB298,NĐ!AF298))=2)*(CHOOSE({1,2,3,4},NĐ!W298,NĐ!AA298,NĐ!AE298,NĐ!AI298)))</f>
        <v>0</v>
      </c>
      <c r="C298">
        <f>SUMPRODUCT((MONTH(CHOOSE({1,2,3,4},NĐ!T298,NĐ!X298,NĐ!AB298,NĐ!AF298))=3)*(CHOOSE({1,2,3,4},NĐ!W298,NĐ!AA298,NĐ!AE298,NĐ!AI298)))</f>
        <v>0</v>
      </c>
      <c r="D298">
        <f>SUMPRODUCT((MONTH(CHOOSE({1,2,3,4},NĐ!T298,NĐ!X298,NĐ!AB298,NĐ!AF298))=4)*(CHOOSE({1,2,3,4},NĐ!W298,NĐ!AA298,NĐ!AE298,NĐ!AI298)))</f>
        <v>0</v>
      </c>
      <c r="E298">
        <f>SUMPRODUCT((MONTH(CHOOSE({1,2,3,4},NĐ!T298,NĐ!X298,NĐ!AB298,NĐ!AF298))=5)*(CHOOSE({1,2,3,4},NĐ!W298,NĐ!AA298,NĐ!AE298,NĐ!AI298)))</f>
        <v>0</v>
      </c>
      <c r="F298">
        <f>SUMPRODUCT((MONTH(CHOOSE({1,2,3,4},NĐ!T298,NĐ!X298,NĐ!AB298,NĐ!AF298))=6)*(CHOOSE({1,2,3,4},NĐ!W298,NĐ!AA298,NĐ!AE298,NĐ!AI298)))</f>
        <v>0</v>
      </c>
      <c r="G298">
        <f>SUMPRODUCT((MONTH(CHOOSE({1,2,3,4},NĐ!T298,NĐ!X298,NĐ!AB298,NĐ!AF298))=7)*(CHOOSE({1,2,3,4},NĐ!W298,NĐ!AA298,NĐ!AE298,NĐ!AI298)))</f>
        <v>0</v>
      </c>
      <c r="H298">
        <f>SUMPRODUCT((MONTH(CHOOSE({1,2,3,4},NĐ!T298,NĐ!X298,NĐ!AB298,NĐ!AF298))=8)*(CHOOSE({1,2,3,4},NĐ!W298,NĐ!AA298,NĐ!AE298,NĐ!AI298)))</f>
        <v>0</v>
      </c>
      <c r="I298">
        <f>SUMPRODUCT((MONTH(CHOOSE({1,2,3,4},NĐ!T298,NĐ!X298,NĐ!AB298,NĐ!AF298))=9)*(CHOOSE({1,2,3,4},NĐ!W298,NĐ!AA298,NĐ!AE298,NĐ!AI298)))</f>
        <v>0</v>
      </c>
      <c r="J298">
        <f>SUMPRODUCT((MONTH(CHOOSE({1,2,3,4},NĐ!T298,NĐ!X298,NĐ!AB298,NĐ!AF298))=10)*(CHOOSE({1,2,3,4},NĐ!W298,NĐ!AA298,NĐ!AE298,NĐ!AI298)))</f>
        <v>0</v>
      </c>
      <c r="K298">
        <f>SUMPRODUCT((MONTH(CHOOSE({1,2,3,4},NĐ!T298,NĐ!X298,NĐ!AB298,NĐ!AF298))=11)*(CHOOSE({1,2,3,4},NĐ!W298,NĐ!AA298,NĐ!AE298,NĐ!AI298)))</f>
        <v>0</v>
      </c>
      <c r="L298">
        <f>SUMPRODUCT((MONTH(CHOOSE({1,2,3,4},NĐ!T298,NĐ!X298,NĐ!AB298,NĐ!AF298))=12)*(CHOOSE({1,2,3,4},NĐ!W298,NĐ!AA298,NĐ!AE298,NĐ!AI298)))</f>
        <v>0</v>
      </c>
    </row>
    <row r="299" spans="1:12">
      <c r="A299">
        <f>SUMPRODUCT((MONTH(CHOOSE({1,2,3,4},NĐ!T299,NĐ!X299,NĐ!AB299,NĐ!AF299))=1)*(CHOOSE({1,2,3,4},NĐ!W299,NĐ!AA299,NĐ!AE299,NĐ!AI299)))</f>
        <v>0</v>
      </c>
      <c r="B299">
        <f>SUMPRODUCT((MONTH(CHOOSE({1,2,3,4},NĐ!T299,NĐ!X299,NĐ!AB299,NĐ!AF299))=2)*(CHOOSE({1,2,3,4},NĐ!W299,NĐ!AA299,NĐ!AE299,NĐ!AI299)))</f>
        <v>0</v>
      </c>
      <c r="C299">
        <f>SUMPRODUCT((MONTH(CHOOSE({1,2,3,4},NĐ!T299,NĐ!X299,NĐ!AB299,NĐ!AF299))=3)*(CHOOSE({1,2,3,4},NĐ!W299,NĐ!AA299,NĐ!AE299,NĐ!AI299)))</f>
        <v>0</v>
      </c>
      <c r="D299">
        <f>SUMPRODUCT((MONTH(CHOOSE({1,2,3,4},NĐ!T299,NĐ!X299,NĐ!AB299,NĐ!AF299))=4)*(CHOOSE({1,2,3,4},NĐ!W299,NĐ!AA299,NĐ!AE299,NĐ!AI299)))</f>
        <v>0</v>
      </c>
      <c r="E299">
        <f>SUMPRODUCT((MONTH(CHOOSE({1,2,3,4},NĐ!T299,NĐ!X299,NĐ!AB299,NĐ!AF299))=5)*(CHOOSE({1,2,3,4},NĐ!W299,NĐ!AA299,NĐ!AE299,NĐ!AI299)))</f>
        <v>0</v>
      </c>
      <c r="F299">
        <f>SUMPRODUCT((MONTH(CHOOSE({1,2,3,4},NĐ!T299,NĐ!X299,NĐ!AB299,NĐ!AF299))=6)*(CHOOSE({1,2,3,4},NĐ!W299,NĐ!AA299,NĐ!AE299,NĐ!AI299)))</f>
        <v>0</v>
      </c>
      <c r="G299">
        <f>SUMPRODUCT((MONTH(CHOOSE({1,2,3,4},NĐ!T299,NĐ!X299,NĐ!AB299,NĐ!AF299))=7)*(CHOOSE({1,2,3,4},NĐ!W299,NĐ!AA299,NĐ!AE299,NĐ!AI299)))</f>
        <v>0</v>
      </c>
      <c r="H299">
        <f>SUMPRODUCT((MONTH(CHOOSE({1,2,3,4},NĐ!T299,NĐ!X299,NĐ!AB299,NĐ!AF299))=8)*(CHOOSE({1,2,3,4},NĐ!W299,NĐ!AA299,NĐ!AE299,NĐ!AI299)))</f>
        <v>0</v>
      </c>
      <c r="I299">
        <f>SUMPRODUCT((MONTH(CHOOSE({1,2,3,4},NĐ!T299,NĐ!X299,NĐ!AB299,NĐ!AF299))=9)*(CHOOSE({1,2,3,4},NĐ!W299,NĐ!AA299,NĐ!AE299,NĐ!AI299)))</f>
        <v>0</v>
      </c>
      <c r="J299">
        <f>SUMPRODUCT((MONTH(CHOOSE({1,2,3,4},NĐ!T299,NĐ!X299,NĐ!AB299,NĐ!AF299))=10)*(CHOOSE({1,2,3,4},NĐ!W299,NĐ!AA299,NĐ!AE299,NĐ!AI299)))</f>
        <v>0</v>
      </c>
      <c r="K299">
        <f>SUMPRODUCT((MONTH(CHOOSE({1,2,3,4},NĐ!T299,NĐ!X299,NĐ!AB299,NĐ!AF299))=11)*(CHOOSE({1,2,3,4},NĐ!W299,NĐ!AA299,NĐ!AE299,NĐ!AI299)))</f>
        <v>0</v>
      </c>
      <c r="L299">
        <f>SUMPRODUCT((MONTH(CHOOSE({1,2,3,4},NĐ!T299,NĐ!X299,NĐ!AB299,NĐ!AF299))=12)*(CHOOSE({1,2,3,4},NĐ!W299,NĐ!AA299,NĐ!AE299,NĐ!AI299)))</f>
        <v>0</v>
      </c>
    </row>
    <row r="300" spans="1:12">
      <c r="A300">
        <f>SUMPRODUCT((MONTH(CHOOSE({1,2,3,4},NĐ!T300,NĐ!X300,NĐ!AB300,NĐ!AF300))=1)*(CHOOSE({1,2,3,4},NĐ!W300,NĐ!AA300,NĐ!AE300,NĐ!AI300)))</f>
        <v>0</v>
      </c>
      <c r="B300">
        <f>SUMPRODUCT((MONTH(CHOOSE({1,2,3,4},NĐ!T300,NĐ!X300,NĐ!AB300,NĐ!AF300))=2)*(CHOOSE({1,2,3,4},NĐ!W300,NĐ!AA300,NĐ!AE300,NĐ!AI300)))</f>
        <v>0</v>
      </c>
      <c r="C300">
        <f>SUMPRODUCT((MONTH(CHOOSE({1,2,3,4},NĐ!T300,NĐ!X300,NĐ!AB300,NĐ!AF300))=3)*(CHOOSE({1,2,3,4},NĐ!W300,NĐ!AA300,NĐ!AE300,NĐ!AI300)))</f>
        <v>0</v>
      </c>
      <c r="D300">
        <f>SUMPRODUCT((MONTH(CHOOSE({1,2,3,4},NĐ!T300,NĐ!X300,NĐ!AB300,NĐ!AF300))=4)*(CHOOSE({1,2,3,4},NĐ!W300,NĐ!AA300,NĐ!AE300,NĐ!AI300)))</f>
        <v>0</v>
      </c>
      <c r="E300">
        <f>SUMPRODUCT((MONTH(CHOOSE({1,2,3,4},NĐ!T300,NĐ!X300,NĐ!AB300,NĐ!AF300))=5)*(CHOOSE({1,2,3,4},NĐ!W300,NĐ!AA300,NĐ!AE300,NĐ!AI300)))</f>
        <v>0</v>
      </c>
      <c r="F300">
        <f>SUMPRODUCT((MONTH(CHOOSE({1,2,3,4},NĐ!T300,NĐ!X300,NĐ!AB300,NĐ!AF300))=6)*(CHOOSE({1,2,3,4},NĐ!W300,NĐ!AA300,NĐ!AE300,NĐ!AI300)))</f>
        <v>0</v>
      </c>
      <c r="G300">
        <f>SUMPRODUCT((MONTH(CHOOSE({1,2,3,4},NĐ!T300,NĐ!X300,NĐ!AB300,NĐ!AF300))=7)*(CHOOSE({1,2,3,4},NĐ!W300,NĐ!AA300,NĐ!AE300,NĐ!AI300)))</f>
        <v>0</v>
      </c>
      <c r="H300">
        <f>SUMPRODUCT((MONTH(CHOOSE({1,2,3,4},NĐ!T300,NĐ!X300,NĐ!AB300,NĐ!AF300))=8)*(CHOOSE({1,2,3,4},NĐ!W300,NĐ!AA300,NĐ!AE300,NĐ!AI300)))</f>
        <v>0</v>
      </c>
      <c r="I300">
        <f>SUMPRODUCT((MONTH(CHOOSE({1,2,3,4},NĐ!T300,NĐ!X300,NĐ!AB300,NĐ!AF300))=9)*(CHOOSE({1,2,3,4},NĐ!W300,NĐ!AA300,NĐ!AE300,NĐ!AI300)))</f>
        <v>0</v>
      </c>
      <c r="J300">
        <f>SUMPRODUCT((MONTH(CHOOSE({1,2,3,4},NĐ!T300,NĐ!X300,NĐ!AB300,NĐ!AF300))=10)*(CHOOSE({1,2,3,4},NĐ!W300,NĐ!AA300,NĐ!AE300,NĐ!AI300)))</f>
        <v>0</v>
      </c>
      <c r="K300">
        <f>SUMPRODUCT((MONTH(CHOOSE({1,2,3,4},NĐ!T300,NĐ!X300,NĐ!AB300,NĐ!AF300))=11)*(CHOOSE({1,2,3,4},NĐ!W300,NĐ!AA300,NĐ!AE300,NĐ!AI300)))</f>
        <v>0</v>
      </c>
      <c r="L300">
        <f>SUMPRODUCT((MONTH(CHOOSE({1,2,3,4},NĐ!T300,NĐ!X300,NĐ!AB300,NĐ!AF300))=12)*(CHOOSE({1,2,3,4},NĐ!W300,NĐ!AA300,NĐ!AE300,NĐ!AI300)))</f>
        <v>0</v>
      </c>
    </row>
    <row r="301" spans="1:12">
      <c r="A301">
        <f>SUMPRODUCT((MONTH(CHOOSE({1,2,3,4},NĐ!T301,NĐ!X301,NĐ!AB301,NĐ!AF301))=1)*(CHOOSE({1,2,3,4},NĐ!W301,NĐ!AA301,NĐ!AE301,NĐ!AI301)))</f>
        <v>0</v>
      </c>
      <c r="B301">
        <f>SUMPRODUCT((MONTH(CHOOSE({1,2,3,4},NĐ!T301,NĐ!X301,NĐ!AB301,NĐ!AF301))=2)*(CHOOSE({1,2,3,4},NĐ!W301,NĐ!AA301,NĐ!AE301,NĐ!AI301)))</f>
        <v>0</v>
      </c>
      <c r="C301">
        <f>SUMPRODUCT((MONTH(CHOOSE({1,2,3,4},NĐ!T301,NĐ!X301,NĐ!AB301,NĐ!AF301))=3)*(CHOOSE({1,2,3,4},NĐ!W301,NĐ!AA301,NĐ!AE301,NĐ!AI301)))</f>
        <v>0</v>
      </c>
      <c r="D301">
        <f>SUMPRODUCT((MONTH(CHOOSE({1,2,3,4},NĐ!T301,NĐ!X301,NĐ!AB301,NĐ!AF301))=4)*(CHOOSE({1,2,3,4},NĐ!W301,NĐ!AA301,NĐ!AE301,NĐ!AI301)))</f>
        <v>0</v>
      </c>
      <c r="E301">
        <f>SUMPRODUCT((MONTH(CHOOSE({1,2,3,4},NĐ!T301,NĐ!X301,NĐ!AB301,NĐ!AF301))=5)*(CHOOSE({1,2,3,4},NĐ!W301,NĐ!AA301,NĐ!AE301,NĐ!AI301)))</f>
        <v>0</v>
      </c>
      <c r="F301">
        <f>SUMPRODUCT((MONTH(CHOOSE({1,2,3,4},NĐ!T301,NĐ!X301,NĐ!AB301,NĐ!AF301))=6)*(CHOOSE({1,2,3,4},NĐ!W301,NĐ!AA301,NĐ!AE301,NĐ!AI301)))</f>
        <v>0</v>
      </c>
      <c r="G301">
        <f>SUMPRODUCT((MONTH(CHOOSE({1,2,3,4},NĐ!T301,NĐ!X301,NĐ!AB301,NĐ!AF301))=7)*(CHOOSE({1,2,3,4},NĐ!W301,NĐ!AA301,NĐ!AE301,NĐ!AI301)))</f>
        <v>0</v>
      </c>
      <c r="H301">
        <f>SUMPRODUCT((MONTH(CHOOSE({1,2,3,4},NĐ!T301,NĐ!X301,NĐ!AB301,NĐ!AF301))=8)*(CHOOSE({1,2,3,4},NĐ!W301,NĐ!AA301,NĐ!AE301,NĐ!AI301)))</f>
        <v>0</v>
      </c>
      <c r="I301">
        <f>SUMPRODUCT((MONTH(CHOOSE({1,2,3,4},NĐ!T301,NĐ!X301,NĐ!AB301,NĐ!AF301))=9)*(CHOOSE({1,2,3,4},NĐ!W301,NĐ!AA301,NĐ!AE301,NĐ!AI301)))</f>
        <v>0</v>
      </c>
      <c r="J301">
        <f>SUMPRODUCT((MONTH(CHOOSE({1,2,3,4},NĐ!T301,NĐ!X301,NĐ!AB301,NĐ!AF301))=10)*(CHOOSE({1,2,3,4},NĐ!W301,NĐ!AA301,NĐ!AE301,NĐ!AI301)))</f>
        <v>0</v>
      </c>
      <c r="K301">
        <f>SUMPRODUCT((MONTH(CHOOSE({1,2,3,4},NĐ!T301,NĐ!X301,NĐ!AB301,NĐ!AF301))=11)*(CHOOSE({1,2,3,4},NĐ!W301,NĐ!AA301,NĐ!AE301,NĐ!AI301)))</f>
        <v>0</v>
      </c>
      <c r="L301">
        <f>SUMPRODUCT((MONTH(CHOOSE({1,2,3,4},NĐ!T301,NĐ!X301,NĐ!AB301,NĐ!AF301))=12)*(CHOOSE({1,2,3,4},NĐ!W301,NĐ!AA301,NĐ!AE301,NĐ!AI301)))</f>
        <v>0</v>
      </c>
    </row>
    <row r="302" spans="1:12">
      <c r="A302">
        <f>SUMPRODUCT((MONTH(CHOOSE({1,2,3,4},NĐ!T302,NĐ!X302,NĐ!AB302,NĐ!AF302))=1)*(CHOOSE({1,2,3,4},NĐ!W302,NĐ!AA302,NĐ!AE302,NĐ!AI302)))</f>
        <v>0</v>
      </c>
      <c r="B302">
        <f>SUMPRODUCT((MONTH(CHOOSE({1,2,3,4},NĐ!T302,NĐ!X302,NĐ!AB302,NĐ!AF302))=2)*(CHOOSE({1,2,3,4},NĐ!W302,NĐ!AA302,NĐ!AE302,NĐ!AI302)))</f>
        <v>0</v>
      </c>
      <c r="C302">
        <f>SUMPRODUCT((MONTH(CHOOSE({1,2,3,4},NĐ!T302,NĐ!X302,NĐ!AB302,NĐ!AF302))=3)*(CHOOSE({1,2,3,4},NĐ!W302,NĐ!AA302,NĐ!AE302,NĐ!AI302)))</f>
        <v>0</v>
      </c>
      <c r="D302">
        <f>SUMPRODUCT((MONTH(CHOOSE({1,2,3,4},NĐ!T302,NĐ!X302,NĐ!AB302,NĐ!AF302))=4)*(CHOOSE({1,2,3,4},NĐ!W302,NĐ!AA302,NĐ!AE302,NĐ!AI302)))</f>
        <v>0</v>
      </c>
      <c r="E302">
        <f>SUMPRODUCT((MONTH(CHOOSE({1,2,3,4},NĐ!T302,NĐ!X302,NĐ!AB302,NĐ!AF302))=5)*(CHOOSE({1,2,3,4},NĐ!W302,NĐ!AA302,NĐ!AE302,NĐ!AI302)))</f>
        <v>0</v>
      </c>
      <c r="F302">
        <f>SUMPRODUCT((MONTH(CHOOSE({1,2,3,4},NĐ!T302,NĐ!X302,NĐ!AB302,NĐ!AF302))=6)*(CHOOSE({1,2,3,4},NĐ!W302,NĐ!AA302,NĐ!AE302,NĐ!AI302)))</f>
        <v>0</v>
      </c>
      <c r="G302">
        <f>SUMPRODUCT((MONTH(CHOOSE({1,2,3,4},NĐ!T302,NĐ!X302,NĐ!AB302,NĐ!AF302))=7)*(CHOOSE({1,2,3,4},NĐ!W302,NĐ!AA302,NĐ!AE302,NĐ!AI302)))</f>
        <v>0</v>
      </c>
      <c r="H302">
        <f>SUMPRODUCT((MONTH(CHOOSE({1,2,3,4},NĐ!T302,NĐ!X302,NĐ!AB302,NĐ!AF302))=8)*(CHOOSE({1,2,3,4},NĐ!W302,NĐ!AA302,NĐ!AE302,NĐ!AI302)))</f>
        <v>0</v>
      </c>
      <c r="I302">
        <f>SUMPRODUCT((MONTH(CHOOSE({1,2,3,4},NĐ!T302,NĐ!X302,NĐ!AB302,NĐ!AF302))=9)*(CHOOSE({1,2,3,4},NĐ!W302,NĐ!AA302,NĐ!AE302,NĐ!AI302)))</f>
        <v>0</v>
      </c>
      <c r="J302">
        <f>SUMPRODUCT((MONTH(CHOOSE({1,2,3,4},NĐ!T302,NĐ!X302,NĐ!AB302,NĐ!AF302))=10)*(CHOOSE({1,2,3,4},NĐ!W302,NĐ!AA302,NĐ!AE302,NĐ!AI302)))</f>
        <v>0</v>
      </c>
      <c r="K302">
        <f>SUMPRODUCT((MONTH(CHOOSE({1,2,3,4},NĐ!T302,NĐ!X302,NĐ!AB302,NĐ!AF302))=11)*(CHOOSE({1,2,3,4},NĐ!W302,NĐ!AA302,NĐ!AE302,NĐ!AI302)))</f>
        <v>0</v>
      </c>
      <c r="L302">
        <f>SUMPRODUCT((MONTH(CHOOSE({1,2,3,4},NĐ!T302,NĐ!X302,NĐ!AB302,NĐ!AF302))=12)*(CHOOSE({1,2,3,4},NĐ!W302,NĐ!AA302,NĐ!AE302,NĐ!AI302)))</f>
        <v>0</v>
      </c>
    </row>
    <row r="303" spans="1:12">
      <c r="A303">
        <f>SUMPRODUCT((MONTH(CHOOSE({1,2,3,4},NĐ!T303,NĐ!X303,NĐ!AB303,NĐ!AF303))=1)*(CHOOSE({1,2,3,4},NĐ!W303,NĐ!AA303,NĐ!AE303,NĐ!AI303)))</f>
        <v>0</v>
      </c>
      <c r="B303">
        <f>SUMPRODUCT((MONTH(CHOOSE({1,2,3,4},NĐ!T303,NĐ!X303,NĐ!AB303,NĐ!AF303))=2)*(CHOOSE({1,2,3,4},NĐ!W303,NĐ!AA303,NĐ!AE303,NĐ!AI303)))</f>
        <v>0</v>
      </c>
      <c r="C303">
        <f>SUMPRODUCT((MONTH(CHOOSE({1,2,3,4},NĐ!T303,NĐ!X303,NĐ!AB303,NĐ!AF303))=3)*(CHOOSE({1,2,3,4},NĐ!W303,NĐ!AA303,NĐ!AE303,NĐ!AI303)))</f>
        <v>0</v>
      </c>
      <c r="D303">
        <f>SUMPRODUCT((MONTH(CHOOSE({1,2,3,4},NĐ!T303,NĐ!X303,NĐ!AB303,NĐ!AF303))=4)*(CHOOSE({1,2,3,4},NĐ!W303,NĐ!AA303,NĐ!AE303,NĐ!AI303)))</f>
        <v>0</v>
      </c>
      <c r="E303">
        <f>SUMPRODUCT((MONTH(CHOOSE({1,2,3,4},NĐ!T303,NĐ!X303,NĐ!AB303,NĐ!AF303))=5)*(CHOOSE({1,2,3,4},NĐ!W303,NĐ!AA303,NĐ!AE303,NĐ!AI303)))</f>
        <v>0</v>
      </c>
      <c r="F303">
        <f>SUMPRODUCT((MONTH(CHOOSE({1,2,3,4},NĐ!T303,NĐ!X303,NĐ!AB303,NĐ!AF303))=6)*(CHOOSE({1,2,3,4},NĐ!W303,NĐ!AA303,NĐ!AE303,NĐ!AI303)))</f>
        <v>0</v>
      </c>
      <c r="G303">
        <f>SUMPRODUCT((MONTH(CHOOSE({1,2,3,4},NĐ!T303,NĐ!X303,NĐ!AB303,NĐ!AF303))=7)*(CHOOSE({1,2,3,4},NĐ!W303,NĐ!AA303,NĐ!AE303,NĐ!AI303)))</f>
        <v>0</v>
      </c>
      <c r="H303">
        <f>SUMPRODUCT((MONTH(CHOOSE({1,2,3,4},NĐ!T303,NĐ!X303,NĐ!AB303,NĐ!AF303))=8)*(CHOOSE({1,2,3,4},NĐ!W303,NĐ!AA303,NĐ!AE303,NĐ!AI303)))</f>
        <v>0</v>
      </c>
      <c r="I303">
        <f>SUMPRODUCT((MONTH(CHOOSE({1,2,3,4},NĐ!T303,NĐ!X303,NĐ!AB303,NĐ!AF303))=9)*(CHOOSE({1,2,3,4},NĐ!W303,NĐ!AA303,NĐ!AE303,NĐ!AI303)))</f>
        <v>0</v>
      </c>
      <c r="J303">
        <f>SUMPRODUCT((MONTH(CHOOSE({1,2,3,4},NĐ!T303,NĐ!X303,NĐ!AB303,NĐ!AF303))=10)*(CHOOSE({1,2,3,4},NĐ!W303,NĐ!AA303,NĐ!AE303,NĐ!AI303)))</f>
        <v>0</v>
      </c>
      <c r="K303">
        <f>SUMPRODUCT((MONTH(CHOOSE({1,2,3,4},NĐ!T303,NĐ!X303,NĐ!AB303,NĐ!AF303))=11)*(CHOOSE({1,2,3,4},NĐ!W303,NĐ!AA303,NĐ!AE303,NĐ!AI303)))</f>
        <v>0</v>
      </c>
      <c r="L303">
        <f>SUMPRODUCT((MONTH(CHOOSE({1,2,3,4},NĐ!T303,NĐ!X303,NĐ!AB303,NĐ!AF303))=12)*(CHOOSE({1,2,3,4},NĐ!W303,NĐ!AA303,NĐ!AE303,NĐ!AI303)))</f>
        <v>0</v>
      </c>
    </row>
    <row r="304" spans="1:12">
      <c r="A304">
        <f>SUMPRODUCT((MONTH(CHOOSE({1,2,3,4},NĐ!T304,NĐ!X304,NĐ!AB304,NĐ!AF304))=1)*(CHOOSE({1,2,3,4},NĐ!W304,NĐ!AA304,NĐ!AE304,NĐ!AI304)))</f>
        <v>0</v>
      </c>
      <c r="B304">
        <f>SUMPRODUCT((MONTH(CHOOSE({1,2,3,4},NĐ!T304,NĐ!X304,NĐ!AB304,NĐ!AF304))=2)*(CHOOSE({1,2,3,4},NĐ!W304,NĐ!AA304,NĐ!AE304,NĐ!AI304)))</f>
        <v>0</v>
      </c>
      <c r="C304">
        <f>SUMPRODUCT((MONTH(CHOOSE({1,2,3,4},NĐ!T304,NĐ!X304,NĐ!AB304,NĐ!AF304))=3)*(CHOOSE({1,2,3,4},NĐ!W304,NĐ!AA304,NĐ!AE304,NĐ!AI304)))</f>
        <v>0</v>
      </c>
      <c r="D304">
        <f>SUMPRODUCT((MONTH(CHOOSE({1,2,3,4},NĐ!T304,NĐ!X304,NĐ!AB304,NĐ!AF304))=4)*(CHOOSE({1,2,3,4},NĐ!W304,NĐ!AA304,NĐ!AE304,NĐ!AI304)))</f>
        <v>0</v>
      </c>
      <c r="E304">
        <f>SUMPRODUCT((MONTH(CHOOSE({1,2,3,4},NĐ!T304,NĐ!X304,NĐ!AB304,NĐ!AF304))=5)*(CHOOSE({1,2,3,4},NĐ!W304,NĐ!AA304,NĐ!AE304,NĐ!AI304)))</f>
        <v>0</v>
      </c>
      <c r="F304">
        <f>SUMPRODUCT((MONTH(CHOOSE({1,2,3,4},NĐ!T304,NĐ!X304,NĐ!AB304,NĐ!AF304))=6)*(CHOOSE({1,2,3,4},NĐ!W304,NĐ!AA304,NĐ!AE304,NĐ!AI304)))</f>
        <v>0</v>
      </c>
      <c r="G304">
        <f>SUMPRODUCT((MONTH(CHOOSE({1,2,3,4},NĐ!T304,NĐ!X304,NĐ!AB304,NĐ!AF304))=7)*(CHOOSE({1,2,3,4},NĐ!W304,NĐ!AA304,NĐ!AE304,NĐ!AI304)))</f>
        <v>0</v>
      </c>
      <c r="H304">
        <f>SUMPRODUCT((MONTH(CHOOSE({1,2,3,4},NĐ!T304,NĐ!X304,NĐ!AB304,NĐ!AF304))=8)*(CHOOSE({1,2,3,4},NĐ!W304,NĐ!AA304,NĐ!AE304,NĐ!AI304)))</f>
        <v>0</v>
      </c>
      <c r="I304">
        <f>SUMPRODUCT((MONTH(CHOOSE({1,2,3,4},NĐ!T304,NĐ!X304,NĐ!AB304,NĐ!AF304))=9)*(CHOOSE({1,2,3,4},NĐ!W304,NĐ!AA304,NĐ!AE304,NĐ!AI304)))</f>
        <v>0</v>
      </c>
      <c r="J304">
        <f>SUMPRODUCT((MONTH(CHOOSE({1,2,3,4},NĐ!T304,NĐ!X304,NĐ!AB304,NĐ!AF304))=10)*(CHOOSE({1,2,3,4},NĐ!W304,NĐ!AA304,NĐ!AE304,NĐ!AI304)))</f>
        <v>0</v>
      </c>
      <c r="K304">
        <f>SUMPRODUCT((MONTH(CHOOSE({1,2,3,4},NĐ!T304,NĐ!X304,NĐ!AB304,NĐ!AF304))=11)*(CHOOSE({1,2,3,4},NĐ!W304,NĐ!AA304,NĐ!AE304,NĐ!AI304)))</f>
        <v>0</v>
      </c>
      <c r="L304">
        <f>SUMPRODUCT((MONTH(CHOOSE({1,2,3,4},NĐ!T304,NĐ!X304,NĐ!AB304,NĐ!AF304))=12)*(CHOOSE({1,2,3,4},NĐ!W304,NĐ!AA304,NĐ!AE304,NĐ!AI304)))</f>
        <v>0</v>
      </c>
    </row>
    <row r="305" spans="1:12">
      <c r="A305">
        <f>SUMPRODUCT((MONTH(CHOOSE({1,2,3,4},NĐ!T305,NĐ!X305,NĐ!AB305,NĐ!AF305))=1)*(CHOOSE({1,2,3,4},NĐ!W305,NĐ!AA305,NĐ!AE305,NĐ!AI305)))</f>
        <v>0</v>
      </c>
      <c r="B305">
        <f>SUMPRODUCT((MONTH(CHOOSE({1,2,3,4},NĐ!T305,NĐ!X305,NĐ!AB305,NĐ!AF305))=2)*(CHOOSE({1,2,3,4},NĐ!W305,NĐ!AA305,NĐ!AE305,NĐ!AI305)))</f>
        <v>0</v>
      </c>
      <c r="C305">
        <f>SUMPRODUCT((MONTH(CHOOSE({1,2,3,4},NĐ!T305,NĐ!X305,NĐ!AB305,NĐ!AF305))=3)*(CHOOSE({1,2,3,4},NĐ!W305,NĐ!AA305,NĐ!AE305,NĐ!AI305)))</f>
        <v>0</v>
      </c>
      <c r="D305">
        <f>SUMPRODUCT((MONTH(CHOOSE({1,2,3,4},NĐ!T305,NĐ!X305,NĐ!AB305,NĐ!AF305))=4)*(CHOOSE({1,2,3,4},NĐ!W305,NĐ!AA305,NĐ!AE305,NĐ!AI305)))</f>
        <v>0</v>
      </c>
      <c r="E305">
        <f>SUMPRODUCT((MONTH(CHOOSE({1,2,3,4},NĐ!T305,NĐ!X305,NĐ!AB305,NĐ!AF305))=5)*(CHOOSE({1,2,3,4},NĐ!W305,NĐ!AA305,NĐ!AE305,NĐ!AI305)))</f>
        <v>0</v>
      </c>
      <c r="F305">
        <f>SUMPRODUCT((MONTH(CHOOSE({1,2,3,4},NĐ!T305,NĐ!X305,NĐ!AB305,NĐ!AF305))=6)*(CHOOSE({1,2,3,4},NĐ!W305,NĐ!AA305,NĐ!AE305,NĐ!AI305)))</f>
        <v>0</v>
      </c>
      <c r="G305">
        <f>SUMPRODUCT((MONTH(CHOOSE({1,2,3,4},NĐ!T305,NĐ!X305,NĐ!AB305,NĐ!AF305))=7)*(CHOOSE({1,2,3,4},NĐ!W305,NĐ!AA305,NĐ!AE305,NĐ!AI305)))</f>
        <v>0</v>
      </c>
      <c r="H305">
        <f>SUMPRODUCT((MONTH(CHOOSE({1,2,3,4},NĐ!T305,NĐ!X305,NĐ!AB305,NĐ!AF305))=8)*(CHOOSE({1,2,3,4},NĐ!W305,NĐ!AA305,NĐ!AE305,NĐ!AI305)))</f>
        <v>0</v>
      </c>
      <c r="I305">
        <f>SUMPRODUCT((MONTH(CHOOSE({1,2,3,4},NĐ!T305,NĐ!X305,NĐ!AB305,NĐ!AF305))=9)*(CHOOSE({1,2,3,4},NĐ!W305,NĐ!AA305,NĐ!AE305,NĐ!AI305)))</f>
        <v>0</v>
      </c>
      <c r="J305">
        <f>SUMPRODUCT((MONTH(CHOOSE({1,2,3,4},NĐ!T305,NĐ!X305,NĐ!AB305,NĐ!AF305))=10)*(CHOOSE({1,2,3,4},NĐ!W305,NĐ!AA305,NĐ!AE305,NĐ!AI305)))</f>
        <v>0</v>
      </c>
      <c r="K305">
        <f>SUMPRODUCT((MONTH(CHOOSE({1,2,3,4},NĐ!T305,NĐ!X305,NĐ!AB305,NĐ!AF305))=11)*(CHOOSE({1,2,3,4},NĐ!W305,NĐ!AA305,NĐ!AE305,NĐ!AI305)))</f>
        <v>0</v>
      </c>
      <c r="L305">
        <f>SUMPRODUCT((MONTH(CHOOSE({1,2,3,4},NĐ!T305,NĐ!X305,NĐ!AB305,NĐ!AF305))=12)*(CHOOSE({1,2,3,4},NĐ!W305,NĐ!AA305,NĐ!AE305,NĐ!AI305)))</f>
        <v>0</v>
      </c>
    </row>
    <row r="306" spans="1:12">
      <c r="A306">
        <f>SUMPRODUCT((MONTH(CHOOSE({1,2,3,4},NĐ!T306,NĐ!X306,NĐ!AB306,NĐ!AF306))=1)*(CHOOSE({1,2,3,4},NĐ!W306,NĐ!AA306,NĐ!AE306,NĐ!AI306)))</f>
        <v>0</v>
      </c>
      <c r="B306">
        <f>SUMPRODUCT((MONTH(CHOOSE({1,2,3,4},NĐ!T306,NĐ!X306,NĐ!AB306,NĐ!AF306))=2)*(CHOOSE({1,2,3,4},NĐ!W306,NĐ!AA306,NĐ!AE306,NĐ!AI306)))</f>
        <v>0</v>
      </c>
      <c r="C306">
        <f>SUMPRODUCT((MONTH(CHOOSE({1,2,3,4},NĐ!T306,NĐ!X306,NĐ!AB306,NĐ!AF306))=3)*(CHOOSE({1,2,3,4},NĐ!W306,NĐ!AA306,NĐ!AE306,NĐ!AI306)))</f>
        <v>0</v>
      </c>
      <c r="D306">
        <f>SUMPRODUCT((MONTH(CHOOSE({1,2,3,4},NĐ!T306,NĐ!X306,NĐ!AB306,NĐ!AF306))=4)*(CHOOSE({1,2,3,4},NĐ!W306,NĐ!AA306,NĐ!AE306,NĐ!AI306)))</f>
        <v>0</v>
      </c>
      <c r="E306">
        <f>SUMPRODUCT((MONTH(CHOOSE({1,2,3,4},NĐ!T306,NĐ!X306,NĐ!AB306,NĐ!AF306))=5)*(CHOOSE({1,2,3,4},NĐ!W306,NĐ!AA306,NĐ!AE306,NĐ!AI306)))</f>
        <v>0</v>
      </c>
      <c r="F306">
        <f>SUMPRODUCT((MONTH(CHOOSE({1,2,3,4},NĐ!T306,NĐ!X306,NĐ!AB306,NĐ!AF306))=6)*(CHOOSE({1,2,3,4},NĐ!W306,NĐ!AA306,NĐ!AE306,NĐ!AI306)))</f>
        <v>0</v>
      </c>
      <c r="G306">
        <f>SUMPRODUCT((MONTH(CHOOSE({1,2,3,4},NĐ!T306,NĐ!X306,NĐ!AB306,NĐ!AF306))=7)*(CHOOSE({1,2,3,4},NĐ!W306,NĐ!AA306,NĐ!AE306,NĐ!AI306)))</f>
        <v>0</v>
      </c>
      <c r="H306">
        <f>SUMPRODUCT((MONTH(CHOOSE({1,2,3,4},NĐ!T306,NĐ!X306,NĐ!AB306,NĐ!AF306))=8)*(CHOOSE({1,2,3,4},NĐ!W306,NĐ!AA306,NĐ!AE306,NĐ!AI306)))</f>
        <v>0</v>
      </c>
      <c r="I306">
        <f>SUMPRODUCT((MONTH(CHOOSE({1,2,3,4},NĐ!T306,NĐ!X306,NĐ!AB306,NĐ!AF306))=9)*(CHOOSE({1,2,3,4},NĐ!W306,NĐ!AA306,NĐ!AE306,NĐ!AI306)))</f>
        <v>0</v>
      </c>
      <c r="J306">
        <f>SUMPRODUCT((MONTH(CHOOSE({1,2,3,4},NĐ!T306,NĐ!X306,NĐ!AB306,NĐ!AF306))=10)*(CHOOSE({1,2,3,4},NĐ!W306,NĐ!AA306,NĐ!AE306,NĐ!AI306)))</f>
        <v>0</v>
      </c>
      <c r="K306">
        <f>SUMPRODUCT((MONTH(CHOOSE({1,2,3,4},NĐ!T306,NĐ!X306,NĐ!AB306,NĐ!AF306))=11)*(CHOOSE({1,2,3,4},NĐ!W306,NĐ!AA306,NĐ!AE306,NĐ!AI306)))</f>
        <v>0</v>
      </c>
      <c r="L306">
        <f>SUMPRODUCT((MONTH(CHOOSE({1,2,3,4},NĐ!T306,NĐ!X306,NĐ!AB306,NĐ!AF306))=12)*(CHOOSE({1,2,3,4},NĐ!W306,NĐ!AA306,NĐ!AE306,NĐ!AI306)))</f>
        <v>0</v>
      </c>
    </row>
    <row r="307" spans="1:12">
      <c r="A307">
        <f>SUMPRODUCT((MONTH(CHOOSE({1,2,3,4},NĐ!T307,NĐ!X307,NĐ!AB307,NĐ!AF307))=1)*(CHOOSE({1,2,3,4},NĐ!W307,NĐ!AA307,NĐ!AE307,NĐ!AI307)))</f>
        <v>0</v>
      </c>
      <c r="B307">
        <f>SUMPRODUCT((MONTH(CHOOSE({1,2,3,4},NĐ!T307,NĐ!X307,NĐ!AB307,NĐ!AF307))=2)*(CHOOSE({1,2,3,4},NĐ!W307,NĐ!AA307,NĐ!AE307,NĐ!AI307)))</f>
        <v>0</v>
      </c>
      <c r="C307">
        <f>SUMPRODUCT((MONTH(CHOOSE({1,2,3,4},NĐ!T307,NĐ!X307,NĐ!AB307,NĐ!AF307))=3)*(CHOOSE({1,2,3,4},NĐ!W307,NĐ!AA307,NĐ!AE307,NĐ!AI307)))</f>
        <v>0</v>
      </c>
      <c r="D307">
        <f>SUMPRODUCT((MONTH(CHOOSE({1,2,3,4},NĐ!T307,NĐ!X307,NĐ!AB307,NĐ!AF307))=4)*(CHOOSE({1,2,3,4},NĐ!W307,NĐ!AA307,NĐ!AE307,NĐ!AI307)))</f>
        <v>0</v>
      </c>
      <c r="E307">
        <f>SUMPRODUCT((MONTH(CHOOSE({1,2,3,4},NĐ!T307,NĐ!X307,NĐ!AB307,NĐ!AF307))=5)*(CHOOSE({1,2,3,4},NĐ!W307,NĐ!AA307,NĐ!AE307,NĐ!AI307)))</f>
        <v>0</v>
      </c>
      <c r="F307">
        <f>SUMPRODUCT((MONTH(CHOOSE({1,2,3,4},NĐ!T307,NĐ!X307,NĐ!AB307,NĐ!AF307))=6)*(CHOOSE({1,2,3,4},NĐ!W307,NĐ!AA307,NĐ!AE307,NĐ!AI307)))</f>
        <v>0</v>
      </c>
      <c r="G307">
        <f>SUMPRODUCT((MONTH(CHOOSE({1,2,3,4},NĐ!T307,NĐ!X307,NĐ!AB307,NĐ!AF307))=7)*(CHOOSE({1,2,3,4},NĐ!W307,NĐ!AA307,NĐ!AE307,NĐ!AI307)))</f>
        <v>0</v>
      </c>
      <c r="H307">
        <f>SUMPRODUCT((MONTH(CHOOSE({1,2,3,4},NĐ!T307,NĐ!X307,NĐ!AB307,NĐ!AF307))=8)*(CHOOSE({1,2,3,4},NĐ!W307,NĐ!AA307,NĐ!AE307,NĐ!AI307)))</f>
        <v>0</v>
      </c>
      <c r="I307">
        <f>SUMPRODUCT((MONTH(CHOOSE({1,2,3,4},NĐ!T307,NĐ!X307,NĐ!AB307,NĐ!AF307))=9)*(CHOOSE({1,2,3,4},NĐ!W307,NĐ!AA307,NĐ!AE307,NĐ!AI307)))</f>
        <v>0</v>
      </c>
      <c r="J307">
        <f>SUMPRODUCT((MONTH(CHOOSE({1,2,3,4},NĐ!T307,NĐ!X307,NĐ!AB307,NĐ!AF307))=10)*(CHOOSE({1,2,3,4},NĐ!W307,NĐ!AA307,NĐ!AE307,NĐ!AI307)))</f>
        <v>0</v>
      </c>
      <c r="K307">
        <f>SUMPRODUCT((MONTH(CHOOSE({1,2,3,4},NĐ!T307,NĐ!X307,NĐ!AB307,NĐ!AF307))=11)*(CHOOSE({1,2,3,4},NĐ!W307,NĐ!AA307,NĐ!AE307,NĐ!AI307)))</f>
        <v>0</v>
      </c>
      <c r="L307">
        <f>SUMPRODUCT((MONTH(CHOOSE({1,2,3,4},NĐ!T307,NĐ!X307,NĐ!AB307,NĐ!AF307))=12)*(CHOOSE({1,2,3,4},NĐ!W307,NĐ!AA307,NĐ!AE307,NĐ!AI307)))</f>
        <v>0</v>
      </c>
    </row>
    <row r="308" spans="1:12">
      <c r="A308">
        <f>SUMPRODUCT((MONTH(CHOOSE({1,2,3,4},NĐ!T308,NĐ!X308,NĐ!AB308,NĐ!AF308))=1)*(CHOOSE({1,2,3,4},NĐ!W308,NĐ!AA308,NĐ!AE308,NĐ!AI308)))</f>
        <v>0</v>
      </c>
      <c r="B308">
        <f>SUMPRODUCT((MONTH(CHOOSE({1,2,3,4},NĐ!T308,NĐ!X308,NĐ!AB308,NĐ!AF308))=2)*(CHOOSE({1,2,3,4},NĐ!W308,NĐ!AA308,NĐ!AE308,NĐ!AI308)))</f>
        <v>0</v>
      </c>
      <c r="C308">
        <f>SUMPRODUCT((MONTH(CHOOSE({1,2,3,4},NĐ!T308,NĐ!X308,NĐ!AB308,NĐ!AF308))=3)*(CHOOSE({1,2,3,4},NĐ!W308,NĐ!AA308,NĐ!AE308,NĐ!AI308)))</f>
        <v>0</v>
      </c>
      <c r="D308">
        <f>SUMPRODUCT((MONTH(CHOOSE({1,2,3,4},NĐ!T308,NĐ!X308,NĐ!AB308,NĐ!AF308))=4)*(CHOOSE({1,2,3,4},NĐ!W308,NĐ!AA308,NĐ!AE308,NĐ!AI308)))</f>
        <v>0</v>
      </c>
      <c r="E308">
        <f>SUMPRODUCT((MONTH(CHOOSE({1,2,3,4},NĐ!T308,NĐ!X308,NĐ!AB308,NĐ!AF308))=5)*(CHOOSE({1,2,3,4},NĐ!W308,NĐ!AA308,NĐ!AE308,NĐ!AI308)))</f>
        <v>0</v>
      </c>
      <c r="F308">
        <f>SUMPRODUCT((MONTH(CHOOSE({1,2,3,4},NĐ!T308,NĐ!X308,NĐ!AB308,NĐ!AF308))=6)*(CHOOSE({1,2,3,4},NĐ!W308,NĐ!AA308,NĐ!AE308,NĐ!AI308)))</f>
        <v>0</v>
      </c>
      <c r="G308">
        <f>SUMPRODUCT((MONTH(CHOOSE({1,2,3,4},NĐ!T308,NĐ!X308,NĐ!AB308,NĐ!AF308))=7)*(CHOOSE({1,2,3,4},NĐ!W308,NĐ!AA308,NĐ!AE308,NĐ!AI308)))</f>
        <v>0</v>
      </c>
      <c r="H308">
        <f>SUMPRODUCT((MONTH(CHOOSE({1,2,3,4},NĐ!T308,NĐ!X308,NĐ!AB308,NĐ!AF308))=8)*(CHOOSE({1,2,3,4},NĐ!W308,NĐ!AA308,NĐ!AE308,NĐ!AI308)))</f>
        <v>0</v>
      </c>
      <c r="I308">
        <f>SUMPRODUCT((MONTH(CHOOSE({1,2,3,4},NĐ!T308,NĐ!X308,NĐ!AB308,NĐ!AF308))=9)*(CHOOSE({1,2,3,4},NĐ!W308,NĐ!AA308,NĐ!AE308,NĐ!AI308)))</f>
        <v>0</v>
      </c>
      <c r="J308">
        <f>SUMPRODUCT((MONTH(CHOOSE({1,2,3,4},NĐ!T308,NĐ!X308,NĐ!AB308,NĐ!AF308))=10)*(CHOOSE({1,2,3,4},NĐ!W308,NĐ!AA308,NĐ!AE308,NĐ!AI308)))</f>
        <v>0</v>
      </c>
      <c r="K308">
        <f>SUMPRODUCT((MONTH(CHOOSE({1,2,3,4},NĐ!T308,NĐ!X308,NĐ!AB308,NĐ!AF308))=11)*(CHOOSE({1,2,3,4},NĐ!W308,NĐ!AA308,NĐ!AE308,NĐ!AI308)))</f>
        <v>0</v>
      </c>
      <c r="L308">
        <f>SUMPRODUCT((MONTH(CHOOSE({1,2,3,4},NĐ!T308,NĐ!X308,NĐ!AB308,NĐ!AF308))=12)*(CHOOSE({1,2,3,4},NĐ!W308,NĐ!AA308,NĐ!AE308,NĐ!AI308)))</f>
        <v>0</v>
      </c>
    </row>
    <row r="309" spans="1:12">
      <c r="A309">
        <f>SUMPRODUCT((MONTH(CHOOSE({1,2,3,4},NĐ!T309,NĐ!X309,NĐ!AB309,NĐ!AF309))=1)*(CHOOSE({1,2,3,4},NĐ!W309,NĐ!AA309,NĐ!AE309,NĐ!AI309)))</f>
        <v>0</v>
      </c>
      <c r="B309">
        <f>SUMPRODUCT((MONTH(CHOOSE({1,2,3,4},NĐ!T309,NĐ!X309,NĐ!AB309,NĐ!AF309))=2)*(CHOOSE({1,2,3,4},NĐ!W309,NĐ!AA309,NĐ!AE309,NĐ!AI309)))</f>
        <v>0</v>
      </c>
      <c r="C309">
        <f>SUMPRODUCT((MONTH(CHOOSE({1,2,3,4},NĐ!T309,NĐ!X309,NĐ!AB309,NĐ!AF309))=3)*(CHOOSE({1,2,3,4},NĐ!W309,NĐ!AA309,NĐ!AE309,NĐ!AI309)))</f>
        <v>0</v>
      </c>
      <c r="D309">
        <f>SUMPRODUCT((MONTH(CHOOSE({1,2,3,4},NĐ!T309,NĐ!X309,NĐ!AB309,NĐ!AF309))=4)*(CHOOSE({1,2,3,4},NĐ!W309,NĐ!AA309,NĐ!AE309,NĐ!AI309)))</f>
        <v>0</v>
      </c>
      <c r="E309">
        <f>SUMPRODUCT((MONTH(CHOOSE({1,2,3,4},NĐ!T309,NĐ!X309,NĐ!AB309,NĐ!AF309))=5)*(CHOOSE({1,2,3,4},NĐ!W309,NĐ!AA309,NĐ!AE309,NĐ!AI309)))</f>
        <v>0</v>
      </c>
      <c r="F309">
        <f>SUMPRODUCT((MONTH(CHOOSE({1,2,3,4},NĐ!T309,NĐ!X309,NĐ!AB309,NĐ!AF309))=6)*(CHOOSE({1,2,3,4},NĐ!W309,NĐ!AA309,NĐ!AE309,NĐ!AI309)))</f>
        <v>0</v>
      </c>
      <c r="G309">
        <f>SUMPRODUCT((MONTH(CHOOSE({1,2,3,4},NĐ!T309,NĐ!X309,NĐ!AB309,NĐ!AF309))=7)*(CHOOSE({1,2,3,4},NĐ!W309,NĐ!AA309,NĐ!AE309,NĐ!AI309)))</f>
        <v>0</v>
      </c>
      <c r="H309">
        <f>SUMPRODUCT((MONTH(CHOOSE({1,2,3,4},NĐ!T309,NĐ!X309,NĐ!AB309,NĐ!AF309))=8)*(CHOOSE({1,2,3,4},NĐ!W309,NĐ!AA309,NĐ!AE309,NĐ!AI309)))</f>
        <v>0</v>
      </c>
      <c r="I309">
        <f>SUMPRODUCT((MONTH(CHOOSE({1,2,3,4},NĐ!T309,NĐ!X309,NĐ!AB309,NĐ!AF309))=9)*(CHOOSE({1,2,3,4},NĐ!W309,NĐ!AA309,NĐ!AE309,NĐ!AI309)))</f>
        <v>0</v>
      </c>
      <c r="J309">
        <f>SUMPRODUCT((MONTH(CHOOSE({1,2,3,4},NĐ!T309,NĐ!X309,NĐ!AB309,NĐ!AF309))=10)*(CHOOSE({1,2,3,4},NĐ!W309,NĐ!AA309,NĐ!AE309,NĐ!AI309)))</f>
        <v>0</v>
      </c>
      <c r="K309">
        <f>SUMPRODUCT((MONTH(CHOOSE({1,2,3,4},NĐ!T309,NĐ!X309,NĐ!AB309,NĐ!AF309))=11)*(CHOOSE({1,2,3,4},NĐ!W309,NĐ!AA309,NĐ!AE309,NĐ!AI309)))</f>
        <v>0</v>
      </c>
      <c r="L309">
        <f>SUMPRODUCT((MONTH(CHOOSE({1,2,3,4},NĐ!T309,NĐ!X309,NĐ!AB309,NĐ!AF309))=12)*(CHOOSE({1,2,3,4},NĐ!W309,NĐ!AA309,NĐ!AE309,NĐ!AI309)))</f>
        <v>0</v>
      </c>
    </row>
    <row r="310" spans="1:12">
      <c r="A310">
        <f>SUMPRODUCT((MONTH(CHOOSE({1,2,3,4},NĐ!T310,NĐ!X310,NĐ!AB310,NĐ!AF310))=1)*(CHOOSE({1,2,3,4},NĐ!W310,NĐ!AA310,NĐ!AE310,NĐ!AI310)))</f>
        <v>0</v>
      </c>
      <c r="B310">
        <f>SUMPRODUCT((MONTH(CHOOSE({1,2,3,4},NĐ!T310,NĐ!X310,NĐ!AB310,NĐ!AF310))=2)*(CHOOSE({1,2,3,4},NĐ!W310,NĐ!AA310,NĐ!AE310,NĐ!AI310)))</f>
        <v>0</v>
      </c>
      <c r="C310">
        <f>SUMPRODUCT((MONTH(CHOOSE({1,2,3,4},NĐ!T310,NĐ!X310,NĐ!AB310,NĐ!AF310))=3)*(CHOOSE({1,2,3,4},NĐ!W310,NĐ!AA310,NĐ!AE310,NĐ!AI310)))</f>
        <v>0</v>
      </c>
      <c r="D310">
        <f>SUMPRODUCT((MONTH(CHOOSE({1,2,3,4},NĐ!T310,NĐ!X310,NĐ!AB310,NĐ!AF310))=4)*(CHOOSE({1,2,3,4},NĐ!W310,NĐ!AA310,NĐ!AE310,NĐ!AI310)))</f>
        <v>0</v>
      </c>
      <c r="E310">
        <f>SUMPRODUCT((MONTH(CHOOSE({1,2,3,4},NĐ!T310,NĐ!X310,NĐ!AB310,NĐ!AF310))=5)*(CHOOSE({1,2,3,4},NĐ!W310,NĐ!AA310,NĐ!AE310,NĐ!AI310)))</f>
        <v>0</v>
      </c>
      <c r="F310">
        <f>SUMPRODUCT((MONTH(CHOOSE({1,2,3,4},NĐ!T310,NĐ!X310,NĐ!AB310,NĐ!AF310))=6)*(CHOOSE({1,2,3,4},NĐ!W310,NĐ!AA310,NĐ!AE310,NĐ!AI310)))</f>
        <v>0</v>
      </c>
      <c r="G310">
        <f>SUMPRODUCT((MONTH(CHOOSE({1,2,3,4},NĐ!T310,NĐ!X310,NĐ!AB310,NĐ!AF310))=7)*(CHOOSE({1,2,3,4},NĐ!W310,NĐ!AA310,NĐ!AE310,NĐ!AI310)))</f>
        <v>0</v>
      </c>
      <c r="H310">
        <f>SUMPRODUCT((MONTH(CHOOSE({1,2,3,4},NĐ!T310,NĐ!X310,NĐ!AB310,NĐ!AF310))=8)*(CHOOSE({1,2,3,4},NĐ!W310,NĐ!AA310,NĐ!AE310,NĐ!AI310)))</f>
        <v>0</v>
      </c>
      <c r="I310">
        <f>SUMPRODUCT((MONTH(CHOOSE({1,2,3,4},NĐ!T310,NĐ!X310,NĐ!AB310,NĐ!AF310))=9)*(CHOOSE({1,2,3,4},NĐ!W310,NĐ!AA310,NĐ!AE310,NĐ!AI310)))</f>
        <v>0</v>
      </c>
      <c r="J310">
        <f>SUMPRODUCT((MONTH(CHOOSE({1,2,3,4},NĐ!T310,NĐ!X310,NĐ!AB310,NĐ!AF310))=10)*(CHOOSE({1,2,3,4},NĐ!W310,NĐ!AA310,NĐ!AE310,NĐ!AI310)))</f>
        <v>0</v>
      </c>
      <c r="K310">
        <f>SUMPRODUCT((MONTH(CHOOSE({1,2,3,4},NĐ!T310,NĐ!X310,NĐ!AB310,NĐ!AF310))=11)*(CHOOSE({1,2,3,4},NĐ!W310,NĐ!AA310,NĐ!AE310,NĐ!AI310)))</f>
        <v>0</v>
      </c>
      <c r="L310">
        <f>SUMPRODUCT((MONTH(CHOOSE({1,2,3,4},NĐ!T310,NĐ!X310,NĐ!AB310,NĐ!AF310))=12)*(CHOOSE({1,2,3,4},NĐ!W310,NĐ!AA310,NĐ!AE310,NĐ!AI310)))</f>
        <v>0</v>
      </c>
    </row>
    <row r="311" spans="1:12">
      <c r="A311">
        <f>SUMPRODUCT((MONTH(CHOOSE({1,2,3,4},NĐ!T311,NĐ!X311,NĐ!AB311,NĐ!AF311))=1)*(CHOOSE({1,2,3,4},NĐ!W311,NĐ!AA311,NĐ!AE311,NĐ!AI311)))</f>
        <v>0</v>
      </c>
      <c r="B311">
        <f>SUMPRODUCT((MONTH(CHOOSE({1,2,3,4},NĐ!T311,NĐ!X311,NĐ!AB311,NĐ!AF311))=2)*(CHOOSE({1,2,3,4},NĐ!W311,NĐ!AA311,NĐ!AE311,NĐ!AI311)))</f>
        <v>0</v>
      </c>
      <c r="C311">
        <f>SUMPRODUCT((MONTH(CHOOSE({1,2,3,4},NĐ!T311,NĐ!X311,NĐ!AB311,NĐ!AF311))=3)*(CHOOSE({1,2,3,4},NĐ!W311,NĐ!AA311,NĐ!AE311,NĐ!AI311)))</f>
        <v>0</v>
      </c>
      <c r="D311">
        <f>SUMPRODUCT((MONTH(CHOOSE({1,2,3,4},NĐ!T311,NĐ!X311,NĐ!AB311,NĐ!AF311))=4)*(CHOOSE({1,2,3,4},NĐ!W311,NĐ!AA311,NĐ!AE311,NĐ!AI311)))</f>
        <v>0</v>
      </c>
      <c r="E311">
        <f>SUMPRODUCT((MONTH(CHOOSE({1,2,3,4},NĐ!T311,NĐ!X311,NĐ!AB311,NĐ!AF311))=5)*(CHOOSE({1,2,3,4},NĐ!W311,NĐ!AA311,NĐ!AE311,NĐ!AI311)))</f>
        <v>0</v>
      </c>
      <c r="F311">
        <f>SUMPRODUCT((MONTH(CHOOSE({1,2,3,4},NĐ!T311,NĐ!X311,NĐ!AB311,NĐ!AF311))=6)*(CHOOSE({1,2,3,4},NĐ!W311,NĐ!AA311,NĐ!AE311,NĐ!AI311)))</f>
        <v>0</v>
      </c>
      <c r="G311">
        <f>SUMPRODUCT((MONTH(CHOOSE({1,2,3,4},NĐ!T311,NĐ!X311,NĐ!AB311,NĐ!AF311))=7)*(CHOOSE({1,2,3,4},NĐ!W311,NĐ!AA311,NĐ!AE311,NĐ!AI311)))</f>
        <v>0</v>
      </c>
      <c r="H311">
        <f>SUMPRODUCT((MONTH(CHOOSE({1,2,3,4},NĐ!T311,NĐ!X311,NĐ!AB311,NĐ!AF311))=8)*(CHOOSE({1,2,3,4},NĐ!W311,NĐ!AA311,NĐ!AE311,NĐ!AI311)))</f>
        <v>0</v>
      </c>
      <c r="I311">
        <f>SUMPRODUCT((MONTH(CHOOSE({1,2,3,4},NĐ!T311,NĐ!X311,NĐ!AB311,NĐ!AF311))=9)*(CHOOSE({1,2,3,4},NĐ!W311,NĐ!AA311,NĐ!AE311,NĐ!AI311)))</f>
        <v>0</v>
      </c>
      <c r="J311">
        <f>SUMPRODUCT((MONTH(CHOOSE({1,2,3,4},NĐ!T311,NĐ!X311,NĐ!AB311,NĐ!AF311))=10)*(CHOOSE({1,2,3,4},NĐ!W311,NĐ!AA311,NĐ!AE311,NĐ!AI311)))</f>
        <v>0</v>
      </c>
      <c r="K311">
        <f>SUMPRODUCT((MONTH(CHOOSE({1,2,3,4},NĐ!T311,NĐ!X311,NĐ!AB311,NĐ!AF311))=11)*(CHOOSE({1,2,3,4},NĐ!W311,NĐ!AA311,NĐ!AE311,NĐ!AI311)))</f>
        <v>0</v>
      </c>
      <c r="L311">
        <f>SUMPRODUCT((MONTH(CHOOSE({1,2,3,4},NĐ!T311,NĐ!X311,NĐ!AB311,NĐ!AF311))=12)*(CHOOSE({1,2,3,4},NĐ!W311,NĐ!AA311,NĐ!AE311,NĐ!AI311)))</f>
        <v>0</v>
      </c>
    </row>
    <row r="312" spans="1:12">
      <c r="A312">
        <f>SUMPRODUCT((MONTH(CHOOSE({1,2,3,4},NĐ!T312,NĐ!X312,NĐ!AB312,NĐ!AF312))=1)*(CHOOSE({1,2,3,4},NĐ!W312,NĐ!AA312,NĐ!AE312,NĐ!AI312)))</f>
        <v>0</v>
      </c>
      <c r="B312">
        <f>SUMPRODUCT((MONTH(CHOOSE({1,2,3,4},NĐ!T312,NĐ!X312,NĐ!AB312,NĐ!AF312))=2)*(CHOOSE({1,2,3,4},NĐ!W312,NĐ!AA312,NĐ!AE312,NĐ!AI312)))</f>
        <v>0</v>
      </c>
      <c r="C312">
        <f>SUMPRODUCT((MONTH(CHOOSE({1,2,3,4},NĐ!T312,NĐ!X312,NĐ!AB312,NĐ!AF312))=3)*(CHOOSE({1,2,3,4},NĐ!W312,NĐ!AA312,NĐ!AE312,NĐ!AI312)))</f>
        <v>0</v>
      </c>
      <c r="D312">
        <f>SUMPRODUCT((MONTH(CHOOSE({1,2,3,4},NĐ!T312,NĐ!X312,NĐ!AB312,NĐ!AF312))=4)*(CHOOSE({1,2,3,4},NĐ!W312,NĐ!AA312,NĐ!AE312,NĐ!AI312)))</f>
        <v>0</v>
      </c>
      <c r="E312">
        <f>SUMPRODUCT((MONTH(CHOOSE({1,2,3,4},NĐ!T312,NĐ!X312,NĐ!AB312,NĐ!AF312))=5)*(CHOOSE({1,2,3,4},NĐ!W312,NĐ!AA312,NĐ!AE312,NĐ!AI312)))</f>
        <v>0</v>
      </c>
      <c r="F312">
        <f>SUMPRODUCT((MONTH(CHOOSE({1,2,3,4},NĐ!T312,NĐ!X312,NĐ!AB312,NĐ!AF312))=6)*(CHOOSE({1,2,3,4},NĐ!W312,NĐ!AA312,NĐ!AE312,NĐ!AI312)))</f>
        <v>0</v>
      </c>
      <c r="G312">
        <f>SUMPRODUCT((MONTH(CHOOSE({1,2,3,4},NĐ!T312,NĐ!X312,NĐ!AB312,NĐ!AF312))=7)*(CHOOSE({1,2,3,4},NĐ!W312,NĐ!AA312,NĐ!AE312,NĐ!AI312)))</f>
        <v>0</v>
      </c>
      <c r="H312">
        <f>SUMPRODUCT((MONTH(CHOOSE({1,2,3,4},NĐ!T312,NĐ!X312,NĐ!AB312,NĐ!AF312))=8)*(CHOOSE({1,2,3,4},NĐ!W312,NĐ!AA312,NĐ!AE312,NĐ!AI312)))</f>
        <v>0</v>
      </c>
      <c r="I312">
        <f>SUMPRODUCT((MONTH(CHOOSE({1,2,3,4},NĐ!T312,NĐ!X312,NĐ!AB312,NĐ!AF312))=9)*(CHOOSE({1,2,3,4},NĐ!W312,NĐ!AA312,NĐ!AE312,NĐ!AI312)))</f>
        <v>0</v>
      </c>
      <c r="J312">
        <f>SUMPRODUCT((MONTH(CHOOSE({1,2,3,4},NĐ!T312,NĐ!X312,NĐ!AB312,NĐ!AF312))=10)*(CHOOSE({1,2,3,4},NĐ!W312,NĐ!AA312,NĐ!AE312,NĐ!AI312)))</f>
        <v>0</v>
      </c>
      <c r="K312">
        <f>SUMPRODUCT((MONTH(CHOOSE({1,2,3,4},NĐ!T312,NĐ!X312,NĐ!AB312,NĐ!AF312))=11)*(CHOOSE({1,2,3,4},NĐ!W312,NĐ!AA312,NĐ!AE312,NĐ!AI312)))</f>
        <v>0</v>
      </c>
      <c r="L312">
        <f>SUMPRODUCT((MONTH(CHOOSE({1,2,3,4},NĐ!T312,NĐ!X312,NĐ!AB312,NĐ!AF312))=12)*(CHOOSE({1,2,3,4},NĐ!W312,NĐ!AA312,NĐ!AE312,NĐ!AI312)))</f>
        <v>0</v>
      </c>
    </row>
    <row r="313" spans="1:12">
      <c r="A313">
        <f>SUMPRODUCT((MONTH(CHOOSE({1,2,3,4},NĐ!T313,NĐ!X313,NĐ!AB313,NĐ!AF313))=1)*(CHOOSE({1,2,3,4},NĐ!W313,NĐ!AA313,NĐ!AE313,NĐ!AI313)))</f>
        <v>0</v>
      </c>
      <c r="B313">
        <f>SUMPRODUCT((MONTH(CHOOSE({1,2,3,4},NĐ!T313,NĐ!X313,NĐ!AB313,NĐ!AF313))=2)*(CHOOSE({1,2,3,4},NĐ!W313,NĐ!AA313,NĐ!AE313,NĐ!AI313)))</f>
        <v>0</v>
      </c>
      <c r="C313">
        <f>SUMPRODUCT((MONTH(CHOOSE({1,2,3,4},NĐ!T313,NĐ!X313,NĐ!AB313,NĐ!AF313))=3)*(CHOOSE({1,2,3,4},NĐ!W313,NĐ!AA313,NĐ!AE313,NĐ!AI313)))</f>
        <v>0</v>
      </c>
      <c r="D313">
        <f>SUMPRODUCT((MONTH(CHOOSE({1,2,3,4},NĐ!T313,NĐ!X313,NĐ!AB313,NĐ!AF313))=4)*(CHOOSE({1,2,3,4},NĐ!W313,NĐ!AA313,NĐ!AE313,NĐ!AI313)))</f>
        <v>0</v>
      </c>
      <c r="E313">
        <f>SUMPRODUCT((MONTH(CHOOSE({1,2,3,4},NĐ!T313,NĐ!X313,NĐ!AB313,NĐ!AF313))=5)*(CHOOSE({1,2,3,4},NĐ!W313,NĐ!AA313,NĐ!AE313,NĐ!AI313)))</f>
        <v>0</v>
      </c>
      <c r="F313">
        <f>SUMPRODUCT((MONTH(CHOOSE({1,2,3,4},NĐ!T313,NĐ!X313,NĐ!AB313,NĐ!AF313))=6)*(CHOOSE({1,2,3,4},NĐ!W313,NĐ!AA313,NĐ!AE313,NĐ!AI313)))</f>
        <v>0</v>
      </c>
      <c r="G313">
        <f>SUMPRODUCT((MONTH(CHOOSE({1,2,3,4},NĐ!T313,NĐ!X313,NĐ!AB313,NĐ!AF313))=7)*(CHOOSE({1,2,3,4},NĐ!W313,NĐ!AA313,NĐ!AE313,NĐ!AI313)))</f>
        <v>0</v>
      </c>
      <c r="H313">
        <f>SUMPRODUCT((MONTH(CHOOSE({1,2,3,4},NĐ!T313,NĐ!X313,NĐ!AB313,NĐ!AF313))=8)*(CHOOSE({1,2,3,4},NĐ!W313,NĐ!AA313,NĐ!AE313,NĐ!AI313)))</f>
        <v>0</v>
      </c>
      <c r="I313">
        <f>SUMPRODUCT((MONTH(CHOOSE({1,2,3,4},NĐ!T313,NĐ!X313,NĐ!AB313,NĐ!AF313))=9)*(CHOOSE({1,2,3,4},NĐ!W313,NĐ!AA313,NĐ!AE313,NĐ!AI313)))</f>
        <v>0</v>
      </c>
      <c r="J313">
        <f>SUMPRODUCT((MONTH(CHOOSE({1,2,3,4},NĐ!T313,NĐ!X313,NĐ!AB313,NĐ!AF313))=10)*(CHOOSE({1,2,3,4},NĐ!W313,NĐ!AA313,NĐ!AE313,NĐ!AI313)))</f>
        <v>0</v>
      </c>
      <c r="K313">
        <f>SUMPRODUCT((MONTH(CHOOSE({1,2,3,4},NĐ!T313,NĐ!X313,NĐ!AB313,NĐ!AF313))=11)*(CHOOSE({1,2,3,4},NĐ!W313,NĐ!AA313,NĐ!AE313,NĐ!AI313)))</f>
        <v>0</v>
      </c>
      <c r="L313">
        <f>SUMPRODUCT((MONTH(CHOOSE({1,2,3,4},NĐ!T313,NĐ!X313,NĐ!AB313,NĐ!AF313))=12)*(CHOOSE({1,2,3,4},NĐ!W313,NĐ!AA313,NĐ!AE313,NĐ!AI313)))</f>
        <v>0</v>
      </c>
    </row>
    <row r="314" spans="1:12">
      <c r="A314">
        <f>SUMPRODUCT((MONTH(CHOOSE({1,2,3,4},NĐ!T314,NĐ!X314,NĐ!AB314,NĐ!AF314))=1)*(CHOOSE({1,2,3,4},NĐ!W314,NĐ!AA314,NĐ!AE314,NĐ!AI314)))</f>
        <v>0</v>
      </c>
      <c r="B314">
        <f>SUMPRODUCT((MONTH(CHOOSE({1,2,3,4},NĐ!T314,NĐ!X314,NĐ!AB314,NĐ!AF314))=2)*(CHOOSE({1,2,3,4},NĐ!W314,NĐ!AA314,NĐ!AE314,NĐ!AI314)))</f>
        <v>0</v>
      </c>
      <c r="C314">
        <f>SUMPRODUCT((MONTH(CHOOSE({1,2,3,4},NĐ!T314,NĐ!X314,NĐ!AB314,NĐ!AF314))=3)*(CHOOSE({1,2,3,4},NĐ!W314,NĐ!AA314,NĐ!AE314,NĐ!AI314)))</f>
        <v>0</v>
      </c>
      <c r="D314">
        <f>SUMPRODUCT((MONTH(CHOOSE({1,2,3,4},NĐ!T314,NĐ!X314,NĐ!AB314,NĐ!AF314))=4)*(CHOOSE({1,2,3,4},NĐ!W314,NĐ!AA314,NĐ!AE314,NĐ!AI314)))</f>
        <v>0</v>
      </c>
      <c r="E314">
        <f>SUMPRODUCT((MONTH(CHOOSE({1,2,3,4},NĐ!T314,NĐ!X314,NĐ!AB314,NĐ!AF314))=5)*(CHOOSE({1,2,3,4},NĐ!W314,NĐ!AA314,NĐ!AE314,NĐ!AI314)))</f>
        <v>0</v>
      </c>
      <c r="F314">
        <f>SUMPRODUCT((MONTH(CHOOSE({1,2,3,4},NĐ!T314,NĐ!X314,NĐ!AB314,NĐ!AF314))=6)*(CHOOSE({1,2,3,4},NĐ!W314,NĐ!AA314,NĐ!AE314,NĐ!AI314)))</f>
        <v>0</v>
      </c>
      <c r="G314">
        <f>SUMPRODUCT((MONTH(CHOOSE({1,2,3,4},NĐ!T314,NĐ!X314,NĐ!AB314,NĐ!AF314))=7)*(CHOOSE({1,2,3,4},NĐ!W314,NĐ!AA314,NĐ!AE314,NĐ!AI314)))</f>
        <v>0</v>
      </c>
      <c r="H314">
        <f>SUMPRODUCT((MONTH(CHOOSE({1,2,3,4},NĐ!T314,NĐ!X314,NĐ!AB314,NĐ!AF314))=8)*(CHOOSE({1,2,3,4},NĐ!W314,NĐ!AA314,NĐ!AE314,NĐ!AI314)))</f>
        <v>0</v>
      </c>
      <c r="I314">
        <f>SUMPRODUCT((MONTH(CHOOSE({1,2,3,4},NĐ!T314,NĐ!X314,NĐ!AB314,NĐ!AF314))=9)*(CHOOSE({1,2,3,4},NĐ!W314,NĐ!AA314,NĐ!AE314,NĐ!AI314)))</f>
        <v>0</v>
      </c>
      <c r="J314">
        <f>SUMPRODUCT((MONTH(CHOOSE({1,2,3,4},NĐ!T314,NĐ!X314,NĐ!AB314,NĐ!AF314))=10)*(CHOOSE({1,2,3,4},NĐ!W314,NĐ!AA314,NĐ!AE314,NĐ!AI314)))</f>
        <v>0</v>
      </c>
      <c r="K314">
        <f>SUMPRODUCT((MONTH(CHOOSE({1,2,3,4},NĐ!T314,NĐ!X314,NĐ!AB314,NĐ!AF314))=11)*(CHOOSE({1,2,3,4},NĐ!W314,NĐ!AA314,NĐ!AE314,NĐ!AI314)))</f>
        <v>0</v>
      </c>
      <c r="L314">
        <f>SUMPRODUCT((MONTH(CHOOSE({1,2,3,4},NĐ!T314,NĐ!X314,NĐ!AB314,NĐ!AF314))=12)*(CHOOSE({1,2,3,4},NĐ!W314,NĐ!AA314,NĐ!AE314,NĐ!AI314)))</f>
        <v>0</v>
      </c>
    </row>
    <row r="315" spans="1:12">
      <c r="A315">
        <f>SUMPRODUCT((MONTH(CHOOSE({1,2,3,4},NĐ!T315,NĐ!X315,NĐ!AB315,NĐ!AF315))=1)*(CHOOSE({1,2,3,4},NĐ!W315,NĐ!AA315,NĐ!AE315,NĐ!AI315)))</f>
        <v>0</v>
      </c>
      <c r="B315">
        <f>SUMPRODUCT((MONTH(CHOOSE({1,2,3,4},NĐ!T315,NĐ!X315,NĐ!AB315,NĐ!AF315))=2)*(CHOOSE({1,2,3,4},NĐ!W315,NĐ!AA315,NĐ!AE315,NĐ!AI315)))</f>
        <v>0</v>
      </c>
      <c r="C315">
        <f>SUMPRODUCT((MONTH(CHOOSE({1,2,3,4},NĐ!T315,NĐ!X315,NĐ!AB315,NĐ!AF315))=3)*(CHOOSE({1,2,3,4},NĐ!W315,NĐ!AA315,NĐ!AE315,NĐ!AI315)))</f>
        <v>0</v>
      </c>
      <c r="D315">
        <f>SUMPRODUCT((MONTH(CHOOSE({1,2,3,4},NĐ!T315,NĐ!X315,NĐ!AB315,NĐ!AF315))=4)*(CHOOSE({1,2,3,4},NĐ!W315,NĐ!AA315,NĐ!AE315,NĐ!AI315)))</f>
        <v>0</v>
      </c>
      <c r="E315">
        <f>SUMPRODUCT((MONTH(CHOOSE({1,2,3,4},NĐ!T315,NĐ!X315,NĐ!AB315,NĐ!AF315))=5)*(CHOOSE({1,2,3,4},NĐ!W315,NĐ!AA315,NĐ!AE315,NĐ!AI315)))</f>
        <v>0</v>
      </c>
      <c r="F315">
        <f>SUMPRODUCT((MONTH(CHOOSE({1,2,3,4},NĐ!T315,NĐ!X315,NĐ!AB315,NĐ!AF315))=6)*(CHOOSE({1,2,3,4},NĐ!W315,NĐ!AA315,NĐ!AE315,NĐ!AI315)))</f>
        <v>0</v>
      </c>
      <c r="G315">
        <f>SUMPRODUCT((MONTH(CHOOSE({1,2,3,4},NĐ!T315,NĐ!X315,NĐ!AB315,NĐ!AF315))=7)*(CHOOSE({1,2,3,4},NĐ!W315,NĐ!AA315,NĐ!AE315,NĐ!AI315)))</f>
        <v>0</v>
      </c>
      <c r="H315">
        <f>SUMPRODUCT((MONTH(CHOOSE({1,2,3,4},NĐ!T315,NĐ!X315,NĐ!AB315,NĐ!AF315))=8)*(CHOOSE({1,2,3,4},NĐ!W315,NĐ!AA315,NĐ!AE315,NĐ!AI315)))</f>
        <v>0</v>
      </c>
      <c r="I315">
        <f>SUMPRODUCT((MONTH(CHOOSE({1,2,3,4},NĐ!T315,NĐ!X315,NĐ!AB315,NĐ!AF315))=9)*(CHOOSE({1,2,3,4},NĐ!W315,NĐ!AA315,NĐ!AE315,NĐ!AI315)))</f>
        <v>0</v>
      </c>
      <c r="J315">
        <f>SUMPRODUCT((MONTH(CHOOSE({1,2,3,4},NĐ!T315,NĐ!X315,NĐ!AB315,NĐ!AF315))=10)*(CHOOSE({1,2,3,4},NĐ!W315,NĐ!AA315,NĐ!AE315,NĐ!AI315)))</f>
        <v>0</v>
      </c>
      <c r="K315">
        <f>SUMPRODUCT((MONTH(CHOOSE({1,2,3,4},NĐ!T315,NĐ!X315,NĐ!AB315,NĐ!AF315))=11)*(CHOOSE({1,2,3,4},NĐ!W315,NĐ!AA315,NĐ!AE315,NĐ!AI315)))</f>
        <v>0</v>
      </c>
      <c r="L315">
        <f>SUMPRODUCT((MONTH(CHOOSE({1,2,3,4},NĐ!T315,NĐ!X315,NĐ!AB315,NĐ!AF315))=12)*(CHOOSE({1,2,3,4},NĐ!W315,NĐ!AA315,NĐ!AE315,NĐ!AI315)))</f>
        <v>0</v>
      </c>
    </row>
    <row r="316" spans="1:12">
      <c r="A316">
        <f>SUMPRODUCT((MONTH(CHOOSE({1,2,3,4},NĐ!T316,NĐ!X316,NĐ!AB316,NĐ!AF316))=1)*(CHOOSE({1,2,3,4},NĐ!W316,NĐ!AA316,NĐ!AE316,NĐ!AI316)))</f>
        <v>0</v>
      </c>
      <c r="B316">
        <f>SUMPRODUCT((MONTH(CHOOSE({1,2,3,4},NĐ!T316,NĐ!X316,NĐ!AB316,NĐ!AF316))=2)*(CHOOSE({1,2,3,4},NĐ!W316,NĐ!AA316,NĐ!AE316,NĐ!AI316)))</f>
        <v>0</v>
      </c>
      <c r="C316">
        <f>SUMPRODUCT((MONTH(CHOOSE({1,2,3,4},NĐ!T316,NĐ!X316,NĐ!AB316,NĐ!AF316))=3)*(CHOOSE({1,2,3,4},NĐ!W316,NĐ!AA316,NĐ!AE316,NĐ!AI316)))</f>
        <v>0</v>
      </c>
      <c r="D316">
        <f>SUMPRODUCT((MONTH(CHOOSE({1,2,3,4},NĐ!T316,NĐ!X316,NĐ!AB316,NĐ!AF316))=4)*(CHOOSE({1,2,3,4},NĐ!W316,NĐ!AA316,NĐ!AE316,NĐ!AI316)))</f>
        <v>0</v>
      </c>
      <c r="E316">
        <f>SUMPRODUCT((MONTH(CHOOSE({1,2,3,4},NĐ!T316,NĐ!X316,NĐ!AB316,NĐ!AF316))=5)*(CHOOSE({1,2,3,4},NĐ!W316,NĐ!AA316,NĐ!AE316,NĐ!AI316)))</f>
        <v>0</v>
      </c>
      <c r="F316">
        <f>SUMPRODUCT((MONTH(CHOOSE({1,2,3,4},NĐ!T316,NĐ!X316,NĐ!AB316,NĐ!AF316))=6)*(CHOOSE({1,2,3,4},NĐ!W316,NĐ!AA316,NĐ!AE316,NĐ!AI316)))</f>
        <v>0</v>
      </c>
      <c r="G316">
        <f>SUMPRODUCT((MONTH(CHOOSE({1,2,3,4},NĐ!T316,NĐ!X316,NĐ!AB316,NĐ!AF316))=7)*(CHOOSE({1,2,3,4},NĐ!W316,NĐ!AA316,NĐ!AE316,NĐ!AI316)))</f>
        <v>0</v>
      </c>
      <c r="H316">
        <f>SUMPRODUCT((MONTH(CHOOSE({1,2,3,4},NĐ!T316,NĐ!X316,NĐ!AB316,NĐ!AF316))=8)*(CHOOSE({1,2,3,4},NĐ!W316,NĐ!AA316,NĐ!AE316,NĐ!AI316)))</f>
        <v>0</v>
      </c>
      <c r="I316">
        <f>SUMPRODUCT((MONTH(CHOOSE({1,2,3,4},NĐ!T316,NĐ!X316,NĐ!AB316,NĐ!AF316))=9)*(CHOOSE({1,2,3,4},NĐ!W316,NĐ!AA316,NĐ!AE316,NĐ!AI316)))</f>
        <v>0</v>
      </c>
      <c r="J316">
        <f>SUMPRODUCT((MONTH(CHOOSE({1,2,3,4},NĐ!T316,NĐ!X316,NĐ!AB316,NĐ!AF316))=10)*(CHOOSE({1,2,3,4},NĐ!W316,NĐ!AA316,NĐ!AE316,NĐ!AI316)))</f>
        <v>0</v>
      </c>
      <c r="K316">
        <f>SUMPRODUCT((MONTH(CHOOSE({1,2,3,4},NĐ!T316,NĐ!X316,NĐ!AB316,NĐ!AF316))=11)*(CHOOSE({1,2,3,4},NĐ!W316,NĐ!AA316,NĐ!AE316,NĐ!AI316)))</f>
        <v>0</v>
      </c>
      <c r="L316">
        <f>SUMPRODUCT((MONTH(CHOOSE({1,2,3,4},NĐ!T316,NĐ!X316,NĐ!AB316,NĐ!AF316))=12)*(CHOOSE({1,2,3,4},NĐ!W316,NĐ!AA316,NĐ!AE316,NĐ!AI316)))</f>
        <v>0</v>
      </c>
    </row>
    <row r="317" spans="1:12">
      <c r="A317">
        <f>SUMPRODUCT((MONTH(CHOOSE({1,2,3,4},NĐ!T317,NĐ!X317,NĐ!AB317,NĐ!AF317))=1)*(CHOOSE({1,2,3,4},NĐ!W317,NĐ!AA317,NĐ!AE317,NĐ!AI317)))</f>
        <v>0</v>
      </c>
      <c r="B317">
        <f>SUMPRODUCT((MONTH(CHOOSE({1,2,3,4},NĐ!T317,NĐ!X317,NĐ!AB317,NĐ!AF317))=2)*(CHOOSE({1,2,3,4},NĐ!W317,NĐ!AA317,NĐ!AE317,NĐ!AI317)))</f>
        <v>0</v>
      </c>
      <c r="C317">
        <f>SUMPRODUCT((MONTH(CHOOSE({1,2,3,4},NĐ!T317,NĐ!X317,NĐ!AB317,NĐ!AF317))=3)*(CHOOSE({1,2,3,4},NĐ!W317,NĐ!AA317,NĐ!AE317,NĐ!AI317)))</f>
        <v>0</v>
      </c>
      <c r="D317">
        <f>SUMPRODUCT((MONTH(CHOOSE({1,2,3,4},NĐ!T317,NĐ!X317,NĐ!AB317,NĐ!AF317))=4)*(CHOOSE({1,2,3,4},NĐ!W317,NĐ!AA317,NĐ!AE317,NĐ!AI317)))</f>
        <v>0</v>
      </c>
      <c r="E317">
        <f>SUMPRODUCT((MONTH(CHOOSE({1,2,3,4},NĐ!T317,NĐ!X317,NĐ!AB317,NĐ!AF317))=5)*(CHOOSE({1,2,3,4},NĐ!W317,NĐ!AA317,NĐ!AE317,NĐ!AI317)))</f>
        <v>0</v>
      </c>
      <c r="F317">
        <f>SUMPRODUCT((MONTH(CHOOSE({1,2,3,4},NĐ!T317,NĐ!X317,NĐ!AB317,NĐ!AF317))=6)*(CHOOSE({1,2,3,4},NĐ!W317,NĐ!AA317,NĐ!AE317,NĐ!AI317)))</f>
        <v>0</v>
      </c>
      <c r="G317">
        <f>SUMPRODUCT((MONTH(CHOOSE({1,2,3,4},NĐ!T317,NĐ!X317,NĐ!AB317,NĐ!AF317))=7)*(CHOOSE({1,2,3,4},NĐ!W317,NĐ!AA317,NĐ!AE317,NĐ!AI317)))</f>
        <v>0</v>
      </c>
      <c r="H317">
        <f>SUMPRODUCT((MONTH(CHOOSE({1,2,3,4},NĐ!T317,NĐ!X317,NĐ!AB317,NĐ!AF317))=8)*(CHOOSE({1,2,3,4},NĐ!W317,NĐ!AA317,NĐ!AE317,NĐ!AI317)))</f>
        <v>0</v>
      </c>
      <c r="I317">
        <f>SUMPRODUCT((MONTH(CHOOSE({1,2,3,4},NĐ!T317,NĐ!X317,NĐ!AB317,NĐ!AF317))=9)*(CHOOSE({1,2,3,4},NĐ!W317,NĐ!AA317,NĐ!AE317,NĐ!AI317)))</f>
        <v>0</v>
      </c>
      <c r="J317">
        <f>SUMPRODUCT((MONTH(CHOOSE({1,2,3,4},NĐ!T317,NĐ!X317,NĐ!AB317,NĐ!AF317))=10)*(CHOOSE({1,2,3,4},NĐ!W317,NĐ!AA317,NĐ!AE317,NĐ!AI317)))</f>
        <v>0</v>
      </c>
      <c r="K317">
        <f>SUMPRODUCT((MONTH(CHOOSE({1,2,3,4},NĐ!T317,NĐ!X317,NĐ!AB317,NĐ!AF317))=11)*(CHOOSE({1,2,3,4},NĐ!W317,NĐ!AA317,NĐ!AE317,NĐ!AI317)))</f>
        <v>0</v>
      </c>
      <c r="L317">
        <f>SUMPRODUCT((MONTH(CHOOSE({1,2,3,4},NĐ!T317,NĐ!X317,NĐ!AB317,NĐ!AF317))=12)*(CHOOSE({1,2,3,4},NĐ!W317,NĐ!AA317,NĐ!AE317,NĐ!AI317)))</f>
        <v>0</v>
      </c>
    </row>
    <row r="318" spans="1:12">
      <c r="A318">
        <f>SUMPRODUCT((MONTH(CHOOSE({1,2,3,4},NĐ!T318,NĐ!X318,NĐ!AB318,NĐ!AF318))=1)*(CHOOSE({1,2,3,4},NĐ!W318,NĐ!AA318,NĐ!AE318,NĐ!AI318)))</f>
        <v>0</v>
      </c>
      <c r="B318">
        <f>SUMPRODUCT((MONTH(CHOOSE({1,2,3,4},NĐ!T318,NĐ!X318,NĐ!AB318,NĐ!AF318))=2)*(CHOOSE({1,2,3,4},NĐ!W318,NĐ!AA318,NĐ!AE318,NĐ!AI318)))</f>
        <v>0</v>
      </c>
      <c r="C318">
        <f>SUMPRODUCT((MONTH(CHOOSE({1,2,3,4},NĐ!T318,NĐ!X318,NĐ!AB318,NĐ!AF318))=3)*(CHOOSE({1,2,3,4},NĐ!W318,NĐ!AA318,NĐ!AE318,NĐ!AI318)))</f>
        <v>0</v>
      </c>
      <c r="D318">
        <f>SUMPRODUCT((MONTH(CHOOSE({1,2,3,4},NĐ!T318,NĐ!X318,NĐ!AB318,NĐ!AF318))=4)*(CHOOSE({1,2,3,4},NĐ!W318,NĐ!AA318,NĐ!AE318,NĐ!AI318)))</f>
        <v>0</v>
      </c>
      <c r="E318">
        <f>SUMPRODUCT((MONTH(CHOOSE({1,2,3,4},NĐ!T318,NĐ!X318,NĐ!AB318,NĐ!AF318))=5)*(CHOOSE({1,2,3,4},NĐ!W318,NĐ!AA318,NĐ!AE318,NĐ!AI318)))</f>
        <v>0</v>
      </c>
      <c r="F318">
        <f>SUMPRODUCT((MONTH(CHOOSE({1,2,3,4},NĐ!T318,NĐ!X318,NĐ!AB318,NĐ!AF318))=6)*(CHOOSE({1,2,3,4},NĐ!W318,NĐ!AA318,NĐ!AE318,NĐ!AI318)))</f>
        <v>0</v>
      </c>
      <c r="G318">
        <f>SUMPRODUCT((MONTH(CHOOSE({1,2,3,4},NĐ!T318,NĐ!X318,NĐ!AB318,NĐ!AF318))=7)*(CHOOSE({1,2,3,4},NĐ!W318,NĐ!AA318,NĐ!AE318,NĐ!AI318)))</f>
        <v>0</v>
      </c>
      <c r="H318">
        <f>SUMPRODUCT((MONTH(CHOOSE({1,2,3,4},NĐ!T318,NĐ!X318,NĐ!AB318,NĐ!AF318))=8)*(CHOOSE({1,2,3,4},NĐ!W318,NĐ!AA318,NĐ!AE318,NĐ!AI318)))</f>
        <v>0</v>
      </c>
      <c r="I318">
        <f>SUMPRODUCT((MONTH(CHOOSE({1,2,3,4},NĐ!T318,NĐ!X318,NĐ!AB318,NĐ!AF318))=9)*(CHOOSE({1,2,3,4},NĐ!W318,NĐ!AA318,NĐ!AE318,NĐ!AI318)))</f>
        <v>0</v>
      </c>
      <c r="J318">
        <f>SUMPRODUCT((MONTH(CHOOSE({1,2,3,4},NĐ!T318,NĐ!X318,NĐ!AB318,NĐ!AF318))=10)*(CHOOSE({1,2,3,4},NĐ!W318,NĐ!AA318,NĐ!AE318,NĐ!AI318)))</f>
        <v>0</v>
      </c>
      <c r="K318">
        <f>SUMPRODUCT((MONTH(CHOOSE({1,2,3,4},NĐ!T318,NĐ!X318,NĐ!AB318,NĐ!AF318))=11)*(CHOOSE({1,2,3,4},NĐ!W318,NĐ!AA318,NĐ!AE318,NĐ!AI318)))</f>
        <v>0</v>
      </c>
      <c r="L318">
        <f>SUMPRODUCT((MONTH(CHOOSE({1,2,3,4},NĐ!T318,NĐ!X318,NĐ!AB318,NĐ!AF318))=12)*(CHOOSE({1,2,3,4},NĐ!W318,NĐ!AA318,NĐ!AE318,NĐ!AI318)))</f>
        <v>0</v>
      </c>
    </row>
    <row r="319" spans="1:12">
      <c r="A319">
        <f>SUMPRODUCT((MONTH(CHOOSE({1,2,3,4},NĐ!T319,NĐ!X319,NĐ!AB319,NĐ!AF319))=1)*(CHOOSE({1,2,3,4},NĐ!W319,NĐ!AA319,NĐ!AE319,NĐ!AI319)))</f>
        <v>0</v>
      </c>
      <c r="B319">
        <f>SUMPRODUCT((MONTH(CHOOSE({1,2,3,4},NĐ!T319,NĐ!X319,NĐ!AB319,NĐ!AF319))=2)*(CHOOSE({1,2,3,4},NĐ!W319,NĐ!AA319,NĐ!AE319,NĐ!AI319)))</f>
        <v>0</v>
      </c>
      <c r="C319">
        <f>SUMPRODUCT((MONTH(CHOOSE({1,2,3,4},NĐ!T319,NĐ!X319,NĐ!AB319,NĐ!AF319))=3)*(CHOOSE({1,2,3,4},NĐ!W319,NĐ!AA319,NĐ!AE319,NĐ!AI319)))</f>
        <v>0</v>
      </c>
      <c r="D319">
        <f>SUMPRODUCT((MONTH(CHOOSE({1,2,3,4},NĐ!T319,NĐ!X319,NĐ!AB319,NĐ!AF319))=4)*(CHOOSE({1,2,3,4},NĐ!W319,NĐ!AA319,NĐ!AE319,NĐ!AI319)))</f>
        <v>0</v>
      </c>
      <c r="E319">
        <f>SUMPRODUCT((MONTH(CHOOSE({1,2,3,4},NĐ!T319,NĐ!X319,NĐ!AB319,NĐ!AF319))=5)*(CHOOSE({1,2,3,4},NĐ!W319,NĐ!AA319,NĐ!AE319,NĐ!AI319)))</f>
        <v>0</v>
      </c>
      <c r="F319">
        <f>SUMPRODUCT((MONTH(CHOOSE({1,2,3,4},NĐ!T319,NĐ!X319,NĐ!AB319,NĐ!AF319))=6)*(CHOOSE({1,2,3,4},NĐ!W319,NĐ!AA319,NĐ!AE319,NĐ!AI319)))</f>
        <v>0</v>
      </c>
      <c r="G319">
        <f>SUMPRODUCT((MONTH(CHOOSE({1,2,3,4},NĐ!T319,NĐ!X319,NĐ!AB319,NĐ!AF319))=7)*(CHOOSE({1,2,3,4},NĐ!W319,NĐ!AA319,NĐ!AE319,NĐ!AI319)))</f>
        <v>0</v>
      </c>
      <c r="H319">
        <f>SUMPRODUCT((MONTH(CHOOSE({1,2,3,4},NĐ!T319,NĐ!X319,NĐ!AB319,NĐ!AF319))=8)*(CHOOSE({1,2,3,4},NĐ!W319,NĐ!AA319,NĐ!AE319,NĐ!AI319)))</f>
        <v>0</v>
      </c>
      <c r="I319">
        <f>SUMPRODUCT((MONTH(CHOOSE({1,2,3,4},NĐ!T319,NĐ!X319,NĐ!AB319,NĐ!AF319))=9)*(CHOOSE({1,2,3,4},NĐ!W319,NĐ!AA319,NĐ!AE319,NĐ!AI319)))</f>
        <v>0</v>
      </c>
      <c r="J319">
        <f>SUMPRODUCT((MONTH(CHOOSE({1,2,3,4},NĐ!T319,NĐ!X319,NĐ!AB319,NĐ!AF319))=10)*(CHOOSE({1,2,3,4},NĐ!W319,NĐ!AA319,NĐ!AE319,NĐ!AI319)))</f>
        <v>0</v>
      </c>
      <c r="K319">
        <f>SUMPRODUCT((MONTH(CHOOSE({1,2,3,4},NĐ!T319,NĐ!X319,NĐ!AB319,NĐ!AF319))=11)*(CHOOSE({1,2,3,4},NĐ!W319,NĐ!AA319,NĐ!AE319,NĐ!AI319)))</f>
        <v>0</v>
      </c>
      <c r="L319">
        <f>SUMPRODUCT((MONTH(CHOOSE({1,2,3,4},NĐ!T319,NĐ!X319,NĐ!AB319,NĐ!AF319))=12)*(CHOOSE({1,2,3,4},NĐ!W319,NĐ!AA319,NĐ!AE319,NĐ!AI319)))</f>
        <v>0</v>
      </c>
    </row>
    <row r="320" spans="1:12">
      <c r="A320">
        <f>SUMPRODUCT((MONTH(CHOOSE({1,2,3,4},NĐ!T320,NĐ!X320,NĐ!AB320,NĐ!AF320))=1)*(CHOOSE({1,2,3,4},NĐ!W320,NĐ!AA320,NĐ!AE320,NĐ!AI320)))</f>
        <v>0</v>
      </c>
      <c r="B320">
        <f>SUMPRODUCT((MONTH(CHOOSE({1,2,3,4},NĐ!T320,NĐ!X320,NĐ!AB320,NĐ!AF320))=2)*(CHOOSE({1,2,3,4},NĐ!W320,NĐ!AA320,NĐ!AE320,NĐ!AI320)))</f>
        <v>0</v>
      </c>
      <c r="C320">
        <f>SUMPRODUCT((MONTH(CHOOSE({1,2,3,4},NĐ!T320,NĐ!X320,NĐ!AB320,NĐ!AF320))=3)*(CHOOSE({1,2,3,4},NĐ!W320,NĐ!AA320,NĐ!AE320,NĐ!AI320)))</f>
        <v>0</v>
      </c>
      <c r="D320">
        <f>SUMPRODUCT((MONTH(CHOOSE({1,2,3,4},NĐ!T320,NĐ!X320,NĐ!AB320,NĐ!AF320))=4)*(CHOOSE({1,2,3,4},NĐ!W320,NĐ!AA320,NĐ!AE320,NĐ!AI320)))</f>
        <v>0</v>
      </c>
      <c r="E320">
        <f>SUMPRODUCT((MONTH(CHOOSE({1,2,3,4},NĐ!T320,NĐ!X320,NĐ!AB320,NĐ!AF320))=5)*(CHOOSE({1,2,3,4},NĐ!W320,NĐ!AA320,NĐ!AE320,NĐ!AI320)))</f>
        <v>0</v>
      </c>
      <c r="F320">
        <f>SUMPRODUCT((MONTH(CHOOSE({1,2,3,4},NĐ!T320,NĐ!X320,NĐ!AB320,NĐ!AF320))=6)*(CHOOSE({1,2,3,4},NĐ!W320,NĐ!AA320,NĐ!AE320,NĐ!AI320)))</f>
        <v>0</v>
      </c>
      <c r="G320">
        <f>SUMPRODUCT((MONTH(CHOOSE({1,2,3,4},NĐ!T320,NĐ!X320,NĐ!AB320,NĐ!AF320))=7)*(CHOOSE({1,2,3,4},NĐ!W320,NĐ!AA320,NĐ!AE320,NĐ!AI320)))</f>
        <v>0</v>
      </c>
      <c r="H320">
        <f>SUMPRODUCT((MONTH(CHOOSE({1,2,3,4},NĐ!T320,NĐ!X320,NĐ!AB320,NĐ!AF320))=8)*(CHOOSE({1,2,3,4},NĐ!W320,NĐ!AA320,NĐ!AE320,NĐ!AI320)))</f>
        <v>0</v>
      </c>
      <c r="I320">
        <f>SUMPRODUCT((MONTH(CHOOSE({1,2,3,4},NĐ!T320,NĐ!X320,NĐ!AB320,NĐ!AF320))=9)*(CHOOSE({1,2,3,4},NĐ!W320,NĐ!AA320,NĐ!AE320,NĐ!AI320)))</f>
        <v>0</v>
      </c>
      <c r="J320">
        <f>SUMPRODUCT((MONTH(CHOOSE({1,2,3,4},NĐ!T320,NĐ!X320,NĐ!AB320,NĐ!AF320))=10)*(CHOOSE({1,2,3,4},NĐ!W320,NĐ!AA320,NĐ!AE320,NĐ!AI320)))</f>
        <v>0</v>
      </c>
      <c r="K320">
        <f>SUMPRODUCT((MONTH(CHOOSE({1,2,3,4},NĐ!T320,NĐ!X320,NĐ!AB320,NĐ!AF320))=11)*(CHOOSE({1,2,3,4},NĐ!W320,NĐ!AA320,NĐ!AE320,NĐ!AI320)))</f>
        <v>0</v>
      </c>
      <c r="L320">
        <f>SUMPRODUCT((MONTH(CHOOSE({1,2,3,4},NĐ!T320,NĐ!X320,NĐ!AB320,NĐ!AF320))=12)*(CHOOSE({1,2,3,4},NĐ!W320,NĐ!AA320,NĐ!AE320,NĐ!AI320)))</f>
        <v>0</v>
      </c>
    </row>
    <row r="321" spans="1:12">
      <c r="A321">
        <f>SUMPRODUCT((MONTH(CHOOSE({1,2,3,4},NĐ!T321,NĐ!X321,NĐ!AB321,NĐ!AF321))=1)*(CHOOSE({1,2,3,4},NĐ!W321,NĐ!AA321,NĐ!AE321,NĐ!AI321)))</f>
        <v>0</v>
      </c>
      <c r="B321">
        <f>SUMPRODUCT((MONTH(CHOOSE({1,2,3,4},NĐ!T321,NĐ!X321,NĐ!AB321,NĐ!AF321))=2)*(CHOOSE({1,2,3,4},NĐ!W321,NĐ!AA321,NĐ!AE321,NĐ!AI321)))</f>
        <v>0</v>
      </c>
      <c r="C321">
        <f>SUMPRODUCT((MONTH(CHOOSE({1,2,3,4},NĐ!T321,NĐ!X321,NĐ!AB321,NĐ!AF321))=3)*(CHOOSE({1,2,3,4},NĐ!W321,NĐ!AA321,NĐ!AE321,NĐ!AI321)))</f>
        <v>0</v>
      </c>
      <c r="D321">
        <f>SUMPRODUCT((MONTH(CHOOSE({1,2,3,4},NĐ!T321,NĐ!X321,NĐ!AB321,NĐ!AF321))=4)*(CHOOSE({1,2,3,4},NĐ!W321,NĐ!AA321,NĐ!AE321,NĐ!AI321)))</f>
        <v>0</v>
      </c>
      <c r="E321">
        <f>SUMPRODUCT((MONTH(CHOOSE({1,2,3,4},NĐ!T321,NĐ!X321,NĐ!AB321,NĐ!AF321))=5)*(CHOOSE({1,2,3,4},NĐ!W321,NĐ!AA321,NĐ!AE321,NĐ!AI321)))</f>
        <v>0</v>
      </c>
      <c r="F321">
        <f>SUMPRODUCT((MONTH(CHOOSE({1,2,3,4},NĐ!T321,NĐ!X321,NĐ!AB321,NĐ!AF321))=6)*(CHOOSE({1,2,3,4},NĐ!W321,NĐ!AA321,NĐ!AE321,NĐ!AI321)))</f>
        <v>0</v>
      </c>
      <c r="G321">
        <f>SUMPRODUCT((MONTH(CHOOSE({1,2,3,4},NĐ!T321,NĐ!X321,NĐ!AB321,NĐ!AF321))=7)*(CHOOSE({1,2,3,4},NĐ!W321,NĐ!AA321,NĐ!AE321,NĐ!AI321)))</f>
        <v>0</v>
      </c>
      <c r="H321">
        <f>SUMPRODUCT((MONTH(CHOOSE({1,2,3,4},NĐ!T321,NĐ!X321,NĐ!AB321,NĐ!AF321))=8)*(CHOOSE({1,2,3,4},NĐ!W321,NĐ!AA321,NĐ!AE321,NĐ!AI321)))</f>
        <v>0</v>
      </c>
      <c r="I321">
        <f>SUMPRODUCT((MONTH(CHOOSE({1,2,3,4},NĐ!T321,NĐ!X321,NĐ!AB321,NĐ!AF321))=9)*(CHOOSE({1,2,3,4},NĐ!W321,NĐ!AA321,NĐ!AE321,NĐ!AI321)))</f>
        <v>0</v>
      </c>
      <c r="J321">
        <f>SUMPRODUCT((MONTH(CHOOSE({1,2,3,4},NĐ!T321,NĐ!X321,NĐ!AB321,NĐ!AF321))=10)*(CHOOSE({1,2,3,4},NĐ!W321,NĐ!AA321,NĐ!AE321,NĐ!AI321)))</f>
        <v>0</v>
      </c>
      <c r="K321">
        <f>SUMPRODUCT((MONTH(CHOOSE({1,2,3,4},NĐ!T321,NĐ!X321,NĐ!AB321,NĐ!AF321))=11)*(CHOOSE({1,2,3,4},NĐ!W321,NĐ!AA321,NĐ!AE321,NĐ!AI321)))</f>
        <v>0</v>
      </c>
      <c r="L321">
        <f>SUMPRODUCT((MONTH(CHOOSE({1,2,3,4},NĐ!T321,NĐ!X321,NĐ!AB321,NĐ!AF321))=12)*(CHOOSE({1,2,3,4},NĐ!W321,NĐ!AA321,NĐ!AE321,NĐ!AI321)))</f>
        <v>0</v>
      </c>
    </row>
    <row r="322" spans="1:12">
      <c r="A322">
        <f>SUMPRODUCT((MONTH(CHOOSE({1,2,3,4},NĐ!T322,NĐ!X322,NĐ!AB322,NĐ!AF322))=1)*(CHOOSE({1,2,3,4},NĐ!W322,NĐ!AA322,NĐ!AE322,NĐ!AI322)))</f>
        <v>0</v>
      </c>
      <c r="B322">
        <f>SUMPRODUCT((MONTH(CHOOSE({1,2,3,4},NĐ!T322,NĐ!X322,NĐ!AB322,NĐ!AF322))=2)*(CHOOSE({1,2,3,4},NĐ!W322,NĐ!AA322,NĐ!AE322,NĐ!AI322)))</f>
        <v>0</v>
      </c>
      <c r="C322">
        <f>SUMPRODUCT((MONTH(CHOOSE({1,2,3,4},NĐ!T322,NĐ!X322,NĐ!AB322,NĐ!AF322))=3)*(CHOOSE({1,2,3,4},NĐ!W322,NĐ!AA322,NĐ!AE322,NĐ!AI322)))</f>
        <v>0</v>
      </c>
      <c r="D322">
        <f>SUMPRODUCT((MONTH(CHOOSE({1,2,3,4},NĐ!T322,NĐ!X322,NĐ!AB322,NĐ!AF322))=4)*(CHOOSE({1,2,3,4},NĐ!W322,NĐ!AA322,NĐ!AE322,NĐ!AI322)))</f>
        <v>0</v>
      </c>
      <c r="E322">
        <f>SUMPRODUCT((MONTH(CHOOSE({1,2,3,4},NĐ!T322,NĐ!X322,NĐ!AB322,NĐ!AF322))=5)*(CHOOSE({1,2,3,4},NĐ!W322,NĐ!AA322,NĐ!AE322,NĐ!AI322)))</f>
        <v>0</v>
      </c>
      <c r="F322">
        <f>SUMPRODUCT((MONTH(CHOOSE({1,2,3,4},NĐ!T322,NĐ!X322,NĐ!AB322,NĐ!AF322))=6)*(CHOOSE({1,2,3,4},NĐ!W322,NĐ!AA322,NĐ!AE322,NĐ!AI322)))</f>
        <v>0</v>
      </c>
      <c r="G322">
        <f>SUMPRODUCT((MONTH(CHOOSE({1,2,3,4},NĐ!T322,NĐ!X322,NĐ!AB322,NĐ!AF322))=7)*(CHOOSE({1,2,3,4},NĐ!W322,NĐ!AA322,NĐ!AE322,NĐ!AI322)))</f>
        <v>0</v>
      </c>
      <c r="H322">
        <f>SUMPRODUCT((MONTH(CHOOSE({1,2,3,4},NĐ!T322,NĐ!X322,NĐ!AB322,NĐ!AF322))=8)*(CHOOSE({1,2,3,4},NĐ!W322,NĐ!AA322,NĐ!AE322,NĐ!AI322)))</f>
        <v>0</v>
      </c>
      <c r="I322">
        <f>SUMPRODUCT((MONTH(CHOOSE({1,2,3,4},NĐ!T322,NĐ!X322,NĐ!AB322,NĐ!AF322))=9)*(CHOOSE({1,2,3,4},NĐ!W322,NĐ!AA322,NĐ!AE322,NĐ!AI322)))</f>
        <v>0</v>
      </c>
      <c r="J322">
        <f>SUMPRODUCT((MONTH(CHOOSE({1,2,3,4},NĐ!T322,NĐ!X322,NĐ!AB322,NĐ!AF322))=10)*(CHOOSE({1,2,3,4},NĐ!W322,NĐ!AA322,NĐ!AE322,NĐ!AI322)))</f>
        <v>0</v>
      </c>
      <c r="K322">
        <f>SUMPRODUCT((MONTH(CHOOSE({1,2,3,4},NĐ!T322,NĐ!X322,NĐ!AB322,NĐ!AF322))=11)*(CHOOSE({1,2,3,4},NĐ!W322,NĐ!AA322,NĐ!AE322,NĐ!AI322)))</f>
        <v>0</v>
      </c>
      <c r="L322">
        <f>SUMPRODUCT((MONTH(CHOOSE({1,2,3,4},NĐ!T322,NĐ!X322,NĐ!AB322,NĐ!AF322))=12)*(CHOOSE({1,2,3,4},NĐ!W322,NĐ!AA322,NĐ!AE322,NĐ!AI322)))</f>
        <v>0</v>
      </c>
    </row>
    <row r="323" spans="1:12">
      <c r="A323">
        <f>SUMPRODUCT((MONTH(CHOOSE({1,2,3,4},NĐ!T323,NĐ!X323,NĐ!AB323,NĐ!AF323))=1)*(CHOOSE({1,2,3,4},NĐ!W323,NĐ!AA323,NĐ!AE323,NĐ!AI323)))</f>
        <v>0</v>
      </c>
      <c r="B323">
        <f>SUMPRODUCT((MONTH(CHOOSE({1,2,3,4},NĐ!T323,NĐ!X323,NĐ!AB323,NĐ!AF323))=2)*(CHOOSE({1,2,3,4},NĐ!W323,NĐ!AA323,NĐ!AE323,NĐ!AI323)))</f>
        <v>0</v>
      </c>
      <c r="C323">
        <f>SUMPRODUCT((MONTH(CHOOSE({1,2,3,4},NĐ!T323,NĐ!X323,NĐ!AB323,NĐ!AF323))=3)*(CHOOSE({1,2,3,4},NĐ!W323,NĐ!AA323,NĐ!AE323,NĐ!AI323)))</f>
        <v>0</v>
      </c>
      <c r="D323">
        <f>SUMPRODUCT((MONTH(CHOOSE({1,2,3,4},NĐ!T323,NĐ!X323,NĐ!AB323,NĐ!AF323))=4)*(CHOOSE({1,2,3,4},NĐ!W323,NĐ!AA323,NĐ!AE323,NĐ!AI323)))</f>
        <v>0</v>
      </c>
      <c r="E323">
        <f>SUMPRODUCT((MONTH(CHOOSE({1,2,3,4},NĐ!T323,NĐ!X323,NĐ!AB323,NĐ!AF323))=5)*(CHOOSE({1,2,3,4},NĐ!W323,NĐ!AA323,NĐ!AE323,NĐ!AI323)))</f>
        <v>0</v>
      </c>
      <c r="F323">
        <f>SUMPRODUCT((MONTH(CHOOSE({1,2,3,4},NĐ!T323,NĐ!X323,NĐ!AB323,NĐ!AF323))=6)*(CHOOSE({1,2,3,4},NĐ!W323,NĐ!AA323,NĐ!AE323,NĐ!AI323)))</f>
        <v>0</v>
      </c>
      <c r="G323">
        <f>SUMPRODUCT((MONTH(CHOOSE({1,2,3,4},NĐ!T323,NĐ!X323,NĐ!AB323,NĐ!AF323))=7)*(CHOOSE({1,2,3,4},NĐ!W323,NĐ!AA323,NĐ!AE323,NĐ!AI323)))</f>
        <v>0</v>
      </c>
      <c r="H323">
        <f>SUMPRODUCT((MONTH(CHOOSE({1,2,3,4},NĐ!T323,NĐ!X323,NĐ!AB323,NĐ!AF323))=8)*(CHOOSE({1,2,3,4},NĐ!W323,NĐ!AA323,NĐ!AE323,NĐ!AI323)))</f>
        <v>0</v>
      </c>
      <c r="I323">
        <f>SUMPRODUCT((MONTH(CHOOSE({1,2,3,4},NĐ!T323,NĐ!X323,NĐ!AB323,NĐ!AF323))=9)*(CHOOSE({1,2,3,4},NĐ!W323,NĐ!AA323,NĐ!AE323,NĐ!AI323)))</f>
        <v>0</v>
      </c>
      <c r="J323">
        <f>SUMPRODUCT((MONTH(CHOOSE({1,2,3,4},NĐ!T323,NĐ!X323,NĐ!AB323,NĐ!AF323))=10)*(CHOOSE({1,2,3,4},NĐ!W323,NĐ!AA323,NĐ!AE323,NĐ!AI323)))</f>
        <v>0</v>
      </c>
      <c r="K323">
        <f>SUMPRODUCT((MONTH(CHOOSE({1,2,3,4},NĐ!T323,NĐ!X323,NĐ!AB323,NĐ!AF323))=11)*(CHOOSE({1,2,3,4},NĐ!W323,NĐ!AA323,NĐ!AE323,NĐ!AI323)))</f>
        <v>0</v>
      </c>
      <c r="L323">
        <f>SUMPRODUCT((MONTH(CHOOSE({1,2,3,4},NĐ!T323,NĐ!X323,NĐ!AB323,NĐ!AF323))=12)*(CHOOSE({1,2,3,4},NĐ!W323,NĐ!AA323,NĐ!AE323,NĐ!AI323)))</f>
        <v>0</v>
      </c>
    </row>
    <row r="324" spans="1:12">
      <c r="A324">
        <f>SUMPRODUCT((MONTH(CHOOSE({1,2,3,4},NĐ!T324,NĐ!X324,NĐ!AB324,NĐ!AF324))=1)*(CHOOSE({1,2,3,4},NĐ!W324,NĐ!AA324,NĐ!AE324,NĐ!AI324)))</f>
        <v>0</v>
      </c>
      <c r="B324">
        <f>SUMPRODUCT((MONTH(CHOOSE({1,2,3,4},NĐ!T324,NĐ!X324,NĐ!AB324,NĐ!AF324))=2)*(CHOOSE({1,2,3,4},NĐ!W324,NĐ!AA324,NĐ!AE324,NĐ!AI324)))</f>
        <v>0</v>
      </c>
      <c r="C324">
        <f>SUMPRODUCT((MONTH(CHOOSE({1,2,3,4},NĐ!T324,NĐ!X324,NĐ!AB324,NĐ!AF324))=3)*(CHOOSE({1,2,3,4},NĐ!W324,NĐ!AA324,NĐ!AE324,NĐ!AI324)))</f>
        <v>0</v>
      </c>
      <c r="D324">
        <f>SUMPRODUCT((MONTH(CHOOSE({1,2,3,4},NĐ!T324,NĐ!X324,NĐ!AB324,NĐ!AF324))=4)*(CHOOSE({1,2,3,4},NĐ!W324,NĐ!AA324,NĐ!AE324,NĐ!AI324)))</f>
        <v>0</v>
      </c>
      <c r="E324">
        <f>SUMPRODUCT((MONTH(CHOOSE({1,2,3,4},NĐ!T324,NĐ!X324,NĐ!AB324,NĐ!AF324))=5)*(CHOOSE({1,2,3,4},NĐ!W324,NĐ!AA324,NĐ!AE324,NĐ!AI324)))</f>
        <v>0</v>
      </c>
      <c r="F324">
        <f>SUMPRODUCT((MONTH(CHOOSE({1,2,3,4},NĐ!T324,NĐ!X324,NĐ!AB324,NĐ!AF324))=6)*(CHOOSE({1,2,3,4},NĐ!W324,NĐ!AA324,NĐ!AE324,NĐ!AI324)))</f>
        <v>0</v>
      </c>
      <c r="G324">
        <f>SUMPRODUCT((MONTH(CHOOSE({1,2,3,4},NĐ!T324,NĐ!X324,NĐ!AB324,NĐ!AF324))=7)*(CHOOSE({1,2,3,4},NĐ!W324,NĐ!AA324,NĐ!AE324,NĐ!AI324)))</f>
        <v>0</v>
      </c>
      <c r="H324">
        <f>SUMPRODUCT((MONTH(CHOOSE({1,2,3,4},NĐ!T324,NĐ!X324,NĐ!AB324,NĐ!AF324))=8)*(CHOOSE({1,2,3,4},NĐ!W324,NĐ!AA324,NĐ!AE324,NĐ!AI324)))</f>
        <v>0</v>
      </c>
      <c r="I324">
        <f>SUMPRODUCT((MONTH(CHOOSE({1,2,3,4},NĐ!T324,NĐ!X324,NĐ!AB324,NĐ!AF324))=9)*(CHOOSE({1,2,3,4},NĐ!W324,NĐ!AA324,NĐ!AE324,NĐ!AI324)))</f>
        <v>0</v>
      </c>
      <c r="J324">
        <f>SUMPRODUCT((MONTH(CHOOSE({1,2,3,4},NĐ!T324,NĐ!X324,NĐ!AB324,NĐ!AF324))=10)*(CHOOSE({1,2,3,4},NĐ!W324,NĐ!AA324,NĐ!AE324,NĐ!AI324)))</f>
        <v>0</v>
      </c>
      <c r="K324">
        <f>SUMPRODUCT((MONTH(CHOOSE({1,2,3,4},NĐ!T324,NĐ!X324,NĐ!AB324,NĐ!AF324))=11)*(CHOOSE({1,2,3,4},NĐ!W324,NĐ!AA324,NĐ!AE324,NĐ!AI324)))</f>
        <v>0</v>
      </c>
      <c r="L324">
        <f>SUMPRODUCT((MONTH(CHOOSE({1,2,3,4},NĐ!T324,NĐ!X324,NĐ!AB324,NĐ!AF324))=12)*(CHOOSE({1,2,3,4},NĐ!W324,NĐ!AA324,NĐ!AE324,NĐ!AI324)))</f>
        <v>0</v>
      </c>
    </row>
    <row r="325" spans="1:12">
      <c r="A325">
        <f>SUMPRODUCT((MONTH(CHOOSE({1,2,3,4},NĐ!T325,NĐ!X325,NĐ!AB325,NĐ!AF325))=1)*(CHOOSE({1,2,3,4},NĐ!W325,NĐ!AA325,NĐ!AE325,NĐ!AI325)))</f>
        <v>0</v>
      </c>
      <c r="B325">
        <f>SUMPRODUCT((MONTH(CHOOSE({1,2,3,4},NĐ!T325,NĐ!X325,NĐ!AB325,NĐ!AF325))=2)*(CHOOSE({1,2,3,4},NĐ!W325,NĐ!AA325,NĐ!AE325,NĐ!AI325)))</f>
        <v>0</v>
      </c>
      <c r="C325">
        <f>SUMPRODUCT((MONTH(CHOOSE({1,2,3,4},NĐ!T325,NĐ!X325,NĐ!AB325,NĐ!AF325))=3)*(CHOOSE({1,2,3,4},NĐ!W325,NĐ!AA325,NĐ!AE325,NĐ!AI325)))</f>
        <v>0</v>
      </c>
      <c r="D325">
        <f>SUMPRODUCT((MONTH(CHOOSE({1,2,3,4},NĐ!T325,NĐ!X325,NĐ!AB325,NĐ!AF325))=4)*(CHOOSE({1,2,3,4},NĐ!W325,NĐ!AA325,NĐ!AE325,NĐ!AI325)))</f>
        <v>0</v>
      </c>
      <c r="E325">
        <f>SUMPRODUCT((MONTH(CHOOSE({1,2,3,4},NĐ!T325,NĐ!X325,NĐ!AB325,NĐ!AF325))=5)*(CHOOSE({1,2,3,4},NĐ!W325,NĐ!AA325,NĐ!AE325,NĐ!AI325)))</f>
        <v>0</v>
      </c>
      <c r="F325">
        <f>SUMPRODUCT((MONTH(CHOOSE({1,2,3,4},NĐ!T325,NĐ!X325,NĐ!AB325,NĐ!AF325))=6)*(CHOOSE({1,2,3,4},NĐ!W325,NĐ!AA325,NĐ!AE325,NĐ!AI325)))</f>
        <v>0</v>
      </c>
      <c r="G325">
        <f>SUMPRODUCT((MONTH(CHOOSE({1,2,3,4},NĐ!T325,NĐ!X325,NĐ!AB325,NĐ!AF325))=7)*(CHOOSE({1,2,3,4},NĐ!W325,NĐ!AA325,NĐ!AE325,NĐ!AI325)))</f>
        <v>0</v>
      </c>
      <c r="H325">
        <f>SUMPRODUCT((MONTH(CHOOSE({1,2,3,4},NĐ!T325,NĐ!X325,NĐ!AB325,NĐ!AF325))=8)*(CHOOSE({1,2,3,4},NĐ!W325,NĐ!AA325,NĐ!AE325,NĐ!AI325)))</f>
        <v>0</v>
      </c>
      <c r="I325">
        <f>SUMPRODUCT((MONTH(CHOOSE({1,2,3,4},NĐ!T325,NĐ!X325,NĐ!AB325,NĐ!AF325))=9)*(CHOOSE({1,2,3,4},NĐ!W325,NĐ!AA325,NĐ!AE325,NĐ!AI325)))</f>
        <v>0</v>
      </c>
      <c r="J325">
        <f>SUMPRODUCT((MONTH(CHOOSE({1,2,3,4},NĐ!T325,NĐ!X325,NĐ!AB325,NĐ!AF325))=10)*(CHOOSE({1,2,3,4},NĐ!W325,NĐ!AA325,NĐ!AE325,NĐ!AI325)))</f>
        <v>0</v>
      </c>
      <c r="K325">
        <f>SUMPRODUCT((MONTH(CHOOSE({1,2,3,4},NĐ!T325,NĐ!X325,NĐ!AB325,NĐ!AF325))=11)*(CHOOSE({1,2,3,4},NĐ!W325,NĐ!AA325,NĐ!AE325,NĐ!AI325)))</f>
        <v>0</v>
      </c>
      <c r="L325">
        <f>SUMPRODUCT((MONTH(CHOOSE({1,2,3,4},NĐ!T325,NĐ!X325,NĐ!AB325,NĐ!AF325))=12)*(CHOOSE({1,2,3,4},NĐ!W325,NĐ!AA325,NĐ!AE325,NĐ!AI325)))</f>
        <v>0</v>
      </c>
    </row>
    <row r="326" spans="1:12">
      <c r="A326">
        <f>SUMPRODUCT((MONTH(CHOOSE({1,2,3,4},NĐ!T326,NĐ!X326,NĐ!AB326,NĐ!AF326))=1)*(CHOOSE({1,2,3,4},NĐ!W326,NĐ!AA326,NĐ!AE326,NĐ!AI326)))</f>
        <v>0</v>
      </c>
      <c r="B326">
        <f>SUMPRODUCT((MONTH(CHOOSE({1,2,3,4},NĐ!T326,NĐ!X326,NĐ!AB326,NĐ!AF326))=2)*(CHOOSE({1,2,3,4},NĐ!W326,NĐ!AA326,NĐ!AE326,NĐ!AI326)))</f>
        <v>0</v>
      </c>
      <c r="C326">
        <f>SUMPRODUCT((MONTH(CHOOSE({1,2,3,4},NĐ!T326,NĐ!X326,NĐ!AB326,NĐ!AF326))=3)*(CHOOSE({1,2,3,4},NĐ!W326,NĐ!AA326,NĐ!AE326,NĐ!AI326)))</f>
        <v>0</v>
      </c>
      <c r="D326">
        <f>SUMPRODUCT((MONTH(CHOOSE({1,2,3,4},NĐ!T326,NĐ!X326,NĐ!AB326,NĐ!AF326))=4)*(CHOOSE({1,2,3,4},NĐ!W326,NĐ!AA326,NĐ!AE326,NĐ!AI326)))</f>
        <v>0</v>
      </c>
      <c r="E326">
        <f>SUMPRODUCT((MONTH(CHOOSE({1,2,3,4},NĐ!T326,NĐ!X326,NĐ!AB326,NĐ!AF326))=5)*(CHOOSE({1,2,3,4},NĐ!W326,NĐ!AA326,NĐ!AE326,NĐ!AI326)))</f>
        <v>0</v>
      </c>
      <c r="F326">
        <f>SUMPRODUCT((MONTH(CHOOSE({1,2,3,4},NĐ!T326,NĐ!X326,NĐ!AB326,NĐ!AF326))=6)*(CHOOSE({1,2,3,4},NĐ!W326,NĐ!AA326,NĐ!AE326,NĐ!AI326)))</f>
        <v>0</v>
      </c>
      <c r="G326">
        <f>SUMPRODUCT((MONTH(CHOOSE({1,2,3,4},NĐ!T326,NĐ!X326,NĐ!AB326,NĐ!AF326))=7)*(CHOOSE({1,2,3,4},NĐ!W326,NĐ!AA326,NĐ!AE326,NĐ!AI326)))</f>
        <v>0</v>
      </c>
      <c r="H326">
        <f>SUMPRODUCT((MONTH(CHOOSE({1,2,3,4},NĐ!T326,NĐ!X326,NĐ!AB326,NĐ!AF326))=8)*(CHOOSE({1,2,3,4},NĐ!W326,NĐ!AA326,NĐ!AE326,NĐ!AI326)))</f>
        <v>0</v>
      </c>
      <c r="I326">
        <f>SUMPRODUCT((MONTH(CHOOSE({1,2,3,4},NĐ!T326,NĐ!X326,NĐ!AB326,NĐ!AF326))=9)*(CHOOSE({1,2,3,4},NĐ!W326,NĐ!AA326,NĐ!AE326,NĐ!AI326)))</f>
        <v>0</v>
      </c>
      <c r="J326">
        <f>SUMPRODUCT((MONTH(CHOOSE({1,2,3,4},NĐ!T326,NĐ!X326,NĐ!AB326,NĐ!AF326))=10)*(CHOOSE({1,2,3,4},NĐ!W326,NĐ!AA326,NĐ!AE326,NĐ!AI326)))</f>
        <v>0</v>
      </c>
      <c r="K326">
        <f>SUMPRODUCT((MONTH(CHOOSE({1,2,3,4},NĐ!T326,NĐ!X326,NĐ!AB326,NĐ!AF326))=11)*(CHOOSE({1,2,3,4},NĐ!W326,NĐ!AA326,NĐ!AE326,NĐ!AI326)))</f>
        <v>0</v>
      </c>
      <c r="L326">
        <f>SUMPRODUCT((MONTH(CHOOSE({1,2,3,4},NĐ!T326,NĐ!X326,NĐ!AB326,NĐ!AF326))=12)*(CHOOSE({1,2,3,4},NĐ!W326,NĐ!AA326,NĐ!AE326,NĐ!AI326)))</f>
        <v>0</v>
      </c>
    </row>
    <row r="327" spans="1:12">
      <c r="A327">
        <f>SUMPRODUCT((MONTH(CHOOSE({1,2,3,4},NĐ!T327,NĐ!X327,NĐ!AB327,NĐ!AF327))=1)*(CHOOSE({1,2,3,4},NĐ!W327,NĐ!AA327,NĐ!AE327,NĐ!AI327)))</f>
        <v>0</v>
      </c>
      <c r="B327">
        <f>SUMPRODUCT((MONTH(CHOOSE({1,2,3,4},NĐ!T327,NĐ!X327,NĐ!AB327,NĐ!AF327))=2)*(CHOOSE({1,2,3,4},NĐ!W327,NĐ!AA327,NĐ!AE327,NĐ!AI327)))</f>
        <v>0</v>
      </c>
      <c r="C327">
        <f>SUMPRODUCT((MONTH(CHOOSE({1,2,3,4},NĐ!T327,NĐ!X327,NĐ!AB327,NĐ!AF327))=3)*(CHOOSE({1,2,3,4},NĐ!W327,NĐ!AA327,NĐ!AE327,NĐ!AI327)))</f>
        <v>0</v>
      </c>
      <c r="D327">
        <f>SUMPRODUCT((MONTH(CHOOSE({1,2,3,4},NĐ!T327,NĐ!X327,NĐ!AB327,NĐ!AF327))=4)*(CHOOSE({1,2,3,4},NĐ!W327,NĐ!AA327,NĐ!AE327,NĐ!AI327)))</f>
        <v>0</v>
      </c>
      <c r="E327">
        <f>SUMPRODUCT((MONTH(CHOOSE({1,2,3,4},NĐ!T327,NĐ!X327,NĐ!AB327,NĐ!AF327))=5)*(CHOOSE({1,2,3,4},NĐ!W327,NĐ!AA327,NĐ!AE327,NĐ!AI327)))</f>
        <v>0</v>
      </c>
      <c r="F327">
        <f>SUMPRODUCT((MONTH(CHOOSE({1,2,3,4},NĐ!T327,NĐ!X327,NĐ!AB327,NĐ!AF327))=6)*(CHOOSE({1,2,3,4},NĐ!W327,NĐ!AA327,NĐ!AE327,NĐ!AI327)))</f>
        <v>0</v>
      </c>
      <c r="G327">
        <f>SUMPRODUCT((MONTH(CHOOSE({1,2,3,4},NĐ!T327,NĐ!X327,NĐ!AB327,NĐ!AF327))=7)*(CHOOSE({1,2,3,4},NĐ!W327,NĐ!AA327,NĐ!AE327,NĐ!AI327)))</f>
        <v>0</v>
      </c>
      <c r="H327">
        <f>SUMPRODUCT((MONTH(CHOOSE({1,2,3,4},NĐ!T327,NĐ!X327,NĐ!AB327,NĐ!AF327))=8)*(CHOOSE({1,2,3,4},NĐ!W327,NĐ!AA327,NĐ!AE327,NĐ!AI327)))</f>
        <v>0</v>
      </c>
      <c r="I327">
        <f>SUMPRODUCT((MONTH(CHOOSE({1,2,3,4},NĐ!T327,NĐ!X327,NĐ!AB327,NĐ!AF327))=9)*(CHOOSE({1,2,3,4},NĐ!W327,NĐ!AA327,NĐ!AE327,NĐ!AI327)))</f>
        <v>0</v>
      </c>
      <c r="J327">
        <f>SUMPRODUCT((MONTH(CHOOSE({1,2,3,4},NĐ!T327,NĐ!X327,NĐ!AB327,NĐ!AF327))=10)*(CHOOSE({1,2,3,4},NĐ!W327,NĐ!AA327,NĐ!AE327,NĐ!AI327)))</f>
        <v>0</v>
      </c>
      <c r="K327">
        <f>SUMPRODUCT((MONTH(CHOOSE({1,2,3,4},NĐ!T327,NĐ!X327,NĐ!AB327,NĐ!AF327))=11)*(CHOOSE({1,2,3,4},NĐ!W327,NĐ!AA327,NĐ!AE327,NĐ!AI327)))</f>
        <v>0</v>
      </c>
      <c r="L327">
        <f>SUMPRODUCT((MONTH(CHOOSE({1,2,3,4},NĐ!T327,NĐ!X327,NĐ!AB327,NĐ!AF327))=12)*(CHOOSE({1,2,3,4},NĐ!W327,NĐ!AA327,NĐ!AE327,NĐ!AI327)))</f>
        <v>0</v>
      </c>
    </row>
    <row r="328" spans="1:12">
      <c r="A328">
        <f>SUMPRODUCT((MONTH(CHOOSE({1,2,3,4},NĐ!T328,NĐ!X328,NĐ!AB328,NĐ!AF328))=1)*(CHOOSE({1,2,3,4},NĐ!W328,NĐ!AA328,NĐ!AE328,NĐ!AI328)))</f>
        <v>0</v>
      </c>
      <c r="B328">
        <f>SUMPRODUCT((MONTH(CHOOSE({1,2,3,4},NĐ!T328,NĐ!X328,NĐ!AB328,NĐ!AF328))=2)*(CHOOSE({1,2,3,4},NĐ!W328,NĐ!AA328,NĐ!AE328,NĐ!AI328)))</f>
        <v>0</v>
      </c>
      <c r="C328">
        <f>SUMPRODUCT((MONTH(CHOOSE({1,2,3,4},NĐ!T328,NĐ!X328,NĐ!AB328,NĐ!AF328))=3)*(CHOOSE({1,2,3,4},NĐ!W328,NĐ!AA328,NĐ!AE328,NĐ!AI328)))</f>
        <v>0</v>
      </c>
      <c r="D328">
        <f>SUMPRODUCT((MONTH(CHOOSE({1,2,3,4},NĐ!T328,NĐ!X328,NĐ!AB328,NĐ!AF328))=4)*(CHOOSE({1,2,3,4},NĐ!W328,NĐ!AA328,NĐ!AE328,NĐ!AI328)))</f>
        <v>0</v>
      </c>
      <c r="E328">
        <f>SUMPRODUCT((MONTH(CHOOSE({1,2,3,4},NĐ!T328,NĐ!X328,NĐ!AB328,NĐ!AF328))=5)*(CHOOSE({1,2,3,4},NĐ!W328,NĐ!AA328,NĐ!AE328,NĐ!AI328)))</f>
        <v>0</v>
      </c>
      <c r="F328">
        <f>SUMPRODUCT((MONTH(CHOOSE({1,2,3,4},NĐ!T328,NĐ!X328,NĐ!AB328,NĐ!AF328))=6)*(CHOOSE({1,2,3,4},NĐ!W328,NĐ!AA328,NĐ!AE328,NĐ!AI328)))</f>
        <v>0</v>
      </c>
      <c r="G328">
        <f>SUMPRODUCT((MONTH(CHOOSE({1,2,3,4},NĐ!T328,NĐ!X328,NĐ!AB328,NĐ!AF328))=7)*(CHOOSE({1,2,3,4},NĐ!W328,NĐ!AA328,NĐ!AE328,NĐ!AI328)))</f>
        <v>0</v>
      </c>
      <c r="H328">
        <f>SUMPRODUCT((MONTH(CHOOSE({1,2,3,4},NĐ!T328,NĐ!X328,NĐ!AB328,NĐ!AF328))=8)*(CHOOSE({1,2,3,4},NĐ!W328,NĐ!AA328,NĐ!AE328,NĐ!AI328)))</f>
        <v>0</v>
      </c>
      <c r="I328">
        <f>SUMPRODUCT((MONTH(CHOOSE({1,2,3,4},NĐ!T328,NĐ!X328,NĐ!AB328,NĐ!AF328))=9)*(CHOOSE({1,2,3,4},NĐ!W328,NĐ!AA328,NĐ!AE328,NĐ!AI328)))</f>
        <v>0</v>
      </c>
      <c r="J328">
        <f>SUMPRODUCT((MONTH(CHOOSE({1,2,3,4},NĐ!T328,NĐ!X328,NĐ!AB328,NĐ!AF328))=10)*(CHOOSE({1,2,3,4},NĐ!W328,NĐ!AA328,NĐ!AE328,NĐ!AI328)))</f>
        <v>0</v>
      </c>
      <c r="K328">
        <f>SUMPRODUCT((MONTH(CHOOSE({1,2,3,4},NĐ!T328,NĐ!X328,NĐ!AB328,NĐ!AF328))=11)*(CHOOSE({1,2,3,4},NĐ!W328,NĐ!AA328,NĐ!AE328,NĐ!AI328)))</f>
        <v>0</v>
      </c>
      <c r="L328">
        <f>SUMPRODUCT((MONTH(CHOOSE({1,2,3,4},NĐ!T328,NĐ!X328,NĐ!AB328,NĐ!AF328))=12)*(CHOOSE({1,2,3,4},NĐ!W328,NĐ!AA328,NĐ!AE328,NĐ!AI328)))</f>
        <v>0</v>
      </c>
    </row>
    <row r="329" spans="1:12">
      <c r="A329">
        <f>SUMPRODUCT((MONTH(CHOOSE({1,2,3,4},NĐ!T329,NĐ!X329,NĐ!AB329,NĐ!AF329))=1)*(CHOOSE({1,2,3,4},NĐ!W329,NĐ!AA329,NĐ!AE329,NĐ!AI329)))</f>
        <v>0</v>
      </c>
      <c r="B329">
        <f>SUMPRODUCT((MONTH(CHOOSE({1,2,3,4},NĐ!T329,NĐ!X329,NĐ!AB329,NĐ!AF329))=2)*(CHOOSE({1,2,3,4},NĐ!W329,NĐ!AA329,NĐ!AE329,NĐ!AI329)))</f>
        <v>0</v>
      </c>
      <c r="C329">
        <f>SUMPRODUCT((MONTH(CHOOSE({1,2,3,4},NĐ!T329,NĐ!X329,NĐ!AB329,NĐ!AF329))=3)*(CHOOSE({1,2,3,4},NĐ!W329,NĐ!AA329,NĐ!AE329,NĐ!AI329)))</f>
        <v>0</v>
      </c>
      <c r="D329">
        <f>SUMPRODUCT((MONTH(CHOOSE({1,2,3,4},NĐ!T329,NĐ!X329,NĐ!AB329,NĐ!AF329))=4)*(CHOOSE({1,2,3,4},NĐ!W329,NĐ!AA329,NĐ!AE329,NĐ!AI329)))</f>
        <v>0</v>
      </c>
      <c r="E329">
        <f>SUMPRODUCT((MONTH(CHOOSE({1,2,3,4},NĐ!T329,NĐ!X329,NĐ!AB329,NĐ!AF329))=5)*(CHOOSE({1,2,3,4},NĐ!W329,NĐ!AA329,NĐ!AE329,NĐ!AI329)))</f>
        <v>0</v>
      </c>
      <c r="F329">
        <f>SUMPRODUCT((MONTH(CHOOSE({1,2,3,4},NĐ!T329,NĐ!X329,NĐ!AB329,NĐ!AF329))=6)*(CHOOSE({1,2,3,4},NĐ!W329,NĐ!AA329,NĐ!AE329,NĐ!AI329)))</f>
        <v>0</v>
      </c>
      <c r="G329">
        <f>SUMPRODUCT((MONTH(CHOOSE({1,2,3,4},NĐ!T329,NĐ!X329,NĐ!AB329,NĐ!AF329))=7)*(CHOOSE({1,2,3,4},NĐ!W329,NĐ!AA329,NĐ!AE329,NĐ!AI329)))</f>
        <v>0</v>
      </c>
      <c r="H329">
        <f>SUMPRODUCT((MONTH(CHOOSE({1,2,3,4},NĐ!T329,NĐ!X329,NĐ!AB329,NĐ!AF329))=8)*(CHOOSE({1,2,3,4},NĐ!W329,NĐ!AA329,NĐ!AE329,NĐ!AI329)))</f>
        <v>0</v>
      </c>
      <c r="I329">
        <f>SUMPRODUCT((MONTH(CHOOSE({1,2,3,4},NĐ!T329,NĐ!X329,NĐ!AB329,NĐ!AF329))=9)*(CHOOSE({1,2,3,4},NĐ!W329,NĐ!AA329,NĐ!AE329,NĐ!AI329)))</f>
        <v>0</v>
      </c>
      <c r="J329">
        <f>SUMPRODUCT((MONTH(CHOOSE({1,2,3,4},NĐ!T329,NĐ!X329,NĐ!AB329,NĐ!AF329))=10)*(CHOOSE({1,2,3,4},NĐ!W329,NĐ!AA329,NĐ!AE329,NĐ!AI329)))</f>
        <v>0</v>
      </c>
      <c r="K329">
        <f>SUMPRODUCT((MONTH(CHOOSE({1,2,3,4},NĐ!T329,NĐ!X329,NĐ!AB329,NĐ!AF329))=11)*(CHOOSE({1,2,3,4},NĐ!W329,NĐ!AA329,NĐ!AE329,NĐ!AI329)))</f>
        <v>0</v>
      </c>
      <c r="L329">
        <f>SUMPRODUCT((MONTH(CHOOSE({1,2,3,4},NĐ!T329,NĐ!X329,NĐ!AB329,NĐ!AF329))=12)*(CHOOSE({1,2,3,4},NĐ!W329,NĐ!AA329,NĐ!AE329,NĐ!AI329)))</f>
        <v>0</v>
      </c>
    </row>
    <row r="330" spans="1:12">
      <c r="A330">
        <f>SUMPRODUCT((MONTH(CHOOSE({1,2,3,4},NĐ!T330,NĐ!X330,NĐ!AB330,NĐ!AF330))=1)*(CHOOSE({1,2,3,4},NĐ!W330,NĐ!AA330,NĐ!AE330,NĐ!AI330)))</f>
        <v>0</v>
      </c>
      <c r="B330">
        <f>SUMPRODUCT((MONTH(CHOOSE({1,2,3,4},NĐ!T330,NĐ!X330,NĐ!AB330,NĐ!AF330))=2)*(CHOOSE({1,2,3,4},NĐ!W330,NĐ!AA330,NĐ!AE330,NĐ!AI330)))</f>
        <v>0</v>
      </c>
      <c r="C330">
        <f>SUMPRODUCT((MONTH(CHOOSE({1,2,3,4},NĐ!T330,NĐ!X330,NĐ!AB330,NĐ!AF330))=3)*(CHOOSE({1,2,3,4},NĐ!W330,NĐ!AA330,NĐ!AE330,NĐ!AI330)))</f>
        <v>0</v>
      </c>
      <c r="D330">
        <f>SUMPRODUCT((MONTH(CHOOSE({1,2,3,4},NĐ!T330,NĐ!X330,NĐ!AB330,NĐ!AF330))=4)*(CHOOSE({1,2,3,4},NĐ!W330,NĐ!AA330,NĐ!AE330,NĐ!AI330)))</f>
        <v>0</v>
      </c>
      <c r="E330">
        <f>SUMPRODUCT((MONTH(CHOOSE({1,2,3,4},NĐ!T330,NĐ!X330,NĐ!AB330,NĐ!AF330))=5)*(CHOOSE({1,2,3,4},NĐ!W330,NĐ!AA330,NĐ!AE330,NĐ!AI330)))</f>
        <v>0</v>
      </c>
      <c r="F330">
        <f>SUMPRODUCT((MONTH(CHOOSE({1,2,3,4},NĐ!T330,NĐ!X330,NĐ!AB330,NĐ!AF330))=6)*(CHOOSE({1,2,3,4},NĐ!W330,NĐ!AA330,NĐ!AE330,NĐ!AI330)))</f>
        <v>0</v>
      </c>
      <c r="G330">
        <f>SUMPRODUCT((MONTH(CHOOSE({1,2,3,4},NĐ!T330,NĐ!X330,NĐ!AB330,NĐ!AF330))=7)*(CHOOSE({1,2,3,4},NĐ!W330,NĐ!AA330,NĐ!AE330,NĐ!AI330)))</f>
        <v>0</v>
      </c>
      <c r="H330">
        <f>SUMPRODUCT((MONTH(CHOOSE({1,2,3,4},NĐ!T330,NĐ!X330,NĐ!AB330,NĐ!AF330))=8)*(CHOOSE({1,2,3,4},NĐ!W330,NĐ!AA330,NĐ!AE330,NĐ!AI330)))</f>
        <v>0</v>
      </c>
      <c r="I330">
        <f>SUMPRODUCT((MONTH(CHOOSE({1,2,3,4},NĐ!T330,NĐ!X330,NĐ!AB330,NĐ!AF330))=9)*(CHOOSE({1,2,3,4},NĐ!W330,NĐ!AA330,NĐ!AE330,NĐ!AI330)))</f>
        <v>0</v>
      </c>
      <c r="J330">
        <f>SUMPRODUCT((MONTH(CHOOSE({1,2,3,4},NĐ!T330,NĐ!X330,NĐ!AB330,NĐ!AF330))=10)*(CHOOSE({1,2,3,4},NĐ!W330,NĐ!AA330,NĐ!AE330,NĐ!AI330)))</f>
        <v>0</v>
      </c>
      <c r="K330">
        <f>SUMPRODUCT((MONTH(CHOOSE({1,2,3,4},NĐ!T330,NĐ!X330,NĐ!AB330,NĐ!AF330))=11)*(CHOOSE({1,2,3,4},NĐ!W330,NĐ!AA330,NĐ!AE330,NĐ!AI330)))</f>
        <v>0</v>
      </c>
      <c r="L330">
        <f>SUMPRODUCT((MONTH(CHOOSE({1,2,3,4},NĐ!T330,NĐ!X330,NĐ!AB330,NĐ!AF330))=12)*(CHOOSE({1,2,3,4},NĐ!W330,NĐ!AA330,NĐ!AE330,NĐ!AI330)))</f>
        <v>0</v>
      </c>
    </row>
    <row r="331" spans="1:12">
      <c r="A331">
        <f>SUMPRODUCT((MONTH(CHOOSE({1,2,3,4},NĐ!T331,NĐ!X331,NĐ!AB331,NĐ!AF331))=1)*(CHOOSE({1,2,3,4},NĐ!W331,NĐ!AA331,NĐ!AE331,NĐ!AI331)))</f>
        <v>0</v>
      </c>
      <c r="B331">
        <f>SUMPRODUCT((MONTH(CHOOSE({1,2,3,4},NĐ!T331,NĐ!X331,NĐ!AB331,NĐ!AF331))=2)*(CHOOSE({1,2,3,4},NĐ!W331,NĐ!AA331,NĐ!AE331,NĐ!AI331)))</f>
        <v>0</v>
      </c>
      <c r="C331">
        <f>SUMPRODUCT((MONTH(CHOOSE({1,2,3,4},NĐ!T331,NĐ!X331,NĐ!AB331,NĐ!AF331))=3)*(CHOOSE({1,2,3,4},NĐ!W331,NĐ!AA331,NĐ!AE331,NĐ!AI331)))</f>
        <v>0</v>
      </c>
      <c r="D331">
        <f>SUMPRODUCT((MONTH(CHOOSE({1,2,3,4},NĐ!T331,NĐ!X331,NĐ!AB331,NĐ!AF331))=4)*(CHOOSE({1,2,3,4},NĐ!W331,NĐ!AA331,NĐ!AE331,NĐ!AI331)))</f>
        <v>0</v>
      </c>
      <c r="E331">
        <f>SUMPRODUCT((MONTH(CHOOSE({1,2,3,4},NĐ!T331,NĐ!X331,NĐ!AB331,NĐ!AF331))=5)*(CHOOSE({1,2,3,4},NĐ!W331,NĐ!AA331,NĐ!AE331,NĐ!AI331)))</f>
        <v>0</v>
      </c>
      <c r="F331">
        <f>SUMPRODUCT((MONTH(CHOOSE({1,2,3,4},NĐ!T331,NĐ!X331,NĐ!AB331,NĐ!AF331))=6)*(CHOOSE({1,2,3,4},NĐ!W331,NĐ!AA331,NĐ!AE331,NĐ!AI331)))</f>
        <v>0</v>
      </c>
      <c r="G331">
        <f>SUMPRODUCT((MONTH(CHOOSE({1,2,3,4},NĐ!T331,NĐ!X331,NĐ!AB331,NĐ!AF331))=7)*(CHOOSE({1,2,3,4},NĐ!W331,NĐ!AA331,NĐ!AE331,NĐ!AI331)))</f>
        <v>0</v>
      </c>
      <c r="H331">
        <f>SUMPRODUCT((MONTH(CHOOSE({1,2,3,4},NĐ!T331,NĐ!X331,NĐ!AB331,NĐ!AF331))=8)*(CHOOSE({1,2,3,4},NĐ!W331,NĐ!AA331,NĐ!AE331,NĐ!AI331)))</f>
        <v>0</v>
      </c>
      <c r="I331">
        <f>SUMPRODUCT((MONTH(CHOOSE({1,2,3,4},NĐ!T331,NĐ!X331,NĐ!AB331,NĐ!AF331))=9)*(CHOOSE({1,2,3,4},NĐ!W331,NĐ!AA331,NĐ!AE331,NĐ!AI331)))</f>
        <v>0</v>
      </c>
      <c r="J331">
        <f>SUMPRODUCT((MONTH(CHOOSE({1,2,3,4},NĐ!T331,NĐ!X331,NĐ!AB331,NĐ!AF331))=10)*(CHOOSE({1,2,3,4},NĐ!W331,NĐ!AA331,NĐ!AE331,NĐ!AI331)))</f>
        <v>0</v>
      </c>
      <c r="K331">
        <f>SUMPRODUCT((MONTH(CHOOSE({1,2,3,4},NĐ!T331,NĐ!X331,NĐ!AB331,NĐ!AF331))=11)*(CHOOSE({1,2,3,4},NĐ!W331,NĐ!AA331,NĐ!AE331,NĐ!AI331)))</f>
        <v>0</v>
      </c>
      <c r="L331">
        <f>SUMPRODUCT((MONTH(CHOOSE({1,2,3,4},NĐ!T331,NĐ!X331,NĐ!AB331,NĐ!AF331))=12)*(CHOOSE({1,2,3,4},NĐ!W331,NĐ!AA331,NĐ!AE331,NĐ!AI331)))</f>
        <v>0</v>
      </c>
    </row>
    <row r="332" spans="1:12">
      <c r="A332">
        <f>SUMPRODUCT((MONTH(CHOOSE({1,2,3,4},NĐ!T332,NĐ!X332,NĐ!AB332,NĐ!AF332))=1)*(CHOOSE({1,2,3,4},NĐ!W332,NĐ!AA332,NĐ!AE332,NĐ!AI332)))</f>
        <v>0</v>
      </c>
      <c r="B332">
        <f>SUMPRODUCT((MONTH(CHOOSE({1,2,3,4},NĐ!T332,NĐ!X332,NĐ!AB332,NĐ!AF332))=2)*(CHOOSE({1,2,3,4},NĐ!W332,NĐ!AA332,NĐ!AE332,NĐ!AI332)))</f>
        <v>0</v>
      </c>
      <c r="C332">
        <f>SUMPRODUCT((MONTH(CHOOSE({1,2,3,4},NĐ!T332,NĐ!X332,NĐ!AB332,NĐ!AF332))=3)*(CHOOSE({1,2,3,4},NĐ!W332,NĐ!AA332,NĐ!AE332,NĐ!AI332)))</f>
        <v>0</v>
      </c>
      <c r="D332">
        <f>SUMPRODUCT((MONTH(CHOOSE({1,2,3,4},NĐ!T332,NĐ!X332,NĐ!AB332,NĐ!AF332))=4)*(CHOOSE({1,2,3,4},NĐ!W332,NĐ!AA332,NĐ!AE332,NĐ!AI332)))</f>
        <v>0</v>
      </c>
      <c r="E332">
        <f>SUMPRODUCT((MONTH(CHOOSE({1,2,3,4},NĐ!T332,NĐ!X332,NĐ!AB332,NĐ!AF332))=5)*(CHOOSE({1,2,3,4},NĐ!W332,NĐ!AA332,NĐ!AE332,NĐ!AI332)))</f>
        <v>0</v>
      </c>
      <c r="F332">
        <f>SUMPRODUCT((MONTH(CHOOSE({1,2,3,4},NĐ!T332,NĐ!X332,NĐ!AB332,NĐ!AF332))=6)*(CHOOSE({1,2,3,4},NĐ!W332,NĐ!AA332,NĐ!AE332,NĐ!AI332)))</f>
        <v>0</v>
      </c>
      <c r="G332">
        <f>SUMPRODUCT((MONTH(CHOOSE({1,2,3,4},NĐ!T332,NĐ!X332,NĐ!AB332,NĐ!AF332))=7)*(CHOOSE({1,2,3,4},NĐ!W332,NĐ!AA332,NĐ!AE332,NĐ!AI332)))</f>
        <v>0</v>
      </c>
      <c r="H332">
        <f>SUMPRODUCT((MONTH(CHOOSE({1,2,3,4},NĐ!T332,NĐ!X332,NĐ!AB332,NĐ!AF332))=8)*(CHOOSE({1,2,3,4},NĐ!W332,NĐ!AA332,NĐ!AE332,NĐ!AI332)))</f>
        <v>0</v>
      </c>
      <c r="I332">
        <f>SUMPRODUCT((MONTH(CHOOSE({1,2,3,4},NĐ!T332,NĐ!X332,NĐ!AB332,NĐ!AF332))=9)*(CHOOSE({1,2,3,4},NĐ!W332,NĐ!AA332,NĐ!AE332,NĐ!AI332)))</f>
        <v>0</v>
      </c>
      <c r="J332">
        <f>SUMPRODUCT((MONTH(CHOOSE({1,2,3,4},NĐ!T332,NĐ!X332,NĐ!AB332,NĐ!AF332))=10)*(CHOOSE({1,2,3,4},NĐ!W332,NĐ!AA332,NĐ!AE332,NĐ!AI332)))</f>
        <v>0</v>
      </c>
      <c r="K332">
        <f>SUMPRODUCT((MONTH(CHOOSE({1,2,3,4},NĐ!T332,NĐ!X332,NĐ!AB332,NĐ!AF332))=11)*(CHOOSE({1,2,3,4},NĐ!W332,NĐ!AA332,NĐ!AE332,NĐ!AI332)))</f>
        <v>0</v>
      </c>
      <c r="L332">
        <f>SUMPRODUCT((MONTH(CHOOSE({1,2,3,4},NĐ!T332,NĐ!X332,NĐ!AB332,NĐ!AF332))=12)*(CHOOSE({1,2,3,4},NĐ!W332,NĐ!AA332,NĐ!AE332,NĐ!AI332)))</f>
        <v>0</v>
      </c>
    </row>
    <row r="333" spans="1:12">
      <c r="A333">
        <f>SUMPRODUCT((MONTH(CHOOSE({1,2,3,4},NĐ!T333,NĐ!X333,NĐ!AB333,NĐ!AF333))=1)*(CHOOSE({1,2,3,4},NĐ!W333,NĐ!AA333,NĐ!AE333,NĐ!AI333)))</f>
        <v>0</v>
      </c>
      <c r="B333">
        <f>SUMPRODUCT((MONTH(CHOOSE({1,2,3,4},NĐ!T333,NĐ!X333,NĐ!AB333,NĐ!AF333))=2)*(CHOOSE({1,2,3,4},NĐ!W333,NĐ!AA333,NĐ!AE333,NĐ!AI333)))</f>
        <v>0</v>
      </c>
      <c r="C333">
        <f>SUMPRODUCT((MONTH(CHOOSE({1,2,3,4},NĐ!T333,NĐ!X333,NĐ!AB333,NĐ!AF333))=3)*(CHOOSE({1,2,3,4},NĐ!W333,NĐ!AA333,NĐ!AE333,NĐ!AI333)))</f>
        <v>0</v>
      </c>
      <c r="D333">
        <f>SUMPRODUCT((MONTH(CHOOSE({1,2,3,4},NĐ!T333,NĐ!X333,NĐ!AB333,NĐ!AF333))=4)*(CHOOSE({1,2,3,4},NĐ!W333,NĐ!AA333,NĐ!AE333,NĐ!AI333)))</f>
        <v>0</v>
      </c>
      <c r="E333">
        <f>SUMPRODUCT((MONTH(CHOOSE({1,2,3,4},NĐ!T333,NĐ!X333,NĐ!AB333,NĐ!AF333))=5)*(CHOOSE({1,2,3,4},NĐ!W333,NĐ!AA333,NĐ!AE333,NĐ!AI333)))</f>
        <v>0</v>
      </c>
      <c r="F333">
        <f>SUMPRODUCT((MONTH(CHOOSE({1,2,3,4},NĐ!T333,NĐ!X333,NĐ!AB333,NĐ!AF333))=6)*(CHOOSE({1,2,3,4},NĐ!W333,NĐ!AA333,NĐ!AE333,NĐ!AI333)))</f>
        <v>0</v>
      </c>
      <c r="G333">
        <f>SUMPRODUCT((MONTH(CHOOSE({1,2,3,4},NĐ!T333,NĐ!X333,NĐ!AB333,NĐ!AF333))=7)*(CHOOSE({1,2,3,4},NĐ!W333,NĐ!AA333,NĐ!AE333,NĐ!AI333)))</f>
        <v>0</v>
      </c>
      <c r="H333">
        <f>SUMPRODUCT((MONTH(CHOOSE({1,2,3,4},NĐ!T333,NĐ!X333,NĐ!AB333,NĐ!AF333))=8)*(CHOOSE({1,2,3,4},NĐ!W333,NĐ!AA333,NĐ!AE333,NĐ!AI333)))</f>
        <v>0</v>
      </c>
      <c r="I333">
        <f>SUMPRODUCT((MONTH(CHOOSE({1,2,3,4},NĐ!T333,NĐ!X333,NĐ!AB333,NĐ!AF333))=9)*(CHOOSE({1,2,3,4},NĐ!W333,NĐ!AA333,NĐ!AE333,NĐ!AI333)))</f>
        <v>0</v>
      </c>
      <c r="J333">
        <f>SUMPRODUCT((MONTH(CHOOSE({1,2,3,4},NĐ!T333,NĐ!X333,NĐ!AB333,NĐ!AF333))=10)*(CHOOSE({1,2,3,4},NĐ!W333,NĐ!AA333,NĐ!AE333,NĐ!AI333)))</f>
        <v>0</v>
      </c>
      <c r="K333">
        <f>SUMPRODUCT((MONTH(CHOOSE({1,2,3,4},NĐ!T333,NĐ!X333,NĐ!AB333,NĐ!AF333))=11)*(CHOOSE({1,2,3,4},NĐ!W333,NĐ!AA333,NĐ!AE333,NĐ!AI333)))</f>
        <v>0</v>
      </c>
      <c r="L333">
        <f>SUMPRODUCT((MONTH(CHOOSE({1,2,3,4},NĐ!T333,NĐ!X333,NĐ!AB333,NĐ!AF333))=12)*(CHOOSE({1,2,3,4},NĐ!W333,NĐ!AA333,NĐ!AE333,NĐ!AI333)))</f>
        <v>0</v>
      </c>
    </row>
    <row r="334" spans="1:12">
      <c r="A334">
        <f>SUMPRODUCT((MONTH(CHOOSE({1,2,3,4},NĐ!T334,NĐ!X334,NĐ!AB334,NĐ!AF334))=1)*(CHOOSE({1,2,3,4},NĐ!W334,NĐ!AA334,NĐ!AE334,NĐ!AI334)))</f>
        <v>0</v>
      </c>
      <c r="B334">
        <f>SUMPRODUCT((MONTH(CHOOSE({1,2,3,4},NĐ!T334,NĐ!X334,NĐ!AB334,NĐ!AF334))=2)*(CHOOSE({1,2,3,4},NĐ!W334,NĐ!AA334,NĐ!AE334,NĐ!AI334)))</f>
        <v>0</v>
      </c>
      <c r="C334">
        <f>SUMPRODUCT((MONTH(CHOOSE({1,2,3,4},NĐ!T334,NĐ!X334,NĐ!AB334,NĐ!AF334))=3)*(CHOOSE({1,2,3,4},NĐ!W334,NĐ!AA334,NĐ!AE334,NĐ!AI334)))</f>
        <v>0</v>
      </c>
      <c r="D334">
        <f>SUMPRODUCT((MONTH(CHOOSE({1,2,3,4},NĐ!T334,NĐ!X334,NĐ!AB334,NĐ!AF334))=4)*(CHOOSE({1,2,3,4},NĐ!W334,NĐ!AA334,NĐ!AE334,NĐ!AI334)))</f>
        <v>0</v>
      </c>
      <c r="E334">
        <f>SUMPRODUCT((MONTH(CHOOSE({1,2,3,4},NĐ!T334,NĐ!X334,NĐ!AB334,NĐ!AF334))=5)*(CHOOSE({1,2,3,4},NĐ!W334,NĐ!AA334,NĐ!AE334,NĐ!AI334)))</f>
        <v>0</v>
      </c>
      <c r="F334">
        <f>SUMPRODUCT((MONTH(CHOOSE({1,2,3,4},NĐ!T334,NĐ!X334,NĐ!AB334,NĐ!AF334))=6)*(CHOOSE({1,2,3,4},NĐ!W334,NĐ!AA334,NĐ!AE334,NĐ!AI334)))</f>
        <v>0</v>
      </c>
      <c r="G334">
        <f>SUMPRODUCT((MONTH(CHOOSE({1,2,3,4},NĐ!T334,NĐ!X334,NĐ!AB334,NĐ!AF334))=7)*(CHOOSE({1,2,3,4},NĐ!W334,NĐ!AA334,NĐ!AE334,NĐ!AI334)))</f>
        <v>0</v>
      </c>
      <c r="H334">
        <f>SUMPRODUCT((MONTH(CHOOSE({1,2,3,4},NĐ!T334,NĐ!X334,NĐ!AB334,NĐ!AF334))=8)*(CHOOSE({1,2,3,4},NĐ!W334,NĐ!AA334,NĐ!AE334,NĐ!AI334)))</f>
        <v>0</v>
      </c>
      <c r="I334">
        <f>SUMPRODUCT((MONTH(CHOOSE({1,2,3,4},NĐ!T334,NĐ!X334,NĐ!AB334,NĐ!AF334))=9)*(CHOOSE({1,2,3,4},NĐ!W334,NĐ!AA334,NĐ!AE334,NĐ!AI334)))</f>
        <v>0</v>
      </c>
      <c r="J334">
        <f>SUMPRODUCT((MONTH(CHOOSE({1,2,3,4},NĐ!T334,NĐ!X334,NĐ!AB334,NĐ!AF334))=10)*(CHOOSE({1,2,3,4},NĐ!W334,NĐ!AA334,NĐ!AE334,NĐ!AI334)))</f>
        <v>0</v>
      </c>
      <c r="K334">
        <f>SUMPRODUCT((MONTH(CHOOSE({1,2,3,4},NĐ!T334,NĐ!X334,NĐ!AB334,NĐ!AF334))=11)*(CHOOSE({1,2,3,4},NĐ!W334,NĐ!AA334,NĐ!AE334,NĐ!AI334)))</f>
        <v>0</v>
      </c>
      <c r="L334">
        <f>SUMPRODUCT((MONTH(CHOOSE({1,2,3,4},NĐ!T334,NĐ!X334,NĐ!AB334,NĐ!AF334))=12)*(CHOOSE({1,2,3,4},NĐ!W334,NĐ!AA334,NĐ!AE334,NĐ!AI334)))</f>
        <v>0</v>
      </c>
    </row>
    <row r="335" spans="1:12">
      <c r="A335">
        <f>SUMPRODUCT((MONTH(CHOOSE({1,2,3,4},NĐ!T335,NĐ!X335,NĐ!AB335,NĐ!AF335))=1)*(CHOOSE({1,2,3,4},NĐ!W335,NĐ!AA335,NĐ!AE335,NĐ!AI335)))</f>
        <v>0</v>
      </c>
      <c r="B335">
        <f>SUMPRODUCT((MONTH(CHOOSE({1,2,3,4},NĐ!T335,NĐ!X335,NĐ!AB335,NĐ!AF335))=2)*(CHOOSE({1,2,3,4},NĐ!W335,NĐ!AA335,NĐ!AE335,NĐ!AI335)))</f>
        <v>0</v>
      </c>
      <c r="C335">
        <f>SUMPRODUCT((MONTH(CHOOSE({1,2,3,4},NĐ!T335,NĐ!X335,NĐ!AB335,NĐ!AF335))=3)*(CHOOSE({1,2,3,4},NĐ!W335,NĐ!AA335,NĐ!AE335,NĐ!AI335)))</f>
        <v>0</v>
      </c>
      <c r="D335">
        <f>SUMPRODUCT((MONTH(CHOOSE({1,2,3,4},NĐ!T335,NĐ!X335,NĐ!AB335,NĐ!AF335))=4)*(CHOOSE({1,2,3,4},NĐ!W335,NĐ!AA335,NĐ!AE335,NĐ!AI335)))</f>
        <v>0</v>
      </c>
      <c r="E335">
        <f>SUMPRODUCT((MONTH(CHOOSE({1,2,3,4},NĐ!T335,NĐ!X335,NĐ!AB335,NĐ!AF335))=5)*(CHOOSE({1,2,3,4},NĐ!W335,NĐ!AA335,NĐ!AE335,NĐ!AI335)))</f>
        <v>0</v>
      </c>
      <c r="F335">
        <f>SUMPRODUCT((MONTH(CHOOSE({1,2,3,4},NĐ!T335,NĐ!X335,NĐ!AB335,NĐ!AF335))=6)*(CHOOSE({1,2,3,4},NĐ!W335,NĐ!AA335,NĐ!AE335,NĐ!AI335)))</f>
        <v>0</v>
      </c>
      <c r="G335">
        <f>SUMPRODUCT((MONTH(CHOOSE({1,2,3,4},NĐ!T335,NĐ!X335,NĐ!AB335,NĐ!AF335))=7)*(CHOOSE({1,2,3,4},NĐ!W335,NĐ!AA335,NĐ!AE335,NĐ!AI335)))</f>
        <v>0</v>
      </c>
      <c r="H335">
        <f>SUMPRODUCT((MONTH(CHOOSE({1,2,3,4},NĐ!T335,NĐ!X335,NĐ!AB335,NĐ!AF335))=8)*(CHOOSE({1,2,3,4},NĐ!W335,NĐ!AA335,NĐ!AE335,NĐ!AI335)))</f>
        <v>0</v>
      </c>
      <c r="I335">
        <f>SUMPRODUCT((MONTH(CHOOSE({1,2,3,4},NĐ!T335,NĐ!X335,NĐ!AB335,NĐ!AF335))=9)*(CHOOSE({1,2,3,4},NĐ!W335,NĐ!AA335,NĐ!AE335,NĐ!AI335)))</f>
        <v>0</v>
      </c>
      <c r="J335">
        <f>SUMPRODUCT((MONTH(CHOOSE({1,2,3,4},NĐ!T335,NĐ!X335,NĐ!AB335,NĐ!AF335))=10)*(CHOOSE({1,2,3,4},NĐ!W335,NĐ!AA335,NĐ!AE335,NĐ!AI335)))</f>
        <v>0</v>
      </c>
      <c r="K335">
        <f>SUMPRODUCT((MONTH(CHOOSE({1,2,3,4},NĐ!T335,NĐ!X335,NĐ!AB335,NĐ!AF335))=11)*(CHOOSE({1,2,3,4},NĐ!W335,NĐ!AA335,NĐ!AE335,NĐ!AI335)))</f>
        <v>0</v>
      </c>
      <c r="L335">
        <f>SUMPRODUCT((MONTH(CHOOSE({1,2,3,4},NĐ!T335,NĐ!X335,NĐ!AB335,NĐ!AF335))=12)*(CHOOSE({1,2,3,4},NĐ!W335,NĐ!AA335,NĐ!AE335,NĐ!AI335)))</f>
        <v>0</v>
      </c>
    </row>
    <row r="336" spans="1:12">
      <c r="A336">
        <f>SUMPRODUCT((MONTH(CHOOSE({1,2,3,4},NĐ!T336,NĐ!X336,NĐ!AB336,NĐ!AF336))=1)*(CHOOSE({1,2,3,4},NĐ!W336,NĐ!AA336,NĐ!AE336,NĐ!AI336)))</f>
        <v>0</v>
      </c>
      <c r="B336">
        <f>SUMPRODUCT((MONTH(CHOOSE({1,2,3,4},NĐ!T336,NĐ!X336,NĐ!AB336,NĐ!AF336))=2)*(CHOOSE({1,2,3,4},NĐ!W336,NĐ!AA336,NĐ!AE336,NĐ!AI336)))</f>
        <v>0</v>
      </c>
      <c r="C336">
        <f>SUMPRODUCT((MONTH(CHOOSE({1,2,3,4},NĐ!T336,NĐ!X336,NĐ!AB336,NĐ!AF336))=3)*(CHOOSE({1,2,3,4},NĐ!W336,NĐ!AA336,NĐ!AE336,NĐ!AI336)))</f>
        <v>0</v>
      </c>
      <c r="D336">
        <f>SUMPRODUCT((MONTH(CHOOSE({1,2,3,4},NĐ!T336,NĐ!X336,NĐ!AB336,NĐ!AF336))=4)*(CHOOSE({1,2,3,4},NĐ!W336,NĐ!AA336,NĐ!AE336,NĐ!AI336)))</f>
        <v>0</v>
      </c>
      <c r="E336">
        <f>SUMPRODUCT((MONTH(CHOOSE({1,2,3,4},NĐ!T336,NĐ!X336,NĐ!AB336,NĐ!AF336))=5)*(CHOOSE({1,2,3,4},NĐ!W336,NĐ!AA336,NĐ!AE336,NĐ!AI336)))</f>
        <v>0</v>
      </c>
      <c r="F336">
        <f>SUMPRODUCT((MONTH(CHOOSE({1,2,3,4},NĐ!T336,NĐ!X336,NĐ!AB336,NĐ!AF336))=6)*(CHOOSE({1,2,3,4},NĐ!W336,NĐ!AA336,NĐ!AE336,NĐ!AI336)))</f>
        <v>0</v>
      </c>
      <c r="G336">
        <f>SUMPRODUCT((MONTH(CHOOSE({1,2,3,4},NĐ!T336,NĐ!X336,NĐ!AB336,NĐ!AF336))=7)*(CHOOSE({1,2,3,4},NĐ!W336,NĐ!AA336,NĐ!AE336,NĐ!AI336)))</f>
        <v>0</v>
      </c>
      <c r="H336">
        <f>SUMPRODUCT((MONTH(CHOOSE({1,2,3,4},NĐ!T336,NĐ!X336,NĐ!AB336,NĐ!AF336))=8)*(CHOOSE({1,2,3,4},NĐ!W336,NĐ!AA336,NĐ!AE336,NĐ!AI336)))</f>
        <v>0</v>
      </c>
      <c r="I336">
        <f>SUMPRODUCT((MONTH(CHOOSE({1,2,3,4},NĐ!T336,NĐ!X336,NĐ!AB336,NĐ!AF336))=9)*(CHOOSE({1,2,3,4},NĐ!W336,NĐ!AA336,NĐ!AE336,NĐ!AI336)))</f>
        <v>0</v>
      </c>
      <c r="J336">
        <f>SUMPRODUCT((MONTH(CHOOSE({1,2,3,4},NĐ!T336,NĐ!X336,NĐ!AB336,NĐ!AF336))=10)*(CHOOSE({1,2,3,4},NĐ!W336,NĐ!AA336,NĐ!AE336,NĐ!AI336)))</f>
        <v>0</v>
      </c>
      <c r="K336">
        <f>SUMPRODUCT((MONTH(CHOOSE({1,2,3,4},NĐ!T336,NĐ!X336,NĐ!AB336,NĐ!AF336))=11)*(CHOOSE({1,2,3,4},NĐ!W336,NĐ!AA336,NĐ!AE336,NĐ!AI336)))</f>
        <v>0</v>
      </c>
      <c r="L336">
        <f>SUMPRODUCT((MONTH(CHOOSE({1,2,3,4},NĐ!T336,NĐ!X336,NĐ!AB336,NĐ!AF336))=12)*(CHOOSE({1,2,3,4},NĐ!W336,NĐ!AA336,NĐ!AE336,NĐ!AI336)))</f>
        <v>0</v>
      </c>
    </row>
    <row r="337" spans="1:12">
      <c r="A337">
        <f>SUMPRODUCT((MONTH(CHOOSE({1,2,3,4},NĐ!T337,NĐ!X337,NĐ!AB337,NĐ!AF337))=1)*(CHOOSE({1,2,3,4},NĐ!W337,NĐ!AA337,NĐ!AE337,NĐ!AI337)))</f>
        <v>0</v>
      </c>
      <c r="B337">
        <f>SUMPRODUCT((MONTH(CHOOSE({1,2,3,4},NĐ!T337,NĐ!X337,NĐ!AB337,NĐ!AF337))=2)*(CHOOSE({1,2,3,4},NĐ!W337,NĐ!AA337,NĐ!AE337,NĐ!AI337)))</f>
        <v>0</v>
      </c>
      <c r="C337">
        <f>SUMPRODUCT((MONTH(CHOOSE({1,2,3,4},NĐ!T337,NĐ!X337,NĐ!AB337,NĐ!AF337))=3)*(CHOOSE({1,2,3,4},NĐ!W337,NĐ!AA337,NĐ!AE337,NĐ!AI337)))</f>
        <v>0</v>
      </c>
      <c r="D337">
        <f>SUMPRODUCT((MONTH(CHOOSE({1,2,3,4},NĐ!T337,NĐ!X337,NĐ!AB337,NĐ!AF337))=4)*(CHOOSE({1,2,3,4},NĐ!W337,NĐ!AA337,NĐ!AE337,NĐ!AI337)))</f>
        <v>0</v>
      </c>
      <c r="E337">
        <f>SUMPRODUCT((MONTH(CHOOSE({1,2,3,4},NĐ!T337,NĐ!X337,NĐ!AB337,NĐ!AF337))=5)*(CHOOSE({1,2,3,4},NĐ!W337,NĐ!AA337,NĐ!AE337,NĐ!AI337)))</f>
        <v>0</v>
      </c>
      <c r="F337">
        <f>SUMPRODUCT((MONTH(CHOOSE({1,2,3,4},NĐ!T337,NĐ!X337,NĐ!AB337,NĐ!AF337))=6)*(CHOOSE({1,2,3,4},NĐ!W337,NĐ!AA337,NĐ!AE337,NĐ!AI337)))</f>
        <v>0</v>
      </c>
      <c r="G337">
        <f>SUMPRODUCT((MONTH(CHOOSE({1,2,3,4},NĐ!T337,NĐ!X337,NĐ!AB337,NĐ!AF337))=7)*(CHOOSE({1,2,3,4},NĐ!W337,NĐ!AA337,NĐ!AE337,NĐ!AI337)))</f>
        <v>0</v>
      </c>
      <c r="H337">
        <f>SUMPRODUCT((MONTH(CHOOSE({1,2,3,4},NĐ!T337,NĐ!X337,NĐ!AB337,NĐ!AF337))=8)*(CHOOSE({1,2,3,4},NĐ!W337,NĐ!AA337,NĐ!AE337,NĐ!AI337)))</f>
        <v>0</v>
      </c>
      <c r="I337">
        <f>SUMPRODUCT((MONTH(CHOOSE({1,2,3,4},NĐ!T337,NĐ!X337,NĐ!AB337,NĐ!AF337))=9)*(CHOOSE({1,2,3,4},NĐ!W337,NĐ!AA337,NĐ!AE337,NĐ!AI337)))</f>
        <v>0</v>
      </c>
      <c r="J337">
        <f>SUMPRODUCT((MONTH(CHOOSE({1,2,3,4},NĐ!T337,NĐ!X337,NĐ!AB337,NĐ!AF337))=10)*(CHOOSE({1,2,3,4},NĐ!W337,NĐ!AA337,NĐ!AE337,NĐ!AI337)))</f>
        <v>0</v>
      </c>
      <c r="K337">
        <f>SUMPRODUCT((MONTH(CHOOSE({1,2,3,4},NĐ!T337,NĐ!X337,NĐ!AB337,NĐ!AF337))=11)*(CHOOSE({1,2,3,4},NĐ!W337,NĐ!AA337,NĐ!AE337,NĐ!AI337)))</f>
        <v>0</v>
      </c>
      <c r="L337">
        <f>SUMPRODUCT((MONTH(CHOOSE({1,2,3,4},NĐ!T337,NĐ!X337,NĐ!AB337,NĐ!AF337))=12)*(CHOOSE({1,2,3,4},NĐ!W337,NĐ!AA337,NĐ!AE337,NĐ!AI337)))</f>
        <v>0</v>
      </c>
    </row>
    <row r="338" spans="1:12">
      <c r="A338">
        <f>SUMPRODUCT((MONTH(CHOOSE({1,2,3,4},NĐ!T338,NĐ!X338,NĐ!AB338,NĐ!AF338))=1)*(CHOOSE({1,2,3,4},NĐ!W338,NĐ!AA338,NĐ!AE338,NĐ!AI338)))</f>
        <v>0</v>
      </c>
      <c r="B338">
        <f>SUMPRODUCT((MONTH(CHOOSE({1,2,3,4},NĐ!T338,NĐ!X338,NĐ!AB338,NĐ!AF338))=2)*(CHOOSE({1,2,3,4},NĐ!W338,NĐ!AA338,NĐ!AE338,NĐ!AI338)))</f>
        <v>0</v>
      </c>
      <c r="C338">
        <f>SUMPRODUCT((MONTH(CHOOSE({1,2,3,4},NĐ!T338,NĐ!X338,NĐ!AB338,NĐ!AF338))=3)*(CHOOSE({1,2,3,4},NĐ!W338,NĐ!AA338,NĐ!AE338,NĐ!AI338)))</f>
        <v>0</v>
      </c>
      <c r="D338">
        <f>SUMPRODUCT((MONTH(CHOOSE({1,2,3,4},NĐ!T338,NĐ!X338,NĐ!AB338,NĐ!AF338))=4)*(CHOOSE({1,2,3,4},NĐ!W338,NĐ!AA338,NĐ!AE338,NĐ!AI338)))</f>
        <v>0</v>
      </c>
      <c r="E338">
        <f>SUMPRODUCT((MONTH(CHOOSE({1,2,3,4},NĐ!T338,NĐ!X338,NĐ!AB338,NĐ!AF338))=5)*(CHOOSE({1,2,3,4},NĐ!W338,NĐ!AA338,NĐ!AE338,NĐ!AI338)))</f>
        <v>0</v>
      </c>
      <c r="F338">
        <f>SUMPRODUCT((MONTH(CHOOSE({1,2,3,4},NĐ!T338,NĐ!X338,NĐ!AB338,NĐ!AF338))=6)*(CHOOSE({1,2,3,4},NĐ!W338,NĐ!AA338,NĐ!AE338,NĐ!AI338)))</f>
        <v>0</v>
      </c>
      <c r="G338">
        <f>SUMPRODUCT((MONTH(CHOOSE({1,2,3,4},NĐ!T338,NĐ!X338,NĐ!AB338,NĐ!AF338))=7)*(CHOOSE({1,2,3,4},NĐ!W338,NĐ!AA338,NĐ!AE338,NĐ!AI338)))</f>
        <v>0</v>
      </c>
      <c r="H338">
        <f>SUMPRODUCT((MONTH(CHOOSE({1,2,3,4},NĐ!T338,NĐ!X338,NĐ!AB338,NĐ!AF338))=8)*(CHOOSE({1,2,3,4},NĐ!W338,NĐ!AA338,NĐ!AE338,NĐ!AI338)))</f>
        <v>0</v>
      </c>
      <c r="I338">
        <f>SUMPRODUCT((MONTH(CHOOSE({1,2,3,4},NĐ!T338,NĐ!X338,NĐ!AB338,NĐ!AF338))=9)*(CHOOSE({1,2,3,4},NĐ!W338,NĐ!AA338,NĐ!AE338,NĐ!AI338)))</f>
        <v>0</v>
      </c>
      <c r="J338">
        <f>SUMPRODUCT((MONTH(CHOOSE({1,2,3,4},NĐ!T338,NĐ!X338,NĐ!AB338,NĐ!AF338))=10)*(CHOOSE({1,2,3,4},NĐ!W338,NĐ!AA338,NĐ!AE338,NĐ!AI338)))</f>
        <v>0</v>
      </c>
      <c r="K338">
        <f>SUMPRODUCT((MONTH(CHOOSE({1,2,3,4},NĐ!T338,NĐ!X338,NĐ!AB338,NĐ!AF338))=11)*(CHOOSE({1,2,3,4},NĐ!W338,NĐ!AA338,NĐ!AE338,NĐ!AI338)))</f>
        <v>0</v>
      </c>
      <c r="L338">
        <f>SUMPRODUCT((MONTH(CHOOSE({1,2,3,4},NĐ!T338,NĐ!X338,NĐ!AB338,NĐ!AF338))=12)*(CHOOSE({1,2,3,4},NĐ!W338,NĐ!AA338,NĐ!AE338,NĐ!AI338)))</f>
        <v>0</v>
      </c>
    </row>
    <row r="339" spans="1:12">
      <c r="A339">
        <f>SUMPRODUCT((MONTH(CHOOSE({1,2,3,4},NĐ!T339,NĐ!X339,NĐ!AB339,NĐ!AF339))=1)*(CHOOSE({1,2,3,4},NĐ!W339,NĐ!AA339,NĐ!AE339,NĐ!AI339)))</f>
        <v>0</v>
      </c>
      <c r="B339">
        <f>SUMPRODUCT((MONTH(CHOOSE({1,2,3,4},NĐ!T339,NĐ!X339,NĐ!AB339,NĐ!AF339))=2)*(CHOOSE({1,2,3,4},NĐ!W339,NĐ!AA339,NĐ!AE339,NĐ!AI339)))</f>
        <v>0</v>
      </c>
      <c r="C339">
        <f>SUMPRODUCT((MONTH(CHOOSE({1,2,3,4},NĐ!T339,NĐ!X339,NĐ!AB339,NĐ!AF339))=3)*(CHOOSE({1,2,3,4},NĐ!W339,NĐ!AA339,NĐ!AE339,NĐ!AI339)))</f>
        <v>0</v>
      </c>
      <c r="D339">
        <f>SUMPRODUCT((MONTH(CHOOSE({1,2,3,4},NĐ!T339,NĐ!X339,NĐ!AB339,NĐ!AF339))=4)*(CHOOSE({1,2,3,4},NĐ!W339,NĐ!AA339,NĐ!AE339,NĐ!AI339)))</f>
        <v>0</v>
      </c>
      <c r="E339">
        <f>SUMPRODUCT((MONTH(CHOOSE({1,2,3,4},NĐ!T339,NĐ!X339,NĐ!AB339,NĐ!AF339))=5)*(CHOOSE({1,2,3,4},NĐ!W339,NĐ!AA339,NĐ!AE339,NĐ!AI339)))</f>
        <v>0</v>
      </c>
      <c r="F339">
        <f>SUMPRODUCT((MONTH(CHOOSE({1,2,3,4},NĐ!T339,NĐ!X339,NĐ!AB339,NĐ!AF339))=6)*(CHOOSE({1,2,3,4},NĐ!W339,NĐ!AA339,NĐ!AE339,NĐ!AI339)))</f>
        <v>0</v>
      </c>
      <c r="G339">
        <f>SUMPRODUCT((MONTH(CHOOSE({1,2,3,4},NĐ!T339,NĐ!X339,NĐ!AB339,NĐ!AF339))=7)*(CHOOSE({1,2,3,4},NĐ!W339,NĐ!AA339,NĐ!AE339,NĐ!AI339)))</f>
        <v>0</v>
      </c>
      <c r="H339">
        <f>SUMPRODUCT((MONTH(CHOOSE({1,2,3,4},NĐ!T339,NĐ!X339,NĐ!AB339,NĐ!AF339))=8)*(CHOOSE({1,2,3,4},NĐ!W339,NĐ!AA339,NĐ!AE339,NĐ!AI339)))</f>
        <v>0</v>
      </c>
      <c r="I339">
        <f>SUMPRODUCT((MONTH(CHOOSE({1,2,3,4},NĐ!T339,NĐ!X339,NĐ!AB339,NĐ!AF339))=9)*(CHOOSE({1,2,3,4},NĐ!W339,NĐ!AA339,NĐ!AE339,NĐ!AI339)))</f>
        <v>0</v>
      </c>
      <c r="J339">
        <f>SUMPRODUCT((MONTH(CHOOSE({1,2,3,4},NĐ!T339,NĐ!X339,NĐ!AB339,NĐ!AF339))=10)*(CHOOSE({1,2,3,4},NĐ!W339,NĐ!AA339,NĐ!AE339,NĐ!AI339)))</f>
        <v>0</v>
      </c>
      <c r="K339">
        <f>SUMPRODUCT((MONTH(CHOOSE({1,2,3,4},NĐ!T339,NĐ!X339,NĐ!AB339,NĐ!AF339))=11)*(CHOOSE({1,2,3,4},NĐ!W339,NĐ!AA339,NĐ!AE339,NĐ!AI339)))</f>
        <v>0</v>
      </c>
      <c r="L339">
        <f>SUMPRODUCT((MONTH(CHOOSE({1,2,3,4},NĐ!T339,NĐ!X339,NĐ!AB339,NĐ!AF339))=12)*(CHOOSE({1,2,3,4},NĐ!W339,NĐ!AA339,NĐ!AE339,NĐ!AI339)))</f>
        <v>0</v>
      </c>
    </row>
    <row r="340" spans="1:12">
      <c r="A340">
        <f>SUMPRODUCT((MONTH(CHOOSE({1,2,3,4},NĐ!T340,NĐ!X340,NĐ!AB340,NĐ!AF340))=1)*(CHOOSE({1,2,3,4},NĐ!W340,NĐ!AA340,NĐ!AE340,NĐ!AI340)))</f>
        <v>0</v>
      </c>
      <c r="B340">
        <f>SUMPRODUCT((MONTH(CHOOSE({1,2,3,4},NĐ!T340,NĐ!X340,NĐ!AB340,NĐ!AF340))=2)*(CHOOSE({1,2,3,4},NĐ!W340,NĐ!AA340,NĐ!AE340,NĐ!AI340)))</f>
        <v>0</v>
      </c>
      <c r="C340">
        <f>SUMPRODUCT((MONTH(CHOOSE({1,2,3,4},NĐ!T340,NĐ!X340,NĐ!AB340,NĐ!AF340))=3)*(CHOOSE({1,2,3,4},NĐ!W340,NĐ!AA340,NĐ!AE340,NĐ!AI340)))</f>
        <v>0</v>
      </c>
      <c r="D340">
        <f>SUMPRODUCT((MONTH(CHOOSE({1,2,3,4},NĐ!T340,NĐ!X340,NĐ!AB340,NĐ!AF340))=4)*(CHOOSE({1,2,3,4},NĐ!W340,NĐ!AA340,NĐ!AE340,NĐ!AI340)))</f>
        <v>0</v>
      </c>
      <c r="E340">
        <f>SUMPRODUCT((MONTH(CHOOSE({1,2,3,4},NĐ!T340,NĐ!X340,NĐ!AB340,NĐ!AF340))=5)*(CHOOSE({1,2,3,4},NĐ!W340,NĐ!AA340,NĐ!AE340,NĐ!AI340)))</f>
        <v>0</v>
      </c>
      <c r="F340">
        <f>SUMPRODUCT((MONTH(CHOOSE({1,2,3,4},NĐ!T340,NĐ!X340,NĐ!AB340,NĐ!AF340))=6)*(CHOOSE({1,2,3,4},NĐ!W340,NĐ!AA340,NĐ!AE340,NĐ!AI340)))</f>
        <v>0</v>
      </c>
      <c r="G340">
        <f>SUMPRODUCT((MONTH(CHOOSE({1,2,3,4},NĐ!T340,NĐ!X340,NĐ!AB340,NĐ!AF340))=7)*(CHOOSE({1,2,3,4},NĐ!W340,NĐ!AA340,NĐ!AE340,NĐ!AI340)))</f>
        <v>0</v>
      </c>
      <c r="H340">
        <f>SUMPRODUCT((MONTH(CHOOSE({1,2,3,4},NĐ!T340,NĐ!X340,NĐ!AB340,NĐ!AF340))=8)*(CHOOSE({1,2,3,4},NĐ!W340,NĐ!AA340,NĐ!AE340,NĐ!AI340)))</f>
        <v>0</v>
      </c>
      <c r="I340">
        <f>SUMPRODUCT((MONTH(CHOOSE({1,2,3,4},NĐ!T340,NĐ!X340,NĐ!AB340,NĐ!AF340))=9)*(CHOOSE({1,2,3,4},NĐ!W340,NĐ!AA340,NĐ!AE340,NĐ!AI340)))</f>
        <v>0</v>
      </c>
      <c r="J340">
        <f>SUMPRODUCT((MONTH(CHOOSE({1,2,3,4},NĐ!T340,NĐ!X340,NĐ!AB340,NĐ!AF340))=10)*(CHOOSE({1,2,3,4},NĐ!W340,NĐ!AA340,NĐ!AE340,NĐ!AI340)))</f>
        <v>0</v>
      </c>
      <c r="K340">
        <f>SUMPRODUCT((MONTH(CHOOSE({1,2,3,4},NĐ!T340,NĐ!X340,NĐ!AB340,NĐ!AF340))=11)*(CHOOSE({1,2,3,4},NĐ!W340,NĐ!AA340,NĐ!AE340,NĐ!AI340)))</f>
        <v>0</v>
      </c>
      <c r="L340">
        <f>SUMPRODUCT((MONTH(CHOOSE({1,2,3,4},NĐ!T340,NĐ!X340,NĐ!AB340,NĐ!AF340))=12)*(CHOOSE({1,2,3,4},NĐ!W340,NĐ!AA340,NĐ!AE340,NĐ!AI340)))</f>
        <v>0</v>
      </c>
    </row>
    <row r="341" spans="1:12">
      <c r="A341">
        <f>SUMPRODUCT((MONTH(CHOOSE({1,2,3,4},NĐ!T341,NĐ!X341,NĐ!AB341,NĐ!AF341))=1)*(CHOOSE({1,2,3,4},NĐ!W341,NĐ!AA341,NĐ!AE341,NĐ!AI341)))</f>
        <v>0</v>
      </c>
      <c r="B341">
        <f>SUMPRODUCT((MONTH(CHOOSE({1,2,3,4},NĐ!T341,NĐ!X341,NĐ!AB341,NĐ!AF341))=2)*(CHOOSE({1,2,3,4},NĐ!W341,NĐ!AA341,NĐ!AE341,NĐ!AI341)))</f>
        <v>0</v>
      </c>
      <c r="C341">
        <f>SUMPRODUCT((MONTH(CHOOSE({1,2,3,4},NĐ!T341,NĐ!X341,NĐ!AB341,NĐ!AF341))=3)*(CHOOSE({1,2,3,4},NĐ!W341,NĐ!AA341,NĐ!AE341,NĐ!AI341)))</f>
        <v>0</v>
      </c>
      <c r="D341">
        <f>SUMPRODUCT((MONTH(CHOOSE({1,2,3,4},NĐ!T341,NĐ!X341,NĐ!AB341,NĐ!AF341))=4)*(CHOOSE({1,2,3,4},NĐ!W341,NĐ!AA341,NĐ!AE341,NĐ!AI341)))</f>
        <v>0</v>
      </c>
      <c r="E341">
        <f>SUMPRODUCT((MONTH(CHOOSE({1,2,3,4},NĐ!T341,NĐ!X341,NĐ!AB341,NĐ!AF341))=5)*(CHOOSE({1,2,3,4},NĐ!W341,NĐ!AA341,NĐ!AE341,NĐ!AI341)))</f>
        <v>0</v>
      </c>
      <c r="F341">
        <f>SUMPRODUCT((MONTH(CHOOSE({1,2,3,4},NĐ!T341,NĐ!X341,NĐ!AB341,NĐ!AF341))=6)*(CHOOSE({1,2,3,4},NĐ!W341,NĐ!AA341,NĐ!AE341,NĐ!AI341)))</f>
        <v>0</v>
      </c>
      <c r="G341">
        <f>SUMPRODUCT((MONTH(CHOOSE({1,2,3,4},NĐ!T341,NĐ!X341,NĐ!AB341,NĐ!AF341))=7)*(CHOOSE({1,2,3,4},NĐ!W341,NĐ!AA341,NĐ!AE341,NĐ!AI341)))</f>
        <v>0</v>
      </c>
      <c r="H341">
        <f>SUMPRODUCT((MONTH(CHOOSE({1,2,3,4},NĐ!T341,NĐ!X341,NĐ!AB341,NĐ!AF341))=8)*(CHOOSE({1,2,3,4},NĐ!W341,NĐ!AA341,NĐ!AE341,NĐ!AI341)))</f>
        <v>0</v>
      </c>
      <c r="I341">
        <f>SUMPRODUCT((MONTH(CHOOSE({1,2,3,4},NĐ!T341,NĐ!X341,NĐ!AB341,NĐ!AF341))=9)*(CHOOSE({1,2,3,4},NĐ!W341,NĐ!AA341,NĐ!AE341,NĐ!AI341)))</f>
        <v>0</v>
      </c>
      <c r="J341">
        <f>SUMPRODUCT((MONTH(CHOOSE({1,2,3,4},NĐ!T341,NĐ!X341,NĐ!AB341,NĐ!AF341))=10)*(CHOOSE({1,2,3,4},NĐ!W341,NĐ!AA341,NĐ!AE341,NĐ!AI341)))</f>
        <v>0</v>
      </c>
      <c r="K341">
        <f>SUMPRODUCT((MONTH(CHOOSE({1,2,3,4},NĐ!T341,NĐ!X341,NĐ!AB341,NĐ!AF341))=11)*(CHOOSE({1,2,3,4},NĐ!W341,NĐ!AA341,NĐ!AE341,NĐ!AI341)))</f>
        <v>0</v>
      </c>
      <c r="L341">
        <f>SUMPRODUCT((MONTH(CHOOSE({1,2,3,4},NĐ!T341,NĐ!X341,NĐ!AB341,NĐ!AF341))=12)*(CHOOSE({1,2,3,4},NĐ!W341,NĐ!AA341,NĐ!AE341,NĐ!AI341)))</f>
        <v>0</v>
      </c>
    </row>
    <row r="342" spans="1:12">
      <c r="A342">
        <f>SUMPRODUCT((MONTH(CHOOSE({1,2,3,4},NĐ!T342,NĐ!X342,NĐ!AB342,NĐ!AF342))=1)*(CHOOSE({1,2,3,4},NĐ!W342,NĐ!AA342,NĐ!AE342,NĐ!AI342)))</f>
        <v>0</v>
      </c>
      <c r="B342">
        <f>SUMPRODUCT((MONTH(CHOOSE({1,2,3,4},NĐ!T342,NĐ!X342,NĐ!AB342,NĐ!AF342))=2)*(CHOOSE({1,2,3,4},NĐ!W342,NĐ!AA342,NĐ!AE342,NĐ!AI342)))</f>
        <v>0</v>
      </c>
      <c r="C342">
        <f>SUMPRODUCT((MONTH(CHOOSE({1,2,3,4},NĐ!T342,NĐ!X342,NĐ!AB342,NĐ!AF342))=3)*(CHOOSE({1,2,3,4},NĐ!W342,NĐ!AA342,NĐ!AE342,NĐ!AI342)))</f>
        <v>0</v>
      </c>
      <c r="D342">
        <f>SUMPRODUCT((MONTH(CHOOSE({1,2,3,4},NĐ!T342,NĐ!X342,NĐ!AB342,NĐ!AF342))=4)*(CHOOSE({1,2,3,4},NĐ!W342,NĐ!AA342,NĐ!AE342,NĐ!AI342)))</f>
        <v>0</v>
      </c>
      <c r="E342">
        <f>SUMPRODUCT((MONTH(CHOOSE({1,2,3,4},NĐ!T342,NĐ!X342,NĐ!AB342,NĐ!AF342))=5)*(CHOOSE({1,2,3,4},NĐ!W342,NĐ!AA342,NĐ!AE342,NĐ!AI342)))</f>
        <v>0</v>
      </c>
      <c r="F342">
        <f>SUMPRODUCT((MONTH(CHOOSE({1,2,3,4},NĐ!T342,NĐ!X342,NĐ!AB342,NĐ!AF342))=6)*(CHOOSE({1,2,3,4},NĐ!W342,NĐ!AA342,NĐ!AE342,NĐ!AI342)))</f>
        <v>0</v>
      </c>
      <c r="G342">
        <f>SUMPRODUCT((MONTH(CHOOSE({1,2,3,4},NĐ!T342,NĐ!X342,NĐ!AB342,NĐ!AF342))=7)*(CHOOSE({1,2,3,4},NĐ!W342,NĐ!AA342,NĐ!AE342,NĐ!AI342)))</f>
        <v>0</v>
      </c>
      <c r="H342">
        <f>SUMPRODUCT((MONTH(CHOOSE({1,2,3,4},NĐ!T342,NĐ!X342,NĐ!AB342,NĐ!AF342))=8)*(CHOOSE({1,2,3,4},NĐ!W342,NĐ!AA342,NĐ!AE342,NĐ!AI342)))</f>
        <v>0</v>
      </c>
      <c r="I342">
        <f>SUMPRODUCT((MONTH(CHOOSE({1,2,3,4},NĐ!T342,NĐ!X342,NĐ!AB342,NĐ!AF342))=9)*(CHOOSE({1,2,3,4},NĐ!W342,NĐ!AA342,NĐ!AE342,NĐ!AI342)))</f>
        <v>0</v>
      </c>
      <c r="J342">
        <f>SUMPRODUCT((MONTH(CHOOSE({1,2,3,4},NĐ!T342,NĐ!X342,NĐ!AB342,NĐ!AF342))=10)*(CHOOSE({1,2,3,4},NĐ!W342,NĐ!AA342,NĐ!AE342,NĐ!AI342)))</f>
        <v>0</v>
      </c>
      <c r="K342">
        <f>SUMPRODUCT((MONTH(CHOOSE({1,2,3,4},NĐ!T342,NĐ!X342,NĐ!AB342,NĐ!AF342))=11)*(CHOOSE({1,2,3,4},NĐ!W342,NĐ!AA342,NĐ!AE342,NĐ!AI342)))</f>
        <v>0</v>
      </c>
      <c r="L342">
        <f>SUMPRODUCT((MONTH(CHOOSE({1,2,3,4},NĐ!T342,NĐ!X342,NĐ!AB342,NĐ!AF342))=12)*(CHOOSE({1,2,3,4},NĐ!W342,NĐ!AA342,NĐ!AE342,NĐ!AI342)))</f>
        <v>0</v>
      </c>
    </row>
    <row r="343" spans="1:12">
      <c r="A343">
        <f>SUMPRODUCT((MONTH(CHOOSE({1,2,3,4},NĐ!T343,NĐ!X343,NĐ!AB343,NĐ!AF343))=1)*(CHOOSE({1,2,3,4},NĐ!W343,NĐ!AA343,NĐ!AE343,NĐ!AI343)))</f>
        <v>0</v>
      </c>
      <c r="B343">
        <f>SUMPRODUCT((MONTH(CHOOSE({1,2,3,4},NĐ!T343,NĐ!X343,NĐ!AB343,NĐ!AF343))=2)*(CHOOSE({1,2,3,4},NĐ!W343,NĐ!AA343,NĐ!AE343,NĐ!AI343)))</f>
        <v>0</v>
      </c>
      <c r="C343">
        <f>SUMPRODUCT((MONTH(CHOOSE({1,2,3,4},NĐ!T343,NĐ!X343,NĐ!AB343,NĐ!AF343))=3)*(CHOOSE({1,2,3,4},NĐ!W343,NĐ!AA343,NĐ!AE343,NĐ!AI343)))</f>
        <v>0</v>
      </c>
      <c r="D343">
        <f>SUMPRODUCT((MONTH(CHOOSE({1,2,3,4},NĐ!T343,NĐ!X343,NĐ!AB343,NĐ!AF343))=4)*(CHOOSE({1,2,3,4},NĐ!W343,NĐ!AA343,NĐ!AE343,NĐ!AI343)))</f>
        <v>0</v>
      </c>
      <c r="E343">
        <f>SUMPRODUCT((MONTH(CHOOSE({1,2,3,4},NĐ!T343,NĐ!X343,NĐ!AB343,NĐ!AF343))=5)*(CHOOSE({1,2,3,4},NĐ!W343,NĐ!AA343,NĐ!AE343,NĐ!AI343)))</f>
        <v>0</v>
      </c>
      <c r="F343">
        <f>SUMPRODUCT((MONTH(CHOOSE({1,2,3,4},NĐ!T343,NĐ!X343,NĐ!AB343,NĐ!AF343))=6)*(CHOOSE({1,2,3,4},NĐ!W343,NĐ!AA343,NĐ!AE343,NĐ!AI343)))</f>
        <v>0</v>
      </c>
      <c r="G343">
        <f>SUMPRODUCT((MONTH(CHOOSE({1,2,3,4},NĐ!T343,NĐ!X343,NĐ!AB343,NĐ!AF343))=7)*(CHOOSE({1,2,3,4},NĐ!W343,NĐ!AA343,NĐ!AE343,NĐ!AI343)))</f>
        <v>0</v>
      </c>
      <c r="H343">
        <f>SUMPRODUCT((MONTH(CHOOSE({1,2,3,4},NĐ!T343,NĐ!X343,NĐ!AB343,NĐ!AF343))=8)*(CHOOSE({1,2,3,4},NĐ!W343,NĐ!AA343,NĐ!AE343,NĐ!AI343)))</f>
        <v>0</v>
      </c>
      <c r="I343">
        <f>SUMPRODUCT((MONTH(CHOOSE({1,2,3,4},NĐ!T343,NĐ!X343,NĐ!AB343,NĐ!AF343))=9)*(CHOOSE({1,2,3,4},NĐ!W343,NĐ!AA343,NĐ!AE343,NĐ!AI343)))</f>
        <v>0</v>
      </c>
      <c r="J343">
        <f>SUMPRODUCT((MONTH(CHOOSE({1,2,3,4},NĐ!T343,NĐ!X343,NĐ!AB343,NĐ!AF343))=10)*(CHOOSE({1,2,3,4},NĐ!W343,NĐ!AA343,NĐ!AE343,NĐ!AI343)))</f>
        <v>0</v>
      </c>
      <c r="K343">
        <f>SUMPRODUCT((MONTH(CHOOSE({1,2,3,4},NĐ!T343,NĐ!X343,NĐ!AB343,NĐ!AF343))=11)*(CHOOSE({1,2,3,4},NĐ!W343,NĐ!AA343,NĐ!AE343,NĐ!AI343)))</f>
        <v>0</v>
      </c>
      <c r="L343">
        <f>SUMPRODUCT((MONTH(CHOOSE({1,2,3,4},NĐ!T343,NĐ!X343,NĐ!AB343,NĐ!AF343))=12)*(CHOOSE({1,2,3,4},NĐ!W343,NĐ!AA343,NĐ!AE343,NĐ!AI343)))</f>
        <v>0</v>
      </c>
    </row>
    <row r="344" spans="1:12">
      <c r="A344">
        <f>SUMPRODUCT((MONTH(CHOOSE({1,2,3,4},NĐ!T344,NĐ!X344,NĐ!AB344,NĐ!AF344))=1)*(CHOOSE({1,2,3,4},NĐ!W344,NĐ!AA344,NĐ!AE344,NĐ!AI344)))</f>
        <v>0</v>
      </c>
      <c r="B344">
        <f>SUMPRODUCT((MONTH(CHOOSE({1,2,3,4},NĐ!T344,NĐ!X344,NĐ!AB344,NĐ!AF344))=2)*(CHOOSE({1,2,3,4},NĐ!W344,NĐ!AA344,NĐ!AE344,NĐ!AI344)))</f>
        <v>0</v>
      </c>
      <c r="C344">
        <f>SUMPRODUCT((MONTH(CHOOSE({1,2,3,4},NĐ!T344,NĐ!X344,NĐ!AB344,NĐ!AF344))=3)*(CHOOSE({1,2,3,4},NĐ!W344,NĐ!AA344,NĐ!AE344,NĐ!AI344)))</f>
        <v>0</v>
      </c>
      <c r="D344">
        <f>SUMPRODUCT((MONTH(CHOOSE({1,2,3,4},NĐ!T344,NĐ!X344,NĐ!AB344,NĐ!AF344))=4)*(CHOOSE({1,2,3,4},NĐ!W344,NĐ!AA344,NĐ!AE344,NĐ!AI344)))</f>
        <v>0</v>
      </c>
      <c r="E344">
        <f>SUMPRODUCT((MONTH(CHOOSE({1,2,3,4},NĐ!T344,NĐ!X344,NĐ!AB344,NĐ!AF344))=5)*(CHOOSE({1,2,3,4},NĐ!W344,NĐ!AA344,NĐ!AE344,NĐ!AI344)))</f>
        <v>0</v>
      </c>
      <c r="F344">
        <f>SUMPRODUCT((MONTH(CHOOSE({1,2,3,4},NĐ!T344,NĐ!X344,NĐ!AB344,NĐ!AF344))=6)*(CHOOSE({1,2,3,4},NĐ!W344,NĐ!AA344,NĐ!AE344,NĐ!AI344)))</f>
        <v>0</v>
      </c>
      <c r="G344">
        <f>SUMPRODUCT((MONTH(CHOOSE({1,2,3,4},NĐ!T344,NĐ!X344,NĐ!AB344,NĐ!AF344))=7)*(CHOOSE({1,2,3,4},NĐ!W344,NĐ!AA344,NĐ!AE344,NĐ!AI344)))</f>
        <v>0</v>
      </c>
      <c r="H344">
        <f>SUMPRODUCT((MONTH(CHOOSE({1,2,3,4},NĐ!T344,NĐ!X344,NĐ!AB344,NĐ!AF344))=8)*(CHOOSE({1,2,3,4},NĐ!W344,NĐ!AA344,NĐ!AE344,NĐ!AI344)))</f>
        <v>0</v>
      </c>
      <c r="I344">
        <f>SUMPRODUCT((MONTH(CHOOSE({1,2,3,4},NĐ!T344,NĐ!X344,NĐ!AB344,NĐ!AF344))=9)*(CHOOSE({1,2,3,4},NĐ!W344,NĐ!AA344,NĐ!AE344,NĐ!AI344)))</f>
        <v>0</v>
      </c>
      <c r="J344">
        <f>SUMPRODUCT((MONTH(CHOOSE({1,2,3,4},NĐ!T344,NĐ!X344,NĐ!AB344,NĐ!AF344))=10)*(CHOOSE({1,2,3,4},NĐ!W344,NĐ!AA344,NĐ!AE344,NĐ!AI344)))</f>
        <v>0</v>
      </c>
      <c r="K344">
        <f>SUMPRODUCT((MONTH(CHOOSE({1,2,3,4},NĐ!T344,NĐ!X344,NĐ!AB344,NĐ!AF344))=11)*(CHOOSE({1,2,3,4},NĐ!W344,NĐ!AA344,NĐ!AE344,NĐ!AI344)))</f>
        <v>0</v>
      </c>
      <c r="L344">
        <f>SUMPRODUCT((MONTH(CHOOSE({1,2,3,4},NĐ!T344,NĐ!X344,NĐ!AB344,NĐ!AF344))=12)*(CHOOSE({1,2,3,4},NĐ!W344,NĐ!AA344,NĐ!AE344,NĐ!AI344)))</f>
        <v>0</v>
      </c>
    </row>
    <row r="345" spans="1:12">
      <c r="A345">
        <f>SUMPRODUCT((MONTH(CHOOSE({1,2,3,4},NĐ!T345,NĐ!X345,NĐ!AB345,NĐ!AF345))=1)*(CHOOSE({1,2,3,4},NĐ!W345,NĐ!AA345,NĐ!AE345,NĐ!AI345)))</f>
        <v>0</v>
      </c>
      <c r="B345">
        <f>SUMPRODUCT((MONTH(CHOOSE({1,2,3,4},NĐ!T345,NĐ!X345,NĐ!AB345,NĐ!AF345))=2)*(CHOOSE({1,2,3,4},NĐ!W345,NĐ!AA345,NĐ!AE345,NĐ!AI345)))</f>
        <v>0</v>
      </c>
      <c r="C345">
        <f>SUMPRODUCT((MONTH(CHOOSE({1,2,3,4},NĐ!T345,NĐ!X345,NĐ!AB345,NĐ!AF345))=3)*(CHOOSE({1,2,3,4},NĐ!W345,NĐ!AA345,NĐ!AE345,NĐ!AI345)))</f>
        <v>0</v>
      </c>
      <c r="D345">
        <f>SUMPRODUCT((MONTH(CHOOSE({1,2,3,4},NĐ!T345,NĐ!X345,NĐ!AB345,NĐ!AF345))=4)*(CHOOSE({1,2,3,4},NĐ!W345,NĐ!AA345,NĐ!AE345,NĐ!AI345)))</f>
        <v>0</v>
      </c>
      <c r="E345">
        <f>SUMPRODUCT((MONTH(CHOOSE({1,2,3,4},NĐ!T345,NĐ!X345,NĐ!AB345,NĐ!AF345))=5)*(CHOOSE({1,2,3,4},NĐ!W345,NĐ!AA345,NĐ!AE345,NĐ!AI345)))</f>
        <v>0</v>
      </c>
      <c r="F345">
        <f>SUMPRODUCT((MONTH(CHOOSE({1,2,3,4},NĐ!T345,NĐ!X345,NĐ!AB345,NĐ!AF345))=6)*(CHOOSE({1,2,3,4},NĐ!W345,NĐ!AA345,NĐ!AE345,NĐ!AI345)))</f>
        <v>0</v>
      </c>
      <c r="G345">
        <f>SUMPRODUCT((MONTH(CHOOSE({1,2,3,4},NĐ!T345,NĐ!X345,NĐ!AB345,NĐ!AF345))=7)*(CHOOSE({1,2,3,4},NĐ!W345,NĐ!AA345,NĐ!AE345,NĐ!AI345)))</f>
        <v>0</v>
      </c>
      <c r="H345">
        <f>SUMPRODUCT((MONTH(CHOOSE({1,2,3,4},NĐ!T345,NĐ!X345,NĐ!AB345,NĐ!AF345))=8)*(CHOOSE({1,2,3,4},NĐ!W345,NĐ!AA345,NĐ!AE345,NĐ!AI345)))</f>
        <v>0</v>
      </c>
      <c r="I345">
        <f>SUMPRODUCT((MONTH(CHOOSE({1,2,3,4},NĐ!T345,NĐ!X345,NĐ!AB345,NĐ!AF345))=9)*(CHOOSE({1,2,3,4},NĐ!W345,NĐ!AA345,NĐ!AE345,NĐ!AI345)))</f>
        <v>0</v>
      </c>
      <c r="J345">
        <f>SUMPRODUCT((MONTH(CHOOSE({1,2,3,4},NĐ!T345,NĐ!X345,NĐ!AB345,NĐ!AF345))=10)*(CHOOSE({1,2,3,4},NĐ!W345,NĐ!AA345,NĐ!AE345,NĐ!AI345)))</f>
        <v>0</v>
      </c>
      <c r="K345">
        <f>SUMPRODUCT((MONTH(CHOOSE({1,2,3,4},NĐ!T345,NĐ!X345,NĐ!AB345,NĐ!AF345))=11)*(CHOOSE({1,2,3,4},NĐ!W345,NĐ!AA345,NĐ!AE345,NĐ!AI345)))</f>
        <v>0</v>
      </c>
      <c r="L345">
        <f>SUMPRODUCT((MONTH(CHOOSE({1,2,3,4},NĐ!T345,NĐ!X345,NĐ!AB345,NĐ!AF345))=12)*(CHOOSE({1,2,3,4},NĐ!W345,NĐ!AA345,NĐ!AE345,NĐ!AI345)))</f>
        <v>0</v>
      </c>
    </row>
    <row r="346" spans="1:12">
      <c r="A346">
        <f>SUMPRODUCT((MONTH(CHOOSE({1,2,3,4},NĐ!T346,NĐ!X346,NĐ!AB346,NĐ!AF346))=1)*(CHOOSE({1,2,3,4},NĐ!W346,NĐ!AA346,NĐ!AE346,NĐ!AI346)))</f>
        <v>0</v>
      </c>
      <c r="B346">
        <f>SUMPRODUCT((MONTH(CHOOSE({1,2,3,4},NĐ!T346,NĐ!X346,NĐ!AB346,NĐ!AF346))=2)*(CHOOSE({1,2,3,4},NĐ!W346,NĐ!AA346,NĐ!AE346,NĐ!AI346)))</f>
        <v>0</v>
      </c>
      <c r="C346">
        <f>SUMPRODUCT((MONTH(CHOOSE({1,2,3,4},NĐ!T346,NĐ!X346,NĐ!AB346,NĐ!AF346))=3)*(CHOOSE({1,2,3,4},NĐ!W346,NĐ!AA346,NĐ!AE346,NĐ!AI346)))</f>
        <v>0</v>
      </c>
      <c r="D346">
        <f>SUMPRODUCT((MONTH(CHOOSE({1,2,3,4},NĐ!T346,NĐ!X346,NĐ!AB346,NĐ!AF346))=4)*(CHOOSE({1,2,3,4},NĐ!W346,NĐ!AA346,NĐ!AE346,NĐ!AI346)))</f>
        <v>0</v>
      </c>
      <c r="E346">
        <f>SUMPRODUCT((MONTH(CHOOSE({1,2,3,4},NĐ!T346,NĐ!X346,NĐ!AB346,NĐ!AF346))=5)*(CHOOSE({1,2,3,4},NĐ!W346,NĐ!AA346,NĐ!AE346,NĐ!AI346)))</f>
        <v>0</v>
      </c>
      <c r="F346">
        <f>SUMPRODUCT((MONTH(CHOOSE({1,2,3,4},NĐ!T346,NĐ!X346,NĐ!AB346,NĐ!AF346))=6)*(CHOOSE({1,2,3,4},NĐ!W346,NĐ!AA346,NĐ!AE346,NĐ!AI346)))</f>
        <v>0</v>
      </c>
      <c r="G346">
        <f>SUMPRODUCT((MONTH(CHOOSE({1,2,3,4},NĐ!T346,NĐ!X346,NĐ!AB346,NĐ!AF346))=7)*(CHOOSE({1,2,3,4},NĐ!W346,NĐ!AA346,NĐ!AE346,NĐ!AI346)))</f>
        <v>0</v>
      </c>
      <c r="H346">
        <f>SUMPRODUCT((MONTH(CHOOSE({1,2,3,4},NĐ!T346,NĐ!X346,NĐ!AB346,NĐ!AF346))=8)*(CHOOSE({1,2,3,4},NĐ!W346,NĐ!AA346,NĐ!AE346,NĐ!AI346)))</f>
        <v>0</v>
      </c>
      <c r="I346">
        <f>SUMPRODUCT((MONTH(CHOOSE({1,2,3,4},NĐ!T346,NĐ!X346,NĐ!AB346,NĐ!AF346))=9)*(CHOOSE({1,2,3,4},NĐ!W346,NĐ!AA346,NĐ!AE346,NĐ!AI346)))</f>
        <v>0</v>
      </c>
      <c r="J346">
        <f>SUMPRODUCT((MONTH(CHOOSE({1,2,3,4},NĐ!T346,NĐ!X346,NĐ!AB346,NĐ!AF346))=10)*(CHOOSE({1,2,3,4},NĐ!W346,NĐ!AA346,NĐ!AE346,NĐ!AI346)))</f>
        <v>0</v>
      </c>
      <c r="K346">
        <f>SUMPRODUCT((MONTH(CHOOSE({1,2,3,4},NĐ!T346,NĐ!X346,NĐ!AB346,NĐ!AF346))=11)*(CHOOSE({1,2,3,4},NĐ!W346,NĐ!AA346,NĐ!AE346,NĐ!AI346)))</f>
        <v>0</v>
      </c>
      <c r="L346">
        <f>SUMPRODUCT((MONTH(CHOOSE({1,2,3,4},NĐ!T346,NĐ!X346,NĐ!AB346,NĐ!AF346))=12)*(CHOOSE({1,2,3,4},NĐ!W346,NĐ!AA346,NĐ!AE346,NĐ!AI346)))</f>
        <v>0</v>
      </c>
    </row>
    <row r="347" spans="1:12">
      <c r="A347">
        <f>SUMPRODUCT((MONTH(CHOOSE({1,2,3,4},NĐ!T347,NĐ!X347,NĐ!AB347,NĐ!AF347))=1)*(CHOOSE({1,2,3,4},NĐ!W347,NĐ!AA347,NĐ!AE347,NĐ!AI347)))</f>
        <v>0</v>
      </c>
      <c r="B347">
        <f>SUMPRODUCT((MONTH(CHOOSE({1,2,3,4},NĐ!T347,NĐ!X347,NĐ!AB347,NĐ!AF347))=2)*(CHOOSE({1,2,3,4},NĐ!W347,NĐ!AA347,NĐ!AE347,NĐ!AI347)))</f>
        <v>0</v>
      </c>
      <c r="C347">
        <f>SUMPRODUCT((MONTH(CHOOSE({1,2,3,4},NĐ!T347,NĐ!X347,NĐ!AB347,NĐ!AF347))=3)*(CHOOSE({1,2,3,4},NĐ!W347,NĐ!AA347,NĐ!AE347,NĐ!AI347)))</f>
        <v>0</v>
      </c>
      <c r="D347">
        <f>SUMPRODUCT((MONTH(CHOOSE({1,2,3,4},NĐ!T347,NĐ!X347,NĐ!AB347,NĐ!AF347))=4)*(CHOOSE({1,2,3,4},NĐ!W347,NĐ!AA347,NĐ!AE347,NĐ!AI347)))</f>
        <v>0</v>
      </c>
      <c r="E347">
        <f>SUMPRODUCT((MONTH(CHOOSE({1,2,3,4},NĐ!T347,NĐ!X347,NĐ!AB347,NĐ!AF347))=5)*(CHOOSE({1,2,3,4},NĐ!W347,NĐ!AA347,NĐ!AE347,NĐ!AI347)))</f>
        <v>0</v>
      </c>
      <c r="F347">
        <f>SUMPRODUCT((MONTH(CHOOSE({1,2,3,4},NĐ!T347,NĐ!X347,NĐ!AB347,NĐ!AF347))=6)*(CHOOSE({1,2,3,4},NĐ!W347,NĐ!AA347,NĐ!AE347,NĐ!AI347)))</f>
        <v>0</v>
      </c>
      <c r="G347">
        <f>SUMPRODUCT((MONTH(CHOOSE({1,2,3,4},NĐ!T347,NĐ!X347,NĐ!AB347,NĐ!AF347))=7)*(CHOOSE({1,2,3,4},NĐ!W347,NĐ!AA347,NĐ!AE347,NĐ!AI347)))</f>
        <v>0</v>
      </c>
      <c r="H347">
        <f>SUMPRODUCT((MONTH(CHOOSE({1,2,3,4},NĐ!T347,NĐ!X347,NĐ!AB347,NĐ!AF347))=8)*(CHOOSE({1,2,3,4},NĐ!W347,NĐ!AA347,NĐ!AE347,NĐ!AI347)))</f>
        <v>0</v>
      </c>
      <c r="I347">
        <f>SUMPRODUCT((MONTH(CHOOSE({1,2,3,4},NĐ!T347,NĐ!X347,NĐ!AB347,NĐ!AF347))=9)*(CHOOSE({1,2,3,4},NĐ!W347,NĐ!AA347,NĐ!AE347,NĐ!AI347)))</f>
        <v>0</v>
      </c>
      <c r="J347">
        <f>SUMPRODUCT((MONTH(CHOOSE({1,2,3,4},NĐ!T347,NĐ!X347,NĐ!AB347,NĐ!AF347))=10)*(CHOOSE({1,2,3,4},NĐ!W347,NĐ!AA347,NĐ!AE347,NĐ!AI347)))</f>
        <v>0</v>
      </c>
      <c r="K347">
        <f>SUMPRODUCT((MONTH(CHOOSE({1,2,3,4},NĐ!T347,NĐ!X347,NĐ!AB347,NĐ!AF347))=11)*(CHOOSE({1,2,3,4},NĐ!W347,NĐ!AA347,NĐ!AE347,NĐ!AI347)))</f>
        <v>0</v>
      </c>
      <c r="L347">
        <f>SUMPRODUCT((MONTH(CHOOSE({1,2,3,4},NĐ!T347,NĐ!X347,NĐ!AB347,NĐ!AF347))=12)*(CHOOSE({1,2,3,4},NĐ!W347,NĐ!AA347,NĐ!AE347,NĐ!AI347)))</f>
        <v>0</v>
      </c>
    </row>
    <row r="348" spans="1:12">
      <c r="A348">
        <f>SUMPRODUCT((MONTH(CHOOSE({1,2,3,4},NĐ!T348,NĐ!X348,NĐ!AB348,NĐ!AF348))=1)*(CHOOSE({1,2,3,4},NĐ!W348,NĐ!AA348,NĐ!AE348,NĐ!AI348)))</f>
        <v>0</v>
      </c>
      <c r="B348">
        <f>SUMPRODUCT((MONTH(CHOOSE({1,2,3,4},NĐ!T348,NĐ!X348,NĐ!AB348,NĐ!AF348))=2)*(CHOOSE({1,2,3,4},NĐ!W348,NĐ!AA348,NĐ!AE348,NĐ!AI348)))</f>
        <v>0</v>
      </c>
      <c r="C348">
        <f>SUMPRODUCT((MONTH(CHOOSE({1,2,3,4},NĐ!T348,NĐ!X348,NĐ!AB348,NĐ!AF348))=3)*(CHOOSE({1,2,3,4},NĐ!W348,NĐ!AA348,NĐ!AE348,NĐ!AI348)))</f>
        <v>0</v>
      </c>
      <c r="D348">
        <f>SUMPRODUCT((MONTH(CHOOSE({1,2,3,4},NĐ!T348,NĐ!X348,NĐ!AB348,NĐ!AF348))=4)*(CHOOSE({1,2,3,4},NĐ!W348,NĐ!AA348,NĐ!AE348,NĐ!AI348)))</f>
        <v>0</v>
      </c>
      <c r="E348">
        <f>SUMPRODUCT((MONTH(CHOOSE({1,2,3,4},NĐ!T348,NĐ!X348,NĐ!AB348,NĐ!AF348))=5)*(CHOOSE({1,2,3,4},NĐ!W348,NĐ!AA348,NĐ!AE348,NĐ!AI348)))</f>
        <v>0</v>
      </c>
      <c r="F348">
        <f>SUMPRODUCT((MONTH(CHOOSE({1,2,3,4},NĐ!T348,NĐ!X348,NĐ!AB348,NĐ!AF348))=6)*(CHOOSE({1,2,3,4},NĐ!W348,NĐ!AA348,NĐ!AE348,NĐ!AI348)))</f>
        <v>0</v>
      </c>
      <c r="G348">
        <f>SUMPRODUCT((MONTH(CHOOSE({1,2,3,4},NĐ!T348,NĐ!X348,NĐ!AB348,NĐ!AF348))=7)*(CHOOSE({1,2,3,4},NĐ!W348,NĐ!AA348,NĐ!AE348,NĐ!AI348)))</f>
        <v>0</v>
      </c>
      <c r="H348">
        <f>SUMPRODUCT((MONTH(CHOOSE({1,2,3,4},NĐ!T348,NĐ!X348,NĐ!AB348,NĐ!AF348))=8)*(CHOOSE({1,2,3,4},NĐ!W348,NĐ!AA348,NĐ!AE348,NĐ!AI348)))</f>
        <v>0</v>
      </c>
      <c r="I348">
        <f>SUMPRODUCT((MONTH(CHOOSE({1,2,3,4},NĐ!T348,NĐ!X348,NĐ!AB348,NĐ!AF348))=9)*(CHOOSE({1,2,3,4},NĐ!W348,NĐ!AA348,NĐ!AE348,NĐ!AI348)))</f>
        <v>0</v>
      </c>
      <c r="J348">
        <f>SUMPRODUCT((MONTH(CHOOSE({1,2,3,4},NĐ!T348,NĐ!X348,NĐ!AB348,NĐ!AF348))=10)*(CHOOSE({1,2,3,4},NĐ!W348,NĐ!AA348,NĐ!AE348,NĐ!AI348)))</f>
        <v>0</v>
      </c>
      <c r="K348">
        <f>SUMPRODUCT((MONTH(CHOOSE({1,2,3,4},NĐ!T348,NĐ!X348,NĐ!AB348,NĐ!AF348))=11)*(CHOOSE({1,2,3,4},NĐ!W348,NĐ!AA348,NĐ!AE348,NĐ!AI348)))</f>
        <v>0</v>
      </c>
      <c r="L348">
        <f>SUMPRODUCT((MONTH(CHOOSE({1,2,3,4},NĐ!T348,NĐ!X348,NĐ!AB348,NĐ!AF348))=12)*(CHOOSE({1,2,3,4},NĐ!W348,NĐ!AA348,NĐ!AE348,NĐ!AI348)))</f>
        <v>0</v>
      </c>
    </row>
    <row r="349" spans="1:12">
      <c r="A349">
        <f>SUMPRODUCT((MONTH(CHOOSE({1,2,3,4},NĐ!T349,NĐ!X349,NĐ!AB349,NĐ!AF349))=1)*(CHOOSE({1,2,3,4},NĐ!W349,NĐ!AA349,NĐ!AE349,NĐ!AI349)))</f>
        <v>0</v>
      </c>
      <c r="B349">
        <f>SUMPRODUCT((MONTH(CHOOSE({1,2,3,4},NĐ!T349,NĐ!X349,NĐ!AB349,NĐ!AF349))=2)*(CHOOSE({1,2,3,4},NĐ!W349,NĐ!AA349,NĐ!AE349,NĐ!AI349)))</f>
        <v>0</v>
      </c>
      <c r="C349">
        <f>SUMPRODUCT((MONTH(CHOOSE({1,2,3,4},NĐ!T349,NĐ!X349,NĐ!AB349,NĐ!AF349))=3)*(CHOOSE({1,2,3,4},NĐ!W349,NĐ!AA349,NĐ!AE349,NĐ!AI349)))</f>
        <v>0</v>
      </c>
      <c r="D349">
        <f>SUMPRODUCT((MONTH(CHOOSE({1,2,3,4},NĐ!T349,NĐ!X349,NĐ!AB349,NĐ!AF349))=4)*(CHOOSE({1,2,3,4},NĐ!W349,NĐ!AA349,NĐ!AE349,NĐ!AI349)))</f>
        <v>0</v>
      </c>
      <c r="E349">
        <f>SUMPRODUCT((MONTH(CHOOSE({1,2,3,4},NĐ!T349,NĐ!X349,NĐ!AB349,NĐ!AF349))=5)*(CHOOSE({1,2,3,4},NĐ!W349,NĐ!AA349,NĐ!AE349,NĐ!AI349)))</f>
        <v>0</v>
      </c>
      <c r="F349">
        <f>SUMPRODUCT((MONTH(CHOOSE({1,2,3,4},NĐ!T349,NĐ!X349,NĐ!AB349,NĐ!AF349))=6)*(CHOOSE({1,2,3,4},NĐ!W349,NĐ!AA349,NĐ!AE349,NĐ!AI349)))</f>
        <v>0</v>
      </c>
      <c r="G349">
        <f>SUMPRODUCT((MONTH(CHOOSE({1,2,3,4},NĐ!T349,NĐ!X349,NĐ!AB349,NĐ!AF349))=7)*(CHOOSE({1,2,3,4},NĐ!W349,NĐ!AA349,NĐ!AE349,NĐ!AI349)))</f>
        <v>0</v>
      </c>
      <c r="H349">
        <f>SUMPRODUCT((MONTH(CHOOSE({1,2,3,4},NĐ!T349,NĐ!X349,NĐ!AB349,NĐ!AF349))=8)*(CHOOSE({1,2,3,4},NĐ!W349,NĐ!AA349,NĐ!AE349,NĐ!AI349)))</f>
        <v>0</v>
      </c>
      <c r="I349">
        <f>SUMPRODUCT((MONTH(CHOOSE({1,2,3,4},NĐ!T349,NĐ!X349,NĐ!AB349,NĐ!AF349))=9)*(CHOOSE({1,2,3,4},NĐ!W349,NĐ!AA349,NĐ!AE349,NĐ!AI349)))</f>
        <v>0</v>
      </c>
      <c r="J349">
        <f>SUMPRODUCT((MONTH(CHOOSE({1,2,3,4},NĐ!T349,NĐ!X349,NĐ!AB349,NĐ!AF349))=10)*(CHOOSE({1,2,3,4},NĐ!W349,NĐ!AA349,NĐ!AE349,NĐ!AI349)))</f>
        <v>0</v>
      </c>
      <c r="K349">
        <f>SUMPRODUCT((MONTH(CHOOSE({1,2,3,4},NĐ!T349,NĐ!X349,NĐ!AB349,NĐ!AF349))=11)*(CHOOSE({1,2,3,4},NĐ!W349,NĐ!AA349,NĐ!AE349,NĐ!AI349)))</f>
        <v>0</v>
      </c>
      <c r="L349">
        <f>SUMPRODUCT((MONTH(CHOOSE({1,2,3,4},NĐ!T349,NĐ!X349,NĐ!AB349,NĐ!AF349))=12)*(CHOOSE({1,2,3,4},NĐ!W349,NĐ!AA349,NĐ!AE349,NĐ!AI349)))</f>
        <v>0</v>
      </c>
    </row>
    <row r="350" spans="1:12">
      <c r="A350">
        <f>SUMPRODUCT((MONTH(CHOOSE({1,2,3,4},NĐ!T350,NĐ!X350,NĐ!AB350,NĐ!AF350))=1)*(CHOOSE({1,2,3,4},NĐ!W350,NĐ!AA350,NĐ!AE350,NĐ!AI350)))</f>
        <v>0</v>
      </c>
      <c r="B350">
        <f>SUMPRODUCT((MONTH(CHOOSE({1,2,3,4},NĐ!T350,NĐ!X350,NĐ!AB350,NĐ!AF350))=2)*(CHOOSE({1,2,3,4},NĐ!W350,NĐ!AA350,NĐ!AE350,NĐ!AI350)))</f>
        <v>0</v>
      </c>
      <c r="C350">
        <f>SUMPRODUCT((MONTH(CHOOSE({1,2,3,4},NĐ!T350,NĐ!X350,NĐ!AB350,NĐ!AF350))=3)*(CHOOSE({1,2,3,4},NĐ!W350,NĐ!AA350,NĐ!AE350,NĐ!AI350)))</f>
        <v>0</v>
      </c>
      <c r="D350">
        <f>SUMPRODUCT((MONTH(CHOOSE({1,2,3,4},NĐ!T350,NĐ!X350,NĐ!AB350,NĐ!AF350))=4)*(CHOOSE({1,2,3,4},NĐ!W350,NĐ!AA350,NĐ!AE350,NĐ!AI350)))</f>
        <v>0</v>
      </c>
      <c r="E350">
        <f>SUMPRODUCT((MONTH(CHOOSE({1,2,3,4},NĐ!T350,NĐ!X350,NĐ!AB350,NĐ!AF350))=5)*(CHOOSE({1,2,3,4},NĐ!W350,NĐ!AA350,NĐ!AE350,NĐ!AI350)))</f>
        <v>0</v>
      </c>
      <c r="F350">
        <f>SUMPRODUCT((MONTH(CHOOSE({1,2,3,4},NĐ!T350,NĐ!X350,NĐ!AB350,NĐ!AF350))=6)*(CHOOSE({1,2,3,4},NĐ!W350,NĐ!AA350,NĐ!AE350,NĐ!AI350)))</f>
        <v>0</v>
      </c>
      <c r="G350">
        <f>SUMPRODUCT((MONTH(CHOOSE({1,2,3,4},NĐ!T350,NĐ!X350,NĐ!AB350,NĐ!AF350))=7)*(CHOOSE({1,2,3,4},NĐ!W350,NĐ!AA350,NĐ!AE350,NĐ!AI350)))</f>
        <v>0</v>
      </c>
      <c r="H350">
        <f>SUMPRODUCT((MONTH(CHOOSE({1,2,3,4},NĐ!T350,NĐ!X350,NĐ!AB350,NĐ!AF350))=8)*(CHOOSE({1,2,3,4},NĐ!W350,NĐ!AA350,NĐ!AE350,NĐ!AI350)))</f>
        <v>0</v>
      </c>
      <c r="I350">
        <f>SUMPRODUCT((MONTH(CHOOSE({1,2,3,4},NĐ!T350,NĐ!X350,NĐ!AB350,NĐ!AF350))=9)*(CHOOSE({1,2,3,4},NĐ!W350,NĐ!AA350,NĐ!AE350,NĐ!AI350)))</f>
        <v>0</v>
      </c>
      <c r="J350">
        <f>SUMPRODUCT((MONTH(CHOOSE({1,2,3,4},NĐ!T350,NĐ!X350,NĐ!AB350,NĐ!AF350))=10)*(CHOOSE({1,2,3,4},NĐ!W350,NĐ!AA350,NĐ!AE350,NĐ!AI350)))</f>
        <v>0</v>
      </c>
      <c r="K350">
        <f>SUMPRODUCT((MONTH(CHOOSE({1,2,3,4},NĐ!T350,NĐ!X350,NĐ!AB350,NĐ!AF350))=11)*(CHOOSE({1,2,3,4},NĐ!W350,NĐ!AA350,NĐ!AE350,NĐ!AI350)))</f>
        <v>0</v>
      </c>
      <c r="L350">
        <f>SUMPRODUCT((MONTH(CHOOSE({1,2,3,4},NĐ!T350,NĐ!X350,NĐ!AB350,NĐ!AF350))=12)*(CHOOSE({1,2,3,4},NĐ!W350,NĐ!AA350,NĐ!AE350,NĐ!AI350)))</f>
        <v>0</v>
      </c>
    </row>
    <row r="351" spans="1:12">
      <c r="A351">
        <f>SUMPRODUCT((MONTH(CHOOSE({1,2,3,4},NĐ!T351,NĐ!X351,NĐ!AB351,NĐ!AF351))=1)*(CHOOSE({1,2,3,4},NĐ!W351,NĐ!AA351,NĐ!AE351,NĐ!AI351)))</f>
        <v>0</v>
      </c>
      <c r="B351">
        <f>SUMPRODUCT((MONTH(CHOOSE({1,2,3,4},NĐ!T351,NĐ!X351,NĐ!AB351,NĐ!AF351))=2)*(CHOOSE({1,2,3,4},NĐ!W351,NĐ!AA351,NĐ!AE351,NĐ!AI351)))</f>
        <v>0</v>
      </c>
      <c r="C351">
        <f>SUMPRODUCT((MONTH(CHOOSE({1,2,3,4},NĐ!T351,NĐ!X351,NĐ!AB351,NĐ!AF351))=3)*(CHOOSE({1,2,3,4},NĐ!W351,NĐ!AA351,NĐ!AE351,NĐ!AI351)))</f>
        <v>0</v>
      </c>
      <c r="D351">
        <f>SUMPRODUCT((MONTH(CHOOSE({1,2,3,4},NĐ!T351,NĐ!X351,NĐ!AB351,NĐ!AF351))=4)*(CHOOSE({1,2,3,4},NĐ!W351,NĐ!AA351,NĐ!AE351,NĐ!AI351)))</f>
        <v>0</v>
      </c>
      <c r="E351">
        <f>SUMPRODUCT((MONTH(CHOOSE({1,2,3,4},NĐ!T351,NĐ!X351,NĐ!AB351,NĐ!AF351))=5)*(CHOOSE({1,2,3,4},NĐ!W351,NĐ!AA351,NĐ!AE351,NĐ!AI351)))</f>
        <v>0</v>
      </c>
      <c r="F351">
        <f>SUMPRODUCT((MONTH(CHOOSE({1,2,3,4},NĐ!T351,NĐ!X351,NĐ!AB351,NĐ!AF351))=6)*(CHOOSE({1,2,3,4},NĐ!W351,NĐ!AA351,NĐ!AE351,NĐ!AI351)))</f>
        <v>0</v>
      </c>
      <c r="G351">
        <f>SUMPRODUCT((MONTH(CHOOSE({1,2,3,4},NĐ!T351,NĐ!X351,NĐ!AB351,NĐ!AF351))=7)*(CHOOSE({1,2,3,4},NĐ!W351,NĐ!AA351,NĐ!AE351,NĐ!AI351)))</f>
        <v>0</v>
      </c>
      <c r="H351">
        <f>SUMPRODUCT((MONTH(CHOOSE({1,2,3,4},NĐ!T351,NĐ!X351,NĐ!AB351,NĐ!AF351))=8)*(CHOOSE({1,2,3,4},NĐ!W351,NĐ!AA351,NĐ!AE351,NĐ!AI351)))</f>
        <v>0</v>
      </c>
      <c r="I351">
        <f>SUMPRODUCT((MONTH(CHOOSE({1,2,3,4},NĐ!T351,NĐ!X351,NĐ!AB351,NĐ!AF351))=9)*(CHOOSE({1,2,3,4},NĐ!W351,NĐ!AA351,NĐ!AE351,NĐ!AI351)))</f>
        <v>0</v>
      </c>
      <c r="J351">
        <f>SUMPRODUCT((MONTH(CHOOSE({1,2,3,4},NĐ!T351,NĐ!X351,NĐ!AB351,NĐ!AF351))=10)*(CHOOSE({1,2,3,4},NĐ!W351,NĐ!AA351,NĐ!AE351,NĐ!AI351)))</f>
        <v>0</v>
      </c>
      <c r="K351">
        <f>SUMPRODUCT((MONTH(CHOOSE({1,2,3,4},NĐ!T351,NĐ!X351,NĐ!AB351,NĐ!AF351))=11)*(CHOOSE({1,2,3,4},NĐ!W351,NĐ!AA351,NĐ!AE351,NĐ!AI351)))</f>
        <v>0</v>
      </c>
      <c r="L351">
        <f>SUMPRODUCT((MONTH(CHOOSE({1,2,3,4},NĐ!T351,NĐ!X351,NĐ!AB351,NĐ!AF351))=12)*(CHOOSE({1,2,3,4},NĐ!W351,NĐ!AA351,NĐ!AE351,NĐ!AI351)))</f>
        <v>0</v>
      </c>
    </row>
    <row r="352" spans="1:12">
      <c r="A352">
        <f>SUMPRODUCT((MONTH(CHOOSE({1,2,3,4},NĐ!T352,NĐ!X352,NĐ!AB352,NĐ!AF352))=1)*(CHOOSE({1,2,3,4},NĐ!W352,NĐ!AA352,NĐ!AE352,NĐ!AI352)))</f>
        <v>0</v>
      </c>
      <c r="B352">
        <f>SUMPRODUCT((MONTH(CHOOSE({1,2,3,4},NĐ!T352,NĐ!X352,NĐ!AB352,NĐ!AF352))=2)*(CHOOSE({1,2,3,4},NĐ!W352,NĐ!AA352,NĐ!AE352,NĐ!AI352)))</f>
        <v>0</v>
      </c>
      <c r="C352">
        <f>SUMPRODUCT((MONTH(CHOOSE({1,2,3,4},NĐ!T352,NĐ!X352,NĐ!AB352,NĐ!AF352))=3)*(CHOOSE({1,2,3,4},NĐ!W352,NĐ!AA352,NĐ!AE352,NĐ!AI352)))</f>
        <v>0</v>
      </c>
      <c r="D352">
        <f>SUMPRODUCT((MONTH(CHOOSE({1,2,3,4},NĐ!T352,NĐ!X352,NĐ!AB352,NĐ!AF352))=4)*(CHOOSE({1,2,3,4},NĐ!W352,NĐ!AA352,NĐ!AE352,NĐ!AI352)))</f>
        <v>0</v>
      </c>
      <c r="E352">
        <f>SUMPRODUCT((MONTH(CHOOSE({1,2,3,4},NĐ!T352,NĐ!X352,NĐ!AB352,NĐ!AF352))=5)*(CHOOSE({1,2,3,4},NĐ!W352,NĐ!AA352,NĐ!AE352,NĐ!AI352)))</f>
        <v>0</v>
      </c>
      <c r="F352">
        <f>SUMPRODUCT((MONTH(CHOOSE({1,2,3,4},NĐ!T352,NĐ!X352,NĐ!AB352,NĐ!AF352))=6)*(CHOOSE({1,2,3,4},NĐ!W352,NĐ!AA352,NĐ!AE352,NĐ!AI352)))</f>
        <v>0</v>
      </c>
      <c r="G352">
        <f>SUMPRODUCT((MONTH(CHOOSE({1,2,3,4},NĐ!T352,NĐ!X352,NĐ!AB352,NĐ!AF352))=7)*(CHOOSE({1,2,3,4},NĐ!W352,NĐ!AA352,NĐ!AE352,NĐ!AI352)))</f>
        <v>0</v>
      </c>
      <c r="H352">
        <f>SUMPRODUCT((MONTH(CHOOSE({1,2,3,4},NĐ!T352,NĐ!X352,NĐ!AB352,NĐ!AF352))=8)*(CHOOSE({1,2,3,4},NĐ!W352,NĐ!AA352,NĐ!AE352,NĐ!AI352)))</f>
        <v>0</v>
      </c>
      <c r="I352">
        <f>SUMPRODUCT((MONTH(CHOOSE({1,2,3,4},NĐ!T352,NĐ!X352,NĐ!AB352,NĐ!AF352))=9)*(CHOOSE({1,2,3,4},NĐ!W352,NĐ!AA352,NĐ!AE352,NĐ!AI352)))</f>
        <v>0</v>
      </c>
      <c r="J352">
        <f>SUMPRODUCT((MONTH(CHOOSE({1,2,3,4},NĐ!T352,NĐ!X352,NĐ!AB352,NĐ!AF352))=10)*(CHOOSE({1,2,3,4},NĐ!W352,NĐ!AA352,NĐ!AE352,NĐ!AI352)))</f>
        <v>0</v>
      </c>
      <c r="K352">
        <f>SUMPRODUCT((MONTH(CHOOSE({1,2,3,4},NĐ!T352,NĐ!X352,NĐ!AB352,NĐ!AF352))=11)*(CHOOSE({1,2,3,4},NĐ!W352,NĐ!AA352,NĐ!AE352,NĐ!AI352)))</f>
        <v>0</v>
      </c>
      <c r="L352">
        <f>SUMPRODUCT((MONTH(CHOOSE({1,2,3,4},NĐ!T352,NĐ!X352,NĐ!AB352,NĐ!AF352))=12)*(CHOOSE({1,2,3,4},NĐ!W352,NĐ!AA352,NĐ!AE352,NĐ!AI352)))</f>
        <v>0</v>
      </c>
    </row>
    <row r="353" spans="1:12">
      <c r="A353">
        <f>SUMPRODUCT((MONTH(CHOOSE({1,2,3,4},NĐ!T353,NĐ!X353,NĐ!AB353,NĐ!AF353))=1)*(CHOOSE({1,2,3,4},NĐ!W353,NĐ!AA353,NĐ!AE353,NĐ!AI353)))</f>
        <v>0</v>
      </c>
      <c r="B353">
        <f>SUMPRODUCT((MONTH(CHOOSE({1,2,3,4},NĐ!T353,NĐ!X353,NĐ!AB353,NĐ!AF353))=2)*(CHOOSE({1,2,3,4},NĐ!W353,NĐ!AA353,NĐ!AE353,NĐ!AI353)))</f>
        <v>0</v>
      </c>
      <c r="C353">
        <f>SUMPRODUCT((MONTH(CHOOSE({1,2,3,4},NĐ!T353,NĐ!X353,NĐ!AB353,NĐ!AF353))=3)*(CHOOSE({1,2,3,4},NĐ!W353,NĐ!AA353,NĐ!AE353,NĐ!AI353)))</f>
        <v>0</v>
      </c>
      <c r="D353">
        <f>SUMPRODUCT((MONTH(CHOOSE({1,2,3,4},NĐ!T353,NĐ!X353,NĐ!AB353,NĐ!AF353))=4)*(CHOOSE({1,2,3,4},NĐ!W353,NĐ!AA353,NĐ!AE353,NĐ!AI353)))</f>
        <v>0</v>
      </c>
      <c r="E353">
        <f>SUMPRODUCT((MONTH(CHOOSE({1,2,3,4},NĐ!T353,NĐ!X353,NĐ!AB353,NĐ!AF353))=5)*(CHOOSE({1,2,3,4},NĐ!W353,NĐ!AA353,NĐ!AE353,NĐ!AI353)))</f>
        <v>0</v>
      </c>
      <c r="F353">
        <f>SUMPRODUCT((MONTH(CHOOSE({1,2,3,4},NĐ!T353,NĐ!X353,NĐ!AB353,NĐ!AF353))=6)*(CHOOSE({1,2,3,4},NĐ!W353,NĐ!AA353,NĐ!AE353,NĐ!AI353)))</f>
        <v>0</v>
      </c>
      <c r="G353">
        <f>SUMPRODUCT((MONTH(CHOOSE({1,2,3,4},NĐ!T353,NĐ!X353,NĐ!AB353,NĐ!AF353))=7)*(CHOOSE({1,2,3,4},NĐ!W353,NĐ!AA353,NĐ!AE353,NĐ!AI353)))</f>
        <v>0</v>
      </c>
      <c r="H353">
        <f>SUMPRODUCT((MONTH(CHOOSE({1,2,3,4},NĐ!T353,NĐ!X353,NĐ!AB353,NĐ!AF353))=8)*(CHOOSE({1,2,3,4},NĐ!W353,NĐ!AA353,NĐ!AE353,NĐ!AI353)))</f>
        <v>0</v>
      </c>
      <c r="I353">
        <f>SUMPRODUCT((MONTH(CHOOSE({1,2,3,4},NĐ!T353,NĐ!X353,NĐ!AB353,NĐ!AF353))=9)*(CHOOSE({1,2,3,4},NĐ!W353,NĐ!AA353,NĐ!AE353,NĐ!AI353)))</f>
        <v>0</v>
      </c>
      <c r="J353">
        <f>SUMPRODUCT((MONTH(CHOOSE({1,2,3,4},NĐ!T353,NĐ!X353,NĐ!AB353,NĐ!AF353))=10)*(CHOOSE({1,2,3,4},NĐ!W353,NĐ!AA353,NĐ!AE353,NĐ!AI353)))</f>
        <v>0</v>
      </c>
      <c r="K353">
        <f>SUMPRODUCT((MONTH(CHOOSE({1,2,3,4},NĐ!T353,NĐ!X353,NĐ!AB353,NĐ!AF353))=11)*(CHOOSE({1,2,3,4},NĐ!W353,NĐ!AA353,NĐ!AE353,NĐ!AI353)))</f>
        <v>0</v>
      </c>
      <c r="L353">
        <f>SUMPRODUCT((MONTH(CHOOSE({1,2,3,4},NĐ!T353,NĐ!X353,NĐ!AB353,NĐ!AF353))=12)*(CHOOSE({1,2,3,4},NĐ!W353,NĐ!AA353,NĐ!AE353,NĐ!AI353)))</f>
        <v>0</v>
      </c>
    </row>
    <row r="354" spans="1:12">
      <c r="A354">
        <f>SUMPRODUCT((MONTH(CHOOSE({1,2,3,4},NĐ!T354,NĐ!X354,NĐ!AB354,NĐ!AF354))=1)*(CHOOSE({1,2,3,4},NĐ!W354,NĐ!AA354,NĐ!AE354,NĐ!AI354)))</f>
        <v>0</v>
      </c>
      <c r="B354">
        <f>SUMPRODUCT((MONTH(CHOOSE({1,2,3,4},NĐ!T354,NĐ!X354,NĐ!AB354,NĐ!AF354))=2)*(CHOOSE({1,2,3,4},NĐ!W354,NĐ!AA354,NĐ!AE354,NĐ!AI354)))</f>
        <v>0</v>
      </c>
      <c r="C354">
        <f>SUMPRODUCT((MONTH(CHOOSE({1,2,3,4},NĐ!T354,NĐ!X354,NĐ!AB354,NĐ!AF354))=3)*(CHOOSE({1,2,3,4},NĐ!W354,NĐ!AA354,NĐ!AE354,NĐ!AI354)))</f>
        <v>0</v>
      </c>
      <c r="D354">
        <f>SUMPRODUCT((MONTH(CHOOSE({1,2,3,4},NĐ!T354,NĐ!X354,NĐ!AB354,NĐ!AF354))=4)*(CHOOSE({1,2,3,4},NĐ!W354,NĐ!AA354,NĐ!AE354,NĐ!AI354)))</f>
        <v>0</v>
      </c>
      <c r="E354">
        <f>SUMPRODUCT((MONTH(CHOOSE({1,2,3,4},NĐ!T354,NĐ!X354,NĐ!AB354,NĐ!AF354))=5)*(CHOOSE({1,2,3,4},NĐ!W354,NĐ!AA354,NĐ!AE354,NĐ!AI354)))</f>
        <v>0</v>
      </c>
      <c r="F354">
        <f>SUMPRODUCT((MONTH(CHOOSE({1,2,3,4},NĐ!T354,NĐ!X354,NĐ!AB354,NĐ!AF354))=6)*(CHOOSE({1,2,3,4},NĐ!W354,NĐ!AA354,NĐ!AE354,NĐ!AI354)))</f>
        <v>0</v>
      </c>
      <c r="G354">
        <f>SUMPRODUCT((MONTH(CHOOSE({1,2,3,4},NĐ!T354,NĐ!X354,NĐ!AB354,NĐ!AF354))=7)*(CHOOSE({1,2,3,4},NĐ!W354,NĐ!AA354,NĐ!AE354,NĐ!AI354)))</f>
        <v>0</v>
      </c>
      <c r="H354">
        <f>SUMPRODUCT((MONTH(CHOOSE({1,2,3,4},NĐ!T354,NĐ!X354,NĐ!AB354,NĐ!AF354))=8)*(CHOOSE({1,2,3,4},NĐ!W354,NĐ!AA354,NĐ!AE354,NĐ!AI354)))</f>
        <v>0</v>
      </c>
      <c r="I354">
        <f>SUMPRODUCT((MONTH(CHOOSE({1,2,3,4},NĐ!T354,NĐ!X354,NĐ!AB354,NĐ!AF354))=9)*(CHOOSE({1,2,3,4},NĐ!W354,NĐ!AA354,NĐ!AE354,NĐ!AI354)))</f>
        <v>0</v>
      </c>
      <c r="J354">
        <f>SUMPRODUCT((MONTH(CHOOSE({1,2,3,4},NĐ!T354,NĐ!X354,NĐ!AB354,NĐ!AF354))=10)*(CHOOSE({1,2,3,4},NĐ!W354,NĐ!AA354,NĐ!AE354,NĐ!AI354)))</f>
        <v>0</v>
      </c>
      <c r="K354">
        <f>SUMPRODUCT((MONTH(CHOOSE({1,2,3,4},NĐ!T354,NĐ!X354,NĐ!AB354,NĐ!AF354))=11)*(CHOOSE({1,2,3,4},NĐ!W354,NĐ!AA354,NĐ!AE354,NĐ!AI354)))</f>
        <v>0</v>
      </c>
      <c r="L354">
        <f>SUMPRODUCT((MONTH(CHOOSE({1,2,3,4},NĐ!T354,NĐ!X354,NĐ!AB354,NĐ!AF354))=12)*(CHOOSE({1,2,3,4},NĐ!W354,NĐ!AA354,NĐ!AE354,NĐ!AI354)))</f>
        <v>0</v>
      </c>
    </row>
    <row r="355" spans="1:12">
      <c r="A355">
        <f>SUMPRODUCT((MONTH(CHOOSE({1,2,3,4},NĐ!T355,NĐ!X355,NĐ!AB355,NĐ!AF355))=1)*(CHOOSE({1,2,3,4},NĐ!W355,NĐ!AA355,NĐ!AE355,NĐ!AI355)))</f>
        <v>0</v>
      </c>
      <c r="B355">
        <f>SUMPRODUCT((MONTH(CHOOSE({1,2,3,4},NĐ!T355,NĐ!X355,NĐ!AB355,NĐ!AF355))=2)*(CHOOSE({1,2,3,4},NĐ!W355,NĐ!AA355,NĐ!AE355,NĐ!AI355)))</f>
        <v>0</v>
      </c>
      <c r="C355">
        <f>SUMPRODUCT((MONTH(CHOOSE({1,2,3,4},NĐ!T355,NĐ!X355,NĐ!AB355,NĐ!AF355))=3)*(CHOOSE({1,2,3,4},NĐ!W355,NĐ!AA355,NĐ!AE355,NĐ!AI355)))</f>
        <v>0</v>
      </c>
      <c r="D355">
        <f>SUMPRODUCT((MONTH(CHOOSE({1,2,3,4},NĐ!T355,NĐ!X355,NĐ!AB355,NĐ!AF355))=4)*(CHOOSE({1,2,3,4},NĐ!W355,NĐ!AA355,NĐ!AE355,NĐ!AI355)))</f>
        <v>0</v>
      </c>
      <c r="E355">
        <f>SUMPRODUCT((MONTH(CHOOSE({1,2,3,4},NĐ!T355,NĐ!X355,NĐ!AB355,NĐ!AF355))=5)*(CHOOSE({1,2,3,4},NĐ!W355,NĐ!AA355,NĐ!AE355,NĐ!AI355)))</f>
        <v>0</v>
      </c>
      <c r="F355">
        <f>SUMPRODUCT((MONTH(CHOOSE({1,2,3,4},NĐ!T355,NĐ!X355,NĐ!AB355,NĐ!AF355))=6)*(CHOOSE({1,2,3,4},NĐ!W355,NĐ!AA355,NĐ!AE355,NĐ!AI355)))</f>
        <v>0</v>
      </c>
      <c r="G355">
        <f>SUMPRODUCT((MONTH(CHOOSE({1,2,3,4},NĐ!T355,NĐ!X355,NĐ!AB355,NĐ!AF355))=7)*(CHOOSE({1,2,3,4},NĐ!W355,NĐ!AA355,NĐ!AE355,NĐ!AI355)))</f>
        <v>0</v>
      </c>
      <c r="H355">
        <f>SUMPRODUCT((MONTH(CHOOSE({1,2,3,4},NĐ!T355,NĐ!X355,NĐ!AB355,NĐ!AF355))=8)*(CHOOSE({1,2,3,4},NĐ!W355,NĐ!AA355,NĐ!AE355,NĐ!AI355)))</f>
        <v>0</v>
      </c>
      <c r="I355">
        <f>SUMPRODUCT((MONTH(CHOOSE({1,2,3,4},NĐ!T355,NĐ!X355,NĐ!AB355,NĐ!AF355))=9)*(CHOOSE({1,2,3,4},NĐ!W355,NĐ!AA355,NĐ!AE355,NĐ!AI355)))</f>
        <v>0</v>
      </c>
      <c r="J355">
        <f>SUMPRODUCT((MONTH(CHOOSE({1,2,3,4},NĐ!T355,NĐ!X355,NĐ!AB355,NĐ!AF355))=10)*(CHOOSE({1,2,3,4},NĐ!W355,NĐ!AA355,NĐ!AE355,NĐ!AI355)))</f>
        <v>0</v>
      </c>
      <c r="K355">
        <f>SUMPRODUCT((MONTH(CHOOSE({1,2,3,4},NĐ!T355,NĐ!X355,NĐ!AB355,NĐ!AF355))=11)*(CHOOSE({1,2,3,4},NĐ!W355,NĐ!AA355,NĐ!AE355,NĐ!AI355)))</f>
        <v>0</v>
      </c>
      <c r="L355">
        <f>SUMPRODUCT((MONTH(CHOOSE({1,2,3,4},NĐ!T355,NĐ!X355,NĐ!AB355,NĐ!AF355))=12)*(CHOOSE({1,2,3,4},NĐ!W355,NĐ!AA355,NĐ!AE355,NĐ!AI355)))</f>
        <v>0</v>
      </c>
    </row>
    <row r="356" spans="1:12">
      <c r="A356">
        <f>SUMPRODUCT((MONTH(CHOOSE({1,2,3,4},NĐ!T356,NĐ!X356,NĐ!AB356,NĐ!AF356))=1)*(CHOOSE({1,2,3,4},NĐ!W356,NĐ!AA356,NĐ!AE356,NĐ!AI356)))</f>
        <v>0</v>
      </c>
      <c r="B356">
        <f>SUMPRODUCT((MONTH(CHOOSE({1,2,3,4},NĐ!T356,NĐ!X356,NĐ!AB356,NĐ!AF356))=2)*(CHOOSE({1,2,3,4},NĐ!W356,NĐ!AA356,NĐ!AE356,NĐ!AI356)))</f>
        <v>0</v>
      </c>
      <c r="C356">
        <f>SUMPRODUCT((MONTH(CHOOSE({1,2,3,4},NĐ!T356,NĐ!X356,NĐ!AB356,NĐ!AF356))=3)*(CHOOSE({1,2,3,4},NĐ!W356,NĐ!AA356,NĐ!AE356,NĐ!AI356)))</f>
        <v>0</v>
      </c>
      <c r="D356">
        <f>SUMPRODUCT((MONTH(CHOOSE({1,2,3,4},NĐ!T356,NĐ!X356,NĐ!AB356,NĐ!AF356))=4)*(CHOOSE({1,2,3,4},NĐ!W356,NĐ!AA356,NĐ!AE356,NĐ!AI356)))</f>
        <v>0</v>
      </c>
      <c r="E356">
        <f>SUMPRODUCT((MONTH(CHOOSE({1,2,3,4},NĐ!T356,NĐ!X356,NĐ!AB356,NĐ!AF356))=5)*(CHOOSE({1,2,3,4},NĐ!W356,NĐ!AA356,NĐ!AE356,NĐ!AI356)))</f>
        <v>0</v>
      </c>
      <c r="F356">
        <f>SUMPRODUCT((MONTH(CHOOSE({1,2,3,4},NĐ!T356,NĐ!X356,NĐ!AB356,NĐ!AF356))=6)*(CHOOSE({1,2,3,4},NĐ!W356,NĐ!AA356,NĐ!AE356,NĐ!AI356)))</f>
        <v>0</v>
      </c>
      <c r="G356">
        <f>SUMPRODUCT((MONTH(CHOOSE({1,2,3,4},NĐ!T356,NĐ!X356,NĐ!AB356,NĐ!AF356))=7)*(CHOOSE({1,2,3,4},NĐ!W356,NĐ!AA356,NĐ!AE356,NĐ!AI356)))</f>
        <v>0</v>
      </c>
      <c r="H356">
        <f>SUMPRODUCT((MONTH(CHOOSE({1,2,3,4},NĐ!T356,NĐ!X356,NĐ!AB356,NĐ!AF356))=8)*(CHOOSE({1,2,3,4},NĐ!W356,NĐ!AA356,NĐ!AE356,NĐ!AI356)))</f>
        <v>0</v>
      </c>
      <c r="I356">
        <f>SUMPRODUCT((MONTH(CHOOSE({1,2,3,4},NĐ!T356,NĐ!X356,NĐ!AB356,NĐ!AF356))=9)*(CHOOSE({1,2,3,4},NĐ!W356,NĐ!AA356,NĐ!AE356,NĐ!AI356)))</f>
        <v>0</v>
      </c>
      <c r="J356">
        <f>SUMPRODUCT((MONTH(CHOOSE({1,2,3,4},NĐ!T356,NĐ!X356,NĐ!AB356,NĐ!AF356))=10)*(CHOOSE({1,2,3,4},NĐ!W356,NĐ!AA356,NĐ!AE356,NĐ!AI356)))</f>
        <v>0</v>
      </c>
      <c r="K356">
        <f>SUMPRODUCT((MONTH(CHOOSE({1,2,3,4},NĐ!T356,NĐ!X356,NĐ!AB356,NĐ!AF356))=11)*(CHOOSE({1,2,3,4},NĐ!W356,NĐ!AA356,NĐ!AE356,NĐ!AI356)))</f>
        <v>0</v>
      </c>
      <c r="L356">
        <f>SUMPRODUCT((MONTH(CHOOSE({1,2,3,4},NĐ!T356,NĐ!X356,NĐ!AB356,NĐ!AF356))=12)*(CHOOSE({1,2,3,4},NĐ!W356,NĐ!AA356,NĐ!AE356,NĐ!AI356)))</f>
        <v>0</v>
      </c>
    </row>
    <row r="357" spans="1:12">
      <c r="A357">
        <f>SUMPRODUCT((MONTH(CHOOSE({1,2,3,4},NĐ!T357,NĐ!X357,NĐ!AB357,NĐ!AF357))=1)*(CHOOSE({1,2,3,4},NĐ!W357,NĐ!AA357,NĐ!AE357,NĐ!AI357)))</f>
        <v>0</v>
      </c>
      <c r="B357">
        <f>SUMPRODUCT((MONTH(CHOOSE({1,2,3,4},NĐ!T357,NĐ!X357,NĐ!AB357,NĐ!AF357))=2)*(CHOOSE({1,2,3,4},NĐ!W357,NĐ!AA357,NĐ!AE357,NĐ!AI357)))</f>
        <v>0</v>
      </c>
      <c r="C357">
        <f>SUMPRODUCT((MONTH(CHOOSE({1,2,3,4},NĐ!T357,NĐ!X357,NĐ!AB357,NĐ!AF357))=3)*(CHOOSE({1,2,3,4},NĐ!W357,NĐ!AA357,NĐ!AE357,NĐ!AI357)))</f>
        <v>0</v>
      </c>
      <c r="D357">
        <f>SUMPRODUCT((MONTH(CHOOSE({1,2,3,4},NĐ!T357,NĐ!X357,NĐ!AB357,NĐ!AF357))=4)*(CHOOSE({1,2,3,4},NĐ!W357,NĐ!AA357,NĐ!AE357,NĐ!AI357)))</f>
        <v>0</v>
      </c>
      <c r="E357">
        <f>SUMPRODUCT((MONTH(CHOOSE({1,2,3,4},NĐ!T357,NĐ!X357,NĐ!AB357,NĐ!AF357))=5)*(CHOOSE({1,2,3,4},NĐ!W357,NĐ!AA357,NĐ!AE357,NĐ!AI357)))</f>
        <v>0</v>
      </c>
      <c r="F357">
        <f>SUMPRODUCT((MONTH(CHOOSE({1,2,3,4},NĐ!T357,NĐ!X357,NĐ!AB357,NĐ!AF357))=6)*(CHOOSE({1,2,3,4},NĐ!W357,NĐ!AA357,NĐ!AE357,NĐ!AI357)))</f>
        <v>0</v>
      </c>
      <c r="G357">
        <f>SUMPRODUCT((MONTH(CHOOSE({1,2,3,4},NĐ!T357,NĐ!X357,NĐ!AB357,NĐ!AF357))=7)*(CHOOSE({1,2,3,4},NĐ!W357,NĐ!AA357,NĐ!AE357,NĐ!AI357)))</f>
        <v>0</v>
      </c>
      <c r="H357">
        <f>SUMPRODUCT((MONTH(CHOOSE({1,2,3,4},NĐ!T357,NĐ!X357,NĐ!AB357,NĐ!AF357))=8)*(CHOOSE({1,2,3,4},NĐ!W357,NĐ!AA357,NĐ!AE357,NĐ!AI357)))</f>
        <v>0</v>
      </c>
      <c r="I357">
        <f>SUMPRODUCT((MONTH(CHOOSE({1,2,3,4},NĐ!T357,NĐ!X357,NĐ!AB357,NĐ!AF357))=9)*(CHOOSE({1,2,3,4},NĐ!W357,NĐ!AA357,NĐ!AE357,NĐ!AI357)))</f>
        <v>0</v>
      </c>
      <c r="J357">
        <f>SUMPRODUCT((MONTH(CHOOSE({1,2,3,4},NĐ!T357,NĐ!X357,NĐ!AB357,NĐ!AF357))=10)*(CHOOSE({1,2,3,4},NĐ!W357,NĐ!AA357,NĐ!AE357,NĐ!AI357)))</f>
        <v>0</v>
      </c>
      <c r="K357">
        <f>SUMPRODUCT((MONTH(CHOOSE({1,2,3,4},NĐ!T357,NĐ!X357,NĐ!AB357,NĐ!AF357))=11)*(CHOOSE({1,2,3,4},NĐ!W357,NĐ!AA357,NĐ!AE357,NĐ!AI357)))</f>
        <v>0</v>
      </c>
      <c r="L357">
        <f>SUMPRODUCT((MONTH(CHOOSE({1,2,3,4},NĐ!T357,NĐ!X357,NĐ!AB357,NĐ!AF357))=12)*(CHOOSE({1,2,3,4},NĐ!W357,NĐ!AA357,NĐ!AE357,NĐ!AI357)))</f>
        <v>0</v>
      </c>
    </row>
    <row r="358" spans="1:12">
      <c r="A358">
        <f>SUMPRODUCT((MONTH(CHOOSE({1,2,3,4},NĐ!T358,NĐ!X358,NĐ!AB358,NĐ!AF358))=1)*(CHOOSE({1,2,3,4},NĐ!W358,NĐ!AA358,NĐ!AE358,NĐ!AI358)))</f>
        <v>0</v>
      </c>
      <c r="B358">
        <f>SUMPRODUCT((MONTH(CHOOSE({1,2,3,4},NĐ!T358,NĐ!X358,NĐ!AB358,NĐ!AF358))=2)*(CHOOSE({1,2,3,4},NĐ!W358,NĐ!AA358,NĐ!AE358,NĐ!AI358)))</f>
        <v>0</v>
      </c>
      <c r="C358">
        <f>SUMPRODUCT((MONTH(CHOOSE({1,2,3,4},NĐ!T358,NĐ!X358,NĐ!AB358,NĐ!AF358))=3)*(CHOOSE({1,2,3,4},NĐ!W358,NĐ!AA358,NĐ!AE358,NĐ!AI358)))</f>
        <v>0</v>
      </c>
      <c r="D358">
        <f>SUMPRODUCT((MONTH(CHOOSE({1,2,3,4},NĐ!T358,NĐ!X358,NĐ!AB358,NĐ!AF358))=4)*(CHOOSE({1,2,3,4},NĐ!W358,NĐ!AA358,NĐ!AE358,NĐ!AI358)))</f>
        <v>0</v>
      </c>
      <c r="E358">
        <f>SUMPRODUCT((MONTH(CHOOSE({1,2,3,4},NĐ!T358,NĐ!X358,NĐ!AB358,NĐ!AF358))=5)*(CHOOSE({1,2,3,4},NĐ!W358,NĐ!AA358,NĐ!AE358,NĐ!AI358)))</f>
        <v>0</v>
      </c>
      <c r="F358">
        <f>SUMPRODUCT((MONTH(CHOOSE({1,2,3,4},NĐ!T358,NĐ!X358,NĐ!AB358,NĐ!AF358))=6)*(CHOOSE({1,2,3,4},NĐ!W358,NĐ!AA358,NĐ!AE358,NĐ!AI358)))</f>
        <v>0</v>
      </c>
      <c r="G358">
        <f>SUMPRODUCT((MONTH(CHOOSE({1,2,3,4},NĐ!T358,NĐ!X358,NĐ!AB358,NĐ!AF358))=7)*(CHOOSE({1,2,3,4},NĐ!W358,NĐ!AA358,NĐ!AE358,NĐ!AI358)))</f>
        <v>0</v>
      </c>
      <c r="H358">
        <f>SUMPRODUCT((MONTH(CHOOSE({1,2,3,4},NĐ!T358,NĐ!X358,NĐ!AB358,NĐ!AF358))=8)*(CHOOSE({1,2,3,4},NĐ!W358,NĐ!AA358,NĐ!AE358,NĐ!AI358)))</f>
        <v>0</v>
      </c>
      <c r="I358">
        <f>SUMPRODUCT((MONTH(CHOOSE({1,2,3,4},NĐ!T358,NĐ!X358,NĐ!AB358,NĐ!AF358))=9)*(CHOOSE({1,2,3,4},NĐ!W358,NĐ!AA358,NĐ!AE358,NĐ!AI358)))</f>
        <v>0</v>
      </c>
      <c r="J358">
        <f>SUMPRODUCT((MONTH(CHOOSE({1,2,3,4},NĐ!T358,NĐ!X358,NĐ!AB358,NĐ!AF358))=10)*(CHOOSE({1,2,3,4},NĐ!W358,NĐ!AA358,NĐ!AE358,NĐ!AI358)))</f>
        <v>0</v>
      </c>
      <c r="K358">
        <f>SUMPRODUCT((MONTH(CHOOSE({1,2,3,4},NĐ!T358,NĐ!X358,NĐ!AB358,NĐ!AF358))=11)*(CHOOSE({1,2,3,4},NĐ!W358,NĐ!AA358,NĐ!AE358,NĐ!AI358)))</f>
        <v>0</v>
      </c>
      <c r="L358">
        <f>SUMPRODUCT((MONTH(CHOOSE({1,2,3,4},NĐ!T358,NĐ!X358,NĐ!AB358,NĐ!AF358))=12)*(CHOOSE({1,2,3,4},NĐ!W358,NĐ!AA358,NĐ!AE358,NĐ!AI358)))</f>
        <v>0</v>
      </c>
    </row>
    <row r="359" spans="1:12">
      <c r="A359">
        <f>SUMPRODUCT((MONTH(CHOOSE({1,2,3,4},NĐ!T359,NĐ!X359,NĐ!AB359,NĐ!AF359))=1)*(CHOOSE({1,2,3,4},NĐ!W359,NĐ!AA359,NĐ!AE359,NĐ!AI359)))</f>
        <v>0</v>
      </c>
      <c r="B359">
        <f>SUMPRODUCT((MONTH(CHOOSE({1,2,3,4},NĐ!T359,NĐ!X359,NĐ!AB359,NĐ!AF359))=2)*(CHOOSE({1,2,3,4},NĐ!W359,NĐ!AA359,NĐ!AE359,NĐ!AI359)))</f>
        <v>0</v>
      </c>
      <c r="C359">
        <f>SUMPRODUCT((MONTH(CHOOSE({1,2,3,4},NĐ!T359,NĐ!X359,NĐ!AB359,NĐ!AF359))=3)*(CHOOSE({1,2,3,4},NĐ!W359,NĐ!AA359,NĐ!AE359,NĐ!AI359)))</f>
        <v>0</v>
      </c>
      <c r="D359">
        <f>SUMPRODUCT((MONTH(CHOOSE({1,2,3,4},NĐ!T359,NĐ!X359,NĐ!AB359,NĐ!AF359))=4)*(CHOOSE({1,2,3,4},NĐ!W359,NĐ!AA359,NĐ!AE359,NĐ!AI359)))</f>
        <v>0</v>
      </c>
      <c r="E359">
        <f>SUMPRODUCT((MONTH(CHOOSE({1,2,3,4},NĐ!T359,NĐ!X359,NĐ!AB359,NĐ!AF359))=5)*(CHOOSE({1,2,3,4},NĐ!W359,NĐ!AA359,NĐ!AE359,NĐ!AI359)))</f>
        <v>0</v>
      </c>
      <c r="F359">
        <f>SUMPRODUCT((MONTH(CHOOSE({1,2,3,4},NĐ!T359,NĐ!X359,NĐ!AB359,NĐ!AF359))=6)*(CHOOSE({1,2,3,4},NĐ!W359,NĐ!AA359,NĐ!AE359,NĐ!AI359)))</f>
        <v>0</v>
      </c>
      <c r="G359">
        <f>SUMPRODUCT((MONTH(CHOOSE({1,2,3,4},NĐ!T359,NĐ!X359,NĐ!AB359,NĐ!AF359))=7)*(CHOOSE({1,2,3,4},NĐ!W359,NĐ!AA359,NĐ!AE359,NĐ!AI359)))</f>
        <v>0</v>
      </c>
      <c r="H359">
        <f>SUMPRODUCT((MONTH(CHOOSE({1,2,3,4},NĐ!T359,NĐ!X359,NĐ!AB359,NĐ!AF359))=8)*(CHOOSE({1,2,3,4},NĐ!W359,NĐ!AA359,NĐ!AE359,NĐ!AI359)))</f>
        <v>0</v>
      </c>
      <c r="I359">
        <f>SUMPRODUCT((MONTH(CHOOSE({1,2,3,4},NĐ!T359,NĐ!X359,NĐ!AB359,NĐ!AF359))=9)*(CHOOSE({1,2,3,4},NĐ!W359,NĐ!AA359,NĐ!AE359,NĐ!AI359)))</f>
        <v>0</v>
      </c>
      <c r="J359">
        <f>SUMPRODUCT((MONTH(CHOOSE({1,2,3,4},NĐ!T359,NĐ!X359,NĐ!AB359,NĐ!AF359))=10)*(CHOOSE({1,2,3,4},NĐ!W359,NĐ!AA359,NĐ!AE359,NĐ!AI359)))</f>
        <v>0</v>
      </c>
      <c r="K359">
        <f>SUMPRODUCT((MONTH(CHOOSE({1,2,3,4},NĐ!T359,NĐ!X359,NĐ!AB359,NĐ!AF359))=11)*(CHOOSE({1,2,3,4},NĐ!W359,NĐ!AA359,NĐ!AE359,NĐ!AI359)))</f>
        <v>0</v>
      </c>
      <c r="L359">
        <f>SUMPRODUCT((MONTH(CHOOSE({1,2,3,4},NĐ!T359,NĐ!X359,NĐ!AB359,NĐ!AF359))=12)*(CHOOSE({1,2,3,4},NĐ!W359,NĐ!AA359,NĐ!AE359,NĐ!AI359)))</f>
        <v>0</v>
      </c>
    </row>
    <row r="360" spans="1:12">
      <c r="A360">
        <f>SUMPRODUCT((MONTH(CHOOSE({1,2,3,4},NĐ!T360,NĐ!X360,NĐ!AB360,NĐ!AF360))=1)*(CHOOSE({1,2,3,4},NĐ!W360,NĐ!AA360,NĐ!AE360,NĐ!AI360)))</f>
        <v>0</v>
      </c>
      <c r="B360">
        <f>SUMPRODUCT((MONTH(CHOOSE({1,2,3,4},NĐ!T360,NĐ!X360,NĐ!AB360,NĐ!AF360))=2)*(CHOOSE({1,2,3,4},NĐ!W360,NĐ!AA360,NĐ!AE360,NĐ!AI360)))</f>
        <v>0</v>
      </c>
      <c r="C360">
        <f>SUMPRODUCT((MONTH(CHOOSE({1,2,3,4},NĐ!T360,NĐ!X360,NĐ!AB360,NĐ!AF360))=3)*(CHOOSE({1,2,3,4},NĐ!W360,NĐ!AA360,NĐ!AE360,NĐ!AI360)))</f>
        <v>0</v>
      </c>
      <c r="D360">
        <f>SUMPRODUCT((MONTH(CHOOSE({1,2,3,4},NĐ!T360,NĐ!X360,NĐ!AB360,NĐ!AF360))=4)*(CHOOSE({1,2,3,4},NĐ!W360,NĐ!AA360,NĐ!AE360,NĐ!AI360)))</f>
        <v>0</v>
      </c>
      <c r="E360">
        <f>SUMPRODUCT((MONTH(CHOOSE({1,2,3,4},NĐ!T360,NĐ!X360,NĐ!AB360,NĐ!AF360))=5)*(CHOOSE({1,2,3,4},NĐ!W360,NĐ!AA360,NĐ!AE360,NĐ!AI360)))</f>
        <v>0</v>
      </c>
      <c r="F360">
        <f>SUMPRODUCT((MONTH(CHOOSE({1,2,3,4},NĐ!T360,NĐ!X360,NĐ!AB360,NĐ!AF360))=6)*(CHOOSE({1,2,3,4},NĐ!W360,NĐ!AA360,NĐ!AE360,NĐ!AI360)))</f>
        <v>0</v>
      </c>
      <c r="G360">
        <f>SUMPRODUCT((MONTH(CHOOSE({1,2,3,4},NĐ!T360,NĐ!X360,NĐ!AB360,NĐ!AF360))=7)*(CHOOSE({1,2,3,4},NĐ!W360,NĐ!AA360,NĐ!AE360,NĐ!AI360)))</f>
        <v>0</v>
      </c>
      <c r="H360">
        <f>SUMPRODUCT((MONTH(CHOOSE({1,2,3,4},NĐ!T360,NĐ!X360,NĐ!AB360,NĐ!AF360))=8)*(CHOOSE({1,2,3,4},NĐ!W360,NĐ!AA360,NĐ!AE360,NĐ!AI360)))</f>
        <v>0</v>
      </c>
      <c r="I360">
        <f>SUMPRODUCT((MONTH(CHOOSE({1,2,3,4},NĐ!T360,NĐ!X360,NĐ!AB360,NĐ!AF360))=9)*(CHOOSE({1,2,3,4},NĐ!W360,NĐ!AA360,NĐ!AE360,NĐ!AI360)))</f>
        <v>0</v>
      </c>
      <c r="J360">
        <f>SUMPRODUCT((MONTH(CHOOSE({1,2,3,4},NĐ!T360,NĐ!X360,NĐ!AB360,NĐ!AF360))=10)*(CHOOSE({1,2,3,4},NĐ!W360,NĐ!AA360,NĐ!AE360,NĐ!AI360)))</f>
        <v>0</v>
      </c>
      <c r="K360">
        <f>SUMPRODUCT((MONTH(CHOOSE({1,2,3,4},NĐ!T360,NĐ!X360,NĐ!AB360,NĐ!AF360))=11)*(CHOOSE({1,2,3,4},NĐ!W360,NĐ!AA360,NĐ!AE360,NĐ!AI360)))</f>
        <v>0</v>
      </c>
      <c r="L360">
        <f>SUMPRODUCT((MONTH(CHOOSE({1,2,3,4},NĐ!T360,NĐ!X360,NĐ!AB360,NĐ!AF360))=12)*(CHOOSE({1,2,3,4},NĐ!W360,NĐ!AA360,NĐ!AE360,NĐ!AI360)))</f>
        <v>0</v>
      </c>
    </row>
    <row r="361" spans="1:12">
      <c r="A361">
        <f>SUMPRODUCT((MONTH(CHOOSE({1,2,3,4},NĐ!T361,NĐ!X361,NĐ!AB361,NĐ!AF361))=1)*(CHOOSE({1,2,3,4},NĐ!W361,NĐ!AA361,NĐ!AE361,NĐ!AI361)))</f>
        <v>0</v>
      </c>
      <c r="B361">
        <f>SUMPRODUCT((MONTH(CHOOSE({1,2,3,4},NĐ!T361,NĐ!X361,NĐ!AB361,NĐ!AF361))=2)*(CHOOSE({1,2,3,4},NĐ!W361,NĐ!AA361,NĐ!AE361,NĐ!AI361)))</f>
        <v>0</v>
      </c>
      <c r="C361">
        <f>SUMPRODUCT((MONTH(CHOOSE({1,2,3,4},NĐ!T361,NĐ!X361,NĐ!AB361,NĐ!AF361))=3)*(CHOOSE({1,2,3,4},NĐ!W361,NĐ!AA361,NĐ!AE361,NĐ!AI361)))</f>
        <v>0</v>
      </c>
      <c r="D361">
        <f>SUMPRODUCT((MONTH(CHOOSE({1,2,3,4},NĐ!T361,NĐ!X361,NĐ!AB361,NĐ!AF361))=4)*(CHOOSE({1,2,3,4},NĐ!W361,NĐ!AA361,NĐ!AE361,NĐ!AI361)))</f>
        <v>0</v>
      </c>
      <c r="E361">
        <f>SUMPRODUCT((MONTH(CHOOSE({1,2,3,4},NĐ!T361,NĐ!X361,NĐ!AB361,NĐ!AF361))=5)*(CHOOSE({1,2,3,4},NĐ!W361,NĐ!AA361,NĐ!AE361,NĐ!AI361)))</f>
        <v>0</v>
      </c>
      <c r="F361">
        <f>SUMPRODUCT((MONTH(CHOOSE({1,2,3,4},NĐ!T361,NĐ!X361,NĐ!AB361,NĐ!AF361))=6)*(CHOOSE({1,2,3,4},NĐ!W361,NĐ!AA361,NĐ!AE361,NĐ!AI361)))</f>
        <v>0</v>
      </c>
      <c r="G361">
        <f>SUMPRODUCT((MONTH(CHOOSE({1,2,3,4},NĐ!T361,NĐ!X361,NĐ!AB361,NĐ!AF361))=7)*(CHOOSE({1,2,3,4},NĐ!W361,NĐ!AA361,NĐ!AE361,NĐ!AI361)))</f>
        <v>0</v>
      </c>
      <c r="H361">
        <f>SUMPRODUCT((MONTH(CHOOSE({1,2,3,4},NĐ!T361,NĐ!X361,NĐ!AB361,NĐ!AF361))=8)*(CHOOSE({1,2,3,4},NĐ!W361,NĐ!AA361,NĐ!AE361,NĐ!AI361)))</f>
        <v>0</v>
      </c>
      <c r="I361">
        <f>SUMPRODUCT((MONTH(CHOOSE({1,2,3,4},NĐ!T361,NĐ!X361,NĐ!AB361,NĐ!AF361))=9)*(CHOOSE({1,2,3,4},NĐ!W361,NĐ!AA361,NĐ!AE361,NĐ!AI361)))</f>
        <v>0</v>
      </c>
      <c r="J361">
        <f>SUMPRODUCT((MONTH(CHOOSE({1,2,3,4},NĐ!T361,NĐ!X361,NĐ!AB361,NĐ!AF361))=10)*(CHOOSE({1,2,3,4},NĐ!W361,NĐ!AA361,NĐ!AE361,NĐ!AI361)))</f>
        <v>0</v>
      </c>
      <c r="K361">
        <f>SUMPRODUCT((MONTH(CHOOSE({1,2,3,4},NĐ!T361,NĐ!X361,NĐ!AB361,NĐ!AF361))=11)*(CHOOSE({1,2,3,4},NĐ!W361,NĐ!AA361,NĐ!AE361,NĐ!AI361)))</f>
        <v>0</v>
      </c>
      <c r="L361">
        <f>SUMPRODUCT((MONTH(CHOOSE({1,2,3,4},NĐ!T361,NĐ!X361,NĐ!AB361,NĐ!AF361))=12)*(CHOOSE({1,2,3,4},NĐ!W361,NĐ!AA361,NĐ!AE361,NĐ!AI361)))</f>
        <v>0</v>
      </c>
    </row>
    <row r="362" spans="1:12">
      <c r="A362">
        <f>SUMPRODUCT((MONTH(CHOOSE({1,2,3,4},NĐ!T362,NĐ!X362,NĐ!AB362,NĐ!AF362))=1)*(CHOOSE({1,2,3,4},NĐ!W362,NĐ!AA362,NĐ!AE362,NĐ!AI362)))</f>
        <v>0</v>
      </c>
      <c r="B362">
        <f>SUMPRODUCT((MONTH(CHOOSE({1,2,3,4},NĐ!T362,NĐ!X362,NĐ!AB362,NĐ!AF362))=2)*(CHOOSE({1,2,3,4},NĐ!W362,NĐ!AA362,NĐ!AE362,NĐ!AI362)))</f>
        <v>0</v>
      </c>
      <c r="C362">
        <f>SUMPRODUCT((MONTH(CHOOSE({1,2,3,4},NĐ!T362,NĐ!X362,NĐ!AB362,NĐ!AF362))=3)*(CHOOSE({1,2,3,4},NĐ!W362,NĐ!AA362,NĐ!AE362,NĐ!AI362)))</f>
        <v>0</v>
      </c>
      <c r="D362">
        <f>SUMPRODUCT((MONTH(CHOOSE({1,2,3,4},NĐ!T362,NĐ!X362,NĐ!AB362,NĐ!AF362))=4)*(CHOOSE({1,2,3,4},NĐ!W362,NĐ!AA362,NĐ!AE362,NĐ!AI362)))</f>
        <v>0</v>
      </c>
      <c r="E362">
        <f>SUMPRODUCT((MONTH(CHOOSE({1,2,3,4},NĐ!T362,NĐ!X362,NĐ!AB362,NĐ!AF362))=5)*(CHOOSE({1,2,3,4},NĐ!W362,NĐ!AA362,NĐ!AE362,NĐ!AI362)))</f>
        <v>0</v>
      </c>
      <c r="F362">
        <f>SUMPRODUCT((MONTH(CHOOSE({1,2,3,4},NĐ!T362,NĐ!X362,NĐ!AB362,NĐ!AF362))=6)*(CHOOSE({1,2,3,4},NĐ!W362,NĐ!AA362,NĐ!AE362,NĐ!AI362)))</f>
        <v>0</v>
      </c>
      <c r="G362">
        <f>SUMPRODUCT((MONTH(CHOOSE({1,2,3,4},NĐ!T362,NĐ!X362,NĐ!AB362,NĐ!AF362))=7)*(CHOOSE({1,2,3,4},NĐ!W362,NĐ!AA362,NĐ!AE362,NĐ!AI362)))</f>
        <v>0</v>
      </c>
      <c r="H362">
        <f>SUMPRODUCT((MONTH(CHOOSE({1,2,3,4},NĐ!T362,NĐ!X362,NĐ!AB362,NĐ!AF362))=8)*(CHOOSE({1,2,3,4},NĐ!W362,NĐ!AA362,NĐ!AE362,NĐ!AI362)))</f>
        <v>0</v>
      </c>
      <c r="I362">
        <f>SUMPRODUCT((MONTH(CHOOSE({1,2,3,4},NĐ!T362,NĐ!X362,NĐ!AB362,NĐ!AF362))=9)*(CHOOSE({1,2,3,4},NĐ!W362,NĐ!AA362,NĐ!AE362,NĐ!AI362)))</f>
        <v>0</v>
      </c>
      <c r="J362">
        <f>SUMPRODUCT((MONTH(CHOOSE({1,2,3,4},NĐ!T362,NĐ!X362,NĐ!AB362,NĐ!AF362))=10)*(CHOOSE({1,2,3,4},NĐ!W362,NĐ!AA362,NĐ!AE362,NĐ!AI362)))</f>
        <v>0</v>
      </c>
      <c r="K362">
        <f>SUMPRODUCT((MONTH(CHOOSE({1,2,3,4},NĐ!T362,NĐ!X362,NĐ!AB362,NĐ!AF362))=11)*(CHOOSE({1,2,3,4},NĐ!W362,NĐ!AA362,NĐ!AE362,NĐ!AI362)))</f>
        <v>0</v>
      </c>
      <c r="L362">
        <f>SUMPRODUCT((MONTH(CHOOSE({1,2,3,4},NĐ!T362,NĐ!X362,NĐ!AB362,NĐ!AF362))=12)*(CHOOSE({1,2,3,4},NĐ!W362,NĐ!AA362,NĐ!AE362,NĐ!AI362)))</f>
        <v>0</v>
      </c>
    </row>
    <row r="363" spans="1:12">
      <c r="A363">
        <f>SUMPRODUCT((MONTH(CHOOSE({1,2,3,4},NĐ!T363,NĐ!X363,NĐ!AB363,NĐ!AF363))=1)*(CHOOSE({1,2,3,4},NĐ!W363,NĐ!AA363,NĐ!AE363,NĐ!AI363)))</f>
        <v>0</v>
      </c>
      <c r="B363">
        <f>SUMPRODUCT((MONTH(CHOOSE({1,2,3,4},NĐ!T363,NĐ!X363,NĐ!AB363,NĐ!AF363))=2)*(CHOOSE({1,2,3,4},NĐ!W363,NĐ!AA363,NĐ!AE363,NĐ!AI363)))</f>
        <v>0</v>
      </c>
      <c r="C363">
        <f>SUMPRODUCT((MONTH(CHOOSE({1,2,3,4},NĐ!T363,NĐ!X363,NĐ!AB363,NĐ!AF363))=3)*(CHOOSE({1,2,3,4},NĐ!W363,NĐ!AA363,NĐ!AE363,NĐ!AI363)))</f>
        <v>0</v>
      </c>
      <c r="D363">
        <f>SUMPRODUCT((MONTH(CHOOSE({1,2,3,4},NĐ!T363,NĐ!X363,NĐ!AB363,NĐ!AF363))=4)*(CHOOSE({1,2,3,4},NĐ!W363,NĐ!AA363,NĐ!AE363,NĐ!AI363)))</f>
        <v>0</v>
      </c>
      <c r="E363">
        <f>SUMPRODUCT((MONTH(CHOOSE({1,2,3,4},NĐ!T363,NĐ!X363,NĐ!AB363,NĐ!AF363))=5)*(CHOOSE({1,2,3,4},NĐ!W363,NĐ!AA363,NĐ!AE363,NĐ!AI363)))</f>
        <v>0</v>
      </c>
      <c r="F363">
        <f>SUMPRODUCT((MONTH(CHOOSE({1,2,3,4},NĐ!T363,NĐ!X363,NĐ!AB363,NĐ!AF363))=6)*(CHOOSE({1,2,3,4},NĐ!W363,NĐ!AA363,NĐ!AE363,NĐ!AI363)))</f>
        <v>0</v>
      </c>
      <c r="G363">
        <f>SUMPRODUCT((MONTH(CHOOSE({1,2,3,4},NĐ!T363,NĐ!X363,NĐ!AB363,NĐ!AF363))=7)*(CHOOSE({1,2,3,4},NĐ!W363,NĐ!AA363,NĐ!AE363,NĐ!AI363)))</f>
        <v>0</v>
      </c>
      <c r="H363">
        <f>SUMPRODUCT((MONTH(CHOOSE({1,2,3,4},NĐ!T363,NĐ!X363,NĐ!AB363,NĐ!AF363))=8)*(CHOOSE({1,2,3,4},NĐ!W363,NĐ!AA363,NĐ!AE363,NĐ!AI363)))</f>
        <v>0</v>
      </c>
      <c r="I363">
        <f>SUMPRODUCT((MONTH(CHOOSE({1,2,3,4},NĐ!T363,NĐ!X363,NĐ!AB363,NĐ!AF363))=9)*(CHOOSE({1,2,3,4},NĐ!W363,NĐ!AA363,NĐ!AE363,NĐ!AI363)))</f>
        <v>0</v>
      </c>
      <c r="J363">
        <f>SUMPRODUCT((MONTH(CHOOSE({1,2,3,4},NĐ!T363,NĐ!X363,NĐ!AB363,NĐ!AF363))=10)*(CHOOSE({1,2,3,4},NĐ!W363,NĐ!AA363,NĐ!AE363,NĐ!AI363)))</f>
        <v>0</v>
      </c>
      <c r="K363">
        <f>SUMPRODUCT((MONTH(CHOOSE({1,2,3,4},NĐ!T363,NĐ!X363,NĐ!AB363,NĐ!AF363))=11)*(CHOOSE({1,2,3,4},NĐ!W363,NĐ!AA363,NĐ!AE363,NĐ!AI363)))</f>
        <v>0</v>
      </c>
      <c r="L363">
        <f>SUMPRODUCT((MONTH(CHOOSE({1,2,3,4},NĐ!T363,NĐ!X363,NĐ!AB363,NĐ!AF363))=12)*(CHOOSE({1,2,3,4},NĐ!W363,NĐ!AA363,NĐ!AE363,NĐ!AI363)))</f>
        <v>0</v>
      </c>
    </row>
    <row r="364" spans="1:12">
      <c r="A364">
        <f>SUMPRODUCT((MONTH(CHOOSE({1,2,3,4},NĐ!T364,NĐ!X364,NĐ!AB364,NĐ!AF364))=1)*(CHOOSE({1,2,3,4},NĐ!W364,NĐ!AA364,NĐ!AE364,NĐ!AI364)))</f>
        <v>0</v>
      </c>
      <c r="B364">
        <f>SUMPRODUCT((MONTH(CHOOSE({1,2,3,4},NĐ!T364,NĐ!X364,NĐ!AB364,NĐ!AF364))=2)*(CHOOSE({1,2,3,4},NĐ!W364,NĐ!AA364,NĐ!AE364,NĐ!AI364)))</f>
        <v>0</v>
      </c>
      <c r="C364">
        <f>SUMPRODUCT((MONTH(CHOOSE({1,2,3,4},NĐ!T364,NĐ!X364,NĐ!AB364,NĐ!AF364))=3)*(CHOOSE({1,2,3,4},NĐ!W364,NĐ!AA364,NĐ!AE364,NĐ!AI364)))</f>
        <v>0</v>
      </c>
      <c r="D364">
        <f>SUMPRODUCT((MONTH(CHOOSE({1,2,3,4},NĐ!T364,NĐ!X364,NĐ!AB364,NĐ!AF364))=4)*(CHOOSE({1,2,3,4},NĐ!W364,NĐ!AA364,NĐ!AE364,NĐ!AI364)))</f>
        <v>0</v>
      </c>
      <c r="E364">
        <f>SUMPRODUCT((MONTH(CHOOSE({1,2,3,4},NĐ!T364,NĐ!X364,NĐ!AB364,NĐ!AF364))=5)*(CHOOSE({1,2,3,4},NĐ!W364,NĐ!AA364,NĐ!AE364,NĐ!AI364)))</f>
        <v>0</v>
      </c>
      <c r="F364">
        <f>SUMPRODUCT((MONTH(CHOOSE({1,2,3,4},NĐ!T364,NĐ!X364,NĐ!AB364,NĐ!AF364))=6)*(CHOOSE({1,2,3,4},NĐ!W364,NĐ!AA364,NĐ!AE364,NĐ!AI364)))</f>
        <v>0</v>
      </c>
      <c r="G364">
        <f>SUMPRODUCT((MONTH(CHOOSE({1,2,3,4},NĐ!T364,NĐ!X364,NĐ!AB364,NĐ!AF364))=7)*(CHOOSE({1,2,3,4},NĐ!W364,NĐ!AA364,NĐ!AE364,NĐ!AI364)))</f>
        <v>0</v>
      </c>
      <c r="H364">
        <f>SUMPRODUCT((MONTH(CHOOSE({1,2,3,4},NĐ!T364,NĐ!X364,NĐ!AB364,NĐ!AF364))=8)*(CHOOSE({1,2,3,4},NĐ!W364,NĐ!AA364,NĐ!AE364,NĐ!AI364)))</f>
        <v>0</v>
      </c>
      <c r="I364">
        <f>SUMPRODUCT((MONTH(CHOOSE({1,2,3,4},NĐ!T364,NĐ!X364,NĐ!AB364,NĐ!AF364))=9)*(CHOOSE({1,2,3,4},NĐ!W364,NĐ!AA364,NĐ!AE364,NĐ!AI364)))</f>
        <v>0</v>
      </c>
      <c r="J364">
        <f>SUMPRODUCT((MONTH(CHOOSE({1,2,3,4},NĐ!T364,NĐ!X364,NĐ!AB364,NĐ!AF364))=10)*(CHOOSE({1,2,3,4},NĐ!W364,NĐ!AA364,NĐ!AE364,NĐ!AI364)))</f>
        <v>0</v>
      </c>
      <c r="K364">
        <f>SUMPRODUCT((MONTH(CHOOSE({1,2,3,4},NĐ!T364,NĐ!X364,NĐ!AB364,NĐ!AF364))=11)*(CHOOSE({1,2,3,4},NĐ!W364,NĐ!AA364,NĐ!AE364,NĐ!AI364)))</f>
        <v>0</v>
      </c>
      <c r="L364">
        <f>SUMPRODUCT((MONTH(CHOOSE({1,2,3,4},NĐ!T364,NĐ!X364,NĐ!AB364,NĐ!AF364))=12)*(CHOOSE({1,2,3,4},NĐ!W364,NĐ!AA364,NĐ!AE364,NĐ!AI364)))</f>
        <v>0</v>
      </c>
    </row>
    <row r="365" spans="1:12">
      <c r="A365">
        <f>SUMPRODUCT((MONTH(CHOOSE({1,2,3,4},NĐ!T365,NĐ!X365,NĐ!AB365,NĐ!AF365))=1)*(CHOOSE({1,2,3,4},NĐ!W365,NĐ!AA365,NĐ!AE365,NĐ!AI365)))</f>
        <v>0</v>
      </c>
      <c r="B365">
        <f>SUMPRODUCT((MONTH(CHOOSE({1,2,3,4},NĐ!T365,NĐ!X365,NĐ!AB365,NĐ!AF365))=2)*(CHOOSE({1,2,3,4},NĐ!W365,NĐ!AA365,NĐ!AE365,NĐ!AI365)))</f>
        <v>0</v>
      </c>
      <c r="C365">
        <f>SUMPRODUCT((MONTH(CHOOSE({1,2,3,4},NĐ!T365,NĐ!X365,NĐ!AB365,NĐ!AF365))=3)*(CHOOSE({1,2,3,4},NĐ!W365,NĐ!AA365,NĐ!AE365,NĐ!AI365)))</f>
        <v>0</v>
      </c>
      <c r="D365">
        <f>SUMPRODUCT((MONTH(CHOOSE({1,2,3,4},NĐ!T365,NĐ!X365,NĐ!AB365,NĐ!AF365))=4)*(CHOOSE({1,2,3,4},NĐ!W365,NĐ!AA365,NĐ!AE365,NĐ!AI365)))</f>
        <v>0</v>
      </c>
      <c r="E365">
        <f>SUMPRODUCT((MONTH(CHOOSE({1,2,3,4},NĐ!T365,NĐ!X365,NĐ!AB365,NĐ!AF365))=5)*(CHOOSE({1,2,3,4},NĐ!W365,NĐ!AA365,NĐ!AE365,NĐ!AI365)))</f>
        <v>0</v>
      </c>
      <c r="F365">
        <f>SUMPRODUCT((MONTH(CHOOSE({1,2,3,4},NĐ!T365,NĐ!X365,NĐ!AB365,NĐ!AF365))=6)*(CHOOSE({1,2,3,4},NĐ!W365,NĐ!AA365,NĐ!AE365,NĐ!AI365)))</f>
        <v>0</v>
      </c>
      <c r="G365">
        <f>SUMPRODUCT((MONTH(CHOOSE({1,2,3,4},NĐ!T365,NĐ!X365,NĐ!AB365,NĐ!AF365))=7)*(CHOOSE({1,2,3,4},NĐ!W365,NĐ!AA365,NĐ!AE365,NĐ!AI365)))</f>
        <v>0</v>
      </c>
      <c r="H365">
        <f>SUMPRODUCT((MONTH(CHOOSE({1,2,3,4},NĐ!T365,NĐ!X365,NĐ!AB365,NĐ!AF365))=8)*(CHOOSE({1,2,3,4},NĐ!W365,NĐ!AA365,NĐ!AE365,NĐ!AI365)))</f>
        <v>0</v>
      </c>
      <c r="I365">
        <f>SUMPRODUCT((MONTH(CHOOSE({1,2,3,4},NĐ!T365,NĐ!X365,NĐ!AB365,NĐ!AF365))=9)*(CHOOSE({1,2,3,4},NĐ!W365,NĐ!AA365,NĐ!AE365,NĐ!AI365)))</f>
        <v>0</v>
      </c>
      <c r="J365">
        <f>SUMPRODUCT((MONTH(CHOOSE({1,2,3,4},NĐ!T365,NĐ!X365,NĐ!AB365,NĐ!AF365))=10)*(CHOOSE({1,2,3,4},NĐ!W365,NĐ!AA365,NĐ!AE365,NĐ!AI365)))</f>
        <v>0</v>
      </c>
      <c r="K365">
        <f>SUMPRODUCT((MONTH(CHOOSE({1,2,3,4},NĐ!T365,NĐ!X365,NĐ!AB365,NĐ!AF365))=11)*(CHOOSE({1,2,3,4},NĐ!W365,NĐ!AA365,NĐ!AE365,NĐ!AI365)))</f>
        <v>0</v>
      </c>
      <c r="L365">
        <f>SUMPRODUCT((MONTH(CHOOSE({1,2,3,4},NĐ!T365,NĐ!X365,NĐ!AB365,NĐ!AF365))=12)*(CHOOSE({1,2,3,4},NĐ!W365,NĐ!AA365,NĐ!AE365,NĐ!AI365)))</f>
        <v>0</v>
      </c>
    </row>
    <row r="366" spans="1:12">
      <c r="A366">
        <f>SUMPRODUCT((MONTH(CHOOSE({1,2,3,4},NĐ!T366,NĐ!X366,NĐ!AB366,NĐ!AF366))=1)*(CHOOSE({1,2,3,4},NĐ!W366,NĐ!AA366,NĐ!AE366,NĐ!AI366)))</f>
        <v>0</v>
      </c>
      <c r="B366">
        <f>SUMPRODUCT((MONTH(CHOOSE({1,2,3,4},NĐ!T366,NĐ!X366,NĐ!AB366,NĐ!AF366))=2)*(CHOOSE({1,2,3,4},NĐ!W366,NĐ!AA366,NĐ!AE366,NĐ!AI366)))</f>
        <v>0</v>
      </c>
      <c r="C366">
        <f>SUMPRODUCT((MONTH(CHOOSE({1,2,3,4},NĐ!T366,NĐ!X366,NĐ!AB366,NĐ!AF366))=3)*(CHOOSE({1,2,3,4},NĐ!W366,NĐ!AA366,NĐ!AE366,NĐ!AI366)))</f>
        <v>0</v>
      </c>
      <c r="D366">
        <f>SUMPRODUCT((MONTH(CHOOSE({1,2,3,4},NĐ!T366,NĐ!X366,NĐ!AB366,NĐ!AF366))=4)*(CHOOSE({1,2,3,4},NĐ!W366,NĐ!AA366,NĐ!AE366,NĐ!AI366)))</f>
        <v>0</v>
      </c>
      <c r="E366">
        <f>SUMPRODUCT((MONTH(CHOOSE({1,2,3,4},NĐ!T366,NĐ!X366,NĐ!AB366,NĐ!AF366))=5)*(CHOOSE({1,2,3,4},NĐ!W366,NĐ!AA366,NĐ!AE366,NĐ!AI366)))</f>
        <v>0</v>
      </c>
      <c r="F366">
        <f>SUMPRODUCT((MONTH(CHOOSE({1,2,3,4},NĐ!T366,NĐ!X366,NĐ!AB366,NĐ!AF366))=6)*(CHOOSE({1,2,3,4},NĐ!W366,NĐ!AA366,NĐ!AE366,NĐ!AI366)))</f>
        <v>0</v>
      </c>
      <c r="G366">
        <f>SUMPRODUCT((MONTH(CHOOSE({1,2,3,4},NĐ!T366,NĐ!X366,NĐ!AB366,NĐ!AF366))=7)*(CHOOSE({1,2,3,4},NĐ!W366,NĐ!AA366,NĐ!AE366,NĐ!AI366)))</f>
        <v>0</v>
      </c>
      <c r="H366">
        <f>SUMPRODUCT((MONTH(CHOOSE({1,2,3,4},NĐ!T366,NĐ!X366,NĐ!AB366,NĐ!AF366))=8)*(CHOOSE({1,2,3,4},NĐ!W366,NĐ!AA366,NĐ!AE366,NĐ!AI366)))</f>
        <v>0</v>
      </c>
      <c r="I366">
        <f>SUMPRODUCT((MONTH(CHOOSE({1,2,3,4},NĐ!T366,NĐ!X366,NĐ!AB366,NĐ!AF366))=9)*(CHOOSE({1,2,3,4},NĐ!W366,NĐ!AA366,NĐ!AE366,NĐ!AI366)))</f>
        <v>0</v>
      </c>
      <c r="J366">
        <f>SUMPRODUCT((MONTH(CHOOSE({1,2,3,4},NĐ!T366,NĐ!X366,NĐ!AB366,NĐ!AF366))=10)*(CHOOSE({1,2,3,4},NĐ!W366,NĐ!AA366,NĐ!AE366,NĐ!AI366)))</f>
        <v>0</v>
      </c>
      <c r="K366">
        <f>SUMPRODUCT((MONTH(CHOOSE({1,2,3,4},NĐ!T366,NĐ!X366,NĐ!AB366,NĐ!AF366))=11)*(CHOOSE({1,2,3,4},NĐ!W366,NĐ!AA366,NĐ!AE366,NĐ!AI366)))</f>
        <v>0</v>
      </c>
      <c r="L366">
        <f>SUMPRODUCT((MONTH(CHOOSE({1,2,3,4},NĐ!T366,NĐ!X366,NĐ!AB366,NĐ!AF366))=12)*(CHOOSE({1,2,3,4},NĐ!W366,NĐ!AA366,NĐ!AE366,NĐ!AI366)))</f>
        <v>0</v>
      </c>
    </row>
    <row r="367" spans="1:12">
      <c r="A367">
        <f>SUMPRODUCT((MONTH(CHOOSE({1,2,3,4},NĐ!T367,NĐ!X367,NĐ!AB367,NĐ!AF367))=1)*(CHOOSE({1,2,3,4},NĐ!W367,NĐ!AA367,NĐ!AE367,NĐ!AI367)))</f>
        <v>0</v>
      </c>
      <c r="B367">
        <f>SUMPRODUCT((MONTH(CHOOSE({1,2,3,4},NĐ!T367,NĐ!X367,NĐ!AB367,NĐ!AF367))=2)*(CHOOSE({1,2,3,4},NĐ!W367,NĐ!AA367,NĐ!AE367,NĐ!AI367)))</f>
        <v>0</v>
      </c>
      <c r="C367">
        <f>SUMPRODUCT((MONTH(CHOOSE({1,2,3,4},NĐ!T367,NĐ!X367,NĐ!AB367,NĐ!AF367))=3)*(CHOOSE({1,2,3,4},NĐ!W367,NĐ!AA367,NĐ!AE367,NĐ!AI367)))</f>
        <v>0</v>
      </c>
      <c r="D367">
        <f>SUMPRODUCT((MONTH(CHOOSE({1,2,3,4},NĐ!T367,NĐ!X367,NĐ!AB367,NĐ!AF367))=4)*(CHOOSE({1,2,3,4},NĐ!W367,NĐ!AA367,NĐ!AE367,NĐ!AI367)))</f>
        <v>0</v>
      </c>
      <c r="E367">
        <f>SUMPRODUCT((MONTH(CHOOSE({1,2,3,4},NĐ!T367,NĐ!X367,NĐ!AB367,NĐ!AF367))=5)*(CHOOSE({1,2,3,4},NĐ!W367,NĐ!AA367,NĐ!AE367,NĐ!AI367)))</f>
        <v>0</v>
      </c>
      <c r="F367">
        <f>SUMPRODUCT((MONTH(CHOOSE({1,2,3,4},NĐ!T367,NĐ!X367,NĐ!AB367,NĐ!AF367))=6)*(CHOOSE({1,2,3,4},NĐ!W367,NĐ!AA367,NĐ!AE367,NĐ!AI367)))</f>
        <v>0</v>
      </c>
      <c r="G367">
        <f>SUMPRODUCT((MONTH(CHOOSE({1,2,3,4},NĐ!T367,NĐ!X367,NĐ!AB367,NĐ!AF367))=7)*(CHOOSE({1,2,3,4},NĐ!W367,NĐ!AA367,NĐ!AE367,NĐ!AI367)))</f>
        <v>0</v>
      </c>
      <c r="H367">
        <f>SUMPRODUCT((MONTH(CHOOSE({1,2,3,4},NĐ!T367,NĐ!X367,NĐ!AB367,NĐ!AF367))=8)*(CHOOSE({1,2,3,4},NĐ!W367,NĐ!AA367,NĐ!AE367,NĐ!AI367)))</f>
        <v>0</v>
      </c>
      <c r="I367">
        <f>SUMPRODUCT((MONTH(CHOOSE({1,2,3,4},NĐ!T367,NĐ!X367,NĐ!AB367,NĐ!AF367))=9)*(CHOOSE({1,2,3,4},NĐ!W367,NĐ!AA367,NĐ!AE367,NĐ!AI367)))</f>
        <v>0</v>
      </c>
      <c r="J367">
        <f>SUMPRODUCT((MONTH(CHOOSE({1,2,3,4},NĐ!T367,NĐ!X367,NĐ!AB367,NĐ!AF367))=10)*(CHOOSE({1,2,3,4},NĐ!W367,NĐ!AA367,NĐ!AE367,NĐ!AI367)))</f>
        <v>0</v>
      </c>
      <c r="K367">
        <f>SUMPRODUCT((MONTH(CHOOSE({1,2,3,4},NĐ!T367,NĐ!X367,NĐ!AB367,NĐ!AF367))=11)*(CHOOSE({1,2,3,4},NĐ!W367,NĐ!AA367,NĐ!AE367,NĐ!AI367)))</f>
        <v>0</v>
      </c>
      <c r="L367">
        <f>SUMPRODUCT((MONTH(CHOOSE({1,2,3,4},NĐ!T367,NĐ!X367,NĐ!AB367,NĐ!AF367))=12)*(CHOOSE({1,2,3,4},NĐ!W367,NĐ!AA367,NĐ!AE367,NĐ!AI367)))</f>
        <v>0</v>
      </c>
    </row>
    <row r="368" spans="1:12">
      <c r="A368">
        <f>SUMPRODUCT((MONTH(CHOOSE({1,2,3,4},NĐ!T368,NĐ!X368,NĐ!AB368,NĐ!AF368))=1)*(CHOOSE({1,2,3,4},NĐ!W368,NĐ!AA368,NĐ!AE368,NĐ!AI368)))</f>
        <v>0</v>
      </c>
      <c r="B368">
        <f>SUMPRODUCT((MONTH(CHOOSE({1,2,3,4},NĐ!T368,NĐ!X368,NĐ!AB368,NĐ!AF368))=2)*(CHOOSE({1,2,3,4},NĐ!W368,NĐ!AA368,NĐ!AE368,NĐ!AI368)))</f>
        <v>0</v>
      </c>
      <c r="C368">
        <f>SUMPRODUCT((MONTH(CHOOSE({1,2,3,4},NĐ!T368,NĐ!X368,NĐ!AB368,NĐ!AF368))=3)*(CHOOSE({1,2,3,4},NĐ!W368,NĐ!AA368,NĐ!AE368,NĐ!AI368)))</f>
        <v>0</v>
      </c>
      <c r="D368">
        <f>SUMPRODUCT((MONTH(CHOOSE({1,2,3,4},NĐ!T368,NĐ!X368,NĐ!AB368,NĐ!AF368))=4)*(CHOOSE({1,2,3,4},NĐ!W368,NĐ!AA368,NĐ!AE368,NĐ!AI368)))</f>
        <v>0</v>
      </c>
      <c r="E368">
        <f>SUMPRODUCT((MONTH(CHOOSE({1,2,3,4},NĐ!T368,NĐ!X368,NĐ!AB368,NĐ!AF368))=5)*(CHOOSE({1,2,3,4},NĐ!W368,NĐ!AA368,NĐ!AE368,NĐ!AI368)))</f>
        <v>0</v>
      </c>
      <c r="F368">
        <f>SUMPRODUCT((MONTH(CHOOSE({1,2,3,4},NĐ!T368,NĐ!X368,NĐ!AB368,NĐ!AF368))=6)*(CHOOSE({1,2,3,4},NĐ!W368,NĐ!AA368,NĐ!AE368,NĐ!AI368)))</f>
        <v>0</v>
      </c>
      <c r="G368">
        <f>SUMPRODUCT((MONTH(CHOOSE({1,2,3,4},NĐ!T368,NĐ!X368,NĐ!AB368,NĐ!AF368))=7)*(CHOOSE({1,2,3,4},NĐ!W368,NĐ!AA368,NĐ!AE368,NĐ!AI368)))</f>
        <v>0</v>
      </c>
      <c r="H368">
        <f>SUMPRODUCT((MONTH(CHOOSE({1,2,3,4},NĐ!T368,NĐ!X368,NĐ!AB368,NĐ!AF368))=8)*(CHOOSE({1,2,3,4},NĐ!W368,NĐ!AA368,NĐ!AE368,NĐ!AI368)))</f>
        <v>0</v>
      </c>
      <c r="I368">
        <f>SUMPRODUCT((MONTH(CHOOSE({1,2,3,4},NĐ!T368,NĐ!X368,NĐ!AB368,NĐ!AF368))=9)*(CHOOSE({1,2,3,4},NĐ!W368,NĐ!AA368,NĐ!AE368,NĐ!AI368)))</f>
        <v>0</v>
      </c>
      <c r="J368">
        <f>SUMPRODUCT((MONTH(CHOOSE({1,2,3,4},NĐ!T368,NĐ!X368,NĐ!AB368,NĐ!AF368))=10)*(CHOOSE({1,2,3,4},NĐ!W368,NĐ!AA368,NĐ!AE368,NĐ!AI368)))</f>
        <v>0</v>
      </c>
      <c r="K368">
        <f>SUMPRODUCT((MONTH(CHOOSE({1,2,3,4},NĐ!T368,NĐ!X368,NĐ!AB368,NĐ!AF368))=11)*(CHOOSE({1,2,3,4},NĐ!W368,NĐ!AA368,NĐ!AE368,NĐ!AI368)))</f>
        <v>0</v>
      </c>
      <c r="L368">
        <f>SUMPRODUCT((MONTH(CHOOSE({1,2,3,4},NĐ!T368,NĐ!X368,NĐ!AB368,NĐ!AF368))=12)*(CHOOSE({1,2,3,4},NĐ!W368,NĐ!AA368,NĐ!AE368,NĐ!AI368)))</f>
        <v>0</v>
      </c>
    </row>
    <row r="369" spans="1:12">
      <c r="A369">
        <f>SUMPRODUCT((MONTH(CHOOSE({1,2,3,4},NĐ!T369,NĐ!X369,NĐ!AB369,NĐ!AF369))=1)*(CHOOSE({1,2,3,4},NĐ!W369,NĐ!AA369,NĐ!AE369,NĐ!AI369)))</f>
        <v>0</v>
      </c>
      <c r="B369">
        <f>SUMPRODUCT((MONTH(CHOOSE({1,2,3,4},NĐ!T369,NĐ!X369,NĐ!AB369,NĐ!AF369))=2)*(CHOOSE({1,2,3,4},NĐ!W369,NĐ!AA369,NĐ!AE369,NĐ!AI369)))</f>
        <v>0</v>
      </c>
      <c r="C369">
        <f>SUMPRODUCT((MONTH(CHOOSE({1,2,3,4},NĐ!T369,NĐ!X369,NĐ!AB369,NĐ!AF369))=3)*(CHOOSE({1,2,3,4},NĐ!W369,NĐ!AA369,NĐ!AE369,NĐ!AI369)))</f>
        <v>0</v>
      </c>
      <c r="D369">
        <f>SUMPRODUCT((MONTH(CHOOSE({1,2,3,4},NĐ!T369,NĐ!X369,NĐ!AB369,NĐ!AF369))=4)*(CHOOSE({1,2,3,4},NĐ!W369,NĐ!AA369,NĐ!AE369,NĐ!AI369)))</f>
        <v>0</v>
      </c>
      <c r="E369">
        <f>SUMPRODUCT((MONTH(CHOOSE({1,2,3,4},NĐ!T369,NĐ!X369,NĐ!AB369,NĐ!AF369))=5)*(CHOOSE({1,2,3,4},NĐ!W369,NĐ!AA369,NĐ!AE369,NĐ!AI369)))</f>
        <v>0</v>
      </c>
      <c r="F369">
        <f>SUMPRODUCT((MONTH(CHOOSE({1,2,3,4},NĐ!T369,NĐ!X369,NĐ!AB369,NĐ!AF369))=6)*(CHOOSE({1,2,3,4},NĐ!W369,NĐ!AA369,NĐ!AE369,NĐ!AI369)))</f>
        <v>0</v>
      </c>
      <c r="G369">
        <f>SUMPRODUCT((MONTH(CHOOSE({1,2,3,4},NĐ!T369,NĐ!X369,NĐ!AB369,NĐ!AF369))=7)*(CHOOSE({1,2,3,4},NĐ!W369,NĐ!AA369,NĐ!AE369,NĐ!AI369)))</f>
        <v>0</v>
      </c>
      <c r="H369">
        <f>SUMPRODUCT((MONTH(CHOOSE({1,2,3,4},NĐ!T369,NĐ!X369,NĐ!AB369,NĐ!AF369))=8)*(CHOOSE({1,2,3,4},NĐ!W369,NĐ!AA369,NĐ!AE369,NĐ!AI369)))</f>
        <v>0</v>
      </c>
      <c r="I369">
        <f>SUMPRODUCT((MONTH(CHOOSE({1,2,3,4},NĐ!T369,NĐ!X369,NĐ!AB369,NĐ!AF369))=9)*(CHOOSE({1,2,3,4},NĐ!W369,NĐ!AA369,NĐ!AE369,NĐ!AI369)))</f>
        <v>0</v>
      </c>
      <c r="J369">
        <f>SUMPRODUCT((MONTH(CHOOSE({1,2,3,4},NĐ!T369,NĐ!X369,NĐ!AB369,NĐ!AF369))=10)*(CHOOSE({1,2,3,4},NĐ!W369,NĐ!AA369,NĐ!AE369,NĐ!AI369)))</f>
        <v>0</v>
      </c>
      <c r="K369">
        <f>SUMPRODUCT((MONTH(CHOOSE({1,2,3,4},NĐ!T369,NĐ!X369,NĐ!AB369,NĐ!AF369))=11)*(CHOOSE({1,2,3,4},NĐ!W369,NĐ!AA369,NĐ!AE369,NĐ!AI369)))</f>
        <v>0</v>
      </c>
      <c r="L369">
        <f>SUMPRODUCT((MONTH(CHOOSE({1,2,3,4},NĐ!T369,NĐ!X369,NĐ!AB369,NĐ!AF369))=12)*(CHOOSE({1,2,3,4},NĐ!W369,NĐ!AA369,NĐ!AE369,NĐ!AI369)))</f>
        <v>0</v>
      </c>
    </row>
    <row r="370" spans="1:12">
      <c r="A370">
        <f>SUMPRODUCT((MONTH(CHOOSE({1,2,3,4},NĐ!T370,NĐ!X370,NĐ!AB370,NĐ!AF370))=1)*(CHOOSE({1,2,3,4},NĐ!W370,NĐ!AA370,NĐ!AE370,NĐ!AI370)))</f>
        <v>0</v>
      </c>
      <c r="B370">
        <f>SUMPRODUCT((MONTH(CHOOSE({1,2,3,4},NĐ!T370,NĐ!X370,NĐ!AB370,NĐ!AF370))=2)*(CHOOSE({1,2,3,4},NĐ!W370,NĐ!AA370,NĐ!AE370,NĐ!AI370)))</f>
        <v>0</v>
      </c>
      <c r="C370">
        <f>SUMPRODUCT((MONTH(CHOOSE({1,2,3,4},NĐ!T370,NĐ!X370,NĐ!AB370,NĐ!AF370))=3)*(CHOOSE({1,2,3,4},NĐ!W370,NĐ!AA370,NĐ!AE370,NĐ!AI370)))</f>
        <v>0</v>
      </c>
      <c r="D370">
        <f>SUMPRODUCT((MONTH(CHOOSE({1,2,3,4},NĐ!T370,NĐ!X370,NĐ!AB370,NĐ!AF370))=4)*(CHOOSE({1,2,3,4},NĐ!W370,NĐ!AA370,NĐ!AE370,NĐ!AI370)))</f>
        <v>0</v>
      </c>
      <c r="E370">
        <f>SUMPRODUCT((MONTH(CHOOSE({1,2,3,4},NĐ!T370,NĐ!X370,NĐ!AB370,NĐ!AF370))=5)*(CHOOSE({1,2,3,4},NĐ!W370,NĐ!AA370,NĐ!AE370,NĐ!AI370)))</f>
        <v>0</v>
      </c>
      <c r="F370">
        <f>SUMPRODUCT((MONTH(CHOOSE({1,2,3,4},NĐ!T370,NĐ!X370,NĐ!AB370,NĐ!AF370))=6)*(CHOOSE({1,2,3,4},NĐ!W370,NĐ!AA370,NĐ!AE370,NĐ!AI370)))</f>
        <v>0</v>
      </c>
      <c r="G370">
        <f>SUMPRODUCT((MONTH(CHOOSE({1,2,3,4},NĐ!T370,NĐ!X370,NĐ!AB370,NĐ!AF370))=7)*(CHOOSE({1,2,3,4},NĐ!W370,NĐ!AA370,NĐ!AE370,NĐ!AI370)))</f>
        <v>0</v>
      </c>
      <c r="H370">
        <f>SUMPRODUCT((MONTH(CHOOSE({1,2,3,4},NĐ!T370,NĐ!X370,NĐ!AB370,NĐ!AF370))=8)*(CHOOSE({1,2,3,4},NĐ!W370,NĐ!AA370,NĐ!AE370,NĐ!AI370)))</f>
        <v>0</v>
      </c>
      <c r="I370">
        <f>SUMPRODUCT((MONTH(CHOOSE({1,2,3,4},NĐ!T370,NĐ!X370,NĐ!AB370,NĐ!AF370))=9)*(CHOOSE({1,2,3,4},NĐ!W370,NĐ!AA370,NĐ!AE370,NĐ!AI370)))</f>
        <v>0</v>
      </c>
      <c r="J370">
        <f>SUMPRODUCT((MONTH(CHOOSE({1,2,3,4},NĐ!T370,NĐ!X370,NĐ!AB370,NĐ!AF370))=10)*(CHOOSE({1,2,3,4},NĐ!W370,NĐ!AA370,NĐ!AE370,NĐ!AI370)))</f>
        <v>0</v>
      </c>
      <c r="K370">
        <f>SUMPRODUCT((MONTH(CHOOSE({1,2,3,4},NĐ!T370,NĐ!X370,NĐ!AB370,NĐ!AF370))=11)*(CHOOSE({1,2,3,4},NĐ!W370,NĐ!AA370,NĐ!AE370,NĐ!AI370)))</f>
        <v>0</v>
      </c>
      <c r="L370">
        <f>SUMPRODUCT((MONTH(CHOOSE({1,2,3,4},NĐ!T370,NĐ!X370,NĐ!AB370,NĐ!AF370))=12)*(CHOOSE({1,2,3,4},NĐ!W370,NĐ!AA370,NĐ!AE370,NĐ!AI370)))</f>
        <v>0</v>
      </c>
    </row>
    <row r="371" spans="1:12">
      <c r="A371">
        <f>SUMPRODUCT((MONTH(CHOOSE({1,2,3,4},NĐ!T371,NĐ!X371,NĐ!AB371,NĐ!AF371))=1)*(CHOOSE({1,2,3,4},NĐ!W371,NĐ!AA371,NĐ!AE371,NĐ!AI371)))</f>
        <v>0</v>
      </c>
      <c r="B371">
        <f>SUMPRODUCT((MONTH(CHOOSE({1,2,3,4},NĐ!T371,NĐ!X371,NĐ!AB371,NĐ!AF371))=2)*(CHOOSE({1,2,3,4},NĐ!W371,NĐ!AA371,NĐ!AE371,NĐ!AI371)))</f>
        <v>0</v>
      </c>
      <c r="C371">
        <f>SUMPRODUCT((MONTH(CHOOSE({1,2,3,4},NĐ!T371,NĐ!X371,NĐ!AB371,NĐ!AF371))=3)*(CHOOSE({1,2,3,4},NĐ!W371,NĐ!AA371,NĐ!AE371,NĐ!AI371)))</f>
        <v>0</v>
      </c>
      <c r="D371">
        <f>SUMPRODUCT((MONTH(CHOOSE({1,2,3,4},NĐ!T371,NĐ!X371,NĐ!AB371,NĐ!AF371))=4)*(CHOOSE({1,2,3,4},NĐ!W371,NĐ!AA371,NĐ!AE371,NĐ!AI371)))</f>
        <v>0</v>
      </c>
      <c r="E371">
        <f>SUMPRODUCT((MONTH(CHOOSE({1,2,3,4},NĐ!T371,NĐ!X371,NĐ!AB371,NĐ!AF371))=5)*(CHOOSE({1,2,3,4},NĐ!W371,NĐ!AA371,NĐ!AE371,NĐ!AI371)))</f>
        <v>0</v>
      </c>
      <c r="F371">
        <f>SUMPRODUCT((MONTH(CHOOSE({1,2,3,4},NĐ!T371,NĐ!X371,NĐ!AB371,NĐ!AF371))=6)*(CHOOSE({1,2,3,4},NĐ!W371,NĐ!AA371,NĐ!AE371,NĐ!AI371)))</f>
        <v>0</v>
      </c>
      <c r="G371">
        <f>SUMPRODUCT((MONTH(CHOOSE({1,2,3,4},NĐ!T371,NĐ!X371,NĐ!AB371,NĐ!AF371))=7)*(CHOOSE({1,2,3,4},NĐ!W371,NĐ!AA371,NĐ!AE371,NĐ!AI371)))</f>
        <v>0</v>
      </c>
      <c r="H371">
        <f>SUMPRODUCT((MONTH(CHOOSE({1,2,3,4},NĐ!T371,NĐ!X371,NĐ!AB371,NĐ!AF371))=8)*(CHOOSE({1,2,3,4},NĐ!W371,NĐ!AA371,NĐ!AE371,NĐ!AI371)))</f>
        <v>0</v>
      </c>
      <c r="I371">
        <f>SUMPRODUCT((MONTH(CHOOSE({1,2,3,4},NĐ!T371,NĐ!X371,NĐ!AB371,NĐ!AF371))=9)*(CHOOSE({1,2,3,4},NĐ!W371,NĐ!AA371,NĐ!AE371,NĐ!AI371)))</f>
        <v>0</v>
      </c>
      <c r="J371">
        <f>SUMPRODUCT((MONTH(CHOOSE({1,2,3,4},NĐ!T371,NĐ!X371,NĐ!AB371,NĐ!AF371))=10)*(CHOOSE({1,2,3,4},NĐ!W371,NĐ!AA371,NĐ!AE371,NĐ!AI371)))</f>
        <v>0</v>
      </c>
      <c r="K371">
        <f>SUMPRODUCT((MONTH(CHOOSE({1,2,3,4},NĐ!T371,NĐ!X371,NĐ!AB371,NĐ!AF371))=11)*(CHOOSE({1,2,3,4},NĐ!W371,NĐ!AA371,NĐ!AE371,NĐ!AI371)))</f>
        <v>0</v>
      </c>
      <c r="L371">
        <f>SUMPRODUCT((MONTH(CHOOSE({1,2,3,4},NĐ!T371,NĐ!X371,NĐ!AB371,NĐ!AF371))=12)*(CHOOSE({1,2,3,4},NĐ!W371,NĐ!AA371,NĐ!AE371,NĐ!AI371)))</f>
        <v>0</v>
      </c>
    </row>
    <row r="372" spans="1:12">
      <c r="A372">
        <f>SUMPRODUCT((MONTH(CHOOSE({1,2,3,4},NĐ!T372,NĐ!X372,NĐ!AB372,NĐ!AF372))=1)*(CHOOSE({1,2,3,4},NĐ!W372,NĐ!AA372,NĐ!AE372,NĐ!AI372)))</f>
        <v>0</v>
      </c>
      <c r="B372">
        <f>SUMPRODUCT((MONTH(CHOOSE({1,2,3,4},NĐ!T372,NĐ!X372,NĐ!AB372,NĐ!AF372))=2)*(CHOOSE({1,2,3,4},NĐ!W372,NĐ!AA372,NĐ!AE372,NĐ!AI372)))</f>
        <v>0</v>
      </c>
      <c r="C372">
        <f>SUMPRODUCT((MONTH(CHOOSE({1,2,3,4},NĐ!T372,NĐ!X372,NĐ!AB372,NĐ!AF372))=3)*(CHOOSE({1,2,3,4},NĐ!W372,NĐ!AA372,NĐ!AE372,NĐ!AI372)))</f>
        <v>0</v>
      </c>
      <c r="D372">
        <f>SUMPRODUCT((MONTH(CHOOSE({1,2,3,4},NĐ!T372,NĐ!X372,NĐ!AB372,NĐ!AF372))=4)*(CHOOSE({1,2,3,4},NĐ!W372,NĐ!AA372,NĐ!AE372,NĐ!AI372)))</f>
        <v>0</v>
      </c>
      <c r="E372">
        <f>SUMPRODUCT((MONTH(CHOOSE({1,2,3,4},NĐ!T372,NĐ!X372,NĐ!AB372,NĐ!AF372))=5)*(CHOOSE({1,2,3,4},NĐ!W372,NĐ!AA372,NĐ!AE372,NĐ!AI372)))</f>
        <v>0</v>
      </c>
      <c r="F372">
        <f>SUMPRODUCT((MONTH(CHOOSE({1,2,3,4},NĐ!T372,NĐ!X372,NĐ!AB372,NĐ!AF372))=6)*(CHOOSE({1,2,3,4},NĐ!W372,NĐ!AA372,NĐ!AE372,NĐ!AI372)))</f>
        <v>0</v>
      </c>
      <c r="G372">
        <f>SUMPRODUCT((MONTH(CHOOSE({1,2,3,4},NĐ!T372,NĐ!X372,NĐ!AB372,NĐ!AF372))=7)*(CHOOSE({1,2,3,4},NĐ!W372,NĐ!AA372,NĐ!AE372,NĐ!AI372)))</f>
        <v>0</v>
      </c>
      <c r="H372">
        <f>SUMPRODUCT((MONTH(CHOOSE({1,2,3,4},NĐ!T372,NĐ!X372,NĐ!AB372,NĐ!AF372))=8)*(CHOOSE({1,2,3,4},NĐ!W372,NĐ!AA372,NĐ!AE372,NĐ!AI372)))</f>
        <v>0</v>
      </c>
      <c r="I372">
        <f>SUMPRODUCT((MONTH(CHOOSE({1,2,3,4},NĐ!T372,NĐ!X372,NĐ!AB372,NĐ!AF372))=9)*(CHOOSE({1,2,3,4},NĐ!W372,NĐ!AA372,NĐ!AE372,NĐ!AI372)))</f>
        <v>0</v>
      </c>
      <c r="J372">
        <f>SUMPRODUCT((MONTH(CHOOSE({1,2,3,4},NĐ!T372,NĐ!X372,NĐ!AB372,NĐ!AF372))=10)*(CHOOSE({1,2,3,4},NĐ!W372,NĐ!AA372,NĐ!AE372,NĐ!AI372)))</f>
        <v>0</v>
      </c>
      <c r="K372">
        <f>SUMPRODUCT((MONTH(CHOOSE({1,2,3,4},NĐ!T372,NĐ!X372,NĐ!AB372,NĐ!AF372))=11)*(CHOOSE({1,2,3,4},NĐ!W372,NĐ!AA372,NĐ!AE372,NĐ!AI372)))</f>
        <v>0</v>
      </c>
      <c r="L372">
        <f>SUMPRODUCT((MONTH(CHOOSE({1,2,3,4},NĐ!T372,NĐ!X372,NĐ!AB372,NĐ!AF372))=12)*(CHOOSE({1,2,3,4},NĐ!W372,NĐ!AA372,NĐ!AE372,NĐ!AI372)))</f>
        <v>0</v>
      </c>
    </row>
    <row r="373" spans="1:12">
      <c r="A373">
        <f>SUMPRODUCT((MONTH(CHOOSE({1,2,3,4},NĐ!T373,NĐ!X373,NĐ!AB373,NĐ!AF373))=1)*(CHOOSE({1,2,3,4},NĐ!W373,NĐ!AA373,NĐ!AE373,NĐ!AI373)))</f>
        <v>0</v>
      </c>
      <c r="B373">
        <f>SUMPRODUCT((MONTH(CHOOSE({1,2,3,4},NĐ!T373,NĐ!X373,NĐ!AB373,NĐ!AF373))=2)*(CHOOSE({1,2,3,4},NĐ!W373,NĐ!AA373,NĐ!AE373,NĐ!AI373)))</f>
        <v>0</v>
      </c>
      <c r="C373">
        <f>SUMPRODUCT((MONTH(CHOOSE({1,2,3,4},NĐ!T373,NĐ!X373,NĐ!AB373,NĐ!AF373))=3)*(CHOOSE({1,2,3,4},NĐ!W373,NĐ!AA373,NĐ!AE373,NĐ!AI373)))</f>
        <v>0</v>
      </c>
      <c r="D373">
        <f>SUMPRODUCT((MONTH(CHOOSE({1,2,3,4},NĐ!T373,NĐ!X373,NĐ!AB373,NĐ!AF373))=4)*(CHOOSE({1,2,3,4},NĐ!W373,NĐ!AA373,NĐ!AE373,NĐ!AI373)))</f>
        <v>0</v>
      </c>
      <c r="E373">
        <f>SUMPRODUCT((MONTH(CHOOSE({1,2,3,4},NĐ!T373,NĐ!X373,NĐ!AB373,NĐ!AF373))=5)*(CHOOSE({1,2,3,4},NĐ!W373,NĐ!AA373,NĐ!AE373,NĐ!AI373)))</f>
        <v>0</v>
      </c>
      <c r="F373">
        <f>SUMPRODUCT((MONTH(CHOOSE({1,2,3,4},NĐ!T373,NĐ!X373,NĐ!AB373,NĐ!AF373))=6)*(CHOOSE({1,2,3,4},NĐ!W373,NĐ!AA373,NĐ!AE373,NĐ!AI373)))</f>
        <v>0</v>
      </c>
      <c r="G373">
        <f>SUMPRODUCT((MONTH(CHOOSE({1,2,3,4},NĐ!T373,NĐ!X373,NĐ!AB373,NĐ!AF373))=7)*(CHOOSE({1,2,3,4},NĐ!W373,NĐ!AA373,NĐ!AE373,NĐ!AI373)))</f>
        <v>0</v>
      </c>
      <c r="H373">
        <f>SUMPRODUCT((MONTH(CHOOSE({1,2,3,4},NĐ!T373,NĐ!X373,NĐ!AB373,NĐ!AF373))=8)*(CHOOSE({1,2,3,4},NĐ!W373,NĐ!AA373,NĐ!AE373,NĐ!AI373)))</f>
        <v>0</v>
      </c>
      <c r="I373">
        <f>SUMPRODUCT((MONTH(CHOOSE({1,2,3,4},NĐ!T373,NĐ!X373,NĐ!AB373,NĐ!AF373))=9)*(CHOOSE({1,2,3,4},NĐ!W373,NĐ!AA373,NĐ!AE373,NĐ!AI373)))</f>
        <v>0</v>
      </c>
      <c r="J373">
        <f>SUMPRODUCT((MONTH(CHOOSE({1,2,3,4},NĐ!T373,NĐ!X373,NĐ!AB373,NĐ!AF373))=10)*(CHOOSE({1,2,3,4},NĐ!W373,NĐ!AA373,NĐ!AE373,NĐ!AI373)))</f>
        <v>0</v>
      </c>
      <c r="K373">
        <f>SUMPRODUCT((MONTH(CHOOSE({1,2,3,4},NĐ!T373,NĐ!X373,NĐ!AB373,NĐ!AF373))=11)*(CHOOSE({1,2,3,4},NĐ!W373,NĐ!AA373,NĐ!AE373,NĐ!AI373)))</f>
        <v>0</v>
      </c>
      <c r="L373">
        <f>SUMPRODUCT((MONTH(CHOOSE({1,2,3,4},NĐ!T373,NĐ!X373,NĐ!AB373,NĐ!AF373))=12)*(CHOOSE({1,2,3,4},NĐ!W373,NĐ!AA373,NĐ!AE373,NĐ!AI373)))</f>
        <v>0</v>
      </c>
    </row>
    <row r="374" spans="1:12">
      <c r="A374">
        <f>SUMPRODUCT((MONTH(CHOOSE({1,2,3,4},NĐ!T374,NĐ!X374,NĐ!AB374,NĐ!AF374))=1)*(CHOOSE({1,2,3,4},NĐ!W374,NĐ!AA374,NĐ!AE374,NĐ!AI374)))</f>
        <v>0</v>
      </c>
      <c r="B374">
        <f>SUMPRODUCT((MONTH(CHOOSE({1,2,3,4},NĐ!T374,NĐ!X374,NĐ!AB374,NĐ!AF374))=2)*(CHOOSE({1,2,3,4},NĐ!W374,NĐ!AA374,NĐ!AE374,NĐ!AI374)))</f>
        <v>0</v>
      </c>
      <c r="C374">
        <f>SUMPRODUCT((MONTH(CHOOSE({1,2,3,4},NĐ!T374,NĐ!X374,NĐ!AB374,NĐ!AF374))=3)*(CHOOSE({1,2,3,4},NĐ!W374,NĐ!AA374,NĐ!AE374,NĐ!AI374)))</f>
        <v>0</v>
      </c>
      <c r="D374">
        <f>SUMPRODUCT((MONTH(CHOOSE({1,2,3,4},NĐ!T374,NĐ!X374,NĐ!AB374,NĐ!AF374))=4)*(CHOOSE({1,2,3,4},NĐ!W374,NĐ!AA374,NĐ!AE374,NĐ!AI374)))</f>
        <v>0</v>
      </c>
      <c r="E374">
        <f>SUMPRODUCT((MONTH(CHOOSE({1,2,3,4},NĐ!T374,NĐ!X374,NĐ!AB374,NĐ!AF374))=5)*(CHOOSE({1,2,3,4},NĐ!W374,NĐ!AA374,NĐ!AE374,NĐ!AI374)))</f>
        <v>0</v>
      </c>
      <c r="F374">
        <f>SUMPRODUCT((MONTH(CHOOSE({1,2,3,4},NĐ!T374,NĐ!X374,NĐ!AB374,NĐ!AF374))=6)*(CHOOSE({1,2,3,4},NĐ!W374,NĐ!AA374,NĐ!AE374,NĐ!AI374)))</f>
        <v>0</v>
      </c>
      <c r="G374">
        <f>SUMPRODUCT((MONTH(CHOOSE({1,2,3,4},NĐ!T374,NĐ!X374,NĐ!AB374,NĐ!AF374))=7)*(CHOOSE({1,2,3,4},NĐ!W374,NĐ!AA374,NĐ!AE374,NĐ!AI374)))</f>
        <v>0</v>
      </c>
      <c r="H374">
        <f>SUMPRODUCT((MONTH(CHOOSE({1,2,3,4},NĐ!T374,NĐ!X374,NĐ!AB374,NĐ!AF374))=8)*(CHOOSE({1,2,3,4},NĐ!W374,NĐ!AA374,NĐ!AE374,NĐ!AI374)))</f>
        <v>0</v>
      </c>
      <c r="I374">
        <f>SUMPRODUCT((MONTH(CHOOSE({1,2,3,4},NĐ!T374,NĐ!X374,NĐ!AB374,NĐ!AF374))=9)*(CHOOSE({1,2,3,4},NĐ!W374,NĐ!AA374,NĐ!AE374,NĐ!AI374)))</f>
        <v>0</v>
      </c>
      <c r="J374">
        <f>SUMPRODUCT((MONTH(CHOOSE({1,2,3,4},NĐ!T374,NĐ!X374,NĐ!AB374,NĐ!AF374))=10)*(CHOOSE({1,2,3,4},NĐ!W374,NĐ!AA374,NĐ!AE374,NĐ!AI374)))</f>
        <v>0</v>
      </c>
      <c r="K374">
        <f>SUMPRODUCT((MONTH(CHOOSE({1,2,3,4},NĐ!T374,NĐ!X374,NĐ!AB374,NĐ!AF374))=11)*(CHOOSE({1,2,3,4},NĐ!W374,NĐ!AA374,NĐ!AE374,NĐ!AI374)))</f>
        <v>0</v>
      </c>
      <c r="L374">
        <f>SUMPRODUCT((MONTH(CHOOSE({1,2,3,4},NĐ!T374,NĐ!X374,NĐ!AB374,NĐ!AF374))=12)*(CHOOSE({1,2,3,4},NĐ!W374,NĐ!AA374,NĐ!AE374,NĐ!AI374)))</f>
        <v>0</v>
      </c>
    </row>
    <row r="375" spans="1:12">
      <c r="A375">
        <f>SUMPRODUCT((MONTH(CHOOSE({1,2,3,4},NĐ!T375,NĐ!X375,NĐ!AB375,NĐ!AF375))=1)*(CHOOSE({1,2,3,4},NĐ!W375,NĐ!AA375,NĐ!AE375,NĐ!AI375)))</f>
        <v>0</v>
      </c>
      <c r="B375">
        <f>SUMPRODUCT((MONTH(CHOOSE({1,2,3,4},NĐ!T375,NĐ!X375,NĐ!AB375,NĐ!AF375))=2)*(CHOOSE({1,2,3,4},NĐ!W375,NĐ!AA375,NĐ!AE375,NĐ!AI375)))</f>
        <v>0</v>
      </c>
      <c r="C375">
        <f>SUMPRODUCT((MONTH(CHOOSE({1,2,3,4},NĐ!T375,NĐ!X375,NĐ!AB375,NĐ!AF375))=3)*(CHOOSE({1,2,3,4},NĐ!W375,NĐ!AA375,NĐ!AE375,NĐ!AI375)))</f>
        <v>0</v>
      </c>
      <c r="D375">
        <f>SUMPRODUCT((MONTH(CHOOSE({1,2,3,4},NĐ!T375,NĐ!X375,NĐ!AB375,NĐ!AF375))=4)*(CHOOSE({1,2,3,4},NĐ!W375,NĐ!AA375,NĐ!AE375,NĐ!AI375)))</f>
        <v>0</v>
      </c>
      <c r="E375">
        <f>SUMPRODUCT((MONTH(CHOOSE({1,2,3,4},NĐ!T375,NĐ!X375,NĐ!AB375,NĐ!AF375))=5)*(CHOOSE({1,2,3,4},NĐ!W375,NĐ!AA375,NĐ!AE375,NĐ!AI375)))</f>
        <v>0</v>
      </c>
      <c r="F375">
        <f>SUMPRODUCT((MONTH(CHOOSE({1,2,3,4},NĐ!T375,NĐ!X375,NĐ!AB375,NĐ!AF375))=6)*(CHOOSE({1,2,3,4},NĐ!W375,NĐ!AA375,NĐ!AE375,NĐ!AI375)))</f>
        <v>0</v>
      </c>
      <c r="G375">
        <f>SUMPRODUCT((MONTH(CHOOSE({1,2,3,4},NĐ!T375,NĐ!X375,NĐ!AB375,NĐ!AF375))=7)*(CHOOSE({1,2,3,4},NĐ!W375,NĐ!AA375,NĐ!AE375,NĐ!AI375)))</f>
        <v>0</v>
      </c>
      <c r="H375">
        <f>SUMPRODUCT((MONTH(CHOOSE({1,2,3,4},NĐ!T375,NĐ!X375,NĐ!AB375,NĐ!AF375))=8)*(CHOOSE({1,2,3,4},NĐ!W375,NĐ!AA375,NĐ!AE375,NĐ!AI375)))</f>
        <v>0</v>
      </c>
      <c r="I375">
        <f>SUMPRODUCT((MONTH(CHOOSE({1,2,3,4},NĐ!T375,NĐ!X375,NĐ!AB375,NĐ!AF375))=9)*(CHOOSE({1,2,3,4},NĐ!W375,NĐ!AA375,NĐ!AE375,NĐ!AI375)))</f>
        <v>0</v>
      </c>
      <c r="J375">
        <f>SUMPRODUCT((MONTH(CHOOSE({1,2,3,4},NĐ!T375,NĐ!X375,NĐ!AB375,NĐ!AF375))=10)*(CHOOSE({1,2,3,4},NĐ!W375,NĐ!AA375,NĐ!AE375,NĐ!AI375)))</f>
        <v>0</v>
      </c>
      <c r="K375">
        <f>SUMPRODUCT((MONTH(CHOOSE({1,2,3,4},NĐ!T375,NĐ!X375,NĐ!AB375,NĐ!AF375))=11)*(CHOOSE({1,2,3,4},NĐ!W375,NĐ!AA375,NĐ!AE375,NĐ!AI375)))</f>
        <v>0</v>
      </c>
      <c r="L375">
        <f>SUMPRODUCT((MONTH(CHOOSE({1,2,3,4},NĐ!T375,NĐ!X375,NĐ!AB375,NĐ!AF375))=12)*(CHOOSE({1,2,3,4},NĐ!W375,NĐ!AA375,NĐ!AE375,NĐ!AI375)))</f>
        <v>0</v>
      </c>
    </row>
    <row r="376" spans="1:12">
      <c r="A376">
        <f>SUMPRODUCT((MONTH(CHOOSE({1,2,3,4},NĐ!T376,NĐ!X376,NĐ!AB376,NĐ!AF376))=1)*(CHOOSE({1,2,3,4},NĐ!W376,NĐ!AA376,NĐ!AE376,NĐ!AI376)))</f>
        <v>0</v>
      </c>
      <c r="B376">
        <f>SUMPRODUCT((MONTH(CHOOSE({1,2,3,4},NĐ!T376,NĐ!X376,NĐ!AB376,NĐ!AF376))=2)*(CHOOSE({1,2,3,4},NĐ!W376,NĐ!AA376,NĐ!AE376,NĐ!AI376)))</f>
        <v>0</v>
      </c>
      <c r="C376">
        <f>SUMPRODUCT((MONTH(CHOOSE({1,2,3,4},NĐ!T376,NĐ!X376,NĐ!AB376,NĐ!AF376))=3)*(CHOOSE({1,2,3,4},NĐ!W376,NĐ!AA376,NĐ!AE376,NĐ!AI376)))</f>
        <v>0</v>
      </c>
      <c r="D376">
        <f>SUMPRODUCT((MONTH(CHOOSE({1,2,3,4},NĐ!T376,NĐ!X376,NĐ!AB376,NĐ!AF376))=4)*(CHOOSE({1,2,3,4},NĐ!W376,NĐ!AA376,NĐ!AE376,NĐ!AI376)))</f>
        <v>0</v>
      </c>
      <c r="E376">
        <f>SUMPRODUCT((MONTH(CHOOSE({1,2,3,4},NĐ!T376,NĐ!X376,NĐ!AB376,NĐ!AF376))=5)*(CHOOSE({1,2,3,4},NĐ!W376,NĐ!AA376,NĐ!AE376,NĐ!AI376)))</f>
        <v>0</v>
      </c>
      <c r="F376">
        <f>SUMPRODUCT((MONTH(CHOOSE({1,2,3,4},NĐ!T376,NĐ!X376,NĐ!AB376,NĐ!AF376))=6)*(CHOOSE({1,2,3,4},NĐ!W376,NĐ!AA376,NĐ!AE376,NĐ!AI376)))</f>
        <v>0</v>
      </c>
      <c r="G376">
        <f>SUMPRODUCT((MONTH(CHOOSE({1,2,3,4},NĐ!T376,NĐ!X376,NĐ!AB376,NĐ!AF376))=7)*(CHOOSE({1,2,3,4},NĐ!W376,NĐ!AA376,NĐ!AE376,NĐ!AI376)))</f>
        <v>0</v>
      </c>
      <c r="H376">
        <f>SUMPRODUCT((MONTH(CHOOSE({1,2,3,4},NĐ!T376,NĐ!X376,NĐ!AB376,NĐ!AF376))=8)*(CHOOSE({1,2,3,4},NĐ!W376,NĐ!AA376,NĐ!AE376,NĐ!AI376)))</f>
        <v>0</v>
      </c>
      <c r="I376">
        <f>SUMPRODUCT((MONTH(CHOOSE({1,2,3,4},NĐ!T376,NĐ!X376,NĐ!AB376,NĐ!AF376))=9)*(CHOOSE({1,2,3,4},NĐ!W376,NĐ!AA376,NĐ!AE376,NĐ!AI376)))</f>
        <v>0</v>
      </c>
      <c r="J376">
        <f>SUMPRODUCT((MONTH(CHOOSE({1,2,3,4},NĐ!T376,NĐ!X376,NĐ!AB376,NĐ!AF376))=10)*(CHOOSE({1,2,3,4},NĐ!W376,NĐ!AA376,NĐ!AE376,NĐ!AI376)))</f>
        <v>0</v>
      </c>
      <c r="K376">
        <f>SUMPRODUCT((MONTH(CHOOSE({1,2,3,4},NĐ!T376,NĐ!X376,NĐ!AB376,NĐ!AF376))=11)*(CHOOSE({1,2,3,4},NĐ!W376,NĐ!AA376,NĐ!AE376,NĐ!AI376)))</f>
        <v>0</v>
      </c>
      <c r="L376">
        <f>SUMPRODUCT((MONTH(CHOOSE({1,2,3,4},NĐ!T376,NĐ!X376,NĐ!AB376,NĐ!AF376))=12)*(CHOOSE({1,2,3,4},NĐ!W376,NĐ!AA376,NĐ!AE376,NĐ!AI376)))</f>
        <v>0</v>
      </c>
    </row>
    <row r="377" spans="1:12">
      <c r="A377">
        <f>SUMPRODUCT((MONTH(CHOOSE({1,2,3,4},NĐ!T377,NĐ!X377,NĐ!AB377,NĐ!AF377))=1)*(CHOOSE({1,2,3,4},NĐ!W377,NĐ!AA377,NĐ!AE377,NĐ!AI377)))</f>
        <v>0</v>
      </c>
      <c r="B377">
        <f>SUMPRODUCT((MONTH(CHOOSE({1,2,3,4},NĐ!T377,NĐ!X377,NĐ!AB377,NĐ!AF377))=2)*(CHOOSE({1,2,3,4},NĐ!W377,NĐ!AA377,NĐ!AE377,NĐ!AI377)))</f>
        <v>0</v>
      </c>
      <c r="C377">
        <f>SUMPRODUCT((MONTH(CHOOSE({1,2,3,4},NĐ!T377,NĐ!X377,NĐ!AB377,NĐ!AF377))=3)*(CHOOSE({1,2,3,4},NĐ!W377,NĐ!AA377,NĐ!AE377,NĐ!AI377)))</f>
        <v>0</v>
      </c>
      <c r="D377">
        <f>SUMPRODUCT((MONTH(CHOOSE({1,2,3,4},NĐ!T377,NĐ!X377,NĐ!AB377,NĐ!AF377))=4)*(CHOOSE({1,2,3,4},NĐ!W377,NĐ!AA377,NĐ!AE377,NĐ!AI377)))</f>
        <v>0</v>
      </c>
      <c r="E377">
        <f>SUMPRODUCT((MONTH(CHOOSE({1,2,3,4},NĐ!T377,NĐ!X377,NĐ!AB377,NĐ!AF377))=5)*(CHOOSE({1,2,3,4},NĐ!W377,NĐ!AA377,NĐ!AE377,NĐ!AI377)))</f>
        <v>0</v>
      </c>
      <c r="F377">
        <f>SUMPRODUCT((MONTH(CHOOSE({1,2,3,4},NĐ!T377,NĐ!X377,NĐ!AB377,NĐ!AF377))=6)*(CHOOSE({1,2,3,4},NĐ!W377,NĐ!AA377,NĐ!AE377,NĐ!AI377)))</f>
        <v>0</v>
      </c>
      <c r="G377">
        <f>SUMPRODUCT((MONTH(CHOOSE({1,2,3,4},NĐ!T377,NĐ!X377,NĐ!AB377,NĐ!AF377))=7)*(CHOOSE({1,2,3,4},NĐ!W377,NĐ!AA377,NĐ!AE377,NĐ!AI377)))</f>
        <v>0</v>
      </c>
      <c r="H377">
        <f>SUMPRODUCT((MONTH(CHOOSE({1,2,3,4},NĐ!T377,NĐ!X377,NĐ!AB377,NĐ!AF377))=8)*(CHOOSE({1,2,3,4},NĐ!W377,NĐ!AA377,NĐ!AE377,NĐ!AI377)))</f>
        <v>0</v>
      </c>
      <c r="I377">
        <f>SUMPRODUCT((MONTH(CHOOSE({1,2,3,4},NĐ!T377,NĐ!X377,NĐ!AB377,NĐ!AF377))=9)*(CHOOSE({1,2,3,4},NĐ!W377,NĐ!AA377,NĐ!AE377,NĐ!AI377)))</f>
        <v>0</v>
      </c>
      <c r="J377">
        <f>SUMPRODUCT((MONTH(CHOOSE({1,2,3,4},NĐ!T377,NĐ!X377,NĐ!AB377,NĐ!AF377))=10)*(CHOOSE({1,2,3,4},NĐ!W377,NĐ!AA377,NĐ!AE377,NĐ!AI377)))</f>
        <v>0</v>
      </c>
      <c r="K377">
        <f>SUMPRODUCT((MONTH(CHOOSE({1,2,3,4},NĐ!T377,NĐ!X377,NĐ!AB377,NĐ!AF377))=11)*(CHOOSE({1,2,3,4},NĐ!W377,NĐ!AA377,NĐ!AE377,NĐ!AI377)))</f>
        <v>0</v>
      </c>
      <c r="L377">
        <f>SUMPRODUCT((MONTH(CHOOSE({1,2,3,4},NĐ!T377,NĐ!X377,NĐ!AB377,NĐ!AF377))=12)*(CHOOSE({1,2,3,4},NĐ!W377,NĐ!AA377,NĐ!AE377,NĐ!AI377)))</f>
        <v>0</v>
      </c>
    </row>
    <row r="378" spans="1:12">
      <c r="A378">
        <f>SUMPRODUCT((MONTH(CHOOSE({1,2,3,4},NĐ!T378,NĐ!X378,NĐ!AB378,NĐ!AF378))=1)*(CHOOSE({1,2,3,4},NĐ!W378,NĐ!AA378,NĐ!AE378,NĐ!AI378)))</f>
        <v>0</v>
      </c>
      <c r="B378">
        <f>SUMPRODUCT((MONTH(CHOOSE({1,2,3,4},NĐ!T378,NĐ!X378,NĐ!AB378,NĐ!AF378))=2)*(CHOOSE({1,2,3,4},NĐ!W378,NĐ!AA378,NĐ!AE378,NĐ!AI378)))</f>
        <v>0</v>
      </c>
      <c r="C378">
        <f>SUMPRODUCT((MONTH(CHOOSE({1,2,3,4},NĐ!T378,NĐ!X378,NĐ!AB378,NĐ!AF378))=3)*(CHOOSE({1,2,3,4},NĐ!W378,NĐ!AA378,NĐ!AE378,NĐ!AI378)))</f>
        <v>0</v>
      </c>
      <c r="D378">
        <f>SUMPRODUCT((MONTH(CHOOSE({1,2,3,4},NĐ!T378,NĐ!X378,NĐ!AB378,NĐ!AF378))=4)*(CHOOSE({1,2,3,4},NĐ!W378,NĐ!AA378,NĐ!AE378,NĐ!AI378)))</f>
        <v>0</v>
      </c>
      <c r="E378">
        <f>SUMPRODUCT((MONTH(CHOOSE({1,2,3,4},NĐ!T378,NĐ!X378,NĐ!AB378,NĐ!AF378))=5)*(CHOOSE({1,2,3,4},NĐ!W378,NĐ!AA378,NĐ!AE378,NĐ!AI378)))</f>
        <v>0</v>
      </c>
      <c r="F378">
        <f>SUMPRODUCT((MONTH(CHOOSE({1,2,3,4},NĐ!T378,NĐ!X378,NĐ!AB378,NĐ!AF378))=6)*(CHOOSE({1,2,3,4},NĐ!W378,NĐ!AA378,NĐ!AE378,NĐ!AI378)))</f>
        <v>0</v>
      </c>
      <c r="G378">
        <f>SUMPRODUCT((MONTH(CHOOSE({1,2,3,4},NĐ!T378,NĐ!X378,NĐ!AB378,NĐ!AF378))=7)*(CHOOSE({1,2,3,4},NĐ!W378,NĐ!AA378,NĐ!AE378,NĐ!AI378)))</f>
        <v>0</v>
      </c>
      <c r="H378">
        <f>SUMPRODUCT((MONTH(CHOOSE({1,2,3,4},NĐ!T378,NĐ!X378,NĐ!AB378,NĐ!AF378))=8)*(CHOOSE({1,2,3,4},NĐ!W378,NĐ!AA378,NĐ!AE378,NĐ!AI378)))</f>
        <v>0</v>
      </c>
      <c r="I378">
        <f>SUMPRODUCT((MONTH(CHOOSE({1,2,3,4},NĐ!T378,NĐ!X378,NĐ!AB378,NĐ!AF378))=9)*(CHOOSE({1,2,3,4},NĐ!W378,NĐ!AA378,NĐ!AE378,NĐ!AI378)))</f>
        <v>0</v>
      </c>
      <c r="J378">
        <f>SUMPRODUCT((MONTH(CHOOSE({1,2,3,4},NĐ!T378,NĐ!X378,NĐ!AB378,NĐ!AF378))=10)*(CHOOSE({1,2,3,4},NĐ!W378,NĐ!AA378,NĐ!AE378,NĐ!AI378)))</f>
        <v>0</v>
      </c>
      <c r="K378">
        <f>SUMPRODUCT((MONTH(CHOOSE({1,2,3,4},NĐ!T378,NĐ!X378,NĐ!AB378,NĐ!AF378))=11)*(CHOOSE({1,2,3,4},NĐ!W378,NĐ!AA378,NĐ!AE378,NĐ!AI378)))</f>
        <v>0</v>
      </c>
      <c r="L378">
        <f>SUMPRODUCT((MONTH(CHOOSE({1,2,3,4},NĐ!T378,NĐ!X378,NĐ!AB378,NĐ!AF378))=12)*(CHOOSE({1,2,3,4},NĐ!W378,NĐ!AA378,NĐ!AE378,NĐ!AI378)))</f>
        <v>0</v>
      </c>
    </row>
    <row r="379" spans="1:12">
      <c r="A379">
        <f>SUMPRODUCT((MONTH(CHOOSE({1,2,3,4},NĐ!T379,NĐ!X379,NĐ!AB379,NĐ!AF379))=1)*(CHOOSE({1,2,3,4},NĐ!W379,NĐ!AA379,NĐ!AE379,NĐ!AI379)))</f>
        <v>0</v>
      </c>
      <c r="B379">
        <f>SUMPRODUCT((MONTH(CHOOSE({1,2,3,4},NĐ!T379,NĐ!X379,NĐ!AB379,NĐ!AF379))=2)*(CHOOSE({1,2,3,4},NĐ!W379,NĐ!AA379,NĐ!AE379,NĐ!AI379)))</f>
        <v>0</v>
      </c>
      <c r="C379">
        <f>SUMPRODUCT((MONTH(CHOOSE({1,2,3,4},NĐ!T379,NĐ!X379,NĐ!AB379,NĐ!AF379))=3)*(CHOOSE({1,2,3,4},NĐ!W379,NĐ!AA379,NĐ!AE379,NĐ!AI379)))</f>
        <v>0</v>
      </c>
      <c r="D379">
        <f>SUMPRODUCT((MONTH(CHOOSE({1,2,3,4},NĐ!T379,NĐ!X379,NĐ!AB379,NĐ!AF379))=4)*(CHOOSE({1,2,3,4},NĐ!W379,NĐ!AA379,NĐ!AE379,NĐ!AI379)))</f>
        <v>0</v>
      </c>
      <c r="E379">
        <f>SUMPRODUCT((MONTH(CHOOSE({1,2,3,4},NĐ!T379,NĐ!X379,NĐ!AB379,NĐ!AF379))=5)*(CHOOSE({1,2,3,4},NĐ!W379,NĐ!AA379,NĐ!AE379,NĐ!AI379)))</f>
        <v>0</v>
      </c>
      <c r="F379">
        <f>SUMPRODUCT((MONTH(CHOOSE({1,2,3,4},NĐ!T379,NĐ!X379,NĐ!AB379,NĐ!AF379))=6)*(CHOOSE({1,2,3,4},NĐ!W379,NĐ!AA379,NĐ!AE379,NĐ!AI379)))</f>
        <v>0</v>
      </c>
      <c r="G379">
        <f>SUMPRODUCT((MONTH(CHOOSE({1,2,3,4},NĐ!T379,NĐ!X379,NĐ!AB379,NĐ!AF379))=7)*(CHOOSE({1,2,3,4},NĐ!W379,NĐ!AA379,NĐ!AE379,NĐ!AI379)))</f>
        <v>0</v>
      </c>
      <c r="H379">
        <f>SUMPRODUCT((MONTH(CHOOSE({1,2,3,4},NĐ!T379,NĐ!X379,NĐ!AB379,NĐ!AF379))=8)*(CHOOSE({1,2,3,4},NĐ!W379,NĐ!AA379,NĐ!AE379,NĐ!AI379)))</f>
        <v>0</v>
      </c>
      <c r="I379">
        <f>SUMPRODUCT((MONTH(CHOOSE({1,2,3,4},NĐ!T379,NĐ!X379,NĐ!AB379,NĐ!AF379))=9)*(CHOOSE({1,2,3,4},NĐ!W379,NĐ!AA379,NĐ!AE379,NĐ!AI379)))</f>
        <v>0</v>
      </c>
      <c r="J379">
        <f>SUMPRODUCT((MONTH(CHOOSE({1,2,3,4},NĐ!T379,NĐ!X379,NĐ!AB379,NĐ!AF379))=10)*(CHOOSE({1,2,3,4},NĐ!W379,NĐ!AA379,NĐ!AE379,NĐ!AI379)))</f>
        <v>0</v>
      </c>
      <c r="K379">
        <f>SUMPRODUCT((MONTH(CHOOSE({1,2,3,4},NĐ!T379,NĐ!X379,NĐ!AB379,NĐ!AF379))=11)*(CHOOSE({1,2,3,4},NĐ!W379,NĐ!AA379,NĐ!AE379,NĐ!AI379)))</f>
        <v>0</v>
      </c>
      <c r="L379">
        <f>SUMPRODUCT((MONTH(CHOOSE({1,2,3,4},NĐ!T379,NĐ!X379,NĐ!AB379,NĐ!AF379))=12)*(CHOOSE({1,2,3,4},NĐ!W379,NĐ!AA379,NĐ!AE379,NĐ!AI379)))</f>
        <v>0</v>
      </c>
    </row>
    <row r="380" spans="1:12">
      <c r="A380">
        <f>SUMPRODUCT((MONTH(CHOOSE({1,2,3,4},NĐ!T380,NĐ!X380,NĐ!AB380,NĐ!AF380))=1)*(CHOOSE({1,2,3,4},NĐ!W380,NĐ!AA380,NĐ!AE380,NĐ!AI380)))</f>
        <v>0</v>
      </c>
      <c r="B380">
        <f>SUMPRODUCT((MONTH(CHOOSE({1,2,3,4},NĐ!T380,NĐ!X380,NĐ!AB380,NĐ!AF380))=2)*(CHOOSE({1,2,3,4},NĐ!W380,NĐ!AA380,NĐ!AE380,NĐ!AI380)))</f>
        <v>0</v>
      </c>
      <c r="C380">
        <f>SUMPRODUCT((MONTH(CHOOSE({1,2,3,4},NĐ!T380,NĐ!X380,NĐ!AB380,NĐ!AF380))=3)*(CHOOSE({1,2,3,4},NĐ!W380,NĐ!AA380,NĐ!AE380,NĐ!AI380)))</f>
        <v>0</v>
      </c>
      <c r="D380">
        <f>SUMPRODUCT((MONTH(CHOOSE({1,2,3,4},NĐ!T380,NĐ!X380,NĐ!AB380,NĐ!AF380))=4)*(CHOOSE({1,2,3,4},NĐ!W380,NĐ!AA380,NĐ!AE380,NĐ!AI380)))</f>
        <v>0</v>
      </c>
      <c r="E380">
        <f>SUMPRODUCT((MONTH(CHOOSE({1,2,3,4},NĐ!T380,NĐ!X380,NĐ!AB380,NĐ!AF380))=5)*(CHOOSE({1,2,3,4},NĐ!W380,NĐ!AA380,NĐ!AE380,NĐ!AI380)))</f>
        <v>0</v>
      </c>
      <c r="F380">
        <f>SUMPRODUCT((MONTH(CHOOSE({1,2,3,4},NĐ!T380,NĐ!X380,NĐ!AB380,NĐ!AF380))=6)*(CHOOSE({1,2,3,4},NĐ!W380,NĐ!AA380,NĐ!AE380,NĐ!AI380)))</f>
        <v>0</v>
      </c>
      <c r="G380">
        <f>SUMPRODUCT((MONTH(CHOOSE({1,2,3,4},NĐ!T380,NĐ!X380,NĐ!AB380,NĐ!AF380))=7)*(CHOOSE({1,2,3,4},NĐ!W380,NĐ!AA380,NĐ!AE380,NĐ!AI380)))</f>
        <v>0</v>
      </c>
      <c r="H380">
        <f>SUMPRODUCT((MONTH(CHOOSE({1,2,3,4},NĐ!T380,NĐ!X380,NĐ!AB380,NĐ!AF380))=8)*(CHOOSE({1,2,3,4},NĐ!W380,NĐ!AA380,NĐ!AE380,NĐ!AI380)))</f>
        <v>0</v>
      </c>
      <c r="I380">
        <f>SUMPRODUCT((MONTH(CHOOSE({1,2,3,4},NĐ!T380,NĐ!X380,NĐ!AB380,NĐ!AF380))=9)*(CHOOSE({1,2,3,4},NĐ!W380,NĐ!AA380,NĐ!AE380,NĐ!AI380)))</f>
        <v>0</v>
      </c>
      <c r="J380">
        <f>SUMPRODUCT((MONTH(CHOOSE({1,2,3,4},NĐ!T380,NĐ!X380,NĐ!AB380,NĐ!AF380))=10)*(CHOOSE({1,2,3,4},NĐ!W380,NĐ!AA380,NĐ!AE380,NĐ!AI380)))</f>
        <v>0</v>
      </c>
      <c r="K380">
        <f>SUMPRODUCT((MONTH(CHOOSE({1,2,3,4},NĐ!T380,NĐ!X380,NĐ!AB380,NĐ!AF380))=11)*(CHOOSE({1,2,3,4},NĐ!W380,NĐ!AA380,NĐ!AE380,NĐ!AI380)))</f>
        <v>0</v>
      </c>
      <c r="L380">
        <f>SUMPRODUCT((MONTH(CHOOSE({1,2,3,4},NĐ!T380,NĐ!X380,NĐ!AB380,NĐ!AF380))=12)*(CHOOSE({1,2,3,4},NĐ!W380,NĐ!AA380,NĐ!AE380,NĐ!AI380)))</f>
        <v>0</v>
      </c>
    </row>
    <row r="381" spans="1:12">
      <c r="A381">
        <f>SUMPRODUCT((MONTH(CHOOSE({1,2,3,4},NĐ!T381,NĐ!X381,NĐ!AB381,NĐ!AF381))=1)*(CHOOSE({1,2,3,4},NĐ!W381,NĐ!AA381,NĐ!AE381,NĐ!AI381)))</f>
        <v>0</v>
      </c>
      <c r="B381">
        <f>SUMPRODUCT((MONTH(CHOOSE({1,2,3,4},NĐ!T381,NĐ!X381,NĐ!AB381,NĐ!AF381))=2)*(CHOOSE({1,2,3,4},NĐ!W381,NĐ!AA381,NĐ!AE381,NĐ!AI381)))</f>
        <v>0</v>
      </c>
      <c r="C381">
        <f>SUMPRODUCT((MONTH(CHOOSE({1,2,3,4},NĐ!T381,NĐ!X381,NĐ!AB381,NĐ!AF381))=3)*(CHOOSE({1,2,3,4},NĐ!W381,NĐ!AA381,NĐ!AE381,NĐ!AI381)))</f>
        <v>0</v>
      </c>
      <c r="D381">
        <f>SUMPRODUCT((MONTH(CHOOSE({1,2,3,4},NĐ!T381,NĐ!X381,NĐ!AB381,NĐ!AF381))=4)*(CHOOSE({1,2,3,4},NĐ!W381,NĐ!AA381,NĐ!AE381,NĐ!AI381)))</f>
        <v>0</v>
      </c>
      <c r="E381">
        <f>SUMPRODUCT((MONTH(CHOOSE({1,2,3,4},NĐ!T381,NĐ!X381,NĐ!AB381,NĐ!AF381))=5)*(CHOOSE({1,2,3,4},NĐ!W381,NĐ!AA381,NĐ!AE381,NĐ!AI381)))</f>
        <v>0</v>
      </c>
      <c r="F381">
        <f>SUMPRODUCT((MONTH(CHOOSE({1,2,3,4},NĐ!T381,NĐ!X381,NĐ!AB381,NĐ!AF381))=6)*(CHOOSE({1,2,3,4},NĐ!W381,NĐ!AA381,NĐ!AE381,NĐ!AI381)))</f>
        <v>0</v>
      </c>
      <c r="G381">
        <f>SUMPRODUCT((MONTH(CHOOSE({1,2,3,4},NĐ!T381,NĐ!X381,NĐ!AB381,NĐ!AF381))=7)*(CHOOSE({1,2,3,4},NĐ!W381,NĐ!AA381,NĐ!AE381,NĐ!AI381)))</f>
        <v>0</v>
      </c>
      <c r="H381">
        <f>SUMPRODUCT((MONTH(CHOOSE({1,2,3,4},NĐ!T381,NĐ!X381,NĐ!AB381,NĐ!AF381))=8)*(CHOOSE({1,2,3,4},NĐ!W381,NĐ!AA381,NĐ!AE381,NĐ!AI381)))</f>
        <v>0</v>
      </c>
      <c r="I381">
        <f>SUMPRODUCT((MONTH(CHOOSE({1,2,3,4},NĐ!T381,NĐ!X381,NĐ!AB381,NĐ!AF381))=9)*(CHOOSE({1,2,3,4},NĐ!W381,NĐ!AA381,NĐ!AE381,NĐ!AI381)))</f>
        <v>0</v>
      </c>
      <c r="J381">
        <f>SUMPRODUCT((MONTH(CHOOSE({1,2,3,4},NĐ!T381,NĐ!X381,NĐ!AB381,NĐ!AF381))=10)*(CHOOSE({1,2,3,4},NĐ!W381,NĐ!AA381,NĐ!AE381,NĐ!AI381)))</f>
        <v>0</v>
      </c>
      <c r="K381">
        <f>SUMPRODUCT((MONTH(CHOOSE({1,2,3,4},NĐ!T381,NĐ!X381,NĐ!AB381,NĐ!AF381))=11)*(CHOOSE({1,2,3,4},NĐ!W381,NĐ!AA381,NĐ!AE381,NĐ!AI381)))</f>
        <v>0</v>
      </c>
      <c r="L381">
        <f>SUMPRODUCT((MONTH(CHOOSE({1,2,3,4},NĐ!T381,NĐ!X381,NĐ!AB381,NĐ!AF381))=12)*(CHOOSE({1,2,3,4},NĐ!W381,NĐ!AA381,NĐ!AE381,NĐ!AI381)))</f>
        <v>0</v>
      </c>
    </row>
    <row r="382" spans="1:12">
      <c r="A382">
        <f>SUMPRODUCT((MONTH(CHOOSE({1,2,3,4},NĐ!T382,NĐ!X382,NĐ!AB382,NĐ!AF382))=1)*(CHOOSE({1,2,3,4},NĐ!W382,NĐ!AA382,NĐ!AE382,NĐ!AI382)))</f>
        <v>0</v>
      </c>
      <c r="B382">
        <f>SUMPRODUCT((MONTH(CHOOSE({1,2,3,4},NĐ!T382,NĐ!X382,NĐ!AB382,NĐ!AF382))=2)*(CHOOSE({1,2,3,4},NĐ!W382,NĐ!AA382,NĐ!AE382,NĐ!AI382)))</f>
        <v>0</v>
      </c>
      <c r="C382">
        <f>SUMPRODUCT((MONTH(CHOOSE({1,2,3,4},NĐ!T382,NĐ!X382,NĐ!AB382,NĐ!AF382))=3)*(CHOOSE({1,2,3,4},NĐ!W382,NĐ!AA382,NĐ!AE382,NĐ!AI382)))</f>
        <v>0</v>
      </c>
      <c r="D382">
        <f>SUMPRODUCT((MONTH(CHOOSE({1,2,3,4},NĐ!T382,NĐ!X382,NĐ!AB382,NĐ!AF382))=4)*(CHOOSE({1,2,3,4},NĐ!W382,NĐ!AA382,NĐ!AE382,NĐ!AI382)))</f>
        <v>0</v>
      </c>
      <c r="E382">
        <f>SUMPRODUCT((MONTH(CHOOSE({1,2,3,4},NĐ!T382,NĐ!X382,NĐ!AB382,NĐ!AF382))=5)*(CHOOSE({1,2,3,4},NĐ!W382,NĐ!AA382,NĐ!AE382,NĐ!AI382)))</f>
        <v>0</v>
      </c>
      <c r="F382">
        <f>SUMPRODUCT((MONTH(CHOOSE({1,2,3,4},NĐ!T382,NĐ!X382,NĐ!AB382,NĐ!AF382))=6)*(CHOOSE({1,2,3,4},NĐ!W382,NĐ!AA382,NĐ!AE382,NĐ!AI382)))</f>
        <v>0</v>
      </c>
      <c r="G382">
        <f>SUMPRODUCT((MONTH(CHOOSE({1,2,3,4},NĐ!T382,NĐ!X382,NĐ!AB382,NĐ!AF382))=7)*(CHOOSE({1,2,3,4},NĐ!W382,NĐ!AA382,NĐ!AE382,NĐ!AI382)))</f>
        <v>0</v>
      </c>
      <c r="H382">
        <f>SUMPRODUCT((MONTH(CHOOSE({1,2,3,4},NĐ!T382,NĐ!X382,NĐ!AB382,NĐ!AF382))=8)*(CHOOSE({1,2,3,4},NĐ!W382,NĐ!AA382,NĐ!AE382,NĐ!AI382)))</f>
        <v>0</v>
      </c>
      <c r="I382">
        <f>SUMPRODUCT((MONTH(CHOOSE({1,2,3,4},NĐ!T382,NĐ!X382,NĐ!AB382,NĐ!AF382))=9)*(CHOOSE({1,2,3,4},NĐ!W382,NĐ!AA382,NĐ!AE382,NĐ!AI382)))</f>
        <v>0</v>
      </c>
      <c r="J382">
        <f>SUMPRODUCT((MONTH(CHOOSE({1,2,3,4},NĐ!T382,NĐ!X382,NĐ!AB382,NĐ!AF382))=10)*(CHOOSE({1,2,3,4},NĐ!W382,NĐ!AA382,NĐ!AE382,NĐ!AI382)))</f>
        <v>0</v>
      </c>
      <c r="K382">
        <f>SUMPRODUCT((MONTH(CHOOSE({1,2,3,4},NĐ!T382,NĐ!X382,NĐ!AB382,NĐ!AF382))=11)*(CHOOSE({1,2,3,4},NĐ!W382,NĐ!AA382,NĐ!AE382,NĐ!AI382)))</f>
        <v>0</v>
      </c>
      <c r="L382">
        <f>SUMPRODUCT((MONTH(CHOOSE({1,2,3,4},NĐ!T382,NĐ!X382,NĐ!AB382,NĐ!AF382))=12)*(CHOOSE({1,2,3,4},NĐ!W382,NĐ!AA382,NĐ!AE382,NĐ!AI382)))</f>
        <v>0</v>
      </c>
    </row>
    <row r="383" spans="1:12">
      <c r="A383">
        <f>SUMPRODUCT((MONTH(CHOOSE({1,2,3,4},NĐ!T383,NĐ!X383,NĐ!AB383,NĐ!AF383))=1)*(CHOOSE({1,2,3,4},NĐ!W383,NĐ!AA383,NĐ!AE383,NĐ!AI383)))</f>
        <v>0</v>
      </c>
      <c r="B383">
        <f>SUMPRODUCT((MONTH(CHOOSE({1,2,3,4},NĐ!T383,NĐ!X383,NĐ!AB383,NĐ!AF383))=2)*(CHOOSE({1,2,3,4},NĐ!W383,NĐ!AA383,NĐ!AE383,NĐ!AI383)))</f>
        <v>0</v>
      </c>
      <c r="C383">
        <f>SUMPRODUCT((MONTH(CHOOSE({1,2,3,4},NĐ!T383,NĐ!X383,NĐ!AB383,NĐ!AF383))=3)*(CHOOSE({1,2,3,4},NĐ!W383,NĐ!AA383,NĐ!AE383,NĐ!AI383)))</f>
        <v>0</v>
      </c>
      <c r="D383">
        <f>SUMPRODUCT((MONTH(CHOOSE({1,2,3,4},NĐ!T383,NĐ!X383,NĐ!AB383,NĐ!AF383))=4)*(CHOOSE({1,2,3,4},NĐ!W383,NĐ!AA383,NĐ!AE383,NĐ!AI383)))</f>
        <v>0</v>
      </c>
      <c r="E383">
        <f>SUMPRODUCT((MONTH(CHOOSE({1,2,3,4},NĐ!T383,NĐ!X383,NĐ!AB383,NĐ!AF383))=5)*(CHOOSE({1,2,3,4},NĐ!W383,NĐ!AA383,NĐ!AE383,NĐ!AI383)))</f>
        <v>0</v>
      </c>
      <c r="F383">
        <f>SUMPRODUCT((MONTH(CHOOSE({1,2,3,4},NĐ!T383,NĐ!X383,NĐ!AB383,NĐ!AF383))=6)*(CHOOSE({1,2,3,4},NĐ!W383,NĐ!AA383,NĐ!AE383,NĐ!AI383)))</f>
        <v>0</v>
      </c>
      <c r="G383">
        <f>SUMPRODUCT((MONTH(CHOOSE({1,2,3,4},NĐ!T383,NĐ!X383,NĐ!AB383,NĐ!AF383))=7)*(CHOOSE({1,2,3,4},NĐ!W383,NĐ!AA383,NĐ!AE383,NĐ!AI383)))</f>
        <v>0</v>
      </c>
      <c r="H383">
        <f>SUMPRODUCT((MONTH(CHOOSE({1,2,3,4},NĐ!T383,NĐ!X383,NĐ!AB383,NĐ!AF383))=8)*(CHOOSE({1,2,3,4},NĐ!W383,NĐ!AA383,NĐ!AE383,NĐ!AI383)))</f>
        <v>0</v>
      </c>
      <c r="I383">
        <f>SUMPRODUCT((MONTH(CHOOSE({1,2,3,4},NĐ!T383,NĐ!X383,NĐ!AB383,NĐ!AF383))=9)*(CHOOSE({1,2,3,4},NĐ!W383,NĐ!AA383,NĐ!AE383,NĐ!AI383)))</f>
        <v>0</v>
      </c>
      <c r="J383">
        <f>SUMPRODUCT((MONTH(CHOOSE({1,2,3,4},NĐ!T383,NĐ!X383,NĐ!AB383,NĐ!AF383))=10)*(CHOOSE({1,2,3,4},NĐ!W383,NĐ!AA383,NĐ!AE383,NĐ!AI383)))</f>
        <v>0</v>
      </c>
      <c r="K383">
        <f>SUMPRODUCT((MONTH(CHOOSE({1,2,3,4},NĐ!T383,NĐ!X383,NĐ!AB383,NĐ!AF383))=11)*(CHOOSE({1,2,3,4},NĐ!W383,NĐ!AA383,NĐ!AE383,NĐ!AI383)))</f>
        <v>0</v>
      </c>
      <c r="L383">
        <f>SUMPRODUCT((MONTH(CHOOSE({1,2,3,4},NĐ!T383,NĐ!X383,NĐ!AB383,NĐ!AF383))=12)*(CHOOSE({1,2,3,4},NĐ!W383,NĐ!AA383,NĐ!AE383,NĐ!AI383)))</f>
        <v>0</v>
      </c>
    </row>
    <row r="384" spans="1:12">
      <c r="A384">
        <f>SUMPRODUCT((MONTH(CHOOSE({1,2,3,4},NĐ!T384,NĐ!X384,NĐ!AB384,NĐ!AF384))=1)*(CHOOSE({1,2,3,4},NĐ!W384,NĐ!AA384,NĐ!AE384,NĐ!AI384)))</f>
        <v>0</v>
      </c>
      <c r="B384">
        <f>SUMPRODUCT((MONTH(CHOOSE({1,2,3,4},NĐ!T384,NĐ!X384,NĐ!AB384,NĐ!AF384))=2)*(CHOOSE({1,2,3,4},NĐ!W384,NĐ!AA384,NĐ!AE384,NĐ!AI384)))</f>
        <v>0</v>
      </c>
      <c r="C384">
        <f>SUMPRODUCT((MONTH(CHOOSE({1,2,3,4},NĐ!T384,NĐ!X384,NĐ!AB384,NĐ!AF384))=3)*(CHOOSE({1,2,3,4},NĐ!W384,NĐ!AA384,NĐ!AE384,NĐ!AI384)))</f>
        <v>0</v>
      </c>
      <c r="D384">
        <f>SUMPRODUCT((MONTH(CHOOSE({1,2,3,4},NĐ!T384,NĐ!X384,NĐ!AB384,NĐ!AF384))=4)*(CHOOSE({1,2,3,4},NĐ!W384,NĐ!AA384,NĐ!AE384,NĐ!AI384)))</f>
        <v>0</v>
      </c>
      <c r="E384">
        <f>SUMPRODUCT((MONTH(CHOOSE({1,2,3,4},NĐ!T384,NĐ!X384,NĐ!AB384,NĐ!AF384))=5)*(CHOOSE({1,2,3,4},NĐ!W384,NĐ!AA384,NĐ!AE384,NĐ!AI384)))</f>
        <v>0</v>
      </c>
      <c r="F384">
        <f>SUMPRODUCT((MONTH(CHOOSE({1,2,3,4},NĐ!T384,NĐ!X384,NĐ!AB384,NĐ!AF384))=6)*(CHOOSE({1,2,3,4},NĐ!W384,NĐ!AA384,NĐ!AE384,NĐ!AI384)))</f>
        <v>0</v>
      </c>
      <c r="G384">
        <f>SUMPRODUCT((MONTH(CHOOSE({1,2,3,4},NĐ!T384,NĐ!X384,NĐ!AB384,NĐ!AF384))=7)*(CHOOSE({1,2,3,4},NĐ!W384,NĐ!AA384,NĐ!AE384,NĐ!AI384)))</f>
        <v>0</v>
      </c>
      <c r="H384">
        <f>SUMPRODUCT((MONTH(CHOOSE({1,2,3,4},NĐ!T384,NĐ!X384,NĐ!AB384,NĐ!AF384))=8)*(CHOOSE({1,2,3,4},NĐ!W384,NĐ!AA384,NĐ!AE384,NĐ!AI384)))</f>
        <v>0</v>
      </c>
      <c r="I384">
        <f>SUMPRODUCT((MONTH(CHOOSE({1,2,3,4},NĐ!T384,NĐ!X384,NĐ!AB384,NĐ!AF384))=9)*(CHOOSE({1,2,3,4},NĐ!W384,NĐ!AA384,NĐ!AE384,NĐ!AI384)))</f>
        <v>0</v>
      </c>
      <c r="J384">
        <f>SUMPRODUCT((MONTH(CHOOSE({1,2,3,4},NĐ!T384,NĐ!X384,NĐ!AB384,NĐ!AF384))=10)*(CHOOSE({1,2,3,4},NĐ!W384,NĐ!AA384,NĐ!AE384,NĐ!AI384)))</f>
        <v>0</v>
      </c>
      <c r="K384">
        <f>SUMPRODUCT((MONTH(CHOOSE({1,2,3,4},NĐ!T384,NĐ!X384,NĐ!AB384,NĐ!AF384))=11)*(CHOOSE({1,2,3,4},NĐ!W384,NĐ!AA384,NĐ!AE384,NĐ!AI384)))</f>
        <v>0</v>
      </c>
      <c r="L384">
        <f>SUMPRODUCT((MONTH(CHOOSE({1,2,3,4},NĐ!T384,NĐ!X384,NĐ!AB384,NĐ!AF384))=12)*(CHOOSE({1,2,3,4},NĐ!W384,NĐ!AA384,NĐ!AE384,NĐ!AI384)))</f>
        <v>0</v>
      </c>
    </row>
    <row r="385" spans="1:12">
      <c r="A385">
        <f>SUMPRODUCT((MONTH(CHOOSE({1,2,3,4},NĐ!T385,NĐ!X385,NĐ!AB385,NĐ!AF385))=1)*(CHOOSE({1,2,3,4},NĐ!W385,NĐ!AA385,NĐ!AE385,NĐ!AI385)))</f>
        <v>0</v>
      </c>
      <c r="B385">
        <f>SUMPRODUCT((MONTH(CHOOSE({1,2,3,4},NĐ!T385,NĐ!X385,NĐ!AB385,NĐ!AF385))=2)*(CHOOSE({1,2,3,4},NĐ!W385,NĐ!AA385,NĐ!AE385,NĐ!AI385)))</f>
        <v>0</v>
      </c>
      <c r="C385">
        <f>SUMPRODUCT((MONTH(CHOOSE({1,2,3,4},NĐ!T385,NĐ!X385,NĐ!AB385,NĐ!AF385))=3)*(CHOOSE({1,2,3,4},NĐ!W385,NĐ!AA385,NĐ!AE385,NĐ!AI385)))</f>
        <v>0</v>
      </c>
      <c r="D385">
        <f>SUMPRODUCT((MONTH(CHOOSE({1,2,3,4},NĐ!T385,NĐ!X385,NĐ!AB385,NĐ!AF385))=4)*(CHOOSE({1,2,3,4},NĐ!W385,NĐ!AA385,NĐ!AE385,NĐ!AI385)))</f>
        <v>0</v>
      </c>
      <c r="E385">
        <f>SUMPRODUCT((MONTH(CHOOSE({1,2,3,4},NĐ!T385,NĐ!X385,NĐ!AB385,NĐ!AF385))=5)*(CHOOSE({1,2,3,4},NĐ!W385,NĐ!AA385,NĐ!AE385,NĐ!AI385)))</f>
        <v>0</v>
      </c>
      <c r="F385">
        <f>SUMPRODUCT((MONTH(CHOOSE({1,2,3,4},NĐ!T385,NĐ!X385,NĐ!AB385,NĐ!AF385))=6)*(CHOOSE({1,2,3,4},NĐ!W385,NĐ!AA385,NĐ!AE385,NĐ!AI385)))</f>
        <v>0</v>
      </c>
      <c r="G385">
        <f>SUMPRODUCT((MONTH(CHOOSE({1,2,3,4},NĐ!T385,NĐ!X385,NĐ!AB385,NĐ!AF385))=7)*(CHOOSE({1,2,3,4},NĐ!W385,NĐ!AA385,NĐ!AE385,NĐ!AI385)))</f>
        <v>0</v>
      </c>
      <c r="H385">
        <f>SUMPRODUCT((MONTH(CHOOSE({1,2,3,4},NĐ!T385,NĐ!X385,NĐ!AB385,NĐ!AF385))=8)*(CHOOSE({1,2,3,4},NĐ!W385,NĐ!AA385,NĐ!AE385,NĐ!AI385)))</f>
        <v>0</v>
      </c>
      <c r="I385">
        <f>SUMPRODUCT((MONTH(CHOOSE({1,2,3,4},NĐ!T385,NĐ!X385,NĐ!AB385,NĐ!AF385))=9)*(CHOOSE({1,2,3,4},NĐ!W385,NĐ!AA385,NĐ!AE385,NĐ!AI385)))</f>
        <v>0</v>
      </c>
      <c r="J385">
        <f>SUMPRODUCT((MONTH(CHOOSE({1,2,3,4},NĐ!T385,NĐ!X385,NĐ!AB385,NĐ!AF385))=10)*(CHOOSE({1,2,3,4},NĐ!W385,NĐ!AA385,NĐ!AE385,NĐ!AI385)))</f>
        <v>0</v>
      </c>
      <c r="K385">
        <f>SUMPRODUCT((MONTH(CHOOSE({1,2,3,4},NĐ!T385,NĐ!X385,NĐ!AB385,NĐ!AF385))=11)*(CHOOSE({1,2,3,4},NĐ!W385,NĐ!AA385,NĐ!AE385,NĐ!AI385)))</f>
        <v>0</v>
      </c>
      <c r="L385">
        <f>SUMPRODUCT((MONTH(CHOOSE({1,2,3,4},NĐ!T385,NĐ!X385,NĐ!AB385,NĐ!AF385))=12)*(CHOOSE({1,2,3,4},NĐ!W385,NĐ!AA385,NĐ!AE385,NĐ!AI385)))</f>
        <v>0</v>
      </c>
    </row>
    <row r="386" spans="1:12">
      <c r="A386">
        <f>SUMPRODUCT((MONTH(CHOOSE({1,2,3,4},NĐ!T386,NĐ!X386,NĐ!AB386,NĐ!AF386))=1)*(CHOOSE({1,2,3,4},NĐ!W386,NĐ!AA386,NĐ!AE386,NĐ!AI386)))</f>
        <v>0</v>
      </c>
      <c r="B386">
        <f>SUMPRODUCT((MONTH(CHOOSE({1,2,3,4},NĐ!T386,NĐ!X386,NĐ!AB386,NĐ!AF386))=2)*(CHOOSE({1,2,3,4},NĐ!W386,NĐ!AA386,NĐ!AE386,NĐ!AI386)))</f>
        <v>0</v>
      </c>
      <c r="C386">
        <f>SUMPRODUCT((MONTH(CHOOSE({1,2,3,4},NĐ!T386,NĐ!X386,NĐ!AB386,NĐ!AF386))=3)*(CHOOSE({1,2,3,4},NĐ!W386,NĐ!AA386,NĐ!AE386,NĐ!AI386)))</f>
        <v>0</v>
      </c>
      <c r="D386">
        <f>SUMPRODUCT((MONTH(CHOOSE({1,2,3,4},NĐ!T386,NĐ!X386,NĐ!AB386,NĐ!AF386))=4)*(CHOOSE({1,2,3,4},NĐ!W386,NĐ!AA386,NĐ!AE386,NĐ!AI386)))</f>
        <v>0</v>
      </c>
      <c r="E386">
        <f>SUMPRODUCT((MONTH(CHOOSE({1,2,3,4},NĐ!T386,NĐ!X386,NĐ!AB386,NĐ!AF386))=5)*(CHOOSE({1,2,3,4},NĐ!W386,NĐ!AA386,NĐ!AE386,NĐ!AI386)))</f>
        <v>0</v>
      </c>
      <c r="F386">
        <f>SUMPRODUCT((MONTH(CHOOSE({1,2,3,4},NĐ!T386,NĐ!X386,NĐ!AB386,NĐ!AF386))=6)*(CHOOSE({1,2,3,4},NĐ!W386,NĐ!AA386,NĐ!AE386,NĐ!AI386)))</f>
        <v>0</v>
      </c>
      <c r="G386">
        <f>SUMPRODUCT((MONTH(CHOOSE({1,2,3,4},NĐ!T386,NĐ!X386,NĐ!AB386,NĐ!AF386))=7)*(CHOOSE({1,2,3,4},NĐ!W386,NĐ!AA386,NĐ!AE386,NĐ!AI386)))</f>
        <v>0</v>
      </c>
      <c r="H386">
        <f>SUMPRODUCT((MONTH(CHOOSE({1,2,3,4},NĐ!T386,NĐ!X386,NĐ!AB386,NĐ!AF386))=8)*(CHOOSE({1,2,3,4},NĐ!W386,NĐ!AA386,NĐ!AE386,NĐ!AI386)))</f>
        <v>0</v>
      </c>
      <c r="I386">
        <f>SUMPRODUCT((MONTH(CHOOSE({1,2,3,4},NĐ!T386,NĐ!X386,NĐ!AB386,NĐ!AF386))=9)*(CHOOSE({1,2,3,4},NĐ!W386,NĐ!AA386,NĐ!AE386,NĐ!AI386)))</f>
        <v>0</v>
      </c>
      <c r="J386">
        <f>SUMPRODUCT((MONTH(CHOOSE({1,2,3,4},NĐ!T386,NĐ!X386,NĐ!AB386,NĐ!AF386))=10)*(CHOOSE({1,2,3,4},NĐ!W386,NĐ!AA386,NĐ!AE386,NĐ!AI386)))</f>
        <v>0</v>
      </c>
      <c r="K386">
        <f>SUMPRODUCT((MONTH(CHOOSE({1,2,3,4},NĐ!T386,NĐ!X386,NĐ!AB386,NĐ!AF386))=11)*(CHOOSE({1,2,3,4},NĐ!W386,NĐ!AA386,NĐ!AE386,NĐ!AI386)))</f>
        <v>0</v>
      </c>
      <c r="L386">
        <f>SUMPRODUCT((MONTH(CHOOSE({1,2,3,4},NĐ!T386,NĐ!X386,NĐ!AB386,NĐ!AF386))=12)*(CHOOSE({1,2,3,4},NĐ!W386,NĐ!AA386,NĐ!AE386,NĐ!AI386)))</f>
        <v>0</v>
      </c>
    </row>
    <row r="387" spans="1:12">
      <c r="A387">
        <f>SUMPRODUCT((MONTH(CHOOSE({1,2,3,4},NĐ!T387,NĐ!X387,NĐ!AB387,NĐ!AF387))=1)*(CHOOSE({1,2,3,4},NĐ!W387,NĐ!AA387,NĐ!AE387,NĐ!AI387)))</f>
        <v>0</v>
      </c>
      <c r="B387">
        <f>SUMPRODUCT((MONTH(CHOOSE({1,2,3,4},NĐ!T387,NĐ!X387,NĐ!AB387,NĐ!AF387))=2)*(CHOOSE({1,2,3,4},NĐ!W387,NĐ!AA387,NĐ!AE387,NĐ!AI387)))</f>
        <v>0</v>
      </c>
      <c r="C387">
        <f>SUMPRODUCT((MONTH(CHOOSE({1,2,3,4},NĐ!T387,NĐ!X387,NĐ!AB387,NĐ!AF387))=3)*(CHOOSE({1,2,3,4},NĐ!W387,NĐ!AA387,NĐ!AE387,NĐ!AI387)))</f>
        <v>0</v>
      </c>
      <c r="D387">
        <f>SUMPRODUCT((MONTH(CHOOSE({1,2,3,4},NĐ!T387,NĐ!X387,NĐ!AB387,NĐ!AF387))=4)*(CHOOSE({1,2,3,4},NĐ!W387,NĐ!AA387,NĐ!AE387,NĐ!AI387)))</f>
        <v>0</v>
      </c>
      <c r="E387">
        <f>SUMPRODUCT((MONTH(CHOOSE({1,2,3,4},NĐ!T387,NĐ!X387,NĐ!AB387,NĐ!AF387))=5)*(CHOOSE({1,2,3,4},NĐ!W387,NĐ!AA387,NĐ!AE387,NĐ!AI387)))</f>
        <v>0</v>
      </c>
      <c r="F387">
        <f>SUMPRODUCT((MONTH(CHOOSE({1,2,3,4},NĐ!T387,NĐ!X387,NĐ!AB387,NĐ!AF387))=6)*(CHOOSE({1,2,3,4},NĐ!W387,NĐ!AA387,NĐ!AE387,NĐ!AI387)))</f>
        <v>0</v>
      </c>
      <c r="G387">
        <f>SUMPRODUCT((MONTH(CHOOSE({1,2,3,4},NĐ!T387,NĐ!X387,NĐ!AB387,NĐ!AF387))=7)*(CHOOSE({1,2,3,4},NĐ!W387,NĐ!AA387,NĐ!AE387,NĐ!AI387)))</f>
        <v>0</v>
      </c>
      <c r="H387">
        <f>SUMPRODUCT((MONTH(CHOOSE({1,2,3,4},NĐ!T387,NĐ!X387,NĐ!AB387,NĐ!AF387))=8)*(CHOOSE({1,2,3,4},NĐ!W387,NĐ!AA387,NĐ!AE387,NĐ!AI387)))</f>
        <v>0</v>
      </c>
      <c r="I387">
        <f>SUMPRODUCT((MONTH(CHOOSE({1,2,3,4},NĐ!T387,NĐ!X387,NĐ!AB387,NĐ!AF387))=9)*(CHOOSE({1,2,3,4},NĐ!W387,NĐ!AA387,NĐ!AE387,NĐ!AI387)))</f>
        <v>0</v>
      </c>
      <c r="J387">
        <f>SUMPRODUCT((MONTH(CHOOSE({1,2,3,4},NĐ!T387,NĐ!X387,NĐ!AB387,NĐ!AF387))=10)*(CHOOSE({1,2,3,4},NĐ!W387,NĐ!AA387,NĐ!AE387,NĐ!AI387)))</f>
        <v>0</v>
      </c>
      <c r="K387">
        <f>SUMPRODUCT((MONTH(CHOOSE({1,2,3,4},NĐ!T387,NĐ!X387,NĐ!AB387,NĐ!AF387))=11)*(CHOOSE({1,2,3,4},NĐ!W387,NĐ!AA387,NĐ!AE387,NĐ!AI387)))</f>
        <v>0</v>
      </c>
      <c r="L387">
        <f>SUMPRODUCT((MONTH(CHOOSE({1,2,3,4},NĐ!T387,NĐ!X387,NĐ!AB387,NĐ!AF387))=12)*(CHOOSE({1,2,3,4},NĐ!W387,NĐ!AA387,NĐ!AE387,NĐ!AI387)))</f>
        <v>0</v>
      </c>
    </row>
    <row r="388" spans="1:12">
      <c r="A388">
        <f>SUMPRODUCT((MONTH(CHOOSE({1,2,3,4},NĐ!T388,NĐ!X388,NĐ!AB388,NĐ!AF388))=1)*(CHOOSE({1,2,3,4},NĐ!W388,NĐ!AA388,NĐ!AE388,NĐ!AI388)))</f>
        <v>0</v>
      </c>
      <c r="B388">
        <f>SUMPRODUCT((MONTH(CHOOSE({1,2,3,4},NĐ!T388,NĐ!X388,NĐ!AB388,NĐ!AF388))=2)*(CHOOSE({1,2,3,4},NĐ!W388,NĐ!AA388,NĐ!AE388,NĐ!AI388)))</f>
        <v>0</v>
      </c>
      <c r="C388">
        <f>SUMPRODUCT((MONTH(CHOOSE({1,2,3,4},NĐ!T388,NĐ!X388,NĐ!AB388,NĐ!AF388))=3)*(CHOOSE({1,2,3,4},NĐ!W388,NĐ!AA388,NĐ!AE388,NĐ!AI388)))</f>
        <v>0</v>
      </c>
      <c r="D388">
        <f>SUMPRODUCT((MONTH(CHOOSE({1,2,3,4},NĐ!T388,NĐ!X388,NĐ!AB388,NĐ!AF388))=4)*(CHOOSE({1,2,3,4},NĐ!W388,NĐ!AA388,NĐ!AE388,NĐ!AI388)))</f>
        <v>0</v>
      </c>
      <c r="E388">
        <f>SUMPRODUCT((MONTH(CHOOSE({1,2,3,4},NĐ!T388,NĐ!X388,NĐ!AB388,NĐ!AF388))=5)*(CHOOSE({1,2,3,4},NĐ!W388,NĐ!AA388,NĐ!AE388,NĐ!AI388)))</f>
        <v>0</v>
      </c>
      <c r="F388">
        <f>SUMPRODUCT((MONTH(CHOOSE({1,2,3,4},NĐ!T388,NĐ!X388,NĐ!AB388,NĐ!AF388))=6)*(CHOOSE({1,2,3,4},NĐ!W388,NĐ!AA388,NĐ!AE388,NĐ!AI388)))</f>
        <v>0</v>
      </c>
      <c r="G388">
        <f>SUMPRODUCT((MONTH(CHOOSE({1,2,3,4},NĐ!T388,NĐ!X388,NĐ!AB388,NĐ!AF388))=7)*(CHOOSE({1,2,3,4},NĐ!W388,NĐ!AA388,NĐ!AE388,NĐ!AI388)))</f>
        <v>0</v>
      </c>
      <c r="H388">
        <f>SUMPRODUCT((MONTH(CHOOSE({1,2,3,4},NĐ!T388,NĐ!X388,NĐ!AB388,NĐ!AF388))=8)*(CHOOSE({1,2,3,4},NĐ!W388,NĐ!AA388,NĐ!AE388,NĐ!AI388)))</f>
        <v>0</v>
      </c>
      <c r="I388">
        <f>SUMPRODUCT((MONTH(CHOOSE({1,2,3,4},NĐ!T388,NĐ!X388,NĐ!AB388,NĐ!AF388))=9)*(CHOOSE({1,2,3,4},NĐ!W388,NĐ!AA388,NĐ!AE388,NĐ!AI388)))</f>
        <v>0</v>
      </c>
      <c r="J388">
        <f>SUMPRODUCT((MONTH(CHOOSE({1,2,3,4},NĐ!T388,NĐ!X388,NĐ!AB388,NĐ!AF388))=10)*(CHOOSE({1,2,3,4},NĐ!W388,NĐ!AA388,NĐ!AE388,NĐ!AI388)))</f>
        <v>0</v>
      </c>
      <c r="K388">
        <f>SUMPRODUCT((MONTH(CHOOSE({1,2,3,4},NĐ!T388,NĐ!X388,NĐ!AB388,NĐ!AF388))=11)*(CHOOSE({1,2,3,4},NĐ!W388,NĐ!AA388,NĐ!AE388,NĐ!AI388)))</f>
        <v>0</v>
      </c>
      <c r="L388">
        <f>SUMPRODUCT((MONTH(CHOOSE({1,2,3,4},NĐ!T388,NĐ!X388,NĐ!AB388,NĐ!AF388))=12)*(CHOOSE({1,2,3,4},NĐ!W388,NĐ!AA388,NĐ!AE388,NĐ!AI388)))</f>
        <v>0</v>
      </c>
    </row>
    <row r="389" spans="1:12">
      <c r="A389">
        <f>SUMPRODUCT((MONTH(CHOOSE({1,2,3,4},NĐ!T389,NĐ!X389,NĐ!AB389,NĐ!AF389))=1)*(CHOOSE({1,2,3,4},NĐ!W389,NĐ!AA389,NĐ!AE389,NĐ!AI389)))</f>
        <v>0</v>
      </c>
      <c r="B389">
        <f>SUMPRODUCT((MONTH(CHOOSE({1,2,3,4},NĐ!T389,NĐ!X389,NĐ!AB389,NĐ!AF389))=2)*(CHOOSE({1,2,3,4},NĐ!W389,NĐ!AA389,NĐ!AE389,NĐ!AI389)))</f>
        <v>0</v>
      </c>
      <c r="C389">
        <f>SUMPRODUCT((MONTH(CHOOSE({1,2,3,4},NĐ!T389,NĐ!X389,NĐ!AB389,NĐ!AF389))=3)*(CHOOSE({1,2,3,4},NĐ!W389,NĐ!AA389,NĐ!AE389,NĐ!AI389)))</f>
        <v>0</v>
      </c>
      <c r="D389">
        <f>SUMPRODUCT((MONTH(CHOOSE({1,2,3,4},NĐ!T389,NĐ!X389,NĐ!AB389,NĐ!AF389))=4)*(CHOOSE({1,2,3,4},NĐ!W389,NĐ!AA389,NĐ!AE389,NĐ!AI389)))</f>
        <v>0</v>
      </c>
      <c r="E389">
        <f>SUMPRODUCT((MONTH(CHOOSE({1,2,3,4},NĐ!T389,NĐ!X389,NĐ!AB389,NĐ!AF389))=5)*(CHOOSE({1,2,3,4},NĐ!W389,NĐ!AA389,NĐ!AE389,NĐ!AI389)))</f>
        <v>0</v>
      </c>
      <c r="F389">
        <f>SUMPRODUCT((MONTH(CHOOSE({1,2,3,4},NĐ!T389,NĐ!X389,NĐ!AB389,NĐ!AF389))=6)*(CHOOSE({1,2,3,4},NĐ!W389,NĐ!AA389,NĐ!AE389,NĐ!AI389)))</f>
        <v>0</v>
      </c>
      <c r="G389">
        <f>SUMPRODUCT((MONTH(CHOOSE({1,2,3,4},NĐ!T389,NĐ!X389,NĐ!AB389,NĐ!AF389))=7)*(CHOOSE({1,2,3,4},NĐ!W389,NĐ!AA389,NĐ!AE389,NĐ!AI389)))</f>
        <v>0</v>
      </c>
      <c r="H389">
        <f>SUMPRODUCT((MONTH(CHOOSE({1,2,3,4},NĐ!T389,NĐ!X389,NĐ!AB389,NĐ!AF389))=8)*(CHOOSE({1,2,3,4},NĐ!W389,NĐ!AA389,NĐ!AE389,NĐ!AI389)))</f>
        <v>0</v>
      </c>
      <c r="I389">
        <f>SUMPRODUCT((MONTH(CHOOSE({1,2,3,4},NĐ!T389,NĐ!X389,NĐ!AB389,NĐ!AF389))=9)*(CHOOSE({1,2,3,4},NĐ!W389,NĐ!AA389,NĐ!AE389,NĐ!AI389)))</f>
        <v>0</v>
      </c>
      <c r="J389">
        <f>SUMPRODUCT((MONTH(CHOOSE({1,2,3,4},NĐ!T389,NĐ!X389,NĐ!AB389,NĐ!AF389))=10)*(CHOOSE({1,2,3,4},NĐ!W389,NĐ!AA389,NĐ!AE389,NĐ!AI389)))</f>
        <v>0</v>
      </c>
      <c r="K389">
        <f>SUMPRODUCT((MONTH(CHOOSE({1,2,3,4},NĐ!T389,NĐ!X389,NĐ!AB389,NĐ!AF389))=11)*(CHOOSE({1,2,3,4},NĐ!W389,NĐ!AA389,NĐ!AE389,NĐ!AI389)))</f>
        <v>0</v>
      </c>
      <c r="L389">
        <f>SUMPRODUCT((MONTH(CHOOSE({1,2,3,4},NĐ!T389,NĐ!X389,NĐ!AB389,NĐ!AF389))=12)*(CHOOSE({1,2,3,4},NĐ!W389,NĐ!AA389,NĐ!AE389,NĐ!AI389)))</f>
        <v>0</v>
      </c>
    </row>
    <row r="390" spans="1:12">
      <c r="A390">
        <f>SUMPRODUCT((MONTH(CHOOSE({1,2,3,4},NĐ!T390,NĐ!X390,NĐ!AB390,NĐ!AF390))=1)*(CHOOSE({1,2,3,4},NĐ!W390,NĐ!AA390,NĐ!AE390,NĐ!AI390)))</f>
        <v>0</v>
      </c>
      <c r="B390">
        <f>SUMPRODUCT((MONTH(CHOOSE({1,2,3,4},NĐ!T390,NĐ!X390,NĐ!AB390,NĐ!AF390))=2)*(CHOOSE({1,2,3,4},NĐ!W390,NĐ!AA390,NĐ!AE390,NĐ!AI390)))</f>
        <v>0</v>
      </c>
      <c r="C390">
        <f>SUMPRODUCT((MONTH(CHOOSE({1,2,3,4},NĐ!T390,NĐ!X390,NĐ!AB390,NĐ!AF390))=3)*(CHOOSE({1,2,3,4},NĐ!W390,NĐ!AA390,NĐ!AE390,NĐ!AI390)))</f>
        <v>0</v>
      </c>
      <c r="D390">
        <f>SUMPRODUCT((MONTH(CHOOSE({1,2,3,4},NĐ!T390,NĐ!X390,NĐ!AB390,NĐ!AF390))=4)*(CHOOSE({1,2,3,4},NĐ!W390,NĐ!AA390,NĐ!AE390,NĐ!AI390)))</f>
        <v>0</v>
      </c>
      <c r="E390">
        <f>SUMPRODUCT((MONTH(CHOOSE({1,2,3,4},NĐ!T390,NĐ!X390,NĐ!AB390,NĐ!AF390))=5)*(CHOOSE({1,2,3,4},NĐ!W390,NĐ!AA390,NĐ!AE390,NĐ!AI390)))</f>
        <v>0</v>
      </c>
      <c r="F390">
        <f>SUMPRODUCT((MONTH(CHOOSE({1,2,3,4},NĐ!T390,NĐ!X390,NĐ!AB390,NĐ!AF390))=6)*(CHOOSE({1,2,3,4},NĐ!W390,NĐ!AA390,NĐ!AE390,NĐ!AI390)))</f>
        <v>0</v>
      </c>
      <c r="G390">
        <f>SUMPRODUCT((MONTH(CHOOSE({1,2,3,4},NĐ!T390,NĐ!X390,NĐ!AB390,NĐ!AF390))=7)*(CHOOSE({1,2,3,4},NĐ!W390,NĐ!AA390,NĐ!AE390,NĐ!AI390)))</f>
        <v>0</v>
      </c>
      <c r="H390">
        <f>SUMPRODUCT((MONTH(CHOOSE({1,2,3,4},NĐ!T390,NĐ!X390,NĐ!AB390,NĐ!AF390))=8)*(CHOOSE({1,2,3,4},NĐ!W390,NĐ!AA390,NĐ!AE390,NĐ!AI390)))</f>
        <v>0</v>
      </c>
      <c r="I390">
        <f>SUMPRODUCT((MONTH(CHOOSE({1,2,3,4},NĐ!T390,NĐ!X390,NĐ!AB390,NĐ!AF390))=9)*(CHOOSE({1,2,3,4},NĐ!W390,NĐ!AA390,NĐ!AE390,NĐ!AI390)))</f>
        <v>0</v>
      </c>
      <c r="J390">
        <f>SUMPRODUCT((MONTH(CHOOSE({1,2,3,4},NĐ!T390,NĐ!X390,NĐ!AB390,NĐ!AF390))=10)*(CHOOSE({1,2,3,4},NĐ!W390,NĐ!AA390,NĐ!AE390,NĐ!AI390)))</f>
        <v>0</v>
      </c>
      <c r="K390">
        <f>SUMPRODUCT((MONTH(CHOOSE({1,2,3,4},NĐ!T390,NĐ!X390,NĐ!AB390,NĐ!AF390))=11)*(CHOOSE({1,2,3,4},NĐ!W390,NĐ!AA390,NĐ!AE390,NĐ!AI390)))</f>
        <v>0</v>
      </c>
      <c r="L390">
        <f>SUMPRODUCT((MONTH(CHOOSE({1,2,3,4},NĐ!T390,NĐ!X390,NĐ!AB390,NĐ!AF390))=12)*(CHOOSE({1,2,3,4},NĐ!W390,NĐ!AA390,NĐ!AE390,NĐ!AI390)))</f>
        <v>0</v>
      </c>
    </row>
    <row r="391" spans="1:12">
      <c r="A391">
        <f>SUMPRODUCT((MONTH(CHOOSE({1,2,3,4},NĐ!T391,NĐ!X391,NĐ!AB391,NĐ!AF391))=1)*(CHOOSE({1,2,3,4},NĐ!W391,NĐ!AA391,NĐ!AE391,NĐ!AI391)))</f>
        <v>0</v>
      </c>
      <c r="B391">
        <f>SUMPRODUCT((MONTH(CHOOSE({1,2,3,4},NĐ!T391,NĐ!X391,NĐ!AB391,NĐ!AF391))=2)*(CHOOSE({1,2,3,4},NĐ!W391,NĐ!AA391,NĐ!AE391,NĐ!AI391)))</f>
        <v>0</v>
      </c>
      <c r="C391">
        <f>SUMPRODUCT((MONTH(CHOOSE({1,2,3,4},NĐ!T391,NĐ!X391,NĐ!AB391,NĐ!AF391))=3)*(CHOOSE({1,2,3,4},NĐ!W391,NĐ!AA391,NĐ!AE391,NĐ!AI391)))</f>
        <v>0</v>
      </c>
      <c r="D391">
        <f>SUMPRODUCT((MONTH(CHOOSE({1,2,3,4},NĐ!T391,NĐ!X391,NĐ!AB391,NĐ!AF391))=4)*(CHOOSE({1,2,3,4},NĐ!W391,NĐ!AA391,NĐ!AE391,NĐ!AI391)))</f>
        <v>0</v>
      </c>
      <c r="E391">
        <f>SUMPRODUCT((MONTH(CHOOSE({1,2,3,4},NĐ!T391,NĐ!X391,NĐ!AB391,NĐ!AF391))=5)*(CHOOSE({1,2,3,4},NĐ!W391,NĐ!AA391,NĐ!AE391,NĐ!AI391)))</f>
        <v>0</v>
      </c>
      <c r="F391">
        <f>SUMPRODUCT((MONTH(CHOOSE({1,2,3,4},NĐ!T391,NĐ!X391,NĐ!AB391,NĐ!AF391))=6)*(CHOOSE({1,2,3,4},NĐ!W391,NĐ!AA391,NĐ!AE391,NĐ!AI391)))</f>
        <v>0</v>
      </c>
      <c r="G391">
        <f>SUMPRODUCT((MONTH(CHOOSE({1,2,3,4},NĐ!T391,NĐ!X391,NĐ!AB391,NĐ!AF391))=7)*(CHOOSE({1,2,3,4},NĐ!W391,NĐ!AA391,NĐ!AE391,NĐ!AI391)))</f>
        <v>0</v>
      </c>
      <c r="H391">
        <f>SUMPRODUCT((MONTH(CHOOSE({1,2,3,4},NĐ!T391,NĐ!X391,NĐ!AB391,NĐ!AF391))=8)*(CHOOSE({1,2,3,4},NĐ!W391,NĐ!AA391,NĐ!AE391,NĐ!AI391)))</f>
        <v>0</v>
      </c>
      <c r="I391">
        <f>SUMPRODUCT((MONTH(CHOOSE({1,2,3,4},NĐ!T391,NĐ!X391,NĐ!AB391,NĐ!AF391))=9)*(CHOOSE({1,2,3,4},NĐ!W391,NĐ!AA391,NĐ!AE391,NĐ!AI391)))</f>
        <v>0</v>
      </c>
      <c r="J391">
        <f>SUMPRODUCT((MONTH(CHOOSE({1,2,3,4},NĐ!T391,NĐ!X391,NĐ!AB391,NĐ!AF391))=10)*(CHOOSE({1,2,3,4},NĐ!W391,NĐ!AA391,NĐ!AE391,NĐ!AI391)))</f>
        <v>0</v>
      </c>
      <c r="K391">
        <f>SUMPRODUCT((MONTH(CHOOSE({1,2,3,4},NĐ!T391,NĐ!X391,NĐ!AB391,NĐ!AF391))=11)*(CHOOSE({1,2,3,4},NĐ!W391,NĐ!AA391,NĐ!AE391,NĐ!AI391)))</f>
        <v>0</v>
      </c>
      <c r="L391">
        <f>SUMPRODUCT((MONTH(CHOOSE({1,2,3,4},NĐ!T391,NĐ!X391,NĐ!AB391,NĐ!AF391))=12)*(CHOOSE({1,2,3,4},NĐ!W391,NĐ!AA391,NĐ!AE391,NĐ!AI391)))</f>
        <v>0</v>
      </c>
    </row>
    <row r="392" spans="1:12">
      <c r="A392">
        <f>SUMPRODUCT((MONTH(CHOOSE({1,2,3,4},NĐ!T392,NĐ!X392,NĐ!AB392,NĐ!AF392))=1)*(CHOOSE({1,2,3,4},NĐ!W392,NĐ!AA392,NĐ!AE392,NĐ!AI392)))</f>
        <v>0</v>
      </c>
      <c r="B392">
        <f>SUMPRODUCT((MONTH(CHOOSE({1,2,3,4},NĐ!T392,NĐ!X392,NĐ!AB392,NĐ!AF392))=2)*(CHOOSE({1,2,3,4},NĐ!W392,NĐ!AA392,NĐ!AE392,NĐ!AI392)))</f>
        <v>0</v>
      </c>
      <c r="C392">
        <f>SUMPRODUCT((MONTH(CHOOSE({1,2,3,4},NĐ!T392,NĐ!X392,NĐ!AB392,NĐ!AF392))=3)*(CHOOSE({1,2,3,4},NĐ!W392,NĐ!AA392,NĐ!AE392,NĐ!AI392)))</f>
        <v>0</v>
      </c>
      <c r="D392">
        <f>SUMPRODUCT((MONTH(CHOOSE({1,2,3,4},NĐ!T392,NĐ!X392,NĐ!AB392,NĐ!AF392))=4)*(CHOOSE({1,2,3,4},NĐ!W392,NĐ!AA392,NĐ!AE392,NĐ!AI392)))</f>
        <v>0</v>
      </c>
      <c r="E392">
        <f>SUMPRODUCT((MONTH(CHOOSE({1,2,3,4},NĐ!T392,NĐ!X392,NĐ!AB392,NĐ!AF392))=5)*(CHOOSE({1,2,3,4},NĐ!W392,NĐ!AA392,NĐ!AE392,NĐ!AI392)))</f>
        <v>0</v>
      </c>
      <c r="F392">
        <f>SUMPRODUCT((MONTH(CHOOSE({1,2,3,4},NĐ!T392,NĐ!X392,NĐ!AB392,NĐ!AF392))=6)*(CHOOSE({1,2,3,4},NĐ!W392,NĐ!AA392,NĐ!AE392,NĐ!AI392)))</f>
        <v>0</v>
      </c>
      <c r="G392">
        <f>SUMPRODUCT((MONTH(CHOOSE({1,2,3,4},NĐ!T392,NĐ!X392,NĐ!AB392,NĐ!AF392))=7)*(CHOOSE({1,2,3,4},NĐ!W392,NĐ!AA392,NĐ!AE392,NĐ!AI392)))</f>
        <v>0</v>
      </c>
      <c r="H392">
        <f>SUMPRODUCT((MONTH(CHOOSE({1,2,3,4},NĐ!T392,NĐ!X392,NĐ!AB392,NĐ!AF392))=8)*(CHOOSE({1,2,3,4},NĐ!W392,NĐ!AA392,NĐ!AE392,NĐ!AI392)))</f>
        <v>0</v>
      </c>
      <c r="I392">
        <f>SUMPRODUCT((MONTH(CHOOSE({1,2,3,4},NĐ!T392,NĐ!X392,NĐ!AB392,NĐ!AF392))=9)*(CHOOSE({1,2,3,4},NĐ!W392,NĐ!AA392,NĐ!AE392,NĐ!AI392)))</f>
        <v>0</v>
      </c>
      <c r="J392">
        <f>SUMPRODUCT((MONTH(CHOOSE({1,2,3,4},NĐ!T392,NĐ!X392,NĐ!AB392,NĐ!AF392))=10)*(CHOOSE({1,2,3,4},NĐ!W392,NĐ!AA392,NĐ!AE392,NĐ!AI392)))</f>
        <v>0</v>
      </c>
      <c r="K392">
        <f>SUMPRODUCT((MONTH(CHOOSE({1,2,3,4},NĐ!T392,NĐ!X392,NĐ!AB392,NĐ!AF392))=11)*(CHOOSE({1,2,3,4},NĐ!W392,NĐ!AA392,NĐ!AE392,NĐ!AI392)))</f>
        <v>0</v>
      </c>
      <c r="L392">
        <f>SUMPRODUCT((MONTH(CHOOSE({1,2,3,4},NĐ!T392,NĐ!X392,NĐ!AB392,NĐ!AF392))=12)*(CHOOSE({1,2,3,4},NĐ!W392,NĐ!AA392,NĐ!AE392,NĐ!AI392)))</f>
        <v>0</v>
      </c>
    </row>
    <row r="393" spans="1:12">
      <c r="A393">
        <f>SUMPRODUCT((MONTH(CHOOSE({1,2,3,4},NĐ!T393,NĐ!X393,NĐ!AB393,NĐ!AF393))=1)*(CHOOSE({1,2,3,4},NĐ!W393,NĐ!AA393,NĐ!AE393,NĐ!AI393)))</f>
        <v>0</v>
      </c>
      <c r="B393">
        <f>SUMPRODUCT((MONTH(CHOOSE({1,2,3,4},NĐ!T393,NĐ!X393,NĐ!AB393,NĐ!AF393))=2)*(CHOOSE({1,2,3,4},NĐ!W393,NĐ!AA393,NĐ!AE393,NĐ!AI393)))</f>
        <v>0</v>
      </c>
      <c r="C393">
        <f>SUMPRODUCT((MONTH(CHOOSE({1,2,3,4},NĐ!T393,NĐ!X393,NĐ!AB393,NĐ!AF393))=3)*(CHOOSE({1,2,3,4},NĐ!W393,NĐ!AA393,NĐ!AE393,NĐ!AI393)))</f>
        <v>0</v>
      </c>
      <c r="D393">
        <f>SUMPRODUCT((MONTH(CHOOSE({1,2,3,4},NĐ!T393,NĐ!X393,NĐ!AB393,NĐ!AF393))=4)*(CHOOSE({1,2,3,4},NĐ!W393,NĐ!AA393,NĐ!AE393,NĐ!AI393)))</f>
        <v>0</v>
      </c>
      <c r="E393">
        <f>SUMPRODUCT((MONTH(CHOOSE({1,2,3,4},NĐ!T393,NĐ!X393,NĐ!AB393,NĐ!AF393))=5)*(CHOOSE({1,2,3,4},NĐ!W393,NĐ!AA393,NĐ!AE393,NĐ!AI393)))</f>
        <v>0</v>
      </c>
      <c r="F393">
        <f>SUMPRODUCT((MONTH(CHOOSE({1,2,3,4},NĐ!T393,NĐ!X393,NĐ!AB393,NĐ!AF393))=6)*(CHOOSE({1,2,3,4},NĐ!W393,NĐ!AA393,NĐ!AE393,NĐ!AI393)))</f>
        <v>0</v>
      </c>
      <c r="G393">
        <f>SUMPRODUCT((MONTH(CHOOSE({1,2,3,4},NĐ!T393,NĐ!X393,NĐ!AB393,NĐ!AF393))=7)*(CHOOSE({1,2,3,4},NĐ!W393,NĐ!AA393,NĐ!AE393,NĐ!AI393)))</f>
        <v>0</v>
      </c>
      <c r="H393">
        <f>SUMPRODUCT((MONTH(CHOOSE({1,2,3,4},NĐ!T393,NĐ!X393,NĐ!AB393,NĐ!AF393))=8)*(CHOOSE({1,2,3,4},NĐ!W393,NĐ!AA393,NĐ!AE393,NĐ!AI393)))</f>
        <v>0</v>
      </c>
      <c r="I393">
        <f>SUMPRODUCT((MONTH(CHOOSE({1,2,3,4},NĐ!T393,NĐ!X393,NĐ!AB393,NĐ!AF393))=9)*(CHOOSE({1,2,3,4},NĐ!W393,NĐ!AA393,NĐ!AE393,NĐ!AI393)))</f>
        <v>0</v>
      </c>
      <c r="J393">
        <f>SUMPRODUCT((MONTH(CHOOSE({1,2,3,4},NĐ!T393,NĐ!X393,NĐ!AB393,NĐ!AF393))=10)*(CHOOSE({1,2,3,4},NĐ!W393,NĐ!AA393,NĐ!AE393,NĐ!AI393)))</f>
        <v>0</v>
      </c>
      <c r="K393">
        <f>SUMPRODUCT((MONTH(CHOOSE({1,2,3,4},NĐ!T393,NĐ!X393,NĐ!AB393,NĐ!AF393))=11)*(CHOOSE({1,2,3,4},NĐ!W393,NĐ!AA393,NĐ!AE393,NĐ!AI393)))</f>
        <v>0</v>
      </c>
      <c r="L393">
        <f>SUMPRODUCT((MONTH(CHOOSE({1,2,3,4},NĐ!T393,NĐ!X393,NĐ!AB393,NĐ!AF393))=12)*(CHOOSE({1,2,3,4},NĐ!W393,NĐ!AA393,NĐ!AE393,NĐ!AI393)))</f>
        <v>0</v>
      </c>
    </row>
    <row r="394" spans="1:12">
      <c r="A394">
        <f>SUMPRODUCT((MONTH(CHOOSE({1,2,3,4},NĐ!T394,NĐ!X394,NĐ!AB394,NĐ!AF394))=1)*(CHOOSE({1,2,3,4},NĐ!W394,NĐ!AA394,NĐ!AE394,NĐ!AI394)))</f>
        <v>0</v>
      </c>
      <c r="B394">
        <f>SUMPRODUCT((MONTH(CHOOSE({1,2,3,4},NĐ!T394,NĐ!X394,NĐ!AB394,NĐ!AF394))=2)*(CHOOSE({1,2,3,4},NĐ!W394,NĐ!AA394,NĐ!AE394,NĐ!AI394)))</f>
        <v>0</v>
      </c>
      <c r="C394">
        <f>SUMPRODUCT((MONTH(CHOOSE({1,2,3,4},NĐ!T394,NĐ!X394,NĐ!AB394,NĐ!AF394))=3)*(CHOOSE({1,2,3,4},NĐ!W394,NĐ!AA394,NĐ!AE394,NĐ!AI394)))</f>
        <v>0</v>
      </c>
      <c r="D394">
        <f>SUMPRODUCT((MONTH(CHOOSE({1,2,3,4},NĐ!T394,NĐ!X394,NĐ!AB394,NĐ!AF394))=4)*(CHOOSE({1,2,3,4},NĐ!W394,NĐ!AA394,NĐ!AE394,NĐ!AI394)))</f>
        <v>0</v>
      </c>
      <c r="E394">
        <f>SUMPRODUCT((MONTH(CHOOSE({1,2,3,4},NĐ!T394,NĐ!X394,NĐ!AB394,NĐ!AF394))=5)*(CHOOSE({1,2,3,4},NĐ!W394,NĐ!AA394,NĐ!AE394,NĐ!AI394)))</f>
        <v>0</v>
      </c>
      <c r="F394">
        <f>SUMPRODUCT((MONTH(CHOOSE({1,2,3,4},NĐ!T394,NĐ!X394,NĐ!AB394,NĐ!AF394))=6)*(CHOOSE({1,2,3,4},NĐ!W394,NĐ!AA394,NĐ!AE394,NĐ!AI394)))</f>
        <v>0</v>
      </c>
      <c r="G394">
        <f>SUMPRODUCT((MONTH(CHOOSE({1,2,3,4},NĐ!T394,NĐ!X394,NĐ!AB394,NĐ!AF394))=7)*(CHOOSE({1,2,3,4},NĐ!W394,NĐ!AA394,NĐ!AE394,NĐ!AI394)))</f>
        <v>0</v>
      </c>
      <c r="H394">
        <f>SUMPRODUCT((MONTH(CHOOSE({1,2,3,4},NĐ!T394,NĐ!X394,NĐ!AB394,NĐ!AF394))=8)*(CHOOSE({1,2,3,4},NĐ!W394,NĐ!AA394,NĐ!AE394,NĐ!AI394)))</f>
        <v>0</v>
      </c>
      <c r="I394">
        <f>SUMPRODUCT((MONTH(CHOOSE({1,2,3,4},NĐ!T394,NĐ!X394,NĐ!AB394,NĐ!AF394))=9)*(CHOOSE({1,2,3,4},NĐ!W394,NĐ!AA394,NĐ!AE394,NĐ!AI394)))</f>
        <v>0</v>
      </c>
      <c r="J394">
        <f>SUMPRODUCT((MONTH(CHOOSE({1,2,3,4},NĐ!T394,NĐ!X394,NĐ!AB394,NĐ!AF394))=10)*(CHOOSE({1,2,3,4},NĐ!W394,NĐ!AA394,NĐ!AE394,NĐ!AI394)))</f>
        <v>0</v>
      </c>
      <c r="K394">
        <f>SUMPRODUCT((MONTH(CHOOSE({1,2,3,4},NĐ!T394,NĐ!X394,NĐ!AB394,NĐ!AF394))=11)*(CHOOSE({1,2,3,4},NĐ!W394,NĐ!AA394,NĐ!AE394,NĐ!AI394)))</f>
        <v>0</v>
      </c>
      <c r="L394">
        <f>SUMPRODUCT((MONTH(CHOOSE({1,2,3,4},NĐ!T394,NĐ!X394,NĐ!AB394,NĐ!AF394))=12)*(CHOOSE({1,2,3,4},NĐ!W394,NĐ!AA394,NĐ!AE394,NĐ!AI394)))</f>
        <v>0</v>
      </c>
    </row>
    <row r="395" spans="1:12">
      <c r="A395">
        <f>SUMPRODUCT((MONTH(CHOOSE({1,2,3,4},NĐ!T395,NĐ!X395,NĐ!AB395,NĐ!AF395))=1)*(CHOOSE({1,2,3,4},NĐ!W395,NĐ!AA395,NĐ!AE395,NĐ!AI395)))</f>
        <v>0</v>
      </c>
      <c r="B395">
        <f>SUMPRODUCT((MONTH(CHOOSE({1,2,3,4},NĐ!T395,NĐ!X395,NĐ!AB395,NĐ!AF395))=2)*(CHOOSE({1,2,3,4},NĐ!W395,NĐ!AA395,NĐ!AE395,NĐ!AI395)))</f>
        <v>0</v>
      </c>
      <c r="C395">
        <f>SUMPRODUCT((MONTH(CHOOSE({1,2,3,4},NĐ!T395,NĐ!X395,NĐ!AB395,NĐ!AF395))=3)*(CHOOSE({1,2,3,4},NĐ!W395,NĐ!AA395,NĐ!AE395,NĐ!AI395)))</f>
        <v>0</v>
      </c>
      <c r="D395">
        <f>SUMPRODUCT((MONTH(CHOOSE({1,2,3,4},NĐ!T395,NĐ!X395,NĐ!AB395,NĐ!AF395))=4)*(CHOOSE({1,2,3,4},NĐ!W395,NĐ!AA395,NĐ!AE395,NĐ!AI395)))</f>
        <v>0</v>
      </c>
      <c r="E395">
        <f>SUMPRODUCT((MONTH(CHOOSE({1,2,3,4},NĐ!T395,NĐ!X395,NĐ!AB395,NĐ!AF395))=5)*(CHOOSE({1,2,3,4},NĐ!W395,NĐ!AA395,NĐ!AE395,NĐ!AI395)))</f>
        <v>0</v>
      </c>
      <c r="F395">
        <f>SUMPRODUCT((MONTH(CHOOSE({1,2,3,4},NĐ!T395,NĐ!X395,NĐ!AB395,NĐ!AF395))=6)*(CHOOSE({1,2,3,4},NĐ!W395,NĐ!AA395,NĐ!AE395,NĐ!AI395)))</f>
        <v>0</v>
      </c>
      <c r="G395">
        <f>SUMPRODUCT((MONTH(CHOOSE({1,2,3,4},NĐ!T395,NĐ!X395,NĐ!AB395,NĐ!AF395))=7)*(CHOOSE({1,2,3,4},NĐ!W395,NĐ!AA395,NĐ!AE395,NĐ!AI395)))</f>
        <v>0</v>
      </c>
      <c r="H395">
        <f>SUMPRODUCT((MONTH(CHOOSE({1,2,3,4},NĐ!T395,NĐ!X395,NĐ!AB395,NĐ!AF395))=8)*(CHOOSE({1,2,3,4},NĐ!W395,NĐ!AA395,NĐ!AE395,NĐ!AI395)))</f>
        <v>0</v>
      </c>
      <c r="I395">
        <f>SUMPRODUCT((MONTH(CHOOSE({1,2,3,4},NĐ!T395,NĐ!X395,NĐ!AB395,NĐ!AF395))=9)*(CHOOSE({1,2,3,4},NĐ!W395,NĐ!AA395,NĐ!AE395,NĐ!AI395)))</f>
        <v>0</v>
      </c>
      <c r="J395">
        <f>SUMPRODUCT((MONTH(CHOOSE({1,2,3,4},NĐ!T395,NĐ!X395,NĐ!AB395,NĐ!AF395))=10)*(CHOOSE({1,2,3,4},NĐ!W395,NĐ!AA395,NĐ!AE395,NĐ!AI395)))</f>
        <v>0</v>
      </c>
      <c r="K395">
        <f>SUMPRODUCT((MONTH(CHOOSE({1,2,3,4},NĐ!T395,NĐ!X395,NĐ!AB395,NĐ!AF395))=11)*(CHOOSE({1,2,3,4},NĐ!W395,NĐ!AA395,NĐ!AE395,NĐ!AI395)))</f>
        <v>0</v>
      </c>
      <c r="L395">
        <f>SUMPRODUCT((MONTH(CHOOSE({1,2,3,4},NĐ!T395,NĐ!X395,NĐ!AB395,NĐ!AF395))=12)*(CHOOSE({1,2,3,4},NĐ!W395,NĐ!AA395,NĐ!AE395,NĐ!AI395)))</f>
        <v>0</v>
      </c>
    </row>
    <row r="396" spans="1:12">
      <c r="A396">
        <f>SUMPRODUCT((MONTH(CHOOSE({1,2,3,4},NĐ!T396,NĐ!X396,NĐ!AB396,NĐ!AF396))=1)*(CHOOSE({1,2,3,4},NĐ!W396,NĐ!AA396,NĐ!AE396,NĐ!AI396)))</f>
        <v>0</v>
      </c>
      <c r="B396">
        <f>SUMPRODUCT((MONTH(CHOOSE({1,2,3,4},NĐ!T396,NĐ!X396,NĐ!AB396,NĐ!AF396))=2)*(CHOOSE({1,2,3,4},NĐ!W396,NĐ!AA396,NĐ!AE396,NĐ!AI396)))</f>
        <v>0</v>
      </c>
      <c r="C396">
        <f>SUMPRODUCT((MONTH(CHOOSE({1,2,3,4},NĐ!T396,NĐ!X396,NĐ!AB396,NĐ!AF396))=3)*(CHOOSE({1,2,3,4},NĐ!W396,NĐ!AA396,NĐ!AE396,NĐ!AI396)))</f>
        <v>0</v>
      </c>
      <c r="D396">
        <f>SUMPRODUCT((MONTH(CHOOSE({1,2,3,4},NĐ!T396,NĐ!X396,NĐ!AB396,NĐ!AF396))=4)*(CHOOSE({1,2,3,4},NĐ!W396,NĐ!AA396,NĐ!AE396,NĐ!AI396)))</f>
        <v>0</v>
      </c>
      <c r="E396">
        <f>SUMPRODUCT((MONTH(CHOOSE({1,2,3,4},NĐ!T396,NĐ!X396,NĐ!AB396,NĐ!AF396))=5)*(CHOOSE({1,2,3,4},NĐ!W396,NĐ!AA396,NĐ!AE396,NĐ!AI396)))</f>
        <v>0</v>
      </c>
      <c r="F396">
        <f>SUMPRODUCT((MONTH(CHOOSE({1,2,3,4},NĐ!T396,NĐ!X396,NĐ!AB396,NĐ!AF396))=6)*(CHOOSE({1,2,3,4},NĐ!W396,NĐ!AA396,NĐ!AE396,NĐ!AI396)))</f>
        <v>0</v>
      </c>
      <c r="G396">
        <f>SUMPRODUCT((MONTH(CHOOSE({1,2,3,4},NĐ!T396,NĐ!X396,NĐ!AB396,NĐ!AF396))=7)*(CHOOSE({1,2,3,4},NĐ!W396,NĐ!AA396,NĐ!AE396,NĐ!AI396)))</f>
        <v>0</v>
      </c>
      <c r="H396">
        <f>SUMPRODUCT((MONTH(CHOOSE({1,2,3,4},NĐ!T396,NĐ!X396,NĐ!AB396,NĐ!AF396))=8)*(CHOOSE({1,2,3,4},NĐ!W396,NĐ!AA396,NĐ!AE396,NĐ!AI396)))</f>
        <v>0</v>
      </c>
      <c r="I396">
        <f>SUMPRODUCT((MONTH(CHOOSE({1,2,3,4},NĐ!T396,NĐ!X396,NĐ!AB396,NĐ!AF396))=9)*(CHOOSE({1,2,3,4},NĐ!W396,NĐ!AA396,NĐ!AE396,NĐ!AI396)))</f>
        <v>0</v>
      </c>
      <c r="J396">
        <f>SUMPRODUCT((MONTH(CHOOSE({1,2,3,4},NĐ!T396,NĐ!X396,NĐ!AB396,NĐ!AF396))=10)*(CHOOSE({1,2,3,4},NĐ!W396,NĐ!AA396,NĐ!AE396,NĐ!AI396)))</f>
        <v>0</v>
      </c>
      <c r="K396">
        <f>SUMPRODUCT((MONTH(CHOOSE({1,2,3,4},NĐ!T396,NĐ!X396,NĐ!AB396,NĐ!AF396))=11)*(CHOOSE({1,2,3,4},NĐ!W396,NĐ!AA396,NĐ!AE396,NĐ!AI396)))</f>
        <v>0</v>
      </c>
      <c r="L396">
        <f>SUMPRODUCT((MONTH(CHOOSE({1,2,3,4},NĐ!T396,NĐ!X396,NĐ!AB396,NĐ!AF396))=12)*(CHOOSE({1,2,3,4},NĐ!W396,NĐ!AA396,NĐ!AE396,NĐ!AI396)))</f>
        <v>0</v>
      </c>
    </row>
    <row r="397" spans="1:12">
      <c r="A397">
        <f>SUMPRODUCT((MONTH(CHOOSE({1,2,3,4},NĐ!T397,NĐ!X397,NĐ!AB397,NĐ!AF397))=1)*(CHOOSE({1,2,3,4},NĐ!W397,NĐ!AA397,NĐ!AE397,NĐ!AI397)))</f>
        <v>0</v>
      </c>
      <c r="B397">
        <f>SUMPRODUCT((MONTH(CHOOSE({1,2,3,4},NĐ!T397,NĐ!X397,NĐ!AB397,NĐ!AF397))=2)*(CHOOSE({1,2,3,4},NĐ!W397,NĐ!AA397,NĐ!AE397,NĐ!AI397)))</f>
        <v>0</v>
      </c>
      <c r="C397">
        <f>SUMPRODUCT((MONTH(CHOOSE({1,2,3,4},NĐ!T397,NĐ!X397,NĐ!AB397,NĐ!AF397))=3)*(CHOOSE({1,2,3,4},NĐ!W397,NĐ!AA397,NĐ!AE397,NĐ!AI397)))</f>
        <v>0</v>
      </c>
      <c r="D397">
        <f>SUMPRODUCT((MONTH(CHOOSE({1,2,3,4},NĐ!T397,NĐ!X397,NĐ!AB397,NĐ!AF397))=4)*(CHOOSE({1,2,3,4},NĐ!W397,NĐ!AA397,NĐ!AE397,NĐ!AI397)))</f>
        <v>0</v>
      </c>
      <c r="E397">
        <f>SUMPRODUCT((MONTH(CHOOSE({1,2,3,4},NĐ!T397,NĐ!X397,NĐ!AB397,NĐ!AF397))=5)*(CHOOSE({1,2,3,4},NĐ!W397,NĐ!AA397,NĐ!AE397,NĐ!AI397)))</f>
        <v>0</v>
      </c>
      <c r="F397">
        <f>SUMPRODUCT((MONTH(CHOOSE({1,2,3,4},NĐ!T397,NĐ!X397,NĐ!AB397,NĐ!AF397))=6)*(CHOOSE({1,2,3,4},NĐ!W397,NĐ!AA397,NĐ!AE397,NĐ!AI397)))</f>
        <v>0</v>
      </c>
      <c r="G397">
        <f>SUMPRODUCT((MONTH(CHOOSE({1,2,3,4},NĐ!T397,NĐ!X397,NĐ!AB397,NĐ!AF397))=7)*(CHOOSE({1,2,3,4},NĐ!W397,NĐ!AA397,NĐ!AE397,NĐ!AI397)))</f>
        <v>0</v>
      </c>
      <c r="H397">
        <f>SUMPRODUCT((MONTH(CHOOSE({1,2,3,4},NĐ!T397,NĐ!X397,NĐ!AB397,NĐ!AF397))=8)*(CHOOSE({1,2,3,4},NĐ!W397,NĐ!AA397,NĐ!AE397,NĐ!AI397)))</f>
        <v>0</v>
      </c>
      <c r="I397">
        <f>SUMPRODUCT((MONTH(CHOOSE({1,2,3,4},NĐ!T397,NĐ!X397,NĐ!AB397,NĐ!AF397))=9)*(CHOOSE({1,2,3,4},NĐ!W397,NĐ!AA397,NĐ!AE397,NĐ!AI397)))</f>
        <v>0</v>
      </c>
      <c r="J397">
        <f>SUMPRODUCT((MONTH(CHOOSE({1,2,3,4},NĐ!T397,NĐ!X397,NĐ!AB397,NĐ!AF397))=10)*(CHOOSE({1,2,3,4},NĐ!W397,NĐ!AA397,NĐ!AE397,NĐ!AI397)))</f>
        <v>0</v>
      </c>
      <c r="K397">
        <f>SUMPRODUCT((MONTH(CHOOSE({1,2,3,4},NĐ!T397,NĐ!X397,NĐ!AB397,NĐ!AF397))=11)*(CHOOSE({1,2,3,4},NĐ!W397,NĐ!AA397,NĐ!AE397,NĐ!AI397)))</f>
        <v>0</v>
      </c>
      <c r="L397">
        <f>SUMPRODUCT((MONTH(CHOOSE({1,2,3,4},NĐ!T397,NĐ!X397,NĐ!AB397,NĐ!AF397))=12)*(CHOOSE({1,2,3,4},NĐ!W397,NĐ!AA397,NĐ!AE397,NĐ!AI397)))</f>
        <v>0</v>
      </c>
    </row>
    <row r="398" spans="1:12">
      <c r="A398">
        <f>SUMPRODUCT((MONTH(CHOOSE({1,2,3,4},NĐ!T398,NĐ!X398,NĐ!AB398,NĐ!AF398))=1)*(CHOOSE({1,2,3,4},NĐ!W398,NĐ!AA398,NĐ!AE398,NĐ!AI398)))</f>
        <v>0</v>
      </c>
      <c r="B398">
        <f>SUMPRODUCT((MONTH(CHOOSE({1,2,3,4},NĐ!T398,NĐ!X398,NĐ!AB398,NĐ!AF398))=2)*(CHOOSE({1,2,3,4},NĐ!W398,NĐ!AA398,NĐ!AE398,NĐ!AI398)))</f>
        <v>0</v>
      </c>
      <c r="C398">
        <f>SUMPRODUCT((MONTH(CHOOSE({1,2,3,4},NĐ!T398,NĐ!X398,NĐ!AB398,NĐ!AF398))=3)*(CHOOSE({1,2,3,4},NĐ!W398,NĐ!AA398,NĐ!AE398,NĐ!AI398)))</f>
        <v>0</v>
      </c>
      <c r="D398">
        <f>SUMPRODUCT((MONTH(CHOOSE({1,2,3,4},NĐ!T398,NĐ!X398,NĐ!AB398,NĐ!AF398))=4)*(CHOOSE({1,2,3,4},NĐ!W398,NĐ!AA398,NĐ!AE398,NĐ!AI398)))</f>
        <v>0</v>
      </c>
      <c r="E398">
        <f>SUMPRODUCT((MONTH(CHOOSE({1,2,3,4},NĐ!T398,NĐ!X398,NĐ!AB398,NĐ!AF398))=5)*(CHOOSE({1,2,3,4},NĐ!W398,NĐ!AA398,NĐ!AE398,NĐ!AI398)))</f>
        <v>0</v>
      </c>
      <c r="F398">
        <f>SUMPRODUCT((MONTH(CHOOSE({1,2,3,4},NĐ!T398,NĐ!X398,NĐ!AB398,NĐ!AF398))=6)*(CHOOSE({1,2,3,4},NĐ!W398,NĐ!AA398,NĐ!AE398,NĐ!AI398)))</f>
        <v>0</v>
      </c>
      <c r="G398">
        <f>SUMPRODUCT((MONTH(CHOOSE({1,2,3,4},NĐ!T398,NĐ!X398,NĐ!AB398,NĐ!AF398))=7)*(CHOOSE({1,2,3,4},NĐ!W398,NĐ!AA398,NĐ!AE398,NĐ!AI398)))</f>
        <v>0</v>
      </c>
      <c r="H398">
        <f>SUMPRODUCT((MONTH(CHOOSE({1,2,3,4},NĐ!T398,NĐ!X398,NĐ!AB398,NĐ!AF398))=8)*(CHOOSE({1,2,3,4},NĐ!W398,NĐ!AA398,NĐ!AE398,NĐ!AI398)))</f>
        <v>0</v>
      </c>
      <c r="I398">
        <f>SUMPRODUCT((MONTH(CHOOSE({1,2,3,4},NĐ!T398,NĐ!X398,NĐ!AB398,NĐ!AF398))=9)*(CHOOSE({1,2,3,4},NĐ!W398,NĐ!AA398,NĐ!AE398,NĐ!AI398)))</f>
        <v>0</v>
      </c>
      <c r="J398">
        <f>SUMPRODUCT((MONTH(CHOOSE({1,2,3,4},NĐ!T398,NĐ!X398,NĐ!AB398,NĐ!AF398))=10)*(CHOOSE({1,2,3,4},NĐ!W398,NĐ!AA398,NĐ!AE398,NĐ!AI398)))</f>
        <v>0</v>
      </c>
      <c r="K398">
        <f>SUMPRODUCT((MONTH(CHOOSE({1,2,3,4},NĐ!T398,NĐ!X398,NĐ!AB398,NĐ!AF398))=11)*(CHOOSE({1,2,3,4},NĐ!W398,NĐ!AA398,NĐ!AE398,NĐ!AI398)))</f>
        <v>0</v>
      </c>
      <c r="L398">
        <f>SUMPRODUCT((MONTH(CHOOSE({1,2,3,4},NĐ!T398,NĐ!X398,NĐ!AB398,NĐ!AF398))=12)*(CHOOSE({1,2,3,4},NĐ!W398,NĐ!AA398,NĐ!AE398,NĐ!AI398)))</f>
        <v>0</v>
      </c>
    </row>
    <row r="399" spans="1:12">
      <c r="A399">
        <f>SUMPRODUCT((MONTH(CHOOSE({1,2,3,4},NĐ!T399,NĐ!X399,NĐ!AB399,NĐ!AF399))=1)*(CHOOSE({1,2,3,4},NĐ!W399,NĐ!AA399,NĐ!AE399,NĐ!AI399)))</f>
        <v>0</v>
      </c>
      <c r="B399">
        <f>SUMPRODUCT((MONTH(CHOOSE({1,2,3,4},NĐ!T399,NĐ!X399,NĐ!AB399,NĐ!AF399))=2)*(CHOOSE({1,2,3,4},NĐ!W399,NĐ!AA399,NĐ!AE399,NĐ!AI399)))</f>
        <v>0</v>
      </c>
      <c r="C399">
        <f>SUMPRODUCT((MONTH(CHOOSE({1,2,3,4},NĐ!T399,NĐ!X399,NĐ!AB399,NĐ!AF399))=3)*(CHOOSE({1,2,3,4},NĐ!W399,NĐ!AA399,NĐ!AE399,NĐ!AI399)))</f>
        <v>0</v>
      </c>
      <c r="D399">
        <f>SUMPRODUCT((MONTH(CHOOSE({1,2,3,4},NĐ!T399,NĐ!X399,NĐ!AB399,NĐ!AF399))=4)*(CHOOSE({1,2,3,4},NĐ!W399,NĐ!AA399,NĐ!AE399,NĐ!AI399)))</f>
        <v>0</v>
      </c>
      <c r="E399">
        <f>SUMPRODUCT((MONTH(CHOOSE({1,2,3,4},NĐ!T399,NĐ!X399,NĐ!AB399,NĐ!AF399))=5)*(CHOOSE({1,2,3,4},NĐ!W399,NĐ!AA399,NĐ!AE399,NĐ!AI399)))</f>
        <v>0</v>
      </c>
      <c r="F399">
        <f>SUMPRODUCT((MONTH(CHOOSE({1,2,3,4},NĐ!T399,NĐ!X399,NĐ!AB399,NĐ!AF399))=6)*(CHOOSE({1,2,3,4},NĐ!W399,NĐ!AA399,NĐ!AE399,NĐ!AI399)))</f>
        <v>0</v>
      </c>
      <c r="G399">
        <f>SUMPRODUCT((MONTH(CHOOSE({1,2,3,4},NĐ!T399,NĐ!X399,NĐ!AB399,NĐ!AF399))=7)*(CHOOSE({1,2,3,4},NĐ!W399,NĐ!AA399,NĐ!AE399,NĐ!AI399)))</f>
        <v>0</v>
      </c>
      <c r="H399">
        <f>SUMPRODUCT((MONTH(CHOOSE({1,2,3,4},NĐ!T399,NĐ!X399,NĐ!AB399,NĐ!AF399))=8)*(CHOOSE({1,2,3,4},NĐ!W399,NĐ!AA399,NĐ!AE399,NĐ!AI399)))</f>
        <v>0</v>
      </c>
      <c r="I399">
        <f>SUMPRODUCT((MONTH(CHOOSE({1,2,3,4},NĐ!T399,NĐ!X399,NĐ!AB399,NĐ!AF399))=9)*(CHOOSE({1,2,3,4},NĐ!W399,NĐ!AA399,NĐ!AE399,NĐ!AI399)))</f>
        <v>0</v>
      </c>
      <c r="J399">
        <f>SUMPRODUCT((MONTH(CHOOSE({1,2,3,4},NĐ!T399,NĐ!X399,NĐ!AB399,NĐ!AF399))=10)*(CHOOSE({1,2,3,4},NĐ!W399,NĐ!AA399,NĐ!AE399,NĐ!AI399)))</f>
        <v>0</v>
      </c>
      <c r="K399">
        <f>SUMPRODUCT((MONTH(CHOOSE({1,2,3,4},NĐ!T399,NĐ!X399,NĐ!AB399,NĐ!AF399))=11)*(CHOOSE({1,2,3,4},NĐ!W399,NĐ!AA399,NĐ!AE399,NĐ!AI399)))</f>
        <v>0</v>
      </c>
      <c r="L399">
        <f>SUMPRODUCT((MONTH(CHOOSE({1,2,3,4},NĐ!T399,NĐ!X399,NĐ!AB399,NĐ!AF399))=12)*(CHOOSE({1,2,3,4},NĐ!W399,NĐ!AA399,NĐ!AE399,NĐ!AI399)))</f>
        <v>0</v>
      </c>
    </row>
    <row r="400" spans="1:12">
      <c r="A400">
        <f>SUMPRODUCT((MONTH(CHOOSE({1,2,3,4},NĐ!T400,NĐ!X400,NĐ!AB400,NĐ!AF400))=1)*(CHOOSE({1,2,3,4},NĐ!W400,NĐ!AA400,NĐ!AE400,NĐ!AI400)))</f>
        <v>0</v>
      </c>
      <c r="B400">
        <f>SUMPRODUCT((MONTH(CHOOSE({1,2,3,4},NĐ!T400,NĐ!X400,NĐ!AB400,NĐ!AF400))=2)*(CHOOSE({1,2,3,4},NĐ!W400,NĐ!AA400,NĐ!AE400,NĐ!AI400)))</f>
        <v>0</v>
      </c>
      <c r="C400">
        <f>SUMPRODUCT((MONTH(CHOOSE({1,2,3,4},NĐ!T400,NĐ!X400,NĐ!AB400,NĐ!AF400))=3)*(CHOOSE({1,2,3,4},NĐ!W400,NĐ!AA400,NĐ!AE400,NĐ!AI400)))</f>
        <v>0</v>
      </c>
      <c r="D400">
        <f>SUMPRODUCT((MONTH(CHOOSE({1,2,3,4},NĐ!T400,NĐ!X400,NĐ!AB400,NĐ!AF400))=4)*(CHOOSE({1,2,3,4},NĐ!W400,NĐ!AA400,NĐ!AE400,NĐ!AI400)))</f>
        <v>0</v>
      </c>
      <c r="E400">
        <f>SUMPRODUCT((MONTH(CHOOSE({1,2,3,4},NĐ!T400,NĐ!X400,NĐ!AB400,NĐ!AF400))=5)*(CHOOSE({1,2,3,4},NĐ!W400,NĐ!AA400,NĐ!AE400,NĐ!AI400)))</f>
        <v>0</v>
      </c>
      <c r="F400">
        <f>SUMPRODUCT((MONTH(CHOOSE({1,2,3,4},NĐ!T400,NĐ!X400,NĐ!AB400,NĐ!AF400))=6)*(CHOOSE({1,2,3,4},NĐ!W400,NĐ!AA400,NĐ!AE400,NĐ!AI400)))</f>
        <v>0</v>
      </c>
      <c r="G400">
        <f>SUMPRODUCT((MONTH(CHOOSE({1,2,3,4},NĐ!T400,NĐ!X400,NĐ!AB400,NĐ!AF400))=7)*(CHOOSE({1,2,3,4},NĐ!W400,NĐ!AA400,NĐ!AE400,NĐ!AI400)))</f>
        <v>0</v>
      </c>
      <c r="H400">
        <f>SUMPRODUCT((MONTH(CHOOSE({1,2,3,4},NĐ!T400,NĐ!X400,NĐ!AB400,NĐ!AF400))=8)*(CHOOSE({1,2,3,4},NĐ!W400,NĐ!AA400,NĐ!AE400,NĐ!AI400)))</f>
        <v>0</v>
      </c>
      <c r="I400">
        <f>SUMPRODUCT((MONTH(CHOOSE({1,2,3,4},NĐ!T400,NĐ!X400,NĐ!AB400,NĐ!AF400))=9)*(CHOOSE({1,2,3,4},NĐ!W400,NĐ!AA400,NĐ!AE400,NĐ!AI400)))</f>
        <v>0</v>
      </c>
      <c r="J400">
        <f>SUMPRODUCT((MONTH(CHOOSE({1,2,3,4},NĐ!T400,NĐ!X400,NĐ!AB400,NĐ!AF400))=10)*(CHOOSE({1,2,3,4},NĐ!W400,NĐ!AA400,NĐ!AE400,NĐ!AI400)))</f>
        <v>0</v>
      </c>
      <c r="K400">
        <f>SUMPRODUCT((MONTH(CHOOSE({1,2,3,4},NĐ!T400,NĐ!X400,NĐ!AB400,NĐ!AF400))=11)*(CHOOSE({1,2,3,4},NĐ!W400,NĐ!AA400,NĐ!AE400,NĐ!AI400)))</f>
        <v>0</v>
      </c>
      <c r="L400">
        <f>SUMPRODUCT((MONTH(CHOOSE({1,2,3,4},NĐ!T400,NĐ!X400,NĐ!AB400,NĐ!AF400))=12)*(CHOOSE({1,2,3,4},NĐ!W400,NĐ!AA400,NĐ!AE400,NĐ!AI400)))</f>
        <v>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L400"/>
  <sheetViews>
    <sheetView workbookViewId="0">
      <selection activeCell="H11" sqref="H11"/>
    </sheetView>
  </sheetViews>
  <sheetFormatPr defaultRowHeight="13.6"/>
  <sheetData>
    <row r="1" spans="1:12">
      <c r="A1">
        <f>COUNTIF(A3:A400,"&gt;0")</f>
        <v>0</v>
      </c>
      <c r="B1">
        <f t="shared" ref="B1:L1" si="0">COUNTIF(B3:B400,"&gt;0")</f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</row>
    <row r="2" spans="1:12" s="10" customFormat="1" ht="12.9">
      <c r="A2" s="10">
        <f>SUM(A3:A444)</f>
        <v>0</v>
      </c>
      <c r="B2" s="10">
        <f t="shared" ref="B2:L2" si="1">SUM(B3:B444)</f>
        <v>0</v>
      </c>
      <c r="C2" s="10">
        <f t="shared" si="1"/>
        <v>0</v>
      </c>
      <c r="D2" s="10">
        <f t="shared" si="1"/>
        <v>0</v>
      </c>
      <c r="E2" s="10">
        <f t="shared" si="1"/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</row>
    <row r="3" spans="1:12" ht="15.8" customHeight="1">
      <c r="A3">
        <f>SUMPRODUCT((MONTH(CHOOSE({1,2,3,4},TTSSKĐ!T3,TTSSKĐ!X3,TTSSKĐ!AB3,TTSSKĐ!AF3))=1)*(CHOOSE({1,2,3,4},TTSSKĐ!W3,TTSSKĐ!AA3,TTSSKĐ!AE3,TTSSKĐ!AI3)))</f>
        <v>0</v>
      </c>
      <c r="B3">
        <f>SUMPRODUCT((MONTH(CHOOSE({1,2,3,4},TTSSKĐ!T3,TTSSKĐ!X3,TTSSKĐ!AB3,TTSSKĐ!AF3))=2)*(CHOOSE({1,2,3,4},TTSSKĐ!W3,TTSSKĐ!AA3,TTSSKĐ!AE3,TTSSKĐ!AI3)))</f>
        <v>0</v>
      </c>
      <c r="C3">
        <f>SUMPRODUCT((MONTH(CHOOSE({1,2,3,4},TTSSKĐ!T3,TTSSKĐ!X3,TTSSKĐ!AB3,TTSSKĐ!AF3))=3)*(CHOOSE({1,2,3,4},TTSSKĐ!W3,TTSSKĐ!AA3,TTSSKĐ!AE3,TTSSKĐ!AI3)))</f>
        <v>0</v>
      </c>
      <c r="D3">
        <f>SUMPRODUCT((MONTH(CHOOSE({1,2,3,4},TTSSKĐ!T3,TTSSKĐ!X3,TTSSKĐ!AB3,TTSSKĐ!AF3))=4)*(CHOOSE({1,2,3,4},TTSSKĐ!W3,TTSSKĐ!AA3,TTSSKĐ!AE3,TTSSKĐ!AI3)))</f>
        <v>0</v>
      </c>
      <c r="E3">
        <f>SUMPRODUCT((MONTH(CHOOSE({1,2,3,4},TTSSKĐ!T3,TTSSKĐ!X3,TTSSKĐ!AB3,TTSSKĐ!AF3))=5)*(CHOOSE({1,2,3,4},TTSSKĐ!W3,TTSSKĐ!AA3,TTSSKĐ!AE3,TTSSKĐ!AI3)))</f>
        <v>0</v>
      </c>
      <c r="F3">
        <f>SUMPRODUCT((MONTH(CHOOSE({1,2,3,4},TTSSKĐ!T3,TTSSKĐ!X3,TTSSKĐ!AB3,TTSSKĐ!AF3))=6)*(CHOOSE({1,2,3,4},TTSSKĐ!W3,TTSSKĐ!AA3,TTSSKĐ!AE3,TTSSKĐ!AI3)))</f>
        <v>0</v>
      </c>
      <c r="G3">
        <f>SUMPRODUCT((MONTH(CHOOSE({1,2,3,4},TTSSKĐ!T3,TTSSKĐ!X3,TTSSKĐ!AB3,TTSSKĐ!AF3))=7)*(CHOOSE({1,2,3,4},TTSSKĐ!W3,TTSSKĐ!AA3,TTSSKĐ!AE3,TTSSKĐ!AI3)))</f>
        <v>0</v>
      </c>
      <c r="H3">
        <f>SUMPRODUCT((MONTH(CHOOSE({1,2,3,4},TTSSKĐ!T3,TTSSKĐ!X3,TTSSKĐ!AB3,TTSSKĐ!AF3))=8)*(CHOOSE({1,2,3,4},TTSSKĐ!W3,TTSSKĐ!AA3,TTSSKĐ!AE3,TTSSKĐ!AI3)))</f>
        <v>0</v>
      </c>
      <c r="I3">
        <f>SUMPRODUCT((MONTH(CHOOSE({1,2,3,4},TTSSKĐ!T3,TTSSKĐ!X3,TTSSKĐ!AB3,TTSSKĐ!AF3))=9)*(CHOOSE({1,2,3,4},TTSSKĐ!W3,TTSSKĐ!AA3,TTSSKĐ!AE3,TTSSKĐ!AI3)))</f>
        <v>0</v>
      </c>
      <c r="J3">
        <f>SUMPRODUCT((MONTH(CHOOSE({1,2,3,4},TTSSKĐ!T3,TTSSKĐ!X3,TTSSKĐ!AB3,TTSSKĐ!AF3))=10)*(CHOOSE({1,2,3,4},TTSSKĐ!W3,TTSSKĐ!AA3,TTSSKĐ!AE3,TTSSKĐ!AI3)))</f>
        <v>0</v>
      </c>
      <c r="K3">
        <f>SUMPRODUCT((MONTH(CHOOSE({1,2,3,4},TTSSKĐ!T3,TTSSKĐ!X3,TTSSKĐ!AB3,TTSSKĐ!AF3))=11)*(CHOOSE({1,2,3,4},TTSSKĐ!W3,TTSSKĐ!AA3,TTSSKĐ!AE3,TTSSKĐ!AI3)))</f>
        <v>0</v>
      </c>
      <c r="L3">
        <f>SUMPRODUCT((MONTH(CHOOSE({1,2,3,4},TTSSKĐ!T3,TTSSKĐ!X3,TTSSKĐ!AB3,TTSSKĐ!AF3))=12)*(CHOOSE({1,2,3,4},TTSSKĐ!W3,TTSSKĐ!AA3,TTSSKĐ!AE3,TTSSKĐ!AI3)))</f>
        <v>0</v>
      </c>
    </row>
    <row r="4" spans="1:12">
      <c r="A4">
        <f>SUMPRODUCT((MONTH(CHOOSE({1,2,3,4},TTSSKĐ!T4,TTSSKĐ!X4,TTSSKĐ!AB4,TTSSKĐ!AF4))=1)*(CHOOSE({1,2,3,4},TTSSKĐ!W4,TTSSKĐ!AA4,TTSSKĐ!AE4,TTSSKĐ!AI4)))</f>
        <v>0</v>
      </c>
      <c r="B4">
        <f>SUMPRODUCT((MONTH(CHOOSE({1,2,3,4},TTSSKĐ!T4,TTSSKĐ!X4,TTSSKĐ!AB4,TTSSKĐ!AF4))=2)*(CHOOSE({1,2,3,4},TTSSKĐ!W4,TTSSKĐ!AA4,TTSSKĐ!AE4,TTSSKĐ!AI4)))</f>
        <v>0</v>
      </c>
      <c r="C4">
        <f>SUMPRODUCT((MONTH(CHOOSE({1,2,3,4},TTSSKĐ!T4,TTSSKĐ!X4,TTSSKĐ!AB4,TTSSKĐ!AF4))=3)*(CHOOSE({1,2,3,4},TTSSKĐ!W4,TTSSKĐ!AA4,TTSSKĐ!AE4,TTSSKĐ!AI4)))</f>
        <v>0</v>
      </c>
      <c r="D4">
        <f>SUMPRODUCT((MONTH(CHOOSE({1,2,3,4},TTSSKĐ!T4,TTSSKĐ!X4,TTSSKĐ!AB4,TTSSKĐ!AF4))=4)*(CHOOSE({1,2,3,4},TTSSKĐ!W4,TTSSKĐ!AA4,TTSSKĐ!AE4,TTSSKĐ!AI4)))</f>
        <v>0</v>
      </c>
      <c r="E4">
        <f>SUMPRODUCT((MONTH(CHOOSE({1,2,3,4},TTSSKĐ!T4,TTSSKĐ!X4,TTSSKĐ!AB4,TTSSKĐ!AF4))=5)*(CHOOSE({1,2,3,4},TTSSKĐ!W4,TTSSKĐ!AA4,TTSSKĐ!AE4,TTSSKĐ!AI4)))</f>
        <v>0</v>
      </c>
      <c r="F4">
        <f>SUMPRODUCT((MONTH(CHOOSE({1,2,3,4},TTSSKĐ!T4,TTSSKĐ!X4,TTSSKĐ!AB4,TTSSKĐ!AF4))=6)*(CHOOSE({1,2,3,4},TTSSKĐ!W4,TTSSKĐ!AA4,TTSSKĐ!AE4,TTSSKĐ!AI4)))</f>
        <v>0</v>
      </c>
      <c r="G4">
        <f>SUMPRODUCT((MONTH(CHOOSE({1,2,3,4},TTSSKĐ!T4,TTSSKĐ!X4,TTSSKĐ!AB4,TTSSKĐ!AF4))=7)*(CHOOSE({1,2,3,4},TTSSKĐ!W4,TTSSKĐ!AA4,TTSSKĐ!AE4,TTSSKĐ!AI4)))</f>
        <v>0</v>
      </c>
      <c r="H4">
        <f>SUMPRODUCT((MONTH(CHOOSE({1,2,3,4},TTSSKĐ!T4,TTSSKĐ!X4,TTSSKĐ!AB4,TTSSKĐ!AF4))=8)*(CHOOSE({1,2,3,4},TTSSKĐ!W4,TTSSKĐ!AA4,TTSSKĐ!AE4,TTSSKĐ!AI4)))</f>
        <v>0</v>
      </c>
      <c r="I4">
        <f>SUMPRODUCT((MONTH(CHOOSE({1,2,3,4},TTSSKĐ!T4,TTSSKĐ!X4,TTSSKĐ!AB4,TTSSKĐ!AF4))=9)*(CHOOSE({1,2,3,4},TTSSKĐ!W4,TTSSKĐ!AA4,TTSSKĐ!AE4,TTSSKĐ!AI4)))</f>
        <v>0</v>
      </c>
      <c r="J4">
        <f>SUMPRODUCT((MONTH(CHOOSE({1,2,3,4},TTSSKĐ!T4,TTSSKĐ!X4,TTSSKĐ!AB4,TTSSKĐ!AF4))=10)*(CHOOSE({1,2,3,4},TTSSKĐ!W4,TTSSKĐ!AA4,TTSSKĐ!AE4,TTSSKĐ!AI4)))</f>
        <v>0</v>
      </c>
      <c r="K4">
        <f>SUMPRODUCT((MONTH(CHOOSE({1,2,3,4},TTSSKĐ!T4,TTSSKĐ!X4,TTSSKĐ!AB4,TTSSKĐ!AF4))=11)*(CHOOSE({1,2,3,4},TTSSKĐ!W4,TTSSKĐ!AA4,TTSSKĐ!AE4,TTSSKĐ!AI4)))</f>
        <v>0</v>
      </c>
      <c r="L4">
        <f>SUMPRODUCT((MONTH(CHOOSE({1,2,3,4},TTSSKĐ!T4,TTSSKĐ!X4,TTSSKĐ!AB4,TTSSKĐ!AF4))=12)*(CHOOSE({1,2,3,4},TTSSKĐ!W4,TTSSKĐ!AA4,TTSSKĐ!AE4,TTSSKĐ!AI4)))</f>
        <v>0</v>
      </c>
    </row>
    <row r="5" spans="1:12">
      <c r="A5">
        <f>SUMPRODUCT((MONTH(CHOOSE({1,2,3,4},TTSSKĐ!T5,TTSSKĐ!X5,TTSSKĐ!AB5,TTSSKĐ!AF5))=1)*(CHOOSE({1,2,3,4},TTSSKĐ!W5,TTSSKĐ!AA5,TTSSKĐ!AE5,TTSSKĐ!AI5)))</f>
        <v>0</v>
      </c>
      <c r="B5">
        <f>SUMPRODUCT((MONTH(CHOOSE({1,2,3,4},TTSSKĐ!T5,TTSSKĐ!X5,TTSSKĐ!AB5,TTSSKĐ!AF5))=2)*(CHOOSE({1,2,3,4},TTSSKĐ!W5,TTSSKĐ!AA5,TTSSKĐ!AE5,TTSSKĐ!AI5)))</f>
        <v>0</v>
      </c>
      <c r="C5">
        <f>SUMPRODUCT((MONTH(CHOOSE({1,2,3,4},TTSSKĐ!T5,TTSSKĐ!X5,TTSSKĐ!AB5,TTSSKĐ!AF5))=3)*(CHOOSE({1,2,3,4},TTSSKĐ!W5,TTSSKĐ!AA5,TTSSKĐ!AE5,TTSSKĐ!AI5)))</f>
        <v>0</v>
      </c>
      <c r="D5">
        <f>SUMPRODUCT((MONTH(CHOOSE({1,2,3,4},TTSSKĐ!T5,TTSSKĐ!X5,TTSSKĐ!AB5,TTSSKĐ!AF5))=4)*(CHOOSE({1,2,3,4},TTSSKĐ!W5,TTSSKĐ!AA5,TTSSKĐ!AE5,TTSSKĐ!AI5)))</f>
        <v>0</v>
      </c>
      <c r="E5">
        <f>SUMPRODUCT((MONTH(CHOOSE({1,2,3,4},TTSSKĐ!T5,TTSSKĐ!X5,TTSSKĐ!AB5,TTSSKĐ!AF5))=5)*(CHOOSE({1,2,3,4},TTSSKĐ!W5,TTSSKĐ!AA5,TTSSKĐ!AE5,TTSSKĐ!AI5)))</f>
        <v>0</v>
      </c>
      <c r="F5">
        <f>SUMPRODUCT((MONTH(CHOOSE({1,2,3,4},TTSSKĐ!T5,TTSSKĐ!X5,TTSSKĐ!AB5,TTSSKĐ!AF5))=6)*(CHOOSE({1,2,3,4},TTSSKĐ!W5,TTSSKĐ!AA5,TTSSKĐ!AE5,TTSSKĐ!AI5)))</f>
        <v>0</v>
      </c>
      <c r="G5">
        <f>SUMPRODUCT((MONTH(CHOOSE({1,2,3,4},TTSSKĐ!T5,TTSSKĐ!X5,TTSSKĐ!AB5,TTSSKĐ!AF5))=7)*(CHOOSE({1,2,3,4},TTSSKĐ!W5,TTSSKĐ!AA5,TTSSKĐ!AE5,TTSSKĐ!AI5)))</f>
        <v>0</v>
      </c>
      <c r="H5">
        <f>SUMPRODUCT((MONTH(CHOOSE({1,2,3,4},TTSSKĐ!T5,TTSSKĐ!X5,TTSSKĐ!AB5,TTSSKĐ!AF5))=8)*(CHOOSE({1,2,3,4},TTSSKĐ!W5,TTSSKĐ!AA5,TTSSKĐ!AE5,TTSSKĐ!AI5)))</f>
        <v>0</v>
      </c>
      <c r="I5">
        <f>SUMPRODUCT((MONTH(CHOOSE({1,2,3,4},TTSSKĐ!T5,TTSSKĐ!X5,TTSSKĐ!AB5,TTSSKĐ!AF5))=9)*(CHOOSE({1,2,3,4},TTSSKĐ!W5,TTSSKĐ!AA5,TTSSKĐ!AE5,TTSSKĐ!AI5)))</f>
        <v>0</v>
      </c>
      <c r="J5">
        <f>SUMPRODUCT((MONTH(CHOOSE({1,2,3,4},TTSSKĐ!T5,TTSSKĐ!X5,TTSSKĐ!AB5,TTSSKĐ!AF5))=10)*(CHOOSE({1,2,3,4},TTSSKĐ!W5,TTSSKĐ!AA5,TTSSKĐ!AE5,TTSSKĐ!AI5)))</f>
        <v>0</v>
      </c>
      <c r="K5">
        <f>SUMPRODUCT((MONTH(CHOOSE({1,2,3,4},TTSSKĐ!T5,TTSSKĐ!X5,TTSSKĐ!AB5,TTSSKĐ!AF5))=11)*(CHOOSE({1,2,3,4},TTSSKĐ!W5,TTSSKĐ!AA5,TTSSKĐ!AE5,TTSSKĐ!AI5)))</f>
        <v>0</v>
      </c>
      <c r="L5">
        <f>SUMPRODUCT((MONTH(CHOOSE({1,2,3,4},TTSSKĐ!T5,TTSSKĐ!X5,TTSSKĐ!AB5,TTSSKĐ!AF5))=12)*(CHOOSE({1,2,3,4},TTSSKĐ!W5,TTSSKĐ!AA5,TTSSKĐ!AE5,TTSSKĐ!AI5)))</f>
        <v>0</v>
      </c>
    </row>
    <row r="6" spans="1:12">
      <c r="A6">
        <f>SUMPRODUCT((MONTH(CHOOSE({1,2,3,4},TTSSKĐ!T6,TTSSKĐ!X6,TTSSKĐ!AB6,TTSSKĐ!AF6))=1)*(CHOOSE({1,2,3,4},TTSSKĐ!W6,TTSSKĐ!AA6,TTSSKĐ!AE6,TTSSKĐ!AI6)))</f>
        <v>0</v>
      </c>
      <c r="B6">
        <f>SUMPRODUCT((MONTH(CHOOSE({1,2,3,4},TTSSKĐ!T6,TTSSKĐ!X6,TTSSKĐ!AB6,TTSSKĐ!AF6))=2)*(CHOOSE({1,2,3,4},TTSSKĐ!W6,TTSSKĐ!AA6,TTSSKĐ!AE6,TTSSKĐ!AI6)))</f>
        <v>0</v>
      </c>
      <c r="C6">
        <f>SUMPRODUCT((MONTH(CHOOSE({1,2,3,4},TTSSKĐ!T6,TTSSKĐ!X6,TTSSKĐ!AB6,TTSSKĐ!AF6))=3)*(CHOOSE({1,2,3,4},TTSSKĐ!W6,TTSSKĐ!AA6,TTSSKĐ!AE6,TTSSKĐ!AI6)))</f>
        <v>0</v>
      </c>
      <c r="D6">
        <f>SUMPRODUCT((MONTH(CHOOSE({1,2,3,4},TTSSKĐ!T6,TTSSKĐ!X6,TTSSKĐ!AB6,TTSSKĐ!AF6))=4)*(CHOOSE({1,2,3,4},TTSSKĐ!W6,TTSSKĐ!AA6,TTSSKĐ!AE6,TTSSKĐ!AI6)))</f>
        <v>0</v>
      </c>
      <c r="E6">
        <f>SUMPRODUCT((MONTH(CHOOSE({1,2,3,4},TTSSKĐ!T6,TTSSKĐ!X6,TTSSKĐ!AB6,TTSSKĐ!AF6))=5)*(CHOOSE({1,2,3,4},TTSSKĐ!W6,TTSSKĐ!AA6,TTSSKĐ!AE6,TTSSKĐ!AI6)))</f>
        <v>0</v>
      </c>
      <c r="F6">
        <f>SUMPRODUCT((MONTH(CHOOSE({1,2,3,4},TTSSKĐ!T6,TTSSKĐ!X6,TTSSKĐ!AB6,TTSSKĐ!AF6))=6)*(CHOOSE({1,2,3,4},TTSSKĐ!W6,TTSSKĐ!AA6,TTSSKĐ!AE6,TTSSKĐ!AI6)))</f>
        <v>0</v>
      </c>
      <c r="G6">
        <f>SUMPRODUCT((MONTH(CHOOSE({1,2,3,4},TTSSKĐ!T6,TTSSKĐ!X6,TTSSKĐ!AB6,TTSSKĐ!AF6))=7)*(CHOOSE({1,2,3,4},TTSSKĐ!W6,TTSSKĐ!AA6,TTSSKĐ!AE6,TTSSKĐ!AI6)))</f>
        <v>0</v>
      </c>
      <c r="H6">
        <f>SUMPRODUCT((MONTH(CHOOSE({1,2,3,4},TTSSKĐ!T6,TTSSKĐ!X6,TTSSKĐ!AB6,TTSSKĐ!AF6))=8)*(CHOOSE({1,2,3,4},TTSSKĐ!W6,TTSSKĐ!AA6,TTSSKĐ!AE6,TTSSKĐ!AI6)))</f>
        <v>0</v>
      </c>
      <c r="I6">
        <f>SUMPRODUCT((MONTH(CHOOSE({1,2,3,4},TTSSKĐ!T6,TTSSKĐ!X6,TTSSKĐ!AB6,TTSSKĐ!AF6))=9)*(CHOOSE({1,2,3,4},TTSSKĐ!W6,TTSSKĐ!AA6,TTSSKĐ!AE6,TTSSKĐ!AI6)))</f>
        <v>0</v>
      </c>
      <c r="J6">
        <f>SUMPRODUCT((MONTH(CHOOSE({1,2,3,4},TTSSKĐ!T6,TTSSKĐ!X6,TTSSKĐ!AB6,TTSSKĐ!AF6))=10)*(CHOOSE({1,2,3,4},TTSSKĐ!W6,TTSSKĐ!AA6,TTSSKĐ!AE6,TTSSKĐ!AI6)))</f>
        <v>0</v>
      </c>
      <c r="K6">
        <f>SUMPRODUCT((MONTH(CHOOSE({1,2,3,4},TTSSKĐ!T6,TTSSKĐ!X6,TTSSKĐ!AB6,TTSSKĐ!AF6))=11)*(CHOOSE({1,2,3,4},TTSSKĐ!W6,TTSSKĐ!AA6,TTSSKĐ!AE6,TTSSKĐ!AI6)))</f>
        <v>0</v>
      </c>
      <c r="L6">
        <f>SUMPRODUCT((MONTH(CHOOSE({1,2,3,4},TTSSKĐ!T6,TTSSKĐ!X6,TTSSKĐ!AB6,TTSSKĐ!AF6))=12)*(CHOOSE({1,2,3,4},TTSSKĐ!W6,TTSSKĐ!AA6,TTSSKĐ!AE6,TTSSKĐ!AI6)))</f>
        <v>0</v>
      </c>
    </row>
    <row r="7" spans="1:12">
      <c r="A7">
        <f>SUMPRODUCT((MONTH(CHOOSE({1,2,3,4},TTSSKĐ!T7,TTSSKĐ!X7,TTSSKĐ!AB7,TTSSKĐ!AF7))=1)*(CHOOSE({1,2,3,4},TTSSKĐ!W7,TTSSKĐ!AA7,TTSSKĐ!AE7,TTSSKĐ!AI7)))</f>
        <v>0</v>
      </c>
      <c r="B7">
        <f>SUMPRODUCT((MONTH(CHOOSE({1,2,3,4},TTSSKĐ!T7,TTSSKĐ!X7,TTSSKĐ!AB7,TTSSKĐ!AF7))=2)*(CHOOSE({1,2,3,4},TTSSKĐ!W7,TTSSKĐ!AA7,TTSSKĐ!AE7,TTSSKĐ!AI7)))</f>
        <v>0</v>
      </c>
      <c r="C7">
        <f>SUMPRODUCT((MONTH(CHOOSE({1,2,3,4},TTSSKĐ!T7,TTSSKĐ!X7,TTSSKĐ!AB7,TTSSKĐ!AF7))=3)*(CHOOSE({1,2,3,4},TTSSKĐ!W7,TTSSKĐ!AA7,TTSSKĐ!AE7,TTSSKĐ!AI7)))</f>
        <v>0</v>
      </c>
      <c r="D7">
        <f>SUMPRODUCT((MONTH(CHOOSE({1,2,3,4},TTSSKĐ!T7,TTSSKĐ!X7,TTSSKĐ!AB7,TTSSKĐ!AF7))=4)*(CHOOSE({1,2,3,4},TTSSKĐ!W7,TTSSKĐ!AA7,TTSSKĐ!AE7,TTSSKĐ!AI7)))</f>
        <v>0</v>
      </c>
      <c r="E7">
        <f>SUMPRODUCT((MONTH(CHOOSE({1,2,3,4},TTSSKĐ!T7,TTSSKĐ!X7,TTSSKĐ!AB7,TTSSKĐ!AF7))=5)*(CHOOSE({1,2,3,4},TTSSKĐ!W7,TTSSKĐ!AA7,TTSSKĐ!AE7,TTSSKĐ!AI7)))</f>
        <v>0</v>
      </c>
      <c r="F7">
        <f>SUMPRODUCT((MONTH(CHOOSE({1,2,3,4},TTSSKĐ!T7,TTSSKĐ!X7,TTSSKĐ!AB7,TTSSKĐ!AF7))=6)*(CHOOSE({1,2,3,4},TTSSKĐ!W7,TTSSKĐ!AA7,TTSSKĐ!AE7,TTSSKĐ!AI7)))</f>
        <v>0</v>
      </c>
      <c r="G7">
        <f>SUMPRODUCT((MONTH(CHOOSE({1,2,3,4},TTSSKĐ!T7,TTSSKĐ!X7,TTSSKĐ!AB7,TTSSKĐ!AF7))=7)*(CHOOSE({1,2,3,4},TTSSKĐ!W7,TTSSKĐ!AA7,TTSSKĐ!AE7,TTSSKĐ!AI7)))</f>
        <v>0</v>
      </c>
      <c r="H7">
        <f>SUMPRODUCT((MONTH(CHOOSE({1,2,3,4},TTSSKĐ!T7,TTSSKĐ!X7,TTSSKĐ!AB7,TTSSKĐ!AF7))=8)*(CHOOSE({1,2,3,4},TTSSKĐ!W7,TTSSKĐ!AA7,TTSSKĐ!AE7,TTSSKĐ!AI7)))</f>
        <v>0</v>
      </c>
      <c r="I7">
        <f>SUMPRODUCT((MONTH(CHOOSE({1,2,3,4},TTSSKĐ!T7,TTSSKĐ!X7,TTSSKĐ!AB7,TTSSKĐ!AF7))=9)*(CHOOSE({1,2,3,4},TTSSKĐ!W7,TTSSKĐ!AA7,TTSSKĐ!AE7,TTSSKĐ!AI7)))</f>
        <v>0</v>
      </c>
      <c r="J7">
        <f>SUMPRODUCT((MONTH(CHOOSE({1,2,3,4},TTSSKĐ!T7,TTSSKĐ!X7,TTSSKĐ!AB7,TTSSKĐ!AF7))=10)*(CHOOSE({1,2,3,4},TTSSKĐ!W7,TTSSKĐ!AA7,TTSSKĐ!AE7,TTSSKĐ!AI7)))</f>
        <v>0</v>
      </c>
      <c r="K7">
        <f>SUMPRODUCT((MONTH(CHOOSE({1,2,3,4},TTSSKĐ!T7,TTSSKĐ!X7,TTSSKĐ!AB7,TTSSKĐ!AF7))=11)*(CHOOSE({1,2,3,4},TTSSKĐ!W7,TTSSKĐ!AA7,TTSSKĐ!AE7,TTSSKĐ!AI7)))</f>
        <v>0</v>
      </c>
      <c r="L7">
        <f>SUMPRODUCT((MONTH(CHOOSE({1,2,3,4},TTSSKĐ!T7,TTSSKĐ!X7,TTSSKĐ!AB7,TTSSKĐ!AF7))=12)*(CHOOSE({1,2,3,4},TTSSKĐ!W7,TTSSKĐ!AA7,TTSSKĐ!AE7,TTSSKĐ!AI7)))</f>
        <v>0</v>
      </c>
    </row>
    <row r="8" spans="1:12">
      <c r="A8">
        <f>SUMPRODUCT((MONTH(CHOOSE({1,2,3,4},TTSSKĐ!T8,TTSSKĐ!X8,TTSSKĐ!AB8,TTSSKĐ!AF8))=1)*(CHOOSE({1,2,3,4},TTSSKĐ!W8,TTSSKĐ!AA8,TTSSKĐ!AE8,TTSSKĐ!AI8)))</f>
        <v>0</v>
      </c>
      <c r="B8">
        <f>SUMPRODUCT((MONTH(CHOOSE({1,2,3,4},TTSSKĐ!T8,TTSSKĐ!X8,TTSSKĐ!AB8,TTSSKĐ!AF8))=2)*(CHOOSE({1,2,3,4},TTSSKĐ!W8,TTSSKĐ!AA8,TTSSKĐ!AE8,TTSSKĐ!AI8)))</f>
        <v>0</v>
      </c>
      <c r="C8">
        <f>SUMPRODUCT((MONTH(CHOOSE({1,2,3,4},TTSSKĐ!T8,TTSSKĐ!X8,TTSSKĐ!AB8,TTSSKĐ!AF8))=3)*(CHOOSE({1,2,3,4},TTSSKĐ!W8,TTSSKĐ!AA8,TTSSKĐ!AE8,TTSSKĐ!AI8)))</f>
        <v>0</v>
      </c>
      <c r="D8">
        <f>SUMPRODUCT((MONTH(CHOOSE({1,2,3,4},TTSSKĐ!T8,TTSSKĐ!X8,TTSSKĐ!AB8,TTSSKĐ!AF8))=4)*(CHOOSE({1,2,3,4},TTSSKĐ!W8,TTSSKĐ!AA8,TTSSKĐ!AE8,TTSSKĐ!AI8)))</f>
        <v>0</v>
      </c>
      <c r="E8">
        <f>SUMPRODUCT((MONTH(CHOOSE({1,2,3,4},TTSSKĐ!T8,TTSSKĐ!X8,TTSSKĐ!AB8,TTSSKĐ!AF8))=5)*(CHOOSE({1,2,3,4},TTSSKĐ!W8,TTSSKĐ!AA8,TTSSKĐ!AE8,TTSSKĐ!AI8)))</f>
        <v>0</v>
      </c>
      <c r="F8">
        <f>SUMPRODUCT((MONTH(CHOOSE({1,2,3,4},TTSSKĐ!T8,TTSSKĐ!X8,TTSSKĐ!AB8,TTSSKĐ!AF8))=6)*(CHOOSE({1,2,3,4},TTSSKĐ!W8,TTSSKĐ!AA8,TTSSKĐ!AE8,TTSSKĐ!AI8)))</f>
        <v>0</v>
      </c>
      <c r="G8">
        <f>SUMPRODUCT((MONTH(CHOOSE({1,2,3,4},TTSSKĐ!T8,TTSSKĐ!X8,TTSSKĐ!AB8,TTSSKĐ!AF8))=7)*(CHOOSE({1,2,3,4},TTSSKĐ!W8,TTSSKĐ!AA8,TTSSKĐ!AE8,TTSSKĐ!AI8)))</f>
        <v>0</v>
      </c>
      <c r="H8">
        <f>SUMPRODUCT((MONTH(CHOOSE({1,2,3,4},TTSSKĐ!T8,TTSSKĐ!X8,TTSSKĐ!AB8,TTSSKĐ!AF8))=8)*(CHOOSE({1,2,3,4},TTSSKĐ!W8,TTSSKĐ!AA8,TTSSKĐ!AE8,TTSSKĐ!AI8)))</f>
        <v>0</v>
      </c>
      <c r="I8">
        <f>SUMPRODUCT((MONTH(CHOOSE({1,2,3,4},TTSSKĐ!T8,TTSSKĐ!X8,TTSSKĐ!AB8,TTSSKĐ!AF8))=9)*(CHOOSE({1,2,3,4},TTSSKĐ!W8,TTSSKĐ!AA8,TTSSKĐ!AE8,TTSSKĐ!AI8)))</f>
        <v>0</v>
      </c>
      <c r="J8">
        <f>SUMPRODUCT((MONTH(CHOOSE({1,2,3,4},TTSSKĐ!T8,TTSSKĐ!X8,TTSSKĐ!AB8,TTSSKĐ!AF8))=10)*(CHOOSE({1,2,3,4},TTSSKĐ!W8,TTSSKĐ!AA8,TTSSKĐ!AE8,TTSSKĐ!AI8)))</f>
        <v>0</v>
      </c>
      <c r="K8">
        <f>SUMPRODUCT((MONTH(CHOOSE({1,2,3,4},TTSSKĐ!T8,TTSSKĐ!X8,TTSSKĐ!AB8,TTSSKĐ!AF8))=11)*(CHOOSE({1,2,3,4},TTSSKĐ!W8,TTSSKĐ!AA8,TTSSKĐ!AE8,TTSSKĐ!AI8)))</f>
        <v>0</v>
      </c>
      <c r="L8">
        <f>SUMPRODUCT((MONTH(CHOOSE({1,2,3,4},TTSSKĐ!T8,TTSSKĐ!X8,TTSSKĐ!AB8,TTSSKĐ!AF8))=12)*(CHOOSE({1,2,3,4},TTSSKĐ!W8,TTSSKĐ!AA8,TTSSKĐ!AE8,TTSSKĐ!AI8)))</f>
        <v>0</v>
      </c>
    </row>
    <row r="9" spans="1:12">
      <c r="A9">
        <f>SUMPRODUCT((MONTH(CHOOSE({1,2,3,4},TTSSKĐ!T9,TTSSKĐ!X9,TTSSKĐ!AB9,TTSSKĐ!AF9))=1)*(CHOOSE({1,2,3,4},TTSSKĐ!W9,TTSSKĐ!AA9,TTSSKĐ!AE9,TTSSKĐ!AI9)))</f>
        <v>0</v>
      </c>
      <c r="B9">
        <f>SUMPRODUCT((MONTH(CHOOSE({1,2,3,4},TTSSKĐ!T9,TTSSKĐ!X9,TTSSKĐ!AB9,TTSSKĐ!AF9))=2)*(CHOOSE({1,2,3,4},TTSSKĐ!W9,TTSSKĐ!AA9,TTSSKĐ!AE9,TTSSKĐ!AI9)))</f>
        <v>0</v>
      </c>
      <c r="C9">
        <f>SUMPRODUCT((MONTH(CHOOSE({1,2,3,4},TTSSKĐ!T9,TTSSKĐ!X9,TTSSKĐ!AB9,TTSSKĐ!AF9))=3)*(CHOOSE({1,2,3,4},TTSSKĐ!W9,TTSSKĐ!AA9,TTSSKĐ!AE9,TTSSKĐ!AI9)))</f>
        <v>0</v>
      </c>
      <c r="D9">
        <f>SUMPRODUCT((MONTH(CHOOSE({1,2,3,4},TTSSKĐ!T9,TTSSKĐ!X9,TTSSKĐ!AB9,TTSSKĐ!AF9))=4)*(CHOOSE({1,2,3,4},TTSSKĐ!W9,TTSSKĐ!AA9,TTSSKĐ!AE9,TTSSKĐ!AI9)))</f>
        <v>0</v>
      </c>
      <c r="E9">
        <f>SUMPRODUCT((MONTH(CHOOSE({1,2,3,4},TTSSKĐ!T9,TTSSKĐ!X9,TTSSKĐ!AB9,TTSSKĐ!AF9))=5)*(CHOOSE({1,2,3,4},TTSSKĐ!W9,TTSSKĐ!AA9,TTSSKĐ!AE9,TTSSKĐ!AI9)))</f>
        <v>0</v>
      </c>
      <c r="F9">
        <f>SUMPRODUCT((MONTH(CHOOSE({1,2,3,4},TTSSKĐ!T9,TTSSKĐ!X9,TTSSKĐ!AB9,TTSSKĐ!AF9))=6)*(CHOOSE({1,2,3,4},TTSSKĐ!W9,TTSSKĐ!AA9,TTSSKĐ!AE9,TTSSKĐ!AI9)))</f>
        <v>0</v>
      </c>
      <c r="G9">
        <f>SUMPRODUCT((MONTH(CHOOSE({1,2,3,4},TTSSKĐ!T9,TTSSKĐ!X9,TTSSKĐ!AB9,TTSSKĐ!AF9))=7)*(CHOOSE({1,2,3,4},TTSSKĐ!W9,TTSSKĐ!AA9,TTSSKĐ!AE9,TTSSKĐ!AI9)))</f>
        <v>0</v>
      </c>
      <c r="H9">
        <f>SUMPRODUCT((MONTH(CHOOSE({1,2,3,4},TTSSKĐ!T9,TTSSKĐ!X9,TTSSKĐ!AB9,TTSSKĐ!AF9))=8)*(CHOOSE({1,2,3,4},TTSSKĐ!W9,TTSSKĐ!AA9,TTSSKĐ!AE9,TTSSKĐ!AI9)))</f>
        <v>0</v>
      </c>
      <c r="I9">
        <f>SUMPRODUCT((MONTH(CHOOSE({1,2,3,4},TTSSKĐ!T9,TTSSKĐ!X9,TTSSKĐ!AB9,TTSSKĐ!AF9))=9)*(CHOOSE({1,2,3,4},TTSSKĐ!W9,TTSSKĐ!AA9,TTSSKĐ!AE9,TTSSKĐ!AI9)))</f>
        <v>0</v>
      </c>
      <c r="J9">
        <f>SUMPRODUCT((MONTH(CHOOSE({1,2,3,4},TTSSKĐ!T9,TTSSKĐ!X9,TTSSKĐ!AB9,TTSSKĐ!AF9))=10)*(CHOOSE({1,2,3,4},TTSSKĐ!W9,TTSSKĐ!AA9,TTSSKĐ!AE9,TTSSKĐ!AI9)))</f>
        <v>0</v>
      </c>
      <c r="K9">
        <f>SUMPRODUCT((MONTH(CHOOSE({1,2,3,4},TTSSKĐ!T9,TTSSKĐ!X9,TTSSKĐ!AB9,TTSSKĐ!AF9))=11)*(CHOOSE({1,2,3,4},TTSSKĐ!W9,TTSSKĐ!AA9,TTSSKĐ!AE9,TTSSKĐ!AI9)))</f>
        <v>0</v>
      </c>
      <c r="L9">
        <f>SUMPRODUCT((MONTH(CHOOSE({1,2,3,4},TTSSKĐ!T9,TTSSKĐ!X9,TTSSKĐ!AB9,TTSSKĐ!AF9))=12)*(CHOOSE({1,2,3,4},TTSSKĐ!W9,TTSSKĐ!AA9,TTSSKĐ!AE9,TTSSKĐ!AI9)))</f>
        <v>0</v>
      </c>
    </row>
    <row r="10" spans="1:12">
      <c r="A10">
        <f>SUMPRODUCT((MONTH(CHOOSE({1,2,3,4},TTSSKĐ!T10,TTSSKĐ!X10,TTSSKĐ!AB10,TTSSKĐ!AF10))=1)*(CHOOSE({1,2,3,4},TTSSKĐ!W10,TTSSKĐ!AA10,TTSSKĐ!AE10,TTSSKĐ!AI10)))</f>
        <v>0</v>
      </c>
      <c r="B10">
        <f>SUMPRODUCT((MONTH(CHOOSE({1,2,3,4},TTSSKĐ!T10,TTSSKĐ!X10,TTSSKĐ!AB10,TTSSKĐ!AF10))=2)*(CHOOSE({1,2,3,4},TTSSKĐ!W10,TTSSKĐ!AA10,TTSSKĐ!AE10,TTSSKĐ!AI10)))</f>
        <v>0</v>
      </c>
      <c r="C10">
        <f>SUMPRODUCT((MONTH(CHOOSE({1,2,3,4},TTSSKĐ!T10,TTSSKĐ!X10,TTSSKĐ!AB10,TTSSKĐ!AF10))=3)*(CHOOSE({1,2,3,4},TTSSKĐ!W10,TTSSKĐ!AA10,TTSSKĐ!AE10,TTSSKĐ!AI10)))</f>
        <v>0</v>
      </c>
      <c r="D10">
        <f>SUMPRODUCT((MONTH(CHOOSE({1,2,3,4},TTSSKĐ!T10,TTSSKĐ!X10,TTSSKĐ!AB10,TTSSKĐ!AF10))=4)*(CHOOSE({1,2,3,4},TTSSKĐ!W10,TTSSKĐ!AA10,TTSSKĐ!AE10,TTSSKĐ!AI10)))</f>
        <v>0</v>
      </c>
      <c r="E10">
        <f>SUMPRODUCT((MONTH(CHOOSE({1,2,3,4},TTSSKĐ!T10,TTSSKĐ!X10,TTSSKĐ!AB10,TTSSKĐ!AF10))=5)*(CHOOSE({1,2,3,4},TTSSKĐ!W10,TTSSKĐ!AA10,TTSSKĐ!AE10,TTSSKĐ!AI10)))</f>
        <v>0</v>
      </c>
      <c r="F10">
        <f>SUMPRODUCT((MONTH(CHOOSE({1,2,3,4},TTSSKĐ!T10,TTSSKĐ!X10,TTSSKĐ!AB10,TTSSKĐ!AF10))=6)*(CHOOSE({1,2,3,4},TTSSKĐ!W10,TTSSKĐ!AA10,TTSSKĐ!AE10,TTSSKĐ!AI10)))</f>
        <v>0</v>
      </c>
      <c r="G10">
        <f>SUMPRODUCT((MONTH(CHOOSE({1,2,3,4},TTSSKĐ!T10,TTSSKĐ!X10,TTSSKĐ!AB10,TTSSKĐ!AF10))=7)*(CHOOSE({1,2,3,4},TTSSKĐ!W10,TTSSKĐ!AA10,TTSSKĐ!AE10,TTSSKĐ!AI10)))</f>
        <v>0</v>
      </c>
      <c r="H10">
        <f>SUMPRODUCT((MONTH(CHOOSE({1,2,3,4},TTSSKĐ!T10,TTSSKĐ!X10,TTSSKĐ!AB10,TTSSKĐ!AF10))=8)*(CHOOSE({1,2,3,4},TTSSKĐ!W10,TTSSKĐ!AA10,TTSSKĐ!AE10,TTSSKĐ!AI10)))</f>
        <v>0</v>
      </c>
      <c r="I10">
        <f>SUMPRODUCT((MONTH(CHOOSE({1,2,3,4},TTSSKĐ!T10,TTSSKĐ!X10,TTSSKĐ!AB10,TTSSKĐ!AF10))=9)*(CHOOSE({1,2,3,4},TTSSKĐ!W10,TTSSKĐ!AA10,TTSSKĐ!AE10,TTSSKĐ!AI10)))</f>
        <v>0</v>
      </c>
      <c r="J10">
        <f>SUMPRODUCT((MONTH(CHOOSE({1,2,3,4},TTSSKĐ!T10,TTSSKĐ!X10,TTSSKĐ!AB10,TTSSKĐ!AF10))=10)*(CHOOSE({1,2,3,4},TTSSKĐ!W10,TTSSKĐ!AA10,TTSSKĐ!AE10,TTSSKĐ!AI10)))</f>
        <v>0</v>
      </c>
      <c r="K10">
        <f>SUMPRODUCT((MONTH(CHOOSE({1,2,3,4},TTSSKĐ!T10,TTSSKĐ!X10,TTSSKĐ!AB10,TTSSKĐ!AF10))=11)*(CHOOSE({1,2,3,4},TTSSKĐ!W10,TTSSKĐ!AA10,TTSSKĐ!AE10,TTSSKĐ!AI10)))</f>
        <v>0</v>
      </c>
      <c r="L10">
        <f>SUMPRODUCT((MONTH(CHOOSE({1,2,3,4},TTSSKĐ!T10,TTSSKĐ!X10,TTSSKĐ!AB10,TTSSKĐ!AF10))=12)*(CHOOSE({1,2,3,4},TTSSKĐ!W10,TTSSKĐ!AA10,TTSSKĐ!AE10,TTSSKĐ!AI10)))</f>
        <v>0</v>
      </c>
    </row>
    <row r="11" spans="1:12">
      <c r="A11">
        <f>SUMPRODUCT((MONTH(CHOOSE({1,2,3,4},TTSSKĐ!T11,TTSSKĐ!X11,TTSSKĐ!AB11,TTSSKĐ!AF11))=1)*(CHOOSE({1,2,3,4},TTSSKĐ!W11,TTSSKĐ!AA11,TTSSKĐ!AE11,TTSSKĐ!AI11)))</f>
        <v>0</v>
      </c>
      <c r="B11">
        <f>SUMPRODUCT((MONTH(CHOOSE({1,2,3,4},TTSSKĐ!T11,TTSSKĐ!X11,TTSSKĐ!AB11,TTSSKĐ!AF11))=2)*(CHOOSE({1,2,3,4},TTSSKĐ!W11,TTSSKĐ!AA11,TTSSKĐ!AE11,TTSSKĐ!AI11)))</f>
        <v>0</v>
      </c>
      <c r="C11">
        <f>SUMPRODUCT((MONTH(CHOOSE({1,2,3,4},TTSSKĐ!T11,TTSSKĐ!X11,TTSSKĐ!AB11,TTSSKĐ!AF11))=3)*(CHOOSE({1,2,3,4},TTSSKĐ!W11,TTSSKĐ!AA11,TTSSKĐ!AE11,TTSSKĐ!AI11)))</f>
        <v>0</v>
      </c>
      <c r="D11">
        <f>SUMPRODUCT((MONTH(CHOOSE({1,2,3,4},TTSSKĐ!T11,TTSSKĐ!X11,TTSSKĐ!AB11,TTSSKĐ!AF11))=4)*(CHOOSE({1,2,3,4},TTSSKĐ!W11,TTSSKĐ!AA11,TTSSKĐ!AE11,TTSSKĐ!AI11)))</f>
        <v>0</v>
      </c>
      <c r="E11">
        <f>SUMPRODUCT((MONTH(CHOOSE({1,2,3,4},TTSSKĐ!T11,TTSSKĐ!X11,TTSSKĐ!AB11,TTSSKĐ!AF11))=5)*(CHOOSE({1,2,3,4},TTSSKĐ!W11,TTSSKĐ!AA11,TTSSKĐ!AE11,TTSSKĐ!AI11)))</f>
        <v>0</v>
      </c>
      <c r="F11">
        <f>SUMPRODUCT((MONTH(CHOOSE({1,2,3,4},TTSSKĐ!T11,TTSSKĐ!X11,TTSSKĐ!AB11,TTSSKĐ!AF11))=6)*(CHOOSE({1,2,3,4},TTSSKĐ!W11,TTSSKĐ!AA11,TTSSKĐ!AE11,TTSSKĐ!AI11)))</f>
        <v>0</v>
      </c>
      <c r="G11">
        <f>SUMPRODUCT((MONTH(CHOOSE({1,2,3,4},TTSSKĐ!T11,TTSSKĐ!X11,TTSSKĐ!AB11,TTSSKĐ!AF11))=7)*(CHOOSE({1,2,3,4},TTSSKĐ!W11,TTSSKĐ!AA11,TTSSKĐ!AE11,TTSSKĐ!AI11)))</f>
        <v>0</v>
      </c>
      <c r="H11">
        <f>SUMPRODUCT((MONTH(CHOOSE({1,2,3,4},TTSSKĐ!T11,TTSSKĐ!X11,TTSSKĐ!AB11,TTSSKĐ!AF11))=8)*(CHOOSE({1,2,3,4},TTSSKĐ!W11,TTSSKĐ!AA11,TTSSKĐ!AE11,TTSSKĐ!AI11)))</f>
        <v>0</v>
      </c>
      <c r="I11">
        <f>SUMPRODUCT((MONTH(CHOOSE({1,2,3,4},TTSSKĐ!T11,TTSSKĐ!X11,TTSSKĐ!AB11,TTSSKĐ!AF11))=9)*(CHOOSE({1,2,3,4},TTSSKĐ!W11,TTSSKĐ!AA11,TTSSKĐ!AE11,TTSSKĐ!AI11)))</f>
        <v>0</v>
      </c>
      <c r="J11">
        <f>SUMPRODUCT((MONTH(CHOOSE({1,2,3,4},TTSSKĐ!T11,TTSSKĐ!X11,TTSSKĐ!AB11,TTSSKĐ!AF11))=10)*(CHOOSE({1,2,3,4},TTSSKĐ!W11,TTSSKĐ!AA11,TTSSKĐ!AE11,TTSSKĐ!AI11)))</f>
        <v>0</v>
      </c>
      <c r="K11">
        <f>SUMPRODUCT((MONTH(CHOOSE({1,2,3,4},TTSSKĐ!T11,TTSSKĐ!X11,TTSSKĐ!AB11,TTSSKĐ!AF11))=11)*(CHOOSE({1,2,3,4},TTSSKĐ!W11,TTSSKĐ!AA11,TTSSKĐ!AE11,TTSSKĐ!AI11)))</f>
        <v>0</v>
      </c>
      <c r="L11">
        <f>SUMPRODUCT((MONTH(CHOOSE({1,2,3,4},TTSSKĐ!T11,TTSSKĐ!X11,TTSSKĐ!AB11,TTSSKĐ!AF11))=12)*(CHOOSE({1,2,3,4},TTSSKĐ!W11,TTSSKĐ!AA11,TTSSKĐ!AE11,TTSSKĐ!AI11)))</f>
        <v>0</v>
      </c>
    </row>
    <row r="12" spans="1:12">
      <c r="A12">
        <f>SUMPRODUCT((MONTH(CHOOSE({1,2,3,4},TTSSKĐ!T12,TTSSKĐ!X12,TTSSKĐ!AB12,TTSSKĐ!AF12))=1)*(CHOOSE({1,2,3,4},TTSSKĐ!W12,TTSSKĐ!AA12,TTSSKĐ!AE12,TTSSKĐ!AI12)))</f>
        <v>0</v>
      </c>
      <c r="B12">
        <f>SUMPRODUCT((MONTH(CHOOSE({1,2,3,4},TTSSKĐ!T12,TTSSKĐ!X12,TTSSKĐ!AB12,TTSSKĐ!AF12))=2)*(CHOOSE({1,2,3,4},TTSSKĐ!W12,TTSSKĐ!AA12,TTSSKĐ!AE12,TTSSKĐ!AI12)))</f>
        <v>0</v>
      </c>
      <c r="C12">
        <f>SUMPRODUCT((MONTH(CHOOSE({1,2,3,4},TTSSKĐ!T12,TTSSKĐ!X12,TTSSKĐ!AB12,TTSSKĐ!AF12))=3)*(CHOOSE({1,2,3,4},TTSSKĐ!W12,TTSSKĐ!AA12,TTSSKĐ!AE12,TTSSKĐ!AI12)))</f>
        <v>0</v>
      </c>
      <c r="D12">
        <f>SUMPRODUCT((MONTH(CHOOSE({1,2,3,4},TTSSKĐ!T12,TTSSKĐ!X12,TTSSKĐ!AB12,TTSSKĐ!AF12))=4)*(CHOOSE({1,2,3,4},TTSSKĐ!W12,TTSSKĐ!AA12,TTSSKĐ!AE12,TTSSKĐ!AI12)))</f>
        <v>0</v>
      </c>
      <c r="E12">
        <f>SUMPRODUCT((MONTH(CHOOSE({1,2,3,4},TTSSKĐ!T12,TTSSKĐ!X12,TTSSKĐ!AB12,TTSSKĐ!AF12))=5)*(CHOOSE({1,2,3,4},TTSSKĐ!W12,TTSSKĐ!AA12,TTSSKĐ!AE12,TTSSKĐ!AI12)))</f>
        <v>0</v>
      </c>
      <c r="F12">
        <f>SUMPRODUCT((MONTH(CHOOSE({1,2,3,4},TTSSKĐ!T12,TTSSKĐ!X12,TTSSKĐ!AB12,TTSSKĐ!AF12))=6)*(CHOOSE({1,2,3,4},TTSSKĐ!W12,TTSSKĐ!AA12,TTSSKĐ!AE12,TTSSKĐ!AI12)))</f>
        <v>0</v>
      </c>
      <c r="G12">
        <f>SUMPRODUCT((MONTH(CHOOSE({1,2,3,4},TTSSKĐ!T12,TTSSKĐ!X12,TTSSKĐ!AB12,TTSSKĐ!AF12))=7)*(CHOOSE({1,2,3,4},TTSSKĐ!W12,TTSSKĐ!AA12,TTSSKĐ!AE12,TTSSKĐ!AI12)))</f>
        <v>0</v>
      </c>
      <c r="H12">
        <f>SUMPRODUCT((MONTH(CHOOSE({1,2,3,4},TTSSKĐ!T12,TTSSKĐ!X12,TTSSKĐ!AB12,TTSSKĐ!AF12))=8)*(CHOOSE({1,2,3,4},TTSSKĐ!W12,TTSSKĐ!AA12,TTSSKĐ!AE12,TTSSKĐ!AI12)))</f>
        <v>0</v>
      </c>
      <c r="I12">
        <f>SUMPRODUCT((MONTH(CHOOSE({1,2,3,4},TTSSKĐ!T12,TTSSKĐ!X12,TTSSKĐ!AB12,TTSSKĐ!AF12))=9)*(CHOOSE({1,2,3,4},TTSSKĐ!W12,TTSSKĐ!AA12,TTSSKĐ!AE12,TTSSKĐ!AI12)))</f>
        <v>0</v>
      </c>
      <c r="J12">
        <f>SUMPRODUCT((MONTH(CHOOSE({1,2,3,4},TTSSKĐ!T12,TTSSKĐ!X12,TTSSKĐ!AB12,TTSSKĐ!AF12))=10)*(CHOOSE({1,2,3,4},TTSSKĐ!W12,TTSSKĐ!AA12,TTSSKĐ!AE12,TTSSKĐ!AI12)))</f>
        <v>0</v>
      </c>
      <c r="K12">
        <f>SUMPRODUCT((MONTH(CHOOSE({1,2,3,4},TTSSKĐ!T12,TTSSKĐ!X12,TTSSKĐ!AB12,TTSSKĐ!AF12))=11)*(CHOOSE({1,2,3,4},TTSSKĐ!W12,TTSSKĐ!AA12,TTSSKĐ!AE12,TTSSKĐ!AI12)))</f>
        <v>0</v>
      </c>
      <c r="L12">
        <f>SUMPRODUCT((MONTH(CHOOSE({1,2,3,4},TTSSKĐ!T12,TTSSKĐ!X12,TTSSKĐ!AB12,TTSSKĐ!AF12))=12)*(CHOOSE({1,2,3,4},TTSSKĐ!W12,TTSSKĐ!AA12,TTSSKĐ!AE12,TTSSKĐ!AI12)))</f>
        <v>0</v>
      </c>
    </row>
    <row r="13" spans="1:12">
      <c r="A13">
        <f>SUMPRODUCT((MONTH(CHOOSE({1,2,3,4},TTSSKĐ!T13,TTSSKĐ!X13,TTSSKĐ!AB13,TTSSKĐ!AF13))=1)*(CHOOSE({1,2,3,4},TTSSKĐ!W13,TTSSKĐ!AA13,TTSSKĐ!AE13,TTSSKĐ!AI13)))</f>
        <v>0</v>
      </c>
      <c r="B13">
        <f>SUMPRODUCT((MONTH(CHOOSE({1,2,3,4},TTSSKĐ!T13,TTSSKĐ!X13,TTSSKĐ!AB13,TTSSKĐ!AF13))=2)*(CHOOSE({1,2,3,4},TTSSKĐ!W13,TTSSKĐ!AA13,TTSSKĐ!AE13,TTSSKĐ!AI13)))</f>
        <v>0</v>
      </c>
      <c r="C13">
        <f>SUMPRODUCT((MONTH(CHOOSE({1,2,3,4},TTSSKĐ!T13,TTSSKĐ!X13,TTSSKĐ!AB13,TTSSKĐ!AF13))=3)*(CHOOSE({1,2,3,4},TTSSKĐ!W13,TTSSKĐ!AA13,TTSSKĐ!AE13,TTSSKĐ!AI13)))</f>
        <v>0</v>
      </c>
      <c r="D13">
        <f>SUMPRODUCT((MONTH(CHOOSE({1,2,3,4},TTSSKĐ!T13,TTSSKĐ!X13,TTSSKĐ!AB13,TTSSKĐ!AF13))=4)*(CHOOSE({1,2,3,4},TTSSKĐ!W13,TTSSKĐ!AA13,TTSSKĐ!AE13,TTSSKĐ!AI13)))</f>
        <v>0</v>
      </c>
      <c r="E13">
        <f>SUMPRODUCT((MONTH(CHOOSE({1,2,3,4},TTSSKĐ!T13,TTSSKĐ!X13,TTSSKĐ!AB13,TTSSKĐ!AF13))=5)*(CHOOSE({1,2,3,4},TTSSKĐ!W13,TTSSKĐ!AA13,TTSSKĐ!AE13,TTSSKĐ!AI13)))</f>
        <v>0</v>
      </c>
      <c r="F13">
        <f>SUMPRODUCT((MONTH(CHOOSE({1,2,3,4},TTSSKĐ!T13,TTSSKĐ!X13,TTSSKĐ!AB13,TTSSKĐ!AF13))=6)*(CHOOSE({1,2,3,4},TTSSKĐ!W13,TTSSKĐ!AA13,TTSSKĐ!AE13,TTSSKĐ!AI13)))</f>
        <v>0</v>
      </c>
      <c r="G13">
        <f>SUMPRODUCT((MONTH(CHOOSE({1,2,3,4},TTSSKĐ!T13,TTSSKĐ!X13,TTSSKĐ!AB13,TTSSKĐ!AF13))=7)*(CHOOSE({1,2,3,4},TTSSKĐ!W13,TTSSKĐ!AA13,TTSSKĐ!AE13,TTSSKĐ!AI13)))</f>
        <v>0</v>
      </c>
      <c r="H13">
        <f>SUMPRODUCT((MONTH(CHOOSE({1,2,3,4},TTSSKĐ!T13,TTSSKĐ!X13,TTSSKĐ!AB13,TTSSKĐ!AF13))=8)*(CHOOSE({1,2,3,4},TTSSKĐ!W13,TTSSKĐ!AA13,TTSSKĐ!AE13,TTSSKĐ!AI13)))</f>
        <v>0</v>
      </c>
      <c r="I13">
        <f>SUMPRODUCT((MONTH(CHOOSE({1,2,3,4},TTSSKĐ!T13,TTSSKĐ!X13,TTSSKĐ!AB13,TTSSKĐ!AF13))=9)*(CHOOSE({1,2,3,4},TTSSKĐ!W13,TTSSKĐ!AA13,TTSSKĐ!AE13,TTSSKĐ!AI13)))</f>
        <v>0</v>
      </c>
      <c r="J13">
        <f>SUMPRODUCT((MONTH(CHOOSE({1,2,3,4},TTSSKĐ!T13,TTSSKĐ!X13,TTSSKĐ!AB13,TTSSKĐ!AF13))=10)*(CHOOSE({1,2,3,4},TTSSKĐ!W13,TTSSKĐ!AA13,TTSSKĐ!AE13,TTSSKĐ!AI13)))</f>
        <v>0</v>
      </c>
      <c r="K13">
        <f>SUMPRODUCT((MONTH(CHOOSE({1,2,3,4},TTSSKĐ!T13,TTSSKĐ!X13,TTSSKĐ!AB13,TTSSKĐ!AF13))=11)*(CHOOSE({1,2,3,4},TTSSKĐ!W13,TTSSKĐ!AA13,TTSSKĐ!AE13,TTSSKĐ!AI13)))</f>
        <v>0</v>
      </c>
      <c r="L13">
        <f>SUMPRODUCT((MONTH(CHOOSE({1,2,3,4},TTSSKĐ!T13,TTSSKĐ!X13,TTSSKĐ!AB13,TTSSKĐ!AF13))=12)*(CHOOSE({1,2,3,4},TTSSKĐ!W13,TTSSKĐ!AA13,TTSSKĐ!AE13,TTSSKĐ!AI13)))</f>
        <v>0</v>
      </c>
    </row>
    <row r="14" spans="1:12">
      <c r="A14">
        <f>SUMPRODUCT((MONTH(CHOOSE({1,2,3,4},TTSSKĐ!T14,TTSSKĐ!X14,TTSSKĐ!AB14,TTSSKĐ!AF14))=1)*(CHOOSE({1,2,3,4},TTSSKĐ!W14,TTSSKĐ!AA14,TTSSKĐ!AE14,TTSSKĐ!AI14)))</f>
        <v>0</v>
      </c>
      <c r="B14">
        <f>SUMPRODUCT((MONTH(CHOOSE({1,2,3,4},TTSSKĐ!T14,TTSSKĐ!X14,TTSSKĐ!AB14,TTSSKĐ!AF14))=2)*(CHOOSE({1,2,3,4},TTSSKĐ!W14,TTSSKĐ!AA14,TTSSKĐ!AE14,TTSSKĐ!AI14)))</f>
        <v>0</v>
      </c>
      <c r="C14">
        <f>SUMPRODUCT((MONTH(CHOOSE({1,2,3,4},TTSSKĐ!T14,TTSSKĐ!X14,TTSSKĐ!AB14,TTSSKĐ!AF14))=3)*(CHOOSE({1,2,3,4},TTSSKĐ!W14,TTSSKĐ!AA14,TTSSKĐ!AE14,TTSSKĐ!AI14)))</f>
        <v>0</v>
      </c>
      <c r="D14">
        <f>SUMPRODUCT((MONTH(CHOOSE({1,2,3,4},TTSSKĐ!T14,TTSSKĐ!X14,TTSSKĐ!AB14,TTSSKĐ!AF14))=4)*(CHOOSE({1,2,3,4},TTSSKĐ!W14,TTSSKĐ!AA14,TTSSKĐ!AE14,TTSSKĐ!AI14)))</f>
        <v>0</v>
      </c>
      <c r="E14">
        <f>SUMPRODUCT((MONTH(CHOOSE({1,2,3,4},TTSSKĐ!T14,TTSSKĐ!X14,TTSSKĐ!AB14,TTSSKĐ!AF14))=5)*(CHOOSE({1,2,3,4},TTSSKĐ!W14,TTSSKĐ!AA14,TTSSKĐ!AE14,TTSSKĐ!AI14)))</f>
        <v>0</v>
      </c>
      <c r="F14">
        <f>SUMPRODUCT((MONTH(CHOOSE({1,2,3,4},TTSSKĐ!T14,TTSSKĐ!X14,TTSSKĐ!AB14,TTSSKĐ!AF14))=6)*(CHOOSE({1,2,3,4},TTSSKĐ!W14,TTSSKĐ!AA14,TTSSKĐ!AE14,TTSSKĐ!AI14)))</f>
        <v>0</v>
      </c>
      <c r="G14">
        <f>SUMPRODUCT((MONTH(CHOOSE({1,2,3,4},TTSSKĐ!T14,TTSSKĐ!X14,TTSSKĐ!AB14,TTSSKĐ!AF14))=7)*(CHOOSE({1,2,3,4},TTSSKĐ!W14,TTSSKĐ!AA14,TTSSKĐ!AE14,TTSSKĐ!AI14)))</f>
        <v>0</v>
      </c>
      <c r="H14">
        <f>SUMPRODUCT((MONTH(CHOOSE({1,2,3,4},TTSSKĐ!T14,TTSSKĐ!X14,TTSSKĐ!AB14,TTSSKĐ!AF14))=8)*(CHOOSE({1,2,3,4},TTSSKĐ!W14,TTSSKĐ!AA14,TTSSKĐ!AE14,TTSSKĐ!AI14)))</f>
        <v>0</v>
      </c>
      <c r="I14">
        <f>SUMPRODUCT((MONTH(CHOOSE({1,2,3,4},TTSSKĐ!T14,TTSSKĐ!X14,TTSSKĐ!AB14,TTSSKĐ!AF14))=9)*(CHOOSE({1,2,3,4},TTSSKĐ!W14,TTSSKĐ!AA14,TTSSKĐ!AE14,TTSSKĐ!AI14)))</f>
        <v>0</v>
      </c>
      <c r="J14">
        <f>SUMPRODUCT((MONTH(CHOOSE({1,2,3,4},TTSSKĐ!T14,TTSSKĐ!X14,TTSSKĐ!AB14,TTSSKĐ!AF14))=10)*(CHOOSE({1,2,3,4},TTSSKĐ!W14,TTSSKĐ!AA14,TTSSKĐ!AE14,TTSSKĐ!AI14)))</f>
        <v>0</v>
      </c>
      <c r="K14">
        <f>SUMPRODUCT((MONTH(CHOOSE({1,2,3,4},TTSSKĐ!T14,TTSSKĐ!X14,TTSSKĐ!AB14,TTSSKĐ!AF14))=11)*(CHOOSE({1,2,3,4},TTSSKĐ!W14,TTSSKĐ!AA14,TTSSKĐ!AE14,TTSSKĐ!AI14)))</f>
        <v>0</v>
      </c>
      <c r="L14">
        <f>SUMPRODUCT((MONTH(CHOOSE({1,2,3,4},TTSSKĐ!T14,TTSSKĐ!X14,TTSSKĐ!AB14,TTSSKĐ!AF14))=12)*(CHOOSE({1,2,3,4},TTSSKĐ!W14,TTSSKĐ!AA14,TTSSKĐ!AE14,TTSSKĐ!AI14)))</f>
        <v>0</v>
      </c>
    </row>
    <row r="15" spans="1:12">
      <c r="A15">
        <f>SUMPRODUCT((MONTH(CHOOSE({1,2,3,4},TTSSKĐ!T15,TTSSKĐ!X15,TTSSKĐ!AB15,TTSSKĐ!AF15))=1)*(CHOOSE({1,2,3,4},TTSSKĐ!W15,TTSSKĐ!AA15,TTSSKĐ!AE15,TTSSKĐ!AI15)))</f>
        <v>0</v>
      </c>
      <c r="B15">
        <f>SUMPRODUCT((MONTH(CHOOSE({1,2,3,4},TTSSKĐ!T15,TTSSKĐ!X15,TTSSKĐ!AB15,TTSSKĐ!AF15))=2)*(CHOOSE({1,2,3,4},TTSSKĐ!W15,TTSSKĐ!AA15,TTSSKĐ!AE15,TTSSKĐ!AI15)))</f>
        <v>0</v>
      </c>
      <c r="C15">
        <f>SUMPRODUCT((MONTH(CHOOSE({1,2,3,4},TTSSKĐ!T15,TTSSKĐ!X15,TTSSKĐ!AB15,TTSSKĐ!AF15))=3)*(CHOOSE({1,2,3,4},TTSSKĐ!W15,TTSSKĐ!AA15,TTSSKĐ!AE15,TTSSKĐ!AI15)))</f>
        <v>0</v>
      </c>
      <c r="D15">
        <f>SUMPRODUCT((MONTH(CHOOSE({1,2,3,4},TTSSKĐ!T15,TTSSKĐ!X15,TTSSKĐ!AB15,TTSSKĐ!AF15))=4)*(CHOOSE({1,2,3,4},TTSSKĐ!W15,TTSSKĐ!AA15,TTSSKĐ!AE15,TTSSKĐ!AI15)))</f>
        <v>0</v>
      </c>
      <c r="E15">
        <f>SUMPRODUCT((MONTH(CHOOSE({1,2,3,4},TTSSKĐ!T15,TTSSKĐ!X15,TTSSKĐ!AB15,TTSSKĐ!AF15))=5)*(CHOOSE({1,2,3,4},TTSSKĐ!W15,TTSSKĐ!AA15,TTSSKĐ!AE15,TTSSKĐ!AI15)))</f>
        <v>0</v>
      </c>
      <c r="F15">
        <f>SUMPRODUCT((MONTH(CHOOSE({1,2,3,4},TTSSKĐ!T15,TTSSKĐ!X15,TTSSKĐ!AB15,TTSSKĐ!AF15))=6)*(CHOOSE({1,2,3,4},TTSSKĐ!W15,TTSSKĐ!AA15,TTSSKĐ!AE15,TTSSKĐ!AI15)))</f>
        <v>0</v>
      </c>
      <c r="G15">
        <f>SUMPRODUCT((MONTH(CHOOSE({1,2,3,4},TTSSKĐ!T15,TTSSKĐ!X15,TTSSKĐ!AB15,TTSSKĐ!AF15))=7)*(CHOOSE({1,2,3,4},TTSSKĐ!W15,TTSSKĐ!AA15,TTSSKĐ!AE15,TTSSKĐ!AI15)))</f>
        <v>0</v>
      </c>
      <c r="H15">
        <f>SUMPRODUCT((MONTH(CHOOSE({1,2,3,4},TTSSKĐ!T15,TTSSKĐ!X15,TTSSKĐ!AB15,TTSSKĐ!AF15))=8)*(CHOOSE({1,2,3,4},TTSSKĐ!W15,TTSSKĐ!AA15,TTSSKĐ!AE15,TTSSKĐ!AI15)))</f>
        <v>0</v>
      </c>
      <c r="I15">
        <f>SUMPRODUCT((MONTH(CHOOSE({1,2,3,4},TTSSKĐ!T15,TTSSKĐ!X15,TTSSKĐ!AB15,TTSSKĐ!AF15))=9)*(CHOOSE({1,2,3,4},TTSSKĐ!W15,TTSSKĐ!AA15,TTSSKĐ!AE15,TTSSKĐ!AI15)))</f>
        <v>0</v>
      </c>
      <c r="J15">
        <f>SUMPRODUCT((MONTH(CHOOSE({1,2,3,4},TTSSKĐ!T15,TTSSKĐ!X15,TTSSKĐ!AB15,TTSSKĐ!AF15))=10)*(CHOOSE({1,2,3,4},TTSSKĐ!W15,TTSSKĐ!AA15,TTSSKĐ!AE15,TTSSKĐ!AI15)))</f>
        <v>0</v>
      </c>
      <c r="K15">
        <f>SUMPRODUCT((MONTH(CHOOSE({1,2,3,4},TTSSKĐ!T15,TTSSKĐ!X15,TTSSKĐ!AB15,TTSSKĐ!AF15))=11)*(CHOOSE({1,2,3,4},TTSSKĐ!W15,TTSSKĐ!AA15,TTSSKĐ!AE15,TTSSKĐ!AI15)))</f>
        <v>0</v>
      </c>
      <c r="L15">
        <f>SUMPRODUCT((MONTH(CHOOSE({1,2,3,4},TTSSKĐ!T15,TTSSKĐ!X15,TTSSKĐ!AB15,TTSSKĐ!AF15))=12)*(CHOOSE({1,2,3,4},TTSSKĐ!W15,TTSSKĐ!AA15,TTSSKĐ!AE15,TTSSKĐ!AI15)))</f>
        <v>0</v>
      </c>
    </row>
    <row r="16" spans="1:12">
      <c r="A16">
        <f>SUMPRODUCT((MONTH(CHOOSE({1,2,3,4},TTSSKĐ!T16,TTSSKĐ!X16,TTSSKĐ!AB16,TTSSKĐ!AF16))=1)*(CHOOSE({1,2,3,4},TTSSKĐ!W16,TTSSKĐ!AA16,TTSSKĐ!AE16,TTSSKĐ!AI16)))</f>
        <v>0</v>
      </c>
      <c r="B16">
        <f>SUMPRODUCT((MONTH(CHOOSE({1,2,3,4},TTSSKĐ!T16,TTSSKĐ!X16,TTSSKĐ!AB16,TTSSKĐ!AF16))=2)*(CHOOSE({1,2,3,4},TTSSKĐ!W16,TTSSKĐ!AA16,TTSSKĐ!AE16,TTSSKĐ!AI16)))</f>
        <v>0</v>
      </c>
      <c r="C16">
        <f>SUMPRODUCT((MONTH(CHOOSE({1,2,3,4},TTSSKĐ!T16,TTSSKĐ!X16,TTSSKĐ!AB16,TTSSKĐ!AF16))=3)*(CHOOSE({1,2,3,4},TTSSKĐ!W16,TTSSKĐ!AA16,TTSSKĐ!AE16,TTSSKĐ!AI16)))</f>
        <v>0</v>
      </c>
      <c r="D16">
        <f>SUMPRODUCT((MONTH(CHOOSE({1,2,3,4},TTSSKĐ!T16,TTSSKĐ!X16,TTSSKĐ!AB16,TTSSKĐ!AF16))=4)*(CHOOSE({1,2,3,4},TTSSKĐ!W16,TTSSKĐ!AA16,TTSSKĐ!AE16,TTSSKĐ!AI16)))</f>
        <v>0</v>
      </c>
      <c r="E16">
        <f>SUMPRODUCT((MONTH(CHOOSE({1,2,3,4},TTSSKĐ!T16,TTSSKĐ!X16,TTSSKĐ!AB16,TTSSKĐ!AF16))=5)*(CHOOSE({1,2,3,4},TTSSKĐ!W16,TTSSKĐ!AA16,TTSSKĐ!AE16,TTSSKĐ!AI16)))</f>
        <v>0</v>
      </c>
      <c r="F16">
        <f>SUMPRODUCT((MONTH(CHOOSE({1,2,3,4},TTSSKĐ!T16,TTSSKĐ!X16,TTSSKĐ!AB16,TTSSKĐ!AF16))=6)*(CHOOSE({1,2,3,4},TTSSKĐ!W16,TTSSKĐ!AA16,TTSSKĐ!AE16,TTSSKĐ!AI16)))</f>
        <v>0</v>
      </c>
      <c r="G16">
        <f>SUMPRODUCT((MONTH(CHOOSE({1,2,3,4},TTSSKĐ!T16,TTSSKĐ!X16,TTSSKĐ!AB16,TTSSKĐ!AF16))=7)*(CHOOSE({1,2,3,4},TTSSKĐ!W16,TTSSKĐ!AA16,TTSSKĐ!AE16,TTSSKĐ!AI16)))</f>
        <v>0</v>
      </c>
      <c r="H16">
        <f>SUMPRODUCT((MONTH(CHOOSE({1,2,3,4},TTSSKĐ!T16,TTSSKĐ!X16,TTSSKĐ!AB16,TTSSKĐ!AF16))=8)*(CHOOSE({1,2,3,4},TTSSKĐ!W16,TTSSKĐ!AA16,TTSSKĐ!AE16,TTSSKĐ!AI16)))</f>
        <v>0</v>
      </c>
      <c r="I16">
        <f>SUMPRODUCT((MONTH(CHOOSE({1,2,3,4},TTSSKĐ!T16,TTSSKĐ!X16,TTSSKĐ!AB16,TTSSKĐ!AF16))=9)*(CHOOSE({1,2,3,4},TTSSKĐ!W16,TTSSKĐ!AA16,TTSSKĐ!AE16,TTSSKĐ!AI16)))</f>
        <v>0</v>
      </c>
      <c r="J16">
        <f>SUMPRODUCT((MONTH(CHOOSE({1,2,3,4},TTSSKĐ!T16,TTSSKĐ!X16,TTSSKĐ!AB16,TTSSKĐ!AF16))=10)*(CHOOSE({1,2,3,4},TTSSKĐ!W16,TTSSKĐ!AA16,TTSSKĐ!AE16,TTSSKĐ!AI16)))</f>
        <v>0</v>
      </c>
      <c r="K16">
        <f>SUMPRODUCT((MONTH(CHOOSE({1,2,3,4},TTSSKĐ!T16,TTSSKĐ!X16,TTSSKĐ!AB16,TTSSKĐ!AF16))=11)*(CHOOSE({1,2,3,4},TTSSKĐ!W16,TTSSKĐ!AA16,TTSSKĐ!AE16,TTSSKĐ!AI16)))</f>
        <v>0</v>
      </c>
      <c r="L16">
        <f>SUMPRODUCT((MONTH(CHOOSE({1,2,3,4},TTSSKĐ!T16,TTSSKĐ!X16,TTSSKĐ!AB16,TTSSKĐ!AF16))=12)*(CHOOSE({1,2,3,4},TTSSKĐ!W16,TTSSKĐ!AA16,TTSSKĐ!AE16,TTSSKĐ!AI16)))</f>
        <v>0</v>
      </c>
    </row>
    <row r="17" spans="1:12">
      <c r="A17">
        <f>SUMPRODUCT((MONTH(CHOOSE({1,2,3,4},TTSSKĐ!T17,TTSSKĐ!X17,TTSSKĐ!AB17,TTSSKĐ!AF17))=1)*(CHOOSE({1,2,3,4},TTSSKĐ!W17,TTSSKĐ!AA17,TTSSKĐ!AE17,TTSSKĐ!AI17)))</f>
        <v>0</v>
      </c>
      <c r="B17">
        <f>SUMPRODUCT((MONTH(CHOOSE({1,2,3,4},TTSSKĐ!T17,TTSSKĐ!X17,TTSSKĐ!AB17,TTSSKĐ!AF17))=2)*(CHOOSE({1,2,3,4},TTSSKĐ!W17,TTSSKĐ!AA17,TTSSKĐ!AE17,TTSSKĐ!AI17)))</f>
        <v>0</v>
      </c>
      <c r="C17">
        <f>SUMPRODUCT((MONTH(CHOOSE({1,2,3,4},TTSSKĐ!T17,TTSSKĐ!X17,TTSSKĐ!AB17,TTSSKĐ!AF17))=3)*(CHOOSE({1,2,3,4},TTSSKĐ!W17,TTSSKĐ!AA17,TTSSKĐ!AE17,TTSSKĐ!AI17)))</f>
        <v>0</v>
      </c>
      <c r="D17">
        <f>SUMPRODUCT((MONTH(CHOOSE({1,2,3,4},TTSSKĐ!T17,TTSSKĐ!X17,TTSSKĐ!AB17,TTSSKĐ!AF17))=4)*(CHOOSE({1,2,3,4},TTSSKĐ!W17,TTSSKĐ!AA17,TTSSKĐ!AE17,TTSSKĐ!AI17)))</f>
        <v>0</v>
      </c>
      <c r="E17">
        <f>SUMPRODUCT((MONTH(CHOOSE({1,2,3,4},TTSSKĐ!T17,TTSSKĐ!X17,TTSSKĐ!AB17,TTSSKĐ!AF17))=5)*(CHOOSE({1,2,3,4},TTSSKĐ!W17,TTSSKĐ!AA17,TTSSKĐ!AE17,TTSSKĐ!AI17)))</f>
        <v>0</v>
      </c>
      <c r="F17">
        <f>SUMPRODUCT((MONTH(CHOOSE({1,2,3,4},TTSSKĐ!T17,TTSSKĐ!X17,TTSSKĐ!AB17,TTSSKĐ!AF17))=6)*(CHOOSE({1,2,3,4},TTSSKĐ!W17,TTSSKĐ!AA17,TTSSKĐ!AE17,TTSSKĐ!AI17)))</f>
        <v>0</v>
      </c>
      <c r="G17">
        <f>SUMPRODUCT((MONTH(CHOOSE({1,2,3,4},TTSSKĐ!T17,TTSSKĐ!X17,TTSSKĐ!AB17,TTSSKĐ!AF17))=7)*(CHOOSE({1,2,3,4},TTSSKĐ!W17,TTSSKĐ!AA17,TTSSKĐ!AE17,TTSSKĐ!AI17)))</f>
        <v>0</v>
      </c>
      <c r="H17">
        <f>SUMPRODUCT((MONTH(CHOOSE({1,2,3,4},TTSSKĐ!T17,TTSSKĐ!X17,TTSSKĐ!AB17,TTSSKĐ!AF17))=8)*(CHOOSE({1,2,3,4},TTSSKĐ!W17,TTSSKĐ!AA17,TTSSKĐ!AE17,TTSSKĐ!AI17)))</f>
        <v>0</v>
      </c>
      <c r="I17">
        <f>SUMPRODUCT((MONTH(CHOOSE({1,2,3,4},TTSSKĐ!T17,TTSSKĐ!X17,TTSSKĐ!AB17,TTSSKĐ!AF17))=9)*(CHOOSE({1,2,3,4},TTSSKĐ!W17,TTSSKĐ!AA17,TTSSKĐ!AE17,TTSSKĐ!AI17)))</f>
        <v>0</v>
      </c>
      <c r="J17">
        <f>SUMPRODUCT((MONTH(CHOOSE({1,2,3,4},TTSSKĐ!T17,TTSSKĐ!X17,TTSSKĐ!AB17,TTSSKĐ!AF17))=10)*(CHOOSE({1,2,3,4},TTSSKĐ!W17,TTSSKĐ!AA17,TTSSKĐ!AE17,TTSSKĐ!AI17)))</f>
        <v>0</v>
      </c>
      <c r="K17">
        <f>SUMPRODUCT((MONTH(CHOOSE({1,2,3,4},TTSSKĐ!T17,TTSSKĐ!X17,TTSSKĐ!AB17,TTSSKĐ!AF17))=11)*(CHOOSE({1,2,3,4},TTSSKĐ!W17,TTSSKĐ!AA17,TTSSKĐ!AE17,TTSSKĐ!AI17)))</f>
        <v>0</v>
      </c>
      <c r="L17">
        <f>SUMPRODUCT((MONTH(CHOOSE({1,2,3,4},TTSSKĐ!T17,TTSSKĐ!X17,TTSSKĐ!AB17,TTSSKĐ!AF17))=12)*(CHOOSE({1,2,3,4},TTSSKĐ!W17,TTSSKĐ!AA17,TTSSKĐ!AE17,TTSSKĐ!AI17)))</f>
        <v>0</v>
      </c>
    </row>
    <row r="18" spans="1:12">
      <c r="A18">
        <f>SUMPRODUCT((MONTH(CHOOSE({1,2,3,4},TTSSKĐ!T18,TTSSKĐ!X18,TTSSKĐ!AB18,TTSSKĐ!AF18))=1)*(CHOOSE({1,2,3,4},TTSSKĐ!W18,TTSSKĐ!AA18,TTSSKĐ!AE18,TTSSKĐ!AI18)))</f>
        <v>0</v>
      </c>
      <c r="B18">
        <f>SUMPRODUCT((MONTH(CHOOSE({1,2,3,4},TTSSKĐ!T18,TTSSKĐ!X18,TTSSKĐ!AB18,TTSSKĐ!AF18))=2)*(CHOOSE({1,2,3,4},TTSSKĐ!W18,TTSSKĐ!AA18,TTSSKĐ!AE18,TTSSKĐ!AI18)))</f>
        <v>0</v>
      </c>
      <c r="C18">
        <f>SUMPRODUCT((MONTH(CHOOSE({1,2,3,4},TTSSKĐ!T18,TTSSKĐ!X18,TTSSKĐ!AB18,TTSSKĐ!AF18))=3)*(CHOOSE({1,2,3,4},TTSSKĐ!W18,TTSSKĐ!AA18,TTSSKĐ!AE18,TTSSKĐ!AI18)))</f>
        <v>0</v>
      </c>
      <c r="D18">
        <f>SUMPRODUCT((MONTH(CHOOSE({1,2,3,4},TTSSKĐ!T18,TTSSKĐ!X18,TTSSKĐ!AB18,TTSSKĐ!AF18))=4)*(CHOOSE({1,2,3,4},TTSSKĐ!W18,TTSSKĐ!AA18,TTSSKĐ!AE18,TTSSKĐ!AI18)))</f>
        <v>0</v>
      </c>
      <c r="E18">
        <f>SUMPRODUCT((MONTH(CHOOSE({1,2,3,4},TTSSKĐ!T18,TTSSKĐ!X18,TTSSKĐ!AB18,TTSSKĐ!AF18))=5)*(CHOOSE({1,2,3,4},TTSSKĐ!W18,TTSSKĐ!AA18,TTSSKĐ!AE18,TTSSKĐ!AI18)))</f>
        <v>0</v>
      </c>
      <c r="F18">
        <f>SUMPRODUCT((MONTH(CHOOSE({1,2,3,4},TTSSKĐ!T18,TTSSKĐ!X18,TTSSKĐ!AB18,TTSSKĐ!AF18))=6)*(CHOOSE({1,2,3,4},TTSSKĐ!W18,TTSSKĐ!AA18,TTSSKĐ!AE18,TTSSKĐ!AI18)))</f>
        <v>0</v>
      </c>
      <c r="G18">
        <f>SUMPRODUCT((MONTH(CHOOSE({1,2,3,4},TTSSKĐ!T18,TTSSKĐ!X18,TTSSKĐ!AB18,TTSSKĐ!AF18))=7)*(CHOOSE({1,2,3,4},TTSSKĐ!W18,TTSSKĐ!AA18,TTSSKĐ!AE18,TTSSKĐ!AI18)))</f>
        <v>0</v>
      </c>
      <c r="H18">
        <f>SUMPRODUCT((MONTH(CHOOSE({1,2,3,4},TTSSKĐ!T18,TTSSKĐ!X18,TTSSKĐ!AB18,TTSSKĐ!AF18))=8)*(CHOOSE({1,2,3,4},TTSSKĐ!W18,TTSSKĐ!AA18,TTSSKĐ!AE18,TTSSKĐ!AI18)))</f>
        <v>0</v>
      </c>
      <c r="I18">
        <f>SUMPRODUCT((MONTH(CHOOSE({1,2,3,4},TTSSKĐ!T18,TTSSKĐ!X18,TTSSKĐ!AB18,TTSSKĐ!AF18))=9)*(CHOOSE({1,2,3,4},TTSSKĐ!W18,TTSSKĐ!AA18,TTSSKĐ!AE18,TTSSKĐ!AI18)))</f>
        <v>0</v>
      </c>
      <c r="J18">
        <f>SUMPRODUCT((MONTH(CHOOSE({1,2,3,4},TTSSKĐ!T18,TTSSKĐ!X18,TTSSKĐ!AB18,TTSSKĐ!AF18))=10)*(CHOOSE({1,2,3,4},TTSSKĐ!W18,TTSSKĐ!AA18,TTSSKĐ!AE18,TTSSKĐ!AI18)))</f>
        <v>0</v>
      </c>
      <c r="K18">
        <f>SUMPRODUCT((MONTH(CHOOSE({1,2,3,4},TTSSKĐ!T18,TTSSKĐ!X18,TTSSKĐ!AB18,TTSSKĐ!AF18))=11)*(CHOOSE({1,2,3,4},TTSSKĐ!W18,TTSSKĐ!AA18,TTSSKĐ!AE18,TTSSKĐ!AI18)))</f>
        <v>0</v>
      </c>
      <c r="L18">
        <f>SUMPRODUCT((MONTH(CHOOSE({1,2,3,4},TTSSKĐ!T18,TTSSKĐ!X18,TTSSKĐ!AB18,TTSSKĐ!AF18))=12)*(CHOOSE({1,2,3,4},TTSSKĐ!W18,TTSSKĐ!AA18,TTSSKĐ!AE18,TTSSKĐ!AI18)))</f>
        <v>0</v>
      </c>
    </row>
    <row r="19" spans="1:12">
      <c r="A19">
        <f>SUMPRODUCT((MONTH(CHOOSE({1,2,3,4},TTSSKĐ!T19,TTSSKĐ!X19,TTSSKĐ!AB19,TTSSKĐ!AF19))=1)*(CHOOSE({1,2,3,4},TTSSKĐ!W19,TTSSKĐ!AA19,TTSSKĐ!AE19,TTSSKĐ!AI19)))</f>
        <v>0</v>
      </c>
      <c r="B19">
        <f>SUMPRODUCT((MONTH(CHOOSE({1,2,3,4},TTSSKĐ!T19,TTSSKĐ!X19,TTSSKĐ!AB19,TTSSKĐ!AF19))=2)*(CHOOSE({1,2,3,4},TTSSKĐ!W19,TTSSKĐ!AA19,TTSSKĐ!AE19,TTSSKĐ!AI19)))</f>
        <v>0</v>
      </c>
      <c r="C19">
        <f>SUMPRODUCT((MONTH(CHOOSE({1,2,3,4},TTSSKĐ!T19,TTSSKĐ!X19,TTSSKĐ!AB19,TTSSKĐ!AF19))=3)*(CHOOSE({1,2,3,4},TTSSKĐ!W19,TTSSKĐ!AA19,TTSSKĐ!AE19,TTSSKĐ!AI19)))</f>
        <v>0</v>
      </c>
      <c r="D19">
        <f>SUMPRODUCT((MONTH(CHOOSE({1,2,3,4},TTSSKĐ!T19,TTSSKĐ!X19,TTSSKĐ!AB19,TTSSKĐ!AF19))=4)*(CHOOSE({1,2,3,4},TTSSKĐ!W19,TTSSKĐ!AA19,TTSSKĐ!AE19,TTSSKĐ!AI19)))</f>
        <v>0</v>
      </c>
      <c r="E19">
        <f>SUMPRODUCT((MONTH(CHOOSE({1,2,3,4},TTSSKĐ!T19,TTSSKĐ!X19,TTSSKĐ!AB19,TTSSKĐ!AF19))=5)*(CHOOSE({1,2,3,4},TTSSKĐ!W19,TTSSKĐ!AA19,TTSSKĐ!AE19,TTSSKĐ!AI19)))</f>
        <v>0</v>
      </c>
      <c r="F19">
        <f>SUMPRODUCT((MONTH(CHOOSE({1,2,3,4},TTSSKĐ!T19,TTSSKĐ!X19,TTSSKĐ!AB19,TTSSKĐ!AF19))=6)*(CHOOSE({1,2,3,4},TTSSKĐ!W19,TTSSKĐ!AA19,TTSSKĐ!AE19,TTSSKĐ!AI19)))</f>
        <v>0</v>
      </c>
      <c r="G19">
        <f>SUMPRODUCT((MONTH(CHOOSE({1,2,3,4},TTSSKĐ!T19,TTSSKĐ!X19,TTSSKĐ!AB19,TTSSKĐ!AF19))=7)*(CHOOSE({1,2,3,4},TTSSKĐ!W19,TTSSKĐ!AA19,TTSSKĐ!AE19,TTSSKĐ!AI19)))</f>
        <v>0</v>
      </c>
      <c r="H19">
        <f>SUMPRODUCT((MONTH(CHOOSE({1,2,3,4},TTSSKĐ!T19,TTSSKĐ!X19,TTSSKĐ!AB19,TTSSKĐ!AF19))=8)*(CHOOSE({1,2,3,4},TTSSKĐ!W19,TTSSKĐ!AA19,TTSSKĐ!AE19,TTSSKĐ!AI19)))</f>
        <v>0</v>
      </c>
      <c r="I19">
        <f>SUMPRODUCT((MONTH(CHOOSE({1,2,3,4},TTSSKĐ!T19,TTSSKĐ!X19,TTSSKĐ!AB19,TTSSKĐ!AF19))=9)*(CHOOSE({1,2,3,4},TTSSKĐ!W19,TTSSKĐ!AA19,TTSSKĐ!AE19,TTSSKĐ!AI19)))</f>
        <v>0</v>
      </c>
      <c r="J19">
        <f>SUMPRODUCT((MONTH(CHOOSE({1,2,3,4},TTSSKĐ!T19,TTSSKĐ!X19,TTSSKĐ!AB19,TTSSKĐ!AF19))=10)*(CHOOSE({1,2,3,4},TTSSKĐ!W19,TTSSKĐ!AA19,TTSSKĐ!AE19,TTSSKĐ!AI19)))</f>
        <v>0</v>
      </c>
      <c r="K19">
        <f>SUMPRODUCT((MONTH(CHOOSE({1,2,3,4},TTSSKĐ!T19,TTSSKĐ!X19,TTSSKĐ!AB19,TTSSKĐ!AF19))=11)*(CHOOSE({1,2,3,4},TTSSKĐ!W19,TTSSKĐ!AA19,TTSSKĐ!AE19,TTSSKĐ!AI19)))</f>
        <v>0</v>
      </c>
      <c r="L19">
        <f>SUMPRODUCT((MONTH(CHOOSE({1,2,3,4},TTSSKĐ!T19,TTSSKĐ!X19,TTSSKĐ!AB19,TTSSKĐ!AF19))=12)*(CHOOSE({1,2,3,4},TTSSKĐ!W19,TTSSKĐ!AA19,TTSSKĐ!AE19,TTSSKĐ!AI19)))</f>
        <v>0</v>
      </c>
    </row>
    <row r="20" spans="1:12">
      <c r="A20">
        <f>SUMPRODUCT((MONTH(CHOOSE({1,2,3,4},TTSSKĐ!T20,TTSSKĐ!X20,TTSSKĐ!AB20,TTSSKĐ!AF20))=1)*(CHOOSE({1,2,3,4},TTSSKĐ!W20,TTSSKĐ!AA20,TTSSKĐ!AE20,TTSSKĐ!AI20)))</f>
        <v>0</v>
      </c>
      <c r="B20">
        <f>SUMPRODUCT((MONTH(CHOOSE({1,2,3,4},TTSSKĐ!T20,TTSSKĐ!X20,TTSSKĐ!AB20,TTSSKĐ!AF20))=2)*(CHOOSE({1,2,3,4},TTSSKĐ!W20,TTSSKĐ!AA20,TTSSKĐ!AE20,TTSSKĐ!AI20)))</f>
        <v>0</v>
      </c>
      <c r="C20">
        <f>SUMPRODUCT((MONTH(CHOOSE({1,2,3,4},TTSSKĐ!T20,TTSSKĐ!X20,TTSSKĐ!AB20,TTSSKĐ!AF20))=3)*(CHOOSE({1,2,3,4},TTSSKĐ!W20,TTSSKĐ!AA20,TTSSKĐ!AE20,TTSSKĐ!AI20)))</f>
        <v>0</v>
      </c>
      <c r="D20">
        <f>SUMPRODUCT((MONTH(CHOOSE({1,2,3,4},TTSSKĐ!T20,TTSSKĐ!X20,TTSSKĐ!AB20,TTSSKĐ!AF20))=4)*(CHOOSE({1,2,3,4},TTSSKĐ!W20,TTSSKĐ!AA20,TTSSKĐ!AE20,TTSSKĐ!AI20)))</f>
        <v>0</v>
      </c>
      <c r="E20">
        <f>SUMPRODUCT((MONTH(CHOOSE({1,2,3,4},TTSSKĐ!T20,TTSSKĐ!X20,TTSSKĐ!AB20,TTSSKĐ!AF20))=5)*(CHOOSE({1,2,3,4},TTSSKĐ!W20,TTSSKĐ!AA20,TTSSKĐ!AE20,TTSSKĐ!AI20)))</f>
        <v>0</v>
      </c>
      <c r="F20">
        <f>SUMPRODUCT((MONTH(CHOOSE({1,2,3,4},TTSSKĐ!T20,TTSSKĐ!X20,TTSSKĐ!AB20,TTSSKĐ!AF20))=6)*(CHOOSE({1,2,3,4},TTSSKĐ!W20,TTSSKĐ!AA20,TTSSKĐ!AE20,TTSSKĐ!AI20)))</f>
        <v>0</v>
      </c>
      <c r="G20">
        <f>SUMPRODUCT((MONTH(CHOOSE({1,2,3,4},TTSSKĐ!T20,TTSSKĐ!X20,TTSSKĐ!AB20,TTSSKĐ!AF20))=7)*(CHOOSE({1,2,3,4},TTSSKĐ!W20,TTSSKĐ!AA20,TTSSKĐ!AE20,TTSSKĐ!AI20)))</f>
        <v>0</v>
      </c>
      <c r="H20">
        <f>SUMPRODUCT((MONTH(CHOOSE({1,2,3,4},TTSSKĐ!T20,TTSSKĐ!X20,TTSSKĐ!AB20,TTSSKĐ!AF20))=8)*(CHOOSE({1,2,3,4},TTSSKĐ!W20,TTSSKĐ!AA20,TTSSKĐ!AE20,TTSSKĐ!AI20)))</f>
        <v>0</v>
      </c>
      <c r="I20">
        <f>SUMPRODUCT((MONTH(CHOOSE({1,2,3,4},TTSSKĐ!T20,TTSSKĐ!X20,TTSSKĐ!AB20,TTSSKĐ!AF20))=9)*(CHOOSE({1,2,3,4},TTSSKĐ!W20,TTSSKĐ!AA20,TTSSKĐ!AE20,TTSSKĐ!AI20)))</f>
        <v>0</v>
      </c>
      <c r="J20">
        <f>SUMPRODUCT((MONTH(CHOOSE({1,2,3,4},TTSSKĐ!T20,TTSSKĐ!X20,TTSSKĐ!AB20,TTSSKĐ!AF20))=10)*(CHOOSE({1,2,3,4},TTSSKĐ!W20,TTSSKĐ!AA20,TTSSKĐ!AE20,TTSSKĐ!AI20)))</f>
        <v>0</v>
      </c>
      <c r="K20">
        <f>SUMPRODUCT((MONTH(CHOOSE({1,2,3,4},TTSSKĐ!T20,TTSSKĐ!X20,TTSSKĐ!AB20,TTSSKĐ!AF20))=11)*(CHOOSE({1,2,3,4},TTSSKĐ!W20,TTSSKĐ!AA20,TTSSKĐ!AE20,TTSSKĐ!AI20)))</f>
        <v>0</v>
      </c>
      <c r="L20">
        <f>SUMPRODUCT((MONTH(CHOOSE({1,2,3,4},TTSSKĐ!T20,TTSSKĐ!X20,TTSSKĐ!AB20,TTSSKĐ!AF20))=12)*(CHOOSE({1,2,3,4},TTSSKĐ!W20,TTSSKĐ!AA20,TTSSKĐ!AE20,TTSSKĐ!AI20)))</f>
        <v>0</v>
      </c>
    </row>
    <row r="21" spans="1:12">
      <c r="A21">
        <f>SUMPRODUCT((MONTH(CHOOSE({1,2,3,4},TTSSKĐ!T21,TTSSKĐ!X21,TTSSKĐ!AB21,TTSSKĐ!AF21))=1)*(CHOOSE({1,2,3,4},TTSSKĐ!W21,TTSSKĐ!AA21,TTSSKĐ!AE21,TTSSKĐ!AI21)))</f>
        <v>0</v>
      </c>
      <c r="B21">
        <f>SUMPRODUCT((MONTH(CHOOSE({1,2,3,4},TTSSKĐ!T21,TTSSKĐ!X21,TTSSKĐ!AB21,TTSSKĐ!AF21))=2)*(CHOOSE({1,2,3,4},TTSSKĐ!W21,TTSSKĐ!AA21,TTSSKĐ!AE21,TTSSKĐ!AI21)))</f>
        <v>0</v>
      </c>
      <c r="C21">
        <f>SUMPRODUCT((MONTH(CHOOSE({1,2,3,4},TTSSKĐ!T21,TTSSKĐ!X21,TTSSKĐ!AB21,TTSSKĐ!AF21))=3)*(CHOOSE({1,2,3,4},TTSSKĐ!W21,TTSSKĐ!AA21,TTSSKĐ!AE21,TTSSKĐ!AI21)))</f>
        <v>0</v>
      </c>
      <c r="D21">
        <f>SUMPRODUCT((MONTH(CHOOSE({1,2,3,4},TTSSKĐ!T21,TTSSKĐ!X21,TTSSKĐ!AB21,TTSSKĐ!AF21))=4)*(CHOOSE({1,2,3,4},TTSSKĐ!W21,TTSSKĐ!AA21,TTSSKĐ!AE21,TTSSKĐ!AI21)))</f>
        <v>0</v>
      </c>
      <c r="E21">
        <f>SUMPRODUCT((MONTH(CHOOSE({1,2,3,4},TTSSKĐ!T21,TTSSKĐ!X21,TTSSKĐ!AB21,TTSSKĐ!AF21))=5)*(CHOOSE({1,2,3,4},TTSSKĐ!W21,TTSSKĐ!AA21,TTSSKĐ!AE21,TTSSKĐ!AI21)))</f>
        <v>0</v>
      </c>
      <c r="F21">
        <f>SUMPRODUCT((MONTH(CHOOSE({1,2,3,4},TTSSKĐ!T21,TTSSKĐ!X21,TTSSKĐ!AB21,TTSSKĐ!AF21))=6)*(CHOOSE({1,2,3,4},TTSSKĐ!W21,TTSSKĐ!AA21,TTSSKĐ!AE21,TTSSKĐ!AI21)))</f>
        <v>0</v>
      </c>
      <c r="G21">
        <f>SUMPRODUCT((MONTH(CHOOSE({1,2,3,4},TTSSKĐ!T21,TTSSKĐ!X21,TTSSKĐ!AB21,TTSSKĐ!AF21))=7)*(CHOOSE({1,2,3,4},TTSSKĐ!W21,TTSSKĐ!AA21,TTSSKĐ!AE21,TTSSKĐ!AI21)))</f>
        <v>0</v>
      </c>
      <c r="H21">
        <f>SUMPRODUCT((MONTH(CHOOSE({1,2,3,4},TTSSKĐ!T21,TTSSKĐ!X21,TTSSKĐ!AB21,TTSSKĐ!AF21))=8)*(CHOOSE({1,2,3,4},TTSSKĐ!W21,TTSSKĐ!AA21,TTSSKĐ!AE21,TTSSKĐ!AI21)))</f>
        <v>0</v>
      </c>
      <c r="I21">
        <f>SUMPRODUCT((MONTH(CHOOSE({1,2,3,4},TTSSKĐ!T21,TTSSKĐ!X21,TTSSKĐ!AB21,TTSSKĐ!AF21))=9)*(CHOOSE({1,2,3,4},TTSSKĐ!W21,TTSSKĐ!AA21,TTSSKĐ!AE21,TTSSKĐ!AI21)))</f>
        <v>0</v>
      </c>
      <c r="J21">
        <f>SUMPRODUCT((MONTH(CHOOSE({1,2,3,4},TTSSKĐ!T21,TTSSKĐ!X21,TTSSKĐ!AB21,TTSSKĐ!AF21))=10)*(CHOOSE({1,2,3,4},TTSSKĐ!W21,TTSSKĐ!AA21,TTSSKĐ!AE21,TTSSKĐ!AI21)))</f>
        <v>0</v>
      </c>
      <c r="K21">
        <f>SUMPRODUCT((MONTH(CHOOSE({1,2,3,4},TTSSKĐ!T21,TTSSKĐ!X21,TTSSKĐ!AB21,TTSSKĐ!AF21))=11)*(CHOOSE({1,2,3,4},TTSSKĐ!W21,TTSSKĐ!AA21,TTSSKĐ!AE21,TTSSKĐ!AI21)))</f>
        <v>0</v>
      </c>
      <c r="L21">
        <f>SUMPRODUCT((MONTH(CHOOSE({1,2,3,4},TTSSKĐ!T21,TTSSKĐ!X21,TTSSKĐ!AB21,TTSSKĐ!AF21))=12)*(CHOOSE({1,2,3,4},TTSSKĐ!W21,TTSSKĐ!AA21,TTSSKĐ!AE21,TTSSKĐ!AI21)))</f>
        <v>0</v>
      </c>
    </row>
    <row r="22" spans="1:12">
      <c r="A22">
        <f>SUMPRODUCT((MONTH(CHOOSE({1,2,3,4},TTSSKĐ!T22,TTSSKĐ!X22,TTSSKĐ!AB22,TTSSKĐ!AF22))=1)*(CHOOSE({1,2,3,4},TTSSKĐ!W22,TTSSKĐ!AA22,TTSSKĐ!AE22,TTSSKĐ!AI22)))</f>
        <v>0</v>
      </c>
      <c r="B22">
        <f>SUMPRODUCT((MONTH(CHOOSE({1,2,3,4},TTSSKĐ!T22,TTSSKĐ!X22,TTSSKĐ!AB22,TTSSKĐ!AF22))=2)*(CHOOSE({1,2,3,4},TTSSKĐ!W22,TTSSKĐ!AA22,TTSSKĐ!AE22,TTSSKĐ!AI22)))</f>
        <v>0</v>
      </c>
      <c r="C22">
        <f>SUMPRODUCT((MONTH(CHOOSE({1,2,3,4},TTSSKĐ!T22,TTSSKĐ!X22,TTSSKĐ!AB22,TTSSKĐ!AF22))=3)*(CHOOSE({1,2,3,4},TTSSKĐ!W22,TTSSKĐ!AA22,TTSSKĐ!AE22,TTSSKĐ!AI22)))</f>
        <v>0</v>
      </c>
      <c r="D22">
        <f>SUMPRODUCT((MONTH(CHOOSE({1,2,3,4},TTSSKĐ!T22,TTSSKĐ!X22,TTSSKĐ!AB22,TTSSKĐ!AF22))=4)*(CHOOSE({1,2,3,4},TTSSKĐ!W22,TTSSKĐ!AA22,TTSSKĐ!AE22,TTSSKĐ!AI22)))</f>
        <v>0</v>
      </c>
      <c r="E22">
        <f>SUMPRODUCT((MONTH(CHOOSE({1,2,3,4},TTSSKĐ!T22,TTSSKĐ!X22,TTSSKĐ!AB22,TTSSKĐ!AF22))=5)*(CHOOSE({1,2,3,4},TTSSKĐ!W22,TTSSKĐ!AA22,TTSSKĐ!AE22,TTSSKĐ!AI22)))</f>
        <v>0</v>
      </c>
      <c r="F22">
        <f>SUMPRODUCT((MONTH(CHOOSE({1,2,3,4},TTSSKĐ!T22,TTSSKĐ!X22,TTSSKĐ!AB22,TTSSKĐ!AF22))=6)*(CHOOSE({1,2,3,4},TTSSKĐ!W22,TTSSKĐ!AA22,TTSSKĐ!AE22,TTSSKĐ!AI22)))</f>
        <v>0</v>
      </c>
      <c r="G22">
        <f>SUMPRODUCT((MONTH(CHOOSE({1,2,3,4},TTSSKĐ!T22,TTSSKĐ!X22,TTSSKĐ!AB22,TTSSKĐ!AF22))=7)*(CHOOSE({1,2,3,4},TTSSKĐ!W22,TTSSKĐ!AA22,TTSSKĐ!AE22,TTSSKĐ!AI22)))</f>
        <v>0</v>
      </c>
      <c r="H22">
        <f>SUMPRODUCT((MONTH(CHOOSE({1,2,3,4},TTSSKĐ!T22,TTSSKĐ!X22,TTSSKĐ!AB22,TTSSKĐ!AF22))=8)*(CHOOSE({1,2,3,4},TTSSKĐ!W22,TTSSKĐ!AA22,TTSSKĐ!AE22,TTSSKĐ!AI22)))</f>
        <v>0</v>
      </c>
      <c r="I22">
        <f>SUMPRODUCT((MONTH(CHOOSE({1,2,3,4},TTSSKĐ!T22,TTSSKĐ!X22,TTSSKĐ!AB22,TTSSKĐ!AF22))=9)*(CHOOSE({1,2,3,4},TTSSKĐ!W22,TTSSKĐ!AA22,TTSSKĐ!AE22,TTSSKĐ!AI22)))</f>
        <v>0</v>
      </c>
      <c r="J22">
        <f>SUMPRODUCT((MONTH(CHOOSE({1,2,3,4},TTSSKĐ!T22,TTSSKĐ!X22,TTSSKĐ!AB22,TTSSKĐ!AF22))=10)*(CHOOSE({1,2,3,4},TTSSKĐ!W22,TTSSKĐ!AA22,TTSSKĐ!AE22,TTSSKĐ!AI22)))</f>
        <v>0</v>
      </c>
      <c r="K22">
        <f>SUMPRODUCT((MONTH(CHOOSE({1,2,3,4},TTSSKĐ!T22,TTSSKĐ!X22,TTSSKĐ!AB22,TTSSKĐ!AF22))=11)*(CHOOSE({1,2,3,4},TTSSKĐ!W22,TTSSKĐ!AA22,TTSSKĐ!AE22,TTSSKĐ!AI22)))</f>
        <v>0</v>
      </c>
      <c r="L22">
        <f>SUMPRODUCT((MONTH(CHOOSE({1,2,3,4},TTSSKĐ!T22,TTSSKĐ!X22,TTSSKĐ!AB22,TTSSKĐ!AF22))=12)*(CHOOSE({1,2,3,4},TTSSKĐ!W22,TTSSKĐ!AA22,TTSSKĐ!AE22,TTSSKĐ!AI22)))</f>
        <v>0</v>
      </c>
    </row>
    <row r="23" spans="1:12">
      <c r="A23">
        <f>SUMPRODUCT((MONTH(CHOOSE({1,2,3,4},TTSSKĐ!T23,TTSSKĐ!X23,TTSSKĐ!AB23,TTSSKĐ!AF23))=1)*(CHOOSE({1,2,3,4},TTSSKĐ!W23,TTSSKĐ!AA23,TTSSKĐ!AE23,TTSSKĐ!AI23)))</f>
        <v>0</v>
      </c>
      <c r="B23">
        <f>SUMPRODUCT((MONTH(CHOOSE({1,2,3,4},TTSSKĐ!T23,TTSSKĐ!X23,TTSSKĐ!AB23,TTSSKĐ!AF23))=2)*(CHOOSE({1,2,3,4},TTSSKĐ!W23,TTSSKĐ!AA23,TTSSKĐ!AE23,TTSSKĐ!AI23)))</f>
        <v>0</v>
      </c>
      <c r="C23">
        <f>SUMPRODUCT((MONTH(CHOOSE({1,2,3,4},TTSSKĐ!T23,TTSSKĐ!X23,TTSSKĐ!AB23,TTSSKĐ!AF23))=3)*(CHOOSE({1,2,3,4},TTSSKĐ!W23,TTSSKĐ!AA23,TTSSKĐ!AE23,TTSSKĐ!AI23)))</f>
        <v>0</v>
      </c>
      <c r="D23">
        <f>SUMPRODUCT((MONTH(CHOOSE({1,2,3,4},TTSSKĐ!T23,TTSSKĐ!X23,TTSSKĐ!AB23,TTSSKĐ!AF23))=4)*(CHOOSE({1,2,3,4},TTSSKĐ!W23,TTSSKĐ!AA23,TTSSKĐ!AE23,TTSSKĐ!AI23)))</f>
        <v>0</v>
      </c>
      <c r="E23">
        <f>SUMPRODUCT((MONTH(CHOOSE({1,2,3,4},TTSSKĐ!T23,TTSSKĐ!X23,TTSSKĐ!AB23,TTSSKĐ!AF23))=5)*(CHOOSE({1,2,3,4},TTSSKĐ!W23,TTSSKĐ!AA23,TTSSKĐ!AE23,TTSSKĐ!AI23)))</f>
        <v>0</v>
      </c>
      <c r="F23">
        <f>SUMPRODUCT((MONTH(CHOOSE({1,2,3,4},TTSSKĐ!T23,TTSSKĐ!X23,TTSSKĐ!AB23,TTSSKĐ!AF23))=6)*(CHOOSE({1,2,3,4},TTSSKĐ!W23,TTSSKĐ!AA23,TTSSKĐ!AE23,TTSSKĐ!AI23)))</f>
        <v>0</v>
      </c>
      <c r="G23">
        <f>SUMPRODUCT((MONTH(CHOOSE({1,2,3,4},TTSSKĐ!T23,TTSSKĐ!X23,TTSSKĐ!AB23,TTSSKĐ!AF23))=7)*(CHOOSE({1,2,3,4},TTSSKĐ!W23,TTSSKĐ!AA23,TTSSKĐ!AE23,TTSSKĐ!AI23)))</f>
        <v>0</v>
      </c>
      <c r="H23">
        <f>SUMPRODUCT((MONTH(CHOOSE({1,2,3,4},TTSSKĐ!T23,TTSSKĐ!X23,TTSSKĐ!AB23,TTSSKĐ!AF23))=8)*(CHOOSE({1,2,3,4},TTSSKĐ!W23,TTSSKĐ!AA23,TTSSKĐ!AE23,TTSSKĐ!AI23)))</f>
        <v>0</v>
      </c>
      <c r="I23">
        <f>SUMPRODUCT((MONTH(CHOOSE({1,2,3,4},TTSSKĐ!T23,TTSSKĐ!X23,TTSSKĐ!AB23,TTSSKĐ!AF23))=9)*(CHOOSE({1,2,3,4},TTSSKĐ!W23,TTSSKĐ!AA23,TTSSKĐ!AE23,TTSSKĐ!AI23)))</f>
        <v>0</v>
      </c>
      <c r="J23">
        <f>SUMPRODUCT((MONTH(CHOOSE({1,2,3,4},TTSSKĐ!T23,TTSSKĐ!X23,TTSSKĐ!AB23,TTSSKĐ!AF23))=10)*(CHOOSE({1,2,3,4},TTSSKĐ!W23,TTSSKĐ!AA23,TTSSKĐ!AE23,TTSSKĐ!AI23)))</f>
        <v>0</v>
      </c>
      <c r="K23">
        <f>SUMPRODUCT((MONTH(CHOOSE({1,2,3,4},TTSSKĐ!T23,TTSSKĐ!X23,TTSSKĐ!AB23,TTSSKĐ!AF23))=11)*(CHOOSE({1,2,3,4},TTSSKĐ!W23,TTSSKĐ!AA23,TTSSKĐ!AE23,TTSSKĐ!AI23)))</f>
        <v>0</v>
      </c>
      <c r="L23">
        <f>SUMPRODUCT((MONTH(CHOOSE({1,2,3,4},TTSSKĐ!T23,TTSSKĐ!X23,TTSSKĐ!AB23,TTSSKĐ!AF23))=12)*(CHOOSE({1,2,3,4},TTSSKĐ!W23,TTSSKĐ!AA23,TTSSKĐ!AE23,TTSSKĐ!AI23)))</f>
        <v>0</v>
      </c>
    </row>
    <row r="24" spans="1:12">
      <c r="A24">
        <f>SUMPRODUCT((MONTH(CHOOSE({1,2,3,4},TTSSKĐ!T24,TTSSKĐ!X24,TTSSKĐ!AB24,TTSSKĐ!AF24))=1)*(CHOOSE({1,2,3,4},TTSSKĐ!W24,TTSSKĐ!AA24,TTSSKĐ!AE24,TTSSKĐ!AI24)))</f>
        <v>0</v>
      </c>
      <c r="B24">
        <f>SUMPRODUCT((MONTH(CHOOSE({1,2,3,4},TTSSKĐ!T24,TTSSKĐ!X24,TTSSKĐ!AB24,TTSSKĐ!AF24))=2)*(CHOOSE({1,2,3,4},TTSSKĐ!W24,TTSSKĐ!AA24,TTSSKĐ!AE24,TTSSKĐ!AI24)))</f>
        <v>0</v>
      </c>
      <c r="C24">
        <f>SUMPRODUCT((MONTH(CHOOSE({1,2,3,4},TTSSKĐ!T24,TTSSKĐ!X24,TTSSKĐ!AB24,TTSSKĐ!AF24))=3)*(CHOOSE({1,2,3,4},TTSSKĐ!W24,TTSSKĐ!AA24,TTSSKĐ!AE24,TTSSKĐ!AI24)))</f>
        <v>0</v>
      </c>
      <c r="D24">
        <f>SUMPRODUCT((MONTH(CHOOSE({1,2,3,4},TTSSKĐ!T24,TTSSKĐ!X24,TTSSKĐ!AB24,TTSSKĐ!AF24))=4)*(CHOOSE({1,2,3,4},TTSSKĐ!W24,TTSSKĐ!AA24,TTSSKĐ!AE24,TTSSKĐ!AI24)))</f>
        <v>0</v>
      </c>
      <c r="E24">
        <f>SUMPRODUCT((MONTH(CHOOSE({1,2,3,4},TTSSKĐ!T24,TTSSKĐ!X24,TTSSKĐ!AB24,TTSSKĐ!AF24))=5)*(CHOOSE({1,2,3,4},TTSSKĐ!W24,TTSSKĐ!AA24,TTSSKĐ!AE24,TTSSKĐ!AI24)))</f>
        <v>0</v>
      </c>
      <c r="F24">
        <f>SUMPRODUCT((MONTH(CHOOSE({1,2,3,4},TTSSKĐ!T24,TTSSKĐ!X24,TTSSKĐ!AB24,TTSSKĐ!AF24))=6)*(CHOOSE({1,2,3,4},TTSSKĐ!W24,TTSSKĐ!AA24,TTSSKĐ!AE24,TTSSKĐ!AI24)))</f>
        <v>0</v>
      </c>
      <c r="G24">
        <f>SUMPRODUCT((MONTH(CHOOSE({1,2,3,4},TTSSKĐ!T24,TTSSKĐ!X24,TTSSKĐ!AB24,TTSSKĐ!AF24))=7)*(CHOOSE({1,2,3,4},TTSSKĐ!W24,TTSSKĐ!AA24,TTSSKĐ!AE24,TTSSKĐ!AI24)))</f>
        <v>0</v>
      </c>
      <c r="H24">
        <f>SUMPRODUCT((MONTH(CHOOSE({1,2,3,4},TTSSKĐ!T24,TTSSKĐ!X24,TTSSKĐ!AB24,TTSSKĐ!AF24))=8)*(CHOOSE({1,2,3,4},TTSSKĐ!W24,TTSSKĐ!AA24,TTSSKĐ!AE24,TTSSKĐ!AI24)))</f>
        <v>0</v>
      </c>
      <c r="I24">
        <f>SUMPRODUCT((MONTH(CHOOSE({1,2,3,4},TTSSKĐ!T24,TTSSKĐ!X24,TTSSKĐ!AB24,TTSSKĐ!AF24))=9)*(CHOOSE({1,2,3,4},TTSSKĐ!W24,TTSSKĐ!AA24,TTSSKĐ!AE24,TTSSKĐ!AI24)))</f>
        <v>0</v>
      </c>
      <c r="J24">
        <f>SUMPRODUCT((MONTH(CHOOSE({1,2,3,4},TTSSKĐ!T24,TTSSKĐ!X24,TTSSKĐ!AB24,TTSSKĐ!AF24))=10)*(CHOOSE({1,2,3,4},TTSSKĐ!W24,TTSSKĐ!AA24,TTSSKĐ!AE24,TTSSKĐ!AI24)))</f>
        <v>0</v>
      </c>
      <c r="K24">
        <f>SUMPRODUCT((MONTH(CHOOSE({1,2,3,4},TTSSKĐ!T24,TTSSKĐ!X24,TTSSKĐ!AB24,TTSSKĐ!AF24))=11)*(CHOOSE({1,2,3,4},TTSSKĐ!W24,TTSSKĐ!AA24,TTSSKĐ!AE24,TTSSKĐ!AI24)))</f>
        <v>0</v>
      </c>
      <c r="L24">
        <f>SUMPRODUCT((MONTH(CHOOSE({1,2,3,4},TTSSKĐ!T24,TTSSKĐ!X24,TTSSKĐ!AB24,TTSSKĐ!AF24))=12)*(CHOOSE({1,2,3,4},TTSSKĐ!W24,TTSSKĐ!AA24,TTSSKĐ!AE24,TTSSKĐ!AI24)))</f>
        <v>0</v>
      </c>
    </row>
    <row r="25" spans="1:12">
      <c r="A25">
        <f>SUMPRODUCT((MONTH(CHOOSE({1,2,3,4},TTSSKĐ!T25,TTSSKĐ!X25,TTSSKĐ!AB25,TTSSKĐ!AF25))=1)*(CHOOSE({1,2,3,4},TTSSKĐ!W25,TTSSKĐ!AA25,TTSSKĐ!AE25,TTSSKĐ!AI25)))</f>
        <v>0</v>
      </c>
      <c r="B25">
        <f>SUMPRODUCT((MONTH(CHOOSE({1,2,3,4},TTSSKĐ!T25,TTSSKĐ!X25,TTSSKĐ!AB25,TTSSKĐ!AF25))=2)*(CHOOSE({1,2,3,4},TTSSKĐ!W25,TTSSKĐ!AA25,TTSSKĐ!AE25,TTSSKĐ!AI25)))</f>
        <v>0</v>
      </c>
      <c r="C25">
        <f>SUMPRODUCT((MONTH(CHOOSE({1,2,3,4},TTSSKĐ!T25,TTSSKĐ!X25,TTSSKĐ!AB25,TTSSKĐ!AF25))=3)*(CHOOSE({1,2,3,4},TTSSKĐ!W25,TTSSKĐ!AA25,TTSSKĐ!AE25,TTSSKĐ!AI25)))</f>
        <v>0</v>
      </c>
      <c r="D25">
        <f>SUMPRODUCT((MONTH(CHOOSE({1,2,3,4},TTSSKĐ!T25,TTSSKĐ!X25,TTSSKĐ!AB25,TTSSKĐ!AF25))=4)*(CHOOSE({1,2,3,4},TTSSKĐ!W25,TTSSKĐ!AA25,TTSSKĐ!AE25,TTSSKĐ!AI25)))</f>
        <v>0</v>
      </c>
      <c r="E25">
        <f>SUMPRODUCT((MONTH(CHOOSE({1,2,3,4},TTSSKĐ!T25,TTSSKĐ!X25,TTSSKĐ!AB25,TTSSKĐ!AF25))=5)*(CHOOSE({1,2,3,4},TTSSKĐ!W25,TTSSKĐ!AA25,TTSSKĐ!AE25,TTSSKĐ!AI25)))</f>
        <v>0</v>
      </c>
      <c r="F25">
        <f>SUMPRODUCT((MONTH(CHOOSE({1,2,3,4},TTSSKĐ!T25,TTSSKĐ!X25,TTSSKĐ!AB25,TTSSKĐ!AF25))=6)*(CHOOSE({1,2,3,4},TTSSKĐ!W25,TTSSKĐ!AA25,TTSSKĐ!AE25,TTSSKĐ!AI25)))</f>
        <v>0</v>
      </c>
      <c r="G25">
        <f>SUMPRODUCT((MONTH(CHOOSE({1,2,3,4},TTSSKĐ!T25,TTSSKĐ!X25,TTSSKĐ!AB25,TTSSKĐ!AF25))=7)*(CHOOSE({1,2,3,4},TTSSKĐ!W25,TTSSKĐ!AA25,TTSSKĐ!AE25,TTSSKĐ!AI25)))</f>
        <v>0</v>
      </c>
      <c r="H25">
        <f>SUMPRODUCT((MONTH(CHOOSE({1,2,3,4},TTSSKĐ!T25,TTSSKĐ!X25,TTSSKĐ!AB25,TTSSKĐ!AF25))=8)*(CHOOSE({1,2,3,4},TTSSKĐ!W25,TTSSKĐ!AA25,TTSSKĐ!AE25,TTSSKĐ!AI25)))</f>
        <v>0</v>
      </c>
      <c r="I25">
        <f>SUMPRODUCT((MONTH(CHOOSE({1,2,3,4},TTSSKĐ!T25,TTSSKĐ!X25,TTSSKĐ!AB25,TTSSKĐ!AF25))=9)*(CHOOSE({1,2,3,4},TTSSKĐ!W25,TTSSKĐ!AA25,TTSSKĐ!AE25,TTSSKĐ!AI25)))</f>
        <v>0</v>
      </c>
      <c r="J25">
        <f>SUMPRODUCT((MONTH(CHOOSE({1,2,3,4},TTSSKĐ!T25,TTSSKĐ!X25,TTSSKĐ!AB25,TTSSKĐ!AF25))=10)*(CHOOSE({1,2,3,4},TTSSKĐ!W25,TTSSKĐ!AA25,TTSSKĐ!AE25,TTSSKĐ!AI25)))</f>
        <v>0</v>
      </c>
      <c r="K25">
        <f>SUMPRODUCT((MONTH(CHOOSE({1,2,3,4},TTSSKĐ!T25,TTSSKĐ!X25,TTSSKĐ!AB25,TTSSKĐ!AF25))=11)*(CHOOSE({1,2,3,4},TTSSKĐ!W25,TTSSKĐ!AA25,TTSSKĐ!AE25,TTSSKĐ!AI25)))</f>
        <v>0</v>
      </c>
      <c r="L25">
        <f>SUMPRODUCT((MONTH(CHOOSE({1,2,3,4},TTSSKĐ!T25,TTSSKĐ!X25,TTSSKĐ!AB25,TTSSKĐ!AF25))=12)*(CHOOSE({1,2,3,4},TTSSKĐ!W25,TTSSKĐ!AA25,TTSSKĐ!AE25,TTSSKĐ!AI25)))</f>
        <v>0</v>
      </c>
    </row>
    <row r="26" spans="1:12">
      <c r="A26">
        <f>SUMPRODUCT((MONTH(CHOOSE({1,2,3,4},TTSSKĐ!T26,TTSSKĐ!X26,TTSSKĐ!AB26,TTSSKĐ!AF26))=1)*(CHOOSE({1,2,3,4},TTSSKĐ!W26,TTSSKĐ!AA26,TTSSKĐ!AE26,TTSSKĐ!AI26)))</f>
        <v>0</v>
      </c>
      <c r="B26">
        <f>SUMPRODUCT((MONTH(CHOOSE({1,2,3,4},TTSSKĐ!T26,TTSSKĐ!X26,TTSSKĐ!AB26,TTSSKĐ!AF26))=2)*(CHOOSE({1,2,3,4},TTSSKĐ!W26,TTSSKĐ!AA26,TTSSKĐ!AE26,TTSSKĐ!AI26)))</f>
        <v>0</v>
      </c>
      <c r="C26">
        <f>SUMPRODUCT((MONTH(CHOOSE({1,2,3,4},TTSSKĐ!T26,TTSSKĐ!X26,TTSSKĐ!AB26,TTSSKĐ!AF26))=3)*(CHOOSE({1,2,3,4},TTSSKĐ!W26,TTSSKĐ!AA26,TTSSKĐ!AE26,TTSSKĐ!AI26)))</f>
        <v>0</v>
      </c>
      <c r="D26">
        <f>SUMPRODUCT((MONTH(CHOOSE({1,2,3,4},TTSSKĐ!T26,TTSSKĐ!X26,TTSSKĐ!AB26,TTSSKĐ!AF26))=4)*(CHOOSE({1,2,3,4},TTSSKĐ!W26,TTSSKĐ!AA26,TTSSKĐ!AE26,TTSSKĐ!AI26)))</f>
        <v>0</v>
      </c>
      <c r="E26">
        <f>SUMPRODUCT((MONTH(CHOOSE({1,2,3,4},TTSSKĐ!T26,TTSSKĐ!X26,TTSSKĐ!AB26,TTSSKĐ!AF26))=5)*(CHOOSE({1,2,3,4},TTSSKĐ!W26,TTSSKĐ!AA26,TTSSKĐ!AE26,TTSSKĐ!AI26)))</f>
        <v>0</v>
      </c>
      <c r="F26">
        <f>SUMPRODUCT((MONTH(CHOOSE({1,2,3,4},TTSSKĐ!T26,TTSSKĐ!X26,TTSSKĐ!AB26,TTSSKĐ!AF26))=6)*(CHOOSE({1,2,3,4},TTSSKĐ!W26,TTSSKĐ!AA26,TTSSKĐ!AE26,TTSSKĐ!AI26)))</f>
        <v>0</v>
      </c>
      <c r="G26">
        <f>SUMPRODUCT((MONTH(CHOOSE({1,2,3,4},TTSSKĐ!T26,TTSSKĐ!X26,TTSSKĐ!AB26,TTSSKĐ!AF26))=7)*(CHOOSE({1,2,3,4},TTSSKĐ!W26,TTSSKĐ!AA26,TTSSKĐ!AE26,TTSSKĐ!AI26)))</f>
        <v>0</v>
      </c>
      <c r="H26">
        <f>SUMPRODUCT((MONTH(CHOOSE({1,2,3,4},TTSSKĐ!T26,TTSSKĐ!X26,TTSSKĐ!AB26,TTSSKĐ!AF26))=8)*(CHOOSE({1,2,3,4},TTSSKĐ!W26,TTSSKĐ!AA26,TTSSKĐ!AE26,TTSSKĐ!AI26)))</f>
        <v>0</v>
      </c>
      <c r="I26">
        <f>SUMPRODUCT((MONTH(CHOOSE({1,2,3,4},TTSSKĐ!T26,TTSSKĐ!X26,TTSSKĐ!AB26,TTSSKĐ!AF26))=9)*(CHOOSE({1,2,3,4},TTSSKĐ!W26,TTSSKĐ!AA26,TTSSKĐ!AE26,TTSSKĐ!AI26)))</f>
        <v>0</v>
      </c>
      <c r="J26">
        <f>SUMPRODUCT((MONTH(CHOOSE({1,2,3,4},TTSSKĐ!T26,TTSSKĐ!X26,TTSSKĐ!AB26,TTSSKĐ!AF26))=10)*(CHOOSE({1,2,3,4},TTSSKĐ!W26,TTSSKĐ!AA26,TTSSKĐ!AE26,TTSSKĐ!AI26)))</f>
        <v>0</v>
      </c>
      <c r="K26">
        <f>SUMPRODUCT((MONTH(CHOOSE({1,2,3,4},TTSSKĐ!T26,TTSSKĐ!X26,TTSSKĐ!AB26,TTSSKĐ!AF26))=11)*(CHOOSE({1,2,3,4},TTSSKĐ!W26,TTSSKĐ!AA26,TTSSKĐ!AE26,TTSSKĐ!AI26)))</f>
        <v>0</v>
      </c>
      <c r="L26">
        <f>SUMPRODUCT((MONTH(CHOOSE({1,2,3,4},TTSSKĐ!T26,TTSSKĐ!X26,TTSSKĐ!AB26,TTSSKĐ!AF26))=12)*(CHOOSE({1,2,3,4},TTSSKĐ!W26,TTSSKĐ!AA26,TTSSKĐ!AE26,TTSSKĐ!AI26)))</f>
        <v>0</v>
      </c>
    </row>
    <row r="27" spans="1:12">
      <c r="A27">
        <f>SUMPRODUCT((MONTH(CHOOSE({1,2,3,4},TTSSKĐ!T27,TTSSKĐ!X27,TTSSKĐ!AB27,TTSSKĐ!AF27))=1)*(CHOOSE({1,2,3,4},TTSSKĐ!W27,TTSSKĐ!AA27,TTSSKĐ!AE27,TTSSKĐ!AI27)))</f>
        <v>0</v>
      </c>
      <c r="B27">
        <f>SUMPRODUCT((MONTH(CHOOSE({1,2,3,4},TTSSKĐ!T27,TTSSKĐ!X27,TTSSKĐ!AB27,TTSSKĐ!AF27))=2)*(CHOOSE({1,2,3,4},TTSSKĐ!W27,TTSSKĐ!AA27,TTSSKĐ!AE27,TTSSKĐ!AI27)))</f>
        <v>0</v>
      </c>
      <c r="C27">
        <f>SUMPRODUCT((MONTH(CHOOSE({1,2,3,4},TTSSKĐ!T27,TTSSKĐ!X27,TTSSKĐ!AB27,TTSSKĐ!AF27))=3)*(CHOOSE({1,2,3,4},TTSSKĐ!W27,TTSSKĐ!AA27,TTSSKĐ!AE27,TTSSKĐ!AI27)))</f>
        <v>0</v>
      </c>
      <c r="D27">
        <f>SUMPRODUCT((MONTH(CHOOSE({1,2,3,4},TTSSKĐ!T27,TTSSKĐ!X27,TTSSKĐ!AB27,TTSSKĐ!AF27))=4)*(CHOOSE({1,2,3,4},TTSSKĐ!W27,TTSSKĐ!AA27,TTSSKĐ!AE27,TTSSKĐ!AI27)))</f>
        <v>0</v>
      </c>
      <c r="E27">
        <f>SUMPRODUCT((MONTH(CHOOSE({1,2,3,4},TTSSKĐ!T27,TTSSKĐ!X27,TTSSKĐ!AB27,TTSSKĐ!AF27))=5)*(CHOOSE({1,2,3,4},TTSSKĐ!W27,TTSSKĐ!AA27,TTSSKĐ!AE27,TTSSKĐ!AI27)))</f>
        <v>0</v>
      </c>
      <c r="F27">
        <f>SUMPRODUCT((MONTH(CHOOSE({1,2,3,4},TTSSKĐ!T27,TTSSKĐ!X27,TTSSKĐ!AB27,TTSSKĐ!AF27))=6)*(CHOOSE({1,2,3,4},TTSSKĐ!W27,TTSSKĐ!AA27,TTSSKĐ!AE27,TTSSKĐ!AI27)))</f>
        <v>0</v>
      </c>
      <c r="G27">
        <f>SUMPRODUCT((MONTH(CHOOSE({1,2,3,4},TTSSKĐ!T27,TTSSKĐ!X27,TTSSKĐ!AB27,TTSSKĐ!AF27))=7)*(CHOOSE({1,2,3,4},TTSSKĐ!W27,TTSSKĐ!AA27,TTSSKĐ!AE27,TTSSKĐ!AI27)))</f>
        <v>0</v>
      </c>
      <c r="H27">
        <f>SUMPRODUCT((MONTH(CHOOSE({1,2,3,4},TTSSKĐ!T27,TTSSKĐ!X27,TTSSKĐ!AB27,TTSSKĐ!AF27))=8)*(CHOOSE({1,2,3,4},TTSSKĐ!W27,TTSSKĐ!AA27,TTSSKĐ!AE27,TTSSKĐ!AI27)))</f>
        <v>0</v>
      </c>
      <c r="I27">
        <f>SUMPRODUCT((MONTH(CHOOSE({1,2,3,4},TTSSKĐ!T27,TTSSKĐ!X27,TTSSKĐ!AB27,TTSSKĐ!AF27))=9)*(CHOOSE({1,2,3,4},TTSSKĐ!W27,TTSSKĐ!AA27,TTSSKĐ!AE27,TTSSKĐ!AI27)))</f>
        <v>0</v>
      </c>
      <c r="J27">
        <f>SUMPRODUCT((MONTH(CHOOSE({1,2,3,4},TTSSKĐ!T27,TTSSKĐ!X27,TTSSKĐ!AB27,TTSSKĐ!AF27))=10)*(CHOOSE({1,2,3,4},TTSSKĐ!W27,TTSSKĐ!AA27,TTSSKĐ!AE27,TTSSKĐ!AI27)))</f>
        <v>0</v>
      </c>
      <c r="K27">
        <f>SUMPRODUCT((MONTH(CHOOSE({1,2,3,4},TTSSKĐ!T27,TTSSKĐ!X27,TTSSKĐ!AB27,TTSSKĐ!AF27))=11)*(CHOOSE({1,2,3,4},TTSSKĐ!W27,TTSSKĐ!AA27,TTSSKĐ!AE27,TTSSKĐ!AI27)))</f>
        <v>0</v>
      </c>
      <c r="L27">
        <f>SUMPRODUCT((MONTH(CHOOSE({1,2,3,4},TTSSKĐ!T27,TTSSKĐ!X27,TTSSKĐ!AB27,TTSSKĐ!AF27))=12)*(CHOOSE({1,2,3,4},TTSSKĐ!W27,TTSSKĐ!AA27,TTSSKĐ!AE27,TTSSKĐ!AI27)))</f>
        <v>0</v>
      </c>
    </row>
    <row r="28" spans="1:12">
      <c r="A28">
        <f>SUMPRODUCT((MONTH(CHOOSE({1,2,3,4},TTSSKĐ!T28,TTSSKĐ!X28,TTSSKĐ!AB28,TTSSKĐ!AF28))=1)*(CHOOSE({1,2,3,4},TTSSKĐ!W28,TTSSKĐ!AA28,TTSSKĐ!AE28,TTSSKĐ!AI28)))</f>
        <v>0</v>
      </c>
      <c r="B28">
        <f>SUMPRODUCT((MONTH(CHOOSE({1,2,3,4},TTSSKĐ!T28,TTSSKĐ!X28,TTSSKĐ!AB28,TTSSKĐ!AF28))=2)*(CHOOSE({1,2,3,4},TTSSKĐ!W28,TTSSKĐ!AA28,TTSSKĐ!AE28,TTSSKĐ!AI28)))</f>
        <v>0</v>
      </c>
      <c r="C28">
        <f>SUMPRODUCT((MONTH(CHOOSE({1,2,3,4},TTSSKĐ!T28,TTSSKĐ!X28,TTSSKĐ!AB28,TTSSKĐ!AF28))=3)*(CHOOSE({1,2,3,4},TTSSKĐ!W28,TTSSKĐ!AA28,TTSSKĐ!AE28,TTSSKĐ!AI28)))</f>
        <v>0</v>
      </c>
      <c r="D28">
        <f>SUMPRODUCT((MONTH(CHOOSE({1,2,3,4},TTSSKĐ!T28,TTSSKĐ!X28,TTSSKĐ!AB28,TTSSKĐ!AF28))=4)*(CHOOSE({1,2,3,4},TTSSKĐ!W28,TTSSKĐ!AA28,TTSSKĐ!AE28,TTSSKĐ!AI28)))</f>
        <v>0</v>
      </c>
      <c r="E28">
        <f>SUMPRODUCT((MONTH(CHOOSE({1,2,3,4},TTSSKĐ!T28,TTSSKĐ!X28,TTSSKĐ!AB28,TTSSKĐ!AF28))=5)*(CHOOSE({1,2,3,4},TTSSKĐ!W28,TTSSKĐ!AA28,TTSSKĐ!AE28,TTSSKĐ!AI28)))</f>
        <v>0</v>
      </c>
      <c r="F28">
        <f>SUMPRODUCT((MONTH(CHOOSE({1,2,3,4},TTSSKĐ!T28,TTSSKĐ!X28,TTSSKĐ!AB28,TTSSKĐ!AF28))=6)*(CHOOSE({1,2,3,4},TTSSKĐ!W28,TTSSKĐ!AA28,TTSSKĐ!AE28,TTSSKĐ!AI28)))</f>
        <v>0</v>
      </c>
      <c r="G28">
        <f>SUMPRODUCT((MONTH(CHOOSE({1,2,3,4},TTSSKĐ!T28,TTSSKĐ!X28,TTSSKĐ!AB28,TTSSKĐ!AF28))=7)*(CHOOSE({1,2,3,4},TTSSKĐ!W28,TTSSKĐ!AA28,TTSSKĐ!AE28,TTSSKĐ!AI28)))</f>
        <v>0</v>
      </c>
      <c r="H28">
        <f>SUMPRODUCT((MONTH(CHOOSE({1,2,3,4},TTSSKĐ!T28,TTSSKĐ!X28,TTSSKĐ!AB28,TTSSKĐ!AF28))=8)*(CHOOSE({1,2,3,4},TTSSKĐ!W28,TTSSKĐ!AA28,TTSSKĐ!AE28,TTSSKĐ!AI28)))</f>
        <v>0</v>
      </c>
      <c r="I28">
        <f>SUMPRODUCT((MONTH(CHOOSE({1,2,3,4},TTSSKĐ!T28,TTSSKĐ!X28,TTSSKĐ!AB28,TTSSKĐ!AF28))=9)*(CHOOSE({1,2,3,4},TTSSKĐ!W28,TTSSKĐ!AA28,TTSSKĐ!AE28,TTSSKĐ!AI28)))</f>
        <v>0</v>
      </c>
      <c r="J28">
        <f>SUMPRODUCT((MONTH(CHOOSE({1,2,3,4},TTSSKĐ!T28,TTSSKĐ!X28,TTSSKĐ!AB28,TTSSKĐ!AF28))=10)*(CHOOSE({1,2,3,4},TTSSKĐ!W28,TTSSKĐ!AA28,TTSSKĐ!AE28,TTSSKĐ!AI28)))</f>
        <v>0</v>
      </c>
      <c r="K28">
        <f>SUMPRODUCT((MONTH(CHOOSE({1,2,3,4},TTSSKĐ!T28,TTSSKĐ!X28,TTSSKĐ!AB28,TTSSKĐ!AF28))=11)*(CHOOSE({1,2,3,4},TTSSKĐ!W28,TTSSKĐ!AA28,TTSSKĐ!AE28,TTSSKĐ!AI28)))</f>
        <v>0</v>
      </c>
      <c r="L28">
        <f>SUMPRODUCT((MONTH(CHOOSE({1,2,3,4},TTSSKĐ!T28,TTSSKĐ!X28,TTSSKĐ!AB28,TTSSKĐ!AF28))=12)*(CHOOSE({1,2,3,4},TTSSKĐ!W28,TTSSKĐ!AA28,TTSSKĐ!AE28,TTSSKĐ!AI28)))</f>
        <v>0</v>
      </c>
    </row>
    <row r="29" spans="1:12">
      <c r="A29">
        <f>SUMPRODUCT((MONTH(CHOOSE({1,2,3,4},TTSSKĐ!T29,TTSSKĐ!X29,TTSSKĐ!AB29,TTSSKĐ!AF29))=1)*(CHOOSE({1,2,3,4},TTSSKĐ!W29,TTSSKĐ!AA29,TTSSKĐ!AE29,TTSSKĐ!AI29)))</f>
        <v>0</v>
      </c>
      <c r="B29">
        <f>SUMPRODUCT((MONTH(CHOOSE({1,2,3,4},TTSSKĐ!T29,TTSSKĐ!X29,TTSSKĐ!AB29,TTSSKĐ!AF29))=2)*(CHOOSE({1,2,3,4},TTSSKĐ!W29,TTSSKĐ!AA29,TTSSKĐ!AE29,TTSSKĐ!AI29)))</f>
        <v>0</v>
      </c>
      <c r="C29">
        <f>SUMPRODUCT((MONTH(CHOOSE({1,2,3,4},TTSSKĐ!T29,TTSSKĐ!X29,TTSSKĐ!AB29,TTSSKĐ!AF29))=3)*(CHOOSE({1,2,3,4},TTSSKĐ!W29,TTSSKĐ!AA29,TTSSKĐ!AE29,TTSSKĐ!AI29)))</f>
        <v>0</v>
      </c>
      <c r="D29">
        <f>SUMPRODUCT((MONTH(CHOOSE({1,2,3,4},TTSSKĐ!T29,TTSSKĐ!X29,TTSSKĐ!AB29,TTSSKĐ!AF29))=4)*(CHOOSE({1,2,3,4},TTSSKĐ!W29,TTSSKĐ!AA29,TTSSKĐ!AE29,TTSSKĐ!AI29)))</f>
        <v>0</v>
      </c>
      <c r="E29">
        <f>SUMPRODUCT((MONTH(CHOOSE({1,2,3,4},TTSSKĐ!T29,TTSSKĐ!X29,TTSSKĐ!AB29,TTSSKĐ!AF29))=5)*(CHOOSE({1,2,3,4},TTSSKĐ!W29,TTSSKĐ!AA29,TTSSKĐ!AE29,TTSSKĐ!AI29)))</f>
        <v>0</v>
      </c>
      <c r="F29">
        <f>SUMPRODUCT((MONTH(CHOOSE({1,2,3,4},TTSSKĐ!T29,TTSSKĐ!X29,TTSSKĐ!AB29,TTSSKĐ!AF29))=6)*(CHOOSE({1,2,3,4},TTSSKĐ!W29,TTSSKĐ!AA29,TTSSKĐ!AE29,TTSSKĐ!AI29)))</f>
        <v>0</v>
      </c>
      <c r="G29">
        <f>SUMPRODUCT((MONTH(CHOOSE({1,2,3,4},TTSSKĐ!T29,TTSSKĐ!X29,TTSSKĐ!AB29,TTSSKĐ!AF29))=7)*(CHOOSE({1,2,3,4},TTSSKĐ!W29,TTSSKĐ!AA29,TTSSKĐ!AE29,TTSSKĐ!AI29)))</f>
        <v>0</v>
      </c>
      <c r="H29">
        <f>SUMPRODUCT((MONTH(CHOOSE({1,2,3,4},TTSSKĐ!T29,TTSSKĐ!X29,TTSSKĐ!AB29,TTSSKĐ!AF29))=8)*(CHOOSE({1,2,3,4},TTSSKĐ!W29,TTSSKĐ!AA29,TTSSKĐ!AE29,TTSSKĐ!AI29)))</f>
        <v>0</v>
      </c>
      <c r="I29">
        <f>SUMPRODUCT((MONTH(CHOOSE({1,2,3,4},TTSSKĐ!T29,TTSSKĐ!X29,TTSSKĐ!AB29,TTSSKĐ!AF29))=9)*(CHOOSE({1,2,3,4},TTSSKĐ!W29,TTSSKĐ!AA29,TTSSKĐ!AE29,TTSSKĐ!AI29)))</f>
        <v>0</v>
      </c>
      <c r="J29">
        <f>SUMPRODUCT((MONTH(CHOOSE({1,2,3,4},TTSSKĐ!T29,TTSSKĐ!X29,TTSSKĐ!AB29,TTSSKĐ!AF29))=10)*(CHOOSE({1,2,3,4},TTSSKĐ!W29,TTSSKĐ!AA29,TTSSKĐ!AE29,TTSSKĐ!AI29)))</f>
        <v>0</v>
      </c>
      <c r="K29">
        <f>SUMPRODUCT((MONTH(CHOOSE({1,2,3,4},TTSSKĐ!T29,TTSSKĐ!X29,TTSSKĐ!AB29,TTSSKĐ!AF29))=11)*(CHOOSE({1,2,3,4},TTSSKĐ!W29,TTSSKĐ!AA29,TTSSKĐ!AE29,TTSSKĐ!AI29)))</f>
        <v>0</v>
      </c>
      <c r="L29">
        <f>SUMPRODUCT((MONTH(CHOOSE({1,2,3,4},TTSSKĐ!T29,TTSSKĐ!X29,TTSSKĐ!AB29,TTSSKĐ!AF29))=12)*(CHOOSE({1,2,3,4},TTSSKĐ!W29,TTSSKĐ!AA29,TTSSKĐ!AE29,TTSSKĐ!AI29)))</f>
        <v>0</v>
      </c>
    </row>
    <row r="30" spans="1:12">
      <c r="A30">
        <f>SUMPRODUCT((MONTH(CHOOSE({1,2,3,4},TTSSKĐ!T30,TTSSKĐ!X30,TTSSKĐ!AB30,TTSSKĐ!AF30))=1)*(CHOOSE({1,2,3,4},TTSSKĐ!W30,TTSSKĐ!AA30,TTSSKĐ!AE30,TTSSKĐ!AI30)))</f>
        <v>0</v>
      </c>
      <c r="B30">
        <f>SUMPRODUCT((MONTH(CHOOSE({1,2,3,4},TTSSKĐ!T30,TTSSKĐ!X30,TTSSKĐ!AB30,TTSSKĐ!AF30))=2)*(CHOOSE({1,2,3,4},TTSSKĐ!W30,TTSSKĐ!AA30,TTSSKĐ!AE30,TTSSKĐ!AI30)))</f>
        <v>0</v>
      </c>
      <c r="C30">
        <f>SUMPRODUCT((MONTH(CHOOSE({1,2,3,4},TTSSKĐ!T30,TTSSKĐ!X30,TTSSKĐ!AB30,TTSSKĐ!AF30))=3)*(CHOOSE({1,2,3,4},TTSSKĐ!W30,TTSSKĐ!AA30,TTSSKĐ!AE30,TTSSKĐ!AI30)))</f>
        <v>0</v>
      </c>
      <c r="D30">
        <f>SUMPRODUCT((MONTH(CHOOSE({1,2,3,4},TTSSKĐ!T30,TTSSKĐ!X30,TTSSKĐ!AB30,TTSSKĐ!AF30))=4)*(CHOOSE({1,2,3,4},TTSSKĐ!W30,TTSSKĐ!AA30,TTSSKĐ!AE30,TTSSKĐ!AI30)))</f>
        <v>0</v>
      </c>
      <c r="E30">
        <f>SUMPRODUCT((MONTH(CHOOSE({1,2,3,4},TTSSKĐ!T30,TTSSKĐ!X30,TTSSKĐ!AB30,TTSSKĐ!AF30))=5)*(CHOOSE({1,2,3,4},TTSSKĐ!W30,TTSSKĐ!AA30,TTSSKĐ!AE30,TTSSKĐ!AI30)))</f>
        <v>0</v>
      </c>
      <c r="F30">
        <f>SUMPRODUCT((MONTH(CHOOSE({1,2,3,4},TTSSKĐ!T30,TTSSKĐ!X30,TTSSKĐ!AB30,TTSSKĐ!AF30))=6)*(CHOOSE({1,2,3,4},TTSSKĐ!W30,TTSSKĐ!AA30,TTSSKĐ!AE30,TTSSKĐ!AI30)))</f>
        <v>0</v>
      </c>
      <c r="G30">
        <f>SUMPRODUCT((MONTH(CHOOSE({1,2,3,4},TTSSKĐ!T30,TTSSKĐ!X30,TTSSKĐ!AB30,TTSSKĐ!AF30))=7)*(CHOOSE({1,2,3,4},TTSSKĐ!W30,TTSSKĐ!AA30,TTSSKĐ!AE30,TTSSKĐ!AI30)))</f>
        <v>0</v>
      </c>
      <c r="H30">
        <f>SUMPRODUCT((MONTH(CHOOSE({1,2,3,4},TTSSKĐ!T30,TTSSKĐ!X30,TTSSKĐ!AB30,TTSSKĐ!AF30))=8)*(CHOOSE({1,2,3,4},TTSSKĐ!W30,TTSSKĐ!AA30,TTSSKĐ!AE30,TTSSKĐ!AI30)))</f>
        <v>0</v>
      </c>
      <c r="I30">
        <f>SUMPRODUCT((MONTH(CHOOSE({1,2,3,4},TTSSKĐ!T30,TTSSKĐ!X30,TTSSKĐ!AB30,TTSSKĐ!AF30))=9)*(CHOOSE({1,2,3,4},TTSSKĐ!W30,TTSSKĐ!AA30,TTSSKĐ!AE30,TTSSKĐ!AI30)))</f>
        <v>0</v>
      </c>
      <c r="J30">
        <f>SUMPRODUCT((MONTH(CHOOSE({1,2,3,4},TTSSKĐ!T30,TTSSKĐ!X30,TTSSKĐ!AB30,TTSSKĐ!AF30))=10)*(CHOOSE({1,2,3,4},TTSSKĐ!W30,TTSSKĐ!AA30,TTSSKĐ!AE30,TTSSKĐ!AI30)))</f>
        <v>0</v>
      </c>
      <c r="K30">
        <f>SUMPRODUCT((MONTH(CHOOSE({1,2,3,4},TTSSKĐ!T30,TTSSKĐ!X30,TTSSKĐ!AB30,TTSSKĐ!AF30))=11)*(CHOOSE({1,2,3,4},TTSSKĐ!W30,TTSSKĐ!AA30,TTSSKĐ!AE30,TTSSKĐ!AI30)))</f>
        <v>0</v>
      </c>
      <c r="L30">
        <f>SUMPRODUCT((MONTH(CHOOSE({1,2,3,4},TTSSKĐ!T30,TTSSKĐ!X30,TTSSKĐ!AB30,TTSSKĐ!AF30))=12)*(CHOOSE({1,2,3,4},TTSSKĐ!W30,TTSSKĐ!AA30,TTSSKĐ!AE30,TTSSKĐ!AI30)))</f>
        <v>0</v>
      </c>
    </row>
    <row r="31" spans="1:12">
      <c r="A31">
        <f>SUMPRODUCT((MONTH(CHOOSE({1,2,3,4},TTSSKĐ!T31,TTSSKĐ!X31,TTSSKĐ!AB31,TTSSKĐ!AF31))=1)*(CHOOSE({1,2,3,4},TTSSKĐ!W31,TTSSKĐ!AA31,TTSSKĐ!AE31,TTSSKĐ!AI31)))</f>
        <v>0</v>
      </c>
      <c r="B31">
        <f>SUMPRODUCT((MONTH(CHOOSE({1,2,3,4},TTSSKĐ!T31,TTSSKĐ!X31,TTSSKĐ!AB31,TTSSKĐ!AF31))=2)*(CHOOSE({1,2,3,4},TTSSKĐ!W31,TTSSKĐ!AA31,TTSSKĐ!AE31,TTSSKĐ!AI31)))</f>
        <v>0</v>
      </c>
      <c r="C31">
        <f>SUMPRODUCT((MONTH(CHOOSE({1,2,3,4},TTSSKĐ!T31,TTSSKĐ!X31,TTSSKĐ!AB31,TTSSKĐ!AF31))=3)*(CHOOSE({1,2,3,4},TTSSKĐ!W31,TTSSKĐ!AA31,TTSSKĐ!AE31,TTSSKĐ!AI31)))</f>
        <v>0</v>
      </c>
      <c r="D31">
        <f>SUMPRODUCT((MONTH(CHOOSE({1,2,3,4},TTSSKĐ!T31,TTSSKĐ!X31,TTSSKĐ!AB31,TTSSKĐ!AF31))=4)*(CHOOSE({1,2,3,4},TTSSKĐ!W31,TTSSKĐ!AA31,TTSSKĐ!AE31,TTSSKĐ!AI31)))</f>
        <v>0</v>
      </c>
      <c r="E31">
        <f>SUMPRODUCT((MONTH(CHOOSE({1,2,3,4},TTSSKĐ!T31,TTSSKĐ!X31,TTSSKĐ!AB31,TTSSKĐ!AF31))=5)*(CHOOSE({1,2,3,4},TTSSKĐ!W31,TTSSKĐ!AA31,TTSSKĐ!AE31,TTSSKĐ!AI31)))</f>
        <v>0</v>
      </c>
      <c r="F31">
        <f>SUMPRODUCT((MONTH(CHOOSE({1,2,3,4},TTSSKĐ!T31,TTSSKĐ!X31,TTSSKĐ!AB31,TTSSKĐ!AF31))=6)*(CHOOSE({1,2,3,4},TTSSKĐ!W31,TTSSKĐ!AA31,TTSSKĐ!AE31,TTSSKĐ!AI31)))</f>
        <v>0</v>
      </c>
      <c r="G31">
        <f>SUMPRODUCT((MONTH(CHOOSE({1,2,3,4},TTSSKĐ!T31,TTSSKĐ!X31,TTSSKĐ!AB31,TTSSKĐ!AF31))=7)*(CHOOSE({1,2,3,4},TTSSKĐ!W31,TTSSKĐ!AA31,TTSSKĐ!AE31,TTSSKĐ!AI31)))</f>
        <v>0</v>
      </c>
      <c r="H31">
        <f>SUMPRODUCT((MONTH(CHOOSE({1,2,3,4},TTSSKĐ!T31,TTSSKĐ!X31,TTSSKĐ!AB31,TTSSKĐ!AF31))=8)*(CHOOSE({1,2,3,4},TTSSKĐ!W31,TTSSKĐ!AA31,TTSSKĐ!AE31,TTSSKĐ!AI31)))</f>
        <v>0</v>
      </c>
      <c r="I31">
        <f>SUMPRODUCT((MONTH(CHOOSE({1,2,3,4},TTSSKĐ!T31,TTSSKĐ!X31,TTSSKĐ!AB31,TTSSKĐ!AF31))=9)*(CHOOSE({1,2,3,4},TTSSKĐ!W31,TTSSKĐ!AA31,TTSSKĐ!AE31,TTSSKĐ!AI31)))</f>
        <v>0</v>
      </c>
      <c r="J31">
        <f>SUMPRODUCT((MONTH(CHOOSE({1,2,3,4},TTSSKĐ!T31,TTSSKĐ!X31,TTSSKĐ!AB31,TTSSKĐ!AF31))=10)*(CHOOSE({1,2,3,4},TTSSKĐ!W31,TTSSKĐ!AA31,TTSSKĐ!AE31,TTSSKĐ!AI31)))</f>
        <v>0</v>
      </c>
      <c r="K31">
        <f>SUMPRODUCT((MONTH(CHOOSE({1,2,3,4},TTSSKĐ!T31,TTSSKĐ!X31,TTSSKĐ!AB31,TTSSKĐ!AF31))=11)*(CHOOSE({1,2,3,4},TTSSKĐ!W31,TTSSKĐ!AA31,TTSSKĐ!AE31,TTSSKĐ!AI31)))</f>
        <v>0</v>
      </c>
      <c r="L31">
        <f>SUMPRODUCT((MONTH(CHOOSE({1,2,3,4},TTSSKĐ!T31,TTSSKĐ!X31,TTSSKĐ!AB31,TTSSKĐ!AF31))=12)*(CHOOSE({1,2,3,4},TTSSKĐ!W31,TTSSKĐ!AA31,TTSSKĐ!AE31,TTSSKĐ!AI31)))</f>
        <v>0</v>
      </c>
    </row>
    <row r="32" spans="1:12">
      <c r="A32">
        <f>SUMPRODUCT((MONTH(CHOOSE({1,2,3,4},TTSSKĐ!T32,TTSSKĐ!X32,TTSSKĐ!AB32,TTSSKĐ!AF32))=1)*(CHOOSE({1,2,3,4},TTSSKĐ!W32,TTSSKĐ!AA32,TTSSKĐ!AE32,TTSSKĐ!AI32)))</f>
        <v>0</v>
      </c>
      <c r="B32">
        <f>SUMPRODUCT((MONTH(CHOOSE({1,2,3,4},TTSSKĐ!T32,TTSSKĐ!X32,TTSSKĐ!AB32,TTSSKĐ!AF32))=2)*(CHOOSE({1,2,3,4},TTSSKĐ!W32,TTSSKĐ!AA32,TTSSKĐ!AE32,TTSSKĐ!AI32)))</f>
        <v>0</v>
      </c>
      <c r="C32">
        <f>SUMPRODUCT((MONTH(CHOOSE({1,2,3,4},TTSSKĐ!T32,TTSSKĐ!X32,TTSSKĐ!AB32,TTSSKĐ!AF32))=3)*(CHOOSE({1,2,3,4},TTSSKĐ!W32,TTSSKĐ!AA32,TTSSKĐ!AE32,TTSSKĐ!AI32)))</f>
        <v>0</v>
      </c>
      <c r="D32">
        <f>SUMPRODUCT((MONTH(CHOOSE({1,2,3,4},TTSSKĐ!T32,TTSSKĐ!X32,TTSSKĐ!AB32,TTSSKĐ!AF32))=4)*(CHOOSE({1,2,3,4},TTSSKĐ!W32,TTSSKĐ!AA32,TTSSKĐ!AE32,TTSSKĐ!AI32)))</f>
        <v>0</v>
      </c>
      <c r="E32">
        <f>SUMPRODUCT((MONTH(CHOOSE({1,2,3,4},TTSSKĐ!T32,TTSSKĐ!X32,TTSSKĐ!AB32,TTSSKĐ!AF32))=5)*(CHOOSE({1,2,3,4},TTSSKĐ!W32,TTSSKĐ!AA32,TTSSKĐ!AE32,TTSSKĐ!AI32)))</f>
        <v>0</v>
      </c>
      <c r="F32">
        <f>SUMPRODUCT((MONTH(CHOOSE({1,2,3,4},TTSSKĐ!T32,TTSSKĐ!X32,TTSSKĐ!AB32,TTSSKĐ!AF32))=6)*(CHOOSE({1,2,3,4},TTSSKĐ!W32,TTSSKĐ!AA32,TTSSKĐ!AE32,TTSSKĐ!AI32)))</f>
        <v>0</v>
      </c>
      <c r="G32">
        <f>SUMPRODUCT((MONTH(CHOOSE({1,2,3,4},TTSSKĐ!T32,TTSSKĐ!X32,TTSSKĐ!AB32,TTSSKĐ!AF32))=7)*(CHOOSE({1,2,3,4},TTSSKĐ!W32,TTSSKĐ!AA32,TTSSKĐ!AE32,TTSSKĐ!AI32)))</f>
        <v>0</v>
      </c>
      <c r="H32">
        <f>SUMPRODUCT((MONTH(CHOOSE({1,2,3,4},TTSSKĐ!T32,TTSSKĐ!X32,TTSSKĐ!AB32,TTSSKĐ!AF32))=8)*(CHOOSE({1,2,3,4},TTSSKĐ!W32,TTSSKĐ!AA32,TTSSKĐ!AE32,TTSSKĐ!AI32)))</f>
        <v>0</v>
      </c>
      <c r="I32">
        <f>SUMPRODUCT((MONTH(CHOOSE({1,2,3,4},TTSSKĐ!T32,TTSSKĐ!X32,TTSSKĐ!AB32,TTSSKĐ!AF32))=9)*(CHOOSE({1,2,3,4},TTSSKĐ!W32,TTSSKĐ!AA32,TTSSKĐ!AE32,TTSSKĐ!AI32)))</f>
        <v>0</v>
      </c>
      <c r="J32">
        <f>SUMPRODUCT((MONTH(CHOOSE({1,2,3,4},TTSSKĐ!T32,TTSSKĐ!X32,TTSSKĐ!AB32,TTSSKĐ!AF32))=10)*(CHOOSE({1,2,3,4},TTSSKĐ!W32,TTSSKĐ!AA32,TTSSKĐ!AE32,TTSSKĐ!AI32)))</f>
        <v>0</v>
      </c>
      <c r="K32">
        <f>SUMPRODUCT((MONTH(CHOOSE({1,2,3,4},TTSSKĐ!T32,TTSSKĐ!X32,TTSSKĐ!AB32,TTSSKĐ!AF32))=11)*(CHOOSE({1,2,3,4},TTSSKĐ!W32,TTSSKĐ!AA32,TTSSKĐ!AE32,TTSSKĐ!AI32)))</f>
        <v>0</v>
      </c>
      <c r="L32">
        <f>SUMPRODUCT((MONTH(CHOOSE({1,2,3,4},TTSSKĐ!T32,TTSSKĐ!X32,TTSSKĐ!AB32,TTSSKĐ!AF32))=12)*(CHOOSE({1,2,3,4},TTSSKĐ!W32,TTSSKĐ!AA32,TTSSKĐ!AE32,TTSSKĐ!AI32)))</f>
        <v>0</v>
      </c>
    </row>
    <row r="33" spans="1:12">
      <c r="A33">
        <f>SUMPRODUCT((MONTH(CHOOSE({1,2,3,4},TTSSKĐ!T33,TTSSKĐ!X33,TTSSKĐ!AB33,TTSSKĐ!AF33))=1)*(CHOOSE({1,2,3,4},TTSSKĐ!W33,TTSSKĐ!AA33,TTSSKĐ!AE33,TTSSKĐ!AI33)))</f>
        <v>0</v>
      </c>
      <c r="B33">
        <f>SUMPRODUCT((MONTH(CHOOSE({1,2,3,4},TTSSKĐ!T33,TTSSKĐ!X33,TTSSKĐ!AB33,TTSSKĐ!AF33))=2)*(CHOOSE({1,2,3,4},TTSSKĐ!W33,TTSSKĐ!AA33,TTSSKĐ!AE33,TTSSKĐ!AI33)))</f>
        <v>0</v>
      </c>
      <c r="C33">
        <f>SUMPRODUCT((MONTH(CHOOSE({1,2,3,4},TTSSKĐ!T33,TTSSKĐ!X33,TTSSKĐ!AB33,TTSSKĐ!AF33))=3)*(CHOOSE({1,2,3,4},TTSSKĐ!W33,TTSSKĐ!AA33,TTSSKĐ!AE33,TTSSKĐ!AI33)))</f>
        <v>0</v>
      </c>
      <c r="D33">
        <f>SUMPRODUCT((MONTH(CHOOSE({1,2,3,4},TTSSKĐ!T33,TTSSKĐ!X33,TTSSKĐ!AB33,TTSSKĐ!AF33))=4)*(CHOOSE({1,2,3,4},TTSSKĐ!W33,TTSSKĐ!AA33,TTSSKĐ!AE33,TTSSKĐ!AI33)))</f>
        <v>0</v>
      </c>
      <c r="E33">
        <f>SUMPRODUCT((MONTH(CHOOSE({1,2,3,4},TTSSKĐ!T33,TTSSKĐ!X33,TTSSKĐ!AB33,TTSSKĐ!AF33))=5)*(CHOOSE({1,2,3,4},TTSSKĐ!W33,TTSSKĐ!AA33,TTSSKĐ!AE33,TTSSKĐ!AI33)))</f>
        <v>0</v>
      </c>
      <c r="F33">
        <f>SUMPRODUCT((MONTH(CHOOSE({1,2,3,4},TTSSKĐ!T33,TTSSKĐ!X33,TTSSKĐ!AB33,TTSSKĐ!AF33))=6)*(CHOOSE({1,2,3,4},TTSSKĐ!W33,TTSSKĐ!AA33,TTSSKĐ!AE33,TTSSKĐ!AI33)))</f>
        <v>0</v>
      </c>
      <c r="G33">
        <f>SUMPRODUCT((MONTH(CHOOSE({1,2,3,4},TTSSKĐ!T33,TTSSKĐ!X33,TTSSKĐ!AB33,TTSSKĐ!AF33))=7)*(CHOOSE({1,2,3,4},TTSSKĐ!W33,TTSSKĐ!AA33,TTSSKĐ!AE33,TTSSKĐ!AI33)))</f>
        <v>0</v>
      </c>
      <c r="H33">
        <f>SUMPRODUCT((MONTH(CHOOSE({1,2,3,4},TTSSKĐ!T33,TTSSKĐ!X33,TTSSKĐ!AB33,TTSSKĐ!AF33))=8)*(CHOOSE({1,2,3,4},TTSSKĐ!W33,TTSSKĐ!AA33,TTSSKĐ!AE33,TTSSKĐ!AI33)))</f>
        <v>0</v>
      </c>
      <c r="I33">
        <f>SUMPRODUCT((MONTH(CHOOSE({1,2,3,4},TTSSKĐ!T33,TTSSKĐ!X33,TTSSKĐ!AB33,TTSSKĐ!AF33))=9)*(CHOOSE({1,2,3,4},TTSSKĐ!W33,TTSSKĐ!AA33,TTSSKĐ!AE33,TTSSKĐ!AI33)))</f>
        <v>0</v>
      </c>
      <c r="J33">
        <f>SUMPRODUCT((MONTH(CHOOSE({1,2,3,4},TTSSKĐ!T33,TTSSKĐ!X33,TTSSKĐ!AB33,TTSSKĐ!AF33))=10)*(CHOOSE({1,2,3,4},TTSSKĐ!W33,TTSSKĐ!AA33,TTSSKĐ!AE33,TTSSKĐ!AI33)))</f>
        <v>0</v>
      </c>
      <c r="K33">
        <f>SUMPRODUCT((MONTH(CHOOSE({1,2,3,4},TTSSKĐ!T33,TTSSKĐ!X33,TTSSKĐ!AB33,TTSSKĐ!AF33))=11)*(CHOOSE({1,2,3,4},TTSSKĐ!W33,TTSSKĐ!AA33,TTSSKĐ!AE33,TTSSKĐ!AI33)))</f>
        <v>0</v>
      </c>
      <c r="L33">
        <f>SUMPRODUCT((MONTH(CHOOSE({1,2,3,4},TTSSKĐ!T33,TTSSKĐ!X33,TTSSKĐ!AB33,TTSSKĐ!AF33))=12)*(CHOOSE({1,2,3,4},TTSSKĐ!W33,TTSSKĐ!AA33,TTSSKĐ!AE33,TTSSKĐ!AI33)))</f>
        <v>0</v>
      </c>
    </row>
    <row r="34" spans="1:12">
      <c r="A34">
        <f>SUMPRODUCT((MONTH(CHOOSE({1,2,3,4},TTSSKĐ!T34,TTSSKĐ!X34,TTSSKĐ!AB34,TTSSKĐ!AF34))=1)*(CHOOSE({1,2,3,4},TTSSKĐ!W34,TTSSKĐ!AA34,TTSSKĐ!AE34,TTSSKĐ!AI34)))</f>
        <v>0</v>
      </c>
      <c r="B34">
        <f>SUMPRODUCT((MONTH(CHOOSE({1,2,3,4},TTSSKĐ!T34,TTSSKĐ!X34,TTSSKĐ!AB34,TTSSKĐ!AF34))=2)*(CHOOSE({1,2,3,4},TTSSKĐ!W34,TTSSKĐ!AA34,TTSSKĐ!AE34,TTSSKĐ!AI34)))</f>
        <v>0</v>
      </c>
      <c r="C34">
        <f>SUMPRODUCT((MONTH(CHOOSE({1,2,3,4},TTSSKĐ!T34,TTSSKĐ!X34,TTSSKĐ!AB34,TTSSKĐ!AF34))=3)*(CHOOSE({1,2,3,4},TTSSKĐ!W34,TTSSKĐ!AA34,TTSSKĐ!AE34,TTSSKĐ!AI34)))</f>
        <v>0</v>
      </c>
      <c r="D34">
        <f>SUMPRODUCT((MONTH(CHOOSE({1,2,3,4},TTSSKĐ!T34,TTSSKĐ!X34,TTSSKĐ!AB34,TTSSKĐ!AF34))=4)*(CHOOSE({1,2,3,4},TTSSKĐ!W34,TTSSKĐ!AA34,TTSSKĐ!AE34,TTSSKĐ!AI34)))</f>
        <v>0</v>
      </c>
      <c r="E34">
        <f>SUMPRODUCT((MONTH(CHOOSE({1,2,3,4},TTSSKĐ!T34,TTSSKĐ!X34,TTSSKĐ!AB34,TTSSKĐ!AF34))=5)*(CHOOSE({1,2,3,4},TTSSKĐ!W34,TTSSKĐ!AA34,TTSSKĐ!AE34,TTSSKĐ!AI34)))</f>
        <v>0</v>
      </c>
      <c r="F34">
        <f>SUMPRODUCT((MONTH(CHOOSE({1,2,3,4},TTSSKĐ!T34,TTSSKĐ!X34,TTSSKĐ!AB34,TTSSKĐ!AF34))=6)*(CHOOSE({1,2,3,4},TTSSKĐ!W34,TTSSKĐ!AA34,TTSSKĐ!AE34,TTSSKĐ!AI34)))</f>
        <v>0</v>
      </c>
      <c r="G34">
        <f>SUMPRODUCT((MONTH(CHOOSE({1,2,3,4},TTSSKĐ!T34,TTSSKĐ!X34,TTSSKĐ!AB34,TTSSKĐ!AF34))=7)*(CHOOSE({1,2,3,4},TTSSKĐ!W34,TTSSKĐ!AA34,TTSSKĐ!AE34,TTSSKĐ!AI34)))</f>
        <v>0</v>
      </c>
      <c r="H34">
        <f>SUMPRODUCT((MONTH(CHOOSE({1,2,3,4},TTSSKĐ!T34,TTSSKĐ!X34,TTSSKĐ!AB34,TTSSKĐ!AF34))=8)*(CHOOSE({1,2,3,4},TTSSKĐ!W34,TTSSKĐ!AA34,TTSSKĐ!AE34,TTSSKĐ!AI34)))</f>
        <v>0</v>
      </c>
      <c r="I34">
        <f>SUMPRODUCT((MONTH(CHOOSE({1,2,3,4},TTSSKĐ!T34,TTSSKĐ!X34,TTSSKĐ!AB34,TTSSKĐ!AF34))=9)*(CHOOSE({1,2,3,4},TTSSKĐ!W34,TTSSKĐ!AA34,TTSSKĐ!AE34,TTSSKĐ!AI34)))</f>
        <v>0</v>
      </c>
      <c r="J34">
        <f>SUMPRODUCT((MONTH(CHOOSE({1,2,3,4},TTSSKĐ!T34,TTSSKĐ!X34,TTSSKĐ!AB34,TTSSKĐ!AF34))=10)*(CHOOSE({1,2,3,4},TTSSKĐ!W34,TTSSKĐ!AA34,TTSSKĐ!AE34,TTSSKĐ!AI34)))</f>
        <v>0</v>
      </c>
      <c r="K34">
        <f>SUMPRODUCT((MONTH(CHOOSE({1,2,3,4},TTSSKĐ!T34,TTSSKĐ!X34,TTSSKĐ!AB34,TTSSKĐ!AF34))=11)*(CHOOSE({1,2,3,4},TTSSKĐ!W34,TTSSKĐ!AA34,TTSSKĐ!AE34,TTSSKĐ!AI34)))</f>
        <v>0</v>
      </c>
      <c r="L34">
        <f>SUMPRODUCT((MONTH(CHOOSE({1,2,3,4},TTSSKĐ!T34,TTSSKĐ!X34,TTSSKĐ!AB34,TTSSKĐ!AF34))=12)*(CHOOSE({1,2,3,4},TTSSKĐ!W34,TTSSKĐ!AA34,TTSSKĐ!AE34,TTSSKĐ!AI34)))</f>
        <v>0</v>
      </c>
    </row>
    <row r="35" spans="1:12">
      <c r="A35">
        <f>SUMPRODUCT((MONTH(CHOOSE({1,2,3,4},TTSSKĐ!T35,TTSSKĐ!X35,TTSSKĐ!AB35,TTSSKĐ!AF35))=1)*(CHOOSE({1,2,3,4},TTSSKĐ!W35,TTSSKĐ!AA35,TTSSKĐ!AE35,TTSSKĐ!AI35)))</f>
        <v>0</v>
      </c>
      <c r="B35">
        <f>SUMPRODUCT((MONTH(CHOOSE({1,2,3,4},TTSSKĐ!T35,TTSSKĐ!X35,TTSSKĐ!AB35,TTSSKĐ!AF35))=2)*(CHOOSE({1,2,3,4},TTSSKĐ!W35,TTSSKĐ!AA35,TTSSKĐ!AE35,TTSSKĐ!AI35)))</f>
        <v>0</v>
      </c>
      <c r="C35">
        <f>SUMPRODUCT((MONTH(CHOOSE({1,2,3,4},TTSSKĐ!T35,TTSSKĐ!X35,TTSSKĐ!AB35,TTSSKĐ!AF35))=3)*(CHOOSE({1,2,3,4},TTSSKĐ!W35,TTSSKĐ!AA35,TTSSKĐ!AE35,TTSSKĐ!AI35)))</f>
        <v>0</v>
      </c>
      <c r="D35">
        <f>SUMPRODUCT((MONTH(CHOOSE({1,2,3,4},TTSSKĐ!T35,TTSSKĐ!X35,TTSSKĐ!AB35,TTSSKĐ!AF35))=4)*(CHOOSE({1,2,3,4},TTSSKĐ!W35,TTSSKĐ!AA35,TTSSKĐ!AE35,TTSSKĐ!AI35)))</f>
        <v>0</v>
      </c>
      <c r="E35">
        <f>SUMPRODUCT((MONTH(CHOOSE({1,2,3,4},TTSSKĐ!T35,TTSSKĐ!X35,TTSSKĐ!AB35,TTSSKĐ!AF35))=5)*(CHOOSE({1,2,3,4},TTSSKĐ!W35,TTSSKĐ!AA35,TTSSKĐ!AE35,TTSSKĐ!AI35)))</f>
        <v>0</v>
      </c>
      <c r="F35">
        <f>SUMPRODUCT((MONTH(CHOOSE({1,2,3,4},TTSSKĐ!T35,TTSSKĐ!X35,TTSSKĐ!AB35,TTSSKĐ!AF35))=6)*(CHOOSE({1,2,3,4},TTSSKĐ!W35,TTSSKĐ!AA35,TTSSKĐ!AE35,TTSSKĐ!AI35)))</f>
        <v>0</v>
      </c>
      <c r="G35">
        <f>SUMPRODUCT((MONTH(CHOOSE({1,2,3,4},TTSSKĐ!T35,TTSSKĐ!X35,TTSSKĐ!AB35,TTSSKĐ!AF35))=7)*(CHOOSE({1,2,3,4},TTSSKĐ!W35,TTSSKĐ!AA35,TTSSKĐ!AE35,TTSSKĐ!AI35)))</f>
        <v>0</v>
      </c>
      <c r="H35">
        <f>SUMPRODUCT((MONTH(CHOOSE({1,2,3,4},TTSSKĐ!T35,TTSSKĐ!X35,TTSSKĐ!AB35,TTSSKĐ!AF35))=8)*(CHOOSE({1,2,3,4},TTSSKĐ!W35,TTSSKĐ!AA35,TTSSKĐ!AE35,TTSSKĐ!AI35)))</f>
        <v>0</v>
      </c>
      <c r="I35">
        <f>SUMPRODUCT((MONTH(CHOOSE({1,2,3,4},TTSSKĐ!T35,TTSSKĐ!X35,TTSSKĐ!AB35,TTSSKĐ!AF35))=9)*(CHOOSE({1,2,3,4},TTSSKĐ!W35,TTSSKĐ!AA35,TTSSKĐ!AE35,TTSSKĐ!AI35)))</f>
        <v>0</v>
      </c>
      <c r="J35">
        <f>SUMPRODUCT((MONTH(CHOOSE({1,2,3,4},TTSSKĐ!T35,TTSSKĐ!X35,TTSSKĐ!AB35,TTSSKĐ!AF35))=10)*(CHOOSE({1,2,3,4},TTSSKĐ!W35,TTSSKĐ!AA35,TTSSKĐ!AE35,TTSSKĐ!AI35)))</f>
        <v>0</v>
      </c>
      <c r="K35">
        <f>SUMPRODUCT((MONTH(CHOOSE({1,2,3,4},TTSSKĐ!T35,TTSSKĐ!X35,TTSSKĐ!AB35,TTSSKĐ!AF35))=11)*(CHOOSE({1,2,3,4},TTSSKĐ!W35,TTSSKĐ!AA35,TTSSKĐ!AE35,TTSSKĐ!AI35)))</f>
        <v>0</v>
      </c>
      <c r="L35">
        <f>SUMPRODUCT((MONTH(CHOOSE({1,2,3,4},TTSSKĐ!T35,TTSSKĐ!X35,TTSSKĐ!AB35,TTSSKĐ!AF35))=12)*(CHOOSE({1,2,3,4},TTSSKĐ!W35,TTSSKĐ!AA35,TTSSKĐ!AE35,TTSSKĐ!AI35)))</f>
        <v>0</v>
      </c>
    </row>
    <row r="36" spans="1:12">
      <c r="A36">
        <f>SUMPRODUCT((MONTH(CHOOSE({1,2,3,4},TTSSKĐ!T36,TTSSKĐ!X36,TTSSKĐ!AB36,TTSSKĐ!AF36))=1)*(CHOOSE({1,2,3,4},TTSSKĐ!W36,TTSSKĐ!AA36,TTSSKĐ!AE36,TTSSKĐ!AI36)))</f>
        <v>0</v>
      </c>
      <c r="B36">
        <f>SUMPRODUCT((MONTH(CHOOSE({1,2,3,4},TTSSKĐ!T36,TTSSKĐ!X36,TTSSKĐ!AB36,TTSSKĐ!AF36))=2)*(CHOOSE({1,2,3,4},TTSSKĐ!W36,TTSSKĐ!AA36,TTSSKĐ!AE36,TTSSKĐ!AI36)))</f>
        <v>0</v>
      </c>
      <c r="C36">
        <f>SUMPRODUCT((MONTH(CHOOSE({1,2,3,4},TTSSKĐ!T36,TTSSKĐ!X36,TTSSKĐ!AB36,TTSSKĐ!AF36))=3)*(CHOOSE({1,2,3,4},TTSSKĐ!W36,TTSSKĐ!AA36,TTSSKĐ!AE36,TTSSKĐ!AI36)))</f>
        <v>0</v>
      </c>
      <c r="D36">
        <f>SUMPRODUCT((MONTH(CHOOSE({1,2,3,4},TTSSKĐ!T36,TTSSKĐ!X36,TTSSKĐ!AB36,TTSSKĐ!AF36))=4)*(CHOOSE({1,2,3,4},TTSSKĐ!W36,TTSSKĐ!AA36,TTSSKĐ!AE36,TTSSKĐ!AI36)))</f>
        <v>0</v>
      </c>
      <c r="E36">
        <f>SUMPRODUCT((MONTH(CHOOSE({1,2,3,4},TTSSKĐ!T36,TTSSKĐ!X36,TTSSKĐ!AB36,TTSSKĐ!AF36))=5)*(CHOOSE({1,2,3,4},TTSSKĐ!W36,TTSSKĐ!AA36,TTSSKĐ!AE36,TTSSKĐ!AI36)))</f>
        <v>0</v>
      </c>
      <c r="F36">
        <f>SUMPRODUCT((MONTH(CHOOSE({1,2,3,4},TTSSKĐ!T36,TTSSKĐ!X36,TTSSKĐ!AB36,TTSSKĐ!AF36))=6)*(CHOOSE({1,2,3,4},TTSSKĐ!W36,TTSSKĐ!AA36,TTSSKĐ!AE36,TTSSKĐ!AI36)))</f>
        <v>0</v>
      </c>
      <c r="G36">
        <f>SUMPRODUCT((MONTH(CHOOSE({1,2,3,4},TTSSKĐ!T36,TTSSKĐ!X36,TTSSKĐ!AB36,TTSSKĐ!AF36))=7)*(CHOOSE({1,2,3,4},TTSSKĐ!W36,TTSSKĐ!AA36,TTSSKĐ!AE36,TTSSKĐ!AI36)))</f>
        <v>0</v>
      </c>
      <c r="H36">
        <f>SUMPRODUCT((MONTH(CHOOSE({1,2,3,4},TTSSKĐ!T36,TTSSKĐ!X36,TTSSKĐ!AB36,TTSSKĐ!AF36))=8)*(CHOOSE({1,2,3,4},TTSSKĐ!W36,TTSSKĐ!AA36,TTSSKĐ!AE36,TTSSKĐ!AI36)))</f>
        <v>0</v>
      </c>
      <c r="I36">
        <f>SUMPRODUCT((MONTH(CHOOSE({1,2,3,4},TTSSKĐ!T36,TTSSKĐ!X36,TTSSKĐ!AB36,TTSSKĐ!AF36))=9)*(CHOOSE({1,2,3,4},TTSSKĐ!W36,TTSSKĐ!AA36,TTSSKĐ!AE36,TTSSKĐ!AI36)))</f>
        <v>0</v>
      </c>
      <c r="J36">
        <f>SUMPRODUCT((MONTH(CHOOSE({1,2,3,4},TTSSKĐ!T36,TTSSKĐ!X36,TTSSKĐ!AB36,TTSSKĐ!AF36))=10)*(CHOOSE({1,2,3,4},TTSSKĐ!W36,TTSSKĐ!AA36,TTSSKĐ!AE36,TTSSKĐ!AI36)))</f>
        <v>0</v>
      </c>
      <c r="K36">
        <f>SUMPRODUCT((MONTH(CHOOSE({1,2,3,4},TTSSKĐ!T36,TTSSKĐ!X36,TTSSKĐ!AB36,TTSSKĐ!AF36))=11)*(CHOOSE({1,2,3,4},TTSSKĐ!W36,TTSSKĐ!AA36,TTSSKĐ!AE36,TTSSKĐ!AI36)))</f>
        <v>0</v>
      </c>
      <c r="L36">
        <f>SUMPRODUCT((MONTH(CHOOSE({1,2,3,4},TTSSKĐ!T36,TTSSKĐ!X36,TTSSKĐ!AB36,TTSSKĐ!AF36))=12)*(CHOOSE({1,2,3,4},TTSSKĐ!W36,TTSSKĐ!AA36,TTSSKĐ!AE36,TTSSKĐ!AI36)))</f>
        <v>0</v>
      </c>
    </row>
    <row r="37" spans="1:12">
      <c r="A37">
        <f>SUMPRODUCT((MONTH(CHOOSE({1,2,3,4},TTSSKĐ!T37,TTSSKĐ!X37,TTSSKĐ!AB37,TTSSKĐ!AF37))=1)*(CHOOSE({1,2,3,4},TTSSKĐ!W37,TTSSKĐ!AA37,TTSSKĐ!AE37,TTSSKĐ!AI37)))</f>
        <v>0</v>
      </c>
      <c r="B37">
        <f>SUMPRODUCT((MONTH(CHOOSE({1,2,3,4},TTSSKĐ!T37,TTSSKĐ!X37,TTSSKĐ!AB37,TTSSKĐ!AF37))=2)*(CHOOSE({1,2,3,4},TTSSKĐ!W37,TTSSKĐ!AA37,TTSSKĐ!AE37,TTSSKĐ!AI37)))</f>
        <v>0</v>
      </c>
      <c r="C37">
        <f>SUMPRODUCT((MONTH(CHOOSE({1,2,3,4},TTSSKĐ!T37,TTSSKĐ!X37,TTSSKĐ!AB37,TTSSKĐ!AF37))=3)*(CHOOSE({1,2,3,4},TTSSKĐ!W37,TTSSKĐ!AA37,TTSSKĐ!AE37,TTSSKĐ!AI37)))</f>
        <v>0</v>
      </c>
      <c r="D37">
        <f>SUMPRODUCT((MONTH(CHOOSE({1,2,3,4},TTSSKĐ!T37,TTSSKĐ!X37,TTSSKĐ!AB37,TTSSKĐ!AF37))=4)*(CHOOSE({1,2,3,4},TTSSKĐ!W37,TTSSKĐ!AA37,TTSSKĐ!AE37,TTSSKĐ!AI37)))</f>
        <v>0</v>
      </c>
      <c r="E37">
        <f>SUMPRODUCT((MONTH(CHOOSE({1,2,3,4},TTSSKĐ!T37,TTSSKĐ!X37,TTSSKĐ!AB37,TTSSKĐ!AF37))=5)*(CHOOSE({1,2,3,4},TTSSKĐ!W37,TTSSKĐ!AA37,TTSSKĐ!AE37,TTSSKĐ!AI37)))</f>
        <v>0</v>
      </c>
      <c r="F37">
        <f>SUMPRODUCT((MONTH(CHOOSE({1,2,3,4},TTSSKĐ!T37,TTSSKĐ!X37,TTSSKĐ!AB37,TTSSKĐ!AF37))=6)*(CHOOSE({1,2,3,4},TTSSKĐ!W37,TTSSKĐ!AA37,TTSSKĐ!AE37,TTSSKĐ!AI37)))</f>
        <v>0</v>
      </c>
      <c r="G37">
        <f>SUMPRODUCT((MONTH(CHOOSE({1,2,3,4},TTSSKĐ!T37,TTSSKĐ!X37,TTSSKĐ!AB37,TTSSKĐ!AF37))=7)*(CHOOSE({1,2,3,4},TTSSKĐ!W37,TTSSKĐ!AA37,TTSSKĐ!AE37,TTSSKĐ!AI37)))</f>
        <v>0</v>
      </c>
      <c r="H37">
        <f>SUMPRODUCT((MONTH(CHOOSE({1,2,3,4},TTSSKĐ!T37,TTSSKĐ!X37,TTSSKĐ!AB37,TTSSKĐ!AF37))=8)*(CHOOSE({1,2,3,4},TTSSKĐ!W37,TTSSKĐ!AA37,TTSSKĐ!AE37,TTSSKĐ!AI37)))</f>
        <v>0</v>
      </c>
      <c r="I37">
        <f>SUMPRODUCT((MONTH(CHOOSE({1,2,3,4},TTSSKĐ!T37,TTSSKĐ!X37,TTSSKĐ!AB37,TTSSKĐ!AF37))=9)*(CHOOSE({1,2,3,4},TTSSKĐ!W37,TTSSKĐ!AA37,TTSSKĐ!AE37,TTSSKĐ!AI37)))</f>
        <v>0</v>
      </c>
      <c r="J37">
        <f>SUMPRODUCT((MONTH(CHOOSE({1,2,3,4},TTSSKĐ!T37,TTSSKĐ!X37,TTSSKĐ!AB37,TTSSKĐ!AF37))=10)*(CHOOSE({1,2,3,4},TTSSKĐ!W37,TTSSKĐ!AA37,TTSSKĐ!AE37,TTSSKĐ!AI37)))</f>
        <v>0</v>
      </c>
      <c r="K37">
        <f>SUMPRODUCT((MONTH(CHOOSE({1,2,3,4},TTSSKĐ!T37,TTSSKĐ!X37,TTSSKĐ!AB37,TTSSKĐ!AF37))=11)*(CHOOSE({1,2,3,4},TTSSKĐ!W37,TTSSKĐ!AA37,TTSSKĐ!AE37,TTSSKĐ!AI37)))</f>
        <v>0</v>
      </c>
      <c r="L37">
        <f>SUMPRODUCT((MONTH(CHOOSE({1,2,3,4},TTSSKĐ!T37,TTSSKĐ!X37,TTSSKĐ!AB37,TTSSKĐ!AF37))=12)*(CHOOSE({1,2,3,4},TTSSKĐ!W37,TTSSKĐ!AA37,TTSSKĐ!AE37,TTSSKĐ!AI37)))</f>
        <v>0</v>
      </c>
    </row>
    <row r="38" spans="1:12">
      <c r="A38">
        <f>SUMPRODUCT((MONTH(CHOOSE({1,2,3,4},TTSSKĐ!T38,TTSSKĐ!X38,TTSSKĐ!AB38,TTSSKĐ!AF38))=1)*(CHOOSE({1,2,3,4},TTSSKĐ!W38,TTSSKĐ!AA38,TTSSKĐ!AE38,TTSSKĐ!AI38)))</f>
        <v>0</v>
      </c>
      <c r="B38">
        <f>SUMPRODUCT((MONTH(CHOOSE({1,2,3,4},TTSSKĐ!T38,TTSSKĐ!X38,TTSSKĐ!AB38,TTSSKĐ!AF38))=2)*(CHOOSE({1,2,3,4},TTSSKĐ!W38,TTSSKĐ!AA38,TTSSKĐ!AE38,TTSSKĐ!AI38)))</f>
        <v>0</v>
      </c>
      <c r="C38">
        <f>SUMPRODUCT((MONTH(CHOOSE({1,2,3,4},TTSSKĐ!T38,TTSSKĐ!X38,TTSSKĐ!AB38,TTSSKĐ!AF38))=3)*(CHOOSE({1,2,3,4},TTSSKĐ!W38,TTSSKĐ!AA38,TTSSKĐ!AE38,TTSSKĐ!AI38)))</f>
        <v>0</v>
      </c>
      <c r="D38">
        <f>SUMPRODUCT((MONTH(CHOOSE({1,2,3,4},TTSSKĐ!T38,TTSSKĐ!X38,TTSSKĐ!AB38,TTSSKĐ!AF38))=4)*(CHOOSE({1,2,3,4},TTSSKĐ!W38,TTSSKĐ!AA38,TTSSKĐ!AE38,TTSSKĐ!AI38)))</f>
        <v>0</v>
      </c>
      <c r="E38">
        <f>SUMPRODUCT((MONTH(CHOOSE({1,2,3,4},TTSSKĐ!T38,TTSSKĐ!X38,TTSSKĐ!AB38,TTSSKĐ!AF38))=5)*(CHOOSE({1,2,3,4},TTSSKĐ!W38,TTSSKĐ!AA38,TTSSKĐ!AE38,TTSSKĐ!AI38)))</f>
        <v>0</v>
      </c>
      <c r="F38">
        <f>SUMPRODUCT((MONTH(CHOOSE({1,2,3,4},TTSSKĐ!T38,TTSSKĐ!X38,TTSSKĐ!AB38,TTSSKĐ!AF38))=6)*(CHOOSE({1,2,3,4},TTSSKĐ!W38,TTSSKĐ!AA38,TTSSKĐ!AE38,TTSSKĐ!AI38)))</f>
        <v>0</v>
      </c>
      <c r="G38">
        <f>SUMPRODUCT((MONTH(CHOOSE({1,2,3,4},TTSSKĐ!T38,TTSSKĐ!X38,TTSSKĐ!AB38,TTSSKĐ!AF38))=7)*(CHOOSE({1,2,3,4},TTSSKĐ!W38,TTSSKĐ!AA38,TTSSKĐ!AE38,TTSSKĐ!AI38)))</f>
        <v>0</v>
      </c>
      <c r="H38">
        <f>SUMPRODUCT((MONTH(CHOOSE({1,2,3,4},TTSSKĐ!T38,TTSSKĐ!X38,TTSSKĐ!AB38,TTSSKĐ!AF38))=8)*(CHOOSE({1,2,3,4},TTSSKĐ!W38,TTSSKĐ!AA38,TTSSKĐ!AE38,TTSSKĐ!AI38)))</f>
        <v>0</v>
      </c>
      <c r="I38">
        <f>SUMPRODUCT((MONTH(CHOOSE({1,2,3,4},TTSSKĐ!T38,TTSSKĐ!X38,TTSSKĐ!AB38,TTSSKĐ!AF38))=9)*(CHOOSE({1,2,3,4},TTSSKĐ!W38,TTSSKĐ!AA38,TTSSKĐ!AE38,TTSSKĐ!AI38)))</f>
        <v>0</v>
      </c>
      <c r="J38">
        <f>SUMPRODUCT((MONTH(CHOOSE({1,2,3,4},TTSSKĐ!T38,TTSSKĐ!X38,TTSSKĐ!AB38,TTSSKĐ!AF38))=10)*(CHOOSE({1,2,3,4},TTSSKĐ!W38,TTSSKĐ!AA38,TTSSKĐ!AE38,TTSSKĐ!AI38)))</f>
        <v>0</v>
      </c>
      <c r="K38">
        <f>SUMPRODUCT((MONTH(CHOOSE({1,2,3,4},TTSSKĐ!T38,TTSSKĐ!X38,TTSSKĐ!AB38,TTSSKĐ!AF38))=11)*(CHOOSE({1,2,3,4},TTSSKĐ!W38,TTSSKĐ!AA38,TTSSKĐ!AE38,TTSSKĐ!AI38)))</f>
        <v>0</v>
      </c>
      <c r="L38">
        <f>SUMPRODUCT((MONTH(CHOOSE({1,2,3,4},TTSSKĐ!T38,TTSSKĐ!X38,TTSSKĐ!AB38,TTSSKĐ!AF38))=12)*(CHOOSE({1,2,3,4},TTSSKĐ!W38,TTSSKĐ!AA38,TTSSKĐ!AE38,TTSSKĐ!AI38)))</f>
        <v>0</v>
      </c>
    </row>
    <row r="39" spans="1:12">
      <c r="A39">
        <f>SUMPRODUCT((MONTH(CHOOSE({1,2,3,4},TTSSKĐ!T39,TTSSKĐ!X39,TTSSKĐ!AB39,TTSSKĐ!AF39))=1)*(CHOOSE({1,2,3,4},TTSSKĐ!W39,TTSSKĐ!AA39,TTSSKĐ!AE39,TTSSKĐ!AI39)))</f>
        <v>0</v>
      </c>
      <c r="B39">
        <f>SUMPRODUCT((MONTH(CHOOSE({1,2,3,4},TTSSKĐ!T39,TTSSKĐ!X39,TTSSKĐ!AB39,TTSSKĐ!AF39))=2)*(CHOOSE({1,2,3,4},TTSSKĐ!W39,TTSSKĐ!AA39,TTSSKĐ!AE39,TTSSKĐ!AI39)))</f>
        <v>0</v>
      </c>
      <c r="C39">
        <f>SUMPRODUCT((MONTH(CHOOSE({1,2,3,4},TTSSKĐ!T39,TTSSKĐ!X39,TTSSKĐ!AB39,TTSSKĐ!AF39))=3)*(CHOOSE({1,2,3,4},TTSSKĐ!W39,TTSSKĐ!AA39,TTSSKĐ!AE39,TTSSKĐ!AI39)))</f>
        <v>0</v>
      </c>
      <c r="D39">
        <f>SUMPRODUCT((MONTH(CHOOSE({1,2,3,4},TTSSKĐ!T39,TTSSKĐ!X39,TTSSKĐ!AB39,TTSSKĐ!AF39))=4)*(CHOOSE({1,2,3,4},TTSSKĐ!W39,TTSSKĐ!AA39,TTSSKĐ!AE39,TTSSKĐ!AI39)))</f>
        <v>0</v>
      </c>
      <c r="E39">
        <f>SUMPRODUCT((MONTH(CHOOSE({1,2,3,4},TTSSKĐ!T39,TTSSKĐ!X39,TTSSKĐ!AB39,TTSSKĐ!AF39))=5)*(CHOOSE({1,2,3,4},TTSSKĐ!W39,TTSSKĐ!AA39,TTSSKĐ!AE39,TTSSKĐ!AI39)))</f>
        <v>0</v>
      </c>
      <c r="F39">
        <f>SUMPRODUCT((MONTH(CHOOSE({1,2,3,4},TTSSKĐ!T39,TTSSKĐ!X39,TTSSKĐ!AB39,TTSSKĐ!AF39))=6)*(CHOOSE({1,2,3,4},TTSSKĐ!W39,TTSSKĐ!AA39,TTSSKĐ!AE39,TTSSKĐ!AI39)))</f>
        <v>0</v>
      </c>
      <c r="G39">
        <f>SUMPRODUCT((MONTH(CHOOSE({1,2,3,4},TTSSKĐ!T39,TTSSKĐ!X39,TTSSKĐ!AB39,TTSSKĐ!AF39))=7)*(CHOOSE({1,2,3,4},TTSSKĐ!W39,TTSSKĐ!AA39,TTSSKĐ!AE39,TTSSKĐ!AI39)))</f>
        <v>0</v>
      </c>
      <c r="H39">
        <f>SUMPRODUCT((MONTH(CHOOSE({1,2,3,4},TTSSKĐ!T39,TTSSKĐ!X39,TTSSKĐ!AB39,TTSSKĐ!AF39))=8)*(CHOOSE({1,2,3,4},TTSSKĐ!W39,TTSSKĐ!AA39,TTSSKĐ!AE39,TTSSKĐ!AI39)))</f>
        <v>0</v>
      </c>
      <c r="I39">
        <f>SUMPRODUCT((MONTH(CHOOSE({1,2,3,4},TTSSKĐ!T39,TTSSKĐ!X39,TTSSKĐ!AB39,TTSSKĐ!AF39))=9)*(CHOOSE({1,2,3,4},TTSSKĐ!W39,TTSSKĐ!AA39,TTSSKĐ!AE39,TTSSKĐ!AI39)))</f>
        <v>0</v>
      </c>
      <c r="J39">
        <f>SUMPRODUCT((MONTH(CHOOSE({1,2,3,4},TTSSKĐ!T39,TTSSKĐ!X39,TTSSKĐ!AB39,TTSSKĐ!AF39))=10)*(CHOOSE({1,2,3,4},TTSSKĐ!W39,TTSSKĐ!AA39,TTSSKĐ!AE39,TTSSKĐ!AI39)))</f>
        <v>0</v>
      </c>
      <c r="K39">
        <f>SUMPRODUCT((MONTH(CHOOSE({1,2,3,4},TTSSKĐ!T39,TTSSKĐ!X39,TTSSKĐ!AB39,TTSSKĐ!AF39))=11)*(CHOOSE({1,2,3,4},TTSSKĐ!W39,TTSSKĐ!AA39,TTSSKĐ!AE39,TTSSKĐ!AI39)))</f>
        <v>0</v>
      </c>
      <c r="L39">
        <f>SUMPRODUCT((MONTH(CHOOSE({1,2,3,4},TTSSKĐ!T39,TTSSKĐ!X39,TTSSKĐ!AB39,TTSSKĐ!AF39))=12)*(CHOOSE({1,2,3,4},TTSSKĐ!W39,TTSSKĐ!AA39,TTSSKĐ!AE39,TTSSKĐ!AI39)))</f>
        <v>0</v>
      </c>
    </row>
    <row r="40" spans="1:12">
      <c r="A40">
        <f>SUMPRODUCT((MONTH(CHOOSE({1,2,3,4},TTSSKĐ!T40,TTSSKĐ!X40,TTSSKĐ!AB40,TTSSKĐ!AF40))=1)*(CHOOSE({1,2,3,4},TTSSKĐ!W40,TTSSKĐ!AA40,TTSSKĐ!AE40,TTSSKĐ!AI40)))</f>
        <v>0</v>
      </c>
      <c r="B40">
        <f>SUMPRODUCT((MONTH(CHOOSE({1,2,3,4},TTSSKĐ!T40,TTSSKĐ!X40,TTSSKĐ!AB40,TTSSKĐ!AF40))=2)*(CHOOSE({1,2,3,4},TTSSKĐ!W40,TTSSKĐ!AA40,TTSSKĐ!AE40,TTSSKĐ!AI40)))</f>
        <v>0</v>
      </c>
      <c r="C40">
        <f>SUMPRODUCT((MONTH(CHOOSE({1,2,3,4},TTSSKĐ!T40,TTSSKĐ!X40,TTSSKĐ!AB40,TTSSKĐ!AF40))=3)*(CHOOSE({1,2,3,4},TTSSKĐ!W40,TTSSKĐ!AA40,TTSSKĐ!AE40,TTSSKĐ!AI40)))</f>
        <v>0</v>
      </c>
      <c r="D40">
        <f>SUMPRODUCT((MONTH(CHOOSE({1,2,3,4},TTSSKĐ!T40,TTSSKĐ!X40,TTSSKĐ!AB40,TTSSKĐ!AF40))=4)*(CHOOSE({1,2,3,4},TTSSKĐ!W40,TTSSKĐ!AA40,TTSSKĐ!AE40,TTSSKĐ!AI40)))</f>
        <v>0</v>
      </c>
      <c r="E40">
        <f>SUMPRODUCT((MONTH(CHOOSE({1,2,3,4},TTSSKĐ!T40,TTSSKĐ!X40,TTSSKĐ!AB40,TTSSKĐ!AF40))=5)*(CHOOSE({1,2,3,4},TTSSKĐ!W40,TTSSKĐ!AA40,TTSSKĐ!AE40,TTSSKĐ!AI40)))</f>
        <v>0</v>
      </c>
      <c r="F40">
        <f>SUMPRODUCT((MONTH(CHOOSE({1,2,3,4},TTSSKĐ!T40,TTSSKĐ!X40,TTSSKĐ!AB40,TTSSKĐ!AF40))=6)*(CHOOSE({1,2,3,4},TTSSKĐ!W40,TTSSKĐ!AA40,TTSSKĐ!AE40,TTSSKĐ!AI40)))</f>
        <v>0</v>
      </c>
      <c r="G40">
        <f>SUMPRODUCT((MONTH(CHOOSE({1,2,3,4},TTSSKĐ!T40,TTSSKĐ!X40,TTSSKĐ!AB40,TTSSKĐ!AF40))=7)*(CHOOSE({1,2,3,4},TTSSKĐ!W40,TTSSKĐ!AA40,TTSSKĐ!AE40,TTSSKĐ!AI40)))</f>
        <v>0</v>
      </c>
      <c r="H40">
        <f>SUMPRODUCT((MONTH(CHOOSE({1,2,3,4},TTSSKĐ!T40,TTSSKĐ!X40,TTSSKĐ!AB40,TTSSKĐ!AF40))=8)*(CHOOSE({1,2,3,4},TTSSKĐ!W40,TTSSKĐ!AA40,TTSSKĐ!AE40,TTSSKĐ!AI40)))</f>
        <v>0</v>
      </c>
      <c r="I40">
        <f>SUMPRODUCT((MONTH(CHOOSE({1,2,3,4},TTSSKĐ!T40,TTSSKĐ!X40,TTSSKĐ!AB40,TTSSKĐ!AF40))=9)*(CHOOSE({1,2,3,4},TTSSKĐ!W40,TTSSKĐ!AA40,TTSSKĐ!AE40,TTSSKĐ!AI40)))</f>
        <v>0</v>
      </c>
      <c r="J40">
        <f>SUMPRODUCT((MONTH(CHOOSE({1,2,3,4},TTSSKĐ!T40,TTSSKĐ!X40,TTSSKĐ!AB40,TTSSKĐ!AF40))=10)*(CHOOSE({1,2,3,4},TTSSKĐ!W40,TTSSKĐ!AA40,TTSSKĐ!AE40,TTSSKĐ!AI40)))</f>
        <v>0</v>
      </c>
      <c r="K40">
        <f>SUMPRODUCT((MONTH(CHOOSE({1,2,3,4},TTSSKĐ!T40,TTSSKĐ!X40,TTSSKĐ!AB40,TTSSKĐ!AF40))=11)*(CHOOSE({1,2,3,4},TTSSKĐ!W40,TTSSKĐ!AA40,TTSSKĐ!AE40,TTSSKĐ!AI40)))</f>
        <v>0</v>
      </c>
      <c r="L40">
        <f>SUMPRODUCT((MONTH(CHOOSE({1,2,3,4},TTSSKĐ!T40,TTSSKĐ!X40,TTSSKĐ!AB40,TTSSKĐ!AF40))=12)*(CHOOSE({1,2,3,4},TTSSKĐ!W40,TTSSKĐ!AA40,TTSSKĐ!AE40,TTSSKĐ!AI40)))</f>
        <v>0</v>
      </c>
    </row>
    <row r="41" spans="1:12">
      <c r="A41">
        <f>SUMPRODUCT((MONTH(CHOOSE({1,2,3,4},TTSSKĐ!T41,TTSSKĐ!X41,TTSSKĐ!AB41,TTSSKĐ!AF41))=1)*(CHOOSE({1,2,3,4},TTSSKĐ!W41,TTSSKĐ!AA41,TTSSKĐ!AE41,TTSSKĐ!AI41)))</f>
        <v>0</v>
      </c>
      <c r="B41">
        <f>SUMPRODUCT((MONTH(CHOOSE({1,2,3,4},TTSSKĐ!T41,TTSSKĐ!X41,TTSSKĐ!AB41,TTSSKĐ!AF41))=2)*(CHOOSE({1,2,3,4},TTSSKĐ!W41,TTSSKĐ!AA41,TTSSKĐ!AE41,TTSSKĐ!AI41)))</f>
        <v>0</v>
      </c>
      <c r="C41">
        <f>SUMPRODUCT((MONTH(CHOOSE({1,2,3,4},TTSSKĐ!T41,TTSSKĐ!X41,TTSSKĐ!AB41,TTSSKĐ!AF41))=3)*(CHOOSE({1,2,3,4},TTSSKĐ!W41,TTSSKĐ!AA41,TTSSKĐ!AE41,TTSSKĐ!AI41)))</f>
        <v>0</v>
      </c>
      <c r="D41">
        <f>SUMPRODUCT((MONTH(CHOOSE({1,2,3,4},TTSSKĐ!T41,TTSSKĐ!X41,TTSSKĐ!AB41,TTSSKĐ!AF41))=4)*(CHOOSE({1,2,3,4},TTSSKĐ!W41,TTSSKĐ!AA41,TTSSKĐ!AE41,TTSSKĐ!AI41)))</f>
        <v>0</v>
      </c>
      <c r="E41">
        <f>SUMPRODUCT((MONTH(CHOOSE({1,2,3,4},TTSSKĐ!T41,TTSSKĐ!X41,TTSSKĐ!AB41,TTSSKĐ!AF41))=5)*(CHOOSE({1,2,3,4},TTSSKĐ!W41,TTSSKĐ!AA41,TTSSKĐ!AE41,TTSSKĐ!AI41)))</f>
        <v>0</v>
      </c>
      <c r="F41">
        <f>SUMPRODUCT((MONTH(CHOOSE({1,2,3,4},TTSSKĐ!T41,TTSSKĐ!X41,TTSSKĐ!AB41,TTSSKĐ!AF41))=6)*(CHOOSE({1,2,3,4},TTSSKĐ!W41,TTSSKĐ!AA41,TTSSKĐ!AE41,TTSSKĐ!AI41)))</f>
        <v>0</v>
      </c>
      <c r="G41">
        <f>SUMPRODUCT((MONTH(CHOOSE({1,2,3,4},TTSSKĐ!T41,TTSSKĐ!X41,TTSSKĐ!AB41,TTSSKĐ!AF41))=7)*(CHOOSE({1,2,3,4},TTSSKĐ!W41,TTSSKĐ!AA41,TTSSKĐ!AE41,TTSSKĐ!AI41)))</f>
        <v>0</v>
      </c>
      <c r="H41">
        <f>SUMPRODUCT((MONTH(CHOOSE({1,2,3,4},TTSSKĐ!T41,TTSSKĐ!X41,TTSSKĐ!AB41,TTSSKĐ!AF41))=8)*(CHOOSE({1,2,3,4},TTSSKĐ!W41,TTSSKĐ!AA41,TTSSKĐ!AE41,TTSSKĐ!AI41)))</f>
        <v>0</v>
      </c>
      <c r="I41">
        <f>SUMPRODUCT((MONTH(CHOOSE({1,2,3,4},TTSSKĐ!T41,TTSSKĐ!X41,TTSSKĐ!AB41,TTSSKĐ!AF41))=9)*(CHOOSE({1,2,3,4},TTSSKĐ!W41,TTSSKĐ!AA41,TTSSKĐ!AE41,TTSSKĐ!AI41)))</f>
        <v>0</v>
      </c>
      <c r="J41">
        <f>SUMPRODUCT((MONTH(CHOOSE({1,2,3,4},TTSSKĐ!T41,TTSSKĐ!X41,TTSSKĐ!AB41,TTSSKĐ!AF41))=10)*(CHOOSE({1,2,3,4},TTSSKĐ!W41,TTSSKĐ!AA41,TTSSKĐ!AE41,TTSSKĐ!AI41)))</f>
        <v>0</v>
      </c>
      <c r="K41">
        <f>SUMPRODUCT((MONTH(CHOOSE({1,2,3,4},TTSSKĐ!T41,TTSSKĐ!X41,TTSSKĐ!AB41,TTSSKĐ!AF41))=11)*(CHOOSE({1,2,3,4},TTSSKĐ!W41,TTSSKĐ!AA41,TTSSKĐ!AE41,TTSSKĐ!AI41)))</f>
        <v>0</v>
      </c>
      <c r="L41">
        <f>SUMPRODUCT((MONTH(CHOOSE({1,2,3,4},TTSSKĐ!T41,TTSSKĐ!X41,TTSSKĐ!AB41,TTSSKĐ!AF41))=12)*(CHOOSE({1,2,3,4},TTSSKĐ!W41,TTSSKĐ!AA41,TTSSKĐ!AE41,TTSSKĐ!AI41)))</f>
        <v>0</v>
      </c>
    </row>
    <row r="42" spans="1:12">
      <c r="A42">
        <f>SUMPRODUCT((MONTH(CHOOSE({1,2,3,4},TTSSKĐ!T42,TTSSKĐ!X42,TTSSKĐ!AB42,TTSSKĐ!AF42))=1)*(CHOOSE({1,2,3,4},TTSSKĐ!W42,TTSSKĐ!AA42,TTSSKĐ!AE42,TTSSKĐ!AI42)))</f>
        <v>0</v>
      </c>
      <c r="B42">
        <f>SUMPRODUCT((MONTH(CHOOSE({1,2,3,4},TTSSKĐ!T42,TTSSKĐ!X42,TTSSKĐ!AB42,TTSSKĐ!AF42))=2)*(CHOOSE({1,2,3,4},TTSSKĐ!W42,TTSSKĐ!AA42,TTSSKĐ!AE42,TTSSKĐ!AI42)))</f>
        <v>0</v>
      </c>
      <c r="C42">
        <f>SUMPRODUCT((MONTH(CHOOSE({1,2,3,4},TTSSKĐ!T42,TTSSKĐ!X42,TTSSKĐ!AB42,TTSSKĐ!AF42))=3)*(CHOOSE({1,2,3,4},TTSSKĐ!W42,TTSSKĐ!AA42,TTSSKĐ!AE42,TTSSKĐ!AI42)))</f>
        <v>0</v>
      </c>
      <c r="D42">
        <f>SUMPRODUCT((MONTH(CHOOSE({1,2,3,4},TTSSKĐ!T42,TTSSKĐ!X42,TTSSKĐ!AB42,TTSSKĐ!AF42))=4)*(CHOOSE({1,2,3,4},TTSSKĐ!W42,TTSSKĐ!AA42,TTSSKĐ!AE42,TTSSKĐ!AI42)))</f>
        <v>0</v>
      </c>
      <c r="E42">
        <f>SUMPRODUCT((MONTH(CHOOSE({1,2,3,4},TTSSKĐ!T42,TTSSKĐ!X42,TTSSKĐ!AB42,TTSSKĐ!AF42))=5)*(CHOOSE({1,2,3,4},TTSSKĐ!W42,TTSSKĐ!AA42,TTSSKĐ!AE42,TTSSKĐ!AI42)))</f>
        <v>0</v>
      </c>
      <c r="F42">
        <f>SUMPRODUCT((MONTH(CHOOSE({1,2,3,4},TTSSKĐ!T42,TTSSKĐ!X42,TTSSKĐ!AB42,TTSSKĐ!AF42))=6)*(CHOOSE({1,2,3,4},TTSSKĐ!W42,TTSSKĐ!AA42,TTSSKĐ!AE42,TTSSKĐ!AI42)))</f>
        <v>0</v>
      </c>
      <c r="G42">
        <f>SUMPRODUCT((MONTH(CHOOSE({1,2,3,4},TTSSKĐ!T42,TTSSKĐ!X42,TTSSKĐ!AB42,TTSSKĐ!AF42))=7)*(CHOOSE({1,2,3,4},TTSSKĐ!W42,TTSSKĐ!AA42,TTSSKĐ!AE42,TTSSKĐ!AI42)))</f>
        <v>0</v>
      </c>
      <c r="H42">
        <f>SUMPRODUCT((MONTH(CHOOSE({1,2,3,4},TTSSKĐ!T42,TTSSKĐ!X42,TTSSKĐ!AB42,TTSSKĐ!AF42))=8)*(CHOOSE({1,2,3,4},TTSSKĐ!W42,TTSSKĐ!AA42,TTSSKĐ!AE42,TTSSKĐ!AI42)))</f>
        <v>0</v>
      </c>
      <c r="I42">
        <f>SUMPRODUCT((MONTH(CHOOSE({1,2,3,4},TTSSKĐ!T42,TTSSKĐ!X42,TTSSKĐ!AB42,TTSSKĐ!AF42))=9)*(CHOOSE({1,2,3,4},TTSSKĐ!W42,TTSSKĐ!AA42,TTSSKĐ!AE42,TTSSKĐ!AI42)))</f>
        <v>0</v>
      </c>
      <c r="J42">
        <f>SUMPRODUCT((MONTH(CHOOSE({1,2,3,4},TTSSKĐ!T42,TTSSKĐ!X42,TTSSKĐ!AB42,TTSSKĐ!AF42))=10)*(CHOOSE({1,2,3,4},TTSSKĐ!W42,TTSSKĐ!AA42,TTSSKĐ!AE42,TTSSKĐ!AI42)))</f>
        <v>0</v>
      </c>
      <c r="K42">
        <f>SUMPRODUCT((MONTH(CHOOSE({1,2,3,4},TTSSKĐ!T42,TTSSKĐ!X42,TTSSKĐ!AB42,TTSSKĐ!AF42))=11)*(CHOOSE({1,2,3,4},TTSSKĐ!W42,TTSSKĐ!AA42,TTSSKĐ!AE42,TTSSKĐ!AI42)))</f>
        <v>0</v>
      </c>
      <c r="L42">
        <f>SUMPRODUCT((MONTH(CHOOSE({1,2,3,4},TTSSKĐ!T42,TTSSKĐ!X42,TTSSKĐ!AB42,TTSSKĐ!AF42))=12)*(CHOOSE({1,2,3,4},TTSSKĐ!W42,TTSSKĐ!AA42,TTSSKĐ!AE42,TTSSKĐ!AI42)))</f>
        <v>0</v>
      </c>
    </row>
    <row r="43" spans="1:12">
      <c r="A43">
        <f>SUMPRODUCT((MONTH(CHOOSE({1,2,3,4},TTSSKĐ!T43,TTSSKĐ!X43,TTSSKĐ!AB43,TTSSKĐ!AF43))=1)*(CHOOSE({1,2,3,4},TTSSKĐ!W43,TTSSKĐ!AA43,TTSSKĐ!AE43,TTSSKĐ!AI43)))</f>
        <v>0</v>
      </c>
      <c r="B43">
        <f>SUMPRODUCT((MONTH(CHOOSE({1,2,3,4},TTSSKĐ!T43,TTSSKĐ!X43,TTSSKĐ!AB43,TTSSKĐ!AF43))=2)*(CHOOSE({1,2,3,4},TTSSKĐ!W43,TTSSKĐ!AA43,TTSSKĐ!AE43,TTSSKĐ!AI43)))</f>
        <v>0</v>
      </c>
      <c r="C43">
        <f>SUMPRODUCT((MONTH(CHOOSE({1,2,3,4},TTSSKĐ!T43,TTSSKĐ!X43,TTSSKĐ!AB43,TTSSKĐ!AF43))=3)*(CHOOSE({1,2,3,4},TTSSKĐ!W43,TTSSKĐ!AA43,TTSSKĐ!AE43,TTSSKĐ!AI43)))</f>
        <v>0</v>
      </c>
      <c r="D43">
        <f>SUMPRODUCT((MONTH(CHOOSE({1,2,3,4},TTSSKĐ!T43,TTSSKĐ!X43,TTSSKĐ!AB43,TTSSKĐ!AF43))=4)*(CHOOSE({1,2,3,4},TTSSKĐ!W43,TTSSKĐ!AA43,TTSSKĐ!AE43,TTSSKĐ!AI43)))</f>
        <v>0</v>
      </c>
      <c r="E43">
        <f>SUMPRODUCT((MONTH(CHOOSE({1,2,3,4},TTSSKĐ!T43,TTSSKĐ!X43,TTSSKĐ!AB43,TTSSKĐ!AF43))=5)*(CHOOSE({1,2,3,4},TTSSKĐ!W43,TTSSKĐ!AA43,TTSSKĐ!AE43,TTSSKĐ!AI43)))</f>
        <v>0</v>
      </c>
      <c r="F43">
        <f>SUMPRODUCT((MONTH(CHOOSE({1,2,3,4},TTSSKĐ!T43,TTSSKĐ!X43,TTSSKĐ!AB43,TTSSKĐ!AF43))=6)*(CHOOSE({1,2,3,4},TTSSKĐ!W43,TTSSKĐ!AA43,TTSSKĐ!AE43,TTSSKĐ!AI43)))</f>
        <v>0</v>
      </c>
      <c r="G43">
        <f>SUMPRODUCT((MONTH(CHOOSE({1,2,3,4},TTSSKĐ!T43,TTSSKĐ!X43,TTSSKĐ!AB43,TTSSKĐ!AF43))=7)*(CHOOSE({1,2,3,4},TTSSKĐ!W43,TTSSKĐ!AA43,TTSSKĐ!AE43,TTSSKĐ!AI43)))</f>
        <v>0</v>
      </c>
      <c r="H43">
        <f>SUMPRODUCT((MONTH(CHOOSE({1,2,3,4},TTSSKĐ!T43,TTSSKĐ!X43,TTSSKĐ!AB43,TTSSKĐ!AF43))=8)*(CHOOSE({1,2,3,4},TTSSKĐ!W43,TTSSKĐ!AA43,TTSSKĐ!AE43,TTSSKĐ!AI43)))</f>
        <v>0</v>
      </c>
      <c r="I43">
        <f>SUMPRODUCT((MONTH(CHOOSE({1,2,3,4},TTSSKĐ!T43,TTSSKĐ!X43,TTSSKĐ!AB43,TTSSKĐ!AF43))=9)*(CHOOSE({1,2,3,4},TTSSKĐ!W43,TTSSKĐ!AA43,TTSSKĐ!AE43,TTSSKĐ!AI43)))</f>
        <v>0</v>
      </c>
      <c r="J43">
        <f>SUMPRODUCT((MONTH(CHOOSE({1,2,3,4},TTSSKĐ!T43,TTSSKĐ!X43,TTSSKĐ!AB43,TTSSKĐ!AF43))=10)*(CHOOSE({1,2,3,4},TTSSKĐ!W43,TTSSKĐ!AA43,TTSSKĐ!AE43,TTSSKĐ!AI43)))</f>
        <v>0</v>
      </c>
      <c r="K43">
        <f>SUMPRODUCT((MONTH(CHOOSE({1,2,3,4},TTSSKĐ!T43,TTSSKĐ!X43,TTSSKĐ!AB43,TTSSKĐ!AF43))=11)*(CHOOSE({1,2,3,4},TTSSKĐ!W43,TTSSKĐ!AA43,TTSSKĐ!AE43,TTSSKĐ!AI43)))</f>
        <v>0</v>
      </c>
      <c r="L43">
        <f>SUMPRODUCT((MONTH(CHOOSE({1,2,3,4},TTSSKĐ!T43,TTSSKĐ!X43,TTSSKĐ!AB43,TTSSKĐ!AF43))=12)*(CHOOSE({1,2,3,4},TTSSKĐ!W43,TTSSKĐ!AA43,TTSSKĐ!AE43,TTSSKĐ!AI43)))</f>
        <v>0</v>
      </c>
    </row>
    <row r="44" spans="1:12">
      <c r="A44">
        <f>SUMPRODUCT((MONTH(CHOOSE({1,2,3,4},TTSSKĐ!T44,TTSSKĐ!X44,TTSSKĐ!AB44,TTSSKĐ!AF44))=1)*(CHOOSE({1,2,3,4},TTSSKĐ!W44,TTSSKĐ!AA44,TTSSKĐ!AE44,TTSSKĐ!AI44)))</f>
        <v>0</v>
      </c>
      <c r="B44">
        <f>SUMPRODUCT((MONTH(CHOOSE({1,2,3,4},TTSSKĐ!T44,TTSSKĐ!X44,TTSSKĐ!AB44,TTSSKĐ!AF44))=2)*(CHOOSE({1,2,3,4},TTSSKĐ!W44,TTSSKĐ!AA44,TTSSKĐ!AE44,TTSSKĐ!AI44)))</f>
        <v>0</v>
      </c>
      <c r="C44">
        <f>SUMPRODUCT((MONTH(CHOOSE({1,2,3,4},TTSSKĐ!T44,TTSSKĐ!X44,TTSSKĐ!AB44,TTSSKĐ!AF44))=3)*(CHOOSE({1,2,3,4},TTSSKĐ!W44,TTSSKĐ!AA44,TTSSKĐ!AE44,TTSSKĐ!AI44)))</f>
        <v>0</v>
      </c>
      <c r="D44">
        <f>SUMPRODUCT((MONTH(CHOOSE({1,2,3,4},TTSSKĐ!T44,TTSSKĐ!X44,TTSSKĐ!AB44,TTSSKĐ!AF44))=4)*(CHOOSE({1,2,3,4},TTSSKĐ!W44,TTSSKĐ!AA44,TTSSKĐ!AE44,TTSSKĐ!AI44)))</f>
        <v>0</v>
      </c>
      <c r="E44">
        <f>SUMPRODUCT((MONTH(CHOOSE({1,2,3,4},TTSSKĐ!T44,TTSSKĐ!X44,TTSSKĐ!AB44,TTSSKĐ!AF44))=5)*(CHOOSE({1,2,3,4},TTSSKĐ!W44,TTSSKĐ!AA44,TTSSKĐ!AE44,TTSSKĐ!AI44)))</f>
        <v>0</v>
      </c>
      <c r="F44">
        <f>SUMPRODUCT((MONTH(CHOOSE({1,2,3,4},TTSSKĐ!T44,TTSSKĐ!X44,TTSSKĐ!AB44,TTSSKĐ!AF44))=6)*(CHOOSE({1,2,3,4},TTSSKĐ!W44,TTSSKĐ!AA44,TTSSKĐ!AE44,TTSSKĐ!AI44)))</f>
        <v>0</v>
      </c>
      <c r="G44">
        <f>SUMPRODUCT((MONTH(CHOOSE({1,2,3,4},TTSSKĐ!T44,TTSSKĐ!X44,TTSSKĐ!AB44,TTSSKĐ!AF44))=7)*(CHOOSE({1,2,3,4},TTSSKĐ!W44,TTSSKĐ!AA44,TTSSKĐ!AE44,TTSSKĐ!AI44)))</f>
        <v>0</v>
      </c>
      <c r="H44">
        <f>SUMPRODUCT((MONTH(CHOOSE({1,2,3,4},TTSSKĐ!T44,TTSSKĐ!X44,TTSSKĐ!AB44,TTSSKĐ!AF44))=8)*(CHOOSE({1,2,3,4},TTSSKĐ!W44,TTSSKĐ!AA44,TTSSKĐ!AE44,TTSSKĐ!AI44)))</f>
        <v>0</v>
      </c>
      <c r="I44">
        <f>SUMPRODUCT((MONTH(CHOOSE({1,2,3,4},TTSSKĐ!T44,TTSSKĐ!X44,TTSSKĐ!AB44,TTSSKĐ!AF44))=9)*(CHOOSE({1,2,3,4},TTSSKĐ!W44,TTSSKĐ!AA44,TTSSKĐ!AE44,TTSSKĐ!AI44)))</f>
        <v>0</v>
      </c>
      <c r="J44">
        <f>SUMPRODUCT((MONTH(CHOOSE({1,2,3,4},TTSSKĐ!T44,TTSSKĐ!X44,TTSSKĐ!AB44,TTSSKĐ!AF44))=10)*(CHOOSE({1,2,3,4},TTSSKĐ!W44,TTSSKĐ!AA44,TTSSKĐ!AE44,TTSSKĐ!AI44)))</f>
        <v>0</v>
      </c>
      <c r="K44">
        <f>SUMPRODUCT((MONTH(CHOOSE({1,2,3,4},TTSSKĐ!T44,TTSSKĐ!X44,TTSSKĐ!AB44,TTSSKĐ!AF44))=11)*(CHOOSE({1,2,3,4},TTSSKĐ!W44,TTSSKĐ!AA44,TTSSKĐ!AE44,TTSSKĐ!AI44)))</f>
        <v>0</v>
      </c>
      <c r="L44">
        <f>SUMPRODUCT((MONTH(CHOOSE({1,2,3,4},TTSSKĐ!T44,TTSSKĐ!X44,TTSSKĐ!AB44,TTSSKĐ!AF44))=12)*(CHOOSE({1,2,3,4},TTSSKĐ!W44,TTSSKĐ!AA44,TTSSKĐ!AE44,TTSSKĐ!AI44)))</f>
        <v>0</v>
      </c>
    </row>
    <row r="45" spans="1:12">
      <c r="A45">
        <f>SUMPRODUCT((MONTH(CHOOSE({1,2,3,4},TTSSKĐ!T45,TTSSKĐ!X45,TTSSKĐ!AB45,TTSSKĐ!AF45))=1)*(CHOOSE({1,2,3,4},TTSSKĐ!W45,TTSSKĐ!AA45,TTSSKĐ!AE45,TTSSKĐ!AI45)))</f>
        <v>0</v>
      </c>
      <c r="B45">
        <f>SUMPRODUCT((MONTH(CHOOSE({1,2,3,4},TTSSKĐ!T45,TTSSKĐ!X45,TTSSKĐ!AB45,TTSSKĐ!AF45))=2)*(CHOOSE({1,2,3,4},TTSSKĐ!W45,TTSSKĐ!AA45,TTSSKĐ!AE45,TTSSKĐ!AI45)))</f>
        <v>0</v>
      </c>
      <c r="C45">
        <f>SUMPRODUCT((MONTH(CHOOSE({1,2,3,4},TTSSKĐ!T45,TTSSKĐ!X45,TTSSKĐ!AB45,TTSSKĐ!AF45))=3)*(CHOOSE({1,2,3,4},TTSSKĐ!W45,TTSSKĐ!AA45,TTSSKĐ!AE45,TTSSKĐ!AI45)))</f>
        <v>0</v>
      </c>
      <c r="D45">
        <f>SUMPRODUCT((MONTH(CHOOSE({1,2,3,4},TTSSKĐ!T45,TTSSKĐ!X45,TTSSKĐ!AB45,TTSSKĐ!AF45))=4)*(CHOOSE({1,2,3,4},TTSSKĐ!W45,TTSSKĐ!AA45,TTSSKĐ!AE45,TTSSKĐ!AI45)))</f>
        <v>0</v>
      </c>
      <c r="E45">
        <f>SUMPRODUCT((MONTH(CHOOSE({1,2,3,4},TTSSKĐ!T45,TTSSKĐ!X45,TTSSKĐ!AB45,TTSSKĐ!AF45))=5)*(CHOOSE({1,2,3,4},TTSSKĐ!W45,TTSSKĐ!AA45,TTSSKĐ!AE45,TTSSKĐ!AI45)))</f>
        <v>0</v>
      </c>
      <c r="F45">
        <f>SUMPRODUCT((MONTH(CHOOSE({1,2,3,4},TTSSKĐ!T45,TTSSKĐ!X45,TTSSKĐ!AB45,TTSSKĐ!AF45))=6)*(CHOOSE({1,2,3,4},TTSSKĐ!W45,TTSSKĐ!AA45,TTSSKĐ!AE45,TTSSKĐ!AI45)))</f>
        <v>0</v>
      </c>
      <c r="G45">
        <f>SUMPRODUCT((MONTH(CHOOSE({1,2,3,4},TTSSKĐ!T45,TTSSKĐ!X45,TTSSKĐ!AB45,TTSSKĐ!AF45))=7)*(CHOOSE({1,2,3,4},TTSSKĐ!W45,TTSSKĐ!AA45,TTSSKĐ!AE45,TTSSKĐ!AI45)))</f>
        <v>0</v>
      </c>
      <c r="H45">
        <f>SUMPRODUCT((MONTH(CHOOSE({1,2,3,4},TTSSKĐ!T45,TTSSKĐ!X45,TTSSKĐ!AB45,TTSSKĐ!AF45))=8)*(CHOOSE({1,2,3,4},TTSSKĐ!W45,TTSSKĐ!AA45,TTSSKĐ!AE45,TTSSKĐ!AI45)))</f>
        <v>0</v>
      </c>
      <c r="I45">
        <f>SUMPRODUCT((MONTH(CHOOSE({1,2,3,4},TTSSKĐ!T45,TTSSKĐ!X45,TTSSKĐ!AB45,TTSSKĐ!AF45))=9)*(CHOOSE({1,2,3,4},TTSSKĐ!W45,TTSSKĐ!AA45,TTSSKĐ!AE45,TTSSKĐ!AI45)))</f>
        <v>0</v>
      </c>
      <c r="J45">
        <f>SUMPRODUCT((MONTH(CHOOSE({1,2,3,4},TTSSKĐ!T45,TTSSKĐ!X45,TTSSKĐ!AB45,TTSSKĐ!AF45))=10)*(CHOOSE({1,2,3,4},TTSSKĐ!W45,TTSSKĐ!AA45,TTSSKĐ!AE45,TTSSKĐ!AI45)))</f>
        <v>0</v>
      </c>
      <c r="K45">
        <f>SUMPRODUCT((MONTH(CHOOSE({1,2,3,4},TTSSKĐ!T45,TTSSKĐ!X45,TTSSKĐ!AB45,TTSSKĐ!AF45))=11)*(CHOOSE({1,2,3,4},TTSSKĐ!W45,TTSSKĐ!AA45,TTSSKĐ!AE45,TTSSKĐ!AI45)))</f>
        <v>0</v>
      </c>
      <c r="L45">
        <f>SUMPRODUCT((MONTH(CHOOSE({1,2,3,4},TTSSKĐ!T45,TTSSKĐ!X45,TTSSKĐ!AB45,TTSSKĐ!AF45))=12)*(CHOOSE({1,2,3,4},TTSSKĐ!W45,TTSSKĐ!AA45,TTSSKĐ!AE45,TTSSKĐ!AI45)))</f>
        <v>0</v>
      </c>
    </row>
    <row r="46" spans="1:12">
      <c r="A46">
        <f>SUMPRODUCT((MONTH(CHOOSE({1,2,3,4},TTSSKĐ!T46,TTSSKĐ!X46,TTSSKĐ!AB46,TTSSKĐ!AF46))=1)*(CHOOSE({1,2,3,4},TTSSKĐ!W46,TTSSKĐ!AA46,TTSSKĐ!AE46,TTSSKĐ!AI46)))</f>
        <v>0</v>
      </c>
      <c r="B46">
        <f>SUMPRODUCT((MONTH(CHOOSE({1,2,3,4},TTSSKĐ!T46,TTSSKĐ!X46,TTSSKĐ!AB46,TTSSKĐ!AF46))=2)*(CHOOSE({1,2,3,4},TTSSKĐ!W46,TTSSKĐ!AA46,TTSSKĐ!AE46,TTSSKĐ!AI46)))</f>
        <v>0</v>
      </c>
      <c r="C46">
        <f>SUMPRODUCT((MONTH(CHOOSE({1,2,3,4},TTSSKĐ!T46,TTSSKĐ!X46,TTSSKĐ!AB46,TTSSKĐ!AF46))=3)*(CHOOSE({1,2,3,4},TTSSKĐ!W46,TTSSKĐ!AA46,TTSSKĐ!AE46,TTSSKĐ!AI46)))</f>
        <v>0</v>
      </c>
      <c r="D46">
        <f>SUMPRODUCT((MONTH(CHOOSE({1,2,3,4},TTSSKĐ!T46,TTSSKĐ!X46,TTSSKĐ!AB46,TTSSKĐ!AF46))=4)*(CHOOSE({1,2,3,4},TTSSKĐ!W46,TTSSKĐ!AA46,TTSSKĐ!AE46,TTSSKĐ!AI46)))</f>
        <v>0</v>
      </c>
      <c r="E46">
        <f>SUMPRODUCT((MONTH(CHOOSE({1,2,3,4},TTSSKĐ!T46,TTSSKĐ!X46,TTSSKĐ!AB46,TTSSKĐ!AF46))=5)*(CHOOSE({1,2,3,4},TTSSKĐ!W46,TTSSKĐ!AA46,TTSSKĐ!AE46,TTSSKĐ!AI46)))</f>
        <v>0</v>
      </c>
      <c r="F46">
        <f>SUMPRODUCT((MONTH(CHOOSE({1,2,3,4},TTSSKĐ!T46,TTSSKĐ!X46,TTSSKĐ!AB46,TTSSKĐ!AF46))=6)*(CHOOSE({1,2,3,4},TTSSKĐ!W46,TTSSKĐ!AA46,TTSSKĐ!AE46,TTSSKĐ!AI46)))</f>
        <v>0</v>
      </c>
      <c r="G46">
        <f>SUMPRODUCT((MONTH(CHOOSE({1,2,3,4},TTSSKĐ!T46,TTSSKĐ!X46,TTSSKĐ!AB46,TTSSKĐ!AF46))=7)*(CHOOSE({1,2,3,4},TTSSKĐ!W46,TTSSKĐ!AA46,TTSSKĐ!AE46,TTSSKĐ!AI46)))</f>
        <v>0</v>
      </c>
      <c r="H46">
        <f>SUMPRODUCT((MONTH(CHOOSE({1,2,3,4},TTSSKĐ!T46,TTSSKĐ!X46,TTSSKĐ!AB46,TTSSKĐ!AF46))=8)*(CHOOSE({1,2,3,4},TTSSKĐ!W46,TTSSKĐ!AA46,TTSSKĐ!AE46,TTSSKĐ!AI46)))</f>
        <v>0</v>
      </c>
      <c r="I46">
        <f>SUMPRODUCT((MONTH(CHOOSE({1,2,3,4},TTSSKĐ!T46,TTSSKĐ!X46,TTSSKĐ!AB46,TTSSKĐ!AF46))=9)*(CHOOSE({1,2,3,4},TTSSKĐ!W46,TTSSKĐ!AA46,TTSSKĐ!AE46,TTSSKĐ!AI46)))</f>
        <v>0</v>
      </c>
      <c r="J46">
        <f>SUMPRODUCT((MONTH(CHOOSE({1,2,3,4},TTSSKĐ!T46,TTSSKĐ!X46,TTSSKĐ!AB46,TTSSKĐ!AF46))=10)*(CHOOSE({1,2,3,4},TTSSKĐ!W46,TTSSKĐ!AA46,TTSSKĐ!AE46,TTSSKĐ!AI46)))</f>
        <v>0</v>
      </c>
      <c r="K46">
        <f>SUMPRODUCT((MONTH(CHOOSE({1,2,3,4},TTSSKĐ!T46,TTSSKĐ!X46,TTSSKĐ!AB46,TTSSKĐ!AF46))=11)*(CHOOSE({1,2,3,4},TTSSKĐ!W46,TTSSKĐ!AA46,TTSSKĐ!AE46,TTSSKĐ!AI46)))</f>
        <v>0</v>
      </c>
      <c r="L46">
        <f>SUMPRODUCT((MONTH(CHOOSE({1,2,3,4},TTSSKĐ!T46,TTSSKĐ!X46,TTSSKĐ!AB46,TTSSKĐ!AF46))=12)*(CHOOSE({1,2,3,4},TTSSKĐ!W46,TTSSKĐ!AA46,TTSSKĐ!AE46,TTSSKĐ!AI46)))</f>
        <v>0</v>
      </c>
    </row>
    <row r="47" spans="1:12">
      <c r="A47">
        <f>SUMPRODUCT((MONTH(CHOOSE({1,2,3,4},TTSSKĐ!T47,TTSSKĐ!X47,TTSSKĐ!AB47,TTSSKĐ!AF47))=1)*(CHOOSE({1,2,3,4},TTSSKĐ!W47,TTSSKĐ!AA47,TTSSKĐ!AE47,TTSSKĐ!AI47)))</f>
        <v>0</v>
      </c>
      <c r="B47">
        <f>SUMPRODUCT((MONTH(CHOOSE({1,2,3,4},TTSSKĐ!T47,TTSSKĐ!X47,TTSSKĐ!AB47,TTSSKĐ!AF47))=2)*(CHOOSE({1,2,3,4},TTSSKĐ!W47,TTSSKĐ!AA47,TTSSKĐ!AE47,TTSSKĐ!AI47)))</f>
        <v>0</v>
      </c>
      <c r="C47">
        <f>SUMPRODUCT((MONTH(CHOOSE({1,2,3,4},TTSSKĐ!T47,TTSSKĐ!X47,TTSSKĐ!AB47,TTSSKĐ!AF47))=3)*(CHOOSE({1,2,3,4},TTSSKĐ!W47,TTSSKĐ!AA47,TTSSKĐ!AE47,TTSSKĐ!AI47)))</f>
        <v>0</v>
      </c>
      <c r="D47">
        <f>SUMPRODUCT((MONTH(CHOOSE({1,2,3,4},TTSSKĐ!T47,TTSSKĐ!X47,TTSSKĐ!AB47,TTSSKĐ!AF47))=4)*(CHOOSE({1,2,3,4},TTSSKĐ!W47,TTSSKĐ!AA47,TTSSKĐ!AE47,TTSSKĐ!AI47)))</f>
        <v>0</v>
      </c>
      <c r="E47">
        <f>SUMPRODUCT((MONTH(CHOOSE({1,2,3,4},TTSSKĐ!T47,TTSSKĐ!X47,TTSSKĐ!AB47,TTSSKĐ!AF47))=5)*(CHOOSE({1,2,3,4},TTSSKĐ!W47,TTSSKĐ!AA47,TTSSKĐ!AE47,TTSSKĐ!AI47)))</f>
        <v>0</v>
      </c>
      <c r="F47">
        <f>SUMPRODUCT((MONTH(CHOOSE({1,2,3,4},TTSSKĐ!T47,TTSSKĐ!X47,TTSSKĐ!AB47,TTSSKĐ!AF47))=6)*(CHOOSE({1,2,3,4},TTSSKĐ!W47,TTSSKĐ!AA47,TTSSKĐ!AE47,TTSSKĐ!AI47)))</f>
        <v>0</v>
      </c>
      <c r="G47">
        <f>SUMPRODUCT((MONTH(CHOOSE({1,2,3,4},TTSSKĐ!T47,TTSSKĐ!X47,TTSSKĐ!AB47,TTSSKĐ!AF47))=7)*(CHOOSE({1,2,3,4},TTSSKĐ!W47,TTSSKĐ!AA47,TTSSKĐ!AE47,TTSSKĐ!AI47)))</f>
        <v>0</v>
      </c>
      <c r="H47">
        <f>SUMPRODUCT((MONTH(CHOOSE({1,2,3,4},TTSSKĐ!T47,TTSSKĐ!X47,TTSSKĐ!AB47,TTSSKĐ!AF47))=8)*(CHOOSE({1,2,3,4},TTSSKĐ!W47,TTSSKĐ!AA47,TTSSKĐ!AE47,TTSSKĐ!AI47)))</f>
        <v>0</v>
      </c>
      <c r="I47">
        <f>SUMPRODUCT((MONTH(CHOOSE({1,2,3,4},TTSSKĐ!T47,TTSSKĐ!X47,TTSSKĐ!AB47,TTSSKĐ!AF47))=9)*(CHOOSE({1,2,3,4},TTSSKĐ!W47,TTSSKĐ!AA47,TTSSKĐ!AE47,TTSSKĐ!AI47)))</f>
        <v>0</v>
      </c>
      <c r="J47">
        <f>SUMPRODUCT((MONTH(CHOOSE({1,2,3,4},TTSSKĐ!T47,TTSSKĐ!X47,TTSSKĐ!AB47,TTSSKĐ!AF47))=10)*(CHOOSE({1,2,3,4},TTSSKĐ!W47,TTSSKĐ!AA47,TTSSKĐ!AE47,TTSSKĐ!AI47)))</f>
        <v>0</v>
      </c>
      <c r="K47">
        <f>SUMPRODUCT((MONTH(CHOOSE({1,2,3,4},TTSSKĐ!T47,TTSSKĐ!X47,TTSSKĐ!AB47,TTSSKĐ!AF47))=11)*(CHOOSE({1,2,3,4},TTSSKĐ!W47,TTSSKĐ!AA47,TTSSKĐ!AE47,TTSSKĐ!AI47)))</f>
        <v>0</v>
      </c>
      <c r="L47">
        <f>SUMPRODUCT((MONTH(CHOOSE({1,2,3,4},TTSSKĐ!T47,TTSSKĐ!X47,TTSSKĐ!AB47,TTSSKĐ!AF47))=12)*(CHOOSE({1,2,3,4},TTSSKĐ!W47,TTSSKĐ!AA47,TTSSKĐ!AE47,TTSSKĐ!AI47)))</f>
        <v>0</v>
      </c>
    </row>
    <row r="48" spans="1:12">
      <c r="A48">
        <f>SUMPRODUCT((MONTH(CHOOSE({1,2,3,4},TTSSKĐ!T48,TTSSKĐ!X48,TTSSKĐ!AB48,TTSSKĐ!AF48))=1)*(CHOOSE({1,2,3,4},TTSSKĐ!W48,TTSSKĐ!AA48,TTSSKĐ!AE48,TTSSKĐ!AI48)))</f>
        <v>0</v>
      </c>
      <c r="B48">
        <f>SUMPRODUCT((MONTH(CHOOSE({1,2,3,4},TTSSKĐ!T48,TTSSKĐ!X48,TTSSKĐ!AB48,TTSSKĐ!AF48))=2)*(CHOOSE({1,2,3,4},TTSSKĐ!W48,TTSSKĐ!AA48,TTSSKĐ!AE48,TTSSKĐ!AI48)))</f>
        <v>0</v>
      </c>
      <c r="C48">
        <f>SUMPRODUCT((MONTH(CHOOSE({1,2,3,4},TTSSKĐ!T48,TTSSKĐ!X48,TTSSKĐ!AB48,TTSSKĐ!AF48))=3)*(CHOOSE({1,2,3,4},TTSSKĐ!W48,TTSSKĐ!AA48,TTSSKĐ!AE48,TTSSKĐ!AI48)))</f>
        <v>0</v>
      </c>
      <c r="D48">
        <f>SUMPRODUCT((MONTH(CHOOSE({1,2,3,4},TTSSKĐ!T48,TTSSKĐ!X48,TTSSKĐ!AB48,TTSSKĐ!AF48))=4)*(CHOOSE({1,2,3,4},TTSSKĐ!W48,TTSSKĐ!AA48,TTSSKĐ!AE48,TTSSKĐ!AI48)))</f>
        <v>0</v>
      </c>
      <c r="E48">
        <f>SUMPRODUCT((MONTH(CHOOSE({1,2,3,4},TTSSKĐ!T48,TTSSKĐ!X48,TTSSKĐ!AB48,TTSSKĐ!AF48))=5)*(CHOOSE({1,2,3,4},TTSSKĐ!W48,TTSSKĐ!AA48,TTSSKĐ!AE48,TTSSKĐ!AI48)))</f>
        <v>0</v>
      </c>
      <c r="F48">
        <f>SUMPRODUCT((MONTH(CHOOSE({1,2,3,4},TTSSKĐ!T48,TTSSKĐ!X48,TTSSKĐ!AB48,TTSSKĐ!AF48))=6)*(CHOOSE({1,2,3,4},TTSSKĐ!W48,TTSSKĐ!AA48,TTSSKĐ!AE48,TTSSKĐ!AI48)))</f>
        <v>0</v>
      </c>
      <c r="G48">
        <f>SUMPRODUCT((MONTH(CHOOSE({1,2,3,4},TTSSKĐ!T48,TTSSKĐ!X48,TTSSKĐ!AB48,TTSSKĐ!AF48))=7)*(CHOOSE({1,2,3,4},TTSSKĐ!W48,TTSSKĐ!AA48,TTSSKĐ!AE48,TTSSKĐ!AI48)))</f>
        <v>0</v>
      </c>
      <c r="H48">
        <f>SUMPRODUCT((MONTH(CHOOSE({1,2,3,4},TTSSKĐ!T48,TTSSKĐ!X48,TTSSKĐ!AB48,TTSSKĐ!AF48))=8)*(CHOOSE({1,2,3,4},TTSSKĐ!W48,TTSSKĐ!AA48,TTSSKĐ!AE48,TTSSKĐ!AI48)))</f>
        <v>0</v>
      </c>
      <c r="I48">
        <f>SUMPRODUCT((MONTH(CHOOSE({1,2,3,4},TTSSKĐ!T48,TTSSKĐ!X48,TTSSKĐ!AB48,TTSSKĐ!AF48))=9)*(CHOOSE({1,2,3,4},TTSSKĐ!W48,TTSSKĐ!AA48,TTSSKĐ!AE48,TTSSKĐ!AI48)))</f>
        <v>0</v>
      </c>
      <c r="J48">
        <f>SUMPRODUCT((MONTH(CHOOSE({1,2,3,4},TTSSKĐ!T48,TTSSKĐ!X48,TTSSKĐ!AB48,TTSSKĐ!AF48))=10)*(CHOOSE({1,2,3,4},TTSSKĐ!W48,TTSSKĐ!AA48,TTSSKĐ!AE48,TTSSKĐ!AI48)))</f>
        <v>0</v>
      </c>
      <c r="K48">
        <f>SUMPRODUCT((MONTH(CHOOSE({1,2,3,4},TTSSKĐ!T48,TTSSKĐ!X48,TTSSKĐ!AB48,TTSSKĐ!AF48))=11)*(CHOOSE({1,2,3,4},TTSSKĐ!W48,TTSSKĐ!AA48,TTSSKĐ!AE48,TTSSKĐ!AI48)))</f>
        <v>0</v>
      </c>
      <c r="L48">
        <f>SUMPRODUCT((MONTH(CHOOSE({1,2,3,4},TTSSKĐ!T48,TTSSKĐ!X48,TTSSKĐ!AB48,TTSSKĐ!AF48))=12)*(CHOOSE({1,2,3,4},TTSSKĐ!W48,TTSSKĐ!AA48,TTSSKĐ!AE48,TTSSKĐ!AI48)))</f>
        <v>0</v>
      </c>
    </row>
    <row r="49" spans="1:12">
      <c r="A49">
        <f>SUMPRODUCT((MONTH(CHOOSE({1,2,3,4},TTSSKĐ!T49,TTSSKĐ!X49,TTSSKĐ!AB49,TTSSKĐ!AF49))=1)*(CHOOSE({1,2,3,4},TTSSKĐ!W49,TTSSKĐ!AA49,TTSSKĐ!AE49,TTSSKĐ!AI49)))</f>
        <v>0</v>
      </c>
      <c r="B49">
        <f>SUMPRODUCT((MONTH(CHOOSE({1,2,3,4},TTSSKĐ!T49,TTSSKĐ!X49,TTSSKĐ!AB49,TTSSKĐ!AF49))=2)*(CHOOSE({1,2,3,4},TTSSKĐ!W49,TTSSKĐ!AA49,TTSSKĐ!AE49,TTSSKĐ!AI49)))</f>
        <v>0</v>
      </c>
      <c r="C49">
        <f>SUMPRODUCT((MONTH(CHOOSE({1,2,3,4},TTSSKĐ!T49,TTSSKĐ!X49,TTSSKĐ!AB49,TTSSKĐ!AF49))=3)*(CHOOSE({1,2,3,4},TTSSKĐ!W49,TTSSKĐ!AA49,TTSSKĐ!AE49,TTSSKĐ!AI49)))</f>
        <v>0</v>
      </c>
      <c r="D49">
        <f>SUMPRODUCT((MONTH(CHOOSE({1,2,3,4},TTSSKĐ!T49,TTSSKĐ!X49,TTSSKĐ!AB49,TTSSKĐ!AF49))=4)*(CHOOSE({1,2,3,4},TTSSKĐ!W49,TTSSKĐ!AA49,TTSSKĐ!AE49,TTSSKĐ!AI49)))</f>
        <v>0</v>
      </c>
      <c r="E49">
        <f>SUMPRODUCT((MONTH(CHOOSE({1,2,3,4},TTSSKĐ!T49,TTSSKĐ!X49,TTSSKĐ!AB49,TTSSKĐ!AF49))=5)*(CHOOSE({1,2,3,4},TTSSKĐ!W49,TTSSKĐ!AA49,TTSSKĐ!AE49,TTSSKĐ!AI49)))</f>
        <v>0</v>
      </c>
      <c r="F49">
        <f>SUMPRODUCT((MONTH(CHOOSE({1,2,3,4},TTSSKĐ!T49,TTSSKĐ!X49,TTSSKĐ!AB49,TTSSKĐ!AF49))=6)*(CHOOSE({1,2,3,4},TTSSKĐ!W49,TTSSKĐ!AA49,TTSSKĐ!AE49,TTSSKĐ!AI49)))</f>
        <v>0</v>
      </c>
      <c r="G49">
        <f>SUMPRODUCT((MONTH(CHOOSE({1,2,3,4},TTSSKĐ!T49,TTSSKĐ!X49,TTSSKĐ!AB49,TTSSKĐ!AF49))=7)*(CHOOSE({1,2,3,4},TTSSKĐ!W49,TTSSKĐ!AA49,TTSSKĐ!AE49,TTSSKĐ!AI49)))</f>
        <v>0</v>
      </c>
      <c r="H49">
        <f>SUMPRODUCT((MONTH(CHOOSE({1,2,3,4},TTSSKĐ!T49,TTSSKĐ!X49,TTSSKĐ!AB49,TTSSKĐ!AF49))=8)*(CHOOSE({1,2,3,4},TTSSKĐ!W49,TTSSKĐ!AA49,TTSSKĐ!AE49,TTSSKĐ!AI49)))</f>
        <v>0</v>
      </c>
      <c r="I49">
        <f>SUMPRODUCT((MONTH(CHOOSE({1,2,3,4},TTSSKĐ!T49,TTSSKĐ!X49,TTSSKĐ!AB49,TTSSKĐ!AF49))=9)*(CHOOSE({1,2,3,4},TTSSKĐ!W49,TTSSKĐ!AA49,TTSSKĐ!AE49,TTSSKĐ!AI49)))</f>
        <v>0</v>
      </c>
      <c r="J49">
        <f>SUMPRODUCT((MONTH(CHOOSE({1,2,3,4},TTSSKĐ!T49,TTSSKĐ!X49,TTSSKĐ!AB49,TTSSKĐ!AF49))=10)*(CHOOSE({1,2,3,4},TTSSKĐ!W49,TTSSKĐ!AA49,TTSSKĐ!AE49,TTSSKĐ!AI49)))</f>
        <v>0</v>
      </c>
      <c r="K49">
        <f>SUMPRODUCT((MONTH(CHOOSE({1,2,3,4},TTSSKĐ!T49,TTSSKĐ!X49,TTSSKĐ!AB49,TTSSKĐ!AF49))=11)*(CHOOSE({1,2,3,4},TTSSKĐ!W49,TTSSKĐ!AA49,TTSSKĐ!AE49,TTSSKĐ!AI49)))</f>
        <v>0</v>
      </c>
      <c r="L49">
        <f>SUMPRODUCT((MONTH(CHOOSE({1,2,3,4},TTSSKĐ!T49,TTSSKĐ!X49,TTSSKĐ!AB49,TTSSKĐ!AF49))=12)*(CHOOSE({1,2,3,4},TTSSKĐ!W49,TTSSKĐ!AA49,TTSSKĐ!AE49,TTSSKĐ!AI49)))</f>
        <v>0</v>
      </c>
    </row>
    <row r="50" spans="1:12">
      <c r="A50">
        <f>SUMPRODUCT((MONTH(CHOOSE({1,2,3,4},TTSSKĐ!T50,TTSSKĐ!X50,TTSSKĐ!AB50,TTSSKĐ!AF50))=1)*(CHOOSE({1,2,3,4},TTSSKĐ!W50,TTSSKĐ!AA50,TTSSKĐ!AE50,TTSSKĐ!AI50)))</f>
        <v>0</v>
      </c>
      <c r="B50">
        <f>SUMPRODUCT((MONTH(CHOOSE({1,2,3,4},TTSSKĐ!T50,TTSSKĐ!X50,TTSSKĐ!AB50,TTSSKĐ!AF50))=2)*(CHOOSE({1,2,3,4},TTSSKĐ!W50,TTSSKĐ!AA50,TTSSKĐ!AE50,TTSSKĐ!AI50)))</f>
        <v>0</v>
      </c>
      <c r="C50">
        <f>SUMPRODUCT((MONTH(CHOOSE({1,2,3,4},TTSSKĐ!T50,TTSSKĐ!X50,TTSSKĐ!AB50,TTSSKĐ!AF50))=3)*(CHOOSE({1,2,3,4},TTSSKĐ!W50,TTSSKĐ!AA50,TTSSKĐ!AE50,TTSSKĐ!AI50)))</f>
        <v>0</v>
      </c>
      <c r="D50">
        <f>SUMPRODUCT((MONTH(CHOOSE({1,2,3,4},TTSSKĐ!T50,TTSSKĐ!X50,TTSSKĐ!AB50,TTSSKĐ!AF50))=4)*(CHOOSE({1,2,3,4},TTSSKĐ!W50,TTSSKĐ!AA50,TTSSKĐ!AE50,TTSSKĐ!AI50)))</f>
        <v>0</v>
      </c>
      <c r="E50">
        <f>SUMPRODUCT((MONTH(CHOOSE({1,2,3,4},TTSSKĐ!T50,TTSSKĐ!X50,TTSSKĐ!AB50,TTSSKĐ!AF50))=5)*(CHOOSE({1,2,3,4},TTSSKĐ!W50,TTSSKĐ!AA50,TTSSKĐ!AE50,TTSSKĐ!AI50)))</f>
        <v>0</v>
      </c>
      <c r="F50">
        <f>SUMPRODUCT((MONTH(CHOOSE({1,2,3,4},TTSSKĐ!T50,TTSSKĐ!X50,TTSSKĐ!AB50,TTSSKĐ!AF50))=6)*(CHOOSE({1,2,3,4},TTSSKĐ!W50,TTSSKĐ!AA50,TTSSKĐ!AE50,TTSSKĐ!AI50)))</f>
        <v>0</v>
      </c>
      <c r="G50">
        <f>SUMPRODUCT((MONTH(CHOOSE({1,2,3,4},TTSSKĐ!T50,TTSSKĐ!X50,TTSSKĐ!AB50,TTSSKĐ!AF50))=7)*(CHOOSE({1,2,3,4},TTSSKĐ!W50,TTSSKĐ!AA50,TTSSKĐ!AE50,TTSSKĐ!AI50)))</f>
        <v>0</v>
      </c>
      <c r="H50">
        <f>SUMPRODUCT((MONTH(CHOOSE({1,2,3,4},TTSSKĐ!T50,TTSSKĐ!X50,TTSSKĐ!AB50,TTSSKĐ!AF50))=8)*(CHOOSE({1,2,3,4},TTSSKĐ!W50,TTSSKĐ!AA50,TTSSKĐ!AE50,TTSSKĐ!AI50)))</f>
        <v>0</v>
      </c>
      <c r="I50">
        <f>SUMPRODUCT((MONTH(CHOOSE({1,2,3,4},TTSSKĐ!T50,TTSSKĐ!X50,TTSSKĐ!AB50,TTSSKĐ!AF50))=9)*(CHOOSE({1,2,3,4},TTSSKĐ!W50,TTSSKĐ!AA50,TTSSKĐ!AE50,TTSSKĐ!AI50)))</f>
        <v>0</v>
      </c>
      <c r="J50">
        <f>SUMPRODUCT((MONTH(CHOOSE({1,2,3,4},TTSSKĐ!T50,TTSSKĐ!X50,TTSSKĐ!AB50,TTSSKĐ!AF50))=10)*(CHOOSE({1,2,3,4},TTSSKĐ!W50,TTSSKĐ!AA50,TTSSKĐ!AE50,TTSSKĐ!AI50)))</f>
        <v>0</v>
      </c>
      <c r="K50">
        <f>SUMPRODUCT((MONTH(CHOOSE({1,2,3,4},TTSSKĐ!T50,TTSSKĐ!X50,TTSSKĐ!AB50,TTSSKĐ!AF50))=11)*(CHOOSE({1,2,3,4},TTSSKĐ!W50,TTSSKĐ!AA50,TTSSKĐ!AE50,TTSSKĐ!AI50)))</f>
        <v>0</v>
      </c>
      <c r="L50">
        <f>SUMPRODUCT((MONTH(CHOOSE({1,2,3,4},TTSSKĐ!T50,TTSSKĐ!X50,TTSSKĐ!AB50,TTSSKĐ!AF50))=12)*(CHOOSE({1,2,3,4},TTSSKĐ!W50,TTSSKĐ!AA50,TTSSKĐ!AE50,TTSSKĐ!AI50)))</f>
        <v>0</v>
      </c>
    </row>
    <row r="51" spans="1:12">
      <c r="A51">
        <f>SUMPRODUCT((MONTH(CHOOSE({1,2,3,4},TTSSKĐ!T51,TTSSKĐ!X51,TTSSKĐ!AB51,TTSSKĐ!AF51))=1)*(CHOOSE({1,2,3,4},TTSSKĐ!W51,TTSSKĐ!AA51,TTSSKĐ!AE51,TTSSKĐ!AI51)))</f>
        <v>0</v>
      </c>
      <c r="B51">
        <f>SUMPRODUCT((MONTH(CHOOSE({1,2,3,4},TTSSKĐ!T51,TTSSKĐ!X51,TTSSKĐ!AB51,TTSSKĐ!AF51))=2)*(CHOOSE({1,2,3,4},TTSSKĐ!W51,TTSSKĐ!AA51,TTSSKĐ!AE51,TTSSKĐ!AI51)))</f>
        <v>0</v>
      </c>
      <c r="C51">
        <f>SUMPRODUCT((MONTH(CHOOSE({1,2,3,4},TTSSKĐ!T51,TTSSKĐ!X51,TTSSKĐ!AB51,TTSSKĐ!AF51))=3)*(CHOOSE({1,2,3,4},TTSSKĐ!W51,TTSSKĐ!AA51,TTSSKĐ!AE51,TTSSKĐ!AI51)))</f>
        <v>0</v>
      </c>
      <c r="D51">
        <f>SUMPRODUCT((MONTH(CHOOSE({1,2,3,4},TTSSKĐ!T51,TTSSKĐ!X51,TTSSKĐ!AB51,TTSSKĐ!AF51))=4)*(CHOOSE({1,2,3,4},TTSSKĐ!W51,TTSSKĐ!AA51,TTSSKĐ!AE51,TTSSKĐ!AI51)))</f>
        <v>0</v>
      </c>
      <c r="E51">
        <f>SUMPRODUCT((MONTH(CHOOSE({1,2,3,4},TTSSKĐ!T51,TTSSKĐ!X51,TTSSKĐ!AB51,TTSSKĐ!AF51))=5)*(CHOOSE({1,2,3,4},TTSSKĐ!W51,TTSSKĐ!AA51,TTSSKĐ!AE51,TTSSKĐ!AI51)))</f>
        <v>0</v>
      </c>
      <c r="F51">
        <f>SUMPRODUCT((MONTH(CHOOSE({1,2,3,4},TTSSKĐ!T51,TTSSKĐ!X51,TTSSKĐ!AB51,TTSSKĐ!AF51))=6)*(CHOOSE({1,2,3,4},TTSSKĐ!W51,TTSSKĐ!AA51,TTSSKĐ!AE51,TTSSKĐ!AI51)))</f>
        <v>0</v>
      </c>
      <c r="G51">
        <f>SUMPRODUCT((MONTH(CHOOSE({1,2,3,4},TTSSKĐ!T51,TTSSKĐ!X51,TTSSKĐ!AB51,TTSSKĐ!AF51))=7)*(CHOOSE({1,2,3,4},TTSSKĐ!W51,TTSSKĐ!AA51,TTSSKĐ!AE51,TTSSKĐ!AI51)))</f>
        <v>0</v>
      </c>
      <c r="H51">
        <f>SUMPRODUCT((MONTH(CHOOSE({1,2,3,4},TTSSKĐ!T51,TTSSKĐ!X51,TTSSKĐ!AB51,TTSSKĐ!AF51))=8)*(CHOOSE({1,2,3,4},TTSSKĐ!W51,TTSSKĐ!AA51,TTSSKĐ!AE51,TTSSKĐ!AI51)))</f>
        <v>0</v>
      </c>
      <c r="I51">
        <f>SUMPRODUCT((MONTH(CHOOSE({1,2,3,4},TTSSKĐ!T51,TTSSKĐ!X51,TTSSKĐ!AB51,TTSSKĐ!AF51))=9)*(CHOOSE({1,2,3,4},TTSSKĐ!W51,TTSSKĐ!AA51,TTSSKĐ!AE51,TTSSKĐ!AI51)))</f>
        <v>0</v>
      </c>
      <c r="J51">
        <f>SUMPRODUCT((MONTH(CHOOSE({1,2,3,4},TTSSKĐ!T51,TTSSKĐ!X51,TTSSKĐ!AB51,TTSSKĐ!AF51))=10)*(CHOOSE({1,2,3,4},TTSSKĐ!W51,TTSSKĐ!AA51,TTSSKĐ!AE51,TTSSKĐ!AI51)))</f>
        <v>0</v>
      </c>
      <c r="K51">
        <f>SUMPRODUCT((MONTH(CHOOSE({1,2,3,4},TTSSKĐ!T51,TTSSKĐ!X51,TTSSKĐ!AB51,TTSSKĐ!AF51))=11)*(CHOOSE({1,2,3,4},TTSSKĐ!W51,TTSSKĐ!AA51,TTSSKĐ!AE51,TTSSKĐ!AI51)))</f>
        <v>0</v>
      </c>
      <c r="L51">
        <f>SUMPRODUCT((MONTH(CHOOSE({1,2,3,4},TTSSKĐ!T51,TTSSKĐ!X51,TTSSKĐ!AB51,TTSSKĐ!AF51))=12)*(CHOOSE({1,2,3,4},TTSSKĐ!W51,TTSSKĐ!AA51,TTSSKĐ!AE51,TTSSKĐ!AI51)))</f>
        <v>0</v>
      </c>
    </row>
    <row r="52" spans="1:12">
      <c r="A52">
        <f>SUMPRODUCT((MONTH(CHOOSE({1,2,3,4},TTSSKĐ!T52,TTSSKĐ!X52,TTSSKĐ!AB52,TTSSKĐ!AF52))=1)*(CHOOSE({1,2,3,4},TTSSKĐ!W52,TTSSKĐ!AA52,TTSSKĐ!AE52,TTSSKĐ!AI52)))</f>
        <v>0</v>
      </c>
      <c r="B52">
        <f>SUMPRODUCT((MONTH(CHOOSE({1,2,3,4},TTSSKĐ!T52,TTSSKĐ!X52,TTSSKĐ!AB52,TTSSKĐ!AF52))=2)*(CHOOSE({1,2,3,4},TTSSKĐ!W52,TTSSKĐ!AA52,TTSSKĐ!AE52,TTSSKĐ!AI52)))</f>
        <v>0</v>
      </c>
      <c r="C52">
        <f>SUMPRODUCT((MONTH(CHOOSE({1,2,3,4},TTSSKĐ!T52,TTSSKĐ!X52,TTSSKĐ!AB52,TTSSKĐ!AF52))=3)*(CHOOSE({1,2,3,4},TTSSKĐ!W52,TTSSKĐ!AA52,TTSSKĐ!AE52,TTSSKĐ!AI52)))</f>
        <v>0</v>
      </c>
      <c r="D52">
        <f>SUMPRODUCT((MONTH(CHOOSE({1,2,3,4},TTSSKĐ!T52,TTSSKĐ!X52,TTSSKĐ!AB52,TTSSKĐ!AF52))=4)*(CHOOSE({1,2,3,4},TTSSKĐ!W52,TTSSKĐ!AA52,TTSSKĐ!AE52,TTSSKĐ!AI52)))</f>
        <v>0</v>
      </c>
      <c r="E52">
        <f>SUMPRODUCT((MONTH(CHOOSE({1,2,3,4},TTSSKĐ!T52,TTSSKĐ!X52,TTSSKĐ!AB52,TTSSKĐ!AF52))=5)*(CHOOSE({1,2,3,4},TTSSKĐ!W52,TTSSKĐ!AA52,TTSSKĐ!AE52,TTSSKĐ!AI52)))</f>
        <v>0</v>
      </c>
      <c r="F52">
        <f>SUMPRODUCT((MONTH(CHOOSE({1,2,3,4},TTSSKĐ!T52,TTSSKĐ!X52,TTSSKĐ!AB52,TTSSKĐ!AF52))=6)*(CHOOSE({1,2,3,4},TTSSKĐ!W52,TTSSKĐ!AA52,TTSSKĐ!AE52,TTSSKĐ!AI52)))</f>
        <v>0</v>
      </c>
      <c r="G52">
        <f>SUMPRODUCT((MONTH(CHOOSE({1,2,3,4},TTSSKĐ!T52,TTSSKĐ!X52,TTSSKĐ!AB52,TTSSKĐ!AF52))=7)*(CHOOSE({1,2,3,4},TTSSKĐ!W52,TTSSKĐ!AA52,TTSSKĐ!AE52,TTSSKĐ!AI52)))</f>
        <v>0</v>
      </c>
      <c r="H52">
        <f>SUMPRODUCT((MONTH(CHOOSE({1,2,3,4},TTSSKĐ!T52,TTSSKĐ!X52,TTSSKĐ!AB52,TTSSKĐ!AF52))=8)*(CHOOSE({1,2,3,4},TTSSKĐ!W52,TTSSKĐ!AA52,TTSSKĐ!AE52,TTSSKĐ!AI52)))</f>
        <v>0</v>
      </c>
      <c r="I52">
        <f>SUMPRODUCT((MONTH(CHOOSE({1,2,3,4},TTSSKĐ!T52,TTSSKĐ!X52,TTSSKĐ!AB52,TTSSKĐ!AF52))=9)*(CHOOSE({1,2,3,4},TTSSKĐ!W52,TTSSKĐ!AA52,TTSSKĐ!AE52,TTSSKĐ!AI52)))</f>
        <v>0</v>
      </c>
      <c r="J52">
        <f>SUMPRODUCT((MONTH(CHOOSE({1,2,3,4},TTSSKĐ!T52,TTSSKĐ!X52,TTSSKĐ!AB52,TTSSKĐ!AF52))=10)*(CHOOSE({1,2,3,4},TTSSKĐ!W52,TTSSKĐ!AA52,TTSSKĐ!AE52,TTSSKĐ!AI52)))</f>
        <v>0</v>
      </c>
      <c r="K52">
        <f>SUMPRODUCT((MONTH(CHOOSE({1,2,3,4},TTSSKĐ!T52,TTSSKĐ!X52,TTSSKĐ!AB52,TTSSKĐ!AF52))=11)*(CHOOSE({1,2,3,4},TTSSKĐ!W52,TTSSKĐ!AA52,TTSSKĐ!AE52,TTSSKĐ!AI52)))</f>
        <v>0</v>
      </c>
      <c r="L52">
        <f>SUMPRODUCT((MONTH(CHOOSE({1,2,3,4},TTSSKĐ!T52,TTSSKĐ!X52,TTSSKĐ!AB52,TTSSKĐ!AF52))=12)*(CHOOSE({1,2,3,4},TTSSKĐ!W52,TTSSKĐ!AA52,TTSSKĐ!AE52,TTSSKĐ!AI52)))</f>
        <v>0</v>
      </c>
    </row>
    <row r="53" spans="1:12">
      <c r="A53">
        <f>SUMPRODUCT((MONTH(CHOOSE({1,2,3,4},TTSSKĐ!T53,TTSSKĐ!X53,TTSSKĐ!AB53,TTSSKĐ!AF53))=1)*(CHOOSE({1,2,3,4},TTSSKĐ!W53,TTSSKĐ!AA53,TTSSKĐ!AE53,TTSSKĐ!AI53)))</f>
        <v>0</v>
      </c>
      <c r="B53">
        <f>SUMPRODUCT((MONTH(CHOOSE({1,2,3,4},TTSSKĐ!T53,TTSSKĐ!X53,TTSSKĐ!AB53,TTSSKĐ!AF53))=2)*(CHOOSE({1,2,3,4},TTSSKĐ!W53,TTSSKĐ!AA53,TTSSKĐ!AE53,TTSSKĐ!AI53)))</f>
        <v>0</v>
      </c>
      <c r="C53">
        <f>SUMPRODUCT((MONTH(CHOOSE({1,2,3,4},TTSSKĐ!T53,TTSSKĐ!X53,TTSSKĐ!AB53,TTSSKĐ!AF53))=3)*(CHOOSE({1,2,3,4},TTSSKĐ!W53,TTSSKĐ!AA53,TTSSKĐ!AE53,TTSSKĐ!AI53)))</f>
        <v>0</v>
      </c>
      <c r="D53">
        <f>SUMPRODUCT((MONTH(CHOOSE({1,2,3,4},TTSSKĐ!T53,TTSSKĐ!X53,TTSSKĐ!AB53,TTSSKĐ!AF53))=4)*(CHOOSE({1,2,3,4},TTSSKĐ!W53,TTSSKĐ!AA53,TTSSKĐ!AE53,TTSSKĐ!AI53)))</f>
        <v>0</v>
      </c>
      <c r="E53">
        <f>SUMPRODUCT((MONTH(CHOOSE({1,2,3,4},TTSSKĐ!T53,TTSSKĐ!X53,TTSSKĐ!AB53,TTSSKĐ!AF53))=5)*(CHOOSE({1,2,3,4},TTSSKĐ!W53,TTSSKĐ!AA53,TTSSKĐ!AE53,TTSSKĐ!AI53)))</f>
        <v>0</v>
      </c>
      <c r="F53">
        <f>SUMPRODUCT((MONTH(CHOOSE({1,2,3,4},TTSSKĐ!T53,TTSSKĐ!X53,TTSSKĐ!AB53,TTSSKĐ!AF53))=6)*(CHOOSE({1,2,3,4},TTSSKĐ!W53,TTSSKĐ!AA53,TTSSKĐ!AE53,TTSSKĐ!AI53)))</f>
        <v>0</v>
      </c>
      <c r="G53">
        <f>SUMPRODUCT((MONTH(CHOOSE({1,2,3,4},TTSSKĐ!T53,TTSSKĐ!X53,TTSSKĐ!AB53,TTSSKĐ!AF53))=7)*(CHOOSE({1,2,3,4},TTSSKĐ!W53,TTSSKĐ!AA53,TTSSKĐ!AE53,TTSSKĐ!AI53)))</f>
        <v>0</v>
      </c>
      <c r="H53">
        <f>SUMPRODUCT((MONTH(CHOOSE({1,2,3,4},TTSSKĐ!T53,TTSSKĐ!X53,TTSSKĐ!AB53,TTSSKĐ!AF53))=8)*(CHOOSE({1,2,3,4},TTSSKĐ!W53,TTSSKĐ!AA53,TTSSKĐ!AE53,TTSSKĐ!AI53)))</f>
        <v>0</v>
      </c>
      <c r="I53">
        <f>SUMPRODUCT((MONTH(CHOOSE({1,2,3,4},TTSSKĐ!T53,TTSSKĐ!X53,TTSSKĐ!AB53,TTSSKĐ!AF53))=9)*(CHOOSE({1,2,3,4},TTSSKĐ!W53,TTSSKĐ!AA53,TTSSKĐ!AE53,TTSSKĐ!AI53)))</f>
        <v>0</v>
      </c>
      <c r="J53">
        <f>SUMPRODUCT((MONTH(CHOOSE({1,2,3,4},TTSSKĐ!T53,TTSSKĐ!X53,TTSSKĐ!AB53,TTSSKĐ!AF53))=10)*(CHOOSE({1,2,3,4},TTSSKĐ!W53,TTSSKĐ!AA53,TTSSKĐ!AE53,TTSSKĐ!AI53)))</f>
        <v>0</v>
      </c>
      <c r="K53">
        <f>SUMPRODUCT((MONTH(CHOOSE({1,2,3,4},TTSSKĐ!T53,TTSSKĐ!X53,TTSSKĐ!AB53,TTSSKĐ!AF53))=11)*(CHOOSE({1,2,3,4},TTSSKĐ!W53,TTSSKĐ!AA53,TTSSKĐ!AE53,TTSSKĐ!AI53)))</f>
        <v>0</v>
      </c>
      <c r="L53">
        <f>SUMPRODUCT((MONTH(CHOOSE({1,2,3,4},TTSSKĐ!T53,TTSSKĐ!X53,TTSSKĐ!AB53,TTSSKĐ!AF53))=12)*(CHOOSE({1,2,3,4},TTSSKĐ!W53,TTSSKĐ!AA53,TTSSKĐ!AE53,TTSSKĐ!AI53)))</f>
        <v>0</v>
      </c>
    </row>
    <row r="54" spans="1:12">
      <c r="A54">
        <f>SUMPRODUCT((MONTH(CHOOSE({1,2,3,4},TTSSKĐ!T54,TTSSKĐ!X54,TTSSKĐ!AB54,TTSSKĐ!AF54))=1)*(CHOOSE({1,2,3,4},TTSSKĐ!W54,TTSSKĐ!AA54,TTSSKĐ!AE54,TTSSKĐ!AI54)))</f>
        <v>0</v>
      </c>
      <c r="B54">
        <f>SUMPRODUCT((MONTH(CHOOSE({1,2,3,4},TTSSKĐ!T54,TTSSKĐ!X54,TTSSKĐ!AB54,TTSSKĐ!AF54))=2)*(CHOOSE({1,2,3,4},TTSSKĐ!W54,TTSSKĐ!AA54,TTSSKĐ!AE54,TTSSKĐ!AI54)))</f>
        <v>0</v>
      </c>
      <c r="C54">
        <f>SUMPRODUCT((MONTH(CHOOSE({1,2,3,4},TTSSKĐ!T54,TTSSKĐ!X54,TTSSKĐ!AB54,TTSSKĐ!AF54))=3)*(CHOOSE({1,2,3,4},TTSSKĐ!W54,TTSSKĐ!AA54,TTSSKĐ!AE54,TTSSKĐ!AI54)))</f>
        <v>0</v>
      </c>
      <c r="D54">
        <f>SUMPRODUCT((MONTH(CHOOSE({1,2,3,4},TTSSKĐ!T54,TTSSKĐ!X54,TTSSKĐ!AB54,TTSSKĐ!AF54))=4)*(CHOOSE({1,2,3,4},TTSSKĐ!W54,TTSSKĐ!AA54,TTSSKĐ!AE54,TTSSKĐ!AI54)))</f>
        <v>0</v>
      </c>
      <c r="E54">
        <f>SUMPRODUCT((MONTH(CHOOSE({1,2,3,4},TTSSKĐ!T54,TTSSKĐ!X54,TTSSKĐ!AB54,TTSSKĐ!AF54))=5)*(CHOOSE({1,2,3,4},TTSSKĐ!W54,TTSSKĐ!AA54,TTSSKĐ!AE54,TTSSKĐ!AI54)))</f>
        <v>0</v>
      </c>
      <c r="F54">
        <f>SUMPRODUCT((MONTH(CHOOSE({1,2,3,4},TTSSKĐ!T54,TTSSKĐ!X54,TTSSKĐ!AB54,TTSSKĐ!AF54))=6)*(CHOOSE({1,2,3,4},TTSSKĐ!W54,TTSSKĐ!AA54,TTSSKĐ!AE54,TTSSKĐ!AI54)))</f>
        <v>0</v>
      </c>
      <c r="G54">
        <f>SUMPRODUCT((MONTH(CHOOSE({1,2,3,4},TTSSKĐ!T54,TTSSKĐ!X54,TTSSKĐ!AB54,TTSSKĐ!AF54))=7)*(CHOOSE({1,2,3,4},TTSSKĐ!W54,TTSSKĐ!AA54,TTSSKĐ!AE54,TTSSKĐ!AI54)))</f>
        <v>0</v>
      </c>
      <c r="H54">
        <f>SUMPRODUCT((MONTH(CHOOSE({1,2,3,4},TTSSKĐ!T54,TTSSKĐ!X54,TTSSKĐ!AB54,TTSSKĐ!AF54))=8)*(CHOOSE({1,2,3,4},TTSSKĐ!W54,TTSSKĐ!AA54,TTSSKĐ!AE54,TTSSKĐ!AI54)))</f>
        <v>0</v>
      </c>
      <c r="I54">
        <f>SUMPRODUCT((MONTH(CHOOSE({1,2,3,4},TTSSKĐ!T54,TTSSKĐ!X54,TTSSKĐ!AB54,TTSSKĐ!AF54))=9)*(CHOOSE({1,2,3,4},TTSSKĐ!W54,TTSSKĐ!AA54,TTSSKĐ!AE54,TTSSKĐ!AI54)))</f>
        <v>0</v>
      </c>
      <c r="J54">
        <f>SUMPRODUCT((MONTH(CHOOSE({1,2,3,4},TTSSKĐ!T54,TTSSKĐ!X54,TTSSKĐ!AB54,TTSSKĐ!AF54))=10)*(CHOOSE({1,2,3,4},TTSSKĐ!W54,TTSSKĐ!AA54,TTSSKĐ!AE54,TTSSKĐ!AI54)))</f>
        <v>0</v>
      </c>
      <c r="K54">
        <f>SUMPRODUCT((MONTH(CHOOSE({1,2,3,4},TTSSKĐ!T54,TTSSKĐ!X54,TTSSKĐ!AB54,TTSSKĐ!AF54))=11)*(CHOOSE({1,2,3,4},TTSSKĐ!W54,TTSSKĐ!AA54,TTSSKĐ!AE54,TTSSKĐ!AI54)))</f>
        <v>0</v>
      </c>
      <c r="L54">
        <f>SUMPRODUCT((MONTH(CHOOSE({1,2,3,4},TTSSKĐ!T54,TTSSKĐ!X54,TTSSKĐ!AB54,TTSSKĐ!AF54))=12)*(CHOOSE({1,2,3,4},TTSSKĐ!W54,TTSSKĐ!AA54,TTSSKĐ!AE54,TTSSKĐ!AI54)))</f>
        <v>0</v>
      </c>
    </row>
    <row r="55" spans="1:12">
      <c r="A55">
        <f>SUMPRODUCT((MONTH(CHOOSE({1,2,3,4},TTSSKĐ!T55,TTSSKĐ!X55,TTSSKĐ!AB55,TTSSKĐ!AF55))=1)*(CHOOSE({1,2,3,4},TTSSKĐ!W55,TTSSKĐ!AA55,TTSSKĐ!AE55,TTSSKĐ!AI55)))</f>
        <v>0</v>
      </c>
      <c r="B55">
        <f>SUMPRODUCT((MONTH(CHOOSE({1,2,3,4},TTSSKĐ!T55,TTSSKĐ!X55,TTSSKĐ!AB55,TTSSKĐ!AF55))=2)*(CHOOSE({1,2,3,4},TTSSKĐ!W55,TTSSKĐ!AA55,TTSSKĐ!AE55,TTSSKĐ!AI55)))</f>
        <v>0</v>
      </c>
      <c r="C55">
        <f>SUMPRODUCT((MONTH(CHOOSE({1,2,3,4},TTSSKĐ!T55,TTSSKĐ!X55,TTSSKĐ!AB55,TTSSKĐ!AF55))=3)*(CHOOSE({1,2,3,4},TTSSKĐ!W55,TTSSKĐ!AA55,TTSSKĐ!AE55,TTSSKĐ!AI55)))</f>
        <v>0</v>
      </c>
      <c r="D55">
        <f>SUMPRODUCT((MONTH(CHOOSE({1,2,3,4},TTSSKĐ!T55,TTSSKĐ!X55,TTSSKĐ!AB55,TTSSKĐ!AF55))=4)*(CHOOSE({1,2,3,4},TTSSKĐ!W55,TTSSKĐ!AA55,TTSSKĐ!AE55,TTSSKĐ!AI55)))</f>
        <v>0</v>
      </c>
      <c r="E55">
        <f>SUMPRODUCT((MONTH(CHOOSE({1,2,3,4},TTSSKĐ!T55,TTSSKĐ!X55,TTSSKĐ!AB55,TTSSKĐ!AF55))=5)*(CHOOSE({1,2,3,4},TTSSKĐ!W55,TTSSKĐ!AA55,TTSSKĐ!AE55,TTSSKĐ!AI55)))</f>
        <v>0</v>
      </c>
      <c r="F55">
        <f>SUMPRODUCT((MONTH(CHOOSE({1,2,3,4},TTSSKĐ!T55,TTSSKĐ!X55,TTSSKĐ!AB55,TTSSKĐ!AF55))=6)*(CHOOSE({1,2,3,4},TTSSKĐ!W55,TTSSKĐ!AA55,TTSSKĐ!AE55,TTSSKĐ!AI55)))</f>
        <v>0</v>
      </c>
      <c r="G55">
        <f>SUMPRODUCT((MONTH(CHOOSE({1,2,3,4},TTSSKĐ!T55,TTSSKĐ!X55,TTSSKĐ!AB55,TTSSKĐ!AF55))=7)*(CHOOSE({1,2,3,4},TTSSKĐ!W55,TTSSKĐ!AA55,TTSSKĐ!AE55,TTSSKĐ!AI55)))</f>
        <v>0</v>
      </c>
      <c r="H55">
        <f>SUMPRODUCT((MONTH(CHOOSE({1,2,3,4},TTSSKĐ!T55,TTSSKĐ!X55,TTSSKĐ!AB55,TTSSKĐ!AF55))=8)*(CHOOSE({1,2,3,4},TTSSKĐ!W55,TTSSKĐ!AA55,TTSSKĐ!AE55,TTSSKĐ!AI55)))</f>
        <v>0</v>
      </c>
      <c r="I55">
        <f>SUMPRODUCT((MONTH(CHOOSE({1,2,3,4},TTSSKĐ!T55,TTSSKĐ!X55,TTSSKĐ!AB55,TTSSKĐ!AF55))=9)*(CHOOSE({1,2,3,4},TTSSKĐ!W55,TTSSKĐ!AA55,TTSSKĐ!AE55,TTSSKĐ!AI55)))</f>
        <v>0</v>
      </c>
      <c r="J55">
        <f>SUMPRODUCT((MONTH(CHOOSE({1,2,3,4},TTSSKĐ!T55,TTSSKĐ!X55,TTSSKĐ!AB55,TTSSKĐ!AF55))=10)*(CHOOSE({1,2,3,4},TTSSKĐ!W55,TTSSKĐ!AA55,TTSSKĐ!AE55,TTSSKĐ!AI55)))</f>
        <v>0</v>
      </c>
      <c r="K55">
        <f>SUMPRODUCT((MONTH(CHOOSE({1,2,3,4},TTSSKĐ!T55,TTSSKĐ!X55,TTSSKĐ!AB55,TTSSKĐ!AF55))=11)*(CHOOSE({1,2,3,4},TTSSKĐ!W55,TTSSKĐ!AA55,TTSSKĐ!AE55,TTSSKĐ!AI55)))</f>
        <v>0</v>
      </c>
      <c r="L55">
        <f>SUMPRODUCT((MONTH(CHOOSE({1,2,3,4},TTSSKĐ!T55,TTSSKĐ!X55,TTSSKĐ!AB55,TTSSKĐ!AF55))=12)*(CHOOSE({1,2,3,4},TTSSKĐ!W55,TTSSKĐ!AA55,TTSSKĐ!AE55,TTSSKĐ!AI55)))</f>
        <v>0</v>
      </c>
    </row>
    <row r="56" spans="1:12">
      <c r="A56">
        <f>SUMPRODUCT((MONTH(CHOOSE({1,2,3,4},TTSSKĐ!T56,TTSSKĐ!X56,TTSSKĐ!AB56,TTSSKĐ!AF56))=1)*(CHOOSE({1,2,3,4},TTSSKĐ!W56,TTSSKĐ!AA56,TTSSKĐ!AE56,TTSSKĐ!AI56)))</f>
        <v>0</v>
      </c>
      <c r="B56">
        <f>SUMPRODUCT((MONTH(CHOOSE({1,2,3,4},TTSSKĐ!T56,TTSSKĐ!X56,TTSSKĐ!AB56,TTSSKĐ!AF56))=2)*(CHOOSE({1,2,3,4},TTSSKĐ!W56,TTSSKĐ!AA56,TTSSKĐ!AE56,TTSSKĐ!AI56)))</f>
        <v>0</v>
      </c>
      <c r="C56">
        <f>SUMPRODUCT((MONTH(CHOOSE({1,2,3,4},TTSSKĐ!T56,TTSSKĐ!X56,TTSSKĐ!AB56,TTSSKĐ!AF56))=3)*(CHOOSE({1,2,3,4},TTSSKĐ!W56,TTSSKĐ!AA56,TTSSKĐ!AE56,TTSSKĐ!AI56)))</f>
        <v>0</v>
      </c>
      <c r="D56">
        <f>SUMPRODUCT((MONTH(CHOOSE({1,2,3,4},TTSSKĐ!T56,TTSSKĐ!X56,TTSSKĐ!AB56,TTSSKĐ!AF56))=4)*(CHOOSE({1,2,3,4},TTSSKĐ!W56,TTSSKĐ!AA56,TTSSKĐ!AE56,TTSSKĐ!AI56)))</f>
        <v>0</v>
      </c>
      <c r="E56">
        <f>SUMPRODUCT((MONTH(CHOOSE({1,2,3,4},TTSSKĐ!T56,TTSSKĐ!X56,TTSSKĐ!AB56,TTSSKĐ!AF56))=5)*(CHOOSE({1,2,3,4},TTSSKĐ!W56,TTSSKĐ!AA56,TTSSKĐ!AE56,TTSSKĐ!AI56)))</f>
        <v>0</v>
      </c>
      <c r="F56">
        <f>SUMPRODUCT((MONTH(CHOOSE({1,2,3,4},TTSSKĐ!T56,TTSSKĐ!X56,TTSSKĐ!AB56,TTSSKĐ!AF56))=6)*(CHOOSE({1,2,3,4},TTSSKĐ!W56,TTSSKĐ!AA56,TTSSKĐ!AE56,TTSSKĐ!AI56)))</f>
        <v>0</v>
      </c>
      <c r="G56">
        <f>SUMPRODUCT((MONTH(CHOOSE({1,2,3,4},TTSSKĐ!T56,TTSSKĐ!X56,TTSSKĐ!AB56,TTSSKĐ!AF56))=7)*(CHOOSE({1,2,3,4},TTSSKĐ!W56,TTSSKĐ!AA56,TTSSKĐ!AE56,TTSSKĐ!AI56)))</f>
        <v>0</v>
      </c>
      <c r="H56">
        <f>SUMPRODUCT((MONTH(CHOOSE({1,2,3,4},TTSSKĐ!T56,TTSSKĐ!X56,TTSSKĐ!AB56,TTSSKĐ!AF56))=8)*(CHOOSE({1,2,3,4},TTSSKĐ!W56,TTSSKĐ!AA56,TTSSKĐ!AE56,TTSSKĐ!AI56)))</f>
        <v>0</v>
      </c>
      <c r="I56">
        <f>SUMPRODUCT((MONTH(CHOOSE({1,2,3,4},TTSSKĐ!T56,TTSSKĐ!X56,TTSSKĐ!AB56,TTSSKĐ!AF56))=9)*(CHOOSE({1,2,3,4},TTSSKĐ!W56,TTSSKĐ!AA56,TTSSKĐ!AE56,TTSSKĐ!AI56)))</f>
        <v>0</v>
      </c>
      <c r="J56">
        <f>SUMPRODUCT((MONTH(CHOOSE({1,2,3,4},TTSSKĐ!T56,TTSSKĐ!X56,TTSSKĐ!AB56,TTSSKĐ!AF56))=10)*(CHOOSE({1,2,3,4},TTSSKĐ!W56,TTSSKĐ!AA56,TTSSKĐ!AE56,TTSSKĐ!AI56)))</f>
        <v>0</v>
      </c>
      <c r="K56">
        <f>SUMPRODUCT((MONTH(CHOOSE({1,2,3,4},TTSSKĐ!T56,TTSSKĐ!X56,TTSSKĐ!AB56,TTSSKĐ!AF56))=11)*(CHOOSE({1,2,3,4},TTSSKĐ!W56,TTSSKĐ!AA56,TTSSKĐ!AE56,TTSSKĐ!AI56)))</f>
        <v>0</v>
      </c>
      <c r="L56">
        <f>SUMPRODUCT((MONTH(CHOOSE({1,2,3,4},TTSSKĐ!T56,TTSSKĐ!X56,TTSSKĐ!AB56,TTSSKĐ!AF56))=12)*(CHOOSE({1,2,3,4},TTSSKĐ!W56,TTSSKĐ!AA56,TTSSKĐ!AE56,TTSSKĐ!AI56)))</f>
        <v>0</v>
      </c>
    </row>
    <row r="57" spans="1:12">
      <c r="A57">
        <f>SUMPRODUCT((MONTH(CHOOSE({1,2,3,4},TTSSKĐ!T57,TTSSKĐ!X57,TTSSKĐ!AB57,TTSSKĐ!AF57))=1)*(CHOOSE({1,2,3,4},TTSSKĐ!W57,TTSSKĐ!AA57,TTSSKĐ!AE57,TTSSKĐ!AI57)))</f>
        <v>0</v>
      </c>
      <c r="B57">
        <f>SUMPRODUCT((MONTH(CHOOSE({1,2,3,4},TTSSKĐ!T57,TTSSKĐ!X57,TTSSKĐ!AB57,TTSSKĐ!AF57))=2)*(CHOOSE({1,2,3,4},TTSSKĐ!W57,TTSSKĐ!AA57,TTSSKĐ!AE57,TTSSKĐ!AI57)))</f>
        <v>0</v>
      </c>
      <c r="C57">
        <f>SUMPRODUCT((MONTH(CHOOSE({1,2,3,4},TTSSKĐ!T57,TTSSKĐ!X57,TTSSKĐ!AB57,TTSSKĐ!AF57))=3)*(CHOOSE({1,2,3,4},TTSSKĐ!W57,TTSSKĐ!AA57,TTSSKĐ!AE57,TTSSKĐ!AI57)))</f>
        <v>0</v>
      </c>
      <c r="D57">
        <f>SUMPRODUCT((MONTH(CHOOSE({1,2,3,4},TTSSKĐ!T57,TTSSKĐ!X57,TTSSKĐ!AB57,TTSSKĐ!AF57))=4)*(CHOOSE({1,2,3,4},TTSSKĐ!W57,TTSSKĐ!AA57,TTSSKĐ!AE57,TTSSKĐ!AI57)))</f>
        <v>0</v>
      </c>
      <c r="E57">
        <f>SUMPRODUCT((MONTH(CHOOSE({1,2,3,4},TTSSKĐ!T57,TTSSKĐ!X57,TTSSKĐ!AB57,TTSSKĐ!AF57))=5)*(CHOOSE({1,2,3,4},TTSSKĐ!W57,TTSSKĐ!AA57,TTSSKĐ!AE57,TTSSKĐ!AI57)))</f>
        <v>0</v>
      </c>
      <c r="F57">
        <f>SUMPRODUCT((MONTH(CHOOSE({1,2,3,4},TTSSKĐ!T57,TTSSKĐ!X57,TTSSKĐ!AB57,TTSSKĐ!AF57))=6)*(CHOOSE({1,2,3,4},TTSSKĐ!W57,TTSSKĐ!AA57,TTSSKĐ!AE57,TTSSKĐ!AI57)))</f>
        <v>0</v>
      </c>
      <c r="G57">
        <f>SUMPRODUCT((MONTH(CHOOSE({1,2,3,4},TTSSKĐ!T57,TTSSKĐ!X57,TTSSKĐ!AB57,TTSSKĐ!AF57))=7)*(CHOOSE({1,2,3,4},TTSSKĐ!W57,TTSSKĐ!AA57,TTSSKĐ!AE57,TTSSKĐ!AI57)))</f>
        <v>0</v>
      </c>
      <c r="H57">
        <f>SUMPRODUCT((MONTH(CHOOSE({1,2,3,4},TTSSKĐ!T57,TTSSKĐ!X57,TTSSKĐ!AB57,TTSSKĐ!AF57))=8)*(CHOOSE({1,2,3,4},TTSSKĐ!W57,TTSSKĐ!AA57,TTSSKĐ!AE57,TTSSKĐ!AI57)))</f>
        <v>0</v>
      </c>
      <c r="I57">
        <f>SUMPRODUCT((MONTH(CHOOSE({1,2,3,4},TTSSKĐ!T57,TTSSKĐ!X57,TTSSKĐ!AB57,TTSSKĐ!AF57))=9)*(CHOOSE({1,2,3,4},TTSSKĐ!W57,TTSSKĐ!AA57,TTSSKĐ!AE57,TTSSKĐ!AI57)))</f>
        <v>0</v>
      </c>
      <c r="J57">
        <f>SUMPRODUCT((MONTH(CHOOSE({1,2,3,4},TTSSKĐ!T57,TTSSKĐ!X57,TTSSKĐ!AB57,TTSSKĐ!AF57))=10)*(CHOOSE({1,2,3,4},TTSSKĐ!W57,TTSSKĐ!AA57,TTSSKĐ!AE57,TTSSKĐ!AI57)))</f>
        <v>0</v>
      </c>
      <c r="K57">
        <f>SUMPRODUCT((MONTH(CHOOSE({1,2,3,4},TTSSKĐ!T57,TTSSKĐ!X57,TTSSKĐ!AB57,TTSSKĐ!AF57))=11)*(CHOOSE({1,2,3,4},TTSSKĐ!W57,TTSSKĐ!AA57,TTSSKĐ!AE57,TTSSKĐ!AI57)))</f>
        <v>0</v>
      </c>
      <c r="L57">
        <f>SUMPRODUCT((MONTH(CHOOSE({1,2,3,4},TTSSKĐ!T57,TTSSKĐ!X57,TTSSKĐ!AB57,TTSSKĐ!AF57))=12)*(CHOOSE({1,2,3,4},TTSSKĐ!W57,TTSSKĐ!AA57,TTSSKĐ!AE57,TTSSKĐ!AI57)))</f>
        <v>0</v>
      </c>
    </row>
    <row r="58" spans="1:12">
      <c r="A58">
        <f>SUMPRODUCT((MONTH(CHOOSE({1,2,3,4},TTSSKĐ!T58,TTSSKĐ!X58,TTSSKĐ!AB58,TTSSKĐ!AF58))=1)*(CHOOSE({1,2,3,4},TTSSKĐ!W58,TTSSKĐ!AA58,TTSSKĐ!AE58,TTSSKĐ!AI58)))</f>
        <v>0</v>
      </c>
      <c r="B58">
        <f>SUMPRODUCT((MONTH(CHOOSE({1,2,3,4},TTSSKĐ!T58,TTSSKĐ!X58,TTSSKĐ!AB58,TTSSKĐ!AF58))=2)*(CHOOSE({1,2,3,4},TTSSKĐ!W58,TTSSKĐ!AA58,TTSSKĐ!AE58,TTSSKĐ!AI58)))</f>
        <v>0</v>
      </c>
      <c r="C58">
        <f>SUMPRODUCT((MONTH(CHOOSE({1,2,3,4},TTSSKĐ!T58,TTSSKĐ!X58,TTSSKĐ!AB58,TTSSKĐ!AF58))=3)*(CHOOSE({1,2,3,4},TTSSKĐ!W58,TTSSKĐ!AA58,TTSSKĐ!AE58,TTSSKĐ!AI58)))</f>
        <v>0</v>
      </c>
      <c r="D58">
        <f>SUMPRODUCT((MONTH(CHOOSE({1,2,3,4},TTSSKĐ!T58,TTSSKĐ!X58,TTSSKĐ!AB58,TTSSKĐ!AF58))=4)*(CHOOSE({1,2,3,4},TTSSKĐ!W58,TTSSKĐ!AA58,TTSSKĐ!AE58,TTSSKĐ!AI58)))</f>
        <v>0</v>
      </c>
      <c r="E58">
        <f>SUMPRODUCT((MONTH(CHOOSE({1,2,3,4},TTSSKĐ!T58,TTSSKĐ!X58,TTSSKĐ!AB58,TTSSKĐ!AF58))=5)*(CHOOSE({1,2,3,4},TTSSKĐ!W58,TTSSKĐ!AA58,TTSSKĐ!AE58,TTSSKĐ!AI58)))</f>
        <v>0</v>
      </c>
      <c r="F58">
        <f>SUMPRODUCT((MONTH(CHOOSE({1,2,3,4},TTSSKĐ!T58,TTSSKĐ!X58,TTSSKĐ!AB58,TTSSKĐ!AF58))=6)*(CHOOSE({1,2,3,4},TTSSKĐ!W58,TTSSKĐ!AA58,TTSSKĐ!AE58,TTSSKĐ!AI58)))</f>
        <v>0</v>
      </c>
      <c r="G58">
        <f>SUMPRODUCT((MONTH(CHOOSE({1,2,3,4},TTSSKĐ!T58,TTSSKĐ!X58,TTSSKĐ!AB58,TTSSKĐ!AF58))=7)*(CHOOSE({1,2,3,4},TTSSKĐ!W58,TTSSKĐ!AA58,TTSSKĐ!AE58,TTSSKĐ!AI58)))</f>
        <v>0</v>
      </c>
      <c r="H58">
        <f>SUMPRODUCT((MONTH(CHOOSE({1,2,3,4},TTSSKĐ!T58,TTSSKĐ!X58,TTSSKĐ!AB58,TTSSKĐ!AF58))=8)*(CHOOSE({1,2,3,4},TTSSKĐ!W58,TTSSKĐ!AA58,TTSSKĐ!AE58,TTSSKĐ!AI58)))</f>
        <v>0</v>
      </c>
      <c r="I58">
        <f>SUMPRODUCT((MONTH(CHOOSE({1,2,3,4},TTSSKĐ!T58,TTSSKĐ!X58,TTSSKĐ!AB58,TTSSKĐ!AF58))=9)*(CHOOSE({1,2,3,4},TTSSKĐ!W58,TTSSKĐ!AA58,TTSSKĐ!AE58,TTSSKĐ!AI58)))</f>
        <v>0</v>
      </c>
      <c r="J58">
        <f>SUMPRODUCT((MONTH(CHOOSE({1,2,3,4},TTSSKĐ!T58,TTSSKĐ!X58,TTSSKĐ!AB58,TTSSKĐ!AF58))=10)*(CHOOSE({1,2,3,4},TTSSKĐ!W58,TTSSKĐ!AA58,TTSSKĐ!AE58,TTSSKĐ!AI58)))</f>
        <v>0</v>
      </c>
      <c r="K58">
        <f>SUMPRODUCT((MONTH(CHOOSE({1,2,3,4},TTSSKĐ!T58,TTSSKĐ!X58,TTSSKĐ!AB58,TTSSKĐ!AF58))=11)*(CHOOSE({1,2,3,4},TTSSKĐ!W58,TTSSKĐ!AA58,TTSSKĐ!AE58,TTSSKĐ!AI58)))</f>
        <v>0</v>
      </c>
      <c r="L58">
        <f>SUMPRODUCT((MONTH(CHOOSE({1,2,3,4},TTSSKĐ!T58,TTSSKĐ!X58,TTSSKĐ!AB58,TTSSKĐ!AF58))=12)*(CHOOSE({1,2,3,4},TTSSKĐ!W58,TTSSKĐ!AA58,TTSSKĐ!AE58,TTSSKĐ!AI58)))</f>
        <v>0</v>
      </c>
    </row>
    <row r="59" spans="1:12">
      <c r="A59">
        <f>SUMPRODUCT((MONTH(CHOOSE({1,2,3,4},TTSSKĐ!T59,TTSSKĐ!X59,TTSSKĐ!AB59,TTSSKĐ!AF59))=1)*(CHOOSE({1,2,3,4},TTSSKĐ!W59,TTSSKĐ!AA59,TTSSKĐ!AE59,TTSSKĐ!AI59)))</f>
        <v>0</v>
      </c>
      <c r="B59">
        <f>SUMPRODUCT((MONTH(CHOOSE({1,2,3,4},TTSSKĐ!T59,TTSSKĐ!X59,TTSSKĐ!AB59,TTSSKĐ!AF59))=2)*(CHOOSE({1,2,3,4},TTSSKĐ!W59,TTSSKĐ!AA59,TTSSKĐ!AE59,TTSSKĐ!AI59)))</f>
        <v>0</v>
      </c>
      <c r="C59">
        <f>SUMPRODUCT((MONTH(CHOOSE({1,2,3,4},TTSSKĐ!T59,TTSSKĐ!X59,TTSSKĐ!AB59,TTSSKĐ!AF59))=3)*(CHOOSE({1,2,3,4},TTSSKĐ!W59,TTSSKĐ!AA59,TTSSKĐ!AE59,TTSSKĐ!AI59)))</f>
        <v>0</v>
      </c>
      <c r="D59">
        <f>SUMPRODUCT((MONTH(CHOOSE({1,2,3,4},TTSSKĐ!T59,TTSSKĐ!X59,TTSSKĐ!AB59,TTSSKĐ!AF59))=4)*(CHOOSE({1,2,3,4},TTSSKĐ!W59,TTSSKĐ!AA59,TTSSKĐ!AE59,TTSSKĐ!AI59)))</f>
        <v>0</v>
      </c>
      <c r="E59">
        <f>SUMPRODUCT((MONTH(CHOOSE({1,2,3,4},TTSSKĐ!T59,TTSSKĐ!X59,TTSSKĐ!AB59,TTSSKĐ!AF59))=5)*(CHOOSE({1,2,3,4},TTSSKĐ!W59,TTSSKĐ!AA59,TTSSKĐ!AE59,TTSSKĐ!AI59)))</f>
        <v>0</v>
      </c>
      <c r="F59">
        <f>SUMPRODUCT((MONTH(CHOOSE({1,2,3,4},TTSSKĐ!T59,TTSSKĐ!X59,TTSSKĐ!AB59,TTSSKĐ!AF59))=6)*(CHOOSE({1,2,3,4},TTSSKĐ!W59,TTSSKĐ!AA59,TTSSKĐ!AE59,TTSSKĐ!AI59)))</f>
        <v>0</v>
      </c>
      <c r="G59">
        <f>SUMPRODUCT((MONTH(CHOOSE({1,2,3,4},TTSSKĐ!T59,TTSSKĐ!X59,TTSSKĐ!AB59,TTSSKĐ!AF59))=7)*(CHOOSE({1,2,3,4},TTSSKĐ!W59,TTSSKĐ!AA59,TTSSKĐ!AE59,TTSSKĐ!AI59)))</f>
        <v>0</v>
      </c>
      <c r="H59">
        <f>SUMPRODUCT((MONTH(CHOOSE({1,2,3,4},TTSSKĐ!T59,TTSSKĐ!X59,TTSSKĐ!AB59,TTSSKĐ!AF59))=8)*(CHOOSE({1,2,3,4},TTSSKĐ!W59,TTSSKĐ!AA59,TTSSKĐ!AE59,TTSSKĐ!AI59)))</f>
        <v>0</v>
      </c>
      <c r="I59">
        <f>SUMPRODUCT((MONTH(CHOOSE({1,2,3,4},TTSSKĐ!T59,TTSSKĐ!X59,TTSSKĐ!AB59,TTSSKĐ!AF59))=9)*(CHOOSE({1,2,3,4},TTSSKĐ!W59,TTSSKĐ!AA59,TTSSKĐ!AE59,TTSSKĐ!AI59)))</f>
        <v>0</v>
      </c>
      <c r="J59">
        <f>SUMPRODUCT((MONTH(CHOOSE({1,2,3,4},TTSSKĐ!T59,TTSSKĐ!X59,TTSSKĐ!AB59,TTSSKĐ!AF59))=10)*(CHOOSE({1,2,3,4},TTSSKĐ!W59,TTSSKĐ!AA59,TTSSKĐ!AE59,TTSSKĐ!AI59)))</f>
        <v>0</v>
      </c>
      <c r="K59">
        <f>SUMPRODUCT((MONTH(CHOOSE({1,2,3,4},TTSSKĐ!T59,TTSSKĐ!X59,TTSSKĐ!AB59,TTSSKĐ!AF59))=11)*(CHOOSE({1,2,3,4},TTSSKĐ!W59,TTSSKĐ!AA59,TTSSKĐ!AE59,TTSSKĐ!AI59)))</f>
        <v>0</v>
      </c>
      <c r="L59">
        <f>SUMPRODUCT((MONTH(CHOOSE({1,2,3,4},TTSSKĐ!T59,TTSSKĐ!X59,TTSSKĐ!AB59,TTSSKĐ!AF59))=12)*(CHOOSE({1,2,3,4},TTSSKĐ!W59,TTSSKĐ!AA59,TTSSKĐ!AE59,TTSSKĐ!AI59)))</f>
        <v>0</v>
      </c>
    </row>
    <row r="60" spans="1:12">
      <c r="A60">
        <f>SUMPRODUCT((MONTH(CHOOSE({1,2,3,4},TTSSKĐ!T60,TTSSKĐ!X60,TTSSKĐ!AB60,TTSSKĐ!AF60))=1)*(CHOOSE({1,2,3,4},TTSSKĐ!W60,TTSSKĐ!AA60,TTSSKĐ!AE60,TTSSKĐ!AI60)))</f>
        <v>0</v>
      </c>
      <c r="B60">
        <f>SUMPRODUCT((MONTH(CHOOSE({1,2,3,4},TTSSKĐ!T60,TTSSKĐ!X60,TTSSKĐ!AB60,TTSSKĐ!AF60))=2)*(CHOOSE({1,2,3,4},TTSSKĐ!W60,TTSSKĐ!AA60,TTSSKĐ!AE60,TTSSKĐ!AI60)))</f>
        <v>0</v>
      </c>
      <c r="C60">
        <f>SUMPRODUCT((MONTH(CHOOSE({1,2,3,4},TTSSKĐ!T60,TTSSKĐ!X60,TTSSKĐ!AB60,TTSSKĐ!AF60))=3)*(CHOOSE({1,2,3,4},TTSSKĐ!W60,TTSSKĐ!AA60,TTSSKĐ!AE60,TTSSKĐ!AI60)))</f>
        <v>0</v>
      </c>
      <c r="D60">
        <f>SUMPRODUCT((MONTH(CHOOSE({1,2,3,4},TTSSKĐ!T60,TTSSKĐ!X60,TTSSKĐ!AB60,TTSSKĐ!AF60))=4)*(CHOOSE({1,2,3,4},TTSSKĐ!W60,TTSSKĐ!AA60,TTSSKĐ!AE60,TTSSKĐ!AI60)))</f>
        <v>0</v>
      </c>
      <c r="E60">
        <f>SUMPRODUCT((MONTH(CHOOSE({1,2,3,4},TTSSKĐ!T60,TTSSKĐ!X60,TTSSKĐ!AB60,TTSSKĐ!AF60))=5)*(CHOOSE({1,2,3,4},TTSSKĐ!W60,TTSSKĐ!AA60,TTSSKĐ!AE60,TTSSKĐ!AI60)))</f>
        <v>0</v>
      </c>
      <c r="F60">
        <f>SUMPRODUCT((MONTH(CHOOSE({1,2,3,4},TTSSKĐ!T60,TTSSKĐ!X60,TTSSKĐ!AB60,TTSSKĐ!AF60))=6)*(CHOOSE({1,2,3,4},TTSSKĐ!W60,TTSSKĐ!AA60,TTSSKĐ!AE60,TTSSKĐ!AI60)))</f>
        <v>0</v>
      </c>
      <c r="G60">
        <f>SUMPRODUCT((MONTH(CHOOSE({1,2,3,4},TTSSKĐ!T60,TTSSKĐ!X60,TTSSKĐ!AB60,TTSSKĐ!AF60))=7)*(CHOOSE({1,2,3,4},TTSSKĐ!W60,TTSSKĐ!AA60,TTSSKĐ!AE60,TTSSKĐ!AI60)))</f>
        <v>0</v>
      </c>
      <c r="H60">
        <f>SUMPRODUCT((MONTH(CHOOSE({1,2,3,4},TTSSKĐ!T60,TTSSKĐ!X60,TTSSKĐ!AB60,TTSSKĐ!AF60))=8)*(CHOOSE({1,2,3,4},TTSSKĐ!W60,TTSSKĐ!AA60,TTSSKĐ!AE60,TTSSKĐ!AI60)))</f>
        <v>0</v>
      </c>
      <c r="I60">
        <f>SUMPRODUCT((MONTH(CHOOSE({1,2,3,4},TTSSKĐ!T60,TTSSKĐ!X60,TTSSKĐ!AB60,TTSSKĐ!AF60))=9)*(CHOOSE({1,2,3,4},TTSSKĐ!W60,TTSSKĐ!AA60,TTSSKĐ!AE60,TTSSKĐ!AI60)))</f>
        <v>0</v>
      </c>
      <c r="J60">
        <f>SUMPRODUCT((MONTH(CHOOSE({1,2,3,4},TTSSKĐ!T60,TTSSKĐ!X60,TTSSKĐ!AB60,TTSSKĐ!AF60))=10)*(CHOOSE({1,2,3,4},TTSSKĐ!W60,TTSSKĐ!AA60,TTSSKĐ!AE60,TTSSKĐ!AI60)))</f>
        <v>0</v>
      </c>
      <c r="K60">
        <f>SUMPRODUCT((MONTH(CHOOSE({1,2,3,4},TTSSKĐ!T60,TTSSKĐ!X60,TTSSKĐ!AB60,TTSSKĐ!AF60))=11)*(CHOOSE({1,2,3,4},TTSSKĐ!W60,TTSSKĐ!AA60,TTSSKĐ!AE60,TTSSKĐ!AI60)))</f>
        <v>0</v>
      </c>
      <c r="L60">
        <f>SUMPRODUCT((MONTH(CHOOSE({1,2,3,4},TTSSKĐ!T60,TTSSKĐ!X60,TTSSKĐ!AB60,TTSSKĐ!AF60))=12)*(CHOOSE({1,2,3,4},TTSSKĐ!W60,TTSSKĐ!AA60,TTSSKĐ!AE60,TTSSKĐ!AI60)))</f>
        <v>0</v>
      </c>
    </row>
    <row r="61" spans="1:12">
      <c r="A61">
        <f>SUMPRODUCT((MONTH(CHOOSE({1,2,3,4},TTSSKĐ!T61,TTSSKĐ!X61,TTSSKĐ!AB61,TTSSKĐ!AF61))=1)*(CHOOSE({1,2,3,4},TTSSKĐ!W61,TTSSKĐ!AA61,TTSSKĐ!AE61,TTSSKĐ!AI61)))</f>
        <v>0</v>
      </c>
      <c r="B61">
        <f>SUMPRODUCT((MONTH(CHOOSE({1,2,3,4},TTSSKĐ!T61,TTSSKĐ!X61,TTSSKĐ!AB61,TTSSKĐ!AF61))=2)*(CHOOSE({1,2,3,4},TTSSKĐ!W61,TTSSKĐ!AA61,TTSSKĐ!AE61,TTSSKĐ!AI61)))</f>
        <v>0</v>
      </c>
      <c r="C61">
        <f>SUMPRODUCT((MONTH(CHOOSE({1,2,3,4},TTSSKĐ!T61,TTSSKĐ!X61,TTSSKĐ!AB61,TTSSKĐ!AF61))=3)*(CHOOSE({1,2,3,4},TTSSKĐ!W61,TTSSKĐ!AA61,TTSSKĐ!AE61,TTSSKĐ!AI61)))</f>
        <v>0</v>
      </c>
      <c r="D61">
        <f>SUMPRODUCT((MONTH(CHOOSE({1,2,3,4},TTSSKĐ!T61,TTSSKĐ!X61,TTSSKĐ!AB61,TTSSKĐ!AF61))=4)*(CHOOSE({1,2,3,4},TTSSKĐ!W61,TTSSKĐ!AA61,TTSSKĐ!AE61,TTSSKĐ!AI61)))</f>
        <v>0</v>
      </c>
      <c r="E61">
        <f>SUMPRODUCT((MONTH(CHOOSE({1,2,3,4},TTSSKĐ!T61,TTSSKĐ!X61,TTSSKĐ!AB61,TTSSKĐ!AF61))=5)*(CHOOSE({1,2,3,4},TTSSKĐ!W61,TTSSKĐ!AA61,TTSSKĐ!AE61,TTSSKĐ!AI61)))</f>
        <v>0</v>
      </c>
      <c r="F61">
        <f>SUMPRODUCT((MONTH(CHOOSE({1,2,3,4},TTSSKĐ!T61,TTSSKĐ!X61,TTSSKĐ!AB61,TTSSKĐ!AF61))=6)*(CHOOSE({1,2,3,4},TTSSKĐ!W61,TTSSKĐ!AA61,TTSSKĐ!AE61,TTSSKĐ!AI61)))</f>
        <v>0</v>
      </c>
      <c r="G61">
        <f>SUMPRODUCT((MONTH(CHOOSE({1,2,3,4},TTSSKĐ!T61,TTSSKĐ!X61,TTSSKĐ!AB61,TTSSKĐ!AF61))=7)*(CHOOSE({1,2,3,4},TTSSKĐ!W61,TTSSKĐ!AA61,TTSSKĐ!AE61,TTSSKĐ!AI61)))</f>
        <v>0</v>
      </c>
      <c r="H61">
        <f>SUMPRODUCT((MONTH(CHOOSE({1,2,3,4},TTSSKĐ!T61,TTSSKĐ!X61,TTSSKĐ!AB61,TTSSKĐ!AF61))=8)*(CHOOSE({1,2,3,4},TTSSKĐ!W61,TTSSKĐ!AA61,TTSSKĐ!AE61,TTSSKĐ!AI61)))</f>
        <v>0</v>
      </c>
      <c r="I61">
        <f>SUMPRODUCT((MONTH(CHOOSE({1,2,3,4},TTSSKĐ!T61,TTSSKĐ!X61,TTSSKĐ!AB61,TTSSKĐ!AF61))=9)*(CHOOSE({1,2,3,4},TTSSKĐ!W61,TTSSKĐ!AA61,TTSSKĐ!AE61,TTSSKĐ!AI61)))</f>
        <v>0</v>
      </c>
      <c r="J61">
        <f>SUMPRODUCT((MONTH(CHOOSE({1,2,3,4},TTSSKĐ!T61,TTSSKĐ!X61,TTSSKĐ!AB61,TTSSKĐ!AF61))=10)*(CHOOSE({1,2,3,4},TTSSKĐ!W61,TTSSKĐ!AA61,TTSSKĐ!AE61,TTSSKĐ!AI61)))</f>
        <v>0</v>
      </c>
      <c r="K61">
        <f>SUMPRODUCT((MONTH(CHOOSE({1,2,3,4},TTSSKĐ!T61,TTSSKĐ!X61,TTSSKĐ!AB61,TTSSKĐ!AF61))=11)*(CHOOSE({1,2,3,4},TTSSKĐ!W61,TTSSKĐ!AA61,TTSSKĐ!AE61,TTSSKĐ!AI61)))</f>
        <v>0</v>
      </c>
      <c r="L61">
        <f>SUMPRODUCT((MONTH(CHOOSE({1,2,3,4},TTSSKĐ!T61,TTSSKĐ!X61,TTSSKĐ!AB61,TTSSKĐ!AF61))=12)*(CHOOSE({1,2,3,4},TTSSKĐ!W61,TTSSKĐ!AA61,TTSSKĐ!AE61,TTSSKĐ!AI61)))</f>
        <v>0</v>
      </c>
    </row>
    <row r="62" spans="1:12">
      <c r="A62">
        <f>SUMPRODUCT((MONTH(CHOOSE({1,2,3,4},TTSSKĐ!T62,TTSSKĐ!X62,TTSSKĐ!AB62,TTSSKĐ!AF62))=1)*(CHOOSE({1,2,3,4},TTSSKĐ!W62,TTSSKĐ!AA62,TTSSKĐ!AE62,TTSSKĐ!AI62)))</f>
        <v>0</v>
      </c>
      <c r="B62">
        <f>SUMPRODUCT((MONTH(CHOOSE({1,2,3,4},TTSSKĐ!T62,TTSSKĐ!X62,TTSSKĐ!AB62,TTSSKĐ!AF62))=2)*(CHOOSE({1,2,3,4},TTSSKĐ!W62,TTSSKĐ!AA62,TTSSKĐ!AE62,TTSSKĐ!AI62)))</f>
        <v>0</v>
      </c>
      <c r="C62">
        <f>SUMPRODUCT((MONTH(CHOOSE({1,2,3,4},TTSSKĐ!T62,TTSSKĐ!X62,TTSSKĐ!AB62,TTSSKĐ!AF62))=3)*(CHOOSE({1,2,3,4},TTSSKĐ!W62,TTSSKĐ!AA62,TTSSKĐ!AE62,TTSSKĐ!AI62)))</f>
        <v>0</v>
      </c>
      <c r="D62">
        <f>SUMPRODUCT((MONTH(CHOOSE({1,2,3,4},TTSSKĐ!T62,TTSSKĐ!X62,TTSSKĐ!AB62,TTSSKĐ!AF62))=4)*(CHOOSE({1,2,3,4},TTSSKĐ!W62,TTSSKĐ!AA62,TTSSKĐ!AE62,TTSSKĐ!AI62)))</f>
        <v>0</v>
      </c>
      <c r="E62">
        <f>SUMPRODUCT((MONTH(CHOOSE({1,2,3,4},TTSSKĐ!T62,TTSSKĐ!X62,TTSSKĐ!AB62,TTSSKĐ!AF62))=5)*(CHOOSE({1,2,3,4},TTSSKĐ!W62,TTSSKĐ!AA62,TTSSKĐ!AE62,TTSSKĐ!AI62)))</f>
        <v>0</v>
      </c>
      <c r="F62">
        <f>SUMPRODUCT((MONTH(CHOOSE({1,2,3,4},TTSSKĐ!T62,TTSSKĐ!X62,TTSSKĐ!AB62,TTSSKĐ!AF62))=6)*(CHOOSE({1,2,3,4},TTSSKĐ!W62,TTSSKĐ!AA62,TTSSKĐ!AE62,TTSSKĐ!AI62)))</f>
        <v>0</v>
      </c>
      <c r="G62">
        <f>SUMPRODUCT((MONTH(CHOOSE({1,2,3,4},TTSSKĐ!T62,TTSSKĐ!X62,TTSSKĐ!AB62,TTSSKĐ!AF62))=7)*(CHOOSE({1,2,3,4},TTSSKĐ!W62,TTSSKĐ!AA62,TTSSKĐ!AE62,TTSSKĐ!AI62)))</f>
        <v>0</v>
      </c>
      <c r="H62">
        <f>SUMPRODUCT((MONTH(CHOOSE({1,2,3,4},TTSSKĐ!T62,TTSSKĐ!X62,TTSSKĐ!AB62,TTSSKĐ!AF62))=8)*(CHOOSE({1,2,3,4},TTSSKĐ!W62,TTSSKĐ!AA62,TTSSKĐ!AE62,TTSSKĐ!AI62)))</f>
        <v>0</v>
      </c>
      <c r="I62">
        <f>SUMPRODUCT((MONTH(CHOOSE({1,2,3,4},TTSSKĐ!T62,TTSSKĐ!X62,TTSSKĐ!AB62,TTSSKĐ!AF62))=9)*(CHOOSE({1,2,3,4},TTSSKĐ!W62,TTSSKĐ!AA62,TTSSKĐ!AE62,TTSSKĐ!AI62)))</f>
        <v>0</v>
      </c>
      <c r="J62">
        <f>SUMPRODUCT((MONTH(CHOOSE({1,2,3,4},TTSSKĐ!T62,TTSSKĐ!X62,TTSSKĐ!AB62,TTSSKĐ!AF62))=10)*(CHOOSE({1,2,3,4},TTSSKĐ!W62,TTSSKĐ!AA62,TTSSKĐ!AE62,TTSSKĐ!AI62)))</f>
        <v>0</v>
      </c>
      <c r="K62">
        <f>SUMPRODUCT((MONTH(CHOOSE({1,2,3,4},TTSSKĐ!T62,TTSSKĐ!X62,TTSSKĐ!AB62,TTSSKĐ!AF62))=11)*(CHOOSE({1,2,3,4},TTSSKĐ!W62,TTSSKĐ!AA62,TTSSKĐ!AE62,TTSSKĐ!AI62)))</f>
        <v>0</v>
      </c>
      <c r="L62">
        <f>SUMPRODUCT((MONTH(CHOOSE({1,2,3,4},TTSSKĐ!T62,TTSSKĐ!X62,TTSSKĐ!AB62,TTSSKĐ!AF62))=12)*(CHOOSE({1,2,3,4},TTSSKĐ!W62,TTSSKĐ!AA62,TTSSKĐ!AE62,TTSSKĐ!AI62)))</f>
        <v>0</v>
      </c>
    </row>
    <row r="63" spans="1:12">
      <c r="A63">
        <f>SUMPRODUCT((MONTH(CHOOSE({1,2,3,4},TTSSKĐ!T63,TTSSKĐ!X63,TTSSKĐ!AB63,TTSSKĐ!AF63))=1)*(CHOOSE({1,2,3,4},TTSSKĐ!W63,TTSSKĐ!AA63,TTSSKĐ!AE63,TTSSKĐ!AI63)))</f>
        <v>0</v>
      </c>
      <c r="B63">
        <f>SUMPRODUCT((MONTH(CHOOSE({1,2,3,4},TTSSKĐ!T63,TTSSKĐ!X63,TTSSKĐ!AB63,TTSSKĐ!AF63))=2)*(CHOOSE({1,2,3,4},TTSSKĐ!W63,TTSSKĐ!AA63,TTSSKĐ!AE63,TTSSKĐ!AI63)))</f>
        <v>0</v>
      </c>
      <c r="C63">
        <f>SUMPRODUCT((MONTH(CHOOSE({1,2,3,4},TTSSKĐ!T63,TTSSKĐ!X63,TTSSKĐ!AB63,TTSSKĐ!AF63))=3)*(CHOOSE({1,2,3,4},TTSSKĐ!W63,TTSSKĐ!AA63,TTSSKĐ!AE63,TTSSKĐ!AI63)))</f>
        <v>0</v>
      </c>
      <c r="D63">
        <f>SUMPRODUCT((MONTH(CHOOSE({1,2,3,4},TTSSKĐ!T63,TTSSKĐ!X63,TTSSKĐ!AB63,TTSSKĐ!AF63))=4)*(CHOOSE({1,2,3,4},TTSSKĐ!W63,TTSSKĐ!AA63,TTSSKĐ!AE63,TTSSKĐ!AI63)))</f>
        <v>0</v>
      </c>
      <c r="E63">
        <f>SUMPRODUCT((MONTH(CHOOSE({1,2,3,4},TTSSKĐ!T63,TTSSKĐ!X63,TTSSKĐ!AB63,TTSSKĐ!AF63))=5)*(CHOOSE({1,2,3,4},TTSSKĐ!W63,TTSSKĐ!AA63,TTSSKĐ!AE63,TTSSKĐ!AI63)))</f>
        <v>0</v>
      </c>
      <c r="F63">
        <f>SUMPRODUCT((MONTH(CHOOSE({1,2,3,4},TTSSKĐ!T63,TTSSKĐ!X63,TTSSKĐ!AB63,TTSSKĐ!AF63))=6)*(CHOOSE({1,2,3,4},TTSSKĐ!W63,TTSSKĐ!AA63,TTSSKĐ!AE63,TTSSKĐ!AI63)))</f>
        <v>0</v>
      </c>
      <c r="G63">
        <f>SUMPRODUCT((MONTH(CHOOSE({1,2,3,4},TTSSKĐ!T63,TTSSKĐ!X63,TTSSKĐ!AB63,TTSSKĐ!AF63))=7)*(CHOOSE({1,2,3,4},TTSSKĐ!W63,TTSSKĐ!AA63,TTSSKĐ!AE63,TTSSKĐ!AI63)))</f>
        <v>0</v>
      </c>
      <c r="H63">
        <f>SUMPRODUCT((MONTH(CHOOSE({1,2,3,4},TTSSKĐ!T63,TTSSKĐ!X63,TTSSKĐ!AB63,TTSSKĐ!AF63))=8)*(CHOOSE({1,2,3,4},TTSSKĐ!W63,TTSSKĐ!AA63,TTSSKĐ!AE63,TTSSKĐ!AI63)))</f>
        <v>0</v>
      </c>
      <c r="I63">
        <f>SUMPRODUCT((MONTH(CHOOSE({1,2,3,4},TTSSKĐ!T63,TTSSKĐ!X63,TTSSKĐ!AB63,TTSSKĐ!AF63))=9)*(CHOOSE({1,2,3,4},TTSSKĐ!W63,TTSSKĐ!AA63,TTSSKĐ!AE63,TTSSKĐ!AI63)))</f>
        <v>0</v>
      </c>
      <c r="J63">
        <f>SUMPRODUCT((MONTH(CHOOSE({1,2,3,4},TTSSKĐ!T63,TTSSKĐ!X63,TTSSKĐ!AB63,TTSSKĐ!AF63))=10)*(CHOOSE({1,2,3,4},TTSSKĐ!W63,TTSSKĐ!AA63,TTSSKĐ!AE63,TTSSKĐ!AI63)))</f>
        <v>0</v>
      </c>
      <c r="K63">
        <f>SUMPRODUCT((MONTH(CHOOSE({1,2,3,4},TTSSKĐ!T63,TTSSKĐ!X63,TTSSKĐ!AB63,TTSSKĐ!AF63))=11)*(CHOOSE({1,2,3,4},TTSSKĐ!W63,TTSSKĐ!AA63,TTSSKĐ!AE63,TTSSKĐ!AI63)))</f>
        <v>0</v>
      </c>
      <c r="L63">
        <f>SUMPRODUCT((MONTH(CHOOSE({1,2,3,4},TTSSKĐ!T63,TTSSKĐ!X63,TTSSKĐ!AB63,TTSSKĐ!AF63))=12)*(CHOOSE({1,2,3,4},TTSSKĐ!W63,TTSSKĐ!AA63,TTSSKĐ!AE63,TTSSKĐ!AI63)))</f>
        <v>0</v>
      </c>
    </row>
    <row r="64" spans="1:12">
      <c r="A64">
        <f>SUMPRODUCT((MONTH(CHOOSE({1,2,3,4},TTSSKĐ!T64,TTSSKĐ!X64,TTSSKĐ!AB64,TTSSKĐ!AF64))=1)*(CHOOSE({1,2,3,4},TTSSKĐ!W64,TTSSKĐ!AA64,TTSSKĐ!AE64,TTSSKĐ!AI64)))</f>
        <v>0</v>
      </c>
      <c r="B64">
        <f>SUMPRODUCT((MONTH(CHOOSE({1,2,3,4},TTSSKĐ!T64,TTSSKĐ!X64,TTSSKĐ!AB64,TTSSKĐ!AF64))=2)*(CHOOSE({1,2,3,4},TTSSKĐ!W64,TTSSKĐ!AA64,TTSSKĐ!AE64,TTSSKĐ!AI64)))</f>
        <v>0</v>
      </c>
      <c r="C64">
        <f>SUMPRODUCT((MONTH(CHOOSE({1,2,3,4},TTSSKĐ!T64,TTSSKĐ!X64,TTSSKĐ!AB64,TTSSKĐ!AF64))=3)*(CHOOSE({1,2,3,4},TTSSKĐ!W64,TTSSKĐ!AA64,TTSSKĐ!AE64,TTSSKĐ!AI64)))</f>
        <v>0</v>
      </c>
      <c r="D64">
        <f>SUMPRODUCT((MONTH(CHOOSE({1,2,3,4},TTSSKĐ!T64,TTSSKĐ!X64,TTSSKĐ!AB64,TTSSKĐ!AF64))=4)*(CHOOSE({1,2,3,4},TTSSKĐ!W64,TTSSKĐ!AA64,TTSSKĐ!AE64,TTSSKĐ!AI64)))</f>
        <v>0</v>
      </c>
      <c r="E64">
        <f>SUMPRODUCT((MONTH(CHOOSE({1,2,3,4},TTSSKĐ!T64,TTSSKĐ!X64,TTSSKĐ!AB64,TTSSKĐ!AF64))=5)*(CHOOSE({1,2,3,4},TTSSKĐ!W64,TTSSKĐ!AA64,TTSSKĐ!AE64,TTSSKĐ!AI64)))</f>
        <v>0</v>
      </c>
      <c r="F64">
        <f>SUMPRODUCT((MONTH(CHOOSE({1,2,3,4},TTSSKĐ!T64,TTSSKĐ!X64,TTSSKĐ!AB64,TTSSKĐ!AF64))=6)*(CHOOSE({1,2,3,4},TTSSKĐ!W64,TTSSKĐ!AA64,TTSSKĐ!AE64,TTSSKĐ!AI64)))</f>
        <v>0</v>
      </c>
      <c r="G64">
        <f>SUMPRODUCT((MONTH(CHOOSE({1,2,3,4},TTSSKĐ!T64,TTSSKĐ!X64,TTSSKĐ!AB64,TTSSKĐ!AF64))=7)*(CHOOSE({1,2,3,4},TTSSKĐ!W64,TTSSKĐ!AA64,TTSSKĐ!AE64,TTSSKĐ!AI64)))</f>
        <v>0</v>
      </c>
      <c r="H64">
        <f>SUMPRODUCT((MONTH(CHOOSE({1,2,3,4},TTSSKĐ!T64,TTSSKĐ!X64,TTSSKĐ!AB64,TTSSKĐ!AF64))=8)*(CHOOSE({1,2,3,4},TTSSKĐ!W64,TTSSKĐ!AA64,TTSSKĐ!AE64,TTSSKĐ!AI64)))</f>
        <v>0</v>
      </c>
      <c r="I64">
        <f>SUMPRODUCT((MONTH(CHOOSE({1,2,3,4},TTSSKĐ!T64,TTSSKĐ!X64,TTSSKĐ!AB64,TTSSKĐ!AF64))=9)*(CHOOSE({1,2,3,4},TTSSKĐ!W64,TTSSKĐ!AA64,TTSSKĐ!AE64,TTSSKĐ!AI64)))</f>
        <v>0</v>
      </c>
      <c r="J64">
        <f>SUMPRODUCT((MONTH(CHOOSE({1,2,3,4},TTSSKĐ!T64,TTSSKĐ!X64,TTSSKĐ!AB64,TTSSKĐ!AF64))=10)*(CHOOSE({1,2,3,4},TTSSKĐ!W64,TTSSKĐ!AA64,TTSSKĐ!AE64,TTSSKĐ!AI64)))</f>
        <v>0</v>
      </c>
      <c r="K64">
        <f>SUMPRODUCT((MONTH(CHOOSE({1,2,3,4},TTSSKĐ!T64,TTSSKĐ!X64,TTSSKĐ!AB64,TTSSKĐ!AF64))=11)*(CHOOSE({1,2,3,4},TTSSKĐ!W64,TTSSKĐ!AA64,TTSSKĐ!AE64,TTSSKĐ!AI64)))</f>
        <v>0</v>
      </c>
      <c r="L64">
        <f>SUMPRODUCT((MONTH(CHOOSE({1,2,3,4},TTSSKĐ!T64,TTSSKĐ!X64,TTSSKĐ!AB64,TTSSKĐ!AF64))=12)*(CHOOSE({1,2,3,4},TTSSKĐ!W64,TTSSKĐ!AA64,TTSSKĐ!AE64,TTSSKĐ!AI64)))</f>
        <v>0</v>
      </c>
    </row>
    <row r="65" spans="1:12">
      <c r="A65">
        <f>SUMPRODUCT((MONTH(CHOOSE({1,2,3,4},TTSSKĐ!T65,TTSSKĐ!X65,TTSSKĐ!AB65,TTSSKĐ!AF65))=1)*(CHOOSE({1,2,3,4},TTSSKĐ!W65,TTSSKĐ!AA65,TTSSKĐ!AE65,TTSSKĐ!AI65)))</f>
        <v>0</v>
      </c>
      <c r="B65">
        <f>SUMPRODUCT((MONTH(CHOOSE({1,2,3,4},TTSSKĐ!T65,TTSSKĐ!X65,TTSSKĐ!AB65,TTSSKĐ!AF65))=2)*(CHOOSE({1,2,3,4},TTSSKĐ!W65,TTSSKĐ!AA65,TTSSKĐ!AE65,TTSSKĐ!AI65)))</f>
        <v>0</v>
      </c>
      <c r="C65">
        <f>SUMPRODUCT((MONTH(CHOOSE({1,2,3,4},TTSSKĐ!T65,TTSSKĐ!X65,TTSSKĐ!AB65,TTSSKĐ!AF65))=3)*(CHOOSE({1,2,3,4},TTSSKĐ!W65,TTSSKĐ!AA65,TTSSKĐ!AE65,TTSSKĐ!AI65)))</f>
        <v>0</v>
      </c>
      <c r="D65">
        <f>SUMPRODUCT((MONTH(CHOOSE({1,2,3,4},TTSSKĐ!T65,TTSSKĐ!X65,TTSSKĐ!AB65,TTSSKĐ!AF65))=4)*(CHOOSE({1,2,3,4},TTSSKĐ!W65,TTSSKĐ!AA65,TTSSKĐ!AE65,TTSSKĐ!AI65)))</f>
        <v>0</v>
      </c>
      <c r="E65">
        <f>SUMPRODUCT((MONTH(CHOOSE({1,2,3,4},TTSSKĐ!T65,TTSSKĐ!X65,TTSSKĐ!AB65,TTSSKĐ!AF65))=5)*(CHOOSE({1,2,3,4},TTSSKĐ!W65,TTSSKĐ!AA65,TTSSKĐ!AE65,TTSSKĐ!AI65)))</f>
        <v>0</v>
      </c>
      <c r="F65">
        <f>SUMPRODUCT((MONTH(CHOOSE({1,2,3,4},TTSSKĐ!T65,TTSSKĐ!X65,TTSSKĐ!AB65,TTSSKĐ!AF65))=6)*(CHOOSE({1,2,3,4},TTSSKĐ!W65,TTSSKĐ!AA65,TTSSKĐ!AE65,TTSSKĐ!AI65)))</f>
        <v>0</v>
      </c>
      <c r="G65">
        <f>SUMPRODUCT((MONTH(CHOOSE({1,2,3,4},TTSSKĐ!T65,TTSSKĐ!X65,TTSSKĐ!AB65,TTSSKĐ!AF65))=7)*(CHOOSE({1,2,3,4},TTSSKĐ!W65,TTSSKĐ!AA65,TTSSKĐ!AE65,TTSSKĐ!AI65)))</f>
        <v>0</v>
      </c>
      <c r="H65">
        <f>SUMPRODUCT((MONTH(CHOOSE({1,2,3,4},TTSSKĐ!T65,TTSSKĐ!X65,TTSSKĐ!AB65,TTSSKĐ!AF65))=8)*(CHOOSE({1,2,3,4},TTSSKĐ!W65,TTSSKĐ!AA65,TTSSKĐ!AE65,TTSSKĐ!AI65)))</f>
        <v>0</v>
      </c>
      <c r="I65">
        <f>SUMPRODUCT((MONTH(CHOOSE({1,2,3,4},TTSSKĐ!T65,TTSSKĐ!X65,TTSSKĐ!AB65,TTSSKĐ!AF65))=9)*(CHOOSE({1,2,3,4},TTSSKĐ!W65,TTSSKĐ!AA65,TTSSKĐ!AE65,TTSSKĐ!AI65)))</f>
        <v>0</v>
      </c>
      <c r="J65">
        <f>SUMPRODUCT((MONTH(CHOOSE({1,2,3,4},TTSSKĐ!T65,TTSSKĐ!X65,TTSSKĐ!AB65,TTSSKĐ!AF65))=10)*(CHOOSE({1,2,3,4},TTSSKĐ!W65,TTSSKĐ!AA65,TTSSKĐ!AE65,TTSSKĐ!AI65)))</f>
        <v>0</v>
      </c>
      <c r="K65">
        <f>SUMPRODUCT((MONTH(CHOOSE({1,2,3,4},TTSSKĐ!T65,TTSSKĐ!X65,TTSSKĐ!AB65,TTSSKĐ!AF65))=11)*(CHOOSE({1,2,3,4},TTSSKĐ!W65,TTSSKĐ!AA65,TTSSKĐ!AE65,TTSSKĐ!AI65)))</f>
        <v>0</v>
      </c>
      <c r="L65">
        <f>SUMPRODUCT((MONTH(CHOOSE({1,2,3,4},TTSSKĐ!T65,TTSSKĐ!X65,TTSSKĐ!AB65,TTSSKĐ!AF65))=12)*(CHOOSE({1,2,3,4},TTSSKĐ!W65,TTSSKĐ!AA65,TTSSKĐ!AE65,TTSSKĐ!AI65)))</f>
        <v>0</v>
      </c>
    </row>
    <row r="66" spans="1:12">
      <c r="A66">
        <f>SUMPRODUCT((MONTH(CHOOSE({1,2,3,4},TTSSKĐ!T66,TTSSKĐ!X66,TTSSKĐ!AB66,TTSSKĐ!AF66))=1)*(CHOOSE({1,2,3,4},TTSSKĐ!W66,TTSSKĐ!AA66,TTSSKĐ!AE66,TTSSKĐ!AI66)))</f>
        <v>0</v>
      </c>
      <c r="B66">
        <f>SUMPRODUCT((MONTH(CHOOSE({1,2,3,4},TTSSKĐ!T66,TTSSKĐ!X66,TTSSKĐ!AB66,TTSSKĐ!AF66))=2)*(CHOOSE({1,2,3,4},TTSSKĐ!W66,TTSSKĐ!AA66,TTSSKĐ!AE66,TTSSKĐ!AI66)))</f>
        <v>0</v>
      </c>
      <c r="C66">
        <f>SUMPRODUCT((MONTH(CHOOSE({1,2,3,4},TTSSKĐ!T66,TTSSKĐ!X66,TTSSKĐ!AB66,TTSSKĐ!AF66))=3)*(CHOOSE({1,2,3,4},TTSSKĐ!W66,TTSSKĐ!AA66,TTSSKĐ!AE66,TTSSKĐ!AI66)))</f>
        <v>0</v>
      </c>
      <c r="D66">
        <f>SUMPRODUCT((MONTH(CHOOSE({1,2,3,4},TTSSKĐ!T66,TTSSKĐ!X66,TTSSKĐ!AB66,TTSSKĐ!AF66))=4)*(CHOOSE({1,2,3,4},TTSSKĐ!W66,TTSSKĐ!AA66,TTSSKĐ!AE66,TTSSKĐ!AI66)))</f>
        <v>0</v>
      </c>
      <c r="E66">
        <f>SUMPRODUCT((MONTH(CHOOSE({1,2,3,4},TTSSKĐ!T66,TTSSKĐ!X66,TTSSKĐ!AB66,TTSSKĐ!AF66))=5)*(CHOOSE({1,2,3,4},TTSSKĐ!W66,TTSSKĐ!AA66,TTSSKĐ!AE66,TTSSKĐ!AI66)))</f>
        <v>0</v>
      </c>
      <c r="F66">
        <f>SUMPRODUCT((MONTH(CHOOSE({1,2,3,4},TTSSKĐ!T66,TTSSKĐ!X66,TTSSKĐ!AB66,TTSSKĐ!AF66))=6)*(CHOOSE({1,2,3,4},TTSSKĐ!W66,TTSSKĐ!AA66,TTSSKĐ!AE66,TTSSKĐ!AI66)))</f>
        <v>0</v>
      </c>
      <c r="G66">
        <f>SUMPRODUCT((MONTH(CHOOSE({1,2,3,4},TTSSKĐ!T66,TTSSKĐ!X66,TTSSKĐ!AB66,TTSSKĐ!AF66))=7)*(CHOOSE({1,2,3,4},TTSSKĐ!W66,TTSSKĐ!AA66,TTSSKĐ!AE66,TTSSKĐ!AI66)))</f>
        <v>0</v>
      </c>
      <c r="H66">
        <f>SUMPRODUCT((MONTH(CHOOSE({1,2,3,4},TTSSKĐ!T66,TTSSKĐ!X66,TTSSKĐ!AB66,TTSSKĐ!AF66))=8)*(CHOOSE({1,2,3,4},TTSSKĐ!W66,TTSSKĐ!AA66,TTSSKĐ!AE66,TTSSKĐ!AI66)))</f>
        <v>0</v>
      </c>
      <c r="I66">
        <f>SUMPRODUCT((MONTH(CHOOSE({1,2,3,4},TTSSKĐ!T66,TTSSKĐ!X66,TTSSKĐ!AB66,TTSSKĐ!AF66))=9)*(CHOOSE({1,2,3,4},TTSSKĐ!W66,TTSSKĐ!AA66,TTSSKĐ!AE66,TTSSKĐ!AI66)))</f>
        <v>0</v>
      </c>
      <c r="J66">
        <f>SUMPRODUCT((MONTH(CHOOSE({1,2,3,4},TTSSKĐ!T66,TTSSKĐ!X66,TTSSKĐ!AB66,TTSSKĐ!AF66))=10)*(CHOOSE({1,2,3,4},TTSSKĐ!W66,TTSSKĐ!AA66,TTSSKĐ!AE66,TTSSKĐ!AI66)))</f>
        <v>0</v>
      </c>
      <c r="K66">
        <f>SUMPRODUCT((MONTH(CHOOSE({1,2,3,4},TTSSKĐ!T66,TTSSKĐ!X66,TTSSKĐ!AB66,TTSSKĐ!AF66))=11)*(CHOOSE({1,2,3,4},TTSSKĐ!W66,TTSSKĐ!AA66,TTSSKĐ!AE66,TTSSKĐ!AI66)))</f>
        <v>0</v>
      </c>
      <c r="L66">
        <f>SUMPRODUCT((MONTH(CHOOSE({1,2,3,4},TTSSKĐ!T66,TTSSKĐ!X66,TTSSKĐ!AB66,TTSSKĐ!AF66))=12)*(CHOOSE({1,2,3,4},TTSSKĐ!W66,TTSSKĐ!AA66,TTSSKĐ!AE66,TTSSKĐ!AI66)))</f>
        <v>0</v>
      </c>
    </row>
    <row r="67" spans="1:12">
      <c r="A67">
        <f>SUMPRODUCT((MONTH(CHOOSE({1,2,3,4},TTSSKĐ!T67,TTSSKĐ!X67,TTSSKĐ!AB67,TTSSKĐ!AF67))=1)*(CHOOSE({1,2,3,4},TTSSKĐ!W67,TTSSKĐ!AA67,TTSSKĐ!AE67,TTSSKĐ!AI67)))</f>
        <v>0</v>
      </c>
      <c r="B67">
        <f>SUMPRODUCT((MONTH(CHOOSE({1,2,3,4},TTSSKĐ!T67,TTSSKĐ!X67,TTSSKĐ!AB67,TTSSKĐ!AF67))=2)*(CHOOSE({1,2,3,4},TTSSKĐ!W67,TTSSKĐ!AA67,TTSSKĐ!AE67,TTSSKĐ!AI67)))</f>
        <v>0</v>
      </c>
      <c r="C67">
        <f>SUMPRODUCT((MONTH(CHOOSE({1,2,3,4},TTSSKĐ!T67,TTSSKĐ!X67,TTSSKĐ!AB67,TTSSKĐ!AF67))=3)*(CHOOSE({1,2,3,4},TTSSKĐ!W67,TTSSKĐ!AA67,TTSSKĐ!AE67,TTSSKĐ!AI67)))</f>
        <v>0</v>
      </c>
      <c r="D67">
        <f>SUMPRODUCT((MONTH(CHOOSE({1,2,3,4},TTSSKĐ!T67,TTSSKĐ!X67,TTSSKĐ!AB67,TTSSKĐ!AF67))=4)*(CHOOSE({1,2,3,4},TTSSKĐ!W67,TTSSKĐ!AA67,TTSSKĐ!AE67,TTSSKĐ!AI67)))</f>
        <v>0</v>
      </c>
      <c r="E67">
        <f>SUMPRODUCT((MONTH(CHOOSE({1,2,3,4},TTSSKĐ!T67,TTSSKĐ!X67,TTSSKĐ!AB67,TTSSKĐ!AF67))=5)*(CHOOSE({1,2,3,4},TTSSKĐ!W67,TTSSKĐ!AA67,TTSSKĐ!AE67,TTSSKĐ!AI67)))</f>
        <v>0</v>
      </c>
      <c r="F67">
        <f>SUMPRODUCT((MONTH(CHOOSE({1,2,3,4},TTSSKĐ!T67,TTSSKĐ!X67,TTSSKĐ!AB67,TTSSKĐ!AF67))=6)*(CHOOSE({1,2,3,4},TTSSKĐ!W67,TTSSKĐ!AA67,TTSSKĐ!AE67,TTSSKĐ!AI67)))</f>
        <v>0</v>
      </c>
      <c r="G67">
        <f>SUMPRODUCT((MONTH(CHOOSE({1,2,3,4},TTSSKĐ!T67,TTSSKĐ!X67,TTSSKĐ!AB67,TTSSKĐ!AF67))=7)*(CHOOSE({1,2,3,4},TTSSKĐ!W67,TTSSKĐ!AA67,TTSSKĐ!AE67,TTSSKĐ!AI67)))</f>
        <v>0</v>
      </c>
      <c r="H67">
        <f>SUMPRODUCT((MONTH(CHOOSE({1,2,3,4},TTSSKĐ!T67,TTSSKĐ!X67,TTSSKĐ!AB67,TTSSKĐ!AF67))=8)*(CHOOSE({1,2,3,4},TTSSKĐ!W67,TTSSKĐ!AA67,TTSSKĐ!AE67,TTSSKĐ!AI67)))</f>
        <v>0</v>
      </c>
      <c r="I67">
        <f>SUMPRODUCT((MONTH(CHOOSE({1,2,3,4},TTSSKĐ!T67,TTSSKĐ!X67,TTSSKĐ!AB67,TTSSKĐ!AF67))=9)*(CHOOSE({1,2,3,4},TTSSKĐ!W67,TTSSKĐ!AA67,TTSSKĐ!AE67,TTSSKĐ!AI67)))</f>
        <v>0</v>
      </c>
      <c r="J67">
        <f>SUMPRODUCT((MONTH(CHOOSE({1,2,3,4},TTSSKĐ!T67,TTSSKĐ!X67,TTSSKĐ!AB67,TTSSKĐ!AF67))=10)*(CHOOSE({1,2,3,4},TTSSKĐ!W67,TTSSKĐ!AA67,TTSSKĐ!AE67,TTSSKĐ!AI67)))</f>
        <v>0</v>
      </c>
      <c r="K67">
        <f>SUMPRODUCT((MONTH(CHOOSE({1,2,3,4},TTSSKĐ!T67,TTSSKĐ!X67,TTSSKĐ!AB67,TTSSKĐ!AF67))=11)*(CHOOSE({1,2,3,4},TTSSKĐ!W67,TTSSKĐ!AA67,TTSSKĐ!AE67,TTSSKĐ!AI67)))</f>
        <v>0</v>
      </c>
      <c r="L67">
        <f>SUMPRODUCT((MONTH(CHOOSE({1,2,3,4},TTSSKĐ!T67,TTSSKĐ!X67,TTSSKĐ!AB67,TTSSKĐ!AF67))=12)*(CHOOSE({1,2,3,4},TTSSKĐ!W67,TTSSKĐ!AA67,TTSSKĐ!AE67,TTSSKĐ!AI67)))</f>
        <v>0</v>
      </c>
    </row>
    <row r="68" spans="1:12">
      <c r="A68">
        <f>SUMPRODUCT((MONTH(CHOOSE({1,2,3,4},TTSSKĐ!T68,TTSSKĐ!X68,TTSSKĐ!AB68,TTSSKĐ!AF68))=1)*(CHOOSE({1,2,3,4},TTSSKĐ!W68,TTSSKĐ!AA68,TTSSKĐ!AE68,TTSSKĐ!AI68)))</f>
        <v>0</v>
      </c>
      <c r="B68">
        <f>SUMPRODUCT((MONTH(CHOOSE({1,2,3,4},TTSSKĐ!T68,TTSSKĐ!X68,TTSSKĐ!AB68,TTSSKĐ!AF68))=2)*(CHOOSE({1,2,3,4},TTSSKĐ!W68,TTSSKĐ!AA68,TTSSKĐ!AE68,TTSSKĐ!AI68)))</f>
        <v>0</v>
      </c>
      <c r="C68">
        <f>SUMPRODUCT((MONTH(CHOOSE({1,2,3,4},TTSSKĐ!T68,TTSSKĐ!X68,TTSSKĐ!AB68,TTSSKĐ!AF68))=3)*(CHOOSE({1,2,3,4},TTSSKĐ!W68,TTSSKĐ!AA68,TTSSKĐ!AE68,TTSSKĐ!AI68)))</f>
        <v>0</v>
      </c>
      <c r="D68">
        <f>SUMPRODUCT((MONTH(CHOOSE({1,2,3,4},TTSSKĐ!T68,TTSSKĐ!X68,TTSSKĐ!AB68,TTSSKĐ!AF68))=4)*(CHOOSE({1,2,3,4},TTSSKĐ!W68,TTSSKĐ!AA68,TTSSKĐ!AE68,TTSSKĐ!AI68)))</f>
        <v>0</v>
      </c>
      <c r="E68">
        <f>SUMPRODUCT((MONTH(CHOOSE({1,2,3,4},TTSSKĐ!T68,TTSSKĐ!X68,TTSSKĐ!AB68,TTSSKĐ!AF68))=5)*(CHOOSE({1,2,3,4},TTSSKĐ!W68,TTSSKĐ!AA68,TTSSKĐ!AE68,TTSSKĐ!AI68)))</f>
        <v>0</v>
      </c>
      <c r="F68">
        <f>SUMPRODUCT((MONTH(CHOOSE({1,2,3,4},TTSSKĐ!T68,TTSSKĐ!X68,TTSSKĐ!AB68,TTSSKĐ!AF68))=6)*(CHOOSE({1,2,3,4},TTSSKĐ!W68,TTSSKĐ!AA68,TTSSKĐ!AE68,TTSSKĐ!AI68)))</f>
        <v>0</v>
      </c>
      <c r="G68">
        <f>SUMPRODUCT((MONTH(CHOOSE({1,2,3,4},TTSSKĐ!T68,TTSSKĐ!X68,TTSSKĐ!AB68,TTSSKĐ!AF68))=7)*(CHOOSE({1,2,3,4},TTSSKĐ!W68,TTSSKĐ!AA68,TTSSKĐ!AE68,TTSSKĐ!AI68)))</f>
        <v>0</v>
      </c>
      <c r="H68">
        <f>SUMPRODUCT((MONTH(CHOOSE({1,2,3,4},TTSSKĐ!T68,TTSSKĐ!X68,TTSSKĐ!AB68,TTSSKĐ!AF68))=8)*(CHOOSE({1,2,3,4},TTSSKĐ!W68,TTSSKĐ!AA68,TTSSKĐ!AE68,TTSSKĐ!AI68)))</f>
        <v>0</v>
      </c>
      <c r="I68">
        <f>SUMPRODUCT((MONTH(CHOOSE({1,2,3,4},TTSSKĐ!T68,TTSSKĐ!X68,TTSSKĐ!AB68,TTSSKĐ!AF68))=9)*(CHOOSE({1,2,3,4},TTSSKĐ!W68,TTSSKĐ!AA68,TTSSKĐ!AE68,TTSSKĐ!AI68)))</f>
        <v>0</v>
      </c>
      <c r="J68">
        <f>SUMPRODUCT((MONTH(CHOOSE({1,2,3,4},TTSSKĐ!T68,TTSSKĐ!X68,TTSSKĐ!AB68,TTSSKĐ!AF68))=10)*(CHOOSE({1,2,3,4},TTSSKĐ!W68,TTSSKĐ!AA68,TTSSKĐ!AE68,TTSSKĐ!AI68)))</f>
        <v>0</v>
      </c>
      <c r="K68">
        <f>SUMPRODUCT((MONTH(CHOOSE({1,2,3,4},TTSSKĐ!T68,TTSSKĐ!X68,TTSSKĐ!AB68,TTSSKĐ!AF68))=11)*(CHOOSE({1,2,3,4},TTSSKĐ!W68,TTSSKĐ!AA68,TTSSKĐ!AE68,TTSSKĐ!AI68)))</f>
        <v>0</v>
      </c>
      <c r="L68">
        <f>SUMPRODUCT((MONTH(CHOOSE({1,2,3,4},TTSSKĐ!T68,TTSSKĐ!X68,TTSSKĐ!AB68,TTSSKĐ!AF68))=12)*(CHOOSE({1,2,3,4},TTSSKĐ!W68,TTSSKĐ!AA68,TTSSKĐ!AE68,TTSSKĐ!AI68)))</f>
        <v>0</v>
      </c>
    </row>
    <row r="69" spans="1:12">
      <c r="A69">
        <f>SUMPRODUCT((MONTH(CHOOSE({1,2,3,4},TTSSKĐ!T69,TTSSKĐ!X69,TTSSKĐ!AB69,TTSSKĐ!AF69))=1)*(CHOOSE({1,2,3,4},TTSSKĐ!W69,TTSSKĐ!AA69,TTSSKĐ!AE69,TTSSKĐ!AI69)))</f>
        <v>0</v>
      </c>
      <c r="B69">
        <f>SUMPRODUCT((MONTH(CHOOSE({1,2,3,4},TTSSKĐ!T69,TTSSKĐ!X69,TTSSKĐ!AB69,TTSSKĐ!AF69))=2)*(CHOOSE({1,2,3,4},TTSSKĐ!W69,TTSSKĐ!AA69,TTSSKĐ!AE69,TTSSKĐ!AI69)))</f>
        <v>0</v>
      </c>
      <c r="C69">
        <f>SUMPRODUCT((MONTH(CHOOSE({1,2,3,4},TTSSKĐ!T69,TTSSKĐ!X69,TTSSKĐ!AB69,TTSSKĐ!AF69))=3)*(CHOOSE({1,2,3,4},TTSSKĐ!W69,TTSSKĐ!AA69,TTSSKĐ!AE69,TTSSKĐ!AI69)))</f>
        <v>0</v>
      </c>
      <c r="D69">
        <f>SUMPRODUCT((MONTH(CHOOSE({1,2,3,4},TTSSKĐ!T69,TTSSKĐ!X69,TTSSKĐ!AB69,TTSSKĐ!AF69))=4)*(CHOOSE({1,2,3,4},TTSSKĐ!W69,TTSSKĐ!AA69,TTSSKĐ!AE69,TTSSKĐ!AI69)))</f>
        <v>0</v>
      </c>
      <c r="E69">
        <f>SUMPRODUCT((MONTH(CHOOSE({1,2,3,4},TTSSKĐ!T69,TTSSKĐ!X69,TTSSKĐ!AB69,TTSSKĐ!AF69))=5)*(CHOOSE({1,2,3,4},TTSSKĐ!W69,TTSSKĐ!AA69,TTSSKĐ!AE69,TTSSKĐ!AI69)))</f>
        <v>0</v>
      </c>
      <c r="F69">
        <f>SUMPRODUCT((MONTH(CHOOSE({1,2,3,4},TTSSKĐ!T69,TTSSKĐ!X69,TTSSKĐ!AB69,TTSSKĐ!AF69))=6)*(CHOOSE({1,2,3,4},TTSSKĐ!W69,TTSSKĐ!AA69,TTSSKĐ!AE69,TTSSKĐ!AI69)))</f>
        <v>0</v>
      </c>
      <c r="G69">
        <f>SUMPRODUCT((MONTH(CHOOSE({1,2,3,4},TTSSKĐ!T69,TTSSKĐ!X69,TTSSKĐ!AB69,TTSSKĐ!AF69))=7)*(CHOOSE({1,2,3,4},TTSSKĐ!W69,TTSSKĐ!AA69,TTSSKĐ!AE69,TTSSKĐ!AI69)))</f>
        <v>0</v>
      </c>
      <c r="H69">
        <f>SUMPRODUCT((MONTH(CHOOSE({1,2,3,4},TTSSKĐ!T69,TTSSKĐ!X69,TTSSKĐ!AB69,TTSSKĐ!AF69))=8)*(CHOOSE({1,2,3,4},TTSSKĐ!W69,TTSSKĐ!AA69,TTSSKĐ!AE69,TTSSKĐ!AI69)))</f>
        <v>0</v>
      </c>
      <c r="I69">
        <f>SUMPRODUCT((MONTH(CHOOSE({1,2,3,4},TTSSKĐ!T69,TTSSKĐ!X69,TTSSKĐ!AB69,TTSSKĐ!AF69))=9)*(CHOOSE({1,2,3,4},TTSSKĐ!W69,TTSSKĐ!AA69,TTSSKĐ!AE69,TTSSKĐ!AI69)))</f>
        <v>0</v>
      </c>
      <c r="J69">
        <f>SUMPRODUCT((MONTH(CHOOSE({1,2,3,4},TTSSKĐ!T69,TTSSKĐ!X69,TTSSKĐ!AB69,TTSSKĐ!AF69))=10)*(CHOOSE({1,2,3,4},TTSSKĐ!W69,TTSSKĐ!AA69,TTSSKĐ!AE69,TTSSKĐ!AI69)))</f>
        <v>0</v>
      </c>
      <c r="K69">
        <f>SUMPRODUCT((MONTH(CHOOSE({1,2,3,4},TTSSKĐ!T69,TTSSKĐ!X69,TTSSKĐ!AB69,TTSSKĐ!AF69))=11)*(CHOOSE({1,2,3,4},TTSSKĐ!W69,TTSSKĐ!AA69,TTSSKĐ!AE69,TTSSKĐ!AI69)))</f>
        <v>0</v>
      </c>
      <c r="L69">
        <f>SUMPRODUCT((MONTH(CHOOSE({1,2,3,4},TTSSKĐ!T69,TTSSKĐ!X69,TTSSKĐ!AB69,TTSSKĐ!AF69))=12)*(CHOOSE({1,2,3,4},TTSSKĐ!W69,TTSSKĐ!AA69,TTSSKĐ!AE69,TTSSKĐ!AI69)))</f>
        <v>0</v>
      </c>
    </row>
    <row r="70" spans="1:12">
      <c r="A70">
        <f>SUMPRODUCT((MONTH(CHOOSE({1,2,3,4},TTSSKĐ!T70,TTSSKĐ!X70,TTSSKĐ!AB70,TTSSKĐ!AF70))=1)*(CHOOSE({1,2,3,4},TTSSKĐ!W70,TTSSKĐ!AA70,TTSSKĐ!AE70,TTSSKĐ!AI70)))</f>
        <v>0</v>
      </c>
      <c r="B70">
        <f>SUMPRODUCT((MONTH(CHOOSE({1,2,3,4},TTSSKĐ!T70,TTSSKĐ!X70,TTSSKĐ!AB70,TTSSKĐ!AF70))=2)*(CHOOSE({1,2,3,4},TTSSKĐ!W70,TTSSKĐ!AA70,TTSSKĐ!AE70,TTSSKĐ!AI70)))</f>
        <v>0</v>
      </c>
      <c r="C70">
        <f>SUMPRODUCT((MONTH(CHOOSE({1,2,3,4},TTSSKĐ!T70,TTSSKĐ!X70,TTSSKĐ!AB70,TTSSKĐ!AF70))=3)*(CHOOSE({1,2,3,4},TTSSKĐ!W70,TTSSKĐ!AA70,TTSSKĐ!AE70,TTSSKĐ!AI70)))</f>
        <v>0</v>
      </c>
      <c r="D70">
        <f>SUMPRODUCT((MONTH(CHOOSE({1,2,3,4},TTSSKĐ!T70,TTSSKĐ!X70,TTSSKĐ!AB70,TTSSKĐ!AF70))=4)*(CHOOSE({1,2,3,4},TTSSKĐ!W70,TTSSKĐ!AA70,TTSSKĐ!AE70,TTSSKĐ!AI70)))</f>
        <v>0</v>
      </c>
      <c r="E70">
        <f>SUMPRODUCT((MONTH(CHOOSE({1,2,3,4},TTSSKĐ!T70,TTSSKĐ!X70,TTSSKĐ!AB70,TTSSKĐ!AF70))=5)*(CHOOSE({1,2,3,4},TTSSKĐ!W70,TTSSKĐ!AA70,TTSSKĐ!AE70,TTSSKĐ!AI70)))</f>
        <v>0</v>
      </c>
      <c r="F70">
        <f>SUMPRODUCT((MONTH(CHOOSE({1,2,3,4},TTSSKĐ!T70,TTSSKĐ!X70,TTSSKĐ!AB70,TTSSKĐ!AF70))=6)*(CHOOSE({1,2,3,4},TTSSKĐ!W70,TTSSKĐ!AA70,TTSSKĐ!AE70,TTSSKĐ!AI70)))</f>
        <v>0</v>
      </c>
      <c r="G70">
        <f>SUMPRODUCT((MONTH(CHOOSE({1,2,3,4},TTSSKĐ!T70,TTSSKĐ!X70,TTSSKĐ!AB70,TTSSKĐ!AF70))=7)*(CHOOSE({1,2,3,4},TTSSKĐ!W70,TTSSKĐ!AA70,TTSSKĐ!AE70,TTSSKĐ!AI70)))</f>
        <v>0</v>
      </c>
      <c r="H70">
        <f>SUMPRODUCT((MONTH(CHOOSE({1,2,3,4},TTSSKĐ!T70,TTSSKĐ!X70,TTSSKĐ!AB70,TTSSKĐ!AF70))=8)*(CHOOSE({1,2,3,4},TTSSKĐ!W70,TTSSKĐ!AA70,TTSSKĐ!AE70,TTSSKĐ!AI70)))</f>
        <v>0</v>
      </c>
      <c r="I70">
        <f>SUMPRODUCT((MONTH(CHOOSE({1,2,3,4},TTSSKĐ!T70,TTSSKĐ!X70,TTSSKĐ!AB70,TTSSKĐ!AF70))=9)*(CHOOSE({1,2,3,4},TTSSKĐ!W70,TTSSKĐ!AA70,TTSSKĐ!AE70,TTSSKĐ!AI70)))</f>
        <v>0</v>
      </c>
      <c r="J70">
        <f>SUMPRODUCT((MONTH(CHOOSE({1,2,3,4},TTSSKĐ!T70,TTSSKĐ!X70,TTSSKĐ!AB70,TTSSKĐ!AF70))=10)*(CHOOSE({1,2,3,4},TTSSKĐ!W70,TTSSKĐ!AA70,TTSSKĐ!AE70,TTSSKĐ!AI70)))</f>
        <v>0</v>
      </c>
      <c r="K70">
        <f>SUMPRODUCT((MONTH(CHOOSE({1,2,3,4},TTSSKĐ!T70,TTSSKĐ!X70,TTSSKĐ!AB70,TTSSKĐ!AF70))=11)*(CHOOSE({1,2,3,4},TTSSKĐ!W70,TTSSKĐ!AA70,TTSSKĐ!AE70,TTSSKĐ!AI70)))</f>
        <v>0</v>
      </c>
      <c r="L70">
        <f>SUMPRODUCT((MONTH(CHOOSE({1,2,3,4},TTSSKĐ!T70,TTSSKĐ!X70,TTSSKĐ!AB70,TTSSKĐ!AF70))=12)*(CHOOSE({1,2,3,4},TTSSKĐ!W70,TTSSKĐ!AA70,TTSSKĐ!AE70,TTSSKĐ!AI70)))</f>
        <v>0</v>
      </c>
    </row>
    <row r="71" spans="1:12">
      <c r="A71">
        <f>SUMPRODUCT((MONTH(CHOOSE({1,2,3,4},TTSSKĐ!T71,TTSSKĐ!X71,TTSSKĐ!AB71,TTSSKĐ!AF71))=1)*(CHOOSE({1,2,3,4},TTSSKĐ!W71,TTSSKĐ!AA71,TTSSKĐ!AE71,TTSSKĐ!AI71)))</f>
        <v>0</v>
      </c>
      <c r="B71">
        <f>SUMPRODUCT((MONTH(CHOOSE({1,2,3,4},TTSSKĐ!T71,TTSSKĐ!X71,TTSSKĐ!AB71,TTSSKĐ!AF71))=2)*(CHOOSE({1,2,3,4},TTSSKĐ!W71,TTSSKĐ!AA71,TTSSKĐ!AE71,TTSSKĐ!AI71)))</f>
        <v>0</v>
      </c>
      <c r="C71">
        <f>SUMPRODUCT((MONTH(CHOOSE({1,2,3,4},TTSSKĐ!T71,TTSSKĐ!X71,TTSSKĐ!AB71,TTSSKĐ!AF71))=3)*(CHOOSE({1,2,3,4},TTSSKĐ!W71,TTSSKĐ!AA71,TTSSKĐ!AE71,TTSSKĐ!AI71)))</f>
        <v>0</v>
      </c>
      <c r="D71">
        <f>SUMPRODUCT((MONTH(CHOOSE({1,2,3,4},TTSSKĐ!T71,TTSSKĐ!X71,TTSSKĐ!AB71,TTSSKĐ!AF71))=4)*(CHOOSE({1,2,3,4},TTSSKĐ!W71,TTSSKĐ!AA71,TTSSKĐ!AE71,TTSSKĐ!AI71)))</f>
        <v>0</v>
      </c>
      <c r="E71">
        <f>SUMPRODUCT((MONTH(CHOOSE({1,2,3,4},TTSSKĐ!T71,TTSSKĐ!X71,TTSSKĐ!AB71,TTSSKĐ!AF71))=5)*(CHOOSE({1,2,3,4},TTSSKĐ!W71,TTSSKĐ!AA71,TTSSKĐ!AE71,TTSSKĐ!AI71)))</f>
        <v>0</v>
      </c>
      <c r="F71">
        <f>SUMPRODUCT((MONTH(CHOOSE({1,2,3,4},TTSSKĐ!T71,TTSSKĐ!X71,TTSSKĐ!AB71,TTSSKĐ!AF71))=6)*(CHOOSE({1,2,3,4},TTSSKĐ!W71,TTSSKĐ!AA71,TTSSKĐ!AE71,TTSSKĐ!AI71)))</f>
        <v>0</v>
      </c>
      <c r="G71">
        <f>SUMPRODUCT((MONTH(CHOOSE({1,2,3,4},TTSSKĐ!T71,TTSSKĐ!X71,TTSSKĐ!AB71,TTSSKĐ!AF71))=7)*(CHOOSE({1,2,3,4},TTSSKĐ!W71,TTSSKĐ!AA71,TTSSKĐ!AE71,TTSSKĐ!AI71)))</f>
        <v>0</v>
      </c>
      <c r="H71">
        <f>SUMPRODUCT((MONTH(CHOOSE({1,2,3,4},TTSSKĐ!T71,TTSSKĐ!X71,TTSSKĐ!AB71,TTSSKĐ!AF71))=8)*(CHOOSE({1,2,3,4},TTSSKĐ!W71,TTSSKĐ!AA71,TTSSKĐ!AE71,TTSSKĐ!AI71)))</f>
        <v>0</v>
      </c>
      <c r="I71">
        <f>SUMPRODUCT((MONTH(CHOOSE({1,2,3,4},TTSSKĐ!T71,TTSSKĐ!X71,TTSSKĐ!AB71,TTSSKĐ!AF71))=9)*(CHOOSE({1,2,3,4},TTSSKĐ!W71,TTSSKĐ!AA71,TTSSKĐ!AE71,TTSSKĐ!AI71)))</f>
        <v>0</v>
      </c>
      <c r="J71">
        <f>SUMPRODUCT((MONTH(CHOOSE({1,2,3,4},TTSSKĐ!T71,TTSSKĐ!X71,TTSSKĐ!AB71,TTSSKĐ!AF71))=10)*(CHOOSE({1,2,3,4},TTSSKĐ!W71,TTSSKĐ!AA71,TTSSKĐ!AE71,TTSSKĐ!AI71)))</f>
        <v>0</v>
      </c>
      <c r="K71">
        <f>SUMPRODUCT((MONTH(CHOOSE({1,2,3,4},TTSSKĐ!T71,TTSSKĐ!X71,TTSSKĐ!AB71,TTSSKĐ!AF71))=11)*(CHOOSE({1,2,3,4},TTSSKĐ!W71,TTSSKĐ!AA71,TTSSKĐ!AE71,TTSSKĐ!AI71)))</f>
        <v>0</v>
      </c>
      <c r="L71">
        <f>SUMPRODUCT((MONTH(CHOOSE({1,2,3,4},TTSSKĐ!T71,TTSSKĐ!X71,TTSSKĐ!AB71,TTSSKĐ!AF71))=12)*(CHOOSE({1,2,3,4},TTSSKĐ!W71,TTSSKĐ!AA71,TTSSKĐ!AE71,TTSSKĐ!AI71)))</f>
        <v>0</v>
      </c>
    </row>
    <row r="72" spans="1:12">
      <c r="A72">
        <f>SUMPRODUCT((MONTH(CHOOSE({1,2,3,4},TTSSKĐ!T72,TTSSKĐ!X72,TTSSKĐ!AB72,TTSSKĐ!AF72))=1)*(CHOOSE({1,2,3,4},TTSSKĐ!W72,TTSSKĐ!AA72,TTSSKĐ!AE72,TTSSKĐ!AI72)))</f>
        <v>0</v>
      </c>
      <c r="B72">
        <f>SUMPRODUCT((MONTH(CHOOSE({1,2,3,4},TTSSKĐ!T72,TTSSKĐ!X72,TTSSKĐ!AB72,TTSSKĐ!AF72))=2)*(CHOOSE({1,2,3,4},TTSSKĐ!W72,TTSSKĐ!AA72,TTSSKĐ!AE72,TTSSKĐ!AI72)))</f>
        <v>0</v>
      </c>
      <c r="C72">
        <f>SUMPRODUCT((MONTH(CHOOSE({1,2,3,4},TTSSKĐ!T72,TTSSKĐ!X72,TTSSKĐ!AB72,TTSSKĐ!AF72))=3)*(CHOOSE({1,2,3,4},TTSSKĐ!W72,TTSSKĐ!AA72,TTSSKĐ!AE72,TTSSKĐ!AI72)))</f>
        <v>0</v>
      </c>
      <c r="D72">
        <f>SUMPRODUCT((MONTH(CHOOSE({1,2,3,4},TTSSKĐ!T72,TTSSKĐ!X72,TTSSKĐ!AB72,TTSSKĐ!AF72))=4)*(CHOOSE({1,2,3,4},TTSSKĐ!W72,TTSSKĐ!AA72,TTSSKĐ!AE72,TTSSKĐ!AI72)))</f>
        <v>0</v>
      </c>
      <c r="E72">
        <f>SUMPRODUCT((MONTH(CHOOSE({1,2,3,4},TTSSKĐ!T72,TTSSKĐ!X72,TTSSKĐ!AB72,TTSSKĐ!AF72))=5)*(CHOOSE({1,2,3,4},TTSSKĐ!W72,TTSSKĐ!AA72,TTSSKĐ!AE72,TTSSKĐ!AI72)))</f>
        <v>0</v>
      </c>
      <c r="F72">
        <f>SUMPRODUCT((MONTH(CHOOSE({1,2,3,4},TTSSKĐ!T72,TTSSKĐ!X72,TTSSKĐ!AB72,TTSSKĐ!AF72))=6)*(CHOOSE({1,2,3,4},TTSSKĐ!W72,TTSSKĐ!AA72,TTSSKĐ!AE72,TTSSKĐ!AI72)))</f>
        <v>0</v>
      </c>
      <c r="G72">
        <f>SUMPRODUCT((MONTH(CHOOSE({1,2,3,4},TTSSKĐ!T72,TTSSKĐ!X72,TTSSKĐ!AB72,TTSSKĐ!AF72))=7)*(CHOOSE({1,2,3,4},TTSSKĐ!W72,TTSSKĐ!AA72,TTSSKĐ!AE72,TTSSKĐ!AI72)))</f>
        <v>0</v>
      </c>
      <c r="H72">
        <f>SUMPRODUCT((MONTH(CHOOSE({1,2,3,4},TTSSKĐ!T72,TTSSKĐ!X72,TTSSKĐ!AB72,TTSSKĐ!AF72))=8)*(CHOOSE({1,2,3,4},TTSSKĐ!W72,TTSSKĐ!AA72,TTSSKĐ!AE72,TTSSKĐ!AI72)))</f>
        <v>0</v>
      </c>
      <c r="I72">
        <f>SUMPRODUCT((MONTH(CHOOSE({1,2,3,4},TTSSKĐ!T72,TTSSKĐ!X72,TTSSKĐ!AB72,TTSSKĐ!AF72))=9)*(CHOOSE({1,2,3,4},TTSSKĐ!W72,TTSSKĐ!AA72,TTSSKĐ!AE72,TTSSKĐ!AI72)))</f>
        <v>0</v>
      </c>
      <c r="J72">
        <f>SUMPRODUCT((MONTH(CHOOSE({1,2,3,4},TTSSKĐ!T72,TTSSKĐ!X72,TTSSKĐ!AB72,TTSSKĐ!AF72))=10)*(CHOOSE({1,2,3,4},TTSSKĐ!W72,TTSSKĐ!AA72,TTSSKĐ!AE72,TTSSKĐ!AI72)))</f>
        <v>0</v>
      </c>
      <c r="K72">
        <f>SUMPRODUCT((MONTH(CHOOSE({1,2,3,4},TTSSKĐ!T72,TTSSKĐ!X72,TTSSKĐ!AB72,TTSSKĐ!AF72))=11)*(CHOOSE({1,2,3,4},TTSSKĐ!W72,TTSSKĐ!AA72,TTSSKĐ!AE72,TTSSKĐ!AI72)))</f>
        <v>0</v>
      </c>
      <c r="L72">
        <f>SUMPRODUCT((MONTH(CHOOSE({1,2,3,4},TTSSKĐ!T72,TTSSKĐ!X72,TTSSKĐ!AB72,TTSSKĐ!AF72))=12)*(CHOOSE({1,2,3,4},TTSSKĐ!W72,TTSSKĐ!AA72,TTSSKĐ!AE72,TTSSKĐ!AI72)))</f>
        <v>0</v>
      </c>
    </row>
    <row r="73" spans="1:12">
      <c r="A73">
        <f>SUMPRODUCT((MONTH(CHOOSE({1,2,3,4},TTSSKĐ!T73,TTSSKĐ!X73,TTSSKĐ!AB73,TTSSKĐ!AF73))=1)*(CHOOSE({1,2,3,4},TTSSKĐ!W73,TTSSKĐ!AA73,TTSSKĐ!AE73,TTSSKĐ!AI73)))</f>
        <v>0</v>
      </c>
      <c r="B73">
        <f>SUMPRODUCT((MONTH(CHOOSE({1,2,3,4},TTSSKĐ!T73,TTSSKĐ!X73,TTSSKĐ!AB73,TTSSKĐ!AF73))=2)*(CHOOSE({1,2,3,4},TTSSKĐ!W73,TTSSKĐ!AA73,TTSSKĐ!AE73,TTSSKĐ!AI73)))</f>
        <v>0</v>
      </c>
      <c r="C73">
        <f>SUMPRODUCT((MONTH(CHOOSE({1,2,3,4},TTSSKĐ!T73,TTSSKĐ!X73,TTSSKĐ!AB73,TTSSKĐ!AF73))=3)*(CHOOSE({1,2,3,4},TTSSKĐ!W73,TTSSKĐ!AA73,TTSSKĐ!AE73,TTSSKĐ!AI73)))</f>
        <v>0</v>
      </c>
      <c r="D73">
        <f>SUMPRODUCT((MONTH(CHOOSE({1,2,3,4},TTSSKĐ!T73,TTSSKĐ!X73,TTSSKĐ!AB73,TTSSKĐ!AF73))=4)*(CHOOSE({1,2,3,4},TTSSKĐ!W73,TTSSKĐ!AA73,TTSSKĐ!AE73,TTSSKĐ!AI73)))</f>
        <v>0</v>
      </c>
      <c r="E73">
        <f>SUMPRODUCT((MONTH(CHOOSE({1,2,3,4},TTSSKĐ!T73,TTSSKĐ!X73,TTSSKĐ!AB73,TTSSKĐ!AF73))=5)*(CHOOSE({1,2,3,4},TTSSKĐ!W73,TTSSKĐ!AA73,TTSSKĐ!AE73,TTSSKĐ!AI73)))</f>
        <v>0</v>
      </c>
      <c r="F73">
        <f>SUMPRODUCT((MONTH(CHOOSE({1,2,3,4},TTSSKĐ!T73,TTSSKĐ!X73,TTSSKĐ!AB73,TTSSKĐ!AF73))=6)*(CHOOSE({1,2,3,4},TTSSKĐ!W73,TTSSKĐ!AA73,TTSSKĐ!AE73,TTSSKĐ!AI73)))</f>
        <v>0</v>
      </c>
      <c r="G73">
        <f>SUMPRODUCT((MONTH(CHOOSE({1,2,3,4},TTSSKĐ!T73,TTSSKĐ!X73,TTSSKĐ!AB73,TTSSKĐ!AF73))=7)*(CHOOSE({1,2,3,4},TTSSKĐ!W73,TTSSKĐ!AA73,TTSSKĐ!AE73,TTSSKĐ!AI73)))</f>
        <v>0</v>
      </c>
      <c r="H73">
        <f>SUMPRODUCT((MONTH(CHOOSE({1,2,3,4},TTSSKĐ!T73,TTSSKĐ!X73,TTSSKĐ!AB73,TTSSKĐ!AF73))=8)*(CHOOSE({1,2,3,4},TTSSKĐ!W73,TTSSKĐ!AA73,TTSSKĐ!AE73,TTSSKĐ!AI73)))</f>
        <v>0</v>
      </c>
      <c r="I73">
        <f>SUMPRODUCT((MONTH(CHOOSE({1,2,3,4},TTSSKĐ!T73,TTSSKĐ!X73,TTSSKĐ!AB73,TTSSKĐ!AF73))=9)*(CHOOSE({1,2,3,4},TTSSKĐ!W73,TTSSKĐ!AA73,TTSSKĐ!AE73,TTSSKĐ!AI73)))</f>
        <v>0</v>
      </c>
      <c r="J73">
        <f>SUMPRODUCT((MONTH(CHOOSE({1,2,3,4},TTSSKĐ!T73,TTSSKĐ!X73,TTSSKĐ!AB73,TTSSKĐ!AF73))=10)*(CHOOSE({1,2,3,4},TTSSKĐ!W73,TTSSKĐ!AA73,TTSSKĐ!AE73,TTSSKĐ!AI73)))</f>
        <v>0</v>
      </c>
      <c r="K73">
        <f>SUMPRODUCT((MONTH(CHOOSE({1,2,3,4},TTSSKĐ!T73,TTSSKĐ!X73,TTSSKĐ!AB73,TTSSKĐ!AF73))=11)*(CHOOSE({1,2,3,4},TTSSKĐ!W73,TTSSKĐ!AA73,TTSSKĐ!AE73,TTSSKĐ!AI73)))</f>
        <v>0</v>
      </c>
      <c r="L73">
        <f>SUMPRODUCT((MONTH(CHOOSE({1,2,3,4},TTSSKĐ!T73,TTSSKĐ!X73,TTSSKĐ!AB73,TTSSKĐ!AF73))=12)*(CHOOSE({1,2,3,4},TTSSKĐ!W73,TTSSKĐ!AA73,TTSSKĐ!AE73,TTSSKĐ!AI73)))</f>
        <v>0</v>
      </c>
    </row>
    <row r="74" spans="1:12">
      <c r="A74">
        <f>SUMPRODUCT((MONTH(CHOOSE({1,2,3,4},TTSSKĐ!T74,TTSSKĐ!X74,TTSSKĐ!AB74,TTSSKĐ!AF74))=1)*(CHOOSE({1,2,3,4},TTSSKĐ!W74,TTSSKĐ!AA74,TTSSKĐ!AE74,TTSSKĐ!AI74)))</f>
        <v>0</v>
      </c>
      <c r="B74">
        <f>SUMPRODUCT((MONTH(CHOOSE({1,2,3,4},TTSSKĐ!T74,TTSSKĐ!X74,TTSSKĐ!AB74,TTSSKĐ!AF74))=2)*(CHOOSE({1,2,3,4},TTSSKĐ!W74,TTSSKĐ!AA74,TTSSKĐ!AE74,TTSSKĐ!AI74)))</f>
        <v>0</v>
      </c>
      <c r="C74">
        <f>SUMPRODUCT((MONTH(CHOOSE({1,2,3,4},TTSSKĐ!T74,TTSSKĐ!X74,TTSSKĐ!AB74,TTSSKĐ!AF74))=3)*(CHOOSE({1,2,3,4},TTSSKĐ!W74,TTSSKĐ!AA74,TTSSKĐ!AE74,TTSSKĐ!AI74)))</f>
        <v>0</v>
      </c>
      <c r="D74">
        <f>SUMPRODUCT((MONTH(CHOOSE({1,2,3,4},TTSSKĐ!T74,TTSSKĐ!X74,TTSSKĐ!AB74,TTSSKĐ!AF74))=4)*(CHOOSE({1,2,3,4},TTSSKĐ!W74,TTSSKĐ!AA74,TTSSKĐ!AE74,TTSSKĐ!AI74)))</f>
        <v>0</v>
      </c>
      <c r="E74">
        <f>SUMPRODUCT((MONTH(CHOOSE({1,2,3,4},TTSSKĐ!T74,TTSSKĐ!X74,TTSSKĐ!AB74,TTSSKĐ!AF74))=5)*(CHOOSE({1,2,3,4},TTSSKĐ!W74,TTSSKĐ!AA74,TTSSKĐ!AE74,TTSSKĐ!AI74)))</f>
        <v>0</v>
      </c>
      <c r="F74">
        <f>SUMPRODUCT((MONTH(CHOOSE({1,2,3,4},TTSSKĐ!T74,TTSSKĐ!X74,TTSSKĐ!AB74,TTSSKĐ!AF74))=6)*(CHOOSE({1,2,3,4},TTSSKĐ!W74,TTSSKĐ!AA74,TTSSKĐ!AE74,TTSSKĐ!AI74)))</f>
        <v>0</v>
      </c>
      <c r="G74">
        <f>SUMPRODUCT((MONTH(CHOOSE({1,2,3,4},TTSSKĐ!T74,TTSSKĐ!X74,TTSSKĐ!AB74,TTSSKĐ!AF74))=7)*(CHOOSE({1,2,3,4},TTSSKĐ!W74,TTSSKĐ!AA74,TTSSKĐ!AE74,TTSSKĐ!AI74)))</f>
        <v>0</v>
      </c>
      <c r="H74">
        <f>SUMPRODUCT((MONTH(CHOOSE({1,2,3,4},TTSSKĐ!T74,TTSSKĐ!X74,TTSSKĐ!AB74,TTSSKĐ!AF74))=8)*(CHOOSE({1,2,3,4},TTSSKĐ!W74,TTSSKĐ!AA74,TTSSKĐ!AE74,TTSSKĐ!AI74)))</f>
        <v>0</v>
      </c>
      <c r="I74">
        <f>SUMPRODUCT((MONTH(CHOOSE({1,2,3,4},TTSSKĐ!T74,TTSSKĐ!X74,TTSSKĐ!AB74,TTSSKĐ!AF74))=9)*(CHOOSE({1,2,3,4},TTSSKĐ!W74,TTSSKĐ!AA74,TTSSKĐ!AE74,TTSSKĐ!AI74)))</f>
        <v>0</v>
      </c>
      <c r="J74">
        <f>SUMPRODUCT((MONTH(CHOOSE({1,2,3,4},TTSSKĐ!T74,TTSSKĐ!X74,TTSSKĐ!AB74,TTSSKĐ!AF74))=10)*(CHOOSE({1,2,3,4},TTSSKĐ!W74,TTSSKĐ!AA74,TTSSKĐ!AE74,TTSSKĐ!AI74)))</f>
        <v>0</v>
      </c>
      <c r="K74">
        <f>SUMPRODUCT((MONTH(CHOOSE({1,2,3,4},TTSSKĐ!T74,TTSSKĐ!X74,TTSSKĐ!AB74,TTSSKĐ!AF74))=11)*(CHOOSE({1,2,3,4},TTSSKĐ!W74,TTSSKĐ!AA74,TTSSKĐ!AE74,TTSSKĐ!AI74)))</f>
        <v>0</v>
      </c>
      <c r="L74">
        <f>SUMPRODUCT((MONTH(CHOOSE({1,2,3,4},TTSSKĐ!T74,TTSSKĐ!X74,TTSSKĐ!AB74,TTSSKĐ!AF74))=12)*(CHOOSE({1,2,3,4},TTSSKĐ!W74,TTSSKĐ!AA74,TTSSKĐ!AE74,TTSSKĐ!AI74)))</f>
        <v>0</v>
      </c>
    </row>
    <row r="75" spans="1:12">
      <c r="A75">
        <f>SUMPRODUCT((MONTH(CHOOSE({1,2,3,4},TTSSKĐ!T75,TTSSKĐ!X75,TTSSKĐ!AB75,TTSSKĐ!AF75))=1)*(CHOOSE({1,2,3,4},TTSSKĐ!W75,TTSSKĐ!AA75,TTSSKĐ!AE75,TTSSKĐ!AI75)))</f>
        <v>0</v>
      </c>
      <c r="B75">
        <f>SUMPRODUCT((MONTH(CHOOSE({1,2,3,4},TTSSKĐ!T75,TTSSKĐ!X75,TTSSKĐ!AB75,TTSSKĐ!AF75))=2)*(CHOOSE({1,2,3,4},TTSSKĐ!W75,TTSSKĐ!AA75,TTSSKĐ!AE75,TTSSKĐ!AI75)))</f>
        <v>0</v>
      </c>
      <c r="C75">
        <f>SUMPRODUCT((MONTH(CHOOSE({1,2,3,4},TTSSKĐ!T75,TTSSKĐ!X75,TTSSKĐ!AB75,TTSSKĐ!AF75))=3)*(CHOOSE({1,2,3,4},TTSSKĐ!W75,TTSSKĐ!AA75,TTSSKĐ!AE75,TTSSKĐ!AI75)))</f>
        <v>0</v>
      </c>
      <c r="D75">
        <f>SUMPRODUCT((MONTH(CHOOSE({1,2,3,4},TTSSKĐ!T75,TTSSKĐ!X75,TTSSKĐ!AB75,TTSSKĐ!AF75))=4)*(CHOOSE({1,2,3,4},TTSSKĐ!W75,TTSSKĐ!AA75,TTSSKĐ!AE75,TTSSKĐ!AI75)))</f>
        <v>0</v>
      </c>
      <c r="E75">
        <f>SUMPRODUCT((MONTH(CHOOSE({1,2,3,4},TTSSKĐ!T75,TTSSKĐ!X75,TTSSKĐ!AB75,TTSSKĐ!AF75))=5)*(CHOOSE({1,2,3,4},TTSSKĐ!W75,TTSSKĐ!AA75,TTSSKĐ!AE75,TTSSKĐ!AI75)))</f>
        <v>0</v>
      </c>
      <c r="F75">
        <f>SUMPRODUCT((MONTH(CHOOSE({1,2,3,4},TTSSKĐ!T75,TTSSKĐ!X75,TTSSKĐ!AB75,TTSSKĐ!AF75))=6)*(CHOOSE({1,2,3,4},TTSSKĐ!W75,TTSSKĐ!AA75,TTSSKĐ!AE75,TTSSKĐ!AI75)))</f>
        <v>0</v>
      </c>
      <c r="G75">
        <f>SUMPRODUCT((MONTH(CHOOSE({1,2,3,4},TTSSKĐ!T75,TTSSKĐ!X75,TTSSKĐ!AB75,TTSSKĐ!AF75))=7)*(CHOOSE({1,2,3,4},TTSSKĐ!W75,TTSSKĐ!AA75,TTSSKĐ!AE75,TTSSKĐ!AI75)))</f>
        <v>0</v>
      </c>
      <c r="H75">
        <f>SUMPRODUCT((MONTH(CHOOSE({1,2,3,4},TTSSKĐ!T75,TTSSKĐ!X75,TTSSKĐ!AB75,TTSSKĐ!AF75))=8)*(CHOOSE({1,2,3,4},TTSSKĐ!W75,TTSSKĐ!AA75,TTSSKĐ!AE75,TTSSKĐ!AI75)))</f>
        <v>0</v>
      </c>
      <c r="I75">
        <f>SUMPRODUCT((MONTH(CHOOSE({1,2,3,4},TTSSKĐ!T75,TTSSKĐ!X75,TTSSKĐ!AB75,TTSSKĐ!AF75))=9)*(CHOOSE({1,2,3,4},TTSSKĐ!W75,TTSSKĐ!AA75,TTSSKĐ!AE75,TTSSKĐ!AI75)))</f>
        <v>0</v>
      </c>
      <c r="J75">
        <f>SUMPRODUCT((MONTH(CHOOSE({1,2,3,4},TTSSKĐ!T75,TTSSKĐ!X75,TTSSKĐ!AB75,TTSSKĐ!AF75))=10)*(CHOOSE({1,2,3,4},TTSSKĐ!W75,TTSSKĐ!AA75,TTSSKĐ!AE75,TTSSKĐ!AI75)))</f>
        <v>0</v>
      </c>
      <c r="K75">
        <f>SUMPRODUCT((MONTH(CHOOSE({1,2,3,4},TTSSKĐ!T75,TTSSKĐ!X75,TTSSKĐ!AB75,TTSSKĐ!AF75))=11)*(CHOOSE({1,2,3,4},TTSSKĐ!W75,TTSSKĐ!AA75,TTSSKĐ!AE75,TTSSKĐ!AI75)))</f>
        <v>0</v>
      </c>
      <c r="L75">
        <f>SUMPRODUCT((MONTH(CHOOSE({1,2,3,4},TTSSKĐ!T75,TTSSKĐ!X75,TTSSKĐ!AB75,TTSSKĐ!AF75))=12)*(CHOOSE({1,2,3,4},TTSSKĐ!W75,TTSSKĐ!AA75,TTSSKĐ!AE75,TTSSKĐ!AI75)))</f>
        <v>0</v>
      </c>
    </row>
    <row r="76" spans="1:12">
      <c r="A76">
        <f>SUMPRODUCT((MONTH(CHOOSE({1,2,3,4},TTSSKĐ!T76,TTSSKĐ!X76,TTSSKĐ!AB76,TTSSKĐ!AF76))=1)*(CHOOSE({1,2,3,4},TTSSKĐ!W76,TTSSKĐ!AA76,TTSSKĐ!AE76,TTSSKĐ!AI76)))</f>
        <v>0</v>
      </c>
      <c r="B76">
        <f>SUMPRODUCT((MONTH(CHOOSE({1,2,3,4},TTSSKĐ!T76,TTSSKĐ!X76,TTSSKĐ!AB76,TTSSKĐ!AF76))=2)*(CHOOSE({1,2,3,4},TTSSKĐ!W76,TTSSKĐ!AA76,TTSSKĐ!AE76,TTSSKĐ!AI76)))</f>
        <v>0</v>
      </c>
      <c r="C76">
        <f>SUMPRODUCT((MONTH(CHOOSE({1,2,3,4},TTSSKĐ!T76,TTSSKĐ!X76,TTSSKĐ!AB76,TTSSKĐ!AF76))=3)*(CHOOSE({1,2,3,4},TTSSKĐ!W76,TTSSKĐ!AA76,TTSSKĐ!AE76,TTSSKĐ!AI76)))</f>
        <v>0</v>
      </c>
      <c r="D76">
        <f>SUMPRODUCT((MONTH(CHOOSE({1,2,3,4},TTSSKĐ!T76,TTSSKĐ!X76,TTSSKĐ!AB76,TTSSKĐ!AF76))=4)*(CHOOSE({1,2,3,4},TTSSKĐ!W76,TTSSKĐ!AA76,TTSSKĐ!AE76,TTSSKĐ!AI76)))</f>
        <v>0</v>
      </c>
      <c r="E76">
        <f>SUMPRODUCT((MONTH(CHOOSE({1,2,3,4},TTSSKĐ!T76,TTSSKĐ!X76,TTSSKĐ!AB76,TTSSKĐ!AF76))=5)*(CHOOSE({1,2,3,4},TTSSKĐ!W76,TTSSKĐ!AA76,TTSSKĐ!AE76,TTSSKĐ!AI76)))</f>
        <v>0</v>
      </c>
      <c r="F76">
        <f>SUMPRODUCT((MONTH(CHOOSE({1,2,3,4},TTSSKĐ!T76,TTSSKĐ!X76,TTSSKĐ!AB76,TTSSKĐ!AF76))=6)*(CHOOSE({1,2,3,4},TTSSKĐ!W76,TTSSKĐ!AA76,TTSSKĐ!AE76,TTSSKĐ!AI76)))</f>
        <v>0</v>
      </c>
      <c r="G76">
        <f>SUMPRODUCT((MONTH(CHOOSE({1,2,3,4},TTSSKĐ!T76,TTSSKĐ!X76,TTSSKĐ!AB76,TTSSKĐ!AF76))=7)*(CHOOSE({1,2,3,4},TTSSKĐ!W76,TTSSKĐ!AA76,TTSSKĐ!AE76,TTSSKĐ!AI76)))</f>
        <v>0</v>
      </c>
      <c r="H76">
        <f>SUMPRODUCT((MONTH(CHOOSE({1,2,3,4},TTSSKĐ!T76,TTSSKĐ!X76,TTSSKĐ!AB76,TTSSKĐ!AF76))=8)*(CHOOSE({1,2,3,4},TTSSKĐ!W76,TTSSKĐ!AA76,TTSSKĐ!AE76,TTSSKĐ!AI76)))</f>
        <v>0</v>
      </c>
      <c r="I76">
        <f>SUMPRODUCT((MONTH(CHOOSE({1,2,3,4},TTSSKĐ!T76,TTSSKĐ!X76,TTSSKĐ!AB76,TTSSKĐ!AF76))=9)*(CHOOSE({1,2,3,4},TTSSKĐ!W76,TTSSKĐ!AA76,TTSSKĐ!AE76,TTSSKĐ!AI76)))</f>
        <v>0</v>
      </c>
      <c r="J76">
        <f>SUMPRODUCT((MONTH(CHOOSE({1,2,3,4},TTSSKĐ!T76,TTSSKĐ!X76,TTSSKĐ!AB76,TTSSKĐ!AF76))=10)*(CHOOSE({1,2,3,4},TTSSKĐ!W76,TTSSKĐ!AA76,TTSSKĐ!AE76,TTSSKĐ!AI76)))</f>
        <v>0</v>
      </c>
      <c r="K76">
        <f>SUMPRODUCT((MONTH(CHOOSE({1,2,3,4},TTSSKĐ!T76,TTSSKĐ!X76,TTSSKĐ!AB76,TTSSKĐ!AF76))=11)*(CHOOSE({1,2,3,4},TTSSKĐ!W76,TTSSKĐ!AA76,TTSSKĐ!AE76,TTSSKĐ!AI76)))</f>
        <v>0</v>
      </c>
      <c r="L76">
        <f>SUMPRODUCT((MONTH(CHOOSE({1,2,3,4},TTSSKĐ!T76,TTSSKĐ!X76,TTSSKĐ!AB76,TTSSKĐ!AF76))=12)*(CHOOSE({1,2,3,4},TTSSKĐ!W76,TTSSKĐ!AA76,TTSSKĐ!AE76,TTSSKĐ!AI76)))</f>
        <v>0</v>
      </c>
    </row>
    <row r="77" spans="1:12">
      <c r="A77">
        <f>SUMPRODUCT((MONTH(CHOOSE({1,2,3,4},TTSSKĐ!T77,TTSSKĐ!X77,TTSSKĐ!AB77,TTSSKĐ!AF77))=1)*(CHOOSE({1,2,3,4},TTSSKĐ!W77,TTSSKĐ!AA77,TTSSKĐ!AE77,TTSSKĐ!AI77)))</f>
        <v>0</v>
      </c>
      <c r="B77">
        <f>SUMPRODUCT((MONTH(CHOOSE({1,2,3,4},TTSSKĐ!T77,TTSSKĐ!X77,TTSSKĐ!AB77,TTSSKĐ!AF77))=2)*(CHOOSE({1,2,3,4},TTSSKĐ!W77,TTSSKĐ!AA77,TTSSKĐ!AE77,TTSSKĐ!AI77)))</f>
        <v>0</v>
      </c>
      <c r="C77">
        <f>SUMPRODUCT((MONTH(CHOOSE({1,2,3,4},TTSSKĐ!T77,TTSSKĐ!X77,TTSSKĐ!AB77,TTSSKĐ!AF77))=3)*(CHOOSE({1,2,3,4},TTSSKĐ!W77,TTSSKĐ!AA77,TTSSKĐ!AE77,TTSSKĐ!AI77)))</f>
        <v>0</v>
      </c>
      <c r="D77">
        <f>SUMPRODUCT((MONTH(CHOOSE({1,2,3,4},TTSSKĐ!T77,TTSSKĐ!X77,TTSSKĐ!AB77,TTSSKĐ!AF77))=4)*(CHOOSE({1,2,3,4},TTSSKĐ!W77,TTSSKĐ!AA77,TTSSKĐ!AE77,TTSSKĐ!AI77)))</f>
        <v>0</v>
      </c>
      <c r="E77">
        <f>SUMPRODUCT((MONTH(CHOOSE({1,2,3,4},TTSSKĐ!T77,TTSSKĐ!X77,TTSSKĐ!AB77,TTSSKĐ!AF77))=5)*(CHOOSE({1,2,3,4},TTSSKĐ!W77,TTSSKĐ!AA77,TTSSKĐ!AE77,TTSSKĐ!AI77)))</f>
        <v>0</v>
      </c>
      <c r="F77">
        <f>SUMPRODUCT((MONTH(CHOOSE({1,2,3,4},TTSSKĐ!T77,TTSSKĐ!X77,TTSSKĐ!AB77,TTSSKĐ!AF77))=6)*(CHOOSE({1,2,3,4},TTSSKĐ!W77,TTSSKĐ!AA77,TTSSKĐ!AE77,TTSSKĐ!AI77)))</f>
        <v>0</v>
      </c>
      <c r="G77">
        <f>SUMPRODUCT((MONTH(CHOOSE({1,2,3,4},TTSSKĐ!T77,TTSSKĐ!X77,TTSSKĐ!AB77,TTSSKĐ!AF77))=7)*(CHOOSE({1,2,3,4},TTSSKĐ!W77,TTSSKĐ!AA77,TTSSKĐ!AE77,TTSSKĐ!AI77)))</f>
        <v>0</v>
      </c>
      <c r="H77">
        <f>SUMPRODUCT((MONTH(CHOOSE({1,2,3,4},TTSSKĐ!T77,TTSSKĐ!X77,TTSSKĐ!AB77,TTSSKĐ!AF77))=8)*(CHOOSE({1,2,3,4},TTSSKĐ!W77,TTSSKĐ!AA77,TTSSKĐ!AE77,TTSSKĐ!AI77)))</f>
        <v>0</v>
      </c>
      <c r="I77">
        <f>SUMPRODUCT((MONTH(CHOOSE({1,2,3,4},TTSSKĐ!T77,TTSSKĐ!X77,TTSSKĐ!AB77,TTSSKĐ!AF77))=9)*(CHOOSE({1,2,3,4},TTSSKĐ!W77,TTSSKĐ!AA77,TTSSKĐ!AE77,TTSSKĐ!AI77)))</f>
        <v>0</v>
      </c>
      <c r="J77">
        <f>SUMPRODUCT((MONTH(CHOOSE({1,2,3,4},TTSSKĐ!T77,TTSSKĐ!X77,TTSSKĐ!AB77,TTSSKĐ!AF77))=10)*(CHOOSE({1,2,3,4},TTSSKĐ!W77,TTSSKĐ!AA77,TTSSKĐ!AE77,TTSSKĐ!AI77)))</f>
        <v>0</v>
      </c>
      <c r="K77">
        <f>SUMPRODUCT((MONTH(CHOOSE({1,2,3,4},TTSSKĐ!T77,TTSSKĐ!X77,TTSSKĐ!AB77,TTSSKĐ!AF77))=11)*(CHOOSE({1,2,3,4},TTSSKĐ!W77,TTSSKĐ!AA77,TTSSKĐ!AE77,TTSSKĐ!AI77)))</f>
        <v>0</v>
      </c>
      <c r="L77">
        <f>SUMPRODUCT((MONTH(CHOOSE({1,2,3,4},TTSSKĐ!T77,TTSSKĐ!X77,TTSSKĐ!AB77,TTSSKĐ!AF77))=12)*(CHOOSE({1,2,3,4},TTSSKĐ!W77,TTSSKĐ!AA77,TTSSKĐ!AE77,TTSSKĐ!AI77)))</f>
        <v>0</v>
      </c>
    </row>
    <row r="78" spans="1:12">
      <c r="A78">
        <f>SUMPRODUCT((MONTH(CHOOSE({1,2,3,4},TTSSKĐ!T78,TTSSKĐ!X78,TTSSKĐ!AB78,TTSSKĐ!AF78))=1)*(CHOOSE({1,2,3,4},TTSSKĐ!W78,TTSSKĐ!AA78,TTSSKĐ!AE78,TTSSKĐ!AI78)))</f>
        <v>0</v>
      </c>
      <c r="B78">
        <f>SUMPRODUCT((MONTH(CHOOSE({1,2,3,4},TTSSKĐ!T78,TTSSKĐ!X78,TTSSKĐ!AB78,TTSSKĐ!AF78))=2)*(CHOOSE({1,2,3,4},TTSSKĐ!W78,TTSSKĐ!AA78,TTSSKĐ!AE78,TTSSKĐ!AI78)))</f>
        <v>0</v>
      </c>
      <c r="C78">
        <f>SUMPRODUCT((MONTH(CHOOSE({1,2,3,4},TTSSKĐ!T78,TTSSKĐ!X78,TTSSKĐ!AB78,TTSSKĐ!AF78))=3)*(CHOOSE({1,2,3,4},TTSSKĐ!W78,TTSSKĐ!AA78,TTSSKĐ!AE78,TTSSKĐ!AI78)))</f>
        <v>0</v>
      </c>
      <c r="D78">
        <f>SUMPRODUCT((MONTH(CHOOSE({1,2,3,4},TTSSKĐ!T78,TTSSKĐ!X78,TTSSKĐ!AB78,TTSSKĐ!AF78))=4)*(CHOOSE({1,2,3,4},TTSSKĐ!W78,TTSSKĐ!AA78,TTSSKĐ!AE78,TTSSKĐ!AI78)))</f>
        <v>0</v>
      </c>
      <c r="E78">
        <f>SUMPRODUCT((MONTH(CHOOSE({1,2,3,4},TTSSKĐ!T78,TTSSKĐ!X78,TTSSKĐ!AB78,TTSSKĐ!AF78))=5)*(CHOOSE({1,2,3,4},TTSSKĐ!W78,TTSSKĐ!AA78,TTSSKĐ!AE78,TTSSKĐ!AI78)))</f>
        <v>0</v>
      </c>
      <c r="F78">
        <f>SUMPRODUCT((MONTH(CHOOSE({1,2,3,4},TTSSKĐ!T78,TTSSKĐ!X78,TTSSKĐ!AB78,TTSSKĐ!AF78))=6)*(CHOOSE({1,2,3,4},TTSSKĐ!W78,TTSSKĐ!AA78,TTSSKĐ!AE78,TTSSKĐ!AI78)))</f>
        <v>0</v>
      </c>
      <c r="G78">
        <f>SUMPRODUCT((MONTH(CHOOSE({1,2,3,4},TTSSKĐ!T78,TTSSKĐ!X78,TTSSKĐ!AB78,TTSSKĐ!AF78))=7)*(CHOOSE({1,2,3,4},TTSSKĐ!W78,TTSSKĐ!AA78,TTSSKĐ!AE78,TTSSKĐ!AI78)))</f>
        <v>0</v>
      </c>
      <c r="H78">
        <f>SUMPRODUCT((MONTH(CHOOSE({1,2,3,4},TTSSKĐ!T78,TTSSKĐ!X78,TTSSKĐ!AB78,TTSSKĐ!AF78))=8)*(CHOOSE({1,2,3,4},TTSSKĐ!W78,TTSSKĐ!AA78,TTSSKĐ!AE78,TTSSKĐ!AI78)))</f>
        <v>0</v>
      </c>
      <c r="I78">
        <f>SUMPRODUCT((MONTH(CHOOSE({1,2,3,4},TTSSKĐ!T78,TTSSKĐ!X78,TTSSKĐ!AB78,TTSSKĐ!AF78))=9)*(CHOOSE({1,2,3,4},TTSSKĐ!W78,TTSSKĐ!AA78,TTSSKĐ!AE78,TTSSKĐ!AI78)))</f>
        <v>0</v>
      </c>
      <c r="J78">
        <f>SUMPRODUCT((MONTH(CHOOSE({1,2,3,4},TTSSKĐ!T78,TTSSKĐ!X78,TTSSKĐ!AB78,TTSSKĐ!AF78))=10)*(CHOOSE({1,2,3,4},TTSSKĐ!W78,TTSSKĐ!AA78,TTSSKĐ!AE78,TTSSKĐ!AI78)))</f>
        <v>0</v>
      </c>
      <c r="K78">
        <f>SUMPRODUCT((MONTH(CHOOSE({1,2,3,4},TTSSKĐ!T78,TTSSKĐ!X78,TTSSKĐ!AB78,TTSSKĐ!AF78))=11)*(CHOOSE({1,2,3,4},TTSSKĐ!W78,TTSSKĐ!AA78,TTSSKĐ!AE78,TTSSKĐ!AI78)))</f>
        <v>0</v>
      </c>
      <c r="L78">
        <f>SUMPRODUCT((MONTH(CHOOSE({1,2,3,4},TTSSKĐ!T78,TTSSKĐ!X78,TTSSKĐ!AB78,TTSSKĐ!AF78))=12)*(CHOOSE({1,2,3,4},TTSSKĐ!W78,TTSSKĐ!AA78,TTSSKĐ!AE78,TTSSKĐ!AI78)))</f>
        <v>0</v>
      </c>
    </row>
    <row r="79" spans="1:12">
      <c r="A79">
        <f>SUMPRODUCT((MONTH(CHOOSE({1,2,3,4},TTSSKĐ!T79,TTSSKĐ!X79,TTSSKĐ!AB79,TTSSKĐ!AF79))=1)*(CHOOSE({1,2,3,4},TTSSKĐ!W79,TTSSKĐ!AA79,TTSSKĐ!AE79,TTSSKĐ!AI79)))</f>
        <v>0</v>
      </c>
      <c r="B79">
        <f>SUMPRODUCT((MONTH(CHOOSE({1,2,3,4},TTSSKĐ!T79,TTSSKĐ!X79,TTSSKĐ!AB79,TTSSKĐ!AF79))=2)*(CHOOSE({1,2,3,4},TTSSKĐ!W79,TTSSKĐ!AA79,TTSSKĐ!AE79,TTSSKĐ!AI79)))</f>
        <v>0</v>
      </c>
      <c r="C79">
        <f>SUMPRODUCT((MONTH(CHOOSE({1,2,3,4},TTSSKĐ!T79,TTSSKĐ!X79,TTSSKĐ!AB79,TTSSKĐ!AF79))=3)*(CHOOSE({1,2,3,4},TTSSKĐ!W79,TTSSKĐ!AA79,TTSSKĐ!AE79,TTSSKĐ!AI79)))</f>
        <v>0</v>
      </c>
      <c r="D79">
        <f>SUMPRODUCT((MONTH(CHOOSE({1,2,3,4},TTSSKĐ!T79,TTSSKĐ!X79,TTSSKĐ!AB79,TTSSKĐ!AF79))=4)*(CHOOSE({1,2,3,4},TTSSKĐ!W79,TTSSKĐ!AA79,TTSSKĐ!AE79,TTSSKĐ!AI79)))</f>
        <v>0</v>
      </c>
      <c r="E79">
        <f>SUMPRODUCT((MONTH(CHOOSE({1,2,3,4},TTSSKĐ!T79,TTSSKĐ!X79,TTSSKĐ!AB79,TTSSKĐ!AF79))=5)*(CHOOSE({1,2,3,4},TTSSKĐ!W79,TTSSKĐ!AA79,TTSSKĐ!AE79,TTSSKĐ!AI79)))</f>
        <v>0</v>
      </c>
      <c r="F79">
        <f>SUMPRODUCT((MONTH(CHOOSE({1,2,3,4},TTSSKĐ!T79,TTSSKĐ!X79,TTSSKĐ!AB79,TTSSKĐ!AF79))=6)*(CHOOSE({1,2,3,4},TTSSKĐ!W79,TTSSKĐ!AA79,TTSSKĐ!AE79,TTSSKĐ!AI79)))</f>
        <v>0</v>
      </c>
      <c r="G79">
        <f>SUMPRODUCT((MONTH(CHOOSE({1,2,3,4},TTSSKĐ!T79,TTSSKĐ!X79,TTSSKĐ!AB79,TTSSKĐ!AF79))=7)*(CHOOSE({1,2,3,4},TTSSKĐ!W79,TTSSKĐ!AA79,TTSSKĐ!AE79,TTSSKĐ!AI79)))</f>
        <v>0</v>
      </c>
      <c r="H79">
        <f>SUMPRODUCT((MONTH(CHOOSE({1,2,3,4},TTSSKĐ!T79,TTSSKĐ!X79,TTSSKĐ!AB79,TTSSKĐ!AF79))=8)*(CHOOSE({1,2,3,4},TTSSKĐ!W79,TTSSKĐ!AA79,TTSSKĐ!AE79,TTSSKĐ!AI79)))</f>
        <v>0</v>
      </c>
      <c r="I79">
        <f>SUMPRODUCT((MONTH(CHOOSE({1,2,3,4},TTSSKĐ!T79,TTSSKĐ!X79,TTSSKĐ!AB79,TTSSKĐ!AF79))=9)*(CHOOSE({1,2,3,4},TTSSKĐ!W79,TTSSKĐ!AA79,TTSSKĐ!AE79,TTSSKĐ!AI79)))</f>
        <v>0</v>
      </c>
      <c r="J79">
        <f>SUMPRODUCT((MONTH(CHOOSE({1,2,3,4},TTSSKĐ!T79,TTSSKĐ!X79,TTSSKĐ!AB79,TTSSKĐ!AF79))=10)*(CHOOSE({1,2,3,4},TTSSKĐ!W79,TTSSKĐ!AA79,TTSSKĐ!AE79,TTSSKĐ!AI79)))</f>
        <v>0</v>
      </c>
      <c r="K79">
        <f>SUMPRODUCT((MONTH(CHOOSE({1,2,3,4},TTSSKĐ!T79,TTSSKĐ!X79,TTSSKĐ!AB79,TTSSKĐ!AF79))=11)*(CHOOSE({1,2,3,4},TTSSKĐ!W79,TTSSKĐ!AA79,TTSSKĐ!AE79,TTSSKĐ!AI79)))</f>
        <v>0</v>
      </c>
      <c r="L79">
        <f>SUMPRODUCT((MONTH(CHOOSE({1,2,3,4},TTSSKĐ!T79,TTSSKĐ!X79,TTSSKĐ!AB79,TTSSKĐ!AF79))=12)*(CHOOSE({1,2,3,4},TTSSKĐ!W79,TTSSKĐ!AA79,TTSSKĐ!AE79,TTSSKĐ!AI79)))</f>
        <v>0</v>
      </c>
    </row>
    <row r="80" spans="1:12">
      <c r="A80">
        <f>SUMPRODUCT((MONTH(CHOOSE({1,2,3,4},TTSSKĐ!T80,TTSSKĐ!X80,TTSSKĐ!AB80,TTSSKĐ!AF80))=1)*(CHOOSE({1,2,3,4},TTSSKĐ!W80,TTSSKĐ!AA80,TTSSKĐ!AE80,TTSSKĐ!AI80)))</f>
        <v>0</v>
      </c>
      <c r="B80">
        <f>SUMPRODUCT((MONTH(CHOOSE({1,2,3,4},TTSSKĐ!T80,TTSSKĐ!X80,TTSSKĐ!AB80,TTSSKĐ!AF80))=2)*(CHOOSE({1,2,3,4},TTSSKĐ!W80,TTSSKĐ!AA80,TTSSKĐ!AE80,TTSSKĐ!AI80)))</f>
        <v>0</v>
      </c>
      <c r="C80">
        <f>SUMPRODUCT((MONTH(CHOOSE({1,2,3,4},TTSSKĐ!T80,TTSSKĐ!X80,TTSSKĐ!AB80,TTSSKĐ!AF80))=3)*(CHOOSE({1,2,3,4},TTSSKĐ!W80,TTSSKĐ!AA80,TTSSKĐ!AE80,TTSSKĐ!AI80)))</f>
        <v>0</v>
      </c>
      <c r="D80">
        <f>SUMPRODUCT((MONTH(CHOOSE({1,2,3,4},TTSSKĐ!T80,TTSSKĐ!X80,TTSSKĐ!AB80,TTSSKĐ!AF80))=4)*(CHOOSE({1,2,3,4},TTSSKĐ!W80,TTSSKĐ!AA80,TTSSKĐ!AE80,TTSSKĐ!AI80)))</f>
        <v>0</v>
      </c>
      <c r="E80">
        <f>SUMPRODUCT((MONTH(CHOOSE({1,2,3,4},TTSSKĐ!T80,TTSSKĐ!X80,TTSSKĐ!AB80,TTSSKĐ!AF80))=5)*(CHOOSE({1,2,3,4},TTSSKĐ!W80,TTSSKĐ!AA80,TTSSKĐ!AE80,TTSSKĐ!AI80)))</f>
        <v>0</v>
      </c>
      <c r="F80">
        <f>SUMPRODUCT((MONTH(CHOOSE({1,2,3,4},TTSSKĐ!T80,TTSSKĐ!X80,TTSSKĐ!AB80,TTSSKĐ!AF80))=6)*(CHOOSE({1,2,3,4},TTSSKĐ!W80,TTSSKĐ!AA80,TTSSKĐ!AE80,TTSSKĐ!AI80)))</f>
        <v>0</v>
      </c>
      <c r="G80">
        <f>SUMPRODUCT((MONTH(CHOOSE({1,2,3,4},TTSSKĐ!T80,TTSSKĐ!X80,TTSSKĐ!AB80,TTSSKĐ!AF80))=7)*(CHOOSE({1,2,3,4},TTSSKĐ!W80,TTSSKĐ!AA80,TTSSKĐ!AE80,TTSSKĐ!AI80)))</f>
        <v>0</v>
      </c>
      <c r="H80">
        <f>SUMPRODUCT((MONTH(CHOOSE({1,2,3,4},TTSSKĐ!T80,TTSSKĐ!X80,TTSSKĐ!AB80,TTSSKĐ!AF80))=8)*(CHOOSE({1,2,3,4},TTSSKĐ!W80,TTSSKĐ!AA80,TTSSKĐ!AE80,TTSSKĐ!AI80)))</f>
        <v>0</v>
      </c>
      <c r="I80">
        <f>SUMPRODUCT((MONTH(CHOOSE({1,2,3,4},TTSSKĐ!T80,TTSSKĐ!X80,TTSSKĐ!AB80,TTSSKĐ!AF80))=9)*(CHOOSE({1,2,3,4},TTSSKĐ!W80,TTSSKĐ!AA80,TTSSKĐ!AE80,TTSSKĐ!AI80)))</f>
        <v>0</v>
      </c>
      <c r="J80">
        <f>SUMPRODUCT((MONTH(CHOOSE({1,2,3,4},TTSSKĐ!T80,TTSSKĐ!X80,TTSSKĐ!AB80,TTSSKĐ!AF80))=10)*(CHOOSE({1,2,3,4},TTSSKĐ!W80,TTSSKĐ!AA80,TTSSKĐ!AE80,TTSSKĐ!AI80)))</f>
        <v>0</v>
      </c>
      <c r="K80">
        <f>SUMPRODUCT((MONTH(CHOOSE({1,2,3,4},TTSSKĐ!T80,TTSSKĐ!X80,TTSSKĐ!AB80,TTSSKĐ!AF80))=11)*(CHOOSE({1,2,3,4},TTSSKĐ!W80,TTSSKĐ!AA80,TTSSKĐ!AE80,TTSSKĐ!AI80)))</f>
        <v>0</v>
      </c>
      <c r="L80">
        <f>SUMPRODUCT((MONTH(CHOOSE({1,2,3,4},TTSSKĐ!T80,TTSSKĐ!X80,TTSSKĐ!AB80,TTSSKĐ!AF80))=12)*(CHOOSE({1,2,3,4},TTSSKĐ!W80,TTSSKĐ!AA80,TTSSKĐ!AE80,TTSSKĐ!AI80)))</f>
        <v>0</v>
      </c>
    </row>
    <row r="81" spans="1:12">
      <c r="A81">
        <f>SUMPRODUCT((MONTH(CHOOSE({1,2,3,4},TTSSKĐ!T81,TTSSKĐ!X81,TTSSKĐ!AB81,TTSSKĐ!AF81))=1)*(CHOOSE({1,2,3,4},TTSSKĐ!W81,TTSSKĐ!AA81,TTSSKĐ!AE81,TTSSKĐ!AI81)))</f>
        <v>0</v>
      </c>
      <c r="B81">
        <f>SUMPRODUCT((MONTH(CHOOSE({1,2,3,4},TTSSKĐ!T81,TTSSKĐ!X81,TTSSKĐ!AB81,TTSSKĐ!AF81))=2)*(CHOOSE({1,2,3,4},TTSSKĐ!W81,TTSSKĐ!AA81,TTSSKĐ!AE81,TTSSKĐ!AI81)))</f>
        <v>0</v>
      </c>
      <c r="C81">
        <f>SUMPRODUCT((MONTH(CHOOSE({1,2,3,4},TTSSKĐ!T81,TTSSKĐ!X81,TTSSKĐ!AB81,TTSSKĐ!AF81))=3)*(CHOOSE({1,2,3,4},TTSSKĐ!W81,TTSSKĐ!AA81,TTSSKĐ!AE81,TTSSKĐ!AI81)))</f>
        <v>0</v>
      </c>
      <c r="D81">
        <f>SUMPRODUCT((MONTH(CHOOSE({1,2,3,4},TTSSKĐ!T81,TTSSKĐ!X81,TTSSKĐ!AB81,TTSSKĐ!AF81))=4)*(CHOOSE({1,2,3,4},TTSSKĐ!W81,TTSSKĐ!AA81,TTSSKĐ!AE81,TTSSKĐ!AI81)))</f>
        <v>0</v>
      </c>
      <c r="E81">
        <f>SUMPRODUCT((MONTH(CHOOSE({1,2,3,4},TTSSKĐ!T81,TTSSKĐ!X81,TTSSKĐ!AB81,TTSSKĐ!AF81))=5)*(CHOOSE({1,2,3,4},TTSSKĐ!W81,TTSSKĐ!AA81,TTSSKĐ!AE81,TTSSKĐ!AI81)))</f>
        <v>0</v>
      </c>
      <c r="F81">
        <f>SUMPRODUCT((MONTH(CHOOSE({1,2,3,4},TTSSKĐ!T81,TTSSKĐ!X81,TTSSKĐ!AB81,TTSSKĐ!AF81))=6)*(CHOOSE({1,2,3,4},TTSSKĐ!W81,TTSSKĐ!AA81,TTSSKĐ!AE81,TTSSKĐ!AI81)))</f>
        <v>0</v>
      </c>
      <c r="G81">
        <f>SUMPRODUCT((MONTH(CHOOSE({1,2,3,4},TTSSKĐ!T81,TTSSKĐ!X81,TTSSKĐ!AB81,TTSSKĐ!AF81))=7)*(CHOOSE({1,2,3,4},TTSSKĐ!W81,TTSSKĐ!AA81,TTSSKĐ!AE81,TTSSKĐ!AI81)))</f>
        <v>0</v>
      </c>
      <c r="H81">
        <f>SUMPRODUCT((MONTH(CHOOSE({1,2,3,4},TTSSKĐ!T81,TTSSKĐ!X81,TTSSKĐ!AB81,TTSSKĐ!AF81))=8)*(CHOOSE({1,2,3,4},TTSSKĐ!W81,TTSSKĐ!AA81,TTSSKĐ!AE81,TTSSKĐ!AI81)))</f>
        <v>0</v>
      </c>
      <c r="I81">
        <f>SUMPRODUCT((MONTH(CHOOSE({1,2,3,4},TTSSKĐ!T81,TTSSKĐ!X81,TTSSKĐ!AB81,TTSSKĐ!AF81))=9)*(CHOOSE({1,2,3,4},TTSSKĐ!W81,TTSSKĐ!AA81,TTSSKĐ!AE81,TTSSKĐ!AI81)))</f>
        <v>0</v>
      </c>
      <c r="J81">
        <f>SUMPRODUCT((MONTH(CHOOSE({1,2,3,4},TTSSKĐ!T81,TTSSKĐ!X81,TTSSKĐ!AB81,TTSSKĐ!AF81))=10)*(CHOOSE({1,2,3,4},TTSSKĐ!W81,TTSSKĐ!AA81,TTSSKĐ!AE81,TTSSKĐ!AI81)))</f>
        <v>0</v>
      </c>
      <c r="K81">
        <f>SUMPRODUCT((MONTH(CHOOSE({1,2,3,4},TTSSKĐ!T81,TTSSKĐ!X81,TTSSKĐ!AB81,TTSSKĐ!AF81))=11)*(CHOOSE({1,2,3,4},TTSSKĐ!W81,TTSSKĐ!AA81,TTSSKĐ!AE81,TTSSKĐ!AI81)))</f>
        <v>0</v>
      </c>
      <c r="L81">
        <f>SUMPRODUCT((MONTH(CHOOSE({1,2,3,4},TTSSKĐ!T81,TTSSKĐ!X81,TTSSKĐ!AB81,TTSSKĐ!AF81))=12)*(CHOOSE({1,2,3,4},TTSSKĐ!W81,TTSSKĐ!AA81,TTSSKĐ!AE81,TTSSKĐ!AI81)))</f>
        <v>0</v>
      </c>
    </row>
    <row r="82" spans="1:12">
      <c r="A82">
        <f>SUMPRODUCT((MONTH(CHOOSE({1,2,3,4},TTSSKĐ!T82,TTSSKĐ!X82,TTSSKĐ!AB82,TTSSKĐ!AF82))=1)*(CHOOSE({1,2,3,4},TTSSKĐ!W82,TTSSKĐ!AA82,TTSSKĐ!AE82,TTSSKĐ!AI82)))</f>
        <v>0</v>
      </c>
      <c r="B82">
        <f>SUMPRODUCT((MONTH(CHOOSE({1,2,3,4},TTSSKĐ!T82,TTSSKĐ!X82,TTSSKĐ!AB82,TTSSKĐ!AF82))=2)*(CHOOSE({1,2,3,4},TTSSKĐ!W82,TTSSKĐ!AA82,TTSSKĐ!AE82,TTSSKĐ!AI82)))</f>
        <v>0</v>
      </c>
      <c r="C82">
        <f>SUMPRODUCT((MONTH(CHOOSE({1,2,3,4},TTSSKĐ!T82,TTSSKĐ!X82,TTSSKĐ!AB82,TTSSKĐ!AF82))=3)*(CHOOSE({1,2,3,4},TTSSKĐ!W82,TTSSKĐ!AA82,TTSSKĐ!AE82,TTSSKĐ!AI82)))</f>
        <v>0</v>
      </c>
      <c r="D82">
        <f>SUMPRODUCT((MONTH(CHOOSE({1,2,3,4},TTSSKĐ!T82,TTSSKĐ!X82,TTSSKĐ!AB82,TTSSKĐ!AF82))=4)*(CHOOSE({1,2,3,4},TTSSKĐ!W82,TTSSKĐ!AA82,TTSSKĐ!AE82,TTSSKĐ!AI82)))</f>
        <v>0</v>
      </c>
      <c r="E82">
        <f>SUMPRODUCT((MONTH(CHOOSE({1,2,3,4},TTSSKĐ!T82,TTSSKĐ!X82,TTSSKĐ!AB82,TTSSKĐ!AF82))=5)*(CHOOSE({1,2,3,4},TTSSKĐ!W82,TTSSKĐ!AA82,TTSSKĐ!AE82,TTSSKĐ!AI82)))</f>
        <v>0</v>
      </c>
      <c r="F82">
        <f>SUMPRODUCT((MONTH(CHOOSE({1,2,3,4},TTSSKĐ!T82,TTSSKĐ!X82,TTSSKĐ!AB82,TTSSKĐ!AF82))=6)*(CHOOSE({1,2,3,4},TTSSKĐ!W82,TTSSKĐ!AA82,TTSSKĐ!AE82,TTSSKĐ!AI82)))</f>
        <v>0</v>
      </c>
      <c r="G82">
        <f>SUMPRODUCT((MONTH(CHOOSE({1,2,3,4},TTSSKĐ!T82,TTSSKĐ!X82,TTSSKĐ!AB82,TTSSKĐ!AF82))=7)*(CHOOSE({1,2,3,4},TTSSKĐ!W82,TTSSKĐ!AA82,TTSSKĐ!AE82,TTSSKĐ!AI82)))</f>
        <v>0</v>
      </c>
      <c r="H82">
        <f>SUMPRODUCT((MONTH(CHOOSE({1,2,3,4},TTSSKĐ!T82,TTSSKĐ!X82,TTSSKĐ!AB82,TTSSKĐ!AF82))=8)*(CHOOSE({1,2,3,4},TTSSKĐ!W82,TTSSKĐ!AA82,TTSSKĐ!AE82,TTSSKĐ!AI82)))</f>
        <v>0</v>
      </c>
      <c r="I82">
        <f>SUMPRODUCT((MONTH(CHOOSE({1,2,3,4},TTSSKĐ!T82,TTSSKĐ!X82,TTSSKĐ!AB82,TTSSKĐ!AF82))=9)*(CHOOSE({1,2,3,4},TTSSKĐ!W82,TTSSKĐ!AA82,TTSSKĐ!AE82,TTSSKĐ!AI82)))</f>
        <v>0</v>
      </c>
      <c r="J82">
        <f>SUMPRODUCT((MONTH(CHOOSE({1,2,3,4},TTSSKĐ!T82,TTSSKĐ!X82,TTSSKĐ!AB82,TTSSKĐ!AF82))=10)*(CHOOSE({1,2,3,4},TTSSKĐ!W82,TTSSKĐ!AA82,TTSSKĐ!AE82,TTSSKĐ!AI82)))</f>
        <v>0</v>
      </c>
      <c r="K82">
        <f>SUMPRODUCT((MONTH(CHOOSE({1,2,3,4},TTSSKĐ!T82,TTSSKĐ!X82,TTSSKĐ!AB82,TTSSKĐ!AF82))=11)*(CHOOSE({1,2,3,4},TTSSKĐ!W82,TTSSKĐ!AA82,TTSSKĐ!AE82,TTSSKĐ!AI82)))</f>
        <v>0</v>
      </c>
      <c r="L82">
        <f>SUMPRODUCT((MONTH(CHOOSE({1,2,3,4},TTSSKĐ!T82,TTSSKĐ!X82,TTSSKĐ!AB82,TTSSKĐ!AF82))=12)*(CHOOSE({1,2,3,4},TTSSKĐ!W82,TTSSKĐ!AA82,TTSSKĐ!AE82,TTSSKĐ!AI82)))</f>
        <v>0</v>
      </c>
    </row>
    <row r="83" spans="1:12">
      <c r="A83">
        <f>SUMPRODUCT((MONTH(CHOOSE({1,2,3,4},TTSSKĐ!T83,TTSSKĐ!X83,TTSSKĐ!AB83,TTSSKĐ!AF83))=1)*(CHOOSE({1,2,3,4},TTSSKĐ!W83,TTSSKĐ!AA83,TTSSKĐ!AE83,TTSSKĐ!AI83)))</f>
        <v>0</v>
      </c>
      <c r="B83">
        <f>SUMPRODUCT((MONTH(CHOOSE({1,2,3,4},TTSSKĐ!T83,TTSSKĐ!X83,TTSSKĐ!AB83,TTSSKĐ!AF83))=2)*(CHOOSE({1,2,3,4},TTSSKĐ!W83,TTSSKĐ!AA83,TTSSKĐ!AE83,TTSSKĐ!AI83)))</f>
        <v>0</v>
      </c>
      <c r="C83">
        <f>SUMPRODUCT((MONTH(CHOOSE({1,2,3,4},TTSSKĐ!T83,TTSSKĐ!X83,TTSSKĐ!AB83,TTSSKĐ!AF83))=3)*(CHOOSE({1,2,3,4},TTSSKĐ!W83,TTSSKĐ!AA83,TTSSKĐ!AE83,TTSSKĐ!AI83)))</f>
        <v>0</v>
      </c>
      <c r="D83">
        <f>SUMPRODUCT((MONTH(CHOOSE({1,2,3,4},TTSSKĐ!T83,TTSSKĐ!X83,TTSSKĐ!AB83,TTSSKĐ!AF83))=4)*(CHOOSE({1,2,3,4},TTSSKĐ!W83,TTSSKĐ!AA83,TTSSKĐ!AE83,TTSSKĐ!AI83)))</f>
        <v>0</v>
      </c>
      <c r="E83">
        <f>SUMPRODUCT((MONTH(CHOOSE({1,2,3,4},TTSSKĐ!T83,TTSSKĐ!X83,TTSSKĐ!AB83,TTSSKĐ!AF83))=5)*(CHOOSE({1,2,3,4},TTSSKĐ!W83,TTSSKĐ!AA83,TTSSKĐ!AE83,TTSSKĐ!AI83)))</f>
        <v>0</v>
      </c>
      <c r="F83">
        <f>SUMPRODUCT((MONTH(CHOOSE({1,2,3,4},TTSSKĐ!T83,TTSSKĐ!X83,TTSSKĐ!AB83,TTSSKĐ!AF83))=6)*(CHOOSE({1,2,3,4},TTSSKĐ!W83,TTSSKĐ!AA83,TTSSKĐ!AE83,TTSSKĐ!AI83)))</f>
        <v>0</v>
      </c>
      <c r="G83">
        <f>SUMPRODUCT((MONTH(CHOOSE({1,2,3,4},TTSSKĐ!T83,TTSSKĐ!X83,TTSSKĐ!AB83,TTSSKĐ!AF83))=7)*(CHOOSE({1,2,3,4},TTSSKĐ!W83,TTSSKĐ!AA83,TTSSKĐ!AE83,TTSSKĐ!AI83)))</f>
        <v>0</v>
      </c>
      <c r="H83">
        <f>SUMPRODUCT((MONTH(CHOOSE({1,2,3,4},TTSSKĐ!T83,TTSSKĐ!X83,TTSSKĐ!AB83,TTSSKĐ!AF83))=8)*(CHOOSE({1,2,3,4},TTSSKĐ!W83,TTSSKĐ!AA83,TTSSKĐ!AE83,TTSSKĐ!AI83)))</f>
        <v>0</v>
      </c>
      <c r="I83">
        <f>SUMPRODUCT((MONTH(CHOOSE({1,2,3,4},TTSSKĐ!T83,TTSSKĐ!X83,TTSSKĐ!AB83,TTSSKĐ!AF83))=9)*(CHOOSE({1,2,3,4},TTSSKĐ!W83,TTSSKĐ!AA83,TTSSKĐ!AE83,TTSSKĐ!AI83)))</f>
        <v>0</v>
      </c>
      <c r="J83">
        <f>SUMPRODUCT((MONTH(CHOOSE({1,2,3,4},TTSSKĐ!T83,TTSSKĐ!X83,TTSSKĐ!AB83,TTSSKĐ!AF83))=10)*(CHOOSE({1,2,3,4},TTSSKĐ!W83,TTSSKĐ!AA83,TTSSKĐ!AE83,TTSSKĐ!AI83)))</f>
        <v>0</v>
      </c>
      <c r="K83">
        <f>SUMPRODUCT((MONTH(CHOOSE({1,2,3,4},TTSSKĐ!T83,TTSSKĐ!X83,TTSSKĐ!AB83,TTSSKĐ!AF83))=11)*(CHOOSE({1,2,3,4},TTSSKĐ!W83,TTSSKĐ!AA83,TTSSKĐ!AE83,TTSSKĐ!AI83)))</f>
        <v>0</v>
      </c>
      <c r="L83">
        <f>SUMPRODUCT((MONTH(CHOOSE({1,2,3,4},TTSSKĐ!T83,TTSSKĐ!X83,TTSSKĐ!AB83,TTSSKĐ!AF83))=12)*(CHOOSE({1,2,3,4},TTSSKĐ!W83,TTSSKĐ!AA83,TTSSKĐ!AE83,TTSSKĐ!AI83)))</f>
        <v>0</v>
      </c>
    </row>
    <row r="84" spans="1:12">
      <c r="A84">
        <f>SUMPRODUCT((MONTH(CHOOSE({1,2,3,4},TTSSKĐ!T84,TTSSKĐ!X84,TTSSKĐ!AB84,TTSSKĐ!AF84))=1)*(CHOOSE({1,2,3,4},TTSSKĐ!W84,TTSSKĐ!AA84,TTSSKĐ!AE84,TTSSKĐ!AI84)))</f>
        <v>0</v>
      </c>
      <c r="B84">
        <f>SUMPRODUCT((MONTH(CHOOSE({1,2,3,4},TTSSKĐ!T84,TTSSKĐ!X84,TTSSKĐ!AB84,TTSSKĐ!AF84))=2)*(CHOOSE({1,2,3,4},TTSSKĐ!W84,TTSSKĐ!AA84,TTSSKĐ!AE84,TTSSKĐ!AI84)))</f>
        <v>0</v>
      </c>
      <c r="C84">
        <f>SUMPRODUCT((MONTH(CHOOSE({1,2,3,4},TTSSKĐ!T84,TTSSKĐ!X84,TTSSKĐ!AB84,TTSSKĐ!AF84))=3)*(CHOOSE({1,2,3,4},TTSSKĐ!W84,TTSSKĐ!AA84,TTSSKĐ!AE84,TTSSKĐ!AI84)))</f>
        <v>0</v>
      </c>
      <c r="D84">
        <f>SUMPRODUCT((MONTH(CHOOSE({1,2,3,4},TTSSKĐ!T84,TTSSKĐ!X84,TTSSKĐ!AB84,TTSSKĐ!AF84))=4)*(CHOOSE({1,2,3,4},TTSSKĐ!W84,TTSSKĐ!AA84,TTSSKĐ!AE84,TTSSKĐ!AI84)))</f>
        <v>0</v>
      </c>
      <c r="E84">
        <f>SUMPRODUCT((MONTH(CHOOSE({1,2,3,4},TTSSKĐ!T84,TTSSKĐ!X84,TTSSKĐ!AB84,TTSSKĐ!AF84))=5)*(CHOOSE({1,2,3,4},TTSSKĐ!W84,TTSSKĐ!AA84,TTSSKĐ!AE84,TTSSKĐ!AI84)))</f>
        <v>0</v>
      </c>
      <c r="F84">
        <f>SUMPRODUCT((MONTH(CHOOSE({1,2,3,4},TTSSKĐ!T84,TTSSKĐ!X84,TTSSKĐ!AB84,TTSSKĐ!AF84))=6)*(CHOOSE({1,2,3,4},TTSSKĐ!W84,TTSSKĐ!AA84,TTSSKĐ!AE84,TTSSKĐ!AI84)))</f>
        <v>0</v>
      </c>
      <c r="G84">
        <f>SUMPRODUCT((MONTH(CHOOSE({1,2,3,4},TTSSKĐ!T84,TTSSKĐ!X84,TTSSKĐ!AB84,TTSSKĐ!AF84))=7)*(CHOOSE({1,2,3,4},TTSSKĐ!W84,TTSSKĐ!AA84,TTSSKĐ!AE84,TTSSKĐ!AI84)))</f>
        <v>0</v>
      </c>
      <c r="H84">
        <f>SUMPRODUCT((MONTH(CHOOSE({1,2,3,4},TTSSKĐ!T84,TTSSKĐ!X84,TTSSKĐ!AB84,TTSSKĐ!AF84))=8)*(CHOOSE({1,2,3,4},TTSSKĐ!W84,TTSSKĐ!AA84,TTSSKĐ!AE84,TTSSKĐ!AI84)))</f>
        <v>0</v>
      </c>
      <c r="I84">
        <f>SUMPRODUCT((MONTH(CHOOSE({1,2,3,4},TTSSKĐ!T84,TTSSKĐ!X84,TTSSKĐ!AB84,TTSSKĐ!AF84))=9)*(CHOOSE({1,2,3,4},TTSSKĐ!W84,TTSSKĐ!AA84,TTSSKĐ!AE84,TTSSKĐ!AI84)))</f>
        <v>0</v>
      </c>
      <c r="J84">
        <f>SUMPRODUCT((MONTH(CHOOSE({1,2,3,4},TTSSKĐ!T84,TTSSKĐ!X84,TTSSKĐ!AB84,TTSSKĐ!AF84))=10)*(CHOOSE({1,2,3,4},TTSSKĐ!W84,TTSSKĐ!AA84,TTSSKĐ!AE84,TTSSKĐ!AI84)))</f>
        <v>0</v>
      </c>
      <c r="K84">
        <f>SUMPRODUCT((MONTH(CHOOSE({1,2,3,4},TTSSKĐ!T84,TTSSKĐ!X84,TTSSKĐ!AB84,TTSSKĐ!AF84))=11)*(CHOOSE({1,2,3,4},TTSSKĐ!W84,TTSSKĐ!AA84,TTSSKĐ!AE84,TTSSKĐ!AI84)))</f>
        <v>0</v>
      </c>
      <c r="L84">
        <f>SUMPRODUCT((MONTH(CHOOSE({1,2,3,4},TTSSKĐ!T84,TTSSKĐ!X84,TTSSKĐ!AB84,TTSSKĐ!AF84))=12)*(CHOOSE({1,2,3,4},TTSSKĐ!W84,TTSSKĐ!AA84,TTSSKĐ!AE84,TTSSKĐ!AI84)))</f>
        <v>0</v>
      </c>
    </row>
    <row r="85" spans="1:12">
      <c r="A85">
        <f>SUMPRODUCT((MONTH(CHOOSE({1,2,3,4},TTSSKĐ!T85,TTSSKĐ!X85,TTSSKĐ!AB85,TTSSKĐ!AF85))=1)*(CHOOSE({1,2,3,4},TTSSKĐ!W85,TTSSKĐ!AA85,TTSSKĐ!AE85,TTSSKĐ!AI85)))</f>
        <v>0</v>
      </c>
      <c r="B85">
        <f>SUMPRODUCT((MONTH(CHOOSE({1,2,3,4},TTSSKĐ!T85,TTSSKĐ!X85,TTSSKĐ!AB85,TTSSKĐ!AF85))=2)*(CHOOSE({1,2,3,4},TTSSKĐ!W85,TTSSKĐ!AA85,TTSSKĐ!AE85,TTSSKĐ!AI85)))</f>
        <v>0</v>
      </c>
      <c r="C85">
        <f>SUMPRODUCT((MONTH(CHOOSE({1,2,3,4},TTSSKĐ!T85,TTSSKĐ!X85,TTSSKĐ!AB85,TTSSKĐ!AF85))=3)*(CHOOSE({1,2,3,4},TTSSKĐ!W85,TTSSKĐ!AA85,TTSSKĐ!AE85,TTSSKĐ!AI85)))</f>
        <v>0</v>
      </c>
      <c r="D85">
        <f>SUMPRODUCT((MONTH(CHOOSE({1,2,3,4},TTSSKĐ!T85,TTSSKĐ!X85,TTSSKĐ!AB85,TTSSKĐ!AF85))=4)*(CHOOSE({1,2,3,4},TTSSKĐ!W85,TTSSKĐ!AA85,TTSSKĐ!AE85,TTSSKĐ!AI85)))</f>
        <v>0</v>
      </c>
      <c r="E85">
        <f>SUMPRODUCT((MONTH(CHOOSE({1,2,3,4},TTSSKĐ!T85,TTSSKĐ!X85,TTSSKĐ!AB85,TTSSKĐ!AF85))=5)*(CHOOSE({1,2,3,4},TTSSKĐ!W85,TTSSKĐ!AA85,TTSSKĐ!AE85,TTSSKĐ!AI85)))</f>
        <v>0</v>
      </c>
      <c r="F85">
        <f>SUMPRODUCT((MONTH(CHOOSE({1,2,3,4},TTSSKĐ!T85,TTSSKĐ!X85,TTSSKĐ!AB85,TTSSKĐ!AF85))=6)*(CHOOSE({1,2,3,4},TTSSKĐ!W85,TTSSKĐ!AA85,TTSSKĐ!AE85,TTSSKĐ!AI85)))</f>
        <v>0</v>
      </c>
      <c r="G85">
        <f>SUMPRODUCT((MONTH(CHOOSE({1,2,3,4},TTSSKĐ!T85,TTSSKĐ!X85,TTSSKĐ!AB85,TTSSKĐ!AF85))=7)*(CHOOSE({1,2,3,4},TTSSKĐ!W85,TTSSKĐ!AA85,TTSSKĐ!AE85,TTSSKĐ!AI85)))</f>
        <v>0</v>
      </c>
      <c r="H85">
        <f>SUMPRODUCT((MONTH(CHOOSE({1,2,3,4},TTSSKĐ!T85,TTSSKĐ!X85,TTSSKĐ!AB85,TTSSKĐ!AF85))=8)*(CHOOSE({1,2,3,4},TTSSKĐ!W85,TTSSKĐ!AA85,TTSSKĐ!AE85,TTSSKĐ!AI85)))</f>
        <v>0</v>
      </c>
      <c r="I85">
        <f>SUMPRODUCT((MONTH(CHOOSE({1,2,3,4},TTSSKĐ!T85,TTSSKĐ!X85,TTSSKĐ!AB85,TTSSKĐ!AF85))=9)*(CHOOSE({1,2,3,4},TTSSKĐ!W85,TTSSKĐ!AA85,TTSSKĐ!AE85,TTSSKĐ!AI85)))</f>
        <v>0</v>
      </c>
      <c r="J85">
        <f>SUMPRODUCT((MONTH(CHOOSE({1,2,3,4},TTSSKĐ!T85,TTSSKĐ!X85,TTSSKĐ!AB85,TTSSKĐ!AF85))=10)*(CHOOSE({1,2,3,4},TTSSKĐ!W85,TTSSKĐ!AA85,TTSSKĐ!AE85,TTSSKĐ!AI85)))</f>
        <v>0</v>
      </c>
      <c r="K85">
        <f>SUMPRODUCT((MONTH(CHOOSE({1,2,3,4},TTSSKĐ!T85,TTSSKĐ!X85,TTSSKĐ!AB85,TTSSKĐ!AF85))=11)*(CHOOSE({1,2,3,4},TTSSKĐ!W85,TTSSKĐ!AA85,TTSSKĐ!AE85,TTSSKĐ!AI85)))</f>
        <v>0</v>
      </c>
      <c r="L85">
        <f>SUMPRODUCT((MONTH(CHOOSE({1,2,3,4},TTSSKĐ!T85,TTSSKĐ!X85,TTSSKĐ!AB85,TTSSKĐ!AF85))=12)*(CHOOSE({1,2,3,4},TTSSKĐ!W85,TTSSKĐ!AA85,TTSSKĐ!AE85,TTSSKĐ!AI85)))</f>
        <v>0</v>
      </c>
    </row>
    <row r="86" spans="1:12">
      <c r="A86">
        <f>SUMPRODUCT((MONTH(CHOOSE({1,2,3,4},TTSSKĐ!T86,TTSSKĐ!X86,TTSSKĐ!AB86,TTSSKĐ!AF86))=1)*(CHOOSE({1,2,3,4},TTSSKĐ!W86,TTSSKĐ!AA86,TTSSKĐ!AE86,TTSSKĐ!AI86)))</f>
        <v>0</v>
      </c>
      <c r="B86">
        <f>SUMPRODUCT((MONTH(CHOOSE({1,2,3,4},TTSSKĐ!T86,TTSSKĐ!X86,TTSSKĐ!AB86,TTSSKĐ!AF86))=2)*(CHOOSE({1,2,3,4},TTSSKĐ!W86,TTSSKĐ!AA86,TTSSKĐ!AE86,TTSSKĐ!AI86)))</f>
        <v>0</v>
      </c>
      <c r="C86">
        <f>SUMPRODUCT((MONTH(CHOOSE({1,2,3,4},TTSSKĐ!T86,TTSSKĐ!X86,TTSSKĐ!AB86,TTSSKĐ!AF86))=3)*(CHOOSE({1,2,3,4},TTSSKĐ!W86,TTSSKĐ!AA86,TTSSKĐ!AE86,TTSSKĐ!AI86)))</f>
        <v>0</v>
      </c>
      <c r="D86">
        <f>SUMPRODUCT((MONTH(CHOOSE({1,2,3,4},TTSSKĐ!T86,TTSSKĐ!X86,TTSSKĐ!AB86,TTSSKĐ!AF86))=4)*(CHOOSE({1,2,3,4},TTSSKĐ!W86,TTSSKĐ!AA86,TTSSKĐ!AE86,TTSSKĐ!AI86)))</f>
        <v>0</v>
      </c>
      <c r="E86">
        <f>SUMPRODUCT((MONTH(CHOOSE({1,2,3,4},TTSSKĐ!T86,TTSSKĐ!X86,TTSSKĐ!AB86,TTSSKĐ!AF86))=5)*(CHOOSE({1,2,3,4},TTSSKĐ!W86,TTSSKĐ!AA86,TTSSKĐ!AE86,TTSSKĐ!AI86)))</f>
        <v>0</v>
      </c>
      <c r="F86">
        <f>SUMPRODUCT((MONTH(CHOOSE({1,2,3,4},TTSSKĐ!T86,TTSSKĐ!X86,TTSSKĐ!AB86,TTSSKĐ!AF86))=6)*(CHOOSE({1,2,3,4},TTSSKĐ!W86,TTSSKĐ!AA86,TTSSKĐ!AE86,TTSSKĐ!AI86)))</f>
        <v>0</v>
      </c>
      <c r="G86">
        <f>SUMPRODUCT((MONTH(CHOOSE({1,2,3,4},TTSSKĐ!T86,TTSSKĐ!X86,TTSSKĐ!AB86,TTSSKĐ!AF86))=7)*(CHOOSE({1,2,3,4},TTSSKĐ!W86,TTSSKĐ!AA86,TTSSKĐ!AE86,TTSSKĐ!AI86)))</f>
        <v>0</v>
      </c>
      <c r="H86">
        <f>SUMPRODUCT((MONTH(CHOOSE({1,2,3,4},TTSSKĐ!T86,TTSSKĐ!X86,TTSSKĐ!AB86,TTSSKĐ!AF86))=8)*(CHOOSE({1,2,3,4},TTSSKĐ!W86,TTSSKĐ!AA86,TTSSKĐ!AE86,TTSSKĐ!AI86)))</f>
        <v>0</v>
      </c>
      <c r="I86">
        <f>SUMPRODUCT((MONTH(CHOOSE({1,2,3,4},TTSSKĐ!T86,TTSSKĐ!X86,TTSSKĐ!AB86,TTSSKĐ!AF86))=9)*(CHOOSE({1,2,3,4},TTSSKĐ!W86,TTSSKĐ!AA86,TTSSKĐ!AE86,TTSSKĐ!AI86)))</f>
        <v>0</v>
      </c>
      <c r="J86">
        <f>SUMPRODUCT((MONTH(CHOOSE({1,2,3,4},TTSSKĐ!T86,TTSSKĐ!X86,TTSSKĐ!AB86,TTSSKĐ!AF86))=10)*(CHOOSE({1,2,3,4},TTSSKĐ!W86,TTSSKĐ!AA86,TTSSKĐ!AE86,TTSSKĐ!AI86)))</f>
        <v>0</v>
      </c>
      <c r="K86">
        <f>SUMPRODUCT((MONTH(CHOOSE({1,2,3,4},TTSSKĐ!T86,TTSSKĐ!X86,TTSSKĐ!AB86,TTSSKĐ!AF86))=11)*(CHOOSE({1,2,3,4},TTSSKĐ!W86,TTSSKĐ!AA86,TTSSKĐ!AE86,TTSSKĐ!AI86)))</f>
        <v>0</v>
      </c>
      <c r="L86">
        <f>SUMPRODUCT((MONTH(CHOOSE({1,2,3,4},TTSSKĐ!T86,TTSSKĐ!X86,TTSSKĐ!AB86,TTSSKĐ!AF86))=12)*(CHOOSE({1,2,3,4},TTSSKĐ!W86,TTSSKĐ!AA86,TTSSKĐ!AE86,TTSSKĐ!AI86)))</f>
        <v>0</v>
      </c>
    </row>
    <row r="87" spans="1:12">
      <c r="A87">
        <f>SUMPRODUCT((MONTH(CHOOSE({1,2,3,4},TTSSKĐ!T87,TTSSKĐ!X87,TTSSKĐ!AB87,TTSSKĐ!AF87))=1)*(CHOOSE({1,2,3,4},TTSSKĐ!W87,TTSSKĐ!AA87,TTSSKĐ!AE87,TTSSKĐ!AI87)))</f>
        <v>0</v>
      </c>
      <c r="B87">
        <f>SUMPRODUCT((MONTH(CHOOSE({1,2,3,4},TTSSKĐ!T87,TTSSKĐ!X87,TTSSKĐ!AB87,TTSSKĐ!AF87))=2)*(CHOOSE({1,2,3,4},TTSSKĐ!W87,TTSSKĐ!AA87,TTSSKĐ!AE87,TTSSKĐ!AI87)))</f>
        <v>0</v>
      </c>
      <c r="C87">
        <f>SUMPRODUCT((MONTH(CHOOSE({1,2,3,4},TTSSKĐ!T87,TTSSKĐ!X87,TTSSKĐ!AB87,TTSSKĐ!AF87))=3)*(CHOOSE({1,2,3,4},TTSSKĐ!W87,TTSSKĐ!AA87,TTSSKĐ!AE87,TTSSKĐ!AI87)))</f>
        <v>0</v>
      </c>
      <c r="D87">
        <f>SUMPRODUCT((MONTH(CHOOSE({1,2,3,4},TTSSKĐ!T87,TTSSKĐ!X87,TTSSKĐ!AB87,TTSSKĐ!AF87))=4)*(CHOOSE({1,2,3,4},TTSSKĐ!W87,TTSSKĐ!AA87,TTSSKĐ!AE87,TTSSKĐ!AI87)))</f>
        <v>0</v>
      </c>
      <c r="E87">
        <f>SUMPRODUCT((MONTH(CHOOSE({1,2,3,4},TTSSKĐ!T87,TTSSKĐ!X87,TTSSKĐ!AB87,TTSSKĐ!AF87))=5)*(CHOOSE({1,2,3,4},TTSSKĐ!W87,TTSSKĐ!AA87,TTSSKĐ!AE87,TTSSKĐ!AI87)))</f>
        <v>0</v>
      </c>
      <c r="F87">
        <f>SUMPRODUCT((MONTH(CHOOSE({1,2,3,4},TTSSKĐ!T87,TTSSKĐ!X87,TTSSKĐ!AB87,TTSSKĐ!AF87))=6)*(CHOOSE({1,2,3,4},TTSSKĐ!W87,TTSSKĐ!AA87,TTSSKĐ!AE87,TTSSKĐ!AI87)))</f>
        <v>0</v>
      </c>
      <c r="G87">
        <f>SUMPRODUCT((MONTH(CHOOSE({1,2,3,4},TTSSKĐ!T87,TTSSKĐ!X87,TTSSKĐ!AB87,TTSSKĐ!AF87))=7)*(CHOOSE({1,2,3,4},TTSSKĐ!W87,TTSSKĐ!AA87,TTSSKĐ!AE87,TTSSKĐ!AI87)))</f>
        <v>0</v>
      </c>
      <c r="H87">
        <f>SUMPRODUCT((MONTH(CHOOSE({1,2,3,4},TTSSKĐ!T87,TTSSKĐ!X87,TTSSKĐ!AB87,TTSSKĐ!AF87))=8)*(CHOOSE({1,2,3,4},TTSSKĐ!W87,TTSSKĐ!AA87,TTSSKĐ!AE87,TTSSKĐ!AI87)))</f>
        <v>0</v>
      </c>
      <c r="I87">
        <f>SUMPRODUCT((MONTH(CHOOSE({1,2,3,4},TTSSKĐ!T87,TTSSKĐ!X87,TTSSKĐ!AB87,TTSSKĐ!AF87))=9)*(CHOOSE({1,2,3,4},TTSSKĐ!W87,TTSSKĐ!AA87,TTSSKĐ!AE87,TTSSKĐ!AI87)))</f>
        <v>0</v>
      </c>
      <c r="J87">
        <f>SUMPRODUCT((MONTH(CHOOSE({1,2,3,4},TTSSKĐ!T87,TTSSKĐ!X87,TTSSKĐ!AB87,TTSSKĐ!AF87))=10)*(CHOOSE({1,2,3,4},TTSSKĐ!W87,TTSSKĐ!AA87,TTSSKĐ!AE87,TTSSKĐ!AI87)))</f>
        <v>0</v>
      </c>
      <c r="K87">
        <f>SUMPRODUCT((MONTH(CHOOSE({1,2,3,4},TTSSKĐ!T87,TTSSKĐ!X87,TTSSKĐ!AB87,TTSSKĐ!AF87))=11)*(CHOOSE({1,2,3,4},TTSSKĐ!W87,TTSSKĐ!AA87,TTSSKĐ!AE87,TTSSKĐ!AI87)))</f>
        <v>0</v>
      </c>
      <c r="L87">
        <f>SUMPRODUCT((MONTH(CHOOSE({1,2,3,4},TTSSKĐ!T87,TTSSKĐ!X87,TTSSKĐ!AB87,TTSSKĐ!AF87))=12)*(CHOOSE({1,2,3,4},TTSSKĐ!W87,TTSSKĐ!AA87,TTSSKĐ!AE87,TTSSKĐ!AI87)))</f>
        <v>0</v>
      </c>
    </row>
    <row r="88" spans="1:12">
      <c r="A88">
        <f>SUMPRODUCT((MONTH(CHOOSE({1,2,3,4},TTSSKĐ!T88,TTSSKĐ!X88,TTSSKĐ!AB88,TTSSKĐ!AF88))=1)*(CHOOSE({1,2,3,4},TTSSKĐ!W88,TTSSKĐ!AA88,TTSSKĐ!AE88,TTSSKĐ!AI88)))</f>
        <v>0</v>
      </c>
      <c r="B88">
        <f>SUMPRODUCT((MONTH(CHOOSE({1,2,3,4},TTSSKĐ!T88,TTSSKĐ!X88,TTSSKĐ!AB88,TTSSKĐ!AF88))=2)*(CHOOSE({1,2,3,4},TTSSKĐ!W88,TTSSKĐ!AA88,TTSSKĐ!AE88,TTSSKĐ!AI88)))</f>
        <v>0</v>
      </c>
      <c r="C88">
        <f>SUMPRODUCT((MONTH(CHOOSE({1,2,3,4},TTSSKĐ!T88,TTSSKĐ!X88,TTSSKĐ!AB88,TTSSKĐ!AF88))=3)*(CHOOSE({1,2,3,4},TTSSKĐ!W88,TTSSKĐ!AA88,TTSSKĐ!AE88,TTSSKĐ!AI88)))</f>
        <v>0</v>
      </c>
      <c r="D88">
        <f>SUMPRODUCT((MONTH(CHOOSE({1,2,3,4},TTSSKĐ!T88,TTSSKĐ!X88,TTSSKĐ!AB88,TTSSKĐ!AF88))=4)*(CHOOSE({1,2,3,4},TTSSKĐ!W88,TTSSKĐ!AA88,TTSSKĐ!AE88,TTSSKĐ!AI88)))</f>
        <v>0</v>
      </c>
      <c r="E88">
        <f>SUMPRODUCT((MONTH(CHOOSE({1,2,3,4},TTSSKĐ!T88,TTSSKĐ!X88,TTSSKĐ!AB88,TTSSKĐ!AF88))=5)*(CHOOSE({1,2,3,4},TTSSKĐ!W88,TTSSKĐ!AA88,TTSSKĐ!AE88,TTSSKĐ!AI88)))</f>
        <v>0</v>
      </c>
      <c r="F88">
        <f>SUMPRODUCT((MONTH(CHOOSE({1,2,3,4},TTSSKĐ!T88,TTSSKĐ!X88,TTSSKĐ!AB88,TTSSKĐ!AF88))=6)*(CHOOSE({1,2,3,4},TTSSKĐ!W88,TTSSKĐ!AA88,TTSSKĐ!AE88,TTSSKĐ!AI88)))</f>
        <v>0</v>
      </c>
      <c r="G88">
        <f>SUMPRODUCT((MONTH(CHOOSE({1,2,3,4},TTSSKĐ!T88,TTSSKĐ!X88,TTSSKĐ!AB88,TTSSKĐ!AF88))=7)*(CHOOSE({1,2,3,4},TTSSKĐ!W88,TTSSKĐ!AA88,TTSSKĐ!AE88,TTSSKĐ!AI88)))</f>
        <v>0</v>
      </c>
      <c r="H88">
        <f>SUMPRODUCT((MONTH(CHOOSE({1,2,3,4},TTSSKĐ!T88,TTSSKĐ!X88,TTSSKĐ!AB88,TTSSKĐ!AF88))=8)*(CHOOSE({1,2,3,4},TTSSKĐ!W88,TTSSKĐ!AA88,TTSSKĐ!AE88,TTSSKĐ!AI88)))</f>
        <v>0</v>
      </c>
      <c r="I88">
        <f>SUMPRODUCT((MONTH(CHOOSE({1,2,3,4},TTSSKĐ!T88,TTSSKĐ!X88,TTSSKĐ!AB88,TTSSKĐ!AF88))=9)*(CHOOSE({1,2,3,4},TTSSKĐ!W88,TTSSKĐ!AA88,TTSSKĐ!AE88,TTSSKĐ!AI88)))</f>
        <v>0</v>
      </c>
      <c r="J88">
        <f>SUMPRODUCT((MONTH(CHOOSE({1,2,3,4},TTSSKĐ!T88,TTSSKĐ!X88,TTSSKĐ!AB88,TTSSKĐ!AF88))=10)*(CHOOSE({1,2,3,4},TTSSKĐ!W88,TTSSKĐ!AA88,TTSSKĐ!AE88,TTSSKĐ!AI88)))</f>
        <v>0</v>
      </c>
      <c r="K88">
        <f>SUMPRODUCT((MONTH(CHOOSE({1,2,3,4},TTSSKĐ!T88,TTSSKĐ!X88,TTSSKĐ!AB88,TTSSKĐ!AF88))=11)*(CHOOSE({1,2,3,4},TTSSKĐ!W88,TTSSKĐ!AA88,TTSSKĐ!AE88,TTSSKĐ!AI88)))</f>
        <v>0</v>
      </c>
      <c r="L88">
        <f>SUMPRODUCT((MONTH(CHOOSE({1,2,3,4},TTSSKĐ!T88,TTSSKĐ!X88,TTSSKĐ!AB88,TTSSKĐ!AF88))=12)*(CHOOSE({1,2,3,4},TTSSKĐ!W88,TTSSKĐ!AA88,TTSSKĐ!AE88,TTSSKĐ!AI88)))</f>
        <v>0</v>
      </c>
    </row>
    <row r="89" spans="1:12">
      <c r="A89">
        <f>SUMPRODUCT((MONTH(CHOOSE({1,2,3,4},TTSSKĐ!T89,TTSSKĐ!X89,TTSSKĐ!AB89,TTSSKĐ!AF89))=1)*(CHOOSE({1,2,3,4},TTSSKĐ!W89,TTSSKĐ!AA89,TTSSKĐ!AE89,TTSSKĐ!AI89)))</f>
        <v>0</v>
      </c>
      <c r="B89">
        <f>SUMPRODUCT((MONTH(CHOOSE({1,2,3,4},TTSSKĐ!T89,TTSSKĐ!X89,TTSSKĐ!AB89,TTSSKĐ!AF89))=2)*(CHOOSE({1,2,3,4},TTSSKĐ!W89,TTSSKĐ!AA89,TTSSKĐ!AE89,TTSSKĐ!AI89)))</f>
        <v>0</v>
      </c>
      <c r="C89">
        <f>SUMPRODUCT((MONTH(CHOOSE({1,2,3,4},TTSSKĐ!T89,TTSSKĐ!X89,TTSSKĐ!AB89,TTSSKĐ!AF89))=3)*(CHOOSE({1,2,3,4},TTSSKĐ!W89,TTSSKĐ!AA89,TTSSKĐ!AE89,TTSSKĐ!AI89)))</f>
        <v>0</v>
      </c>
      <c r="D89">
        <f>SUMPRODUCT((MONTH(CHOOSE({1,2,3,4},TTSSKĐ!T89,TTSSKĐ!X89,TTSSKĐ!AB89,TTSSKĐ!AF89))=4)*(CHOOSE({1,2,3,4},TTSSKĐ!W89,TTSSKĐ!AA89,TTSSKĐ!AE89,TTSSKĐ!AI89)))</f>
        <v>0</v>
      </c>
      <c r="E89">
        <f>SUMPRODUCT((MONTH(CHOOSE({1,2,3,4},TTSSKĐ!T89,TTSSKĐ!X89,TTSSKĐ!AB89,TTSSKĐ!AF89))=5)*(CHOOSE({1,2,3,4},TTSSKĐ!W89,TTSSKĐ!AA89,TTSSKĐ!AE89,TTSSKĐ!AI89)))</f>
        <v>0</v>
      </c>
      <c r="F89">
        <f>SUMPRODUCT((MONTH(CHOOSE({1,2,3,4},TTSSKĐ!T89,TTSSKĐ!X89,TTSSKĐ!AB89,TTSSKĐ!AF89))=6)*(CHOOSE({1,2,3,4},TTSSKĐ!W89,TTSSKĐ!AA89,TTSSKĐ!AE89,TTSSKĐ!AI89)))</f>
        <v>0</v>
      </c>
      <c r="G89">
        <f>SUMPRODUCT((MONTH(CHOOSE({1,2,3,4},TTSSKĐ!T89,TTSSKĐ!X89,TTSSKĐ!AB89,TTSSKĐ!AF89))=7)*(CHOOSE({1,2,3,4},TTSSKĐ!W89,TTSSKĐ!AA89,TTSSKĐ!AE89,TTSSKĐ!AI89)))</f>
        <v>0</v>
      </c>
      <c r="H89">
        <f>SUMPRODUCT((MONTH(CHOOSE({1,2,3,4},TTSSKĐ!T89,TTSSKĐ!X89,TTSSKĐ!AB89,TTSSKĐ!AF89))=8)*(CHOOSE({1,2,3,4},TTSSKĐ!W89,TTSSKĐ!AA89,TTSSKĐ!AE89,TTSSKĐ!AI89)))</f>
        <v>0</v>
      </c>
      <c r="I89">
        <f>SUMPRODUCT((MONTH(CHOOSE({1,2,3,4},TTSSKĐ!T89,TTSSKĐ!X89,TTSSKĐ!AB89,TTSSKĐ!AF89))=9)*(CHOOSE({1,2,3,4},TTSSKĐ!W89,TTSSKĐ!AA89,TTSSKĐ!AE89,TTSSKĐ!AI89)))</f>
        <v>0</v>
      </c>
      <c r="J89">
        <f>SUMPRODUCT((MONTH(CHOOSE({1,2,3,4},TTSSKĐ!T89,TTSSKĐ!X89,TTSSKĐ!AB89,TTSSKĐ!AF89))=10)*(CHOOSE({1,2,3,4},TTSSKĐ!W89,TTSSKĐ!AA89,TTSSKĐ!AE89,TTSSKĐ!AI89)))</f>
        <v>0</v>
      </c>
      <c r="K89">
        <f>SUMPRODUCT((MONTH(CHOOSE({1,2,3,4},TTSSKĐ!T89,TTSSKĐ!X89,TTSSKĐ!AB89,TTSSKĐ!AF89))=11)*(CHOOSE({1,2,3,4},TTSSKĐ!W89,TTSSKĐ!AA89,TTSSKĐ!AE89,TTSSKĐ!AI89)))</f>
        <v>0</v>
      </c>
      <c r="L89">
        <f>SUMPRODUCT((MONTH(CHOOSE({1,2,3,4},TTSSKĐ!T89,TTSSKĐ!X89,TTSSKĐ!AB89,TTSSKĐ!AF89))=12)*(CHOOSE({1,2,3,4},TTSSKĐ!W89,TTSSKĐ!AA89,TTSSKĐ!AE89,TTSSKĐ!AI89)))</f>
        <v>0</v>
      </c>
    </row>
    <row r="90" spans="1:12">
      <c r="A90">
        <f>SUMPRODUCT((MONTH(CHOOSE({1,2,3,4},TTSSKĐ!T90,TTSSKĐ!X90,TTSSKĐ!AB90,TTSSKĐ!AF90))=1)*(CHOOSE({1,2,3,4},TTSSKĐ!W90,TTSSKĐ!AA90,TTSSKĐ!AE90,TTSSKĐ!AI90)))</f>
        <v>0</v>
      </c>
      <c r="B90">
        <f>SUMPRODUCT((MONTH(CHOOSE({1,2,3,4},TTSSKĐ!T90,TTSSKĐ!X90,TTSSKĐ!AB90,TTSSKĐ!AF90))=2)*(CHOOSE({1,2,3,4},TTSSKĐ!W90,TTSSKĐ!AA90,TTSSKĐ!AE90,TTSSKĐ!AI90)))</f>
        <v>0</v>
      </c>
      <c r="C90">
        <f>SUMPRODUCT((MONTH(CHOOSE({1,2,3,4},TTSSKĐ!T90,TTSSKĐ!X90,TTSSKĐ!AB90,TTSSKĐ!AF90))=3)*(CHOOSE({1,2,3,4},TTSSKĐ!W90,TTSSKĐ!AA90,TTSSKĐ!AE90,TTSSKĐ!AI90)))</f>
        <v>0</v>
      </c>
      <c r="D90">
        <f>SUMPRODUCT((MONTH(CHOOSE({1,2,3,4},TTSSKĐ!T90,TTSSKĐ!X90,TTSSKĐ!AB90,TTSSKĐ!AF90))=4)*(CHOOSE({1,2,3,4},TTSSKĐ!W90,TTSSKĐ!AA90,TTSSKĐ!AE90,TTSSKĐ!AI90)))</f>
        <v>0</v>
      </c>
      <c r="E90">
        <f>SUMPRODUCT((MONTH(CHOOSE({1,2,3,4},TTSSKĐ!T90,TTSSKĐ!X90,TTSSKĐ!AB90,TTSSKĐ!AF90))=5)*(CHOOSE({1,2,3,4},TTSSKĐ!W90,TTSSKĐ!AA90,TTSSKĐ!AE90,TTSSKĐ!AI90)))</f>
        <v>0</v>
      </c>
      <c r="F90">
        <f>SUMPRODUCT((MONTH(CHOOSE({1,2,3,4},TTSSKĐ!T90,TTSSKĐ!X90,TTSSKĐ!AB90,TTSSKĐ!AF90))=6)*(CHOOSE({1,2,3,4},TTSSKĐ!W90,TTSSKĐ!AA90,TTSSKĐ!AE90,TTSSKĐ!AI90)))</f>
        <v>0</v>
      </c>
      <c r="G90">
        <f>SUMPRODUCT((MONTH(CHOOSE({1,2,3,4},TTSSKĐ!T90,TTSSKĐ!X90,TTSSKĐ!AB90,TTSSKĐ!AF90))=7)*(CHOOSE({1,2,3,4},TTSSKĐ!W90,TTSSKĐ!AA90,TTSSKĐ!AE90,TTSSKĐ!AI90)))</f>
        <v>0</v>
      </c>
      <c r="H90">
        <f>SUMPRODUCT((MONTH(CHOOSE({1,2,3,4},TTSSKĐ!T90,TTSSKĐ!X90,TTSSKĐ!AB90,TTSSKĐ!AF90))=8)*(CHOOSE({1,2,3,4},TTSSKĐ!W90,TTSSKĐ!AA90,TTSSKĐ!AE90,TTSSKĐ!AI90)))</f>
        <v>0</v>
      </c>
      <c r="I90">
        <f>SUMPRODUCT((MONTH(CHOOSE({1,2,3,4},TTSSKĐ!T90,TTSSKĐ!X90,TTSSKĐ!AB90,TTSSKĐ!AF90))=9)*(CHOOSE({1,2,3,4},TTSSKĐ!W90,TTSSKĐ!AA90,TTSSKĐ!AE90,TTSSKĐ!AI90)))</f>
        <v>0</v>
      </c>
      <c r="J90">
        <f>SUMPRODUCT((MONTH(CHOOSE({1,2,3,4},TTSSKĐ!T90,TTSSKĐ!X90,TTSSKĐ!AB90,TTSSKĐ!AF90))=10)*(CHOOSE({1,2,3,4},TTSSKĐ!W90,TTSSKĐ!AA90,TTSSKĐ!AE90,TTSSKĐ!AI90)))</f>
        <v>0</v>
      </c>
      <c r="K90">
        <f>SUMPRODUCT((MONTH(CHOOSE({1,2,3,4},TTSSKĐ!T90,TTSSKĐ!X90,TTSSKĐ!AB90,TTSSKĐ!AF90))=11)*(CHOOSE({1,2,3,4},TTSSKĐ!W90,TTSSKĐ!AA90,TTSSKĐ!AE90,TTSSKĐ!AI90)))</f>
        <v>0</v>
      </c>
      <c r="L90">
        <f>SUMPRODUCT((MONTH(CHOOSE({1,2,3,4},TTSSKĐ!T90,TTSSKĐ!X90,TTSSKĐ!AB90,TTSSKĐ!AF90))=12)*(CHOOSE({1,2,3,4},TTSSKĐ!W90,TTSSKĐ!AA90,TTSSKĐ!AE90,TTSSKĐ!AI90)))</f>
        <v>0</v>
      </c>
    </row>
    <row r="91" spans="1:12">
      <c r="A91">
        <f>SUMPRODUCT((MONTH(CHOOSE({1,2,3,4},TTSSKĐ!T91,TTSSKĐ!X91,TTSSKĐ!AB91,TTSSKĐ!AF91))=1)*(CHOOSE({1,2,3,4},TTSSKĐ!W91,TTSSKĐ!AA91,TTSSKĐ!AE91,TTSSKĐ!AI91)))</f>
        <v>0</v>
      </c>
      <c r="B91">
        <f>SUMPRODUCT((MONTH(CHOOSE({1,2,3,4},TTSSKĐ!T91,TTSSKĐ!X91,TTSSKĐ!AB91,TTSSKĐ!AF91))=2)*(CHOOSE({1,2,3,4},TTSSKĐ!W91,TTSSKĐ!AA91,TTSSKĐ!AE91,TTSSKĐ!AI91)))</f>
        <v>0</v>
      </c>
      <c r="C91">
        <f>SUMPRODUCT((MONTH(CHOOSE({1,2,3,4},TTSSKĐ!T91,TTSSKĐ!X91,TTSSKĐ!AB91,TTSSKĐ!AF91))=3)*(CHOOSE({1,2,3,4},TTSSKĐ!W91,TTSSKĐ!AA91,TTSSKĐ!AE91,TTSSKĐ!AI91)))</f>
        <v>0</v>
      </c>
      <c r="D91">
        <f>SUMPRODUCT((MONTH(CHOOSE({1,2,3,4},TTSSKĐ!T91,TTSSKĐ!X91,TTSSKĐ!AB91,TTSSKĐ!AF91))=4)*(CHOOSE({1,2,3,4},TTSSKĐ!W91,TTSSKĐ!AA91,TTSSKĐ!AE91,TTSSKĐ!AI91)))</f>
        <v>0</v>
      </c>
      <c r="E91">
        <f>SUMPRODUCT((MONTH(CHOOSE({1,2,3,4},TTSSKĐ!T91,TTSSKĐ!X91,TTSSKĐ!AB91,TTSSKĐ!AF91))=5)*(CHOOSE({1,2,3,4},TTSSKĐ!W91,TTSSKĐ!AA91,TTSSKĐ!AE91,TTSSKĐ!AI91)))</f>
        <v>0</v>
      </c>
      <c r="F91">
        <f>SUMPRODUCT((MONTH(CHOOSE({1,2,3,4},TTSSKĐ!T91,TTSSKĐ!X91,TTSSKĐ!AB91,TTSSKĐ!AF91))=6)*(CHOOSE({1,2,3,4},TTSSKĐ!W91,TTSSKĐ!AA91,TTSSKĐ!AE91,TTSSKĐ!AI91)))</f>
        <v>0</v>
      </c>
      <c r="G91">
        <f>SUMPRODUCT((MONTH(CHOOSE({1,2,3,4},TTSSKĐ!T91,TTSSKĐ!X91,TTSSKĐ!AB91,TTSSKĐ!AF91))=7)*(CHOOSE({1,2,3,4},TTSSKĐ!W91,TTSSKĐ!AA91,TTSSKĐ!AE91,TTSSKĐ!AI91)))</f>
        <v>0</v>
      </c>
      <c r="H91">
        <f>SUMPRODUCT((MONTH(CHOOSE({1,2,3,4},TTSSKĐ!T91,TTSSKĐ!X91,TTSSKĐ!AB91,TTSSKĐ!AF91))=8)*(CHOOSE({1,2,3,4},TTSSKĐ!W91,TTSSKĐ!AA91,TTSSKĐ!AE91,TTSSKĐ!AI91)))</f>
        <v>0</v>
      </c>
      <c r="I91">
        <f>SUMPRODUCT((MONTH(CHOOSE({1,2,3,4},TTSSKĐ!T91,TTSSKĐ!X91,TTSSKĐ!AB91,TTSSKĐ!AF91))=9)*(CHOOSE({1,2,3,4},TTSSKĐ!W91,TTSSKĐ!AA91,TTSSKĐ!AE91,TTSSKĐ!AI91)))</f>
        <v>0</v>
      </c>
      <c r="J91">
        <f>SUMPRODUCT((MONTH(CHOOSE({1,2,3,4},TTSSKĐ!T91,TTSSKĐ!X91,TTSSKĐ!AB91,TTSSKĐ!AF91))=10)*(CHOOSE({1,2,3,4},TTSSKĐ!W91,TTSSKĐ!AA91,TTSSKĐ!AE91,TTSSKĐ!AI91)))</f>
        <v>0</v>
      </c>
      <c r="K91">
        <f>SUMPRODUCT((MONTH(CHOOSE({1,2,3,4},TTSSKĐ!T91,TTSSKĐ!X91,TTSSKĐ!AB91,TTSSKĐ!AF91))=11)*(CHOOSE({1,2,3,4},TTSSKĐ!W91,TTSSKĐ!AA91,TTSSKĐ!AE91,TTSSKĐ!AI91)))</f>
        <v>0</v>
      </c>
      <c r="L91">
        <f>SUMPRODUCT((MONTH(CHOOSE({1,2,3,4},TTSSKĐ!T91,TTSSKĐ!X91,TTSSKĐ!AB91,TTSSKĐ!AF91))=12)*(CHOOSE({1,2,3,4},TTSSKĐ!W91,TTSSKĐ!AA91,TTSSKĐ!AE91,TTSSKĐ!AI91)))</f>
        <v>0</v>
      </c>
    </row>
    <row r="92" spans="1:12">
      <c r="A92">
        <f>SUMPRODUCT((MONTH(CHOOSE({1,2,3,4},TTSSKĐ!T92,TTSSKĐ!X92,TTSSKĐ!AB92,TTSSKĐ!AF92))=1)*(CHOOSE({1,2,3,4},TTSSKĐ!W92,TTSSKĐ!AA92,TTSSKĐ!AE92,TTSSKĐ!AI92)))</f>
        <v>0</v>
      </c>
      <c r="B92">
        <f>SUMPRODUCT((MONTH(CHOOSE({1,2,3,4},TTSSKĐ!T92,TTSSKĐ!X92,TTSSKĐ!AB92,TTSSKĐ!AF92))=2)*(CHOOSE({1,2,3,4},TTSSKĐ!W92,TTSSKĐ!AA92,TTSSKĐ!AE92,TTSSKĐ!AI92)))</f>
        <v>0</v>
      </c>
      <c r="C92">
        <f>SUMPRODUCT((MONTH(CHOOSE({1,2,3,4},TTSSKĐ!T92,TTSSKĐ!X92,TTSSKĐ!AB92,TTSSKĐ!AF92))=3)*(CHOOSE({1,2,3,4},TTSSKĐ!W92,TTSSKĐ!AA92,TTSSKĐ!AE92,TTSSKĐ!AI92)))</f>
        <v>0</v>
      </c>
      <c r="D92">
        <f>SUMPRODUCT((MONTH(CHOOSE({1,2,3,4},TTSSKĐ!T92,TTSSKĐ!X92,TTSSKĐ!AB92,TTSSKĐ!AF92))=4)*(CHOOSE({1,2,3,4},TTSSKĐ!W92,TTSSKĐ!AA92,TTSSKĐ!AE92,TTSSKĐ!AI92)))</f>
        <v>0</v>
      </c>
      <c r="E92">
        <f>SUMPRODUCT((MONTH(CHOOSE({1,2,3,4},TTSSKĐ!T92,TTSSKĐ!X92,TTSSKĐ!AB92,TTSSKĐ!AF92))=5)*(CHOOSE({1,2,3,4},TTSSKĐ!W92,TTSSKĐ!AA92,TTSSKĐ!AE92,TTSSKĐ!AI92)))</f>
        <v>0</v>
      </c>
      <c r="F92">
        <f>SUMPRODUCT((MONTH(CHOOSE({1,2,3,4},TTSSKĐ!T92,TTSSKĐ!X92,TTSSKĐ!AB92,TTSSKĐ!AF92))=6)*(CHOOSE({1,2,3,4},TTSSKĐ!W92,TTSSKĐ!AA92,TTSSKĐ!AE92,TTSSKĐ!AI92)))</f>
        <v>0</v>
      </c>
      <c r="G92">
        <f>SUMPRODUCT((MONTH(CHOOSE({1,2,3,4},TTSSKĐ!T92,TTSSKĐ!X92,TTSSKĐ!AB92,TTSSKĐ!AF92))=7)*(CHOOSE({1,2,3,4},TTSSKĐ!W92,TTSSKĐ!AA92,TTSSKĐ!AE92,TTSSKĐ!AI92)))</f>
        <v>0</v>
      </c>
      <c r="H92">
        <f>SUMPRODUCT((MONTH(CHOOSE({1,2,3,4},TTSSKĐ!T92,TTSSKĐ!X92,TTSSKĐ!AB92,TTSSKĐ!AF92))=8)*(CHOOSE({1,2,3,4},TTSSKĐ!W92,TTSSKĐ!AA92,TTSSKĐ!AE92,TTSSKĐ!AI92)))</f>
        <v>0</v>
      </c>
      <c r="I92">
        <f>SUMPRODUCT((MONTH(CHOOSE({1,2,3,4},TTSSKĐ!T92,TTSSKĐ!X92,TTSSKĐ!AB92,TTSSKĐ!AF92))=9)*(CHOOSE({1,2,3,4},TTSSKĐ!W92,TTSSKĐ!AA92,TTSSKĐ!AE92,TTSSKĐ!AI92)))</f>
        <v>0</v>
      </c>
      <c r="J92">
        <f>SUMPRODUCT((MONTH(CHOOSE({1,2,3,4},TTSSKĐ!T92,TTSSKĐ!X92,TTSSKĐ!AB92,TTSSKĐ!AF92))=10)*(CHOOSE({1,2,3,4},TTSSKĐ!W92,TTSSKĐ!AA92,TTSSKĐ!AE92,TTSSKĐ!AI92)))</f>
        <v>0</v>
      </c>
      <c r="K92">
        <f>SUMPRODUCT((MONTH(CHOOSE({1,2,3,4},TTSSKĐ!T92,TTSSKĐ!X92,TTSSKĐ!AB92,TTSSKĐ!AF92))=11)*(CHOOSE({1,2,3,4},TTSSKĐ!W92,TTSSKĐ!AA92,TTSSKĐ!AE92,TTSSKĐ!AI92)))</f>
        <v>0</v>
      </c>
      <c r="L92">
        <f>SUMPRODUCT((MONTH(CHOOSE({1,2,3,4},TTSSKĐ!T92,TTSSKĐ!X92,TTSSKĐ!AB92,TTSSKĐ!AF92))=12)*(CHOOSE({1,2,3,4},TTSSKĐ!W92,TTSSKĐ!AA92,TTSSKĐ!AE92,TTSSKĐ!AI92)))</f>
        <v>0</v>
      </c>
    </row>
    <row r="93" spans="1:12">
      <c r="A93">
        <f>SUMPRODUCT((MONTH(CHOOSE({1,2,3,4},TTSSKĐ!T93,TTSSKĐ!X93,TTSSKĐ!AB93,TTSSKĐ!AF93))=1)*(CHOOSE({1,2,3,4},TTSSKĐ!W93,TTSSKĐ!AA93,TTSSKĐ!AE93,TTSSKĐ!AI93)))</f>
        <v>0</v>
      </c>
      <c r="B93">
        <f>SUMPRODUCT((MONTH(CHOOSE({1,2,3,4},TTSSKĐ!T93,TTSSKĐ!X93,TTSSKĐ!AB93,TTSSKĐ!AF93))=2)*(CHOOSE({1,2,3,4},TTSSKĐ!W93,TTSSKĐ!AA93,TTSSKĐ!AE93,TTSSKĐ!AI93)))</f>
        <v>0</v>
      </c>
      <c r="C93">
        <f>SUMPRODUCT((MONTH(CHOOSE({1,2,3,4},TTSSKĐ!T93,TTSSKĐ!X93,TTSSKĐ!AB93,TTSSKĐ!AF93))=3)*(CHOOSE({1,2,3,4},TTSSKĐ!W93,TTSSKĐ!AA93,TTSSKĐ!AE93,TTSSKĐ!AI93)))</f>
        <v>0</v>
      </c>
      <c r="D93">
        <f>SUMPRODUCT((MONTH(CHOOSE({1,2,3,4},TTSSKĐ!T93,TTSSKĐ!X93,TTSSKĐ!AB93,TTSSKĐ!AF93))=4)*(CHOOSE({1,2,3,4},TTSSKĐ!W93,TTSSKĐ!AA93,TTSSKĐ!AE93,TTSSKĐ!AI93)))</f>
        <v>0</v>
      </c>
      <c r="E93">
        <f>SUMPRODUCT((MONTH(CHOOSE({1,2,3,4},TTSSKĐ!T93,TTSSKĐ!X93,TTSSKĐ!AB93,TTSSKĐ!AF93))=5)*(CHOOSE({1,2,3,4},TTSSKĐ!W93,TTSSKĐ!AA93,TTSSKĐ!AE93,TTSSKĐ!AI93)))</f>
        <v>0</v>
      </c>
      <c r="F93">
        <f>SUMPRODUCT((MONTH(CHOOSE({1,2,3,4},TTSSKĐ!T93,TTSSKĐ!X93,TTSSKĐ!AB93,TTSSKĐ!AF93))=6)*(CHOOSE({1,2,3,4},TTSSKĐ!W93,TTSSKĐ!AA93,TTSSKĐ!AE93,TTSSKĐ!AI93)))</f>
        <v>0</v>
      </c>
      <c r="G93">
        <f>SUMPRODUCT((MONTH(CHOOSE({1,2,3,4},TTSSKĐ!T93,TTSSKĐ!X93,TTSSKĐ!AB93,TTSSKĐ!AF93))=7)*(CHOOSE({1,2,3,4},TTSSKĐ!W93,TTSSKĐ!AA93,TTSSKĐ!AE93,TTSSKĐ!AI93)))</f>
        <v>0</v>
      </c>
      <c r="H93">
        <f>SUMPRODUCT((MONTH(CHOOSE({1,2,3,4},TTSSKĐ!T93,TTSSKĐ!X93,TTSSKĐ!AB93,TTSSKĐ!AF93))=8)*(CHOOSE({1,2,3,4},TTSSKĐ!W93,TTSSKĐ!AA93,TTSSKĐ!AE93,TTSSKĐ!AI93)))</f>
        <v>0</v>
      </c>
      <c r="I93">
        <f>SUMPRODUCT((MONTH(CHOOSE({1,2,3,4},TTSSKĐ!T93,TTSSKĐ!X93,TTSSKĐ!AB93,TTSSKĐ!AF93))=9)*(CHOOSE({1,2,3,4},TTSSKĐ!W93,TTSSKĐ!AA93,TTSSKĐ!AE93,TTSSKĐ!AI93)))</f>
        <v>0</v>
      </c>
      <c r="J93">
        <f>SUMPRODUCT((MONTH(CHOOSE({1,2,3,4},TTSSKĐ!T93,TTSSKĐ!X93,TTSSKĐ!AB93,TTSSKĐ!AF93))=10)*(CHOOSE({1,2,3,4},TTSSKĐ!W93,TTSSKĐ!AA93,TTSSKĐ!AE93,TTSSKĐ!AI93)))</f>
        <v>0</v>
      </c>
      <c r="K93">
        <f>SUMPRODUCT((MONTH(CHOOSE({1,2,3,4},TTSSKĐ!T93,TTSSKĐ!X93,TTSSKĐ!AB93,TTSSKĐ!AF93))=11)*(CHOOSE({1,2,3,4},TTSSKĐ!W93,TTSSKĐ!AA93,TTSSKĐ!AE93,TTSSKĐ!AI93)))</f>
        <v>0</v>
      </c>
      <c r="L93">
        <f>SUMPRODUCT((MONTH(CHOOSE({1,2,3,4},TTSSKĐ!T93,TTSSKĐ!X93,TTSSKĐ!AB93,TTSSKĐ!AF93))=12)*(CHOOSE({1,2,3,4},TTSSKĐ!W93,TTSSKĐ!AA93,TTSSKĐ!AE93,TTSSKĐ!AI93)))</f>
        <v>0</v>
      </c>
    </row>
    <row r="94" spans="1:12">
      <c r="A94">
        <f>SUMPRODUCT((MONTH(CHOOSE({1,2,3,4},TTSSKĐ!T94,TTSSKĐ!X94,TTSSKĐ!AB94,TTSSKĐ!AF94))=1)*(CHOOSE({1,2,3,4},TTSSKĐ!W94,TTSSKĐ!AA94,TTSSKĐ!AE94,TTSSKĐ!AI94)))</f>
        <v>0</v>
      </c>
      <c r="B94">
        <f>SUMPRODUCT((MONTH(CHOOSE({1,2,3,4},TTSSKĐ!T94,TTSSKĐ!X94,TTSSKĐ!AB94,TTSSKĐ!AF94))=2)*(CHOOSE({1,2,3,4},TTSSKĐ!W94,TTSSKĐ!AA94,TTSSKĐ!AE94,TTSSKĐ!AI94)))</f>
        <v>0</v>
      </c>
      <c r="C94">
        <f>SUMPRODUCT((MONTH(CHOOSE({1,2,3,4},TTSSKĐ!T94,TTSSKĐ!X94,TTSSKĐ!AB94,TTSSKĐ!AF94))=3)*(CHOOSE({1,2,3,4},TTSSKĐ!W94,TTSSKĐ!AA94,TTSSKĐ!AE94,TTSSKĐ!AI94)))</f>
        <v>0</v>
      </c>
      <c r="D94">
        <f>SUMPRODUCT((MONTH(CHOOSE({1,2,3,4},TTSSKĐ!T94,TTSSKĐ!X94,TTSSKĐ!AB94,TTSSKĐ!AF94))=4)*(CHOOSE({1,2,3,4},TTSSKĐ!W94,TTSSKĐ!AA94,TTSSKĐ!AE94,TTSSKĐ!AI94)))</f>
        <v>0</v>
      </c>
      <c r="E94">
        <f>SUMPRODUCT((MONTH(CHOOSE({1,2,3,4},TTSSKĐ!T94,TTSSKĐ!X94,TTSSKĐ!AB94,TTSSKĐ!AF94))=5)*(CHOOSE({1,2,3,4},TTSSKĐ!W94,TTSSKĐ!AA94,TTSSKĐ!AE94,TTSSKĐ!AI94)))</f>
        <v>0</v>
      </c>
      <c r="F94">
        <f>SUMPRODUCT((MONTH(CHOOSE({1,2,3,4},TTSSKĐ!T94,TTSSKĐ!X94,TTSSKĐ!AB94,TTSSKĐ!AF94))=6)*(CHOOSE({1,2,3,4},TTSSKĐ!W94,TTSSKĐ!AA94,TTSSKĐ!AE94,TTSSKĐ!AI94)))</f>
        <v>0</v>
      </c>
      <c r="G94">
        <f>SUMPRODUCT((MONTH(CHOOSE({1,2,3,4},TTSSKĐ!T94,TTSSKĐ!X94,TTSSKĐ!AB94,TTSSKĐ!AF94))=7)*(CHOOSE({1,2,3,4},TTSSKĐ!W94,TTSSKĐ!AA94,TTSSKĐ!AE94,TTSSKĐ!AI94)))</f>
        <v>0</v>
      </c>
      <c r="H94">
        <f>SUMPRODUCT((MONTH(CHOOSE({1,2,3,4},TTSSKĐ!T94,TTSSKĐ!X94,TTSSKĐ!AB94,TTSSKĐ!AF94))=8)*(CHOOSE({1,2,3,4},TTSSKĐ!W94,TTSSKĐ!AA94,TTSSKĐ!AE94,TTSSKĐ!AI94)))</f>
        <v>0</v>
      </c>
      <c r="I94">
        <f>SUMPRODUCT((MONTH(CHOOSE({1,2,3,4},TTSSKĐ!T94,TTSSKĐ!X94,TTSSKĐ!AB94,TTSSKĐ!AF94))=9)*(CHOOSE({1,2,3,4},TTSSKĐ!W94,TTSSKĐ!AA94,TTSSKĐ!AE94,TTSSKĐ!AI94)))</f>
        <v>0</v>
      </c>
      <c r="J94">
        <f>SUMPRODUCT((MONTH(CHOOSE({1,2,3,4},TTSSKĐ!T94,TTSSKĐ!X94,TTSSKĐ!AB94,TTSSKĐ!AF94))=10)*(CHOOSE({1,2,3,4},TTSSKĐ!W94,TTSSKĐ!AA94,TTSSKĐ!AE94,TTSSKĐ!AI94)))</f>
        <v>0</v>
      </c>
      <c r="K94">
        <f>SUMPRODUCT((MONTH(CHOOSE({1,2,3,4},TTSSKĐ!T94,TTSSKĐ!X94,TTSSKĐ!AB94,TTSSKĐ!AF94))=11)*(CHOOSE({1,2,3,4},TTSSKĐ!W94,TTSSKĐ!AA94,TTSSKĐ!AE94,TTSSKĐ!AI94)))</f>
        <v>0</v>
      </c>
      <c r="L94">
        <f>SUMPRODUCT((MONTH(CHOOSE({1,2,3,4},TTSSKĐ!T94,TTSSKĐ!X94,TTSSKĐ!AB94,TTSSKĐ!AF94))=12)*(CHOOSE({1,2,3,4},TTSSKĐ!W94,TTSSKĐ!AA94,TTSSKĐ!AE94,TTSSKĐ!AI94)))</f>
        <v>0</v>
      </c>
    </row>
    <row r="95" spans="1:12">
      <c r="A95">
        <f>SUMPRODUCT((MONTH(CHOOSE({1,2,3,4},TTSSKĐ!T95,TTSSKĐ!X95,TTSSKĐ!AB95,TTSSKĐ!AF95))=1)*(CHOOSE({1,2,3,4},TTSSKĐ!W95,TTSSKĐ!AA95,TTSSKĐ!AE95,TTSSKĐ!AI95)))</f>
        <v>0</v>
      </c>
      <c r="B95">
        <f>SUMPRODUCT((MONTH(CHOOSE({1,2,3,4},TTSSKĐ!T95,TTSSKĐ!X95,TTSSKĐ!AB95,TTSSKĐ!AF95))=2)*(CHOOSE({1,2,3,4},TTSSKĐ!W95,TTSSKĐ!AA95,TTSSKĐ!AE95,TTSSKĐ!AI95)))</f>
        <v>0</v>
      </c>
      <c r="C95">
        <f>SUMPRODUCT((MONTH(CHOOSE({1,2,3,4},TTSSKĐ!T95,TTSSKĐ!X95,TTSSKĐ!AB95,TTSSKĐ!AF95))=3)*(CHOOSE({1,2,3,4},TTSSKĐ!W95,TTSSKĐ!AA95,TTSSKĐ!AE95,TTSSKĐ!AI95)))</f>
        <v>0</v>
      </c>
      <c r="D95">
        <f>SUMPRODUCT((MONTH(CHOOSE({1,2,3,4},TTSSKĐ!T95,TTSSKĐ!X95,TTSSKĐ!AB95,TTSSKĐ!AF95))=4)*(CHOOSE({1,2,3,4},TTSSKĐ!W95,TTSSKĐ!AA95,TTSSKĐ!AE95,TTSSKĐ!AI95)))</f>
        <v>0</v>
      </c>
      <c r="E95">
        <f>SUMPRODUCT((MONTH(CHOOSE({1,2,3,4},TTSSKĐ!T95,TTSSKĐ!X95,TTSSKĐ!AB95,TTSSKĐ!AF95))=5)*(CHOOSE({1,2,3,4},TTSSKĐ!W95,TTSSKĐ!AA95,TTSSKĐ!AE95,TTSSKĐ!AI95)))</f>
        <v>0</v>
      </c>
      <c r="F95">
        <f>SUMPRODUCT((MONTH(CHOOSE({1,2,3,4},TTSSKĐ!T95,TTSSKĐ!X95,TTSSKĐ!AB95,TTSSKĐ!AF95))=6)*(CHOOSE({1,2,3,4},TTSSKĐ!W95,TTSSKĐ!AA95,TTSSKĐ!AE95,TTSSKĐ!AI95)))</f>
        <v>0</v>
      </c>
      <c r="G95">
        <f>SUMPRODUCT((MONTH(CHOOSE({1,2,3,4},TTSSKĐ!T95,TTSSKĐ!X95,TTSSKĐ!AB95,TTSSKĐ!AF95))=7)*(CHOOSE({1,2,3,4},TTSSKĐ!W95,TTSSKĐ!AA95,TTSSKĐ!AE95,TTSSKĐ!AI95)))</f>
        <v>0</v>
      </c>
      <c r="H95">
        <f>SUMPRODUCT((MONTH(CHOOSE({1,2,3,4},TTSSKĐ!T95,TTSSKĐ!X95,TTSSKĐ!AB95,TTSSKĐ!AF95))=8)*(CHOOSE({1,2,3,4},TTSSKĐ!W95,TTSSKĐ!AA95,TTSSKĐ!AE95,TTSSKĐ!AI95)))</f>
        <v>0</v>
      </c>
      <c r="I95">
        <f>SUMPRODUCT((MONTH(CHOOSE({1,2,3,4},TTSSKĐ!T95,TTSSKĐ!X95,TTSSKĐ!AB95,TTSSKĐ!AF95))=9)*(CHOOSE({1,2,3,4},TTSSKĐ!W95,TTSSKĐ!AA95,TTSSKĐ!AE95,TTSSKĐ!AI95)))</f>
        <v>0</v>
      </c>
      <c r="J95">
        <f>SUMPRODUCT((MONTH(CHOOSE({1,2,3,4},TTSSKĐ!T95,TTSSKĐ!X95,TTSSKĐ!AB95,TTSSKĐ!AF95))=10)*(CHOOSE({1,2,3,4},TTSSKĐ!W95,TTSSKĐ!AA95,TTSSKĐ!AE95,TTSSKĐ!AI95)))</f>
        <v>0</v>
      </c>
      <c r="K95">
        <f>SUMPRODUCT((MONTH(CHOOSE({1,2,3,4},TTSSKĐ!T95,TTSSKĐ!X95,TTSSKĐ!AB95,TTSSKĐ!AF95))=11)*(CHOOSE({1,2,3,4},TTSSKĐ!W95,TTSSKĐ!AA95,TTSSKĐ!AE95,TTSSKĐ!AI95)))</f>
        <v>0</v>
      </c>
      <c r="L95">
        <f>SUMPRODUCT((MONTH(CHOOSE({1,2,3,4},TTSSKĐ!T95,TTSSKĐ!X95,TTSSKĐ!AB95,TTSSKĐ!AF95))=12)*(CHOOSE({1,2,3,4},TTSSKĐ!W95,TTSSKĐ!AA95,TTSSKĐ!AE95,TTSSKĐ!AI95)))</f>
        <v>0</v>
      </c>
    </row>
    <row r="96" spans="1:12">
      <c r="A96">
        <f>SUMPRODUCT((MONTH(CHOOSE({1,2,3,4},TTSSKĐ!T96,TTSSKĐ!X96,TTSSKĐ!AB96,TTSSKĐ!AF96))=1)*(CHOOSE({1,2,3,4},TTSSKĐ!W96,TTSSKĐ!AA96,TTSSKĐ!AE96,TTSSKĐ!AI96)))</f>
        <v>0</v>
      </c>
      <c r="B96">
        <f>SUMPRODUCT((MONTH(CHOOSE({1,2,3,4},TTSSKĐ!T96,TTSSKĐ!X96,TTSSKĐ!AB96,TTSSKĐ!AF96))=2)*(CHOOSE({1,2,3,4},TTSSKĐ!W96,TTSSKĐ!AA96,TTSSKĐ!AE96,TTSSKĐ!AI96)))</f>
        <v>0</v>
      </c>
      <c r="C96">
        <f>SUMPRODUCT((MONTH(CHOOSE({1,2,3,4},TTSSKĐ!T96,TTSSKĐ!X96,TTSSKĐ!AB96,TTSSKĐ!AF96))=3)*(CHOOSE({1,2,3,4},TTSSKĐ!W96,TTSSKĐ!AA96,TTSSKĐ!AE96,TTSSKĐ!AI96)))</f>
        <v>0</v>
      </c>
      <c r="D96">
        <f>SUMPRODUCT((MONTH(CHOOSE({1,2,3,4},TTSSKĐ!T96,TTSSKĐ!X96,TTSSKĐ!AB96,TTSSKĐ!AF96))=4)*(CHOOSE({1,2,3,4},TTSSKĐ!W96,TTSSKĐ!AA96,TTSSKĐ!AE96,TTSSKĐ!AI96)))</f>
        <v>0</v>
      </c>
      <c r="E96">
        <f>SUMPRODUCT((MONTH(CHOOSE({1,2,3,4},TTSSKĐ!T96,TTSSKĐ!X96,TTSSKĐ!AB96,TTSSKĐ!AF96))=5)*(CHOOSE({1,2,3,4},TTSSKĐ!W96,TTSSKĐ!AA96,TTSSKĐ!AE96,TTSSKĐ!AI96)))</f>
        <v>0</v>
      </c>
      <c r="F96">
        <f>SUMPRODUCT((MONTH(CHOOSE({1,2,3,4},TTSSKĐ!T96,TTSSKĐ!X96,TTSSKĐ!AB96,TTSSKĐ!AF96))=6)*(CHOOSE({1,2,3,4},TTSSKĐ!W96,TTSSKĐ!AA96,TTSSKĐ!AE96,TTSSKĐ!AI96)))</f>
        <v>0</v>
      </c>
      <c r="G96">
        <f>SUMPRODUCT((MONTH(CHOOSE({1,2,3,4},TTSSKĐ!T96,TTSSKĐ!X96,TTSSKĐ!AB96,TTSSKĐ!AF96))=7)*(CHOOSE({1,2,3,4},TTSSKĐ!W96,TTSSKĐ!AA96,TTSSKĐ!AE96,TTSSKĐ!AI96)))</f>
        <v>0</v>
      </c>
      <c r="H96">
        <f>SUMPRODUCT((MONTH(CHOOSE({1,2,3,4},TTSSKĐ!T96,TTSSKĐ!X96,TTSSKĐ!AB96,TTSSKĐ!AF96))=8)*(CHOOSE({1,2,3,4},TTSSKĐ!W96,TTSSKĐ!AA96,TTSSKĐ!AE96,TTSSKĐ!AI96)))</f>
        <v>0</v>
      </c>
      <c r="I96">
        <f>SUMPRODUCT((MONTH(CHOOSE({1,2,3,4},TTSSKĐ!T96,TTSSKĐ!X96,TTSSKĐ!AB96,TTSSKĐ!AF96))=9)*(CHOOSE({1,2,3,4},TTSSKĐ!W96,TTSSKĐ!AA96,TTSSKĐ!AE96,TTSSKĐ!AI96)))</f>
        <v>0</v>
      </c>
      <c r="J96">
        <f>SUMPRODUCT((MONTH(CHOOSE({1,2,3,4},TTSSKĐ!T96,TTSSKĐ!X96,TTSSKĐ!AB96,TTSSKĐ!AF96))=10)*(CHOOSE({1,2,3,4},TTSSKĐ!W96,TTSSKĐ!AA96,TTSSKĐ!AE96,TTSSKĐ!AI96)))</f>
        <v>0</v>
      </c>
      <c r="K96">
        <f>SUMPRODUCT((MONTH(CHOOSE({1,2,3,4},TTSSKĐ!T96,TTSSKĐ!X96,TTSSKĐ!AB96,TTSSKĐ!AF96))=11)*(CHOOSE({1,2,3,4},TTSSKĐ!W96,TTSSKĐ!AA96,TTSSKĐ!AE96,TTSSKĐ!AI96)))</f>
        <v>0</v>
      </c>
      <c r="L96">
        <f>SUMPRODUCT((MONTH(CHOOSE({1,2,3,4},TTSSKĐ!T96,TTSSKĐ!X96,TTSSKĐ!AB96,TTSSKĐ!AF96))=12)*(CHOOSE({1,2,3,4},TTSSKĐ!W96,TTSSKĐ!AA96,TTSSKĐ!AE96,TTSSKĐ!AI96)))</f>
        <v>0</v>
      </c>
    </row>
    <row r="97" spans="1:12">
      <c r="A97">
        <f>SUMPRODUCT((MONTH(CHOOSE({1,2,3,4},TTSSKĐ!T97,TTSSKĐ!X97,TTSSKĐ!AB97,TTSSKĐ!AF97))=1)*(CHOOSE({1,2,3,4},TTSSKĐ!W97,TTSSKĐ!AA97,TTSSKĐ!AE97,TTSSKĐ!AI97)))</f>
        <v>0</v>
      </c>
      <c r="B97">
        <f>SUMPRODUCT((MONTH(CHOOSE({1,2,3,4},TTSSKĐ!T97,TTSSKĐ!X97,TTSSKĐ!AB97,TTSSKĐ!AF97))=2)*(CHOOSE({1,2,3,4},TTSSKĐ!W97,TTSSKĐ!AA97,TTSSKĐ!AE97,TTSSKĐ!AI97)))</f>
        <v>0</v>
      </c>
      <c r="C97">
        <f>SUMPRODUCT((MONTH(CHOOSE({1,2,3,4},TTSSKĐ!T97,TTSSKĐ!X97,TTSSKĐ!AB97,TTSSKĐ!AF97))=3)*(CHOOSE({1,2,3,4},TTSSKĐ!W97,TTSSKĐ!AA97,TTSSKĐ!AE97,TTSSKĐ!AI97)))</f>
        <v>0</v>
      </c>
      <c r="D97">
        <f>SUMPRODUCT((MONTH(CHOOSE({1,2,3,4},TTSSKĐ!T97,TTSSKĐ!X97,TTSSKĐ!AB97,TTSSKĐ!AF97))=4)*(CHOOSE({1,2,3,4},TTSSKĐ!W97,TTSSKĐ!AA97,TTSSKĐ!AE97,TTSSKĐ!AI97)))</f>
        <v>0</v>
      </c>
      <c r="E97">
        <f>SUMPRODUCT((MONTH(CHOOSE({1,2,3,4},TTSSKĐ!T97,TTSSKĐ!X97,TTSSKĐ!AB97,TTSSKĐ!AF97))=5)*(CHOOSE({1,2,3,4},TTSSKĐ!W97,TTSSKĐ!AA97,TTSSKĐ!AE97,TTSSKĐ!AI97)))</f>
        <v>0</v>
      </c>
      <c r="F97">
        <f>SUMPRODUCT((MONTH(CHOOSE({1,2,3,4},TTSSKĐ!T97,TTSSKĐ!X97,TTSSKĐ!AB97,TTSSKĐ!AF97))=6)*(CHOOSE({1,2,3,4},TTSSKĐ!W97,TTSSKĐ!AA97,TTSSKĐ!AE97,TTSSKĐ!AI97)))</f>
        <v>0</v>
      </c>
      <c r="G97">
        <f>SUMPRODUCT((MONTH(CHOOSE({1,2,3,4},TTSSKĐ!T97,TTSSKĐ!X97,TTSSKĐ!AB97,TTSSKĐ!AF97))=7)*(CHOOSE({1,2,3,4},TTSSKĐ!W97,TTSSKĐ!AA97,TTSSKĐ!AE97,TTSSKĐ!AI97)))</f>
        <v>0</v>
      </c>
      <c r="H97">
        <f>SUMPRODUCT((MONTH(CHOOSE({1,2,3,4},TTSSKĐ!T97,TTSSKĐ!X97,TTSSKĐ!AB97,TTSSKĐ!AF97))=8)*(CHOOSE({1,2,3,4},TTSSKĐ!W97,TTSSKĐ!AA97,TTSSKĐ!AE97,TTSSKĐ!AI97)))</f>
        <v>0</v>
      </c>
      <c r="I97">
        <f>SUMPRODUCT((MONTH(CHOOSE({1,2,3,4},TTSSKĐ!T97,TTSSKĐ!X97,TTSSKĐ!AB97,TTSSKĐ!AF97))=9)*(CHOOSE({1,2,3,4},TTSSKĐ!W97,TTSSKĐ!AA97,TTSSKĐ!AE97,TTSSKĐ!AI97)))</f>
        <v>0</v>
      </c>
      <c r="J97">
        <f>SUMPRODUCT((MONTH(CHOOSE({1,2,3,4},TTSSKĐ!T97,TTSSKĐ!X97,TTSSKĐ!AB97,TTSSKĐ!AF97))=10)*(CHOOSE({1,2,3,4},TTSSKĐ!W97,TTSSKĐ!AA97,TTSSKĐ!AE97,TTSSKĐ!AI97)))</f>
        <v>0</v>
      </c>
      <c r="K97">
        <f>SUMPRODUCT((MONTH(CHOOSE({1,2,3,4},TTSSKĐ!T97,TTSSKĐ!X97,TTSSKĐ!AB97,TTSSKĐ!AF97))=11)*(CHOOSE({1,2,3,4},TTSSKĐ!W97,TTSSKĐ!AA97,TTSSKĐ!AE97,TTSSKĐ!AI97)))</f>
        <v>0</v>
      </c>
      <c r="L97">
        <f>SUMPRODUCT((MONTH(CHOOSE({1,2,3,4},TTSSKĐ!T97,TTSSKĐ!X97,TTSSKĐ!AB97,TTSSKĐ!AF97))=12)*(CHOOSE({1,2,3,4},TTSSKĐ!W97,TTSSKĐ!AA97,TTSSKĐ!AE97,TTSSKĐ!AI97)))</f>
        <v>0</v>
      </c>
    </row>
    <row r="98" spans="1:12">
      <c r="A98">
        <f>SUMPRODUCT((MONTH(CHOOSE({1,2,3,4},TTSSKĐ!T98,TTSSKĐ!X98,TTSSKĐ!AB98,TTSSKĐ!AF98))=1)*(CHOOSE({1,2,3,4},TTSSKĐ!W98,TTSSKĐ!AA98,TTSSKĐ!AE98,TTSSKĐ!AI98)))</f>
        <v>0</v>
      </c>
      <c r="B98">
        <f>SUMPRODUCT((MONTH(CHOOSE({1,2,3,4},TTSSKĐ!T98,TTSSKĐ!X98,TTSSKĐ!AB98,TTSSKĐ!AF98))=2)*(CHOOSE({1,2,3,4},TTSSKĐ!W98,TTSSKĐ!AA98,TTSSKĐ!AE98,TTSSKĐ!AI98)))</f>
        <v>0</v>
      </c>
      <c r="C98">
        <f>SUMPRODUCT((MONTH(CHOOSE({1,2,3,4},TTSSKĐ!T98,TTSSKĐ!X98,TTSSKĐ!AB98,TTSSKĐ!AF98))=3)*(CHOOSE({1,2,3,4},TTSSKĐ!W98,TTSSKĐ!AA98,TTSSKĐ!AE98,TTSSKĐ!AI98)))</f>
        <v>0</v>
      </c>
      <c r="D98">
        <f>SUMPRODUCT((MONTH(CHOOSE({1,2,3,4},TTSSKĐ!T98,TTSSKĐ!X98,TTSSKĐ!AB98,TTSSKĐ!AF98))=4)*(CHOOSE({1,2,3,4},TTSSKĐ!W98,TTSSKĐ!AA98,TTSSKĐ!AE98,TTSSKĐ!AI98)))</f>
        <v>0</v>
      </c>
      <c r="E98">
        <f>SUMPRODUCT((MONTH(CHOOSE({1,2,3,4},TTSSKĐ!T98,TTSSKĐ!X98,TTSSKĐ!AB98,TTSSKĐ!AF98))=5)*(CHOOSE({1,2,3,4},TTSSKĐ!W98,TTSSKĐ!AA98,TTSSKĐ!AE98,TTSSKĐ!AI98)))</f>
        <v>0</v>
      </c>
      <c r="F98">
        <f>SUMPRODUCT((MONTH(CHOOSE({1,2,3,4},TTSSKĐ!T98,TTSSKĐ!X98,TTSSKĐ!AB98,TTSSKĐ!AF98))=6)*(CHOOSE({1,2,3,4},TTSSKĐ!W98,TTSSKĐ!AA98,TTSSKĐ!AE98,TTSSKĐ!AI98)))</f>
        <v>0</v>
      </c>
      <c r="G98">
        <f>SUMPRODUCT((MONTH(CHOOSE({1,2,3,4},TTSSKĐ!T98,TTSSKĐ!X98,TTSSKĐ!AB98,TTSSKĐ!AF98))=7)*(CHOOSE({1,2,3,4},TTSSKĐ!W98,TTSSKĐ!AA98,TTSSKĐ!AE98,TTSSKĐ!AI98)))</f>
        <v>0</v>
      </c>
      <c r="H98">
        <f>SUMPRODUCT((MONTH(CHOOSE({1,2,3,4},TTSSKĐ!T98,TTSSKĐ!X98,TTSSKĐ!AB98,TTSSKĐ!AF98))=8)*(CHOOSE({1,2,3,4},TTSSKĐ!W98,TTSSKĐ!AA98,TTSSKĐ!AE98,TTSSKĐ!AI98)))</f>
        <v>0</v>
      </c>
      <c r="I98">
        <f>SUMPRODUCT((MONTH(CHOOSE({1,2,3,4},TTSSKĐ!T98,TTSSKĐ!X98,TTSSKĐ!AB98,TTSSKĐ!AF98))=9)*(CHOOSE({1,2,3,4},TTSSKĐ!W98,TTSSKĐ!AA98,TTSSKĐ!AE98,TTSSKĐ!AI98)))</f>
        <v>0</v>
      </c>
      <c r="J98">
        <f>SUMPRODUCT((MONTH(CHOOSE({1,2,3,4},TTSSKĐ!T98,TTSSKĐ!X98,TTSSKĐ!AB98,TTSSKĐ!AF98))=10)*(CHOOSE({1,2,3,4},TTSSKĐ!W98,TTSSKĐ!AA98,TTSSKĐ!AE98,TTSSKĐ!AI98)))</f>
        <v>0</v>
      </c>
      <c r="K98">
        <f>SUMPRODUCT((MONTH(CHOOSE({1,2,3,4},TTSSKĐ!T98,TTSSKĐ!X98,TTSSKĐ!AB98,TTSSKĐ!AF98))=11)*(CHOOSE({1,2,3,4},TTSSKĐ!W98,TTSSKĐ!AA98,TTSSKĐ!AE98,TTSSKĐ!AI98)))</f>
        <v>0</v>
      </c>
      <c r="L98">
        <f>SUMPRODUCT((MONTH(CHOOSE({1,2,3,4},TTSSKĐ!T98,TTSSKĐ!X98,TTSSKĐ!AB98,TTSSKĐ!AF98))=12)*(CHOOSE({1,2,3,4},TTSSKĐ!W98,TTSSKĐ!AA98,TTSSKĐ!AE98,TTSSKĐ!AI98)))</f>
        <v>0</v>
      </c>
    </row>
    <row r="99" spans="1:12">
      <c r="A99">
        <f>SUMPRODUCT((MONTH(CHOOSE({1,2,3,4},TTSSKĐ!T99,TTSSKĐ!X99,TTSSKĐ!AB99,TTSSKĐ!AF99))=1)*(CHOOSE({1,2,3,4},TTSSKĐ!W99,TTSSKĐ!AA99,TTSSKĐ!AE99,TTSSKĐ!AI99)))</f>
        <v>0</v>
      </c>
      <c r="B99">
        <f>SUMPRODUCT((MONTH(CHOOSE({1,2,3,4},TTSSKĐ!T99,TTSSKĐ!X99,TTSSKĐ!AB99,TTSSKĐ!AF99))=2)*(CHOOSE({1,2,3,4},TTSSKĐ!W99,TTSSKĐ!AA99,TTSSKĐ!AE99,TTSSKĐ!AI99)))</f>
        <v>0</v>
      </c>
      <c r="C99">
        <f>SUMPRODUCT((MONTH(CHOOSE({1,2,3,4},TTSSKĐ!T99,TTSSKĐ!X99,TTSSKĐ!AB99,TTSSKĐ!AF99))=3)*(CHOOSE({1,2,3,4},TTSSKĐ!W99,TTSSKĐ!AA99,TTSSKĐ!AE99,TTSSKĐ!AI99)))</f>
        <v>0</v>
      </c>
      <c r="D99">
        <f>SUMPRODUCT((MONTH(CHOOSE({1,2,3,4},TTSSKĐ!T99,TTSSKĐ!X99,TTSSKĐ!AB99,TTSSKĐ!AF99))=4)*(CHOOSE({1,2,3,4},TTSSKĐ!W99,TTSSKĐ!AA99,TTSSKĐ!AE99,TTSSKĐ!AI99)))</f>
        <v>0</v>
      </c>
      <c r="E99">
        <f>SUMPRODUCT((MONTH(CHOOSE({1,2,3,4},TTSSKĐ!T99,TTSSKĐ!X99,TTSSKĐ!AB99,TTSSKĐ!AF99))=5)*(CHOOSE({1,2,3,4},TTSSKĐ!W99,TTSSKĐ!AA99,TTSSKĐ!AE99,TTSSKĐ!AI99)))</f>
        <v>0</v>
      </c>
      <c r="F99">
        <f>SUMPRODUCT((MONTH(CHOOSE({1,2,3,4},TTSSKĐ!T99,TTSSKĐ!X99,TTSSKĐ!AB99,TTSSKĐ!AF99))=6)*(CHOOSE({1,2,3,4},TTSSKĐ!W99,TTSSKĐ!AA99,TTSSKĐ!AE99,TTSSKĐ!AI99)))</f>
        <v>0</v>
      </c>
      <c r="G99">
        <f>SUMPRODUCT((MONTH(CHOOSE({1,2,3,4},TTSSKĐ!T99,TTSSKĐ!X99,TTSSKĐ!AB99,TTSSKĐ!AF99))=7)*(CHOOSE({1,2,3,4},TTSSKĐ!W99,TTSSKĐ!AA99,TTSSKĐ!AE99,TTSSKĐ!AI99)))</f>
        <v>0</v>
      </c>
      <c r="H99">
        <f>SUMPRODUCT((MONTH(CHOOSE({1,2,3,4},TTSSKĐ!T99,TTSSKĐ!X99,TTSSKĐ!AB99,TTSSKĐ!AF99))=8)*(CHOOSE({1,2,3,4},TTSSKĐ!W99,TTSSKĐ!AA99,TTSSKĐ!AE99,TTSSKĐ!AI99)))</f>
        <v>0</v>
      </c>
      <c r="I99">
        <f>SUMPRODUCT((MONTH(CHOOSE({1,2,3,4},TTSSKĐ!T99,TTSSKĐ!X99,TTSSKĐ!AB99,TTSSKĐ!AF99))=9)*(CHOOSE({1,2,3,4},TTSSKĐ!W99,TTSSKĐ!AA99,TTSSKĐ!AE99,TTSSKĐ!AI99)))</f>
        <v>0</v>
      </c>
      <c r="J99">
        <f>SUMPRODUCT((MONTH(CHOOSE({1,2,3,4},TTSSKĐ!T99,TTSSKĐ!X99,TTSSKĐ!AB99,TTSSKĐ!AF99))=10)*(CHOOSE({1,2,3,4},TTSSKĐ!W99,TTSSKĐ!AA99,TTSSKĐ!AE99,TTSSKĐ!AI99)))</f>
        <v>0</v>
      </c>
      <c r="K99">
        <f>SUMPRODUCT((MONTH(CHOOSE({1,2,3,4},TTSSKĐ!T99,TTSSKĐ!X99,TTSSKĐ!AB99,TTSSKĐ!AF99))=11)*(CHOOSE({1,2,3,4},TTSSKĐ!W99,TTSSKĐ!AA99,TTSSKĐ!AE99,TTSSKĐ!AI99)))</f>
        <v>0</v>
      </c>
      <c r="L99">
        <f>SUMPRODUCT((MONTH(CHOOSE({1,2,3,4},TTSSKĐ!T99,TTSSKĐ!X99,TTSSKĐ!AB99,TTSSKĐ!AF99))=12)*(CHOOSE({1,2,3,4},TTSSKĐ!W99,TTSSKĐ!AA99,TTSSKĐ!AE99,TTSSKĐ!AI99)))</f>
        <v>0</v>
      </c>
    </row>
    <row r="100" spans="1:12">
      <c r="A100">
        <f>SUMPRODUCT((MONTH(CHOOSE({1,2,3,4},TTSSKĐ!T100,TTSSKĐ!X100,TTSSKĐ!AB100,TTSSKĐ!AF100))=1)*(CHOOSE({1,2,3,4},TTSSKĐ!W100,TTSSKĐ!AA100,TTSSKĐ!AE100,TTSSKĐ!AI100)))</f>
        <v>0</v>
      </c>
      <c r="B100">
        <f>SUMPRODUCT((MONTH(CHOOSE({1,2,3,4},TTSSKĐ!T100,TTSSKĐ!X100,TTSSKĐ!AB100,TTSSKĐ!AF100))=2)*(CHOOSE({1,2,3,4},TTSSKĐ!W100,TTSSKĐ!AA100,TTSSKĐ!AE100,TTSSKĐ!AI100)))</f>
        <v>0</v>
      </c>
      <c r="C100">
        <f>SUMPRODUCT((MONTH(CHOOSE({1,2,3,4},TTSSKĐ!T100,TTSSKĐ!X100,TTSSKĐ!AB100,TTSSKĐ!AF100))=3)*(CHOOSE({1,2,3,4},TTSSKĐ!W100,TTSSKĐ!AA100,TTSSKĐ!AE100,TTSSKĐ!AI100)))</f>
        <v>0</v>
      </c>
      <c r="D100">
        <f>SUMPRODUCT((MONTH(CHOOSE({1,2,3,4},TTSSKĐ!T100,TTSSKĐ!X100,TTSSKĐ!AB100,TTSSKĐ!AF100))=4)*(CHOOSE({1,2,3,4},TTSSKĐ!W100,TTSSKĐ!AA100,TTSSKĐ!AE100,TTSSKĐ!AI100)))</f>
        <v>0</v>
      </c>
      <c r="E100">
        <f>SUMPRODUCT((MONTH(CHOOSE({1,2,3,4},TTSSKĐ!T100,TTSSKĐ!X100,TTSSKĐ!AB100,TTSSKĐ!AF100))=5)*(CHOOSE({1,2,3,4},TTSSKĐ!W100,TTSSKĐ!AA100,TTSSKĐ!AE100,TTSSKĐ!AI100)))</f>
        <v>0</v>
      </c>
      <c r="F100">
        <f>SUMPRODUCT((MONTH(CHOOSE({1,2,3,4},TTSSKĐ!T100,TTSSKĐ!X100,TTSSKĐ!AB100,TTSSKĐ!AF100))=6)*(CHOOSE({1,2,3,4},TTSSKĐ!W100,TTSSKĐ!AA100,TTSSKĐ!AE100,TTSSKĐ!AI100)))</f>
        <v>0</v>
      </c>
      <c r="G100">
        <f>SUMPRODUCT((MONTH(CHOOSE({1,2,3,4},TTSSKĐ!T100,TTSSKĐ!X100,TTSSKĐ!AB100,TTSSKĐ!AF100))=7)*(CHOOSE({1,2,3,4},TTSSKĐ!W100,TTSSKĐ!AA100,TTSSKĐ!AE100,TTSSKĐ!AI100)))</f>
        <v>0</v>
      </c>
      <c r="H100">
        <f>SUMPRODUCT((MONTH(CHOOSE({1,2,3,4},TTSSKĐ!T100,TTSSKĐ!X100,TTSSKĐ!AB100,TTSSKĐ!AF100))=8)*(CHOOSE({1,2,3,4},TTSSKĐ!W100,TTSSKĐ!AA100,TTSSKĐ!AE100,TTSSKĐ!AI100)))</f>
        <v>0</v>
      </c>
      <c r="I100">
        <f>SUMPRODUCT((MONTH(CHOOSE({1,2,3,4},TTSSKĐ!T100,TTSSKĐ!X100,TTSSKĐ!AB100,TTSSKĐ!AF100))=9)*(CHOOSE({1,2,3,4},TTSSKĐ!W100,TTSSKĐ!AA100,TTSSKĐ!AE100,TTSSKĐ!AI100)))</f>
        <v>0</v>
      </c>
      <c r="J100">
        <f>SUMPRODUCT((MONTH(CHOOSE({1,2,3,4},TTSSKĐ!T100,TTSSKĐ!X100,TTSSKĐ!AB100,TTSSKĐ!AF100))=10)*(CHOOSE({1,2,3,4},TTSSKĐ!W100,TTSSKĐ!AA100,TTSSKĐ!AE100,TTSSKĐ!AI100)))</f>
        <v>0</v>
      </c>
      <c r="K100">
        <f>SUMPRODUCT((MONTH(CHOOSE({1,2,3,4},TTSSKĐ!T100,TTSSKĐ!X100,TTSSKĐ!AB100,TTSSKĐ!AF100))=11)*(CHOOSE({1,2,3,4},TTSSKĐ!W100,TTSSKĐ!AA100,TTSSKĐ!AE100,TTSSKĐ!AI100)))</f>
        <v>0</v>
      </c>
      <c r="L100">
        <f>SUMPRODUCT((MONTH(CHOOSE({1,2,3,4},TTSSKĐ!T100,TTSSKĐ!X100,TTSSKĐ!AB100,TTSSKĐ!AF100))=12)*(CHOOSE({1,2,3,4},TTSSKĐ!W100,TTSSKĐ!AA100,TTSSKĐ!AE100,TTSSKĐ!AI100)))</f>
        <v>0</v>
      </c>
    </row>
    <row r="101" spans="1:12">
      <c r="A101">
        <f>SUMPRODUCT((MONTH(CHOOSE({1,2,3,4},TTSSKĐ!T101,TTSSKĐ!X101,TTSSKĐ!AB101,TTSSKĐ!AF101))=1)*(CHOOSE({1,2,3,4},TTSSKĐ!W101,TTSSKĐ!AA101,TTSSKĐ!AE101,TTSSKĐ!AI101)))</f>
        <v>0</v>
      </c>
      <c r="B101">
        <f>SUMPRODUCT((MONTH(CHOOSE({1,2,3,4},TTSSKĐ!T101,TTSSKĐ!X101,TTSSKĐ!AB101,TTSSKĐ!AF101))=2)*(CHOOSE({1,2,3,4},TTSSKĐ!W101,TTSSKĐ!AA101,TTSSKĐ!AE101,TTSSKĐ!AI101)))</f>
        <v>0</v>
      </c>
      <c r="C101">
        <f>SUMPRODUCT((MONTH(CHOOSE({1,2,3,4},TTSSKĐ!T101,TTSSKĐ!X101,TTSSKĐ!AB101,TTSSKĐ!AF101))=3)*(CHOOSE({1,2,3,4},TTSSKĐ!W101,TTSSKĐ!AA101,TTSSKĐ!AE101,TTSSKĐ!AI101)))</f>
        <v>0</v>
      </c>
      <c r="D101">
        <f>SUMPRODUCT((MONTH(CHOOSE({1,2,3,4},TTSSKĐ!T101,TTSSKĐ!X101,TTSSKĐ!AB101,TTSSKĐ!AF101))=4)*(CHOOSE({1,2,3,4},TTSSKĐ!W101,TTSSKĐ!AA101,TTSSKĐ!AE101,TTSSKĐ!AI101)))</f>
        <v>0</v>
      </c>
      <c r="E101">
        <f>SUMPRODUCT((MONTH(CHOOSE({1,2,3,4},TTSSKĐ!T101,TTSSKĐ!X101,TTSSKĐ!AB101,TTSSKĐ!AF101))=5)*(CHOOSE({1,2,3,4},TTSSKĐ!W101,TTSSKĐ!AA101,TTSSKĐ!AE101,TTSSKĐ!AI101)))</f>
        <v>0</v>
      </c>
      <c r="F101">
        <f>SUMPRODUCT((MONTH(CHOOSE({1,2,3,4},TTSSKĐ!T101,TTSSKĐ!X101,TTSSKĐ!AB101,TTSSKĐ!AF101))=6)*(CHOOSE({1,2,3,4},TTSSKĐ!W101,TTSSKĐ!AA101,TTSSKĐ!AE101,TTSSKĐ!AI101)))</f>
        <v>0</v>
      </c>
      <c r="G101">
        <f>SUMPRODUCT((MONTH(CHOOSE({1,2,3,4},TTSSKĐ!T101,TTSSKĐ!X101,TTSSKĐ!AB101,TTSSKĐ!AF101))=7)*(CHOOSE({1,2,3,4},TTSSKĐ!W101,TTSSKĐ!AA101,TTSSKĐ!AE101,TTSSKĐ!AI101)))</f>
        <v>0</v>
      </c>
      <c r="H101">
        <f>SUMPRODUCT((MONTH(CHOOSE({1,2,3,4},TTSSKĐ!T101,TTSSKĐ!X101,TTSSKĐ!AB101,TTSSKĐ!AF101))=8)*(CHOOSE({1,2,3,4},TTSSKĐ!W101,TTSSKĐ!AA101,TTSSKĐ!AE101,TTSSKĐ!AI101)))</f>
        <v>0</v>
      </c>
      <c r="I101">
        <f>SUMPRODUCT((MONTH(CHOOSE({1,2,3,4},TTSSKĐ!T101,TTSSKĐ!X101,TTSSKĐ!AB101,TTSSKĐ!AF101))=9)*(CHOOSE({1,2,3,4},TTSSKĐ!W101,TTSSKĐ!AA101,TTSSKĐ!AE101,TTSSKĐ!AI101)))</f>
        <v>0</v>
      </c>
      <c r="J101">
        <f>SUMPRODUCT((MONTH(CHOOSE({1,2,3,4},TTSSKĐ!T101,TTSSKĐ!X101,TTSSKĐ!AB101,TTSSKĐ!AF101))=10)*(CHOOSE({1,2,3,4},TTSSKĐ!W101,TTSSKĐ!AA101,TTSSKĐ!AE101,TTSSKĐ!AI101)))</f>
        <v>0</v>
      </c>
      <c r="K101">
        <f>SUMPRODUCT((MONTH(CHOOSE({1,2,3,4},TTSSKĐ!T101,TTSSKĐ!X101,TTSSKĐ!AB101,TTSSKĐ!AF101))=11)*(CHOOSE({1,2,3,4},TTSSKĐ!W101,TTSSKĐ!AA101,TTSSKĐ!AE101,TTSSKĐ!AI101)))</f>
        <v>0</v>
      </c>
      <c r="L101">
        <f>SUMPRODUCT((MONTH(CHOOSE({1,2,3,4},TTSSKĐ!T101,TTSSKĐ!X101,TTSSKĐ!AB101,TTSSKĐ!AF101))=12)*(CHOOSE({1,2,3,4},TTSSKĐ!W101,TTSSKĐ!AA101,TTSSKĐ!AE101,TTSSKĐ!AI101)))</f>
        <v>0</v>
      </c>
    </row>
    <row r="102" spans="1:12">
      <c r="A102">
        <f>SUMPRODUCT((MONTH(CHOOSE({1,2,3,4},TTSSKĐ!T102,TTSSKĐ!X102,TTSSKĐ!AB102,TTSSKĐ!AF102))=1)*(CHOOSE({1,2,3,4},TTSSKĐ!W102,TTSSKĐ!AA102,TTSSKĐ!AE102,TTSSKĐ!AI102)))</f>
        <v>0</v>
      </c>
      <c r="B102">
        <f>SUMPRODUCT((MONTH(CHOOSE({1,2,3,4},TTSSKĐ!T102,TTSSKĐ!X102,TTSSKĐ!AB102,TTSSKĐ!AF102))=2)*(CHOOSE({1,2,3,4},TTSSKĐ!W102,TTSSKĐ!AA102,TTSSKĐ!AE102,TTSSKĐ!AI102)))</f>
        <v>0</v>
      </c>
      <c r="C102">
        <f>SUMPRODUCT((MONTH(CHOOSE({1,2,3,4},TTSSKĐ!T102,TTSSKĐ!X102,TTSSKĐ!AB102,TTSSKĐ!AF102))=3)*(CHOOSE({1,2,3,4},TTSSKĐ!W102,TTSSKĐ!AA102,TTSSKĐ!AE102,TTSSKĐ!AI102)))</f>
        <v>0</v>
      </c>
      <c r="D102">
        <f>SUMPRODUCT((MONTH(CHOOSE({1,2,3,4},TTSSKĐ!T102,TTSSKĐ!X102,TTSSKĐ!AB102,TTSSKĐ!AF102))=4)*(CHOOSE({1,2,3,4},TTSSKĐ!W102,TTSSKĐ!AA102,TTSSKĐ!AE102,TTSSKĐ!AI102)))</f>
        <v>0</v>
      </c>
      <c r="E102">
        <f>SUMPRODUCT((MONTH(CHOOSE({1,2,3,4},TTSSKĐ!T102,TTSSKĐ!X102,TTSSKĐ!AB102,TTSSKĐ!AF102))=5)*(CHOOSE({1,2,3,4},TTSSKĐ!W102,TTSSKĐ!AA102,TTSSKĐ!AE102,TTSSKĐ!AI102)))</f>
        <v>0</v>
      </c>
      <c r="F102">
        <f>SUMPRODUCT((MONTH(CHOOSE({1,2,3,4},TTSSKĐ!T102,TTSSKĐ!X102,TTSSKĐ!AB102,TTSSKĐ!AF102))=6)*(CHOOSE({1,2,3,4},TTSSKĐ!W102,TTSSKĐ!AA102,TTSSKĐ!AE102,TTSSKĐ!AI102)))</f>
        <v>0</v>
      </c>
      <c r="G102">
        <f>SUMPRODUCT((MONTH(CHOOSE({1,2,3,4},TTSSKĐ!T102,TTSSKĐ!X102,TTSSKĐ!AB102,TTSSKĐ!AF102))=7)*(CHOOSE({1,2,3,4},TTSSKĐ!W102,TTSSKĐ!AA102,TTSSKĐ!AE102,TTSSKĐ!AI102)))</f>
        <v>0</v>
      </c>
      <c r="H102">
        <f>SUMPRODUCT((MONTH(CHOOSE({1,2,3,4},TTSSKĐ!T102,TTSSKĐ!X102,TTSSKĐ!AB102,TTSSKĐ!AF102))=8)*(CHOOSE({1,2,3,4},TTSSKĐ!W102,TTSSKĐ!AA102,TTSSKĐ!AE102,TTSSKĐ!AI102)))</f>
        <v>0</v>
      </c>
      <c r="I102">
        <f>SUMPRODUCT((MONTH(CHOOSE({1,2,3,4},TTSSKĐ!T102,TTSSKĐ!X102,TTSSKĐ!AB102,TTSSKĐ!AF102))=9)*(CHOOSE({1,2,3,4},TTSSKĐ!W102,TTSSKĐ!AA102,TTSSKĐ!AE102,TTSSKĐ!AI102)))</f>
        <v>0</v>
      </c>
      <c r="J102">
        <f>SUMPRODUCT((MONTH(CHOOSE({1,2,3,4},TTSSKĐ!T102,TTSSKĐ!X102,TTSSKĐ!AB102,TTSSKĐ!AF102))=10)*(CHOOSE({1,2,3,4},TTSSKĐ!W102,TTSSKĐ!AA102,TTSSKĐ!AE102,TTSSKĐ!AI102)))</f>
        <v>0</v>
      </c>
      <c r="K102">
        <f>SUMPRODUCT((MONTH(CHOOSE({1,2,3,4},TTSSKĐ!T102,TTSSKĐ!X102,TTSSKĐ!AB102,TTSSKĐ!AF102))=11)*(CHOOSE({1,2,3,4},TTSSKĐ!W102,TTSSKĐ!AA102,TTSSKĐ!AE102,TTSSKĐ!AI102)))</f>
        <v>0</v>
      </c>
      <c r="L102">
        <f>SUMPRODUCT((MONTH(CHOOSE({1,2,3,4},TTSSKĐ!T102,TTSSKĐ!X102,TTSSKĐ!AB102,TTSSKĐ!AF102))=12)*(CHOOSE({1,2,3,4},TTSSKĐ!W102,TTSSKĐ!AA102,TTSSKĐ!AE102,TTSSKĐ!AI102)))</f>
        <v>0</v>
      </c>
    </row>
    <row r="103" spans="1:12">
      <c r="A103">
        <f>SUMPRODUCT((MONTH(CHOOSE({1,2,3,4},TTSSKĐ!T103,TTSSKĐ!X103,TTSSKĐ!AB103,TTSSKĐ!AF103))=1)*(CHOOSE({1,2,3,4},TTSSKĐ!W103,TTSSKĐ!AA103,TTSSKĐ!AE103,TTSSKĐ!AI103)))</f>
        <v>0</v>
      </c>
      <c r="B103">
        <f>SUMPRODUCT((MONTH(CHOOSE({1,2,3,4},TTSSKĐ!T103,TTSSKĐ!X103,TTSSKĐ!AB103,TTSSKĐ!AF103))=2)*(CHOOSE({1,2,3,4},TTSSKĐ!W103,TTSSKĐ!AA103,TTSSKĐ!AE103,TTSSKĐ!AI103)))</f>
        <v>0</v>
      </c>
      <c r="C103">
        <f>SUMPRODUCT((MONTH(CHOOSE({1,2,3,4},TTSSKĐ!T103,TTSSKĐ!X103,TTSSKĐ!AB103,TTSSKĐ!AF103))=3)*(CHOOSE({1,2,3,4},TTSSKĐ!W103,TTSSKĐ!AA103,TTSSKĐ!AE103,TTSSKĐ!AI103)))</f>
        <v>0</v>
      </c>
      <c r="D103">
        <f>SUMPRODUCT((MONTH(CHOOSE({1,2,3,4},TTSSKĐ!T103,TTSSKĐ!X103,TTSSKĐ!AB103,TTSSKĐ!AF103))=4)*(CHOOSE({1,2,3,4},TTSSKĐ!W103,TTSSKĐ!AA103,TTSSKĐ!AE103,TTSSKĐ!AI103)))</f>
        <v>0</v>
      </c>
      <c r="E103">
        <f>SUMPRODUCT((MONTH(CHOOSE({1,2,3,4},TTSSKĐ!T103,TTSSKĐ!X103,TTSSKĐ!AB103,TTSSKĐ!AF103))=5)*(CHOOSE({1,2,3,4},TTSSKĐ!W103,TTSSKĐ!AA103,TTSSKĐ!AE103,TTSSKĐ!AI103)))</f>
        <v>0</v>
      </c>
      <c r="F103">
        <f>SUMPRODUCT((MONTH(CHOOSE({1,2,3,4},TTSSKĐ!T103,TTSSKĐ!X103,TTSSKĐ!AB103,TTSSKĐ!AF103))=6)*(CHOOSE({1,2,3,4},TTSSKĐ!W103,TTSSKĐ!AA103,TTSSKĐ!AE103,TTSSKĐ!AI103)))</f>
        <v>0</v>
      </c>
      <c r="G103">
        <f>SUMPRODUCT((MONTH(CHOOSE({1,2,3,4},TTSSKĐ!T103,TTSSKĐ!X103,TTSSKĐ!AB103,TTSSKĐ!AF103))=7)*(CHOOSE({1,2,3,4},TTSSKĐ!W103,TTSSKĐ!AA103,TTSSKĐ!AE103,TTSSKĐ!AI103)))</f>
        <v>0</v>
      </c>
      <c r="H103">
        <f>SUMPRODUCT((MONTH(CHOOSE({1,2,3,4},TTSSKĐ!T103,TTSSKĐ!X103,TTSSKĐ!AB103,TTSSKĐ!AF103))=8)*(CHOOSE({1,2,3,4},TTSSKĐ!W103,TTSSKĐ!AA103,TTSSKĐ!AE103,TTSSKĐ!AI103)))</f>
        <v>0</v>
      </c>
      <c r="I103">
        <f>SUMPRODUCT((MONTH(CHOOSE({1,2,3,4},TTSSKĐ!T103,TTSSKĐ!X103,TTSSKĐ!AB103,TTSSKĐ!AF103))=9)*(CHOOSE({1,2,3,4},TTSSKĐ!W103,TTSSKĐ!AA103,TTSSKĐ!AE103,TTSSKĐ!AI103)))</f>
        <v>0</v>
      </c>
      <c r="J103">
        <f>SUMPRODUCT((MONTH(CHOOSE({1,2,3,4},TTSSKĐ!T103,TTSSKĐ!X103,TTSSKĐ!AB103,TTSSKĐ!AF103))=10)*(CHOOSE({1,2,3,4},TTSSKĐ!W103,TTSSKĐ!AA103,TTSSKĐ!AE103,TTSSKĐ!AI103)))</f>
        <v>0</v>
      </c>
      <c r="K103">
        <f>SUMPRODUCT((MONTH(CHOOSE({1,2,3,4},TTSSKĐ!T103,TTSSKĐ!X103,TTSSKĐ!AB103,TTSSKĐ!AF103))=11)*(CHOOSE({1,2,3,4},TTSSKĐ!W103,TTSSKĐ!AA103,TTSSKĐ!AE103,TTSSKĐ!AI103)))</f>
        <v>0</v>
      </c>
      <c r="L103">
        <f>SUMPRODUCT((MONTH(CHOOSE({1,2,3,4},TTSSKĐ!T103,TTSSKĐ!X103,TTSSKĐ!AB103,TTSSKĐ!AF103))=12)*(CHOOSE({1,2,3,4},TTSSKĐ!W103,TTSSKĐ!AA103,TTSSKĐ!AE103,TTSSKĐ!AI103)))</f>
        <v>0</v>
      </c>
    </row>
    <row r="104" spans="1:12">
      <c r="A104">
        <f>SUMPRODUCT((MONTH(CHOOSE({1,2,3,4},TTSSKĐ!T104,TTSSKĐ!X104,TTSSKĐ!AB104,TTSSKĐ!AF104))=1)*(CHOOSE({1,2,3,4},TTSSKĐ!W104,TTSSKĐ!AA104,TTSSKĐ!AE104,TTSSKĐ!AI104)))</f>
        <v>0</v>
      </c>
      <c r="B104">
        <f>SUMPRODUCT((MONTH(CHOOSE({1,2,3,4},TTSSKĐ!T104,TTSSKĐ!X104,TTSSKĐ!AB104,TTSSKĐ!AF104))=2)*(CHOOSE({1,2,3,4},TTSSKĐ!W104,TTSSKĐ!AA104,TTSSKĐ!AE104,TTSSKĐ!AI104)))</f>
        <v>0</v>
      </c>
      <c r="C104">
        <f>SUMPRODUCT((MONTH(CHOOSE({1,2,3,4},TTSSKĐ!T104,TTSSKĐ!X104,TTSSKĐ!AB104,TTSSKĐ!AF104))=3)*(CHOOSE({1,2,3,4},TTSSKĐ!W104,TTSSKĐ!AA104,TTSSKĐ!AE104,TTSSKĐ!AI104)))</f>
        <v>0</v>
      </c>
      <c r="D104">
        <f>SUMPRODUCT((MONTH(CHOOSE({1,2,3,4},TTSSKĐ!T104,TTSSKĐ!X104,TTSSKĐ!AB104,TTSSKĐ!AF104))=4)*(CHOOSE({1,2,3,4},TTSSKĐ!W104,TTSSKĐ!AA104,TTSSKĐ!AE104,TTSSKĐ!AI104)))</f>
        <v>0</v>
      </c>
      <c r="E104">
        <f>SUMPRODUCT((MONTH(CHOOSE({1,2,3,4},TTSSKĐ!T104,TTSSKĐ!X104,TTSSKĐ!AB104,TTSSKĐ!AF104))=5)*(CHOOSE({1,2,3,4},TTSSKĐ!W104,TTSSKĐ!AA104,TTSSKĐ!AE104,TTSSKĐ!AI104)))</f>
        <v>0</v>
      </c>
      <c r="F104">
        <f>SUMPRODUCT((MONTH(CHOOSE({1,2,3,4},TTSSKĐ!T104,TTSSKĐ!X104,TTSSKĐ!AB104,TTSSKĐ!AF104))=6)*(CHOOSE({1,2,3,4},TTSSKĐ!W104,TTSSKĐ!AA104,TTSSKĐ!AE104,TTSSKĐ!AI104)))</f>
        <v>0</v>
      </c>
      <c r="G104">
        <f>SUMPRODUCT((MONTH(CHOOSE({1,2,3,4},TTSSKĐ!T104,TTSSKĐ!X104,TTSSKĐ!AB104,TTSSKĐ!AF104))=7)*(CHOOSE({1,2,3,4},TTSSKĐ!W104,TTSSKĐ!AA104,TTSSKĐ!AE104,TTSSKĐ!AI104)))</f>
        <v>0</v>
      </c>
      <c r="H104">
        <f>SUMPRODUCT((MONTH(CHOOSE({1,2,3,4},TTSSKĐ!T104,TTSSKĐ!X104,TTSSKĐ!AB104,TTSSKĐ!AF104))=8)*(CHOOSE({1,2,3,4},TTSSKĐ!W104,TTSSKĐ!AA104,TTSSKĐ!AE104,TTSSKĐ!AI104)))</f>
        <v>0</v>
      </c>
      <c r="I104">
        <f>SUMPRODUCT((MONTH(CHOOSE({1,2,3,4},TTSSKĐ!T104,TTSSKĐ!X104,TTSSKĐ!AB104,TTSSKĐ!AF104))=9)*(CHOOSE({1,2,3,4},TTSSKĐ!W104,TTSSKĐ!AA104,TTSSKĐ!AE104,TTSSKĐ!AI104)))</f>
        <v>0</v>
      </c>
      <c r="J104">
        <f>SUMPRODUCT((MONTH(CHOOSE({1,2,3,4},TTSSKĐ!T104,TTSSKĐ!X104,TTSSKĐ!AB104,TTSSKĐ!AF104))=10)*(CHOOSE({1,2,3,4},TTSSKĐ!W104,TTSSKĐ!AA104,TTSSKĐ!AE104,TTSSKĐ!AI104)))</f>
        <v>0</v>
      </c>
      <c r="K104">
        <f>SUMPRODUCT((MONTH(CHOOSE({1,2,3,4},TTSSKĐ!T104,TTSSKĐ!X104,TTSSKĐ!AB104,TTSSKĐ!AF104))=11)*(CHOOSE({1,2,3,4},TTSSKĐ!W104,TTSSKĐ!AA104,TTSSKĐ!AE104,TTSSKĐ!AI104)))</f>
        <v>0</v>
      </c>
      <c r="L104">
        <f>SUMPRODUCT((MONTH(CHOOSE({1,2,3,4},TTSSKĐ!T104,TTSSKĐ!X104,TTSSKĐ!AB104,TTSSKĐ!AF104))=12)*(CHOOSE({1,2,3,4},TTSSKĐ!W104,TTSSKĐ!AA104,TTSSKĐ!AE104,TTSSKĐ!AI104)))</f>
        <v>0</v>
      </c>
    </row>
    <row r="105" spans="1:12">
      <c r="A105">
        <f>SUMPRODUCT((MONTH(CHOOSE({1,2,3,4},TTSSKĐ!T105,TTSSKĐ!X105,TTSSKĐ!AB105,TTSSKĐ!AF105))=1)*(CHOOSE({1,2,3,4},TTSSKĐ!W105,TTSSKĐ!AA105,TTSSKĐ!AE105,TTSSKĐ!AI105)))</f>
        <v>0</v>
      </c>
      <c r="B105">
        <f>SUMPRODUCT((MONTH(CHOOSE({1,2,3,4},TTSSKĐ!T105,TTSSKĐ!X105,TTSSKĐ!AB105,TTSSKĐ!AF105))=2)*(CHOOSE({1,2,3,4},TTSSKĐ!W105,TTSSKĐ!AA105,TTSSKĐ!AE105,TTSSKĐ!AI105)))</f>
        <v>0</v>
      </c>
      <c r="C105">
        <f>SUMPRODUCT((MONTH(CHOOSE({1,2,3,4},TTSSKĐ!T105,TTSSKĐ!X105,TTSSKĐ!AB105,TTSSKĐ!AF105))=3)*(CHOOSE({1,2,3,4},TTSSKĐ!W105,TTSSKĐ!AA105,TTSSKĐ!AE105,TTSSKĐ!AI105)))</f>
        <v>0</v>
      </c>
      <c r="D105">
        <f>SUMPRODUCT((MONTH(CHOOSE({1,2,3,4},TTSSKĐ!T105,TTSSKĐ!X105,TTSSKĐ!AB105,TTSSKĐ!AF105))=4)*(CHOOSE({1,2,3,4},TTSSKĐ!W105,TTSSKĐ!AA105,TTSSKĐ!AE105,TTSSKĐ!AI105)))</f>
        <v>0</v>
      </c>
      <c r="E105">
        <f>SUMPRODUCT((MONTH(CHOOSE({1,2,3,4},TTSSKĐ!T105,TTSSKĐ!X105,TTSSKĐ!AB105,TTSSKĐ!AF105))=5)*(CHOOSE({1,2,3,4},TTSSKĐ!W105,TTSSKĐ!AA105,TTSSKĐ!AE105,TTSSKĐ!AI105)))</f>
        <v>0</v>
      </c>
      <c r="F105">
        <f>SUMPRODUCT((MONTH(CHOOSE({1,2,3,4},TTSSKĐ!T105,TTSSKĐ!X105,TTSSKĐ!AB105,TTSSKĐ!AF105))=6)*(CHOOSE({1,2,3,4},TTSSKĐ!W105,TTSSKĐ!AA105,TTSSKĐ!AE105,TTSSKĐ!AI105)))</f>
        <v>0</v>
      </c>
      <c r="G105">
        <f>SUMPRODUCT((MONTH(CHOOSE({1,2,3,4},TTSSKĐ!T105,TTSSKĐ!X105,TTSSKĐ!AB105,TTSSKĐ!AF105))=7)*(CHOOSE({1,2,3,4},TTSSKĐ!W105,TTSSKĐ!AA105,TTSSKĐ!AE105,TTSSKĐ!AI105)))</f>
        <v>0</v>
      </c>
      <c r="H105">
        <f>SUMPRODUCT((MONTH(CHOOSE({1,2,3,4},TTSSKĐ!T105,TTSSKĐ!X105,TTSSKĐ!AB105,TTSSKĐ!AF105))=8)*(CHOOSE({1,2,3,4},TTSSKĐ!W105,TTSSKĐ!AA105,TTSSKĐ!AE105,TTSSKĐ!AI105)))</f>
        <v>0</v>
      </c>
      <c r="I105">
        <f>SUMPRODUCT((MONTH(CHOOSE({1,2,3,4},TTSSKĐ!T105,TTSSKĐ!X105,TTSSKĐ!AB105,TTSSKĐ!AF105))=9)*(CHOOSE({1,2,3,4},TTSSKĐ!W105,TTSSKĐ!AA105,TTSSKĐ!AE105,TTSSKĐ!AI105)))</f>
        <v>0</v>
      </c>
      <c r="J105">
        <f>SUMPRODUCT((MONTH(CHOOSE({1,2,3,4},TTSSKĐ!T105,TTSSKĐ!X105,TTSSKĐ!AB105,TTSSKĐ!AF105))=10)*(CHOOSE({1,2,3,4},TTSSKĐ!W105,TTSSKĐ!AA105,TTSSKĐ!AE105,TTSSKĐ!AI105)))</f>
        <v>0</v>
      </c>
      <c r="K105">
        <f>SUMPRODUCT((MONTH(CHOOSE({1,2,3,4},TTSSKĐ!T105,TTSSKĐ!X105,TTSSKĐ!AB105,TTSSKĐ!AF105))=11)*(CHOOSE({1,2,3,4},TTSSKĐ!W105,TTSSKĐ!AA105,TTSSKĐ!AE105,TTSSKĐ!AI105)))</f>
        <v>0</v>
      </c>
      <c r="L105">
        <f>SUMPRODUCT((MONTH(CHOOSE({1,2,3,4},TTSSKĐ!T105,TTSSKĐ!X105,TTSSKĐ!AB105,TTSSKĐ!AF105))=12)*(CHOOSE({1,2,3,4},TTSSKĐ!W105,TTSSKĐ!AA105,TTSSKĐ!AE105,TTSSKĐ!AI105)))</f>
        <v>0</v>
      </c>
    </row>
    <row r="106" spans="1:12">
      <c r="A106">
        <f>SUMPRODUCT((MONTH(CHOOSE({1,2,3,4},TTSSKĐ!T106,TTSSKĐ!X106,TTSSKĐ!AB106,TTSSKĐ!AF106))=1)*(CHOOSE({1,2,3,4},TTSSKĐ!W106,TTSSKĐ!AA106,TTSSKĐ!AE106,TTSSKĐ!AI106)))</f>
        <v>0</v>
      </c>
      <c r="B106">
        <f>SUMPRODUCT((MONTH(CHOOSE({1,2,3,4},TTSSKĐ!T106,TTSSKĐ!X106,TTSSKĐ!AB106,TTSSKĐ!AF106))=2)*(CHOOSE({1,2,3,4},TTSSKĐ!W106,TTSSKĐ!AA106,TTSSKĐ!AE106,TTSSKĐ!AI106)))</f>
        <v>0</v>
      </c>
      <c r="C106">
        <f>SUMPRODUCT((MONTH(CHOOSE({1,2,3,4},TTSSKĐ!T106,TTSSKĐ!X106,TTSSKĐ!AB106,TTSSKĐ!AF106))=3)*(CHOOSE({1,2,3,4},TTSSKĐ!W106,TTSSKĐ!AA106,TTSSKĐ!AE106,TTSSKĐ!AI106)))</f>
        <v>0</v>
      </c>
      <c r="D106">
        <f>SUMPRODUCT((MONTH(CHOOSE({1,2,3,4},TTSSKĐ!T106,TTSSKĐ!X106,TTSSKĐ!AB106,TTSSKĐ!AF106))=4)*(CHOOSE({1,2,3,4},TTSSKĐ!W106,TTSSKĐ!AA106,TTSSKĐ!AE106,TTSSKĐ!AI106)))</f>
        <v>0</v>
      </c>
      <c r="E106">
        <f>SUMPRODUCT((MONTH(CHOOSE({1,2,3,4},TTSSKĐ!T106,TTSSKĐ!X106,TTSSKĐ!AB106,TTSSKĐ!AF106))=5)*(CHOOSE({1,2,3,4},TTSSKĐ!W106,TTSSKĐ!AA106,TTSSKĐ!AE106,TTSSKĐ!AI106)))</f>
        <v>0</v>
      </c>
      <c r="F106">
        <f>SUMPRODUCT((MONTH(CHOOSE({1,2,3,4},TTSSKĐ!T106,TTSSKĐ!X106,TTSSKĐ!AB106,TTSSKĐ!AF106))=6)*(CHOOSE({1,2,3,4},TTSSKĐ!W106,TTSSKĐ!AA106,TTSSKĐ!AE106,TTSSKĐ!AI106)))</f>
        <v>0</v>
      </c>
      <c r="G106">
        <f>SUMPRODUCT((MONTH(CHOOSE({1,2,3,4},TTSSKĐ!T106,TTSSKĐ!X106,TTSSKĐ!AB106,TTSSKĐ!AF106))=7)*(CHOOSE({1,2,3,4},TTSSKĐ!W106,TTSSKĐ!AA106,TTSSKĐ!AE106,TTSSKĐ!AI106)))</f>
        <v>0</v>
      </c>
      <c r="H106">
        <f>SUMPRODUCT((MONTH(CHOOSE({1,2,3,4},TTSSKĐ!T106,TTSSKĐ!X106,TTSSKĐ!AB106,TTSSKĐ!AF106))=8)*(CHOOSE({1,2,3,4},TTSSKĐ!W106,TTSSKĐ!AA106,TTSSKĐ!AE106,TTSSKĐ!AI106)))</f>
        <v>0</v>
      </c>
      <c r="I106">
        <f>SUMPRODUCT((MONTH(CHOOSE({1,2,3,4},TTSSKĐ!T106,TTSSKĐ!X106,TTSSKĐ!AB106,TTSSKĐ!AF106))=9)*(CHOOSE({1,2,3,4},TTSSKĐ!W106,TTSSKĐ!AA106,TTSSKĐ!AE106,TTSSKĐ!AI106)))</f>
        <v>0</v>
      </c>
      <c r="J106">
        <f>SUMPRODUCT((MONTH(CHOOSE({1,2,3,4},TTSSKĐ!T106,TTSSKĐ!X106,TTSSKĐ!AB106,TTSSKĐ!AF106))=10)*(CHOOSE({1,2,3,4},TTSSKĐ!W106,TTSSKĐ!AA106,TTSSKĐ!AE106,TTSSKĐ!AI106)))</f>
        <v>0</v>
      </c>
      <c r="K106">
        <f>SUMPRODUCT((MONTH(CHOOSE({1,2,3,4},TTSSKĐ!T106,TTSSKĐ!X106,TTSSKĐ!AB106,TTSSKĐ!AF106))=11)*(CHOOSE({1,2,3,4},TTSSKĐ!W106,TTSSKĐ!AA106,TTSSKĐ!AE106,TTSSKĐ!AI106)))</f>
        <v>0</v>
      </c>
      <c r="L106">
        <f>SUMPRODUCT((MONTH(CHOOSE({1,2,3,4},TTSSKĐ!T106,TTSSKĐ!X106,TTSSKĐ!AB106,TTSSKĐ!AF106))=12)*(CHOOSE({1,2,3,4},TTSSKĐ!W106,TTSSKĐ!AA106,TTSSKĐ!AE106,TTSSKĐ!AI106)))</f>
        <v>0</v>
      </c>
    </row>
    <row r="107" spans="1:12">
      <c r="A107">
        <f>SUMPRODUCT((MONTH(CHOOSE({1,2,3,4},TTSSKĐ!T107,TTSSKĐ!X107,TTSSKĐ!AB107,TTSSKĐ!AF107))=1)*(CHOOSE({1,2,3,4},TTSSKĐ!W107,TTSSKĐ!AA107,TTSSKĐ!AE107,TTSSKĐ!AI107)))</f>
        <v>0</v>
      </c>
      <c r="B107">
        <f>SUMPRODUCT((MONTH(CHOOSE({1,2,3,4},TTSSKĐ!T107,TTSSKĐ!X107,TTSSKĐ!AB107,TTSSKĐ!AF107))=2)*(CHOOSE({1,2,3,4},TTSSKĐ!W107,TTSSKĐ!AA107,TTSSKĐ!AE107,TTSSKĐ!AI107)))</f>
        <v>0</v>
      </c>
      <c r="C107">
        <f>SUMPRODUCT((MONTH(CHOOSE({1,2,3,4},TTSSKĐ!T107,TTSSKĐ!X107,TTSSKĐ!AB107,TTSSKĐ!AF107))=3)*(CHOOSE({1,2,3,4},TTSSKĐ!W107,TTSSKĐ!AA107,TTSSKĐ!AE107,TTSSKĐ!AI107)))</f>
        <v>0</v>
      </c>
      <c r="D107">
        <f>SUMPRODUCT((MONTH(CHOOSE({1,2,3,4},TTSSKĐ!T107,TTSSKĐ!X107,TTSSKĐ!AB107,TTSSKĐ!AF107))=4)*(CHOOSE({1,2,3,4},TTSSKĐ!W107,TTSSKĐ!AA107,TTSSKĐ!AE107,TTSSKĐ!AI107)))</f>
        <v>0</v>
      </c>
      <c r="E107">
        <f>SUMPRODUCT((MONTH(CHOOSE({1,2,3,4},TTSSKĐ!T107,TTSSKĐ!X107,TTSSKĐ!AB107,TTSSKĐ!AF107))=5)*(CHOOSE({1,2,3,4},TTSSKĐ!W107,TTSSKĐ!AA107,TTSSKĐ!AE107,TTSSKĐ!AI107)))</f>
        <v>0</v>
      </c>
      <c r="F107">
        <f>SUMPRODUCT((MONTH(CHOOSE({1,2,3,4},TTSSKĐ!T107,TTSSKĐ!X107,TTSSKĐ!AB107,TTSSKĐ!AF107))=6)*(CHOOSE({1,2,3,4},TTSSKĐ!W107,TTSSKĐ!AA107,TTSSKĐ!AE107,TTSSKĐ!AI107)))</f>
        <v>0</v>
      </c>
      <c r="G107">
        <f>SUMPRODUCT((MONTH(CHOOSE({1,2,3,4},TTSSKĐ!T107,TTSSKĐ!X107,TTSSKĐ!AB107,TTSSKĐ!AF107))=7)*(CHOOSE({1,2,3,4},TTSSKĐ!W107,TTSSKĐ!AA107,TTSSKĐ!AE107,TTSSKĐ!AI107)))</f>
        <v>0</v>
      </c>
      <c r="H107">
        <f>SUMPRODUCT((MONTH(CHOOSE({1,2,3,4},TTSSKĐ!T107,TTSSKĐ!X107,TTSSKĐ!AB107,TTSSKĐ!AF107))=8)*(CHOOSE({1,2,3,4},TTSSKĐ!W107,TTSSKĐ!AA107,TTSSKĐ!AE107,TTSSKĐ!AI107)))</f>
        <v>0</v>
      </c>
      <c r="I107">
        <f>SUMPRODUCT((MONTH(CHOOSE({1,2,3,4},TTSSKĐ!T107,TTSSKĐ!X107,TTSSKĐ!AB107,TTSSKĐ!AF107))=9)*(CHOOSE({1,2,3,4},TTSSKĐ!W107,TTSSKĐ!AA107,TTSSKĐ!AE107,TTSSKĐ!AI107)))</f>
        <v>0</v>
      </c>
      <c r="J107">
        <f>SUMPRODUCT((MONTH(CHOOSE({1,2,3,4},TTSSKĐ!T107,TTSSKĐ!X107,TTSSKĐ!AB107,TTSSKĐ!AF107))=10)*(CHOOSE({1,2,3,4},TTSSKĐ!W107,TTSSKĐ!AA107,TTSSKĐ!AE107,TTSSKĐ!AI107)))</f>
        <v>0</v>
      </c>
      <c r="K107">
        <f>SUMPRODUCT((MONTH(CHOOSE({1,2,3,4},TTSSKĐ!T107,TTSSKĐ!X107,TTSSKĐ!AB107,TTSSKĐ!AF107))=11)*(CHOOSE({1,2,3,4},TTSSKĐ!W107,TTSSKĐ!AA107,TTSSKĐ!AE107,TTSSKĐ!AI107)))</f>
        <v>0</v>
      </c>
      <c r="L107">
        <f>SUMPRODUCT((MONTH(CHOOSE({1,2,3,4},TTSSKĐ!T107,TTSSKĐ!X107,TTSSKĐ!AB107,TTSSKĐ!AF107))=12)*(CHOOSE({1,2,3,4},TTSSKĐ!W107,TTSSKĐ!AA107,TTSSKĐ!AE107,TTSSKĐ!AI107)))</f>
        <v>0</v>
      </c>
    </row>
    <row r="108" spans="1:12">
      <c r="A108">
        <f>SUMPRODUCT((MONTH(CHOOSE({1,2,3,4},TTSSKĐ!T108,TTSSKĐ!X108,TTSSKĐ!AB108,TTSSKĐ!AF108))=1)*(CHOOSE({1,2,3,4},TTSSKĐ!W108,TTSSKĐ!AA108,TTSSKĐ!AE108,TTSSKĐ!AI108)))</f>
        <v>0</v>
      </c>
      <c r="B108">
        <f>SUMPRODUCT((MONTH(CHOOSE({1,2,3,4},TTSSKĐ!T108,TTSSKĐ!X108,TTSSKĐ!AB108,TTSSKĐ!AF108))=2)*(CHOOSE({1,2,3,4},TTSSKĐ!W108,TTSSKĐ!AA108,TTSSKĐ!AE108,TTSSKĐ!AI108)))</f>
        <v>0</v>
      </c>
      <c r="C108">
        <f>SUMPRODUCT((MONTH(CHOOSE({1,2,3,4},TTSSKĐ!T108,TTSSKĐ!X108,TTSSKĐ!AB108,TTSSKĐ!AF108))=3)*(CHOOSE({1,2,3,4},TTSSKĐ!W108,TTSSKĐ!AA108,TTSSKĐ!AE108,TTSSKĐ!AI108)))</f>
        <v>0</v>
      </c>
      <c r="D108">
        <f>SUMPRODUCT((MONTH(CHOOSE({1,2,3,4},TTSSKĐ!T108,TTSSKĐ!X108,TTSSKĐ!AB108,TTSSKĐ!AF108))=4)*(CHOOSE({1,2,3,4},TTSSKĐ!W108,TTSSKĐ!AA108,TTSSKĐ!AE108,TTSSKĐ!AI108)))</f>
        <v>0</v>
      </c>
      <c r="E108">
        <f>SUMPRODUCT((MONTH(CHOOSE({1,2,3,4},TTSSKĐ!T108,TTSSKĐ!X108,TTSSKĐ!AB108,TTSSKĐ!AF108))=5)*(CHOOSE({1,2,3,4},TTSSKĐ!W108,TTSSKĐ!AA108,TTSSKĐ!AE108,TTSSKĐ!AI108)))</f>
        <v>0</v>
      </c>
      <c r="F108">
        <f>SUMPRODUCT((MONTH(CHOOSE({1,2,3,4},TTSSKĐ!T108,TTSSKĐ!X108,TTSSKĐ!AB108,TTSSKĐ!AF108))=6)*(CHOOSE({1,2,3,4},TTSSKĐ!W108,TTSSKĐ!AA108,TTSSKĐ!AE108,TTSSKĐ!AI108)))</f>
        <v>0</v>
      </c>
      <c r="G108">
        <f>SUMPRODUCT((MONTH(CHOOSE({1,2,3,4},TTSSKĐ!T108,TTSSKĐ!X108,TTSSKĐ!AB108,TTSSKĐ!AF108))=7)*(CHOOSE({1,2,3,4},TTSSKĐ!W108,TTSSKĐ!AA108,TTSSKĐ!AE108,TTSSKĐ!AI108)))</f>
        <v>0</v>
      </c>
      <c r="H108">
        <f>SUMPRODUCT((MONTH(CHOOSE({1,2,3,4},TTSSKĐ!T108,TTSSKĐ!X108,TTSSKĐ!AB108,TTSSKĐ!AF108))=8)*(CHOOSE({1,2,3,4},TTSSKĐ!W108,TTSSKĐ!AA108,TTSSKĐ!AE108,TTSSKĐ!AI108)))</f>
        <v>0</v>
      </c>
      <c r="I108">
        <f>SUMPRODUCT((MONTH(CHOOSE({1,2,3,4},TTSSKĐ!T108,TTSSKĐ!X108,TTSSKĐ!AB108,TTSSKĐ!AF108))=9)*(CHOOSE({1,2,3,4},TTSSKĐ!W108,TTSSKĐ!AA108,TTSSKĐ!AE108,TTSSKĐ!AI108)))</f>
        <v>0</v>
      </c>
      <c r="J108">
        <f>SUMPRODUCT((MONTH(CHOOSE({1,2,3,4},TTSSKĐ!T108,TTSSKĐ!X108,TTSSKĐ!AB108,TTSSKĐ!AF108))=10)*(CHOOSE({1,2,3,4},TTSSKĐ!W108,TTSSKĐ!AA108,TTSSKĐ!AE108,TTSSKĐ!AI108)))</f>
        <v>0</v>
      </c>
      <c r="K108">
        <f>SUMPRODUCT((MONTH(CHOOSE({1,2,3,4},TTSSKĐ!T108,TTSSKĐ!X108,TTSSKĐ!AB108,TTSSKĐ!AF108))=11)*(CHOOSE({1,2,3,4},TTSSKĐ!W108,TTSSKĐ!AA108,TTSSKĐ!AE108,TTSSKĐ!AI108)))</f>
        <v>0</v>
      </c>
      <c r="L108">
        <f>SUMPRODUCT((MONTH(CHOOSE({1,2,3,4},TTSSKĐ!T108,TTSSKĐ!X108,TTSSKĐ!AB108,TTSSKĐ!AF108))=12)*(CHOOSE({1,2,3,4},TTSSKĐ!W108,TTSSKĐ!AA108,TTSSKĐ!AE108,TTSSKĐ!AI108)))</f>
        <v>0</v>
      </c>
    </row>
    <row r="109" spans="1:12">
      <c r="A109">
        <f>SUMPRODUCT((MONTH(CHOOSE({1,2,3,4},TTSSKĐ!T109,TTSSKĐ!X109,TTSSKĐ!AB109,TTSSKĐ!AF109))=1)*(CHOOSE({1,2,3,4},TTSSKĐ!W109,TTSSKĐ!AA109,TTSSKĐ!AE109,TTSSKĐ!AI109)))</f>
        <v>0</v>
      </c>
      <c r="B109">
        <f>SUMPRODUCT((MONTH(CHOOSE({1,2,3,4},TTSSKĐ!T109,TTSSKĐ!X109,TTSSKĐ!AB109,TTSSKĐ!AF109))=2)*(CHOOSE({1,2,3,4},TTSSKĐ!W109,TTSSKĐ!AA109,TTSSKĐ!AE109,TTSSKĐ!AI109)))</f>
        <v>0</v>
      </c>
      <c r="C109">
        <f>SUMPRODUCT((MONTH(CHOOSE({1,2,3,4},TTSSKĐ!T109,TTSSKĐ!X109,TTSSKĐ!AB109,TTSSKĐ!AF109))=3)*(CHOOSE({1,2,3,4},TTSSKĐ!W109,TTSSKĐ!AA109,TTSSKĐ!AE109,TTSSKĐ!AI109)))</f>
        <v>0</v>
      </c>
      <c r="D109">
        <f>SUMPRODUCT((MONTH(CHOOSE({1,2,3,4},TTSSKĐ!T109,TTSSKĐ!X109,TTSSKĐ!AB109,TTSSKĐ!AF109))=4)*(CHOOSE({1,2,3,4},TTSSKĐ!W109,TTSSKĐ!AA109,TTSSKĐ!AE109,TTSSKĐ!AI109)))</f>
        <v>0</v>
      </c>
      <c r="E109">
        <f>SUMPRODUCT((MONTH(CHOOSE({1,2,3,4},TTSSKĐ!T109,TTSSKĐ!X109,TTSSKĐ!AB109,TTSSKĐ!AF109))=5)*(CHOOSE({1,2,3,4},TTSSKĐ!W109,TTSSKĐ!AA109,TTSSKĐ!AE109,TTSSKĐ!AI109)))</f>
        <v>0</v>
      </c>
      <c r="F109">
        <f>SUMPRODUCT((MONTH(CHOOSE({1,2,3,4},TTSSKĐ!T109,TTSSKĐ!X109,TTSSKĐ!AB109,TTSSKĐ!AF109))=6)*(CHOOSE({1,2,3,4},TTSSKĐ!W109,TTSSKĐ!AA109,TTSSKĐ!AE109,TTSSKĐ!AI109)))</f>
        <v>0</v>
      </c>
      <c r="G109">
        <f>SUMPRODUCT((MONTH(CHOOSE({1,2,3,4},TTSSKĐ!T109,TTSSKĐ!X109,TTSSKĐ!AB109,TTSSKĐ!AF109))=7)*(CHOOSE({1,2,3,4},TTSSKĐ!W109,TTSSKĐ!AA109,TTSSKĐ!AE109,TTSSKĐ!AI109)))</f>
        <v>0</v>
      </c>
      <c r="H109">
        <f>SUMPRODUCT((MONTH(CHOOSE({1,2,3,4},TTSSKĐ!T109,TTSSKĐ!X109,TTSSKĐ!AB109,TTSSKĐ!AF109))=8)*(CHOOSE({1,2,3,4},TTSSKĐ!W109,TTSSKĐ!AA109,TTSSKĐ!AE109,TTSSKĐ!AI109)))</f>
        <v>0</v>
      </c>
      <c r="I109">
        <f>SUMPRODUCT((MONTH(CHOOSE({1,2,3,4},TTSSKĐ!T109,TTSSKĐ!X109,TTSSKĐ!AB109,TTSSKĐ!AF109))=9)*(CHOOSE({1,2,3,4},TTSSKĐ!W109,TTSSKĐ!AA109,TTSSKĐ!AE109,TTSSKĐ!AI109)))</f>
        <v>0</v>
      </c>
      <c r="J109">
        <f>SUMPRODUCT((MONTH(CHOOSE({1,2,3,4},TTSSKĐ!T109,TTSSKĐ!X109,TTSSKĐ!AB109,TTSSKĐ!AF109))=10)*(CHOOSE({1,2,3,4},TTSSKĐ!W109,TTSSKĐ!AA109,TTSSKĐ!AE109,TTSSKĐ!AI109)))</f>
        <v>0</v>
      </c>
      <c r="K109">
        <f>SUMPRODUCT((MONTH(CHOOSE({1,2,3,4},TTSSKĐ!T109,TTSSKĐ!X109,TTSSKĐ!AB109,TTSSKĐ!AF109))=11)*(CHOOSE({1,2,3,4},TTSSKĐ!W109,TTSSKĐ!AA109,TTSSKĐ!AE109,TTSSKĐ!AI109)))</f>
        <v>0</v>
      </c>
      <c r="L109">
        <f>SUMPRODUCT((MONTH(CHOOSE({1,2,3,4},TTSSKĐ!T109,TTSSKĐ!X109,TTSSKĐ!AB109,TTSSKĐ!AF109))=12)*(CHOOSE({1,2,3,4},TTSSKĐ!W109,TTSSKĐ!AA109,TTSSKĐ!AE109,TTSSKĐ!AI109)))</f>
        <v>0</v>
      </c>
    </row>
    <row r="110" spans="1:12">
      <c r="A110">
        <f>SUMPRODUCT((MONTH(CHOOSE({1,2,3,4},TTSSKĐ!T110,TTSSKĐ!X110,TTSSKĐ!AB110,TTSSKĐ!AF110))=1)*(CHOOSE({1,2,3,4},TTSSKĐ!W110,TTSSKĐ!AA110,TTSSKĐ!AE110,TTSSKĐ!AI110)))</f>
        <v>0</v>
      </c>
      <c r="B110">
        <f>SUMPRODUCT((MONTH(CHOOSE({1,2,3,4},TTSSKĐ!T110,TTSSKĐ!X110,TTSSKĐ!AB110,TTSSKĐ!AF110))=2)*(CHOOSE({1,2,3,4},TTSSKĐ!W110,TTSSKĐ!AA110,TTSSKĐ!AE110,TTSSKĐ!AI110)))</f>
        <v>0</v>
      </c>
      <c r="C110">
        <f>SUMPRODUCT((MONTH(CHOOSE({1,2,3,4},TTSSKĐ!T110,TTSSKĐ!X110,TTSSKĐ!AB110,TTSSKĐ!AF110))=3)*(CHOOSE({1,2,3,4},TTSSKĐ!W110,TTSSKĐ!AA110,TTSSKĐ!AE110,TTSSKĐ!AI110)))</f>
        <v>0</v>
      </c>
      <c r="D110">
        <f>SUMPRODUCT((MONTH(CHOOSE({1,2,3,4},TTSSKĐ!T110,TTSSKĐ!X110,TTSSKĐ!AB110,TTSSKĐ!AF110))=4)*(CHOOSE({1,2,3,4},TTSSKĐ!W110,TTSSKĐ!AA110,TTSSKĐ!AE110,TTSSKĐ!AI110)))</f>
        <v>0</v>
      </c>
      <c r="E110">
        <f>SUMPRODUCT((MONTH(CHOOSE({1,2,3,4},TTSSKĐ!T110,TTSSKĐ!X110,TTSSKĐ!AB110,TTSSKĐ!AF110))=5)*(CHOOSE({1,2,3,4},TTSSKĐ!W110,TTSSKĐ!AA110,TTSSKĐ!AE110,TTSSKĐ!AI110)))</f>
        <v>0</v>
      </c>
      <c r="F110">
        <f>SUMPRODUCT((MONTH(CHOOSE({1,2,3,4},TTSSKĐ!T110,TTSSKĐ!X110,TTSSKĐ!AB110,TTSSKĐ!AF110))=6)*(CHOOSE({1,2,3,4},TTSSKĐ!W110,TTSSKĐ!AA110,TTSSKĐ!AE110,TTSSKĐ!AI110)))</f>
        <v>0</v>
      </c>
      <c r="G110">
        <f>SUMPRODUCT((MONTH(CHOOSE({1,2,3,4},TTSSKĐ!T110,TTSSKĐ!X110,TTSSKĐ!AB110,TTSSKĐ!AF110))=7)*(CHOOSE({1,2,3,4},TTSSKĐ!W110,TTSSKĐ!AA110,TTSSKĐ!AE110,TTSSKĐ!AI110)))</f>
        <v>0</v>
      </c>
      <c r="H110">
        <f>SUMPRODUCT((MONTH(CHOOSE({1,2,3,4},TTSSKĐ!T110,TTSSKĐ!X110,TTSSKĐ!AB110,TTSSKĐ!AF110))=8)*(CHOOSE({1,2,3,4},TTSSKĐ!W110,TTSSKĐ!AA110,TTSSKĐ!AE110,TTSSKĐ!AI110)))</f>
        <v>0</v>
      </c>
      <c r="I110">
        <f>SUMPRODUCT((MONTH(CHOOSE({1,2,3,4},TTSSKĐ!T110,TTSSKĐ!X110,TTSSKĐ!AB110,TTSSKĐ!AF110))=9)*(CHOOSE({1,2,3,4},TTSSKĐ!W110,TTSSKĐ!AA110,TTSSKĐ!AE110,TTSSKĐ!AI110)))</f>
        <v>0</v>
      </c>
      <c r="J110">
        <f>SUMPRODUCT((MONTH(CHOOSE({1,2,3,4},TTSSKĐ!T110,TTSSKĐ!X110,TTSSKĐ!AB110,TTSSKĐ!AF110))=10)*(CHOOSE({1,2,3,4},TTSSKĐ!W110,TTSSKĐ!AA110,TTSSKĐ!AE110,TTSSKĐ!AI110)))</f>
        <v>0</v>
      </c>
      <c r="K110">
        <f>SUMPRODUCT((MONTH(CHOOSE({1,2,3,4},TTSSKĐ!T110,TTSSKĐ!X110,TTSSKĐ!AB110,TTSSKĐ!AF110))=11)*(CHOOSE({1,2,3,4},TTSSKĐ!W110,TTSSKĐ!AA110,TTSSKĐ!AE110,TTSSKĐ!AI110)))</f>
        <v>0</v>
      </c>
      <c r="L110">
        <f>SUMPRODUCT((MONTH(CHOOSE({1,2,3,4},TTSSKĐ!T110,TTSSKĐ!X110,TTSSKĐ!AB110,TTSSKĐ!AF110))=12)*(CHOOSE({1,2,3,4},TTSSKĐ!W110,TTSSKĐ!AA110,TTSSKĐ!AE110,TTSSKĐ!AI110)))</f>
        <v>0</v>
      </c>
    </row>
    <row r="111" spans="1:12">
      <c r="A111">
        <f>SUMPRODUCT((MONTH(CHOOSE({1,2,3,4},TTSSKĐ!T111,TTSSKĐ!X111,TTSSKĐ!AB111,TTSSKĐ!AF111))=1)*(CHOOSE({1,2,3,4},TTSSKĐ!W111,TTSSKĐ!AA111,TTSSKĐ!AE111,TTSSKĐ!AI111)))</f>
        <v>0</v>
      </c>
      <c r="B111">
        <f>SUMPRODUCT((MONTH(CHOOSE({1,2,3,4},TTSSKĐ!T111,TTSSKĐ!X111,TTSSKĐ!AB111,TTSSKĐ!AF111))=2)*(CHOOSE({1,2,3,4},TTSSKĐ!W111,TTSSKĐ!AA111,TTSSKĐ!AE111,TTSSKĐ!AI111)))</f>
        <v>0</v>
      </c>
      <c r="C111">
        <f>SUMPRODUCT((MONTH(CHOOSE({1,2,3,4},TTSSKĐ!T111,TTSSKĐ!X111,TTSSKĐ!AB111,TTSSKĐ!AF111))=3)*(CHOOSE({1,2,3,4},TTSSKĐ!W111,TTSSKĐ!AA111,TTSSKĐ!AE111,TTSSKĐ!AI111)))</f>
        <v>0</v>
      </c>
      <c r="D111">
        <f>SUMPRODUCT((MONTH(CHOOSE({1,2,3,4},TTSSKĐ!T111,TTSSKĐ!X111,TTSSKĐ!AB111,TTSSKĐ!AF111))=4)*(CHOOSE({1,2,3,4},TTSSKĐ!W111,TTSSKĐ!AA111,TTSSKĐ!AE111,TTSSKĐ!AI111)))</f>
        <v>0</v>
      </c>
      <c r="E111">
        <f>SUMPRODUCT((MONTH(CHOOSE({1,2,3,4},TTSSKĐ!T111,TTSSKĐ!X111,TTSSKĐ!AB111,TTSSKĐ!AF111))=5)*(CHOOSE({1,2,3,4},TTSSKĐ!W111,TTSSKĐ!AA111,TTSSKĐ!AE111,TTSSKĐ!AI111)))</f>
        <v>0</v>
      </c>
      <c r="F111">
        <f>SUMPRODUCT((MONTH(CHOOSE({1,2,3,4},TTSSKĐ!T111,TTSSKĐ!X111,TTSSKĐ!AB111,TTSSKĐ!AF111))=6)*(CHOOSE({1,2,3,4},TTSSKĐ!W111,TTSSKĐ!AA111,TTSSKĐ!AE111,TTSSKĐ!AI111)))</f>
        <v>0</v>
      </c>
      <c r="G111">
        <f>SUMPRODUCT((MONTH(CHOOSE({1,2,3,4},TTSSKĐ!T111,TTSSKĐ!X111,TTSSKĐ!AB111,TTSSKĐ!AF111))=7)*(CHOOSE({1,2,3,4},TTSSKĐ!W111,TTSSKĐ!AA111,TTSSKĐ!AE111,TTSSKĐ!AI111)))</f>
        <v>0</v>
      </c>
      <c r="H111">
        <f>SUMPRODUCT((MONTH(CHOOSE({1,2,3,4},TTSSKĐ!T111,TTSSKĐ!X111,TTSSKĐ!AB111,TTSSKĐ!AF111))=8)*(CHOOSE({1,2,3,4},TTSSKĐ!W111,TTSSKĐ!AA111,TTSSKĐ!AE111,TTSSKĐ!AI111)))</f>
        <v>0</v>
      </c>
      <c r="I111">
        <f>SUMPRODUCT((MONTH(CHOOSE({1,2,3,4},TTSSKĐ!T111,TTSSKĐ!X111,TTSSKĐ!AB111,TTSSKĐ!AF111))=9)*(CHOOSE({1,2,3,4},TTSSKĐ!W111,TTSSKĐ!AA111,TTSSKĐ!AE111,TTSSKĐ!AI111)))</f>
        <v>0</v>
      </c>
      <c r="J111">
        <f>SUMPRODUCT((MONTH(CHOOSE({1,2,3,4},TTSSKĐ!T111,TTSSKĐ!X111,TTSSKĐ!AB111,TTSSKĐ!AF111))=10)*(CHOOSE({1,2,3,4},TTSSKĐ!W111,TTSSKĐ!AA111,TTSSKĐ!AE111,TTSSKĐ!AI111)))</f>
        <v>0</v>
      </c>
      <c r="K111">
        <f>SUMPRODUCT((MONTH(CHOOSE({1,2,3,4},TTSSKĐ!T111,TTSSKĐ!X111,TTSSKĐ!AB111,TTSSKĐ!AF111))=11)*(CHOOSE({1,2,3,4},TTSSKĐ!W111,TTSSKĐ!AA111,TTSSKĐ!AE111,TTSSKĐ!AI111)))</f>
        <v>0</v>
      </c>
      <c r="L111">
        <f>SUMPRODUCT((MONTH(CHOOSE({1,2,3,4},TTSSKĐ!T111,TTSSKĐ!X111,TTSSKĐ!AB111,TTSSKĐ!AF111))=12)*(CHOOSE({1,2,3,4},TTSSKĐ!W111,TTSSKĐ!AA111,TTSSKĐ!AE111,TTSSKĐ!AI111)))</f>
        <v>0</v>
      </c>
    </row>
    <row r="112" spans="1:12">
      <c r="A112">
        <f>SUMPRODUCT((MONTH(CHOOSE({1,2,3,4},TTSSKĐ!T112,TTSSKĐ!X112,TTSSKĐ!AB112,TTSSKĐ!AF112))=1)*(CHOOSE({1,2,3,4},TTSSKĐ!W112,TTSSKĐ!AA112,TTSSKĐ!AE112,TTSSKĐ!AI112)))</f>
        <v>0</v>
      </c>
      <c r="B112">
        <f>SUMPRODUCT((MONTH(CHOOSE({1,2,3,4},TTSSKĐ!T112,TTSSKĐ!X112,TTSSKĐ!AB112,TTSSKĐ!AF112))=2)*(CHOOSE({1,2,3,4},TTSSKĐ!W112,TTSSKĐ!AA112,TTSSKĐ!AE112,TTSSKĐ!AI112)))</f>
        <v>0</v>
      </c>
      <c r="C112">
        <f>SUMPRODUCT((MONTH(CHOOSE({1,2,3,4},TTSSKĐ!T112,TTSSKĐ!X112,TTSSKĐ!AB112,TTSSKĐ!AF112))=3)*(CHOOSE({1,2,3,4},TTSSKĐ!W112,TTSSKĐ!AA112,TTSSKĐ!AE112,TTSSKĐ!AI112)))</f>
        <v>0</v>
      </c>
      <c r="D112">
        <f>SUMPRODUCT((MONTH(CHOOSE({1,2,3,4},TTSSKĐ!T112,TTSSKĐ!X112,TTSSKĐ!AB112,TTSSKĐ!AF112))=4)*(CHOOSE({1,2,3,4},TTSSKĐ!W112,TTSSKĐ!AA112,TTSSKĐ!AE112,TTSSKĐ!AI112)))</f>
        <v>0</v>
      </c>
      <c r="E112">
        <f>SUMPRODUCT((MONTH(CHOOSE({1,2,3,4},TTSSKĐ!T112,TTSSKĐ!X112,TTSSKĐ!AB112,TTSSKĐ!AF112))=5)*(CHOOSE({1,2,3,4},TTSSKĐ!W112,TTSSKĐ!AA112,TTSSKĐ!AE112,TTSSKĐ!AI112)))</f>
        <v>0</v>
      </c>
      <c r="F112">
        <f>SUMPRODUCT((MONTH(CHOOSE({1,2,3,4},TTSSKĐ!T112,TTSSKĐ!X112,TTSSKĐ!AB112,TTSSKĐ!AF112))=6)*(CHOOSE({1,2,3,4},TTSSKĐ!W112,TTSSKĐ!AA112,TTSSKĐ!AE112,TTSSKĐ!AI112)))</f>
        <v>0</v>
      </c>
      <c r="G112">
        <f>SUMPRODUCT((MONTH(CHOOSE({1,2,3,4},TTSSKĐ!T112,TTSSKĐ!X112,TTSSKĐ!AB112,TTSSKĐ!AF112))=7)*(CHOOSE({1,2,3,4},TTSSKĐ!W112,TTSSKĐ!AA112,TTSSKĐ!AE112,TTSSKĐ!AI112)))</f>
        <v>0</v>
      </c>
      <c r="H112">
        <f>SUMPRODUCT((MONTH(CHOOSE({1,2,3,4},TTSSKĐ!T112,TTSSKĐ!X112,TTSSKĐ!AB112,TTSSKĐ!AF112))=8)*(CHOOSE({1,2,3,4},TTSSKĐ!W112,TTSSKĐ!AA112,TTSSKĐ!AE112,TTSSKĐ!AI112)))</f>
        <v>0</v>
      </c>
      <c r="I112">
        <f>SUMPRODUCT((MONTH(CHOOSE({1,2,3,4},TTSSKĐ!T112,TTSSKĐ!X112,TTSSKĐ!AB112,TTSSKĐ!AF112))=9)*(CHOOSE({1,2,3,4},TTSSKĐ!W112,TTSSKĐ!AA112,TTSSKĐ!AE112,TTSSKĐ!AI112)))</f>
        <v>0</v>
      </c>
      <c r="J112">
        <f>SUMPRODUCT((MONTH(CHOOSE({1,2,3,4},TTSSKĐ!T112,TTSSKĐ!X112,TTSSKĐ!AB112,TTSSKĐ!AF112))=10)*(CHOOSE({1,2,3,4},TTSSKĐ!W112,TTSSKĐ!AA112,TTSSKĐ!AE112,TTSSKĐ!AI112)))</f>
        <v>0</v>
      </c>
      <c r="K112">
        <f>SUMPRODUCT((MONTH(CHOOSE({1,2,3,4},TTSSKĐ!T112,TTSSKĐ!X112,TTSSKĐ!AB112,TTSSKĐ!AF112))=11)*(CHOOSE({1,2,3,4},TTSSKĐ!W112,TTSSKĐ!AA112,TTSSKĐ!AE112,TTSSKĐ!AI112)))</f>
        <v>0</v>
      </c>
      <c r="L112">
        <f>SUMPRODUCT((MONTH(CHOOSE({1,2,3,4},TTSSKĐ!T112,TTSSKĐ!X112,TTSSKĐ!AB112,TTSSKĐ!AF112))=12)*(CHOOSE({1,2,3,4},TTSSKĐ!W112,TTSSKĐ!AA112,TTSSKĐ!AE112,TTSSKĐ!AI112)))</f>
        <v>0</v>
      </c>
    </row>
    <row r="113" spans="1:12">
      <c r="A113">
        <f>SUMPRODUCT((MONTH(CHOOSE({1,2,3,4},TTSSKĐ!T113,TTSSKĐ!X113,TTSSKĐ!AB113,TTSSKĐ!AF113))=1)*(CHOOSE({1,2,3,4},TTSSKĐ!W113,TTSSKĐ!AA113,TTSSKĐ!AE113,TTSSKĐ!AI113)))</f>
        <v>0</v>
      </c>
      <c r="B113">
        <f>SUMPRODUCT((MONTH(CHOOSE({1,2,3,4},TTSSKĐ!T113,TTSSKĐ!X113,TTSSKĐ!AB113,TTSSKĐ!AF113))=2)*(CHOOSE({1,2,3,4},TTSSKĐ!W113,TTSSKĐ!AA113,TTSSKĐ!AE113,TTSSKĐ!AI113)))</f>
        <v>0</v>
      </c>
      <c r="C113">
        <f>SUMPRODUCT((MONTH(CHOOSE({1,2,3,4},TTSSKĐ!T113,TTSSKĐ!X113,TTSSKĐ!AB113,TTSSKĐ!AF113))=3)*(CHOOSE({1,2,3,4},TTSSKĐ!W113,TTSSKĐ!AA113,TTSSKĐ!AE113,TTSSKĐ!AI113)))</f>
        <v>0</v>
      </c>
      <c r="D113">
        <f>SUMPRODUCT((MONTH(CHOOSE({1,2,3,4},TTSSKĐ!T113,TTSSKĐ!X113,TTSSKĐ!AB113,TTSSKĐ!AF113))=4)*(CHOOSE({1,2,3,4},TTSSKĐ!W113,TTSSKĐ!AA113,TTSSKĐ!AE113,TTSSKĐ!AI113)))</f>
        <v>0</v>
      </c>
      <c r="E113">
        <f>SUMPRODUCT((MONTH(CHOOSE({1,2,3,4},TTSSKĐ!T113,TTSSKĐ!X113,TTSSKĐ!AB113,TTSSKĐ!AF113))=5)*(CHOOSE({1,2,3,4},TTSSKĐ!W113,TTSSKĐ!AA113,TTSSKĐ!AE113,TTSSKĐ!AI113)))</f>
        <v>0</v>
      </c>
      <c r="F113">
        <f>SUMPRODUCT((MONTH(CHOOSE({1,2,3,4},TTSSKĐ!T113,TTSSKĐ!X113,TTSSKĐ!AB113,TTSSKĐ!AF113))=6)*(CHOOSE({1,2,3,4},TTSSKĐ!W113,TTSSKĐ!AA113,TTSSKĐ!AE113,TTSSKĐ!AI113)))</f>
        <v>0</v>
      </c>
      <c r="G113">
        <f>SUMPRODUCT((MONTH(CHOOSE({1,2,3,4},TTSSKĐ!T113,TTSSKĐ!X113,TTSSKĐ!AB113,TTSSKĐ!AF113))=7)*(CHOOSE({1,2,3,4},TTSSKĐ!W113,TTSSKĐ!AA113,TTSSKĐ!AE113,TTSSKĐ!AI113)))</f>
        <v>0</v>
      </c>
      <c r="H113">
        <f>SUMPRODUCT((MONTH(CHOOSE({1,2,3,4},TTSSKĐ!T113,TTSSKĐ!X113,TTSSKĐ!AB113,TTSSKĐ!AF113))=8)*(CHOOSE({1,2,3,4},TTSSKĐ!W113,TTSSKĐ!AA113,TTSSKĐ!AE113,TTSSKĐ!AI113)))</f>
        <v>0</v>
      </c>
      <c r="I113">
        <f>SUMPRODUCT((MONTH(CHOOSE({1,2,3,4},TTSSKĐ!T113,TTSSKĐ!X113,TTSSKĐ!AB113,TTSSKĐ!AF113))=9)*(CHOOSE({1,2,3,4},TTSSKĐ!W113,TTSSKĐ!AA113,TTSSKĐ!AE113,TTSSKĐ!AI113)))</f>
        <v>0</v>
      </c>
      <c r="J113">
        <f>SUMPRODUCT((MONTH(CHOOSE({1,2,3,4},TTSSKĐ!T113,TTSSKĐ!X113,TTSSKĐ!AB113,TTSSKĐ!AF113))=10)*(CHOOSE({1,2,3,4},TTSSKĐ!W113,TTSSKĐ!AA113,TTSSKĐ!AE113,TTSSKĐ!AI113)))</f>
        <v>0</v>
      </c>
      <c r="K113">
        <f>SUMPRODUCT((MONTH(CHOOSE({1,2,3,4},TTSSKĐ!T113,TTSSKĐ!X113,TTSSKĐ!AB113,TTSSKĐ!AF113))=11)*(CHOOSE({1,2,3,4},TTSSKĐ!W113,TTSSKĐ!AA113,TTSSKĐ!AE113,TTSSKĐ!AI113)))</f>
        <v>0</v>
      </c>
      <c r="L113">
        <f>SUMPRODUCT((MONTH(CHOOSE({1,2,3,4},TTSSKĐ!T113,TTSSKĐ!X113,TTSSKĐ!AB113,TTSSKĐ!AF113))=12)*(CHOOSE({1,2,3,4},TTSSKĐ!W113,TTSSKĐ!AA113,TTSSKĐ!AE113,TTSSKĐ!AI113)))</f>
        <v>0</v>
      </c>
    </row>
    <row r="114" spans="1:12">
      <c r="A114">
        <f>SUMPRODUCT((MONTH(CHOOSE({1,2,3,4},TTSSKĐ!T114,TTSSKĐ!X114,TTSSKĐ!AB114,TTSSKĐ!AF114))=1)*(CHOOSE({1,2,3,4},TTSSKĐ!W114,TTSSKĐ!AA114,TTSSKĐ!AE114,TTSSKĐ!AI114)))</f>
        <v>0</v>
      </c>
      <c r="B114">
        <f>SUMPRODUCT((MONTH(CHOOSE({1,2,3,4},TTSSKĐ!T114,TTSSKĐ!X114,TTSSKĐ!AB114,TTSSKĐ!AF114))=2)*(CHOOSE({1,2,3,4},TTSSKĐ!W114,TTSSKĐ!AA114,TTSSKĐ!AE114,TTSSKĐ!AI114)))</f>
        <v>0</v>
      </c>
      <c r="C114">
        <f>SUMPRODUCT((MONTH(CHOOSE({1,2,3,4},TTSSKĐ!T114,TTSSKĐ!X114,TTSSKĐ!AB114,TTSSKĐ!AF114))=3)*(CHOOSE({1,2,3,4},TTSSKĐ!W114,TTSSKĐ!AA114,TTSSKĐ!AE114,TTSSKĐ!AI114)))</f>
        <v>0</v>
      </c>
      <c r="D114">
        <f>SUMPRODUCT((MONTH(CHOOSE({1,2,3,4},TTSSKĐ!T114,TTSSKĐ!X114,TTSSKĐ!AB114,TTSSKĐ!AF114))=4)*(CHOOSE({1,2,3,4},TTSSKĐ!W114,TTSSKĐ!AA114,TTSSKĐ!AE114,TTSSKĐ!AI114)))</f>
        <v>0</v>
      </c>
      <c r="E114">
        <f>SUMPRODUCT((MONTH(CHOOSE({1,2,3,4},TTSSKĐ!T114,TTSSKĐ!X114,TTSSKĐ!AB114,TTSSKĐ!AF114))=5)*(CHOOSE({1,2,3,4},TTSSKĐ!W114,TTSSKĐ!AA114,TTSSKĐ!AE114,TTSSKĐ!AI114)))</f>
        <v>0</v>
      </c>
      <c r="F114">
        <f>SUMPRODUCT((MONTH(CHOOSE({1,2,3,4},TTSSKĐ!T114,TTSSKĐ!X114,TTSSKĐ!AB114,TTSSKĐ!AF114))=6)*(CHOOSE({1,2,3,4},TTSSKĐ!W114,TTSSKĐ!AA114,TTSSKĐ!AE114,TTSSKĐ!AI114)))</f>
        <v>0</v>
      </c>
      <c r="G114">
        <f>SUMPRODUCT((MONTH(CHOOSE({1,2,3,4},TTSSKĐ!T114,TTSSKĐ!X114,TTSSKĐ!AB114,TTSSKĐ!AF114))=7)*(CHOOSE({1,2,3,4},TTSSKĐ!W114,TTSSKĐ!AA114,TTSSKĐ!AE114,TTSSKĐ!AI114)))</f>
        <v>0</v>
      </c>
      <c r="H114">
        <f>SUMPRODUCT((MONTH(CHOOSE({1,2,3,4},TTSSKĐ!T114,TTSSKĐ!X114,TTSSKĐ!AB114,TTSSKĐ!AF114))=8)*(CHOOSE({1,2,3,4},TTSSKĐ!W114,TTSSKĐ!AA114,TTSSKĐ!AE114,TTSSKĐ!AI114)))</f>
        <v>0</v>
      </c>
      <c r="I114">
        <f>SUMPRODUCT((MONTH(CHOOSE({1,2,3,4},TTSSKĐ!T114,TTSSKĐ!X114,TTSSKĐ!AB114,TTSSKĐ!AF114))=9)*(CHOOSE({1,2,3,4},TTSSKĐ!W114,TTSSKĐ!AA114,TTSSKĐ!AE114,TTSSKĐ!AI114)))</f>
        <v>0</v>
      </c>
      <c r="J114">
        <f>SUMPRODUCT((MONTH(CHOOSE({1,2,3,4},TTSSKĐ!T114,TTSSKĐ!X114,TTSSKĐ!AB114,TTSSKĐ!AF114))=10)*(CHOOSE({1,2,3,4},TTSSKĐ!W114,TTSSKĐ!AA114,TTSSKĐ!AE114,TTSSKĐ!AI114)))</f>
        <v>0</v>
      </c>
      <c r="K114">
        <f>SUMPRODUCT((MONTH(CHOOSE({1,2,3,4},TTSSKĐ!T114,TTSSKĐ!X114,TTSSKĐ!AB114,TTSSKĐ!AF114))=11)*(CHOOSE({1,2,3,4},TTSSKĐ!W114,TTSSKĐ!AA114,TTSSKĐ!AE114,TTSSKĐ!AI114)))</f>
        <v>0</v>
      </c>
      <c r="L114">
        <f>SUMPRODUCT((MONTH(CHOOSE({1,2,3,4},TTSSKĐ!T114,TTSSKĐ!X114,TTSSKĐ!AB114,TTSSKĐ!AF114))=12)*(CHOOSE({1,2,3,4},TTSSKĐ!W114,TTSSKĐ!AA114,TTSSKĐ!AE114,TTSSKĐ!AI114)))</f>
        <v>0</v>
      </c>
    </row>
    <row r="115" spans="1:12">
      <c r="A115">
        <f>SUMPRODUCT((MONTH(CHOOSE({1,2,3,4},TTSSKĐ!T115,TTSSKĐ!X115,TTSSKĐ!AB115,TTSSKĐ!AF115))=1)*(CHOOSE({1,2,3,4},TTSSKĐ!W115,TTSSKĐ!AA115,TTSSKĐ!AE115,TTSSKĐ!AI115)))</f>
        <v>0</v>
      </c>
      <c r="B115">
        <f>SUMPRODUCT((MONTH(CHOOSE({1,2,3,4},TTSSKĐ!T115,TTSSKĐ!X115,TTSSKĐ!AB115,TTSSKĐ!AF115))=2)*(CHOOSE({1,2,3,4},TTSSKĐ!W115,TTSSKĐ!AA115,TTSSKĐ!AE115,TTSSKĐ!AI115)))</f>
        <v>0</v>
      </c>
      <c r="C115">
        <f>SUMPRODUCT((MONTH(CHOOSE({1,2,3,4},TTSSKĐ!T115,TTSSKĐ!X115,TTSSKĐ!AB115,TTSSKĐ!AF115))=3)*(CHOOSE({1,2,3,4},TTSSKĐ!W115,TTSSKĐ!AA115,TTSSKĐ!AE115,TTSSKĐ!AI115)))</f>
        <v>0</v>
      </c>
      <c r="D115">
        <f>SUMPRODUCT((MONTH(CHOOSE({1,2,3,4},TTSSKĐ!T115,TTSSKĐ!X115,TTSSKĐ!AB115,TTSSKĐ!AF115))=4)*(CHOOSE({1,2,3,4},TTSSKĐ!W115,TTSSKĐ!AA115,TTSSKĐ!AE115,TTSSKĐ!AI115)))</f>
        <v>0</v>
      </c>
      <c r="E115">
        <f>SUMPRODUCT((MONTH(CHOOSE({1,2,3,4},TTSSKĐ!T115,TTSSKĐ!X115,TTSSKĐ!AB115,TTSSKĐ!AF115))=5)*(CHOOSE({1,2,3,4},TTSSKĐ!W115,TTSSKĐ!AA115,TTSSKĐ!AE115,TTSSKĐ!AI115)))</f>
        <v>0</v>
      </c>
      <c r="F115">
        <f>SUMPRODUCT((MONTH(CHOOSE({1,2,3,4},TTSSKĐ!T115,TTSSKĐ!X115,TTSSKĐ!AB115,TTSSKĐ!AF115))=6)*(CHOOSE({1,2,3,4},TTSSKĐ!W115,TTSSKĐ!AA115,TTSSKĐ!AE115,TTSSKĐ!AI115)))</f>
        <v>0</v>
      </c>
      <c r="G115">
        <f>SUMPRODUCT((MONTH(CHOOSE({1,2,3,4},TTSSKĐ!T115,TTSSKĐ!X115,TTSSKĐ!AB115,TTSSKĐ!AF115))=7)*(CHOOSE({1,2,3,4},TTSSKĐ!W115,TTSSKĐ!AA115,TTSSKĐ!AE115,TTSSKĐ!AI115)))</f>
        <v>0</v>
      </c>
      <c r="H115">
        <f>SUMPRODUCT((MONTH(CHOOSE({1,2,3,4},TTSSKĐ!T115,TTSSKĐ!X115,TTSSKĐ!AB115,TTSSKĐ!AF115))=8)*(CHOOSE({1,2,3,4},TTSSKĐ!W115,TTSSKĐ!AA115,TTSSKĐ!AE115,TTSSKĐ!AI115)))</f>
        <v>0</v>
      </c>
      <c r="I115">
        <f>SUMPRODUCT((MONTH(CHOOSE({1,2,3,4},TTSSKĐ!T115,TTSSKĐ!X115,TTSSKĐ!AB115,TTSSKĐ!AF115))=9)*(CHOOSE({1,2,3,4},TTSSKĐ!W115,TTSSKĐ!AA115,TTSSKĐ!AE115,TTSSKĐ!AI115)))</f>
        <v>0</v>
      </c>
      <c r="J115">
        <f>SUMPRODUCT((MONTH(CHOOSE({1,2,3,4},TTSSKĐ!T115,TTSSKĐ!X115,TTSSKĐ!AB115,TTSSKĐ!AF115))=10)*(CHOOSE({1,2,3,4},TTSSKĐ!W115,TTSSKĐ!AA115,TTSSKĐ!AE115,TTSSKĐ!AI115)))</f>
        <v>0</v>
      </c>
      <c r="K115">
        <f>SUMPRODUCT((MONTH(CHOOSE({1,2,3,4},TTSSKĐ!T115,TTSSKĐ!X115,TTSSKĐ!AB115,TTSSKĐ!AF115))=11)*(CHOOSE({1,2,3,4},TTSSKĐ!W115,TTSSKĐ!AA115,TTSSKĐ!AE115,TTSSKĐ!AI115)))</f>
        <v>0</v>
      </c>
      <c r="L115">
        <f>SUMPRODUCT((MONTH(CHOOSE({1,2,3,4},TTSSKĐ!T115,TTSSKĐ!X115,TTSSKĐ!AB115,TTSSKĐ!AF115))=12)*(CHOOSE({1,2,3,4},TTSSKĐ!W115,TTSSKĐ!AA115,TTSSKĐ!AE115,TTSSKĐ!AI115)))</f>
        <v>0</v>
      </c>
    </row>
    <row r="116" spans="1:12">
      <c r="A116">
        <f>SUMPRODUCT((MONTH(CHOOSE({1,2,3,4},TTSSKĐ!T116,TTSSKĐ!X116,TTSSKĐ!AB116,TTSSKĐ!AF116))=1)*(CHOOSE({1,2,3,4},TTSSKĐ!W116,TTSSKĐ!AA116,TTSSKĐ!AE116,TTSSKĐ!AI116)))</f>
        <v>0</v>
      </c>
      <c r="B116">
        <f>SUMPRODUCT((MONTH(CHOOSE({1,2,3,4},TTSSKĐ!T116,TTSSKĐ!X116,TTSSKĐ!AB116,TTSSKĐ!AF116))=2)*(CHOOSE({1,2,3,4},TTSSKĐ!W116,TTSSKĐ!AA116,TTSSKĐ!AE116,TTSSKĐ!AI116)))</f>
        <v>0</v>
      </c>
      <c r="C116">
        <f>SUMPRODUCT((MONTH(CHOOSE({1,2,3,4},TTSSKĐ!T116,TTSSKĐ!X116,TTSSKĐ!AB116,TTSSKĐ!AF116))=3)*(CHOOSE({1,2,3,4},TTSSKĐ!W116,TTSSKĐ!AA116,TTSSKĐ!AE116,TTSSKĐ!AI116)))</f>
        <v>0</v>
      </c>
      <c r="D116">
        <f>SUMPRODUCT((MONTH(CHOOSE({1,2,3,4},TTSSKĐ!T116,TTSSKĐ!X116,TTSSKĐ!AB116,TTSSKĐ!AF116))=4)*(CHOOSE({1,2,3,4},TTSSKĐ!W116,TTSSKĐ!AA116,TTSSKĐ!AE116,TTSSKĐ!AI116)))</f>
        <v>0</v>
      </c>
      <c r="E116">
        <f>SUMPRODUCT((MONTH(CHOOSE({1,2,3,4},TTSSKĐ!T116,TTSSKĐ!X116,TTSSKĐ!AB116,TTSSKĐ!AF116))=5)*(CHOOSE({1,2,3,4},TTSSKĐ!W116,TTSSKĐ!AA116,TTSSKĐ!AE116,TTSSKĐ!AI116)))</f>
        <v>0</v>
      </c>
      <c r="F116">
        <f>SUMPRODUCT((MONTH(CHOOSE({1,2,3,4},TTSSKĐ!T116,TTSSKĐ!X116,TTSSKĐ!AB116,TTSSKĐ!AF116))=6)*(CHOOSE({1,2,3,4},TTSSKĐ!W116,TTSSKĐ!AA116,TTSSKĐ!AE116,TTSSKĐ!AI116)))</f>
        <v>0</v>
      </c>
      <c r="G116">
        <f>SUMPRODUCT((MONTH(CHOOSE({1,2,3,4},TTSSKĐ!T116,TTSSKĐ!X116,TTSSKĐ!AB116,TTSSKĐ!AF116))=7)*(CHOOSE({1,2,3,4},TTSSKĐ!W116,TTSSKĐ!AA116,TTSSKĐ!AE116,TTSSKĐ!AI116)))</f>
        <v>0</v>
      </c>
      <c r="H116">
        <f>SUMPRODUCT((MONTH(CHOOSE({1,2,3,4},TTSSKĐ!T116,TTSSKĐ!X116,TTSSKĐ!AB116,TTSSKĐ!AF116))=8)*(CHOOSE({1,2,3,4},TTSSKĐ!W116,TTSSKĐ!AA116,TTSSKĐ!AE116,TTSSKĐ!AI116)))</f>
        <v>0</v>
      </c>
      <c r="I116">
        <f>SUMPRODUCT((MONTH(CHOOSE({1,2,3,4},TTSSKĐ!T116,TTSSKĐ!X116,TTSSKĐ!AB116,TTSSKĐ!AF116))=9)*(CHOOSE({1,2,3,4},TTSSKĐ!W116,TTSSKĐ!AA116,TTSSKĐ!AE116,TTSSKĐ!AI116)))</f>
        <v>0</v>
      </c>
      <c r="J116">
        <f>SUMPRODUCT((MONTH(CHOOSE({1,2,3,4},TTSSKĐ!T116,TTSSKĐ!X116,TTSSKĐ!AB116,TTSSKĐ!AF116))=10)*(CHOOSE({1,2,3,4},TTSSKĐ!W116,TTSSKĐ!AA116,TTSSKĐ!AE116,TTSSKĐ!AI116)))</f>
        <v>0</v>
      </c>
      <c r="K116">
        <f>SUMPRODUCT((MONTH(CHOOSE({1,2,3,4},TTSSKĐ!T116,TTSSKĐ!X116,TTSSKĐ!AB116,TTSSKĐ!AF116))=11)*(CHOOSE({1,2,3,4},TTSSKĐ!W116,TTSSKĐ!AA116,TTSSKĐ!AE116,TTSSKĐ!AI116)))</f>
        <v>0</v>
      </c>
      <c r="L116">
        <f>SUMPRODUCT((MONTH(CHOOSE({1,2,3,4},TTSSKĐ!T116,TTSSKĐ!X116,TTSSKĐ!AB116,TTSSKĐ!AF116))=12)*(CHOOSE({1,2,3,4},TTSSKĐ!W116,TTSSKĐ!AA116,TTSSKĐ!AE116,TTSSKĐ!AI116)))</f>
        <v>0</v>
      </c>
    </row>
    <row r="117" spans="1:12">
      <c r="A117">
        <f>SUMPRODUCT((MONTH(CHOOSE({1,2,3,4},TTSSKĐ!T117,TTSSKĐ!X117,TTSSKĐ!AB117,TTSSKĐ!AF117))=1)*(CHOOSE({1,2,3,4},TTSSKĐ!W117,TTSSKĐ!AA117,TTSSKĐ!AE117,TTSSKĐ!AI117)))</f>
        <v>0</v>
      </c>
      <c r="B117">
        <f>SUMPRODUCT((MONTH(CHOOSE({1,2,3,4},TTSSKĐ!T117,TTSSKĐ!X117,TTSSKĐ!AB117,TTSSKĐ!AF117))=2)*(CHOOSE({1,2,3,4},TTSSKĐ!W117,TTSSKĐ!AA117,TTSSKĐ!AE117,TTSSKĐ!AI117)))</f>
        <v>0</v>
      </c>
      <c r="C117">
        <f>SUMPRODUCT((MONTH(CHOOSE({1,2,3,4},TTSSKĐ!T117,TTSSKĐ!X117,TTSSKĐ!AB117,TTSSKĐ!AF117))=3)*(CHOOSE({1,2,3,4},TTSSKĐ!W117,TTSSKĐ!AA117,TTSSKĐ!AE117,TTSSKĐ!AI117)))</f>
        <v>0</v>
      </c>
      <c r="D117">
        <f>SUMPRODUCT((MONTH(CHOOSE({1,2,3,4},TTSSKĐ!T117,TTSSKĐ!X117,TTSSKĐ!AB117,TTSSKĐ!AF117))=4)*(CHOOSE({1,2,3,4},TTSSKĐ!W117,TTSSKĐ!AA117,TTSSKĐ!AE117,TTSSKĐ!AI117)))</f>
        <v>0</v>
      </c>
      <c r="E117">
        <f>SUMPRODUCT((MONTH(CHOOSE({1,2,3,4},TTSSKĐ!T117,TTSSKĐ!X117,TTSSKĐ!AB117,TTSSKĐ!AF117))=5)*(CHOOSE({1,2,3,4},TTSSKĐ!W117,TTSSKĐ!AA117,TTSSKĐ!AE117,TTSSKĐ!AI117)))</f>
        <v>0</v>
      </c>
      <c r="F117">
        <f>SUMPRODUCT((MONTH(CHOOSE({1,2,3,4},TTSSKĐ!T117,TTSSKĐ!X117,TTSSKĐ!AB117,TTSSKĐ!AF117))=6)*(CHOOSE({1,2,3,4},TTSSKĐ!W117,TTSSKĐ!AA117,TTSSKĐ!AE117,TTSSKĐ!AI117)))</f>
        <v>0</v>
      </c>
      <c r="G117">
        <f>SUMPRODUCT((MONTH(CHOOSE({1,2,3,4},TTSSKĐ!T117,TTSSKĐ!X117,TTSSKĐ!AB117,TTSSKĐ!AF117))=7)*(CHOOSE({1,2,3,4},TTSSKĐ!W117,TTSSKĐ!AA117,TTSSKĐ!AE117,TTSSKĐ!AI117)))</f>
        <v>0</v>
      </c>
      <c r="H117">
        <f>SUMPRODUCT((MONTH(CHOOSE({1,2,3,4},TTSSKĐ!T117,TTSSKĐ!X117,TTSSKĐ!AB117,TTSSKĐ!AF117))=8)*(CHOOSE({1,2,3,4},TTSSKĐ!W117,TTSSKĐ!AA117,TTSSKĐ!AE117,TTSSKĐ!AI117)))</f>
        <v>0</v>
      </c>
      <c r="I117">
        <f>SUMPRODUCT((MONTH(CHOOSE({1,2,3,4},TTSSKĐ!T117,TTSSKĐ!X117,TTSSKĐ!AB117,TTSSKĐ!AF117))=9)*(CHOOSE({1,2,3,4},TTSSKĐ!W117,TTSSKĐ!AA117,TTSSKĐ!AE117,TTSSKĐ!AI117)))</f>
        <v>0</v>
      </c>
      <c r="J117">
        <f>SUMPRODUCT((MONTH(CHOOSE({1,2,3,4},TTSSKĐ!T117,TTSSKĐ!X117,TTSSKĐ!AB117,TTSSKĐ!AF117))=10)*(CHOOSE({1,2,3,4},TTSSKĐ!W117,TTSSKĐ!AA117,TTSSKĐ!AE117,TTSSKĐ!AI117)))</f>
        <v>0</v>
      </c>
      <c r="K117">
        <f>SUMPRODUCT((MONTH(CHOOSE({1,2,3,4},TTSSKĐ!T117,TTSSKĐ!X117,TTSSKĐ!AB117,TTSSKĐ!AF117))=11)*(CHOOSE({1,2,3,4},TTSSKĐ!W117,TTSSKĐ!AA117,TTSSKĐ!AE117,TTSSKĐ!AI117)))</f>
        <v>0</v>
      </c>
      <c r="L117">
        <f>SUMPRODUCT((MONTH(CHOOSE({1,2,3,4},TTSSKĐ!T117,TTSSKĐ!X117,TTSSKĐ!AB117,TTSSKĐ!AF117))=12)*(CHOOSE({1,2,3,4},TTSSKĐ!W117,TTSSKĐ!AA117,TTSSKĐ!AE117,TTSSKĐ!AI117)))</f>
        <v>0</v>
      </c>
    </row>
    <row r="118" spans="1:12">
      <c r="A118">
        <f>SUMPRODUCT((MONTH(CHOOSE({1,2,3,4},TTSSKĐ!T118,TTSSKĐ!X118,TTSSKĐ!AB118,TTSSKĐ!AF118))=1)*(CHOOSE({1,2,3,4},TTSSKĐ!W118,TTSSKĐ!AA118,TTSSKĐ!AE118,TTSSKĐ!AI118)))</f>
        <v>0</v>
      </c>
      <c r="B118">
        <f>SUMPRODUCT((MONTH(CHOOSE({1,2,3,4},TTSSKĐ!T118,TTSSKĐ!X118,TTSSKĐ!AB118,TTSSKĐ!AF118))=2)*(CHOOSE({1,2,3,4},TTSSKĐ!W118,TTSSKĐ!AA118,TTSSKĐ!AE118,TTSSKĐ!AI118)))</f>
        <v>0</v>
      </c>
      <c r="C118">
        <f>SUMPRODUCT((MONTH(CHOOSE({1,2,3,4},TTSSKĐ!T118,TTSSKĐ!X118,TTSSKĐ!AB118,TTSSKĐ!AF118))=3)*(CHOOSE({1,2,3,4},TTSSKĐ!W118,TTSSKĐ!AA118,TTSSKĐ!AE118,TTSSKĐ!AI118)))</f>
        <v>0</v>
      </c>
      <c r="D118">
        <f>SUMPRODUCT((MONTH(CHOOSE({1,2,3,4},TTSSKĐ!T118,TTSSKĐ!X118,TTSSKĐ!AB118,TTSSKĐ!AF118))=4)*(CHOOSE({1,2,3,4},TTSSKĐ!W118,TTSSKĐ!AA118,TTSSKĐ!AE118,TTSSKĐ!AI118)))</f>
        <v>0</v>
      </c>
      <c r="E118">
        <f>SUMPRODUCT((MONTH(CHOOSE({1,2,3,4},TTSSKĐ!T118,TTSSKĐ!X118,TTSSKĐ!AB118,TTSSKĐ!AF118))=5)*(CHOOSE({1,2,3,4},TTSSKĐ!W118,TTSSKĐ!AA118,TTSSKĐ!AE118,TTSSKĐ!AI118)))</f>
        <v>0</v>
      </c>
      <c r="F118">
        <f>SUMPRODUCT((MONTH(CHOOSE({1,2,3,4},TTSSKĐ!T118,TTSSKĐ!X118,TTSSKĐ!AB118,TTSSKĐ!AF118))=6)*(CHOOSE({1,2,3,4},TTSSKĐ!W118,TTSSKĐ!AA118,TTSSKĐ!AE118,TTSSKĐ!AI118)))</f>
        <v>0</v>
      </c>
      <c r="G118">
        <f>SUMPRODUCT((MONTH(CHOOSE({1,2,3,4},TTSSKĐ!T118,TTSSKĐ!X118,TTSSKĐ!AB118,TTSSKĐ!AF118))=7)*(CHOOSE({1,2,3,4},TTSSKĐ!W118,TTSSKĐ!AA118,TTSSKĐ!AE118,TTSSKĐ!AI118)))</f>
        <v>0</v>
      </c>
      <c r="H118">
        <f>SUMPRODUCT((MONTH(CHOOSE({1,2,3,4},TTSSKĐ!T118,TTSSKĐ!X118,TTSSKĐ!AB118,TTSSKĐ!AF118))=8)*(CHOOSE({1,2,3,4},TTSSKĐ!W118,TTSSKĐ!AA118,TTSSKĐ!AE118,TTSSKĐ!AI118)))</f>
        <v>0</v>
      </c>
      <c r="I118">
        <f>SUMPRODUCT((MONTH(CHOOSE({1,2,3,4},TTSSKĐ!T118,TTSSKĐ!X118,TTSSKĐ!AB118,TTSSKĐ!AF118))=9)*(CHOOSE({1,2,3,4},TTSSKĐ!W118,TTSSKĐ!AA118,TTSSKĐ!AE118,TTSSKĐ!AI118)))</f>
        <v>0</v>
      </c>
      <c r="J118">
        <f>SUMPRODUCT((MONTH(CHOOSE({1,2,3,4},TTSSKĐ!T118,TTSSKĐ!X118,TTSSKĐ!AB118,TTSSKĐ!AF118))=10)*(CHOOSE({1,2,3,4},TTSSKĐ!W118,TTSSKĐ!AA118,TTSSKĐ!AE118,TTSSKĐ!AI118)))</f>
        <v>0</v>
      </c>
      <c r="K118">
        <f>SUMPRODUCT((MONTH(CHOOSE({1,2,3,4},TTSSKĐ!T118,TTSSKĐ!X118,TTSSKĐ!AB118,TTSSKĐ!AF118))=11)*(CHOOSE({1,2,3,4},TTSSKĐ!W118,TTSSKĐ!AA118,TTSSKĐ!AE118,TTSSKĐ!AI118)))</f>
        <v>0</v>
      </c>
      <c r="L118">
        <f>SUMPRODUCT((MONTH(CHOOSE({1,2,3,4},TTSSKĐ!T118,TTSSKĐ!X118,TTSSKĐ!AB118,TTSSKĐ!AF118))=12)*(CHOOSE({1,2,3,4},TTSSKĐ!W118,TTSSKĐ!AA118,TTSSKĐ!AE118,TTSSKĐ!AI118)))</f>
        <v>0</v>
      </c>
    </row>
    <row r="119" spans="1:12">
      <c r="A119">
        <f>SUMPRODUCT((MONTH(CHOOSE({1,2,3,4},TTSSKĐ!T119,TTSSKĐ!X119,TTSSKĐ!AB119,TTSSKĐ!AF119))=1)*(CHOOSE({1,2,3,4},TTSSKĐ!W119,TTSSKĐ!AA119,TTSSKĐ!AE119,TTSSKĐ!AI119)))</f>
        <v>0</v>
      </c>
      <c r="B119">
        <f>SUMPRODUCT((MONTH(CHOOSE({1,2,3,4},TTSSKĐ!T119,TTSSKĐ!X119,TTSSKĐ!AB119,TTSSKĐ!AF119))=2)*(CHOOSE({1,2,3,4},TTSSKĐ!W119,TTSSKĐ!AA119,TTSSKĐ!AE119,TTSSKĐ!AI119)))</f>
        <v>0</v>
      </c>
      <c r="C119">
        <f>SUMPRODUCT((MONTH(CHOOSE({1,2,3,4},TTSSKĐ!T119,TTSSKĐ!X119,TTSSKĐ!AB119,TTSSKĐ!AF119))=3)*(CHOOSE({1,2,3,4},TTSSKĐ!W119,TTSSKĐ!AA119,TTSSKĐ!AE119,TTSSKĐ!AI119)))</f>
        <v>0</v>
      </c>
      <c r="D119">
        <f>SUMPRODUCT((MONTH(CHOOSE({1,2,3,4},TTSSKĐ!T119,TTSSKĐ!X119,TTSSKĐ!AB119,TTSSKĐ!AF119))=4)*(CHOOSE({1,2,3,4},TTSSKĐ!W119,TTSSKĐ!AA119,TTSSKĐ!AE119,TTSSKĐ!AI119)))</f>
        <v>0</v>
      </c>
      <c r="E119">
        <f>SUMPRODUCT((MONTH(CHOOSE({1,2,3,4},TTSSKĐ!T119,TTSSKĐ!X119,TTSSKĐ!AB119,TTSSKĐ!AF119))=5)*(CHOOSE({1,2,3,4},TTSSKĐ!W119,TTSSKĐ!AA119,TTSSKĐ!AE119,TTSSKĐ!AI119)))</f>
        <v>0</v>
      </c>
      <c r="F119">
        <f>SUMPRODUCT((MONTH(CHOOSE({1,2,3,4},TTSSKĐ!T119,TTSSKĐ!X119,TTSSKĐ!AB119,TTSSKĐ!AF119))=6)*(CHOOSE({1,2,3,4},TTSSKĐ!W119,TTSSKĐ!AA119,TTSSKĐ!AE119,TTSSKĐ!AI119)))</f>
        <v>0</v>
      </c>
      <c r="G119">
        <f>SUMPRODUCT((MONTH(CHOOSE({1,2,3,4},TTSSKĐ!T119,TTSSKĐ!X119,TTSSKĐ!AB119,TTSSKĐ!AF119))=7)*(CHOOSE({1,2,3,4},TTSSKĐ!W119,TTSSKĐ!AA119,TTSSKĐ!AE119,TTSSKĐ!AI119)))</f>
        <v>0</v>
      </c>
      <c r="H119">
        <f>SUMPRODUCT((MONTH(CHOOSE({1,2,3,4},TTSSKĐ!T119,TTSSKĐ!X119,TTSSKĐ!AB119,TTSSKĐ!AF119))=8)*(CHOOSE({1,2,3,4},TTSSKĐ!W119,TTSSKĐ!AA119,TTSSKĐ!AE119,TTSSKĐ!AI119)))</f>
        <v>0</v>
      </c>
      <c r="I119">
        <f>SUMPRODUCT((MONTH(CHOOSE({1,2,3,4},TTSSKĐ!T119,TTSSKĐ!X119,TTSSKĐ!AB119,TTSSKĐ!AF119))=9)*(CHOOSE({1,2,3,4},TTSSKĐ!W119,TTSSKĐ!AA119,TTSSKĐ!AE119,TTSSKĐ!AI119)))</f>
        <v>0</v>
      </c>
      <c r="J119">
        <f>SUMPRODUCT((MONTH(CHOOSE({1,2,3,4},TTSSKĐ!T119,TTSSKĐ!X119,TTSSKĐ!AB119,TTSSKĐ!AF119))=10)*(CHOOSE({1,2,3,4},TTSSKĐ!W119,TTSSKĐ!AA119,TTSSKĐ!AE119,TTSSKĐ!AI119)))</f>
        <v>0</v>
      </c>
      <c r="K119">
        <f>SUMPRODUCT((MONTH(CHOOSE({1,2,3,4},TTSSKĐ!T119,TTSSKĐ!X119,TTSSKĐ!AB119,TTSSKĐ!AF119))=11)*(CHOOSE({1,2,3,4},TTSSKĐ!W119,TTSSKĐ!AA119,TTSSKĐ!AE119,TTSSKĐ!AI119)))</f>
        <v>0</v>
      </c>
      <c r="L119">
        <f>SUMPRODUCT((MONTH(CHOOSE({1,2,3,4},TTSSKĐ!T119,TTSSKĐ!X119,TTSSKĐ!AB119,TTSSKĐ!AF119))=12)*(CHOOSE({1,2,3,4},TTSSKĐ!W119,TTSSKĐ!AA119,TTSSKĐ!AE119,TTSSKĐ!AI119)))</f>
        <v>0</v>
      </c>
    </row>
    <row r="120" spans="1:12">
      <c r="A120">
        <f>SUMPRODUCT((MONTH(CHOOSE({1,2,3,4},TTSSKĐ!T120,TTSSKĐ!X120,TTSSKĐ!AB120,TTSSKĐ!AF120))=1)*(CHOOSE({1,2,3,4},TTSSKĐ!W120,TTSSKĐ!AA120,TTSSKĐ!AE120,TTSSKĐ!AI120)))</f>
        <v>0</v>
      </c>
      <c r="B120">
        <f>SUMPRODUCT((MONTH(CHOOSE({1,2,3,4},TTSSKĐ!T120,TTSSKĐ!X120,TTSSKĐ!AB120,TTSSKĐ!AF120))=2)*(CHOOSE({1,2,3,4},TTSSKĐ!W120,TTSSKĐ!AA120,TTSSKĐ!AE120,TTSSKĐ!AI120)))</f>
        <v>0</v>
      </c>
      <c r="C120">
        <f>SUMPRODUCT((MONTH(CHOOSE({1,2,3,4},TTSSKĐ!T120,TTSSKĐ!X120,TTSSKĐ!AB120,TTSSKĐ!AF120))=3)*(CHOOSE({1,2,3,4},TTSSKĐ!W120,TTSSKĐ!AA120,TTSSKĐ!AE120,TTSSKĐ!AI120)))</f>
        <v>0</v>
      </c>
      <c r="D120">
        <f>SUMPRODUCT((MONTH(CHOOSE({1,2,3,4},TTSSKĐ!T120,TTSSKĐ!X120,TTSSKĐ!AB120,TTSSKĐ!AF120))=4)*(CHOOSE({1,2,3,4},TTSSKĐ!W120,TTSSKĐ!AA120,TTSSKĐ!AE120,TTSSKĐ!AI120)))</f>
        <v>0</v>
      </c>
      <c r="E120">
        <f>SUMPRODUCT((MONTH(CHOOSE({1,2,3,4},TTSSKĐ!T120,TTSSKĐ!X120,TTSSKĐ!AB120,TTSSKĐ!AF120))=5)*(CHOOSE({1,2,3,4},TTSSKĐ!W120,TTSSKĐ!AA120,TTSSKĐ!AE120,TTSSKĐ!AI120)))</f>
        <v>0</v>
      </c>
      <c r="F120">
        <f>SUMPRODUCT((MONTH(CHOOSE({1,2,3,4},TTSSKĐ!T120,TTSSKĐ!X120,TTSSKĐ!AB120,TTSSKĐ!AF120))=6)*(CHOOSE({1,2,3,4},TTSSKĐ!W120,TTSSKĐ!AA120,TTSSKĐ!AE120,TTSSKĐ!AI120)))</f>
        <v>0</v>
      </c>
      <c r="G120">
        <f>SUMPRODUCT((MONTH(CHOOSE({1,2,3,4},TTSSKĐ!T120,TTSSKĐ!X120,TTSSKĐ!AB120,TTSSKĐ!AF120))=7)*(CHOOSE({1,2,3,4},TTSSKĐ!W120,TTSSKĐ!AA120,TTSSKĐ!AE120,TTSSKĐ!AI120)))</f>
        <v>0</v>
      </c>
      <c r="H120">
        <f>SUMPRODUCT((MONTH(CHOOSE({1,2,3,4},TTSSKĐ!T120,TTSSKĐ!X120,TTSSKĐ!AB120,TTSSKĐ!AF120))=8)*(CHOOSE({1,2,3,4},TTSSKĐ!W120,TTSSKĐ!AA120,TTSSKĐ!AE120,TTSSKĐ!AI120)))</f>
        <v>0</v>
      </c>
      <c r="I120">
        <f>SUMPRODUCT((MONTH(CHOOSE({1,2,3,4},TTSSKĐ!T120,TTSSKĐ!X120,TTSSKĐ!AB120,TTSSKĐ!AF120))=9)*(CHOOSE({1,2,3,4},TTSSKĐ!W120,TTSSKĐ!AA120,TTSSKĐ!AE120,TTSSKĐ!AI120)))</f>
        <v>0</v>
      </c>
      <c r="J120">
        <f>SUMPRODUCT((MONTH(CHOOSE({1,2,3,4},TTSSKĐ!T120,TTSSKĐ!X120,TTSSKĐ!AB120,TTSSKĐ!AF120))=10)*(CHOOSE({1,2,3,4},TTSSKĐ!W120,TTSSKĐ!AA120,TTSSKĐ!AE120,TTSSKĐ!AI120)))</f>
        <v>0</v>
      </c>
      <c r="K120">
        <f>SUMPRODUCT((MONTH(CHOOSE({1,2,3,4},TTSSKĐ!T120,TTSSKĐ!X120,TTSSKĐ!AB120,TTSSKĐ!AF120))=11)*(CHOOSE({1,2,3,4},TTSSKĐ!W120,TTSSKĐ!AA120,TTSSKĐ!AE120,TTSSKĐ!AI120)))</f>
        <v>0</v>
      </c>
      <c r="L120">
        <f>SUMPRODUCT((MONTH(CHOOSE({1,2,3,4},TTSSKĐ!T120,TTSSKĐ!X120,TTSSKĐ!AB120,TTSSKĐ!AF120))=12)*(CHOOSE({1,2,3,4},TTSSKĐ!W120,TTSSKĐ!AA120,TTSSKĐ!AE120,TTSSKĐ!AI120)))</f>
        <v>0</v>
      </c>
    </row>
    <row r="121" spans="1:12">
      <c r="A121">
        <f>SUMPRODUCT((MONTH(CHOOSE({1,2,3,4},TTSSKĐ!T121,TTSSKĐ!X121,TTSSKĐ!AB121,TTSSKĐ!AF121))=1)*(CHOOSE({1,2,3,4},TTSSKĐ!W121,TTSSKĐ!AA121,TTSSKĐ!AE121,TTSSKĐ!AI121)))</f>
        <v>0</v>
      </c>
      <c r="B121">
        <f>SUMPRODUCT((MONTH(CHOOSE({1,2,3,4},TTSSKĐ!T121,TTSSKĐ!X121,TTSSKĐ!AB121,TTSSKĐ!AF121))=2)*(CHOOSE({1,2,3,4},TTSSKĐ!W121,TTSSKĐ!AA121,TTSSKĐ!AE121,TTSSKĐ!AI121)))</f>
        <v>0</v>
      </c>
      <c r="C121">
        <f>SUMPRODUCT((MONTH(CHOOSE({1,2,3,4},TTSSKĐ!T121,TTSSKĐ!X121,TTSSKĐ!AB121,TTSSKĐ!AF121))=3)*(CHOOSE({1,2,3,4},TTSSKĐ!W121,TTSSKĐ!AA121,TTSSKĐ!AE121,TTSSKĐ!AI121)))</f>
        <v>0</v>
      </c>
      <c r="D121">
        <f>SUMPRODUCT((MONTH(CHOOSE({1,2,3,4},TTSSKĐ!T121,TTSSKĐ!X121,TTSSKĐ!AB121,TTSSKĐ!AF121))=4)*(CHOOSE({1,2,3,4},TTSSKĐ!W121,TTSSKĐ!AA121,TTSSKĐ!AE121,TTSSKĐ!AI121)))</f>
        <v>0</v>
      </c>
      <c r="E121">
        <f>SUMPRODUCT((MONTH(CHOOSE({1,2,3,4},TTSSKĐ!T121,TTSSKĐ!X121,TTSSKĐ!AB121,TTSSKĐ!AF121))=5)*(CHOOSE({1,2,3,4},TTSSKĐ!W121,TTSSKĐ!AA121,TTSSKĐ!AE121,TTSSKĐ!AI121)))</f>
        <v>0</v>
      </c>
      <c r="F121">
        <f>SUMPRODUCT((MONTH(CHOOSE({1,2,3,4},TTSSKĐ!T121,TTSSKĐ!X121,TTSSKĐ!AB121,TTSSKĐ!AF121))=6)*(CHOOSE({1,2,3,4},TTSSKĐ!W121,TTSSKĐ!AA121,TTSSKĐ!AE121,TTSSKĐ!AI121)))</f>
        <v>0</v>
      </c>
      <c r="G121">
        <f>SUMPRODUCT((MONTH(CHOOSE({1,2,3,4},TTSSKĐ!T121,TTSSKĐ!X121,TTSSKĐ!AB121,TTSSKĐ!AF121))=7)*(CHOOSE({1,2,3,4},TTSSKĐ!W121,TTSSKĐ!AA121,TTSSKĐ!AE121,TTSSKĐ!AI121)))</f>
        <v>0</v>
      </c>
      <c r="H121">
        <f>SUMPRODUCT((MONTH(CHOOSE({1,2,3,4},TTSSKĐ!T121,TTSSKĐ!X121,TTSSKĐ!AB121,TTSSKĐ!AF121))=8)*(CHOOSE({1,2,3,4},TTSSKĐ!W121,TTSSKĐ!AA121,TTSSKĐ!AE121,TTSSKĐ!AI121)))</f>
        <v>0</v>
      </c>
      <c r="I121">
        <f>SUMPRODUCT((MONTH(CHOOSE({1,2,3,4},TTSSKĐ!T121,TTSSKĐ!X121,TTSSKĐ!AB121,TTSSKĐ!AF121))=9)*(CHOOSE({1,2,3,4},TTSSKĐ!W121,TTSSKĐ!AA121,TTSSKĐ!AE121,TTSSKĐ!AI121)))</f>
        <v>0</v>
      </c>
      <c r="J121">
        <f>SUMPRODUCT((MONTH(CHOOSE({1,2,3,4},TTSSKĐ!T121,TTSSKĐ!X121,TTSSKĐ!AB121,TTSSKĐ!AF121))=10)*(CHOOSE({1,2,3,4},TTSSKĐ!W121,TTSSKĐ!AA121,TTSSKĐ!AE121,TTSSKĐ!AI121)))</f>
        <v>0</v>
      </c>
      <c r="K121">
        <f>SUMPRODUCT((MONTH(CHOOSE({1,2,3,4},TTSSKĐ!T121,TTSSKĐ!X121,TTSSKĐ!AB121,TTSSKĐ!AF121))=11)*(CHOOSE({1,2,3,4},TTSSKĐ!W121,TTSSKĐ!AA121,TTSSKĐ!AE121,TTSSKĐ!AI121)))</f>
        <v>0</v>
      </c>
      <c r="L121">
        <f>SUMPRODUCT((MONTH(CHOOSE({1,2,3,4},TTSSKĐ!T121,TTSSKĐ!X121,TTSSKĐ!AB121,TTSSKĐ!AF121))=12)*(CHOOSE({1,2,3,4},TTSSKĐ!W121,TTSSKĐ!AA121,TTSSKĐ!AE121,TTSSKĐ!AI121)))</f>
        <v>0</v>
      </c>
    </row>
    <row r="122" spans="1:12">
      <c r="A122">
        <f>SUMPRODUCT((MONTH(CHOOSE({1,2,3,4},TTSSKĐ!T122,TTSSKĐ!X122,TTSSKĐ!AB122,TTSSKĐ!AF122))=1)*(CHOOSE({1,2,3,4},TTSSKĐ!W122,TTSSKĐ!AA122,TTSSKĐ!AE122,TTSSKĐ!AI122)))</f>
        <v>0</v>
      </c>
      <c r="B122">
        <f>SUMPRODUCT((MONTH(CHOOSE({1,2,3,4},TTSSKĐ!T122,TTSSKĐ!X122,TTSSKĐ!AB122,TTSSKĐ!AF122))=2)*(CHOOSE({1,2,3,4},TTSSKĐ!W122,TTSSKĐ!AA122,TTSSKĐ!AE122,TTSSKĐ!AI122)))</f>
        <v>0</v>
      </c>
      <c r="C122">
        <f>SUMPRODUCT((MONTH(CHOOSE({1,2,3,4},TTSSKĐ!T122,TTSSKĐ!X122,TTSSKĐ!AB122,TTSSKĐ!AF122))=3)*(CHOOSE({1,2,3,4},TTSSKĐ!W122,TTSSKĐ!AA122,TTSSKĐ!AE122,TTSSKĐ!AI122)))</f>
        <v>0</v>
      </c>
      <c r="D122">
        <f>SUMPRODUCT((MONTH(CHOOSE({1,2,3,4},TTSSKĐ!T122,TTSSKĐ!X122,TTSSKĐ!AB122,TTSSKĐ!AF122))=4)*(CHOOSE({1,2,3,4},TTSSKĐ!W122,TTSSKĐ!AA122,TTSSKĐ!AE122,TTSSKĐ!AI122)))</f>
        <v>0</v>
      </c>
      <c r="E122">
        <f>SUMPRODUCT((MONTH(CHOOSE({1,2,3,4},TTSSKĐ!T122,TTSSKĐ!X122,TTSSKĐ!AB122,TTSSKĐ!AF122))=5)*(CHOOSE({1,2,3,4},TTSSKĐ!W122,TTSSKĐ!AA122,TTSSKĐ!AE122,TTSSKĐ!AI122)))</f>
        <v>0</v>
      </c>
      <c r="F122">
        <f>SUMPRODUCT((MONTH(CHOOSE({1,2,3,4},TTSSKĐ!T122,TTSSKĐ!X122,TTSSKĐ!AB122,TTSSKĐ!AF122))=6)*(CHOOSE({1,2,3,4},TTSSKĐ!W122,TTSSKĐ!AA122,TTSSKĐ!AE122,TTSSKĐ!AI122)))</f>
        <v>0</v>
      </c>
      <c r="G122">
        <f>SUMPRODUCT((MONTH(CHOOSE({1,2,3,4},TTSSKĐ!T122,TTSSKĐ!X122,TTSSKĐ!AB122,TTSSKĐ!AF122))=7)*(CHOOSE({1,2,3,4},TTSSKĐ!W122,TTSSKĐ!AA122,TTSSKĐ!AE122,TTSSKĐ!AI122)))</f>
        <v>0</v>
      </c>
      <c r="H122">
        <f>SUMPRODUCT((MONTH(CHOOSE({1,2,3,4},TTSSKĐ!T122,TTSSKĐ!X122,TTSSKĐ!AB122,TTSSKĐ!AF122))=8)*(CHOOSE({1,2,3,4},TTSSKĐ!W122,TTSSKĐ!AA122,TTSSKĐ!AE122,TTSSKĐ!AI122)))</f>
        <v>0</v>
      </c>
      <c r="I122">
        <f>SUMPRODUCT((MONTH(CHOOSE({1,2,3,4},TTSSKĐ!T122,TTSSKĐ!X122,TTSSKĐ!AB122,TTSSKĐ!AF122))=9)*(CHOOSE({1,2,3,4},TTSSKĐ!W122,TTSSKĐ!AA122,TTSSKĐ!AE122,TTSSKĐ!AI122)))</f>
        <v>0</v>
      </c>
      <c r="J122">
        <f>SUMPRODUCT((MONTH(CHOOSE({1,2,3,4},TTSSKĐ!T122,TTSSKĐ!X122,TTSSKĐ!AB122,TTSSKĐ!AF122))=10)*(CHOOSE({1,2,3,4},TTSSKĐ!W122,TTSSKĐ!AA122,TTSSKĐ!AE122,TTSSKĐ!AI122)))</f>
        <v>0</v>
      </c>
      <c r="K122">
        <f>SUMPRODUCT((MONTH(CHOOSE({1,2,3,4},TTSSKĐ!T122,TTSSKĐ!X122,TTSSKĐ!AB122,TTSSKĐ!AF122))=11)*(CHOOSE({1,2,3,4},TTSSKĐ!W122,TTSSKĐ!AA122,TTSSKĐ!AE122,TTSSKĐ!AI122)))</f>
        <v>0</v>
      </c>
      <c r="L122">
        <f>SUMPRODUCT((MONTH(CHOOSE({1,2,3,4},TTSSKĐ!T122,TTSSKĐ!X122,TTSSKĐ!AB122,TTSSKĐ!AF122))=12)*(CHOOSE({1,2,3,4},TTSSKĐ!W122,TTSSKĐ!AA122,TTSSKĐ!AE122,TTSSKĐ!AI122)))</f>
        <v>0</v>
      </c>
    </row>
    <row r="123" spans="1:12">
      <c r="A123">
        <f>SUMPRODUCT((MONTH(CHOOSE({1,2,3,4},TTSSKĐ!T123,TTSSKĐ!X123,TTSSKĐ!AB123,TTSSKĐ!AF123))=1)*(CHOOSE({1,2,3,4},TTSSKĐ!W123,TTSSKĐ!AA123,TTSSKĐ!AE123,TTSSKĐ!AI123)))</f>
        <v>0</v>
      </c>
      <c r="B123">
        <f>SUMPRODUCT((MONTH(CHOOSE({1,2,3,4},TTSSKĐ!T123,TTSSKĐ!X123,TTSSKĐ!AB123,TTSSKĐ!AF123))=2)*(CHOOSE({1,2,3,4},TTSSKĐ!W123,TTSSKĐ!AA123,TTSSKĐ!AE123,TTSSKĐ!AI123)))</f>
        <v>0</v>
      </c>
      <c r="C123">
        <f>SUMPRODUCT((MONTH(CHOOSE({1,2,3,4},TTSSKĐ!T123,TTSSKĐ!X123,TTSSKĐ!AB123,TTSSKĐ!AF123))=3)*(CHOOSE({1,2,3,4},TTSSKĐ!W123,TTSSKĐ!AA123,TTSSKĐ!AE123,TTSSKĐ!AI123)))</f>
        <v>0</v>
      </c>
      <c r="D123">
        <f>SUMPRODUCT((MONTH(CHOOSE({1,2,3,4},TTSSKĐ!T123,TTSSKĐ!X123,TTSSKĐ!AB123,TTSSKĐ!AF123))=4)*(CHOOSE({1,2,3,4},TTSSKĐ!W123,TTSSKĐ!AA123,TTSSKĐ!AE123,TTSSKĐ!AI123)))</f>
        <v>0</v>
      </c>
      <c r="E123">
        <f>SUMPRODUCT((MONTH(CHOOSE({1,2,3,4},TTSSKĐ!T123,TTSSKĐ!X123,TTSSKĐ!AB123,TTSSKĐ!AF123))=5)*(CHOOSE({1,2,3,4},TTSSKĐ!W123,TTSSKĐ!AA123,TTSSKĐ!AE123,TTSSKĐ!AI123)))</f>
        <v>0</v>
      </c>
      <c r="F123">
        <f>SUMPRODUCT((MONTH(CHOOSE({1,2,3,4},TTSSKĐ!T123,TTSSKĐ!X123,TTSSKĐ!AB123,TTSSKĐ!AF123))=6)*(CHOOSE({1,2,3,4},TTSSKĐ!W123,TTSSKĐ!AA123,TTSSKĐ!AE123,TTSSKĐ!AI123)))</f>
        <v>0</v>
      </c>
      <c r="G123">
        <f>SUMPRODUCT((MONTH(CHOOSE({1,2,3,4},TTSSKĐ!T123,TTSSKĐ!X123,TTSSKĐ!AB123,TTSSKĐ!AF123))=7)*(CHOOSE({1,2,3,4},TTSSKĐ!W123,TTSSKĐ!AA123,TTSSKĐ!AE123,TTSSKĐ!AI123)))</f>
        <v>0</v>
      </c>
      <c r="H123">
        <f>SUMPRODUCT((MONTH(CHOOSE({1,2,3,4},TTSSKĐ!T123,TTSSKĐ!X123,TTSSKĐ!AB123,TTSSKĐ!AF123))=8)*(CHOOSE({1,2,3,4},TTSSKĐ!W123,TTSSKĐ!AA123,TTSSKĐ!AE123,TTSSKĐ!AI123)))</f>
        <v>0</v>
      </c>
      <c r="I123">
        <f>SUMPRODUCT((MONTH(CHOOSE({1,2,3,4},TTSSKĐ!T123,TTSSKĐ!X123,TTSSKĐ!AB123,TTSSKĐ!AF123))=9)*(CHOOSE({1,2,3,4},TTSSKĐ!W123,TTSSKĐ!AA123,TTSSKĐ!AE123,TTSSKĐ!AI123)))</f>
        <v>0</v>
      </c>
      <c r="J123">
        <f>SUMPRODUCT((MONTH(CHOOSE({1,2,3,4},TTSSKĐ!T123,TTSSKĐ!X123,TTSSKĐ!AB123,TTSSKĐ!AF123))=10)*(CHOOSE({1,2,3,4},TTSSKĐ!W123,TTSSKĐ!AA123,TTSSKĐ!AE123,TTSSKĐ!AI123)))</f>
        <v>0</v>
      </c>
      <c r="K123">
        <f>SUMPRODUCT((MONTH(CHOOSE({1,2,3,4},TTSSKĐ!T123,TTSSKĐ!X123,TTSSKĐ!AB123,TTSSKĐ!AF123))=11)*(CHOOSE({1,2,3,4},TTSSKĐ!W123,TTSSKĐ!AA123,TTSSKĐ!AE123,TTSSKĐ!AI123)))</f>
        <v>0</v>
      </c>
      <c r="L123">
        <f>SUMPRODUCT((MONTH(CHOOSE({1,2,3,4},TTSSKĐ!T123,TTSSKĐ!X123,TTSSKĐ!AB123,TTSSKĐ!AF123))=12)*(CHOOSE({1,2,3,4},TTSSKĐ!W123,TTSSKĐ!AA123,TTSSKĐ!AE123,TTSSKĐ!AI123)))</f>
        <v>0</v>
      </c>
    </row>
    <row r="124" spans="1:12">
      <c r="A124">
        <f>SUMPRODUCT((MONTH(CHOOSE({1,2,3,4},TTSSKĐ!T124,TTSSKĐ!X124,TTSSKĐ!AB124,TTSSKĐ!AF124))=1)*(CHOOSE({1,2,3,4},TTSSKĐ!W124,TTSSKĐ!AA124,TTSSKĐ!AE124,TTSSKĐ!AI124)))</f>
        <v>0</v>
      </c>
      <c r="B124">
        <f>SUMPRODUCT((MONTH(CHOOSE({1,2,3,4},TTSSKĐ!T124,TTSSKĐ!X124,TTSSKĐ!AB124,TTSSKĐ!AF124))=2)*(CHOOSE({1,2,3,4},TTSSKĐ!W124,TTSSKĐ!AA124,TTSSKĐ!AE124,TTSSKĐ!AI124)))</f>
        <v>0</v>
      </c>
      <c r="C124">
        <f>SUMPRODUCT((MONTH(CHOOSE({1,2,3,4},TTSSKĐ!T124,TTSSKĐ!X124,TTSSKĐ!AB124,TTSSKĐ!AF124))=3)*(CHOOSE({1,2,3,4},TTSSKĐ!W124,TTSSKĐ!AA124,TTSSKĐ!AE124,TTSSKĐ!AI124)))</f>
        <v>0</v>
      </c>
      <c r="D124">
        <f>SUMPRODUCT((MONTH(CHOOSE({1,2,3,4},TTSSKĐ!T124,TTSSKĐ!X124,TTSSKĐ!AB124,TTSSKĐ!AF124))=4)*(CHOOSE({1,2,3,4},TTSSKĐ!W124,TTSSKĐ!AA124,TTSSKĐ!AE124,TTSSKĐ!AI124)))</f>
        <v>0</v>
      </c>
      <c r="E124">
        <f>SUMPRODUCT((MONTH(CHOOSE({1,2,3,4},TTSSKĐ!T124,TTSSKĐ!X124,TTSSKĐ!AB124,TTSSKĐ!AF124))=5)*(CHOOSE({1,2,3,4},TTSSKĐ!W124,TTSSKĐ!AA124,TTSSKĐ!AE124,TTSSKĐ!AI124)))</f>
        <v>0</v>
      </c>
      <c r="F124">
        <f>SUMPRODUCT((MONTH(CHOOSE({1,2,3,4},TTSSKĐ!T124,TTSSKĐ!X124,TTSSKĐ!AB124,TTSSKĐ!AF124))=6)*(CHOOSE({1,2,3,4},TTSSKĐ!W124,TTSSKĐ!AA124,TTSSKĐ!AE124,TTSSKĐ!AI124)))</f>
        <v>0</v>
      </c>
      <c r="G124">
        <f>SUMPRODUCT((MONTH(CHOOSE({1,2,3,4},TTSSKĐ!T124,TTSSKĐ!X124,TTSSKĐ!AB124,TTSSKĐ!AF124))=7)*(CHOOSE({1,2,3,4},TTSSKĐ!W124,TTSSKĐ!AA124,TTSSKĐ!AE124,TTSSKĐ!AI124)))</f>
        <v>0</v>
      </c>
      <c r="H124">
        <f>SUMPRODUCT((MONTH(CHOOSE({1,2,3,4},TTSSKĐ!T124,TTSSKĐ!X124,TTSSKĐ!AB124,TTSSKĐ!AF124))=8)*(CHOOSE({1,2,3,4},TTSSKĐ!W124,TTSSKĐ!AA124,TTSSKĐ!AE124,TTSSKĐ!AI124)))</f>
        <v>0</v>
      </c>
      <c r="I124">
        <f>SUMPRODUCT((MONTH(CHOOSE({1,2,3,4},TTSSKĐ!T124,TTSSKĐ!X124,TTSSKĐ!AB124,TTSSKĐ!AF124))=9)*(CHOOSE({1,2,3,4},TTSSKĐ!W124,TTSSKĐ!AA124,TTSSKĐ!AE124,TTSSKĐ!AI124)))</f>
        <v>0</v>
      </c>
      <c r="J124">
        <f>SUMPRODUCT((MONTH(CHOOSE({1,2,3,4},TTSSKĐ!T124,TTSSKĐ!X124,TTSSKĐ!AB124,TTSSKĐ!AF124))=10)*(CHOOSE({1,2,3,4},TTSSKĐ!W124,TTSSKĐ!AA124,TTSSKĐ!AE124,TTSSKĐ!AI124)))</f>
        <v>0</v>
      </c>
      <c r="K124">
        <f>SUMPRODUCT((MONTH(CHOOSE({1,2,3,4},TTSSKĐ!T124,TTSSKĐ!X124,TTSSKĐ!AB124,TTSSKĐ!AF124))=11)*(CHOOSE({1,2,3,4},TTSSKĐ!W124,TTSSKĐ!AA124,TTSSKĐ!AE124,TTSSKĐ!AI124)))</f>
        <v>0</v>
      </c>
      <c r="L124">
        <f>SUMPRODUCT((MONTH(CHOOSE({1,2,3,4},TTSSKĐ!T124,TTSSKĐ!X124,TTSSKĐ!AB124,TTSSKĐ!AF124))=12)*(CHOOSE({1,2,3,4},TTSSKĐ!W124,TTSSKĐ!AA124,TTSSKĐ!AE124,TTSSKĐ!AI124)))</f>
        <v>0</v>
      </c>
    </row>
    <row r="125" spans="1:12">
      <c r="A125">
        <f>SUMPRODUCT((MONTH(CHOOSE({1,2,3,4},TTSSKĐ!T125,TTSSKĐ!X125,TTSSKĐ!AB125,TTSSKĐ!AF125))=1)*(CHOOSE({1,2,3,4},TTSSKĐ!W125,TTSSKĐ!AA125,TTSSKĐ!AE125,TTSSKĐ!AI125)))</f>
        <v>0</v>
      </c>
      <c r="B125">
        <f>SUMPRODUCT((MONTH(CHOOSE({1,2,3,4},TTSSKĐ!T125,TTSSKĐ!X125,TTSSKĐ!AB125,TTSSKĐ!AF125))=2)*(CHOOSE({1,2,3,4},TTSSKĐ!W125,TTSSKĐ!AA125,TTSSKĐ!AE125,TTSSKĐ!AI125)))</f>
        <v>0</v>
      </c>
      <c r="C125">
        <f>SUMPRODUCT((MONTH(CHOOSE({1,2,3,4},TTSSKĐ!T125,TTSSKĐ!X125,TTSSKĐ!AB125,TTSSKĐ!AF125))=3)*(CHOOSE({1,2,3,4},TTSSKĐ!W125,TTSSKĐ!AA125,TTSSKĐ!AE125,TTSSKĐ!AI125)))</f>
        <v>0</v>
      </c>
      <c r="D125">
        <f>SUMPRODUCT((MONTH(CHOOSE({1,2,3,4},TTSSKĐ!T125,TTSSKĐ!X125,TTSSKĐ!AB125,TTSSKĐ!AF125))=4)*(CHOOSE({1,2,3,4},TTSSKĐ!W125,TTSSKĐ!AA125,TTSSKĐ!AE125,TTSSKĐ!AI125)))</f>
        <v>0</v>
      </c>
      <c r="E125">
        <f>SUMPRODUCT((MONTH(CHOOSE({1,2,3,4},TTSSKĐ!T125,TTSSKĐ!X125,TTSSKĐ!AB125,TTSSKĐ!AF125))=5)*(CHOOSE({1,2,3,4},TTSSKĐ!W125,TTSSKĐ!AA125,TTSSKĐ!AE125,TTSSKĐ!AI125)))</f>
        <v>0</v>
      </c>
      <c r="F125">
        <f>SUMPRODUCT((MONTH(CHOOSE({1,2,3,4},TTSSKĐ!T125,TTSSKĐ!X125,TTSSKĐ!AB125,TTSSKĐ!AF125))=6)*(CHOOSE({1,2,3,4},TTSSKĐ!W125,TTSSKĐ!AA125,TTSSKĐ!AE125,TTSSKĐ!AI125)))</f>
        <v>0</v>
      </c>
      <c r="G125">
        <f>SUMPRODUCT((MONTH(CHOOSE({1,2,3,4},TTSSKĐ!T125,TTSSKĐ!X125,TTSSKĐ!AB125,TTSSKĐ!AF125))=7)*(CHOOSE({1,2,3,4},TTSSKĐ!W125,TTSSKĐ!AA125,TTSSKĐ!AE125,TTSSKĐ!AI125)))</f>
        <v>0</v>
      </c>
      <c r="H125">
        <f>SUMPRODUCT((MONTH(CHOOSE({1,2,3,4},TTSSKĐ!T125,TTSSKĐ!X125,TTSSKĐ!AB125,TTSSKĐ!AF125))=8)*(CHOOSE({1,2,3,4},TTSSKĐ!W125,TTSSKĐ!AA125,TTSSKĐ!AE125,TTSSKĐ!AI125)))</f>
        <v>0</v>
      </c>
      <c r="I125">
        <f>SUMPRODUCT((MONTH(CHOOSE({1,2,3,4},TTSSKĐ!T125,TTSSKĐ!X125,TTSSKĐ!AB125,TTSSKĐ!AF125))=9)*(CHOOSE({1,2,3,4},TTSSKĐ!W125,TTSSKĐ!AA125,TTSSKĐ!AE125,TTSSKĐ!AI125)))</f>
        <v>0</v>
      </c>
      <c r="J125">
        <f>SUMPRODUCT((MONTH(CHOOSE({1,2,3,4},TTSSKĐ!T125,TTSSKĐ!X125,TTSSKĐ!AB125,TTSSKĐ!AF125))=10)*(CHOOSE({1,2,3,4},TTSSKĐ!W125,TTSSKĐ!AA125,TTSSKĐ!AE125,TTSSKĐ!AI125)))</f>
        <v>0</v>
      </c>
      <c r="K125">
        <f>SUMPRODUCT((MONTH(CHOOSE({1,2,3,4},TTSSKĐ!T125,TTSSKĐ!X125,TTSSKĐ!AB125,TTSSKĐ!AF125))=11)*(CHOOSE({1,2,3,4},TTSSKĐ!W125,TTSSKĐ!AA125,TTSSKĐ!AE125,TTSSKĐ!AI125)))</f>
        <v>0</v>
      </c>
      <c r="L125">
        <f>SUMPRODUCT((MONTH(CHOOSE({1,2,3,4},TTSSKĐ!T125,TTSSKĐ!X125,TTSSKĐ!AB125,TTSSKĐ!AF125))=12)*(CHOOSE({1,2,3,4},TTSSKĐ!W125,TTSSKĐ!AA125,TTSSKĐ!AE125,TTSSKĐ!AI125)))</f>
        <v>0</v>
      </c>
    </row>
    <row r="126" spans="1:12">
      <c r="A126">
        <f>SUMPRODUCT((MONTH(CHOOSE({1,2,3,4},TTSSKĐ!T126,TTSSKĐ!X126,TTSSKĐ!AB126,TTSSKĐ!AF126))=1)*(CHOOSE({1,2,3,4},TTSSKĐ!W126,TTSSKĐ!AA126,TTSSKĐ!AE126,TTSSKĐ!AI126)))</f>
        <v>0</v>
      </c>
      <c r="B126">
        <f>SUMPRODUCT((MONTH(CHOOSE({1,2,3,4},TTSSKĐ!T126,TTSSKĐ!X126,TTSSKĐ!AB126,TTSSKĐ!AF126))=2)*(CHOOSE({1,2,3,4},TTSSKĐ!W126,TTSSKĐ!AA126,TTSSKĐ!AE126,TTSSKĐ!AI126)))</f>
        <v>0</v>
      </c>
      <c r="C126">
        <f>SUMPRODUCT((MONTH(CHOOSE({1,2,3,4},TTSSKĐ!T126,TTSSKĐ!X126,TTSSKĐ!AB126,TTSSKĐ!AF126))=3)*(CHOOSE({1,2,3,4},TTSSKĐ!W126,TTSSKĐ!AA126,TTSSKĐ!AE126,TTSSKĐ!AI126)))</f>
        <v>0</v>
      </c>
      <c r="D126">
        <f>SUMPRODUCT((MONTH(CHOOSE({1,2,3,4},TTSSKĐ!T126,TTSSKĐ!X126,TTSSKĐ!AB126,TTSSKĐ!AF126))=4)*(CHOOSE({1,2,3,4},TTSSKĐ!W126,TTSSKĐ!AA126,TTSSKĐ!AE126,TTSSKĐ!AI126)))</f>
        <v>0</v>
      </c>
      <c r="E126">
        <f>SUMPRODUCT((MONTH(CHOOSE({1,2,3,4},TTSSKĐ!T126,TTSSKĐ!X126,TTSSKĐ!AB126,TTSSKĐ!AF126))=5)*(CHOOSE({1,2,3,4},TTSSKĐ!W126,TTSSKĐ!AA126,TTSSKĐ!AE126,TTSSKĐ!AI126)))</f>
        <v>0</v>
      </c>
      <c r="F126">
        <f>SUMPRODUCT((MONTH(CHOOSE({1,2,3,4},TTSSKĐ!T126,TTSSKĐ!X126,TTSSKĐ!AB126,TTSSKĐ!AF126))=6)*(CHOOSE({1,2,3,4},TTSSKĐ!W126,TTSSKĐ!AA126,TTSSKĐ!AE126,TTSSKĐ!AI126)))</f>
        <v>0</v>
      </c>
      <c r="G126">
        <f>SUMPRODUCT((MONTH(CHOOSE({1,2,3,4},TTSSKĐ!T126,TTSSKĐ!X126,TTSSKĐ!AB126,TTSSKĐ!AF126))=7)*(CHOOSE({1,2,3,4},TTSSKĐ!W126,TTSSKĐ!AA126,TTSSKĐ!AE126,TTSSKĐ!AI126)))</f>
        <v>0</v>
      </c>
      <c r="H126">
        <f>SUMPRODUCT((MONTH(CHOOSE({1,2,3,4},TTSSKĐ!T126,TTSSKĐ!X126,TTSSKĐ!AB126,TTSSKĐ!AF126))=8)*(CHOOSE({1,2,3,4},TTSSKĐ!W126,TTSSKĐ!AA126,TTSSKĐ!AE126,TTSSKĐ!AI126)))</f>
        <v>0</v>
      </c>
      <c r="I126">
        <f>SUMPRODUCT((MONTH(CHOOSE({1,2,3,4},TTSSKĐ!T126,TTSSKĐ!X126,TTSSKĐ!AB126,TTSSKĐ!AF126))=9)*(CHOOSE({1,2,3,4},TTSSKĐ!W126,TTSSKĐ!AA126,TTSSKĐ!AE126,TTSSKĐ!AI126)))</f>
        <v>0</v>
      </c>
      <c r="J126">
        <f>SUMPRODUCT((MONTH(CHOOSE({1,2,3,4},TTSSKĐ!T126,TTSSKĐ!X126,TTSSKĐ!AB126,TTSSKĐ!AF126))=10)*(CHOOSE({1,2,3,4},TTSSKĐ!W126,TTSSKĐ!AA126,TTSSKĐ!AE126,TTSSKĐ!AI126)))</f>
        <v>0</v>
      </c>
      <c r="K126">
        <f>SUMPRODUCT((MONTH(CHOOSE({1,2,3,4},TTSSKĐ!T126,TTSSKĐ!X126,TTSSKĐ!AB126,TTSSKĐ!AF126))=11)*(CHOOSE({1,2,3,4},TTSSKĐ!W126,TTSSKĐ!AA126,TTSSKĐ!AE126,TTSSKĐ!AI126)))</f>
        <v>0</v>
      </c>
      <c r="L126">
        <f>SUMPRODUCT((MONTH(CHOOSE({1,2,3,4},TTSSKĐ!T126,TTSSKĐ!X126,TTSSKĐ!AB126,TTSSKĐ!AF126))=12)*(CHOOSE({1,2,3,4},TTSSKĐ!W126,TTSSKĐ!AA126,TTSSKĐ!AE126,TTSSKĐ!AI126)))</f>
        <v>0</v>
      </c>
    </row>
    <row r="127" spans="1:12">
      <c r="A127">
        <f>SUMPRODUCT((MONTH(CHOOSE({1,2,3,4},TTSSKĐ!T127,TTSSKĐ!X127,TTSSKĐ!AB127,TTSSKĐ!AF127))=1)*(CHOOSE({1,2,3,4},TTSSKĐ!W127,TTSSKĐ!AA127,TTSSKĐ!AE127,TTSSKĐ!AI127)))</f>
        <v>0</v>
      </c>
      <c r="B127">
        <f>SUMPRODUCT((MONTH(CHOOSE({1,2,3,4},TTSSKĐ!T127,TTSSKĐ!X127,TTSSKĐ!AB127,TTSSKĐ!AF127))=2)*(CHOOSE({1,2,3,4},TTSSKĐ!W127,TTSSKĐ!AA127,TTSSKĐ!AE127,TTSSKĐ!AI127)))</f>
        <v>0</v>
      </c>
      <c r="C127">
        <f>SUMPRODUCT((MONTH(CHOOSE({1,2,3,4},TTSSKĐ!T127,TTSSKĐ!X127,TTSSKĐ!AB127,TTSSKĐ!AF127))=3)*(CHOOSE({1,2,3,4},TTSSKĐ!W127,TTSSKĐ!AA127,TTSSKĐ!AE127,TTSSKĐ!AI127)))</f>
        <v>0</v>
      </c>
      <c r="D127">
        <f>SUMPRODUCT((MONTH(CHOOSE({1,2,3,4},TTSSKĐ!T127,TTSSKĐ!X127,TTSSKĐ!AB127,TTSSKĐ!AF127))=4)*(CHOOSE({1,2,3,4},TTSSKĐ!W127,TTSSKĐ!AA127,TTSSKĐ!AE127,TTSSKĐ!AI127)))</f>
        <v>0</v>
      </c>
      <c r="E127">
        <f>SUMPRODUCT((MONTH(CHOOSE({1,2,3,4},TTSSKĐ!T127,TTSSKĐ!X127,TTSSKĐ!AB127,TTSSKĐ!AF127))=5)*(CHOOSE({1,2,3,4},TTSSKĐ!W127,TTSSKĐ!AA127,TTSSKĐ!AE127,TTSSKĐ!AI127)))</f>
        <v>0</v>
      </c>
      <c r="F127">
        <f>SUMPRODUCT((MONTH(CHOOSE({1,2,3,4},TTSSKĐ!T127,TTSSKĐ!X127,TTSSKĐ!AB127,TTSSKĐ!AF127))=6)*(CHOOSE({1,2,3,4},TTSSKĐ!W127,TTSSKĐ!AA127,TTSSKĐ!AE127,TTSSKĐ!AI127)))</f>
        <v>0</v>
      </c>
      <c r="G127">
        <f>SUMPRODUCT((MONTH(CHOOSE({1,2,3,4},TTSSKĐ!T127,TTSSKĐ!X127,TTSSKĐ!AB127,TTSSKĐ!AF127))=7)*(CHOOSE({1,2,3,4},TTSSKĐ!W127,TTSSKĐ!AA127,TTSSKĐ!AE127,TTSSKĐ!AI127)))</f>
        <v>0</v>
      </c>
      <c r="H127">
        <f>SUMPRODUCT((MONTH(CHOOSE({1,2,3,4},TTSSKĐ!T127,TTSSKĐ!X127,TTSSKĐ!AB127,TTSSKĐ!AF127))=8)*(CHOOSE({1,2,3,4},TTSSKĐ!W127,TTSSKĐ!AA127,TTSSKĐ!AE127,TTSSKĐ!AI127)))</f>
        <v>0</v>
      </c>
      <c r="I127">
        <f>SUMPRODUCT((MONTH(CHOOSE({1,2,3,4},TTSSKĐ!T127,TTSSKĐ!X127,TTSSKĐ!AB127,TTSSKĐ!AF127))=9)*(CHOOSE({1,2,3,4},TTSSKĐ!W127,TTSSKĐ!AA127,TTSSKĐ!AE127,TTSSKĐ!AI127)))</f>
        <v>0</v>
      </c>
      <c r="J127">
        <f>SUMPRODUCT((MONTH(CHOOSE({1,2,3,4},TTSSKĐ!T127,TTSSKĐ!X127,TTSSKĐ!AB127,TTSSKĐ!AF127))=10)*(CHOOSE({1,2,3,4},TTSSKĐ!W127,TTSSKĐ!AA127,TTSSKĐ!AE127,TTSSKĐ!AI127)))</f>
        <v>0</v>
      </c>
      <c r="K127">
        <f>SUMPRODUCT((MONTH(CHOOSE({1,2,3,4},TTSSKĐ!T127,TTSSKĐ!X127,TTSSKĐ!AB127,TTSSKĐ!AF127))=11)*(CHOOSE({1,2,3,4},TTSSKĐ!W127,TTSSKĐ!AA127,TTSSKĐ!AE127,TTSSKĐ!AI127)))</f>
        <v>0</v>
      </c>
      <c r="L127">
        <f>SUMPRODUCT((MONTH(CHOOSE({1,2,3,4},TTSSKĐ!T127,TTSSKĐ!X127,TTSSKĐ!AB127,TTSSKĐ!AF127))=12)*(CHOOSE({1,2,3,4},TTSSKĐ!W127,TTSSKĐ!AA127,TTSSKĐ!AE127,TTSSKĐ!AI127)))</f>
        <v>0</v>
      </c>
    </row>
    <row r="128" spans="1:12">
      <c r="A128">
        <f>SUMPRODUCT((MONTH(CHOOSE({1,2,3,4},TTSSKĐ!T128,TTSSKĐ!X128,TTSSKĐ!AB128,TTSSKĐ!AF128))=1)*(CHOOSE({1,2,3,4},TTSSKĐ!W128,TTSSKĐ!AA128,TTSSKĐ!AE128,TTSSKĐ!AI128)))</f>
        <v>0</v>
      </c>
      <c r="B128">
        <f>SUMPRODUCT((MONTH(CHOOSE({1,2,3,4},TTSSKĐ!T128,TTSSKĐ!X128,TTSSKĐ!AB128,TTSSKĐ!AF128))=2)*(CHOOSE({1,2,3,4},TTSSKĐ!W128,TTSSKĐ!AA128,TTSSKĐ!AE128,TTSSKĐ!AI128)))</f>
        <v>0</v>
      </c>
      <c r="C128">
        <f>SUMPRODUCT((MONTH(CHOOSE({1,2,3,4},TTSSKĐ!T128,TTSSKĐ!X128,TTSSKĐ!AB128,TTSSKĐ!AF128))=3)*(CHOOSE({1,2,3,4},TTSSKĐ!W128,TTSSKĐ!AA128,TTSSKĐ!AE128,TTSSKĐ!AI128)))</f>
        <v>0</v>
      </c>
      <c r="D128">
        <f>SUMPRODUCT((MONTH(CHOOSE({1,2,3,4},TTSSKĐ!T128,TTSSKĐ!X128,TTSSKĐ!AB128,TTSSKĐ!AF128))=4)*(CHOOSE({1,2,3,4},TTSSKĐ!W128,TTSSKĐ!AA128,TTSSKĐ!AE128,TTSSKĐ!AI128)))</f>
        <v>0</v>
      </c>
      <c r="E128">
        <f>SUMPRODUCT((MONTH(CHOOSE({1,2,3,4},TTSSKĐ!T128,TTSSKĐ!X128,TTSSKĐ!AB128,TTSSKĐ!AF128))=5)*(CHOOSE({1,2,3,4},TTSSKĐ!W128,TTSSKĐ!AA128,TTSSKĐ!AE128,TTSSKĐ!AI128)))</f>
        <v>0</v>
      </c>
      <c r="F128">
        <f>SUMPRODUCT((MONTH(CHOOSE({1,2,3,4},TTSSKĐ!T128,TTSSKĐ!X128,TTSSKĐ!AB128,TTSSKĐ!AF128))=6)*(CHOOSE({1,2,3,4},TTSSKĐ!W128,TTSSKĐ!AA128,TTSSKĐ!AE128,TTSSKĐ!AI128)))</f>
        <v>0</v>
      </c>
      <c r="G128">
        <f>SUMPRODUCT((MONTH(CHOOSE({1,2,3,4},TTSSKĐ!T128,TTSSKĐ!X128,TTSSKĐ!AB128,TTSSKĐ!AF128))=7)*(CHOOSE({1,2,3,4},TTSSKĐ!W128,TTSSKĐ!AA128,TTSSKĐ!AE128,TTSSKĐ!AI128)))</f>
        <v>0</v>
      </c>
      <c r="H128">
        <f>SUMPRODUCT((MONTH(CHOOSE({1,2,3,4},TTSSKĐ!T128,TTSSKĐ!X128,TTSSKĐ!AB128,TTSSKĐ!AF128))=8)*(CHOOSE({1,2,3,4},TTSSKĐ!W128,TTSSKĐ!AA128,TTSSKĐ!AE128,TTSSKĐ!AI128)))</f>
        <v>0</v>
      </c>
      <c r="I128">
        <f>SUMPRODUCT((MONTH(CHOOSE({1,2,3,4},TTSSKĐ!T128,TTSSKĐ!X128,TTSSKĐ!AB128,TTSSKĐ!AF128))=9)*(CHOOSE({1,2,3,4},TTSSKĐ!W128,TTSSKĐ!AA128,TTSSKĐ!AE128,TTSSKĐ!AI128)))</f>
        <v>0</v>
      </c>
      <c r="J128">
        <f>SUMPRODUCT((MONTH(CHOOSE({1,2,3,4},TTSSKĐ!T128,TTSSKĐ!X128,TTSSKĐ!AB128,TTSSKĐ!AF128))=10)*(CHOOSE({1,2,3,4},TTSSKĐ!W128,TTSSKĐ!AA128,TTSSKĐ!AE128,TTSSKĐ!AI128)))</f>
        <v>0</v>
      </c>
      <c r="K128">
        <f>SUMPRODUCT((MONTH(CHOOSE({1,2,3,4},TTSSKĐ!T128,TTSSKĐ!X128,TTSSKĐ!AB128,TTSSKĐ!AF128))=11)*(CHOOSE({1,2,3,4},TTSSKĐ!W128,TTSSKĐ!AA128,TTSSKĐ!AE128,TTSSKĐ!AI128)))</f>
        <v>0</v>
      </c>
      <c r="L128">
        <f>SUMPRODUCT((MONTH(CHOOSE({1,2,3,4},TTSSKĐ!T128,TTSSKĐ!X128,TTSSKĐ!AB128,TTSSKĐ!AF128))=12)*(CHOOSE({1,2,3,4},TTSSKĐ!W128,TTSSKĐ!AA128,TTSSKĐ!AE128,TTSSKĐ!AI128)))</f>
        <v>0</v>
      </c>
    </row>
    <row r="129" spans="1:12">
      <c r="A129">
        <f>SUMPRODUCT((MONTH(CHOOSE({1,2,3,4},TTSSKĐ!T129,TTSSKĐ!X129,TTSSKĐ!AB129,TTSSKĐ!AF129))=1)*(CHOOSE({1,2,3,4},TTSSKĐ!W129,TTSSKĐ!AA129,TTSSKĐ!AE129,TTSSKĐ!AI129)))</f>
        <v>0</v>
      </c>
      <c r="B129">
        <f>SUMPRODUCT((MONTH(CHOOSE({1,2,3,4},TTSSKĐ!T129,TTSSKĐ!X129,TTSSKĐ!AB129,TTSSKĐ!AF129))=2)*(CHOOSE({1,2,3,4},TTSSKĐ!W129,TTSSKĐ!AA129,TTSSKĐ!AE129,TTSSKĐ!AI129)))</f>
        <v>0</v>
      </c>
      <c r="C129">
        <f>SUMPRODUCT((MONTH(CHOOSE({1,2,3,4},TTSSKĐ!T129,TTSSKĐ!X129,TTSSKĐ!AB129,TTSSKĐ!AF129))=3)*(CHOOSE({1,2,3,4},TTSSKĐ!W129,TTSSKĐ!AA129,TTSSKĐ!AE129,TTSSKĐ!AI129)))</f>
        <v>0</v>
      </c>
      <c r="D129">
        <f>SUMPRODUCT((MONTH(CHOOSE({1,2,3,4},TTSSKĐ!T129,TTSSKĐ!X129,TTSSKĐ!AB129,TTSSKĐ!AF129))=4)*(CHOOSE({1,2,3,4},TTSSKĐ!W129,TTSSKĐ!AA129,TTSSKĐ!AE129,TTSSKĐ!AI129)))</f>
        <v>0</v>
      </c>
      <c r="E129">
        <f>SUMPRODUCT((MONTH(CHOOSE({1,2,3,4},TTSSKĐ!T129,TTSSKĐ!X129,TTSSKĐ!AB129,TTSSKĐ!AF129))=5)*(CHOOSE({1,2,3,4},TTSSKĐ!W129,TTSSKĐ!AA129,TTSSKĐ!AE129,TTSSKĐ!AI129)))</f>
        <v>0</v>
      </c>
      <c r="F129">
        <f>SUMPRODUCT((MONTH(CHOOSE({1,2,3,4},TTSSKĐ!T129,TTSSKĐ!X129,TTSSKĐ!AB129,TTSSKĐ!AF129))=6)*(CHOOSE({1,2,3,4},TTSSKĐ!W129,TTSSKĐ!AA129,TTSSKĐ!AE129,TTSSKĐ!AI129)))</f>
        <v>0</v>
      </c>
      <c r="G129">
        <f>SUMPRODUCT((MONTH(CHOOSE({1,2,3,4},TTSSKĐ!T129,TTSSKĐ!X129,TTSSKĐ!AB129,TTSSKĐ!AF129))=7)*(CHOOSE({1,2,3,4},TTSSKĐ!W129,TTSSKĐ!AA129,TTSSKĐ!AE129,TTSSKĐ!AI129)))</f>
        <v>0</v>
      </c>
      <c r="H129">
        <f>SUMPRODUCT((MONTH(CHOOSE({1,2,3,4},TTSSKĐ!T129,TTSSKĐ!X129,TTSSKĐ!AB129,TTSSKĐ!AF129))=8)*(CHOOSE({1,2,3,4},TTSSKĐ!W129,TTSSKĐ!AA129,TTSSKĐ!AE129,TTSSKĐ!AI129)))</f>
        <v>0</v>
      </c>
      <c r="I129">
        <f>SUMPRODUCT((MONTH(CHOOSE({1,2,3,4},TTSSKĐ!T129,TTSSKĐ!X129,TTSSKĐ!AB129,TTSSKĐ!AF129))=9)*(CHOOSE({1,2,3,4},TTSSKĐ!W129,TTSSKĐ!AA129,TTSSKĐ!AE129,TTSSKĐ!AI129)))</f>
        <v>0</v>
      </c>
      <c r="J129">
        <f>SUMPRODUCT((MONTH(CHOOSE({1,2,3,4},TTSSKĐ!T129,TTSSKĐ!X129,TTSSKĐ!AB129,TTSSKĐ!AF129))=10)*(CHOOSE({1,2,3,4},TTSSKĐ!W129,TTSSKĐ!AA129,TTSSKĐ!AE129,TTSSKĐ!AI129)))</f>
        <v>0</v>
      </c>
      <c r="K129">
        <f>SUMPRODUCT((MONTH(CHOOSE({1,2,3,4},TTSSKĐ!T129,TTSSKĐ!X129,TTSSKĐ!AB129,TTSSKĐ!AF129))=11)*(CHOOSE({1,2,3,4},TTSSKĐ!W129,TTSSKĐ!AA129,TTSSKĐ!AE129,TTSSKĐ!AI129)))</f>
        <v>0</v>
      </c>
      <c r="L129">
        <f>SUMPRODUCT((MONTH(CHOOSE({1,2,3,4},TTSSKĐ!T129,TTSSKĐ!X129,TTSSKĐ!AB129,TTSSKĐ!AF129))=12)*(CHOOSE({1,2,3,4},TTSSKĐ!W129,TTSSKĐ!AA129,TTSSKĐ!AE129,TTSSKĐ!AI129)))</f>
        <v>0</v>
      </c>
    </row>
    <row r="130" spans="1:12">
      <c r="A130">
        <f>SUMPRODUCT((MONTH(CHOOSE({1,2,3,4},TTSSKĐ!T130,TTSSKĐ!X130,TTSSKĐ!AB130,TTSSKĐ!AF130))=1)*(CHOOSE({1,2,3,4},TTSSKĐ!W130,TTSSKĐ!AA130,TTSSKĐ!AE130,TTSSKĐ!AI130)))</f>
        <v>0</v>
      </c>
      <c r="B130">
        <f>SUMPRODUCT((MONTH(CHOOSE({1,2,3,4},TTSSKĐ!T130,TTSSKĐ!X130,TTSSKĐ!AB130,TTSSKĐ!AF130))=2)*(CHOOSE({1,2,3,4},TTSSKĐ!W130,TTSSKĐ!AA130,TTSSKĐ!AE130,TTSSKĐ!AI130)))</f>
        <v>0</v>
      </c>
      <c r="C130">
        <f>SUMPRODUCT((MONTH(CHOOSE({1,2,3,4},TTSSKĐ!T130,TTSSKĐ!X130,TTSSKĐ!AB130,TTSSKĐ!AF130))=3)*(CHOOSE({1,2,3,4},TTSSKĐ!W130,TTSSKĐ!AA130,TTSSKĐ!AE130,TTSSKĐ!AI130)))</f>
        <v>0</v>
      </c>
      <c r="D130">
        <f>SUMPRODUCT((MONTH(CHOOSE({1,2,3,4},TTSSKĐ!T130,TTSSKĐ!X130,TTSSKĐ!AB130,TTSSKĐ!AF130))=4)*(CHOOSE({1,2,3,4},TTSSKĐ!W130,TTSSKĐ!AA130,TTSSKĐ!AE130,TTSSKĐ!AI130)))</f>
        <v>0</v>
      </c>
      <c r="E130">
        <f>SUMPRODUCT((MONTH(CHOOSE({1,2,3,4},TTSSKĐ!T130,TTSSKĐ!X130,TTSSKĐ!AB130,TTSSKĐ!AF130))=5)*(CHOOSE({1,2,3,4},TTSSKĐ!W130,TTSSKĐ!AA130,TTSSKĐ!AE130,TTSSKĐ!AI130)))</f>
        <v>0</v>
      </c>
      <c r="F130">
        <f>SUMPRODUCT((MONTH(CHOOSE({1,2,3,4},TTSSKĐ!T130,TTSSKĐ!X130,TTSSKĐ!AB130,TTSSKĐ!AF130))=6)*(CHOOSE({1,2,3,4},TTSSKĐ!W130,TTSSKĐ!AA130,TTSSKĐ!AE130,TTSSKĐ!AI130)))</f>
        <v>0</v>
      </c>
      <c r="G130">
        <f>SUMPRODUCT((MONTH(CHOOSE({1,2,3,4},TTSSKĐ!T130,TTSSKĐ!X130,TTSSKĐ!AB130,TTSSKĐ!AF130))=7)*(CHOOSE({1,2,3,4},TTSSKĐ!W130,TTSSKĐ!AA130,TTSSKĐ!AE130,TTSSKĐ!AI130)))</f>
        <v>0</v>
      </c>
      <c r="H130">
        <f>SUMPRODUCT((MONTH(CHOOSE({1,2,3,4},TTSSKĐ!T130,TTSSKĐ!X130,TTSSKĐ!AB130,TTSSKĐ!AF130))=8)*(CHOOSE({1,2,3,4},TTSSKĐ!W130,TTSSKĐ!AA130,TTSSKĐ!AE130,TTSSKĐ!AI130)))</f>
        <v>0</v>
      </c>
      <c r="I130">
        <f>SUMPRODUCT((MONTH(CHOOSE({1,2,3,4},TTSSKĐ!T130,TTSSKĐ!X130,TTSSKĐ!AB130,TTSSKĐ!AF130))=9)*(CHOOSE({1,2,3,4},TTSSKĐ!W130,TTSSKĐ!AA130,TTSSKĐ!AE130,TTSSKĐ!AI130)))</f>
        <v>0</v>
      </c>
      <c r="J130">
        <f>SUMPRODUCT((MONTH(CHOOSE({1,2,3,4},TTSSKĐ!T130,TTSSKĐ!X130,TTSSKĐ!AB130,TTSSKĐ!AF130))=10)*(CHOOSE({1,2,3,4},TTSSKĐ!W130,TTSSKĐ!AA130,TTSSKĐ!AE130,TTSSKĐ!AI130)))</f>
        <v>0</v>
      </c>
      <c r="K130">
        <f>SUMPRODUCT((MONTH(CHOOSE({1,2,3,4},TTSSKĐ!T130,TTSSKĐ!X130,TTSSKĐ!AB130,TTSSKĐ!AF130))=11)*(CHOOSE({1,2,3,4},TTSSKĐ!W130,TTSSKĐ!AA130,TTSSKĐ!AE130,TTSSKĐ!AI130)))</f>
        <v>0</v>
      </c>
      <c r="L130">
        <f>SUMPRODUCT((MONTH(CHOOSE({1,2,3,4},TTSSKĐ!T130,TTSSKĐ!X130,TTSSKĐ!AB130,TTSSKĐ!AF130))=12)*(CHOOSE({1,2,3,4},TTSSKĐ!W130,TTSSKĐ!AA130,TTSSKĐ!AE130,TTSSKĐ!AI130)))</f>
        <v>0</v>
      </c>
    </row>
    <row r="131" spans="1:12">
      <c r="A131">
        <f>SUMPRODUCT((MONTH(CHOOSE({1,2,3,4},TTSSKĐ!T131,TTSSKĐ!X131,TTSSKĐ!AB131,TTSSKĐ!AF131))=1)*(CHOOSE({1,2,3,4},TTSSKĐ!W131,TTSSKĐ!AA131,TTSSKĐ!AE131,TTSSKĐ!AI131)))</f>
        <v>0</v>
      </c>
      <c r="B131">
        <f>SUMPRODUCT((MONTH(CHOOSE({1,2,3,4},TTSSKĐ!T131,TTSSKĐ!X131,TTSSKĐ!AB131,TTSSKĐ!AF131))=2)*(CHOOSE({1,2,3,4},TTSSKĐ!W131,TTSSKĐ!AA131,TTSSKĐ!AE131,TTSSKĐ!AI131)))</f>
        <v>0</v>
      </c>
      <c r="C131">
        <f>SUMPRODUCT((MONTH(CHOOSE({1,2,3,4},TTSSKĐ!T131,TTSSKĐ!X131,TTSSKĐ!AB131,TTSSKĐ!AF131))=3)*(CHOOSE({1,2,3,4},TTSSKĐ!W131,TTSSKĐ!AA131,TTSSKĐ!AE131,TTSSKĐ!AI131)))</f>
        <v>0</v>
      </c>
      <c r="D131">
        <f>SUMPRODUCT((MONTH(CHOOSE({1,2,3,4},TTSSKĐ!T131,TTSSKĐ!X131,TTSSKĐ!AB131,TTSSKĐ!AF131))=4)*(CHOOSE({1,2,3,4},TTSSKĐ!W131,TTSSKĐ!AA131,TTSSKĐ!AE131,TTSSKĐ!AI131)))</f>
        <v>0</v>
      </c>
      <c r="E131">
        <f>SUMPRODUCT((MONTH(CHOOSE({1,2,3,4},TTSSKĐ!T131,TTSSKĐ!X131,TTSSKĐ!AB131,TTSSKĐ!AF131))=5)*(CHOOSE({1,2,3,4},TTSSKĐ!W131,TTSSKĐ!AA131,TTSSKĐ!AE131,TTSSKĐ!AI131)))</f>
        <v>0</v>
      </c>
      <c r="F131">
        <f>SUMPRODUCT((MONTH(CHOOSE({1,2,3,4},TTSSKĐ!T131,TTSSKĐ!X131,TTSSKĐ!AB131,TTSSKĐ!AF131))=6)*(CHOOSE({1,2,3,4},TTSSKĐ!W131,TTSSKĐ!AA131,TTSSKĐ!AE131,TTSSKĐ!AI131)))</f>
        <v>0</v>
      </c>
      <c r="G131">
        <f>SUMPRODUCT((MONTH(CHOOSE({1,2,3,4},TTSSKĐ!T131,TTSSKĐ!X131,TTSSKĐ!AB131,TTSSKĐ!AF131))=7)*(CHOOSE({1,2,3,4},TTSSKĐ!W131,TTSSKĐ!AA131,TTSSKĐ!AE131,TTSSKĐ!AI131)))</f>
        <v>0</v>
      </c>
      <c r="H131">
        <f>SUMPRODUCT((MONTH(CHOOSE({1,2,3,4},TTSSKĐ!T131,TTSSKĐ!X131,TTSSKĐ!AB131,TTSSKĐ!AF131))=8)*(CHOOSE({1,2,3,4},TTSSKĐ!W131,TTSSKĐ!AA131,TTSSKĐ!AE131,TTSSKĐ!AI131)))</f>
        <v>0</v>
      </c>
      <c r="I131">
        <f>SUMPRODUCT((MONTH(CHOOSE({1,2,3,4},TTSSKĐ!T131,TTSSKĐ!X131,TTSSKĐ!AB131,TTSSKĐ!AF131))=9)*(CHOOSE({1,2,3,4},TTSSKĐ!W131,TTSSKĐ!AA131,TTSSKĐ!AE131,TTSSKĐ!AI131)))</f>
        <v>0</v>
      </c>
      <c r="J131">
        <f>SUMPRODUCT((MONTH(CHOOSE({1,2,3,4},TTSSKĐ!T131,TTSSKĐ!X131,TTSSKĐ!AB131,TTSSKĐ!AF131))=10)*(CHOOSE({1,2,3,4},TTSSKĐ!W131,TTSSKĐ!AA131,TTSSKĐ!AE131,TTSSKĐ!AI131)))</f>
        <v>0</v>
      </c>
      <c r="K131">
        <f>SUMPRODUCT((MONTH(CHOOSE({1,2,3,4},TTSSKĐ!T131,TTSSKĐ!X131,TTSSKĐ!AB131,TTSSKĐ!AF131))=11)*(CHOOSE({1,2,3,4},TTSSKĐ!W131,TTSSKĐ!AA131,TTSSKĐ!AE131,TTSSKĐ!AI131)))</f>
        <v>0</v>
      </c>
      <c r="L131">
        <f>SUMPRODUCT((MONTH(CHOOSE({1,2,3,4},TTSSKĐ!T131,TTSSKĐ!X131,TTSSKĐ!AB131,TTSSKĐ!AF131))=12)*(CHOOSE({1,2,3,4},TTSSKĐ!W131,TTSSKĐ!AA131,TTSSKĐ!AE131,TTSSKĐ!AI131)))</f>
        <v>0</v>
      </c>
    </row>
    <row r="132" spans="1:12">
      <c r="A132">
        <f>SUMPRODUCT((MONTH(CHOOSE({1,2,3,4},TTSSKĐ!T132,TTSSKĐ!X132,TTSSKĐ!AB132,TTSSKĐ!AF132))=1)*(CHOOSE({1,2,3,4},TTSSKĐ!W132,TTSSKĐ!AA132,TTSSKĐ!AE132,TTSSKĐ!AI132)))</f>
        <v>0</v>
      </c>
      <c r="B132">
        <f>SUMPRODUCT((MONTH(CHOOSE({1,2,3,4},TTSSKĐ!T132,TTSSKĐ!X132,TTSSKĐ!AB132,TTSSKĐ!AF132))=2)*(CHOOSE({1,2,3,4},TTSSKĐ!W132,TTSSKĐ!AA132,TTSSKĐ!AE132,TTSSKĐ!AI132)))</f>
        <v>0</v>
      </c>
      <c r="C132">
        <f>SUMPRODUCT((MONTH(CHOOSE({1,2,3,4},TTSSKĐ!T132,TTSSKĐ!X132,TTSSKĐ!AB132,TTSSKĐ!AF132))=3)*(CHOOSE({1,2,3,4},TTSSKĐ!W132,TTSSKĐ!AA132,TTSSKĐ!AE132,TTSSKĐ!AI132)))</f>
        <v>0</v>
      </c>
      <c r="D132">
        <f>SUMPRODUCT((MONTH(CHOOSE({1,2,3,4},TTSSKĐ!T132,TTSSKĐ!X132,TTSSKĐ!AB132,TTSSKĐ!AF132))=4)*(CHOOSE({1,2,3,4},TTSSKĐ!W132,TTSSKĐ!AA132,TTSSKĐ!AE132,TTSSKĐ!AI132)))</f>
        <v>0</v>
      </c>
      <c r="E132">
        <f>SUMPRODUCT((MONTH(CHOOSE({1,2,3,4},TTSSKĐ!T132,TTSSKĐ!X132,TTSSKĐ!AB132,TTSSKĐ!AF132))=5)*(CHOOSE({1,2,3,4},TTSSKĐ!W132,TTSSKĐ!AA132,TTSSKĐ!AE132,TTSSKĐ!AI132)))</f>
        <v>0</v>
      </c>
      <c r="F132">
        <f>SUMPRODUCT((MONTH(CHOOSE({1,2,3,4},TTSSKĐ!T132,TTSSKĐ!X132,TTSSKĐ!AB132,TTSSKĐ!AF132))=6)*(CHOOSE({1,2,3,4},TTSSKĐ!W132,TTSSKĐ!AA132,TTSSKĐ!AE132,TTSSKĐ!AI132)))</f>
        <v>0</v>
      </c>
      <c r="G132">
        <f>SUMPRODUCT((MONTH(CHOOSE({1,2,3,4},TTSSKĐ!T132,TTSSKĐ!X132,TTSSKĐ!AB132,TTSSKĐ!AF132))=7)*(CHOOSE({1,2,3,4},TTSSKĐ!W132,TTSSKĐ!AA132,TTSSKĐ!AE132,TTSSKĐ!AI132)))</f>
        <v>0</v>
      </c>
      <c r="H132">
        <f>SUMPRODUCT((MONTH(CHOOSE({1,2,3,4},TTSSKĐ!T132,TTSSKĐ!X132,TTSSKĐ!AB132,TTSSKĐ!AF132))=8)*(CHOOSE({1,2,3,4},TTSSKĐ!W132,TTSSKĐ!AA132,TTSSKĐ!AE132,TTSSKĐ!AI132)))</f>
        <v>0</v>
      </c>
      <c r="I132">
        <f>SUMPRODUCT((MONTH(CHOOSE({1,2,3,4},TTSSKĐ!T132,TTSSKĐ!X132,TTSSKĐ!AB132,TTSSKĐ!AF132))=9)*(CHOOSE({1,2,3,4},TTSSKĐ!W132,TTSSKĐ!AA132,TTSSKĐ!AE132,TTSSKĐ!AI132)))</f>
        <v>0</v>
      </c>
      <c r="J132">
        <f>SUMPRODUCT((MONTH(CHOOSE({1,2,3,4},TTSSKĐ!T132,TTSSKĐ!X132,TTSSKĐ!AB132,TTSSKĐ!AF132))=10)*(CHOOSE({1,2,3,4},TTSSKĐ!W132,TTSSKĐ!AA132,TTSSKĐ!AE132,TTSSKĐ!AI132)))</f>
        <v>0</v>
      </c>
      <c r="K132">
        <f>SUMPRODUCT((MONTH(CHOOSE({1,2,3,4},TTSSKĐ!T132,TTSSKĐ!X132,TTSSKĐ!AB132,TTSSKĐ!AF132))=11)*(CHOOSE({1,2,3,4},TTSSKĐ!W132,TTSSKĐ!AA132,TTSSKĐ!AE132,TTSSKĐ!AI132)))</f>
        <v>0</v>
      </c>
      <c r="L132">
        <f>SUMPRODUCT((MONTH(CHOOSE({1,2,3,4},TTSSKĐ!T132,TTSSKĐ!X132,TTSSKĐ!AB132,TTSSKĐ!AF132))=12)*(CHOOSE({1,2,3,4},TTSSKĐ!W132,TTSSKĐ!AA132,TTSSKĐ!AE132,TTSSKĐ!AI132)))</f>
        <v>0</v>
      </c>
    </row>
    <row r="133" spans="1:12">
      <c r="A133">
        <f>SUMPRODUCT((MONTH(CHOOSE({1,2,3,4},TTSSKĐ!T133,TTSSKĐ!X133,TTSSKĐ!AB133,TTSSKĐ!AF133))=1)*(CHOOSE({1,2,3,4},TTSSKĐ!W133,TTSSKĐ!AA133,TTSSKĐ!AE133,TTSSKĐ!AI133)))</f>
        <v>0</v>
      </c>
      <c r="B133">
        <f>SUMPRODUCT((MONTH(CHOOSE({1,2,3,4},TTSSKĐ!T133,TTSSKĐ!X133,TTSSKĐ!AB133,TTSSKĐ!AF133))=2)*(CHOOSE({1,2,3,4},TTSSKĐ!W133,TTSSKĐ!AA133,TTSSKĐ!AE133,TTSSKĐ!AI133)))</f>
        <v>0</v>
      </c>
      <c r="C133">
        <f>SUMPRODUCT((MONTH(CHOOSE({1,2,3,4},TTSSKĐ!T133,TTSSKĐ!X133,TTSSKĐ!AB133,TTSSKĐ!AF133))=3)*(CHOOSE({1,2,3,4},TTSSKĐ!W133,TTSSKĐ!AA133,TTSSKĐ!AE133,TTSSKĐ!AI133)))</f>
        <v>0</v>
      </c>
      <c r="D133">
        <f>SUMPRODUCT((MONTH(CHOOSE({1,2,3,4},TTSSKĐ!T133,TTSSKĐ!X133,TTSSKĐ!AB133,TTSSKĐ!AF133))=4)*(CHOOSE({1,2,3,4},TTSSKĐ!W133,TTSSKĐ!AA133,TTSSKĐ!AE133,TTSSKĐ!AI133)))</f>
        <v>0</v>
      </c>
      <c r="E133">
        <f>SUMPRODUCT((MONTH(CHOOSE({1,2,3,4},TTSSKĐ!T133,TTSSKĐ!X133,TTSSKĐ!AB133,TTSSKĐ!AF133))=5)*(CHOOSE({1,2,3,4},TTSSKĐ!W133,TTSSKĐ!AA133,TTSSKĐ!AE133,TTSSKĐ!AI133)))</f>
        <v>0</v>
      </c>
      <c r="F133">
        <f>SUMPRODUCT((MONTH(CHOOSE({1,2,3,4},TTSSKĐ!T133,TTSSKĐ!X133,TTSSKĐ!AB133,TTSSKĐ!AF133))=6)*(CHOOSE({1,2,3,4},TTSSKĐ!W133,TTSSKĐ!AA133,TTSSKĐ!AE133,TTSSKĐ!AI133)))</f>
        <v>0</v>
      </c>
      <c r="G133">
        <f>SUMPRODUCT((MONTH(CHOOSE({1,2,3,4},TTSSKĐ!T133,TTSSKĐ!X133,TTSSKĐ!AB133,TTSSKĐ!AF133))=7)*(CHOOSE({1,2,3,4},TTSSKĐ!W133,TTSSKĐ!AA133,TTSSKĐ!AE133,TTSSKĐ!AI133)))</f>
        <v>0</v>
      </c>
      <c r="H133">
        <f>SUMPRODUCT((MONTH(CHOOSE({1,2,3,4},TTSSKĐ!T133,TTSSKĐ!X133,TTSSKĐ!AB133,TTSSKĐ!AF133))=8)*(CHOOSE({1,2,3,4},TTSSKĐ!W133,TTSSKĐ!AA133,TTSSKĐ!AE133,TTSSKĐ!AI133)))</f>
        <v>0</v>
      </c>
      <c r="I133">
        <f>SUMPRODUCT((MONTH(CHOOSE({1,2,3,4},TTSSKĐ!T133,TTSSKĐ!X133,TTSSKĐ!AB133,TTSSKĐ!AF133))=9)*(CHOOSE({1,2,3,4},TTSSKĐ!W133,TTSSKĐ!AA133,TTSSKĐ!AE133,TTSSKĐ!AI133)))</f>
        <v>0</v>
      </c>
      <c r="J133">
        <f>SUMPRODUCT((MONTH(CHOOSE({1,2,3,4},TTSSKĐ!T133,TTSSKĐ!X133,TTSSKĐ!AB133,TTSSKĐ!AF133))=10)*(CHOOSE({1,2,3,4},TTSSKĐ!W133,TTSSKĐ!AA133,TTSSKĐ!AE133,TTSSKĐ!AI133)))</f>
        <v>0</v>
      </c>
      <c r="K133">
        <f>SUMPRODUCT((MONTH(CHOOSE({1,2,3,4},TTSSKĐ!T133,TTSSKĐ!X133,TTSSKĐ!AB133,TTSSKĐ!AF133))=11)*(CHOOSE({1,2,3,4},TTSSKĐ!W133,TTSSKĐ!AA133,TTSSKĐ!AE133,TTSSKĐ!AI133)))</f>
        <v>0</v>
      </c>
      <c r="L133">
        <f>SUMPRODUCT((MONTH(CHOOSE({1,2,3,4},TTSSKĐ!T133,TTSSKĐ!X133,TTSSKĐ!AB133,TTSSKĐ!AF133))=12)*(CHOOSE({1,2,3,4},TTSSKĐ!W133,TTSSKĐ!AA133,TTSSKĐ!AE133,TTSSKĐ!AI133)))</f>
        <v>0</v>
      </c>
    </row>
    <row r="134" spans="1:12">
      <c r="A134">
        <f>SUMPRODUCT((MONTH(CHOOSE({1,2,3,4},TTSSKĐ!T134,TTSSKĐ!X134,TTSSKĐ!AB134,TTSSKĐ!AF134))=1)*(CHOOSE({1,2,3,4},TTSSKĐ!W134,TTSSKĐ!AA134,TTSSKĐ!AE134,TTSSKĐ!AI134)))</f>
        <v>0</v>
      </c>
      <c r="B134">
        <f>SUMPRODUCT((MONTH(CHOOSE({1,2,3,4},TTSSKĐ!T134,TTSSKĐ!X134,TTSSKĐ!AB134,TTSSKĐ!AF134))=2)*(CHOOSE({1,2,3,4},TTSSKĐ!W134,TTSSKĐ!AA134,TTSSKĐ!AE134,TTSSKĐ!AI134)))</f>
        <v>0</v>
      </c>
      <c r="C134">
        <f>SUMPRODUCT((MONTH(CHOOSE({1,2,3,4},TTSSKĐ!T134,TTSSKĐ!X134,TTSSKĐ!AB134,TTSSKĐ!AF134))=3)*(CHOOSE({1,2,3,4},TTSSKĐ!W134,TTSSKĐ!AA134,TTSSKĐ!AE134,TTSSKĐ!AI134)))</f>
        <v>0</v>
      </c>
      <c r="D134">
        <f>SUMPRODUCT((MONTH(CHOOSE({1,2,3,4},TTSSKĐ!T134,TTSSKĐ!X134,TTSSKĐ!AB134,TTSSKĐ!AF134))=4)*(CHOOSE({1,2,3,4},TTSSKĐ!W134,TTSSKĐ!AA134,TTSSKĐ!AE134,TTSSKĐ!AI134)))</f>
        <v>0</v>
      </c>
      <c r="E134">
        <f>SUMPRODUCT((MONTH(CHOOSE({1,2,3,4},TTSSKĐ!T134,TTSSKĐ!X134,TTSSKĐ!AB134,TTSSKĐ!AF134))=5)*(CHOOSE({1,2,3,4},TTSSKĐ!W134,TTSSKĐ!AA134,TTSSKĐ!AE134,TTSSKĐ!AI134)))</f>
        <v>0</v>
      </c>
      <c r="F134">
        <f>SUMPRODUCT((MONTH(CHOOSE({1,2,3,4},TTSSKĐ!T134,TTSSKĐ!X134,TTSSKĐ!AB134,TTSSKĐ!AF134))=6)*(CHOOSE({1,2,3,4},TTSSKĐ!W134,TTSSKĐ!AA134,TTSSKĐ!AE134,TTSSKĐ!AI134)))</f>
        <v>0</v>
      </c>
      <c r="G134">
        <f>SUMPRODUCT((MONTH(CHOOSE({1,2,3,4},TTSSKĐ!T134,TTSSKĐ!X134,TTSSKĐ!AB134,TTSSKĐ!AF134))=7)*(CHOOSE({1,2,3,4},TTSSKĐ!W134,TTSSKĐ!AA134,TTSSKĐ!AE134,TTSSKĐ!AI134)))</f>
        <v>0</v>
      </c>
      <c r="H134">
        <f>SUMPRODUCT((MONTH(CHOOSE({1,2,3,4},TTSSKĐ!T134,TTSSKĐ!X134,TTSSKĐ!AB134,TTSSKĐ!AF134))=8)*(CHOOSE({1,2,3,4},TTSSKĐ!W134,TTSSKĐ!AA134,TTSSKĐ!AE134,TTSSKĐ!AI134)))</f>
        <v>0</v>
      </c>
      <c r="I134">
        <f>SUMPRODUCT((MONTH(CHOOSE({1,2,3,4},TTSSKĐ!T134,TTSSKĐ!X134,TTSSKĐ!AB134,TTSSKĐ!AF134))=9)*(CHOOSE({1,2,3,4},TTSSKĐ!W134,TTSSKĐ!AA134,TTSSKĐ!AE134,TTSSKĐ!AI134)))</f>
        <v>0</v>
      </c>
      <c r="J134">
        <f>SUMPRODUCT((MONTH(CHOOSE({1,2,3,4},TTSSKĐ!T134,TTSSKĐ!X134,TTSSKĐ!AB134,TTSSKĐ!AF134))=10)*(CHOOSE({1,2,3,4},TTSSKĐ!W134,TTSSKĐ!AA134,TTSSKĐ!AE134,TTSSKĐ!AI134)))</f>
        <v>0</v>
      </c>
      <c r="K134">
        <f>SUMPRODUCT((MONTH(CHOOSE({1,2,3,4},TTSSKĐ!T134,TTSSKĐ!X134,TTSSKĐ!AB134,TTSSKĐ!AF134))=11)*(CHOOSE({1,2,3,4},TTSSKĐ!W134,TTSSKĐ!AA134,TTSSKĐ!AE134,TTSSKĐ!AI134)))</f>
        <v>0</v>
      </c>
      <c r="L134">
        <f>SUMPRODUCT((MONTH(CHOOSE({1,2,3,4},TTSSKĐ!T134,TTSSKĐ!X134,TTSSKĐ!AB134,TTSSKĐ!AF134))=12)*(CHOOSE({1,2,3,4},TTSSKĐ!W134,TTSSKĐ!AA134,TTSSKĐ!AE134,TTSSKĐ!AI134)))</f>
        <v>0</v>
      </c>
    </row>
    <row r="135" spans="1:12">
      <c r="A135">
        <f>SUMPRODUCT((MONTH(CHOOSE({1,2,3,4},TTSSKĐ!T135,TTSSKĐ!X135,TTSSKĐ!AB135,TTSSKĐ!AF135))=1)*(CHOOSE({1,2,3,4},TTSSKĐ!W135,TTSSKĐ!AA135,TTSSKĐ!AE135,TTSSKĐ!AI135)))</f>
        <v>0</v>
      </c>
      <c r="B135">
        <f>SUMPRODUCT((MONTH(CHOOSE({1,2,3,4},TTSSKĐ!T135,TTSSKĐ!X135,TTSSKĐ!AB135,TTSSKĐ!AF135))=2)*(CHOOSE({1,2,3,4},TTSSKĐ!W135,TTSSKĐ!AA135,TTSSKĐ!AE135,TTSSKĐ!AI135)))</f>
        <v>0</v>
      </c>
      <c r="C135">
        <f>SUMPRODUCT((MONTH(CHOOSE({1,2,3,4},TTSSKĐ!T135,TTSSKĐ!X135,TTSSKĐ!AB135,TTSSKĐ!AF135))=3)*(CHOOSE({1,2,3,4},TTSSKĐ!W135,TTSSKĐ!AA135,TTSSKĐ!AE135,TTSSKĐ!AI135)))</f>
        <v>0</v>
      </c>
      <c r="D135">
        <f>SUMPRODUCT((MONTH(CHOOSE({1,2,3,4},TTSSKĐ!T135,TTSSKĐ!X135,TTSSKĐ!AB135,TTSSKĐ!AF135))=4)*(CHOOSE({1,2,3,4},TTSSKĐ!W135,TTSSKĐ!AA135,TTSSKĐ!AE135,TTSSKĐ!AI135)))</f>
        <v>0</v>
      </c>
      <c r="E135">
        <f>SUMPRODUCT((MONTH(CHOOSE({1,2,3,4},TTSSKĐ!T135,TTSSKĐ!X135,TTSSKĐ!AB135,TTSSKĐ!AF135))=5)*(CHOOSE({1,2,3,4},TTSSKĐ!W135,TTSSKĐ!AA135,TTSSKĐ!AE135,TTSSKĐ!AI135)))</f>
        <v>0</v>
      </c>
      <c r="F135">
        <f>SUMPRODUCT((MONTH(CHOOSE({1,2,3,4},TTSSKĐ!T135,TTSSKĐ!X135,TTSSKĐ!AB135,TTSSKĐ!AF135))=6)*(CHOOSE({1,2,3,4},TTSSKĐ!W135,TTSSKĐ!AA135,TTSSKĐ!AE135,TTSSKĐ!AI135)))</f>
        <v>0</v>
      </c>
      <c r="G135">
        <f>SUMPRODUCT((MONTH(CHOOSE({1,2,3,4},TTSSKĐ!T135,TTSSKĐ!X135,TTSSKĐ!AB135,TTSSKĐ!AF135))=7)*(CHOOSE({1,2,3,4},TTSSKĐ!W135,TTSSKĐ!AA135,TTSSKĐ!AE135,TTSSKĐ!AI135)))</f>
        <v>0</v>
      </c>
      <c r="H135">
        <f>SUMPRODUCT((MONTH(CHOOSE({1,2,3,4},TTSSKĐ!T135,TTSSKĐ!X135,TTSSKĐ!AB135,TTSSKĐ!AF135))=8)*(CHOOSE({1,2,3,4},TTSSKĐ!W135,TTSSKĐ!AA135,TTSSKĐ!AE135,TTSSKĐ!AI135)))</f>
        <v>0</v>
      </c>
      <c r="I135">
        <f>SUMPRODUCT((MONTH(CHOOSE({1,2,3,4},TTSSKĐ!T135,TTSSKĐ!X135,TTSSKĐ!AB135,TTSSKĐ!AF135))=9)*(CHOOSE({1,2,3,4},TTSSKĐ!W135,TTSSKĐ!AA135,TTSSKĐ!AE135,TTSSKĐ!AI135)))</f>
        <v>0</v>
      </c>
      <c r="J135">
        <f>SUMPRODUCT((MONTH(CHOOSE({1,2,3,4},TTSSKĐ!T135,TTSSKĐ!X135,TTSSKĐ!AB135,TTSSKĐ!AF135))=10)*(CHOOSE({1,2,3,4},TTSSKĐ!W135,TTSSKĐ!AA135,TTSSKĐ!AE135,TTSSKĐ!AI135)))</f>
        <v>0</v>
      </c>
      <c r="K135">
        <f>SUMPRODUCT((MONTH(CHOOSE({1,2,3,4},TTSSKĐ!T135,TTSSKĐ!X135,TTSSKĐ!AB135,TTSSKĐ!AF135))=11)*(CHOOSE({1,2,3,4},TTSSKĐ!W135,TTSSKĐ!AA135,TTSSKĐ!AE135,TTSSKĐ!AI135)))</f>
        <v>0</v>
      </c>
      <c r="L135">
        <f>SUMPRODUCT((MONTH(CHOOSE({1,2,3,4},TTSSKĐ!T135,TTSSKĐ!X135,TTSSKĐ!AB135,TTSSKĐ!AF135))=12)*(CHOOSE({1,2,3,4},TTSSKĐ!W135,TTSSKĐ!AA135,TTSSKĐ!AE135,TTSSKĐ!AI135)))</f>
        <v>0</v>
      </c>
    </row>
    <row r="136" spans="1:12">
      <c r="A136">
        <f>SUMPRODUCT((MONTH(CHOOSE({1,2,3,4},TTSSKĐ!T136,TTSSKĐ!X136,TTSSKĐ!AB136,TTSSKĐ!AF136))=1)*(CHOOSE({1,2,3,4},TTSSKĐ!W136,TTSSKĐ!AA136,TTSSKĐ!AE136,TTSSKĐ!AI136)))</f>
        <v>0</v>
      </c>
      <c r="B136">
        <f>SUMPRODUCT((MONTH(CHOOSE({1,2,3,4},TTSSKĐ!T136,TTSSKĐ!X136,TTSSKĐ!AB136,TTSSKĐ!AF136))=2)*(CHOOSE({1,2,3,4},TTSSKĐ!W136,TTSSKĐ!AA136,TTSSKĐ!AE136,TTSSKĐ!AI136)))</f>
        <v>0</v>
      </c>
      <c r="C136">
        <f>SUMPRODUCT((MONTH(CHOOSE({1,2,3,4},TTSSKĐ!T136,TTSSKĐ!X136,TTSSKĐ!AB136,TTSSKĐ!AF136))=3)*(CHOOSE({1,2,3,4},TTSSKĐ!W136,TTSSKĐ!AA136,TTSSKĐ!AE136,TTSSKĐ!AI136)))</f>
        <v>0</v>
      </c>
      <c r="D136">
        <f>SUMPRODUCT((MONTH(CHOOSE({1,2,3,4},TTSSKĐ!T136,TTSSKĐ!X136,TTSSKĐ!AB136,TTSSKĐ!AF136))=4)*(CHOOSE({1,2,3,4},TTSSKĐ!W136,TTSSKĐ!AA136,TTSSKĐ!AE136,TTSSKĐ!AI136)))</f>
        <v>0</v>
      </c>
      <c r="E136">
        <f>SUMPRODUCT((MONTH(CHOOSE({1,2,3,4},TTSSKĐ!T136,TTSSKĐ!X136,TTSSKĐ!AB136,TTSSKĐ!AF136))=5)*(CHOOSE({1,2,3,4},TTSSKĐ!W136,TTSSKĐ!AA136,TTSSKĐ!AE136,TTSSKĐ!AI136)))</f>
        <v>0</v>
      </c>
      <c r="F136">
        <f>SUMPRODUCT((MONTH(CHOOSE({1,2,3,4},TTSSKĐ!T136,TTSSKĐ!X136,TTSSKĐ!AB136,TTSSKĐ!AF136))=6)*(CHOOSE({1,2,3,4},TTSSKĐ!W136,TTSSKĐ!AA136,TTSSKĐ!AE136,TTSSKĐ!AI136)))</f>
        <v>0</v>
      </c>
      <c r="G136">
        <f>SUMPRODUCT((MONTH(CHOOSE({1,2,3,4},TTSSKĐ!T136,TTSSKĐ!X136,TTSSKĐ!AB136,TTSSKĐ!AF136))=7)*(CHOOSE({1,2,3,4},TTSSKĐ!W136,TTSSKĐ!AA136,TTSSKĐ!AE136,TTSSKĐ!AI136)))</f>
        <v>0</v>
      </c>
      <c r="H136">
        <f>SUMPRODUCT((MONTH(CHOOSE({1,2,3,4},TTSSKĐ!T136,TTSSKĐ!X136,TTSSKĐ!AB136,TTSSKĐ!AF136))=8)*(CHOOSE({1,2,3,4},TTSSKĐ!W136,TTSSKĐ!AA136,TTSSKĐ!AE136,TTSSKĐ!AI136)))</f>
        <v>0</v>
      </c>
      <c r="I136">
        <f>SUMPRODUCT((MONTH(CHOOSE({1,2,3,4},TTSSKĐ!T136,TTSSKĐ!X136,TTSSKĐ!AB136,TTSSKĐ!AF136))=9)*(CHOOSE({1,2,3,4},TTSSKĐ!W136,TTSSKĐ!AA136,TTSSKĐ!AE136,TTSSKĐ!AI136)))</f>
        <v>0</v>
      </c>
      <c r="J136">
        <f>SUMPRODUCT((MONTH(CHOOSE({1,2,3,4},TTSSKĐ!T136,TTSSKĐ!X136,TTSSKĐ!AB136,TTSSKĐ!AF136))=10)*(CHOOSE({1,2,3,4},TTSSKĐ!W136,TTSSKĐ!AA136,TTSSKĐ!AE136,TTSSKĐ!AI136)))</f>
        <v>0</v>
      </c>
      <c r="K136">
        <f>SUMPRODUCT((MONTH(CHOOSE({1,2,3,4},TTSSKĐ!T136,TTSSKĐ!X136,TTSSKĐ!AB136,TTSSKĐ!AF136))=11)*(CHOOSE({1,2,3,4},TTSSKĐ!W136,TTSSKĐ!AA136,TTSSKĐ!AE136,TTSSKĐ!AI136)))</f>
        <v>0</v>
      </c>
      <c r="L136">
        <f>SUMPRODUCT((MONTH(CHOOSE({1,2,3,4},TTSSKĐ!T136,TTSSKĐ!X136,TTSSKĐ!AB136,TTSSKĐ!AF136))=12)*(CHOOSE({1,2,3,4},TTSSKĐ!W136,TTSSKĐ!AA136,TTSSKĐ!AE136,TTSSKĐ!AI136)))</f>
        <v>0</v>
      </c>
    </row>
    <row r="137" spans="1:12">
      <c r="A137">
        <f>SUMPRODUCT((MONTH(CHOOSE({1,2,3,4},TTSSKĐ!T137,TTSSKĐ!X137,TTSSKĐ!AB137,TTSSKĐ!AF137))=1)*(CHOOSE({1,2,3,4},TTSSKĐ!W137,TTSSKĐ!AA137,TTSSKĐ!AE137,TTSSKĐ!AI137)))</f>
        <v>0</v>
      </c>
      <c r="B137">
        <f>SUMPRODUCT((MONTH(CHOOSE({1,2,3,4},TTSSKĐ!T137,TTSSKĐ!X137,TTSSKĐ!AB137,TTSSKĐ!AF137))=2)*(CHOOSE({1,2,3,4},TTSSKĐ!W137,TTSSKĐ!AA137,TTSSKĐ!AE137,TTSSKĐ!AI137)))</f>
        <v>0</v>
      </c>
      <c r="C137">
        <f>SUMPRODUCT((MONTH(CHOOSE({1,2,3,4},TTSSKĐ!T137,TTSSKĐ!X137,TTSSKĐ!AB137,TTSSKĐ!AF137))=3)*(CHOOSE({1,2,3,4},TTSSKĐ!W137,TTSSKĐ!AA137,TTSSKĐ!AE137,TTSSKĐ!AI137)))</f>
        <v>0</v>
      </c>
      <c r="D137">
        <f>SUMPRODUCT((MONTH(CHOOSE({1,2,3,4},TTSSKĐ!T137,TTSSKĐ!X137,TTSSKĐ!AB137,TTSSKĐ!AF137))=4)*(CHOOSE({1,2,3,4},TTSSKĐ!W137,TTSSKĐ!AA137,TTSSKĐ!AE137,TTSSKĐ!AI137)))</f>
        <v>0</v>
      </c>
      <c r="E137">
        <f>SUMPRODUCT((MONTH(CHOOSE({1,2,3,4},TTSSKĐ!T137,TTSSKĐ!X137,TTSSKĐ!AB137,TTSSKĐ!AF137))=5)*(CHOOSE({1,2,3,4},TTSSKĐ!W137,TTSSKĐ!AA137,TTSSKĐ!AE137,TTSSKĐ!AI137)))</f>
        <v>0</v>
      </c>
      <c r="F137">
        <f>SUMPRODUCT((MONTH(CHOOSE({1,2,3,4},TTSSKĐ!T137,TTSSKĐ!X137,TTSSKĐ!AB137,TTSSKĐ!AF137))=6)*(CHOOSE({1,2,3,4},TTSSKĐ!W137,TTSSKĐ!AA137,TTSSKĐ!AE137,TTSSKĐ!AI137)))</f>
        <v>0</v>
      </c>
      <c r="G137">
        <f>SUMPRODUCT((MONTH(CHOOSE({1,2,3,4},TTSSKĐ!T137,TTSSKĐ!X137,TTSSKĐ!AB137,TTSSKĐ!AF137))=7)*(CHOOSE({1,2,3,4},TTSSKĐ!W137,TTSSKĐ!AA137,TTSSKĐ!AE137,TTSSKĐ!AI137)))</f>
        <v>0</v>
      </c>
      <c r="H137">
        <f>SUMPRODUCT((MONTH(CHOOSE({1,2,3,4},TTSSKĐ!T137,TTSSKĐ!X137,TTSSKĐ!AB137,TTSSKĐ!AF137))=8)*(CHOOSE({1,2,3,4},TTSSKĐ!W137,TTSSKĐ!AA137,TTSSKĐ!AE137,TTSSKĐ!AI137)))</f>
        <v>0</v>
      </c>
      <c r="I137">
        <f>SUMPRODUCT((MONTH(CHOOSE({1,2,3,4},TTSSKĐ!T137,TTSSKĐ!X137,TTSSKĐ!AB137,TTSSKĐ!AF137))=9)*(CHOOSE({1,2,3,4},TTSSKĐ!W137,TTSSKĐ!AA137,TTSSKĐ!AE137,TTSSKĐ!AI137)))</f>
        <v>0</v>
      </c>
      <c r="J137">
        <f>SUMPRODUCT((MONTH(CHOOSE({1,2,3,4},TTSSKĐ!T137,TTSSKĐ!X137,TTSSKĐ!AB137,TTSSKĐ!AF137))=10)*(CHOOSE({1,2,3,4},TTSSKĐ!W137,TTSSKĐ!AA137,TTSSKĐ!AE137,TTSSKĐ!AI137)))</f>
        <v>0</v>
      </c>
      <c r="K137">
        <f>SUMPRODUCT((MONTH(CHOOSE({1,2,3,4},TTSSKĐ!T137,TTSSKĐ!X137,TTSSKĐ!AB137,TTSSKĐ!AF137))=11)*(CHOOSE({1,2,3,4},TTSSKĐ!W137,TTSSKĐ!AA137,TTSSKĐ!AE137,TTSSKĐ!AI137)))</f>
        <v>0</v>
      </c>
      <c r="L137">
        <f>SUMPRODUCT((MONTH(CHOOSE({1,2,3,4},TTSSKĐ!T137,TTSSKĐ!X137,TTSSKĐ!AB137,TTSSKĐ!AF137))=12)*(CHOOSE({1,2,3,4},TTSSKĐ!W137,TTSSKĐ!AA137,TTSSKĐ!AE137,TTSSKĐ!AI137)))</f>
        <v>0</v>
      </c>
    </row>
    <row r="138" spans="1:12">
      <c r="A138">
        <f>SUMPRODUCT((MONTH(CHOOSE({1,2,3,4},TTSSKĐ!T138,TTSSKĐ!X138,TTSSKĐ!AB138,TTSSKĐ!AF138))=1)*(CHOOSE({1,2,3,4},TTSSKĐ!W138,TTSSKĐ!AA138,TTSSKĐ!AE138,TTSSKĐ!AI138)))</f>
        <v>0</v>
      </c>
      <c r="B138">
        <f>SUMPRODUCT((MONTH(CHOOSE({1,2,3,4},TTSSKĐ!T138,TTSSKĐ!X138,TTSSKĐ!AB138,TTSSKĐ!AF138))=2)*(CHOOSE({1,2,3,4},TTSSKĐ!W138,TTSSKĐ!AA138,TTSSKĐ!AE138,TTSSKĐ!AI138)))</f>
        <v>0</v>
      </c>
      <c r="C138">
        <f>SUMPRODUCT((MONTH(CHOOSE({1,2,3,4},TTSSKĐ!T138,TTSSKĐ!X138,TTSSKĐ!AB138,TTSSKĐ!AF138))=3)*(CHOOSE({1,2,3,4},TTSSKĐ!W138,TTSSKĐ!AA138,TTSSKĐ!AE138,TTSSKĐ!AI138)))</f>
        <v>0</v>
      </c>
      <c r="D138">
        <f>SUMPRODUCT((MONTH(CHOOSE({1,2,3,4},TTSSKĐ!T138,TTSSKĐ!X138,TTSSKĐ!AB138,TTSSKĐ!AF138))=4)*(CHOOSE({1,2,3,4},TTSSKĐ!W138,TTSSKĐ!AA138,TTSSKĐ!AE138,TTSSKĐ!AI138)))</f>
        <v>0</v>
      </c>
      <c r="E138">
        <f>SUMPRODUCT((MONTH(CHOOSE({1,2,3,4},TTSSKĐ!T138,TTSSKĐ!X138,TTSSKĐ!AB138,TTSSKĐ!AF138))=5)*(CHOOSE({1,2,3,4},TTSSKĐ!W138,TTSSKĐ!AA138,TTSSKĐ!AE138,TTSSKĐ!AI138)))</f>
        <v>0</v>
      </c>
      <c r="F138">
        <f>SUMPRODUCT((MONTH(CHOOSE({1,2,3,4},TTSSKĐ!T138,TTSSKĐ!X138,TTSSKĐ!AB138,TTSSKĐ!AF138))=6)*(CHOOSE({1,2,3,4},TTSSKĐ!W138,TTSSKĐ!AA138,TTSSKĐ!AE138,TTSSKĐ!AI138)))</f>
        <v>0</v>
      </c>
      <c r="G138">
        <f>SUMPRODUCT((MONTH(CHOOSE({1,2,3,4},TTSSKĐ!T138,TTSSKĐ!X138,TTSSKĐ!AB138,TTSSKĐ!AF138))=7)*(CHOOSE({1,2,3,4},TTSSKĐ!W138,TTSSKĐ!AA138,TTSSKĐ!AE138,TTSSKĐ!AI138)))</f>
        <v>0</v>
      </c>
      <c r="H138">
        <f>SUMPRODUCT((MONTH(CHOOSE({1,2,3,4},TTSSKĐ!T138,TTSSKĐ!X138,TTSSKĐ!AB138,TTSSKĐ!AF138))=8)*(CHOOSE({1,2,3,4},TTSSKĐ!W138,TTSSKĐ!AA138,TTSSKĐ!AE138,TTSSKĐ!AI138)))</f>
        <v>0</v>
      </c>
      <c r="I138">
        <f>SUMPRODUCT((MONTH(CHOOSE({1,2,3,4},TTSSKĐ!T138,TTSSKĐ!X138,TTSSKĐ!AB138,TTSSKĐ!AF138))=9)*(CHOOSE({1,2,3,4},TTSSKĐ!W138,TTSSKĐ!AA138,TTSSKĐ!AE138,TTSSKĐ!AI138)))</f>
        <v>0</v>
      </c>
      <c r="J138">
        <f>SUMPRODUCT((MONTH(CHOOSE({1,2,3,4},TTSSKĐ!T138,TTSSKĐ!X138,TTSSKĐ!AB138,TTSSKĐ!AF138))=10)*(CHOOSE({1,2,3,4},TTSSKĐ!W138,TTSSKĐ!AA138,TTSSKĐ!AE138,TTSSKĐ!AI138)))</f>
        <v>0</v>
      </c>
      <c r="K138">
        <f>SUMPRODUCT((MONTH(CHOOSE({1,2,3,4},TTSSKĐ!T138,TTSSKĐ!X138,TTSSKĐ!AB138,TTSSKĐ!AF138))=11)*(CHOOSE({1,2,3,4},TTSSKĐ!W138,TTSSKĐ!AA138,TTSSKĐ!AE138,TTSSKĐ!AI138)))</f>
        <v>0</v>
      </c>
      <c r="L138">
        <f>SUMPRODUCT((MONTH(CHOOSE({1,2,3,4},TTSSKĐ!T138,TTSSKĐ!X138,TTSSKĐ!AB138,TTSSKĐ!AF138))=12)*(CHOOSE({1,2,3,4},TTSSKĐ!W138,TTSSKĐ!AA138,TTSSKĐ!AE138,TTSSKĐ!AI138)))</f>
        <v>0</v>
      </c>
    </row>
    <row r="139" spans="1:12">
      <c r="A139">
        <f>SUMPRODUCT((MONTH(CHOOSE({1,2,3,4},TTSSKĐ!T139,TTSSKĐ!X139,TTSSKĐ!AB139,TTSSKĐ!AF139))=1)*(CHOOSE({1,2,3,4},TTSSKĐ!W139,TTSSKĐ!AA139,TTSSKĐ!AE139,TTSSKĐ!AI139)))</f>
        <v>0</v>
      </c>
      <c r="B139">
        <f>SUMPRODUCT((MONTH(CHOOSE({1,2,3,4},TTSSKĐ!T139,TTSSKĐ!X139,TTSSKĐ!AB139,TTSSKĐ!AF139))=2)*(CHOOSE({1,2,3,4},TTSSKĐ!W139,TTSSKĐ!AA139,TTSSKĐ!AE139,TTSSKĐ!AI139)))</f>
        <v>0</v>
      </c>
      <c r="C139">
        <f>SUMPRODUCT((MONTH(CHOOSE({1,2,3,4},TTSSKĐ!T139,TTSSKĐ!X139,TTSSKĐ!AB139,TTSSKĐ!AF139))=3)*(CHOOSE({1,2,3,4},TTSSKĐ!W139,TTSSKĐ!AA139,TTSSKĐ!AE139,TTSSKĐ!AI139)))</f>
        <v>0</v>
      </c>
      <c r="D139">
        <f>SUMPRODUCT((MONTH(CHOOSE({1,2,3,4},TTSSKĐ!T139,TTSSKĐ!X139,TTSSKĐ!AB139,TTSSKĐ!AF139))=4)*(CHOOSE({1,2,3,4},TTSSKĐ!W139,TTSSKĐ!AA139,TTSSKĐ!AE139,TTSSKĐ!AI139)))</f>
        <v>0</v>
      </c>
      <c r="E139">
        <f>SUMPRODUCT((MONTH(CHOOSE({1,2,3,4},TTSSKĐ!T139,TTSSKĐ!X139,TTSSKĐ!AB139,TTSSKĐ!AF139))=5)*(CHOOSE({1,2,3,4},TTSSKĐ!W139,TTSSKĐ!AA139,TTSSKĐ!AE139,TTSSKĐ!AI139)))</f>
        <v>0</v>
      </c>
      <c r="F139">
        <f>SUMPRODUCT((MONTH(CHOOSE({1,2,3,4},TTSSKĐ!T139,TTSSKĐ!X139,TTSSKĐ!AB139,TTSSKĐ!AF139))=6)*(CHOOSE({1,2,3,4},TTSSKĐ!W139,TTSSKĐ!AA139,TTSSKĐ!AE139,TTSSKĐ!AI139)))</f>
        <v>0</v>
      </c>
      <c r="G139">
        <f>SUMPRODUCT((MONTH(CHOOSE({1,2,3,4},TTSSKĐ!T139,TTSSKĐ!X139,TTSSKĐ!AB139,TTSSKĐ!AF139))=7)*(CHOOSE({1,2,3,4},TTSSKĐ!W139,TTSSKĐ!AA139,TTSSKĐ!AE139,TTSSKĐ!AI139)))</f>
        <v>0</v>
      </c>
      <c r="H139">
        <f>SUMPRODUCT((MONTH(CHOOSE({1,2,3,4},TTSSKĐ!T139,TTSSKĐ!X139,TTSSKĐ!AB139,TTSSKĐ!AF139))=8)*(CHOOSE({1,2,3,4},TTSSKĐ!W139,TTSSKĐ!AA139,TTSSKĐ!AE139,TTSSKĐ!AI139)))</f>
        <v>0</v>
      </c>
      <c r="I139">
        <f>SUMPRODUCT((MONTH(CHOOSE({1,2,3,4},TTSSKĐ!T139,TTSSKĐ!X139,TTSSKĐ!AB139,TTSSKĐ!AF139))=9)*(CHOOSE({1,2,3,4},TTSSKĐ!W139,TTSSKĐ!AA139,TTSSKĐ!AE139,TTSSKĐ!AI139)))</f>
        <v>0</v>
      </c>
      <c r="J139">
        <f>SUMPRODUCT((MONTH(CHOOSE({1,2,3,4},TTSSKĐ!T139,TTSSKĐ!X139,TTSSKĐ!AB139,TTSSKĐ!AF139))=10)*(CHOOSE({1,2,3,4},TTSSKĐ!W139,TTSSKĐ!AA139,TTSSKĐ!AE139,TTSSKĐ!AI139)))</f>
        <v>0</v>
      </c>
      <c r="K139">
        <f>SUMPRODUCT((MONTH(CHOOSE({1,2,3,4},TTSSKĐ!T139,TTSSKĐ!X139,TTSSKĐ!AB139,TTSSKĐ!AF139))=11)*(CHOOSE({1,2,3,4},TTSSKĐ!W139,TTSSKĐ!AA139,TTSSKĐ!AE139,TTSSKĐ!AI139)))</f>
        <v>0</v>
      </c>
      <c r="L139">
        <f>SUMPRODUCT((MONTH(CHOOSE({1,2,3,4},TTSSKĐ!T139,TTSSKĐ!X139,TTSSKĐ!AB139,TTSSKĐ!AF139))=12)*(CHOOSE({1,2,3,4},TTSSKĐ!W139,TTSSKĐ!AA139,TTSSKĐ!AE139,TTSSKĐ!AI139)))</f>
        <v>0</v>
      </c>
    </row>
    <row r="140" spans="1:12">
      <c r="A140">
        <f>SUMPRODUCT((MONTH(CHOOSE({1,2,3,4},TTSSKĐ!T140,TTSSKĐ!X140,TTSSKĐ!AB140,TTSSKĐ!AF140))=1)*(CHOOSE({1,2,3,4},TTSSKĐ!W140,TTSSKĐ!AA140,TTSSKĐ!AE140,TTSSKĐ!AI140)))</f>
        <v>0</v>
      </c>
      <c r="B140">
        <f>SUMPRODUCT((MONTH(CHOOSE({1,2,3,4},TTSSKĐ!T140,TTSSKĐ!X140,TTSSKĐ!AB140,TTSSKĐ!AF140))=2)*(CHOOSE({1,2,3,4},TTSSKĐ!W140,TTSSKĐ!AA140,TTSSKĐ!AE140,TTSSKĐ!AI140)))</f>
        <v>0</v>
      </c>
      <c r="C140">
        <f>SUMPRODUCT((MONTH(CHOOSE({1,2,3,4},TTSSKĐ!T140,TTSSKĐ!X140,TTSSKĐ!AB140,TTSSKĐ!AF140))=3)*(CHOOSE({1,2,3,4},TTSSKĐ!W140,TTSSKĐ!AA140,TTSSKĐ!AE140,TTSSKĐ!AI140)))</f>
        <v>0</v>
      </c>
      <c r="D140">
        <f>SUMPRODUCT((MONTH(CHOOSE({1,2,3,4},TTSSKĐ!T140,TTSSKĐ!X140,TTSSKĐ!AB140,TTSSKĐ!AF140))=4)*(CHOOSE({1,2,3,4},TTSSKĐ!W140,TTSSKĐ!AA140,TTSSKĐ!AE140,TTSSKĐ!AI140)))</f>
        <v>0</v>
      </c>
      <c r="E140">
        <f>SUMPRODUCT((MONTH(CHOOSE({1,2,3,4},TTSSKĐ!T140,TTSSKĐ!X140,TTSSKĐ!AB140,TTSSKĐ!AF140))=5)*(CHOOSE({1,2,3,4},TTSSKĐ!W140,TTSSKĐ!AA140,TTSSKĐ!AE140,TTSSKĐ!AI140)))</f>
        <v>0</v>
      </c>
      <c r="F140">
        <f>SUMPRODUCT((MONTH(CHOOSE({1,2,3,4},TTSSKĐ!T140,TTSSKĐ!X140,TTSSKĐ!AB140,TTSSKĐ!AF140))=6)*(CHOOSE({1,2,3,4},TTSSKĐ!W140,TTSSKĐ!AA140,TTSSKĐ!AE140,TTSSKĐ!AI140)))</f>
        <v>0</v>
      </c>
      <c r="G140">
        <f>SUMPRODUCT((MONTH(CHOOSE({1,2,3,4},TTSSKĐ!T140,TTSSKĐ!X140,TTSSKĐ!AB140,TTSSKĐ!AF140))=7)*(CHOOSE({1,2,3,4},TTSSKĐ!W140,TTSSKĐ!AA140,TTSSKĐ!AE140,TTSSKĐ!AI140)))</f>
        <v>0</v>
      </c>
      <c r="H140">
        <f>SUMPRODUCT((MONTH(CHOOSE({1,2,3,4},TTSSKĐ!T140,TTSSKĐ!X140,TTSSKĐ!AB140,TTSSKĐ!AF140))=8)*(CHOOSE({1,2,3,4},TTSSKĐ!W140,TTSSKĐ!AA140,TTSSKĐ!AE140,TTSSKĐ!AI140)))</f>
        <v>0</v>
      </c>
      <c r="I140">
        <f>SUMPRODUCT((MONTH(CHOOSE({1,2,3,4},TTSSKĐ!T140,TTSSKĐ!X140,TTSSKĐ!AB140,TTSSKĐ!AF140))=9)*(CHOOSE({1,2,3,4},TTSSKĐ!W140,TTSSKĐ!AA140,TTSSKĐ!AE140,TTSSKĐ!AI140)))</f>
        <v>0</v>
      </c>
      <c r="J140">
        <f>SUMPRODUCT((MONTH(CHOOSE({1,2,3,4},TTSSKĐ!T140,TTSSKĐ!X140,TTSSKĐ!AB140,TTSSKĐ!AF140))=10)*(CHOOSE({1,2,3,4},TTSSKĐ!W140,TTSSKĐ!AA140,TTSSKĐ!AE140,TTSSKĐ!AI140)))</f>
        <v>0</v>
      </c>
      <c r="K140">
        <f>SUMPRODUCT((MONTH(CHOOSE({1,2,3,4},TTSSKĐ!T140,TTSSKĐ!X140,TTSSKĐ!AB140,TTSSKĐ!AF140))=11)*(CHOOSE({1,2,3,4},TTSSKĐ!W140,TTSSKĐ!AA140,TTSSKĐ!AE140,TTSSKĐ!AI140)))</f>
        <v>0</v>
      </c>
      <c r="L140">
        <f>SUMPRODUCT((MONTH(CHOOSE({1,2,3,4},TTSSKĐ!T140,TTSSKĐ!X140,TTSSKĐ!AB140,TTSSKĐ!AF140))=12)*(CHOOSE({1,2,3,4},TTSSKĐ!W140,TTSSKĐ!AA140,TTSSKĐ!AE140,TTSSKĐ!AI140)))</f>
        <v>0</v>
      </c>
    </row>
    <row r="141" spans="1:12">
      <c r="A141">
        <f>SUMPRODUCT((MONTH(CHOOSE({1,2,3,4},TTSSKĐ!T141,TTSSKĐ!X141,TTSSKĐ!AB141,TTSSKĐ!AF141))=1)*(CHOOSE({1,2,3,4},TTSSKĐ!W141,TTSSKĐ!AA141,TTSSKĐ!AE141,TTSSKĐ!AI141)))</f>
        <v>0</v>
      </c>
      <c r="B141">
        <f>SUMPRODUCT((MONTH(CHOOSE({1,2,3,4},TTSSKĐ!T141,TTSSKĐ!X141,TTSSKĐ!AB141,TTSSKĐ!AF141))=2)*(CHOOSE({1,2,3,4},TTSSKĐ!W141,TTSSKĐ!AA141,TTSSKĐ!AE141,TTSSKĐ!AI141)))</f>
        <v>0</v>
      </c>
      <c r="C141">
        <f>SUMPRODUCT((MONTH(CHOOSE({1,2,3,4},TTSSKĐ!T141,TTSSKĐ!X141,TTSSKĐ!AB141,TTSSKĐ!AF141))=3)*(CHOOSE({1,2,3,4},TTSSKĐ!W141,TTSSKĐ!AA141,TTSSKĐ!AE141,TTSSKĐ!AI141)))</f>
        <v>0</v>
      </c>
      <c r="D141">
        <f>SUMPRODUCT((MONTH(CHOOSE({1,2,3,4},TTSSKĐ!T141,TTSSKĐ!X141,TTSSKĐ!AB141,TTSSKĐ!AF141))=4)*(CHOOSE({1,2,3,4},TTSSKĐ!W141,TTSSKĐ!AA141,TTSSKĐ!AE141,TTSSKĐ!AI141)))</f>
        <v>0</v>
      </c>
      <c r="E141">
        <f>SUMPRODUCT((MONTH(CHOOSE({1,2,3,4},TTSSKĐ!T141,TTSSKĐ!X141,TTSSKĐ!AB141,TTSSKĐ!AF141))=5)*(CHOOSE({1,2,3,4},TTSSKĐ!W141,TTSSKĐ!AA141,TTSSKĐ!AE141,TTSSKĐ!AI141)))</f>
        <v>0</v>
      </c>
      <c r="F141">
        <f>SUMPRODUCT((MONTH(CHOOSE({1,2,3,4},TTSSKĐ!T141,TTSSKĐ!X141,TTSSKĐ!AB141,TTSSKĐ!AF141))=6)*(CHOOSE({1,2,3,4},TTSSKĐ!W141,TTSSKĐ!AA141,TTSSKĐ!AE141,TTSSKĐ!AI141)))</f>
        <v>0</v>
      </c>
      <c r="G141">
        <f>SUMPRODUCT((MONTH(CHOOSE({1,2,3,4},TTSSKĐ!T141,TTSSKĐ!X141,TTSSKĐ!AB141,TTSSKĐ!AF141))=7)*(CHOOSE({1,2,3,4},TTSSKĐ!W141,TTSSKĐ!AA141,TTSSKĐ!AE141,TTSSKĐ!AI141)))</f>
        <v>0</v>
      </c>
      <c r="H141">
        <f>SUMPRODUCT((MONTH(CHOOSE({1,2,3,4},TTSSKĐ!T141,TTSSKĐ!X141,TTSSKĐ!AB141,TTSSKĐ!AF141))=8)*(CHOOSE({1,2,3,4},TTSSKĐ!W141,TTSSKĐ!AA141,TTSSKĐ!AE141,TTSSKĐ!AI141)))</f>
        <v>0</v>
      </c>
      <c r="I141">
        <f>SUMPRODUCT((MONTH(CHOOSE({1,2,3,4},TTSSKĐ!T141,TTSSKĐ!X141,TTSSKĐ!AB141,TTSSKĐ!AF141))=9)*(CHOOSE({1,2,3,4},TTSSKĐ!W141,TTSSKĐ!AA141,TTSSKĐ!AE141,TTSSKĐ!AI141)))</f>
        <v>0</v>
      </c>
      <c r="J141">
        <f>SUMPRODUCT((MONTH(CHOOSE({1,2,3,4},TTSSKĐ!T141,TTSSKĐ!X141,TTSSKĐ!AB141,TTSSKĐ!AF141))=10)*(CHOOSE({1,2,3,4},TTSSKĐ!W141,TTSSKĐ!AA141,TTSSKĐ!AE141,TTSSKĐ!AI141)))</f>
        <v>0</v>
      </c>
      <c r="K141">
        <f>SUMPRODUCT((MONTH(CHOOSE({1,2,3,4},TTSSKĐ!T141,TTSSKĐ!X141,TTSSKĐ!AB141,TTSSKĐ!AF141))=11)*(CHOOSE({1,2,3,4},TTSSKĐ!W141,TTSSKĐ!AA141,TTSSKĐ!AE141,TTSSKĐ!AI141)))</f>
        <v>0</v>
      </c>
      <c r="L141">
        <f>SUMPRODUCT((MONTH(CHOOSE({1,2,3,4},TTSSKĐ!T141,TTSSKĐ!X141,TTSSKĐ!AB141,TTSSKĐ!AF141))=12)*(CHOOSE({1,2,3,4},TTSSKĐ!W141,TTSSKĐ!AA141,TTSSKĐ!AE141,TTSSKĐ!AI141)))</f>
        <v>0</v>
      </c>
    </row>
    <row r="142" spans="1:12">
      <c r="A142">
        <f>SUMPRODUCT((MONTH(CHOOSE({1,2,3,4},TTSSKĐ!T142,TTSSKĐ!X142,TTSSKĐ!AB142,TTSSKĐ!AF142))=1)*(CHOOSE({1,2,3,4},TTSSKĐ!W142,TTSSKĐ!AA142,TTSSKĐ!AE142,TTSSKĐ!AI142)))</f>
        <v>0</v>
      </c>
      <c r="B142">
        <f>SUMPRODUCT((MONTH(CHOOSE({1,2,3,4},TTSSKĐ!T142,TTSSKĐ!X142,TTSSKĐ!AB142,TTSSKĐ!AF142))=2)*(CHOOSE({1,2,3,4},TTSSKĐ!W142,TTSSKĐ!AA142,TTSSKĐ!AE142,TTSSKĐ!AI142)))</f>
        <v>0</v>
      </c>
      <c r="C142">
        <f>SUMPRODUCT((MONTH(CHOOSE({1,2,3,4},TTSSKĐ!T142,TTSSKĐ!X142,TTSSKĐ!AB142,TTSSKĐ!AF142))=3)*(CHOOSE({1,2,3,4},TTSSKĐ!W142,TTSSKĐ!AA142,TTSSKĐ!AE142,TTSSKĐ!AI142)))</f>
        <v>0</v>
      </c>
      <c r="D142">
        <f>SUMPRODUCT((MONTH(CHOOSE({1,2,3,4},TTSSKĐ!T142,TTSSKĐ!X142,TTSSKĐ!AB142,TTSSKĐ!AF142))=4)*(CHOOSE({1,2,3,4},TTSSKĐ!W142,TTSSKĐ!AA142,TTSSKĐ!AE142,TTSSKĐ!AI142)))</f>
        <v>0</v>
      </c>
      <c r="E142">
        <f>SUMPRODUCT((MONTH(CHOOSE({1,2,3,4},TTSSKĐ!T142,TTSSKĐ!X142,TTSSKĐ!AB142,TTSSKĐ!AF142))=5)*(CHOOSE({1,2,3,4},TTSSKĐ!W142,TTSSKĐ!AA142,TTSSKĐ!AE142,TTSSKĐ!AI142)))</f>
        <v>0</v>
      </c>
      <c r="F142">
        <f>SUMPRODUCT((MONTH(CHOOSE({1,2,3,4},TTSSKĐ!T142,TTSSKĐ!X142,TTSSKĐ!AB142,TTSSKĐ!AF142))=6)*(CHOOSE({1,2,3,4},TTSSKĐ!W142,TTSSKĐ!AA142,TTSSKĐ!AE142,TTSSKĐ!AI142)))</f>
        <v>0</v>
      </c>
      <c r="G142">
        <f>SUMPRODUCT((MONTH(CHOOSE({1,2,3,4},TTSSKĐ!T142,TTSSKĐ!X142,TTSSKĐ!AB142,TTSSKĐ!AF142))=7)*(CHOOSE({1,2,3,4},TTSSKĐ!W142,TTSSKĐ!AA142,TTSSKĐ!AE142,TTSSKĐ!AI142)))</f>
        <v>0</v>
      </c>
      <c r="H142">
        <f>SUMPRODUCT((MONTH(CHOOSE({1,2,3,4},TTSSKĐ!T142,TTSSKĐ!X142,TTSSKĐ!AB142,TTSSKĐ!AF142))=8)*(CHOOSE({1,2,3,4},TTSSKĐ!W142,TTSSKĐ!AA142,TTSSKĐ!AE142,TTSSKĐ!AI142)))</f>
        <v>0</v>
      </c>
      <c r="I142">
        <f>SUMPRODUCT((MONTH(CHOOSE({1,2,3,4},TTSSKĐ!T142,TTSSKĐ!X142,TTSSKĐ!AB142,TTSSKĐ!AF142))=9)*(CHOOSE({1,2,3,4},TTSSKĐ!W142,TTSSKĐ!AA142,TTSSKĐ!AE142,TTSSKĐ!AI142)))</f>
        <v>0</v>
      </c>
      <c r="J142">
        <f>SUMPRODUCT((MONTH(CHOOSE({1,2,3,4},TTSSKĐ!T142,TTSSKĐ!X142,TTSSKĐ!AB142,TTSSKĐ!AF142))=10)*(CHOOSE({1,2,3,4},TTSSKĐ!W142,TTSSKĐ!AA142,TTSSKĐ!AE142,TTSSKĐ!AI142)))</f>
        <v>0</v>
      </c>
      <c r="K142">
        <f>SUMPRODUCT((MONTH(CHOOSE({1,2,3,4},TTSSKĐ!T142,TTSSKĐ!X142,TTSSKĐ!AB142,TTSSKĐ!AF142))=11)*(CHOOSE({1,2,3,4},TTSSKĐ!W142,TTSSKĐ!AA142,TTSSKĐ!AE142,TTSSKĐ!AI142)))</f>
        <v>0</v>
      </c>
      <c r="L142">
        <f>SUMPRODUCT((MONTH(CHOOSE({1,2,3,4},TTSSKĐ!T142,TTSSKĐ!X142,TTSSKĐ!AB142,TTSSKĐ!AF142))=12)*(CHOOSE({1,2,3,4},TTSSKĐ!W142,TTSSKĐ!AA142,TTSSKĐ!AE142,TTSSKĐ!AI142)))</f>
        <v>0</v>
      </c>
    </row>
    <row r="143" spans="1:12">
      <c r="A143">
        <f>SUMPRODUCT((MONTH(CHOOSE({1,2,3,4},TTSSKĐ!T143,TTSSKĐ!X143,TTSSKĐ!AB143,TTSSKĐ!AF143))=1)*(CHOOSE({1,2,3,4},TTSSKĐ!W143,TTSSKĐ!AA143,TTSSKĐ!AE143,TTSSKĐ!AI143)))</f>
        <v>0</v>
      </c>
      <c r="B143">
        <f>SUMPRODUCT((MONTH(CHOOSE({1,2,3,4},TTSSKĐ!T143,TTSSKĐ!X143,TTSSKĐ!AB143,TTSSKĐ!AF143))=2)*(CHOOSE({1,2,3,4},TTSSKĐ!W143,TTSSKĐ!AA143,TTSSKĐ!AE143,TTSSKĐ!AI143)))</f>
        <v>0</v>
      </c>
      <c r="C143">
        <f>SUMPRODUCT((MONTH(CHOOSE({1,2,3,4},TTSSKĐ!T143,TTSSKĐ!X143,TTSSKĐ!AB143,TTSSKĐ!AF143))=3)*(CHOOSE({1,2,3,4},TTSSKĐ!W143,TTSSKĐ!AA143,TTSSKĐ!AE143,TTSSKĐ!AI143)))</f>
        <v>0</v>
      </c>
      <c r="D143">
        <f>SUMPRODUCT((MONTH(CHOOSE({1,2,3,4},TTSSKĐ!T143,TTSSKĐ!X143,TTSSKĐ!AB143,TTSSKĐ!AF143))=4)*(CHOOSE({1,2,3,4},TTSSKĐ!W143,TTSSKĐ!AA143,TTSSKĐ!AE143,TTSSKĐ!AI143)))</f>
        <v>0</v>
      </c>
      <c r="E143">
        <f>SUMPRODUCT((MONTH(CHOOSE({1,2,3,4},TTSSKĐ!T143,TTSSKĐ!X143,TTSSKĐ!AB143,TTSSKĐ!AF143))=5)*(CHOOSE({1,2,3,4},TTSSKĐ!W143,TTSSKĐ!AA143,TTSSKĐ!AE143,TTSSKĐ!AI143)))</f>
        <v>0</v>
      </c>
      <c r="F143">
        <f>SUMPRODUCT((MONTH(CHOOSE({1,2,3,4},TTSSKĐ!T143,TTSSKĐ!X143,TTSSKĐ!AB143,TTSSKĐ!AF143))=6)*(CHOOSE({1,2,3,4},TTSSKĐ!W143,TTSSKĐ!AA143,TTSSKĐ!AE143,TTSSKĐ!AI143)))</f>
        <v>0</v>
      </c>
      <c r="G143">
        <f>SUMPRODUCT((MONTH(CHOOSE({1,2,3,4},TTSSKĐ!T143,TTSSKĐ!X143,TTSSKĐ!AB143,TTSSKĐ!AF143))=7)*(CHOOSE({1,2,3,4},TTSSKĐ!W143,TTSSKĐ!AA143,TTSSKĐ!AE143,TTSSKĐ!AI143)))</f>
        <v>0</v>
      </c>
      <c r="H143">
        <f>SUMPRODUCT((MONTH(CHOOSE({1,2,3,4},TTSSKĐ!T143,TTSSKĐ!X143,TTSSKĐ!AB143,TTSSKĐ!AF143))=8)*(CHOOSE({1,2,3,4},TTSSKĐ!W143,TTSSKĐ!AA143,TTSSKĐ!AE143,TTSSKĐ!AI143)))</f>
        <v>0</v>
      </c>
      <c r="I143">
        <f>SUMPRODUCT((MONTH(CHOOSE({1,2,3,4},TTSSKĐ!T143,TTSSKĐ!X143,TTSSKĐ!AB143,TTSSKĐ!AF143))=9)*(CHOOSE({1,2,3,4},TTSSKĐ!W143,TTSSKĐ!AA143,TTSSKĐ!AE143,TTSSKĐ!AI143)))</f>
        <v>0</v>
      </c>
      <c r="J143">
        <f>SUMPRODUCT((MONTH(CHOOSE({1,2,3,4},TTSSKĐ!T143,TTSSKĐ!X143,TTSSKĐ!AB143,TTSSKĐ!AF143))=10)*(CHOOSE({1,2,3,4},TTSSKĐ!W143,TTSSKĐ!AA143,TTSSKĐ!AE143,TTSSKĐ!AI143)))</f>
        <v>0</v>
      </c>
      <c r="K143">
        <f>SUMPRODUCT((MONTH(CHOOSE({1,2,3,4},TTSSKĐ!T143,TTSSKĐ!X143,TTSSKĐ!AB143,TTSSKĐ!AF143))=11)*(CHOOSE({1,2,3,4},TTSSKĐ!W143,TTSSKĐ!AA143,TTSSKĐ!AE143,TTSSKĐ!AI143)))</f>
        <v>0</v>
      </c>
      <c r="L143">
        <f>SUMPRODUCT((MONTH(CHOOSE({1,2,3,4},TTSSKĐ!T143,TTSSKĐ!X143,TTSSKĐ!AB143,TTSSKĐ!AF143))=12)*(CHOOSE({1,2,3,4},TTSSKĐ!W143,TTSSKĐ!AA143,TTSSKĐ!AE143,TTSSKĐ!AI143)))</f>
        <v>0</v>
      </c>
    </row>
    <row r="144" spans="1:12">
      <c r="A144">
        <f>SUMPRODUCT((MONTH(CHOOSE({1,2,3,4},TTSSKĐ!T144,TTSSKĐ!X144,TTSSKĐ!AB144,TTSSKĐ!AF144))=1)*(CHOOSE({1,2,3,4},TTSSKĐ!W144,TTSSKĐ!AA144,TTSSKĐ!AE144,TTSSKĐ!AI144)))</f>
        <v>0</v>
      </c>
      <c r="B144">
        <f>SUMPRODUCT((MONTH(CHOOSE({1,2,3,4},TTSSKĐ!T144,TTSSKĐ!X144,TTSSKĐ!AB144,TTSSKĐ!AF144))=2)*(CHOOSE({1,2,3,4},TTSSKĐ!W144,TTSSKĐ!AA144,TTSSKĐ!AE144,TTSSKĐ!AI144)))</f>
        <v>0</v>
      </c>
      <c r="C144">
        <f>SUMPRODUCT((MONTH(CHOOSE({1,2,3,4},TTSSKĐ!T144,TTSSKĐ!X144,TTSSKĐ!AB144,TTSSKĐ!AF144))=3)*(CHOOSE({1,2,3,4},TTSSKĐ!W144,TTSSKĐ!AA144,TTSSKĐ!AE144,TTSSKĐ!AI144)))</f>
        <v>0</v>
      </c>
      <c r="D144">
        <f>SUMPRODUCT((MONTH(CHOOSE({1,2,3,4},TTSSKĐ!T144,TTSSKĐ!X144,TTSSKĐ!AB144,TTSSKĐ!AF144))=4)*(CHOOSE({1,2,3,4},TTSSKĐ!W144,TTSSKĐ!AA144,TTSSKĐ!AE144,TTSSKĐ!AI144)))</f>
        <v>0</v>
      </c>
      <c r="E144">
        <f>SUMPRODUCT((MONTH(CHOOSE({1,2,3,4},TTSSKĐ!T144,TTSSKĐ!X144,TTSSKĐ!AB144,TTSSKĐ!AF144))=5)*(CHOOSE({1,2,3,4},TTSSKĐ!W144,TTSSKĐ!AA144,TTSSKĐ!AE144,TTSSKĐ!AI144)))</f>
        <v>0</v>
      </c>
      <c r="F144">
        <f>SUMPRODUCT((MONTH(CHOOSE({1,2,3,4},TTSSKĐ!T144,TTSSKĐ!X144,TTSSKĐ!AB144,TTSSKĐ!AF144))=6)*(CHOOSE({1,2,3,4},TTSSKĐ!W144,TTSSKĐ!AA144,TTSSKĐ!AE144,TTSSKĐ!AI144)))</f>
        <v>0</v>
      </c>
      <c r="G144">
        <f>SUMPRODUCT((MONTH(CHOOSE({1,2,3,4},TTSSKĐ!T144,TTSSKĐ!X144,TTSSKĐ!AB144,TTSSKĐ!AF144))=7)*(CHOOSE({1,2,3,4},TTSSKĐ!W144,TTSSKĐ!AA144,TTSSKĐ!AE144,TTSSKĐ!AI144)))</f>
        <v>0</v>
      </c>
      <c r="H144">
        <f>SUMPRODUCT((MONTH(CHOOSE({1,2,3,4},TTSSKĐ!T144,TTSSKĐ!X144,TTSSKĐ!AB144,TTSSKĐ!AF144))=8)*(CHOOSE({1,2,3,4},TTSSKĐ!W144,TTSSKĐ!AA144,TTSSKĐ!AE144,TTSSKĐ!AI144)))</f>
        <v>0</v>
      </c>
      <c r="I144">
        <f>SUMPRODUCT((MONTH(CHOOSE({1,2,3,4},TTSSKĐ!T144,TTSSKĐ!X144,TTSSKĐ!AB144,TTSSKĐ!AF144))=9)*(CHOOSE({1,2,3,4},TTSSKĐ!W144,TTSSKĐ!AA144,TTSSKĐ!AE144,TTSSKĐ!AI144)))</f>
        <v>0</v>
      </c>
      <c r="J144">
        <f>SUMPRODUCT((MONTH(CHOOSE({1,2,3,4},TTSSKĐ!T144,TTSSKĐ!X144,TTSSKĐ!AB144,TTSSKĐ!AF144))=10)*(CHOOSE({1,2,3,4},TTSSKĐ!W144,TTSSKĐ!AA144,TTSSKĐ!AE144,TTSSKĐ!AI144)))</f>
        <v>0</v>
      </c>
      <c r="K144">
        <f>SUMPRODUCT((MONTH(CHOOSE({1,2,3,4},TTSSKĐ!T144,TTSSKĐ!X144,TTSSKĐ!AB144,TTSSKĐ!AF144))=11)*(CHOOSE({1,2,3,4},TTSSKĐ!W144,TTSSKĐ!AA144,TTSSKĐ!AE144,TTSSKĐ!AI144)))</f>
        <v>0</v>
      </c>
      <c r="L144">
        <f>SUMPRODUCT((MONTH(CHOOSE({1,2,3,4},TTSSKĐ!T144,TTSSKĐ!X144,TTSSKĐ!AB144,TTSSKĐ!AF144))=12)*(CHOOSE({1,2,3,4},TTSSKĐ!W144,TTSSKĐ!AA144,TTSSKĐ!AE144,TTSSKĐ!AI144)))</f>
        <v>0</v>
      </c>
    </row>
    <row r="145" spans="1:12">
      <c r="A145">
        <f>SUMPRODUCT((MONTH(CHOOSE({1,2,3,4},TTSSKĐ!T145,TTSSKĐ!X145,TTSSKĐ!AB145,TTSSKĐ!AF145))=1)*(CHOOSE({1,2,3,4},TTSSKĐ!W145,TTSSKĐ!AA145,TTSSKĐ!AE145,TTSSKĐ!AI145)))</f>
        <v>0</v>
      </c>
      <c r="B145">
        <f>SUMPRODUCT((MONTH(CHOOSE({1,2,3,4},TTSSKĐ!T145,TTSSKĐ!X145,TTSSKĐ!AB145,TTSSKĐ!AF145))=2)*(CHOOSE({1,2,3,4},TTSSKĐ!W145,TTSSKĐ!AA145,TTSSKĐ!AE145,TTSSKĐ!AI145)))</f>
        <v>0</v>
      </c>
      <c r="C145">
        <f>SUMPRODUCT((MONTH(CHOOSE({1,2,3,4},TTSSKĐ!T145,TTSSKĐ!X145,TTSSKĐ!AB145,TTSSKĐ!AF145))=3)*(CHOOSE({1,2,3,4},TTSSKĐ!W145,TTSSKĐ!AA145,TTSSKĐ!AE145,TTSSKĐ!AI145)))</f>
        <v>0</v>
      </c>
      <c r="D145">
        <f>SUMPRODUCT((MONTH(CHOOSE({1,2,3,4},TTSSKĐ!T145,TTSSKĐ!X145,TTSSKĐ!AB145,TTSSKĐ!AF145))=4)*(CHOOSE({1,2,3,4},TTSSKĐ!W145,TTSSKĐ!AA145,TTSSKĐ!AE145,TTSSKĐ!AI145)))</f>
        <v>0</v>
      </c>
      <c r="E145">
        <f>SUMPRODUCT((MONTH(CHOOSE({1,2,3,4},TTSSKĐ!T145,TTSSKĐ!X145,TTSSKĐ!AB145,TTSSKĐ!AF145))=5)*(CHOOSE({1,2,3,4},TTSSKĐ!W145,TTSSKĐ!AA145,TTSSKĐ!AE145,TTSSKĐ!AI145)))</f>
        <v>0</v>
      </c>
      <c r="F145">
        <f>SUMPRODUCT((MONTH(CHOOSE({1,2,3,4},TTSSKĐ!T145,TTSSKĐ!X145,TTSSKĐ!AB145,TTSSKĐ!AF145))=6)*(CHOOSE({1,2,3,4},TTSSKĐ!W145,TTSSKĐ!AA145,TTSSKĐ!AE145,TTSSKĐ!AI145)))</f>
        <v>0</v>
      </c>
      <c r="G145">
        <f>SUMPRODUCT((MONTH(CHOOSE({1,2,3,4},TTSSKĐ!T145,TTSSKĐ!X145,TTSSKĐ!AB145,TTSSKĐ!AF145))=7)*(CHOOSE({1,2,3,4},TTSSKĐ!W145,TTSSKĐ!AA145,TTSSKĐ!AE145,TTSSKĐ!AI145)))</f>
        <v>0</v>
      </c>
      <c r="H145">
        <f>SUMPRODUCT((MONTH(CHOOSE({1,2,3,4},TTSSKĐ!T145,TTSSKĐ!X145,TTSSKĐ!AB145,TTSSKĐ!AF145))=8)*(CHOOSE({1,2,3,4},TTSSKĐ!W145,TTSSKĐ!AA145,TTSSKĐ!AE145,TTSSKĐ!AI145)))</f>
        <v>0</v>
      </c>
      <c r="I145">
        <f>SUMPRODUCT((MONTH(CHOOSE({1,2,3,4},TTSSKĐ!T145,TTSSKĐ!X145,TTSSKĐ!AB145,TTSSKĐ!AF145))=9)*(CHOOSE({1,2,3,4},TTSSKĐ!W145,TTSSKĐ!AA145,TTSSKĐ!AE145,TTSSKĐ!AI145)))</f>
        <v>0</v>
      </c>
      <c r="J145">
        <f>SUMPRODUCT((MONTH(CHOOSE({1,2,3,4},TTSSKĐ!T145,TTSSKĐ!X145,TTSSKĐ!AB145,TTSSKĐ!AF145))=10)*(CHOOSE({1,2,3,4},TTSSKĐ!W145,TTSSKĐ!AA145,TTSSKĐ!AE145,TTSSKĐ!AI145)))</f>
        <v>0</v>
      </c>
      <c r="K145">
        <f>SUMPRODUCT((MONTH(CHOOSE({1,2,3,4},TTSSKĐ!T145,TTSSKĐ!X145,TTSSKĐ!AB145,TTSSKĐ!AF145))=11)*(CHOOSE({1,2,3,4},TTSSKĐ!W145,TTSSKĐ!AA145,TTSSKĐ!AE145,TTSSKĐ!AI145)))</f>
        <v>0</v>
      </c>
      <c r="L145">
        <f>SUMPRODUCT((MONTH(CHOOSE({1,2,3,4},TTSSKĐ!T145,TTSSKĐ!X145,TTSSKĐ!AB145,TTSSKĐ!AF145))=12)*(CHOOSE({1,2,3,4},TTSSKĐ!W145,TTSSKĐ!AA145,TTSSKĐ!AE145,TTSSKĐ!AI145)))</f>
        <v>0</v>
      </c>
    </row>
    <row r="146" spans="1:12">
      <c r="A146">
        <f>SUMPRODUCT((MONTH(CHOOSE({1,2,3,4},TTSSKĐ!T146,TTSSKĐ!X146,TTSSKĐ!AB146,TTSSKĐ!AF146))=1)*(CHOOSE({1,2,3,4},TTSSKĐ!W146,TTSSKĐ!AA146,TTSSKĐ!AE146,TTSSKĐ!AI146)))</f>
        <v>0</v>
      </c>
      <c r="B146">
        <f>SUMPRODUCT((MONTH(CHOOSE({1,2,3,4},TTSSKĐ!T146,TTSSKĐ!X146,TTSSKĐ!AB146,TTSSKĐ!AF146))=2)*(CHOOSE({1,2,3,4},TTSSKĐ!W146,TTSSKĐ!AA146,TTSSKĐ!AE146,TTSSKĐ!AI146)))</f>
        <v>0</v>
      </c>
      <c r="C146">
        <f>SUMPRODUCT((MONTH(CHOOSE({1,2,3,4},TTSSKĐ!T146,TTSSKĐ!X146,TTSSKĐ!AB146,TTSSKĐ!AF146))=3)*(CHOOSE({1,2,3,4},TTSSKĐ!W146,TTSSKĐ!AA146,TTSSKĐ!AE146,TTSSKĐ!AI146)))</f>
        <v>0</v>
      </c>
      <c r="D146">
        <f>SUMPRODUCT((MONTH(CHOOSE({1,2,3,4},TTSSKĐ!T146,TTSSKĐ!X146,TTSSKĐ!AB146,TTSSKĐ!AF146))=4)*(CHOOSE({1,2,3,4},TTSSKĐ!W146,TTSSKĐ!AA146,TTSSKĐ!AE146,TTSSKĐ!AI146)))</f>
        <v>0</v>
      </c>
      <c r="E146">
        <f>SUMPRODUCT((MONTH(CHOOSE({1,2,3,4},TTSSKĐ!T146,TTSSKĐ!X146,TTSSKĐ!AB146,TTSSKĐ!AF146))=5)*(CHOOSE({1,2,3,4},TTSSKĐ!W146,TTSSKĐ!AA146,TTSSKĐ!AE146,TTSSKĐ!AI146)))</f>
        <v>0</v>
      </c>
      <c r="F146">
        <f>SUMPRODUCT((MONTH(CHOOSE({1,2,3,4},TTSSKĐ!T146,TTSSKĐ!X146,TTSSKĐ!AB146,TTSSKĐ!AF146))=6)*(CHOOSE({1,2,3,4},TTSSKĐ!W146,TTSSKĐ!AA146,TTSSKĐ!AE146,TTSSKĐ!AI146)))</f>
        <v>0</v>
      </c>
      <c r="G146">
        <f>SUMPRODUCT((MONTH(CHOOSE({1,2,3,4},TTSSKĐ!T146,TTSSKĐ!X146,TTSSKĐ!AB146,TTSSKĐ!AF146))=7)*(CHOOSE({1,2,3,4},TTSSKĐ!W146,TTSSKĐ!AA146,TTSSKĐ!AE146,TTSSKĐ!AI146)))</f>
        <v>0</v>
      </c>
      <c r="H146">
        <f>SUMPRODUCT((MONTH(CHOOSE({1,2,3,4},TTSSKĐ!T146,TTSSKĐ!X146,TTSSKĐ!AB146,TTSSKĐ!AF146))=8)*(CHOOSE({1,2,3,4},TTSSKĐ!W146,TTSSKĐ!AA146,TTSSKĐ!AE146,TTSSKĐ!AI146)))</f>
        <v>0</v>
      </c>
      <c r="I146">
        <f>SUMPRODUCT((MONTH(CHOOSE({1,2,3,4},TTSSKĐ!T146,TTSSKĐ!X146,TTSSKĐ!AB146,TTSSKĐ!AF146))=9)*(CHOOSE({1,2,3,4},TTSSKĐ!W146,TTSSKĐ!AA146,TTSSKĐ!AE146,TTSSKĐ!AI146)))</f>
        <v>0</v>
      </c>
      <c r="J146">
        <f>SUMPRODUCT((MONTH(CHOOSE({1,2,3,4},TTSSKĐ!T146,TTSSKĐ!X146,TTSSKĐ!AB146,TTSSKĐ!AF146))=10)*(CHOOSE({1,2,3,4},TTSSKĐ!W146,TTSSKĐ!AA146,TTSSKĐ!AE146,TTSSKĐ!AI146)))</f>
        <v>0</v>
      </c>
      <c r="K146">
        <f>SUMPRODUCT((MONTH(CHOOSE({1,2,3,4},TTSSKĐ!T146,TTSSKĐ!X146,TTSSKĐ!AB146,TTSSKĐ!AF146))=11)*(CHOOSE({1,2,3,4},TTSSKĐ!W146,TTSSKĐ!AA146,TTSSKĐ!AE146,TTSSKĐ!AI146)))</f>
        <v>0</v>
      </c>
      <c r="L146">
        <f>SUMPRODUCT((MONTH(CHOOSE({1,2,3,4},TTSSKĐ!T146,TTSSKĐ!X146,TTSSKĐ!AB146,TTSSKĐ!AF146))=12)*(CHOOSE({1,2,3,4},TTSSKĐ!W146,TTSSKĐ!AA146,TTSSKĐ!AE146,TTSSKĐ!AI146)))</f>
        <v>0</v>
      </c>
    </row>
    <row r="147" spans="1:12">
      <c r="A147">
        <f>SUMPRODUCT((MONTH(CHOOSE({1,2,3,4},TTSSKĐ!T147,TTSSKĐ!X147,TTSSKĐ!AB147,TTSSKĐ!AF147))=1)*(CHOOSE({1,2,3,4},TTSSKĐ!W147,TTSSKĐ!AA147,TTSSKĐ!AE147,TTSSKĐ!AI147)))</f>
        <v>0</v>
      </c>
      <c r="B147">
        <f>SUMPRODUCT((MONTH(CHOOSE({1,2,3,4},TTSSKĐ!T147,TTSSKĐ!X147,TTSSKĐ!AB147,TTSSKĐ!AF147))=2)*(CHOOSE({1,2,3,4},TTSSKĐ!W147,TTSSKĐ!AA147,TTSSKĐ!AE147,TTSSKĐ!AI147)))</f>
        <v>0</v>
      </c>
      <c r="C147">
        <f>SUMPRODUCT((MONTH(CHOOSE({1,2,3,4},TTSSKĐ!T147,TTSSKĐ!X147,TTSSKĐ!AB147,TTSSKĐ!AF147))=3)*(CHOOSE({1,2,3,4},TTSSKĐ!W147,TTSSKĐ!AA147,TTSSKĐ!AE147,TTSSKĐ!AI147)))</f>
        <v>0</v>
      </c>
      <c r="D147">
        <f>SUMPRODUCT((MONTH(CHOOSE({1,2,3,4},TTSSKĐ!T147,TTSSKĐ!X147,TTSSKĐ!AB147,TTSSKĐ!AF147))=4)*(CHOOSE({1,2,3,4},TTSSKĐ!W147,TTSSKĐ!AA147,TTSSKĐ!AE147,TTSSKĐ!AI147)))</f>
        <v>0</v>
      </c>
      <c r="E147">
        <f>SUMPRODUCT((MONTH(CHOOSE({1,2,3,4},TTSSKĐ!T147,TTSSKĐ!X147,TTSSKĐ!AB147,TTSSKĐ!AF147))=5)*(CHOOSE({1,2,3,4},TTSSKĐ!W147,TTSSKĐ!AA147,TTSSKĐ!AE147,TTSSKĐ!AI147)))</f>
        <v>0</v>
      </c>
      <c r="F147">
        <f>SUMPRODUCT((MONTH(CHOOSE({1,2,3,4},TTSSKĐ!T147,TTSSKĐ!X147,TTSSKĐ!AB147,TTSSKĐ!AF147))=6)*(CHOOSE({1,2,3,4},TTSSKĐ!W147,TTSSKĐ!AA147,TTSSKĐ!AE147,TTSSKĐ!AI147)))</f>
        <v>0</v>
      </c>
      <c r="G147">
        <f>SUMPRODUCT((MONTH(CHOOSE({1,2,3,4},TTSSKĐ!T147,TTSSKĐ!X147,TTSSKĐ!AB147,TTSSKĐ!AF147))=7)*(CHOOSE({1,2,3,4},TTSSKĐ!W147,TTSSKĐ!AA147,TTSSKĐ!AE147,TTSSKĐ!AI147)))</f>
        <v>0</v>
      </c>
      <c r="H147">
        <f>SUMPRODUCT((MONTH(CHOOSE({1,2,3,4},TTSSKĐ!T147,TTSSKĐ!X147,TTSSKĐ!AB147,TTSSKĐ!AF147))=8)*(CHOOSE({1,2,3,4},TTSSKĐ!W147,TTSSKĐ!AA147,TTSSKĐ!AE147,TTSSKĐ!AI147)))</f>
        <v>0</v>
      </c>
      <c r="I147">
        <f>SUMPRODUCT((MONTH(CHOOSE({1,2,3,4},TTSSKĐ!T147,TTSSKĐ!X147,TTSSKĐ!AB147,TTSSKĐ!AF147))=9)*(CHOOSE({1,2,3,4},TTSSKĐ!W147,TTSSKĐ!AA147,TTSSKĐ!AE147,TTSSKĐ!AI147)))</f>
        <v>0</v>
      </c>
      <c r="J147">
        <f>SUMPRODUCT((MONTH(CHOOSE({1,2,3,4},TTSSKĐ!T147,TTSSKĐ!X147,TTSSKĐ!AB147,TTSSKĐ!AF147))=10)*(CHOOSE({1,2,3,4},TTSSKĐ!W147,TTSSKĐ!AA147,TTSSKĐ!AE147,TTSSKĐ!AI147)))</f>
        <v>0</v>
      </c>
      <c r="K147">
        <f>SUMPRODUCT((MONTH(CHOOSE({1,2,3,4},TTSSKĐ!T147,TTSSKĐ!X147,TTSSKĐ!AB147,TTSSKĐ!AF147))=11)*(CHOOSE({1,2,3,4},TTSSKĐ!W147,TTSSKĐ!AA147,TTSSKĐ!AE147,TTSSKĐ!AI147)))</f>
        <v>0</v>
      </c>
      <c r="L147">
        <f>SUMPRODUCT((MONTH(CHOOSE({1,2,3,4},TTSSKĐ!T147,TTSSKĐ!X147,TTSSKĐ!AB147,TTSSKĐ!AF147))=12)*(CHOOSE({1,2,3,4},TTSSKĐ!W147,TTSSKĐ!AA147,TTSSKĐ!AE147,TTSSKĐ!AI147)))</f>
        <v>0</v>
      </c>
    </row>
    <row r="148" spans="1:12">
      <c r="A148">
        <f>SUMPRODUCT((MONTH(CHOOSE({1,2,3,4},TTSSKĐ!T148,TTSSKĐ!X148,TTSSKĐ!AB148,TTSSKĐ!AF148))=1)*(CHOOSE({1,2,3,4},TTSSKĐ!W148,TTSSKĐ!AA148,TTSSKĐ!AE148,TTSSKĐ!AI148)))</f>
        <v>0</v>
      </c>
      <c r="B148">
        <f>SUMPRODUCT((MONTH(CHOOSE({1,2,3,4},TTSSKĐ!T148,TTSSKĐ!X148,TTSSKĐ!AB148,TTSSKĐ!AF148))=2)*(CHOOSE({1,2,3,4},TTSSKĐ!W148,TTSSKĐ!AA148,TTSSKĐ!AE148,TTSSKĐ!AI148)))</f>
        <v>0</v>
      </c>
      <c r="C148">
        <f>SUMPRODUCT((MONTH(CHOOSE({1,2,3,4},TTSSKĐ!T148,TTSSKĐ!X148,TTSSKĐ!AB148,TTSSKĐ!AF148))=3)*(CHOOSE({1,2,3,4},TTSSKĐ!W148,TTSSKĐ!AA148,TTSSKĐ!AE148,TTSSKĐ!AI148)))</f>
        <v>0</v>
      </c>
      <c r="D148">
        <f>SUMPRODUCT((MONTH(CHOOSE({1,2,3,4},TTSSKĐ!T148,TTSSKĐ!X148,TTSSKĐ!AB148,TTSSKĐ!AF148))=4)*(CHOOSE({1,2,3,4},TTSSKĐ!W148,TTSSKĐ!AA148,TTSSKĐ!AE148,TTSSKĐ!AI148)))</f>
        <v>0</v>
      </c>
      <c r="E148">
        <f>SUMPRODUCT((MONTH(CHOOSE({1,2,3,4},TTSSKĐ!T148,TTSSKĐ!X148,TTSSKĐ!AB148,TTSSKĐ!AF148))=5)*(CHOOSE({1,2,3,4},TTSSKĐ!W148,TTSSKĐ!AA148,TTSSKĐ!AE148,TTSSKĐ!AI148)))</f>
        <v>0</v>
      </c>
      <c r="F148">
        <f>SUMPRODUCT((MONTH(CHOOSE({1,2,3,4},TTSSKĐ!T148,TTSSKĐ!X148,TTSSKĐ!AB148,TTSSKĐ!AF148))=6)*(CHOOSE({1,2,3,4},TTSSKĐ!W148,TTSSKĐ!AA148,TTSSKĐ!AE148,TTSSKĐ!AI148)))</f>
        <v>0</v>
      </c>
      <c r="G148">
        <f>SUMPRODUCT((MONTH(CHOOSE({1,2,3,4},TTSSKĐ!T148,TTSSKĐ!X148,TTSSKĐ!AB148,TTSSKĐ!AF148))=7)*(CHOOSE({1,2,3,4},TTSSKĐ!W148,TTSSKĐ!AA148,TTSSKĐ!AE148,TTSSKĐ!AI148)))</f>
        <v>0</v>
      </c>
      <c r="H148">
        <f>SUMPRODUCT((MONTH(CHOOSE({1,2,3,4},TTSSKĐ!T148,TTSSKĐ!X148,TTSSKĐ!AB148,TTSSKĐ!AF148))=8)*(CHOOSE({1,2,3,4},TTSSKĐ!W148,TTSSKĐ!AA148,TTSSKĐ!AE148,TTSSKĐ!AI148)))</f>
        <v>0</v>
      </c>
      <c r="I148">
        <f>SUMPRODUCT((MONTH(CHOOSE({1,2,3,4},TTSSKĐ!T148,TTSSKĐ!X148,TTSSKĐ!AB148,TTSSKĐ!AF148))=9)*(CHOOSE({1,2,3,4},TTSSKĐ!W148,TTSSKĐ!AA148,TTSSKĐ!AE148,TTSSKĐ!AI148)))</f>
        <v>0</v>
      </c>
      <c r="J148">
        <f>SUMPRODUCT((MONTH(CHOOSE({1,2,3,4},TTSSKĐ!T148,TTSSKĐ!X148,TTSSKĐ!AB148,TTSSKĐ!AF148))=10)*(CHOOSE({1,2,3,4},TTSSKĐ!W148,TTSSKĐ!AA148,TTSSKĐ!AE148,TTSSKĐ!AI148)))</f>
        <v>0</v>
      </c>
      <c r="K148">
        <f>SUMPRODUCT((MONTH(CHOOSE({1,2,3,4},TTSSKĐ!T148,TTSSKĐ!X148,TTSSKĐ!AB148,TTSSKĐ!AF148))=11)*(CHOOSE({1,2,3,4},TTSSKĐ!W148,TTSSKĐ!AA148,TTSSKĐ!AE148,TTSSKĐ!AI148)))</f>
        <v>0</v>
      </c>
      <c r="L148">
        <f>SUMPRODUCT((MONTH(CHOOSE({1,2,3,4},TTSSKĐ!T148,TTSSKĐ!X148,TTSSKĐ!AB148,TTSSKĐ!AF148))=12)*(CHOOSE({1,2,3,4},TTSSKĐ!W148,TTSSKĐ!AA148,TTSSKĐ!AE148,TTSSKĐ!AI148)))</f>
        <v>0</v>
      </c>
    </row>
    <row r="149" spans="1:12">
      <c r="A149">
        <f>SUMPRODUCT((MONTH(CHOOSE({1,2,3,4},TTSSKĐ!T149,TTSSKĐ!X149,TTSSKĐ!AB149,TTSSKĐ!AF149))=1)*(CHOOSE({1,2,3,4},TTSSKĐ!W149,TTSSKĐ!AA149,TTSSKĐ!AE149,TTSSKĐ!AI149)))</f>
        <v>0</v>
      </c>
      <c r="B149">
        <f>SUMPRODUCT((MONTH(CHOOSE({1,2,3,4},TTSSKĐ!T149,TTSSKĐ!X149,TTSSKĐ!AB149,TTSSKĐ!AF149))=2)*(CHOOSE({1,2,3,4},TTSSKĐ!W149,TTSSKĐ!AA149,TTSSKĐ!AE149,TTSSKĐ!AI149)))</f>
        <v>0</v>
      </c>
      <c r="C149">
        <f>SUMPRODUCT((MONTH(CHOOSE({1,2,3,4},TTSSKĐ!T149,TTSSKĐ!X149,TTSSKĐ!AB149,TTSSKĐ!AF149))=3)*(CHOOSE({1,2,3,4},TTSSKĐ!W149,TTSSKĐ!AA149,TTSSKĐ!AE149,TTSSKĐ!AI149)))</f>
        <v>0</v>
      </c>
      <c r="D149">
        <f>SUMPRODUCT((MONTH(CHOOSE({1,2,3,4},TTSSKĐ!T149,TTSSKĐ!X149,TTSSKĐ!AB149,TTSSKĐ!AF149))=4)*(CHOOSE({1,2,3,4},TTSSKĐ!W149,TTSSKĐ!AA149,TTSSKĐ!AE149,TTSSKĐ!AI149)))</f>
        <v>0</v>
      </c>
      <c r="E149">
        <f>SUMPRODUCT((MONTH(CHOOSE({1,2,3,4},TTSSKĐ!T149,TTSSKĐ!X149,TTSSKĐ!AB149,TTSSKĐ!AF149))=5)*(CHOOSE({1,2,3,4},TTSSKĐ!W149,TTSSKĐ!AA149,TTSSKĐ!AE149,TTSSKĐ!AI149)))</f>
        <v>0</v>
      </c>
      <c r="F149">
        <f>SUMPRODUCT((MONTH(CHOOSE({1,2,3,4},TTSSKĐ!T149,TTSSKĐ!X149,TTSSKĐ!AB149,TTSSKĐ!AF149))=6)*(CHOOSE({1,2,3,4},TTSSKĐ!W149,TTSSKĐ!AA149,TTSSKĐ!AE149,TTSSKĐ!AI149)))</f>
        <v>0</v>
      </c>
      <c r="G149">
        <f>SUMPRODUCT((MONTH(CHOOSE({1,2,3,4},TTSSKĐ!T149,TTSSKĐ!X149,TTSSKĐ!AB149,TTSSKĐ!AF149))=7)*(CHOOSE({1,2,3,4},TTSSKĐ!W149,TTSSKĐ!AA149,TTSSKĐ!AE149,TTSSKĐ!AI149)))</f>
        <v>0</v>
      </c>
      <c r="H149">
        <f>SUMPRODUCT((MONTH(CHOOSE({1,2,3,4},TTSSKĐ!T149,TTSSKĐ!X149,TTSSKĐ!AB149,TTSSKĐ!AF149))=8)*(CHOOSE({1,2,3,4},TTSSKĐ!W149,TTSSKĐ!AA149,TTSSKĐ!AE149,TTSSKĐ!AI149)))</f>
        <v>0</v>
      </c>
      <c r="I149">
        <f>SUMPRODUCT((MONTH(CHOOSE({1,2,3,4},TTSSKĐ!T149,TTSSKĐ!X149,TTSSKĐ!AB149,TTSSKĐ!AF149))=9)*(CHOOSE({1,2,3,4},TTSSKĐ!W149,TTSSKĐ!AA149,TTSSKĐ!AE149,TTSSKĐ!AI149)))</f>
        <v>0</v>
      </c>
      <c r="J149">
        <f>SUMPRODUCT((MONTH(CHOOSE({1,2,3,4},TTSSKĐ!T149,TTSSKĐ!X149,TTSSKĐ!AB149,TTSSKĐ!AF149))=10)*(CHOOSE({1,2,3,4},TTSSKĐ!W149,TTSSKĐ!AA149,TTSSKĐ!AE149,TTSSKĐ!AI149)))</f>
        <v>0</v>
      </c>
      <c r="K149">
        <f>SUMPRODUCT((MONTH(CHOOSE({1,2,3,4},TTSSKĐ!T149,TTSSKĐ!X149,TTSSKĐ!AB149,TTSSKĐ!AF149))=11)*(CHOOSE({1,2,3,4},TTSSKĐ!W149,TTSSKĐ!AA149,TTSSKĐ!AE149,TTSSKĐ!AI149)))</f>
        <v>0</v>
      </c>
      <c r="L149">
        <f>SUMPRODUCT((MONTH(CHOOSE({1,2,3,4},TTSSKĐ!T149,TTSSKĐ!X149,TTSSKĐ!AB149,TTSSKĐ!AF149))=12)*(CHOOSE({1,2,3,4},TTSSKĐ!W149,TTSSKĐ!AA149,TTSSKĐ!AE149,TTSSKĐ!AI149)))</f>
        <v>0</v>
      </c>
    </row>
    <row r="150" spans="1:12">
      <c r="A150">
        <f>SUMPRODUCT((MONTH(CHOOSE({1,2,3,4},TTSSKĐ!T150,TTSSKĐ!X150,TTSSKĐ!AB150,TTSSKĐ!AF150))=1)*(CHOOSE({1,2,3,4},TTSSKĐ!W150,TTSSKĐ!AA150,TTSSKĐ!AE150,TTSSKĐ!AI150)))</f>
        <v>0</v>
      </c>
      <c r="B150">
        <f>SUMPRODUCT((MONTH(CHOOSE({1,2,3,4},TTSSKĐ!T150,TTSSKĐ!X150,TTSSKĐ!AB150,TTSSKĐ!AF150))=2)*(CHOOSE({1,2,3,4},TTSSKĐ!W150,TTSSKĐ!AA150,TTSSKĐ!AE150,TTSSKĐ!AI150)))</f>
        <v>0</v>
      </c>
      <c r="C150">
        <f>SUMPRODUCT((MONTH(CHOOSE({1,2,3,4},TTSSKĐ!T150,TTSSKĐ!X150,TTSSKĐ!AB150,TTSSKĐ!AF150))=3)*(CHOOSE({1,2,3,4},TTSSKĐ!W150,TTSSKĐ!AA150,TTSSKĐ!AE150,TTSSKĐ!AI150)))</f>
        <v>0</v>
      </c>
      <c r="D150">
        <f>SUMPRODUCT((MONTH(CHOOSE({1,2,3,4},TTSSKĐ!T150,TTSSKĐ!X150,TTSSKĐ!AB150,TTSSKĐ!AF150))=4)*(CHOOSE({1,2,3,4},TTSSKĐ!W150,TTSSKĐ!AA150,TTSSKĐ!AE150,TTSSKĐ!AI150)))</f>
        <v>0</v>
      </c>
      <c r="E150">
        <f>SUMPRODUCT((MONTH(CHOOSE({1,2,3,4},TTSSKĐ!T150,TTSSKĐ!X150,TTSSKĐ!AB150,TTSSKĐ!AF150))=5)*(CHOOSE({1,2,3,4},TTSSKĐ!W150,TTSSKĐ!AA150,TTSSKĐ!AE150,TTSSKĐ!AI150)))</f>
        <v>0</v>
      </c>
      <c r="F150">
        <f>SUMPRODUCT((MONTH(CHOOSE({1,2,3,4},TTSSKĐ!T150,TTSSKĐ!X150,TTSSKĐ!AB150,TTSSKĐ!AF150))=6)*(CHOOSE({1,2,3,4},TTSSKĐ!W150,TTSSKĐ!AA150,TTSSKĐ!AE150,TTSSKĐ!AI150)))</f>
        <v>0</v>
      </c>
      <c r="G150">
        <f>SUMPRODUCT((MONTH(CHOOSE({1,2,3,4},TTSSKĐ!T150,TTSSKĐ!X150,TTSSKĐ!AB150,TTSSKĐ!AF150))=7)*(CHOOSE({1,2,3,4},TTSSKĐ!W150,TTSSKĐ!AA150,TTSSKĐ!AE150,TTSSKĐ!AI150)))</f>
        <v>0</v>
      </c>
      <c r="H150">
        <f>SUMPRODUCT((MONTH(CHOOSE({1,2,3,4},TTSSKĐ!T150,TTSSKĐ!X150,TTSSKĐ!AB150,TTSSKĐ!AF150))=8)*(CHOOSE({1,2,3,4},TTSSKĐ!W150,TTSSKĐ!AA150,TTSSKĐ!AE150,TTSSKĐ!AI150)))</f>
        <v>0</v>
      </c>
      <c r="I150">
        <f>SUMPRODUCT((MONTH(CHOOSE({1,2,3,4},TTSSKĐ!T150,TTSSKĐ!X150,TTSSKĐ!AB150,TTSSKĐ!AF150))=9)*(CHOOSE({1,2,3,4},TTSSKĐ!W150,TTSSKĐ!AA150,TTSSKĐ!AE150,TTSSKĐ!AI150)))</f>
        <v>0</v>
      </c>
      <c r="J150">
        <f>SUMPRODUCT((MONTH(CHOOSE({1,2,3,4},TTSSKĐ!T150,TTSSKĐ!X150,TTSSKĐ!AB150,TTSSKĐ!AF150))=10)*(CHOOSE({1,2,3,4},TTSSKĐ!W150,TTSSKĐ!AA150,TTSSKĐ!AE150,TTSSKĐ!AI150)))</f>
        <v>0</v>
      </c>
      <c r="K150">
        <f>SUMPRODUCT((MONTH(CHOOSE({1,2,3,4},TTSSKĐ!T150,TTSSKĐ!X150,TTSSKĐ!AB150,TTSSKĐ!AF150))=11)*(CHOOSE({1,2,3,4},TTSSKĐ!W150,TTSSKĐ!AA150,TTSSKĐ!AE150,TTSSKĐ!AI150)))</f>
        <v>0</v>
      </c>
      <c r="L150">
        <f>SUMPRODUCT((MONTH(CHOOSE({1,2,3,4},TTSSKĐ!T150,TTSSKĐ!X150,TTSSKĐ!AB150,TTSSKĐ!AF150))=12)*(CHOOSE({1,2,3,4},TTSSKĐ!W150,TTSSKĐ!AA150,TTSSKĐ!AE150,TTSSKĐ!AI150)))</f>
        <v>0</v>
      </c>
    </row>
    <row r="151" spans="1:12">
      <c r="A151">
        <f>SUMPRODUCT((MONTH(CHOOSE({1,2,3,4},TTSSKĐ!T151,TTSSKĐ!X151,TTSSKĐ!AB151,TTSSKĐ!AF151))=1)*(CHOOSE({1,2,3,4},TTSSKĐ!W151,TTSSKĐ!AA151,TTSSKĐ!AE151,TTSSKĐ!AI151)))</f>
        <v>0</v>
      </c>
      <c r="B151">
        <f>SUMPRODUCT((MONTH(CHOOSE({1,2,3,4},TTSSKĐ!T151,TTSSKĐ!X151,TTSSKĐ!AB151,TTSSKĐ!AF151))=2)*(CHOOSE({1,2,3,4},TTSSKĐ!W151,TTSSKĐ!AA151,TTSSKĐ!AE151,TTSSKĐ!AI151)))</f>
        <v>0</v>
      </c>
      <c r="C151">
        <f>SUMPRODUCT((MONTH(CHOOSE({1,2,3,4},TTSSKĐ!T151,TTSSKĐ!X151,TTSSKĐ!AB151,TTSSKĐ!AF151))=3)*(CHOOSE({1,2,3,4},TTSSKĐ!W151,TTSSKĐ!AA151,TTSSKĐ!AE151,TTSSKĐ!AI151)))</f>
        <v>0</v>
      </c>
      <c r="D151">
        <f>SUMPRODUCT((MONTH(CHOOSE({1,2,3,4},TTSSKĐ!T151,TTSSKĐ!X151,TTSSKĐ!AB151,TTSSKĐ!AF151))=4)*(CHOOSE({1,2,3,4},TTSSKĐ!W151,TTSSKĐ!AA151,TTSSKĐ!AE151,TTSSKĐ!AI151)))</f>
        <v>0</v>
      </c>
      <c r="E151">
        <f>SUMPRODUCT((MONTH(CHOOSE({1,2,3,4},TTSSKĐ!T151,TTSSKĐ!X151,TTSSKĐ!AB151,TTSSKĐ!AF151))=5)*(CHOOSE({1,2,3,4},TTSSKĐ!W151,TTSSKĐ!AA151,TTSSKĐ!AE151,TTSSKĐ!AI151)))</f>
        <v>0</v>
      </c>
      <c r="F151">
        <f>SUMPRODUCT((MONTH(CHOOSE({1,2,3,4},TTSSKĐ!T151,TTSSKĐ!X151,TTSSKĐ!AB151,TTSSKĐ!AF151))=6)*(CHOOSE({1,2,3,4},TTSSKĐ!W151,TTSSKĐ!AA151,TTSSKĐ!AE151,TTSSKĐ!AI151)))</f>
        <v>0</v>
      </c>
      <c r="G151">
        <f>SUMPRODUCT((MONTH(CHOOSE({1,2,3,4},TTSSKĐ!T151,TTSSKĐ!X151,TTSSKĐ!AB151,TTSSKĐ!AF151))=7)*(CHOOSE({1,2,3,4},TTSSKĐ!W151,TTSSKĐ!AA151,TTSSKĐ!AE151,TTSSKĐ!AI151)))</f>
        <v>0</v>
      </c>
      <c r="H151">
        <f>SUMPRODUCT((MONTH(CHOOSE({1,2,3,4},TTSSKĐ!T151,TTSSKĐ!X151,TTSSKĐ!AB151,TTSSKĐ!AF151))=8)*(CHOOSE({1,2,3,4},TTSSKĐ!W151,TTSSKĐ!AA151,TTSSKĐ!AE151,TTSSKĐ!AI151)))</f>
        <v>0</v>
      </c>
      <c r="I151">
        <f>SUMPRODUCT((MONTH(CHOOSE({1,2,3,4},TTSSKĐ!T151,TTSSKĐ!X151,TTSSKĐ!AB151,TTSSKĐ!AF151))=9)*(CHOOSE({1,2,3,4},TTSSKĐ!W151,TTSSKĐ!AA151,TTSSKĐ!AE151,TTSSKĐ!AI151)))</f>
        <v>0</v>
      </c>
      <c r="J151">
        <f>SUMPRODUCT((MONTH(CHOOSE({1,2,3,4},TTSSKĐ!T151,TTSSKĐ!X151,TTSSKĐ!AB151,TTSSKĐ!AF151))=10)*(CHOOSE({1,2,3,4},TTSSKĐ!W151,TTSSKĐ!AA151,TTSSKĐ!AE151,TTSSKĐ!AI151)))</f>
        <v>0</v>
      </c>
      <c r="K151">
        <f>SUMPRODUCT((MONTH(CHOOSE({1,2,3,4},TTSSKĐ!T151,TTSSKĐ!X151,TTSSKĐ!AB151,TTSSKĐ!AF151))=11)*(CHOOSE({1,2,3,4},TTSSKĐ!W151,TTSSKĐ!AA151,TTSSKĐ!AE151,TTSSKĐ!AI151)))</f>
        <v>0</v>
      </c>
      <c r="L151">
        <f>SUMPRODUCT((MONTH(CHOOSE({1,2,3,4},TTSSKĐ!T151,TTSSKĐ!X151,TTSSKĐ!AB151,TTSSKĐ!AF151))=12)*(CHOOSE({1,2,3,4},TTSSKĐ!W151,TTSSKĐ!AA151,TTSSKĐ!AE151,TTSSKĐ!AI151)))</f>
        <v>0</v>
      </c>
    </row>
    <row r="152" spans="1:12">
      <c r="A152">
        <f>SUMPRODUCT((MONTH(CHOOSE({1,2,3,4},TTSSKĐ!T152,TTSSKĐ!X152,TTSSKĐ!AB152,TTSSKĐ!AF152))=1)*(CHOOSE({1,2,3,4},TTSSKĐ!W152,TTSSKĐ!AA152,TTSSKĐ!AE152,TTSSKĐ!AI152)))</f>
        <v>0</v>
      </c>
      <c r="B152">
        <f>SUMPRODUCT((MONTH(CHOOSE({1,2,3,4},TTSSKĐ!T152,TTSSKĐ!X152,TTSSKĐ!AB152,TTSSKĐ!AF152))=2)*(CHOOSE({1,2,3,4},TTSSKĐ!W152,TTSSKĐ!AA152,TTSSKĐ!AE152,TTSSKĐ!AI152)))</f>
        <v>0</v>
      </c>
      <c r="C152">
        <f>SUMPRODUCT((MONTH(CHOOSE({1,2,3,4},TTSSKĐ!T152,TTSSKĐ!X152,TTSSKĐ!AB152,TTSSKĐ!AF152))=3)*(CHOOSE({1,2,3,4},TTSSKĐ!W152,TTSSKĐ!AA152,TTSSKĐ!AE152,TTSSKĐ!AI152)))</f>
        <v>0</v>
      </c>
      <c r="D152">
        <f>SUMPRODUCT((MONTH(CHOOSE({1,2,3,4},TTSSKĐ!T152,TTSSKĐ!X152,TTSSKĐ!AB152,TTSSKĐ!AF152))=4)*(CHOOSE({1,2,3,4},TTSSKĐ!W152,TTSSKĐ!AA152,TTSSKĐ!AE152,TTSSKĐ!AI152)))</f>
        <v>0</v>
      </c>
      <c r="E152">
        <f>SUMPRODUCT((MONTH(CHOOSE({1,2,3,4},TTSSKĐ!T152,TTSSKĐ!X152,TTSSKĐ!AB152,TTSSKĐ!AF152))=5)*(CHOOSE({1,2,3,4},TTSSKĐ!W152,TTSSKĐ!AA152,TTSSKĐ!AE152,TTSSKĐ!AI152)))</f>
        <v>0</v>
      </c>
      <c r="F152">
        <f>SUMPRODUCT((MONTH(CHOOSE({1,2,3,4},TTSSKĐ!T152,TTSSKĐ!X152,TTSSKĐ!AB152,TTSSKĐ!AF152))=6)*(CHOOSE({1,2,3,4},TTSSKĐ!W152,TTSSKĐ!AA152,TTSSKĐ!AE152,TTSSKĐ!AI152)))</f>
        <v>0</v>
      </c>
      <c r="G152">
        <f>SUMPRODUCT((MONTH(CHOOSE({1,2,3,4},TTSSKĐ!T152,TTSSKĐ!X152,TTSSKĐ!AB152,TTSSKĐ!AF152))=7)*(CHOOSE({1,2,3,4},TTSSKĐ!W152,TTSSKĐ!AA152,TTSSKĐ!AE152,TTSSKĐ!AI152)))</f>
        <v>0</v>
      </c>
      <c r="H152">
        <f>SUMPRODUCT((MONTH(CHOOSE({1,2,3,4},TTSSKĐ!T152,TTSSKĐ!X152,TTSSKĐ!AB152,TTSSKĐ!AF152))=8)*(CHOOSE({1,2,3,4},TTSSKĐ!W152,TTSSKĐ!AA152,TTSSKĐ!AE152,TTSSKĐ!AI152)))</f>
        <v>0</v>
      </c>
      <c r="I152">
        <f>SUMPRODUCT((MONTH(CHOOSE({1,2,3,4},TTSSKĐ!T152,TTSSKĐ!X152,TTSSKĐ!AB152,TTSSKĐ!AF152))=9)*(CHOOSE({1,2,3,4},TTSSKĐ!W152,TTSSKĐ!AA152,TTSSKĐ!AE152,TTSSKĐ!AI152)))</f>
        <v>0</v>
      </c>
      <c r="J152">
        <f>SUMPRODUCT((MONTH(CHOOSE({1,2,3,4},TTSSKĐ!T152,TTSSKĐ!X152,TTSSKĐ!AB152,TTSSKĐ!AF152))=10)*(CHOOSE({1,2,3,4},TTSSKĐ!W152,TTSSKĐ!AA152,TTSSKĐ!AE152,TTSSKĐ!AI152)))</f>
        <v>0</v>
      </c>
      <c r="K152">
        <f>SUMPRODUCT((MONTH(CHOOSE({1,2,3,4},TTSSKĐ!T152,TTSSKĐ!X152,TTSSKĐ!AB152,TTSSKĐ!AF152))=11)*(CHOOSE({1,2,3,4},TTSSKĐ!W152,TTSSKĐ!AA152,TTSSKĐ!AE152,TTSSKĐ!AI152)))</f>
        <v>0</v>
      </c>
      <c r="L152">
        <f>SUMPRODUCT((MONTH(CHOOSE({1,2,3,4},TTSSKĐ!T152,TTSSKĐ!X152,TTSSKĐ!AB152,TTSSKĐ!AF152))=12)*(CHOOSE({1,2,3,4},TTSSKĐ!W152,TTSSKĐ!AA152,TTSSKĐ!AE152,TTSSKĐ!AI152)))</f>
        <v>0</v>
      </c>
    </row>
    <row r="153" spans="1:12">
      <c r="A153">
        <f>SUMPRODUCT((MONTH(CHOOSE({1,2,3,4},TTSSKĐ!T153,TTSSKĐ!X153,TTSSKĐ!AB153,TTSSKĐ!AF153))=1)*(CHOOSE({1,2,3,4},TTSSKĐ!W153,TTSSKĐ!AA153,TTSSKĐ!AE153,TTSSKĐ!AI153)))</f>
        <v>0</v>
      </c>
      <c r="B153">
        <f>SUMPRODUCT((MONTH(CHOOSE({1,2,3,4},TTSSKĐ!T153,TTSSKĐ!X153,TTSSKĐ!AB153,TTSSKĐ!AF153))=2)*(CHOOSE({1,2,3,4},TTSSKĐ!W153,TTSSKĐ!AA153,TTSSKĐ!AE153,TTSSKĐ!AI153)))</f>
        <v>0</v>
      </c>
      <c r="C153">
        <f>SUMPRODUCT((MONTH(CHOOSE({1,2,3,4},TTSSKĐ!T153,TTSSKĐ!X153,TTSSKĐ!AB153,TTSSKĐ!AF153))=3)*(CHOOSE({1,2,3,4},TTSSKĐ!W153,TTSSKĐ!AA153,TTSSKĐ!AE153,TTSSKĐ!AI153)))</f>
        <v>0</v>
      </c>
      <c r="D153">
        <f>SUMPRODUCT((MONTH(CHOOSE({1,2,3,4},TTSSKĐ!T153,TTSSKĐ!X153,TTSSKĐ!AB153,TTSSKĐ!AF153))=4)*(CHOOSE({1,2,3,4},TTSSKĐ!W153,TTSSKĐ!AA153,TTSSKĐ!AE153,TTSSKĐ!AI153)))</f>
        <v>0</v>
      </c>
      <c r="E153">
        <f>SUMPRODUCT((MONTH(CHOOSE({1,2,3,4},TTSSKĐ!T153,TTSSKĐ!X153,TTSSKĐ!AB153,TTSSKĐ!AF153))=5)*(CHOOSE({1,2,3,4},TTSSKĐ!W153,TTSSKĐ!AA153,TTSSKĐ!AE153,TTSSKĐ!AI153)))</f>
        <v>0</v>
      </c>
      <c r="F153">
        <f>SUMPRODUCT((MONTH(CHOOSE({1,2,3,4},TTSSKĐ!T153,TTSSKĐ!X153,TTSSKĐ!AB153,TTSSKĐ!AF153))=6)*(CHOOSE({1,2,3,4},TTSSKĐ!W153,TTSSKĐ!AA153,TTSSKĐ!AE153,TTSSKĐ!AI153)))</f>
        <v>0</v>
      </c>
      <c r="G153">
        <f>SUMPRODUCT((MONTH(CHOOSE({1,2,3,4},TTSSKĐ!T153,TTSSKĐ!X153,TTSSKĐ!AB153,TTSSKĐ!AF153))=7)*(CHOOSE({1,2,3,4},TTSSKĐ!W153,TTSSKĐ!AA153,TTSSKĐ!AE153,TTSSKĐ!AI153)))</f>
        <v>0</v>
      </c>
      <c r="H153">
        <f>SUMPRODUCT((MONTH(CHOOSE({1,2,3,4},TTSSKĐ!T153,TTSSKĐ!X153,TTSSKĐ!AB153,TTSSKĐ!AF153))=8)*(CHOOSE({1,2,3,4},TTSSKĐ!W153,TTSSKĐ!AA153,TTSSKĐ!AE153,TTSSKĐ!AI153)))</f>
        <v>0</v>
      </c>
      <c r="I153">
        <f>SUMPRODUCT((MONTH(CHOOSE({1,2,3,4},TTSSKĐ!T153,TTSSKĐ!X153,TTSSKĐ!AB153,TTSSKĐ!AF153))=9)*(CHOOSE({1,2,3,4},TTSSKĐ!W153,TTSSKĐ!AA153,TTSSKĐ!AE153,TTSSKĐ!AI153)))</f>
        <v>0</v>
      </c>
      <c r="J153">
        <f>SUMPRODUCT((MONTH(CHOOSE({1,2,3,4},TTSSKĐ!T153,TTSSKĐ!X153,TTSSKĐ!AB153,TTSSKĐ!AF153))=10)*(CHOOSE({1,2,3,4},TTSSKĐ!W153,TTSSKĐ!AA153,TTSSKĐ!AE153,TTSSKĐ!AI153)))</f>
        <v>0</v>
      </c>
      <c r="K153">
        <f>SUMPRODUCT((MONTH(CHOOSE({1,2,3,4},TTSSKĐ!T153,TTSSKĐ!X153,TTSSKĐ!AB153,TTSSKĐ!AF153))=11)*(CHOOSE({1,2,3,4},TTSSKĐ!W153,TTSSKĐ!AA153,TTSSKĐ!AE153,TTSSKĐ!AI153)))</f>
        <v>0</v>
      </c>
      <c r="L153">
        <f>SUMPRODUCT((MONTH(CHOOSE({1,2,3,4},TTSSKĐ!T153,TTSSKĐ!X153,TTSSKĐ!AB153,TTSSKĐ!AF153))=12)*(CHOOSE({1,2,3,4},TTSSKĐ!W153,TTSSKĐ!AA153,TTSSKĐ!AE153,TTSSKĐ!AI153)))</f>
        <v>0</v>
      </c>
    </row>
    <row r="154" spans="1:12">
      <c r="A154">
        <f>SUMPRODUCT((MONTH(CHOOSE({1,2,3,4},TTSSKĐ!T154,TTSSKĐ!X154,TTSSKĐ!AB154,TTSSKĐ!AF154))=1)*(CHOOSE({1,2,3,4},TTSSKĐ!W154,TTSSKĐ!AA154,TTSSKĐ!AE154,TTSSKĐ!AI154)))</f>
        <v>0</v>
      </c>
      <c r="B154">
        <f>SUMPRODUCT((MONTH(CHOOSE({1,2,3,4},TTSSKĐ!T154,TTSSKĐ!X154,TTSSKĐ!AB154,TTSSKĐ!AF154))=2)*(CHOOSE({1,2,3,4},TTSSKĐ!W154,TTSSKĐ!AA154,TTSSKĐ!AE154,TTSSKĐ!AI154)))</f>
        <v>0</v>
      </c>
      <c r="C154">
        <f>SUMPRODUCT((MONTH(CHOOSE({1,2,3,4},TTSSKĐ!T154,TTSSKĐ!X154,TTSSKĐ!AB154,TTSSKĐ!AF154))=3)*(CHOOSE({1,2,3,4},TTSSKĐ!W154,TTSSKĐ!AA154,TTSSKĐ!AE154,TTSSKĐ!AI154)))</f>
        <v>0</v>
      </c>
      <c r="D154">
        <f>SUMPRODUCT((MONTH(CHOOSE({1,2,3,4},TTSSKĐ!T154,TTSSKĐ!X154,TTSSKĐ!AB154,TTSSKĐ!AF154))=4)*(CHOOSE({1,2,3,4},TTSSKĐ!W154,TTSSKĐ!AA154,TTSSKĐ!AE154,TTSSKĐ!AI154)))</f>
        <v>0</v>
      </c>
      <c r="E154">
        <f>SUMPRODUCT((MONTH(CHOOSE({1,2,3,4},TTSSKĐ!T154,TTSSKĐ!X154,TTSSKĐ!AB154,TTSSKĐ!AF154))=5)*(CHOOSE({1,2,3,4},TTSSKĐ!W154,TTSSKĐ!AA154,TTSSKĐ!AE154,TTSSKĐ!AI154)))</f>
        <v>0</v>
      </c>
      <c r="F154">
        <f>SUMPRODUCT((MONTH(CHOOSE({1,2,3,4},TTSSKĐ!T154,TTSSKĐ!X154,TTSSKĐ!AB154,TTSSKĐ!AF154))=6)*(CHOOSE({1,2,3,4},TTSSKĐ!W154,TTSSKĐ!AA154,TTSSKĐ!AE154,TTSSKĐ!AI154)))</f>
        <v>0</v>
      </c>
      <c r="G154">
        <f>SUMPRODUCT((MONTH(CHOOSE({1,2,3,4},TTSSKĐ!T154,TTSSKĐ!X154,TTSSKĐ!AB154,TTSSKĐ!AF154))=7)*(CHOOSE({1,2,3,4},TTSSKĐ!W154,TTSSKĐ!AA154,TTSSKĐ!AE154,TTSSKĐ!AI154)))</f>
        <v>0</v>
      </c>
      <c r="H154">
        <f>SUMPRODUCT((MONTH(CHOOSE({1,2,3,4},TTSSKĐ!T154,TTSSKĐ!X154,TTSSKĐ!AB154,TTSSKĐ!AF154))=8)*(CHOOSE({1,2,3,4},TTSSKĐ!W154,TTSSKĐ!AA154,TTSSKĐ!AE154,TTSSKĐ!AI154)))</f>
        <v>0</v>
      </c>
      <c r="I154">
        <f>SUMPRODUCT((MONTH(CHOOSE({1,2,3,4},TTSSKĐ!T154,TTSSKĐ!X154,TTSSKĐ!AB154,TTSSKĐ!AF154))=9)*(CHOOSE({1,2,3,4},TTSSKĐ!W154,TTSSKĐ!AA154,TTSSKĐ!AE154,TTSSKĐ!AI154)))</f>
        <v>0</v>
      </c>
      <c r="J154">
        <f>SUMPRODUCT((MONTH(CHOOSE({1,2,3,4},TTSSKĐ!T154,TTSSKĐ!X154,TTSSKĐ!AB154,TTSSKĐ!AF154))=10)*(CHOOSE({1,2,3,4},TTSSKĐ!W154,TTSSKĐ!AA154,TTSSKĐ!AE154,TTSSKĐ!AI154)))</f>
        <v>0</v>
      </c>
      <c r="K154">
        <f>SUMPRODUCT((MONTH(CHOOSE({1,2,3,4},TTSSKĐ!T154,TTSSKĐ!X154,TTSSKĐ!AB154,TTSSKĐ!AF154))=11)*(CHOOSE({1,2,3,4},TTSSKĐ!W154,TTSSKĐ!AA154,TTSSKĐ!AE154,TTSSKĐ!AI154)))</f>
        <v>0</v>
      </c>
      <c r="L154">
        <f>SUMPRODUCT((MONTH(CHOOSE({1,2,3,4},TTSSKĐ!T154,TTSSKĐ!X154,TTSSKĐ!AB154,TTSSKĐ!AF154))=12)*(CHOOSE({1,2,3,4},TTSSKĐ!W154,TTSSKĐ!AA154,TTSSKĐ!AE154,TTSSKĐ!AI154)))</f>
        <v>0</v>
      </c>
    </row>
    <row r="155" spans="1:12">
      <c r="A155">
        <f>SUMPRODUCT((MONTH(CHOOSE({1,2,3,4},TTSSKĐ!T155,TTSSKĐ!X155,TTSSKĐ!AB155,TTSSKĐ!AF155))=1)*(CHOOSE({1,2,3,4},TTSSKĐ!W155,TTSSKĐ!AA155,TTSSKĐ!AE155,TTSSKĐ!AI155)))</f>
        <v>0</v>
      </c>
      <c r="B155">
        <f>SUMPRODUCT((MONTH(CHOOSE({1,2,3,4},TTSSKĐ!T155,TTSSKĐ!X155,TTSSKĐ!AB155,TTSSKĐ!AF155))=2)*(CHOOSE({1,2,3,4},TTSSKĐ!W155,TTSSKĐ!AA155,TTSSKĐ!AE155,TTSSKĐ!AI155)))</f>
        <v>0</v>
      </c>
      <c r="C155">
        <f>SUMPRODUCT((MONTH(CHOOSE({1,2,3,4},TTSSKĐ!T155,TTSSKĐ!X155,TTSSKĐ!AB155,TTSSKĐ!AF155))=3)*(CHOOSE({1,2,3,4},TTSSKĐ!W155,TTSSKĐ!AA155,TTSSKĐ!AE155,TTSSKĐ!AI155)))</f>
        <v>0</v>
      </c>
      <c r="D155">
        <f>SUMPRODUCT((MONTH(CHOOSE({1,2,3,4},TTSSKĐ!T155,TTSSKĐ!X155,TTSSKĐ!AB155,TTSSKĐ!AF155))=4)*(CHOOSE({1,2,3,4},TTSSKĐ!W155,TTSSKĐ!AA155,TTSSKĐ!AE155,TTSSKĐ!AI155)))</f>
        <v>0</v>
      </c>
      <c r="E155">
        <f>SUMPRODUCT((MONTH(CHOOSE({1,2,3,4},TTSSKĐ!T155,TTSSKĐ!X155,TTSSKĐ!AB155,TTSSKĐ!AF155))=5)*(CHOOSE({1,2,3,4},TTSSKĐ!W155,TTSSKĐ!AA155,TTSSKĐ!AE155,TTSSKĐ!AI155)))</f>
        <v>0</v>
      </c>
      <c r="F155">
        <f>SUMPRODUCT((MONTH(CHOOSE({1,2,3,4},TTSSKĐ!T155,TTSSKĐ!X155,TTSSKĐ!AB155,TTSSKĐ!AF155))=6)*(CHOOSE({1,2,3,4},TTSSKĐ!W155,TTSSKĐ!AA155,TTSSKĐ!AE155,TTSSKĐ!AI155)))</f>
        <v>0</v>
      </c>
      <c r="G155">
        <f>SUMPRODUCT((MONTH(CHOOSE({1,2,3,4},TTSSKĐ!T155,TTSSKĐ!X155,TTSSKĐ!AB155,TTSSKĐ!AF155))=7)*(CHOOSE({1,2,3,4},TTSSKĐ!W155,TTSSKĐ!AA155,TTSSKĐ!AE155,TTSSKĐ!AI155)))</f>
        <v>0</v>
      </c>
      <c r="H155">
        <f>SUMPRODUCT((MONTH(CHOOSE({1,2,3,4},TTSSKĐ!T155,TTSSKĐ!X155,TTSSKĐ!AB155,TTSSKĐ!AF155))=8)*(CHOOSE({1,2,3,4},TTSSKĐ!W155,TTSSKĐ!AA155,TTSSKĐ!AE155,TTSSKĐ!AI155)))</f>
        <v>0</v>
      </c>
      <c r="I155">
        <f>SUMPRODUCT((MONTH(CHOOSE({1,2,3,4},TTSSKĐ!T155,TTSSKĐ!X155,TTSSKĐ!AB155,TTSSKĐ!AF155))=9)*(CHOOSE({1,2,3,4},TTSSKĐ!W155,TTSSKĐ!AA155,TTSSKĐ!AE155,TTSSKĐ!AI155)))</f>
        <v>0</v>
      </c>
      <c r="J155">
        <f>SUMPRODUCT((MONTH(CHOOSE({1,2,3,4},TTSSKĐ!T155,TTSSKĐ!X155,TTSSKĐ!AB155,TTSSKĐ!AF155))=10)*(CHOOSE({1,2,3,4},TTSSKĐ!W155,TTSSKĐ!AA155,TTSSKĐ!AE155,TTSSKĐ!AI155)))</f>
        <v>0</v>
      </c>
      <c r="K155">
        <f>SUMPRODUCT((MONTH(CHOOSE({1,2,3,4},TTSSKĐ!T155,TTSSKĐ!X155,TTSSKĐ!AB155,TTSSKĐ!AF155))=11)*(CHOOSE({1,2,3,4},TTSSKĐ!W155,TTSSKĐ!AA155,TTSSKĐ!AE155,TTSSKĐ!AI155)))</f>
        <v>0</v>
      </c>
      <c r="L155">
        <f>SUMPRODUCT((MONTH(CHOOSE({1,2,3,4},TTSSKĐ!T155,TTSSKĐ!X155,TTSSKĐ!AB155,TTSSKĐ!AF155))=12)*(CHOOSE({1,2,3,4},TTSSKĐ!W155,TTSSKĐ!AA155,TTSSKĐ!AE155,TTSSKĐ!AI155)))</f>
        <v>0</v>
      </c>
    </row>
    <row r="156" spans="1:12">
      <c r="A156">
        <f>SUMPRODUCT((MONTH(CHOOSE({1,2,3,4},TTSSKĐ!T156,TTSSKĐ!X156,TTSSKĐ!AB156,TTSSKĐ!AF156))=1)*(CHOOSE({1,2,3,4},TTSSKĐ!W156,TTSSKĐ!AA156,TTSSKĐ!AE156,TTSSKĐ!AI156)))</f>
        <v>0</v>
      </c>
      <c r="B156">
        <f>SUMPRODUCT((MONTH(CHOOSE({1,2,3,4},TTSSKĐ!T156,TTSSKĐ!X156,TTSSKĐ!AB156,TTSSKĐ!AF156))=2)*(CHOOSE({1,2,3,4},TTSSKĐ!W156,TTSSKĐ!AA156,TTSSKĐ!AE156,TTSSKĐ!AI156)))</f>
        <v>0</v>
      </c>
      <c r="C156">
        <f>SUMPRODUCT((MONTH(CHOOSE({1,2,3,4},TTSSKĐ!T156,TTSSKĐ!X156,TTSSKĐ!AB156,TTSSKĐ!AF156))=3)*(CHOOSE({1,2,3,4},TTSSKĐ!W156,TTSSKĐ!AA156,TTSSKĐ!AE156,TTSSKĐ!AI156)))</f>
        <v>0</v>
      </c>
      <c r="D156">
        <f>SUMPRODUCT((MONTH(CHOOSE({1,2,3,4},TTSSKĐ!T156,TTSSKĐ!X156,TTSSKĐ!AB156,TTSSKĐ!AF156))=4)*(CHOOSE({1,2,3,4},TTSSKĐ!W156,TTSSKĐ!AA156,TTSSKĐ!AE156,TTSSKĐ!AI156)))</f>
        <v>0</v>
      </c>
      <c r="E156">
        <f>SUMPRODUCT((MONTH(CHOOSE({1,2,3,4},TTSSKĐ!T156,TTSSKĐ!X156,TTSSKĐ!AB156,TTSSKĐ!AF156))=5)*(CHOOSE({1,2,3,4},TTSSKĐ!W156,TTSSKĐ!AA156,TTSSKĐ!AE156,TTSSKĐ!AI156)))</f>
        <v>0</v>
      </c>
      <c r="F156">
        <f>SUMPRODUCT((MONTH(CHOOSE({1,2,3,4},TTSSKĐ!T156,TTSSKĐ!X156,TTSSKĐ!AB156,TTSSKĐ!AF156))=6)*(CHOOSE({1,2,3,4},TTSSKĐ!W156,TTSSKĐ!AA156,TTSSKĐ!AE156,TTSSKĐ!AI156)))</f>
        <v>0</v>
      </c>
      <c r="G156">
        <f>SUMPRODUCT((MONTH(CHOOSE({1,2,3,4},TTSSKĐ!T156,TTSSKĐ!X156,TTSSKĐ!AB156,TTSSKĐ!AF156))=7)*(CHOOSE({1,2,3,4},TTSSKĐ!W156,TTSSKĐ!AA156,TTSSKĐ!AE156,TTSSKĐ!AI156)))</f>
        <v>0</v>
      </c>
      <c r="H156">
        <f>SUMPRODUCT((MONTH(CHOOSE({1,2,3,4},TTSSKĐ!T156,TTSSKĐ!X156,TTSSKĐ!AB156,TTSSKĐ!AF156))=8)*(CHOOSE({1,2,3,4},TTSSKĐ!W156,TTSSKĐ!AA156,TTSSKĐ!AE156,TTSSKĐ!AI156)))</f>
        <v>0</v>
      </c>
      <c r="I156">
        <f>SUMPRODUCT((MONTH(CHOOSE({1,2,3,4},TTSSKĐ!T156,TTSSKĐ!X156,TTSSKĐ!AB156,TTSSKĐ!AF156))=9)*(CHOOSE({1,2,3,4},TTSSKĐ!W156,TTSSKĐ!AA156,TTSSKĐ!AE156,TTSSKĐ!AI156)))</f>
        <v>0</v>
      </c>
      <c r="J156">
        <f>SUMPRODUCT((MONTH(CHOOSE({1,2,3,4},TTSSKĐ!T156,TTSSKĐ!X156,TTSSKĐ!AB156,TTSSKĐ!AF156))=10)*(CHOOSE({1,2,3,4},TTSSKĐ!W156,TTSSKĐ!AA156,TTSSKĐ!AE156,TTSSKĐ!AI156)))</f>
        <v>0</v>
      </c>
      <c r="K156">
        <f>SUMPRODUCT((MONTH(CHOOSE({1,2,3,4},TTSSKĐ!T156,TTSSKĐ!X156,TTSSKĐ!AB156,TTSSKĐ!AF156))=11)*(CHOOSE({1,2,3,4},TTSSKĐ!W156,TTSSKĐ!AA156,TTSSKĐ!AE156,TTSSKĐ!AI156)))</f>
        <v>0</v>
      </c>
      <c r="L156">
        <f>SUMPRODUCT((MONTH(CHOOSE({1,2,3,4},TTSSKĐ!T156,TTSSKĐ!X156,TTSSKĐ!AB156,TTSSKĐ!AF156))=12)*(CHOOSE({1,2,3,4},TTSSKĐ!W156,TTSSKĐ!AA156,TTSSKĐ!AE156,TTSSKĐ!AI156)))</f>
        <v>0</v>
      </c>
    </row>
    <row r="157" spans="1:12">
      <c r="A157">
        <f>SUMPRODUCT((MONTH(CHOOSE({1,2,3,4},TTSSKĐ!T157,TTSSKĐ!X157,TTSSKĐ!AB157,TTSSKĐ!AF157))=1)*(CHOOSE({1,2,3,4},TTSSKĐ!W157,TTSSKĐ!AA157,TTSSKĐ!AE157,TTSSKĐ!AI157)))</f>
        <v>0</v>
      </c>
      <c r="B157">
        <f>SUMPRODUCT((MONTH(CHOOSE({1,2,3,4},TTSSKĐ!T157,TTSSKĐ!X157,TTSSKĐ!AB157,TTSSKĐ!AF157))=2)*(CHOOSE({1,2,3,4},TTSSKĐ!W157,TTSSKĐ!AA157,TTSSKĐ!AE157,TTSSKĐ!AI157)))</f>
        <v>0</v>
      </c>
      <c r="C157">
        <f>SUMPRODUCT((MONTH(CHOOSE({1,2,3,4},TTSSKĐ!T157,TTSSKĐ!X157,TTSSKĐ!AB157,TTSSKĐ!AF157))=3)*(CHOOSE({1,2,3,4},TTSSKĐ!W157,TTSSKĐ!AA157,TTSSKĐ!AE157,TTSSKĐ!AI157)))</f>
        <v>0</v>
      </c>
      <c r="D157">
        <f>SUMPRODUCT((MONTH(CHOOSE({1,2,3,4},TTSSKĐ!T157,TTSSKĐ!X157,TTSSKĐ!AB157,TTSSKĐ!AF157))=4)*(CHOOSE({1,2,3,4},TTSSKĐ!W157,TTSSKĐ!AA157,TTSSKĐ!AE157,TTSSKĐ!AI157)))</f>
        <v>0</v>
      </c>
      <c r="E157">
        <f>SUMPRODUCT((MONTH(CHOOSE({1,2,3,4},TTSSKĐ!T157,TTSSKĐ!X157,TTSSKĐ!AB157,TTSSKĐ!AF157))=5)*(CHOOSE({1,2,3,4},TTSSKĐ!W157,TTSSKĐ!AA157,TTSSKĐ!AE157,TTSSKĐ!AI157)))</f>
        <v>0</v>
      </c>
      <c r="F157">
        <f>SUMPRODUCT((MONTH(CHOOSE({1,2,3,4},TTSSKĐ!T157,TTSSKĐ!X157,TTSSKĐ!AB157,TTSSKĐ!AF157))=6)*(CHOOSE({1,2,3,4},TTSSKĐ!W157,TTSSKĐ!AA157,TTSSKĐ!AE157,TTSSKĐ!AI157)))</f>
        <v>0</v>
      </c>
      <c r="G157">
        <f>SUMPRODUCT((MONTH(CHOOSE({1,2,3,4},TTSSKĐ!T157,TTSSKĐ!X157,TTSSKĐ!AB157,TTSSKĐ!AF157))=7)*(CHOOSE({1,2,3,4},TTSSKĐ!W157,TTSSKĐ!AA157,TTSSKĐ!AE157,TTSSKĐ!AI157)))</f>
        <v>0</v>
      </c>
      <c r="H157">
        <f>SUMPRODUCT((MONTH(CHOOSE({1,2,3,4},TTSSKĐ!T157,TTSSKĐ!X157,TTSSKĐ!AB157,TTSSKĐ!AF157))=8)*(CHOOSE({1,2,3,4},TTSSKĐ!W157,TTSSKĐ!AA157,TTSSKĐ!AE157,TTSSKĐ!AI157)))</f>
        <v>0</v>
      </c>
      <c r="I157">
        <f>SUMPRODUCT((MONTH(CHOOSE({1,2,3,4},TTSSKĐ!T157,TTSSKĐ!X157,TTSSKĐ!AB157,TTSSKĐ!AF157))=9)*(CHOOSE({1,2,3,4},TTSSKĐ!W157,TTSSKĐ!AA157,TTSSKĐ!AE157,TTSSKĐ!AI157)))</f>
        <v>0</v>
      </c>
      <c r="J157">
        <f>SUMPRODUCT((MONTH(CHOOSE({1,2,3,4},TTSSKĐ!T157,TTSSKĐ!X157,TTSSKĐ!AB157,TTSSKĐ!AF157))=10)*(CHOOSE({1,2,3,4},TTSSKĐ!W157,TTSSKĐ!AA157,TTSSKĐ!AE157,TTSSKĐ!AI157)))</f>
        <v>0</v>
      </c>
      <c r="K157">
        <f>SUMPRODUCT((MONTH(CHOOSE({1,2,3,4},TTSSKĐ!T157,TTSSKĐ!X157,TTSSKĐ!AB157,TTSSKĐ!AF157))=11)*(CHOOSE({1,2,3,4},TTSSKĐ!W157,TTSSKĐ!AA157,TTSSKĐ!AE157,TTSSKĐ!AI157)))</f>
        <v>0</v>
      </c>
      <c r="L157">
        <f>SUMPRODUCT((MONTH(CHOOSE({1,2,3,4},TTSSKĐ!T157,TTSSKĐ!X157,TTSSKĐ!AB157,TTSSKĐ!AF157))=12)*(CHOOSE({1,2,3,4},TTSSKĐ!W157,TTSSKĐ!AA157,TTSSKĐ!AE157,TTSSKĐ!AI157)))</f>
        <v>0</v>
      </c>
    </row>
    <row r="158" spans="1:12">
      <c r="A158">
        <f>SUMPRODUCT((MONTH(CHOOSE({1,2,3,4},TTSSKĐ!T158,TTSSKĐ!X158,TTSSKĐ!AB158,TTSSKĐ!AF158))=1)*(CHOOSE({1,2,3,4},TTSSKĐ!W158,TTSSKĐ!AA158,TTSSKĐ!AE158,TTSSKĐ!AI158)))</f>
        <v>0</v>
      </c>
      <c r="B158">
        <f>SUMPRODUCT((MONTH(CHOOSE({1,2,3,4},TTSSKĐ!T158,TTSSKĐ!X158,TTSSKĐ!AB158,TTSSKĐ!AF158))=2)*(CHOOSE({1,2,3,4},TTSSKĐ!W158,TTSSKĐ!AA158,TTSSKĐ!AE158,TTSSKĐ!AI158)))</f>
        <v>0</v>
      </c>
      <c r="C158">
        <f>SUMPRODUCT((MONTH(CHOOSE({1,2,3,4},TTSSKĐ!T158,TTSSKĐ!X158,TTSSKĐ!AB158,TTSSKĐ!AF158))=3)*(CHOOSE({1,2,3,4},TTSSKĐ!W158,TTSSKĐ!AA158,TTSSKĐ!AE158,TTSSKĐ!AI158)))</f>
        <v>0</v>
      </c>
      <c r="D158">
        <f>SUMPRODUCT((MONTH(CHOOSE({1,2,3,4},TTSSKĐ!T158,TTSSKĐ!X158,TTSSKĐ!AB158,TTSSKĐ!AF158))=4)*(CHOOSE({1,2,3,4},TTSSKĐ!W158,TTSSKĐ!AA158,TTSSKĐ!AE158,TTSSKĐ!AI158)))</f>
        <v>0</v>
      </c>
      <c r="E158">
        <f>SUMPRODUCT((MONTH(CHOOSE({1,2,3,4},TTSSKĐ!T158,TTSSKĐ!X158,TTSSKĐ!AB158,TTSSKĐ!AF158))=5)*(CHOOSE({1,2,3,4},TTSSKĐ!W158,TTSSKĐ!AA158,TTSSKĐ!AE158,TTSSKĐ!AI158)))</f>
        <v>0</v>
      </c>
      <c r="F158">
        <f>SUMPRODUCT((MONTH(CHOOSE({1,2,3,4},TTSSKĐ!T158,TTSSKĐ!X158,TTSSKĐ!AB158,TTSSKĐ!AF158))=6)*(CHOOSE({1,2,3,4},TTSSKĐ!W158,TTSSKĐ!AA158,TTSSKĐ!AE158,TTSSKĐ!AI158)))</f>
        <v>0</v>
      </c>
      <c r="G158">
        <f>SUMPRODUCT((MONTH(CHOOSE({1,2,3,4},TTSSKĐ!T158,TTSSKĐ!X158,TTSSKĐ!AB158,TTSSKĐ!AF158))=7)*(CHOOSE({1,2,3,4},TTSSKĐ!W158,TTSSKĐ!AA158,TTSSKĐ!AE158,TTSSKĐ!AI158)))</f>
        <v>0</v>
      </c>
      <c r="H158">
        <f>SUMPRODUCT((MONTH(CHOOSE({1,2,3,4},TTSSKĐ!T158,TTSSKĐ!X158,TTSSKĐ!AB158,TTSSKĐ!AF158))=8)*(CHOOSE({1,2,3,4},TTSSKĐ!W158,TTSSKĐ!AA158,TTSSKĐ!AE158,TTSSKĐ!AI158)))</f>
        <v>0</v>
      </c>
      <c r="I158">
        <f>SUMPRODUCT((MONTH(CHOOSE({1,2,3,4},TTSSKĐ!T158,TTSSKĐ!X158,TTSSKĐ!AB158,TTSSKĐ!AF158))=9)*(CHOOSE({1,2,3,4},TTSSKĐ!W158,TTSSKĐ!AA158,TTSSKĐ!AE158,TTSSKĐ!AI158)))</f>
        <v>0</v>
      </c>
      <c r="J158">
        <f>SUMPRODUCT((MONTH(CHOOSE({1,2,3,4},TTSSKĐ!T158,TTSSKĐ!X158,TTSSKĐ!AB158,TTSSKĐ!AF158))=10)*(CHOOSE({1,2,3,4},TTSSKĐ!W158,TTSSKĐ!AA158,TTSSKĐ!AE158,TTSSKĐ!AI158)))</f>
        <v>0</v>
      </c>
      <c r="K158">
        <f>SUMPRODUCT((MONTH(CHOOSE({1,2,3,4},TTSSKĐ!T158,TTSSKĐ!X158,TTSSKĐ!AB158,TTSSKĐ!AF158))=11)*(CHOOSE({1,2,3,4},TTSSKĐ!W158,TTSSKĐ!AA158,TTSSKĐ!AE158,TTSSKĐ!AI158)))</f>
        <v>0</v>
      </c>
      <c r="L158">
        <f>SUMPRODUCT((MONTH(CHOOSE({1,2,3,4},TTSSKĐ!T158,TTSSKĐ!X158,TTSSKĐ!AB158,TTSSKĐ!AF158))=12)*(CHOOSE({1,2,3,4},TTSSKĐ!W158,TTSSKĐ!AA158,TTSSKĐ!AE158,TTSSKĐ!AI158)))</f>
        <v>0</v>
      </c>
    </row>
    <row r="159" spans="1:12">
      <c r="A159">
        <f>SUMPRODUCT((MONTH(CHOOSE({1,2,3,4},TTSSKĐ!T159,TTSSKĐ!X159,TTSSKĐ!AB159,TTSSKĐ!AF159))=1)*(CHOOSE({1,2,3,4},TTSSKĐ!W159,TTSSKĐ!AA159,TTSSKĐ!AE159,TTSSKĐ!AI159)))</f>
        <v>0</v>
      </c>
      <c r="B159">
        <f>SUMPRODUCT((MONTH(CHOOSE({1,2,3,4},TTSSKĐ!T159,TTSSKĐ!X159,TTSSKĐ!AB159,TTSSKĐ!AF159))=2)*(CHOOSE({1,2,3,4},TTSSKĐ!W159,TTSSKĐ!AA159,TTSSKĐ!AE159,TTSSKĐ!AI159)))</f>
        <v>0</v>
      </c>
      <c r="C159">
        <f>SUMPRODUCT((MONTH(CHOOSE({1,2,3,4},TTSSKĐ!T159,TTSSKĐ!X159,TTSSKĐ!AB159,TTSSKĐ!AF159))=3)*(CHOOSE({1,2,3,4},TTSSKĐ!W159,TTSSKĐ!AA159,TTSSKĐ!AE159,TTSSKĐ!AI159)))</f>
        <v>0</v>
      </c>
      <c r="D159">
        <f>SUMPRODUCT((MONTH(CHOOSE({1,2,3,4},TTSSKĐ!T159,TTSSKĐ!X159,TTSSKĐ!AB159,TTSSKĐ!AF159))=4)*(CHOOSE({1,2,3,4},TTSSKĐ!W159,TTSSKĐ!AA159,TTSSKĐ!AE159,TTSSKĐ!AI159)))</f>
        <v>0</v>
      </c>
      <c r="E159">
        <f>SUMPRODUCT((MONTH(CHOOSE({1,2,3,4},TTSSKĐ!T159,TTSSKĐ!X159,TTSSKĐ!AB159,TTSSKĐ!AF159))=5)*(CHOOSE({1,2,3,4},TTSSKĐ!W159,TTSSKĐ!AA159,TTSSKĐ!AE159,TTSSKĐ!AI159)))</f>
        <v>0</v>
      </c>
      <c r="F159">
        <f>SUMPRODUCT((MONTH(CHOOSE({1,2,3,4},TTSSKĐ!T159,TTSSKĐ!X159,TTSSKĐ!AB159,TTSSKĐ!AF159))=6)*(CHOOSE({1,2,3,4},TTSSKĐ!W159,TTSSKĐ!AA159,TTSSKĐ!AE159,TTSSKĐ!AI159)))</f>
        <v>0</v>
      </c>
      <c r="G159">
        <f>SUMPRODUCT((MONTH(CHOOSE({1,2,3,4},TTSSKĐ!T159,TTSSKĐ!X159,TTSSKĐ!AB159,TTSSKĐ!AF159))=7)*(CHOOSE({1,2,3,4},TTSSKĐ!W159,TTSSKĐ!AA159,TTSSKĐ!AE159,TTSSKĐ!AI159)))</f>
        <v>0</v>
      </c>
      <c r="H159">
        <f>SUMPRODUCT((MONTH(CHOOSE({1,2,3,4},TTSSKĐ!T159,TTSSKĐ!X159,TTSSKĐ!AB159,TTSSKĐ!AF159))=8)*(CHOOSE({1,2,3,4},TTSSKĐ!W159,TTSSKĐ!AA159,TTSSKĐ!AE159,TTSSKĐ!AI159)))</f>
        <v>0</v>
      </c>
      <c r="I159">
        <f>SUMPRODUCT((MONTH(CHOOSE({1,2,3,4},TTSSKĐ!T159,TTSSKĐ!X159,TTSSKĐ!AB159,TTSSKĐ!AF159))=9)*(CHOOSE({1,2,3,4},TTSSKĐ!W159,TTSSKĐ!AA159,TTSSKĐ!AE159,TTSSKĐ!AI159)))</f>
        <v>0</v>
      </c>
      <c r="J159">
        <f>SUMPRODUCT((MONTH(CHOOSE({1,2,3,4},TTSSKĐ!T159,TTSSKĐ!X159,TTSSKĐ!AB159,TTSSKĐ!AF159))=10)*(CHOOSE({1,2,3,4},TTSSKĐ!W159,TTSSKĐ!AA159,TTSSKĐ!AE159,TTSSKĐ!AI159)))</f>
        <v>0</v>
      </c>
      <c r="K159">
        <f>SUMPRODUCT((MONTH(CHOOSE({1,2,3,4},TTSSKĐ!T159,TTSSKĐ!X159,TTSSKĐ!AB159,TTSSKĐ!AF159))=11)*(CHOOSE({1,2,3,4},TTSSKĐ!W159,TTSSKĐ!AA159,TTSSKĐ!AE159,TTSSKĐ!AI159)))</f>
        <v>0</v>
      </c>
      <c r="L159">
        <f>SUMPRODUCT((MONTH(CHOOSE({1,2,3,4},TTSSKĐ!T159,TTSSKĐ!X159,TTSSKĐ!AB159,TTSSKĐ!AF159))=12)*(CHOOSE({1,2,3,4},TTSSKĐ!W159,TTSSKĐ!AA159,TTSSKĐ!AE159,TTSSKĐ!AI159)))</f>
        <v>0</v>
      </c>
    </row>
    <row r="160" spans="1:12">
      <c r="A160">
        <f>SUMPRODUCT((MONTH(CHOOSE({1,2,3,4},TTSSKĐ!T160,TTSSKĐ!X160,TTSSKĐ!AB160,TTSSKĐ!AF160))=1)*(CHOOSE({1,2,3,4},TTSSKĐ!W160,TTSSKĐ!AA160,TTSSKĐ!AE160,TTSSKĐ!AI160)))</f>
        <v>0</v>
      </c>
      <c r="B160">
        <f>SUMPRODUCT((MONTH(CHOOSE({1,2,3,4},TTSSKĐ!T160,TTSSKĐ!X160,TTSSKĐ!AB160,TTSSKĐ!AF160))=2)*(CHOOSE({1,2,3,4},TTSSKĐ!W160,TTSSKĐ!AA160,TTSSKĐ!AE160,TTSSKĐ!AI160)))</f>
        <v>0</v>
      </c>
      <c r="C160">
        <f>SUMPRODUCT((MONTH(CHOOSE({1,2,3,4},TTSSKĐ!T160,TTSSKĐ!X160,TTSSKĐ!AB160,TTSSKĐ!AF160))=3)*(CHOOSE({1,2,3,4},TTSSKĐ!W160,TTSSKĐ!AA160,TTSSKĐ!AE160,TTSSKĐ!AI160)))</f>
        <v>0</v>
      </c>
      <c r="D160">
        <f>SUMPRODUCT((MONTH(CHOOSE({1,2,3,4},TTSSKĐ!T160,TTSSKĐ!X160,TTSSKĐ!AB160,TTSSKĐ!AF160))=4)*(CHOOSE({1,2,3,4},TTSSKĐ!W160,TTSSKĐ!AA160,TTSSKĐ!AE160,TTSSKĐ!AI160)))</f>
        <v>0</v>
      </c>
      <c r="E160">
        <f>SUMPRODUCT((MONTH(CHOOSE({1,2,3,4},TTSSKĐ!T160,TTSSKĐ!X160,TTSSKĐ!AB160,TTSSKĐ!AF160))=5)*(CHOOSE({1,2,3,4},TTSSKĐ!W160,TTSSKĐ!AA160,TTSSKĐ!AE160,TTSSKĐ!AI160)))</f>
        <v>0</v>
      </c>
      <c r="F160">
        <f>SUMPRODUCT((MONTH(CHOOSE({1,2,3,4},TTSSKĐ!T160,TTSSKĐ!X160,TTSSKĐ!AB160,TTSSKĐ!AF160))=6)*(CHOOSE({1,2,3,4},TTSSKĐ!W160,TTSSKĐ!AA160,TTSSKĐ!AE160,TTSSKĐ!AI160)))</f>
        <v>0</v>
      </c>
      <c r="G160">
        <f>SUMPRODUCT((MONTH(CHOOSE({1,2,3,4},TTSSKĐ!T160,TTSSKĐ!X160,TTSSKĐ!AB160,TTSSKĐ!AF160))=7)*(CHOOSE({1,2,3,4},TTSSKĐ!W160,TTSSKĐ!AA160,TTSSKĐ!AE160,TTSSKĐ!AI160)))</f>
        <v>0</v>
      </c>
      <c r="H160">
        <f>SUMPRODUCT((MONTH(CHOOSE({1,2,3,4},TTSSKĐ!T160,TTSSKĐ!X160,TTSSKĐ!AB160,TTSSKĐ!AF160))=8)*(CHOOSE({1,2,3,4},TTSSKĐ!W160,TTSSKĐ!AA160,TTSSKĐ!AE160,TTSSKĐ!AI160)))</f>
        <v>0</v>
      </c>
      <c r="I160">
        <f>SUMPRODUCT((MONTH(CHOOSE({1,2,3,4},TTSSKĐ!T160,TTSSKĐ!X160,TTSSKĐ!AB160,TTSSKĐ!AF160))=9)*(CHOOSE({1,2,3,4},TTSSKĐ!W160,TTSSKĐ!AA160,TTSSKĐ!AE160,TTSSKĐ!AI160)))</f>
        <v>0</v>
      </c>
      <c r="J160">
        <f>SUMPRODUCT((MONTH(CHOOSE({1,2,3,4},TTSSKĐ!T160,TTSSKĐ!X160,TTSSKĐ!AB160,TTSSKĐ!AF160))=10)*(CHOOSE({1,2,3,4},TTSSKĐ!W160,TTSSKĐ!AA160,TTSSKĐ!AE160,TTSSKĐ!AI160)))</f>
        <v>0</v>
      </c>
      <c r="K160">
        <f>SUMPRODUCT((MONTH(CHOOSE({1,2,3,4},TTSSKĐ!T160,TTSSKĐ!X160,TTSSKĐ!AB160,TTSSKĐ!AF160))=11)*(CHOOSE({1,2,3,4},TTSSKĐ!W160,TTSSKĐ!AA160,TTSSKĐ!AE160,TTSSKĐ!AI160)))</f>
        <v>0</v>
      </c>
      <c r="L160">
        <f>SUMPRODUCT((MONTH(CHOOSE({1,2,3,4},TTSSKĐ!T160,TTSSKĐ!X160,TTSSKĐ!AB160,TTSSKĐ!AF160))=12)*(CHOOSE({1,2,3,4},TTSSKĐ!W160,TTSSKĐ!AA160,TTSSKĐ!AE160,TTSSKĐ!AI160)))</f>
        <v>0</v>
      </c>
    </row>
    <row r="161" spans="1:12">
      <c r="A161">
        <f>SUMPRODUCT((MONTH(CHOOSE({1,2,3,4},TTSSKĐ!T161,TTSSKĐ!X161,TTSSKĐ!AB161,TTSSKĐ!AF161))=1)*(CHOOSE({1,2,3,4},TTSSKĐ!W161,TTSSKĐ!AA161,TTSSKĐ!AE161,TTSSKĐ!AI161)))</f>
        <v>0</v>
      </c>
      <c r="B161">
        <f>SUMPRODUCT((MONTH(CHOOSE({1,2,3,4},TTSSKĐ!T161,TTSSKĐ!X161,TTSSKĐ!AB161,TTSSKĐ!AF161))=2)*(CHOOSE({1,2,3,4},TTSSKĐ!W161,TTSSKĐ!AA161,TTSSKĐ!AE161,TTSSKĐ!AI161)))</f>
        <v>0</v>
      </c>
      <c r="C161">
        <f>SUMPRODUCT((MONTH(CHOOSE({1,2,3,4},TTSSKĐ!T161,TTSSKĐ!X161,TTSSKĐ!AB161,TTSSKĐ!AF161))=3)*(CHOOSE({1,2,3,4},TTSSKĐ!W161,TTSSKĐ!AA161,TTSSKĐ!AE161,TTSSKĐ!AI161)))</f>
        <v>0</v>
      </c>
      <c r="D161">
        <f>SUMPRODUCT((MONTH(CHOOSE({1,2,3,4},TTSSKĐ!T161,TTSSKĐ!X161,TTSSKĐ!AB161,TTSSKĐ!AF161))=4)*(CHOOSE({1,2,3,4},TTSSKĐ!W161,TTSSKĐ!AA161,TTSSKĐ!AE161,TTSSKĐ!AI161)))</f>
        <v>0</v>
      </c>
      <c r="E161">
        <f>SUMPRODUCT((MONTH(CHOOSE({1,2,3,4},TTSSKĐ!T161,TTSSKĐ!X161,TTSSKĐ!AB161,TTSSKĐ!AF161))=5)*(CHOOSE({1,2,3,4},TTSSKĐ!W161,TTSSKĐ!AA161,TTSSKĐ!AE161,TTSSKĐ!AI161)))</f>
        <v>0</v>
      </c>
      <c r="F161">
        <f>SUMPRODUCT((MONTH(CHOOSE({1,2,3,4},TTSSKĐ!T161,TTSSKĐ!X161,TTSSKĐ!AB161,TTSSKĐ!AF161))=6)*(CHOOSE({1,2,3,4},TTSSKĐ!W161,TTSSKĐ!AA161,TTSSKĐ!AE161,TTSSKĐ!AI161)))</f>
        <v>0</v>
      </c>
      <c r="G161">
        <f>SUMPRODUCT((MONTH(CHOOSE({1,2,3,4},TTSSKĐ!T161,TTSSKĐ!X161,TTSSKĐ!AB161,TTSSKĐ!AF161))=7)*(CHOOSE({1,2,3,4},TTSSKĐ!W161,TTSSKĐ!AA161,TTSSKĐ!AE161,TTSSKĐ!AI161)))</f>
        <v>0</v>
      </c>
      <c r="H161">
        <f>SUMPRODUCT((MONTH(CHOOSE({1,2,3,4},TTSSKĐ!T161,TTSSKĐ!X161,TTSSKĐ!AB161,TTSSKĐ!AF161))=8)*(CHOOSE({1,2,3,4},TTSSKĐ!W161,TTSSKĐ!AA161,TTSSKĐ!AE161,TTSSKĐ!AI161)))</f>
        <v>0</v>
      </c>
      <c r="I161">
        <f>SUMPRODUCT((MONTH(CHOOSE({1,2,3,4},TTSSKĐ!T161,TTSSKĐ!X161,TTSSKĐ!AB161,TTSSKĐ!AF161))=9)*(CHOOSE({1,2,3,4},TTSSKĐ!W161,TTSSKĐ!AA161,TTSSKĐ!AE161,TTSSKĐ!AI161)))</f>
        <v>0</v>
      </c>
      <c r="J161">
        <f>SUMPRODUCT((MONTH(CHOOSE({1,2,3,4},TTSSKĐ!T161,TTSSKĐ!X161,TTSSKĐ!AB161,TTSSKĐ!AF161))=10)*(CHOOSE({1,2,3,4},TTSSKĐ!W161,TTSSKĐ!AA161,TTSSKĐ!AE161,TTSSKĐ!AI161)))</f>
        <v>0</v>
      </c>
      <c r="K161">
        <f>SUMPRODUCT((MONTH(CHOOSE({1,2,3,4},TTSSKĐ!T161,TTSSKĐ!X161,TTSSKĐ!AB161,TTSSKĐ!AF161))=11)*(CHOOSE({1,2,3,4},TTSSKĐ!W161,TTSSKĐ!AA161,TTSSKĐ!AE161,TTSSKĐ!AI161)))</f>
        <v>0</v>
      </c>
      <c r="L161">
        <f>SUMPRODUCT((MONTH(CHOOSE({1,2,3,4},TTSSKĐ!T161,TTSSKĐ!X161,TTSSKĐ!AB161,TTSSKĐ!AF161))=12)*(CHOOSE({1,2,3,4},TTSSKĐ!W161,TTSSKĐ!AA161,TTSSKĐ!AE161,TTSSKĐ!AI161)))</f>
        <v>0</v>
      </c>
    </row>
    <row r="162" spans="1:12">
      <c r="A162">
        <f>SUMPRODUCT((MONTH(CHOOSE({1,2,3,4},TTSSKĐ!T162,TTSSKĐ!X162,TTSSKĐ!AB162,TTSSKĐ!AF162))=1)*(CHOOSE({1,2,3,4},TTSSKĐ!W162,TTSSKĐ!AA162,TTSSKĐ!AE162,TTSSKĐ!AI162)))</f>
        <v>0</v>
      </c>
      <c r="B162">
        <f>SUMPRODUCT((MONTH(CHOOSE({1,2,3,4},TTSSKĐ!T162,TTSSKĐ!X162,TTSSKĐ!AB162,TTSSKĐ!AF162))=2)*(CHOOSE({1,2,3,4},TTSSKĐ!W162,TTSSKĐ!AA162,TTSSKĐ!AE162,TTSSKĐ!AI162)))</f>
        <v>0</v>
      </c>
      <c r="C162">
        <f>SUMPRODUCT((MONTH(CHOOSE({1,2,3,4},TTSSKĐ!T162,TTSSKĐ!X162,TTSSKĐ!AB162,TTSSKĐ!AF162))=3)*(CHOOSE({1,2,3,4},TTSSKĐ!W162,TTSSKĐ!AA162,TTSSKĐ!AE162,TTSSKĐ!AI162)))</f>
        <v>0</v>
      </c>
      <c r="D162">
        <f>SUMPRODUCT((MONTH(CHOOSE({1,2,3,4},TTSSKĐ!T162,TTSSKĐ!X162,TTSSKĐ!AB162,TTSSKĐ!AF162))=4)*(CHOOSE({1,2,3,4},TTSSKĐ!W162,TTSSKĐ!AA162,TTSSKĐ!AE162,TTSSKĐ!AI162)))</f>
        <v>0</v>
      </c>
      <c r="E162">
        <f>SUMPRODUCT((MONTH(CHOOSE({1,2,3,4},TTSSKĐ!T162,TTSSKĐ!X162,TTSSKĐ!AB162,TTSSKĐ!AF162))=5)*(CHOOSE({1,2,3,4},TTSSKĐ!W162,TTSSKĐ!AA162,TTSSKĐ!AE162,TTSSKĐ!AI162)))</f>
        <v>0</v>
      </c>
      <c r="F162">
        <f>SUMPRODUCT((MONTH(CHOOSE({1,2,3,4},TTSSKĐ!T162,TTSSKĐ!X162,TTSSKĐ!AB162,TTSSKĐ!AF162))=6)*(CHOOSE({1,2,3,4},TTSSKĐ!W162,TTSSKĐ!AA162,TTSSKĐ!AE162,TTSSKĐ!AI162)))</f>
        <v>0</v>
      </c>
      <c r="G162">
        <f>SUMPRODUCT((MONTH(CHOOSE({1,2,3,4},TTSSKĐ!T162,TTSSKĐ!X162,TTSSKĐ!AB162,TTSSKĐ!AF162))=7)*(CHOOSE({1,2,3,4},TTSSKĐ!W162,TTSSKĐ!AA162,TTSSKĐ!AE162,TTSSKĐ!AI162)))</f>
        <v>0</v>
      </c>
      <c r="H162">
        <f>SUMPRODUCT((MONTH(CHOOSE({1,2,3,4},TTSSKĐ!T162,TTSSKĐ!X162,TTSSKĐ!AB162,TTSSKĐ!AF162))=8)*(CHOOSE({1,2,3,4},TTSSKĐ!W162,TTSSKĐ!AA162,TTSSKĐ!AE162,TTSSKĐ!AI162)))</f>
        <v>0</v>
      </c>
      <c r="I162">
        <f>SUMPRODUCT((MONTH(CHOOSE({1,2,3,4},TTSSKĐ!T162,TTSSKĐ!X162,TTSSKĐ!AB162,TTSSKĐ!AF162))=9)*(CHOOSE({1,2,3,4},TTSSKĐ!W162,TTSSKĐ!AA162,TTSSKĐ!AE162,TTSSKĐ!AI162)))</f>
        <v>0</v>
      </c>
      <c r="J162">
        <f>SUMPRODUCT((MONTH(CHOOSE({1,2,3,4},TTSSKĐ!T162,TTSSKĐ!X162,TTSSKĐ!AB162,TTSSKĐ!AF162))=10)*(CHOOSE({1,2,3,4},TTSSKĐ!W162,TTSSKĐ!AA162,TTSSKĐ!AE162,TTSSKĐ!AI162)))</f>
        <v>0</v>
      </c>
      <c r="K162">
        <f>SUMPRODUCT((MONTH(CHOOSE({1,2,3,4},TTSSKĐ!T162,TTSSKĐ!X162,TTSSKĐ!AB162,TTSSKĐ!AF162))=11)*(CHOOSE({1,2,3,4},TTSSKĐ!W162,TTSSKĐ!AA162,TTSSKĐ!AE162,TTSSKĐ!AI162)))</f>
        <v>0</v>
      </c>
      <c r="L162">
        <f>SUMPRODUCT((MONTH(CHOOSE({1,2,3,4},TTSSKĐ!T162,TTSSKĐ!X162,TTSSKĐ!AB162,TTSSKĐ!AF162))=12)*(CHOOSE({1,2,3,4},TTSSKĐ!W162,TTSSKĐ!AA162,TTSSKĐ!AE162,TTSSKĐ!AI162)))</f>
        <v>0</v>
      </c>
    </row>
    <row r="163" spans="1:12">
      <c r="A163">
        <f>SUMPRODUCT((MONTH(CHOOSE({1,2,3,4},TTSSKĐ!T163,TTSSKĐ!X163,TTSSKĐ!AB163,TTSSKĐ!AF163))=1)*(CHOOSE({1,2,3,4},TTSSKĐ!W163,TTSSKĐ!AA163,TTSSKĐ!AE163,TTSSKĐ!AI163)))</f>
        <v>0</v>
      </c>
      <c r="B163">
        <f>SUMPRODUCT((MONTH(CHOOSE({1,2,3,4},TTSSKĐ!T163,TTSSKĐ!X163,TTSSKĐ!AB163,TTSSKĐ!AF163))=2)*(CHOOSE({1,2,3,4},TTSSKĐ!W163,TTSSKĐ!AA163,TTSSKĐ!AE163,TTSSKĐ!AI163)))</f>
        <v>0</v>
      </c>
      <c r="C163">
        <f>SUMPRODUCT((MONTH(CHOOSE({1,2,3,4},TTSSKĐ!T163,TTSSKĐ!X163,TTSSKĐ!AB163,TTSSKĐ!AF163))=3)*(CHOOSE({1,2,3,4},TTSSKĐ!W163,TTSSKĐ!AA163,TTSSKĐ!AE163,TTSSKĐ!AI163)))</f>
        <v>0</v>
      </c>
      <c r="D163">
        <f>SUMPRODUCT((MONTH(CHOOSE({1,2,3,4},TTSSKĐ!T163,TTSSKĐ!X163,TTSSKĐ!AB163,TTSSKĐ!AF163))=4)*(CHOOSE({1,2,3,4},TTSSKĐ!W163,TTSSKĐ!AA163,TTSSKĐ!AE163,TTSSKĐ!AI163)))</f>
        <v>0</v>
      </c>
      <c r="E163">
        <f>SUMPRODUCT((MONTH(CHOOSE({1,2,3,4},TTSSKĐ!T163,TTSSKĐ!X163,TTSSKĐ!AB163,TTSSKĐ!AF163))=5)*(CHOOSE({1,2,3,4},TTSSKĐ!W163,TTSSKĐ!AA163,TTSSKĐ!AE163,TTSSKĐ!AI163)))</f>
        <v>0</v>
      </c>
      <c r="F163">
        <f>SUMPRODUCT((MONTH(CHOOSE({1,2,3,4},TTSSKĐ!T163,TTSSKĐ!X163,TTSSKĐ!AB163,TTSSKĐ!AF163))=6)*(CHOOSE({1,2,3,4},TTSSKĐ!W163,TTSSKĐ!AA163,TTSSKĐ!AE163,TTSSKĐ!AI163)))</f>
        <v>0</v>
      </c>
      <c r="G163">
        <f>SUMPRODUCT((MONTH(CHOOSE({1,2,3,4},TTSSKĐ!T163,TTSSKĐ!X163,TTSSKĐ!AB163,TTSSKĐ!AF163))=7)*(CHOOSE({1,2,3,4},TTSSKĐ!W163,TTSSKĐ!AA163,TTSSKĐ!AE163,TTSSKĐ!AI163)))</f>
        <v>0</v>
      </c>
      <c r="H163">
        <f>SUMPRODUCT((MONTH(CHOOSE({1,2,3,4},TTSSKĐ!T163,TTSSKĐ!X163,TTSSKĐ!AB163,TTSSKĐ!AF163))=8)*(CHOOSE({1,2,3,4},TTSSKĐ!W163,TTSSKĐ!AA163,TTSSKĐ!AE163,TTSSKĐ!AI163)))</f>
        <v>0</v>
      </c>
      <c r="I163">
        <f>SUMPRODUCT((MONTH(CHOOSE({1,2,3,4},TTSSKĐ!T163,TTSSKĐ!X163,TTSSKĐ!AB163,TTSSKĐ!AF163))=9)*(CHOOSE({1,2,3,4},TTSSKĐ!W163,TTSSKĐ!AA163,TTSSKĐ!AE163,TTSSKĐ!AI163)))</f>
        <v>0</v>
      </c>
      <c r="J163">
        <f>SUMPRODUCT((MONTH(CHOOSE({1,2,3,4},TTSSKĐ!T163,TTSSKĐ!X163,TTSSKĐ!AB163,TTSSKĐ!AF163))=10)*(CHOOSE({1,2,3,4},TTSSKĐ!W163,TTSSKĐ!AA163,TTSSKĐ!AE163,TTSSKĐ!AI163)))</f>
        <v>0</v>
      </c>
      <c r="K163">
        <f>SUMPRODUCT((MONTH(CHOOSE({1,2,3,4},TTSSKĐ!T163,TTSSKĐ!X163,TTSSKĐ!AB163,TTSSKĐ!AF163))=11)*(CHOOSE({1,2,3,4},TTSSKĐ!W163,TTSSKĐ!AA163,TTSSKĐ!AE163,TTSSKĐ!AI163)))</f>
        <v>0</v>
      </c>
      <c r="L163">
        <f>SUMPRODUCT((MONTH(CHOOSE({1,2,3,4},TTSSKĐ!T163,TTSSKĐ!X163,TTSSKĐ!AB163,TTSSKĐ!AF163))=12)*(CHOOSE({1,2,3,4},TTSSKĐ!W163,TTSSKĐ!AA163,TTSSKĐ!AE163,TTSSKĐ!AI163)))</f>
        <v>0</v>
      </c>
    </row>
    <row r="164" spans="1:12">
      <c r="A164">
        <f>SUMPRODUCT((MONTH(CHOOSE({1,2,3,4},TTSSKĐ!T164,TTSSKĐ!X164,TTSSKĐ!AB164,TTSSKĐ!AF164))=1)*(CHOOSE({1,2,3,4},TTSSKĐ!W164,TTSSKĐ!AA164,TTSSKĐ!AE164,TTSSKĐ!AI164)))</f>
        <v>0</v>
      </c>
      <c r="B164">
        <f>SUMPRODUCT((MONTH(CHOOSE({1,2,3,4},TTSSKĐ!T164,TTSSKĐ!X164,TTSSKĐ!AB164,TTSSKĐ!AF164))=2)*(CHOOSE({1,2,3,4},TTSSKĐ!W164,TTSSKĐ!AA164,TTSSKĐ!AE164,TTSSKĐ!AI164)))</f>
        <v>0</v>
      </c>
      <c r="C164">
        <f>SUMPRODUCT((MONTH(CHOOSE({1,2,3,4},TTSSKĐ!T164,TTSSKĐ!X164,TTSSKĐ!AB164,TTSSKĐ!AF164))=3)*(CHOOSE({1,2,3,4},TTSSKĐ!W164,TTSSKĐ!AA164,TTSSKĐ!AE164,TTSSKĐ!AI164)))</f>
        <v>0</v>
      </c>
      <c r="D164">
        <f>SUMPRODUCT((MONTH(CHOOSE({1,2,3,4},TTSSKĐ!T164,TTSSKĐ!X164,TTSSKĐ!AB164,TTSSKĐ!AF164))=4)*(CHOOSE({1,2,3,4},TTSSKĐ!W164,TTSSKĐ!AA164,TTSSKĐ!AE164,TTSSKĐ!AI164)))</f>
        <v>0</v>
      </c>
      <c r="E164">
        <f>SUMPRODUCT((MONTH(CHOOSE({1,2,3,4},TTSSKĐ!T164,TTSSKĐ!X164,TTSSKĐ!AB164,TTSSKĐ!AF164))=5)*(CHOOSE({1,2,3,4},TTSSKĐ!W164,TTSSKĐ!AA164,TTSSKĐ!AE164,TTSSKĐ!AI164)))</f>
        <v>0</v>
      </c>
      <c r="F164">
        <f>SUMPRODUCT((MONTH(CHOOSE({1,2,3,4},TTSSKĐ!T164,TTSSKĐ!X164,TTSSKĐ!AB164,TTSSKĐ!AF164))=6)*(CHOOSE({1,2,3,4},TTSSKĐ!W164,TTSSKĐ!AA164,TTSSKĐ!AE164,TTSSKĐ!AI164)))</f>
        <v>0</v>
      </c>
      <c r="G164">
        <f>SUMPRODUCT((MONTH(CHOOSE({1,2,3,4},TTSSKĐ!T164,TTSSKĐ!X164,TTSSKĐ!AB164,TTSSKĐ!AF164))=7)*(CHOOSE({1,2,3,4},TTSSKĐ!W164,TTSSKĐ!AA164,TTSSKĐ!AE164,TTSSKĐ!AI164)))</f>
        <v>0</v>
      </c>
      <c r="H164">
        <f>SUMPRODUCT((MONTH(CHOOSE({1,2,3,4},TTSSKĐ!T164,TTSSKĐ!X164,TTSSKĐ!AB164,TTSSKĐ!AF164))=8)*(CHOOSE({1,2,3,4},TTSSKĐ!W164,TTSSKĐ!AA164,TTSSKĐ!AE164,TTSSKĐ!AI164)))</f>
        <v>0</v>
      </c>
      <c r="I164">
        <f>SUMPRODUCT((MONTH(CHOOSE({1,2,3,4},TTSSKĐ!T164,TTSSKĐ!X164,TTSSKĐ!AB164,TTSSKĐ!AF164))=9)*(CHOOSE({1,2,3,4},TTSSKĐ!W164,TTSSKĐ!AA164,TTSSKĐ!AE164,TTSSKĐ!AI164)))</f>
        <v>0</v>
      </c>
      <c r="J164">
        <f>SUMPRODUCT((MONTH(CHOOSE({1,2,3,4},TTSSKĐ!T164,TTSSKĐ!X164,TTSSKĐ!AB164,TTSSKĐ!AF164))=10)*(CHOOSE({1,2,3,4},TTSSKĐ!W164,TTSSKĐ!AA164,TTSSKĐ!AE164,TTSSKĐ!AI164)))</f>
        <v>0</v>
      </c>
      <c r="K164">
        <f>SUMPRODUCT((MONTH(CHOOSE({1,2,3,4},TTSSKĐ!T164,TTSSKĐ!X164,TTSSKĐ!AB164,TTSSKĐ!AF164))=11)*(CHOOSE({1,2,3,4},TTSSKĐ!W164,TTSSKĐ!AA164,TTSSKĐ!AE164,TTSSKĐ!AI164)))</f>
        <v>0</v>
      </c>
      <c r="L164">
        <f>SUMPRODUCT((MONTH(CHOOSE({1,2,3,4},TTSSKĐ!T164,TTSSKĐ!X164,TTSSKĐ!AB164,TTSSKĐ!AF164))=12)*(CHOOSE({1,2,3,4},TTSSKĐ!W164,TTSSKĐ!AA164,TTSSKĐ!AE164,TTSSKĐ!AI164)))</f>
        <v>0</v>
      </c>
    </row>
    <row r="165" spans="1:12">
      <c r="A165">
        <f>SUMPRODUCT((MONTH(CHOOSE({1,2,3,4},TTSSKĐ!T165,TTSSKĐ!X165,TTSSKĐ!AB165,TTSSKĐ!AF165))=1)*(CHOOSE({1,2,3,4},TTSSKĐ!W165,TTSSKĐ!AA165,TTSSKĐ!AE165,TTSSKĐ!AI165)))</f>
        <v>0</v>
      </c>
      <c r="B165">
        <f>SUMPRODUCT((MONTH(CHOOSE({1,2,3,4},TTSSKĐ!T165,TTSSKĐ!X165,TTSSKĐ!AB165,TTSSKĐ!AF165))=2)*(CHOOSE({1,2,3,4},TTSSKĐ!W165,TTSSKĐ!AA165,TTSSKĐ!AE165,TTSSKĐ!AI165)))</f>
        <v>0</v>
      </c>
      <c r="C165">
        <f>SUMPRODUCT((MONTH(CHOOSE({1,2,3,4},TTSSKĐ!T165,TTSSKĐ!X165,TTSSKĐ!AB165,TTSSKĐ!AF165))=3)*(CHOOSE({1,2,3,4},TTSSKĐ!W165,TTSSKĐ!AA165,TTSSKĐ!AE165,TTSSKĐ!AI165)))</f>
        <v>0</v>
      </c>
      <c r="D165">
        <f>SUMPRODUCT((MONTH(CHOOSE({1,2,3,4},TTSSKĐ!T165,TTSSKĐ!X165,TTSSKĐ!AB165,TTSSKĐ!AF165))=4)*(CHOOSE({1,2,3,4},TTSSKĐ!W165,TTSSKĐ!AA165,TTSSKĐ!AE165,TTSSKĐ!AI165)))</f>
        <v>0</v>
      </c>
      <c r="E165">
        <f>SUMPRODUCT((MONTH(CHOOSE({1,2,3,4},TTSSKĐ!T165,TTSSKĐ!X165,TTSSKĐ!AB165,TTSSKĐ!AF165))=5)*(CHOOSE({1,2,3,4},TTSSKĐ!W165,TTSSKĐ!AA165,TTSSKĐ!AE165,TTSSKĐ!AI165)))</f>
        <v>0</v>
      </c>
      <c r="F165">
        <f>SUMPRODUCT((MONTH(CHOOSE({1,2,3,4},TTSSKĐ!T165,TTSSKĐ!X165,TTSSKĐ!AB165,TTSSKĐ!AF165))=6)*(CHOOSE({1,2,3,4},TTSSKĐ!W165,TTSSKĐ!AA165,TTSSKĐ!AE165,TTSSKĐ!AI165)))</f>
        <v>0</v>
      </c>
      <c r="G165">
        <f>SUMPRODUCT((MONTH(CHOOSE({1,2,3,4},TTSSKĐ!T165,TTSSKĐ!X165,TTSSKĐ!AB165,TTSSKĐ!AF165))=7)*(CHOOSE({1,2,3,4},TTSSKĐ!W165,TTSSKĐ!AA165,TTSSKĐ!AE165,TTSSKĐ!AI165)))</f>
        <v>0</v>
      </c>
      <c r="H165">
        <f>SUMPRODUCT((MONTH(CHOOSE({1,2,3,4},TTSSKĐ!T165,TTSSKĐ!X165,TTSSKĐ!AB165,TTSSKĐ!AF165))=8)*(CHOOSE({1,2,3,4},TTSSKĐ!W165,TTSSKĐ!AA165,TTSSKĐ!AE165,TTSSKĐ!AI165)))</f>
        <v>0</v>
      </c>
      <c r="I165">
        <f>SUMPRODUCT((MONTH(CHOOSE({1,2,3,4},TTSSKĐ!T165,TTSSKĐ!X165,TTSSKĐ!AB165,TTSSKĐ!AF165))=9)*(CHOOSE({1,2,3,4},TTSSKĐ!W165,TTSSKĐ!AA165,TTSSKĐ!AE165,TTSSKĐ!AI165)))</f>
        <v>0</v>
      </c>
      <c r="J165">
        <f>SUMPRODUCT((MONTH(CHOOSE({1,2,3,4},TTSSKĐ!T165,TTSSKĐ!X165,TTSSKĐ!AB165,TTSSKĐ!AF165))=10)*(CHOOSE({1,2,3,4},TTSSKĐ!W165,TTSSKĐ!AA165,TTSSKĐ!AE165,TTSSKĐ!AI165)))</f>
        <v>0</v>
      </c>
      <c r="K165">
        <f>SUMPRODUCT((MONTH(CHOOSE({1,2,3,4},TTSSKĐ!T165,TTSSKĐ!X165,TTSSKĐ!AB165,TTSSKĐ!AF165))=11)*(CHOOSE({1,2,3,4},TTSSKĐ!W165,TTSSKĐ!AA165,TTSSKĐ!AE165,TTSSKĐ!AI165)))</f>
        <v>0</v>
      </c>
      <c r="L165">
        <f>SUMPRODUCT((MONTH(CHOOSE({1,2,3,4},TTSSKĐ!T165,TTSSKĐ!X165,TTSSKĐ!AB165,TTSSKĐ!AF165))=12)*(CHOOSE({1,2,3,4},TTSSKĐ!W165,TTSSKĐ!AA165,TTSSKĐ!AE165,TTSSKĐ!AI165)))</f>
        <v>0</v>
      </c>
    </row>
    <row r="166" spans="1:12">
      <c r="A166">
        <f>SUMPRODUCT((MONTH(CHOOSE({1,2,3,4},TTSSKĐ!T166,TTSSKĐ!X166,TTSSKĐ!AB166,TTSSKĐ!AF166))=1)*(CHOOSE({1,2,3,4},TTSSKĐ!W166,TTSSKĐ!AA166,TTSSKĐ!AE166,TTSSKĐ!AI166)))</f>
        <v>0</v>
      </c>
      <c r="B166">
        <f>SUMPRODUCT((MONTH(CHOOSE({1,2,3,4},TTSSKĐ!T166,TTSSKĐ!X166,TTSSKĐ!AB166,TTSSKĐ!AF166))=2)*(CHOOSE({1,2,3,4},TTSSKĐ!W166,TTSSKĐ!AA166,TTSSKĐ!AE166,TTSSKĐ!AI166)))</f>
        <v>0</v>
      </c>
      <c r="C166">
        <f>SUMPRODUCT((MONTH(CHOOSE({1,2,3,4},TTSSKĐ!T166,TTSSKĐ!X166,TTSSKĐ!AB166,TTSSKĐ!AF166))=3)*(CHOOSE({1,2,3,4},TTSSKĐ!W166,TTSSKĐ!AA166,TTSSKĐ!AE166,TTSSKĐ!AI166)))</f>
        <v>0</v>
      </c>
      <c r="D166">
        <f>SUMPRODUCT((MONTH(CHOOSE({1,2,3,4},TTSSKĐ!T166,TTSSKĐ!X166,TTSSKĐ!AB166,TTSSKĐ!AF166))=4)*(CHOOSE({1,2,3,4},TTSSKĐ!W166,TTSSKĐ!AA166,TTSSKĐ!AE166,TTSSKĐ!AI166)))</f>
        <v>0</v>
      </c>
      <c r="E166">
        <f>SUMPRODUCT((MONTH(CHOOSE({1,2,3,4},TTSSKĐ!T166,TTSSKĐ!X166,TTSSKĐ!AB166,TTSSKĐ!AF166))=5)*(CHOOSE({1,2,3,4},TTSSKĐ!W166,TTSSKĐ!AA166,TTSSKĐ!AE166,TTSSKĐ!AI166)))</f>
        <v>0</v>
      </c>
      <c r="F166">
        <f>SUMPRODUCT((MONTH(CHOOSE({1,2,3,4},TTSSKĐ!T166,TTSSKĐ!X166,TTSSKĐ!AB166,TTSSKĐ!AF166))=6)*(CHOOSE({1,2,3,4},TTSSKĐ!W166,TTSSKĐ!AA166,TTSSKĐ!AE166,TTSSKĐ!AI166)))</f>
        <v>0</v>
      </c>
      <c r="G166">
        <f>SUMPRODUCT((MONTH(CHOOSE({1,2,3,4},TTSSKĐ!T166,TTSSKĐ!X166,TTSSKĐ!AB166,TTSSKĐ!AF166))=7)*(CHOOSE({1,2,3,4},TTSSKĐ!W166,TTSSKĐ!AA166,TTSSKĐ!AE166,TTSSKĐ!AI166)))</f>
        <v>0</v>
      </c>
      <c r="H166">
        <f>SUMPRODUCT((MONTH(CHOOSE({1,2,3,4},TTSSKĐ!T166,TTSSKĐ!X166,TTSSKĐ!AB166,TTSSKĐ!AF166))=8)*(CHOOSE({1,2,3,4},TTSSKĐ!W166,TTSSKĐ!AA166,TTSSKĐ!AE166,TTSSKĐ!AI166)))</f>
        <v>0</v>
      </c>
      <c r="I166">
        <f>SUMPRODUCT((MONTH(CHOOSE({1,2,3,4},TTSSKĐ!T166,TTSSKĐ!X166,TTSSKĐ!AB166,TTSSKĐ!AF166))=9)*(CHOOSE({1,2,3,4},TTSSKĐ!W166,TTSSKĐ!AA166,TTSSKĐ!AE166,TTSSKĐ!AI166)))</f>
        <v>0</v>
      </c>
      <c r="J166">
        <f>SUMPRODUCT((MONTH(CHOOSE({1,2,3,4},TTSSKĐ!T166,TTSSKĐ!X166,TTSSKĐ!AB166,TTSSKĐ!AF166))=10)*(CHOOSE({1,2,3,4},TTSSKĐ!W166,TTSSKĐ!AA166,TTSSKĐ!AE166,TTSSKĐ!AI166)))</f>
        <v>0</v>
      </c>
      <c r="K166">
        <f>SUMPRODUCT((MONTH(CHOOSE({1,2,3,4},TTSSKĐ!T166,TTSSKĐ!X166,TTSSKĐ!AB166,TTSSKĐ!AF166))=11)*(CHOOSE({1,2,3,4},TTSSKĐ!W166,TTSSKĐ!AA166,TTSSKĐ!AE166,TTSSKĐ!AI166)))</f>
        <v>0</v>
      </c>
      <c r="L166">
        <f>SUMPRODUCT((MONTH(CHOOSE({1,2,3,4},TTSSKĐ!T166,TTSSKĐ!X166,TTSSKĐ!AB166,TTSSKĐ!AF166))=12)*(CHOOSE({1,2,3,4},TTSSKĐ!W166,TTSSKĐ!AA166,TTSSKĐ!AE166,TTSSKĐ!AI166)))</f>
        <v>0</v>
      </c>
    </row>
    <row r="167" spans="1:12">
      <c r="A167">
        <f>SUMPRODUCT((MONTH(CHOOSE({1,2,3,4},TTSSKĐ!T167,TTSSKĐ!X167,TTSSKĐ!AB167,TTSSKĐ!AF167))=1)*(CHOOSE({1,2,3,4},TTSSKĐ!W167,TTSSKĐ!AA167,TTSSKĐ!AE167,TTSSKĐ!AI167)))</f>
        <v>0</v>
      </c>
      <c r="B167">
        <f>SUMPRODUCT((MONTH(CHOOSE({1,2,3,4},TTSSKĐ!T167,TTSSKĐ!X167,TTSSKĐ!AB167,TTSSKĐ!AF167))=2)*(CHOOSE({1,2,3,4},TTSSKĐ!W167,TTSSKĐ!AA167,TTSSKĐ!AE167,TTSSKĐ!AI167)))</f>
        <v>0</v>
      </c>
      <c r="C167">
        <f>SUMPRODUCT((MONTH(CHOOSE({1,2,3,4},TTSSKĐ!T167,TTSSKĐ!X167,TTSSKĐ!AB167,TTSSKĐ!AF167))=3)*(CHOOSE({1,2,3,4},TTSSKĐ!W167,TTSSKĐ!AA167,TTSSKĐ!AE167,TTSSKĐ!AI167)))</f>
        <v>0</v>
      </c>
      <c r="D167">
        <f>SUMPRODUCT((MONTH(CHOOSE({1,2,3,4},TTSSKĐ!T167,TTSSKĐ!X167,TTSSKĐ!AB167,TTSSKĐ!AF167))=4)*(CHOOSE({1,2,3,4},TTSSKĐ!W167,TTSSKĐ!AA167,TTSSKĐ!AE167,TTSSKĐ!AI167)))</f>
        <v>0</v>
      </c>
      <c r="E167">
        <f>SUMPRODUCT((MONTH(CHOOSE({1,2,3,4},TTSSKĐ!T167,TTSSKĐ!X167,TTSSKĐ!AB167,TTSSKĐ!AF167))=5)*(CHOOSE({1,2,3,4},TTSSKĐ!W167,TTSSKĐ!AA167,TTSSKĐ!AE167,TTSSKĐ!AI167)))</f>
        <v>0</v>
      </c>
      <c r="F167">
        <f>SUMPRODUCT((MONTH(CHOOSE({1,2,3,4},TTSSKĐ!T167,TTSSKĐ!X167,TTSSKĐ!AB167,TTSSKĐ!AF167))=6)*(CHOOSE({1,2,3,4},TTSSKĐ!W167,TTSSKĐ!AA167,TTSSKĐ!AE167,TTSSKĐ!AI167)))</f>
        <v>0</v>
      </c>
      <c r="G167">
        <f>SUMPRODUCT((MONTH(CHOOSE({1,2,3,4},TTSSKĐ!T167,TTSSKĐ!X167,TTSSKĐ!AB167,TTSSKĐ!AF167))=7)*(CHOOSE({1,2,3,4},TTSSKĐ!W167,TTSSKĐ!AA167,TTSSKĐ!AE167,TTSSKĐ!AI167)))</f>
        <v>0</v>
      </c>
      <c r="H167">
        <f>SUMPRODUCT((MONTH(CHOOSE({1,2,3,4},TTSSKĐ!T167,TTSSKĐ!X167,TTSSKĐ!AB167,TTSSKĐ!AF167))=8)*(CHOOSE({1,2,3,4},TTSSKĐ!W167,TTSSKĐ!AA167,TTSSKĐ!AE167,TTSSKĐ!AI167)))</f>
        <v>0</v>
      </c>
      <c r="I167">
        <f>SUMPRODUCT((MONTH(CHOOSE({1,2,3,4},TTSSKĐ!T167,TTSSKĐ!X167,TTSSKĐ!AB167,TTSSKĐ!AF167))=9)*(CHOOSE({1,2,3,4},TTSSKĐ!W167,TTSSKĐ!AA167,TTSSKĐ!AE167,TTSSKĐ!AI167)))</f>
        <v>0</v>
      </c>
      <c r="J167">
        <f>SUMPRODUCT((MONTH(CHOOSE({1,2,3,4},TTSSKĐ!T167,TTSSKĐ!X167,TTSSKĐ!AB167,TTSSKĐ!AF167))=10)*(CHOOSE({1,2,3,4},TTSSKĐ!W167,TTSSKĐ!AA167,TTSSKĐ!AE167,TTSSKĐ!AI167)))</f>
        <v>0</v>
      </c>
      <c r="K167">
        <f>SUMPRODUCT((MONTH(CHOOSE({1,2,3,4},TTSSKĐ!T167,TTSSKĐ!X167,TTSSKĐ!AB167,TTSSKĐ!AF167))=11)*(CHOOSE({1,2,3,4},TTSSKĐ!W167,TTSSKĐ!AA167,TTSSKĐ!AE167,TTSSKĐ!AI167)))</f>
        <v>0</v>
      </c>
      <c r="L167">
        <f>SUMPRODUCT((MONTH(CHOOSE({1,2,3,4},TTSSKĐ!T167,TTSSKĐ!X167,TTSSKĐ!AB167,TTSSKĐ!AF167))=12)*(CHOOSE({1,2,3,4},TTSSKĐ!W167,TTSSKĐ!AA167,TTSSKĐ!AE167,TTSSKĐ!AI167)))</f>
        <v>0</v>
      </c>
    </row>
    <row r="168" spans="1:12">
      <c r="A168">
        <f>SUMPRODUCT((MONTH(CHOOSE({1,2,3,4},TTSSKĐ!T168,TTSSKĐ!X168,TTSSKĐ!AB168,TTSSKĐ!AF168))=1)*(CHOOSE({1,2,3,4},TTSSKĐ!W168,TTSSKĐ!AA168,TTSSKĐ!AE168,TTSSKĐ!AI168)))</f>
        <v>0</v>
      </c>
      <c r="B168">
        <f>SUMPRODUCT((MONTH(CHOOSE({1,2,3,4},TTSSKĐ!T168,TTSSKĐ!X168,TTSSKĐ!AB168,TTSSKĐ!AF168))=2)*(CHOOSE({1,2,3,4},TTSSKĐ!W168,TTSSKĐ!AA168,TTSSKĐ!AE168,TTSSKĐ!AI168)))</f>
        <v>0</v>
      </c>
      <c r="C168">
        <f>SUMPRODUCT((MONTH(CHOOSE({1,2,3,4},TTSSKĐ!T168,TTSSKĐ!X168,TTSSKĐ!AB168,TTSSKĐ!AF168))=3)*(CHOOSE({1,2,3,4},TTSSKĐ!W168,TTSSKĐ!AA168,TTSSKĐ!AE168,TTSSKĐ!AI168)))</f>
        <v>0</v>
      </c>
      <c r="D168">
        <f>SUMPRODUCT((MONTH(CHOOSE({1,2,3,4},TTSSKĐ!T168,TTSSKĐ!X168,TTSSKĐ!AB168,TTSSKĐ!AF168))=4)*(CHOOSE({1,2,3,4},TTSSKĐ!W168,TTSSKĐ!AA168,TTSSKĐ!AE168,TTSSKĐ!AI168)))</f>
        <v>0</v>
      </c>
      <c r="E168">
        <f>SUMPRODUCT((MONTH(CHOOSE({1,2,3,4},TTSSKĐ!T168,TTSSKĐ!X168,TTSSKĐ!AB168,TTSSKĐ!AF168))=5)*(CHOOSE({1,2,3,4},TTSSKĐ!W168,TTSSKĐ!AA168,TTSSKĐ!AE168,TTSSKĐ!AI168)))</f>
        <v>0</v>
      </c>
      <c r="F168">
        <f>SUMPRODUCT((MONTH(CHOOSE({1,2,3,4},TTSSKĐ!T168,TTSSKĐ!X168,TTSSKĐ!AB168,TTSSKĐ!AF168))=6)*(CHOOSE({1,2,3,4},TTSSKĐ!W168,TTSSKĐ!AA168,TTSSKĐ!AE168,TTSSKĐ!AI168)))</f>
        <v>0</v>
      </c>
      <c r="G168">
        <f>SUMPRODUCT((MONTH(CHOOSE({1,2,3,4},TTSSKĐ!T168,TTSSKĐ!X168,TTSSKĐ!AB168,TTSSKĐ!AF168))=7)*(CHOOSE({1,2,3,4},TTSSKĐ!W168,TTSSKĐ!AA168,TTSSKĐ!AE168,TTSSKĐ!AI168)))</f>
        <v>0</v>
      </c>
      <c r="H168">
        <f>SUMPRODUCT((MONTH(CHOOSE({1,2,3,4},TTSSKĐ!T168,TTSSKĐ!X168,TTSSKĐ!AB168,TTSSKĐ!AF168))=8)*(CHOOSE({1,2,3,4},TTSSKĐ!W168,TTSSKĐ!AA168,TTSSKĐ!AE168,TTSSKĐ!AI168)))</f>
        <v>0</v>
      </c>
      <c r="I168">
        <f>SUMPRODUCT((MONTH(CHOOSE({1,2,3,4},TTSSKĐ!T168,TTSSKĐ!X168,TTSSKĐ!AB168,TTSSKĐ!AF168))=9)*(CHOOSE({1,2,3,4},TTSSKĐ!W168,TTSSKĐ!AA168,TTSSKĐ!AE168,TTSSKĐ!AI168)))</f>
        <v>0</v>
      </c>
      <c r="J168">
        <f>SUMPRODUCT((MONTH(CHOOSE({1,2,3,4},TTSSKĐ!T168,TTSSKĐ!X168,TTSSKĐ!AB168,TTSSKĐ!AF168))=10)*(CHOOSE({1,2,3,4},TTSSKĐ!W168,TTSSKĐ!AA168,TTSSKĐ!AE168,TTSSKĐ!AI168)))</f>
        <v>0</v>
      </c>
      <c r="K168">
        <f>SUMPRODUCT((MONTH(CHOOSE({1,2,3,4},TTSSKĐ!T168,TTSSKĐ!X168,TTSSKĐ!AB168,TTSSKĐ!AF168))=11)*(CHOOSE({1,2,3,4},TTSSKĐ!W168,TTSSKĐ!AA168,TTSSKĐ!AE168,TTSSKĐ!AI168)))</f>
        <v>0</v>
      </c>
      <c r="L168">
        <f>SUMPRODUCT((MONTH(CHOOSE({1,2,3,4},TTSSKĐ!T168,TTSSKĐ!X168,TTSSKĐ!AB168,TTSSKĐ!AF168))=12)*(CHOOSE({1,2,3,4},TTSSKĐ!W168,TTSSKĐ!AA168,TTSSKĐ!AE168,TTSSKĐ!AI168)))</f>
        <v>0</v>
      </c>
    </row>
    <row r="169" spans="1:12">
      <c r="A169">
        <f>SUMPRODUCT((MONTH(CHOOSE({1,2,3,4},TTSSKĐ!T169,TTSSKĐ!X169,TTSSKĐ!AB169,TTSSKĐ!AF169))=1)*(CHOOSE({1,2,3,4},TTSSKĐ!W169,TTSSKĐ!AA169,TTSSKĐ!AE169,TTSSKĐ!AI169)))</f>
        <v>0</v>
      </c>
      <c r="B169">
        <f>SUMPRODUCT((MONTH(CHOOSE({1,2,3,4},TTSSKĐ!T169,TTSSKĐ!X169,TTSSKĐ!AB169,TTSSKĐ!AF169))=2)*(CHOOSE({1,2,3,4},TTSSKĐ!W169,TTSSKĐ!AA169,TTSSKĐ!AE169,TTSSKĐ!AI169)))</f>
        <v>0</v>
      </c>
      <c r="C169">
        <f>SUMPRODUCT((MONTH(CHOOSE({1,2,3,4},TTSSKĐ!T169,TTSSKĐ!X169,TTSSKĐ!AB169,TTSSKĐ!AF169))=3)*(CHOOSE({1,2,3,4},TTSSKĐ!W169,TTSSKĐ!AA169,TTSSKĐ!AE169,TTSSKĐ!AI169)))</f>
        <v>0</v>
      </c>
      <c r="D169">
        <f>SUMPRODUCT((MONTH(CHOOSE({1,2,3,4},TTSSKĐ!T169,TTSSKĐ!X169,TTSSKĐ!AB169,TTSSKĐ!AF169))=4)*(CHOOSE({1,2,3,4},TTSSKĐ!W169,TTSSKĐ!AA169,TTSSKĐ!AE169,TTSSKĐ!AI169)))</f>
        <v>0</v>
      </c>
      <c r="E169">
        <f>SUMPRODUCT((MONTH(CHOOSE({1,2,3,4},TTSSKĐ!T169,TTSSKĐ!X169,TTSSKĐ!AB169,TTSSKĐ!AF169))=5)*(CHOOSE({1,2,3,4},TTSSKĐ!W169,TTSSKĐ!AA169,TTSSKĐ!AE169,TTSSKĐ!AI169)))</f>
        <v>0</v>
      </c>
      <c r="F169">
        <f>SUMPRODUCT((MONTH(CHOOSE({1,2,3,4},TTSSKĐ!T169,TTSSKĐ!X169,TTSSKĐ!AB169,TTSSKĐ!AF169))=6)*(CHOOSE({1,2,3,4},TTSSKĐ!W169,TTSSKĐ!AA169,TTSSKĐ!AE169,TTSSKĐ!AI169)))</f>
        <v>0</v>
      </c>
      <c r="G169">
        <f>SUMPRODUCT((MONTH(CHOOSE({1,2,3,4},TTSSKĐ!T169,TTSSKĐ!X169,TTSSKĐ!AB169,TTSSKĐ!AF169))=7)*(CHOOSE({1,2,3,4},TTSSKĐ!W169,TTSSKĐ!AA169,TTSSKĐ!AE169,TTSSKĐ!AI169)))</f>
        <v>0</v>
      </c>
      <c r="H169">
        <f>SUMPRODUCT((MONTH(CHOOSE({1,2,3,4},TTSSKĐ!T169,TTSSKĐ!X169,TTSSKĐ!AB169,TTSSKĐ!AF169))=8)*(CHOOSE({1,2,3,4},TTSSKĐ!W169,TTSSKĐ!AA169,TTSSKĐ!AE169,TTSSKĐ!AI169)))</f>
        <v>0</v>
      </c>
      <c r="I169">
        <f>SUMPRODUCT((MONTH(CHOOSE({1,2,3,4},TTSSKĐ!T169,TTSSKĐ!X169,TTSSKĐ!AB169,TTSSKĐ!AF169))=9)*(CHOOSE({1,2,3,4},TTSSKĐ!W169,TTSSKĐ!AA169,TTSSKĐ!AE169,TTSSKĐ!AI169)))</f>
        <v>0</v>
      </c>
      <c r="J169">
        <f>SUMPRODUCT((MONTH(CHOOSE({1,2,3,4},TTSSKĐ!T169,TTSSKĐ!X169,TTSSKĐ!AB169,TTSSKĐ!AF169))=10)*(CHOOSE({1,2,3,4},TTSSKĐ!W169,TTSSKĐ!AA169,TTSSKĐ!AE169,TTSSKĐ!AI169)))</f>
        <v>0</v>
      </c>
      <c r="K169">
        <f>SUMPRODUCT((MONTH(CHOOSE({1,2,3,4},TTSSKĐ!T169,TTSSKĐ!X169,TTSSKĐ!AB169,TTSSKĐ!AF169))=11)*(CHOOSE({1,2,3,4},TTSSKĐ!W169,TTSSKĐ!AA169,TTSSKĐ!AE169,TTSSKĐ!AI169)))</f>
        <v>0</v>
      </c>
      <c r="L169">
        <f>SUMPRODUCT((MONTH(CHOOSE({1,2,3,4},TTSSKĐ!T169,TTSSKĐ!X169,TTSSKĐ!AB169,TTSSKĐ!AF169))=12)*(CHOOSE({1,2,3,4},TTSSKĐ!W169,TTSSKĐ!AA169,TTSSKĐ!AE169,TTSSKĐ!AI169)))</f>
        <v>0</v>
      </c>
    </row>
    <row r="170" spans="1:12">
      <c r="A170">
        <f>SUMPRODUCT((MONTH(CHOOSE({1,2,3,4},TTSSKĐ!T170,TTSSKĐ!X170,TTSSKĐ!AB170,TTSSKĐ!AF170))=1)*(CHOOSE({1,2,3,4},TTSSKĐ!W170,TTSSKĐ!AA170,TTSSKĐ!AE170,TTSSKĐ!AI170)))</f>
        <v>0</v>
      </c>
      <c r="B170">
        <f>SUMPRODUCT((MONTH(CHOOSE({1,2,3,4},TTSSKĐ!T170,TTSSKĐ!X170,TTSSKĐ!AB170,TTSSKĐ!AF170))=2)*(CHOOSE({1,2,3,4},TTSSKĐ!W170,TTSSKĐ!AA170,TTSSKĐ!AE170,TTSSKĐ!AI170)))</f>
        <v>0</v>
      </c>
      <c r="C170">
        <f>SUMPRODUCT((MONTH(CHOOSE({1,2,3,4},TTSSKĐ!T170,TTSSKĐ!X170,TTSSKĐ!AB170,TTSSKĐ!AF170))=3)*(CHOOSE({1,2,3,4},TTSSKĐ!W170,TTSSKĐ!AA170,TTSSKĐ!AE170,TTSSKĐ!AI170)))</f>
        <v>0</v>
      </c>
      <c r="D170">
        <f>SUMPRODUCT((MONTH(CHOOSE({1,2,3,4},TTSSKĐ!T170,TTSSKĐ!X170,TTSSKĐ!AB170,TTSSKĐ!AF170))=4)*(CHOOSE({1,2,3,4},TTSSKĐ!W170,TTSSKĐ!AA170,TTSSKĐ!AE170,TTSSKĐ!AI170)))</f>
        <v>0</v>
      </c>
      <c r="E170">
        <f>SUMPRODUCT((MONTH(CHOOSE({1,2,3,4},TTSSKĐ!T170,TTSSKĐ!X170,TTSSKĐ!AB170,TTSSKĐ!AF170))=5)*(CHOOSE({1,2,3,4},TTSSKĐ!W170,TTSSKĐ!AA170,TTSSKĐ!AE170,TTSSKĐ!AI170)))</f>
        <v>0</v>
      </c>
      <c r="F170">
        <f>SUMPRODUCT((MONTH(CHOOSE({1,2,3,4},TTSSKĐ!T170,TTSSKĐ!X170,TTSSKĐ!AB170,TTSSKĐ!AF170))=6)*(CHOOSE({1,2,3,4},TTSSKĐ!W170,TTSSKĐ!AA170,TTSSKĐ!AE170,TTSSKĐ!AI170)))</f>
        <v>0</v>
      </c>
      <c r="G170">
        <f>SUMPRODUCT((MONTH(CHOOSE({1,2,3,4},TTSSKĐ!T170,TTSSKĐ!X170,TTSSKĐ!AB170,TTSSKĐ!AF170))=7)*(CHOOSE({1,2,3,4},TTSSKĐ!W170,TTSSKĐ!AA170,TTSSKĐ!AE170,TTSSKĐ!AI170)))</f>
        <v>0</v>
      </c>
      <c r="H170">
        <f>SUMPRODUCT((MONTH(CHOOSE({1,2,3,4},TTSSKĐ!T170,TTSSKĐ!X170,TTSSKĐ!AB170,TTSSKĐ!AF170))=8)*(CHOOSE({1,2,3,4},TTSSKĐ!W170,TTSSKĐ!AA170,TTSSKĐ!AE170,TTSSKĐ!AI170)))</f>
        <v>0</v>
      </c>
      <c r="I170">
        <f>SUMPRODUCT((MONTH(CHOOSE({1,2,3,4},TTSSKĐ!T170,TTSSKĐ!X170,TTSSKĐ!AB170,TTSSKĐ!AF170))=9)*(CHOOSE({1,2,3,4},TTSSKĐ!W170,TTSSKĐ!AA170,TTSSKĐ!AE170,TTSSKĐ!AI170)))</f>
        <v>0</v>
      </c>
      <c r="J170">
        <f>SUMPRODUCT((MONTH(CHOOSE({1,2,3,4},TTSSKĐ!T170,TTSSKĐ!X170,TTSSKĐ!AB170,TTSSKĐ!AF170))=10)*(CHOOSE({1,2,3,4},TTSSKĐ!W170,TTSSKĐ!AA170,TTSSKĐ!AE170,TTSSKĐ!AI170)))</f>
        <v>0</v>
      </c>
      <c r="K170">
        <f>SUMPRODUCT((MONTH(CHOOSE({1,2,3,4},TTSSKĐ!T170,TTSSKĐ!X170,TTSSKĐ!AB170,TTSSKĐ!AF170))=11)*(CHOOSE({1,2,3,4},TTSSKĐ!W170,TTSSKĐ!AA170,TTSSKĐ!AE170,TTSSKĐ!AI170)))</f>
        <v>0</v>
      </c>
      <c r="L170">
        <f>SUMPRODUCT((MONTH(CHOOSE({1,2,3,4},TTSSKĐ!T170,TTSSKĐ!X170,TTSSKĐ!AB170,TTSSKĐ!AF170))=12)*(CHOOSE({1,2,3,4},TTSSKĐ!W170,TTSSKĐ!AA170,TTSSKĐ!AE170,TTSSKĐ!AI170)))</f>
        <v>0</v>
      </c>
    </row>
    <row r="171" spans="1:12">
      <c r="A171">
        <f>SUMPRODUCT((MONTH(CHOOSE({1,2,3,4},TTSSKĐ!T171,TTSSKĐ!X171,TTSSKĐ!AB171,TTSSKĐ!AF171))=1)*(CHOOSE({1,2,3,4},TTSSKĐ!W171,TTSSKĐ!AA171,TTSSKĐ!AE171,TTSSKĐ!AI171)))</f>
        <v>0</v>
      </c>
      <c r="B171">
        <f>SUMPRODUCT((MONTH(CHOOSE({1,2,3,4},TTSSKĐ!T171,TTSSKĐ!X171,TTSSKĐ!AB171,TTSSKĐ!AF171))=2)*(CHOOSE({1,2,3,4},TTSSKĐ!W171,TTSSKĐ!AA171,TTSSKĐ!AE171,TTSSKĐ!AI171)))</f>
        <v>0</v>
      </c>
      <c r="C171">
        <f>SUMPRODUCT((MONTH(CHOOSE({1,2,3,4},TTSSKĐ!T171,TTSSKĐ!X171,TTSSKĐ!AB171,TTSSKĐ!AF171))=3)*(CHOOSE({1,2,3,4},TTSSKĐ!W171,TTSSKĐ!AA171,TTSSKĐ!AE171,TTSSKĐ!AI171)))</f>
        <v>0</v>
      </c>
      <c r="D171">
        <f>SUMPRODUCT((MONTH(CHOOSE({1,2,3,4},TTSSKĐ!T171,TTSSKĐ!X171,TTSSKĐ!AB171,TTSSKĐ!AF171))=4)*(CHOOSE({1,2,3,4},TTSSKĐ!W171,TTSSKĐ!AA171,TTSSKĐ!AE171,TTSSKĐ!AI171)))</f>
        <v>0</v>
      </c>
      <c r="E171">
        <f>SUMPRODUCT((MONTH(CHOOSE({1,2,3,4},TTSSKĐ!T171,TTSSKĐ!X171,TTSSKĐ!AB171,TTSSKĐ!AF171))=5)*(CHOOSE({1,2,3,4},TTSSKĐ!W171,TTSSKĐ!AA171,TTSSKĐ!AE171,TTSSKĐ!AI171)))</f>
        <v>0</v>
      </c>
      <c r="F171">
        <f>SUMPRODUCT((MONTH(CHOOSE({1,2,3,4},TTSSKĐ!T171,TTSSKĐ!X171,TTSSKĐ!AB171,TTSSKĐ!AF171))=6)*(CHOOSE({1,2,3,4},TTSSKĐ!W171,TTSSKĐ!AA171,TTSSKĐ!AE171,TTSSKĐ!AI171)))</f>
        <v>0</v>
      </c>
      <c r="G171">
        <f>SUMPRODUCT((MONTH(CHOOSE({1,2,3,4},TTSSKĐ!T171,TTSSKĐ!X171,TTSSKĐ!AB171,TTSSKĐ!AF171))=7)*(CHOOSE({1,2,3,4},TTSSKĐ!W171,TTSSKĐ!AA171,TTSSKĐ!AE171,TTSSKĐ!AI171)))</f>
        <v>0</v>
      </c>
      <c r="H171">
        <f>SUMPRODUCT((MONTH(CHOOSE({1,2,3,4},TTSSKĐ!T171,TTSSKĐ!X171,TTSSKĐ!AB171,TTSSKĐ!AF171))=8)*(CHOOSE({1,2,3,4},TTSSKĐ!W171,TTSSKĐ!AA171,TTSSKĐ!AE171,TTSSKĐ!AI171)))</f>
        <v>0</v>
      </c>
      <c r="I171">
        <f>SUMPRODUCT((MONTH(CHOOSE({1,2,3,4},TTSSKĐ!T171,TTSSKĐ!X171,TTSSKĐ!AB171,TTSSKĐ!AF171))=9)*(CHOOSE({1,2,3,4},TTSSKĐ!W171,TTSSKĐ!AA171,TTSSKĐ!AE171,TTSSKĐ!AI171)))</f>
        <v>0</v>
      </c>
      <c r="J171">
        <f>SUMPRODUCT((MONTH(CHOOSE({1,2,3,4},TTSSKĐ!T171,TTSSKĐ!X171,TTSSKĐ!AB171,TTSSKĐ!AF171))=10)*(CHOOSE({1,2,3,4},TTSSKĐ!W171,TTSSKĐ!AA171,TTSSKĐ!AE171,TTSSKĐ!AI171)))</f>
        <v>0</v>
      </c>
      <c r="K171">
        <f>SUMPRODUCT((MONTH(CHOOSE({1,2,3,4},TTSSKĐ!T171,TTSSKĐ!X171,TTSSKĐ!AB171,TTSSKĐ!AF171))=11)*(CHOOSE({1,2,3,4},TTSSKĐ!W171,TTSSKĐ!AA171,TTSSKĐ!AE171,TTSSKĐ!AI171)))</f>
        <v>0</v>
      </c>
      <c r="L171">
        <f>SUMPRODUCT((MONTH(CHOOSE({1,2,3,4},TTSSKĐ!T171,TTSSKĐ!X171,TTSSKĐ!AB171,TTSSKĐ!AF171))=12)*(CHOOSE({1,2,3,4},TTSSKĐ!W171,TTSSKĐ!AA171,TTSSKĐ!AE171,TTSSKĐ!AI171)))</f>
        <v>0</v>
      </c>
    </row>
    <row r="172" spans="1:12">
      <c r="A172">
        <f>SUMPRODUCT((MONTH(CHOOSE({1,2,3,4},TTSSKĐ!T172,TTSSKĐ!X172,TTSSKĐ!AB172,TTSSKĐ!AF172))=1)*(CHOOSE({1,2,3,4},TTSSKĐ!W172,TTSSKĐ!AA172,TTSSKĐ!AE172,TTSSKĐ!AI172)))</f>
        <v>0</v>
      </c>
      <c r="B172">
        <f>SUMPRODUCT((MONTH(CHOOSE({1,2,3,4},TTSSKĐ!T172,TTSSKĐ!X172,TTSSKĐ!AB172,TTSSKĐ!AF172))=2)*(CHOOSE({1,2,3,4},TTSSKĐ!W172,TTSSKĐ!AA172,TTSSKĐ!AE172,TTSSKĐ!AI172)))</f>
        <v>0</v>
      </c>
      <c r="C172">
        <f>SUMPRODUCT((MONTH(CHOOSE({1,2,3,4},TTSSKĐ!T172,TTSSKĐ!X172,TTSSKĐ!AB172,TTSSKĐ!AF172))=3)*(CHOOSE({1,2,3,4},TTSSKĐ!W172,TTSSKĐ!AA172,TTSSKĐ!AE172,TTSSKĐ!AI172)))</f>
        <v>0</v>
      </c>
      <c r="D172">
        <f>SUMPRODUCT((MONTH(CHOOSE({1,2,3,4},TTSSKĐ!T172,TTSSKĐ!X172,TTSSKĐ!AB172,TTSSKĐ!AF172))=4)*(CHOOSE({1,2,3,4},TTSSKĐ!W172,TTSSKĐ!AA172,TTSSKĐ!AE172,TTSSKĐ!AI172)))</f>
        <v>0</v>
      </c>
      <c r="E172">
        <f>SUMPRODUCT((MONTH(CHOOSE({1,2,3,4},TTSSKĐ!T172,TTSSKĐ!X172,TTSSKĐ!AB172,TTSSKĐ!AF172))=5)*(CHOOSE({1,2,3,4},TTSSKĐ!W172,TTSSKĐ!AA172,TTSSKĐ!AE172,TTSSKĐ!AI172)))</f>
        <v>0</v>
      </c>
      <c r="F172">
        <f>SUMPRODUCT((MONTH(CHOOSE({1,2,3,4},TTSSKĐ!T172,TTSSKĐ!X172,TTSSKĐ!AB172,TTSSKĐ!AF172))=6)*(CHOOSE({1,2,3,4},TTSSKĐ!W172,TTSSKĐ!AA172,TTSSKĐ!AE172,TTSSKĐ!AI172)))</f>
        <v>0</v>
      </c>
      <c r="G172">
        <f>SUMPRODUCT((MONTH(CHOOSE({1,2,3,4},TTSSKĐ!T172,TTSSKĐ!X172,TTSSKĐ!AB172,TTSSKĐ!AF172))=7)*(CHOOSE({1,2,3,4},TTSSKĐ!W172,TTSSKĐ!AA172,TTSSKĐ!AE172,TTSSKĐ!AI172)))</f>
        <v>0</v>
      </c>
      <c r="H172">
        <f>SUMPRODUCT((MONTH(CHOOSE({1,2,3,4},TTSSKĐ!T172,TTSSKĐ!X172,TTSSKĐ!AB172,TTSSKĐ!AF172))=8)*(CHOOSE({1,2,3,4},TTSSKĐ!W172,TTSSKĐ!AA172,TTSSKĐ!AE172,TTSSKĐ!AI172)))</f>
        <v>0</v>
      </c>
      <c r="I172">
        <f>SUMPRODUCT((MONTH(CHOOSE({1,2,3,4},TTSSKĐ!T172,TTSSKĐ!X172,TTSSKĐ!AB172,TTSSKĐ!AF172))=9)*(CHOOSE({1,2,3,4},TTSSKĐ!W172,TTSSKĐ!AA172,TTSSKĐ!AE172,TTSSKĐ!AI172)))</f>
        <v>0</v>
      </c>
      <c r="J172">
        <f>SUMPRODUCT((MONTH(CHOOSE({1,2,3,4},TTSSKĐ!T172,TTSSKĐ!X172,TTSSKĐ!AB172,TTSSKĐ!AF172))=10)*(CHOOSE({1,2,3,4},TTSSKĐ!W172,TTSSKĐ!AA172,TTSSKĐ!AE172,TTSSKĐ!AI172)))</f>
        <v>0</v>
      </c>
      <c r="K172">
        <f>SUMPRODUCT((MONTH(CHOOSE({1,2,3,4},TTSSKĐ!T172,TTSSKĐ!X172,TTSSKĐ!AB172,TTSSKĐ!AF172))=11)*(CHOOSE({1,2,3,4},TTSSKĐ!W172,TTSSKĐ!AA172,TTSSKĐ!AE172,TTSSKĐ!AI172)))</f>
        <v>0</v>
      </c>
      <c r="L172">
        <f>SUMPRODUCT((MONTH(CHOOSE({1,2,3,4},TTSSKĐ!T172,TTSSKĐ!X172,TTSSKĐ!AB172,TTSSKĐ!AF172))=12)*(CHOOSE({1,2,3,4},TTSSKĐ!W172,TTSSKĐ!AA172,TTSSKĐ!AE172,TTSSKĐ!AI172)))</f>
        <v>0</v>
      </c>
    </row>
    <row r="173" spans="1:12">
      <c r="A173">
        <f>SUMPRODUCT((MONTH(CHOOSE({1,2,3,4},TTSSKĐ!T173,TTSSKĐ!X173,TTSSKĐ!AB173,TTSSKĐ!AF173))=1)*(CHOOSE({1,2,3,4},TTSSKĐ!W173,TTSSKĐ!AA173,TTSSKĐ!AE173,TTSSKĐ!AI173)))</f>
        <v>0</v>
      </c>
      <c r="B173">
        <f>SUMPRODUCT((MONTH(CHOOSE({1,2,3,4},TTSSKĐ!T173,TTSSKĐ!X173,TTSSKĐ!AB173,TTSSKĐ!AF173))=2)*(CHOOSE({1,2,3,4},TTSSKĐ!W173,TTSSKĐ!AA173,TTSSKĐ!AE173,TTSSKĐ!AI173)))</f>
        <v>0</v>
      </c>
      <c r="C173">
        <f>SUMPRODUCT((MONTH(CHOOSE({1,2,3,4},TTSSKĐ!T173,TTSSKĐ!X173,TTSSKĐ!AB173,TTSSKĐ!AF173))=3)*(CHOOSE({1,2,3,4},TTSSKĐ!W173,TTSSKĐ!AA173,TTSSKĐ!AE173,TTSSKĐ!AI173)))</f>
        <v>0</v>
      </c>
      <c r="D173">
        <f>SUMPRODUCT((MONTH(CHOOSE({1,2,3,4},TTSSKĐ!T173,TTSSKĐ!X173,TTSSKĐ!AB173,TTSSKĐ!AF173))=4)*(CHOOSE({1,2,3,4},TTSSKĐ!W173,TTSSKĐ!AA173,TTSSKĐ!AE173,TTSSKĐ!AI173)))</f>
        <v>0</v>
      </c>
      <c r="E173">
        <f>SUMPRODUCT((MONTH(CHOOSE({1,2,3,4},TTSSKĐ!T173,TTSSKĐ!X173,TTSSKĐ!AB173,TTSSKĐ!AF173))=5)*(CHOOSE({1,2,3,4},TTSSKĐ!W173,TTSSKĐ!AA173,TTSSKĐ!AE173,TTSSKĐ!AI173)))</f>
        <v>0</v>
      </c>
      <c r="F173">
        <f>SUMPRODUCT((MONTH(CHOOSE({1,2,3,4},TTSSKĐ!T173,TTSSKĐ!X173,TTSSKĐ!AB173,TTSSKĐ!AF173))=6)*(CHOOSE({1,2,3,4},TTSSKĐ!W173,TTSSKĐ!AA173,TTSSKĐ!AE173,TTSSKĐ!AI173)))</f>
        <v>0</v>
      </c>
      <c r="G173">
        <f>SUMPRODUCT((MONTH(CHOOSE({1,2,3,4},TTSSKĐ!T173,TTSSKĐ!X173,TTSSKĐ!AB173,TTSSKĐ!AF173))=7)*(CHOOSE({1,2,3,4},TTSSKĐ!W173,TTSSKĐ!AA173,TTSSKĐ!AE173,TTSSKĐ!AI173)))</f>
        <v>0</v>
      </c>
      <c r="H173">
        <f>SUMPRODUCT((MONTH(CHOOSE({1,2,3,4},TTSSKĐ!T173,TTSSKĐ!X173,TTSSKĐ!AB173,TTSSKĐ!AF173))=8)*(CHOOSE({1,2,3,4},TTSSKĐ!W173,TTSSKĐ!AA173,TTSSKĐ!AE173,TTSSKĐ!AI173)))</f>
        <v>0</v>
      </c>
      <c r="I173">
        <f>SUMPRODUCT((MONTH(CHOOSE({1,2,3,4},TTSSKĐ!T173,TTSSKĐ!X173,TTSSKĐ!AB173,TTSSKĐ!AF173))=9)*(CHOOSE({1,2,3,4},TTSSKĐ!W173,TTSSKĐ!AA173,TTSSKĐ!AE173,TTSSKĐ!AI173)))</f>
        <v>0</v>
      </c>
      <c r="J173">
        <f>SUMPRODUCT((MONTH(CHOOSE({1,2,3,4},TTSSKĐ!T173,TTSSKĐ!X173,TTSSKĐ!AB173,TTSSKĐ!AF173))=10)*(CHOOSE({1,2,3,4},TTSSKĐ!W173,TTSSKĐ!AA173,TTSSKĐ!AE173,TTSSKĐ!AI173)))</f>
        <v>0</v>
      </c>
      <c r="K173">
        <f>SUMPRODUCT((MONTH(CHOOSE({1,2,3,4},TTSSKĐ!T173,TTSSKĐ!X173,TTSSKĐ!AB173,TTSSKĐ!AF173))=11)*(CHOOSE({1,2,3,4},TTSSKĐ!W173,TTSSKĐ!AA173,TTSSKĐ!AE173,TTSSKĐ!AI173)))</f>
        <v>0</v>
      </c>
      <c r="L173">
        <f>SUMPRODUCT((MONTH(CHOOSE({1,2,3,4},TTSSKĐ!T173,TTSSKĐ!X173,TTSSKĐ!AB173,TTSSKĐ!AF173))=12)*(CHOOSE({1,2,3,4},TTSSKĐ!W173,TTSSKĐ!AA173,TTSSKĐ!AE173,TTSSKĐ!AI173)))</f>
        <v>0</v>
      </c>
    </row>
    <row r="174" spans="1:12">
      <c r="A174">
        <f>SUMPRODUCT((MONTH(CHOOSE({1,2,3,4},TTSSKĐ!T174,TTSSKĐ!X174,TTSSKĐ!AB174,TTSSKĐ!AF174))=1)*(CHOOSE({1,2,3,4},TTSSKĐ!W174,TTSSKĐ!AA174,TTSSKĐ!AE174,TTSSKĐ!AI174)))</f>
        <v>0</v>
      </c>
      <c r="B174">
        <f>SUMPRODUCT((MONTH(CHOOSE({1,2,3,4},TTSSKĐ!T174,TTSSKĐ!X174,TTSSKĐ!AB174,TTSSKĐ!AF174))=2)*(CHOOSE({1,2,3,4},TTSSKĐ!W174,TTSSKĐ!AA174,TTSSKĐ!AE174,TTSSKĐ!AI174)))</f>
        <v>0</v>
      </c>
      <c r="C174">
        <f>SUMPRODUCT((MONTH(CHOOSE({1,2,3,4},TTSSKĐ!T174,TTSSKĐ!X174,TTSSKĐ!AB174,TTSSKĐ!AF174))=3)*(CHOOSE({1,2,3,4},TTSSKĐ!W174,TTSSKĐ!AA174,TTSSKĐ!AE174,TTSSKĐ!AI174)))</f>
        <v>0</v>
      </c>
      <c r="D174">
        <f>SUMPRODUCT((MONTH(CHOOSE({1,2,3,4},TTSSKĐ!T174,TTSSKĐ!X174,TTSSKĐ!AB174,TTSSKĐ!AF174))=4)*(CHOOSE({1,2,3,4},TTSSKĐ!W174,TTSSKĐ!AA174,TTSSKĐ!AE174,TTSSKĐ!AI174)))</f>
        <v>0</v>
      </c>
      <c r="E174">
        <f>SUMPRODUCT((MONTH(CHOOSE({1,2,3,4},TTSSKĐ!T174,TTSSKĐ!X174,TTSSKĐ!AB174,TTSSKĐ!AF174))=5)*(CHOOSE({1,2,3,4},TTSSKĐ!W174,TTSSKĐ!AA174,TTSSKĐ!AE174,TTSSKĐ!AI174)))</f>
        <v>0</v>
      </c>
      <c r="F174">
        <f>SUMPRODUCT((MONTH(CHOOSE({1,2,3,4},TTSSKĐ!T174,TTSSKĐ!X174,TTSSKĐ!AB174,TTSSKĐ!AF174))=6)*(CHOOSE({1,2,3,4},TTSSKĐ!W174,TTSSKĐ!AA174,TTSSKĐ!AE174,TTSSKĐ!AI174)))</f>
        <v>0</v>
      </c>
      <c r="G174">
        <f>SUMPRODUCT((MONTH(CHOOSE({1,2,3,4},TTSSKĐ!T174,TTSSKĐ!X174,TTSSKĐ!AB174,TTSSKĐ!AF174))=7)*(CHOOSE({1,2,3,4},TTSSKĐ!W174,TTSSKĐ!AA174,TTSSKĐ!AE174,TTSSKĐ!AI174)))</f>
        <v>0</v>
      </c>
      <c r="H174">
        <f>SUMPRODUCT((MONTH(CHOOSE({1,2,3,4},TTSSKĐ!T174,TTSSKĐ!X174,TTSSKĐ!AB174,TTSSKĐ!AF174))=8)*(CHOOSE({1,2,3,4},TTSSKĐ!W174,TTSSKĐ!AA174,TTSSKĐ!AE174,TTSSKĐ!AI174)))</f>
        <v>0</v>
      </c>
      <c r="I174">
        <f>SUMPRODUCT((MONTH(CHOOSE({1,2,3,4},TTSSKĐ!T174,TTSSKĐ!X174,TTSSKĐ!AB174,TTSSKĐ!AF174))=9)*(CHOOSE({1,2,3,4},TTSSKĐ!W174,TTSSKĐ!AA174,TTSSKĐ!AE174,TTSSKĐ!AI174)))</f>
        <v>0</v>
      </c>
      <c r="J174">
        <f>SUMPRODUCT((MONTH(CHOOSE({1,2,3,4},TTSSKĐ!T174,TTSSKĐ!X174,TTSSKĐ!AB174,TTSSKĐ!AF174))=10)*(CHOOSE({1,2,3,4},TTSSKĐ!W174,TTSSKĐ!AA174,TTSSKĐ!AE174,TTSSKĐ!AI174)))</f>
        <v>0</v>
      </c>
      <c r="K174">
        <f>SUMPRODUCT((MONTH(CHOOSE({1,2,3,4},TTSSKĐ!T174,TTSSKĐ!X174,TTSSKĐ!AB174,TTSSKĐ!AF174))=11)*(CHOOSE({1,2,3,4},TTSSKĐ!W174,TTSSKĐ!AA174,TTSSKĐ!AE174,TTSSKĐ!AI174)))</f>
        <v>0</v>
      </c>
      <c r="L174">
        <f>SUMPRODUCT((MONTH(CHOOSE({1,2,3,4},TTSSKĐ!T174,TTSSKĐ!X174,TTSSKĐ!AB174,TTSSKĐ!AF174))=12)*(CHOOSE({1,2,3,4},TTSSKĐ!W174,TTSSKĐ!AA174,TTSSKĐ!AE174,TTSSKĐ!AI174)))</f>
        <v>0</v>
      </c>
    </row>
    <row r="175" spans="1:12">
      <c r="A175">
        <f>SUMPRODUCT((MONTH(CHOOSE({1,2,3,4},TTSSKĐ!T175,TTSSKĐ!X175,TTSSKĐ!AB175,TTSSKĐ!AF175))=1)*(CHOOSE({1,2,3,4},TTSSKĐ!W175,TTSSKĐ!AA175,TTSSKĐ!AE175,TTSSKĐ!AI175)))</f>
        <v>0</v>
      </c>
      <c r="B175">
        <f>SUMPRODUCT((MONTH(CHOOSE({1,2,3,4},TTSSKĐ!T175,TTSSKĐ!X175,TTSSKĐ!AB175,TTSSKĐ!AF175))=2)*(CHOOSE({1,2,3,4},TTSSKĐ!W175,TTSSKĐ!AA175,TTSSKĐ!AE175,TTSSKĐ!AI175)))</f>
        <v>0</v>
      </c>
      <c r="C175">
        <f>SUMPRODUCT((MONTH(CHOOSE({1,2,3,4},TTSSKĐ!T175,TTSSKĐ!X175,TTSSKĐ!AB175,TTSSKĐ!AF175))=3)*(CHOOSE({1,2,3,4},TTSSKĐ!W175,TTSSKĐ!AA175,TTSSKĐ!AE175,TTSSKĐ!AI175)))</f>
        <v>0</v>
      </c>
      <c r="D175">
        <f>SUMPRODUCT((MONTH(CHOOSE({1,2,3,4},TTSSKĐ!T175,TTSSKĐ!X175,TTSSKĐ!AB175,TTSSKĐ!AF175))=4)*(CHOOSE({1,2,3,4},TTSSKĐ!W175,TTSSKĐ!AA175,TTSSKĐ!AE175,TTSSKĐ!AI175)))</f>
        <v>0</v>
      </c>
      <c r="E175">
        <f>SUMPRODUCT((MONTH(CHOOSE({1,2,3,4},TTSSKĐ!T175,TTSSKĐ!X175,TTSSKĐ!AB175,TTSSKĐ!AF175))=5)*(CHOOSE({1,2,3,4},TTSSKĐ!W175,TTSSKĐ!AA175,TTSSKĐ!AE175,TTSSKĐ!AI175)))</f>
        <v>0</v>
      </c>
      <c r="F175">
        <f>SUMPRODUCT((MONTH(CHOOSE({1,2,3,4},TTSSKĐ!T175,TTSSKĐ!X175,TTSSKĐ!AB175,TTSSKĐ!AF175))=6)*(CHOOSE({1,2,3,4},TTSSKĐ!W175,TTSSKĐ!AA175,TTSSKĐ!AE175,TTSSKĐ!AI175)))</f>
        <v>0</v>
      </c>
      <c r="G175">
        <f>SUMPRODUCT((MONTH(CHOOSE({1,2,3,4},TTSSKĐ!T175,TTSSKĐ!X175,TTSSKĐ!AB175,TTSSKĐ!AF175))=7)*(CHOOSE({1,2,3,4},TTSSKĐ!W175,TTSSKĐ!AA175,TTSSKĐ!AE175,TTSSKĐ!AI175)))</f>
        <v>0</v>
      </c>
      <c r="H175">
        <f>SUMPRODUCT((MONTH(CHOOSE({1,2,3,4},TTSSKĐ!T175,TTSSKĐ!X175,TTSSKĐ!AB175,TTSSKĐ!AF175))=8)*(CHOOSE({1,2,3,4},TTSSKĐ!W175,TTSSKĐ!AA175,TTSSKĐ!AE175,TTSSKĐ!AI175)))</f>
        <v>0</v>
      </c>
      <c r="I175">
        <f>SUMPRODUCT((MONTH(CHOOSE({1,2,3,4},TTSSKĐ!T175,TTSSKĐ!X175,TTSSKĐ!AB175,TTSSKĐ!AF175))=9)*(CHOOSE({1,2,3,4},TTSSKĐ!W175,TTSSKĐ!AA175,TTSSKĐ!AE175,TTSSKĐ!AI175)))</f>
        <v>0</v>
      </c>
      <c r="J175">
        <f>SUMPRODUCT((MONTH(CHOOSE({1,2,3,4},TTSSKĐ!T175,TTSSKĐ!X175,TTSSKĐ!AB175,TTSSKĐ!AF175))=10)*(CHOOSE({1,2,3,4},TTSSKĐ!W175,TTSSKĐ!AA175,TTSSKĐ!AE175,TTSSKĐ!AI175)))</f>
        <v>0</v>
      </c>
      <c r="K175">
        <f>SUMPRODUCT((MONTH(CHOOSE({1,2,3,4},TTSSKĐ!T175,TTSSKĐ!X175,TTSSKĐ!AB175,TTSSKĐ!AF175))=11)*(CHOOSE({1,2,3,4},TTSSKĐ!W175,TTSSKĐ!AA175,TTSSKĐ!AE175,TTSSKĐ!AI175)))</f>
        <v>0</v>
      </c>
      <c r="L175">
        <f>SUMPRODUCT((MONTH(CHOOSE({1,2,3,4},TTSSKĐ!T175,TTSSKĐ!X175,TTSSKĐ!AB175,TTSSKĐ!AF175))=12)*(CHOOSE({1,2,3,4},TTSSKĐ!W175,TTSSKĐ!AA175,TTSSKĐ!AE175,TTSSKĐ!AI175)))</f>
        <v>0</v>
      </c>
    </row>
    <row r="176" spans="1:12">
      <c r="A176">
        <f>SUMPRODUCT((MONTH(CHOOSE({1,2,3,4},TTSSKĐ!T176,TTSSKĐ!X176,TTSSKĐ!AB176,TTSSKĐ!AF176))=1)*(CHOOSE({1,2,3,4},TTSSKĐ!W176,TTSSKĐ!AA176,TTSSKĐ!AE176,TTSSKĐ!AI176)))</f>
        <v>0</v>
      </c>
      <c r="B176">
        <f>SUMPRODUCT((MONTH(CHOOSE({1,2,3,4},TTSSKĐ!T176,TTSSKĐ!X176,TTSSKĐ!AB176,TTSSKĐ!AF176))=2)*(CHOOSE({1,2,3,4},TTSSKĐ!W176,TTSSKĐ!AA176,TTSSKĐ!AE176,TTSSKĐ!AI176)))</f>
        <v>0</v>
      </c>
      <c r="C176">
        <f>SUMPRODUCT((MONTH(CHOOSE({1,2,3,4},TTSSKĐ!T176,TTSSKĐ!X176,TTSSKĐ!AB176,TTSSKĐ!AF176))=3)*(CHOOSE({1,2,3,4},TTSSKĐ!W176,TTSSKĐ!AA176,TTSSKĐ!AE176,TTSSKĐ!AI176)))</f>
        <v>0</v>
      </c>
      <c r="D176">
        <f>SUMPRODUCT((MONTH(CHOOSE({1,2,3,4},TTSSKĐ!T176,TTSSKĐ!X176,TTSSKĐ!AB176,TTSSKĐ!AF176))=4)*(CHOOSE({1,2,3,4},TTSSKĐ!W176,TTSSKĐ!AA176,TTSSKĐ!AE176,TTSSKĐ!AI176)))</f>
        <v>0</v>
      </c>
      <c r="E176">
        <f>SUMPRODUCT((MONTH(CHOOSE({1,2,3,4},TTSSKĐ!T176,TTSSKĐ!X176,TTSSKĐ!AB176,TTSSKĐ!AF176))=5)*(CHOOSE({1,2,3,4},TTSSKĐ!W176,TTSSKĐ!AA176,TTSSKĐ!AE176,TTSSKĐ!AI176)))</f>
        <v>0</v>
      </c>
      <c r="F176">
        <f>SUMPRODUCT((MONTH(CHOOSE({1,2,3,4},TTSSKĐ!T176,TTSSKĐ!X176,TTSSKĐ!AB176,TTSSKĐ!AF176))=6)*(CHOOSE({1,2,3,4},TTSSKĐ!W176,TTSSKĐ!AA176,TTSSKĐ!AE176,TTSSKĐ!AI176)))</f>
        <v>0</v>
      </c>
      <c r="G176">
        <f>SUMPRODUCT((MONTH(CHOOSE({1,2,3,4},TTSSKĐ!T176,TTSSKĐ!X176,TTSSKĐ!AB176,TTSSKĐ!AF176))=7)*(CHOOSE({1,2,3,4},TTSSKĐ!W176,TTSSKĐ!AA176,TTSSKĐ!AE176,TTSSKĐ!AI176)))</f>
        <v>0</v>
      </c>
      <c r="H176">
        <f>SUMPRODUCT((MONTH(CHOOSE({1,2,3,4},TTSSKĐ!T176,TTSSKĐ!X176,TTSSKĐ!AB176,TTSSKĐ!AF176))=8)*(CHOOSE({1,2,3,4},TTSSKĐ!W176,TTSSKĐ!AA176,TTSSKĐ!AE176,TTSSKĐ!AI176)))</f>
        <v>0</v>
      </c>
      <c r="I176">
        <f>SUMPRODUCT((MONTH(CHOOSE({1,2,3,4},TTSSKĐ!T176,TTSSKĐ!X176,TTSSKĐ!AB176,TTSSKĐ!AF176))=9)*(CHOOSE({1,2,3,4},TTSSKĐ!W176,TTSSKĐ!AA176,TTSSKĐ!AE176,TTSSKĐ!AI176)))</f>
        <v>0</v>
      </c>
      <c r="J176">
        <f>SUMPRODUCT((MONTH(CHOOSE({1,2,3,4},TTSSKĐ!T176,TTSSKĐ!X176,TTSSKĐ!AB176,TTSSKĐ!AF176))=10)*(CHOOSE({1,2,3,4},TTSSKĐ!W176,TTSSKĐ!AA176,TTSSKĐ!AE176,TTSSKĐ!AI176)))</f>
        <v>0</v>
      </c>
      <c r="K176">
        <f>SUMPRODUCT((MONTH(CHOOSE({1,2,3,4},TTSSKĐ!T176,TTSSKĐ!X176,TTSSKĐ!AB176,TTSSKĐ!AF176))=11)*(CHOOSE({1,2,3,4},TTSSKĐ!W176,TTSSKĐ!AA176,TTSSKĐ!AE176,TTSSKĐ!AI176)))</f>
        <v>0</v>
      </c>
      <c r="L176">
        <f>SUMPRODUCT((MONTH(CHOOSE({1,2,3,4},TTSSKĐ!T176,TTSSKĐ!X176,TTSSKĐ!AB176,TTSSKĐ!AF176))=12)*(CHOOSE({1,2,3,4},TTSSKĐ!W176,TTSSKĐ!AA176,TTSSKĐ!AE176,TTSSKĐ!AI176)))</f>
        <v>0</v>
      </c>
    </row>
    <row r="177" spans="1:12">
      <c r="A177">
        <f>SUMPRODUCT((MONTH(CHOOSE({1,2,3,4},TTSSKĐ!T177,TTSSKĐ!X177,TTSSKĐ!AB177,TTSSKĐ!AF177))=1)*(CHOOSE({1,2,3,4},TTSSKĐ!W177,TTSSKĐ!AA177,TTSSKĐ!AE177,TTSSKĐ!AI177)))</f>
        <v>0</v>
      </c>
      <c r="B177">
        <f>SUMPRODUCT((MONTH(CHOOSE({1,2,3,4},TTSSKĐ!T177,TTSSKĐ!X177,TTSSKĐ!AB177,TTSSKĐ!AF177))=2)*(CHOOSE({1,2,3,4},TTSSKĐ!W177,TTSSKĐ!AA177,TTSSKĐ!AE177,TTSSKĐ!AI177)))</f>
        <v>0</v>
      </c>
      <c r="C177">
        <f>SUMPRODUCT((MONTH(CHOOSE({1,2,3,4},TTSSKĐ!T177,TTSSKĐ!X177,TTSSKĐ!AB177,TTSSKĐ!AF177))=3)*(CHOOSE({1,2,3,4},TTSSKĐ!W177,TTSSKĐ!AA177,TTSSKĐ!AE177,TTSSKĐ!AI177)))</f>
        <v>0</v>
      </c>
      <c r="D177">
        <f>SUMPRODUCT((MONTH(CHOOSE({1,2,3,4},TTSSKĐ!T177,TTSSKĐ!X177,TTSSKĐ!AB177,TTSSKĐ!AF177))=4)*(CHOOSE({1,2,3,4},TTSSKĐ!W177,TTSSKĐ!AA177,TTSSKĐ!AE177,TTSSKĐ!AI177)))</f>
        <v>0</v>
      </c>
      <c r="E177">
        <f>SUMPRODUCT((MONTH(CHOOSE({1,2,3,4},TTSSKĐ!T177,TTSSKĐ!X177,TTSSKĐ!AB177,TTSSKĐ!AF177))=5)*(CHOOSE({1,2,3,4},TTSSKĐ!W177,TTSSKĐ!AA177,TTSSKĐ!AE177,TTSSKĐ!AI177)))</f>
        <v>0</v>
      </c>
      <c r="F177">
        <f>SUMPRODUCT((MONTH(CHOOSE({1,2,3,4},TTSSKĐ!T177,TTSSKĐ!X177,TTSSKĐ!AB177,TTSSKĐ!AF177))=6)*(CHOOSE({1,2,3,4},TTSSKĐ!W177,TTSSKĐ!AA177,TTSSKĐ!AE177,TTSSKĐ!AI177)))</f>
        <v>0</v>
      </c>
      <c r="G177">
        <f>SUMPRODUCT((MONTH(CHOOSE({1,2,3,4},TTSSKĐ!T177,TTSSKĐ!X177,TTSSKĐ!AB177,TTSSKĐ!AF177))=7)*(CHOOSE({1,2,3,4},TTSSKĐ!W177,TTSSKĐ!AA177,TTSSKĐ!AE177,TTSSKĐ!AI177)))</f>
        <v>0</v>
      </c>
      <c r="H177">
        <f>SUMPRODUCT((MONTH(CHOOSE({1,2,3,4},TTSSKĐ!T177,TTSSKĐ!X177,TTSSKĐ!AB177,TTSSKĐ!AF177))=8)*(CHOOSE({1,2,3,4},TTSSKĐ!W177,TTSSKĐ!AA177,TTSSKĐ!AE177,TTSSKĐ!AI177)))</f>
        <v>0</v>
      </c>
      <c r="I177">
        <f>SUMPRODUCT((MONTH(CHOOSE({1,2,3,4},TTSSKĐ!T177,TTSSKĐ!X177,TTSSKĐ!AB177,TTSSKĐ!AF177))=9)*(CHOOSE({1,2,3,4},TTSSKĐ!W177,TTSSKĐ!AA177,TTSSKĐ!AE177,TTSSKĐ!AI177)))</f>
        <v>0</v>
      </c>
      <c r="J177">
        <f>SUMPRODUCT((MONTH(CHOOSE({1,2,3,4},TTSSKĐ!T177,TTSSKĐ!X177,TTSSKĐ!AB177,TTSSKĐ!AF177))=10)*(CHOOSE({1,2,3,4},TTSSKĐ!W177,TTSSKĐ!AA177,TTSSKĐ!AE177,TTSSKĐ!AI177)))</f>
        <v>0</v>
      </c>
      <c r="K177">
        <f>SUMPRODUCT((MONTH(CHOOSE({1,2,3,4},TTSSKĐ!T177,TTSSKĐ!X177,TTSSKĐ!AB177,TTSSKĐ!AF177))=11)*(CHOOSE({1,2,3,4},TTSSKĐ!W177,TTSSKĐ!AA177,TTSSKĐ!AE177,TTSSKĐ!AI177)))</f>
        <v>0</v>
      </c>
      <c r="L177">
        <f>SUMPRODUCT((MONTH(CHOOSE({1,2,3,4},TTSSKĐ!T177,TTSSKĐ!X177,TTSSKĐ!AB177,TTSSKĐ!AF177))=12)*(CHOOSE({1,2,3,4},TTSSKĐ!W177,TTSSKĐ!AA177,TTSSKĐ!AE177,TTSSKĐ!AI177)))</f>
        <v>0</v>
      </c>
    </row>
    <row r="178" spans="1:12">
      <c r="A178">
        <f>SUMPRODUCT((MONTH(CHOOSE({1,2,3,4},TTSSKĐ!T178,TTSSKĐ!X178,TTSSKĐ!AB178,TTSSKĐ!AF178))=1)*(CHOOSE({1,2,3,4},TTSSKĐ!W178,TTSSKĐ!AA178,TTSSKĐ!AE178,TTSSKĐ!AI178)))</f>
        <v>0</v>
      </c>
      <c r="B178">
        <f>SUMPRODUCT((MONTH(CHOOSE({1,2,3,4},TTSSKĐ!T178,TTSSKĐ!X178,TTSSKĐ!AB178,TTSSKĐ!AF178))=2)*(CHOOSE({1,2,3,4},TTSSKĐ!W178,TTSSKĐ!AA178,TTSSKĐ!AE178,TTSSKĐ!AI178)))</f>
        <v>0</v>
      </c>
      <c r="C178">
        <f>SUMPRODUCT((MONTH(CHOOSE({1,2,3,4},TTSSKĐ!T178,TTSSKĐ!X178,TTSSKĐ!AB178,TTSSKĐ!AF178))=3)*(CHOOSE({1,2,3,4},TTSSKĐ!W178,TTSSKĐ!AA178,TTSSKĐ!AE178,TTSSKĐ!AI178)))</f>
        <v>0</v>
      </c>
      <c r="D178">
        <f>SUMPRODUCT((MONTH(CHOOSE({1,2,3,4},TTSSKĐ!T178,TTSSKĐ!X178,TTSSKĐ!AB178,TTSSKĐ!AF178))=4)*(CHOOSE({1,2,3,4},TTSSKĐ!W178,TTSSKĐ!AA178,TTSSKĐ!AE178,TTSSKĐ!AI178)))</f>
        <v>0</v>
      </c>
      <c r="E178">
        <f>SUMPRODUCT((MONTH(CHOOSE({1,2,3,4},TTSSKĐ!T178,TTSSKĐ!X178,TTSSKĐ!AB178,TTSSKĐ!AF178))=5)*(CHOOSE({1,2,3,4},TTSSKĐ!W178,TTSSKĐ!AA178,TTSSKĐ!AE178,TTSSKĐ!AI178)))</f>
        <v>0</v>
      </c>
      <c r="F178">
        <f>SUMPRODUCT((MONTH(CHOOSE({1,2,3,4},TTSSKĐ!T178,TTSSKĐ!X178,TTSSKĐ!AB178,TTSSKĐ!AF178))=6)*(CHOOSE({1,2,3,4},TTSSKĐ!W178,TTSSKĐ!AA178,TTSSKĐ!AE178,TTSSKĐ!AI178)))</f>
        <v>0</v>
      </c>
      <c r="G178">
        <f>SUMPRODUCT((MONTH(CHOOSE({1,2,3,4},TTSSKĐ!T178,TTSSKĐ!X178,TTSSKĐ!AB178,TTSSKĐ!AF178))=7)*(CHOOSE({1,2,3,4},TTSSKĐ!W178,TTSSKĐ!AA178,TTSSKĐ!AE178,TTSSKĐ!AI178)))</f>
        <v>0</v>
      </c>
      <c r="H178">
        <f>SUMPRODUCT((MONTH(CHOOSE({1,2,3,4},TTSSKĐ!T178,TTSSKĐ!X178,TTSSKĐ!AB178,TTSSKĐ!AF178))=8)*(CHOOSE({1,2,3,4},TTSSKĐ!W178,TTSSKĐ!AA178,TTSSKĐ!AE178,TTSSKĐ!AI178)))</f>
        <v>0</v>
      </c>
      <c r="I178">
        <f>SUMPRODUCT((MONTH(CHOOSE({1,2,3,4},TTSSKĐ!T178,TTSSKĐ!X178,TTSSKĐ!AB178,TTSSKĐ!AF178))=9)*(CHOOSE({1,2,3,4},TTSSKĐ!W178,TTSSKĐ!AA178,TTSSKĐ!AE178,TTSSKĐ!AI178)))</f>
        <v>0</v>
      </c>
      <c r="J178">
        <f>SUMPRODUCT((MONTH(CHOOSE({1,2,3,4},TTSSKĐ!T178,TTSSKĐ!X178,TTSSKĐ!AB178,TTSSKĐ!AF178))=10)*(CHOOSE({1,2,3,4},TTSSKĐ!W178,TTSSKĐ!AA178,TTSSKĐ!AE178,TTSSKĐ!AI178)))</f>
        <v>0</v>
      </c>
      <c r="K178">
        <f>SUMPRODUCT((MONTH(CHOOSE({1,2,3,4},TTSSKĐ!T178,TTSSKĐ!X178,TTSSKĐ!AB178,TTSSKĐ!AF178))=11)*(CHOOSE({1,2,3,4},TTSSKĐ!W178,TTSSKĐ!AA178,TTSSKĐ!AE178,TTSSKĐ!AI178)))</f>
        <v>0</v>
      </c>
      <c r="L178">
        <f>SUMPRODUCT((MONTH(CHOOSE({1,2,3,4},TTSSKĐ!T178,TTSSKĐ!X178,TTSSKĐ!AB178,TTSSKĐ!AF178))=12)*(CHOOSE({1,2,3,4},TTSSKĐ!W178,TTSSKĐ!AA178,TTSSKĐ!AE178,TTSSKĐ!AI178)))</f>
        <v>0</v>
      </c>
    </row>
    <row r="179" spans="1:12">
      <c r="A179">
        <f>SUMPRODUCT((MONTH(CHOOSE({1,2,3,4},TTSSKĐ!T179,TTSSKĐ!X179,TTSSKĐ!AB179,TTSSKĐ!AF179))=1)*(CHOOSE({1,2,3,4},TTSSKĐ!W179,TTSSKĐ!AA179,TTSSKĐ!AE179,TTSSKĐ!AI179)))</f>
        <v>0</v>
      </c>
      <c r="B179">
        <f>SUMPRODUCT((MONTH(CHOOSE({1,2,3,4},TTSSKĐ!T179,TTSSKĐ!X179,TTSSKĐ!AB179,TTSSKĐ!AF179))=2)*(CHOOSE({1,2,3,4},TTSSKĐ!W179,TTSSKĐ!AA179,TTSSKĐ!AE179,TTSSKĐ!AI179)))</f>
        <v>0</v>
      </c>
      <c r="C179">
        <f>SUMPRODUCT((MONTH(CHOOSE({1,2,3,4},TTSSKĐ!T179,TTSSKĐ!X179,TTSSKĐ!AB179,TTSSKĐ!AF179))=3)*(CHOOSE({1,2,3,4},TTSSKĐ!W179,TTSSKĐ!AA179,TTSSKĐ!AE179,TTSSKĐ!AI179)))</f>
        <v>0</v>
      </c>
      <c r="D179">
        <f>SUMPRODUCT((MONTH(CHOOSE({1,2,3,4},TTSSKĐ!T179,TTSSKĐ!X179,TTSSKĐ!AB179,TTSSKĐ!AF179))=4)*(CHOOSE({1,2,3,4},TTSSKĐ!W179,TTSSKĐ!AA179,TTSSKĐ!AE179,TTSSKĐ!AI179)))</f>
        <v>0</v>
      </c>
      <c r="E179">
        <f>SUMPRODUCT((MONTH(CHOOSE({1,2,3,4},TTSSKĐ!T179,TTSSKĐ!X179,TTSSKĐ!AB179,TTSSKĐ!AF179))=5)*(CHOOSE({1,2,3,4},TTSSKĐ!W179,TTSSKĐ!AA179,TTSSKĐ!AE179,TTSSKĐ!AI179)))</f>
        <v>0</v>
      </c>
      <c r="F179">
        <f>SUMPRODUCT((MONTH(CHOOSE({1,2,3,4},TTSSKĐ!T179,TTSSKĐ!X179,TTSSKĐ!AB179,TTSSKĐ!AF179))=6)*(CHOOSE({1,2,3,4},TTSSKĐ!W179,TTSSKĐ!AA179,TTSSKĐ!AE179,TTSSKĐ!AI179)))</f>
        <v>0</v>
      </c>
      <c r="G179">
        <f>SUMPRODUCT((MONTH(CHOOSE({1,2,3,4},TTSSKĐ!T179,TTSSKĐ!X179,TTSSKĐ!AB179,TTSSKĐ!AF179))=7)*(CHOOSE({1,2,3,4},TTSSKĐ!W179,TTSSKĐ!AA179,TTSSKĐ!AE179,TTSSKĐ!AI179)))</f>
        <v>0</v>
      </c>
      <c r="H179">
        <f>SUMPRODUCT((MONTH(CHOOSE({1,2,3,4},TTSSKĐ!T179,TTSSKĐ!X179,TTSSKĐ!AB179,TTSSKĐ!AF179))=8)*(CHOOSE({1,2,3,4},TTSSKĐ!W179,TTSSKĐ!AA179,TTSSKĐ!AE179,TTSSKĐ!AI179)))</f>
        <v>0</v>
      </c>
      <c r="I179">
        <f>SUMPRODUCT((MONTH(CHOOSE({1,2,3,4},TTSSKĐ!T179,TTSSKĐ!X179,TTSSKĐ!AB179,TTSSKĐ!AF179))=9)*(CHOOSE({1,2,3,4},TTSSKĐ!W179,TTSSKĐ!AA179,TTSSKĐ!AE179,TTSSKĐ!AI179)))</f>
        <v>0</v>
      </c>
      <c r="J179">
        <f>SUMPRODUCT((MONTH(CHOOSE({1,2,3,4},TTSSKĐ!T179,TTSSKĐ!X179,TTSSKĐ!AB179,TTSSKĐ!AF179))=10)*(CHOOSE({1,2,3,4},TTSSKĐ!W179,TTSSKĐ!AA179,TTSSKĐ!AE179,TTSSKĐ!AI179)))</f>
        <v>0</v>
      </c>
      <c r="K179">
        <f>SUMPRODUCT((MONTH(CHOOSE({1,2,3,4},TTSSKĐ!T179,TTSSKĐ!X179,TTSSKĐ!AB179,TTSSKĐ!AF179))=11)*(CHOOSE({1,2,3,4},TTSSKĐ!W179,TTSSKĐ!AA179,TTSSKĐ!AE179,TTSSKĐ!AI179)))</f>
        <v>0</v>
      </c>
      <c r="L179">
        <f>SUMPRODUCT((MONTH(CHOOSE({1,2,3,4},TTSSKĐ!T179,TTSSKĐ!X179,TTSSKĐ!AB179,TTSSKĐ!AF179))=12)*(CHOOSE({1,2,3,4},TTSSKĐ!W179,TTSSKĐ!AA179,TTSSKĐ!AE179,TTSSKĐ!AI179)))</f>
        <v>0</v>
      </c>
    </row>
    <row r="180" spans="1:12">
      <c r="A180">
        <f>SUMPRODUCT((MONTH(CHOOSE({1,2,3,4},TTSSKĐ!T180,TTSSKĐ!X180,TTSSKĐ!AB180,TTSSKĐ!AF180))=1)*(CHOOSE({1,2,3,4},TTSSKĐ!W180,TTSSKĐ!AA180,TTSSKĐ!AE180,TTSSKĐ!AI180)))</f>
        <v>0</v>
      </c>
      <c r="B180">
        <f>SUMPRODUCT((MONTH(CHOOSE({1,2,3,4},TTSSKĐ!T180,TTSSKĐ!X180,TTSSKĐ!AB180,TTSSKĐ!AF180))=2)*(CHOOSE({1,2,3,4},TTSSKĐ!W180,TTSSKĐ!AA180,TTSSKĐ!AE180,TTSSKĐ!AI180)))</f>
        <v>0</v>
      </c>
      <c r="C180">
        <f>SUMPRODUCT((MONTH(CHOOSE({1,2,3,4},TTSSKĐ!T180,TTSSKĐ!X180,TTSSKĐ!AB180,TTSSKĐ!AF180))=3)*(CHOOSE({1,2,3,4},TTSSKĐ!W180,TTSSKĐ!AA180,TTSSKĐ!AE180,TTSSKĐ!AI180)))</f>
        <v>0</v>
      </c>
      <c r="D180">
        <f>SUMPRODUCT((MONTH(CHOOSE({1,2,3,4},TTSSKĐ!T180,TTSSKĐ!X180,TTSSKĐ!AB180,TTSSKĐ!AF180))=4)*(CHOOSE({1,2,3,4},TTSSKĐ!W180,TTSSKĐ!AA180,TTSSKĐ!AE180,TTSSKĐ!AI180)))</f>
        <v>0</v>
      </c>
      <c r="E180">
        <f>SUMPRODUCT((MONTH(CHOOSE({1,2,3,4},TTSSKĐ!T180,TTSSKĐ!X180,TTSSKĐ!AB180,TTSSKĐ!AF180))=5)*(CHOOSE({1,2,3,4},TTSSKĐ!W180,TTSSKĐ!AA180,TTSSKĐ!AE180,TTSSKĐ!AI180)))</f>
        <v>0</v>
      </c>
      <c r="F180">
        <f>SUMPRODUCT((MONTH(CHOOSE({1,2,3,4},TTSSKĐ!T180,TTSSKĐ!X180,TTSSKĐ!AB180,TTSSKĐ!AF180))=6)*(CHOOSE({1,2,3,4},TTSSKĐ!W180,TTSSKĐ!AA180,TTSSKĐ!AE180,TTSSKĐ!AI180)))</f>
        <v>0</v>
      </c>
      <c r="G180">
        <f>SUMPRODUCT((MONTH(CHOOSE({1,2,3,4},TTSSKĐ!T180,TTSSKĐ!X180,TTSSKĐ!AB180,TTSSKĐ!AF180))=7)*(CHOOSE({1,2,3,4},TTSSKĐ!W180,TTSSKĐ!AA180,TTSSKĐ!AE180,TTSSKĐ!AI180)))</f>
        <v>0</v>
      </c>
      <c r="H180">
        <f>SUMPRODUCT((MONTH(CHOOSE({1,2,3,4},TTSSKĐ!T180,TTSSKĐ!X180,TTSSKĐ!AB180,TTSSKĐ!AF180))=8)*(CHOOSE({1,2,3,4},TTSSKĐ!W180,TTSSKĐ!AA180,TTSSKĐ!AE180,TTSSKĐ!AI180)))</f>
        <v>0</v>
      </c>
      <c r="I180">
        <f>SUMPRODUCT((MONTH(CHOOSE({1,2,3,4},TTSSKĐ!T180,TTSSKĐ!X180,TTSSKĐ!AB180,TTSSKĐ!AF180))=9)*(CHOOSE({1,2,3,4},TTSSKĐ!W180,TTSSKĐ!AA180,TTSSKĐ!AE180,TTSSKĐ!AI180)))</f>
        <v>0</v>
      </c>
      <c r="J180">
        <f>SUMPRODUCT((MONTH(CHOOSE({1,2,3,4},TTSSKĐ!T180,TTSSKĐ!X180,TTSSKĐ!AB180,TTSSKĐ!AF180))=10)*(CHOOSE({1,2,3,4},TTSSKĐ!W180,TTSSKĐ!AA180,TTSSKĐ!AE180,TTSSKĐ!AI180)))</f>
        <v>0</v>
      </c>
      <c r="K180">
        <f>SUMPRODUCT((MONTH(CHOOSE({1,2,3,4},TTSSKĐ!T180,TTSSKĐ!X180,TTSSKĐ!AB180,TTSSKĐ!AF180))=11)*(CHOOSE({1,2,3,4},TTSSKĐ!W180,TTSSKĐ!AA180,TTSSKĐ!AE180,TTSSKĐ!AI180)))</f>
        <v>0</v>
      </c>
      <c r="L180">
        <f>SUMPRODUCT((MONTH(CHOOSE({1,2,3,4},TTSSKĐ!T180,TTSSKĐ!X180,TTSSKĐ!AB180,TTSSKĐ!AF180))=12)*(CHOOSE({1,2,3,4},TTSSKĐ!W180,TTSSKĐ!AA180,TTSSKĐ!AE180,TTSSKĐ!AI180)))</f>
        <v>0</v>
      </c>
    </row>
    <row r="181" spans="1:12">
      <c r="A181">
        <f>SUMPRODUCT((MONTH(CHOOSE({1,2,3,4},TTSSKĐ!T181,TTSSKĐ!X181,TTSSKĐ!AB181,TTSSKĐ!AF181))=1)*(CHOOSE({1,2,3,4},TTSSKĐ!W181,TTSSKĐ!AA181,TTSSKĐ!AE181,TTSSKĐ!AI181)))</f>
        <v>0</v>
      </c>
      <c r="B181">
        <f>SUMPRODUCT((MONTH(CHOOSE({1,2,3,4},TTSSKĐ!T181,TTSSKĐ!X181,TTSSKĐ!AB181,TTSSKĐ!AF181))=2)*(CHOOSE({1,2,3,4},TTSSKĐ!W181,TTSSKĐ!AA181,TTSSKĐ!AE181,TTSSKĐ!AI181)))</f>
        <v>0</v>
      </c>
      <c r="C181">
        <f>SUMPRODUCT((MONTH(CHOOSE({1,2,3,4},TTSSKĐ!T181,TTSSKĐ!X181,TTSSKĐ!AB181,TTSSKĐ!AF181))=3)*(CHOOSE({1,2,3,4},TTSSKĐ!W181,TTSSKĐ!AA181,TTSSKĐ!AE181,TTSSKĐ!AI181)))</f>
        <v>0</v>
      </c>
      <c r="D181">
        <f>SUMPRODUCT((MONTH(CHOOSE({1,2,3,4},TTSSKĐ!T181,TTSSKĐ!X181,TTSSKĐ!AB181,TTSSKĐ!AF181))=4)*(CHOOSE({1,2,3,4},TTSSKĐ!W181,TTSSKĐ!AA181,TTSSKĐ!AE181,TTSSKĐ!AI181)))</f>
        <v>0</v>
      </c>
      <c r="E181">
        <f>SUMPRODUCT((MONTH(CHOOSE({1,2,3,4},TTSSKĐ!T181,TTSSKĐ!X181,TTSSKĐ!AB181,TTSSKĐ!AF181))=5)*(CHOOSE({1,2,3,4},TTSSKĐ!W181,TTSSKĐ!AA181,TTSSKĐ!AE181,TTSSKĐ!AI181)))</f>
        <v>0</v>
      </c>
      <c r="F181">
        <f>SUMPRODUCT((MONTH(CHOOSE({1,2,3,4},TTSSKĐ!T181,TTSSKĐ!X181,TTSSKĐ!AB181,TTSSKĐ!AF181))=6)*(CHOOSE({1,2,3,4},TTSSKĐ!W181,TTSSKĐ!AA181,TTSSKĐ!AE181,TTSSKĐ!AI181)))</f>
        <v>0</v>
      </c>
      <c r="G181">
        <f>SUMPRODUCT((MONTH(CHOOSE({1,2,3,4},TTSSKĐ!T181,TTSSKĐ!X181,TTSSKĐ!AB181,TTSSKĐ!AF181))=7)*(CHOOSE({1,2,3,4},TTSSKĐ!W181,TTSSKĐ!AA181,TTSSKĐ!AE181,TTSSKĐ!AI181)))</f>
        <v>0</v>
      </c>
      <c r="H181">
        <f>SUMPRODUCT((MONTH(CHOOSE({1,2,3,4},TTSSKĐ!T181,TTSSKĐ!X181,TTSSKĐ!AB181,TTSSKĐ!AF181))=8)*(CHOOSE({1,2,3,4},TTSSKĐ!W181,TTSSKĐ!AA181,TTSSKĐ!AE181,TTSSKĐ!AI181)))</f>
        <v>0</v>
      </c>
      <c r="I181">
        <f>SUMPRODUCT((MONTH(CHOOSE({1,2,3,4},TTSSKĐ!T181,TTSSKĐ!X181,TTSSKĐ!AB181,TTSSKĐ!AF181))=9)*(CHOOSE({1,2,3,4},TTSSKĐ!W181,TTSSKĐ!AA181,TTSSKĐ!AE181,TTSSKĐ!AI181)))</f>
        <v>0</v>
      </c>
      <c r="J181">
        <f>SUMPRODUCT((MONTH(CHOOSE({1,2,3,4},TTSSKĐ!T181,TTSSKĐ!X181,TTSSKĐ!AB181,TTSSKĐ!AF181))=10)*(CHOOSE({1,2,3,4},TTSSKĐ!W181,TTSSKĐ!AA181,TTSSKĐ!AE181,TTSSKĐ!AI181)))</f>
        <v>0</v>
      </c>
      <c r="K181">
        <f>SUMPRODUCT((MONTH(CHOOSE({1,2,3,4},TTSSKĐ!T181,TTSSKĐ!X181,TTSSKĐ!AB181,TTSSKĐ!AF181))=11)*(CHOOSE({1,2,3,4},TTSSKĐ!W181,TTSSKĐ!AA181,TTSSKĐ!AE181,TTSSKĐ!AI181)))</f>
        <v>0</v>
      </c>
      <c r="L181">
        <f>SUMPRODUCT((MONTH(CHOOSE({1,2,3,4},TTSSKĐ!T181,TTSSKĐ!X181,TTSSKĐ!AB181,TTSSKĐ!AF181))=12)*(CHOOSE({1,2,3,4},TTSSKĐ!W181,TTSSKĐ!AA181,TTSSKĐ!AE181,TTSSKĐ!AI181)))</f>
        <v>0</v>
      </c>
    </row>
    <row r="182" spans="1:12">
      <c r="A182">
        <f>SUMPRODUCT((MONTH(CHOOSE({1,2,3,4},TTSSKĐ!T182,TTSSKĐ!X182,TTSSKĐ!AB182,TTSSKĐ!AF182))=1)*(CHOOSE({1,2,3,4},TTSSKĐ!W182,TTSSKĐ!AA182,TTSSKĐ!AE182,TTSSKĐ!AI182)))</f>
        <v>0</v>
      </c>
      <c r="B182">
        <f>SUMPRODUCT((MONTH(CHOOSE({1,2,3,4},TTSSKĐ!T182,TTSSKĐ!X182,TTSSKĐ!AB182,TTSSKĐ!AF182))=2)*(CHOOSE({1,2,3,4},TTSSKĐ!W182,TTSSKĐ!AA182,TTSSKĐ!AE182,TTSSKĐ!AI182)))</f>
        <v>0</v>
      </c>
      <c r="C182">
        <f>SUMPRODUCT((MONTH(CHOOSE({1,2,3,4},TTSSKĐ!T182,TTSSKĐ!X182,TTSSKĐ!AB182,TTSSKĐ!AF182))=3)*(CHOOSE({1,2,3,4},TTSSKĐ!W182,TTSSKĐ!AA182,TTSSKĐ!AE182,TTSSKĐ!AI182)))</f>
        <v>0</v>
      </c>
      <c r="D182">
        <f>SUMPRODUCT((MONTH(CHOOSE({1,2,3,4},TTSSKĐ!T182,TTSSKĐ!X182,TTSSKĐ!AB182,TTSSKĐ!AF182))=4)*(CHOOSE({1,2,3,4},TTSSKĐ!W182,TTSSKĐ!AA182,TTSSKĐ!AE182,TTSSKĐ!AI182)))</f>
        <v>0</v>
      </c>
      <c r="E182">
        <f>SUMPRODUCT((MONTH(CHOOSE({1,2,3,4},TTSSKĐ!T182,TTSSKĐ!X182,TTSSKĐ!AB182,TTSSKĐ!AF182))=5)*(CHOOSE({1,2,3,4},TTSSKĐ!W182,TTSSKĐ!AA182,TTSSKĐ!AE182,TTSSKĐ!AI182)))</f>
        <v>0</v>
      </c>
      <c r="F182">
        <f>SUMPRODUCT((MONTH(CHOOSE({1,2,3,4},TTSSKĐ!T182,TTSSKĐ!X182,TTSSKĐ!AB182,TTSSKĐ!AF182))=6)*(CHOOSE({1,2,3,4},TTSSKĐ!W182,TTSSKĐ!AA182,TTSSKĐ!AE182,TTSSKĐ!AI182)))</f>
        <v>0</v>
      </c>
      <c r="G182">
        <f>SUMPRODUCT((MONTH(CHOOSE({1,2,3,4},TTSSKĐ!T182,TTSSKĐ!X182,TTSSKĐ!AB182,TTSSKĐ!AF182))=7)*(CHOOSE({1,2,3,4},TTSSKĐ!W182,TTSSKĐ!AA182,TTSSKĐ!AE182,TTSSKĐ!AI182)))</f>
        <v>0</v>
      </c>
      <c r="H182">
        <f>SUMPRODUCT((MONTH(CHOOSE({1,2,3,4},TTSSKĐ!T182,TTSSKĐ!X182,TTSSKĐ!AB182,TTSSKĐ!AF182))=8)*(CHOOSE({1,2,3,4},TTSSKĐ!W182,TTSSKĐ!AA182,TTSSKĐ!AE182,TTSSKĐ!AI182)))</f>
        <v>0</v>
      </c>
      <c r="I182">
        <f>SUMPRODUCT((MONTH(CHOOSE({1,2,3,4},TTSSKĐ!T182,TTSSKĐ!X182,TTSSKĐ!AB182,TTSSKĐ!AF182))=9)*(CHOOSE({1,2,3,4},TTSSKĐ!W182,TTSSKĐ!AA182,TTSSKĐ!AE182,TTSSKĐ!AI182)))</f>
        <v>0</v>
      </c>
      <c r="J182">
        <f>SUMPRODUCT((MONTH(CHOOSE({1,2,3,4},TTSSKĐ!T182,TTSSKĐ!X182,TTSSKĐ!AB182,TTSSKĐ!AF182))=10)*(CHOOSE({1,2,3,4},TTSSKĐ!W182,TTSSKĐ!AA182,TTSSKĐ!AE182,TTSSKĐ!AI182)))</f>
        <v>0</v>
      </c>
      <c r="K182">
        <f>SUMPRODUCT((MONTH(CHOOSE({1,2,3,4},TTSSKĐ!T182,TTSSKĐ!X182,TTSSKĐ!AB182,TTSSKĐ!AF182))=11)*(CHOOSE({1,2,3,4},TTSSKĐ!W182,TTSSKĐ!AA182,TTSSKĐ!AE182,TTSSKĐ!AI182)))</f>
        <v>0</v>
      </c>
      <c r="L182">
        <f>SUMPRODUCT((MONTH(CHOOSE({1,2,3,4},TTSSKĐ!T182,TTSSKĐ!X182,TTSSKĐ!AB182,TTSSKĐ!AF182))=12)*(CHOOSE({1,2,3,4},TTSSKĐ!W182,TTSSKĐ!AA182,TTSSKĐ!AE182,TTSSKĐ!AI182)))</f>
        <v>0</v>
      </c>
    </row>
    <row r="183" spans="1:12">
      <c r="A183">
        <f>SUMPRODUCT((MONTH(CHOOSE({1,2,3,4},TTSSKĐ!T183,TTSSKĐ!X183,TTSSKĐ!AB183,TTSSKĐ!AF183))=1)*(CHOOSE({1,2,3,4},TTSSKĐ!W183,TTSSKĐ!AA183,TTSSKĐ!AE183,TTSSKĐ!AI183)))</f>
        <v>0</v>
      </c>
      <c r="B183">
        <f>SUMPRODUCT((MONTH(CHOOSE({1,2,3,4},TTSSKĐ!T183,TTSSKĐ!X183,TTSSKĐ!AB183,TTSSKĐ!AF183))=2)*(CHOOSE({1,2,3,4},TTSSKĐ!W183,TTSSKĐ!AA183,TTSSKĐ!AE183,TTSSKĐ!AI183)))</f>
        <v>0</v>
      </c>
      <c r="C183">
        <f>SUMPRODUCT((MONTH(CHOOSE({1,2,3,4},TTSSKĐ!T183,TTSSKĐ!X183,TTSSKĐ!AB183,TTSSKĐ!AF183))=3)*(CHOOSE({1,2,3,4},TTSSKĐ!W183,TTSSKĐ!AA183,TTSSKĐ!AE183,TTSSKĐ!AI183)))</f>
        <v>0</v>
      </c>
      <c r="D183">
        <f>SUMPRODUCT((MONTH(CHOOSE({1,2,3,4},TTSSKĐ!T183,TTSSKĐ!X183,TTSSKĐ!AB183,TTSSKĐ!AF183))=4)*(CHOOSE({1,2,3,4},TTSSKĐ!W183,TTSSKĐ!AA183,TTSSKĐ!AE183,TTSSKĐ!AI183)))</f>
        <v>0</v>
      </c>
      <c r="E183">
        <f>SUMPRODUCT((MONTH(CHOOSE({1,2,3,4},TTSSKĐ!T183,TTSSKĐ!X183,TTSSKĐ!AB183,TTSSKĐ!AF183))=5)*(CHOOSE({1,2,3,4},TTSSKĐ!W183,TTSSKĐ!AA183,TTSSKĐ!AE183,TTSSKĐ!AI183)))</f>
        <v>0</v>
      </c>
      <c r="F183">
        <f>SUMPRODUCT((MONTH(CHOOSE({1,2,3,4},TTSSKĐ!T183,TTSSKĐ!X183,TTSSKĐ!AB183,TTSSKĐ!AF183))=6)*(CHOOSE({1,2,3,4},TTSSKĐ!W183,TTSSKĐ!AA183,TTSSKĐ!AE183,TTSSKĐ!AI183)))</f>
        <v>0</v>
      </c>
      <c r="G183">
        <f>SUMPRODUCT((MONTH(CHOOSE({1,2,3,4},TTSSKĐ!T183,TTSSKĐ!X183,TTSSKĐ!AB183,TTSSKĐ!AF183))=7)*(CHOOSE({1,2,3,4},TTSSKĐ!W183,TTSSKĐ!AA183,TTSSKĐ!AE183,TTSSKĐ!AI183)))</f>
        <v>0</v>
      </c>
      <c r="H183">
        <f>SUMPRODUCT((MONTH(CHOOSE({1,2,3,4},TTSSKĐ!T183,TTSSKĐ!X183,TTSSKĐ!AB183,TTSSKĐ!AF183))=8)*(CHOOSE({1,2,3,4},TTSSKĐ!W183,TTSSKĐ!AA183,TTSSKĐ!AE183,TTSSKĐ!AI183)))</f>
        <v>0</v>
      </c>
      <c r="I183">
        <f>SUMPRODUCT((MONTH(CHOOSE({1,2,3,4},TTSSKĐ!T183,TTSSKĐ!X183,TTSSKĐ!AB183,TTSSKĐ!AF183))=9)*(CHOOSE({1,2,3,4},TTSSKĐ!W183,TTSSKĐ!AA183,TTSSKĐ!AE183,TTSSKĐ!AI183)))</f>
        <v>0</v>
      </c>
      <c r="J183">
        <f>SUMPRODUCT((MONTH(CHOOSE({1,2,3,4},TTSSKĐ!T183,TTSSKĐ!X183,TTSSKĐ!AB183,TTSSKĐ!AF183))=10)*(CHOOSE({1,2,3,4},TTSSKĐ!W183,TTSSKĐ!AA183,TTSSKĐ!AE183,TTSSKĐ!AI183)))</f>
        <v>0</v>
      </c>
      <c r="K183">
        <f>SUMPRODUCT((MONTH(CHOOSE({1,2,3,4},TTSSKĐ!T183,TTSSKĐ!X183,TTSSKĐ!AB183,TTSSKĐ!AF183))=11)*(CHOOSE({1,2,3,4},TTSSKĐ!W183,TTSSKĐ!AA183,TTSSKĐ!AE183,TTSSKĐ!AI183)))</f>
        <v>0</v>
      </c>
      <c r="L183">
        <f>SUMPRODUCT((MONTH(CHOOSE({1,2,3,4},TTSSKĐ!T183,TTSSKĐ!X183,TTSSKĐ!AB183,TTSSKĐ!AF183))=12)*(CHOOSE({1,2,3,4},TTSSKĐ!W183,TTSSKĐ!AA183,TTSSKĐ!AE183,TTSSKĐ!AI183)))</f>
        <v>0</v>
      </c>
    </row>
    <row r="184" spans="1:12">
      <c r="A184">
        <f>SUMPRODUCT((MONTH(CHOOSE({1,2,3,4},TTSSKĐ!T184,TTSSKĐ!X184,TTSSKĐ!AB184,TTSSKĐ!AF184))=1)*(CHOOSE({1,2,3,4},TTSSKĐ!W184,TTSSKĐ!AA184,TTSSKĐ!AE184,TTSSKĐ!AI184)))</f>
        <v>0</v>
      </c>
      <c r="B184">
        <f>SUMPRODUCT((MONTH(CHOOSE({1,2,3,4},TTSSKĐ!T184,TTSSKĐ!X184,TTSSKĐ!AB184,TTSSKĐ!AF184))=2)*(CHOOSE({1,2,3,4},TTSSKĐ!W184,TTSSKĐ!AA184,TTSSKĐ!AE184,TTSSKĐ!AI184)))</f>
        <v>0</v>
      </c>
      <c r="C184">
        <f>SUMPRODUCT((MONTH(CHOOSE({1,2,3,4},TTSSKĐ!T184,TTSSKĐ!X184,TTSSKĐ!AB184,TTSSKĐ!AF184))=3)*(CHOOSE({1,2,3,4},TTSSKĐ!W184,TTSSKĐ!AA184,TTSSKĐ!AE184,TTSSKĐ!AI184)))</f>
        <v>0</v>
      </c>
      <c r="D184">
        <f>SUMPRODUCT((MONTH(CHOOSE({1,2,3,4},TTSSKĐ!T184,TTSSKĐ!X184,TTSSKĐ!AB184,TTSSKĐ!AF184))=4)*(CHOOSE({1,2,3,4},TTSSKĐ!W184,TTSSKĐ!AA184,TTSSKĐ!AE184,TTSSKĐ!AI184)))</f>
        <v>0</v>
      </c>
      <c r="E184">
        <f>SUMPRODUCT((MONTH(CHOOSE({1,2,3,4},TTSSKĐ!T184,TTSSKĐ!X184,TTSSKĐ!AB184,TTSSKĐ!AF184))=5)*(CHOOSE({1,2,3,4},TTSSKĐ!W184,TTSSKĐ!AA184,TTSSKĐ!AE184,TTSSKĐ!AI184)))</f>
        <v>0</v>
      </c>
      <c r="F184">
        <f>SUMPRODUCT((MONTH(CHOOSE({1,2,3,4},TTSSKĐ!T184,TTSSKĐ!X184,TTSSKĐ!AB184,TTSSKĐ!AF184))=6)*(CHOOSE({1,2,3,4},TTSSKĐ!W184,TTSSKĐ!AA184,TTSSKĐ!AE184,TTSSKĐ!AI184)))</f>
        <v>0</v>
      </c>
      <c r="G184">
        <f>SUMPRODUCT((MONTH(CHOOSE({1,2,3,4},TTSSKĐ!T184,TTSSKĐ!X184,TTSSKĐ!AB184,TTSSKĐ!AF184))=7)*(CHOOSE({1,2,3,4},TTSSKĐ!W184,TTSSKĐ!AA184,TTSSKĐ!AE184,TTSSKĐ!AI184)))</f>
        <v>0</v>
      </c>
      <c r="H184">
        <f>SUMPRODUCT((MONTH(CHOOSE({1,2,3,4},TTSSKĐ!T184,TTSSKĐ!X184,TTSSKĐ!AB184,TTSSKĐ!AF184))=8)*(CHOOSE({1,2,3,4},TTSSKĐ!W184,TTSSKĐ!AA184,TTSSKĐ!AE184,TTSSKĐ!AI184)))</f>
        <v>0</v>
      </c>
      <c r="I184">
        <f>SUMPRODUCT((MONTH(CHOOSE({1,2,3,4},TTSSKĐ!T184,TTSSKĐ!X184,TTSSKĐ!AB184,TTSSKĐ!AF184))=9)*(CHOOSE({1,2,3,4},TTSSKĐ!W184,TTSSKĐ!AA184,TTSSKĐ!AE184,TTSSKĐ!AI184)))</f>
        <v>0</v>
      </c>
      <c r="J184">
        <f>SUMPRODUCT((MONTH(CHOOSE({1,2,3,4},TTSSKĐ!T184,TTSSKĐ!X184,TTSSKĐ!AB184,TTSSKĐ!AF184))=10)*(CHOOSE({1,2,3,4},TTSSKĐ!W184,TTSSKĐ!AA184,TTSSKĐ!AE184,TTSSKĐ!AI184)))</f>
        <v>0</v>
      </c>
      <c r="K184">
        <f>SUMPRODUCT((MONTH(CHOOSE({1,2,3,4},TTSSKĐ!T184,TTSSKĐ!X184,TTSSKĐ!AB184,TTSSKĐ!AF184))=11)*(CHOOSE({1,2,3,4},TTSSKĐ!W184,TTSSKĐ!AA184,TTSSKĐ!AE184,TTSSKĐ!AI184)))</f>
        <v>0</v>
      </c>
      <c r="L184">
        <f>SUMPRODUCT((MONTH(CHOOSE({1,2,3,4},TTSSKĐ!T184,TTSSKĐ!X184,TTSSKĐ!AB184,TTSSKĐ!AF184))=12)*(CHOOSE({1,2,3,4},TTSSKĐ!W184,TTSSKĐ!AA184,TTSSKĐ!AE184,TTSSKĐ!AI184)))</f>
        <v>0</v>
      </c>
    </row>
    <row r="185" spans="1:12">
      <c r="A185">
        <f>SUMPRODUCT((MONTH(CHOOSE({1,2,3,4},TTSSKĐ!T185,TTSSKĐ!X185,TTSSKĐ!AB185,TTSSKĐ!AF185))=1)*(CHOOSE({1,2,3,4},TTSSKĐ!W185,TTSSKĐ!AA185,TTSSKĐ!AE185,TTSSKĐ!AI185)))</f>
        <v>0</v>
      </c>
      <c r="B185">
        <f>SUMPRODUCT((MONTH(CHOOSE({1,2,3,4},TTSSKĐ!T185,TTSSKĐ!X185,TTSSKĐ!AB185,TTSSKĐ!AF185))=2)*(CHOOSE({1,2,3,4},TTSSKĐ!W185,TTSSKĐ!AA185,TTSSKĐ!AE185,TTSSKĐ!AI185)))</f>
        <v>0</v>
      </c>
      <c r="C185">
        <f>SUMPRODUCT((MONTH(CHOOSE({1,2,3,4},TTSSKĐ!T185,TTSSKĐ!X185,TTSSKĐ!AB185,TTSSKĐ!AF185))=3)*(CHOOSE({1,2,3,4},TTSSKĐ!W185,TTSSKĐ!AA185,TTSSKĐ!AE185,TTSSKĐ!AI185)))</f>
        <v>0</v>
      </c>
      <c r="D185">
        <f>SUMPRODUCT((MONTH(CHOOSE({1,2,3,4},TTSSKĐ!T185,TTSSKĐ!X185,TTSSKĐ!AB185,TTSSKĐ!AF185))=4)*(CHOOSE({1,2,3,4},TTSSKĐ!W185,TTSSKĐ!AA185,TTSSKĐ!AE185,TTSSKĐ!AI185)))</f>
        <v>0</v>
      </c>
      <c r="E185">
        <f>SUMPRODUCT((MONTH(CHOOSE({1,2,3,4},TTSSKĐ!T185,TTSSKĐ!X185,TTSSKĐ!AB185,TTSSKĐ!AF185))=5)*(CHOOSE({1,2,3,4},TTSSKĐ!W185,TTSSKĐ!AA185,TTSSKĐ!AE185,TTSSKĐ!AI185)))</f>
        <v>0</v>
      </c>
      <c r="F185">
        <f>SUMPRODUCT((MONTH(CHOOSE({1,2,3,4},TTSSKĐ!T185,TTSSKĐ!X185,TTSSKĐ!AB185,TTSSKĐ!AF185))=6)*(CHOOSE({1,2,3,4},TTSSKĐ!W185,TTSSKĐ!AA185,TTSSKĐ!AE185,TTSSKĐ!AI185)))</f>
        <v>0</v>
      </c>
      <c r="G185">
        <f>SUMPRODUCT((MONTH(CHOOSE({1,2,3,4},TTSSKĐ!T185,TTSSKĐ!X185,TTSSKĐ!AB185,TTSSKĐ!AF185))=7)*(CHOOSE({1,2,3,4},TTSSKĐ!W185,TTSSKĐ!AA185,TTSSKĐ!AE185,TTSSKĐ!AI185)))</f>
        <v>0</v>
      </c>
      <c r="H185">
        <f>SUMPRODUCT((MONTH(CHOOSE({1,2,3,4},TTSSKĐ!T185,TTSSKĐ!X185,TTSSKĐ!AB185,TTSSKĐ!AF185))=8)*(CHOOSE({1,2,3,4},TTSSKĐ!W185,TTSSKĐ!AA185,TTSSKĐ!AE185,TTSSKĐ!AI185)))</f>
        <v>0</v>
      </c>
      <c r="I185">
        <f>SUMPRODUCT((MONTH(CHOOSE({1,2,3,4},TTSSKĐ!T185,TTSSKĐ!X185,TTSSKĐ!AB185,TTSSKĐ!AF185))=9)*(CHOOSE({1,2,3,4},TTSSKĐ!W185,TTSSKĐ!AA185,TTSSKĐ!AE185,TTSSKĐ!AI185)))</f>
        <v>0</v>
      </c>
      <c r="J185">
        <f>SUMPRODUCT((MONTH(CHOOSE({1,2,3,4},TTSSKĐ!T185,TTSSKĐ!X185,TTSSKĐ!AB185,TTSSKĐ!AF185))=10)*(CHOOSE({1,2,3,4},TTSSKĐ!W185,TTSSKĐ!AA185,TTSSKĐ!AE185,TTSSKĐ!AI185)))</f>
        <v>0</v>
      </c>
      <c r="K185">
        <f>SUMPRODUCT((MONTH(CHOOSE({1,2,3,4},TTSSKĐ!T185,TTSSKĐ!X185,TTSSKĐ!AB185,TTSSKĐ!AF185))=11)*(CHOOSE({1,2,3,4},TTSSKĐ!W185,TTSSKĐ!AA185,TTSSKĐ!AE185,TTSSKĐ!AI185)))</f>
        <v>0</v>
      </c>
      <c r="L185">
        <f>SUMPRODUCT((MONTH(CHOOSE({1,2,3,4},TTSSKĐ!T185,TTSSKĐ!X185,TTSSKĐ!AB185,TTSSKĐ!AF185))=12)*(CHOOSE({1,2,3,4},TTSSKĐ!W185,TTSSKĐ!AA185,TTSSKĐ!AE185,TTSSKĐ!AI185)))</f>
        <v>0</v>
      </c>
    </row>
    <row r="186" spans="1:12">
      <c r="A186">
        <f>SUMPRODUCT((MONTH(CHOOSE({1,2,3,4},TTSSKĐ!T186,TTSSKĐ!X186,TTSSKĐ!AB186,TTSSKĐ!AF186))=1)*(CHOOSE({1,2,3,4},TTSSKĐ!W186,TTSSKĐ!AA186,TTSSKĐ!AE186,TTSSKĐ!AI186)))</f>
        <v>0</v>
      </c>
      <c r="B186">
        <f>SUMPRODUCT((MONTH(CHOOSE({1,2,3,4},TTSSKĐ!T186,TTSSKĐ!X186,TTSSKĐ!AB186,TTSSKĐ!AF186))=2)*(CHOOSE({1,2,3,4},TTSSKĐ!W186,TTSSKĐ!AA186,TTSSKĐ!AE186,TTSSKĐ!AI186)))</f>
        <v>0</v>
      </c>
      <c r="C186">
        <f>SUMPRODUCT((MONTH(CHOOSE({1,2,3,4},TTSSKĐ!T186,TTSSKĐ!X186,TTSSKĐ!AB186,TTSSKĐ!AF186))=3)*(CHOOSE({1,2,3,4},TTSSKĐ!W186,TTSSKĐ!AA186,TTSSKĐ!AE186,TTSSKĐ!AI186)))</f>
        <v>0</v>
      </c>
      <c r="D186">
        <f>SUMPRODUCT((MONTH(CHOOSE({1,2,3,4},TTSSKĐ!T186,TTSSKĐ!X186,TTSSKĐ!AB186,TTSSKĐ!AF186))=4)*(CHOOSE({1,2,3,4},TTSSKĐ!W186,TTSSKĐ!AA186,TTSSKĐ!AE186,TTSSKĐ!AI186)))</f>
        <v>0</v>
      </c>
      <c r="E186">
        <f>SUMPRODUCT((MONTH(CHOOSE({1,2,3,4},TTSSKĐ!T186,TTSSKĐ!X186,TTSSKĐ!AB186,TTSSKĐ!AF186))=5)*(CHOOSE({1,2,3,4},TTSSKĐ!W186,TTSSKĐ!AA186,TTSSKĐ!AE186,TTSSKĐ!AI186)))</f>
        <v>0</v>
      </c>
      <c r="F186">
        <f>SUMPRODUCT((MONTH(CHOOSE({1,2,3,4},TTSSKĐ!T186,TTSSKĐ!X186,TTSSKĐ!AB186,TTSSKĐ!AF186))=6)*(CHOOSE({1,2,3,4},TTSSKĐ!W186,TTSSKĐ!AA186,TTSSKĐ!AE186,TTSSKĐ!AI186)))</f>
        <v>0</v>
      </c>
      <c r="G186">
        <f>SUMPRODUCT((MONTH(CHOOSE({1,2,3,4},TTSSKĐ!T186,TTSSKĐ!X186,TTSSKĐ!AB186,TTSSKĐ!AF186))=7)*(CHOOSE({1,2,3,4},TTSSKĐ!W186,TTSSKĐ!AA186,TTSSKĐ!AE186,TTSSKĐ!AI186)))</f>
        <v>0</v>
      </c>
      <c r="H186">
        <f>SUMPRODUCT((MONTH(CHOOSE({1,2,3,4},TTSSKĐ!T186,TTSSKĐ!X186,TTSSKĐ!AB186,TTSSKĐ!AF186))=8)*(CHOOSE({1,2,3,4},TTSSKĐ!W186,TTSSKĐ!AA186,TTSSKĐ!AE186,TTSSKĐ!AI186)))</f>
        <v>0</v>
      </c>
      <c r="I186">
        <f>SUMPRODUCT((MONTH(CHOOSE({1,2,3,4},TTSSKĐ!T186,TTSSKĐ!X186,TTSSKĐ!AB186,TTSSKĐ!AF186))=9)*(CHOOSE({1,2,3,4},TTSSKĐ!W186,TTSSKĐ!AA186,TTSSKĐ!AE186,TTSSKĐ!AI186)))</f>
        <v>0</v>
      </c>
      <c r="J186">
        <f>SUMPRODUCT((MONTH(CHOOSE({1,2,3,4},TTSSKĐ!T186,TTSSKĐ!X186,TTSSKĐ!AB186,TTSSKĐ!AF186))=10)*(CHOOSE({1,2,3,4},TTSSKĐ!W186,TTSSKĐ!AA186,TTSSKĐ!AE186,TTSSKĐ!AI186)))</f>
        <v>0</v>
      </c>
      <c r="K186">
        <f>SUMPRODUCT((MONTH(CHOOSE({1,2,3,4},TTSSKĐ!T186,TTSSKĐ!X186,TTSSKĐ!AB186,TTSSKĐ!AF186))=11)*(CHOOSE({1,2,3,4},TTSSKĐ!W186,TTSSKĐ!AA186,TTSSKĐ!AE186,TTSSKĐ!AI186)))</f>
        <v>0</v>
      </c>
      <c r="L186">
        <f>SUMPRODUCT((MONTH(CHOOSE({1,2,3,4},TTSSKĐ!T186,TTSSKĐ!X186,TTSSKĐ!AB186,TTSSKĐ!AF186))=12)*(CHOOSE({1,2,3,4},TTSSKĐ!W186,TTSSKĐ!AA186,TTSSKĐ!AE186,TTSSKĐ!AI186)))</f>
        <v>0</v>
      </c>
    </row>
    <row r="187" spans="1:12">
      <c r="A187">
        <f>SUMPRODUCT((MONTH(CHOOSE({1,2,3,4},TTSSKĐ!T187,TTSSKĐ!X187,TTSSKĐ!AB187,TTSSKĐ!AF187))=1)*(CHOOSE({1,2,3,4},TTSSKĐ!W187,TTSSKĐ!AA187,TTSSKĐ!AE187,TTSSKĐ!AI187)))</f>
        <v>0</v>
      </c>
      <c r="B187">
        <f>SUMPRODUCT((MONTH(CHOOSE({1,2,3,4},TTSSKĐ!T187,TTSSKĐ!X187,TTSSKĐ!AB187,TTSSKĐ!AF187))=2)*(CHOOSE({1,2,3,4},TTSSKĐ!W187,TTSSKĐ!AA187,TTSSKĐ!AE187,TTSSKĐ!AI187)))</f>
        <v>0</v>
      </c>
      <c r="C187">
        <f>SUMPRODUCT((MONTH(CHOOSE({1,2,3,4},TTSSKĐ!T187,TTSSKĐ!X187,TTSSKĐ!AB187,TTSSKĐ!AF187))=3)*(CHOOSE({1,2,3,4},TTSSKĐ!W187,TTSSKĐ!AA187,TTSSKĐ!AE187,TTSSKĐ!AI187)))</f>
        <v>0</v>
      </c>
      <c r="D187">
        <f>SUMPRODUCT((MONTH(CHOOSE({1,2,3,4},TTSSKĐ!T187,TTSSKĐ!X187,TTSSKĐ!AB187,TTSSKĐ!AF187))=4)*(CHOOSE({1,2,3,4},TTSSKĐ!W187,TTSSKĐ!AA187,TTSSKĐ!AE187,TTSSKĐ!AI187)))</f>
        <v>0</v>
      </c>
      <c r="E187">
        <f>SUMPRODUCT((MONTH(CHOOSE({1,2,3,4},TTSSKĐ!T187,TTSSKĐ!X187,TTSSKĐ!AB187,TTSSKĐ!AF187))=5)*(CHOOSE({1,2,3,4},TTSSKĐ!W187,TTSSKĐ!AA187,TTSSKĐ!AE187,TTSSKĐ!AI187)))</f>
        <v>0</v>
      </c>
      <c r="F187">
        <f>SUMPRODUCT((MONTH(CHOOSE({1,2,3,4},TTSSKĐ!T187,TTSSKĐ!X187,TTSSKĐ!AB187,TTSSKĐ!AF187))=6)*(CHOOSE({1,2,3,4},TTSSKĐ!W187,TTSSKĐ!AA187,TTSSKĐ!AE187,TTSSKĐ!AI187)))</f>
        <v>0</v>
      </c>
      <c r="G187">
        <f>SUMPRODUCT((MONTH(CHOOSE({1,2,3,4},TTSSKĐ!T187,TTSSKĐ!X187,TTSSKĐ!AB187,TTSSKĐ!AF187))=7)*(CHOOSE({1,2,3,4},TTSSKĐ!W187,TTSSKĐ!AA187,TTSSKĐ!AE187,TTSSKĐ!AI187)))</f>
        <v>0</v>
      </c>
      <c r="H187">
        <f>SUMPRODUCT((MONTH(CHOOSE({1,2,3,4},TTSSKĐ!T187,TTSSKĐ!X187,TTSSKĐ!AB187,TTSSKĐ!AF187))=8)*(CHOOSE({1,2,3,4},TTSSKĐ!W187,TTSSKĐ!AA187,TTSSKĐ!AE187,TTSSKĐ!AI187)))</f>
        <v>0</v>
      </c>
      <c r="I187">
        <f>SUMPRODUCT((MONTH(CHOOSE({1,2,3,4},TTSSKĐ!T187,TTSSKĐ!X187,TTSSKĐ!AB187,TTSSKĐ!AF187))=9)*(CHOOSE({1,2,3,4},TTSSKĐ!W187,TTSSKĐ!AA187,TTSSKĐ!AE187,TTSSKĐ!AI187)))</f>
        <v>0</v>
      </c>
      <c r="J187">
        <f>SUMPRODUCT((MONTH(CHOOSE({1,2,3,4},TTSSKĐ!T187,TTSSKĐ!X187,TTSSKĐ!AB187,TTSSKĐ!AF187))=10)*(CHOOSE({1,2,3,4},TTSSKĐ!W187,TTSSKĐ!AA187,TTSSKĐ!AE187,TTSSKĐ!AI187)))</f>
        <v>0</v>
      </c>
      <c r="K187">
        <f>SUMPRODUCT((MONTH(CHOOSE({1,2,3,4},TTSSKĐ!T187,TTSSKĐ!X187,TTSSKĐ!AB187,TTSSKĐ!AF187))=11)*(CHOOSE({1,2,3,4},TTSSKĐ!W187,TTSSKĐ!AA187,TTSSKĐ!AE187,TTSSKĐ!AI187)))</f>
        <v>0</v>
      </c>
      <c r="L187">
        <f>SUMPRODUCT((MONTH(CHOOSE({1,2,3,4},TTSSKĐ!T187,TTSSKĐ!X187,TTSSKĐ!AB187,TTSSKĐ!AF187))=12)*(CHOOSE({1,2,3,4},TTSSKĐ!W187,TTSSKĐ!AA187,TTSSKĐ!AE187,TTSSKĐ!AI187)))</f>
        <v>0</v>
      </c>
    </row>
    <row r="188" spans="1:12">
      <c r="A188">
        <f>SUMPRODUCT((MONTH(CHOOSE({1,2,3,4},TTSSKĐ!T188,TTSSKĐ!X188,TTSSKĐ!AB188,TTSSKĐ!AF188))=1)*(CHOOSE({1,2,3,4},TTSSKĐ!W188,TTSSKĐ!AA188,TTSSKĐ!AE188,TTSSKĐ!AI188)))</f>
        <v>0</v>
      </c>
      <c r="B188">
        <f>SUMPRODUCT((MONTH(CHOOSE({1,2,3,4},TTSSKĐ!T188,TTSSKĐ!X188,TTSSKĐ!AB188,TTSSKĐ!AF188))=2)*(CHOOSE({1,2,3,4},TTSSKĐ!W188,TTSSKĐ!AA188,TTSSKĐ!AE188,TTSSKĐ!AI188)))</f>
        <v>0</v>
      </c>
      <c r="C188">
        <f>SUMPRODUCT((MONTH(CHOOSE({1,2,3,4},TTSSKĐ!T188,TTSSKĐ!X188,TTSSKĐ!AB188,TTSSKĐ!AF188))=3)*(CHOOSE({1,2,3,4},TTSSKĐ!W188,TTSSKĐ!AA188,TTSSKĐ!AE188,TTSSKĐ!AI188)))</f>
        <v>0</v>
      </c>
      <c r="D188">
        <f>SUMPRODUCT((MONTH(CHOOSE({1,2,3,4},TTSSKĐ!T188,TTSSKĐ!X188,TTSSKĐ!AB188,TTSSKĐ!AF188))=4)*(CHOOSE({1,2,3,4},TTSSKĐ!W188,TTSSKĐ!AA188,TTSSKĐ!AE188,TTSSKĐ!AI188)))</f>
        <v>0</v>
      </c>
      <c r="E188">
        <f>SUMPRODUCT((MONTH(CHOOSE({1,2,3,4},TTSSKĐ!T188,TTSSKĐ!X188,TTSSKĐ!AB188,TTSSKĐ!AF188))=5)*(CHOOSE({1,2,3,4},TTSSKĐ!W188,TTSSKĐ!AA188,TTSSKĐ!AE188,TTSSKĐ!AI188)))</f>
        <v>0</v>
      </c>
      <c r="F188">
        <f>SUMPRODUCT((MONTH(CHOOSE({1,2,3,4},TTSSKĐ!T188,TTSSKĐ!X188,TTSSKĐ!AB188,TTSSKĐ!AF188))=6)*(CHOOSE({1,2,3,4},TTSSKĐ!W188,TTSSKĐ!AA188,TTSSKĐ!AE188,TTSSKĐ!AI188)))</f>
        <v>0</v>
      </c>
      <c r="G188">
        <f>SUMPRODUCT((MONTH(CHOOSE({1,2,3,4},TTSSKĐ!T188,TTSSKĐ!X188,TTSSKĐ!AB188,TTSSKĐ!AF188))=7)*(CHOOSE({1,2,3,4},TTSSKĐ!W188,TTSSKĐ!AA188,TTSSKĐ!AE188,TTSSKĐ!AI188)))</f>
        <v>0</v>
      </c>
      <c r="H188">
        <f>SUMPRODUCT((MONTH(CHOOSE({1,2,3,4},TTSSKĐ!T188,TTSSKĐ!X188,TTSSKĐ!AB188,TTSSKĐ!AF188))=8)*(CHOOSE({1,2,3,4},TTSSKĐ!W188,TTSSKĐ!AA188,TTSSKĐ!AE188,TTSSKĐ!AI188)))</f>
        <v>0</v>
      </c>
      <c r="I188">
        <f>SUMPRODUCT((MONTH(CHOOSE({1,2,3,4},TTSSKĐ!T188,TTSSKĐ!X188,TTSSKĐ!AB188,TTSSKĐ!AF188))=9)*(CHOOSE({1,2,3,4},TTSSKĐ!W188,TTSSKĐ!AA188,TTSSKĐ!AE188,TTSSKĐ!AI188)))</f>
        <v>0</v>
      </c>
      <c r="J188">
        <f>SUMPRODUCT((MONTH(CHOOSE({1,2,3,4},TTSSKĐ!T188,TTSSKĐ!X188,TTSSKĐ!AB188,TTSSKĐ!AF188))=10)*(CHOOSE({1,2,3,4},TTSSKĐ!W188,TTSSKĐ!AA188,TTSSKĐ!AE188,TTSSKĐ!AI188)))</f>
        <v>0</v>
      </c>
      <c r="K188">
        <f>SUMPRODUCT((MONTH(CHOOSE({1,2,3,4},TTSSKĐ!T188,TTSSKĐ!X188,TTSSKĐ!AB188,TTSSKĐ!AF188))=11)*(CHOOSE({1,2,3,4},TTSSKĐ!W188,TTSSKĐ!AA188,TTSSKĐ!AE188,TTSSKĐ!AI188)))</f>
        <v>0</v>
      </c>
      <c r="L188">
        <f>SUMPRODUCT((MONTH(CHOOSE({1,2,3,4},TTSSKĐ!T188,TTSSKĐ!X188,TTSSKĐ!AB188,TTSSKĐ!AF188))=12)*(CHOOSE({1,2,3,4},TTSSKĐ!W188,TTSSKĐ!AA188,TTSSKĐ!AE188,TTSSKĐ!AI188)))</f>
        <v>0</v>
      </c>
    </row>
    <row r="189" spans="1:12">
      <c r="A189">
        <f>SUMPRODUCT((MONTH(CHOOSE({1,2,3,4},TTSSKĐ!T189,TTSSKĐ!X189,TTSSKĐ!AB189,TTSSKĐ!AF189))=1)*(CHOOSE({1,2,3,4},TTSSKĐ!W189,TTSSKĐ!AA189,TTSSKĐ!AE189,TTSSKĐ!AI189)))</f>
        <v>0</v>
      </c>
      <c r="B189">
        <f>SUMPRODUCT((MONTH(CHOOSE({1,2,3,4},TTSSKĐ!T189,TTSSKĐ!X189,TTSSKĐ!AB189,TTSSKĐ!AF189))=2)*(CHOOSE({1,2,3,4},TTSSKĐ!W189,TTSSKĐ!AA189,TTSSKĐ!AE189,TTSSKĐ!AI189)))</f>
        <v>0</v>
      </c>
      <c r="C189">
        <f>SUMPRODUCT((MONTH(CHOOSE({1,2,3,4},TTSSKĐ!T189,TTSSKĐ!X189,TTSSKĐ!AB189,TTSSKĐ!AF189))=3)*(CHOOSE({1,2,3,4},TTSSKĐ!W189,TTSSKĐ!AA189,TTSSKĐ!AE189,TTSSKĐ!AI189)))</f>
        <v>0</v>
      </c>
      <c r="D189">
        <f>SUMPRODUCT((MONTH(CHOOSE({1,2,3,4},TTSSKĐ!T189,TTSSKĐ!X189,TTSSKĐ!AB189,TTSSKĐ!AF189))=4)*(CHOOSE({1,2,3,4},TTSSKĐ!W189,TTSSKĐ!AA189,TTSSKĐ!AE189,TTSSKĐ!AI189)))</f>
        <v>0</v>
      </c>
      <c r="E189">
        <f>SUMPRODUCT((MONTH(CHOOSE({1,2,3,4},TTSSKĐ!T189,TTSSKĐ!X189,TTSSKĐ!AB189,TTSSKĐ!AF189))=5)*(CHOOSE({1,2,3,4},TTSSKĐ!W189,TTSSKĐ!AA189,TTSSKĐ!AE189,TTSSKĐ!AI189)))</f>
        <v>0</v>
      </c>
      <c r="F189">
        <f>SUMPRODUCT((MONTH(CHOOSE({1,2,3,4},TTSSKĐ!T189,TTSSKĐ!X189,TTSSKĐ!AB189,TTSSKĐ!AF189))=6)*(CHOOSE({1,2,3,4},TTSSKĐ!W189,TTSSKĐ!AA189,TTSSKĐ!AE189,TTSSKĐ!AI189)))</f>
        <v>0</v>
      </c>
      <c r="G189">
        <f>SUMPRODUCT((MONTH(CHOOSE({1,2,3,4},TTSSKĐ!T189,TTSSKĐ!X189,TTSSKĐ!AB189,TTSSKĐ!AF189))=7)*(CHOOSE({1,2,3,4},TTSSKĐ!W189,TTSSKĐ!AA189,TTSSKĐ!AE189,TTSSKĐ!AI189)))</f>
        <v>0</v>
      </c>
      <c r="H189">
        <f>SUMPRODUCT((MONTH(CHOOSE({1,2,3,4},TTSSKĐ!T189,TTSSKĐ!X189,TTSSKĐ!AB189,TTSSKĐ!AF189))=8)*(CHOOSE({1,2,3,4},TTSSKĐ!W189,TTSSKĐ!AA189,TTSSKĐ!AE189,TTSSKĐ!AI189)))</f>
        <v>0</v>
      </c>
      <c r="I189">
        <f>SUMPRODUCT((MONTH(CHOOSE({1,2,3,4},TTSSKĐ!T189,TTSSKĐ!X189,TTSSKĐ!AB189,TTSSKĐ!AF189))=9)*(CHOOSE({1,2,3,4},TTSSKĐ!W189,TTSSKĐ!AA189,TTSSKĐ!AE189,TTSSKĐ!AI189)))</f>
        <v>0</v>
      </c>
      <c r="J189">
        <f>SUMPRODUCT((MONTH(CHOOSE({1,2,3,4},TTSSKĐ!T189,TTSSKĐ!X189,TTSSKĐ!AB189,TTSSKĐ!AF189))=10)*(CHOOSE({1,2,3,4},TTSSKĐ!W189,TTSSKĐ!AA189,TTSSKĐ!AE189,TTSSKĐ!AI189)))</f>
        <v>0</v>
      </c>
      <c r="K189">
        <f>SUMPRODUCT((MONTH(CHOOSE({1,2,3,4},TTSSKĐ!T189,TTSSKĐ!X189,TTSSKĐ!AB189,TTSSKĐ!AF189))=11)*(CHOOSE({1,2,3,4},TTSSKĐ!W189,TTSSKĐ!AA189,TTSSKĐ!AE189,TTSSKĐ!AI189)))</f>
        <v>0</v>
      </c>
      <c r="L189">
        <f>SUMPRODUCT((MONTH(CHOOSE({1,2,3,4},TTSSKĐ!T189,TTSSKĐ!X189,TTSSKĐ!AB189,TTSSKĐ!AF189))=12)*(CHOOSE({1,2,3,4},TTSSKĐ!W189,TTSSKĐ!AA189,TTSSKĐ!AE189,TTSSKĐ!AI189)))</f>
        <v>0</v>
      </c>
    </row>
    <row r="190" spans="1:12">
      <c r="A190">
        <f>SUMPRODUCT((MONTH(CHOOSE({1,2,3,4},TTSSKĐ!T190,TTSSKĐ!X190,TTSSKĐ!AB190,TTSSKĐ!AF190))=1)*(CHOOSE({1,2,3,4},TTSSKĐ!W190,TTSSKĐ!AA190,TTSSKĐ!AE190,TTSSKĐ!AI190)))</f>
        <v>0</v>
      </c>
      <c r="B190">
        <f>SUMPRODUCT((MONTH(CHOOSE({1,2,3,4},TTSSKĐ!T190,TTSSKĐ!X190,TTSSKĐ!AB190,TTSSKĐ!AF190))=2)*(CHOOSE({1,2,3,4},TTSSKĐ!W190,TTSSKĐ!AA190,TTSSKĐ!AE190,TTSSKĐ!AI190)))</f>
        <v>0</v>
      </c>
      <c r="C190">
        <f>SUMPRODUCT((MONTH(CHOOSE({1,2,3,4},TTSSKĐ!T190,TTSSKĐ!X190,TTSSKĐ!AB190,TTSSKĐ!AF190))=3)*(CHOOSE({1,2,3,4},TTSSKĐ!W190,TTSSKĐ!AA190,TTSSKĐ!AE190,TTSSKĐ!AI190)))</f>
        <v>0</v>
      </c>
      <c r="D190">
        <f>SUMPRODUCT((MONTH(CHOOSE({1,2,3,4},TTSSKĐ!T190,TTSSKĐ!X190,TTSSKĐ!AB190,TTSSKĐ!AF190))=4)*(CHOOSE({1,2,3,4},TTSSKĐ!W190,TTSSKĐ!AA190,TTSSKĐ!AE190,TTSSKĐ!AI190)))</f>
        <v>0</v>
      </c>
      <c r="E190">
        <f>SUMPRODUCT((MONTH(CHOOSE({1,2,3,4},TTSSKĐ!T190,TTSSKĐ!X190,TTSSKĐ!AB190,TTSSKĐ!AF190))=5)*(CHOOSE({1,2,3,4},TTSSKĐ!W190,TTSSKĐ!AA190,TTSSKĐ!AE190,TTSSKĐ!AI190)))</f>
        <v>0</v>
      </c>
      <c r="F190">
        <f>SUMPRODUCT((MONTH(CHOOSE({1,2,3,4},TTSSKĐ!T190,TTSSKĐ!X190,TTSSKĐ!AB190,TTSSKĐ!AF190))=6)*(CHOOSE({1,2,3,4},TTSSKĐ!W190,TTSSKĐ!AA190,TTSSKĐ!AE190,TTSSKĐ!AI190)))</f>
        <v>0</v>
      </c>
      <c r="G190">
        <f>SUMPRODUCT((MONTH(CHOOSE({1,2,3,4},TTSSKĐ!T190,TTSSKĐ!X190,TTSSKĐ!AB190,TTSSKĐ!AF190))=7)*(CHOOSE({1,2,3,4},TTSSKĐ!W190,TTSSKĐ!AA190,TTSSKĐ!AE190,TTSSKĐ!AI190)))</f>
        <v>0</v>
      </c>
      <c r="H190">
        <f>SUMPRODUCT((MONTH(CHOOSE({1,2,3,4},TTSSKĐ!T190,TTSSKĐ!X190,TTSSKĐ!AB190,TTSSKĐ!AF190))=8)*(CHOOSE({1,2,3,4},TTSSKĐ!W190,TTSSKĐ!AA190,TTSSKĐ!AE190,TTSSKĐ!AI190)))</f>
        <v>0</v>
      </c>
      <c r="I190">
        <f>SUMPRODUCT((MONTH(CHOOSE({1,2,3,4},TTSSKĐ!T190,TTSSKĐ!X190,TTSSKĐ!AB190,TTSSKĐ!AF190))=9)*(CHOOSE({1,2,3,4},TTSSKĐ!W190,TTSSKĐ!AA190,TTSSKĐ!AE190,TTSSKĐ!AI190)))</f>
        <v>0</v>
      </c>
      <c r="J190">
        <f>SUMPRODUCT((MONTH(CHOOSE({1,2,3,4},TTSSKĐ!T190,TTSSKĐ!X190,TTSSKĐ!AB190,TTSSKĐ!AF190))=10)*(CHOOSE({1,2,3,4},TTSSKĐ!W190,TTSSKĐ!AA190,TTSSKĐ!AE190,TTSSKĐ!AI190)))</f>
        <v>0</v>
      </c>
      <c r="K190">
        <f>SUMPRODUCT((MONTH(CHOOSE({1,2,3,4},TTSSKĐ!T190,TTSSKĐ!X190,TTSSKĐ!AB190,TTSSKĐ!AF190))=11)*(CHOOSE({1,2,3,4},TTSSKĐ!W190,TTSSKĐ!AA190,TTSSKĐ!AE190,TTSSKĐ!AI190)))</f>
        <v>0</v>
      </c>
      <c r="L190">
        <f>SUMPRODUCT((MONTH(CHOOSE({1,2,3,4},TTSSKĐ!T190,TTSSKĐ!X190,TTSSKĐ!AB190,TTSSKĐ!AF190))=12)*(CHOOSE({1,2,3,4},TTSSKĐ!W190,TTSSKĐ!AA190,TTSSKĐ!AE190,TTSSKĐ!AI190)))</f>
        <v>0</v>
      </c>
    </row>
    <row r="191" spans="1:12">
      <c r="A191">
        <f>SUMPRODUCT((MONTH(CHOOSE({1,2,3,4},TTSSKĐ!T191,TTSSKĐ!X191,TTSSKĐ!AB191,TTSSKĐ!AF191))=1)*(CHOOSE({1,2,3,4},TTSSKĐ!W191,TTSSKĐ!AA191,TTSSKĐ!AE191,TTSSKĐ!AI191)))</f>
        <v>0</v>
      </c>
      <c r="B191">
        <f>SUMPRODUCT((MONTH(CHOOSE({1,2,3,4},TTSSKĐ!T191,TTSSKĐ!X191,TTSSKĐ!AB191,TTSSKĐ!AF191))=2)*(CHOOSE({1,2,3,4},TTSSKĐ!W191,TTSSKĐ!AA191,TTSSKĐ!AE191,TTSSKĐ!AI191)))</f>
        <v>0</v>
      </c>
      <c r="C191">
        <f>SUMPRODUCT((MONTH(CHOOSE({1,2,3,4},TTSSKĐ!T191,TTSSKĐ!X191,TTSSKĐ!AB191,TTSSKĐ!AF191))=3)*(CHOOSE({1,2,3,4},TTSSKĐ!W191,TTSSKĐ!AA191,TTSSKĐ!AE191,TTSSKĐ!AI191)))</f>
        <v>0</v>
      </c>
      <c r="D191">
        <f>SUMPRODUCT((MONTH(CHOOSE({1,2,3,4},TTSSKĐ!T191,TTSSKĐ!X191,TTSSKĐ!AB191,TTSSKĐ!AF191))=4)*(CHOOSE({1,2,3,4},TTSSKĐ!W191,TTSSKĐ!AA191,TTSSKĐ!AE191,TTSSKĐ!AI191)))</f>
        <v>0</v>
      </c>
      <c r="E191">
        <f>SUMPRODUCT((MONTH(CHOOSE({1,2,3,4},TTSSKĐ!T191,TTSSKĐ!X191,TTSSKĐ!AB191,TTSSKĐ!AF191))=5)*(CHOOSE({1,2,3,4},TTSSKĐ!W191,TTSSKĐ!AA191,TTSSKĐ!AE191,TTSSKĐ!AI191)))</f>
        <v>0</v>
      </c>
      <c r="F191">
        <f>SUMPRODUCT((MONTH(CHOOSE({1,2,3,4},TTSSKĐ!T191,TTSSKĐ!X191,TTSSKĐ!AB191,TTSSKĐ!AF191))=6)*(CHOOSE({1,2,3,4},TTSSKĐ!W191,TTSSKĐ!AA191,TTSSKĐ!AE191,TTSSKĐ!AI191)))</f>
        <v>0</v>
      </c>
      <c r="G191">
        <f>SUMPRODUCT((MONTH(CHOOSE({1,2,3,4},TTSSKĐ!T191,TTSSKĐ!X191,TTSSKĐ!AB191,TTSSKĐ!AF191))=7)*(CHOOSE({1,2,3,4},TTSSKĐ!W191,TTSSKĐ!AA191,TTSSKĐ!AE191,TTSSKĐ!AI191)))</f>
        <v>0</v>
      </c>
      <c r="H191">
        <f>SUMPRODUCT((MONTH(CHOOSE({1,2,3,4},TTSSKĐ!T191,TTSSKĐ!X191,TTSSKĐ!AB191,TTSSKĐ!AF191))=8)*(CHOOSE({1,2,3,4},TTSSKĐ!W191,TTSSKĐ!AA191,TTSSKĐ!AE191,TTSSKĐ!AI191)))</f>
        <v>0</v>
      </c>
      <c r="I191">
        <f>SUMPRODUCT((MONTH(CHOOSE({1,2,3,4},TTSSKĐ!T191,TTSSKĐ!X191,TTSSKĐ!AB191,TTSSKĐ!AF191))=9)*(CHOOSE({1,2,3,4},TTSSKĐ!W191,TTSSKĐ!AA191,TTSSKĐ!AE191,TTSSKĐ!AI191)))</f>
        <v>0</v>
      </c>
      <c r="J191">
        <f>SUMPRODUCT((MONTH(CHOOSE({1,2,3,4},TTSSKĐ!T191,TTSSKĐ!X191,TTSSKĐ!AB191,TTSSKĐ!AF191))=10)*(CHOOSE({1,2,3,4},TTSSKĐ!W191,TTSSKĐ!AA191,TTSSKĐ!AE191,TTSSKĐ!AI191)))</f>
        <v>0</v>
      </c>
      <c r="K191">
        <f>SUMPRODUCT((MONTH(CHOOSE({1,2,3,4},TTSSKĐ!T191,TTSSKĐ!X191,TTSSKĐ!AB191,TTSSKĐ!AF191))=11)*(CHOOSE({1,2,3,4},TTSSKĐ!W191,TTSSKĐ!AA191,TTSSKĐ!AE191,TTSSKĐ!AI191)))</f>
        <v>0</v>
      </c>
      <c r="L191">
        <f>SUMPRODUCT((MONTH(CHOOSE({1,2,3,4},TTSSKĐ!T191,TTSSKĐ!X191,TTSSKĐ!AB191,TTSSKĐ!AF191))=12)*(CHOOSE({1,2,3,4},TTSSKĐ!W191,TTSSKĐ!AA191,TTSSKĐ!AE191,TTSSKĐ!AI191)))</f>
        <v>0</v>
      </c>
    </row>
    <row r="192" spans="1:12">
      <c r="A192">
        <f>SUMPRODUCT((MONTH(CHOOSE({1,2,3,4},TTSSKĐ!T192,TTSSKĐ!X192,TTSSKĐ!AB192,TTSSKĐ!AF192))=1)*(CHOOSE({1,2,3,4},TTSSKĐ!W192,TTSSKĐ!AA192,TTSSKĐ!AE192,TTSSKĐ!AI192)))</f>
        <v>0</v>
      </c>
      <c r="B192">
        <f>SUMPRODUCT((MONTH(CHOOSE({1,2,3,4},TTSSKĐ!T192,TTSSKĐ!X192,TTSSKĐ!AB192,TTSSKĐ!AF192))=2)*(CHOOSE({1,2,3,4},TTSSKĐ!W192,TTSSKĐ!AA192,TTSSKĐ!AE192,TTSSKĐ!AI192)))</f>
        <v>0</v>
      </c>
      <c r="C192">
        <f>SUMPRODUCT((MONTH(CHOOSE({1,2,3,4},TTSSKĐ!T192,TTSSKĐ!X192,TTSSKĐ!AB192,TTSSKĐ!AF192))=3)*(CHOOSE({1,2,3,4},TTSSKĐ!W192,TTSSKĐ!AA192,TTSSKĐ!AE192,TTSSKĐ!AI192)))</f>
        <v>0</v>
      </c>
      <c r="D192">
        <f>SUMPRODUCT((MONTH(CHOOSE({1,2,3,4},TTSSKĐ!T192,TTSSKĐ!X192,TTSSKĐ!AB192,TTSSKĐ!AF192))=4)*(CHOOSE({1,2,3,4},TTSSKĐ!W192,TTSSKĐ!AA192,TTSSKĐ!AE192,TTSSKĐ!AI192)))</f>
        <v>0</v>
      </c>
      <c r="E192">
        <f>SUMPRODUCT((MONTH(CHOOSE({1,2,3,4},TTSSKĐ!T192,TTSSKĐ!X192,TTSSKĐ!AB192,TTSSKĐ!AF192))=5)*(CHOOSE({1,2,3,4},TTSSKĐ!W192,TTSSKĐ!AA192,TTSSKĐ!AE192,TTSSKĐ!AI192)))</f>
        <v>0</v>
      </c>
      <c r="F192">
        <f>SUMPRODUCT((MONTH(CHOOSE({1,2,3,4},TTSSKĐ!T192,TTSSKĐ!X192,TTSSKĐ!AB192,TTSSKĐ!AF192))=6)*(CHOOSE({1,2,3,4},TTSSKĐ!W192,TTSSKĐ!AA192,TTSSKĐ!AE192,TTSSKĐ!AI192)))</f>
        <v>0</v>
      </c>
      <c r="G192">
        <f>SUMPRODUCT((MONTH(CHOOSE({1,2,3,4},TTSSKĐ!T192,TTSSKĐ!X192,TTSSKĐ!AB192,TTSSKĐ!AF192))=7)*(CHOOSE({1,2,3,4},TTSSKĐ!W192,TTSSKĐ!AA192,TTSSKĐ!AE192,TTSSKĐ!AI192)))</f>
        <v>0</v>
      </c>
      <c r="H192">
        <f>SUMPRODUCT((MONTH(CHOOSE({1,2,3,4},TTSSKĐ!T192,TTSSKĐ!X192,TTSSKĐ!AB192,TTSSKĐ!AF192))=8)*(CHOOSE({1,2,3,4},TTSSKĐ!W192,TTSSKĐ!AA192,TTSSKĐ!AE192,TTSSKĐ!AI192)))</f>
        <v>0</v>
      </c>
      <c r="I192">
        <f>SUMPRODUCT((MONTH(CHOOSE({1,2,3,4},TTSSKĐ!T192,TTSSKĐ!X192,TTSSKĐ!AB192,TTSSKĐ!AF192))=9)*(CHOOSE({1,2,3,4},TTSSKĐ!W192,TTSSKĐ!AA192,TTSSKĐ!AE192,TTSSKĐ!AI192)))</f>
        <v>0</v>
      </c>
      <c r="J192">
        <f>SUMPRODUCT((MONTH(CHOOSE({1,2,3,4},TTSSKĐ!T192,TTSSKĐ!X192,TTSSKĐ!AB192,TTSSKĐ!AF192))=10)*(CHOOSE({1,2,3,4},TTSSKĐ!W192,TTSSKĐ!AA192,TTSSKĐ!AE192,TTSSKĐ!AI192)))</f>
        <v>0</v>
      </c>
      <c r="K192">
        <f>SUMPRODUCT((MONTH(CHOOSE({1,2,3,4},TTSSKĐ!T192,TTSSKĐ!X192,TTSSKĐ!AB192,TTSSKĐ!AF192))=11)*(CHOOSE({1,2,3,4},TTSSKĐ!W192,TTSSKĐ!AA192,TTSSKĐ!AE192,TTSSKĐ!AI192)))</f>
        <v>0</v>
      </c>
      <c r="L192">
        <f>SUMPRODUCT((MONTH(CHOOSE({1,2,3,4},TTSSKĐ!T192,TTSSKĐ!X192,TTSSKĐ!AB192,TTSSKĐ!AF192))=12)*(CHOOSE({1,2,3,4},TTSSKĐ!W192,TTSSKĐ!AA192,TTSSKĐ!AE192,TTSSKĐ!AI192)))</f>
        <v>0</v>
      </c>
    </row>
    <row r="193" spans="1:12">
      <c r="A193">
        <f>SUMPRODUCT((MONTH(CHOOSE({1,2,3,4},TTSSKĐ!T193,TTSSKĐ!X193,TTSSKĐ!AB193,TTSSKĐ!AF193))=1)*(CHOOSE({1,2,3,4},TTSSKĐ!W193,TTSSKĐ!AA193,TTSSKĐ!AE193,TTSSKĐ!AI193)))</f>
        <v>0</v>
      </c>
      <c r="B193">
        <f>SUMPRODUCT((MONTH(CHOOSE({1,2,3,4},TTSSKĐ!T193,TTSSKĐ!X193,TTSSKĐ!AB193,TTSSKĐ!AF193))=2)*(CHOOSE({1,2,3,4},TTSSKĐ!W193,TTSSKĐ!AA193,TTSSKĐ!AE193,TTSSKĐ!AI193)))</f>
        <v>0</v>
      </c>
      <c r="C193">
        <f>SUMPRODUCT((MONTH(CHOOSE({1,2,3,4},TTSSKĐ!T193,TTSSKĐ!X193,TTSSKĐ!AB193,TTSSKĐ!AF193))=3)*(CHOOSE({1,2,3,4},TTSSKĐ!W193,TTSSKĐ!AA193,TTSSKĐ!AE193,TTSSKĐ!AI193)))</f>
        <v>0</v>
      </c>
      <c r="D193">
        <f>SUMPRODUCT((MONTH(CHOOSE({1,2,3,4},TTSSKĐ!T193,TTSSKĐ!X193,TTSSKĐ!AB193,TTSSKĐ!AF193))=4)*(CHOOSE({1,2,3,4},TTSSKĐ!W193,TTSSKĐ!AA193,TTSSKĐ!AE193,TTSSKĐ!AI193)))</f>
        <v>0</v>
      </c>
      <c r="E193">
        <f>SUMPRODUCT((MONTH(CHOOSE({1,2,3,4},TTSSKĐ!T193,TTSSKĐ!X193,TTSSKĐ!AB193,TTSSKĐ!AF193))=5)*(CHOOSE({1,2,3,4},TTSSKĐ!W193,TTSSKĐ!AA193,TTSSKĐ!AE193,TTSSKĐ!AI193)))</f>
        <v>0</v>
      </c>
      <c r="F193">
        <f>SUMPRODUCT((MONTH(CHOOSE({1,2,3,4},TTSSKĐ!T193,TTSSKĐ!X193,TTSSKĐ!AB193,TTSSKĐ!AF193))=6)*(CHOOSE({1,2,3,4},TTSSKĐ!W193,TTSSKĐ!AA193,TTSSKĐ!AE193,TTSSKĐ!AI193)))</f>
        <v>0</v>
      </c>
      <c r="G193">
        <f>SUMPRODUCT((MONTH(CHOOSE({1,2,3,4},TTSSKĐ!T193,TTSSKĐ!X193,TTSSKĐ!AB193,TTSSKĐ!AF193))=7)*(CHOOSE({1,2,3,4},TTSSKĐ!W193,TTSSKĐ!AA193,TTSSKĐ!AE193,TTSSKĐ!AI193)))</f>
        <v>0</v>
      </c>
      <c r="H193">
        <f>SUMPRODUCT((MONTH(CHOOSE({1,2,3,4},TTSSKĐ!T193,TTSSKĐ!X193,TTSSKĐ!AB193,TTSSKĐ!AF193))=8)*(CHOOSE({1,2,3,4},TTSSKĐ!W193,TTSSKĐ!AA193,TTSSKĐ!AE193,TTSSKĐ!AI193)))</f>
        <v>0</v>
      </c>
      <c r="I193">
        <f>SUMPRODUCT((MONTH(CHOOSE({1,2,3,4},TTSSKĐ!T193,TTSSKĐ!X193,TTSSKĐ!AB193,TTSSKĐ!AF193))=9)*(CHOOSE({1,2,3,4},TTSSKĐ!W193,TTSSKĐ!AA193,TTSSKĐ!AE193,TTSSKĐ!AI193)))</f>
        <v>0</v>
      </c>
      <c r="J193">
        <f>SUMPRODUCT((MONTH(CHOOSE({1,2,3,4},TTSSKĐ!T193,TTSSKĐ!X193,TTSSKĐ!AB193,TTSSKĐ!AF193))=10)*(CHOOSE({1,2,3,4},TTSSKĐ!W193,TTSSKĐ!AA193,TTSSKĐ!AE193,TTSSKĐ!AI193)))</f>
        <v>0</v>
      </c>
      <c r="K193">
        <f>SUMPRODUCT((MONTH(CHOOSE({1,2,3,4},TTSSKĐ!T193,TTSSKĐ!X193,TTSSKĐ!AB193,TTSSKĐ!AF193))=11)*(CHOOSE({1,2,3,4},TTSSKĐ!W193,TTSSKĐ!AA193,TTSSKĐ!AE193,TTSSKĐ!AI193)))</f>
        <v>0</v>
      </c>
      <c r="L193">
        <f>SUMPRODUCT((MONTH(CHOOSE({1,2,3,4},TTSSKĐ!T193,TTSSKĐ!X193,TTSSKĐ!AB193,TTSSKĐ!AF193))=12)*(CHOOSE({1,2,3,4},TTSSKĐ!W193,TTSSKĐ!AA193,TTSSKĐ!AE193,TTSSKĐ!AI193)))</f>
        <v>0</v>
      </c>
    </row>
    <row r="194" spans="1:12">
      <c r="A194">
        <f>SUMPRODUCT((MONTH(CHOOSE({1,2,3,4},TTSSKĐ!T194,TTSSKĐ!X194,TTSSKĐ!AB194,TTSSKĐ!AF194))=1)*(CHOOSE({1,2,3,4},TTSSKĐ!W194,TTSSKĐ!AA194,TTSSKĐ!AE194,TTSSKĐ!AI194)))</f>
        <v>0</v>
      </c>
      <c r="B194">
        <f>SUMPRODUCT((MONTH(CHOOSE({1,2,3,4},TTSSKĐ!T194,TTSSKĐ!X194,TTSSKĐ!AB194,TTSSKĐ!AF194))=2)*(CHOOSE({1,2,3,4},TTSSKĐ!W194,TTSSKĐ!AA194,TTSSKĐ!AE194,TTSSKĐ!AI194)))</f>
        <v>0</v>
      </c>
      <c r="C194">
        <f>SUMPRODUCT((MONTH(CHOOSE({1,2,3,4},TTSSKĐ!T194,TTSSKĐ!X194,TTSSKĐ!AB194,TTSSKĐ!AF194))=3)*(CHOOSE({1,2,3,4},TTSSKĐ!W194,TTSSKĐ!AA194,TTSSKĐ!AE194,TTSSKĐ!AI194)))</f>
        <v>0</v>
      </c>
      <c r="D194">
        <f>SUMPRODUCT((MONTH(CHOOSE({1,2,3,4},TTSSKĐ!T194,TTSSKĐ!X194,TTSSKĐ!AB194,TTSSKĐ!AF194))=4)*(CHOOSE({1,2,3,4},TTSSKĐ!W194,TTSSKĐ!AA194,TTSSKĐ!AE194,TTSSKĐ!AI194)))</f>
        <v>0</v>
      </c>
      <c r="E194">
        <f>SUMPRODUCT((MONTH(CHOOSE({1,2,3,4},TTSSKĐ!T194,TTSSKĐ!X194,TTSSKĐ!AB194,TTSSKĐ!AF194))=5)*(CHOOSE({1,2,3,4},TTSSKĐ!W194,TTSSKĐ!AA194,TTSSKĐ!AE194,TTSSKĐ!AI194)))</f>
        <v>0</v>
      </c>
      <c r="F194">
        <f>SUMPRODUCT((MONTH(CHOOSE({1,2,3,4},TTSSKĐ!T194,TTSSKĐ!X194,TTSSKĐ!AB194,TTSSKĐ!AF194))=6)*(CHOOSE({1,2,3,4},TTSSKĐ!W194,TTSSKĐ!AA194,TTSSKĐ!AE194,TTSSKĐ!AI194)))</f>
        <v>0</v>
      </c>
      <c r="G194">
        <f>SUMPRODUCT((MONTH(CHOOSE({1,2,3,4},TTSSKĐ!T194,TTSSKĐ!X194,TTSSKĐ!AB194,TTSSKĐ!AF194))=7)*(CHOOSE({1,2,3,4},TTSSKĐ!W194,TTSSKĐ!AA194,TTSSKĐ!AE194,TTSSKĐ!AI194)))</f>
        <v>0</v>
      </c>
      <c r="H194">
        <f>SUMPRODUCT((MONTH(CHOOSE({1,2,3,4},TTSSKĐ!T194,TTSSKĐ!X194,TTSSKĐ!AB194,TTSSKĐ!AF194))=8)*(CHOOSE({1,2,3,4},TTSSKĐ!W194,TTSSKĐ!AA194,TTSSKĐ!AE194,TTSSKĐ!AI194)))</f>
        <v>0</v>
      </c>
      <c r="I194">
        <f>SUMPRODUCT((MONTH(CHOOSE({1,2,3,4},TTSSKĐ!T194,TTSSKĐ!X194,TTSSKĐ!AB194,TTSSKĐ!AF194))=9)*(CHOOSE({1,2,3,4},TTSSKĐ!W194,TTSSKĐ!AA194,TTSSKĐ!AE194,TTSSKĐ!AI194)))</f>
        <v>0</v>
      </c>
      <c r="J194">
        <f>SUMPRODUCT((MONTH(CHOOSE({1,2,3,4},TTSSKĐ!T194,TTSSKĐ!X194,TTSSKĐ!AB194,TTSSKĐ!AF194))=10)*(CHOOSE({1,2,3,4},TTSSKĐ!W194,TTSSKĐ!AA194,TTSSKĐ!AE194,TTSSKĐ!AI194)))</f>
        <v>0</v>
      </c>
      <c r="K194">
        <f>SUMPRODUCT((MONTH(CHOOSE({1,2,3,4},TTSSKĐ!T194,TTSSKĐ!X194,TTSSKĐ!AB194,TTSSKĐ!AF194))=11)*(CHOOSE({1,2,3,4},TTSSKĐ!W194,TTSSKĐ!AA194,TTSSKĐ!AE194,TTSSKĐ!AI194)))</f>
        <v>0</v>
      </c>
      <c r="L194">
        <f>SUMPRODUCT((MONTH(CHOOSE({1,2,3,4},TTSSKĐ!T194,TTSSKĐ!X194,TTSSKĐ!AB194,TTSSKĐ!AF194))=12)*(CHOOSE({1,2,3,4},TTSSKĐ!W194,TTSSKĐ!AA194,TTSSKĐ!AE194,TTSSKĐ!AI194)))</f>
        <v>0</v>
      </c>
    </row>
    <row r="195" spans="1:12">
      <c r="A195">
        <f>SUMPRODUCT((MONTH(CHOOSE({1,2,3,4},TTSSKĐ!T195,TTSSKĐ!X195,TTSSKĐ!AB195,TTSSKĐ!AF195))=1)*(CHOOSE({1,2,3,4},TTSSKĐ!W195,TTSSKĐ!AA195,TTSSKĐ!AE195,TTSSKĐ!AI195)))</f>
        <v>0</v>
      </c>
      <c r="B195">
        <f>SUMPRODUCT((MONTH(CHOOSE({1,2,3,4},TTSSKĐ!T195,TTSSKĐ!X195,TTSSKĐ!AB195,TTSSKĐ!AF195))=2)*(CHOOSE({1,2,3,4},TTSSKĐ!W195,TTSSKĐ!AA195,TTSSKĐ!AE195,TTSSKĐ!AI195)))</f>
        <v>0</v>
      </c>
      <c r="C195">
        <f>SUMPRODUCT((MONTH(CHOOSE({1,2,3,4},TTSSKĐ!T195,TTSSKĐ!X195,TTSSKĐ!AB195,TTSSKĐ!AF195))=3)*(CHOOSE({1,2,3,4},TTSSKĐ!W195,TTSSKĐ!AA195,TTSSKĐ!AE195,TTSSKĐ!AI195)))</f>
        <v>0</v>
      </c>
      <c r="D195">
        <f>SUMPRODUCT((MONTH(CHOOSE({1,2,3,4},TTSSKĐ!T195,TTSSKĐ!X195,TTSSKĐ!AB195,TTSSKĐ!AF195))=4)*(CHOOSE({1,2,3,4},TTSSKĐ!W195,TTSSKĐ!AA195,TTSSKĐ!AE195,TTSSKĐ!AI195)))</f>
        <v>0</v>
      </c>
      <c r="E195">
        <f>SUMPRODUCT((MONTH(CHOOSE({1,2,3,4},TTSSKĐ!T195,TTSSKĐ!X195,TTSSKĐ!AB195,TTSSKĐ!AF195))=5)*(CHOOSE({1,2,3,4},TTSSKĐ!W195,TTSSKĐ!AA195,TTSSKĐ!AE195,TTSSKĐ!AI195)))</f>
        <v>0</v>
      </c>
      <c r="F195">
        <f>SUMPRODUCT((MONTH(CHOOSE({1,2,3,4},TTSSKĐ!T195,TTSSKĐ!X195,TTSSKĐ!AB195,TTSSKĐ!AF195))=6)*(CHOOSE({1,2,3,4},TTSSKĐ!W195,TTSSKĐ!AA195,TTSSKĐ!AE195,TTSSKĐ!AI195)))</f>
        <v>0</v>
      </c>
      <c r="G195">
        <f>SUMPRODUCT((MONTH(CHOOSE({1,2,3,4},TTSSKĐ!T195,TTSSKĐ!X195,TTSSKĐ!AB195,TTSSKĐ!AF195))=7)*(CHOOSE({1,2,3,4},TTSSKĐ!W195,TTSSKĐ!AA195,TTSSKĐ!AE195,TTSSKĐ!AI195)))</f>
        <v>0</v>
      </c>
      <c r="H195">
        <f>SUMPRODUCT((MONTH(CHOOSE({1,2,3,4},TTSSKĐ!T195,TTSSKĐ!X195,TTSSKĐ!AB195,TTSSKĐ!AF195))=8)*(CHOOSE({1,2,3,4},TTSSKĐ!W195,TTSSKĐ!AA195,TTSSKĐ!AE195,TTSSKĐ!AI195)))</f>
        <v>0</v>
      </c>
      <c r="I195">
        <f>SUMPRODUCT((MONTH(CHOOSE({1,2,3,4},TTSSKĐ!T195,TTSSKĐ!X195,TTSSKĐ!AB195,TTSSKĐ!AF195))=9)*(CHOOSE({1,2,3,4},TTSSKĐ!W195,TTSSKĐ!AA195,TTSSKĐ!AE195,TTSSKĐ!AI195)))</f>
        <v>0</v>
      </c>
      <c r="J195">
        <f>SUMPRODUCT((MONTH(CHOOSE({1,2,3,4},TTSSKĐ!T195,TTSSKĐ!X195,TTSSKĐ!AB195,TTSSKĐ!AF195))=10)*(CHOOSE({1,2,3,4},TTSSKĐ!W195,TTSSKĐ!AA195,TTSSKĐ!AE195,TTSSKĐ!AI195)))</f>
        <v>0</v>
      </c>
      <c r="K195">
        <f>SUMPRODUCT((MONTH(CHOOSE({1,2,3,4},TTSSKĐ!T195,TTSSKĐ!X195,TTSSKĐ!AB195,TTSSKĐ!AF195))=11)*(CHOOSE({1,2,3,4},TTSSKĐ!W195,TTSSKĐ!AA195,TTSSKĐ!AE195,TTSSKĐ!AI195)))</f>
        <v>0</v>
      </c>
      <c r="L195">
        <f>SUMPRODUCT((MONTH(CHOOSE({1,2,3,4},TTSSKĐ!T195,TTSSKĐ!X195,TTSSKĐ!AB195,TTSSKĐ!AF195))=12)*(CHOOSE({1,2,3,4},TTSSKĐ!W195,TTSSKĐ!AA195,TTSSKĐ!AE195,TTSSKĐ!AI195)))</f>
        <v>0</v>
      </c>
    </row>
    <row r="196" spans="1:12">
      <c r="A196">
        <f>SUMPRODUCT((MONTH(CHOOSE({1,2,3,4},TTSSKĐ!T196,TTSSKĐ!X196,TTSSKĐ!AB196,TTSSKĐ!AF196))=1)*(CHOOSE({1,2,3,4},TTSSKĐ!W196,TTSSKĐ!AA196,TTSSKĐ!AE196,TTSSKĐ!AI196)))</f>
        <v>0</v>
      </c>
      <c r="B196">
        <f>SUMPRODUCT((MONTH(CHOOSE({1,2,3,4},TTSSKĐ!T196,TTSSKĐ!X196,TTSSKĐ!AB196,TTSSKĐ!AF196))=2)*(CHOOSE({1,2,3,4},TTSSKĐ!W196,TTSSKĐ!AA196,TTSSKĐ!AE196,TTSSKĐ!AI196)))</f>
        <v>0</v>
      </c>
      <c r="C196">
        <f>SUMPRODUCT((MONTH(CHOOSE({1,2,3,4},TTSSKĐ!T196,TTSSKĐ!X196,TTSSKĐ!AB196,TTSSKĐ!AF196))=3)*(CHOOSE({1,2,3,4},TTSSKĐ!W196,TTSSKĐ!AA196,TTSSKĐ!AE196,TTSSKĐ!AI196)))</f>
        <v>0</v>
      </c>
      <c r="D196">
        <f>SUMPRODUCT((MONTH(CHOOSE({1,2,3,4},TTSSKĐ!T196,TTSSKĐ!X196,TTSSKĐ!AB196,TTSSKĐ!AF196))=4)*(CHOOSE({1,2,3,4},TTSSKĐ!W196,TTSSKĐ!AA196,TTSSKĐ!AE196,TTSSKĐ!AI196)))</f>
        <v>0</v>
      </c>
      <c r="E196">
        <f>SUMPRODUCT((MONTH(CHOOSE({1,2,3,4},TTSSKĐ!T196,TTSSKĐ!X196,TTSSKĐ!AB196,TTSSKĐ!AF196))=5)*(CHOOSE({1,2,3,4},TTSSKĐ!W196,TTSSKĐ!AA196,TTSSKĐ!AE196,TTSSKĐ!AI196)))</f>
        <v>0</v>
      </c>
      <c r="F196">
        <f>SUMPRODUCT((MONTH(CHOOSE({1,2,3,4},TTSSKĐ!T196,TTSSKĐ!X196,TTSSKĐ!AB196,TTSSKĐ!AF196))=6)*(CHOOSE({1,2,3,4},TTSSKĐ!W196,TTSSKĐ!AA196,TTSSKĐ!AE196,TTSSKĐ!AI196)))</f>
        <v>0</v>
      </c>
      <c r="G196">
        <f>SUMPRODUCT((MONTH(CHOOSE({1,2,3,4},TTSSKĐ!T196,TTSSKĐ!X196,TTSSKĐ!AB196,TTSSKĐ!AF196))=7)*(CHOOSE({1,2,3,4},TTSSKĐ!W196,TTSSKĐ!AA196,TTSSKĐ!AE196,TTSSKĐ!AI196)))</f>
        <v>0</v>
      </c>
      <c r="H196">
        <f>SUMPRODUCT((MONTH(CHOOSE({1,2,3,4},TTSSKĐ!T196,TTSSKĐ!X196,TTSSKĐ!AB196,TTSSKĐ!AF196))=8)*(CHOOSE({1,2,3,4},TTSSKĐ!W196,TTSSKĐ!AA196,TTSSKĐ!AE196,TTSSKĐ!AI196)))</f>
        <v>0</v>
      </c>
      <c r="I196">
        <f>SUMPRODUCT((MONTH(CHOOSE({1,2,3,4},TTSSKĐ!T196,TTSSKĐ!X196,TTSSKĐ!AB196,TTSSKĐ!AF196))=9)*(CHOOSE({1,2,3,4},TTSSKĐ!W196,TTSSKĐ!AA196,TTSSKĐ!AE196,TTSSKĐ!AI196)))</f>
        <v>0</v>
      </c>
      <c r="J196">
        <f>SUMPRODUCT((MONTH(CHOOSE({1,2,3,4},TTSSKĐ!T196,TTSSKĐ!X196,TTSSKĐ!AB196,TTSSKĐ!AF196))=10)*(CHOOSE({1,2,3,4},TTSSKĐ!W196,TTSSKĐ!AA196,TTSSKĐ!AE196,TTSSKĐ!AI196)))</f>
        <v>0</v>
      </c>
      <c r="K196">
        <f>SUMPRODUCT((MONTH(CHOOSE({1,2,3,4},TTSSKĐ!T196,TTSSKĐ!X196,TTSSKĐ!AB196,TTSSKĐ!AF196))=11)*(CHOOSE({1,2,3,4},TTSSKĐ!W196,TTSSKĐ!AA196,TTSSKĐ!AE196,TTSSKĐ!AI196)))</f>
        <v>0</v>
      </c>
      <c r="L196">
        <f>SUMPRODUCT((MONTH(CHOOSE({1,2,3,4},TTSSKĐ!T196,TTSSKĐ!X196,TTSSKĐ!AB196,TTSSKĐ!AF196))=12)*(CHOOSE({1,2,3,4},TTSSKĐ!W196,TTSSKĐ!AA196,TTSSKĐ!AE196,TTSSKĐ!AI196)))</f>
        <v>0</v>
      </c>
    </row>
    <row r="197" spans="1:12">
      <c r="A197">
        <f>SUMPRODUCT((MONTH(CHOOSE({1,2,3,4},TTSSKĐ!T197,TTSSKĐ!X197,TTSSKĐ!AB197,TTSSKĐ!AF197))=1)*(CHOOSE({1,2,3,4},TTSSKĐ!W197,TTSSKĐ!AA197,TTSSKĐ!AE197,TTSSKĐ!AI197)))</f>
        <v>0</v>
      </c>
      <c r="B197">
        <f>SUMPRODUCT((MONTH(CHOOSE({1,2,3,4},TTSSKĐ!T197,TTSSKĐ!X197,TTSSKĐ!AB197,TTSSKĐ!AF197))=2)*(CHOOSE({1,2,3,4},TTSSKĐ!W197,TTSSKĐ!AA197,TTSSKĐ!AE197,TTSSKĐ!AI197)))</f>
        <v>0</v>
      </c>
      <c r="C197">
        <f>SUMPRODUCT((MONTH(CHOOSE({1,2,3,4},TTSSKĐ!T197,TTSSKĐ!X197,TTSSKĐ!AB197,TTSSKĐ!AF197))=3)*(CHOOSE({1,2,3,4},TTSSKĐ!W197,TTSSKĐ!AA197,TTSSKĐ!AE197,TTSSKĐ!AI197)))</f>
        <v>0</v>
      </c>
      <c r="D197">
        <f>SUMPRODUCT((MONTH(CHOOSE({1,2,3,4},TTSSKĐ!T197,TTSSKĐ!X197,TTSSKĐ!AB197,TTSSKĐ!AF197))=4)*(CHOOSE({1,2,3,4},TTSSKĐ!W197,TTSSKĐ!AA197,TTSSKĐ!AE197,TTSSKĐ!AI197)))</f>
        <v>0</v>
      </c>
      <c r="E197">
        <f>SUMPRODUCT((MONTH(CHOOSE({1,2,3,4},TTSSKĐ!T197,TTSSKĐ!X197,TTSSKĐ!AB197,TTSSKĐ!AF197))=5)*(CHOOSE({1,2,3,4},TTSSKĐ!W197,TTSSKĐ!AA197,TTSSKĐ!AE197,TTSSKĐ!AI197)))</f>
        <v>0</v>
      </c>
      <c r="F197">
        <f>SUMPRODUCT((MONTH(CHOOSE({1,2,3,4},TTSSKĐ!T197,TTSSKĐ!X197,TTSSKĐ!AB197,TTSSKĐ!AF197))=6)*(CHOOSE({1,2,3,4},TTSSKĐ!W197,TTSSKĐ!AA197,TTSSKĐ!AE197,TTSSKĐ!AI197)))</f>
        <v>0</v>
      </c>
      <c r="G197">
        <f>SUMPRODUCT((MONTH(CHOOSE({1,2,3,4},TTSSKĐ!T197,TTSSKĐ!X197,TTSSKĐ!AB197,TTSSKĐ!AF197))=7)*(CHOOSE({1,2,3,4},TTSSKĐ!W197,TTSSKĐ!AA197,TTSSKĐ!AE197,TTSSKĐ!AI197)))</f>
        <v>0</v>
      </c>
      <c r="H197">
        <f>SUMPRODUCT((MONTH(CHOOSE({1,2,3,4},TTSSKĐ!T197,TTSSKĐ!X197,TTSSKĐ!AB197,TTSSKĐ!AF197))=8)*(CHOOSE({1,2,3,4},TTSSKĐ!W197,TTSSKĐ!AA197,TTSSKĐ!AE197,TTSSKĐ!AI197)))</f>
        <v>0</v>
      </c>
      <c r="I197">
        <f>SUMPRODUCT((MONTH(CHOOSE({1,2,3,4},TTSSKĐ!T197,TTSSKĐ!X197,TTSSKĐ!AB197,TTSSKĐ!AF197))=9)*(CHOOSE({1,2,3,4},TTSSKĐ!W197,TTSSKĐ!AA197,TTSSKĐ!AE197,TTSSKĐ!AI197)))</f>
        <v>0</v>
      </c>
      <c r="J197">
        <f>SUMPRODUCT((MONTH(CHOOSE({1,2,3,4},TTSSKĐ!T197,TTSSKĐ!X197,TTSSKĐ!AB197,TTSSKĐ!AF197))=10)*(CHOOSE({1,2,3,4},TTSSKĐ!W197,TTSSKĐ!AA197,TTSSKĐ!AE197,TTSSKĐ!AI197)))</f>
        <v>0</v>
      </c>
      <c r="K197">
        <f>SUMPRODUCT((MONTH(CHOOSE({1,2,3,4},TTSSKĐ!T197,TTSSKĐ!X197,TTSSKĐ!AB197,TTSSKĐ!AF197))=11)*(CHOOSE({1,2,3,4},TTSSKĐ!W197,TTSSKĐ!AA197,TTSSKĐ!AE197,TTSSKĐ!AI197)))</f>
        <v>0</v>
      </c>
      <c r="L197">
        <f>SUMPRODUCT((MONTH(CHOOSE({1,2,3,4},TTSSKĐ!T197,TTSSKĐ!X197,TTSSKĐ!AB197,TTSSKĐ!AF197))=12)*(CHOOSE({1,2,3,4},TTSSKĐ!W197,TTSSKĐ!AA197,TTSSKĐ!AE197,TTSSKĐ!AI197)))</f>
        <v>0</v>
      </c>
    </row>
    <row r="198" spans="1:12">
      <c r="A198">
        <f>SUMPRODUCT((MONTH(CHOOSE({1,2,3,4},TTSSKĐ!T198,TTSSKĐ!X198,TTSSKĐ!AB198,TTSSKĐ!AF198))=1)*(CHOOSE({1,2,3,4},TTSSKĐ!W198,TTSSKĐ!AA198,TTSSKĐ!AE198,TTSSKĐ!AI198)))</f>
        <v>0</v>
      </c>
      <c r="B198">
        <f>SUMPRODUCT((MONTH(CHOOSE({1,2,3,4},TTSSKĐ!T198,TTSSKĐ!X198,TTSSKĐ!AB198,TTSSKĐ!AF198))=2)*(CHOOSE({1,2,3,4},TTSSKĐ!W198,TTSSKĐ!AA198,TTSSKĐ!AE198,TTSSKĐ!AI198)))</f>
        <v>0</v>
      </c>
      <c r="C198">
        <f>SUMPRODUCT((MONTH(CHOOSE({1,2,3,4},TTSSKĐ!T198,TTSSKĐ!X198,TTSSKĐ!AB198,TTSSKĐ!AF198))=3)*(CHOOSE({1,2,3,4},TTSSKĐ!W198,TTSSKĐ!AA198,TTSSKĐ!AE198,TTSSKĐ!AI198)))</f>
        <v>0</v>
      </c>
      <c r="D198">
        <f>SUMPRODUCT((MONTH(CHOOSE({1,2,3,4},TTSSKĐ!T198,TTSSKĐ!X198,TTSSKĐ!AB198,TTSSKĐ!AF198))=4)*(CHOOSE({1,2,3,4},TTSSKĐ!W198,TTSSKĐ!AA198,TTSSKĐ!AE198,TTSSKĐ!AI198)))</f>
        <v>0</v>
      </c>
      <c r="E198">
        <f>SUMPRODUCT((MONTH(CHOOSE({1,2,3,4},TTSSKĐ!T198,TTSSKĐ!X198,TTSSKĐ!AB198,TTSSKĐ!AF198))=5)*(CHOOSE({1,2,3,4},TTSSKĐ!W198,TTSSKĐ!AA198,TTSSKĐ!AE198,TTSSKĐ!AI198)))</f>
        <v>0</v>
      </c>
      <c r="F198">
        <f>SUMPRODUCT((MONTH(CHOOSE({1,2,3,4},TTSSKĐ!T198,TTSSKĐ!X198,TTSSKĐ!AB198,TTSSKĐ!AF198))=6)*(CHOOSE({1,2,3,4},TTSSKĐ!W198,TTSSKĐ!AA198,TTSSKĐ!AE198,TTSSKĐ!AI198)))</f>
        <v>0</v>
      </c>
      <c r="G198">
        <f>SUMPRODUCT((MONTH(CHOOSE({1,2,3,4},TTSSKĐ!T198,TTSSKĐ!X198,TTSSKĐ!AB198,TTSSKĐ!AF198))=7)*(CHOOSE({1,2,3,4},TTSSKĐ!W198,TTSSKĐ!AA198,TTSSKĐ!AE198,TTSSKĐ!AI198)))</f>
        <v>0</v>
      </c>
      <c r="H198">
        <f>SUMPRODUCT((MONTH(CHOOSE({1,2,3,4},TTSSKĐ!T198,TTSSKĐ!X198,TTSSKĐ!AB198,TTSSKĐ!AF198))=8)*(CHOOSE({1,2,3,4},TTSSKĐ!W198,TTSSKĐ!AA198,TTSSKĐ!AE198,TTSSKĐ!AI198)))</f>
        <v>0</v>
      </c>
      <c r="I198">
        <f>SUMPRODUCT((MONTH(CHOOSE({1,2,3,4},TTSSKĐ!T198,TTSSKĐ!X198,TTSSKĐ!AB198,TTSSKĐ!AF198))=9)*(CHOOSE({1,2,3,4},TTSSKĐ!W198,TTSSKĐ!AA198,TTSSKĐ!AE198,TTSSKĐ!AI198)))</f>
        <v>0</v>
      </c>
      <c r="J198">
        <f>SUMPRODUCT((MONTH(CHOOSE({1,2,3,4},TTSSKĐ!T198,TTSSKĐ!X198,TTSSKĐ!AB198,TTSSKĐ!AF198))=10)*(CHOOSE({1,2,3,4},TTSSKĐ!W198,TTSSKĐ!AA198,TTSSKĐ!AE198,TTSSKĐ!AI198)))</f>
        <v>0</v>
      </c>
      <c r="K198">
        <f>SUMPRODUCT((MONTH(CHOOSE({1,2,3,4},TTSSKĐ!T198,TTSSKĐ!X198,TTSSKĐ!AB198,TTSSKĐ!AF198))=11)*(CHOOSE({1,2,3,4},TTSSKĐ!W198,TTSSKĐ!AA198,TTSSKĐ!AE198,TTSSKĐ!AI198)))</f>
        <v>0</v>
      </c>
      <c r="L198">
        <f>SUMPRODUCT((MONTH(CHOOSE({1,2,3,4},TTSSKĐ!T198,TTSSKĐ!X198,TTSSKĐ!AB198,TTSSKĐ!AF198))=12)*(CHOOSE({1,2,3,4},TTSSKĐ!W198,TTSSKĐ!AA198,TTSSKĐ!AE198,TTSSKĐ!AI198)))</f>
        <v>0</v>
      </c>
    </row>
    <row r="199" spans="1:12">
      <c r="A199">
        <f>SUMPRODUCT((MONTH(CHOOSE({1,2,3,4},TTSSKĐ!T199,TTSSKĐ!X199,TTSSKĐ!AB199,TTSSKĐ!AF199))=1)*(CHOOSE({1,2,3,4},TTSSKĐ!W199,TTSSKĐ!AA199,TTSSKĐ!AE199,TTSSKĐ!AI199)))</f>
        <v>0</v>
      </c>
      <c r="B199">
        <f>SUMPRODUCT((MONTH(CHOOSE({1,2,3,4},TTSSKĐ!T199,TTSSKĐ!X199,TTSSKĐ!AB199,TTSSKĐ!AF199))=2)*(CHOOSE({1,2,3,4},TTSSKĐ!W199,TTSSKĐ!AA199,TTSSKĐ!AE199,TTSSKĐ!AI199)))</f>
        <v>0</v>
      </c>
      <c r="C199">
        <f>SUMPRODUCT((MONTH(CHOOSE({1,2,3,4},TTSSKĐ!T199,TTSSKĐ!X199,TTSSKĐ!AB199,TTSSKĐ!AF199))=3)*(CHOOSE({1,2,3,4},TTSSKĐ!W199,TTSSKĐ!AA199,TTSSKĐ!AE199,TTSSKĐ!AI199)))</f>
        <v>0</v>
      </c>
      <c r="D199">
        <f>SUMPRODUCT((MONTH(CHOOSE({1,2,3,4},TTSSKĐ!T199,TTSSKĐ!X199,TTSSKĐ!AB199,TTSSKĐ!AF199))=4)*(CHOOSE({1,2,3,4},TTSSKĐ!W199,TTSSKĐ!AA199,TTSSKĐ!AE199,TTSSKĐ!AI199)))</f>
        <v>0</v>
      </c>
      <c r="E199">
        <f>SUMPRODUCT((MONTH(CHOOSE({1,2,3,4},TTSSKĐ!T199,TTSSKĐ!X199,TTSSKĐ!AB199,TTSSKĐ!AF199))=5)*(CHOOSE({1,2,3,4},TTSSKĐ!W199,TTSSKĐ!AA199,TTSSKĐ!AE199,TTSSKĐ!AI199)))</f>
        <v>0</v>
      </c>
      <c r="F199">
        <f>SUMPRODUCT((MONTH(CHOOSE({1,2,3,4},TTSSKĐ!T199,TTSSKĐ!X199,TTSSKĐ!AB199,TTSSKĐ!AF199))=6)*(CHOOSE({1,2,3,4},TTSSKĐ!W199,TTSSKĐ!AA199,TTSSKĐ!AE199,TTSSKĐ!AI199)))</f>
        <v>0</v>
      </c>
      <c r="G199">
        <f>SUMPRODUCT((MONTH(CHOOSE({1,2,3,4},TTSSKĐ!T199,TTSSKĐ!X199,TTSSKĐ!AB199,TTSSKĐ!AF199))=7)*(CHOOSE({1,2,3,4},TTSSKĐ!W199,TTSSKĐ!AA199,TTSSKĐ!AE199,TTSSKĐ!AI199)))</f>
        <v>0</v>
      </c>
      <c r="H199">
        <f>SUMPRODUCT((MONTH(CHOOSE({1,2,3,4},TTSSKĐ!T199,TTSSKĐ!X199,TTSSKĐ!AB199,TTSSKĐ!AF199))=8)*(CHOOSE({1,2,3,4},TTSSKĐ!W199,TTSSKĐ!AA199,TTSSKĐ!AE199,TTSSKĐ!AI199)))</f>
        <v>0</v>
      </c>
      <c r="I199">
        <f>SUMPRODUCT((MONTH(CHOOSE({1,2,3,4},TTSSKĐ!T199,TTSSKĐ!X199,TTSSKĐ!AB199,TTSSKĐ!AF199))=9)*(CHOOSE({1,2,3,4},TTSSKĐ!W199,TTSSKĐ!AA199,TTSSKĐ!AE199,TTSSKĐ!AI199)))</f>
        <v>0</v>
      </c>
      <c r="J199">
        <f>SUMPRODUCT((MONTH(CHOOSE({1,2,3,4},TTSSKĐ!T199,TTSSKĐ!X199,TTSSKĐ!AB199,TTSSKĐ!AF199))=10)*(CHOOSE({1,2,3,4},TTSSKĐ!W199,TTSSKĐ!AA199,TTSSKĐ!AE199,TTSSKĐ!AI199)))</f>
        <v>0</v>
      </c>
      <c r="K199">
        <f>SUMPRODUCT((MONTH(CHOOSE({1,2,3,4},TTSSKĐ!T199,TTSSKĐ!X199,TTSSKĐ!AB199,TTSSKĐ!AF199))=11)*(CHOOSE({1,2,3,4},TTSSKĐ!W199,TTSSKĐ!AA199,TTSSKĐ!AE199,TTSSKĐ!AI199)))</f>
        <v>0</v>
      </c>
      <c r="L199">
        <f>SUMPRODUCT((MONTH(CHOOSE({1,2,3,4},TTSSKĐ!T199,TTSSKĐ!X199,TTSSKĐ!AB199,TTSSKĐ!AF199))=12)*(CHOOSE({1,2,3,4},TTSSKĐ!W199,TTSSKĐ!AA199,TTSSKĐ!AE199,TTSSKĐ!AI199)))</f>
        <v>0</v>
      </c>
    </row>
    <row r="200" spans="1:12">
      <c r="A200">
        <f>SUMPRODUCT((MONTH(CHOOSE({1,2,3,4},TTSSKĐ!T200,TTSSKĐ!X200,TTSSKĐ!AB200,TTSSKĐ!AF200))=1)*(CHOOSE({1,2,3,4},TTSSKĐ!W200,TTSSKĐ!AA200,TTSSKĐ!AE200,TTSSKĐ!AI200)))</f>
        <v>0</v>
      </c>
      <c r="B200">
        <f>SUMPRODUCT((MONTH(CHOOSE({1,2,3,4},TTSSKĐ!T200,TTSSKĐ!X200,TTSSKĐ!AB200,TTSSKĐ!AF200))=2)*(CHOOSE({1,2,3,4},TTSSKĐ!W200,TTSSKĐ!AA200,TTSSKĐ!AE200,TTSSKĐ!AI200)))</f>
        <v>0</v>
      </c>
      <c r="C200">
        <f>SUMPRODUCT((MONTH(CHOOSE({1,2,3,4},TTSSKĐ!T200,TTSSKĐ!X200,TTSSKĐ!AB200,TTSSKĐ!AF200))=3)*(CHOOSE({1,2,3,4},TTSSKĐ!W200,TTSSKĐ!AA200,TTSSKĐ!AE200,TTSSKĐ!AI200)))</f>
        <v>0</v>
      </c>
      <c r="D200">
        <f>SUMPRODUCT((MONTH(CHOOSE({1,2,3,4},TTSSKĐ!T200,TTSSKĐ!X200,TTSSKĐ!AB200,TTSSKĐ!AF200))=4)*(CHOOSE({1,2,3,4},TTSSKĐ!W200,TTSSKĐ!AA200,TTSSKĐ!AE200,TTSSKĐ!AI200)))</f>
        <v>0</v>
      </c>
      <c r="E200">
        <f>SUMPRODUCT((MONTH(CHOOSE({1,2,3,4},TTSSKĐ!T200,TTSSKĐ!X200,TTSSKĐ!AB200,TTSSKĐ!AF200))=5)*(CHOOSE({1,2,3,4},TTSSKĐ!W200,TTSSKĐ!AA200,TTSSKĐ!AE200,TTSSKĐ!AI200)))</f>
        <v>0</v>
      </c>
      <c r="F200">
        <f>SUMPRODUCT((MONTH(CHOOSE({1,2,3,4},TTSSKĐ!T200,TTSSKĐ!X200,TTSSKĐ!AB200,TTSSKĐ!AF200))=6)*(CHOOSE({1,2,3,4},TTSSKĐ!W200,TTSSKĐ!AA200,TTSSKĐ!AE200,TTSSKĐ!AI200)))</f>
        <v>0</v>
      </c>
      <c r="G200">
        <f>SUMPRODUCT((MONTH(CHOOSE({1,2,3,4},TTSSKĐ!T200,TTSSKĐ!X200,TTSSKĐ!AB200,TTSSKĐ!AF200))=7)*(CHOOSE({1,2,3,4},TTSSKĐ!W200,TTSSKĐ!AA200,TTSSKĐ!AE200,TTSSKĐ!AI200)))</f>
        <v>0</v>
      </c>
      <c r="H200">
        <f>SUMPRODUCT((MONTH(CHOOSE({1,2,3,4},TTSSKĐ!T200,TTSSKĐ!X200,TTSSKĐ!AB200,TTSSKĐ!AF200))=8)*(CHOOSE({1,2,3,4},TTSSKĐ!W200,TTSSKĐ!AA200,TTSSKĐ!AE200,TTSSKĐ!AI200)))</f>
        <v>0</v>
      </c>
      <c r="I200">
        <f>SUMPRODUCT((MONTH(CHOOSE({1,2,3,4},TTSSKĐ!T200,TTSSKĐ!X200,TTSSKĐ!AB200,TTSSKĐ!AF200))=9)*(CHOOSE({1,2,3,4},TTSSKĐ!W200,TTSSKĐ!AA200,TTSSKĐ!AE200,TTSSKĐ!AI200)))</f>
        <v>0</v>
      </c>
      <c r="J200">
        <f>SUMPRODUCT((MONTH(CHOOSE({1,2,3,4},TTSSKĐ!T200,TTSSKĐ!X200,TTSSKĐ!AB200,TTSSKĐ!AF200))=10)*(CHOOSE({1,2,3,4},TTSSKĐ!W200,TTSSKĐ!AA200,TTSSKĐ!AE200,TTSSKĐ!AI200)))</f>
        <v>0</v>
      </c>
      <c r="K200">
        <f>SUMPRODUCT((MONTH(CHOOSE({1,2,3,4},TTSSKĐ!T200,TTSSKĐ!X200,TTSSKĐ!AB200,TTSSKĐ!AF200))=11)*(CHOOSE({1,2,3,4},TTSSKĐ!W200,TTSSKĐ!AA200,TTSSKĐ!AE200,TTSSKĐ!AI200)))</f>
        <v>0</v>
      </c>
      <c r="L200">
        <f>SUMPRODUCT((MONTH(CHOOSE({1,2,3,4},TTSSKĐ!T200,TTSSKĐ!X200,TTSSKĐ!AB200,TTSSKĐ!AF200))=12)*(CHOOSE({1,2,3,4},TTSSKĐ!W200,TTSSKĐ!AA200,TTSSKĐ!AE200,TTSSKĐ!AI200)))</f>
        <v>0</v>
      </c>
    </row>
    <row r="201" spans="1:12">
      <c r="A201">
        <f>SUMPRODUCT((MONTH(CHOOSE({1,2,3,4},TTSSKĐ!T201,TTSSKĐ!X201,TTSSKĐ!AB201,TTSSKĐ!AF201))=1)*(CHOOSE({1,2,3,4},TTSSKĐ!W201,TTSSKĐ!AA201,TTSSKĐ!AE201,TTSSKĐ!AI201)))</f>
        <v>0</v>
      </c>
      <c r="B201">
        <f>SUMPRODUCT((MONTH(CHOOSE({1,2,3,4},TTSSKĐ!T201,TTSSKĐ!X201,TTSSKĐ!AB201,TTSSKĐ!AF201))=2)*(CHOOSE({1,2,3,4},TTSSKĐ!W201,TTSSKĐ!AA201,TTSSKĐ!AE201,TTSSKĐ!AI201)))</f>
        <v>0</v>
      </c>
      <c r="C201">
        <f>SUMPRODUCT((MONTH(CHOOSE({1,2,3,4},TTSSKĐ!T201,TTSSKĐ!X201,TTSSKĐ!AB201,TTSSKĐ!AF201))=3)*(CHOOSE({1,2,3,4},TTSSKĐ!W201,TTSSKĐ!AA201,TTSSKĐ!AE201,TTSSKĐ!AI201)))</f>
        <v>0</v>
      </c>
      <c r="D201">
        <f>SUMPRODUCT((MONTH(CHOOSE({1,2,3,4},TTSSKĐ!T201,TTSSKĐ!X201,TTSSKĐ!AB201,TTSSKĐ!AF201))=4)*(CHOOSE({1,2,3,4},TTSSKĐ!W201,TTSSKĐ!AA201,TTSSKĐ!AE201,TTSSKĐ!AI201)))</f>
        <v>0</v>
      </c>
      <c r="E201">
        <f>SUMPRODUCT((MONTH(CHOOSE({1,2,3,4},TTSSKĐ!T201,TTSSKĐ!X201,TTSSKĐ!AB201,TTSSKĐ!AF201))=5)*(CHOOSE({1,2,3,4},TTSSKĐ!W201,TTSSKĐ!AA201,TTSSKĐ!AE201,TTSSKĐ!AI201)))</f>
        <v>0</v>
      </c>
      <c r="F201">
        <f>SUMPRODUCT((MONTH(CHOOSE({1,2,3,4},TTSSKĐ!T201,TTSSKĐ!X201,TTSSKĐ!AB201,TTSSKĐ!AF201))=6)*(CHOOSE({1,2,3,4},TTSSKĐ!W201,TTSSKĐ!AA201,TTSSKĐ!AE201,TTSSKĐ!AI201)))</f>
        <v>0</v>
      </c>
      <c r="G201">
        <f>SUMPRODUCT((MONTH(CHOOSE({1,2,3,4},TTSSKĐ!T201,TTSSKĐ!X201,TTSSKĐ!AB201,TTSSKĐ!AF201))=7)*(CHOOSE({1,2,3,4},TTSSKĐ!W201,TTSSKĐ!AA201,TTSSKĐ!AE201,TTSSKĐ!AI201)))</f>
        <v>0</v>
      </c>
      <c r="H201">
        <f>SUMPRODUCT((MONTH(CHOOSE({1,2,3,4},TTSSKĐ!T201,TTSSKĐ!X201,TTSSKĐ!AB201,TTSSKĐ!AF201))=8)*(CHOOSE({1,2,3,4},TTSSKĐ!W201,TTSSKĐ!AA201,TTSSKĐ!AE201,TTSSKĐ!AI201)))</f>
        <v>0</v>
      </c>
      <c r="I201">
        <f>SUMPRODUCT((MONTH(CHOOSE({1,2,3,4},TTSSKĐ!T201,TTSSKĐ!X201,TTSSKĐ!AB201,TTSSKĐ!AF201))=9)*(CHOOSE({1,2,3,4},TTSSKĐ!W201,TTSSKĐ!AA201,TTSSKĐ!AE201,TTSSKĐ!AI201)))</f>
        <v>0</v>
      </c>
      <c r="J201">
        <f>SUMPRODUCT((MONTH(CHOOSE({1,2,3,4},TTSSKĐ!T201,TTSSKĐ!X201,TTSSKĐ!AB201,TTSSKĐ!AF201))=10)*(CHOOSE({1,2,3,4},TTSSKĐ!W201,TTSSKĐ!AA201,TTSSKĐ!AE201,TTSSKĐ!AI201)))</f>
        <v>0</v>
      </c>
      <c r="K201">
        <f>SUMPRODUCT((MONTH(CHOOSE({1,2,3,4},TTSSKĐ!T201,TTSSKĐ!X201,TTSSKĐ!AB201,TTSSKĐ!AF201))=11)*(CHOOSE({1,2,3,4},TTSSKĐ!W201,TTSSKĐ!AA201,TTSSKĐ!AE201,TTSSKĐ!AI201)))</f>
        <v>0</v>
      </c>
      <c r="L201">
        <f>SUMPRODUCT((MONTH(CHOOSE({1,2,3,4},TTSSKĐ!T201,TTSSKĐ!X201,TTSSKĐ!AB201,TTSSKĐ!AF201))=12)*(CHOOSE({1,2,3,4},TTSSKĐ!W201,TTSSKĐ!AA201,TTSSKĐ!AE201,TTSSKĐ!AI201)))</f>
        <v>0</v>
      </c>
    </row>
    <row r="202" spans="1:12">
      <c r="A202">
        <f>SUMPRODUCT((MONTH(CHOOSE({1,2,3,4},TTSSKĐ!T202,TTSSKĐ!X202,TTSSKĐ!AB202,TTSSKĐ!AF202))=1)*(CHOOSE({1,2,3,4},TTSSKĐ!W202,TTSSKĐ!AA202,TTSSKĐ!AE202,TTSSKĐ!AI202)))</f>
        <v>0</v>
      </c>
      <c r="B202">
        <f>SUMPRODUCT((MONTH(CHOOSE({1,2,3,4},TTSSKĐ!T202,TTSSKĐ!X202,TTSSKĐ!AB202,TTSSKĐ!AF202))=2)*(CHOOSE({1,2,3,4},TTSSKĐ!W202,TTSSKĐ!AA202,TTSSKĐ!AE202,TTSSKĐ!AI202)))</f>
        <v>0</v>
      </c>
      <c r="C202">
        <f>SUMPRODUCT((MONTH(CHOOSE({1,2,3,4},TTSSKĐ!T202,TTSSKĐ!X202,TTSSKĐ!AB202,TTSSKĐ!AF202))=3)*(CHOOSE({1,2,3,4},TTSSKĐ!W202,TTSSKĐ!AA202,TTSSKĐ!AE202,TTSSKĐ!AI202)))</f>
        <v>0</v>
      </c>
      <c r="D202">
        <f>SUMPRODUCT((MONTH(CHOOSE({1,2,3,4},TTSSKĐ!T202,TTSSKĐ!X202,TTSSKĐ!AB202,TTSSKĐ!AF202))=4)*(CHOOSE({1,2,3,4},TTSSKĐ!W202,TTSSKĐ!AA202,TTSSKĐ!AE202,TTSSKĐ!AI202)))</f>
        <v>0</v>
      </c>
      <c r="E202">
        <f>SUMPRODUCT((MONTH(CHOOSE({1,2,3,4},TTSSKĐ!T202,TTSSKĐ!X202,TTSSKĐ!AB202,TTSSKĐ!AF202))=5)*(CHOOSE({1,2,3,4},TTSSKĐ!W202,TTSSKĐ!AA202,TTSSKĐ!AE202,TTSSKĐ!AI202)))</f>
        <v>0</v>
      </c>
      <c r="F202">
        <f>SUMPRODUCT((MONTH(CHOOSE({1,2,3,4},TTSSKĐ!T202,TTSSKĐ!X202,TTSSKĐ!AB202,TTSSKĐ!AF202))=6)*(CHOOSE({1,2,3,4},TTSSKĐ!W202,TTSSKĐ!AA202,TTSSKĐ!AE202,TTSSKĐ!AI202)))</f>
        <v>0</v>
      </c>
      <c r="G202">
        <f>SUMPRODUCT((MONTH(CHOOSE({1,2,3,4},TTSSKĐ!T202,TTSSKĐ!X202,TTSSKĐ!AB202,TTSSKĐ!AF202))=7)*(CHOOSE({1,2,3,4},TTSSKĐ!W202,TTSSKĐ!AA202,TTSSKĐ!AE202,TTSSKĐ!AI202)))</f>
        <v>0</v>
      </c>
      <c r="H202">
        <f>SUMPRODUCT((MONTH(CHOOSE({1,2,3,4},TTSSKĐ!T202,TTSSKĐ!X202,TTSSKĐ!AB202,TTSSKĐ!AF202))=8)*(CHOOSE({1,2,3,4},TTSSKĐ!W202,TTSSKĐ!AA202,TTSSKĐ!AE202,TTSSKĐ!AI202)))</f>
        <v>0</v>
      </c>
      <c r="I202">
        <f>SUMPRODUCT((MONTH(CHOOSE({1,2,3,4},TTSSKĐ!T202,TTSSKĐ!X202,TTSSKĐ!AB202,TTSSKĐ!AF202))=9)*(CHOOSE({1,2,3,4},TTSSKĐ!W202,TTSSKĐ!AA202,TTSSKĐ!AE202,TTSSKĐ!AI202)))</f>
        <v>0</v>
      </c>
      <c r="J202">
        <f>SUMPRODUCT((MONTH(CHOOSE({1,2,3,4},TTSSKĐ!T202,TTSSKĐ!X202,TTSSKĐ!AB202,TTSSKĐ!AF202))=10)*(CHOOSE({1,2,3,4},TTSSKĐ!W202,TTSSKĐ!AA202,TTSSKĐ!AE202,TTSSKĐ!AI202)))</f>
        <v>0</v>
      </c>
      <c r="K202">
        <f>SUMPRODUCT((MONTH(CHOOSE({1,2,3,4},TTSSKĐ!T202,TTSSKĐ!X202,TTSSKĐ!AB202,TTSSKĐ!AF202))=11)*(CHOOSE({1,2,3,4},TTSSKĐ!W202,TTSSKĐ!AA202,TTSSKĐ!AE202,TTSSKĐ!AI202)))</f>
        <v>0</v>
      </c>
      <c r="L202">
        <f>SUMPRODUCT((MONTH(CHOOSE({1,2,3,4},TTSSKĐ!T202,TTSSKĐ!X202,TTSSKĐ!AB202,TTSSKĐ!AF202))=12)*(CHOOSE({1,2,3,4},TTSSKĐ!W202,TTSSKĐ!AA202,TTSSKĐ!AE202,TTSSKĐ!AI202)))</f>
        <v>0</v>
      </c>
    </row>
    <row r="203" spans="1:12">
      <c r="A203">
        <f>SUMPRODUCT((MONTH(CHOOSE({1,2,3,4},TTSSKĐ!T203,TTSSKĐ!X203,TTSSKĐ!AB203,TTSSKĐ!AF203))=1)*(CHOOSE({1,2,3,4},TTSSKĐ!W203,TTSSKĐ!AA203,TTSSKĐ!AE203,TTSSKĐ!AI203)))</f>
        <v>0</v>
      </c>
      <c r="B203">
        <f>SUMPRODUCT((MONTH(CHOOSE({1,2,3,4},TTSSKĐ!T203,TTSSKĐ!X203,TTSSKĐ!AB203,TTSSKĐ!AF203))=2)*(CHOOSE({1,2,3,4},TTSSKĐ!W203,TTSSKĐ!AA203,TTSSKĐ!AE203,TTSSKĐ!AI203)))</f>
        <v>0</v>
      </c>
      <c r="C203">
        <f>SUMPRODUCT((MONTH(CHOOSE({1,2,3,4},TTSSKĐ!T203,TTSSKĐ!X203,TTSSKĐ!AB203,TTSSKĐ!AF203))=3)*(CHOOSE({1,2,3,4},TTSSKĐ!W203,TTSSKĐ!AA203,TTSSKĐ!AE203,TTSSKĐ!AI203)))</f>
        <v>0</v>
      </c>
      <c r="D203">
        <f>SUMPRODUCT((MONTH(CHOOSE({1,2,3,4},TTSSKĐ!T203,TTSSKĐ!X203,TTSSKĐ!AB203,TTSSKĐ!AF203))=4)*(CHOOSE({1,2,3,4},TTSSKĐ!W203,TTSSKĐ!AA203,TTSSKĐ!AE203,TTSSKĐ!AI203)))</f>
        <v>0</v>
      </c>
      <c r="E203">
        <f>SUMPRODUCT((MONTH(CHOOSE({1,2,3,4},TTSSKĐ!T203,TTSSKĐ!X203,TTSSKĐ!AB203,TTSSKĐ!AF203))=5)*(CHOOSE({1,2,3,4},TTSSKĐ!W203,TTSSKĐ!AA203,TTSSKĐ!AE203,TTSSKĐ!AI203)))</f>
        <v>0</v>
      </c>
      <c r="F203">
        <f>SUMPRODUCT((MONTH(CHOOSE({1,2,3,4},TTSSKĐ!T203,TTSSKĐ!X203,TTSSKĐ!AB203,TTSSKĐ!AF203))=6)*(CHOOSE({1,2,3,4},TTSSKĐ!W203,TTSSKĐ!AA203,TTSSKĐ!AE203,TTSSKĐ!AI203)))</f>
        <v>0</v>
      </c>
      <c r="G203">
        <f>SUMPRODUCT((MONTH(CHOOSE({1,2,3,4},TTSSKĐ!T203,TTSSKĐ!X203,TTSSKĐ!AB203,TTSSKĐ!AF203))=7)*(CHOOSE({1,2,3,4},TTSSKĐ!W203,TTSSKĐ!AA203,TTSSKĐ!AE203,TTSSKĐ!AI203)))</f>
        <v>0</v>
      </c>
      <c r="H203">
        <f>SUMPRODUCT((MONTH(CHOOSE({1,2,3,4},TTSSKĐ!T203,TTSSKĐ!X203,TTSSKĐ!AB203,TTSSKĐ!AF203))=8)*(CHOOSE({1,2,3,4},TTSSKĐ!W203,TTSSKĐ!AA203,TTSSKĐ!AE203,TTSSKĐ!AI203)))</f>
        <v>0</v>
      </c>
      <c r="I203">
        <f>SUMPRODUCT((MONTH(CHOOSE({1,2,3,4},TTSSKĐ!T203,TTSSKĐ!X203,TTSSKĐ!AB203,TTSSKĐ!AF203))=9)*(CHOOSE({1,2,3,4},TTSSKĐ!W203,TTSSKĐ!AA203,TTSSKĐ!AE203,TTSSKĐ!AI203)))</f>
        <v>0</v>
      </c>
      <c r="J203">
        <f>SUMPRODUCT((MONTH(CHOOSE({1,2,3,4},TTSSKĐ!T203,TTSSKĐ!X203,TTSSKĐ!AB203,TTSSKĐ!AF203))=10)*(CHOOSE({1,2,3,4},TTSSKĐ!W203,TTSSKĐ!AA203,TTSSKĐ!AE203,TTSSKĐ!AI203)))</f>
        <v>0</v>
      </c>
      <c r="K203">
        <f>SUMPRODUCT((MONTH(CHOOSE({1,2,3,4},TTSSKĐ!T203,TTSSKĐ!X203,TTSSKĐ!AB203,TTSSKĐ!AF203))=11)*(CHOOSE({1,2,3,4},TTSSKĐ!W203,TTSSKĐ!AA203,TTSSKĐ!AE203,TTSSKĐ!AI203)))</f>
        <v>0</v>
      </c>
      <c r="L203">
        <f>SUMPRODUCT((MONTH(CHOOSE({1,2,3,4},TTSSKĐ!T203,TTSSKĐ!X203,TTSSKĐ!AB203,TTSSKĐ!AF203))=12)*(CHOOSE({1,2,3,4},TTSSKĐ!W203,TTSSKĐ!AA203,TTSSKĐ!AE203,TTSSKĐ!AI203)))</f>
        <v>0</v>
      </c>
    </row>
    <row r="204" spans="1:12">
      <c r="A204">
        <f>SUMPRODUCT((MONTH(CHOOSE({1,2,3,4},TTSSKĐ!T204,TTSSKĐ!X204,TTSSKĐ!AB204,TTSSKĐ!AF204))=1)*(CHOOSE({1,2,3,4},TTSSKĐ!W204,TTSSKĐ!AA204,TTSSKĐ!AE204,TTSSKĐ!AI204)))</f>
        <v>0</v>
      </c>
      <c r="B204">
        <f>SUMPRODUCT((MONTH(CHOOSE({1,2,3,4},TTSSKĐ!T204,TTSSKĐ!X204,TTSSKĐ!AB204,TTSSKĐ!AF204))=2)*(CHOOSE({1,2,3,4},TTSSKĐ!W204,TTSSKĐ!AA204,TTSSKĐ!AE204,TTSSKĐ!AI204)))</f>
        <v>0</v>
      </c>
      <c r="C204">
        <f>SUMPRODUCT((MONTH(CHOOSE({1,2,3,4},TTSSKĐ!T204,TTSSKĐ!X204,TTSSKĐ!AB204,TTSSKĐ!AF204))=3)*(CHOOSE({1,2,3,4},TTSSKĐ!W204,TTSSKĐ!AA204,TTSSKĐ!AE204,TTSSKĐ!AI204)))</f>
        <v>0</v>
      </c>
      <c r="D204">
        <f>SUMPRODUCT((MONTH(CHOOSE({1,2,3,4},TTSSKĐ!T204,TTSSKĐ!X204,TTSSKĐ!AB204,TTSSKĐ!AF204))=4)*(CHOOSE({1,2,3,4},TTSSKĐ!W204,TTSSKĐ!AA204,TTSSKĐ!AE204,TTSSKĐ!AI204)))</f>
        <v>0</v>
      </c>
      <c r="E204">
        <f>SUMPRODUCT((MONTH(CHOOSE({1,2,3,4},TTSSKĐ!T204,TTSSKĐ!X204,TTSSKĐ!AB204,TTSSKĐ!AF204))=5)*(CHOOSE({1,2,3,4},TTSSKĐ!W204,TTSSKĐ!AA204,TTSSKĐ!AE204,TTSSKĐ!AI204)))</f>
        <v>0</v>
      </c>
      <c r="F204">
        <f>SUMPRODUCT((MONTH(CHOOSE({1,2,3,4},TTSSKĐ!T204,TTSSKĐ!X204,TTSSKĐ!AB204,TTSSKĐ!AF204))=6)*(CHOOSE({1,2,3,4},TTSSKĐ!W204,TTSSKĐ!AA204,TTSSKĐ!AE204,TTSSKĐ!AI204)))</f>
        <v>0</v>
      </c>
      <c r="G204">
        <f>SUMPRODUCT((MONTH(CHOOSE({1,2,3,4},TTSSKĐ!T204,TTSSKĐ!X204,TTSSKĐ!AB204,TTSSKĐ!AF204))=7)*(CHOOSE({1,2,3,4},TTSSKĐ!W204,TTSSKĐ!AA204,TTSSKĐ!AE204,TTSSKĐ!AI204)))</f>
        <v>0</v>
      </c>
      <c r="H204">
        <f>SUMPRODUCT((MONTH(CHOOSE({1,2,3,4},TTSSKĐ!T204,TTSSKĐ!X204,TTSSKĐ!AB204,TTSSKĐ!AF204))=8)*(CHOOSE({1,2,3,4},TTSSKĐ!W204,TTSSKĐ!AA204,TTSSKĐ!AE204,TTSSKĐ!AI204)))</f>
        <v>0</v>
      </c>
      <c r="I204">
        <f>SUMPRODUCT((MONTH(CHOOSE({1,2,3,4},TTSSKĐ!T204,TTSSKĐ!X204,TTSSKĐ!AB204,TTSSKĐ!AF204))=9)*(CHOOSE({1,2,3,4},TTSSKĐ!W204,TTSSKĐ!AA204,TTSSKĐ!AE204,TTSSKĐ!AI204)))</f>
        <v>0</v>
      </c>
      <c r="J204">
        <f>SUMPRODUCT((MONTH(CHOOSE({1,2,3,4},TTSSKĐ!T204,TTSSKĐ!X204,TTSSKĐ!AB204,TTSSKĐ!AF204))=10)*(CHOOSE({1,2,3,4},TTSSKĐ!W204,TTSSKĐ!AA204,TTSSKĐ!AE204,TTSSKĐ!AI204)))</f>
        <v>0</v>
      </c>
      <c r="K204">
        <f>SUMPRODUCT((MONTH(CHOOSE({1,2,3,4},TTSSKĐ!T204,TTSSKĐ!X204,TTSSKĐ!AB204,TTSSKĐ!AF204))=11)*(CHOOSE({1,2,3,4},TTSSKĐ!W204,TTSSKĐ!AA204,TTSSKĐ!AE204,TTSSKĐ!AI204)))</f>
        <v>0</v>
      </c>
      <c r="L204">
        <f>SUMPRODUCT((MONTH(CHOOSE({1,2,3,4},TTSSKĐ!T204,TTSSKĐ!X204,TTSSKĐ!AB204,TTSSKĐ!AF204))=12)*(CHOOSE({1,2,3,4},TTSSKĐ!W204,TTSSKĐ!AA204,TTSSKĐ!AE204,TTSSKĐ!AI204)))</f>
        <v>0</v>
      </c>
    </row>
    <row r="205" spans="1:12">
      <c r="A205">
        <f>SUMPRODUCT((MONTH(CHOOSE({1,2,3,4},TTSSKĐ!T205,TTSSKĐ!X205,TTSSKĐ!AB205,TTSSKĐ!AF205))=1)*(CHOOSE({1,2,3,4},TTSSKĐ!W205,TTSSKĐ!AA205,TTSSKĐ!AE205,TTSSKĐ!AI205)))</f>
        <v>0</v>
      </c>
      <c r="B205">
        <f>SUMPRODUCT((MONTH(CHOOSE({1,2,3,4},TTSSKĐ!T205,TTSSKĐ!X205,TTSSKĐ!AB205,TTSSKĐ!AF205))=2)*(CHOOSE({1,2,3,4},TTSSKĐ!W205,TTSSKĐ!AA205,TTSSKĐ!AE205,TTSSKĐ!AI205)))</f>
        <v>0</v>
      </c>
      <c r="C205">
        <f>SUMPRODUCT((MONTH(CHOOSE({1,2,3,4},TTSSKĐ!T205,TTSSKĐ!X205,TTSSKĐ!AB205,TTSSKĐ!AF205))=3)*(CHOOSE({1,2,3,4},TTSSKĐ!W205,TTSSKĐ!AA205,TTSSKĐ!AE205,TTSSKĐ!AI205)))</f>
        <v>0</v>
      </c>
      <c r="D205">
        <f>SUMPRODUCT((MONTH(CHOOSE({1,2,3,4},TTSSKĐ!T205,TTSSKĐ!X205,TTSSKĐ!AB205,TTSSKĐ!AF205))=4)*(CHOOSE({1,2,3,4},TTSSKĐ!W205,TTSSKĐ!AA205,TTSSKĐ!AE205,TTSSKĐ!AI205)))</f>
        <v>0</v>
      </c>
      <c r="E205">
        <f>SUMPRODUCT((MONTH(CHOOSE({1,2,3,4},TTSSKĐ!T205,TTSSKĐ!X205,TTSSKĐ!AB205,TTSSKĐ!AF205))=5)*(CHOOSE({1,2,3,4},TTSSKĐ!W205,TTSSKĐ!AA205,TTSSKĐ!AE205,TTSSKĐ!AI205)))</f>
        <v>0</v>
      </c>
      <c r="F205">
        <f>SUMPRODUCT((MONTH(CHOOSE({1,2,3,4},TTSSKĐ!T205,TTSSKĐ!X205,TTSSKĐ!AB205,TTSSKĐ!AF205))=6)*(CHOOSE({1,2,3,4},TTSSKĐ!W205,TTSSKĐ!AA205,TTSSKĐ!AE205,TTSSKĐ!AI205)))</f>
        <v>0</v>
      </c>
      <c r="G205">
        <f>SUMPRODUCT((MONTH(CHOOSE({1,2,3,4},TTSSKĐ!T205,TTSSKĐ!X205,TTSSKĐ!AB205,TTSSKĐ!AF205))=7)*(CHOOSE({1,2,3,4},TTSSKĐ!W205,TTSSKĐ!AA205,TTSSKĐ!AE205,TTSSKĐ!AI205)))</f>
        <v>0</v>
      </c>
      <c r="H205">
        <f>SUMPRODUCT((MONTH(CHOOSE({1,2,3,4},TTSSKĐ!T205,TTSSKĐ!X205,TTSSKĐ!AB205,TTSSKĐ!AF205))=8)*(CHOOSE({1,2,3,4},TTSSKĐ!W205,TTSSKĐ!AA205,TTSSKĐ!AE205,TTSSKĐ!AI205)))</f>
        <v>0</v>
      </c>
      <c r="I205">
        <f>SUMPRODUCT((MONTH(CHOOSE({1,2,3,4},TTSSKĐ!T205,TTSSKĐ!X205,TTSSKĐ!AB205,TTSSKĐ!AF205))=9)*(CHOOSE({1,2,3,4},TTSSKĐ!W205,TTSSKĐ!AA205,TTSSKĐ!AE205,TTSSKĐ!AI205)))</f>
        <v>0</v>
      </c>
      <c r="J205">
        <f>SUMPRODUCT((MONTH(CHOOSE({1,2,3,4},TTSSKĐ!T205,TTSSKĐ!X205,TTSSKĐ!AB205,TTSSKĐ!AF205))=10)*(CHOOSE({1,2,3,4},TTSSKĐ!W205,TTSSKĐ!AA205,TTSSKĐ!AE205,TTSSKĐ!AI205)))</f>
        <v>0</v>
      </c>
      <c r="K205">
        <f>SUMPRODUCT((MONTH(CHOOSE({1,2,3,4},TTSSKĐ!T205,TTSSKĐ!X205,TTSSKĐ!AB205,TTSSKĐ!AF205))=11)*(CHOOSE({1,2,3,4},TTSSKĐ!W205,TTSSKĐ!AA205,TTSSKĐ!AE205,TTSSKĐ!AI205)))</f>
        <v>0</v>
      </c>
      <c r="L205">
        <f>SUMPRODUCT((MONTH(CHOOSE({1,2,3,4},TTSSKĐ!T205,TTSSKĐ!X205,TTSSKĐ!AB205,TTSSKĐ!AF205))=12)*(CHOOSE({1,2,3,4},TTSSKĐ!W205,TTSSKĐ!AA205,TTSSKĐ!AE205,TTSSKĐ!AI205)))</f>
        <v>0</v>
      </c>
    </row>
    <row r="206" spans="1:12">
      <c r="A206">
        <f>SUMPRODUCT((MONTH(CHOOSE({1,2,3,4},TTSSKĐ!T206,TTSSKĐ!X206,TTSSKĐ!AB206,TTSSKĐ!AF206))=1)*(CHOOSE({1,2,3,4},TTSSKĐ!W206,TTSSKĐ!AA206,TTSSKĐ!AE206,TTSSKĐ!AI206)))</f>
        <v>0</v>
      </c>
      <c r="B206">
        <f>SUMPRODUCT((MONTH(CHOOSE({1,2,3,4},TTSSKĐ!T206,TTSSKĐ!X206,TTSSKĐ!AB206,TTSSKĐ!AF206))=2)*(CHOOSE({1,2,3,4},TTSSKĐ!W206,TTSSKĐ!AA206,TTSSKĐ!AE206,TTSSKĐ!AI206)))</f>
        <v>0</v>
      </c>
      <c r="C206">
        <f>SUMPRODUCT((MONTH(CHOOSE({1,2,3,4},TTSSKĐ!T206,TTSSKĐ!X206,TTSSKĐ!AB206,TTSSKĐ!AF206))=3)*(CHOOSE({1,2,3,4},TTSSKĐ!W206,TTSSKĐ!AA206,TTSSKĐ!AE206,TTSSKĐ!AI206)))</f>
        <v>0</v>
      </c>
      <c r="D206">
        <f>SUMPRODUCT((MONTH(CHOOSE({1,2,3,4},TTSSKĐ!T206,TTSSKĐ!X206,TTSSKĐ!AB206,TTSSKĐ!AF206))=4)*(CHOOSE({1,2,3,4},TTSSKĐ!W206,TTSSKĐ!AA206,TTSSKĐ!AE206,TTSSKĐ!AI206)))</f>
        <v>0</v>
      </c>
      <c r="E206">
        <f>SUMPRODUCT((MONTH(CHOOSE({1,2,3,4},TTSSKĐ!T206,TTSSKĐ!X206,TTSSKĐ!AB206,TTSSKĐ!AF206))=5)*(CHOOSE({1,2,3,4},TTSSKĐ!W206,TTSSKĐ!AA206,TTSSKĐ!AE206,TTSSKĐ!AI206)))</f>
        <v>0</v>
      </c>
      <c r="F206">
        <f>SUMPRODUCT((MONTH(CHOOSE({1,2,3,4},TTSSKĐ!T206,TTSSKĐ!X206,TTSSKĐ!AB206,TTSSKĐ!AF206))=6)*(CHOOSE({1,2,3,4},TTSSKĐ!W206,TTSSKĐ!AA206,TTSSKĐ!AE206,TTSSKĐ!AI206)))</f>
        <v>0</v>
      </c>
      <c r="G206">
        <f>SUMPRODUCT((MONTH(CHOOSE({1,2,3,4},TTSSKĐ!T206,TTSSKĐ!X206,TTSSKĐ!AB206,TTSSKĐ!AF206))=7)*(CHOOSE({1,2,3,4},TTSSKĐ!W206,TTSSKĐ!AA206,TTSSKĐ!AE206,TTSSKĐ!AI206)))</f>
        <v>0</v>
      </c>
      <c r="H206">
        <f>SUMPRODUCT((MONTH(CHOOSE({1,2,3,4},TTSSKĐ!T206,TTSSKĐ!X206,TTSSKĐ!AB206,TTSSKĐ!AF206))=8)*(CHOOSE({1,2,3,4},TTSSKĐ!W206,TTSSKĐ!AA206,TTSSKĐ!AE206,TTSSKĐ!AI206)))</f>
        <v>0</v>
      </c>
      <c r="I206">
        <f>SUMPRODUCT((MONTH(CHOOSE({1,2,3,4},TTSSKĐ!T206,TTSSKĐ!X206,TTSSKĐ!AB206,TTSSKĐ!AF206))=9)*(CHOOSE({1,2,3,4},TTSSKĐ!W206,TTSSKĐ!AA206,TTSSKĐ!AE206,TTSSKĐ!AI206)))</f>
        <v>0</v>
      </c>
      <c r="J206">
        <f>SUMPRODUCT((MONTH(CHOOSE({1,2,3,4},TTSSKĐ!T206,TTSSKĐ!X206,TTSSKĐ!AB206,TTSSKĐ!AF206))=10)*(CHOOSE({1,2,3,4},TTSSKĐ!W206,TTSSKĐ!AA206,TTSSKĐ!AE206,TTSSKĐ!AI206)))</f>
        <v>0</v>
      </c>
      <c r="K206">
        <f>SUMPRODUCT((MONTH(CHOOSE({1,2,3,4},TTSSKĐ!T206,TTSSKĐ!X206,TTSSKĐ!AB206,TTSSKĐ!AF206))=11)*(CHOOSE({1,2,3,4},TTSSKĐ!W206,TTSSKĐ!AA206,TTSSKĐ!AE206,TTSSKĐ!AI206)))</f>
        <v>0</v>
      </c>
      <c r="L206">
        <f>SUMPRODUCT((MONTH(CHOOSE({1,2,3,4},TTSSKĐ!T206,TTSSKĐ!X206,TTSSKĐ!AB206,TTSSKĐ!AF206))=12)*(CHOOSE({1,2,3,4},TTSSKĐ!W206,TTSSKĐ!AA206,TTSSKĐ!AE206,TTSSKĐ!AI206)))</f>
        <v>0</v>
      </c>
    </row>
    <row r="207" spans="1:12">
      <c r="A207">
        <f>SUMPRODUCT((MONTH(CHOOSE({1,2,3,4},TTSSKĐ!T207,TTSSKĐ!X207,TTSSKĐ!AB207,TTSSKĐ!AF207))=1)*(CHOOSE({1,2,3,4},TTSSKĐ!W207,TTSSKĐ!AA207,TTSSKĐ!AE207,TTSSKĐ!AI207)))</f>
        <v>0</v>
      </c>
      <c r="B207">
        <f>SUMPRODUCT((MONTH(CHOOSE({1,2,3,4},TTSSKĐ!T207,TTSSKĐ!X207,TTSSKĐ!AB207,TTSSKĐ!AF207))=2)*(CHOOSE({1,2,3,4},TTSSKĐ!W207,TTSSKĐ!AA207,TTSSKĐ!AE207,TTSSKĐ!AI207)))</f>
        <v>0</v>
      </c>
      <c r="C207">
        <f>SUMPRODUCT((MONTH(CHOOSE({1,2,3,4},TTSSKĐ!T207,TTSSKĐ!X207,TTSSKĐ!AB207,TTSSKĐ!AF207))=3)*(CHOOSE({1,2,3,4},TTSSKĐ!W207,TTSSKĐ!AA207,TTSSKĐ!AE207,TTSSKĐ!AI207)))</f>
        <v>0</v>
      </c>
      <c r="D207">
        <f>SUMPRODUCT((MONTH(CHOOSE({1,2,3,4},TTSSKĐ!T207,TTSSKĐ!X207,TTSSKĐ!AB207,TTSSKĐ!AF207))=4)*(CHOOSE({1,2,3,4},TTSSKĐ!W207,TTSSKĐ!AA207,TTSSKĐ!AE207,TTSSKĐ!AI207)))</f>
        <v>0</v>
      </c>
      <c r="E207">
        <f>SUMPRODUCT((MONTH(CHOOSE({1,2,3,4},TTSSKĐ!T207,TTSSKĐ!X207,TTSSKĐ!AB207,TTSSKĐ!AF207))=5)*(CHOOSE({1,2,3,4},TTSSKĐ!W207,TTSSKĐ!AA207,TTSSKĐ!AE207,TTSSKĐ!AI207)))</f>
        <v>0</v>
      </c>
      <c r="F207">
        <f>SUMPRODUCT((MONTH(CHOOSE({1,2,3,4},TTSSKĐ!T207,TTSSKĐ!X207,TTSSKĐ!AB207,TTSSKĐ!AF207))=6)*(CHOOSE({1,2,3,4},TTSSKĐ!W207,TTSSKĐ!AA207,TTSSKĐ!AE207,TTSSKĐ!AI207)))</f>
        <v>0</v>
      </c>
      <c r="G207">
        <f>SUMPRODUCT((MONTH(CHOOSE({1,2,3,4},TTSSKĐ!T207,TTSSKĐ!X207,TTSSKĐ!AB207,TTSSKĐ!AF207))=7)*(CHOOSE({1,2,3,4},TTSSKĐ!W207,TTSSKĐ!AA207,TTSSKĐ!AE207,TTSSKĐ!AI207)))</f>
        <v>0</v>
      </c>
      <c r="H207">
        <f>SUMPRODUCT((MONTH(CHOOSE({1,2,3,4},TTSSKĐ!T207,TTSSKĐ!X207,TTSSKĐ!AB207,TTSSKĐ!AF207))=8)*(CHOOSE({1,2,3,4},TTSSKĐ!W207,TTSSKĐ!AA207,TTSSKĐ!AE207,TTSSKĐ!AI207)))</f>
        <v>0</v>
      </c>
      <c r="I207">
        <f>SUMPRODUCT((MONTH(CHOOSE({1,2,3,4},TTSSKĐ!T207,TTSSKĐ!X207,TTSSKĐ!AB207,TTSSKĐ!AF207))=9)*(CHOOSE({1,2,3,4},TTSSKĐ!W207,TTSSKĐ!AA207,TTSSKĐ!AE207,TTSSKĐ!AI207)))</f>
        <v>0</v>
      </c>
      <c r="J207">
        <f>SUMPRODUCT((MONTH(CHOOSE({1,2,3,4},TTSSKĐ!T207,TTSSKĐ!X207,TTSSKĐ!AB207,TTSSKĐ!AF207))=10)*(CHOOSE({1,2,3,4},TTSSKĐ!W207,TTSSKĐ!AA207,TTSSKĐ!AE207,TTSSKĐ!AI207)))</f>
        <v>0</v>
      </c>
      <c r="K207">
        <f>SUMPRODUCT((MONTH(CHOOSE({1,2,3,4},TTSSKĐ!T207,TTSSKĐ!X207,TTSSKĐ!AB207,TTSSKĐ!AF207))=11)*(CHOOSE({1,2,3,4},TTSSKĐ!W207,TTSSKĐ!AA207,TTSSKĐ!AE207,TTSSKĐ!AI207)))</f>
        <v>0</v>
      </c>
      <c r="L207">
        <f>SUMPRODUCT((MONTH(CHOOSE({1,2,3,4},TTSSKĐ!T207,TTSSKĐ!X207,TTSSKĐ!AB207,TTSSKĐ!AF207))=12)*(CHOOSE({1,2,3,4},TTSSKĐ!W207,TTSSKĐ!AA207,TTSSKĐ!AE207,TTSSKĐ!AI207)))</f>
        <v>0</v>
      </c>
    </row>
    <row r="208" spans="1:12">
      <c r="A208">
        <f>SUMPRODUCT((MONTH(CHOOSE({1,2,3,4},TTSSKĐ!T208,TTSSKĐ!X208,TTSSKĐ!AB208,TTSSKĐ!AF208))=1)*(CHOOSE({1,2,3,4},TTSSKĐ!W208,TTSSKĐ!AA208,TTSSKĐ!AE208,TTSSKĐ!AI208)))</f>
        <v>0</v>
      </c>
      <c r="B208">
        <f>SUMPRODUCT((MONTH(CHOOSE({1,2,3,4},TTSSKĐ!T208,TTSSKĐ!X208,TTSSKĐ!AB208,TTSSKĐ!AF208))=2)*(CHOOSE({1,2,3,4},TTSSKĐ!W208,TTSSKĐ!AA208,TTSSKĐ!AE208,TTSSKĐ!AI208)))</f>
        <v>0</v>
      </c>
      <c r="C208">
        <f>SUMPRODUCT((MONTH(CHOOSE({1,2,3,4},TTSSKĐ!T208,TTSSKĐ!X208,TTSSKĐ!AB208,TTSSKĐ!AF208))=3)*(CHOOSE({1,2,3,4},TTSSKĐ!W208,TTSSKĐ!AA208,TTSSKĐ!AE208,TTSSKĐ!AI208)))</f>
        <v>0</v>
      </c>
      <c r="D208">
        <f>SUMPRODUCT((MONTH(CHOOSE({1,2,3,4},TTSSKĐ!T208,TTSSKĐ!X208,TTSSKĐ!AB208,TTSSKĐ!AF208))=4)*(CHOOSE({1,2,3,4},TTSSKĐ!W208,TTSSKĐ!AA208,TTSSKĐ!AE208,TTSSKĐ!AI208)))</f>
        <v>0</v>
      </c>
      <c r="E208">
        <f>SUMPRODUCT((MONTH(CHOOSE({1,2,3,4},TTSSKĐ!T208,TTSSKĐ!X208,TTSSKĐ!AB208,TTSSKĐ!AF208))=5)*(CHOOSE({1,2,3,4},TTSSKĐ!W208,TTSSKĐ!AA208,TTSSKĐ!AE208,TTSSKĐ!AI208)))</f>
        <v>0</v>
      </c>
      <c r="F208">
        <f>SUMPRODUCT((MONTH(CHOOSE({1,2,3,4},TTSSKĐ!T208,TTSSKĐ!X208,TTSSKĐ!AB208,TTSSKĐ!AF208))=6)*(CHOOSE({1,2,3,4},TTSSKĐ!W208,TTSSKĐ!AA208,TTSSKĐ!AE208,TTSSKĐ!AI208)))</f>
        <v>0</v>
      </c>
      <c r="G208">
        <f>SUMPRODUCT((MONTH(CHOOSE({1,2,3,4},TTSSKĐ!T208,TTSSKĐ!X208,TTSSKĐ!AB208,TTSSKĐ!AF208))=7)*(CHOOSE({1,2,3,4},TTSSKĐ!W208,TTSSKĐ!AA208,TTSSKĐ!AE208,TTSSKĐ!AI208)))</f>
        <v>0</v>
      </c>
      <c r="H208">
        <f>SUMPRODUCT((MONTH(CHOOSE({1,2,3,4},TTSSKĐ!T208,TTSSKĐ!X208,TTSSKĐ!AB208,TTSSKĐ!AF208))=8)*(CHOOSE({1,2,3,4},TTSSKĐ!W208,TTSSKĐ!AA208,TTSSKĐ!AE208,TTSSKĐ!AI208)))</f>
        <v>0</v>
      </c>
      <c r="I208">
        <f>SUMPRODUCT((MONTH(CHOOSE({1,2,3,4},TTSSKĐ!T208,TTSSKĐ!X208,TTSSKĐ!AB208,TTSSKĐ!AF208))=9)*(CHOOSE({1,2,3,4},TTSSKĐ!W208,TTSSKĐ!AA208,TTSSKĐ!AE208,TTSSKĐ!AI208)))</f>
        <v>0</v>
      </c>
      <c r="J208">
        <f>SUMPRODUCT((MONTH(CHOOSE({1,2,3,4},TTSSKĐ!T208,TTSSKĐ!X208,TTSSKĐ!AB208,TTSSKĐ!AF208))=10)*(CHOOSE({1,2,3,4},TTSSKĐ!W208,TTSSKĐ!AA208,TTSSKĐ!AE208,TTSSKĐ!AI208)))</f>
        <v>0</v>
      </c>
      <c r="K208">
        <f>SUMPRODUCT((MONTH(CHOOSE({1,2,3,4},TTSSKĐ!T208,TTSSKĐ!X208,TTSSKĐ!AB208,TTSSKĐ!AF208))=11)*(CHOOSE({1,2,3,4},TTSSKĐ!W208,TTSSKĐ!AA208,TTSSKĐ!AE208,TTSSKĐ!AI208)))</f>
        <v>0</v>
      </c>
      <c r="L208">
        <f>SUMPRODUCT((MONTH(CHOOSE({1,2,3,4},TTSSKĐ!T208,TTSSKĐ!X208,TTSSKĐ!AB208,TTSSKĐ!AF208))=12)*(CHOOSE({1,2,3,4},TTSSKĐ!W208,TTSSKĐ!AA208,TTSSKĐ!AE208,TTSSKĐ!AI208)))</f>
        <v>0</v>
      </c>
    </row>
    <row r="209" spans="1:12">
      <c r="A209">
        <f>SUMPRODUCT((MONTH(CHOOSE({1,2,3,4},TTSSKĐ!T209,TTSSKĐ!X209,TTSSKĐ!AB209,TTSSKĐ!AF209))=1)*(CHOOSE({1,2,3,4},TTSSKĐ!W209,TTSSKĐ!AA209,TTSSKĐ!AE209,TTSSKĐ!AI209)))</f>
        <v>0</v>
      </c>
      <c r="B209">
        <f>SUMPRODUCT((MONTH(CHOOSE({1,2,3,4},TTSSKĐ!T209,TTSSKĐ!X209,TTSSKĐ!AB209,TTSSKĐ!AF209))=2)*(CHOOSE({1,2,3,4},TTSSKĐ!W209,TTSSKĐ!AA209,TTSSKĐ!AE209,TTSSKĐ!AI209)))</f>
        <v>0</v>
      </c>
      <c r="C209">
        <f>SUMPRODUCT((MONTH(CHOOSE({1,2,3,4},TTSSKĐ!T209,TTSSKĐ!X209,TTSSKĐ!AB209,TTSSKĐ!AF209))=3)*(CHOOSE({1,2,3,4},TTSSKĐ!W209,TTSSKĐ!AA209,TTSSKĐ!AE209,TTSSKĐ!AI209)))</f>
        <v>0</v>
      </c>
      <c r="D209">
        <f>SUMPRODUCT((MONTH(CHOOSE({1,2,3,4},TTSSKĐ!T209,TTSSKĐ!X209,TTSSKĐ!AB209,TTSSKĐ!AF209))=4)*(CHOOSE({1,2,3,4},TTSSKĐ!W209,TTSSKĐ!AA209,TTSSKĐ!AE209,TTSSKĐ!AI209)))</f>
        <v>0</v>
      </c>
      <c r="E209">
        <f>SUMPRODUCT((MONTH(CHOOSE({1,2,3,4},TTSSKĐ!T209,TTSSKĐ!X209,TTSSKĐ!AB209,TTSSKĐ!AF209))=5)*(CHOOSE({1,2,3,4},TTSSKĐ!W209,TTSSKĐ!AA209,TTSSKĐ!AE209,TTSSKĐ!AI209)))</f>
        <v>0</v>
      </c>
      <c r="F209">
        <f>SUMPRODUCT((MONTH(CHOOSE({1,2,3,4},TTSSKĐ!T209,TTSSKĐ!X209,TTSSKĐ!AB209,TTSSKĐ!AF209))=6)*(CHOOSE({1,2,3,4},TTSSKĐ!W209,TTSSKĐ!AA209,TTSSKĐ!AE209,TTSSKĐ!AI209)))</f>
        <v>0</v>
      </c>
      <c r="G209">
        <f>SUMPRODUCT((MONTH(CHOOSE({1,2,3,4},TTSSKĐ!T209,TTSSKĐ!X209,TTSSKĐ!AB209,TTSSKĐ!AF209))=7)*(CHOOSE({1,2,3,4},TTSSKĐ!W209,TTSSKĐ!AA209,TTSSKĐ!AE209,TTSSKĐ!AI209)))</f>
        <v>0</v>
      </c>
      <c r="H209">
        <f>SUMPRODUCT((MONTH(CHOOSE({1,2,3,4},TTSSKĐ!T209,TTSSKĐ!X209,TTSSKĐ!AB209,TTSSKĐ!AF209))=8)*(CHOOSE({1,2,3,4},TTSSKĐ!W209,TTSSKĐ!AA209,TTSSKĐ!AE209,TTSSKĐ!AI209)))</f>
        <v>0</v>
      </c>
      <c r="I209">
        <f>SUMPRODUCT((MONTH(CHOOSE({1,2,3,4},TTSSKĐ!T209,TTSSKĐ!X209,TTSSKĐ!AB209,TTSSKĐ!AF209))=9)*(CHOOSE({1,2,3,4},TTSSKĐ!W209,TTSSKĐ!AA209,TTSSKĐ!AE209,TTSSKĐ!AI209)))</f>
        <v>0</v>
      </c>
      <c r="J209">
        <f>SUMPRODUCT((MONTH(CHOOSE({1,2,3,4},TTSSKĐ!T209,TTSSKĐ!X209,TTSSKĐ!AB209,TTSSKĐ!AF209))=10)*(CHOOSE({1,2,3,4},TTSSKĐ!W209,TTSSKĐ!AA209,TTSSKĐ!AE209,TTSSKĐ!AI209)))</f>
        <v>0</v>
      </c>
      <c r="K209">
        <f>SUMPRODUCT((MONTH(CHOOSE({1,2,3,4},TTSSKĐ!T209,TTSSKĐ!X209,TTSSKĐ!AB209,TTSSKĐ!AF209))=11)*(CHOOSE({1,2,3,4},TTSSKĐ!W209,TTSSKĐ!AA209,TTSSKĐ!AE209,TTSSKĐ!AI209)))</f>
        <v>0</v>
      </c>
      <c r="L209">
        <f>SUMPRODUCT((MONTH(CHOOSE({1,2,3,4},TTSSKĐ!T209,TTSSKĐ!X209,TTSSKĐ!AB209,TTSSKĐ!AF209))=12)*(CHOOSE({1,2,3,4},TTSSKĐ!W209,TTSSKĐ!AA209,TTSSKĐ!AE209,TTSSKĐ!AI209)))</f>
        <v>0</v>
      </c>
    </row>
    <row r="210" spans="1:12">
      <c r="A210">
        <f>SUMPRODUCT((MONTH(CHOOSE({1,2,3,4},TTSSKĐ!T210,TTSSKĐ!X210,TTSSKĐ!AB210,TTSSKĐ!AF210))=1)*(CHOOSE({1,2,3,4},TTSSKĐ!W210,TTSSKĐ!AA210,TTSSKĐ!AE210,TTSSKĐ!AI210)))</f>
        <v>0</v>
      </c>
      <c r="B210">
        <f>SUMPRODUCT((MONTH(CHOOSE({1,2,3,4},TTSSKĐ!T210,TTSSKĐ!X210,TTSSKĐ!AB210,TTSSKĐ!AF210))=2)*(CHOOSE({1,2,3,4},TTSSKĐ!W210,TTSSKĐ!AA210,TTSSKĐ!AE210,TTSSKĐ!AI210)))</f>
        <v>0</v>
      </c>
      <c r="C210">
        <f>SUMPRODUCT((MONTH(CHOOSE({1,2,3,4},TTSSKĐ!T210,TTSSKĐ!X210,TTSSKĐ!AB210,TTSSKĐ!AF210))=3)*(CHOOSE({1,2,3,4},TTSSKĐ!W210,TTSSKĐ!AA210,TTSSKĐ!AE210,TTSSKĐ!AI210)))</f>
        <v>0</v>
      </c>
      <c r="D210">
        <f>SUMPRODUCT((MONTH(CHOOSE({1,2,3,4},TTSSKĐ!T210,TTSSKĐ!X210,TTSSKĐ!AB210,TTSSKĐ!AF210))=4)*(CHOOSE({1,2,3,4},TTSSKĐ!W210,TTSSKĐ!AA210,TTSSKĐ!AE210,TTSSKĐ!AI210)))</f>
        <v>0</v>
      </c>
      <c r="E210">
        <f>SUMPRODUCT((MONTH(CHOOSE({1,2,3,4},TTSSKĐ!T210,TTSSKĐ!X210,TTSSKĐ!AB210,TTSSKĐ!AF210))=5)*(CHOOSE({1,2,3,4},TTSSKĐ!W210,TTSSKĐ!AA210,TTSSKĐ!AE210,TTSSKĐ!AI210)))</f>
        <v>0</v>
      </c>
      <c r="F210">
        <f>SUMPRODUCT((MONTH(CHOOSE({1,2,3,4},TTSSKĐ!T210,TTSSKĐ!X210,TTSSKĐ!AB210,TTSSKĐ!AF210))=6)*(CHOOSE({1,2,3,4},TTSSKĐ!W210,TTSSKĐ!AA210,TTSSKĐ!AE210,TTSSKĐ!AI210)))</f>
        <v>0</v>
      </c>
      <c r="G210">
        <f>SUMPRODUCT((MONTH(CHOOSE({1,2,3,4},TTSSKĐ!T210,TTSSKĐ!X210,TTSSKĐ!AB210,TTSSKĐ!AF210))=7)*(CHOOSE({1,2,3,4},TTSSKĐ!W210,TTSSKĐ!AA210,TTSSKĐ!AE210,TTSSKĐ!AI210)))</f>
        <v>0</v>
      </c>
      <c r="H210">
        <f>SUMPRODUCT((MONTH(CHOOSE({1,2,3,4},TTSSKĐ!T210,TTSSKĐ!X210,TTSSKĐ!AB210,TTSSKĐ!AF210))=8)*(CHOOSE({1,2,3,4},TTSSKĐ!W210,TTSSKĐ!AA210,TTSSKĐ!AE210,TTSSKĐ!AI210)))</f>
        <v>0</v>
      </c>
      <c r="I210">
        <f>SUMPRODUCT((MONTH(CHOOSE({1,2,3,4},TTSSKĐ!T210,TTSSKĐ!X210,TTSSKĐ!AB210,TTSSKĐ!AF210))=9)*(CHOOSE({1,2,3,4},TTSSKĐ!W210,TTSSKĐ!AA210,TTSSKĐ!AE210,TTSSKĐ!AI210)))</f>
        <v>0</v>
      </c>
      <c r="J210">
        <f>SUMPRODUCT((MONTH(CHOOSE({1,2,3,4},TTSSKĐ!T210,TTSSKĐ!X210,TTSSKĐ!AB210,TTSSKĐ!AF210))=10)*(CHOOSE({1,2,3,4},TTSSKĐ!W210,TTSSKĐ!AA210,TTSSKĐ!AE210,TTSSKĐ!AI210)))</f>
        <v>0</v>
      </c>
      <c r="K210">
        <f>SUMPRODUCT((MONTH(CHOOSE({1,2,3,4},TTSSKĐ!T210,TTSSKĐ!X210,TTSSKĐ!AB210,TTSSKĐ!AF210))=11)*(CHOOSE({1,2,3,4},TTSSKĐ!W210,TTSSKĐ!AA210,TTSSKĐ!AE210,TTSSKĐ!AI210)))</f>
        <v>0</v>
      </c>
      <c r="L210">
        <f>SUMPRODUCT((MONTH(CHOOSE({1,2,3,4},TTSSKĐ!T210,TTSSKĐ!X210,TTSSKĐ!AB210,TTSSKĐ!AF210))=12)*(CHOOSE({1,2,3,4},TTSSKĐ!W210,TTSSKĐ!AA210,TTSSKĐ!AE210,TTSSKĐ!AI210)))</f>
        <v>0</v>
      </c>
    </row>
    <row r="211" spans="1:12">
      <c r="A211">
        <f>SUMPRODUCT((MONTH(CHOOSE({1,2,3,4},TTSSKĐ!T211,TTSSKĐ!X211,TTSSKĐ!AB211,TTSSKĐ!AF211))=1)*(CHOOSE({1,2,3,4},TTSSKĐ!W211,TTSSKĐ!AA211,TTSSKĐ!AE211,TTSSKĐ!AI211)))</f>
        <v>0</v>
      </c>
      <c r="B211">
        <f>SUMPRODUCT((MONTH(CHOOSE({1,2,3,4},TTSSKĐ!T211,TTSSKĐ!X211,TTSSKĐ!AB211,TTSSKĐ!AF211))=2)*(CHOOSE({1,2,3,4},TTSSKĐ!W211,TTSSKĐ!AA211,TTSSKĐ!AE211,TTSSKĐ!AI211)))</f>
        <v>0</v>
      </c>
      <c r="C211">
        <f>SUMPRODUCT((MONTH(CHOOSE({1,2,3,4},TTSSKĐ!T211,TTSSKĐ!X211,TTSSKĐ!AB211,TTSSKĐ!AF211))=3)*(CHOOSE({1,2,3,4},TTSSKĐ!W211,TTSSKĐ!AA211,TTSSKĐ!AE211,TTSSKĐ!AI211)))</f>
        <v>0</v>
      </c>
      <c r="D211">
        <f>SUMPRODUCT((MONTH(CHOOSE({1,2,3,4},TTSSKĐ!T211,TTSSKĐ!X211,TTSSKĐ!AB211,TTSSKĐ!AF211))=4)*(CHOOSE({1,2,3,4},TTSSKĐ!W211,TTSSKĐ!AA211,TTSSKĐ!AE211,TTSSKĐ!AI211)))</f>
        <v>0</v>
      </c>
      <c r="E211">
        <f>SUMPRODUCT((MONTH(CHOOSE({1,2,3,4},TTSSKĐ!T211,TTSSKĐ!X211,TTSSKĐ!AB211,TTSSKĐ!AF211))=5)*(CHOOSE({1,2,3,4},TTSSKĐ!W211,TTSSKĐ!AA211,TTSSKĐ!AE211,TTSSKĐ!AI211)))</f>
        <v>0</v>
      </c>
      <c r="F211">
        <f>SUMPRODUCT((MONTH(CHOOSE({1,2,3,4},TTSSKĐ!T211,TTSSKĐ!X211,TTSSKĐ!AB211,TTSSKĐ!AF211))=6)*(CHOOSE({1,2,3,4},TTSSKĐ!W211,TTSSKĐ!AA211,TTSSKĐ!AE211,TTSSKĐ!AI211)))</f>
        <v>0</v>
      </c>
      <c r="G211">
        <f>SUMPRODUCT((MONTH(CHOOSE({1,2,3,4},TTSSKĐ!T211,TTSSKĐ!X211,TTSSKĐ!AB211,TTSSKĐ!AF211))=7)*(CHOOSE({1,2,3,4},TTSSKĐ!W211,TTSSKĐ!AA211,TTSSKĐ!AE211,TTSSKĐ!AI211)))</f>
        <v>0</v>
      </c>
      <c r="H211">
        <f>SUMPRODUCT((MONTH(CHOOSE({1,2,3,4},TTSSKĐ!T211,TTSSKĐ!X211,TTSSKĐ!AB211,TTSSKĐ!AF211))=8)*(CHOOSE({1,2,3,4},TTSSKĐ!W211,TTSSKĐ!AA211,TTSSKĐ!AE211,TTSSKĐ!AI211)))</f>
        <v>0</v>
      </c>
      <c r="I211">
        <f>SUMPRODUCT((MONTH(CHOOSE({1,2,3,4},TTSSKĐ!T211,TTSSKĐ!X211,TTSSKĐ!AB211,TTSSKĐ!AF211))=9)*(CHOOSE({1,2,3,4},TTSSKĐ!W211,TTSSKĐ!AA211,TTSSKĐ!AE211,TTSSKĐ!AI211)))</f>
        <v>0</v>
      </c>
      <c r="J211">
        <f>SUMPRODUCT((MONTH(CHOOSE({1,2,3,4},TTSSKĐ!T211,TTSSKĐ!X211,TTSSKĐ!AB211,TTSSKĐ!AF211))=10)*(CHOOSE({1,2,3,4},TTSSKĐ!W211,TTSSKĐ!AA211,TTSSKĐ!AE211,TTSSKĐ!AI211)))</f>
        <v>0</v>
      </c>
      <c r="K211">
        <f>SUMPRODUCT((MONTH(CHOOSE({1,2,3,4},TTSSKĐ!T211,TTSSKĐ!X211,TTSSKĐ!AB211,TTSSKĐ!AF211))=11)*(CHOOSE({1,2,3,4},TTSSKĐ!W211,TTSSKĐ!AA211,TTSSKĐ!AE211,TTSSKĐ!AI211)))</f>
        <v>0</v>
      </c>
      <c r="L211">
        <f>SUMPRODUCT((MONTH(CHOOSE({1,2,3,4},TTSSKĐ!T211,TTSSKĐ!X211,TTSSKĐ!AB211,TTSSKĐ!AF211))=12)*(CHOOSE({1,2,3,4},TTSSKĐ!W211,TTSSKĐ!AA211,TTSSKĐ!AE211,TTSSKĐ!AI211)))</f>
        <v>0</v>
      </c>
    </row>
    <row r="212" spans="1:12">
      <c r="A212">
        <f>SUMPRODUCT((MONTH(CHOOSE({1,2,3,4},TTSSKĐ!T212,TTSSKĐ!X212,TTSSKĐ!AB212,TTSSKĐ!AF212))=1)*(CHOOSE({1,2,3,4},TTSSKĐ!W212,TTSSKĐ!AA212,TTSSKĐ!AE212,TTSSKĐ!AI212)))</f>
        <v>0</v>
      </c>
      <c r="B212">
        <f>SUMPRODUCT((MONTH(CHOOSE({1,2,3,4},TTSSKĐ!T212,TTSSKĐ!X212,TTSSKĐ!AB212,TTSSKĐ!AF212))=2)*(CHOOSE({1,2,3,4},TTSSKĐ!W212,TTSSKĐ!AA212,TTSSKĐ!AE212,TTSSKĐ!AI212)))</f>
        <v>0</v>
      </c>
      <c r="C212">
        <f>SUMPRODUCT((MONTH(CHOOSE({1,2,3,4},TTSSKĐ!T212,TTSSKĐ!X212,TTSSKĐ!AB212,TTSSKĐ!AF212))=3)*(CHOOSE({1,2,3,4},TTSSKĐ!W212,TTSSKĐ!AA212,TTSSKĐ!AE212,TTSSKĐ!AI212)))</f>
        <v>0</v>
      </c>
      <c r="D212">
        <f>SUMPRODUCT((MONTH(CHOOSE({1,2,3,4},TTSSKĐ!T212,TTSSKĐ!X212,TTSSKĐ!AB212,TTSSKĐ!AF212))=4)*(CHOOSE({1,2,3,4},TTSSKĐ!W212,TTSSKĐ!AA212,TTSSKĐ!AE212,TTSSKĐ!AI212)))</f>
        <v>0</v>
      </c>
      <c r="E212">
        <f>SUMPRODUCT((MONTH(CHOOSE({1,2,3,4},TTSSKĐ!T212,TTSSKĐ!X212,TTSSKĐ!AB212,TTSSKĐ!AF212))=5)*(CHOOSE({1,2,3,4},TTSSKĐ!W212,TTSSKĐ!AA212,TTSSKĐ!AE212,TTSSKĐ!AI212)))</f>
        <v>0</v>
      </c>
      <c r="F212">
        <f>SUMPRODUCT((MONTH(CHOOSE({1,2,3,4},TTSSKĐ!T212,TTSSKĐ!X212,TTSSKĐ!AB212,TTSSKĐ!AF212))=6)*(CHOOSE({1,2,3,4},TTSSKĐ!W212,TTSSKĐ!AA212,TTSSKĐ!AE212,TTSSKĐ!AI212)))</f>
        <v>0</v>
      </c>
      <c r="G212">
        <f>SUMPRODUCT((MONTH(CHOOSE({1,2,3,4},TTSSKĐ!T212,TTSSKĐ!X212,TTSSKĐ!AB212,TTSSKĐ!AF212))=7)*(CHOOSE({1,2,3,4},TTSSKĐ!W212,TTSSKĐ!AA212,TTSSKĐ!AE212,TTSSKĐ!AI212)))</f>
        <v>0</v>
      </c>
      <c r="H212">
        <f>SUMPRODUCT((MONTH(CHOOSE({1,2,3,4},TTSSKĐ!T212,TTSSKĐ!X212,TTSSKĐ!AB212,TTSSKĐ!AF212))=8)*(CHOOSE({1,2,3,4},TTSSKĐ!W212,TTSSKĐ!AA212,TTSSKĐ!AE212,TTSSKĐ!AI212)))</f>
        <v>0</v>
      </c>
      <c r="I212">
        <f>SUMPRODUCT((MONTH(CHOOSE({1,2,3,4},TTSSKĐ!T212,TTSSKĐ!X212,TTSSKĐ!AB212,TTSSKĐ!AF212))=9)*(CHOOSE({1,2,3,4},TTSSKĐ!W212,TTSSKĐ!AA212,TTSSKĐ!AE212,TTSSKĐ!AI212)))</f>
        <v>0</v>
      </c>
      <c r="J212">
        <f>SUMPRODUCT((MONTH(CHOOSE({1,2,3,4},TTSSKĐ!T212,TTSSKĐ!X212,TTSSKĐ!AB212,TTSSKĐ!AF212))=10)*(CHOOSE({1,2,3,4},TTSSKĐ!W212,TTSSKĐ!AA212,TTSSKĐ!AE212,TTSSKĐ!AI212)))</f>
        <v>0</v>
      </c>
      <c r="K212">
        <f>SUMPRODUCT((MONTH(CHOOSE({1,2,3,4},TTSSKĐ!T212,TTSSKĐ!X212,TTSSKĐ!AB212,TTSSKĐ!AF212))=11)*(CHOOSE({1,2,3,4},TTSSKĐ!W212,TTSSKĐ!AA212,TTSSKĐ!AE212,TTSSKĐ!AI212)))</f>
        <v>0</v>
      </c>
      <c r="L212">
        <f>SUMPRODUCT((MONTH(CHOOSE({1,2,3,4},TTSSKĐ!T212,TTSSKĐ!X212,TTSSKĐ!AB212,TTSSKĐ!AF212))=12)*(CHOOSE({1,2,3,4},TTSSKĐ!W212,TTSSKĐ!AA212,TTSSKĐ!AE212,TTSSKĐ!AI212)))</f>
        <v>0</v>
      </c>
    </row>
    <row r="213" spans="1:12">
      <c r="A213">
        <f>SUMPRODUCT((MONTH(CHOOSE({1,2,3,4},TTSSKĐ!T213,TTSSKĐ!X213,TTSSKĐ!AB213,TTSSKĐ!AF213))=1)*(CHOOSE({1,2,3,4},TTSSKĐ!W213,TTSSKĐ!AA213,TTSSKĐ!AE213,TTSSKĐ!AI213)))</f>
        <v>0</v>
      </c>
      <c r="B213">
        <f>SUMPRODUCT((MONTH(CHOOSE({1,2,3,4},TTSSKĐ!T213,TTSSKĐ!X213,TTSSKĐ!AB213,TTSSKĐ!AF213))=2)*(CHOOSE({1,2,3,4},TTSSKĐ!W213,TTSSKĐ!AA213,TTSSKĐ!AE213,TTSSKĐ!AI213)))</f>
        <v>0</v>
      </c>
      <c r="C213">
        <f>SUMPRODUCT((MONTH(CHOOSE({1,2,3,4},TTSSKĐ!T213,TTSSKĐ!X213,TTSSKĐ!AB213,TTSSKĐ!AF213))=3)*(CHOOSE({1,2,3,4},TTSSKĐ!W213,TTSSKĐ!AA213,TTSSKĐ!AE213,TTSSKĐ!AI213)))</f>
        <v>0</v>
      </c>
      <c r="D213">
        <f>SUMPRODUCT((MONTH(CHOOSE({1,2,3,4},TTSSKĐ!T213,TTSSKĐ!X213,TTSSKĐ!AB213,TTSSKĐ!AF213))=4)*(CHOOSE({1,2,3,4},TTSSKĐ!W213,TTSSKĐ!AA213,TTSSKĐ!AE213,TTSSKĐ!AI213)))</f>
        <v>0</v>
      </c>
      <c r="E213">
        <f>SUMPRODUCT((MONTH(CHOOSE({1,2,3,4},TTSSKĐ!T213,TTSSKĐ!X213,TTSSKĐ!AB213,TTSSKĐ!AF213))=5)*(CHOOSE({1,2,3,4},TTSSKĐ!W213,TTSSKĐ!AA213,TTSSKĐ!AE213,TTSSKĐ!AI213)))</f>
        <v>0</v>
      </c>
      <c r="F213">
        <f>SUMPRODUCT((MONTH(CHOOSE({1,2,3,4},TTSSKĐ!T213,TTSSKĐ!X213,TTSSKĐ!AB213,TTSSKĐ!AF213))=6)*(CHOOSE({1,2,3,4},TTSSKĐ!W213,TTSSKĐ!AA213,TTSSKĐ!AE213,TTSSKĐ!AI213)))</f>
        <v>0</v>
      </c>
      <c r="G213">
        <f>SUMPRODUCT((MONTH(CHOOSE({1,2,3,4},TTSSKĐ!T213,TTSSKĐ!X213,TTSSKĐ!AB213,TTSSKĐ!AF213))=7)*(CHOOSE({1,2,3,4},TTSSKĐ!W213,TTSSKĐ!AA213,TTSSKĐ!AE213,TTSSKĐ!AI213)))</f>
        <v>0</v>
      </c>
      <c r="H213">
        <f>SUMPRODUCT((MONTH(CHOOSE({1,2,3,4},TTSSKĐ!T213,TTSSKĐ!X213,TTSSKĐ!AB213,TTSSKĐ!AF213))=8)*(CHOOSE({1,2,3,4},TTSSKĐ!W213,TTSSKĐ!AA213,TTSSKĐ!AE213,TTSSKĐ!AI213)))</f>
        <v>0</v>
      </c>
      <c r="I213">
        <f>SUMPRODUCT((MONTH(CHOOSE({1,2,3,4},TTSSKĐ!T213,TTSSKĐ!X213,TTSSKĐ!AB213,TTSSKĐ!AF213))=9)*(CHOOSE({1,2,3,4},TTSSKĐ!W213,TTSSKĐ!AA213,TTSSKĐ!AE213,TTSSKĐ!AI213)))</f>
        <v>0</v>
      </c>
      <c r="J213">
        <f>SUMPRODUCT((MONTH(CHOOSE({1,2,3,4},TTSSKĐ!T213,TTSSKĐ!X213,TTSSKĐ!AB213,TTSSKĐ!AF213))=10)*(CHOOSE({1,2,3,4},TTSSKĐ!W213,TTSSKĐ!AA213,TTSSKĐ!AE213,TTSSKĐ!AI213)))</f>
        <v>0</v>
      </c>
      <c r="K213">
        <f>SUMPRODUCT((MONTH(CHOOSE({1,2,3,4},TTSSKĐ!T213,TTSSKĐ!X213,TTSSKĐ!AB213,TTSSKĐ!AF213))=11)*(CHOOSE({1,2,3,4},TTSSKĐ!W213,TTSSKĐ!AA213,TTSSKĐ!AE213,TTSSKĐ!AI213)))</f>
        <v>0</v>
      </c>
      <c r="L213">
        <f>SUMPRODUCT((MONTH(CHOOSE({1,2,3,4},TTSSKĐ!T213,TTSSKĐ!X213,TTSSKĐ!AB213,TTSSKĐ!AF213))=12)*(CHOOSE({1,2,3,4},TTSSKĐ!W213,TTSSKĐ!AA213,TTSSKĐ!AE213,TTSSKĐ!AI213)))</f>
        <v>0</v>
      </c>
    </row>
    <row r="214" spans="1:12">
      <c r="A214">
        <f>SUMPRODUCT((MONTH(CHOOSE({1,2,3,4},TTSSKĐ!T214,TTSSKĐ!X214,TTSSKĐ!AB214,TTSSKĐ!AF214))=1)*(CHOOSE({1,2,3,4},TTSSKĐ!W214,TTSSKĐ!AA214,TTSSKĐ!AE214,TTSSKĐ!AI214)))</f>
        <v>0</v>
      </c>
      <c r="B214">
        <f>SUMPRODUCT((MONTH(CHOOSE({1,2,3,4},TTSSKĐ!T214,TTSSKĐ!X214,TTSSKĐ!AB214,TTSSKĐ!AF214))=2)*(CHOOSE({1,2,3,4},TTSSKĐ!W214,TTSSKĐ!AA214,TTSSKĐ!AE214,TTSSKĐ!AI214)))</f>
        <v>0</v>
      </c>
      <c r="C214">
        <f>SUMPRODUCT((MONTH(CHOOSE({1,2,3,4},TTSSKĐ!T214,TTSSKĐ!X214,TTSSKĐ!AB214,TTSSKĐ!AF214))=3)*(CHOOSE({1,2,3,4},TTSSKĐ!W214,TTSSKĐ!AA214,TTSSKĐ!AE214,TTSSKĐ!AI214)))</f>
        <v>0</v>
      </c>
      <c r="D214">
        <f>SUMPRODUCT((MONTH(CHOOSE({1,2,3,4},TTSSKĐ!T214,TTSSKĐ!X214,TTSSKĐ!AB214,TTSSKĐ!AF214))=4)*(CHOOSE({1,2,3,4},TTSSKĐ!W214,TTSSKĐ!AA214,TTSSKĐ!AE214,TTSSKĐ!AI214)))</f>
        <v>0</v>
      </c>
      <c r="E214">
        <f>SUMPRODUCT((MONTH(CHOOSE({1,2,3,4},TTSSKĐ!T214,TTSSKĐ!X214,TTSSKĐ!AB214,TTSSKĐ!AF214))=5)*(CHOOSE({1,2,3,4},TTSSKĐ!W214,TTSSKĐ!AA214,TTSSKĐ!AE214,TTSSKĐ!AI214)))</f>
        <v>0</v>
      </c>
      <c r="F214">
        <f>SUMPRODUCT((MONTH(CHOOSE({1,2,3,4},TTSSKĐ!T214,TTSSKĐ!X214,TTSSKĐ!AB214,TTSSKĐ!AF214))=6)*(CHOOSE({1,2,3,4},TTSSKĐ!W214,TTSSKĐ!AA214,TTSSKĐ!AE214,TTSSKĐ!AI214)))</f>
        <v>0</v>
      </c>
      <c r="G214">
        <f>SUMPRODUCT((MONTH(CHOOSE({1,2,3,4},TTSSKĐ!T214,TTSSKĐ!X214,TTSSKĐ!AB214,TTSSKĐ!AF214))=7)*(CHOOSE({1,2,3,4},TTSSKĐ!W214,TTSSKĐ!AA214,TTSSKĐ!AE214,TTSSKĐ!AI214)))</f>
        <v>0</v>
      </c>
      <c r="H214">
        <f>SUMPRODUCT((MONTH(CHOOSE({1,2,3,4},TTSSKĐ!T214,TTSSKĐ!X214,TTSSKĐ!AB214,TTSSKĐ!AF214))=8)*(CHOOSE({1,2,3,4},TTSSKĐ!W214,TTSSKĐ!AA214,TTSSKĐ!AE214,TTSSKĐ!AI214)))</f>
        <v>0</v>
      </c>
      <c r="I214">
        <f>SUMPRODUCT((MONTH(CHOOSE({1,2,3,4},TTSSKĐ!T214,TTSSKĐ!X214,TTSSKĐ!AB214,TTSSKĐ!AF214))=9)*(CHOOSE({1,2,3,4},TTSSKĐ!W214,TTSSKĐ!AA214,TTSSKĐ!AE214,TTSSKĐ!AI214)))</f>
        <v>0</v>
      </c>
      <c r="J214">
        <f>SUMPRODUCT((MONTH(CHOOSE({1,2,3,4},TTSSKĐ!T214,TTSSKĐ!X214,TTSSKĐ!AB214,TTSSKĐ!AF214))=10)*(CHOOSE({1,2,3,4},TTSSKĐ!W214,TTSSKĐ!AA214,TTSSKĐ!AE214,TTSSKĐ!AI214)))</f>
        <v>0</v>
      </c>
      <c r="K214">
        <f>SUMPRODUCT((MONTH(CHOOSE({1,2,3,4},TTSSKĐ!T214,TTSSKĐ!X214,TTSSKĐ!AB214,TTSSKĐ!AF214))=11)*(CHOOSE({1,2,3,4},TTSSKĐ!W214,TTSSKĐ!AA214,TTSSKĐ!AE214,TTSSKĐ!AI214)))</f>
        <v>0</v>
      </c>
      <c r="L214">
        <f>SUMPRODUCT((MONTH(CHOOSE({1,2,3,4},TTSSKĐ!T214,TTSSKĐ!X214,TTSSKĐ!AB214,TTSSKĐ!AF214))=12)*(CHOOSE({1,2,3,4},TTSSKĐ!W214,TTSSKĐ!AA214,TTSSKĐ!AE214,TTSSKĐ!AI214)))</f>
        <v>0</v>
      </c>
    </row>
    <row r="215" spans="1:12">
      <c r="A215">
        <f>SUMPRODUCT((MONTH(CHOOSE({1,2,3,4},TTSSKĐ!T215,TTSSKĐ!X215,TTSSKĐ!AB215,TTSSKĐ!AF215))=1)*(CHOOSE({1,2,3,4},TTSSKĐ!W215,TTSSKĐ!AA215,TTSSKĐ!AE215,TTSSKĐ!AI215)))</f>
        <v>0</v>
      </c>
      <c r="B215">
        <f>SUMPRODUCT((MONTH(CHOOSE({1,2,3,4},TTSSKĐ!T215,TTSSKĐ!X215,TTSSKĐ!AB215,TTSSKĐ!AF215))=2)*(CHOOSE({1,2,3,4},TTSSKĐ!W215,TTSSKĐ!AA215,TTSSKĐ!AE215,TTSSKĐ!AI215)))</f>
        <v>0</v>
      </c>
      <c r="C215">
        <f>SUMPRODUCT((MONTH(CHOOSE({1,2,3,4},TTSSKĐ!T215,TTSSKĐ!X215,TTSSKĐ!AB215,TTSSKĐ!AF215))=3)*(CHOOSE({1,2,3,4},TTSSKĐ!W215,TTSSKĐ!AA215,TTSSKĐ!AE215,TTSSKĐ!AI215)))</f>
        <v>0</v>
      </c>
      <c r="D215">
        <f>SUMPRODUCT((MONTH(CHOOSE({1,2,3,4},TTSSKĐ!T215,TTSSKĐ!X215,TTSSKĐ!AB215,TTSSKĐ!AF215))=4)*(CHOOSE({1,2,3,4},TTSSKĐ!W215,TTSSKĐ!AA215,TTSSKĐ!AE215,TTSSKĐ!AI215)))</f>
        <v>0</v>
      </c>
      <c r="E215">
        <f>SUMPRODUCT((MONTH(CHOOSE({1,2,3,4},TTSSKĐ!T215,TTSSKĐ!X215,TTSSKĐ!AB215,TTSSKĐ!AF215))=5)*(CHOOSE({1,2,3,4},TTSSKĐ!W215,TTSSKĐ!AA215,TTSSKĐ!AE215,TTSSKĐ!AI215)))</f>
        <v>0</v>
      </c>
      <c r="F215">
        <f>SUMPRODUCT((MONTH(CHOOSE({1,2,3,4},TTSSKĐ!T215,TTSSKĐ!X215,TTSSKĐ!AB215,TTSSKĐ!AF215))=6)*(CHOOSE({1,2,3,4},TTSSKĐ!W215,TTSSKĐ!AA215,TTSSKĐ!AE215,TTSSKĐ!AI215)))</f>
        <v>0</v>
      </c>
      <c r="G215">
        <f>SUMPRODUCT((MONTH(CHOOSE({1,2,3,4},TTSSKĐ!T215,TTSSKĐ!X215,TTSSKĐ!AB215,TTSSKĐ!AF215))=7)*(CHOOSE({1,2,3,4},TTSSKĐ!W215,TTSSKĐ!AA215,TTSSKĐ!AE215,TTSSKĐ!AI215)))</f>
        <v>0</v>
      </c>
      <c r="H215">
        <f>SUMPRODUCT((MONTH(CHOOSE({1,2,3,4},TTSSKĐ!T215,TTSSKĐ!X215,TTSSKĐ!AB215,TTSSKĐ!AF215))=8)*(CHOOSE({1,2,3,4},TTSSKĐ!W215,TTSSKĐ!AA215,TTSSKĐ!AE215,TTSSKĐ!AI215)))</f>
        <v>0</v>
      </c>
      <c r="I215">
        <f>SUMPRODUCT((MONTH(CHOOSE({1,2,3,4},TTSSKĐ!T215,TTSSKĐ!X215,TTSSKĐ!AB215,TTSSKĐ!AF215))=9)*(CHOOSE({1,2,3,4},TTSSKĐ!W215,TTSSKĐ!AA215,TTSSKĐ!AE215,TTSSKĐ!AI215)))</f>
        <v>0</v>
      </c>
      <c r="J215">
        <f>SUMPRODUCT((MONTH(CHOOSE({1,2,3,4},TTSSKĐ!T215,TTSSKĐ!X215,TTSSKĐ!AB215,TTSSKĐ!AF215))=10)*(CHOOSE({1,2,3,4},TTSSKĐ!W215,TTSSKĐ!AA215,TTSSKĐ!AE215,TTSSKĐ!AI215)))</f>
        <v>0</v>
      </c>
      <c r="K215">
        <f>SUMPRODUCT((MONTH(CHOOSE({1,2,3,4},TTSSKĐ!T215,TTSSKĐ!X215,TTSSKĐ!AB215,TTSSKĐ!AF215))=11)*(CHOOSE({1,2,3,4},TTSSKĐ!W215,TTSSKĐ!AA215,TTSSKĐ!AE215,TTSSKĐ!AI215)))</f>
        <v>0</v>
      </c>
      <c r="L215">
        <f>SUMPRODUCT((MONTH(CHOOSE({1,2,3,4},TTSSKĐ!T215,TTSSKĐ!X215,TTSSKĐ!AB215,TTSSKĐ!AF215))=12)*(CHOOSE({1,2,3,4},TTSSKĐ!W215,TTSSKĐ!AA215,TTSSKĐ!AE215,TTSSKĐ!AI215)))</f>
        <v>0</v>
      </c>
    </row>
    <row r="216" spans="1:12">
      <c r="A216">
        <f>SUMPRODUCT((MONTH(CHOOSE({1,2,3,4},TTSSKĐ!T216,TTSSKĐ!X216,TTSSKĐ!AB216,TTSSKĐ!AF216))=1)*(CHOOSE({1,2,3,4},TTSSKĐ!W216,TTSSKĐ!AA216,TTSSKĐ!AE216,TTSSKĐ!AI216)))</f>
        <v>0</v>
      </c>
      <c r="B216">
        <f>SUMPRODUCT((MONTH(CHOOSE({1,2,3,4},TTSSKĐ!T216,TTSSKĐ!X216,TTSSKĐ!AB216,TTSSKĐ!AF216))=2)*(CHOOSE({1,2,3,4},TTSSKĐ!W216,TTSSKĐ!AA216,TTSSKĐ!AE216,TTSSKĐ!AI216)))</f>
        <v>0</v>
      </c>
      <c r="C216">
        <f>SUMPRODUCT((MONTH(CHOOSE({1,2,3,4},TTSSKĐ!T216,TTSSKĐ!X216,TTSSKĐ!AB216,TTSSKĐ!AF216))=3)*(CHOOSE({1,2,3,4},TTSSKĐ!W216,TTSSKĐ!AA216,TTSSKĐ!AE216,TTSSKĐ!AI216)))</f>
        <v>0</v>
      </c>
      <c r="D216">
        <f>SUMPRODUCT((MONTH(CHOOSE({1,2,3,4},TTSSKĐ!T216,TTSSKĐ!X216,TTSSKĐ!AB216,TTSSKĐ!AF216))=4)*(CHOOSE({1,2,3,4},TTSSKĐ!W216,TTSSKĐ!AA216,TTSSKĐ!AE216,TTSSKĐ!AI216)))</f>
        <v>0</v>
      </c>
      <c r="E216">
        <f>SUMPRODUCT((MONTH(CHOOSE({1,2,3,4},TTSSKĐ!T216,TTSSKĐ!X216,TTSSKĐ!AB216,TTSSKĐ!AF216))=5)*(CHOOSE({1,2,3,4},TTSSKĐ!W216,TTSSKĐ!AA216,TTSSKĐ!AE216,TTSSKĐ!AI216)))</f>
        <v>0</v>
      </c>
      <c r="F216">
        <f>SUMPRODUCT((MONTH(CHOOSE({1,2,3,4},TTSSKĐ!T216,TTSSKĐ!X216,TTSSKĐ!AB216,TTSSKĐ!AF216))=6)*(CHOOSE({1,2,3,4},TTSSKĐ!W216,TTSSKĐ!AA216,TTSSKĐ!AE216,TTSSKĐ!AI216)))</f>
        <v>0</v>
      </c>
      <c r="G216">
        <f>SUMPRODUCT((MONTH(CHOOSE({1,2,3,4},TTSSKĐ!T216,TTSSKĐ!X216,TTSSKĐ!AB216,TTSSKĐ!AF216))=7)*(CHOOSE({1,2,3,4},TTSSKĐ!W216,TTSSKĐ!AA216,TTSSKĐ!AE216,TTSSKĐ!AI216)))</f>
        <v>0</v>
      </c>
      <c r="H216">
        <f>SUMPRODUCT((MONTH(CHOOSE({1,2,3,4},TTSSKĐ!T216,TTSSKĐ!X216,TTSSKĐ!AB216,TTSSKĐ!AF216))=8)*(CHOOSE({1,2,3,4},TTSSKĐ!W216,TTSSKĐ!AA216,TTSSKĐ!AE216,TTSSKĐ!AI216)))</f>
        <v>0</v>
      </c>
      <c r="I216">
        <f>SUMPRODUCT((MONTH(CHOOSE({1,2,3,4},TTSSKĐ!T216,TTSSKĐ!X216,TTSSKĐ!AB216,TTSSKĐ!AF216))=9)*(CHOOSE({1,2,3,4},TTSSKĐ!W216,TTSSKĐ!AA216,TTSSKĐ!AE216,TTSSKĐ!AI216)))</f>
        <v>0</v>
      </c>
      <c r="J216">
        <f>SUMPRODUCT((MONTH(CHOOSE({1,2,3,4},TTSSKĐ!T216,TTSSKĐ!X216,TTSSKĐ!AB216,TTSSKĐ!AF216))=10)*(CHOOSE({1,2,3,4},TTSSKĐ!W216,TTSSKĐ!AA216,TTSSKĐ!AE216,TTSSKĐ!AI216)))</f>
        <v>0</v>
      </c>
      <c r="K216">
        <f>SUMPRODUCT((MONTH(CHOOSE({1,2,3,4},TTSSKĐ!T216,TTSSKĐ!X216,TTSSKĐ!AB216,TTSSKĐ!AF216))=11)*(CHOOSE({1,2,3,4},TTSSKĐ!W216,TTSSKĐ!AA216,TTSSKĐ!AE216,TTSSKĐ!AI216)))</f>
        <v>0</v>
      </c>
      <c r="L216">
        <f>SUMPRODUCT((MONTH(CHOOSE({1,2,3,4},TTSSKĐ!T216,TTSSKĐ!X216,TTSSKĐ!AB216,TTSSKĐ!AF216))=12)*(CHOOSE({1,2,3,4},TTSSKĐ!W216,TTSSKĐ!AA216,TTSSKĐ!AE216,TTSSKĐ!AI216)))</f>
        <v>0</v>
      </c>
    </row>
    <row r="217" spans="1:12">
      <c r="A217">
        <f>SUMPRODUCT((MONTH(CHOOSE({1,2,3,4},TTSSKĐ!T217,TTSSKĐ!X217,TTSSKĐ!AB217,TTSSKĐ!AF217))=1)*(CHOOSE({1,2,3,4},TTSSKĐ!W217,TTSSKĐ!AA217,TTSSKĐ!AE217,TTSSKĐ!AI217)))</f>
        <v>0</v>
      </c>
      <c r="B217">
        <f>SUMPRODUCT((MONTH(CHOOSE({1,2,3,4},TTSSKĐ!T217,TTSSKĐ!X217,TTSSKĐ!AB217,TTSSKĐ!AF217))=2)*(CHOOSE({1,2,3,4},TTSSKĐ!W217,TTSSKĐ!AA217,TTSSKĐ!AE217,TTSSKĐ!AI217)))</f>
        <v>0</v>
      </c>
      <c r="C217">
        <f>SUMPRODUCT((MONTH(CHOOSE({1,2,3,4},TTSSKĐ!T217,TTSSKĐ!X217,TTSSKĐ!AB217,TTSSKĐ!AF217))=3)*(CHOOSE({1,2,3,4},TTSSKĐ!W217,TTSSKĐ!AA217,TTSSKĐ!AE217,TTSSKĐ!AI217)))</f>
        <v>0</v>
      </c>
      <c r="D217">
        <f>SUMPRODUCT((MONTH(CHOOSE({1,2,3,4},TTSSKĐ!T217,TTSSKĐ!X217,TTSSKĐ!AB217,TTSSKĐ!AF217))=4)*(CHOOSE({1,2,3,4},TTSSKĐ!W217,TTSSKĐ!AA217,TTSSKĐ!AE217,TTSSKĐ!AI217)))</f>
        <v>0</v>
      </c>
      <c r="E217">
        <f>SUMPRODUCT((MONTH(CHOOSE({1,2,3,4},TTSSKĐ!T217,TTSSKĐ!X217,TTSSKĐ!AB217,TTSSKĐ!AF217))=5)*(CHOOSE({1,2,3,4},TTSSKĐ!W217,TTSSKĐ!AA217,TTSSKĐ!AE217,TTSSKĐ!AI217)))</f>
        <v>0</v>
      </c>
      <c r="F217">
        <f>SUMPRODUCT((MONTH(CHOOSE({1,2,3,4},TTSSKĐ!T217,TTSSKĐ!X217,TTSSKĐ!AB217,TTSSKĐ!AF217))=6)*(CHOOSE({1,2,3,4},TTSSKĐ!W217,TTSSKĐ!AA217,TTSSKĐ!AE217,TTSSKĐ!AI217)))</f>
        <v>0</v>
      </c>
      <c r="G217">
        <f>SUMPRODUCT((MONTH(CHOOSE({1,2,3,4},TTSSKĐ!T217,TTSSKĐ!X217,TTSSKĐ!AB217,TTSSKĐ!AF217))=7)*(CHOOSE({1,2,3,4},TTSSKĐ!W217,TTSSKĐ!AA217,TTSSKĐ!AE217,TTSSKĐ!AI217)))</f>
        <v>0</v>
      </c>
      <c r="H217">
        <f>SUMPRODUCT((MONTH(CHOOSE({1,2,3,4},TTSSKĐ!T217,TTSSKĐ!X217,TTSSKĐ!AB217,TTSSKĐ!AF217))=8)*(CHOOSE({1,2,3,4},TTSSKĐ!W217,TTSSKĐ!AA217,TTSSKĐ!AE217,TTSSKĐ!AI217)))</f>
        <v>0</v>
      </c>
      <c r="I217">
        <f>SUMPRODUCT((MONTH(CHOOSE({1,2,3,4},TTSSKĐ!T217,TTSSKĐ!X217,TTSSKĐ!AB217,TTSSKĐ!AF217))=9)*(CHOOSE({1,2,3,4},TTSSKĐ!W217,TTSSKĐ!AA217,TTSSKĐ!AE217,TTSSKĐ!AI217)))</f>
        <v>0</v>
      </c>
      <c r="J217">
        <f>SUMPRODUCT((MONTH(CHOOSE({1,2,3,4},TTSSKĐ!T217,TTSSKĐ!X217,TTSSKĐ!AB217,TTSSKĐ!AF217))=10)*(CHOOSE({1,2,3,4},TTSSKĐ!W217,TTSSKĐ!AA217,TTSSKĐ!AE217,TTSSKĐ!AI217)))</f>
        <v>0</v>
      </c>
      <c r="K217">
        <f>SUMPRODUCT((MONTH(CHOOSE({1,2,3,4},TTSSKĐ!T217,TTSSKĐ!X217,TTSSKĐ!AB217,TTSSKĐ!AF217))=11)*(CHOOSE({1,2,3,4},TTSSKĐ!W217,TTSSKĐ!AA217,TTSSKĐ!AE217,TTSSKĐ!AI217)))</f>
        <v>0</v>
      </c>
      <c r="L217">
        <f>SUMPRODUCT((MONTH(CHOOSE({1,2,3,4},TTSSKĐ!T217,TTSSKĐ!X217,TTSSKĐ!AB217,TTSSKĐ!AF217))=12)*(CHOOSE({1,2,3,4},TTSSKĐ!W217,TTSSKĐ!AA217,TTSSKĐ!AE217,TTSSKĐ!AI217)))</f>
        <v>0</v>
      </c>
    </row>
    <row r="218" spans="1:12">
      <c r="A218">
        <f>SUMPRODUCT((MONTH(CHOOSE({1,2,3,4},TTSSKĐ!T218,TTSSKĐ!X218,TTSSKĐ!AB218,TTSSKĐ!AF218))=1)*(CHOOSE({1,2,3,4},TTSSKĐ!W218,TTSSKĐ!AA218,TTSSKĐ!AE218,TTSSKĐ!AI218)))</f>
        <v>0</v>
      </c>
      <c r="B218">
        <f>SUMPRODUCT((MONTH(CHOOSE({1,2,3,4},TTSSKĐ!T218,TTSSKĐ!X218,TTSSKĐ!AB218,TTSSKĐ!AF218))=2)*(CHOOSE({1,2,3,4},TTSSKĐ!W218,TTSSKĐ!AA218,TTSSKĐ!AE218,TTSSKĐ!AI218)))</f>
        <v>0</v>
      </c>
      <c r="C218">
        <f>SUMPRODUCT((MONTH(CHOOSE({1,2,3,4},TTSSKĐ!T218,TTSSKĐ!X218,TTSSKĐ!AB218,TTSSKĐ!AF218))=3)*(CHOOSE({1,2,3,4},TTSSKĐ!W218,TTSSKĐ!AA218,TTSSKĐ!AE218,TTSSKĐ!AI218)))</f>
        <v>0</v>
      </c>
      <c r="D218">
        <f>SUMPRODUCT((MONTH(CHOOSE({1,2,3,4},TTSSKĐ!T218,TTSSKĐ!X218,TTSSKĐ!AB218,TTSSKĐ!AF218))=4)*(CHOOSE({1,2,3,4},TTSSKĐ!W218,TTSSKĐ!AA218,TTSSKĐ!AE218,TTSSKĐ!AI218)))</f>
        <v>0</v>
      </c>
      <c r="E218">
        <f>SUMPRODUCT((MONTH(CHOOSE({1,2,3,4},TTSSKĐ!T218,TTSSKĐ!X218,TTSSKĐ!AB218,TTSSKĐ!AF218))=5)*(CHOOSE({1,2,3,4},TTSSKĐ!W218,TTSSKĐ!AA218,TTSSKĐ!AE218,TTSSKĐ!AI218)))</f>
        <v>0</v>
      </c>
      <c r="F218">
        <f>SUMPRODUCT((MONTH(CHOOSE({1,2,3,4},TTSSKĐ!T218,TTSSKĐ!X218,TTSSKĐ!AB218,TTSSKĐ!AF218))=6)*(CHOOSE({1,2,3,4},TTSSKĐ!W218,TTSSKĐ!AA218,TTSSKĐ!AE218,TTSSKĐ!AI218)))</f>
        <v>0</v>
      </c>
      <c r="G218">
        <f>SUMPRODUCT((MONTH(CHOOSE({1,2,3,4},TTSSKĐ!T218,TTSSKĐ!X218,TTSSKĐ!AB218,TTSSKĐ!AF218))=7)*(CHOOSE({1,2,3,4},TTSSKĐ!W218,TTSSKĐ!AA218,TTSSKĐ!AE218,TTSSKĐ!AI218)))</f>
        <v>0</v>
      </c>
      <c r="H218">
        <f>SUMPRODUCT((MONTH(CHOOSE({1,2,3,4},TTSSKĐ!T218,TTSSKĐ!X218,TTSSKĐ!AB218,TTSSKĐ!AF218))=8)*(CHOOSE({1,2,3,4},TTSSKĐ!W218,TTSSKĐ!AA218,TTSSKĐ!AE218,TTSSKĐ!AI218)))</f>
        <v>0</v>
      </c>
      <c r="I218">
        <f>SUMPRODUCT((MONTH(CHOOSE({1,2,3,4},TTSSKĐ!T218,TTSSKĐ!X218,TTSSKĐ!AB218,TTSSKĐ!AF218))=9)*(CHOOSE({1,2,3,4},TTSSKĐ!W218,TTSSKĐ!AA218,TTSSKĐ!AE218,TTSSKĐ!AI218)))</f>
        <v>0</v>
      </c>
      <c r="J218">
        <f>SUMPRODUCT((MONTH(CHOOSE({1,2,3,4},TTSSKĐ!T218,TTSSKĐ!X218,TTSSKĐ!AB218,TTSSKĐ!AF218))=10)*(CHOOSE({1,2,3,4},TTSSKĐ!W218,TTSSKĐ!AA218,TTSSKĐ!AE218,TTSSKĐ!AI218)))</f>
        <v>0</v>
      </c>
      <c r="K218">
        <f>SUMPRODUCT((MONTH(CHOOSE({1,2,3,4},TTSSKĐ!T218,TTSSKĐ!X218,TTSSKĐ!AB218,TTSSKĐ!AF218))=11)*(CHOOSE({1,2,3,4},TTSSKĐ!W218,TTSSKĐ!AA218,TTSSKĐ!AE218,TTSSKĐ!AI218)))</f>
        <v>0</v>
      </c>
      <c r="L218">
        <f>SUMPRODUCT((MONTH(CHOOSE({1,2,3,4},TTSSKĐ!T218,TTSSKĐ!X218,TTSSKĐ!AB218,TTSSKĐ!AF218))=12)*(CHOOSE({1,2,3,4},TTSSKĐ!W218,TTSSKĐ!AA218,TTSSKĐ!AE218,TTSSKĐ!AI218)))</f>
        <v>0</v>
      </c>
    </row>
    <row r="219" spans="1:12">
      <c r="A219">
        <f>SUMPRODUCT((MONTH(CHOOSE({1,2,3,4},TTSSKĐ!T219,TTSSKĐ!X219,TTSSKĐ!AB219,TTSSKĐ!AF219))=1)*(CHOOSE({1,2,3,4},TTSSKĐ!W219,TTSSKĐ!AA219,TTSSKĐ!AE219,TTSSKĐ!AI219)))</f>
        <v>0</v>
      </c>
      <c r="B219">
        <f>SUMPRODUCT((MONTH(CHOOSE({1,2,3,4},TTSSKĐ!T219,TTSSKĐ!X219,TTSSKĐ!AB219,TTSSKĐ!AF219))=2)*(CHOOSE({1,2,3,4},TTSSKĐ!W219,TTSSKĐ!AA219,TTSSKĐ!AE219,TTSSKĐ!AI219)))</f>
        <v>0</v>
      </c>
      <c r="C219">
        <f>SUMPRODUCT((MONTH(CHOOSE({1,2,3,4},TTSSKĐ!T219,TTSSKĐ!X219,TTSSKĐ!AB219,TTSSKĐ!AF219))=3)*(CHOOSE({1,2,3,4},TTSSKĐ!W219,TTSSKĐ!AA219,TTSSKĐ!AE219,TTSSKĐ!AI219)))</f>
        <v>0</v>
      </c>
      <c r="D219">
        <f>SUMPRODUCT((MONTH(CHOOSE({1,2,3,4},TTSSKĐ!T219,TTSSKĐ!X219,TTSSKĐ!AB219,TTSSKĐ!AF219))=4)*(CHOOSE({1,2,3,4},TTSSKĐ!W219,TTSSKĐ!AA219,TTSSKĐ!AE219,TTSSKĐ!AI219)))</f>
        <v>0</v>
      </c>
      <c r="E219">
        <f>SUMPRODUCT((MONTH(CHOOSE({1,2,3,4},TTSSKĐ!T219,TTSSKĐ!X219,TTSSKĐ!AB219,TTSSKĐ!AF219))=5)*(CHOOSE({1,2,3,4},TTSSKĐ!W219,TTSSKĐ!AA219,TTSSKĐ!AE219,TTSSKĐ!AI219)))</f>
        <v>0</v>
      </c>
      <c r="F219">
        <f>SUMPRODUCT((MONTH(CHOOSE({1,2,3,4},TTSSKĐ!T219,TTSSKĐ!X219,TTSSKĐ!AB219,TTSSKĐ!AF219))=6)*(CHOOSE({1,2,3,4},TTSSKĐ!W219,TTSSKĐ!AA219,TTSSKĐ!AE219,TTSSKĐ!AI219)))</f>
        <v>0</v>
      </c>
      <c r="G219">
        <f>SUMPRODUCT((MONTH(CHOOSE({1,2,3,4},TTSSKĐ!T219,TTSSKĐ!X219,TTSSKĐ!AB219,TTSSKĐ!AF219))=7)*(CHOOSE({1,2,3,4},TTSSKĐ!W219,TTSSKĐ!AA219,TTSSKĐ!AE219,TTSSKĐ!AI219)))</f>
        <v>0</v>
      </c>
      <c r="H219">
        <f>SUMPRODUCT((MONTH(CHOOSE({1,2,3,4},TTSSKĐ!T219,TTSSKĐ!X219,TTSSKĐ!AB219,TTSSKĐ!AF219))=8)*(CHOOSE({1,2,3,4},TTSSKĐ!W219,TTSSKĐ!AA219,TTSSKĐ!AE219,TTSSKĐ!AI219)))</f>
        <v>0</v>
      </c>
      <c r="I219">
        <f>SUMPRODUCT((MONTH(CHOOSE({1,2,3,4},TTSSKĐ!T219,TTSSKĐ!X219,TTSSKĐ!AB219,TTSSKĐ!AF219))=9)*(CHOOSE({1,2,3,4},TTSSKĐ!W219,TTSSKĐ!AA219,TTSSKĐ!AE219,TTSSKĐ!AI219)))</f>
        <v>0</v>
      </c>
      <c r="J219">
        <f>SUMPRODUCT((MONTH(CHOOSE({1,2,3,4},TTSSKĐ!T219,TTSSKĐ!X219,TTSSKĐ!AB219,TTSSKĐ!AF219))=10)*(CHOOSE({1,2,3,4},TTSSKĐ!W219,TTSSKĐ!AA219,TTSSKĐ!AE219,TTSSKĐ!AI219)))</f>
        <v>0</v>
      </c>
      <c r="K219">
        <f>SUMPRODUCT((MONTH(CHOOSE({1,2,3,4},TTSSKĐ!T219,TTSSKĐ!X219,TTSSKĐ!AB219,TTSSKĐ!AF219))=11)*(CHOOSE({1,2,3,4},TTSSKĐ!W219,TTSSKĐ!AA219,TTSSKĐ!AE219,TTSSKĐ!AI219)))</f>
        <v>0</v>
      </c>
      <c r="L219">
        <f>SUMPRODUCT((MONTH(CHOOSE({1,2,3,4},TTSSKĐ!T219,TTSSKĐ!X219,TTSSKĐ!AB219,TTSSKĐ!AF219))=12)*(CHOOSE({1,2,3,4},TTSSKĐ!W219,TTSSKĐ!AA219,TTSSKĐ!AE219,TTSSKĐ!AI219)))</f>
        <v>0</v>
      </c>
    </row>
    <row r="220" spans="1:12">
      <c r="A220">
        <f>SUMPRODUCT((MONTH(CHOOSE({1,2,3,4},TTSSKĐ!T220,TTSSKĐ!X220,TTSSKĐ!AB220,TTSSKĐ!AF220))=1)*(CHOOSE({1,2,3,4},TTSSKĐ!W220,TTSSKĐ!AA220,TTSSKĐ!AE220,TTSSKĐ!AI220)))</f>
        <v>0</v>
      </c>
      <c r="B220">
        <f>SUMPRODUCT((MONTH(CHOOSE({1,2,3,4},TTSSKĐ!T220,TTSSKĐ!X220,TTSSKĐ!AB220,TTSSKĐ!AF220))=2)*(CHOOSE({1,2,3,4},TTSSKĐ!W220,TTSSKĐ!AA220,TTSSKĐ!AE220,TTSSKĐ!AI220)))</f>
        <v>0</v>
      </c>
      <c r="C220">
        <f>SUMPRODUCT((MONTH(CHOOSE({1,2,3,4},TTSSKĐ!T220,TTSSKĐ!X220,TTSSKĐ!AB220,TTSSKĐ!AF220))=3)*(CHOOSE({1,2,3,4},TTSSKĐ!W220,TTSSKĐ!AA220,TTSSKĐ!AE220,TTSSKĐ!AI220)))</f>
        <v>0</v>
      </c>
      <c r="D220">
        <f>SUMPRODUCT((MONTH(CHOOSE({1,2,3,4},TTSSKĐ!T220,TTSSKĐ!X220,TTSSKĐ!AB220,TTSSKĐ!AF220))=4)*(CHOOSE({1,2,3,4},TTSSKĐ!W220,TTSSKĐ!AA220,TTSSKĐ!AE220,TTSSKĐ!AI220)))</f>
        <v>0</v>
      </c>
      <c r="E220">
        <f>SUMPRODUCT((MONTH(CHOOSE({1,2,3,4},TTSSKĐ!T220,TTSSKĐ!X220,TTSSKĐ!AB220,TTSSKĐ!AF220))=5)*(CHOOSE({1,2,3,4},TTSSKĐ!W220,TTSSKĐ!AA220,TTSSKĐ!AE220,TTSSKĐ!AI220)))</f>
        <v>0</v>
      </c>
      <c r="F220">
        <f>SUMPRODUCT((MONTH(CHOOSE({1,2,3,4},TTSSKĐ!T220,TTSSKĐ!X220,TTSSKĐ!AB220,TTSSKĐ!AF220))=6)*(CHOOSE({1,2,3,4},TTSSKĐ!W220,TTSSKĐ!AA220,TTSSKĐ!AE220,TTSSKĐ!AI220)))</f>
        <v>0</v>
      </c>
      <c r="G220">
        <f>SUMPRODUCT((MONTH(CHOOSE({1,2,3,4},TTSSKĐ!T220,TTSSKĐ!X220,TTSSKĐ!AB220,TTSSKĐ!AF220))=7)*(CHOOSE({1,2,3,4},TTSSKĐ!W220,TTSSKĐ!AA220,TTSSKĐ!AE220,TTSSKĐ!AI220)))</f>
        <v>0</v>
      </c>
      <c r="H220">
        <f>SUMPRODUCT((MONTH(CHOOSE({1,2,3,4},TTSSKĐ!T220,TTSSKĐ!X220,TTSSKĐ!AB220,TTSSKĐ!AF220))=8)*(CHOOSE({1,2,3,4},TTSSKĐ!W220,TTSSKĐ!AA220,TTSSKĐ!AE220,TTSSKĐ!AI220)))</f>
        <v>0</v>
      </c>
      <c r="I220">
        <f>SUMPRODUCT((MONTH(CHOOSE({1,2,3,4},TTSSKĐ!T220,TTSSKĐ!X220,TTSSKĐ!AB220,TTSSKĐ!AF220))=9)*(CHOOSE({1,2,3,4},TTSSKĐ!W220,TTSSKĐ!AA220,TTSSKĐ!AE220,TTSSKĐ!AI220)))</f>
        <v>0</v>
      </c>
      <c r="J220">
        <f>SUMPRODUCT((MONTH(CHOOSE({1,2,3,4},TTSSKĐ!T220,TTSSKĐ!X220,TTSSKĐ!AB220,TTSSKĐ!AF220))=10)*(CHOOSE({1,2,3,4},TTSSKĐ!W220,TTSSKĐ!AA220,TTSSKĐ!AE220,TTSSKĐ!AI220)))</f>
        <v>0</v>
      </c>
      <c r="K220">
        <f>SUMPRODUCT((MONTH(CHOOSE({1,2,3,4},TTSSKĐ!T220,TTSSKĐ!X220,TTSSKĐ!AB220,TTSSKĐ!AF220))=11)*(CHOOSE({1,2,3,4},TTSSKĐ!W220,TTSSKĐ!AA220,TTSSKĐ!AE220,TTSSKĐ!AI220)))</f>
        <v>0</v>
      </c>
      <c r="L220">
        <f>SUMPRODUCT((MONTH(CHOOSE({1,2,3,4},TTSSKĐ!T220,TTSSKĐ!X220,TTSSKĐ!AB220,TTSSKĐ!AF220))=12)*(CHOOSE({1,2,3,4},TTSSKĐ!W220,TTSSKĐ!AA220,TTSSKĐ!AE220,TTSSKĐ!AI220)))</f>
        <v>0</v>
      </c>
    </row>
    <row r="221" spans="1:12">
      <c r="A221">
        <f>SUMPRODUCT((MONTH(CHOOSE({1,2,3,4},TTSSKĐ!T221,TTSSKĐ!X221,TTSSKĐ!AB221,TTSSKĐ!AF221))=1)*(CHOOSE({1,2,3,4},TTSSKĐ!W221,TTSSKĐ!AA221,TTSSKĐ!AE221,TTSSKĐ!AI221)))</f>
        <v>0</v>
      </c>
      <c r="B221">
        <f>SUMPRODUCT((MONTH(CHOOSE({1,2,3,4},TTSSKĐ!T221,TTSSKĐ!X221,TTSSKĐ!AB221,TTSSKĐ!AF221))=2)*(CHOOSE({1,2,3,4},TTSSKĐ!W221,TTSSKĐ!AA221,TTSSKĐ!AE221,TTSSKĐ!AI221)))</f>
        <v>0</v>
      </c>
      <c r="C221">
        <f>SUMPRODUCT((MONTH(CHOOSE({1,2,3,4},TTSSKĐ!T221,TTSSKĐ!X221,TTSSKĐ!AB221,TTSSKĐ!AF221))=3)*(CHOOSE({1,2,3,4},TTSSKĐ!W221,TTSSKĐ!AA221,TTSSKĐ!AE221,TTSSKĐ!AI221)))</f>
        <v>0</v>
      </c>
      <c r="D221">
        <f>SUMPRODUCT((MONTH(CHOOSE({1,2,3,4},TTSSKĐ!T221,TTSSKĐ!X221,TTSSKĐ!AB221,TTSSKĐ!AF221))=4)*(CHOOSE({1,2,3,4},TTSSKĐ!W221,TTSSKĐ!AA221,TTSSKĐ!AE221,TTSSKĐ!AI221)))</f>
        <v>0</v>
      </c>
      <c r="E221">
        <f>SUMPRODUCT((MONTH(CHOOSE({1,2,3,4},TTSSKĐ!T221,TTSSKĐ!X221,TTSSKĐ!AB221,TTSSKĐ!AF221))=5)*(CHOOSE({1,2,3,4},TTSSKĐ!W221,TTSSKĐ!AA221,TTSSKĐ!AE221,TTSSKĐ!AI221)))</f>
        <v>0</v>
      </c>
      <c r="F221">
        <f>SUMPRODUCT((MONTH(CHOOSE({1,2,3,4},TTSSKĐ!T221,TTSSKĐ!X221,TTSSKĐ!AB221,TTSSKĐ!AF221))=6)*(CHOOSE({1,2,3,4},TTSSKĐ!W221,TTSSKĐ!AA221,TTSSKĐ!AE221,TTSSKĐ!AI221)))</f>
        <v>0</v>
      </c>
      <c r="G221">
        <f>SUMPRODUCT((MONTH(CHOOSE({1,2,3,4},TTSSKĐ!T221,TTSSKĐ!X221,TTSSKĐ!AB221,TTSSKĐ!AF221))=7)*(CHOOSE({1,2,3,4},TTSSKĐ!W221,TTSSKĐ!AA221,TTSSKĐ!AE221,TTSSKĐ!AI221)))</f>
        <v>0</v>
      </c>
      <c r="H221">
        <f>SUMPRODUCT((MONTH(CHOOSE({1,2,3,4},TTSSKĐ!T221,TTSSKĐ!X221,TTSSKĐ!AB221,TTSSKĐ!AF221))=8)*(CHOOSE({1,2,3,4},TTSSKĐ!W221,TTSSKĐ!AA221,TTSSKĐ!AE221,TTSSKĐ!AI221)))</f>
        <v>0</v>
      </c>
      <c r="I221">
        <f>SUMPRODUCT((MONTH(CHOOSE({1,2,3,4},TTSSKĐ!T221,TTSSKĐ!X221,TTSSKĐ!AB221,TTSSKĐ!AF221))=9)*(CHOOSE({1,2,3,4},TTSSKĐ!W221,TTSSKĐ!AA221,TTSSKĐ!AE221,TTSSKĐ!AI221)))</f>
        <v>0</v>
      </c>
      <c r="J221">
        <f>SUMPRODUCT((MONTH(CHOOSE({1,2,3,4},TTSSKĐ!T221,TTSSKĐ!X221,TTSSKĐ!AB221,TTSSKĐ!AF221))=10)*(CHOOSE({1,2,3,4},TTSSKĐ!W221,TTSSKĐ!AA221,TTSSKĐ!AE221,TTSSKĐ!AI221)))</f>
        <v>0</v>
      </c>
      <c r="K221">
        <f>SUMPRODUCT((MONTH(CHOOSE({1,2,3,4},TTSSKĐ!T221,TTSSKĐ!X221,TTSSKĐ!AB221,TTSSKĐ!AF221))=11)*(CHOOSE({1,2,3,4},TTSSKĐ!W221,TTSSKĐ!AA221,TTSSKĐ!AE221,TTSSKĐ!AI221)))</f>
        <v>0</v>
      </c>
      <c r="L221">
        <f>SUMPRODUCT((MONTH(CHOOSE({1,2,3,4},TTSSKĐ!T221,TTSSKĐ!X221,TTSSKĐ!AB221,TTSSKĐ!AF221))=12)*(CHOOSE({1,2,3,4},TTSSKĐ!W221,TTSSKĐ!AA221,TTSSKĐ!AE221,TTSSKĐ!AI221)))</f>
        <v>0</v>
      </c>
    </row>
    <row r="222" spans="1:12">
      <c r="A222">
        <f>SUMPRODUCT((MONTH(CHOOSE({1,2,3,4},TTSSKĐ!T222,TTSSKĐ!X222,TTSSKĐ!AB222,TTSSKĐ!AF222))=1)*(CHOOSE({1,2,3,4},TTSSKĐ!W222,TTSSKĐ!AA222,TTSSKĐ!AE222,TTSSKĐ!AI222)))</f>
        <v>0</v>
      </c>
      <c r="B222">
        <f>SUMPRODUCT((MONTH(CHOOSE({1,2,3,4},TTSSKĐ!T222,TTSSKĐ!X222,TTSSKĐ!AB222,TTSSKĐ!AF222))=2)*(CHOOSE({1,2,3,4},TTSSKĐ!W222,TTSSKĐ!AA222,TTSSKĐ!AE222,TTSSKĐ!AI222)))</f>
        <v>0</v>
      </c>
      <c r="C222">
        <f>SUMPRODUCT((MONTH(CHOOSE({1,2,3,4},TTSSKĐ!T222,TTSSKĐ!X222,TTSSKĐ!AB222,TTSSKĐ!AF222))=3)*(CHOOSE({1,2,3,4},TTSSKĐ!W222,TTSSKĐ!AA222,TTSSKĐ!AE222,TTSSKĐ!AI222)))</f>
        <v>0</v>
      </c>
      <c r="D222">
        <f>SUMPRODUCT((MONTH(CHOOSE({1,2,3,4},TTSSKĐ!T222,TTSSKĐ!X222,TTSSKĐ!AB222,TTSSKĐ!AF222))=4)*(CHOOSE({1,2,3,4},TTSSKĐ!W222,TTSSKĐ!AA222,TTSSKĐ!AE222,TTSSKĐ!AI222)))</f>
        <v>0</v>
      </c>
      <c r="E222">
        <f>SUMPRODUCT((MONTH(CHOOSE({1,2,3,4},TTSSKĐ!T222,TTSSKĐ!X222,TTSSKĐ!AB222,TTSSKĐ!AF222))=5)*(CHOOSE({1,2,3,4},TTSSKĐ!W222,TTSSKĐ!AA222,TTSSKĐ!AE222,TTSSKĐ!AI222)))</f>
        <v>0</v>
      </c>
      <c r="F222">
        <f>SUMPRODUCT((MONTH(CHOOSE({1,2,3,4},TTSSKĐ!T222,TTSSKĐ!X222,TTSSKĐ!AB222,TTSSKĐ!AF222))=6)*(CHOOSE({1,2,3,4},TTSSKĐ!W222,TTSSKĐ!AA222,TTSSKĐ!AE222,TTSSKĐ!AI222)))</f>
        <v>0</v>
      </c>
      <c r="G222">
        <f>SUMPRODUCT((MONTH(CHOOSE({1,2,3,4},TTSSKĐ!T222,TTSSKĐ!X222,TTSSKĐ!AB222,TTSSKĐ!AF222))=7)*(CHOOSE({1,2,3,4},TTSSKĐ!W222,TTSSKĐ!AA222,TTSSKĐ!AE222,TTSSKĐ!AI222)))</f>
        <v>0</v>
      </c>
      <c r="H222">
        <f>SUMPRODUCT((MONTH(CHOOSE({1,2,3,4},TTSSKĐ!T222,TTSSKĐ!X222,TTSSKĐ!AB222,TTSSKĐ!AF222))=8)*(CHOOSE({1,2,3,4},TTSSKĐ!W222,TTSSKĐ!AA222,TTSSKĐ!AE222,TTSSKĐ!AI222)))</f>
        <v>0</v>
      </c>
      <c r="I222">
        <f>SUMPRODUCT((MONTH(CHOOSE({1,2,3,4},TTSSKĐ!T222,TTSSKĐ!X222,TTSSKĐ!AB222,TTSSKĐ!AF222))=9)*(CHOOSE({1,2,3,4},TTSSKĐ!W222,TTSSKĐ!AA222,TTSSKĐ!AE222,TTSSKĐ!AI222)))</f>
        <v>0</v>
      </c>
      <c r="J222">
        <f>SUMPRODUCT((MONTH(CHOOSE({1,2,3,4},TTSSKĐ!T222,TTSSKĐ!X222,TTSSKĐ!AB222,TTSSKĐ!AF222))=10)*(CHOOSE({1,2,3,4},TTSSKĐ!W222,TTSSKĐ!AA222,TTSSKĐ!AE222,TTSSKĐ!AI222)))</f>
        <v>0</v>
      </c>
      <c r="K222">
        <f>SUMPRODUCT((MONTH(CHOOSE({1,2,3,4},TTSSKĐ!T222,TTSSKĐ!X222,TTSSKĐ!AB222,TTSSKĐ!AF222))=11)*(CHOOSE({1,2,3,4},TTSSKĐ!W222,TTSSKĐ!AA222,TTSSKĐ!AE222,TTSSKĐ!AI222)))</f>
        <v>0</v>
      </c>
      <c r="L222">
        <f>SUMPRODUCT((MONTH(CHOOSE({1,2,3,4},TTSSKĐ!T222,TTSSKĐ!X222,TTSSKĐ!AB222,TTSSKĐ!AF222))=12)*(CHOOSE({1,2,3,4},TTSSKĐ!W222,TTSSKĐ!AA222,TTSSKĐ!AE222,TTSSKĐ!AI222)))</f>
        <v>0</v>
      </c>
    </row>
    <row r="223" spans="1:12">
      <c r="A223">
        <f>SUMPRODUCT((MONTH(CHOOSE({1,2,3,4},TTSSKĐ!T223,TTSSKĐ!X223,TTSSKĐ!AB223,TTSSKĐ!AF223))=1)*(CHOOSE({1,2,3,4},TTSSKĐ!W223,TTSSKĐ!AA223,TTSSKĐ!AE223,TTSSKĐ!AI223)))</f>
        <v>0</v>
      </c>
      <c r="B223">
        <f>SUMPRODUCT((MONTH(CHOOSE({1,2,3,4},TTSSKĐ!T223,TTSSKĐ!X223,TTSSKĐ!AB223,TTSSKĐ!AF223))=2)*(CHOOSE({1,2,3,4},TTSSKĐ!W223,TTSSKĐ!AA223,TTSSKĐ!AE223,TTSSKĐ!AI223)))</f>
        <v>0</v>
      </c>
      <c r="C223">
        <f>SUMPRODUCT((MONTH(CHOOSE({1,2,3,4},TTSSKĐ!T223,TTSSKĐ!X223,TTSSKĐ!AB223,TTSSKĐ!AF223))=3)*(CHOOSE({1,2,3,4},TTSSKĐ!W223,TTSSKĐ!AA223,TTSSKĐ!AE223,TTSSKĐ!AI223)))</f>
        <v>0</v>
      </c>
      <c r="D223">
        <f>SUMPRODUCT((MONTH(CHOOSE({1,2,3,4},TTSSKĐ!T223,TTSSKĐ!X223,TTSSKĐ!AB223,TTSSKĐ!AF223))=4)*(CHOOSE({1,2,3,4},TTSSKĐ!W223,TTSSKĐ!AA223,TTSSKĐ!AE223,TTSSKĐ!AI223)))</f>
        <v>0</v>
      </c>
      <c r="E223">
        <f>SUMPRODUCT((MONTH(CHOOSE({1,2,3,4},TTSSKĐ!T223,TTSSKĐ!X223,TTSSKĐ!AB223,TTSSKĐ!AF223))=5)*(CHOOSE({1,2,3,4},TTSSKĐ!W223,TTSSKĐ!AA223,TTSSKĐ!AE223,TTSSKĐ!AI223)))</f>
        <v>0</v>
      </c>
      <c r="F223">
        <f>SUMPRODUCT((MONTH(CHOOSE({1,2,3,4},TTSSKĐ!T223,TTSSKĐ!X223,TTSSKĐ!AB223,TTSSKĐ!AF223))=6)*(CHOOSE({1,2,3,4},TTSSKĐ!W223,TTSSKĐ!AA223,TTSSKĐ!AE223,TTSSKĐ!AI223)))</f>
        <v>0</v>
      </c>
      <c r="G223">
        <f>SUMPRODUCT((MONTH(CHOOSE({1,2,3,4},TTSSKĐ!T223,TTSSKĐ!X223,TTSSKĐ!AB223,TTSSKĐ!AF223))=7)*(CHOOSE({1,2,3,4},TTSSKĐ!W223,TTSSKĐ!AA223,TTSSKĐ!AE223,TTSSKĐ!AI223)))</f>
        <v>0</v>
      </c>
      <c r="H223">
        <f>SUMPRODUCT((MONTH(CHOOSE({1,2,3,4},TTSSKĐ!T223,TTSSKĐ!X223,TTSSKĐ!AB223,TTSSKĐ!AF223))=8)*(CHOOSE({1,2,3,4},TTSSKĐ!W223,TTSSKĐ!AA223,TTSSKĐ!AE223,TTSSKĐ!AI223)))</f>
        <v>0</v>
      </c>
      <c r="I223">
        <f>SUMPRODUCT((MONTH(CHOOSE({1,2,3,4},TTSSKĐ!T223,TTSSKĐ!X223,TTSSKĐ!AB223,TTSSKĐ!AF223))=9)*(CHOOSE({1,2,3,4},TTSSKĐ!W223,TTSSKĐ!AA223,TTSSKĐ!AE223,TTSSKĐ!AI223)))</f>
        <v>0</v>
      </c>
      <c r="J223">
        <f>SUMPRODUCT((MONTH(CHOOSE({1,2,3,4},TTSSKĐ!T223,TTSSKĐ!X223,TTSSKĐ!AB223,TTSSKĐ!AF223))=10)*(CHOOSE({1,2,3,4},TTSSKĐ!W223,TTSSKĐ!AA223,TTSSKĐ!AE223,TTSSKĐ!AI223)))</f>
        <v>0</v>
      </c>
      <c r="K223">
        <f>SUMPRODUCT((MONTH(CHOOSE({1,2,3,4},TTSSKĐ!T223,TTSSKĐ!X223,TTSSKĐ!AB223,TTSSKĐ!AF223))=11)*(CHOOSE({1,2,3,4},TTSSKĐ!W223,TTSSKĐ!AA223,TTSSKĐ!AE223,TTSSKĐ!AI223)))</f>
        <v>0</v>
      </c>
      <c r="L223">
        <f>SUMPRODUCT((MONTH(CHOOSE({1,2,3,4},TTSSKĐ!T223,TTSSKĐ!X223,TTSSKĐ!AB223,TTSSKĐ!AF223))=12)*(CHOOSE({1,2,3,4},TTSSKĐ!W223,TTSSKĐ!AA223,TTSSKĐ!AE223,TTSSKĐ!AI223)))</f>
        <v>0</v>
      </c>
    </row>
    <row r="224" spans="1:12">
      <c r="A224">
        <f>SUMPRODUCT((MONTH(CHOOSE({1,2,3,4},TTSSKĐ!T224,TTSSKĐ!X224,TTSSKĐ!AB224,TTSSKĐ!AF224))=1)*(CHOOSE({1,2,3,4},TTSSKĐ!W224,TTSSKĐ!AA224,TTSSKĐ!AE224,TTSSKĐ!AI224)))</f>
        <v>0</v>
      </c>
      <c r="B224">
        <f>SUMPRODUCT((MONTH(CHOOSE({1,2,3,4},TTSSKĐ!T224,TTSSKĐ!X224,TTSSKĐ!AB224,TTSSKĐ!AF224))=2)*(CHOOSE({1,2,3,4},TTSSKĐ!W224,TTSSKĐ!AA224,TTSSKĐ!AE224,TTSSKĐ!AI224)))</f>
        <v>0</v>
      </c>
      <c r="C224">
        <f>SUMPRODUCT((MONTH(CHOOSE({1,2,3,4},TTSSKĐ!T224,TTSSKĐ!X224,TTSSKĐ!AB224,TTSSKĐ!AF224))=3)*(CHOOSE({1,2,3,4},TTSSKĐ!W224,TTSSKĐ!AA224,TTSSKĐ!AE224,TTSSKĐ!AI224)))</f>
        <v>0</v>
      </c>
      <c r="D224">
        <f>SUMPRODUCT((MONTH(CHOOSE({1,2,3,4},TTSSKĐ!T224,TTSSKĐ!X224,TTSSKĐ!AB224,TTSSKĐ!AF224))=4)*(CHOOSE({1,2,3,4},TTSSKĐ!W224,TTSSKĐ!AA224,TTSSKĐ!AE224,TTSSKĐ!AI224)))</f>
        <v>0</v>
      </c>
      <c r="E224">
        <f>SUMPRODUCT((MONTH(CHOOSE({1,2,3,4},TTSSKĐ!T224,TTSSKĐ!X224,TTSSKĐ!AB224,TTSSKĐ!AF224))=5)*(CHOOSE({1,2,3,4},TTSSKĐ!W224,TTSSKĐ!AA224,TTSSKĐ!AE224,TTSSKĐ!AI224)))</f>
        <v>0</v>
      </c>
      <c r="F224">
        <f>SUMPRODUCT((MONTH(CHOOSE({1,2,3,4},TTSSKĐ!T224,TTSSKĐ!X224,TTSSKĐ!AB224,TTSSKĐ!AF224))=6)*(CHOOSE({1,2,3,4},TTSSKĐ!W224,TTSSKĐ!AA224,TTSSKĐ!AE224,TTSSKĐ!AI224)))</f>
        <v>0</v>
      </c>
      <c r="G224">
        <f>SUMPRODUCT((MONTH(CHOOSE({1,2,3,4},TTSSKĐ!T224,TTSSKĐ!X224,TTSSKĐ!AB224,TTSSKĐ!AF224))=7)*(CHOOSE({1,2,3,4},TTSSKĐ!W224,TTSSKĐ!AA224,TTSSKĐ!AE224,TTSSKĐ!AI224)))</f>
        <v>0</v>
      </c>
      <c r="H224">
        <f>SUMPRODUCT((MONTH(CHOOSE({1,2,3,4},TTSSKĐ!T224,TTSSKĐ!X224,TTSSKĐ!AB224,TTSSKĐ!AF224))=8)*(CHOOSE({1,2,3,4},TTSSKĐ!W224,TTSSKĐ!AA224,TTSSKĐ!AE224,TTSSKĐ!AI224)))</f>
        <v>0</v>
      </c>
      <c r="I224">
        <f>SUMPRODUCT((MONTH(CHOOSE({1,2,3,4},TTSSKĐ!T224,TTSSKĐ!X224,TTSSKĐ!AB224,TTSSKĐ!AF224))=9)*(CHOOSE({1,2,3,4},TTSSKĐ!W224,TTSSKĐ!AA224,TTSSKĐ!AE224,TTSSKĐ!AI224)))</f>
        <v>0</v>
      </c>
      <c r="J224">
        <f>SUMPRODUCT((MONTH(CHOOSE({1,2,3,4},TTSSKĐ!T224,TTSSKĐ!X224,TTSSKĐ!AB224,TTSSKĐ!AF224))=10)*(CHOOSE({1,2,3,4},TTSSKĐ!W224,TTSSKĐ!AA224,TTSSKĐ!AE224,TTSSKĐ!AI224)))</f>
        <v>0</v>
      </c>
      <c r="K224">
        <f>SUMPRODUCT((MONTH(CHOOSE({1,2,3,4},TTSSKĐ!T224,TTSSKĐ!X224,TTSSKĐ!AB224,TTSSKĐ!AF224))=11)*(CHOOSE({1,2,3,4},TTSSKĐ!W224,TTSSKĐ!AA224,TTSSKĐ!AE224,TTSSKĐ!AI224)))</f>
        <v>0</v>
      </c>
      <c r="L224">
        <f>SUMPRODUCT((MONTH(CHOOSE({1,2,3,4},TTSSKĐ!T224,TTSSKĐ!X224,TTSSKĐ!AB224,TTSSKĐ!AF224))=12)*(CHOOSE({1,2,3,4},TTSSKĐ!W224,TTSSKĐ!AA224,TTSSKĐ!AE224,TTSSKĐ!AI224)))</f>
        <v>0</v>
      </c>
    </row>
    <row r="225" spans="1:12">
      <c r="A225">
        <f>SUMPRODUCT((MONTH(CHOOSE({1,2,3,4},TTSSKĐ!T225,TTSSKĐ!X225,TTSSKĐ!AB225,TTSSKĐ!AF225))=1)*(CHOOSE({1,2,3,4},TTSSKĐ!W225,TTSSKĐ!AA225,TTSSKĐ!AE225,TTSSKĐ!AI225)))</f>
        <v>0</v>
      </c>
      <c r="B225">
        <f>SUMPRODUCT((MONTH(CHOOSE({1,2,3,4},TTSSKĐ!T225,TTSSKĐ!X225,TTSSKĐ!AB225,TTSSKĐ!AF225))=2)*(CHOOSE({1,2,3,4},TTSSKĐ!W225,TTSSKĐ!AA225,TTSSKĐ!AE225,TTSSKĐ!AI225)))</f>
        <v>0</v>
      </c>
      <c r="C225">
        <f>SUMPRODUCT((MONTH(CHOOSE({1,2,3,4},TTSSKĐ!T225,TTSSKĐ!X225,TTSSKĐ!AB225,TTSSKĐ!AF225))=3)*(CHOOSE({1,2,3,4},TTSSKĐ!W225,TTSSKĐ!AA225,TTSSKĐ!AE225,TTSSKĐ!AI225)))</f>
        <v>0</v>
      </c>
      <c r="D225">
        <f>SUMPRODUCT((MONTH(CHOOSE({1,2,3,4},TTSSKĐ!T225,TTSSKĐ!X225,TTSSKĐ!AB225,TTSSKĐ!AF225))=4)*(CHOOSE({1,2,3,4},TTSSKĐ!W225,TTSSKĐ!AA225,TTSSKĐ!AE225,TTSSKĐ!AI225)))</f>
        <v>0</v>
      </c>
      <c r="E225">
        <f>SUMPRODUCT((MONTH(CHOOSE({1,2,3,4},TTSSKĐ!T225,TTSSKĐ!X225,TTSSKĐ!AB225,TTSSKĐ!AF225))=5)*(CHOOSE({1,2,3,4},TTSSKĐ!W225,TTSSKĐ!AA225,TTSSKĐ!AE225,TTSSKĐ!AI225)))</f>
        <v>0</v>
      </c>
      <c r="F225">
        <f>SUMPRODUCT((MONTH(CHOOSE({1,2,3,4},TTSSKĐ!T225,TTSSKĐ!X225,TTSSKĐ!AB225,TTSSKĐ!AF225))=6)*(CHOOSE({1,2,3,4},TTSSKĐ!W225,TTSSKĐ!AA225,TTSSKĐ!AE225,TTSSKĐ!AI225)))</f>
        <v>0</v>
      </c>
      <c r="G225">
        <f>SUMPRODUCT((MONTH(CHOOSE({1,2,3,4},TTSSKĐ!T225,TTSSKĐ!X225,TTSSKĐ!AB225,TTSSKĐ!AF225))=7)*(CHOOSE({1,2,3,4},TTSSKĐ!W225,TTSSKĐ!AA225,TTSSKĐ!AE225,TTSSKĐ!AI225)))</f>
        <v>0</v>
      </c>
      <c r="H225">
        <f>SUMPRODUCT((MONTH(CHOOSE({1,2,3,4},TTSSKĐ!T225,TTSSKĐ!X225,TTSSKĐ!AB225,TTSSKĐ!AF225))=8)*(CHOOSE({1,2,3,4},TTSSKĐ!W225,TTSSKĐ!AA225,TTSSKĐ!AE225,TTSSKĐ!AI225)))</f>
        <v>0</v>
      </c>
      <c r="I225">
        <f>SUMPRODUCT((MONTH(CHOOSE({1,2,3,4},TTSSKĐ!T225,TTSSKĐ!X225,TTSSKĐ!AB225,TTSSKĐ!AF225))=9)*(CHOOSE({1,2,3,4},TTSSKĐ!W225,TTSSKĐ!AA225,TTSSKĐ!AE225,TTSSKĐ!AI225)))</f>
        <v>0</v>
      </c>
      <c r="J225">
        <f>SUMPRODUCT((MONTH(CHOOSE({1,2,3,4},TTSSKĐ!T225,TTSSKĐ!X225,TTSSKĐ!AB225,TTSSKĐ!AF225))=10)*(CHOOSE({1,2,3,4},TTSSKĐ!W225,TTSSKĐ!AA225,TTSSKĐ!AE225,TTSSKĐ!AI225)))</f>
        <v>0</v>
      </c>
      <c r="K225">
        <f>SUMPRODUCT((MONTH(CHOOSE({1,2,3,4},TTSSKĐ!T225,TTSSKĐ!X225,TTSSKĐ!AB225,TTSSKĐ!AF225))=11)*(CHOOSE({1,2,3,4},TTSSKĐ!W225,TTSSKĐ!AA225,TTSSKĐ!AE225,TTSSKĐ!AI225)))</f>
        <v>0</v>
      </c>
      <c r="L225">
        <f>SUMPRODUCT((MONTH(CHOOSE({1,2,3,4},TTSSKĐ!T225,TTSSKĐ!X225,TTSSKĐ!AB225,TTSSKĐ!AF225))=12)*(CHOOSE({1,2,3,4},TTSSKĐ!W225,TTSSKĐ!AA225,TTSSKĐ!AE225,TTSSKĐ!AI225)))</f>
        <v>0</v>
      </c>
    </row>
    <row r="226" spans="1:12">
      <c r="A226">
        <f>SUMPRODUCT((MONTH(CHOOSE({1,2,3,4},TTSSKĐ!T226,TTSSKĐ!X226,TTSSKĐ!AB226,TTSSKĐ!AF226))=1)*(CHOOSE({1,2,3,4},TTSSKĐ!W226,TTSSKĐ!AA226,TTSSKĐ!AE226,TTSSKĐ!AI226)))</f>
        <v>0</v>
      </c>
      <c r="B226">
        <f>SUMPRODUCT((MONTH(CHOOSE({1,2,3,4},TTSSKĐ!T226,TTSSKĐ!X226,TTSSKĐ!AB226,TTSSKĐ!AF226))=2)*(CHOOSE({1,2,3,4},TTSSKĐ!W226,TTSSKĐ!AA226,TTSSKĐ!AE226,TTSSKĐ!AI226)))</f>
        <v>0</v>
      </c>
      <c r="C226">
        <f>SUMPRODUCT((MONTH(CHOOSE({1,2,3,4},TTSSKĐ!T226,TTSSKĐ!X226,TTSSKĐ!AB226,TTSSKĐ!AF226))=3)*(CHOOSE({1,2,3,4},TTSSKĐ!W226,TTSSKĐ!AA226,TTSSKĐ!AE226,TTSSKĐ!AI226)))</f>
        <v>0</v>
      </c>
      <c r="D226">
        <f>SUMPRODUCT((MONTH(CHOOSE({1,2,3,4},TTSSKĐ!T226,TTSSKĐ!X226,TTSSKĐ!AB226,TTSSKĐ!AF226))=4)*(CHOOSE({1,2,3,4},TTSSKĐ!W226,TTSSKĐ!AA226,TTSSKĐ!AE226,TTSSKĐ!AI226)))</f>
        <v>0</v>
      </c>
      <c r="E226">
        <f>SUMPRODUCT((MONTH(CHOOSE({1,2,3,4},TTSSKĐ!T226,TTSSKĐ!X226,TTSSKĐ!AB226,TTSSKĐ!AF226))=5)*(CHOOSE({1,2,3,4},TTSSKĐ!W226,TTSSKĐ!AA226,TTSSKĐ!AE226,TTSSKĐ!AI226)))</f>
        <v>0</v>
      </c>
      <c r="F226">
        <f>SUMPRODUCT((MONTH(CHOOSE({1,2,3,4},TTSSKĐ!T226,TTSSKĐ!X226,TTSSKĐ!AB226,TTSSKĐ!AF226))=6)*(CHOOSE({1,2,3,4},TTSSKĐ!W226,TTSSKĐ!AA226,TTSSKĐ!AE226,TTSSKĐ!AI226)))</f>
        <v>0</v>
      </c>
      <c r="G226">
        <f>SUMPRODUCT((MONTH(CHOOSE({1,2,3,4},TTSSKĐ!T226,TTSSKĐ!X226,TTSSKĐ!AB226,TTSSKĐ!AF226))=7)*(CHOOSE({1,2,3,4},TTSSKĐ!W226,TTSSKĐ!AA226,TTSSKĐ!AE226,TTSSKĐ!AI226)))</f>
        <v>0</v>
      </c>
      <c r="H226">
        <f>SUMPRODUCT((MONTH(CHOOSE({1,2,3,4},TTSSKĐ!T226,TTSSKĐ!X226,TTSSKĐ!AB226,TTSSKĐ!AF226))=8)*(CHOOSE({1,2,3,4},TTSSKĐ!W226,TTSSKĐ!AA226,TTSSKĐ!AE226,TTSSKĐ!AI226)))</f>
        <v>0</v>
      </c>
      <c r="I226">
        <f>SUMPRODUCT((MONTH(CHOOSE({1,2,3,4},TTSSKĐ!T226,TTSSKĐ!X226,TTSSKĐ!AB226,TTSSKĐ!AF226))=9)*(CHOOSE({1,2,3,4},TTSSKĐ!W226,TTSSKĐ!AA226,TTSSKĐ!AE226,TTSSKĐ!AI226)))</f>
        <v>0</v>
      </c>
      <c r="J226">
        <f>SUMPRODUCT((MONTH(CHOOSE({1,2,3,4},TTSSKĐ!T226,TTSSKĐ!X226,TTSSKĐ!AB226,TTSSKĐ!AF226))=10)*(CHOOSE({1,2,3,4},TTSSKĐ!W226,TTSSKĐ!AA226,TTSSKĐ!AE226,TTSSKĐ!AI226)))</f>
        <v>0</v>
      </c>
      <c r="K226">
        <f>SUMPRODUCT((MONTH(CHOOSE({1,2,3,4},TTSSKĐ!T226,TTSSKĐ!X226,TTSSKĐ!AB226,TTSSKĐ!AF226))=11)*(CHOOSE({1,2,3,4},TTSSKĐ!W226,TTSSKĐ!AA226,TTSSKĐ!AE226,TTSSKĐ!AI226)))</f>
        <v>0</v>
      </c>
      <c r="L226">
        <f>SUMPRODUCT((MONTH(CHOOSE({1,2,3,4},TTSSKĐ!T226,TTSSKĐ!X226,TTSSKĐ!AB226,TTSSKĐ!AF226))=12)*(CHOOSE({1,2,3,4},TTSSKĐ!W226,TTSSKĐ!AA226,TTSSKĐ!AE226,TTSSKĐ!AI226)))</f>
        <v>0</v>
      </c>
    </row>
    <row r="227" spans="1:12">
      <c r="A227">
        <f>SUMPRODUCT((MONTH(CHOOSE({1,2,3,4},TTSSKĐ!T227,TTSSKĐ!X227,TTSSKĐ!AB227,TTSSKĐ!AF227))=1)*(CHOOSE({1,2,3,4},TTSSKĐ!W227,TTSSKĐ!AA227,TTSSKĐ!AE227,TTSSKĐ!AI227)))</f>
        <v>0</v>
      </c>
      <c r="B227">
        <f>SUMPRODUCT((MONTH(CHOOSE({1,2,3,4},TTSSKĐ!T227,TTSSKĐ!X227,TTSSKĐ!AB227,TTSSKĐ!AF227))=2)*(CHOOSE({1,2,3,4},TTSSKĐ!W227,TTSSKĐ!AA227,TTSSKĐ!AE227,TTSSKĐ!AI227)))</f>
        <v>0</v>
      </c>
      <c r="C227">
        <f>SUMPRODUCT((MONTH(CHOOSE({1,2,3,4},TTSSKĐ!T227,TTSSKĐ!X227,TTSSKĐ!AB227,TTSSKĐ!AF227))=3)*(CHOOSE({1,2,3,4},TTSSKĐ!W227,TTSSKĐ!AA227,TTSSKĐ!AE227,TTSSKĐ!AI227)))</f>
        <v>0</v>
      </c>
      <c r="D227">
        <f>SUMPRODUCT((MONTH(CHOOSE({1,2,3,4},TTSSKĐ!T227,TTSSKĐ!X227,TTSSKĐ!AB227,TTSSKĐ!AF227))=4)*(CHOOSE({1,2,3,4},TTSSKĐ!W227,TTSSKĐ!AA227,TTSSKĐ!AE227,TTSSKĐ!AI227)))</f>
        <v>0</v>
      </c>
      <c r="E227">
        <f>SUMPRODUCT((MONTH(CHOOSE({1,2,3,4},TTSSKĐ!T227,TTSSKĐ!X227,TTSSKĐ!AB227,TTSSKĐ!AF227))=5)*(CHOOSE({1,2,3,4},TTSSKĐ!W227,TTSSKĐ!AA227,TTSSKĐ!AE227,TTSSKĐ!AI227)))</f>
        <v>0</v>
      </c>
      <c r="F227">
        <f>SUMPRODUCT((MONTH(CHOOSE({1,2,3,4},TTSSKĐ!T227,TTSSKĐ!X227,TTSSKĐ!AB227,TTSSKĐ!AF227))=6)*(CHOOSE({1,2,3,4},TTSSKĐ!W227,TTSSKĐ!AA227,TTSSKĐ!AE227,TTSSKĐ!AI227)))</f>
        <v>0</v>
      </c>
      <c r="G227">
        <f>SUMPRODUCT((MONTH(CHOOSE({1,2,3,4},TTSSKĐ!T227,TTSSKĐ!X227,TTSSKĐ!AB227,TTSSKĐ!AF227))=7)*(CHOOSE({1,2,3,4},TTSSKĐ!W227,TTSSKĐ!AA227,TTSSKĐ!AE227,TTSSKĐ!AI227)))</f>
        <v>0</v>
      </c>
      <c r="H227">
        <f>SUMPRODUCT((MONTH(CHOOSE({1,2,3,4},TTSSKĐ!T227,TTSSKĐ!X227,TTSSKĐ!AB227,TTSSKĐ!AF227))=8)*(CHOOSE({1,2,3,4},TTSSKĐ!W227,TTSSKĐ!AA227,TTSSKĐ!AE227,TTSSKĐ!AI227)))</f>
        <v>0</v>
      </c>
      <c r="I227">
        <f>SUMPRODUCT((MONTH(CHOOSE({1,2,3,4},TTSSKĐ!T227,TTSSKĐ!X227,TTSSKĐ!AB227,TTSSKĐ!AF227))=9)*(CHOOSE({1,2,3,4},TTSSKĐ!W227,TTSSKĐ!AA227,TTSSKĐ!AE227,TTSSKĐ!AI227)))</f>
        <v>0</v>
      </c>
      <c r="J227">
        <f>SUMPRODUCT((MONTH(CHOOSE({1,2,3,4},TTSSKĐ!T227,TTSSKĐ!X227,TTSSKĐ!AB227,TTSSKĐ!AF227))=10)*(CHOOSE({1,2,3,4},TTSSKĐ!W227,TTSSKĐ!AA227,TTSSKĐ!AE227,TTSSKĐ!AI227)))</f>
        <v>0</v>
      </c>
      <c r="K227">
        <f>SUMPRODUCT((MONTH(CHOOSE({1,2,3,4},TTSSKĐ!T227,TTSSKĐ!X227,TTSSKĐ!AB227,TTSSKĐ!AF227))=11)*(CHOOSE({1,2,3,4},TTSSKĐ!W227,TTSSKĐ!AA227,TTSSKĐ!AE227,TTSSKĐ!AI227)))</f>
        <v>0</v>
      </c>
      <c r="L227">
        <f>SUMPRODUCT((MONTH(CHOOSE({1,2,3,4},TTSSKĐ!T227,TTSSKĐ!X227,TTSSKĐ!AB227,TTSSKĐ!AF227))=12)*(CHOOSE({1,2,3,4},TTSSKĐ!W227,TTSSKĐ!AA227,TTSSKĐ!AE227,TTSSKĐ!AI227)))</f>
        <v>0</v>
      </c>
    </row>
    <row r="228" spans="1:12">
      <c r="A228">
        <f>SUMPRODUCT((MONTH(CHOOSE({1,2,3,4},TTSSKĐ!T228,TTSSKĐ!X228,TTSSKĐ!AB228,TTSSKĐ!AF228))=1)*(CHOOSE({1,2,3,4},TTSSKĐ!W228,TTSSKĐ!AA228,TTSSKĐ!AE228,TTSSKĐ!AI228)))</f>
        <v>0</v>
      </c>
      <c r="B228">
        <f>SUMPRODUCT((MONTH(CHOOSE({1,2,3,4},TTSSKĐ!T228,TTSSKĐ!X228,TTSSKĐ!AB228,TTSSKĐ!AF228))=2)*(CHOOSE({1,2,3,4},TTSSKĐ!W228,TTSSKĐ!AA228,TTSSKĐ!AE228,TTSSKĐ!AI228)))</f>
        <v>0</v>
      </c>
      <c r="C228">
        <f>SUMPRODUCT((MONTH(CHOOSE({1,2,3,4},TTSSKĐ!T228,TTSSKĐ!X228,TTSSKĐ!AB228,TTSSKĐ!AF228))=3)*(CHOOSE({1,2,3,4},TTSSKĐ!W228,TTSSKĐ!AA228,TTSSKĐ!AE228,TTSSKĐ!AI228)))</f>
        <v>0</v>
      </c>
      <c r="D228">
        <f>SUMPRODUCT((MONTH(CHOOSE({1,2,3,4},TTSSKĐ!T228,TTSSKĐ!X228,TTSSKĐ!AB228,TTSSKĐ!AF228))=4)*(CHOOSE({1,2,3,4},TTSSKĐ!W228,TTSSKĐ!AA228,TTSSKĐ!AE228,TTSSKĐ!AI228)))</f>
        <v>0</v>
      </c>
      <c r="E228">
        <f>SUMPRODUCT((MONTH(CHOOSE({1,2,3,4},TTSSKĐ!T228,TTSSKĐ!X228,TTSSKĐ!AB228,TTSSKĐ!AF228))=5)*(CHOOSE({1,2,3,4},TTSSKĐ!W228,TTSSKĐ!AA228,TTSSKĐ!AE228,TTSSKĐ!AI228)))</f>
        <v>0</v>
      </c>
      <c r="F228">
        <f>SUMPRODUCT((MONTH(CHOOSE({1,2,3,4},TTSSKĐ!T228,TTSSKĐ!X228,TTSSKĐ!AB228,TTSSKĐ!AF228))=6)*(CHOOSE({1,2,3,4},TTSSKĐ!W228,TTSSKĐ!AA228,TTSSKĐ!AE228,TTSSKĐ!AI228)))</f>
        <v>0</v>
      </c>
      <c r="G228">
        <f>SUMPRODUCT((MONTH(CHOOSE({1,2,3,4},TTSSKĐ!T228,TTSSKĐ!X228,TTSSKĐ!AB228,TTSSKĐ!AF228))=7)*(CHOOSE({1,2,3,4},TTSSKĐ!W228,TTSSKĐ!AA228,TTSSKĐ!AE228,TTSSKĐ!AI228)))</f>
        <v>0</v>
      </c>
      <c r="H228">
        <f>SUMPRODUCT((MONTH(CHOOSE({1,2,3,4},TTSSKĐ!T228,TTSSKĐ!X228,TTSSKĐ!AB228,TTSSKĐ!AF228))=8)*(CHOOSE({1,2,3,4},TTSSKĐ!W228,TTSSKĐ!AA228,TTSSKĐ!AE228,TTSSKĐ!AI228)))</f>
        <v>0</v>
      </c>
      <c r="I228">
        <f>SUMPRODUCT((MONTH(CHOOSE({1,2,3,4},TTSSKĐ!T228,TTSSKĐ!X228,TTSSKĐ!AB228,TTSSKĐ!AF228))=9)*(CHOOSE({1,2,3,4},TTSSKĐ!W228,TTSSKĐ!AA228,TTSSKĐ!AE228,TTSSKĐ!AI228)))</f>
        <v>0</v>
      </c>
      <c r="J228">
        <f>SUMPRODUCT((MONTH(CHOOSE({1,2,3,4},TTSSKĐ!T228,TTSSKĐ!X228,TTSSKĐ!AB228,TTSSKĐ!AF228))=10)*(CHOOSE({1,2,3,4},TTSSKĐ!W228,TTSSKĐ!AA228,TTSSKĐ!AE228,TTSSKĐ!AI228)))</f>
        <v>0</v>
      </c>
      <c r="K228">
        <f>SUMPRODUCT((MONTH(CHOOSE({1,2,3,4},TTSSKĐ!T228,TTSSKĐ!X228,TTSSKĐ!AB228,TTSSKĐ!AF228))=11)*(CHOOSE({1,2,3,4},TTSSKĐ!W228,TTSSKĐ!AA228,TTSSKĐ!AE228,TTSSKĐ!AI228)))</f>
        <v>0</v>
      </c>
      <c r="L228">
        <f>SUMPRODUCT((MONTH(CHOOSE({1,2,3,4},TTSSKĐ!T228,TTSSKĐ!X228,TTSSKĐ!AB228,TTSSKĐ!AF228))=12)*(CHOOSE({1,2,3,4},TTSSKĐ!W228,TTSSKĐ!AA228,TTSSKĐ!AE228,TTSSKĐ!AI228)))</f>
        <v>0</v>
      </c>
    </row>
    <row r="229" spans="1:12">
      <c r="A229">
        <f>SUMPRODUCT((MONTH(CHOOSE({1,2,3,4},TTSSKĐ!T229,TTSSKĐ!X229,TTSSKĐ!AB229,TTSSKĐ!AF229))=1)*(CHOOSE({1,2,3,4},TTSSKĐ!W229,TTSSKĐ!AA229,TTSSKĐ!AE229,TTSSKĐ!AI229)))</f>
        <v>0</v>
      </c>
      <c r="B229">
        <f>SUMPRODUCT((MONTH(CHOOSE({1,2,3,4},TTSSKĐ!T229,TTSSKĐ!X229,TTSSKĐ!AB229,TTSSKĐ!AF229))=2)*(CHOOSE({1,2,3,4},TTSSKĐ!W229,TTSSKĐ!AA229,TTSSKĐ!AE229,TTSSKĐ!AI229)))</f>
        <v>0</v>
      </c>
      <c r="C229">
        <f>SUMPRODUCT((MONTH(CHOOSE({1,2,3,4},TTSSKĐ!T229,TTSSKĐ!X229,TTSSKĐ!AB229,TTSSKĐ!AF229))=3)*(CHOOSE({1,2,3,4},TTSSKĐ!W229,TTSSKĐ!AA229,TTSSKĐ!AE229,TTSSKĐ!AI229)))</f>
        <v>0</v>
      </c>
      <c r="D229">
        <f>SUMPRODUCT((MONTH(CHOOSE({1,2,3,4},TTSSKĐ!T229,TTSSKĐ!X229,TTSSKĐ!AB229,TTSSKĐ!AF229))=4)*(CHOOSE({1,2,3,4},TTSSKĐ!W229,TTSSKĐ!AA229,TTSSKĐ!AE229,TTSSKĐ!AI229)))</f>
        <v>0</v>
      </c>
      <c r="E229">
        <f>SUMPRODUCT((MONTH(CHOOSE({1,2,3,4},TTSSKĐ!T229,TTSSKĐ!X229,TTSSKĐ!AB229,TTSSKĐ!AF229))=5)*(CHOOSE({1,2,3,4},TTSSKĐ!W229,TTSSKĐ!AA229,TTSSKĐ!AE229,TTSSKĐ!AI229)))</f>
        <v>0</v>
      </c>
      <c r="F229">
        <f>SUMPRODUCT((MONTH(CHOOSE({1,2,3,4},TTSSKĐ!T229,TTSSKĐ!X229,TTSSKĐ!AB229,TTSSKĐ!AF229))=6)*(CHOOSE({1,2,3,4},TTSSKĐ!W229,TTSSKĐ!AA229,TTSSKĐ!AE229,TTSSKĐ!AI229)))</f>
        <v>0</v>
      </c>
      <c r="G229">
        <f>SUMPRODUCT((MONTH(CHOOSE({1,2,3,4},TTSSKĐ!T229,TTSSKĐ!X229,TTSSKĐ!AB229,TTSSKĐ!AF229))=7)*(CHOOSE({1,2,3,4},TTSSKĐ!W229,TTSSKĐ!AA229,TTSSKĐ!AE229,TTSSKĐ!AI229)))</f>
        <v>0</v>
      </c>
      <c r="H229">
        <f>SUMPRODUCT((MONTH(CHOOSE({1,2,3,4},TTSSKĐ!T229,TTSSKĐ!X229,TTSSKĐ!AB229,TTSSKĐ!AF229))=8)*(CHOOSE({1,2,3,4},TTSSKĐ!W229,TTSSKĐ!AA229,TTSSKĐ!AE229,TTSSKĐ!AI229)))</f>
        <v>0</v>
      </c>
      <c r="I229">
        <f>SUMPRODUCT((MONTH(CHOOSE({1,2,3,4},TTSSKĐ!T229,TTSSKĐ!X229,TTSSKĐ!AB229,TTSSKĐ!AF229))=9)*(CHOOSE({1,2,3,4},TTSSKĐ!W229,TTSSKĐ!AA229,TTSSKĐ!AE229,TTSSKĐ!AI229)))</f>
        <v>0</v>
      </c>
      <c r="J229">
        <f>SUMPRODUCT((MONTH(CHOOSE({1,2,3,4},TTSSKĐ!T229,TTSSKĐ!X229,TTSSKĐ!AB229,TTSSKĐ!AF229))=10)*(CHOOSE({1,2,3,4},TTSSKĐ!W229,TTSSKĐ!AA229,TTSSKĐ!AE229,TTSSKĐ!AI229)))</f>
        <v>0</v>
      </c>
      <c r="K229">
        <f>SUMPRODUCT((MONTH(CHOOSE({1,2,3,4},TTSSKĐ!T229,TTSSKĐ!X229,TTSSKĐ!AB229,TTSSKĐ!AF229))=11)*(CHOOSE({1,2,3,4},TTSSKĐ!W229,TTSSKĐ!AA229,TTSSKĐ!AE229,TTSSKĐ!AI229)))</f>
        <v>0</v>
      </c>
      <c r="L229">
        <f>SUMPRODUCT((MONTH(CHOOSE({1,2,3,4},TTSSKĐ!T229,TTSSKĐ!X229,TTSSKĐ!AB229,TTSSKĐ!AF229))=12)*(CHOOSE({1,2,3,4},TTSSKĐ!W229,TTSSKĐ!AA229,TTSSKĐ!AE229,TTSSKĐ!AI229)))</f>
        <v>0</v>
      </c>
    </row>
    <row r="230" spans="1:12">
      <c r="A230">
        <f>SUMPRODUCT((MONTH(CHOOSE({1,2,3,4},TTSSKĐ!T230,TTSSKĐ!X230,TTSSKĐ!AB230,TTSSKĐ!AF230))=1)*(CHOOSE({1,2,3,4},TTSSKĐ!W230,TTSSKĐ!AA230,TTSSKĐ!AE230,TTSSKĐ!AI230)))</f>
        <v>0</v>
      </c>
      <c r="B230">
        <f>SUMPRODUCT((MONTH(CHOOSE({1,2,3,4},TTSSKĐ!T230,TTSSKĐ!X230,TTSSKĐ!AB230,TTSSKĐ!AF230))=2)*(CHOOSE({1,2,3,4},TTSSKĐ!W230,TTSSKĐ!AA230,TTSSKĐ!AE230,TTSSKĐ!AI230)))</f>
        <v>0</v>
      </c>
      <c r="C230">
        <f>SUMPRODUCT((MONTH(CHOOSE({1,2,3,4},TTSSKĐ!T230,TTSSKĐ!X230,TTSSKĐ!AB230,TTSSKĐ!AF230))=3)*(CHOOSE({1,2,3,4},TTSSKĐ!W230,TTSSKĐ!AA230,TTSSKĐ!AE230,TTSSKĐ!AI230)))</f>
        <v>0</v>
      </c>
      <c r="D230">
        <f>SUMPRODUCT((MONTH(CHOOSE({1,2,3,4},TTSSKĐ!T230,TTSSKĐ!X230,TTSSKĐ!AB230,TTSSKĐ!AF230))=4)*(CHOOSE({1,2,3,4},TTSSKĐ!W230,TTSSKĐ!AA230,TTSSKĐ!AE230,TTSSKĐ!AI230)))</f>
        <v>0</v>
      </c>
      <c r="E230">
        <f>SUMPRODUCT((MONTH(CHOOSE({1,2,3,4},TTSSKĐ!T230,TTSSKĐ!X230,TTSSKĐ!AB230,TTSSKĐ!AF230))=5)*(CHOOSE({1,2,3,4},TTSSKĐ!W230,TTSSKĐ!AA230,TTSSKĐ!AE230,TTSSKĐ!AI230)))</f>
        <v>0</v>
      </c>
      <c r="F230">
        <f>SUMPRODUCT((MONTH(CHOOSE({1,2,3,4},TTSSKĐ!T230,TTSSKĐ!X230,TTSSKĐ!AB230,TTSSKĐ!AF230))=6)*(CHOOSE({1,2,3,4},TTSSKĐ!W230,TTSSKĐ!AA230,TTSSKĐ!AE230,TTSSKĐ!AI230)))</f>
        <v>0</v>
      </c>
      <c r="G230">
        <f>SUMPRODUCT((MONTH(CHOOSE({1,2,3,4},TTSSKĐ!T230,TTSSKĐ!X230,TTSSKĐ!AB230,TTSSKĐ!AF230))=7)*(CHOOSE({1,2,3,4},TTSSKĐ!W230,TTSSKĐ!AA230,TTSSKĐ!AE230,TTSSKĐ!AI230)))</f>
        <v>0</v>
      </c>
      <c r="H230">
        <f>SUMPRODUCT((MONTH(CHOOSE({1,2,3,4},TTSSKĐ!T230,TTSSKĐ!X230,TTSSKĐ!AB230,TTSSKĐ!AF230))=8)*(CHOOSE({1,2,3,4},TTSSKĐ!W230,TTSSKĐ!AA230,TTSSKĐ!AE230,TTSSKĐ!AI230)))</f>
        <v>0</v>
      </c>
      <c r="I230">
        <f>SUMPRODUCT((MONTH(CHOOSE({1,2,3,4},TTSSKĐ!T230,TTSSKĐ!X230,TTSSKĐ!AB230,TTSSKĐ!AF230))=9)*(CHOOSE({1,2,3,4},TTSSKĐ!W230,TTSSKĐ!AA230,TTSSKĐ!AE230,TTSSKĐ!AI230)))</f>
        <v>0</v>
      </c>
      <c r="J230">
        <f>SUMPRODUCT((MONTH(CHOOSE({1,2,3,4},TTSSKĐ!T230,TTSSKĐ!X230,TTSSKĐ!AB230,TTSSKĐ!AF230))=10)*(CHOOSE({1,2,3,4},TTSSKĐ!W230,TTSSKĐ!AA230,TTSSKĐ!AE230,TTSSKĐ!AI230)))</f>
        <v>0</v>
      </c>
      <c r="K230">
        <f>SUMPRODUCT((MONTH(CHOOSE({1,2,3,4},TTSSKĐ!T230,TTSSKĐ!X230,TTSSKĐ!AB230,TTSSKĐ!AF230))=11)*(CHOOSE({1,2,3,4},TTSSKĐ!W230,TTSSKĐ!AA230,TTSSKĐ!AE230,TTSSKĐ!AI230)))</f>
        <v>0</v>
      </c>
      <c r="L230">
        <f>SUMPRODUCT((MONTH(CHOOSE({1,2,3,4},TTSSKĐ!T230,TTSSKĐ!X230,TTSSKĐ!AB230,TTSSKĐ!AF230))=12)*(CHOOSE({1,2,3,4},TTSSKĐ!W230,TTSSKĐ!AA230,TTSSKĐ!AE230,TTSSKĐ!AI230)))</f>
        <v>0</v>
      </c>
    </row>
    <row r="231" spans="1:12">
      <c r="A231">
        <f>SUMPRODUCT((MONTH(CHOOSE({1,2,3,4},TTSSKĐ!T231,TTSSKĐ!X231,TTSSKĐ!AB231,TTSSKĐ!AF231))=1)*(CHOOSE({1,2,3,4},TTSSKĐ!W231,TTSSKĐ!AA231,TTSSKĐ!AE231,TTSSKĐ!AI231)))</f>
        <v>0</v>
      </c>
      <c r="B231">
        <f>SUMPRODUCT((MONTH(CHOOSE({1,2,3,4},TTSSKĐ!T231,TTSSKĐ!X231,TTSSKĐ!AB231,TTSSKĐ!AF231))=2)*(CHOOSE({1,2,3,4},TTSSKĐ!W231,TTSSKĐ!AA231,TTSSKĐ!AE231,TTSSKĐ!AI231)))</f>
        <v>0</v>
      </c>
      <c r="C231">
        <f>SUMPRODUCT((MONTH(CHOOSE({1,2,3,4},TTSSKĐ!T231,TTSSKĐ!X231,TTSSKĐ!AB231,TTSSKĐ!AF231))=3)*(CHOOSE({1,2,3,4},TTSSKĐ!W231,TTSSKĐ!AA231,TTSSKĐ!AE231,TTSSKĐ!AI231)))</f>
        <v>0</v>
      </c>
      <c r="D231">
        <f>SUMPRODUCT((MONTH(CHOOSE({1,2,3,4},TTSSKĐ!T231,TTSSKĐ!X231,TTSSKĐ!AB231,TTSSKĐ!AF231))=4)*(CHOOSE({1,2,3,4},TTSSKĐ!W231,TTSSKĐ!AA231,TTSSKĐ!AE231,TTSSKĐ!AI231)))</f>
        <v>0</v>
      </c>
      <c r="E231">
        <f>SUMPRODUCT((MONTH(CHOOSE({1,2,3,4},TTSSKĐ!T231,TTSSKĐ!X231,TTSSKĐ!AB231,TTSSKĐ!AF231))=5)*(CHOOSE({1,2,3,4},TTSSKĐ!W231,TTSSKĐ!AA231,TTSSKĐ!AE231,TTSSKĐ!AI231)))</f>
        <v>0</v>
      </c>
      <c r="F231">
        <f>SUMPRODUCT((MONTH(CHOOSE({1,2,3,4},TTSSKĐ!T231,TTSSKĐ!X231,TTSSKĐ!AB231,TTSSKĐ!AF231))=6)*(CHOOSE({1,2,3,4},TTSSKĐ!W231,TTSSKĐ!AA231,TTSSKĐ!AE231,TTSSKĐ!AI231)))</f>
        <v>0</v>
      </c>
      <c r="G231">
        <f>SUMPRODUCT((MONTH(CHOOSE({1,2,3,4},TTSSKĐ!T231,TTSSKĐ!X231,TTSSKĐ!AB231,TTSSKĐ!AF231))=7)*(CHOOSE({1,2,3,4},TTSSKĐ!W231,TTSSKĐ!AA231,TTSSKĐ!AE231,TTSSKĐ!AI231)))</f>
        <v>0</v>
      </c>
      <c r="H231">
        <f>SUMPRODUCT((MONTH(CHOOSE({1,2,3,4},TTSSKĐ!T231,TTSSKĐ!X231,TTSSKĐ!AB231,TTSSKĐ!AF231))=8)*(CHOOSE({1,2,3,4},TTSSKĐ!W231,TTSSKĐ!AA231,TTSSKĐ!AE231,TTSSKĐ!AI231)))</f>
        <v>0</v>
      </c>
      <c r="I231">
        <f>SUMPRODUCT((MONTH(CHOOSE({1,2,3,4},TTSSKĐ!T231,TTSSKĐ!X231,TTSSKĐ!AB231,TTSSKĐ!AF231))=9)*(CHOOSE({1,2,3,4},TTSSKĐ!W231,TTSSKĐ!AA231,TTSSKĐ!AE231,TTSSKĐ!AI231)))</f>
        <v>0</v>
      </c>
      <c r="J231">
        <f>SUMPRODUCT((MONTH(CHOOSE({1,2,3,4},TTSSKĐ!T231,TTSSKĐ!X231,TTSSKĐ!AB231,TTSSKĐ!AF231))=10)*(CHOOSE({1,2,3,4},TTSSKĐ!W231,TTSSKĐ!AA231,TTSSKĐ!AE231,TTSSKĐ!AI231)))</f>
        <v>0</v>
      </c>
      <c r="K231">
        <f>SUMPRODUCT((MONTH(CHOOSE({1,2,3,4},TTSSKĐ!T231,TTSSKĐ!X231,TTSSKĐ!AB231,TTSSKĐ!AF231))=11)*(CHOOSE({1,2,3,4},TTSSKĐ!W231,TTSSKĐ!AA231,TTSSKĐ!AE231,TTSSKĐ!AI231)))</f>
        <v>0</v>
      </c>
      <c r="L231">
        <f>SUMPRODUCT((MONTH(CHOOSE({1,2,3,4},TTSSKĐ!T231,TTSSKĐ!X231,TTSSKĐ!AB231,TTSSKĐ!AF231))=12)*(CHOOSE({1,2,3,4},TTSSKĐ!W231,TTSSKĐ!AA231,TTSSKĐ!AE231,TTSSKĐ!AI231)))</f>
        <v>0</v>
      </c>
    </row>
    <row r="232" spans="1:12">
      <c r="A232">
        <f>SUMPRODUCT((MONTH(CHOOSE({1,2,3,4},TTSSKĐ!T232,TTSSKĐ!X232,TTSSKĐ!AB232,TTSSKĐ!AF232))=1)*(CHOOSE({1,2,3,4},TTSSKĐ!W232,TTSSKĐ!AA232,TTSSKĐ!AE232,TTSSKĐ!AI232)))</f>
        <v>0</v>
      </c>
      <c r="B232">
        <f>SUMPRODUCT((MONTH(CHOOSE({1,2,3,4},TTSSKĐ!T232,TTSSKĐ!X232,TTSSKĐ!AB232,TTSSKĐ!AF232))=2)*(CHOOSE({1,2,3,4},TTSSKĐ!W232,TTSSKĐ!AA232,TTSSKĐ!AE232,TTSSKĐ!AI232)))</f>
        <v>0</v>
      </c>
      <c r="C232">
        <f>SUMPRODUCT((MONTH(CHOOSE({1,2,3,4},TTSSKĐ!T232,TTSSKĐ!X232,TTSSKĐ!AB232,TTSSKĐ!AF232))=3)*(CHOOSE({1,2,3,4},TTSSKĐ!W232,TTSSKĐ!AA232,TTSSKĐ!AE232,TTSSKĐ!AI232)))</f>
        <v>0</v>
      </c>
      <c r="D232">
        <f>SUMPRODUCT((MONTH(CHOOSE({1,2,3,4},TTSSKĐ!T232,TTSSKĐ!X232,TTSSKĐ!AB232,TTSSKĐ!AF232))=4)*(CHOOSE({1,2,3,4},TTSSKĐ!W232,TTSSKĐ!AA232,TTSSKĐ!AE232,TTSSKĐ!AI232)))</f>
        <v>0</v>
      </c>
      <c r="E232">
        <f>SUMPRODUCT((MONTH(CHOOSE({1,2,3,4},TTSSKĐ!T232,TTSSKĐ!X232,TTSSKĐ!AB232,TTSSKĐ!AF232))=5)*(CHOOSE({1,2,3,4},TTSSKĐ!W232,TTSSKĐ!AA232,TTSSKĐ!AE232,TTSSKĐ!AI232)))</f>
        <v>0</v>
      </c>
      <c r="F232">
        <f>SUMPRODUCT((MONTH(CHOOSE({1,2,3,4},TTSSKĐ!T232,TTSSKĐ!X232,TTSSKĐ!AB232,TTSSKĐ!AF232))=6)*(CHOOSE({1,2,3,4},TTSSKĐ!W232,TTSSKĐ!AA232,TTSSKĐ!AE232,TTSSKĐ!AI232)))</f>
        <v>0</v>
      </c>
      <c r="G232">
        <f>SUMPRODUCT((MONTH(CHOOSE({1,2,3,4},TTSSKĐ!T232,TTSSKĐ!X232,TTSSKĐ!AB232,TTSSKĐ!AF232))=7)*(CHOOSE({1,2,3,4},TTSSKĐ!W232,TTSSKĐ!AA232,TTSSKĐ!AE232,TTSSKĐ!AI232)))</f>
        <v>0</v>
      </c>
      <c r="H232">
        <f>SUMPRODUCT((MONTH(CHOOSE({1,2,3,4},TTSSKĐ!T232,TTSSKĐ!X232,TTSSKĐ!AB232,TTSSKĐ!AF232))=8)*(CHOOSE({1,2,3,4},TTSSKĐ!W232,TTSSKĐ!AA232,TTSSKĐ!AE232,TTSSKĐ!AI232)))</f>
        <v>0</v>
      </c>
      <c r="I232">
        <f>SUMPRODUCT((MONTH(CHOOSE({1,2,3,4},TTSSKĐ!T232,TTSSKĐ!X232,TTSSKĐ!AB232,TTSSKĐ!AF232))=9)*(CHOOSE({1,2,3,4},TTSSKĐ!W232,TTSSKĐ!AA232,TTSSKĐ!AE232,TTSSKĐ!AI232)))</f>
        <v>0</v>
      </c>
      <c r="J232">
        <f>SUMPRODUCT((MONTH(CHOOSE({1,2,3,4},TTSSKĐ!T232,TTSSKĐ!X232,TTSSKĐ!AB232,TTSSKĐ!AF232))=10)*(CHOOSE({1,2,3,4},TTSSKĐ!W232,TTSSKĐ!AA232,TTSSKĐ!AE232,TTSSKĐ!AI232)))</f>
        <v>0</v>
      </c>
      <c r="K232">
        <f>SUMPRODUCT((MONTH(CHOOSE({1,2,3,4},TTSSKĐ!T232,TTSSKĐ!X232,TTSSKĐ!AB232,TTSSKĐ!AF232))=11)*(CHOOSE({1,2,3,4},TTSSKĐ!W232,TTSSKĐ!AA232,TTSSKĐ!AE232,TTSSKĐ!AI232)))</f>
        <v>0</v>
      </c>
      <c r="L232">
        <f>SUMPRODUCT((MONTH(CHOOSE({1,2,3,4},TTSSKĐ!T232,TTSSKĐ!X232,TTSSKĐ!AB232,TTSSKĐ!AF232))=12)*(CHOOSE({1,2,3,4},TTSSKĐ!W232,TTSSKĐ!AA232,TTSSKĐ!AE232,TTSSKĐ!AI232)))</f>
        <v>0</v>
      </c>
    </row>
    <row r="233" spans="1:12">
      <c r="A233">
        <f>SUMPRODUCT((MONTH(CHOOSE({1,2,3,4},TTSSKĐ!T233,TTSSKĐ!X233,TTSSKĐ!AB233,TTSSKĐ!AF233))=1)*(CHOOSE({1,2,3,4},TTSSKĐ!W233,TTSSKĐ!AA233,TTSSKĐ!AE233,TTSSKĐ!AI233)))</f>
        <v>0</v>
      </c>
      <c r="B233">
        <f>SUMPRODUCT((MONTH(CHOOSE({1,2,3,4},TTSSKĐ!T233,TTSSKĐ!X233,TTSSKĐ!AB233,TTSSKĐ!AF233))=2)*(CHOOSE({1,2,3,4},TTSSKĐ!W233,TTSSKĐ!AA233,TTSSKĐ!AE233,TTSSKĐ!AI233)))</f>
        <v>0</v>
      </c>
      <c r="C233">
        <f>SUMPRODUCT((MONTH(CHOOSE({1,2,3,4},TTSSKĐ!T233,TTSSKĐ!X233,TTSSKĐ!AB233,TTSSKĐ!AF233))=3)*(CHOOSE({1,2,3,4},TTSSKĐ!W233,TTSSKĐ!AA233,TTSSKĐ!AE233,TTSSKĐ!AI233)))</f>
        <v>0</v>
      </c>
      <c r="D233">
        <f>SUMPRODUCT((MONTH(CHOOSE({1,2,3,4},TTSSKĐ!T233,TTSSKĐ!X233,TTSSKĐ!AB233,TTSSKĐ!AF233))=4)*(CHOOSE({1,2,3,4},TTSSKĐ!W233,TTSSKĐ!AA233,TTSSKĐ!AE233,TTSSKĐ!AI233)))</f>
        <v>0</v>
      </c>
      <c r="E233">
        <f>SUMPRODUCT((MONTH(CHOOSE({1,2,3,4},TTSSKĐ!T233,TTSSKĐ!X233,TTSSKĐ!AB233,TTSSKĐ!AF233))=5)*(CHOOSE({1,2,3,4},TTSSKĐ!W233,TTSSKĐ!AA233,TTSSKĐ!AE233,TTSSKĐ!AI233)))</f>
        <v>0</v>
      </c>
      <c r="F233">
        <f>SUMPRODUCT((MONTH(CHOOSE({1,2,3,4},TTSSKĐ!T233,TTSSKĐ!X233,TTSSKĐ!AB233,TTSSKĐ!AF233))=6)*(CHOOSE({1,2,3,4},TTSSKĐ!W233,TTSSKĐ!AA233,TTSSKĐ!AE233,TTSSKĐ!AI233)))</f>
        <v>0</v>
      </c>
      <c r="G233">
        <f>SUMPRODUCT((MONTH(CHOOSE({1,2,3,4},TTSSKĐ!T233,TTSSKĐ!X233,TTSSKĐ!AB233,TTSSKĐ!AF233))=7)*(CHOOSE({1,2,3,4},TTSSKĐ!W233,TTSSKĐ!AA233,TTSSKĐ!AE233,TTSSKĐ!AI233)))</f>
        <v>0</v>
      </c>
      <c r="H233">
        <f>SUMPRODUCT((MONTH(CHOOSE({1,2,3,4},TTSSKĐ!T233,TTSSKĐ!X233,TTSSKĐ!AB233,TTSSKĐ!AF233))=8)*(CHOOSE({1,2,3,4},TTSSKĐ!W233,TTSSKĐ!AA233,TTSSKĐ!AE233,TTSSKĐ!AI233)))</f>
        <v>0</v>
      </c>
      <c r="I233">
        <f>SUMPRODUCT((MONTH(CHOOSE({1,2,3,4},TTSSKĐ!T233,TTSSKĐ!X233,TTSSKĐ!AB233,TTSSKĐ!AF233))=9)*(CHOOSE({1,2,3,4},TTSSKĐ!W233,TTSSKĐ!AA233,TTSSKĐ!AE233,TTSSKĐ!AI233)))</f>
        <v>0</v>
      </c>
      <c r="J233">
        <f>SUMPRODUCT((MONTH(CHOOSE({1,2,3,4},TTSSKĐ!T233,TTSSKĐ!X233,TTSSKĐ!AB233,TTSSKĐ!AF233))=10)*(CHOOSE({1,2,3,4},TTSSKĐ!W233,TTSSKĐ!AA233,TTSSKĐ!AE233,TTSSKĐ!AI233)))</f>
        <v>0</v>
      </c>
      <c r="K233">
        <f>SUMPRODUCT((MONTH(CHOOSE({1,2,3,4},TTSSKĐ!T233,TTSSKĐ!X233,TTSSKĐ!AB233,TTSSKĐ!AF233))=11)*(CHOOSE({1,2,3,4},TTSSKĐ!W233,TTSSKĐ!AA233,TTSSKĐ!AE233,TTSSKĐ!AI233)))</f>
        <v>0</v>
      </c>
      <c r="L233">
        <f>SUMPRODUCT((MONTH(CHOOSE({1,2,3,4},TTSSKĐ!T233,TTSSKĐ!X233,TTSSKĐ!AB233,TTSSKĐ!AF233))=12)*(CHOOSE({1,2,3,4},TTSSKĐ!W233,TTSSKĐ!AA233,TTSSKĐ!AE233,TTSSKĐ!AI233)))</f>
        <v>0</v>
      </c>
    </row>
    <row r="234" spans="1:12">
      <c r="A234">
        <f>SUMPRODUCT((MONTH(CHOOSE({1,2,3,4},TTSSKĐ!T234,TTSSKĐ!X234,TTSSKĐ!AB234,TTSSKĐ!AF234))=1)*(CHOOSE({1,2,3,4},TTSSKĐ!W234,TTSSKĐ!AA234,TTSSKĐ!AE234,TTSSKĐ!AI234)))</f>
        <v>0</v>
      </c>
      <c r="B234">
        <f>SUMPRODUCT((MONTH(CHOOSE({1,2,3,4},TTSSKĐ!T234,TTSSKĐ!X234,TTSSKĐ!AB234,TTSSKĐ!AF234))=2)*(CHOOSE({1,2,3,4},TTSSKĐ!W234,TTSSKĐ!AA234,TTSSKĐ!AE234,TTSSKĐ!AI234)))</f>
        <v>0</v>
      </c>
      <c r="C234">
        <f>SUMPRODUCT((MONTH(CHOOSE({1,2,3,4},TTSSKĐ!T234,TTSSKĐ!X234,TTSSKĐ!AB234,TTSSKĐ!AF234))=3)*(CHOOSE({1,2,3,4},TTSSKĐ!W234,TTSSKĐ!AA234,TTSSKĐ!AE234,TTSSKĐ!AI234)))</f>
        <v>0</v>
      </c>
      <c r="D234">
        <f>SUMPRODUCT((MONTH(CHOOSE({1,2,3,4},TTSSKĐ!T234,TTSSKĐ!X234,TTSSKĐ!AB234,TTSSKĐ!AF234))=4)*(CHOOSE({1,2,3,4},TTSSKĐ!W234,TTSSKĐ!AA234,TTSSKĐ!AE234,TTSSKĐ!AI234)))</f>
        <v>0</v>
      </c>
      <c r="E234">
        <f>SUMPRODUCT((MONTH(CHOOSE({1,2,3,4},TTSSKĐ!T234,TTSSKĐ!X234,TTSSKĐ!AB234,TTSSKĐ!AF234))=5)*(CHOOSE({1,2,3,4},TTSSKĐ!W234,TTSSKĐ!AA234,TTSSKĐ!AE234,TTSSKĐ!AI234)))</f>
        <v>0</v>
      </c>
      <c r="F234">
        <f>SUMPRODUCT((MONTH(CHOOSE({1,2,3,4},TTSSKĐ!T234,TTSSKĐ!X234,TTSSKĐ!AB234,TTSSKĐ!AF234))=6)*(CHOOSE({1,2,3,4},TTSSKĐ!W234,TTSSKĐ!AA234,TTSSKĐ!AE234,TTSSKĐ!AI234)))</f>
        <v>0</v>
      </c>
      <c r="G234">
        <f>SUMPRODUCT((MONTH(CHOOSE({1,2,3,4},TTSSKĐ!T234,TTSSKĐ!X234,TTSSKĐ!AB234,TTSSKĐ!AF234))=7)*(CHOOSE({1,2,3,4},TTSSKĐ!W234,TTSSKĐ!AA234,TTSSKĐ!AE234,TTSSKĐ!AI234)))</f>
        <v>0</v>
      </c>
      <c r="H234">
        <f>SUMPRODUCT((MONTH(CHOOSE({1,2,3,4},TTSSKĐ!T234,TTSSKĐ!X234,TTSSKĐ!AB234,TTSSKĐ!AF234))=8)*(CHOOSE({1,2,3,4},TTSSKĐ!W234,TTSSKĐ!AA234,TTSSKĐ!AE234,TTSSKĐ!AI234)))</f>
        <v>0</v>
      </c>
      <c r="I234">
        <f>SUMPRODUCT((MONTH(CHOOSE({1,2,3,4},TTSSKĐ!T234,TTSSKĐ!X234,TTSSKĐ!AB234,TTSSKĐ!AF234))=9)*(CHOOSE({1,2,3,4},TTSSKĐ!W234,TTSSKĐ!AA234,TTSSKĐ!AE234,TTSSKĐ!AI234)))</f>
        <v>0</v>
      </c>
      <c r="J234">
        <f>SUMPRODUCT((MONTH(CHOOSE({1,2,3,4},TTSSKĐ!T234,TTSSKĐ!X234,TTSSKĐ!AB234,TTSSKĐ!AF234))=10)*(CHOOSE({1,2,3,4},TTSSKĐ!W234,TTSSKĐ!AA234,TTSSKĐ!AE234,TTSSKĐ!AI234)))</f>
        <v>0</v>
      </c>
      <c r="K234">
        <f>SUMPRODUCT((MONTH(CHOOSE({1,2,3,4},TTSSKĐ!T234,TTSSKĐ!X234,TTSSKĐ!AB234,TTSSKĐ!AF234))=11)*(CHOOSE({1,2,3,4},TTSSKĐ!W234,TTSSKĐ!AA234,TTSSKĐ!AE234,TTSSKĐ!AI234)))</f>
        <v>0</v>
      </c>
      <c r="L234">
        <f>SUMPRODUCT((MONTH(CHOOSE({1,2,3,4},TTSSKĐ!T234,TTSSKĐ!X234,TTSSKĐ!AB234,TTSSKĐ!AF234))=12)*(CHOOSE({1,2,3,4},TTSSKĐ!W234,TTSSKĐ!AA234,TTSSKĐ!AE234,TTSSKĐ!AI234)))</f>
        <v>0</v>
      </c>
    </row>
    <row r="235" spans="1:12">
      <c r="A235">
        <f>SUMPRODUCT((MONTH(CHOOSE({1,2,3,4},TTSSKĐ!T235,TTSSKĐ!X235,TTSSKĐ!AB235,TTSSKĐ!AF235))=1)*(CHOOSE({1,2,3,4},TTSSKĐ!W235,TTSSKĐ!AA235,TTSSKĐ!AE235,TTSSKĐ!AI235)))</f>
        <v>0</v>
      </c>
      <c r="B235">
        <f>SUMPRODUCT((MONTH(CHOOSE({1,2,3,4},TTSSKĐ!T235,TTSSKĐ!X235,TTSSKĐ!AB235,TTSSKĐ!AF235))=2)*(CHOOSE({1,2,3,4},TTSSKĐ!W235,TTSSKĐ!AA235,TTSSKĐ!AE235,TTSSKĐ!AI235)))</f>
        <v>0</v>
      </c>
      <c r="C235">
        <f>SUMPRODUCT((MONTH(CHOOSE({1,2,3,4},TTSSKĐ!T235,TTSSKĐ!X235,TTSSKĐ!AB235,TTSSKĐ!AF235))=3)*(CHOOSE({1,2,3,4},TTSSKĐ!W235,TTSSKĐ!AA235,TTSSKĐ!AE235,TTSSKĐ!AI235)))</f>
        <v>0</v>
      </c>
      <c r="D235">
        <f>SUMPRODUCT((MONTH(CHOOSE({1,2,3,4},TTSSKĐ!T235,TTSSKĐ!X235,TTSSKĐ!AB235,TTSSKĐ!AF235))=4)*(CHOOSE({1,2,3,4},TTSSKĐ!W235,TTSSKĐ!AA235,TTSSKĐ!AE235,TTSSKĐ!AI235)))</f>
        <v>0</v>
      </c>
      <c r="E235">
        <f>SUMPRODUCT((MONTH(CHOOSE({1,2,3,4},TTSSKĐ!T235,TTSSKĐ!X235,TTSSKĐ!AB235,TTSSKĐ!AF235))=5)*(CHOOSE({1,2,3,4},TTSSKĐ!W235,TTSSKĐ!AA235,TTSSKĐ!AE235,TTSSKĐ!AI235)))</f>
        <v>0</v>
      </c>
      <c r="F235">
        <f>SUMPRODUCT((MONTH(CHOOSE({1,2,3,4},TTSSKĐ!T235,TTSSKĐ!X235,TTSSKĐ!AB235,TTSSKĐ!AF235))=6)*(CHOOSE({1,2,3,4},TTSSKĐ!W235,TTSSKĐ!AA235,TTSSKĐ!AE235,TTSSKĐ!AI235)))</f>
        <v>0</v>
      </c>
      <c r="G235">
        <f>SUMPRODUCT((MONTH(CHOOSE({1,2,3,4},TTSSKĐ!T235,TTSSKĐ!X235,TTSSKĐ!AB235,TTSSKĐ!AF235))=7)*(CHOOSE({1,2,3,4},TTSSKĐ!W235,TTSSKĐ!AA235,TTSSKĐ!AE235,TTSSKĐ!AI235)))</f>
        <v>0</v>
      </c>
      <c r="H235">
        <f>SUMPRODUCT((MONTH(CHOOSE({1,2,3,4},TTSSKĐ!T235,TTSSKĐ!X235,TTSSKĐ!AB235,TTSSKĐ!AF235))=8)*(CHOOSE({1,2,3,4},TTSSKĐ!W235,TTSSKĐ!AA235,TTSSKĐ!AE235,TTSSKĐ!AI235)))</f>
        <v>0</v>
      </c>
      <c r="I235">
        <f>SUMPRODUCT((MONTH(CHOOSE({1,2,3,4},TTSSKĐ!T235,TTSSKĐ!X235,TTSSKĐ!AB235,TTSSKĐ!AF235))=9)*(CHOOSE({1,2,3,4},TTSSKĐ!W235,TTSSKĐ!AA235,TTSSKĐ!AE235,TTSSKĐ!AI235)))</f>
        <v>0</v>
      </c>
      <c r="J235">
        <f>SUMPRODUCT((MONTH(CHOOSE({1,2,3,4},TTSSKĐ!T235,TTSSKĐ!X235,TTSSKĐ!AB235,TTSSKĐ!AF235))=10)*(CHOOSE({1,2,3,4},TTSSKĐ!W235,TTSSKĐ!AA235,TTSSKĐ!AE235,TTSSKĐ!AI235)))</f>
        <v>0</v>
      </c>
      <c r="K235">
        <f>SUMPRODUCT((MONTH(CHOOSE({1,2,3,4},TTSSKĐ!T235,TTSSKĐ!X235,TTSSKĐ!AB235,TTSSKĐ!AF235))=11)*(CHOOSE({1,2,3,4},TTSSKĐ!W235,TTSSKĐ!AA235,TTSSKĐ!AE235,TTSSKĐ!AI235)))</f>
        <v>0</v>
      </c>
      <c r="L235">
        <f>SUMPRODUCT((MONTH(CHOOSE({1,2,3,4},TTSSKĐ!T235,TTSSKĐ!X235,TTSSKĐ!AB235,TTSSKĐ!AF235))=12)*(CHOOSE({1,2,3,4},TTSSKĐ!W235,TTSSKĐ!AA235,TTSSKĐ!AE235,TTSSKĐ!AI235)))</f>
        <v>0</v>
      </c>
    </row>
    <row r="236" spans="1:12">
      <c r="A236">
        <f>SUMPRODUCT((MONTH(CHOOSE({1,2,3,4},TTSSKĐ!T236,TTSSKĐ!X236,TTSSKĐ!AB236,TTSSKĐ!AF236))=1)*(CHOOSE({1,2,3,4},TTSSKĐ!W236,TTSSKĐ!AA236,TTSSKĐ!AE236,TTSSKĐ!AI236)))</f>
        <v>0</v>
      </c>
      <c r="B236">
        <f>SUMPRODUCT((MONTH(CHOOSE({1,2,3,4},TTSSKĐ!T236,TTSSKĐ!X236,TTSSKĐ!AB236,TTSSKĐ!AF236))=2)*(CHOOSE({1,2,3,4},TTSSKĐ!W236,TTSSKĐ!AA236,TTSSKĐ!AE236,TTSSKĐ!AI236)))</f>
        <v>0</v>
      </c>
      <c r="C236">
        <f>SUMPRODUCT((MONTH(CHOOSE({1,2,3,4},TTSSKĐ!T236,TTSSKĐ!X236,TTSSKĐ!AB236,TTSSKĐ!AF236))=3)*(CHOOSE({1,2,3,4},TTSSKĐ!W236,TTSSKĐ!AA236,TTSSKĐ!AE236,TTSSKĐ!AI236)))</f>
        <v>0</v>
      </c>
      <c r="D236">
        <f>SUMPRODUCT((MONTH(CHOOSE({1,2,3,4},TTSSKĐ!T236,TTSSKĐ!X236,TTSSKĐ!AB236,TTSSKĐ!AF236))=4)*(CHOOSE({1,2,3,4},TTSSKĐ!W236,TTSSKĐ!AA236,TTSSKĐ!AE236,TTSSKĐ!AI236)))</f>
        <v>0</v>
      </c>
      <c r="E236">
        <f>SUMPRODUCT((MONTH(CHOOSE({1,2,3,4},TTSSKĐ!T236,TTSSKĐ!X236,TTSSKĐ!AB236,TTSSKĐ!AF236))=5)*(CHOOSE({1,2,3,4},TTSSKĐ!W236,TTSSKĐ!AA236,TTSSKĐ!AE236,TTSSKĐ!AI236)))</f>
        <v>0</v>
      </c>
      <c r="F236">
        <f>SUMPRODUCT((MONTH(CHOOSE({1,2,3,4},TTSSKĐ!T236,TTSSKĐ!X236,TTSSKĐ!AB236,TTSSKĐ!AF236))=6)*(CHOOSE({1,2,3,4},TTSSKĐ!W236,TTSSKĐ!AA236,TTSSKĐ!AE236,TTSSKĐ!AI236)))</f>
        <v>0</v>
      </c>
      <c r="G236">
        <f>SUMPRODUCT((MONTH(CHOOSE({1,2,3,4},TTSSKĐ!T236,TTSSKĐ!X236,TTSSKĐ!AB236,TTSSKĐ!AF236))=7)*(CHOOSE({1,2,3,4},TTSSKĐ!W236,TTSSKĐ!AA236,TTSSKĐ!AE236,TTSSKĐ!AI236)))</f>
        <v>0</v>
      </c>
      <c r="H236">
        <f>SUMPRODUCT((MONTH(CHOOSE({1,2,3,4},TTSSKĐ!T236,TTSSKĐ!X236,TTSSKĐ!AB236,TTSSKĐ!AF236))=8)*(CHOOSE({1,2,3,4},TTSSKĐ!W236,TTSSKĐ!AA236,TTSSKĐ!AE236,TTSSKĐ!AI236)))</f>
        <v>0</v>
      </c>
      <c r="I236">
        <f>SUMPRODUCT((MONTH(CHOOSE({1,2,3,4},TTSSKĐ!T236,TTSSKĐ!X236,TTSSKĐ!AB236,TTSSKĐ!AF236))=9)*(CHOOSE({1,2,3,4},TTSSKĐ!W236,TTSSKĐ!AA236,TTSSKĐ!AE236,TTSSKĐ!AI236)))</f>
        <v>0</v>
      </c>
      <c r="J236">
        <f>SUMPRODUCT((MONTH(CHOOSE({1,2,3,4},TTSSKĐ!T236,TTSSKĐ!X236,TTSSKĐ!AB236,TTSSKĐ!AF236))=10)*(CHOOSE({1,2,3,4},TTSSKĐ!W236,TTSSKĐ!AA236,TTSSKĐ!AE236,TTSSKĐ!AI236)))</f>
        <v>0</v>
      </c>
      <c r="K236">
        <f>SUMPRODUCT((MONTH(CHOOSE({1,2,3,4},TTSSKĐ!T236,TTSSKĐ!X236,TTSSKĐ!AB236,TTSSKĐ!AF236))=11)*(CHOOSE({1,2,3,4},TTSSKĐ!W236,TTSSKĐ!AA236,TTSSKĐ!AE236,TTSSKĐ!AI236)))</f>
        <v>0</v>
      </c>
      <c r="L236">
        <f>SUMPRODUCT((MONTH(CHOOSE({1,2,3,4},TTSSKĐ!T236,TTSSKĐ!X236,TTSSKĐ!AB236,TTSSKĐ!AF236))=12)*(CHOOSE({1,2,3,4},TTSSKĐ!W236,TTSSKĐ!AA236,TTSSKĐ!AE236,TTSSKĐ!AI236)))</f>
        <v>0</v>
      </c>
    </row>
    <row r="237" spans="1:12">
      <c r="A237">
        <f>SUMPRODUCT((MONTH(CHOOSE({1,2,3,4},TTSSKĐ!T237,TTSSKĐ!X237,TTSSKĐ!AB237,TTSSKĐ!AF237))=1)*(CHOOSE({1,2,3,4},TTSSKĐ!W237,TTSSKĐ!AA237,TTSSKĐ!AE237,TTSSKĐ!AI237)))</f>
        <v>0</v>
      </c>
      <c r="B237">
        <f>SUMPRODUCT((MONTH(CHOOSE({1,2,3,4},TTSSKĐ!T237,TTSSKĐ!X237,TTSSKĐ!AB237,TTSSKĐ!AF237))=2)*(CHOOSE({1,2,3,4},TTSSKĐ!W237,TTSSKĐ!AA237,TTSSKĐ!AE237,TTSSKĐ!AI237)))</f>
        <v>0</v>
      </c>
      <c r="C237">
        <f>SUMPRODUCT((MONTH(CHOOSE({1,2,3,4},TTSSKĐ!T237,TTSSKĐ!X237,TTSSKĐ!AB237,TTSSKĐ!AF237))=3)*(CHOOSE({1,2,3,4},TTSSKĐ!W237,TTSSKĐ!AA237,TTSSKĐ!AE237,TTSSKĐ!AI237)))</f>
        <v>0</v>
      </c>
      <c r="D237">
        <f>SUMPRODUCT((MONTH(CHOOSE({1,2,3,4},TTSSKĐ!T237,TTSSKĐ!X237,TTSSKĐ!AB237,TTSSKĐ!AF237))=4)*(CHOOSE({1,2,3,4},TTSSKĐ!W237,TTSSKĐ!AA237,TTSSKĐ!AE237,TTSSKĐ!AI237)))</f>
        <v>0</v>
      </c>
      <c r="E237">
        <f>SUMPRODUCT((MONTH(CHOOSE({1,2,3,4},TTSSKĐ!T237,TTSSKĐ!X237,TTSSKĐ!AB237,TTSSKĐ!AF237))=5)*(CHOOSE({1,2,3,4},TTSSKĐ!W237,TTSSKĐ!AA237,TTSSKĐ!AE237,TTSSKĐ!AI237)))</f>
        <v>0</v>
      </c>
      <c r="F237">
        <f>SUMPRODUCT((MONTH(CHOOSE({1,2,3,4},TTSSKĐ!T237,TTSSKĐ!X237,TTSSKĐ!AB237,TTSSKĐ!AF237))=6)*(CHOOSE({1,2,3,4},TTSSKĐ!W237,TTSSKĐ!AA237,TTSSKĐ!AE237,TTSSKĐ!AI237)))</f>
        <v>0</v>
      </c>
      <c r="G237">
        <f>SUMPRODUCT((MONTH(CHOOSE({1,2,3,4},TTSSKĐ!T237,TTSSKĐ!X237,TTSSKĐ!AB237,TTSSKĐ!AF237))=7)*(CHOOSE({1,2,3,4},TTSSKĐ!W237,TTSSKĐ!AA237,TTSSKĐ!AE237,TTSSKĐ!AI237)))</f>
        <v>0</v>
      </c>
      <c r="H237">
        <f>SUMPRODUCT((MONTH(CHOOSE({1,2,3,4},TTSSKĐ!T237,TTSSKĐ!X237,TTSSKĐ!AB237,TTSSKĐ!AF237))=8)*(CHOOSE({1,2,3,4},TTSSKĐ!W237,TTSSKĐ!AA237,TTSSKĐ!AE237,TTSSKĐ!AI237)))</f>
        <v>0</v>
      </c>
      <c r="I237">
        <f>SUMPRODUCT((MONTH(CHOOSE({1,2,3,4},TTSSKĐ!T237,TTSSKĐ!X237,TTSSKĐ!AB237,TTSSKĐ!AF237))=9)*(CHOOSE({1,2,3,4},TTSSKĐ!W237,TTSSKĐ!AA237,TTSSKĐ!AE237,TTSSKĐ!AI237)))</f>
        <v>0</v>
      </c>
      <c r="J237">
        <f>SUMPRODUCT((MONTH(CHOOSE({1,2,3,4},TTSSKĐ!T237,TTSSKĐ!X237,TTSSKĐ!AB237,TTSSKĐ!AF237))=10)*(CHOOSE({1,2,3,4},TTSSKĐ!W237,TTSSKĐ!AA237,TTSSKĐ!AE237,TTSSKĐ!AI237)))</f>
        <v>0</v>
      </c>
      <c r="K237">
        <f>SUMPRODUCT((MONTH(CHOOSE({1,2,3,4},TTSSKĐ!T237,TTSSKĐ!X237,TTSSKĐ!AB237,TTSSKĐ!AF237))=11)*(CHOOSE({1,2,3,4},TTSSKĐ!W237,TTSSKĐ!AA237,TTSSKĐ!AE237,TTSSKĐ!AI237)))</f>
        <v>0</v>
      </c>
      <c r="L237">
        <f>SUMPRODUCT((MONTH(CHOOSE({1,2,3,4},TTSSKĐ!T237,TTSSKĐ!X237,TTSSKĐ!AB237,TTSSKĐ!AF237))=12)*(CHOOSE({1,2,3,4},TTSSKĐ!W237,TTSSKĐ!AA237,TTSSKĐ!AE237,TTSSKĐ!AI237)))</f>
        <v>0</v>
      </c>
    </row>
    <row r="238" spans="1:12">
      <c r="A238">
        <f>SUMPRODUCT((MONTH(CHOOSE({1,2,3,4},TTSSKĐ!T238,TTSSKĐ!X238,TTSSKĐ!AB238,TTSSKĐ!AF238))=1)*(CHOOSE({1,2,3,4},TTSSKĐ!W238,TTSSKĐ!AA238,TTSSKĐ!AE238,TTSSKĐ!AI238)))</f>
        <v>0</v>
      </c>
      <c r="B238">
        <f>SUMPRODUCT((MONTH(CHOOSE({1,2,3,4},TTSSKĐ!T238,TTSSKĐ!X238,TTSSKĐ!AB238,TTSSKĐ!AF238))=2)*(CHOOSE({1,2,3,4},TTSSKĐ!W238,TTSSKĐ!AA238,TTSSKĐ!AE238,TTSSKĐ!AI238)))</f>
        <v>0</v>
      </c>
      <c r="C238">
        <f>SUMPRODUCT((MONTH(CHOOSE({1,2,3,4},TTSSKĐ!T238,TTSSKĐ!X238,TTSSKĐ!AB238,TTSSKĐ!AF238))=3)*(CHOOSE({1,2,3,4},TTSSKĐ!W238,TTSSKĐ!AA238,TTSSKĐ!AE238,TTSSKĐ!AI238)))</f>
        <v>0</v>
      </c>
      <c r="D238">
        <f>SUMPRODUCT((MONTH(CHOOSE({1,2,3,4},TTSSKĐ!T238,TTSSKĐ!X238,TTSSKĐ!AB238,TTSSKĐ!AF238))=4)*(CHOOSE({1,2,3,4},TTSSKĐ!W238,TTSSKĐ!AA238,TTSSKĐ!AE238,TTSSKĐ!AI238)))</f>
        <v>0</v>
      </c>
      <c r="E238">
        <f>SUMPRODUCT((MONTH(CHOOSE({1,2,3,4},TTSSKĐ!T238,TTSSKĐ!X238,TTSSKĐ!AB238,TTSSKĐ!AF238))=5)*(CHOOSE({1,2,3,4},TTSSKĐ!W238,TTSSKĐ!AA238,TTSSKĐ!AE238,TTSSKĐ!AI238)))</f>
        <v>0</v>
      </c>
      <c r="F238">
        <f>SUMPRODUCT((MONTH(CHOOSE({1,2,3,4},TTSSKĐ!T238,TTSSKĐ!X238,TTSSKĐ!AB238,TTSSKĐ!AF238))=6)*(CHOOSE({1,2,3,4},TTSSKĐ!W238,TTSSKĐ!AA238,TTSSKĐ!AE238,TTSSKĐ!AI238)))</f>
        <v>0</v>
      </c>
      <c r="G238">
        <f>SUMPRODUCT((MONTH(CHOOSE({1,2,3,4},TTSSKĐ!T238,TTSSKĐ!X238,TTSSKĐ!AB238,TTSSKĐ!AF238))=7)*(CHOOSE({1,2,3,4},TTSSKĐ!W238,TTSSKĐ!AA238,TTSSKĐ!AE238,TTSSKĐ!AI238)))</f>
        <v>0</v>
      </c>
      <c r="H238">
        <f>SUMPRODUCT((MONTH(CHOOSE({1,2,3,4},TTSSKĐ!T238,TTSSKĐ!X238,TTSSKĐ!AB238,TTSSKĐ!AF238))=8)*(CHOOSE({1,2,3,4},TTSSKĐ!W238,TTSSKĐ!AA238,TTSSKĐ!AE238,TTSSKĐ!AI238)))</f>
        <v>0</v>
      </c>
      <c r="I238">
        <f>SUMPRODUCT((MONTH(CHOOSE({1,2,3,4},TTSSKĐ!T238,TTSSKĐ!X238,TTSSKĐ!AB238,TTSSKĐ!AF238))=9)*(CHOOSE({1,2,3,4},TTSSKĐ!W238,TTSSKĐ!AA238,TTSSKĐ!AE238,TTSSKĐ!AI238)))</f>
        <v>0</v>
      </c>
      <c r="J238">
        <f>SUMPRODUCT((MONTH(CHOOSE({1,2,3,4},TTSSKĐ!T238,TTSSKĐ!X238,TTSSKĐ!AB238,TTSSKĐ!AF238))=10)*(CHOOSE({1,2,3,4},TTSSKĐ!W238,TTSSKĐ!AA238,TTSSKĐ!AE238,TTSSKĐ!AI238)))</f>
        <v>0</v>
      </c>
      <c r="K238">
        <f>SUMPRODUCT((MONTH(CHOOSE({1,2,3,4},TTSSKĐ!T238,TTSSKĐ!X238,TTSSKĐ!AB238,TTSSKĐ!AF238))=11)*(CHOOSE({1,2,3,4},TTSSKĐ!W238,TTSSKĐ!AA238,TTSSKĐ!AE238,TTSSKĐ!AI238)))</f>
        <v>0</v>
      </c>
      <c r="L238">
        <f>SUMPRODUCT((MONTH(CHOOSE({1,2,3,4},TTSSKĐ!T238,TTSSKĐ!X238,TTSSKĐ!AB238,TTSSKĐ!AF238))=12)*(CHOOSE({1,2,3,4},TTSSKĐ!W238,TTSSKĐ!AA238,TTSSKĐ!AE238,TTSSKĐ!AI238)))</f>
        <v>0</v>
      </c>
    </row>
    <row r="239" spans="1:12">
      <c r="A239">
        <f>SUMPRODUCT((MONTH(CHOOSE({1,2,3,4},TTSSKĐ!T239,TTSSKĐ!X239,TTSSKĐ!AB239,TTSSKĐ!AF239))=1)*(CHOOSE({1,2,3,4},TTSSKĐ!W239,TTSSKĐ!AA239,TTSSKĐ!AE239,TTSSKĐ!AI239)))</f>
        <v>0</v>
      </c>
      <c r="B239">
        <f>SUMPRODUCT((MONTH(CHOOSE({1,2,3,4},TTSSKĐ!T239,TTSSKĐ!X239,TTSSKĐ!AB239,TTSSKĐ!AF239))=2)*(CHOOSE({1,2,3,4},TTSSKĐ!W239,TTSSKĐ!AA239,TTSSKĐ!AE239,TTSSKĐ!AI239)))</f>
        <v>0</v>
      </c>
      <c r="C239">
        <f>SUMPRODUCT((MONTH(CHOOSE({1,2,3,4},TTSSKĐ!T239,TTSSKĐ!X239,TTSSKĐ!AB239,TTSSKĐ!AF239))=3)*(CHOOSE({1,2,3,4},TTSSKĐ!W239,TTSSKĐ!AA239,TTSSKĐ!AE239,TTSSKĐ!AI239)))</f>
        <v>0</v>
      </c>
      <c r="D239">
        <f>SUMPRODUCT((MONTH(CHOOSE({1,2,3,4},TTSSKĐ!T239,TTSSKĐ!X239,TTSSKĐ!AB239,TTSSKĐ!AF239))=4)*(CHOOSE({1,2,3,4},TTSSKĐ!W239,TTSSKĐ!AA239,TTSSKĐ!AE239,TTSSKĐ!AI239)))</f>
        <v>0</v>
      </c>
      <c r="E239">
        <f>SUMPRODUCT((MONTH(CHOOSE({1,2,3,4},TTSSKĐ!T239,TTSSKĐ!X239,TTSSKĐ!AB239,TTSSKĐ!AF239))=5)*(CHOOSE({1,2,3,4},TTSSKĐ!W239,TTSSKĐ!AA239,TTSSKĐ!AE239,TTSSKĐ!AI239)))</f>
        <v>0</v>
      </c>
      <c r="F239">
        <f>SUMPRODUCT((MONTH(CHOOSE({1,2,3,4},TTSSKĐ!T239,TTSSKĐ!X239,TTSSKĐ!AB239,TTSSKĐ!AF239))=6)*(CHOOSE({1,2,3,4},TTSSKĐ!W239,TTSSKĐ!AA239,TTSSKĐ!AE239,TTSSKĐ!AI239)))</f>
        <v>0</v>
      </c>
      <c r="G239">
        <f>SUMPRODUCT((MONTH(CHOOSE({1,2,3,4},TTSSKĐ!T239,TTSSKĐ!X239,TTSSKĐ!AB239,TTSSKĐ!AF239))=7)*(CHOOSE({1,2,3,4},TTSSKĐ!W239,TTSSKĐ!AA239,TTSSKĐ!AE239,TTSSKĐ!AI239)))</f>
        <v>0</v>
      </c>
      <c r="H239">
        <f>SUMPRODUCT((MONTH(CHOOSE({1,2,3,4},TTSSKĐ!T239,TTSSKĐ!X239,TTSSKĐ!AB239,TTSSKĐ!AF239))=8)*(CHOOSE({1,2,3,4},TTSSKĐ!W239,TTSSKĐ!AA239,TTSSKĐ!AE239,TTSSKĐ!AI239)))</f>
        <v>0</v>
      </c>
      <c r="I239">
        <f>SUMPRODUCT((MONTH(CHOOSE({1,2,3,4},TTSSKĐ!T239,TTSSKĐ!X239,TTSSKĐ!AB239,TTSSKĐ!AF239))=9)*(CHOOSE({1,2,3,4},TTSSKĐ!W239,TTSSKĐ!AA239,TTSSKĐ!AE239,TTSSKĐ!AI239)))</f>
        <v>0</v>
      </c>
      <c r="J239">
        <f>SUMPRODUCT((MONTH(CHOOSE({1,2,3,4},TTSSKĐ!T239,TTSSKĐ!X239,TTSSKĐ!AB239,TTSSKĐ!AF239))=10)*(CHOOSE({1,2,3,4},TTSSKĐ!W239,TTSSKĐ!AA239,TTSSKĐ!AE239,TTSSKĐ!AI239)))</f>
        <v>0</v>
      </c>
      <c r="K239">
        <f>SUMPRODUCT((MONTH(CHOOSE({1,2,3,4},TTSSKĐ!T239,TTSSKĐ!X239,TTSSKĐ!AB239,TTSSKĐ!AF239))=11)*(CHOOSE({1,2,3,4},TTSSKĐ!W239,TTSSKĐ!AA239,TTSSKĐ!AE239,TTSSKĐ!AI239)))</f>
        <v>0</v>
      </c>
      <c r="L239">
        <f>SUMPRODUCT((MONTH(CHOOSE({1,2,3,4},TTSSKĐ!T239,TTSSKĐ!X239,TTSSKĐ!AB239,TTSSKĐ!AF239))=12)*(CHOOSE({1,2,3,4},TTSSKĐ!W239,TTSSKĐ!AA239,TTSSKĐ!AE239,TTSSKĐ!AI239)))</f>
        <v>0</v>
      </c>
    </row>
    <row r="240" spans="1:12">
      <c r="A240">
        <f>SUMPRODUCT((MONTH(CHOOSE({1,2,3,4},TTSSKĐ!T240,TTSSKĐ!X240,TTSSKĐ!AB240,TTSSKĐ!AF240))=1)*(CHOOSE({1,2,3,4},TTSSKĐ!W240,TTSSKĐ!AA240,TTSSKĐ!AE240,TTSSKĐ!AI240)))</f>
        <v>0</v>
      </c>
      <c r="B240">
        <f>SUMPRODUCT((MONTH(CHOOSE({1,2,3,4},TTSSKĐ!T240,TTSSKĐ!X240,TTSSKĐ!AB240,TTSSKĐ!AF240))=2)*(CHOOSE({1,2,3,4},TTSSKĐ!W240,TTSSKĐ!AA240,TTSSKĐ!AE240,TTSSKĐ!AI240)))</f>
        <v>0</v>
      </c>
      <c r="C240">
        <f>SUMPRODUCT((MONTH(CHOOSE({1,2,3,4},TTSSKĐ!T240,TTSSKĐ!X240,TTSSKĐ!AB240,TTSSKĐ!AF240))=3)*(CHOOSE({1,2,3,4},TTSSKĐ!W240,TTSSKĐ!AA240,TTSSKĐ!AE240,TTSSKĐ!AI240)))</f>
        <v>0</v>
      </c>
      <c r="D240">
        <f>SUMPRODUCT((MONTH(CHOOSE({1,2,3,4},TTSSKĐ!T240,TTSSKĐ!X240,TTSSKĐ!AB240,TTSSKĐ!AF240))=4)*(CHOOSE({1,2,3,4},TTSSKĐ!W240,TTSSKĐ!AA240,TTSSKĐ!AE240,TTSSKĐ!AI240)))</f>
        <v>0</v>
      </c>
      <c r="E240">
        <f>SUMPRODUCT((MONTH(CHOOSE({1,2,3,4},TTSSKĐ!T240,TTSSKĐ!X240,TTSSKĐ!AB240,TTSSKĐ!AF240))=5)*(CHOOSE({1,2,3,4},TTSSKĐ!W240,TTSSKĐ!AA240,TTSSKĐ!AE240,TTSSKĐ!AI240)))</f>
        <v>0</v>
      </c>
      <c r="F240">
        <f>SUMPRODUCT((MONTH(CHOOSE({1,2,3,4},TTSSKĐ!T240,TTSSKĐ!X240,TTSSKĐ!AB240,TTSSKĐ!AF240))=6)*(CHOOSE({1,2,3,4},TTSSKĐ!W240,TTSSKĐ!AA240,TTSSKĐ!AE240,TTSSKĐ!AI240)))</f>
        <v>0</v>
      </c>
      <c r="G240">
        <f>SUMPRODUCT((MONTH(CHOOSE({1,2,3,4},TTSSKĐ!T240,TTSSKĐ!X240,TTSSKĐ!AB240,TTSSKĐ!AF240))=7)*(CHOOSE({1,2,3,4},TTSSKĐ!W240,TTSSKĐ!AA240,TTSSKĐ!AE240,TTSSKĐ!AI240)))</f>
        <v>0</v>
      </c>
      <c r="H240">
        <f>SUMPRODUCT((MONTH(CHOOSE({1,2,3,4},TTSSKĐ!T240,TTSSKĐ!X240,TTSSKĐ!AB240,TTSSKĐ!AF240))=8)*(CHOOSE({1,2,3,4},TTSSKĐ!W240,TTSSKĐ!AA240,TTSSKĐ!AE240,TTSSKĐ!AI240)))</f>
        <v>0</v>
      </c>
      <c r="I240">
        <f>SUMPRODUCT((MONTH(CHOOSE({1,2,3,4},TTSSKĐ!T240,TTSSKĐ!X240,TTSSKĐ!AB240,TTSSKĐ!AF240))=9)*(CHOOSE({1,2,3,4},TTSSKĐ!W240,TTSSKĐ!AA240,TTSSKĐ!AE240,TTSSKĐ!AI240)))</f>
        <v>0</v>
      </c>
      <c r="J240">
        <f>SUMPRODUCT((MONTH(CHOOSE({1,2,3,4},TTSSKĐ!T240,TTSSKĐ!X240,TTSSKĐ!AB240,TTSSKĐ!AF240))=10)*(CHOOSE({1,2,3,4},TTSSKĐ!W240,TTSSKĐ!AA240,TTSSKĐ!AE240,TTSSKĐ!AI240)))</f>
        <v>0</v>
      </c>
      <c r="K240">
        <f>SUMPRODUCT((MONTH(CHOOSE({1,2,3,4},TTSSKĐ!T240,TTSSKĐ!X240,TTSSKĐ!AB240,TTSSKĐ!AF240))=11)*(CHOOSE({1,2,3,4},TTSSKĐ!W240,TTSSKĐ!AA240,TTSSKĐ!AE240,TTSSKĐ!AI240)))</f>
        <v>0</v>
      </c>
      <c r="L240">
        <f>SUMPRODUCT((MONTH(CHOOSE({1,2,3,4},TTSSKĐ!T240,TTSSKĐ!X240,TTSSKĐ!AB240,TTSSKĐ!AF240))=12)*(CHOOSE({1,2,3,4},TTSSKĐ!W240,TTSSKĐ!AA240,TTSSKĐ!AE240,TTSSKĐ!AI240)))</f>
        <v>0</v>
      </c>
    </row>
    <row r="241" spans="1:12">
      <c r="A241">
        <f>SUMPRODUCT((MONTH(CHOOSE({1,2,3,4},TTSSKĐ!T241,TTSSKĐ!X241,TTSSKĐ!AB241,TTSSKĐ!AF241))=1)*(CHOOSE({1,2,3,4},TTSSKĐ!W241,TTSSKĐ!AA241,TTSSKĐ!AE241,TTSSKĐ!AI241)))</f>
        <v>0</v>
      </c>
      <c r="B241">
        <f>SUMPRODUCT((MONTH(CHOOSE({1,2,3,4},TTSSKĐ!T241,TTSSKĐ!X241,TTSSKĐ!AB241,TTSSKĐ!AF241))=2)*(CHOOSE({1,2,3,4},TTSSKĐ!W241,TTSSKĐ!AA241,TTSSKĐ!AE241,TTSSKĐ!AI241)))</f>
        <v>0</v>
      </c>
      <c r="C241">
        <f>SUMPRODUCT((MONTH(CHOOSE({1,2,3,4},TTSSKĐ!T241,TTSSKĐ!X241,TTSSKĐ!AB241,TTSSKĐ!AF241))=3)*(CHOOSE({1,2,3,4},TTSSKĐ!W241,TTSSKĐ!AA241,TTSSKĐ!AE241,TTSSKĐ!AI241)))</f>
        <v>0</v>
      </c>
      <c r="D241">
        <f>SUMPRODUCT((MONTH(CHOOSE({1,2,3,4},TTSSKĐ!T241,TTSSKĐ!X241,TTSSKĐ!AB241,TTSSKĐ!AF241))=4)*(CHOOSE({1,2,3,4},TTSSKĐ!W241,TTSSKĐ!AA241,TTSSKĐ!AE241,TTSSKĐ!AI241)))</f>
        <v>0</v>
      </c>
      <c r="E241">
        <f>SUMPRODUCT((MONTH(CHOOSE({1,2,3,4},TTSSKĐ!T241,TTSSKĐ!X241,TTSSKĐ!AB241,TTSSKĐ!AF241))=5)*(CHOOSE({1,2,3,4},TTSSKĐ!W241,TTSSKĐ!AA241,TTSSKĐ!AE241,TTSSKĐ!AI241)))</f>
        <v>0</v>
      </c>
      <c r="F241">
        <f>SUMPRODUCT((MONTH(CHOOSE({1,2,3,4},TTSSKĐ!T241,TTSSKĐ!X241,TTSSKĐ!AB241,TTSSKĐ!AF241))=6)*(CHOOSE({1,2,3,4},TTSSKĐ!W241,TTSSKĐ!AA241,TTSSKĐ!AE241,TTSSKĐ!AI241)))</f>
        <v>0</v>
      </c>
      <c r="G241">
        <f>SUMPRODUCT((MONTH(CHOOSE({1,2,3,4},TTSSKĐ!T241,TTSSKĐ!X241,TTSSKĐ!AB241,TTSSKĐ!AF241))=7)*(CHOOSE({1,2,3,4},TTSSKĐ!W241,TTSSKĐ!AA241,TTSSKĐ!AE241,TTSSKĐ!AI241)))</f>
        <v>0</v>
      </c>
      <c r="H241">
        <f>SUMPRODUCT((MONTH(CHOOSE({1,2,3,4},TTSSKĐ!T241,TTSSKĐ!X241,TTSSKĐ!AB241,TTSSKĐ!AF241))=8)*(CHOOSE({1,2,3,4},TTSSKĐ!W241,TTSSKĐ!AA241,TTSSKĐ!AE241,TTSSKĐ!AI241)))</f>
        <v>0</v>
      </c>
      <c r="I241">
        <f>SUMPRODUCT((MONTH(CHOOSE({1,2,3,4},TTSSKĐ!T241,TTSSKĐ!X241,TTSSKĐ!AB241,TTSSKĐ!AF241))=9)*(CHOOSE({1,2,3,4},TTSSKĐ!W241,TTSSKĐ!AA241,TTSSKĐ!AE241,TTSSKĐ!AI241)))</f>
        <v>0</v>
      </c>
      <c r="J241">
        <f>SUMPRODUCT((MONTH(CHOOSE({1,2,3,4},TTSSKĐ!T241,TTSSKĐ!X241,TTSSKĐ!AB241,TTSSKĐ!AF241))=10)*(CHOOSE({1,2,3,4},TTSSKĐ!W241,TTSSKĐ!AA241,TTSSKĐ!AE241,TTSSKĐ!AI241)))</f>
        <v>0</v>
      </c>
      <c r="K241">
        <f>SUMPRODUCT((MONTH(CHOOSE({1,2,3,4},TTSSKĐ!T241,TTSSKĐ!X241,TTSSKĐ!AB241,TTSSKĐ!AF241))=11)*(CHOOSE({1,2,3,4},TTSSKĐ!W241,TTSSKĐ!AA241,TTSSKĐ!AE241,TTSSKĐ!AI241)))</f>
        <v>0</v>
      </c>
      <c r="L241">
        <f>SUMPRODUCT((MONTH(CHOOSE({1,2,3,4},TTSSKĐ!T241,TTSSKĐ!X241,TTSSKĐ!AB241,TTSSKĐ!AF241))=12)*(CHOOSE({1,2,3,4},TTSSKĐ!W241,TTSSKĐ!AA241,TTSSKĐ!AE241,TTSSKĐ!AI241)))</f>
        <v>0</v>
      </c>
    </row>
    <row r="242" spans="1:12">
      <c r="A242">
        <f>SUMPRODUCT((MONTH(CHOOSE({1,2,3,4},TTSSKĐ!T242,TTSSKĐ!X242,TTSSKĐ!AB242,TTSSKĐ!AF242))=1)*(CHOOSE({1,2,3,4},TTSSKĐ!W242,TTSSKĐ!AA242,TTSSKĐ!AE242,TTSSKĐ!AI242)))</f>
        <v>0</v>
      </c>
      <c r="B242">
        <f>SUMPRODUCT((MONTH(CHOOSE({1,2,3,4},TTSSKĐ!T242,TTSSKĐ!X242,TTSSKĐ!AB242,TTSSKĐ!AF242))=2)*(CHOOSE({1,2,3,4},TTSSKĐ!W242,TTSSKĐ!AA242,TTSSKĐ!AE242,TTSSKĐ!AI242)))</f>
        <v>0</v>
      </c>
      <c r="C242">
        <f>SUMPRODUCT((MONTH(CHOOSE({1,2,3,4},TTSSKĐ!T242,TTSSKĐ!X242,TTSSKĐ!AB242,TTSSKĐ!AF242))=3)*(CHOOSE({1,2,3,4},TTSSKĐ!W242,TTSSKĐ!AA242,TTSSKĐ!AE242,TTSSKĐ!AI242)))</f>
        <v>0</v>
      </c>
      <c r="D242">
        <f>SUMPRODUCT((MONTH(CHOOSE({1,2,3,4},TTSSKĐ!T242,TTSSKĐ!X242,TTSSKĐ!AB242,TTSSKĐ!AF242))=4)*(CHOOSE({1,2,3,4},TTSSKĐ!W242,TTSSKĐ!AA242,TTSSKĐ!AE242,TTSSKĐ!AI242)))</f>
        <v>0</v>
      </c>
      <c r="E242">
        <f>SUMPRODUCT((MONTH(CHOOSE({1,2,3,4},TTSSKĐ!T242,TTSSKĐ!X242,TTSSKĐ!AB242,TTSSKĐ!AF242))=5)*(CHOOSE({1,2,3,4},TTSSKĐ!W242,TTSSKĐ!AA242,TTSSKĐ!AE242,TTSSKĐ!AI242)))</f>
        <v>0</v>
      </c>
      <c r="F242">
        <f>SUMPRODUCT((MONTH(CHOOSE({1,2,3,4},TTSSKĐ!T242,TTSSKĐ!X242,TTSSKĐ!AB242,TTSSKĐ!AF242))=6)*(CHOOSE({1,2,3,4},TTSSKĐ!W242,TTSSKĐ!AA242,TTSSKĐ!AE242,TTSSKĐ!AI242)))</f>
        <v>0</v>
      </c>
      <c r="G242">
        <f>SUMPRODUCT((MONTH(CHOOSE({1,2,3,4},TTSSKĐ!T242,TTSSKĐ!X242,TTSSKĐ!AB242,TTSSKĐ!AF242))=7)*(CHOOSE({1,2,3,4},TTSSKĐ!W242,TTSSKĐ!AA242,TTSSKĐ!AE242,TTSSKĐ!AI242)))</f>
        <v>0</v>
      </c>
      <c r="H242">
        <f>SUMPRODUCT((MONTH(CHOOSE({1,2,3,4},TTSSKĐ!T242,TTSSKĐ!X242,TTSSKĐ!AB242,TTSSKĐ!AF242))=8)*(CHOOSE({1,2,3,4},TTSSKĐ!W242,TTSSKĐ!AA242,TTSSKĐ!AE242,TTSSKĐ!AI242)))</f>
        <v>0</v>
      </c>
      <c r="I242">
        <f>SUMPRODUCT((MONTH(CHOOSE({1,2,3,4},TTSSKĐ!T242,TTSSKĐ!X242,TTSSKĐ!AB242,TTSSKĐ!AF242))=9)*(CHOOSE({1,2,3,4},TTSSKĐ!W242,TTSSKĐ!AA242,TTSSKĐ!AE242,TTSSKĐ!AI242)))</f>
        <v>0</v>
      </c>
      <c r="J242">
        <f>SUMPRODUCT((MONTH(CHOOSE({1,2,3,4},TTSSKĐ!T242,TTSSKĐ!X242,TTSSKĐ!AB242,TTSSKĐ!AF242))=10)*(CHOOSE({1,2,3,4},TTSSKĐ!W242,TTSSKĐ!AA242,TTSSKĐ!AE242,TTSSKĐ!AI242)))</f>
        <v>0</v>
      </c>
      <c r="K242">
        <f>SUMPRODUCT((MONTH(CHOOSE({1,2,3,4},TTSSKĐ!T242,TTSSKĐ!X242,TTSSKĐ!AB242,TTSSKĐ!AF242))=11)*(CHOOSE({1,2,3,4},TTSSKĐ!W242,TTSSKĐ!AA242,TTSSKĐ!AE242,TTSSKĐ!AI242)))</f>
        <v>0</v>
      </c>
      <c r="L242">
        <f>SUMPRODUCT((MONTH(CHOOSE({1,2,3,4},TTSSKĐ!T242,TTSSKĐ!X242,TTSSKĐ!AB242,TTSSKĐ!AF242))=12)*(CHOOSE({1,2,3,4},TTSSKĐ!W242,TTSSKĐ!AA242,TTSSKĐ!AE242,TTSSKĐ!AI242)))</f>
        <v>0</v>
      </c>
    </row>
    <row r="243" spans="1:12">
      <c r="A243">
        <f>SUMPRODUCT((MONTH(CHOOSE({1,2,3,4},TTSSKĐ!T243,TTSSKĐ!X243,TTSSKĐ!AB243,TTSSKĐ!AF243))=1)*(CHOOSE({1,2,3,4},TTSSKĐ!W243,TTSSKĐ!AA243,TTSSKĐ!AE243,TTSSKĐ!AI243)))</f>
        <v>0</v>
      </c>
      <c r="B243">
        <f>SUMPRODUCT((MONTH(CHOOSE({1,2,3,4},TTSSKĐ!T243,TTSSKĐ!X243,TTSSKĐ!AB243,TTSSKĐ!AF243))=2)*(CHOOSE({1,2,3,4},TTSSKĐ!W243,TTSSKĐ!AA243,TTSSKĐ!AE243,TTSSKĐ!AI243)))</f>
        <v>0</v>
      </c>
      <c r="C243">
        <f>SUMPRODUCT((MONTH(CHOOSE({1,2,3,4},TTSSKĐ!T243,TTSSKĐ!X243,TTSSKĐ!AB243,TTSSKĐ!AF243))=3)*(CHOOSE({1,2,3,4},TTSSKĐ!W243,TTSSKĐ!AA243,TTSSKĐ!AE243,TTSSKĐ!AI243)))</f>
        <v>0</v>
      </c>
      <c r="D243">
        <f>SUMPRODUCT((MONTH(CHOOSE({1,2,3,4},TTSSKĐ!T243,TTSSKĐ!X243,TTSSKĐ!AB243,TTSSKĐ!AF243))=4)*(CHOOSE({1,2,3,4},TTSSKĐ!W243,TTSSKĐ!AA243,TTSSKĐ!AE243,TTSSKĐ!AI243)))</f>
        <v>0</v>
      </c>
      <c r="E243">
        <f>SUMPRODUCT((MONTH(CHOOSE({1,2,3,4},TTSSKĐ!T243,TTSSKĐ!X243,TTSSKĐ!AB243,TTSSKĐ!AF243))=5)*(CHOOSE({1,2,3,4},TTSSKĐ!W243,TTSSKĐ!AA243,TTSSKĐ!AE243,TTSSKĐ!AI243)))</f>
        <v>0</v>
      </c>
      <c r="F243">
        <f>SUMPRODUCT((MONTH(CHOOSE({1,2,3,4},TTSSKĐ!T243,TTSSKĐ!X243,TTSSKĐ!AB243,TTSSKĐ!AF243))=6)*(CHOOSE({1,2,3,4},TTSSKĐ!W243,TTSSKĐ!AA243,TTSSKĐ!AE243,TTSSKĐ!AI243)))</f>
        <v>0</v>
      </c>
      <c r="G243">
        <f>SUMPRODUCT((MONTH(CHOOSE({1,2,3,4},TTSSKĐ!T243,TTSSKĐ!X243,TTSSKĐ!AB243,TTSSKĐ!AF243))=7)*(CHOOSE({1,2,3,4},TTSSKĐ!W243,TTSSKĐ!AA243,TTSSKĐ!AE243,TTSSKĐ!AI243)))</f>
        <v>0</v>
      </c>
      <c r="H243">
        <f>SUMPRODUCT((MONTH(CHOOSE({1,2,3,4},TTSSKĐ!T243,TTSSKĐ!X243,TTSSKĐ!AB243,TTSSKĐ!AF243))=8)*(CHOOSE({1,2,3,4},TTSSKĐ!W243,TTSSKĐ!AA243,TTSSKĐ!AE243,TTSSKĐ!AI243)))</f>
        <v>0</v>
      </c>
      <c r="I243">
        <f>SUMPRODUCT((MONTH(CHOOSE({1,2,3,4},TTSSKĐ!T243,TTSSKĐ!X243,TTSSKĐ!AB243,TTSSKĐ!AF243))=9)*(CHOOSE({1,2,3,4},TTSSKĐ!W243,TTSSKĐ!AA243,TTSSKĐ!AE243,TTSSKĐ!AI243)))</f>
        <v>0</v>
      </c>
      <c r="J243">
        <f>SUMPRODUCT((MONTH(CHOOSE({1,2,3,4},TTSSKĐ!T243,TTSSKĐ!X243,TTSSKĐ!AB243,TTSSKĐ!AF243))=10)*(CHOOSE({1,2,3,4},TTSSKĐ!W243,TTSSKĐ!AA243,TTSSKĐ!AE243,TTSSKĐ!AI243)))</f>
        <v>0</v>
      </c>
      <c r="K243">
        <f>SUMPRODUCT((MONTH(CHOOSE({1,2,3,4},TTSSKĐ!T243,TTSSKĐ!X243,TTSSKĐ!AB243,TTSSKĐ!AF243))=11)*(CHOOSE({1,2,3,4},TTSSKĐ!W243,TTSSKĐ!AA243,TTSSKĐ!AE243,TTSSKĐ!AI243)))</f>
        <v>0</v>
      </c>
      <c r="L243">
        <f>SUMPRODUCT((MONTH(CHOOSE({1,2,3,4},TTSSKĐ!T243,TTSSKĐ!X243,TTSSKĐ!AB243,TTSSKĐ!AF243))=12)*(CHOOSE({1,2,3,4},TTSSKĐ!W243,TTSSKĐ!AA243,TTSSKĐ!AE243,TTSSKĐ!AI243)))</f>
        <v>0</v>
      </c>
    </row>
    <row r="244" spans="1:12">
      <c r="A244">
        <f>SUMPRODUCT((MONTH(CHOOSE({1,2,3,4},TTSSKĐ!T244,TTSSKĐ!X244,TTSSKĐ!AB244,TTSSKĐ!AF244))=1)*(CHOOSE({1,2,3,4},TTSSKĐ!W244,TTSSKĐ!AA244,TTSSKĐ!AE244,TTSSKĐ!AI244)))</f>
        <v>0</v>
      </c>
      <c r="B244">
        <f>SUMPRODUCT((MONTH(CHOOSE({1,2,3,4},TTSSKĐ!T244,TTSSKĐ!X244,TTSSKĐ!AB244,TTSSKĐ!AF244))=2)*(CHOOSE({1,2,3,4},TTSSKĐ!W244,TTSSKĐ!AA244,TTSSKĐ!AE244,TTSSKĐ!AI244)))</f>
        <v>0</v>
      </c>
      <c r="C244">
        <f>SUMPRODUCT((MONTH(CHOOSE({1,2,3,4},TTSSKĐ!T244,TTSSKĐ!X244,TTSSKĐ!AB244,TTSSKĐ!AF244))=3)*(CHOOSE({1,2,3,4},TTSSKĐ!W244,TTSSKĐ!AA244,TTSSKĐ!AE244,TTSSKĐ!AI244)))</f>
        <v>0</v>
      </c>
      <c r="D244">
        <f>SUMPRODUCT((MONTH(CHOOSE({1,2,3,4},TTSSKĐ!T244,TTSSKĐ!X244,TTSSKĐ!AB244,TTSSKĐ!AF244))=4)*(CHOOSE({1,2,3,4},TTSSKĐ!W244,TTSSKĐ!AA244,TTSSKĐ!AE244,TTSSKĐ!AI244)))</f>
        <v>0</v>
      </c>
      <c r="E244">
        <f>SUMPRODUCT((MONTH(CHOOSE({1,2,3,4},TTSSKĐ!T244,TTSSKĐ!X244,TTSSKĐ!AB244,TTSSKĐ!AF244))=5)*(CHOOSE({1,2,3,4},TTSSKĐ!W244,TTSSKĐ!AA244,TTSSKĐ!AE244,TTSSKĐ!AI244)))</f>
        <v>0</v>
      </c>
      <c r="F244">
        <f>SUMPRODUCT((MONTH(CHOOSE({1,2,3,4},TTSSKĐ!T244,TTSSKĐ!X244,TTSSKĐ!AB244,TTSSKĐ!AF244))=6)*(CHOOSE({1,2,3,4},TTSSKĐ!W244,TTSSKĐ!AA244,TTSSKĐ!AE244,TTSSKĐ!AI244)))</f>
        <v>0</v>
      </c>
      <c r="G244">
        <f>SUMPRODUCT((MONTH(CHOOSE({1,2,3,4},TTSSKĐ!T244,TTSSKĐ!X244,TTSSKĐ!AB244,TTSSKĐ!AF244))=7)*(CHOOSE({1,2,3,4},TTSSKĐ!W244,TTSSKĐ!AA244,TTSSKĐ!AE244,TTSSKĐ!AI244)))</f>
        <v>0</v>
      </c>
      <c r="H244">
        <f>SUMPRODUCT((MONTH(CHOOSE({1,2,3,4},TTSSKĐ!T244,TTSSKĐ!X244,TTSSKĐ!AB244,TTSSKĐ!AF244))=8)*(CHOOSE({1,2,3,4},TTSSKĐ!W244,TTSSKĐ!AA244,TTSSKĐ!AE244,TTSSKĐ!AI244)))</f>
        <v>0</v>
      </c>
      <c r="I244">
        <f>SUMPRODUCT((MONTH(CHOOSE({1,2,3,4},TTSSKĐ!T244,TTSSKĐ!X244,TTSSKĐ!AB244,TTSSKĐ!AF244))=9)*(CHOOSE({1,2,3,4},TTSSKĐ!W244,TTSSKĐ!AA244,TTSSKĐ!AE244,TTSSKĐ!AI244)))</f>
        <v>0</v>
      </c>
      <c r="J244">
        <f>SUMPRODUCT((MONTH(CHOOSE({1,2,3,4},TTSSKĐ!T244,TTSSKĐ!X244,TTSSKĐ!AB244,TTSSKĐ!AF244))=10)*(CHOOSE({1,2,3,4},TTSSKĐ!W244,TTSSKĐ!AA244,TTSSKĐ!AE244,TTSSKĐ!AI244)))</f>
        <v>0</v>
      </c>
      <c r="K244">
        <f>SUMPRODUCT((MONTH(CHOOSE({1,2,3,4},TTSSKĐ!T244,TTSSKĐ!X244,TTSSKĐ!AB244,TTSSKĐ!AF244))=11)*(CHOOSE({1,2,3,4},TTSSKĐ!W244,TTSSKĐ!AA244,TTSSKĐ!AE244,TTSSKĐ!AI244)))</f>
        <v>0</v>
      </c>
      <c r="L244">
        <f>SUMPRODUCT((MONTH(CHOOSE({1,2,3,4},TTSSKĐ!T244,TTSSKĐ!X244,TTSSKĐ!AB244,TTSSKĐ!AF244))=12)*(CHOOSE({1,2,3,4},TTSSKĐ!W244,TTSSKĐ!AA244,TTSSKĐ!AE244,TTSSKĐ!AI244)))</f>
        <v>0</v>
      </c>
    </row>
    <row r="245" spans="1:12">
      <c r="A245">
        <f>SUMPRODUCT((MONTH(CHOOSE({1,2,3,4},TTSSKĐ!T245,TTSSKĐ!X245,TTSSKĐ!AB245,TTSSKĐ!AF245))=1)*(CHOOSE({1,2,3,4},TTSSKĐ!W245,TTSSKĐ!AA245,TTSSKĐ!AE245,TTSSKĐ!AI245)))</f>
        <v>0</v>
      </c>
      <c r="B245">
        <f>SUMPRODUCT((MONTH(CHOOSE({1,2,3,4},TTSSKĐ!T245,TTSSKĐ!X245,TTSSKĐ!AB245,TTSSKĐ!AF245))=2)*(CHOOSE({1,2,3,4},TTSSKĐ!W245,TTSSKĐ!AA245,TTSSKĐ!AE245,TTSSKĐ!AI245)))</f>
        <v>0</v>
      </c>
      <c r="C245">
        <f>SUMPRODUCT((MONTH(CHOOSE({1,2,3,4},TTSSKĐ!T245,TTSSKĐ!X245,TTSSKĐ!AB245,TTSSKĐ!AF245))=3)*(CHOOSE({1,2,3,4},TTSSKĐ!W245,TTSSKĐ!AA245,TTSSKĐ!AE245,TTSSKĐ!AI245)))</f>
        <v>0</v>
      </c>
      <c r="D245">
        <f>SUMPRODUCT((MONTH(CHOOSE({1,2,3,4},TTSSKĐ!T245,TTSSKĐ!X245,TTSSKĐ!AB245,TTSSKĐ!AF245))=4)*(CHOOSE({1,2,3,4},TTSSKĐ!W245,TTSSKĐ!AA245,TTSSKĐ!AE245,TTSSKĐ!AI245)))</f>
        <v>0</v>
      </c>
      <c r="E245">
        <f>SUMPRODUCT((MONTH(CHOOSE({1,2,3,4},TTSSKĐ!T245,TTSSKĐ!X245,TTSSKĐ!AB245,TTSSKĐ!AF245))=5)*(CHOOSE({1,2,3,4},TTSSKĐ!W245,TTSSKĐ!AA245,TTSSKĐ!AE245,TTSSKĐ!AI245)))</f>
        <v>0</v>
      </c>
      <c r="F245">
        <f>SUMPRODUCT((MONTH(CHOOSE({1,2,3,4},TTSSKĐ!T245,TTSSKĐ!X245,TTSSKĐ!AB245,TTSSKĐ!AF245))=6)*(CHOOSE({1,2,3,4},TTSSKĐ!W245,TTSSKĐ!AA245,TTSSKĐ!AE245,TTSSKĐ!AI245)))</f>
        <v>0</v>
      </c>
      <c r="G245">
        <f>SUMPRODUCT((MONTH(CHOOSE({1,2,3,4},TTSSKĐ!T245,TTSSKĐ!X245,TTSSKĐ!AB245,TTSSKĐ!AF245))=7)*(CHOOSE({1,2,3,4},TTSSKĐ!W245,TTSSKĐ!AA245,TTSSKĐ!AE245,TTSSKĐ!AI245)))</f>
        <v>0</v>
      </c>
      <c r="H245">
        <f>SUMPRODUCT((MONTH(CHOOSE({1,2,3,4},TTSSKĐ!T245,TTSSKĐ!X245,TTSSKĐ!AB245,TTSSKĐ!AF245))=8)*(CHOOSE({1,2,3,4},TTSSKĐ!W245,TTSSKĐ!AA245,TTSSKĐ!AE245,TTSSKĐ!AI245)))</f>
        <v>0</v>
      </c>
      <c r="I245">
        <f>SUMPRODUCT((MONTH(CHOOSE({1,2,3,4},TTSSKĐ!T245,TTSSKĐ!X245,TTSSKĐ!AB245,TTSSKĐ!AF245))=9)*(CHOOSE({1,2,3,4},TTSSKĐ!W245,TTSSKĐ!AA245,TTSSKĐ!AE245,TTSSKĐ!AI245)))</f>
        <v>0</v>
      </c>
      <c r="J245">
        <f>SUMPRODUCT((MONTH(CHOOSE({1,2,3,4},TTSSKĐ!T245,TTSSKĐ!X245,TTSSKĐ!AB245,TTSSKĐ!AF245))=10)*(CHOOSE({1,2,3,4},TTSSKĐ!W245,TTSSKĐ!AA245,TTSSKĐ!AE245,TTSSKĐ!AI245)))</f>
        <v>0</v>
      </c>
      <c r="K245">
        <f>SUMPRODUCT((MONTH(CHOOSE({1,2,3,4},TTSSKĐ!T245,TTSSKĐ!X245,TTSSKĐ!AB245,TTSSKĐ!AF245))=11)*(CHOOSE({1,2,3,4},TTSSKĐ!W245,TTSSKĐ!AA245,TTSSKĐ!AE245,TTSSKĐ!AI245)))</f>
        <v>0</v>
      </c>
      <c r="L245">
        <f>SUMPRODUCT((MONTH(CHOOSE({1,2,3,4},TTSSKĐ!T245,TTSSKĐ!X245,TTSSKĐ!AB245,TTSSKĐ!AF245))=12)*(CHOOSE({1,2,3,4},TTSSKĐ!W245,TTSSKĐ!AA245,TTSSKĐ!AE245,TTSSKĐ!AI245)))</f>
        <v>0</v>
      </c>
    </row>
    <row r="246" spans="1:12">
      <c r="A246">
        <f>SUMPRODUCT((MONTH(CHOOSE({1,2,3,4},TTSSKĐ!T246,TTSSKĐ!X246,TTSSKĐ!AB246,TTSSKĐ!AF246))=1)*(CHOOSE({1,2,3,4},TTSSKĐ!W246,TTSSKĐ!AA246,TTSSKĐ!AE246,TTSSKĐ!AI246)))</f>
        <v>0</v>
      </c>
      <c r="B246">
        <f>SUMPRODUCT((MONTH(CHOOSE({1,2,3,4},TTSSKĐ!T246,TTSSKĐ!X246,TTSSKĐ!AB246,TTSSKĐ!AF246))=2)*(CHOOSE({1,2,3,4},TTSSKĐ!W246,TTSSKĐ!AA246,TTSSKĐ!AE246,TTSSKĐ!AI246)))</f>
        <v>0</v>
      </c>
      <c r="C246">
        <f>SUMPRODUCT((MONTH(CHOOSE({1,2,3,4},TTSSKĐ!T246,TTSSKĐ!X246,TTSSKĐ!AB246,TTSSKĐ!AF246))=3)*(CHOOSE({1,2,3,4},TTSSKĐ!W246,TTSSKĐ!AA246,TTSSKĐ!AE246,TTSSKĐ!AI246)))</f>
        <v>0</v>
      </c>
      <c r="D246">
        <f>SUMPRODUCT((MONTH(CHOOSE({1,2,3,4},TTSSKĐ!T246,TTSSKĐ!X246,TTSSKĐ!AB246,TTSSKĐ!AF246))=4)*(CHOOSE({1,2,3,4},TTSSKĐ!W246,TTSSKĐ!AA246,TTSSKĐ!AE246,TTSSKĐ!AI246)))</f>
        <v>0</v>
      </c>
      <c r="E246">
        <f>SUMPRODUCT((MONTH(CHOOSE({1,2,3,4},TTSSKĐ!T246,TTSSKĐ!X246,TTSSKĐ!AB246,TTSSKĐ!AF246))=5)*(CHOOSE({1,2,3,4},TTSSKĐ!W246,TTSSKĐ!AA246,TTSSKĐ!AE246,TTSSKĐ!AI246)))</f>
        <v>0</v>
      </c>
      <c r="F246">
        <f>SUMPRODUCT((MONTH(CHOOSE({1,2,3,4},TTSSKĐ!T246,TTSSKĐ!X246,TTSSKĐ!AB246,TTSSKĐ!AF246))=6)*(CHOOSE({1,2,3,4},TTSSKĐ!W246,TTSSKĐ!AA246,TTSSKĐ!AE246,TTSSKĐ!AI246)))</f>
        <v>0</v>
      </c>
      <c r="G246">
        <f>SUMPRODUCT((MONTH(CHOOSE({1,2,3,4},TTSSKĐ!T246,TTSSKĐ!X246,TTSSKĐ!AB246,TTSSKĐ!AF246))=7)*(CHOOSE({1,2,3,4},TTSSKĐ!W246,TTSSKĐ!AA246,TTSSKĐ!AE246,TTSSKĐ!AI246)))</f>
        <v>0</v>
      </c>
      <c r="H246">
        <f>SUMPRODUCT((MONTH(CHOOSE({1,2,3,4},TTSSKĐ!T246,TTSSKĐ!X246,TTSSKĐ!AB246,TTSSKĐ!AF246))=8)*(CHOOSE({1,2,3,4},TTSSKĐ!W246,TTSSKĐ!AA246,TTSSKĐ!AE246,TTSSKĐ!AI246)))</f>
        <v>0</v>
      </c>
      <c r="I246">
        <f>SUMPRODUCT((MONTH(CHOOSE({1,2,3,4},TTSSKĐ!T246,TTSSKĐ!X246,TTSSKĐ!AB246,TTSSKĐ!AF246))=9)*(CHOOSE({1,2,3,4},TTSSKĐ!W246,TTSSKĐ!AA246,TTSSKĐ!AE246,TTSSKĐ!AI246)))</f>
        <v>0</v>
      </c>
      <c r="J246">
        <f>SUMPRODUCT((MONTH(CHOOSE({1,2,3,4},TTSSKĐ!T246,TTSSKĐ!X246,TTSSKĐ!AB246,TTSSKĐ!AF246))=10)*(CHOOSE({1,2,3,4},TTSSKĐ!W246,TTSSKĐ!AA246,TTSSKĐ!AE246,TTSSKĐ!AI246)))</f>
        <v>0</v>
      </c>
      <c r="K246">
        <f>SUMPRODUCT((MONTH(CHOOSE({1,2,3,4},TTSSKĐ!T246,TTSSKĐ!X246,TTSSKĐ!AB246,TTSSKĐ!AF246))=11)*(CHOOSE({1,2,3,4},TTSSKĐ!W246,TTSSKĐ!AA246,TTSSKĐ!AE246,TTSSKĐ!AI246)))</f>
        <v>0</v>
      </c>
      <c r="L246">
        <f>SUMPRODUCT((MONTH(CHOOSE({1,2,3,4},TTSSKĐ!T246,TTSSKĐ!X246,TTSSKĐ!AB246,TTSSKĐ!AF246))=12)*(CHOOSE({1,2,3,4},TTSSKĐ!W246,TTSSKĐ!AA246,TTSSKĐ!AE246,TTSSKĐ!AI246)))</f>
        <v>0</v>
      </c>
    </row>
    <row r="247" spans="1:12">
      <c r="A247">
        <f>SUMPRODUCT((MONTH(CHOOSE({1,2,3,4},TTSSKĐ!T247,TTSSKĐ!X247,TTSSKĐ!AB247,TTSSKĐ!AF247))=1)*(CHOOSE({1,2,3,4},TTSSKĐ!W247,TTSSKĐ!AA247,TTSSKĐ!AE247,TTSSKĐ!AI247)))</f>
        <v>0</v>
      </c>
      <c r="B247">
        <f>SUMPRODUCT((MONTH(CHOOSE({1,2,3,4},TTSSKĐ!T247,TTSSKĐ!X247,TTSSKĐ!AB247,TTSSKĐ!AF247))=2)*(CHOOSE({1,2,3,4},TTSSKĐ!W247,TTSSKĐ!AA247,TTSSKĐ!AE247,TTSSKĐ!AI247)))</f>
        <v>0</v>
      </c>
      <c r="C247">
        <f>SUMPRODUCT((MONTH(CHOOSE({1,2,3,4},TTSSKĐ!T247,TTSSKĐ!X247,TTSSKĐ!AB247,TTSSKĐ!AF247))=3)*(CHOOSE({1,2,3,4},TTSSKĐ!W247,TTSSKĐ!AA247,TTSSKĐ!AE247,TTSSKĐ!AI247)))</f>
        <v>0</v>
      </c>
      <c r="D247">
        <f>SUMPRODUCT((MONTH(CHOOSE({1,2,3,4},TTSSKĐ!T247,TTSSKĐ!X247,TTSSKĐ!AB247,TTSSKĐ!AF247))=4)*(CHOOSE({1,2,3,4},TTSSKĐ!W247,TTSSKĐ!AA247,TTSSKĐ!AE247,TTSSKĐ!AI247)))</f>
        <v>0</v>
      </c>
      <c r="E247">
        <f>SUMPRODUCT((MONTH(CHOOSE({1,2,3,4},TTSSKĐ!T247,TTSSKĐ!X247,TTSSKĐ!AB247,TTSSKĐ!AF247))=5)*(CHOOSE({1,2,3,4},TTSSKĐ!W247,TTSSKĐ!AA247,TTSSKĐ!AE247,TTSSKĐ!AI247)))</f>
        <v>0</v>
      </c>
      <c r="F247">
        <f>SUMPRODUCT((MONTH(CHOOSE({1,2,3,4},TTSSKĐ!T247,TTSSKĐ!X247,TTSSKĐ!AB247,TTSSKĐ!AF247))=6)*(CHOOSE({1,2,3,4},TTSSKĐ!W247,TTSSKĐ!AA247,TTSSKĐ!AE247,TTSSKĐ!AI247)))</f>
        <v>0</v>
      </c>
      <c r="G247">
        <f>SUMPRODUCT((MONTH(CHOOSE({1,2,3,4},TTSSKĐ!T247,TTSSKĐ!X247,TTSSKĐ!AB247,TTSSKĐ!AF247))=7)*(CHOOSE({1,2,3,4},TTSSKĐ!W247,TTSSKĐ!AA247,TTSSKĐ!AE247,TTSSKĐ!AI247)))</f>
        <v>0</v>
      </c>
      <c r="H247">
        <f>SUMPRODUCT((MONTH(CHOOSE({1,2,3,4},TTSSKĐ!T247,TTSSKĐ!X247,TTSSKĐ!AB247,TTSSKĐ!AF247))=8)*(CHOOSE({1,2,3,4},TTSSKĐ!W247,TTSSKĐ!AA247,TTSSKĐ!AE247,TTSSKĐ!AI247)))</f>
        <v>0</v>
      </c>
      <c r="I247">
        <f>SUMPRODUCT((MONTH(CHOOSE({1,2,3,4},TTSSKĐ!T247,TTSSKĐ!X247,TTSSKĐ!AB247,TTSSKĐ!AF247))=9)*(CHOOSE({1,2,3,4},TTSSKĐ!W247,TTSSKĐ!AA247,TTSSKĐ!AE247,TTSSKĐ!AI247)))</f>
        <v>0</v>
      </c>
      <c r="J247">
        <f>SUMPRODUCT((MONTH(CHOOSE({1,2,3,4},TTSSKĐ!T247,TTSSKĐ!X247,TTSSKĐ!AB247,TTSSKĐ!AF247))=10)*(CHOOSE({1,2,3,4},TTSSKĐ!W247,TTSSKĐ!AA247,TTSSKĐ!AE247,TTSSKĐ!AI247)))</f>
        <v>0</v>
      </c>
      <c r="K247">
        <f>SUMPRODUCT((MONTH(CHOOSE({1,2,3,4},TTSSKĐ!T247,TTSSKĐ!X247,TTSSKĐ!AB247,TTSSKĐ!AF247))=11)*(CHOOSE({1,2,3,4},TTSSKĐ!W247,TTSSKĐ!AA247,TTSSKĐ!AE247,TTSSKĐ!AI247)))</f>
        <v>0</v>
      </c>
      <c r="L247">
        <f>SUMPRODUCT((MONTH(CHOOSE({1,2,3,4},TTSSKĐ!T247,TTSSKĐ!X247,TTSSKĐ!AB247,TTSSKĐ!AF247))=12)*(CHOOSE({1,2,3,4},TTSSKĐ!W247,TTSSKĐ!AA247,TTSSKĐ!AE247,TTSSKĐ!AI247)))</f>
        <v>0</v>
      </c>
    </row>
    <row r="248" spans="1:12">
      <c r="A248">
        <f>SUMPRODUCT((MONTH(CHOOSE({1,2,3,4},TTSSKĐ!T248,TTSSKĐ!X248,TTSSKĐ!AB248,TTSSKĐ!AF248))=1)*(CHOOSE({1,2,3,4},TTSSKĐ!W248,TTSSKĐ!AA248,TTSSKĐ!AE248,TTSSKĐ!AI248)))</f>
        <v>0</v>
      </c>
      <c r="B248">
        <f>SUMPRODUCT((MONTH(CHOOSE({1,2,3,4},TTSSKĐ!T248,TTSSKĐ!X248,TTSSKĐ!AB248,TTSSKĐ!AF248))=2)*(CHOOSE({1,2,3,4},TTSSKĐ!W248,TTSSKĐ!AA248,TTSSKĐ!AE248,TTSSKĐ!AI248)))</f>
        <v>0</v>
      </c>
      <c r="C248">
        <f>SUMPRODUCT((MONTH(CHOOSE({1,2,3,4},TTSSKĐ!T248,TTSSKĐ!X248,TTSSKĐ!AB248,TTSSKĐ!AF248))=3)*(CHOOSE({1,2,3,4},TTSSKĐ!W248,TTSSKĐ!AA248,TTSSKĐ!AE248,TTSSKĐ!AI248)))</f>
        <v>0</v>
      </c>
      <c r="D248">
        <f>SUMPRODUCT((MONTH(CHOOSE({1,2,3,4},TTSSKĐ!T248,TTSSKĐ!X248,TTSSKĐ!AB248,TTSSKĐ!AF248))=4)*(CHOOSE({1,2,3,4},TTSSKĐ!W248,TTSSKĐ!AA248,TTSSKĐ!AE248,TTSSKĐ!AI248)))</f>
        <v>0</v>
      </c>
      <c r="E248">
        <f>SUMPRODUCT((MONTH(CHOOSE({1,2,3,4},TTSSKĐ!T248,TTSSKĐ!X248,TTSSKĐ!AB248,TTSSKĐ!AF248))=5)*(CHOOSE({1,2,3,4},TTSSKĐ!W248,TTSSKĐ!AA248,TTSSKĐ!AE248,TTSSKĐ!AI248)))</f>
        <v>0</v>
      </c>
      <c r="F248">
        <f>SUMPRODUCT((MONTH(CHOOSE({1,2,3,4},TTSSKĐ!T248,TTSSKĐ!X248,TTSSKĐ!AB248,TTSSKĐ!AF248))=6)*(CHOOSE({1,2,3,4},TTSSKĐ!W248,TTSSKĐ!AA248,TTSSKĐ!AE248,TTSSKĐ!AI248)))</f>
        <v>0</v>
      </c>
      <c r="G248">
        <f>SUMPRODUCT((MONTH(CHOOSE({1,2,3,4},TTSSKĐ!T248,TTSSKĐ!X248,TTSSKĐ!AB248,TTSSKĐ!AF248))=7)*(CHOOSE({1,2,3,4},TTSSKĐ!W248,TTSSKĐ!AA248,TTSSKĐ!AE248,TTSSKĐ!AI248)))</f>
        <v>0</v>
      </c>
      <c r="H248">
        <f>SUMPRODUCT((MONTH(CHOOSE({1,2,3,4},TTSSKĐ!T248,TTSSKĐ!X248,TTSSKĐ!AB248,TTSSKĐ!AF248))=8)*(CHOOSE({1,2,3,4},TTSSKĐ!W248,TTSSKĐ!AA248,TTSSKĐ!AE248,TTSSKĐ!AI248)))</f>
        <v>0</v>
      </c>
      <c r="I248">
        <f>SUMPRODUCT((MONTH(CHOOSE({1,2,3,4},TTSSKĐ!T248,TTSSKĐ!X248,TTSSKĐ!AB248,TTSSKĐ!AF248))=9)*(CHOOSE({1,2,3,4},TTSSKĐ!W248,TTSSKĐ!AA248,TTSSKĐ!AE248,TTSSKĐ!AI248)))</f>
        <v>0</v>
      </c>
      <c r="J248">
        <f>SUMPRODUCT((MONTH(CHOOSE({1,2,3,4},TTSSKĐ!T248,TTSSKĐ!X248,TTSSKĐ!AB248,TTSSKĐ!AF248))=10)*(CHOOSE({1,2,3,4},TTSSKĐ!W248,TTSSKĐ!AA248,TTSSKĐ!AE248,TTSSKĐ!AI248)))</f>
        <v>0</v>
      </c>
      <c r="K248">
        <f>SUMPRODUCT((MONTH(CHOOSE({1,2,3,4},TTSSKĐ!T248,TTSSKĐ!X248,TTSSKĐ!AB248,TTSSKĐ!AF248))=11)*(CHOOSE({1,2,3,4},TTSSKĐ!W248,TTSSKĐ!AA248,TTSSKĐ!AE248,TTSSKĐ!AI248)))</f>
        <v>0</v>
      </c>
      <c r="L248">
        <f>SUMPRODUCT((MONTH(CHOOSE({1,2,3,4},TTSSKĐ!T248,TTSSKĐ!X248,TTSSKĐ!AB248,TTSSKĐ!AF248))=12)*(CHOOSE({1,2,3,4},TTSSKĐ!W248,TTSSKĐ!AA248,TTSSKĐ!AE248,TTSSKĐ!AI248)))</f>
        <v>0</v>
      </c>
    </row>
    <row r="249" spans="1:12">
      <c r="A249">
        <f>SUMPRODUCT((MONTH(CHOOSE({1,2,3,4},TTSSKĐ!T249,TTSSKĐ!X249,TTSSKĐ!AB249,TTSSKĐ!AF249))=1)*(CHOOSE({1,2,3,4},TTSSKĐ!W249,TTSSKĐ!AA249,TTSSKĐ!AE249,TTSSKĐ!AI249)))</f>
        <v>0</v>
      </c>
      <c r="B249">
        <f>SUMPRODUCT((MONTH(CHOOSE({1,2,3,4},TTSSKĐ!T249,TTSSKĐ!X249,TTSSKĐ!AB249,TTSSKĐ!AF249))=2)*(CHOOSE({1,2,3,4},TTSSKĐ!W249,TTSSKĐ!AA249,TTSSKĐ!AE249,TTSSKĐ!AI249)))</f>
        <v>0</v>
      </c>
      <c r="C249">
        <f>SUMPRODUCT((MONTH(CHOOSE({1,2,3,4},TTSSKĐ!T249,TTSSKĐ!X249,TTSSKĐ!AB249,TTSSKĐ!AF249))=3)*(CHOOSE({1,2,3,4},TTSSKĐ!W249,TTSSKĐ!AA249,TTSSKĐ!AE249,TTSSKĐ!AI249)))</f>
        <v>0</v>
      </c>
      <c r="D249">
        <f>SUMPRODUCT((MONTH(CHOOSE({1,2,3,4},TTSSKĐ!T249,TTSSKĐ!X249,TTSSKĐ!AB249,TTSSKĐ!AF249))=4)*(CHOOSE({1,2,3,4},TTSSKĐ!W249,TTSSKĐ!AA249,TTSSKĐ!AE249,TTSSKĐ!AI249)))</f>
        <v>0</v>
      </c>
      <c r="E249">
        <f>SUMPRODUCT((MONTH(CHOOSE({1,2,3,4},TTSSKĐ!T249,TTSSKĐ!X249,TTSSKĐ!AB249,TTSSKĐ!AF249))=5)*(CHOOSE({1,2,3,4},TTSSKĐ!W249,TTSSKĐ!AA249,TTSSKĐ!AE249,TTSSKĐ!AI249)))</f>
        <v>0</v>
      </c>
      <c r="F249">
        <f>SUMPRODUCT((MONTH(CHOOSE({1,2,3,4},TTSSKĐ!T249,TTSSKĐ!X249,TTSSKĐ!AB249,TTSSKĐ!AF249))=6)*(CHOOSE({1,2,3,4},TTSSKĐ!W249,TTSSKĐ!AA249,TTSSKĐ!AE249,TTSSKĐ!AI249)))</f>
        <v>0</v>
      </c>
      <c r="G249">
        <f>SUMPRODUCT((MONTH(CHOOSE({1,2,3,4},TTSSKĐ!T249,TTSSKĐ!X249,TTSSKĐ!AB249,TTSSKĐ!AF249))=7)*(CHOOSE({1,2,3,4},TTSSKĐ!W249,TTSSKĐ!AA249,TTSSKĐ!AE249,TTSSKĐ!AI249)))</f>
        <v>0</v>
      </c>
      <c r="H249">
        <f>SUMPRODUCT((MONTH(CHOOSE({1,2,3,4},TTSSKĐ!T249,TTSSKĐ!X249,TTSSKĐ!AB249,TTSSKĐ!AF249))=8)*(CHOOSE({1,2,3,4},TTSSKĐ!W249,TTSSKĐ!AA249,TTSSKĐ!AE249,TTSSKĐ!AI249)))</f>
        <v>0</v>
      </c>
      <c r="I249">
        <f>SUMPRODUCT((MONTH(CHOOSE({1,2,3,4},TTSSKĐ!T249,TTSSKĐ!X249,TTSSKĐ!AB249,TTSSKĐ!AF249))=9)*(CHOOSE({1,2,3,4},TTSSKĐ!W249,TTSSKĐ!AA249,TTSSKĐ!AE249,TTSSKĐ!AI249)))</f>
        <v>0</v>
      </c>
      <c r="J249">
        <f>SUMPRODUCT((MONTH(CHOOSE({1,2,3,4},TTSSKĐ!T249,TTSSKĐ!X249,TTSSKĐ!AB249,TTSSKĐ!AF249))=10)*(CHOOSE({1,2,3,4},TTSSKĐ!W249,TTSSKĐ!AA249,TTSSKĐ!AE249,TTSSKĐ!AI249)))</f>
        <v>0</v>
      </c>
      <c r="K249">
        <f>SUMPRODUCT((MONTH(CHOOSE({1,2,3,4},TTSSKĐ!T249,TTSSKĐ!X249,TTSSKĐ!AB249,TTSSKĐ!AF249))=11)*(CHOOSE({1,2,3,4},TTSSKĐ!W249,TTSSKĐ!AA249,TTSSKĐ!AE249,TTSSKĐ!AI249)))</f>
        <v>0</v>
      </c>
      <c r="L249">
        <f>SUMPRODUCT((MONTH(CHOOSE({1,2,3,4},TTSSKĐ!T249,TTSSKĐ!X249,TTSSKĐ!AB249,TTSSKĐ!AF249))=12)*(CHOOSE({1,2,3,4},TTSSKĐ!W249,TTSSKĐ!AA249,TTSSKĐ!AE249,TTSSKĐ!AI249)))</f>
        <v>0</v>
      </c>
    </row>
    <row r="250" spans="1:12">
      <c r="A250">
        <f>SUMPRODUCT((MONTH(CHOOSE({1,2,3,4},TTSSKĐ!T250,TTSSKĐ!X250,TTSSKĐ!AB250,TTSSKĐ!AF250))=1)*(CHOOSE({1,2,3,4},TTSSKĐ!W250,TTSSKĐ!AA250,TTSSKĐ!AE250,TTSSKĐ!AI250)))</f>
        <v>0</v>
      </c>
      <c r="B250">
        <f>SUMPRODUCT((MONTH(CHOOSE({1,2,3,4},TTSSKĐ!T250,TTSSKĐ!X250,TTSSKĐ!AB250,TTSSKĐ!AF250))=2)*(CHOOSE({1,2,3,4},TTSSKĐ!W250,TTSSKĐ!AA250,TTSSKĐ!AE250,TTSSKĐ!AI250)))</f>
        <v>0</v>
      </c>
      <c r="C250">
        <f>SUMPRODUCT((MONTH(CHOOSE({1,2,3,4},TTSSKĐ!T250,TTSSKĐ!X250,TTSSKĐ!AB250,TTSSKĐ!AF250))=3)*(CHOOSE({1,2,3,4},TTSSKĐ!W250,TTSSKĐ!AA250,TTSSKĐ!AE250,TTSSKĐ!AI250)))</f>
        <v>0</v>
      </c>
      <c r="D250">
        <f>SUMPRODUCT((MONTH(CHOOSE({1,2,3,4},TTSSKĐ!T250,TTSSKĐ!X250,TTSSKĐ!AB250,TTSSKĐ!AF250))=4)*(CHOOSE({1,2,3,4},TTSSKĐ!W250,TTSSKĐ!AA250,TTSSKĐ!AE250,TTSSKĐ!AI250)))</f>
        <v>0</v>
      </c>
      <c r="E250">
        <f>SUMPRODUCT((MONTH(CHOOSE({1,2,3,4},TTSSKĐ!T250,TTSSKĐ!X250,TTSSKĐ!AB250,TTSSKĐ!AF250))=5)*(CHOOSE({1,2,3,4},TTSSKĐ!W250,TTSSKĐ!AA250,TTSSKĐ!AE250,TTSSKĐ!AI250)))</f>
        <v>0</v>
      </c>
      <c r="F250">
        <f>SUMPRODUCT((MONTH(CHOOSE({1,2,3,4},TTSSKĐ!T250,TTSSKĐ!X250,TTSSKĐ!AB250,TTSSKĐ!AF250))=6)*(CHOOSE({1,2,3,4},TTSSKĐ!W250,TTSSKĐ!AA250,TTSSKĐ!AE250,TTSSKĐ!AI250)))</f>
        <v>0</v>
      </c>
      <c r="G250">
        <f>SUMPRODUCT((MONTH(CHOOSE({1,2,3,4},TTSSKĐ!T250,TTSSKĐ!X250,TTSSKĐ!AB250,TTSSKĐ!AF250))=7)*(CHOOSE({1,2,3,4},TTSSKĐ!W250,TTSSKĐ!AA250,TTSSKĐ!AE250,TTSSKĐ!AI250)))</f>
        <v>0</v>
      </c>
      <c r="H250">
        <f>SUMPRODUCT((MONTH(CHOOSE({1,2,3,4},TTSSKĐ!T250,TTSSKĐ!X250,TTSSKĐ!AB250,TTSSKĐ!AF250))=8)*(CHOOSE({1,2,3,4},TTSSKĐ!W250,TTSSKĐ!AA250,TTSSKĐ!AE250,TTSSKĐ!AI250)))</f>
        <v>0</v>
      </c>
      <c r="I250">
        <f>SUMPRODUCT((MONTH(CHOOSE({1,2,3,4},TTSSKĐ!T250,TTSSKĐ!X250,TTSSKĐ!AB250,TTSSKĐ!AF250))=9)*(CHOOSE({1,2,3,4},TTSSKĐ!W250,TTSSKĐ!AA250,TTSSKĐ!AE250,TTSSKĐ!AI250)))</f>
        <v>0</v>
      </c>
      <c r="J250">
        <f>SUMPRODUCT((MONTH(CHOOSE({1,2,3,4},TTSSKĐ!T250,TTSSKĐ!X250,TTSSKĐ!AB250,TTSSKĐ!AF250))=10)*(CHOOSE({1,2,3,4},TTSSKĐ!W250,TTSSKĐ!AA250,TTSSKĐ!AE250,TTSSKĐ!AI250)))</f>
        <v>0</v>
      </c>
      <c r="K250">
        <f>SUMPRODUCT((MONTH(CHOOSE({1,2,3,4},TTSSKĐ!T250,TTSSKĐ!X250,TTSSKĐ!AB250,TTSSKĐ!AF250))=11)*(CHOOSE({1,2,3,4},TTSSKĐ!W250,TTSSKĐ!AA250,TTSSKĐ!AE250,TTSSKĐ!AI250)))</f>
        <v>0</v>
      </c>
      <c r="L250">
        <f>SUMPRODUCT((MONTH(CHOOSE({1,2,3,4},TTSSKĐ!T250,TTSSKĐ!X250,TTSSKĐ!AB250,TTSSKĐ!AF250))=12)*(CHOOSE({1,2,3,4},TTSSKĐ!W250,TTSSKĐ!AA250,TTSSKĐ!AE250,TTSSKĐ!AI250)))</f>
        <v>0</v>
      </c>
    </row>
    <row r="251" spans="1:12">
      <c r="A251">
        <f>SUMPRODUCT((MONTH(CHOOSE({1,2,3,4},TTSSKĐ!T251,TTSSKĐ!X251,TTSSKĐ!AB251,TTSSKĐ!AF251))=1)*(CHOOSE({1,2,3,4},TTSSKĐ!W251,TTSSKĐ!AA251,TTSSKĐ!AE251,TTSSKĐ!AI251)))</f>
        <v>0</v>
      </c>
      <c r="B251">
        <f>SUMPRODUCT((MONTH(CHOOSE({1,2,3,4},TTSSKĐ!T251,TTSSKĐ!X251,TTSSKĐ!AB251,TTSSKĐ!AF251))=2)*(CHOOSE({1,2,3,4},TTSSKĐ!W251,TTSSKĐ!AA251,TTSSKĐ!AE251,TTSSKĐ!AI251)))</f>
        <v>0</v>
      </c>
      <c r="C251">
        <f>SUMPRODUCT((MONTH(CHOOSE({1,2,3,4},TTSSKĐ!T251,TTSSKĐ!X251,TTSSKĐ!AB251,TTSSKĐ!AF251))=3)*(CHOOSE({1,2,3,4},TTSSKĐ!W251,TTSSKĐ!AA251,TTSSKĐ!AE251,TTSSKĐ!AI251)))</f>
        <v>0</v>
      </c>
      <c r="D251">
        <f>SUMPRODUCT((MONTH(CHOOSE({1,2,3,4},TTSSKĐ!T251,TTSSKĐ!X251,TTSSKĐ!AB251,TTSSKĐ!AF251))=4)*(CHOOSE({1,2,3,4},TTSSKĐ!W251,TTSSKĐ!AA251,TTSSKĐ!AE251,TTSSKĐ!AI251)))</f>
        <v>0</v>
      </c>
      <c r="E251">
        <f>SUMPRODUCT((MONTH(CHOOSE({1,2,3,4},TTSSKĐ!T251,TTSSKĐ!X251,TTSSKĐ!AB251,TTSSKĐ!AF251))=5)*(CHOOSE({1,2,3,4},TTSSKĐ!W251,TTSSKĐ!AA251,TTSSKĐ!AE251,TTSSKĐ!AI251)))</f>
        <v>0</v>
      </c>
      <c r="F251">
        <f>SUMPRODUCT((MONTH(CHOOSE({1,2,3,4},TTSSKĐ!T251,TTSSKĐ!X251,TTSSKĐ!AB251,TTSSKĐ!AF251))=6)*(CHOOSE({1,2,3,4},TTSSKĐ!W251,TTSSKĐ!AA251,TTSSKĐ!AE251,TTSSKĐ!AI251)))</f>
        <v>0</v>
      </c>
      <c r="G251">
        <f>SUMPRODUCT((MONTH(CHOOSE({1,2,3,4},TTSSKĐ!T251,TTSSKĐ!X251,TTSSKĐ!AB251,TTSSKĐ!AF251))=7)*(CHOOSE({1,2,3,4},TTSSKĐ!W251,TTSSKĐ!AA251,TTSSKĐ!AE251,TTSSKĐ!AI251)))</f>
        <v>0</v>
      </c>
      <c r="H251">
        <f>SUMPRODUCT((MONTH(CHOOSE({1,2,3,4},TTSSKĐ!T251,TTSSKĐ!X251,TTSSKĐ!AB251,TTSSKĐ!AF251))=8)*(CHOOSE({1,2,3,4},TTSSKĐ!W251,TTSSKĐ!AA251,TTSSKĐ!AE251,TTSSKĐ!AI251)))</f>
        <v>0</v>
      </c>
      <c r="I251">
        <f>SUMPRODUCT((MONTH(CHOOSE({1,2,3,4},TTSSKĐ!T251,TTSSKĐ!X251,TTSSKĐ!AB251,TTSSKĐ!AF251))=9)*(CHOOSE({1,2,3,4},TTSSKĐ!W251,TTSSKĐ!AA251,TTSSKĐ!AE251,TTSSKĐ!AI251)))</f>
        <v>0</v>
      </c>
      <c r="J251">
        <f>SUMPRODUCT((MONTH(CHOOSE({1,2,3,4},TTSSKĐ!T251,TTSSKĐ!X251,TTSSKĐ!AB251,TTSSKĐ!AF251))=10)*(CHOOSE({1,2,3,4},TTSSKĐ!W251,TTSSKĐ!AA251,TTSSKĐ!AE251,TTSSKĐ!AI251)))</f>
        <v>0</v>
      </c>
      <c r="K251">
        <f>SUMPRODUCT((MONTH(CHOOSE({1,2,3,4},TTSSKĐ!T251,TTSSKĐ!X251,TTSSKĐ!AB251,TTSSKĐ!AF251))=11)*(CHOOSE({1,2,3,4},TTSSKĐ!W251,TTSSKĐ!AA251,TTSSKĐ!AE251,TTSSKĐ!AI251)))</f>
        <v>0</v>
      </c>
      <c r="L251">
        <f>SUMPRODUCT((MONTH(CHOOSE({1,2,3,4},TTSSKĐ!T251,TTSSKĐ!X251,TTSSKĐ!AB251,TTSSKĐ!AF251))=12)*(CHOOSE({1,2,3,4},TTSSKĐ!W251,TTSSKĐ!AA251,TTSSKĐ!AE251,TTSSKĐ!AI251)))</f>
        <v>0</v>
      </c>
    </row>
    <row r="252" spans="1:12">
      <c r="A252">
        <f>SUMPRODUCT((MONTH(CHOOSE({1,2,3,4},TTSSKĐ!T252,TTSSKĐ!X252,TTSSKĐ!AB252,TTSSKĐ!AF252))=1)*(CHOOSE({1,2,3,4},TTSSKĐ!W252,TTSSKĐ!AA252,TTSSKĐ!AE252,TTSSKĐ!AI252)))</f>
        <v>0</v>
      </c>
      <c r="B252">
        <f>SUMPRODUCT((MONTH(CHOOSE({1,2,3,4},TTSSKĐ!T252,TTSSKĐ!X252,TTSSKĐ!AB252,TTSSKĐ!AF252))=2)*(CHOOSE({1,2,3,4},TTSSKĐ!W252,TTSSKĐ!AA252,TTSSKĐ!AE252,TTSSKĐ!AI252)))</f>
        <v>0</v>
      </c>
      <c r="C252">
        <f>SUMPRODUCT((MONTH(CHOOSE({1,2,3,4},TTSSKĐ!T252,TTSSKĐ!X252,TTSSKĐ!AB252,TTSSKĐ!AF252))=3)*(CHOOSE({1,2,3,4},TTSSKĐ!W252,TTSSKĐ!AA252,TTSSKĐ!AE252,TTSSKĐ!AI252)))</f>
        <v>0</v>
      </c>
      <c r="D252">
        <f>SUMPRODUCT((MONTH(CHOOSE({1,2,3,4},TTSSKĐ!T252,TTSSKĐ!X252,TTSSKĐ!AB252,TTSSKĐ!AF252))=4)*(CHOOSE({1,2,3,4},TTSSKĐ!W252,TTSSKĐ!AA252,TTSSKĐ!AE252,TTSSKĐ!AI252)))</f>
        <v>0</v>
      </c>
      <c r="E252">
        <f>SUMPRODUCT((MONTH(CHOOSE({1,2,3,4},TTSSKĐ!T252,TTSSKĐ!X252,TTSSKĐ!AB252,TTSSKĐ!AF252))=5)*(CHOOSE({1,2,3,4},TTSSKĐ!W252,TTSSKĐ!AA252,TTSSKĐ!AE252,TTSSKĐ!AI252)))</f>
        <v>0</v>
      </c>
      <c r="F252">
        <f>SUMPRODUCT((MONTH(CHOOSE({1,2,3,4},TTSSKĐ!T252,TTSSKĐ!X252,TTSSKĐ!AB252,TTSSKĐ!AF252))=6)*(CHOOSE({1,2,3,4},TTSSKĐ!W252,TTSSKĐ!AA252,TTSSKĐ!AE252,TTSSKĐ!AI252)))</f>
        <v>0</v>
      </c>
      <c r="G252">
        <f>SUMPRODUCT((MONTH(CHOOSE({1,2,3,4},TTSSKĐ!T252,TTSSKĐ!X252,TTSSKĐ!AB252,TTSSKĐ!AF252))=7)*(CHOOSE({1,2,3,4},TTSSKĐ!W252,TTSSKĐ!AA252,TTSSKĐ!AE252,TTSSKĐ!AI252)))</f>
        <v>0</v>
      </c>
      <c r="H252">
        <f>SUMPRODUCT((MONTH(CHOOSE({1,2,3,4},TTSSKĐ!T252,TTSSKĐ!X252,TTSSKĐ!AB252,TTSSKĐ!AF252))=8)*(CHOOSE({1,2,3,4},TTSSKĐ!W252,TTSSKĐ!AA252,TTSSKĐ!AE252,TTSSKĐ!AI252)))</f>
        <v>0</v>
      </c>
      <c r="I252">
        <f>SUMPRODUCT((MONTH(CHOOSE({1,2,3,4},TTSSKĐ!T252,TTSSKĐ!X252,TTSSKĐ!AB252,TTSSKĐ!AF252))=9)*(CHOOSE({1,2,3,4},TTSSKĐ!W252,TTSSKĐ!AA252,TTSSKĐ!AE252,TTSSKĐ!AI252)))</f>
        <v>0</v>
      </c>
      <c r="J252">
        <f>SUMPRODUCT((MONTH(CHOOSE({1,2,3,4},TTSSKĐ!T252,TTSSKĐ!X252,TTSSKĐ!AB252,TTSSKĐ!AF252))=10)*(CHOOSE({1,2,3,4},TTSSKĐ!W252,TTSSKĐ!AA252,TTSSKĐ!AE252,TTSSKĐ!AI252)))</f>
        <v>0</v>
      </c>
      <c r="K252">
        <f>SUMPRODUCT((MONTH(CHOOSE({1,2,3,4},TTSSKĐ!T252,TTSSKĐ!X252,TTSSKĐ!AB252,TTSSKĐ!AF252))=11)*(CHOOSE({1,2,3,4},TTSSKĐ!W252,TTSSKĐ!AA252,TTSSKĐ!AE252,TTSSKĐ!AI252)))</f>
        <v>0</v>
      </c>
      <c r="L252">
        <f>SUMPRODUCT((MONTH(CHOOSE({1,2,3,4},TTSSKĐ!T252,TTSSKĐ!X252,TTSSKĐ!AB252,TTSSKĐ!AF252))=12)*(CHOOSE({1,2,3,4},TTSSKĐ!W252,TTSSKĐ!AA252,TTSSKĐ!AE252,TTSSKĐ!AI252)))</f>
        <v>0</v>
      </c>
    </row>
    <row r="253" spans="1:12">
      <c r="A253">
        <f>SUMPRODUCT((MONTH(CHOOSE({1,2,3,4},TTSSKĐ!T253,TTSSKĐ!X253,TTSSKĐ!AB253,TTSSKĐ!AF253))=1)*(CHOOSE({1,2,3,4},TTSSKĐ!W253,TTSSKĐ!AA253,TTSSKĐ!AE253,TTSSKĐ!AI253)))</f>
        <v>0</v>
      </c>
      <c r="B253">
        <f>SUMPRODUCT((MONTH(CHOOSE({1,2,3,4},TTSSKĐ!T253,TTSSKĐ!X253,TTSSKĐ!AB253,TTSSKĐ!AF253))=2)*(CHOOSE({1,2,3,4},TTSSKĐ!W253,TTSSKĐ!AA253,TTSSKĐ!AE253,TTSSKĐ!AI253)))</f>
        <v>0</v>
      </c>
      <c r="C253">
        <f>SUMPRODUCT((MONTH(CHOOSE({1,2,3,4},TTSSKĐ!T253,TTSSKĐ!X253,TTSSKĐ!AB253,TTSSKĐ!AF253))=3)*(CHOOSE({1,2,3,4},TTSSKĐ!W253,TTSSKĐ!AA253,TTSSKĐ!AE253,TTSSKĐ!AI253)))</f>
        <v>0</v>
      </c>
      <c r="D253">
        <f>SUMPRODUCT((MONTH(CHOOSE({1,2,3,4},TTSSKĐ!T253,TTSSKĐ!X253,TTSSKĐ!AB253,TTSSKĐ!AF253))=4)*(CHOOSE({1,2,3,4},TTSSKĐ!W253,TTSSKĐ!AA253,TTSSKĐ!AE253,TTSSKĐ!AI253)))</f>
        <v>0</v>
      </c>
      <c r="E253">
        <f>SUMPRODUCT((MONTH(CHOOSE({1,2,3,4},TTSSKĐ!T253,TTSSKĐ!X253,TTSSKĐ!AB253,TTSSKĐ!AF253))=5)*(CHOOSE({1,2,3,4},TTSSKĐ!W253,TTSSKĐ!AA253,TTSSKĐ!AE253,TTSSKĐ!AI253)))</f>
        <v>0</v>
      </c>
      <c r="F253">
        <f>SUMPRODUCT((MONTH(CHOOSE({1,2,3,4},TTSSKĐ!T253,TTSSKĐ!X253,TTSSKĐ!AB253,TTSSKĐ!AF253))=6)*(CHOOSE({1,2,3,4},TTSSKĐ!W253,TTSSKĐ!AA253,TTSSKĐ!AE253,TTSSKĐ!AI253)))</f>
        <v>0</v>
      </c>
      <c r="G253">
        <f>SUMPRODUCT((MONTH(CHOOSE({1,2,3,4},TTSSKĐ!T253,TTSSKĐ!X253,TTSSKĐ!AB253,TTSSKĐ!AF253))=7)*(CHOOSE({1,2,3,4},TTSSKĐ!W253,TTSSKĐ!AA253,TTSSKĐ!AE253,TTSSKĐ!AI253)))</f>
        <v>0</v>
      </c>
      <c r="H253">
        <f>SUMPRODUCT((MONTH(CHOOSE({1,2,3,4},TTSSKĐ!T253,TTSSKĐ!X253,TTSSKĐ!AB253,TTSSKĐ!AF253))=8)*(CHOOSE({1,2,3,4},TTSSKĐ!W253,TTSSKĐ!AA253,TTSSKĐ!AE253,TTSSKĐ!AI253)))</f>
        <v>0</v>
      </c>
      <c r="I253">
        <f>SUMPRODUCT((MONTH(CHOOSE({1,2,3,4},TTSSKĐ!T253,TTSSKĐ!X253,TTSSKĐ!AB253,TTSSKĐ!AF253))=9)*(CHOOSE({1,2,3,4},TTSSKĐ!W253,TTSSKĐ!AA253,TTSSKĐ!AE253,TTSSKĐ!AI253)))</f>
        <v>0</v>
      </c>
      <c r="J253">
        <f>SUMPRODUCT((MONTH(CHOOSE({1,2,3,4},TTSSKĐ!T253,TTSSKĐ!X253,TTSSKĐ!AB253,TTSSKĐ!AF253))=10)*(CHOOSE({1,2,3,4},TTSSKĐ!W253,TTSSKĐ!AA253,TTSSKĐ!AE253,TTSSKĐ!AI253)))</f>
        <v>0</v>
      </c>
      <c r="K253">
        <f>SUMPRODUCT((MONTH(CHOOSE({1,2,3,4},TTSSKĐ!T253,TTSSKĐ!X253,TTSSKĐ!AB253,TTSSKĐ!AF253))=11)*(CHOOSE({1,2,3,4},TTSSKĐ!W253,TTSSKĐ!AA253,TTSSKĐ!AE253,TTSSKĐ!AI253)))</f>
        <v>0</v>
      </c>
      <c r="L253">
        <f>SUMPRODUCT((MONTH(CHOOSE({1,2,3,4},TTSSKĐ!T253,TTSSKĐ!X253,TTSSKĐ!AB253,TTSSKĐ!AF253))=12)*(CHOOSE({1,2,3,4},TTSSKĐ!W253,TTSSKĐ!AA253,TTSSKĐ!AE253,TTSSKĐ!AI253)))</f>
        <v>0</v>
      </c>
    </row>
    <row r="254" spans="1:12">
      <c r="A254">
        <f>SUMPRODUCT((MONTH(CHOOSE({1,2,3,4},TTSSKĐ!T254,TTSSKĐ!X254,TTSSKĐ!AB254,TTSSKĐ!AF254))=1)*(CHOOSE({1,2,3,4},TTSSKĐ!W254,TTSSKĐ!AA254,TTSSKĐ!AE254,TTSSKĐ!AI254)))</f>
        <v>0</v>
      </c>
      <c r="B254">
        <f>SUMPRODUCT((MONTH(CHOOSE({1,2,3,4},TTSSKĐ!T254,TTSSKĐ!X254,TTSSKĐ!AB254,TTSSKĐ!AF254))=2)*(CHOOSE({1,2,3,4},TTSSKĐ!W254,TTSSKĐ!AA254,TTSSKĐ!AE254,TTSSKĐ!AI254)))</f>
        <v>0</v>
      </c>
      <c r="C254">
        <f>SUMPRODUCT((MONTH(CHOOSE({1,2,3,4},TTSSKĐ!T254,TTSSKĐ!X254,TTSSKĐ!AB254,TTSSKĐ!AF254))=3)*(CHOOSE({1,2,3,4},TTSSKĐ!W254,TTSSKĐ!AA254,TTSSKĐ!AE254,TTSSKĐ!AI254)))</f>
        <v>0</v>
      </c>
      <c r="D254">
        <f>SUMPRODUCT((MONTH(CHOOSE({1,2,3,4},TTSSKĐ!T254,TTSSKĐ!X254,TTSSKĐ!AB254,TTSSKĐ!AF254))=4)*(CHOOSE({1,2,3,4},TTSSKĐ!W254,TTSSKĐ!AA254,TTSSKĐ!AE254,TTSSKĐ!AI254)))</f>
        <v>0</v>
      </c>
      <c r="E254">
        <f>SUMPRODUCT((MONTH(CHOOSE({1,2,3,4},TTSSKĐ!T254,TTSSKĐ!X254,TTSSKĐ!AB254,TTSSKĐ!AF254))=5)*(CHOOSE({1,2,3,4},TTSSKĐ!W254,TTSSKĐ!AA254,TTSSKĐ!AE254,TTSSKĐ!AI254)))</f>
        <v>0</v>
      </c>
      <c r="F254">
        <f>SUMPRODUCT((MONTH(CHOOSE({1,2,3,4},TTSSKĐ!T254,TTSSKĐ!X254,TTSSKĐ!AB254,TTSSKĐ!AF254))=6)*(CHOOSE({1,2,3,4},TTSSKĐ!W254,TTSSKĐ!AA254,TTSSKĐ!AE254,TTSSKĐ!AI254)))</f>
        <v>0</v>
      </c>
      <c r="G254">
        <f>SUMPRODUCT((MONTH(CHOOSE({1,2,3,4},TTSSKĐ!T254,TTSSKĐ!X254,TTSSKĐ!AB254,TTSSKĐ!AF254))=7)*(CHOOSE({1,2,3,4},TTSSKĐ!W254,TTSSKĐ!AA254,TTSSKĐ!AE254,TTSSKĐ!AI254)))</f>
        <v>0</v>
      </c>
      <c r="H254">
        <f>SUMPRODUCT((MONTH(CHOOSE({1,2,3,4},TTSSKĐ!T254,TTSSKĐ!X254,TTSSKĐ!AB254,TTSSKĐ!AF254))=8)*(CHOOSE({1,2,3,4},TTSSKĐ!W254,TTSSKĐ!AA254,TTSSKĐ!AE254,TTSSKĐ!AI254)))</f>
        <v>0</v>
      </c>
      <c r="I254">
        <f>SUMPRODUCT((MONTH(CHOOSE({1,2,3,4},TTSSKĐ!T254,TTSSKĐ!X254,TTSSKĐ!AB254,TTSSKĐ!AF254))=9)*(CHOOSE({1,2,3,4},TTSSKĐ!W254,TTSSKĐ!AA254,TTSSKĐ!AE254,TTSSKĐ!AI254)))</f>
        <v>0</v>
      </c>
      <c r="J254">
        <f>SUMPRODUCT((MONTH(CHOOSE({1,2,3,4},TTSSKĐ!T254,TTSSKĐ!X254,TTSSKĐ!AB254,TTSSKĐ!AF254))=10)*(CHOOSE({1,2,3,4},TTSSKĐ!W254,TTSSKĐ!AA254,TTSSKĐ!AE254,TTSSKĐ!AI254)))</f>
        <v>0</v>
      </c>
      <c r="K254">
        <f>SUMPRODUCT((MONTH(CHOOSE({1,2,3,4},TTSSKĐ!T254,TTSSKĐ!X254,TTSSKĐ!AB254,TTSSKĐ!AF254))=11)*(CHOOSE({1,2,3,4},TTSSKĐ!W254,TTSSKĐ!AA254,TTSSKĐ!AE254,TTSSKĐ!AI254)))</f>
        <v>0</v>
      </c>
      <c r="L254">
        <f>SUMPRODUCT((MONTH(CHOOSE({1,2,3,4},TTSSKĐ!T254,TTSSKĐ!X254,TTSSKĐ!AB254,TTSSKĐ!AF254))=12)*(CHOOSE({1,2,3,4},TTSSKĐ!W254,TTSSKĐ!AA254,TTSSKĐ!AE254,TTSSKĐ!AI254)))</f>
        <v>0</v>
      </c>
    </row>
    <row r="255" spans="1:12">
      <c r="A255">
        <f>SUMPRODUCT((MONTH(CHOOSE({1,2,3,4},TTSSKĐ!T255,TTSSKĐ!X255,TTSSKĐ!AB255,TTSSKĐ!AF255))=1)*(CHOOSE({1,2,3,4},TTSSKĐ!W255,TTSSKĐ!AA255,TTSSKĐ!AE255,TTSSKĐ!AI255)))</f>
        <v>0</v>
      </c>
      <c r="B255">
        <f>SUMPRODUCT((MONTH(CHOOSE({1,2,3,4},TTSSKĐ!T255,TTSSKĐ!X255,TTSSKĐ!AB255,TTSSKĐ!AF255))=2)*(CHOOSE({1,2,3,4},TTSSKĐ!W255,TTSSKĐ!AA255,TTSSKĐ!AE255,TTSSKĐ!AI255)))</f>
        <v>0</v>
      </c>
      <c r="C255">
        <f>SUMPRODUCT((MONTH(CHOOSE({1,2,3,4},TTSSKĐ!T255,TTSSKĐ!X255,TTSSKĐ!AB255,TTSSKĐ!AF255))=3)*(CHOOSE({1,2,3,4},TTSSKĐ!W255,TTSSKĐ!AA255,TTSSKĐ!AE255,TTSSKĐ!AI255)))</f>
        <v>0</v>
      </c>
      <c r="D255">
        <f>SUMPRODUCT((MONTH(CHOOSE({1,2,3,4},TTSSKĐ!T255,TTSSKĐ!X255,TTSSKĐ!AB255,TTSSKĐ!AF255))=4)*(CHOOSE({1,2,3,4},TTSSKĐ!W255,TTSSKĐ!AA255,TTSSKĐ!AE255,TTSSKĐ!AI255)))</f>
        <v>0</v>
      </c>
      <c r="E255">
        <f>SUMPRODUCT((MONTH(CHOOSE({1,2,3,4},TTSSKĐ!T255,TTSSKĐ!X255,TTSSKĐ!AB255,TTSSKĐ!AF255))=5)*(CHOOSE({1,2,3,4},TTSSKĐ!W255,TTSSKĐ!AA255,TTSSKĐ!AE255,TTSSKĐ!AI255)))</f>
        <v>0</v>
      </c>
      <c r="F255">
        <f>SUMPRODUCT((MONTH(CHOOSE({1,2,3,4},TTSSKĐ!T255,TTSSKĐ!X255,TTSSKĐ!AB255,TTSSKĐ!AF255))=6)*(CHOOSE({1,2,3,4},TTSSKĐ!W255,TTSSKĐ!AA255,TTSSKĐ!AE255,TTSSKĐ!AI255)))</f>
        <v>0</v>
      </c>
      <c r="G255">
        <f>SUMPRODUCT((MONTH(CHOOSE({1,2,3,4},TTSSKĐ!T255,TTSSKĐ!X255,TTSSKĐ!AB255,TTSSKĐ!AF255))=7)*(CHOOSE({1,2,3,4},TTSSKĐ!W255,TTSSKĐ!AA255,TTSSKĐ!AE255,TTSSKĐ!AI255)))</f>
        <v>0</v>
      </c>
      <c r="H255">
        <f>SUMPRODUCT((MONTH(CHOOSE({1,2,3,4},TTSSKĐ!T255,TTSSKĐ!X255,TTSSKĐ!AB255,TTSSKĐ!AF255))=8)*(CHOOSE({1,2,3,4},TTSSKĐ!W255,TTSSKĐ!AA255,TTSSKĐ!AE255,TTSSKĐ!AI255)))</f>
        <v>0</v>
      </c>
      <c r="I255">
        <f>SUMPRODUCT((MONTH(CHOOSE({1,2,3,4},TTSSKĐ!T255,TTSSKĐ!X255,TTSSKĐ!AB255,TTSSKĐ!AF255))=9)*(CHOOSE({1,2,3,4},TTSSKĐ!W255,TTSSKĐ!AA255,TTSSKĐ!AE255,TTSSKĐ!AI255)))</f>
        <v>0</v>
      </c>
      <c r="J255">
        <f>SUMPRODUCT((MONTH(CHOOSE({1,2,3,4},TTSSKĐ!T255,TTSSKĐ!X255,TTSSKĐ!AB255,TTSSKĐ!AF255))=10)*(CHOOSE({1,2,3,4},TTSSKĐ!W255,TTSSKĐ!AA255,TTSSKĐ!AE255,TTSSKĐ!AI255)))</f>
        <v>0</v>
      </c>
      <c r="K255">
        <f>SUMPRODUCT((MONTH(CHOOSE({1,2,3,4},TTSSKĐ!T255,TTSSKĐ!X255,TTSSKĐ!AB255,TTSSKĐ!AF255))=11)*(CHOOSE({1,2,3,4},TTSSKĐ!W255,TTSSKĐ!AA255,TTSSKĐ!AE255,TTSSKĐ!AI255)))</f>
        <v>0</v>
      </c>
      <c r="L255">
        <f>SUMPRODUCT((MONTH(CHOOSE({1,2,3,4},TTSSKĐ!T255,TTSSKĐ!X255,TTSSKĐ!AB255,TTSSKĐ!AF255))=12)*(CHOOSE({1,2,3,4},TTSSKĐ!W255,TTSSKĐ!AA255,TTSSKĐ!AE255,TTSSKĐ!AI255)))</f>
        <v>0</v>
      </c>
    </row>
    <row r="256" spans="1:12">
      <c r="A256">
        <f>SUMPRODUCT((MONTH(CHOOSE({1,2,3,4},TTSSKĐ!T256,TTSSKĐ!X256,TTSSKĐ!AB256,TTSSKĐ!AF256))=1)*(CHOOSE({1,2,3,4},TTSSKĐ!W256,TTSSKĐ!AA256,TTSSKĐ!AE256,TTSSKĐ!AI256)))</f>
        <v>0</v>
      </c>
      <c r="B256">
        <f>SUMPRODUCT((MONTH(CHOOSE({1,2,3,4},TTSSKĐ!T256,TTSSKĐ!X256,TTSSKĐ!AB256,TTSSKĐ!AF256))=2)*(CHOOSE({1,2,3,4},TTSSKĐ!W256,TTSSKĐ!AA256,TTSSKĐ!AE256,TTSSKĐ!AI256)))</f>
        <v>0</v>
      </c>
      <c r="C256">
        <f>SUMPRODUCT((MONTH(CHOOSE({1,2,3,4},TTSSKĐ!T256,TTSSKĐ!X256,TTSSKĐ!AB256,TTSSKĐ!AF256))=3)*(CHOOSE({1,2,3,4},TTSSKĐ!W256,TTSSKĐ!AA256,TTSSKĐ!AE256,TTSSKĐ!AI256)))</f>
        <v>0</v>
      </c>
      <c r="D256">
        <f>SUMPRODUCT((MONTH(CHOOSE({1,2,3,4},TTSSKĐ!T256,TTSSKĐ!X256,TTSSKĐ!AB256,TTSSKĐ!AF256))=4)*(CHOOSE({1,2,3,4},TTSSKĐ!W256,TTSSKĐ!AA256,TTSSKĐ!AE256,TTSSKĐ!AI256)))</f>
        <v>0</v>
      </c>
      <c r="E256">
        <f>SUMPRODUCT((MONTH(CHOOSE({1,2,3,4},TTSSKĐ!T256,TTSSKĐ!X256,TTSSKĐ!AB256,TTSSKĐ!AF256))=5)*(CHOOSE({1,2,3,4},TTSSKĐ!W256,TTSSKĐ!AA256,TTSSKĐ!AE256,TTSSKĐ!AI256)))</f>
        <v>0</v>
      </c>
      <c r="F256">
        <f>SUMPRODUCT((MONTH(CHOOSE({1,2,3,4},TTSSKĐ!T256,TTSSKĐ!X256,TTSSKĐ!AB256,TTSSKĐ!AF256))=6)*(CHOOSE({1,2,3,4},TTSSKĐ!W256,TTSSKĐ!AA256,TTSSKĐ!AE256,TTSSKĐ!AI256)))</f>
        <v>0</v>
      </c>
      <c r="G256">
        <f>SUMPRODUCT((MONTH(CHOOSE({1,2,3,4},TTSSKĐ!T256,TTSSKĐ!X256,TTSSKĐ!AB256,TTSSKĐ!AF256))=7)*(CHOOSE({1,2,3,4},TTSSKĐ!W256,TTSSKĐ!AA256,TTSSKĐ!AE256,TTSSKĐ!AI256)))</f>
        <v>0</v>
      </c>
      <c r="H256">
        <f>SUMPRODUCT((MONTH(CHOOSE({1,2,3,4},TTSSKĐ!T256,TTSSKĐ!X256,TTSSKĐ!AB256,TTSSKĐ!AF256))=8)*(CHOOSE({1,2,3,4},TTSSKĐ!W256,TTSSKĐ!AA256,TTSSKĐ!AE256,TTSSKĐ!AI256)))</f>
        <v>0</v>
      </c>
      <c r="I256">
        <f>SUMPRODUCT((MONTH(CHOOSE({1,2,3,4},TTSSKĐ!T256,TTSSKĐ!X256,TTSSKĐ!AB256,TTSSKĐ!AF256))=9)*(CHOOSE({1,2,3,4},TTSSKĐ!W256,TTSSKĐ!AA256,TTSSKĐ!AE256,TTSSKĐ!AI256)))</f>
        <v>0</v>
      </c>
      <c r="J256">
        <f>SUMPRODUCT((MONTH(CHOOSE({1,2,3,4},TTSSKĐ!T256,TTSSKĐ!X256,TTSSKĐ!AB256,TTSSKĐ!AF256))=10)*(CHOOSE({1,2,3,4},TTSSKĐ!W256,TTSSKĐ!AA256,TTSSKĐ!AE256,TTSSKĐ!AI256)))</f>
        <v>0</v>
      </c>
      <c r="K256">
        <f>SUMPRODUCT((MONTH(CHOOSE({1,2,3,4},TTSSKĐ!T256,TTSSKĐ!X256,TTSSKĐ!AB256,TTSSKĐ!AF256))=11)*(CHOOSE({1,2,3,4},TTSSKĐ!W256,TTSSKĐ!AA256,TTSSKĐ!AE256,TTSSKĐ!AI256)))</f>
        <v>0</v>
      </c>
      <c r="L256">
        <f>SUMPRODUCT((MONTH(CHOOSE({1,2,3,4},TTSSKĐ!T256,TTSSKĐ!X256,TTSSKĐ!AB256,TTSSKĐ!AF256))=12)*(CHOOSE({1,2,3,4},TTSSKĐ!W256,TTSSKĐ!AA256,TTSSKĐ!AE256,TTSSKĐ!AI256)))</f>
        <v>0</v>
      </c>
    </row>
    <row r="257" spans="1:12">
      <c r="A257">
        <f>SUMPRODUCT((MONTH(CHOOSE({1,2,3,4},TTSSKĐ!T257,TTSSKĐ!X257,TTSSKĐ!AB257,TTSSKĐ!AF257))=1)*(CHOOSE({1,2,3,4},TTSSKĐ!W257,TTSSKĐ!AA257,TTSSKĐ!AE257,TTSSKĐ!AI257)))</f>
        <v>0</v>
      </c>
      <c r="B257">
        <f>SUMPRODUCT((MONTH(CHOOSE({1,2,3,4},TTSSKĐ!T257,TTSSKĐ!X257,TTSSKĐ!AB257,TTSSKĐ!AF257))=2)*(CHOOSE({1,2,3,4},TTSSKĐ!W257,TTSSKĐ!AA257,TTSSKĐ!AE257,TTSSKĐ!AI257)))</f>
        <v>0</v>
      </c>
      <c r="C257">
        <f>SUMPRODUCT((MONTH(CHOOSE({1,2,3,4},TTSSKĐ!T257,TTSSKĐ!X257,TTSSKĐ!AB257,TTSSKĐ!AF257))=3)*(CHOOSE({1,2,3,4},TTSSKĐ!W257,TTSSKĐ!AA257,TTSSKĐ!AE257,TTSSKĐ!AI257)))</f>
        <v>0</v>
      </c>
      <c r="D257">
        <f>SUMPRODUCT((MONTH(CHOOSE({1,2,3,4},TTSSKĐ!T257,TTSSKĐ!X257,TTSSKĐ!AB257,TTSSKĐ!AF257))=4)*(CHOOSE({1,2,3,4},TTSSKĐ!W257,TTSSKĐ!AA257,TTSSKĐ!AE257,TTSSKĐ!AI257)))</f>
        <v>0</v>
      </c>
      <c r="E257">
        <f>SUMPRODUCT((MONTH(CHOOSE({1,2,3,4},TTSSKĐ!T257,TTSSKĐ!X257,TTSSKĐ!AB257,TTSSKĐ!AF257))=5)*(CHOOSE({1,2,3,4},TTSSKĐ!W257,TTSSKĐ!AA257,TTSSKĐ!AE257,TTSSKĐ!AI257)))</f>
        <v>0</v>
      </c>
      <c r="F257">
        <f>SUMPRODUCT((MONTH(CHOOSE({1,2,3,4},TTSSKĐ!T257,TTSSKĐ!X257,TTSSKĐ!AB257,TTSSKĐ!AF257))=6)*(CHOOSE({1,2,3,4},TTSSKĐ!W257,TTSSKĐ!AA257,TTSSKĐ!AE257,TTSSKĐ!AI257)))</f>
        <v>0</v>
      </c>
      <c r="G257">
        <f>SUMPRODUCT((MONTH(CHOOSE({1,2,3,4},TTSSKĐ!T257,TTSSKĐ!X257,TTSSKĐ!AB257,TTSSKĐ!AF257))=7)*(CHOOSE({1,2,3,4},TTSSKĐ!W257,TTSSKĐ!AA257,TTSSKĐ!AE257,TTSSKĐ!AI257)))</f>
        <v>0</v>
      </c>
      <c r="H257">
        <f>SUMPRODUCT((MONTH(CHOOSE({1,2,3,4},TTSSKĐ!T257,TTSSKĐ!X257,TTSSKĐ!AB257,TTSSKĐ!AF257))=8)*(CHOOSE({1,2,3,4},TTSSKĐ!W257,TTSSKĐ!AA257,TTSSKĐ!AE257,TTSSKĐ!AI257)))</f>
        <v>0</v>
      </c>
      <c r="I257">
        <f>SUMPRODUCT((MONTH(CHOOSE({1,2,3,4},TTSSKĐ!T257,TTSSKĐ!X257,TTSSKĐ!AB257,TTSSKĐ!AF257))=9)*(CHOOSE({1,2,3,4},TTSSKĐ!W257,TTSSKĐ!AA257,TTSSKĐ!AE257,TTSSKĐ!AI257)))</f>
        <v>0</v>
      </c>
      <c r="J257">
        <f>SUMPRODUCT((MONTH(CHOOSE({1,2,3,4},TTSSKĐ!T257,TTSSKĐ!X257,TTSSKĐ!AB257,TTSSKĐ!AF257))=10)*(CHOOSE({1,2,3,4},TTSSKĐ!W257,TTSSKĐ!AA257,TTSSKĐ!AE257,TTSSKĐ!AI257)))</f>
        <v>0</v>
      </c>
      <c r="K257">
        <f>SUMPRODUCT((MONTH(CHOOSE({1,2,3,4},TTSSKĐ!T257,TTSSKĐ!X257,TTSSKĐ!AB257,TTSSKĐ!AF257))=11)*(CHOOSE({1,2,3,4},TTSSKĐ!W257,TTSSKĐ!AA257,TTSSKĐ!AE257,TTSSKĐ!AI257)))</f>
        <v>0</v>
      </c>
      <c r="L257">
        <f>SUMPRODUCT((MONTH(CHOOSE({1,2,3,4},TTSSKĐ!T257,TTSSKĐ!X257,TTSSKĐ!AB257,TTSSKĐ!AF257))=12)*(CHOOSE({1,2,3,4},TTSSKĐ!W257,TTSSKĐ!AA257,TTSSKĐ!AE257,TTSSKĐ!AI257)))</f>
        <v>0</v>
      </c>
    </row>
    <row r="258" spans="1:12">
      <c r="A258">
        <f>SUMPRODUCT((MONTH(CHOOSE({1,2,3,4},TTSSKĐ!T258,TTSSKĐ!X258,TTSSKĐ!AB258,TTSSKĐ!AF258))=1)*(CHOOSE({1,2,3,4},TTSSKĐ!W258,TTSSKĐ!AA258,TTSSKĐ!AE258,TTSSKĐ!AI258)))</f>
        <v>0</v>
      </c>
      <c r="B258">
        <f>SUMPRODUCT((MONTH(CHOOSE({1,2,3,4},TTSSKĐ!T258,TTSSKĐ!X258,TTSSKĐ!AB258,TTSSKĐ!AF258))=2)*(CHOOSE({1,2,3,4},TTSSKĐ!W258,TTSSKĐ!AA258,TTSSKĐ!AE258,TTSSKĐ!AI258)))</f>
        <v>0</v>
      </c>
      <c r="C258">
        <f>SUMPRODUCT((MONTH(CHOOSE({1,2,3,4},TTSSKĐ!T258,TTSSKĐ!X258,TTSSKĐ!AB258,TTSSKĐ!AF258))=3)*(CHOOSE({1,2,3,4},TTSSKĐ!W258,TTSSKĐ!AA258,TTSSKĐ!AE258,TTSSKĐ!AI258)))</f>
        <v>0</v>
      </c>
      <c r="D258">
        <f>SUMPRODUCT((MONTH(CHOOSE({1,2,3,4},TTSSKĐ!T258,TTSSKĐ!X258,TTSSKĐ!AB258,TTSSKĐ!AF258))=4)*(CHOOSE({1,2,3,4},TTSSKĐ!W258,TTSSKĐ!AA258,TTSSKĐ!AE258,TTSSKĐ!AI258)))</f>
        <v>0</v>
      </c>
      <c r="E258">
        <f>SUMPRODUCT((MONTH(CHOOSE({1,2,3,4},TTSSKĐ!T258,TTSSKĐ!X258,TTSSKĐ!AB258,TTSSKĐ!AF258))=5)*(CHOOSE({1,2,3,4},TTSSKĐ!W258,TTSSKĐ!AA258,TTSSKĐ!AE258,TTSSKĐ!AI258)))</f>
        <v>0</v>
      </c>
      <c r="F258">
        <f>SUMPRODUCT((MONTH(CHOOSE({1,2,3,4},TTSSKĐ!T258,TTSSKĐ!X258,TTSSKĐ!AB258,TTSSKĐ!AF258))=6)*(CHOOSE({1,2,3,4},TTSSKĐ!W258,TTSSKĐ!AA258,TTSSKĐ!AE258,TTSSKĐ!AI258)))</f>
        <v>0</v>
      </c>
      <c r="G258">
        <f>SUMPRODUCT((MONTH(CHOOSE({1,2,3,4},TTSSKĐ!T258,TTSSKĐ!X258,TTSSKĐ!AB258,TTSSKĐ!AF258))=7)*(CHOOSE({1,2,3,4},TTSSKĐ!W258,TTSSKĐ!AA258,TTSSKĐ!AE258,TTSSKĐ!AI258)))</f>
        <v>0</v>
      </c>
      <c r="H258">
        <f>SUMPRODUCT((MONTH(CHOOSE({1,2,3,4},TTSSKĐ!T258,TTSSKĐ!X258,TTSSKĐ!AB258,TTSSKĐ!AF258))=8)*(CHOOSE({1,2,3,4},TTSSKĐ!W258,TTSSKĐ!AA258,TTSSKĐ!AE258,TTSSKĐ!AI258)))</f>
        <v>0</v>
      </c>
      <c r="I258">
        <f>SUMPRODUCT((MONTH(CHOOSE({1,2,3,4},TTSSKĐ!T258,TTSSKĐ!X258,TTSSKĐ!AB258,TTSSKĐ!AF258))=9)*(CHOOSE({1,2,3,4},TTSSKĐ!W258,TTSSKĐ!AA258,TTSSKĐ!AE258,TTSSKĐ!AI258)))</f>
        <v>0</v>
      </c>
      <c r="J258">
        <f>SUMPRODUCT((MONTH(CHOOSE({1,2,3,4},TTSSKĐ!T258,TTSSKĐ!X258,TTSSKĐ!AB258,TTSSKĐ!AF258))=10)*(CHOOSE({1,2,3,4},TTSSKĐ!W258,TTSSKĐ!AA258,TTSSKĐ!AE258,TTSSKĐ!AI258)))</f>
        <v>0</v>
      </c>
      <c r="K258">
        <f>SUMPRODUCT((MONTH(CHOOSE({1,2,3,4},TTSSKĐ!T258,TTSSKĐ!X258,TTSSKĐ!AB258,TTSSKĐ!AF258))=11)*(CHOOSE({1,2,3,4},TTSSKĐ!W258,TTSSKĐ!AA258,TTSSKĐ!AE258,TTSSKĐ!AI258)))</f>
        <v>0</v>
      </c>
      <c r="L258">
        <f>SUMPRODUCT((MONTH(CHOOSE({1,2,3,4},TTSSKĐ!T258,TTSSKĐ!X258,TTSSKĐ!AB258,TTSSKĐ!AF258))=12)*(CHOOSE({1,2,3,4},TTSSKĐ!W258,TTSSKĐ!AA258,TTSSKĐ!AE258,TTSSKĐ!AI258)))</f>
        <v>0</v>
      </c>
    </row>
    <row r="259" spans="1:12">
      <c r="A259">
        <f>SUMPRODUCT((MONTH(CHOOSE({1,2,3,4},TTSSKĐ!T259,TTSSKĐ!X259,TTSSKĐ!AB259,TTSSKĐ!AF259))=1)*(CHOOSE({1,2,3,4},TTSSKĐ!W259,TTSSKĐ!AA259,TTSSKĐ!AE259,TTSSKĐ!AI259)))</f>
        <v>0</v>
      </c>
      <c r="B259">
        <f>SUMPRODUCT((MONTH(CHOOSE({1,2,3,4},TTSSKĐ!T259,TTSSKĐ!X259,TTSSKĐ!AB259,TTSSKĐ!AF259))=2)*(CHOOSE({1,2,3,4},TTSSKĐ!W259,TTSSKĐ!AA259,TTSSKĐ!AE259,TTSSKĐ!AI259)))</f>
        <v>0</v>
      </c>
      <c r="C259">
        <f>SUMPRODUCT((MONTH(CHOOSE({1,2,3,4},TTSSKĐ!T259,TTSSKĐ!X259,TTSSKĐ!AB259,TTSSKĐ!AF259))=3)*(CHOOSE({1,2,3,4},TTSSKĐ!W259,TTSSKĐ!AA259,TTSSKĐ!AE259,TTSSKĐ!AI259)))</f>
        <v>0</v>
      </c>
      <c r="D259">
        <f>SUMPRODUCT((MONTH(CHOOSE({1,2,3,4},TTSSKĐ!T259,TTSSKĐ!X259,TTSSKĐ!AB259,TTSSKĐ!AF259))=4)*(CHOOSE({1,2,3,4},TTSSKĐ!W259,TTSSKĐ!AA259,TTSSKĐ!AE259,TTSSKĐ!AI259)))</f>
        <v>0</v>
      </c>
      <c r="E259">
        <f>SUMPRODUCT((MONTH(CHOOSE({1,2,3,4},TTSSKĐ!T259,TTSSKĐ!X259,TTSSKĐ!AB259,TTSSKĐ!AF259))=5)*(CHOOSE({1,2,3,4},TTSSKĐ!W259,TTSSKĐ!AA259,TTSSKĐ!AE259,TTSSKĐ!AI259)))</f>
        <v>0</v>
      </c>
      <c r="F259">
        <f>SUMPRODUCT((MONTH(CHOOSE({1,2,3,4},TTSSKĐ!T259,TTSSKĐ!X259,TTSSKĐ!AB259,TTSSKĐ!AF259))=6)*(CHOOSE({1,2,3,4},TTSSKĐ!W259,TTSSKĐ!AA259,TTSSKĐ!AE259,TTSSKĐ!AI259)))</f>
        <v>0</v>
      </c>
      <c r="G259">
        <f>SUMPRODUCT((MONTH(CHOOSE({1,2,3,4},TTSSKĐ!T259,TTSSKĐ!X259,TTSSKĐ!AB259,TTSSKĐ!AF259))=7)*(CHOOSE({1,2,3,4},TTSSKĐ!W259,TTSSKĐ!AA259,TTSSKĐ!AE259,TTSSKĐ!AI259)))</f>
        <v>0</v>
      </c>
      <c r="H259">
        <f>SUMPRODUCT((MONTH(CHOOSE({1,2,3,4},TTSSKĐ!T259,TTSSKĐ!X259,TTSSKĐ!AB259,TTSSKĐ!AF259))=8)*(CHOOSE({1,2,3,4},TTSSKĐ!W259,TTSSKĐ!AA259,TTSSKĐ!AE259,TTSSKĐ!AI259)))</f>
        <v>0</v>
      </c>
      <c r="I259">
        <f>SUMPRODUCT((MONTH(CHOOSE({1,2,3,4},TTSSKĐ!T259,TTSSKĐ!X259,TTSSKĐ!AB259,TTSSKĐ!AF259))=9)*(CHOOSE({1,2,3,4},TTSSKĐ!W259,TTSSKĐ!AA259,TTSSKĐ!AE259,TTSSKĐ!AI259)))</f>
        <v>0</v>
      </c>
      <c r="J259">
        <f>SUMPRODUCT((MONTH(CHOOSE({1,2,3,4},TTSSKĐ!T259,TTSSKĐ!X259,TTSSKĐ!AB259,TTSSKĐ!AF259))=10)*(CHOOSE({1,2,3,4},TTSSKĐ!W259,TTSSKĐ!AA259,TTSSKĐ!AE259,TTSSKĐ!AI259)))</f>
        <v>0</v>
      </c>
      <c r="K259">
        <f>SUMPRODUCT((MONTH(CHOOSE({1,2,3,4},TTSSKĐ!T259,TTSSKĐ!X259,TTSSKĐ!AB259,TTSSKĐ!AF259))=11)*(CHOOSE({1,2,3,4},TTSSKĐ!W259,TTSSKĐ!AA259,TTSSKĐ!AE259,TTSSKĐ!AI259)))</f>
        <v>0</v>
      </c>
      <c r="L259">
        <f>SUMPRODUCT((MONTH(CHOOSE({1,2,3,4},TTSSKĐ!T259,TTSSKĐ!X259,TTSSKĐ!AB259,TTSSKĐ!AF259))=12)*(CHOOSE({1,2,3,4},TTSSKĐ!W259,TTSSKĐ!AA259,TTSSKĐ!AE259,TTSSKĐ!AI259)))</f>
        <v>0</v>
      </c>
    </row>
    <row r="260" spans="1:12">
      <c r="A260">
        <f>SUMPRODUCT((MONTH(CHOOSE({1,2,3,4},TTSSKĐ!T260,TTSSKĐ!X260,TTSSKĐ!AB260,TTSSKĐ!AF260))=1)*(CHOOSE({1,2,3,4},TTSSKĐ!W260,TTSSKĐ!AA260,TTSSKĐ!AE260,TTSSKĐ!AI260)))</f>
        <v>0</v>
      </c>
      <c r="B260">
        <f>SUMPRODUCT((MONTH(CHOOSE({1,2,3,4},TTSSKĐ!T260,TTSSKĐ!X260,TTSSKĐ!AB260,TTSSKĐ!AF260))=2)*(CHOOSE({1,2,3,4},TTSSKĐ!W260,TTSSKĐ!AA260,TTSSKĐ!AE260,TTSSKĐ!AI260)))</f>
        <v>0</v>
      </c>
      <c r="C260">
        <f>SUMPRODUCT((MONTH(CHOOSE({1,2,3,4},TTSSKĐ!T260,TTSSKĐ!X260,TTSSKĐ!AB260,TTSSKĐ!AF260))=3)*(CHOOSE({1,2,3,4},TTSSKĐ!W260,TTSSKĐ!AA260,TTSSKĐ!AE260,TTSSKĐ!AI260)))</f>
        <v>0</v>
      </c>
      <c r="D260">
        <f>SUMPRODUCT((MONTH(CHOOSE({1,2,3,4},TTSSKĐ!T260,TTSSKĐ!X260,TTSSKĐ!AB260,TTSSKĐ!AF260))=4)*(CHOOSE({1,2,3,4},TTSSKĐ!W260,TTSSKĐ!AA260,TTSSKĐ!AE260,TTSSKĐ!AI260)))</f>
        <v>0</v>
      </c>
      <c r="E260">
        <f>SUMPRODUCT((MONTH(CHOOSE({1,2,3,4},TTSSKĐ!T260,TTSSKĐ!X260,TTSSKĐ!AB260,TTSSKĐ!AF260))=5)*(CHOOSE({1,2,3,4},TTSSKĐ!W260,TTSSKĐ!AA260,TTSSKĐ!AE260,TTSSKĐ!AI260)))</f>
        <v>0</v>
      </c>
      <c r="F260">
        <f>SUMPRODUCT((MONTH(CHOOSE({1,2,3,4},TTSSKĐ!T260,TTSSKĐ!X260,TTSSKĐ!AB260,TTSSKĐ!AF260))=6)*(CHOOSE({1,2,3,4},TTSSKĐ!W260,TTSSKĐ!AA260,TTSSKĐ!AE260,TTSSKĐ!AI260)))</f>
        <v>0</v>
      </c>
      <c r="G260">
        <f>SUMPRODUCT((MONTH(CHOOSE({1,2,3,4},TTSSKĐ!T260,TTSSKĐ!X260,TTSSKĐ!AB260,TTSSKĐ!AF260))=7)*(CHOOSE({1,2,3,4},TTSSKĐ!W260,TTSSKĐ!AA260,TTSSKĐ!AE260,TTSSKĐ!AI260)))</f>
        <v>0</v>
      </c>
      <c r="H260">
        <f>SUMPRODUCT((MONTH(CHOOSE({1,2,3,4},TTSSKĐ!T260,TTSSKĐ!X260,TTSSKĐ!AB260,TTSSKĐ!AF260))=8)*(CHOOSE({1,2,3,4},TTSSKĐ!W260,TTSSKĐ!AA260,TTSSKĐ!AE260,TTSSKĐ!AI260)))</f>
        <v>0</v>
      </c>
      <c r="I260">
        <f>SUMPRODUCT((MONTH(CHOOSE({1,2,3,4},TTSSKĐ!T260,TTSSKĐ!X260,TTSSKĐ!AB260,TTSSKĐ!AF260))=9)*(CHOOSE({1,2,3,4},TTSSKĐ!W260,TTSSKĐ!AA260,TTSSKĐ!AE260,TTSSKĐ!AI260)))</f>
        <v>0</v>
      </c>
      <c r="J260">
        <f>SUMPRODUCT((MONTH(CHOOSE({1,2,3,4},TTSSKĐ!T260,TTSSKĐ!X260,TTSSKĐ!AB260,TTSSKĐ!AF260))=10)*(CHOOSE({1,2,3,4},TTSSKĐ!W260,TTSSKĐ!AA260,TTSSKĐ!AE260,TTSSKĐ!AI260)))</f>
        <v>0</v>
      </c>
      <c r="K260">
        <f>SUMPRODUCT((MONTH(CHOOSE({1,2,3,4},TTSSKĐ!T260,TTSSKĐ!X260,TTSSKĐ!AB260,TTSSKĐ!AF260))=11)*(CHOOSE({1,2,3,4},TTSSKĐ!W260,TTSSKĐ!AA260,TTSSKĐ!AE260,TTSSKĐ!AI260)))</f>
        <v>0</v>
      </c>
      <c r="L260">
        <f>SUMPRODUCT((MONTH(CHOOSE({1,2,3,4},TTSSKĐ!T260,TTSSKĐ!X260,TTSSKĐ!AB260,TTSSKĐ!AF260))=12)*(CHOOSE({1,2,3,4},TTSSKĐ!W260,TTSSKĐ!AA260,TTSSKĐ!AE260,TTSSKĐ!AI260)))</f>
        <v>0</v>
      </c>
    </row>
    <row r="261" spans="1:12">
      <c r="A261">
        <f>SUMPRODUCT((MONTH(CHOOSE({1,2,3,4},TTSSKĐ!T261,TTSSKĐ!X261,TTSSKĐ!AB261,TTSSKĐ!AF261))=1)*(CHOOSE({1,2,3,4},TTSSKĐ!W261,TTSSKĐ!AA261,TTSSKĐ!AE261,TTSSKĐ!AI261)))</f>
        <v>0</v>
      </c>
      <c r="B261">
        <f>SUMPRODUCT((MONTH(CHOOSE({1,2,3,4},TTSSKĐ!T261,TTSSKĐ!X261,TTSSKĐ!AB261,TTSSKĐ!AF261))=2)*(CHOOSE({1,2,3,4},TTSSKĐ!W261,TTSSKĐ!AA261,TTSSKĐ!AE261,TTSSKĐ!AI261)))</f>
        <v>0</v>
      </c>
      <c r="C261">
        <f>SUMPRODUCT((MONTH(CHOOSE({1,2,3,4},TTSSKĐ!T261,TTSSKĐ!X261,TTSSKĐ!AB261,TTSSKĐ!AF261))=3)*(CHOOSE({1,2,3,4},TTSSKĐ!W261,TTSSKĐ!AA261,TTSSKĐ!AE261,TTSSKĐ!AI261)))</f>
        <v>0</v>
      </c>
      <c r="D261">
        <f>SUMPRODUCT((MONTH(CHOOSE({1,2,3,4},TTSSKĐ!T261,TTSSKĐ!X261,TTSSKĐ!AB261,TTSSKĐ!AF261))=4)*(CHOOSE({1,2,3,4},TTSSKĐ!W261,TTSSKĐ!AA261,TTSSKĐ!AE261,TTSSKĐ!AI261)))</f>
        <v>0</v>
      </c>
      <c r="E261">
        <f>SUMPRODUCT((MONTH(CHOOSE({1,2,3,4},TTSSKĐ!T261,TTSSKĐ!X261,TTSSKĐ!AB261,TTSSKĐ!AF261))=5)*(CHOOSE({1,2,3,4},TTSSKĐ!W261,TTSSKĐ!AA261,TTSSKĐ!AE261,TTSSKĐ!AI261)))</f>
        <v>0</v>
      </c>
      <c r="F261">
        <f>SUMPRODUCT((MONTH(CHOOSE({1,2,3,4},TTSSKĐ!T261,TTSSKĐ!X261,TTSSKĐ!AB261,TTSSKĐ!AF261))=6)*(CHOOSE({1,2,3,4},TTSSKĐ!W261,TTSSKĐ!AA261,TTSSKĐ!AE261,TTSSKĐ!AI261)))</f>
        <v>0</v>
      </c>
      <c r="G261">
        <f>SUMPRODUCT((MONTH(CHOOSE({1,2,3,4},TTSSKĐ!T261,TTSSKĐ!X261,TTSSKĐ!AB261,TTSSKĐ!AF261))=7)*(CHOOSE({1,2,3,4},TTSSKĐ!W261,TTSSKĐ!AA261,TTSSKĐ!AE261,TTSSKĐ!AI261)))</f>
        <v>0</v>
      </c>
      <c r="H261">
        <f>SUMPRODUCT((MONTH(CHOOSE({1,2,3,4},TTSSKĐ!T261,TTSSKĐ!X261,TTSSKĐ!AB261,TTSSKĐ!AF261))=8)*(CHOOSE({1,2,3,4},TTSSKĐ!W261,TTSSKĐ!AA261,TTSSKĐ!AE261,TTSSKĐ!AI261)))</f>
        <v>0</v>
      </c>
      <c r="I261">
        <f>SUMPRODUCT((MONTH(CHOOSE({1,2,3,4},TTSSKĐ!T261,TTSSKĐ!X261,TTSSKĐ!AB261,TTSSKĐ!AF261))=9)*(CHOOSE({1,2,3,4},TTSSKĐ!W261,TTSSKĐ!AA261,TTSSKĐ!AE261,TTSSKĐ!AI261)))</f>
        <v>0</v>
      </c>
      <c r="J261">
        <f>SUMPRODUCT((MONTH(CHOOSE({1,2,3,4},TTSSKĐ!T261,TTSSKĐ!X261,TTSSKĐ!AB261,TTSSKĐ!AF261))=10)*(CHOOSE({1,2,3,4},TTSSKĐ!W261,TTSSKĐ!AA261,TTSSKĐ!AE261,TTSSKĐ!AI261)))</f>
        <v>0</v>
      </c>
      <c r="K261">
        <f>SUMPRODUCT((MONTH(CHOOSE({1,2,3,4},TTSSKĐ!T261,TTSSKĐ!X261,TTSSKĐ!AB261,TTSSKĐ!AF261))=11)*(CHOOSE({1,2,3,4},TTSSKĐ!W261,TTSSKĐ!AA261,TTSSKĐ!AE261,TTSSKĐ!AI261)))</f>
        <v>0</v>
      </c>
      <c r="L261">
        <f>SUMPRODUCT((MONTH(CHOOSE({1,2,3,4},TTSSKĐ!T261,TTSSKĐ!X261,TTSSKĐ!AB261,TTSSKĐ!AF261))=12)*(CHOOSE({1,2,3,4},TTSSKĐ!W261,TTSSKĐ!AA261,TTSSKĐ!AE261,TTSSKĐ!AI261)))</f>
        <v>0</v>
      </c>
    </row>
    <row r="262" spans="1:12">
      <c r="A262">
        <f>SUMPRODUCT((MONTH(CHOOSE({1,2,3,4},TTSSKĐ!T262,TTSSKĐ!X262,TTSSKĐ!AB262,TTSSKĐ!AF262))=1)*(CHOOSE({1,2,3,4},TTSSKĐ!W262,TTSSKĐ!AA262,TTSSKĐ!AE262,TTSSKĐ!AI262)))</f>
        <v>0</v>
      </c>
      <c r="B262">
        <f>SUMPRODUCT((MONTH(CHOOSE({1,2,3,4},TTSSKĐ!T262,TTSSKĐ!X262,TTSSKĐ!AB262,TTSSKĐ!AF262))=2)*(CHOOSE({1,2,3,4},TTSSKĐ!W262,TTSSKĐ!AA262,TTSSKĐ!AE262,TTSSKĐ!AI262)))</f>
        <v>0</v>
      </c>
      <c r="C262">
        <f>SUMPRODUCT((MONTH(CHOOSE({1,2,3,4},TTSSKĐ!T262,TTSSKĐ!X262,TTSSKĐ!AB262,TTSSKĐ!AF262))=3)*(CHOOSE({1,2,3,4},TTSSKĐ!W262,TTSSKĐ!AA262,TTSSKĐ!AE262,TTSSKĐ!AI262)))</f>
        <v>0</v>
      </c>
      <c r="D262">
        <f>SUMPRODUCT((MONTH(CHOOSE({1,2,3,4},TTSSKĐ!T262,TTSSKĐ!X262,TTSSKĐ!AB262,TTSSKĐ!AF262))=4)*(CHOOSE({1,2,3,4},TTSSKĐ!W262,TTSSKĐ!AA262,TTSSKĐ!AE262,TTSSKĐ!AI262)))</f>
        <v>0</v>
      </c>
      <c r="E262">
        <f>SUMPRODUCT((MONTH(CHOOSE({1,2,3,4},TTSSKĐ!T262,TTSSKĐ!X262,TTSSKĐ!AB262,TTSSKĐ!AF262))=5)*(CHOOSE({1,2,3,4},TTSSKĐ!W262,TTSSKĐ!AA262,TTSSKĐ!AE262,TTSSKĐ!AI262)))</f>
        <v>0</v>
      </c>
      <c r="F262">
        <f>SUMPRODUCT((MONTH(CHOOSE({1,2,3,4},TTSSKĐ!T262,TTSSKĐ!X262,TTSSKĐ!AB262,TTSSKĐ!AF262))=6)*(CHOOSE({1,2,3,4},TTSSKĐ!W262,TTSSKĐ!AA262,TTSSKĐ!AE262,TTSSKĐ!AI262)))</f>
        <v>0</v>
      </c>
      <c r="G262">
        <f>SUMPRODUCT((MONTH(CHOOSE({1,2,3,4},TTSSKĐ!T262,TTSSKĐ!X262,TTSSKĐ!AB262,TTSSKĐ!AF262))=7)*(CHOOSE({1,2,3,4},TTSSKĐ!W262,TTSSKĐ!AA262,TTSSKĐ!AE262,TTSSKĐ!AI262)))</f>
        <v>0</v>
      </c>
      <c r="H262">
        <f>SUMPRODUCT((MONTH(CHOOSE({1,2,3,4},TTSSKĐ!T262,TTSSKĐ!X262,TTSSKĐ!AB262,TTSSKĐ!AF262))=8)*(CHOOSE({1,2,3,4},TTSSKĐ!W262,TTSSKĐ!AA262,TTSSKĐ!AE262,TTSSKĐ!AI262)))</f>
        <v>0</v>
      </c>
      <c r="I262">
        <f>SUMPRODUCT((MONTH(CHOOSE({1,2,3,4},TTSSKĐ!T262,TTSSKĐ!X262,TTSSKĐ!AB262,TTSSKĐ!AF262))=9)*(CHOOSE({1,2,3,4},TTSSKĐ!W262,TTSSKĐ!AA262,TTSSKĐ!AE262,TTSSKĐ!AI262)))</f>
        <v>0</v>
      </c>
      <c r="J262">
        <f>SUMPRODUCT((MONTH(CHOOSE({1,2,3,4},TTSSKĐ!T262,TTSSKĐ!X262,TTSSKĐ!AB262,TTSSKĐ!AF262))=10)*(CHOOSE({1,2,3,4},TTSSKĐ!W262,TTSSKĐ!AA262,TTSSKĐ!AE262,TTSSKĐ!AI262)))</f>
        <v>0</v>
      </c>
      <c r="K262">
        <f>SUMPRODUCT((MONTH(CHOOSE({1,2,3,4},TTSSKĐ!T262,TTSSKĐ!X262,TTSSKĐ!AB262,TTSSKĐ!AF262))=11)*(CHOOSE({1,2,3,4},TTSSKĐ!W262,TTSSKĐ!AA262,TTSSKĐ!AE262,TTSSKĐ!AI262)))</f>
        <v>0</v>
      </c>
      <c r="L262">
        <f>SUMPRODUCT((MONTH(CHOOSE({1,2,3,4},TTSSKĐ!T262,TTSSKĐ!X262,TTSSKĐ!AB262,TTSSKĐ!AF262))=12)*(CHOOSE({1,2,3,4},TTSSKĐ!W262,TTSSKĐ!AA262,TTSSKĐ!AE262,TTSSKĐ!AI262)))</f>
        <v>0</v>
      </c>
    </row>
    <row r="263" spans="1:12">
      <c r="A263">
        <f>SUMPRODUCT((MONTH(CHOOSE({1,2,3,4},TTSSKĐ!T263,TTSSKĐ!X263,TTSSKĐ!AB263,TTSSKĐ!AF263))=1)*(CHOOSE({1,2,3,4},TTSSKĐ!W263,TTSSKĐ!AA263,TTSSKĐ!AE263,TTSSKĐ!AI263)))</f>
        <v>0</v>
      </c>
      <c r="B263">
        <f>SUMPRODUCT((MONTH(CHOOSE({1,2,3,4},TTSSKĐ!T263,TTSSKĐ!X263,TTSSKĐ!AB263,TTSSKĐ!AF263))=2)*(CHOOSE({1,2,3,4},TTSSKĐ!W263,TTSSKĐ!AA263,TTSSKĐ!AE263,TTSSKĐ!AI263)))</f>
        <v>0</v>
      </c>
      <c r="C263">
        <f>SUMPRODUCT((MONTH(CHOOSE({1,2,3,4},TTSSKĐ!T263,TTSSKĐ!X263,TTSSKĐ!AB263,TTSSKĐ!AF263))=3)*(CHOOSE({1,2,3,4},TTSSKĐ!W263,TTSSKĐ!AA263,TTSSKĐ!AE263,TTSSKĐ!AI263)))</f>
        <v>0</v>
      </c>
      <c r="D263">
        <f>SUMPRODUCT((MONTH(CHOOSE({1,2,3,4},TTSSKĐ!T263,TTSSKĐ!X263,TTSSKĐ!AB263,TTSSKĐ!AF263))=4)*(CHOOSE({1,2,3,4},TTSSKĐ!W263,TTSSKĐ!AA263,TTSSKĐ!AE263,TTSSKĐ!AI263)))</f>
        <v>0</v>
      </c>
      <c r="E263">
        <f>SUMPRODUCT((MONTH(CHOOSE({1,2,3,4},TTSSKĐ!T263,TTSSKĐ!X263,TTSSKĐ!AB263,TTSSKĐ!AF263))=5)*(CHOOSE({1,2,3,4},TTSSKĐ!W263,TTSSKĐ!AA263,TTSSKĐ!AE263,TTSSKĐ!AI263)))</f>
        <v>0</v>
      </c>
      <c r="F263">
        <f>SUMPRODUCT((MONTH(CHOOSE({1,2,3,4},TTSSKĐ!T263,TTSSKĐ!X263,TTSSKĐ!AB263,TTSSKĐ!AF263))=6)*(CHOOSE({1,2,3,4},TTSSKĐ!W263,TTSSKĐ!AA263,TTSSKĐ!AE263,TTSSKĐ!AI263)))</f>
        <v>0</v>
      </c>
      <c r="G263">
        <f>SUMPRODUCT((MONTH(CHOOSE({1,2,3,4},TTSSKĐ!T263,TTSSKĐ!X263,TTSSKĐ!AB263,TTSSKĐ!AF263))=7)*(CHOOSE({1,2,3,4},TTSSKĐ!W263,TTSSKĐ!AA263,TTSSKĐ!AE263,TTSSKĐ!AI263)))</f>
        <v>0</v>
      </c>
      <c r="H263">
        <f>SUMPRODUCT((MONTH(CHOOSE({1,2,3,4},TTSSKĐ!T263,TTSSKĐ!X263,TTSSKĐ!AB263,TTSSKĐ!AF263))=8)*(CHOOSE({1,2,3,4},TTSSKĐ!W263,TTSSKĐ!AA263,TTSSKĐ!AE263,TTSSKĐ!AI263)))</f>
        <v>0</v>
      </c>
      <c r="I263">
        <f>SUMPRODUCT((MONTH(CHOOSE({1,2,3,4},TTSSKĐ!T263,TTSSKĐ!X263,TTSSKĐ!AB263,TTSSKĐ!AF263))=9)*(CHOOSE({1,2,3,4},TTSSKĐ!W263,TTSSKĐ!AA263,TTSSKĐ!AE263,TTSSKĐ!AI263)))</f>
        <v>0</v>
      </c>
      <c r="J263">
        <f>SUMPRODUCT((MONTH(CHOOSE({1,2,3,4},TTSSKĐ!T263,TTSSKĐ!X263,TTSSKĐ!AB263,TTSSKĐ!AF263))=10)*(CHOOSE({1,2,3,4},TTSSKĐ!W263,TTSSKĐ!AA263,TTSSKĐ!AE263,TTSSKĐ!AI263)))</f>
        <v>0</v>
      </c>
      <c r="K263">
        <f>SUMPRODUCT((MONTH(CHOOSE({1,2,3,4},TTSSKĐ!T263,TTSSKĐ!X263,TTSSKĐ!AB263,TTSSKĐ!AF263))=11)*(CHOOSE({1,2,3,4},TTSSKĐ!W263,TTSSKĐ!AA263,TTSSKĐ!AE263,TTSSKĐ!AI263)))</f>
        <v>0</v>
      </c>
      <c r="L263">
        <f>SUMPRODUCT((MONTH(CHOOSE({1,2,3,4},TTSSKĐ!T263,TTSSKĐ!X263,TTSSKĐ!AB263,TTSSKĐ!AF263))=12)*(CHOOSE({1,2,3,4},TTSSKĐ!W263,TTSSKĐ!AA263,TTSSKĐ!AE263,TTSSKĐ!AI263)))</f>
        <v>0</v>
      </c>
    </row>
    <row r="264" spans="1:12">
      <c r="A264">
        <f>SUMPRODUCT((MONTH(CHOOSE({1,2,3,4},TTSSKĐ!T264,TTSSKĐ!X264,TTSSKĐ!AB264,TTSSKĐ!AF264))=1)*(CHOOSE({1,2,3,4},TTSSKĐ!W264,TTSSKĐ!AA264,TTSSKĐ!AE264,TTSSKĐ!AI264)))</f>
        <v>0</v>
      </c>
      <c r="B264">
        <f>SUMPRODUCT((MONTH(CHOOSE({1,2,3,4},TTSSKĐ!T264,TTSSKĐ!X264,TTSSKĐ!AB264,TTSSKĐ!AF264))=2)*(CHOOSE({1,2,3,4},TTSSKĐ!W264,TTSSKĐ!AA264,TTSSKĐ!AE264,TTSSKĐ!AI264)))</f>
        <v>0</v>
      </c>
      <c r="C264">
        <f>SUMPRODUCT((MONTH(CHOOSE({1,2,3,4},TTSSKĐ!T264,TTSSKĐ!X264,TTSSKĐ!AB264,TTSSKĐ!AF264))=3)*(CHOOSE({1,2,3,4},TTSSKĐ!W264,TTSSKĐ!AA264,TTSSKĐ!AE264,TTSSKĐ!AI264)))</f>
        <v>0</v>
      </c>
      <c r="D264">
        <f>SUMPRODUCT((MONTH(CHOOSE({1,2,3,4},TTSSKĐ!T264,TTSSKĐ!X264,TTSSKĐ!AB264,TTSSKĐ!AF264))=4)*(CHOOSE({1,2,3,4},TTSSKĐ!W264,TTSSKĐ!AA264,TTSSKĐ!AE264,TTSSKĐ!AI264)))</f>
        <v>0</v>
      </c>
      <c r="E264">
        <f>SUMPRODUCT((MONTH(CHOOSE({1,2,3,4},TTSSKĐ!T264,TTSSKĐ!X264,TTSSKĐ!AB264,TTSSKĐ!AF264))=5)*(CHOOSE({1,2,3,4},TTSSKĐ!W264,TTSSKĐ!AA264,TTSSKĐ!AE264,TTSSKĐ!AI264)))</f>
        <v>0</v>
      </c>
      <c r="F264">
        <f>SUMPRODUCT((MONTH(CHOOSE({1,2,3,4},TTSSKĐ!T264,TTSSKĐ!X264,TTSSKĐ!AB264,TTSSKĐ!AF264))=6)*(CHOOSE({1,2,3,4},TTSSKĐ!W264,TTSSKĐ!AA264,TTSSKĐ!AE264,TTSSKĐ!AI264)))</f>
        <v>0</v>
      </c>
      <c r="G264">
        <f>SUMPRODUCT((MONTH(CHOOSE({1,2,3,4},TTSSKĐ!T264,TTSSKĐ!X264,TTSSKĐ!AB264,TTSSKĐ!AF264))=7)*(CHOOSE({1,2,3,4},TTSSKĐ!W264,TTSSKĐ!AA264,TTSSKĐ!AE264,TTSSKĐ!AI264)))</f>
        <v>0</v>
      </c>
      <c r="H264">
        <f>SUMPRODUCT((MONTH(CHOOSE({1,2,3,4},TTSSKĐ!T264,TTSSKĐ!X264,TTSSKĐ!AB264,TTSSKĐ!AF264))=8)*(CHOOSE({1,2,3,4},TTSSKĐ!W264,TTSSKĐ!AA264,TTSSKĐ!AE264,TTSSKĐ!AI264)))</f>
        <v>0</v>
      </c>
      <c r="I264">
        <f>SUMPRODUCT((MONTH(CHOOSE({1,2,3,4},TTSSKĐ!T264,TTSSKĐ!X264,TTSSKĐ!AB264,TTSSKĐ!AF264))=9)*(CHOOSE({1,2,3,4},TTSSKĐ!W264,TTSSKĐ!AA264,TTSSKĐ!AE264,TTSSKĐ!AI264)))</f>
        <v>0</v>
      </c>
      <c r="J264">
        <f>SUMPRODUCT((MONTH(CHOOSE({1,2,3,4},TTSSKĐ!T264,TTSSKĐ!X264,TTSSKĐ!AB264,TTSSKĐ!AF264))=10)*(CHOOSE({1,2,3,4},TTSSKĐ!W264,TTSSKĐ!AA264,TTSSKĐ!AE264,TTSSKĐ!AI264)))</f>
        <v>0</v>
      </c>
      <c r="K264">
        <f>SUMPRODUCT((MONTH(CHOOSE({1,2,3,4},TTSSKĐ!T264,TTSSKĐ!X264,TTSSKĐ!AB264,TTSSKĐ!AF264))=11)*(CHOOSE({1,2,3,4},TTSSKĐ!W264,TTSSKĐ!AA264,TTSSKĐ!AE264,TTSSKĐ!AI264)))</f>
        <v>0</v>
      </c>
      <c r="L264">
        <f>SUMPRODUCT((MONTH(CHOOSE({1,2,3,4},TTSSKĐ!T264,TTSSKĐ!X264,TTSSKĐ!AB264,TTSSKĐ!AF264))=12)*(CHOOSE({1,2,3,4},TTSSKĐ!W264,TTSSKĐ!AA264,TTSSKĐ!AE264,TTSSKĐ!AI264)))</f>
        <v>0</v>
      </c>
    </row>
    <row r="265" spans="1:12">
      <c r="A265">
        <f>SUMPRODUCT((MONTH(CHOOSE({1,2,3,4},TTSSKĐ!T265,TTSSKĐ!X265,TTSSKĐ!AB265,TTSSKĐ!AF265))=1)*(CHOOSE({1,2,3,4},TTSSKĐ!W265,TTSSKĐ!AA265,TTSSKĐ!AE265,TTSSKĐ!AI265)))</f>
        <v>0</v>
      </c>
      <c r="B265">
        <f>SUMPRODUCT((MONTH(CHOOSE({1,2,3,4},TTSSKĐ!T265,TTSSKĐ!X265,TTSSKĐ!AB265,TTSSKĐ!AF265))=2)*(CHOOSE({1,2,3,4},TTSSKĐ!W265,TTSSKĐ!AA265,TTSSKĐ!AE265,TTSSKĐ!AI265)))</f>
        <v>0</v>
      </c>
      <c r="C265">
        <f>SUMPRODUCT((MONTH(CHOOSE({1,2,3,4},TTSSKĐ!T265,TTSSKĐ!X265,TTSSKĐ!AB265,TTSSKĐ!AF265))=3)*(CHOOSE({1,2,3,4},TTSSKĐ!W265,TTSSKĐ!AA265,TTSSKĐ!AE265,TTSSKĐ!AI265)))</f>
        <v>0</v>
      </c>
      <c r="D265">
        <f>SUMPRODUCT((MONTH(CHOOSE({1,2,3,4},TTSSKĐ!T265,TTSSKĐ!X265,TTSSKĐ!AB265,TTSSKĐ!AF265))=4)*(CHOOSE({1,2,3,4},TTSSKĐ!W265,TTSSKĐ!AA265,TTSSKĐ!AE265,TTSSKĐ!AI265)))</f>
        <v>0</v>
      </c>
      <c r="E265">
        <f>SUMPRODUCT((MONTH(CHOOSE({1,2,3,4},TTSSKĐ!T265,TTSSKĐ!X265,TTSSKĐ!AB265,TTSSKĐ!AF265))=5)*(CHOOSE({1,2,3,4},TTSSKĐ!W265,TTSSKĐ!AA265,TTSSKĐ!AE265,TTSSKĐ!AI265)))</f>
        <v>0</v>
      </c>
      <c r="F265">
        <f>SUMPRODUCT((MONTH(CHOOSE({1,2,3,4},TTSSKĐ!T265,TTSSKĐ!X265,TTSSKĐ!AB265,TTSSKĐ!AF265))=6)*(CHOOSE({1,2,3,4},TTSSKĐ!W265,TTSSKĐ!AA265,TTSSKĐ!AE265,TTSSKĐ!AI265)))</f>
        <v>0</v>
      </c>
      <c r="G265">
        <f>SUMPRODUCT((MONTH(CHOOSE({1,2,3,4},TTSSKĐ!T265,TTSSKĐ!X265,TTSSKĐ!AB265,TTSSKĐ!AF265))=7)*(CHOOSE({1,2,3,4},TTSSKĐ!W265,TTSSKĐ!AA265,TTSSKĐ!AE265,TTSSKĐ!AI265)))</f>
        <v>0</v>
      </c>
      <c r="H265">
        <f>SUMPRODUCT((MONTH(CHOOSE({1,2,3,4},TTSSKĐ!T265,TTSSKĐ!X265,TTSSKĐ!AB265,TTSSKĐ!AF265))=8)*(CHOOSE({1,2,3,4},TTSSKĐ!W265,TTSSKĐ!AA265,TTSSKĐ!AE265,TTSSKĐ!AI265)))</f>
        <v>0</v>
      </c>
      <c r="I265">
        <f>SUMPRODUCT((MONTH(CHOOSE({1,2,3,4},TTSSKĐ!T265,TTSSKĐ!X265,TTSSKĐ!AB265,TTSSKĐ!AF265))=9)*(CHOOSE({1,2,3,4},TTSSKĐ!W265,TTSSKĐ!AA265,TTSSKĐ!AE265,TTSSKĐ!AI265)))</f>
        <v>0</v>
      </c>
      <c r="J265">
        <f>SUMPRODUCT((MONTH(CHOOSE({1,2,3,4},TTSSKĐ!T265,TTSSKĐ!X265,TTSSKĐ!AB265,TTSSKĐ!AF265))=10)*(CHOOSE({1,2,3,4},TTSSKĐ!W265,TTSSKĐ!AA265,TTSSKĐ!AE265,TTSSKĐ!AI265)))</f>
        <v>0</v>
      </c>
      <c r="K265">
        <f>SUMPRODUCT((MONTH(CHOOSE({1,2,3,4},TTSSKĐ!T265,TTSSKĐ!X265,TTSSKĐ!AB265,TTSSKĐ!AF265))=11)*(CHOOSE({1,2,3,4},TTSSKĐ!W265,TTSSKĐ!AA265,TTSSKĐ!AE265,TTSSKĐ!AI265)))</f>
        <v>0</v>
      </c>
      <c r="L265">
        <f>SUMPRODUCT((MONTH(CHOOSE({1,2,3,4},TTSSKĐ!T265,TTSSKĐ!X265,TTSSKĐ!AB265,TTSSKĐ!AF265))=12)*(CHOOSE({1,2,3,4},TTSSKĐ!W265,TTSSKĐ!AA265,TTSSKĐ!AE265,TTSSKĐ!AI265)))</f>
        <v>0</v>
      </c>
    </row>
    <row r="266" spans="1:12">
      <c r="A266">
        <f>SUMPRODUCT((MONTH(CHOOSE({1,2,3,4},TTSSKĐ!T266,TTSSKĐ!X266,TTSSKĐ!AB266,TTSSKĐ!AF266))=1)*(CHOOSE({1,2,3,4},TTSSKĐ!W266,TTSSKĐ!AA266,TTSSKĐ!AE266,TTSSKĐ!AI266)))</f>
        <v>0</v>
      </c>
      <c r="B266">
        <f>SUMPRODUCT((MONTH(CHOOSE({1,2,3,4},TTSSKĐ!T266,TTSSKĐ!X266,TTSSKĐ!AB266,TTSSKĐ!AF266))=2)*(CHOOSE({1,2,3,4},TTSSKĐ!W266,TTSSKĐ!AA266,TTSSKĐ!AE266,TTSSKĐ!AI266)))</f>
        <v>0</v>
      </c>
      <c r="C266">
        <f>SUMPRODUCT((MONTH(CHOOSE({1,2,3,4},TTSSKĐ!T266,TTSSKĐ!X266,TTSSKĐ!AB266,TTSSKĐ!AF266))=3)*(CHOOSE({1,2,3,4},TTSSKĐ!W266,TTSSKĐ!AA266,TTSSKĐ!AE266,TTSSKĐ!AI266)))</f>
        <v>0</v>
      </c>
      <c r="D266">
        <f>SUMPRODUCT((MONTH(CHOOSE({1,2,3,4},TTSSKĐ!T266,TTSSKĐ!X266,TTSSKĐ!AB266,TTSSKĐ!AF266))=4)*(CHOOSE({1,2,3,4},TTSSKĐ!W266,TTSSKĐ!AA266,TTSSKĐ!AE266,TTSSKĐ!AI266)))</f>
        <v>0</v>
      </c>
      <c r="E266">
        <f>SUMPRODUCT((MONTH(CHOOSE({1,2,3,4},TTSSKĐ!T266,TTSSKĐ!X266,TTSSKĐ!AB266,TTSSKĐ!AF266))=5)*(CHOOSE({1,2,3,4},TTSSKĐ!W266,TTSSKĐ!AA266,TTSSKĐ!AE266,TTSSKĐ!AI266)))</f>
        <v>0</v>
      </c>
      <c r="F266">
        <f>SUMPRODUCT((MONTH(CHOOSE({1,2,3,4},TTSSKĐ!T266,TTSSKĐ!X266,TTSSKĐ!AB266,TTSSKĐ!AF266))=6)*(CHOOSE({1,2,3,4},TTSSKĐ!W266,TTSSKĐ!AA266,TTSSKĐ!AE266,TTSSKĐ!AI266)))</f>
        <v>0</v>
      </c>
      <c r="G266">
        <f>SUMPRODUCT((MONTH(CHOOSE({1,2,3,4},TTSSKĐ!T266,TTSSKĐ!X266,TTSSKĐ!AB266,TTSSKĐ!AF266))=7)*(CHOOSE({1,2,3,4},TTSSKĐ!W266,TTSSKĐ!AA266,TTSSKĐ!AE266,TTSSKĐ!AI266)))</f>
        <v>0</v>
      </c>
      <c r="H266">
        <f>SUMPRODUCT((MONTH(CHOOSE({1,2,3,4},TTSSKĐ!T266,TTSSKĐ!X266,TTSSKĐ!AB266,TTSSKĐ!AF266))=8)*(CHOOSE({1,2,3,4},TTSSKĐ!W266,TTSSKĐ!AA266,TTSSKĐ!AE266,TTSSKĐ!AI266)))</f>
        <v>0</v>
      </c>
      <c r="I266">
        <f>SUMPRODUCT((MONTH(CHOOSE({1,2,3,4},TTSSKĐ!T266,TTSSKĐ!X266,TTSSKĐ!AB266,TTSSKĐ!AF266))=9)*(CHOOSE({1,2,3,4},TTSSKĐ!W266,TTSSKĐ!AA266,TTSSKĐ!AE266,TTSSKĐ!AI266)))</f>
        <v>0</v>
      </c>
      <c r="J266">
        <f>SUMPRODUCT((MONTH(CHOOSE({1,2,3,4},TTSSKĐ!T266,TTSSKĐ!X266,TTSSKĐ!AB266,TTSSKĐ!AF266))=10)*(CHOOSE({1,2,3,4},TTSSKĐ!W266,TTSSKĐ!AA266,TTSSKĐ!AE266,TTSSKĐ!AI266)))</f>
        <v>0</v>
      </c>
      <c r="K266">
        <f>SUMPRODUCT((MONTH(CHOOSE({1,2,3,4},TTSSKĐ!T266,TTSSKĐ!X266,TTSSKĐ!AB266,TTSSKĐ!AF266))=11)*(CHOOSE({1,2,3,4},TTSSKĐ!W266,TTSSKĐ!AA266,TTSSKĐ!AE266,TTSSKĐ!AI266)))</f>
        <v>0</v>
      </c>
      <c r="L266">
        <f>SUMPRODUCT((MONTH(CHOOSE({1,2,3,4},TTSSKĐ!T266,TTSSKĐ!X266,TTSSKĐ!AB266,TTSSKĐ!AF266))=12)*(CHOOSE({1,2,3,4},TTSSKĐ!W266,TTSSKĐ!AA266,TTSSKĐ!AE266,TTSSKĐ!AI266)))</f>
        <v>0</v>
      </c>
    </row>
    <row r="267" spans="1:12">
      <c r="A267">
        <f>SUMPRODUCT((MONTH(CHOOSE({1,2,3,4},TTSSKĐ!T267,TTSSKĐ!X267,TTSSKĐ!AB267,TTSSKĐ!AF267))=1)*(CHOOSE({1,2,3,4},TTSSKĐ!W267,TTSSKĐ!AA267,TTSSKĐ!AE267,TTSSKĐ!AI267)))</f>
        <v>0</v>
      </c>
      <c r="B267">
        <f>SUMPRODUCT((MONTH(CHOOSE({1,2,3,4},TTSSKĐ!T267,TTSSKĐ!X267,TTSSKĐ!AB267,TTSSKĐ!AF267))=2)*(CHOOSE({1,2,3,4},TTSSKĐ!W267,TTSSKĐ!AA267,TTSSKĐ!AE267,TTSSKĐ!AI267)))</f>
        <v>0</v>
      </c>
      <c r="C267">
        <f>SUMPRODUCT((MONTH(CHOOSE({1,2,3,4},TTSSKĐ!T267,TTSSKĐ!X267,TTSSKĐ!AB267,TTSSKĐ!AF267))=3)*(CHOOSE({1,2,3,4},TTSSKĐ!W267,TTSSKĐ!AA267,TTSSKĐ!AE267,TTSSKĐ!AI267)))</f>
        <v>0</v>
      </c>
      <c r="D267">
        <f>SUMPRODUCT((MONTH(CHOOSE({1,2,3,4},TTSSKĐ!T267,TTSSKĐ!X267,TTSSKĐ!AB267,TTSSKĐ!AF267))=4)*(CHOOSE({1,2,3,4},TTSSKĐ!W267,TTSSKĐ!AA267,TTSSKĐ!AE267,TTSSKĐ!AI267)))</f>
        <v>0</v>
      </c>
      <c r="E267">
        <f>SUMPRODUCT((MONTH(CHOOSE({1,2,3,4},TTSSKĐ!T267,TTSSKĐ!X267,TTSSKĐ!AB267,TTSSKĐ!AF267))=5)*(CHOOSE({1,2,3,4},TTSSKĐ!W267,TTSSKĐ!AA267,TTSSKĐ!AE267,TTSSKĐ!AI267)))</f>
        <v>0</v>
      </c>
      <c r="F267">
        <f>SUMPRODUCT((MONTH(CHOOSE({1,2,3,4},TTSSKĐ!T267,TTSSKĐ!X267,TTSSKĐ!AB267,TTSSKĐ!AF267))=6)*(CHOOSE({1,2,3,4},TTSSKĐ!W267,TTSSKĐ!AA267,TTSSKĐ!AE267,TTSSKĐ!AI267)))</f>
        <v>0</v>
      </c>
      <c r="G267">
        <f>SUMPRODUCT((MONTH(CHOOSE({1,2,3,4},TTSSKĐ!T267,TTSSKĐ!X267,TTSSKĐ!AB267,TTSSKĐ!AF267))=7)*(CHOOSE({1,2,3,4},TTSSKĐ!W267,TTSSKĐ!AA267,TTSSKĐ!AE267,TTSSKĐ!AI267)))</f>
        <v>0</v>
      </c>
      <c r="H267">
        <f>SUMPRODUCT((MONTH(CHOOSE({1,2,3,4},TTSSKĐ!T267,TTSSKĐ!X267,TTSSKĐ!AB267,TTSSKĐ!AF267))=8)*(CHOOSE({1,2,3,4},TTSSKĐ!W267,TTSSKĐ!AA267,TTSSKĐ!AE267,TTSSKĐ!AI267)))</f>
        <v>0</v>
      </c>
      <c r="I267">
        <f>SUMPRODUCT((MONTH(CHOOSE({1,2,3,4},TTSSKĐ!T267,TTSSKĐ!X267,TTSSKĐ!AB267,TTSSKĐ!AF267))=9)*(CHOOSE({1,2,3,4},TTSSKĐ!W267,TTSSKĐ!AA267,TTSSKĐ!AE267,TTSSKĐ!AI267)))</f>
        <v>0</v>
      </c>
      <c r="J267">
        <f>SUMPRODUCT((MONTH(CHOOSE({1,2,3,4},TTSSKĐ!T267,TTSSKĐ!X267,TTSSKĐ!AB267,TTSSKĐ!AF267))=10)*(CHOOSE({1,2,3,4},TTSSKĐ!W267,TTSSKĐ!AA267,TTSSKĐ!AE267,TTSSKĐ!AI267)))</f>
        <v>0</v>
      </c>
      <c r="K267">
        <f>SUMPRODUCT((MONTH(CHOOSE({1,2,3,4},TTSSKĐ!T267,TTSSKĐ!X267,TTSSKĐ!AB267,TTSSKĐ!AF267))=11)*(CHOOSE({1,2,3,4},TTSSKĐ!W267,TTSSKĐ!AA267,TTSSKĐ!AE267,TTSSKĐ!AI267)))</f>
        <v>0</v>
      </c>
      <c r="L267">
        <f>SUMPRODUCT((MONTH(CHOOSE({1,2,3,4},TTSSKĐ!T267,TTSSKĐ!X267,TTSSKĐ!AB267,TTSSKĐ!AF267))=12)*(CHOOSE({1,2,3,4},TTSSKĐ!W267,TTSSKĐ!AA267,TTSSKĐ!AE267,TTSSKĐ!AI267)))</f>
        <v>0</v>
      </c>
    </row>
    <row r="268" spans="1:12">
      <c r="A268">
        <f>SUMPRODUCT((MONTH(CHOOSE({1,2,3,4},TTSSKĐ!T268,TTSSKĐ!X268,TTSSKĐ!AB268,TTSSKĐ!AF268))=1)*(CHOOSE({1,2,3,4},TTSSKĐ!W268,TTSSKĐ!AA268,TTSSKĐ!AE268,TTSSKĐ!AI268)))</f>
        <v>0</v>
      </c>
      <c r="B268">
        <f>SUMPRODUCT((MONTH(CHOOSE({1,2,3,4},TTSSKĐ!T268,TTSSKĐ!X268,TTSSKĐ!AB268,TTSSKĐ!AF268))=2)*(CHOOSE({1,2,3,4},TTSSKĐ!W268,TTSSKĐ!AA268,TTSSKĐ!AE268,TTSSKĐ!AI268)))</f>
        <v>0</v>
      </c>
      <c r="C268">
        <f>SUMPRODUCT((MONTH(CHOOSE({1,2,3,4},TTSSKĐ!T268,TTSSKĐ!X268,TTSSKĐ!AB268,TTSSKĐ!AF268))=3)*(CHOOSE({1,2,3,4},TTSSKĐ!W268,TTSSKĐ!AA268,TTSSKĐ!AE268,TTSSKĐ!AI268)))</f>
        <v>0</v>
      </c>
      <c r="D268">
        <f>SUMPRODUCT((MONTH(CHOOSE({1,2,3,4},TTSSKĐ!T268,TTSSKĐ!X268,TTSSKĐ!AB268,TTSSKĐ!AF268))=4)*(CHOOSE({1,2,3,4},TTSSKĐ!W268,TTSSKĐ!AA268,TTSSKĐ!AE268,TTSSKĐ!AI268)))</f>
        <v>0</v>
      </c>
      <c r="E268">
        <f>SUMPRODUCT((MONTH(CHOOSE({1,2,3,4},TTSSKĐ!T268,TTSSKĐ!X268,TTSSKĐ!AB268,TTSSKĐ!AF268))=5)*(CHOOSE({1,2,3,4},TTSSKĐ!W268,TTSSKĐ!AA268,TTSSKĐ!AE268,TTSSKĐ!AI268)))</f>
        <v>0</v>
      </c>
      <c r="F268">
        <f>SUMPRODUCT((MONTH(CHOOSE({1,2,3,4},TTSSKĐ!T268,TTSSKĐ!X268,TTSSKĐ!AB268,TTSSKĐ!AF268))=6)*(CHOOSE({1,2,3,4},TTSSKĐ!W268,TTSSKĐ!AA268,TTSSKĐ!AE268,TTSSKĐ!AI268)))</f>
        <v>0</v>
      </c>
      <c r="G268">
        <f>SUMPRODUCT((MONTH(CHOOSE({1,2,3,4},TTSSKĐ!T268,TTSSKĐ!X268,TTSSKĐ!AB268,TTSSKĐ!AF268))=7)*(CHOOSE({1,2,3,4},TTSSKĐ!W268,TTSSKĐ!AA268,TTSSKĐ!AE268,TTSSKĐ!AI268)))</f>
        <v>0</v>
      </c>
      <c r="H268">
        <f>SUMPRODUCT((MONTH(CHOOSE({1,2,3,4},TTSSKĐ!T268,TTSSKĐ!X268,TTSSKĐ!AB268,TTSSKĐ!AF268))=8)*(CHOOSE({1,2,3,4},TTSSKĐ!W268,TTSSKĐ!AA268,TTSSKĐ!AE268,TTSSKĐ!AI268)))</f>
        <v>0</v>
      </c>
      <c r="I268">
        <f>SUMPRODUCT((MONTH(CHOOSE({1,2,3,4},TTSSKĐ!T268,TTSSKĐ!X268,TTSSKĐ!AB268,TTSSKĐ!AF268))=9)*(CHOOSE({1,2,3,4},TTSSKĐ!W268,TTSSKĐ!AA268,TTSSKĐ!AE268,TTSSKĐ!AI268)))</f>
        <v>0</v>
      </c>
      <c r="J268">
        <f>SUMPRODUCT((MONTH(CHOOSE({1,2,3,4},TTSSKĐ!T268,TTSSKĐ!X268,TTSSKĐ!AB268,TTSSKĐ!AF268))=10)*(CHOOSE({1,2,3,4},TTSSKĐ!W268,TTSSKĐ!AA268,TTSSKĐ!AE268,TTSSKĐ!AI268)))</f>
        <v>0</v>
      </c>
      <c r="K268">
        <f>SUMPRODUCT((MONTH(CHOOSE({1,2,3,4},TTSSKĐ!T268,TTSSKĐ!X268,TTSSKĐ!AB268,TTSSKĐ!AF268))=11)*(CHOOSE({1,2,3,4},TTSSKĐ!W268,TTSSKĐ!AA268,TTSSKĐ!AE268,TTSSKĐ!AI268)))</f>
        <v>0</v>
      </c>
      <c r="L268">
        <f>SUMPRODUCT((MONTH(CHOOSE({1,2,3,4},TTSSKĐ!T268,TTSSKĐ!X268,TTSSKĐ!AB268,TTSSKĐ!AF268))=12)*(CHOOSE({1,2,3,4},TTSSKĐ!W268,TTSSKĐ!AA268,TTSSKĐ!AE268,TTSSKĐ!AI268)))</f>
        <v>0</v>
      </c>
    </row>
    <row r="269" spans="1:12">
      <c r="A269">
        <f>SUMPRODUCT((MONTH(CHOOSE({1,2,3,4},TTSSKĐ!T269,TTSSKĐ!X269,TTSSKĐ!AB269,TTSSKĐ!AF269))=1)*(CHOOSE({1,2,3,4},TTSSKĐ!W269,TTSSKĐ!AA269,TTSSKĐ!AE269,TTSSKĐ!AI269)))</f>
        <v>0</v>
      </c>
      <c r="B269">
        <f>SUMPRODUCT((MONTH(CHOOSE({1,2,3,4},TTSSKĐ!T269,TTSSKĐ!X269,TTSSKĐ!AB269,TTSSKĐ!AF269))=2)*(CHOOSE({1,2,3,4},TTSSKĐ!W269,TTSSKĐ!AA269,TTSSKĐ!AE269,TTSSKĐ!AI269)))</f>
        <v>0</v>
      </c>
      <c r="C269">
        <f>SUMPRODUCT((MONTH(CHOOSE({1,2,3,4},TTSSKĐ!T269,TTSSKĐ!X269,TTSSKĐ!AB269,TTSSKĐ!AF269))=3)*(CHOOSE({1,2,3,4},TTSSKĐ!W269,TTSSKĐ!AA269,TTSSKĐ!AE269,TTSSKĐ!AI269)))</f>
        <v>0</v>
      </c>
      <c r="D269">
        <f>SUMPRODUCT((MONTH(CHOOSE({1,2,3,4},TTSSKĐ!T269,TTSSKĐ!X269,TTSSKĐ!AB269,TTSSKĐ!AF269))=4)*(CHOOSE({1,2,3,4},TTSSKĐ!W269,TTSSKĐ!AA269,TTSSKĐ!AE269,TTSSKĐ!AI269)))</f>
        <v>0</v>
      </c>
      <c r="E269">
        <f>SUMPRODUCT((MONTH(CHOOSE({1,2,3,4},TTSSKĐ!T269,TTSSKĐ!X269,TTSSKĐ!AB269,TTSSKĐ!AF269))=5)*(CHOOSE({1,2,3,4},TTSSKĐ!W269,TTSSKĐ!AA269,TTSSKĐ!AE269,TTSSKĐ!AI269)))</f>
        <v>0</v>
      </c>
      <c r="F269">
        <f>SUMPRODUCT((MONTH(CHOOSE({1,2,3,4},TTSSKĐ!T269,TTSSKĐ!X269,TTSSKĐ!AB269,TTSSKĐ!AF269))=6)*(CHOOSE({1,2,3,4},TTSSKĐ!W269,TTSSKĐ!AA269,TTSSKĐ!AE269,TTSSKĐ!AI269)))</f>
        <v>0</v>
      </c>
      <c r="G269">
        <f>SUMPRODUCT((MONTH(CHOOSE({1,2,3,4},TTSSKĐ!T269,TTSSKĐ!X269,TTSSKĐ!AB269,TTSSKĐ!AF269))=7)*(CHOOSE({1,2,3,4},TTSSKĐ!W269,TTSSKĐ!AA269,TTSSKĐ!AE269,TTSSKĐ!AI269)))</f>
        <v>0</v>
      </c>
      <c r="H269">
        <f>SUMPRODUCT((MONTH(CHOOSE({1,2,3,4},TTSSKĐ!T269,TTSSKĐ!X269,TTSSKĐ!AB269,TTSSKĐ!AF269))=8)*(CHOOSE({1,2,3,4},TTSSKĐ!W269,TTSSKĐ!AA269,TTSSKĐ!AE269,TTSSKĐ!AI269)))</f>
        <v>0</v>
      </c>
      <c r="I269">
        <f>SUMPRODUCT((MONTH(CHOOSE({1,2,3,4},TTSSKĐ!T269,TTSSKĐ!X269,TTSSKĐ!AB269,TTSSKĐ!AF269))=9)*(CHOOSE({1,2,3,4},TTSSKĐ!W269,TTSSKĐ!AA269,TTSSKĐ!AE269,TTSSKĐ!AI269)))</f>
        <v>0</v>
      </c>
      <c r="J269">
        <f>SUMPRODUCT((MONTH(CHOOSE({1,2,3,4},TTSSKĐ!T269,TTSSKĐ!X269,TTSSKĐ!AB269,TTSSKĐ!AF269))=10)*(CHOOSE({1,2,3,4},TTSSKĐ!W269,TTSSKĐ!AA269,TTSSKĐ!AE269,TTSSKĐ!AI269)))</f>
        <v>0</v>
      </c>
      <c r="K269">
        <f>SUMPRODUCT((MONTH(CHOOSE({1,2,3,4},TTSSKĐ!T269,TTSSKĐ!X269,TTSSKĐ!AB269,TTSSKĐ!AF269))=11)*(CHOOSE({1,2,3,4},TTSSKĐ!W269,TTSSKĐ!AA269,TTSSKĐ!AE269,TTSSKĐ!AI269)))</f>
        <v>0</v>
      </c>
      <c r="L269">
        <f>SUMPRODUCT((MONTH(CHOOSE({1,2,3,4},TTSSKĐ!T269,TTSSKĐ!X269,TTSSKĐ!AB269,TTSSKĐ!AF269))=12)*(CHOOSE({1,2,3,4},TTSSKĐ!W269,TTSSKĐ!AA269,TTSSKĐ!AE269,TTSSKĐ!AI269)))</f>
        <v>0</v>
      </c>
    </row>
    <row r="270" spans="1:12">
      <c r="A270">
        <f>SUMPRODUCT((MONTH(CHOOSE({1,2,3,4},TTSSKĐ!T270,TTSSKĐ!X270,TTSSKĐ!AB270,TTSSKĐ!AF270))=1)*(CHOOSE({1,2,3,4},TTSSKĐ!W270,TTSSKĐ!AA270,TTSSKĐ!AE270,TTSSKĐ!AI270)))</f>
        <v>0</v>
      </c>
      <c r="B270">
        <f>SUMPRODUCT((MONTH(CHOOSE({1,2,3,4},TTSSKĐ!T270,TTSSKĐ!X270,TTSSKĐ!AB270,TTSSKĐ!AF270))=2)*(CHOOSE({1,2,3,4},TTSSKĐ!W270,TTSSKĐ!AA270,TTSSKĐ!AE270,TTSSKĐ!AI270)))</f>
        <v>0</v>
      </c>
      <c r="C270">
        <f>SUMPRODUCT((MONTH(CHOOSE({1,2,3,4},TTSSKĐ!T270,TTSSKĐ!X270,TTSSKĐ!AB270,TTSSKĐ!AF270))=3)*(CHOOSE({1,2,3,4},TTSSKĐ!W270,TTSSKĐ!AA270,TTSSKĐ!AE270,TTSSKĐ!AI270)))</f>
        <v>0</v>
      </c>
      <c r="D270">
        <f>SUMPRODUCT((MONTH(CHOOSE({1,2,3,4},TTSSKĐ!T270,TTSSKĐ!X270,TTSSKĐ!AB270,TTSSKĐ!AF270))=4)*(CHOOSE({1,2,3,4},TTSSKĐ!W270,TTSSKĐ!AA270,TTSSKĐ!AE270,TTSSKĐ!AI270)))</f>
        <v>0</v>
      </c>
      <c r="E270">
        <f>SUMPRODUCT((MONTH(CHOOSE({1,2,3,4},TTSSKĐ!T270,TTSSKĐ!X270,TTSSKĐ!AB270,TTSSKĐ!AF270))=5)*(CHOOSE({1,2,3,4},TTSSKĐ!W270,TTSSKĐ!AA270,TTSSKĐ!AE270,TTSSKĐ!AI270)))</f>
        <v>0</v>
      </c>
      <c r="F270">
        <f>SUMPRODUCT((MONTH(CHOOSE({1,2,3,4},TTSSKĐ!T270,TTSSKĐ!X270,TTSSKĐ!AB270,TTSSKĐ!AF270))=6)*(CHOOSE({1,2,3,4},TTSSKĐ!W270,TTSSKĐ!AA270,TTSSKĐ!AE270,TTSSKĐ!AI270)))</f>
        <v>0</v>
      </c>
      <c r="G270">
        <f>SUMPRODUCT((MONTH(CHOOSE({1,2,3,4},TTSSKĐ!T270,TTSSKĐ!X270,TTSSKĐ!AB270,TTSSKĐ!AF270))=7)*(CHOOSE({1,2,3,4},TTSSKĐ!W270,TTSSKĐ!AA270,TTSSKĐ!AE270,TTSSKĐ!AI270)))</f>
        <v>0</v>
      </c>
      <c r="H270">
        <f>SUMPRODUCT((MONTH(CHOOSE({1,2,3,4},TTSSKĐ!T270,TTSSKĐ!X270,TTSSKĐ!AB270,TTSSKĐ!AF270))=8)*(CHOOSE({1,2,3,4},TTSSKĐ!W270,TTSSKĐ!AA270,TTSSKĐ!AE270,TTSSKĐ!AI270)))</f>
        <v>0</v>
      </c>
      <c r="I270">
        <f>SUMPRODUCT((MONTH(CHOOSE({1,2,3,4},TTSSKĐ!T270,TTSSKĐ!X270,TTSSKĐ!AB270,TTSSKĐ!AF270))=9)*(CHOOSE({1,2,3,4},TTSSKĐ!W270,TTSSKĐ!AA270,TTSSKĐ!AE270,TTSSKĐ!AI270)))</f>
        <v>0</v>
      </c>
      <c r="J270">
        <f>SUMPRODUCT((MONTH(CHOOSE({1,2,3,4},TTSSKĐ!T270,TTSSKĐ!X270,TTSSKĐ!AB270,TTSSKĐ!AF270))=10)*(CHOOSE({1,2,3,4},TTSSKĐ!W270,TTSSKĐ!AA270,TTSSKĐ!AE270,TTSSKĐ!AI270)))</f>
        <v>0</v>
      </c>
      <c r="K270">
        <f>SUMPRODUCT((MONTH(CHOOSE({1,2,3,4},TTSSKĐ!T270,TTSSKĐ!X270,TTSSKĐ!AB270,TTSSKĐ!AF270))=11)*(CHOOSE({1,2,3,4},TTSSKĐ!W270,TTSSKĐ!AA270,TTSSKĐ!AE270,TTSSKĐ!AI270)))</f>
        <v>0</v>
      </c>
      <c r="L270">
        <f>SUMPRODUCT((MONTH(CHOOSE({1,2,3,4},TTSSKĐ!T270,TTSSKĐ!X270,TTSSKĐ!AB270,TTSSKĐ!AF270))=12)*(CHOOSE({1,2,3,4},TTSSKĐ!W270,TTSSKĐ!AA270,TTSSKĐ!AE270,TTSSKĐ!AI270)))</f>
        <v>0</v>
      </c>
    </row>
    <row r="271" spans="1:12">
      <c r="A271">
        <f>SUMPRODUCT((MONTH(CHOOSE({1,2,3,4},TTSSKĐ!T271,TTSSKĐ!X271,TTSSKĐ!AB271,TTSSKĐ!AF271))=1)*(CHOOSE({1,2,3,4},TTSSKĐ!W271,TTSSKĐ!AA271,TTSSKĐ!AE271,TTSSKĐ!AI271)))</f>
        <v>0</v>
      </c>
      <c r="B271">
        <f>SUMPRODUCT((MONTH(CHOOSE({1,2,3,4},TTSSKĐ!T271,TTSSKĐ!X271,TTSSKĐ!AB271,TTSSKĐ!AF271))=2)*(CHOOSE({1,2,3,4},TTSSKĐ!W271,TTSSKĐ!AA271,TTSSKĐ!AE271,TTSSKĐ!AI271)))</f>
        <v>0</v>
      </c>
      <c r="C271">
        <f>SUMPRODUCT((MONTH(CHOOSE({1,2,3,4},TTSSKĐ!T271,TTSSKĐ!X271,TTSSKĐ!AB271,TTSSKĐ!AF271))=3)*(CHOOSE({1,2,3,4},TTSSKĐ!W271,TTSSKĐ!AA271,TTSSKĐ!AE271,TTSSKĐ!AI271)))</f>
        <v>0</v>
      </c>
      <c r="D271">
        <f>SUMPRODUCT((MONTH(CHOOSE({1,2,3,4},TTSSKĐ!T271,TTSSKĐ!X271,TTSSKĐ!AB271,TTSSKĐ!AF271))=4)*(CHOOSE({1,2,3,4},TTSSKĐ!W271,TTSSKĐ!AA271,TTSSKĐ!AE271,TTSSKĐ!AI271)))</f>
        <v>0</v>
      </c>
      <c r="E271">
        <f>SUMPRODUCT((MONTH(CHOOSE({1,2,3,4},TTSSKĐ!T271,TTSSKĐ!X271,TTSSKĐ!AB271,TTSSKĐ!AF271))=5)*(CHOOSE({1,2,3,4},TTSSKĐ!W271,TTSSKĐ!AA271,TTSSKĐ!AE271,TTSSKĐ!AI271)))</f>
        <v>0</v>
      </c>
      <c r="F271">
        <f>SUMPRODUCT((MONTH(CHOOSE({1,2,3,4},TTSSKĐ!T271,TTSSKĐ!X271,TTSSKĐ!AB271,TTSSKĐ!AF271))=6)*(CHOOSE({1,2,3,4},TTSSKĐ!W271,TTSSKĐ!AA271,TTSSKĐ!AE271,TTSSKĐ!AI271)))</f>
        <v>0</v>
      </c>
      <c r="G271">
        <f>SUMPRODUCT((MONTH(CHOOSE({1,2,3,4},TTSSKĐ!T271,TTSSKĐ!X271,TTSSKĐ!AB271,TTSSKĐ!AF271))=7)*(CHOOSE({1,2,3,4},TTSSKĐ!W271,TTSSKĐ!AA271,TTSSKĐ!AE271,TTSSKĐ!AI271)))</f>
        <v>0</v>
      </c>
      <c r="H271">
        <f>SUMPRODUCT((MONTH(CHOOSE({1,2,3,4},TTSSKĐ!T271,TTSSKĐ!X271,TTSSKĐ!AB271,TTSSKĐ!AF271))=8)*(CHOOSE({1,2,3,4},TTSSKĐ!W271,TTSSKĐ!AA271,TTSSKĐ!AE271,TTSSKĐ!AI271)))</f>
        <v>0</v>
      </c>
      <c r="I271">
        <f>SUMPRODUCT((MONTH(CHOOSE({1,2,3,4},TTSSKĐ!T271,TTSSKĐ!X271,TTSSKĐ!AB271,TTSSKĐ!AF271))=9)*(CHOOSE({1,2,3,4},TTSSKĐ!W271,TTSSKĐ!AA271,TTSSKĐ!AE271,TTSSKĐ!AI271)))</f>
        <v>0</v>
      </c>
      <c r="J271">
        <f>SUMPRODUCT((MONTH(CHOOSE({1,2,3,4},TTSSKĐ!T271,TTSSKĐ!X271,TTSSKĐ!AB271,TTSSKĐ!AF271))=10)*(CHOOSE({1,2,3,4},TTSSKĐ!W271,TTSSKĐ!AA271,TTSSKĐ!AE271,TTSSKĐ!AI271)))</f>
        <v>0</v>
      </c>
      <c r="K271">
        <f>SUMPRODUCT((MONTH(CHOOSE({1,2,3,4},TTSSKĐ!T271,TTSSKĐ!X271,TTSSKĐ!AB271,TTSSKĐ!AF271))=11)*(CHOOSE({1,2,3,4},TTSSKĐ!W271,TTSSKĐ!AA271,TTSSKĐ!AE271,TTSSKĐ!AI271)))</f>
        <v>0</v>
      </c>
      <c r="L271">
        <f>SUMPRODUCT((MONTH(CHOOSE({1,2,3,4},TTSSKĐ!T271,TTSSKĐ!X271,TTSSKĐ!AB271,TTSSKĐ!AF271))=12)*(CHOOSE({1,2,3,4},TTSSKĐ!W271,TTSSKĐ!AA271,TTSSKĐ!AE271,TTSSKĐ!AI271)))</f>
        <v>0</v>
      </c>
    </row>
    <row r="272" spans="1:12">
      <c r="A272">
        <f>SUMPRODUCT((MONTH(CHOOSE({1,2,3,4},TTSSKĐ!T272,TTSSKĐ!X272,TTSSKĐ!AB272,TTSSKĐ!AF272))=1)*(CHOOSE({1,2,3,4},TTSSKĐ!W272,TTSSKĐ!AA272,TTSSKĐ!AE272,TTSSKĐ!AI272)))</f>
        <v>0</v>
      </c>
      <c r="B272">
        <f>SUMPRODUCT((MONTH(CHOOSE({1,2,3,4},TTSSKĐ!T272,TTSSKĐ!X272,TTSSKĐ!AB272,TTSSKĐ!AF272))=2)*(CHOOSE({1,2,3,4},TTSSKĐ!W272,TTSSKĐ!AA272,TTSSKĐ!AE272,TTSSKĐ!AI272)))</f>
        <v>0</v>
      </c>
      <c r="C272">
        <f>SUMPRODUCT((MONTH(CHOOSE({1,2,3,4},TTSSKĐ!T272,TTSSKĐ!X272,TTSSKĐ!AB272,TTSSKĐ!AF272))=3)*(CHOOSE({1,2,3,4},TTSSKĐ!W272,TTSSKĐ!AA272,TTSSKĐ!AE272,TTSSKĐ!AI272)))</f>
        <v>0</v>
      </c>
      <c r="D272">
        <f>SUMPRODUCT((MONTH(CHOOSE({1,2,3,4},TTSSKĐ!T272,TTSSKĐ!X272,TTSSKĐ!AB272,TTSSKĐ!AF272))=4)*(CHOOSE({1,2,3,4},TTSSKĐ!W272,TTSSKĐ!AA272,TTSSKĐ!AE272,TTSSKĐ!AI272)))</f>
        <v>0</v>
      </c>
      <c r="E272">
        <f>SUMPRODUCT((MONTH(CHOOSE({1,2,3,4},TTSSKĐ!T272,TTSSKĐ!X272,TTSSKĐ!AB272,TTSSKĐ!AF272))=5)*(CHOOSE({1,2,3,4},TTSSKĐ!W272,TTSSKĐ!AA272,TTSSKĐ!AE272,TTSSKĐ!AI272)))</f>
        <v>0</v>
      </c>
      <c r="F272">
        <f>SUMPRODUCT((MONTH(CHOOSE({1,2,3,4},TTSSKĐ!T272,TTSSKĐ!X272,TTSSKĐ!AB272,TTSSKĐ!AF272))=6)*(CHOOSE({1,2,3,4},TTSSKĐ!W272,TTSSKĐ!AA272,TTSSKĐ!AE272,TTSSKĐ!AI272)))</f>
        <v>0</v>
      </c>
      <c r="G272">
        <f>SUMPRODUCT((MONTH(CHOOSE({1,2,3,4},TTSSKĐ!T272,TTSSKĐ!X272,TTSSKĐ!AB272,TTSSKĐ!AF272))=7)*(CHOOSE({1,2,3,4},TTSSKĐ!W272,TTSSKĐ!AA272,TTSSKĐ!AE272,TTSSKĐ!AI272)))</f>
        <v>0</v>
      </c>
      <c r="H272">
        <f>SUMPRODUCT((MONTH(CHOOSE({1,2,3,4},TTSSKĐ!T272,TTSSKĐ!X272,TTSSKĐ!AB272,TTSSKĐ!AF272))=8)*(CHOOSE({1,2,3,4},TTSSKĐ!W272,TTSSKĐ!AA272,TTSSKĐ!AE272,TTSSKĐ!AI272)))</f>
        <v>0</v>
      </c>
      <c r="I272">
        <f>SUMPRODUCT((MONTH(CHOOSE({1,2,3,4},TTSSKĐ!T272,TTSSKĐ!X272,TTSSKĐ!AB272,TTSSKĐ!AF272))=9)*(CHOOSE({1,2,3,4},TTSSKĐ!W272,TTSSKĐ!AA272,TTSSKĐ!AE272,TTSSKĐ!AI272)))</f>
        <v>0</v>
      </c>
      <c r="J272">
        <f>SUMPRODUCT((MONTH(CHOOSE({1,2,3,4},TTSSKĐ!T272,TTSSKĐ!X272,TTSSKĐ!AB272,TTSSKĐ!AF272))=10)*(CHOOSE({1,2,3,4},TTSSKĐ!W272,TTSSKĐ!AA272,TTSSKĐ!AE272,TTSSKĐ!AI272)))</f>
        <v>0</v>
      </c>
      <c r="K272">
        <f>SUMPRODUCT((MONTH(CHOOSE({1,2,3,4},TTSSKĐ!T272,TTSSKĐ!X272,TTSSKĐ!AB272,TTSSKĐ!AF272))=11)*(CHOOSE({1,2,3,4},TTSSKĐ!W272,TTSSKĐ!AA272,TTSSKĐ!AE272,TTSSKĐ!AI272)))</f>
        <v>0</v>
      </c>
      <c r="L272">
        <f>SUMPRODUCT((MONTH(CHOOSE({1,2,3,4},TTSSKĐ!T272,TTSSKĐ!X272,TTSSKĐ!AB272,TTSSKĐ!AF272))=12)*(CHOOSE({1,2,3,4},TTSSKĐ!W272,TTSSKĐ!AA272,TTSSKĐ!AE272,TTSSKĐ!AI272)))</f>
        <v>0</v>
      </c>
    </row>
    <row r="273" spans="1:12">
      <c r="A273">
        <f>SUMPRODUCT((MONTH(CHOOSE({1,2,3,4},TTSSKĐ!T273,TTSSKĐ!X273,TTSSKĐ!AB273,TTSSKĐ!AF273))=1)*(CHOOSE({1,2,3,4},TTSSKĐ!W273,TTSSKĐ!AA273,TTSSKĐ!AE273,TTSSKĐ!AI273)))</f>
        <v>0</v>
      </c>
      <c r="B273">
        <f>SUMPRODUCT((MONTH(CHOOSE({1,2,3,4},TTSSKĐ!T273,TTSSKĐ!X273,TTSSKĐ!AB273,TTSSKĐ!AF273))=2)*(CHOOSE({1,2,3,4},TTSSKĐ!W273,TTSSKĐ!AA273,TTSSKĐ!AE273,TTSSKĐ!AI273)))</f>
        <v>0</v>
      </c>
      <c r="C273">
        <f>SUMPRODUCT((MONTH(CHOOSE({1,2,3,4},TTSSKĐ!T273,TTSSKĐ!X273,TTSSKĐ!AB273,TTSSKĐ!AF273))=3)*(CHOOSE({1,2,3,4},TTSSKĐ!W273,TTSSKĐ!AA273,TTSSKĐ!AE273,TTSSKĐ!AI273)))</f>
        <v>0</v>
      </c>
      <c r="D273">
        <f>SUMPRODUCT((MONTH(CHOOSE({1,2,3,4},TTSSKĐ!T273,TTSSKĐ!X273,TTSSKĐ!AB273,TTSSKĐ!AF273))=4)*(CHOOSE({1,2,3,4},TTSSKĐ!W273,TTSSKĐ!AA273,TTSSKĐ!AE273,TTSSKĐ!AI273)))</f>
        <v>0</v>
      </c>
      <c r="E273">
        <f>SUMPRODUCT((MONTH(CHOOSE({1,2,3,4},TTSSKĐ!T273,TTSSKĐ!X273,TTSSKĐ!AB273,TTSSKĐ!AF273))=5)*(CHOOSE({1,2,3,4},TTSSKĐ!W273,TTSSKĐ!AA273,TTSSKĐ!AE273,TTSSKĐ!AI273)))</f>
        <v>0</v>
      </c>
      <c r="F273">
        <f>SUMPRODUCT((MONTH(CHOOSE({1,2,3,4},TTSSKĐ!T273,TTSSKĐ!X273,TTSSKĐ!AB273,TTSSKĐ!AF273))=6)*(CHOOSE({1,2,3,4},TTSSKĐ!W273,TTSSKĐ!AA273,TTSSKĐ!AE273,TTSSKĐ!AI273)))</f>
        <v>0</v>
      </c>
      <c r="G273">
        <f>SUMPRODUCT((MONTH(CHOOSE({1,2,3,4},TTSSKĐ!T273,TTSSKĐ!X273,TTSSKĐ!AB273,TTSSKĐ!AF273))=7)*(CHOOSE({1,2,3,4},TTSSKĐ!W273,TTSSKĐ!AA273,TTSSKĐ!AE273,TTSSKĐ!AI273)))</f>
        <v>0</v>
      </c>
      <c r="H273">
        <f>SUMPRODUCT((MONTH(CHOOSE({1,2,3,4},TTSSKĐ!T273,TTSSKĐ!X273,TTSSKĐ!AB273,TTSSKĐ!AF273))=8)*(CHOOSE({1,2,3,4},TTSSKĐ!W273,TTSSKĐ!AA273,TTSSKĐ!AE273,TTSSKĐ!AI273)))</f>
        <v>0</v>
      </c>
      <c r="I273">
        <f>SUMPRODUCT((MONTH(CHOOSE({1,2,3,4},TTSSKĐ!T273,TTSSKĐ!X273,TTSSKĐ!AB273,TTSSKĐ!AF273))=9)*(CHOOSE({1,2,3,4},TTSSKĐ!W273,TTSSKĐ!AA273,TTSSKĐ!AE273,TTSSKĐ!AI273)))</f>
        <v>0</v>
      </c>
      <c r="J273">
        <f>SUMPRODUCT((MONTH(CHOOSE({1,2,3,4},TTSSKĐ!T273,TTSSKĐ!X273,TTSSKĐ!AB273,TTSSKĐ!AF273))=10)*(CHOOSE({1,2,3,4},TTSSKĐ!W273,TTSSKĐ!AA273,TTSSKĐ!AE273,TTSSKĐ!AI273)))</f>
        <v>0</v>
      </c>
      <c r="K273">
        <f>SUMPRODUCT((MONTH(CHOOSE({1,2,3,4},TTSSKĐ!T273,TTSSKĐ!X273,TTSSKĐ!AB273,TTSSKĐ!AF273))=11)*(CHOOSE({1,2,3,4},TTSSKĐ!W273,TTSSKĐ!AA273,TTSSKĐ!AE273,TTSSKĐ!AI273)))</f>
        <v>0</v>
      </c>
      <c r="L273">
        <f>SUMPRODUCT((MONTH(CHOOSE({1,2,3,4},TTSSKĐ!T273,TTSSKĐ!X273,TTSSKĐ!AB273,TTSSKĐ!AF273))=12)*(CHOOSE({1,2,3,4},TTSSKĐ!W273,TTSSKĐ!AA273,TTSSKĐ!AE273,TTSSKĐ!AI273)))</f>
        <v>0</v>
      </c>
    </row>
    <row r="274" spans="1:12">
      <c r="A274">
        <f>SUMPRODUCT((MONTH(CHOOSE({1,2,3,4},TTSSKĐ!T274,TTSSKĐ!X274,TTSSKĐ!AB274,TTSSKĐ!AF274))=1)*(CHOOSE({1,2,3,4},TTSSKĐ!W274,TTSSKĐ!AA274,TTSSKĐ!AE274,TTSSKĐ!AI274)))</f>
        <v>0</v>
      </c>
      <c r="B274">
        <f>SUMPRODUCT((MONTH(CHOOSE({1,2,3,4},TTSSKĐ!T274,TTSSKĐ!X274,TTSSKĐ!AB274,TTSSKĐ!AF274))=2)*(CHOOSE({1,2,3,4},TTSSKĐ!W274,TTSSKĐ!AA274,TTSSKĐ!AE274,TTSSKĐ!AI274)))</f>
        <v>0</v>
      </c>
      <c r="C274">
        <f>SUMPRODUCT((MONTH(CHOOSE({1,2,3,4},TTSSKĐ!T274,TTSSKĐ!X274,TTSSKĐ!AB274,TTSSKĐ!AF274))=3)*(CHOOSE({1,2,3,4},TTSSKĐ!W274,TTSSKĐ!AA274,TTSSKĐ!AE274,TTSSKĐ!AI274)))</f>
        <v>0</v>
      </c>
      <c r="D274">
        <f>SUMPRODUCT((MONTH(CHOOSE({1,2,3,4},TTSSKĐ!T274,TTSSKĐ!X274,TTSSKĐ!AB274,TTSSKĐ!AF274))=4)*(CHOOSE({1,2,3,4},TTSSKĐ!W274,TTSSKĐ!AA274,TTSSKĐ!AE274,TTSSKĐ!AI274)))</f>
        <v>0</v>
      </c>
      <c r="E274">
        <f>SUMPRODUCT((MONTH(CHOOSE({1,2,3,4},TTSSKĐ!T274,TTSSKĐ!X274,TTSSKĐ!AB274,TTSSKĐ!AF274))=5)*(CHOOSE({1,2,3,4},TTSSKĐ!W274,TTSSKĐ!AA274,TTSSKĐ!AE274,TTSSKĐ!AI274)))</f>
        <v>0</v>
      </c>
      <c r="F274">
        <f>SUMPRODUCT((MONTH(CHOOSE({1,2,3,4},TTSSKĐ!T274,TTSSKĐ!X274,TTSSKĐ!AB274,TTSSKĐ!AF274))=6)*(CHOOSE({1,2,3,4},TTSSKĐ!W274,TTSSKĐ!AA274,TTSSKĐ!AE274,TTSSKĐ!AI274)))</f>
        <v>0</v>
      </c>
      <c r="G274">
        <f>SUMPRODUCT((MONTH(CHOOSE({1,2,3,4},TTSSKĐ!T274,TTSSKĐ!X274,TTSSKĐ!AB274,TTSSKĐ!AF274))=7)*(CHOOSE({1,2,3,4},TTSSKĐ!W274,TTSSKĐ!AA274,TTSSKĐ!AE274,TTSSKĐ!AI274)))</f>
        <v>0</v>
      </c>
      <c r="H274">
        <f>SUMPRODUCT((MONTH(CHOOSE({1,2,3,4},TTSSKĐ!T274,TTSSKĐ!X274,TTSSKĐ!AB274,TTSSKĐ!AF274))=8)*(CHOOSE({1,2,3,4},TTSSKĐ!W274,TTSSKĐ!AA274,TTSSKĐ!AE274,TTSSKĐ!AI274)))</f>
        <v>0</v>
      </c>
      <c r="I274">
        <f>SUMPRODUCT((MONTH(CHOOSE({1,2,3,4},TTSSKĐ!T274,TTSSKĐ!X274,TTSSKĐ!AB274,TTSSKĐ!AF274))=9)*(CHOOSE({1,2,3,4},TTSSKĐ!W274,TTSSKĐ!AA274,TTSSKĐ!AE274,TTSSKĐ!AI274)))</f>
        <v>0</v>
      </c>
      <c r="J274">
        <f>SUMPRODUCT((MONTH(CHOOSE({1,2,3,4},TTSSKĐ!T274,TTSSKĐ!X274,TTSSKĐ!AB274,TTSSKĐ!AF274))=10)*(CHOOSE({1,2,3,4},TTSSKĐ!W274,TTSSKĐ!AA274,TTSSKĐ!AE274,TTSSKĐ!AI274)))</f>
        <v>0</v>
      </c>
      <c r="K274">
        <f>SUMPRODUCT((MONTH(CHOOSE({1,2,3,4},TTSSKĐ!T274,TTSSKĐ!X274,TTSSKĐ!AB274,TTSSKĐ!AF274))=11)*(CHOOSE({1,2,3,4},TTSSKĐ!W274,TTSSKĐ!AA274,TTSSKĐ!AE274,TTSSKĐ!AI274)))</f>
        <v>0</v>
      </c>
      <c r="L274">
        <f>SUMPRODUCT((MONTH(CHOOSE({1,2,3,4},TTSSKĐ!T274,TTSSKĐ!X274,TTSSKĐ!AB274,TTSSKĐ!AF274))=12)*(CHOOSE({1,2,3,4},TTSSKĐ!W274,TTSSKĐ!AA274,TTSSKĐ!AE274,TTSSKĐ!AI274)))</f>
        <v>0</v>
      </c>
    </row>
    <row r="275" spans="1:12">
      <c r="A275">
        <f>SUMPRODUCT((MONTH(CHOOSE({1,2,3,4},TTSSKĐ!T275,TTSSKĐ!X275,TTSSKĐ!AB275,TTSSKĐ!AF275))=1)*(CHOOSE({1,2,3,4},TTSSKĐ!W275,TTSSKĐ!AA275,TTSSKĐ!AE275,TTSSKĐ!AI275)))</f>
        <v>0</v>
      </c>
      <c r="B275">
        <f>SUMPRODUCT((MONTH(CHOOSE({1,2,3,4},TTSSKĐ!T275,TTSSKĐ!X275,TTSSKĐ!AB275,TTSSKĐ!AF275))=2)*(CHOOSE({1,2,3,4},TTSSKĐ!W275,TTSSKĐ!AA275,TTSSKĐ!AE275,TTSSKĐ!AI275)))</f>
        <v>0</v>
      </c>
      <c r="C275">
        <f>SUMPRODUCT((MONTH(CHOOSE({1,2,3,4},TTSSKĐ!T275,TTSSKĐ!X275,TTSSKĐ!AB275,TTSSKĐ!AF275))=3)*(CHOOSE({1,2,3,4},TTSSKĐ!W275,TTSSKĐ!AA275,TTSSKĐ!AE275,TTSSKĐ!AI275)))</f>
        <v>0</v>
      </c>
      <c r="D275">
        <f>SUMPRODUCT((MONTH(CHOOSE({1,2,3,4},TTSSKĐ!T275,TTSSKĐ!X275,TTSSKĐ!AB275,TTSSKĐ!AF275))=4)*(CHOOSE({1,2,3,4},TTSSKĐ!W275,TTSSKĐ!AA275,TTSSKĐ!AE275,TTSSKĐ!AI275)))</f>
        <v>0</v>
      </c>
      <c r="E275">
        <f>SUMPRODUCT((MONTH(CHOOSE({1,2,3,4},TTSSKĐ!T275,TTSSKĐ!X275,TTSSKĐ!AB275,TTSSKĐ!AF275))=5)*(CHOOSE({1,2,3,4},TTSSKĐ!W275,TTSSKĐ!AA275,TTSSKĐ!AE275,TTSSKĐ!AI275)))</f>
        <v>0</v>
      </c>
      <c r="F275">
        <f>SUMPRODUCT((MONTH(CHOOSE({1,2,3,4},TTSSKĐ!T275,TTSSKĐ!X275,TTSSKĐ!AB275,TTSSKĐ!AF275))=6)*(CHOOSE({1,2,3,4},TTSSKĐ!W275,TTSSKĐ!AA275,TTSSKĐ!AE275,TTSSKĐ!AI275)))</f>
        <v>0</v>
      </c>
      <c r="G275">
        <f>SUMPRODUCT((MONTH(CHOOSE({1,2,3,4},TTSSKĐ!T275,TTSSKĐ!X275,TTSSKĐ!AB275,TTSSKĐ!AF275))=7)*(CHOOSE({1,2,3,4},TTSSKĐ!W275,TTSSKĐ!AA275,TTSSKĐ!AE275,TTSSKĐ!AI275)))</f>
        <v>0</v>
      </c>
      <c r="H275">
        <f>SUMPRODUCT((MONTH(CHOOSE({1,2,3,4},TTSSKĐ!T275,TTSSKĐ!X275,TTSSKĐ!AB275,TTSSKĐ!AF275))=8)*(CHOOSE({1,2,3,4},TTSSKĐ!W275,TTSSKĐ!AA275,TTSSKĐ!AE275,TTSSKĐ!AI275)))</f>
        <v>0</v>
      </c>
      <c r="I275">
        <f>SUMPRODUCT((MONTH(CHOOSE({1,2,3,4},TTSSKĐ!T275,TTSSKĐ!X275,TTSSKĐ!AB275,TTSSKĐ!AF275))=9)*(CHOOSE({1,2,3,4},TTSSKĐ!W275,TTSSKĐ!AA275,TTSSKĐ!AE275,TTSSKĐ!AI275)))</f>
        <v>0</v>
      </c>
      <c r="J275">
        <f>SUMPRODUCT((MONTH(CHOOSE({1,2,3,4},TTSSKĐ!T275,TTSSKĐ!X275,TTSSKĐ!AB275,TTSSKĐ!AF275))=10)*(CHOOSE({1,2,3,4},TTSSKĐ!W275,TTSSKĐ!AA275,TTSSKĐ!AE275,TTSSKĐ!AI275)))</f>
        <v>0</v>
      </c>
      <c r="K275">
        <f>SUMPRODUCT((MONTH(CHOOSE({1,2,3,4},TTSSKĐ!T275,TTSSKĐ!X275,TTSSKĐ!AB275,TTSSKĐ!AF275))=11)*(CHOOSE({1,2,3,4},TTSSKĐ!W275,TTSSKĐ!AA275,TTSSKĐ!AE275,TTSSKĐ!AI275)))</f>
        <v>0</v>
      </c>
      <c r="L275">
        <f>SUMPRODUCT((MONTH(CHOOSE({1,2,3,4},TTSSKĐ!T275,TTSSKĐ!X275,TTSSKĐ!AB275,TTSSKĐ!AF275))=12)*(CHOOSE({1,2,3,4},TTSSKĐ!W275,TTSSKĐ!AA275,TTSSKĐ!AE275,TTSSKĐ!AI275)))</f>
        <v>0</v>
      </c>
    </row>
    <row r="276" spans="1:12">
      <c r="A276">
        <f>SUMPRODUCT((MONTH(CHOOSE({1,2,3,4},TTSSKĐ!T276,TTSSKĐ!X276,TTSSKĐ!AB276,TTSSKĐ!AF276))=1)*(CHOOSE({1,2,3,4},TTSSKĐ!W276,TTSSKĐ!AA276,TTSSKĐ!AE276,TTSSKĐ!AI276)))</f>
        <v>0</v>
      </c>
      <c r="B276">
        <f>SUMPRODUCT((MONTH(CHOOSE({1,2,3,4},TTSSKĐ!T276,TTSSKĐ!X276,TTSSKĐ!AB276,TTSSKĐ!AF276))=2)*(CHOOSE({1,2,3,4},TTSSKĐ!W276,TTSSKĐ!AA276,TTSSKĐ!AE276,TTSSKĐ!AI276)))</f>
        <v>0</v>
      </c>
      <c r="C276">
        <f>SUMPRODUCT((MONTH(CHOOSE({1,2,3,4},TTSSKĐ!T276,TTSSKĐ!X276,TTSSKĐ!AB276,TTSSKĐ!AF276))=3)*(CHOOSE({1,2,3,4},TTSSKĐ!W276,TTSSKĐ!AA276,TTSSKĐ!AE276,TTSSKĐ!AI276)))</f>
        <v>0</v>
      </c>
      <c r="D276">
        <f>SUMPRODUCT((MONTH(CHOOSE({1,2,3,4},TTSSKĐ!T276,TTSSKĐ!X276,TTSSKĐ!AB276,TTSSKĐ!AF276))=4)*(CHOOSE({1,2,3,4},TTSSKĐ!W276,TTSSKĐ!AA276,TTSSKĐ!AE276,TTSSKĐ!AI276)))</f>
        <v>0</v>
      </c>
      <c r="E276">
        <f>SUMPRODUCT((MONTH(CHOOSE({1,2,3,4},TTSSKĐ!T276,TTSSKĐ!X276,TTSSKĐ!AB276,TTSSKĐ!AF276))=5)*(CHOOSE({1,2,3,4},TTSSKĐ!W276,TTSSKĐ!AA276,TTSSKĐ!AE276,TTSSKĐ!AI276)))</f>
        <v>0</v>
      </c>
      <c r="F276">
        <f>SUMPRODUCT((MONTH(CHOOSE({1,2,3,4},TTSSKĐ!T276,TTSSKĐ!X276,TTSSKĐ!AB276,TTSSKĐ!AF276))=6)*(CHOOSE({1,2,3,4},TTSSKĐ!W276,TTSSKĐ!AA276,TTSSKĐ!AE276,TTSSKĐ!AI276)))</f>
        <v>0</v>
      </c>
      <c r="G276">
        <f>SUMPRODUCT((MONTH(CHOOSE({1,2,3,4},TTSSKĐ!T276,TTSSKĐ!X276,TTSSKĐ!AB276,TTSSKĐ!AF276))=7)*(CHOOSE({1,2,3,4},TTSSKĐ!W276,TTSSKĐ!AA276,TTSSKĐ!AE276,TTSSKĐ!AI276)))</f>
        <v>0</v>
      </c>
      <c r="H276">
        <f>SUMPRODUCT((MONTH(CHOOSE({1,2,3,4},TTSSKĐ!T276,TTSSKĐ!X276,TTSSKĐ!AB276,TTSSKĐ!AF276))=8)*(CHOOSE({1,2,3,4},TTSSKĐ!W276,TTSSKĐ!AA276,TTSSKĐ!AE276,TTSSKĐ!AI276)))</f>
        <v>0</v>
      </c>
      <c r="I276">
        <f>SUMPRODUCT((MONTH(CHOOSE({1,2,3,4},TTSSKĐ!T276,TTSSKĐ!X276,TTSSKĐ!AB276,TTSSKĐ!AF276))=9)*(CHOOSE({1,2,3,4},TTSSKĐ!W276,TTSSKĐ!AA276,TTSSKĐ!AE276,TTSSKĐ!AI276)))</f>
        <v>0</v>
      </c>
      <c r="J276">
        <f>SUMPRODUCT((MONTH(CHOOSE({1,2,3,4},TTSSKĐ!T276,TTSSKĐ!X276,TTSSKĐ!AB276,TTSSKĐ!AF276))=10)*(CHOOSE({1,2,3,4},TTSSKĐ!W276,TTSSKĐ!AA276,TTSSKĐ!AE276,TTSSKĐ!AI276)))</f>
        <v>0</v>
      </c>
      <c r="K276">
        <f>SUMPRODUCT((MONTH(CHOOSE({1,2,3,4},TTSSKĐ!T276,TTSSKĐ!X276,TTSSKĐ!AB276,TTSSKĐ!AF276))=11)*(CHOOSE({1,2,3,4},TTSSKĐ!W276,TTSSKĐ!AA276,TTSSKĐ!AE276,TTSSKĐ!AI276)))</f>
        <v>0</v>
      </c>
      <c r="L276">
        <f>SUMPRODUCT((MONTH(CHOOSE({1,2,3,4},TTSSKĐ!T276,TTSSKĐ!X276,TTSSKĐ!AB276,TTSSKĐ!AF276))=12)*(CHOOSE({1,2,3,4},TTSSKĐ!W276,TTSSKĐ!AA276,TTSSKĐ!AE276,TTSSKĐ!AI276)))</f>
        <v>0</v>
      </c>
    </row>
    <row r="277" spans="1:12">
      <c r="A277">
        <f>SUMPRODUCT((MONTH(CHOOSE({1,2,3,4},TTSSKĐ!T277,TTSSKĐ!X277,TTSSKĐ!AB277,TTSSKĐ!AF277))=1)*(CHOOSE({1,2,3,4},TTSSKĐ!W277,TTSSKĐ!AA277,TTSSKĐ!AE277,TTSSKĐ!AI277)))</f>
        <v>0</v>
      </c>
      <c r="B277">
        <f>SUMPRODUCT((MONTH(CHOOSE({1,2,3,4},TTSSKĐ!T277,TTSSKĐ!X277,TTSSKĐ!AB277,TTSSKĐ!AF277))=2)*(CHOOSE({1,2,3,4},TTSSKĐ!W277,TTSSKĐ!AA277,TTSSKĐ!AE277,TTSSKĐ!AI277)))</f>
        <v>0</v>
      </c>
      <c r="C277">
        <f>SUMPRODUCT((MONTH(CHOOSE({1,2,3,4},TTSSKĐ!T277,TTSSKĐ!X277,TTSSKĐ!AB277,TTSSKĐ!AF277))=3)*(CHOOSE({1,2,3,4},TTSSKĐ!W277,TTSSKĐ!AA277,TTSSKĐ!AE277,TTSSKĐ!AI277)))</f>
        <v>0</v>
      </c>
      <c r="D277">
        <f>SUMPRODUCT((MONTH(CHOOSE({1,2,3,4},TTSSKĐ!T277,TTSSKĐ!X277,TTSSKĐ!AB277,TTSSKĐ!AF277))=4)*(CHOOSE({1,2,3,4},TTSSKĐ!W277,TTSSKĐ!AA277,TTSSKĐ!AE277,TTSSKĐ!AI277)))</f>
        <v>0</v>
      </c>
      <c r="E277">
        <f>SUMPRODUCT((MONTH(CHOOSE({1,2,3,4},TTSSKĐ!T277,TTSSKĐ!X277,TTSSKĐ!AB277,TTSSKĐ!AF277))=5)*(CHOOSE({1,2,3,4},TTSSKĐ!W277,TTSSKĐ!AA277,TTSSKĐ!AE277,TTSSKĐ!AI277)))</f>
        <v>0</v>
      </c>
      <c r="F277">
        <f>SUMPRODUCT((MONTH(CHOOSE({1,2,3,4},TTSSKĐ!T277,TTSSKĐ!X277,TTSSKĐ!AB277,TTSSKĐ!AF277))=6)*(CHOOSE({1,2,3,4},TTSSKĐ!W277,TTSSKĐ!AA277,TTSSKĐ!AE277,TTSSKĐ!AI277)))</f>
        <v>0</v>
      </c>
      <c r="G277">
        <f>SUMPRODUCT((MONTH(CHOOSE({1,2,3,4},TTSSKĐ!T277,TTSSKĐ!X277,TTSSKĐ!AB277,TTSSKĐ!AF277))=7)*(CHOOSE({1,2,3,4},TTSSKĐ!W277,TTSSKĐ!AA277,TTSSKĐ!AE277,TTSSKĐ!AI277)))</f>
        <v>0</v>
      </c>
      <c r="H277">
        <f>SUMPRODUCT((MONTH(CHOOSE({1,2,3,4},TTSSKĐ!T277,TTSSKĐ!X277,TTSSKĐ!AB277,TTSSKĐ!AF277))=8)*(CHOOSE({1,2,3,4},TTSSKĐ!W277,TTSSKĐ!AA277,TTSSKĐ!AE277,TTSSKĐ!AI277)))</f>
        <v>0</v>
      </c>
      <c r="I277">
        <f>SUMPRODUCT((MONTH(CHOOSE({1,2,3,4},TTSSKĐ!T277,TTSSKĐ!X277,TTSSKĐ!AB277,TTSSKĐ!AF277))=9)*(CHOOSE({1,2,3,4},TTSSKĐ!W277,TTSSKĐ!AA277,TTSSKĐ!AE277,TTSSKĐ!AI277)))</f>
        <v>0</v>
      </c>
      <c r="J277">
        <f>SUMPRODUCT((MONTH(CHOOSE({1,2,3,4},TTSSKĐ!T277,TTSSKĐ!X277,TTSSKĐ!AB277,TTSSKĐ!AF277))=10)*(CHOOSE({1,2,3,4},TTSSKĐ!W277,TTSSKĐ!AA277,TTSSKĐ!AE277,TTSSKĐ!AI277)))</f>
        <v>0</v>
      </c>
      <c r="K277">
        <f>SUMPRODUCT((MONTH(CHOOSE({1,2,3,4},TTSSKĐ!T277,TTSSKĐ!X277,TTSSKĐ!AB277,TTSSKĐ!AF277))=11)*(CHOOSE({1,2,3,4},TTSSKĐ!W277,TTSSKĐ!AA277,TTSSKĐ!AE277,TTSSKĐ!AI277)))</f>
        <v>0</v>
      </c>
      <c r="L277">
        <f>SUMPRODUCT((MONTH(CHOOSE({1,2,3,4},TTSSKĐ!T277,TTSSKĐ!X277,TTSSKĐ!AB277,TTSSKĐ!AF277))=12)*(CHOOSE({1,2,3,4},TTSSKĐ!W277,TTSSKĐ!AA277,TTSSKĐ!AE277,TTSSKĐ!AI277)))</f>
        <v>0</v>
      </c>
    </row>
    <row r="278" spans="1:12">
      <c r="A278">
        <f>SUMPRODUCT((MONTH(CHOOSE({1,2,3,4},TTSSKĐ!T278,TTSSKĐ!X278,TTSSKĐ!AB278,TTSSKĐ!AF278))=1)*(CHOOSE({1,2,3,4},TTSSKĐ!W278,TTSSKĐ!AA278,TTSSKĐ!AE278,TTSSKĐ!AI278)))</f>
        <v>0</v>
      </c>
      <c r="B278">
        <f>SUMPRODUCT((MONTH(CHOOSE({1,2,3,4},TTSSKĐ!T278,TTSSKĐ!X278,TTSSKĐ!AB278,TTSSKĐ!AF278))=2)*(CHOOSE({1,2,3,4},TTSSKĐ!W278,TTSSKĐ!AA278,TTSSKĐ!AE278,TTSSKĐ!AI278)))</f>
        <v>0</v>
      </c>
      <c r="C278">
        <f>SUMPRODUCT((MONTH(CHOOSE({1,2,3,4},TTSSKĐ!T278,TTSSKĐ!X278,TTSSKĐ!AB278,TTSSKĐ!AF278))=3)*(CHOOSE({1,2,3,4},TTSSKĐ!W278,TTSSKĐ!AA278,TTSSKĐ!AE278,TTSSKĐ!AI278)))</f>
        <v>0</v>
      </c>
      <c r="D278">
        <f>SUMPRODUCT((MONTH(CHOOSE({1,2,3,4},TTSSKĐ!T278,TTSSKĐ!X278,TTSSKĐ!AB278,TTSSKĐ!AF278))=4)*(CHOOSE({1,2,3,4},TTSSKĐ!W278,TTSSKĐ!AA278,TTSSKĐ!AE278,TTSSKĐ!AI278)))</f>
        <v>0</v>
      </c>
      <c r="E278">
        <f>SUMPRODUCT((MONTH(CHOOSE({1,2,3,4},TTSSKĐ!T278,TTSSKĐ!X278,TTSSKĐ!AB278,TTSSKĐ!AF278))=5)*(CHOOSE({1,2,3,4},TTSSKĐ!W278,TTSSKĐ!AA278,TTSSKĐ!AE278,TTSSKĐ!AI278)))</f>
        <v>0</v>
      </c>
      <c r="F278">
        <f>SUMPRODUCT((MONTH(CHOOSE({1,2,3,4},TTSSKĐ!T278,TTSSKĐ!X278,TTSSKĐ!AB278,TTSSKĐ!AF278))=6)*(CHOOSE({1,2,3,4},TTSSKĐ!W278,TTSSKĐ!AA278,TTSSKĐ!AE278,TTSSKĐ!AI278)))</f>
        <v>0</v>
      </c>
      <c r="G278">
        <f>SUMPRODUCT((MONTH(CHOOSE({1,2,3,4},TTSSKĐ!T278,TTSSKĐ!X278,TTSSKĐ!AB278,TTSSKĐ!AF278))=7)*(CHOOSE({1,2,3,4},TTSSKĐ!W278,TTSSKĐ!AA278,TTSSKĐ!AE278,TTSSKĐ!AI278)))</f>
        <v>0</v>
      </c>
      <c r="H278">
        <f>SUMPRODUCT((MONTH(CHOOSE({1,2,3,4},TTSSKĐ!T278,TTSSKĐ!X278,TTSSKĐ!AB278,TTSSKĐ!AF278))=8)*(CHOOSE({1,2,3,4},TTSSKĐ!W278,TTSSKĐ!AA278,TTSSKĐ!AE278,TTSSKĐ!AI278)))</f>
        <v>0</v>
      </c>
      <c r="I278">
        <f>SUMPRODUCT((MONTH(CHOOSE({1,2,3,4},TTSSKĐ!T278,TTSSKĐ!X278,TTSSKĐ!AB278,TTSSKĐ!AF278))=9)*(CHOOSE({1,2,3,4},TTSSKĐ!W278,TTSSKĐ!AA278,TTSSKĐ!AE278,TTSSKĐ!AI278)))</f>
        <v>0</v>
      </c>
      <c r="J278">
        <f>SUMPRODUCT((MONTH(CHOOSE({1,2,3,4},TTSSKĐ!T278,TTSSKĐ!X278,TTSSKĐ!AB278,TTSSKĐ!AF278))=10)*(CHOOSE({1,2,3,4},TTSSKĐ!W278,TTSSKĐ!AA278,TTSSKĐ!AE278,TTSSKĐ!AI278)))</f>
        <v>0</v>
      </c>
      <c r="K278">
        <f>SUMPRODUCT((MONTH(CHOOSE({1,2,3,4},TTSSKĐ!T278,TTSSKĐ!X278,TTSSKĐ!AB278,TTSSKĐ!AF278))=11)*(CHOOSE({1,2,3,4},TTSSKĐ!W278,TTSSKĐ!AA278,TTSSKĐ!AE278,TTSSKĐ!AI278)))</f>
        <v>0</v>
      </c>
      <c r="L278">
        <f>SUMPRODUCT((MONTH(CHOOSE({1,2,3,4},TTSSKĐ!T278,TTSSKĐ!X278,TTSSKĐ!AB278,TTSSKĐ!AF278))=12)*(CHOOSE({1,2,3,4},TTSSKĐ!W278,TTSSKĐ!AA278,TTSSKĐ!AE278,TTSSKĐ!AI278)))</f>
        <v>0</v>
      </c>
    </row>
    <row r="279" spans="1:12">
      <c r="A279">
        <f>SUMPRODUCT((MONTH(CHOOSE({1,2,3,4},TTSSKĐ!T279,TTSSKĐ!X279,TTSSKĐ!AB279,TTSSKĐ!AF279))=1)*(CHOOSE({1,2,3,4},TTSSKĐ!W279,TTSSKĐ!AA279,TTSSKĐ!AE279,TTSSKĐ!AI279)))</f>
        <v>0</v>
      </c>
      <c r="B279">
        <f>SUMPRODUCT((MONTH(CHOOSE({1,2,3,4},TTSSKĐ!T279,TTSSKĐ!X279,TTSSKĐ!AB279,TTSSKĐ!AF279))=2)*(CHOOSE({1,2,3,4},TTSSKĐ!W279,TTSSKĐ!AA279,TTSSKĐ!AE279,TTSSKĐ!AI279)))</f>
        <v>0</v>
      </c>
      <c r="C279">
        <f>SUMPRODUCT((MONTH(CHOOSE({1,2,3,4},TTSSKĐ!T279,TTSSKĐ!X279,TTSSKĐ!AB279,TTSSKĐ!AF279))=3)*(CHOOSE({1,2,3,4},TTSSKĐ!W279,TTSSKĐ!AA279,TTSSKĐ!AE279,TTSSKĐ!AI279)))</f>
        <v>0</v>
      </c>
      <c r="D279">
        <f>SUMPRODUCT((MONTH(CHOOSE({1,2,3,4},TTSSKĐ!T279,TTSSKĐ!X279,TTSSKĐ!AB279,TTSSKĐ!AF279))=4)*(CHOOSE({1,2,3,4},TTSSKĐ!W279,TTSSKĐ!AA279,TTSSKĐ!AE279,TTSSKĐ!AI279)))</f>
        <v>0</v>
      </c>
      <c r="E279">
        <f>SUMPRODUCT((MONTH(CHOOSE({1,2,3,4},TTSSKĐ!T279,TTSSKĐ!X279,TTSSKĐ!AB279,TTSSKĐ!AF279))=5)*(CHOOSE({1,2,3,4},TTSSKĐ!W279,TTSSKĐ!AA279,TTSSKĐ!AE279,TTSSKĐ!AI279)))</f>
        <v>0</v>
      </c>
      <c r="F279">
        <f>SUMPRODUCT((MONTH(CHOOSE({1,2,3,4},TTSSKĐ!T279,TTSSKĐ!X279,TTSSKĐ!AB279,TTSSKĐ!AF279))=6)*(CHOOSE({1,2,3,4},TTSSKĐ!W279,TTSSKĐ!AA279,TTSSKĐ!AE279,TTSSKĐ!AI279)))</f>
        <v>0</v>
      </c>
      <c r="G279">
        <f>SUMPRODUCT((MONTH(CHOOSE({1,2,3,4},TTSSKĐ!T279,TTSSKĐ!X279,TTSSKĐ!AB279,TTSSKĐ!AF279))=7)*(CHOOSE({1,2,3,4},TTSSKĐ!W279,TTSSKĐ!AA279,TTSSKĐ!AE279,TTSSKĐ!AI279)))</f>
        <v>0</v>
      </c>
      <c r="H279">
        <f>SUMPRODUCT((MONTH(CHOOSE({1,2,3,4},TTSSKĐ!T279,TTSSKĐ!X279,TTSSKĐ!AB279,TTSSKĐ!AF279))=8)*(CHOOSE({1,2,3,4},TTSSKĐ!W279,TTSSKĐ!AA279,TTSSKĐ!AE279,TTSSKĐ!AI279)))</f>
        <v>0</v>
      </c>
      <c r="I279">
        <f>SUMPRODUCT((MONTH(CHOOSE({1,2,3,4},TTSSKĐ!T279,TTSSKĐ!X279,TTSSKĐ!AB279,TTSSKĐ!AF279))=9)*(CHOOSE({1,2,3,4},TTSSKĐ!W279,TTSSKĐ!AA279,TTSSKĐ!AE279,TTSSKĐ!AI279)))</f>
        <v>0</v>
      </c>
      <c r="J279">
        <f>SUMPRODUCT((MONTH(CHOOSE({1,2,3,4},TTSSKĐ!T279,TTSSKĐ!X279,TTSSKĐ!AB279,TTSSKĐ!AF279))=10)*(CHOOSE({1,2,3,4},TTSSKĐ!W279,TTSSKĐ!AA279,TTSSKĐ!AE279,TTSSKĐ!AI279)))</f>
        <v>0</v>
      </c>
      <c r="K279">
        <f>SUMPRODUCT((MONTH(CHOOSE({1,2,3,4},TTSSKĐ!T279,TTSSKĐ!X279,TTSSKĐ!AB279,TTSSKĐ!AF279))=11)*(CHOOSE({1,2,3,4},TTSSKĐ!W279,TTSSKĐ!AA279,TTSSKĐ!AE279,TTSSKĐ!AI279)))</f>
        <v>0</v>
      </c>
      <c r="L279">
        <f>SUMPRODUCT((MONTH(CHOOSE({1,2,3,4},TTSSKĐ!T279,TTSSKĐ!X279,TTSSKĐ!AB279,TTSSKĐ!AF279))=12)*(CHOOSE({1,2,3,4},TTSSKĐ!W279,TTSSKĐ!AA279,TTSSKĐ!AE279,TTSSKĐ!AI279)))</f>
        <v>0</v>
      </c>
    </row>
    <row r="280" spans="1:12">
      <c r="A280">
        <f>SUMPRODUCT((MONTH(CHOOSE({1,2,3,4},TTSSKĐ!T280,TTSSKĐ!X280,TTSSKĐ!AB280,TTSSKĐ!AF280))=1)*(CHOOSE({1,2,3,4},TTSSKĐ!W280,TTSSKĐ!AA280,TTSSKĐ!AE280,TTSSKĐ!AI280)))</f>
        <v>0</v>
      </c>
      <c r="B280">
        <f>SUMPRODUCT((MONTH(CHOOSE({1,2,3,4},TTSSKĐ!T280,TTSSKĐ!X280,TTSSKĐ!AB280,TTSSKĐ!AF280))=2)*(CHOOSE({1,2,3,4},TTSSKĐ!W280,TTSSKĐ!AA280,TTSSKĐ!AE280,TTSSKĐ!AI280)))</f>
        <v>0</v>
      </c>
      <c r="C280">
        <f>SUMPRODUCT((MONTH(CHOOSE({1,2,3,4},TTSSKĐ!T280,TTSSKĐ!X280,TTSSKĐ!AB280,TTSSKĐ!AF280))=3)*(CHOOSE({1,2,3,4},TTSSKĐ!W280,TTSSKĐ!AA280,TTSSKĐ!AE280,TTSSKĐ!AI280)))</f>
        <v>0</v>
      </c>
      <c r="D280">
        <f>SUMPRODUCT((MONTH(CHOOSE({1,2,3,4},TTSSKĐ!T280,TTSSKĐ!X280,TTSSKĐ!AB280,TTSSKĐ!AF280))=4)*(CHOOSE({1,2,3,4},TTSSKĐ!W280,TTSSKĐ!AA280,TTSSKĐ!AE280,TTSSKĐ!AI280)))</f>
        <v>0</v>
      </c>
      <c r="E280">
        <f>SUMPRODUCT((MONTH(CHOOSE({1,2,3,4},TTSSKĐ!T280,TTSSKĐ!X280,TTSSKĐ!AB280,TTSSKĐ!AF280))=5)*(CHOOSE({1,2,3,4},TTSSKĐ!W280,TTSSKĐ!AA280,TTSSKĐ!AE280,TTSSKĐ!AI280)))</f>
        <v>0</v>
      </c>
      <c r="F280">
        <f>SUMPRODUCT((MONTH(CHOOSE({1,2,3,4},TTSSKĐ!T280,TTSSKĐ!X280,TTSSKĐ!AB280,TTSSKĐ!AF280))=6)*(CHOOSE({1,2,3,4},TTSSKĐ!W280,TTSSKĐ!AA280,TTSSKĐ!AE280,TTSSKĐ!AI280)))</f>
        <v>0</v>
      </c>
      <c r="G280">
        <f>SUMPRODUCT((MONTH(CHOOSE({1,2,3,4},TTSSKĐ!T280,TTSSKĐ!X280,TTSSKĐ!AB280,TTSSKĐ!AF280))=7)*(CHOOSE({1,2,3,4},TTSSKĐ!W280,TTSSKĐ!AA280,TTSSKĐ!AE280,TTSSKĐ!AI280)))</f>
        <v>0</v>
      </c>
      <c r="H280">
        <f>SUMPRODUCT((MONTH(CHOOSE({1,2,3,4},TTSSKĐ!T280,TTSSKĐ!X280,TTSSKĐ!AB280,TTSSKĐ!AF280))=8)*(CHOOSE({1,2,3,4},TTSSKĐ!W280,TTSSKĐ!AA280,TTSSKĐ!AE280,TTSSKĐ!AI280)))</f>
        <v>0</v>
      </c>
      <c r="I280">
        <f>SUMPRODUCT((MONTH(CHOOSE({1,2,3,4},TTSSKĐ!T280,TTSSKĐ!X280,TTSSKĐ!AB280,TTSSKĐ!AF280))=9)*(CHOOSE({1,2,3,4},TTSSKĐ!W280,TTSSKĐ!AA280,TTSSKĐ!AE280,TTSSKĐ!AI280)))</f>
        <v>0</v>
      </c>
      <c r="J280">
        <f>SUMPRODUCT((MONTH(CHOOSE({1,2,3,4},TTSSKĐ!T280,TTSSKĐ!X280,TTSSKĐ!AB280,TTSSKĐ!AF280))=10)*(CHOOSE({1,2,3,4},TTSSKĐ!W280,TTSSKĐ!AA280,TTSSKĐ!AE280,TTSSKĐ!AI280)))</f>
        <v>0</v>
      </c>
      <c r="K280">
        <f>SUMPRODUCT((MONTH(CHOOSE({1,2,3,4},TTSSKĐ!T280,TTSSKĐ!X280,TTSSKĐ!AB280,TTSSKĐ!AF280))=11)*(CHOOSE({1,2,3,4},TTSSKĐ!W280,TTSSKĐ!AA280,TTSSKĐ!AE280,TTSSKĐ!AI280)))</f>
        <v>0</v>
      </c>
      <c r="L280">
        <f>SUMPRODUCT((MONTH(CHOOSE({1,2,3,4},TTSSKĐ!T280,TTSSKĐ!X280,TTSSKĐ!AB280,TTSSKĐ!AF280))=12)*(CHOOSE({1,2,3,4},TTSSKĐ!W280,TTSSKĐ!AA280,TTSSKĐ!AE280,TTSSKĐ!AI280)))</f>
        <v>0</v>
      </c>
    </row>
    <row r="281" spans="1:12">
      <c r="A281">
        <f>SUMPRODUCT((MONTH(CHOOSE({1,2,3,4},TTSSKĐ!T281,TTSSKĐ!X281,TTSSKĐ!AB281,TTSSKĐ!AF281))=1)*(CHOOSE({1,2,3,4},TTSSKĐ!W281,TTSSKĐ!AA281,TTSSKĐ!AE281,TTSSKĐ!AI281)))</f>
        <v>0</v>
      </c>
      <c r="B281">
        <f>SUMPRODUCT((MONTH(CHOOSE({1,2,3,4},TTSSKĐ!T281,TTSSKĐ!X281,TTSSKĐ!AB281,TTSSKĐ!AF281))=2)*(CHOOSE({1,2,3,4},TTSSKĐ!W281,TTSSKĐ!AA281,TTSSKĐ!AE281,TTSSKĐ!AI281)))</f>
        <v>0</v>
      </c>
      <c r="C281">
        <f>SUMPRODUCT((MONTH(CHOOSE({1,2,3,4},TTSSKĐ!T281,TTSSKĐ!X281,TTSSKĐ!AB281,TTSSKĐ!AF281))=3)*(CHOOSE({1,2,3,4},TTSSKĐ!W281,TTSSKĐ!AA281,TTSSKĐ!AE281,TTSSKĐ!AI281)))</f>
        <v>0</v>
      </c>
      <c r="D281">
        <f>SUMPRODUCT((MONTH(CHOOSE({1,2,3,4},TTSSKĐ!T281,TTSSKĐ!X281,TTSSKĐ!AB281,TTSSKĐ!AF281))=4)*(CHOOSE({1,2,3,4},TTSSKĐ!W281,TTSSKĐ!AA281,TTSSKĐ!AE281,TTSSKĐ!AI281)))</f>
        <v>0</v>
      </c>
      <c r="E281">
        <f>SUMPRODUCT((MONTH(CHOOSE({1,2,3,4},TTSSKĐ!T281,TTSSKĐ!X281,TTSSKĐ!AB281,TTSSKĐ!AF281))=5)*(CHOOSE({1,2,3,4},TTSSKĐ!W281,TTSSKĐ!AA281,TTSSKĐ!AE281,TTSSKĐ!AI281)))</f>
        <v>0</v>
      </c>
      <c r="F281">
        <f>SUMPRODUCT((MONTH(CHOOSE({1,2,3,4},TTSSKĐ!T281,TTSSKĐ!X281,TTSSKĐ!AB281,TTSSKĐ!AF281))=6)*(CHOOSE({1,2,3,4},TTSSKĐ!W281,TTSSKĐ!AA281,TTSSKĐ!AE281,TTSSKĐ!AI281)))</f>
        <v>0</v>
      </c>
      <c r="G281">
        <f>SUMPRODUCT((MONTH(CHOOSE({1,2,3,4},TTSSKĐ!T281,TTSSKĐ!X281,TTSSKĐ!AB281,TTSSKĐ!AF281))=7)*(CHOOSE({1,2,3,4},TTSSKĐ!W281,TTSSKĐ!AA281,TTSSKĐ!AE281,TTSSKĐ!AI281)))</f>
        <v>0</v>
      </c>
      <c r="H281">
        <f>SUMPRODUCT((MONTH(CHOOSE({1,2,3,4},TTSSKĐ!T281,TTSSKĐ!X281,TTSSKĐ!AB281,TTSSKĐ!AF281))=8)*(CHOOSE({1,2,3,4},TTSSKĐ!W281,TTSSKĐ!AA281,TTSSKĐ!AE281,TTSSKĐ!AI281)))</f>
        <v>0</v>
      </c>
      <c r="I281">
        <f>SUMPRODUCT((MONTH(CHOOSE({1,2,3,4},TTSSKĐ!T281,TTSSKĐ!X281,TTSSKĐ!AB281,TTSSKĐ!AF281))=9)*(CHOOSE({1,2,3,4},TTSSKĐ!W281,TTSSKĐ!AA281,TTSSKĐ!AE281,TTSSKĐ!AI281)))</f>
        <v>0</v>
      </c>
      <c r="J281">
        <f>SUMPRODUCT((MONTH(CHOOSE({1,2,3,4},TTSSKĐ!T281,TTSSKĐ!X281,TTSSKĐ!AB281,TTSSKĐ!AF281))=10)*(CHOOSE({1,2,3,4},TTSSKĐ!W281,TTSSKĐ!AA281,TTSSKĐ!AE281,TTSSKĐ!AI281)))</f>
        <v>0</v>
      </c>
      <c r="K281">
        <f>SUMPRODUCT((MONTH(CHOOSE({1,2,3,4},TTSSKĐ!T281,TTSSKĐ!X281,TTSSKĐ!AB281,TTSSKĐ!AF281))=11)*(CHOOSE({1,2,3,4},TTSSKĐ!W281,TTSSKĐ!AA281,TTSSKĐ!AE281,TTSSKĐ!AI281)))</f>
        <v>0</v>
      </c>
      <c r="L281">
        <f>SUMPRODUCT((MONTH(CHOOSE({1,2,3,4},TTSSKĐ!T281,TTSSKĐ!X281,TTSSKĐ!AB281,TTSSKĐ!AF281))=12)*(CHOOSE({1,2,3,4},TTSSKĐ!W281,TTSSKĐ!AA281,TTSSKĐ!AE281,TTSSKĐ!AI281)))</f>
        <v>0</v>
      </c>
    </row>
    <row r="282" spans="1:12">
      <c r="A282">
        <f>SUMPRODUCT((MONTH(CHOOSE({1,2,3,4},TTSSKĐ!T282,TTSSKĐ!X282,TTSSKĐ!AB282,TTSSKĐ!AF282))=1)*(CHOOSE({1,2,3,4},TTSSKĐ!W282,TTSSKĐ!AA282,TTSSKĐ!AE282,TTSSKĐ!AI282)))</f>
        <v>0</v>
      </c>
      <c r="B282">
        <f>SUMPRODUCT((MONTH(CHOOSE({1,2,3,4},TTSSKĐ!T282,TTSSKĐ!X282,TTSSKĐ!AB282,TTSSKĐ!AF282))=2)*(CHOOSE({1,2,3,4},TTSSKĐ!W282,TTSSKĐ!AA282,TTSSKĐ!AE282,TTSSKĐ!AI282)))</f>
        <v>0</v>
      </c>
      <c r="C282">
        <f>SUMPRODUCT((MONTH(CHOOSE({1,2,3,4},TTSSKĐ!T282,TTSSKĐ!X282,TTSSKĐ!AB282,TTSSKĐ!AF282))=3)*(CHOOSE({1,2,3,4},TTSSKĐ!W282,TTSSKĐ!AA282,TTSSKĐ!AE282,TTSSKĐ!AI282)))</f>
        <v>0</v>
      </c>
      <c r="D282">
        <f>SUMPRODUCT((MONTH(CHOOSE({1,2,3,4},TTSSKĐ!T282,TTSSKĐ!X282,TTSSKĐ!AB282,TTSSKĐ!AF282))=4)*(CHOOSE({1,2,3,4},TTSSKĐ!W282,TTSSKĐ!AA282,TTSSKĐ!AE282,TTSSKĐ!AI282)))</f>
        <v>0</v>
      </c>
      <c r="E282">
        <f>SUMPRODUCT((MONTH(CHOOSE({1,2,3,4},TTSSKĐ!T282,TTSSKĐ!X282,TTSSKĐ!AB282,TTSSKĐ!AF282))=5)*(CHOOSE({1,2,3,4},TTSSKĐ!W282,TTSSKĐ!AA282,TTSSKĐ!AE282,TTSSKĐ!AI282)))</f>
        <v>0</v>
      </c>
      <c r="F282">
        <f>SUMPRODUCT((MONTH(CHOOSE({1,2,3,4},TTSSKĐ!T282,TTSSKĐ!X282,TTSSKĐ!AB282,TTSSKĐ!AF282))=6)*(CHOOSE({1,2,3,4},TTSSKĐ!W282,TTSSKĐ!AA282,TTSSKĐ!AE282,TTSSKĐ!AI282)))</f>
        <v>0</v>
      </c>
      <c r="G282">
        <f>SUMPRODUCT((MONTH(CHOOSE({1,2,3,4},TTSSKĐ!T282,TTSSKĐ!X282,TTSSKĐ!AB282,TTSSKĐ!AF282))=7)*(CHOOSE({1,2,3,4},TTSSKĐ!W282,TTSSKĐ!AA282,TTSSKĐ!AE282,TTSSKĐ!AI282)))</f>
        <v>0</v>
      </c>
      <c r="H282">
        <f>SUMPRODUCT((MONTH(CHOOSE({1,2,3,4},TTSSKĐ!T282,TTSSKĐ!X282,TTSSKĐ!AB282,TTSSKĐ!AF282))=8)*(CHOOSE({1,2,3,4},TTSSKĐ!W282,TTSSKĐ!AA282,TTSSKĐ!AE282,TTSSKĐ!AI282)))</f>
        <v>0</v>
      </c>
      <c r="I282">
        <f>SUMPRODUCT((MONTH(CHOOSE({1,2,3,4},TTSSKĐ!T282,TTSSKĐ!X282,TTSSKĐ!AB282,TTSSKĐ!AF282))=9)*(CHOOSE({1,2,3,4},TTSSKĐ!W282,TTSSKĐ!AA282,TTSSKĐ!AE282,TTSSKĐ!AI282)))</f>
        <v>0</v>
      </c>
      <c r="J282">
        <f>SUMPRODUCT((MONTH(CHOOSE({1,2,3,4},TTSSKĐ!T282,TTSSKĐ!X282,TTSSKĐ!AB282,TTSSKĐ!AF282))=10)*(CHOOSE({1,2,3,4},TTSSKĐ!W282,TTSSKĐ!AA282,TTSSKĐ!AE282,TTSSKĐ!AI282)))</f>
        <v>0</v>
      </c>
      <c r="K282">
        <f>SUMPRODUCT((MONTH(CHOOSE({1,2,3,4},TTSSKĐ!T282,TTSSKĐ!X282,TTSSKĐ!AB282,TTSSKĐ!AF282))=11)*(CHOOSE({1,2,3,4},TTSSKĐ!W282,TTSSKĐ!AA282,TTSSKĐ!AE282,TTSSKĐ!AI282)))</f>
        <v>0</v>
      </c>
      <c r="L282">
        <f>SUMPRODUCT((MONTH(CHOOSE({1,2,3,4},TTSSKĐ!T282,TTSSKĐ!X282,TTSSKĐ!AB282,TTSSKĐ!AF282))=12)*(CHOOSE({1,2,3,4},TTSSKĐ!W282,TTSSKĐ!AA282,TTSSKĐ!AE282,TTSSKĐ!AI282)))</f>
        <v>0</v>
      </c>
    </row>
    <row r="283" spans="1:12">
      <c r="A283">
        <f>SUMPRODUCT((MONTH(CHOOSE({1,2,3,4},TTSSKĐ!T283,TTSSKĐ!X283,TTSSKĐ!AB283,TTSSKĐ!AF283))=1)*(CHOOSE({1,2,3,4},TTSSKĐ!W283,TTSSKĐ!AA283,TTSSKĐ!AE283,TTSSKĐ!AI283)))</f>
        <v>0</v>
      </c>
      <c r="B283">
        <f>SUMPRODUCT((MONTH(CHOOSE({1,2,3,4},TTSSKĐ!T283,TTSSKĐ!X283,TTSSKĐ!AB283,TTSSKĐ!AF283))=2)*(CHOOSE({1,2,3,4},TTSSKĐ!W283,TTSSKĐ!AA283,TTSSKĐ!AE283,TTSSKĐ!AI283)))</f>
        <v>0</v>
      </c>
      <c r="C283">
        <f>SUMPRODUCT((MONTH(CHOOSE({1,2,3,4},TTSSKĐ!T283,TTSSKĐ!X283,TTSSKĐ!AB283,TTSSKĐ!AF283))=3)*(CHOOSE({1,2,3,4},TTSSKĐ!W283,TTSSKĐ!AA283,TTSSKĐ!AE283,TTSSKĐ!AI283)))</f>
        <v>0</v>
      </c>
      <c r="D283">
        <f>SUMPRODUCT((MONTH(CHOOSE({1,2,3,4},TTSSKĐ!T283,TTSSKĐ!X283,TTSSKĐ!AB283,TTSSKĐ!AF283))=4)*(CHOOSE({1,2,3,4},TTSSKĐ!W283,TTSSKĐ!AA283,TTSSKĐ!AE283,TTSSKĐ!AI283)))</f>
        <v>0</v>
      </c>
      <c r="E283">
        <f>SUMPRODUCT((MONTH(CHOOSE({1,2,3,4},TTSSKĐ!T283,TTSSKĐ!X283,TTSSKĐ!AB283,TTSSKĐ!AF283))=5)*(CHOOSE({1,2,3,4},TTSSKĐ!W283,TTSSKĐ!AA283,TTSSKĐ!AE283,TTSSKĐ!AI283)))</f>
        <v>0</v>
      </c>
      <c r="F283">
        <f>SUMPRODUCT((MONTH(CHOOSE({1,2,3,4},TTSSKĐ!T283,TTSSKĐ!X283,TTSSKĐ!AB283,TTSSKĐ!AF283))=6)*(CHOOSE({1,2,3,4},TTSSKĐ!W283,TTSSKĐ!AA283,TTSSKĐ!AE283,TTSSKĐ!AI283)))</f>
        <v>0</v>
      </c>
      <c r="G283">
        <f>SUMPRODUCT((MONTH(CHOOSE({1,2,3,4},TTSSKĐ!T283,TTSSKĐ!X283,TTSSKĐ!AB283,TTSSKĐ!AF283))=7)*(CHOOSE({1,2,3,4},TTSSKĐ!W283,TTSSKĐ!AA283,TTSSKĐ!AE283,TTSSKĐ!AI283)))</f>
        <v>0</v>
      </c>
      <c r="H283">
        <f>SUMPRODUCT((MONTH(CHOOSE({1,2,3,4},TTSSKĐ!T283,TTSSKĐ!X283,TTSSKĐ!AB283,TTSSKĐ!AF283))=8)*(CHOOSE({1,2,3,4},TTSSKĐ!W283,TTSSKĐ!AA283,TTSSKĐ!AE283,TTSSKĐ!AI283)))</f>
        <v>0</v>
      </c>
      <c r="I283">
        <f>SUMPRODUCT((MONTH(CHOOSE({1,2,3,4},TTSSKĐ!T283,TTSSKĐ!X283,TTSSKĐ!AB283,TTSSKĐ!AF283))=9)*(CHOOSE({1,2,3,4},TTSSKĐ!W283,TTSSKĐ!AA283,TTSSKĐ!AE283,TTSSKĐ!AI283)))</f>
        <v>0</v>
      </c>
      <c r="J283">
        <f>SUMPRODUCT((MONTH(CHOOSE({1,2,3,4},TTSSKĐ!T283,TTSSKĐ!X283,TTSSKĐ!AB283,TTSSKĐ!AF283))=10)*(CHOOSE({1,2,3,4},TTSSKĐ!W283,TTSSKĐ!AA283,TTSSKĐ!AE283,TTSSKĐ!AI283)))</f>
        <v>0</v>
      </c>
      <c r="K283">
        <f>SUMPRODUCT((MONTH(CHOOSE({1,2,3,4},TTSSKĐ!T283,TTSSKĐ!X283,TTSSKĐ!AB283,TTSSKĐ!AF283))=11)*(CHOOSE({1,2,3,4},TTSSKĐ!W283,TTSSKĐ!AA283,TTSSKĐ!AE283,TTSSKĐ!AI283)))</f>
        <v>0</v>
      </c>
      <c r="L283">
        <f>SUMPRODUCT((MONTH(CHOOSE({1,2,3,4},TTSSKĐ!T283,TTSSKĐ!X283,TTSSKĐ!AB283,TTSSKĐ!AF283))=12)*(CHOOSE({1,2,3,4},TTSSKĐ!W283,TTSSKĐ!AA283,TTSSKĐ!AE283,TTSSKĐ!AI283)))</f>
        <v>0</v>
      </c>
    </row>
    <row r="284" spans="1:12">
      <c r="A284">
        <f>SUMPRODUCT((MONTH(CHOOSE({1,2,3,4},TTSSKĐ!T284,TTSSKĐ!X284,TTSSKĐ!AB284,TTSSKĐ!AF284))=1)*(CHOOSE({1,2,3,4},TTSSKĐ!W284,TTSSKĐ!AA284,TTSSKĐ!AE284,TTSSKĐ!AI284)))</f>
        <v>0</v>
      </c>
      <c r="B284">
        <f>SUMPRODUCT((MONTH(CHOOSE({1,2,3,4},TTSSKĐ!T284,TTSSKĐ!X284,TTSSKĐ!AB284,TTSSKĐ!AF284))=2)*(CHOOSE({1,2,3,4},TTSSKĐ!W284,TTSSKĐ!AA284,TTSSKĐ!AE284,TTSSKĐ!AI284)))</f>
        <v>0</v>
      </c>
      <c r="C284">
        <f>SUMPRODUCT((MONTH(CHOOSE({1,2,3,4},TTSSKĐ!T284,TTSSKĐ!X284,TTSSKĐ!AB284,TTSSKĐ!AF284))=3)*(CHOOSE({1,2,3,4},TTSSKĐ!W284,TTSSKĐ!AA284,TTSSKĐ!AE284,TTSSKĐ!AI284)))</f>
        <v>0</v>
      </c>
      <c r="D284">
        <f>SUMPRODUCT((MONTH(CHOOSE({1,2,3,4},TTSSKĐ!T284,TTSSKĐ!X284,TTSSKĐ!AB284,TTSSKĐ!AF284))=4)*(CHOOSE({1,2,3,4},TTSSKĐ!W284,TTSSKĐ!AA284,TTSSKĐ!AE284,TTSSKĐ!AI284)))</f>
        <v>0</v>
      </c>
      <c r="E284">
        <f>SUMPRODUCT((MONTH(CHOOSE({1,2,3,4},TTSSKĐ!T284,TTSSKĐ!X284,TTSSKĐ!AB284,TTSSKĐ!AF284))=5)*(CHOOSE({1,2,3,4},TTSSKĐ!W284,TTSSKĐ!AA284,TTSSKĐ!AE284,TTSSKĐ!AI284)))</f>
        <v>0</v>
      </c>
      <c r="F284">
        <f>SUMPRODUCT((MONTH(CHOOSE({1,2,3,4},TTSSKĐ!T284,TTSSKĐ!X284,TTSSKĐ!AB284,TTSSKĐ!AF284))=6)*(CHOOSE({1,2,3,4},TTSSKĐ!W284,TTSSKĐ!AA284,TTSSKĐ!AE284,TTSSKĐ!AI284)))</f>
        <v>0</v>
      </c>
      <c r="G284">
        <f>SUMPRODUCT((MONTH(CHOOSE({1,2,3,4},TTSSKĐ!T284,TTSSKĐ!X284,TTSSKĐ!AB284,TTSSKĐ!AF284))=7)*(CHOOSE({1,2,3,4},TTSSKĐ!W284,TTSSKĐ!AA284,TTSSKĐ!AE284,TTSSKĐ!AI284)))</f>
        <v>0</v>
      </c>
      <c r="H284">
        <f>SUMPRODUCT((MONTH(CHOOSE({1,2,3,4},TTSSKĐ!T284,TTSSKĐ!X284,TTSSKĐ!AB284,TTSSKĐ!AF284))=8)*(CHOOSE({1,2,3,4},TTSSKĐ!W284,TTSSKĐ!AA284,TTSSKĐ!AE284,TTSSKĐ!AI284)))</f>
        <v>0</v>
      </c>
      <c r="I284">
        <f>SUMPRODUCT((MONTH(CHOOSE({1,2,3,4},TTSSKĐ!T284,TTSSKĐ!X284,TTSSKĐ!AB284,TTSSKĐ!AF284))=9)*(CHOOSE({1,2,3,4},TTSSKĐ!W284,TTSSKĐ!AA284,TTSSKĐ!AE284,TTSSKĐ!AI284)))</f>
        <v>0</v>
      </c>
      <c r="J284">
        <f>SUMPRODUCT((MONTH(CHOOSE({1,2,3,4},TTSSKĐ!T284,TTSSKĐ!X284,TTSSKĐ!AB284,TTSSKĐ!AF284))=10)*(CHOOSE({1,2,3,4},TTSSKĐ!W284,TTSSKĐ!AA284,TTSSKĐ!AE284,TTSSKĐ!AI284)))</f>
        <v>0</v>
      </c>
      <c r="K284">
        <f>SUMPRODUCT((MONTH(CHOOSE({1,2,3,4},TTSSKĐ!T284,TTSSKĐ!X284,TTSSKĐ!AB284,TTSSKĐ!AF284))=11)*(CHOOSE({1,2,3,4},TTSSKĐ!W284,TTSSKĐ!AA284,TTSSKĐ!AE284,TTSSKĐ!AI284)))</f>
        <v>0</v>
      </c>
      <c r="L284">
        <f>SUMPRODUCT((MONTH(CHOOSE({1,2,3,4},TTSSKĐ!T284,TTSSKĐ!X284,TTSSKĐ!AB284,TTSSKĐ!AF284))=12)*(CHOOSE({1,2,3,4},TTSSKĐ!W284,TTSSKĐ!AA284,TTSSKĐ!AE284,TTSSKĐ!AI284)))</f>
        <v>0</v>
      </c>
    </row>
    <row r="285" spans="1:12">
      <c r="A285">
        <f>SUMPRODUCT((MONTH(CHOOSE({1,2,3,4},TTSSKĐ!T285,TTSSKĐ!X285,TTSSKĐ!AB285,TTSSKĐ!AF285))=1)*(CHOOSE({1,2,3,4},TTSSKĐ!W285,TTSSKĐ!AA285,TTSSKĐ!AE285,TTSSKĐ!AI285)))</f>
        <v>0</v>
      </c>
      <c r="B285">
        <f>SUMPRODUCT((MONTH(CHOOSE({1,2,3,4},TTSSKĐ!T285,TTSSKĐ!X285,TTSSKĐ!AB285,TTSSKĐ!AF285))=2)*(CHOOSE({1,2,3,4},TTSSKĐ!W285,TTSSKĐ!AA285,TTSSKĐ!AE285,TTSSKĐ!AI285)))</f>
        <v>0</v>
      </c>
      <c r="C285">
        <f>SUMPRODUCT((MONTH(CHOOSE({1,2,3,4},TTSSKĐ!T285,TTSSKĐ!X285,TTSSKĐ!AB285,TTSSKĐ!AF285))=3)*(CHOOSE({1,2,3,4},TTSSKĐ!W285,TTSSKĐ!AA285,TTSSKĐ!AE285,TTSSKĐ!AI285)))</f>
        <v>0</v>
      </c>
      <c r="D285">
        <f>SUMPRODUCT((MONTH(CHOOSE({1,2,3,4},TTSSKĐ!T285,TTSSKĐ!X285,TTSSKĐ!AB285,TTSSKĐ!AF285))=4)*(CHOOSE({1,2,3,4},TTSSKĐ!W285,TTSSKĐ!AA285,TTSSKĐ!AE285,TTSSKĐ!AI285)))</f>
        <v>0</v>
      </c>
      <c r="E285">
        <f>SUMPRODUCT((MONTH(CHOOSE({1,2,3,4},TTSSKĐ!T285,TTSSKĐ!X285,TTSSKĐ!AB285,TTSSKĐ!AF285))=5)*(CHOOSE({1,2,3,4},TTSSKĐ!W285,TTSSKĐ!AA285,TTSSKĐ!AE285,TTSSKĐ!AI285)))</f>
        <v>0</v>
      </c>
      <c r="F285">
        <f>SUMPRODUCT((MONTH(CHOOSE({1,2,3,4},TTSSKĐ!T285,TTSSKĐ!X285,TTSSKĐ!AB285,TTSSKĐ!AF285))=6)*(CHOOSE({1,2,3,4},TTSSKĐ!W285,TTSSKĐ!AA285,TTSSKĐ!AE285,TTSSKĐ!AI285)))</f>
        <v>0</v>
      </c>
      <c r="G285">
        <f>SUMPRODUCT((MONTH(CHOOSE({1,2,3,4},TTSSKĐ!T285,TTSSKĐ!X285,TTSSKĐ!AB285,TTSSKĐ!AF285))=7)*(CHOOSE({1,2,3,4},TTSSKĐ!W285,TTSSKĐ!AA285,TTSSKĐ!AE285,TTSSKĐ!AI285)))</f>
        <v>0</v>
      </c>
      <c r="H285">
        <f>SUMPRODUCT((MONTH(CHOOSE({1,2,3,4},TTSSKĐ!T285,TTSSKĐ!X285,TTSSKĐ!AB285,TTSSKĐ!AF285))=8)*(CHOOSE({1,2,3,4},TTSSKĐ!W285,TTSSKĐ!AA285,TTSSKĐ!AE285,TTSSKĐ!AI285)))</f>
        <v>0</v>
      </c>
      <c r="I285">
        <f>SUMPRODUCT((MONTH(CHOOSE({1,2,3,4},TTSSKĐ!T285,TTSSKĐ!X285,TTSSKĐ!AB285,TTSSKĐ!AF285))=9)*(CHOOSE({1,2,3,4},TTSSKĐ!W285,TTSSKĐ!AA285,TTSSKĐ!AE285,TTSSKĐ!AI285)))</f>
        <v>0</v>
      </c>
      <c r="J285">
        <f>SUMPRODUCT((MONTH(CHOOSE({1,2,3,4},TTSSKĐ!T285,TTSSKĐ!X285,TTSSKĐ!AB285,TTSSKĐ!AF285))=10)*(CHOOSE({1,2,3,4},TTSSKĐ!W285,TTSSKĐ!AA285,TTSSKĐ!AE285,TTSSKĐ!AI285)))</f>
        <v>0</v>
      </c>
      <c r="K285">
        <f>SUMPRODUCT((MONTH(CHOOSE({1,2,3,4},TTSSKĐ!T285,TTSSKĐ!X285,TTSSKĐ!AB285,TTSSKĐ!AF285))=11)*(CHOOSE({1,2,3,4},TTSSKĐ!W285,TTSSKĐ!AA285,TTSSKĐ!AE285,TTSSKĐ!AI285)))</f>
        <v>0</v>
      </c>
      <c r="L285">
        <f>SUMPRODUCT((MONTH(CHOOSE({1,2,3,4},TTSSKĐ!T285,TTSSKĐ!X285,TTSSKĐ!AB285,TTSSKĐ!AF285))=12)*(CHOOSE({1,2,3,4},TTSSKĐ!W285,TTSSKĐ!AA285,TTSSKĐ!AE285,TTSSKĐ!AI285)))</f>
        <v>0</v>
      </c>
    </row>
    <row r="286" spans="1:12">
      <c r="A286">
        <f>SUMPRODUCT((MONTH(CHOOSE({1,2,3,4},TTSSKĐ!T286,TTSSKĐ!X286,TTSSKĐ!AB286,TTSSKĐ!AF286))=1)*(CHOOSE({1,2,3,4},TTSSKĐ!W286,TTSSKĐ!AA286,TTSSKĐ!AE286,TTSSKĐ!AI286)))</f>
        <v>0</v>
      </c>
      <c r="B286">
        <f>SUMPRODUCT((MONTH(CHOOSE({1,2,3,4},TTSSKĐ!T286,TTSSKĐ!X286,TTSSKĐ!AB286,TTSSKĐ!AF286))=2)*(CHOOSE({1,2,3,4},TTSSKĐ!W286,TTSSKĐ!AA286,TTSSKĐ!AE286,TTSSKĐ!AI286)))</f>
        <v>0</v>
      </c>
      <c r="C286">
        <f>SUMPRODUCT((MONTH(CHOOSE({1,2,3,4},TTSSKĐ!T286,TTSSKĐ!X286,TTSSKĐ!AB286,TTSSKĐ!AF286))=3)*(CHOOSE({1,2,3,4},TTSSKĐ!W286,TTSSKĐ!AA286,TTSSKĐ!AE286,TTSSKĐ!AI286)))</f>
        <v>0</v>
      </c>
      <c r="D286">
        <f>SUMPRODUCT((MONTH(CHOOSE({1,2,3,4},TTSSKĐ!T286,TTSSKĐ!X286,TTSSKĐ!AB286,TTSSKĐ!AF286))=4)*(CHOOSE({1,2,3,4},TTSSKĐ!W286,TTSSKĐ!AA286,TTSSKĐ!AE286,TTSSKĐ!AI286)))</f>
        <v>0</v>
      </c>
      <c r="E286">
        <f>SUMPRODUCT((MONTH(CHOOSE({1,2,3,4},TTSSKĐ!T286,TTSSKĐ!X286,TTSSKĐ!AB286,TTSSKĐ!AF286))=5)*(CHOOSE({1,2,3,4},TTSSKĐ!W286,TTSSKĐ!AA286,TTSSKĐ!AE286,TTSSKĐ!AI286)))</f>
        <v>0</v>
      </c>
      <c r="F286">
        <f>SUMPRODUCT((MONTH(CHOOSE({1,2,3,4},TTSSKĐ!T286,TTSSKĐ!X286,TTSSKĐ!AB286,TTSSKĐ!AF286))=6)*(CHOOSE({1,2,3,4},TTSSKĐ!W286,TTSSKĐ!AA286,TTSSKĐ!AE286,TTSSKĐ!AI286)))</f>
        <v>0</v>
      </c>
      <c r="G286">
        <f>SUMPRODUCT((MONTH(CHOOSE({1,2,3,4},TTSSKĐ!T286,TTSSKĐ!X286,TTSSKĐ!AB286,TTSSKĐ!AF286))=7)*(CHOOSE({1,2,3,4},TTSSKĐ!W286,TTSSKĐ!AA286,TTSSKĐ!AE286,TTSSKĐ!AI286)))</f>
        <v>0</v>
      </c>
      <c r="H286">
        <f>SUMPRODUCT((MONTH(CHOOSE({1,2,3,4},TTSSKĐ!T286,TTSSKĐ!X286,TTSSKĐ!AB286,TTSSKĐ!AF286))=8)*(CHOOSE({1,2,3,4},TTSSKĐ!W286,TTSSKĐ!AA286,TTSSKĐ!AE286,TTSSKĐ!AI286)))</f>
        <v>0</v>
      </c>
      <c r="I286">
        <f>SUMPRODUCT((MONTH(CHOOSE({1,2,3,4},TTSSKĐ!T286,TTSSKĐ!X286,TTSSKĐ!AB286,TTSSKĐ!AF286))=9)*(CHOOSE({1,2,3,4},TTSSKĐ!W286,TTSSKĐ!AA286,TTSSKĐ!AE286,TTSSKĐ!AI286)))</f>
        <v>0</v>
      </c>
      <c r="J286">
        <f>SUMPRODUCT((MONTH(CHOOSE({1,2,3,4},TTSSKĐ!T286,TTSSKĐ!X286,TTSSKĐ!AB286,TTSSKĐ!AF286))=10)*(CHOOSE({1,2,3,4},TTSSKĐ!W286,TTSSKĐ!AA286,TTSSKĐ!AE286,TTSSKĐ!AI286)))</f>
        <v>0</v>
      </c>
      <c r="K286">
        <f>SUMPRODUCT((MONTH(CHOOSE({1,2,3,4},TTSSKĐ!T286,TTSSKĐ!X286,TTSSKĐ!AB286,TTSSKĐ!AF286))=11)*(CHOOSE({1,2,3,4},TTSSKĐ!W286,TTSSKĐ!AA286,TTSSKĐ!AE286,TTSSKĐ!AI286)))</f>
        <v>0</v>
      </c>
      <c r="L286">
        <f>SUMPRODUCT((MONTH(CHOOSE({1,2,3,4},TTSSKĐ!T286,TTSSKĐ!X286,TTSSKĐ!AB286,TTSSKĐ!AF286))=12)*(CHOOSE({1,2,3,4},TTSSKĐ!W286,TTSSKĐ!AA286,TTSSKĐ!AE286,TTSSKĐ!AI286)))</f>
        <v>0</v>
      </c>
    </row>
    <row r="287" spans="1:12">
      <c r="A287">
        <f>SUMPRODUCT((MONTH(CHOOSE({1,2,3,4},TTSSKĐ!T287,TTSSKĐ!X287,TTSSKĐ!AB287,TTSSKĐ!AF287))=1)*(CHOOSE({1,2,3,4},TTSSKĐ!W287,TTSSKĐ!AA287,TTSSKĐ!AE287,TTSSKĐ!AI287)))</f>
        <v>0</v>
      </c>
      <c r="B287">
        <f>SUMPRODUCT((MONTH(CHOOSE({1,2,3,4},TTSSKĐ!T287,TTSSKĐ!X287,TTSSKĐ!AB287,TTSSKĐ!AF287))=2)*(CHOOSE({1,2,3,4},TTSSKĐ!W287,TTSSKĐ!AA287,TTSSKĐ!AE287,TTSSKĐ!AI287)))</f>
        <v>0</v>
      </c>
      <c r="C287">
        <f>SUMPRODUCT((MONTH(CHOOSE({1,2,3,4},TTSSKĐ!T287,TTSSKĐ!X287,TTSSKĐ!AB287,TTSSKĐ!AF287))=3)*(CHOOSE({1,2,3,4},TTSSKĐ!W287,TTSSKĐ!AA287,TTSSKĐ!AE287,TTSSKĐ!AI287)))</f>
        <v>0</v>
      </c>
      <c r="D287">
        <f>SUMPRODUCT((MONTH(CHOOSE({1,2,3,4},TTSSKĐ!T287,TTSSKĐ!X287,TTSSKĐ!AB287,TTSSKĐ!AF287))=4)*(CHOOSE({1,2,3,4},TTSSKĐ!W287,TTSSKĐ!AA287,TTSSKĐ!AE287,TTSSKĐ!AI287)))</f>
        <v>0</v>
      </c>
      <c r="E287">
        <f>SUMPRODUCT((MONTH(CHOOSE({1,2,3,4},TTSSKĐ!T287,TTSSKĐ!X287,TTSSKĐ!AB287,TTSSKĐ!AF287))=5)*(CHOOSE({1,2,3,4},TTSSKĐ!W287,TTSSKĐ!AA287,TTSSKĐ!AE287,TTSSKĐ!AI287)))</f>
        <v>0</v>
      </c>
      <c r="F287">
        <f>SUMPRODUCT((MONTH(CHOOSE({1,2,3,4},TTSSKĐ!T287,TTSSKĐ!X287,TTSSKĐ!AB287,TTSSKĐ!AF287))=6)*(CHOOSE({1,2,3,4},TTSSKĐ!W287,TTSSKĐ!AA287,TTSSKĐ!AE287,TTSSKĐ!AI287)))</f>
        <v>0</v>
      </c>
      <c r="G287">
        <f>SUMPRODUCT((MONTH(CHOOSE({1,2,3,4},TTSSKĐ!T287,TTSSKĐ!X287,TTSSKĐ!AB287,TTSSKĐ!AF287))=7)*(CHOOSE({1,2,3,4},TTSSKĐ!W287,TTSSKĐ!AA287,TTSSKĐ!AE287,TTSSKĐ!AI287)))</f>
        <v>0</v>
      </c>
      <c r="H287">
        <f>SUMPRODUCT((MONTH(CHOOSE({1,2,3,4},TTSSKĐ!T287,TTSSKĐ!X287,TTSSKĐ!AB287,TTSSKĐ!AF287))=8)*(CHOOSE({1,2,3,4},TTSSKĐ!W287,TTSSKĐ!AA287,TTSSKĐ!AE287,TTSSKĐ!AI287)))</f>
        <v>0</v>
      </c>
      <c r="I287">
        <f>SUMPRODUCT((MONTH(CHOOSE({1,2,3,4},TTSSKĐ!T287,TTSSKĐ!X287,TTSSKĐ!AB287,TTSSKĐ!AF287))=9)*(CHOOSE({1,2,3,4},TTSSKĐ!W287,TTSSKĐ!AA287,TTSSKĐ!AE287,TTSSKĐ!AI287)))</f>
        <v>0</v>
      </c>
      <c r="J287">
        <f>SUMPRODUCT((MONTH(CHOOSE({1,2,3,4},TTSSKĐ!T287,TTSSKĐ!X287,TTSSKĐ!AB287,TTSSKĐ!AF287))=10)*(CHOOSE({1,2,3,4},TTSSKĐ!W287,TTSSKĐ!AA287,TTSSKĐ!AE287,TTSSKĐ!AI287)))</f>
        <v>0</v>
      </c>
      <c r="K287">
        <f>SUMPRODUCT((MONTH(CHOOSE({1,2,3,4},TTSSKĐ!T287,TTSSKĐ!X287,TTSSKĐ!AB287,TTSSKĐ!AF287))=11)*(CHOOSE({1,2,3,4},TTSSKĐ!W287,TTSSKĐ!AA287,TTSSKĐ!AE287,TTSSKĐ!AI287)))</f>
        <v>0</v>
      </c>
      <c r="L287">
        <f>SUMPRODUCT((MONTH(CHOOSE({1,2,3,4},TTSSKĐ!T287,TTSSKĐ!X287,TTSSKĐ!AB287,TTSSKĐ!AF287))=12)*(CHOOSE({1,2,3,4},TTSSKĐ!W287,TTSSKĐ!AA287,TTSSKĐ!AE287,TTSSKĐ!AI287)))</f>
        <v>0</v>
      </c>
    </row>
    <row r="288" spans="1:12">
      <c r="A288">
        <f>SUMPRODUCT((MONTH(CHOOSE({1,2,3,4},TTSSKĐ!T288,TTSSKĐ!X288,TTSSKĐ!AB288,TTSSKĐ!AF288))=1)*(CHOOSE({1,2,3,4},TTSSKĐ!W288,TTSSKĐ!AA288,TTSSKĐ!AE288,TTSSKĐ!AI288)))</f>
        <v>0</v>
      </c>
      <c r="B288">
        <f>SUMPRODUCT((MONTH(CHOOSE({1,2,3,4},TTSSKĐ!T288,TTSSKĐ!X288,TTSSKĐ!AB288,TTSSKĐ!AF288))=2)*(CHOOSE({1,2,3,4},TTSSKĐ!W288,TTSSKĐ!AA288,TTSSKĐ!AE288,TTSSKĐ!AI288)))</f>
        <v>0</v>
      </c>
      <c r="C288">
        <f>SUMPRODUCT((MONTH(CHOOSE({1,2,3,4},TTSSKĐ!T288,TTSSKĐ!X288,TTSSKĐ!AB288,TTSSKĐ!AF288))=3)*(CHOOSE({1,2,3,4},TTSSKĐ!W288,TTSSKĐ!AA288,TTSSKĐ!AE288,TTSSKĐ!AI288)))</f>
        <v>0</v>
      </c>
      <c r="D288">
        <f>SUMPRODUCT((MONTH(CHOOSE({1,2,3,4},TTSSKĐ!T288,TTSSKĐ!X288,TTSSKĐ!AB288,TTSSKĐ!AF288))=4)*(CHOOSE({1,2,3,4},TTSSKĐ!W288,TTSSKĐ!AA288,TTSSKĐ!AE288,TTSSKĐ!AI288)))</f>
        <v>0</v>
      </c>
      <c r="E288">
        <f>SUMPRODUCT((MONTH(CHOOSE({1,2,3,4},TTSSKĐ!T288,TTSSKĐ!X288,TTSSKĐ!AB288,TTSSKĐ!AF288))=5)*(CHOOSE({1,2,3,4},TTSSKĐ!W288,TTSSKĐ!AA288,TTSSKĐ!AE288,TTSSKĐ!AI288)))</f>
        <v>0</v>
      </c>
      <c r="F288">
        <f>SUMPRODUCT((MONTH(CHOOSE({1,2,3,4},TTSSKĐ!T288,TTSSKĐ!X288,TTSSKĐ!AB288,TTSSKĐ!AF288))=6)*(CHOOSE({1,2,3,4},TTSSKĐ!W288,TTSSKĐ!AA288,TTSSKĐ!AE288,TTSSKĐ!AI288)))</f>
        <v>0</v>
      </c>
      <c r="G288">
        <f>SUMPRODUCT((MONTH(CHOOSE({1,2,3,4},TTSSKĐ!T288,TTSSKĐ!X288,TTSSKĐ!AB288,TTSSKĐ!AF288))=7)*(CHOOSE({1,2,3,4},TTSSKĐ!W288,TTSSKĐ!AA288,TTSSKĐ!AE288,TTSSKĐ!AI288)))</f>
        <v>0</v>
      </c>
      <c r="H288">
        <f>SUMPRODUCT((MONTH(CHOOSE({1,2,3,4},TTSSKĐ!T288,TTSSKĐ!X288,TTSSKĐ!AB288,TTSSKĐ!AF288))=8)*(CHOOSE({1,2,3,4},TTSSKĐ!W288,TTSSKĐ!AA288,TTSSKĐ!AE288,TTSSKĐ!AI288)))</f>
        <v>0</v>
      </c>
      <c r="I288">
        <f>SUMPRODUCT((MONTH(CHOOSE({1,2,3,4},TTSSKĐ!T288,TTSSKĐ!X288,TTSSKĐ!AB288,TTSSKĐ!AF288))=9)*(CHOOSE({1,2,3,4},TTSSKĐ!W288,TTSSKĐ!AA288,TTSSKĐ!AE288,TTSSKĐ!AI288)))</f>
        <v>0</v>
      </c>
      <c r="J288">
        <f>SUMPRODUCT((MONTH(CHOOSE({1,2,3,4},TTSSKĐ!T288,TTSSKĐ!X288,TTSSKĐ!AB288,TTSSKĐ!AF288))=10)*(CHOOSE({1,2,3,4},TTSSKĐ!W288,TTSSKĐ!AA288,TTSSKĐ!AE288,TTSSKĐ!AI288)))</f>
        <v>0</v>
      </c>
      <c r="K288">
        <f>SUMPRODUCT((MONTH(CHOOSE({1,2,3,4},TTSSKĐ!T288,TTSSKĐ!X288,TTSSKĐ!AB288,TTSSKĐ!AF288))=11)*(CHOOSE({1,2,3,4},TTSSKĐ!W288,TTSSKĐ!AA288,TTSSKĐ!AE288,TTSSKĐ!AI288)))</f>
        <v>0</v>
      </c>
      <c r="L288">
        <f>SUMPRODUCT((MONTH(CHOOSE({1,2,3,4},TTSSKĐ!T288,TTSSKĐ!X288,TTSSKĐ!AB288,TTSSKĐ!AF288))=12)*(CHOOSE({1,2,3,4},TTSSKĐ!W288,TTSSKĐ!AA288,TTSSKĐ!AE288,TTSSKĐ!AI288)))</f>
        <v>0</v>
      </c>
    </row>
    <row r="289" spans="1:12">
      <c r="A289">
        <f>SUMPRODUCT((MONTH(CHOOSE({1,2,3,4},TTSSKĐ!T289,TTSSKĐ!X289,TTSSKĐ!AB289,TTSSKĐ!AF289))=1)*(CHOOSE({1,2,3,4},TTSSKĐ!W289,TTSSKĐ!AA289,TTSSKĐ!AE289,TTSSKĐ!AI289)))</f>
        <v>0</v>
      </c>
      <c r="B289">
        <f>SUMPRODUCT((MONTH(CHOOSE({1,2,3,4},TTSSKĐ!T289,TTSSKĐ!X289,TTSSKĐ!AB289,TTSSKĐ!AF289))=2)*(CHOOSE({1,2,3,4},TTSSKĐ!W289,TTSSKĐ!AA289,TTSSKĐ!AE289,TTSSKĐ!AI289)))</f>
        <v>0</v>
      </c>
      <c r="C289">
        <f>SUMPRODUCT((MONTH(CHOOSE({1,2,3,4},TTSSKĐ!T289,TTSSKĐ!X289,TTSSKĐ!AB289,TTSSKĐ!AF289))=3)*(CHOOSE({1,2,3,4},TTSSKĐ!W289,TTSSKĐ!AA289,TTSSKĐ!AE289,TTSSKĐ!AI289)))</f>
        <v>0</v>
      </c>
      <c r="D289">
        <f>SUMPRODUCT((MONTH(CHOOSE({1,2,3,4},TTSSKĐ!T289,TTSSKĐ!X289,TTSSKĐ!AB289,TTSSKĐ!AF289))=4)*(CHOOSE({1,2,3,4},TTSSKĐ!W289,TTSSKĐ!AA289,TTSSKĐ!AE289,TTSSKĐ!AI289)))</f>
        <v>0</v>
      </c>
      <c r="E289">
        <f>SUMPRODUCT((MONTH(CHOOSE({1,2,3,4},TTSSKĐ!T289,TTSSKĐ!X289,TTSSKĐ!AB289,TTSSKĐ!AF289))=5)*(CHOOSE({1,2,3,4},TTSSKĐ!W289,TTSSKĐ!AA289,TTSSKĐ!AE289,TTSSKĐ!AI289)))</f>
        <v>0</v>
      </c>
      <c r="F289">
        <f>SUMPRODUCT((MONTH(CHOOSE({1,2,3,4},TTSSKĐ!T289,TTSSKĐ!X289,TTSSKĐ!AB289,TTSSKĐ!AF289))=6)*(CHOOSE({1,2,3,4},TTSSKĐ!W289,TTSSKĐ!AA289,TTSSKĐ!AE289,TTSSKĐ!AI289)))</f>
        <v>0</v>
      </c>
      <c r="G289">
        <f>SUMPRODUCT((MONTH(CHOOSE({1,2,3,4},TTSSKĐ!T289,TTSSKĐ!X289,TTSSKĐ!AB289,TTSSKĐ!AF289))=7)*(CHOOSE({1,2,3,4},TTSSKĐ!W289,TTSSKĐ!AA289,TTSSKĐ!AE289,TTSSKĐ!AI289)))</f>
        <v>0</v>
      </c>
      <c r="H289">
        <f>SUMPRODUCT((MONTH(CHOOSE({1,2,3,4},TTSSKĐ!T289,TTSSKĐ!X289,TTSSKĐ!AB289,TTSSKĐ!AF289))=8)*(CHOOSE({1,2,3,4},TTSSKĐ!W289,TTSSKĐ!AA289,TTSSKĐ!AE289,TTSSKĐ!AI289)))</f>
        <v>0</v>
      </c>
      <c r="I289">
        <f>SUMPRODUCT((MONTH(CHOOSE({1,2,3,4},TTSSKĐ!T289,TTSSKĐ!X289,TTSSKĐ!AB289,TTSSKĐ!AF289))=9)*(CHOOSE({1,2,3,4},TTSSKĐ!W289,TTSSKĐ!AA289,TTSSKĐ!AE289,TTSSKĐ!AI289)))</f>
        <v>0</v>
      </c>
      <c r="J289">
        <f>SUMPRODUCT((MONTH(CHOOSE({1,2,3,4},TTSSKĐ!T289,TTSSKĐ!X289,TTSSKĐ!AB289,TTSSKĐ!AF289))=10)*(CHOOSE({1,2,3,4},TTSSKĐ!W289,TTSSKĐ!AA289,TTSSKĐ!AE289,TTSSKĐ!AI289)))</f>
        <v>0</v>
      </c>
      <c r="K289">
        <f>SUMPRODUCT((MONTH(CHOOSE({1,2,3,4},TTSSKĐ!T289,TTSSKĐ!X289,TTSSKĐ!AB289,TTSSKĐ!AF289))=11)*(CHOOSE({1,2,3,4},TTSSKĐ!W289,TTSSKĐ!AA289,TTSSKĐ!AE289,TTSSKĐ!AI289)))</f>
        <v>0</v>
      </c>
      <c r="L289">
        <f>SUMPRODUCT((MONTH(CHOOSE({1,2,3,4},TTSSKĐ!T289,TTSSKĐ!X289,TTSSKĐ!AB289,TTSSKĐ!AF289))=12)*(CHOOSE({1,2,3,4},TTSSKĐ!W289,TTSSKĐ!AA289,TTSSKĐ!AE289,TTSSKĐ!AI289)))</f>
        <v>0</v>
      </c>
    </row>
    <row r="290" spans="1:12">
      <c r="A290">
        <f>SUMPRODUCT((MONTH(CHOOSE({1,2,3,4},TTSSKĐ!T290,TTSSKĐ!X290,TTSSKĐ!AB290,TTSSKĐ!AF290))=1)*(CHOOSE({1,2,3,4},TTSSKĐ!W290,TTSSKĐ!AA290,TTSSKĐ!AE290,TTSSKĐ!AI290)))</f>
        <v>0</v>
      </c>
      <c r="B290">
        <f>SUMPRODUCT((MONTH(CHOOSE({1,2,3,4},TTSSKĐ!T290,TTSSKĐ!X290,TTSSKĐ!AB290,TTSSKĐ!AF290))=2)*(CHOOSE({1,2,3,4},TTSSKĐ!W290,TTSSKĐ!AA290,TTSSKĐ!AE290,TTSSKĐ!AI290)))</f>
        <v>0</v>
      </c>
      <c r="C290">
        <f>SUMPRODUCT((MONTH(CHOOSE({1,2,3,4},TTSSKĐ!T290,TTSSKĐ!X290,TTSSKĐ!AB290,TTSSKĐ!AF290))=3)*(CHOOSE({1,2,3,4},TTSSKĐ!W290,TTSSKĐ!AA290,TTSSKĐ!AE290,TTSSKĐ!AI290)))</f>
        <v>0</v>
      </c>
      <c r="D290">
        <f>SUMPRODUCT((MONTH(CHOOSE({1,2,3,4},TTSSKĐ!T290,TTSSKĐ!X290,TTSSKĐ!AB290,TTSSKĐ!AF290))=4)*(CHOOSE({1,2,3,4},TTSSKĐ!W290,TTSSKĐ!AA290,TTSSKĐ!AE290,TTSSKĐ!AI290)))</f>
        <v>0</v>
      </c>
      <c r="E290">
        <f>SUMPRODUCT((MONTH(CHOOSE({1,2,3,4},TTSSKĐ!T290,TTSSKĐ!X290,TTSSKĐ!AB290,TTSSKĐ!AF290))=5)*(CHOOSE({1,2,3,4},TTSSKĐ!W290,TTSSKĐ!AA290,TTSSKĐ!AE290,TTSSKĐ!AI290)))</f>
        <v>0</v>
      </c>
      <c r="F290">
        <f>SUMPRODUCT((MONTH(CHOOSE({1,2,3,4},TTSSKĐ!T290,TTSSKĐ!X290,TTSSKĐ!AB290,TTSSKĐ!AF290))=6)*(CHOOSE({1,2,3,4},TTSSKĐ!W290,TTSSKĐ!AA290,TTSSKĐ!AE290,TTSSKĐ!AI290)))</f>
        <v>0</v>
      </c>
      <c r="G290">
        <f>SUMPRODUCT((MONTH(CHOOSE({1,2,3,4},TTSSKĐ!T290,TTSSKĐ!X290,TTSSKĐ!AB290,TTSSKĐ!AF290))=7)*(CHOOSE({1,2,3,4},TTSSKĐ!W290,TTSSKĐ!AA290,TTSSKĐ!AE290,TTSSKĐ!AI290)))</f>
        <v>0</v>
      </c>
      <c r="H290">
        <f>SUMPRODUCT((MONTH(CHOOSE({1,2,3,4},TTSSKĐ!T290,TTSSKĐ!X290,TTSSKĐ!AB290,TTSSKĐ!AF290))=8)*(CHOOSE({1,2,3,4},TTSSKĐ!W290,TTSSKĐ!AA290,TTSSKĐ!AE290,TTSSKĐ!AI290)))</f>
        <v>0</v>
      </c>
      <c r="I290">
        <f>SUMPRODUCT((MONTH(CHOOSE({1,2,3,4},TTSSKĐ!T290,TTSSKĐ!X290,TTSSKĐ!AB290,TTSSKĐ!AF290))=9)*(CHOOSE({1,2,3,4},TTSSKĐ!W290,TTSSKĐ!AA290,TTSSKĐ!AE290,TTSSKĐ!AI290)))</f>
        <v>0</v>
      </c>
      <c r="J290">
        <f>SUMPRODUCT((MONTH(CHOOSE({1,2,3,4},TTSSKĐ!T290,TTSSKĐ!X290,TTSSKĐ!AB290,TTSSKĐ!AF290))=10)*(CHOOSE({1,2,3,4},TTSSKĐ!W290,TTSSKĐ!AA290,TTSSKĐ!AE290,TTSSKĐ!AI290)))</f>
        <v>0</v>
      </c>
      <c r="K290">
        <f>SUMPRODUCT((MONTH(CHOOSE({1,2,3,4},TTSSKĐ!T290,TTSSKĐ!X290,TTSSKĐ!AB290,TTSSKĐ!AF290))=11)*(CHOOSE({1,2,3,4},TTSSKĐ!W290,TTSSKĐ!AA290,TTSSKĐ!AE290,TTSSKĐ!AI290)))</f>
        <v>0</v>
      </c>
      <c r="L290">
        <f>SUMPRODUCT((MONTH(CHOOSE({1,2,3,4},TTSSKĐ!T290,TTSSKĐ!X290,TTSSKĐ!AB290,TTSSKĐ!AF290))=12)*(CHOOSE({1,2,3,4},TTSSKĐ!W290,TTSSKĐ!AA290,TTSSKĐ!AE290,TTSSKĐ!AI290)))</f>
        <v>0</v>
      </c>
    </row>
    <row r="291" spans="1:12">
      <c r="A291">
        <f>SUMPRODUCT((MONTH(CHOOSE({1,2,3,4},TTSSKĐ!T291,TTSSKĐ!X291,TTSSKĐ!AB291,TTSSKĐ!AF291))=1)*(CHOOSE({1,2,3,4},TTSSKĐ!W291,TTSSKĐ!AA291,TTSSKĐ!AE291,TTSSKĐ!AI291)))</f>
        <v>0</v>
      </c>
      <c r="B291">
        <f>SUMPRODUCT((MONTH(CHOOSE({1,2,3,4},TTSSKĐ!T291,TTSSKĐ!X291,TTSSKĐ!AB291,TTSSKĐ!AF291))=2)*(CHOOSE({1,2,3,4},TTSSKĐ!W291,TTSSKĐ!AA291,TTSSKĐ!AE291,TTSSKĐ!AI291)))</f>
        <v>0</v>
      </c>
      <c r="C291">
        <f>SUMPRODUCT((MONTH(CHOOSE({1,2,3,4},TTSSKĐ!T291,TTSSKĐ!X291,TTSSKĐ!AB291,TTSSKĐ!AF291))=3)*(CHOOSE({1,2,3,4},TTSSKĐ!W291,TTSSKĐ!AA291,TTSSKĐ!AE291,TTSSKĐ!AI291)))</f>
        <v>0</v>
      </c>
      <c r="D291">
        <f>SUMPRODUCT((MONTH(CHOOSE({1,2,3,4},TTSSKĐ!T291,TTSSKĐ!X291,TTSSKĐ!AB291,TTSSKĐ!AF291))=4)*(CHOOSE({1,2,3,4},TTSSKĐ!W291,TTSSKĐ!AA291,TTSSKĐ!AE291,TTSSKĐ!AI291)))</f>
        <v>0</v>
      </c>
      <c r="E291">
        <f>SUMPRODUCT((MONTH(CHOOSE({1,2,3,4},TTSSKĐ!T291,TTSSKĐ!X291,TTSSKĐ!AB291,TTSSKĐ!AF291))=5)*(CHOOSE({1,2,3,4},TTSSKĐ!W291,TTSSKĐ!AA291,TTSSKĐ!AE291,TTSSKĐ!AI291)))</f>
        <v>0</v>
      </c>
      <c r="F291">
        <f>SUMPRODUCT((MONTH(CHOOSE({1,2,3,4},TTSSKĐ!T291,TTSSKĐ!X291,TTSSKĐ!AB291,TTSSKĐ!AF291))=6)*(CHOOSE({1,2,3,4},TTSSKĐ!W291,TTSSKĐ!AA291,TTSSKĐ!AE291,TTSSKĐ!AI291)))</f>
        <v>0</v>
      </c>
      <c r="G291">
        <f>SUMPRODUCT((MONTH(CHOOSE({1,2,3,4},TTSSKĐ!T291,TTSSKĐ!X291,TTSSKĐ!AB291,TTSSKĐ!AF291))=7)*(CHOOSE({1,2,3,4},TTSSKĐ!W291,TTSSKĐ!AA291,TTSSKĐ!AE291,TTSSKĐ!AI291)))</f>
        <v>0</v>
      </c>
      <c r="H291">
        <f>SUMPRODUCT((MONTH(CHOOSE({1,2,3,4},TTSSKĐ!T291,TTSSKĐ!X291,TTSSKĐ!AB291,TTSSKĐ!AF291))=8)*(CHOOSE({1,2,3,4},TTSSKĐ!W291,TTSSKĐ!AA291,TTSSKĐ!AE291,TTSSKĐ!AI291)))</f>
        <v>0</v>
      </c>
      <c r="I291">
        <f>SUMPRODUCT((MONTH(CHOOSE({1,2,3,4},TTSSKĐ!T291,TTSSKĐ!X291,TTSSKĐ!AB291,TTSSKĐ!AF291))=9)*(CHOOSE({1,2,3,4},TTSSKĐ!W291,TTSSKĐ!AA291,TTSSKĐ!AE291,TTSSKĐ!AI291)))</f>
        <v>0</v>
      </c>
      <c r="J291">
        <f>SUMPRODUCT((MONTH(CHOOSE({1,2,3,4},TTSSKĐ!T291,TTSSKĐ!X291,TTSSKĐ!AB291,TTSSKĐ!AF291))=10)*(CHOOSE({1,2,3,4},TTSSKĐ!W291,TTSSKĐ!AA291,TTSSKĐ!AE291,TTSSKĐ!AI291)))</f>
        <v>0</v>
      </c>
      <c r="K291">
        <f>SUMPRODUCT((MONTH(CHOOSE({1,2,3,4},TTSSKĐ!T291,TTSSKĐ!X291,TTSSKĐ!AB291,TTSSKĐ!AF291))=11)*(CHOOSE({1,2,3,4},TTSSKĐ!W291,TTSSKĐ!AA291,TTSSKĐ!AE291,TTSSKĐ!AI291)))</f>
        <v>0</v>
      </c>
      <c r="L291">
        <f>SUMPRODUCT((MONTH(CHOOSE({1,2,3,4},TTSSKĐ!T291,TTSSKĐ!X291,TTSSKĐ!AB291,TTSSKĐ!AF291))=12)*(CHOOSE({1,2,3,4},TTSSKĐ!W291,TTSSKĐ!AA291,TTSSKĐ!AE291,TTSSKĐ!AI291)))</f>
        <v>0</v>
      </c>
    </row>
    <row r="292" spans="1:12">
      <c r="A292">
        <f>SUMPRODUCT((MONTH(CHOOSE({1,2,3,4},TTSSKĐ!T292,TTSSKĐ!X292,TTSSKĐ!AB292,TTSSKĐ!AF292))=1)*(CHOOSE({1,2,3,4},TTSSKĐ!W292,TTSSKĐ!AA292,TTSSKĐ!AE292,TTSSKĐ!AI292)))</f>
        <v>0</v>
      </c>
      <c r="B292">
        <f>SUMPRODUCT((MONTH(CHOOSE({1,2,3,4},TTSSKĐ!T292,TTSSKĐ!X292,TTSSKĐ!AB292,TTSSKĐ!AF292))=2)*(CHOOSE({1,2,3,4},TTSSKĐ!W292,TTSSKĐ!AA292,TTSSKĐ!AE292,TTSSKĐ!AI292)))</f>
        <v>0</v>
      </c>
      <c r="C292">
        <f>SUMPRODUCT((MONTH(CHOOSE({1,2,3,4},TTSSKĐ!T292,TTSSKĐ!X292,TTSSKĐ!AB292,TTSSKĐ!AF292))=3)*(CHOOSE({1,2,3,4},TTSSKĐ!W292,TTSSKĐ!AA292,TTSSKĐ!AE292,TTSSKĐ!AI292)))</f>
        <v>0</v>
      </c>
      <c r="D292">
        <f>SUMPRODUCT((MONTH(CHOOSE({1,2,3,4},TTSSKĐ!T292,TTSSKĐ!X292,TTSSKĐ!AB292,TTSSKĐ!AF292))=4)*(CHOOSE({1,2,3,4},TTSSKĐ!W292,TTSSKĐ!AA292,TTSSKĐ!AE292,TTSSKĐ!AI292)))</f>
        <v>0</v>
      </c>
      <c r="E292">
        <f>SUMPRODUCT((MONTH(CHOOSE({1,2,3,4},TTSSKĐ!T292,TTSSKĐ!X292,TTSSKĐ!AB292,TTSSKĐ!AF292))=5)*(CHOOSE({1,2,3,4},TTSSKĐ!W292,TTSSKĐ!AA292,TTSSKĐ!AE292,TTSSKĐ!AI292)))</f>
        <v>0</v>
      </c>
      <c r="F292">
        <f>SUMPRODUCT((MONTH(CHOOSE({1,2,3,4},TTSSKĐ!T292,TTSSKĐ!X292,TTSSKĐ!AB292,TTSSKĐ!AF292))=6)*(CHOOSE({1,2,3,4},TTSSKĐ!W292,TTSSKĐ!AA292,TTSSKĐ!AE292,TTSSKĐ!AI292)))</f>
        <v>0</v>
      </c>
      <c r="G292">
        <f>SUMPRODUCT((MONTH(CHOOSE({1,2,3,4},TTSSKĐ!T292,TTSSKĐ!X292,TTSSKĐ!AB292,TTSSKĐ!AF292))=7)*(CHOOSE({1,2,3,4},TTSSKĐ!W292,TTSSKĐ!AA292,TTSSKĐ!AE292,TTSSKĐ!AI292)))</f>
        <v>0</v>
      </c>
      <c r="H292">
        <f>SUMPRODUCT((MONTH(CHOOSE({1,2,3,4},TTSSKĐ!T292,TTSSKĐ!X292,TTSSKĐ!AB292,TTSSKĐ!AF292))=8)*(CHOOSE({1,2,3,4},TTSSKĐ!W292,TTSSKĐ!AA292,TTSSKĐ!AE292,TTSSKĐ!AI292)))</f>
        <v>0</v>
      </c>
      <c r="I292">
        <f>SUMPRODUCT((MONTH(CHOOSE({1,2,3,4},TTSSKĐ!T292,TTSSKĐ!X292,TTSSKĐ!AB292,TTSSKĐ!AF292))=9)*(CHOOSE({1,2,3,4},TTSSKĐ!W292,TTSSKĐ!AA292,TTSSKĐ!AE292,TTSSKĐ!AI292)))</f>
        <v>0</v>
      </c>
      <c r="J292">
        <f>SUMPRODUCT((MONTH(CHOOSE({1,2,3,4},TTSSKĐ!T292,TTSSKĐ!X292,TTSSKĐ!AB292,TTSSKĐ!AF292))=10)*(CHOOSE({1,2,3,4},TTSSKĐ!W292,TTSSKĐ!AA292,TTSSKĐ!AE292,TTSSKĐ!AI292)))</f>
        <v>0</v>
      </c>
      <c r="K292">
        <f>SUMPRODUCT((MONTH(CHOOSE({1,2,3,4},TTSSKĐ!T292,TTSSKĐ!X292,TTSSKĐ!AB292,TTSSKĐ!AF292))=11)*(CHOOSE({1,2,3,4},TTSSKĐ!W292,TTSSKĐ!AA292,TTSSKĐ!AE292,TTSSKĐ!AI292)))</f>
        <v>0</v>
      </c>
      <c r="L292">
        <f>SUMPRODUCT((MONTH(CHOOSE({1,2,3,4},TTSSKĐ!T292,TTSSKĐ!X292,TTSSKĐ!AB292,TTSSKĐ!AF292))=12)*(CHOOSE({1,2,3,4},TTSSKĐ!W292,TTSSKĐ!AA292,TTSSKĐ!AE292,TTSSKĐ!AI292)))</f>
        <v>0</v>
      </c>
    </row>
    <row r="293" spans="1:12">
      <c r="A293">
        <f>SUMPRODUCT((MONTH(CHOOSE({1,2,3,4},TTSSKĐ!T293,TTSSKĐ!X293,TTSSKĐ!AB293,TTSSKĐ!AF293))=1)*(CHOOSE({1,2,3,4},TTSSKĐ!W293,TTSSKĐ!AA293,TTSSKĐ!AE293,TTSSKĐ!AI293)))</f>
        <v>0</v>
      </c>
      <c r="B293">
        <f>SUMPRODUCT((MONTH(CHOOSE({1,2,3,4},TTSSKĐ!T293,TTSSKĐ!X293,TTSSKĐ!AB293,TTSSKĐ!AF293))=2)*(CHOOSE({1,2,3,4},TTSSKĐ!W293,TTSSKĐ!AA293,TTSSKĐ!AE293,TTSSKĐ!AI293)))</f>
        <v>0</v>
      </c>
      <c r="C293">
        <f>SUMPRODUCT((MONTH(CHOOSE({1,2,3,4},TTSSKĐ!T293,TTSSKĐ!X293,TTSSKĐ!AB293,TTSSKĐ!AF293))=3)*(CHOOSE({1,2,3,4},TTSSKĐ!W293,TTSSKĐ!AA293,TTSSKĐ!AE293,TTSSKĐ!AI293)))</f>
        <v>0</v>
      </c>
      <c r="D293">
        <f>SUMPRODUCT((MONTH(CHOOSE({1,2,3,4},TTSSKĐ!T293,TTSSKĐ!X293,TTSSKĐ!AB293,TTSSKĐ!AF293))=4)*(CHOOSE({1,2,3,4},TTSSKĐ!W293,TTSSKĐ!AA293,TTSSKĐ!AE293,TTSSKĐ!AI293)))</f>
        <v>0</v>
      </c>
      <c r="E293">
        <f>SUMPRODUCT((MONTH(CHOOSE({1,2,3,4},TTSSKĐ!T293,TTSSKĐ!X293,TTSSKĐ!AB293,TTSSKĐ!AF293))=5)*(CHOOSE({1,2,3,4},TTSSKĐ!W293,TTSSKĐ!AA293,TTSSKĐ!AE293,TTSSKĐ!AI293)))</f>
        <v>0</v>
      </c>
      <c r="F293">
        <f>SUMPRODUCT((MONTH(CHOOSE({1,2,3,4},TTSSKĐ!T293,TTSSKĐ!X293,TTSSKĐ!AB293,TTSSKĐ!AF293))=6)*(CHOOSE({1,2,3,4},TTSSKĐ!W293,TTSSKĐ!AA293,TTSSKĐ!AE293,TTSSKĐ!AI293)))</f>
        <v>0</v>
      </c>
      <c r="G293">
        <f>SUMPRODUCT((MONTH(CHOOSE({1,2,3,4},TTSSKĐ!T293,TTSSKĐ!X293,TTSSKĐ!AB293,TTSSKĐ!AF293))=7)*(CHOOSE({1,2,3,4},TTSSKĐ!W293,TTSSKĐ!AA293,TTSSKĐ!AE293,TTSSKĐ!AI293)))</f>
        <v>0</v>
      </c>
      <c r="H293">
        <f>SUMPRODUCT((MONTH(CHOOSE({1,2,3,4},TTSSKĐ!T293,TTSSKĐ!X293,TTSSKĐ!AB293,TTSSKĐ!AF293))=8)*(CHOOSE({1,2,3,4},TTSSKĐ!W293,TTSSKĐ!AA293,TTSSKĐ!AE293,TTSSKĐ!AI293)))</f>
        <v>0</v>
      </c>
      <c r="I293">
        <f>SUMPRODUCT((MONTH(CHOOSE({1,2,3,4},TTSSKĐ!T293,TTSSKĐ!X293,TTSSKĐ!AB293,TTSSKĐ!AF293))=9)*(CHOOSE({1,2,3,4},TTSSKĐ!W293,TTSSKĐ!AA293,TTSSKĐ!AE293,TTSSKĐ!AI293)))</f>
        <v>0</v>
      </c>
      <c r="J293">
        <f>SUMPRODUCT((MONTH(CHOOSE({1,2,3,4},TTSSKĐ!T293,TTSSKĐ!X293,TTSSKĐ!AB293,TTSSKĐ!AF293))=10)*(CHOOSE({1,2,3,4},TTSSKĐ!W293,TTSSKĐ!AA293,TTSSKĐ!AE293,TTSSKĐ!AI293)))</f>
        <v>0</v>
      </c>
      <c r="K293">
        <f>SUMPRODUCT((MONTH(CHOOSE({1,2,3,4},TTSSKĐ!T293,TTSSKĐ!X293,TTSSKĐ!AB293,TTSSKĐ!AF293))=11)*(CHOOSE({1,2,3,4},TTSSKĐ!W293,TTSSKĐ!AA293,TTSSKĐ!AE293,TTSSKĐ!AI293)))</f>
        <v>0</v>
      </c>
      <c r="L293">
        <f>SUMPRODUCT((MONTH(CHOOSE({1,2,3,4},TTSSKĐ!T293,TTSSKĐ!X293,TTSSKĐ!AB293,TTSSKĐ!AF293))=12)*(CHOOSE({1,2,3,4},TTSSKĐ!W293,TTSSKĐ!AA293,TTSSKĐ!AE293,TTSSKĐ!AI293)))</f>
        <v>0</v>
      </c>
    </row>
    <row r="294" spans="1:12">
      <c r="A294">
        <f>SUMPRODUCT((MONTH(CHOOSE({1,2,3,4},TTSSKĐ!T294,TTSSKĐ!X294,TTSSKĐ!AB294,TTSSKĐ!AF294))=1)*(CHOOSE({1,2,3,4},TTSSKĐ!W294,TTSSKĐ!AA294,TTSSKĐ!AE294,TTSSKĐ!AI294)))</f>
        <v>0</v>
      </c>
      <c r="B294">
        <f>SUMPRODUCT((MONTH(CHOOSE({1,2,3,4},TTSSKĐ!T294,TTSSKĐ!X294,TTSSKĐ!AB294,TTSSKĐ!AF294))=2)*(CHOOSE({1,2,3,4},TTSSKĐ!W294,TTSSKĐ!AA294,TTSSKĐ!AE294,TTSSKĐ!AI294)))</f>
        <v>0</v>
      </c>
      <c r="C294">
        <f>SUMPRODUCT((MONTH(CHOOSE({1,2,3,4},TTSSKĐ!T294,TTSSKĐ!X294,TTSSKĐ!AB294,TTSSKĐ!AF294))=3)*(CHOOSE({1,2,3,4},TTSSKĐ!W294,TTSSKĐ!AA294,TTSSKĐ!AE294,TTSSKĐ!AI294)))</f>
        <v>0</v>
      </c>
      <c r="D294">
        <f>SUMPRODUCT((MONTH(CHOOSE({1,2,3,4},TTSSKĐ!T294,TTSSKĐ!X294,TTSSKĐ!AB294,TTSSKĐ!AF294))=4)*(CHOOSE({1,2,3,4},TTSSKĐ!W294,TTSSKĐ!AA294,TTSSKĐ!AE294,TTSSKĐ!AI294)))</f>
        <v>0</v>
      </c>
      <c r="E294">
        <f>SUMPRODUCT((MONTH(CHOOSE({1,2,3,4},TTSSKĐ!T294,TTSSKĐ!X294,TTSSKĐ!AB294,TTSSKĐ!AF294))=5)*(CHOOSE({1,2,3,4},TTSSKĐ!W294,TTSSKĐ!AA294,TTSSKĐ!AE294,TTSSKĐ!AI294)))</f>
        <v>0</v>
      </c>
      <c r="F294">
        <f>SUMPRODUCT((MONTH(CHOOSE({1,2,3,4},TTSSKĐ!T294,TTSSKĐ!X294,TTSSKĐ!AB294,TTSSKĐ!AF294))=6)*(CHOOSE({1,2,3,4},TTSSKĐ!W294,TTSSKĐ!AA294,TTSSKĐ!AE294,TTSSKĐ!AI294)))</f>
        <v>0</v>
      </c>
      <c r="G294">
        <f>SUMPRODUCT((MONTH(CHOOSE({1,2,3,4},TTSSKĐ!T294,TTSSKĐ!X294,TTSSKĐ!AB294,TTSSKĐ!AF294))=7)*(CHOOSE({1,2,3,4},TTSSKĐ!W294,TTSSKĐ!AA294,TTSSKĐ!AE294,TTSSKĐ!AI294)))</f>
        <v>0</v>
      </c>
      <c r="H294">
        <f>SUMPRODUCT((MONTH(CHOOSE({1,2,3,4},TTSSKĐ!T294,TTSSKĐ!X294,TTSSKĐ!AB294,TTSSKĐ!AF294))=8)*(CHOOSE({1,2,3,4},TTSSKĐ!W294,TTSSKĐ!AA294,TTSSKĐ!AE294,TTSSKĐ!AI294)))</f>
        <v>0</v>
      </c>
      <c r="I294">
        <f>SUMPRODUCT((MONTH(CHOOSE({1,2,3,4},TTSSKĐ!T294,TTSSKĐ!X294,TTSSKĐ!AB294,TTSSKĐ!AF294))=9)*(CHOOSE({1,2,3,4},TTSSKĐ!W294,TTSSKĐ!AA294,TTSSKĐ!AE294,TTSSKĐ!AI294)))</f>
        <v>0</v>
      </c>
      <c r="J294">
        <f>SUMPRODUCT((MONTH(CHOOSE({1,2,3,4},TTSSKĐ!T294,TTSSKĐ!X294,TTSSKĐ!AB294,TTSSKĐ!AF294))=10)*(CHOOSE({1,2,3,4},TTSSKĐ!W294,TTSSKĐ!AA294,TTSSKĐ!AE294,TTSSKĐ!AI294)))</f>
        <v>0</v>
      </c>
      <c r="K294">
        <f>SUMPRODUCT((MONTH(CHOOSE({1,2,3,4},TTSSKĐ!T294,TTSSKĐ!X294,TTSSKĐ!AB294,TTSSKĐ!AF294))=11)*(CHOOSE({1,2,3,4},TTSSKĐ!W294,TTSSKĐ!AA294,TTSSKĐ!AE294,TTSSKĐ!AI294)))</f>
        <v>0</v>
      </c>
      <c r="L294">
        <f>SUMPRODUCT((MONTH(CHOOSE({1,2,3,4},TTSSKĐ!T294,TTSSKĐ!X294,TTSSKĐ!AB294,TTSSKĐ!AF294))=12)*(CHOOSE({1,2,3,4},TTSSKĐ!W294,TTSSKĐ!AA294,TTSSKĐ!AE294,TTSSKĐ!AI294)))</f>
        <v>0</v>
      </c>
    </row>
    <row r="295" spans="1:12">
      <c r="A295">
        <f>SUMPRODUCT((MONTH(CHOOSE({1,2,3,4},TTSSKĐ!T295,TTSSKĐ!X295,TTSSKĐ!AB295,TTSSKĐ!AF295))=1)*(CHOOSE({1,2,3,4},TTSSKĐ!W295,TTSSKĐ!AA295,TTSSKĐ!AE295,TTSSKĐ!AI295)))</f>
        <v>0</v>
      </c>
      <c r="B295">
        <f>SUMPRODUCT((MONTH(CHOOSE({1,2,3,4},TTSSKĐ!T295,TTSSKĐ!X295,TTSSKĐ!AB295,TTSSKĐ!AF295))=2)*(CHOOSE({1,2,3,4},TTSSKĐ!W295,TTSSKĐ!AA295,TTSSKĐ!AE295,TTSSKĐ!AI295)))</f>
        <v>0</v>
      </c>
      <c r="C295">
        <f>SUMPRODUCT((MONTH(CHOOSE({1,2,3,4},TTSSKĐ!T295,TTSSKĐ!X295,TTSSKĐ!AB295,TTSSKĐ!AF295))=3)*(CHOOSE({1,2,3,4},TTSSKĐ!W295,TTSSKĐ!AA295,TTSSKĐ!AE295,TTSSKĐ!AI295)))</f>
        <v>0</v>
      </c>
      <c r="D295">
        <f>SUMPRODUCT((MONTH(CHOOSE({1,2,3,4},TTSSKĐ!T295,TTSSKĐ!X295,TTSSKĐ!AB295,TTSSKĐ!AF295))=4)*(CHOOSE({1,2,3,4},TTSSKĐ!W295,TTSSKĐ!AA295,TTSSKĐ!AE295,TTSSKĐ!AI295)))</f>
        <v>0</v>
      </c>
      <c r="E295">
        <f>SUMPRODUCT((MONTH(CHOOSE({1,2,3,4},TTSSKĐ!T295,TTSSKĐ!X295,TTSSKĐ!AB295,TTSSKĐ!AF295))=5)*(CHOOSE({1,2,3,4},TTSSKĐ!W295,TTSSKĐ!AA295,TTSSKĐ!AE295,TTSSKĐ!AI295)))</f>
        <v>0</v>
      </c>
      <c r="F295">
        <f>SUMPRODUCT((MONTH(CHOOSE({1,2,3,4},TTSSKĐ!T295,TTSSKĐ!X295,TTSSKĐ!AB295,TTSSKĐ!AF295))=6)*(CHOOSE({1,2,3,4},TTSSKĐ!W295,TTSSKĐ!AA295,TTSSKĐ!AE295,TTSSKĐ!AI295)))</f>
        <v>0</v>
      </c>
      <c r="G295">
        <f>SUMPRODUCT((MONTH(CHOOSE({1,2,3,4},TTSSKĐ!T295,TTSSKĐ!X295,TTSSKĐ!AB295,TTSSKĐ!AF295))=7)*(CHOOSE({1,2,3,4},TTSSKĐ!W295,TTSSKĐ!AA295,TTSSKĐ!AE295,TTSSKĐ!AI295)))</f>
        <v>0</v>
      </c>
      <c r="H295">
        <f>SUMPRODUCT((MONTH(CHOOSE({1,2,3,4},TTSSKĐ!T295,TTSSKĐ!X295,TTSSKĐ!AB295,TTSSKĐ!AF295))=8)*(CHOOSE({1,2,3,4},TTSSKĐ!W295,TTSSKĐ!AA295,TTSSKĐ!AE295,TTSSKĐ!AI295)))</f>
        <v>0</v>
      </c>
      <c r="I295">
        <f>SUMPRODUCT((MONTH(CHOOSE({1,2,3,4},TTSSKĐ!T295,TTSSKĐ!X295,TTSSKĐ!AB295,TTSSKĐ!AF295))=9)*(CHOOSE({1,2,3,4},TTSSKĐ!W295,TTSSKĐ!AA295,TTSSKĐ!AE295,TTSSKĐ!AI295)))</f>
        <v>0</v>
      </c>
      <c r="J295">
        <f>SUMPRODUCT((MONTH(CHOOSE({1,2,3,4},TTSSKĐ!T295,TTSSKĐ!X295,TTSSKĐ!AB295,TTSSKĐ!AF295))=10)*(CHOOSE({1,2,3,4},TTSSKĐ!W295,TTSSKĐ!AA295,TTSSKĐ!AE295,TTSSKĐ!AI295)))</f>
        <v>0</v>
      </c>
      <c r="K295">
        <f>SUMPRODUCT((MONTH(CHOOSE({1,2,3,4},TTSSKĐ!T295,TTSSKĐ!X295,TTSSKĐ!AB295,TTSSKĐ!AF295))=11)*(CHOOSE({1,2,3,4},TTSSKĐ!W295,TTSSKĐ!AA295,TTSSKĐ!AE295,TTSSKĐ!AI295)))</f>
        <v>0</v>
      </c>
      <c r="L295">
        <f>SUMPRODUCT((MONTH(CHOOSE({1,2,3,4},TTSSKĐ!T295,TTSSKĐ!X295,TTSSKĐ!AB295,TTSSKĐ!AF295))=12)*(CHOOSE({1,2,3,4},TTSSKĐ!W295,TTSSKĐ!AA295,TTSSKĐ!AE295,TTSSKĐ!AI295)))</f>
        <v>0</v>
      </c>
    </row>
    <row r="296" spans="1:12">
      <c r="A296">
        <f>SUMPRODUCT((MONTH(CHOOSE({1,2,3,4},TTSSKĐ!T296,TTSSKĐ!X296,TTSSKĐ!AB296,TTSSKĐ!AF296))=1)*(CHOOSE({1,2,3,4},TTSSKĐ!W296,TTSSKĐ!AA296,TTSSKĐ!AE296,TTSSKĐ!AI296)))</f>
        <v>0</v>
      </c>
      <c r="B296">
        <f>SUMPRODUCT((MONTH(CHOOSE({1,2,3,4},TTSSKĐ!T296,TTSSKĐ!X296,TTSSKĐ!AB296,TTSSKĐ!AF296))=2)*(CHOOSE({1,2,3,4},TTSSKĐ!W296,TTSSKĐ!AA296,TTSSKĐ!AE296,TTSSKĐ!AI296)))</f>
        <v>0</v>
      </c>
      <c r="C296">
        <f>SUMPRODUCT((MONTH(CHOOSE({1,2,3,4},TTSSKĐ!T296,TTSSKĐ!X296,TTSSKĐ!AB296,TTSSKĐ!AF296))=3)*(CHOOSE({1,2,3,4},TTSSKĐ!W296,TTSSKĐ!AA296,TTSSKĐ!AE296,TTSSKĐ!AI296)))</f>
        <v>0</v>
      </c>
      <c r="D296">
        <f>SUMPRODUCT((MONTH(CHOOSE({1,2,3,4},TTSSKĐ!T296,TTSSKĐ!X296,TTSSKĐ!AB296,TTSSKĐ!AF296))=4)*(CHOOSE({1,2,3,4},TTSSKĐ!W296,TTSSKĐ!AA296,TTSSKĐ!AE296,TTSSKĐ!AI296)))</f>
        <v>0</v>
      </c>
      <c r="E296">
        <f>SUMPRODUCT((MONTH(CHOOSE({1,2,3,4},TTSSKĐ!T296,TTSSKĐ!X296,TTSSKĐ!AB296,TTSSKĐ!AF296))=5)*(CHOOSE({1,2,3,4},TTSSKĐ!W296,TTSSKĐ!AA296,TTSSKĐ!AE296,TTSSKĐ!AI296)))</f>
        <v>0</v>
      </c>
      <c r="F296">
        <f>SUMPRODUCT((MONTH(CHOOSE({1,2,3,4},TTSSKĐ!T296,TTSSKĐ!X296,TTSSKĐ!AB296,TTSSKĐ!AF296))=6)*(CHOOSE({1,2,3,4},TTSSKĐ!W296,TTSSKĐ!AA296,TTSSKĐ!AE296,TTSSKĐ!AI296)))</f>
        <v>0</v>
      </c>
      <c r="G296">
        <f>SUMPRODUCT((MONTH(CHOOSE({1,2,3,4},TTSSKĐ!T296,TTSSKĐ!X296,TTSSKĐ!AB296,TTSSKĐ!AF296))=7)*(CHOOSE({1,2,3,4},TTSSKĐ!W296,TTSSKĐ!AA296,TTSSKĐ!AE296,TTSSKĐ!AI296)))</f>
        <v>0</v>
      </c>
      <c r="H296">
        <f>SUMPRODUCT((MONTH(CHOOSE({1,2,3,4},TTSSKĐ!T296,TTSSKĐ!X296,TTSSKĐ!AB296,TTSSKĐ!AF296))=8)*(CHOOSE({1,2,3,4},TTSSKĐ!W296,TTSSKĐ!AA296,TTSSKĐ!AE296,TTSSKĐ!AI296)))</f>
        <v>0</v>
      </c>
      <c r="I296">
        <f>SUMPRODUCT((MONTH(CHOOSE({1,2,3,4},TTSSKĐ!T296,TTSSKĐ!X296,TTSSKĐ!AB296,TTSSKĐ!AF296))=9)*(CHOOSE({1,2,3,4},TTSSKĐ!W296,TTSSKĐ!AA296,TTSSKĐ!AE296,TTSSKĐ!AI296)))</f>
        <v>0</v>
      </c>
      <c r="J296">
        <f>SUMPRODUCT((MONTH(CHOOSE({1,2,3,4},TTSSKĐ!T296,TTSSKĐ!X296,TTSSKĐ!AB296,TTSSKĐ!AF296))=10)*(CHOOSE({1,2,3,4},TTSSKĐ!W296,TTSSKĐ!AA296,TTSSKĐ!AE296,TTSSKĐ!AI296)))</f>
        <v>0</v>
      </c>
      <c r="K296">
        <f>SUMPRODUCT((MONTH(CHOOSE({1,2,3,4},TTSSKĐ!T296,TTSSKĐ!X296,TTSSKĐ!AB296,TTSSKĐ!AF296))=11)*(CHOOSE({1,2,3,4},TTSSKĐ!W296,TTSSKĐ!AA296,TTSSKĐ!AE296,TTSSKĐ!AI296)))</f>
        <v>0</v>
      </c>
      <c r="L296">
        <f>SUMPRODUCT((MONTH(CHOOSE({1,2,3,4},TTSSKĐ!T296,TTSSKĐ!X296,TTSSKĐ!AB296,TTSSKĐ!AF296))=12)*(CHOOSE({1,2,3,4},TTSSKĐ!W296,TTSSKĐ!AA296,TTSSKĐ!AE296,TTSSKĐ!AI296)))</f>
        <v>0</v>
      </c>
    </row>
    <row r="297" spans="1:12">
      <c r="A297">
        <f>SUMPRODUCT((MONTH(CHOOSE({1,2,3,4},TTSSKĐ!T297,TTSSKĐ!X297,TTSSKĐ!AB297,TTSSKĐ!AF297))=1)*(CHOOSE({1,2,3,4},TTSSKĐ!W297,TTSSKĐ!AA297,TTSSKĐ!AE297,TTSSKĐ!AI297)))</f>
        <v>0</v>
      </c>
      <c r="B297">
        <f>SUMPRODUCT((MONTH(CHOOSE({1,2,3,4},TTSSKĐ!T297,TTSSKĐ!X297,TTSSKĐ!AB297,TTSSKĐ!AF297))=2)*(CHOOSE({1,2,3,4},TTSSKĐ!W297,TTSSKĐ!AA297,TTSSKĐ!AE297,TTSSKĐ!AI297)))</f>
        <v>0</v>
      </c>
      <c r="C297">
        <f>SUMPRODUCT((MONTH(CHOOSE({1,2,3,4},TTSSKĐ!T297,TTSSKĐ!X297,TTSSKĐ!AB297,TTSSKĐ!AF297))=3)*(CHOOSE({1,2,3,4},TTSSKĐ!W297,TTSSKĐ!AA297,TTSSKĐ!AE297,TTSSKĐ!AI297)))</f>
        <v>0</v>
      </c>
      <c r="D297">
        <f>SUMPRODUCT((MONTH(CHOOSE({1,2,3,4},TTSSKĐ!T297,TTSSKĐ!X297,TTSSKĐ!AB297,TTSSKĐ!AF297))=4)*(CHOOSE({1,2,3,4},TTSSKĐ!W297,TTSSKĐ!AA297,TTSSKĐ!AE297,TTSSKĐ!AI297)))</f>
        <v>0</v>
      </c>
      <c r="E297">
        <f>SUMPRODUCT((MONTH(CHOOSE({1,2,3,4},TTSSKĐ!T297,TTSSKĐ!X297,TTSSKĐ!AB297,TTSSKĐ!AF297))=5)*(CHOOSE({1,2,3,4},TTSSKĐ!W297,TTSSKĐ!AA297,TTSSKĐ!AE297,TTSSKĐ!AI297)))</f>
        <v>0</v>
      </c>
      <c r="F297">
        <f>SUMPRODUCT((MONTH(CHOOSE({1,2,3,4},TTSSKĐ!T297,TTSSKĐ!X297,TTSSKĐ!AB297,TTSSKĐ!AF297))=6)*(CHOOSE({1,2,3,4},TTSSKĐ!W297,TTSSKĐ!AA297,TTSSKĐ!AE297,TTSSKĐ!AI297)))</f>
        <v>0</v>
      </c>
      <c r="G297">
        <f>SUMPRODUCT((MONTH(CHOOSE({1,2,3,4},TTSSKĐ!T297,TTSSKĐ!X297,TTSSKĐ!AB297,TTSSKĐ!AF297))=7)*(CHOOSE({1,2,3,4},TTSSKĐ!W297,TTSSKĐ!AA297,TTSSKĐ!AE297,TTSSKĐ!AI297)))</f>
        <v>0</v>
      </c>
      <c r="H297">
        <f>SUMPRODUCT((MONTH(CHOOSE({1,2,3,4},TTSSKĐ!T297,TTSSKĐ!X297,TTSSKĐ!AB297,TTSSKĐ!AF297))=8)*(CHOOSE({1,2,3,4},TTSSKĐ!W297,TTSSKĐ!AA297,TTSSKĐ!AE297,TTSSKĐ!AI297)))</f>
        <v>0</v>
      </c>
      <c r="I297">
        <f>SUMPRODUCT((MONTH(CHOOSE({1,2,3,4},TTSSKĐ!T297,TTSSKĐ!X297,TTSSKĐ!AB297,TTSSKĐ!AF297))=9)*(CHOOSE({1,2,3,4},TTSSKĐ!W297,TTSSKĐ!AA297,TTSSKĐ!AE297,TTSSKĐ!AI297)))</f>
        <v>0</v>
      </c>
      <c r="J297">
        <f>SUMPRODUCT((MONTH(CHOOSE({1,2,3,4},TTSSKĐ!T297,TTSSKĐ!X297,TTSSKĐ!AB297,TTSSKĐ!AF297))=10)*(CHOOSE({1,2,3,4},TTSSKĐ!W297,TTSSKĐ!AA297,TTSSKĐ!AE297,TTSSKĐ!AI297)))</f>
        <v>0</v>
      </c>
      <c r="K297">
        <f>SUMPRODUCT((MONTH(CHOOSE({1,2,3,4},TTSSKĐ!T297,TTSSKĐ!X297,TTSSKĐ!AB297,TTSSKĐ!AF297))=11)*(CHOOSE({1,2,3,4},TTSSKĐ!W297,TTSSKĐ!AA297,TTSSKĐ!AE297,TTSSKĐ!AI297)))</f>
        <v>0</v>
      </c>
      <c r="L297">
        <f>SUMPRODUCT((MONTH(CHOOSE({1,2,3,4},TTSSKĐ!T297,TTSSKĐ!X297,TTSSKĐ!AB297,TTSSKĐ!AF297))=12)*(CHOOSE({1,2,3,4},TTSSKĐ!W297,TTSSKĐ!AA297,TTSSKĐ!AE297,TTSSKĐ!AI297)))</f>
        <v>0</v>
      </c>
    </row>
    <row r="298" spans="1:12">
      <c r="A298">
        <f>SUMPRODUCT((MONTH(CHOOSE({1,2,3,4},TTSSKĐ!T298,TTSSKĐ!X298,TTSSKĐ!AB298,TTSSKĐ!AF298))=1)*(CHOOSE({1,2,3,4},TTSSKĐ!W298,TTSSKĐ!AA298,TTSSKĐ!AE298,TTSSKĐ!AI298)))</f>
        <v>0</v>
      </c>
      <c r="B298">
        <f>SUMPRODUCT((MONTH(CHOOSE({1,2,3,4},TTSSKĐ!T298,TTSSKĐ!X298,TTSSKĐ!AB298,TTSSKĐ!AF298))=2)*(CHOOSE({1,2,3,4},TTSSKĐ!W298,TTSSKĐ!AA298,TTSSKĐ!AE298,TTSSKĐ!AI298)))</f>
        <v>0</v>
      </c>
      <c r="C298">
        <f>SUMPRODUCT((MONTH(CHOOSE({1,2,3,4},TTSSKĐ!T298,TTSSKĐ!X298,TTSSKĐ!AB298,TTSSKĐ!AF298))=3)*(CHOOSE({1,2,3,4},TTSSKĐ!W298,TTSSKĐ!AA298,TTSSKĐ!AE298,TTSSKĐ!AI298)))</f>
        <v>0</v>
      </c>
      <c r="D298">
        <f>SUMPRODUCT((MONTH(CHOOSE({1,2,3,4},TTSSKĐ!T298,TTSSKĐ!X298,TTSSKĐ!AB298,TTSSKĐ!AF298))=4)*(CHOOSE({1,2,3,4},TTSSKĐ!W298,TTSSKĐ!AA298,TTSSKĐ!AE298,TTSSKĐ!AI298)))</f>
        <v>0</v>
      </c>
      <c r="E298">
        <f>SUMPRODUCT((MONTH(CHOOSE({1,2,3,4},TTSSKĐ!T298,TTSSKĐ!X298,TTSSKĐ!AB298,TTSSKĐ!AF298))=5)*(CHOOSE({1,2,3,4},TTSSKĐ!W298,TTSSKĐ!AA298,TTSSKĐ!AE298,TTSSKĐ!AI298)))</f>
        <v>0</v>
      </c>
      <c r="F298">
        <f>SUMPRODUCT((MONTH(CHOOSE({1,2,3,4},TTSSKĐ!T298,TTSSKĐ!X298,TTSSKĐ!AB298,TTSSKĐ!AF298))=6)*(CHOOSE({1,2,3,4},TTSSKĐ!W298,TTSSKĐ!AA298,TTSSKĐ!AE298,TTSSKĐ!AI298)))</f>
        <v>0</v>
      </c>
      <c r="G298">
        <f>SUMPRODUCT((MONTH(CHOOSE({1,2,3,4},TTSSKĐ!T298,TTSSKĐ!X298,TTSSKĐ!AB298,TTSSKĐ!AF298))=7)*(CHOOSE({1,2,3,4},TTSSKĐ!W298,TTSSKĐ!AA298,TTSSKĐ!AE298,TTSSKĐ!AI298)))</f>
        <v>0</v>
      </c>
      <c r="H298">
        <f>SUMPRODUCT((MONTH(CHOOSE({1,2,3,4},TTSSKĐ!T298,TTSSKĐ!X298,TTSSKĐ!AB298,TTSSKĐ!AF298))=8)*(CHOOSE({1,2,3,4},TTSSKĐ!W298,TTSSKĐ!AA298,TTSSKĐ!AE298,TTSSKĐ!AI298)))</f>
        <v>0</v>
      </c>
      <c r="I298">
        <f>SUMPRODUCT((MONTH(CHOOSE({1,2,3,4},TTSSKĐ!T298,TTSSKĐ!X298,TTSSKĐ!AB298,TTSSKĐ!AF298))=9)*(CHOOSE({1,2,3,4},TTSSKĐ!W298,TTSSKĐ!AA298,TTSSKĐ!AE298,TTSSKĐ!AI298)))</f>
        <v>0</v>
      </c>
      <c r="J298">
        <f>SUMPRODUCT((MONTH(CHOOSE({1,2,3,4},TTSSKĐ!T298,TTSSKĐ!X298,TTSSKĐ!AB298,TTSSKĐ!AF298))=10)*(CHOOSE({1,2,3,4},TTSSKĐ!W298,TTSSKĐ!AA298,TTSSKĐ!AE298,TTSSKĐ!AI298)))</f>
        <v>0</v>
      </c>
      <c r="K298">
        <f>SUMPRODUCT((MONTH(CHOOSE({1,2,3,4},TTSSKĐ!T298,TTSSKĐ!X298,TTSSKĐ!AB298,TTSSKĐ!AF298))=11)*(CHOOSE({1,2,3,4},TTSSKĐ!W298,TTSSKĐ!AA298,TTSSKĐ!AE298,TTSSKĐ!AI298)))</f>
        <v>0</v>
      </c>
      <c r="L298">
        <f>SUMPRODUCT((MONTH(CHOOSE({1,2,3,4},TTSSKĐ!T298,TTSSKĐ!X298,TTSSKĐ!AB298,TTSSKĐ!AF298))=12)*(CHOOSE({1,2,3,4},TTSSKĐ!W298,TTSSKĐ!AA298,TTSSKĐ!AE298,TTSSKĐ!AI298)))</f>
        <v>0</v>
      </c>
    </row>
    <row r="299" spans="1:12">
      <c r="A299">
        <f>SUMPRODUCT((MONTH(CHOOSE({1,2,3,4},TTSSKĐ!T299,TTSSKĐ!X299,TTSSKĐ!AB299,TTSSKĐ!AF299))=1)*(CHOOSE({1,2,3,4},TTSSKĐ!W299,TTSSKĐ!AA299,TTSSKĐ!AE299,TTSSKĐ!AI299)))</f>
        <v>0</v>
      </c>
      <c r="B299">
        <f>SUMPRODUCT((MONTH(CHOOSE({1,2,3,4},TTSSKĐ!T299,TTSSKĐ!X299,TTSSKĐ!AB299,TTSSKĐ!AF299))=2)*(CHOOSE({1,2,3,4},TTSSKĐ!W299,TTSSKĐ!AA299,TTSSKĐ!AE299,TTSSKĐ!AI299)))</f>
        <v>0</v>
      </c>
      <c r="C299">
        <f>SUMPRODUCT((MONTH(CHOOSE({1,2,3,4},TTSSKĐ!T299,TTSSKĐ!X299,TTSSKĐ!AB299,TTSSKĐ!AF299))=3)*(CHOOSE({1,2,3,4},TTSSKĐ!W299,TTSSKĐ!AA299,TTSSKĐ!AE299,TTSSKĐ!AI299)))</f>
        <v>0</v>
      </c>
      <c r="D299">
        <f>SUMPRODUCT((MONTH(CHOOSE({1,2,3,4},TTSSKĐ!T299,TTSSKĐ!X299,TTSSKĐ!AB299,TTSSKĐ!AF299))=4)*(CHOOSE({1,2,3,4},TTSSKĐ!W299,TTSSKĐ!AA299,TTSSKĐ!AE299,TTSSKĐ!AI299)))</f>
        <v>0</v>
      </c>
      <c r="E299">
        <f>SUMPRODUCT((MONTH(CHOOSE({1,2,3,4},TTSSKĐ!T299,TTSSKĐ!X299,TTSSKĐ!AB299,TTSSKĐ!AF299))=5)*(CHOOSE({1,2,3,4},TTSSKĐ!W299,TTSSKĐ!AA299,TTSSKĐ!AE299,TTSSKĐ!AI299)))</f>
        <v>0</v>
      </c>
      <c r="F299">
        <f>SUMPRODUCT((MONTH(CHOOSE({1,2,3,4},TTSSKĐ!T299,TTSSKĐ!X299,TTSSKĐ!AB299,TTSSKĐ!AF299))=6)*(CHOOSE({1,2,3,4},TTSSKĐ!W299,TTSSKĐ!AA299,TTSSKĐ!AE299,TTSSKĐ!AI299)))</f>
        <v>0</v>
      </c>
      <c r="G299">
        <f>SUMPRODUCT((MONTH(CHOOSE({1,2,3,4},TTSSKĐ!T299,TTSSKĐ!X299,TTSSKĐ!AB299,TTSSKĐ!AF299))=7)*(CHOOSE({1,2,3,4},TTSSKĐ!W299,TTSSKĐ!AA299,TTSSKĐ!AE299,TTSSKĐ!AI299)))</f>
        <v>0</v>
      </c>
      <c r="H299">
        <f>SUMPRODUCT((MONTH(CHOOSE({1,2,3,4},TTSSKĐ!T299,TTSSKĐ!X299,TTSSKĐ!AB299,TTSSKĐ!AF299))=8)*(CHOOSE({1,2,3,4},TTSSKĐ!W299,TTSSKĐ!AA299,TTSSKĐ!AE299,TTSSKĐ!AI299)))</f>
        <v>0</v>
      </c>
      <c r="I299">
        <f>SUMPRODUCT((MONTH(CHOOSE({1,2,3,4},TTSSKĐ!T299,TTSSKĐ!X299,TTSSKĐ!AB299,TTSSKĐ!AF299))=9)*(CHOOSE({1,2,3,4},TTSSKĐ!W299,TTSSKĐ!AA299,TTSSKĐ!AE299,TTSSKĐ!AI299)))</f>
        <v>0</v>
      </c>
      <c r="J299">
        <f>SUMPRODUCT((MONTH(CHOOSE({1,2,3,4},TTSSKĐ!T299,TTSSKĐ!X299,TTSSKĐ!AB299,TTSSKĐ!AF299))=10)*(CHOOSE({1,2,3,4},TTSSKĐ!W299,TTSSKĐ!AA299,TTSSKĐ!AE299,TTSSKĐ!AI299)))</f>
        <v>0</v>
      </c>
      <c r="K299">
        <f>SUMPRODUCT((MONTH(CHOOSE({1,2,3,4},TTSSKĐ!T299,TTSSKĐ!X299,TTSSKĐ!AB299,TTSSKĐ!AF299))=11)*(CHOOSE({1,2,3,4},TTSSKĐ!W299,TTSSKĐ!AA299,TTSSKĐ!AE299,TTSSKĐ!AI299)))</f>
        <v>0</v>
      </c>
      <c r="L299">
        <f>SUMPRODUCT((MONTH(CHOOSE({1,2,3,4},TTSSKĐ!T299,TTSSKĐ!X299,TTSSKĐ!AB299,TTSSKĐ!AF299))=12)*(CHOOSE({1,2,3,4},TTSSKĐ!W299,TTSSKĐ!AA299,TTSSKĐ!AE299,TTSSKĐ!AI299)))</f>
        <v>0</v>
      </c>
    </row>
    <row r="300" spans="1:12">
      <c r="A300">
        <f>SUMPRODUCT((MONTH(CHOOSE({1,2,3,4},TTSSKĐ!T300,TTSSKĐ!X300,TTSSKĐ!AB300,TTSSKĐ!AF300))=1)*(CHOOSE({1,2,3,4},TTSSKĐ!W300,TTSSKĐ!AA300,TTSSKĐ!AE300,TTSSKĐ!AI300)))</f>
        <v>0</v>
      </c>
      <c r="B300">
        <f>SUMPRODUCT((MONTH(CHOOSE({1,2,3,4},TTSSKĐ!T300,TTSSKĐ!X300,TTSSKĐ!AB300,TTSSKĐ!AF300))=2)*(CHOOSE({1,2,3,4},TTSSKĐ!W300,TTSSKĐ!AA300,TTSSKĐ!AE300,TTSSKĐ!AI300)))</f>
        <v>0</v>
      </c>
      <c r="C300">
        <f>SUMPRODUCT((MONTH(CHOOSE({1,2,3,4},TTSSKĐ!T300,TTSSKĐ!X300,TTSSKĐ!AB300,TTSSKĐ!AF300))=3)*(CHOOSE({1,2,3,4},TTSSKĐ!W300,TTSSKĐ!AA300,TTSSKĐ!AE300,TTSSKĐ!AI300)))</f>
        <v>0</v>
      </c>
      <c r="D300">
        <f>SUMPRODUCT((MONTH(CHOOSE({1,2,3,4},TTSSKĐ!T300,TTSSKĐ!X300,TTSSKĐ!AB300,TTSSKĐ!AF300))=4)*(CHOOSE({1,2,3,4},TTSSKĐ!W300,TTSSKĐ!AA300,TTSSKĐ!AE300,TTSSKĐ!AI300)))</f>
        <v>0</v>
      </c>
      <c r="E300">
        <f>SUMPRODUCT((MONTH(CHOOSE({1,2,3,4},TTSSKĐ!T300,TTSSKĐ!X300,TTSSKĐ!AB300,TTSSKĐ!AF300))=5)*(CHOOSE({1,2,3,4},TTSSKĐ!W300,TTSSKĐ!AA300,TTSSKĐ!AE300,TTSSKĐ!AI300)))</f>
        <v>0</v>
      </c>
      <c r="F300">
        <f>SUMPRODUCT((MONTH(CHOOSE({1,2,3,4},TTSSKĐ!T300,TTSSKĐ!X300,TTSSKĐ!AB300,TTSSKĐ!AF300))=6)*(CHOOSE({1,2,3,4},TTSSKĐ!W300,TTSSKĐ!AA300,TTSSKĐ!AE300,TTSSKĐ!AI300)))</f>
        <v>0</v>
      </c>
      <c r="G300">
        <f>SUMPRODUCT((MONTH(CHOOSE({1,2,3,4},TTSSKĐ!T300,TTSSKĐ!X300,TTSSKĐ!AB300,TTSSKĐ!AF300))=7)*(CHOOSE({1,2,3,4},TTSSKĐ!W300,TTSSKĐ!AA300,TTSSKĐ!AE300,TTSSKĐ!AI300)))</f>
        <v>0</v>
      </c>
      <c r="H300">
        <f>SUMPRODUCT((MONTH(CHOOSE({1,2,3,4},TTSSKĐ!T300,TTSSKĐ!X300,TTSSKĐ!AB300,TTSSKĐ!AF300))=8)*(CHOOSE({1,2,3,4},TTSSKĐ!W300,TTSSKĐ!AA300,TTSSKĐ!AE300,TTSSKĐ!AI300)))</f>
        <v>0</v>
      </c>
      <c r="I300">
        <f>SUMPRODUCT((MONTH(CHOOSE({1,2,3,4},TTSSKĐ!T300,TTSSKĐ!X300,TTSSKĐ!AB300,TTSSKĐ!AF300))=9)*(CHOOSE({1,2,3,4},TTSSKĐ!W300,TTSSKĐ!AA300,TTSSKĐ!AE300,TTSSKĐ!AI300)))</f>
        <v>0</v>
      </c>
      <c r="J300">
        <f>SUMPRODUCT((MONTH(CHOOSE({1,2,3,4},TTSSKĐ!T300,TTSSKĐ!X300,TTSSKĐ!AB300,TTSSKĐ!AF300))=10)*(CHOOSE({1,2,3,4},TTSSKĐ!W300,TTSSKĐ!AA300,TTSSKĐ!AE300,TTSSKĐ!AI300)))</f>
        <v>0</v>
      </c>
      <c r="K300">
        <f>SUMPRODUCT((MONTH(CHOOSE({1,2,3,4},TTSSKĐ!T300,TTSSKĐ!X300,TTSSKĐ!AB300,TTSSKĐ!AF300))=11)*(CHOOSE({1,2,3,4},TTSSKĐ!W300,TTSSKĐ!AA300,TTSSKĐ!AE300,TTSSKĐ!AI300)))</f>
        <v>0</v>
      </c>
      <c r="L300">
        <f>SUMPRODUCT((MONTH(CHOOSE({1,2,3,4},TTSSKĐ!T300,TTSSKĐ!X300,TTSSKĐ!AB300,TTSSKĐ!AF300))=12)*(CHOOSE({1,2,3,4},TTSSKĐ!W300,TTSSKĐ!AA300,TTSSKĐ!AE300,TTSSKĐ!AI300)))</f>
        <v>0</v>
      </c>
    </row>
    <row r="301" spans="1:12">
      <c r="A301">
        <f>SUMPRODUCT((MONTH(CHOOSE({1,2,3,4},TTSSKĐ!T301,TTSSKĐ!X301,TTSSKĐ!AB301,TTSSKĐ!AF301))=1)*(CHOOSE({1,2,3,4},TTSSKĐ!W301,TTSSKĐ!AA301,TTSSKĐ!AE301,TTSSKĐ!AI301)))</f>
        <v>0</v>
      </c>
      <c r="B301">
        <f>SUMPRODUCT((MONTH(CHOOSE({1,2,3,4},TTSSKĐ!T301,TTSSKĐ!X301,TTSSKĐ!AB301,TTSSKĐ!AF301))=2)*(CHOOSE({1,2,3,4},TTSSKĐ!W301,TTSSKĐ!AA301,TTSSKĐ!AE301,TTSSKĐ!AI301)))</f>
        <v>0</v>
      </c>
      <c r="C301">
        <f>SUMPRODUCT((MONTH(CHOOSE({1,2,3,4},TTSSKĐ!T301,TTSSKĐ!X301,TTSSKĐ!AB301,TTSSKĐ!AF301))=3)*(CHOOSE({1,2,3,4},TTSSKĐ!W301,TTSSKĐ!AA301,TTSSKĐ!AE301,TTSSKĐ!AI301)))</f>
        <v>0</v>
      </c>
      <c r="D301">
        <f>SUMPRODUCT((MONTH(CHOOSE({1,2,3,4},TTSSKĐ!T301,TTSSKĐ!X301,TTSSKĐ!AB301,TTSSKĐ!AF301))=4)*(CHOOSE({1,2,3,4},TTSSKĐ!W301,TTSSKĐ!AA301,TTSSKĐ!AE301,TTSSKĐ!AI301)))</f>
        <v>0</v>
      </c>
      <c r="E301">
        <f>SUMPRODUCT((MONTH(CHOOSE({1,2,3,4},TTSSKĐ!T301,TTSSKĐ!X301,TTSSKĐ!AB301,TTSSKĐ!AF301))=5)*(CHOOSE({1,2,3,4},TTSSKĐ!W301,TTSSKĐ!AA301,TTSSKĐ!AE301,TTSSKĐ!AI301)))</f>
        <v>0</v>
      </c>
      <c r="F301">
        <f>SUMPRODUCT((MONTH(CHOOSE({1,2,3,4},TTSSKĐ!T301,TTSSKĐ!X301,TTSSKĐ!AB301,TTSSKĐ!AF301))=6)*(CHOOSE({1,2,3,4},TTSSKĐ!W301,TTSSKĐ!AA301,TTSSKĐ!AE301,TTSSKĐ!AI301)))</f>
        <v>0</v>
      </c>
      <c r="G301">
        <f>SUMPRODUCT((MONTH(CHOOSE({1,2,3,4},TTSSKĐ!T301,TTSSKĐ!X301,TTSSKĐ!AB301,TTSSKĐ!AF301))=7)*(CHOOSE({1,2,3,4},TTSSKĐ!W301,TTSSKĐ!AA301,TTSSKĐ!AE301,TTSSKĐ!AI301)))</f>
        <v>0</v>
      </c>
      <c r="H301">
        <f>SUMPRODUCT((MONTH(CHOOSE({1,2,3,4},TTSSKĐ!T301,TTSSKĐ!X301,TTSSKĐ!AB301,TTSSKĐ!AF301))=8)*(CHOOSE({1,2,3,4},TTSSKĐ!W301,TTSSKĐ!AA301,TTSSKĐ!AE301,TTSSKĐ!AI301)))</f>
        <v>0</v>
      </c>
      <c r="I301">
        <f>SUMPRODUCT((MONTH(CHOOSE({1,2,3,4},TTSSKĐ!T301,TTSSKĐ!X301,TTSSKĐ!AB301,TTSSKĐ!AF301))=9)*(CHOOSE({1,2,3,4},TTSSKĐ!W301,TTSSKĐ!AA301,TTSSKĐ!AE301,TTSSKĐ!AI301)))</f>
        <v>0</v>
      </c>
      <c r="J301">
        <f>SUMPRODUCT((MONTH(CHOOSE({1,2,3,4},TTSSKĐ!T301,TTSSKĐ!X301,TTSSKĐ!AB301,TTSSKĐ!AF301))=10)*(CHOOSE({1,2,3,4},TTSSKĐ!W301,TTSSKĐ!AA301,TTSSKĐ!AE301,TTSSKĐ!AI301)))</f>
        <v>0</v>
      </c>
      <c r="K301">
        <f>SUMPRODUCT((MONTH(CHOOSE({1,2,3,4},TTSSKĐ!T301,TTSSKĐ!X301,TTSSKĐ!AB301,TTSSKĐ!AF301))=11)*(CHOOSE({1,2,3,4},TTSSKĐ!W301,TTSSKĐ!AA301,TTSSKĐ!AE301,TTSSKĐ!AI301)))</f>
        <v>0</v>
      </c>
      <c r="L301">
        <f>SUMPRODUCT((MONTH(CHOOSE({1,2,3,4},TTSSKĐ!T301,TTSSKĐ!X301,TTSSKĐ!AB301,TTSSKĐ!AF301))=12)*(CHOOSE({1,2,3,4},TTSSKĐ!W301,TTSSKĐ!AA301,TTSSKĐ!AE301,TTSSKĐ!AI301)))</f>
        <v>0</v>
      </c>
    </row>
    <row r="302" spans="1:12">
      <c r="A302">
        <f>SUMPRODUCT((MONTH(CHOOSE({1,2,3,4},TTSSKĐ!T302,TTSSKĐ!X302,TTSSKĐ!AB302,TTSSKĐ!AF302))=1)*(CHOOSE({1,2,3,4},TTSSKĐ!W302,TTSSKĐ!AA302,TTSSKĐ!AE302,TTSSKĐ!AI302)))</f>
        <v>0</v>
      </c>
      <c r="B302">
        <f>SUMPRODUCT((MONTH(CHOOSE({1,2,3,4},TTSSKĐ!T302,TTSSKĐ!X302,TTSSKĐ!AB302,TTSSKĐ!AF302))=2)*(CHOOSE({1,2,3,4},TTSSKĐ!W302,TTSSKĐ!AA302,TTSSKĐ!AE302,TTSSKĐ!AI302)))</f>
        <v>0</v>
      </c>
      <c r="C302">
        <f>SUMPRODUCT((MONTH(CHOOSE({1,2,3,4},TTSSKĐ!T302,TTSSKĐ!X302,TTSSKĐ!AB302,TTSSKĐ!AF302))=3)*(CHOOSE({1,2,3,4},TTSSKĐ!W302,TTSSKĐ!AA302,TTSSKĐ!AE302,TTSSKĐ!AI302)))</f>
        <v>0</v>
      </c>
      <c r="D302">
        <f>SUMPRODUCT((MONTH(CHOOSE({1,2,3,4},TTSSKĐ!T302,TTSSKĐ!X302,TTSSKĐ!AB302,TTSSKĐ!AF302))=4)*(CHOOSE({1,2,3,4},TTSSKĐ!W302,TTSSKĐ!AA302,TTSSKĐ!AE302,TTSSKĐ!AI302)))</f>
        <v>0</v>
      </c>
      <c r="E302">
        <f>SUMPRODUCT((MONTH(CHOOSE({1,2,3,4},TTSSKĐ!T302,TTSSKĐ!X302,TTSSKĐ!AB302,TTSSKĐ!AF302))=5)*(CHOOSE({1,2,3,4},TTSSKĐ!W302,TTSSKĐ!AA302,TTSSKĐ!AE302,TTSSKĐ!AI302)))</f>
        <v>0</v>
      </c>
      <c r="F302">
        <f>SUMPRODUCT((MONTH(CHOOSE({1,2,3,4},TTSSKĐ!T302,TTSSKĐ!X302,TTSSKĐ!AB302,TTSSKĐ!AF302))=6)*(CHOOSE({1,2,3,4},TTSSKĐ!W302,TTSSKĐ!AA302,TTSSKĐ!AE302,TTSSKĐ!AI302)))</f>
        <v>0</v>
      </c>
      <c r="G302">
        <f>SUMPRODUCT((MONTH(CHOOSE({1,2,3,4},TTSSKĐ!T302,TTSSKĐ!X302,TTSSKĐ!AB302,TTSSKĐ!AF302))=7)*(CHOOSE({1,2,3,4},TTSSKĐ!W302,TTSSKĐ!AA302,TTSSKĐ!AE302,TTSSKĐ!AI302)))</f>
        <v>0</v>
      </c>
      <c r="H302">
        <f>SUMPRODUCT((MONTH(CHOOSE({1,2,3,4},TTSSKĐ!T302,TTSSKĐ!X302,TTSSKĐ!AB302,TTSSKĐ!AF302))=8)*(CHOOSE({1,2,3,4},TTSSKĐ!W302,TTSSKĐ!AA302,TTSSKĐ!AE302,TTSSKĐ!AI302)))</f>
        <v>0</v>
      </c>
      <c r="I302">
        <f>SUMPRODUCT((MONTH(CHOOSE({1,2,3,4},TTSSKĐ!T302,TTSSKĐ!X302,TTSSKĐ!AB302,TTSSKĐ!AF302))=9)*(CHOOSE({1,2,3,4},TTSSKĐ!W302,TTSSKĐ!AA302,TTSSKĐ!AE302,TTSSKĐ!AI302)))</f>
        <v>0</v>
      </c>
      <c r="J302">
        <f>SUMPRODUCT((MONTH(CHOOSE({1,2,3,4},TTSSKĐ!T302,TTSSKĐ!X302,TTSSKĐ!AB302,TTSSKĐ!AF302))=10)*(CHOOSE({1,2,3,4},TTSSKĐ!W302,TTSSKĐ!AA302,TTSSKĐ!AE302,TTSSKĐ!AI302)))</f>
        <v>0</v>
      </c>
      <c r="K302">
        <f>SUMPRODUCT((MONTH(CHOOSE({1,2,3,4},TTSSKĐ!T302,TTSSKĐ!X302,TTSSKĐ!AB302,TTSSKĐ!AF302))=11)*(CHOOSE({1,2,3,4},TTSSKĐ!W302,TTSSKĐ!AA302,TTSSKĐ!AE302,TTSSKĐ!AI302)))</f>
        <v>0</v>
      </c>
      <c r="L302">
        <f>SUMPRODUCT((MONTH(CHOOSE({1,2,3,4},TTSSKĐ!T302,TTSSKĐ!X302,TTSSKĐ!AB302,TTSSKĐ!AF302))=12)*(CHOOSE({1,2,3,4},TTSSKĐ!W302,TTSSKĐ!AA302,TTSSKĐ!AE302,TTSSKĐ!AI302)))</f>
        <v>0</v>
      </c>
    </row>
    <row r="303" spans="1:12">
      <c r="A303">
        <f>SUMPRODUCT((MONTH(CHOOSE({1,2,3,4},TTSSKĐ!T303,TTSSKĐ!X303,TTSSKĐ!AB303,TTSSKĐ!AF303))=1)*(CHOOSE({1,2,3,4},TTSSKĐ!W303,TTSSKĐ!AA303,TTSSKĐ!AE303,TTSSKĐ!AI303)))</f>
        <v>0</v>
      </c>
      <c r="B303">
        <f>SUMPRODUCT((MONTH(CHOOSE({1,2,3,4},TTSSKĐ!T303,TTSSKĐ!X303,TTSSKĐ!AB303,TTSSKĐ!AF303))=2)*(CHOOSE({1,2,3,4},TTSSKĐ!W303,TTSSKĐ!AA303,TTSSKĐ!AE303,TTSSKĐ!AI303)))</f>
        <v>0</v>
      </c>
      <c r="C303">
        <f>SUMPRODUCT((MONTH(CHOOSE({1,2,3,4},TTSSKĐ!T303,TTSSKĐ!X303,TTSSKĐ!AB303,TTSSKĐ!AF303))=3)*(CHOOSE({1,2,3,4},TTSSKĐ!W303,TTSSKĐ!AA303,TTSSKĐ!AE303,TTSSKĐ!AI303)))</f>
        <v>0</v>
      </c>
      <c r="D303">
        <f>SUMPRODUCT((MONTH(CHOOSE({1,2,3,4},TTSSKĐ!T303,TTSSKĐ!X303,TTSSKĐ!AB303,TTSSKĐ!AF303))=4)*(CHOOSE({1,2,3,4},TTSSKĐ!W303,TTSSKĐ!AA303,TTSSKĐ!AE303,TTSSKĐ!AI303)))</f>
        <v>0</v>
      </c>
      <c r="E303">
        <f>SUMPRODUCT((MONTH(CHOOSE({1,2,3,4},TTSSKĐ!T303,TTSSKĐ!X303,TTSSKĐ!AB303,TTSSKĐ!AF303))=5)*(CHOOSE({1,2,3,4},TTSSKĐ!W303,TTSSKĐ!AA303,TTSSKĐ!AE303,TTSSKĐ!AI303)))</f>
        <v>0</v>
      </c>
      <c r="F303">
        <f>SUMPRODUCT((MONTH(CHOOSE({1,2,3,4},TTSSKĐ!T303,TTSSKĐ!X303,TTSSKĐ!AB303,TTSSKĐ!AF303))=6)*(CHOOSE({1,2,3,4},TTSSKĐ!W303,TTSSKĐ!AA303,TTSSKĐ!AE303,TTSSKĐ!AI303)))</f>
        <v>0</v>
      </c>
      <c r="G303">
        <f>SUMPRODUCT((MONTH(CHOOSE({1,2,3,4},TTSSKĐ!T303,TTSSKĐ!X303,TTSSKĐ!AB303,TTSSKĐ!AF303))=7)*(CHOOSE({1,2,3,4},TTSSKĐ!W303,TTSSKĐ!AA303,TTSSKĐ!AE303,TTSSKĐ!AI303)))</f>
        <v>0</v>
      </c>
      <c r="H303">
        <f>SUMPRODUCT((MONTH(CHOOSE({1,2,3,4},TTSSKĐ!T303,TTSSKĐ!X303,TTSSKĐ!AB303,TTSSKĐ!AF303))=8)*(CHOOSE({1,2,3,4},TTSSKĐ!W303,TTSSKĐ!AA303,TTSSKĐ!AE303,TTSSKĐ!AI303)))</f>
        <v>0</v>
      </c>
      <c r="I303">
        <f>SUMPRODUCT((MONTH(CHOOSE({1,2,3,4},TTSSKĐ!T303,TTSSKĐ!X303,TTSSKĐ!AB303,TTSSKĐ!AF303))=9)*(CHOOSE({1,2,3,4},TTSSKĐ!W303,TTSSKĐ!AA303,TTSSKĐ!AE303,TTSSKĐ!AI303)))</f>
        <v>0</v>
      </c>
      <c r="J303">
        <f>SUMPRODUCT((MONTH(CHOOSE({1,2,3,4},TTSSKĐ!T303,TTSSKĐ!X303,TTSSKĐ!AB303,TTSSKĐ!AF303))=10)*(CHOOSE({1,2,3,4},TTSSKĐ!W303,TTSSKĐ!AA303,TTSSKĐ!AE303,TTSSKĐ!AI303)))</f>
        <v>0</v>
      </c>
      <c r="K303">
        <f>SUMPRODUCT((MONTH(CHOOSE({1,2,3,4},TTSSKĐ!T303,TTSSKĐ!X303,TTSSKĐ!AB303,TTSSKĐ!AF303))=11)*(CHOOSE({1,2,3,4},TTSSKĐ!W303,TTSSKĐ!AA303,TTSSKĐ!AE303,TTSSKĐ!AI303)))</f>
        <v>0</v>
      </c>
      <c r="L303">
        <f>SUMPRODUCT((MONTH(CHOOSE({1,2,3,4},TTSSKĐ!T303,TTSSKĐ!X303,TTSSKĐ!AB303,TTSSKĐ!AF303))=12)*(CHOOSE({1,2,3,4},TTSSKĐ!W303,TTSSKĐ!AA303,TTSSKĐ!AE303,TTSSKĐ!AI303)))</f>
        <v>0</v>
      </c>
    </row>
    <row r="304" spans="1:12">
      <c r="A304">
        <f>SUMPRODUCT((MONTH(CHOOSE({1,2,3,4},TTSSKĐ!T304,TTSSKĐ!X304,TTSSKĐ!AB304,TTSSKĐ!AF304))=1)*(CHOOSE({1,2,3,4},TTSSKĐ!W304,TTSSKĐ!AA304,TTSSKĐ!AE304,TTSSKĐ!AI304)))</f>
        <v>0</v>
      </c>
      <c r="B304">
        <f>SUMPRODUCT((MONTH(CHOOSE({1,2,3,4},TTSSKĐ!T304,TTSSKĐ!X304,TTSSKĐ!AB304,TTSSKĐ!AF304))=2)*(CHOOSE({1,2,3,4},TTSSKĐ!W304,TTSSKĐ!AA304,TTSSKĐ!AE304,TTSSKĐ!AI304)))</f>
        <v>0</v>
      </c>
      <c r="C304">
        <f>SUMPRODUCT((MONTH(CHOOSE({1,2,3,4},TTSSKĐ!T304,TTSSKĐ!X304,TTSSKĐ!AB304,TTSSKĐ!AF304))=3)*(CHOOSE({1,2,3,4},TTSSKĐ!W304,TTSSKĐ!AA304,TTSSKĐ!AE304,TTSSKĐ!AI304)))</f>
        <v>0</v>
      </c>
      <c r="D304">
        <f>SUMPRODUCT((MONTH(CHOOSE({1,2,3,4},TTSSKĐ!T304,TTSSKĐ!X304,TTSSKĐ!AB304,TTSSKĐ!AF304))=4)*(CHOOSE({1,2,3,4},TTSSKĐ!W304,TTSSKĐ!AA304,TTSSKĐ!AE304,TTSSKĐ!AI304)))</f>
        <v>0</v>
      </c>
      <c r="E304">
        <f>SUMPRODUCT((MONTH(CHOOSE({1,2,3,4},TTSSKĐ!T304,TTSSKĐ!X304,TTSSKĐ!AB304,TTSSKĐ!AF304))=5)*(CHOOSE({1,2,3,4},TTSSKĐ!W304,TTSSKĐ!AA304,TTSSKĐ!AE304,TTSSKĐ!AI304)))</f>
        <v>0</v>
      </c>
      <c r="F304">
        <f>SUMPRODUCT((MONTH(CHOOSE({1,2,3,4},TTSSKĐ!T304,TTSSKĐ!X304,TTSSKĐ!AB304,TTSSKĐ!AF304))=6)*(CHOOSE({1,2,3,4},TTSSKĐ!W304,TTSSKĐ!AA304,TTSSKĐ!AE304,TTSSKĐ!AI304)))</f>
        <v>0</v>
      </c>
      <c r="G304">
        <f>SUMPRODUCT((MONTH(CHOOSE({1,2,3,4},TTSSKĐ!T304,TTSSKĐ!X304,TTSSKĐ!AB304,TTSSKĐ!AF304))=7)*(CHOOSE({1,2,3,4},TTSSKĐ!W304,TTSSKĐ!AA304,TTSSKĐ!AE304,TTSSKĐ!AI304)))</f>
        <v>0</v>
      </c>
      <c r="H304">
        <f>SUMPRODUCT((MONTH(CHOOSE({1,2,3,4},TTSSKĐ!T304,TTSSKĐ!X304,TTSSKĐ!AB304,TTSSKĐ!AF304))=8)*(CHOOSE({1,2,3,4},TTSSKĐ!W304,TTSSKĐ!AA304,TTSSKĐ!AE304,TTSSKĐ!AI304)))</f>
        <v>0</v>
      </c>
      <c r="I304">
        <f>SUMPRODUCT((MONTH(CHOOSE({1,2,3,4},TTSSKĐ!T304,TTSSKĐ!X304,TTSSKĐ!AB304,TTSSKĐ!AF304))=9)*(CHOOSE({1,2,3,4},TTSSKĐ!W304,TTSSKĐ!AA304,TTSSKĐ!AE304,TTSSKĐ!AI304)))</f>
        <v>0</v>
      </c>
      <c r="J304">
        <f>SUMPRODUCT((MONTH(CHOOSE({1,2,3,4},TTSSKĐ!T304,TTSSKĐ!X304,TTSSKĐ!AB304,TTSSKĐ!AF304))=10)*(CHOOSE({1,2,3,4},TTSSKĐ!W304,TTSSKĐ!AA304,TTSSKĐ!AE304,TTSSKĐ!AI304)))</f>
        <v>0</v>
      </c>
      <c r="K304">
        <f>SUMPRODUCT((MONTH(CHOOSE({1,2,3,4},TTSSKĐ!T304,TTSSKĐ!X304,TTSSKĐ!AB304,TTSSKĐ!AF304))=11)*(CHOOSE({1,2,3,4},TTSSKĐ!W304,TTSSKĐ!AA304,TTSSKĐ!AE304,TTSSKĐ!AI304)))</f>
        <v>0</v>
      </c>
      <c r="L304">
        <f>SUMPRODUCT((MONTH(CHOOSE({1,2,3,4},TTSSKĐ!T304,TTSSKĐ!X304,TTSSKĐ!AB304,TTSSKĐ!AF304))=12)*(CHOOSE({1,2,3,4},TTSSKĐ!W304,TTSSKĐ!AA304,TTSSKĐ!AE304,TTSSKĐ!AI304)))</f>
        <v>0</v>
      </c>
    </row>
    <row r="305" spans="1:12">
      <c r="A305">
        <f>SUMPRODUCT((MONTH(CHOOSE({1,2,3,4},TTSSKĐ!T305,TTSSKĐ!X305,TTSSKĐ!AB305,TTSSKĐ!AF305))=1)*(CHOOSE({1,2,3,4},TTSSKĐ!W305,TTSSKĐ!AA305,TTSSKĐ!AE305,TTSSKĐ!AI305)))</f>
        <v>0</v>
      </c>
      <c r="B305">
        <f>SUMPRODUCT((MONTH(CHOOSE({1,2,3,4},TTSSKĐ!T305,TTSSKĐ!X305,TTSSKĐ!AB305,TTSSKĐ!AF305))=2)*(CHOOSE({1,2,3,4},TTSSKĐ!W305,TTSSKĐ!AA305,TTSSKĐ!AE305,TTSSKĐ!AI305)))</f>
        <v>0</v>
      </c>
      <c r="C305">
        <f>SUMPRODUCT((MONTH(CHOOSE({1,2,3,4},TTSSKĐ!T305,TTSSKĐ!X305,TTSSKĐ!AB305,TTSSKĐ!AF305))=3)*(CHOOSE({1,2,3,4},TTSSKĐ!W305,TTSSKĐ!AA305,TTSSKĐ!AE305,TTSSKĐ!AI305)))</f>
        <v>0</v>
      </c>
      <c r="D305">
        <f>SUMPRODUCT((MONTH(CHOOSE({1,2,3,4},TTSSKĐ!T305,TTSSKĐ!X305,TTSSKĐ!AB305,TTSSKĐ!AF305))=4)*(CHOOSE({1,2,3,4},TTSSKĐ!W305,TTSSKĐ!AA305,TTSSKĐ!AE305,TTSSKĐ!AI305)))</f>
        <v>0</v>
      </c>
      <c r="E305">
        <f>SUMPRODUCT((MONTH(CHOOSE({1,2,3,4},TTSSKĐ!T305,TTSSKĐ!X305,TTSSKĐ!AB305,TTSSKĐ!AF305))=5)*(CHOOSE({1,2,3,4},TTSSKĐ!W305,TTSSKĐ!AA305,TTSSKĐ!AE305,TTSSKĐ!AI305)))</f>
        <v>0</v>
      </c>
      <c r="F305">
        <f>SUMPRODUCT((MONTH(CHOOSE({1,2,3,4},TTSSKĐ!T305,TTSSKĐ!X305,TTSSKĐ!AB305,TTSSKĐ!AF305))=6)*(CHOOSE({1,2,3,4},TTSSKĐ!W305,TTSSKĐ!AA305,TTSSKĐ!AE305,TTSSKĐ!AI305)))</f>
        <v>0</v>
      </c>
      <c r="G305">
        <f>SUMPRODUCT((MONTH(CHOOSE({1,2,3,4},TTSSKĐ!T305,TTSSKĐ!X305,TTSSKĐ!AB305,TTSSKĐ!AF305))=7)*(CHOOSE({1,2,3,4},TTSSKĐ!W305,TTSSKĐ!AA305,TTSSKĐ!AE305,TTSSKĐ!AI305)))</f>
        <v>0</v>
      </c>
      <c r="H305">
        <f>SUMPRODUCT((MONTH(CHOOSE({1,2,3,4},TTSSKĐ!T305,TTSSKĐ!X305,TTSSKĐ!AB305,TTSSKĐ!AF305))=8)*(CHOOSE({1,2,3,4},TTSSKĐ!W305,TTSSKĐ!AA305,TTSSKĐ!AE305,TTSSKĐ!AI305)))</f>
        <v>0</v>
      </c>
      <c r="I305">
        <f>SUMPRODUCT((MONTH(CHOOSE({1,2,3,4},TTSSKĐ!T305,TTSSKĐ!X305,TTSSKĐ!AB305,TTSSKĐ!AF305))=9)*(CHOOSE({1,2,3,4},TTSSKĐ!W305,TTSSKĐ!AA305,TTSSKĐ!AE305,TTSSKĐ!AI305)))</f>
        <v>0</v>
      </c>
      <c r="J305">
        <f>SUMPRODUCT((MONTH(CHOOSE({1,2,3,4},TTSSKĐ!T305,TTSSKĐ!X305,TTSSKĐ!AB305,TTSSKĐ!AF305))=10)*(CHOOSE({1,2,3,4},TTSSKĐ!W305,TTSSKĐ!AA305,TTSSKĐ!AE305,TTSSKĐ!AI305)))</f>
        <v>0</v>
      </c>
      <c r="K305">
        <f>SUMPRODUCT((MONTH(CHOOSE({1,2,3,4},TTSSKĐ!T305,TTSSKĐ!X305,TTSSKĐ!AB305,TTSSKĐ!AF305))=11)*(CHOOSE({1,2,3,4},TTSSKĐ!W305,TTSSKĐ!AA305,TTSSKĐ!AE305,TTSSKĐ!AI305)))</f>
        <v>0</v>
      </c>
      <c r="L305">
        <f>SUMPRODUCT((MONTH(CHOOSE({1,2,3,4},TTSSKĐ!T305,TTSSKĐ!X305,TTSSKĐ!AB305,TTSSKĐ!AF305))=12)*(CHOOSE({1,2,3,4},TTSSKĐ!W305,TTSSKĐ!AA305,TTSSKĐ!AE305,TTSSKĐ!AI305)))</f>
        <v>0</v>
      </c>
    </row>
    <row r="306" spans="1:12">
      <c r="A306">
        <f>SUMPRODUCT((MONTH(CHOOSE({1,2,3,4},TTSSKĐ!T306,TTSSKĐ!X306,TTSSKĐ!AB306,TTSSKĐ!AF306))=1)*(CHOOSE({1,2,3,4},TTSSKĐ!W306,TTSSKĐ!AA306,TTSSKĐ!AE306,TTSSKĐ!AI306)))</f>
        <v>0</v>
      </c>
      <c r="B306">
        <f>SUMPRODUCT((MONTH(CHOOSE({1,2,3,4},TTSSKĐ!T306,TTSSKĐ!X306,TTSSKĐ!AB306,TTSSKĐ!AF306))=2)*(CHOOSE({1,2,3,4},TTSSKĐ!W306,TTSSKĐ!AA306,TTSSKĐ!AE306,TTSSKĐ!AI306)))</f>
        <v>0</v>
      </c>
      <c r="C306">
        <f>SUMPRODUCT((MONTH(CHOOSE({1,2,3,4},TTSSKĐ!T306,TTSSKĐ!X306,TTSSKĐ!AB306,TTSSKĐ!AF306))=3)*(CHOOSE({1,2,3,4},TTSSKĐ!W306,TTSSKĐ!AA306,TTSSKĐ!AE306,TTSSKĐ!AI306)))</f>
        <v>0</v>
      </c>
      <c r="D306">
        <f>SUMPRODUCT((MONTH(CHOOSE({1,2,3,4},TTSSKĐ!T306,TTSSKĐ!X306,TTSSKĐ!AB306,TTSSKĐ!AF306))=4)*(CHOOSE({1,2,3,4},TTSSKĐ!W306,TTSSKĐ!AA306,TTSSKĐ!AE306,TTSSKĐ!AI306)))</f>
        <v>0</v>
      </c>
      <c r="E306">
        <f>SUMPRODUCT((MONTH(CHOOSE({1,2,3,4},TTSSKĐ!T306,TTSSKĐ!X306,TTSSKĐ!AB306,TTSSKĐ!AF306))=5)*(CHOOSE({1,2,3,4},TTSSKĐ!W306,TTSSKĐ!AA306,TTSSKĐ!AE306,TTSSKĐ!AI306)))</f>
        <v>0</v>
      </c>
      <c r="F306">
        <f>SUMPRODUCT((MONTH(CHOOSE({1,2,3,4},TTSSKĐ!T306,TTSSKĐ!X306,TTSSKĐ!AB306,TTSSKĐ!AF306))=6)*(CHOOSE({1,2,3,4},TTSSKĐ!W306,TTSSKĐ!AA306,TTSSKĐ!AE306,TTSSKĐ!AI306)))</f>
        <v>0</v>
      </c>
      <c r="G306">
        <f>SUMPRODUCT((MONTH(CHOOSE({1,2,3,4},TTSSKĐ!T306,TTSSKĐ!X306,TTSSKĐ!AB306,TTSSKĐ!AF306))=7)*(CHOOSE({1,2,3,4},TTSSKĐ!W306,TTSSKĐ!AA306,TTSSKĐ!AE306,TTSSKĐ!AI306)))</f>
        <v>0</v>
      </c>
      <c r="H306">
        <f>SUMPRODUCT((MONTH(CHOOSE({1,2,3,4},TTSSKĐ!T306,TTSSKĐ!X306,TTSSKĐ!AB306,TTSSKĐ!AF306))=8)*(CHOOSE({1,2,3,4},TTSSKĐ!W306,TTSSKĐ!AA306,TTSSKĐ!AE306,TTSSKĐ!AI306)))</f>
        <v>0</v>
      </c>
      <c r="I306">
        <f>SUMPRODUCT((MONTH(CHOOSE({1,2,3,4},TTSSKĐ!T306,TTSSKĐ!X306,TTSSKĐ!AB306,TTSSKĐ!AF306))=9)*(CHOOSE({1,2,3,4},TTSSKĐ!W306,TTSSKĐ!AA306,TTSSKĐ!AE306,TTSSKĐ!AI306)))</f>
        <v>0</v>
      </c>
      <c r="J306">
        <f>SUMPRODUCT((MONTH(CHOOSE({1,2,3,4},TTSSKĐ!T306,TTSSKĐ!X306,TTSSKĐ!AB306,TTSSKĐ!AF306))=10)*(CHOOSE({1,2,3,4},TTSSKĐ!W306,TTSSKĐ!AA306,TTSSKĐ!AE306,TTSSKĐ!AI306)))</f>
        <v>0</v>
      </c>
      <c r="K306">
        <f>SUMPRODUCT((MONTH(CHOOSE({1,2,3,4},TTSSKĐ!T306,TTSSKĐ!X306,TTSSKĐ!AB306,TTSSKĐ!AF306))=11)*(CHOOSE({1,2,3,4},TTSSKĐ!W306,TTSSKĐ!AA306,TTSSKĐ!AE306,TTSSKĐ!AI306)))</f>
        <v>0</v>
      </c>
      <c r="L306">
        <f>SUMPRODUCT((MONTH(CHOOSE({1,2,3,4},TTSSKĐ!T306,TTSSKĐ!X306,TTSSKĐ!AB306,TTSSKĐ!AF306))=12)*(CHOOSE({1,2,3,4},TTSSKĐ!W306,TTSSKĐ!AA306,TTSSKĐ!AE306,TTSSKĐ!AI306)))</f>
        <v>0</v>
      </c>
    </row>
    <row r="307" spans="1:12">
      <c r="A307">
        <f>SUMPRODUCT((MONTH(CHOOSE({1,2,3,4},TTSSKĐ!T307,TTSSKĐ!X307,TTSSKĐ!AB307,TTSSKĐ!AF307))=1)*(CHOOSE({1,2,3,4},TTSSKĐ!W307,TTSSKĐ!AA307,TTSSKĐ!AE307,TTSSKĐ!AI307)))</f>
        <v>0</v>
      </c>
      <c r="B307">
        <f>SUMPRODUCT((MONTH(CHOOSE({1,2,3,4},TTSSKĐ!T307,TTSSKĐ!X307,TTSSKĐ!AB307,TTSSKĐ!AF307))=2)*(CHOOSE({1,2,3,4},TTSSKĐ!W307,TTSSKĐ!AA307,TTSSKĐ!AE307,TTSSKĐ!AI307)))</f>
        <v>0</v>
      </c>
      <c r="C307">
        <f>SUMPRODUCT((MONTH(CHOOSE({1,2,3,4},TTSSKĐ!T307,TTSSKĐ!X307,TTSSKĐ!AB307,TTSSKĐ!AF307))=3)*(CHOOSE({1,2,3,4},TTSSKĐ!W307,TTSSKĐ!AA307,TTSSKĐ!AE307,TTSSKĐ!AI307)))</f>
        <v>0</v>
      </c>
      <c r="D307">
        <f>SUMPRODUCT((MONTH(CHOOSE({1,2,3,4},TTSSKĐ!T307,TTSSKĐ!X307,TTSSKĐ!AB307,TTSSKĐ!AF307))=4)*(CHOOSE({1,2,3,4},TTSSKĐ!W307,TTSSKĐ!AA307,TTSSKĐ!AE307,TTSSKĐ!AI307)))</f>
        <v>0</v>
      </c>
      <c r="E307">
        <f>SUMPRODUCT((MONTH(CHOOSE({1,2,3,4},TTSSKĐ!T307,TTSSKĐ!X307,TTSSKĐ!AB307,TTSSKĐ!AF307))=5)*(CHOOSE({1,2,3,4},TTSSKĐ!W307,TTSSKĐ!AA307,TTSSKĐ!AE307,TTSSKĐ!AI307)))</f>
        <v>0</v>
      </c>
      <c r="F307">
        <f>SUMPRODUCT((MONTH(CHOOSE({1,2,3,4},TTSSKĐ!T307,TTSSKĐ!X307,TTSSKĐ!AB307,TTSSKĐ!AF307))=6)*(CHOOSE({1,2,3,4},TTSSKĐ!W307,TTSSKĐ!AA307,TTSSKĐ!AE307,TTSSKĐ!AI307)))</f>
        <v>0</v>
      </c>
      <c r="G307">
        <f>SUMPRODUCT((MONTH(CHOOSE({1,2,3,4},TTSSKĐ!T307,TTSSKĐ!X307,TTSSKĐ!AB307,TTSSKĐ!AF307))=7)*(CHOOSE({1,2,3,4},TTSSKĐ!W307,TTSSKĐ!AA307,TTSSKĐ!AE307,TTSSKĐ!AI307)))</f>
        <v>0</v>
      </c>
      <c r="H307">
        <f>SUMPRODUCT((MONTH(CHOOSE({1,2,3,4},TTSSKĐ!T307,TTSSKĐ!X307,TTSSKĐ!AB307,TTSSKĐ!AF307))=8)*(CHOOSE({1,2,3,4},TTSSKĐ!W307,TTSSKĐ!AA307,TTSSKĐ!AE307,TTSSKĐ!AI307)))</f>
        <v>0</v>
      </c>
      <c r="I307">
        <f>SUMPRODUCT((MONTH(CHOOSE({1,2,3,4},TTSSKĐ!T307,TTSSKĐ!X307,TTSSKĐ!AB307,TTSSKĐ!AF307))=9)*(CHOOSE({1,2,3,4},TTSSKĐ!W307,TTSSKĐ!AA307,TTSSKĐ!AE307,TTSSKĐ!AI307)))</f>
        <v>0</v>
      </c>
      <c r="J307">
        <f>SUMPRODUCT((MONTH(CHOOSE({1,2,3,4},TTSSKĐ!T307,TTSSKĐ!X307,TTSSKĐ!AB307,TTSSKĐ!AF307))=10)*(CHOOSE({1,2,3,4},TTSSKĐ!W307,TTSSKĐ!AA307,TTSSKĐ!AE307,TTSSKĐ!AI307)))</f>
        <v>0</v>
      </c>
      <c r="K307">
        <f>SUMPRODUCT((MONTH(CHOOSE({1,2,3,4},TTSSKĐ!T307,TTSSKĐ!X307,TTSSKĐ!AB307,TTSSKĐ!AF307))=11)*(CHOOSE({1,2,3,4},TTSSKĐ!W307,TTSSKĐ!AA307,TTSSKĐ!AE307,TTSSKĐ!AI307)))</f>
        <v>0</v>
      </c>
      <c r="L307">
        <f>SUMPRODUCT((MONTH(CHOOSE({1,2,3,4},TTSSKĐ!T307,TTSSKĐ!X307,TTSSKĐ!AB307,TTSSKĐ!AF307))=12)*(CHOOSE({1,2,3,4},TTSSKĐ!W307,TTSSKĐ!AA307,TTSSKĐ!AE307,TTSSKĐ!AI307)))</f>
        <v>0</v>
      </c>
    </row>
    <row r="308" spans="1:12">
      <c r="A308">
        <f>SUMPRODUCT((MONTH(CHOOSE({1,2,3,4},TTSSKĐ!T308,TTSSKĐ!X308,TTSSKĐ!AB308,TTSSKĐ!AF308))=1)*(CHOOSE({1,2,3,4},TTSSKĐ!W308,TTSSKĐ!AA308,TTSSKĐ!AE308,TTSSKĐ!AI308)))</f>
        <v>0</v>
      </c>
      <c r="B308">
        <f>SUMPRODUCT((MONTH(CHOOSE({1,2,3,4},TTSSKĐ!T308,TTSSKĐ!X308,TTSSKĐ!AB308,TTSSKĐ!AF308))=2)*(CHOOSE({1,2,3,4},TTSSKĐ!W308,TTSSKĐ!AA308,TTSSKĐ!AE308,TTSSKĐ!AI308)))</f>
        <v>0</v>
      </c>
      <c r="C308">
        <f>SUMPRODUCT((MONTH(CHOOSE({1,2,3,4},TTSSKĐ!T308,TTSSKĐ!X308,TTSSKĐ!AB308,TTSSKĐ!AF308))=3)*(CHOOSE({1,2,3,4},TTSSKĐ!W308,TTSSKĐ!AA308,TTSSKĐ!AE308,TTSSKĐ!AI308)))</f>
        <v>0</v>
      </c>
      <c r="D308">
        <f>SUMPRODUCT((MONTH(CHOOSE({1,2,3,4},TTSSKĐ!T308,TTSSKĐ!X308,TTSSKĐ!AB308,TTSSKĐ!AF308))=4)*(CHOOSE({1,2,3,4},TTSSKĐ!W308,TTSSKĐ!AA308,TTSSKĐ!AE308,TTSSKĐ!AI308)))</f>
        <v>0</v>
      </c>
      <c r="E308">
        <f>SUMPRODUCT((MONTH(CHOOSE({1,2,3,4},TTSSKĐ!T308,TTSSKĐ!X308,TTSSKĐ!AB308,TTSSKĐ!AF308))=5)*(CHOOSE({1,2,3,4},TTSSKĐ!W308,TTSSKĐ!AA308,TTSSKĐ!AE308,TTSSKĐ!AI308)))</f>
        <v>0</v>
      </c>
      <c r="F308">
        <f>SUMPRODUCT((MONTH(CHOOSE({1,2,3,4},TTSSKĐ!T308,TTSSKĐ!X308,TTSSKĐ!AB308,TTSSKĐ!AF308))=6)*(CHOOSE({1,2,3,4},TTSSKĐ!W308,TTSSKĐ!AA308,TTSSKĐ!AE308,TTSSKĐ!AI308)))</f>
        <v>0</v>
      </c>
      <c r="G308">
        <f>SUMPRODUCT((MONTH(CHOOSE({1,2,3,4},TTSSKĐ!T308,TTSSKĐ!X308,TTSSKĐ!AB308,TTSSKĐ!AF308))=7)*(CHOOSE({1,2,3,4},TTSSKĐ!W308,TTSSKĐ!AA308,TTSSKĐ!AE308,TTSSKĐ!AI308)))</f>
        <v>0</v>
      </c>
      <c r="H308">
        <f>SUMPRODUCT((MONTH(CHOOSE({1,2,3,4},TTSSKĐ!T308,TTSSKĐ!X308,TTSSKĐ!AB308,TTSSKĐ!AF308))=8)*(CHOOSE({1,2,3,4},TTSSKĐ!W308,TTSSKĐ!AA308,TTSSKĐ!AE308,TTSSKĐ!AI308)))</f>
        <v>0</v>
      </c>
      <c r="I308">
        <f>SUMPRODUCT((MONTH(CHOOSE({1,2,3,4},TTSSKĐ!T308,TTSSKĐ!X308,TTSSKĐ!AB308,TTSSKĐ!AF308))=9)*(CHOOSE({1,2,3,4},TTSSKĐ!W308,TTSSKĐ!AA308,TTSSKĐ!AE308,TTSSKĐ!AI308)))</f>
        <v>0</v>
      </c>
      <c r="J308">
        <f>SUMPRODUCT((MONTH(CHOOSE({1,2,3,4},TTSSKĐ!T308,TTSSKĐ!X308,TTSSKĐ!AB308,TTSSKĐ!AF308))=10)*(CHOOSE({1,2,3,4},TTSSKĐ!W308,TTSSKĐ!AA308,TTSSKĐ!AE308,TTSSKĐ!AI308)))</f>
        <v>0</v>
      </c>
      <c r="K308">
        <f>SUMPRODUCT((MONTH(CHOOSE({1,2,3,4},TTSSKĐ!T308,TTSSKĐ!X308,TTSSKĐ!AB308,TTSSKĐ!AF308))=11)*(CHOOSE({1,2,3,4},TTSSKĐ!W308,TTSSKĐ!AA308,TTSSKĐ!AE308,TTSSKĐ!AI308)))</f>
        <v>0</v>
      </c>
      <c r="L308">
        <f>SUMPRODUCT((MONTH(CHOOSE({1,2,3,4},TTSSKĐ!T308,TTSSKĐ!X308,TTSSKĐ!AB308,TTSSKĐ!AF308))=12)*(CHOOSE({1,2,3,4},TTSSKĐ!W308,TTSSKĐ!AA308,TTSSKĐ!AE308,TTSSKĐ!AI308)))</f>
        <v>0</v>
      </c>
    </row>
    <row r="309" spans="1:12">
      <c r="A309">
        <f>SUMPRODUCT((MONTH(CHOOSE({1,2,3,4},TTSSKĐ!T309,TTSSKĐ!X309,TTSSKĐ!AB309,TTSSKĐ!AF309))=1)*(CHOOSE({1,2,3,4},TTSSKĐ!W309,TTSSKĐ!AA309,TTSSKĐ!AE309,TTSSKĐ!AI309)))</f>
        <v>0</v>
      </c>
      <c r="B309">
        <f>SUMPRODUCT((MONTH(CHOOSE({1,2,3,4},TTSSKĐ!T309,TTSSKĐ!X309,TTSSKĐ!AB309,TTSSKĐ!AF309))=2)*(CHOOSE({1,2,3,4},TTSSKĐ!W309,TTSSKĐ!AA309,TTSSKĐ!AE309,TTSSKĐ!AI309)))</f>
        <v>0</v>
      </c>
      <c r="C309">
        <f>SUMPRODUCT((MONTH(CHOOSE({1,2,3,4},TTSSKĐ!T309,TTSSKĐ!X309,TTSSKĐ!AB309,TTSSKĐ!AF309))=3)*(CHOOSE({1,2,3,4},TTSSKĐ!W309,TTSSKĐ!AA309,TTSSKĐ!AE309,TTSSKĐ!AI309)))</f>
        <v>0</v>
      </c>
      <c r="D309">
        <f>SUMPRODUCT((MONTH(CHOOSE({1,2,3,4},TTSSKĐ!T309,TTSSKĐ!X309,TTSSKĐ!AB309,TTSSKĐ!AF309))=4)*(CHOOSE({1,2,3,4},TTSSKĐ!W309,TTSSKĐ!AA309,TTSSKĐ!AE309,TTSSKĐ!AI309)))</f>
        <v>0</v>
      </c>
      <c r="E309">
        <f>SUMPRODUCT((MONTH(CHOOSE({1,2,3,4},TTSSKĐ!T309,TTSSKĐ!X309,TTSSKĐ!AB309,TTSSKĐ!AF309))=5)*(CHOOSE({1,2,3,4},TTSSKĐ!W309,TTSSKĐ!AA309,TTSSKĐ!AE309,TTSSKĐ!AI309)))</f>
        <v>0</v>
      </c>
      <c r="F309">
        <f>SUMPRODUCT((MONTH(CHOOSE({1,2,3,4},TTSSKĐ!T309,TTSSKĐ!X309,TTSSKĐ!AB309,TTSSKĐ!AF309))=6)*(CHOOSE({1,2,3,4},TTSSKĐ!W309,TTSSKĐ!AA309,TTSSKĐ!AE309,TTSSKĐ!AI309)))</f>
        <v>0</v>
      </c>
      <c r="G309">
        <f>SUMPRODUCT((MONTH(CHOOSE({1,2,3,4},TTSSKĐ!T309,TTSSKĐ!X309,TTSSKĐ!AB309,TTSSKĐ!AF309))=7)*(CHOOSE({1,2,3,4},TTSSKĐ!W309,TTSSKĐ!AA309,TTSSKĐ!AE309,TTSSKĐ!AI309)))</f>
        <v>0</v>
      </c>
      <c r="H309">
        <f>SUMPRODUCT((MONTH(CHOOSE({1,2,3,4},TTSSKĐ!T309,TTSSKĐ!X309,TTSSKĐ!AB309,TTSSKĐ!AF309))=8)*(CHOOSE({1,2,3,4},TTSSKĐ!W309,TTSSKĐ!AA309,TTSSKĐ!AE309,TTSSKĐ!AI309)))</f>
        <v>0</v>
      </c>
      <c r="I309">
        <f>SUMPRODUCT((MONTH(CHOOSE({1,2,3,4},TTSSKĐ!T309,TTSSKĐ!X309,TTSSKĐ!AB309,TTSSKĐ!AF309))=9)*(CHOOSE({1,2,3,4},TTSSKĐ!W309,TTSSKĐ!AA309,TTSSKĐ!AE309,TTSSKĐ!AI309)))</f>
        <v>0</v>
      </c>
      <c r="J309">
        <f>SUMPRODUCT((MONTH(CHOOSE({1,2,3,4},TTSSKĐ!T309,TTSSKĐ!X309,TTSSKĐ!AB309,TTSSKĐ!AF309))=10)*(CHOOSE({1,2,3,4},TTSSKĐ!W309,TTSSKĐ!AA309,TTSSKĐ!AE309,TTSSKĐ!AI309)))</f>
        <v>0</v>
      </c>
      <c r="K309">
        <f>SUMPRODUCT((MONTH(CHOOSE({1,2,3,4},TTSSKĐ!T309,TTSSKĐ!X309,TTSSKĐ!AB309,TTSSKĐ!AF309))=11)*(CHOOSE({1,2,3,4},TTSSKĐ!W309,TTSSKĐ!AA309,TTSSKĐ!AE309,TTSSKĐ!AI309)))</f>
        <v>0</v>
      </c>
      <c r="L309">
        <f>SUMPRODUCT((MONTH(CHOOSE({1,2,3,4},TTSSKĐ!T309,TTSSKĐ!X309,TTSSKĐ!AB309,TTSSKĐ!AF309))=12)*(CHOOSE({1,2,3,4},TTSSKĐ!W309,TTSSKĐ!AA309,TTSSKĐ!AE309,TTSSKĐ!AI309)))</f>
        <v>0</v>
      </c>
    </row>
    <row r="310" spans="1:12">
      <c r="A310">
        <f>SUMPRODUCT((MONTH(CHOOSE({1,2,3,4},TTSSKĐ!T310,TTSSKĐ!X310,TTSSKĐ!AB310,TTSSKĐ!AF310))=1)*(CHOOSE({1,2,3,4},TTSSKĐ!W310,TTSSKĐ!AA310,TTSSKĐ!AE310,TTSSKĐ!AI310)))</f>
        <v>0</v>
      </c>
      <c r="B310">
        <f>SUMPRODUCT((MONTH(CHOOSE({1,2,3,4},TTSSKĐ!T310,TTSSKĐ!X310,TTSSKĐ!AB310,TTSSKĐ!AF310))=2)*(CHOOSE({1,2,3,4},TTSSKĐ!W310,TTSSKĐ!AA310,TTSSKĐ!AE310,TTSSKĐ!AI310)))</f>
        <v>0</v>
      </c>
      <c r="C310">
        <f>SUMPRODUCT((MONTH(CHOOSE({1,2,3,4},TTSSKĐ!T310,TTSSKĐ!X310,TTSSKĐ!AB310,TTSSKĐ!AF310))=3)*(CHOOSE({1,2,3,4},TTSSKĐ!W310,TTSSKĐ!AA310,TTSSKĐ!AE310,TTSSKĐ!AI310)))</f>
        <v>0</v>
      </c>
      <c r="D310">
        <f>SUMPRODUCT((MONTH(CHOOSE({1,2,3,4},TTSSKĐ!T310,TTSSKĐ!X310,TTSSKĐ!AB310,TTSSKĐ!AF310))=4)*(CHOOSE({1,2,3,4},TTSSKĐ!W310,TTSSKĐ!AA310,TTSSKĐ!AE310,TTSSKĐ!AI310)))</f>
        <v>0</v>
      </c>
      <c r="E310">
        <f>SUMPRODUCT((MONTH(CHOOSE({1,2,3,4},TTSSKĐ!T310,TTSSKĐ!X310,TTSSKĐ!AB310,TTSSKĐ!AF310))=5)*(CHOOSE({1,2,3,4},TTSSKĐ!W310,TTSSKĐ!AA310,TTSSKĐ!AE310,TTSSKĐ!AI310)))</f>
        <v>0</v>
      </c>
      <c r="F310">
        <f>SUMPRODUCT((MONTH(CHOOSE({1,2,3,4},TTSSKĐ!T310,TTSSKĐ!X310,TTSSKĐ!AB310,TTSSKĐ!AF310))=6)*(CHOOSE({1,2,3,4},TTSSKĐ!W310,TTSSKĐ!AA310,TTSSKĐ!AE310,TTSSKĐ!AI310)))</f>
        <v>0</v>
      </c>
      <c r="G310">
        <f>SUMPRODUCT((MONTH(CHOOSE({1,2,3,4},TTSSKĐ!T310,TTSSKĐ!X310,TTSSKĐ!AB310,TTSSKĐ!AF310))=7)*(CHOOSE({1,2,3,4},TTSSKĐ!W310,TTSSKĐ!AA310,TTSSKĐ!AE310,TTSSKĐ!AI310)))</f>
        <v>0</v>
      </c>
      <c r="H310">
        <f>SUMPRODUCT((MONTH(CHOOSE({1,2,3,4},TTSSKĐ!T310,TTSSKĐ!X310,TTSSKĐ!AB310,TTSSKĐ!AF310))=8)*(CHOOSE({1,2,3,4},TTSSKĐ!W310,TTSSKĐ!AA310,TTSSKĐ!AE310,TTSSKĐ!AI310)))</f>
        <v>0</v>
      </c>
      <c r="I310">
        <f>SUMPRODUCT((MONTH(CHOOSE({1,2,3,4},TTSSKĐ!T310,TTSSKĐ!X310,TTSSKĐ!AB310,TTSSKĐ!AF310))=9)*(CHOOSE({1,2,3,4},TTSSKĐ!W310,TTSSKĐ!AA310,TTSSKĐ!AE310,TTSSKĐ!AI310)))</f>
        <v>0</v>
      </c>
      <c r="J310">
        <f>SUMPRODUCT((MONTH(CHOOSE({1,2,3,4},TTSSKĐ!T310,TTSSKĐ!X310,TTSSKĐ!AB310,TTSSKĐ!AF310))=10)*(CHOOSE({1,2,3,4},TTSSKĐ!W310,TTSSKĐ!AA310,TTSSKĐ!AE310,TTSSKĐ!AI310)))</f>
        <v>0</v>
      </c>
      <c r="K310">
        <f>SUMPRODUCT((MONTH(CHOOSE({1,2,3,4},TTSSKĐ!T310,TTSSKĐ!X310,TTSSKĐ!AB310,TTSSKĐ!AF310))=11)*(CHOOSE({1,2,3,4},TTSSKĐ!W310,TTSSKĐ!AA310,TTSSKĐ!AE310,TTSSKĐ!AI310)))</f>
        <v>0</v>
      </c>
      <c r="L310">
        <f>SUMPRODUCT((MONTH(CHOOSE({1,2,3,4},TTSSKĐ!T310,TTSSKĐ!X310,TTSSKĐ!AB310,TTSSKĐ!AF310))=12)*(CHOOSE({1,2,3,4},TTSSKĐ!W310,TTSSKĐ!AA310,TTSSKĐ!AE310,TTSSKĐ!AI310)))</f>
        <v>0</v>
      </c>
    </row>
    <row r="311" spans="1:12">
      <c r="A311">
        <f>SUMPRODUCT((MONTH(CHOOSE({1,2,3,4},TTSSKĐ!T311,TTSSKĐ!X311,TTSSKĐ!AB311,TTSSKĐ!AF311))=1)*(CHOOSE({1,2,3,4},TTSSKĐ!W311,TTSSKĐ!AA311,TTSSKĐ!AE311,TTSSKĐ!AI311)))</f>
        <v>0</v>
      </c>
      <c r="B311">
        <f>SUMPRODUCT((MONTH(CHOOSE({1,2,3,4},TTSSKĐ!T311,TTSSKĐ!X311,TTSSKĐ!AB311,TTSSKĐ!AF311))=2)*(CHOOSE({1,2,3,4},TTSSKĐ!W311,TTSSKĐ!AA311,TTSSKĐ!AE311,TTSSKĐ!AI311)))</f>
        <v>0</v>
      </c>
      <c r="C311">
        <f>SUMPRODUCT((MONTH(CHOOSE({1,2,3,4},TTSSKĐ!T311,TTSSKĐ!X311,TTSSKĐ!AB311,TTSSKĐ!AF311))=3)*(CHOOSE({1,2,3,4},TTSSKĐ!W311,TTSSKĐ!AA311,TTSSKĐ!AE311,TTSSKĐ!AI311)))</f>
        <v>0</v>
      </c>
      <c r="D311">
        <f>SUMPRODUCT((MONTH(CHOOSE({1,2,3,4},TTSSKĐ!T311,TTSSKĐ!X311,TTSSKĐ!AB311,TTSSKĐ!AF311))=4)*(CHOOSE({1,2,3,4},TTSSKĐ!W311,TTSSKĐ!AA311,TTSSKĐ!AE311,TTSSKĐ!AI311)))</f>
        <v>0</v>
      </c>
      <c r="E311">
        <f>SUMPRODUCT((MONTH(CHOOSE({1,2,3,4},TTSSKĐ!T311,TTSSKĐ!X311,TTSSKĐ!AB311,TTSSKĐ!AF311))=5)*(CHOOSE({1,2,3,4},TTSSKĐ!W311,TTSSKĐ!AA311,TTSSKĐ!AE311,TTSSKĐ!AI311)))</f>
        <v>0</v>
      </c>
      <c r="F311">
        <f>SUMPRODUCT((MONTH(CHOOSE({1,2,3,4},TTSSKĐ!T311,TTSSKĐ!X311,TTSSKĐ!AB311,TTSSKĐ!AF311))=6)*(CHOOSE({1,2,3,4},TTSSKĐ!W311,TTSSKĐ!AA311,TTSSKĐ!AE311,TTSSKĐ!AI311)))</f>
        <v>0</v>
      </c>
      <c r="G311">
        <f>SUMPRODUCT((MONTH(CHOOSE({1,2,3,4},TTSSKĐ!T311,TTSSKĐ!X311,TTSSKĐ!AB311,TTSSKĐ!AF311))=7)*(CHOOSE({1,2,3,4},TTSSKĐ!W311,TTSSKĐ!AA311,TTSSKĐ!AE311,TTSSKĐ!AI311)))</f>
        <v>0</v>
      </c>
      <c r="H311">
        <f>SUMPRODUCT((MONTH(CHOOSE({1,2,3,4},TTSSKĐ!T311,TTSSKĐ!X311,TTSSKĐ!AB311,TTSSKĐ!AF311))=8)*(CHOOSE({1,2,3,4},TTSSKĐ!W311,TTSSKĐ!AA311,TTSSKĐ!AE311,TTSSKĐ!AI311)))</f>
        <v>0</v>
      </c>
      <c r="I311">
        <f>SUMPRODUCT((MONTH(CHOOSE({1,2,3,4},TTSSKĐ!T311,TTSSKĐ!X311,TTSSKĐ!AB311,TTSSKĐ!AF311))=9)*(CHOOSE({1,2,3,4},TTSSKĐ!W311,TTSSKĐ!AA311,TTSSKĐ!AE311,TTSSKĐ!AI311)))</f>
        <v>0</v>
      </c>
      <c r="J311">
        <f>SUMPRODUCT((MONTH(CHOOSE({1,2,3,4},TTSSKĐ!T311,TTSSKĐ!X311,TTSSKĐ!AB311,TTSSKĐ!AF311))=10)*(CHOOSE({1,2,3,4},TTSSKĐ!W311,TTSSKĐ!AA311,TTSSKĐ!AE311,TTSSKĐ!AI311)))</f>
        <v>0</v>
      </c>
      <c r="K311">
        <f>SUMPRODUCT((MONTH(CHOOSE({1,2,3,4},TTSSKĐ!T311,TTSSKĐ!X311,TTSSKĐ!AB311,TTSSKĐ!AF311))=11)*(CHOOSE({1,2,3,4},TTSSKĐ!W311,TTSSKĐ!AA311,TTSSKĐ!AE311,TTSSKĐ!AI311)))</f>
        <v>0</v>
      </c>
      <c r="L311">
        <f>SUMPRODUCT((MONTH(CHOOSE({1,2,3,4},TTSSKĐ!T311,TTSSKĐ!X311,TTSSKĐ!AB311,TTSSKĐ!AF311))=12)*(CHOOSE({1,2,3,4},TTSSKĐ!W311,TTSSKĐ!AA311,TTSSKĐ!AE311,TTSSKĐ!AI311)))</f>
        <v>0</v>
      </c>
    </row>
    <row r="312" spans="1:12">
      <c r="A312">
        <f>SUMPRODUCT((MONTH(CHOOSE({1,2,3,4},TTSSKĐ!T312,TTSSKĐ!X312,TTSSKĐ!AB312,TTSSKĐ!AF312))=1)*(CHOOSE({1,2,3,4},TTSSKĐ!W312,TTSSKĐ!AA312,TTSSKĐ!AE312,TTSSKĐ!AI312)))</f>
        <v>0</v>
      </c>
      <c r="B312">
        <f>SUMPRODUCT((MONTH(CHOOSE({1,2,3,4},TTSSKĐ!T312,TTSSKĐ!X312,TTSSKĐ!AB312,TTSSKĐ!AF312))=2)*(CHOOSE({1,2,3,4},TTSSKĐ!W312,TTSSKĐ!AA312,TTSSKĐ!AE312,TTSSKĐ!AI312)))</f>
        <v>0</v>
      </c>
      <c r="C312">
        <f>SUMPRODUCT((MONTH(CHOOSE({1,2,3,4},TTSSKĐ!T312,TTSSKĐ!X312,TTSSKĐ!AB312,TTSSKĐ!AF312))=3)*(CHOOSE({1,2,3,4},TTSSKĐ!W312,TTSSKĐ!AA312,TTSSKĐ!AE312,TTSSKĐ!AI312)))</f>
        <v>0</v>
      </c>
      <c r="D312">
        <f>SUMPRODUCT((MONTH(CHOOSE({1,2,3,4},TTSSKĐ!T312,TTSSKĐ!X312,TTSSKĐ!AB312,TTSSKĐ!AF312))=4)*(CHOOSE({1,2,3,4},TTSSKĐ!W312,TTSSKĐ!AA312,TTSSKĐ!AE312,TTSSKĐ!AI312)))</f>
        <v>0</v>
      </c>
      <c r="E312">
        <f>SUMPRODUCT((MONTH(CHOOSE({1,2,3,4},TTSSKĐ!T312,TTSSKĐ!X312,TTSSKĐ!AB312,TTSSKĐ!AF312))=5)*(CHOOSE({1,2,3,4},TTSSKĐ!W312,TTSSKĐ!AA312,TTSSKĐ!AE312,TTSSKĐ!AI312)))</f>
        <v>0</v>
      </c>
      <c r="F312">
        <f>SUMPRODUCT((MONTH(CHOOSE({1,2,3,4},TTSSKĐ!T312,TTSSKĐ!X312,TTSSKĐ!AB312,TTSSKĐ!AF312))=6)*(CHOOSE({1,2,3,4},TTSSKĐ!W312,TTSSKĐ!AA312,TTSSKĐ!AE312,TTSSKĐ!AI312)))</f>
        <v>0</v>
      </c>
      <c r="G312">
        <f>SUMPRODUCT((MONTH(CHOOSE({1,2,3,4},TTSSKĐ!T312,TTSSKĐ!X312,TTSSKĐ!AB312,TTSSKĐ!AF312))=7)*(CHOOSE({1,2,3,4},TTSSKĐ!W312,TTSSKĐ!AA312,TTSSKĐ!AE312,TTSSKĐ!AI312)))</f>
        <v>0</v>
      </c>
      <c r="H312">
        <f>SUMPRODUCT((MONTH(CHOOSE({1,2,3,4},TTSSKĐ!T312,TTSSKĐ!X312,TTSSKĐ!AB312,TTSSKĐ!AF312))=8)*(CHOOSE({1,2,3,4},TTSSKĐ!W312,TTSSKĐ!AA312,TTSSKĐ!AE312,TTSSKĐ!AI312)))</f>
        <v>0</v>
      </c>
      <c r="I312">
        <f>SUMPRODUCT((MONTH(CHOOSE({1,2,3,4},TTSSKĐ!T312,TTSSKĐ!X312,TTSSKĐ!AB312,TTSSKĐ!AF312))=9)*(CHOOSE({1,2,3,4},TTSSKĐ!W312,TTSSKĐ!AA312,TTSSKĐ!AE312,TTSSKĐ!AI312)))</f>
        <v>0</v>
      </c>
      <c r="J312">
        <f>SUMPRODUCT((MONTH(CHOOSE({1,2,3,4},TTSSKĐ!T312,TTSSKĐ!X312,TTSSKĐ!AB312,TTSSKĐ!AF312))=10)*(CHOOSE({1,2,3,4},TTSSKĐ!W312,TTSSKĐ!AA312,TTSSKĐ!AE312,TTSSKĐ!AI312)))</f>
        <v>0</v>
      </c>
      <c r="K312">
        <f>SUMPRODUCT((MONTH(CHOOSE({1,2,3,4},TTSSKĐ!T312,TTSSKĐ!X312,TTSSKĐ!AB312,TTSSKĐ!AF312))=11)*(CHOOSE({1,2,3,4},TTSSKĐ!W312,TTSSKĐ!AA312,TTSSKĐ!AE312,TTSSKĐ!AI312)))</f>
        <v>0</v>
      </c>
      <c r="L312">
        <f>SUMPRODUCT((MONTH(CHOOSE({1,2,3,4},TTSSKĐ!T312,TTSSKĐ!X312,TTSSKĐ!AB312,TTSSKĐ!AF312))=12)*(CHOOSE({1,2,3,4},TTSSKĐ!W312,TTSSKĐ!AA312,TTSSKĐ!AE312,TTSSKĐ!AI312)))</f>
        <v>0</v>
      </c>
    </row>
    <row r="313" spans="1:12">
      <c r="A313">
        <f>SUMPRODUCT((MONTH(CHOOSE({1,2,3,4},TTSSKĐ!T313,TTSSKĐ!X313,TTSSKĐ!AB313,TTSSKĐ!AF313))=1)*(CHOOSE({1,2,3,4},TTSSKĐ!W313,TTSSKĐ!AA313,TTSSKĐ!AE313,TTSSKĐ!AI313)))</f>
        <v>0</v>
      </c>
      <c r="B313">
        <f>SUMPRODUCT((MONTH(CHOOSE({1,2,3,4},TTSSKĐ!T313,TTSSKĐ!X313,TTSSKĐ!AB313,TTSSKĐ!AF313))=2)*(CHOOSE({1,2,3,4},TTSSKĐ!W313,TTSSKĐ!AA313,TTSSKĐ!AE313,TTSSKĐ!AI313)))</f>
        <v>0</v>
      </c>
      <c r="C313">
        <f>SUMPRODUCT((MONTH(CHOOSE({1,2,3,4},TTSSKĐ!T313,TTSSKĐ!X313,TTSSKĐ!AB313,TTSSKĐ!AF313))=3)*(CHOOSE({1,2,3,4},TTSSKĐ!W313,TTSSKĐ!AA313,TTSSKĐ!AE313,TTSSKĐ!AI313)))</f>
        <v>0</v>
      </c>
      <c r="D313">
        <f>SUMPRODUCT((MONTH(CHOOSE({1,2,3,4},TTSSKĐ!T313,TTSSKĐ!X313,TTSSKĐ!AB313,TTSSKĐ!AF313))=4)*(CHOOSE({1,2,3,4},TTSSKĐ!W313,TTSSKĐ!AA313,TTSSKĐ!AE313,TTSSKĐ!AI313)))</f>
        <v>0</v>
      </c>
      <c r="E313">
        <f>SUMPRODUCT((MONTH(CHOOSE({1,2,3,4},TTSSKĐ!T313,TTSSKĐ!X313,TTSSKĐ!AB313,TTSSKĐ!AF313))=5)*(CHOOSE({1,2,3,4},TTSSKĐ!W313,TTSSKĐ!AA313,TTSSKĐ!AE313,TTSSKĐ!AI313)))</f>
        <v>0</v>
      </c>
      <c r="F313">
        <f>SUMPRODUCT((MONTH(CHOOSE({1,2,3,4},TTSSKĐ!T313,TTSSKĐ!X313,TTSSKĐ!AB313,TTSSKĐ!AF313))=6)*(CHOOSE({1,2,3,4},TTSSKĐ!W313,TTSSKĐ!AA313,TTSSKĐ!AE313,TTSSKĐ!AI313)))</f>
        <v>0</v>
      </c>
      <c r="G313">
        <f>SUMPRODUCT((MONTH(CHOOSE({1,2,3,4},TTSSKĐ!T313,TTSSKĐ!X313,TTSSKĐ!AB313,TTSSKĐ!AF313))=7)*(CHOOSE({1,2,3,4},TTSSKĐ!W313,TTSSKĐ!AA313,TTSSKĐ!AE313,TTSSKĐ!AI313)))</f>
        <v>0</v>
      </c>
      <c r="H313">
        <f>SUMPRODUCT((MONTH(CHOOSE({1,2,3,4},TTSSKĐ!T313,TTSSKĐ!X313,TTSSKĐ!AB313,TTSSKĐ!AF313))=8)*(CHOOSE({1,2,3,4},TTSSKĐ!W313,TTSSKĐ!AA313,TTSSKĐ!AE313,TTSSKĐ!AI313)))</f>
        <v>0</v>
      </c>
      <c r="I313">
        <f>SUMPRODUCT((MONTH(CHOOSE({1,2,3,4},TTSSKĐ!T313,TTSSKĐ!X313,TTSSKĐ!AB313,TTSSKĐ!AF313))=9)*(CHOOSE({1,2,3,4},TTSSKĐ!W313,TTSSKĐ!AA313,TTSSKĐ!AE313,TTSSKĐ!AI313)))</f>
        <v>0</v>
      </c>
      <c r="J313">
        <f>SUMPRODUCT((MONTH(CHOOSE({1,2,3,4},TTSSKĐ!T313,TTSSKĐ!X313,TTSSKĐ!AB313,TTSSKĐ!AF313))=10)*(CHOOSE({1,2,3,4},TTSSKĐ!W313,TTSSKĐ!AA313,TTSSKĐ!AE313,TTSSKĐ!AI313)))</f>
        <v>0</v>
      </c>
      <c r="K313">
        <f>SUMPRODUCT((MONTH(CHOOSE({1,2,3,4},TTSSKĐ!T313,TTSSKĐ!X313,TTSSKĐ!AB313,TTSSKĐ!AF313))=11)*(CHOOSE({1,2,3,4},TTSSKĐ!W313,TTSSKĐ!AA313,TTSSKĐ!AE313,TTSSKĐ!AI313)))</f>
        <v>0</v>
      </c>
      <c r="L313">
        <f>SUMPRODUCT((MONTH(CHOOSE({1,2,3,4},TTSSKĐ!T313,TTSSKĐ!X313,TTSSKĐ!AB313,TTSSKĐ!AF313))=12)*(CHOOSE({1,2,3,4},TTSSKĐ!W313,TTSSKĐ!AA313,TTSSKĐ!AE313,TTSSKĐ!AI313)))</f>
        <v>0</v>
      </c>
    </row>
    <row r="314" spans="1:12">
      <c r="A314">
        <f>SUMPRODUCT((MONTH(CHOOSE({1,2,3,4},TTSSKĐ!T314,TTSSKĐ!X314,TTSSKĐ!AB314,TTSSKĐ!AF314))=1)*(CHOOSE({1,2,3,4},TTSSKĐ!W314,TTSSKĐ!AA314,TTSSKĐ!AE314,TTSSKĐ!AI314)))</f>
        <v>0</v>
      </c>
      <c r="B314">
        <f>SUMPRODUCT((MONTH(CHOOSE({1,2,3,4},TTSSKĐ!T314,TTSSKĐ!X314,TTSSKĐ!AB314,TTSSKĐ!AF314))=2)*(CHOOSE({1,2,3,4},TTSSKĐ!W314,TTSSKĐ!AA314,TTSSKĐ!AE314,TTSSKĐ!AI314)))</f>
        <v>0</v>
      </c>
      <c r="C314">
        <f>SUMPRODUCT((MONTH(CHOOSE({1,2,3,4},TTSSKĐ!T314,TTSSKĐ!X314,TTSSKĐ!AB314,TTSSKĐ!AF314))=3)*(CHOOSE({1,2,3,4},TTSSKĐ!W314,TTSSKĐ!AA314,TTSSKĐ!AE314,TTSSKĐ!AI314)))</f>
        <v>0</v>
      </c>
      <c r="D314">
        <f>SUMPRODUCT((MONTH(CHOOSE({1,2,3,4},TTSSKĐ!T314,TTSSKĐ!X314,TTSSKĐ!AB314,TTSSKĐ!AF314))=4)*(CHOOSE({1,2,3,4},TTSSKĐ!W314,TTSSKĐ!AA314,TTSSKĐ!AE314,TTSSKĐ!AI314)))</f>
        <v>0</v>
      </c>
      <c r="E314">
        <f>SUMPRODUCT((MONTH(CHOOSE({1,2,3,4},TTSSKĐ!T314,TTSSKĐ!X314,TTSSKĐ!AB314,TTSSKĐ!AF314))=5)*(CHOOSE({1,2,3,4},TTSSKĐ!W314,TTSSKĐ!AA314,TTSSKĐ!AE314,TTSSKĐ!AI314)))</f>
        <v>0</v>
      </c>
      <c r="F314">
        <f>SUMPRODUCT((MONTH(CHOOSE({1,2,3,4},TTSSKĐ!T314,TTSSKĐ!X314,TTSSKĐ!AB314,TTSSKĐ!AF314))=6)*(CHOOSE({1,2,3,4},TTSSKĐ!W314,TTSSKĐ!AA314,TTSSKĐ!AE314,TTSSKĐ!AI314)))</f>
        <v>0</v>
      </c>
      <c r="G314">
        <f>SUMPRODUCT((MONTH(CHOOSE({1,2,3,4},TTSSKĐ!T314,TTSSKĐ!X314,TTSSKĐ!AB314,TTSSKĐ!AF314))=7)*(CHOOSE({1,2,3,4},TTSSKĐ!W314,TTSSKĐ!AA314,TTSSKĐ!AE314,TTSSKĐ!AI314)))</f>
        <v>0</v>
      </c>
      <c r="H314">
        <f>SUMPRODUCT((MONTH(CHOOSE({1,2,3,4},TTSSKĐ!T314,TTSSKĐ!X314,TTSSKĐ!AB314,TTSSKĐ!AF314))=8)*(CHOOSE({1,2,3,4},TTSSKĐ!W314,TTSSKĐ!AA314,TTSSKĐ!AE314,TTSSKĐ!AI314)))</f>
        <v>0</v>
      </c>
      <c r="I314">
        <f>SUMPRODUCT((MONTH(CHOOSE({1,2,3,4},TTSSKĐ!T314,TTSSKĐ!X314,TTSSKĐ!AB314,TTSSKĐ!AF314))=9)*(CHOOSE({1,2,3,4},TTSSKĐ!W314,TTSSKĐ!AA314,TTSSKĐ!AE314,TTSSKĐ!AI314)))</f>
        <v>0</v>
      </c>
      <c r="J314">
        <f>SUMPRODUCT((MONTH(CHOOSE({1,2,3,4},TTSSKĐ!T314,TTSSKĐ!X314,TTSSKĐ!AB314,TTSSKĐ!AF314))=10)*(CHOOSE({1,2,3,4},TTSSKĐ!W314,TTSSKĐ!AA314,TTSSKĐ!AE314,TTSSKĐ!AI314)))</f>
        <v>0</v>
      </c>
      <c r="K314">
        <f>SUMPRODUCT((MONTH(CHOOSE({1,2,3,4},TTSSKĐ!T314,TTSSKĐ!X314,TTSSKĐ!AB314,TTSSKĐ!AF314))=11)*(CHOOSE({1,2,3,4},TTSSKĐ!W314,TTSSKĐ!AA314,TTSSKĐ!AE314,TTSSKĐ!AI314)))</f>
        <v>0</v>
      </c>
      <c r="L314">
        <f>SUMPRODUCT((MONTH(CHOOSE({1,2,3,4},TTSSKĐ!T314,TTSSKĐ!X314,TTSSKĐ!AB314,TTSSKĐ!AF314))=12)*(CHOOSE({1,2,3,4},TTSSKĐ!W314,TTSSKĐ!AA314,TTSSKĐ!AE314,TTSSKĐ!AI314)))</f>
        <v>0</v>
      </c>
    </row>
    <row r="315" spans="1:12">
      <c r="A315">
        <f>SUMPRODUCT((MONTH(CHOOSE({1,2,3,4},TTSSKĐ!T315,TTSSKĐ!X315,TTSSKĐ!AB315,TTSSKĐ!AF315))=1)*(CHOOSE({1,2,3,4},TTSSKĐ!W315,TTSSKĐ!AA315,TTSSKĐ!AE315,TTSSKĐ!AI315)))</f>
        <v>0</v>
      </c>
      <c r="B315">
        <f>SUMPRODUCT((MONTH(CHOOSE({1,2,3,4},TTSSKĐ!T315,TTSSKĐ!X315,TTSSKĐ!AB315,TTSSKĐ!AF315))=2)*(CHOOSE({1,2,3,4},TTSSKĐ!W315,TTSSKĐ!AA315,TTSSKĐ!AE315,TTSSKĐ!AI315)))</f>
        <v>0</v>
      </c>
      <c r="C315">
        <f>SUMPRODUCT((MONTH(CHOOSE({1,2,3,4},TTSSKĐ!T315,TTSSKĐ!X315,TTSSKĐ!AB315,TTSSKĐ!AF315))=3)*(CHOOSE({1,2,3,4},TTSSKĐ!W315,TTSSKĐ!AA315,TTSSKĐ!AE315,TTSSKĐ!AI315)))</f>
        <v>0</v>
      </c>
      <c r="D315">
        <f>SUMPRODUCT((MONTH(CHOOSE({1,2,3,4},TTSSKĐ!T315,TTSSKĐ!X315,TTSSKĐ!AB315,TTSSKĐ!AF315))=4)*(CHOOSE({1,2,3,4},TTSSKĐ!W315,TTSSKĐ!AA315,TTSSKĐ!AE315,TTSSKĐ!AI315)))</f>
        <v>0</v>
      </c>
      <c r="E315">
        <f>SUMPRODUCT((MONTH(CHOOSE({1,2,3,4},TTSSKĐ!T315,TTSSKĐ!X315,TTSSKĐ!AB315,TTSSKĐ!AF315))=5)*(CHOOSE({1,2,3,4},TTSSKĐ!W315,TTSSKĐ!AA315,TTSSKĐ!AE315,TTSSKĐ!AI315)))</f>
        <v>0</v>
      </c>
      <c r="F315">
        <f>SUMPRODUCT((MONTH(CHOOSE({1,2,3,4},TTSSKĐ!T315,TTSSKĐ!X315,TTSSKĐ!AB315,TTSSKĐ!AF315))=6)*(CHOOSE({1,2,3,4},TTSSKĐ!W315,TTSSKĐ!AA315,TTSSKĐ!AE315,TTSSKĐ!AI315)))</f>
        <v>0</v>
      </c>
      <c r="G315">
        <f>SUMPRODUCT((MONTH(CHOOSE({1,2,3,4},TTSSKĐ!T315,TTSSKĐ!X315,TTSSKĐ!AB315,TTSSKĐ!AF315))=7)*(CHOOSE({1,2,3,4},TTSSKĐ!W315,TTSSKĐ!AA315,TTSSKĐ!AE315,TTSSKĐ!AI315)))</f>
        <v>0</v>
      </c>
      <c r="H315">
        <f>SUMPRODUCT((MONTH(CHOOSE({1,2,3,4},TTSSKĐ!T315,TTSSKĐ!X315,TTSSKĐ!AB315,TTSSKĐ!AF315))=8)*(CHOOSE({1,2,3,4},TTSSKĐ!W315,TTSSKĐ!AA315,TTSSKĐ!AE315,TTSSKĐ!AI315)))</f>
        <v>0</v>
      </c>
      <c r="I315">
        <f>SUMPRODUCT((MONTH(CHOOSE({1,2,3,4},TTSSKĐ!T315,TTSSKĐ!X315,TTSSKĐ!AB315,TTSSKĐ!AF315))=9)*(CHOOSE({1,2,3,4},TTSSKĐ!W315,TTSSKĐ!AA315,TTSSKĐ!AE315,TTSSKĐ!AI315)))</f>
        <v>0</v>
      </c>
      <c r="J315">
        <f>SUMPRODUCT((MONTH(CHOOSE({1,2,3,4},TTSSKĐ!T315,TTSSKĐ!X315,TTSSKĐ!AB315,TTSSKĐ!AF315))=10)*(CHOOSE({1,2,3,4},TTSSKĐ!W315,TTSSKĐ!AA315,TTSSKĐ!AE315,TTSSKĐ!AI315)))</f>
        <v>0</v>
      </c>
      <c r="K315">
        <f>SUMPRODUCT((MONTH(CHOOSE({1,2,3,4},TTSSKĐ!T315,TTSSKĐ!X315,TTSSKĐ!AB315,TTSSKĐ!AF315))=11)*(CHOOSE({1,2,3,4},TTSSKĐ!W315,TTSSKĐ!AA315,TTSSKĐ!AE315,TTSSKĐ!AI315)))</f>
        <v>0</v>
      </c>
      <c r="L315">
        <f>SUMPRODUCT((MONTH(CHOOSE({1,2,3,4},TTSSKĐ!T315,TTSSKĐ!X315,TTSSKĐ!AB315,TTSSKĐ!AF315))=12)*(CHOOSE({1,2,3,4},TTSSKĐ!W315,TTSSKĐ!AA315,TTSSKĐ!AE315,TTSSKĐ!AI315)))</f>
        <v>0</v>
      </c>
    </row>
    <row r="316" spans="1:12">
      <c r="A316">
        <f>SUMPRODUCT((MONTH(CHOOSE({1,2,3,4},TTSSKĐ!T316,TTSSKĐ!X316,TTSSKĐ!AB316,TTSSKĐ!AF316))=1)*(CHOOSE({1,2,3,4},TTSSKĐ!W316,TTSSKĐ!AA316,TTSSKĐ!AE316,TTSSKĐ!AI316)))</f>
        <v>0</v>
      </c>
      <c r="B316">
        <f>SUMPRODUCT((MONTH(CHOOSE({1,2,3,4},TTSSKĐ!T316,TTSSKĐ!X316,TTSSKĐ!AB316,TTSSKĐ!AF316))=2)*(CHOOSE({1,2,3,4},TTSSKĐ!W316,TTSSKĐ!AA316,TTSSKĐ!AE316,TTSSKĐ!AI316)))</f>
        <v>0</v>
      </c>
      <c r="C316">
        <f>SUMPRODUCT((MONTH(CHOOSE({1,2,3,4},TTSSKĐ!T316,TTSSKĐ!X316,TTSSKĐ!AB316,TTSSKĐ!AF316))=3)*(CHOOSE({1,2,3,4},TTSSKĐ!W316,TTSSKĐ!AA316,TTSSKĐ!AE316,TTSSKĐ!AI316)))</f>
        <v>0</v>
      </c>
      <c r="D316">
        <f>SUMPRODUCT((MONTH(CHOOSE({1,2,3,4},TTSSKĐ!T316,TTSSKĐ!X316,TTSSKĐ!AB316,TTSSKĐ!AF316))=4)*(CHOOSE({1,2,3,4},TTSSKĐ!W316,TTSSKĐ!AA316,TTSSKĐ!AE316,TTSSKĐ!AI316)))</f>
        <v>0</v>
      </c>
      <c r="E316">
        <f>SUMPRODUCT((MONTH(CHOOSE({1,2,3,4},TTSSKĐ!T316,TTSSKĐ!X316,TTSSKĐ!AB316,TTSSKĐ!AF316))=5)*(CHOOSE({1,2,3,4},TTSSKĐ!W316,TTSSKĐ!AA316,TTSSKĐ!AE316,TTSSKĐ!AI316)))</f>
        <v>0</v>
      </c>
      <c r="F316">
        <f>SUMPRODUCT((MONTH(CHOOSE({1,2,3,4},TTSSKĐ!T316,TTSSKĐ!X316,TTSSKĐ!AB316,TTSSKĐ!AF316))=6)*(CHOOSE({1,2,3,4},TTSSKĐ!W316,TTSSKĐ!AA316,TTSSKĐ!AE316,TTSSKĐ!AI316)))</f>
        <v>0</v>
      </c>
      <c r="G316">
        <f>SUMPRODUCT((MONTH(CHOOSE({1,2,3,4},TTSSKĐ!T316,TTSSKĐ!X316,TTSSKĐ!AB316,TTSSKĐ!AF316))=7)*(CHOOSE({1,2,3,4},TTSSKĐ!W316,TTSSKĐ!AA316,TTSSKĐ!AE316,TTSSKĐ!AI316)))</f>
        <v>0</v>
      </c>
      <c r="H316">
        <f>SUMPRODUCT((MONTH(CHOOSE({1,2,3,4},TTSSKĐ!T316,TTSSKĐ!X316,TTSSKĐ!AB316,TTSSKĐ!AF316))=8)*(CHOOSE({1,2,3,4},TTSSKĐ!W316,TTSSKĐ!AA316,TTSSKĐ!AE316,TTSSKĐ!AI316)))</f>
        <v>0</v>
      </c>
      <c r="I316">
        <f>SUMPRODUCT((MONTH(CHOOSE({1,2,3,4},TTSSKĐ!T316,TTSSKĐ!X316,TTSSKĐ!AB316,TTSSKĐ!AF316))=9)*(CHOOSE({1,2,3,4},TTSSKĐ!W316,TTSSKĐ!AA316,TTSSKĐ!AE316,TTSSKĐ!AI316)))</f>
        <v>0</v>
      </c>
      <c r="J316">
        <f>SUMPRODUCT((MONTH(CHOOSE({1,2,3,4},TTSSKĐ!T316,TTSSKĐ!X316,TTSSKĐ!AB316,TTSSKĐ!AF316))=10)*(CHOOSE({1,2,3,4},TTSSKĐ!W316,TTSSKĐ!AA316,TTSSKĐ!AE316,TTSSKĐ!AI316)))</f>
        <v>0</v>
      </c>
      <c r="K316">
        <f>SUMPRODUCT((MONTH(CHOOSE({1,2,3,4},TTSSKĐ!T316,TTSSKĐ!X316,TTSSKĐ!AB316,TTSSKĐ!AF316))=11)*(CHOOSE({1,2,3,4},TTSSKĐ!W316,TTSSKĐ!AA316,TTSSKĐ!AE316,TTSSKĐ!AI316)))</f>
        <v>0</v>
      </c>
      <c r="L316">
        <f>SUMPRODUCT((MONTH(CHOOSE({1,2,3,4},TTSSKĐ!T316,TTSSKĐ!X316,TTSSKĐ!AB316,TTSSKĐ!AF316))=12)*(CHOOSE({1,2,3,4},TTSSKĐ!W316,TTSSKĐ!AA316,TTSSKĐ!AE316,TTSSKĐ!AI316)))</f>
        <v>0</v>
      </c>
    </row>
    <row r="317" spans="1:12">
      <c r="A317">
        <f>SUMPRODUCT((MONTH(CHOOSE({1,2,3,4},TTSSKĐ!T317,TTSSKĐ!X317,TTSSKĐ!AB317,TTSSKĐ!AF317))=1)*(CHOOSE({1,2,3,4},TTSSKĐ!W317,TTSSKĐ!AA317,TTSSKĐ!AE317,TTSSKĐ!AI317)))</f>
        <v>0</v>
      </c>
      <c r="B317">
        <f>SUMPRODUCT((MONTH(CHOOSE({1,2,3,4},TTSSKĐ!T317,TTSSKĐ!X317,TTSSKĐ!AB317,TTSSKĐ!AF317))=2)*(CHOOSE({1,2,3,4},TTSSKĐ!W317,TTSSKĐ!AA317,TTSSKĐ!AE317,TTSSKĐ!AI317)))</f>
        <v>0</v>
      </c>
      <c r="C317">
        <f>SUMPRODUCT((MONTH(CHOOSE({1,2,3,4},TTSSKĐ!T317,TTSSKĐ!X317,TTSSKĐ!AB317,TTSSKĐ!AF317))=3)*(CHOOSE({1,2,3,4},TTSSKĐ!W317,TTSSKĐ!AA317,TTSSKĐ!AE317,TTSSKĐ!AI317)))</f>
        <v>0</v>
      </c>
      <c r="D317">
        <f>SUMPRODUCT((MONTH(CHOOSE({1,2,3,4},TTSSKĐ!T317,TTSSKĐ!X317,TTSSKĐ!AB317,TTSSKĐ!AF317))=4)*(CHOOSE({1,2,3,4},TTSSKĐ!W317,TTSSKĐ!AA317,TTSSKĐ!AE317,TTSSKĐ!AI317)))</f>
        <v>0</v>
      </c>
      <c r="E317">
        <f>SUMPRODUCT((MONTH(CHOOSE({1,2,3,4},TTSSKĐ!T317,TTSSKĐ!X317,TTSSKĐ!AB317,TTSSKĐ!AF317))=5)*(CHOOSE({1,2,3,4},TTSSKĐ!W317,TTSSKĐ!AA317,TTSSKĐ!AE317,TTSSKĐ!AI317)))</f>
        <v>0</v>
      </c>
      <c r="F317">
        <f>SUMPRODUCT((MONTH(CHOOSE({1,2,3,4},TTSSKĐ!T317,TTSSKĐ!X317,TTSSKĐ!AB317,TTSSKĐ!AF317))=6)*(CHOOSE({1,2,3,4},TTSSKĐ!W317,TTSSKĐ!AA317,TTSSKĐ!AE317,TTSSKĐ!AI317)))</f>
        <v>0</v>
      </c>
      <c r="G317">
        <f>SUMPRODUCT((MONTH(CHOOSE({1,2,3,4},TTSSKĐ!T317,TTSSKĐ!X317,TTSSKĐ!AB317,TTSSKĐ!AF317))=7)*(CHOOSE({1,2,3,4},TTSSKĐ!W317,TTSSKĐ!AA317,TTSSKĐ!AE317,TTSSKĐ!AI317)))</f>
        <v>0</v>
      </c>
      <c r="H317">
        <f>SUMPRODUCT((MONTH(CHOOSE({1,2,3,4},TTSSKĐ!T317,TTSSKĐ!X317,TTSSKĐ!AB317,TTSSKĐ!AF317))=8)*(CHOOSE({1,2,3,4},TTSSKĐ!W317,TTSSKĐ!AA317,TTSSKĐ!AE317,TTSSKĐ!AI317)))</f>
        <v>0</v>
      </c>
      <c r="I317">
        <f>SUMPRODUCT((MONTH(CHOOSE({1,2,3,4},TTSSKĐ!T317,TTSSKĐ!X317,TTSSKĐ!AB317,TTSSKĐ!AF317))=9)*(CHOOSE({1,2,3,4},TTSSKĐ!W317,TTSSKĐ!AA317,TTSSKĐ!AE317,TTSSKĐ!AI317)))</f>
        <v>0</v>
      </c>
      <c r="J317">
        <f>SUMPRODUCT((MONTH(CHOOSE({1,2,3,4},TTSSKĐ!T317,TTSSKĐ!X317,TTSSKĐ!AB317,TTSSKĐ!AF317))=10)*(CHOOSE({1,2,3,4},TTSSKĐ!W317,TTSSKĐ!AA317,TTSSKĐ!AE317,TTSSKĐ!AI317)))</f>
        <v>0</v>
      </c>
      <c r="K317">
        <f>SUMPRODUCT((MONTH(CHOOSE({1,2,3,4},TTSSKĐ!T317,TTSSKĐ!X317,TTSSKĐ!AB317,TTSSKĐ!AF317))=11)*(CHOOSE({1,2,3,4},TTSSKĐ!W317,TTSSKĐ!AA317,TTSSKĐ!AE317,TTSSKĐ!AI317)))</f>
        <v>0</v>
      </c>
      <c r="L317">
        <f>SUMPRODUCT((MONTH(CHOOSE({1,2,3,4},TTSSKĐ!T317,TTSSKĐ!X317,TTSSKĐ!AB317,TTSSKĐ!AF317))=12)*(CHOOSE({1,2,3,4},TTSSKĐ!W317,TTSSKĐ!AA317,TTSSKĐ!AE317,TTSSKĐ!AI317)))</f>
        <v>0</v>
      </c>
    </row>
    <row r="318" spans="1:12">
      <c r="A318">
        <f>SUMPRODUCT((MONTH(CHOOSE({1,2,3,4},TTSSKĐ!T318,TTSSKĐ!X318,TTSSKĐ!AB318,TTSSKĐ!AF318))=1)*(CHOOSE({1,2,3,4},TTSSKĐ!W318,TTSSKĐ!AA318,TTSSKĐ!AE318,TTSSKĐ!AI318)))</f>
        <v>0</v>
      </c>
      <c r="B318">
        <f>SUMPRODUCT((MONTH(CHOOSE({1,2,3,4},TTSSKĐ!T318,TTSSKĐ!X318,TTSSKĐ!AB318,TTSSKĐ!AF318))=2)*(CHOOSE({1,2,3,4},TTSSKĐ!W318,TTSSKĐ!AA318,TTSSKĐ!AE318,TTSSKĐ!AI318)))</f>
        <v>0</v>
      </c>
      <c r="C318">
        <f>SUMPRODUCT((MONTH(CHOOSE({1,2,3,4},TTSSKĐ!T318,TTSSKĐ!X318,TTSSKĐ!AB318,TTSSKĐ!AF318))=3)*(CHOOSE({1,2,3,4},TTSSKĐ!W318,TTSSKĐ!AA318,TTSSKĐ!AE318,TTSSKĐ!AI318)))</f>
        <v>0</v>
      </c>
      <c r="D318">
        <f>SUMPRODUCT((MONTH(CHOOSE({1,2,3,4},TTSSKĐ!T318,TTSSKĐ!X318,TTSSKĐ!AB318,TTSSKĐ!AF318))=4)*(CHOOSE({1,2,3,4},TTSSKĐ!W318,TTSSKĐ!AA318,TTSSKĐ!AE318,TTSSKĐ!AI318)))</f>
        <v>0</v>
      </c>
      <c r="E318">
        <f>SUMPRODUCT((MONTH(CHOOSE({1,2,3,4},TTSSKĐ!T318,TTSSKĐ!X318,TTSSKĐ!AB318,TTSSKĐ!AF318))=5)*(CHOOSE({1,2,3,4},TTSSKĐ!W318,TTSSKĐ!AA318,TTSSKĐ!AE318,TTSSKĐ!AI318)))</f>
        <v>0</v>
      </c>
      <c r="F318">
        <f>SUMPRODUCT((MONTH(CHOOSE({1,2,3,4},TTSSKĐ!T318,TTSSKĐ!X318,TTSSKĐ!AB318,TTSSKĐ!AF318))=6)*(CHOOSE({1,2,3,4},TTSSKĐ!W318,TTSSKĐ!AA318,TTSSKĐ!AE318,TTSSKĐ!AI318)))</f>
        <v>0</v>
      </c>
      <c r="G318">
        <f>SUMPRODUCT((MONTH(CHOOSE({1,2,3,4},TTSSKĐ!T318,TTSSKĐ!X318,TTSSKĐ!AB318,TTSSKĐ!AF318))=7)*(CHOOSE({1,2,3,4},TTSSKĐ!W318,TTSSKĐ!AA318,TTSSKĐ!AE318,TTSSKĐ!AI318)))</f>
        <v>0</v>
      </c>
      <c r="H318">
        <f>SUMPRODUCT((MONTH(CHOOSE({1,2,3,4},TTSSKĐ!T318,TTSSKĐ!X318,TTSSKĐ!AB318,TTSSKĐ!AF318))=8)*(CHOOSE({1,2,3,4},TTSSKĐ!W318,TTSSKĐ!AA318,TTSSKĐ!AE318,TTSSKĐ!AI318)))</f>
        <v>0</v>
      </c>
      <c r="I318">
        <f>SUMPRODUCT((MONTH(CHOOSE({1,2,3,4},TTSSKĐ!T318,TTSSKĐ!X318,TTSSKĐ!AB318,TTSSKĐ!AF318))=9)*(CHOOSE({1,2,3,4},TTSSKĐ!W318,TTSSKĐ!AA318,TTSSKĐ!AE318,TTSSKĐ!AI318)))</f>
        <v>0</v>
      </c>
      <c r="J318">
        <f>SUMPRODUCT((MONTH(CHOOSE({1,2,3,4},TTSSKĐ!T318,TTSSKĐ!X318,TTSSKĐ!AB318,TTSSKĐ!AF318))=10)*(CHOOSE({1,2,3,4},TTSSKĐ!W318,TTSSKĐ!AA318,TTSSKĐ!AE318,TTSSKĐ!AI318)))</f>
        <v>0</v>
      </c>
      <c r="K318">
        <f>SUMPRODUCT((MONTH(CHOOSE({1,2,3,4},TTSSKĐ!T318,TTSSKĐ!X318,TTSSKĐ!AB318,TTSSKĐ!AF318))=11)*(CHOOSE({1,2,3,4},TTSSKĐ!W318,TTSSKĐ!AA318,TTSSKĐ!AE318,TTSSKĐ!AI318)))</f>
        <v>0</v>
      </c>
      <c r="L318">
        <f>SUMPRODUCT((MONTH(CHOOSE({1,2,3,4},TTSSKĐ!T318,TTSSKĐ!X318,TTSSKĐ!AB318,TTSSKĐ!AF318))=12)*(CHOOSE({1,2,3,4},TTSSKĐ!W318,TTSSKĐ!AA318,TTSSKĐ!AE318,TTSSKĐ!AI318)))</f>
        <v>0</v>
      </c>
    </row>
    <row r="319" spans="1:12">
      <c r="A319">
        <f>SUMPRODUCT((MONTH(CHOOSE({1,2,3,4},TTSSKĐ!T319,TTSSKĐ!X319,TTSSKĐ!AB319,TTSSKĐ!AF319))=1)*(CHOOSE({1,2,3,4},TTSSKĐ!W319,TTSSKĐ!AA319,TTSSKĐ!AE319,TTSSKĐ!AI319)))</f>
        <v>0</v>
      </c>
      <c r="B319">
        <f>SUMPRODUCT((MONTH(CHOOSE({1,2,3,4},TTSSKĐ!T319,TTSSKĐ!X319,TTSSKĐ!AB319,TTSSKĐ!AF319))=2)*(CHOOSE({1,2,3,4},TTSSKĐ!W319,TTSSKĐ!AA319,TTSSKĐ!AE319,TTSSKĐ!AI319)))</f>
        <v>0</v>
      </c>
      <c r="C319">
        <f>SUMPRODUCT((MONTH(CHOOSE({1,2,3,4},TTSSKĐ!T319,TTSSKĐ!X319,TTSSKĐ!AB319,TTSSKĐ!AF319))=3)*(CHOOSE({1,2,3,4},TTSSKĐ!W319,TTSSKĐ!AA319,TTSSKĐ!AE319,TTSSKĐ!AI319)))</f>
        <v>0</v>
      </c>
      <c r="D319">
        <f>SUMPRODUCT((MONTH(CHOOSE({1,2,3,4},TTSSKĐ!T319,TTSSKĐ!X319,TTSSKĐ!AB319,TTSSKĐ!AF319))=4)*(CHOOSE({1,2,3,4},TTSSKĐ!W319,TTSSKĐ!AA319,TTSSKĐ!AE319,TTSSKĐ!AI319)))</f>
        <v>0</v>
      </c>
      <c r="E319">
        <f>SUMPRODUCT((MONTH(CHOOSE({1,2,3,4},TTSSKĐ!T319,TTSSKĐ!X319,TTSSKĐ!AB319,TTSSKĐ!AF319))=5)*(CHOOSE({1,2,3,4},TTSSKĐ!W319,TTSSKĐ!AA319,TTSSKĐ!AE319,TTSSKĐ!AI319)))</f>
        <v>0</v>
      </c>
      <c r="F319">
        <f>SUMPRODUCT((MONTH(CHOOSE({1,2,3,4},TTSSKĐ!T319,TTSSKĐ!X319,TTSSKĐ!AB319,TTSSKĐ!AF319))=6)*(CHOOSE({1,2,3,4},TTSSKĐ!W319,TTSSKĐ!AA319,TTSSKĐ!AE319,TTSSKĐ!AI319)))</f>
        <v>0</v>
      </c>
      <c r="G319">
        <f>SUMPRODUCT((MONTH(CHOOSE({1,2,3,4},TTSSKĐ!T319,TTSSKĐ!X319,TTSSKĐ!AB319,TTSSKĐ!AF319))=7)*(CHOOSE({1,2,3,4},TTSSKĐ!W319,TTSSKĐ!AA319,TTSSKĐ!AE319,TTSSKĐ!AI319)))</f>
        <v>0</v>
      </c>
      <c r="H319">
        <f>SUMPRODUCT((MONTH(CHOOSE({1,2,3,4},TTSSKĐ!T319,TTSSKĐ!X319,TTSSKĐ!AB319,TTSSKĐ!AF319))=8)*(CHOOSE({1,2,3,4},TTSSKĐ!W319,TTSSKĐ!AA319,TTSSKĐ!AE319,TTSSKĐ!AI319)))</f>
        <v>0</v>
      </c>
      <c r="I319">
        <f>SUMPRODUCT((MONTH(CHOOSE({1,2,3,4},TTSSKĐ!T319,TTSSKĐ!X319,TTSSKĐ!AB319,TTSSKĐ!AF319))=9)*(CHOOSE({1,2,3,4},TTSSKĐ!W319,TTSSKĐ!AA319,TTSSKĐ!AE319,TTSSKĐ!AI319)))</f>
        <v>0</v>
      </c>
      <c r="J319">
        <f>SUMPRODUCT((MONTH(CHOOSE({1,2,3,4},TTSSKĐ!T319,TTSSKĐ!X319,TTSSKĐ!AB319,TTSSKĐ!AF319))=10)*(CHOOSE({1,2,3,4},TTSSKĐ!W319,TTSSKĐ!AA319,TTSSKĐ!AE319,TTSSKĐ!AI319)))</f>
        <v>0</v>
      </c>
      <c r="K319">
        <f>SUMPRODUCT((MONTH(CHOOSE({1,2,3,4},TTSSKĐ!T319,TTSSKĐ!X319,TTSSKĐ!AB319,TTSSKĐ!AF319))=11)*(CHOOSE({1,2,3,4},TTSSKĐ!W319,TTSSKĐ!AA319,TTSSKĐ!AE319,TTSSKĐ!AI319)))</f>
        <v>0</v>
      </c>
      <c r="L319">
        <f>SUMPRODUCT((MONTH(CHOOSE({1,2,3,4},TTSSKĐ!T319,TTSSKĐ!X319,TTSSKĐ!AB319,TTSSKĐ!AF319))=12)*(CHOOSE({1,2,3,4},TTSSKĐ!W319,TTSSKĐ!AA319,TTSSKĐ!AE319,TTSSKĐ!AI319)))</f>
        <v>0</v>
      </c>
    </row>
    <row r="320" spans="1:12">
      <c r="A320">
        <f>SUMPRODUCT((MONTH(CHOOSE({1,2,3,4},TTSSKĐ!T320,TTSSKĐ!X320,TTSSKĐ!AB320,TTSSKĐ!AF320))=1)*(CHOOSE({1,2,3,4},TTSSKĐ!W320,TTSSKĐ!AA320,TTSSKĐ!AE320,TTSSKĐ!AI320)))</f>
        <v>0</v>
      </c>
      <c r="B320">
        <f>SUMPRODUCT((MONTH(CHOOSE({1,2,3,4},TTSSKĐ!T320,TTSSKĐ!X320,TTSSKĐ!AB320,TTSSKĐ!AF320))=2)*(CHOOSE({1,2,3,4},TTSSKĐ!W320,TTSSKĐ!AA320,TTSSKĐ!AE320,TTSSKĐ!AI320)))</f>
        <v>0</v>
      </c>
      <c r="C320">
        <f>SUMPRODUCT((MONTH(CHOOSE({1,2,3,4},TTSSKĐ!T320,TTSSKĐ!X320,TTSSKĐ!AB320,TTSSKĐ!AF320))=3)*(CHOOSE({1,2,3,4},TTSSKĐ!W320,TTSSKĐ!AA320,TTSSKĐ!AE320,TTSSKĐ!AI320)))</f>
        <v>0</v>
      </c>
      <c r="D320">
        <f>SUMPRODUCT((MONTH(CHOOSE({1,2,3,4},TTSSKĐ!T320,TTSSKĐ!X320,TTSSKĐ!AB320,TTSSKĐ!AF320))=4)*(CHOOSE({1,2,3,4},TTSSKĐ!W320,TTSSKĐ!AA320,TTSSKĐ!AE320,TTSSKĐ!AI320)))</f>
        <v>0</v>
      </c>
      <c r="E320">
        <f>SUMPRODUCT((MONTH(CHOOSE({1,2,3,4},TTSSKĐ!T320,TTSSKĐ!X320,TTSSKĐ!AB320,TTSSKĐ!AF320))=5)*(CHOOSE({1,2,3,4},TTSSKĐ!W320,TTSSKĐ!AA320,TTSSKĐ!AE320,TTSSKĐ!AI320)))</f>
        <v>0</v>
      </c>
      <c r="F320">
        <f>SUMPRODUCT((MONTH(CHOOSE({1,2,3,4},TTSSKĐ!T320,TTSSKĐ!X320,TTSSKĐ!AB320,TTSSKĐ!AF320))=6)*(CHOOSE({1,2,3,4},TTSSKĐ!W320,TTSSKĐ!AA320,TTSSKĐ!AE320,TTSSKĐ!AI320)))</f>
        <v>0</v>
      </c>
      <c r="G320">
        <f>SUMPRODUCT((MONTH(CHOOSE({1,2,3,4},TTSSKĐ!T320,TTSSKĐ!X320,TTSSKĐ!AB320,TTSSKĐ!AF320))=7)*(CHOOSE({1,2,3,4},TTSSKĐ!W320,TTSSKĐ!AA320,TTSSKĐ!AE320,TTSSKĐ!AI320)))</f>
        <v>0</v>
      </c>
      <c r="H320">
        <f>SUMPRODUCT((MONTH(CHOOSE({1,2,3,4},TTSSKĐ!T320,TTSSKĐ!X320,TTSSKĐ!AB320,TTSSKĐ!AF320))=8)*(CHOOSE({1,2,3,4},TTSSKĐ!W320,TTSSKĐ!AA320,TTSSKĐ!AE320,TTSSKĐ!AI320)))</f>
        <v>0</v>
      </c>
      <c r="I320">
        <f>SUMPRODUCT((MONTH(CHOOSE({1,2,3,4},TTSSKĐ!T320,TTSSKĐ!X320,TTSSKĐ!AB320,TTSSKĐ!AF320))=9)*(CHOOSE({1,2,3,4},TTSSKĐ!W320,TTSSKĐ!AA320,TTSSKĐ!AE320,TTSSKĐ!AI320)))</f>
        <v>0</v>
      </c>
      <c r="J320">
        <f>SUMPRODUCT((MONTH(CHOOSE({1,2,3,4},TTSSKĐ!T320,TTSSKĐ!X320,TTSSKĐ!AB320,TTSSKĐ!AF320))=10)*(CHOOSE({1,2,3,4},TTSSKĐ!W320,TTSSKĐ!AA320,TTSSKĐ!AE320,TTSSKĐ!AI320)))</f>
        <v>0</v>
      </c>
      <c r="K320">
        <f>SUMPRODUCT((MONTH(CHOOSE({1,2,3,4},TTSSKĐ!T320,TTSSKĐ!X320,TTSSKĐ!AB320,TTSSKĐ!AF320))=11)*(CHOOSE({1,2,3,4},TTSSKĐ!W320,TTSSKĐ!AA320,TTSSKĐ!AE320,TTSSKĐ!AI320)))</f>
        <v>0</v>
      </c>
      <c r="L320">
        <f>SUMPRODUCT((MONTH(CHOOSE({1,2,3,4},TTSSKĐ!T320,TTSSKĐ!X320,TTSSKĐ!AB320,TTSSKĐ!AF320))=12)*(CHOOSE({1,2,3,4},TTSSKĐ!W320,TTSSKĐ!AA320,TTSSKĐ!AE320,TTSSKĐ!AI320)))</f>
        <v>0</v>
      </c>
    </row>
    <row r="321" spans="1:12">
      <c r="A321">
        <f>SUMPRODUCT((MONTH(CHOOSE({1,2,3,4},TTSSKĐ!T321,TTSSKĐ!X321,TTSSKĐ!AB321,TTSSKĐ!AF321))=1)*(CHOOSE({1,2,3,4},TTSSKĐ!W321,TTSSKĐ!AA321,TTSSKĐ!AE321,TTSSKĐ!AI321)))</f>
        <v>0</v>
      </c>
      <c r="B321">
        <f>SUMPRODUCT((MONTH(CHOOSE({1,2,3,4},TTSSKĐ!T321,TTSSKĐ!X321,TTSSKĐ!AB321,TTSSKĐ!AF321))=2)*(CHOOSE({1,2,3,4},TTSSKĐ!W321,TTSSKĐ!AA321,TTSSKĐ!AE321,TTSSKĐ!AI321)))</f>
        <v>0</v>
      </c>
      <c r="C321">
        <f>SUMPRODUCT((MONTH(CHOOSE({1,2,3,4},TTSSKĐ!T321,TTSSKĐ!X321,TTSSKĐ!AB321,TTSSKĐ!AF321))=3)*(CHOOSE({1,2,3,4},TTSSKĐ!W321,TTSSKĐ!AA321,TTSSKĐ!AE321,TTSSKĐ!AI321)))</f>
        <v>0</v>
      </c>
      <c r="D321">
        <f>SUMPRODUCT((MONTH(CHOOSE({1,2,3,4},TTSSKĐ!T321,TTSSKĐ!X321,TTSSKĐ!AB321,TTSSKĐ!AF321))=4)*(CHOOSE({1,2,3,4},TTSSKĐ!W321,TTSSKĐ!AA321,TTSSKĐ!AE321,TTSSKĐ!AI321)))</f>
        <v>0</v>
      </c>
      <c r="E321">
        <f>SUMPRODUCT((MONTH(CHOOSE({1,2,3,4},TTSSKĐ!T321,TTSSKĐ!X321,TTSSKĐ!AB321,TTSSKĐ!AF321))=5)*(CHOOSE({1,2,3,4},TTSSKĐ!W321,TTSSKĐ!AA321,TTSSKĐ!AE321,TTSSKĐ!AI321)))</f>
        <v>0</v>
      </c>
      <c r="F321">
        <f>SUMPRODUCT((MONTH(CHOOSE({1,2,3,4},TTSSKĐ!T321,TTSSKĐ!X321,TTSSKĐ!AB321,TTSSKĐ!AF321))=6)*(CHOOSE({1,2,3,4},TTSSKĐ!W321,TTSSKĐ!AA321,TTSSKĐ!AE321,TTSSKĐ!AI321)))</f>
        <v>0</v>
      </c>
      <c r="G321">
        <f>SUMPRODUCT((MONTH(CHOOSE({1,2,3,4},TTSSKĐ!T321,TTSSKĐ!X321,TTSSKĐ!AB321,TTSSKĐ!AF321))=7)*(CHOOSE({1,2,3,4},TTSSKĐ!W321,TTSSKĐ!AA321,TTSSKĐ!AE321,TTSSKĐ!AI321)))</f>
        <v>0</v>
      </c>
      <c r="H321">
        <f>SUMPRODUCT((MONTH(CHOOSE({1,2,3,4},TTSSKĐ!T321,TTSSKĐ!X321,TTSSKĐ!AB321,TTSSKĐ!AF321))=8)*(CHOOSE({1,2,3,4},TTSSKĐ!W321,TTSSKĐ!AA321,TTSSKĐ!AE321,TTSSKĐ!AI321)))</f>
        <v>0</v>
      </c>
      <c r="I321">
        <f>SUMPRODUCT((MONTH(CHOOSE({1,2,3,4},TTSSKĐ!T321,TTSSKĐ!X321,TTSSKĐ!AB321,TTSSKĐ!AF321))=9)*(CHOOSE({1,2,3,4},TTSSKĐ!W321,TTSSKĐ!AA321,TTSSKĐ!AE321,TTSSKĐ!AI321)))</f>
        <v>0</v>
      </c>
      <c r="J321">
        <f>SUMPRODUCT((MONTH(CHOOSE({1,2,3,4},TTSSKĐ!T321,TTSSKĐ!X321,TTSSKĐ!AB321,TTSSKĐ!AF321))=10)*(CHOOSE({1,2,3,4},TTSSKĐ!W321,TTSSKĐ!AA321,TTSSKĐ!AE321,TTSSKĐ!AI321)))</f>
        <v>0</v>
      </c>
      <c r="K321">
        <f>SUMPRODUCT((MONTH(CHOOSE({1,2,3,4},TTSSKĐ!T321,TTSSKĐ!X321,TTSSKĐ!AB321,TTSSKĐ!AF321))=11)*(CHOOSE({1,2,3,4},TTSSKĐ!W321,TTSSKĐ!AA321,TTSSKĐ!AE321,TTSSKĐ!AI321)))</f>
        <v>0</v>
      </c>
      <c r="L321">
        <f>SUMPRODUCT((MONTH(CHOOSE({1,2,3,4},TTSSKĐ!T321,TTSSKĐ!X321,TTSSKĐ!AB321,TTSSKĐ!AF321))=12)*(CHOOSE({1,2,3,4},TTSSKĐ!W321,TTSSKĐ!AA321,TTSSKĐ!AE321,TTSSKĐ!AI321)))</f>
        <v>0</v>
      </c>
    </row>
    <row r="322" spans="1:12">
      <c r="A322">
        <f>SUMPRODUCT((MONTH(CHOOSE({1,2,3,4},TTSSKĐ!T322,TTSSKĐ!X322,TTSSKĐ!AB322,TTSSKĐ!AF322))=1)*(CHOOSE({1,2,3,4},TTSSKĐ!W322,TTSSKĐ!AA322,TTSSKĐ!AE322,TTSSKĐ!AI322)))</f>
        <v>0</v>
      </c>
      <c r="B322">
        <f>SUMPRODUCT((MONTH(CHOOSE({1,2,3,4},TTSSKĐ!T322,TTSSKĐ!X322,TTSSKĐ!AB322,TTSSKĐ!AF322))=2)*(CHOOSE({1,2,3,4},TTSSKĐ!W322,TTSSKĐ!AA322,TTSSKĐ!AE322,TTSSKĐ!AI322)))</f>
        <v>0</v>
      </c>
      <c r="C322">
        <f>SUMPRODUCT((MONTH(CHOOSE({1,2,3,4},TTSSKĐ!T322,TTSSKĐ!X322,TTSSKĐ!AB322,TTSSKĐ!AF322))=3)*(CHOOSE({1,2,3,4},TTSSKĐ!W322,TTSSKĐ!AA322,TTSSKĐ!AE322,TTSSKĐ!AI322)))</f>
        <v>0</v>
      </c>
      <c r="D322">
        <f>SUMPRODUCT((MONTH(CHOOSE({1,2,3,4},TTSSKĐ!T322,TTSSKĐ!X322,TTSSKĐ!AB322,TTSSKĐ!AF322))=4)*(CHOOSE({1,2,3,4},TTSSKĐ!W322,TTSSKĐ!AA322,TTSSKĐ!AE322,TTSSKĐ!AI322)))</f>
        <v>0</v>
      </c>
      <c r="E322">
        <f>SUMPRODUCT((MONTH(CHOOSE({1,2,3,4},TTSSKĐ!T322,TTSSKĐ!X322,TTSSKĐ!AB322,TTSSKĐ!AF322))=5)*(CHOOSE({1,2,3,4},TTSSKĐ!W322,TTSSKĐ!AA322,TTSSKĐ!AE322,TTSSKĐ!AI322)))</f>
        <v>0</v>
      </c>
      <c r="F322">
        <f>SUMPRODUCT((MONTH(CHOOSE({1,2,3,4},TTSSKĐ!T322,TTSSKĐ!X322,TTSSKĐ!AB322,TTSSKĐ!AF322))=6)*(CHOOSE({1,2,3,4},TTSSKĐ!W322,TTSSKĐ!AA322,TTSSKĐ!AE322,TTSSKĐ!AI322)))</f>
        <v>0</v>
      </c>
      <c r="G322">
        <f>SUMPRODUCT((MONTH(CHOOSE({1,2,3,4},TTSSKĐ!T322,TTSSKĐ!X322,TTSSKĐ!AB322,TTSSKĐ!AF322))=7)*(CHOOSE({1,2,3,4},TTSSKĐ!W322,TTSSKĐ!AA322,TTSSKĐ!AE322,TTSSKĐ!AI322)))</f>
        <v>0</v>
      </c>
      <c r="H322">
        <f>SUMPRODUCT((MONTH(CHOOSE({1,2,3,4},TTSSKĐ!T322,TTSSKĐ!X322,TTSSKĐ!AB322,TTSSKĐ!AF322))=8)*(CHOOSE({1,2,3,4},TTSSKĐ!W322,TTSSKĐ!AA322,TTSSKĐ!AE322,TTSSKĐ!AI322)))</f>
        <v>0</v>
      </c>
      <c r="I322">
        <f>SUMPRODUCT((MONTH(CHOOSE({1,2,3,4},TTSSKĐ!T322,TTSSKĐ!X322,TTSSKĐ!AB322,TTSSKĐ!AF322))=9)*(CHOOSE({1,2,3,4},TTSSKĐ!W322,TTSSKĐ!AA322,TTSSKĐ!AE322,TTSSKĐ!AI322)))</f>
        <v>0</v>
      </c>
      <c r="J322">
        <f>SUMPRODUCT((MONTH(CHOOSE({1,2,3,4},TTSSKĐ!T322,TTSSKĐ!X322,TTSSKĐ!AB322,TTSSKĐ!AF322))=10)*(CHOOSE({1,2,3,4},TTSSKĐ!W322,TTSSKĐ!AA322,TTSSKĐ!AE322,TTSSKĐ!AI322)))</f>
        <v>0</v>
      </c>
      <c r="K322">
        <f>SUMPRODUCT((MONTH(CHOOSE({1,2,3,4},TTSSKĐ!T322,TTSSKĐ!X322,TTSSKĐ!AB322,TTSSKĐ!AF322))=11)*(CHOOSE({1,2,3,4},TTSSKĐ!W322,TTSSKĐ!AA322,TTSSKĐ!AE322,TTSSKĐ!AI322)))</f>
        <v>0</v>
      </c>
      <c r="L322">
        <f>SUMPRODUCT((MONTH(CHOOSE({1,2,3,4},TTSSKĐ!T322,TTSSKĐ!X322,TTSSKĐ!AB322,TTSSKĐ!AF322))=12)*(CHOOSE({1,2,3,4},TTSSKĐ!W322,TTSSKĐ!AA322,TTSSKĐ!AE322,TTSSKĐ!AI322)))</f>
        <v>0</v>
      </c>
    </row>
    <row r="323" spans="1:12">
      <c r="A323">
        <f>SUMPRODUCT((MONTH(CHOOSE({1,2,3,4},TTSSKĐ!T323,TTSSKĐ!X323,TTSSKĐ!AB323,TTSSKĐ!AF323))=1)*(CHOOSE({1,2,3,4},TTSSKĐ!W323,TTSSKĐ!AA323,TTSSKĐ!AE323,TTSSKĐ!AI323)))</f>
        <v>0</v>
      </c>
      <c r="B323">
        <f>SUMPRODUCT((MONTH(CHOOSE({1,2,3,4},TTSSKĐ!T323,TTSSKĐ!X323,TTSSKĐ!AB323,TTSSKĐ!AF323))=2)*(CHOOSE({1,2,3,4},TTSSKĐ!W323,TTSSKĐ!AA323,TTSSKĐ!AE323,TTSSKĐ!AI323)))</f>
        <v>0</v>
      </c>
      <c r="C323">
        <f>SUMPRODUCT((MONTH(CHOOSE({1,2,3,4},TTSSKĐ!T323,TTSSKĐ!X323,TTSSKĐ!AB323,TTSSKĐ!AF323))=3)*(CHOOSE({1,2,3,4},TTSSKĐ!W323,TTSSKĐ!AA323,TTSSKĐ!AE323,TTSSKĐ!AI323)))</f>
        <v>0</v>
      </c>
      <c r="D323">
        <f>SUMPRODUCT((MONTH(CHOOSE({1,2,3,4},TTSSKĐ!T323,TTSSKĐ!X323,TTSSKĐ!AB323,TTSSKĐ!AF323))=4)*(CHOOSE({1,2,3,4},TTSSKĐ!W323,TTSSKĐ!AA323,TTSSKĐ!AE323,TTSSKĐ!AI323)))</f>
        <v>0</v>
      </c>
      <c r="E323">
        <f>SUMPRODUCT((MONTH(CHOOSE({1,2,3,4},TTSSKĐ!T323,TTSSKĐ!X323,TTSSKĐ!AB323,TTSSKĐ!AF323))=5)*(CHOOSE({1,2,3,4},TTSSKĐ!W323,TTSSKĐ!AA323,TTSSKĐ!AE323,TTSSKĐ!AI323)))</f>
        <v>0</v>
      </c>
      <c r="F323">
        <f>SUMPRODUCT((MONTH(CHOOSE({1,2,3,4},TTSSKĐ!T323,TTSSKĐ!X323,TTSSKĐ!AB323,TTSSKĐ!AF323))=6)*(CHOOSE({1,2,3,4},TTSSKĐ!W323,TTSSKĐ!AA323,TTSSKĐ!AE323,TTSSKĐ!AI323)))</f>
        <v>0</v>
      </c>
      <c r="G323">
        <f>SUMPRODUCT((MONTH(CHOOSE({1,2,3,4},TTSSKĐ!T323,TTSSKĐ!X323,TTSSKĐ!AB323,TTSSKĐ!AF323))=7)*(CHOOSE({1,2,3,4},TTSSKĐ!W323,TTSSKĐ!AA323,TTSSKĐ!AE323,TTSSKĐ!AI323)))</f>
        <v>0</v>
      </c>
      <c r="H323">
        <f>SUMPRODUCT((MONTH(CHOOSE({1,2,3,4},TTSSKĐ!T323,TTSSKĐ!X323,TTSSKĐ!AB323,TTSSKĐ!AF323))=8)*(CHOOSE({1,2,3,4},TTSSKĐ!W323,TTSSKĐ!AA323,TTSSKĐ!AE323,TTSSKĐ!AI323)))</f>
        <v>0</v>
      </c>
      <c r="I323">
        <f>SUMPRODUCT((MONTH(CHOOSE({1,2,3,4},TTSSKĐ!T323,TTSSKĐ!X323,TTSSKĐ!AB323,TTSSKĐ!AF323))=9)*(CHOOSE({1,2,3,4},TTSSKĐ!W323,TTSSKĐ!AA323,TTSSKĐ!AE323,TTSSKĐ!AI323)))</f>
        <v>0</v>
      </c>
      <c r="J323">
        <f>SUMPRODUCT((MONTH(CHOOSE({1,2,3,4},TTSSKĐ!T323,TTSSKĐ!X323,TTSSKĐ!AB323,TTSSKĐ!AF323))=10)*(CHOOSE({1,2,3,4},TTSSKĐ!W323,TTSSKĐ!AA323,TTSSKĐ!AE323,TTSSKĐ!AI323)))</f>
        <v>0</v>
      </c>
      <c r="K323">
        <f>SUMPRODUCT((MONTH(CHOOSE({1,2,3,4},TTSSKĐ!T323,TTSSKĐ!X323,TTSSKĐ!AB323,TTSSKĐ!AF323))=11)*(CHOOSE({1,2,3,4},TTSSKĐ!W323,TTSSKĐ!AA323,TTSSKĐ!AE323,TTSSKĐ!AI323)))</f>
        <v>0</v>
      </c>
      <c r="L323">
        <f>SUMPRODUCT((MONTH(CHOOSE({1,2,3,4},TTSSKĐ!T323,TTSSKĐ!X323,TTSSKĐ!AB323,TTSSKĐ!AF323))=12)*(CHOOSE({1,2,3,4},TTSSKĐ!W323,TTSSKĐ!AA323,TTSSKĐ!AE323,TTSSKĐ!AI323)))</f>
        <v>0</v>
      </c>
    </row>
    <row r="324" spans="1:12">
      <c r="A324">
        <f>SUMPRODUCT((MONTH(CHOOSE({1,2,3,4},TTSSKĐ!T324,TTSSKĐ!X324,TTSSKĐ!AB324,TTSSKĐ!AF324))=1)*(CHOOSE({1,2,3,4},TTSSKĐ!W324,TTSSKĐ!AA324,TTSSKĐ!AE324,TTSSKĐ!AI324)))</f>
        <v>0</v>
      </c>
      <c r="B324">
        <f>SUMPRODUCT((MONTH(CHOOSE({1,2,3,4},TTSSKĐ!T324,TTSSKĐ!X324,TTSSKĐ!AB324,TTSSKĐ!AF324))=2)*(CHOOSE({1,2,3,4},TTSSKĐ!W324,TTSSKĐ!AA324,TTSSKĐ!AE324,TTSSKĐ!AI324)))</f>
        <v>0</v>
      </c>
      <c r="C324">
        <f>SUMPRODUCT((MONTH(CHOOSE({1,2,3,4},TTSSKĐ!T324,TTSSKĐ!X324,TTSSKĐ!AB324,TTSSKĐ!AF324))=3)*(CHOOSE({1,2,3,4},TTSSKĐ!W324,TTSSKĐ!AA324,TTSSKĐ!AE324,TTSSKĐ!AI324)))</f>
        <v>0</v>
      </c>
      <c r="D324">
        <f>SUMPRODUCT((MONTH(CHOOSE({1,2,3,4},TTSSKĐ!T324,TTSSKĐ!X324,TTSSKĐ!AB324,TTSSKĐ!AF324))=4)*(CHOOSE({1,2,3,4},TTSSKĐ!W324,TTSSKĐ!AA324,TTSSKĐ!AE324,TTSSKĐ!AI324)))</f>
        <v>0</v>
      </c>
      <c r="E324">
        <f>SUMPRODUCT((MONTH(CHOOSE({1,2,3,4},TTSSKĐ!T324,TTSSKĐ!X324,TTSSKĐ!AB324,TTSSKĐ!AF324))=5)*(CHOOSE({1,2,3,4},TTSSKĐ!W324,TTSSKĐ!AA324,TTSSKĐ!AE324,TTSSKĐ!AI324)))</f>
        <v>0</v>
      </c>
      <c r="F324">
        <f>SUMPRODUCT((MONTH(CHOOSE({1,2,3,4},TTSSKĐ!T324,TTSSKĐ!X324,TTSSKĐ!AB324,TTSSKĐ!AF324))=6)*(CHOOSE({1,2,3,4},TTSSKĐ!W324,TTSSKĐ!AA324,TTSSKĐ!AE324,TTSSKĐ!AI324)))</f>
        <v>0</v>
      </c>
      <c r="G324">
        <f>SUMPRODUCT((MONTH(CHOOSE({1,2,3,4},TTSSKĐ!T324,TTSSKĐ!X324,TTSSKĐ!AB324,TTSSKĐ!AF324))=7)*(CHOOSE({1,2,3,4},TTSSKĐ!W324,TTSSKĐ!AA324,TTSSKĐ!AE324,TTSSKĐ!AI324)))</f>
        <v>0</v>
      </c>
      <c r="H324">
        <f>SUMPRODUCT((MONTH(CHOOSE({1,2,3,4},TTSSKĐ!T324,TTSSKĐ!X324,TTSSKĐ!AB324,TTSSKĐ!AF324))=8)*(CHOOSE({1,2,3,4},TTSSKĐ!W324,TTSSKĐ!AA324,TTSSKĐ!AE324,TTSSKĐ!AI324)))</f>
        <v>0</v>
      </c>
      <c r="I324">
        <f>SUMPRODUCT((MONTH(CHOOSE({1,2,3,4},TTSSKĐ!T324,TTSSKĐ!X324,TTSSKĐ!AB324,TTSSKĐ!AF324))=9)*(CHOOSE({1,2,3,4},TTSSKĐ!W324,TTSSKĐ!AA324,TTSSKĐ!AE324,TTSSKĐ!AI324)))</f>
        <v>0</v>
      </c>
      <c r="J324">
        <f>SUMPRODUCT((MONTH(CHOOSE({1,2,3,4},TTSSKĐ!T324,TTSSKĐ!X324,TTSSKĐ!AB324,TTSSKĐ!AF324))=10)*(CHOOSE({1,2,3,4},TTSSKĐ!W324,TTSSKĐ!AA324,TTSSKĐ!AE324,TTSSKĐ!AI324)))</f>
        <v>0</v>
      </c>
      <c r="K324">
        <f>SUMPRODUCT((MONTH(CHOOSE({1,2,3,4},TTSSKĐ!T324,TTSSKĐ!X324,TTSSKĐ!AB324,TTSSKĐ!AF324))=11)*(CHOOSE({1,2,3,4},TTSSKĐ!W324,TTSSKĐ!AA324,TTSSKĐ!AE324,TTSSKĐ!AI324)))</f>
        <v>0</v>
      </c>
      <c r="L324">
        <f>SUMPRODUCT((MONTH(CHOOSE({1,2,3,4},TTSSKĐ!T324,TTSSKĐ!X324,TTSSKĐ!AB324,TTSSKĐ!AF324))=12)*(CHOOSE({1,2,3,4},TTSSKĐ!W324,TTSSKĐ!AA324,TTSSKĐ!AE324,TTSSKĐ!AI324)))</f>
        <v>0</v>
      </c>
    </row>
    <row r="325" spans="1:12">
      <c r="A325">
        <f>SUMPRODUCT((MONTH(CHOOSE({1,2,3,4},TTSSKĐ!T325,TTSSKĐ!X325,TTSSKĐ!AB325,TTSSKĐ!AF325))=1)*(CHOOSE({1,2,3,4},TTSSKĐ!W325,TTSSKĐ!AA325,TTSSKĐ!AE325,TTSSKĐ!AI325)))</f>
        <v>0</v>
      </c>
      <c r="B325">
        <f>SUMPRODUCT((MONTH(CHOOSE({1,2,3,4},TTSSKĐ!T325,TTSSKĐ!X325,TTSSKĐ!AB325,TTSSKĐ!AF325))=2)*(CHOOSE({1,2,3,4},TTSSKĐ!W325,TTSSKĐ!AA325,TTSSKĐ!AE325,TTSSKĐ!AI325)))</f>
        <v>0</v>
      </c>
      <c r="C325">
        <f>SUMPRODUCT((MONTH(CHOOSE({1,2,3,4},TTSSKĐ!T325,TTSSKĐ!X325,TTSSKĐ!AB325,TTSSKĐ!AF325))=3)*(CHOOSE({1,2,3,4},TTSSKĐ!W325,TTSSKĐ!AA325,TTSSKĐ!AE325,TTSSKĐ!AI325)))</f>
        <v>0</v>
      </c>
      <c r="D325">
        <f>SUMPRODUCT((MONTH(CHOOSE({1,2,3,4},TTSSKĐ!T325,TTSSKĐ!X325,TTSSKĐ!AB325,TTSSKĐ!AF325))=4)*(CHOOSE({1,2,3,4},TTSSKĐ!W325,TTSSKĐ!AA325,TTSSKĐ!AE325,TTSSKĐ!AI325)))</f>
        <v>0</v>
      </c>
      <c r="E325">
        <f>SUMPRODUCT((MONTH(CHOOSE({1,2,3,4},TTSSKĐ!T325,TTSSKĐ!X325,TTSSKĐ!AB325,TTSSKĐ!AF325))=5)*(CHOOSE({1,2,3,4},TTSSKĐ!W325,TTSSKĐ!AA325,TTSSKĐ!AE325,TTSSKĐ!AI325)))</f>
        <v>0</v>
      </c>
      <c r="F325">
        <f>SUMPRODUCT((MONTH(CHOOSE({1,2,3,4},TTSSKĐ!T325,TTSSKĐ!X325,TTSSKĐ!AB325,TTSSKĐ!AF325))=6)*(CHOOSE({1,2,3,4},TTSSKĐ!W325,TTSSKĐ!AA325,TTSSKĐ!AE325,TTSSKĐ!AI325)))</f>
        <v>0</v>
      </c>
      <c r="G325">
        <f>SUMPRODUCT((MONTH(CHOOSE({1,2,3,4},TTSSKĐ!T325,TTSSKĐ!X325,TTSSKĐ!AB325,TTSSKĐ!AF325))=7)*(CHOOSE({1,2,3,4},TTSSKĐ!W325,TTSSKĐ!AA325,TTSSKĐ!AE325,TTSSKĐ!AI325)))</f>
        <v>0</v>
      </c>
      <c r="H325">
        <f>SUMPRODUCT((MONTH(CHOOSE({1,2,3,4},TTSSKĐ!T325,TTSSKĐ!X325,TTSSKĐ!AB325,TTSSKĐ!AF325))=8)*(CHOOSE({1,2,3,4},TTSSKĐ!W325,TTSSKĐ!AA325,TTSSKĐ!AE325,TTSSKĐ!AI325)))</f>
        <v>0</v>
      </c>
      <c r="I325">
        <f>SUMPRODUCT((MONTH(CHOOSE({1,2,3,4},TTSSKĐ!T325,TTSSKĐ!X325,TTSSKĐ!AB325,TTSSKĐ!AF325))=9)*(CHOOSE({1,2,3,4},TTSSKĐ!W325,TTSSKĐ!AA325,TTSSKĐ!AE325,TTSSKĐ!AI325)))</f>
        <v>0</v>
      </c>
      <c r="J325">
        <f>SUMPRODUCT((MONTH(CHOOSE({1,2,3,4},TTSSKĐ!T325,TTSSKĐ!X325,TTSSKĐ!AB325,TTSSKĐ!AF325))=10)*(CHOOSE({1,2,3,4},TTSSKĐ!W325,TTSSKĐ!AA325,TTSSKĐ!AE325,TTSSKĐ!AI325)))</f>
        <v>0</v>
      </c>
      <c r="K325">
        <f>SUMPRODUCT((MONTH(CHOOSE({1,2,3,4},TTSSKĐ!T325,TTSSKĐ!X325,TTSSKĐ!AB325,TTSSKĐ!AF325))=11)*(CHOOSE({1,2,3,4},TTSSKĐ!W325,TTSSKĐ!AA325,TTSSKĐ!AE325,TTSSKĐ!AI325)))</f>
        <v>0</v>
      </c>
      <c r="L325">
        <f>SUMPRODUCT((MONTH(CHOOSE({1,2,3,4},TTSSKĐ!T325,TTSSKĐ!X325,TTSSKĐ!AB325,TTSSKĐ!AF325))=12)*(CHOOSE({1,2,3,4},TTSSKĐ!W325,TTSSKĐ!AA325,TTSSKĐ!AE325,TTSSKĐ!AI325)))</f>
        <v>0</v>
      </c>
    </row>
    <row r="326" spans="1:12">
      <c r="A326">
        <f>SUMPRODUCT((MONTH(CHOOSE({1,2,3,4},TTSSKĐ!T326,TTSSKĐ!X326,TTSSKĐ!AB326,TTSSKĐ!AF326))=1)*(CHOOSE({1,2,3,4},TTSSKĐ!W326,TTSSKĐ!AA326,TTSSKĐ!AE326,TTSSKĐ!AI326)))</f>
        <v>0</v>
      </c>
      <c r="B326">
        <f>SUMPRODUCT((MONTH(CHOOSE({1,2,3,4},TTSSKĐ!T326,TTSSKĐ!X326,TTSSKĐ!AB326,TTSSKĐ!AF326))=2)*(CHOOSE({1,2,3,4},TTSSKĐ!W326,TTSSKĐ!AA326,TTSSKĐ!AE326,TTSSKĐ!AI326)))</f>
        <v>0</v>
      </c>
      <c r="C326">
        <f>SUMPRODUCT((MONTH(CHOOSE({1,2,3,4},TTSSKĐ!T326,TTSSKĐ!X326,TTSSKĐ!AB326,TTSSKĐ!AF326))=3)*(CHOOSE({1,2,3,4},TTSSKĐ!W326,TTSSKĐ!AA326,TTSSKĐ!AE326,TTSSKĐ!AI326)))</f>
        <v>0</v>
      </c>
      <c r="D326">
        <f>SUMPRODUCT((MONTH(CHOOSE({1,2,3,4},TTSSKĐ!T326,TTSSKĐ!X326,TTSSKĐ!AB326,TTSSKĐ!AF326))=4)*(CHOOSE({1,2,3,4},TTSSKĐ!W326,TTSSKĐ!AA326,TTSSKĐ!AE326,TTSSKĐ!AI326)))</f>
        <v>0</v>
      </c>
      <c r="E326">
        <f>SUMPRODUCT((MONTH(CHOOSE({1,2,3,4},TTSSKĐ!T326,TTSSKĐ!X326,TTSSKĐ!AB326,TTSSKĐ!AF326))=5)*(CHOOSE({1,2,3,4},TTSSKĐ!W326,TTSSKĐ!AA326,TTSSKĐ!AE326,TTSSKĐ!AI326)))</f>
        <v>0</v>
      </c>
      <c r="F326">
        <f>SUMPRODUCT((MONTH(CHOOSE({1,2,3,4},TTSSKĐ!T326,TTSSKĐ!X326,TTSSKĐ!AB326,TTSSKĐ!AF326))=6)*(CHOOSE({1,2,3,4},TTSSKĐ!W326,TTSSKĐ!AA326,TTSSKĐ!AE326,TTSSKĐ!AI326)))</f>
        <v>0</v>
      </c>
      <c r="G326">
        <f>SUMPRODUCT((MONTH(CHOOSE({1,2,3,4},TTSSKĐ!T326,TTSSKĐ!X326,TTSSKĐ!AB326,TTSSKĐ!AF326))=7)*(CHOOSE({1,2,3,4},TTSSKĐ!W326,TTSSKĐ!AA326,TTSSKĐ!AE326,TTSSKĐ!AI326)))</f>
        <v>0</v>
      </c>
      <c r="H326">
        <f>SUMPRODUCT((MONTH(CHOOSE({1,2,3,4},TTSSKĐ!T326,TTSSKĐ!X326,TTSSKĐ!AB326,TTSSKĐ!AF326))=8)*(CHOOSE({1,2,3,4},TTSSKĐ!W326,TTSSKĐ!AA326,TTSSKĐ!AE326,TTSSKĐ!AI326)))</f>
        <v>0</v>
      </c>
      <c r="I326">
        <f>SUMPRODUCT((MONTH(CHOOSE({1,2,3,4},TTSSKĐ!T326,TTSSKĐ!X326,TTSSKĐ!AB326,TTSSKĐ!AF326))=9)*(CHOOSE({1,2,3,4},TTSSKĐ!W326,TTSSKĐ!AA326,TTSSKĐ!AE326,TTSSKĐ!AI326)))</f>
        <v>0</v>
      </c>
      <c r="J326">
        <f>SUMPRODUCT((MONTH(CHOOSE({1,2,3,4},TTSSKĐ!T326,TTSSKĐ!X326,TTSSKĐ!AB326,TTSSKĐ!AF326))=10)*(CHOOSE({1,2,3,4},TTSSKĐ!W326,TTSSKĐ!AA326,TTSSKĐ!AE326,TTSSKĐ!AI326)))</f>
        <v>0</v>
      </c>
      <c r="K326">
        <f>SUMPRODUCT((MONTH(CHOOSE({1,2,3,4},TTSSKĐ!T326,TTSSKĐ!X326,TTSSKĐ!AB326,TTSSKĐ!AF326))=11)*(CHOOSE({1,2,3,4},TTSSKĐ!W326,TTSSKĐ!AA326,TTSSKĐ!AE326,TTSSKĐ!AI326)))</f>
        <v>0</v>
      </c>
      <c r="L326">
        <f>SUMPRODUCT((MONTH(CHOOSE({1,2,3,4},TTSSKĐ!T326,TTSSKĐ!X326,TTSSKĐ!AB326,TTSSKĐ!AF326))=12)*(CHOOSE({1,2,3,4},TTSSKĐ!W326,TTSSKĐ!AA326,TTSSKĐ!AE326,TTSSKĐ!AI326)))</f>
        <v>0</v>
      </c>
    </row>
    <row r="327" spans="1:12">
      <c r="A327">
        <f>SUMPRODUCT((MONTH(CHOOSE({1,2,3,4},TTSSKĐ!T327,TTSSKĐ!X327,TTSSKĐ!AB327,TTSSKĐ!AF327))=1)*(CHOOSE({1,2,3,4},TTSSKĐ!W327,TTSSKĐ!AA327,TTSSKĐ!AE327,TTSSKĐ!AI327)))</f>
        <v>0</v>
      </c>
      <c r="B327">
        <f>SUMPRODUCT((MONTH(CHOOSE({1,2,3,4},TTSSKĐ!T327,TTSSKĐ!X327,TTSSKĐ!AB327,TTSSKĐ!AF327))=2)*(CHOOSE({1,2,3,4},TTSSKĐ!W327,TTSSKĐ!AA327,TTSSKĐ!AE327,TTSSKĐ!AI327)))</f>
        <v>0</v>
      </c>
      <c r="C327">
        <f>SUMPRODUCT((MONTH(CHOOSE({1,2,3,4},TTSSKĐ!T327,TTSSKĐ!X327,TTSSKĐ!AB327,TTSSKĐ!AF327))=3)*(CHOOSE({1,2,3,4},TTSSKĐ!W327,TTSSKĐ!AA327,TTSSKĐ!AE327,TTSSKĐ!AI327)))</f>
        <v>0</v>
      </c>
      <c r="D327">
        <f>SUMPRODUCT((MONTH(CHOOSE({1,2,3,4},TTSSKĐ!T327,TTSSKĐ!X327,TTSSKĐ!AB327,TTSSKĐ!AF327))=4)*(CHOOSE({1,2,3,4},TTSSKĐ!W327,TTSSKĐ!AA327,TTSSKĐ!AE327,TTSSKĐ!AI327)))</f>
        <v>0</v>
      </c>
      <c r="E327">
        <f>SUMPRODUCT((MONTH(CHOOSE({1,2,3,4},TTSSKĐ!T327,TTSSKĐ!X327,TTSSKĐ!AB327,TTSSKĐ!AF327))=5)*(CHOOSE({1,2,3,4},TTSSKĐ!W327,TTSSKĐ!AA327,TTSSKĐ!AE327,TTSSKĐ!AI327)))</f>
        <v>0</v>
      </c>
      <c r="F327">
        <f>SUMPRODUCT((MONTH(CHOOSE({1,2,3,4},TTSSKĐ!T327,TTSSKĐ!X327,TTSSKĐ!AB327,TTSSKĐ!AF327))=6)*(CHOOSE({1,2,3,4},TTSSKĐ!W327,TTSSKĐ!AA327,TTSSKĐ!AE327,TTSSKĐ!AI327)))</f>
        <v>0</v>
      </c>
      <c r="G327">
        <f>SUMPRODUCT((MONTH(CHOOSE({1,2,3,4},TTSSKĐ!T327,TTSSKĐ!X327,TTSSKĐ!AB327,TTSSKĐ!AF327))=7)*(CHOOSE({1,2,3,4},TTSSKĐ!W327,TTSSKĐ!AA327,TTSSKĐ!AE327,TTSSKĐ!AI327)))</f>
        <v>0</v>
      </c>
      <c r="H327">
        <f>SUMPRODUCT((MONTH(CHOOSE({1,2,3,4},TTSSKĐ!T327,TTSSKĐ!X327,TTSSKĐ!AB327,TTSSKĐ!AF327))=8)*(CHOOSE({1,2,3,4},TTSSKĐ!W327,TTSSKĐ!AA327,TTSSKĐ!AE327,TTSSKĐ!AI327)))</f>
        <v>0</v>
      </c>
      <c r="I327">
        <f>SUMPRODUCT((MONTH(CHOOSE({1,2,3,4},TTSSKĐ!T327,TTSSKĐ!X327,TTSSKĐ!AB327,TTSSKĐ!AF327))=9)*(CHOOSE({1,2,3,4},TTSSKĐ!W327,TTSSKĐ!AA327,TTSSKĐ!AE327,TTSSKĐ!AI327)))</f>
        <v>0</v>
      </c>
      <c r="J327">
        <f>SUMPRODUCT((MONTH(CHOOSE({1,2,3,4},TTSSKĐ!T327,TTSSKĐ!X327,TTSSKĐ!AB327,TTSSKĐ!AF327))=10)*(CHOOSE({1,2,3,4},TTSSKĐ!W327,TTSSKĐ!AA327,TTSSKĐ!AE327,TTSSKĐ!AI327)))</f>
        <v>0</v>
      </c>
      <c r="K327">
        <f>SUMPRODUCT((MONTH(CHOOSE({1,2,3,4},TTSSKĐ!T327,TTSSKĐ!X327,TTSSKĐ!AB327,TTSSKĐ!AF327))=11)*(CHOOSE({1,2,3,4},TTSSKĐ!W327,TTSSKĐ!AA327,TTSSKĐ!AE327,TTSSKĐ!AI327)))</f>
        <v>0</v>
      </c>
      <c r="L327">
        <f>SUMPRODUCT((MONTH(CHOOSE({1,2,3,4},TTSSKĐ!T327,TTSSKĐ!X327,TTSSKĐ!AB327,TTSSKĐ!AF327))=12)*(CHOOSE({1,2,3,4},TTSSKĐ!W327,TTSSKĐ!AA327,TTSSKĐ!AE327,TTSSKĐ!AI327)))</f>
        <v>0</v>
      </c>
    </row>
    <row r="328" spans="1:12">
      <c r="A328">
        <f>SUMPRODUCT((MONTH(CHOOSE({1,2,3,4},TTSSKĐ!T328,TTSSKĐ!X328,TTSSKĐ!AB328,TTSSKĐ!AF328))=1)*(CHOOSE({1,2,3,4},TTSSKĐ!W328,TTSSKĐ!AA328,TTSSKĐ!AE328,TTSSKĐ!AI328)))</f>
        <v>0</v>
      </c>
      <c r="B328">
        <f>SUMPRODUCT((MONTH(CHOOSE({1,2,3,4},TTSSKĐ!T328,TTSSKĐ!X328,TTSSKĐ!AB328,TTSSKĐ!AF328))=2)*(CHOOSE({1,2,3,4},TTSSKĐ!W328,TTSSKĐ!AA328,TTSSKĐ!AE328,TTSSKĐ!AI328)))</f>
        <v>0</v>
      </c>
      <c r="C328">
        <f>SUMPRODUCT((MONTH(CHOOSE({1,2,3,4},TTSSKĐ!T328,TTSSKĐ!X328,TTSSKĐ!AB328,TTSSKĐ!AF328))=3)*(CHOOSE({1,2,3,4},TTSSKĐ!W328,TTSSKĐ!AA328,TTSSKĐ!AE328,TTSSKĐ!AI328)))</f>
        <v>0</v>
      </c>
      <c r="D328">
        <f>SUMPRODUCT((MONTH(CHOOSE({1,2,3,4},TTSSKĐ!T328,TTSSKĐ!X328,TTSSKĐ!AB328,TTSSKĐ!AF328))=4)*(CHOOSE({1,2,3,4},TTSSKĐ!W328,TTSSKĐ!AA328,TTSSKĐ!AE328,TTSSKĐ!AI328)))</f>
        <v>0</v>
      </c>
      <c r="E328">
        <f>SUMPRODUCT((MONTH(CHOOSE({1,2,3,4},TTSSKĐ!T328,TTSSKĐ!X328,TTSSKĐ!AB328,TTSSKĐ!AF328))=5)*(CHOOSE({1,2,3,4},TTSSKĐ!W328,TTSSKĐ!AA328,TTSSKĐ!AE328,TTSSKĐ!AI328)))</f>
        <v>0</v>
      </c>
      <c r="F328">
        <f>SUMPRODUCT((MONTH(CHOOSE({1,2,3,4},TTSSKĐ!T328,TTSSKĐ!X328,TTSSKĐ!AB328,TTSSKĐ!AF328))=6)*(CHOOSE({1,2,3,4},TTSSKĐ!W328,TTSSKĐ!AA328,TTSSKĐ!AE328,TTSSKĐ!AI328)))</f>
        <v>0</v>
      </c>
      <c r="G328">
        <f>SUMPRODUCT((MONTH(CHOOSE({1,2,3,4},TTSSKĐ!T328,TTSSKĐ!X328,TTSSKĐ!AB328,TTSSKĐ!AF328))=7)*(CHOOSE({1,2,3,4},TTSSKĐ!W328,TTSSKĐ!AA328,TTSSKĐ!AE328,TTSSKĐ!AI328)))</f>
        <v>0</v>
      </c>
      <c r="H328">
        <f>SUMPRODUCT((MONTH(CHOOSE({1,2,3,4},TTSSKĐ!T328,TTSSKĐ!X328,TTSSKĐ!AB328,TTSSKĐ!AF328))=8)*(CHOOSE({1,2,3,4},TTSSKĐ!W328,TTSSKĐ!AA328,TTSSKĐ!AE328,TTSSKĐ!AI328)))</f>
        <v>0</v>
      </c>
      <c r="I328">
        <f>SUMPRODUCT((MONTH(CHOOSE({1,2,3,4},TTSSKĐ!T328,TTSSKĐ!X328,TTSSKĐ!AB328,TTSSKĐ!AF328))=9)*(CHOOSE({1,2,3,4},TTSSKĐ!W328,TTSSKĐ!AA328,TTSSKĐ!AE328,TTSSKĐ!AI328)))</f>
        <v>0</v>
      </c>
      <c r="J328">
        <f>SUMPRODUCT((MONTH(CHOOSE({1,2,3,4},TTSSKĐ!T328,TTSSKĐ!X328,TTSSKĐ!AB328,TTSSKĐ!AF328))=10)*(CHOOSE({1,2,3,4},TTSSKĐ!W328,TTSSKĐ!AA328,TTSSKĐ!AE328,TTSSKĐ!AI328)))</f>
        <v>0</v>
      </c>
      <c r="K328">
        <f>SUMPRODUCT((MONTH(CHOOSE({1,2,3,4},TTSSKĐ!T328,TTSSKĐ!X328,TTSSKĐ!AB328,TTSSKĐ!AF328))=11)*(CHOOSE({1,2,3,4},TTSSKĐ!W328,TTSSKĐ!AA328,TTSSKĐ!AE328,TTSSKĐ!AI328)))</f>
        <v>0</v>
      </c>
      <c r="L328">
        <f>SUMPRODUCT((MONTH(CHOOSE({1,2,3,4},TTSSKĐ!T328,TTSSKĐ!X328,TTSSKĐ!AB328,TTSSKĐ!AF328))=12)*(CHOOSE({1,2,3,4},TTSSKĐ!W328,TTSSKĐ!AA328,TTSSKĐ!AE328,TTSSKĐ!AI328)))</f>
        <v>0</v>
      </c>
    </row>
    <row r="329" spans="1:12">
      <c r="A329">
        <f>SUMPRODUCT((MONTH(CHOOSE({1,2,3,4},TTSSKĐ!T329,TTSSKĐ!X329,TTSSKĐ!AB329,TTSSKĐ!AF329))=1)*(CHOOSE({1,2,3,4},TTSSKĐ!W329,TTSSKĐ!AA329,TTSSKĐ!AE329,TTSSKĐ!AI329)))</f>
        <v>0</v>
      </c>
      <c r="B329">
        <f>SUMPRODUCT((MONTH(CHOOSE({1,2,3,4},TTSSKĐ!T329,TTSSKĐ!X329,TTSSKĐ!AB329,TTSSKĐ!AF329))=2)*(CHOOSE({1,2,3,4},TTSSKĐ!W329,TTSSKĐ!AA329,TTSSKĐ!AE329,TTSSKĐ!AI329)))</f>
        <v>0</v>
      </c>
      <c r="C329">
        <f>SUMPRODUCT((MONTH(CHOOSE({1,2,3,4},TTSSKĐ!T329,TTSSKĐ!X329,TTSSKĐ!AB329,TTSSKĐ!AF329))=3)*(CHOOSE({1,2,3,4},TTSSKĐ!W329,TTSSKĐ!AA329,TTSSKĐ!AE329,TTSSKĐ!AI329)))</f>
        <v>0</v>
      </c>
      <c r="D329">
        <f>SUMPRODUCT((MONTH(CHOOSE({1,2,3,4},TTSSKĐ!T329,TTSSKĐ!X329,TTSSKĐ!AB329,TTSSKĐ!AF329))=4)*(CHOOSE({1,2,3,4},TTSSKĐ!W329,TTSSKĐ!AA329,TTSSKĐ!AE329,TTSSKĐ!AI329)))</f>
        <v>0</v>
      </c>
      <c r="E329">
        <f>SUMPRODUCT((MONTH(CHOOSE({1,2,3,4},TTSSKĐ!T329,TTSSKĐ!X329,TTSSKĐ!AB329,TTSSKĐ!AF329))=5)*(CHOOSE({1,2,3,4},TTSSKĐ!W329,TTSSKĐ!AA329,TTSSKĐ!AE329,TTSSKĐ!AI329)))</f>
        <v>0</v>
      </c>
      <c r="F329">
        <f>SUMPRODUCT((MONTH(CHOOSE({1,2,3,4},TTSSKĐ!T329,TTSSKĐ!X329,TTSSKĐ!AB329,TTSSKĐ!AF329))=6)*(CHOOSE({1,2,3,4},TTSSKĐ!W329,TTSSKĐ!AA329,TTSSKĐ!AE329,TTSSKĐ!AI329)))</f>
        <v>0</v>
      </c>
      <c r="G329">
        <f>SUMPRODUCT((MONTH(CHOOSE({1,2,3,4},TTSSKĐ!T329,TTSSKĐ!X329,TTSSKĐ!AB329,TTSSKĐ!AF329))=7)*(CHOOSE({1,2,3,4},TTSSKĐ!W329,TTSSKĐ!AA329,TTSSKĐ!AE329,TTSSKĐ!AI329)))</f>
        <v>0</v>
      </c>
      <c r="H329">
        <f>SUMPRODUCT((MONTH(CHOOSE({1,2,3,4},TTSSKĐ!T329,TTSSKĐ!X329,TTSSKĐ!AB329,TTSSKĐ!AF329))=8)*(CHOOSE({1,2,3,4},TTSSKĐ!W329,TTSSKĐ!AA329,TTSSKĐ!AE329,TTSSKĐ!AI329)))</f>
        <v>0</v>
      </c>
      <c r="I329">
        <f>SUMPRODUCT((MONTH(CHOOSE({1,2,3,4},TTSSKĐ!T329,TTSSKĐ!X329,TTSSKĐ!AB329,TTSSKĐ!AF329))=9)*(CHOOSE({1,2,3,4},TTSSKĐ!W329,TTSSKĐ!AA329,TTSSKĐ!AE329,TTSSKĐ!AI329)))</f>
        <v>0</v>
      </c>
      <c r="J329">
        <f>SUMPRODUCT((MONTH(CHOOSE({1,2,3,4},TTSSKĐ!T329,TTSSKĐ!X329,TTSSKĐ!AB329,TTSSKĐ!AF329))=10)*(CHOOSE({1,2,3,4},TTSSKĐ!W329,TTSSKĐ!AA329,TTSSKĐ!AE329,TTSSKĐ!AI329)))</f>
        <v>0</v>
      </c>
      <c r="K329">
        <f>SUMPRODUCT((MONTH(CHOOSE({1,2,3,4},TTSSKĐ!T329,TTSSKĐ!X329,TTSSKĐ!AB329,TTSSKĐ!AF329))=11)*(CHOOSE({1,2,3,4},TTSSKĐ!W329,TTSSKĐ!AA329,TTSSKĐ!AE329,TTSSKĐ!AI329)))</f>
        <v>0</v>
      </c>
      <c r="L329">
        <f>SUMPRODUCT((MONTH(CHOOSE({1,2,3,4},TTSSKĐ!T329,TTSSKĐ!X329,TTSSKĐ!AB329,TTSSKĐ!AF329))=12)*(CHOOSE({1,2,3,4},TTSSKĐ!W329,TTSSKĐ!AA329,TTSSKĐ!AE329,TTSSKĐ!AI329)))</f>
        <v>0</v>
      </c>
    </row>
    <row r="330" spans="1:12">
      <c r="A330">
        <f>SUMPRODUCT((MONTH(CHOOSE({1,2,3,4},TTSSKĐ!T330,TTSSKĐ!X330,TTSSKĐ!AB330,TTSSKĐ!AF330))=1)*(CHOOSE({1,2,3,4},TTSSKĐ!W330,TTSSKĐ!AA330,TTSSKĐ!AE330,TTSSKĐ!AI330)))</f>
        <v>0</v>
      </c>
      <c r="B330">
        <f>SUMPRODUCT((MONTH(CHOOSE({1,2,3,4},TTSSKĐ!T330,TTSSKĐ!X330,TTSSKĐ!AB330,TTSSKĐ!AF330))=2)*(CHOOSE({1,2,3,4},TTSSKĐ!W330,TTSSKĐ!AA330,TTSSKĐ!AE330,TTSSKĐ!AI330)))</f>
        <v>0</v>
      </c>
      <c r="C330">
        <f>SUMPRODUCT((MONTH(CHOOSE({1,2,3,4},TTSSKĐ!T330,TTSSKĐ!X330,TTSSKĐ!AB330,TTSSKĐ!AF330))=3)*(CHOOSE({1,2,3,4},TTSSKĐ!W330,TTSSKĐ!AA330,TTSSKĐ!AE330,TTSSKĐ!AI330)))</f>
        <v>0</v>
      </c>
      <c r="D330">
        <f>SUMPRODUCT((MONTH(CHOOSE({1,2,3,4},TTSSKĐ!T330,TTSSKĐ!X330,TTSSKĐ!AB330,TTSSKĐ!AF330))=4)*(CHOOSE({1,2,3,4},TTSSKĐ!W330,TTSSKĐ!AA330,TTSSKĐ!AE330,TTSSKĐ!AI330)))</f>
        <v>0</v>
      </c>
      <c r="E330">
        <f>SUMPRODUCT((MONTH(CHOOSE({1,2,3,4},TTSSKĐ!T330,TTSSKĐ!X330,TTSSKĐ!AB330,TTSSKĐ!AF330))=5)*(CHOOSE({1,2,3,4},TTSSKĐ!W330,TTSSKĐ!AA330,TTSSKĐ!AE330,TTSSKĐ!AI330)))</f>
        <v>0</v>
      </c>
      <c r="F330">
        <f>SUMPRODUCT((MONTH(CHOOSE({1,2,3,4},TTSSKĐ!T330,TTSSKĐ!X330,TTSSKĐ!AB330,TTSSKĐ!AF330))=6)*(CHOOSE({1,2,3,4},TTSSKĐ!W330,TTSSKĐ!AA330,TTSSKĐ!AE330,TTSSKĐ!AI330)))</f>
        <v>0</v>
      </c>
      <c r="G330">
        <f>SUMPRODUCT((MONTH(CHOOSE({1,2,3,4},TTSSKĐ!T330,TTSSKĐ!X330,TTSSKĐ!AB330,TTSSKĐ!AF330))=7)*(CHOOSE({1,2,3,4},TTSSKĐ!W330,TTSSKĐ!AA330,TTSSKĐ!AE330,TTSSKĐ!AI330)))</f>
        <v>0</v>
      </c>
      <c r="H330">
        <f>SUMPRODUCT((MONTH(CHOOSE({1,2,3,4},TTSSKĐ!T330,TTSSKĐ!X330,TTSSKĐ!AB330,TTSSKĐ!AF330))=8)*(CHOOSE({1,2,3,4},TTSSKĐ!W330,TTSSKĐ!AA330,TTSSKĐ!AE330,TTSSKĐ!AI330)))</f>
        <v>0</v>
      </c>
      <c r="I330">
        <f>SUMPRODUCT((MONTH(CHOOSE({1,2,3,4},TTSSKĐ!T330,TTSSKĐ!X330,TTSSKĐ!AB330,TTSSKĐ!AF330))=9)*(CHOOSE({1,2,3,4},TTSSKĐ!W330,TTSSKĐ!AA330,TTSSKĐ!AE330,TTSSKĐ!AI330)))</f>
        <v>0</v>
      </c>
      <c r="J330">
        <f>SUMPRODUCT((MONTH(CHOOSE({1,2,3,4},TTSSKĐ!T330,TTSSKĐ!X330,TTSSKĐ!AB330,TTSSKĐ!AF330))=10)*(CHOOSE({1,2,3,4},TTSSKĐ!W330,TTSSKĐ!AA330,TTSSKĐ!AE330,TTSSKĐ!AI330)))</f>
        <v>0</v>
      </c>
      <c r="K330">
        <f>SUMPRODUCT((MONTH(CHOOSE({1,2,3,4},TTSSKĐ!T330,TTSSKĐ!X330,TTSSKĐ!AB330,TTSSKĐ!AF330))=11)*(CHOOSE({1,2,3,4},TTSSKĐ!W330,TTSSKĐ!AA330,TTSSKĐ!AE330,TTSSKĐ!AI330)))</f>
        <v>0</v>
      </c>
      <c r="L330">
        <f>SUMPRODUCT((MONTH(CHOOSE({1,2,3,4},TTSSKĐ!T330,TTSSKĐ!X330,TTSSKĐ!AB330,TTSSKĐ!AF330))=12)*(CHOOSE({1,2,3,4},TTSSKĐ!W330,TTSSKĐ!AA330,TTSSKĐ!AE330,TTSSKĐ!AI330)))</f>
        <v>0</v>
      </c>
    </row>
    <row r="331" spans="1:12">
      <c r="A331">
        <f>SUMPRODUCT((MONTH(CHOOSE({1,2,3,4},TTSSKĐ!T331,TTSSKĐ!X331,TTSSKĐ!AB331,TTSSKĐ!AF331))=1)*(CHOOSE({1,2,3,4},TTSSKĐ!W331,TTSSKĐ!AA331,TTSSKĐ!AE331,TTSSKĐ!AI331)))</f>
        <v>0</v>
      </c>
      <c r="B331">
        <f>SUMPRODUCT((MONTH(CHOOSE({1,2,3,4},TTSSKĐ!T331,TTSSKĐ!X331,TTSSKĐ!AB331,TTSSKĐ!AF331))=2)*(CHOOSE({1,2,3,4},TTSSKĐ!W331,TTSSKĐ!AA331,TTSSKĐ!AE331,TTSSKĐ!AI331)))</f>
        <v>0</v>
      </c>
      <c r="C331">
        <f>SUMPRODUCT((MONTH(CHOOSE({1,2,3,4},TTSSKĐ!T331,TTSSKĐ!X331,TTSSKĐ!AB331,TTSSKĐ!AF331))=3)*(CHOOSE({1,2,3,4},TTSSKĐ!W331,TTSSKĐ!AA331,TTSSKĐ!AE331,TTSSKĐ!AI331)))</f>
        <v>0</v>
      </c>
      <c r="D331">
        <f>SUMPRODUCT((MONTH(CHOOSE({1,2,3,4},TTSSKĐ!T331,TTSSKĐ!X331,TTSSKĐ!AB331,TTSSKĐ!AF331))=4)*(CHOOSE({1,2,3,4},TTSSKĐ!W331,TTSSKĐ!AA331,TTSSKĐ!AE331,TTSSKĐ!AI331)))</f>
        <v>0</v>
      </c>
      <c r="E331">
        <f>SUMPRODUCT((MONTH(CHOOSE({1,2,3,4},TTSSKĐ!T331,TTSSKĐ!X331,TTSSKĐ!AB331,TTSSKĐ!AF331))=5)*(CHOOSE({1,2,3,4},TTSSKĐ!W331,TTSSKĐ!AA331,TTSSKĐ!AE331,TTSSKĐ!AI331)))</f>
        <v>0</v>
      </c>
      <c r="F331">
        <f>SUMPRODUCT((MONTH(CHOOSE({1,2,3,4},TTSSKĐ!T331,TTSSKĐ!X331,TTSSKĐ!AB331,TTSSKĐ!AF331))=6)*(CHOOSE({1,2,3,4},TTSSKĐ!W331,TTSSKĐ!AA331,TTSSKĐ!AE331,TTSSKĐ!AI331)))</f>
        <v>0</v>
      </c>
      <c r="G331">
        <f>SUMPRODUCT((MONTH(CHOOSE({1,2,3,4},TTSSKĐ!T331,TTSSKĐ!X331,TTSSKĐ!AB331,TTSSKĐ!AF331))=7)*(CHOOSE({1,2,3,4},TTSSKĐ!W331,TTSSKĐ!AA331,TTSSKĐ!AE331,TTSSKĐ!AI331)))</f>
        <v>0</v>
      </c>
      <c r="H331">
        <f>SUMPRODUCT((MONTH(CHOOSE({1,2,3,4},TTSSKĐ!T331,TTSSKĐ!X331,TTSSKĐ!AB331,TTSSKĐ!AF331))=8)*(CHOOSE({1,2,3,4},TTSSKĐ!W331,TTSSKĐ!AA331,TTSSKĐ!AE331,TTSSKĐ!AI331)))</f>
        <v>0</v>
      </c>
      <c r="I331">
        <f>SUMPRODUCT((MONTH(CHOOSE({1,2,3,4},TTSSKĐ!T331,TTSSKĐ!X331,TTSSKĐ!AB331,TTSSKĐ!AF331))=9)*(CHOOSE({1,2,3,4},TTSSKĐ!W331,TTSSKĐ!AA331,TTSSKĐ!AE331,TTSSKĐ!AI331)))</f>
        <v>0</v>
      </c>
      <c r="J331">
        <f>SUMPRODUCT((MONTH(CHOOSE({1,2,3,4},TTSSKĐ!T331,TTSSKĐ!X331,TTSSKĐ!AB331,TTSSKĐ!AF331))=10)*(CHOOSE({1,2,3,4},TTSSKĐ!W331,TTSSKĐ!AA331,TTSSKĐ!AE331,TTSSKĐ!AI331)))</f>
        <v>0</v>
      </c>
      <c r="K331">
        <f>SUMPRODUCT((MONTH(CHOOSE({1,2,3,4},TTSSKĐ!T331,TTSSKĐ!X331,TTSSKĐ!AB331,TTSSKĐ!AF331))=11)*(CHOOSE({1,2,3,4},TTSSKĐ!W331,TTSSKĐ!AA331,TTSSKĐ!AE331,TTSSKĐ!AI331)))</f>
        <v>0</v>
      </c>
      <c r="L331">
        <f>SUMPRODUCT((MONTH(CHOOSE({1,2,3,4},TTSSKĐ!T331,TTSSKĐ!X331,TTSSKĐ!AB331,TTSSKĐ!AF331))=12)*(CHOOSE({1,2,3,4},TTSSKĐ!W331,TTSSKĐ!AA331,TTSSKĐ!AE331,TTSSKĐ!AI331)))</f>
        <v>0</v>
      </c>
    </row>
    <row r="332" spans="1:12">
      <c r="A332">
        <f>SUMPRODUCT((MONTH(CHOOSE({1,2,3,4},TTSSKĐ!T332,TTSSKĐ!X332,TTSSKĐ!AB332,TTSSKĐ!AF332))=1)*(CHOOSE({1,2,3,4},TTSSKĐ!W332,TTSSKĐ!AA332,TTSSKĐ!AE332,TTSSKĐ!AI332)))</f>
        <v>0</v>
      </c>
      <c r="B332">
        <f>SUMPRODUCT((MONTH(CHOOSE({1,2,3,4},TTSSKĐ!T332,TTSSKĐ!X332,TTSSKĐ!AB332,TTSSKĐ!AF332))=2)*(CHOOSE({1,2,3,4},TTSSKĐ!W332,TTSSKĐ!AA332,TTSSKĐ!AE332,TTSSKĐ!AI332)))</f>
        <v>0</v>
      </c>
      <c r="C332">
        <f>SUMPRODUCT((MONTH(CHOOSE({1,2,3,4},TTSSKĐ!T332,TTSSKĐ!X332,TTSSKĐ!AB332,TTSSKĐ!AF332))=3)*(CHOOSE({1,2,3,4},TTSSKĐ!W332,TTSSKĐ!AA332,TTSSKĐ!AE332,TTSSKĐ!AI332)))</f>
        <v>0</v>
      </c>
      <c r="D332">
        <f>SUMPRODUCT((MONTH(CHOOSE({1,2,3,4},TTSSKĐ!T332,TTSSKĐ!X332,TTSSKĐ!AB332,TTSSKĐ!AF332))=4)*(CHOOSE({1,2,3,4},TTSSKĐ!W332,TTSSKĐ!AA332,TTSSKĐ!AE332,TTSSKĐ!AI332)))</f>
        <v>0</v>
      </c>
      <c r="E332">
        <f>SUMPRODUCT((MONTH(CHOOSE({1,2,3,4},TTSSKĐ!T332,TTSSKĐ!X332,TTSSKĐ!AB332,TTSSKĐ!AF332))=5)*(CHOOSE({1,2,3,4},TTSSKĐ!W332,TTSSKĐ!AA332,TTSSKĐ!AE332,TTSSKĐ!AI332)))</f>
        <v>0</v>
      </c>
      <c r="F332">
        <f>SUMPRODUCT((MONTH(CHOOSE({1,2,3,4},TTSSKĐ!T332,TTSSKĐ!X332,TTSSKĐ!AB332,TTSSKĐ!AF332))=6)*(CHOOSE({1,2,3,4},TTSSKĐ!W332,TTSSKĐ!AA332,TTSSKĐ!AE332,TTSSKĐ!AI332)))</f>
        <v>0</v>
      </c>
      <c r="G332">
        <f>SUMPRODUCT((MONTH(CHOOSE({1,2,3,4},TTSSKĐ!T332,TTSSKĐ!X332,TTSSKĐ!AB332,TTSSKĐ!AF332))=7)*(CHOOSE({1,2,3,4},TTSSKĐ!W332,TTSSKĐ!AA332,TTSSKĐ!AE332,TTSSKĐ!AI332)))</f>
        <v>0</v>
      </c>
      <c r="H332">
        <f>SUMPRODUCT((MONTH(CHOOSE({1,2,3,4},TTSSKĐ!T332,TTSSKĐ!X332,TTSSKĐ!AB332,TTSSKĐ!AF332))=8)*(CHOOSE({1,2,3,4},TTSSKĐ!W332,TTSSKĐ!AA332,TTSSKĐ!AE332,TTSSKĐ!AI332)))</f>
        <v>0</v>
      </c>
      <c r="I332">
        <f>SUMPRODUCT((MONTH(CHOOSE({1,2,3,4},TTSSKĐ!T332,TTSSKĐ!X332,TTSSKĐ!AB332,TTSSKĐ!AF332))=9)*(CHOOSE({1,2,3,4},TTSSKĐ!W332,TTSSKĐ!AA332,TTSSKĐ!AE332,TTSSKĐ!AI332)))</f>
        <v>0</v>
      </c>
      <c r="J332">
        <f>SUMPRODUCT((MONTH(CHOOSE({1,2,3,4},TTSSKĐ!T332,TTSSKĐ!X332,TTSSKĐ!AB332,TTSSKĐ!AF332))=10)*(CHOOSE({1,2,3,4},TTSSKĐ!W332,TTSSKĐ!AA332,TTSSKĐ!AE332,TTSSKĐ!AI332)))</f>
        <v>0</v>
      </c>
      <c r="K332">
        <f>SUMPRODUCT((MONTH(CHOOSE({1,2,3,4},TTSSKĐ!T332,TTSSKĐ!X332,TTSSKĐ!AB332,TTSSKĐ!AF332))=11)*(CHOOSE({1,2,3,4},TTSSKĐ!W332,TTSSKĐ!AA332,TTSSKĐ!AE332,TTSSKĐ!AI332)))</f>
        <v>0</v>
      </c>
      <c r="L332">
        <f>SUMPRODUCT((MONTH(CHOOSE({1,2,3,4},TTSSKĐ!T332,TTSSKĐ!X332,TTSSKĐ!AB332,TTSSKĐ!AF332))=12)*(CHOOSE({1,2,3,4},TTSSKĐ!W332,TTSSKĐ!AA332,TTSSKĐ!AE332,TTSSKĐ!AI332)))</f>
        <v>0</v>
      </c>
    </row>
    <row r="333" spans="1:12">
      <c r="A333">
        <f>SUMPRODUCT((MONTH(CHOOSE({1,2,3,4},TTSSKĐ!T333,TTSSKĐ!X333,TTSSKĐ!AB333,TTSSKĐ!AF333))=1)*(CHOOSE({1,2,3,4},TTSSKĐ!W333,TTSSKĐ!AA333,TTSSKĐ!AE333,TTSSKĐ!AI333)))</f>
        <v>0</v>
      </c>
      <c r="B333">
        <f>SUMPRODUCT((MONTH(CHOOSE({1,2,3,4},TTSSKĐ!T333,TTSSKĐ!X333,TTSSKĐ!AB333,TTSSKĐ!AF333))=2)*(CHOOSE({1,2,3,4},TTSSKĐ!W333,TTSSKĐ!AA333,TTSSKĐ!AE333,TTSSKĐ!AI333)))</f>
        <v>0</v>
      </c>
      <c r="C333">
        <f>SUMPRODUCT((MONTH(CHOOSE({1,2,3,4},TTSSKĐ!T333,TTSSKĐ!X333,TTSSKĐ!AB333,TTSSKĐ!AF333))=3)*(CHOOSE({1,2,3,4},TTSSKĐ!W333,TTSSKĐ!AA333,TTSSKĐ!AE333,TTSSKĐ!AI333)))</f>
        <v>0</v>
      </c>
      <c r="D333">
        <f>SUMPRODUCT((MONTH(CHOOSE({1,2,3,4},TTSSKĐ!T333,TTSSKĐ!X333,TTSSKĐ!AB333,TTSSKĐ!AF333))=4)*(CHOOSE({1,2,3,4},TTSSKĐ!W333,TTSSKĐ!AA333,TTSSKĐ!AE333,TTSSKĐ!AI333)))</f>
        <v>0</v>
      </c>
      <c r="E333">
        <f>SUMPRODUCT((MONTH(CHOOSE({1,2,3,4},TTSSKĐ!T333,TTSSKĐ!X333,TTSSKĐ!AB333,TTSSKĐ!AF333))=5)*(CHOOSE({1,2,3,4},TTSSKĐ!W333,TTSSKĐ!AA333,TTSSKĐ!AE333,TTSSKĐ!AI333)))</f>
        <v>0</v>
      </c>
      <c r="F333">
        <f>SUMPRODUCT((MONTH(CHOOSE({1,2,3,4},TTSSKĐ!T333,TTSSKĐ!X333,TTSSKĐ!AB333,TTSSKĐ!AF333))=6)*(CHOOSE({1,2,3,4},TTSSKĐ!W333,TTSSKĐ!AA333,TTSSKĐ!AE333,TTSSKĐ!AI333)))</f>
        <v>0</v>
      </c>
      <c r="G333">
        <f>SUMPRODUCT((MONTH(CHOOSE({1,2,3,4},TTSSKĐ!T333,TTSSKĐ!X333,TTSSKĐ!AB333,TTSSKĐ!AF333))=7)*(CHOOSE({1,2,3,4},TTSSKĐ!W333,TTSSKĐ!AA333,TTSSKĐ!AE333,TTSSKĐ!AI333)))</f>
        <v>0</v>
      </c>
      <c r="H333">
        <f>SUMPRODUCT((MONTH(CHOOSE({1,2,3,4},TTSSKĐ!T333,TTSSKĐ!X333,TTSSKĐ!AB333,TTSSKĐ!AF333))=8)*(CHOOSE({1,2,3,4},TTSSKĐ!W333,TTSSKĐ!AA333,TTSSKĐ!AE333,TTSSKĐ!AI333)))</f>
        <v>0</v>
      </c>
      <c r="I333">
        <f>SUMPRODUCT((MONTH(CHOOSE({1,2,3,4},TTSSKĐ!T333,TTSSKĐ!X333,TTSSKĐ!AB333,TTSSKĐ!AF333))=9)*(CHOOSE({1,2,3,4},TTSSKĐ!W333,TTSSKĐ!AA333,TTSSKĐ!AE333,TTSSKĐ!AI333)))</f>
        <v>0</v>
      </c>
      <c r="J333">
        <f>SUMPRODUCT((MONTH(CHOOSE({1,2,3,4},TTSSKĐ!T333,TTSSKĐ!X333,TTSSKĐ!AB333,TTSSKĐ!AF333))=10)*(CHOOSE({1,2,3,4},TTSSKĐ!W333,TTSSKĐ!AA333,TTSSKĐ!AE333,TTSSKĐ!AI333)))</f>
        <v>0</v>
      </c>
      <c r="K333">
        <f>SUMPRODUCT((MONTH(CHOOSE({1,2,3,4},TTSSKĐ!T333,TTSSKĐ!X333,TTSSKĐ!AB333,TTSSKĐ!AF333))=11)*(CHOOSE({1,2,3,4},TTSSKĐ!W333,TTSSKĐ!AA333,TTSSKĐ!AE333,TTSSKĐ!AI333)))</f>
        <v>0</v>
      </c>
      <c r="L333">
        <f>SUMPRODUCT((MONTH(CHOOSE({1,2,3,4},TTSSKĐ!T333,TTSSKĐ!X333,TTSSKĐ!AB333,TTSSKĐ!AF333))=12)*(CHOOSE({1,2,3,4},TTSSKĐ!W333,TTSSKĐ!AA333,TTSSKĐ!AE333,TTSSKĐ!AI333)))</f>
        <v>0</v>
      </c>
    </row>
    <row r="334" spans="1:12">
      <c r="A334">
        <f>SUMPRODUCT((MONTH(CHOOSE({1,2,3,4},TTSSKĐ!T334,TTSSKĐ!X334,TTSSKĐ!AB334,TTSSKĐ!AF334))=1)*(CHOOSE({1,2,3,4},TTSSKĐ!W334,TTSSKĐ!AA334,TTSSKĐ!AE334,TTSSKĐ!AI334)))</f>
        <v>0</v>
      </c>
      <c r="B334">
        <f>SUMPRODUCT((MONTH(CHOOSE({1,2,3,4},TTSSKĐ!T334,TTSSKĐ!X334,TTSSKĐ!AB334,TTSSKĐ!AF334))=2)*(CHOOSE({1,2,3,4},TTSSKĐ!W334,TTSSKĐ!AA334,TTSSKĐ!AE334,TTSSKĐ!AI334)))</f>
        <v>0</v>
      </c>
      <c r="C334">
        <f>SUMPRODUCT((MONTH(CHOOSE({1,2,3,4},TTSSKĐ!T334,TTSSKĐ!X334,TTSSKĐ!AB334,TTSSKĐ!AF334))=3)*(CHOOSE({1,2,3,4},TTSSKĐ!W334,TTSSKĐ!AA334,TTSSKĐ!AE334,TTSSKĐ!AI334)))</f>
        <v>0</v>
      </c>
      <c r="D334">
        <f>SUMPRODUCT((MONTH(CHOOSE({1,2,3,4},TTSSKĐ!T334,TTSSKĐ!X334,TTSSKĐ!AB334,TTSSKĐ!AF334))=4)*(CHOOSE({1,2,3,4},TTSSKĐ!W334,TTSSKĐ!AA334,TTSSKĐ!AE334,TTSSKĐ!AI334)))</f>
        <v>0</v>
      </c>
      <c r="E334">
        <f>SUMPRODUCT((MONTH(CHOOSE({1,2,3,4},TTSSKĐ!T334,TTSSKĐ!X334,TTSSKĐ!AB334,TTSSKĐ!AF334))=5)*(CHOOSE({1,2,3,4},TTSSKĐ!W334,TTSSKĐ!AA334,TTSSKĐ!AE334,TTSSKĐ!AI334)))</f>
        <v>0</v>
      </c>
      <c r="F334">
        <f>SUMPRODUCT((MONTH(CHOOSE({1,2,3,4},TTSSKĐ!T334,TTSSKĐ!X334,TTSSKĐ!AB334,TTSSKĐ!AF334))=6)*(CHOOSE({1,2,3,4},TTSSKĐ!W334,TTSSKĐ!AA334,TTSSKĐ!AE334,TTSSKĐ!AI334)))</f>
        <v>0</v>
      </c>
      <c r="G334">
        <f>SUMPRODUCT((MONTH(CHOOSE({1,2,3,4},TTSSKĐ!T334,TTSSKĐ!X334,TTSSKĐ!AB334,TTSSKĐ!AF334))=7)*(CHOOSE({1,2,3,4},TTSSKĐ!W334,TTSSKĐ!AA334,TTSSKĐ!AE334,TTSSKĐ!AI334)))</f>
        <v>0</v>
      </c>
      <c r="H334">
        <f>SUMPRODUCT((MONTH(CHOOSE({1,2,3,4},TTSSKĐ!T334,TTSSKĐ!X334,TTSSKĐ!AB334,TTSSKĐ!AF334))=8)*(CHOOSE({1,2,3,4},TTSSKĐ!W334,TTSSKĐ!AA334,TTSSKĐ!AE334,TTSSKĐ!AI334)))</f>
        <v>0</v>
      </c>
      <c r="I334">
        <f>SUMPRODUCT((MONTH(CHOOSE({1,2,3,4},TTSSKĐ!T334,TTSSKĐ!X334,TTSSKĐ!AB334,TTSSKĐ!AF334))=9)*(CHOOSE({1,2,3,4},TTSSKĐ!W334,TTSSKĐ!AA334,TTSSKĐ!AE334,TTSSKĐ!AI334)))</f>
        <v>0</v>
      </c>
      <c r="J334">
        <f>SUMPRODUCT((MONTH(CHOOSE({1,2,3,4},TTSSKĐ!T334,TTSSKĐ!X334,TTSSKĐ!AB334,TTSSKĐ!AF334))=10)*(CHOOSE({1,2,3,4},TTSSKĐ!W334,TTSSKĐ!AA334,TTSSKĐ!AE334,TTSSKĐ!AI334)))</f>
        <v>0</v>
      </c>
      <c r="K334">
        <f>SUMPRODUCT((MONTH(CHOOSE({1,2,3,4},TTSSKĐ!T334,TTSSKĐ!X334,TTSSKĐ!AB334,TTSSKĐ!AF334))=11)*(CHOOSE({1,2,3,4},TTSSKĐ!W334,TTSSKĐ!AA334,TTSSKĐ!AE334,TTSSKĐ!AI334)))</f>
        <v>0</v>
      </c>
      <c r="L334">
        <f>SUMPRODUCT((MONTH(CHOOSE({1,2,3,4},TTSSKĐ!T334,TTSSKĐ!X334,TTSSKĐ!AB334,TTSSKĐ!AF334))=12)*(CHOOSE({1,2,3,4},TTSSKĐ!W334,TTSSKĐ!AA334,TTSSKĐ!AE334,TTSSKĐ!AI334)))</f>
        <v>0</v>
      </c>
    </row>
    <row r="335" spans="1:12">
      <c r="A335">
        <f>SUMPRODUCT((MONTH(CHOOSE({1,2,3,4},TTSSKĐ!T335,TTSSKĐ!X335,TTSSKĐ!AB335,TTSSKĐ!AF335))=1)*(CHOOSE({1,2,3,4},TTSSKĐ!W335,TTSSKĐ!AA335,TTSSKĐ!AE335,TTSSKĐ!AI335)))</f>
        <v>0</v>
      </c>
      <c r="B335">
        <f>SUMPRODUCT((MONTH(CHOOSE({1,2,3,4},TTSSKĐ!T335,TTSSKĐ!X335,TTSSKĐ!AB335,TTSSKĐ!AF335))=2)*(CHOOSE({1,2,3,4},TTSSKĐ!W335,TTSSKĐ!AA335,TTSSKĐ!AE335,TTSSKĐ!AI335)))</f>
        <v>0</v>
      </c>
      <c r="C335">
        <f>SUMPRODUCT((MONTH(CHOOSE({1,2,3,4},TTSSKĐ!T335,TTSSKĐ!X335,TTSSKĐ!AB335,TTSSKĐ!AF335))=3)*(CHOOSE({1,2,3,4},TTSSKĐ!W335,TTSSKĐ!AA335,TTSSKĐ!AE335,TTSSKĐ!AI335)))</f>
        <v>0</v>
      </c>
      <c r="D335">
        <f>SUMPRODUCT((MONTH(CHOOSE({1,2,3,4},TTSSKĐ!T335,TTSSKĐ!X335,TTSSKĐ!AB335,TTSSKĐ!AF335))=4)*(CHOOSE({1,2,3,4},TTSSKĐ!W335,TTSSKĐ!AA335,TTSSKĐ!AE335,TTSSKĐ!AI335)))</f>
        <v>0</v>
      </c>
      <c r="E335">
        <f>SUMPRODUCT((MONTH(CHOOSE({1,2,3,4},TTSSKĐ!T335,TTSSKĐ!X335,TTSSKĐ!AB335,TTSSKĐ!AF335))=5)*(CHOOSE({1,2,3,4},TTSSKĐ!W335,TTSSKĐ!AA335,TTSSKĐ!AE335,TTSSKĐ!AI335)))</f>
        <v>0</v>
      </c>
      <c r="F335">
        <f>SUMPRODUCT((MONTH(CHOOSE({1,2,3,4},TTSSKĐ!T335,TTSSKĐ!X335,TTSSKĐ!AB335,TTSSKĐ!AF335))=6)*(CHOOSE({1,2,3,4},TTSSKĐ!W335,TTSSKĐ!AA335,TTSSKĐ!AE335,TTSSKĐ!AI335)))</f>
        <v>0</v>
      </c>
      <c r="G335">
        <f>SUMPRODUCT((MONTH(CHOOSE({1,2,3,4},TTSSKĐ!T335,TTSSKĐ!X335,TTSSKĐ!AB335,TTSSKĐ!AF335))=7)*(CHOOSE({1,2,3,4},TTSSKĐ!W335,TTSSKĐ!AA335,TTSSKĐ!AE335,TTSSKĐ!AI335)))</f>
        <v>0</v>
      </c>
      <c r="H335">
        <f>SUMPRODUCT((MONTH(CHOOSE({1,2,3,4},TTSSKĐ!T335,TTSSKĐ!X335,TTSSKĐ!AB335,TTSSKĐ!AF335))=8)*(CHOOSE({1,2,3,4},TTSSKĐ!W335,TTSSKĐ!AA335,TTSSKĐ!AE335,TTSSKĐ!AI335)))</f>
        <v>0</v>
      </c>
      <c r="I335">
        <f>SUMPRODUCT((MONTH(CHOOSE({1,2,3,4},TTSSKĐ!T335,TTSSKĐ!X335,TTSSKĐ!AB335,TTSSKĐ!AF335))=9)*(CHOOSE({1,2,3,4},TTSSKĐ!W335,TTSSKĐ!AA335,TTSSKĐ!AE335,TTSSKĐ!AI335)))</f>
        <v>0</v>
      </c>
      <c r="J335">
        <f>SUMPRODUCT((MONTH(CHOOSE({1,2,3,4},TTSSKĐ!T335,TTSSKĐ!X335,TTSSKĐ!AB335,TTSSKĐ!AF335))=10)*(CHOOSE({1,2,3,4},TTSSKĐ!W335,TTSSKĐ!AA335,TTSSKĐ!AE335,TTSSKĐ!AI335)))</f>
        <v>0</v>
      </c>
      <c r="K335">
        <f>SUMPRODUCT((MONTH(CHOOSE({1,2,3,4},TTSSKĐ!T335,TTSSKĐ!X335,TTSSKĐ!AB335,TTSSKĐ!AF335))=11)*(CHOOSE({1,2,3,4},TTSSKĐ!W335,TTSSKĐ!AA335,TTSSKĐ!AE335,TTSSKĐ!AI335)))</f>
        <v>0</v>
      </c>
      <c r="L335">
        <f>SUMPRODUCT((MONTH(CHOOSE({1,2,3,4},TTSSKĐ!T335,TTSSKĐ!X335,TTSSKĐ!AB335,TTSSKĐ!AF335))=12)*(CHOOSE({1,2,3,4},TTSSKĐ!W335,TTSSKĐ!AA335,TTSSKĐ!AE335,TTSSKĐ!AI335)))</f>
        <v>0</v>
      </c>
    </row>
    <row r="336" spans="1:12">
      <c r="A336">
        <f>SUMPRODUCT((MONTH(CHOOSE({1,2,3,4},TTSSKĐ!T336,TTSSKĐ!X336,TTSSKĐ!AB336,TTSSKĐ!AF336))=1)*(CHOOSE({1,2,3,4},TTSSKĐ!W336,TTSSKĐ!AA336,TTSSKĐ!AE336,TTSSKĐ!AI336)))</f>
        <v>0</v>
      </c>
      <c r="B336">
        <f>SUMPRODUCT((MONTH(CHOOSE({1,2,3,4},TTSSKĐ!T336,TTSSKĐ!X336,TTSSKĐ!AB336,TTSSKĐ!AF336))=2)*(CHOOSE({1,2,3,4},TTSSKĐ!W336,TTSSKĐ!AA336,TTSSKĐ!AE336,TTSSKĐ!AI336)))</f>
        <v>0</v>
      </c>
      <c r="C336">
        <f>SUMPRODUCT((MONTH(CHOOSE({1,2,3,4},TTSSKĐ!T336,TTSSKĐ!X336,TTSSKĐ!AB336,TTSSKĐ!AF336))=3)*(CHOOSE({1,2,3,4},TTSSKĐ!W336,TTSSKĐ!AA336,TTSSKĐ!AE336,TTSSKĐ!AI336)))</f>
        <v>0</v>
      </c>
      <c r="D336">
        <f>SUMPRODUCT((MONTH(CHOOSE({1,2,3,4},TTSSKĐ!T336,TTSSKĐ!X336,TTSSKĐ!AB336,TTSSKĐ!AF336))=4)*(CHOOSE({1,2,3,4},TTSSKĐ!W336,TTSSKĐ!AA336,TTSSKĐ!AE336,TTSSKĐ!AI336)))</f>
        <v>0</v>
      </c>
      <c r="E336">
        <f>SUMPRODUCT((MONTH(CHOOSE({1,2,3,4},TTSSKĐ!T336,TTSSKĐ!X336,TTSSKĐ!AB336,TTSSKĐ!AF336))=5)*(CHOOSE({1,2,3,4},TTSSKĐ!W336,TTSSKĐ!AA336,TTSSKĐ!AE336,TTSSKĐ!AI336)))</f>
        <v>0</v>
      </c>
      <c r="F336">
        <f>SUMPRODUCT((MONTH(CHOOSE({1,2,3,4},TTSSKĐ!T336,TTSSKĐ!X336,TTSSKĐ!AB336,TTSSKĐ!AF336))=6)*(CHOOSE({1,2,3,4},TTSSKĐ!W336,TTSSKĐ!AA336,TTSSKĐ!AE336,TTSSKĐ!AI336)))</f>
        <v>0</v>
      </c>
      <c r="G336">
        <f>SUMPRODUCT((MONTH(CHOOSE({1,2,3,4},TTSSKĐ!T336,TTSSKĐ!X336,TTSSKĐ!AB336,TTSSKĐ!AF336))=7)*(CHOOSE({1,2,3,4},TTSSKĐ!W336,TTSSKĐ!AA336,TTSSKĐ!AE336,TTSSKĐ!AI336)))</f>
        <v>0</v>
      </c>
      <c r="H336">
        <f>SUMPRODUCT((MONTH(CHOOSE({1,2,3,4},TTSSKĐ!T336,TTSSKĐ!X336,TTSSKĐ!AB336,TTSSKĐ!AF336))=8)*(CHOOSE({1,2,3,4},TTSSKĐ!W336,TTSSKĐ!AA336,TTSSKĐ!AE336,TTSSKĐ!AI336)))</f>
        <v>0</v>
      </c>
      <c r="I336">
        <f>SUMPRODUCT((MONTH(CHOOSE({1,2,3,4},TTSSKĐ!T336,TTSSKĐ!X336,TTSSKĐ!AB336,TTSSKĐ!AF336))=9)*(CHOOSE({1,2,3,4},TTSSKĐ!W336,TTSSKĐ!AA336,TTSSKĐ!AE336,TTSSKĐ!AI336)))</f>
        <v>0</v>
      </c>
      <c r="J336">
        <f>SUMPRODUCT((MONTH(CHOOSE({1,2,3,4},TTSSKĐ!T336,TTSSKĐ!X336,TTSSKĐ!AB336,TTSSKĐ!AF336))=10)*(CHOOSE({1,2,3,4},TTSSKĐ!W336,TTSSKĐ!AA336,TTSSKĐ!AE336,TTSSKĐ!AI336)))</f>
        <v>0</v>
      </c>
      <c r="K336">
        <f>SUMPRODUCT((MONTH(CHOOSE({1,2,3,4},TTSSKĐ!T336,TTSSKĐ!X336,TTSSKĐ!AB336,TTSSKĐ!AF336))=11)*(CHOOSE({1,2,3,4},TTSSKĐ!W336,TTSSKĐ!AA336,TTSSKĐ!AE336,TTSSKĐ!AI336)))</f>
        <v>0</v>
      </c>
      <c r="L336">
        <f>SUMPRODUCT((MONTH(CHOOSE({1,2,3,4},TTSSKĐ!T336,TTSSKĐ!X336,TTSSKĐ!AB336,TTSSKĐ!AF336))=12)*(CHOOSE({1,2,3,4},TTSSKĐ!W336,TTSSKĐ!AA336,TTSSKĐ!AE336,TTSSKĐ!AI336)))</f>
        <v>0</v>
      </c>
    </row>
    <row r="337" spans="1:12">
      <c r="A337">
        <f>SUMPRODUCT((MONTH(CHOOSE({1,2,3,4},TTSSKĐ!T337,TTSSKĐ!X337,TTSSKĐ!AB337,TTSSKĐ!AF337))=1)*(CHOOSE({1,2,3,4},TTSSKĐ!W337,TTSSKĐ!AA337,TTSSKĐ!AE337,TTSSKĐ!AI337)))</f>
        <v>0</v>
      </c>
      <c r="B337">
        <f>SUMPRODUCT((MONTH(CHOOSE({1,2,3,4},TTSSKĐ!T337,TTSSKĐ!X337,TTSSKĐ!AB337,TTSSKĐ!AF337))=2)*(CHOOSE({1,2,3,4},TTSSKĐ!W337,TTSSKĐ!AA337,TTSSKĐ!AE337,TTSSKĐ!AI337)))</f>
        <v>0</v>
      </c>
      <c r="C337">
        <f>SUMPRODUCT((MONTH(CHOOSE({1,2,3,4},TTSSKĐ!T337,TTSSKĐ!X337,TTSSKĐ!AB337,TTSSKĐ!AF337))=3)*(CHOOSE({1,2,3,4},TTSSKĐ!W337,TTSSKĐ!AA337,TTSSKĐ!AE337,TTSSKĐ!AI337)))</f>
        <v>0</v>
      </c>
      <c r="D337">
        <f>SUMPRODUCT((MONTH(CHOOSE({1,2,3,4},TTSSKĐ!T337,TTSSKĐ!X337,TTSSKĐ!AB337,TTSSKĐ!AF337))=4)*(CHOOSE({1,2,3,4},TTSSKĐ!W337,TTSSKĐ!AA337,TTSSKĐ!AE337,TTSSKĐ!AI337)))</f>
        <v>0</v>
      </c>
      <c r="E337">
        <f>SUMPRODUCT((MONTH(CHOOSE({1,2,3,4},TTSSKĐ!T337,TTSSKĐ!X337,TTSSKĐ!AB337,TTSSKĐ!AF337))=5)*(CHOOSE({1,2,3,4},TTSSKĐ!W337,TTSSKĐ!AA337,TTSSKĐ!AE337,TTSSKĐ!AI337)))</f>
        <v>0</v>
      </c>
      <c r="F337">
        <f>SUMPRODUCT((MONTH(CHOOSE({1,2,3,4},TTSSKĐ!T337,TTSSKĐ!X337,TTSSKĐ!AB337,TTSSKĐ!AF337))=6)*(CHOOSE({1,2,3,4},TTSSKĐ!W337,TTSSKĐ!AA337,TTSSKĐ!AE337,TTSSKĐ!AI337)))</f>
        <v>0</v>
      </c>
      <c r="G337">
        <f>SUMPRODUCT((MONTH(CHOOSE({1,2,3,4},TTSSKĐ!T337,TTSSKĐ!X337,TTSSKĐ!AB337,TTSSKĐ!AF337))=7)*(CHOOSE({1,2,3,4},TTSSKĐ!W337,TTSSKĐ!AA337,TTSSKĐ!AE337,TTSSKĐ!AI337)))</f>
        <v>0</v>
      </c>
      <c r="H337">
        <f>SUMPRODUCT((MONTH(CHOOSE({1,2,3,4},TTSSKĐ!T337,TTSSKĐ!X337,TTSSKĐ!AB337,TTSSKĐ!AF337))=8)*(CHOOSE({1,2,3,4},TTSSKĐ!W337,TTSSKĐ!AA337,TTSSKĐ!AE337,TTSSKĐ!AI337)))</f>
        <v>0</v>
      </c>
      <c r="I337">
        <f>SUMPRODUCT((MONTH(CHOOSE({1,2,3,4},TTSSKĐ!T337,TTSSKĐ!X337,TTSSKĐ!AB337,TTSSKĐ!AF337))=9)*(CHOOSE({1,2,3,4},TTSSKĐ!W337,TTSSKĐ!AA337,TTSSKĐ!AE337,TTSSKĐ!AI337)))</f>
        <v>0</v>
      </c>
      <c r="J337">
        <f>SUMPRODUCT((MONTH(CHOOSE({1,2,3,4},TTSSKĐ!T337,TTSSKĐ!X337,TTSSKĐ!AB337,TTSSKĐ!AF337))=10)*(CHOOSE({1,2,3,4},TTSSKĐ!W337,TTSSKĐ!AA337,TTSSKĐ!AE337,TTSSKĐ!AI337)))</f>
        <v>0</v>
      </c>
      <c r="K337">
        <f>SUMPRODUCT((MONTH(CHOOSE({1,2,3,4},TTSSKĐ!T337,TTSSKĐ!X337,TTSSKĐ!AB337,TTSSKĐ!AF337))=11)*(CHOOSE({1,2,3,4},TTSSKĐ!W337,TTSSKĐ!AA337,TTSSKĐ!AE337,TTSSKĐ!AI337)))</f>
        <v>0</v>
      </c>
      <c r="L337">
        <f>SUMPRODUCT((MONTH(CHOOSE({1,2,3,4},TTSSKĐ!T337,TTSSKĐ!X337,TTSSKĐ!AB337,TTSSKĐ!AF337))=12)*(CHOOSE({1,2,3,4},TTSSKĐ!W337,TTSSKĐ!AA337,TTSSKĐ!AE337,TTSSKĐ!AI337)))</f>
        <v>0</v>
      </c>
    </row>
    <row r="338" spans="1:12">
      <c r="A338">
        <f>SUMPRODUCT((MONTH(CHOOSE({1,2,3,4},TTSSKĐ!T338,TTSSKĐ!X338,TTSSKĐ!AB338,TTSSKĐ!AF338))=1)*(CHOOSE({1,2,3,4},TTSSKĐ!W338,TTSSKĐ!AA338,TTSSKĐ!AE338,TTSSKĐ!AI338)))</f>
        <v>0</v>
      </c>
      <c r="B338">
        <f>SUMPRODUCT((MONTH(CHOOSE({1,2,3,4},TTSSKĐ!T338,TTSSKĐ!X338,TTSSKĐ!AB338,TTSSKĐ!AF338))=2)*(CHOOSE({1,2,3,4},TTSSKĐ!W338,TTSSKĐ!AA338,TTSSKĐ!AE338,TTSSKĐ!AI338)))</f>
        <v>0</v>
      </c>
      <c r="C338">
        <f>SUMPRODUCT((MONTH(CHOOSE({1,2,3,4},TTSSKĐ!T338,TTSSKĐ!X338,TTSSKĐ!AB338,TTSSKĐ!AF338))=3)*(CHOOSE({1,2,3,4},TTSSKĐ!W338,TTSSKĐ!AA338,TTSSKĐ!AE338,TTSSKĐ!AI338)))</f>
        <v>0</v>
      </c>
      <c r="D338">
        <f>SUMPRODUCT((MONTH(CHOOSE({1,2,3,4},TTSSKĐ!T338,TTSSKĐ!X338,TTSSKĐ!AB338,TTSSKĐ!AF338))=4)*(CHOOSE({1,2,3,4},TTSSKĐ!W338,TTSSKĐ!AA338,TTSSKĐ!AE338,TTSSKĐ!AI338)))</f>
        <v>0</v>
      </c>
      <c r="E338">
        <f>SUMPRODUCT((MONTH(CHOOSE({1,2,3,4},TTSSKĐ!T338,TTSSKĐ!X338,TTSSKĐ!AB338,TTSSKĐ!AF338))=5)*(CHOOSE({1,2,3,4},TTSSKĐ!W338,TTSSKĐ!AA338,TTSSKĐ!AE338,TTSSKĐ!AI338)))</f>
        <v>0</v>
      </c>
      <c r="F338">
        <f>SUMPRODUCT((MONTH(CHOOSE({1,2,3,4},TTSSKĐ!T338,TTSSKĐ!X338,TTSSKĐ!AB338,TTSSKĐ!AF338))=6)*(CHOOSE({1,2,3,4},TTSSKĐ!W338,TTSSKĐ!AA338,TTSSKĐ!AE338,TTSSKĐ!AI338)))</f>
        <v>0</v>
      </c>
      <c r="G338">
        <f>SUMPRODUCT((MONTH(CHOOSE({1,2,3,4},TTSSKĐ!T338,TTSSKĐ!X338,TTSSKĐ!AB338,TTSSKĐ!AF338))=7)*(CHOOSE({1,2,3,4},TTSSKĐ!W338,TTSSKĐ!AA338,TTSSKĐ!AE338,TTSSKĐ!AI338)))</f>
        <v>0</v>
      </c>
      <c r="H338">
        <f>SUMPRODUCT((MONTH(CHOOSE({1,2,3,4},TTSSKĐ!T338,TTSSKĐ!X338,TTSSKĐ!AB338,TTSSKĐ!AF338))=8)*(CHOOSE({1,2,3,4},TTSSKĐ!W338,TTSSKĐ!AA338,TTSSKĐ!AE338,TTSSKĐ!AI338)))</f>
        <v>0</v>
      </c>
      <c r="I338">
        <f>SUMPRODUCT((MONTH(CHOOSE({1,2,3,4},TTSSKĐ!T338,TTSSKĐ!X338,TTSSKĐ!AB338,TTSSKĐ!AF338))=9)*(CHOOSE({1,2,3,4},TTSSKĐ!W338,TTSSKĐ!AA338,TTSSKĐ!AE338,TTSSKĐ!AI338)))</f>
        <v>0</v>
      </c>
      <c r="J338">
        <f>SUMPRODUCT((MONTH(CHOOSE({1,2,3,4},TTSSKĐ!T338,TTSSKĐ!X338,TTSSKĐ!AB338,TTSSKĐ!AF338))=10)*(CHOOSE({1,2,3,4},TTSSKĐ!W338,TTSSKĐ!AA338,TTSSKĐ!AE338,TTSSKĐ!AI338)))</f>
        <v>0</v>
      </c>
      <c r="K338">
        <f>SUMPRODUCT((MONTH(CHOOSE({1,2,3,4},TTSSKĐ!T338,TTSSKĐ!X338,TTSSKĐ!AB338,TTSSKĐ!AF338))=11)*(CHOOSE({1,2,3,4},TTSSKĐ!W338,TTSSKĐ!AA338,TTSSKĐ!AE338,TTSSKĐ!AI338)))</f>
        <v>0</v>
      </c>
      <c r="L338">
        <f>SUMPRODUCT((MONTH(CHOOSE({1,2,3,4},TTSSKĐ!T338,TTSSKĐ!X338,TTSSKĐ!AB338,TTSSKĐ!AF338))=12)*(CHOOSE({1,2,3,4},TTSSKĐ!W338,TTSSKĐ!AA338,TTSSKĐ!AE338,TTSSKĐ!AI338)))</f>
        <v>0</v>
      </c>
    </row>
    <row r="339" spans="1:12">
      <c r="A339">
        <f>SUMPRODUCT((MONTH(CHOOSE({1,2,3,4},TTSSKĐ!T339,TTSSKĐ!X339,TTSSKĐ!AB339,TTSSKĐ!AF339))=1)*(CHOOSE({1,2,3,4},TTSSKĐ!W339,TTSSKĐ!AA339,TTSSKĐ!AE339,TTSSKĐ!AI339)))</f>
        <v>0</v>
      </c>
      <c r="B339">
        <f>SUMPRODUCT((MONTH(CHOOSE({1,2,3,4},TTSSKĐ!T339,TTSSKĐ!X339,TTSSKĐ!AB339,TTSSKĐ!AF339))=2)*(CHOOSE({1,2,3,4},TTSSKĐ!W339,TTSSKĐ!AA339,TTSSKĐ!AE339,TTSSKĐ!AI339)))</f>
        <v>0</v>
      </c>
      <c r="C339">
        <f>SUMPRODUCT((MONTH(CHOOSE({1,2,3,4},TTSSKĐ!T339,TTSSKĐ!X339,TTSSKĐ!AB339,TTSSKĐ!AF339))=3)*(CHOOSE({1,2,3,4},TTSSKĐ!W339,TTSSKĐ!AA339,TTSSKĐ!AE339,TTSSKĐ!AI339)))</f>
        <v>0</v>
      </c>
      <c r="D339">
        <f>SUMPRODUCT((MONTH(CHOOSE({1,2,3,4},TTSSKĐ!T339,TTSSKĐ!X339,TTSSKĐ!AB339,TTSSKĐ!AF339))=4)*(CHOOSE({1,2,3,4},TTSSKĐ!W339,TTSSKĐ!AA339,TTSSKĐ!AE339,TTSSKĐ!AI339)))</f>
        <v>0</v>
      </c>
      <c r="E339">
        <f>SUMPRODUCT((MONTH(CHOOSE({1,2,3,4},TTSSKĐ!T339,TTSSKĐ!X339,TTSSKĐ!AB339,TTSSKĐ!AF339))=5)*(CHOOSE({1,2,3,4},TTSSKĐ!W339,TTSSKĐ!AA339,TTSSKĐ!AE339,TTSSKĐ!AI339)))</f>
        <v>0</v>
      </c>
      <c r="F339">
        <f>SUMPRODUCT((MONTH(CHOOSE({1,2,3,4},TTSSKĐ!T339,TTSSKĐ!X339,TTSSKĐ!AB339,TTSSKĐ!AF339))=6)*(CHOOSE({1,2,3,4},TTSSKĐ!W339,TTSSKĐ!AA339,TTSSKĐ!AE339,TTSSKĐ!AI339)))</f>
        <v>0</v>
      </c>
      <c r="G339">
        <f>SUMPRODUCT((MONTH(CHOOSE({1,2,3,4},TTSSKĐ!T339,TTSSKĐ!X339,TTSSKĐ!AB339,TTSSKĐ!AF339))=7)*(CHOOSE({1,2,3,4},TTSSKĐ!W339,TTSSKĐ!AA339,TTSSKĐ!AE339,TTSSKĐ!AI339)))</f>
        <v>0</v>
      </c>
      <c r="H339">
        <f>SUMPRODUCT((MONTH(CHOOSE({1,2,3,4},TTSSKĐ!T339,TTSSKĐ!X339,TTSSKĐ!AB339,TTSSKĐ!AF339))=8)*(CHOOSE({1,2,3,4},TTSSKĐ!W339,TTSSKĐ!AA339,TTSSKĐ!AE339,TTSSKĐ!AI339)))</f>
        <v>0</v>
      </c>
      <c r="I339">
        <f>SUMPRODUCT((MONTH(CHOOSE({1,2,3,4},TTSSKĐ!T339,TTSSKĐ!X339,TTSSKĐ!AB339,TTSSKĐ!AF339))=9)*(CHOOSE({1,2,3,4},TTSSKĐ!W339,TTSSKĐ!AA339,TTSSKĐ!AE339,TTSSKĐ!AI339)))</f>
        <v>0</v>
      </c>
      <c r="J339">
        <f>SUMPRODUCT((MONTH(CHOOSE({1,2,3,4},TTSSKĐ!T339,TTSSKĐ!X339,TTSSKĐ!AB339,TTSSKĐ!AF339))=10)*(CHOOSE({1,2,3,4},TTSSKĐ!W339,TTSSKĐ!AA339,TTSSKĐ!AE339,TTSSKĐ!AI339)))</f>
        <v>0</v>
      </c>
      <c r="K339">
        <f>SUMPRODUCT((MONTH(CHOOSE({1,2,3,4},TTSSKĐ!T339,TTSSKĐ!X339,TTSSKĐ!AB339,TTSSKĐ!AF339))=11)*(CHOOSE({1,2,3,4},TTSSKĐ!W339,TTSSKĐ!AA339,TTSSKĐ!AE339,TTSSKĐ!AI339)))</f>
        <v>0</v>
      </c>
      <c r="L339">
        <f>SUMPRODUCT((MONTH(CHOOSE({1,2,3,4},TTSSKĐ!T339,TTSSKĐ!X339,TTSSKĐ!AB339,TTSSKĐ!AF339))=12)*(CHOOSE({1,2,3,4},TTSSKĐ!W339,TTSSKĐ!AA339,TTSSKĐ!AE339,TTSSKĐ!AI339)))</f>
        <v>0</v>
      </c>
    </row>
    <row r="340" spans="1:12">
      <c r="A340">
        <f>SUMPRODUCT((MONTH(CHOOSE({1,2,3,4},TTSSKĐ!T340,TTSSKĐ!X340,TTSSKĐ!AB340,TTSSKĐ!AF340))=1)*(CHOOSE({1,2,3,4},TTSSKĐ!W340,TTSSKĐ!AA340,TTSSKĐ!AE340,TTSSKĐ!AI340)))</f>
        <v>0</v>
      </c>
      <c r="B340">
        <f>SUMPRODUCT((MONTH(CHOOSE({1,2,3,4},TTSSKĐ!T340,TTSSKĐ!X340,TTSSKĐ!AB340,TTSSKĐ!AF340))=2)*(CHOOSE({1,2,3,4},TTSSKĐ!W340,TTSSKĐ!AA340,TTSSKĐ!AE340,TTSSKĐ!AI340)))</f>
        <v>0</v>
      </c>
      <c r="C340">
        <f>SUMPRODUCT((MONTH(CHOOSE({1,2,3,4},TTSSKĐ!T340,TTSSKĐ!X340,TTSSKĐ!AB340,TTSSKĐ!AF340))=3)*(CHOOSE({1,2,3,4},TTSSKĐ!W340,TTSSKĐ!AA340,TTSSKĐ!AE340,TTSSKĐ!AI340)))</f>
        <v>0</v>
      </c>
      <c r="D340">
        <f>SUMPRODUCT((MONTH(CHOOSE({1,2,3,4},TTSSKĐ!T340,TTSSKĐ!X340,TTSSKĐ!AB340,TTSSKĐ!AF340))=4)*(CHOOSE({1,2,3,4},TTSSKĐ!W340,TTSSKĐ!AA340,TTSSKĐ!AE340,TTSSKĐ!AI340)))</f>
        <v>0</v>
      </c>
      <c r="E340">
        <f>SUMPRODUCT((MONTH(CHOOSE({1,2,3,4},TTSSKĐ!T340,TTSSKĐ!X340,TTSSKĐ!AB340,TTSSKĐ!AF340))=5)*(CHOOSE({1,2,3,4},TTSSKĐ!W340,TTSSKĐ!AA340,TTSSKĐ!AE340,TTSSKĐ!AI340)))</f>
        <v>0</v>
      </c>
      <c r="F340">
        <f>SUMPRODUCT((MONTH(CHOOSE({1,2,3,4},TTSSKĐ!T340,TTSSKĐ!X340,TTSSKĐ!AB340,TTSSKĐ!AF340))=6)*(CHOOSE({1,2,3,4},TTSSKĐ!W340,TTSSKĐ!AA340,TTSSKĐ!AE340,TTSSKĐ!AI340)))</f>
        <v>0</v>
      </c>
      <c r="G340">
        <f>SUMPRODUCT((MONTH(CHOOSE({1,2,3,4},TTSSKĐ!T340,TTSSKĐ!X340,TTSSKĐ!AB340,TTSSKĐ!AF340))=7)*(CHOOSE({1,2,3,4},TTSSKĐ!W340,TTSSKĐ!AA340,TTSSKĐ!AE340,TTSSKĐ!AI340)))</f>
        <v>0</v>
      </c>
      <c r="H340">
        <f>SUMPRODUCT((MONTH(CHOOSE({1,2,3,4},TTSSKĐ!T340,TTSSKĐ!X340,TTSSKĐ!AB340,TTSSKĐ!AF340))=8)*(CHOOSE({1,2,3,4},TTSSKĐ!W340,TTSSKĐ!AA340,TTSSKĐ!AE340,TTSSKĐ!AI340)))</f>
        <v>0</v>
      </c>
      <c r="I340">
        <f>SUMPRODUCT((MONTH(CHOOSE({1,2,3,4},TTSSKĐ!T340,TTSSKĐ!X340,TTSSKĐ!AB340,TTSSKĐ!AF340))=9)*(CHOOSE({1,2,3,4},TTSSKĐ!W340,TTSSKĐ!AA340,TTSSKĐ!AE340,TTSSKĐ!AI340)))</f>
        <v>0</v>
      </c>
      <c r="J340">
        <f>SUMPRODUCT((MONTH(CHOOSE({1,2,3,4},TTSSKĐ!T340,TTSSKĐ!X340,TTSSKĐ!AB340,TTSSKĐ!AF340))=10)*(CHOOSE({1,2,3,4},TTSSKĐ!W340,TTSSKĐ!AA340,TTSSKĐ!AE340,TTSSKĐ!AI340)))</f>
        <v>0</v>
      </c>
      <c r="K340">
        <f>SUMPRODUCT((MONTH(CHOOSE({1,2,3,4},TTSSKĐ!T340,TTSSKĐ!X340,TTSSKĐ!AB340,TTSSKĐ!AF340))=11)*(CHOOSE({1,2,3,4},TTSSKĐ!W340,TTSSKĐ!AA340,TTSSKĐ!AE340,TTSSKĐ!AI340)))</f>
        <v>0</v>
      </c>
      <c r="L340">
        <f>SUMPRODUCT((MONTH(CHOOSE({1,2,3,4},TTSSKĐ!T340,TTSSKĐ!X340,TTSSKĐ!AB340,TTSSKĐ!AF340))=12)*(CHOOSE({1,2,3,4},TTSSKĐ!W340,TTSSKĐ!AA340,TTSSKĐ!AE340,TTSSKĐ!AI340)))</f>
        <v>0</v>
      </c>
    </row>
    <row r="341" spans="1:12">
      <c r="A341">
        <f>SUMPRODUCT((MONTH(CHOOSE({1,2,3,4},TTSSKĐ!T341,TTSSKĐ!X341,TTSSKĐ!AB341,TTSSKĐ!AF341))=1)*(CHOOSE({1,2,3,4},TTSSKĐ!W341,TTSSKĐ!AA341,TTSSKĐ!AE341,TTSSKĐ!AI341)))</f>
        <v>0</v>
      </c>
      <c r="B341">
        <f>SUMPRODUCT((MONTH(CHOOSE({1,2,3,4},TTSSKĐ!T341,TTSSKĐ!X341,TTSSKĐ!AB341,TTSSKĐ!AF341))=2)*(CHOOSE({1,2,3,4},TTSSKĐ!W341,TTSSKĐ!AA341,TTSSKĐ!AE341,TTSSKĐ!AI341)))</f>
        <v>0</v>
      </c>
      <c r="C341">
        <f>SUMPRODUCT((MONTH(CHOOSE({1,2,3,4},TTSSKĐ!T341,TTSSKĐ!X341,TTSSKĐ!AB341,TTSSKĐ!AF341))=3)*(CHOOSE({1,2,3,4},TTSSKĐ!W341,TTSSKĐ!AA341,TTSSKĐ!AE341,TTSSKĐ!AI341)))</f>
        <v>0</v>
      </c>
      <c r="D341">
        <f>SUMPRODUCT((MONTH(CHOOSE({1,2,3,4},TTSSKĐ!T341,TTSSKĐ!X341,TTSSKĐ!AB341,TTSSKĐ!AF341))=4)*(CHOOSE({1,2,3,4},TTSSKĐ!W341,TTSSKĐ!AA341,TTSSKĐ!AE341,TTSSKĐ!AI341)))</f>
        <v>0</v>
      </c>
      <c r="E341">
        <f>SUMPRODUCT((MONTH(CHOOSE({1,2,3,4},TTSSKĐ!T341,TTSSKĐ!X341,TTSSKĐ!AB341,TTSSKĐ!AF341))=5)*(CHOOSE({1,2,3,4},TTSSKĐ!W341,TTSSKĐ!AA341,TTSSKĐ!AE341,TTSSKĐ!AI341)))</f>
        <v>0</v>
      </c>
      <c r="F341">
        <f>SUMPRODUCT((MONTH(CHOOSE({1,2,3,4},TTSSKĐ!T341,TTSSKĐ!X341,TTSSKĐ!AB341,TTSSKĐ!AF341))=6)*(CHOOSE({1,2,3,4},TTSSKĐ!W341,TTSSKĐ!AA341,TTSSKĐ!AE341,TTSSKĐ!AI341)))</f>
        <v>0</v>
      </c>
      <c r="G341">
        <f>SUMPRODUCT((MONTH(CHOOSE({1,2,3,4},TTSSKĐ!T341,TTSSKĐ!X341,TTSSKĐ!AB341,TTSSKĐ!AF341))=7)*(CHOOSE({1,2,3,4},TTSSKĐ!W341,TTSSKĐ!AA341,TTSSKĐ!AE341,TTSSKĐ!AI341)))</f>
        <v>0</v>
      </c>
      <c r="H341">
        <f>SUMPRODUCT((MONTH(CHOOSE({1,2,3,4},TTSSKĐ!T341,TTSSKĐ!X341,TTSSKĐ!AB341,TTSSKĐ!AF341))=8)*(CHOOSE({1,2,3,4},TTSSKĐ!W341,TTSSKĐ!AA341,TTSSKĐ!AE341,TTSSKĐ!AI341)))</f>
        <v>0</v>
      </c>
      <c r="I341">
        <f>SUMPRODUCT((MONTH(CHOOSE({1,2,3,4},TTSSKĐ!T341,TTSSKĐ!X341,TTSSKĐ!AB341,TTSSKĐ!AF341))=9)*(CHOOSE({1,2,3,4},TTSSKĐ!W341,TTSSKĐ!AA341,TTSSKĐ!AE341,TTSSKĐ!AI341)))</f>
        <v>0</v>
      </c>
      <c r="J341">
        <f>SUMPRODUCT((MONTH(CHOOSE({1,2,3,4},TTSSKĐ!T341,TTSSKĐ!X341,TTSSKĐ!AB341,TTSSKĐ!AF341))=10)*(CHOOSE({1,2,3,4},TTSSKĐ!W341,TTSSKĐ!AA341,TTSSKĐ!AE341,TTSSKĐ!AI341)))</f>
        <v>0</v>
      </c>
      <c r="K341">
        <f>SUMPRODUCT((MONTH(CHOOSE({1,2,3,4},TTSSKĐ!T341,TTSSKĐ!X341,TTSSKĐ!AB341,TTSSKĐ!AF341))=11)*(CHOOSE({1,2,3,4},TTSSKĐ!W341,TTSSKĐ!AA341,TTSSKĐ!AE341,TTSSKĐ!AI341)))</f>
        <v>0</v>
      </c>
      <c r="L341">
        <f>SUMPRODUCT((MONTH(CHOOSE({1,2,3,4},TTSSKĐ!T341,TTSSKĐ!X341,TTSSKĐ!AB341,TTSSKĐ!AF341))=12)*(CHOOSE({1,2,3,4},TTSSKĐ!W341,TTSSKĐ!AA341,TTSSKĐ!AE341,TTSSKĐ!AI341)))</f>
        <v>0</v>
      </c>
    </row>
    <row r="342" spans="1:12">
      <c r="A342">
        <f>SUMPRODUCT((MONTH(CHOOSE({1,2,3,4},TTSSKĐ!T342,TTSSKĐ!X342,TTSSKĐ!AB342,TTSSKĐ!AF342))=1)*(CHOOSE({1,2,3,4},TTSSKĐ!W342,TTSSKĐ!AA342,TTSSKĐ!AE342,TTSSKĐ!AI342)))</f>
        <v>0</v>
      </c>
      <c r="B342">
        <f>SUMPRODUCT((MONTH(CHOOSE({1,2,3,4},TTSSKĐ!T342,TTSSKĐ!X342,TTSSKĐ!AB342,TTSSKĐ!AF342))=2)*(CHOOSE({1,2,3,4},TTSSKĐ!W342,TTSSKĐ!AA342,TTSSKĐ!AE342,TTSSKĐ!AI342)))</f>
        <v>0</v>
      </c>
      <c r="C342">
        <f>SUMPRODUCT((MONTH(CHOOSE({1,2,3,4},TTSSKĐ!T342,TTSSKĐ!X342,TTSSKĐ!AB342,TTSSKĐ!AF342))=3)*(CHOOSE({1,2,3,4},TTSSKĐ!W342,TTSSKĐ!AA342,TTSSKĐ!AE342,TTSSKĐ!AI342)))</f>
        <v>0</v>
      </c>
      <c r="D342">
        <f>SUMPRODUCT((MONTH(CHOOSE({1,2,3,4},TTSSKĐ!T342,TTSSKĐ!X342,TTSSKĐ!AB342,TTSSKĐ!AF342))=4)*(CHOOSE({1,2,3,4},TTSSKĐ!W342,TTSSKĐ!AA342,TTSSKĐ!AE342,TTSSKĐ!AI342)))</f>
        <v>0</v>
      </c>
      <c r="E342">
        <f>SUMPRODUCT((MONTH(CHOOSE({1,2,3,4},TTSSKĐ!T342,TTSSKĐ!X342,TTSSKĐ!AB342,TTSSKĐ!AF342))=5)*(CHOOSE({1,2,3,4},TTSSKĐ!W342,TTSSKĐ!AA342,TTSSKĐ!AE342,TTSSKĐ!AI342)))</f>
        <v>0</v>
      </c>
      <c r="F342">
        <f>SUMPRODUCT((MONTH(CHOOSE({1,2,3,4},TTSSKĐ!T342,TTSSKĐ!X342,TTSSKĐ!AB342,TTSSKĐ!AF342))=6)*(CHOOSE({1,2,3,4},TTSSKĐ!W342,TTSSKĐ!AA342,TTSSKĐ!AE342,TTSSKĐ!AI342)))</f>
        <v>0</v>
      </c>
      <c r="G342">
        <f>SUMPRODUCT((MONTH(CHOOSE({1,2,3,4},TTSSKĐ!T342,TTSSKĐ!X342,TTSSKĐ!AB342,TTSSKĐ!AF342))=7)*(CHOOSE({1,2,3,4},TTSSKĐ!W342,TTSSKĐ!AA342,TTSSKĐ!AE342,TTSSKĐ!AI342)))</f>
        <v>0</v>
      </c>
      <c r="H342">
        <f>SUMPRODUCT((MONTH(CHOOSE({1,2,3,4},TTSSKĐ!T342,TTSSKĐ!X342,TTSSKĐ!AB342,TTSSKĐ!AF342))=8)*(CHOOSE({1,2,3,4},TTSSKĐ!W342,TTSSKĐ!AA342,TTSSKĐ!AE342,TTSSKĐ!AI342)))</f>
        <v>0</v>
      </c>
      <c r="I342">
        <f>SUMPRODUCT((MONTH(CHOOSE({1,2,3,4},TTSSKĐ!T342,TTSSKĐ!X342,TTSSKĐ!AB342,TTSSKĐ!AF342))=9)*(CHOOSE({1,2,3,4},TTSSKĐ!W342,TTSSKĐ!AA342,TTSSKĐ!AE342,TTSSKĐ!AI342)))</f>
        <v>0</v>
      </c>
      <c r="J342">
        <f>SUMPRODUCT((MONTH(CHOOSE({1,2,3,4},TTSSKĐ!T342,TTSSKĐ!X342,TTSSKĐ!AB342,TTSSKĐ!AF342))=10)*(CHOOSE({1,2,3,4},TTSSKĐ!W342,TTSSKĐ!AA342,TTSSKĐ!AE342,TTSSKĐ!AI342)))</f>
        <v>0</v>
      </c>
      <c r="K342">
        <f>SUMPRODUCT((MONTH(CHOOSE({1,2,3,4},TTSSKĐ!T342,TTSSKĐ!X342,TTSSKĐ!AB342,TTSSKĐ!AF342))=11)*(CHOOSE({1,2,3,4},TTSSKĐ!W342,TTSSKĐ!AA342,TTSSKĐ!AE342,TTSSKĐ!AI342)))</f>
        <v>0</v>
      </c>
      <c r="L342">
        <f>SUMPRODUCT((MONTH(CHOOSE({1,2,3,4},TTSSKĐ!T342,TTSSKĐ!X342,TTSSKĐ!AB342,TTSSKĐ!AF342))=12)*(CHOOSE({1,2,3,4},TTSSKĐ!W342,TTSSKĐ!AA342,TTSSKĐ!AE342,TTSSKĐ!AI342)))</f>
        <v>0</v>
      </c>
    </row>
    <row r="343" spans="1:12">
      <c r="A343">
        <f>SUMPRODUCT((MONTH(CHOOSE({1,2,3,4},TTSSKĐ!T343,TTSSKĐ!X343,TTSSKĐ!AB343,TTSSKĐ!AF343))=1)*(CHOOSE({1,2,3,4},TTSSKĐ!W343,TTSSKĐ!AA343,TTSSKĐ!AE343,TTSSKĐ!AI343)))</f>
        <v>0</v>
      </c>
      <c r="B343">
        <f>SUMPRODUCT((MONTH(CHOOSE({1,2,3,4},TTSSKĐ!T343,TTSSKĐ!X343,TTSSKĐ!AB343,TTSSKĐ!AF343))=2)*(CHOOSE({1,2,3,4},TTSSKĐ!W343,TTSSKĐ!AA343,TTSSKĐ!AE343,TTSSKĐ!AI343)))</f>
        <v>0</v>
      </c>
      <c r="C343">
        <f>SUMPRODUCT((MONTH(CHOOSE({1,2,3,4},TTSSKĐ!T343,TTSSKĐ!X343,TTSSKĐ!AB343,TTSSKĐ!AF343))=3)*(CHOOSE({1,2,3,4},TTSSKĐ!W343,TTSSKĐ!AA343,TTSSKĐ!AE343,TTSSKĐ!AI343)))</f>
        <v>0</v>
      </c>
      <c r="D343">
        <f>SUMPRODUCT((MONTH(CHOOSE({1,2,3,4},TTSSKĐ!T343,TTSSKĐ!X343,TTSSKĐ!AB343,TTSSKĐ!AF343))=4)*(CHOOSE({1,2,3,4},TTSSKĐ!W343,TTSSKĐ!AA343,TTSSKĐ!AE343,TTSSKĐ!AI343)))</f>
        <v>0</v>
      </c>
      <c r="E343">
        <f>SUMPRODUCT((MONTH(CHOOSE({1,2,3,4},TTSSKĐ!T343,TTSSKĐ!X343,TTSSKĐ!AB343,TTSSKĐ!AF343))=5)*(CHOOSE({1,2,3,4},TTSSKĐ!W343,TTSSKĐ!AA343,TTSSKĐ!AE343,TTSSKĐ!AI343)))</f>
        <v>0</v>
      </c>
      <c r="F343">
        <f>SUMPRODUCT((MONTH(CHOOSE({1,2,3,4},TTSSKĐ!T343,TTSSKĐ!X343,TTSSKĐ!AB343,TTSSKĐ!AF343))=6)*(CHOOSE({1,2,3,4},TTSSKĐ!W343,TTSSKĐ!AA343,TTSSKĐ!AE343,TTSSKĐ!AI343)))</f>
        <v>0</v>
      </c>
      <c r="G343">
        <f>SUMPRODUCT((MONTH(CHOOSE({1,2,3,4},TTSSKĐ!T343,TTSSKĐ!X343,TTSSKĐ!AB343,TTSSKĐ!AF343))=7)*(CHOOSE({1,2,3,4},TTSSKĐ!W343,TTSSKĐ!AA343,TTSSKĐ!AE343,TTSSKĐ!AI343)))</f>
        <v>0</v>
      </c>
      <c r="H343">
        <f>SUMPRODUCT((MONTH(CHOOSE({1,2,3,4},TTSSKĐ!T343,TTSSKĐ!X343,TTSSKĐ!AB343,TTSSKĐ!AF343))=8)*(CHOOSE({1,2,3,4},TTSSKĐ!W343,TTSSKĐ!AA343,TTSSKĐ!AE343,TTSSKĐ!AI343)))</f>
        <v>0</v>
      </c>
      <c r="I343">
        <f>SUMPRODUCT((MONTH(CHOOSE({1,2,3,4},TTSSKĐ!T343,TTSSKĐ!X343,TTSSKĐ!AB343,TTSSKĐ!AF343))=9)*(CHOOSE({1,2,3,4},TTSSKĐ!W343,TTSSKĐ!AA343,TTSSKĐ!AE343,TTSSKĐ!AI343)))</f>
        <v>0</v>
      </c>
      <c r="J343">
        <f>SUMPRODUCT((MONTH(CHOOSE({1,2,3,4},TTSSKĐ!T343,TTSSKĐ!X343,TTSSKĐ!AB343,TTSSKĐ!AF343))=10)*(CHOOSE({1,2,3,4},TTSSKĐ!W343,TTSSKĐ!AA343,TTSSKĐ!AE343,TTSSKĐ!AI343)))</f>
        <v>0</v>
      </c>
      <c r="K343">
        <f>SUMPRODUCT((MONTH(CHOOSE({1,2,3,4},TTSSKĐ!T343,TTSSKĐ!X343,TTSSKĐ!AB343,TTSSKĐ!AF343))=11)*(CHOOSE({1,2,3,4},TTSSKĐ!W343,TTSSKĐ!AA343,TTSSKĐ!AE343,TTSSKĐ!AI343)))</f>
        <v>0</v>
      </c>
      <c r="L343">
        <f>SUMPRODUCT((MONTH(CHOOSE({1,2,3,4},TTSSKĐ!T343,TTSSKĐ!X343,TTSSKĐ!AB343,TTSSKĐ!AF343))=12)*(CHOOSE({1,2,3,4},TTSSKĐ!W343,TTSSKĐ!AA343,TTSSKĐ!AE343,TTSSKĐ!AI343)))</f>
        <v>0</v>
      </c>
    </row>
    <row r="344" spans="1:12">
      <c r="A344">
        <f>SUMPRODUCT((MONTH(CHOOSE({1,2,3,4},TTSSKĐ!T344,TTSSKĐ!X344,TTSSKĐ!AB344,TTSSKĐ!AF344))=1)*(CHOOSE({1,2,3,4},TTSSKĐ!W344,TTSSKĐ!AA344,TTSSKĐ!AE344,TTSSKĐ!AI344)))</f>
        <v>0</v>
      </c>
      <c r="B344">
        <f>SUMPRODUCT((MONTH(CHOOSE({1,2,3,4},TTSSKĐ!T344,TTSSKĐ!X344,TTSSKĐ!AB344,TTSSKĐ!AF344))=2)*(CHOOSE({1,2,3,4},TTSSKĐ!W344,TTSSKĐ!AA344,TTSSKĐ!AE344,TTSSKĐ!AI344)))</f>
        <v>0</v>
      </c>
      <c r="C344">
        <f>SUMPRODUCT((MONTH(CHOOSE({1,2,3,4},TTSSKĐ!T344,TTSSKĐ!X344,TTSSKĐ!AB344,TTSSKĐ!AF344))=3)*(CHOOSE({1,2,3,4},TTSSKĐ!W344,TTSSKĐ!AA344,TTSSKĐ!AE344,TTSSKĐ!AI344)))</f>
        <v>0</v>
      </c>
      <c r="D344">
        <f>SUMPRODUCT((MONTH(CHOOSE({1,2,3,4},TTSSKĐ!T344,TTSSKĐ!X344,TTSSKĐ!AB344,TTSSKĐ!AF344))=4)*(CHOOSE({1,2,3,4},TTSSKĐ!W344,TTSSKĐ!AA344,TTSSKĐ!AE344,TTSSKĐ!AI344)))</f>
        <v>0</v>
      </c>
      <c r="E344">
        <f>SUMPRODUCT((MONTH(CHOOSE({1,2,3,4},TTSSKĐ!T344,TTSSKĐ!X344,TTSSKĐ!AB344,TTSSKĐ!AF344))=5)*(CHOOSE({1,2,3,4},TTSSKĐ!W344,TTSSKĐ!AA344,TTSSKĐ!AE344,TTSSKĐ!AI344)))</f>
        <v>0</v>
      </c>
      <c r="F344">
        <f>SUMPRODUCT((MONTH(CHOOSE({1,2,3,4},TTSSKĐ!T344,TTSSKĐ!X344,TTSSKĐ!AB344,TTSSKĐ!AF344))=6)*(CHOOSE({1,2,3,4},TTSSKĐ!W344,TTSSKĐ!AA344,TTSSKĐ!AE344,TTSSKĐ!AI344)))</f>
        <v>0</v>
      </c>
      <c r="G344">
        <f>SUMPRODUCT((MONTH(CHOOSE({1,2,3,4},TTSSKĐ!T344,TTSSKĐ!X344,TTSSKĐ!AB344,TTSSKĐ!AF344))=7)*(CHOOSE({1,2,3,4},TTSSKĐ!W344,TTSSKĐ!AA344,TTSSKĐ!AE344,TTSSKĐ!AI344)))</f>
        <v>0</v>
      </c>
      <c r="H344">
        <f>SUMPRODUCT((MONTH(CHOOSE({1,2,3,4},TTSSKĐ!T344,TTSSKĐ!X344,TTSSKĐ!AB344,TTSSKĐ!AF344))=8)*(CHOOSE({1,2,3,4},TTSSKĐ!W344,TTSSKĐ!AA344,TTSSKĐ!AE344,TTSSKĐ!AI344)))</f>
        <v>0</v>
      </c>
      <c r="I344">
        <f>SUMPRODUCT((MONTH(CHOOSE({1,2,3,4},TTSSKĐ!T344,TTSSKĐ!X344,TTSSKĐ!AB344,TTSSKĐ!AF344))=9)*(CHOOSE({1,2,3,4},TTSSKĐ!W344,TTSSKĐ!AA344,TTSSKĐ!AE344,TTSSKĐ!AI344)))</f>
        <v>0</v>
      </c>
      <c r="J344">
        <f>SUMPRODUCT((MONTH(CHOOSE({1,2,3,4},TTSSKĐ!T344,TTSSKĐ!X344,TTSSKĐ!AB344,TTSSKĐ!AF344))=10)*(CHOOSE({1,2,3,4},TTSSKĐ!W344,TTSSKĐ!AA344,TTSSKĐ!AE344,TTSSKĐ!AI344)))</f>
        <v>0</v>
      </c>
      <c r="K344">
        <f>SUMPRODUCT((MONTH(CHOOSE({1,2,3,4},TTSSKĐ!T344,TTSSKĐ!X344,TTSSKĐ!AB344,TTSSKĐ!AF344))=11)*(CHOOSE({1,2,3,4},TTSSKĐ!W344,TTSSKĐ!AA344,TTSSKĐ!AE344,TTSSKĐ!AI344)))</f>
        <v>0</v>
      </c>
      <c r="L344">
        <f>SUMPRODUCT((MONTH(CHOOSE({1,2,3,4},TTSSKĐ!T344,TTSSKĐ!X344,TTSSKĐ!AB344,TTSSKĐ!AF344))=12)*(CHOOSE({1,2,3,4},TTSSKĐ!W344,TTSSKĐ!AA344,TTSSKĐ!AE344,TTSSKĐ!AI344)))</f>
        <v>0</v>
      </c>
    </row>
    <row r="345" spans="1:12">
      <c r="A345">
        <f>SUMPRODUCT((MONTH(CHOOSE({1,2,3,4},TTSSKĐ!T345,TTSSKĐ!X345,TTSSKĐ!AB345,TTSSKĐ!AF345))=1)*(CHOOSE({1,2,3,4},TTSSKĐ!W345,TTSSKĐ!AA345,TTSSKĐ!AE345,TTSSKĐ!AI345)))</f>
        <v>0</v>
      </c>
      <c r="B345">
        <f>SUMPRODUCT((MONTH(CHOOSE({1,2,3,4},TTSSKĐ!T345,TTSSKĐ!X345,TTSSKĐ!AB345,TTSSKĐ!AF345))=2)*(CHOOSE({1,2,3,4},TTSSKĐ!W345,TTSSKĐ!AA345,TTSSKĐ!AE345,TTSSKĐ!AI345)))</f>
        <v>0</v>
      </c>
      <c r="C345">
        <f>SUMPRODUCT((MONTH(CHOOSE({1,2,3,4},TTSSKĐ!T345,TTSSKĐ!X345,TTSSKĐ!AB345,TTSSKĐ!AF345))=3)*(CHOOSE({1,2,3,4},TTSSKĐ!W345,TTSSKĐ!AA345,TTSSKĐ!AE345,TTSSKĐ!AI345)))</f>
        <v>0</v>
      </c>
      <c r="D345">
        <f>SUMPRODUCT((MONTH(CHOOSE({1,2,3,4},TTSSKĐ!T345,TTSSKĐ!X345,TTSSKĐ!AB345,TTSSKĐ!AF345))=4)*(CHOOSE({1,2,3,4},TTSSKĐ!W345,TTSSKĐ!AA345,TTSSKĐ!AE345,TTSSKĐ!AI345)))</f>
        <v>0</v>
      </c>
      <c r="E345">
        <f>SUMPRODUCT((MONTH(CHOOSE({1,2,3,4},TTSSKĐ!T345,TTSSKĐ!X345,TTSSKĐ!AB345,TTSSKĐ!AF345))=5)*(CHOOSE({1,2,3,4},TTSSKĐ!W345,TTSSKĐ!AA345,TTSSKĐ!AE345,TTSSKĐ!AI345)))</f>
        <v>0</v>
      </c>
      <c r="F345">
        <f>SUMPRODUCT((MONTH(CHOOSE({1,2,3,4},TTSSKĐ!T345,TTSSKĐ!X345,TTSSKĐ!AB345,TTSSKĐ!AF345))=6)*(CHOOSE({1,2,3,4},TTSSKĐ!W345,TTSSKĐ!AA345,TTSSKĐ!AE345,TTSSKĐ!AI345)))</f>
        <v>0</v>
      </c>
      <c r="G345">
        <f>SUMPRODUCT((MONTH(CHOOSE({1,2,3,4},TTSSKĐ!T345,TTSSKĐ!X345,TTSSKĐ!AB345,TTSSKĐ!AF345))=7)*(CHOOSE({1,2,3,4},TTSSKĐ!W345,TTSSKĐ!AA345,TTSSKĐ!AE345,TTSSKĐ!AI345)))</f>
        <v>0</v>
      </c>
      <c r="H345">
        <f>SUMPRODUCT((MONTH(CHOOSE({1,2,3,4},TTSSKĐ!T345,TTSSKĐ!X345,TTSSKĐ!AB345,TTSSKĐ!AF345))=8)*(CHOOSE({1,2,3,4},TTSSKĐ!W345,TTSSKĐ!AA345,TTSSKĐ!AE345,TTSSKĐ!AI345)))</f>
        <v>0</v>
      </c>
      <c r="I345">
        <f>SUMPRODUCT((MONTH(CHOOSE({1,2,3,4},TTSSKĐ!T345,TTSSKĐ!X345,TTSSKĐ!AB345,TTSSKĐ!AF345))=9)*(CHOOSE({1,2,3,4},TTSSKĐ!W345,TTSSKĐ!AA345,TTSSKĐ!AE345,TTSSKĐ!AI345)))</f>
        <v>0</v>
      </c>
      <c r="J345">
        <f>SUMPRODUCT((MONTH(CHOOSE({1,2,3,4},TTSSKĐ!T345,TTSSKĐ!X345,TTSSKĐ!AB345,TTSSKĐ!AF345))=10)*(CHOOSE({1,2,3,4},TTSSKĐ!W345,TTSSKĐ!AA345,TTSSKĐ!AE345,TTSSKĐ!AI345)))</f>
        <v>0</v>
      </c>
      <c r="K345">
        <f>SUMPRODUCT((MONTH(CHOOSE({1,2,3,4},TTSSKĐ!T345,TTSSKĐ!X345,TTSSKĐ!AB345,TTSSKĐ!AF345))=11)*(CHOOSE({1,2,3,4},TTSSKĐ!W345,TTSSKĐ!AA345,TTSSKĐ!AE345,TTSSKĐ!AI345)))</f>
        <v>0</v>
      </c>
      <c r="L345">
        <f>SUMPRODUCT((MONTH(CHOOSE({1,2,3,4},TTSSKĐ!T345,TTSSKĐ!X345,TTSSKĐ!AB345,TTSSKĐ!AF345))=12)*(CHOOSE({1,2,3,4},TTSSKĐ!W345,TTSSKĐ!AA345,TTSSKĐ!AE345,TTSSKĐ!AI345)))</f>
        <v>0</v>
      </c>
    </row>
    <row r="346" spans="1:12">
      <c r="A346">
        <f>SUMPRODUCT((MONTH(CHOOSE({1,2,3,4},TTSSKĐ!T346,TTSSKĐ!X346,TTSSKĐ!AB346,TTSSKĐ!AF346))=1)*(CHOOSE({1,2,3,4},TTSSKĐ!W346,TTSSKĐ!AA346,TTSSKĐ!AE346,TTSSKĐ!AI346)))</f>
        <v>0</v>
      </c>
      <c r="B346">
        <f>SUMPRODUCT((MONTH(CHOOSE({1,2,3,4},TTSSKĐ!T346,TTSSKĐ!X346,TTSSKĐ!AB346,TTSSKĐ!AF346))=2)*(CHOOSE({1,2,3,4},TTSSKĐ!W346,TTSSKĐ!AA346,TTSSKĐ!AE346,TTSSKĐ!AI346)))</f>
        <v>0</v>
      </c>
      <c r="C346">
        <f>SUMPRODUCT((MONTH(CHOOSE({1,2,3,4},TTSSKĐ!T346,TTSSKĐ!X346,TTSSKĐ!AB346,TTSSKĐ!AF346))=3)*(CHOOSE({1,2,3,4},TTSSKĐ!W346,TTSSKĐ!AA346,TTSSKĐ!AE346,TTSSKĐ!AI346)))</f>
        <v>0</v>
      </c>
      <c r="D346">
        <f>SUMPRODUCT((MONTH(CHOOSE({1,2,3,4},TTSSKĐ!T346,TTSSKĐ!X346,TTSSKĐ!AB346,TTSSKĐ!AF346))=4)*(CHOOSE({1,2,3,4},TTSSKĐ!W346,TTSSKĐ!AA346,TTSSKĐ!AE346,TTSSKĐ!AI346)))</f>
        <v>0</v>
      </c>
      <c r="E346">
        <f>SUMPRODUCT((MONTH(CHOOSE({1,2,3,4},TTSSKĐ!T346,TTSSKĐ!X346,TTSSKĐ!AB346,TTSSKĐ!AF346))=5)*(CHOOSE({1,2,3,4},TTSSKĐ!W346,TTSSKĐ!AA346,TTSSKĐ!AE346,TTSSKĐ!AI346)))</f>
        <v>0</v>
      </c>
      <c r="F346">
        <f>SUMPRODUCT((MONTH(CHOOSE({1,2,3,4},TTSSKĐ!T346,TTSSKĐ!X346,TTSSKĐ!AB346,TTSSKĐ!AF346))=6)*(CHOOSE({1,2,3,4},TTSSKĐ!W346,TTSSKĐ!AA346,TTSSKĐ!AE346,TTSSKĐ!AI346)))</f>
        <v>0</v>
      </c>
      <c r="G346">
        <f>SUMPRODUCT((MONTH(CHOOSE({1,2,3,4},TTSSKĐ!T346,TTSSKĐ!X346,TTSSKĐ!AB346,TTSSKĐ!AF346))=7)*(CHOOSE({1,2,3,4},TTSSKĐ!W346,TTSSKĐ!AA346,TTSSKĐ!AE346,TTSSKĐ!AI346)))</f>
        <v>0</v>
      </c>
      <c r="H346">
        <f>SUMPRODUCT((MONTH(CHOOSE({1,2,3,4},TTSSKĐ!T346,TTSSKĐ!X346,TTSSKĐ!AB346,TTSSKĐ!AF346))=8)*(CHOOSE({1,2,3,4},TTSSKĐ!W346,TTSSKĐ!AA346,TTSSKĐ!AE346,TTSSKĐ!AI346)))</f>
        <v>0</v>
      </c>
      <c r="I346">
        <f>SUMPRODUCT((MONTH(CHOOSE({1,2,3,4},TTSSKĐ!T346,TTSSKĐ!X346,TTSSKĐ!AB346,TTSSKĐ!AF346))=9)*(CHOOSE({1,2,3,4},TTSSKĐ!W346,TTSSKĐ!AA346,TTSSKĐ!AE346,TTSSKĐ!AI346)))</f>
        <v>0</v>
      </c>
      <c r="J346">
        <f>SUMPRODUCT((MONTH(CHOOSE({1,2,3,4},TTSSKĐ!T346,TTSSKĐ!X346,TTSSKĐ!AB346,TTSSKĐ!AF346))=10)*(CHOOSE({1,2,3,4},TTSSKĐ!W346,TTSSKĐ!AA346,TTSSKĐ!AE346,TTSSKĐ!AI346)))</f>
        <v>0</v>
      </c>
      <c r="K346">
        <f>SUMPRODUCT((MONTH(CHOOSE({1,2,3,4},TTSSKĐ!T346,TTSSKĐ!X346,TTSSKĐ!AB346,TTSSKĐ!AF346))=11)*(CHOOSE({1,2,3,4},TTSSKĐ!W346,TTSSKĐ!AA346,TTSSKĐ!AE346,TTSSKĐ!AI346)))</f>
        <v>0</v>
      </c>
      <c r="L346">
        <f>SUMPRODUCT((MONTH(CHOOSE({1,2,3,4},TTSSKĐ!T346,TTSSKĐ!X346,TTSSKĐ!AB346,TTSSKĐ!AF346))=12)*(CHOOSE({1,2,3,4},TTSSKĐ!W346,TTSSKĐ!AA346,TTSSKĐ!AE346,TTSSKĐ!AI346)))</f>
        <v>0</v>
      </c>
    </row>
    <row r="347" spans="1:12">
      <c r="A347">
        <f>SUMPRODUCT((MONTH(CHOOSE({1,2,3,4},TTSSKĐ!T347,TTSSKĐ!X347,TTSSKĐ!AB347,TTSSKĐ!AF347))=1)*(CHOOSE({1,2,3,4},TTSSKĐ!W347,TTSSKĐ!AA347,TTSSKĐ!AE347,TTSSKĐ!AI347)))</f>
        <v>0</v>
      </c>
      <c r="B347">
        <f>SUMPRODUCT((MONTH(CHOOSE({1,2,3,4},TTSSKĐ!T347,TTSSKĐ!X347,TTSSKĐ!AB347,TTSSKĐ!AF347))=2)*(CHOOSE({1,2,3,4},TTSSKĐ!W347,TTSSKĐ!AA347,TTSSKĐ!AE347,TTSSKĐ!AI347)))</f>
        <v>0</v>
      </c>
      <c r="C347">
        <f>SUMPRODUCT((MONTH(CHOOSE({1,2,3,4},TTSSKĐ!T347,TTSSKĐ!X347,TTSSKĐ!AB347,TTSSKĐ!AF347))=3)*(CHOOSE({1,2,3,4},TTSSKĐ!W347,TTSSKĐ!AA347,TTSSKĐ!AE347,TTSSKĐ!AI347)))</f>
        <v>0</v>
      </c>
      <c r="D347">
        <f>SUMPRODUCT((MONTH(CHOOSE({1,2,3,4},TTSSKĐ!T347,TTSSKĐ!X347,TTSSKĐ!AB347,TTSSKĐ!AF347))=4)*(CHOOSE({1,2,3,4},TTSSKĐ!W347,TTSSKĐ!AA347,TTSSKĐ!AE347,TTSSKĐ!AI347)))</f>
        <v>0</v>
      </c>
      <c r="E347">
        <f>SUMPRODUCT((MONTH(CHOOSE({1,2,3,4},TTSSKĐ!T347,TTSSKĐ!X347,TTSSKĐ!AB347,TTSSKĐ!AF347))=5)*(CHOOSE({1,2,3,4},TTSSKĐ!W347,TTSSKĐ!AA347,TTSSKĐ!AE347,TTSSKĐ!AI347)))</f>
        <v>0</v>
      </c>
      <c r="F347">
        <f>SUMPRODUCT((MONTH(CHOOSE({1,2,3,4},TTSSKĐ!T347,TTSSKĐ!X347,TTSSKĐ!AB347,TTSSKĐ!AF347))=6)*(CHOOSE({1,2,3,4},TTSSKĐ!W347,TTSSKĐ!AA347,TTSSKĐ!AE347,TTSSKĐ!AI347)))</f>
        <v>0</v>
      </c>
      <c r="G347">
        <f>SUMPRODUCT((MONTH(CHOOSE({1,2,3,4},TTSSKĐ!T347,TTSSKĐ!X347,TTSSKĐ!AB347,TTSSKĐ!AF347))=7)*(CHOOSE({1,2,3,4},TTSSKĐ!W347,TTSSKĐ!AA347,TTSSKĐ!AE347,TTSSKĐ!AI347)))</f>
        <v>0</v>
      </c>
      <c r="H347">
        <f>SUMPRODUCT((MONTH(CHOOSE({1,2,3,4},TTSSKĐ!T347,TTSSKĐ!X347,TTSSKĐ!AB347,TTSSKĐ!AF347))=8)*(CHOOSE({1,2,3,4},TTSSKĐ!W347,TTSSKĐ!AA347,TTSSKĐ!AE347,TTSSKĐ!AI347)))</f>
        <v>0</v>
      </c>
      <c r="I347">
        <f>SUMPRODUCT((MONTH(CHOOSE({1,2,3,4},TTSSKĐ!T347,TTSSKĐ!X347,TTSSKĐ!AB347,TTSSKĐ!AF347))=9)*(CHOOSE({1,2,3,4},TTSSKĐ!W347,TTSSKĐ!AA347,TTSSKĐ!AE347,TTSSKĐ!AI347)))</f>
        <v>0</v>
      </c>
      <c r="J347">
        <f>SUMPRODUCT((MONTH(CHOOSE({1,2,3,4},TTSSKĐ!T347,TTSSKĐ!X347,TTSSKĐ!AB347,TTSSKĐ!AF347))=10)*(CHOOSE({1,2,3,4},TTSSKĐ!W347,TTSSKĐ!AA347,TTSSKĐ!AE347,TTSSKĐ!AI347)))</f>
        <v>0</v>
      </c>
      <c r="K347">
        <f>SUMPRODUCT((MONTH(CHOOSE({1,2,3,4},TTSSKĐ!T347,TTSSKĐ!X347,TTSSKĐ!AB347,TTSSKĐ!AF347))=11)*(CHOOSE({1,2,3,4},TTSSKĐ!W347,TTSSKĐ!AA347,TTSSKĐ!AE347,TTSSKĐ!AI347)))</f>
        <v>0</v>
      </c>
      <c r="L347">
        <f>SUMPRODUCT((MONTH(CHOOSE({1,2,3,4},TTSSKĐ!T347,TTSSKĐ!X347,TTSSKĐ!AB347,TTSSKĐ!AF347))=12)*(CHOOSE({1,2,3,4},TTSSKĐ!W347,TTSSKĐ!AA347,TTSSKĐ!AE347,TTSSKĐ!AI347)))</f>
        <v>0</v>
      </c>
    </row>
    <row r="348" spans="1:12">
      <c r="A348">
        <f>SUMPRODUCT((MONTH(CHOOSE({1,2,3,4},TTSSKĐ!T348,TTSSKĐ!X348,TTSSKĐ!AB348,TTSSKĐ!AF348))=1)*(CHOOSE({1,2,3,4},TTSSKĐ!W348,TTSSKĐ!AA348,TTSSKĐ!AE348,TTSSKĐ!AI348)))</f>
        <v>0</v>
      </c>
      <c r="B348">
        <f>SUMPRODUCT((MONTH(CHOOSE({1,2,3,4},TTSSKĐ!T348,TTSSKĐ!X348,TTSSKĐ!AB348,TTSSKĐ!AF348))=2)*(CHOOSE({1,2,3,4},TTSSKĐ!W348,TTSSKĐ!AA348,TTSSKĐ!AE348,TTSSKĐ!AI348)))</f>
        <v>0</v>
      </c>
      <c r="C348">
        <f>SUMPRODUCT((MONTH(CHOOSE({1,2,3,4},TTSSKĐ!T348,TTSSKĐ!X348,TTSSKĐ!AB348,TTSSKĐ!AF348))=3)*(CHOOSE({1,2,3,4},TTSSKĐ!W348,TTSSKĐ!AA348,TTSSKĐ!AE348,TTSSKĐ!AI348)))</f>
        <v>0</v>
      </c>
      <c r="D348">
        <f>SUMPRODUCT((MONTH(CHOOSE({1,2,3,4},TTSSKĐ!T348,TTSSKĐ!X348,TTSSKĐ!AB348,TTSSKĐ!AF348))=4)*(CHOOSE({1,2,3,4},TTSSKĐ!W348,TTSSKĐ!AA348,TTSSKĐ!AE348,TTSSKĐ!AI348)))</f>
        <v>0</v>
      </c>
      <c r="E348">
        <f>SUMPRODUCT((MONTH(CHOOSE({1,2,3,4},TTSSKĐ!T348,TTSSKĐ!X348,TTSSKĐ!AB348,TTSSKĐ!AF348))=5)*(CHOOSE({1,2,3,4},TTSSKĐ!W348,TTSSKĐ!AA348,TTSSKĐ!AE348,TTSSKĐ!AI348)))</f>
        <v>0</v>
      </c>
      <c r="F348">
        <f>SUMPRODUCT((MONTH(CHOOSE({1,2,3,4},TTSSKĐ!T348,TTSSKĐ!X348,TTSSKĐ!AB348,TTSSKĐ!AF348))=6)*(CHOOSE({1,2,3,4},TTSSKĐ!W348,TTSSKĐ!AA348,TTSSKĐ!AE348,TTSSKĐ!AI348)))</f>
        <v>0</v>
      </c>
      <c r="G348">
        <f>SUMPRODUCT((MONTH(CHOOSE({1,2,3,4},TTSSKĐ!T348,TTSSKĐ!X348,TTSSKĐ!AB348,TTSSKĐ!AF348))=7)*(CHOOSE({1,2,3,4},TTSSKĐ!W348,TTSSKĐ!AA348,TTSSKĐ!AE348,TTSSKĐ!AI348)))</f>
        <v>0</v>
      </c>
      <c r="H348">
        <f>SUMPRODUCT((MONTH(CHOOSE({1,2,3,4},TTSSKĐ!T348,TTSSKĐ!X348,TTSSKĐ!AB348,TTSSKĐ!AF348))=8)*(CHOOSE({1,2,3,4},TTSSKĐ!W348,TTSSKĐ!AA348,TTSSKĐ!AE348,TTSSKĐ!AI348)))</f>
        <v>0</v>
      </c>
      <c r="I348">
        <f>SUMPRODUCT((MONTH(CHOOSE({1,2,3,4},TTSSKĐ!T348,TTSSKĐ!X348,TTSSKĐ!AB348,TTSSKĐ!AF348))=9)*(CHOOSE({1,2,3,4},TTSSKĐ!W348,TTSSKĐ!AA348,TTSSKĐ!AE348,TTSSKĐ!AI348)))</f>
        <v>0</v>
      </c>
      <c r="J348">
        <f>SUMPRODUCT((MONTH(CHOOSE({1,2,3,4},TTSSKĐ!T348,TTSSKĐ!X348,TTSSKĐ!AB348,TTSSKĐ!AF348))=10)*(CHOOSE({1,2,3,4},TTSSKĐ!W348,TTSSKĐ!AA348,TTSSKĐ!AE348,TTSSKĐ!AI348)))</f>
        <v>0</v>
      </c>
      <c r="K348">
        <f>SUMPRODUCT((MONTH(CHOOSE({1,2,3,4},TTSSKĐ!T348,TTSSKĐ!X348,TTSSKĐ!AB348,TTSSKĐ!AF348))=11)*(CHOOSE({1,2,3,4},TTSSKĐ!W348,TTSSKĐ!AA348,TTSSKĐ!AE348,TTSSKĐ!AI348)))</f>
        <v>0</v>
      </c>
      <c r="L348">
        <f>SUMPRODUCT((MONTH(CHOOSE({1,2,3,4},TTSSKĐ!T348,TTSSKĐ!X348,TTSSKĐ!AB348,TTSSKĐ!AF348))=12)*(CHOOSE({1,2,3,4},TTSSKĐ!W348,TTSSKĐ!AA348,TTSSKĐ!AE348,TTSSKĐ!AI348)))</f>
        <v>0</v>
      </c>
    </row>
    <row r="349" spans="1:12">
      <c r="A349">
        <f>SUMPRODUCT((MONTH(CHOOSE({1,2,3,4},TTSSKĐ!T349,TTSSKĐ!X349,TTSSKĐ!AB349,TTSSKĐ!AF349))=1)*(CHOOSE({1,2,3,4},TTSSKĐ!W349,TTSSKĐ!AA349,TTSSKĐ!AE349,TTSSKĐ!AI349)))</f>
        <v>0</v>
      </c>
      <c r="B349">
        <f>SUMPRODUCT((MONTH(CHOOSE({1,2,3,4},TTSSKĐ!T349,TTSSKĐ!X349,TTSSKĐ!AB349,TTSSKĐ!AF349))=2)*(CHOOSE({1,2,3,4},TTSSKĐ!W349,TTSSKĐ!AA349,TTSSKĐ!AE349,TTSSKĐ!AI349)))</f>
        <v>0</v>
      </c>
      <c r="C349">
        <f>SUMPRODUCT((MONTH(CHOOSE({1,2,3,4},TTSSKĐ!T349,TTSSKĐ!X349,TTSSKĐ!AB349,TTSSKĐ!AF349))=3)*(CHOOSE({1,2,3,4},TTSSKĐ!W349,TTSSKĐ!AA349,TTSSKĐ!AE349,TTSSKĐ!AI349)))</f>
        <v>0</v>
      </c>
      <c r="D349">
        <f>SUMPRODUCT((MONTH(CHOOSE({1,2,3,4},TTSSKĐ!T349,TTSSKĐ!X349,TTSSKĐ!AB349,TTSSKĐ!AF349))=4)*(CHOOSE({1,2,3,4},TTSSKĐ!W349,TTSSKĐ!AA349,TTSSKĐ!AE349,TTSSKĐ!AI349)))</f>
        <v>0</v>
      </c>
      <c r="E349">
        <f>SUMPRODUCT((MONTH(CHOOSE({1,2,3,4},TTSSKĐ!T349,TTSSKĐ!X349,TTSSKĐ!AB349,TTSSKĐ!AF349))=5)*(CHOOSE({1,2,3,4},TTSSKĐ!W349,TTSSKĐ!AA349,TTSSKĐ!AE349,TTSSKĐ!AI349)))</f>
        <v>0</v>
      </c>
      <c r="F349">
        <f>SUMPRODUCT((MONTH(CHOOSE({1,2,3,4},TTSSKĐ!T349,TTSSKĐ!X349,TTSSKĐ!AB349,TTSSKĐ!AF349))=6)*(CHOOSE({1,2,3,4},TTSSKĐ!W349,TTSSKĐ!AA349,TTSSKĐ!AE349,TTSSKĐ!AI349)))</f>
        <v>0</v>
      </c>
      <c r="G349">
        <f>SUMPRODUCT((MONTH(CHOOSE({1,2,3,4},TTSSKĐ!T349,TTSSKĐ!X349,TTSSKĐ!AB349,TTSSKĐ!AF349))=7)*(CHOOSE({1,2,3,4},TTSSKĐ!W349,TTSSKĐ!AA349,TTSSKĐ!AE349,TTSSKĐ!AI349)))</f>
        <v>0</v>
      </c>
      <c r="H349">
        <f>SUMPRODUCT((MONTH(CHOOSE({1,2,3,4},TTSSKĐ!T349,TTSSKĐ!X349,TTSSKĐ!AB349,TTSSKĐ!AF349))=8)*(CHOOSE({1,2,3,4},TTSSKĐ!W349,TTSSKĐ!AA349,TTSSKĐ!AE349,TTSSKĐ!AI349)))</f>
        <v>0</v>
      </c>
      <c r="I349">
        <f>SUMPRODUCT((MONTH(CHOOSE({1,2,3,4},TTSSKĐ!T349,TTSSKĐ!X349,TTSSKĐ!AB349,TTSSKĐ!AF349))=9)*(CHOOSE({1,2,3,4},TTSSKĐ!W349,TTSSKĐ!AA349,TTSSKĐ!AE349,TTSSKĐ!AI349)))</f>
        <v>0</v>
      </c>
      <c r="J349">
        <f>SUMPRODUCT((MONTH(CHOOSE({1,2,3,4},TTSSKĐ!T349,TTSSKĐ!X349,TTSSKĐ!AB349,TTSSKĐ!AF349))=10)*(CHOOSE({1,2,3,4},TTSSKĐ!W349,TTSSKĐ!AA349,TTSSKĐ!AE349,TTSSKĐ!AI349)))</f>
        <v>0</v>
      </c>
      <c r="K349">
        <f>SUMPRODUCT((MONTH(CHOOSE({1,2,3,4},TTSSKĐ!T349,TTSSKĐ!X349,TTSSKĐ!AB349,TTSSKĐ!AF349))=11)*(CHOOSE({1,2,3,4},TTSSKĐ!W349,TTSSKĐ!AA349,TTSSKĐ!AE349,TTSSKĐ!AI349)))</f>
        <v>0</v>
      </c>
      <c r="L349">
        <f>SUMPRODUCT((MONTH(CHOOSE({1,2,3,4},TTSSKĐ!T349,TTSSKĐ!X349,TTSSKĐ!AB349,TTSSKĐ!AF349))=12)*(CHOOSE({1,2,3,4},TTSSKĐ!W349,TTSSKĐ!AA349,TTSSKĐ!AE349,TTSSKĐ!AI349)))</f>
        <v>0</v>
      </c>
    </row>
    <row r="350" spans="1:12">
      <c r="A350">
        <f>SUMPRODUCT((MONTH(CHOOSE({1,2,3,4},TTSSKĐ!T350,TTSSKĐ!X350,TTSSKĐ!AB350,TTSSKĐ!AF350))=1)*(CHOOSE({1,2,3,4},TTSSKĐ!W350,TTSSKĐ!AA350,TTSSKĐ!AE350,TTSSKĐ!AI350)))</f>
        <v>0</v>
      </c>
      <c r="B350">
        <f>SUMPRODUCT((MONTH(CHOOSE({1,2,3,4},TTSSKĐ!T350,TTSSKĐ!X350,TTSSKĐ!AB350,TTSSKĐ!AF350))=2)*(CHOOSE({1,2,3,4},TTSSKĐ!W350,TTSSKĐ!AA350,TTSSKĐ!AE350,TTSSKĐ!AI350)))</f>
        <v>0</v>
      </c>
      <c r="C350">
        <f>SUMPRODUCT((MONTH(CHOOSE({1,2,3,4},TTSSKĐ!T350,TTSSKĐ!X350,TTSSKĐ!AB350,TTSSKĐ!AF350))=3)*(CHOOSE({1,2,3,4},TTSSKĐ!W350,TTSSKĐ!AA350,TTSSKĐ!AE350,TTSSKĐ!AI350)))</f>
        <v>0</v>
      </c>
      <c r="D350">
        <f>SUMPRODUCT((MONTH(CHOOSE({1,2,3,4},TTSSKĐ!T350,TTSSKĐ!X350,TTSSKĐ!AB350,TTSSKĐ!AF350))=4)*(CHOOSE({1,2,3,4},TTSSKĐ!W350,TTSSKĐ!AA350,TTSSKĐ!AE350,TTSSKĐ!AI350)))</f>
        <v>0</v>
      </c>
      <c r="E350">
        <f>SUMPRODUCT((MONTH(CHOOSE({1,2,3,4},TTSSKĐ!T350,TTSSKĐ!X350,TTSSKĐ!AB350,TTSSKĐ!AF350))=5)*(CHOOSE({1,2,3,4},TTSSKĐ!W350,TTSSKĐ!AA350,TTSSKĐ!AE350,TTSSKĐ!AI350)))</f>
        <v>0</v>
      </c>
      <c r="F350">
        <f>SUMPRODUCT((MONTH(CHOOSE({1,2,3,4},TTSSKĐ!T350,TTSSKĐ!X350,TTSSKĐ!AB350,TTSSKĐ!AF350))=6)*(CHOOSE({1,2,3,4},TTSSKĐ!W350,TTSSKĐ!AA350,TTSSKĐ!AE350,TTSSKĐ!AI350)))</f>
        <v>0</v>
      </c>
      <c r="G350">
        <f>SUMPRODUCT((MONTH(CHOOSE({1,2,3,4},TTSSKĐ!T350,TTSSKĐ!X350,TTSSKĐ!AB350,TTSSKĐ!AF350))=7)*(CHOOSE({1,2,3,4},TTSSKĐ!W350,TTSSKĐ!AA350,TTSSKĐ!AE350,TTSSKĐ!AI350)))</f>
        <v>0</v>
      </c>
      <c r="H350">
        <f>SUMPRODUCT((MONTH(CHOOSE({1,2,3,4},TTSSKĐ!T350,TTSSKĐ!X350,TTSSKĐ!AB350,TTSSKĐ!AF350))=8)*(CHOOSE({1,2,3,4},TTSSKĐ!W350,TTSSKĐ!AA350,TTSSKĐ!AE350,TTSSKĐ!AI350)))</f>
        <v>0</v>
      </c>
      <c r="I350">
        <f>SUMPRODUCT((MONTH(CHOOSE({1,2,3,4},TTSSKĐ!T350,TTSSKĐ!X350,TTSSKĐ!AB350,TTSSKĐ!AF350))=9)*(CHOOSE({1,2,3,4},TTSSKĐ!W350,TTSSKĐ!AA350,TTSSKĐ!AE350,TTSSKĐ!AI350)))</f>
        <v>0</v>
      </c>
      <c r="J350">
        <f>SUMPRODUCT((MONTH(CHOOSE({1,2,3,4},TTSSKĐ!T350,TTSSKĐ!X350,TTSSKĐ!AB350,TTSSKĐ!AF350))=10)*(CHOOSE({1,2,3,4},TTSSKĐ!W350,TTSSKĐ!AA350,TTSSKĐ!AE350,TTSSKĐ!AI350)))</f>
        <v>0</v>
      </c>
      <c r="K350">
        <f>SUMPRODUCT((MONTH(CHOOSE({1,2,3,4},TTSSKĐ!T350,TTSSKĐ!X350,TTSSKĐ!AB350,TTSSKĐ!AF350))=11)*(CHOOSE({1,2,3,4},TTSSKĐ!W350,TTSSKĐ!AA350,TTSSKĐ!AE350,TTSSKĐ!AI350)))</f>
        <v>0</v>
      </c>
      <c r="L350">
        <f>SUMPRODUCT((MONTH(CHOOSE({1,2,3,4},TTSSKĐ!T350,TTSSKĐ!X350,TTSSKĐ!AB350,TTSSKĐ!AF350))=12)*(CHOOSE({1,2,3,4},TTSSKĐ!W350,TTSSKĐ!AA350,TTSSKĐ!AE350,TTSSKĐ!AI350)))</f>
        <v>0</v>
      </c>
    </row>
    <row r="351" spans="1:12">
      <c r="A351">
        <f>SUMPRODUCT((MONTH(CHOOSE({1,2,3,4},TTSSKĐ!T351,TTSSKĐ!X351,TTSSKĐ!AB351,TTSSKĐ!AF351))=1)*(CHOOSE({1,2,3,4},TTSSKĐ!W351,TTSSKĐ!AA351,TTSSKĐ!AE351,TTSSKĐ!AI351)))</f>
        <v>0</v>
      </c>
      <c r="B351">
        <f>SUMPRODUCT((MONTH(CHOOSE({1,2,3,4},TTSSKĐ!T351,TTSSKĐ!X351,TTSSKĐ!AB351,TTSSKĐ!AF351))=2)*(CHOOSE({1,2,3,4},TTSSKĐ!W351,TTSSKĐ!AA351,TTSSKĐ!AE351,TTSSKĐ!AI351)))</f>
        <v>0</v>
      </c>
      <c r="C351">
        <f>SUMPRODUCT((MONTH(CHOOSE({1,2,3,4},TTSSKĐ!T351,TTSSKĐ!X351,TTSSKĐ!AB351,TTSSKĐ!AF351))=3)*(CHOOSE({1,2,3,4},TTSSKĐ!W351,TTSSKĐ!AA351,TTSSKĐ!AE351,TTSSKĐ!AI351)))</f>
        <v>0</v>
      </c>
      <c r="D351">
        <f>SUMPRODUCT((MONTH(CHOOSE({1,2,3,4},TTSSKĐ!T351,TTSSKĐ!X351,TTSSKĐ!AB351,TTSSKĐ!AF351))=4)*(CHOOSE({1,2,3,4},TTSSKĐ!W351,TTSSKĐ!AA351,TTSSKĐ!AE351,TTSSKĐ!AI351)))</f>
        <v>0</v>
      </c>
      <c r="E351">
        <f>SUMPRODUCT((MONTH(CHOOSE({1,2,3,4},TTSSKĐ!T351,TTSSKĐ!X351,TTSSKĐ!AB351,TTSSKĐ!AF351))=5)*(CHOOSE({1,2,3,4},TTSSKĐ!W351,TTSSKĐ!AA351,TTSSKĐ!AE351,TTSSKĐ!AI351)))</f>
        <v>0</v>
      </c>
      <c r="F351">
        <f>SUMPRODUCT((MONTH(CHOOSE({1,2,3,4},TTSSKĐ!T351,TTSSKĐ!X351,TTSSKĐ!AB351,TTSSKĐ!AF351))=6)*(CHOOSE({1,2,3,4},TTSSKĐ!W351,TTSSKĐ!AA351,TTSSKĐ!AE351,TTSSKĐ!AI351)))</f>
        <v>0</v>
      </c>
      <c r="G351">
        <f>SUMPRODUCT((MONTH(CHOOSE({1,2,3,4},TTSSKĐ!T351,TTSSKĐ!X351,TTSSKĐ!AB351,TTSSKĐ!AF351))=7)*(CHOOSE({1,2,3,4},TTSSKĐ!W351,TTSSKĐ!AA351,TTSSKĐ!AE351,TTSSKĐ!AI351)))</f>
        <v>0</v>
      </c>
      <c r="H351">
        <f>SUMPRODUCT((MONTH(CHOOSE({1,2,3,4},TTSSKĐ!T351,TTSSKĐ!X351,TTSSKĐ!AB351,TTSSKĐ!AF351))=8)*(CHOOSE({1,2,3,4},TTSSKĐ!W351,TTSSKĐ!AA351,TTSSKĐ!AE351,TTSSKĐ!AI351)))</f>
        <v>0</v>
      </c>
      <c r="I351">
        <f>SUMPRODUCT((MONTH(CHOOSE({1,2,3,4},TTSSKĐ!T351,TTSSKĐ!X351,TTSSKĐ!AB351,TTSSKĐ!AF351))=9)*(CHOOSE({1,2,3,4},TTSSKĐ!W351,TTSSKĐ!AA351,TTSSKĐ!AE351,TTSSKĐ!AI351)))</f>
        <v>0</v>
      </c>
      <c r="J351">
        <f>SUMPRODUCT((MONTH(CHOOSE({1,2,3,4},TTSSKĐ!T351,TTSSKĐ!X351,TTSSKĐ!AB351,TTSSKĐ!AF351))=10)*(CHOOSE({1,2,3,4},TTSSKĐ!W351,TTSSKĐ!AA351,TTSSKĐ!AE351,TTSSKĐ!AI351)))</f>
        <v>0</v>
      </c>
      <c r="K351">
        <f>SUMPRODUCT((MONTH(CHOOSE({1,2,3,4},TTSSKĐ!T351,TTSSKĐ!X351,TTSSKĐ!AB351,TTSSKĐ!AF351))=11)*(CHOOSE({1,2,3,4},TTSSKĐ!W351,TTSSKĐ!AA351,TTSSKĐ!AE351,TTSSKĐ!AI351)))</f>
        <v>0</v>
      </c>
      <c r="L351">
        <f>SUMPRODUCT((MONTH(CHOOSE({1,2,3,4},TTSSKĐ!T351,TTSSKĐ!X351,TTSSKĐ!AB351,TTSSKĐ!AF351))=12)*(CHOOSE({1,2,3,4},TTSSKĐ!W351,TTSSKĐ!AA351,TTSSKĐ!AE351,TTSSKĐ!AI351)))</f>
        <v>0</v>
      </c>
    </row>
    <row r="352" spans="1:12">
      <c r="A352">
        <f>SUMPRODUCT((MONTH(CHOOSE({1,2,3,4},TTSSKĐ!T352,TTSSKĐ!X352,TTSSKĐ!AB352,TTSSKĐ!AF352))=1)*(CHOOSE({1,2,3,4},TTSSKĐ!W352,TTSSKĐ!AA352,TTSSKĐ!AE352,TTSSKĐ!AI352)))</f>
        <v>0</v>
      </c>
      <c r="B352">
        <f>SUMPRODUCT((MONTH(CHOOSE({1,2,3,4},TTSSKĐ!T352,TTSSKĐ!X352,TTSSKĐ!AB352,TTSSKĐ!AF352))=2)*(CHOOSE({1,2,3,4},TTSSKĐ!W352,TTSSKĐ!AA352,TTSSKĐ!AE352,TTSSKĐ!AI352)))</f>
        <v>0</v>
      </c>
      <c r="C352">
        <f>SUMPRODUCT((MONTH(CHOOSE({1,2,3,4},TTSSKĐ!T352,TTSSKĐ!X352,TTSSKĐ!AB352,TTSSKĐ!AF352))=3)*(CHOOSE({1,2,3,4},TTSSKĐ!W352,TTSSKĐ!AA352,TTSSKĐ!AE352,TTSSKĐ!AI352)))</f>
        <v>0</v>
      </c>
      <c r="D352">
        <f>SUMPRODUCT((MONTH(CHOOSE({1,2,3,4},TTSSKĐ!T352,TTSSKĐ!X352,TTSSKĐ!AB352,TTSSKĐ!AF352))=4)*(CHOOSE({1,2,3,4},TTSSKĐ!W352,TTSSKĐ!AA352,TTSSKĐ!AE352,TTSSKĐ!AI352)))</f>
        <v>0</v>
      </c>
      <c r="E352">
        <f>SUMPRODUCT((MONTH(CHOOSE({1,2,3,4},TTSSKĐ!T352,TTSSKĐ!X352,TTSSKĐ!AB352,TTSSKĐ!AF352))=5)*(CHOOSE({1,2,3,4},TTSSKĐ!W352,TTSSKĐ!AA352,TTSSKĐ!AE352,TTSSKĐ!AI352)))</f>
        <v>0</v>
      </c>
      <c r="F352">
        <f>SUMPRODUCT((MONTH(CHOOSE({1,2,3,4},TTSSKĐ!T352,TTSSKĐ!X352,TTSSKĐ!AB352,TTSSKĐ!AF352))=6)*(CHOOSE({1,2,3,4},TTSSKĐ!W352,TTSSKĐ!AA352,TTSSKĐ!AE352,TTSSKĐ!AI352)))</f>
        <v>0</v>
      </c>
      <c r="G352">
        <f>SUMPRODUCT((MONTH(CHOOSE({1,2,3,4},TTSSKĐ!T352,TTSSKĐ!X352,TTSSKĐ!AB352,TTSSKĐ!AF352))=7)*(CHOOSE({1,2,3,4},TTSSKĐ!W352,TTSSKĐ!AA352,TTSSKĐ!AE352,TTSSKĐ!AI352)))</f>
        <v>0</v>
      </c>
      <c r="H352">
        <f>SUMPRODUCT((MONTH(CHOOSE({1,2,3,4},TTSSKĐ!T352,TTSSKĐ!X352,TTSSKĐ!AB352,TTSSKĐ!AF352))=8)*(CHOOSE({1,2,3,4},TTSSKĐ!W352,TTSSKĐ!AA352,TTSSKĐ!AE352,TTSSKĐ!AI352)))</f>
        <v>0</v>
      </c>
      <c r="I352">
        <f>SUMPRODUCT((MONTH(CHOOSE({1,2,3,4},TTSSKĐ!T352,TTSSKĐ!X352,TTSSKĐ!AB352,TTSSKĐ!AF352))=9)*(CHOOSE({1,2,3,4},TTSSKĐ!W352,TTSSKĐ!AA352,TTSSKĐ!AE352,TTSSKĐ!AI352)))</f>
        <v>0</v>
      </c>
      <c r="J352">
        <f>SUMPRODUCT((MONTH(CHOOSE({1,2,3,4},TTSSKĐ!T352,TTSSKĐ!X352,TTSSKĐ!AB352,TTSSKĐ!AF352))=10)*(CHOOSE({1,2,3,4},TTSSKĐ!W352,TTSSKĐ!AA352,TTSSKĐ!AE352,TTSSKĐ!AI352)))</f>
        <v>0</v>
      </c>
      <c r="K352">
        <f>SUMPRODUCT((MONTH(CHOOSE({1,2,3,4},TTSSKĐ!T352,TTSSKĐ!X352,TTSSKĐ!AB352,TTSSKĐ!AF352))=11)*(CHOOSE({1,2,3,4},TTSSKĐ!W352,TTSSKĐ!AA352,TTSSKĐ!AE352,TTSSKĐ!AI352)))</f>
        <v>0</v>
      </c>
      <c r="L352">
        <f>SUMPRODUCT((MONTH(CHOOSE({1,2,3,4},TTSSKĐ!T352,TTSSKĐ!X352,TTSSKĐ!AB352,TTSSKĐ!AF352))=12)*(CHOOSE({1,2,3,4},TTSSKĐ!W352,TTSSKĐ!AA352,TTSSKĐ!AE352,TTSSKĐ!AI352)))</f>
        <v>0</v>
      </c>
    </row>
    <row r="353" spans="1:12">
      <c r="A353">
        <f>SUMPRODUCT((MONTH(CHOOSE({1,2,3,4},TTSSKĐ!T353,TTSSKĐ!X353,TTSSKĐ!AB353,TTSSKĐ!AF353))=1)*(CHOOSE({1,2,3,4},TTSSKĐ!W353,TTSSKĐ!AA353,TTSSKĐ!AE353,TTSSKĐ!AI353)))</f>
        <v>0</v>
      </c>
      <c r="B353">
        <f>SUMPRODUCT((MONTH(CHOOSE({1,2,3,4},TTSSKĐ!T353,TTSSKĐ!X353,TTSSKĐ!AB353,TTSSKĐ!AF353))=2)*(CHOOSE({1,2,3,4},TTSSKĐ!W353,TTSSKĐ!AA353,TTSSKĐ!AE353,TTSSKĐ!AI353)))</f>
        <v>0</v>
      </c>
      <c r="C353">
        <f>SUMPRODUCT((MONTH(CHOOSE({1,2,3,4},TTSSKĐ!T353,TTSSKĐ!X353,TTSSKĐ!AB353,TTSSKĐ!AF353))=3)*(CHOOSE({1,2,3,4},TTSSKĐ!W353,TTSSKĐ!AA353,TTSSKĐ!AE353,TTSSKĐ!AI353)))</f>
        <v>0</v>
      </c>
      <c r="D353">
        <f>SUMPRODUCT((MONTH(CHOOSE({1,2,3,4},TTSSKĐ!T353,TTSSKĐ!X353,TTSSKĐ!AB353,TTSSKĐ!AF353))=4)*(CHOOSE({1,2,3,4},TTSSKĐ!W353,TTSSKĐ!AA353,TTSSKĐ!AE353,TTSSKĐ!AI353)))</f>
        <v>0</v>
      </c>
      <c r="E353">
        <f>SUMPRODUCT((MONTH(CHOOSE({1,2,3,4},TTSSKĐ!T353,TTSSKĐ!X353,TTSSKĐ!AB353,TTSSKĐ!AF353))=5)*(CHOOSE({1,2,3,4},TTSSKĐ!W353,TTSSKĐ!AA353,TTSSKĐ!AE353,TTSSKĐ!AI353)))</f>
        <v>0</v>
      </c>
      <c r="F353">
        <f>SUMPRODUCT((MONTH(CHOOSE({1,2,3,4},TTSSKĐ!T353,TTSSKĐ!X353,TTSSKĐ!AB353,TTSSKĐ!AF353))=6)*(CHOOSE({1,2,3,4},TTSSKĐ!W353,TTSSKĐ!AA353,TTSSKĐ!AE353,TTSSKĐ!AI353)))</f>
        <v>0</v>
      </c>
      <c r="G353">
        <f>SUMPRODUCT((MONTH(CHOOSE({1,2,3,4},TTSSKĐ!T353,TTSSKĐ!X353,TTSSKĐ!AB353,TTSSKĐ!AF353))=7)*(CHOOSE({1,2,3,4},TTSSKĐ!W353,TTSSKĐ!AA353,TTSSKĐ!AE353,TTSSKĐ!AI353)))</f>
        <v>0</v>
      </c>
      <c r="H353">
        <f>SUMPRODUCT((MONTH(CHOOSE({1,2,3,4},TTSSKĐ!T353,TTSSKĐ!X353,TTSSKĐ!AB353,TTSSKĐ!AF353))=8)*(CHOOSE({1,2,3,4},TTSSKĐ!W353,TTSSKĐ!AA353,TTSSKĐ!AE353,TTSSKĐ!AI353)))</f>
        <v>0</v>
      </c>
      <c r="I353">
        <f>SUMPRODUCT((MONTH(CHOOSE({1,2,3,4},TTSSKĐ!T353,TTSSKĐ!X353,TTSSKĐ!AB353,TTSSKĐ!AF353))=9)*(CHOOSE({1,2,3,4},TTSSKĐ!W353,TTSSKĐ!AA353,TTSSKĐ!AE353,TTSSKĐ!AI353)))</f>
        <v>0</v>
      </c>
      <c r="J353">
        <f>SUMPRODUCT((MONTH(CHOOSE({1,2,3,4},TTSSKĐ!T353,TTSSKĐ!X353,TTSSKĐ!AB353,TTSSKĐ!AF353))=10)*(CHOOSE({1,2,3,4},TTSSKĐ!W353,TTSSKĐ!AA353,TTSSKĐ!AE353,TTSSKĐ!AI353)))</f>
        <v>0</v>
      </c>
      <c r="K353">
        <f>SUMPRODUCT((MONTH(CHOOSE({1,2,3,4},TTSSKĐ!T353,TTSSKĐ!X353,TTSSKĐ!AB353,TTSSKĐ!AF353))=11)*(CHOOSE({1,2,3,4},TTSSKĐ!W353,TTSSKĐ!AA353,TTSSKĐ!AE353,TTSSKĐ!AI353)))</f>
        <v>0</v>
      </c>
      <c r="L353">
        <f>SUMPRODUCT((MONTH(CHOOSE({1,2,3,4},TTSSKĐ!T353,TTSSKĐ!X353,TTSSKĐ!AB353,TTSSKĐ!AF353))=12)*(CHOOSE({1,2,3,4},TTSSKĐ!W353,TTSSKĐ!AA353,TTSSKĐ!AE353,TTSSKĐ!AI353)))</f>
        <v>0</v>
      </c>
    </row>
    <row r="354" spans="1:12">
      <c r="A354">
        <f>SUMPRODUCT((MONTH(CHOOSE({1,2,3,4},TTSSKĐ!T354,TTSSKĐ!X354,TTSSKĐ!AB354,TTSSKĐ!AF354))=1)*(CHOOSE({1,2,3,4},TTSSKĐ!W354,TTSSKĐ!AA354,TTSSKĐ!AE354,TTSSKĐ!AI354)))</f>
        <v>0</v>
      </c>
      <c r="B354">
        <f>SUMPRODUCT((MONTH(CHOOSE({1,2,3,4},TTSSKĐ!T354,TTSSKĐ!X354,TTSSKĐ!AB354,TTSSKĐ!AF354))=2)*(CHOOSE({1,2,3,4},TTSSKĐ!W354,TTSSKĐ!AA354,TTSSKĐ!AE354,TTSSKĐ!AI354)))</f>
        <v>0</v>
      </c>
      <c r="C354">
        <f>SUMPRODUCT((MONTH(CHOOSE({1,2,3,4},TTSSKĐ!T354,TTSSKĐ!X354,TTSSKĐ!AB354,TTSSKĐ!AF354))=3)*(CHOOSE({1,2,3,4},TTSSKĐ!W354,TTSSKĐ!AA354,TTSSKĐ!AE354,TTSSKĐ!AI354)))</f>
        <v>0</v>
      </c>
      <c r="D354">
        <f>SUMPRODUCT((MONTH(CHOOSE({1,2,3,4},TTSSKĐ!T354,TTSSKĐ!X354,TTSSKĐ!AB354,TTSSKĐ!AF354))=4)*(CHOOSE({1,2,3,4},TTSSKĐ!W354,TTSSKĐ!AA354,TTSSKĐ!AE354,TTSSKĐ!AI354)))</f>
        <v>0</v>
      </c>
      <c r="E354">
        <f>SUMPRODUCT((MONTH(CHOOSE({1,2,3,4},TTSSKĐ!T354,TTSSKĐ!X354,TTSSKĐ!AB354,TTSSKĐ!AF354))=5)*(CHOOSE({1,2,3,4},TTSSKĐ!W354,TTSSKĐ!AA354,TTSSKĐ!AE354,TTSSKĐ!AI354)))</f>
        <v>0</v>
      </c>
      <c r="F354">
        <f>SUMPRODUCT((MONTH(CHOOSE({1,2,3,4},TTSSKĐ!T354,TTSSKĐ!X354,TTSSKĐ!AB354,TTSSKĐ!AF354))=6)*(CHOOSE({1,2,3,4},TTSSKĐ!W354,TTSSKĐ!AA354,TTSSKĐ!AE354,TTSSKĐ!AI354)))</f>
        <v>0</v>
      </c>
      <c r="G354">
        <f>SUMPRODUCT((MONTH(CHOOSE({1,2,3,4},TTSSKĐ!T354,TTSSKĐ!X354,TTSSKĐ!AB354,TTSSKĐ!AF354))=7)*(CHOOSE({1,2,3,4},TTSSKĐ!W354,TTSSKĐ!AA354,TTSSKĐ!AE354,TTSSKĐ!AI354)))</f>
        <v>0</v>
      </c>
      <c r="H354">
        <f>SUMPRODUCT((MONTH(CHOOSE({1,2,3,4},TTSSKĐ!T354,TTSSKĐ!X354,TTSSKĐ!AB354,TTSSKĐ!AF354))=8)*(CHOOSE({1,2,3,4},TTSSKĐ!W354,TTSSKĐ!AA354,TTSSKĐ!AE354,TTSSKĐ!AI354)))</f>
        <v>0</v>
      </c>
      <c r="I354">
        <f>SUMPRODUCT((MONTH(CHOOSE({1,2,3,4},TTSSKĐ!T354,TTSSKĐ!X354,TTSSKĐ!AB354,TTSSKĐ!AF354))=9)*(CHOOSE({1,2,3,4},TTSSKĐ!W354,TTSSKĐ!AA354,TTSSKĐ!AE354,TTSSKĐ!AI354)))</f>
        <v>0</v>
      </c>
      <c r="J354">
        <f>SUMPRODUCT((MONTH(CHOOSE({1,2,3,4},TTSSKĐ!T354,TTSSKĐ!X354,TTSSKĐ!AB354,TTSSKĐ!AF354))=10)*(CHOOSE({1,2,3,4},TTSSKĐ!W354,TTSSKĐ!AA354,TTSSKĐ!AE354,TTSSKĐ!AI354)))</f>
        <v>0</v>
      </c>
      <c r="K354">
        <f>SUMPRODUCT((MONTH(CHOOSE({1,2,3,4},TTSSKĐ!T354,TTSSKĐ!X354,TTSSKĐ!AB354,TTSSKĐ!AF354))=11)*(CHOOSE({1,2,3,4},TTSSKĐ!W354,TTSSKĐ!AA354,TTSSKĐ!AE354,TTSSKĐ!AI354)))</f>
        <v>0</v>
      </c>
      <c r="L354">
        <f>SUMPRODUCT((MONTH(CHOOSE({1,2,3,4},TTSSKĐ!T354,TTSSKĐ!X354,TTSSKĐ!AB354,TTSSKĐ!AF354))=12)*(CHOOSE({1,2,3,4},TTSSKĐ!W354,TTSSKĐ!AA354,TTSSKĐ!AE354,TTSSKĐ!AI354)))</f>
        <v>0</v>
      </c>
    </row>
    <row r="355" spans="1:12">
      <c r="A355">
        <f>SUMPRODUCT((MONTH(CHOOSE({1,2,3,4},TTSSKĐ!T355,TTSSKĐ!X355,TTSSKĐ!AB355,TTSSKĐ!AF355))=1)*(CHOOSE({1,2,3,4},TTSSKĐ!W355,TTSSKĐ!AA355,TTSSKĐ!AE355,TTSSKĐ!AI355)))</f>
        <v>0</v>
      </c>
      <c r="B355">
        <f>SUMPRODUCT((MONTH(CHOOSE({1,2,3,4},TTSSKĐ!T355,TTSSKĐ!X355,TTSSKĐ!AB355,TTSSKĐ!AF355))=2)*(CHOOSE({1,2,3,4},TTSSKĐ!W355,TTSSKĐ!AA355,TTSSKĐ!AE355,TTSSKĐ!AI355)))</f>
        <v>0</v>
      </c>
      <c r="C355">
        <f>SUMPRODUCT((MONTH(CHOOSE({1,2,3,4},TTSSKĐ!T355,TTSSKĐ!X355,TTSSKĐ!AB355,TTSSKĐ!AF355))=3)*(CHOOSE({1,2,3,4},TTSSKĐ!W355,TTSSKĐ!AA355,TTSSKĐ!AE355,TTSSKĐ!AI355)))</f>
        <v>0</v>
      </c>
      <c r="D355">
        <f>SUMPRODUCT((MONTH(CHOOSE({1,2,3,4},TTSSKĐ!T355,TTSSKĐ!X355,TTSSKĐ!AB355,TTSSKĐ!AF355))=4)*(CHOOSE({1,2,3,4},TTSSKĐ!W355,TTSSKĐ!AA355,TTSSKĐ!AE355,TTSSKĐ!AI355)))</f>
        <v>0</v>
      </c>
      <c r="E355">
        <f>SUMPRODUCT((MONTH(CHOOSE({1,2,3,4},TTSSKĐ!T355,TTSSKĐ!X355,TTSSKĐ!AB355,TTSSKĐ!AF355))=5)*(CHOOSE({1,2,3,4},TTSSKĐ!W355,TTSSKĐ!AA355,TTSSKĐ!AE355,TTSSKĐ!AI355)))</f>
        <v>0</v>
      </c>
      <c r="F355">
        <f>SUMPRODUCT((MONTH(CHOOSE({1,2,3,4},TTSSKĐ!T355,TTSSKĐ!X355,TTSSKĐ!AB355,TTSSKĐ!AF355))=6)*(CHOOSE({1,2,3,4},TTSSKĐ!W355,TTSSKĐ!AA355,TTSSKĐ!AE355,TTSSKĐ!AI355)))</f>
        <v>0</v>
      </c>
      <c r="G355">
        <f>SUMPRODUCT((MONTH(CHOOSE({1,2,3,4},TTSSKĐ!T355,TTSSKĐ!X355,TTSSKĐ!AB355,TTSSKĐ!AF355))=7)*(CHOOSE({1,2,3,4},TTSSKĐ!W355,TTSSKĐ!AA355,TTSSKĐ!AE355,TTSSKĐ!AI355)))</f>
        <v>0</v>
      </c>
      <c r="H355">
        <f>SUMPRODUCT((MONTH(CHOOSE({1,2,3,4},TTSSKĐ!T355,TTSSKĐ!X355,TTSSKĐ!AB355,TTSSKĐ!AF355))=8)*(CHOOSE({1,2,3,4},TTSSKĐ!W355,TTSSKĐ!AA355,TTSSKĐ!AE355,TTSSKĐ!AI355)))</f>
        <v>0</v>
      </c>
      <c r="I355">
        <f>SUMPRODUCT((MONTH(CHOOSE({1,2,3,4},TTSSKĐ!T355,TTSSKĐ!X355,TTSSKĐ!AB355,TTSSKĐ!AF355))=9)*(CHOOSE({1,2,3,4},TTSSKĐ!W355,TTSSKĐ!AA355,TTSSKĐ!AE355,TTSSKĐ!AI355)))</f>
        <v>0</v>
      </c>
      <c r="J355">
        <f>SUMPRODUCT((MONTH(CHOOSE({1,2,3,4},TTSSKĐ!T355,TTSSKĐ!X355,TTSSKĐ!AB355,TTSSKĐ!AF355))=10)*(CHOOSE({1,2,3,4},TTSSKĐ!W355,TTSSKĐ!AA355,TTSSKĐ!AE355,TTSSKĐ!AI355)))</f>
        <v>0</v>
      </c>
      <c r="K355">
        <f>SUMPRODUCT((MONTH(CHOOSE({1,2,3,4},TTSSKĐ!T355,TTSSKĐ!X355,TTSSKĐ!AB355,TTSSKĐ!AF355))=11)*(CHOOSE({1,2,3,4},TTSSKĐ!W355,TTSSKĐ!AA355,TTSSKĐ!AE355,TTSSKĐ!AI355)))</f>
        <v>0</v>
      </c>
      <c r="L355">
        <f>SUMPRODUCT((MONTH(CHOOSE({1,2,3,4},TTSSKĐ!T355,TTSSKĐ!X355,TTSSKĐ!AB355,TTSSKĐ!AF355))=12)*(CHOOSE({1,2,3,4},TTSSKĐ!W355,TTSSKĐ!AA355,TTSSKĐ!AE355,TTSSKĐ!AI355)))</f>
        <v>0</v>
      </c>
    </row>
    <row r="356" spans="1:12">
      <c r="A356">
        <f>SUMPRODUCT((MONTH(CHOOSE({1,2,3,4},TTSSKĐ!T356,TTSSKĐ!X356,TTSSKĐ!AB356,TTSSKĐ!AF356))=1)*(CHOOSE({1,2,3,4},TTSSKĐ!W356,TTSSKĐ!AA356,TTSSKĐ!AE356,TTSSKĐ!AI356)))</f>
        <v>0</v>
      </c>
      <c r="B356">
        <f>SUMPRODUCT((MONTH(CHOOSE({1,2,3,4},TTSSKĐ!T356,TTSSKĐ!X356,TTSSKĐ!AB356,TTSSKĐ!AF356))=2)*(CHOOSE({1,2,3,4},TTSSKĐ!W356,TTSSKĐ!AA356,TTSSKĐ!AE356,TTSSKĐ!AI356)))</f>
        <v>0</v>
      </c>
      <c r="C356">
        <f>SUMPRODUCT((MONTH(CHOOSE({1,2,3,4},TTSSKĐ!T356,TTSSKĐ!X356,TTSSKĐ!AB356,TTSSKĐ!AF356))=3)*(CHOOSE({1,2,3,4},TTSSKĐ!W356,TTSSKĐ!AA356,TTSSKĐ!AE356,TTSSKĐ!AI356)))</f>
        <v>0</v>
      </c>
      <c r="D356">
        <f>SUMPRODUCT((MONTH(CHOOSE({1,2,3,4},TTSSKĐ!T356,TTSSKĐ!X356,TTSSKĐ!AB356,TTSSKĐ!AF356))=4)*(CHOOSE({1,2,3,4},TTSSKĐ!W356,TTSSKĐ!AA356,TTSSKĐ!AE356,TTSSKĐ!AI356)))</f>
        <v>0</v>
      </c>
      <c r="E356">
        <f>SUMPRODUCT((MONTH(CHOOSE({1,2,3,4},TTSSKĐ!T356,TTSSKĐ!X356,TTSSKĐ!AB356,TTSSKĐ!AF356))=5)*(CHOOSE({1,2,3,4},TTSSKĐ!W356,TTSSKĐ!AA356,TTSSKĐ!AE356,TTSSKĐ!AI356)))</f>
        <v>0</v>
      </c>
      <c r="F356">
        <f>SUMPRODUCT((MONTH(CHOOSE({1,2,3,4},TTSSKĐ!T356,TTSSKĐ!X356,TTSSKĐ!AB356,TTSSKĐ!AF356))=6)*(CHOOSE({1,2,3,4},TTSSKĐ!W356,TTSSKĐ!AA356,TTSSKĐ!AE356,TTSSKĐ!AI356)))</f>
        <v>0</v>
      </c>
      <c r="G356">
        <f>SUMPRODUCT((MONTH(CHOOSE({1,2,3,4},TTSSKĐ!T356,TTSSKĐ!X356,TTSSKĐ!AB356,TTSSKĐ!AF356))=7)*(CHOOSE({1,2,3,4},TTSSKĐ!W356,TTSSKĐ!AA356,TTSSKĐ!AE356,TTSSKĐ!AI356)))</f>
        <v>0</v>
      </c>
      <c r="H356">
        <f>SUMPRODUCT((MONTH(CHOOSE({1,2,3,4},TTSSKĐ!T356,TTSSKĐ!X356,TTSSKĐ!AB356,TTSSKĐ!AF356))=8)*(CHOOSE({1,2,3,4},TTSSKĐ!W356,TTSSKĐ!AA356,TTSSKĐ!AE356,TTSSKĐ!AI356)))</f>
        <v>0</v>
      </c>
      <c r="I356">
        <f>SUMPRODUCT((MONTH(CHOOSE({1,2,3,4},TTSSKĐ!T356,TTSSKĐ!X356,TTSSKĐ!AB356,TTSSKĐ!AF356))=9)*(CHOOSE({1,2,3,4},TTSSKĐ!W356,TTSSKĐ!AA356,TTSSKĐ!AE356,TTSSKĐ!AI356)))</f>
        <v>0</v>
      </c>
      <c r="J356">
        <f>SUMPRODUCT((MONTH(CHOOSE({1,2,3,4},TTSSKĐ!T356,TTSSKĐ!X356,TTSSKĐ!AB356,TTSSKĐ!AF356))=10)*(CHOOSE({1,2,3,4},TTSSKĐ!W356,TTSSKĐ!AA356,TTSSKĐ!AE356,TTSSKĐ!AI356)))</f>
        <v>0</v>
      </c>
      <c r="K356">
        <f>SUMPRODUCT((MONTH(CHOOSE({1,2,3,4},TTSSKĐ!T356,TTSSKĐ!X356,TTSSKĐ!AB356,TTSSKĐ!AF356))=11)*(CHOOSE({1,2,3,4},TTSSKĐ!W356,TTSSKĐ!AA356,TTSSKĐ!AE356,TTSSKĐ!AI356)))</f>
        <v>0</v>
      </c>
      <c r="L356">
        <f>SUMPRODUCT((MONTH(CHOOSE({1,2,3,4},TTSSKĐ!T356,TTSSKĐ!X356,TTSSKĐ!AB356,TTSSKĐ!AF356))=12)*(CHOOSE({1,2,3,4},TTSSKĐ!W356,TTSSKĐ!AA356,TTSSKĐ!AE356,TTSSKĐ!AI356)))</f>
        <v>0</v>
      </c>
    </row>
    <row r="357" spans="1:12">
      <c r="A357">
        <f>SUMPRODUCT((MONTH(CHOOSE({1,2,3,4},TTSSKĐ!T357,TTSSKĐ!X357,TTSSKĐ!AB357,TTSSKĐ!AF357))=1)*(CHOOSE({1,2,3,4},TTSSKĐ!W357,TTSSKĐ!AA357,TTSSKĐ!AE357,TTSSKĐ!AI357)))</f>
        <v>0</v>
      </c>
      <c r="B357">
        <f>SUMPRODUCT((MONTH(CHOOSE({1,2,3,4},TTSSKĐ!T357,TTSSKĐ!X357,TTSSKĐ!AB357,TTSSKĐ!AF357))=2)*(CHOOSE({1,2,3,4},TTSSKĐ!W357,TTSSKĐ!AA357,TTSSKĐ!AE357,TTSSKĐ!AI357)))</f>
        <v>0</v>
      </c>
      <c r="C357">
        <f>SUMPRODUCT((MONTH(CHOOSE({1,2,3,4},TTSSKĐ!T357,TTSSKĐ!X357,TTSSKĐ!AB357,TTSSKĐ!AF357))=3)*(CHOOSE({1,2,3,4},TTSSKĐ!W357,TTSSKĐ!AA357,TTSSKĐ!AE357,TTSSKĐ!AI357)))</f>
        <v>0</v>
      </c>
      <c r="D357">
        <f>SUMPRODUCT((MONTH(CHOOSE({1,2,3,4},TTSSKĐ!T357,TTSSKĐ!X357,TTSSKĐ!AB357,TTSSKĐ!AF357))=4)*(CHOOSE({1,2,3,4},TTSSKĐ!W357,TTSSKĐ!AA357,TTSSKĐ!AE357,TTSSKĐ!AI357)))</f>
        <v>0</v>
      </c>
      <c r="E357">
        <f>SUMPRODUCT((MONTH(CHOOSE({1,2,3,4},TTSSKĐ!T357,TTSSKĐ!X357,TTSSKĐ!AB357,TTSSKĐ!AF357))=5)*(CHOOSE({1,2,3,4},TTSSKĐ!W357,TTSSKĐ!AA357,TTSSKĐ!AE357,TTSSKĐ!AI357)))</f>
        <v>0</v>
      </c>
      <c r="F357">
        <f>SUMPRODUCT((MONTH(CHOOSE({1,2,3,4},TTSSKĐ!T357,TTSSKĐ!X357,TTSSKĐ!AB357,TTSSKĐ!AF357))=6)*(CHOOSE({1,2,3,4},TTSSKĐ!W357,TTSSKĐ!AA357,TTSSKĐ!AE357,TTSSKĐ!AI357)))</f>
        <v>0</v>
      </c>
      <c r="G357">
        <f>SUMPRODUCT((MONTH(CHOOSE({1,2,3,4},TTSSKĐ!T357,TTSSKĐ!X357,TTSSKĐ!AB357,TTSSKĐ!AF357))=7)*(CHOOSE({1,2,3,4},TTSSKĐ!W357,TTSSKĐ!AA357,TTSSKĐ!AE357,TTSSKĐ!AI357)))</f>
        <v>0</v>
      </c>
      <c r="H357">
        <f>SUMPRODUCT((MONTH(CHOOSE({1,2,3,4},TTSSKĐ!T357,TTSSKĐ!X357,TTSSKĐ!AB357,TTSSKĐ!AF357))=8)*(CHOOSE({1,2,3,4},TTSSKĐ!W357,TTSSKĐ!AA357,TTSSKĐ!AE357,TTSSKĐ!AI357)))</f>
        <v>0</v>
      </c>
      <c r="I357">
        <f>SUMPRODUCT((MONTH(CHOOSE({1,2,3,4},TTSSKĐ!T357,TTSSKĐ!X357,TTSSKĐ!AB357,TTSSKĐ!AF357))=9)*(CHOOSE({1,2,3,4},TTSSKĐ!W357,TTSSKĐ!AA357,TTSSKĐ!AE357,TTSSKĐ!AI357)))</f>
        <v>0</v>
      </c>
      <c r="J357">
        <f>SUMPRODUCT((MONTH(CHOOSE({1,2,3,4},TTSSKĐ!T357,TTSSKĐ!X357,TTSSKĐ!AB357,TTSSKĐ!AF357))=10)*(CHOOSE({1,2,3,4},TTSSKĐ!W357,TTSSKĐ!AA357,TTSSKĐ!AE357,TTSSKĐ!AI357)))</f>
        <v>0</v>
      </c>
      <c r="K357">
        <f>SUMPRODUCT((MONTH(CHOOSE({1,2,3,4},TTSSKĐ!T357,TTSSKĐ!X357,TTSSKĐ!AB357,TTSSKĐ!AF357))=11)*(CHOOSE({1,2,3,4},TTSSKĐ!W357,TTSSKĐ!AA357,TTSSKĐ!AE357,TTSSKĐ!AI357)))</f>
        <v>0</v>
      </c>
      <c r="L357">
        <f>SUMPRODUCT((MONTH(CHOOSE({1,2,3,4},TTSSKĐ!T357,TTSSKĐ!X357,TTSSKĐ!AB357,TTSSKĐ!AF357))=12)*(CHOOSE({1,2,3,4},TTSSKĐ!W357,TTSSKĐ!AA357,TTSSKĐ!AE357,TTSSKĐ!AI357)))</f>
        <v>0</v>
      </c>
    </row>
    <row r="358" spans="1:12">
      <c r="A358">
        <f>SUMPRODUCT((MONTH(CHOOSE({1,2,3,4},TTSSKĐ!T358,TTSSKĐ!X358,TTSSKĐ!AB358,TTSSKĐ!AF358))=1)*(CHOOSE({1,2,3,4},TTSSKĐ!W358,TTSSKĐ!AA358,TTSSKĐ!AE358,TTSSKĐ!AI358)))</f>
        <v>0</v>
      </c>
      <c r="B358">
        <f>SUMPRODUCT((MONTH(CHOOSE({1,2,3,4},TTSSKĐ!T358,TTSSKĐ!X358,TTSSKĐ!AB358,TTSSKĐ!AF358))=2)*(CHOOSE({1,2,3,4},TTSSKĐ!W358,TTSSKĐ!AA358,TTSSKĐ!AE358,TTSSKĐ!AI358)))</f>
        <v>0</v>
      </c>
      <c r="C358">
        <f>SUMPRODUCT((MONTH(CHOOSE({1,2,3,4},TTSSKĐ!T358,TTSSKĐ!X358,TTSSKĐ!AB358,TTSSKĐ!AF358))=3)*(CHOOSE({1,2,3,4},TTSSKĐ!W358,TTSSKĐ!AA358,TTSSKĐ!AE358,TTSSKĐ!AI358)))</f>
        <v>0</v>
      </c>
      <c r="D358">
        <f>SUMPRODUCT((MONTH(CHOOSE({1,2,3,4},TTSSKĐ!T358,TTSSKĐ!X358,TTSSKĐ!AB358,TTSSKĐ!AF358))=4)*(CHOOSE({1,2,3,4},TTSSKĐ!W358,TTSSKĐ!AA358,TTSSKĐ!AE358,TTSSKĐ!AI358)))</f>
        <v>0</v>
      </c>
      <c r="E358">
        <f>SUMPRODUCT((MONTH(CHOOSE({1,2,3,4},TTSSKĐ!T358,TTSSKĐ!X358,TTSSKĐ!AB358,TTSSKĐ!AF358))=5)*(CHOOSE({1,2,3,4},TTSSKĐ!W358,TTSSKĐ!AA358,TTSSKĐ!AE358,TTSSKĐ!AI358)))</f>
        <v>0</v>
      </c>
      <c r="F358">
        <f>SUMPRODUCT((MONTH(CHOOSE({1,2,3,4},TTSSKĐ!T358,TTSSKĐ!X358,TTSSKĐ!AB358,TTSSKĐ!AF358))=6)*(CHOOSE({1,2,3,4},TTSSKĐ!W358,TTSSKĐ!AA358,TTSSKĐ!AE358,TTSSKĐ!AI358)))</f>
        <v>0</v>
      </c>
      <c r="G358">
        <f>SUMPRODUCT((MONTH(CHOOSE({1,2,3,4},TTSSKĐ!T358,TTSSKĐ!X358,TTSSKĐ!AB358,TTSSKĐ!AF358))=7)*(CHOOSE({1,2,3,4},TTSSKĐ!W358,TTSSKĐ!AA358,TTSSKĐ!AE358,TTSSKĐ!AI358)))</f>
        <v>0</v>
      </c>
      <c r="H358">
        <f>SUMPRODUCT((MONTH(CHOOSE({1,2,3,4},TTSSKĐ!T358,TTSSKĐ!X358,TTSSKĐ!AB358,TTSSKĐ!AF358))=8)*(CHOOSE({1,2,3,4},TTSSKĐ!W358,TTSSKĐ!AA358,TTSSKĐ!AE358,TTSSKĐ!AI358)))</f>
        <v>0</v>
      </c>
      <c r="I358">
        <f>SUMPRODUCT((MONTH(CHOOSE({1,2,3,4},TTSSKĐ!T358,TTSSKĐ!X358,TTSSKĐ!AB358,TTSSKĐ!AF358))=9)*(CHOOSE({1,2,3,4},TTSSKĐ!W358,TTSSKĐ!AA358,TTSSKĐ!AE358,TTSSKĐ!AI358)))</f>
        <v>0</v>
      </c>
      <c r="J358">
        <f>SUMPRODUCT((MONTH(CHOOSE({1,2,3,4},TTSSKĐ!T358,TTSSKĐ!X358,TTSSKĐ!AB358,TTSSKĐ!AF358))=10)*(CHOOSE({1,2,3,4},TTSSKĐ!W358,TTSSKĐ!AA358,TTSSKĐ!AE358,TTSSKĐ!AI358)))</f>
        <v>0</v>
      </c>
      <c r="K358">
        <f>SUMPRODUCT((MONTH(CHOOSE({1,2,3,4},TTSSKĐ!T358,TTSSKĐ!X358,TTSSKĐ!AB358,TTSSKĐ!AF358))=11)*(CHOOSE({1,2,3,4},TTSSKĐ!W358,TTSSKĐ!AA358,TTSSKĐ!AE358,TTSSKĐ!AI358)))</f>
        <v>0</v>
      </c>
      <c r="L358">
        <f>SUMPRODUCT((MONTH(CHOOSE({1,2,3,4},TTSSKĐ!T358,TTSSKĐ!X358,TTSSKĐ!AB358,TTSSKĐ!AF358))=12)*(CHOOSE({1,2,3,4},TTSSKĐ!W358,TTSSKĐ!AA358,TTSSKĐ!AE358,TTSSKĐ!AI358)))</f>
        <v>0</v>
      </c>
    </row>
    <row r="359" spans="1:12">
      <c r="A359">
        <f>SUMPRODUCT((MONTH(CHOOSE({1,2,3,4},TTSSKĐ!T359,TTSSKĐ!X359,TTSSKĐ!AB359,TTSSKĐ!AF359))=1)*(CHOOSE({1,2,3,4},TTSSKĐ!W359,TTSSKĐ!AA359,TTSSKĐ!AE359,TTSSKĐ!AI359)))</f>
        <v>0</v>
      </c>
      <c r="B359">
        <f>SUMPRODUCT((MONTH(CHOOSE({1,2,3,4},TTSSKĐ!T359,TTSSKĐ!X359,TTSSKĐ!AB359,TTSSKĐ!AF359))=2)*(CHOOSE({1,2,3,4},TTSSKĐ!W359,TTSSKĐ!AA359,TTSSKĐ!AE359,TTSSKĐ!AI359)))</f>
        <v>0</v>
      </c>
      <c r="C359">
        <f>SUMPRODUCT((MONTH(CHOOSE({1,2,3,4},TTSSKĐ!T359,TTSSKĐ!X359,TTSSKĐ!AB359,TTSSKĐ!AF359))=3)*(CHOOSE({1,2,3,4},TTSSKĐ!W359,TTSSKĐ!AA359,TTSSKĐ!AE359,TTSSKĐ!AI359)))</f>
        <v>0</v>
      </c>
      <c r="D359">
        <f>SUMPRODUCT((MONTH(CHOOSE({1,2,3,4},TTSSKĐ!T359,TTSSKĐ!X359,TTSSKĐ!AB359,TTSSKĐ!AF359))=4)*(CHOOSE({1,2,3,4},TTSSKĐ!W359,TTSSKĐ!AA359,TTSSKĐ!AE359,TTSSKĐ!AI359)))</f>
        <v>0</v>
      </c>
      <c r="E359">
        <f>SUMPRODUCT((MONTH(CHOOSE({1,2,3,4},TTSSKĐ!T359,TTSSKĐ!X359,TTSSKĐ!AB359,TTSSKĐ!AF359))=5)*(CHOOSE({1,2,3,4},TTSSKĐ!W359,TTSSKĐ!AA359,TTSSKĐ!AE359,TTSSKĐ!AI359)))</f>
        <v>0</v>
      </c>
      <c r="F359">
        <f>SUMPRODUCT((MONTH(CHOOSE({1,2,3,4},TTSSKĐ!T359,TTSSKĐ!X359,TTSSKĐ!AB359,TTSSKĐ!AF359))=6)*(CHOOSE({1,2,3,4},TTSSKĐ!W359,TTSSKĐ!AA359,TTSSKĐ!AE359,TTSSKĐ!AI359)))</f>
        <v>0</v>
      </c>
      <c r="G359">
        <f>SUMPRODUCT((MONTH(CHOOSE({1,2,3,4},TTSSKĐ!T359,TTSSKĐ!X359,TTSSKĐ!AB359,TTSSKĐ!AF359))=7)*(CHOOSE({1,2,3,4},TTSSKĐ!W359,TTSSKĐ!AA359,TTSSKĐ!AE359,TTSSKĐ!AI359)))</f>
        <v>0</v>
      </c>
      <c r="H359">
        <f>SUMPRODUCT((MONTH(CHOOSE({1,2,3,4},TTSSKĐ!T359,TTSSKĐ!X359,TTSSKĐ!AB359,TTSSKĐ!AF359))=8)*(CHOOSE({1,2,3,4},TTSSKĐ!W359,TTSSKĐ!AA359,TTSSKĐ!AE359,TTSSKĐ!AI359)))</f>
        <v>0</v>
      </c>
      <c r="I359">
        <f>SUMPRODUCT((MONTH(CHOOSE({1,2,3,4},TTSSKĐ!T359,TTSSKĐ!X359,TTSSKĐ!AB359,TTSSKĐ!AF359))=9)*(CHOOSE({1,2,3,4},TTSSKĐ!W359,TTSSKĐ!AA359,TTSSKĐ!AE359,TTSSKĐ!AI359)))</f>
        <v>0</v>
      </c>
      <c r="J359">
        <f>SUMPRODUCT((MONTH(CHOOSE({1,2,3,4},TTSSKĐ!T359,TTSSKĐ!X359,TTSSKĐ!AB359,TTSSKĐ!AF359))=10)*(CHOOSE({1,2,3,4},TTSSKĐ!W359,TTSSKĐ!AA359,TTSSKĐ!AE359,TTSSKĐ!AI359)))</f>
        <v>0</v>
      </c>
      <c r="K359">
        <f>SUMPRODUCT((MONTH(CHOOSE({1,2,3,4},TTSSKĐ!T359,TTSSKĐ!X359,TTSSKĐ!AB359,TTSSKĐ!AF359))=11)*(CHOOSE({1,2,3,4},TTSSKĐ!W359,TTSSKĐ!AA359,TTSSKĐ!AE359,TTSSKĐ!AI359)))</f>
        <v>0</v>
      </c>
      <c r="L359">
        <f>SUMPRODUCT((MONTH(CHOOSE({1,2,3,4},TTSSKĐ!T359,TTSSKĐ!X359,TTSSKĐ!AB359,TTSSKĐ!AF359))=12)*(CHOOSE({1,2,3,4},TTSSKĐ!W359,TTSSKĐ!AA359,TTSSKĐ!AE359,TTSSKĐ!AI359)))</f>
        <v>0</v>
      </c>
    </row>
    <row r="360" spans="1:12">
      <c r="A360">
        <f>SUMPRODUCT((MONTH(CHOOSE({1,2,3,4},TTSSKĐ!T360,TTSSKĐ!X360,TTSSKĐ!AB360,TTSSKĐ!AF360))=1)*(CHOOSE({1,2,3,4},TTSSKĐ!W360,TTSSKĐ!AA360,TTSSKĐ!AE360,TTSSKĐ!AI360)))</f>
        <v>0</v>
      </c>
      <c r="B360">
        <f>SUMPRODUCT((MONTH(CHOOSE({1,2,3,4},TTSSKĐ!T360,TTSSKĐ!X360,TTSSKĐ!AB360,TTSSKĐ!AF360))=2)*(CHOOSE({1,2,3,4},TTSSKĐ!W360,TTSSKĐ!AA360,TTSSKĐ!AE360,TTSSKĐ!AI360)))</f>
        <v>0</v>
      </c>
      <c r="C360">
        <f>SUMPRODUCT((MONTH(CHOOSE({1,2,3,4},TTSSKĐ!T360,TTSSKĐ!X360,TTSSKĐ!AB360,TTSSKĐ!AF360))=3)*(CHOOSE({1,2,3,4},TTSSKĐ!W360,TTSSKĐ!AA360,TTSSKĐ!AE360,TTSSKĐ!AI360)))</f>
        <v>0</v>
      </c>
      <c r="D360">
        <f>SUMPRODUCT((MONTH(CHOOSE({1,2,3,4},TTSSKĐ!T360,TTSSKĐ!X360,TTSSKĐ!AB360,TTSSKĐ!AF360))=4)*(CHOOSE({1,2,3,4},TTSSKĐ!W360,TTSSKĐ!AA360,TTSSKĐ!AE360,TTSSKĐ!AI360)))</f>
        <v>0</v>
      </c>
      <c r="E360">
        <f>SUMPRODUCT((MONTH(CHOOSE({1,2,3,4},TTSSKĐ!T360,TTSSKĐ!X360,TTSSKĐ!AB360,TTSSKĐ!AF360))=5)*(CHOOSE({1,2,3,4},TTSSKĐ!W360,TTSSKĐ!AA360,TTSSKĐ!AE360,TTSSKĐ!AI360)))</f>
        <v>0</v>
      </c>
      <c r="F360">
        <f>SUMPRODUCT((MONTH(CHOOSE({1,2,3,4},TTSSKĐ!T360,TTSSKĐ!X360,TTSSKĐ!AB360,TTSSKĐ!AF360))=6)*(CHOOSE({1,2,3,4},TTSSKĐ!W360,TTSSKĐ!AA360,TTSSKĐ!AE360,TTSSKĐ!AI360)))</f>
        <v>0</v>
      </c>
      <c r="G360">
        <f>SUMPRODUCT((MONTH(CHOOSE({1,2,3,4},TTSSKĐ!T360,TTSSKĐ!X360,TTSSKĐ!AB360,TTSSKĐ!AF360))=7)*(CHOOSE({1,2,3,4},TTSSKĐ!W360,TTSSKĐ!AA360,TTSSKĐ!AE360,TTSSKĐ!AI360)))</f>
        <v>0</v>
      </c>
      <c r="H360">
        <f>SUMPRODUCT((MONTH(CHOOSE({1,2,3,4},TTSSKĐ!T360,TTSSKĐ!X360,TTSSKĐ!AB360,TTSSKĐ!AF360))=8)*(CHOOSE({1,2,3,4},TTSSKĐ!W360,TTSSKĐ!AA360,TTSSKĐ!AE360,TTSSKĐ!AI360)))</f>
        <v>0</v>
      </c>
      <c r="I360">
        <f>SUMPRODUCT((MONTH(CHOOSE({1,2,3,4},TTSSKĐ!T360,TTSSKĐ!X360,TTSSKĐ!AB360,TTSSKĐ!AF360))=9)*(CHOOSE({1,2,3,4},TTSSKĐ!W360,TTSSKĐ!AA360,TTSSKĐ!AE360,TTSSKĐ!AI360)))</f>
        <v>0</v>
      </c>
      <c r="J360">
        <f>SUMPRODUCT((MONTH(CHOOSE({1,2,3,4},TTSSKĐ!T360,TTSSKĐ!X360,TTSSKĐ!AB360,TTSSKĐ!AF360))=10)*(CHOOSE({1,2,3,4},TTSSKĐ!W360,TTSSKĐ!AA360,TTSSKĐ!AE360,TTSSKĐ!AI360)))</f>
        <v>0</v>
      </c>
      <c r="K360">
        <f>SUMPRODUCT((MONTH(CHOOSE({1,2,3,4},TTSSKĐ!T360,TTSSKĐ!X360,TTSSKĐ!AB360,TTSSKĐ!AF360))=11)*(CHOOSE({1,2,3,4},TTSSKĐ!W360,TTSSKĐ!AA360,TTSSKĐ!AE360,TTSSKĐ!AI360)))</f>
        <v>0</v>
      </c>
      <c r="L360">
        <f>SUMPRODUCT((MONTH(CHOOSE({1,2,3,4},TTSSKĐ!T360,TTSSKĐ!X360,TTSSKĐ!AB360,TTSSKĐ!AF360))=12)*(CHOOSE({1,2,3,4},TTSSKĐ!W360,TTSSKĐ!AA360,TTSSKĐ!AE360,TTSSKĐ!AI360)))</f>
        <v>0</v>
      </c>
    </row>
    <row r="361" spans="1:12">
      <c r="A361">
        <f>SUMPRODUCT((MONTH(CHOOSE({1,2,3,4},TTSSKĐ!T361,TTSSKĐ!X361,TTSSKĐ!AB361,TTSSKĐ!AF361))=1)*(CHOOSE({1,2,3,4},TTSSKĐ!W361,TTSSKĐ!AA361,TTSSKĐ!AE361,TTSSKĐ!AI361)))</f>
        <v>0</v>
      </c>
      <c r="B361">
        <f>SUMPRODUCT((MONTH(CHOOSE({1,2,3,4},TTSSKĐ!T361,TTSSKĐ!X361,TTSSKĐ!AB361,TTSSKĐ!AF361))=2)*(CHOOSE({1,2,3,4},TTSSKĐ!W361,TTSSKĐ!AA361,TTSSKĐ!AE361,TTSSKĐ!AI361)))</f>
        <v>0</v>
      </c>
      <c r="C361">
        <f>SUMPRODUCT((MONTH(CHOOSE({1,2,3,4},TTSSKĐ!T361,TTSSKĐ!X361,TTSSKĐ!AB361,TTSSKĐ!AF361))=3)*(CHOOSE({1,2,3,4},TTSSKĐ!W361,TTSSKĐ!AA361,TTSSKĐ!AE361,TTSSKĐ!AI361)))</f>
        <v>0</v>
      </c>
      <c r="D361">
        <f>SUMPRODUCT((MONTH(CHOOSE({1,2,3,4},TTSSKĐ!T361,TTSSKĐ!X361,TTSSKĐ!AB361,TTSSKĐ!AF361))=4)*(CHOOSE({1,2,3,4},TTSSKĐ!W361,TTSSKĐ!AA361,TTSSKĐ!AE361,TTSSKĐ!AI361)))</f>
        <v>0</v>
      </c>
      <c r="E361">
        <f>SUMPRODUCT((MONTH(CHOOSE({1,2,3,4},TTSSKĐ!T361,TTSSKĐ!X361,TTSSKĐ!AB361,TTSSKĐ!AF361))=5)*(CHOOSE({1,2,3,4},TTSSKĐ!W361,TTSSKĐ!AA361,TTSSKĐ!AE361,TTSSKĐ!AI361)))</f>
        <v>0</v>
      </c>
      <c r="F361">
        <f>SUMPRODUCT((MONTH(CHOOSE({1,2,3,4},TTSSKĐ!T361,TTSSKĐ!X361,TTSSKĐ!AB361,TTSSKĐ!AF361))=6)*(CHOOSE({1,2,3,4},TTSSKĐ!W361,TTSSKĐ!AA361,TTSSKĐ!AE361,TTSSKĐ!AI361)))</f>
        <v>0</v>
      </c>
      <c r="G361">
        <f>SUMPRODUCT((MONTH(CHOOSE({1,2,3,4},TTSSKĐ!T361,TTSSKĐ!X361,TTSSKĐ!AB361,TTSSKĐ!AF361))=7)*(CHOOSE({1,2,3,4},TTSSKĐ!W361,TTSSKĐ!AA361,TTSSKĐ!AE361,TTSSKĐ!AI361)))</f>
        <v>0</v>
      </c>
      <c r="H361">
        <f>SUMPRODUCT((MONTH(CHOOSE({1,2,3,4},TTSSKĐ!T361,TTSSKĐ!X361,TTSSKĐ!AB361,TTSSKĐ!AF361))=8)*(CHOOSE({1,2,3,4},TTSSKĐ!W361,TTSSKĐ!AA361,TTSSKĐ!AE361,TTSSKĐ!AI361)))</f>
        <v>0</v>
      </c>
      <c r="I361">
        <f>SUMPRODUCT((MONTH(CHOOSE({1,2,3,4},TTSSKĐ!T361,TTSSKĐ!X361,TTSSKĐ!AB361,TTSSKĐ!AF361))=9)*(CHOOSE({1,2,3,4},TTSSKĐ!W361,TTSSKĐ!AA361,TTSSKĐ!AE361,TTSSKĐ!AI361)))</f>
        <v>0</v>
      </c>
      <c r="J361">
        <f>SUMPRODUCT((MONTH(CHOOSE({1,2,3,4},TTSSKĐ!T361,TTSSKĐ!X361,TTSSKĐ!AB361,TTSSKĐ!AF361))=10)*(CHOOSE({1,2,3,4},TTSSKĐ!W361,TTSSKĐ!AA361,TTSSKĐ!AE361,TTSSKĐ!AI361)))</f>
        <v>0</v>
      </c>
      <c r="K361">
        <f>SUMPRODUCT((MONTH(CHOOSE({1,2,3,4},TTSSKĐ!T361,TTSSKĐ!X361,TTSSKĐ!AB361,TTSSKĐ!AF361))=11)*(CHOOSE({1,2,3,4},TTSSKĐ!W361,TTSSKĐ!AA361,TTSSKĐ!AE361,TTSSKĐ!AI361)))</f>
        <v>0</v>
      </c>
      <c r="L361">
        <f>SUMPRODUCT((MONTH(CHOOSE({1,2,3,4},TTSSKĐ!T361,TTSSKĐ!X361,TTSSKĐ!AB361,TTSSKĐ!AF361))=12)*(CHOOSE({1,2,3,4},TTSSKĐ!W361,TTSSKĐ!AA361,TTSSKĐ!AE361,TTSSKĐ!AI361)))</f>
        <v>0</v>
      </c>
    </row>
    <row r="362" spans="1:12">
      <c r="A362">
        <f>SUMPRODUCT((MONTH(CHOOSE({1,2,3,4},TTSSKĐ!T362,TTSSKĐ!X362,TTSSKĐ!AB362,TTSSKĐ!AF362))=1)*(CHOOSE({1,2,3,4},TTSSKĐ!W362,TTSSKĐ!AA362,TTSSKĐ!AE362,TTSSKĐ!AI362)))</f>
        <v>0</v>
      </c>
      <c r="B362">
        <f>SUMPRODUCT((MONTH(CHOOSE({1,2,3,4},TTSSKĐ!T362,TTSSKĐ!X362,TTSSKĐ!AB362,TTSSKĐ!AF362))=2)*(CHOOSE({1,2,3,4},TTSSKĐ!W362,TTSSKĐ!AA362,TTSSKĐ!AE362,TTSSKĐ!AI362)))</f>
        <v>0</v>
      </c>
      <c r="C362">
        <f>SUMPRODUCT((MONTH(CHOOSE({1,2,3,4},TTSSKĐ!T362,TTSSKĐ!X362,TTSSKĐ!AB362,TTSSKĐ!AF362))=3)*(CHOOSE({1,2,3,4},TTSSKĐ!W362,TTSSKĐ!AA362,TTSSKĐ!AE362,TTSSKĐ!AI362)))</f>
        <v>0</v>
      </c>
      <c r="D362">
        <f>SUMPRODUCT((MONTH(CHOOSE({1,2,3,4},TTSSKĐ!T362,TTSSKĐ!X362,TTSSKĐ!AB362,TTSSKĐ!AF362))=4)*(CHOOSE({1,2,3,4},TTSSKĐ!W362,TTSSKĐ!AA362,TTSSKĐ!AE362,TTSSKĐ!AI362)))</f>
        <v>0</v>
      </c>
      <c r="E362">
        <f>SUMPRODUCT((MONTH(CHOOSE({1,2,3,4},TTSSKĐ!T362,TTSSKĐ!X362,TTSSKĐ!AB362,TTSSKĐ!AF362))=5)*(CHOOSE({1,2,3,4},TTSSKĐ!W362,TTSSKĐ!AA362,TTSSKĐ!AE362,TTSSKĐ!AI362)))</f>
        <v>0</v>
      </c>
      <c r="F362">
        <f>SUMPRODUCT((MONTH(CHOOSE({1,2,3,4},TTSSKĐ!T362,TTSSKĐ!X362,TTSSKĐ!AB362,TTSSKĐ!AF362))=6)*(CHOOSE({1,2,3,4},TTSSKĐ!W362,TTSSKĐ!AA362,TTSSKĐ!AE362,TTSSKĐ!AI362)))</f>
        <v>0</v>
      </c>
      <c r="G362">
        <f>SUMPRODUCT((MONTH(CHOOSE({1,2,3,4},TTSSKĐ!T362,TTSSKĐ!X362,TTSSKĐ!AB362,TTSSKĐ!AF362))=7)*(CHOOSE({1,2,3,4},TTSSKĐ!W362,TTSSKĐ!AA362,TTSSKĐ!AE362,TTSSKĐ!AI362)))</f>
        <v>0</v>
      </c>
      <c r="H362">
        <f>SUMPRODUCT((MONTH(CHOOSE({1,2,3,4},TTSSKĐ!T362,TTSSKĐ!X362,TTSSKĐ!AB362,TTSSKĐ!AF362))=8)*(CHOOSE({1,2,3,4},TTSSKĐ!W362,TTSSKĐ!AA362,TTSSKĐ!AE362,TTSSKĐ!AI362)))</f>
        <v>0</v>
      </c>
      <c r="I362">
        <f>SUMPRODUCT((MONTH(CHOOSE({1,2,3,4},TTSSKĐ!T362,TTSSKĐ!X362,TTSSKĐ!AB362,TTSSKĐ!AF362))=9)*(CHOOSE({1,2,3,4},TTSSKĐ!W362,TTSSKĐ!AA362,TTSSKĐ!AE362,TTSSKĐ!AI362)))</f>
        <v>0</v>
      </c>
      <c r="J362">
        <f>SUMPRODUCT((MONTH(CHOOSE({1,2,3,4},TTSSKĐ!T362,TTSSKĐ!X362,TTSSKĐ!AB362,TTSSKĐ!AF362))=10)*(CHOOSE({1,2,3,4},TTSSKĐ!W362,TTSSKĐ!AA362,TTSSKĐ!AE362,TTSSKĐ!AI362)))</f>
        <v>0</v>
      </c>
      <c r="K362">
        <f>SUMPRODUCT((MONTH(CHOOSE({1,2,3,4},TTSSKĐ!T362,TTSSKĐ!X362,TTSSKĐ!AB362,TTSSKĐ!AF362))=11)*(CHOOSE({1,2,3,4},TTSSKĐ!W362,TTSSKĐ!AA362,TTSSKĐ!AE362,TTSSKĐ!AI362)))</f>
        <v>0</v>
      </c>
      <c r="L362">
        <f>SUMPRODUCT((MONTH(CHOOSE({1,2,3,4},TTSSKĐ!T362,TTSSKĐ!X362,TTSSKĐ!AB362,TTSSKĐ!AF362))=12)*(CHOOSE({1,2,3,4},TTSSKĐ!W362,TTSSKĐ!AA362,TTSSKĐ!AE362,TTSSKĐ!AI362)))</f>
        <v>0</v>
      </c>
    </row>
    <row r="363" spans="1:12">
      <c r="A363">
        <f>SUMPRODUCT((MONTH(CHOOSE({1,2,3,4},TTSSKĐ!T363,TTSSKĐ!X363,TTSSKĐ!AB363,TTSSKĐ!AF363))=1)*(CHOOSE({1,2,3,4},TTSSKĐ!W363,TTSSKĐ!AA363,TTSSKĐ!AE363,TTSSKĐ!AI363)))</f>
        <v>0</v>
      </c>
      <c r="B363">
        <f>SUMPRODUCT((MONTH(CHOOSE({1,2,3,4},TTSSKĐ!T363,TTSSKĐ!X363,TTSSKĐ!AB363,TTSSKĐ!AF363))=2)*(CHOOSE({1,2,3,4},TTSSKĐ!W363,TTSSKĐ!AA363,TTSSKĐ!AE363,TTSSKĐ!AI363)))</f>
        <v>0</v>
      </c>
      <c r="C363">
        <f>SUMPRODUCT((MONTH(CHOOSE({1,2,3,4},TTSSKĐ!T363,TTSSKĐ!X363,TTSSKĐ!AB363,TTSSKĐ!AF363))=3)*(CHOOSE({1,2,3,4},TTSSKĐ!W363,TTSSKĐ!AA363,TTSSKĐ!AE363,TTSSKĐ!AI363)))</f>
        <v>0</v>
      </c>
      <c r="D363">
        <f>SUMPRODUCT((MONTH(CHOOSE({1,2,3,4},TTSSKĐ!T363,TTSSKĐ!X363,TTSSKĐ!AB363,TTSSKĐ!AF363))=4)*(CHOOSE({1,2,3,4},TTSSKĐ!W363,TTSSKĐ!AA363,TTSSKĐ!AE363,TTSSKĐ!AI363)))</f>
        <v>0</v>
      </c>
      <c r="E363">
        <f>SUMPRODUCT((MONTH(CHOOSE({1,2,3,4},TTSSKĐ!T363,TTSSKĐ!X363,TTSSKĐ!AB363,TTSSKĐ!AF363))=5)*(CHOOSE({1,2,3,4},TTSSKĐ!W363,TTSSKĐ!AA363,TTSSKĐ!AE363,TTSSKĐ!AI363)))</f>
        <v>0</v>
      </c>
      <c r="F363">
        <f>SUMPRODUCT((MONTH(CHOOSE({1,2,3,4},TTSSKĐ!T363,TTSSKĐ!X363,TTSSKĐ!AB363,TTSSKĐ!AF363))=6)*(CHOOSE({1,2,3,4},TTSSKĐ!W363,TTSSKĐ!AA363,TTSSKĐ!AE363,TTSSKĐ!AI363)))</f>
        <v>0</v>
      </c>
      <c r="G363">
        <f>SUMPRODUCT((MONTH(CHOOSE({1,2,3,4},TTSSKĐ!T363,TTSSKĐ!X363,TTSSKĐ!AB363,TTSSKĐ!AF363))=7)*(CHOOSE({1,2,3,4},TTSSKĐ!W363,TTSSKĐ!AA363,TTSSKĐ!AE363,TTSSKĐ!AI363)))</f>
        <v>0</v>
      </c>
      <c r="H363">
        <f>SUMPRODUCT((MONTH(CHOOSE({1,2,3,4},TTSSKĐ!T363,TTSSKĐ!X363,TTSSKĐ!AB363,TTSSKĐ!AF363))=8)*(CHOOSE({1,2,3,4},TTSSKĐ!W363,TTSSKĐ!AA363,TTSSKĐ!AE363,TTSSKĐ!AI363)))</f>
        <v>0</v>
      </c>
      <c r="I363">
        <f>SUMPRODUCT((MONTH(CHOOSE({1,2,3,4},TTSSKĐ!T363,TTSSKĐ!X363,TTSSKĐ!AB363,TTSSKĐ!AF363))=9)*(CHOOSE({1,2,3,4},TTSSKĐ!W363,TTSSKĐ!AA363,TTSSKĐ!AE363,TTSSKĐ!AI363)))</f>
        <v>0</v>
      </c>
      <c r="J363">
        <f>SUMPRODUCT((MONTH(CHOOSE({1,2,3,4},TTSSKĐ!T363,TTSSKĐ!X363,TTSSKĐ!AB363,TTSSKĐ!AF363))=10)*(CHOOSE({1,2,3,4},TTSSKĐ!W363,TTSSKĐ!AA363,TTSSKĐ!AE363,TTSSKĐ!AI363)))</f>
        <v>0</v>
      </c>
      <c r="K363">
        <f>SUMPRODUCT((MONTH(CHOOSE({1,2,3,4},TTSSKĐ!T363,TTSSKĐ!X363,TTSSKĐ!AB363,TTSSKĐ!AF363))=11)*(CHOOSE({1,2,3,4},TTSSKĐ!W363,TTSSKĐ!AA363,TTSSKĐ!AE363,TTSSKĐ!AI363)))</f>
        <v>0</v>
      </c>
      <c r="L363">
        <f>SUMPRODUCT((MONTH(CHOOSE({1,2,3,4},TTSSKĐ!T363,TTSSKĐ!X363,TTSSKĐ!AB363,TTSSKĐ!AF363))=12)*(CHOOSE({1,2,3,4},TTSSKĐ!W363,TTSSKĐ!AA363,TTSSKĐ!AE363,TTSSKĐ!AI363)))</f>
        <v>0</v>
      </c>
    </row>
    <row r="364" spans="1:12">
      <c r="A364">
        <f>SUMPRODUCT((MONTH(CHOOSE({1,2,3,4},TTSSKĐ!T364,TTSSKĐ!X364,TTSSKĐ!AB364,TTSSKĐ!AF364))=1)*(CHOOSE({1,2,3,4},TTSSKĐ!W364,TTSSKĐ!AA364,TTSSKĐ!AE364,TTSSKĐ!AI364)))</f>
        <v>0</v>
      </c>
      <c r="B364">
        <f>SUMPRODUCT((MONTH(CHOOSE({1,2,3,4},TTSSKĐ!T364,TTSSKĐ!X364,TTSSKĐ!AB364,TTSSKĐ!AF364))=2)*(CHOOSE({1,2,3,4},TTSSKĐ!W364,TTSSKĐ!AA364,TTSSKĐ!AE364,TTSSKĐ!AI364)))</f>
        <v>0</v>
      </c>
      <c r="C364">
        <f>SUMPRODUCT((MONTH(CHOOSE({1,2,3,4},TTSSKĐ!T364,TTSSKĐ!X364,TTSSKĐ!AB364,TTSSKĐ!AF364))=3)*(CHOOSE({1,2,3,4},TTSSKĐ!W364,TTSSKĐ!AA364,TTSSKĐ!AE364,TTSSKĐ!AI364)))</f>
        <v>0</v>
      </c>
      <c r="D364">
        <f>SUMPRODUCT((MONTH(CHOOSE({1,2,3,4},TTSSKĐ!T364,TTSSKĐ!X364,TTSSKĐ!AB364,TTSSKĐ!AF364))=4)*(CHOOSE({1,2,3,4},TTSSKĐ!W364,TTSSKĐ!AA364,TTSSKĐ!AE364,TTSSKĐ!AI364)))</f>
        <v>0</v>
      </c>
      <c r="E364">
        <f>SUMPRODUCT((MONTH(CHOOSE({1,2,3,4},TTSSKĐ!T364,TTSSKĐ!X364,TTSSKĐ!AB364,TTSSKĐ!AF364))=5)*(CHOOSE({1,2,3,4},TTSSKĐ!W364,TTSSKĐ!AA364,TTSSKĐ!AE364,TTSSKĐ!AI364)))</f>
        <v>0</v>
      </c>
      <c r="F364">
        <f>SUMPRODUCT((MONTH(CHOOSE({1,2,3,4},TTSSKĐ!T364,TTSSKĐ!X364,TTSSKĐ!AB364,TTSSKĐ!AF364))=6)*(CHOOSE({1,2,3,4},TTSSKĐ!W364,TTSSKĐ!AA364,TTSSKĐ!AE364,TTSSKĐ!AI364)))</f>
        <v>0</v>
      </c>
      <c r="G364">
        <f>SUMPRODUCT((MONTH(CHOOSE({1,2,3,4},TTSSKĐ!T364,TTSSKĐ!X364,TTSSKĐ!AB364,TTSSKĐ!AF364))=7)*(CHOOSE({1,2,3,4},TTSSKĐ!W364,TTSSKĐ!AA364,TTSSKĐ!AE364,TTSSKĐ!AI364)))</f>
        <v>0</v>
      </c>
      <c r="H364">
        <f>SUMPRODUCT((MONTH(CHOOSE({1,2,3,4},TTSSKĐ!T364,TTSSKĐ!X364,TTSSKĐ!AB364,TTSSKĐ!AF364))=8)*(CHOOSE({1,2,3,4},TTSSKĐ!W364,TTSSKĐ!AA364,TTSSKĐ!AE364,TTSSKĐ!AI364)))</f>
        <v>0</v>
      </c>
      <c r="I364">
        <f>SUMPRODUCT((MONTH(CHOOSE({1,2,3,4},TTSSKĐ!T364,TTSSKĐ!X364,TTSSKĐ!AB364,TTSSKĐ!AF364))=9)*(CHOOSE({1,2,3,4},TTSSKĐ!W364,TTSSKĐ!AA364,TTSSKĐ!AE364,TTSSKĐ!AI364)))</f>
        <v>0</v>
      </c>
      <c r="J364">
        <f>SUMPRODUCT((MONTH(CHOOSE({1,2,3,4},TTSSKĐ!T364,TTSSKĐ!X364,TTSSKĐ!AB364,TTSSKĐ!AF364))=10)*(CHOOSE({1,2,3,4},TTSSKĐ!W364,TTSSKĐ!AA364,TTSSKĐ!AE364,TTSSKĐ!AI364)))</f>
        <v>0</v>
      </c>
      <c r="K364">
        <f>SUMPRODUCT((MONTH(CHOOSE({1,2,3,4},TTSSKĐ!T364,TTSSKĐ!X364,TTSSKĐ!AB364,TTSSKĐ!AF364))=11)*(CHOOSE({1,2,3,4},TTSSKĐ!W364,TTSSKĐ!AA364,TTSSKĐ!AE364,TTSSKĐ!AI364)))</f>
        <v>0</v>
      </c>
      <c r="L364">
        <f>SUMPRODUCT((MONTH(CHOOSE({1,2,3,4},TTSSKĐ!T364,TTSSKĐ!X364,TTSSKĐ!AB364,TTSSKĐ!AF364))=12)*(CHOOSE({1,2,3,4},TTSSKĐ!W364,TTSSKĐ!AA364,TTSSKĐ!AE364,TTSSKĐ!AI364)))</f>
        <v>0</v>
      </c>
    </row>
    <row r="365" spans="1:12">
      <c r="A365">
        <f>SUMPRODUCT((MONTH(CHOOSE({1,2,3,4},TTSSKĐ!T365,TTSSKĐ!X365,TTSSKĐ!AB365,TTSSKĐ!AF365))=1)*(CHOOSE({1,2,3,4},TTSSKĐ!W365,TTSSKĐ!AA365,TTSSKĐ!AE365,TTSSKĐ!AI365)))</f>
        <v>0</v>
      </c>
      <c r="B365">
        <f>SUMPRODUCT((MONTH(CHOOSE({1,2,3,4},TTSSKĐ!T365,TTSSKĐ!X365,TTSSKĐ!AB365,TTSSKĐ!AF365))=2)*(CHOOSE({1,2,3,4},TTSSKĐ!W365,TTSSKĐ!AA365,TTSSKĐ!AE365,TTSSKĐ!AI365)))</f>
        <v>0</v>
      </c>
      <c r="C365">
        <f>SUMPRODUCT((MONTH(CHOOSE({1,2,3,4},TTSSKĐ!T365,TTSSKĐ!X365,TTSSKĐ!AB365,TTSSKĐ!AF365))=3)*(CHOOSE({1,2,3,4},TTSSKĐ!W365,TTSSKĐ!AA365,TTSSKĐ!AE365,TTSSKĐ!AI365)))</f>
        <v>0</v>
      </c>
      <c r="D365">
        <f>SUMPRODUCT((MONTH(CHOOSE({1,2,3,4},TTSSKĐ!T365,TTSSKĐ!X365,TTSSKĐ!AB365,TTSSKĐ!AF365))=4)*(CHOOSE({1,2,3,4},TTSSKĐ!W365,TTSSKĐ!AA365,TTSSKĐ!AE365,TTSSKĐ!AI365)))</f>
        <v>0</v>
      </c>
      <c r="E365">
        <f>SUMPRODUCT((MONTH(CHOOSE({1,2,3,4},TTSSKĐ!T365,TTSSKĐ!X365,TTSSKĐ!AB365,TTSSKĐ!AF365))=5)*(CHOOSE({1,2,3,4},TTSSKĐ!W365,TTSSKĐ!AA365,TTSSKĐ!AE365,TTSSKĐ!AI365)))</f>
        <v>0</v>
      </c>
      <c r="F365">
        <f>SUMPRODUCT((MONTH(CHOOSE({1,2,3,4},TTSSKĐ!T365,TTSSKĐ!X365,TTSSKĐ!AB365,TTSSKĐ!AF365))=6)*(CHOOSE({1,2,3,4},TTSSKĐ!W365,TTSSKĐ!AA365,TTSSKĐ!AE365,TTSSKĐ!AI365)))</f>
        <v>0</v>
      </c>
      <c r="G365">
        <f>SUMPRODUCT((MONTH(CHOOSE({1,2,3,4},TTSSKĐ!T365,TTSSKĐ!X365,TTSSKĐ!AB365,TTSSKĐ!AF365))=7)*(CHOOSE({1,2,3,4},TTSSKĐ!W365,TTSSKĐ!AA365,TTSSKĐ!AE365,TTSSKĐ!AI365)))</f>
        <v>0</v>
      </c>
      <c r="H365">
        <f>SUMPRODUCT((MONTH(CHOOSE({1,2,3,4},TTSSKĐ!T365,TTSSKĐ!X365,TTSSKĐ!AB365,TTSSKĐ!AF365))=8)*(CHOOSE({1,2,3,4},TTSSKĐ!W365,TTSSKĐ!AA365,TTSSKĐ!AE365,TTSSKĐ!AI365)))</f>
        <v>0</v>
      </c>
      <c r="I365">
        <f>SUMPRODUCT((MONTH(CHOOSE({1,2,3,4},TTSSKĐ!T365,TTSSKĐ!X365,TTSSKĐ!AB365,TTSSKĐ!AF365))=9)*(CHOOSE({1,2,3,4},TTSSKĐ!W365,TTSSKĐ!AA365,TTSSKĐ!AE365,TTSSKĐ!AI365)))</f>
        <v>0</v>
      </c>
      <c r="J365">
        <f>SUMPRODUCT((MONTH(CHOOSE({1,2,3,4},TTSSKĐ!T365,TTSSKĐ!X365,TTSSKĐ!AB365,TTSSKĐ!AF365))=10)*(CHOOSE({1,2,3,4},TTSSKĐ!W365,TTSSKĐ!AA365,TTSSKĐ!AE365,TTSSKĐ!AI365)))</f>
        <v>0</v>
      </c>
      <c r="K365">
        <f>SUMPRODUCT((MONTH(CHOOSE({1,2,3,4},TTSSKĐ!T365,TTSSKĐ!X365,TTSSKĐ!AB365,TTSSKĐ!AF365))=11)*(CHOOSE({1,2,3,4},TTSSKĐ!W365,TTSSKĐ!AA365,TTSSKĐ!AE365,TTSSKĐ!AI365)))</f>
        <v>0</v>
      </c>
      <c r="L365">
        <f>SUMPRODUCT((MONTH(CHOOSE({1,2,3,4},TTSSKĐ!T365,TTSSKĐ!X365,TTSSKĐ!AB365,TTSSKĐ!AF365))=12)*(CHOOSE({1,2,3,4},TTSSKĐ!W365,TTSSKĐ!AA365,TTSSKĐ!AE365,TTSSKĐ!AI365)))</f>
        <v>0</v>
      </c>
    </row>
    <row r="366" spans="1:12">
      <c r="A366">
        <f>SUMPRODUCT((MONTH(CHOOSE({1,2,3,4},TTSSKĐ!T366,TTSSKĐ!X366,TTSSKĐ!AB366,TTSSKĐ!AF366))=1)*(CHOOSE({1,2,3,4},TTSSKĐ!W366,TTSSKĐ!AA366,TTSSKĐ!AE366,TTSSKĐ!AI366)))</f>
        <v>0</v>
      </c>
      <c r="B366">
        <f>SUMPRODUCT((MONTH(CHOOSE({1,2,3,4},TTSSKĐ!T366,TTSSKĐ!X366,TTSSKĐ!AB366,TTSSKĐ!AF366))=2)*(CHOOSE({1,2,3,4},TTSSKĐ!W366,TTSSKĐ!AA366,TTSSKĐ!AE366,TTSSKĐ!AI366)))</f>
        <v>0</v>
      </c>
      <c r="C366">
        <f>SUMPRODUCT((MONTH(CHOOSE({1,2,3,4},TTSSKĐ!T366,TTSSKĐ!X366,TTSSKĐ!AB366,TTSSKĐ!AF366))=3)*(CHOOSE({1,2,3,4},TTSSKĐ!W366,TTSSKĐ!AA366,TTSSKĐ!AE366,TTSSKĐ!AI366)))</f>
        <v>0</v>
      </c>
      <c r="D366">
        <f>SUMPRODUCT((MONTH(CHOOSE({1,2,3,4},TTSSKĐ!T366,TTSSKĐ!X366,TTSSKĐ!AB366,TTSSKĐ!AF366))=4)*(CHOOSE({1,2,3,4},TTSSKĐ!W366,TTSSKĐ!AA366,TTSSKĐ!AE366,TTSSKĐ!AI366)))</f>
        <v>0</v>
      </c>
      <c r="E366">
        <f>SUMPRODUCT((MONTH(CHOOSE({1,2,3,4},TTSSKĐ!T366,TTSSKĐ!X366,TTSSKĐ!AB366,TTSSKĐ!AF366))=5)*(CHOOSE({1,2,3,4},TTSSKĐ!W366,TTSSKĐ!AA366,TTSSKĐ!AE366,TTSSKĐ!AI366)))</f>
        <v>0</v>
      </c>
      <c r="F366">
        <f>SUMPRODUCT((MONTH(CHOOSE({1,2,3,4},TTSSKĐ!T366,TTSSKĐ!X366,TTSSKĐ!AB366,TTSSKĐ!AF366))=6)*(CHOOSE({1,2,3,4},TTSSKĐ!W366,TTSSKĐ!AA366,TTSSKĐ!AE366,TTSSKĐ!AI366)))</f>
        <v>0</v>
      </c>
      <c r="G366">
        <f>SUMPRODUCT((MONTH(CHOOSE({1,2,3,4},TTSSKĐ!T366,TTSSKĐ!X366,TTSSKĐ!AB366,TTSSKĐ!AF366))=7)*(CHOOSE({1,2,3,4},TTSSKĐ!W366,TTSSKĐ!AA366,TTSSKĐ!AE366,TTSSKĐ!AI366)))</f>
        <v>0</v>
      </c>
      <c r="H366">
        <f>SUMPRODUCT((MONTH(CHOOSE({1,2,3,4},TTSSKĐ!T366,TTSSKĐ!X366,TTSSKĐ!AB366,TTSSKĐ!AF366))=8)*(CHOOSE({1,2,3,4},TTSSKĐ!W366,TTSSKĐ!AA366,TTSSKĐ!AE366,TTSSKĐ!AI366)))</f>
        <v>0</v>
      </c>
      <c r="I366">
        <f>SUMPRODUCT((MONTH(CHOOSE({1,2,3,4},TTSSKĐ!T366,TTSSKĐ!X366,TTSSKĐ!AB366,TTSSKĐ!AF366))=9)*(CHOOSE({1,2,3,4},TTSSKĐ!W366,TTSSKĐ!AA366,TTSSKĐ!AE366,TTSSKĐ!AI366)))</f>
        <v>0</v>
      </c>
      <c r="J366">
        <f>SUMPRODUCT((MONTH(CHOOSE({1,2,3,4},TTSSKĐ!T366,TTSSKĐ!X366,TTSSKĐ!AB366,TTSSKĐ!AF366))=10)*(CHOOSE({1,2,3,4},TTSSKĐ!W366,TTSSKĐ!AA366,TTSSKĐ!AE366,TTSSKĐ!AI366)))</f>
        <v>0</v>
      </c>
      <c r="K366">
        <f>SUMPRODUCT((MONTH(CHOOSE({1,2,3,4},TTSSKĐ!T366,TTSSKĐ!X366,TTSSKĐ!AB366,TTSSKĐ!AF366))=11)*(CHOOSE({1,2,3,4},TTSSKĐ!W366,TTSSKĐ!AA366,TTSSKĐ!AE366,TTSSKĐ!AI366)))</f>
        <v>0</v>
      </c>
      <c r="L366">
        <f>SUMPRODUCT((MONTH(CHOOSE({1,2,3,4},TTSSKĐ!T366,TTSSKĐ!X366,TTSSKĐ!AB366,TTSSKĐ!AF366))=12)*(CHOOSE({1,2,3,4},TTSSKĐ!W366,TTSSKĐ!AA366,TTSSKĐ!AE366,TTSSKĐ!AI366)))</f>
        <v>0</v>
      </c>
    </row>
    <row r="367" spans="1:12">
      <c r="A367">
        <f>SUMPRODUCT((MONTH(CHOOSE({1,2,3,4},TTSSKĐ!T367,TTSSKĐ!X367,TTSSKĐ!AB367,TTSSKĐ!AF367))=1)*(CHOOSE({1,2,3,4},TTSSKĐ!W367,TTSSKĐ!AA367,TTSSKĐ!AE367,TTSSKĐ!AI367)))</f>
        <v>0</v>
      </c>
      <c r="B367">
        <f>SUMPRODUCT((MONTH(CHOOSE({1,2,3,4},TTSSKĐ!T367,TTSSKĐ!X367,TTSSKĐ!AB367,TTSSKĐ!AF367))=2)*(CHOOSE({1,2,3,4},TTSSKĐ!W367,TTSSKĐ!AA367,TTSSKĐ!AE367,TTSSKĐ!AI367)))</f>
        <v>0</v>
      </c>
      <c r="C367">
        <f>SUMPRODUCT((MONTH(CHOOSE({1,2,3,4},TTSSKĐ!T367,TTSSKĐ!X367,TTSSKĐ!AB367,TTSSKĐ!AF367))=3)*(CHOOSE({1,2,3,4},TTSSKĐ!W367,TTSSKĐ!AA367,TTSSKĐ!AE367,TTSSKĐ!AI367)))</f>
        <v>0</v>
      </c>
      <c r="D367">
        <f>SUMPRODUCT((MONTH(CHOOSE({1,2,3,4},TTSSKĐ!T367,TTSSKĐ!X367,TTSSKĐ!AB367,TTSSKĐ!AF367))=4)*(CHOOSE({1,2,3,4},TTSSKĐ!W367,TTSSKĐ!AA367,TTSSKĐ!AE367,TTSSKĐ!AI367)))</f>
        <v>0</v>
      </c>
      <c r="E367">
        <f>SUMPRODUCT((MONTH(CHOOSE({1,2,3,4},TTSSKĐ!T367,TTSSKĐ!X367,TTSSKĐ!AB367,TTSSKĐ!AF367))=5)*(CHOOSE({1,2,3,4},TTSSKĐ!W367,TTSSKĐ!AA367,TTSSKĐ!AE367,TTSSKĐ!AI367)))</f>
        <v>0</v>
      </c>
      <c r="F367">
        <f>SUMPRODUCT((MONTH(CHOOSE({1,2,3,4},TTSSKĐ!T367,TTSSKĐ!X367,TTSSKĐ!AB367,TTSSKĐ!AF367))=6)*(CHOOSE({1,2,3,4},TTSSKĐ!W367,TTSSKĐ!AA367,TTSSKĐ!AE367,TTSSKĐ!AI367)))</f>
        <v>0</v>
      </c>
      <c r="G367">
        <f>SUMPRODUCT((MONTH(CHOOSE({1,2,3,4},TTSSKĐ!T367,TTSSKĐ!X367,TTSSKĐ!AB367,TTSSKĐ!AF367))=7)*(CHOOSE({1,2,3,4},TTSSKĐ!W367,TTSSKĐ!AA367,TTSSKĐ!AE367,TTSSKĐ!AI367)))</f>
        <v>0</v>
      </c>
      <c r="H367">
        <f>SUMPRODUCT((MONTH(CHOOSE({1,2,3,4},TTSSKĐ!T367,TTSSKĐ!X367,TTSSKĐ!AB367,TTSSKĐ!AF367))=8)*(CHOOSE({1,2,3,4},TTSSKĐ!W367,TTSSKĐ!AA367,TTSSKĐ!AE367,TTSSKĐ!AI367)))</f>
        <v>0</v>
      </c>
      <c r="I367">
        <f>SUMPRODUCT((MONTH(CHOOSE({1,2,3,4},TTSSKĐ!T367,TTSSKĐ!X367,TTSSKĐ!AB367,TTSSKĐ!AF367))=9)*(CHOOSE({1,2,3,4},TTSSKĐ!W367,TTSSKĐ!AA367,TTSSKĐ!AE367,TTSSKĐ!AI367)))</f>
        <v>0</v>
      </c>
      <c r="J367">
        <f>SUMPRODUCT((MONTH(CHOOSE({1,2,3,4},TTSSKĐ!T367,TTSSKĐ!X367,TTSSKĐ!AB367,TTSSKĐ!AF367))=10)*(CHOOSE({1,2,3,4},TTSSKĐ!W367,TTSSKĐ!AA367,TTSSKĐ!AE367,TTSSKĐ!AI367)))</f>
        <v>0</v>
      </c>
      <c r="K367">
        <f>SUMPRODUCT((MONTH(CHOOSE({1,2,3,4},TTSSKĐ!T367,TTSSKĐ!X367,TTSSKĐ!AB367,TTSSKĐ!AF367))=11)*(CHOOSE({1,2,3,4},TTSSKĐ!W367,TTSSKĐ!AA367,TTSSKĐ!AE367,TTSSKĐ!AI367)))</f>
        <v>0</v>
      </c>
      <c r="L367">
        <f>SUMPRODUCT((MONTH(CHOOSE({1,2,3,4},TTSSKĐ!T367,TTSSKĐ!X367,TTSSKĐ!AB367,TTSSKĐ!AF367))=12)*(CHOOSE({1,2,3,4},TTSSKĐ!W367,TTSSKĐ!AA367,TTSSKĐ!AE367,TTSSKĐ!AI367)))</f>
        <v>0</v>
      </c>
    </row>
    <row r="368" spans="1:12">
      <c r="A368">
        <f>SUMPRODUCT((MONTH(CHOOSE({1,2,3,4},TTSSKĐ!T368,TTSSKĐ!X368,TTSSKĐ!AB368,TTSSKĐ!AF368))=1)*(CHOOSE({1,2,3,4},TTSSKĐ!W368,TTSSKĐ!AA368,TTSSKĐ!AE368,TTSSKĐ!AI368)))</f>
        <v>0</v>
      </c>
      <c r="B368">
        <f>SUMPRODUCT((MONTH(CHOOSE({1,2,3,4},TTSSKĐ!T368,TTSSKĐ!X368,TTSSKĐ!AB368,TTSSKĐ!AF368))=2)*(CHOOSE({1,2,3,4},TTSSKĐ!W368,TTSSKĐ!AA368,TTSSKĐ!AE368,TTSSKĐ!AI368)))</f>
        <v>0</v>
      </c>
      <c r="C368">
        <f>SUMPRODUCT((MONTH(CHOOSE({1,2,3,4},TTSSKĐ!T368,TTSSKĐ!X368,TTSSKĐ!AB368,TTSSKĐ!AF368))=3)*(CHOOSE({1,2,3,4},TTSSKĐ!W368,TTSSKĐ!AA368,TTSSKĐ!AE368,TTSSKĐ!AI368)))</f>
        <v>0</v>
      </c>
      <c r="D368">
        <f>SUMPRODUCT((MONTH(CHOOSE({1,2,3,4},TTSSKĐ!T368,TTSSKĐ!X368,TTSSKĐ!AB368,TTSSKĐ!AF368))=4)*(CHOOSE({1,2,3,4},TTSSKĐ!W368,TTSSKĐ!AA368,TTSSKĐ!AE368,TTSSKĐ!AI368)))</f>
        <v>0</v>
      </c>
      <c r="E368">
        <f>SUMPRODUCT((MONTH(CHOOSE({1,2,3,4},TTSSKĐ!T368,TTSSKĐ!X368,TTSSKĐ!AB368,TTSSKĐ!AF368))=5)*(CHOOSE({1,2,3,4},TTSSKĐ!W368,TTSSKĐ!AA368,TTSSKĐ!AE368,TTSSKĐ!AI368)))</f>
        <v>0</v>
      </c>
      <c r="F368">
        <f>SUMPRODUCT((MONTH(CHOOSE({1,2,3,4},TTSSKĐ!T368,TTSSKĐ!X368,TTSSKĐ!AB368,TTSSKĐ!AF368))=6)*(CHOOSE({1,2,3,4},TTSSKĐ!W368,TTSSKĐ!AA368,TTSSKĐ!AE368,TTSSKĐ!AI368)))</f>
        <v>0</v>
      </c>
      <c r="G368">
        <f>SUMPRODUCT((MONTH(CHOOSE({1,2,3,4},TTSSKĐ!T368,TTSSKĐ!X368,TTSSKĐ!AB368,TTSSKĐ!AF368))=7)*(CHOOSE({1,2,3,4},TTSSKĐ!W368,TTSSKĐ!AA368,TTSSKĐ!AE368,TTSSKĐ!AI368)))</f>
        <v>0</v>
      </c>
      <c r="H368">
        <f>SUMPRODUCT((MONTH(CHOOSE({1,2,3,4},TTSSKĐ!T368,TTSSKĐ!X368,TTSSKĐ!AB368,TTSSKĐ!AF368))=8)*(CHOOSE({1,2,3,4},TTSSKĐ!W368,TTSSKĐ!AA368,TTSSKĐ!AE368,TTSSKĐ!AI368)))</f>
        <v>0</v>
      </c>
      <c r="I368">
        <f>SUMPRODUCT((MONTH(CHOOSE({1,2,3,4},TTSSKĐ!T368,TTSSKĐ!X368,TTSSKĐ!AB368,TTSSKĐ!AF368))=9)*(CHOOSE({1,2,3,4},TTSSKĐ!W368,TTSSKĐ!AA368,TTSSKĐ!AE368,TTSSKĐ!AI368)))</f>
        <v>0</v>
      </c>
      <c r="J368">
        <f>SUMPRODUCT((MONTH(CHOOSE({1,2,3,4},TTSSKĐ!T368,TTSSKĐ!X368,TTSSKĐ!AB368,TTSSKĐ!AF368))=10)*(CHOOSE({1,2,3,4},TTSSKĐ!W368,TTSSKĐ!AA368,TTSSKĐ!AE368,TTSSKĐ!AI368)))</f>
        <v>0</v>
      </c>
      <c r="K368">
        <f>SUMPRODUCT((MONTH(CHOOSE({1,2,3,4},TTSSKĐ!T368,TTSSKĐ!X368,TTSSKĐ!AB368,TTSSKĐ!AF368))=11)*(CHOOSE({1,2,3,4},TTSSKĐ!W368,TTSSKĐ!AA368,TTSSKĐ!AE368,TTSSKĐ!AI368)))</f>
        <v>0</v>
      </c>
      <c r="L368">
        <f>SUMPRODUCT((MONTH(CHOOSE({1,2,3,4},TTSSKĐ!T368,TTSSKĐ!X368,TTSSKĐ!AB368,TTSSKĐ!AF368))=12)*(CHOOSE({1,2,3,4},TTSSKĐ!W368,TTSSKĐ!AA368,TTSSKĐ!AE368,TTSSKĐ!AI368)))</f>
        <v>0</v>
      </c>
    </row>
    <row r="369" spans="1:12">
      <c r="A369">
        <f>SUMPRODUCT((MONTH(CHOOSE({1,2,3,4},TTSSKĐ!T369,TTSSKĐ!X369,TTSSKĐ!AB369,TTSSKĐ!AF369))=1)*(CHOOSE({1,2,3,4},TTSSKĐ!W369,TTSSKĐ!AA369,TTSSKĐ!AE369,TTSSKĐ!AI369)))</f>
        <v>0</v>
      </c>
      <c r="B369">
        <f>SUMPRODUCT((MONTH(CHOOSE({1,2,3,4},TTSSKĐ!T369,TTSSKĐ!X369,TTSSKĐ!AB369,TTSSKĐ!AF369))=2)*(CHOOSE({1,2,3,4},TTSSKĐ!W369,TTSSKĐ!AA369,TTSSKĐ!AE369,TTSSKĐ!AI369)))</f>
        <v>0</v>
      </c>
      <c r="C369">
        <f>SUMPRODUCT((MONTH(CHOOSE({1,2,3,4},TTSSKĐ!T369,TTSSKĐ!X369,TTSSKĐ!AB369,TTSSKĐ!AF369))=3)*(CHOOSE({1,2,3,4},TTSSKĐ!W369,TTSSKĐ!AA369,TTSSKĐ!AE369,TTSSKĐ!AI369)))</f>
        <v>0</v>
      </c>
      <c r="D369">
        <f>SUMPRODUCT((MONTH(CHOOSE({1,2,3,4},TTSSKĐ!T369,TTSSKĐ!X369,TTSSKĐ!AB369,TTSSKĐ!AF369))=4)*(CHOOSE({1,2,3,4},TTSSKĐ!W369,TTSSKĐ!AA369,TTSSKĐ!AE369,TTSSKĐ!AI369)))</f>
        <v>0</v>
      </c>
      <c r="E369">
        <f>SUMPRODUCT((MONTH(CHOOSE({1,2,3,4},TTSSKĐ!T369,TTSSKĐ!X369,TTSSKĐ!AB369,TTSSKĐ!AF369))=5)*(CHOOSE({1,2,3,4},TTSSKĐ!W369,TTSSKĐ!AA369,TTSSKĐ!AE369,TTSSKĐ!AI369)))</f>
        <v>0</v>
      </c>
      <c r="F369">
        <f>SUMPRODUCT((MONTH(CHOOSE({1,2,3,4},TTSSKĐ!T369,TTSSKĐ!X369,TTSSKĐ!AB369,TTSSKĐ!AF369))=6)*(CHOOSE({1,2,3,4},TTSSKĐ!W369,TTSSKĐ!AA369,TTSSKĐ!AE369,TTSSKĐ!AI369)))</f>
        <v>0</v>
      </c>
      <c r="G369">
        <f>SUMPRODUCT((MONTH(CHOOSE({1,2,3,4},TTSSKĐ!T369,TTSSKĐ!X369,TTSSKĐ!AB369,TTSSKĐ!AF369))=7)*(CHOOSE({1,2,3,4},TTSSKĐ!W369,TTSSKĐ!AA369,TTSSKĐ!AE369,TTSSKĐ!AI369)))</f>
        <v>0</v>
      </c>
      <c r="H369">
        <f>SUMPRODUCT((MONTH(CHOOSE({1,2,3,4},TTSSKĐ!T369,TTSSKĐ!X369,TTSSKĐ!AB369,TTSSKĐ!AF369))=8)*(CHOOSE({1,2,3,4},TTSSKĐ!W369,TTSSKĐ!AA369,TTSSKĐ!AE369,TTSSKĐ!AI369)))</f>
        <v>0</v>
      </c>
      <c r="I369">
        <f>SUMPRODUCT((MONTH(CHOOSE({1,2,3,4},TTSSKĐ!T369,TTSSKĐ!X369,TTSSKĐ!AB369,TTSSKĐ!AF369))=9)*(CHOOSE({1,2,3,4},TTSSKĐ!W369,TTSSKĐ!AA369,TTSSKĐ!AE369,TTSSKĐ!AI369)))</f>
        <v>0</v>
      </c>
      <c r="J369">
        <f>SUMPRODUCT((MONTH(CHOOSE({1,2,3,4},TTSSKĐ!T369,TTSSKĐ!X369,TTSSKĐ!AB369,TTSSKĐ!AF369))=10)*(CHOOSE({1,2,3,4},TTSSKĐ!W369,TTSSKĐ!AA369,TTSSKĐ!AE369,TTSSKĐ!AI369)))</f>
        <v>0</v>
      </c>
      <c r="K369">
        <f>SUMPRODUCT((MONTH(CHOOSE({1,2,3,4},TTSSKĐ!T369,TTSSKĐ!X369,TTSSKĐ!AB369,TTSSKĐ!AF369))=11)*(CHOOSE({1,2,3,4},TTSSKĐ!W369,TTSSKĐ!AA369,TTSSKĐ!AE369,TTSSKĐ!AI369)))</f>
        <v>0</v>
      </c>
      <c r="L369">
        <f>SUMPRODUCT((MONTH(CHOOSE({1,2,3,4},TTSSKĐ!T369,TTSSKĐ!X369,TTSSKĐ!AB369,TTSSKĐ!AF369))=12)*(CHOOSE({1,2,3,4},TTSSKĐ!W369,TTSSKĐ!AA369,TTSSKĐ!AE369,TTSSKĐ!AI369)))</f>
        <v>0</v>
      </c>
    </row>
    <row r="370" spans="1:12">
      <c r="A370">
        <f>SUMPRODUCT((MONTH(CHOOSE({1,2,3,4},TTSSKĐ!T370,TTSSKĐ!X370,TTSSKĐ!AB370,TTSSKĐ!AF370))=1)*(CHOOSE({1,2,3,4},TTSSKĐ!W370,TTSSKĐ!AA370,TTSSKĐ!AE370,TTSSKĐ!AI370)))</f>
        <v>0</v>
      </c>
      <c r="B370">
        <f>SUMPRODUCT((MONTH(CHOOSE({1,2,3,4},TTSSKĐ!T370,TTSSKĐ!X370,TTSSKĐ!AB370,TTSSKĐ!AF370))=2)*(CHOOSE({1,2,3,4},TTSSKĐ!W370,TTSSKĐ!AA370,TTSSKĐ!AE370,TTSSKĐ!AI370)))</f>
        <v>0</v>
      </c>
      <c r="C370">
        <f>SUMPRODUCT((MONTH(CHOOSE({1,2,3,4},TTSSKĐ!T370,TTSSKĐ!X370,TTSSKĐ!AB370,TTSSKĐ!AF370))=3)*(CHOOSE({1,2,3,4},TTSSKĐ!W370,TTSSKĐ!AA370,TTSSKĐ!AE370,TTSSKĐ!AI370)))</f>
        <v>0</v>
      </c>
      <c r="D370">
        <f>SUMPRODUCT((MONTH(CHOOSE({1,2,3,4},TTSSKĐ!T370,TTSSKĐ!X370,TTSSKĐ!AB370,TTSSKĐ!AF370))=4)*(CHOOSE({1,2,3,4},TTSSKĐ!W370,TTSSKĐ!AA370,TTSSKĐ!AE370,TTSSKĐ!AI370)))</f>
        <v>0</v>
      </c>
      <c r="E370">
        <f>SUMPRODUCT((MONTH(CHOOSE({1,2,3,4},TTSSKĐ!T370,TTSSKĐ!X370,TTSSKĐ!AB370,TTSSKĐ!AF370))=5)*(CHOOSE({1,2,3,4},TTSSKĐ!W370,TTSSKĐ!AA370,TTSSKĐ!AE370,TTSSKĐ!AI370)))</f>
        <v>0</v>
      </c>
      <c r="F370">
        <f>SUMPRODUCT((MONTH(CHOOSE({1,2,3,4},TTSSKĐ!T370,TTSSKĐ!X370,TTSSKĐ!AB370,TTSSKĐ!AF370))=6)*(CHOOSE({1,2,3,4},TTSSKĐ!W370,TTSSKĐ!AA370,TTSSKĐ!AE370,TTSSKĐ!AI370)))</f>
        <v>0</v>
      </c>
      <c r="G370">
        <f>SUMPRODUCT((MONTH(CHOOSE({1,2,3,4},TTSSKĐ!T370,TTSSKĐ!X370,TTSSKĐ!AB370,TTSSKĐ!AF370))=7)*(CHOOSE({1,2,3,4},TTSSKĐ!W370,TTSSKĐ!AA370,TTSSKĐ!AE370,TTSSKĐ!AI370)))</f>
        <v>0</v>
      </c>
      <c r="H370">
        <f>SUMPRODUCT((MONTH(CHOOSE({1,2,3,4},TTSSKĐ!T370,TTSSKĐ!X370,TTSSKĐ!AB370,TTSSKĐ!AF370))=8)*(CHOOSE({1,2,3,4},TTSSKĐ!W370,TTSSKĐ!AA370,TTSSKĐ!AE370,TTSSKĐ!AI370)))</f>
        <v>0</v>
      </c>
      <c r="I370">
        <f>SUMPRODUCT((MONTH(CHOOSE({1,2,3,4},TTSSKĐ!T370,TTSSKĐ!X370,TTSSKĐ!AB370,TTSSKĐ!AF370))=9)*(CHOOSE({1,2,3,4},TTSSKĐ!W370,TTSSKĐ!AA370,TTSSKĐ!AE370,TTSSKĐ!AI370)))</f>
        <v>0</v>
      </c>
      <c r="J370">
        <f>SUMPRODUCT((MONTH(CHOOSE({1,2,3,4},TTSSKĐ!T370,TTSSKĐ!X370,TTSSKĐ!AB370,TTSSKĐ!AF370))=10)*(CHOOSE({1,2,3,4},TTSSKĐ!W370,TTSSKĐ!AA370,TTSSKĐ!AE370,TTSSKĐ!AI370)))</f>
        <v>0</v>
      </c>
      <c r="K370">
        <f>SUMPRODUCT((MONTH(CHOOSE({1,2,3,4},TTSSKĐ!T370,TTSSKĐ!X370,TTSSKĐ!AB370,TTSSKĐ!AF370))=11)*(CHOOSE({1,2,3,4},TTSSKĐ!W370,TTSSKĐ!AA370,TTSSKĐ!AE370,TTSSKĐ!AI370)))</f>
        <v>0</v>
      </c>
      <c r="L370">
        <f>SUMPRODUCT((MONTH(CHOOSE({1,2,3,4},TTSSKĐ!T370,TTSSKĐ!X370,TTSSKĐ!AB370,TTSSKĐ!AF370))=12)*(CHOOSE({1,2,3,4},TTSSKĐ!W370,TTSSKĐ!AA370,TTSSKĐ!AE370,TTSSKĐ!AI370)))</f>
        <v>0</v>
      </c>
    </row>
    <row r="371" spans="1:12">
      <c r="A371">
        <f>SUMPRODUCT((MONTH(CHOOSE({1,2,3,4},TTSSKĐ!T371,TTSSKĐ!X371,TTSSKĐ!AB371,TTSSKĐ!AF371))=1)*(CHOOSE({1,2,3,4},TTSSKĐ!W371,TTSSKĐ!AA371,TTSSKĐ!AE371,TTSSKĐ!AI371)))</f>
        <v>0</v>
      </c>
      <c r="B371">
        <f>SUMPRODUCT((MONTH(CHOOSE({1,2,3,4},TTSSKĐ!T371,TTSSKĐ!X371,TTSSKĐ!AB371,TTSSKĐ!AF371))=2)*(CHOOSE({1,2,3,4},TTSSKĐ!W371,TTSSKĐ!AA371,TTSSKĐ!AE371,TTSSKĐ!AI371)))</f>
        <v>0</v>
      </c>
      <c r="C371">
        <f>SUMPRODUCT((MONTH(CHOOSE({1,2,3,4},TTSSKĐ!T371,TTSSKĐ!X371,TTSSKĐ!AB371,TTSSKĐ!AF371))=3)*(CHOOSE({1,2,3,4},TTSSKĐ!W371,TTSSKĐ!AA371,TTSSKĐ!AE371,TTSSKĐ!AI371)))</f>
        <v>0</v>
      </c>
      <c r="D371">
        <f>SUMPRODUCT((MONTH(CHOOSE({1,2,3,4},TTSSKĐ!T371,TTSSKĐ!X371,TTSSKĐ!AB371,TTSSKĐ!AF371))=4)*(CHOOSE({1,2,3,4},TTSSKĐ!W371,TTSSKĐ!AA371,TTSSKĐ!AE371,TTSSKĐ!AI371)))</f>
        <v>0</v>
      </c>
      <c r="E371">
        <f>SUMPRODUCT((MONTH(CHOOSE({1,2,3,4},TTSSKĐ!T371,TTSSKĐ!X371,TTSSKĐ!AB371,TTSSKĐ!AF371))=5)*(CHOOSE({1,2,3,4},TTSSKĐ!W371,TTSSKĐ!AA371,TTSSKĐ!AE371,TTSSKĐ!AI371)))</f>
        <v>0</v>
      </c>
      <c r="F371">
        <f>SUMPRODUCT((MONTH(CHOOSE({1,2,3,4},TTSSKĐ!T371,TTSSKĐ!X371,TTSSKĐ!AB371,TTSSKĐ!AF371))=6)*(CHOOSE({1,2,3,4},TTSSKĐ!W371,TTSSKĐ!AA371,TTSSKĐ!AE371,TTSSKĐ!AI371)))</f>
        <v>0</v>
      </c>
      <c r="G371">
        <f>SUMPRODUCT((MONTH(CHOOSE({1,2,3,4},TTSSKĐ!T371,TTSSKĐ!X371,TTSSKĐ!AB371,TTSSKĐ!AF371))=7)*(CHOOSE({1,2,3,4},TTSSKĐ!W371,TTSSKĐ!AA371,TTSSKĐ!AE371,TTSSKĐ!AI371)))</f>
        <v>0</v>
      </c>
      <c r="H371">
        <f>SUMPRODUCT((MONTH(CHOOSE({1,2,3,4},TTSSKĐ!T371,TTSSKĐ!X371,TTSSKĐ!AB371,TTSSKĐ!AF371))=8)*(CHOOSE({1,2,3,4},TTSSKĐ!W371,TTSSKĐ!AA371,TTSSKĐ!AE371,TTSSKĐ!AI371)))</f>
        <v>0</v>
      </c>
      <c r="I371">
        <f>SUMPRODUCT((MONTH(CHOOSE({1,2,3,4},TTSSKĐ!T371,TTSSKĐ!X371,TTSSKĐ!AB371,TTSSKĐ!AF371))=9)*(CHOOSE({1,2,3,4},TTSSKĐ!W371,TTSSKĐ!AA371,TTSSKĐ!AE371,TTSSKĐ!AI371)))</f>
        <v>0</v>
      </c>
      <c r="J371">
        <f>SUMPRODUCT((MONTH(CHOOSE({1,2,3,4},TTSSKĐ!T371,TTSSKĐ!X371,TTSSKĐ!AB371,TTSSKĐ!AF371))=10)*(CHOOSE({1,2,3,4},TTSSKĐ!W371,TTSSKĐ!AA371,TTSSKĐ!AE371,TTSSKĐ!AI371)))</f>
        <v>0</v>
      </c>
      <c r="K371">
        <f>SUMPRODUCT((MONTH(CHOOSE({1,2,3,4},TTSSKĐ!T371,TTSSKĐ!X371,TTSSKĐ!AB371,TTSSKĐ!AF371))=11)*(CHOOSE({1,2,3,4},TTSSKĐ!W371,TTSSKĐ!AA371,TTSSKĐ!AE371,TTSSKĐ!AI371)))</f>
        <v>0</v>
      </c>
      <c r="L371">
        <f>SUMPRODUCT((MONTH(CHOOSE({1,2,3,4},TTSSKĐ!T371,TTSSKĐ!X371,TTSSKĐ!AB371,TTSSKĐ!AF371))=12)*(CHOOSE({1,2,3,4},TTSSKĐ!W371,TTSSKĐ!AA371,TTSSKĐ!AE371,TTSSKĐ!AI371)))</f>
        <v>0</v>
      </c>
    </row>
    <row r="372" spans="1:12">
      <c r="A372">
        <f>SUMPRODUCT((MONTH(CHOOSE({1,2,3,4},TTSSKĐ!T372,TTSSKĐ!X372,TTSSKĐ!AB372,TTSSKĐ!AF372))=1)*(CHOOSE({1,2,3,4},TTSSKĐ!W372,TTSSKĐ!AA372,TTSSKĐ!AE372,TTSSKĐ!AI372)))</f>
        <v>0</v>
      </c>
      <c r="B372">
        <f>SUMPRODUCT((MONTH(CHOOSE({1,2,3,4},TTSSKĐ!T372,TTSSKĐ!X372,TTSSKĐ!AB372,TTSSKĐ!AF372))=2)*(CHOOSE({1,2,3,4},TTSSKĐ!W372,TTSSKĐ!AA372,TTSSKĐ!AE372,TTSSKĐ!AI372)))</f>
        <v>0</v>
      </c>
      <c r="C372">
        <f>SUMPRODUCT((MONTH(CHOOSE({1,2,3,4},TTSSKĐ!T372,TTSSKĐ!X372,TTSSKĐ!AB372,TTSSKĐ!AF372))=3)*(CHOOSE({1,2,3,4},TTSSKĐ!W372,TTSSKĐ!AA372,TTSSKĐ!AE372,TTSSKĐ!AI372)))</f>
        <v>0</v>
      </c>
      <c r="D372">
        <f>SUMPRODUCT((MONTH(CHOOSE({1,2,3,4},TTSSKĐ!T372,TTSSKĐ!X372,TTSSKĐ!AB372,TTSSKĐ!AF372))=4)*(CHOOSE({1,2,3,4},TTSSKĐ!W372,TTSSKĐ!AA372,TTSSKĐ!AE372,TTSSKĐ!AI372)))</f>
        <v>0</v>
      </c>
      <c r="E372">
        <f>SUMPRODUCT((MONTH(CHOOSE({1,2,3,4},TTSSKĐ!T372,TTSSKĐ!X372,TTSSKĐ!AB372,TTSSKĐ!AF372))=5)*(CHOOSE({1,2,3,4},TTSSKĐ!W372,TTSSKĐ!AA372,TTSSKĐ!AE372,TTSSKĐ!AI372)))</f>
        <v>0</v>
      </c>
      <c r="F372">
        <f>SUMPRODUCT((MONTH(CHOOSE({1,2,3,4},TTSSKĐ!T372,TTSSKĐ!X372,TTSSKĐ!AB372,TTSSKĐ!AF372))=6)*(CHOOSE({1,2,3,4},TTSSKĐ!W372,TTSSKĐ!AA372,TTSSKĐ!AE372,TTSSKĐ!AI372)))</f>
        <v>0</v>
      </c>
      <c r="G372">
        <f>SUMPRODUCT((MONTH(CHOOSE({1,2,3,4},TTSSKĐ!T372,TTSSKĐ!X372,TTSSKĐ!AB372,TTSSKĐ!AF372))=7)*(CHOOSE({1,2,3,4},TTSSKĐ!W372,TTSSKĐ!AA372,TTSSKĐ!AE372,TTSSKĐ!AI372)))</f>
        <v>0</v>
      </c>
      <c r="H372">
        <f>SUMPRODUCT((MONTH(CHOOSE({1,2,3,4},TTSSKĐ!T372,TTSSKĐ!X372,TTSSKĐ!AB372,TTSSKĐ!AF372))=8)*(CHOOSE({1,2,3,4},TTSSKĐ!W372,TTSSKĐ!AA372,TTSSKĐ!AE372,TTSSKĐ!AI372)))</f>
        <v>0</v>
      </c>
      <c r="I372">
        <f>SUMPRODUCT((MONTH(CHOOSE({1,2,3,4},TTSSKĐ!T372,TTSSKĐ!X372,TTSSKĐ!AB372,TTSSKĐ!AF372))=9)*(CHOOSE({1,2,3,4},TTSSKĐ!W372,TTSSKĐ!AA372,TTSSKĐ!AE372,TTSSKĐ!AI372)))</f>
        <v>0</v>
      </c>
      <c r="J372">
        <f>SUMPRODUCT((MONTH(CHOOSE({1,2,3,4},TTSSKĐ!T372,TTSSKĐ!X372,TTSSKĐ!AB372,TTSSKĐ!AF372))=10)*(CHOOSE({1,2,3,4},TTSSKĐ!W372,TTSSKĐ!AA372,TTSSKĐ!AE372,TTSSKĐ!AI372)))</f>
        <v>0</v>
      </c>
      <c r="K372">
        <f>SUMPRODUCT((MONTH(CHOOSE({1,2,3,4},TTSSKĐ!T372,TTSSKĐ!X372,TTSSKĐ!AB372,TTSSKĐ!AF372))=11)*(CHOOSE({1,2,3,4},TTSSKĐ!W372,TTSSKĐ!AA372,TTSSKĐ!AE372,TTSSKĐ!AI372)))</f>
        <v>0</v>
      </c>
      <c r="L372">
        <f>SUMPRODUCT((MONTH(CHOOSE({1,2,3,4},TTSSKĐ!T372,TTSSKĐ!X372,TTSSKĐ!AB372,TTSSKĐ!AF372))=12)*(CHOOSE({1,2,3,4},TTSSKĐ!W372,TTSSKĐ!AA372,TTSSKĐ!AE372,TTSSKĐ!AI372)))</f>
        <v>0</v>
      </c>
    </row>
    <row r="373" spans="1:12">
      <c r="A373">
        <f>SUMPRODUCT((MONTH(CHOOSE({1,2,3,4},TTSSKĐ!T373,TTSSKĐ!X373,TTSSKĐ!AB373,TTSSKĐ!AF373))=1)*(CHOOSE({1,2,3,4},TTSSKĐ!W373,TTSSKĐ!AA373,TTSSKĐ!AE373,TTSSKĐ!AI373)))</f>
        <v>0</v>
      </c>
      <c r="B373">
        <f>SUMPRODUCT((MONTH(CHOOSE({1,2,3,4},TTSSKĐ!T373,TTSSKĐ!X373,TTSSKĐ!AB373,TTSSKĐ!AF373))=2)*(CHOOSE({1,2,3,4},TTSSKĐ!W373,TTSSKĐ!AA373,TTSSKĐ!AE373,TTSSKĐ!AI373)))</f>
        <v>0</v>
      </c>
      <c r="C373">
        <f>SUMPRODUCT((MONTH(CHOOSE({1,2,3,4},TTSSKĐ!T373,TTSSKĐ!X373,TTSSKĐ!AB373,TTSSKĐ!AF373))=3)*(CHOOSE({1,2,3,4},TTSSKĐ!W373,TTSSKĐ!AA373,TTSSKĐ!AE373,TTSSKĐ!AI373)))</f>
        <v>0</v>
      </c>
      <c r="D373">
        <f>SUMPRODUCT((MONTH(CHOOSE({1,2,3,4},TTSSKĐ!T373,TTSSKĐ!X373,TTSSKĐ!AB373,TTSSKĐ!AF373))=4)*(CHOOSE({1,2,3,4},TTSSKĐ!W373,TTSSKĐ!AA373,TTSSKĐ!AE373,TTSSKĐ!AI373)))</f>
        <v>0</v>
      </c>
      <c r="E373">
        <f>SUMPRODUCT((MONTH(CHOOSE({1,2,3,4},TTSSKĐ!T373,TTSSKĐ!X373,TTSSKĐ!AB373,TTSSKĐ!AF373))=5)*(CHOOSE({1,2,3,4},TTSSKĐ!W373,TTSSKĐ!AA373,TTSSKĐ!AE373,TTSSKĐ!AI373)))</f>
        <v>0</v>
      </c>
      <c r="F373">
        <f>SUMPRODUCT((MONTH(CHOOSE({1,2,3,4},TTSSKĐ!T373,TTSSKĐ!X373,TTSSKĐ!AB373,TTSSKĐ!AF373))=6)*(CHOOSE({1,2,3,4},TTSSKĐ!W373,TTSSKĐ!AA373,TTSSKĐ!AE373,TTSSKĐ!AI373)))</f>
        <v>0</v>
      </c>
      <c r="G373">
        <f>SUMPRODUCT((MONTH(CHOOSE({1,2,3,4},TTSSKĐ!T373,TTSSKĐ!X373,TTSSKĐ!AB373,TTSSKĐ!AF373))=7)*(CHOOSE({1,2,3,4},TTSSKĐ!W373,TTSSKĐ!AA373,TTSSKĐ!AE373,TTSSKĐ!AI373)))</f>
        <v>0</v>
      </c>
      <c r="H373">
        <f>SUMPRODUCT((MONTH(CHOOSE({1,2,3,4},TTSSKĐ!T373,TTSSKĐ!X373,TTSSKĐ!AB373,TTSSKĐ!AF373))=8)*(CHOOSE({1,2,3,4},TTSSKĐ!W373,TTSSKĐ!AA373,TTSSKĐ!AE373,TTSSKĐ!AI373)))</f>
        <v>0</v>
      </c>
      <c r="I373">
        <f>SUMPRODUCT((MONTH(CHOOSE({1,2,3,4},TTSSKĐ!T373,TTSSKĐ!X373,TTSSKĐ!AB373,TTSSKĐ!AF373))=9)*(CHOOSE({1,2,3,4},TTSSKĐ!W373,TTSSKĐ!AA373,TTSSKĐ!AE373,TTSSKĐ!AI373)))</f>
        <v>0</v>
      </c>
      <c r="J373">
        <f>SUMPRODUCT((MONTH(CHOOSE({1,2,3,4},TTSSKĐ!T373,TTSSKĐ!X373,TTSSKĐ!AB373,TTSSKĐ!AF373))=10)*(CHOOSE({1,2,3,4},TTSSKĐ!W373,TTSSKĐ!AA373,TTSSKĐ!AE373,TTSSKĐ!AI373)))</f>
        <v>0</v>
      </c>
      <c r="K373">
        <f>SUMPRODUCT((MONTH(CHOOSE({1,2,3,4},TTSSKĐ!T373,TTSSKĐ!X373,TTSSKĐ!AB373,TTSSKĐ!AF373))=11)*(CHOOSE({1,2,3,4},TTSSKĐ!W373,TTSSKĐ!AA373,TTSSKĐ!AE373,TTSSKĐ!AI373)))</f>
        <v>0</v>
      </c>
      <c r="L373">
        <f>SUMPRODUCT((MONTH(CHOOSE({1,2,3,4},TTSSKĐ!T373,TTSSKĐ!X373,TTSSKĐ!AB373,TTSSKĐ!AF373))=12)*(CHOOSE({1,2,3,4},TTSSKĐ!W373,TTSSKĐ!AA373,TTSSKĐ!AE373,TTSSKĐ!AI373)))</f>
        <v>0</v>
      </c>
    </row>
    <row r="374" spans="1:12">
      <c r="A374">
        <f>SUMPRODUCT((MONTH(CHOOSE({1,2,3,4},TTSSKĐ!T374,TTSSKĐ!X374,TTSSKĐ!AB374,TTSSKĐ!AF374))=1)*(CHOOSE({1,2,3,4},TTSSKĐ!W374,TTSSKĐ!AA374,TTSSKĐ!AE374,TTSSKĐ!AI374)))</f>
        <v>0</v>
      </c>
      <c r="B374">
        <f>SUMPRODUCT((MONTH(CHOOSE({1,2,3,4},TTSSKĐ!T374,TTSSKĐ!X374,TTSSKĐ!AB374,TTSSKĐ!AF374))=2)*(CHOOSE({1,2,3,4},TTSSKĐ!W374,TTSSKĐ!AA374,TTSSKĐ!AE374,TTSSKĐ!AI374)))</f>
        <v>0</v>
      </c>
      <c r="C374">
        <f>SUMPRODUCT((MONTH(CHOOSE({1,2,3,4},TTSSKĐ!T374,TTSSKĐ!X374,TTSSKĐ!AB374,TTSSKĐ!AF374))=3)*(CHOOSE({1,2,3,4},TTSSKĐ!W374,TTSSKĐ!AA374,TTSSKĐ!AE374,TTSSKĐ!AI374)))</f>
        <v>0</v>
      </c>
      <c r="D374">
        <f>SUMPRODUCT((MONTH(CHOOSE({1,2,3,4},TTSSKĐ!T374,TTSSKĐ!X374,TTSSKĐ!AB374,TTSSKĐ!AF374))=4)*(CHOOSE({1,2,3,4},TTSSKĐ!W374,TTSSKĐ!AA374,TTSSKĐ!AE374,TTSSKĐ!AI374)))</f>
        <v>0</v>
      </c>
      <c r="E374">
        <f>SUMPRODUCT((MONTH(CHOOSE({1,2,3,4},TTSSKĐ!T374,TTSSKĐ!X374,TTSSKĐ!AB374,TTSSKĐ!AF374))=5)*(CHOOSE({1,2,3,4},TTSSKĐ!W374,TTSSKĐ!AA374,TTSSKĐ!AE374,TTSSKĐ!AI374)))</f>
        <v>0</v>
      </c>
      <c r="F374">
        <f>SUMPRODUCT((MONTH(CHOOSE({1,2,3,4},TTSSKĐ!T374,TTSSKĐ!X374,TTSSKĐ!AB374,TTSSKĐ!AF374))=6)*(CHOOSE({1,2,3,4},TTSSKĐ!W374,TTSSKĐ!AA374,TTSSKĐ!AE374,TTSSKĐ!AI374)))</f>
        <v>0</v>
      </c>
      <c r="G374">
        <f>SUMPRODUCT((MONTH(CHOOSE({1,2,3,4},TTSSKĐ!T374,TTSSKĐ!X374,TTSSKĐ!AB374,TTSSKĐ!AF374))=7)*(CHOOSE({1,2,3,4},TTSSKĐ!W374,TTSSKĐ!AA374,TTSSKĐ!AE374,TTSSKĐ!AI374)))</f>
        <v>0</v>
      </c>
      <c r="H374">
        <f>SUMPRODUCT((MONTH(CHOOSE({1,2,3,4},TTSSKĐ!T374,TTSSKĐ!X374,TTSSKĐ!AB374,TTSSKĐ!AF374))=8)*(CHOOSE({1,2,3,4},TTSSKĐ!W374,TTSSKĐ!AA374,TTSSKĐ!AE374,TTSSKĐ!AI374)))</f>
        <v>0</v>
      </c>
      <c r="I374">
        <f>SUMPRODUCT((MONTH(CHOOSE({1,2,3,4},TTSSKĐ!T374,TTSSKĐ!X374,TTSSKĐ!AB374,TTSSKĐ!AF374))=9)*(CHOOSE({1,2,3,4},TTSSKĐ!W374,TTSSKĐ!AA374,TTSSKĐ!AE374,TTSSKĐ!AI374)))</f>
        <v>0</v>
      </c>
      <c r="J374">
        <f>SUMPRODUCT((MONTH(CHOOSE({1,2,3,4},TTSSKĐ!T374,TTSSKĐ!X374,TTSSKĐ!AB374,TTSSKĐ!AF374))=10)*(CHOOSE({1,2,3,4},TTSSKĐ!W374,TTSSKĐ!AA374,TTSSKĐ!AE374,TTSSKĐ!AI374)))</f>
        <v>0</v>
      </c>
      <c r="K374">
        <f>SUMPRODUCT((MONTH(CHOOSE({1,2,3,4},TTSSKĐ!T374,TTSSKĐ!X374,TTSSKĐ!AB374,TTSSKĐ!AF374))=11)*(CHOOSE({1,2,3,4},TTSSKĐ!W374,TTSSKĐ!AA374,TTSSKĐ!AE374,TTSSKĐ!AI374)))</f>
        <v>0</v>
      </c>
      <c r="L374">
        <f>SUMPRODUCT((MONTH(CHOOSE({1,2,3,4},TTSSKĐ!T374,TTSSKĐ!X374,TTSSKĐ!AB374,TTSSKĐ!AF374))=12)*(CHOOSE({1,2,3,4},TTSSKĐ!W374,TTSSKĐ!AA374,TTSSKĐ!AE374,TTSSKĐ!AI374)))</f>
        <v>0</v>
      </c>
    </row>
    <row r="375" spans="1:12">
      <c r="A375">
        <f>SUMPRODUCT((MONTH(CHOOSE({1,2,3,4},TTSSKĐ!T375,TTSSKĐ!X375,TTSSKĐ!AB375,TTSSKĐ!AF375))=1)*(CHOOSE({1,2,3,4},TTSSKĐ!W375,TTSSKĐ!AA375,TTSSKĐ!AE375,TTSSKĐ!AI375)))</f>
        <v>0</v>
      </c>
      <c r="B375">
        <f>SUMPRODUCT((MONTH(CHOOSE({1,2,3,4},TTSSKĐ!T375,TTSSKĐ!X375,TTSSKĐ!AB375,TTSSKĐ!AF375))=2)*(CHOOSE({1,2,3,4},TTSSKĐ!W375,TTSSKĐ!AA375,TTSSKĐ!AE375,TTSSKĐ!AI375)))</f>
        <v>0</v>
      </c>
      <c r="C375">
        <f>SUMPRODUCT((MONTH(CHOOSE({1,2,3,4},TTSSKĐ!T375,TTSSKĐ!X375,TTSSKĐ!AB375,TTSSKĐ!AF375))=3)*(CHOOSE({1,2,3,4},TTSSKĐ!W375,TTSSKĐ!AA375,TTSSKĐ!AE375,TTSSKĐ!AI375)))</f>
        <v>0</v>
      </c>
      <c r="D375">
        <f>SUMPRODUCT((MONTH(CHOOSE({1,2,3,4},TTSSKĐ!T375,TTSSKĐ!X375,TTSSKĐ!AB375,TTSSKĐ!AF375))=4)*(CHOOSE({1,2,3,4},TTSSKĐ!W375,TTSSKĐ!AA375,TTSSKĐ!AE375,TTSSKĐ!AI375)))</f>
        <v>0</v>
      </c>
      <c r="E375">
        <f>SUMPRODUCT((MONTH(CHOOSE({1,2,3,4},TTSSKĐ!T375,TTSSKĐ!X375,TTSSKĐ!AB375,TTSSKĐ!AF375))=5)*(CHOOSE({1,2,3,4},TTSSKĐ!W375,TTSSKĐ!AA375,TTSSKĐ!AE375,TTSSKĐ!AI375)))</f>
        <v>0</v>
      </c>
      <c r="F375">
        <f>SUMPRODUCT((MONTH(CHOOSE({1,2,3,4},TTSSKĐ!T375,TTSSKĐ!X375,TTSSKĐ!AB375,TTSSKĐ!AF375))=6)*(CHOOSE({1,2,3,4},TTSSKĐ!W375,TTSSKĐ!AA375,TTSSKĐ!AE375,TTSSKĐ!AI375)))</f>
        <v>0</v>
      </c>
      <c r="G375">
        <f>SUMPRODUCT((MONTH(CHOOSE({1,2,3,4},TTSSKĐ!T375,TTSSKĐ!X375,TTSSKĐ!AB375,TTSSKĐ!AF375))=7)*(CHOOSE({1,2,3,4},TTSSKĐ!W375,TTSSKĐ!AA375,TTSSKĐ!AE375,TTSSKĐ!AI375)))</f>
        <v>0</v>
      </c>
      <c r="H375">
        <f>SUMPRODUCT((MONTH(CHOOSE({1,2,3,4},TTSSKĐ!T375,TTSSKĐ!X375,TTSSKĐ!AB375,TTSSKĐ!AF375))=8)*(CHOOSE({1,2,3,4},TTSSKĐ!W375,TTSSKĐ!AA375,TTSSKĐ!AE375,TTSSKĐ!AI375)))</f>
        <v>0</v>
      </c>
      <c r="I375">
        <f>SUMPRODUCT((MONTH(CHOOSE({1,2,3,4},TTSSKĐ!T375,TTSSKĐ!X375,TTSSKĐ!AB375,TTSSKĐ!AF375))=9)*(CHOOSE({1,2,3,4},TTSSKĐ!W375,TTSSKĐ!AA375,TTSSKĐ!AE375,TTSSKĐ!AI375)))</f>
        <v>0</v>
      </c>
      <c r="J375">
        <f>SUMPRODUCT((MONTH(CHOOSE({1,2,3,4},TTSSKĐ!T375,TTSSKĐ!X375,TTSSKĐ!AB375,TTSSKĐ!AF375))=10)*(CHOOSE({1,2,3,4},TTSSKĐ!W375,TTSSKĐ!AA375,TTSSKĐ!AE375,TTSSKĐ!AI375)))</f>
        <v>0</v>
      </c>
      <c r="K375">
        <f>SUMPRODUCT((MONTH(CHOOSE({1,2,3,4},TTSSKĐ!T375,TTSSKĐ!X375,TTSSKĐ!AB375,TTSSKĐ!AF375))=11)*(CHOOSE({1,2,3,4},TTSSKĐ!W375,TTSSKĐ!AA375,TTSSKĐ!AE375,TTSSKĐ!AI375)))</f>
        <v>0</v>
      </c>
      <c r="L375">
        <f>SUMPRODUCT((MONTH(CHOOSE({1,2,3,4},TTSSKĐ!T375,TTSSKĐ!X375,TTSSKĐ!AB375,TTSSKĐ!AF375))=12)*(CHOOSE({1,2,3,4},TTSSKĐ!W375,TTSSKĐ!AA375,TTSSKĐ!AE375,TTSSKĐ!AI375)))</f>
        <v>0</v>
      </c>
    </row>
    <row r="376" spans="1:12">
      <c r="A376">
        <f>SUMPRODUCT((MONTH(CHOOSE({1,2,3,4},TTSSKĐ!T376,TTSSKĐ!X376,TTSSKĐ!AB376,TTSSKĐ!AF376))=1)*(CHOOSE({1,2,3,4},TTSSKĐ!W376,TTSSKĐ!AA376,TTSSKĐ!AE376,TTSSKĐ!AI376)))</f>
        <v>0</v>
      </c>
      <c r="B376">
        <f>SUMPRODUCT((MONTH(CHOOSE({1,2,3,4},TTSSKĐ!T376,TTSSKĐ!X376,TTSSKĐ!AB376,TTSSKĐ!AF376))=2)*(CHOOSE({1,2,3,4},TTSSKĐ!W376,TTSSKĐ!AA376,TTSSKĐ!AE376,TTSSKĐ!AI376)))</f>
        <v>0</v>
      </c>
      <c r="C376">
        <f>SUMPRODUCT((MONTH(CHOOSE({1,2,3,4},TTSSKĐ!T376,TTSSKĐ!X376,TTSSKĐ!AB376,TTSSKĐ!AF376))=3)*(CHOOSE({1,2,3,4},TTSSKĐ!W376,TTSSKĐ!AA376,TTSSKĐ!AE376,TTSSKĐ!AI376)))</f>
        <v>0</v>
      </c>
      <c r="D376">
        <f>SUMPRODUCT((MONTH(CHOOSE({1,2,3,4},TTSSKĐ!T376,TTSSKĐ!X376,TTSSKĐ!AB376,TTSSKĐ!AF376))=4)*(CHOOSE({1,2,3,4},TTSSKĐ!W376,TTSSKĐ!AA376,TTSSKĐ!AE376,TTSSKĐ!AI376)))</f>
        <v>0</v>
      </c>
      <c r="E376">
        <f>SUMPRODUCT((MONTH(CHOOSE({1,2,3,4},TTSSKĐ!T376,TTSSKĐ!X376,TTSSKĐ!AB376,TTSSKĐ!AF376))=5)*(CHOOSE({1,2,3,4},TTSSKĐ!W376,TTSSKĐ!AA376,TTSSKĐ!AE376,TTSSKĐ!AI376)))</f>
        <v>0</v>
      </c>
      <c r="F376">
        <f>SUMPRODUCT((MONTH(CHOOSE({1,2,3,4},TTSSKĐ!T376,TTSSKĐ!X376,TTSSKĐ!AB376,TTSSKĐ!AF376))=6)*(CHOOSE({1,2,3,4},TTSSKĐ!W376,TTSSKĐ!AA376,TTSSKĐ!AE376,TTSSKĐ!AI376)))</f>
        <v>0</v>
      </c>
      <c r="G376">
        <f>SUMPRODUCT((MONTH(CHOOSE({1,2,3,4},TTSSKĐ!T376,TTSSKĐ!X376,TTSSKĐ!AB376,TTSSKĐ!AF376))=7)*(CHOOSE({1,2,3,4},TTSSKĐ!W376,TTSSKĐ!AA376,TTSSKĐ!AE376,TTSSKĐ!AI376)))</f>
        <v>0</v>
      </c>
      <c r="H376">
        <f>SUMPRODUCT((MONTH(CHOOSE({1,2,3,4},TTSSKĐ!T376,TTSSKĐ!X376,TTSSKĐ!AB376,TTSSKĐ!AF376))=8)*(CHOOSE({1,2,3,4},TTSSKĐ!W376,TTSSKĐ!AA376,TTSSKĐ!AE376,TTSSKĐ!AI376)))</f>
        <v>0</v>
      </c>
      <c r="I376">
        <f>SUMPRODUCT((MONTH(CHOOSE({1,2,3,4},TTSSKĐ!T376,TTSSKĐ!X376,TTSSKĐ!AB376,TTSSKĐ!AF376))=9)*(CHOOSE({1,2,3,4},TTSSKĐ!W376,TTSSKĐ!AA376,TTSSKĐ!AE376,TTSSKĐ!AI376)))</f>
        <v>0</v>
      </c>
      <c r="J376">
        <f>SUMPRODUCT((MONTH(CHOOSE({1,2,3,4},TTSSKĐ!T376,TTSSKĐ!X376,TTSSKĐ!AB376,TTSSKĐ!AF376))=10)*(CHOOSE({1,2,3,4},TTSSKĐ!W376,TTSSKĐ!AA376,TTSSKĐ!AE376,TTSSKĐ!AI376)))</f>
        <v>0</v>
      </c>
      <c r="K376">
        <f>SUMPRODUCT((MONTH(CHOOSE({1,2,3,4},TTSSKĐ!T376,TTSSKĐ!X376,TTSSKĐ!AB376,TTSSKĐ!AF376))=11)*(CHOOSE({1,2,3,4},TTSSKĐ!W376,TTSSKĐ!AA376,TTSSKĐ!AE376,TTSSKĐ!AI376)))</f>
        <v>0</v>
      </c>
      <c r="L376">
        <f>SUMPRODUCT((MONTH(CHOOSE({1,2,3,4},TTSSKĐ!T376,TTSSKĐ!X376,TTSSKĐ!AB376,TTSSKĐ!AF376))=12)*(CHOOSE({1,2,3,4},TTSSKĐ!W376,TTSSKĐ!AA376,TTSSKĐ!AE376,TTSSKĐ!AI376)))</f>
        <v>0</v>
      </c>
    </row>
    <row r="377" spans="1:12">
      <c r="A377">
        <f>SUMPRODUCT((MONTH(CHOOSE({1,2,3,4},TTSSKĐ!T377,TTSSKĐ!X377,TTSSKĐ!AB377,TTSSKĐ!AF377))=1)*(CHOOSE({1,2,3,4},TTSSKĐ!W377,TTSSKĐ!AA377,TTSSKĐ!AE377,TTSSKĐ!AI377)))</f>
        <v>0</v>
      </c>
      <c r="B377">
        <f>SUMPRODUCT((MONTH(CHOOSE({1,2,3,4},TTSSKĐ!T377,TTSSKĐ!X377,TTSSKĐ!AB377,TTSSKĐ!AF377))=2)*(CHOOSE({1,2,3,4},TTSSKĐ!W377,TTSSKĐ!AA377,TTSSKĐ!AE377,TTSSKĐ!AI377)))</f>
        <v>0</v>
      </c>
      <c r="C377">
        <f>SUMPRODUCT((MONTH(CHOOSE({1,2,3,4},TTSSKĐ!T377,TTSSKĐ!X377,TTSSKĐ!AB377,TTSSKĐ!AF377))=3)*(CHOOSE({1,2,3,4},TTSSKĐ!W377,TTSSKĐ!AA377,TTSSKĐ!AE377,TTSSKĐ!AI377)))</f>
        <v>0</v>
      </c>
      <c r="D377">
        <f>SUMPRODUCT((MONTH(CHOOSE({1,2,3,4},TTSSKĐ!T377,TTSSKĐ!X377,TTSSKĐ!AB377,TTSSKĐ!AF377))=4)*(CHOOSE({1,2,3,4},TTSSKĐ!W377,TTSSKĐ!AA377,TTSSKĐ!AE377,TTSSKĐ!AI377)))</f>
        <v>0</v>
      </c>
      <c r="E377">
        <f>SUMPRODUCT((MONTH(CHOOSE({1,2,3,4},TTSSKĐ!T377,TTSSKĐ!X377,TTSSKĐ!AB377,TTSSKĐ!AF377))=5)*(CHOOSE({1,2,3,4},TTSSKĐ!W377,TTSSKĐ!AA377,TTSSKĐ!AE377,TTSSKĐ!AI377)))</f>
        <v>0</v>
      </c>
      <c r="F377">
        <f>SUMPRODUCT((MONTH(CHOOSE({1,2,3,4},TTSSKĐ!T377,TTSSKĐ!X377,TTSSKĐ!AB377,TTSSKĐ!AF377))=6)*(CHOOSE({1,2,3,4},TTSSKĐ!W377,TTSSKĐ!AA377,TTSSKĐ!AE377,TTSSKĐ!AI377)))</f>
        <v>0</v>
      </c>
      <c r="G377">
        <f>SUMPRODUCT((MONTH(CHOOSE({1,2,3,4},TTSSKĐ!T377,TTSSKĐ!X377,TTSSKĐ!AB377,TTSSKĐ!AF377))=7)*(CHOOSE({1,2,3,4},TTSSKĐ!W377,TTSSKĐ!AA377,TTSSKĐ!AE377,TTSSKĐ!AI377)))</f>
        <v>0</v>
      </c>
      <c r="H377">
        <f>SUMPRODUCT((MONTH(CHOOSE({1,2,3,4},TTSSKĐ!T377,TTSSKĐ!X377,TTSSKĐ!AB377,TTSSKĐ!AF377))=8)*(CHOOSE({1,2,3,4},TTSSKĐ!W377,TTSSKĐ!AA377,TTSSKĐ!AE377,TTSSKĐ!AI377)))</f>
        <v>0</v>
      </c>
      <c r="I377">
        <f>SUMPRODUCT((MONTH(CHOOSE({1,2,3,4},TTSSKĐ!T377,TTSSKĐ!X377,TTSSKĐ!AB377,TTSSKĐ!AF377))=9)*(CHOOSE({1,2,3,4},TTSSKĐ!W377,TTSSKĐ!AA377,TTSSKĐ!AE377,TTSSKĐ!AI377)))</f>
        <v>0</v>
      </c>
      <c r="J377">
        <f>SUMPRODUCT((MONTH(CHOOSE({1,2,3,4},TTSSKĐ!T377,TTSSKĐ!X377,TTSSKĐ!AB377,TTSSKĐ!AF377))=10)*(CHOOSE({1,2,3,4},TTSSKĐ!W377,TTSSKĐ!AA377,TTSSKĐ!AE377,TTSSKĐ!AI377)))</f>
        <v>0</v>
      </c>
      <c r="K377">
        <f>SUMPRODUCT((MONTH(CHOOSE({1,2,3,4},TTSSKĐ!T377,TTSSKĐ!X377,TTSSKĐ!AB377,TTSSKĐ!AF377))=11)*(CHOOSE({1,2,3,4},TTSSKĐ!W377,TTSSKĐ!AA377,TTSSKĐ!AE377,TTSSKĐ!AI377)))</f>
        <v>0</v>
      </c>
      <c r="L377">
        <f>SUMPRODUCT((MONTH(CHOOSE({1,2,3,4},TTSSKĐ!T377,TTSSKĐ!X377,TTSSKĐ!AB377,TTSSKĐ!AF377))=12)*(CHOOSE({1,2,3,4},TTSSKĐ!W377,TTSSKĐ!AA377,TTSSKĐ!AE377,TTSSKĐ!AI377)))</f>
        <v>0</v>
      </c>
    </row>
    <row r="378" spans="1:12">
      <c r="A378">
        <f>SUMPRODUCT((MONTH(CHOOSE({1,2,3,4},TTSSKĐ!T378,TTSSKĐ!X378,TTSSKĐ!AB378,TTSSKĐ!AF378))=1)*(CHOOSE({1,2,3,4},TTSSKĐ!W378,TTSSKĐ!AA378,TTSSKĐ!AE378,TTSSKĐ!AI378)))</f>
        <v>0</v>
      </c>
      <c r="B378">
        <f>SUMPRODUCT((MONTH(CHOOSE({1,2,3,4},TTSSKĐ!T378,TTSSKĐ!X378,TTSSKĐ!AB378,TTSSKĐ!AF378))=2)*(CHOOSE({1,2,3,4},TTSSKĐ!W378,TTSSKĐ!AA378,TTSSKĐ!AE378,TTSSKĐ!AI378)))</f>
        <v>0</v>
      </c>
      <c r="C378">
        <f>SUMPRODUCT((MONTH(CHOOSE({1,2,3,4},TTSSKĐ!T378,TTSSKĐ!X378,TTSSKĐ!AB378,TTSSKĐ!AF378))=3)*(CHOOSE({1,2,3,4},TTSSKĐ!W378,TTSSKĐ!AA378,TTSSKĐ!AE378,TTSSKĐ!AI378)))</f>
        <v>0</v>
      </c>
      <c r="D378">
        <f>SUMPRODUCT((MONTH(CHOOSE({1,2,3,4},TTSSKĐ!T378,TTSSKĐ!X378,TTSSKĐ!AB378,TTSSKĐ!AF378))=4)*(CHOOSE({1,2,3,4},TTSSKĐ!W378,TTSSKĐ!AA378,TTSSKĐ!AE378,TTSSKĐ!AI378)))</f>
        <v>0</v>
      </c>
      <c r="E378">
        <f>SUMPRODUCT((MONTH(CHOOSE({1,2,3,4},TTSSKĐ!T378,TTSSKĐ!X378,TTSSKĐ!AB378,TTSSKĐ!AF378))=5)*(CHOOSE({1,2,3,4},TTSSKĐ!W378,TTSSKĐ!AA378,TTSSKĐ!AE378,TTSSKĐ!AI378)))</f>
        <v>0</v>
      </c>
      <c r="F378">
        <f>SUMPRODUCT((MONTH(CHOOSE({1,2,3,4},TTSSKĐ!T378,TTSSKĐ!X378,TTSSKĐ!AB378,TTSSKĐ!AF378))=6)*(CHOOSE({1,2,3,4},TTSSKĐ!W378,TTSSKĐ!AA378,TTSSKĐ!AE378,TTSSKĐ!AI378)))</f>
        <v>0</v>
      </c>
      <c r="G378">
        <f>SUMPRODUCT((MONTH(CHOOSE({1,2,3,4},TTSSKĐ!T378,TTSSKĐ!X378,TTSSKĐ!AB378,TTSSKĐ!AF378))=7)*(CHOOSE({1,2,3,4},TTSSKĐ!W378,TTSSKĐ!AA378,TTSSKĐ!AE378,TTSSKĐ!AI378)))</f>
        <v>0</v>
      </c>
      <c r="H378">
        <f>SUMPRODUCT((MONTH(CHOOSE({1,2,3,4},TTSSKĐ!T378,TTSSKĐ!X378,TTSSKĐ!AB378,TTSSKĐ!AF378))=8)*(CHOOSE({1,2,3,4},TTSSKĐ!W378,TTSSKĐ!AA378,TTSSKĐ!AE378,TTSSKĐ!AI378)))</f>
        <v>0</v>
      </c>
      <c r="I378">
        <f>SUMPRODUCT((MONTH(CHOOSE({1,2,3,4},TTSSKĐ!T378,TTSSKĐ!X378,TTSSKĐ!AB378,TTSSKĐ!AF378))=9)*(CHOOSE({1,2,3,4},TTSSKĐ!W378,TTSSKĐ!AA378,TTSSKĐ!AE378,TTSSKĐ!AI378)))</f>
        <v>0</v>
      </c>
      <c r="J378">
        <f>SUMPRODUCT((MONTH(CHOOSE({1,2,3,4},TTSSKĐ!T378,TTSSKĐ!X378,TTSSKĐ!AB378,TTSSKĐ!AF378))=10)*(CHOOSE({1,2,3,4},TTSSKĐ!W378,TTSSKĐ!AA378,TTSSKĐ!AE378,TTSSKĐ!AI378)))</f>
        <v>0</v>
      </c>
      <c r="K378">
        <f>SUMPRODUCT((MONTH(CHOOSE({1,2,3,4},TTSSKĐ!T378,TTSSKĐ!X378,TTSSKĐ!AB378,TTSSKĐ!AF378))=11)*(CHOOSE({1,2,3,4},TTSSKĐ!W378,TTSSKĐ!AA378,TTSSKĐ!AE378,TTSSKĐ!AI378)))</f>
        <v>0</v>
      </c>
      <c r="L378">
        <f>SUMPRODUCT((MONTH(CHOOSE({1,2,3,4},TTSSKĐ!T378,TTSSKĐ!X378,TTSSKĐ!AB378,TTSSKĐ!AF378))=12)*(CHOOSE({1,2,3,4},TTSSKĐ!W378,TTSSKĐ!AA378,TTSSKĐ!AE378,TTSSKĐ!AI378)))</f>
        <v>0</v>
      </c>
    </row>
    <row r="379" spans="1:12">
      <c r="A379">
        <f>SUMPRODUCT((MONTH(CHOOSE({1,2,3,4},TTSSKĐ!T379,TTSSKĐ!X379,TTSSKĐ!AB379,TTSSKĐ!AF379))=1)*(CHOOSE({1,2,3,4},TTSSKĐ!W379,TTSSKĐ!AA379,TTSSKĐ!AE379,TTSSKĐ!AI379)))</f>
        <v>0</v>
      </c>
      <c r="B379">
        <f>SUMPRODUCT((MONTH(CHOOSE({1,2,3,4},TTSSKĐ!T379,TTSSKĐ!X379,TTSSKĐ!AB379,TTSSKĐ!AF379))=2)*(CHOOSE({1,2,3,4},TTSSKĐ!W379,TTSSKĐ!AA379,TTSSKĐ!AE379,TTSSKĐ!AI379)))</f>
        <v>0</v>
      </c>
      <c r="C379">
        <f>SUMPRODUCT((MONTH(CHOOSE({1,2,3,4},TTSSKĐ!T379,TTSSKĐ!X379,TTSSKĐ!AB379,TTSSKĐ!AF379))=3)*(CHOOSE({1,2,3,4},TTSSKĐ!W379,TTSSKĐ!AA379,TTSSKĐ!AE379,TTSSKĐ!AI379)))</f>
        <v>0</v>
      </c>
      <c r="D379">
        <f>SUMPRODUCT((MONTH(CHOOSE({1,2,3,4},TTSSKĐ!T379,TTSSKĐ!X379,TTSSKĐ!AB379,TTSSKĐ!AF379))=4)*(CHOOSE({1,2,3,4},TTSSKĐ!W379,TTSSKĐ!AA379,TTSSKĐ!AE379,TTSSKĐ!AI379)))</f>
        <v>0</v>
      </c>
      <c r="E379">
        <f>SUMPRODUCT((MONTH(CHOOSE({1,2,3,4},TTSSKĐ!T379,TTSSKĐ!X379,TTSSKĐ!AB379,TTSSKĐ!AF379))=5)*(CHOOSE({1,2,3,4},TTSSKĐ!W379,TTSSKĐ!AA379,TTSSKĐ!AE379,TTSSKĐ!AI379)))</f>
        <v>0</v>
      </c>
      <c r="F379">
        <f>SUMPRODUCT((MONTH(CHOOSE({1,2,3,4},TTSSKĐ!T379,TTSSKĐ!X379,TTSSKĐ!AB379,TTSSKĐ!AF379))=6)*(CHOOSE({1,2,3,4},TTSSKĐ!W379,TTSSKĐ!AA379,TTSSKĐ!AE379,TTSSKĐ!AI379)))</f>
        <v>0</v>
      </c>
      <c r="G379">
        <f>SUMPRODUCT((MONTH(CHOOSE({1,2,3,4},TTSSKĐ!T379,TTSSKĐ!X379,TTSSKĐ!AB379,TTSSKĐ!AF379))=7)*(CHOOSE({1,2,3,4},TTSSKĐ!W379,TTSSKĐ!AA379,TTSSKĐ!AE379,TTSSKĐ!AI379)))</f>
        <v>0</v>
      </c>
      <c r="H379">
        <f>SUMPRODUCT((MONTH(CHOOSE({1,2,3,4},TTSSKĐ!T379,TTSSKĐ!X379,TTSSKĐ!AB379,TTSSKĐ!AF379))=8)*(CHOOSE({1,2,3,4},TTSSKĐ!W379,TTSSKĐ!AA379,TTSSKĐ!AE379,TTSSKĐ!AI379)))</f>
        <v>0</v>
      </c>
      <c r="I379">
        <f>SUMPRODUCT((MONTH(CHOOSE({1,2,3,4},TTSSKĐ!T379,TTSSKĐ!X379,TTSSKĐ!AB379,TTSSKĐ!AF379))=9)*(CHOOSE({1,2,3,4},TTSSKĐ!W379,TTSSKĐ!AA379,TTSSKĐ!AE379,TTSSKĐ!AI379)))</f>
        <v>0</v>
      </c>
      <c r="J379">
        <f>SUMPRODUCT((MONTH(CHOOSE({1,2,3,4},TTSSKĐ!T379,TTSSKĐ!X379,TTSSKĐ!AB379,TTSSKĐ!AF379))=10)*(CHOOSE({1,2,3,4},TTSSKĐ!W379,TTSSKĐ!AA379,TTSSKĐ!AE379,TTSSKĐ!AI379)))</f>
        <v>0</v>
      </c>
      <c r="K379">
        <f>SUMPRODUCT((MONTH(CHOOSE({1,2,3,4},TTSSKĐ!T379,TTSSKĐ!X379,TTSSKĐ!AB379,TTSSKĐ!AF379))=11)*(CHOOSE({1,2,3,4},TTSSKĐ!W379,TTSSKĐ!AA379,TTSSKĐ!AE379,TTSSKĐ!AI379)))</f>
        <v>0</v>
      </c>
      <c r="L379">
        <f>SUMPRODUCT((MONTH(CHOOSE({1,2,3,4},TTSSKĐ!T379,TTSSKĐ!X379,TTSSKĐ!AB379,TTSSKĐ!AF379))=12)*(CHOOSE({1,2,3,4},TTSSKĐ!W379,TTSSKĐ!AA379,TTSSKĐ!AE379,TTSSKĐ!AI379)))</f>
        <v>0</v>
      </c>
    </row>
    <row r="380" spans="1:12">
      <c r="A380">
        <f>SUMPRODUCT((MONTH(CHOOSE({1,2,3,4},TTSSKĐ!T380,TTSSKĐ!X380,TTSSKĐ!AB380,TTSSKĐ!AF380))=1)*(CHOOSE({1,2,3,4},TTSSKĐ!W380,TTSSKĐ!AA380,TTSSKĐ!AE380,TTSSKĐ!AI380)))</f>
        <v>0</v>
      </c>
      <c r="B380">
        <f>SUMPRODUCT((MONTH(CHOOSE({1,2,3,4},TTSSKĐ!T380,TTSSKĐ!X380,TTSSKĐ!AB380,TTSSKĐ!AF380))=2)*(CHOOSE({1,2,3,4},TTSSKĐ!W380,TTSSKĐ!AA380,TTSSKĐ!AE380,TTSSKĐ!AI380)))</f>
        <v>0</v>
      </c>
      <c r="C380">
        <f>SUMPRODUCT((MONTH(CHOOSE({1,2,3,4},TTSSKĐ!T380,TTSSKĐ!X380,TTSSKĐ!AB380,TTSSKĐ!AF380))=3)*(CHOOSE({1,2,3,4},TTSSKĐ!W380,TTSSKĐ!AA380,TTSSKĐ!AE380,TTSSKĐ!AI380)))</f>
        <v>0</v>
      </c>
      <c r="D380">
        <f>SUMPRODUCT((MONTH(CHOOSE({1,2,3,4},TTSSKĐ!T380,TTSSKĐ!X380,TTSSKĐ!AB380,TTSSKĐ!AF380))=4)*(CHOOSE({1,2,3,4},TTSSKĐ!W380,TTSSKĐ!AA380,TTSSKĐ!AE380,TTSSKĐ!AI380)))</f>
        <v>0</v>
      </c>
      <c r="E380">
        <f>SUMPRODUCT((MONTH(CHOOSE({1,2,3,4},TTSSKĐ!T380,TTSSKĐ!X380,TTSSKĐ!AB380,TTSSKĐ!AF380))=5)*(CHOOSE({1,2,3,4},TTSSKĐ!W380,TTSSKĐ!AA380,TTSSKĐ!AE380,TTSSKĐ!AI380)))</f>
        <v>0</v>
      </c>
      <c r="F380">
        <f>SUMPRODUCT((MONTH(CHOOSE({1,2,3,4},TTSSKĐ!T380,TTSSKĐ!X380,TTSSKĐ!AB380,TTSSKĐ!AF380))=6)*(CHOOSE({1,2,3,4},TTSSKĐ!W380,TTSSKĐ!AA380,TTSSKĐ!AE380,TTSSKĐ!AI380)))</f>
        <v>0</v>
      </c>
      <c r="G380">
        <f>SUMPRODUCT((MONTH(CHOOSE({1,2,3,4},TTSSKĐ!T380,TTSSKĐ!X380,TTSSKĐ!AB380,TTSSKĐ!AF380))=7)*(CHOOSE({1,2,3,4},TTSSKĐ!W380,TTSSKĐ!AA380,TTSSKĐ!AE380,TTSSKĐ!AI380)))</f>
        <v>0</v>
      </c>
      <c r="H380">
        <f>SUMPRODUCT((MONTH(CHOOSE({1,2,3,4},TTSSKĐ!T380,TTSSKĐ!X380,TTSSKĐ!AB380,TTSSKĐ!AF380))=8)*(CHOOSE({1,2,3,4},TTSSKĐ!W380,TTSSKĐ!AA380,TTSSKĐ!AE380,TTSSKĐ!AI380)))</f>
        <v>0</v>
      </c>
      <c r="I380">
        <f>SUMPRODUCT((MONTH(CHOOSE({1,2,3,4},TTSSKĐ!T380,TTSSKĐ!X380,TTSSKĐ!AB380,TTSSKĐ!AF380))=9)*(CHOOSE({1,2,3,4},TTSSKĐ!W380,TTSSKĐ!AA380,TTSSKĐ!AE380,TTSSKĐ!AI380)))</f>
        <v>0</v>
      </c>
      <c r="J380">
        <f>SUMPRODUCT((MONTH(CHOOSE({1,2,3,4},TTSSKĐ!T380,TTSSKĐ!X380,TTSSKĐ!AB380,TTSSKĐ!AF380))=10)*(CHOOSE({1,2,3,4},TTSSKĐ!W380,TTSSKĐ!AA380,TTSSKĐ!AE380,TTSSKĐ!AI380)))</f>
        <v>0</v>
      </c>
      <c r="K380">
        <f>SUMPRODUCT((MONTH(CHOOSE({1,2,3,4},TTSSKĐ!T380,TTSSKĐ!X380,TTSSKĐ!AB380,TTSSKĐ!AF380))=11)*(CHOOSE({1,2,3,4},TTSSKĐ!W380,TTSSKĐ!AA380,TTSSKĐ!AE380,TTSSKĐ!AI380)))</f>
        <v>0</v>
      </c>
      <c r="L380">
        <f>SUMPRODUCT((MONTH(CHOOSE({1,2,3,4},TTSSKĐ!T380,TTSSKĐ!X380,TTSSKĐ!AB380,TTSSKĐ!AF380))=12)*(CHOOSE({1,2,3,4},TTSSKĐ!W380,TTSSKĐ!AA380,TTSSKĐ!AE380,TTSSKĐ!AI380)))</f>
        <v>0</v>
      </c>
    </row>
    <row r="381" spans="1:12">
      <c r="A381">
        <f>SUMPRODUCT((MONTH(CHOOSE({1,2,3,4},TTSSKĐ!T381,TTSSKĐ!X381,TTSSKĐ!AB381,TTSSKĐ!AF381))=1)*(CHOOSE({1,2,3,4},TTSSKĐ!W381,TTSSKĐ!AA381,TTSSKĐ!AE381,TTSSKĐ!AI381)))</f>
        <v>0</v>
      </c>
      <c r="B381">
        <f>SUMPRODUCT((MONTH(CHOOSE({1,2,3,4},TTSSKĐ!T381,TTSSKĐ!X381,TTSSKĐ!AB381,TTSSKĐ!AF381))=2)*(CHOOSE({1,2,3,4},TTSSKĐ!W381,TTSSKĐ!AA381,TTSSKĐ!AE381,TTSSKĐ!AI381)))</f>
        <v>0</v>
      </c>
      <c r="C381">
        <f>SUMPRODUCT((MONTH(CHOOSE({1,2,3,4},TTSSKĐ!T381,TTSSKĐ!X381,TTSSKĐ!AB381,TTSSKĐ!AF381))=3)*(CHOOSE({1,2,3,4},TTSSKĐ!W381,TTSSKĐ!AA381,TTSSKĐ!AE381,TTSSKĐ!AI381)))</f>
        <v>0</v>
      </c>
      <c r="D381">
        <f>SUMPRODUCT((MONTH(CHOOSE({1,2,3,4},TTSSKĐ!T381,TTSSKĐ!X381,TTSSKĐ!AB381,TTSSKĐ!AF381))=4)*(CHOOSE({1,2,3,4},TTSSKĐ!W381,TTSSKĐ!AA381,TTSSKĐ!AE381,TTSSKĐ!AI381)))</f>
        <v>0</v>
      </c>
      <c r="E381">
        <f>SUMPRODUCT((MONTH(CHOOSE({1,2,3,4},TTSSKĐ!T381,TTSSKĐ!X381,TTSSKĐ!AB381,TTSSKĐ!AF381))=5)*(CHOOSE({1,2,3,4},TTSSKĐ!W381,TTSSKĐ!AA381,TTSSKĐ!AE381,TTSSKĐ!AI381)))</f>
        <v>0</v>
      </c>
      <c r="F381">
        <f>SUMPRODUCT((MONTH(CHOOSE({1,2,3,4},TTSSKĐ!T381,TTSSKĐ!X381,TTSSKĐ!AB381,TTSSKĐ!AF381))=6)*(CHOOSE({1,2,3,4},TTSSKĐ!W381,TTSSKĐ!AA381,TTSSKĐ!AE381,TTSSKĐ!AI381)))</f>
        <v>0</v>
      </c>
      <c r="G381">
        <f>SUMPRODUCT((MONTH(CHOOSE({1,2,3,4},TTSSKĐ!T381,TTSSKĐ!X381,TTSSKĐ!AB381,TTSSKĐ!AF381))=7)*(CHOOSE({1,2,3,4},TTSSKĐ!W381,TTSSKĐ!AA381,TTSSKĐ!AE381,TTSSKĐ!AI381)))</f>
        <v>0</v>
      </c>
      <c r="H381">
        <f>SUMPRODUCT((MONTH(CHOOSE({1,2,3,4},TTSSKĐ!T381,TTSSKĐ!X381,TTSSKĐ!AB381,TTSSKĐ!AF381))=8)*(CHOOSE({1,2,3,4},TTSSKĐ!W381,TTSSKĐ!AA381,TTSSKĐ!AE381,TTSSKĐ!AI381)))</f>
        <v>0</v>
      </c>
      <c r="I381">
        <f>SUMPRODUCT((MONTH(CHOOSE({1,2,3,4},TTSSKĐ!T381,TTSSKĐ!X381,TTSSKĐ!AB381,TTSSKĐ!AF381))=9)*(CHOOSE({1,2,3,4},TTSSKĐ!W381,TTSSKĐ!AA381,TTSSKĐ!AE381,TTSSKĐ!AI381)))</f>
        <v>0</v>
      </c>
      <c r="J381">
        <f>SUMPRODUCT((MONTH(CHOOSE({1,2,3,4},TTSSKĐ!T381,TTSSKĐ!X381,TTSSKĐ!AB381,TTSSKĐ!AF381))=10)*(CHOOSE({1,2,3,4},TTSSKĐ!W381,TTSSKĐ!AA381,TTSSKĐ!AE381,TTSSKĐ!AI381)))</f>
        <v>0</v>
      </c>
      <c r="K381">
        <f>SUMPRODUCT((MONTH(CHOOSE({1,2,3,4},TTSSKĐ!T381,TTSSKĐ!X381,TTSSKĐ!AB381,TTSSKĐ!AF381))=11)*(CHOOSE({1,2,3,4},TTSSKĐ!W381,TTSSKĐ!AA381,TTSSKĐ!AE381,TTSSKĐ!AI381)))</f>
        <v>0</v>
      </c>
      <c r="L381">
        <f>SUMPRODUCT((MONTH(CHOOSE({1,2,3,4},TTSSKĐ!T381,TTSSKĐ!X381,TTSSKĐ!AB381,TTSSKĐ!AF381))=12)*(CHOOSE({1,2,3,4},TTSSKĐ!W381,TTSSKĐ!AA381,TTSSKĐ!AE381,TTSSKĐ!AI381)))</f>
        <v>0</v>
      </c>
    </row>
    <row r="382" spans="1:12">
      <c r="A382">
        <f>SUMPRODUCT((MONTH(CHOOSE({1,2,3,4},TTSSKĐ!T382,TTSSKĐ!X382,TTSSKĐ!AB382,TTSSKĐ!AF382))=1)*(CHOOSE({1,2,3,4},TTSSKĐ!W382,TTSSKĐ!AA382,TTSSKĐ!AE382,TTSSKĐ!AI382)))</f>
        <v>0</v>
      </c>
      <c r="B382">
        <f>SUMPRODUCT((MONTH(CHOOSE({1,2,3,4},TTSSKĐ!T382,TTSSKĐ!X382,TTSSKĐ!AB382,TTSSKĐ!AF382))=2)*(CHOOSE({1,2,3,4},TTSSKĐ!W382,TTSSKĐ!AA382,TTSSKĐ!AE382,TTSSKĐ!AI382)))</f>
        <v>0</v>
      </c>
      <c r="C382">
        <f>SUMPRODUCT((MONTH(CHOOSE({1,2,3,4},TTSSKĐ!T382,TTSSKĐ!X382,TTSSKĐ!AB382,TTSSKĐ!AF382))=3)*(CHOOSE({1,2,3,4},TTSSKĐ!W382,TTSSKĐ!AA382,TTSSKĐ!AE382,TTSSKĐ!AI382)))</f>
        <v>0</v>
      </c>
      <c r="D382">
        <f>SUMPRODUCT((MONTH(CHOOSE({1,2,3,4},TTSSKĐ!T382,TTSSKĐ!X382,TTSSKĐ!AB382,TTSSKĐ!AF382))=4)*(CHOOSE({1,2,3,4},TTSSKĐ!W382,TTSSKĐ!AA382,TTSSKĐ!AE382,TTSSKĐ!AI382)))</f>
        <v>0</v>
      </c>
      <c r="E382">
        <f>SUMPRODUCT((MONTH(CHOOSE({1,2,3,4},TTSSKĐ!T382,TTSSKĐ!X382,TTSSKĐ!AB382,TTSSKĐ!AF382))=5)*(CHOOSE({1,2,3,4},TTSSKĐ!W382,TTSSKĐ!AA382,TTSSKĐ!AE382,TTSSKĐ!AI382)))</f>
        <v>0</v>
      </c>
      <c r="F382">
        <f>SUMPRODUCT((MONTH(CHOOSE({1,2,3,4},TTSSKĐ!T382,TTSSKĐ!X382,TTSSKĐ!AB382,TTSSKĐ!AF382))=6)*(CHOOSE({1,2,3,4},TTSSKĐ!W382,TTSSKĐ!AA382,TTSSKĐ!AE382,TTSSKĐ!AI382)))</f>
        <v>0</v>
      </c>
      <c r="G382">
        <f>SUMPRODUCT((MONTH(CHOOSE({1,2,3,4},TTSSKĐ!T382,TTSSKĐ!X382,TTSSKĐ!AB382,TTSSKĐ!AF382))=7)*(CHOOSE({1,2,3,4},TTSSKĐ!W382,TTSSKĐ!AA382,TTSSKĐ!AE382,TTSSKĐ!AI382)))</f>
        <v>0</v>
      </c>
      <c r="H382">
        <f>SUMPRODUCT((MONTH(CHOOSE({1,2,3,4},TTSSKĐ!T382,TTSSKĐ!X382,TTSSKĐ!AB382,TTSSKĐ!AF382))=8)*(CHOOSE({1,2,3,4},TTSSKĐ!W382,TTSSKĐ!AA382,TTSSKĐ!AE382,TTSSKĐ!AI382)))</f>
        <v>0</v>
      </c>
      <c r="I382">
        <f>SUMPRODUCT((MONTH(CHOOSE({1,2,3,4},TTSSKĐ!T382,TTSSKĐ!X382,TTSSKĐ!AB382,TTSSKĐ!AF382))=9)*(CHOOSE({1,2,3,4},TTSSKĐ!W382,TTSSKĐ!AA382,TTSSKĐ!AE382,TTSSKĐ!AI382)))</f>
        <v>0</v>
      </c>
      <c r="J382">
        <f>SUMPRODUCT((MONTH(CHOOSE({1,2,3,4},TTSSKĐ!T382,TTSSKĐ!X382,TTSSKĐ!AB382,TTSSKĐ!AF382))=10)*(CHOOSE({1,2,3,4},TTSSKĐ!W382,TTSSKĐ!AA382,TTSSKĐ!AE382,TTSSKĐ!AI382)))</f>
        <v>0</v>
      </c>
      <c r="K382">
        <f>SUMPRODUCT((MONTH(CHOOSE({1,2,3,4},TTSSKĐ!T382,TTSSKĐ!X382,TTSSKĐ!AB382,TTSSKĐ!AF382))=11)*(CHOOSE({1,2,3,4},TTSSKĐ!W382,TTSSKĐ!AA382,TTSSKĐ!AE382,TTSSKĐ!AI382)))</f>
        <v>0</v>
      </c>
      <c r="L382">
        <f>SUMPRODUCT((MONTH(CHOOSE({1,2,3,4},TTSSKĐ!T382,TTSSKĐ!X382,TTSSKĐ!AB382,TTSSKĐ!AF382))=12)*(CHOOSE({1,2,3,4},TTSSKĐ!W382,TTSSKĐ!AA382,TTSSKĐ!AE382,TTSSKĐ!AI382)))</f>
        <v>0</v>
      </c>
    </row>
    <row r="383" spans="1:12">
      <c r="A383">
        <f>SUMPRODUCT((MONTH(CHOOSE({1,2,3,4},TTSSKĐ!T383,TTSSKĐ!X383,TTSSKĐ!AB383,TTSSKĐ!AF383))=1)*(CHOOSE({1,2,3,4},TTSSKĐ!W383,TTSSKĐ!AA383,TTSSKĐ!AE383,TTSSKĐ!AI383)))</f>
        <v>0</v>
      </c>
      <c r="B383">
        <f>SUMPRODUCT((MONTH(CHOOSE({1,2,3,4},TTSSKĐ!T383,TTSSKĐ!X383,TTSSKĐ!AB383,TTSSKĐ!AF383))=2)*(CHOOSE({1,2,3,4},TTSSKĐ!W383,TTSSKĐ!AA383,TTSSKĐ!AE383,TTSSKĐ!AI383)))</f>
        <v>0</v>
      </c>
      <c r="C383">
        <f>SUMPRODUCT((MONTH(CHOOSE({1,2,3,4},TTSSKĐ!T383,TTSSKĐ!X383,TTSSKĐ!AB383,TTSSKĐ!AF383))=3)*(CHOOSE({1,2,3,4},TTSSKĐ!W383,TTSSKĐ!AA383,TTSSKĐ!AE383,TTSSKĐ!AI383)))</f>
        <v>0</v>
      </c>
      <c r="D383">
        <f>SUMPRODUCT((MONTH(CHOOSE({1,2,3,4},TTSSKĐ!T383,TTSSKĐ!X383,TTSSKĐ!AB383,TTSSKĐ!AF383))=4)*(CHOOSE({1,2,3,4},TTSSKĐ!W383,TTSSKĐ!AA383,TTSSKĐ!AE383,TTSSKĐ!AI383)))</f>
        <v>0</v>
      </c>
      <c r="E383">
        <f>SUMPRODUCT((MONTH(CHOOSE({1,2,3,4},TTSSKĐ!T383,TTSSKĐ!X383,TTSSKĐ!AB383,TTSSKĐ!AF383))=5)*(CHOOSE({1,2,3,4},TTSSKĐ!W383,TTSSKĐ!AA383,TTSSKĐ!AE383,TTSSKĐ!AI383)))</f>
        <v>0</v>
      </c>
      <c r="F383">
        <f>SUMPRODUCT((MONTH(CHOOSE({1,2,3,4},TTSSKĐ!T383,TTSSKĐ!X383,TTSSKĐ!AB383,TTSSKĐ!AF383))=6)*(CHOOSE({1,2,3,4},TTSSKĐ!W383,TTSSKĐ!AA383,TTSSKĐ!AE383,TTSSKĐ!AI383)))</f>
        <v>0</v>
      </c>
      <c r="G383">
        <f>SUMPRODUCT((MONTH(CHOOSE({1,2,3,4},TTSSKĐ!T383,TTSSKĐ!X383,TTSSKĐ!AB383,TTSSKĐ!AF383))=7)*(CHOOSE({1,2,3,4},TTSSKĐ!W383,TTSSKĐ!AA383,TTSSKĐ!AE383,TTSSKĐ!AI383)))</f>
        <v>0</v>
      </c>
      <c r="H383">
        <f>SUMPRODUCT((MONTH(CHOOSE({1,2,3,4},TTSSKĐ!T383,TTSSKĐ!X383,TTSSKĐ!AB383,TTSSKĐ!AF383))=8)*(CHOOSE({1,2,3,4},TTSSKĐ!W383,TTSSKĐ!AA383,TTSSKĐ!AE383,TTSSKĐ!AI383)))</f>
        <v>0</v>
      </c>
      <c r="I383">
        <f>SUMPRODUCT((MONTH(CHOOSE({1,2,3,4},TTSSKĐ!T383,TTSSKĐ!X383,TTSSKĐ!AB383,TTSSKĐ!AF383))=9)*(CHOOSE({1,2,3,4},TTSSKĐ!W383,TTSSKĐ!AA383,TTSSKĐ!AE383,TTSSKĐ!AI383)))</f>
        <v>0</v>
      </c>
      <c r="J383">
        <f>SUMPRODUCT((MONTH(CHOOSE({1,2,3,4},TTSSKĐ!T383,TTSSKĐ!X383,TTSSKĐ!AB383,TTSSKĐ!AF383))=10)*(CHOOSE({1,2,3,4},TTSSKĐ!W383,TTSSKĐ!AA383,TTSSKĐ!AE383,TTSSKĐ!AI383)))</f>
        <v>0</v>
      </c>
      <c r="K383">
        <f>SUMPRODUCT((MONTH(CHOOSE({1,2,3,4},TTSSKĐ!T383,TTSSKĐ!X383,TTSSKĐ!AB383,TTSSKĐ!AF383))=11)*(CHOOSE({1,2,3,4},TTSSKĐ!W383,TTSSKĐ!AA383,TTSSKĐ!AE383,TTSSKĐ!AI383)))</f>
        <v>0</v>
      </c>
      <c r="L383">
        <f>SUMPRODUCT((MONTH(CHOOSE({1,2,3,4},TTSSKĐ!T383,TTSSKĐ!X383,TTSSKĐ!AB383,TTSSKĐ!AF383))=12)*(CHOOSE({1,2,3,4},TTSSKĐ!W383,TTSSKĐ!AA383,TTSSKĐ!AE383,TTSSKĐ!AI383)))</f>
        <v>0</v>
      </c>
    </row>
    <row r="384" spans="1:12">
      <c r="A384">
        <f>SUMPRODUCT((MONTH(CHOOSE({1,2,3,4},TTSSKĐ!T384,TTSSKĐ!X384,TTSSKĐ!AB384,TTSSKĐ!AF384))=1)*(CHOOSE({1,2,3,4},TTSSKĐ!W384,TTSSKĐ!AA384,TTSSKĐ!AE384,TTSSKĐ!AI384)))</f>
        <v>0</v>
      </c>
      <c r="B384">
        <f>SUMPRODUCT((MONTH(CHOOSE({1,2,3,4},TTSSKĐ!T384,TTSSKĐ!X384,TTSSKĐ!AB384,TTSSKĐ!AF384))=2)*(CHOOSE({1,2,3,4},TTSSKĐ!W384,TTSSKĐ!AA384,TTSSKĐ!AE384,TTSSKĐ!AI384)))</f>
        <v>0</v>
      </c>
      <c r="C384">
        <f>SUMPRODUCT((MONTH(CHOOSE({1,2,3,4},TTSSKĐ!T384,TTSSKĐ!X384,TTSSKĐ!AB384,TTSSKĐ!AF384))=3)*(CHOOSE({1,2,3,4},TTSSKĐ!W384,TTSSKĐ!AA384,TTSSKĐ!AE384,TTSSKĐ!AI384)))</f>
        <v>0</v>
      </c>
      <c r="D384">
        <f>SUMPRODUCT((MONTH(CHOOSE({1,2,3,4},TTSSKĐ!T384,TTSSKĐ!X384,TTSSKĐ!AB384,TTSSKĐ!AF384))=4)*(CHOOSE({1,2,3,4},TTSSKĐ!W384,TTSSKĐ!AA384,TTSSKĐ!AE384,TTSSKĐ!AI384)))</f>
        <v>0</v>
      </c>
      <c r="E384">
        <f>SUMPRODUCT((MONTH(CHOOSE({1,2,3,4},TTSSKĐ!T384,TTSSKĐ!X384,TTSSKĐ!AB384,TTSSKĐ!AF384))=5)*(CHOOSE({1,2,3,4},TTSSKĐ!W384,TTSSKĐ!AA384,TTSSKĐ!AE384,TTSSKĐ!AI384)))</f>
        <v>0</v>
      </c>
      <c r="F384">
        <f>SUMPRODUCT((MONTH(CHOOSE({1,2,3,4},TTSSKĐ!T384,TTSSKĐ!X384,TTSSKĐ!AB384,TTSSKĐ!AF384))=6)*(CHOOSE({1,2,3,4},TTSSKĐ!W384,TTSSKĐ!AA384,TTSSKĐ!AE384,TTSSKĐ!AI384)))</f>
        <v>0</v>
      </c>
      <c r="G384">
        <f>SUMPRODUCT((MONTH(CHOOSE({1,2,3,4},TTSSKĐ!T384,TTSSKĐ!X384,TTSSKĐ!AB384,TTSSKĐ!AF384))=7)*(CHOOSE({1,2,3,4},TTSSKĐ!W384,TTSSKĐ!AA384,TTSSKĐ!AE384,TTSSKĐ!AI384)))</f>
        <v>0</v>
      </c>
      <c r="H384">
        <f>SUMPRODUCT((MONTH(CHOOSE({1,2,3,4},TTSSKĐ!T384,TTSSKĐ!X384,TTSSKĐ!AB384,TTSSKĐ!AF384))=8)*(CHOOSE({1,2,3,4},TTSSKĐ!W384,TTSSKĐ!AA384,TTSSKĐ!AE384,TTSSKĐ!AI384)))</f>
        <v>0</v>
      </c>
      <c r="I384">
        <f>SUMPRODUCT((MONTH(CHOOSE({1,2,3,4},TTSSKĐ!T384,TTSSKĐ!X384,TTSSKĐ!AB384,TTSSKĐ!AF384))=9)*(CHOOSE({1,2,3,4},TTSSKĐ!W384,TTSSKĐ!AA384,TTSSKĐ!AE384,TTSSKĐ!AI384)))</f>
        <v>0</v>
      </c>
      <c r="J384">
        <f>SUMPRODUCT((MONTH(CHOOSE({1,2,3,4},TTSSKĐ!T384,TTSSKĐ!X384,TTSSKĐ!AB384,TTSSKĐ!AF384))=10)*(CHOOSE({1,2,3,4},TTSSKĐ!W384,TTSSKĐ!AA384,TTSSKĐ!AE384,TTSSKĐ!AI384)))</f>
        <v>0</v>
      </c>
      <c r="K384">
        <f>SUMPRODUCT((MONTH(CHOOSE({1,2,3,4},TTSSKĐ!T384,TTSSKĐ!X384,TTSSKĐ!AB384,TTSSKĐ!AF384))=11)*(CHOOSE({1,2,3,4},TTSSKĐ!W384,TTSSKĐ!AA384,TTSSKĐ!AE384,TTSSKĐ!AI384)))</f>
        <v>0</v>
      </c>
      <c r="L384">
        <f>SUMPRODUCT((MONTH(CHOOSE({1,2,3,4},TTSSKĐ!T384,TTSSKĐ!X384,TTSSKĐ!AB384,TTSSKĐ!AF384))=12)*(CHOOSE({1,2,3,4},TTSSKĐ!W384,TTSSKĐ!AA384,TTSSKĐ!AE384,TTSSKĐ!AI384)))</f>
        <v>0</v>
      </c>
    </row>
    <row r="385" spans="1:12">
      <c r="A385">
        <f>SUMPRODUCT((MONTH(CHOOSE({1,2,3,4},TTSSKĐ!T385,TTSSKĐ!X385,TTSSKĐ!AB385,TTSSKĐ!AF385))=1)*(CHOOSE({1,2,3,4},TTSSKĐ!W385,TTSSKĐ!AA385,TTSSKĐ!AE385,TTSSKĐ!AI385)))</f>
        <v>0</v>
      </c>
      <c r="B385">
        <f>SUMPRODUCT((MONTH(CHOOSE({1,2,3,4},TTSSKĐ!T385,TTSSKĐ!X385,TTSSKĐ!AB385,TTSSKĐ!AF385))=2)*(CHOOSE({1,2,3,4},TTSSKĐ!W385,TTSSKĐ!AA385,TTSSKĐ!AE385,TTSSKĐ!AI385)))</f>
        <v>0</v>
      </c>
      <c r="C385">
        <f>SUMPRODUCT((MONTH(CHOOSE({1,2,3,4},TTSSKĐ!T385,TTSSKĐ!X385,TTSSKĐ!AB385,TTSSKĐ!AF385))=3)*(CHOOSE({1,2,3,4},TTSSKĐ!W385,TTSSKĐ!AA385,TTSSKĐ!AE385,TTSSKĐ!AI385)))</f>
        <v>0</v>
      </c>
      <c r="D385">
        <f>SUMPRODUCT((MONTH(CHOOSE({1,2,3,4},TTSSKĐ!T385,TTSSKĐ!X385,TTSSKĐ!AB385,TTSSKĐ!AF385))=4)*(CHOOSE({1,2,3,4},TTSSKĐ!W385,TTSSKĐ!AA385,TTSSKĐ!AE385,TTSSKĐ!AI385)))</f>
        <v>0</v>
      </c>
      <c r="E385">
        <f>SUMPRODUCT((MONTH(CHOOSE({1,2,3,4},TTSSKĐ!T385,TTSSKĐ!X385,TTSSKĐ!AB385,TTSSKĐ!AF385))=5)*(CHOOSE({1,2,3,4},TTSSKĐ!W385,TTSSKĐ!AA385,TTSSKĐ!AE385,TTSSKĐ!AI385)))</f>
        <v>0</v>
      </c>
      <c r="F385">
        <f>SUMPRODUCT((MONTH(CHOOSE({1,2,3,4},TTSSKĐ!T385,TTSSKĐ!X385,TTSSKĐ!AB385,TTSSKĐ!AF385))=6)*(CHOOSE({1,2,3,4},TTSSKĐ!W385,TTSSKĐ!AA385,TTSSKĐ!AE385,TTSSKĐ!AI385)))</f>
        <v>0</v>
      </c>
      <c r="G385">
        <f>SUMPRODUCT((MONTH(CHOOSE({1,2,3,4},TTSSKĐ!T385,TTSSKĐ!X385,TTSSKĐ!AB385,TTSSKĐ!AF385))=7)*(CHOOSE({1,2,3,4},TTSSKĐ!W385,TTSSKĐ!AA385,TTSSKĐ!AE385,TTSSKĐ!AI385)))</f>
        <v>0</v>
      </c>
      <c r="H385">
        <f>SUMPRODUCT((MONTH(CHOOSE({1,2,3,4},TTSSKĐ!T385,TTSSKĐ!X385,TTSSKĐ!AB385,TTSSKĐ!AF385))=8)*(CHOOSE({1,2,3,4},TTSSKĐ!W385,TTSSKĐ!AA385,TTSSKĐ!AE385,TTSSKĐ!AI385)))</f>
        <v>0</v>
      </c>
      <c r="I385">
        <f>SUMPRODUCT((MONTH(CHOOSE({1,2,3,4},TTSSKĐ!T385,TTSSKĐ!X385,TTSSKĐ!AB385,TTSSKĐ!AF385))=9)*(CHOOSE({1,2,3,4},TTSSKĐ!W385,TTSSKĐ!AA385,TTSSKĐ!AE385,TTSSKĐ!AI385)))</f>
        <v>0</v>
      </c>
      <c r="J385">
        <f>SUMPRODUCT((MONTH(CHOOSE({1,2,3,4},TTSSKĐ!T385,TTSSKĐ!X385,TTSSKĐ!AB385,TTSSKĐ!AF385))=10)*(CHOOSE({1,2,3,4},TTSSKĐ!W385,TTSSKĐ!AA385,TTSSKĐ!AE385,TTSSKĐ!AI385)))</f>
        <v>0</v>
      </c>
      <c r="K385">
        <f>SUMPRODUCT((MONTH(CHOOSE({1,2,3,4},TTSSKĐ!T385,TTSSKĐ!X385,TTSSKĐ!AB385,TTSSKĐ!AF385))=11)*(CHOOSE({1,2,3,4},TTSSKĐ!W385,TTSSKĐ!AA385,TTSSKĐ!AE385,TTSSKĐ!AI385)))</f>
        <v>0</v>
      </c>
      <c r="L385">
        <f>SUMPRODUCT((MONTH(CHOOSE({1,2,3,4},TTSSKĐ!T385,TTSSKĐ!X385,TTSSKĐ!AB385,TTSSKĐ!AF385))=12)*(CHOOSE({1,2,3,4},TTSSKĐ!W385,TTSSKĐ!AA385,TTSSKĐ!AE385,TTSSKĐ!AI385)))</f>
        <v>0</v>
      </c>
    </row>
    <row r="386" spans="1:12">
      <c r="A386">
        <f>SUMPRODUCT((MONTH(CHOOSE({1,2,3,4},TTSSKĐ!T386,TTSSKĐ!X386,TTSSKĐ!AB386,TTSSKĐ!AF386))=1)*(CHOOSE({1,2,3,4},TTSSKĐ!W386,TTSSKĐ!AA386,TTSSKĐ!AE386,TTSSKĐ!AI386)))</f>
        <v>0</v>
      </c>
      <c r="B386">
        <f>SUMPRODUCT((MONTH(CHOOSE({1,2,3,4},TTSSKĐ!T386,TTSSKĐ!X386,TTSSKĐ!AB386,TTSSKĐ!AF386))=2)*(CHOOSE({1,2,3,4},TTSSKĐ!W386,TTSSKĐ!AA386,TTSSKĐ!AE386,TTSSKĐ!AI386)))</f>
        <v>0</v>
      </c>
      <c r="C386">
        <f>SUMPRODUCT((MONTH(CHOOSE({1,2,3,4},TTSSKĐ!T386,TTSSKĐ!X386,TTSSKĐ!AB386,TTSSKĐ!AF386))=3)*(CHOOSE({1,2,3,4},TTSSKĐ!W386,TTSSKĐ!AA386,TTSSKĐ!AE386,TTSSKĐ!AI386)))</f>
        <v>0</v>
      </c>
      <c r="D386">
        <f>SUMPRODUCT((MONTH(CHOOSE({1,2,3,4},TTSSKĐ!T386,TTSSKĐ!X386,TTSSKĐ!AB386,TTSSKĐ!AF386))=4)*(CHOOSE({1,2,3,4},TTSSKĐ!W386,TTSSKĐ!AA386,TTSSKĐ!AE386,TTSSKĐ!AI386)))</f>
        <v>0</v>
      </c>
      <c r="E386">
        <f>SUMPRODUCT((MONTH(CHOOSE({1,2,3,4},TTSSKĐ!T386,TTSSKĐ!X386,TTSSKĐ!AB386,TTSSKĐ!AF386))=5)*(CHOOSE({1,2,3,4},TTSSKĐ!W386,TTSSKĐ!AA386,TTSSKĐ!AE386,TTSSKĐ!AI386)))</f>
        <v>0</v>
      </c>
      <c r="F386">
        <f>SUMPRODUCT((MONTH(CHOOSE({1,2,3,4},TTSSKĐ!T386,TTSSKĐ!X386,TTSSKĐ!AB386,TTSSKĐ!AF386))=6)*(CHOOSE({1,2,3,4},TTSSKĐ!W386,TTSSKĐ!AA386,TTSSKĐ!AE386,TTSSKĐ!AI386)))</f>
        <v>0</v>
      </c>
      <c r="G386">
        <f>SUMPRODUCT((MONTH(CHOOSE({1,2,3,4},TTSSKĐ!T386,TTSSKĐ!X386,TTSSKĐ!AB386,TTSSKĐ!AF386))=7)*(CHOOSE({1,2,3,4},TTSSKĐ!W386,TTSSKĐ!AA386,TTSSKĐ!AE386,TTSSKĐ!AI386)))</f>
        <v>0</v>
      </c>
      <c r="H386">
        <f>SUMPRODUCT((MONTH(CHOOSE({1,2,3,4},TTSSKĐ!T386,TTSSKĐ!X386,TTSSKĐ!AB386,TTSSKĐ!AF386))=8)*(CHOOSE({1,2,3,4},TTSSKĐ!W386,TTSSKĐ!AA386,TTSSKĐ!AE386,TTSSKĐ!AI386)))</f>
        <v>0</v>
      </c>
      <c r="I386">
        <f>SUMPRODUCT((MONTH(CHOOSE({1,2,3,4},TTSSKĐ!T386,TTSSKĐ!X386,TTSSKĐ!AB386,TTSSKĐ!AF386))=9)*(CHOOSE({1,2,3,4},TTSSKĐ!W386,TTSSKĐ!AA386,TTSSKĐ!AE386,TTSSKĐ!AI386)))</f>
        <v>0</v>
      </c>
      <c r="J386">
        <f>SUMPRODUCT((MONTH(CHOOSE({1,2,3,4},TTSSKĐ!T386,TTSSKĐ!X386,TTSSKĐ!AB386,TTSSKĐ!AF386))=10)*(CHOOSE({1,2,3,4},TTSSKĐ!W386,TTSSKĐ!AA386,TTSSKĐ!AE386,TTSSKĐ!AI386)))</f>
        <v>0</v>
      </c>
      <c r="K386">
        <f>SUMPRODUCT((MONTH(CHOOSE({1,2,3,4},TTSSKĐ!T386,TTSSKĐ!X386,TTSSKĐ!AB386,TTSSKĐ!AF386))=11)*(CHOOSE({1,2,3,4},TTSSKĐ!W386,TTSSKĐ!AA386,TTSSKĐ!AE386,TTSSKĐ!AI386)))</f>
        <v>0</v>
      </c>
      <c r="L386">
        <f>SUMPRODUCT((MONTH(CHOOSE({1,2,3,4},TTSSKĐ!T386,TTSSKĐ!X386,TTSSKĐ!AB386,TTSSKĐ!AF386))=12)*(CHOOSE({1,2,3,4},TTSSKĐ!W386,TTSSKĐ!AA386,TTSSKĐ!AE386,TTSSKĐ!AI386)))</f>
        <v>0</v>
      </c>
    </row>
    <row r="387" spans="1:12">
      <c r="A387">
        <f>SUMPRODUCT((MONTH(CHOOSE({1,2,3,4},TTSSKĐ!T387,TTSSKĐ!X387,TTSSKĐ!AB387,TTSSKĐ!AF387))=1)*(CHOOSE({1,2,3,4},TTSSKĐ!W387,TTSSKĐ!AA387,TTSSKĐ!AE387,TTSSKĐ!AI387)))</f>
        <v>0</v>
      </c>
      <c r="B387">
        <f>SUMPRODUCT((MONTH(CHOOSE({1,2,3,4},TTSSKĐ!T387,TTSSKĐ!X387,TTSSKĐ!AB387,TTSSKĐ!AF387))=2)*(CHOOSE({1,2,3,4},TTSSKĐ!W387,TTSSKĐ!AA387,TTSSKĐ!AE387,TTSSKĐ!AI387)))</f>
        <v>0</v>
      </c>
      <c r="C387">
        <f>SUMPRODUCT((MONTH(CHOOSE({1,2,3,4},TTSSKĐ!T387,TTSSKĐ!X387,TTSSKĐ!AB387,TTSSKĐ!AF387))=3)*(CHOOSE({1,2,3,4},TTSSKĐ!W387,TTSSKĐ!AA387,TTSSKĐ!AE387,TTSSKĐ!AI387)))</f>
        <v>0</v>
      </c>
      <c r="D387">
        <f>SUMPRODUCT((MONTH(CHOOSE({1,2,3,4},TTSSKĐ!T387,TTSSKĐ!X387,TTSSKĐ!AB387,TTSSKĐ!AF387))=4)*(CHOOSE({1,2,3,4},TTSSKĐ!W387,TTSSKĐ!AA387,TTSSKĐ!AE387,TTSSKĐ!AI387)))</f>
        <v>0</v>
      </c>
      <c r="E387">
        <f>SUMPRODUCT((MONTH(CHOOSE({1,2,3,4},TTSSKĐ!T387,TTSSKĐ!X387,TTSSKĐ!AB387,TTSSKĐ!AF387))=5)*(CHOOSE({1,2,3,4},TTSSKĐ!W387,TTSSKĐ!AA387,TTSSKĐ!AE387,TTSSKĐ!AI387)))</f>
        <v>0</v>
      </c>
      <c r="F387">
        <f>SUMPRODUCT((MONTH(CHOOSE({1,2,3,4},TTSSKĐ!T387,TTSSKĐ!X387,TTSSKĐ!AB387,TTSSKĐ!AF387))=6)*(CHOOSE({1,2,3,4},TTSSKĐ!W387,TTSSKĐ!AA387,TTSSKĐ!AE387,TTSSKĐ!AI387)))</f>
        <v>0</v>
      </c>
      <c r="G387">
        <f>SUMPRODUCT((MONTH(CHOOSE({1,2,3,4},TTSSKĐ!T387,TTSSKĐ!X387,TTSSKĐ!AB387,TTSSKĐ!AF387))=7)*(CHOOSE({1,2,3,4},TTSSKĐ!W387,TTSSKĐ!AA387,TTSSKĐ!AE387,TTSSKĐ!AI387)))</f>
        <v>0</v>
      </c>
      <c r="H387">
        <f>SUMPRODUCT((MONTH(CHOOSE({1,2,3,4},TTSSKĐ!T387,TTSSKĐ!X387,TTSSKĐ!AB387,TTSSKĐ!AF387))=8)*(CHOOSE({1,2,3,4},TTSSKĐ!W387,TTSSKĐ!AA387,TTSSKĐ!AE387,TTSSKĐ!AI387)))</f>
        <v>0</v>
      </c>
      <c r="I387">
        <f>SUMPRODUCT((MONTH(CHOOSE({1,2,3,4},TTSSKĐ!T387,TTSSKĐ!X387,TTSSKĐ!AB387,TTSSKĐ!AF387))=9)*(CHOOSE({1,2,3,4},TTSSKĐ!W387,TTSSKĐ!AA387,TTSSKĐ!AE387,TTSSKĐ!AI387)))</f>
        <v>0</v>
      </c>
      <c r="J387">
        <f>SUMPRODUCT((MONTH(CHOOSE({1,2,3,4},TTSSKĐ!T387,TTSSKĐ!X387,TTSSKĐ!AB387,TTSSKĐ!AF387))=10)*(CHOOSE({1,2,3,4},TTSSKĐ!W387,TTSSKĐ!AA387,TTSSKĐ!AE387,TTSSKĐ!AI387)))</f>
        <v>0</v>
      </c>
      <c r="K387">
        <f>SUMPRODUCT((MONTH(CHOOSE({1,2,3,4},TTSSKĐ!T387,TTSSKĐ!X387,TTSSKĐ!AB387,TTSSKĐ!AF387))=11)*(CHOOSE({1,2,3,4},TTSSKĐ!W387,TTSSKĐ!AA387,TTSSKĐ!AE387,TTSSKĐ!AI387)))</f>
        <v>0</v>
      </c>
      <c r="L387">
        <f>SUMPRODUCT((MONTH(CHOOSE({1,2,3,4},TTSSKĐ!T387,TTSSKĐ!X387,TTSSKĐ!AB387,TTSSKĐ!AF387))=12)*(CHOOSE({1,2,3,4},TTSSKĐ!W387,TTSSKĐ!AA387,TTSSKĐ!AE387,TTSSKĐ!AI387)))</f>
        <v>0</v>
      </c>
    </row>
    <row r="388" spans="1:12">
      <c r="A388">
        <f>SUMPRODUCT((MONTH(CHOOSE({1,2,3,4},TTSSKĐ!T388,TTSSKĐ!X388,TTSSKĐ!AB388,TTSSKĐ!AF388))=1)*(CHOOSE({1,2,3,4},TTSSKĐ!W388,TTSSKĐ!AA388,TTSSKĐ!AE388,TTSSKĐ!AI388)))</f>
        <v>0</v>
      </c>
      <c r="B388">
        <f>SUMPRODUCT((MONTH(CHOOSE({1,2,3,4},TTSSKĐ!T388,TTSSKĐ!X388,TTSSKĐ!AB388,TTSSKĐ!AF388))=2)*(CHOOSE({1,2,3,4},TTSSKĐ!W388,TTSSKĐ!AA388,TTSSKĐ!AE388,TTSSKĐ!AI388)))</f>
        <v>0</v>
      </c>
      <c r="C388">
        <f>SUMPRODUCT((MONTH(CHOOSE({1,2,3,4},TTSSKĐ!T388,TTSSKĐ!X388,TTSSKĐ!AB388,TTSSKĐ!AF388))=3)*(CHOOSE({1,2,3,4},TTSSKĐ!W388,TTSSKĐ!AA388,TTSSKĐ!AE388,TTSSKĐ!AI388)))</f>
        <v>0</v>
      </c>
      <c r="D388">
        <f>SUMPRODUCT((MONTH(CHOOSE({1,2,3,4},TTSSKĐ!T388,TTSSKĐ!X388,TTSSKĐ!AB388,TTSSKĐ!AF388))=4)*(CHOOSE({1,2,3,4},TTSSKĐ!W388,TTSSKĐ!AA388,TTSSKĐ!AE388,TTSSKĐ!AI388)))</f>
        <v>0</v>
      </c>
      <c r="E388">
        <f>SUMPRODUCT((MONTH(CHOOSE({1,2,3,4},TTSSKĐ!T388,TTSSKĐ!X388,TTSSKĐ!AB388,TTSSKĐ!AF388))=5)*(CHOOSE({1,2,3,4},TTSSKĐ!W388,TTSSKĐ!AA388,TTSSKĐ!AE388,TTSSKĐ!AI388)))</f>
        <v>0</v>
      </c>
      <c r="F388">
        <f>SUMPRODUCT((MONTH(CHOOSE({1,2,3,4},TTSSKĐ!T388,TTSSKĐ!X388,TTSSKĐ!AB388,TTSSKĐ!AF388))=6)*(CHOOSE({1,2,3,4},TTSSKĐ!W388,TTSSKĐ!AA388,TTSSKĐ!AE388,TTSSKĐ!AI388)))</f>
        <v>0</v>
      </c>
      <c r="G388">
        <f>SUMPRODUCT((MONTH(CHOOSE({1,2,3,4},TTSSKĐ!T388,TTSSKĐ!X388,TTSSKĐ!AB388,TTSSKĐ!AF388))=7)*(CHOOSE({1,2,3,4},TTSSKĐ!W388,TTSSKĐ!AA388,TTSSKĐ!AE388,TTSSKĐ!AI388)))</f>
        <v>0</v>
      </c>
      <c r="H388">
        <f>SUMPRODUCT((MONTH(CHOOSE({1,2,3,4},TTSSKĐ!T388,TTSSKĐ!X388,TTSSKĐ!AB388,TTSSKĐ!AF388))=8)*(CHOOSE({1,2,3,4},TTSSKĐ!W388,TTSSKĐ!AA388,TTSSKĐ!AE388,TTSSKĐ!AI388)))</f>
        <v>0</v>
      </c>
      <c r="I388">
        <f>SUMPRODUCT((MONTH(CHOOSE({1,2,3,4},TTSSKĐ!T388,TTSSKĐ!X388,TTSSKĐ!AB388,TTSSKĐ!AF388))=9)*(CHOOSE({1,2,3,4},TTSSKĐ!W388,TTSSKĐ!AA388,TTSSKĐ!AE388,TTSSKĐ!AI388)))</f>
        <v>0</v>
      </c>
      <c r="J388">
        <f>SUMPRODUCT((MONTH(CHOOSE({1,2,3,4},TTSSKĐ!T388,TTSSKĐ!X388,TTSSKĐ!AB388,TTSSKĐ!AF388))=10)*(CHOOSE({1,2,3,4},TTSSKĐ!W388,TTSSKĐ!AA388,TTSSKĐ!AE388,TTSSKĐ!AI388)))</f>
        <v>0</v>
      </c>
      <c r="K388">
        <f>SUMPRODUCT((MONTH(CHOOSE({1,2,3,4},TTSSKĐ!T388,TTSSKĐ!X388,TTSSKĐ!AB388,TTSSKĐ!AF388))=11)*(CHOOSE({1,2,3,4},TTSSKĐ!W388,TTSSKĐ!AA388,TTSSKĐ!AE388,TTSSKĐ!AI388)))</f>
        <v>0</v>
      </c>
      <c r="L388">
        <f>SUMPRODUCT((MONTH(CHOOSE({1,2,3,4},TTSSKĐ!T388,TTSSKĐ!X388,TTSSKĐ!AB388,TTSSKĐ!AF388))=12)*(CHOOSE({1,2,3,4},TTSSKĐ!W388,TTSSKĐ!AA388,TTSSKĐ!AE388,TTSSKĐ!AI388)))</f>
        <v>0</v>
      </c>
    </row>
    <row r="389" spans="1:12">
      <c r="A389">
        <f>SUMPRODUCT((MONTH(CHOOSE({1,2,3,4},TTSSKĐ!T389,TTSSKĐ!X389,TTSSKĐ!AB389,TTSSKĐ!AF389))=1)*(CHOOSE({1,2,3,4},TTSSKĐ!W389,TTSSKĐ!AA389,TTSSKĐ!AE389,TTSSKĐ!AI389)))</f>
        <v>0</v>
      </c>
      <c r="B389">
        <f>SUMPRODUCT((MONTH(CHOOSE({1,2,3,4},TTSSKĐ!T389,TTSSKĐ!X389,TTSSKĐ!AB389,TTSSKĐ!AF389))=2)*(CHOOSE({1,2,3,4},TTSSKĐ!W389,TTSSKĐ!AA389,TTSSKĐ!AE389,TTSSKĐ!AI389)))</f>
        <v>0</v>
      </c>
      <c r="C389">
        <f>SUMPRODUCT((MONTH(CHOOSE({1,2,3,4},TTSSKĐ!T389,TTSSKĐ!X389,TTSSKĐ!AB389,TTSSKĐ!AF389))=3)*(CHOOSE({1,2,3,4},TTSSKĐ!W389,TTSSKĐ!AA389,TTSSKĐ!AE389,TTSSKĐ!AI389)))</f>
        <v>0</v>
      </c>
      <c r="D389">
        <f>SUMPRODUCT((MONTH(CHOOSE({1,2,3,4},TTSSKĐ!T389,TTSSKĐ!X389,TTSSKĐ!AB389,TTSSKĐ!AF389))=4)*(CHOOSE({1,2,3,4},TTSSKĐ!W389,TTSSKĐ!AA389,TTSSKĐ!AE389,TTSSKĐ!AI389)))</f>
        <v>0</v>
      </c>
      <c r="E389">
        <f>SUMPRODUCT((MONTH(CHOOSE({1,2,3,4},TTSSKĐ!T389,TTSSKĐ!X389,TTSSKĐ!AB389,TTSSKĐ!AF389))=5)*(CHOOSE({1,2,3,4},TTSSKĐ!W389,TTSSKĐ!AA389,TTSSKĐ!AE389,TTSSKĐ!AI389)))</f>
        <v>0</v>
      </c>
      <c r="F389">
        <f>SUMPRODUCT((MONTH(CHOOSE({1,2,3,4},TTSSKĐ!T389,TTSSKĐ!X389,TTSSKĐ!AB389,TTSSKĐ!AF389))=6)*(CHOOSE({1,2,3,4},TTSSKĐ!W389,TTSSKĐ!AA389,TTSSKĐ!AE389,TTSSKĐ!AI389)))</f>
        <v>0</v>
      </c>
      <c r="G389">
        <f>SUMPRODUCT((MONTH(CHOOSE({1,2,3,4},TTSSKĐ!T389,TTSSKĐ!X389,TTSSKĐ!AB389,TTSSKĐ!AF389))=7)*(CHOOSE({1,2,3,4},TTSSKĐ!W389,TTSSKĐ!AA389,TTSSKĐ!AE389,TTSSKĐ!AI389)))</f>
        <v>0</v>
      </c>
      <c r="H389">
        <f>SUMPRODUCT((MONTH(CHOOSE({1,2,3,4},TTSSKĐ!T389,TTSSKĐ!X389,TTSSKĐ!AB389,TTSSKĐ!AF389))=8)*(CHOOSE({1,2,3,4},TTSSKĐ!W389,TTSSKĐ!AA389,TTSSKĐ!AE389,TTSSKĐ!AI389)))</f>
        <v>0</v>
      </c>
      <c r="I389">
        <f>SUMPRODUCT((MONTH(CHOOSE({1,2,3,4},TTSSKĐ!T389,TTSSKĐ!X389,TTSSKĐ!AB389,TTSSKĐ!AF389))=9)*(CHOOSE({1,2,3,4},TTSSKĐ!W389,TTSSKĐ!AA389,TTSSKĐ!AE389,TTSSKĐ!AI389)))</f>
        <v>0</v>
      </c>
      <c r="J389">
        <f>SUMPRODUCT((MONTH(CHOOSE({1,2,3,4},TTSSKĐ!T389,TTSSKĐ!X389,TTSSKĐ!AB389,TTSSKĐ!AF389))=10)*(CHOOSE({1,2,3,4},TTSSKĐ!W389,TTSSKĐ!AA389,TTSSKĐ!AE389,TTSSKĐ!AI389)))</f>
        <v>0</v>
      </c>
      <c r="K389">
        <f>SUMPRODUCT((MONTH(CHOOSE({1,2,3,4},TTSSKĐ!T389,TTSSKĐ!X389,TTSSKĐ!AB389,TTSSKĐ!AF389))=11)*(CHOOSE({1,2,3,4},TTSSKĐ!W389,TTSSKĐ!AA389,TTSSKĐ!AE389,TTSSKĐ!AI389)))</f>
        <v>0</v>
      </c>
      <c r="L389">
        <f>SUMPRODUCT((MONTH(CHOOSE({1,2,3,4},TTSSKĐ!T389,TTSSKĐ!X389,TTSSKĐ!AB389,TTSSKĐ!AF389))=12)*(CHOOSE({1,2,3,4},TTSSKĐ!W389,TTSSKĐ!AA389,TTSSKĐ!AE389,TTSSKĐ!AI389)))</f>
        <v>0</v>
      </c>
    </row>
    <row r="390" spans="1:12">
      <c r="A390">
        <f>SUMPRODUCT((MONTH(CHOOSE({1,2,3,4},TTSSKĐ!T390,TTSSKĐ!X390,TTSSKĐ!AB390,TTSSKĐ!AF390))=1)*(CHOOSE({1,2,3,4},TTSSKĐ!W390,TTSSKĐ!AA390,TTSSKĐ!AE390,TTSSKĐ!AI390)))</f>
        <v>0</v>
      </c>
      <c r="B390">
        <f>SUMPRODUCT((MONTH(CHOOSE({1,2,3,4},TTSSKĐ!T390,TTSSKĐ!X390,TTSSKĐ!AB390,TTSSKĐ!AF390))=2)*(CHOOSE({1,2,3,4},TTSSKĐ!W390,TTSSKĐ!AA390,TTSSKĐ!AE390,TTSSKĐ!AI390)))</f>
        <v>0</v>
      </c>
      <c r="C390">
        <f>SUMPRODUCT((MONTH(CHOOSE({1,2,3,4},TTSSKĐ!T390,TTSSKĐ!X390,TTSSKĐ!AB390,TTSSKĐ!AF390))=3)*(CHOOSE({1,2,3,4},TTSSKĐ!W390,TTSSKĐ!AA390,TTSSKĐ!AE390,TTSSKĐ!AI390)))</f>
        <v>0</v>
      </c>
      <c r="D390">
        <f>SUMPRODUCT((MONTH(CHOOSE({1,2,3,4},TTSSKĐ!T390,TTSSKĐ!X390,TTSSKĐ!AB390,TTSSKĐ!AF390))=4)*(CHOOSE({1,2,3,4},TTSSKĐ!W390,TTSSKĐ!AA390,TTSSKĐ!AE390,TTSSKĐ!AI390)))</f>
        <v>0</v>
      </c>
      <c r="E390">
        <f>SUMPRODUCT((MONTH(CHOOSE({1,2,3,4},TTSSKĐ!T390,TTSSKĐ!X390,TTSSKĐ!AB390,TTSSKĐ!AF390))=5)*(CHOOSE({1,2,3,4},TTSSKĐ!W390,TTSSKĐ!AA390,TTSSKĐ!AE390,TTSSKĐ!AI390)))</f>
        <v>0</v>
      </c>
      <c r="F390">
        <f>SUMPRODUCT((MONTH(CHOOSE({1,2,3,4},TTSSKĐ!T390,TTSSKĐ!X390,TTSSKĐ!AB390,TTSSKĐ!AF390))=6)*(CHOOSE({1,2,3,4},TTSSKĐ!W390,TTSSKĐ!AA390,TTSSKĐ!AE390,TTSSKĐ!AI390)))</f>
        <v>0</v>
      </c>
      <c r="G390">
        <f>SUMPRODUCT((MONTH(CHOOSE({1,2,3,4},TTSSKĐ!T390,TTSSKĐ!X390,TTSSKĐ!AB390,TTSSKĐ!AF390))=7)*(CHOOSE({1,2,3,4},TTSSKĐ!W390,TTSSKĐ!AA390,TTSSKĐ!AE390,TTSSKĐ!AI390)))</f>
        <v>0</v>
      </c>
      <c r="H390">
        <f>SUMPRODUCT((MONTH(CHOOSE({1,2,3,4},TTSSKĐ!T390,TTSSKĐ!X390,TTSSKĐ!AB390,TTSSKĐ!AF390))=8)*(CHOOSE({1,2,3,4},TTSSKĐ!W390,TTSSKĐ!AA390,TTSSKĐ!AE390,TTSSKĐ!AI390)))</f>
        <v>0</v>
      </c>
      <c r="I390">
        <f>SUMPRODUCT((MONTH(CHOOSE({1,2,3,4},TTSSKĐ!T390,TTSSKĐ!X390,TTSSKĐ!AB390,TTSSKĐ!AF390))=9)*(CHOOSE({1,2,3,4},TTSSKĐ!W390,TTSSKĐ!AA390,TTSSKĐ!AE390,TTSSKĐ!AI390)))</f>
        <v>0</v>
      </c>
      <c r="J390">
        <f>SUMPRODUCT((MONTH(CHOOSE({1,2,3,4},TTSSKĐ!T390,TTSSKĐ!X390,TTSSKĐ!AB390,TTSSKĐ!AF390))=10)*(CHOOSE({1,2,3,4},TTSSKĐ!W390,TTSSKĐ!AA390,TTSSKĐ!AE390,TTSSKĐ!AI390)))</f>
        <v>0</v>
      </c>
      <c r="K390">
        <f>SUMPRODUCT((MONTH(CHOOSE({1,2,3,4},TTSSKĐ!T390,TTSSKĐ!X390,TTSSKĐ!AB390,TTSSKĐ!AF390))=11)*(CHOOSE({1,2,3,4},TTSSKĐ!W390,TTSSKĐ!AA390,TTSSKĐ!AE390,TTSSKĐ!AI390)))</f>
        <v>0</v>
      </c>
      <c r="L390">
        <f>SUMPRODUCT((MONTH(CHOOSE({1,2,3,4},TTSSKĐ!T390,TTSSKĐ!X390,TTSSKĐ!AB390,TTSSKĐ!AF390))=12)*(CHOOSE({1,2,3,4},TTSSKĐ!W390,TTSSKĐ!AA390,TTSSKĐ!AE390,TTSSKĐ!AI390)))</f>
        <v>0</v>
      </c>
    </row>
    <row r="391" spans="1:12">
      <c r="A391">
        <f>SUMPRODUCT((MONTH(CHOOSE({1,2,3,4},TTSSKĐ!T391,TTSSKĐ!X391,TTSSKĐ!AB391,TTSSKĐ!AF391))=1)*(CHOOSE({1,2,3,4},TTSSKĐ!W391,TTSSKĐ!AA391,TTSSKĐ!AE391,TTSSKĐ!AI391)))</f>
        <v>0</v>
      </c>
      <c r="B391">
        <f>SUMPRODUCT((MONTH(CHOOSE({1,2,3,4},TTSSKĐ!T391,TTSSKĐ!X391,TTSSKĐ!AB391,TTSSKĐ!AF391))=2)*(CHOOSE({1,2,3,4},TTSSKĐ!W391,TTSSKĐ!AA391,TTSSKĐ!AE391,TTSSKĐ!AI391)))</f>
        <v>0</v>
      </c>
      <c r="C391">
        <f>SUMPRODUCT((MONTH(CHOOSE({1,2,3,4},TTSSKĐ!T391,TTSSKĐ!X391,TTSSKĐ!AB391,TTSSKĐ!AF391))=3)*(CHOOSE({1,2,3,4},TTSSKĐ!W391,TTSSKĐ!AA391,TTSSKĐ!AE391,TTSSKĐ!AI391)))</f>
        <v>0</v>
      </c>
      <c r="D391">
        <f>SUMPRODUCT((MONTH(CHOOSE({1,2,3,4},TTSSKĐ!T391,TTSSKĐ!X391,TTSSKĐ!AB391,TTSSKĐ!AF391))=4)*(CHOOSE({1,2,3,4},TTSSKĐ!W391,TTSSKĐ!AA391,TTSSKĐ!AE391,TTSSKĐ!AI391)))</f>
        <v>0</v>
      </c>
      <c r="E391">
        <f>SUMPRODUCT((MONTH(CHOOSE({1,2,3,4},TTSSKĐ!T391,TTSSKĐ!X391,TTSSKĐ!AB391,TTSSKĐ!AF391))=5)*(CHOOSE({1,2,3,4},TTSSKĐ!W391,TTSSKĐ!AA391,TTSSKĐ!AE391,TTSSKĐ!AI391)))</f>
        <v>0</v>
      </c>
      <c r="F391">
        <f>SUMPRODUCT((MONTH(CHOOSE({1,2,3,4},TTSSKĐ!T391,TTSSKĐ!X391,TTSSKĐ!AB391,TTSSKĐ!AF391))=6)*(CHOOSE({1,2,3,4},TTSSKĐ!W391,TTSSKĐ!AA391,TTSSKĐ!AE391,TTSSKĐ!AI391)))</f>
        <v>0</v>
      </c>
      <c r="G391">
        <f>SUMPRODUCT((MONTH(CHOOSE({1,2,3,4},TTSSKĐ!T391,TTSSKĐ!X391,TTSSKĐ!AB391,TTSSKĐ!AF391))=7)*(CHOOSE({1,2,3,4},TTSSKĐ!W391,TTSSKĐ!AA391,TTSSKĐ!AE391,TTSSKĐ!AI391)))</f>
        <v>0</v>
      </c>
      <c r="H391">
        <f>SUMPRODUCT((MONTH(CHOOSE({1,2,3,4},TTSSKĐ!T391,TTSSKĐ!X391,TTSSKĐ!AB391,TTSSKĐ!AF391))=8)*(CHOOSE({1,2,3,4},TTSSKĐ!W391,TTSSKĐ!AA391,TTSSKĐ!AE391,TTSSKĐ!AI391)))</f>
        <v>0</v>
      </c>
      <c r="I391">
        <f>SUMPRODUCT((MONTH(CHOOSE({1,2,3,4},TTSSKĐ!T391,TTSSKĐ!X391,TTSSKĐ!AB391,TTSSKĐ!AF391))=9)*(CHOOSE({1,2,3,4},TTSSKĐ!W391,TTSSKĐ!AA391,TTSSKĐ!AE391,TTSSKĐ!AI391)))</f>
        <v>0</v>
      </c>
      <c r="J391">
        <f>SUMPRODUCT((MONTH(CHOOSE({1,2,3,4},TTSSKĐ!T391,TTSSKĐ!X391,TTSSKĐ!AB391,TTSSKĐ!AF391))=10)*(CHOOSE({1,2,3,4},TTSSKĐ!W391,TTSSKĐ!AA391,TTSSKĐ!AE391,TTSSKĐ!AI391)))</f>
        <v>0</v>
      </c>
      <c r="K391">
        <f>SUMPRODUCT((MONTH(CHOOSE({1,2,3,4},TTSSKĐ!T391,TTSSKĐ!X391,TTSSKĐ!AB391,TTSSKĐ!AF391))=11)*(CHOOSE({1,2,3,4},TTSSKĐ!W391,TTSSKĐ!AA391,TTSSKĐ!AE391,TTSSKĐ!AI391)))</f>
        <v>0</v>
      </c>
      <c r="L391">
        <f>SUMPRODUCT((MONTH(CHOOSE({1,2,3,4},TTSSKĐ!T391,TTSSKĐ!X391,TTSSKĐ!AB391,TTSSKĐ!AF391))=12)*(CHOOSE({1,2,3,4},TTSSKĐ!W391,TTSSKĐ!AA391,TTSSKĐ!AE391,TTSSKĐ!AI391)))</f>
        <v>0</v>
      </c>
    </row>
    <row r="392" spans="1:12">
      <c r="A392">
        <f>SUMPRODUCT((MONTH(CHOOSE({1,2,3,4},TTSSKĐ!T392,TTSSKĐ!X392,TTSSKĐ!AB392,TTSSKĐ!AF392))=1)*(CHOOSE({1,2,3,4},TTSSKĐ!W392,TTSSKĐ!AA392,TTSSKĐ!AE392,TTSSKĐ!AI392)))</f>
        <v>0</v>
      </c>
      <c r="B392">
        <f>SUMPRODUCT((MONTH(CHOOSE({1,2,3,4},TTSSKĐ!T392,TTSSKĐ!X392,TTSSKĐ!AB392,TTSSKĐ!AF392))=2)*(CHOOSE({1,2,3,4},TTSSKĐ!W392,TTSSKĐ!AA392,TTSSKĐ!AE392,TTSSKĐ!AI392)))</f>
        <v>0</v>
      </c>
      <c r="C392">
        <f>SUMPRODUCT((MONTH(CHOOSE({1,2,3,4},TTSSKĐ!T392,TTSSKĐ!X392,TTSSKĐ!AB392,TTSSKĐ!AF392))=3)*(CHOOSE({1,2,3,4},TTSSKĐ!W392,TTSSKĐ!AA392,TTSSKĐ!AE392,TTSSKĐ!AI392)))</f>
        <v>0</v>
      </c>
      <c r="D392">
        <f>SUMPRODUCT((MONTH(CHOOSE({1,2,3,4},TTSSKĐ!T392,TTSSKĐ!X392,TTSSKĐ!AB392,TTSSKĐ!AF392))=4)*(CHOOSE({1,2,3,4},TTSSKĐ!W392,TTSSKĐ!AA392,TTSSKĐ!AE392,TTSSKĐ!AI392)))</f>
        <v>0</v>
      </c>
      <c r="E392">
        <f>SUMPRODUCT((MONTH(CHOOSE({1,2,3,4},TTSSKĐ!T392,TTSSKĐ!X392,TTSSKĐ!AB392,TTSSKĐ!AF392))=5)*(CHOOSE({1,2,3,4},TTSSKĐ!W392,TTSSKĐ!AA392,TTSSKĐ!AE392,TTSSKĐ!AI392)))</f>
        <v>0</v>
      </c>
      <c r="F392">
        <f>SUMPRODUCT((MONTH(CHOOSE({1,2,3,4},TTSSKĐ!T392,TTSSKĐ!X392,TTSSKĐ!AB392,TTSSKĐ!AF392))=6)*(CHOOSE({1,2,3,4},TTSSKĐ!W392,TTSSKĐ!AA392,TTSSKĐ!AE392,TTSSKĐ!AI392)))</f>
        <v>0</v>
      </c>
      <c r="G392">
        <f>SUMPRODUCT((MONTH(CHOOSE({1,2,3,4},TTSSKĐ!T392,TTSSKĐ!X392,TTSSKĐ!AB392,TTSSKĐ!AF392))=7)*(CHOOSE({1,2,3,4},TTSSKĐ!W392,TTSSKĐ!AA392,TTSSKĐ!AE392,TTSSKĐ!AI392)))</f>
        <v>0</v>
      </c>
      <c r="H392">
        <f>SUMPRODUCT((MONTH(CHOOSE({1,2,3,4},TTSSKĐ!T392,TTSSKĐ!X392,TTSSKĐ!AB392,TTSSKĐ!AF392))=8)*(CHOOSE({1,2,3,4},TTSSKĐ!W392,TTSSKĐ!AA392,TTSSKĐ!AE392,TTSSKĐ!AI392)))</f>
        <v>0</v>
      </c>
      <c r="I392">
        <f>SUMPRODUCT((MONTH(CHOOSE({1,2,3,4},TTSSKĐ!T392,TTSSKĐ!X392,TTSSKĐ!AB392,TTSSKĐ!AF392))=9)*(CHOOSE({1,2,3,4},TTSSKĐ!W392,TTSSKĐ!AA392,TTSSKĐ!AE392,TTSSKĐ!AI392)))</f>
        <v>0</v>
      </c>
      <c r="J392">
        <f>SUMPRODUCT((MONTH(CHOOSE({1,2,3,4},TTSSKĐ!T392,TTSSKĐ!X392,TTSSKĐ!AB392,TTSSKĐ!AF392))=10)*(CHOOSE({1,2,3,4},TTSSKĐ!W392,TTSSKĐ!AA392,TTSSKĐ!AE392,TTSSKĐ!AI392)))</f>
        <v>0</v>
      </c>
      <c r="K392">
        <f>SUMPRODUCT((MONTH(CHOOSE({1,2,3,4},TTSSKĐ!T392,TTSSKĐ!X392,TTSSKĐ!AB392,TTSSKĐ!AF392))=11)*(CHOOSE({1,2,3,4},TTSSKĐ!W392,TTSSKĐ!AA392,TTSSKĐ!AE392,TTSSKĐ!AI392)))</f>
        <v>0</v>
      </c>
      <c r="L392">
        <f>SUMPRODUCT((MONTH(CHOOSE({1,2,3,4},TTSSKĐ!T392,TTSSKĐ!X392,TTSSKĐ!AB392,TTSSKĐ!AF392))=12)*(CHOOSE({1,2,3,4},TTSSKĐ!W392,TTSSKĐ!AA392,TTSSKĐ!AE392,TTSSKĐ!AI392)))</f>
        <v>0</v>
      </c>
    </row>
    <row r="393" spans="1:12">
      <c r="A393">
        <f>SUMPRODUCT((MONTH(CHOOSE({1,2,3,4},TTSSKĐ!T393,TTSSKĐ!X393,TTSSKĐ!AB393,TTSSKĐ!AF393))=1)*(CHOOSE({1,2,3,4},TTSSKĐ!W393,TTSSKĐ!AA393,TTSSKĐ!AE393,TTSSKĐ!AI393)))</f>
        <v>0</v>
      </c>
      <c r="B393">
        <f>SUMPRODUCT((MONTH(CHOOSE({1,2,3,4},TTSSKĐ!T393,TTSSKĐ!X393,TTSSKĐ!AB393,TTSSKĐ!AF393))=2)*(CHOOSE({1,2,3,4},TTSSKĐ!W393,TTSSKĐ!AA393,TTSSKĐ!AE393,TTSSKĐ!AI393)))</f>
        <v>0</v>
      </c>
      <c r="C393">
        <f>SUMPRODUCT((MONTH(CHOOSE({1,2,3,4},TTSSKĐ!T393,TTSSKĐ!X393,TTSSKĐ!AB393,TTSSKĐ!AF393))=3)*(CHOOSE({1,2,3,4},TTSSKĐ!W393,TTSSKĐ!AA393,TTSSKĐ!AE393,TTSSKĐ!AI393)))</f>
        <v>0</v>
      </c>
      <c r="D393">
        <f>SUMPRODUCT((MONTH(CHOOSE({1,2,3,4},TTSSKĐ!T393,TTSSKĐ!X393,TTSSKĐ!AB393,TTSSKĐ!AF393))=4)*(CHOOSE({1,2,3,4},TTSSKĐ!W393,TTSSKĐ!AA393,TTSSKĐ!AE393,TTSSKĐ!AI393)))</f>
        <v>0</v>
      </c>
      <c r="E393">
        <f>SUMPRODUCT((MONTH(CHOOSE({1,2,3,4},TTSSKĐ!T393,TTSSKĐ!X393,TTSSKĐ!AB393,TTSSKĐ!AF393))=5)*(CHOOSE({1,2,3,4},TTSSKĐ!W393,TTSSKĐ!AA393,TTSSKĐ!AE393,TTSSKĐ!AI393)))</f>
        <v>0</v>
      </c>
      <c r="F393">
        <f>SUMPRODUCT((MONTH(CHOOSE({1,2,3,4},TTSSKĐ!T393,TTSSKĐ!X393,TTSSKĐ!AB393,TTSSKĐ!AF393))=6)*(CHOOSE({1,2,3,4},TTSSKĐ!W393,TTSSKĐ!AA393,TTSSKĐ!AE393,TTSSKĐ!AI393)))</f>
        <v>0</v>
      </c>
      <c r="G393">
        <f>SUMPRODUCT((MONTH(CHOOSE({1,2,3,4},TTSSKĐ!T393,TTSSKĐ!X393,TTSSKĐ!AB393,TTSSKĐ!AF393))=7)*(CHOOSE({1,2,3,4},TTSSKĐ!W393,TTSSKĐ!AA393,TTSSKĐ!AE393,TTSSKĐ!AI393)))</f>
        <v>0</v>
      </c>
      <c r="H393">
        <f>SUMPRODUCT((MONTH(CHOOSE({1,2,3,4},TTSSKĐ!T393,TTSSKĐ!X393,TTSSKĐ!AB393,TTSSKĐ!AF393))=8)*(CHOOSE({1,2,3,4},TTSSKĐ!W393,TTSSKĐ!AA393,TTSSKĐ!AE393,TTSSKĐ!AI393)))</f>
        <v>0</v>
      </c>
      <c r="I393">
        <f>SUMPRODUCT((MONTH(CHOOSE({1,2,3,4},TTSSKĐ!T393,TTSSKĐ!X393,TTSSKĐ!AB393,TTSSKĐ!AF393))=9)*(CHOOSE({1,2,3,4},TTSSKĐ!W393,TTSSKĐ!AA393,TTSSKĐ!AE393,TTSSKĐ!AI393)))</f>
        <v>0</v>
      </c>
      <c r="J393">
        <f>SUMPRODUCT((MONTH(CHOOSE({1,2,3,4},TTSSKĐ!T393,TTSSKĐ!X393,TTSSKĐ!AB393,TTSSKĐ!AF393))=10)*(CHOOSE({1,2,3,4},TTSSKĐ!W393,TTSSKĐ!AA393,TTSSKĐ!AE393,TTSSKĐ!AI393)))</f>
        <v>0</v>
      </c>
      <c r="K393">
        <f>SUMPRODUCT((MONTH(CHOOSE({1,2,3,4},TTSSKĐ!T393,TTSSKĐ!X393,TTSSKĐ!AB393,TTSSKĐ!AF393))=11)*(CHOOSE({1,2,3,4},TTSSKĐ!W393,TTSSKĐ!AA393,TTSSKĐ!AE393,TTSSKĐ!AI393)))</f>
        <v>0</v>
      </c>
      <c r="L393">
        <f>SUMPRODUCT((MONTH(CHOOSE({1,2,3,4},TTSSKĐ!T393,TTSSKĐ!X393,TTSSKĐ!AB393,TTSSKĐ!AF393))=12)*(CHOOSE({1,2,3,4},TTSSKĐ!W393,TTSSKĐ!AA393,TTSSKĐ!AE393,TTSSKĐ!AI393)))</f>
        <v>0</v>
      </c>
    </row>
    <row r="394" spans="1:12">
      <c r="A394">
        <f>SUMPRODUCT((MONTH(CHOOSE({1,2,3,4},TTSSKĐ!T394,TTSSKĐ!X394,TTSSKĐ!AB394,TTSSKĐ!AF394))=1)*(CHOOSE({1,2,3,4},TTSSKĐ!W394,TTSSKĐ!AA394,TTSSKĐ!AE394,TTSSKĐ!AI394)))</f>
        <v>0</v>
      </c>
      <c r="B394">
        <f>SUMPRODUCT((MONTH(CHOOSE({1,2,3,4},TTSSKĐ!T394,TTSSKĐ!X394,TTSSKĐ!AB394,TTSSKĐ!AF394))=2)*(CHOOSE({1,2,3,4},TTSSKĐ!W394,TTSSKĐ!AA394,TTSSKĐ!AE394,TTSSKĐ!AI394)))</f>
        <v>0</v>
      </c>
      <c r="C394">
        <f>SUMPRODUCT((MONTH(CHOOSE({1,2,3,4},TTSSKĐ!T394,TTSSKĐ!X394,TTSSKĐ!AB394,TTSSKĐ!AF394))=3)*(CHOOSE({1,2,3,4},TTSSKĐ!W394,TTSSKĐ!AA394,TTSSKĐ!AE394,TTSSKĐ!AI394)))</f>
        <v>0</v>
      </c>
      <c r="D394">
        <f>SUMPRODUCT((MONTH(CHOOSE({1,2,3,4},TTSSKĐ!T394,TTSSKĐ!X394,TTSSKĐ!AB394,TTSSKĐ!AF394))=4)*(CHOOSE({1,2,3,4},TTSSKĐ!W394,TTSSKĐ!AA394,TTSSKĐ!AE394,TTSSKĐ!AI394)))</f>
        <v>0</v>
      </c>
      <c r="E394">
        <f>SUMPRODUCT((MONTH(CHOOSE({1,2,3,4},TTSSKĐ!T394,TTSSKĐ!X394,TTSSKĐ!AB394,TTSSKĐ!AF394))=5)*(CHOOSE({1,2,3,4},TTSSKĐ!W394,TTSSKĐ!AA394,TTSSKĐ!AE394,TTSSKĐ!AI394)))</f>
        <v>0</v>
      </c>
      <c r="F394">
        <f>SUMPRODUCT((MONTH(CHOOSE({1,2,3,4},TTSSKĐ!T394,TTSSKĐ!X394,TTSSKĐ!AB394,TTSSKĐ!AF394))=6)*(CHOOSE({1,2,3,4},TTSSKĐ!W394,TTSSKĐ!AA394,TTSSKĐ!AE394,TTSSKĐ!AI394)))</f>
        <v>0</v>
      </c>
      <c r="G394">
        <f>SUMPRODUCT((MONTH(CHOOSE({1,2,3,4},TTSSKĐ!T394,TTSSKĐ!X394,TTSSKĐ!AB394,TTSSKĐ!AF394))=7)*(CHOOSE({1,2,3,4},TTSSKĐ!W394,TTSSKĐ!AA394,TTSSKĐ!AE394,TTSSKĐ!AI394)))</f>
        <v>0</v>
      </c>
      <c r="H394">
        <f>SUMPRODUCT((MONTH(CHOOSE({1,2,3,4},TTSSKĐ!T394,TTSSKĐ!X394,TTSSKĐ!AB394,TTSSKĐ!AF394))=8)*(CHOOSE({1,2,3,4},TTSSKĐ!W394,TTSSKĐ!AA394,TTSSKĐ!AE394,TTSSKĐ!AI394)))</f>
        <v>0</v>
      </c>
      <c r="I394">
        <f>SUMPRODUCT((MONTH(CHOOSE({1,2,3,4},TTSSKĐ!T394,TTSSKĐ!X394,TTSSKĐ!AB394,TTSSKĐ!AF394))=9)*(CHOOSE({1,2,3,4},TTSSKĐ!W394,TTSSKĐ!AA394,TTSSKĐ!AE394,TTSSKĐ!AI394)))</f>
        <v>0</v>
      </c>
      <c r="J394">
        <f>SUMPRODUCT((MONTH(CHOOSE({1,2,3,4},TTSSKĐ!T394,TTSSKĐ!X394,TTSSKĐ!AB394,TTSSKĐ!AF394))=10)*(CHOOSE({1,2,3,4},TTSSKĐ!W394,TTSSKĐ!AA394,TTSSKĐ!AE394,TTSSKĐ!AI394)))</f>
        <v>0</v>
      </c>
      <c r="K394">
        <f>SUMPRODUCT((MONTH(CHOOSE({1,2,3,4},TTSSKĐ!T394,TTSSKĐ!X394,TTSSKĐ!AB394,TTSSKĐ!AF394))=11)*(CHOOSE({1,2,3,4},TTSSKĐ!W394,TTSSKĐ!AA394,TTSSKĐ!AE394,TTSSKĐ!AI394)))</f>
        <v>0</v>
      </c>
      <c r="L394">
        <f>SUMPRODUCT((MONTH(CHOOSE({1,2,3,4},TTSSKĐ!T394,TTSSKĐ!X394,TTSSKĐ!AB394,TTSSKĐ!AF394))=12)*(CHOOSE({1,2,3,4},TTSSKĐ!W394,TTSSKĐ!AA394,TTSSKĐ!AE394,TTSSKĐ!AI394)))</f>
        <v>0</v>
      </c>
    </row>
    <row r="395" spans="1:12">
      <c r="A395">
        <f>SUMPRODUCT((MONTH(CHOOSE({1,2,3,4},TTSSKĐ!T395,TTSSKĐ!X395,TTSSKĐ!AB395,TTSSKĐ!AF395))=1)*(CHOOSE({1,2,3,4},TTSSKĐ!W395,TTSSKĐ!AA395,TTSSKĐ!AE395,TTSSKĐ!AI395)))</f>
        <v>0</v>
      </c>
      <c r="B395">
        <f>SUMPRODUCT((MONTH(CHOOSE({1,2,3,4},TTSSKĐ!T395,TTSSKĐ!X395,TTSSKĐ!AB395,TTSSKĐ!AF395))=2)*(CHOOSE({1,2,3,4},TTSSKĐ!W395,TTSSKĐ!AA395,TTSSKĐ!AE395,TTSSKĐ!AI395)))</f>
        <v>0</v>
      </c>
      <c r="C395">
        <f>SUMPRODUCT((MONTH(CHOOSE({1,2,3,4},TTSSKĐ!T395,TTSSKĐ!X395,TTSSKĐ!AB395,TTSSKĐ!AF395))=3)*(CHOOSE({1,2,3,4},TTSSKĐ!W395,TTSSKĐ!AA395,TTSSKĐ!AE395,TTSSKĐ!AI395)))</f>
        <v>0</v>
      </c>
      <c r="D395">
        <f>SUMPRODUCT((MONTH(CHOOSE({1,2,3,4},TTSSKĐ!T395,TTSSKĐ!X395,TTSSKĐ!AB395,TTSSKĐ!AF395))=4)*(CHOOSE({1,2,3,4},TTSSKĐ!W395,TTSSKĐ!AA395,TTSSKĐ!AE395,TTSSKĐ!AI395)))</f>
        <v>0</v>
      </c>
      <c r="E395">
        <f>SUMPRODUCT((MONTH(CHOOSE({1,2,3,4},TTSSKĐ!T395,TTSSKĐ!X395,TTSSKĐ!AB395,TTSSKĐ!AF395))=5)*(CHOOSE({1,2,3,4},TTSSKĐ!W395,TTSSKĐ!AA395,TTSSKĐ!AE395,TTSSKĐ!AI395)))</f>
        <v>0</v>
      </c>
      <c r="F395">
        <f>SUMPRODUCT((MONTH(CHOOSE({1,2,3,4},TTSSKĐ!T395,TTSSKĐ!X395,TTSSKĐ!AB395,TTSSKĐ!AF395))=6)*(CHOOSE({1,2,3,4},TTSSKĐ!W395,TTSSKĐ!AA395,TTSSKĐ!AE395,TTSSKĐ!AI395)))</f>
        <v>0</v>
      </c>
      <c r="G395">
        <f>SUMPRODUCT((MONTH(CHOOSE({1,2,3,4},TTSSKĐ!T395,TTSSKĐ!X395,TTSSKĐ!AB395,TTSSKĐ!AF395))=7)*(CHOOSE({1,2,3,4},TTSSKĐ!W395,TTSSKĐ!AA395,TTSSKĐ!AE395,TTSSKĐ!AI395)))</f>
        <v>0</v>
      </c>
      <c r="H395">
        <f>SUMPRODUCT((MONTH(CHOOSE({1,2,3,4},TTSSKĐ!T395,TTSSKĐ!X395,TTSSKĐ!AB395,TTSSKĐ!AF395))=8)*(CHOOSE({1,2,3,4},TTSSKĐ!W395,TTSSKĐ!AA395,TTSSKĐ!AE395,TTSSKĐ!AI395)))</f>
        <v>0</v>
      </c>
      <c r="I395">
        <f>SUMPRODUCT((MONTH(CHOOSE({1,2,3,4},TTSSKĐ!T395,TTSSKĐ!X395,TTSSKĐ!AB395,TTSSKĐ!AF395))=9)*(CHOOSE({1,2,3,4},TTSSKĐ!W395,TTSSKĐ!AA395,TTSSKĐ!AE395,TTSSKĐ!AI395)))</f>
        <v>0</v>
      </c>
      <c r="J395">
        <f>SUMPRODUCT((MONTH(CHOOSE({1,2,3,4},TTSSKĐ!T395,TTSSKĐ!X395,TTSSKĐ!AB395,TTSSKĐ!AF395))=10)*(CHOOSE({1,2,3,4},TTSSKĐ!W395,TTSSKĐ!AA395,TTSSKĐ!AE395,TTSSKĐ!AI395)))</f>
        <v>0</v>
      </c>
      <c r="K395">
        <f>SUMPRODUCT((MONTH(CHOOSE({1,2,3,4},TTSSKĐ!T395,TTSSKĐ!X395,TTSSKĐ!AB395,TTSSKĐ!AF395))=11)*(CHOOSE({1,2,3,4},TTSSKĐ!W395,TTSSKĐ!AA395,TTSSKĐ!AE395,TTSSKĐ!AI395)))</f>
        <v>0</v>
      </c>
      <c r="L395">
        <f>SUMPRODUCT((MONTH(CHOOSE({1,2,3,4},TTSSKĐ!T395,TTSSKĐ!X395,TTSSKĐ!AB395,TTSSKĐ!AF395))=12)*(CHOOSE({1,2,3,4},TTSSKĐ!W395,TTSSKĐ!AA395,TTSSKĐ!AE395,TTSSKĐ!AI395)))</f>
        <v>0</v>
      </c>
    </row>
    <row r="396" spans="1:12">
      <c r="A396">
        <f>SUMPRODUCT((MONTH(CHOOSE({1,2,3,4},TTSSKĐ!T396,TTSSKĐ!X396,TTSSKĐ!AB396,TTSSKĐ!AF396))=1)*(CHOOSE({1,2,3,4},TTSSKĐ!W396,TTSSKĐ!AA396,TTSSKĐ!AE396,TTSSKĐ!AI396)))</f>
        <v>0</v>
      </c>
      <c r="B396">
        <f>SUMPRODUCT((MONTH(CHOOSE({1,2,3,4},TTSSKĐ!T396,TTSSKĐ!X396,TTSSKĐ!AB396,TTSSKĐ!AF396))=2)*(CHOOSE({1,2,3,4},TTSSKĐ!W396,TTSSKĐ!AA396,TTSSKĐ!AE396,TTSSKĐ!AI396)))</f>
        <v>0</v>
      </c>
      <c r="C396">
        <f>SUMPRODUCT((MONTH(CHOOSE({1,2,3,4},TTSSKĐ!T396,TTSSKĐ!X396,TTSSKĐ!AB396,TTSSKĐ!AF396))=3)*(CHOOSE({1,2,3,4},TTSSKĐ!W396,TTSSKĐ!AA396,TTSSKĐ!AE396,TTSSKĐ!AI396)))</f>
        <v>0</v>
      </c>
      <c r="D396">
        <f>SUMPRODUCT((MONTH(CHOOSE({1,2,3,4},TTSSKĐ!T396,TTSSKĐ!X396,TTSSKĐ!AB396,TTSSKĐ!AF396))=4)*(CHOOSE({1,2,3,4},TTSSKĐ!W396,TTSSKĐ!AA396,TTSSKĐ!AE396,TTSSKĐ!AI396)))</f>
        <v>0</v>
      </c>
      <c r="E396">
        <f>SUMPRODUCT((MONTH(CHOOSE({1,2,3,4},TTSSKĐ!T396,TTSSKĐ!X396,TTSSKĐ!AB396,TTSSKĐ!AF396))=5)*(CHOOSE({1,2,3,4},TTSSKĐ!W396,TTSSKĐ!AA396,TTSSKĐ!AE396,TTSSKĐ!AI396)))</f>
        <v>0</v>
      </c>
      <c r="F396">
        <f>SUMPRODUCT((MONTH(CHOOSE({1,2,3,4},TTSSKĐ!T396,TTSSKĐ!X396,TTSSKĐ!AB396,TTSSKĐ!AF396))=6)*(CHOOSE({1,2,3,4},TTSSKĐ!W396,TTSSKĐ!AA396,TTSSKĐ!AE396,TTSSKĐ!AI396)))</f>
        <v>0</v>
      </c>
      <c r="G396">
        <f>SUMPRODUCT((MONTH(CHOOSE({1,2,3,4},TTSSKĐ!T396,TTSSKĐ!X396,TTSSKĐ!AB396,TTSSKĐ!AF396))=7)*(CHOOSE({1,2,3,4},TTSSKĐ!W396,TTSSKĐ!AA396,TTSSKĐ!AE396,TTSSKĐ!AI396)))</f>
        <v>0</v>
      </c>
      <c r="H396">
        <f>SUMPRODUCT((MONTH(CHOOSE({1,2,3,4},TTSSKĐ!T396,TTSSKĐ!X396,TTSSKĐ!AB396,TTSSKĐ!AF396))=8)*(CHOOSE({1,2,3,4},TTSSKĐ!W396,TTSSKĐ!AA396,TTSSKĐ!AE396,TTSSKĐ!AI396)))</f>
        <v>0</v>
      </c>
      <c r="I396">
        <f>SUMPRODUCT((MONTH(CHOOSE({1,2,3,4},TTSSKĐ!T396,TTSSKĐ!X396,TTSSKĐ!AB396,TTSSKĐ!AF396))=9)*(CHOOSE({1,2,3,4},TTSSKĐ!W396,TTSSKĐ!AA396,TTSSKĐ!AE396,TTSSKĐ!AI396)))</f>
        <v>0</v>
      </c>
      <c r="J396">
        <f>SUMPRODUCT((MONTH(CHOOSE({1,2,3,4},TTSSKĐ!T396,TTSSKĐ!X396,TTSSKĐ!AB396,TTSSKĐ!AF396))=10)*(CHOOSE({1,2,3,4},TTSSKĐ!W396,TTSSKĐ!AA396,TTSSKĐ!AE396,TTSSKĐ!AI396)))</f>
        <v>0</v>
      </c>
      <c r="K396">
        <f>SUMPRODUCT((MONTH(CHOOSE({1,2,3,4},TTSSKĐ!T396,TTSSKĐ!X396,TTSSKĐ!AB396,TTSSKĐ!AF396))=11)*(CHOOSE({1,2,3,4},TTSSKĐ!W396,TTSSKĐ!AA396,TTSSKĐ!AE396,TTSSKĐ!AI396)))</f>
        <v>0</v>
      </c>
      <c r="L396">
        <f>SUMPRODUCT((MONTH(CHOOSE({1,2,3,4},TTSSKĐ!T396,TTSSKĐ!X396,TTSSKĐ!AB396,TTSSKĐ!AF396))=12)*(CHOOSE({1,2,3,4},TTSSKĐ!W396,TTSSKĐ!AA396,TTSSKĐ!AE396,TTSSKĐ!AI396)))</f>
        <v>0</v>
      </c>
    </row>
    <row r="397" spans="1:12">
      <c r="A397">
        <f>SUMPRODUCT((MONTH(CHOOSE({1,2,3,4},TTSSKĐ!T397,TTSSKĐ!X397,TTSSKĐ!AB397,TTSSKĐ!AF397))=1)*(CHOOSE({1,2,3,4},TTSSKĐ!W397,TTSSKĐ!AA397,TTSSKĐ!AE397,TTSSKĐ!AI397)))</f>
        <v>0</v>
      </c>
      <c r="B397">
        <f>SUMPRODUCT((MONTH(CHOOSE({1,2,3,4},TTSSKĐ!T397,TTSSKĐ!X397,TTSSKĐ!AB397,TTSSKĐ!AF397))=2)*(CHOOSE({1,2,3,4},TTSSKĐ!W397,TTSSKĐ!AA397,TTSSKĐ!AE397,TTSSKĐ!AI397)))</f>
        <v>0</v>
      </c>
      <c r="C397">
        <f>SUMPRODUCT((MONTH(CHOOSE({1,2,3,4},TTSSKĐ!T397,TTSSKĐ!X397,TTSSKĐ!AB397,TTSSKĐ!AF397))=3)*(CHOOSE({1,2,3,4},TTSSKĐ!W397,TTSSKĐ!AA397,TTSSKĐ!AE397,TTSSKĐ!AI397)))</f>
        <v>0</v>
      </c>
      <c r="D397">
        <f>SUMPRODUCT((MONTH(CHOOSE({1,2,3,4},TTSSKĐ!T397,TTSSKĐ!X397,TTSSKĐ!AB397,TTSSKĐ!AF397))=4)*(CHOOSE({1,2,3,4},TTSSKĐ!W397,TTSSKĐ!AA397,TTSSKĐ!AE397,TTSSKĐ!AI397)))</f>
        <v>0</v>
      </c>
      <c r="E397">
        <f>SUMPRODUCT((MONTH(CHOOSE({1,2,3,4},TTSSKĐ!T397,TTSSKĐ!X397,TTSSKĐ!AB397,TTSSKĐ!AF397))=5)*(CHOOSE({1,2,3,4},TTSSKĐ!W397,TTSSKĐ!AA397,TTSSKĐ!AE397,TTSSKĐ!AI397)))</f>
        <v>0</v>
      </c>
      <c r="F397">
        <f>SUMPRODUCT((MONTH(CHOOSE({1,2,3,4},TTSSKĐ!T397,TTSSKĐ!X397,TTSSKĐ!AB397,TTSSKĐ!AF397))=6)*(CHOOSE({1,2,3,4},TTSSKĐ!W397,TTSSKĐ!AA397,TTSSKĐ!AE397,TTSSKĐ!AI397)))</f>
        <v>0</v>
      </c>
      <c r="G397">
        <f>SUMPRODUCT((MONTH(CHOOSE({1,2,3,4},TTSSKĐ!T397,TTSSKĐ!X397,TTSSKĐ!AB397,TTSSKĐ!AF397))=7)*(CHOOSE({1,2,3,4},TTSSKĐ!W397,TTSSKĐ!AA397,TTSSKĐ!AE397,TTSSKĐ!AI397)))</f>
        <v>0</v>
      </c>
      <c r="H397">
        <f>SUMPRODUCT((MONTH(CHOOSE({1,2,3,4},TTSSKĐ!T397,TTSSKĐ!X397,TTSSKĐ!AB397,TTSSKĐ!AF397))=8)*(CHOOSE({1,2,3,4},TTSSKĐ!W397,TTSSKĐ!AA397,TTSSKĐ!AE397,TTSSKĐ!AI397)))</f>
        <v>0</v>
      </c>
      <c r="I397">
        <f>SUMPRODUCT((MONTH(CHOOSE({1,2,3,4},TTSSKĐ!T397,TTSSKĐ!X397,TTSSKĐ!AB397,TTSSKĐ!AF397))=9)*(CHOOSE({1,2,3,4},TTSSKĐ!W397,TTSSKĐ!AA397,TTSSKĐ!AE397,TTSSKĐ!AI397)))</f>
        <v>0</v>
      </c>
      <c r="J397">
        <f>SUMPRODUCT((MONTH(CHOOSE({1,2,3,4},TTSSKĐ!T397,TTSSKĐ!X397,TTSSKĐ!AB397,TTSSKĐ!AF397))=10)*(CHOOSE({1,2,3,4},TTSSKĐ!W397,TTSSKĐ!AA397,TTSSKĐ!AE397,TTSSKĐ!AI397)))</f>
        <v>0</v>
      </c>
      <c r="K397">
        <f>SUMPRODUCT((MONTH(CHOOSE({1,2,3,4},TTSSKĐ!T397,TTSSKĐ!X397,TTSSKĐ!AB397,TTSSKĐ!AF397))=11)*(CHOOSE({1,2,3,4},TTSSKĐ!W397,TTSSKĐ!AA397,TTSSKĐ!AE397,TTSSKĐ!AI397)))</f>
        <v>0</v>
      </c>
      <c r="L397">
        <f>SUMPRODUCT((MONTH(CHOOSE({1,2,3,4},TTSSKĐ!T397,TTSSKĐ!X397,TTSSKĐ!AB397,TTSSKĐ!AF397))=12)*(CHOOSE({1,2,3,4},TTSSKĐ!W397,TTSSKĐ!AA397,TTSSKĐ!AE397,TTSSKĐ!AI397)))</f>
        <v>0</v>
      </c>
    </row>
    <row r="398" spans="1:12">
      <c r="A398">
        <f>SUMPRODUCT((MONTH(CHOOSE({1,2,3,4},TTSSKĐ!T398,TTSSKĐ!X398,TTSSKĐ!AB398,TTSSKĐ!AF398))=1)*(CHOOSE({1,2,3,4},TTSSKĐ!W398,TTSSKĐ!AA398,TTSSKĐ!AE398,TTSSKĐ!AI398)))</f>
        <v>0</v>
      </c>
      <c r="B398">
        <f>SUMPRODUCT((MONTH(CHOOSE({1,2,3,4},TTSSKĐ!T398,TTSSKĐ!X398,TTSSKĐ!AB398,TTSSKĐ!AF398))=2)*(CHOOSE({1,2,3,4},TTSSKĐ!W398,TTSSKĐ!AA398,TTSSKĐ!AE398,TTSSKĐ!AI398)))</f>
        <v>0</v>
      </c>
      <c r="C398">
        <f>SUMPRODUCT((MONTH(CHOOSE({1,2,3,4},TTSSKĐ!T398,TTSSKĐ!X398,TTSSKĐ!AB398,TTSSKĐ!AF398))=3)*(CHOOSE({1,2,3,4},TTSSKĐ!W398,TTSSKĐ!AA398,TTSSKĐ!AE398,TTSSKĐ!AI398)))</f>
        <v>0</v>
      </c>
      <c r="D398">
        <f>SUMPRODUCT((MONTH(CHOOSE({1,2,3,4},TTSSKĐ!T398,TTSSKĐ!X398,TTSSKĐ!AB398,TTSSKĐ!AF398))=4)*(CHOOSE({1,2,3,4},TTSSKĐ!W398,TTSSKĐ!AA398,TTSSKĐ!AE398,TTSSKĐ!AI398)))</f>
        <v>0</v>
      </c>
      <c r="E398">
        <f>SUMPRODUCT((MONTH(CHOOSE({1,2,3,4},TTSSKĐ!T398,TTSSKĐ!X398,TTSSKĐ!AB398,TTSSKĐ!AF398))=5)*(CHOOSE({1,2,3,4},TTSSKĐ!W398,TTSSKĐ!AA398,TTSSKĐ!AE398,TTSSKĐ!AI398)))</f>
        <v>0</v>
      </c>
      <c r="F398">
        <f>SUMPRODUCT((MONTH(CHOOSE({1,2,3,4},TTSSKĐ!T398,TTSSKĐ!X398,TTSSKĐ!AB398,TTSSKĐ!AF398))=6)*(CHOOSE({1,2,3,4},TTSSKĐ!W398,TTSSKĐ!AA398,TTSSKĐ!AE398,TTSSKĐ!AI398)))</f>
        <v>0</v>
      </c>
      <c r="G398">
        <f>SUMPRODUCT((MONTH(CHOOSE({1,2,3,4},TTSSKĐ!T398,TTSSKĐ!X398,TTSSKĐ!AB398,TTSSKĐ!AF398))=7)*(CHOOSE({1,2,3,4},TTSSKĐ!W398,TTSSKĐ!AA398,TTSSKĐ!AE398,TTSSKĐ!AI398)))</f>
        <v>0</v>
      </c>
      <c r="H398">
        <f>SUMPRODUCT((MONTH(CHOOSE({1,2,3,4},TTSSKĐ!T398,TTSSKĐ!X398,TTSSKĐ!AB398,TTSSKĐ!AF398))=8)*(CHOOSE({1,2,3,4},TTSSKĐ!W398,TTSSKĐ!AA398,TTSSKĐ!AE398,TTSSKĐ!AI398)))</f>
        <v>0</v>
      </c>
      <c r="I398">
        <f>SUMPRODUCT((MONTH(CHOOSE({1,2,3,4},TTSSKĐ!T398,TTSSKĐ!X398,TTSSKĐ!AB398,TTSSKĐ!AF398))=9)*(CHOOSE({1,2,3,4},TTSSKĐ!W398,TTSSKĐ!AA398,TTSSKĐ!AE398,TTSSKĐ!AI398)))</f>
        <v>0</v>
      </c>
      <c r="J398">
        <f>SUMPRODUCT((MONTH(CHOOSE({1,2,3,4},TTSSKĐ!T398,TTSSKĐ!X398,TTSSKĐ!AB398,TTSSKĐ!AF398))=10)*(CHOOSE({1,2,3,4},TTSSKĐ!W398,TTSSKĐ!AA398,TTSSKĐ!AE398,TTSSKĐ!AI398)))</f>
        <v>0</v>
      </c>
      <c r="K398">
        <f>SUMPRODUCT((MONTH(CHOOSE({1,2,3,4},TTSSKĐ!T398,TTSSKĐ!X398,TTSSKĐ!AB398,TTSSKĐ!AF398))=11)*(CHOOSE({1,2,3,4},TTSSKĐ!W398,TTSSKĐ!AA398,TTSSKĐ!AE398,TTSSKĐ!AI398)))</f>
        <v>0</v>
      </c>
      <c r="L398">
        <f>SUMPRODUCT((MONTH(CHOOSE({1,2,3,4},TTSSKĐ!T398,TTSSKĐ!X398,TTSSKĐ!AB398,TTSSKĐ!AF398))=12)*(CHOOSE({1,2,3,4},TTSSKĐ!W398,TTSSKĐ!AA398,TTSSKĐ!AE398,TTSSKĐ!AI398)))</f>
        <v>0</v>
      </c>
    </row>
    <row r="399" spans="1:12">
      <c r="A399">
        <f>SUMPRODUCT((MONTH(CHOOSE({1,2,3,4},TTSSKĐ!T399,TTSSKĐ!X399,TTSSKĐ!AB399,TTSSKĐ!AF399))=1)*(CHOOSE({1,2,3,4},TTSSKĐ!W399,TTSSKĐ!AA399,TTSSKĐ!AE399,TTSSKĐ!AI399)))</f>
        <v>0</v>
      </c>
      <c r="B399">
        <f>SUMPRODUCT((MONTH(CHOOSE({1,2,3,4},TTSSKĐ!T399,TTSSKĐ!X399,TTSSKĐ!AB399,TTSSKĐ!AF399))=2)*(CHOOSE({1,2,3,4},TTSSKĐ!W399,TTSSKĐ!AA399,TTSSKĐ!AE399,TTSSKĐ!AI399)))</f>
        <v>0</v>
      </c>
      <c r="C399">
        <f>SUMPRODUCT((MONTH(CHOOSE({1,2,3,4},TTSSKĐ!T399,TTSSKĐ!X399,TTSSKĐ!AB399,TTSSKĐ!AF399))=3)*(CHOOSE({1,2,3,4},TTSSKĐ!W399,TTSSKĐ!AA399,TTSSKĐ!AE399,TTSSKĐ!AI399)))</f>
        <v>0</v>
      </c>
      <c r="D399">
        <f>SUMPRODUCT((MONTH(CHOOSE({1,2,3,4},TTSSKĐ!T399,TTSSKĐ!X399,TTSSKĐ!AB399,TTSSKĐ!AF399))=4)*(CHOOSE({1,2,3,4},TTSSKĐ!W399,TTSSKĐ!AA399,TTSSKĐ!AE399,TTSSKĐ!AI399)))</f>
        <v>0</v>
      </c>
      <c r="E399">
        <f>SUMPRODUCT((MONTH(CHOOSE({1,2,3,4},TTSSKĐ!T399,TTSSKĐ!X399,TTSSKĐ!AB399,TTSSKĐ!AF399))=5)*(CHOOSE({1,2,3,4},TTSSKĐ!W399,TTSSKĐ!AA399,TTSSKĐ!AE399,TTSSKĐ!AI399)))</f>
        <v>0</v>
      </c>
      <c r="F399">
        <f>SUMPRODUCT((MONTH(CHOOSE({1,2,3,4},TTSSKĐ!T399,TTSSKĐ!X399,TTSSKĐ!AB399,TTSSKĐ!AF399))=6)*(CHOOSE({1,2,3,4},TTSSKĐ!W399,TTSSKĐ!AA399,TTSSKĐ!AE399,TTSSKĐ!AI399)))</f>
        <v>0</v>
      </c>
      <c r="G399">
        <f>SUMPRODUCT((MONTH(CHOOSE({1,2,3,4},TTSSKĐ!T399,TTSSKĐ!X399,TTSSKĐ!AB399,TTSSKĐ!AF399))=7)*(CHOOSE({1,2,3,4},TTSSKĐ!W399,TTSSKĐ!AA399,TTSSKĐ!AE399,TTSSKĐ!AI399)))</f>
        <v>0</v>
      </c>
      <c r="H399">
        <f>SUMPRODUCT((MONTH(CHOOSE({1,2,3,4},TTSSKĐ!T399,TTSSKĐ!X399,TTSSKĐ!AB399,TTSSKĐ!AF399))=8)*(CHOOSE({1,2,3,4},TTSSKĐ!W399,TTSSKĐ!AA399,TTSSKĐ!AE399,TTSSKĐ!AI399)))</f>
        <v>0</v>
      </c>
      <c r="I399">
        <f>SUMPRODUCT((MONTH(CHOOSE({1,2,3,4},TTSSKĐ!T399,TTSSKĐ!X399,TTSSKĐ!AB399,TTSSKĐ!AF399))=9)*(CHOOSE({1,2,3,4},TTSSKĐ!W399,TTSSKĐ!AA399,TTSSKĐ!AE399,TTSSKĐ!AI399)))</f>
        <v>0</v>
      </c>
      <c r="J399">
        <f>SUMPRODUCT((MONTH(CHOOSE({1,2,3,4},TTSSKĐ!T399,TTSSKĐ!X399,TTSSKĐ!AB399,TTSSKĐ!AF399))=10)*(CHOOSE({1,2,3,4},TTSSKĐ!W399,TTSSKĐ!AA399,TTSSKĐ!AE399,TTSSKĐ!AI399)))</f>
        <v>0</v>
      </c>
      <c r="K399">
        <f>SUMPRODUCT((MONTH(CHOOSE({1,2,3,4},TTSSKĐ!T399,TTSSKĐ!X399,TTSSKĐ!AB399,TTSSKĐ!AF399))=11)*(CHOOSE({1,2,3,4},TTSSKĐ!W399,TTSSKĐ!AA399,TTSSKĐ!AE399,TTSSKĐ!AI399)))</f>
        <v>0</v>
      </c>
      <c r="L399">
        <f>SUMPRODUCT((MONTH(CHOOSE({1,2,3,4},TTSSKĐ!T399,TTSSKĐ!X399,TTSSKĐ!AB399,TTSSKĐ!AF399))=12)*(CHOOSE({1,2,3,4},TTSSKĐ!W399,TTSSKĐ!AA399,TTSSKĐ!AE399,TTSSKĐ!AI399)))</f>
        <v>0</v>
      </c>
    </row>
    <row r="400" spans="1:12">
      <c r="A400">
        <f>SUMPRODUCT((MONTH(CHOOSE({1,2,3,4},TTSSKĐ!T400,TTSSKĐ!X400,TTSSKĐ!AB400,TTSSKĐ!AF400))=1)*(CHOOSE({1,2,3,4},TTSSKĐ!W400,TTSSKĐ!AA400,TTSSKĐ!AE400,TTSSKĐ!AI400)))</f>
        <v>0</v>
      </c>
      <c r="B400">
        <f>SUMPRODUCT((MONTH(CHOOSE({1,2,3,4},TTSSKĐ!T400,TTSSKĐ!X400,TTSSKĐ!AB400,TTSSKĐ!AF400))=2)*(CHOOSE({1,2,3,4},TTSSKĐ!W400,TTSSKĐ!AA400,TTSSKĐ!AE400,TTSSKĐ!AI400)))</f>
        <v>0</v>
      </c>
      <c r="C400">
        <f>SUMPRODUCT((MONTH(CHOOSE({1,2,3,4},TTSSKĐ!T400,TTSSKĐ!X400,TTSSKĐ!AB400,TTSSKĐ!AF400))=3)*(CHOOSE({1,2,3,4},TTSSKĐ!W400,TTSSKĐ!AA400,TTSSKĐ!AE400,TTSSKĐ!AI400)))</f>
        <v>0</v>
      </c>
      <c r="D400">
        <f>SUMPRODUCT((MONTH(CHOOSE({1,2,3,4},TTSSKĐ!T400,TTSSKĐ!X400,TTSSKĐ!AB400,TTSSKĐ!AF400))=4)*(CHOOSE({1,2,3,4},TTSSKĐ!W400,TTSSKĐ!AA400,TTSSKĐ!AE400,TTSSKĐ!AI400)))</f>
        <v>0</v>
      </c>
      <c r="E400">
        <f>SUMPRODUCT((MONTH(CHOOSE({1,2,3,4},TTSSKĐ!T400,TTSSKĐ!X400,TTSSKĐ!AB400,TTSSKĐ!AF400))=5)*(CHOOSE({1,2,3,4},TTSSKĐ!W400,TTSSKĐ!AA400,TTSSKĐ!AE400,TTSSKĐ!AI400)))</f>
        <v>0</v>
      </c>
      <c r="F400">
        <f>SUMPRODUCT((MONTH(CHOOSE({1,2,3,4},TTSSKĐ!T400,TTSSKĐ!X400,TTSSKĐ!AB400,TTSSKĐ!AF400))=6)*(CHOOSE({1,2,3,4},TTSSKĐ!W400,TTSSKĐ!AA400,TTSSKĐ!AE400,TTSSKĐ!AI400)))</f>
        <v>0</v>
      </c>
      <c r="G400">
        <f>SUMPRODUCT((MONTH(CHOOSE({1,2,3,4},TTSSKĐ!T400,TTSSKĐ!X400,TTSSKĐ!AB400,TTSSKĐ!AF400))=7)*(CHOOSE({1,2,3,4},TTSSKĐ!W400,TTSSKĐ!AA400,TTSSKĐ!AE400,TTSSKĐ!AI400)))</f>
        <v>0</v>
      </c>
      <c r="H400">
        <f>SUMPRODUCT((MONTH(CHOOSE({1,2,3,4},TTSSKĐ!T400,TTSSKĐ!X400,TTSSKĐ!AB400,TTSSKĐ!AF400))=8)*(CHOOSE({1,2,3,4},TTSSKĐ!W400,TTSSKĐ!AA400,TTSSKĐ!AE400,TTSSKĐ!AI400)))</f>
        <v>0</v>
      </c>
      <c r="I400">
        <f>SUMPRODUCT((MONTH(CHOOSE({1,2,3,4},TTSSKĐ!T400,TTSSKĐ!X400,TTSSKĐ!AB400,TTSSKĐ!AF400))=9)*(CHOOSE({1,2,3,4},TTSSKĐ!W400,TTSSKĐ!AA400,TTSSKĐ!AE400,TTSSKĐ!AI400)))</f>
        <v>0</v>
      </c>
      <c r="J400">
        <f>SUMPRODUCT((MONTH(CHOOSE({1,2,3,4},TTSSKĐ!T400,TTSSKĐ!X400,TTSSKĐ!AB400,TTSSKĐ!AF400))=10)*(CHOOSE({1,2,3,4},TTSSKĐ!W400,TTSSKĐ!AA400,TTSSKĐ!AE400,TTSSKĐ!AI400)))</f>
        <v>0</v>
      </c>
      <c r="K400">
        <f>SUMPRODUCT((MONTH(CHOOSE({1,2,3,4},TTSSKĐ!T400,TTSSKĐ!X400,TTSSKĐ!AB400,TTSSKĐ!AF400))=11)*(CHOOSE({1,2,3,4},TTSSKĐ!W400,TTSSKĐ!AA400,TTSSKĐ!AE400,TTSSKĐ!AI400)))</f>
        <v>0</v>
      </c>
      <c r="L400">
        <f>SUMPRODUCT((MONTH(CHOOSE({1,2,3,4},TTSSKĐ!T400,TTSSKĐ!X400,TTSSKĐ!AB400,TTSSKĐ!AF400))=12)*(CHOOSE({1,2,3,4},TTSSKĐ!W400,TTSSKĐ!AA400,TTSSKĐ!AE400,TTSSKĐ!AI400)))</f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L400"/>
  <sheetViews>
    <sheetView workbookViewId="0">
      <selection sqref="A1:L1048576"/>
    </sheetView>
  </sheetViews>
  <sheetFormatPr defaultRowHeight="13.6"/>
  <sheetData>
    <row r="1" spans="1:12">
      <c r="A1">
        <f>COUNTIF(A3:A400,"&gt;0")</f>
        <v>0</v>
      </c>
      <c r="B1">
        <f t="shared" ref="B1:L1" si="0">COUNTIF(B3:B400,"&gt;0")</f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</row>
    <row r="2" spans="1:12" s="10" customFormat="1" ht="12.9">
      <c r="A2" s="10">
        <f>SUM(A3:A444)</f>
        <v>0</v>
      </c>
      <c r="B2" s="10">
        <f t="shared" ref="B2:L2" si="1">SUM(B3:B444)</f>
        <v>0</v>
      </c>
      <c r="C2" s="10">
        <f t="shared" si="1"/>
        <v>0</v>
      </c>
      <c r="D2" s="10">
        <f t="shared" si="1"/>
        <v>0</v>
      </c>
      <c r="E2" s="10">
        <f t="shared" si="1"/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</row>
    <row r="3" spans="1:12" ht="15.8" customHeight="1">
      <c r="A3">
        <f>SUMPRODUCT((MONTH(CHOOSE({1,2,3,4},KHP!T3,KHP!X3,KHP!AB3,KHP!AF3))=1)*(CHOOSE({1,2,3,4},KHP!W3,KHP!AA3,KHP!AE3,KHP!AI3)))</f>
        <v>0</v>
      </c>
      <c r="B3">
        <f>SUMPRODUCT((MONTH(CHOOSE({1,2,3,4},KHP!T3,KHP!X3,KHP!AB3,KHP!AF3))=2)*(CHOOSE({1,2,3,4},KHP!W3,KHP!AA3,KHP!AE3,KHP!AI3)))</f>
        <v>0</v>
      </c>
      <c r="C3">
        <f>SUMPRODUCT((MONTH(CHOOSE({1,2,3,4},KHP!T3,KHP!X3,KHP!AB3,KHP!AF3))=3)*(CHOOSE({1,2,3,4},KHP!W3,KHP!AA3,KHP!AE3,KHP!AI3)))</f>
        <v>0</v>
      </c>
      <c r="D3">
        <f>SUMPRODUCT((MONTH(CHOOSE({1,2,3,4},KHP!T3,KHP!X3,KHP!AB3,KHP!AF3))=4)*(CHOOSE({1,2,3,4},KHP!W3,KHP!AA3,KHP!AE3,KHP!AI3)))</f>
        <v>0</v>
      </c>
      <c r="E3">
        <f>SUMPRODUCT((MONTH(CHOOSE({1,2,3,4},KHP!T3,KHP!X3,KHP!AB3,KHP!AF3))=5)*(CHOOSE({1,2,3,4},KHP!W3,KHP!AA3,KHP!AE3,KHP!AI3)))</f>
        <v>0</v>
      </c>
      <c r="F3">
        <f>SUMPRODUCT((MONTH(CHOOSE({1,2,3,4},KHP!T3,KHP!X3,KHP!AB3,KHP!AF3))=6)*(CHOOSE({1,2,3,4},KHP!W3,KHP!AA3,KHP!AE3,KHP!AI3)))</f>
        <v>0</v>
      </c>
      <c r="G3">
        <f>SUMPRODUCT((MONTH(CHOOSE({1,2,3,4},KHP!T3,KHP!X3,KHP!AB3,KHP!AF3))=7)*(CHOOSE({1,2,3,4},KHP!W3,KHP!AA3,KHP!AE3,KHP!AI3)))</f>
        <v>0</v>
      </c>
      <c r="H3">
        <f>SUMPRODUCT((MONTH(CHOOSE({1,2,3,4},KHP!T3,KHP!X3,KHP!AB3,KHP!AF3))=8)*(CHOOSE({1,2,3,4},KHP!W3,KHP!AA3,KHP!AE3,KHP!AI3)))</f>
        <v>0</v>
      </c>
      <c r="I3">
        <f>SUMPRODUCT((MONTH(CHOOSE({1,2,3,4},KHP!T3,KHP!X3,KHP!AB3,KHP!AF3))=9)*(CHOOSE({1,2,3,4},KHP!W3,KHP!AA3,KHP!AE3,KHP!AI3)))</f>
        <v>0</v>
      </c>
      <c r="J3">
        <f>SUMPRODUCT((MONTH(CHOOSE({1,2,3,4},KHP!T3,KHP!X3,KHP!AB3,KHP!AF3))=10)*(CHOOSE({1,2,3,4},KHP!W3,KHP!AA3,KHP!AE3,KHP!AI3)))</f>
        <v>0</v>
      </c>
      <c r="K3">
        <f>SUMPRODUCT((MONTH(CHOOSE({1,2,3,4},KHP!T3,KHP!X3,KHP!AB3,KHP!AF3))=11)*(CHOOSE({1,2,3,4},KHP!W3,KHP!AA3,KHP!AE3,KHP!AI3)))</f>
        <v>0</v>
      </c>
      <c r="L3">
        <f>SUMPRODUCT((MONTH(CHOOSE({1,2,3,4},KHP!T3,KHP!X3,KHP!AB3,KHP!AF3))=12)*(CHOOSE({1,2,3,4},KHP!W3,KHP!AA3,KHP!AE3,KHP!AI3)))</f>
        <v>0</v>
      </c>
    </row>
    <row r="4" spans="1:12">
      <c r="A4">
        <f>SUMPRODUCT((MONTH(CHOOSE({1,2,3,4},KHP!T4,KHP!X4,KHP!AB4,KHP!AF4))=1)*(CHOOSE({1,2,3,4},KHP!W4,KHP!AA4,KHP!AE4,KHP!AI4)))</f>
        <v>0</v>
      </c>
      <c r="B4">
        <f>SUMPRODUCT((MONTH(CHOOSE({1,2,3,4},KHP!T4,KHP!X4,KHP!AB4,KHP!AF4))=2)*(CHOOSE({1,2,3,4},KHP!W4,KHP!AA4,KHP!AE4,KHP!AI4)))</f>
        <v>0</v>
      </c>
      <c r="C4">
        <f>SUMPRODUCT((MONTH(CHOOSE({1,2,3,4},KHP!T4,KHP!X4,KHP!AB4,KHP!AF4))=3)*(CHOOSE({1,2,3,4},KHP!W4,KHP!AA4,KHP!AE4,KHP!AI4)))</f>
        <v>0</v>
      </c>
      <c r="D4">
        <f>SUMPRODUCT((MONTH(CHOOSE({1,2,3,4},KHP!T4,KHP!X4,KHP!AB4,KHP!AF4))=4)*(CHOOSE({1,2,3,4},KHP!W4,KHP!AA4,KHP!AE4,KHP!AI4)))</f>
        <v>0</v>
      </c>
      <c r="E4">
        <f>SUMPRODUCT((MONTH(CHOOSE({1,2,3,4},KHP!T4,KHP!X4,KHP!AB4,KHP!AF4))=5)*(CHOOSE({1,2,3,4},KHP!W4,KHP!AA4,KHP!AE4,KHP!AI4)))</f>
        <v>0</v>
      </c>
      <c r="F4">
        <f>SUMPRODUCT((MONTH(CHOOSE({1,2,3,4},KHP!T4,KHP!X4,KHP!AB4,KHP!AF4))=6)*(CHOOSE({1,2,3,4},KHP!W4,KHP!AA4,KHP!AE4,KHP!AI4)))</f>
        <v>0</v>
      </c>
      <c r="G4">
        <f>SUMPRODUCT((MONTH(CHOOSE({1,2,3,4},KHP!T4,KHP!X4,KHP!AB4,KHP!AF4))=7)*(CHOOSE({1,2,3,4},KHP!W4,KHP!AA4,KHP!AE4,KHP!AI4)))</f>
        <v>0</v>
      </c>
      <c r="H4">
        <f>SUMPRODUCT((MONTH(CHOOSE({1,2,3,4},KHP!T4,KHP!X4,KHP!AB4,KHP!AF4))=8)*(CHOOSE({1,2,3,4},KHP!W4,KHP!AA4,KHP!AE4,KHP!AI4)))</f>
        <v>0</v>
      </c>
      <c r="I4">
        <f>SUMPRODUCT((MONTH(CHOOSE({1,2,3,4},KHP!T4,KHP!X4,KHP!AB4,KHP!AF4))=9)*(CHOOSE({1,2,3,4},KHP!W4,KHP!AA4,KHP!AE4,KHP!AI4)))</f>
        <v>0</v>
      </c>
      <c r="J4">
        <f>SUMPRODUCT((MONTH(CHOOSE({1,2,3,4},KHP!T4,KHP!X4,KHP!AB4,KHP!AF4))=10)*(CHOOSE({1,2,3,4},KHP!W4,KHP!AA4,KHP!AE4,KHP!AI4)))</f>
        <v>0</v>
      </c>
      <c r="K4">
        <f>SUMPRODUCT((MONTH(CHOOSE({1,2,3,4},KHP!T4,KHP!X4,KHP!AB4,KHP!AF4))=11)*(CHOOSE({1,2,3,4},KHP!W4,KHP!AA4,KHP!AE4,KHP!AI4)))</f>
        <v>0</v>
      </c>
      <c r="L4">
        <f>SUMPRODUCT((MONTH(CHOOSE({1,2,3,4},KHP!T4,KHP!X4,KHP!AB4,KHP!AF4))=12)*(CHOOSE({1,2,3,4},KHP!W4,KHP!AA4,KHP!AE4,KHP!AI4)))</f>
        <v>0</v>
      </c>
    </row>
    <row r="5" spans="1:12">
      <c r="A5">
        <f>SUMPRODUCT((MONTH(CHOOSE({1,2,3,4},KHP!T5,KHP!X5,KHP!AB5,KHP!AF5))=1)*(CHOOSE({1,2,3,4},KHP!W5,KHP!AA5,KHP!AE5,KHP!AI5)))</f>
        <v>0</v>
      </c>
      <c r="B5">
        <f>SUMPRODUCT((MONTH(CHOOSE({1,2,3,4},KHP!T5,KHP!X5,KHP!AB5,KHP!AF5))=2)*(CHOOSE({1,2,3,4},KHP!W5,KHP!AA5,KHP!AE5,KHP!AI5)))</f>
        <v>0</v>
      </c>
      <c r="C5">
        <f>SUMPRODUCT((MONTH(CHOOSE({1,2,3,4},KHP!T5,KHP!X5,KHP!AB5,KHP!AF5))=3)*(CHOOSE({1,2,3,4},KHP!W5,KHP!AA5,KHP!AE5,KHP!AI5)))</f>
        <v>0</v>
      </c>
      <c r="D5">
        <f>SUMPRODUCT((MONTH(CHOOSE({1,2,3,4},KHP!T5,KHP!X5,KHP!AB5,KHP!AF5))=4)*(CHOOSE({1,2,3,4},KHP!W5,KHP!AA5,KHP!AE5,KHP!AI5)))</f>
        <v>0</v>
      </c>
      <c r="E5">
        <f>SUMPRODUCT((MONTH(CHOOSE({1,2,3,4},KHP!T5,KHP!X5,KHP!AB5,KHP!AF5))=5)*(CHOOSE({1,2,3,4},KHP!W5,KHP!AA5,KHP!AE5,KHP!AI5)))</f>
        <v>0</v>
      </c>
      <c r="F5">
        <f>SUMPRODUCT((MONTH(CHOOSE({1,2,3,4},KHP!T5,KHP!X5,KHP!AB5,KHP!AF5))=6)*(CHOOSE({1,2,3,4},KHP!W5,KHP!AA5,KHP!AE5,KHP!AI5)))</f>
        <v>0</v>
      </c>
      <c r="G5">
        <f>SUMPRODUCT((MONTH(CHOOSE({1,2,3,4},KHP!T5,KHP!X5,KHP!AB5,KHP!AF5))=7)*(CHOOSE({1,2,3,4},KHP!W5,KHP!AA5,KHP!AE5,KHP!AI5)))</f>
        <v>0</v>
      </c>
      <c r="H5">
        <f>SUMPRODUCT((MONTH(CHOOSE({1,2,3,4},KHP!T5,KHP!X5,KHP!AB5,KHP!AF5))=8)*(CHOOSE({1,2,3,4},KHP!W5,KHP!AA5,KHP!AE5,KHP!AI5)))</f>
        <v>0</v>
      </c>
      <c r="I5">
        <f>SUMPRODUCT((MONTH(CHOOSE({1,2,3,4},KHP!T5,KHP!X5,KHP!AB5,KHP!AF5))=9)*(CHOOSE({1,2,3,4},KHP!W5,KHP!AA5,KHP!AE5,KHP!AI5)))</f>
        <v>0</v>
      </c>
      <c r="J5">
        <f>SUMPRODUCT((MONTH(CHOOSE({1,2,3,4},KHP!T5,KHP!X5,KHP!AB5,KHP!AF5))=10)*(CHOOSE({1,2,3,4},KHP!W5,KHP!AA5,KHP!AE5,KHP!AI5)))</f>
        <v>0</v>
      </c>
      <c r="K5">
        <f>SUMPRODUCT((MONTH(CHOOSE({1,2,3,4},KHP!T5,KHP!X5,KHP!AB5,KHP!AF5))=11)*(CHOOSE({1,2,3,4},KHP!W5,KHP!AA5,KHP!AE5,KHP!AI5)))</f>
        <v>0</v>
      </c>
      <c r="L5">
        <f>SUMPRODUCT((MONTH(CHOOSE({1,2,3,4},KHP!T5,KHP!X5,KHP!AB5,KHP!AF5))=12)*(CHOOSE({1,2,3,4},KHP!W5,KHP!AA5,KHP!AE5,KHP!AI5)))</f>
        <v>0</v>
      </c>
    </row>
    <row r="6" spans="1:12">
      <c r="A6">
        <f>SUMPRODUCT((MONTH(CHOOSE({1,2,3,4},KHP!T6,KHP!X6,KHP!AB6,KHP!AF6))=1)*(CHOOSE({1,2,3,4},KHP!W6,KHP!AA6,KHP!AE6,KHP!AI6)))</f>
        <v>0</v>
      </c>
      <c r="B6">
        <f>SUMPRODUCT((MONTH(CHOOSE({1,2,3,4},KHP!T6,KHP!X6,KHP!AB6,KHP!AF6))=2)*(CHOOSE({1,2,3,4},KHP!W6,KHP!AA6,KHP!AE6,KHP!AI6)))</f>
        <v>0</v>
      </c>
      <c r="C6">
        <f>SUMPRODUCT((MONTH(CHOOSE({1,2,3,4},KHP!T6,KHP!X6,KHP!AB6,KHP!AF6))=3)*(CHOOSE({1,2,3,4},KHP!W6,KHP!AA6,KHP!AE6,KHP!AI6)))</f>
        <v>0</v>
      </c>
      <c r="D6">
        <f>SUMPRODUCT((MONTH(CHOOSE({1,2,3,4},KHP!T6,KHP!X6,KHP!AB6,KHP!AF6))=4)*(CHOOSE({1,2,3,4},KHP!W6,KHP!AA6,KHP!AE6,KHP!AI6)))</f>
        <v>0</v>
      </c>
      <c r="E6">
        <f>SUMPRODUCT((MONTH(CHOOSE({1,2,3,4},KHP!T6,KHP!X6,KHP!AB6,KHP!AF6))=5)*(CHOOSE({1,2,3,4},KHP!W6,KHP!AA6,KHP!AE6,KHP!AI6)))</f>
        <v>0</v>
      </c>
      <c r="F6">
        <f>SUMPRODUCT((MONTH(CHOOSE({1,2,3,4},KHP!T6,KHP!X6,KHP!AB6,KHP!AF6))=6)*(CHOOSE({1,2,3,4},KHP!W6,KHP!AA6,KHP!AE6,KHP!AI6)))</f>
        <v>0</v>
      </c>
      <c r="G6">
        <f>SUMPRODUCT((MONTH(CHOOSE({1,2,3,4},KHP!T6,KHP!X6,KHP!AB6,KHP!AF6))=7)*(CHOOSE({1,2,3,4},KHP!W6,KHP!AA6,KHP!AE6,KHP!AI6)))</f>
        <v>0</v>
      </c>
      <c r="H6">
        <f>SUMPRODUCT((MONTH(CHOOSE({1,2,3,4},KHP!T6,KHP!X6,KHP!AB6,KHP!AF6))=8)*(CHOOSE({1,2,3,4},KHP!W6,KHP!AA6,KHP!AE6,KHP!AI6)))</f>
        <v>0</v>
      </c>
      <c r="I6">
        <f>SUMPRODUCT((MONTH(CHOOSE({1,2,3,4},KHP!T6,KHP!X6,KHP!AB6,KHP!AF6))=9)*(CHOOSE({1,2,3,4},KHP!W6,KHP!AA6,KHP!AE6,KHP!AI6)))</f>
        <v>0</v>
      </c>
      <c r="J6">
        <f>SUMPRODUCT((MONTH(CHOOSE({1,2,3,4},KHP!T6,KHP!X6,KHP!AB6,KHP!AF6))=10)*(CHOOSE({1,2,3,4},KHP!W6,KHP!AA6,KHP!AE6,KHP!AI6)))</f>
        <v>0</v>
      </c>
      <c r="K6">
        <f>SUMPRODUCT((MONTH(CHOOSE({1,2,3,4},KHP!T6,KHP!X6,KHP!AB6,KHP!AF6))=11)*(CHOOSE({1,2,3,4},KHP!W6,KHP!AA6,KHP!AE6,KHP!AI6)))</f>
        <v>0</v>
      </c>
      <c r="L6">
        <f>SUMPRODUCT((MONTH(CHOOSE({1,2,3,4},KHP!T6,KHP!X6,KHP!AB6,KHP!AF6))=12)*(CHOOSE({1,2,3,4},KHP!W6,KHP!AA6,KHP!AE6,KHP!AI6)))</f>
        <v>0</v>
      </c>
    </row>
    <row r="7" spans="1:12">
      <c r="A7">
        <f>SUMPRODUCT((MONTH(CHOOSE({1,2,3,4},KHP!T7,KHP!X7,KHP!AB7,KHP!AF7))=1)*(CHOOSE({1,2,3,4},KHP!W7,KHP!AA7,KHP!AE7,KHP!AI7)))</f>
        <v>0</v>
      </c>
      <c r="B7">
        <f>SUMPRODUCT((MONTH(CHOOSE({1,2,3,4},KHP!T7,KHP!X7,KHP!AB7,KHP!AF7))=2)*(CHOOSE({1,2,3,4},KHP!W7,KHP!AA7,KHP!AE7,KHP!AI7)))</f>
        <v>0</v>
      </c>
      <c r="C7">
        <f>SUMPRODUCT((MONTH(CHOOSE({1,2,3,4},KHP!T7,KHP!X7,KHP!AB7,KHP!AF7))=3)*(CHOOSE({1,2,3,4},KHP!W7,KHP!AA7,KHP!AE7,KHP!AI7)))</f>
        <v>0</v>
      </c>
      <c r="D7">
        <f>SUMPRODUCT((MONTH(CHOOSE({1,2,3,4},KHP!T7,KHP!X7,KHP!AB7,KHP!AF7))=4)*(CHOOSE({1,2,3,4},KHP!W7,KHP!AA7,KHP!AE7,KHP!AI7)))</f>
        <v>0</v>
      </c>
      <c r="E7">
        <f>SUMPRODUCT((MONTH(CHOOSE({1,2,3,4},KHP!T7,KHP!X7,KHP!AB7,KHP!AF7))=5)*(CHOOSE({1,2,3,4},KHP!W7,KHP!AA7,KHP!AE7,KHP!AI7)))</f>
        <v>0</v>
      </c>
      <c r="F7">
        <f>SUMPRODUCT((MONTH(CHOOSE({1,2,3,4},KHP!T7,KHP!X7,KHP!AB7,KHP!AF7))=6)*(CHOOSE({1,2,3,4},KHP!W7,KHP!AA7,KHP!AE7,KHP!AI7)))</f>
        <v>0</v>
      </c>
      <c r="G7">
        <f>SUMPRODUCT((MONTH(CHOOSE({1,2,3,4},KHP!T7,KHP!X7,KHP!AB7,KHP!AF7))=7)*(CHOOSE({1,2,3,4},KHP!W7,KHP!AA7,KHP!AE7,KHP!AI7)))</f>
        <v>0</v>
      </c>
      <c r="H7">
        <f>SUMPRODUCT((MONTH(CHOOSE({1,2,3,4},KHP!T7,KHP!X7,KHP!AB7,KHP!AF7))=8)*(CHOOSE({1,2,3,4},KHP!W7,KHP!AA7,KHP!AE7,KHP!AI7)))</f>
        <v>0</v>
      </c>
      <c r="I7">
        <f>SUMPRODUCT((MONTH(CHOOSE({1,2,3,4},KHP!T7,KHP!X7,KHP!AB7,KHP!AF7))=9)*(CHOOSE({1,2,3,4},KHP!W7,KHP!AA7,KHP!AE7,KHP!AI7)))</f>
        <v>0</v>
      </c>
      <c r="J7">
        <f>SUMPRODUCT((MONTH(CHOOSE({1,2,3,4},KHP!T7,KHP!X7,KHP!AB7,KHP!AF7))=10)*(CHOOSE({1,2,3,4},KHP!W7,KHP!AA7,KHP!AE7,KHP!AI7)))</f>
        <v>0</v>
      </c>
      <c r="K7">
        <f>SUMPRODUCT((MONTH(CHOOSE({1,2,3,4},KHP!T7,KHP!X7,KHP!AB7,KHP!AF7))=11)*(CHOOSE({1,2,3,4},KHP!W7,KHP!AA7,KHP!AE7,KHP!AI7)))</f>
        <v>0</v>
      </c>
      <c r="L7">
        <f>SUMPRODUCT((MONTH(CHOOSE({1,2,3,4},KHP!T7,KHP!X7,KHP!AB7,KHP!AF7))=12)*(CHOOSE({1,2,3,4},KHP!W7,KHP!AA7,KHP!AE7,KHP!AI7)))</f>
        <v>0</v>
      </c>
    </row>
    <row r="8" spans="1:12">
      <c r="A8">
        <f>SUMPRODUCT((MONTH(CHOOSE({1,2,3,4},KHP!T8,KHP!X8,KHP!AB8,KHP!AF8))=1)*(CHOOSE({1,2,3,4},KHP!W8,KHP!AA8,KHP!AE8,KHP!AI8)))</f>
        <v>0</v>
      </c>
      <c r="B8">
        <f>SUMPRODUCT((MONTH(CHOOSE({1,2,3,4},KHP!T8,KHP!X8,KHP!AB8,KHP!AF8))=2)*(CHOOSE({1,2,3,4},KHP!W8,KHP!AA8,KHP!AE8,KHP!AI8)))</f>
        <v>0</v>
      </c>
      <c r="C8">
        <f>SUMPRODUCT((MONTH(CHOOSE({1,2,3,4},KHP!T8,KHP!X8,KHP!AB8,KHP!AF8))=3)*(CHOOSE({1,2,3,4},KHP!W8,KHP!AA8,KHP!AE8,KHP!AI8)))</f>
        <v>0</v>
      </c>
      <c r="D8">
        <f>SUMPRODUCT((MONTH(CHOOSE({1,2,3,4},KHP!T8,KHP!X8,KHP!AB8,KHP!AF8))=4)*(CHOOSE({1,2,3,4},KHP!W8,KHP!AA8,KHP!AE8,KHP!AI8)))</f>
        <v>0</v>
      </c>
      <c r="E8">
        <f>SUMPRODUCT((MONTH(CHOOSE({1,2,3,4},KHP!T8,KHP!X8,KHP!AB8,KHP!AF8))=5)*(CHOOSE({1,2,3,4},KHP!W8,KHP!AA8,KHP!AE8,KHP!AI8)))</f>
        <v>0</v>
      </c>
      <c r="F8">
        <f>SUMPRODUCT((MONTH(CHOOSE({1,2,3,4},KHP!T8,KHP!X8,KHP!AB8,KHP!AF8))=6)*(CHOOSE({1,2,3,4},KHP!W8,KHP!AA8,KHP!AE8,KHP!AI8)))</f>
        <v>0</v>
      </c>
      <c r="G8">
        <f>SUMPRODUCT((MONTH(CHOOSE({1,2,3,4},KHP!T8,KHP!X8,KHP!AB8,KHP!AF8))=7)*(CHOOSE({1,2,3,4},KHP!W8,KHP!AA8,KHP!AE8,KHP!AI8)))</f>
        <v>0</v>
      </c>
      <c r="H8">
        <f>SUMPRODUCT((MONTH(CHOOSE({1,2,3,4},KHP!T8,KHP!X8,KHP!AB8,KHP!AF8))=8)*(CHOOSE({1,2,3,4},KHP!W8,KHP!AA8,KHP!AE8,KHP!AI8)))</f>
        <v>0</v>
      </c>
      <c r="I8">
        <f>SUMPRODUCT((MONTH(CHOOSE({1,2,3,4},KHP!T8,KHP!X8,KHP!AB8,KHP!AF8))=9)*(CHOOSE({1,2,3,4},KHP!W8,KHP!AA8,KHP!AE8,KHP!AI8)))</f>
        <v>0</v>
      </c>
      <c r="J8">
        <f>SUMPRODUCT((MONTH(CHOOSE({1,2,3,4},KHP!T8,KHP!X8,KHP!AB8,KHP!AF8))=10)*(CHOOSE({1,2,3,4},KHP!W8,KHP!AA8,KHP!AE8,KHP!AI8)))</f>
        <v>0</v>
      </c>
      <c r="K8">
        <f>SUMPRODUCT((MONTH(CHOOSE({1,2,3,4},KHP!T8,KHP!X8,KHP!AB8,KHP!AF8))=11)*(CHOOSE({1,2,3,4},KHP!W8,KHP!AA8,KHP!AE8,KHP!AI8)))</f>
        <v>0</v>
      </c>
      <c r="L8">
        <f>SUMPRODUCT((MONTH(CHOOSE({1,2,3,4},KHP!T8,KHP!X8,KHP!AB8,KHP!AF8))=12)*(CHOOSE({1,2,3,4},KHP!W8,KHP!AA8,KHP!AE8,KHP!AI8)))</f>
        <v>0</v>
      </c>
    </row>
    <row r="9" spans="1:12">
      <c r="A9">
        <f>SUMPRODUCT((MONTH(CHOOSE({1,2,3,4},KHP!T9,KHP!X9,KHP!AB9,KHP!AF9))=1)*(CHOOSE({1,2,3,4},KHP!W9,KHP!AA9,KHP!AE9,KHP!AI9)))</f>
        <v>0</v>
      </c>
      <c r="B9">
        <f>SUMPRODUCT((MONTH(CHOOSE({1,2,3,4},KHP!T9,KHP!X9,KHP!AB9,KHP!AF9))=2)*(CHOOSE({1,2,3,4},KHP!W9,KHP!AA9,KHP!AE9,KHP!AI9)))</f>
        <v>0</v>
      </c>
      <c r="C9">
        <f>SUMPRODUCT((MONTH(CHOOSE({1,2,3,4},KHP!T9,KHP!X9,KHP!AB9,KHP!AF9))=3)*(CHOOSE({1,2,3,4},KHP!W9,KHP!AA9,KHP!AE9,KHP!AI9)))</f>
        <v>0</v>
      </c>
      <c r="D9">
        <f>SUMPRODUCT((MONTH(CHOOSE({1,2,3,4},KHP!T9,KHP!X9,KHP!AB9,KHP!AF9))=4)*(CHOOSE({1,2,3,4},KHP!W9,KHP!AA9,KHP!AE9,KHP!AI9)))</f>
        <v>0</v>
      </c>
      <c r="E9">
        <f>SUMPRODUCT((MONTH(CHOOSE({1,2,3,4},KHP!T9,KHP!X9,KHP!AB9,KHP!AF9))=5)*(CHOOSE({1,2,3,4},KHP!W9,KHP!AA9,KHP!AE9,KHP!AI9)))</f>
        <v>0</v>
      </c>
      <c r="F9">
        <f>SUMPRODUCT((MONTH(CHOOSE({1,2,3,4},KHP!T9,KHP!X9,KHP!AB9,KHP!AF9))=6)*(CHOOSE({1,2,3,4},KHP!W9,KHP!AA9,KHP!AE9,KHP!AI9)))</f>
        <v>0</v>
      </c>
      <c r="G9">
        <f>SUMPRODUCT((MONTH(CHOOSE({1,2,3,4},KHP!T9,KHP!X9,KHP!AB9,KHP!AF9))=7)*(CHOOSE({1,2,3,4},KHP!W9,KHP!AA9,KHP!AE9,KHP!AI9)))</f>
        <v>0</v>
      </c>
      <c r="H9">
        <f>SUMPRODUCT((MONTH(CHOOSE({1,2,3,4},KHP!T9,KHP!X9,KHP!AB9,KHP!AF9))=8)*(CHOOSE({1,2,3,4},KHP!W9,KHP!AA9,KHP!AE9,KHP!AI9)))</f>
        <v>0</v>
      </c>
      <c r="I9">
        <f>SUMPRODUCT((MONTH(CHOOSE({1,2,3,4},KHP!T9,KHP!X9,KHP!AB9,KHP!AF9))=9)*(CHOOSE({1,2,3,4},KHP!W9,KHP!AA9,KHP!AE9,KHP!AI9)))</f>
        <v>0</v>
      </c>
      <c r="J9">
        <f>SUMPRODUCT((MONTH(CHOOSE({1,2,3,4},KHP!T9,KHP!X9,KHP!AB9,KHP!AF9))=10)*(CHOOSE({1,2,3,4},KHP!W9,KHP!AA9,KHP!AE9,KHP!AI9)))</f>
        <v>0</v>
      </c>
      <c r="K9">
        <f>SUMPRODUCT((MONTH(CHOOSE({1,2,3,4},KHP!T9,KHP!X9,KHP!AB9,KHP!AF9))=11)*(CHOOSE({1,2,3,4},KHP!W9,KHP!AA9,KHP!AE9,KHP!AI9)))</f>
        <v>0</v>
      </c>
      <c r="L9">
        <f>SUMPRODUCT((MONTH(CHOOSE({1,2,3,4},KHP!T9,KHP!X9,KHP!AB9,KHP!AF9))=12)*(CHOOSE({1,2,3,4},KHP!W9,KHP!AA9,KHP!AE9,KHP!AI9)))</f>
        <v>0</v>
      </c>
    </row>
    <row r="10" spans="1:12">
      <c r="A10">
        <f>SUMPRODUCT((MONTH(CHOOSE({1,2,3,4},KHP!T10,KHP!X10,KHP!AB10,KHP!AF10))=1)*(CHOOSE({1,2,3,4},KHP!W10,KHP!AA10,KHP!AE10,KHP!AI10)))</f>
        <v>0</v>
      </c>
      <c r="B10">
        <f>SUMPRODUCT((MONTH(CHOOSE({1,2,3,4},KHP!T10,KHP!X10,KHP!AB10,KHP!AF10))=2)*(CHOOSE({1,2,3,4},KHP!W10,KHP!AA10,KHP!AE10,KHP!AI10)))</f>
        <v>0</v>
      </c>
      <c r="C10">
        <f>SUMPRODUCT((MONTH(CHOOSE({1,2,3,4},KHP!T10,KHP!X10,KHP!AB10,KHP!AF10))=3)*(CHOOSE({1,2,3,4},KHP!W10,KHP!AA10,KHP!AE10,KHP!AI10)))</f>
        <v>0</v>
      </c>
      <c r="D10">
        <f>SUMPRODUCT((MONTH(CHOOSE({1,2,3,4},KHP!T10,KHP!X10,KHP!AB10,KHP!AF10))=4)*(CHOOSE({1,2,3,4},KHP!W10,KHP!AA10,KHP!AE10,KHP!AI10)))</f>
        <v>0</v>
      </c>
      <c r="E10">
        <f>SUMPRODUCT((MONTH(CHOOSE({1,2,3,4},KHP!T10,KHP!X10,KHP!AB10,KHP!AF10))=5)*(CHOOSE({1,2,3,4},KHP!W10,KHP!AA10,KHP!AE10,KHP!AI10)))</f>
        <v>0</v>
      </c>
      <c r="F10">
        <f>SUMPRODUCT((MONTH(CHOOSE({1,2,3,4},KHP!T10,KHP!X10,KHP!AB10,KHP!AF10))=6)*(CHOOSE({1,2,3,4},KHP!W10,KHP!AA10,KHP!AE10,KHP!AI10)))</f>
        <v>0</v>
      </c>
      <c r="G10">
        <f>SUMPRODUCT((MONTH(CHOOSE({1,2,3,4},KHP!T10,KHP!X10,KHP!AB10,KHP!AF10))=7)*(CHOOSE({1,2,3,4},KHP!W10,KHP!AA10,KHP!AE10,KHP!AI10)))</f>
        <v>0</v>
      </c>
      <c r="H10">
        <f>SUMPRODUCT((MONTH(CHOOSE({1,2,3,4},KHP!T10,KHP!X10,KHP!AB10,KHP!AF10))=8)*(CHOOSE({1,2,3,4},KHP!W10,KHP!AA10,KHP!AE10,KHP!AI10)))</f>
        <v>0</v>
      </c>
      <c r="I10">
        <f>SUMPRODUCT((MONTH(CHOOSE({1,2,3,4},KHP!T10,KHP!X10,KHP!AB10,KHP!AF10))=9)*(CHOOSE({1,2,3,4},KHP!W10,KHP!AA10,KHP!AE10,KHP!AI10)))</f>
        <v>0</v>
      </c>
      <c r="J10">
        <f>SUMPRODUCT((MONTH(CHOOSE({1,2,3,4},KHP!T10,KHP!X10,KHP!AB10,KHP!AF10))=10)*(CHOOSE({1,2,3,4},KHP!W10,KHP!AA10,KHP!AE10,KHP!AI10)))</f>
        <v>0</v>
      </c>
      <c r="K10">
        <f>SUMPRODUCT((MONTH(CHOOSE({1,2,3,4},KHP!T10,KHP!X10,KHP!AB10,KHP!AF10))=11)*(CHOOSE({1,2,3,4},KHP!W10,KHP!AA10,KHP!AE10,KHP!AI10)))</f>
        <v>0</v>
      </c>
      <c r="L10">
        <f>SUMPRODUCT((MONTH(CHOOSE({1,2,3,4},KHP!T10,KHP!X10,KHP!AB10,KHP!AF10))=12)*(CHOOSE({1,2,3,4},KHP!W10,KHP!AA10,KHP!AE10,KHP!AI10)))</f>
        <v>0</v>
      </c>
    </row>
    <row r="11" spans="1:12">
      <c r="A11">
        <f>SUMPRODUCT((MONTH(CHOOSE({1,2,3,4},KHP!T11,KHP!X11,KHP!AB11,KHP!AF11))=1)*(CHOOSE({1,2,3,4},KHP!W11,KHP!AA11,KHP!AE11,KHP!AI11)))</f>
        <v>0</v>
      </c>
      <c r="B11">
        <f>SUMPRODUCT((MONTH(CHOOSE({1,2,3,4},KHP!T11,KHP!X11,KHP!AB11,KHP!AF11))=2)*(CHOOSE({1,2,3,4},KHP!W11,KHP!AA11,KHP!AE11,KHP!AI11)))</f>
        <v>0</v>
      </c>
      <c r="C11">
        <f>SUMPRODUCT((MONTH(CHOOSE({1,2,3,4},KHP!T11,KHP!X11,KHP!AB11,KHP!AF11))=3)*(CHOOSE({1,2,3,4},KHP!W11,KHP!AA11,KHP!AE11,KHP!AI11)))</f>
        <v>0</v>
      </c>
      <c r="D11">
        <f>SUMPRODUCT((MONTH(CHOOSE({1,2,3,4},KHP!T11,KHP!X11,KHP!AB11,KHP!AF11))=4)*(CHOOSE({1,2,3,4},KHP!W11,KHP!AA11,KHP!AE11,KHP!AI11)))</f>
        <v>0</v>
      </c>
      <c r="E11">
        <f>SUMPRODUCT((MONTH(CHOOSE({1,2,3,4},KHP!T11,KHP!X11,KHP!AB11,KHP!AF11))=5)*(CHOOSE({1,2,3,4},KHP!W11,KHP!AA11,KHP!AE11,KHP!AI11)))</f>
        <v>0</v>
      </c>
      <c r="F11">
        <f>SUMPRODUCT((MONTH(CHOOSE({1,2,3,4},KHP!T11,KHP!X11,KHP!AB11,KHP!AF11))=6)*(CHOOSE({1,2,3,4},KHP!W11,KHP!AA11,KHP!AE11,KHP!AI11)))</f>
        <v>0</v>
      </c>
      <c r="G11">
        <f>SUMPRODUCT((MONTH(CHOOSE({1,2,3,4},KHP!T11,KHP!X11,KHP!AB11,KHP!AF11))=7)*(CHOOSE({1,2,3,4},KHP!W11,KHP!AA11,KHP!AE11,KHP!AI11)))</f>
        <v>0</v>
      </c>
      <c r="H11">
        <f>SUMPRODUCT((MONTH(CHOOSE({1,2,3,4},KHP!T11,KHP!X11,KHP!AB11,KHP!AF11))=8)*(CHOOSE({1,2,3,4},KHP!W11,KHP!AA11,KHP!AE11,KHP!AI11)))</f>
        <v>0</v>
      </c>
      <c r="I11">
        <f>SUMPRODUCT((MONTH(CHOOSE({1,2,3,4},KHP!T11,KHP!X11,KHP!AB11,KHP!AF11))=9)*(CHOOSE({1,2,3,4},KHP!W11,KHP!AA11,KHP!AE11,KHP!AI11)))</f>
        <v>0</v>
      </c>
      <c r="J11">
        <f>SUMPRODUCT((MONTH(CHOOSE({1,2,3,4},KHP!T11,KHP!X11,KHP!AB11,KHP!AF11))=10)*(CHOOSE({1,2,3,4},KHP!W11,KHP!AA11,KHP!AE11,KHP!AI11)))</f>
        <v>0</v>
      </c>
      <c r="K11">
        <f>SUMPRODUCT((MONTH(CHOOSE({1,2,3,4},KHP!T11,KHP!X11,KHP!AB11,KHP!AF11))=11)*(CHOOSE({1,2,3,4},KHP!W11,KHP!AA11,KHP!AE11,KHP!AI11)))</f>
        <v>0</v>
      </c>
      <c r="L11">
        <f>SUMPRODUCT((MONTH(CHOOSE({1,2,3,4},KHP!T11,KHP!X11,KHP!AB11,KHP!AF11))=12)*(CHOOSE({1,2,3,4},KHP!W11,KHP!AA11,KHP!AE11,KHP!AI11)))</f>
        <v>0</v>
      </c>
    </row>
    <row r="12" spans="1:12">
      <c r="A12">
        <f>SUMPRODUCT((MONTH(CHOOSE({1,2,3,4},KHP!T12,KHP!X12,KHP!AB12,KHP!AF12))=1)*(CHOOSE({1,2,3,4},KHP!W12,KHP!AA12,KHP!AE12,KHP!AI12)))</f>
        <v>0</v>
      </c>
      <c r="B12">
        <f>SUMPRODUCT((MONTH(CHOOSE({1,2,3,4},KHP!T12,KHP!X12,KHP!AB12,KHP!AF12))=2)*(CHOOSE({1,2,3,4},KHP!W12,KHP!AA12,KHP!AE12,KHP!AI12)))</f>
        <v>0</v>
      </c>
      <c r="C12">
        <f>SUMPRODUCT((MONTH(CHOOSE({1,2,3,4},KHP!T12,KHP!X12,KHP!AB12,KHP!AF12))=3)*(CHOOSE({1,2,3,4},KHP!W12,KHP!AA12,KHP!AE12,KHP!AI12)))</f>
        <v>0</v>
      </c>
      <c r="D12">
        <f>SUMPRODUCT((MONTH(CHOOSE({1,2,3,4},KHP!T12,KHP!X12,KHP!AB12,KHP!AF12))=4)*(CHOOSE({1,2,3,4},KHP!W12,KHP!AA12,KHP!AE12,KHP!AI12)))</f>
        <v>0</v>
      </c>
      <c r="E12">
        <f>SUMPRODUCT((MONTH(CHOOSE({1,2,3,4},KHP!T12,KHP!X12,KHP!AB12,KHP!AF12))=5)*(CHOOSE({1,2,3,4},KHP!W12,KHP!AA12,KHP!AE12,KHP!AI12)))</f>
        <v>0</v>
      </c>
      <c r="F12">
        <f>SUMPRODUCT((MONTH(CHOOSE({1,2,3,4},KHP!T12,KHP!X12,KHP!AB12,KHP!AF12))=6)*(CHOOSE({1,2,3,4},KHP!W12,KHP!AA12,KHP!AE12,KHP!AI12)))</f>
        <v>0</v>
      </c>
      <c r="G12">
        <f>SUMPRODUCT((MONTH(CHOOSE({1,2,3,4},KHP!T12,KHP!X12,KHP!AB12,KHP!AF12))=7)*(CHOOSE({1,2,3,4},KHP!W12,KHP!AA12,KHP!AE12,KHP!AI12)))</f>
        <v>0</v>
      </c>
      <c r="H12">
        <f>SUMPRODUCT((MONTH(CHOOSE({1,2,3,4},KHP!T12,KHP!X12,KHP!AB12,KHP!AF12))=8)*(CHOOSE({1,2,3,4},KHP!W12,KHP!AA12,KHP!AE12,KHP!AI12)))</f>
        <v>0</v>
      </c>
      <c r="I12">
        <f>SUMPRODUCT((MONTH(CHOOSE({1,2,3,4},KHP!T12,KHP!X12,KHP!AB12,KHP!AF12))=9)*(CHOOSE({1,2,3,4},KHP!W12,KHP!AA12,KHP!AE12,KHP!AI12)))</f>
        <v>0</v>
      </c>
      <c r="J12">
        <f>SUMPRODUCT((MONTH(CHOOSE({1,2,3,4},KHP!T12,KHP!X12,KHP!AB12,KHP!AF12))=10)*(CHOOSE({1,2,3,4},KHP!W12,KHP!AA12,KHP!AE12,KHP!AI12)))</f>
        <v>0</v>
      </c>
      <c r="K12">
        <f>SUMPRODUCT((MONTH(CHOOSE({1,2,3,4},KHP!T12,KHP!X12,KHP!AB12,KHP!AF12))=11)*(CHOOSE({1,2,3,4},KHP!W12,KHP!AA12,KHP!AE12,KHP!AI12)))</f>
        <v>0</v>
      </c>
      <c r="L12">
        <f>SUMPRODUCT((MONTH(CHOOSE({1,2,3,4},KHP!T12,KHP!X12,KHP!AB12,KHP!AF12))=12)*(CHOOSE({1,2,3,4},KHP!W12,KHP!AA12,KHP!AE12,KHP!AI12)))</f>
        <v>0</v>
      </c>
    </row>
    <row r="13" spans="1:12">
      <c r="A13">
        <f>SUMPRODUCT((MONTH(CHOOSE({1,2,3,4},KHP!T13,KHP!X13,KHP!AB13,KHP!AF13))=1)*(CHOOSE({1,2,3,4},KHP!W13,KHP!AA13,KHP!AE13,KHP!AI13)))</f>
        <v>0</v>
      </c>
      <c r="B13">
        <f>SUMPRODUCT((MONTH(CHOOSE({1,2,3,4},KHP!T13,KHP!X13,KHP!AB13,KHP!AF13))=2)*(CHOOSE({1,2,3,4},KHP!W13,KHP!AA13,KHP!AE13,KHP!AI13)))</f>
        <v>0</v>
      </c>
      <c r="C13">
        <f>SUMPRODUCT((MONTH(CHOOSE({1,2,3,4},KHP!T13,KHP!X13,KHP!AB13,KHP!AF13))=3)*(CHOOSE({1,2,3,4},KHP!W13,KHP!AA13,KHP!AE13,KHP!AI13)))</f>
        <v>0</v>
      </c>
      <c r="D13">
        <f>SUMPRODUCT((MONTH(CHOOSE({1,2,3,4},KHP!T13,KHP!X13,KHP!AB13,KHP!AF13))=4)*(CHOOSE({1,2,3,4},KHP!W13,KHP!AA13,KHP!AE13,KHP!AI13)))</f>
        <v>0</v>
      </c>
      <c r="E13">
        <f>SUMPRODUCT((MONTH(CHOOSE({1,2,3,4},KHP!T13,KHP!X13,KHP!AB13,KHP!AF13))=5)*(CHOOSE({1,2,3,4},KHP!W13,KHP!AA13,KHP!AE13,KHP!AI13)))</f>
        <v>0</v>
      </c>
      <c r="F13">
        <f>SUMPRODUCT((MONTH(CHOOSE({1,2,3,4},KHP!T13,KHP!X13,KHP!AB13,KHP!AF13))=6)*(CHOOSE({1,2,3,4},KHP!W13,KHP!AA13,KHP!AE13,KHP!AI13)))</f>
        <v>0</v>
      </c>
      <c r="G13">
        <f>SUMPRODUCT((MONTH(CHOOSE({1,2,3,4},KHP!T13,KHP!X13,KHP!AB13,KHP!AF13))=7)*(CHOOSE({1,2,3,4},KHP!W13,KHP!AA13,KHP!AE13,KHP!AI13)))</f>
        <v>0</v>
      </c>
      <c r="H13">
        <f>SUMPRODUCT((MONTH(CHOOSE({1,2,3,4},KHP!T13,KHP!X13,KHP!AB13,KHP!AF13))=8)*(CHOOSE({1,2,3,4},KHP!W13,KHP!AA13,KHP!AE13,KHP!AI13)))</f>
        <v>0</v>
      </c>
      <c r="I13">
        <f>SUMPRODUCT((MONTH(CHOOSE({1,2,3,4},KHP!T13,KHP!X13,KHP!AB13,KHP!AF13))=9)*(CHOOSE({1,2,3,4},KHP!W13,KHP!AA13,KHP!AE13,KHP!AI13)))</f>
        <v>0</v>
      </c>
      <c r="J13">
        <f>SUMPRODUCT((MONTH(CHOOSE({1,2,3,4},KHP!T13,KHP!X13,KHP!AB13,KHP!AF13))=10)*(CHOOSE({1,2,3,4},KHP!W13,KHP!AA13,KHP!AE13,KHP!AI13)))</f>
        <v>0</v>
      </c>
      <c r="K13">
        <f>SUMPRODUCT((MONTH(CHOOSE({1,2,3,4},KHP!T13,KHP!X13,KHP!AB13,KHP!AF13))=11)*(CHOOSE({1,2,3,4},KHP!W13,KHP!AA13,KHP!AE13,KHP!AI13)))</f>
        <v>0</v>
      </c>
      <c r="L13">
        <f>SUMPRODUCT((MONTH(CHOOSE({1,2,3,4},KHP!T13,KHP!X13,KHP!AB13,KHP!AF13))=12)*(CHOOSE({1,2,3,4},KHP!W13,KHP!AA13,KHP!AE13,KHP!AI13)))</f>
        <v>0</v>
      </c>
    </row>
    <row r="14" spans="1:12">
      <c r="A14">
        <f>SUMPRODUCT((MONTH(CHOOSE({1,2,3,4},KHP!T14,KHP!X14,KHP!AB14,KHP!AF14))=1)*(CHOOSE({1,2,3,4},KHP!W14,KHP!AA14,KHP!AE14,KHP!AI14)))</f>
        <v>0</v>
      </c>
      <c r="B14">
        <f>SUMPRODUCT((MONTH(CHOOSE({1,2,3,4},KHP!T14,KHP!X14,KHP!AB14,KHP!AF14))=2)*(CHOOSE({1,2,3,4},KHP!W14,KHP!AA14,KHP!AE14,KHP!AI14)))</f>
        <v>0</v>
      </c>
      <c r="C14">
        <f>SUMPRODUCT((MONTH(CHOOSE({1,2,3,4},KHP!T14,KHP!X14,KHP!AB14,KHP!AF14))=3)*(CHOOSE({1,2,3,4},KHP!W14,KHP!AA14,KHP!AE14,KHP!AI14)))</f>
        <v>0</v>
      </c>
      <c r="D14">
        <f>SUMPRODUCT((MONTH(CHOOSE({1,2,3,4},KHP!T14,KHP!X14,KHP!AB14,KHP!AF14))=4)*(CHOOSE({1,2,3,4},KHP!W14,KHP!AA14,KHP!AE14,KHP!AI14)))</f>
        <v>0</v>
      </c>
      <c r="E14">
        <f>SUMPRODUCT((MONTH(CHOOSE({1,2,3,4},KHP!T14,KHP!X14,KHP!AB14,KHP!AF14))=5)*(CHOOSE({1,2,3,4},KHP!W14,KHP!AA14,KHP!AE14,KHP!AI14)))</f>
        <v>0</v>
      </c>
      <c r="F14">
        <f>SUMPRODUCT((MONTH(CHOOSE({1,2,3,4},KHP!T14,KHP!X14,KHP!AB14,KHP!AF14))=6)*(CHOOSE({1,2,3,4},KHP!W14,KHP!AA14,KHP!AE14,KHP!AI14)))</f>
        <v>0</v>
      </c>
      <c r="G14">
        <f>SUMPRODUCT((MONTH(CHOOSE({1,2,3,4},KHP!T14,KHP!X14,KHP!AB14,KHP!AF14))=7)*(CHOOSE({1,2,3,4},KHP!W14,KHP!AA14,KHP!AE14,KHP!AI14)))</f>
        <v>0</v>
      </c>
      <c r="H14">
        <f>SUMPRODUCT((MONTH(CHOOSE({1,2,3,4},KHP!T14,KHP!X14,KHP!AB14,KHP!AF14))=8)*(CHOOSE({1,2,3,4},KHP!W14,KHP!AA14,KHP!AE14,KHP!AI14)))</f>
        <v>0</v>
      </c>
      <c r="I14">
        <f>SUMPRODUCT((MONTH(CHOOSE({1,2,3,4},KHP!T14,KHP!X14,KHP!AB14,KHP!AF14))=9)*(CHOOSE({1,2,3,4},KHP!W14,KHP!AA14,KHP!AE14,KHP!AI14)))</f>
        <v>0</v>
      </c>
      <c r="J14">
        <f>SUMPRODUCT((MONTH(CHOOSE({1,2,3,4},KHP!T14,KHP!X14,KHP!AB14,KHP!AF14))=10)*(CHOOSE({1,2,3,4},KHP!W14,KHP!AA14,KHP!AE14,KHP!AI14)))</f>
        <v>0</v>
      </c>
      <c r="K14">
        <f>SUMPRODUCT((MONTH(CHOOSE({1,2,3,4},KHP!T14,KHP!X14,KHP!AB14,KHP!AF14))=11)*(CHOOSE({1,2,3,4},KHP!W14,KHP!AA14,KHP!AE14,KHP!AI14)))</f>
        <v>0</v>
      </c>
      <c r="L14">
        <f>SUMPRODUCT((MONTH(CHOOSE({1,2,3,4},KHP!T14,KHP!X14,KHP!AB14,KHP!AF14))=12)*(CHOOSE({1,2,3,4},KHP!W14,KHP!AA14,KHP!AE14,KHP!AI14)))</f>
        <v>0</v>
      </c>
    </row>
    <row r="15" spans="1:12">
      <c r="A15">
        <f>SUMPRODUCT((MONTH(CHOOSE({1,2,3,4},KHP!T15,KHP!X15,KHP!AB15,KHP!AF15))=1)*(CHOOSE({1,2,3,4},KHP!W15,KHP!AA15,KHP!AE15,KHP!AI15)))</f>
        <v>0</v>
      </c>
      <c r="B15">
        <f>SUMPRODUCT((MONTH(CHOOSE({1,2,3,4},KHP!T15,KHP!X15,KHP!AB15,KHP!AF15))=2)*(CHOOSE({1,2,3,4},KHP!W15,KHP!AA15,KHP!AE15,KHP!AI15)))</f>
        <v>0</v>
      </c>
      <c r="C15">
        <f>SUMPRODUCT((MONTH(CHOOSE({1,2,3,4},KHP!T15,KHP!X15,KHP!AB15,KHP!AF15))=3)*(CHOOSE({1,2,3,4},KHP!W15,KHP!AA15,KHP!AE15,KHP!AI15)))</f>
        <v>0</v>
      </c>
      <c r="D15">
        <f>SUMPRODUCT((MONTH(CHOOSE({1,2,3,4},KHP!T15,KHP!X15,KHP!AB15,KHP!AF15))=4)*(CHOOSE({1,2,3,4},KHP!W15,KHP!AA15,KHP!AE15,KHP!AI15)))</f>
        <v>0</v>
      </c>
      <c r="E15">
        <f>SUMPRODUCT((MONTH(CHOOSE({1,2,3,4},KHP!T15,KHP!X15,KHP!AB15,KHP!AF15))=5)*(CHOOSE({1,2,3,4},KHP!W15,KHP!AA15,KHP!AE15,KHP!AI15)))</f>
        <v>0</v>
      </c>
      <c r="F15">
        <f>SUMPRODUCT((MONTH(CHOOSE({1,2,3,4},KHP!T15,KHP!X15,KHP!AB15,KHP!AF15))=6)*(CHOOSE({1,2,3,4},KHP!W15,KHP!AA15,KHP!AE15,KHP!AI15)))</f>
        <v>0</v>
      </c>
      <c r="G15">
        <f>SUMPRODUCT((MONTH(CHOOSE({1,2,3,4},KHP!T15,KHP!X15,KHP!AB15,KHP!AF15))=7)*(CHOOSE({1,2,3,4},KHP!W15,KHP!AA15,KHP!AE15,KHP!AI15)))</f>
        <v>0</v>
      </c>
      <c r="H15">
        <f>SUMPRODUCT((MONTH(CHOOSE({1,2,3,4},KHP!T15,KHP!X15,KHP!AB15,KHP!AF15))=8)*(CHOOSE({1,2,3,4},KHP!W15,KHP!AA15,KHP!AE15,KHP!AI15)))</f>
        <v>0</v>
      </c>
      <c r="I15">
        <f>SUMPRODUCT((MONTH(CHOOSE({1,2,3,4},KHP!T15,KHP!X15,KHP!AB15,KHP!AF15))=9)*(CHOOSE({1,2,3,4},KHP!W15,KHP!AA15,KHP!AE15,KHP!AI15)))</f>
        <v>0</v>
      </c>
      <c r="J15">
        <f>SUMPRODUCT((MONTH(CHOOSE({1,2,3,4},KHP!T15,KHP!X15,KHP!AB15,KHP!AF15))=10)*(CHOOSE({1,2,3,4},KHP!W15,KHP!AA15,KHP!AE15,KHP!AI15)))</f>
        <v>0</v>
      </c>
      <c r="K15">
        <f>SUMPRODUCT((MONTH(CHOOSE({1,2,3,4},KHP!T15,KHP!X15,KHP!AB15,KHP!AF15))=11)*(CHOOSE({1,2,3,4},KHP!W15,KHP!AA15,KHP!AE15,KHP!AI15)))</f>
        <v>0</v>
      </c>
      <c r="L15">
        <f>SUMPRODUCT((MONTH(CHOOSE({1,2,3,4},KHP!T15,KHP!X15,KHP!AB15,KHP!AF15))=12)*(CHOOSE({1,2,3,4},KHP!W15,KHP!AA15,KHP!AE15,KHP!AI15)))</f>
        <v>0</v>
      </c>
    </row>
    <row r="16" spans="1:12">
      <c r="A16">
        <f>SUMPRODUCT((MONTH(CHOOSE({1,2,3,4},KHP!T16,KHP!X16,KHP!AB16,KHP!AF16))=1)*(CHOOSE({1,2,3,4},KHP!W16,KHP!AA16,KHP!AE16,KHP!AI16)))</f>
        <v>0</v>
      </c>
      <c r="B16">
        <f>SUMPRODUCT((MONTH(CHOOSE({1,2,3,4},KHP!T16,KHP!X16,KHP!AB16,KHP!AF16))=2)*(CHOOSE({1,2,3,4},KHP!W16,KHP!AA16,KHP!AE16,KHP!AI16)))</f>
        <v>0</v>
      </c>
      <c r="C16">
        <f>SUMPRODUCT((MONTH(CHOOSE({1,2,3,4},KHP!T16,KHP!X16,KHP!AB16,KHP!AF16))=3)*(CHOOSE({1,2,3,4},KHP!W16,KHP!AA16,KHP!AE16,KHP!AI16)))</f>
        <v>0</v>
      </c>
      <c r="D16">
        <f>SUMPRODUCT((MONTH(CHOOSE({1,2,3,4},KHP!T16,KHP!X16,KHP!AB16,KHP!AF16))=4)*(CHOOSE({1,2,3,4},KHP!W16,KHP!AA16,KHP!AE16,KHP!AI16)))</f>
        <v>0</v>
      </c>
      <c r="E16">
        <f>SUMPRODUCT((MONTH(CHOOSE({1,2,3,4},KHP!T16,KHP!X16,KHP!AB16,KHP!AF16))=5)*(CHOOSE({1,2,3,4},KHP!W16,KHP!AA16,KHP!AE16,KHP!AI16)))</f>
        <v>0</v>
      </c>
      <c r="F16">
        <f>SUMPRODUCT((MONTH(CHOOSE({1,2,3,4},KHP!T16,KHP!X16,KHP!AB16,KHP!AF16))=6)*(CHOOSE({1,2,3,4},KHP!W16,KHP!AA16,KHP!AE16,KHP!AI16)))</f>
        <v>0</v>
      </c>
      <c r="G16">
        <f>SUMPRODUCT((MONTH(CHOOSE({1,2,3,4},KHP!T16,KHP!X16,KHP!AB16,KHP!AF16))=7)*(CHOOSE({1,2,3,4},KHP!W16,KHP!AA16,KHP!AE16,KHP!AI16)))</f>
        <v>0</v>
      </c>
      <c r="H16">
        <f>SUMPRODUCT((MONTH(CHOOSE({1,2,3,4},KHP!T16,KHP!X16,KHP!AB16,KHP!AF16))=8)*(CHOOSE({1,2,3,4},KHP!W16,KHP!AA16,KHP!AE16,KHP!AI16)))</f>
        <v>0</v>
      </c>
      <c r="I16">
        <f>SUMPRODUCT((MONTH(CHOOSE({1,2,3,4},KHP!T16,KHP!X16,KHP!AB16,KHP!AF16))=9)*(CHOOSE({1,2,3,4},KHP!W16,KHP!AA16,KHP!AE16,KHP!AI16)))</f>
        <v>0</v>
      </c>
      <c r="J16">
        <f>SUMPRODUCT((MONTH(CHOOSE({1,2,3,4},KHP!T16,KHP!X16,KHP!AB16,KHP!AF16))=10)*(CHOOSE({1,2,3,4},KHP!W16,KHP!AA16,KHP!AE16,KHP!AI16)))</f>
        <v>0</v>
      </c>
      <c r="K16">
        <f>SUMPRODUCT((MONTH(CHOOSE({1,2,3,4},KHP!T16,KHP!X16,KHP!AB16,KHP!AF16))=11)*(CHOOSE({1,2,3,4},KHP!W16,KHP!AA16,KHP!AE16,KHP!AI16)))</f>
        <v>0</v>
      </c>
      <c r="L16">
        <f>SUMPRODUCT((MONTH(CHOOSE({1,2,3,4},KHP!T16,KHP!X16,KHP!AB16,KHP!AF16))=12)*(CHOOSE({1,2,3,4},KHP!W16,KHP!AA16,KHP!AE16,KHP!AI16)))</f>
        <v>0</v>
      </c>
    </row>
    <row r="17" spans="1:12">
      <c r="A17">
        <f>SUMPRODUCT((MONTH(CHOOSE({1,2,3,4},KHP!T17,KHP!X17,KHP!AB17,KHP!AF17))=1)*(CHOOSE({1,2,3,4},KHP!W17,KHP!AA17,KHP!AE17,KHP!AI17)))</f>
        <v>0</v>
      </c>
      <c r="B17">
        <f>SUMPRODUCT((MONTH(CHOOSE({1,2,3,4},KHP!T17,KHP!X17,KHP!AB17,KHP!AF17))=2)*(CHOOSE({1,2,3,4},KHP!W17,KHP!AA17,KHP!AE17,KHP!AI17)))</f>
        <v>0</v>
      </c>
      <c r="C17">
        <f>SUMPRODUCT((MONTH(CHOOSE({1,2,3,4},KHP!T17,KHP!X17,KHP!AB17,KHP!AF17))=3)*(CHOOSE({1,2,3,4},KHP!W17,KHP!AA17,KHP!AE17,KHP!AI17)))</f>
        <v>0</v>
      </c>
      <c r="D17">
        <f>SUMPRODUCT((MONTH(CHOOSE({1,2,3,4},KHP!T17,KHP!X17,KHP!AB17,KHP!AF17))=4)*(CHOOSE({1,2,3,4},KHP!W17,KHP!AA17,KHP!AE17,KHP!AI17)))</f>
        <v>0</v>
      </c>
      <c r="E17">
        <f>SUMPRODUCT((MONTH(CHOOSE({1,2,3,4},KHP!T17,KHP!X17,KHP!AB17,KHP!AF17))=5)*(CHOOSE({1,2,3,4},KHP!W17,KHP!AA17,KHP!AE17,KHP!AI17)))</f>
        <v>0</v>
      </c>
      <c r="F17">
        <f>SUMPRODUCT((MONTH(CHOOSE({1,2,3,4},KHP!T17,KHP!X17,KHP!AB17,KHP!AF17))=6)*(CHOOSE({1,2,3,4},KHP!W17,KHP!AA17,KHP!AE17,KHP!AI17)))</f>
        <v>0</v>
      </c>
      <c r="G17">
        <f>SUMPRODUCT((MONTH(CHOOSE({1,2,3,4},KHP!T17,KHP!X17,KHP!AB17,KHP!AF17))=7)*(CHOOSE({1,2,3,4},KHP!W17,KHP!AA17,KHP!AE17,KHP!AI17)))</f>
        <v>0</v>
      </c>
      <c r="H17">
        <f>SUMPRODUCT((MONTH(CHOOSE({1,2,3,4},KHP!T17,KHP!X17,KHP!AB17,KHP!AF17))=8)*(CHOOSE({1,2,3,4},KHP!W17,KHP!AA17,KHP!AE17,KHP!AI17)))</f>
        <v>0</v>
      </c>
      <c r="I17">
        <f>SUMPRODUCT((MONTH(CHOOSE({1,2,3,4},KHP!T17,KHP!X17,KHP!AB17,KHP!AF17))=9)*(CHOOSE({1,2,3,4},KHP!W17,KHP!AA17,KHP!AE17,KHP!AI17)))</f>
        <v>0</v>
      </c>
      <c r="J17">
        <f>SUMPRODUCT((MONTH(CHOOSE({1,2,3,4},KHP!T17,KHP!X17,KHP!AB17,KHP!AF17))=10)*(CHOOSE({1,2,3,4},KHP!W17,KHP!AA17,KHP!AE17,KHP!AI17)))</f>
        <v>0</v>
      </c>
      <c r="K17">
        <f>SUMPRODUCT((MONTH(CHOOSE({1,2,3,4},KHP!T17,KHP!X17,KHP!AB17,KHP!AF17))=11)*(CHOOSE({1,2,3,4},KHP!W17,KHP!AA17,KHP!AE17,KHP!AI17)))</f>
        <v>0</v>
      </c>
      <c r="L17">
        <f>SUMPRODUCT((MONTH(CHOOSE({1,2,3,4},KHP!T17,KHP!X17,KHP!AB17,KHP!AF17))=12)*(CHOOSE({1,2,3,4},KHP!W17,KHP!AA17,KHP!AE17,KHP!AI17)))</f>
        <v>0</v>
      </c>
    </row>
    <row r="18" spans="1:12">
      <c r="A18">
        <f>SUMPRODUCT((MONTH(CHOOSE({1,2,3,4},KHP!T18,KHP!X18,KHP!AB18,KHP!AF18))=1)*(CHOOSE({1,2,3,4},KHP!W18,KHP!AA18,KHP!AE18,KHP!AI18)))</f>
        <v>0</v>
      </c>
      <c r="B18">
        <f>SUMPRODUCT((MONTH(CHOOSE({1,2,3,4},KHP!T18,KHP!X18,KHP!AB18,KHP!AF18))=2)*(CHOOSE({1,2,3,4},KHP!W18,KHP!AA18,KHP!AE18,KHP!AI18)))</f>
        <v>0</v>
      </c>
      <c r="C18">
        <f>SUMPRODUCT((MONTH(CHOOSE({1,2,3,4},KHP!T18,KHP!X18,KHP!AB18,KHP!AF18))=3)*(CHOOSE({1,2,3,4},KHP!W18,KHP!AA18,KHP!AE18,KHP!AI18)))</f>
        <v>0</v>
      </c>
      <c r="D18">
        <f>SUMPRODUCT((MONTH(CHOOSE({1,2,3,4},KHP!T18,KHP!X18,KHP!AB18,KHP!AF18))=4)*(CHOOSE({1,2,3,4},KHP!W18,KHP!AA18,KHP!AE18,KHP!AI18)))</f>
        <v>0</v>
      </c>
      <c r="E18">
        <f>SUMPRODUCT((MONTH(CHOOSE({1,2,3,4},KHP!T18,KHP!X18,KHP!AB18,KHP!AF18))=5)*(CHOOSE({1,2,3,4},KHP!W18,KHP!AA18,KHP!AE18,KHP!AI18)))</f>
        <v>0</v>
      </c>
      <c r="F18">
        <f>SUMPRODUCT((MONTH(CHOOSE({1,2,3,4},KHP!T18,KHP!X18,KHP!AB18,KHP!AF18))=6)*(CHOOSE({1,2,3,4},KHP!W18,KHP!AA18,KHP!AE18,KHP!AI18)))</f>
        <v>0</v>
      </c>
      <c r="G18">
        <f>SUMPRODUCT((MONTH(CHOOSE({1,2,3,4},KHP!T18,KHP!X18,KHP!AB18,KHP!AF18))=7)*(CHOOSE({1,2,3,4},KHP!W18,KHP!AA18,KHP!AE18,KHP!AI18)))</f>
        <v>0</v>
      </c>
      <c r="H18">
        <f>SUMPRODUCT((MONTH(CHOOSE({1,2,3,4},KHP!T18,KHP!X18,KHP!AB18,KHP!AF18))=8)*(CHOOSE({1,2,3,4},KHP!W18,KHP!AA18,KHP!AE18,KHP!AI18)))</f>
        <v>0</v>
      </c>
      <c r="I18">
        <f>SUMPRODUCT((MONTH(CHOOSE({1,2,3,4},KHP!T18,KHP!X18,KHP!AB18,KHP!AF18))=9)*(CHOOSE({1,2,3,4},KHP!W18,KHP!AA18,KHP!AE18,KHP!AI18)))</f>
        <v>0</v>
      </c>
      <c r="J18">
        <f>SUMPRODUCT((MONTH(CHOOSE({1,2,3,4},KHP!T18,KHP!X18,KHP!AB18,KHP!AF18))=10)*(CHOOSE({1,2,3,4},KHP!W18,KHP!AA18,KHP!AE18,KHP!AI18)))</f>
        <v>0</v>
      </c>
      <c r="K18">
        <f>SUMPRODUCT((MONTH(CHOOSE({1,2,3,4},KHP!T18,KHP!X18,KHP!AB18,KHP!AF18))=11)*(CHOOSE({1,2,3,4},KHP!W18,KHP!AA18,KHP!AE18,KHP!AI18)))</f>
        <v>0</v>
      </c>
      <c r="L18">
        <f>SUMPRODUCT((MONTH(CHOOSE({1,2,3,4},KHP!T18,KHP!X18,KHP!AB18,KHP!AF18))=12)*(CHOOSE({1,2,3,4},KHP!W18,KHP!AA18,KHP!AE18,KHP!AI18)))</f>
        <v>0</v>
      </c>
    </row>
    <row r="19" spans="1:12">
      <c r="A19">
        <f>SUMPRODUCT((MONTH(CHOOSE({1,2,3,4},KHP!T19,KHP!X19,KHP!AB19,KHP!AF19))=1)*(CHOOSE({1,2,3,4},KHP!W19,KHP!AA19,KHP!AE19,KHP!AI19)))</f>
        <v>0</v>
      </c>
      <c r="B19">
        <f>SUMPRODUCT((MONTH(CHOOSE({1,2,3,4},KHP!T19,KHP!X19,KHP!AB19,KHP!AF19))=2)*(CHOOSE({1,2,3,4},KHP!W19,KHP!AA19,KHP!AE19,KHP!AI19)))</f>
        <v>0</v>
      </c>
      <c r="C19">
        <f>SUMPRODUCT((MONTH(CHOOSE({1,2,3,4},KHP!T19,KHP!X19,KHP!AB19,KHP!AF19))=3)*(CHOOSE({1,2,3,4},KHP!W19,KHP!AA19,KHP!AE19,KHP!AI19)))</f>
        <v>0</v>
      </c>
      <c r="D19">
        <f>SUMPRODUCT((MONTH(CHOOSE({1,2,3,4},KHP!T19,KHP!X19,KHP!AB19,KHP!AF19))=4)*(CHOOSE({1,2,3,4},KHP!W19,KHP!AA19,KHP!AE19,KHP!AI19)))</f>
        <v>0</v>
      </c>
      <c r="E19">
        <f>SUMPRODUCT((MONTH(CHOOSE({1,2,3,4},KHP!T19,KHP!X19,KHP!AB19,KHP!AF19))=5)*(CHOOSE({1,2,3,4},KHP!W19,KHP!AA19,KHP!AE19,KHP!AI19)))</f>
        <v>0</v>
      </c>
      <c r="F19">
        <f>SUMPRODUCT((MONTH(CHOOSE({1,2,3,4},KHP!T19,KHP!X19,KHP!AB19,KHP!AF19))=6)*(CHOOSE({1,2,3,4},KHP!W19,KHP!AA19,KHP!AE19,KHP!AI19)))</f>
        <v>0</v>
      </c>
      <c r="G19">
        <f>SUMPRODUCT((MONTH(CHOOSE({1,2,3,4},KHP!T19,KHP!X19,KHP!AB19,KHP!AF19))=7)*(CHOOSE({1,2,3,4},KHP!W19,KHP!AA19,KHP!AE19,KHP!AI19)))</f>
        <v>0</v>
      </c>
      <c r="H19">
        <f>SUMPRODUCT((MONTH(CHOOSE({1,2,3,4},KHP!T19,KHP!X19,KHP!AB19,KHP!AF19))=8)*(CHOOSE({1,2,3,4},KHP!W19,KHP!AA19,KHP!AE19,KHP!AI19)))</f>
        <v>0</v>
      </c>
      <c r="I19">
        <f>SUMPRODUCT((MONTH(CHOOSE({1,2,3,4},KHP!T19,KHP!X19,KHP!AB19,KHP!AF19))=9)*(CHOOSE({1,2,3,4},KHP!W19,KHP!AA19,KHP!AE19,KHP!AI19)))</f>
        <v>0</v>
      </c>
      <c r="J19">
        <f>SUMPRODUCT((MONTH(CHOOSE({1,2,3,4},KHP!T19,KHP!X19,KHP!AB19,KHP!AF19))=10)*(CHOOSE({1,2,3,4},KHP!W19,KHP!AA19,KHP!AE19,KHP!AI19)))</f>
        <v>0</v>
      </c>
      <c r="K19">
        <f>SUMPRODUCT((MONTH(CHOOSE({1,2,3,4},KHP!T19,KHP!X19,KHP!AB19,KHP!AF19))=11)*(CHOOSE({1,2,3,4},KHP!W19,KHP!AA19,KHP!AE19,KHP!AI19)))</f>
        <v>0</v>
      </c>
      <c r="L19">
        <f>SUMPRODUCT((MONTH(CHOOSE({1,2,3,4},KHP!T19,KHP!X19,KHP!AB19,KHP!AF19))=12)*(CHOOSE({1,2,3,4},KHP!W19,KHP!AA19,KHP!AE19,KHP!AI19)))</f>
        <v>0</v>
      </c>
    </row>
    <row r="20" spans="1:12">
      <c r="A20">
        <f>SUMPRODUCT((MONTH(CHOOSE({1,2,3,4},KHP!T20,KHP!X20,KHP!AB20,KHP!AF20))=1)*(CHOOSE({1,2,3,4},KHP!W20,KHP!AA20,KHP!AE20,KHP!AI20)))</f>
        <v>0</v>
      </c>
      <c r="B20">
        <f>SUMPRODUCT((MONTH(CHOOSE({1,2,3,4},KHP!T20,KHP!X20,KHP!AB20,KHP!AF20))=2)*(CHOOSE({1,2,3,4},KHP!W20,KHP!AA20,KHP!AE20,KHP!AI20)))</f>
        <v>0</v>
      </c>
      <c r="C20">
        <f>SUMPRODUCT((MONTH(CHOOSE({1,2,3,4},KHP!T20,KHP!X20,KHP!AB20,KHP!AF20))=3)*(CHOOSE({1,2,3,4},KHP!W20,KHP!AA20,KHP!AE20,KHP!AI20)))</f>
        <v>0</v>
      </c>
      <c r="D20">
        <f>SUMPRODUCT((MONTH(CHOOSE({1,2,3,4},KHP!T20,KHP!X20,KHP!AB20,KHP!AF20))=4)*(CHOOSE({1,2,3,4},KHP!W20,KHP!AA20,KHP!AE20,KHP!AI20)))</f>
        <v>0</v>
      </c>
      <c r="E20">
        <f>SUMPRODUCT((MONTH(CHOOSE({1,2,3,4},KHP!T20,KHP!X20,KHP!AB20,KHP!AF20))=5)*(CHOOSE({1,2,3,4},KHP!W20,KHP!AA20,KHP!AE20,KHP!AI20)))</f>
        <v>0</v>
      </c>
      <c r="F20">
        <f>SUMPRODUCT((MONTH(CHOOSE({1,2,3,4},KHP!T20,KHP!X20,KHP!AB20,KHP!AF20))=6)*(CHOOSE({1,2,3,4},KHP!W20,KHP!AA20,KHP!AE20,KHP!AI20)))</f>
        <v>0</v>
      </c>
      <c r="G20">
        <f>SUMPRODUCT((MONTH(CHOOSE({1,2,3,4},KHP!T20,KHP!X20,KHP!AB20,KHP!AF20))=7)*(CHOOSE({1,2,3,4},KHP!W20,KHP!AA20,KHP!AE20,KHP!AI20)))</f>
        <v>0</v>
      </c>
      <c r="H20">
        <f>SUMPRODUCT((MONTH(CHOOSE({1,2,3,4},KHP!T20,KHP!X20,KHP!AB20,KHP!AF20))=8)*(CHOOSE({1,2,3,4},KHP!W20,KHP!AA20,KHP!AE20,KHP!AI20)))</f>
        <v>0</v>
      </c>
      <c r="I20">
        <f>SUMPRODUCT((MONTH(CHOOSE({1,2,3,4},KHP!T20,KHP!X20,KHP!AB20,KHP!AF20))=9)*(CHOOSE({1,2,3,4},KHP!W20,KHP!AA20,KHP!AE20,KHP!AI20)))</f>
        <v>0</v>
      </c>
      <c r="J20">
        <f>SUMPRODUCT((MONTH(CHOOSE({1,2,3,4},KHP!T20,KHP!X20,KHP!AB20,KHP!AF20))=10)*(CHOOSE({1,2,3,4},KHP!W20,KHP!AA20,KHP!AE20,KHP!AI20)))</f>
        <v>0</v>
      </c>
      <c r="K20">
        <f>SUMPRODUCT((MONTH(CHOOSE({1,2,3,4},KHP!T20,KHP!X20,KHP!AB20,KHP!AF20))=11)*(CHOOSE({1,2,3,4},KHP!W20,KHP!AA20,KHP!AE20,KHP!AI20)))</f>
        <v>0</v>
      </c>
      <c r="L20">
        <f>SUMPRODUCT((MONTH(CHOOSE({1,2,3,4},KHP!T20,KHP!X20,KHP!AB20,KHP!AF20))=12)*(CHOOSE({1,2,3,4},KHP!W20,KHP!AA20,KHP!AE20,KHP!AI20)))</f>
        <v>0</v>
      </c>
    </row>
    <row r="21" spans="1:12">
      <c r="A21">
        <f>SUMPRODUCT((MONTH(CHOOSE({1,2,3,4},KHP!T21,KHP!X21,KHP!AB21,KHP!AF21))=1)*(CHOOSE({1,2,3,4},KHP!W21,KHP!AA21,KHP!AE21,KHP!AI21)))</f>
        <v>0</v>
      </c>
      <c r="B21">
        <f>SUMPRODUCT((MONTH(CHOOSE({1,2,3,4},KHP!T21,KHP!X21,KHP!AB21,KHP!AF21))=2)*(CHOOSE({1,2,3,4},KHP!W21,KHP!AA21,KHP!AE21,KHP!AI21)))</f>
        <v>0</v>
      </c>
      <c r="C21">
        <f>SUMPRODUCT((MONTH(CHOOSE({1,2,3,4},KHP!T21,KHP!X21,KHP!AB21,KHP!AF21))=3)*(CHOOSE({1,2,3,4},KHP!W21,KHP!AA21,KHP!AE21,KHP!AI21)))</f>
        <v>0</v>
      </c>
      <c r="D21">
        <f>SUMPRODUCT((MONTH(CHOOSE({1,2,3,4},KHP!T21,KHP!X21,KHP!AB21,KHP!AF21))=4)*(CHOOSE({1,2,3,4},KHP!W21,KHP!AA21,KHP!AE21,KHP!AI21)))</f>
        <v>0</v>
      </c>
      <c r="E21">
        <f>SUMPRODUCT((MONTH(CHOOSE({1,2,3,4},KHP!T21,KHP!X21,KHP!AB21,KHP!AF21))=5)*(CHOOSE({1,2,3,4},KHP!W21,KHP!AA21,KHP!AE21,KHP!AI21)))</f>
        <v>0</v>
      </c>
      <c r="F21">
        <f>SUMPRODUCT((MONTH(CHOOSE({1,2,3,4},KHP!T21,KHP!X21,KHP!AB21,KHP!AF21))=6)*(CHOOSE({1,2,3,4},KHP!W21,KHP!AA21,KHP!AE21,KHP!AI21)))</f>
        <v>0</v>
      </c>
      <c r="G21">
        <f>SUMPRODUCT((MONTH(CHOOSE({1,2,3,4},KHP!T21,KHP!X21,KHP!AB21,KHP!AF21))=7)*(CHOOSE({1,2,3,4},KHP!W21,KHP!AA21,KHP!AE21,KHP!AI21)))</f>
        <v>0</v>
      </c>
      <c r="H21">
        <f>SUMPRODUCT((MONTH(CHOOSE({1,2,3,4},KHP!T21,KHP!X21,KHP!AB21,KHP!AF21))=8)*(CHOOSE({1,2,3,4},KHP!W21,KHP!AA21,KHP!AE21,KHP!AI21)))</f>
        <v>0</v>
      </c>
      <c r="I21">
        <f>SUMPRODUCT((MONTH(CHOOSE({1,2,3,4},KHP!T21,KHP!X21,KHP!AB21,KHP!AF21))=9)*(CHOOSE({1,2,3,4},KHP!W21,KHP!AA21,KHP!AE21,KHP!AI21)))</f>
        <v>0</v>
      </c>
      <c r="J21">
        <f>SUMPRODUCT((MONTH(CHOOSE({1,2,3,4},KHP!T21,KHP!X21,KHP!AB21,KHP!AF21))=10)*(CHOOSE({1,2,3,4},KHP!W21,KHP!AA21,KHP!AE21,KHP!AI21)))</f>
        <v>0</v>
      </c>
      <c r="K21">
        <f>SUMPRODUCT((MONTH(CHOOSE({1,2,3,4},KHP!T21,KHP!X21,KHP!AB21,KHP!AF21))=11)*(CHOOSE({1,2,3,4},KHP!W21,KHP!AA21,KHP!AE21,KHP!AI21)))</f>
        <v>0</v>
      </c>
      <c r="L21">
        <f>SUMPRODUCT((MONTH(CHOOSE({1,2,3,4},KHP!T21,KHP!X21,KHP!AB21,KHP!AF21))=12)*(CHOOSE({1,2,3,4},KHP!W21,KHP!AA21,KHP!AE21,KHP!AI21)))</f>
        <v>0</v>
      </c>
    </row>
    <row r="22" spans="1:12">
      <c r="A22">
        <f>SUMPRODUCT((MONTH(CHOOSE({1,2,3,4},KHP!T22,KHP!X22,KHP!AB22,KHP!AF22))=1)*(CHOOSE({1,2,3,4},KHP!W22,KHP!AA22,KHP!AE22,KHP!AI22)))</f>
        <v>0</v>
      </c>
      <c r="B22">
        <f>SUMPRODUCT((MONTH(CHOOSE({1,2,3,4},KHP!T22,KHP!X22,KHP!AB22,KHP!AF22))=2)*(CHOOSE({1,2,3,4},KHP!W22,KHP!AA22,KHP!AE22,KHP!AI22)))</f>
        <v>0</v>
      </c>
      <c r="C22">
        <f>SUMPRODUCT((MONTH(CHOOSE({1,2,3,4},KHP!T22,KHP!X22,KHP!AB22,KHP!AF22))=3)*(CHOOSE({1,2,3,4},KHP!W22,KHP!AA22,KHP!AE22,KHP!AI22)))</f>
        <v>0</v>
      </c>
      <c r="D22">
        <f>SUMPRODUCT((MONTH(CHOOSE({1,2,3,4},KHP!T22,KHP!X22,KHP!AB22,KHP!AF22))=4)*(CHOOSE({1,2,3,4},KHP!W22,KHP!AA22,KHP!AE22,KHP!AI22)))</f>
        <v>0</v>
      </c>
      <c r="E22">
        <f>SUMPRODUCT((MONTH(CHOOSE({1,2,3,4},KHP!T22,KHP!X22,KHP!AB22,KHP!AF22))=5)*(CHOOSE({1,2,3,4},KHP!W22,KHP!AA22,KHP!AE22,KHP!AI22)))</f>
        <v>0</v>
      </c>
      <c r="F22">
        <f>SUMPRODUCT((MONTH(CHOOSE({1,2,3,4},KHP!T22,KHP!X22,KHP!AB22,KHP!AF22))=6)*(CHOOSE({1,2,3,4},KHP!W22,KHP!AA22,KHP!AE22,KHP!AI22)))</f>
        <v>0</v>
      </c>
      <c r="G22">
        <f>SUMPRODUCT((MONTH(CHOOSE({1,2,3,4},KHP!T22,KHP!X22,KHP!AB22,KHP!AF22))=7)*(CHOOSE({1,2,3,4},KHP!W22,KHP!AA22,KHP!AE22,KHP!AI22)))</f>
        <v>0</v>
      </c>
      <c r="H22">
        <f>SUMPRODUCT((MONTH(CHOOSE({1,2,3,4},KHP!T22,KHP!X22,KHP!AB22,KHP!AF22))=8)*(CHOOSE({1,2,3,4},KHP!W22,KHP!AA22,KHP!AE22,KHP!AI22)))</f>
        <v>0</v>
      </c>
      <c r="I22">
        <f>SUMPRODUCT((MONTH(CHOOSE({1,2,3,4},KHP!T22,KHP!X22,KHP!AB22,KHP!AF22))=9)*(CHOOSE({1,2,3,4},KHP!W22,KHP!AA22,KHP!AE22,KHP!AI22)))</f>
        <v>0</v>
      </c>
      <c r="J22">
        <f>SUMPRODUCT((MONTH(CHOOSE({1,2,3,4},KHP!T22,KHP!X22,KHP!AB22,KHP!AF22))=10)*(CHOOSE({1,2,3,4},KHP!W22,KHP!AA22,KHP!AE22,KHP!AI22)))</f>
        <v>0</v>
      </c>
      <c r="K22">
        <f>SUMPRODUCT((MONTH(CHOOSE({1,2,3,4},KHP!T22,KHP!X22,KHP!AB22,KHP!AF22))=11)*(CHOOSE({1,2,3,4},KHP!W22,KHP!AA22,KHP!AE22,KHP!AI22)))</f>
        <v>0</v>
      </c>
      <c r="L22">
        <f>SUMPRODUCT((MONTH(CHOOSE({1,2,3,4},KHP!T22,KHP!X22,KHP!AB22,KHP!AF22))=12)*(CHOOSE({1,2,3,4},KHP!W22,KHP!AA22,KHP!AE22,KHP!AI22)))</f>
        <v>0</v>
      </c>
    </row>
    <row r="23" spans="1:12">
      <c r="A23">
        <f>SUMPRODUCT((MONTH(CHOOSE({1,2,3,4},KHP!T23,KHP!X23,KHP!AB23,KHP!AF23))=1)*(CHOOSE({1,2,3,4},KHP!W23,KHP!AA23,KHP!AE23,KHP!AI23)))</f>
        <v>0</v>
      </c>
      <c r="B23">
        <f>SUMPRODUCT((MONTH(CHOOSE({1,2,3,4},KHP!T23,KHP!X23,KHP!AB23,KHP!AF23))=2)*(CHOOSE({1,2,3,4},KHP!W23,KHP!AA23,KHP!AE23,KHP!AI23)))</f>
        <v>0</v>
      </c>
      <c r="C23">
        <f>SUMPRODUCT((MONTH(CHOOSE({1,2,3,4},KHP!T23,KHP!X23,KHP!AB23,KHP!AF23))=3)*(CHOOSE({1,2,3,4},KHP!W23,KHP!AA23,KHP!AE23,KHP!AI23)))</f>
        <v>0</v>
      </c>
      <c r="D23">
        <f>SUMPRODUCT((MONTH(CHOOSE({1,2,3,4},KHP!T23,KHP!X23,KHP!AB23,KHP!AF23))=4)*(CHOOSE({1,2,3,4},KHP!W23,KHP!AA23,KHP!AE23,KHP!AI23)))</f>
        <v>0</v>
      </c>
      <c r="E23">
        <f>SUMPRODUCT((MONTH(CHOOSE({1,2,3,4},KHP!T23,KHP!X23,KHP!AB23,KHP!AF23))=5)*(CHOOSE({1,2,3,4},KHP!W23,KHP!AA23,KHP!AE23,KHP!AI23)))</f>
        <v>0</v>
      </c>
      <c r="F23">
        <f>SUMPRODUCT((MONTH(CHOOSE({1,2,3,4},KHP!T23,KHP!X23,KHP!AB23,KHP!AF23))=6)*(CHOOSE({1,2,3,4},KHP!W23,KHP!AA23,KHP!AE23,KHP!AI23)))</f>
        <v>0</v>
      </c>
      <c r="G23">
        <f>SUMPRODUCT((MONTH(CHOOSE({1,2,3,4},KHP!T23,KHP!X23,KHP!AB23,KHP!AF23))=7)*(CHOOSE({1,2,3,4},KHP!W23,KHP!AA23,KHP!AE23,KHP!AI23)))</f>
        <v>0</v>
      </c>
      <c r="H23">
        <f>SUMPRODUCT((MONTH(CHOOSE({1,2,3,4},KHP!T23,KHP!X23,KHP!AB23,KHP!AF23))=8)*(CHOOSE({1,2,3,4},KHP!W23,KHP!AA23,KHP!AE23,KHP!AI23)))</f>
        <v>0</v>
      </c>
      <c r="I23">
        <f>SUMPRODUCT((MONTH(CHOOSE({1,2,3,4},KHP!T23,KHP!X23,KHP!AB23,KHP!AF23))=9)*(CHOOSE({1,2,3,4},KHP!W23,KHP!AA23,KHP!AE23,KHP!AI23)))</f>
        <v>0</v>
      </c>
      <c r="J23">
        <f>SUMPRODUCT((MONTH(CHOOSE({1,2,3,4},KHP!T23,KHP!X23,KHP!AB23,KHP!AF23))=10)*(CHOOSE({1,2,3,4},KHP!W23,KHP!AA23,KHP!AE23,KHP!AI23)))</f>
        <v>0</v>
      </c>
      <c r="K23">
        <f>SUMPRODUCT((MONTH(CHOOSE({1,2,3,4},KHP!T23,KHP!X23,KHP!AB23,KHP!AF23))=11)*(CHOOSE({1,2,3,4},KHP!W23,KHP!AA23,KHP!AE23,KHP!AI23)))</f>
        <v>0</v>
      </c>
      <c r="L23">
        <f>SUMPRODUCT((MONTH(CHOOSE({1,2,3,4},KHP!T23,KHP!X23,KHP!AB23,KHP!AF23))=12)*(CHOOSE({1,2,3,4},KHP!W23,KHP!AA23,KHP!AE23,KHP!AI23)))</f>
        <v>0</v>
      </c>
    </row>
    <row r="24" spans="1:12">
      <c r="A24">
        <f>SUMPRODUCT((MONTH(CHOOSE({1,2,3,4},KHP!T24,KHP!X24,KHP!AB24,KHP!AF24))=1)*(CHOOSE({1,2,3,4},KHP!W24,KHP!AA24,KHP!AE24,KHP!AI24)))</f>
        <v>0</v>
      </c>
      <c r="B24">
        <f>SUMPRODUCT((MONTH(CHOOSE({1,2,3,4},KHP!T24,KHP!X24,KHP!AB24,KHP!AF24))=2)*(CHOOSE({1,2,3,4},KHP!W24,KHP!AA24,KHP!AE24,KHP!AI24)))</f>
        <v>0</v>
      </c>
      <c r="C24">
        <f>SUMPRODUCT((MONTH(CHOOSE({1,2,3,4},KHP!T24,KHP!X24,KHP!AB24,KHP!AF24))=3)*(CHOOSE({1,2,3,4},KHP!W24,KHP!AA24,KHP!AE24,KHP!AI24)))</f>
        <v>0</v>
      </c>
      <c r="D24">
        <f>SUMPRODUCT((MONTH(CHOOSE({1,2,3,4},KHP!T24,KHP!X24,KHP!AB24,KHP!AF24))=4)*(CHOOSE({1,2,3,4},KHP!W24,KHP!AA24,KHP!AE24,KHP!AI24)))</f>
        <v>0</v>
      </c>
      <c r="E24">
        <f>SUMPRODUCT((MONTH(CHOOSE({1,2,3,4},KHP!T24,KHP!X24,KHP!AB24,KHP!AF24))=5)*(CHOOSE({1,2,3,4},KHP!W24,KHP!AA24,KHP!AE24,KHP!AI24)))</f>
        <v>0</v>
      </c>
      <c r="F24">
        <f>SUMPRODUCT((MONTH(CHOOSE({1,2,3,4},KHP!T24,KHP!X24,KHP!AB24,KHP!AF24))=6)*(CHOOSE({1,2,3,4},KHP!W24,KHP!AA24,KHP!AE24,KHP!AI24)))</f>
        <v>0</v>
      </c>
      <c r="G24">
        <f>SUMPRODUCT((MONTH(CHOOSE({1,2,3,4},KHP!T24,KHP!X24,KHP!AB24,KHP!AF24))=7)*(CHOOSE({1,2,3,4},KHP!W24,KHP!AA24,KHP!AE24,KHP!AI24)))</f>
        <v>0</v>
      </c>
      <c r="H24">
        <f>SUMPRODUCT((MONTH(CHOOSE({1,2,3,4},KHP!T24,KHP!X24,KHP!AB24,KHP!AF24))=8)*(CHOOSE({1,2,3,4},KHP!W24,KHP!AA24,KHP!AE24,KHP!AI24)))</f>
        <v>0</v>
      </c>
      <c r="I24">
        <f>SUMPRODUCT((MONTH(CHOOSE({1,2,3,4},KHP!T24,KHP!X24,KHP!AB24,KHP!AF24))=9)*(CHOOSE({1,2,3,4},KHP!W24,KHP!AA24,KHP!AE24,KHP!AI24)))</f>
        <v>0</v>
      </c>
      <c r="J24">
        <f>SUMPRODUCT((MONTH(CHOOSE({1,2,3,4},KHP!T24,KHP!X24,KHP!AB24,KHP!AF24))=10)*(CHOOSE({1,2,3,4},KHP!W24,KHP!AA24,KHP!AE24,KHP!AI24)))</f>
        <v>0</v>
      </c>
      <c r="K24">
        <f>SUMPRODUCT((MONTH(CHOOSE({1,2,3,4},KHP!T24,KHP!X24,KHP!AB24,KHP!AF24))=11)*(CHOOSE({1,2,3,4},KHP!W24,KHP!AA24,KHP!AE24,KHP!AI24)))</f>
        <v>0</v>
      </c>
      <c r="L24">
        <f>SUMPRODUCT((MONTH(CHOOSE({1,2,3,4},KHP!T24,KHP!X24,KHP!AB24,KHP!AF24))=12)*(CHOOSE({1,2,3,4},KHP!W24,KHP!AA24,KHP!AE24,KHP!AI24)))</f>
        <v>0</v>
      </c>
    </row>
    <row r="25" spans="1:12">
      <c r="A25">
        <f>SUMPRODUCT((MONTH(CHOOSE({1,2,3,4},KHP!T25,KHP!X25,KHP!AB25,KHP!AF25))=1)*(CHOOSE({1,2,3,4},KHP!W25,KHP!AA25,KHP!AE25,KHP!AI25)))</f>
        <v>0</v>
      </c>
      <c r="B25">
        <f>SUMPRODUCT((MONTH(CHOOSE({1,2,3,4},KHP!T25,KHP!X25,KHP!AB25,KHP!AF25))=2)*(CHOOSE({1,2,3,4},KHP!W25,KHP!AA25,KHP!AE25,KHP!AI25)))</f>
        <v>0</v>
      </c>
      <c r="C25">
        <f>SUMPRODUCT((MONTH(CHOOSE({1,2,3,4},KHP!T25,KHP!X25,KHP!AB25,KHP!AF25))=3)*(CHOOSE({1,2,3,4},KHP!W25,KHP!AA25,KHP!AE25,KHP!AI25)))</f>
        <v>0</v>
      </c>
      <c r="D25">
        <f>SUMPRODUCT((MONTH(CHOOSE({1,2,3,4},KHP!T25,KHP!X25,KHP!AB25,KHP!AF25))=4)*(CHOOSE({1,2,3,4},KHP!W25,KHP!AA25,KHP!AE25,KHP!AI25)))</f>
        <v>0</v>
      </c>
      <c r="E25">
        <f>SUMPRODUCT((MONTH(CHOOSE({1,2,3,4},KHP!T25,KHP!X25,KHP!AB25,KHP!AF25))=5)*(CHOOSE({1,2,3,4},KHP!W25,KHP!AA25,KHP!AE25,KHP!AI25)))</f>
        <v>0</v>
      </c>
      <c r="F25">
        <f>SUMPRODUCT((MONTH(CHOOSE({1,2,3,4},KHP!T25,KHP!X25,KHP!AB25,KHP!AF25))=6)*(CHOOSE({1,2,3,4},KHP!W25,KHP!AA25,KHP!AE25,KHP!AI25)))</f>
        <v>0</v>
      </c>
      <c r="G25">
        <f>SUMPRODUCT((MONTH(CHOOSE({1,2,3,4},KHP!T25,KHP!X25,KHP!AB25,KHP!AF25))=7)*(CHOOSE({1,2,3,4},KHP!W25,KHP!AA25,KHP!AE25,KHP!AI25)))</f>
        <v>0</v>
      </c>
      <c r="H25">
        <f>SUMPRODUCT((MONTH(CHOOSE({1,2,3,4},KHP!T25,KHP!X25,KHP!AB25,KHP!AF25))=8)*(CHOOSE({1,2,3,4},KHP!W25,KHP!AA25,KHP!AE25,KHP!AI25)))</f>
        <v>0</v>
      </c>
      <c r="I25">
        <f>SUMPRODUCT((MONTH(CHOOSE({1,2,3,4},KHP!T25,KHP!X25,KHP!AB25,KHP!AF25))=9)*(CHOOSE({1,2,3,4},KHP!W25,KHP!AA25,KHP!AE25,KHP!AI25)))</f>
        <v>0</v>
      </c>
      <c r="J25">
        <f>SUMPRODUCT((MONTH(CHOOSE({1,2,3,4},KHP!T25,KHP!X25,KHP!AB25,KHP!AF25))=10)*(CHOOSE({1,2,3,4},KHP!W25,KHP!AA25,KHP!AE25,KHP!AI25)))</f>
        <v>0</v>
      </c>
      <c r="K25">
        <f>SUMPRODUCT((MONTH(CHOOSE({1,2,3,4},KHP!T25,KHP!X25,KHP!AB25,KHP!AF25))=11)*(CHOOSE({1,2,3,4},KHP!W25,KHP!AA25,KHP!AE25,KHP!AI25)))</f>
        <v>0</v>
      </c>
      <c r="L25">
        <f>SUMPRODUCT((MONTH(CHOOSE({1,2,3,4},KHP!T25,KHP!X25,KHP!AB25,KHP!AF25))=12)*(CHOOSE({1,2,3,4},KHP!W25,KHP!AA25,KHP!AE25,KHP!AI25)))</f>
        <v>0</v>
      </c>
    </row>
    <row r="26" spans="1:12">
      <c r="A26">
        <f>SUMPRODUCT((MONTH(CHOOSE({1,2,3,4},KHP!T26,KHP!X26,KHP!AB26,KHP!AF26))=1)*(CHOOSE({1,2,3,4},KHP!W26,KHP!AA26,KHP!AE26,KHP!AI26)))</f>
        <v>0</v>
      </c>
      <c r="B26">
        <f>SUMPRODUCT((MONTH(CHOOSE({1,2,3,4},KHP!T26,KHP!X26,KHP!AB26,KHP!AF26))=2)*(CHOOSE({1,2,3,4},KHP!W26,KHP!AA26,KHP!AE26,KHP!AI26)))</f>
        <v>0</v>
      </c>
      <c r="C26">
        <f>SUMPRODUCT((MONTH(CHOOSE({1,2,3,4},KHP!T26,KHP!X26,KHP!AB26,KHP!AF26))=3)*(CHOOSE({1,2,3,4},KHP!W26,KHP!AA26,KHP!AE26,KHP!AI26)))</f>
        <v>0</v>
      </c>
      <c r="D26">
        <f>SUMPRODUCT((MONTH(CHOOSE({1,2,3,4},KHP!T26,KHP!X26,KHP!AB26,KHP!AF26))=4)*(CHOOSE({1,2,3,4},KHP!W26,KHP!AA26,KHP!AE26,KHP!AI26)))</f>
        <v>0</v>
      </c>
      <c r="E26">
        <f>SUMPRODUCT((MONTH(CHOOSE({1,2,3,4},KHP!T26,KHP!X26,KHP!AB26,KHP!AF26))=5)*(CHOOSE({1,2,3,4},KHP!W26,KHP!AA26,KHP!AE26,KHP!AI26)))</f>
        <v>0</v>
      </c>
      <c r="F26">
        <f>SUMPRODUCT((MONTH(CHOOSE({1,2,3,4},KHP!T26,KHP!X26,KHP!AB26,KHP!AF26))=6)*(CHOOSE({1,2,3,4},KHP!W26,KHP!AA26,KHP!AE26,KHP!AI26)))</f>
        <v>0</v>
      </c>
      <c r="G26">
        <f>SUMPRODUCT((MONTH(CHOOSE({1,2,3,4},KHP!T26,KHP!X26,KHP!AB26,KHP!AF26))=7)*(CHOOSE({1,2,3,4},KHP!W26,KHP!AA26,KHP!AE26,KHP!AI26)))</f>
        <v>0</v>
      </c>
      <c r="H26">
        <f>SUMPRODUCT((MONTH(CHOOSE({1,2,3,4},KHP!T26,KHP!X26,KHP!AB26,KHP!AF26))=8)*(CHOOSE({1,2,3,4},KHP!W26,KHP!AA26,KHP!AE26,KHP!AI26)))</f>
        <v>0</v>
      </c>
      <c r="I26">
        <f>SUMPRODUCT((MONTH(CHOOSE({1,2,3,4},KHP!T26,KHP!X26,KHP!AB26,KHP!AF26))=9)*(CHOOSE({1,2,3,4},KHP!W26,KHP!AA26,KHP!AE26,KHP!AI26)))</f>
        <v>0</v>
      </c>
      <c r="J26">
        <f>SUMPRODUCT((MONTH(CHOOSE({1,2,3,4},KHP!T26,KHP!X26,KHP!AB26,KHP!AF26))=10)*(CHOOSE({1,2,3,4},KHP!W26,KHP!AA26,KHP!AE26,KHP!AI26)))</f>
        <v>0</v>
      </c>
      <c r="K26">
        <f>SUMPRODUCT((MONTH(CHOOSE({1,2,3,4},KHP!T26,KHP!X26,KHP!AB26,KHP!AF26))=11)*(CHOOSE({1,2,3,4},KHP!W26,KHP!AA26,KHP!AE26,KHP!AI26)))</f>
        <v>0</v>
      </c>
      <c r="L26">
        <f>SUMPRODUCT((MONTH(CHOOSE({1,2,3,4},KHP!T26,KHP!X26,KHP!AB26,KHP!AF26))=12)*(CHOOSE({1,2,3,4},KHP!W26,KHP!AA26,KHP!AE26,KHP!AI26)))</f>
        <v>0</v>
      </c>
    </row>
    <row r="27" spans="1:12">
      <c r="A27">
        <f>SUMPRODUCT((MONTH(CHOOSE({1,2,3,4},KHP!T27,KHP!X27,KHP!AB27,KHP!AF27))=1)*(CHOOSE({1,2,3,4},KHP!W27,KHP!AA27,KHP!AE27,KHP!AI27)))</f>
        <v>0</v>
      </c>
      <c r="B27">
        <f>SUMPRODUCT((MONTH(CHOOSE({1,2,3,4},KHP!T27,KHP!X27,KHP!AB27,KHP!AF27))=2)*(CHOOSE({1,2,3,4},KHP!W27,KHP!AA27,KHP!AE27,KHP!AI27)))</f>
        <v>0</v>
      </c>
      <c r="C27">
        <f>SUMPRODUCT((MONTH(CHOOSE({1,2,3,4},KHP!T27,KHP!X27,KHP!AB27,KHP!AF27))=3)*(CHOOSE({1,2,3,4},KHP!W27,KHP!AA27,KHP!AE27,KHP!AI27)))</f>
        <v>0</v>
      </c>
      <c r="D27">
        <f>SUMPRODUCT((MONTH(CHOOSE({1,2,3,4},KHP!T27,KHP!X27,KHP!AB27,KHP!AF27))=4)*(CHOOSE({1,2,3,4},KHP!W27,KHP!AA27,KHP!AE27,KHP!AI27)))</f>
        <v>0</v>
      </c>
      <c r="E27">
        <f>SUMPRODUCT((MONTH(CHOOSE({1,2,3,4},KHP!T27,KHP!X27,KHP!AB27,KHP!AF27))=5)*(CHOOSE({1,2,3,4},KHP!W27,KHP!AA27,KHP!AE27,KHP!AI27)))</f>
        <v>0</v>
      </c>
      <c r="F27">
        <f>SUMPRODUCT((MONTH(CHOOSE({1,2,3,4},KHP!T27,KHP!X27,KHP!AB27,KHP!AF27))=6)*(CHOOSE({1,2,3,4},KHP!W27,KHP!AA27,KHP!AE27,KHP!AI27)))</f>
        <v>0</v>
      </c>
      <c r="G27">
        <f>SUMPRODUCT((MONTH(CHOOSE({1,2,3,4},KHP!T27,KHP!X27,KHP!AB27,KHP!AF27))=7)*(CHOOSE({1,2,3,4},KHP!W27,KHP!AA27,KHP!AE27,KHP!AI27)))</f>
        <v>0</v>
      </c>
      <c r="H27">
        <f>SUMPRODUCT((MONTH(CHOOSE({1,2,3,4},KHP!T27,KHP!X27,KHP!AB27,KHP!AF27))=8)*(CHOOSE({1,2,3,4},KHP!W27,KHP!AA27,KHP!AE27,KHP!AI27)))</f>
        <v>0</v>
      </c>
      <c r="I27">
        <f>SUMPRODUCT((MONTH(CHOOSE({1,2,3,4},KHP!T27,KHP!X27,KHP!AB27,KHP!AF27))=9)*(CHOOSE({1,2,3,4},KHP!W27,KHP!AA27,KHP!AE27,KHP!AI27)))</f>
        <v>0</v>
      </c>
      <c r="J27">
        <f>SUMPRODUCT((MONTH(CHOOSE({1,2,3,4},KHP!T27,KHP!X27,KHP!AB27,KHP!AF27))=10)*(CHOOSE({1,2,3,4},KHP!W27,KHP!AA27,KHP!AE27,KHP!AI27)))</f>
        <v>0</v>
      </c>
      <c r="K27">
        <f>SUMPRODUCT((MONTH(CHOOSE({1,2,3,4},KHP!T27,KHP!X27,KHP!AB27,KHP!AF27))=11)*(CHOOSE({1,2,3,4},KHP!W27,KHP!AA27,KHP!AE27,KHP!AI27)))</f>
        <v>0</v>
      </c>
      <c r="L27">
        <f>SUMPRODUCT((MONTH(CHOOSE({1,2,3,4},KHP!T27,KHP!X27,KHP!AB27,KHP!AF27))=12)*(CHOOSE({1,2,3,4},KHP!W27,KHP!AA27,KHP!AE27,KHP!AI27)))</f>
        <v>0</v>
      </c>
    </row>
    <row r="28" spans="1:12">
      <c r="A28">
        <f>SUMPRODUCT((MONTH(CHOOSE({1,2,3,4},KHP!T28,KHP!X28,KHP!AB28,KHP!AF28))=1)*(CHOOSE({1,2,3,4},KHP!W28,KHP!AA28,KHP!AE28,KHP!AI28)))</f>
        <v>0</v>
      </c>
      <c r="B28">
        <f>SUMPRODUCT((MONTH(CHOOSE({1,2,3,4},KHP!T28,KHP!X28,KHP!AB28,KHP!AF28))=2)*(CHOOSE({1,2,3,4},KHP!W28,KHP!AA28,KHP!AE28,KHP!AI28)))</f>
        <v>0</v>
      </c>
      <c r="C28">
        <f>SUMPRODUCT((MONTH(CHOOSE({1,2,3,4},KHP!T28,KHP!X28,KHP!AB28,KHP!AF28))=3)*(CHOOSE({1,2,3,4},KHP!W28,KHP!AA28,KHP!AE28,KHP!AI28)))</f>
        <v>0</v>
      </c>
      <c r="D28">
        <f>SUMPRODUCT((MONTH(CHOOSE({1,2,3,4},KHP!T28,KHP!X28,KHP!AB28,KHP!AF28))=4)*(CHOOSE({1,2,3,4},KHP!W28,KHP!AA28,KHP!AE28,KHP!AI28)))</f>
        <v>0</v>
      </c>
      <c r="E28">
        <f>SUMPRODUCT((MONTH(CHOOSE({1,2,3,4},KHP!T28,KHP!X28,KHP!AB28,KHP!AF28))=5)*(CHOOSE({1,2,3,4},KHP!W28,KHP!AA28,KHP!AE28,KHP!AI28)))</f>
        <v>0</v>
      </c>
      <c r="F28">
        <f>SUMPRODUCT((MONTH(CHOOSE({1,2,3,4},KHP!T28,KHP!X28,KHP!AB28,KHP!AF28))=6)*(CHOOSE({1,2,3,4},KHP!W28,KHP!AA28,KHP!AE28,KHP!AI28)))</f>
        <v>0</v>
      </c>
      <c r="G28">
        <f>SUMPRODUCT((MONTH(CHOOSE({1,2,3,4},KHP!T28,KHP!X28,KHP!AB28,KHP!AF28))=7)*(CHOOSE({1,2,3,4},KHP!W28,KHP!AA28,KHP!AE28,KHP!AI28)))</f>
        <v>0</v>
      </c>
      <c r="H28">
        <f>SUMPRODUCT((MONTH(CHOOSE({1,2,3,4},KHP!T28,KHP!X28,KHP!AB28,KHP!AF28))=8)*(CHOOSE({1,2,3,4},KHP!W28,KHP!AA28,KHP!AE28,KHP!AI28)))</f>
        <v>0</v>
      </c>
      <c r="I28">
        <f>SUMPRODUCT((MONTH(CHOOSE({1,2,3,4},KHP!T28,KHP!X28,KHP!AB28,KHP!AF28))=9)*(CHOOSE({1,2,3,4},KHP!W28,KHP!AA28,KHP!AE28,KHP!AI28)))</f>
        <v>0</v>
      </c>
      <c r="J28">
        <f>SUMPRODUCT((MONTH(CHOOSE({1,2,3,4},KHP!T28,KHP!X28,KHP!AB28,KHP!AF28))=10)*(CHOOSE({1,2,3,4},KHP!W28,KHP!AA28,KHP!AE28,KHP!AI28)))</f>
        <v>0</v>
      </c>
      <c r="K28">
        <f>SUMPRODUCT((MONTH(CHOOSE({1,2,3,4},KHP!T28,KHP!X28,KHP!AB28,KHP!AF28))=11)*(CHOOSE({1,2,3,4},KHP!W28,KHP!AA28,KHP!AE28,KHP!AI28)))</f>
        <v>0</v>
      </c>
      <c r="L28">
        <f>SUMPRODUCT((MONTH(CHOOSE({1,2,3,4},KHP!T28,KHP!X28,KHP!AB28,KHP!AF28))=12)*(CHOOSE({1,2,3,4},KHP!W28,KHP!AA28,KHP!AE28,KHP!AI28)))</f>
        <v>0</v>
      </c>
    </row>
    <row r="29" spans="1:12">
      <c r="A29">
        <f>SUMPRODUCT((MONTH(CHOOSE({1,2,3,4},KHP!T29,KHP!X29,KHP!AB29,KHP!AF29))=1)*(CHOOSE({1,2,3,4},KHP!W29,KHP!AA29,KHP!AE29,KHP!AI29)))</f>
        <v>0</v>
      </c>
      <c r="B29">
        <f>SUMPRODUCT((MONTH(CHOOSE({1,2,3,4},KHP!T29,KHP!X29,KHP!AB29,KHP!AF29))=2)*(CHOOSE({1,2,3,4},KHP!W29,KHP!AA29,KHP!AE29,KHP!AI29)))</f>
        <v>0</v>
      </c>
      <c r="C29">
        <f>SUMPRODUCT((MONTH(CHOOSE({1,2,3,4},KHP!T29,KHP!X29,KHP!AB29,KHP!AF29))=3)*(CHOOSE({1,2,3,4},KHP!W29,KHP!AA29,KHP!AE29,KHP!AI29)))</f>
        <v>0</v>
      </c>
      <c r="D29">
        <f>SUMPRODUCT((MONTH(CHOOSE({1,2,3,4},KHP!T29,KHP!X29,KHP!AB29,KHP!AF29))=4)*(CHOOSE({1,2,3,4},KHP!W29,KHP!AA29,KHP!AE29,KHP!AI29)))</f>
        <v>0</v>
      </c>
      <c r="E29">
        <f>SUMPRODUCT((MONTH(CHOOSE({1,2,3,4},KHP!T29,KHP!X29,KHP!AB29,KHP!AF29))=5)*(CHOOSE({1,2,3,4},KHP!W29,KHP!AA29,KHP!AE29,KHP!AI29)))</f>
        <v>0</v>
      </c>
      <c r="F29">
        <f>SUMPRODUCT((MONTH(CHOOSE({1,2,3,4},KHP!T29,KHP!X29,KHP!AB29,KHP!AF29))=6)*(CHOOSE({1,2,3,4},KHP!W29,KHP!AA29,KHP!AE29,KHP!AI29)))</f>
        <v>0</v>
      </c>
      <c r="G29">
        <f>SUMPRODUCT((MONTH(CHOOSE({1,2,3,4},KHP!T29,KHP!X29,KHP!AB29,KHP!AF29))=7)*(CHOOSE({1,2,3,4},KHP!W29,KHP!AA29,KHP!AE29,KHP!AI29)))</f>
        <v>0</v>
      </c>
      <c r="H29">
        <f>SUMPRODUCT((MONTH(CHOOSE({1,2,3,4},KHP!T29,KHP!X29,KHP!AB29,KHP!AF29))=8)*(CHOOSE({1,2,3,4},KHP!W29,KHP!AA29,KHP!AE29,KHP!AI29)))</f>
        <v>0</v>
      </c>
      <c r="I29">
        <f>SUMPRODUCT((MONTH(CHOOSE({1,2,3,4},KHP!T29,KHP!X29,KHP!AB29,KHP!AF29))=9)*(CHOOSE({1,2,3,4},KHP!W29,KHP!AA29,KHP!AE29,KHP!AI29)))</f>
        <v>0</v>
      </c>
      <c r="J29">
        <f>SUMPRODUCT((MONTH(CHOOSE({1,2,3,4},KHP!T29,KHP!X29,KHP!AB29,KHP!AF29))=10)*(CHOOSE({1,2,3,4},KHP!W29,KHP!AA29,KHP!AE29,KHP!AI29)))</f>
        <v>0</v>
      </c>
      <c r="K29">
        <f>SUMPRODUCT((MONTH(CHOOSE({1,2,3,4},KHP!T29,KHP!X29,KHP!AB29,KHP!AF29))=11)*(CHOOSE({1,2,3,4},KHP!W29,KHP!AA29,KHP!AE29,KHP!AI29)))</f>
        <v>0</v>
      </c>
      <c r="L29">
        <f>SUMPRODUCT((MONTH(CHOOSE({1,2,3,4},KHP!T29,KHP!X29,KHP!AB29,KHP!AF29))=12)*(CHOOSE({1,2,3,4},KHP!W29,KHP!AA29,KHP!AE29,KHP!AI29)))</f>
        <v>0</v>
      </c>
    </row>
    <row r="30" spans="1:12">
      <c r="A30">
        <f>SUMPRODUCT((MONTH(CHOOSE({1,2,3,4},KHP!T30,KHP!X30,KHP!AB30,KHP!AF30))=1)*(CHOOSE({1,2,3,4},KHP!W30,KHP!AA30,KHP!AE30,KHP!AI30)))</f>
        <v>0</v>
      </c>
      <c r="B30">
        <f>SUMPRODUCT((MONTH(CHOOSE({1,2,3,4},KHP!T30,KHP!X30,KHP!AB30,KHP!AF30))=2)*(CHOOSE({1,2,3,4},KHP!W30,KHP!AA30,KHP!AE30,KHP!AI30)))</f>
        <v>0</v>
      </c>
      <c r="C30">
        <f>SUMPRODUCT((MONTH(CHOOSE({1,2,3,4},KHP!T30,KHP!X30,KHP!AB30,KHP!AF30))=3)*(CHOOSE({1,2,3,4},KHP!W30,KHP!AA30,KHP!AE30,KHP!AI30)))</f>
        <v>0</v>
      </c>
      <c r="D30">
        <f>SUMPRODUCT((MONTH(CHOOSE({1,2,3,4},KHP!T30,KHP!X30,KHP!AB30,KHP!AF30))=4)*(CHOOSE({1,2,3,4},KHP!W30,KHP!AA30,KHP!AE30,KHP!AI30)))</f>
        <v>0</v>
      </c>
      <c r="E30">
        <f>SUMPRODUCT((MONTH(CHOOSE({1,2,3,4},KHP!T30,KHP!X30,KHP!AB30,KHP!AF30))=5)*(CHOOSE({1,2,3,4},KHP!W30,KHP!AA30,KHP!AE30,KHP!AI30)))</f>
        <v>0</v>
      </c>
      <c r="F30">
        <f>SUMPRODUCT((MONTH(CHOOSE({1,2,3,4},KHP!T30,KHP!X30,KHP!AB30,KHP!AF30))=6)*(CHOOSE({1,2,3,4},KHP!W30,KHP!AA30,KHP!AE30,KHP!AI30)))</f>
        <v>0</v>
      </c>
      <c r="G30">
        <f>SUMPRODUCT((MONTH(CHOOSE({1,2,3,4},KHP!T30,KHP!X30,KHP!AB30,KHP!AF30))=7)*(CHOOSE({1,2,3,4},KHP!W30,KHP!AA30,KHP!AE30,KHP!AI30)))</f>
        <v>0</v>
      </c>
      <c r="H30">
        <f>SUMPRODUCT((MONTH(CHOOSE({1,2,3,4},KHP!T30,KHP!X30,KHP!AB30,KHP!AF30))=8)*(CHOOSE({1,2,3,4},KHP!W30,KHP!AA30,KHP!AE30,KHP!AI30)))</f>
        <v>0</v>
      </c>
      <c r="I30">
        <f>SUMPRODUCT((MONTH(CHOOSE({1,2,3,4},KHP!T30,KHP!X30,KHP!AB30,KHP!AF30))=9)*(CHOOSE({1,2,3,4},KHP!W30,KHP!AA30,KHP!AE30,KHP!AI30)))</f>
        <v>0</v>
      </c>
      <c r="J30">
        <f>SUMPRODUCT((MONTH(CHOOSE({1,2,3,4},KHP!T30,KHP!X30,KHP!AB30,KHP!AF30))=10)*(CHOOSE({1,2,3,4},KHP!W30,KHP!AA30,KHP!AE30,KHP!AI30)))</f>
        <v>0</v>
      </c>
      <c r="K30">
        <f>SUMPRODUCT((MONTH(CHOOSE({1,2,3,4},KHP!T30,KHP!X30,KHP!AB30,KHP!AF30))=11)*(CHOOSE({1,2,3,4},KHP!W30,KHP!AA30,KHP!AE30,KHP!AI30)))</f>
        <v>0</v>
      </c>
      <c r="L30">
        <f>SUMPRODUCT((MONTH(CHOOSE({1,2,3,4},KHP!T30,KHP!X30,KHP!AB30,KHP!AF30))=12)*(CHOOSE({1,2,3,4},KHP!W30,KHP!AA30,KHP!AE30,KHP!AI30)))</f>
        <v>0</v>
      </c>
    </row>
    <row r="31" spans="1:12">
      <c r="A31">
        <f>SUMPRODUCT((MONTH(CHOOSE({1,2,3,4},KHP!T31,KHP!X31,KHP!AB31,KHP!AF31))=1)*(CHOOSE({1,2,3,4},KHP!W31,KHP!AA31,KHP!AE31,KHP!AI31)))</f>
        <v>0</v>
      </c>
      <c r="B31">
        <f>SUMPRODUCT((MONTH(CHOOSE({1,2,3,4},KHP!T31,KHP!X31,KHP!AB31,KHP!AF31))=2)*(CHOOSE({1,2,3,4},KHP!W31,KHP!AA31,KHP!AE31,KHP!AI31)))</f>
        <v>0</v>
      </c>
      <c r="C31">
        <f>SUMPRODUCT((MONTH(CHOOSE({1,2,3,4},KHP!T31,KHP!X31,KHP!AB31,KHP!AF31))=3)*(CHOOSE({1,2,3,4},KHP!W31,KHP!AA31,KHP!AE31,KHP!AI31)))</f>
        <v>0</v>
      </c>
      <c r="D31">
        <f>SUMPRODUCT((MONTH(CHOOSE({1,2,3,4},KHP!T31,KHP!X31,KHP!AB31,KHP!AF31))=4)*(CHOOSE({1,2,3,4},KHP!W31,KHP!AA31,KHP!AE31,KHP!AI31)))</f>
        <v>0</v>
      </c>
      <c r="E31">
        <f>SUMPRODUCT((MONTH(CHOOSE({1,2,3,4},KHP!T31,KHP!X31,KHP!AB31,KHP!AF31))=5)*(CHOOSE({1,2,3,4},KHP!W31,KHP!AA31,KHP!AE31,KHP!AI31)))</f>
        <v>0</v>
      </c>
      <c r="F31">
        <f>SUMPRODUCT((MONTH(CHOOSE({1,2,3,4},KHP!T31,KHP!X31,KHP!AB31,KHP!AF31))=6)*(CHOOSE({1,2,3,4},KHP!W31,KHP!AA31,KHP!AE31,KHP!AI31)))</f>
        <v>0</v>
      </c>
      <c r="G31">
        <f>SUMPRODUCT((MONTH(CHOOSE({1,2,3,4},KHP!T31,KHP!X31,KHP!AB31,KHP!AF31))=7)*(CHOOSE({1,2,3,4},KHP!W31,KHP!AA31,KHP!AE31,KHP!AI31)))</f>
        <v>0</v>
      </c>
      <c r="H31">
        <f>SUMPRODUCT((MONTH(CHOOSE({1,2,3,4},KHP!T31,KHP!X31,KHP!AB31,KHP!AF31))=8)*(CHOOSE({1,2,3,4},KHP!W31,KHP!AA31,KHP!AE31,KHP!AI31)))</f>
        <v>0</v>
      </c>
      <c r="I31">
        <f>SUMPRODUCT((MONTH(CHOOSE({1,2,3,4},KHP!T31,KHP!X31,KHP!AB31,KHP!AF31))=9)*(CHOOSE({1,2,3,4},KHP!W31,KHP!AA31,KHP!AE31,KHP!AI31)))</f>
        <v>0</v>
      </c>
      <c r="J31">
        <f>SUMPRODUCT((MONTH(CHOOSE({1,2,3,4},KHP!T31,KHP!X31,KHP!AB31,KHP!AF31))=10)*(CHOOSE({1,2,3,4},KHP!W31,KHP!AA31,KHP!AE31,KHP!AI31)))</f>
        <v>0</v>
      </c>
      <c r="K31">
        <f>SUMPRODUCT((MONTH(CHOOSE({1,2,3,4},KHP!T31,KHP!X31,KHP!AB31,KHP!AF31))=11)*(CHOOSE({1,2,3,4},KHP!W31,KHP!AA31,KHP!AE31,KHP!AI31)))</f>
        <v>0</v>
      </c>
      <c r="L31">
        <f>SUMPRODUCT((MONTH(CHOOSE({1,2,3,4},KHP!T31,KHP!X31,KHP!AB31,KHP!AF31))=12)*(CHOOSE({1,2,3,4},KHP!W31,KHP!AA31,KHP!AE31,KHP!AI31)))</f>
        <v>0</v>
      </c>
    </row>
    <row r="32" spans="1:12">
      <c r="A32">
        <f>SUMPRODUCT((MONTH(CHOOSE({1,2,3,4},KHP!T32,KHP!X32,KHP!AB32,KHP!AF32))=1)*(CHOOSE({1,2,3,4},KHP!W32,KHP!AA32,KHP!AE32,KHP!AI32)))</f>
        <v>0</v>
      </c>
      <c r="B32">
        <f>SUMPRODUCT((MONTH(CHOOSE({1,2,3,4},KHP!T32,KHP!X32,KHP!AB32,KHP!AF32))=2)*(CHOOSE({1,2,3,4},KHP!W32,KHP!AA32,KHP!AE32,KHP!AI32)))</f>
        <v>0</v>
      </c>
      <c r="C32">
        <f>SUMPRODUCT((MONTH(CHOOSE({1,2,3,4},KHP!T32,KHP!X32,KHP!AB32,KHP!AF32))=3)*(CHOOSE({1,2,3,4},KHP!W32,KHP!AA32,KHP!AE32,KHP!AI32)))</f>
        <v>0</v>
      </c>
      <c r="D32">
        <f>SUMPRODUCT((MONTH(CHOOSE({1,2,3,4},KHP!T32,KHP!X32,KHP!AB32,KHP!AF32))=4)*(CHOOSE({1,2,3,4},KHP!W32,KHP!AA32,KHP!AE32,KHP!AI32)))</f>
        <v>0</v>
      </c>
      <c r="E32">
        <f>SUMPRODUCT((MONTH(CHOOSE({1,2,3,4},KHP!T32,KHP!X32,KHP!AB32,KHP!AF32))=5)*(CHOOSE({1,2,3,4},KHP!W32,KHP!AA32,KHP!AE32,KHP!AI32)))</f>
        <v>0</v>
      </c>
      <c r="F32">
        <f>SUMPRODUCT((MONTH(CHOOSE({1,2,3,4},KHP!T32,KHP!X32,KHP!AB32,KHP!AF32))=6)*(CHOOSE({1,2,3,4},KHP!W32,KHP!AA32,KHP!AE32,KHP!AI32)))</f>
        <v>0</v>
      </c>
      <c r="G32">
        <f>SUMPRODUCT((MONTH(CHOOSE({1,2,3,4},KHP!T32,KHP!X32,KHP!AB32,KHP!AF32))=7)*(CHOOSE({1,2,3,4},KHP!W32,KHP!AA32,KHP!AE32,KHP!AI32)))</f>
        <v>0</v>
      </c>
      <c r="H32">
        <f>SUMPRODUCT((MONTH(CHOOSE({1,2,3,4},KHP!T32,KHP!X32,KHP!AB32,KHP!AF32))=8)*(CHOOSE({1,2,3,4},KHP!W32,KHP!AA32,KHP!AE32,KHP!AI32)))</f>
        <v>0</v>
      </c>
      <c r="I32">
        <f>SUMPRODUCT((MONTH(CHOOSE({1,2,3,4},KHP!T32,KHP!X32,KHP!AB32,KHP!AF32))=9)*(CHOOSE({1,2,3,4},KHP!W32,KHP!AA32,KHP!AE32,KHP!AI32)))</f>
        <v>0</v>
      </c>
      <c r="J32">
        <f>SUMPRODUCT((MONTH(CHOOSE({1,2,3,4},KHP!T32,KHP!X32,KHP!AB32,KHP!AF32))=10)*(CHOOSE({1,2,3,4},KHP!W32,KHP!AA32,KHP!AE32,KHP!AI32)))</f>
        <v>0</v>
      </c>
      <c r="K32">
        <f>SUMPRODUCT((MONTH(CHOOSE({1,2,3,4},KHP!T32,KHP!X32,KHP!AB32,KHP!AF32))=11)*(CHOOSE({1,2,3,4},KHP!W32,KHP!AA32,KHP!AE32,KHP!AI32)))</f>
        <v>0</v>
      </c>
      <c r="L32">
        <f>SUMPRODUCT((MONTH(CHOOSE({1,2,3,4},KHP!T32,KHP!X32,KHP!AB32,KHP!AF32))=12)*(CHOOSE({1,2,3,4},KHP!W32,KHP!AA32,KHP!AE32,KHP!AI32)))</f>
        <v>0</v>
      </c>
    </row>
    <row r="33" spans="1:12">
      <c r="A33">
        <f>SUMPRODUCT((MONTH(CHOOSE({1,2,3,4},KHP!T33,KHP!X33,KHP!AB33,KHP!AF33))=1)*(CHOOSE({1,2,3,4},KHP!W33,KHP!AA33,KHP!AE33,KHP!AI33)))</f>
        <v>0</v>
      </c>
      <c r="B33">
        <f>SUMPRODUCT((MONTH(CHOOSE({1,2,3,4},KHP!T33,KHP!X33,KHP!AB33,KHP!AF33))=2)*(CHOOSE({1,2,3,4},KHP!W33,KHP!AA33,KHP!AE33,KHP!AI33)))</f>
        <v>0</v>
      </c>
      <c r="C33">
        <f>SUMPRODUCT((MONTH(CHOOSE({1,2,3,4},KHP!T33,KHP!X33,KHP!AB33,KHP!AF33))=3)*(CHOOSE({1,2,3,4},KHP!W33,KHP!AA33,KHP!AE33,KHP!AI33)))</f>
        <v>0</v>
      </c>
      <c r="D33">
        <f>SUMPRODUCT((MONTH(CHOOSE({1,2,3,4},KHP!T33,KHP!X33,KHP!AB33,KHP!AF33))=4)*(CHOOSE({1,2,3,4},KHP!W33,KHP!AA33,KHP!AE33,KHP!AI33)))</f>
        <v>0</v>
      </c>
      <c r="E33">
        <f>SUMPRODUCT((MONTH(CHOOSE({1,2,3,4},KHP!T33,KHP!X33,KHP!AB33,KHP!AF33))=5)*(CHOOSE({1,2,3,4},KHP!W33,KHP!AA33,KHP!AE33,KHP!AI33)))</f>
        <v>0</v>
      </c>
      <c r="F33">
        <f>SUMPRODUCT((MONTH(CHOOSE({1,2,3,4},KHP!T33,KHP!X33,KHP!AB33,KHP!AF33))=6)*(CHOOSE({1,2,3,4},KHP!W33,KHP!AA33,KHP!AE33,KHP!AI33)))</f>
        <v>0</v>
      </c>
      <c r="G33">
        <f>SUMPRODUCT((MONTH(CHOOSE({1,2,3,4},KHP!T33,KHP!X33,KHP!AB33,KHP!AF33))=7)*(CHOOSE({1,2,3,4},KHP!W33,KHP!AA33,KHP!AE33,KHP!AI33)))</f>
        <v>0</v>
      </c>
      <c r="H33">
        <f>SUMPRODUCT((MONTH(CHOOSE({1,2,3,4},KHP!T33,KHP!X33,KHP!AB33,KHP!AF33))=8)*(CHOOSE({1,2,3,4},KHP!W33,KHP!AA33,KHP!AE33,KHP!AI33)))</f>
        <v>0</v>
      </c>
      <c r="I33">
        <f>SUMPRODUCT((MONTH(CHOOSE({1,2,3,4},KHP!T33,KHP!X33,KHP!AB33,KHP!AF33))=9)*(CHOOSE({1,2,3,4},KHP!W33,KHP!AA33,KHP!AE33,KHP!AI33)))</f>
        <v>0</v>
      </c>
      <c r="J33">
        <f>SUMPRODUCT((MONTH(CHOOSE({1,2,3,4},KHP!T33,KHP!X33,KHP!AB33,KHP!AF33))=10)*(CHOOSE({1,2,3,4},KHP!W33,KHP!AA33,KHP!AE33,KHP!AI33)))</f>
        <v>0</v>
      </c>
      <c r="K33">
        <f>SUMPRODUCT((MONTH(CHOOSE({1,2,3,4},KHP!T33,KHP!X33,KHP!AB33,KHP!AF33))=11)*(CHOOSE({1,2,3,4},KHP!W33,KHP!AA33,KHP!AE33,KHP!AI33)))</f>
        <v>0</v>
      </c>
      <c r="L33">
        <f>SUMPRODUCT((MONTH(CHOOSE({1,2,3,4},KHP!T33,KHP!X33,KHP!AB33,KHP!AF33))=12)*(CHOOSE({1,2,3,4},KHP!W33,KHP!AA33,KHP!AE33,KHP!AI33)))</f>
        <v>0</v>
      </c>
    </row>
    <row r="34" spans="1:12">
      <c r="A34">
        <f>SUMPRODUCT((MONTH(CHOOSE({1,2,3,4},KHP!T34,KHP!X34,KHP!AB34,KHP!AF34))=1)*(CHOOSE({1,2,3,4},KHP!W34,KHP!AA34,KHP!AE34,KHP!AI34)))</f>
        <v>0</v>
      </c>
      <c r="B34">
        <f>SUMPRODUCT((MONTH(CHOOSE({1,2,3,4},KHP!T34,KHP!X34,KHP!AB34,KHP!AF34))=2)*(CHOOSE({1,2,3,4},KHP!W34,KHP!AA34,KHP!AE34,KHP!AI34)))</f>
        <v>0</v>
      </c>
      <c r="C34">
        <f>SUMPRODUCT((MONTH(CHOOSE({1,2,3,4},KHP!T34,KHP!X34,KHP!AB34,KHP!AF34))=3)*(CHOOSE({1,2,3,4},KHP!W34,KHP!AA34,KHP!AE34,KHP!AI34)))</f>
        <v>0</v>
      </c>
      <c r="D34">
        <f>SUMPRODUCT((MONTH(CHOOSE({1,2,3,4},KHP!T34,KHP!X34,KHP!AB34,KHP!AF34))=4)*(CHOOSE({1,2,3,4},KHP!W34,KHP!AA34,KHP!AE34,KHP!AI34)))</f>
        <v>0</v>
      </c>
      <c r="E34">
        <f>SUMPRODUCT((MONTH(CHOOSE({1,2,3,4},KHP!T34,KHP!X34,KHP!AB34,KHP!AF34))=5)*(CHOOSE({1,2,3,4},KHP!W34,KHP!AA34,KHP!AE34,KHP!AI34)))</f>
        <v>0</v>
      </c>
      <c r="F34">
        <f>SUMPRODUCT((MONTH(CHOOSE({1,2,3,4},KHP!T34,KHP!X34,KHP!AB34,KHP!AF34))=6)*(CHOOSE({1,2,3,4},KHP!W34,KHP!AA34,KHP!AE34,KHP!AI34)))</f>
        <v>0</v>
      </c>
      <c r="G34">
        <f>SUMPRODUCT((MONTH(CHOOSE({1,2,3,4},KHP!T34,KHP!X34,KHP!AB34,KHP!AF34))=7)*(CHOOSE({1,2,3,4},KHP!W34,KHP!AA34,KHP!AE34,KHP!AI34)))</f>
        <v>0</v>
      </c>
      <c r="H34">
        <f>SUMPRODUCT((MONTH(CHOOSE({1,2,3,4},KHP!T34,KHP!X34,KHP!AB34,KHP!AF34))=8)*(CHOOSE({1,2,3,4},KHP!W34,KHP!AA34,KHP!AE34,KHP!AI34)))</f>
        <v>0</v>
      </c>
      <c r="I34">
        <f>SUMPRODUCT((MONTH(CHOOSE({1,2,3,4},KHP!T34,KHP!X34,KHP!AB34,KHP!AF34))=9)*(CHOOSE({1,2,3,4},KHP!W34,KHP!AA34,KHP!AE34,KHP!AI34)))</f>
        <v>0</v>
      </c>
      <c r="J34">
        <f>SUMPRODUCT((MONTH(CHOOSE({1,2,3,4},KHP!T34,KHP!X34,KHP!AB34,KHP!AF34))=10)*(CHOOSE({1,2,3,4},KHP!W34,KHP!AA34,KHP!AE34,KHP!AI34)))</f>
        <v>0</v>
      </c>
      <c r="K34">
        <f>SUMPRODUCT((MONTH(CHOOSE({1,2,3,4},KHP!T34,KHP!X34,KHP!AB34,KHP!AF34))=11)*(CHOOSE({1,2,3,4},KHP!W34,KHP!AA34,KHP!AE34,KHP!AI34)))</f>
        <v>0</v>
      </c>
      <c r="L34">
        <f>SUMPRODUCT((MONTH(CHOOSE({1,2,3,4},KHP!T34,KHP!X34,KHP!AB34,KHP!AF34))=12)*(CHOOSE({1,2,3,4},KHP!W34,KHP!AA34,KHP!AE34,KHP!AI34)))</f>
        <v>0</v>
      </c>
    </row>
    <row r="35" spans="1:12">
      <c r="A35">
        <f>SUMPRODUCT((MONTH(CHOOSE({1,2,3,4},KHP!T35,KHP!X35,KHP!AB35,KHP!AF35))=1)*(CHOOSE({1,2,3,4},KHP!W35,KHP!AA35,KHP!AE35,KHP!AI35)))</f>
        <v>0</v>
      </c>
      <c r="B35">
        <f>SUMPRODUCT((MONTH(CHOOSE({1,2,3,4},KHP!T35,KHP!X35,KHP!AB35,KHP!AF35))=2)*(CHOOSE({1,2,3,4},KHP!W35,KHP!AA35,KHP!AE35,KHP!AI35)))</f>
        <v>0</v>
      </c>
      <c r="C35">
        <f>SUMPRODUCT((MONTH(CHOOSE({1,2,3,4},KHP!T35,KHP!X35,KHP!AB35,KHP!AF35))=3)*(CHOOSE({1,2,3,4},KHP!W35,KHP!AA35,KHP!AE35,KHP!AI35)))</f>
        <v>0</v>
      </c>
      <c r="D35">
        <f>SUMPRODUCT((MONTH(CHOOSE({1,2,3,4},KHP!T35,KHP!X35,KHP!AB35,KHP!AF35))=4)*(CHOOSE({1,2,3,4},KHP!W35,KHP!AA35,KHP!AE35,KHP!AI35)))</f>
        <v>0</v>
      </c>
      <c r="E35">
        <f>SUMPRODUCT((MONTH(CHOOSE({1,2,3,4},KHP!T35,KHP!X35,KHP!AB35,KHP!AF35))=5)*(CHOOSE({1,2,3,4},KHP!W35,KHP!AA35,KHP!AE35,KHP!AI35)))</f>
        <v>0</v>
      </c>
      <c r="F35">
        <f>SUMPRODUCT((MONTH(CHOOSE({1,2,3,4},KHP!T35,KHP!X35,KHP!AB35,KHP!AF35))=6)*(CHOOSE({1,2,3,4},KHP!W35,KHP!AA35,KHP!AE35,KHP!AI35)))</f>
        <v>0</v>
      </c>
      <c r="G35">
        <f>SUMPRODUCT((MONTH(CHOOSE({1,2,3,4},KHP!T35,KHP!X35,KHP!AB35,KHP!AF35))=7)*(CHOOSE({1,2,3,4},KHP!W35,KHP!AA35,KHP!AE35,KHP!AI35)))</f>
        <v>0</v>
      </c>
      <c r="H35">
        <f>SUMPRODUCT((MONTH(CHOOSE({1,2,3,4},KHP!T35,KHP!X35,KHP!AB35,KHP!AF35))=8)*(CHOOSE({1,2,3,4},KHP!W35,KHP!AA35,KHP!AE35,KHP!AI35)))</f>
        <v>0</v>
      </c>
      <c r="I35">
        <f>SUMPRODUCT((MONTH(CHOOSE({1,2,3,4},KHP!T35,KHP!X35,KHP!AB35,KHP!AF35))=9)*(CHOOSE({1,2,3,4},KHP!W35,KHP!AA35,KHP!AE35,KHP!AI35)))</f>
        <v>0</v>
      </c>
      <c r="J35">
        <f>SUMPRODUCT((MONTH(CHOOSE({1,2,3,4},KHP!T35,KHP!X35,KHP!AB35,KHP!AF35))=10)*(CHOOSE({1,2,3,4},KHP!W35,KHP!AA35,KHP!AE35,KHP!AI35)))</f>
        <v>0</v>
      </c>
      <c r="K35">
        <f>SUMPRODUCT((MONTH(CHOOSE({1,2,3,4},KHP!T35,KHP!X35,KHP!AB35,KHP!AF35))=11)*(CHOOSE({1,2,3,4},KHP!W35,KHP!AA35,KHP!AE35,KHP!AI35)))</f>
        <v>0</v>
      </c>
      <c r="L35">
        <f>SUMPRODUCT((MONTH(CHOOSE({1,2,3,4},KHP!T35,KHP!X35,KHP!AB35,KHP!AF35))=12)*(CHOOSE({1,2,3,4},KHP!W35,KHP!AA35,KHP!AE35,KHP!AI35)))</f>
        <v>0</v>
      </c>
    </row>
    <row r="36" spans="1:12">
      <c r="A36">
        <f>SUMPRODUCT((MONTH(CHOOSE({1,2,3,4},KHP!T36,KHP!X36,KHP!AB36,KHP!AF36))=1)*(CHOOSE({1,2,3,4},KHP!W36,KHP!AA36,KHP!AE36,KHP!AI36)))</f>
        <v>0</v>
      </c>
      <c r="B36">
        <f>SUMPRODUCT((MONTH(CHOOSE({1,2,3,4},KHP!T36,KHP!X36,KHP!AB36,KHP!AF36))=2)*(CHOOSE({1,2,3,4},KHP!W36,KHP!AA36,KHP!AE36,KHP!AI36)))</f>
        <v>0</v>
      </c>
      <c r="C36">
        <f>SUMPRODUCT((MONTH(CHOOSE({1,2,3,4},KHP!T36,KHP!X36,KHP!AB36,KHP!AF36))=3)*(CHOOSE({1,2,3,4},KHP!W36,KHP!AA36,KHP!AE36,KHP!AI36)))</f>
        <v>0</v>
      </c>
      <c r="D36">
        <f>SUMPRODUCT((MONTH(CHOOSE({1,2,3,4},KHP!T36,KHP!X36,KHP!AB36,KHP!AF36))=4)*(CHOOSE({1,2,3,4},KHP!W36,KHP!AA36,KHP!AE36,KHP!AI36)))</f>
        <v>0</v>
      </c>
      <c r="E36">
        <f>SUMPRODUCT((MONTH(CHOOSE({1,2,3,4},KHP!T36,KHP!X36,KHP!AB36,KHP!AF36))=5)*(CHOOSE({1,2,3,4},KHP!W36,KHP!AA36,KHP!AE36,KHP!AI36)))</f>
        <v>0</v>
      </c>
      <c r="F36">
        <f>SUMPRODUCT((MONTH(CHOOSE({1,2,3,4},KHP!T36,KHP!X36,KHP!AB36,KHP!AF36))=6)*(CHOOSE({1,2,3,4},KHP!W36,KHP!AA36,KHP!AE36,KHP!AI36)))</f>
        <v>0</v>
      </c>
      <c r="G36">
        <f>SUMPRODUCT((MONTH(CHOOSE({1,2,3,4},KHP!T36,KHP!X36,KHP!AB36,KHP!AF36))=7)*(CHOOSE({1,2,3,4},KHP!W36,KHP!AA36,KHP!AE36,KHP!AI36)))</f>
        <v>0</v>
      </c>
      <c r="H36">
        <f>SUMPRODUCT((MONTH(CHOOSE({1,2,3,4},KHP!T36,KHP!X36,KHP!AB36,KHP!AF36))=8)*(CHOOSE({1,2,3,4},KHP!W36,KHP!AA36,KHP!AE36,KHP!AI36)))</f>
        <v>0</v>
      </c>
      <c r="I36">
        <f>SUMPRODUCT((MONTH(CHOOSE({1,2,3,4},KHP!T36,KHP!X36,KHP!AB36,KHP!AF36))=9)*(CHOOSE({1,2,3,4},KHP!W36,KHP!AA36,KHP!AE36,KHP!AI36)))</f>
        <v>0</v>
      </c>
      <c r="J36">
        <f>SUMPRODUCT((MONTH(CHOOSE({1,2,3,4},KHP!T36,KHP!X36,KHP!AB36,KHP!AF36))=10)*(CHOOSE({1,2,3,4},KHP!W36,KHP!AA36,KHP!AE36,KHP!AI36)))</f>
        <v>0</v>
      </c>
      <c r="K36">
        <f>SUMPRODUCT((MONTH(CHOOSE({1,2,3,4},KHP!T36,KHP!X36,KHP!AB36,KHP!AF36))=11)*(CHOOSE({1,2,3,4},KHP!W36,KHP!AA36,KHP!AE36,KHP!AI36)))</f>
        <v>0</v>
      </c>
      <c r="L36">
        <f>SUMPRODUCT((MONTH(CHOOSE({1,2,3,4},KHP!T36,KHP!X36,KHP!AB36,KHP!AF36))=12)*(CHOOSE({1,2,3,4},KHP!W36,KHP!AA36,KHP!AE36,KHP!AI36)))</f>
        <v>0</v>
      </c>
    </row>
    <row r="37" spans="1:12">
      <c r="A37">
        <f>SUMPRODUCT((MONTH(CHOOSE({1,2,3,4},KHP!T37,KHP!X37,KHP!AB37,KHP!AF37))=1)*(CHOOSE({1,2,3,4},KHP!W37,KHP!AA37,KHP!AE37,KHP!AI37)))</f>
        <v>0</v>
      </c>
      <c r="B37">
        <f>SUMPRODUCT((MONTH(CHOOSE({1,2,3,4},KHP!T37,KHP!X37,KHP!AB37,KHP!AF37))=2)*(CHOOSE({1,2,3,4},KHP!W37,KHP!AA37,KHP!AE37,KHP!AI37)))</f>
        <v>0</v>
      </c>
      <c r="C37">
        <f>SUMPRODUCT((MONTH(CHOOSE({1,2,3,4},KHP!T37,KHP!X37,KHP!AB37,KHP!AF37))=3)*(CHOOSE({1,2,3,4},KHP!W37,KHP!AA37,KHP!AE37,KHP!AI37)))</f>
        <v>0</v>
      </c>
      <c r="D37">
        <f>SUMPRODUCT((MONTH(CHOOSE({1,2,3,4},KHP!T37,KHP!X37,KHP!AB37,KHP!AF37))=4)*(CHOOSE({1,2,3,4},KHP!W37,KHP!AA37,KHP!AE37,KHP!AI37)))</f>
        <v>0</v>
      </c>
      <c r="E37">
        <f>SUMPRODUCT((MONTH(CHOOSE({1,2,3,4},KHP!T37,KHP!X37,KHP!AB37,KHP!AF37))=5)*(CHOOSE({1,2,3,4},KHP!W37,KHP!AA37,KHP!AE37,KHP!AI37)))</f>
        <v>0</v>
      </c>
      <c r="F37">
        <f>SUMPRODUCT((MONTH(CHOOSE({1,2,3,4},KHP!T37,KHP!X37,KHP!AB37,KHP!AF37))=6)*(CHOOSE({1,2,3,4},KHP!W37,KHP!AA37,KHP!AE37,KHP!AI37)))</f>
        <v>0</v>
      </c>
      <c r="G37">
        <f>SUMPRODUCT((MONTH(CHOOSE({1,2,3,4},KHP!T37,KHP!X37,KHP!AB37,KHP!AF37))=7)*(CHOOSE({1,2,3,4},KHP!W37,KHP!AA37,KHP!AE37,KHP!AI37)))</f>
        <v>0</v>
      </c>
      <c r="H37">
        <f>SUMPRODUCT((MONTH(CHOOSE({1,2,3,4},KHP!T37,KHP!X37,KHP!AB37,KHP!AF37))=8)*(CHOOSE({1,2,3,4},KHP!W37,KHP!AA37,KHP!AE37,KHP!AI37)))</f>
        <v>0</v>
      </c>
      <c r="I37">
        <f>SUMPRODUCT((MONTH(CHOOSE({1,2,3,4},KHP!T37,KHP!X37,KHP!AB37,KHP!AF37))=9)*(CHOOSE({1,2,3,4},KHP!W37,KHP!AA37,KHP!AE37,KHP!AI37)))</f>
        <v>0</v>
      </c>
      <c r="J37">
        <f>SUMPRODUCT((MONTH(CHOOSE({1,2,3,4},KHP!T37,KHP!X37,KHP!AB37,KHP!AF37))=10)*(CHOOSE({1,2,3,4},KHP!W37,KHP!AA37,KHP!AE37,KHP!AI37)))</f>
        <v>0</v>
      </c>
      <c r="K37">
        <f>SUMPRODUCT((MONTH(CHOOSE({1,2,3,4},KHP!T37,KHP!X37,KHP!AB37,KHP!AF37))=11)*(CHOOSE({1,2,3,4},KHP!W37,KHP!AA37,KHP!AE37,KHP!AI37)))</f>
        <v>0</v>
      </c>
      <c r="L37">
        <f>SUMPRODUCT((MONTH(CHOOSE({1,2,3,4},KHP!T37,KHP!X37,KHP!AB37,KHP!AF37))=12)*(CHOOSE({1,2,3,4},KHP!W37,KHP!AA37,KHP!AE37,KHP!AI37)))</f>
        <v>0</v>
      </c>
    </row>
    <row r="38" spans="1:12">
      <c r="A38">
        <f>SUMPRODUCT((MONTH(CHOOSE({1,2,3,4},KHP!T38,KHP!X38,KHP!AB38,KHP!AF38))=1)*(CHOOSE({1,2,3,4},KHP!W38,KHP!AA38,KHP!AE38,KHP!AI38)))</f>
        <v>0</v>
      </c>
      <c r="B38">
        <f>SUMPRODUCT((MONTH(CHOOSE({1,2,3,4},KHP!T38,KHP!X38,KHP!AB38,KHP!AF38))=2)*(CHOOSE({1,2,3,4},KHP!W38,KHP!AA38,KHP!AE38,KHP!AI38)))</f>
        <v>0</v>
      </c>
      <c r="C38">
        <f>SUMPRODUCT((MONTH(CHOOSE({1,2,3,4},KHP!T38,KHP!X38,KHP!AB38,KHP!AF38))=3)*(CHOOSE({1,2,3,4},KHP!W38,KHP!AA38,KHP!AE38,KHP!AI38)))</f>
        <v>0</v>
      </c>
      <c r="D38">
        <f>SUMPRODUCT((MONTH(CHOOSE({1,2,3,4},KHP!T38,KHP!X38,KHP!AB38,KHP!AF38))=4)*(CHOOSE({1,2,3,4},KHP!W38,KHP!AA38,KHP!AE38,KHP!AI38)))</f>
        <v>0</v>
      </c>
      <c r="E38">
        <f>SUMPRODUCT((MONTH(CHOOSE({1,2,3,4},KHP!T38,KHP!X38,KHP!AB38,KHP!AF38))=5)*(CHOOSE({1,2,3,4},KHP!W38,KHP!AA38,KHP!AE38,KHP!AI38)))</f>
        <v>0</v>
      </c>
      <c r="F38">
        <f>SUMPRODUCT((MONTH(CHOOSE({1,2,3,4},KHP!T38,KHP!X38,KHP!AB38,KHP!AF38))=6)*(CHOOSE({1,2,3,4},KHP!W38,KHP!AA38,KHP!AE38,KHP!AI38)))</f>
        <v>0</v>
      </c>
      <c r="G38">
        <f>SUMPRODUCT((MONTH(CHOOSE({1,2,3,4},KHP!T38,KHP!X38,KHP!AB38,KHP!AF38))=7)*(CHOOSE({1,2,3,4},KHP!W38,KHP!AA38,KHP!AE38,KHP!AI38)))</f>
        <v>0</v>
      </c>
      <c r="H38">
        <f>SUMPRODUCT((MONTH(CHOOSE({1,2,3,4},KHP!T38,KHP!X38,KHP!AB38,KHP!AF38))=8)*(CHOOSE({1,2,3,4},KHP!W38,KHP!AA38,KHP!AE38,KHP!AI38)))</f>
        <v>0</v>
      </c>
      <c r="I38">
        <f>SUMPRODUCT((MONTH(CHOOSE({1,2,3,4},KHP!T38,KHP!X38,KHP!AB38,KHP!AF38))=9)*(CHOOSE({1,2,3,4},KHP!W38,KHP!AA38,KHP!AE38,KHP!AI38)))</f>
        <v>0</v>
      </c>
      <c r="J38">
        <f>SUMPRODUCT((MONTH(CHOOSE({1,2,3,4},KHP!T38,KHP!X38,KHP!AB38,KHP!AF38))=10)*(CHOOSE({1,2,3,4},KHP!W38,KHP!AA38,KHP!AE38,KHP!AI38)))</f>
        <v>0</v>
      </c>
      <c r="K38">
        <f>SUMPRODUCT((MONTH(CHOOSE({1,2,3,4},KHP!T38,KHP!X38,KHP!AB38,KHP!AF38))=11)*(CHOOSE({1,2,3,4},KHP!W38,KHP!AA38,KHP!AE38,KHP!AI38)))</f>
        <v>0</v>
      </c>
      <c r="L38">
        <f>SUMPRODUCT((MONTH(CHOOSE({1,2,3,4},KHP!T38,KHP!X38,KHP!AB38,KHP!AF38))=12)*(CHOOSE({1,2,3,4},KHP!W38,KHP!AA38,KHP!AE38,KHP!AI38)))</f>
        <v>0</v>
      </c>
    </row>
    <row r="39" spans="1:12">
      <c r="A39">
        <f>SUMPRODUCT((MONTH(CHOOSE({1,2,3,4},KHP!T39,KHP!X39,KHP!AB39,KHP!AF39))=1)*(CHOOSE({1,2,3,4},KHP!W39,KHP!AA39,KHP!AE39,KHP!AI39)))</f>
        <v>0</v>
      </c>
      <c r="B39">
        <f>SUMPRODUCT((MONTH(CHOOSE({1,2,3,4},KHP!T39,KHP!X39,KHP!AB39,KHP!AF39))=2)*(CHOOSE({1,2,3,4},KHP!W39,KHP!AA39,KHP!AE39,KHP!AI39)))</f>
        <v>0</v>
      </c>
      <c r="C39">
        <f>SUMPRODUCT((MONTH(CHOOSE({1,2,3,4},KHP!T39,KHP!X39,KHP!AB39,KHP!AF39))=3)*(CHOOSE({1,2,3,4},KHP!W39,KHP!AA39,KHP!AE39,KHP!AI39)))</f>
        <v>0</v>
      </c>
      <c r="D39">
        <f>SUMPRODUCT((MONTH(CHOOSE({1,2,3,4},KHP!T39,KHP!X39,KHP!AB39,KHP!AF39))=4)*(CHOOSE({1,2,3,4},KHP!W39,KHP!AA39,KHP!AE39,KHP!AI39)))</f>
        <v>0</v>
      </c>
      <c r="E39">
        <f>SUMPRODUCT((MONTH(CHOOSE({1,2,3,4},KHP!T39,KHP!X39,KHP!AB39,KHP!AF39))=5)*(CHOOSE({1,2,3,4},KHP!W39,KHP!AA39,KHP!AE39,KHP!AI39)))</f>
        <v>0</v>
      </c>
      <c r="F39">
        <f>SUMPRODUCT((MONTH(CHOOSE({1,2,3,4},KHP!T39,KHP!X39,KHP!AB39,KHP!AF39))=6)*(CHOOSE({1,2,3,4},KHP!W39,KHP!AA39,KHP!AE39,KHP!AI39)))</f>
        <v>0</v>
      </c>
      <c r="G39">
        <f>SUMPRODUCT((MONTH(CHOOSE({1,2,3,4},KHP!T39,KHP!X39,KHP!AB39,KHP!AF39))=7)*(CHOOSE({1,2,3,4},KHP!W39,KHP!AA39,KHP!AE39,KHP!AI39)))</f>
        <v>0</v>
      </c>
      <c r="H39">
        <f>SUMPRODUCT((MONTH(CHOOSE({1,2,3,4},KHP!T39,KHP!X39,KHP!AB39,KHP!AF39))=8)*(CHOOSE({1,2,3,4},KHP!W39,KHP!AA39,KHP!AE39,KHP!AI39)))</f>
        <v>0</v>
      </c>
      <c r="I39">
        <f>SUMPRODUCT((MONTH(CHOOSE({1,2,3,4},KHP!T39,KHP!X39,KHP!AB39,KHP!AF39))=9)*(CHOOSE({1,2,3,4},KHP!W39,KHP!AA39,KHP!AE39,KHP!AI39)))</f>
        <v>0</v>
      </c>
      <c r="J39">
        <f>SUMPRODUCT((MONTH(CHOOSE({1,2,3,4},KHP!T39,KHP!X39,KHP!AB39,KHP!AF39))=10)*(CHOOSE({1,2,3,4},KHP!W39,KHP!AA39,KHP!AE39,KHP!AI39)))</f>
        <v>0</v>
      </c>
      <c r="K39">
        <f>SUMPRODUCT((MONTH(CHOOSE({1,2,3,4},KHP!T39,KHP!X39,KHP!AB39,KHP!AF39))=11)*(CHOOSE({1,2,3,4},KHP!W39,KHP!AA39,KHP!AE39,KHP!AI39)))</f>
        <v>0</v>
      </c>
      <c r="L39">
        <f>SUMPRODUCT((MONTH(CHOOSE({1,2,3,4},KHP!T39,KHP!X39,KHP!AB39,KHP!AF39))=12)*(CHOOSE({1,2,3,4},KHP!W39,KHP!AA39,KHP!AE39,KHP!AI39)))</f>
        <v>0</v>
      </c>
    </row>
    <row r="40" spans="1:12">
      <c r="A40">
        <f>SUMPRODUCT((MONTH(CHOOSE({1,2,3,4},KHP!T40,KHP!X40,KHP!AB40,KHP!AF40))=1)*(CHOOSE({1,2,3,4},KHP!W40,KHP!AA40,KHP!AE40,KHP!AI40)))</f>
        <v>0</v>
      </c>
      <c r="B40">
        <f>SUMPRODUCT((MONTH(CHOOSE({1,2,3,4},KHP!T40,KHP!X40,KHP!AB40,KHP!AF40))=2)*(CHOOSE({1,2,3,4},KHP!W40,KHP!AA40,KHP!AE40,KHP!AI40)))</f>
        <v>0</v>
      </c>
      <c r="C40">
        <f>SUMPRODUCT((MONTH(CHOOSE({1,2,3,4},KHP!T40,KHP!X40,KHP!AB40,KHP!AF40))=3)*(CHOOSE({1,2,3,4},KHP!W40,KHP!AA40,KHP!AE40,KHP!AI40)))</f>
        <v>0</v>
      </c>
      <c r="D40">
        <f>SUMPRODUCT((MONTH(CHOOSE({1,2,3,4},KHP!T40,KHP!X40,KHP!AB40,KHP!AF40))=4)*(CHOOSE({1,2,3,4},KHP!W40,KHP!AA40,KHP!AE40,KHP!AI40)))</f>
        <v>0</v>
      </c>
      <c r="E40">
        <f>SUMPRODUCT((MONTH(CHOOSE({1,2,3,4},KHP!T40,KHP!X40,KHP!AB40,KHP!AF40))=5)*(CHOOSE({1,2,3,4},KHP!W40,KHP!AA40,KHP!AE40,KHP!AI40)))</f>
        <v>0</v>
      </c>
      <c r="F40">
        <f>SUMPRODUCT((MONTH(CHOOSE({1,2,3,4},KHP!T40,KHP!X40,KHP!AB40,KHP!AF40))=6)*(CHOOSE({1,2,3,4},KHP!W40,KHP!AA40,KHP!AE40,KHP!AI40)))</f>
        <v>0</v>
      </c>
      <c r="G40">
        <f>SUMPRODUCT((MONTH(CHOOSE({1,2,3,4},KHP!T40,KHP!X40,KHP!AB40,KHP!AF40))=7)*(CHOOSE({1,2,3,4},KHP!W40,KHP!AA40,KHP!AE40,KHP!AI40)))</f>
        <v>0</v>
      </c>
      <c r="H40">
        <f>SUMPRODUCT((MONTH(CHOOSE({1,2,3,4},KHP!T40,KHP!X40,KHP!AB40,KHP!AF40))=8)*(CHOOSE({1,2,3,4},KHP!W40,KHP!AA40,KHP!AE40,KHP!AI40)))</f>
        <v>0</v>
      </c>
      <c r="I40">
        <f>SUMPRODUCT((MONTH(CHOOSE({1,2,3,4},KHP!T40,KHP!X40,KHP!AB40,KHP!AF40))=9)*(CHOOSE({1,2,3,4},KHP!W40,KHP!AA40,KHP!AE40,KHP!AI40)))</f>
        <v>0</v>
      </c>
      <c r="J40">
        <f>SUMPRODUCT((MONTH(CHOOSE({1,2,3,4},KHP!T40,KHP!X40,KHP!AB40,KHP!AF40))=10)*(CHOOSE({1,2,3,4},KHP!W40,KHP!AA40,KHP!AE40,KHP!AI40)))</f>
        <v>0</v>
      </c>
      <c r="K40">
        <f>SUMPRODUCT((MONTH(CHOOSE({1,2,3,4},KHP!T40,KHP!X40,KHP!AB40,KHP!AF40))=11)*(CHOOSE({1,2,3,4},KHP!W40,KHP!AA40,KHP!AE40,KHP!AI40)))</f>
        <v>0</v>
      </c>
      <c r="L40">
        <f>SUMPRODUCT((MONTH(CHOOSE({1,2,3,4},KHP!T40,KHP!X40,KHP!AB40,KHP!AF40))=12)*(CHOOSE({1,2,3,4},KHP!W40,KHP!AA40,KHP!AE40,KHP!AI40)))</f>
        <v>0</v>
      </c>
    </row>
    <row r="41" spans="1:12">
      <c r="A41">
        <f>SUMPRODUCT((MONTH(CHOOSE({1,2,3,4},KHP!T41,KHP!X41,KHP!AB41,KHP!AF41))=1)*(CHOOSE({1,2,3,4},KHP!W41,KHP!AA41,KHP!AE41,KHP!AI41)))</f>
        <v>0</v>
      </c>
      <c r="B41">
        <f>SUMPRODUCT((MONTH(CHOOSE({1,2,3,4},KHP!T41,KHP!X41,KHP!AB41,KHP!AF41))=2)*(CHOOSE({1,2,3,4},KHP!W41,KHP!AA41,KHP!AE41,KHP!AI41)))</f>
        <v>0</v>
      </c>
      <c r="C41">
        <f>SUMPRODUCT((MONTH(CHOOSE({1,2,3,4},KHP!T41,KHP!X41,KHP!AB41,KHP!AF41))=3)*(CHOOSE({1,2,3,4},KHP!W41,KHP!AA41,KHP!AE41,KHP!AI41)))</f>
        <v>0</v>
      </c>
      <c r="D41">
        <f>SUMPRODUCT((MONTH(CHOOSE({1,2,3,4},KHP!T41,KHP!X41,KHP!AB41,KHP!AF41))=4)*(CHOOSE({1,2,3,4},KHP!W41,KHP!AA41,KHP!AE41,KHP!AI41)))</f>
        <v>0</v>
      </c>
      <c r="E41">
        <f>SUMPRODUCT((MONTH(CHOOSE({1,2,3,4},KHP!T41,KHP!X41,KHP!AB41,KHP!AF41))=5)*(CHOOSE({1,2,3,4},KHP!W41,KHP!AA41,KHP!AE41,KHP!AI41)))</f>
        <v>0</v>
      </c>
      <c r="F41">
        <f>SUMPRODUCT((MONTH(CHOOSE({1,2,3,4},KHP!T41,KHP!X41,KHP!AB41,KHP!AF41))=6)*(CHOOSE({1,2,3,4},KHP!W41,KHP!AA41,KHP!AE41,KHP!AI41)))</f>
        <v>0</v>
      </c>
      <c r="G41">
        <f>SUMPRODUCT((MONTH(CHOOSE({1,2,3,4},KHP!T41,KHP!X41,KHP!AB41,KHP!AF41))=7)*(CHOOSE({1,2,3,4},KHP!W41,KHP!AA41,KHP!AE41,KHP!AI41)))</f>
        <v>0</v>
      </c>
      <c r="H41">
        <f>SUMPRODUCT((MONTH(CHOOSE({1,2,3,4},KHP!T41,KHP!X41,KHP!AB41,KHP!AF41))=8)*(CHOOSE({1,2,3,4},KHP!W41,KHP!AA41,KHP!AE41,KHP!AI41)))</f>
        <v>0</v>
      </c>
      <c r="I41">
        <f>SUMPRODUCT((MONTH(CHOOSE({1,2,3,4},KHP!T41,KHP!X41,KHP!AB41,KHP!AF41))=9)*(CHOOSE({1,2,3,4},KHP!W41,KHP!AA41,KHP!AE41,KHP!AI41)))</f>
        <v>0</v>
      </c>
      <c r="J41">
        <f>SUMPRODUCT((MONTH(CHOOSE({1,2,3,4},KHP!T41,KHP!X41,KHP!AB41,KHP!AF41))=10)*(CHOOSE({1,2,3,4},KHP!W41,KHP!AA41,KHP!AE41,KHP!AI41)))</f>
        <v>0</v>
      </c>
      <c r="K41">
        <f>SUMPRODUCT((MONTH(CHOOSE({1,2,3,4},KHP!T41,KHP!X41,KHP!AB41,KHP!AF41))=11)*(CHOOSE({1,2,3,4},KHP!W41,KHP!AA41,KHP!AE41,KHP!AI41)))</f>
        <v>0</v>
      </c>
      <c r="L41">
        <f>SUMPRODUCT((MONTH(CHOOSE({1,2,3,4},KHP!T41,KHP!X41,KHP!AB41,KHP!AF41))=12)*(CHOOSE({1,2,3,4},KHP!W41,KHP!AA41,KHP!AE41,KHP!AI41)))</f>
        <v>0</v>
      </c>
    </row>
    <row r="42" spans="1:12">
      <c r="A42">
        <f>SUMPRODUCT((MONTH(CHOOSE({1,2,3,4},KHP!T42,KHP!X42,KHP!AB42,KHP!AF42))=1)*(CHOOSE({1,2,3,4},KHP!W42,KHP!AA42,KHP!AE42,KHP!AI42)))</f>
        <v>0</v>
      </c>
      <c r="B42">
        <f>SUMPRODUCT((MONTH(CHOOSE({1,2,3,4},KHP!T42,KHP!X42,KHP!AB42,KHP!AF42))=2)*(CHOOSE({1,2,3,4},KHP!W42,KHP!AA42,KHP!AE42,KHP!AI42)))</f>
        <v>0</v>
      </c>
      <c r="C42">
        <f>SUMPRODUCT((MONTH(CHOOSE({1,2,3,4},KHP!T42,KHP!X42,KHP!AB42,KHP!AF42))=3)*(CHOOSE({1,2,3,4},KHP!W42,KHP!AA42,KHP!AE42,KHP!AI42)))</f>
        <v>0</v>
      </c>
      <c r="D42">
        <f>SUMPRODUCT((MONTH(CHOOSE({1,2,3,4},KHP!T42,KHP!X42,KHP!AB42,KHP!AF42))=4)*(CHOOSE({1,2,3,4},KHP!W42,KHP!AA42,KHP!AE42,KHP!AI42)))</f>
        <v>0</v>
      </c>
      <c r="E42">
        <f>SUMPRODUCT((MONTH(CHOOSE({1,2,3,4},KHP!T42,KHP!X42,KHP!AB42,KHP!AF42))=5)*(CHOOSE({1,2,3,4},KHP!W42,KHP!AA42,KHP!AE42,KHP!AI42)))</f>
        <v>0</v>
      </c>
      <c r="F42">
        <f>SUMPRODUCT((MONTH(CHOOSE({1,2,3,4},KHP!T42,KHP!X42,KHP!AB42,KHP!AF42))=6)*(CHOOSE({1,2,3,4},KHP!W42,KHP!AA42,KHP!AE42,KHP!AI42)))</f>
        <v>0</v>
      </c>
      <c r="G42">
        <f>SUMPRODUCT((MONTH(CHOOSE({1,2,3,4},KHP!T42,KHP!X42,KHP!AB42,KHP!AF42))=7)*(CHOOSE({1,2,3,4},KHP!W42,KHP!AA42,KHP!AE42,KHP!AI42)))</f>
        <v>0</v>
      </c>
      <c r="H42">
        <f>SUMPRODUCT((MONTH(CHOOSE({1,2,3,4},KHP!T42,KHP!X42,KHP!AB42,KHP!AF42))=8)*(CHOOSE({1,2,3,4},KHP!W42,KHP!AA42,KHP!AE42,KHP!AI42)))</f>
        <v>0</v>
      </c>
      <c r="I42">
        <f>SUMPRODUCT((MONTH(CHOOSE({1,2,3,4},KHP!T42,KHP!X42,KHP!AB42,KHP!AF42))=9)*(CHOOSE({1,2,3,4},KHP!W42,KHP!AA42,KHP!AE42,KHP!AI42)))</f>
        <v>0</v>
      </c>
      <c r="J42">
        <f>SUMPRODUCT((MONTH(CHOOSE({1,2,3,4},KHP!T42,KHP!X42,KHP!AB42,KHP!AF42))=10)*(CHOOSE({1,2,3,4},KHP!W42,KHP!AA42,KHP!AE42,KHP!AI42)))</f>
        <v>0</v>
      </c>
      <c r="K42">
        <f>SUMPRODUCT((MONTH(CHOOSE({1,2,3,4},KHP!T42,KHP!X42,KHP!AB42,KHP!AF42))=11)*(CHOOSE({1,2,3,4},KHP!W42,KHP!AA42,KHP!AE42,KHP!AI42)))</f>
        <v>0</v>
      </c>
      <c r="L42">
        <f>SUMPRODUCT((MONTH(CHOOSE({1,2,3,4},KHP!T42,KHP!X42,KHP!AB42,KHP!AF42))=12)*(CHOOSE({1,2,3,4},KHP!W42,KHP!AA42,KHP!AE42,KHP!AI42)))</f>
        <v>0</v>
      </c>
    </row>
    <row r="43" spans="1:12">
      <c r="A43">
        <f>SUMPRODUCT((MONTH(CHOOSE({1,2,3,4},KHP!T43,KHP!X43,KHP!AB43,KHP!AF43))=1)*(CHOOSE({1,2,3,4},KHP!W43,KHP!AA43,KHP!AE43,KHP!AI43)))</f>
        <v>0</v>
      </c>
      <c r="B43">
        <f>SUMPRODUCT((MONTH(CHOOSE({1,2,3,4},KHP!T43,KHP!X43,KHP!AB43,KHP!AF43))=2)*(CHOOSE({1,2,3,4},KHP!W43,KHP!AA43,KHP!AE43,KHP!AI43)))</f>
        <v>0</v>
      </c>
      <c r="C43">
        <f>SUMPRODUCT((MONTH(CHOOSE({1,2,3,4},KHP!T43,KHP!X43,KHP!AB43,KHP!AF43))=3)*(CHOOSE({1,2,3,4},KHP!W43,KHP!AA43,KHP!AE43,KHP!AI43)))</f>
        <v>0</v>
      </c>
      <c r="D43">
        <f>SUMPRODUCT((MONTH(CHOOSE({1,2,3,4},KHP!T43,KHP!X43,KHP!AB43,KHP!AF43))=4)*(CHOOSE({1,2,3,4},KHP!W43,KHP!AA43,KHP!AE43,KHP!AI43)))</f>
        <v>0</v>
      </c>
      <c r="E43">
        <f>SUMPRODUCT((MONTH(CHOOSE({1,2,3,4},KHP!T43,KHP!X43,KHP!AB43,KHP!AF43))=5)*(CHOOSE({1,2,3,4},KHP!W43,KHP!AA43,KHP!AE43,KHP!AI43)))</f>
        <v>0</v>
      </c>
      <c r="F43">
        <f>SUMPRODUCT((MONTH(CHOOSE({1,2,3,4},KHP!T43,KHP!X43,KHP!AB43,KHP!AF43))=6)*(CHOOSE({1,2,3,4},KHP!W43,KHP!AA43,KHP!AE43,KHP!AI43)))</f>
        <v>0</v>
      </c>
      <c r="G43">
        <f>SUMPRODUCT((MONTH(CHOOSE({1,2,3,4},KHP!T43,KHP!X43,KHP!AB43,KHP!AF43))=7)*(CHOOSE({1,2,3,4},KHP!W43,KHP!AA43,KHP!AE43,KHP!AI43)))</f>
        <v>0</v>
      </c>
      <c r="H43">
        <f>SUMPRODUCT((MONTH(CHOOSE({1,2,3,4},KHP!T43,KHP!X43,KHP!AB43,KHP!AF43))=8)*(CHOOSE({1,2,3,4},KHP!W43,KHP!AA43,KHP!AE43,KHP!AI43)))</f>
        <v>0</v>
      </c>
      <c r="I43">
        <f>SUMPRODUCT((MONTH(CHOOSE({1,2,3,4},KHP!T43,KHP!X43,KHP!AB43,KHP!AF43))=9)*(CHOOSE({1,2,3,4},KHP!W43,KHP!AA43,KHP!AE43,KHP!AI43)))</f>
        <v>0</v>
      </c>
      <c r="J43">
        <f>SUMPRODUCT((MONTH(CHOOSE({1,2,3,4},KHP!T43,KHP!X43,KHP!AB43,KHP!AF43))=10)*(CHOOSE({1,2,3,4},KHP!W43,KHP!AA43,KHP!AE43,KHP!AI43)))</f>
        <v>0</v>
      </c>
      <c r="K43">
        <f>SUMPRODUCT((MONTH(CHOOSE({1,2,3,4},KHP!T43,KHP!X43,KHP!AB43,KHP!AF43))=11)*(CHOOSE({1,2,3,4},KHP!W43,KHP!AA43,KHP!AE43,KHP!AI43)))</f>
        <v>0</v>
      </c>
      <c r="L43">
        <f>SUMPRODUCT((MONTH(CHOOSE({1,2,3,4},KHP!T43,KHP!X43,KHP!AB43,KHP!AF43))=12)*(CHOOSE({1,2,3,4},KHP!W43,KHP!AA43,KHP!AE43,KHP!AI43)))</f>
        <v>0</v>
      </c>
    </row>
    <row r="44" spans="1:12">
      <c r="A44">
        <f>SUMPRODUCT((MONTH(CHOOSE({1,2,3,4},KHP!T44,KHP!X44,KHP!AB44,KHP!AF44))=1)*(CHOOSE({1,2,3,4},KHP!W44,KHP!AA44,KHP!AE44,KHP!AI44)))</f>
        <v>0</v>
      </c>
      <c r="B44">
        <f>SUMPRODUCT((MONTH(CHOOSE({1,2,3,4},KHP!T44,KHP!X44,KHP!AB44,KHP!AF44))=2)*(CHOOSE({1,2,3,4},KHP!W44,KHP!AA44,KHP!AE44,KHP!AI44)))</f>
        <v>0</v>
      </c>
      <c r="C44">
        <f>SUMPRODUCT((MONTH(CHOOSE({1,2,3,4},KHP!T44,KHP!X44,KHP!AB44,KHP!AF44))=3)*(CHOOSE({1,2,3,4},KHP!W44,KHP!AA44,KHP!AE44,KHP!AI44)))</f>
        <v>0</v>
      </c>
      <c r="D44">
        <f>SUMPRODUCT((MONTH(CHOOSE({1,2,3,4},KHP!T44,KHP!X44,KHP!AB44,KHP!AF44))=4)*(CHOOSE({1,2,3,4},KHP!W44,KHP!AA44,KHP!AE44,KHP!AI44)))</f>
        <v>0</v>
      </c>
      <c r="E44">
        <f>SUMPRODUCT((MONTH(CHOOSE({1,2,3,4},KHP!T44,KHP!X44,KHP!AB44,KHP!AF44))=5)*(CHOOSE({1,2,3,4},KHP!W44,KHP!AA44,KHP!AE44,KHP!AI44)))</f>
        <v>0</v>
      </c>
      <c r="F44">
        <f>SUMPRODUCT((MONTH(CHOOSE({1,2,3,4},KHP!T44,KHP!X44,KHP!AB44,KHP!AF44))=6)*(CHOOSE({1,2,3,4},KHP!W44,KHP!AA44,KHP!AE44,KHP!AI44)))</f>
        <v>0</v>
      </c>
      <c r="G44">
        <f>SUMPRODUCT((MONTH(CHOOSE({1,2,3,4},KHP!T44,KHP!X44,KHP!AB44,KHP!AF44))=7)*(CHOOSE({1,2,3,4},KHP!W44,KHP!AA44,KHP!AE44,KHP!AI44)))</f>
        <v>0</v>
      </c>
      <c r="H44">
        <f>SUMPRODUCT((MONTH(CHOOSE({1,2,3,4},KHP!T44,KHP!X44,KHP!AB44,KHP!AF44))=8)*(CHOOSE({1,2,3,4},KHP!W44,KHP!AA44,KHP!AE44,KHP!AI44)))</f>
        <v>0</v>
      </c>
      <c r="I44">
        <f>SUMPRODUCT((MONTH(CHOOSE({1,2,3,4},KHP!T44,KHP!X44,KHP!AB44,KHP!AF44))=9)*(CHOOSE({1,2,3,4},KHP!W44,KHP!AA44,KHP!AE44,KHP!AI44)))</f>
        <v>0</v>
      </c>
      <c r="J44">
        <f>SUMPRODUCT((MONTH(CHOOSE({1,2,3,4},KHP!T44,KHP!X44,KHP!AB44,KHP!AF44))=10)*(CHOOSE({1,2,3,4},KHP!W44,KHP!AA44,KHP!AE44,KHP!AI44)))</f>
        <v>0</v>
      </c>
      <c r="K44">
        <f>SUMPRODUCT((MONTH(CHOOSE({1,2,3,4},KHP!T44,KHP!X44,KHP!AB44,KHP!AF44))=11)*(CHOOSE({1,2,3,4},KHP!W44,KHP!AA44,KHP!AE44,KHP!AI44)))</f>
        <v>0</v>
      </c>
      <c r="L44">
        <f>SUMPRODUCT((MONTH(CHOOSE({1,2,3,4},KHP!T44,KHP!X44,KHP!AB44,KHP!AF44))=12)*(CHOOSE({1,2,3,4},KHP!W44,KHP!AA44,KHP!AE44,KHP!AI44)))</f>
        <v>0</v>
      </c>
    </row>
    <row r="45" spans="1:12">
      <c r="A45">
        <f>SUMPRODUCT((MONTH(CHOOSE({1,2,3,4},KHP!T45,KHP!X45,KHP!AB45,KHP!AF45))=1)*(CHOOSE({1,2,3,4},KHP!W45,KHP!AA45,KHP!AE45,KHP!AI45)))</f>
        <v>0</v>
      </c>
      <c r="B45">
        <f>SUMPRODUCT((MONTH(CHOOSE({1,2,3,4},KHP!T45,KHP!X45,KHP!AB45,KHP!AF45))=2)*(CHOOSE({1,2,3,4},KHP!W45,KHP!AA45,KHP!AE45,KHP!AI45)))</f>
        <v>0</v>
      </c>
      <c r="C45">
        <f>SUMPRODUCT((MONTH(CHOOSE({1,2,3,4},KHP!T45,KHP!X45,KHP!AB45,KHP!AF45))=3)*(CHOOSE({1,2,3,4},KHP!W45,KHP!AA45,KHP!AE45,KHP!AI45)))</f>
        <v>0</v>
      </c>
      <c r="D45">
        <f>SUMPRODUCT((MONTH(CHOOSE({1,2,3,4},KHP!T45,KHP!X45,KHP!AB45,KHP!AF45))=4)*(CHOOSE({1,2,3,4},KHP!W45,KHP!AA45,KHP!AE45,KHP!AI45)))</f>
        <v>0</v>
      </c>
      <c r="E45">
        <f>SUMPRODUCT((MONTH(CHOOSE({1,2,3,4},KHP!T45,KHP!X45,KHP!AB45,KHP!AF45))=5)*(CHOOSE({1,2,3,4},KHP!W45,KHP!AA45,KHP!AE45,KHP!AI45)))</f>
        <v>0</v>
      </c>
      <c r="F45">
        <f>SUMPRODUCT((MONTH(CHOOSE({1,2,3,4},KHP!T45,KHP!X45,KHP!AB45,KHP!AF45))=6)*(CHOOSE({1,2,3,4},KHP!W45,KHP!AA45,KHP!AE45,KHP!AI45)))</f>
        <v>0</v>
      </c>
      <c r="G45">
        <f>SUMPRODUCT((MONTH(CHOOSE({1,2,3,4},KHP!T45,KHP!X45,KHP!AB45,KHP!AF45))=7)*(CHOOSE({1,2,3,4},KHP!W45,KHP!AA45,KHP!AE45,KHP!AI45)))</f>
        <v>0</v>
      </c>
      <c r="H45">
        <f>SUMPRODUCT((MONTH(CHOOSE({1,2,3,4},KHP!T45,KHP!X45,KHP!AB45,KHP!AF45))=8)*(CHOOSE({1,2,3,4},KHP!W45,KHP!AA45,KHP!AE45,KHP!AI45)))</f>
        <v>0</v>
      </c>
      <c r="I45">
        <f>SUMPRODUCT((MONTH(CHOOSE({1,2,3,4},KHP!T45,KHP!X45,KHP!AB45,KHP!AF45))=9)*(CHOOSE({1,2,3,4},KHP!W45,KHP!AA45,KHP!AE45,KHP!AI45)))</f>
        <v>0</v>
      </c>
      <c r="J45">
        <f>SUMPRODUCT((MONTH(CHOOSE({1,2,3,4},KHP!T45,KHP!X45,KHP!AB45,KHP!AF45))=10)*(CHOOSE({1,2,3,4},KHP!W45,KHP!AA45,KHP!AE45,KHP!AI45)))</f>
        <v>0</v>
      </c>
      <c r="K45">
        <f>SUMPRODUCT((MONTH(CHOOSE({1,2,3,4},KHP!T45,KHP!X45,KHP!AB45,KHP!AF45))=11)*(CHOOSE({1,2,3,4},KHP!W45,KHP!AA45,KHP!AE45,KHP!AI45)))</f>
        <v>0</v>
      </c>
      <c r="L45">
        <f>SUMPRODUCT((MONTH(CHOOSE({1,2,3,4},KHP!T45,KHP!X45,KHP!AB45,KHP!AF45))=12)*(CHOOSE({1,2,3,4},KHP!W45,KHP!AA45,KHP!AE45,KHP!AI45)))</f>
        <v>0</v>
      </c>
    </row>
    <row r="46" spans="1:12">
      <c r="A46">
        <f>SUMPRODUCT((MONTH(CHOOSE({1,2,3,4},KHP!T46,KHP!X46,KHP!AB46,KHP!AF46))=1)*(CHOOSE({1,2,3,4},KHP!W46,KHP!AA46,KHP!AE46,KHP!AI46)))</f>
        <v>0</v>
      </c>
      <c r="B46">
        <f>SUMPRODUCT((MONTH(CHOOSE({1,2,3,4},KHP!T46,KHP!X46,KHP!AB46,KHP!AF46))=2)*(CHOOSE({1,2,3,4},KHP!W46,KHP!AA46,KHP!AE46,KHP!AI46)))</f>
        <v>0</v>
      </c>
      <c r="C46">
        <f>SUMPRODUCT((MONTH(CHOOSE({1,2,3,4},KHP!T46,KHP!X46,KHP!AB46,KHP!AF46))=3)*(CHOOSE({1,2,3,4},KHP!W46,KHP!AA46,KHP!AE46,KHP!AI46)))</f>
        <v>0</v>
      </c>
      <c r="D46">
        <f>SUMPRODUCT((MONTH(CHOOSE({1,2,3,4},KHP!T46,KHP!X46,KHP!AB46,KHP!AF46))=4)*(CHOOSE({1,2,3,4},KHP!W46,KHP!AA46,KHP!AE46,KHP!AI46)))</f>
        <v>0</v>
      </c>
      <c r="E46">
        <f>SUMPRODUCT((MONTH(CHOOSE({1,2,3,4},KHP!T46,KHP!X46,KHP!AB46,KHP!AF46))=5)*(CHOOSE({1,2,3,4},KHP!W46,KHP!AA46,KHP!AE46,KHP!AI46)))</f>
        <v>0</v>
      </c>
      <c r="F46">
        <f>SUMPRODUCT((MONTH(CHOOSE({1,2,3,4},KHP!T46,KHP!X46,KHP!AB46,KHP!AF46))=6)*(CHOOSE({1,2,3,4},KHP!W46,KHP!AA46,KHP!AE46,KHP!AI46)))</f>
        <v>0</v>
      </c>
      <c r="G46">
        <f>SUMPRODUCT((MONTH(CHOOSE({1,2,3,4},KHP!T46,KHP!X46,KHP!AB46,KHP!AF46))=7)*(CHOOSE({1,2,3,4},KHP!W46,KHP!AA46,KHP!AE46,KHP!AI46)))</f>
        <v>0</v>
      </c>
      <c r="H46">
        <f>SUMPRODUCT((MONTH(CHOOSE({1,2,3,4},KHP!T46,KHP!X46,KHP!AB46,KHP!AF46))=8)*(CHOOSE({1,2,3,4},KHP!W46,KHP!AA46,KHP!AE46,KHP!AI46)))</f>
        <v>0</v>
      </c>
      <c r="I46">
        <f>SUMPRODUCT((MONTH(CHOOSE({1,2,3,4},KHP!T46,KHP!X46,KHP!AB46,KHP!AF46))=9)*(CHOOSE({1,2,3,4},KHP!W46,KHP!AA46,KHP!AE46,KHP!AI46)))</f>
        <v>0</v>
      </c>
      <c r="J46">
        <f>SUMPRODUCT((MONTH(CHOOSE({1,2,3,4},KHP!T46,KHP!X46,KHP!AB46,KHP!AF46))=10)*(CHOOSE({1,2,3,4},KHP!W46,KHP!AA46,KHP!AE46,KHP!AI46)))</f>
        <v>0</v>
      </c>
      <c r="K46">
        <f>SUMPRODUCT((MONTH(CHOOSE({1,2,3,4},KHP!T46,KHP!X46,KHP!AB46,KHP!AF46))=11)*(CHOOSE({1,2,3,4},KHP!W46,KHP!AA46,KHP!AE46,KHP!AI46)))</f>
        <v>0</v>
      </c>
      <c r="L46">
        <f>SUMPRODUCT((MONTH(CHOOSE({1,2,3,4},KHP!T46,KHP!X46,KHP!AB46,KHP!AF46))=12)*(CHOOSE({1,2,3,4},KHP!W46,KHP!AA46,KHP!AE46,KHP!AI46)))</f>
        <v>0</v>
      </c>
    </row>
    <row r="47" spans="1:12">
      <c r="A47">
        <f>SUMPRODUCT((MONTH(CHOOSE({1,2,3,4},KHP!T47,KHP!X47,KHP!AB47,KHP!AF47))=1)*(CHOOSE({1,2,3,4},KHP!W47,KHP!AA47,KHP!AE47,KHP!AI47)))</f>
        <v>0</v>
      </c>
      <c r="B47">
        <f>SUMPRODUCT((MONTH(CHOOSE({1,2,3,4},KHP!T47,KHP!X47,KHP!AB47,KHP!AF47))=2)*(CHOOSE({1,2,3,4},KHP!W47,KHP!AA47,KHP!AE47,KHP!AI47)))</f>
        <v>0</v>
      </c>
      <c r="C47">
        <f>SUMPRODUCT((MONTH(CHOOSE({1,2,3,4},KHP!T47,KHP!X47,KHP!AB47,KHP!AF47))=3)*(CHOOSE({1,2,3,4},KHP!W47,KHP!AA47,KHP!AE47,KHP!AI47)))</f>
        <v>0</v>
      </c>
      <c r="D47">
        <f>SUMPRODUCT((MONTH(CHOOSE({1,2,3,4},KHP!T47,KHP!X47,KHP!AB47,KHP!AF47))=4)*(CHOOSE({1,2,3,4},KHP!W47,KHP!AA47,KHP!AE47,KHP!AI47)))</f>
        <v>0</v>
      </c>
      <c r="E47">
        <f>SUMPRODUCT((MONTH(CHOOSE({1,2,3,4},KHP!T47,KHP!X47,KHP!AB47,KHP!AF47))=5)*(CHOOSE({1,2,3,4},KHP!W47,KHP!AA47,KHP!AE47,KHP!AI47)))</f>
        <v>0</v>
      </c>
      <c r="F47">
        <f>SUMPRODUCT((MONTH(CHOOSE({1,2,3,4},KHP!T47,KHP!X47,KHP!AB47,KHP!AF47))=6)*(CHOOSE({1,2,3,4},KHP!W47,KHP!AA47,KHP!AE47,KHP!AI47)))</f>
        <v>0</v>
      </c>
      <c r="G47">
        <f>SUMPRODUCT((MONTH(CHOOSE({1,2,3,4},KHP!T47,KHP!X47,KHP!AB47,KHP!AF47))=7)*(CHOOSE({1,2,3,4},KHP!W47,KHP!AA47,KHP!AE47,KHP!AI47)))</f>
        <v>0</v>
      </c>
      <c r="H47">
        <f>SUMPRODUCT((MONTH(CHOOSE({1,2,3,4},KHP!T47,KHP!X47,KHP!AB47,KHP!AF47))=8)*(CHOOSE({1,2,3,4},KHP!W47,KHP!AA47,KHP!AE47,KHP!AI47)))</f>
        <v>0</v>
      </c>
      <c r="I47">
        <f>SUMPRODUCT((MONTH(CHOOSE({1,2,3,4},KHP!T47,KHP!X47,KHP!AB47,KHP!AF47))=9)*(CHOOSE({1,2,3,4},KHP!W47,KHP!AA47,KHP!AE47,KHP!AI47)))</f>
        <v>0</v>
      </c>
      <c r="J47">
        <f>SUMPRODUCT((MONTH(CHOOSE({1,2,3,4},KHP!T47,KHP!X47,KHP!AB47,KHP!AF47))=10)*(CHOOSE({1,2,3,4},KHP!W47,KHP!AA47,KHP!AE47,KHP!AI47)))</f>
        <v>0</v>
      </c>
      <c r="K47">
        <f>SUMPRODUCT((MONTH(CHOOSE({1,2,3,4},KHP!T47,KHP!X47,KHP!AB47,KHP!AF47))=11)*(CHOOSE({1,2,3,4},KHP!W47,KHP!AA47,KHP!AE47,KHP!AI47)))</f>
        <v>0</v>
      </c>
      <c r="L47">
        <f>SUMPRODUCT((MONTH(CHOOSE({1,2,3,4},KHP!T47,KHP!X47,KHP!AB47,KHP!AF47))=12)*(CHOOSE({1,2,3,4},KHP!W47,KHP!AA47,KHP!AE47,KHP!AI47)))</f>
        <v>0</v>
      </c>
    </row>
    <row r="48" spans="1:12">
      <c r="A48">
        <f>SUMPRODUCT((MONTH(CHOOSE({1,2,3,4},KHP!T48,KHP!X48,KHP!AB48,KHP!AF48))=1)*(CHOOSE({1,2,3,4},KHP!W48,KHP!AA48,KHP!AE48,KHP!AI48)))</f>
        <v>0</v>
      </c>
      <c r="B48">
        <f>SUMPRODUCT((MONTH(CHOOSE({1,2,3,4},KHP!T48,KHP!X48,KHP!AB48,KHP!AF48))=2)*(CHOOSE({1,2,3,4},KHP!W48,KHP!AA48,KHP!AE48,KHP!AI48)))</f>
        <v>0</v>
      </c>
      <c r="C48">
        <f>SUMPRODUCT((MONTH(CHOOSE({1,2,3,4},KHP!T48,KHP!X48,KHP!AB48,KHP!AF48))=3)*(CHOOSE({1,2,3,4},KHP!W48,KHP!AA48,KHP!AE48,KHP!AI48)))</f>
        <v>0</v>
      </c>
      <c r="D48">
        <f>SUMPRODUCT((MONTH(CHOOSE({1,2,3,4},KHP!T48,KHP!X48,KHP!AB48,KHP!AF48))=4)*(CHOOSE({1,2,3,4},KHP!W48,KHP!AA48,KHP!AE48,KHP!AI48)))</f>
        <v>0</v>
      </c>
      <c r="E48">
        <f>SUMPRODUCT((MONTH(CHOOSE({1,2,3,4},KHP!T48,KHP!X48,KHP!AB48,KHP!AF48))=5)*(CHOOSE({1,2,3,4},KHP!W48,KHP!AA48,KHP!AE48,KHP!AI48)))</f>
        <v>0</v>
      </c>
      <c r="F48">
        <f>SUMPRODUCT((MONTH(CHOOSE({1,2,3,4},KHP!T48,KHP!X48,KHP!AB48,KHP!AF48))=6)*(CHOOSE({1,2,3,4},KHP!W48,KHP!AA48,KHP!AE48,KHP!AI48)))</f>
        <v>0</v>
      </c>
      <c r="G48">
        <f>SUMPRODUCT((MONTH(CHOOSE({1,2,3,4},KHP!T48,KHP!X48,KHP!AB48,KHP!AF48))=7)*(CHOOSE({1,2,3,4},KHP!W48,KHP!AA48,KHP!AE48,KHP!AI48)))</f>
        <v>0</v>
      </c>
      <c r="H48">
        <f>SUMPRODUCT((MONTH(CHOOSE({1,2,3,4},KHP!T48,KHP!X48,KHP!AB48,KHP!AF48))=8)*(CHOOSE({1,2,3,4},KHP!W48,KHP!AA48,KHP!AE48,KHP!AI48)))</f>
        <v>0</v>
      </c>
      <c r="I48">
        <f>SUMPRODUCT((MONTH(CHOOSE({1,2,3,4},KHP!T48,KHP!X48,KHP!AB48,KHP!AF48))=9)*(CHOOSE({1,2,3,4},KHP!W48,KHP!AA48,KHP!AE48,KHP!AI48)))</f>
        <v>0</v>
      </c>
      <c r="J48">
        <f>SUMPRODUCT((MONTH(CHOOSE({1,2,3,4},KHP!T48,KHP!X48,KHP!AB48,KHP!AF48))=10)*(CHOOSE({1,2,3,4},KHP!W48,KHP!AA48,KHP!AE48,KHP!AI48)))</f>
        <v>0</v>
      </c>
      <c r="K48">
        <f>SUMPRODUCT((MONTH(CHOOSE({1,2,3,4},KHP!T48,KHP!X48,KHP!AB48,KHP!AF48))=11)*(CHOOSE({1,2,3,4},KHP!W48,KHP!AA48,KHP!AE48,KHP!AI48)))</f>
        <v>0</v>
      </c>
      <c r="L48">
        <f>SUMPRODUCT((MONTH(CHOOSE({1,2,3,4},KHP!T48,KHP!X48,KHP!AB48,KHP!AF48))=12)*(CHOOSE({1,2,3,4},KHP!W48,KHP!AA48,KHP!AE48,KHP!AI48)))</f>
        <v>0</v>
      </c>
    </row>
    <row r="49" spans="1:12">
      <c r="A49">
        <f>SUMPRODUCT((MONTH(CHOOSE({1,2,3,4},KHP!T49,KHP!X49,KHP!AB49,KHP!AF49))=1)*(CHOOSE({1,2,3,4},KHP!W49,KHP!AA49,KHP!AE49,KHP!AI49)))</f>
        <v>0</v>
      </c>
      <c r="B49">
        <f>SUMPRODUCT((MONTH(CHOOSE({1,2,3,4},KHP!T49,KHP!X49,KHP!AB49,KHP!AF49))=2)*(CHOOSE({1,2,3,4},KHP!W49,KHP!AA49,KHP!AE49,KHP!AI49)))</f>
        <v>0</v>
      </c>
      <c r="C49">
        <f>SUMPRODUCT((MONTH(CHOOSE({1,2,3,4},KHP!T49,KHP!X49,KHP!AB49,KHP!AF49))=3)*(CHOOSE({1,2,3,4},KHP!W49,KHP!AA49,KHP!AE49,KHP!AI49)))</f>
        <v>0</v>
      </c>
      <c r="D49">
        <f>SUMPRODUCT((MONTH(CHOOSE({1,2,3,4},KHP!T49,KHP!X49,KHP!AB49,KHP!AF49))=4)*(CHOOSE({1,2,3,4},KHP!W49,KHP!AA49,KHP!AE49,KHP!AI49)))</f>
        <v>0</v>
      </c>
      <c r="E49">
        <f>SUMPRODUCT((MONTH(CHOOSE({1,2,3,4},KHP!T49,KHP!X49,KHP!AB49,KHP!AF49))=5)*(CHOOSE({1,2,3,4},KHP!W49,KHP!AA49,KHP!AE49,KHP!AI49)))</f>
        <v>0</v>
      </c>
      <c r="F49">
        <f>SUMPRODUCT((MONTH(CHOOSE({1,2,3,4},KHP!T49,KHP!X49,KHP!AB49,KHP!AF49))=6)*(CHOOSE({1,2,3,4},KHP!W49,KHP!AA49,KHP!AE49,KHP!AI49)))</f>
        <v>0</v>
      </c>
      <c r="G49">
        <f>SUMPRODUCT((MONTH(CHOOSE({1,2,3,4},KHP!T49,KHP!X49,KHP!AB49,KHP!AF49))=7)*(CHOOSE({1,2,3,4},KHP!W49,KHP!AA49,KHP!AE49,KHP!AI49)))</f>
        <v>0</v>
      </c>
      <c r="H49">
        <f>SUMPRODUCT((MONTH(CHOOSE({1,2,3,4},KHP!T49,KHP!X49,KHP!AB49,KHP!AF49))=8)*(CHOOSE({1,2,3,4},KHP!W49,KHP!AA49,KHP!AE49,KHP!AI49)))</f>
        <v>0</v>
      </c>
      <c r="I49">
        <f>SUMPRODUCT((MONTH(CHOOSE({1,2,3,4},KHP!T49,KHP!X49,KHP!AB49,KHP!AF49))=9)*(CHOOSE({1,2,3,4},KHP!W49,KHP!AA49,KHP!AE49,KHP!AI49)))</f>
        <v>0</v>
      </c>
      <c r="J49">
        <f>SUMPRODUCT((MONTH(CHOOSE({1,2,3,4},KHP!T49,KHP!X49,KHP!AB49,KHP!AF49))=10)*(CHOOSE({1,2,3,4},KHP!W49,KHP!AA49,KHP!AE49,KHP!AI49)))</f>
        <v>0</v>
      </c>
      <c r="K49">
        <f>SUMPRODUCT((MONTH(CHOOSE({1,2,3,4},KHP!T49,KHP!X49,KHP!AB49,KHP!AF49))=11)*(CHOOSE({1,2,3,4},KHP!W49,KHP!AA49,KHP!AE49,KHP!AI49)))</f>
        <v>0</v>
      </c>
      <c r="L49">
        <f>SUMPRODUCT((MONTH(CHOOSE({1,2,3,4},KHP!T49,KHP!X49,KHP!AB49,KHP!AF49))=12)*(CHOOSE({1,2,3,4},KHP!W49,KHP!AA49,KHP!AE49,KHP!AI49)))</f>
        <v>0</v>
      </c>
    </row>
    <row r="50" spans="1:12">
      <c r="A50">
        <f>SUMPRODUCT((MONTH(CHOOSE({1,2,3,4},KHP!T50,KHP!X50,KHP!AB50,KHP!AF50))=1)*(CHOOSE({1,2,3,4},KHP!W50,KHP!AA50,KHP!AE50,KHP!AI50)))</f>
        <v>0</v>
      </c>
      <c r="B50">
        <f>SUMPRODUCT((MONTH(CHOOSE({1,2,3,4},KHP!T50,KHP!X50,KHP!AB50,KHP!AF50))=2)*(CHOOSE({1,2,3,4},KHP!W50,KHP!AA50,KHP!AE50,KHP!AI50)))</f>
        <v>0</v>
      </c>
      <c r="C50">
        <f>SUMPRODUCT((MONTH(CHOOSE({1,2,3,4},KHP!T50,KHP!X50,KHP!AB50,KHP!AF50))=3)*(CHOOSE({1,2,3,4},KHP!W50,KHP!AA50,KHP!AE50,KHP!AI50)))</f>
        <v>0</v>
      </c>
      <c r="D50">
        <f>SUMPRODUCT((MONTH(CHOOSE({1,2,3,4},KHP!T50,KHP!X50,KHP!AB50,KHP!AF50))=4)*(CHOOSE({1,2,3,4},KHP!W50,KHP!AA50,KHP!AE50,KHP!AI50)))</f>
        <v>0</v>
      </c>
      <c r="E50">
        <f>SUMPRODUCT((MONTH(CHOOSE({1,2,3,4},KHP!T50,KHP!X50,KHP!AB50,KHP!AF50))=5)*(CHOOSE({1,2,3,4},KHP!W50,KHP!AA50,KHP!AE50,KHP!AI50)))</f>
        <v>0</v>
      </c>
      <c r="F50">
        <f>SUMPRODUCT((MONTH(CHOOSE({1,2,3,4},KHP!T50,KHP!X50,KHP!AB50,KHP!AF50))=6)*(CHOOSE({1,2,3,4},KHP!W50,KHP!AA50,KHP!AE50,KHP!AI50)))</f>
        <v>0</v>
      </c>
      <c r="G50">
        <f>SUMPRODUCT((MONTH(CHOOSE({1,2,3,4},KHP!T50,KHP!X50,KHP!AB50,KHP!AF50))=7)*(CHOOSE({1,2,3,4},KHP!W50,KHP!AA50,KHP!AE50,KHP!AI50)))</f>
        <v>0</v>
      </c>
      <c r="H50">
        <f>SUMPRODUCT((MONTH(CHOOSE({1,2,3,4},KHP!T50,KHP!X50,KHP!AB50,KHP!AF50))=8)*(CHOOSE({1,2,3,4},KHP!W50,KHP!AA50,KHP!AE50,KHP!AI50)))</f>
        <v>0</v>
      </c>
      <c r="I50">
        <f>SUMPRODUCT((MONTH(CHOOSE({1,2,3,4},KHP!T50,KHP!X50,KHP!AB50,KHP!AF50))=9)*(CHOOSE({1,2,3,4},KHP!W50,KHP!AA50,KHP!AE50,KHP!AI50)))</f>
        <v>0</v>
      </c>
      <c r="J50">
        <f>SUMPRODUCT((MONTH(CHOOSE({1,2,3,4},KHP!T50,KHP!X50,KHP!AB50,KHP!AF50))=10)*(CHOOSE({1,2,3,4},KHP!W50,KHP!AA50,KHP!AE50,KHP!AI50)))</f>
        <v>0</v>
      </c>
      <c r="K50">
        <f>SUMPRODUCT((MONTH(CHOOSE({1,2,3,4},KHP!T50,KHP!X50,KHP!AB50,KHP!AF50))=11)*(CHOOSE({1,2,3,4},KHP!W50,KHP!AA50,KHP!AE50,KHP!AI50)))</f>
        <v>0</v>
      </c>
      <c r="L50">
        <f>SUMPRODUCT((MONTH(CHOOSE({1,2,3,4},KHP!T50,KHP!X50,KHP!AB50,KHP!AF50))=12)*(CHOOSE({1,2,3,4},KHP!W50,KHP!AA50,KHP!AE50,KHP!AI50)))</f>
        <v>0</v>
      </c>
    </row>
    <row r="51" spans="1:12">
      <c r="A51">
        <f>SUMPRODUCT((MONTH(CHOOSE({1,2,3,4},KHP!T51,KHP!X51,KHP!AB51,KHP!AF51))=1)*(CHOOSE({1,2,3,4},KHP!W51,KHP!AA51,KHP!AE51,KHP!AI51)))</f>
        <v>0</v>
      </c>
      <c r="B51">
        <f>SUMPRODUCT((MONTH(CHOOSE({1,2,3,4},KHP!T51,KHP!X51,KHP!AB51,KHP!AF51))=2)*(CHOOSE({1,2,3,4},KHP!W51,KHP!AA51,KHP!AE51,KHP!AI51)))</f>
        <v>0</v>
      </c>
      <c r="C51">
        <f>SUMPRODUCT((MONTH(CHOOSE({1,2,3,4},KHP!T51,KHP!X51,KHP!AB51,KHP!AF51))=3)*(CHOOSE({1,2,3,4},KHP!W51,KHP!AA51,KHP!AE51,KHP!AI51)))</f>
        <v>0</v>
      </c>
      <c r="D51">
        <f>SUMPRODUCT((MONTH(CHOOSE({1,2,3,4},KHP!T51,KHP!X51,KHP!AB51,KHP!AF51))=4)*(CHOOSE({1,2,3,4},KHP!W51,KHP!AA51,KHP!AE51,KHP!AI51)))</f>
        <v>0</v>
      </c>
      <c r="E51">
        <f>SUMPRODUCT((MONTH(CHOOSE({1,2,3,4},KHP!T51,KHP!X51,KHP!AB51,KHP!AF51))=5)*(CHOOSE({1,2,3,4},KHP!W51,KHP!AA51,KHP!AE51,KHP!AI51)))</f>
        <v>0</v>
      </c>
      <c r="F51">
        <f>SUMPRODUCT((MONTH(CHOOSE({1,2,3,4},KHP!T51,KHP!X51,KHP!AB51,KHP!AF51))=6)*(CHOOSE({1,2,3,4},KHP!W51,KHP!AA51,KHP!AE51,KHP!AI51)))</f>
        <v>0</v>
      </c>
      <c r="G51">
        <f>SUMPRODUCT((MONTH(CHOOSE({1,2,3,4},KHP!T51,KHP!X51,KHP!AB51,KHP!AF51))=7)*(CHOOSE({1,2,3,4},KHP!W51,KHP!AA51,KHP!AE51,KHP!AI51)))</f>
        <v>0</v>
      </c>
      <c r="H51">
        <f>SUMPRODUCT((MONTH(CHOOSE({1,2,3,4},KHP!T51,KHP!X51,KHP!AB51,KHP!AF51))=8)*(CHOOSE({1,2,3,4},KHP!W51,KHP!AA51,KHP!AE51,KHP!AI51)))</f>
        <v>0</v>
      </c>
      <c r="I51">
        <f>SUMPRODUCT((MONTH(CHOOSE({1,2,3,4},KHP!T51,KHP!X51,KHP!AB51,KHP!AF51))=9)*(CHOOSE({1,2,3,4},KHP!W51,KHP!AA51,KHP!AE51,KHP!AI51)))</f>
        <v>0</v>
      </c>
      <c r="J51">
        <f>SUMPRODUCT((MONTH(CHOOSE({1,2,3,4},KHP!T51,KHP!X51,KHP!AB51,KHP!AF51))=10)*(CHOOSE({1,2,3,4},KHP!W51,KHP!AA51,KHP!AE51,KHP!AI51)))</f>
        <v>0</v>
      </c>
      <c r="K51">
        <f>SUMPRODUCT((MONTH(CHOOSE({1,2,3,4},KHP!T51,KHP!X51,KHP!AB51,KHP!AF51))=11)*(CHOOSE({1,2,3,4},KHP!W51,KHP!AA51,KHP!AE51,KHP!AI51)))</f>
        <v>0</v>
      </c>
      <c r="L51">
        <f>SUMPRODUCT((MONTH(CHOOSE({1,2,3,4},KHP!T51,KHP!X51,KHP!AB51,KHP!AF51))=12)*(CHOOSE({1,2,3,4},KHP!W51,KHP!AA51,KHP!AE51,KHP!AI51)))</f>
        <v>0</v>
      </c>
    </row>
    <row r="52" spans="1:12">
      <c r="A52">
        <f>SUMPRODUCT((MONTH(CHOOSE({1,2,3,4},KHP!T52,KHP!X52,KHP!AB52,KHP!AF52))=1)*(CHOOSE({1,2,3,4},KHP!W52,KHP!AA52,KHP!AE52,KHP!AI52)))</f>
        <v>0</v>
      </c>
      <c r="B52">
        <f>SUMPRODUCT((MONTH(CHOOSE({1,2,3,4},KHP!T52,KHP!X52,KHP!AB52,KHP!AF52))=2)*(CHOOSE({1,2,3,4},KHP!W52,KHP!AA52,KHP!AE52,KHP!AI52)))</f>
        <v>0</v>
      </c>
      <c r="C52">
        <f>SUMPRODUCT((MONTH(CHOOSE({1,2,3,4},KHP!T52,KHP!X52,KHP!AB52,KHP!AF52))=3)*(CHOOSE({1,2,3,4},KHP!W52,KHP!AA52,KHP!AE52,KHP!AI52)))</f>
        <v>0</v>
      </c>
      <c r="D52">
        <f>SUMPRODUCT((MONTH(CHOOSE({1,2,3,4},KHP!T52,KHP!X52,KHP!AB52,KHP!AF52))=4)*(CHOOSE({1,2,3,4},KHP!W52,KHP!AA52,KHP!AE52,KHP!AI52)))</f>
        <v>0</v>
      </c>
      <c r="E52">
        <f>SUMPRODUCT((MONTH(CHOOSE({1,2,3,4},KHP!T52,KHP!X52,KHP!AB52,KHP!AF52))=5)*(CHOOSE({1,2,3,4},KHP!W52,KHP!AA52,KHP!AE52,KHP!AI52)))</f>
        <v>0</v>
      </c>
      <c r="F52">
        <f>SUMPRODUCT((MONTH(CHOOSE({1,2,3,4},KHP!T52,KHP!X52,KHP!AB52,KHP!AF52))=6)*(CHOOSE({1,2,3,4},KHP!W52,KHP!AA52,KHP!AE52,KHP!AI52)))</f>
        <v>0</v>
      </c>
      <c r="G52">
        <f>SUMPRODUCT((MONTH(CHOOSE({1,2,3,4},KHP!T52,KHP!X52,KHP!AB52,KHP!AF52))=7)*(CHOOSE({1,2,3,4},KHP!W52,KHP!AA52,KHP!AE52,KHP!AI52)))</f>
        <v>0</v>
      </c>
      <c r="H52">
        <f>SUMPRODUCT((MONTH(CHOOSE({1,2,3,4},KHP!T52,KHP!X52,KHP!AB52,KHP!AF52))=8)*(CHOOSE({1,2,3,4},KHP!W52,KHP!AA52,KHP!AE52,KHP!AI52)))</f>
        <v>0</v>
      </c>
      <c r="I52">
        <f>SUMPRODUCT((MONTH(CHOOSE({1,2,3,4},KHP!T52,KHP!X52,KHP!AB52,KHP!AF52))=9)*(CHOOSE({1,2,3,4},KHP!W52,KHP!AA52,KHP!AE52,KHP!AI52)))</f>
        <v>0</v>
      </c>
      <c r="J52">
        <f>SUMPRODUCT((MONTH(CHOOSE({1,2,3,4},KHP!T52,KHP!X52,KHP!AB52,KHP!AF52))=10)*(CHOOSE({1,2,3,4},KHP!W52,KHP!AA52,KHP!AE52,KHP!AI52)))</f>
        <v>0</v>
      </c>
      <c r="K52">
        <f>SUMPRODUCT((MONTH(CHOOSE({1,2,3,4},KHP!T52,KHP!X52,KHP!AB52,KHP!AF52))=11)*(CHOOSE({1,2,3,4},KHP!W52,KHP!AA52,KHP!AE52,KHP!AI52)))</f>
        <v>0</v>
      </c>
      <c r="L52">
        <f>SUMPRODUCT((MONTH(CHOOSE({1,2,3,4},KHP!T52,KHP!X52,KHP!AB52,KHP!AF52))=12)*(CHOOSE({1,2,3,4},KHP!W52,KHP!AA52,KHP!AE52,KHP!AI52)))</f>
        <v>0</v>
      </c>
    </row>
    <row r="53" spans="1:12">
      <c r="A53">
        <f>SUMPRODUCT((MONTH(CHOOSE({1,2,3,4},KHP!T53,KHP!X53,KHP!AB53,KHP!AF53))=1)*(CHOOSE({1,2,3,4},KHP!W53,KHP!AA53,KHP!AE53,KHP!AI53)))</f>
        <v>0</v>
      </c>
      <c r="B53">
        <f>SUMPRODUCT((MONTH(CHOOSE({1,2,3,4},KHP!T53,KHP!X53,KHP!AB53,KHP!AF53))=2)*(CHOOSE({1,2,3,4},KHP!W53,KHP!AA53,KHP!AE53,KHP!AI53)))</f>
        <v>0</v>
      </c>
      <c r="C53">
        <f>SUMPRODUCT((MONTH(CHOOSE({1,2,3,4},KHP!T53,KHP!X53,KHP!AB53,KHP!AF53))=3)*(CHOOSE({1,2,3,4},KHP!W53,KHP!AA53,KHP!AE53,KHP!AI53)))</f>
        <v>0</v>
      </c>
      <c r="D53">
        <f>SUMPRODUCT((MONTH(CHOOSE({1,2,3,4},KHP!T53,KHP!X53,KHP!AB53,KHP!AF53))=4)*(CHOOSE({1,2,3,4},KHP!W53,KHP!AA53,KHP!AE53,KHP!AI53)))</f>
        <v>0</v>
      </c>
      <c r="E53">
        <f>SUMPRODUCT((MONTH(CHOOSE({1,2,3,4},KHP!T53,KHP!X53,KHP!AB53,KHP!AF53))=5)*(CHOOSE({1,2,3,4},KHP!W53,KHP!AA53,KHP!AE53,KHP!AI53)))</f>
        <v>0</v>
      </c>
      <c r="F53">
        <f>SUMPRODUCT((MONTH(CHOOSE({1,2,3,4},KHP!T53,KHP!X53,KHP!AB53,KHP!AF53))=6)*(CHOOSE({1,2,3,4},KHP!W53,KHP!AA53,KHP!AE53,KHP!AI53)))</f>
        <v>0</v>
      </c>
      <c r="G53">
        <f>SUMPRODUCT((MONTH(CHOOSE({1,2,3,4},KHP!T53,KHP!X53,KHP!AB53,KHP!AF53))=7)*(CHOOSE({1,2,3,4},KHP!W53,KHP!AA53,KHP!AE53,KHP!AI53)))</f>
        <v>0</v>
      </c>
      <c r="H53">
        <f>SUMPRODUCT((MONTH(CHOOSE({1,2,3,4},KHP!T53,KHP!X53,KHP!AB53,KHP!AF53))=8)*(CHOOSE({1,2,3,4},KHP!W53,KHP!AA53,KHP!AE53,KHP!AI53)))</f>
        <v>0</v>
      </c>
      <c r="I53">
        <f>SUMPRODUCT((MONTH(CHOOSE({1,2,3,4},KHP!T53,KHP!X53,KHP!AB53,KHP!AF53))=9)*(CHOOSE({1,2,3,4},KHP!W53,KHP!AA53,KHP!AE53,KHP!AI53)))</f>
        <v>0</v>
      </c>
      <c r="J53">
        <f>SUMPRODUCT((MONTH(CHOOSE({1,2,3,4},KHP!T53,KHP!X53,KHP!AB53,KHP!AF53))=10)*(CHOOSE({1,2,3,4},KHP!W53,KHP!AA53,KHP!AE53,KHP!AI53)))</f>
        <v>0</v>
      </c>
      <c r="K53">
        <f>SUMPRODUCT((MONTH(CHOOSE({1,2,3,4},KHP!T53,KHP!X53,KHP!AB53,KHP!AF53))=11)*(CHOOSE({1,2,3,4},KHP!W53,KHP!AA53,KHP!AE53,KHP!AI53)))</f>
        <v>0</v>
      </c>
      <c r="L53">
        <f>SUMPRODUCT((MONTH(CHOOSE({1,2,3,4},KHP!T53,KHP!X53,KHP!AB53,KHP!AF53))=12)*(CHOOSE({1,2,3,4},KHP!W53,KHP!AA53,KHP!AE53,KHP!AI53)))</f>
        <v>0</v>
      </c>
    </row>
    <row r="54" spans="1:12">
      <c r="A54">
        <f>SUMPRODUCT((MONTH(CHOOSE({1,2,3,4},KHP!T54,KHP!X54,KHP!AB54,KHP!AF54))=1)*(CHOOSE({1,2,3,4},KHP!W54,KHP!AA54,KHP!AE54,KHP!AI54)))</f>
        <v>0</v>
      </c>
      <c r="B54">
        <f>SUMPRODUCT((MONTH(CHOOSE({1,2,3,4},KHP!T54,KHP!X54,KHP!AB54,KHP!AF54))=2)*(CHOOSE({1,2,3,4},KHP!W54,KHP!AA54,KHP!AE54,KHP!AI54)))</f>
        <v>0</v>
      </c>
      <c r="C54">
        <f>SUMPRODUCT((MONTH(CHOOSE({1,2,3,4},KHP!T54,KHP!X54,KHP!AB54,KHP!AF54))=3)*(CHOOSE({1,2,3,4},KHP!W54,KHP!AA54,KHP!AE54,KHP!AI54)))</f>
        <v>0</v>
      </c>
      <c r="D54">
        <f>SUMPRODUCT((MONTH(CHOOSE({1,2,3,4},KHP!T54,KHP!X54,KHP!AB54,KHP!AF54))=4)*(CHOOSE({1,2,3,4},KHP!W54,KHP!AA54,KHP!AE54,KHP!AI54)))</f>
        <v>0</v>
      </c>
      <c r="E54">
        <f>SUMPRODUCT((MONTH(CHOOSE({1,2,3,4},KHP!T54,KHP!X54,KHP!AB54,KHP!AF54))=5)*(CHOOSE({1,2,3,4},KHP!W54,KHP!AA54,KHP!AE54,KHP!AI54)))</f>
        <v>0</v>
      </c>
      <c r="F54">
        <f>SUMPRODUCT((MONTH(CHOOSE({1,2,3,4},KHP!T54,KHP!X54,KHP!AB54,KHP!AF54))=6)*(CHOOSE({1,2,3,4},KHP!W54,KHP!AA54,KHP!AE54,KHP!AI54)))</f>
        <v>0</v>
      </c>
      <c r="G54">
        <f>SUMPRODUCT((MONTH(CHOOSE({1,2,3,4},KHP!T54,KHP!X54,KHP!AB54,KHP!AF54))=7)*(CHOOSE({1,2,3,4},KHP!W54,KHP!AA54,KHP!AE54,KHP!AI54)))</f>
        <v>0</v>
      </c>
      <c r="H54">
        <f>SUMPRODUCT((MONTH(CHOOSE({1,2,3,4},KHP!T54,KHP!X54,KHP!AB54,KHP!AF54))=8)*(CHOOSE({1,2,3,4},KHP!W54,KHP!AA54,KHP!AE54,KHP!AI54)))</f>
        <v>0</v>
      </c>
      <c r="I54">
        <f>SUMPRODUCT((MONTH(CHOOSE({1,2,3,4},KHP!T54,KHP!X54,KHP!AB54,KHP!AF54))=9)*(CHOOSE({1,2,3,4},KHP!W54,KHP!AA54,KHP!AE54,KHP!AI54)))</f>
        <v>0</v>
      </c>
      <c r="J54">
        <f>SUMPRODUCT((MONTH(CHOOSE({1,2,3,4},KHP!T54,KHP!X54,KHP!AB54,KHP!AF54))=10)*(CHOOSE({1,2,3,4},KHP!W54,KHP!AA54,KHP!AE54,KHP!AI54)))</f>
        <v>0</v>
      </c>
      <c r="K54">
        <f>SUMPRODUCT((MONTH(CHOOSE({1,2,3,4},KHP!T54,KHP!X54,KHP!AB54,KHP!AF54))=11)*(CHOOSE({1,2,3,4},KHP!W54,KHP!AA54,KHP!AE54,KHP!AI54)))</f>
        <v>0</v>
      </c>
      <c r="L54">
        <f>SUMPRODUCT((MONTH(CHOOSE({1,2,3,4},KHP!T54,KHP!X54,KHP!AB54,KHP!AF54))=12)*(CHOOSE({1,2,3,4},KHP!W54,KHP!AA54,KHP!AE54,KHP!AI54)))</f>
        <v>0</v>
      </c>
    </row>
    <row r="55" spans="1:12">
      <c r="A55">
        <f>SUMPRODUCT((MONTH(CHOOSE({1,2,3,4},KHP!T55,KHP!X55,KHP!AB55,KHP!AF55))=1)*(CHOOSE({1,2,3,4},KHP!W55,KHP!AA55,KHP!AE55,KHP!AI55)))</f>
        <v>0</v>
      </c>
      <c r="B55">
        <f>SUMPRODUCT((MONTH(CHOOSE({1,2,3,4},KHP!T55,KHP!X55,KHP!AB55,KHP!AF55))=2)*(CHOOSE({1,2,3,4},KHP!W55,KHP!AA55,KHP!AE55,KHP!AI55)))</f>
        <v>0</v>
      </c>
      <c r="C55">
        <f>SUMPRODUCT((MONTH(CHOOSE({1,2,3,4},KHP!T55,KHP!X55,KHP!AB55,KHP!AF55))=3)*(CHOOSE({1,2,3,4},KHP!W55,KHP!AA55,KHP!AE55,KHP!AI55)))</f>
        <v>0</v>
      </c>
      <c r="D55">
        <f>SUMPRODUCT((MONTH(CHOOSE({1,2,3,4},KHP!T55,KHP!X55,KHP!AB55,KHP!AF55))=4)*(CHOOSE({1,2,3,4},KHP!W55,KHP!AA55,KHP!AE55,KHP!AI55)))</f>
        <v>0</v>
      </c>
      <c r="E55">
        <f>SUMPRODUCT((MONTH(CHOOSE({1,2,3,4},KHP!T55,KHP!X55,KHP!AB55,KHP!AF55))=5)*(CHOOSE({1,2,3,4},KHP!W55,KHP!AA55,KHP!AE55,KHP!AI55)))</f>
        <v>0</v>
      </c>
      <c r="F55">
        <f>SUMPRODUCT((MONTH(CHOOSE({1,2,3,4},KHP!T55,KHP!X55,KHP!AB55,KHP!AF55))=6)*(CHOOSE({1,2,3,4},KHP!W55,KHP!AA55,KHP!AE55,KHP!AI55)))</f>
        <v>0</v>
      </c>
      <c r="G55">
        <f>SUMPRODUCT((MONTH(CHOOSE({1,2,3,4},KHP!T55,KHP!X55,KHP!AB55,KHP!AF55))=7)*(CHOOSE({1,2,3,4},KHP!W55,KHP!AA55,KHP!AE55,KHP!AI55)))</f>
        <v>0</v>
      </c>
      <c r="H55">
        <f>SUMPRODUCT((MONTH(CHOOSE({1,2,3,4},KHP!T55,KHP!X55,KHP!AB55,KHP!AF55))=8)*(CHOOSE({1,2,3,4},KHP!W55,KHP!AA55,KHP!AE55,KHP!AI55)))</f>
        <v>0</v>
      </c>
      <c r="I55">
        <f>SUMPRODUCT((MONTH(CHOOSE({1,2,3,4},KHP!T55,KHP!X55,KHP!AB55,KHP!AF55))=9)*(CHOOSE({1,2,3,4},KHP!W55,KHP!AA55,KHP!AE55,KHP!AI55)))</f>
        <v>0</v>
      </c>
      <c r="J55">
        <f>SUMPRODUCT((MONTH(CHOOSE({1,2,3,4},KHP!T55,KHP!X55,KHP!AB55,KHP!AF55))=10)*(CHOOSE({1,2,3,4},KHP!W55,KHP!AA55,KHP!AE55,KHP!AI55)))</f>
        <v>0</v>
      </c>
      <c r="K55">
        <f>SUMPRODUCT((MONTH(CHOOSE({1,2,3,4},KHP!T55,KHP!X55,KHP!AB55,KHP!AF55))=11)*(CHOOSE({1,2,3,4},KHP!W55,KHP!AA55,KHP!AE55,KHP!AI55)))</f>
        <v>0</v>
      </c>
      <c r="L55">
        <f>SUMPRODUCT((MONTH(CHOOSE({1,2,3,4},KHP!T55,KHP!X55,KHP!AB55,KHP!AF55))=12)*(CHOOSE({1,2,3,4},KHP!W55,KHP!AA55,KHP!AE55,KHP!AI55)))</f>
        <v>0</v>
      </c>
    </row>
    <row r="56" spans="1:12">
      <c r="A56">
        <f>SUMPRODUCT((MONTH(CHOOSE({1,2,3,4},KHP!T56,KHP!X56,KHP!AB56,KHP!AF56))=1)*(CHOOSE({1,2,3,4},KHP!W56,KHP!AA56,KHP!AE56,KHP!AI56)))</f>
        <v>0</v>
      </c>
      <c r="B56">
        <f>SUMPRODUCT((MONTH(CHOOSE({1,2,3,4},KHP!T56,KHP!X56,KHP!AB56,KHP!AF56))=2)*(CHOOSE({1,2,3,4},KHP!W56,KHP!AA56,KHP!AE56,KHP!AI56)))</f>
        <v>0</v>
      </c>
      <c r="C56">
        <f>SUMPRODUCT((MONTH(CHOOSE({1,2,3,4},KHP!T56,KHP!X56,KHP!AB56,KHP!AF56))=3)*(CHOOSE({1,2,3,4},KHP!W56,KHP!AA56,KHP!AE56,KHP!AI56)))</f>
        <v>0</v>
      </c>
      <c r="D56">
        <f>SUMPRODUCT((MONTH(CHOOSE({1,2,3,4},KHP!T56,KHP!X56,KHP!AB56,KHP!AF56))=4)*(CHOOSE({1,2,3,4},KHP!W56,KHP!AA56,KHP!AE56,KHP!AI56)))</f>
        <v>0</v>
      </c>
      <c r="E56">
        <f>SUMPRODUCT((MONTH(CHOOSE({1,2,3,4},KHP!T56,KHP!X56,KHP!AB56,KHP!AF56))=5)*(CHOOSE({1,2,3,4},KHP!W56,KHP!AA56,KHP!AE56,KHP!AI56)))</f>
        <v>0</v>
      </c>
      <c r="F56">
        <f>SUMPRODUCT((MONTH(CHOOSE({1,2,3,4},KHP!T56,KHP!X56,KHP!AB56,KHP!AF56))=6)*(CHOOSE({1,2,3,4},KHP!W56,KHP!AA56,KHP!AE56,KHP!AI56)))</f>
        <v>0</v>
      </c>
      <c r="G56">
        <f>SUMPRODUCT((MONTH(CHOOSE({1,2,3,4},KHP!T56,KHP!X56,KHP!AB56,KHP!AF56))=7)*(CHOOSE({1,2,3,4},KHP!W56,KHP!AA56,KHP!AE56,KHP!AI56)))</f>
        <v>0</v>
      </c>
      <c r="H56">
        <f>SUMPRODUCT((MONTH(CHOOSE({1,2,3,4},KHP!T56,KHP!X56,KHP!AB56,KHP!AF56))=8)*(CHOOSE({1,2,3,4},KHP!W56,KHP!AA56,KHP!AE56,KHP!AI56)))</f>
        <v>0</v>
      </c>
      <c r="I56">
        <f>SUMPRODUCT((MONTH(CHOOSE({1,2,3,4},KHP!T56,KHP!X56,KHP!AB56,KHP!AF56))=9)*(CHOOSE({1,2,3,4},KHP!W56,KHP!AA56,KHP!AE56,KHP!AI56)))</f>
        <v>0</v>
      </c>
      <c r="J56">
        <f>SUMPRODUCT((MONTH(CHOOSE({1,2,3,4},KHP!T56,KHP!X56,KHP!AB56,KHP!AF56))=10)*(CHOOSE({1,2,3,4},KHP!W56,KHP!AA56,KHP!AE56,KHP!AI56)))</f>
        <v>0</v>
      </c>
      <c r="K56">
        <f>SUMPRODUCT((MONTH(CHOOSE({1,2,3,4},KHP!T56,KHP!X56,KHP!AB56,KHP!AF56))=11)*(CHOOSE({1,2,3,4},KHP!W56,KHP!AA56,KHP!AE56,KHP!AI56)))</f>
        <v>0</v>
      </c>
      <c r="L56">
        <f>SUMPRODUCT((MONTH(CHOOSE({1,2,3,4},KHP!T56,KHP!X56,KHP!AB56,KHP!AF56))=12)*(CHOOSE({1,2,3,4},KHP!W56,KHP!AA56,KHP!AE56,KHP!AI56)))</f>
        <v>0</v>
      </c>
    </row>
    <row r="57" spans="1:12">
      <c r="A57">
        <f>SUMPRODUCT((MONTH(CHOOSE({1,2,3,4},KHP!T57,KHP!X57,KHP!AB57,KHP!AF57))=1)*(CHOOSE({1,2,3,4},KHP!W57,KHP!AA57,KHP!AE57,KHP!AI57)))</f>
        <v>0</v>
      </c>
      <c r="B57">
        <f>SUMPRODUCT((MONTH(CHOOSE({1,2,3,4},KHP!T57,KHP!X57,KHP!AB57,KHP!AF57))=2)*(CHOOSE({1,2,3,4},KHP!W57,KHP!AA57,KHP!AE57,KHP!AI57)))</f>
        <v>0</v>
      </c>
      <c r="C57">
        <f>SUMPRODUCT((MONTH(CHOOSE({1,2,3,4},KHP!T57,KHP!X57,KHP!AB57,KHP!AF57))=3)*(CHOOSE({1,2,3,4},KHP!W57,KHP!AA57,KHP!AE57,KHP!AI57)))</f>
        <v>0</v>
      </c>
      <c r="D57">
        <f>SUMPRODUCT((MONTH(CHOOSE({1,2,3,4},KHP!T57,KHP!X57,KHP!AB57,KHP!AF57))=4)*(CHOOSE({1,2,3,4},KHP!W57,KHP!AA57,KHP!AE57,KHP!AI57)))</f>
        <v>0</v>
      </c>
      <c r="E57">
        <f>SUMPRODUCT((MONTH(CHOOSE({1,2,3,4},KHP!T57,KHP!X57,KHP!AB57,KHP!AF57))=5)*(CHOOSE({1,2,3,4},KHP!W57,KHP!AA57,KHP!AE57,KHP!AI57)))</f>
        <v>0</v>
      </c>
      <c r="F57">
        <f>SUMPRODUCT((MONTH(CHOOSE({1,2,3,4},KHP!T57,KHP!X57,KHP!AB57,KHP!AF57))=6)*(CHOOSE({1,2,3,4},KHP!W57,KHP!AA57,KHP!AE57,KHP!AI57)))</f>
        <v>0</v>
      </c>
      <c r="G57">
        <f>SUMPRODUCT((MONTH(CHOOSE({1,2,3,4},KHP!T57,KHP!X57,KHP!AB57,KHP!AF57))=7)*(CHOOSE({1,2,3,4},KHP!W57,KHP!AA57,KHP!AE57,KHP!AI57)))</f>
        <v>0</v>
      </c>
      <c r="H57">
        <f>SUMPRODUCT((MONTH(CHOOSE({1,2,3,4},KHP!T57,KHP!X57,KHP!AB57,KHP!AF57))=8)*(CHOOSE({1,2,3,4},KHP!W57,KHP!AA57,KHP!AE57,KHP!AI57)))</f>
        <v>0</v>
      </c>
      <c r="I57">
        <f>SUMPRODUCT((MONTH(CHOOSE({1,2,3,4},KHP!T57,KHP!X57,KHP!AB57,KHP!AF57))=9)*(CHOOSE({1,2,3,4},KHP!W57,KHP!AA57,KHP!AE57,KHP!AI57)))</f>
        <v>0</v>
      </c>
      <c r="J57">
        <f>SUMPRODUCT((MONTH(CHOOSE({1,2,3,4},KHP!T57,KHP!X57,KHP!AB57,KHP!AF57))=10)*(CHOOSE({1,2,3,4},KHP!W57,KHP!AA57,KHP!AE57,KHP!AI57)))</f>
        <v>0</v>
      </c>
      <c r="K57">
        <f>SUMPRODUCT((MONTH(CHOOSE({1,2,3,4},KHP!T57,KHP!X57,KHP!AB57,KHP!AF57))=11)*(CHOOSE({1,2,3,4},KHP!W57,KHP!AA57,KHP!AE57,KHP!AI57)))</f>
        <v>0</v>
      </c>
      <c r="L57">
        <f>SUMPRODUCT((MONTH(CHOOSE({1,2,3,4},KHP!T57,KHP!X57,KHP!AB57,KHP!AF57))=12)*(CHOOSE({1,2,3,4},KHP!W57,KHP!AA57,KHP!AE57,KHP!AI57)))</f>
        <v>0</v>
      </c>
    </row>
    <row r="58" spans="1:12">
      <c r="A58">
        <f>SUMPRODUCT((MONTH(CHOOSE({1,2,3,4},KHP!T58,KHP!X58,KHP!AB58,KHP!AF58))=1)*(CHOOSE({1,2,3,4},KHP!W58,KHP!AA58,KHP!AE58,KHP!AI58)))</f>
        <v>0</v>
      </c>
      <c r="B58">
        <f>SUMPRODUCT((MONTH(CHOOSE({1,2,3,4},KHP!T58,KHP!X58,KHP!AB58,KHP!AF58))=2)*(CHOOSE({1,2,3,4},KHP!W58,KHP!AA58,KHP!AE58,KHP!AI58)))</f>
        <v>0</v>
      </c>
      <c r="C58">
        <f>SUMPRODUCT((MONTH(CHOOSE({1,2,3,4},KHP!T58,KHP!X58,KHP!AB58,KHP!AF58))=3)*(CHOOSE({1,2,3,4},KHP!W58,KHP!AA58,KHP!AE58,KHP!AI58)))</f>
        <v>0</v>
      </c>
      <c r="D58">
        <f>SUMPRODUCT((MONTH(CHOOSE({1,2,3,4},KHP!T58,KHP!X58,KHP!AB58,KHP!AF58))=4)*(CHOOSE({1,2,3,4},KHP!W58,KHP!AA58,KHP!AE58,KHP!AI58)))</f>
        <v>0</v>
      </c>
      <c r="E58">
        <f>SUMPRODUCT((MONTH(CHOOSE({1,2,3,4},KHP!T58,KHP!X58,KHP!AB58,KHP!AF58))=5)*(CHOOSE({1,2,3,4},KHP!W58,KHP!AA58,KHP!AE58,KHP!AI58)))</f>
        <v>0</v>
      </c>
      <c r="F58">
        <f>SUMPRODUCT((MONTH(CHOOSE({1,2,3,4},KHP!T58,KHP!X58,KHP!AB58,KHP!AF58))=6)*(CHOOSE({1,2,3,4},KHP!W58,KHP!AA58,KHP!AE58,KHP!AI58)))</f>
        <v>0</v>
      </c>
      <c r="G58">
        <f>SUMPRODUCT((MONTH(CHOOSE({1,2,3,4},KHP!T58,KHP!X58,KHP!AB58,KHP!AF58))=7)*(CHOOSE({1,2,3,4},KHP!W58,KHP!AA58,KHP!AE58,KHP!AI58)))</f>
        <v>0</v>
      </c>
      <c r="H58">
        <f>SUMPRODUCT((MONTH(CHOOSE({1,2,3,4},KHP!T58,KHP!X58,KHP!AB58,KHP!AF58))=8)*(CHOOSE({1,2,3,4},KHP!W58,KHP!AA58,KHP!AE58,KHP!AI58)))</f>
        <v>0</v>
      </c>
      <c r="I58">
        <f>SUMPRODUCT((MONTH(CHOOSE({1,2,3,4},KHP!T58,KHP!X58,KHP!AB58,KHP!AF58))=9)*(CHOOSE({1,2,3,4},KHP!W58,KHP!AA58,KHP!AE58,KHP!AI58)))</f>
        <v>0</v>
      </c>
      <c r="J58">
        <f>SUMPRODUCT((MONTH(CHOOSE({1,2,3,4},KHP!T58,KHP!X58,KHP!AB58,KHP!AF58))=10)*(CHOOSE({1,2,3,4},KHP!W58,KHP!AA58,KHP!AE58,KHP!AI58)))</f>
        <v>0</v>
      </c>
      <c r="K58">
        <f>SUMPRODUCT((MONTH(CHOOSE({1,2,3,4},KHP!T58,KHP!X58,KHP!AB58,KHP!AF58))=11)*(CHOOSE({1,2,3,4},KHP!W58,KHP!AA58,KHP!AE58,KHP!AI58)))</f>
        <v>0</v>
      </c>
      <c r="L58">
        <f>SUMPRODUCT((MONTH(CHOOSE({1,2,3,4},KHP!T58,KHP!X58,KHP!AB58,KHP!AF58))=12)*(CHOOSE({1,2,3,4},KHP!W58,KHP!AA58,KHP!AE58,KHP!AI58)))</f>
        <v>0</v>
      </c>
    </row>
    <row r="59" spans="1:12">
      <c r="A59">
        <f>SUMPRODUCT((MONTH(CHOOSE({1,2,3,4},KHP!T59,KHP!X59,KHP!AB59,KHP!AF59))=1)*(CHOOSE({1,2,3,4},KHP!W59,KHP!AA59,KHP!AE59,KHP!AI59)))</f>
        <v>0</v>
      </c>
      <c r="B59">
        <f>SUMPRODUCT((MONTH(CHOOSE({1,2,3,4},KHP!T59,KHP!X59,KHP!AB59,KHP!AF59))=2)*(CHOOSE({1,2,3,4},KHP!W59,KHP!AA59,KHP!AE59,KHP!AI59)))</f>
        <v>0</v>
      </c>
      <c r="C59">
        <f>SUMPRODUCT((MONTH(CHOOSE({1,2,3,4},KHP!T59,KHP!X59,KHP!AB59,KHP!AF59))=3)*(CHOOSE({1,2,3,4},KHP!W59,KHP!AA59,KHP!AE59,KHP!AI59)))</f>
        <v>0</v>
      </c>
      <c r="D59">
        <f>SUMPRODUCT((MONTH(CHOOSE({1,2,3,4},KHP!T59,KHP!X59,KHP!AB59,KHP!AF59))=4)*(CHOOSE({1,2,3,4},KHP!W59,KHP!AA59,KHP!AE59,KHP!AI59)))</f>
        <v>0</v>
      </c>
      <c r="E59">
        <f>SUMPRODUCT((MONTH(CHOOSE({1,2,3,4},KHP!T59,KHP!X59,KHP!AB59,KHP!AF59))=5)*(CHOOSE({1,2,3,4},KHP!W59,KHP!AA59,KHP!AE59,KHP!AI59)))</f>
        <v>0</v>
      </c>
      <c r="F59">
        <f>SUMPRODUCT((MONTH(CHOOSE({1,2,3,4},KHP!T59,KHP!X59,KHP!AB59,KHP!AF59))=6)*(CHOOSE({1,2,3,4},KHP!W59,KHP!AA59,KHP!AE59,KHP!AI59)))</f>
        <v>0</v>
      </c>
      <c r="G59">
        <f>SUMPRODUCT((MONTH(CHOOSE({1,2,3,4},KHP!T59,KHP!X59,KHP!AB59,KHP!AF59))=7)*(CHOOSE({1,2,3,4},KHP!W59,KHP!AA59,KHP!AE59,KHP!AI59)))</f>
        <v>0</v>
      </c>
      <c r="H59">
        <f>SUMPRODUCT((MONTH(CHOOSE({1,2,3,4},KHP!T59,KHP!X59,KHP!AB59,KHP!AF59))=8)*(CHOOSE({1,2,3,4},KHP!W59,KHP!AA59,KHP!AE59,KHP!AI59)))</f>
        <v>0</v>
      </c>
      <c r="I59">
        <f>SUMPRODUCT((MONTH(CHOOSE({1,2,3,4},KHP!T59,KHP!X59,KHP!AB59,KHP!AF59))=9)*(CHOOSE({1,2,3,4},KHP!W59,KHP!AA59,KHP!AE59,KHP!AI59)))</f>
        <v>0</v>
      </c>
      <c r="J59">
        <f>SUMPRODUCT((MONTH(CHOOSE({1,2,3,4},KHP!T59,KHP!X59,KHP!AB59,KHP!AF59))=10)*(CHOOSE({1,2,3,4},KHP!W59,KHP!AA59,KHP!AE59,KHP!AI59)))</f>
        <v>0</v>
      </c>
      <c r="K59">
        <f>SUMPRODUCT((MONTH(CHOOSE({1,2,3,4},KHP!T59,KHP!X59,KHP!AB59,KHP!AF59))=11)*(CHOOSE({1,2,3,4},KHP!W59,KHP!AA59,KHP!AE59,KHP!AI59)))</f>
        <v>0</v>
      </c>
      <c r="L59">
        <f>SUMPRODUCT((MONTH(CHOOSE({1,2,3,4},KHP!T59,KHP!X59,KHP!AB59,KHP!AF59))=12)*(CHOOSE({1,2,3,4},KHP!W59,KHP!AA59,KHP!AE59,KHP!AI59)))</f>
        <v>0</v>
      </c>
    </row>
    <row r="60" spans="1:12">
      <c r="A60">
        <f>SUMPRODUCT((MONTH(CHOOSE({1,2,3,4},KHP!T60,KHP!X60,KHP!AB60,KHP!AF60))=1)*(CHOOSE({1,2,3,4},KHP!W60,KHP!AA60,KHP!AE60,KHP!AI60)))</f>
        <v>0</v>
      </c>
      <c r="B60">
        <f>SUMPRODUCT((MONTH(CHOOSE({1,2,3,4},KHP!T60,KHP!X60,KHP!AB60,KHP!AF60))=2)*(CHOOSE({1,2,3,4},KHP!W60,KHP!AA60,KHP!AE60,KHP!AI60)))</f>
        <v>0</v>
      </c>
      <c r="C60">
        <f>SUMPRODUCT((MONTH(CHOOSE({1,2,3,4},KHP!T60,KHP!X60,KHP!AB60,KHP!AF60))=3)*(CHOOSE({1,2,3,4},KHP!W60,KHP!AA60,KHP!AE60,KHP!AI60)))</f>
        <v>0</v>
      </c>
      <c r="D60">
        <f>SUMPRODUCT((MONTH(CHOOSE({1,2,3,4},KHP!T60,KHP!X60,KHP!AB60,KHP!AF60))=4)*(CHOOSE({1,2,3,4},KHP!W60,KHP!AA60,KHP!AE60,KHP!AI60)))</f>
        <v>0</v>
      </c>
      <c r="E60">
        <f>SUMPRODUCT((MONTH(CHOOSE({1,2,3,4},KHP!T60,KHP!X60,KHP!AB60,KHP!AF60))=5)*(CHOOSE({1,2,3,4},KHP!W60,KHP!AA60,KHP!AE60,KHP!AI60)))</f>
        <v>0</v>
      </c>
      <c r="F60">
        <f>SUMPRODUCT((MONTH(CHOOSE({1,2,3,4},KHP!T60,KHP!X60,KHP!AB60,KHP!AF60))=6)*(CHOOSE({1,2,3,4},KHP!W60,KHP!AA60,KHP!AE60,KHP!AI60)))</f>
        <v>0</v>
      </c>
      <c r="G60">
        <f>SUMPRODUCT((MONTH(CHOOSE({1,2,3,4},KHP!T60,KHP!X60,KHP!AB60,KHP!AF60))=7)*(CHOOSE({1,2,3,4},KHP!W60,KHP!AA60,KHP!AE60,KHP!AI60)))</f>
        <v>0</v>
      </c>
      <c r="H60">
        <f>SUMPRODUCT((MONTH(CHOOSE({1,2,3,4},KHP!T60,KHP!X60,KHP!AB60,KHP!AF60))=8)*(CHOOSE({1,2,3,4},KHP!W60,KHP!AA60,KHP!AE60,KHP!AI60)))</f>
        <v>0</v>
      </c>
      <c r="I60">
        <f>SUMPRODUCT((MONTH(CHOOSE({1,2,3,4},KHP!T60,KHP!X60,KHP!AB60,KHP!AF60))=9)*(CHOOSE({1,2,3,4},KHP!W60,KHP!AA60,KHP!AE60,KHP!AI60)))</f>
        <v>0</v>
      </c>
      <c r="J60">
        <f>SUMPRODUCT((MONTH(CHOOSE({1,2,3,4},KHP!T60,KHP!X60,KHP!AB60,KHP!AF60))=10)*(CHOOSE({1,2,3,4},KHP!W60,KHP!AA60,KHP!AE60,KHP!AI60)))</f>
        <v>0</v>
      </c>
      <c r="K60">
        <f>SUMPRODUCT((MONTH(CHOOSE({1,2,3,4},KHP!T60,KHP!X60,KHP!AB60,KHP!AF60))=11)*(CHOOSE({1,2,3,4},KHP!W60,KHP!AA60,KHP!AE60,KHP!AI60)))</f>
        <v>0</v>
      </c>
      <c r="L60">
        <f>SUMPRODUCT((MONTH(CHOOSE({1,2,3,4},KHP!T60,KHP!X60,KHP!AB60,KHP!AF60))=12)*(CHOOSE({1,2,3,4},KHP!W60,KHP!AA60,KHP!AE60,KHP!AI60)))</f>
        <v>0</v>
      </c>
    </row>
    <row r="61" spans="1:12">
      <c r="A61">
        <f>SUMPRODUCT((MONTH(CHOOSE({1,2,3,4},KHP!T61,KHP!X61,KHP!AB61,KHP!AF61))=1)*(CHOOSE({1,2,3,4},KHP!W61,KHP!AA61,KHP!AE61,KHP!AI61)))</f>
        <v>0</v>
      </c>
      <c r="B61">
        <f>SUMPRODUCT((MONTH(CHOOSE({1,2,3,4},KHP!T61,KHP!X61,KHP!AB61,KHP!AF61))=2)*(CHOOSE({1,2,3,4},KHP!W61,KHP!AA61,KHP!AE61,KHP!AI61)))</f>
        <v>0</v>
      </c>
      <c r="C61">
        <f>SUMPRODUCT((MONTH(CHOOSE({1,2,3,4},KHP!T61,KHP!X61,KHP!AB61,KHP!AF61))=3)*(CHOOSE({1,2,3,4},KHP!W61,KHP!AA61,KHP!AE61,KHP!AI61)))</f>
        <v>0</v>
      </c>
      <c r="D61">
        <f>SUMPRODUCT((MONTH(CHOOSE({1,2,3,4},KHP!T61,KHP!X61,KHP!AB61,KHP!AF61))=4)*(CHOOSE({1,2,3,4},KHP!W61,KHP!AA61,KHP!AE61,KHP!AI61)))</f>
        <v>0</v>
      </c>
      <c r="E61">
        <f>SUMPRODUCT((MONTH(CHOOSE({1,2,3,4},KHP!T61,KHP!X61,KHP!AB61,KHP!AF61))=5)*(CHOOSE({1,2,3,4},KHP!W61,KHP!AA61,KHP!AE61,KHP!AI61)))</f>
        <v>0</v>
      </c>
      <c r="F61">
        <f>SUMPRODUCT((MONTH(CHOOSE({1,2,3,4},KHP!T61,KHP!X61,KHP!AB61,KHP!AF61))=6)*(CHOOSE({1,2,3,4},KHP!W61,KHP!AA61,KHP!AE61,KHP!AI61)))</f>
        <v>0</v>
      </c>
      <c r="G61">
        <f>SUMPRODUCT((MONTH(CHOOSE({1,2,3,4},KHP!T61,KHP!X61,KHP!AB61,KHP!AF61))=7)*(CHOOSE({1,2,3,4},KHP!W61,KHP!AA61,KHP!AE61,KHP!AI61)))</f>
        <v>0</v>
      </c>
      <c r="H61">
        <f>SUMPRODUCT((MONTH(CHOOSE({1,2,3,4},KHP!T61,KHP!X61,KHP!AB61,KHP!AF61))=8)*(CHOOSE({1,2,3,4},KHP!W61,KHP!AA61,KHP!AE61,KHP!AI61)))</f>
        <v>0</v>
      </c>
      <c r="I61">
        <f>SUMPRODUCT((MONTH(CHOOSE({1,2,3,4},KHP!T61,KHP!X61,KHP!AB61,KHP!AF61))=9)*(CHOOSE({1,2,3,4},KHP!W61,KHP!AA61,KHP!AE61,KHP!AI61)))</f>
        <v>0</v>
      </c>
      <c r="J61">
        <f>SUMPRODUCT((MONTH(CHOOSE({1,2,3,4},KHP!T61,KHP!X61,KHP!AB61,KHP!AF61))=10)*(CHOOSE({1,2,3,4},KHP!W61,KHP!AA61,KHP!AE61,KHP!AI61)))</f>
        <v>0</v>
      </c>
      <c r="K61">
        <f>SUMPRODUCT((MONTH(CHOOSE({1,2,3,4},KHP!T61,KHP!X61,KHP!AB61,KHP!AF61))=11)*(CHOOSE({1,2,3,4},KHP!W61,KHP!AA61,KHP!AE61,KHP!AI61)))</f>
        <v>0</v>
      </c>
      <c r="L61">
        <f>SUMPRODUCT((MONTH(CHOOSE({1,2,3,4},KHP!T61,KHP!X61,KHP!AB61,KHP!AF61))=12)*(CHOOSE({1,2,3,4},KHP!W61,KHP!AA61,KHP!AE61,KHP!AI61)))</f>
        <v>0</v>
      </c>
    </row>
    <row r="62" spans="1:12">
      <c r="A62">
        <f>SUMPRODUCT((MONTH(CHOOSE({1,2,3,4},KHP!T62,KHP!X62,KHP!AB62,KHP!AF62))=1)*(CHOOSE({1,2,3,4},KHP!W62,KHP!AA62,KHP!AE62,KHP!AI62)))</f>
        <v>0</v>
      </c>
      <c r="B62">
        <f>SUMPRODUCT((MONTH(CHOOSE({1,2,3,4},KHP!T62,KHP!X62,KHP!AB62,KHP!AF62))=2)*(CHOOSE({1,2,3,4},KHP!W62,KHP!AA62,KHP!AE62,KHP!AI62)))</f>
        <v>0</v>
      </c>
      <c r="C62">
        <f>SUMPRODUCT((MONTH(CHOOSE({1,2,3,4},KHP!T62,KHP!X62,KHP!AB62,KHP!AF62))=3)*(CHOOSE({1,2,3,4},KHP!W62,KHP!AA62,KHP!AE62,KHP!AI62)))</f>
        <v>0</v>
      </c>
      <c r="D62">
        <f>SUMPRODUCT((MONTH(CHOOSE({1,2,3,4},KHP!T62,KHP!X62,KHP!AB62,KHP!AF62))=4)*(CHOOSE({1,2,3,4},KHP!W62,KHP!AA62,KHP!AE62,KHP!AI62)))</f>
        <v>0</v>
      </c>
      <c r="E62">
        <f>SUMPRODUCT((MONTH(CHOOSE({1,2,3,4},KHP!T62,KHP!X62,KHP!AB62,KHP!AF62))=5)*(CHOOSE({1,2,3,4},KHP!W62,KHP!AA62,KHP!AE62,KHP!AI62)))</f>
        <v>0</v>
      </c>
      <c r="F62">
        <f>SUMPRODUCT((MONTH(CHOOSE({1,2,3,4},KHP!T62,KHP!X62,KHP!AB62,KHP!AF62))=6)*(CHOOSE({1,2,3,4},KHP!W62,KHP!AA62,KHP!AE62,KHP!AI62)))</f>
        <v>0</v>
      </c>
      <c r="G62">
        <f>SUMPRODUCT((MONTH(CHOOSE({1,2,3,4},KHP!T62,KHP!X62,KHP!AB62,KHP!AF62))=7)*(CHOOSE({1,2,3,4},KHP!W62,KHP!AA62,KHP!AE62,KHP!AI62)))</f>
        <v>0</v>
      </c>
      <c r="H62">
        <f>SUMPRODUCT((MONTH(CHOOSE({1,2,3,4},KHP!T62,KHP!X62,KHP!AB62,KHP!AF62))=8)*(CHOOSE({1,2,3,4},KHP!W62,KHP!AA62,KHP!AE62,KHP!AI62)))</f>
        <v>0</v>
      </c>
      <c r="I62">
        <f>SUMPRODUCT((MONTH(CHOOSE({1,2,3,4},KHP!T62,KHP!X62,KHP!AB62,KHP!AF62))=9)*(CHOOSE({1,2,3,4},KHP!W62,KHP!AA62,KHP!AE62,KHP!AI62)))</f>
        <v>0</v>
      </c>
      <c r="J62">
        <f>SUMPRODUCT((MONTH(CHOOSE({1,2,3,4},KHP!T62,KHP!X62,KHP!AB62,KHP!AF62))=10)*(CHOOSE({1,2,3,4},KHP!W62,KHP!AA62,KHP!AE62,KHP!AI62)))</f>
        <v>0</v>
      </c>
      <c r="K62">
        <f>SUMPRODUCT((MONTH(CHOOSE({1,2,3,4},KHP!T62,KHP!X62,KHP!AB62,KHP!AF62))=11)*(CHOOSE({1,2,3,4},KHP!W62,KHP!AA62,KHP!AE62,KHP!AI62)))</f>
        <v>0</v>
      </c>
      <c r="L62">
        <f>SUMPRODUCT((MONTH(CHOOSE({1,2,3,4},KHP!T62,KHP!X62,KHP!AB62,KHP!AF62))=12)*(CHOOSE({1,2,3,4},KHP!W62,KHP!AA62,KHP!AE62,KHP!AI62)))</f>
        <v>0</v>
      </c>
    </row>
    <row r="63" spans="1:12">
      <c r="A63">
        <f>SUMPRODUCT((MONTH(CHOOSE({1,2,3,4},KHP!T63,KHP!X63,KHP!AB63,KHP!AF63))=1)*(CHOOSE({1,2,3,4},KHP!W63,KHP!AA63,KHP!AE63,KHP!AI63)))</f>
        <v>0</v>
      </c>
      <c r="B63">
        <f>SUMPRODUCT((MONTH(CHOOSE({1,2,3,4},KHP!T63,KHP!X63,KHP!AB63,KHP!AF63))=2)*(CHOOSE({1,2,3,4},KHP!W63,KHP!AA63,KHP!AE63,KHP!AI63)))</f>
        <v>0</v>
      </c>
      <c r="C63">
        <f>SUMPRODUCT((MONTH(CHOOSE({1,2,3,4},KHP!T63,KHP!X63,KHP!AB63,KHP!AF63))=3)*(CHOOSE({1,2,3,4},KHP!W63,KHP!AA63,KHP!AE63,KHP!AI63)))</f>
        <v>0</v>
      </c>
      <c r="D63">
        <f>SUMPRODUCT((MONTH(CHOOSE({1,2,3,4},KHP!T63,KHP!X63,KHP!AB63,KHP!AF63))=4)*(CHOOSE({1,2,3,4},KHP!W63,KHP!AA63,KHP!AE63,KHP!AI63)))</f>
        <v>0</v>
      </c>
      <c r="E63">
        <f>SUMPRODUCT((MONTH(CHOOSE({1,2,3,4},KHP!T63,KHP!X63,KHP!AB63,KHP!AF63))=5)*(CHOOSE({1,2,3,4},KHP!W63,KHP!AA63,KHP!AE63,KHP!AI63)))</f>
        <v>0</v>
      </c>
      <c r="F63">
        <f>SUMPRODUCT((MONTH(CHOOSE({1,2,3,4},KHP!T63,KHP!X63,KHP!AB63,KHP!AF63))=6)*(CHOOSE({1,2,3,4},KHP!W63,KHP!AA63,KHP!AE63,KHP!AI63)))</f>
        <v>0</v>
      </c>
      <c r="G63">
        <f>SUMPRODUCT((MONTH(CHOOSE({1,2,3,4},KHP!T63,KHP!X63,KHP!AB63,KHP!AF63))=7)*(CHOOSE({1,2,3,4},KHP!W63,KHP!AA63,KHP!AE63,KHP!AI63)))</f>
        <v>0</v>
      </c>
      <c r="H63">
        <f>SUMPRODUCT((MONTH(CHOOSE({1,2,3,4},KHP!T63,KHP!X63,KHP!AB63,KHP!AF63))=8)*(CHOOSE({1,2,3,4},KHP!W63,KHP!AA63,KHP!AE63,KHP!AI63)))</f>
        <v>0</v>
      </c>
      <c r="I63">
        <f>SUMPRODUCT((MONTH(CHOOSE({1,2,3,4},KHP!T63,KHP!X63,KHP!AB63,KHP!AF63))=9)*(CHOOSE({1,2,3,4},KHP!W63,KHP!AA63,KHP!AE63,KHP!AI63)))</f>
        <v>0</v>
      </c>
      <c r="J63">
        <f>SUMPRODUCT((MONTH(CHOOSE({1,2,3,4},KHP!T63,KHP!X63,KHP!AB63,KHP!AF63))=10)*(CHOOSE({1,2,3,4},KHP!W63,KHP!AA63,KHP!AE63,KHP!AI63)))</f>
        <v>0</v>
      </c>
      <c r="K63">
        <f>SUMPRODUCT((MONTH(CHOOSE({1,2,3,4},KHP!T63,KHP!X63,KHP!AB63,KHP!AF63))=11)*(CHOOSE({1,2,3,4},KHP!W63,KHP!AA63,KHP!AE63,KHP!AI63)))</f>
        <v>0</v>
      </c>
      <c r="L63">
        <f>SUMPRODUCT((MONTH(CHOOSE({1,2,3,4},KHP!T63,KHP!X63,KHP!AB63,KHP!AF63))=12)*(CHOOSE({1,2,3,4},KHP!W63,KHP!AA63,KHP!AE63,KHP!AI63)))</f>
        <v>0</v>
      </c>
    </row>
    <row r="64" spans="1:12">
      <c r="A64">
        <f>SUMPRODUCT((MONTH(CHOOSE({1,2,3,4},KHP!T64,KHP!X64,KHP!AB64,KHP!AF64))=1)*(CHOOSE({1,2,3,4},KHP!W64,KHP!AA64,KHP!AE64,KHP!AI64)))</f>
        <v>0</v>
      </c>
      <c r="B64">
        <f>SUMPRODUCT((MONTH(CHOOSE({1,2,3,4},KHP!T64,KHP!X64,KHP!AB64,KHP!AF64))=2)*(CHOOSE({1,2,3,4},KHP!W64,KHP!AA64,KHP!AE64,KHP!AI64)))</f>
        <v>0</v>
      </c>
      <c r="C64">
        <f>SUMPRODUCT((MONTH(CHOOSE({1,2,3,4},KHP!T64,KHP!X64,KHP!AB64,KHP!AF64))=3)*(CHOOSE({1,2,3,4},KHP!W64,KHP!AA64,KHP!AE64,KHP!AI64)))</f>
        <v>0</v>
      </c>
      <c r="D64">
        <f>SUMPRODUCT((MONTH(CHOOSE({1,2,3,4},KHP!T64,KHP!X64,KHP!AB64,KHP!AF64))=4)*(CHOOSE({1,2,3,4},KHP!W64,KHP!AA64,KHP!AE64,KHP!AI64)))</f>
        <v>0</v>
      </c>
      <c r="E64">
        <f>SUMPRODUCT((MONTH(CHOOSE({1,2,3,4},KHP!T64,KHP!X64,KHP!AB64,KHP!AF64))=5)*(CHOOSE({1,2,3,4},KHP!W64,KHP!AA64,KHP!AE64,KHP!AI64)))</f>
        <v>0</v>
      </c>
      <c r="F64">
        <f>SUMPRODUCT((MONTH(CHOOSE({1,2,3,4},KHP!T64,KHP!X64,KHP!AB64,KHP!AF64))=6)*(CHOOSE({1,2,3,4},KHP!W64,KHP!AA64,KHP!AE64,KHP!AI64)))</f>
        <v>0</v>
      </c>
      <c r="G64">
        <f>SUMPRODUCT((MONTH(CHOOSE({1,2,3,4},KHP!T64,KHP!X64,KHP!AB64,KHP!AF64))=7)*(CHOOSE({1,2,3,4},KHP!W64,KHP!AA64,KHP!AE64,KHP!AI64)))</f>
        <v>0</v>
      </c>
      <c r="H64">
        <f>SUMPRODUCT((MONTH(CHOOSE({1,2,3,4},KHP!T64,KHP!X64,KHP!AB64,KHP!AF64))=8)*(CHOOSE({1,2,3,4},KHP!W64,KHP!AA64,KHP!AE64,KHP!AI64)))</f>
        <v>0</v>
      </c>
      <c r="I64">
        <f>SUMPRODUCT((MONTH(CHOOSE({1,2,3,4},KHP!T64,KHP!X64,KHP!AB64,KHP!AF64))=9)*(CHOOSE({1,2,3,4},KHP!W64,KHP!AA64,KHP!AE64,KHP!AI64)))</f>
        <v>0</v>
      </c>
      <c r="J64">
        <f>SUMPRODUCT((MONTH(CHOOSE({1,2,3,4},KHP!T64,KHP!X64,KHP!AB64,KHP!AF64))=10)*(CHOOSE({1,2,3,4},KHP!W64,KHP!AA64,KHP!AE64,KHP!AI64)))</f>
        <v>0</v>
      </c>
      <c r="K64">
        <f>SUMPRODUCT((MONTH(CHOOSE({1,2,3,4},KHP!T64,KHP!X64,KHP!AB64,KHP!AF64))=11)*(CHOOSE({1,2,3,4},KHP!W64,KHP!AA64,KHP!AE64,KHP!AI64)))</f>
        <v>0</v>
      </c>
      <c r="L64">
        <f>SUMPRODUCT((MONTH(CHOOSE({1,2,3,4},KHP!T64,KHP!X64,KHP!AB64,KHP!AF64))=12)*(CHOOSE({1,2,3,4},KHP!W64,KHP!AA64,KHP!AE64,KHP!AI64)))</f>
        <v>0</v>
      </c>
    </row>
    <row r="65" spans="1:12">
      <c r="A65">
        <f>SUMPRODUCT((MONTH(CHOOSE({1,2,3,4},KHP!T65,KHP!X65,KHP!AB65,KHP!AF65))=1)*(CHOOSE({1,2,3,4},KHP!W65,KHP!AA65,KHP!AE65,KHP!AI65)))</f>
        <v>0</v>
      </c>
      <c r="B65">
        <f>SUMPRODUCT((MONTH(CHOOSE({1,2,3,4},KHP!T65,KHP!X65,KHP!AB65,KHP!AF65))=2)*(CHOOSE({1,2,3,4},KHP!W65,KHP!AA65,KHP!AE65,KHP!AI65)))</f>
        <v>0</v>
      </c>
      <c r="C65">
        <f>SUMPRODUCT((MONTH(CHOOSE({1,2,3,4},KHP!T65,KHP!X65,KHP!AB65,KHP!AF65))=3)*(CHOOSE({1,2,3,4},KHP!W65,KHP!AA65,KHP!AE65,KHP!AI65)))</f>
        <v>0</v>
      </c>
      <c r="D65">
        <f>SUMPRODUCT((MONTH(CHOOSE({1,2,3,4},KHP!T65,KHP!X65,KHP!AB65,KHP!AF65))=4)*(CHOOSE({1,2,3,4},KHP!W65,KHP!AA65,KHP!AE65,KHP!AI65)))</f>
        <v>0</v>
      </c>
      <c r="E65">
        <f>SUMPRODUCT((MONTH(CHOOSE({1,2,3,4},KHP!T65,KHP!X65,KHP!AB65,KHP!AF65))=5)*(CHOOSE({1,2,3,4},KHP!W65,KHP!AA65,KHP!AE65,KHP!AI65)))</f>
        <v>0</v>
      </c>
      <c r="F65">
        <f>SUMPRODUCT((MONTH(CHOOSE({1,2,3,4},KHP!T65,KHP!X65,KHP!AB65,KHP!AF65))=6)*(CHOOSE({1,2,3,4},KHP!W65,KHP!AA65,KHP!AE65,KHP!AI65)))</f>
        <v>0</v>
      </c>
      <c r="G65">
        <f>SUMPRODUCT((MONTH(CHOOSE({1,2,3,4},KHP!T65,KHP!X65,KHP!AB65,KHP!AF65))=7)*(CHOOSE({1,2,3,4},KHP!W65,KHP!AA65,KHP!AE65,KHP!AI65)))</f>
        <v>0</v>
      </c>
      <c r="H65">
        <f>SUMPRODUCT((MONTH(CHOOSE({1,2,3,4},KHP!T65,KHP!X65,KHP!AB65,KHP!AF65))=8)*(CHOOSE({1,2,3,4},KHP!W65,KHP!AA65,KHP!AE65,KHP!AI65)))</f>
        <v>0</v>
      </c>
      <c r="I65">
        <f>SUMPRODUCT((MONTH(CHOOSE({1,2,3,4},KHP!T65,KHP!X65,KHP!AB65,KHP!AF65))=9)*(CHOOSE({1,2,3,4},KHP!W65,KHP!AA65,KHP!AE65,KHP!AI65)))</f>
        <v>0</v>
      </c>
      <c r="J65">
        <f>SUMPRODUCT((MONTH(CHOOSE({1,2,3,4},KHP!T65,KHP!X65,KHP!AB65,KHP!AF65))=10)*(CHOOSE({1,2,3,4},KHP!W65,KHP!AA65,KHP!AE65,KHP!AI65)))</f>
        <v>0</v>
      </c>
      <c r="K65">
        <f>SUMPRODUCT((MONTH(CHOOSE({1,2,3,4},KHP!T65,KHP!X65,KHP!AB65,KHP!AF65))=11)*(CHOOSE({1,2,3,4},KHP!W65,KHP!AA65,KHP!AE65,KHP!AI65)))</f>
        <v>0</v>
      </c>
      <c r="L65">
        <f>SUMPRODUCT((MONTH(CHOOSE({1,2,3,4},KHP!T65,KHP!X65,KHP!AB65,KHP!AF65))=12)*(CHOOSE({1,2,3,4},KHP!W65,KHP!AA65,KHP!AE65,KHP!AI65)))</f>
        <v>0</v>
      </c>
    </row>
    <row r="66" spans="1:12">
      <c r="A66">
        <f>SUMPRODUCT((MONTH(CHOOSE({1,2,3,4},KHP!T66,KHP!X66,KHP!AB66,KHP!AF66))=1)*(CHOOSE({1,2,3,4},KHP!W66,KHP!AA66,KHP!AE66,KHP!AI66)))</f>
        <v>0</v>
      </c>
      <c r="B66">
        <f>SUMPRODUCT((MONTH(CHOOSE({1,2,3,4},KHP!T66,KHP!X66,KHP!AB66,KHP!AF66))=2)*(CHOOSE({1,2,3,4},KHP!W66,KHP!AA66,KHP!AE66,KHP!AI66)))</f>
        <v>0</v>
      </c>
      <c r="C66">
        <f>SUMPRODUCT((MONTH(CHOOSE({1,2,3,4},KHP!T66,KHP!X66,KHP!AB66,KHP!AF66))=3)*(CHOOSE({1,2,3,4},KHP!W66,KHP!AA66,KHP!AE66,KHP!AI66)))</f>
        <v>0</v>
      </c>
      <c r="D66">
        <f>SUMPRODUCT((MONTH(CHOOSE({1,2,3,4},KHP!T66,KHP!X66,KHP!AB66,KHP!AF66))=4)*(CHOOSE({1,2,3,4},KHP!W66,KHP!AA66,KHP!AE66,KHP!AI66)))</f>
        <v>0</v>
      </c>
      <c r="E66">
        <f>SUMPRODUCT((MONTH(CHOOSE({1,2,3,4},KHP!T66,KHP!X66,KHP!AB66,KHP!AF66))=5)*(CHOOSE({1,2,3,4},KHP!W66,KHP!AA66,KHP!AE66,KHP!AI66)))</f>
        <v>0</v>
      </c>
      <c r="F66">
        <f>SUMPRODUCT((MONTH(CHOOSE({1,2,3,4},KHP!T66,KHP!X66,KHP!AB66,KHP!AF66))=6)*(CHOOSE({1,2,3,4},KHP!W66,KHP!AA66,KHP!AE66,KHP!AI66)))</f>
        <v>0</v>
      </c>
      <c r="G66">
        <f>SUMPRODUCT((MONTH(CHOOSE({1,2,3,4},KHP!T66,KHP!X66,KHP!AB66,KHP!AF66))=7)*(CHOOSE({1,2,3,4},KHP!W66,KHP!AA66,KHP!AE66,KHP!AI66)))</f>
        <v>0</v>
      </c>
      <c r="H66">
        <f>SUMPRODUCT((MONTH(CHOOSE({1,2,3,4},KHP!T66,KHP!X66,KHP!AB66,KHP!AF66))=8)*(CHOOSE({1,2,3,4},KHP!W66,KHP!AA66,KHP!AE66,KHP!AI66)))</f>
        <v>0</v>
      </c>
      <c r="I66">
        <f>SUMPRODUCT((MONTH(CHOOSE({1,2,3,4},KHP!T66,KHP!X66,KHP!AB66,KHP!AF66))=9)*(CHOOSE({1,2,3,4},KHP!W66,KHP!AA66,KHP!AE66,KHP!AI66)))</f>
        <v>0</v>
      </c>
      <c r="J66">
        <f>SUMPRODUCT((MONTH(CHOOSE({1,2,3,4},KHP!T66,KHP!X66,KHP!AB66,KHP!AF66))=10)*(CHOOSE({1,2,3,4},KHP!W66,KHP!AA66,KHP!AE66,KHP!AI66)))</f>
        <v>0</v>
      </c>
      <c r="K66">
        <f>SUMPRODUCT((MONTH(CHOOSE({1,2,3,4},KHP!T66,KHP!X66,KHP!AB66,KHP!AF66))=11)*(CHOOSE({1,2,3,4},KHP!W66,KHP!AA66,KHP!AE66,KHP!AI66)))</f>
        <v>0</v>
      </c>
      <c r="L66">
        <f>SUMPRODUCT((MONTH(CHOOSE({1,2,3,4},KHP!T66,KHP!X66,KHP!AB66,KHP!AF66))=12)*(CHOOSE({1,2,3,4},KHP!W66,KHP!AA66,KHP!AE66,KHP!AI66)))</f>
        <v>0</v>
      </c>
    </row>
    <row r="67" spans="1:12">
      <c r="A67">
        <f>SUMPRODUCT((MONTH(CHOOSE({1,2,3,4},KHP!T67,KHP!X67,KHP!AB67,KHP!AF67))=1)*(CHOOSE({1,2,3,4},KHP!W67,KHP!AA67,KHP!AE67,KHP!AI67)))</f>
        <v>0</v>
      </c>
      <c r="B67">
        <f>SUMPRODUCT((MONTH(CHOOSE({1,2,3,4},KHP!T67,KHP!X67,KHP!AB67,KHP!AF67))=2)*(CHOOSE({1,2,3,4},KHP!W67,KHP!AA67,KHP!AE67,KHP!AI67)))</f>
        <v>0</v>
      </c>
      <c r="C67">
        <f>SUMPRODUCT((MONTH(CHOOSE({1,2,3,4},KHP!T67,KHP!X67,KHP!AB67,KHP!AF67))=3)*(CHOOSE({1,2,3,4},KHP!W67,KHP!AA67,KHP!AE67,KHP!AI67)))</f>
        <v>0</v>
      </c>
      <c r="D67">
        <f>SUMPRODUCT((MONTH(CHOOSE({1,2,3,4},KHP!T67,KHP!X67,KHP!AB67,KHP!AF67))=4)*(CHOOSE({1,2,3,4},KHP!W67,KHP!AA67,KHP!AE67,KHP!AI67)))</f>
        <v>0</v>
      </c>
      <c r="E67">
        <f>SUMPRODUCT((MONTH(CHOOSE({1,2,3,4},KHP!T67,KHP!X67,KHP!AB67,KHP!AF67))=5)*(CHOOSE({1,2,3,4},KHP!W67,KHP!AA67,KHP!AE67,KHP!AI67)))</f>
        <v>0</v>
      </c>
      <c r="F67">
        <f>SUMPRODUCT((MONTH(CHOOSE({1,2,3,4},KHP!T67,KHP!X67,KHP!AB67,KHP!AF67))=6)*(CHOOSE({1,2,3,4},KHP!W67,KHP!AA67,KHP!AE67,KHP!AI67)))</f>
        <v>0</v>
      </c>
      <c r="G67">
        <f>SUMPRODUCT((MONTH(CHOOSE({1,2,3,4},KHP!T67,KHP!X67,KHP!AB67,KHP!AF67))=7)*(CHOOSE({1,2,3,4},KHP!W67,KHP!AA67,KHP!AE67,KHP!AI67)))</f>
        <v>0</v>
      </c>
      <c r="H67">
        <f>SUMPRODUCT((MONTH(CHOOSE({1,2,3,4},KHP!T67,KHP!X67,KHP!AB67,KHP!AF67))=8)*(CHOOSE({1,2,3,4},KHP!W67,KHP!AA67,KHP!AE67,KHP!AI67)))</f>
        <v>0</v>
      </c>
      <c r="I67">
        <f>SUMPRODUCT((MONTH(CHOOSE({1,2,3,4},KHP!T67,KHP!X67,KHP!AB67,KHP!AF67))=9)*(CHOOSE({1,2,3,4},KHP!W67,KHP!AA67,KHP!AE67,KHP!AI67)))</f>
        <v>0</v>
      </c>
      <c r="J67">
        <f>SUMPRODUCT((MONTH(CHOOSE({1,2,3,4},KHP!T67,KHP!X67,KHP!AB67,KHP!AF67))=10)*(CHOOSE({1,2,3,4},KHP!W67,KHP!AA67,KHP!AE67,KHP!AI67)))</f>
        <v>0</v>
      </c>
      <c r="K67">
        <f>SUMPRODUCT((MONTH(CHOOSE({1,2,3,4},KHP!T67,KHP!X67,KHP!AB67,KHP!AF67))=11)*(CHOOSE({1,2,3,4},KHP!W67,KHP!AA67,KHP!AE67,KHP!AI67)))</f>
        <v>0</v>
      </c>
      <c r="L67">
        <f>SUMPRODUCT((MONTH(CHOOSE({1,2,3,4},KHP!T67,KHP!X67,KHP!AB67,KHP!AF67))=12)*(CHOOSE({1,2,3,4},KHP!W67,KHP!AA67,KHP!AE67,KHP!AI67)))</f>
        <v>0</v>
      </c>
    </row>
    <row r="68" spans="1:12">
      <c r="A68">
        <f>SUMPRODUCT((MONTH(CHOOSE({1,2,3,4},KHP!T68,KHP!X68,KHP!AB68,KHP!AF68))=1)*(CHOOSE({1,2,3,4},KHP!W68,KHP!AA68,KHP!AE68,KHP!AI68)))</f>
        <v>0</v>
      </c>
      <c r="B68">
        <f>SUMPRODUCT((MONTH(CHOOSE({1,2,3,4},KHP!T68,KHP!X68,KHP!AB68,KHP!AF68))=2)*(CHOOSE({1,2,3,4},KHP!W68,KHP!AA68,KHP!AE68,KHP!AI68)))</f>
        <v>0</v>
      </c>
      <c r="C68">
        <f>SUMPRODUCT((MONTH(CHOOSE({1,2,3,4},KHP!T68,KHP!X68,KHP!AB68,KHP!AF68))=3)*(CHOOSE({1,2,3,4},KHP!W68,KHP!AA68,KHP!AE68,KHP!AI68)))</f>
        <v>0</v>
      </c>
      <c r="D68">
        <f>SUMPRODUCT((MONTH(CHOOSE({1,2,3,4},KHP!T68,KHP!X68,KHP!AB68,KHP!AF68))=4)*(CHOOSE({1,2,3,4},KHP!W68,KHP!AA68,KHP!AE68,KHP!AI68)))</f>
        <v>0</v>
      </c>
      <c r="E68">
        <f>SUMPRODUCT((MONTH(CHOOSE({1,2,3,4},KHP!T68,KHP!X68,KHP!AB68,KHP!AF68))=5)*(CHOOSE({1,2,3,4},KHP!W68,KHP!AA68,KHP!AE68,KHP!AI68)))</f>
        <v>0</v>
      </c>
      <c r="F68">
        <f>SUMPRODUCT((MONTH(CHOOSE({1,2,3,4},KHP!T68,KHP!X68,KHP!AB68,KHP!AF68))=6)*(CHOOSE({1,2,3,4},KHP!W68,KHP!AA68,KHP!AE68,KHP!AI68)))</f>
        <v>0</v>
      </c>
      <c r="G68">
        <f>SUMPRODUCT((MONTH(CHOOSE({1,2,3,4},KHP!T68,KHP!X68,KHP!AB68,KHP!AF68))=7)*(CHOOSE({1,2,3,4},KHP!W68,KHP!AA68,KHP!AE68,KHP!AI68)))</f>
        <v>0</v>
      </c>
      <c r="H68">
        <f>SUMPRODUCT((MONTH(CHOOSE({1,2,3,4},KHP!T68,KHP!X68,KHP!AB68,KHP!AF68))=8)*(CHOOSE({1,2,3,4},KHP!W68,KHP!AA68,KHP!AE68,KHP!AI68)))</f>
        <v>0</v>
      </c>
      <c r="I68">
        <f>SUMPRODUCT((MONTH(CHOOSE({1,2,3,4},KHP!T68,KHP!X68,KHP!AB68,KHP!AF68))=9)*(CHOOSE({1,2,3,4},KHP!W68,KHP!AA68,KHP!AE68,KHP!AI68)))</f>
        <v>0</v>
      </c>
      <c r="J68">
        <f>SUMPRODUCT((MONTH(CHOOSE({1,2,3,4},KHP!T68,KHP!X68,KHP!AB68,KHP!AF68))=10)*(CHOOSE({1,2,3,4},KHP!W68,KHP!AA68,KHP!AE68,KHP!AI68)))</f>
        <v>0</v>
      </c>
      <c r="K68">
        <f>SUMPRODUCT((MONTH(CHOOSE({1,2,3,4},KHP!T68,KHP!X68,KHP!AB68,KHP!AF68))=11)*(CHOOSE({1,2,3,4},KHP!W68,KHP!AA68,KHP!AE68,KHP!AI68)))</f>
        <v>0</v>
      </c>
      <c r="L68">
        <f>SUMPRODUCT((MONTH(CHOOSE({1,2,3,4},KHP!T68,KHP!X68,KHP!AB68,KHP!AF68))=12)*(CHOOSE({1,2,3,4},KHP!W68,KHP!AA68,KHP!AE68,KHP!AI68)))</f>
        <v>0</v>
      </c>
    </row>
    <row r="69" spans="1:12">
      <c r="A69">
        <f>SUMPRODUCT((MONTH(CHOOSE({1,2,3,4},KHP!T69,KHP!X69,KHP!AB69,KHP!AF69))=1)*(CHOOSE({1,2,3,4},KHP!W69,KHP!AA69,KHP!AE69,KHP!AI69)))</f>
        <v>0</v>
      </c>
      <c r="B69">
        <f>SUMPRODUCT((MONTH(CHOOSE({1,2,3,4},KHP!T69,KHP!X69,KHP!AB69,KHP!AF69))=2)*(CHOOSE({1,2,3,4},KHP!W69,KHP!AA69,KHP!AE69,KHP!AI69)))</f>
        <v>0</v>
      </c>
      <c r="C69">
        <f>SUMPRODUCT((MONTH(CHOOSE({1,2,3,4},KHP!T69,KHP!X69,KHP!AB69,KHP!AF69))=3)*(CHOOSE({1,2,3,4},KHP!W69,KHP!AA69,KHP!AE69,KHP!AI69)))</f>
        <v>0</v>
      </c>
      <c r="D69">
        <f>SUMPRODUCT((MONTH(CHOOSE({1,2,3,4},KHP!T69,KHP!X69,KHP!AB69,KHP!AF69))=4)*(CHOOSE({1,2,3,4},KHP!W69,KHP!AA69,KHP!AE69,KHP!AI69)))</f>
        <v>0</v>
      </c>
      <c r="E69">
        <f>SUMPRODUCT((MONTH(CHOOSE({1,2,3,4},KHP!T69,KHP!X69,KHP!AB69,KHP!AF69))=5)*(CHOOSE({1,2,3,4},KHP!W69,KHP!AA69,KHP!AE69,KHP!AI69)))</f>
        <v>0</v>
      </c>
      <c r="F69">
        <f>SUMPRODUCT((MONTH(CHOOSE({1,2,3,4},KHP!T69,KHP!X69,KHP!AB69,KHP!AF69))=6)*(CHOOSE({1,2,3,4},KHP!W69,KHP!AA69,KHP!AE69,KHP!AI69)))</f>
        <v>0</v>
      </c>
      <c r="G69">
        <f>SUMPRODUCT((MONTH(CHOOSE({1,2,3,4},KHP!T69,KHP!X69,KHP!AB69,KHP!AF69))=7)*(CHOOSE({1,2,3,4},KHP!W69,KHP!AA69,KHP!AE69,KHP!AI69)))</f>
        <v>0</v>
      </c>
      <c r="H69">
        <f>SUMPRODUCT((MONTH(CHOOSE({1,2,3,4},KHP!T69,KHP!X69,KHP!AB69,KHP!AF69))=8)*(CHOOSE({1,2,3,4},KHP!W69,KHP!AA69,KHP!AE69,KHP!AI69)))</f>
        <v>0</v>
      </c>
      <c r="I69">
        <f>SUMPRODUCT((MONTH(CHOOSE({1,2,3,4},KHP!T69,KHP!X69,KHP!AB69,KHP!AF69))=9)*(CHOOSE({1,2,3,4},KHP!W69,KHP!AA69,KHP!AE69,KHP!AI69)))</f>
        <v>0</v>
      </c>
      <c r="J69">
        <f>SUMPRODUCT((MONTH(CHOOSE({1,2,3,4},KHP!T69,KHP!X69,KHP!AB69,KHP!AF69))=10)*(CHOOSE({1,2,3,4},KHP!W69,KHP!AA69,KHP!AE69,KHP!AI69)))</f>
        <v>0</v>
      </c>
      <c r="K69">
        <f>SUMPRODUCT((MONTH(CHOOSE({1,2,3,4},KHP!T69,KHP!X69,KHP!AB69,KHP!AF69))=11)*(CHOOSE({1,2,3,4},KHP!W69,KHP!AA69,KHP!AE69,KHP!AI69)))</f>
        <v>0</v>
      </c>
      <c r="L69">
        <f>SUMPRODUCT((MONTH(CHOOSE({1,2,3,4},KHP!T69,KHP!X69,KHP!AB69,KHP!AF69))=12)*(CHOOSE({1,2,3,4},KHP!W69,KHP!AA69,KHP!AE69,KHP!AI69)))</f>
        <v>0</v>
      </c>
    </row>
    <row r="70" spans="1:12">
      <c r="A70">
        <f>SUMPRODUCT((MONTH(CHOOSE({1,2,3,4},KHP!T70,KHP!X70,KHP!AB70,KHP!AF70))=1)*(CHOOSE({1,2,3,4},KHP!W70,KHP!AA70,KHP!AE70,KHP!AI70)))</f>
        <v>0</v>
      </c>
      <c r="B70">
        <f>SUMPRODUCT((MONTH(CHOOSE({1,2,3,4},KHP!T70,KHP!X70,KHP!AB70,KHP!AF70))=2)*(CHOOSE({1,2,3,4},KHP!W70,KHP!AA70,KHP!AE70,KHP!AI70)))</f>
        <v>0</v>
      </c>
      <c r="C70">
        <f>SUMPRODUCT((MONTH(CHOOSE({1,2,3,4},KHP!T70,KHP!X70,KHP!AB70,KHP!AF70))=3)*(CHOOSE({1,2,3,4},KHP!W70,KHP!AA70,KHP!AE70,KHP!AI70)))</f>
        <v>0</v>
      </c>
      <c r="D70">
        <f>SUMPRODUCT((MONTH(CHOOSE({1,2,3,4},KHP!T70,KHP!X70,KHP!AB70,KHP!AF70))=4)*(CHOOSE({1,2,3,4},KHP!W70,KHP!AA70,KHP!AE70,KHP!AI70)))</f>
        <v>0</v>
      </c>
      <c r="E70">
        <f>SUMPRODUCT((MONTH(CHOOSE({1,2,3,4},KHP!T70,KHP!X70,KHP!AB70,KHP!AF70))=5)*(CHOOSE({1,2,3,4},KHP!W70,KHP!AA70,KHP!AE70,KHP!AI70)))</f>
        <v>0</v>
      </c>
      <c r="F70">
        <f>SUMPRODUCT((MONTH(CHOOSE({1,2,3,4},KHP!T70,KHP!X70,KHP!AB70,KHP!AF70))=6)*(CHOOSE({1,2,3,4},KHP!W70,KHP!AA70,KHP!AE70,KHP!AI70)))</f>
        <v>0</v>
      </c>
      <c r="G70">
        <f>SUMPRODUCT((MONTH(CHOOSE({1,2,3,4},KHP!T70,KHP!X70,KHP!AB70,KHP!AF70))=7)*(CHOOSE({1,2,3,4},KHP!W70,KHP!AA70,KHP!AE70,KHP!AI70)))</f>
        <v>0</v>
      </c>
      <c r="H70">
        <f>SUMPRODUCT((MONTH(CHOOSE({1,2,3,4},KHP!T70,KHP!X70,KHP!AB70,KHP!AF70))=8)*(CHOOSE({1,2,3,4},KHP!W70,KHP!AA70,KHP!AE70,KHP!AI70)))</f>
        <v>0</v>
      </c>
      <c r="I70">
        <f>SUMPRODUCT((MONTH(CHOOSE({1,2,3,4},KHP!T70,KHP!X70,KHP!AB70,KHP!AF70))=9)*(CHOOSE({1,2,3,4},KHP!W70,KHP!AA70,KHP!AE70,KHP!AI70)))</f>
        <v>0</v>
      </c>
      <c r="J70">
        <f>SUMPRODUCT((MONTH(CHOOSE({1,2,3,4},KHP!T70,KHP!X70,KHP!AB70,KHP!AF70))=10)*(CHOOSE({1,2,3,4},KHP!W70,KHP!AA70,KHP!AE70,KHP!AI70)))</f>
        <v>0</v>
      </c>
      <c r="K70">
        <f>SUMPRODUCT((MONTH(CHOOSE({1,2,3,4},KHP!T70,KHP!X70,KHP!AB70,KHP!AF70))=11)*(CHOOSE({1,2,3,4},KHP!W70,KHP!AA70,KHP!AE70,KHP!AI70)))</f>
        <v>0</v>
      </c>
      <c r="L70">
        <f>SUMPRODUCT((MONTH(CHOOSE({1,2,3,4},KHP!T70,KHP!X70,KHP!AB70,KHP!AF70))=12)*(CHOOSE({1,2,3,4},KHP!W70,KHP!AA70,KHP!AE70,KHP!AI70)))</f>
        <v>0</v>
      </c>
    </row>
    <row r="71" spans="1:12">
      <c r="A71">
        <f>SUMPRODUCT((MONTH(CHOOSE({1,2,3,4},KHP!T71,KHP!X71,KHP!AB71,KHP!AF71))=1)*(CHOOSE({1,2,3,4},KHP!W71,KHP!AA71,KHP!AE71,KHP!AI71)))</f>
        <v>0</v>
      </c>
      <c r="B71">
        <f>SUMPRODUCT((MONTH(CHOOSE({1,2,3,4},KHP!T71,KHP!X71,KHP!AB71,KHP!AF71))=2)*(CHOOSE({1,2,3,4},KHP!W71,KHP!AA71,KHP!AE71,KHP!AI71)))</f>
        <v>0</v>
      </c>
      <c r="C71">
        <f>SUMPRODUCT((MONTH(CHOOSE({1,2,3,4},KHP!T71,KHP!X71,KHP!AB71,KHP!AF71))=3)*(CHOOSE({1,2,3,4},KHP!W71,KHP!AA71,KHP!AE71,KHP!AI71)))</f>
        <v>0</v>
      </c>
      <c r="D71">
        <f>SUMPRODUCT((MONTH(CHOOSE({1,2,3,4},KHP!T71,KHP!X71,KHP!AB71,KHP!AF71))=4)*(CHOOSE({1,2,3,4},KHP!W71,KHP!AA71,KHP!AE71,KHP!AI71)))</f>
        <v>0</v>
      </c>
      <c r="E71">
        <f>SUMPRODUCT((MONTH(CHOOSE({1,2,3,4},KHP!T71,KHP!X71,KHP!AB71,KHP!AF71))=5)*(CHOOSE({1,2,3,4},KHP!W71,KHP!AA71,KHP!AE71,KHP!AI71)))</f>
        <v>0</v>
      </c>
      <c r="F71">
        <f>SUMPRODUCT((MONTH(CHOOSE({1,2,3,4},KHP!T71,KHP!X71,KHP!AB71,KHP!AF71))=6)*(CHOOSE({1,2,3,4},KHP!W71,KHP!AA71,KHP!AE71,KHP!AI71)))</f>
        <v>0</v>
      </c>
      <c r="G71">
        <f>SUMPRODUCT((MONTH(CHOOSE({1,2,3,4},KHP!T71,KHP!X71,KHP!AB71,KHP!AF71))=7)*(CHOOSE({1,2,3,4},KHP!W71,KHP!AA71,KHP!AE71,KHP!AI71)))</f>
        <v>0</v>
      </c>
      <c r="H71">
        <f>SUMPRODUCT((MONTH(CHOOSE({1,2,3,4},KHP!T71,KHP!X71,KHP!AB71,KHP!AF71))=8)*(CHOOSE({1,2,3,4},KHP!W71,KHP!AA71,KHP!AE71,KHP!AI71)))</f>
        <v>0</v>
      </c>
      <c r="I71">
        <f>SUMPRODUCT((MONTH(CHOOSE({1,2,3,4},KHP!T71,KHP!X71,KHP!AB71,KHP!AF71))=9)*(CHOOSE({1,2,3,4},KHP!W71,KHP!AA71,KHP!AE71,KHP!AI71)))</f>
        <v>0</v>
      </c>
      <c r="J71">
        <f>SUMPRODUCT((MONTH(CHOOSE({1,2,3,4},KHP!T71,KHP!X71,KHP!AB71,KHP!AF71))=10)*(CHOOSE({1,2,3,4},KHP!W71,KHP!AA71,KHP!AE71,KHP!AI71)))</f>
        <v>0</v>
      </c>
      <c r="K71">
        <f>SUMPRODUCT((MONTH(CHOOSE({1,2,3,4},KHP!T71,KHP!X71,KHP!AB71,KHP!AF71))=11)*(CHOOSE({1,2,3,4},KHP!W71,KHP!AA71,KHP!AE71,KHP!AI71)))</f>
        <v>0</v>
      </c>
      <c r="L71">
        <f>SUMPRODUCT((MONTH(CHOOSE({1,2,3,4},KHP!T71,KHP!X71,KHP!AB71,KHP!AF71))=12)*(CHOOSE({1,2,3,4},KHP!W71,KHP!AA71,KHP!AE71,KHP!AI71)))</f>
        <v>0</v>
      </c>
    </row>
    <row r="72" spans="1:12">
      <c r="A72">
        <f>SUMPRODUCT((MONTH(CHOOSE({1,2,3,4},KHP!T72,KHP!X72,KHP!AB72,KHP!AF72))=1)*(CHOOSE({1,2,3,4},KHP!W72,KHP!AA72,KHP!AE72,KHP!AI72)))</f>
        <v>0</v>
      </c>
      <c r="B72">
        <f>SUMPRODUCT((MONTH(CHOOSE({1,2,3,4},KHP!T72,KHP!X72,KHP!AB72,KHP!AF72))=2)*(CHOOSE({1,2,3,4},KHP!W72,KHP!AA72,KHP!AE72,KHP!AI72)))</f>
        <v>0</v>
      </c>
      <c r="C72">
        <f>SUMPRODUCT((MONTH(CHOOSE({1,2,3,4},KHP!T72,KHP!X72,KHP!AB72,KHP!AF72))=3)*(CHOOSE({1,2,3,4},KHP!W72,KHP!AA72,KHP!AE72,KHP!AI72)))</f>
        <v>0</v>
      </c>
      <c r="D72">
        <f>SUMPRODUCT((MONTH(CHOOSE({1,2,3,4},KHP!T72,KHP!X72,KHP!AB72,KHP!AF72))=4)*(CHOOSE({1,2,3,4},KHP!W72,KHP!AA72,KHP!AE72,KHP!AI72)))</f>
        <v>0</v>
      </c>
      <c r="E72">
        <f>SUMPRODUCT((MONTH(CHOOSE({1,2,3,4},KHP!T72,KHP!X72,KHP!AB72,KHP!AF72))=5)*(CHOOSE({1,2,3,4},KHP!W72,KHP!AA72,KHP!AE72,KHP!AI72)))</f>
        <v>0</v>
      </c>
      <c r="F72">
        <f>SUMPRODUCT((MONTH(CHOOSE({1,2,3,4},KHP!T72,KHP!X72,KHP!AB72,KHP!AF72))=6)*(CHOOSE({1,2,3,4},KHP!W72,KHP!AA72,KHP!AE72,KHP!AI72)))</f>
        <v>0</v>
      </c>
      <c r="G72">
        <f>SUMPRODUCT((MONTH(CHOOSE({1,2,3,4},KHP!T72,KHP!X72,KHP!AB72,KHP!AF72))=7)*(CHOOSE({1,2,3,4},KHP!W72,KHP!AA72,KHP!AE72,KHP!AI72)))</f>
        <v>0</v>
      </c>
      <c r="H72">
        <f>SUMPRODUCT((MONTH(CHOOSE({1,2,3,4},KHP!T72,KHP!X72,KHP!AB72,KHP!AF72))=8)*(CHOOSE({1,2,3,4},KHP!W72,KHP!AA72,KHP!AE72,KHP!AI72)))</f>
        <v>0</v>
      </c>
      <c r="I72">
        <f>SUMPRODUCT((MONTH(CHOOSE({1,2,3,4},KHP!T72,KHP!X72,KHP!AB72,KHP!AF72))=9)*(CHOOSE({1,2,3,4},KHP!W72,KHP!AA72,KHP!AE72,KHP!AI72)))</f>
        <v>0</v>
      </c>
      <c r="J72">
        <f>SUMPRODUCT((MONTH(CHOOSE({1,2,3,4},KHP!T72,KHP!X72,KHP!AB72,KHP!AF72))=10)*(CHOOSE({1,2,3,4},KHP!W72,KHP!AA72,KHP!AE72,KHP!AI72)))</f>
        <v>0</v>
      </c>
      <c r="K72">
        <f>SUMPRODUCT((MONTH(CHOOSE({1,2,3,4},KHP!T72,KHP!X72,KHP!AB72,KHP!AF72))=11)*(CHOOSE({1,2,3,4},KHP!W72,KHP!AA72,KHP!AE72,KHP!AI72)))</f>
        <v>0</v>
      </c>
      <c r="L72">
        <f>SUMPRODUCT((MONTH(CHOOSE({1,2,3,4},KHP!T72,KHP!X72,KHP!AB72,KHP!AF72))=12)*(CHOOSE({1,2,3,4},KHP!W72,KHP!AA72,KHP!AE72,KHP!AI72)))</f>
        <v>0</v>
      </c>
    </row>
    <row r="73" spans="1:12">
      <c r="A73">
        <f>SUMPRODUCT((MONTH(CHOOSE({1,2,3,4},KHP!T73,KHP!X73,KHP!AB73,KHP!AF73))=1)*(CHOOSE({1,2,3,4},KHP!W73,KHP!AA73,KHP!AE73,KHP!AI73)))</f>
        <v>0</v>
      </c>
      <c r="B73">
        <f>SUMPRODUCT((MONTH(CHOOSE({1,2,3,4},KHP!T73,KHP!X73,KHP!AB73,KHP!AF73))=2)*(CHOOSE({1,2,3,4},KHP!W73,KHP!AA73,KHP!AE73,KHP!AI73)))</f>
        <v>0</v>
      </c>
      <c r="C73">
        <f>SUMPRODUCT((MONTH(CHOOSE({1,2,3,4},KHP!T73,KHP!X73,KHP!AB73,KHP!AF73))=3)*(CHOOSE({1,2,3,4},KHP!W73,KHP!AA73,KHP!AE73,KHP!AI73)))</f>
        <v>0</v>
      </c>
      <c r="D73">
        <f>SUMPRODUCT((MONTH(CHOOSE({1,2,3,4},KHP!T73,KHP!X73,KHP!AB73,KHP!AF73))=4)*(CHOOSE({1,2,3,4},KHP!W73,KHP!AA73,KHP!AE73,KHP!AI73)))</f>
        <v>0</v>
      </c>
      <c r="E73">
        <f>SUMPRODUCT((MONTH(CHOOSE({1,2,3,4},KHP!T73,KHP!X73,KHP!AB73,KHP!AF73))=5)*(CHOOSE({1,2,3,4},KHP!W73,KHP!AA73,KHP!AE73,KHP!AI73)))</f>
        <v>0</v>
      </c>
      <c r="F73">
        <f>SUMPRODUCT((MONTH(CHOOSE({1,2,3,4},KHP!T73,KHP!X73,KHP!AB73,KHP!AF73))=6)*(CHOOSE({1,2,3,4},KHP!W73,KHP!AA73,KHP!AE73,KHP!AI73)))</f>
        <v>0</v>
      </c>
      <c r="G73">
        <f>SUMPRODUCT((MONTH(CHOOSE({1,2,3,4},KHP!T73,KHP!X73,KHP!AB73,KHP!AF73))=7)*(CHOOSE({1,2,3,4},KHP!W73,KHP!AA73,KHP!AE73,KHP!AI73)))</f>
        <v>0</v>
      </c>
      <c r="H73">
        <f>SUMPRODUCT((MONTH(CHOOSE({1,2,3,4},KHP!T73,KHP!X73,KHP!AB73,KHP!AF73))=8)*(CHOOSE({1,2,3,4},KHP!W73,KHP!AA73,KHP!AE73,KHP!AI73)))</f>
        <v>0</v>
      </c>
      <c r="I73">
        <f>SUMPRODUCT((MONTH(CHOOSE({1,2,3,4},KHP!T73,KHP!X73,KHP!AB73,KHP!AF73))=9)*(CHOOSE({1,2,3,4},KHP!W73,KHP!AA73,KHP!AE73,KHP!AI73)))</f>
        <v>0</v>
      </c>
      <c r="J73">
        <f>SUMPRODUCT((MONTH(CHOOSE({1,2,3,4},KHP!T73,KHP!X73,KHP!AB73,KHP!AF73))=10)*(CHOOSE({1,2,3,4},KHP!W73,KHP!AA73,KHP!AE73,KHP!AI73)))</f>
        <v>0</v>
      </c>
      <c r="K73">
        <f>SUMPRODUCT((MONTH(CHOOSE({1,2,3,4},KHP!T73,KHP!X73,KHP!AB73,KHP!AF73))=11)*(CHOOSE({1,2,3,4},KHP!W73,KHP!AA73,KHP!AE73,KHP!AI73)))</f>
        <v>0</v>
      </c>
      <c r="L73">
        <f>SUMPRODUCT((MONTH(CHOOSE({1,2,3,4},KHP!T73,KHP!X73,KHP!AB73,KHP!AF73))=12)*(CHOOSE({1,2,3,4},KHP!W73,KHP!AA73,KHP!AE73,KHP!AI73)))</f>
        <v>0</v>
      </c>
    </row>
    <row r="74" spans="1:12">
      <c r="A74">
        <f>SUMPRODUCT((MONTH(CHOOSE({1,2,3,4},KHP!T74,KHP!X74,KHP!AB74,KHP!AF74))=1)*(CHOOSE({1,2,3,4},KHP!W74,KHP!AA74,KHP!AE74,KHP!AI74)))</f>
        <v>0</v>
      </c>
      <c r="B74">
        <f>SUMPRODUCT((MONTH(CHOOSE({1,2,3,4},KHP!T74,KHP!X74,KHP!AB74,KHP!AF74))=2)*(CHOOSE({1,2,3,4},KHP!W74,KHP!AA74,KHP!AE74,KHP!AI74)))</f>
        <v>0</v>
      </c>
      <c r="C74">
        <f>SUMPRODUCT((MONTH(CHOOSE({1,2,3,4},KHP!T74,KHP!X74,KHP!AB74,KHP!AF74))=3)*(CHOOSE({1,2,3,4},KHP!W74,KHP!AA74,KHP!AE74,KHP!AI74)))</f>
        <v>0</v>
      </c>
      <c r="D74">
        <f>SUMPRODUCT((MONTH(CHOOSE({1,2,3,4},KHP!T74,KHP!X74,KHP!AB74,KHP!AF74))=4)*(CHOOSE({1,2,3,4},KHP!W74,KHP!AA74,KHP!AE74,KHP!AI74)))</f>
        <v>0</v>
      </c>
      <c r="E74">
        <f>SUMPRODUCT((MONTH(CHOOSE({1,2,3,4},KHP!T74,KHP!X74,KHP!AB74,KHP!AF74))=5)*(CHOOSE({1,2,3,4},KHP!W74,KHP!AA74,KHP!AE74,KHP!AI74)))</f>
        <v>0</v>
      </c>
      <c r="F74">
        <f>SUMPRODUCT((MONTH(CHOOSE({1,2,3,4},KHP!T74,KHP!X74,KHP!AB74,KHP!AF74))=6)*(CHOOSE({1,2,3,4},KHP!W74,KHP!AA74,KHP!AE74,KHP!AI74)))</f>
        <v>0</v>
      </c>
      <c r="G74">
        <f>SUMPRODUCT((MONTH(CHOOSE({1,2,3,4},KHP!T74,KHP!X74,KHP!AB74,KHP!AF74))=7)*(CHOOSE({1,2,3,4},KHP!W74,KHP!AA74,KHP!AE74,KHP!AI74)))</f>
        <v>0</v>
      </c>
      <c r="H74">
        <f>SUMPRODUCT((MONTH(CHOOSE({1,2,3,4},KHP!T74,KHP!X74,KHP!AB74,KHP!AF74))=8)*(CHOOSE({1,2,3,4},KHP!W74,KHP!AA74,KHP!AE74,KHP!AI74)))</f>
        <v>0</v>
      </c>
      <c r="I74">
        <f>SUMPRODUCT((MONTH(CHOOSE({1,2,3,4},KHP!T74,KHP!X74,KHP!AB74,KHP!AF74))=9)*(CHOOSE({1,2,3,4},KHP!W74,KHP!AA74,KHP!AE74,KHP!AI74)))</f>
        <v>0</v>
      </c>
      <c r="J74">
        <f>SUMPRODUCT((MONTH(CHOOSE({1,2,3,4},KHP!T74,KHP!X74,KHP!AB74,KHP!AF74))=10)*(CHOOSE({1,2,3,4},KHP!W74,KHP!AA74,KHP!AE74,KHP!AI74)))</f>
        <v>0</v>
      </c>
      <c r="K74">
        <f>SUMPRODUCT((MONTH(CHOOSE({1,2,3,4},KHP!T74,KHP!X74,KHP!AB74,KHP!AF74))=11)*(CHOOSE({1,2,3,4},KHP!W74,KHP!AA74,KHP!AE74,KHP!AI74)))</f>
        <v>0</v>
      </c>
      <c r="L74">
        <f>SUMPRODUCT((MONTH(CHOOSE({1,2,3,4},KHP!T74,KHP!X74,KHP!AB74,KHP!AF74))=12)*(CHOOSE({1,2,3,4},KHP!W74,KHP!AA74,KHP!AE74,KHP!AI74)))</f>
        <v>0</v>
      </c>
    </row>
    <row r="75" spans="1:12">
      <c r="A75">
        <f>SUMPRODUCT((MONTH(CHOOSE({1,2,3,4},KHP!T75,KHP!X75,KHP!AB75,KHP!AF75))=1)*(CHOOSE({1,2,3,4},KHP!W75,KHP!AA75,KHP!AE75,KHP!AI75)))</f>
        <v>0</v>
      </c>
      <c r="B75">
        <f>SUMPRODUCT((MONTH(CHOOSE({1,2,3,4},KHP!T75,KHP!X75,KHP!AB75,KHP!AF75))=2)*(CHOOSE({1,2,3,4},KHP!W75,KHP!AA75,KHP!AE75,KHP!AI75)))</f>
        <v>0</v>
      </c>
      <c r="C75">
        <f>SUMPRODUCT((MONTH(CHOOSE({1,2,3,4},KHP!T75,KHP!X75,KHP!AB75,KHP!AF75))=3)*(CHOOSE({1,2,3,4},KHP!W75,KHP!AA75,KHP!AE75,KHP!AI75)))</f>
        <v>0</v>
      </c>
      <c r="D75">
        <f>SUMPRODUCT((MONTH(CHOOSE({1,2,3,4},KHP!T75,KHP!X75,KHP!AB75,KHP!AF75))=4)*(CHOOSE({1,2,3,4},KHP!W75,KHP!AA75,KHP!AE75,KHP!AI75)))</f>
        <v>0</v>
      </c>
      <c r="E75">
        <f>SUMPRODUCT((MONTH(CHOOSE({1,2,3,4},KHP!T75,KHP!X75,KHP!AB75,KHP!AF75))=5)*(CHOOSE({1,2,3,4},KHP!W75,KHP!AA75,KHP!AE75,KHP!AI75)))</f>
        <v>0</v>
      </c>
      <c r="F75">
        <f>SUMPRODUCT((MONTH(CHOOSE({1,2,3,4},KHP!T75,KHP!X75,KHP!AB75,KHP!AF75))=6)*(CHOOSE({1,2,3,4},KHP!W75,KHP!AA75,KHP!AE75,KHP!AI75)))</f>
        <v>0</v>
      </c>
      <c r="G75">
        <f>SUMPRODUCT((MONTH(CHOOSE({1,2,3,4},KHP!T75,KHP!X75,KHP!AB75,KHP!AF75))=7)*(CHOOSE({1,2,3,4},KHP!W75,KHP!AA75,KHP!AE75,KHP!AI75)))</f>
        <v>0</v>
      </c>
      <c r="H75">
        <f>SUMPRODUCT((MONTH(CHOOSE({1,2,3,4},KHP!T75,KHP!X75,KHP!AB75,KHP!AF75))=8)*(CHOOSE({1,2,3,4},KHP!W75,KHP!AA75,KHP!AE75,KHP!AI75)))</f>
        <v>0</v>
      </c>
      <c r="I75">
        <f>SUMPRODUCT((MONTH(CHOOSE({1,2,3,4},KHP!T75,KHP!X75,KHP!AB75,KHP!AF75))=9)*(CHOOSE({1,2,3,4},KHP!W75,KHP!AA75,KHP!AE75,KHP!AI75)))</f>
        <v>0</v>
      </c>
      <c r="J75">
        <f>SUMPRODUCT((MONTH(CHOOSE({1,2,3,4},KHP!T75,KHP!X75,KHP!AB75,KHP!AF75))=10)*(CHOOSE({1,2,3,4},KHP!W75,KHP!AA75,KHP!AE75,KHP!AI75)))</f>
        <v>0</v>
      </c>
      <c r="K75">
        <f>SUMPRODUCT((MONTH(CHOOSE({1,2,3,4},KHP!T75,KHP!X75,KHP!AB75,KHP!AF75))=11)*(CHOOSE({1,2,3,4},KHP!W75,KHP!AA75,KHP!AE75,KHP!AI75)))</f>
        <v>0</v>
      </c>
      <c r="L75">
        <f>SUMPRODUCT((MONTH(CHOOSE({1,2,3,4},KHP!T75,KHP!X75,KHP!AB75,KHP!AF75))=12)*(CHOOSE({1,2,3,4},KHP!W75,KHP!AA75,KHP!AE75,KHP!AI75)))</f>
        <v>0</v>
      </c>
    </row>
    <row r="76" spans="1:12">
      <c r="A76">
        <f>SUMPRODUCT((MONTH(CHOOSE({1,2,3,4},KHP!T76,KHP!X76,KHP!AB76,KHP!AF76))=1)*(CHOOSE({1,2,3,4},KHP!W76,KHP!AA76,KHP!AE76,KHP!AI76)))</f>
        <v>0</v>
      </c>
      <c r="B76">
        <f>SUMPRODUCT((MONTH(CHOOSE({1,2,3,4},KHP!T76,KHP!X76,KHP!AB76,KHP!AF76))=2)*(CHOOSE({1,2,3,4},KHP!W76,KHP!AA76,KHP!AE76,KHP!AI76)))</f>
        <v>0</v>
      </c>
      <c r="C76">
        <f>SUMPRODUCT((MONTH(CHOOSE({1,2,3,4},KHP!T76,KHP!X76,KHP!AB76,KHP!AF76))=3)*(CHOOSE({1,2,3,4},KHP!W76,KHP!AA76,KHP!AE76,KHP!AI76)))</f>
        <v>0</v>
      </c>
      <c r="D76">
        <f>SUMPRODUCT((MONTH(CHOOSE({1,2,3,4},KHP!T76,KHP!X76,KHP!AB76,KHP!AF76))=4)*(CHOOSE({1,2,3,4},KHP!W76,KHP!AA76,KHP!AE76,KHP!AI76)))</f>
        <v>0</v>
      </c>
      <c r="E76">
        <f>SUMPRODUCT((MONTH(CHOOSE({1,2,3,4},KHP!T76,KHP!X76,KHP!AB76,KHP!AF76))=5)*(CHOOSE({1,2,3,4},KHP!W76,KHP!AA76,KHP!AE76,KHP!AI76)))</f>
        <v>0</v>
      </c>
      <c r="F76">
        <f>SUMPRODUCT((MONTH(CHOOSE({1,2,3,4},KHP!T76,KHP!X76,KHP!AB76,KHP!AF76))=6)*(CHOOSE({1,2,3,4},KHP!W76,KHP!AA76,KHP!AE76,KHP!AI76)))</f>
        <v>0</v>
      </c>
      <c r="G76">
        <f>SUMPRODUCT((MONTH(CHOOSE({1,2,3,4},KHP!T76,KHP!X76,KHP!AB76,KHP!AF76))=7)*(CHOOSE({1,2,3,4},KHP!W76,KHP!AA76,KHP!AE76,KHP!AI76)))</f>
        <v>0</v>
      </c>
      <c r="H76">
        <f>SUMPRODUCT((MONTH(CHOOSE({1,2,3,4},KHP!T76,KHP!X76,KHP!AB76,KHP!AF76))=8)*(CHOOSE({1,2,3,4},KHP!W76,KHP!AA76,KHP!AE76,KHP!AI76)))</f>
        <v>0</v>
      </c>
      <c r="I76">
        <f>SUMPRODUCT((MONTH(CHOOSE({1,2,3,4},KHP!T76,KHP!X76,KHP!AB76,KHP!AF76))=9)*(CHOOSE({1,2,3,4},KHP!W76,KHP!AA76,KHP!AE76,KHP!AI76)))</f>
        <v>0</v>
      </c>
      <c r="J76">
        <f>SUMPRODUCT((MONTH(CHOOSE({1,2,3,4},KHP!T76,KHP!X76,KHP!AB76,KHP!AF76))=10)*(CHOOSE({1,2,3,4},KHP!W76,KHP!AA76,KHP!AE76,KHP!AI76)))</f>
        <v>0</v>
      </c>
      <c r="K76">
        <f>SUMPRODUCT((MONTH(CHOOSE({1,2,3,4},KHP!T76,KHP!X76,KHP!AB76,KHP!AF76))=11)*(CHOOSE({1,2,3,4},KHP!W76,KHP!AA76,KHP!AE76,KHP!AI76)))</f>
        <v>0</v>
      </c>
      <c r="L76">
        <f>SUMPRODUCT((MONTH(CHOOSE({1,2,3,4},KHP!T76,KHP!X76,KHP!AB76,KHP!AF76))=12)*(CHOOSE({1,2,3,4},KHP!W76,KHP!AA76,KHP!AE76,KHP!AI76)))</f>
        <v>0</v>
      </c>
    </row>
    <row r="77" spans="1:12">
      <c r="A77">
        <f>SUMPRODUCT((MONTH(CHOOSE({1,2,3,4},KHP!T77,KHP!X77,KHP!AB77,KHP!AF77))=1)*(CHOOSE({1,2,3,4},KHP!W77,KHP!AA77,KHP!AE77,KHP!AI77)))</f>
        <v>0</v>
      </c>
      <c r="B77">
        <f>SUMPRODUCT((MONTH(CHOOSE({1,2,3,4},KHP!T77,KHP!X77,KHP!AB77,KHP!AF77))=2)*(CHOOSE({1,2,3,4},KHP!W77,KHP!AA77,KHP!AE77,KHP!AI77)))</f>
        <v>0</v>
      </c>
      <c r="C77">
        <f>SUMPRODUCT((MONTH(CHOOSE({1,2,3,4},KHP!T77,KHP!X77,KHP!AB77,KHP!AF77))=3)*(CHOOSE({1,2,3,4},KHP!W77,KHP!AA77,KHP!AE77,KHP!AI77)))</f>
        <v>0</v>
      </c>
      <c r="D77">
        <f>SUMPRODUCT((MONTH(CHOOSE({1,2,3,4},KHP!T77,KHP!X77,KHP!AB77,KHP!AF77))=4)*(CHOOSE({1,2,3,4},KHP!W77,KHP!AA77,KHP!AE77,KHP!AI77)))</f>
        <v>0</v>
      </c>
      <c r="E77">
        <f>SUMPRODUCT((MONTH(CHOOSE({1,2,3,4},KHP!T77,KHP!X77,KHP!AB77,KHP!AF77))=5)*(CHOOSE({1,2,3,4},KHP!W77,KHP!AA77,KHP!AE77,KHP!AI77)))</f>
        <v>0</v>
      </c>
      <c r="F77">
        <f>SUMPRODUCT((MONTH(CHOOSE({1,2,3,4},KHP!T77,KHP!X77,KHP!AB77,KHP!AF77))=6)*(CHOOSE({1,2,3,4},KHP!W77,KHP!AA77,KHP!AE77,KHP!AI77)))</f>
        <v>0</v>
      </c>
      <c r="G77">
        <f>SUMPRODUCT((MONTH(CHOOSE({1,2,3,4},KHP!T77,KHP!X77,KHP!AB77,KHP!AF77))=7)*(CHOOSE({1,2,3,4},KHP!W77,KHP!AA77,KHP!AE77,KHP!AI77)))</f>
        <v>0</v>
      </c>
      <c r="H77">
        <f>SUMPRODUCT((MONTH(CHOOSE({1,2,3,4},KHP!T77,KHP!X77,KHP!AB77,KHP!AF77))=8)*(CHOOSE({1,2,3,4},KHP!W77,KHP!AA77,KHP!AE77,KHP!AI77)))</f>
        <v>0</v>
      </c>
      <c r="I77">
        <f>SUMPRODUCT((MONTH(CHOOSE({1,2,3,4},KHP!T77,KHP!X77,KHP!AB77,KHP!AF77))=9)*(CHOOSE({1,2,3,4},KHP!W77,KHP!AA77,KHP!AE77,KHP!AI77)))</f>
        <v>0</v>
      </c>
      <c r="J77">
        <f>SUMPRODUCT((MONTH(CHOOSE({1,2,3,4},KHP!T77,KHP!X77,KHP!AB77,KHP!AF77))=10)*(CHOOSE({1,2,3,4},KHP!W77,KHP!AA77,KHP!AE77,KHP!AI77)))</f>
        <v>0</v>
      </c>
      <c r="K77">
        <f>SUMPRODUCT((MONTH(CHOOSE({1,2,3,4},KHP!T77,KHP!X77,KHP!AB77,KHP!AF77))=11)*(CHOOSE({1,2,3,4},KHP!W77,KHP!AA77,KHP!AE77,KHP!AI77)))</f>
        <v>0</v>
      </c>
      <c r="L77">
        <f>SUMPRODUCT((MONTH(CHOOSE({1,2,3,4},KHP!T77,KHP!X77,KHP!AB77,KHP!AF77))=12)*(CHOOSE({1,2,3,4},KHP!W77,KHP!AA77,KHP!AE77,KHP!AI77)))</f>
        <v>0</v>
      </c>
    </row>
    <row r="78" spans="1:12">
      <c r="A78">
        <f>SUMPRODUCT((MONTH(CHOOSE({1,2,3,4},KHP!T78,KHP!X78,KHP!AB78,KHP!AF78))=1)*(CHOOSE({1,2,3,4},KHP!W78,KHP!AA78,KHP!AE78,KHP!AI78)))</f>
        <v>0</v>
      </c>
      <c r="B78">
        <f>SUMPRODUCT((MONTH(CHOOSE({1,2,3,4},KHP!T78,KHP!X78,KHP!AB78,KHP!AF78))=2)*(CHOOSE({1,2,3,4},KHP!W78,KHP!AA78,KHP!AE78,KHP!AI78)))</f>
        <v>0</v>
      </c>
      <c r="C78">
        <f>SUMPRODUCT((MONTH(CHOOSE({1,2,3,4},KHP!T78,KHP!X78,KHP!AB78,KHP!AF78))=3)*(CHOOSE({1,2,3,4},KHP!W78,KHP!AA78,KHP!AE78,KHP!AI78)))</f>
        <v>0</v>
      </c>
      <c r="D78">
        <f>SUMPRODUCT((MONTH(CHOOSE({1,2,3,4},KHP!T78,KHP!X78,KHP!AB78,KHP!AF78))=4)*(CHOOSE({1,2,3,4},KHP!W78,KHP!AA78,KHP!AE78,KHP!AI78)))</f>
        <v>0</v>
      </c>
      <c r="E78">
        <f>SUMPRODUCT((MONTH(CHOOSE({1,2,3,4},KHP!T78,KHP!X78,KHP!AB78,KHP!AF78))=5)*(CHOOSE({1,2,3,4},KHP!W78,KHP!AA78,KHP!AE78,KHP!AI78)))</f>
        <v>0</v>
      </c>
      <c r="F78">
        <f>SUMPRODUCT((MONTH(CHOOSE({1,2,3,4},KHP!T78,KHP!X78,KHP!AB78,KHP!AF78))=6)*(CHOOSE({1,2,3,4},KHP!W78,KHP!AA78,KHP!AE78,KHP!AI78)))</f>
        <v>0</v>
      </c>
      <c r="G78">
        <f>SUMPRODUCT((MONTH(CHOOSE({1,2,3,4},KHP!T78,KHP!X78,KHP!AB78,KHP!AF78))=7)*(CHOOSE({1,2,3,4},KHP!W78,KHP!AA78,KHP!AE78,KHP!AI78)))</f>
        <v>0</v>
      </c>
      <c r="H78">
        <f>SUMPRODUCT((MONTH(CHOOSE({1,2,3,4},KHP!T78,KHP!X78,KHP!AB78,KHP!AF78))=8)*(CHOOSE({1,2,3,4},KHP!W78,KHP!AA78,KHP!AE78,KHP!AI78)))</f>
        <v>0</v>
      </c>
      <c r="I78">
        <f>SUMPRODUCT((MONTH(CHOOSE({1,2,3,4},KHP!T78,KHP!X78,KHP!AB78,KHP!AF78))=9)*(CHOOSE({1,2,3,4},KHP!W78,KHP!AA78,KHP!AE78,KHP!AI78)))</f>
        <v>0</v>
      </c>
      <c r="J78">
        <f>SUMPRODUCT((MONTH(CHOOSE({1,2,3,4},KHP!T78,KHP!X78,KHP!AB78,KHP!AF78))=10)*(CHOOSE({1,2,3,4},KHP!W78,KHP!AA78,KHP!AE78,KHP!AI78)))</f>
        <v>0</v>
      </c>
      <c r="K78">
        <f>SUMPRODUCT((MONTH(CHOOSE({1,2,3,4},KHP!T78,KHP!X78,KHP!AB78,KHP!AF78))=11)*(CHOOSE({1,2,3,4},KHP!W78,KHP!AA78,KHP!AE78,KHP!AI78)))</f>
        <v>0</v>
      </c>
      <c r="L78">
        <f>SUMPRODUCT((MONTH(CHOOSE({1,2,3,4},KHP!T78,KHP!X78,KHP!AB78,KHP!AF78))=12)*(CHOOSE({1,2,3,4},KHP!W78,KHP!AA78,KHP!AE78,KHP!AI78)))</f>
        <v>0</v>
      </c>
    </row>
    <row r="79" spans="1:12">
      <c r="A79">
        <f>SUMPRODUCT((MONTH(CHOOSE({1,2,3,4},KHP!T79,KHP!X79,KHP!AB79,KHP!AF79))=1)*(CHOOSE({1,2,3,4},KHP!W79,KHP!AA79,KHP!AE79,KHP!AI79)))</f>
        <v>0</v>
      </c>
      <c r="B79">
        <f>SUMPRODUCT((MONTH(CHOOSE({1,2,3,4},KHP!T79,KHP!X79,KHP!AB79,KHP!AF79))=2)*(CHOOSE({1,2,3,4},KHP!W79,KHP!AA79,KHP!AE79,KHP!AI79)))</f>
        <v>0</v>
      </c>
      <c r="C79">
        <f>SUMPRODUCT((MONTH(CHOOSE({1,2,3,4},KHP!T79,KHP!X79,KHP!AB79,KHP!AF79))=3)*(CHOOSE({1,2,3,4},KHP!W79,KHP!AA79,KHP!AE79,KHP!AI79)))</f>
        <v>0</v>
      </c>
      <c r="D79">
        <f>SUMPRODUCT((MONTH(CHOOSE({1,2,3,4},KHP!T79,KHP!X79,KHP!AB79,KHP!AF79))=4)*(CHOOSE({1,2,3,4},KHP!W79,KHP!AA79,KHP!AE79,KHP!AI79)))</f>
        <v>0</v>
      </c>
      <c r="E79">
        <f>SUMPRODUCT((MONTH(CHOOSE({1,2,3,4},KHP!T79,KHP!X79,KHP!AB79,KHP!AF79))=5)*(CHOOSE({1,2,3,4},KHP!W79,KHP!AA79,KHP!AE79,KHP!AI79)))</f>
        <v>0</v>
      </c>
      <c r="F79">
        <f>SUMPRODUCT((MONTH(CHOOSE({1,2,3,4},KHP!T79,KHP!X79,KHP!AB79,KHP!AF79))=6)*(CHOOSE({1,2,3,4},KHP!W79,KHP!AA79,KHP!AE79,KHP!AI79)))</f>
        <v>0</v>
      </c>
      <c r="G79">
        <f>SUMPRODUCT((MONTH(CHOOSE({1,2,3,4},KHP!T79,KHP!X79,KHP!AB79,KHP!AF79))=7)*(CHOOSE({1,2,3,4},KHP!W79,KHP!AA79,KHP!AE79,KHP!AI79)))</f>
        <v>0</v>
      </c>
      <c r="H79">
        <f>SUMPRODUCT((MONTH(CHOOSE({1,2,3,4},KHP!T79,KHP!X79,KHP!AB79,KHP!AF79))=8)*(CHOOSE({1,2,3,4},KHP!W79,KHP!AA79,KHP!AE79,KHP!AI79)))</f>
        <v>0</v>
      </c>
      <c r="I79">
        <f>SUMPRODUCT((MONTH(CHOOSE({1,2,3,4},KHP!T79,KHP!X79,KHP!AB79,KHP!AF79))=9)*(CHOOSE({1,2,3,4},KHP!W79,KHP!AA79,KHP!AE79,KHP!AI79)))</f>
        <v>0</v>
      </c>
      <c r="J79">
        <f>SUMPRODUCT((MONTH(CHOOSE({1,2,3,4},KHP!T79,KHP!X79,KHP!AB79,KHP!AF79))=10)*(CHOOSE({1,2,3,4},KHP!W79,KHP!AA79,KHP!AE79,KHP!AI79)))</f>
        <v>0</v>
      </c>
      <c r="K79">
        <f>SUMPRODUCT((MONTH(CHOOSE({1,2,3,4},KHP!T79,KHP!X79,KHP!AB79,KHP!AF79))=11)*(CHOOSE({1,2,3,4},KHP!W79,KHP!AA79,KHP!AE79,KHP!AI79)))</f>
        <v>0</v>
      </c>
      <c r="L79">
        <f>SUMPRODUCT((MONTH(CHOOSE({1,2,3,4},KHP!T79,KHP!X79,KHP!AB79,KHP!AF79))=12)*(CHOOSE({1,2,3,4},KHP!W79,KHP!AA79,KHP!AE79,KHP!AI79)))</f>
        <v>0</v>
      </c>
    </row>
    <row r="80" spans="1:12">
      <c r="A80">
        <f>SUMPRODUCT((MONTH(CHOOSE({1,2,3,4},KHP!T80,KHP!X80,KHP!AB80,KHP!AF80))=1)*(CHOOSE({1,2,3,4},KHP!W80,KHP!AA80,KHP!AE80,KHP!AI80)))</f>
        <v>0</v>
      </c>
      <c r="B80">
        <f>SUMPRODUCT((MONTH(CHOOSE({1,2,3,4},KHP!T80,KHP!X80,KHP!AB80,KHP!AF80))=2)*(CHOOSE({1,2,3,4},KHP!W80,KHP!AA80,KHP!AE80,KHP!AI80)))</f>
        <v>0</v>
      </c>
      <c r="C80">
        <f>SUMPRODUCT((MONTH(CHOOSE({1,2,3,4},KHP!T80,KHP!X80,KHP!AB80,KHP!AF80))=3)*(CHOOSE({1,2,3,4},KHP!W80,KHP!AA80,KHP!AE80,KHP!AI80)))</f>
        <v>0</v>
      </c>
      <c r="D80">
        <f>SUMPRODUCT((MONTH(CHOOSE({1,2,3,4},KHP!T80,KHP!X80,KHP!AB80,KHP!AF80))=4)*(CHOOSE({1,2,3,4},KHP!W80,KHP!AA80,KHP!AE80,KHP!AI80)))</f>
        <v>0</v>
      </c>
      <c r="E80">
        <f>SUMPRODUCT((MONTH(CHOOSE({1,2,3,4},KHP!T80,KHP!X80,KHP!AB80,KHP!AF80))=5)*(CHOOSE({1,2,3,4},KHP!W80,KHP!AA80,KHP!AE80,KHP!AI80)))</f>
        <v>0</v>
      </c>
      <c r="F80">
        <f>SUMPRODUCT((MONTH(CHOOSE({1,2,3,4},KHP!T80,KHP!X80,KHP!AB80,KHP!AF80))=6)*(CHOOSE({1,2,3,4},KHP!W80,KHP!AA80,KHP!AE80,KHP!AI80)))</f>
        <v>0</v>
      </c>
      <c r="G80">
        <f>SUMPRODUCT((MONTH(CHOOSE({1,2,3,4},KHP!T80,KHP!X80,KHP!AB80,KHP!AF80))=7)*(CHOOSE({1,2,3,4},KHP!W80,KHP!AA80,KHP!AE80,KHP!AI80)))</f>
        <v>0</v>
      </c>
      <c r="H80">
        <f>SUMPRODUCT((MONTH(CHOOSE({1,2,3,4},KHP!T80,KHP!X80,KHP!AB80,KHP!AF80))=8)*(CHOOSE({1,2,3,4},KHP!W80,KHP!AA80,KHP!AE80,KHP!AI80)))</f>
        <v>0</v>
      </c>
      <c r="I80">
        <f>SUMPRODUCT((MONTH(CHOOSE({1,2,3,4},KHP!T80,KHP!X80,KHP!AB80,KHP!AF80))=9)*(CHOOSE({1,2,3,4},KHP!W80,KHP!AA80,KHP!AE80,KHP!AI80)))</f>
        <v>0</v>
      </c>
      <c r="J80">
        <f>SUMPRODUCT((MONTH(CHOOSE({1,2,3,4},KHP!T80,KHP!X80,KHP!AB80,KHP!AF80))=10)*(CHOOSE({1,2,3,4},KHP!W80,KHP!AA80,KHP!AE80,KHP!AI80)))</f>
        <v>0</v>
      </c>
      <c r="K80">
        <f>SUMPRODUCT((MONTH(CHOOSE({1,2,3,4},KHP!T80,KHP!X80,KHP!AB80,KHP!AF80))=11)*(CHOOSE({1,2,3,4},KHP!W80,KHP!AA80,KHP!AE80,KHP!AI80)))</f>
        <v>0</v>
      </c>
      <c r="L80">
        <f>SUMPRODUCT((MONTH(CHOOSE({1,2,3,4},KHP!T80,KHP!X80,KHP!AB80,KHP!AF80))=12)*(CHOOSE({1,2,3,4},KHP!W80,KHP!AA80,KHP!AE80,KHP!AI80)))</f>
        <v>0</v>
      </c>
    </row>
    <row r="81" spans="1:12">
      <c r="A81">
        <f>SUMPRODUCT((MONTH(CHOOSE({1,2,3,4},KHP!T81,KHP!X81,KHP!AB81,KHP!AF81))=1)*(CHOOSE({1,2,3,4},KHP!W81,KHP!AA81,KHP!AE81,KHP!AI81)))</f>
        <v>0</v>
      </c>
      <c r="B81">
        <f>SUMPRODUCT((MONTH(CHOOSE({1,2,3,4},KHP!T81,KHP!X81,KHP!AB81,KHP!AF81))=2)*(CHOOSE({1,2,3,4},KHP!W81,KHP!AA81,KHP!AE81,KHP!AI81)))</f>
        <v>0</v>
      </c>
      <c r="C81">
        <f>SUMPRODUCT((MONTH(CHOOSE({1,2,3,4},KHP!T81,KHP!X81,KHP!AB81,KHP!AF81))=3)*(CHOOSE({1,2,3,4},KHP!W81,KHP!AA81,KHP!AE81,KHP!AI81)))</f>
        <v>0</v>
      </c>
      <c r="D81">
        <f>SUMPRODUCT((MONTH(CHOOSE({1,2,3,4},KHP!T81,KHP!X81,KHP!AB81,KHP!AF81))=4)*(CHOOSE({1,2,3,4},KHP!W81,KHP!AA81,KHP!AE81,KHP!AI81)))</f>
        <v>0</v>
      </c>
      <c r="E81">
        <f>SUMPRODUCT((MONTH(CHOOSE({1,2,3,4},KHP!T81,KHP!X81,KHP!AB81,KHP!AF81))=5)*(CHOOSE({1,2,3,4},KHP!W81,KHP!AA81,KHP!AE81,KHP!AI81)))</f>
        <v>0</v>
      </c>
      <c r="F81">
        <f>SUMPRODUCT((MONTH(CHOOSE({1,2,3,4},KHP!T81,KHP!X81,KHP!AB81,KHP!AF81))=6)*(CHOOSE({1,2,3,4},KHP!W81,KHP!AA81,KHP!AE81,KHP!AI81)))</f>
        <v>0</v>
      </c>
      <c r="G81">
        <f>SUMPRODUCT((MONTH(CHOOSE({1,2,3,4},KHP!T81,KHP!X81,KHP!AB81,KHP!AF81))=7)*(CHOOSE({1,2,3,4},KHP!W81,KHP!AA81,KHP!AE81,KHP!AI81)))</f>
        <v>0</v>
      </c>
      <c r="H81">
        <f>SUMPRODUCT((MONTH(CHOOSE({1,2,3,4},KHP!T81,KHP!X81,KHP!AB81,KHP!AF81))=8)*(CHOOSE({1,2,3,4},KHP!W81,KHP!AA81,KHP!AE81,KHP!AI81)))</f>
        <v>0</v>
      </c>
      <c r="I81">
        <f>SUMPRODUCT((MONTH(CHOOSE({1,2,3,4},KHP!T81,KHP!X81,KHP!AB81,KHP!AF81))=9)*(CHOOSE({1,2,3,4},KHP!W81,KHP!AA81,KHP!AE81,KHP!AI81)))</f>
        <v>0</v>
      </c>
      <c r="J81">
        <f>SUMPRODUCT((MONTH(CHOOSE({1,2,3,4},KHP!T81,KHP!X81,KHP!AB81,KHP!AF81))=10)*(CHOOSE({1,2,3,4},KHP!W81,KHP!AA81,KHP!AE81,KHP!AI81)))</f>
        <v>0</v>
      </c>
      <c r="K81">
        <f>SUMPRODUCT((MONTH(CHOOSE({1,2,3,4},KHP!T81,KHP!X81,KHP!AB81,KHP!AF81))=11)*(CHOOSE({1,2,3,4},KHP!W81,KHP!AA81,KHP!AE81,KHP!AI81)))</f>
        <v>0</v>
      </c>
      <c r="L81">
        <f>SUMPRODUCT((MONTH(CHOOSE({1,2,3,4},KHP!T81,KHP!X81,KHP!AB81,KHP!AF81))=12)*(CHOOSE({1,2,3,4},KHP!W81,KHP!AA81,KHP!AE81,KHP!AI81)))</f>
        <v>0</v>
      </c>
    </row>
    <row r="82" spans="1:12">
      <c r="A82">
        <f>SUMPRODUCT((MONTH(CHOOSE({1,2,3,4},KHP!T82,KHP!X82,KHP!AB82,KHP!AF82))=1)*(CHOOSE({1,2,3,4},KHP!W82,KHP!AA82,KHP!AE82,KHP!AI82)))</f>
        <v>0</v>
      </c>
      <c r="B82">
        <f>SUMPRODUCT((MONTH(CHOOSE({1,2,3,4},KHP!T82,KHP!X82,KHP!AB82,KHP!AF82))=2)*(CHOOSE({1,2,3,4},KHP!W82,KHP!AA82,KHP!AE82,KHP!AI82)))</f>
        <v>0</v>
      </c>
      <c r="C82">
        <f>SUMPRODUCT((MONTH(CHOOSE({1,2,3,4},KHP!T82,KHP!X82,KHP!AB82,KHP!AF82))=3)*(CHOOSE({1,2,3,4},KHP!W82,KHP!AA82,KHP!AE82,KHP!AI82)))</f>
        <v>0</v>
      </c>
      <c r="D82">
        <f>SUMPRODUCT((MONTH(CHOOSE({1,2,3,4},KHP!T82,KHP!X82,KHP!AB82,KHP!AF82))=4)*(CHOOSE({1,2,3,4},KHP!W82,KHP!AA82,KHP!AE82,KHP!AI82)))</f>
        <v>0</v>
      </c>
      <c r="E82">
        <f>SUMPRODUCT((MONTH(CHOOSE({1,2,3,4},KHP!T82,KHP!X82,KHP!AB82,KHP!AF82))=5)*(CHOOSE({1,2,3,4},KHP!W82,KHP!AA82,KHP!AE82,KHP!AI82)))</f>
        <v>0</v>
      </c>
      <c r="F82">
        <f>SUMPRODUCT((MONTH(CHOOSE({1,2,3,4},KHP!T82,KHP!X82,KHP!AB82,KHP!AF82))=6)*(CHOOSE({1,2,3,4},KHP!W82,KHP!AA82,KHP!AE82,KHP!AI82)))</f>
        <v>0</v>
      </c>
      <c r="G82">
        <f>SUMPRODUCT((MONTH(CHOOSE({1,2,3,4},KHP!T82,KHP!X82,KHP!AB82,KHP!AF82))=7)*(CHOOSE({1,2,3,4},KHP!W82,KHP!AA82,KHP!AE82,KHP!AI82)))</f>
        <v>0</v>
      </c>
      <c r="H82">
        <f>SUMPRODUCT((MONTH(CHOOSE({1,2,3,4},KHP!T82,KHP!X82,KHP!AB82,KHP!AF82))=8)*(CHOOSE({1,2,3,4},KHP!W82,KHP!AA82,KHP!AE82,KHP!AI82)))</f>
        <v>0</v>
      </c>
      <c r="I82">
        <f>SUMPRODUCT((MONTH(CHOOSE({1,2,3,4},KHP!T82,KHP!X82,KHP!AB82,KHP!AF82))=9)*(CHOOSE({1,2,3,4},KHP!W82,KHP!AA82,KHP!AE82,KHP!AI82)))</f>
        <v>0</v>
      </c>
      <c r="J82">
        <f>SUMPRODUCT((MONTH(CHOOSE({1,2,3,4},KHP!T82,KHP!X82,KHP!AB82,KHP!AF82))=10)*(CHOOSE({1,2,3,4},KHP!W82,KHP!AA82,KHP!AE82,KHP!AI82)))</f>
        <v>0</v>
      </c>
      <c r="K82">
        <f>SUMPRODUCT((MONTH(CHOOSE({1,2,3,4},KHP!T82,KHP!X82,KHP!AB82,KHP!AF82))=11)*(CHOOSE({1,2,3,4},KHP!W82,KHP!AA82,KHP!AE82,KHP!AI82)))</f>
        <v>0</v>
      </c>
      <c r="L82">
        <f>SUMPRODUCT((MONTH(CHOOSE({1,2,3,4},KHP!T82,KHP!X82,KHP!AB82,KHP!AF82))=12)*(CHOOSE({1,2,3,4},KHP!W82,KHP!AA82,KHP!AE82,KHP!AI82)))</f>
        <v>0</v>
      </c>
    </row>
    <row r="83" spans="1:12">
      <c r="A83">
        <f>SUMPRODUCT((MONTH(CHOOSE({1,2,3,4},KHP!T83,KHP!X83,KHP!AB83,KHP!AF83))=1)*(CHOOSE({1,2,3,4},KHP!W83,KHP!AA83,KHP!AE83,KHP!AI83)))</f>
        <v>0</v>
      </c>
      <c r="B83">
        <f>SUMPRODUCT((MONTH(CHOOSE({1,2,3,4},KHP!T83,KHP!X83,KHP!AB83,KHP!AF83))=2)*(CHOOSE({1,2,3,4},KHP!W83,KHP!AA83,KHP!AE83,KHP!AI83)))</f>
        <v>0</v>
      </c>
      <c r="C83">
        <f>SUMPRODUCT((MONTH(CHOOSE({1,2,3,4},KHP!T83,KHP!X83,KHP!AB83,KHP!AF83))=3)*(CHOOSE({1,2,3,4},KHP!W83,KHP!AA83,KHP!AE83,KHP!AI83)))</f>
        <v>0</v>
      </c>
      <c r="D83">
        <f>SUMPRODUCT((MONTH(CHOOSE({1,2,3,4},KHP!T83,KHP!X83,KHP!AB83,KHP!AF83))=4)*(CHOOSE({1,2,3,4},KHP!W83,KHP!AA83,KHP!AE83,KHP!AI83)))</f>
        <v>0</v>
      </c>
      <c r="E83">
        <f>SUMPRODUCT((MONTH(CHOOSE({1,2,3,4},KHP!T83,KHP!X83,KHP!AB83,KHP!AF83))=5)*(CHOOSE({1,2,3,4},KHP!W83,KHP!AA83,KHP!AE83,KHP!AI83)))</f>
        <v>0</v>
      </c>
      <c r="F83">
        <f>SUMPRODUCT((MONTH(CHOOSE({1,2,3,4},KHP!T83,KHP!X83,KHP!AB83,KHP!AF83))=6)*(CHOOSE({1,2,3,4},KHP!W83,KHP!AA83,KHP!AE83,KHP!AI83)))</f>
        <v>0</v>
      </c>
      <c r="G83">
        <f>SUMPRODUCT((MONTH(CHOOSE({1,2,3,4},KHP!T83,KHP!X83,KHP!AB83,KHP!AF83))=7)*(CHOOSE({1,2,3,4},KHP!W83,KHP!AA83,KHP!AE83,KHP!AI83)))</f>
        <v>0</v>
      </c>
      <c r="H83">
        <f>SUMPRODUCT((MONTH(CHOOSE({1,2,3,4},KHP!T83,KHP!X83,KHP!AB83,KHP!AF83))=8)*(CHOOSE({1,2,3,4},KHP!W83,KHP!AA83,KHP!AE83,KHP!AI83)))</f>
        <v>0</v>
      </c>
      <c r="I83">
        <f>SUMPRODUCT((MONTH(CHOOSE({1,2,3,4},KHP!T83,KHP!X83,KHP!AB83,KHP!AF83))=9)*(CHOOSE({1,2,3,4},KHP!W83,KHP!AA83,KHP!AE83,KHP!AI83)))</f>
        <v>0</v>
      </c>
      <c r="J83">
        <f>SUMPRODUCT((MONTH(CHOOSE({1,2,3,4},KHP!T83,KHP!X83,KHP!AB83,KHP!AF83))=10)*(CHOOSE({1,2,3,4},KHP!W83,KHP!AA83,KHP!AE83,KHP!AI83)))</f>
        <v>0</v>
      </c>
      <c r="K83">
        <f>SUMPRODUCT((MONTH(CHOOSE({1,2,3,4},KHP!T83,KHP!X83,KHP!AB83,KHP!AF83))=11)*(CHOOSE({1,2,3,4},KHP!W83,KHP!AA83,KHP!AE83,KHP!AI83)))</f>
        <v>0</v>
      </c>
      <c r="L83">
        <f>SUMPRODUCT((MONTH(CHOOSE({1,2,3,4},KHP!T83,KHP!X83,KHP!AB83,KHP!AF83))=12)*(CHOOSE({1,2,3,4},KHP!W83,KHP!AA83,KHP!AE83,KHP!AI83)))</f>
        <v>0</v>
      </c>
    </row>
    <row r="84" spans="1:12">
      <c r="A84">
        <f>SUMPRODUCT((MONTH(CHOOSE({1,2,3,4},KHP!T84,KHP!X84,KHP!AB84,KHP!AF84))=1)*(CHOOSE({1,2,3,4},KHP!W84,KHP!AA84,KHP!AE84,KHP!AI84)))</f>
        <v>0</v>
      </c>
      <c r="B84">
        <f>SUMPRODUCT((MONTH(CHOOSE({1,2,3,4},KHP!T84,KHP!X84,KHP!AB84,KHP!AF84))=2)*(CHOOSE({1,2,3,4},KHP!W84,KHP!AA84,KHP!AE84,KHP!AI84)))</f>
        <v>0</v>
      </c>
      <c r="C84">
        <f>SUMPRODUCT((MONTH(CHOOSE({1,2,3,4},KHP!T84,KHP!X84,KHP!AB84,KHP!AF84))=3)*(CHOOSE({1,2,3,4},KHP!W84,KHP!AA84,KHP!AE84,KHP!AI84)))</f>
        <v>0</v>
      </c>
      <c r="D84">
        <f>SUMPRODUCT((MONTH(CHOOSE({1,2,3,4},KHP!T84,KHP!X84,KHP!AB84,KHP!AF84))=4)*(CHOOSE({1,2,3,4},KHP!W84,KHP!AA84,KHP!AE84,KHP!AI84)))</f>
        <v>0</v>
      </c>
      <c r="E84">
        <f>SUMPRODUCT((MONTH(CHOOSE({1,2,3,4},KHP!T84,KHP!X84,KHP!AB84,KHP!AF84))=5)*(CHOOSE({1,2,3,4},KHP!W84,KHP!AA84,KHP!AE84,KHP!AI84)))</f>
        <v>0</v>
      </c>
      <c r="F84">
        <f>SUMPRODUCT((MONTH(CHOOSE({1,2,3,4},KHP!T84,KHP!X84,KHP!AB84,KHP!AF84))=6)*(CHOOSE({1,2,3,4},KHP!W84,KHP!AA84,KHP!AE84,KHP!AI84)))</f>
        <v>0</v>
      </c>
      <c r="G84">
        <f>SUMPRODUCT((MONTH(CHOOSE({1,2,3,4},KHP!T84,KHP!X84,KHP!AB84,KHP!AF84))=7)*(CHOOSE({1,2,3,4},KHP!W84,KHP!AA84,KHP!AE84,KHP!AI84)))</f>
        <v>0</v>
      </c>
      <c r="H84">
        <f>SUMPRODUCT((MONTH(CHOOSE({1,2,3,4},KHP!T84,KHP!X84,KHP!AB84,KHP!AF84))=8)*(CHOOSE({1,2,3,4},KHP!W84,KHP!AA84,KHP!AE84,KHP!AI84)))</f>
        <v>0</v>
      </c>
      <c r="I84">
        <f>SUMPRODUCT((MONTH(CHOOSE({1,2,3,4},KHP!T84,KHP!X84,KHP!AB84,KHP!AF84))=9)*(CHOOSE({1,2,3,4},KHP!W84,KHP!AA84,KHP!AE84,KHP!AI84)))</f>
        <v>0</v>
      </c>
      <c r="J84">
        <f>SUMPRODUCT((MONTH(CHOOSE({1,2,3,4},KHP!T84,KHP!X84,KHP!AB84,KHP!AF84))=10)*(CHOOSE({1,2,3,4},KHP!W84,KHP!AA84,KHP!AE84,KHP!AI84)))</f>
        <v>0</v>
      </c>
      <c r="K84">
        <f>SUMPRODUCT((MONTH(CHOOSE({1,2,3,4},KHP!T84,KHP!X84,KHP!AB84,KHP!AF84))=11)*(CHOOSE({1,2,3,4},KHP!W84,KHP!AA84,KHP!AE84,KHP!AI84)))</f>
        <v>0</v>
      </c>
      <c r="L84">
        <f>SUMPRODUCT((MONTH(CHOOSE({1,2,3,4},KHP!T84,KHP!X84,KHP!AB84,KHP!AF84))=12)*(CHOOSE({1,2,3,4},KHP!W84,KHP!AA84,KHP!AE84,KHP!AI84)))</f>
        <v>0</v>
      </c>
    </row>
    <row r="85" spans="1:12">
      <c r="A85">
        <f>SUMPRODUCT((MONTH(CHOOSE({1,2,3,4},KHP!T85,KHP!X85,KHP!AB85,KHP!AF85))=1)*(CHOOSE({1,2,3,4},KHP!W85,KHP!AA85,KHP!AE85,KHP!AI85)))</f>
        <v>0</v>
      </c>
      <c r="B85">
        <f>SUMPRODUCT((MONTH(CHOOSE({1,2,3,4},KHP!T85,KHP!X85,KHP!AB85,KHP!AF85))=2)*(CHOOSE({1,2,3,4},KHP!W85,KHP!AA85,KHP!AE85,KHP!AI85)))</f>
        <v>0</v>
      </c>
      <c r="C85">
        <f>SUMPRODUCT((MONTH(CHOOSE({1,2,3,4},KHP!T85,KHP!X85,KHP!AB85,KHP!AF85))=3)*(CHOOSE({1,2,3,4},KHP!W85,KHP!AA85,KHP!AE85,KHP!AI85)))</f>
        <v>0</v>
      </c>
      <c r="D85">
        <f>SUMPRODUCT((MONTH(CHOOSE({1,2,3,4},KHP!T85,KHP!X85,KHP!AB85,KHP!AF85))=4)*(CHOOSE({1,2,3,4},KHP!W85,KHP!AA85,KHP!AE85,KHP!AI85)))</f>
        <v>0</v>
      </c>
      <c r="E85">
        <f>SUMPRODUCT((MONTH(CHOOSE({1,2,3,4},KHP!T85,KHP!X85,KHP!AB85,KHP!AF85))=5)*(CHOOSE({1,2,3,4},KHP!W85,KHP!AA85,KHP!AE85,KHP!AI85)))</f>
        <v>0</v>
      </c>
      <c r="F85">
        <f>SUMPRODUCT((MONTH(CHOOSE({1,2,3,4},KHP!T85,KHP!X85,KHP!AB85,KHP!AF85))=6)*(CHOOSE({1,2,3,4},KHP!W85,KHP!AA85,KHP!AE85,KHP!AI85)))</f>
        <v>0</v>
      </c>
      <c r="G85">
        <f>SUMPRODUCT((MONTH(CHOOSE({1,2,3,4},KHP!T85,KHP!X85,KHP!AB85,KHP!AF85))=7)*(CHOOSE({1,2,3,4},KHP!W85,KHP!AA85,KHP!AE85,KHP!AI85)))</f>
        <v>0</v>
      </c>
      <c r="H85">
        <f>SUMPRODUCT((MONTH(CHOOSE({1,2,3,4},KHP!T85,KHP!X85,KHP!AB85,KHP!AF85))=8)*(CHOOSE({1,2,3,4},KHP!W85,KHP!AA85,KHP!AE85,KHP!AI85)))</f>
        <v>0</v>
      </c>
      <c r="I85">
        <f>SUMPRODUCT((MONTH(CHOOSE({1,2,3,4},KHP!T85,KHP!X85,KHP!AB85,KHP!AF85))=9)*(CHOOSE({1,2,3,4},KHP!W85,KHP!AA85,KHP!AE85,KHP!AI85)))</f>
        <v>0</v>
      </c>
      <c r="J85">
        <f>SUMPRODUCT((MONTH(CHOOSE({1,2,3,4},KHP!T85,KHP!X85,KHP!AB85,KHP!AF85))=10)*(CHOOSE({1,2,3,4},KHP!W85,KHP!AA85,KHP!AE85,KHP!AI85)))</f>
        <v>0</v>
      </c>
      <c r="K85">
        <f>SUMPRODUCT((MONTH(CHOOSE({1,2,3,4},KHP!T85,KHP!X85,KHP!AB85,KHP!AF85))=11)*(CHOOSE({1,2,3,4},KHP!W85,KHP!AA85,KHP!AE85,KHP!AI85)))</f>
        <v>0</v>
      </c>
      <c r="L85">
        <f>SUMPRODUCT((MONTH(CHOOSE({1,2,3,4},KHP!T85,KHP!X85,KHP!AB85,KHP!AF85))=12)*(CHOOSE({1,2,3,4},KHP!W85,KHP!AA85,KHP!AE85,KHP!AI85)))</f>
        <v>0</v>
      </c>
    </row>
    <row r="86" spans="1:12">
      <c r="A86">
        <f>SUMPRODUCT((MONTH(CHOOSE({1,2,3,4},KHP!T86,KHP!X86,KHP!AB86,KHP!AF86))=1)*(CHOOSE({1,2,3,4},KHP!W86,KHP!AA86,KHP!AE86,KHP!AI86)))</f>
        <v>0</v>
      </c>
      <c r="B86">
        <f>SUMPRODUCT((MONTH(CHOOSE({1,2,3,4},KHP!T86,KHP!X86,KHP!AB86,KHP!AF86))=2)*(CHOOSE({1,2,3,4},KHP!W86,KHP!AA86,KHP!AE86,KHP!AI86)))</f>
        <v>0</v>
      </c>
      <c r="C86">
        <f>SUMPRODUCT((MONTH(CHOOSE({1,2,3,4},KHP!T86,KHP!X86,KHP!AB86,KHP!AF86))=3)*(CHOOSE({1,2,3,4},KHP!W86,KHP!AA86,KHP!AE86,KHP!AI86)))</f>
        <v>0</v>
      </c>
      <c r="D86">
        <f>SUMPRODUCT((MONTH(CHOOSE({1,2,3,4},KHP!T86,KHP!X86,KHP!AB86,KHP!AF86))=4)*(CHOOSE({1,2,3,4},KHP!W86,KHP!AA86,KHP!AE86,KHP!AI86)))</f>
        <v>0</v>
      </c>
      <c r="E86">
        <f>SUMPRODUCT((MONTH(CHOOSE({1,2,3,4},KHP!T86,KHP!X86,KHP!AB86,KHP!AF86))=5)*(CHOOSE({1,2,3,4},KHP!W86,KHP!AA86,KHP!AE86,KHP!AI86)))</f>
        <v>0</v>
      </c>
      <c r="F86">
        <f>SUMPRODUCT((MONTH(CHOOSE({1,2,3,4},KHP!T86,KHP!X86,KHP!AB86,KHP!AF86))=6)*(CHOOSE({1,2,3,4},KHP!W86,KHP!AA86,KHP!AE86,KHP!AI86)))</f>
        <v>0</v>
      </c>
      <c r="G86">
        <f>SUMPRODUCT((MONTH(CHOOSE({1,2,3,4},KHP!T86,KHP!X86,KHP!AB86,KHP!AF86))=7)*(CHOOSE({1,2,3,4},KHP!W86,KHP!AA86,KHP!AE86,KHP!AI86)))</f>
        <v>0</v>
      </c>
      <c r="H86">
        <f>SUMPRODUCT((MONTH(CHOOSE({1,2,3,4},KHP!T86,KHP!X86,KHP!AB86,KHP!AF86))=8)*(CHOOSE({1,2,3,4},KHP!W86,KHP!AA86,KHP!AE86,KHP!AI86)))</f>
        <v>0</v>
      </c>
      <c r="I86">
        <f>SUMPRODUCT((MONTH(CHOOSE({1,2,3,4},KHP!T86,KHP!X86,KHP!AB86,KHP!AF86))=9)*(CHOOSE({1,2,3,4},KHP!W86,KHP!AA86,KHP!AE86,KHP!AI86)))</f>
        <v>0</v>
      </c>
      <c r="J86">
        <f>SUMPRODUCT((MONTH(CHOOSE({1,2,3,4},KHP!T86,KHP!X86,KHP!AB86,KHP!AF86))=10)*(CHOOSE({1,2,3,4},KHP!W86,KHP!AA86,KHP!AE86,KHP!AI86)))</f>
        <v>0</v>
      </c>
      <c r="K86">
        <f>SUMPRODUCT((MONTH(CHOOSE({1,2,3,4},KHP!T86,KHP!X86,KHP!AB86,KHP!AF86))=11)*(CHOOSE({1,2,3,4},KHP!W86,KHP!AA86,KHP!AE86,KHP!AI86)))</f>
        <v>0</v>
      </c>
      <c r="L86">
        <f>SUMPRODUCT((MONTH(CHOOSE({1,2,3,4},KHP!T86,KHP!X86,KHP!AB86,KHP!AF86))=12)*(CHOOSE({1,2,3,4},KHP!W86,KHP!AA86,KHP!AE86,KHP!AI86)))</f>
        <v>0</v>
      </c>
    </row>
    <row r="87" spans="1:12">
      <c r="A87">
        <f>SUMPRODUCT((MONTH(CHOOSE({1,2,3,4},KHP!T87,KHP!X87,KHP!AB87,KHP!AF87))=1)*(CHOOSE({1,2,3,4},KHP!W87,KHP!AA87,KHP!AE87,KHP!AI87)))</f>
        <v>0</v>
      </c>
      <c r="B87">
        <f>SUMPRODUCT((MONTH(CHOOSE({1,2,3,4},KHP!T87,KHP!X87,KHP!AB87,KHP!AF87))=2)*(CHOOSE({1,2,3,4},KHP!W87,KHP!AA87,KHP!AE87,KHP!AI87)))</f>
        <v>0</v>
      </c>
      <c r="C87">
        <f>SUMPRODUCT((MONTH(CHOOSE({1,2,3,4},KHP!T87,KHP!X87,KHP!AB87,KHP!AF87))=3)*(CHOOSE({1,2,3,4},KHP!W87,KHP!AA87,KHP!AE87,KHP!AI87)))</f>
        <v>0</v>
      </c>
      <c r="D87">
        <f>SUMPRODUCT((MONTH(CHOOSE({1,2,3,4},KHP!T87,KHP!X87,KHP!AB87,KHP!AF87))=4)*(CHOOSE({1,2,3,4},KHP!W87,KHP!AA87,KHP!AE87,KHP!AI87)))</f>
        <v>0</v>
      </c>
      <c r="E87">
        <f>SUMPRODUCT((MONTH(CHOOSE({1,2,3,4},KHP!T87,KHP!X87,KHP!AB87,KHP!AF87))=5)*(CHOOSE({1,2,3,4},KHP!W87,KHP!AA87,KHP!AE87,KHP!AI87)))</f>
        <v>0</v>
      </c>
      <c r="F87">
        <f>SUMPRODUCT((MONTH(CHOOSE({1,2,3,4},KHP!T87,KHP!X87,KHP!AB87,KHP!AF87))=6)*(CHOOSE({1,2,3,4},KHP!W87,KHP!AA87,KHP!AE87,KHP!AI87)))</f>
        <v>0</v>
      </c>
      <c r="G87">
        <f>SUMPRODUCT((MONTH(CHOOSE({1,2,3,4},KHP!T87,KHP!X87,KHP!AB87,KHP!AF87))=7)*(CHOOSE({1,2,3,4},KHP!W87,KHP!AA87,KHP!AE87,KHP!AI87)))</f>
        <v>0</v>
      </c>
      <c r="H87">
        <f>SUMPRODUCT((MONTH(CHOOSE({1,2,3,4},KHP!T87,KHP!X87,KHP!AB87,KHP!AF87))=8)*(CHOOSE({1,2,3,4},KHP!W87,KHP!AA87,KHP!AE87,KHP!AI87)))</f>
        <v>0</v>
      </c>
      <c r="I87">
        <f>SUMPRODUCT((MONTH(CHOOSE({1,2,3,4},KHP!T87,KHP!X87,KHP!AB87,KHP!AF87))=9)*(CHOOSE({1,2,3,4},KHP!W87,KHP!AA87,KHP!AE87,KHP!AI87)))</f>
        <v>0</v>
      </c>
      <c r="J87">
        <f>SUMPRODUCT((MONTH(CHOOSE({1,2,3,4},KHP!T87,KHP!X87,KHP!AB87,KHP!AF87))=10)*(CHOOSE({1,2,3,4},KHP!W87,KHP!AA87,KHP!AE87,KHP!AI87)))</f>
        <v>0</v>
      </c>
      <c r="K87">
        <f>SUMPRODUCT((MONTH(CHOOSE({1,2,3,4},KHP!T87,KHP!X87,KHP!AB87,KHP!AF87))=11)*(CHOOSE({1,2,3,4},KHP!W87,KHP!AA87,KHP!AE87,KHP!AI87)))</f>
        <v>0</v>
      </c>
      <c r="L87">
        <f>SUMPRODUCT((MONTH(CHOOSE({1,2,3,4},KHP!T87,KHP!X87,KHP!AB87,KHP!AF87))=12)*(CHOOSE({1,2,3,4},KHP!W87,KHP!AA87,KHP!AE87,KHP!AI87)))</f>
        <v>0</v>
      </c>
    </row>
    <row r="88" spans="1:12">
      <c r="A88">
        <f>SUMPRODUCT((MONTH(CHOOSE({1,2,3,4},KHP!T88,KHP!X88,KHP!AB88,KHP!AF88))=1)*(CHOOSE({1,2,3,4},KHP!W88,KHP!AA88,KHP!AE88,KHP!AI88)))</f>
        <v>0</v>
      </c>
      <c r="B88">
        <f>SUMPRODUCT((MONTH(CHOOSE({1,2,3,4},KHP!T88,KHP!X88,KHP!AB88,KHP!AF88))=2)*(CHOOSE({1,2,3,4},KHP!W88,KHP!AA88,KHP!AE88,KHP!AI88)))</f>
        <v>0</v>
      </c>
      <c r="C88">
        <f>SUMPRODUCT((MONTH(CHOOSE({1,2,3,4},KHP!T88,KHP!X88,KHP!AB88,KHP!AF88))=3)*(CHOOSE({1,2,3,4},KHP!W88,KHP!AA88,KHP!AE88,KHP!AI88)))</f>
        <v>0</v>
      </c>
      <c r="D88">
        <f>SUMPRODUCT((MONTH(CHOOSE({1,2,3,4},KHP!T88,KHP!X88,KHP!AB88,KHP!AF88))=4)*(CHOOSE({1,2,3,4},KHP!W88,KHP!AA88,KHP!AE88,KHP!AI88)))</f>
        <v>0</v>
      </c>
      <c r="E88">
        <f>SUMPRODUCT((MONTH(CHOOSE({1,2,3,4},KHP!T88,KHP!X88,KHP!AB88,KHP!AF88))=5)*(CHOOSE({1,2,3,4},KHP!W88,KHP!AA88,KHP!AE88,KHP!AI88)))</f>
        <v>0</v>
      </c>
      <c r="F88">
        <f>SUMPRODUCT((MONTH(CHOOSE({1,2,3,4},KHP!T88,KHP!X88,KHP!AB88,KHP!AF88))=6)*(CHOOSE({1,2,3,4},KHP!W88,KHP!AA88,KHP!AE88,KHP!AI88)))</f>
        <v>0</v>
      </c>
      <c r="G88">
        <f>SUMPRODUCT((MONTH(CHOOSE({1,2,3,4},KHP!T88,KHP!X88,KHP!AB88,KHP!AF88))=7)*(CHOOSE({1,2,3,4},KHP!W88,KHP!AA88,KHP!AE88,KHP!AI88)))</f>
        <v>0</v>
      </c>
      <c r="H88">
        <f>SUMPRODUCT((MONTH(CHOOSE({1,2,3,4},KHP!T88,KHP!X88,KHP!AB88,KHP!AF88))=8)*(CHOOSE({1,2,3,4},KHP!W88,KHP!AA88,KHP!AE88,KHP!AI88)))</f>
        <v>0</v>
      </c>
      <c r="I88">
        <f>SUMPRODUCT((MONTH(CHOOSE({1,2,3,4},KHP!T88,KHP!X88,KHP!AB88,KHP!AF88))=9)*(CHOOSE({1,2,3,4},KHP!W88,KHP!AA88,KHP!AE88,KHP!AI88)))</f>
        <v>0</v>
      </c>
      <c r="J88">
        <f>SUMPRODUCT((MONTH(CHOOSE({1,2,3,4},KHP!T88,KHP!X88,KHP!AB88,KHP!AF88))=10)*(CHOOSE({1,2,3,4},KHP!W88,KHP!AA88,KHP!AE88,KHP!AI88)))</f>
        <v>0</v>
      </c>
      <c r="K88">
        <f>SUMPRODUCT((MONTH(CHOOSE({1,2,3,4},KHP!T88,KHP!X88,KHP!AB88,KHP!AF88))=11)*(CHOOSE({1,2,3,4},KHP!W88,KHP!AA88,KHP!AE88,KHP!AI88)))</f>
        <v>0</v>
      </c>
      <c r="L88">
        <f>SUMPRODUCT((MONTH(CHOOSE({1,2,3,4},KHP!T88,KHP!X88,KHP!AB88,KHP!AF88))=12)*(CHOOSE({1,2,3,4},KHP!W88,KHP!AA88,KHP!AE88,KHP!AI88)))</f>
        <v>0</v>
      </c>
    </row>
    <row r="89" spans="1:12">
      <c r="A89">
        <f>SUMPRODUCT((MONTH(CHOOSE({1,2,3,4},KHP!T89,KHP!X89,KHP!AB89,KHP!AF89))=1)*(CHOOSE({1,2,3,4},KHP!W89,KHP!AA89,KHP!AE89,KHP!AI89)))</f>
        <v>0</v>
      </c>
      <c r="B89">
        <f>SUMPRODUCT((MONTH(CHOOSE({1,2,3,4},KHP!T89,KHP!X89,KHP!AB89,KHP!AF89))=2)*(CHOOSE({1,2,3,4},KHP!W89,KHP!AA89,KHP!AE89,KHP!AI89)))</f>
        <v>0</v>
      </c>
      <c r="C89">
        <f>SUMPRODUCT((MONTH(CHOOSE({1,2,3,4},KHP!T89,KHP!X89,KHP!AB89,KHP!AF89))=3)*(CHOOSE({1,2,3,4},KHP!W89,KHP!AA89,KHP!AE89,KHP!AI89)))</f>
        <v>0</v>
      </c>
      <c r="D89">
        <f>SUMPRODUCT((MONTH(CHOOSE({1,2,3,4},KHP!T89,KHP!X89,KHP!AB89,KHP!AF89))=4)*(CHOOSE({1,2,3,4},KHP!W89,KHP!AA89,KHP!AE89,KHP!AI89)))</f>
        <v>0</v>
      </c>
      <c r="E89">
        <f>SUMPRODUCT((MONTH(CHOOSE({1,2,3,4},KHP!T89,KHP!X89,KHP!AB89,KHP!AF89))=5)*(CHOOSE({1,2,3,4},KHP!W89,KHP!AA89,KHP!AE89,KHP!AI89)))</f>
        <v>0</v>
      </c>
      <c r="F89">
        <f>SUMPRODUCT((MONTH(CHOOSE({1,2,3,4},KHP!T89,KHP!X89,KHP!AB89,KHP!AF89))=6)*(CHOOSE({1,2,3,4},KHP!W89,KHP!AA89,KHP!AE89,KHP!AI89)))</f>
        <v>0</v>
      </c>
      <c r="G89">
        <f>SUMPRODUCT((MONTH(CHOOSE({1,2,3,4},KHP!T89,KHP!X89,KHP!AB89,KHP!AF89))=7)*(CHOOSE({1,2,3,4},KHP!W89,KHP!AA89,KHP!AE89,KHP!AI89)))</f>
        <v>0</v>
      </c>
      <c r="H89">
        <f>SUMPRODUCT((MONTH(CHOOSE({1,2,3,4},KHP!T89,KHP!X89,KHP!AB89,KHP!AF89))=8)*(CHOOSE({1,2,3,4},KHP!W89,KHP!AA89,KHP!AE89,KHP!AI89)))</f>
        <v>0</v>
      </c>
      <c r="I89">
        <f>SUMPRODUCT((MONTH(CHOOSE({1,2,3,4},KHP!T89,KHP!X89,KHP!AB89,KHP!AF89))=9)*(CHOOSE({1,2,3,4},KHP!W89,KHP!AA89,KHP!AE89,KHP!AI89)))</f>
        <v>0</v>
      </c>
      <c r="J89">
        <f>SUMPRODUCT((MONTH(CHOOSE({1,2,3,4},KHP!T89,KHP!X89,KHP!AB89,KHP!AF89))=10)*(CHOOSE({1,2,3,4},KHP!W89,KHP!AA89,KHP!AE89,KHP!AI89)))</f>
        <v>0</v>
      </c>
      <c r="K89">
        <f>SUMPRODUCT((MONTH(CHOOSE({1,2,3,4},KHP!T89,KHP!X89,KHP!AB89,KHP!AF89))=11)*(CHOOSE({1,2,3,4},KHP!W89,KHP!AA89,KHP!AE89,KHP!AI89)))</f>
        <v>0</v>
      </c>
      <c r="L89">
        <f>SUMPRODUCT((MONTH(CHOOSE({1,2,3,4},KHP!T89,KHP!X89,KHP!AB89,KHP!AF89))=12)*(CHOOSE({1,2,3,4},KHP!W89,KHP!AA89,KHP!AE89,KHP!AI89)))</f>
        <v>0</v>
      </c>
    </row>
    <row r="90" spans="1:12">
      <c r="A90">
        <f>SUMPRODUCT((MONTH(CHOOSE({1,2,3,4},KHP!T90,KHP!X90,KHP!AB90,KHP!AF90))=1)*(CHOOSE({1,2,3,4},KHP!W90,KHP!AA90,KHP!AE90,KHP!AI90)))</f>
        <v>0</v>
      </c>
      <c r="B90">
        <f>SUMPRODUCT((MONTH(CHOOSE({1,2,3,4},KHP!T90,KHP!X90,KHP!AB90,KHP!AF90))=2)*(CHOOSE({1,2,3,4},KHP!W90,KHP!AA90,KHP!AE90,KHP!AI90)))</f>
        <v>0</v>
      </c>
      <c r="C90">
        <f>SUMPRODUCT((MONTH(CHOOSE({1,2,3,4},KHP!T90,KHP!X90,KHP!AB90,KHP!AF90))=3)*(CHOOSE({1,2,3,4},KHP!W90,KHP!AA90,KHP!AE90,KHP!AI90)))</f>
        <v>0</v>
      </c>
      <c r="D90">
        <f>SUMPRODUCT((MONTH(CHOOSE({1,2,3,4},KHP!T90,KHP!X90,KHP!AB90,KHP!AF90))=4)*(CHOOSE({1,2,3,4},KHP!W90,KHP!AA90,KHP!AE90,KHP!AI90)))</f>
        <v>0</v>
      </c>
      <c r="E90">
        <f>SUMPRODUCT((MONTH(CHOOSE({1,2,3,4},KHP!T90,KHP!X90,KHP!AB90,KHP!AF90))=5)*(CHOOSE({1,2,3,4},KHP!W90,KHP!AA90,KHP!AE90,KHP!AI90)))</f>
        <v>0</v>
      </c>
      <c r="F90">
        <f>SUMPRODUCT((MONTH(CHOOSE({1,2,3,4},KHP!T90,KHP!X90,KHP!AB90,KHP!AF90))=6)*(CHOOSE({1,2,3,4},KHP!W90,KHP!AA90,KHP!AE90,KHP!AI90)))</f>
        <v>0</v>
      </c>
      <c r="G90">
        <f>SUMPRODUCT((MONTH(CHOOSE({1,2,3,4},KHP!T90,KHP!X90,KHP!AB90,KHP!AF90))=7)*(CHOOSE({1,2,3,4},KHP!W90,KHP!AA90,KHP!AE90,KHP!AI90)))</f>
        <v>0</v>
      </c>
      <c r="H90">
        <f>SUMPRODUCT((MONTH(CHOOSE({1,2,3,4},KHP!T90,KHP!X90,KHP!AB90,KHP!AF90))=8)*(CHOOSE({1,2,3,4},KHP!W90,KHP!AA90,KHP!AE90,KHP!AI90)))</f>
        <v>0</v>
      </c>
      <c r="I90">
        <f>SUMPRODUCT((MONTH(CHOOSE({1,2,3,4},KHP!T90,KHP!X90,KHP!AB90,KHP!AF90))=9)*(CHOOSE({1,2,3,4},KHP!W90,KHP!AA90,KHP!AE90,KHP!AI90)))</f>
        <v>0</v>
      </c>
      <c r="J90">
        <f>SUMPRODUCT((MONTH(CHOOSE({1,2,3,4},KHP!T90,KHP!X90,KHP!AB90,KHP!AF90))=10)*(CHOOSE({1,2,3,4},KHP!W90,KHP!AA90,KHP!AE90,KHP!AI90)))</f>
        <v>0</v>
      </c>
      <c r="K90">
        <f>SUMPRODUCT((MONTH(CHOOSE({1,2,3,4},KHP!T90,KHP!X90,KHP!AB90,KHP!AF90))=11)*(CHOOSE({1,2,3,4},KHP!W90,KHP!AA90,KHP!AE90,KHP!AI90)))</f>
        <v>0</v>
      </c>
      <c r="L90">
        <f>SUMPRODUCT((MONTH(CHOOSE({1,2,3,4},KHP!T90,KHP!X90,KHP!AB90,KHP!AF90))=12)*(CHOOSE({1,2,3,4},KHP!W90,KHP!AA90,KHP!AE90,KHP!AI90)))</f>
        <v>0</v>
      </c>
    </row>
    <row r="91" spans="1:12">
      <c r="A91">
        <f>SUMPRODUCT((MONTH(CHOOSE({1,2,3,4},KHP!T91,KHP!X91,KHP!AB91,KHP!AF91))=1)*(CHOOSE({1,2,3,4},KHP!W91,KHP!AA91,KHP!AE91,KHP!AI91)))</f>
        <v>0</v>
      </c>
      <c r="B91">
        <f>SUMPRODUCT((MONTH(CHOOSE({1,2,3,4},KHP!T91,KHP!X91,KHP!AB91,KHP!AF91))=2)*(CHOOSE({1,2,3,4},KHP!W91,KHP!AA91,KHP!AE91,KHP!AI91)))</f>
        <v>0</v>
      </c>
      <c r="C91">
        <f>SUMPRODUCT((MONTH(CHOOSE({1,2,3,4},KHP!T91,KHP!X91,KHP!AB91,KHP!AF91))=3)*(CHOOSE({1,2,3,4},KHP!W91,KHP!AA91,KHP!AE91,KHP!AI91)))</f>
        <v>0</v>
      </c>
      <c r="D91">
        <f>SUMPRODUCT((MONTH(CHOOSE({1,2,3,4},KHP!T91,KHP!X91,KHP!AB91,KHP!AF91))=4)*(CHOOSE({1,2,3,4},KHP!W91,KHP!AA91,KHP!AE91,KHP!AI91)))</f>
        <v>0</v>
      </c>
      <c r="E91">
        <f>SUMPRODUCT((MONTH(CHOOSE({1,2,3,4},KHP!T91,KHP!X91,KHP!AB91,KHP!AF91))=5)*(CHOOSE({1,2,3,4},KHP!W91,KHP!AA91,KHP!AE91,KHP!AI91)))</f>
        <v>0</v>
      </c>
      <c r="F91">
        <f>SUMPRODUCT((MONTH(CHOOSE({1,2,3,4},KHP!T91,KHP!X91,KHP!AB91,KHP!AF91))=6)*(CHOOSE({1,2,3,4},KHP!W91,KHP!AA91,KHP!AE91,KHP!AI91)))</f>
        <v>0</v>
      </c>
      <c r="G91">
        <f>SUMPRODUCT((MONTH(CHOOSE({1,2,3,4},KHP!T91,KHP!X91,KHP!AB91,KHP!AF91))=7)*(CHOOSE({1,2,3,4},KHP!W91,KHP!AA91,KHP!AE91,KHP!AI91)))</f>
        <v>0</v>
      </c>
      <c r="H91">
        <f>SUMPRODUCT((MONTH(CHOOSE({1,2,3,4},KHP!T91,KHP!X91,KHP!AB91,KHP!AF91))=8)*(CHOOSE({1,2,3,4},KHP!W91,KHP!AA91,KHP!AE91,KHP!AI91)))</f>
        <v>0</v>
      </c>
      <c r="I91">
        <f>SUMPRODUCT((MONTH(CHOOSE({1,2,3,4},KHP!T91,KHP!X91,KHP!AB91,KHP!AF91))=9)*(CHOOSE({1,2,3,4},KHP!W91,KHP!AA91,KHP!AE91,KHP!AI91)))</f>
        <v>0</v>
      </c>
      <c r="J91">
        <f>SUMPRODUCT((MONTH(CHOOSE({1,2,3,4},KHP!T91,KHP!X91,KHP!AB91,KHP!AF91))=10)*(CHOOSE({1,2,3,4},KHP!W91,KHP!AA91,KHP!AE91,KHP!AI91)))</f>
        <v>0</v>
      </c>
      <c r="K91">
        <f>SUMPRODUCT((MONTH(CHOOSE({1,2,3,4},KHP!T91,KHP!X91,KHP!AB91,KHP!AF91))=11)*(CHOOSE({1,2,3,4},KHP!W91,KHP!AA91,KHP!AE91,KHP!AI91)))</f>
        <v>0</v>
      </c>
      <c r="L91">
        <f>SUMPRODUCT((MONTH(CHOOSE({1,2,3,4},KHP!T91,KHP!X91,KHP!AB91,KHP!AF91))=12)*(CHOOSE({1,2,3,4},KHP!W91,KHP!AA91,KHP!AE91,KHP!AI91)))</f>
        <v>0</v>
      </c>
    </row>
    <row r="92" spans="1:12">
      <c r="A92">
        <f>SUMPRODUCT((MONTH(CHOOSE({1,2,3,4},KHP!T92,KHP!X92,KHP!AB92,KHP!AF92))=1)*(CHOOSE({1,2,3,4},KHP!W92,KHP!AA92,KHP!AE92,KHP!AI92)))</f>
        <v>0</v>
      </c>
      <c r="B92">
        <f>SUMPRODUCT((MONTH(CHOOSE({1,2,3,4},KHP!T92,KHP!X92,KHP!AB92,KHP!AF92))=2)*(CHOOSE({1,2,3,4},KHP!W92,KHP!AA92,KHP!AE92,KHP!AI92)))</f>
        <v>0</v>
      </c>
      <c r="C92">
        <f>SUMPRODUCT((MONTH(CHOOSE({1,2,3,4},KHP!T92,KHP!X92,KHP!AB92,KHP!AF92))=3)*(CHOOSE({1,2,3,4},KHP!W92,KHP!AA92,KHP!AE92,KHP!AI92)))</f>
        <v>0</v>
      </c>
      <c r="D92">
        <f>SUMPRODUCT((MONTH(CHOOSE({1,2,3,4},KHP!T92,KHP!X92,KHP!AB92,KHP!AF92))=4)*(CHOOSE({1,2,3,4},KHP!W92,KHP!AA92,KHP!AE92,KHP!AI92)))</f>
        <v>0</v>
      </c>
      <c r="E92">
        <f>SUMPRODUCT((MONTH(CHOOSE({1,2,3,4},KHP!T92,KHP!X92,KHP!AB92,KHP!AF92))=5)*(CHOOSE({1,2,3,4},KHP!W92,KHP!AA92,KHP!AE92,KHP!AI92)))</f>
        <v>0</v>
      </c>
      <c r="F92">
        <f>SUMPRODUCT((MONTH(CHOOSE({1,2,3,4},KHP!T92,KHP!X92,KHP!AB92,KHP!AF92))=6)*(CHOOSE({1,2,3,4},KHP!W92,KHP!AA92,KHP!AE92,KHP!AI92)))</f>
        <v>0</v>
      </c>
      <c r="G92">
        <f>SUMPRODUCT((MONTH(CHOOSE({1,2,3,4},KHP!T92,KHP!X92,KHP!AB92,KHP!AF92))=7)*(CHOOSE({1,2,3,4},KHP!W92,KHP!AA92,KHP!AE92,KHP!AI92)))</f>
        <v>0</v>
      </c>
      <c r="H92">
        <f>SUMPRODUCT((MONTH(CHOOSE({1,2,3,4},KHP!T92,KHP!X92,KHP!AB92,KHP!AF92))=8)*(CHOOSE({1,2,3,4},KHP!W92,KHP!AA92,KHP!AE92,KHP!AI92)))</f>
        <v>0</v>
      </c>
      <c r="I92">
        <f>SUMPRODUCT((MONTH(CHOOSE({1,2,3,4},KHP!T92,KHP!X92,KHP!AB92,KHP!AF92))=9)*(CHOOSE({1,2,3,4},KHP!W92,KHP!AA92,KHP!AE92,KHP!AI92)))</f>
        <v>0</v>
      </c>
      <c r="J92">
        <f>SUMPRODUCT((MONTH(CHOOSE({1,2,3,4},KHP!T92,KHP!X92,KHP!AB92,KHP!AF92))=10)*(CHOOSE({1,2,3,4},KHP!W92,KHP!AA92,KHP!AE92,KHP!AI92)))</f>
        <v>0</v>
      </c>
      <c r="K92">
        <f>SUMPRODUCT((MONTH(CHOOSE({1,2,3,4},KHP!T92,KHP!X92,KHP!AB92,KHP!AF92))=11)*(CHOOSE({1,2,3,4},KHP!W92,KHP!AA92,KHP!AE92,KHP!AI92)))</f>
        <v>0</v>
      </c>
      <c r="L92">
        <f>SUMPRODUCT((MONTH(CHOOSE({1,2,3,4},KHP!T92,KHP!X92,KHP!AB92,KHP!AF92))=12)*(CHOOSE({1,2,3,4},KHP!W92,KHP!AA92,KHP!AE92,KHP!AI92)))</f>
        <v>0</v>
      </c>
    </row>
    <row r="93" spans="1:12">
      <c r="A93">
        <f>SUMPRODUCT((MONTH(CHOOSE({1,2,3,4},KHP!T93,KHP!X93,KHP!AB93,KHP!AF93))=1)*(CHOOSE({1,2,3,4},KHP!W93,KHP!AA93,KHP!AE93,KHP!AI93)))</f>
        <v>0</v>
      </c>
      <c r="B93">
        <f>SUMPRODUCT((MONTH(CHOOSE({1,2,3,4},KHP!T93,KHP!X93,KHP!AB93,KHP!AF93))=2)*(CHOOSE({1,2,3,4},KHP!W93,KHP!AA93,KHP!AE93,KHP!AI93)))</f>
        <v>0</v>
      </c>
      <c r="C93">
        <f>SUMPRODUCT((MONTH(CHOOSE({1,2,3,4},KHP!T93,KHP!X93,KHP!AB93,KHP!AF93))=3)*(CHOOSE({1,2,3,4},KHP!W93,KHP!AA93,KHP!AE93,KHP!AI93)))</f>
        <v>0</v>
      </c>
      <c r="D93">
        <f>SUMPRODUCT((MONTH(CHOOSE({1,2,3,4},KHP!T93,KHP!X93,KHP!AB93,KHP!AF93))=4)*(CHOOSE({1,2,3,4},KHP!W93,KHP!AA93,KHP!AE93,KHP!AI93)))</f>
        <v>0</v>
      </c>
      <c r="E93">
        <f>SUMPRODUCT((MONTH(CHOOSE({1,2,3,4},KHP!T93,KHP!X93,KHP!AB93,KHP!AF93))=5)*(CHOOSE({1,2,3,4},KHP!W93,KHP!AA93,KHP!AE93,KHP!AI93)))</f>
        <v>0</v>
      </c>
      <c r="F93">
        <f>SUMPRODUCT((MONTH(CHOOSE({1,2,3,4},KHP!T93,KHP!X93,KHP!AB93,KHP!AF93))=6)*(CHOOSE({1,2,3,4},KHP!W93,KHP!AA93,KHP!AE93,KHP!AI93)))</f>
        <v>0</v>
      </c>
      <c r="G93">
        <f>SUMPRODUCT((MONTH(CHOOSE({1,2,3,4},KHP!T93,KHP!X93,KHP!AB93,KHP!AF93))=7)*(CHOOSE({1,2,3,4},KHP!W93,KHP!AA93,KHP!AE93,KHP!AI93)))</f>
        <v>0</v>
      </c>
      <c r="H93">
        <f>SUMPRODUCT((MONTH(CHOOSE({1,2,3,4},KHP!T93,KHP!X93,KHP!AB93,KHP!AF93))=8)*(CHOOSE({1,2,3,4},KHP!W93,KHP!AA93,KHP!AE93,KHP!AI93)))</f>
        <v>0</v>
      </c>
      <c r="I93">
        <f>SUMPRODUCT((MONTH(CHOOSE({1,2,3,4},KHP!T93,KHP!X93,KHP!AB93,KHP!AF93))=9)*(CHOOSE({1,2,3,4},KHP!W93,KHP!AA93,KHP!AE93,KHP!AI93)))</f>
        <v>0</v>
      </c>
      <c r="J93">
        <f>SUMPRODUCT((MONTH(CHOOSE({1,2,3,4},KHP!T93,KHP!X93,KHP!AB93,KHP!AF93))=10)*(CHOOSE({1,2,3,4},KHP!W93,KHP!AA93,KHP!AE93,KHP!AI93)))</f>
        <v>0</v>
      </c>
      <c r="K93">
        <f>SUMPRODUCT((MONTH(CHOOSE({1,2,3,4},KHP!T93,KHP!X93,KHP!AB93,KHP!AF93))=11)*(CHOOSE({1,2,3,4},KHP!W93,KHP!AA93,KHP!AE93,KHP!AI93)))</f>
        <v>0</v>
      </c>
      <c r="L93">
        <f>SUMPRODUCT((MONTH(CHOOSE({1,2,3,4},KHP!T93,KHP!X93,KHP!AB93,KHP!AF93))=12)*(CHOOSE({1,2,3,4},KHP!W93,KHP!AA93,KHP!AE93,KHP!AI93)))</f>
        <v>0</v>
      </c>
    </row>
    <row r="94" spans="1:12">
      <c r="A94">
        <f>SUMPRODUCT((MONTH(CHOOSE({1,2,3,4},KHP!T94,KHP!X94,KHP!AB94,KHP!AF94))=1)*(CHOOSE({1,2,3,4},KHP!W94,KHP!AA94,KHP!AE94,KHP!AI94)))</f>
        <v>0</v>
      </c>
      <c r="B94">
        <f>SUMPRODUCT((MONTH(CHOOSE({1,2,3,4},KHP!T94,KHP!X94,KHP!AB94,KHP!AF94))=2)*(CHOOSE({1,2,3,4},KHP!W94,KHP!AA94,KHP!AE94,KHP!AI94)))</f>
        <v>0</v>
      </c>
      <c r="C94">
        <f>SUMPRODUCT((MONTH(CHOOSE({1,2,3,4},KHP!T94,KHP!X94,KHP!AB94,KHP!AF94))=3)*(CHOOSE({1,2,3,4},KHP!W94,KHP!AA94,KHP!AE94,KHP!AI94)))</f>
        <v>0</v>
      </c>
      <c r="D94">
        <f>SUMPRODUCT((MONTH(CHOOSE({1,2,3,4},KHP!T94,KHP!X94,KHP!AB94,KHP!AF94))=4)*(CHOOSE({1,2,3,4},KHP!W94,KHP!AA94,KHP!AE94,KHP!AI94)))</f>
        <v>0</v>
      </c>
      <c r="E94">
        <f>SUMPRODUCT((MONTH(CHOOSE({1,2,3,4},KHP!T94,KHP!X94,KHP!AB94,KHP!AF94))=5)*(CHOOSE({1,2,3,4},KHP!W94,KHP!AA94,KHP!AE94,KHP!AI94)))</f>
        <v>0</v>
      </c>
      <c r="F94">
        <f>SUMPRODUCT((MONTH(CHOOSE({1,2,3,4},KHP!T94,KHP!X94,KHP!AB94,KHP!AF94))=6)*(CHOOSE({1,2,3,4},KHP!W94,KHP!AA94,KHP!AE94,KHP!AI94)))</f>
        <v>0</v>
      </c>
      <c r="G94">
        <f>SUMPRODUCT((MONTH(CHOOSE({1,2,3,4},KHP!T94,KHP!X94,KHP!AB94,KHP!AF94))=7)*(CHOOSE({1,2,3,4},KHP!W94,KHP!AA94,KHP!AE94,KHP!AI94)))</f>
        <v>0</v>
      </c>
      <c r="H94">
        <f>SUMPRODUCT((MONTH(CHOOSE({1,2,3,4},KHP!T94,KHP!X94,KHP!AB94,KHP!AF94))=8)*(CHOOSE({1,2,3,4},KHP!W94,KHP!AA94,KHP!AE94,KHP!AI94)))</f>
        <v>0</v>
      </c>
      <c r="I94">
        <f>SUMPRODUCT((MONTH(CHOOSE({1,2,3,4},KHP!T94,KHP!X94,KHP!AB94,KHP!AF94))=9)*(CHOOSE({1,2,3,4},KHP!W94,KHP!AA94,KHP!AE94,KHP!AI94)))</f>
        <v>0</v>
      </c>
      <c r="J94">
        <f>SUMPRODUCT((MONTH(CHOOSE({1,2,3,4},KHP!T94,KHP!X94,KHP!AB94,KHP!AF94))=10)*(CHOOSE({1,2,3,4},KHP!W94,KHP!AA94,KHP!AE94,KHP!AI94)))</f>
        <v>0</v>
      </c>
      <c r="K94">
        <f>SUMPRODUCT((MONTH(CHOOSE({1,2,3,4},KHP!T94,KHP!X94,KHP!AB94,KHP!AF94))=11)*(CHOOSE({1,2,3,4},KHP!W94,KHP!AA94,KHP!AE94,KHP!AI94)))</f>
        <v>0</v>
      </c>
      <c r="L94">
        <f>SUMPRODUCT((MONTH(CHOOSE({1,2,3,4},KHP!T94,KHP!X94,KHP!AB94,KHP!AF94))=12)*(CHOOSE({1,2,3,4},KHP!W94,KHP!AA94,KHP!AE94,KHP!AI94)))</f>
        <v>0</v>
      </c>
    </row>
    <row r="95" spans="1:12">
      <c r="A95">
        <f>SUMPRODUCT((MONTH(CHOOSE({1,2,3,4},KHP!T95,KHP!X95,KHP!AB95,KHP!AF95))=1)*(CHOOSE({1,2,3,4},KHP!W95,KHP!AA95,KHP!AE95,KHP!AI95)))</f>
        <v>0</v>
      </c>
      <c r="B95">
        <f>SUMPRODUCT((MONTH(CHOOSE({1,2,3,4},KHP!T95,KHP!X95,KHP!AB95,KHP!AF95))=2)*(CHOOSE({1,2,3,4},KHP!W95,KHP!AA95,KHP!AE95,KHP!AI95)))</f>
        <v>0</v>
      </c>
      <c r="C95">
        <f>SUMPRODUCT((MONTH(CHOOSE({1,2,3,4},KHP!T95,KHP!X95,KHP!AB95,KHP!AF95))=3)*(CHOOSE({1,2,3,4},KHP!W95,KHP!AA95,KHP!AE95,KHP!AI95)))</f>
        <v>0</v>
      </c>
      <c r="D95">
        <f>SUMPRODUCT((MONTH(CHOOSE({1,2,3,4},KHP!T95,KHP!X95,KHP!AB95,KHP!AF95))=4)*(CHOOSE({1,2,3,4},KHP!W95,KHP!AA95,KHP!AE95,KHP!AI95)))</f>
        <v>0</v>
      </c>
      <c r="E95">
        <f>SUMPRODUCT((MONTH(CHOOSE({1,2,3,4},KHP!T95,KHP!X95,KHP!AB95,KHP!AF95))=5)*(CHOOSE({1,2,3,4},KHP!W95,KHP!AA95,KHP!AE95,KHP!AI95)))</f>
        <v>0</v>
      </c>
      <c r="F95">
        <f>SUMPRODUCT((MONTH(CHOOSE({1,2,3,4},KHP!T95,KHP!X95,KHP!AB95,KHP!AF95))=6)*(CHOOSE({1,2,3,4},KHP!W95,KHP!AA95,KHP!AE95,KHP!AI95)))</f>
        <v>0</v>
      </c>
      <c r="G95">
        <f>SUMPRODUCT((MONTH(CHOOSE({1,2,3,4},KHP!T95,KHP!X95,KHP!AB95,KHP!AF95))=7)*(CHOOSE({1,2,3,4},KHP!W95,KHP!AA95,KHP!AE95,KHP!AI95)))</f>
        <v>0</v>
      </c>
      <c r="H95">
        <f>SUMPRODUCT((MONTH(CHOOSE({1,2,3,4},KHP!T95,KHP!X95,KHP!AB95,KHP!AF95))=8)*(CHOOSE({1,2,3,4},KHP!W95,KHP!AA95,KHP!AE95,KHP!AI95)))</f>
        <v>0</v>
      </c>
      <c r="I95">
        <f>SUMPRODUCT((MONTH(CHOOSE({1,2,3,4},KHP!T95,KHP!X95,KHP!AB95,KHP!AF95))=9)*(CHOOSE({1,2,3,4},KHP!W95,KHP!AA95,KHP!AE95,KHP!AI95)))</f>
        <v>0</v>
      </c>
      <c r="J95">
        <f>SUMPRODUCT((MONTH(CHOOSE({1,2,3,4},KHP!T95,KHP!X95,KHP!AB95,KHP!AF95))=10)*(CHOOSE({1,2,3,4},KHP!W95,KHP!AA95,KHP!AE95,KHP!AI95)))</f>
        <v>0</v>
      </c>
      <c r="K95">
        <f>SUMPRODUCT((MONTH(CHOOSE({1,2,3,4},KHP!T95,KHP!X95,KHP!AB95,KHP!AF95))=11)*(CHOOSE({1,2,3,4},KHP!W95,KHP!AA95,KHP!AE95,KHP!AI95)))</f>
        <v>0</v>
      </c>
      <c r="L95">
        <f>SUMPRODUCT((MONTH(CHOOSE({1,2,3,4},KHP!T95,KHP!X95,KHP!AB95,KHP!AF95))=12)*(CHOOSE({1,2,3,4},KHP!W95,KHP!AA95,KHP!AE95,KHP!AI95)))</f>
        <v>0</v>
      </c>
    </row>
    <row r="96" spans="1:12">
      <c r="A96">
        <f>SUMPRODUCT((MONTH(CHOOSE({1,2,3,4},KHP!T96,KHP!X96,KHP!AB96,KHP!AF96))=1)*(CHOOSE({1,2,3,4},KHP!W96,KHP!AA96,KHP!AE96,KHP!AI96)))</f>
        <v>0</v>
      </c>
      <c r="B96">
        <f>SUMPRODUCT((MONTH(CHOOSE({1,2,3,4},KHP!T96,KHP!X96,KHP!AB96,KHP!AF96))=2)*(CHOOSE({1,2,3,4},KHP!W96,KHP!AA96,KHP!AE96,KHP!AI96)))</f>
        <v>0</v>
      </c>
      <c r="C96">
        <f>SUMPRODUCT((MONTH(CHOOSE({1,2,3,4},KHP!T96,KHP!X96,KHP!AB96,KHP!AF96))=3)*(CHOOSE({1,2,3,4},KHP!W96,KHP!AA96,KHP!AE96,KHP!AI96)))</f>
        <v>0</v>
      </c>
      <c r="D96">
        <f>SUMPRODUCT((MONTH(CHOOSE({1,2,3,4},KHP!T96,KHP!X96,KHP!AB96,KHP!AF96))=4)*(CHOOSE({1,2,3,4},KHP!W96,KHP!AA96,KHP!AE96,KHP!AI96)))</f>
        <v>0</v>
      </c>
      <c r="E96">
        <f>SUMPRODUCT((MONTH(CHOOSE({1,2,3,4},KHP!T96,KHP!X96,KHP!AB96,KHP!AF96))=5)*(CHOOSE({1,2,3,4},KHP!W96,KHP!AA96,KHP!AE96,KHP!AI96)))</f>
        <v>0</v>
      </c>
      <c r="F96">
        <f>SUMPRODUCT((MONTH(CHOOSE({1,2,3,4},KHP!T96,KHP!X96,KHP!AB96,KHP!AF96))=6)*(CHOOSE({1,2,3,4},KHP!W96,KHP!AA96,KHP!AE96,KHP!AI96)))</f>
        <v>0</v>
      </c>
      <c r="G96">
        <f>SUMPRODUCT((MONTH(CHOOSE({1,2,3,4},KHP!T96,KHP!X96,KHP!AB96,KHP!AF96))=7)*(CHOOSE({1,2,3,4},KHP!W96,KHP!AA96,KHP!AE96,KHP!AI96)))</f>
        <v>0</v>
      </c>
      <c r="H96">
        <f>SUMPRODUCT((MONTH(CHOOSE({1,2,3,4},KHP!T96,KHP!X96,KHP!AB96,KHP!AF96))=8)*(CHOOSE({1,2,3,4},KHP!W96,KHP!AA96,KHP!AE96,KHP!AI96)))</f>
        <v>0</v>
      </c>
      <c r="I96">
        <f>SUMPRODUCT((MONTH(CHOOSE({1,2,3,4},KHP!T96,KHP!X96,KHP!AB96,KHP!AF96))=9)*(CHOOSE({1,2,3,4},KHP!W96,KHP!AA96,KHP!AE96,KHP!AI96)))</f>
        <v>0</v>
      </c>
      <c r="J96">
        <f>SUMPRODUCT((MONTH(CHOOSE({1,2,3,4},KHP!T96,KHP!X96,KHP!AB96,KHP!AF96))=10)*(CHOOSE({1,2,3,4},KHP!W96,KHP!AA96,KHP!AE96,KHP!AI96)))</f>
        <v>0</v>
      </c>
      <c r="K96">
        <f>SUMPRODUCT((MONTH(CHOOSE({1,2,3,4},KHP!T96,KHP!X96,KHP!AB96,KHP!AF96))=11)*(CHOOSE({1,2,3,4},KHP!W96,KHP!AA96,KHP!AE96,KHP!AI96)))</f>
        <v>0</v>
      </c>
      <c r="L96">
        <f>SUMPRODUCT((MONTH(CHOOSE({1,2,3,4},KHP!T96,KHP!X96,KHP!AB96,KHP!AF96))=12)*(CHOOSE({1,2,3,4},KHP!W96,KHP!AA96,KHP!AE96,KHP!AI96)))</f>
        <v>0</v>
      </c>
    </row>
    <row r="97" spans="1:12">
      <c r="A97">
        <f>SUMPRODUCT((MONTH(CHOOSE({1,2,3,4},KHP!T97,KHP!X97,KHP!AB97,KHP!AF97))=1)*(CHOOSE({1,2,3,4},KHP!W97,KHP!AA97,KHP!AE97,KHP!AI97)))</f>
        <v>0</v>
      </c>
      <c r="B97">
        <f>SUMPRODUCT((MONTH(CHOOSE({1,2,3,4},KHP!T97,KHP!X97,KHP!AB97,KHP!AF97))=2)*(CHOOSE({1,2,3,4},KHP!W97,KHP!AA97,KHP!AE97,KHP!AI97)))</f>
        <v>0</v>
      </c>
      <c r="C97">
        <f>SUMPRODUCT((MONTH(CHOOSE({1,2,3,4},KHP!T97,KHP!X97,KHP!AB97,KHP!AF97))=3)*(CHOOSE({1,2,3,4},KHP!W97,KHP!AA97,KHP!AE97,KHP!AI97)))</f>
        <v>0</v>
      </c>
      <c r="D97">
        <f>SUMPRODUCT((MONTH(CHOOSE({1,2,3,4},KHP!T97,KHP!X97,KHP!AB97,KHP!AF97))=4)*(CHOOSE({1,2,3,4},KHP!W97,KHP!AA97,KHP!AE97,KHP!AI97)))</f>
        <v>0</v>
      </c>
      <c r="E97">
        <f>SUMPRODUCT((MONTH(CHOOSE({1,2,3,4},KHP!T97,KHP!X97,KHP!AB97,KHP!AF97))=5)*(CHOOSE({1,2,3,4},KHP!W97,KHP!AA97,KHP!AE97,KHP!AI97)))</f>
        <v>0</v>
      </c>
      <c r="F97">
        <f>SUMPRODUCT((MONTH(CHOOSE({1,2,3,4},KHP!T97,KHP!X97,KHP!AB97,KHP!AF97))=6)*(CHOOSE({1,2,3,4},KHP!W97,KHP!AA97,KHP!AE97,KHP!AI97)))</f>
        <v>0</v>
      </c>
      <c r="G97">
        <f>SUMPRODUCT((MONTH(CHOOSE({1,2,3,4},KHP!T97,KHP!X97,KHP!AB97,KHP!AF97))=7)*(CHOOSE({1,2,3,4},KHP!W97,KHP!AA97,KHP!AE97,KHP!AI97)))</f>
        <v>0</v>
      </c>
      <c r="H97">
        <f>SUMPRODUCT((MONTH(CHOOSE({1,2,3,4},KHP!T97,KHP!X97,KHP!AB97,KHP!AF97))=8)*(CHOOSE({1,2,3,4},KHP!W97,KHP!AA97,KHP!AE97,KHP!AI97)))</f>
        <v>0</v>
      </c>
      <c r="I97">
        <f>SUMPRODUCT((MONTH(CHOOSE({1,2,3,4},KHP!T97,KHP!X97,KHP!AB97,KHP!AF97))=9)*(CHOOSE({1,2,3,4},KHP!W97,KHP!AA97,KHP!AE97,KHP!AI97)))</f>
        <v>0</v>
      </c>
      <c r="J97">
        <f>SUMPRODUCT((MONTH(CHOOSE({1,2,3,4},KHP!T97,KHP!X97,KHP!AB97,KHP!AF97))=10)*(CHOOSE({1,2,3,4},KHP!W97,KHP!AA97,KHP!AE97,KHP!AI97)))</f>
        <v>0</v>
      </c>
      <c r="K97">
        <f>SUMPRODUCT((MONTH(CHOOSE({1,2,3,4},KHP!T97,KHP!X97,KHP!AB97,KHP!AF97))=11)*(CHOOSE({1,2,3,4},KHP!W97,KHP!AA97,KHP!AE97,KHP!AI97)))</f>
        <v>0</v>
      </c>
      <c r="L97">
        <f>SUMPRODUCT((MONTH(CHOOSE({1,2,3,4},KHP!T97,KHP!X97,KHP!AB97,KHP!AF97))=12)*(CHOOSE({1,2,3,4},KHP!W97,KHP!AA97,KHP!AE97,KHP!AI97)))</f>
        <v>0</v>
      </c>
    </row>
    <row r="98" spans="1:12">
      <c r="A98">
        <f>SUMPRODUCT((MONTH(CHOOSE({1,2,3,4},KHP!T98,KHP!X98,KHP!AB98,KHP!AF98))=1)*(CHOOSE({1,2,3,4},KHP!W98,KHP!AA98,KHP!AE98,KHP!AI98)))</f>
        <v>0</v>
      </c>
      <c r="B98">
        <f>SUMPRODUCT((MONTH(CHOOSE({1,2,3,4},KHP!T98,KHP!X98,KHP!AB98,KHP!AF98))=2)*(CHOOSE({1,2,3,4},KHP!W98,KHP!AA98,KHP!AE98,KHP!AI98)))</f>
        <v>0</v>
      </c>
      <c r="C98">
        <f>SUMPRODUCT((MONTH(CHOOSE({1,2,3,4},KHP!T98,KHP!X98,KHP!AB98,KHP!AF98))=3)*(CHOOSE({1,2,3,4},KHP!W98,KHP!AA98,KHP!AE98,KHP!AI98)))</f>
        <v>0</v>
      </c>
      <c r="D98">
        <f>SUMPRODUCT((MONTH(CHOOSE({1,2,3,4},KHP!T98,KHP!X98,KHP!AB98,KHP!AF98))=4)*(CHOOSE({1,2,3,4},KHP!W98,KHP!AA98,KHP!AE98,KHP!AI98)))</f>
        <v>0</v>
      </c>
      <c r="E98">
        <f>SUMPRODUCT((MONTH(CHOOSE({1,2,3,4},KHP!T98,KHP!X98,KHP!AB98,KHP!AF98))=5)*(CHOOSE({1,2,3,4},KHP!W98,KHP!AA98,KHP!AE98,KHP!AI98)))</f>
        <v>0</v>
      </c>
      <c r="F98">
        <f>SUMPRODUCT((MONTH(CHOOSE({1,2,3,4},KHP!T98,KHP!X98,KHP!AB98,KHP!AF98))=6)*(CHOOSE({1,2,3,4},KHP!W98,KHP!AA98,KHP!AE98,KHP!AI98)))</f>
        <v>0</v>
      </c>
      <c r="G98">
        <f>SUMPRODUCT((MONTH(CHOOSE({1,2,3,4},KHP!T98,KHP!X98,KHP!AB98,KHP!AF98))=7)*(CHOOSE({1,2,3,4},KHP!W98,KHP!AA98,KHP!AE98,KHP!AI98)))</f>
        <v>0</v>
      </c>
      <c r="H98">
        <f>SUMPRODUCT((MONTH(CHOOSE({1,2,3,4},KHP!T98,KHP!X98,KHP!AB98,KHP!AF98))=8)*(CHOOSE({1,2,3,4},KHP!W98,KHP!AA98,KHP!AE98,KHP!AI98)))</f>
        <v>0</v>
      </c>
      <c r="I98">
        <f>SUMPRODUCT((MONTH(CHOOSE({1,2,3,4},KHP!T98,KHP!X98,KHP!AB98,KHP!AF98))=9)*(CHOOSE({1,2,3,4},KHP!W98,KHP!AA98,KHP!AE98,KHP!AI98)))</f>
        <v>0</v>
      </c>
      <c r="J98">
        <f>SUMPRODUCT((MONTH(CHOOSE({1,2,3,4},KHP!T98,KHP!X98,KHP!AB98,KHP!AF98))=10)*(CHOOSE({1,2,3,4},KHP!W98,KHP!AA98,KHP!AE98,KHP!AI98)))</f>
        <v>0</v>
      </c>
      <c r="K98">
        <f>SUMPRODUCT((MONTH(CHOOSE({1,2,3,4},KHP!T98,KHP!X98,KHP!AB98,KHP!AF98))=11)*(CHOOSE({1,2,3,4},KHP!W98,KHP!AA98,KHP!AE98,KHP!AI98)))</f>
        <v>0</v>
      </c>
      <c r="L98">
        <f>SUMPRODUCT((MONTH(CHOOSE({1,2,3,4},KHP!T98,KHP!X98,KHP!AB98,KHP!AF98))=12)*(CHOOSE({1,2,3,4},KHP!W98,KHP!AA98,KHP!AE98,KHP!AI98)))</f>
        <v>0</v>
      </c>
    </row>
    <row r="99" spans="1:12">
      <c r="A99">
        <f>SUMPRODUCT((MONTH(CHOOSE({1,2,3,4},KHP!T99,KHP!X99,KHP!AB99,KHP!AF99))=1)*(CHOOSE({1,2,3,4},KHP!W99,KHP!AA99,KHP!AE99,KHP!AI99)))</f>
        <v>0</v>
      </c>
      <c r="B99">
        <f>SUMPRODUCT((MONTH(CHOOSE({1,2,3,4},KHP!T99,KHP!X99,KHP!AB99,KHP!AF99))=2)*(CHOOSE({1,2,3,4},KHP!W99,KHP!AA99,KHP!AE99,KHP!AI99)))</f>
        <v>0</v>
      </c>
      <c r="C99">
        <f>SUMPRODUCT((MONTH(CHOOSE({1,2,3,4},KHP!T99,KHP!X99,KHP!AB99,KHP!AF99))=3)*(CHOOSE({1,2,3,4},KHP!W99,KHP!AA99,KHP!AE99,KHP!AI99)))</f>
        <v>0</v>
      </c>
      <c r="D99">
        <f>SUMPRODUCT((MONTH(CHOOSE({1,2,3,4},KHP!T99,KHP!X99,KHP!AB99,KHP!AF99))=4)*(CHOOSE({1,2,3,4},KHP!W99,KHP!AA99,KHP!AE99,KHP!AI99)))</f>
        <v>0</v>
      </c>
      <c r="E99">
        <f>SUMPRODUCT((MONTH(CHOOSE({1,2,3,4},KHP!T99,KHP!X99,KHP!AB99,KHP!AF99))=5)*(CHOOSE({1,2,3,4},KHP!W99,KHP!AA99,KHP!AE99,KHP!AI99)))</f>
        <v>0</v>
      </c>
      <c r="F99">
        <f>SUMPRODUCT((MONTH(CHOOSE({1,2,3,4},KHP!T99,KHP!X99,KHP!AB99,KHP!AF99))=6)*(CHOOSE({1,2,3,4},KHP!W99,KHP!AA99,KHP!AE99,KHP!AI99)))</f>
        <v>0</v>
      </c>
      <c r="G99">
        <f>SUMPRODUCT((MONTH(CHOOSE({1,2,3,4},KHP!T99,KHP!X99,KHP!AB99,KHP!AF99))=7)*(CHOOSE({1,2,3,4},KHP!W99,KHP!AA99,KHP!AE99,KHP!AI99)))</f>
        <v>0</v>
      </c>
      <c r="H99">
        <f>SUMPRODUCT((MONTH(CHOOSE({1,2,3,4},KHP!T99,KHP!X99,KHP!AB99,KHP!AF99))=8)*(CHOOSE({1,2,3,4},KHP!W99,KHP!AA99,KHP!AE99,KHP!AI99)))</f>
        <v>0</v>
      </c>
      <c r="I99">
        <f>SUMPRODUCT((MONTH(CHOOSE({1,2,3,4},KHP!T99,KHP!X99,KHP!AB99,KHP!AF99))=9)*(CHOOSE({1,2,3,4},KHP!W99,KHP!AA99,KHP!AE99,KHP!AI99)))</f>
        <v>0</v>
      </c>
      <c r="J99">
        <f>SUMPRODUCT((MONTH(CHOOSE({1,2,3,4},KHP!T99,KHP!X99,KHP!AB99,KHP!AF99))=10)*(CHOOSE({1,2,3,4},KHP!W99,KHP!AA99,KHP!AE99,KHP!AI99)))</f>
        <v>0</v>
      </c>
      <c r="K99">
        <f>SUMPRODUCT((MONTH(CHOOSE({1,2,3,4},KHP!T99,KHP!X99,KHP!AB99,KHP!AF99))=11)*(CHOOSE({1,2,3,4},KHP!W99,KHP!AA99,KHP!AE99,KHP!AI99)))</f>
        <v>0</v>
      </c>
      <c r="L99">
        <f>SUMPRODUCT((MONTH(CHOOSE({1,2,3,4},KHP!T99,KHP!X99,KHP!AB99,KHP!AF99))=12)*(CHOOSE({1,2,3,4},KHP!W99,KHP!AA99,KHP!AE99,KHP!AI99)))</f>
        <v>0</v>
      </c>
    </row>
    <row r="100" spans="1:12">
      <c r="A100">
        <f>SUMPRODUCT((MONTH(CHOOSE({1,2,3,4},KHP!T100,KHP!X100,KHP!AB100,KHP!AF100))=1)*(CHOOSE({1,2,3,4},KHP!W100,KHP!AA100,KHP!AE100,KHP!AI100)))</f>
        <v>0</v>
      </c>
      <c r="B100">
        <f>SUMPRODUCT((MONTH(CHOOSE({1,2,3,4},KHP!T100,KHP!X100,KHP!AB100,KHP!AF100))=2)*(CHOOSE({1,2,3,4},KHP!W100,KHP!AA100,KHP!AE100,KHP!AI100)))</f>
        <v>0</v>
      </c>
      <c r="C100">
        <f>SUMPRODUCT((MONTH(CHOOSE({1,2,3,4},KHP!T100,KHP!X100,KHP!AB100,KHP!AF100))=3)*(CHOOSE({1,2,3,4},KHP!W100,KHP!AA100,KHP!AE100,KHP!AI100)))</f>
        <v>0</v>
      </c>
      <c r="D100">
        <f>SUMPRODUCT((MONTH(CHOOSE({1,2,3,4},KHP!T100,KHP!X100,KHP!AB100,KHP!AF100))=4)*(CHOOSE({1,2,3,4},KHP!W100,KHP!AA100,KHP!AE100,KHP!AI100)))</f>
        <v>0</v>
      </c>
      <c r="E100">
        <f>SUMPRODUCT((MONTH(CHOOSE({1,2,3,4},KHP!T100,KHP!X100,KHP!AB100,KHP!AF100))=5)*(CHOOSE({1,2,3,4},KHP!W100,KHP!AA100,KHP!AE100,KHP!AI100)))</f>
        <v>0</v>
      </c>
      <c r="F100">
        <f>SUMPRODUCT((MONTH(CHOOSE({1,2,3,4},KHP!T100,KHP!X100,KHP!AB100,KHP!AF100))=6)*(CHOOSE({1,2,3,4},KHP!W100,KHP!AA100,KHP!AE100,KHP!AI100)))</f>
        <v>0</v>
      </c>
      <c r="G100">
        <f>SUMPRODUCT((MONTH(CHOOSE({1,2,3,4},KHP!T100,KHP!X100,KHP!AB100,KHP!AF100))=7)*(CHOOSE({1,2,3,4},KHP!W100,KHP!AA100,KHP!AE100,KHP!AI100)))</f>
        <v>0</v>
      </c>
      <c r="H100">
        <f>SUMPRODUCT((MONTH(CHOOSE({1,2,3,4},KHP!T100,KHP!X100,KHP!AB100,KHP!AF100))=8)*(CHOOSE({1,2,3,4},KHP!W100,KHP!AA100,KHP!AE100,KHP!AI100)))</f>
        <v>0</v>
      </c>
      <c r="I100">
        <f>SUMPRODUCT((MONTH(CHOOSE({1,2,3,4},KHP!T100,KHP!X100,KHP!AB100,KHP!AF100))=9)*(CHOOSE({1,2,3,4},KHP!W100,KHP!AA100,KHP!AE100,KHP!AI100)))</f>
        <v>0</v>
      </c>
      <c r="J100">
        <f>SUMPRODUCT((MONTH(CHOOSE({1,2,3,4},KHP!T100,KHP!X100,KHP!AB100,KHP!AF100))=10)*(CHOOSE({1,2,3,4},KHP!W100,KHP!AA100,KHP!AE100,KHP!AI100)))</f>
        <v>0</v>
      </c>
      <c r="K100">
        <f>SUMPRODUCT((MONTH(CHOOSE({1,2,3,4},KHP!T100,KHP!X100,KHP!AB100,KHP!AF100))=11)*(CHOOSE({1,2,3,4},KHP!W100,KHP!AA100,KHP!AE100,KHP!AI100)))</f>
        <v>0</v>
      </c>
      <c r="L100">
        <f>SUMPRODUCT((MONTH(CHOOSE({1,2,3,4},KHP!T100,KHP!X100,KHP!AB100,KHP!AF100))=12)*(CHOOSE({1,2,3,4},KHP!W100,KHP!AA100,KHP!AE100,KHP!AI100)))</f>
        <v>0</v>
      </c>
    </row>
    <row r="101" spans="1:12">
      <c r="A101">
        <f>SUMPRODUCT((MONTH(CHOOSE({1,2,3,4},KHP!T101,KHP!X101,KHP!AB101,KHP!AF101))=1)*(CHOOSE({1,2,3,4},KHP!W101,KHP!AA101,KHP!AE101,KHP!AI101)))</f>
        <v>0</v>
      </c>
      <c r="B101">
        <f>SUMPRODUCT((MONTH(CHOOSE({1,2,3,4},KHP!T101,KHP!X101,KHP!AB101,KHP!AF101))=2)*(CHOOSE({1,2,3,4},KHP!W101,KHP!AA101,KHP!AE101,KHP!AI101)))</f>
        <v>0</v>
      </c>
      <c r="C101">
        <f>SUMPRODUCT((MONTH(CHOOSE({1,2,3,4},KHP!T101,KHP!X101,KHP!AB101,KHP!AF101))=3)*(CHOOSE({1,2,3,4},KHP!W101,KHP!AA101,KHP!AE101,KHP!AI101)))</f>
        <v>0</v>
      </c>
      <c r="D101">
        <f>SUMPRODUCT((MONTH(CHOOSE({1,2,3,4},KHP!T101,KHP!X101,KHP!AB101,KHP!AF101))=4)*(CHOOSE({1,2,3,4},KHP!W101,KHP!AA101,KHP!AE101,KHP!AI101)))</f>
        <v>0</v>
      </c>
      <c r="E101">
        <f>SUMPRODUCT((MONTH(CHOOSE({1,2,3,4},KHP!T101,KHP!X101,KHP!AB101,KHP!AF101))=5)*(CHOOSE({1,2,3,4},KHP!W101,KHP!AA101,KHP!AE101,KHP!AI101)))</f>
        <v>0</v>
      </c>
      <c r="F101">
        <f>SUMPRODUCT((MONTH(CHOOSE({1,2,3,4},KHP!T101,KHP!X101,KHP!AB101,KHP!AF101))=6)*(CHOOSE({1,2,3,4},KHP!W101,KHP!AA101,KHP!AE101,KHP!AI101)))</f>
        <v>0</v>
      </c>
      <c r="G101">
        <f>SUMPRODUCT((MONTH(CHOOSE({1,2,3,4},KHP!T101,KHP!X101,KHP!AB101,KHP!AF101))=7)*(CHOOSE({1,2,3,4},KHP!W101,KHP!AA101,KHP!AE101,KHP!AI101)))</f>
        <v>0</v>
      </c>
      <c r="H101">
        <f>SUMPRODUCT((MONTH(CHOOSE({1,2,3,4},KHP!T101,KHP!X101,KHP!AB101,KHP!AF101))=8)*(CHOOSE({1,2,3,4},KHP!W101,KHP!AA101,KHP!AE101,KHP!AI101)))</f>
        <v>0</v>
      </c>
      <c r="I101">
        <f>SUMPRODUCT((MONTH(CHOOSE({1,2,3,4},KHP!T101,KHP!X101,KHP!AB101,KHP!AF101))=9)*(CHOOSE({1,2,3,4},KHP!W101,KHP!AA101,KHP!AE101,KHP!AI101)))</f>
        <v>0</v>
      </c>
      <c r="J101">
        <f>SUMPRODUCT((MONTH(CHOOSE({1,2,3,4},KHP!T101,KHP!X101,KHP!AB101,KHP!AF101))=10)*(CHOOSE({1,2,3,4},KHP!W101,KHP!AA101,KHP!AE101,KHP!AI101)))</f>
        <v>0</v>
      </c>
      <c r="K101">
        <f>SUMPRODUCT((MONTH(CHOOSE({1,2,3,4},KHP!T101,KHP!X101,KHP!AB101,KHP!AF101))=11)*(CHOOSE({1,2,3,4},KHP!W101,KHP!AA101,KHP!AE101,KHP!AI101)))</f>
        <v>0</v>
      </c>
      <c r="L101">
        <f>SUMPRODUCT((MONTH(CHOOSE({1,2,3,4},KHP!T101,KHP!X101,KHP!AB101,KHP!AF101))=12)*(CHOOSE({1,2,3,4},KHP!W101,KHP!AA101,KHP!AE101,KHP!AI101)))</f>
        <v>0</v>
      </c>
    </row>
    <row r="102" spans="1:12">
      <c r="A102">
        <f>SUMPRODUCT((MONTH(CHOOSE({1,2,3,4},KHP!T102,KHP!X102,KHP!AB102,KHP!AF102))=1)*(CHOOSE({1,2,3,4},KHP!W102,KHP!AA102,KHP!AE102,KHP!AI102)))</f>
        <v>0</v>
      </c>
      <c r="B102">
        <f>SUMPRODUCT((MONTH(CHOOSE({1,2,3,4},KHP!T102,KHP!X102,KHP!AB102,KHP!AF102))=2)*(CHOOSE({1,2,3,4},KHP!W102,KHP!AA102,KHP!AE102,KHP!AI102)))</f>
        <v>0</v>
      </c>
      <c r="C102">
        <f>SUMPRODUCT((MONTH(CHOOSE({1,2,3,4},KHP!T102,KHP!X102,KHP!AB102,KHP!AF102))=3)*(CHOOSE({1,2,3,4},KHP!W102,KHP!AA102,KHP!AE102,KHP!AI102)))</f>
        <v>0</v>
      </c>
      <c r="D102">
        <f>SUMPRODUCT((MONTH(CHOOSE({1,2,3,4},KHP!T102,KHP!X102,KHP!AB102,KHP!AF102))=4)*(CHOOSE({1,2,3,4},KHP!W102,KHP!AA102,KHP!AE102,KHP!AI102)))</f>
        <v>0</v>
      </c>
      <c r="E102">
        <f>SUMPRODUCT((MONTH(CHOOSE({1,2,3,4},KHP!T102,KHP!X102,KHP!AB102,KHP!AF102))=5)*(CHOOSE({1,2,3,4},KHP!W102,KHP!AA102,KHP!AE102,KHP!AI102)))</f>
        <v>0</v>
      </c>
      <c r="F102">
        <f>SUMPRODUCT((MONTH(CHOOSE({1,2,3,4},KHP!T102,KHP!X102,KHP!AB102,KHP!AF102))=6)*(CHOOSE({1,2,3,4},KHP!W102,KHP!AA102,KHP!AE102,KHP!AI102)))</f>
        <v>0</v>
      </c>
      <c r="G102">
        <f>SUMPRODUCT((MONTH(CHOOSE({1,2,3,4},KHP!T102,KHP!X102,KHP!AB102,KHP!AF102))=7)*(CHOOSE({1,2,3,4},KHP!W102,KHP!AA102,KHP!AE102,KHP!AI102)))</f>
        <v>0</v>
      </c>
      <c r="H102">
        <f>SUMPRODUCT((MONTH(CHOOSE({1,2,3,4},KHP!T102,KHP!X102,KHP!AB102,KHP!AF102))=8)*(CHOOSE({1,2,3,4},KHP!W102,KHP!AA102,KHP!AE102,KHP!AI102)))</f>
        <v>0</v>
      </c>
      <c r="I102">
        <f>SUMPRODUCT((MONTH(CHOOSE({1,2,3,4},KHP!T102,KHP!X102,KHP!AB102,KHP!AF102))=9)*(CHOOSE({1,2,3,4},KHP!W102,KHP!AA102,KHP!AE102,KHP!AI102)))</f>
        <v>0</v>
      </c>
      <c r="J102">
        <f>SUMPRODUCT((MONTH(CHOOSE({1,2,3,4},KHP!T102,KHP!X102,KHP!AB102,KHP!AF102))=10)*(CHOOSE({1,2,3,4},KHP!W102,KHP!AA102,KHP!AE102,KHP!AI102)))</f>
        <v>0</v>
      </c>
      <c r="K102">
        <f>SUMPRODUCT((MONTH(CHOOSE({1,2,3,4},KHP!T102,KHP!X102,KHP!AB102,KHP!AF102))=11)*(CHOOSE({1,2,3,4},KHP!W102,KHP!AA102,KHP!AE102,KHP!AI102)))</f>
        <v>0</v>
      </c>
      <c r="L102">
        <f>SUMPRODUCT((MONTH(CHOOSE({1,2,3,4},KHP!T102,KHP!X102,KHP!AB102,KHP!AF102))=12)*(CHOOSE({1,2,3,4},KHP!W102,KHP!AA102,KHP!AE102,KHP!AI102)))</f>
        <v>0</v>
      </c>
    </row>
    <row r="103" spans="1:12">
      <c r="A103">
        <f>SUMPRODUCT((MONTH(CHOOSE({1,2,3,4},KHP!T103,KHP!X103,KHP!AB103,KHP!AF103))=1)*(CHOOSE({1,2,3,4},KHP!W103,KHP!AA103,KHP!AE103,KHP!AI103)))</f>
        <v>0</v>
      </c>
      <c r="B103">
        <f>SUMPRODUCT((MONTH(CHOOSE({1,2,3,4},KHP!T103,KHP!X103,KHP!AB103,KHP!AF103))=2)*(CHOOSE({1,2,3,4},KHP!W103,KHP!AA103,KHP!AE103,KHP!AI103)))</f>
        <v>0</v>
      </c>
      <c r="C103">
        <f>SUMPRODUCT((MONTH(CHOOSE({1,2,3,4},KHP!T103,KHP!X103,KHP!AB103,KHP!AF103))=3)*(CHOOSE({1,2,3,4},KHP!W103,KHP!AA103,KHP!AE103,KHP!AI103)))</f>
        <v>0</v>
      </c>
      <c r="D103">
        <f>SUMPRODUCT((MONTH(CHOOSE({1,2,3,4},KHP!T103,KHP!X103,KHP!AB103,KHP!AF103))=4)*(CHOOSE({1,2,3,4},KHP!W103,KHP!AA103,KHP!AE103,KHP!AI103)))</f>
        <v>0</v>
      </c>
      <c r="E103">
        <f>SUMPRODUCT((MONTH(CHOOSE({1,2,3,4},KHP!T103,KHP!X103,KHP!AB103,KHP!AF103))=5)*(CHOOSE({1,2,3,4},KHP!W103,KHP!AA103,KHP!AE103,KHP!AI103)))</f>
        <v>0</v>
      </c>
      <c r="F103">
        <f>SUMPRODUCT((MONTH(CHOOSE({1,2,3,4},KHP!T103,KHP!X103,KHP!AB103,KHP!AF103))=6)*(CHOOSE({1,2,3,4},KHP!W103,KHP!AA103,KHP!AE103,KHP!AI103)))</f>
        <v>0</v>
      </c>
      <c r="G103">
        <f>SUMPRODUCT((MONTH(CHOOSE({1,2,3,4},KHP!T103,KHP!X103,KHP!AB103,KHP!AF103))=7)*(CHOOSE({1,2,3,4},KHP!W103,KHP!AA103,KHP!AE103,KHP!AI103)))</f>
        <v>0</v>
      </c>
      <c r="H103">
        <f>SUMPRODUCT((MONTH(CHOOSE({1,2,3,4},KHP!T103,KHP!X103,KHP!AB103,KHP!AF103))=8)*(CHOOSE({1,2,3,4},KHP!W103,KHP!AA103,KHP!AE103,KHP!AI103)))</f>
        <v>0</v>
      </c>
      <c r="I103">
        <f>SUMPRODUCT((MONTH(CHOOSE({1,2,3,4},KHP!T103,KHP!X103,KHP!AB103,KHP!AF103))=9)*(CHOOSE({1,2,3,4},KHP!W103,KHP!AA103,KHP!AE103,KHP!AI103)))</f>
        <v>0</v>
      </c>
      <c r="J103">
        <f>SUMPRODUCT((MONTH(CHOOSE({1,2,3,4},KHP!T103,KHP!X103,KHP!AB103,KHP!AF103))=10)*(CHOOSE({1,2,3,4},KHP!W103,KHP!AA103,KHP!AE103,KHP!AI103)))</f>
        <v>0</v>
      </c>
      <c r="K103">
        <f>SUMPRODUCT((MONTH(CHOOSE({1,2,3,4},KHP!T103,KHP!X103,KHP!AB103,KHP!AF103))=11)*(CHOOSE({1,2,3,4},KHP!W103,KHP!AA103,KHP!AE103,KHP!AI103)))</f>
        <v>0</v>
      </c>
      <c r="L103">
        <f>SUMPRODUCT((MONTH(CHOOSE({1,2,3,4},KHP!T103,KHP!X103,KHP!AB103,KHP!AF103))=12)*(CHOOSE({1,2,3,4},KHP!W103,KHP!AA103,KHP!AE103,KHP!AI103)))</f>
        <v>0</v>
      </c>
    </row>
    <row r="104" spans="1:12">
      <c r="A104">
        <f>SUMPRODUCT((MONTH(CHOOSE({1,2,3,4},KHP!T104,KHP!X104,KHP!AB104,KHP!AF104))=1)*(CHOOSE({1,2,3,4},KHP!W104,KHP!AA104,KHP!AE104,KHP!AI104)))</f>
        <v>0</v>
      </c>
      <c r="B104">
        <f>SUMPRODUCT((MONTH(CHOOSE({1,2,3,4},KHP!T104,KHP!X104,KHP!AB104,KHP!AF104))=2)*(CHOOSE({1,2,3,4},KHP!W104,KHP!AA104,KHP!AE104,KHP!AI104)))</f>
        <v>0</v>
      </c>
      <c r="C104">
        <f>SUMPRODUCT((MONTH(CHOOSE({1,2,3,4},KHP!T104,KHP!X104,KHP!AB104,KHP!AF104))=3)*(CHOOSE({1,2,3,4},KHP!W104,KHP!AA104,KHP!AE104,KHP!AI104)))</f>
        <v>0</v>
      </c>
      <c r="D104">
        <f>SUMPRODUCT((MONTH(CHOOSE({1,2,3,4},KHP!T104,KHP!X104,KHP!AB104,KHP!AF104))=4)*(CHOOSE({1,2,3,4},KHP!W104,KHP!AA104,KHP!AE104,KHP!AI104)))</f>
        <v>0</v>
      </c>
      <c r="E104">
        <f>SUMPRODUCT((MONTH(CHOOSE({1,2,3,4},KHP!T104,KHP!X104,KHP!AB104,KHP!AF104))=5)*(CHOOSE({1,2,3,4},KHP!W104,KHP!AA104,KHP!AE104,KHP!AI104)))</f>
        <v>0</v>
      </c>
      <c r="F104">
        <f>SUMPRODUCT((MONTH(CHOOSE({1,2,3,4},KHP!T104,KHP!X104,KHP!AB104,KHP!AF104))=6)*(CHOOSE({1,2,3,4},KHP!W104,KHP!AA104,KHP!AE104,KHP!AI104)))</f>
        <v>0</v>
      </c>
      <c r="G104">
        <f>SUMPRODUCT((MONTH(CHOOSE({1,2,3,4},KHP!T104,KHP!X104,KHP!AB104,KHP!AF104))=7)*(CHOOSE({1,2,3,4},KHP!W104,KHP!AA104,KHP!AE104,KHP!AI104)))</f>
        <v>0</v>
      </c>
      <c r="H104">
        <f>SUMPRODUCT((MONTH(CHOOSE({1,2,3,4},KHP!T104,KHP!X104,KHP!AB104,KHP!AF104))=8)*(CHOOSE({1,2,3,4},KHP!W104,KHP!AA104,KHP!AE104,KHP!AI104)))</f>
        <v>0</v>
      </c>
      <c r="I104">
        <f>SUMPRODUCT((MONTH(CHOOSE({1,2,3,4},KHP!T104,KHP!X104,KHP!AB104,KHP!AF104))=9)*(CHOOSE({1,2,3,4},KHP!W104,KHP!AA104,KHP!AE104,KHP!AI104)))</f>
        <v>0</v>
      </c>
      <c r="J104">
        <f>SUMPRODUCT((MONTH(CHOOSE({1,2,3,4},KHP!T104,KHP!X104,KHP!AB104,KHP!AF104))=10)*(CHOOSE({1,2,3,4},KHP!W104,KHP!AA104,KHP!AE104,KHP!AI104)))</f>
        <v>0</v>
      </c>
      <c r="K104">
        <f>SUMPRODUCT((MONTH(CHOOSE({1,2,3,4},KHP!T104,KHP!X104,KHP!AB104,KHP!AF104))=11)*(CHOOSE({1,2,3,4},KHP!W104,KHP!AA104,KHP!AE104,KHP!AI104)))</f>
        <v>0</v>
      </c>
      <c r="L104">
        <f>SUMPRODUCT((MONTH(CHOOSE({1,2,3,4},KHP!T104,KHP!X104,KHP!AB104,KHP!AF104))=12)*(CHOOSE({1,2,3,4},KHP!W104,KHP!AA104,KHP!AE104,KHP!AI104)))</f>
        <v>0</v>
      </c>
    </row>
    <row r="105" spans="1:12">
      <c r="A105">
        <f>SUMPRODUCT((MONTH(CHOOSE({1,2,3,4},KHP!T105,KHP!X105,KHP!AB105,KHP!AF105))=1)*(CHOOSE({1,2,3,4},KHP!W105,KHP!AA105,KHP!AE105,KHP!AI105)))</f>
        <v>0</v>
      </c>
      <c r="B105">
        <f>SUMPRODUCT((MONTH(CHOOSE({1,2,3,4},KHP!T105,KHP!X105,KHP!AB105,KHP!AF105))=2)*(CHOOSE({1,2,3,4},KHP!W105,KHP!AA105,KHP!AE105,KHP!AI105)))</f>
        <v>0</v>
      </c>
      <c r="C105">
        <f>SUMPRODUCT((MONTH(CHOOSE({1,2,3,4},KHP!T105,KHP!X105,KHP!AB105,KHP!AF105))=3)*(CHOOSE({1,2,3,4},KHP!W105,KHP!AA105,KHP!AE105,KHP!AI105)))</f>
        <v>0</v>
      </c>
      <c r="D105">
        <f>SUMPRODUCT((MONTH(CHOOSE({1,2,3,4},KHP!T105,KHP!X105,KHP!AB105,KHP!AF105))=4)*(CHOOSE({1,2,3,4},KHP!W105,KHP!AA105,KHP!AE105,KHP!AI105)))</f>
        <v>0</v>
      </c>
      <c r="E105">
        <f>SUMPRODUCT((MONTH(CHOOSE({1,2,3,4},KHP!T105,KHP!X105,KHP!AB105,KHP!AF105))=5)*(CHOOSE({1,2,3,4},KHP!W105,KHP!AA105,KHP!AE105,KHP!AI105)))</f>
        <v>0</v>
      </c>
      <c r="F105">
        <f>SUMPRODUCT((MONTH(CHOOSE({1,2,3,4},KHP!T105,KHP!X105,KHP!AB105,KHP!AF105))=6)*(CHOOSE({1,2,3,4},KHP!W105,KHP!AA105,KHP!AE105,KHP!AI105)))</f>
        <v>0</v>
      </c>
      <c r="G105">
        <f>SUMPRODUCT((MONTH(CHOOSE({1,2,3,4},KHP!T105,KHP!X105,KHP!AB105,KHP!AF105))=7)*(CHOOSE({1,2,3,4},KHP!W105,KHP!AA105,KHP!AE105,KHP!AI105)))</f>
        <v>0</v>
      </c>
      <c r="H105">
        <f>SUMPRODUCT((MONTH(CHOOSE({1,2,3,4},KHP!T105,KHP!X105,KHP!AB105,KHP!AF105))=8)*(CHOOSE({1,2,3,4},KHP!W105,KHP!AA105,KHP!AE105,KHP!AI105)))</f>
        <v>0</v>
      </c>
      <c r="I105">
        <f>SUMPRODUCT((MONTH(CHOOSE({1,2,3,4},KHP!T105,KHP!X105,KHP!AB105,KHP!AF105))=9)*(CHOOSE({1,2,3,4},KHP!W105,KHP!AA105,KHP!AE105,KHP!AI105)))</f>
        <v>0</v>
      </c>
      <c r="J105">
        <f>SUMPRODUCT((MONTH(CHOOSE({1,2,3,4},KHP!T105,KHP!X105,KHP!AB105,KHP!AF105))=10)*(CHOOSE({1,2,3,4},KHP!W105,KHP!AA105,KHP!AE105,KHP!AI105)))</f>
        <v>0</v>
      </c>
      <c r="K105">
        <f>SUMPRODUCT((MONTH(CHOOSE({1,2,3,4},KHP!T105,KHP!X105,KHP!AB105,KHP!AF105))=11)*(CHOOSE({1,2,3,4},KHP!W105,KHP!AA105,KHP!AE105,KHP!AI105)))</f>
        <v>0</v>
      </c>
      <c r="L105">
        <f>SUMPRODUCT((MONTH(CHOOSE({1,2,3,4},KHP!T105,KHP!X105,KHP!AB105,KHP!AF105))=12)*(CHOOSE({1,2,3,4},KHP!W105,KHP!AA105,KHP!AE105,KHP!AI105)))</f>
        <v>0</v>
      </c>
    </row>
    <row r="106" spans="1:12">
      <c r="A106">
        <f>SUMPRODUCT((MONTH(CHOOSE({1,2,3,4},KHP!T106,KHP!X106,KHP!AB106,KHP!AF106))=1)*(CHOOSE({1,2,3,4},KHP!W106,KHP!AA106,KHP!AE106,KHP!AI106)))</f>
        <v>0</v>
      </c>
      <c r="B106">
        <f>SUMPRODUCT((MONTH(CHOOSE({1,2,3,4},KHP!T106,KHP!X106,KHP!AB106,KHP!AF106))=2)*(CHOOSE({1,2,3,4},KHP!W106,KHP!AA106,KHP!AE106,KHP!AI106)))</f>
        <v>0</v>
      </c>
      <c r="C106">
        <f>SUMPRODUCT((MONTH(CHOOSE({1,2,3,4},KHP!T106,KHP!X106,KHP!AB106,KHP!AF106))=3)*(CHOOSE({1,2,3,4},KHP!W106,KHP!AA106,KHP!AE106,KHP!AI106)))</f>
        <v>0</v>
      </c>
      <c r="D106">
        <f>SUMPRODUCT((MONTH(CHOOSE({1,2,3,4},KHP!T106,KHP!X106,KHP!AB106,KHP!AF106))=4)*(CHOOSE({1,2,3,4},KHP!W106,KHP!AA106,KHP!AE106,KHP!AI106)))</f>
        <v>0</v>
      </c>
      <c r="E106">
        <f>SUMPRODUCT((MONTH(CHOOSE({1,2,3,4},KHP!T106,KHP!X106,KHP!AB106,KHP!AF106))=5)*(CHOOSE({1,2,3,4},KHP!W106,KHP!AA106,KHP!AE106,KHP!AI106)))</f>
        <v>0</v>
      </c>
      <c r="F106">
        <f>SUMPRODUCT((MONTH(CHOOSE({1,2,3,4},KHP!T106,KHP!X106,KHP!AB106,KHP!AF106))=6)*(CHOOSE({1,2,3,4},KHP!W106,KHP!AA106,KHP!AE106,KHP!AI106)))</f>
        <v>0</v>
      </c>
      <c r="G106">
        <f>SUMPRODUCT((MONTH(CHOOSE({1,2,3,4},KHP!T106,KHP!X106,KHP!AB106,KHP!AF106))=7)*(CHOOSE({1,2,3,4},KHP!W106,KHP!AA106,KHP!AE106,KHP!AI106)))</f>
        <v>0</v>
      </c>
      <c r="H106">
        <f>SUMPRODUCT((MONTH(CHOOSE({1,2,3,4},KHP!T106,KHP!X106,KHP!AB106,KHP!AF106))=8)*(CHOOSE({1,2,3,4},KHP!W106,KHP!AA106,KHP!AE106,KHP!AI106)))</f>
        <v>0</v>
      </c>
      <c r="I106">
        <f>SUMPRODUCT((MONTH(CHOOSE({1,2,3,4},KHP!T106,KHP!X106,KHP!AB106,KHP!AF106))=9)*(CHOOSE({1,2,3,4},KHP!W106,KHP!AA106,KHP!AE106,KHP!AI106)))</f>
        <v>0</v>
      </c>
      <c r="J106">
        <f>SUMPRODUCT((MONTH(CHOOSE({1,2,3,4},KHP!T106,KHP!X106,KHP!AB106,KHP!AF106))=10)*(CHOOSE({1,2,3,4},KHP!W106,KHP!AA106,KHP!AE106,KHP!AI106)))</f>
        <v>0</v>
      </c>
      <c r="K106">
        <f>SUMPRODUCT((MONTH(CHOOSE({1,2,3,4},KHP!T106,KHP!X106,KHP!AB106,KHP!AF106))=11)*(CHOOSE({1,2,3,4},KHP!W106,KHP!AA106,KHP!AE106,KHP!AI106)))</f>
        <v>0</v>
      </c>
      <c r="L106">
        <f>SUMPRODUCT((MONTH(CHOOSE({1,2,3,4},KHP!T106,KHP!X106,KHP!AB106,KHP!AF106))=12)*(CHOOSE({1,2,3,4},KHP!W106,KHP!AA106,KHP!AE106,KHP!AI106)))</f>
        <v>0</v>
      </c>
    </row>
    <row r="107" spans="1:12">
      <c r="A107">
        <f>SUMPRODUCT((MONTH(CHOOSE({1,2,3,4},KHP!T107,KHP!X107,KHP!AB107,KHP!AF107))=1)*(CHOOSE({1,2,3,4},KHP!W107,KHP!AA107,KHP!AE107,KHP!AI107)))</f>
        <v>0</v>
      </c>
      <c r="B107">
        <f>SUMPRODUCT((MONTH(CHOOSE({1,2,3,4},KHP!T107,KHP!X107,KHP!AB107,KHP!AF107))=2)*(CHOOSE({1,2,3,4},KHP!W107,KHP!AA107,KHP!AE107,KHP!AI107)))</f>
        <v>0</v>
      </c>
      <c r="C107">
        <f>SUMPRODUCT((MONTH(CHOOSE({1,2,3,4},KHP!T107,KHP!X107,KHP!AB107,KHP!AF107))=3)*(CHOOSE({1,2,3,4},KHP!W107,KHP!AA107,KHP!AE107,KHP!AI107)))</f>
        <v>0</v>
      </c>
      <c r="D107">
        <f>SUMPRODUCT((MONTH(CHOOSE({1,2,3,4},KHP!T107,KHP!X107,KHP!AB107,KHP!AF107))=4)*(CHOOSE({1,2,3,4},KHP!W107,KHP!AA107,KHP!AE107,KHP!AI107)))</f>
        <v>0</v>
      </c>
      <c r="E107">
        <f>SUMPRODUCT((MONTH(CHOOSE({1,2,3,4},KHP!T107,KHP!X107,KHP!AB107,KHP!AF107))=5)*(CHOOSE({1,2,3,4},KHP!W107,KHP!AA107,KHP!AE107,KHP!AI107)))</f>
        <v>0</v>
      </c>
      <c r="F107">
        <f>SUMPRODUCT((MONTH(CHOOSE({1,2,3,4},KHP!T107,KHP!X107,KHP!AB107,KHP!AF107))=6)*(CHOOSE({1,2,3,4},KHP!W107,KHP!AA107,KHP!AE107,KHP!AI107)))</f>
        <v>0</v>
      </c>
      <c r="G107">
        <f>SUMPRODUCT((MONTH(CHOOSE({1,2,3,4},KHP!T107,KHP!X107,KHP!AB107,KHP!AF107))=7)*(CHOOSE({1,2,3,4},KHP!W107,KHP!AA107,KHP!AE107,KHP!AI107)))</f>
        <v>0</v>
      </c>
      <c r="H107">
        <f>SUMPRODUCT((MONTH(CHOOSE({1,2,3,4},KHP!T107,KHP!X107,KHP!AB107,KHP!AF107))=8)*(CHOOSE({1,2,3,4},KHP!W107,KHP!AA107,KHP!AE107,KHP!AI107)))</f>
        <v>0</v>
      </c>
      <c r="I107">
        <f>SUMPRODUCT((MONTH(CHOOSE({1,2,3,4},KHP!T107,KHP!X107,KHP!AB107,KHP!AF107))=9)*(CHOOSE({1,2,3,4},KHP!W107,KHP!AA107,KHP!AE107,KHP!AI107)))</f>
        <v>0</v>
      </c>
      <c r="J107">
        <f>SUMPRODUCT((MONTH(CHOOSE({1,2,3,4},KHP!T107,KHP!X107,KHP!AB107,KHP!AF107))=10)*(CHOOSE({1,2,3,4},KHP!W107,KHP!AA107,KHP!AE107,KHP!AI107)))</f>
        <v>0</v>
      </c>
      <c r="K107">
        <f>SUMPRODUCT((MONTH(CHOOSE({1,2,3,4},KHP!T107,KHP!X107,KHP!AB107,KHP!AF107))=11)*(CHOOSE({1,2,3,4},KHP!W107,KHP!AA107,KHP!AE107,KHP!AI107)))</f>
        <v>0</v>
      </c>
      <c r="L107">
        <f>SUMPRODUCT((MONTH(CHOOSE({1,2,3,4},KHP!T107,KHP!X107,KHP!AB107,KHP!AF107))=12)*(CHOOSE({1,2,3,4},KHP!W107,KHP!AA107,KHP!AE107,KHP!AI107)))</f>
        <v>0</v>
      </c>
    </row>
    <row r="108" spans="1:12">
      <c r="A108">
        <f>SUMPRODUCT((MONTH(CHOOSE({1,2,3,4},KHP!T108,KHP!X108,KHP!AB108,KHP!AF108))=1)*(CHOOSE({1,2,3,4},KHP!W108,KHP!AA108,KHP!AE108,KHP!AI108)))</f>
        <v>0</v>
      </c>
      <c r="B108">
        <f>SUMPRODUCT((MONTH(CHOOSE({1,2,3,4},KHP!T108,KHP!X108,KHP!AB108,KHP!AF108))=2)*(CHOOSE({1,2,3,4},KHP!W108,KHP!AA108,KHP!AE108,KHP!AI108)))</f>
        <v>0</v>
      </c>
      <c r="C108">
        <f>SUMPRODUCT((MONTH(CHOOSE({1,2,3,4},KHP!T108,KHP!X108,KHP!AB108,KHP!AF108))=3)*(CHOOSE({1,2,3,4},KHP!W108,KHP!AA108,KHP!AE108,KHP!AI108)))</f>
        <v>0</v>
      </c>
      <c r="D108">
        <f>SUMPRODUCT((MONTH(CHOOSE({1,2,3,4},KHP!T108,KHP!X108,KHP!AB108,KHP!AF108))=4)*(CHOOSE({1,2,3,4},KHP!W108,KHP!AA108,KHP!AE108,KHP!AI108)))</f>
        <v>0</v>
      </c>
      <c r="E108">
        <f>SUMPRODUCT((MONTH(CHOOSE({1,2,3,4},KHP!T108,KHP!X108,KHP!AB108,KHP!AF108))=5)*(CHOOSE({1,2,3,4},KHP!W108,KHP!AA108,KHP!AE108,KHP!AI108)))</f>
        <v>0</v>
      </c>
      <c r="F108">
        <f>SUMPRODUCT((MONTH(CHOOSE({1,2,3,4},KHP!T108,KHP!X108,KHP!AB108,KHP!AF108))=6)*(CHOOSE({1,2,3,4},KHP!W108,KHP!AA108,KHP!AE108,KHP!AI108)))</f>
        <v>0</v>
      </c>
      <c r="G108">
        <f>SUMPRODUCT((MONTH(CHOOSE({1,2,3,4},KHP!T108,KHP!X108,KHP!AB108,KHP!AF108))=7)*(CHOOSE({1,2,3,4},KHP!W108,KHP!AA108,KHP!AE108,KHP!AI108)))</f>
        <v>0</v>
      </c>
      <c r="H108">
        <f>SUMPRODUCT((MONTH(CHOOSE({1,2,3,4},KHP!T108,KHP!X108,KHP!AB108,KHP!AF108))=8)*(CHOOSE({1,2,3,4},KHP!W108,KHP!AA108,KHP!AE108,KHP!AI108)))</f>
        <v>0</v>
      </c>
      <c r="I108">
        <f>SUMPRODUCT((MONTH(CHOOSE({1,2,3,4},KHP!T108,KHP!X108,KHP!AB108,KHP!AF108))=9)*(CHOOSE({1,2,3,4},KHP!W108,KHP!AA108,KHP!AE108,KHP!AI108)))</f>
        <v>0</v>
      </c>
      <c r="J108">
        <f>SUMPRODUCT((MONTH(CHOOSE({1,2,3,4},KHP!T108,KHP!X108,KHP!AB108,KHP!AF108))=10)*(CHOOSE({1,2,3,4},KHP!W108,KHP!AA108,KHP!AE108,KHP!AI108)))</f>
        <v>0</v>
      </c>
      <c r="K108">
        <f>SUMPRODUCT((MONTH(CHOOSE({1,2,3,4},KHP!T108,KHP!X108,KHP!AB108,KHP!AF108))=11)*(CHOOSE({1,2,3,4},KHP!W108,KHP!AA108,KHP!AE108,KHP!AI108)))</f>
        <v>0</v>
      </c>
      <c r="L108">
        <f>SUMPRODUCT((MONTH(CHOOSE({1,2,3,4},KHP!T108,KHP!X108,KHP!AB108,KHP!AF108))=12)*(CHOOSE({1,2,3,4},KHP!W108,KHP!AA108,KHP!AE108,KHP!AI108)))</f>
        <v>0</v>
      </c>
    </row>
    <row r="109" spans="1:12">
      <c r="A109">
        <f>SUMPRODUCT((MONTH(CHOOSE({1,2,3,4},KHP!T109,KHP!X109,KHP!AB109,KHP!AF109))=1)*(CHOOSE({1,2,3,4},KHP!W109,KHP!AA109,KHP!AE109,KHP!AI109)))</f>
        <v>0</v>
      </c>
      <c r="B109">
        <f>SUMPRODUCT((MONTH(CHOOSE({1,2,3,4},KHP!T109,KHP!X109,KHP!AB109,KHP!AF109))=2)*(CHOOSE({1,2,3,4},KHP!W109,KHP!AA109,KHP!AE109,KHP!AI109)))</f>
        <v>0</v>
      </c>
      <c r="C109">
        <f>SUMPRODUCT((MONTH(CHOOSE({1,2,3,4},KHP!T109,KHP!X109,KHP!AB109,KHP!AF109))=3)*(CHOOSE({1,2,3,4},KHP!W109,KHP!AA109,KHP!AE109,KHP!AI109)))</f>
        <v>0</v>
      </c>
      <c r="D109">
        <f>SUMPRODUCT((MONTH(CHOOSE({1,2,3,4},KHP!T109,KHP!X109,KHP!AB109,KHP!AF109))=4)*(CHOOSE({1,2,3,4},KHP!W109,KHP!AA109,KHP!AE109,KHP!AI109)))</f>
        <v>0</v>
      </c>
      <c r="E109">
        <f>SUMPRODUCT((MONTH(CHOOSE({1,2,3,4},KHP!T109,KHP!X109,KHP!AB109,KHP!AF109))=5)*(CHOOSE({1,2,3,4},KHP!W109,KHP!AA109,KHP!AE109,KHP!AI109)))</f>
        <v>0</v>
      </c>
      <c r="F109">
        <f>SUMPRODUCT((MONTH(CHOOSE({1,2,3,4},KHP!T109,KHP!X109,KHP!AB109,KHP!AF109))=6)*(CHOOSE({1,2,3,4},KHP!W109,KHP!AA109,KHP!AE109,KHP!AI109)))</f>
        <v>0</v>
      </c>
      <c r="G109">
        <f>SUMPRODUCT((MONTH(CHOOSE({1,2,3,4},KHP!T109,KHP!X109,KHP!AB109,KHP!AF109))=7)*(CHOOSE({1,2,3,4},KHP!W109,KHP!AA109,KHP!AE109,KHP!AI109)))</f>
        <v>0</v>
      </c>
      <c r="H109">
        <f>SUMPRODUCT((MONTH(CHOOSE({1,2,3,4},KHP!T109,KHP!X109,KHP!AB109,KHP!AF109))=8)*(CHOOSE({1,2,3,4},KHP!W109,KHP!AA109,KHP!AE109,KHP!AI109)))</f>
        <v>0</v>
      </c>
      <c r="I109">
        <f>SUMPRODUCT((MONTH(CHOOSE({1,2,3,4},KHP!T109,KHP!X109,KHP!AB109,KHP!AF109))=9)*(CHOOSE({1,2,3,4},KHP!W109,KHP!AA109,KHP!AE109,KHP!AI109)))</f>
        <v>0</v>
      </c>
      <c r="J109">
        <f>SUMPRODUCT((MONTH(CHOOSE({1,2,3,4},KHP!T109,KHP!X109,KHP!AB109,KHP!AF109))=10)*(CHOOSE({1,2,3,4},KHP!W109,KHP!AA109,KHP!AE109,KHP!AI109)))</f>
        <v>0</v>
      </c>
      <c r="K109">
        <f>SUMPRODUCT((MONTH(CHOOSE({1,2,3,4},KHP!T109,KHP!X109,KHP!AB109,KHP!AF109))=11)*(CHOOSE({1,2,3,4},KHP!W109,KHP!AA109,KHP!AE109,KHP!AI109)))</f>
        <v>0</v>
      </c>
      <c r="L109">
        <f>SUMPRODUCT((MONTH(CHOOSE({1,2,3,4},KHP!T109,KHP!X109,KHP!AB109,KHP!AF109))=12)*(CHOOSE({1,2,3,4},KHP!W109,KHP!AA109,KHP!AE109,KHP!AI109)))</f>
        <v>0</v>
      </c>
    </row>
    <row r="110" spans="1:12">
      <c r="A110">
        <f>SUMPRODUCT((MONTH(CHOOSE({1,2,3,4},KHP!T110,KHP!X110,KHP!AB110,KHP!AF110))=1)*(CHOOSE({1,2,3,4},KHP!W110,KHP!AA110,KHP!AE110,KHP!AI110)))</f>
        <v>0</v>
      </c>
      <c r="B110">
        <f>SUMPRODUCT((MONTH(CHOOSE({1,2,3,4},KHP!T110,KHP!X110,KHP!AB110,KHP!AF110))=2)*(CHOOSE({1,2,3,4},KHP!W110,KHP!AA110,KHP!AE110,KHP!AI110)))</f>
        <v>0</v>
      </c>
      <c r="C110">
        <f>SUMPRODUCT((MONTH(CHOOSE({1,2,3,4},KHP!T110,KHP!X110,KHP!AB110,KHP!AF110))=3)*(CHOOSE({1,2,3,4},KHP!W110,KHP!AA110,KHP!AE110,KHP!AI110)))</f>
        <v>0</v>
      </c>
      <c r="D110">
        <f>SUMPRODUCT((MONTH(CHOOSE({1,2,3,4},KHP!T110,KHP!X110,KHP!AB110,KHP!AF110))=4)*(CHOOSE({1,2,3,4},KHP!W110,KHP!AA110,KHP!AE110,KHP!AI110)))</f>
        <v>0</v>
      </c>
      <c r="E110">
        <f>SUMPRODUCT((MONTH(CHOOSE({1,2,3,4},KHP!T110,KHP!X110,KHP!AB110,KHP!AF110))=5)*(CHOOSE({1,2,3,4},KHP!W110,KHP!AA110,KHP!AE110,KHP!AI110)))</f>
        <v>0</v>
      </c>
      <c r="F110">
        <f>SUMPRODUCT((MONTH(CHOOSE({1,2,3,4},KHP!T110,KHP!X110,KHP!AB110,KHP!AF110))=6)*(CHOOSE({1,2,3,4},KHP!W110,KHP!AA110,KHP!AE110,KHP!AI110)))</f>
        <v>0</v>
      </c>
      <c r="G110">
        <f>SUMPRODUCT((MONTH(CHOOSE({1,2,3,4},KHP!T110,KHP!X110,KHP!AB110,KHP!AF110))=7)*(CHOOSE({1,2,3,4},KHP!W110,KHP!AA110,KHP!AE110,KHP!AI110)))</f>
        <v>0</v>
      </c>
      <c r="H110">
        <f>SUMPRODUCT((MONTH(CHOOSE({1,2,3,4},KHP!T110,KHP!X110,KHP!AB110,KHP!AF110))=8)*(CHOOSE({1,2,3,4},KHP!W110,KHP!AA110,KHP!AE110,KHP!AI110)))</f>
        <v>0</v>
      </c>
      <c r="I110">
        <f>SUMPRODUCT((MONTH(CHOOSE({1,2,3,4},KHP!T110,KHP!X110,KHP!AB110,KHP!AF110))=9)*(CHOOSE({1,2,3,4},KHP!W110,KHP!AA110,KHP!AE110,KHP!AI110)))</f>
        <v>0</v>
      </c>
      <c r="J110">
        <f>SUMPRODUCT((MONTH(CHOOSE({1,2,3,4},KHP!T110,KHP!X110,KHP!AB110,KHP!AF110))=10)*(CHOOSE({1,2,3,4},KHP!W110,KHP!AA110,KHP!AE110,KHP!AI110)))</f>
        <v>0</v>
      </c>
      <c r="K110">
        <f>SUMPRODUCT((MONTH(CHOOSE({1,2,3,4},KHP!T110,KHP!X110,KHP!AB110,KHP!AF110))=11)*(CHOOSE({1,2,3,4},KHP!W110,KHP!AA110,KHP!AE110,KHP!AI110)))</f>
        <v>0</v>
      </c>
      <c r="L110">
        <f>SUMPRODUCT((MONTH(CHOOSE({1,2,3,4},KHP!T110,KHP!X110,KHP!AB110,KHP!AF110))=12)*(CHOOSE({1,2,3,4},KHP!W110,KHP!AA110,KHP!AE110,KHP!AI110)))</f>
        <v>0</v>
      </c>
    </row>
    <row r="111" spans="1:12">
      <c r="A111">
        <f>SUMPRODUCT((MONTH(CHOOSE({1,2,3,4},KHP!T111,KHP!X111,KHP!AB111,KHP!AF111))=1)*(CHOOSE({1,2,3,4},KHP!W111,KHP!AA111,KHP!AE111,KHP!AI111)))</f>
        <v>0</v>
      </c>
      <c r="B111">
        <f>SUMPRODUCT((MONTH(CHOOSE({1,2,3,4},KHP!T111,KHP!X111,KHP!AB111,KHP!AF111))=2)*(CHOOSE({1,2,3,4},KHP!W111,KHP!AA111,KHP!AE111,KHP!AI111)))</f>
        <v>0</v>
      </c>
      <c r="C111">
        <f>SUMPRODUCT((MONTH(CHOOSE({1,2,3,4},KHP!T111,KHP!X111,KHP!AB111,KHP!AF111))=3)*(CHOOSE({1,2,3,4},KHP!W111,KHP!AA111,KHP!AE111,KHP!AI111)))</f>
        <v>0</v>
      </c>
      <c r="D111">
        <f>SUMPRODUCT((MONTH(CHOOSE({1,2,3,4},KHP!T111,KHP!X111,KHP!AB111,KHP!AF111))=4)*(CHOOSE({1,2,3,4},KHP!W111,KHP!AA111,KHP!AE111,KHP!AI111)))</f>
        <v>0</v>
      </c>
      <c r="E111">
        <f>SUMPRODUCT((MONTH(CHOOSE({1,2,3,4},KHP!T111,KHP!X111,KHP!AB111,KHP!AF111))=5)*(CHOOSE({1,2,3,4},KHP!W111,KHP!AA111,KHP!AE111,KHP!AI111)))</f>
        <v>0</v>
      </c>
      <c r="F111">
        <f>SUMPRODUCT((MONTH(CHOOSE({1,2,3,4},KHP!T111,KHP!X111,KHP!AB111,KHP!AF111))=6)*(CHOOSE({1,2,3,4},KHP!W111,KHP!AA111,KHP!AE111,KHP!AI111)))</f>
        <v>0</v>
      </c>
      <c r="G111">
        <f>SUMPRODUCT((MONTH(CHOOSE({1,2,3,4},KHP!T111,KHP!X111,KHP!AB111,KHP!AF111))=7)*(CHOOSE({1,2,3,4},KHP!W111,KHP!AA111,KHP!AE111,KHP!AI111)))</f>
        <v>0</v>
      </c>
      <c r="H111">
        <f>SUMPRODUCT((MONTH(CHOOSE({1,2,3,4},KHP!T111,KHP!X111,KHP!AB111,KHP!AF111))=8)*(CHOOSE({1,2,3,4},KHP!W111,KHP!AA111,KHP!AE111,KHP!AI111)))</f>
        <v>0</v>
      </c>
      <c r="I111">
        <f>SUMPRODUCT((MONTH(CHOOSE({1,2,3,4},KHP!T111,KHP!X111,KHP!AB111,KHP!AF111))=9)*(CHOOSE({1,2,3,4},KHP!W111,KHP!AA111,KHP!AE111,KHP!AI111)))</f>
        <v>0</v>
      </c>
      <c r="J111">
        <f>SUMPRODUCT((MONTH(CHOOSE({1,2,3,4},KHP!T111,KHP!X111,KHP!AB111,KHP!AF111))=10)*(CHOOSE({1,2,3,4},KHP!W111,KHP!AA111,KHP!AE111,KHP!AI111)))</f>
        <v>0</v>
      </c>
      <c r="K111">
        <f>SUMPRODUCT((MONTH(CHOOSE({1,2,3,4},KHP!T111,KHP!X111,KHP!AB111,KHP!AF111))=11)*(CHOOSE({1,2,3,4},KHP!W111,KHP!AA111,KHP!AE111,KHP!AI111)))</f>
        <v>0</v>
      </c>
      <c r="L111">
        <f>SUMPRODUCT((MONTH(CHOOSE({1,2,3,4},KHP!T111,KHP!X111,KHP!AB111,KHP!AF111))=12)*(CHOOSE({1,2,3,4},KHP!W111,KHP!AA111,KHP!AE111,KHP!AI111)))</f>
        <v>0</v>
      </c>
    </row>
    <row r="112" spans="1:12">
      <c r="A112">
        <f>SUMPRODUCT((MONTH(CHOOSE({1,2,3,4},KHP!T112,KHP!X112,KHP!AB112,KHP!AF112))=1)*(CHOOSE({1,2,3,4},KHP!W112,KHP!AA112,KHP!AE112,KHP!AI112)))</f>
        <v>0</v>
      </c>
      <c r="B112">
        <f>SUMPRODUCT((MONTH(CHOOSE({1,2,3,4},KHP!T112,KHP!X112,KHP!AB112,KHP!AF112))=2)*(CHOOSE({1,2,3,4},KHP!W112,KHP!AA112,KHP!AE112,KHP!AI112)))</f>
        <v>0</v>
      </c>
      <c r="C112">
        <f>SUMPRODUCT((MONTH(CHOOSE({1,2,3,4},KHP!T112,KHP!X112,KHP!AB112,KHP!AF112))=3)*(CHOOSE({1,2,3,4},KHP!W112,KHP!AA112,KHP!AE112,KHP!AI112)))</f>
        <v>0</v>
      </c>
      <c r="D112">
        <f>SUMPRODUCT((MONTH(CHOOSE({1,2,3,4},KHP!T112,KHP!X112,KHP!AB112,KHP!AF112))=4)*(CHOOSE({1,2,3,4},KHP!W112,KHP!AA112,KHP!AE112,KHP!AI112)))</f>
        <v>0</v>
      </c>
      <c r="E112">
        <f>SUMPRODUCT((MONTH(CHOOSE({1,2,3,4},KHP!T112,KHP!X112,KHP!AB112,KHP!AF112))=5)*(CHOOSE({1,2,3,4},KHP!W112,KHP!AA112,KHP!AE112,KHP!AI112)))</f>
        <v>0</v>
      </c>
      <c r="F112">
        <f>SUMPRODUCT((MONTH(CHOOSE({1,2,3,4},KHP!T112,KHP!X112,KHP!AB112,KHP!AF112))=6)*(CHOOSE({1,2,3,4},KHP!W112,KHP!AA112,KHP!AE112,KHP!AI112)))</f>
        <v>0</v>
      </c>
      <c r="G112">
        <f>SUMPRODUCT((MONTH(CHOOSE({1,2,3,4},KHP!T112,KHP!X112,KHP!AB112,KHP!AF112))=7)*(CHOOSE({1,2,3,4},KHP!W112,KHP!AA112,KHP!AE112,KHP!AI112)))</f>
        <v>0</v>
      </c>
      <c r="H112">
        <f>SUMPRODUCT((MONTH(CHOOSE({1,2,3,4},KHP!T112,KHP!X112,KHP!AB112,KHP!AF112))=8)*(CHOOSE({1,2,3,4},KHP!W112,KHP!AA112,KHP!AE112,KHP!AI112)))</f>
        <v>0</v>
      </c>
      <c r="I112">
        <f>SUMPRODUCT((MONTH(CHOOSE({1,2,3,4},KHP!T112,KHP!X112,KHP!AB112,KHP!AF112))=9)*(CHOOSE({1,2,3,4},KHP!W112,KHP!AA112,KHP!AE112,KHP!AI112)))</f>
        <v>0</v>
      </c>
      <c r="J112">
        <f>SUMPRODUCT((MONTH(CHOOSE({1,2,3,4},KHP!T112,KHP!X112,KHP!AB112,KHP!AF112))=10)*(CHOOSE({1,2,3,4},KHP!W112,KHP!AA112,KHP!AE112,KHP!AI112)))</f>
        <v>0</v>
      </c>
      <c r="K112">
        <f>SUMPRODUCT((MONTH(CHOOSE({1,2,3,4},KHP!T112,KHP!X112,KHP!AB112,KHP!AF112))=11)*(CHOOSE({1,2,3,4},KHP!W112,KHP!AA112,KHP!AE112,KHP!AI112)))</f>
        <v>0</v>
      </c>
      <c r="L112">
        <f>SUMPRODUCT((MONTH(CHOOSE({1,2,3,4},KHP!T112,KHP!X112,KHP!AB112,KHP!AF112))=12)*(CHOOSE({1,2,3,4},KHP!W112,KHP!AA112,KHP!AE112,KHP!AI112)))</f>
        <v>0</v>
      </c>
    </row>
    <row r="113" spans="1:12">
      <c r="A113">
        <f>SUMPRODUCT((MONTH(CHOOSE({1,2,3,4},KHP!T113,KHP!X113,KHP!AB113,KHP!AF113))=1)*(CHOOSE({1,2,3,4},KHP!W113,KHP!AA113,KHP!AE113,KHP!AI113)))</f>
        <v>0</v>
      </c>
      <c r="B113">
        <f>SUMPRODUCT((MONTH(CHOOSE({1,2,3,4},KHP!T113,KHP!X113,KHP!AB113,KHP!AF113))=2)*(CHOOSE({1,2,3,4},KHP!W113,KHP!AA113,KHP!AE113,KHP!AI113)))</f>
        <v>0</v>
      </c>
      <c r="C113">
        <f>SUMPRODUCT((MONTH(CHOOSE({1,2,3,4},KHP!T113,KHP!X113,KHP!AB113,KHP!AF113))=3)*(CHOOSE({1,2,3,4},KHP!W113,KHP!AA113,KHP!AE113,KHP!AI113)))</f>
        <v>0</v>
      </c>
      <c r="D113">
        <f>SUMPRODUCT((MONTH(CHOOSE({1,2,3,4},KHP!T113,KHP!X113,KHP!AB113,KHP!AF113))=4)*(CHOOSE({1,2,3,4},KHP!W113,KHP!AA113,KHP!AE113,KHP!AI113)))</f>
        <v>0</v>
      </c>
      <c r="E113">
        <f>SUMPRODUCT((MONTH(CHOOSE({1,2,3,4},KHP!T113,KHP!X113,KHP!AB113,KHP!AF113))=5)*(CHOOSE({1,2,3,4},KHP!W113,KHP!AA113,KHP!AE113,KHP!AI113)))</f>
        <v>0</v>
      </c>
      <c r="F113">
        <f>SUMPRODUCT((MONTH(CHOOSE({1,2,3,4},KHP!T113,KHP!X113,KHP!AB113,KHP!AF113))=6)*(CHOOSE({1,2,3,4},KHP!W113,KHP!AA113,KHP!AE113,KHP!AI113)))</f>
        <v>0</v>
      </c>
      <c r="G113">
        <f>SUMPRODUCT((MONTH(CHOOSE({1,2,3,4},KHP!T113,KHP!X113,KHP!AB113,KHP!AF113))=7)*(CHOOSE({1,2,3,4},KHP!W113,KHP!AA113,KHP!AE113,KHP!AI113)))</f>
        <v>0</v>
      </c>
      <c r="H113">
        <f>SUMPRODUCT((MONTH(CHOOSE({1,2,3,4},KHP!T113,KHP!X113,KHP!AB113,KHP!AF113))=8)*(CHOOSE({1,2,3,4},KHP!W113,KHP!AA113,KHP!AE113,KHP!AI113)))</f>
        <v>0</v>
      </c>
      <c r="I113">
        <f>SUMPRODUCT((MONTH(CHOOSE({1,2,3,4},KHP!T113,KHP!X113,KHP!AB113,KHP!AF113))=9)*(CHOOSE({1,2,3,4},KHP!W113,KHP!AA113,KHP!AE113,KHP!AI113)))</f>
        <v>0</v>
      </c>
      <c r="J113">
        <f>SUMPRODUCT((MONTH(CHOOSE({1,2,3,4},KHP!T113,KHP!X113,KHP!AB113,KHP!AF113))=10)*(CHOOSE({1,2,3,4},KHP!W113,KHP!AA113,KHP!AE113,KHP!AI113)))</f>
        <v>0</v>
      </c>
      <c r="K113">
        <f>SUMPRODUCT((MONTH(CHOOSE({1,2,3,4},KHP!T113,KHP!X113,KHP!AB113,KHP!AF113))=11)*(CHOOSE({1,2,3,4},KHP!W113,KHP!AA113,KHP!AE113,KHP!AI113)))</f>
        <v>0</v>
      </c>
      <c r="L113">
        <f>SUMPRODUCT((MONTH(CHOOSE({1,2,3,4},KHP!T113,KHP!X113,KHP!AB113,KHP!AF113))=12)*(CHOOSE({1,2,3,4},KHP!W113,KHP!AA113,KHP!AE113,KHP!AI113)))</f>
        <v>0</v>
      </c>
    </row>
    <row r="114" spans="1:12">
      <c r="A114">
        <f>SUMPRODUCT((MONTH(CHOOSE({1,2,3,4},KHP!T114,KHP!X114,KHP!AB114,KHP!AF114))=1)*(CHOOSE({1,2,3,4},KHP!W114,KHP!AA114,KHP!AE114,KHP!AI114)))</f>
        <v>0</v>
      </c>
      <c r="B114">
        <f>SUMPRODUCT((MONTH(CHOOSE({1,2,3,4},KHP!T114,KHP!X114,KHP!AB114,KHP!AF114))=2)*(CHOOSE({1,2,3,4},KHP!W114,KHP!AA114,KHP!AE114,KHP!AI114)))</f>
        <v>0</v>
      </c>
      <c r="C114">
        <f>SUMPRODUCT((MONTH(CHOOSE({1,2,3,4},KHP!T114,KHP!X114,KHP!AB114,KHP!AF114))=3)*(CHOOSE({1,2,3,4},KHP!W114,KHP!AA114,KHP!AE114,KHP!AI114)))</f>
        <v>0</v>
      </c>
      <c r="D114">
        <f>SUMPRODUCT((MONTH(CHOOSE({1,2,3,4},KHP!T114,KHP!X114,KHP!AB114,KHP!AF114))=4)*(CHOOSE({1,2,3,4},KHP!W114,KHP!AA114,KHP!AE114,KHP!AI114)))</f>
        <v>0</v>
      </c>
      <c r="E114">
        <f>SUMPRODUCT((MONTH(CHOOSE({1,2,3,4},KHP!T114,KHP!X114,KHP!AB114,KHP!AF114))=5)*(CHOOSE({1,2,3,4},KHP!W114,KHP!AA114,KHP!AE114,KHP!AI114)))</f>
        <v>0</v>
      </c>
      <c r="F114">
        <f>SUMPRODUCT((MONTH(CHOOSE({1,2,3,4},KHP!T114,KHP!X114,KHP!AB114,KHP!AF114))=6)*(CHOOSE({1,2,3,4},KHP!W114,KHP!AA114,KHP!AE114,KHP!AI114)))</f>
        <v>0</v>
      </c>
      <c r="G114">
        <f>SUMPRODUCT((MONTH(CHOOSE({1,2,3,4},KHP!T114,KHP!X114,KHP!AB114,KHP!AF114))=7)*(CHOOSE({1,2,3,4},KHP!W114,KHP!AA114,KHP!AE114,KHP!AI114)))</f>
        <v>0</v>
      </c>
      <c r="H114">
        <f>SUMPRODUCT((MONTH(CHOOSE({1,2,3,4},KHP!T114,KHP!X114,KHP!AB114,KHP!AF114))=8)*(CHOOSE({1,2,3,4},KHP!W114,KHP!AA114,KHP!AE114,KHP!AI114)))</f>
        <v>0</v>
      </c>
      <c r="I114">
        <f>SUMPRODUCT((MONTH(CHOOSE({1,2,3,4},KHP!T114,KHP!X114,KHP!AB114,KHP!AF114))=9)*(CHOOSE({1,2,3,4},KHP!W114,KHP!AA114,KHP!AE114,KHP!AI114)))</f>
        <v>0</v>
      </c>
      <c r="J114">
        <f>SUMPRODUCT((MONTH(CHOOSE({1,2,3,4},KHP!T114,KHP!X114,KHP!AB114,KHP!AF114))=10)*(CHOOSE({1,2,3,4},KHP!W114,KHP!AA114,KHP!AE114,KHP!AI114)))</f>
        <v>0</v>
      </c>
      <c r="K114">
        <f>SUMPRODUCT((MONTH(CHOOSE({1,2,3,4},KHP!T114,KHP!X114,KHP!AB114,KHP!AF114))=11)*(CHOOSE({1,2,3,4},KHP!W114,KHP!AA114,KHP!AE114,KHP!AI114)))</f>
        <v>0</v>
      </c>
      <c r="L114">
        <f>SUMPRODUCT((MONTH(CHOOSE({1,2,3,4},KHP!T114,KHP!X114,KHP!AB114,KHP!AF114))=12)*(CHOOSE({1,2,3,4},KHP!W114,KHP!AA114,KHP!AE114,KHP!AI114)))</f>
        <v>0</v>
      </c>
    </row>
    <row r="115" spans="1:12">
      <c r="A115">
        <f>SUMPRODUCT((MONTH(CHOOSE({1,2,3,4},KHP!T115,KHP!X115,KHP!AB115,KHP!AF115))=1)*(CHOOSE({1,2,3,4},KHP!W115,KHP!AA115,KHP!AE115,KHP!AI115)))</f>
        <v>0</v>
      </c>
      <c r="B115">
        <f>SUMPRODUCT((MONTH(CHOOSE({1,2,3,4},KHP!T115,KHP!X115,KHP!AB115,KHP!AF115))=2)*(CHOOSE({1,2,3,4},KHP!W115,KHP!AA115,KHP!AE115,KHP!AI115)))</f>
        <v>0</v>
      </c>
      <c r="C115">
        <f>SUMPRODUCT((MONTH(CHOOSE({1,2,3,4},KHP!T115,KHP!X115,KHP!AB115,KHP!AF115))=3)*(CHOOSE({1,2,3,4},KHP!W115,KHP!AA115,KHP!AE115,KHP!AI115)))</f>
        <v>0</v>
      </c>
      <c r="D115">
        <f>SUMPRODUCT((MONTH(CHOOSE({1,2,3,4},KHP!T115,KHP!X115,KHP!AB115,KHP!AF115))=4)*(CHOOSE({1,2,3,4},KHP!W115,KHP!AA115,KHP!AE115,KHP!AI115)))</f>
        <v>0</v>
      </c>
      <c r="E115">
        <f>SUMPRODUCT((MONTH(CHOOSE({1,2,3,4},KHP!T115,KHP!X115,KHP!AB115,KHP!AF115))=5)*(CHOOSE({1,2,3,4},KHP!W115,KHP!AA115,KHP!AE115,KHP!AI115)))</f>
        <v>0</v>
      </c>
      <c r="F115">
        <f>SUMPRODUCT((MONTH(CHOOSE({1,2,3,4},KHP!T115,KHP!X115,KHP!AB115,KHP!AF115))=6)*(CHOOSE({1,2,3,4},KHP!W115,KHP!AA115,KHP!AE115,KHP!AI115)))</f>
        <v>0</v>
      </c>
      <c r="G115">
        <f>SUMPRODUCT((MONTH(CHOOSE({1,2,3,4},KHP!T115,KHP!X115,KHP!AB115,KHP!AF115))=7)*(CHOOSE({1,2,3,4},KHP!W115,KHP!AA115,KHP!AE115,KHP!AI115)))</f>
        <v>0</v>
      </c>
      <c r="H115">
        <f>SUMPRODUCT((MONTH(CHOOSE({1,2,3,4},KHP!T115,KHP!X115,KHP!AB115,KHP!AF115))=8)*(CHOOSE({1,2,3,4},KHP!W115,KHP!AA115,KHP!AE115,KHP!AI115)))</f>
        <v>0</v>
      </c>
      <c r="I115">
        <f>SUMPRODUCT((MONTH(CHOOSE({1,2,3,4},KHP!T115,KHP!X115,KHP!AB115,KHP!AF115))=9)*(CHOOSE({1,2,3,4},KHP!W115,KHP!AA115,KHP!AE115,KHP!AI115)))</f>
        <v>0</v>
      </c>
      <c r="J115">
        <f>SUMPRODUCT((MONTH(CHOOSE({1,2,3,4},KHP!T115,KHP!X115,KHP!AB115,KHP!AF115))=10)*(CHOOSE({1,2,3,4},KHP!W115,KHP!AA115,KHP!AE115,KHP!AI115)))</f>
        <v>0</v>
      </c>
      <c r="K115">
        <f>SUMPRODUCT((MONTH(CHOOSE({1,2,3,4},KHP!T115,KHP!X115,KHP!AB115,KHP!AF115))=11)*(CHOOSE({1,2,3,4},KHP!W115,KHP!AA115,KHP!AE115,KHP!AI115)))</f>
        <v>0</v>
      </c>
      <c r="L115">
        <f>SUMPRODUCT((MONTH(CHOOSE({1,2,3,4},KHP!T115,KHP!X115,KHP!AB115,KHP!AF115))=12)*(CHOOSE({1,2,3,4},KHP!W115,KHP!AA115,KHP!AE115,KHP!AI115)))</f>
        <v>0</v>
      </c>
    </row>
    <row r="116" spans="1:12">
      <c r="A116">
        <f>SUMPRODUCT((MONTH(CHOOSE({1,2,3,4},KHP!T116,KHP!X116,KHP!AB116,KHP!AF116))=1)*(CHOOSE({1,2,3,4},KHP!W116,KHP!AA116,KHP!AE116,KHP!AI116)))</f>
        <v>0</v>
      </c>
      <c r="B116">
        <f>SUMPRODUCT((MONTH(CHOOSE({1,2,3,4},KHP!T116,KHP!X116,KHP!AB116,KHP!AF116))=2)*(CHOOSE({1,2,3,4},KHP!W116,KHP!AA116,KHP!AE116,KHP!AI116)))</f>
        <v>0</v>
      </c>
      <c r="C116">
        <f>SUMPRODUCT((MONTH(CHOOSE({1,2,3,4},KHP!T116,KHP!X116,KHP!AB116,KHP!AF116))=3)*(CHOOSE({1,2,3,4},KHP!W116,KHP!AA116,KHP!AE116,KHP!AI116)))</f>
        <v>0</v>
      </c>
      <c r="D116">
        <f>SUMPRODUCT((MONTH(CHOOSE({1,2,3,4},KHP!T116,KHP!X116,KHP!AB116,KHP!AF116))=4)*(CHOOSE({1,2,3,4},KHP!W116,KHP!AA116,KHP!AE116,KHP!AI116)))</f>
        <v>0</v>
      </c>
      <c r="E116">
        <f>SUMPRODUCT((MONTH(CHOOSE({1,2,3,4},KHP!T116,KHP!X116,KHP!AB116,KHP!AF116))=5)*(CHOOSE({1,2,3,4},KHP!W116,KHP!AA116,KHP!AE116,KHP!AI116)))</f>
        <v>0</v>
      </c>
      <c r="F116">
        <f>SUMPRODUCT((MONTH(CHOOSE({1,2,3,4},KHP!T116,KHP!X116,KHP!AB116,KHP!AF116))=6)*(CHOOSE({1,2,3,4},KHP!W116,KHP!AA116,KHP!AE116,KHP!AI116)))</f>
        <v>0</v>
      </c>
      <c r="G116">
        <f>SUMPRODUCT((MONTH(CHOOSE({1,2,3,4},KHP!T116,KHP!X116,KHP!AB116,KHP!AF116))=7)*(CHOOSE({1,2,3,4},KHP!W116,KHP!AA116,KHP!AE116,KHP!AI116)))</f>
        <v>0</v>
      </c>
      <c r="H116">
        <f>SUMPRODUCT((MONTH(CHOOSE({1,2,3,4},KHP!T116,KHP!X116,KHP!AB116,KHP!AF116))=8)*(CHOOSE({1,2,3,4},KHP!W116,KHP!AA116,KHP!AE116,KHP!AI116)))</f>
        <v>0</v>
      </c>
      <c r="I116">
        <f>SUMPRODUCT((MONTH(CHOOSE({1,2,3,4},KHP!T116,KHP!X116,KHP!AB116,KHP!AF116))=9)*(CHOOSE({1,2,3,4},KHP!W116,KHP!AA116,KHP!AE116,KHP!AI116)))</f>
        <v>0</v>
      </c>
      <c r="J116">
        <f>SUMPRODUCT((MONTH(CHOOSE({1,2,3,4},KHP!T116,KHP!X116,KHP!AB116,KHP!AF116))=10)*(CHOOSE({1,2,3,4},KHP!W116,KHP!AA116,KHP!AE116,KHP!AI116)))</f>
        <v>0</v>
      </c>
      <c r="K116">
        <f>SUMPRODUCT((MONTH(CHOOSE({1,2,3,4},KHP!T116,KHP!X116,KHP!AB116,KHP!AF116))=11)*(CHOOSE({1,2,3,4},KHP!W116,KHP!AA116,KHP!AE116,KHP!AI116)))</f>
        <v>0</v>
      </c>
      <c r="L116">
        <f>SUMPRODUCT((MONTH(CHOOSE({1,2,3,4},KHP!T116,KHP!X116,KHP!AB116,KHP!AF116))=12)*(CHOOSE({1,2,3,4},KHP!W116,KHP!AA116,KHP!AE116,KHP!AI116)))</f>
        <v>0</v>
      </c>
    </row>
    <row r="117" spans="1:12">
      <c r="A117">
        <f>SUMPRODUCT((MONTH(CHOOSE({1,2,3,4},KHP!T117,KHP!X117,KHP!AB117,KHP!AF117))=1)*(CHOOSE({1,2,3,4},KHP!W117,KHP!AA117,KHP!AE117,KHP!AI117)))</f>
        <v>0</v>
      </c>
      <c r="B117">
        <f>SUMPRODUCT((MONTH(CHOOSE({1,2,3,4},KHP!T117,KHP!X117,KHP!AB117,KHP!AF117))=2)*(CHOOSE({1,2,3,4},KHP!W117,KHP!AA117,KHP!AE117,KHP!AI117)))</f>
        <v>0</v>
      </c>
      <c r="C117">
        <f>SUMPRODUCT((MONTH(CHOOSE({1,2,3,4},KHP!T117,KHP!X117,KHP!AB117,KHP!AF117))=3)*(CHOOSE({1,2,3,4},KHP!W117,KHP!AA117,KHP!AE117,KHP!AI117)))</f>
        <v>0</v>
      </c>
      <c r="D117">
        <f>SUMPRODUCT((MONTH(CHOOSE({1,2,3,4},KHP!T117,KHP!X117,KHP!AB117,KHP!AF117))=4)*(CHOOSE({1,2,3,4},KHP!W117,KHP!AA117,KHP!AE117,KHP!AI117)))</f>
        <v>0</v>
      </c>
      <c r="E117">
        <f>SUMPRODUCT((MONTH(CHOOSE({1,2,3,4},KHP!T117,KHP!X117,KHP!AB117,KHP!AF117))=5)*(CHOOSE({1,2,3,4},KHP!W117,KHP!AA117,KHP!AE117,KHP!AI117)))</f>
        <v>0</v>
      </c>
      <c r="F117">
        <f>SUMPRODUCT((MONTH(CHOOSE({1,2,3,4},KHP!T117,KHP!X117,KHP!AB117,KHP!AF117))=6)*(CHOOSE({1,2,3,4},KHP!W117,KHP!AA117,KHP!AE117,KHP!AI117)))</f>
        <v>0</v>
      </c>
      <c r="G117">
        <f>SUMPRODUCT((MONTH(CHOOSE({1,2,3,4},KHP!T117,KHP!X117,KHP!AB117,KHP!AF117))=7)*(CHOOSE({1,2,3,4},KHP!W117,KHP!AA117,KHP!AE117,KHP!AI117)))</f>
        <v>0</v>
      </c>
      <c r="H117">
        <f>SUMPRODUCT((MONTH(CHOOSE({1,2,3,4},KHP!T117,KHP!X117,KHP!AB117,KHP!AF117))=8)*(CHOOSE({1,2,3,4},KHP!W117,KHP!AA117,KHP!AE117,KHP!AI117)))</f>
        <v>0</v>
      </c>
      <c r="I117">
        <f>SUMPRODUCT((MONTH(CHOOSE({1,2,3,4},KHP!T117,KHP!X117,KHP!AB117,KHP!AF117))=9)*(CHOOSE({1,2,3,4},KHP!W117,KHP!AA117,KHP!AE117,KHP!AI117)))</f>
        <v>0</v>
      </c>
      <c r="J117">
        <f>SUMPRODUCT((MONTH(CHOOSE({1,2,3,4},KHP!T117,KHP!X117,KHP!AB117,KHP!AF117))=10)*(CHOOSE({1,2,3,4},KHP!W117,KHP!AA117,KHP!AE117,KHP!AI117)))</f>
        <v>0</v>
      </c>
      <c r="K117">
        <f>SUMPRODUCT((MONTH(CHOOSE({1,2,3,4},KHP!T117,KHP!X117,KHP!AB117,KHP!AF117))=11)*(CHOOSE({1,2,3,4},KHP!W117,KHP!AA117,KHP!AE117,KHP!AI117)))</f>
        <v>0</v>
      </c>
      <c r="L117">
        <f>SUMPRODUCT((MONTH(CHOOSE({1,2,3,4},KHP!T117,KHP!X117,KHP!AB117,KHP!AF117))=12)*(CHOOSE({1,2,3,4},KHP!W117,KHP!AA117,KHP!AE117,KHP!AI117)))</f>
        <v>0</v>
      </c>
    </row>
    <row r="118" spans="1:12">
      <c r="A118">
        <f>SUMPRODUCT((MONTH(CHOOSE({1,2,3,4},KHP!T118,KHP!X118,KHP!AB118,KHP!AF118))=1)*(CHOOSE({1,2,3,4},KHP!W118,KHP!AA118,KHP!AE118,KHP!AI118)))</f>
        <v>0</v>
      </c>
      <c r="B118">
        <f>SUMPRODUCT((MONTH(CHOOSE({1,2,3,4},KHP!T118,KHP!X118,KHP!AB118,KHP!AF118))=2)*(CHOOSE({1,2,3,4},KHP!W118,KHP!AA118,KHP!AE118,KHP!AI118)))</f>
        <v>0</v>
      </c>
      <c r="C118">
        <f>SUMPRODUCT((MONTH(CHOOSE({1,2,3,4},KHP!T118,KHP!X118,KHP!AB118,KHP!AF118))=3)*(CHOOSE({1,2,3,4},KHP!W118,KHP!AA118,KHP!AE118,KHP!AI118)))</f>
        <v>0</v>
      </c>
      <c r="D118">
        <f>SUMPRODUCT((MONTH(CHOOSE({1,2,3,4},KHP!T118,KHP!X118,KHP!AB118,KHP!AF118))=4)*(CHOOSE({1,2,3,4},KHP!W118,KHP!AA118,KHP!AE118,KHP!AI118)))</f>
        <v>0</v>
      </c>
      <c r="E118">
        <f>SUMPRODUCT((MONTH(CHOOSE({1,2,3,4},KHP!T118,KHP!X118,KHP!AB118,KHP!AF118))=5)*(CHOOSE({1,2,3,4},KHP!W118,KHP!AA118,KHP!AE118,KHP!AI118)))</f>
        <v>0</v>
      </c>
      <c r="F118">
        <f>SUMPRODUCT((MONTH(CHOOSE({1,2,3,4},KHP!T118,KHP!X118,KHP!AB118,KHP!AF118))=6)*(CHOOSE({1,2,3,4},KHP!W118,KHP!AA118,KHP!AE118,KHP!AI118)))</f>
        <v>0</v>
      </c>
      <c r="G118">
        <f>SUMPRODUCT((MONTH(CHOOSE({1,2,3,4},KHP!T118,KHP!X118,KHP!AB118,KHP!AF118))=7)*(CHOOSE({1,2,3,4},KHP!W118,KHP!AA118,KHP!AE118,KHP!AI118)))</f>
        <v>0</v>
      </c>
      <c r="H118">
        <f>SUMPRODUCT((MONTH(CHOOSE({1,2,3,4},KHP!T118,KHP!X118,KHP!AB118,KHP!AF118))=8)*(CHOOSE({1,2,3,4},KHP!W118,KHP!AA118,KHP!AE118,KHP!AI118)))</f>
        <v>0</v>
      </c>
      <c r="I118">
        <f>SUMPRODUCT((MONTH(CHOOSE({1,2,3,4},KHP!T118,KHP!X118,KHP!AB118,KHP!AF118))=9)*(CHOOSE({1,2,3,4},KHP!W118,KHP!AA118,KHP!AE118,KHP!AI118)))</f>
        <v>0</v>
      </c>
      <c r="J118">
        <f>SUMPRODUCT((MONTH(CHOOSE({1,2,3,4},KHP!T118,KHP!X118,KHP!AB118,KHP!AF118))=10)*(CHOOSE({1,2,3,4},KHP!W118,KHP!AA118,KHP!AE118,KHP!AI118)))</f>
        <v>0</v>
      </c>
      <c r="K118">
        <f>SUMPRODUCT((MONTH(CHOOSE({1,2,3,4},KHP!T118,KHP!X118,KHP!AB118,KHP!AF118))=11)*(CHOOSE({1,2,3,4},KHP!W118,KHP!AA118,KHP!AE118,KHP!AI118)))</f>
        <v>0</v>
      </c>
      <c r="L118">
        <f>SUMPRODUCT((MONTH(CHOOSE({1,2,3,4},KHP!T118,KHP!X118,KHP!AB118,KHP!AF118))=12)*(CHOOSE({1,2,3,4},KHP!W118,KHP!AA118,KHP!AE118,KHP!AI118)))</f>
        <v>0</v>
      </c>
    </row>
    <row r="119" spans="1:12">
      <c r="A119">
        <f>SUMPRODUCT((MONTH(CHOOSE({1,2,3,4},KHP!T119,KHP!X119,KHP!AB119,KHP!AF119))=1)*(CHOOSE({1,2,3,4},KHP!W119,KHP!AA119,KHP!AE119,KHP!AI119)))</f>
        <v>0</v>
      </c>
      <c r="B119">
        <f>SUMPRODUCT((MONTH(CHOOSE({1,2,3,4},KHP!T119,KHP!X119,KHP!AB119,KHP!AF119))=2)*(CHOOSE({1,2,3,4},KHP!W119,KHP!AA119,KHP!AE119,KHP!AI119)))</f>
        <v>0</v>
      </c>
      <c r="C119">
        <f>SUMPRODUCT((MONTH(CHOOSE({1,2,3,4},KHP!T119,KHP!X119,KHP!AB119,KHP!AF119))=3)*(CHOOSE({1,2,3,4},KHP!W119,KHP!AA119,KHP!AE119,KHP!AI119)))</f>
        <v>0</v>
      </c>
      <c r="D119">
        <f>SUMPRODUCT((MONTH(CHOOSE({1,2,3,4},KHP!T119,KHP!X119,KHP!AB119,KHP!AF119))=4)*(CHOOSE({1,2,3,4},KHP!W119,KHP!AA119,KHP!AE119,KHP!AI119)))</f>
        <v>0</v>
      </c>
      <c r="E119">
        <f>SUMPRODUCT((MONTH(CHOOSE({1,2,3,4},KHP!T119,KHP!X119,KHP!AB119,KHP!AF119))=5)*(CHOOSE({1,2,3,4},KHP!W119,KHP!AA119,KHP!AE119,KHP!AI119)))</f>
        <v>0</v>
      </c>
      <c r="F119">
        <f>SUMPRODUCT((MONTH(CHOOSE({1,2,3,4},KHP!T119,KHP!X119,KHP!AB119,KHP!AF119))=6)*(CHOOSE({1,2,3,4},KHP!W119,KHP!AA119,KHP!AE119,KHP!AI119)))</f>
        <v>0</v>
      </c>
      <c r="G119">
        <f>SUMPRODUCT((MONTH(CHOOSE({1,2,3,4},KHP!T119,KHP!X119,KHP!AB119,KHP!AF119))=7)*(CHOOSE({1,2,3,4},KHP!W119,KHP!AA119,KHP!AE119,KHP!AI119)))</f>
        <v>0</v>
      </c>
      <c r="H119">
        <f>SUMPRODUCT((MONTH(CHOOSE({1,2,3,4},KHP!T119,KHP!X119,KHP!AB119,KHP!AF119))=8)*(CHOOSE({1,2,3,4},KHP!W119,KHP!AA119,KHP!AE119,KHP!AI119)))</f>
        <v>0</v>
      </c>
      <c r="I119">
        <f>SUMPRODUCT((MONTH(CHOOSE({1,2,3,4},KHP!T119,KHP!X119,KHP!AB119,KHP!AF119))=9)*(CHOOSE({1,2,3,4},KHP!W119,KHP!AA119,KHP!AE119,KHP!AI119)))</f>
        <v>0</v>
      </c>
      <c r="J119">
        <f>SUMPRODUCT((MONTH(CHOOSE({1,2,3,4},KHP!T119,KHP!X119,KHP!AB119,KHP!AF119))=10)*(CHOOSE({1,2,3,4},KHP!W119,KHP!AA119,KHP!AE119,KHP!AI119)))</f>
        <v>0</v>
      </c>
      <c r="K119">
        <f>SUMPRODUCT((MONTH(CHOOSE({1,2,3,4},KHP!T119,KHP!X119,KHP!AB119,KHP!AF119))=11)*(CHOOSE({1,2,3,4},KHP!W119,KHP!AA119,KHP!AE119,KHP!AI119)))</f>
        <v>0</v>
      </c>
      <c r="L119">
        <f>SUMPRODUCT((MONTH(CHOOSE({1,2,3,4},KHP!T119,KHP!X119,KHP!AB119,KHP!AF119))=12)*(CHOOSE({1,2,3,4},KHP!W119,KHP!AA119,KHP!AE119,KHP!AI119)))</f>
        <v>0</v>
      </c>
    </row>
    <row r="120" spans="1:12">
      <c r="A120">
        <f>SUMPRODUCT((MONTH(CHOOSE({1,2,3,4},KHP!T120,KHP!X120,KHP!AB120,KHP!AF120))=1)*(CHOOSE({1,2,3,4},KHP!W120,KHP!AA120,KHP!AE120,KHP!AI120)))</f>
        <v>0</v>
      </c>
      <c r="B120">
        <f>SUMPRODUCT((MONTH(CHOOSE({1,2,3,4},KHP!T120,KHP!X120,KHP!AB120,KHP!AF120))=2)*(CHOOSE({1,2,3,4},KHP!W120,KHP!AA120,KHP!AE120,KHP!AI120)))</f>
        <v>0</v>
      </c>
      <c r="C120">
        <f>SUMPRODUCT((MONTH(CHOOSE({1,2,3,4},KHP!T120,KHP!X120,KHP!AB120,KHP!AF120))=3)*(CHOOSE({1,2,3,4},KHP!W120,KHP!AA120,KHP!AE120,KHP!AI120)))</f>
        <v>0</v>
      </c>
      <c r="D120">
        <f>SUMPRODUCT((MONTH(CHOOSE({1,2,3,4},KHP!T120,KHP!X120,KHP!AB120,KHP!AF120))=4)*(CHOOSE({1,2,3,4},KHP!W120,KHP!AA120,KHP!AE120,KHP!AI120)))</f>
        <v>0</v>
      </c>
      <c r="E120">
        <f>SUMPRODUCT((MONTH(CHOOSE({1,2,3,4},KHP!T120,KHP!X120,KHP!AB120,KHP!AF120))=5)*(CHOOSE({1,2,3,4},KHP!W120,KHP!AA120,KHP!AE120,KHP!AI120)))</f>
        <v>0</v>
      </c>
      <c r="F120">
        <f>SUMPRODUCT((MONTH(CHOOSE({1,2,3,4},KHP!T120,KHP!X120,KHP!AB120,KHP!AF120))=6)*(CHOOSE({1,2,3,4},KHP!W120,KHP!AA120,KHP!AE120,KHP!AI120)))</f>
        <v>0</v>
      </c>
      <c r="G120">
        <f>SUMPRODUCT((MONTH(CHOOSE({1,2,3,4},KHP!T120,KHP!X120,KHP!AB120,KHP!AF120))=7)*(CHOOSE({1,2,3,4},KHP!W120,KHP!AA120,KHP!AE120,KHP!AI120)))</f>
        <v>0</v>
      </c>
      <c r="H120">
        <f>SUMPRODUCT((MONTH(CHOOSE({1,2,3,4},KHP!T120,KHP!X120,KHP!AB120,KHP!AF120))=8)*(CHOOSE({1,2,3,4},KHP!W120,KHP!AA120,KHP!AE120,KHP!AI120)))</f>
        <v>0</v>
      </c>
      <c r="I120">
        <f>SUMPRODUCT((MONTH(CHOOSE({1,2,3,4},KHP!T120,KHP!X120,KHP!AB120,KHP!AF120))=9)*(CHOOSE({1,2,3,4},KHP!W120,KHP!AA120,KHP!AE120,KHP!AI120)))</f>
        <v>0</v>
      </c>
      <c r="J120">
        <f>SUMPRODUCT((MONTH(CHOOSE({1,2,3,4},KHP!T120,KHP!X120,KHP!AB120,KHP!AF120))=10)*(CHOOSE({1,2,3,4},KHP!W120,KHP!AA120,KHP!AE120,KHP!AI120)))</f>
        <v>0</v>
      </c>
      <c r="K120">
        <f>SUMPRODUCT((MONTH(CHOOSE({1,2,3,4},KHP!T120,KHP!X120,KHP!AB120,KHP!AF120))=11)*(CHOOSE({1,2,3,4},KHP!W120,KHP!AA120,KHP!AE120,KHP!AI120)))</f>
        <v>0</v>
      </c>
      <c r="L120">
        <f>SUMPRODUCT((MONTH(CHOOSE({1,2,3,4},KHP!T120,KHP!X120,KHP!AB120,KHP!AF120))=12)*(CHOOSE({1,2,3,4},KHP!W120,KHP!AA120,KHP!AE120,KHP!AI120)))</f>
        <v>0</v>
      </c>
    </row>
    <row r="121" spans="1:12">
      <c r="A121">
        <f>SUMPRODUCT((MONTH(CHOOSE({1,2,3,4},KHP!T121,KHP!X121,KHP!AB121,KHP!AF121))=1)*(CHOOSE({1,2,3,4},KHP!W121,KHP!AA121,KHP!AE121,KHP!AI121)))</f>
        <v>0</v>
      </c>
      <c r="B121">
        <f>SUMPRODUCT((MONTH(CHOOSE({1,2,3,4},KHP!T121,KHP!X121,KHP!AB121,KHP!AF121))=2)*(CHOOSE({1,2,3,4},KHP!W121,KHP!AA121,KHP!AE121,KHP!AI121)))</f>
        <v>0</v>
      </c>
      <c r="C121">
        <f>SUMPRODUCT((MONTH(CHOOSE({1,2,3,4},KHP!T121,KHP!X121,KHP!AB121,KHP!AF121))=3)*(CHOOSE({1,2,3,4},KHP!W121,KHP!AA121,KHP!AE121,KHP!AI121)))</f>
        <v>0</v>
      </c>
      <c r="D121">
        <f>SUMPRODUCT((MONTH(CHOOSE({1,2,3,4},KHP!T121,KHP!X121,KHP!AB121,KHP!AF121))=4)*(CHOOSE({1,2,3,4},KHP!W121,KHP!AA121,KHP!AE121,KHP!AI121)))</f>
        <v>0</v>
      </c>
      <c r="E121">
        <f>SUMPRODUCT((MONTH(CHOOSE({1,2,3,4},KHP!T121,KHP!X121,KHP!AB121,KHP!AF121))=5)*(CHOOSE({1,2,3,4},KHP!W121,KHP!AA121,KHP!AE121,KHP!AI121)))</f>
        <v>0</v>
      </c>
      <c r="F121">
        <f>SUMPRODUCT((MONTH(CHOOSE({1,2,3,4},KHP!T121,KHP!X121,KHP!AB121,KHP!AF121))=6)*(CHOOSE({1,2,3,4},KHP!W121,KHP!AA121,KHP!AE121,KHP!AI121)))</f>
        <v>0</v>
      </c>
      <c r="G121">
        <f>SUMPRODUCT((MONTH(CHOOSE({1,2,3,4},KHP!T121,KHP!X121,KHP!AB121,KHP!AF121))=7)*(CHOOSE({1,2,3,4},KHP!W121,KHP!AA121,KHP!AE121,KHP!AI121)))</f>
        <v>0</v>
      </c>
      <c r="H121">
        <f>SUMPRODUCT((MONTH(CHOOSE({1,2,3,4},KHP!T121,KHP!X121,KHP!AB121,KHP!AF121))=8)*(CHOOSE({1,2,3,4},KHP!W121,KHP!AA121,KHP!AE121,KHP!AI121)))</f>
        <v>0</v>
      </c>
      <c r="I121">
        <f>SUMPRODUCT((MONTH(CHOOSE({1,2,3,4},KHP!T121,KHP!X121,KHP!AB121,KHP!AF121))=9)*(CHOOSE({1,2,3,4},KHP!W121,KHP!AA121,KHP!AE121,KHP!AI121)))</f>
        <v>0</v>
      </c>
      <c r="J121">
        <f>SUMPRODUCT((MONTH(CHOOSE({1,2,3,4},KHP!T121,KHP!X121,KHP!AB121,KHP!AF121))=10)*(CHOOSE({1,2,3,4},KHP!W121,KHP!AA121,KHP!AE121,KHP!AI121)))</f>
        <v>0</v>
      </c>
      <c r="K121">
        <f>SUMPRODUCT((MONTH(CHOOSE({1,2,3,4},KHP!T121,KHP!X121,KHP!AB121,KHP!AF121))=11)*(CHOOSE({1,2,3,4},KHP!W121,KHP!AA121,KHP!AE121,KHP!AI121)))</f>
        <v>0</v>
      </c>
      <c r="L121">
        <f>SUMPRODUCT((MONTH(CHOOSE({1,2,3,4},KHP!T121,KHP!X121,KHP!AB121,KHP!AF121))=12)*(CHOOSE({1,2,3,4},KHP!W121,KHP!AA121,KHP!AE121,KHP!AI121)))</f>
        <v>0</v>
      </c>
    </row>
    <row r="122" spans="1:12">
      <c r="A122">
        <f>SUMPRODUCT((MONTH(CHOOSE({1,2,3,4},KHP!T122,KHP!X122,KHP!AB122,KHP!AF122))=1)*(CHOOSE({1,2,3,4},KHP!W122,KHP!AA122,KHP!AE122,KHP!AI122)))</f>
        <v>0</v>
      </c>
      <c r="B122">
        <f>SUMPRODUCT((MONTH(CHOOSE({1,2,3,4},KHP!T122,KHP!X122,KHP!AB122,KHP!AF122))=2)*(CHOOSE({1,2,3,4},KHP!W122,KHP!AA122,KHP!AE122,KHP!AI122)))</f>
        <v>0</v>
      </c>
      <c r="C122">
        <f>SUMPRODUCT((MONTH(CHOOSE({1,2,3,4},KHP!T122,KHP!X122,KHP!AB122,KHP!AF122))=3)*(CHOOSE({1,2,3,4},KHP!W122,KHP!AA122,KHP!AE122,KHP!AI122)))</f>
        <v>0</v>
      </c>
      <c r="D122">
        <f>SUMPRODUCT((MONTH(CHOOSE({1,2,3,4},KHP!T122,KHP!X122,KHP!AB122,KHP!AF122))=4)*(CHOOSE({1,2,3,4},KHP!W122,KHP!AA122,KHP!AE122,KHP!AI122)))</f>
        <v>0</v>
      </c>
      <c r="E122">
        <f>SUMPRODUCT((MONTH(CHOOSE({1,2,3,4},KHP!T122,KHP!X122,KHP!AB122,KHP!AF122))=5)*(CHOOSE({1,2,3,4},KHP!W122,KHP!AA122,KHP!AE122,KHP!AI122)))</f>
        <v>0</v>
      </c>
      <c r="F122">
        <f>SUMPRODUCT((MONTH(CHOOSE({1,2,3,4},KHP!T122,KHP!X122,KHP!AB122,KHP!AF122))=6)*(CHOOSE({1,2,3,4},KHP!W122,KHP!AA122,KHP!AE122,KHP!AI122)))</f>
        <v>0</v>
      </c>
      <c r="G122">
        <f>SUMPRODUCT((MONTH(CHOOSE({1,2,3,4},KHP!T122,KHP!X122,KHP!AB122,KHP!AF122))=7)*(CHOOSE({1,2,3,4},KHP!W122,KHP!AA122,KHP!AE122,KHP!AI122)))</f>
        <v>0</v>
      </c>
      <c r="H122">
        <f>SUMPRODUCT((MONTH(CHOOSE({1,2,3,4},KHP!T122,KHP!X122,KHP!AB122,KHP!AF122))=8)*(CHOOSE({1,2,3,4},KHP!W122,KHP!AA122,KHP!AE122,KHP!AI122)))</f>
        <v>0</v>
      </c>
      <c r="I122">
        <f>SUMPRODUCT((MONTH(CHOOSE({1,2,3,4},KHP!T122,KHP!X122,KHP!AB122,KHP!AF122))=9)*(CHOOSE({1,2,3,4},KHP!W122,KHP!AA122,KHP!AE122,KHP!AI122)))</f>
        <v>0</v>
      </c>
      <c r="J122">
        <f>SUMPRODUCT((MONTH(CHOOSE({1,2,3,4},KHP!T122,KHP!X122,KHP!AB122,KHP!AF122))=10)*(CHOOSE({1,2,3,4},KHP!W122,KHP!AA122,KHP!AE122,KHP!AI122)))</f>
        <v>0</v>
      </c>
      <c r="K122">
        <f>SUMPRODUCT((MONTH(CHOOSE({1,2,3,4},KHP!T122,KHP!X122,KHP!AB122,KHP!AF122))=11)*(CHOOSE({1,2,3,4},KHP!W122,KHP!AA122,KHP!AE122,KHP!AI122)))</f>
        <v>0</v>
      </c>
      <c r="L122">
        <f>SUMPRODUCT((MONTH(CHOOSE({1,2,3,4},KHP!T122,KHP!X122,KHP!AB122,KHP!AF122))=12)*(CHOOSE({1,2,3,4},KHP!W122,KHP!AA122,KHP!AE122,KHP!AI122)))</f>
        <v>0</v>
      </c>
    </row>
    <row r="123" spans="1:12">
      <c r="A123">
        <f>SUMPRODUCT((MONTH(CHOOSE({1,2,3,4},KHP!T123,KHP!X123,KHP!AB123,KHP!AF123))=1)*(CHOOSE({1,2,3,4},KHP!W123,KHP!AA123,KHP!AE123,KHP!AI123)))</f>
        <v>0</v>
      </c>
      <c r="B123">
        <f>SUMPRODUCT((MONTH(CHOOSE({1,2,3,4},KHP!T123,KHP!X123,KHP!AB123,KHP!AF123))=2)*(CHOOSE({1,2,3,4},KHP!W123,KHP!AA123,KHP!AE123,KHP!AI123)))</f>
        <v>0</v>
      </c>
      <c r="C123">
        <f>SUMPRODUCT((MONTH(CHOOSE({1,2,3,4},KHP!T123,KHP!X123,KHP!AB123,KHP!AF123))=3)*(CHOOSE({1,2,3,4},KHP!W123,KHP!AA123,KHP!AE123,KHP!AI123)))</f>
        <v>0</v>
      </c>
      <c r="D123">
        <f>SUMPRODUCT((MONTH(CHOOSE({1,2,3,4},KHP!T123,KHP!X123,KHP!AB123,KHP!AF123))=4)*(CHOOSE({1,2,3,4},KHP!W123,KHP!AA123,KHP!AE123,KHP!AI123)))</f>
        <v>0</v>
      </c>
      <c r="E123">
        <f>SUMPRODUCT((MONTH(CHOOSE({1,2,3,4},KHP!T123,KHP!X123,KHP!AB123,KHP!AF123))=5)*(CHOOSE({1,2,3,4},KHP!W123,KHP!AA123,KHP!AE123,KHP!AI123)))</f>
        <v>0</v>
      </c>
      <c r="F123">
        <f>SUMPRODUCT((MONTH(CHOOSE({1,2,3,4},KHP!T123,KHP!X123,KHP!AB123,KHP!AF123))=6)*(CHOOSE({1,2,3,4},KHP!W123,KHP!AA123,KHP!AE123,KHP!AI123)))</f>
        <v>0</v>
      </c>
      <c r="G123">
        <f>SUMPRODUCT((MONTH(CHOOSE({1,2,3,4},KHP!T123,KHP!X123,KHP!AB123,KHP!AF123))=7)*(CHOOSE({1,2,3,4},KHP!W123,KHP!AA123,KHP!AE123,KHP!AI123)))</f>
        <v>0</v>
      </c>
      <c r="H123">
        <f>SUMPRODUCT((MONTH(CHOOSE({1,2,3,4},KHP!T123,KHP!X123,KHP!AB123,KHP!AF123))=8)*(CHOOSE({1,2,3,4},KHP!W123,KHP!AA123,KHP!AE123,KHP!AI123)))</f>
        <v>0</v>
      </c>
      <c r="I123">
        <f>SUMPRODUCT((MONTH(CHOOSE({1,2,3,4},KHP!T123,KHP!X123,KHP!AB123,KHP!AF123))=9)*(CHOOSE({1,2,3,4},KHP!W123,KHP!AA123,KHP!AE123,KHP!AI123)))</f>
        <v>0</v>
      </c>
      <c r="J123">
        <f>SUMPRODUCT((MONTH(CHOOSE({1,2,3,4},KHP!T123,KHP!X123,KHP!AB123,KHP!AF123))=10)*(CHOOSE({1,2,3,4},KHP!W123,KHP!AA123,KHP!AE123,KHP!AI123)))</f>
        <v>0</v>
      </c>
      <c r="K123">
        <f>SUMPRODUCT((MONTH(CHOOSE({1,2,3,4},KHP!T123,KHP!X123,KHP!AB123,KHP!AF123))=11)*(CHOOSE({1,2,3,4},KHP!W123,KHP!AA123,KHP!AE123,KHP!AI123)))</f>
        <v>0</v>
      </c>
      <c r="L123">
        <f>SUMPRODUCT((MONTH(CHOOSE({1,2,3,4},KHP!T123,KHP!X123,KHP!AB123,KHP!AF123))=12)*(CHOOSE({1,2,3,4},KHP!W123,KHP!AA123,KHP!AE123,KHP!AI123)))</f>
        <v>0</v>
      </c>
    </row>
    <row r="124" spans="1:12">
      <c r="A124">
        <f>SUMPRODUCT((MONTH(CHOOSE({1,2,3,4},KHP!T124,KHP!X124,KHP!AB124,KHP!AF124))=1)*(CHOOSE({1,2,3,4},KHP!W124,KHP!AA124,KHP!AE124,KHP!AI124)))</f>
        <v>0</v>
      </c>
      <c r="B124">
        <f>SUMPRODUCT((MONTH(CHOOSE({1,2,3,4},KHP!T124,KHP!X124,KHP!AB124,KHP!AF124))=2)*(CHOOSE({1,2,3,4},KHP!W124,KHP!AA124,KHP!AE124,KHP!AI124)))</f>
        <v>0</v>
      </c>
      <c r="C124">
        <f>SUMPRODUCT((MONTH(CHOOSE({1,2,3,4},KHP!T124,KHP!X124,KHP!AB124,KHP!AF124))=3)*(CHOOSE({1,2,3,4},KHP!W124,KHP!AA124,KHP!AE124,KHP!AI124)))</f>
        <v>0</v>
      </c>
      <c r="D124">
        <f>SUMPRODUCT((MONTH(CHOOSE({1,2,3,4},KHP!T124,KHP!X124,KHP!AB124,KHP!AF124))=4)*(CHOOSE({1,2,3,4},KHP!W124,KHP!AA124,KHP!AE124,KHP!AI124)))</f>
        <v>0</v>
      </c>
      <c r="E124">
        <f>SUMPRODUCT((MONTH(CHOOSE({1,2,3,4},KHP!T124,KHP!X124,KHP!AB124,KHP!AF124))=5)*(CHOOSE({1,2,3,4},KHP!W124,KHP!AA124,KHP!AE124,KHP!AI124)))</f>
        <v>0</v>
      </c>
      <c r="F124">
        <f>SUMPRODUCT((MONTH(CHOOSE({1,2,3,4},KHP!T124,KHP!X124,KHP!AB124,KHP!AF124))=6)*(CHOOSE({1,2,3,4},KHP!W124,KHP!AA124,KHP!AE124,KHP!AI124)))</f>
        <v>0</v>
      </c>
      <c r="G124">
        <f>SUMPRODUCT((MONTH(CHOOSE({1,2,3,4},KHP!T124,KHP!X124,KHP!AB124,KHP!AF124))=7)*(CHOOSE({1,2,3,4},KHP!W124,KHP!AA124,KHP!AE124,KHP!AI124)))</f>
        <v>0</v>
      </c>
      <c r="H124">
        <f>SUMPRODUCT((MONTH(CHOOSE({1,2,3,4},KHP!T124,KHP!X124,KHP!AB124,KHP!AF124))=8)*(CHOOSE({1,2,3,4},KHP!W124,KHP!AA124,KHP!AE124,KHP!AI124)))</f>
        <v>0</v>
      </c>
      <c r="I124">
        <f>SUMPRODUCT((MONTH(CHOOSE({1,2,3,4},KHP!T124,KHP!X124,KHP!AB124,KHP!AF124))=9)*(CHOOSE({1,2,3,4},KHP!W124,KHP!AA124,KHP!AE124,KHP!AI124)))</f>
        <v>0</v>
      </c>
      <c r="J124">
        <f>SUMPRODUCT((MONTH(CHOOSE({1,2,3,4},KHP!T124,KHP!X124,KHP!AB124,KHP!AF124))=10)*(CHOOSE({1,2,3,4},KHP!W124,KHP!AA124,KHP!AE124,KHP!AI124)))</f>
        <v>0</v>
      </c>
      <c r="K124">
        <f>SUMPRODUCT((MONTH(CHOOSE({1,2,3,4},KHP!T124,KHP!X124,KHP!AB124,KHP!AF124))=11)*(CHOOSE({1,2,3,4},KHP!W124,KHP!AA124,KHP!AE124,KHP!AI124)))</f>
        <v>0</v>
      </c>
      <c r="L124">
        <f>SUMPRODUCT((MONTH(CHOOSE({1,2,3,4},KHP!T124,KHP!X124,KHP!AB124,KHP!AF124))=12)*(CHOOSE({1,2,3,4},KHP!W124,KHP!AA124,KHP!AE124,KHP!AI124)))</f>
        <v>0</v>
      </c>
    </row>
    <row r="125" spans="1:12">
      <c r="A125">
        <f>SUMPRODUCT((MONTH(CHOOSE({1,2,3,4},KHP!T125,KHP!X125,KHP!AB125,KHP!AF125))=1)*(CHOOSE({1,2,3,4},KHP!W125,KHP!AA125,KHP!AE125,KHP!AI125)))</f>
        <v>0</v>
      </c>
      <c r="B125">
        <f>SUMPRODUCT((MONTH(CHOOSE({1,2,3,4},KHP!T125,KHP!X125,KHP!AB125,KHP!AF125))=2)*(CHOOSE({1,2,3,4},KHP!W125,KHP!AA125,KHP!AE125,KHP!AI125)))</f>
        <v>0</v>
      </c>
      <c r="C125">
        <f>SUMPRODUCT((MONTH(CHOOSE({1,2,3,4},KHP!T125,KHP!X125,KHP!AB125,KHP!AF125))=3)*(CHOOSE({1,2,3,4},KHP!W125,KHP!AA125,KHP!AE125,KHP!AI125)))</f>
        <v>0</v>
      </c>
      <c r="D125">
        <f>SUMPRODUCT((MONTH(CHOOSE({1,2,3,4},KHP!T125,KHP!X125,KHP!AB125,KHP!AF125))=4)*(CHOOSE({1,2,3,4},KHP!W125,KHP!AA125,KHP!AE125,KHP!AI125)))</f>
        <v>0</v>
      </c>
      <c r="E125">
        <f>SUMPRODUCT((MONTH(CHOOSE({1,2,3,4},KHP!T125,KHP!X125,KHP!AB125,KHP!AF125))=5)*(CHOOSE({1,2,3,4},KHP!W125,KHP!AA125,KHP!AE125,KHP!AI125)))</f>
        <v>0</v>
      </c>
      <c r="F125">
        <f>SUMPRODUCT((MONTH(CHOOSE({1,2,3,4},KHP!T125,KHP!X125,KHP!AB125,KHP!AF125))=6)*(CHOOSE({1,2,3,4},KHP!W125,KHP!AA125,KHP!AE125,KHP!AI125)))</f>
        <v>0</v>
      </c>
      <c r="G125">
        <f>SUMPRODUCT((MONTH(CHOOSE({1,2,3,4},KHP!T125,KHP!X125,KHP!AB125,KHP!AF125))=7)*(CHOOSE({1,2,3,4},KHP!W125,KHP!AA125,KHP!AE125,KHP!AI125)))</f>
        <v>0</v>
      </c>
      <c r="H125">
        <f>SUMPRODUCT((MONTH(CHOOSE({1,2,3,4},KHP!T125,KHP!X125,KHP!AB125,KHP!AF125))=8)*(CHOOSE({1,2,3,4},KHP!W125,KHP!AA125,KHP!AE125,KHP!AI125)))</f>
        <v>0</v>
      </c>
      <c r="I125">
        <f>SUMPRODUCT((MONTH(CHOOSE({1,2,3,4},KHP!T125,KHP!X125,KHP!AB125,KHP!AF125))=9)*(CHOOSE({1,2,3,4},KHP!W125,KHP!AA125,KHP!AE125,KHP!AI125)))</f>
        <v>0</v>
      </c>
      <c r="J125">
        <f>SUMPRODUCT((MONTH(CHOOSE({1,2,3,4},KHP!T125,KHP!X125,KHP!AB125,KHP!AF125))=10)*(CHOOSE({1,2,3,4},KHP!W125,KHP!AA125,KHP!AE125,KHP!AI125)))</f>
        <v>0</v>
      </c>
      <c r="K125">
        <f>SUMPRODUCT((MONTH(CHOOSE({1,2,3,4},KHP!T125,KHP!X125,KHP!AB125,KHP!AF125))=11)*(CHOOSE({1,2,3,4},KHP!W125,KHP!AA125,KHP!AE125,KHP!AI125)))</f>
        <v>0</v>
      </c>
      <c r="L125">
        <f>SUMPRODUCT((MONTH(CHOOSE({1,2,3,4},KHP!T125,KHP!X125,KHP!AB125,KHP!AF125))=12)*(CHOOSE({1,2,3,4},KHP!W125,KHP!AA125,KHP!AE125,KHP!AI125)))</f>
        <v>0</v>
      </c>
    </row>
    <row r="126" spans="1:12">
      <c r="A126">
        <f>SUMPRODUCT((MONTH(CHOOSE({1,2,3,4},KHP!T126,KHP!X126,KHP!AB126,KHP!AF126))=1)*(CHOOSE({1,2,3,4},KHP!W126,KHP!AA126,KHP!AE126,KHP!AI126)))</f>
        <v>0</v>
      </c>
      <c r="B126">
        <f>SUMPRODUCT((MONTH(CHOOSE({1,2,3,4},KHP!T126,KHP!X126,KHP!AB126,KHP!AF126))=2)*(CHOOSE({1,2,3,4},KHP!W126,KHP!AA126,KHP!AE126,KHP!AI126)))</f>
        <v>0</v>
      </c>
      <c r="C126">
        <f>SUMPRODUCT((MONTH(CHOOSE({1,2,3,4},KHP!T126,KHP!X126,KHP!AB126,KHP!AF126))=3)*(CHOOSE({1,2,3,4},KHP!W126,KHP!AA126,KHP!AE126,KHP!AI126)))</f>
        <v>0</v>
      </c>
      <c r="D126">
        <f>SUMPRODUCT((MONTH(CHOOSE({1,2,3,4},KHP!T126,KHP!X126,KHP!AB126,KHP!AF126))=4)*(CHOOSE({1,2,3,4},KHP!W126,KHP!AA126,KHP!AE126,KHP!AI126)))</f>
        <v>0</v>
      </c>
      <c r="E126">
        <f>SUMPRODUCT((MONTH(CHOOSE({1,2,3,4},KHP!T126,KHP!X126,KHP!AB126,KHP!AF126))=5)*(CHOOSE({1,2,3,4},KHP!W126,KHP!AA126,KHP!AE126,KHP!AI126)))</f>
        <v>0</v>
      </c>
      <c r="F126">
        <f>SUMPRODUCT((MONTH(CHOOSE({1,2,3,4},KHP!T126,KHP!X126,KHP!AB126,KHP!AF126))=6)*(CHOOSE({1,2,3,4},KHP!W126,KHP!AA126,KHP!AE126,KHP!AI126)))</f>
        <v>0</v>
      </c>
      <c r="G126">
        <f>SUMPRODUCT((MONTH(CHOOSE({1,2,3,4},KHP!T126,KHP!X126,KHP!AB126,KHP!AF126))=7)*(CHOOSE({1,2,3,4},KHP!W126,KHP!AA126,KHP!AE126,KHP!AI126)))</f>
        <v>0</v>
      </c>
      <c r="H126">
        <f>SUMPRODUCT((MONTH(CHOOSE({1,2,3,4},KHP!T126,KHP!X126,KHP!AB126,KHP!AF126))=8)*(CHOOSE({1,2,3,4},KHP!W126,KHP!AA126,KHP!AE126,KHP!AI126)))</f>
        <v>0</v>
      </c>
      <c r="I126">
        <f>SUMPRODUCT((MONTH(CHOOSE({1,2,3,4},KHP!T126,KHP!X126,KHP!AB126,KHP!AF126))=9)*(CHOOSE({1,2,3,4},KHP!W126,KHP!AA126,KHP!AE126,KHP!AI126)))</f>
        <v>0</v>
      </c>
      <c r="J126">
        <f>SUMPRODUCT((MONTH(CHOOSE({1,2,3,4},KHP!T126,KHP!X126,KHP!AB126,KHP!AF126))=10)*(CHOOSE({1,2,3,4},KHP!W126,KHP!AA126,KHP!AE126,KHP!AI126)))</f>
        <v>0</v>
      </c>
      <c r="K126">
        <f>SUMPRODUCT((MONTH(CHOOSE({1,2,3,4},KHP!T126,KHP!X126,KHP!AB126,KHP!AF126))=11)*(CHOOSE({1,2,3,4},KHP!W126,KHP!AA126,KHP!AE126,KHP!AI126)))</f>
        <v>0</v>
      </c>
      <c r="L126">
        <f>SUMPRODUCT((MONTH(CHOOSE({1,2,3,4},KHP!T126,KHP!X126,KHP!AB126,KHP!AF126))=12)*(CHOOSE({1,2,3,4},KHP!W126,KHP!AA126,KHP!AE126,KHP!AI126)))</f>
        <v>0</v>
      </c>
    </row>
    <row r="127" spans="1:12">
      <c r="A127">
        <f>SUMPRODUCT((MONTH(CHOOSE({1,2,3,4},KHP!T127,KHP!X127,KHP!AB127,KHP!AF127))=1)*(CHOOSE({1,2,3,4},KHP!W127,KHP!AA127,KHP!AE127,KHP!AI127)))</f>
        <v>0</v>
      </c>
      <c r="B127">
        <f>SUMPRODUCT((MONTH(CHOOSE({1,2,3,4},KHP!T127,KHP!X127,KHP!AB127,KHP!AF127))=2)*(CHOOSE({1,2,3,4},KHP!W127,KHP!AA127,KHP!AE127,KHP!AI127)))</f>
        <v>0</v>
      </c>
      <c r="C127">
        <f>SUMPRODUCT((MONTH(CHOOSE({1,2,3,4},KHP!T127,KHP!X127,KHP!AB127,KHP!AF127))=3)*(CHOOSE({1,2,3,4},KHP!W127,KHP!AA127,KHP!AE127,KHP!AI127)))</f>
        <v>0</v>
      </c>
      <c r="D127">
        <f>SUMPRODUCT((MONTH(CHOOSE({1,2,3,4},KHP!T127,KHP!X127,KHP!AB127,KHP!AF127))=4)*(CHOOSE({1,2,3,4},KHP!W127,KHP!AA127,KHP!AE127,KHP!AI127)))</f>
        <v>0</v>
      </c>
      <c r="E127">
        <f>SUMPRODUCT((MONTH(CHOOSE({1,2,3,4},KHP!T127,KHP!X127,KHP!AB127,KHP!AF127))=5)*(CHOOSE({1,2,3,4},KHP!W127,KHP!AA127,KHP!AE127,KHP!AI127)))</f>
        <v>0</v>
      </c>
      <c r="F127">
        <f>SUMPRODUCT((MONTH(CHOOSE({1,2,3,4},KHP!T127,KHP!X127,KHP!AB127,KHP!AF127))=6)*(CHOOSE({1,2,3,4},KHP!W127,KHP!AA127,KHP!AE127,KHP!AI127)))</f>
        <v>0</v>
      </c>
      <c r="G127">
        <f>SUMPRODUCT((MONTH(CHOOSE({1,2,3,4},KHP!T127,KHP!X127,KHP!AB127,KHP!AF127))=7)*(CHOOSE({1,2,3,4},KHP!W127,KHP!AA127,KHP!AE127,KHP!AI127)))</f>
        <v>0</v>
      </c>
      <c r="H127">
        <f>SUMPRODUCT((MONTH(CHOOSE({1,2,3,4},KHP!T127,KHP!X127,KHP!AB127,KHP!AF127))=8)*(CHOOSE({1,2,3,4},KHP!W127,KHP!AA127,KHP!AE127,KHP!AI127)))</f>
        <v>0</v>
      </c>
      <c r="I127">
        <f>SUMPRODUCT((MONTH(CHOOSE({1,2,3,4},KHP!T127,KHP!X127,KHP!AB127,KHP!AF127))=9)*(CHOOSE({1,2,3,4},KHP!W127,KHP!AA127,KHP!AE127,KHP!AI127)))</f>
        <v>0</v>
      </c>
      <c r="J127">
        <f>SUMPRODUCT((MONTH(CHOOSE({1,2,3,4},KHP!T127,KHP!X127,KHP!AB127,KHP!AF127))=10)*(CHOOSE({1,2,3,4},KHP!W127,KHP!AA127,KHP!AE127,KHP!AI127)))</f>
        <v>0</v>
      </c>
      <c r="K127">
        <f>SUMPRODUCT((MONTH(CHOOSE({1,2,3,4},KHP!T127,KHP!X127,KHP!AB127,KHP!AF127))=11)*(CHOOSE({1,2,3,4},KHP!W127,KHP!AA127,KHP!AE127,KHP!AI127)))</f>
        <v>0</v>
      </c>
      <c r="L127">
        <f>SUMPRODUCT((MONTH(CHOOSE({1,2,3,4},KHP!T127,KHP!X127,KHP!AB127,KHP!AF127))=12)*(CHOOSE({1,2,3,4},KHP!W127,KHP!AA127,KHP!AE127,KHP!AI127)))</f>
        <v>0</v>
      </c>
    </row>
    <row r="128" spans="1:12">
      <c r="A128">
        <f>SUMPRODUCT((MONTH(CHOOSE({1,2,3,4},KHP!T128,KHP!X128,KHP!AB128,KHP!AF128))=1)*(CHOOSE({1,2,3,4},KHP!W128,KHP!AA128,KHP!AE128,KHP!AI128)))</f>
        <v>0</v>
      </c>
      <c r="B128">
        <f>SUMPRODUCT((MONTH(CHOOSE({1,2,3,4},KHP!T128,KHP!X128,KHP!AB128,KHP!AF128))=2)*(CHOOSE({1,2,3,4},KHP!W128,KHP!AA128,KHP!AE128,KHP!AI128)))</f>
        <v>0</v>
      </c>
      <c r="C128">
        <f>SUMPRODUCT((MONTH(CHOOSE({1,2,3,4},KHP!T128,KHP!X128,KHP!AB128,KHP!AF128))=3)*(CHOOSE({1,2,3,4},KHP!W128,KHP!AA128,KHP!AE128,KHP!AI128)))</f>
        <v>0</v>
      </c>
      <c r="D128">
        <f>SUMPRODUCT((MONTH(CHOOSE({1,2,3,4},KHP!T128,KHP!X128,KHP!AB128,KHP!AF128))=4)*(CHOOSE({1,2,3,4},KHP!W128,KHP!AA128,KHP!AE128,KHP!AI128)))</f>
        <v>0</v>
      </c>
      <c r="E128">
        <f>SUMPRODUCT((MONTH(CHOOSE({1,2,3,4},KHP!T128,KHP!X128,KHP!AB128,KHP!AF128))=5)*(CHOOSE({1,2,3,4},KHP!W128,KHP!AA128,KHP!AE128,KHP!AI128)))</f>
        <v>0</v>
      </c>
      <c r="F128">
        <f>SUMPRODUCT((MONTH(CHOOSE({1,2,3,4},KHP!T128,KHP!X128,KHP!AB128,KHP!AF128))=6)*(CHOOSE({1,2,3,4},KHP!W128,KHP!AA128,KHP!AE128,KHP!AI128)))</f>
        <v>0</v>
      </c>
      <c r="G128">
        <f>SUMPRODUCT((MONTH(CHOOSE({1,2,3,4},KHP!T128,KHP!X128,KHP!AB128,KHP!AF128))=7)*(CHOOSE({1,2,3,4},KHP!W128,KHP!AA128,KHP!AE128,KHP!AI128)))</f>
        <v>0</v>
      </c>
      <c r="H128">
        <f>SUMPRODUCT((MONTH(CHOOSE({1,2,3,4},KHP!T128,KHP!X128,KHP!AB128,KHP!AF128))=8)*(CHOOSE({1,2,3,4},KHP!W128,KHP!AA128,KHP!AE128,KHP!AI128)))</f>
        <v>0</v>
      </c>
      <c r="I128">
        <f>SUMPRODUCT((MONTH(CHOOSE({1,2,3,4},KHP!T128,KHP!X128,KHP!AB128,KHP!AF128))=9)*(CHOOSE({1,2,3,4},KHP!W128,KHP!AA128,KHP!AE128,KHP!AI128)))</f>
        <v>0</v>
      </c>
      <c r="J128">
        <f>SUMPRODUCT((MONTH(CHOOSE({1,2,3,4},KHP!T128,KHP!X128,KHP!AB128,KHP!AF128))=10)*(CHOOSE({1,2,3,4},KHP!W128,KHP!AA128,KHP!AE128,KHP!AI128)))</f>
        <v>0</v>
      </c>
      <c r="K128">
        <f>SUMPRODUCT((MONTH(CHOOSE({1,2,3,4},KHP!T128,KHP!X128,KHP!AB128,KHP!AF128))=11)*(CHOOSE({1,2,3,4},KHP!W128,KHP!AA128,KHP!AE128,KHP!AI128)))</f>
        <v>0</v>
      </c>
      <c r="L128">
        <f>SUMPRODUCT((MONTH(CHOOSE({1,2,3,4},KHP!T128,KHP!X128,KHP!AB128,KHP!AF128))=12)*(CHOOSE({1,2,3,4},KHP!W128,KHP!AA128,KHP!AE128,KHP!AI128)))</f>
        <v>0</v>
      </c>
    </row>
    <row r="129" spans="1:12">
      <c r="A129">
        <f>SUMPRODUCT((MONTH(CHOOSE({1,2,3,4},KHP!T129,KHP!X129,KHP!AB129,KHP!AF129))=1)*(CHOOSE({1,2,3,4},KHP!W129,KHP!AA129,KHP!AE129,KHP!AI129)))</f>
        <v>0</v>
      </c>
      <c r="B129">
        <f>SUMPRODUCT((MONTH(CHOOSE({1,2,3,4},KHP!T129,KHP!X129,KHP!AB129,KHP!AF129))=2)*(CHOOSE({1,2,3,4},KHP!W129,KHP!AA129,KHP!AE129,KHP!AI129)))</f>
        <v>0</v>
      </c>
      <c r="C129">
        <f>SUMPRODUCT((MONTH(CHOOSE({1,2,3,4},KHP!T129,KHP!X129,KHP!AB129,KHP!AF129))=3)*(CHOOSE({1,2,3,4},KHP!W129,KHP!AA129,KHP!AE129,KHP!AI129)))</f>
        <v>0</v>
      </c>
      <c r="D129">
        <f>SUMPRODUCT((MONTH(CHOOSE({1,2,3,4},KHP!T129,KHP!X129,KHP!AB129,KHP!AF129))=4)*(CHOOSE({1,2,3,4},KHP!W129,KHP!AA129,KHP!AE129,KHP!AI129)))</f>
        <v>0</v>
      </c>
      <c r="E129">
        <f>SUMPRODUCT((MONTH(CHOOSE({1,2,3,4},KHP!T129,KHP!X129,KHP!AB129,KHP!AF129))=5)*(CHOOSE({1,2,3,4},KHP!W129,KHP!AA129,KHP!AE129,KHP!AI129)))</f>
        <v>0</v>
      </c>
      <c r="F129">
        <f>SUMPRODUCT((MONTH(CHOOSE({1,2,3,4},KHP!T129,KHP!X129,KHP!AB129,KHP!AF129))=6)*(CHOOSE({1,2,3,4},KHP!W129,KHP!AA129,KHP!AE129,KHP!AI129)))</f>
        <v>0</v>
      </c>
      <c r="G129">
        <f>SUMPRODUCT((MONTH(CHOOSE({1,2,3,4},KHP!T129,KHP!X129,KHP!AB129,KHP!AF129))=7)*(CHOOSE({1,2,3,4},KHP!W129,KHP!AA129,KHP!AE129,KHP!AI129)))</f>
        <v>0</v>
      </c>
      <c r="H129">
        <f>SUMPRODUCT((MONTH(CHOOSE({1,2,3,4},KHP!T129,KHP!X129,KHP!AB129,KHP!AF129))=8)*(CHOOSE({1,2,3,4},KHP!W129,KHP!AA129,KHP!AE129,KHP!AI129)))</f>
        <v>0</v>
      </c>
      <c r="I129">
        <f>SUMPRODUCT((MONTH(CHOOSE({1,2,3,4},KHP!T129,KHP!X129,KHP!AB129,KHP!AF129))=9)*(CHOOSE({1,2,3,4},KHP!W129,KHP!AA129,KHP!AE129,KHP!AI129)))</f>
        <v>0</v>
      </c>
      <c r="J129">
        <f>SUMPRODUCT((MONTH(CHOOSE({1,2,3,4},KHP!T129,KHP!X129,KHP!AB129,KHP!AF129))=10)*(CHOOSE({1,2,3,4},KHP!W129,KHP!AA129,KHP!AE129,KHP!AI129)))</f>
        <v>0</v>
      </c>
      <c r="K129">
        <f>SUMPRODUCT((MONTH(CHOOSE({1,2,3,4},KHP!T129,KHP!X129,KHP!AB129,KHP!AF129))=11)*(CHOOSE({1,2,3,4},KHP!W129,KHP!AA129,KHP!AE129,KHP!AI129)))</f>
        <v>0</v>
      </c>
      <c r="L129">
        <f>SUMPRODUCT((MONTH(CHOOSE({1,2,3,4},KHP!T129,KHP!X129,KHP!AB129,KHP!AF129))=12)*(CHOOSE({1,2,3,4},KHP!W129,KHP!AA129,KHP!AE129,KHP!AI129)))</f>
        <v>0</v>
      </c>
    </row>
    <row r="130" spans="1:12">
      <c r="A130">
        <f>SUMPRODUCT((MONTH(CHOOSE({1,2,3,4},KHP!T130,KHP!X130,KHP!AB130,KHP!AF130))=1)*(CHOOSE({1,2,3,4},KHP!W130,KHP!AA130,KHP!AE130,KHP!AI130)))</f>
        <v>0</v>
      </c>
      <c r="B130">
        <f>SUMPRODUCT((MONTH(CHOOSE({1,2,3,4},KHP!T130,KHP!X130,KHP!AB130,KHP!AF130))=2)*(CHOOSE({1,2,3,4},KHP!W130,KHP!AA130,KHP!AE130,KHP!AI130)))</f>
        <v>0</v>
      </c>
      <c r="C130">
        <f>SUMPRODUCT((MONTH(CHOOSE({1,2,3,4},KHP!T130,KHP!X130,KHP!AB130,KHP!AF130))=3)*(CHOOSE({1,2,3,4},KHP!W130,KHP!AA130,KHP!AE130,KHP!AI130)))</f>
        <v>0</v>
      </c>
      <c r="D130">
        <f>SUMPRODUCT((MONTH(CHOOSE({1,2,3,4},KHP!T130,KHP!X130,KHP!AB130,KHP!AF130))=4)*(CHOOSE({1,2,3,4},KHP!W130,KHP!AA130,KHP!AE130,KHP!AI130)))</f>
        <v>0</v>
      </c>
      <c r="E130">
        <f>SUMPRODUCT((MONTH(CHOOSE({1,2,3,4},KHP!T130,KHP!X130,KHP!AB130,KHP!AF130))=5)*(CHOOSE({1,2,3,4},KHP!W130,KHP!AA130,KHP!AE130,KHP!AI130)))</f>
        <v>0</v>
      </c>
      <c r="F130">
        <f>SUMPRODUCT((MONTH(CHOOSE({1,2,3,4},KHP!T130,KHP!X130,KHP!AB130,KHP!AF130))=6)*(CHOOSE({1,2,3,4},KHP!W130,KHP!AA130,KHP!AE130,KHP!AI130)))</f>
        <v>0</v>
      </c>
      <c r="G130">
        <f>SUMPRODUCT((MONTH(CHOOSE({1,2,3,4},KHP!T130,KHP!X130,KHP!AB130,KHP!AF130))=7)*(CHOOSE({1,2,3,4},KHP!W130,KHP!AA130,KHP!AE130,KHP!AI130)))</f>
        <v>0</v>
      </c>
      <c r="H130">
        <f>SUMPRODUCT((MONTH(CHOOSE({1,2,3,4},KHP!T130,KHP!X130,KHP!AB130,KHP!AF130))=8)*(CHOOSE({1,2,3,4},KHP!W130,KHP!AA130,KHP!AE130,KHP!AI130)))</f>
        <v>0</v>
      </c>
      <c r="I130">
        <f>SUMPRODUCT((MONTH(CHOOSE({1,2,3,4},KHP!T130,KHP!X130,KHP!AB130,KHP!AF130))=9)*(CHOOSE({1,2,3,4},KHP!W130,KHP!AA130,KHP!AE130,KHP!AI130)))</f>
        <v>0</v>
      </c>
      <c r="J130">
        <f>SUMPRODUCT((MONTH(CHOOSE({1,2,3,4},KHP!T130,KHP!X130,KHP!AB130,KHP!AF130))=10)*(CHOOSE({1,2,3,4},KHP!W130,KHP!AA130,KHP!AE130,KHP!AI130)))</f>
        <v>0</v>
      </c>
      <c r="K130">
        <f>SUMPRODUCT((MONTH(CHOOSE({1,2,3,4},KHP!T130,KHP!X130,KHP!AB130,KHP!AF130))=11)*(CHOOSE({1,2,3,4},KHP!W130,KHP!AA130,KHP!AE130,KHP!AI130)))</f>
        <v>0</v>
      </c>
      <c r="L130">
        <f>SUMPRODUCT((MONTH(CHOOSE({1,2,3,4},KHP!T130,KHP!X130,KHP!AB130,KHP!AF130))=12)*(CHOOSE({1,2,3,4},KHP!W130,KHP!AA130,KHP!AE130,KHP!AI130)))</f>
        <v>0</v>
      </c>
    </row>
    <row r="131" spans="1:12">
      <c r="A131">
        <f>SUMPRODUCT((MONTH(CHOOSE({1,2,3,4},KHP!T131,KHP!X131,KHP!AB131,KHP!AF131))=1)*(CHOOSE({1,2,3,4},KHP!W131,KHP!AA131,KHP!AE131,KHP!AI131)))</f>
        <v>0</v>
      </c>
      <c r="B131">
        <f>SUMPRODUCT((MONTH(CHOOSE({1,2,3,4},KHP!T131,KHP!X131,KHP!AB131,KHP!AF131))=2)*(CHOOSE({1,2,3,4},KHP!W131,KHP!AA131,KHP!AE131,KHP!AI131)))</f>
        <v>0</v>
      </c>
      <c r="C131">
        <f>SUMPRODUCT((MONTH(CHOOSE({1,2,3,4},KHP!T131,KHP!X131,KHP!AB131,KHP!AF131))=3)*(CHOOSE({1,2,3,4},KHP!W131,KHP!AA131,KHP!AE131,KHP!AI131)))</f>
        <v>0</v>
      </c>
      <c r="D131">
        <f>SUMPRODUCT((MONTH(CHOOSE({1,2,3,4},KHP!T131,KHP!X131,KHP!AB131,KHP!AF131))=4)*(CHOOSE({1,2,3,4},KHP!W131,KHP!AA131,KHP!AE131,KHP!AI131)))</f>
        <v>0</v>
      </c>
      <c r="E131">
        <f>SUMPRODUCT((MONTH(CHOOSE({1,2,3,4},KHP!T131,KHP!X131,KHP!AB131,KHP!AF131))=5)*(CHOOSE({1,2,3,4},KHP!W131,KHP!AA131,KHP!AE131,KHP!AI131)))</f>
        <v>0</v>
      </c>
      <c r="F131">
        <f>SUMPRODUCT((MONTH(CHOOSE({1,2,3,4},KHP!T131,KHP!X131,KHP!AB131,KHP!AF131))=6)*(CHOOSE({1,2,3,4},KHP!W131,KHP!AA131,KHP!AE131,KHP!AI131)))</f>
        <v>0</v>
      </c>
      <c r="G131">
        <f>SUMPRODUCT((MONTH(CHOOSE({1,2,3,4},KHP!T131,KHP!X131,KHP!AB131,KHP!AF131))=7)*(CHOOSE({1,2,3,4},KHP!W131,KHP!AA131,KHP!AE131,KHP!AI131)))</f>
        <v>0</v>
      </c>
      <c r="H131">
        <f>SUMPRODUCT((MONTH(CHOOSE({1,2,3,4},KHP!T131,KHP!X131,KHP!AB131,KHP!AF131))=8)*(CHOOSE({1,2,3,4},KHP!W131,KHP!AA131,KHP!AE131,KHP!AI131)))</f>
        <v>0</v>
      </c>
      <c r="I131">
        <f>SUMPRODUCT((MONTH(CHOOSE({1,2,3,4},KHP!T131,KHP!X131,KHP!AB131,KHP!AF131))=9)*(CHOOSE({1,2,3,4},KHP!W131,KHP!AA131,KHP!AE131,KHP!AI131)))</f>
        <v>0</v>
      </c>
      <c r="J131">
        <f>SUMPRODUCT((MONTH(CHOOSE({1,2,3,4},KHP!T131,KHP!X131,KHP!AB131,KHP!AF131))=10)*(CHOOSE({1,2,3,4},KHP!W131,KHP!AA131,KHP!AE131,KHP!AI131)))</f>
        <v>0</v>
      </c>
      <c r="K131">
        <f>SUMPRODUCT((MONTH(CHOOSE({1,2,3,4},KHP!T131,KHP!X131,KHP!AB131,KHP!AF131))=11)*(CHOOSE({1,2,3,4},KHP!W131,KHP!AA131,KHP!AE131,KHP!AI131)))</f>
        <v>0</v>
      </c>
      <c r="L131">
        <f>SUMPRODUCT((MONTH(CHOOSE({1,2,3,4},KHP!T131,KHP!X131,KHP!AB131,KHP!AF131))=12)*(CHOOSE({1,2,3,4},KHP!W131,KHP!AA131,KHP!AE131,KHP!AI131)))</f>
        <v>0</v>
      </c>
    </row>
    <row r="132" spans="1:12">
      <c r="A132">
        <f>SUMPRODUCT((MONTH(CHOOSE({1,2,3,4},KHP!T132,KHP!X132,KHP!AB132,KHP!AF132))=1)*(CHOOSE({1,2,3,4},KHP!W132,KHP!AA132,KHP!AE132,KHP!AI132)))</f>
        <v>0</v>
      </c>
      <c r="B132">
        <f>SUMPRODUCT((MONTH(CHOOSE({1,2,3,4},KHP!T132,KHP!X132,KHP!AB132,KHP!AF132))=2)*(CHOOSE({1,2,3,4},KHP!W132,KHP!AA132,KHP!AE132,KHP!AI132)))</f>
        <v>0</v>
      </c>
      <c r="C132">
        <f>SUMPRODUCT((MONTH(CHOOSE({1,2,3,4},KHP!T132,KHP!X132,KHP!AB132,KHP!AF132))=3)*(CHOOSE({1,2,3,4},KHP!W132,KHP!AA132,KHP!AE132,KHP!AI132)))</f>
        <v>0</v>
      </c>
      <c r="D132">
        <f>SUMPRODUCT((MONTH(CHOOSE({1,2,3,4},KHP!T132,KHP!X132,KHP!AB132,KHP!AF132))=4)*(CHOOSE({1,2,3,4},KHP!W132,KHP!AA132,KHP!AE132,KHP!AI132)))</f>
        <v>0</v>
      </c>
      <c r="E132">
        <f>SUMPRODUCT((MONTH(CHOOSE({1,2,3,4},KHP!T132,KHP!X132,KHP!AB132,KHP!AF132))=5)*(CHOOSE({1,2,3,4},KHP!W132,KHP!AA132,KHP!AE132,KHP!AI132)))</f>
        <v>0</v>
      </c>
      <c r="F132">
        <f>SUMPRODUCT((MONTH(CHOOSE({1,2,3,4},KHP!T132,KHP!X132,KHP!AB132,KHP!AF132))=6)*(CHOOSE({1,2,3,4},KHP!W132,KHP!AA132,KHP!AE132,KHP!AI132)))</f>
        <v>0</v>
      </c>
      <c r="G132">
        <f>SUMPRODUCT((MONTH(CHOOSE({1,2,3,4},KHP!T132,KHP!X132,KHP!AB132,KHP!AF132))=7)*(CHOOSE({1,2,3,4},KHP!W132,KHP!AA132,KHP!AE132,KHP!AI132)))</f>
        <v>0</v>
      </c>
      <c r="H132">
        <f>SUMPRODUCT((MONTH(CHOOSE({1,2,3,4},KHP!T132,KHP!X132,KHP!AB132,KHP!AF132))=8)*(CHOOSE({1,2,3,4},KHP!W132,KHP!AA132,KHP!AE132,KHP!AI132)))</f>
        <v>0</v>
      </c>
      <c r="I132">
        <f>SUMPRODUCT((MONTH(CHOOSE({1,2,3,4},KHP!T132,KHP!X132,KHP!AB132,KHP!AF132))=9)*(CHOOSE({1,2,3,4},KHP!W132,KHP!AA132,KHP!AE132,KHP!AI132)))</f>
        <v>0</v>
      </c>
      <c r="J132">
        <f>SUMPRODUCT((MONTH(CHOOSE({1,2,3,4},KHP!T132,KHP!X132,KHP!AB132,KHP!AF132))=10)*(CHOOSE({1,2,3,4},KHP!W132,KHP!AA132,KHP!AE132,KHP!AI132)))</f>
        <v>0</v>
      </c>
      <c r="K132">
        <f>SUMPRODUCT((MONTH(CHOOSE({1,2,3,4},KHP!T132,KHP!X132,KHP!AB132,KHP!AF132))=11)*(CHOOSE({1,2,3,4},KHP!W132,KHP!AA132,KHP!AE132,KHP!AI132)))</f>
        <v>0</v>
      </c>
      <c r="L132">
        <f>SUMPRODUCT((MONTH(CHOOSE({1,2,3,4},KHP!T132,KHP!X132,KHP!AB132,KHP!AF132))=12)*(CHOOSE({1,2,3,4},KHP!W132,KHP!AA132,KHP!AE132,KHP!AI132)))</f>
        <v>0</v>
      </c>
    </row>
    <row r="133" spans="1:12">
      <c r="A133">
        <f>SUMPRODUCT((MONTH(CHOOSE({1,2,3,4},KHP!T133,KHP!X133,KHP!AB133,KHP!AF133))=1)*(CHOOSE({1,2,3,4},KHP!W133,KHP!AA133,KHP!AE133,KHP!AI133)))</f>
        <v>0</v>
      </c>
      <c r="B133">
        <f>SUMPRODUCT((MONTH(CHOOSE({1,2,3,4},KHP!T133,KHP!X133,KHP!AB133,KHP!AF133))=2)*(CHOOSE({1,2,3,4},KHP!W133,KHP!AA133,KHP!AE133,KHP!AI133)))</f>
        <v>0</v>
      </c>
      <c r="C133">
        <f>SUMPRODUCT((MONTH(CHOOSE({1,2,3,4},KHP!T133,KHP!X133,KHP!AB133,KHP!AF133))=3)*(CHOOSE({1,2,3,4},KHP!W133,KHP!AA133,KHP!AE133,KHP!AI133)))</f>
        <v>0</v>
      </c>
      <c r="D133">
        <f>SUMPRODUCT((MONTH(CHOOSE({1,2,3,4},KHP!T133,KHP!X133,KHP!AB133,KHP!AF133))=4)*(CHOOSE({1,2,3,4},KHP!W133,KHP!AA133,KHP!AE133,KHP!AI133)))</f>
        <v>0</v>
      </c>
      <c r="E133">
        <f>SUMPRODUCT((MONTH(CHOOSE({1,2,3,4},KHP!T133,KHP!X133,KHP!AB133,KHP!AF133))=5)*(CHOOSE({1,2,3,4},KHP!W133,KHP!AA133,KHP!AE133,KHP!AI133)))</f>
        <v>0</v>
      </c>
      <c r="F133">
        <f>SUMPRODUCT((MONTH(CHOOSE({1,2,3,4},KHP!T133,KHP!X133,KHP!AB133,KHP!AF133))=6)*(CHOOSE({1,2,3,4},KHP!W133,KHP!AA133,KHP!AE133,KHP!AI133)))</f>
        <v>0</v>
      </c>
      <c r="G133">
        <f>SUMPRODUCT((MONTH(CHOOSE({1,2,3,4},KHP!T133,KHP!X133,KHP!AB133,KHP!AF133))=7)*(CHOOSE({1,2,3,4},KHP!W133,KHP!AA133,KHP!AE133,KHP!AI133)))</f>
        <v>0</v>
      </c>
      <c r="H133">
        <f>SUMPRODUCT((MONTH(CHOOSE({1,2,3,4},KHP!T133,KHP!X133,KHP!AB133,KHP!AF133))=8)*(CHOOSE({1,2,3,4},KHP!W133,KHP!AA133,KHP!AE133,KHP!AI133)))</f>
        <v>0</v>
      </c>
      <c r="I133">
        <f>SUMPRODUCT((MONTH(CHOOSE({1,2,3,4},KHP!T133,KHP!X133,KHP!AB133,KHP!AF133))=9)*(CHOOSE({1,2,3,4},KHP!W133,KHP!AA133,KHP!AE133,KHP!AI133)))</f>
        <v>0</v>
      </c>
      <c r="J133">
        <f>SUMPRODUCT((MONTH(CHOOSE({1,2,3,4},KHP!T133,KHP!X133,KHP!AB133,KHP!AF133))=10)*(CHOOSE({1,2,3,4},KHP!W133,KHP!AA133,KHP!AE133,KHP!AI133)))</f>
        <v>0</v>
      </c>
      <c r="K133">
        <f>SUMPRODUCT((MONTH(CHOOSE({1,2,3,4},KHP!T133,KHP!X133,KHP!AB133,KHP!AF133))=11)*(CHOOSE({1,2,3,4},KHP!W133,KHP!AA133,KHP!AE133,KHP!AI133)))</f>
        <v>0</v>
      </c>
      <c r="L133">
        <f>SUMPRODUCT((MONTH(CHOOSE({1,2,3,4},KHP!T133,KHP!X133,KHP!AB133,KHP!AF133))=12)*(CHOOSE({1,2,3,4},KHP!W133,KHP!AA133,KHP!AE133,KHP!AI133)))</f>
        <v>0</v>
      </c>
    </row>
    <row r="134" spans="1:12">
      <c r="A134">
        <f>SUMPRODUCT((MONTH(CHOOSE({1,2,3,4},KHP!T134,KHP!X134,KHP!AB134,KHP!AF134))=1)*(CHOOSE({1,2,3,4},KHP!W134,KHP!AA134,KHP!AE134,KHP!AI134)))</f>
        <v>0</v>
      </c>
      <c r="B134">
        <f>SUMPRODUCT((MONTH(CHOOSE({1,2,3,4},KHP!T134,KHP!X134,KHP!AB134,KHP!AF134))=2)*(CHOOSE({1,2,3,4},KHP!W134,KHP!AA134,KHP!AE134,KHP!AI134)))</f>
        <v>0</v>
      </c>
      <c r="C134">
        <f>SUMPRODUCT((MONTH(CHOOSE({1,2,3,4},KHP!T134,KHP!X134,KHP!AB134,KHP!AF134))=3)*(CHOOSE({1,2,3,4},KHP!W134,KHP!AA134,KHP!AE134,KHP!AI134)))</f>
        <v>0</v>
      </c>
      <c r="D134">
        <f>SUMPRODUCT((MONTH(CHOOSE({1,2,3,4},KHP!T134,KHP!X134,KHP!AB134,KHP!AF134))=4)*(CHOOSE({1,2,3,4},KHP!W134,KHP!AA134,KHP!AE134,KHP!AI134)))</f>
        <v>0</v>
      </c>
      <c r="E134">
        <f>SUMPRODUCT((MONTH(CHOOSE({1,2,3,4},KHP!T134,KHP!X134,KHP!AB134,KHP!AF134))=5)*(CHOOSE({1,2,3,4},KHP!W134,KHP!AA134,KHP!AE134,KHP!AI134)))</f>
        <v>0</v>
      </c>
      <c r="F134">
        <f>SUMPRODUCT((MONTH(CHOOSE({1,2,3,4},KHP!T134,KHP!X134,KHP!AB134,KHP!AF134))=6)*(CHOOSE({1,2,3,4},KHP!W134,KHP!AA134,KHP!AE134,KHP!AI134)))</f>
        <v>0</v>
      </c>
      <c r="G134">
        <f>SUMPRODUCT((MONTH(CHOOSE({1,2,3,4},KHP!T134,KHP!X134,KHP!AB134,KHP!AF134))=7)*(CHOOSE({1,2,3,4},KHP!W134,KHP!AA134,KHP!AE134,KHP!AI134)))</f>
        <v>0</v>
      </c>
      <c r="H134">
        <f>SUMPRODUCT((MONTH(CHOOSE({1,2,3,4},KHP!T134,KHP!X134,KHP!AB134,KHP!AF134))=8)*(CHOOSE({1,2,3,4},KHP!W134,KHP!AA134,KHP!AE134,KHP!AI134)))</f>
        <v>0</v>
      </c>
      <c r="I134">
        <f>SUMPRODUCT((MONTH(CHOOSE({1,2,3,4},KHP!T134,KHP!X134,KHP!AB134,KHP!AF134))=9)*(CHOOSE({1,2,3,4},KHP!W134,KHP!AA134,KHP!AE134,KHP!AI134)))</f>
        <v>0</v>
      </c>
      <c r="J134">
        <f>SUMPRODUCT((MONTH(CHOOSE({1,2,3,4},KHP!T134,KHP!X134,KHP!AB134,KHP!AF134))=10)*(CHOOSE({1,2,3,4},KHP!W134,KHP!AA134,KHP!AE134,KHP!AI134)))</f>
        <v>0</v>
      </c>
      <c r="K134">
        <f>SUMPRODUCT((MONTH(CHOOSE({1,2,3,4},KHP!T134,KHP!X134,KHP!AB134,KHP!AF134))=11)*(CHOOSE({1,2,3,4},KHP!W134,KHP!AA134,KHP!AE134,KHP!AI134)))</f>
        <v>0</v>
      </c>
      <c r="L134">
        <f>SUMPRODUCT((MONTH(CHOOSE({1,2,3,4},KHP!T134,KHP!X134,KHP!AB134,KHP!AF134))=12)*(CHOOSE({1,2,3,4},KHP!W134,KHP!AA134,KHP!AE134,KHP!AI134)))</f>
        <v>0</v>
      </c>
    </row>
    <row r="135" spans="1:12">
      <c r="A135">
        <f>SUMPRODUCT((MONTH(CHOOSE({1,2,3,4},KHP!T135,KHP!X135,KHP!AB135,KHP!AF135))=1)*(CHOOSE({1,2,3,4},KHP!W135,KHP!AA135,KHP!AE135,KHP!AI135)))</f>
        <v>0</v>
      </c>
      <c r="B135">
        <f>SUMPRODUCT((MONTH(CHOOSE({1,2,3,4},KHP!T135,KHP!X135,KHP!AB135,KHP!AF135))=2)*(CHOOSE({1,2,3,4},KHP!W135,KHP!AA135,KHP!AE135,KHP!AI135)))</f>
        <v>0</v>
      </c>
      <c r="C135">
        <f>SUMPRODUCT((MONTH(CHOOSE({1,2,3,4},KHP!T135,KHP!X135,KHP!AB135,KHP!AF135))=3)*(CHOOSE({1,2,3,4},KHP!W135,KHP!AA135,KHP!AE135,KHP!AI135)))</f>
        <v>0</v>
      </c>
      <c r="D135">
        <f>SUMPRODUCT((MONTH(CHOOSE({1,2,3,4},KHP!T135,KHP!X135,KHP!AB135,KHP!AF135))=4)*(CHOOSE({1,2,3,4},KHP!W135,KHP!AA135,KHP!AE135,KHP!AI135)))</f>
        <v>0</v>
      </c>
      <c r="E135">
        <f>SUMPRODUCT((MONTH(CHOOSE({1,2,3,4},KHP!T135,KHP!X135,KHP!AB135,KHP!AF135))=5)*(CHOOSE({1,2,3,4},KHP!W135,KHP!AA135,KHP!AE135,KHP!AI135)))</f>
        <v>0</v>
      </c>
      <c r="F135">
        <f>SUMPRODUCT((MONTH(CHOOSE({1,2,3,4},KHP!T135,KHP!X135,KHP!AB135,KHP!AF135))=6)*(CHOOSE({1,2,3,4},KHP!W135,KHP!AA135,KHP!AE135,KHP!AI135)))</f>
        <v>0</v>
      </c>
      <c r="G135">
        <f>SUMPRODUCT((MONTH(CHOOSE({1,2,3,4},KHP!T135,KHP!X135,KHP!AB135,KHP!AF135))=7)*(CHOOSE({1,2,3,4},KHP!W135,KHP!AA135,KHP!AE135,KHP!AI135)))</f>
        <v>0</v>
      </c>
      <c r="H135">
        <f>SUMPRODUCT((MONTH(CHOOSE({1,2,3,4},KHP!T135,KHP!X135,KHP!AB135,KHP!AF135))=8)*(CHOOSE({1,2,3,4},KHP!W135,KHP!AA135,KHP!AE135,KHP!AI135)))</f>
        <v>0</v>
      </c>
      <c r="I135">
        <f>SUMPRODUCT((MONTH(CHOOSE({1,2,3,4},KHP!T135,KHP!X135,KHP!AB135,KHP!AF135))=9)*(CHOOSE({1,2,3,4},KHP!W135,KHP!AA135,KHP!AE135,KHP!AI135)))</f>
        <v>0</v>
      </c>
      <c r="J135">
        <f>SUMPRODUCT((MONTH(CHOOSE({1,2,3,4},KHP!T135,KHP!X135,KHP!AB135,KHP!AF135))=10)*(CHOOSE({1,2,3,4},KHP!W135,KHP!AA135,KHP!AE135,KHP!AI135)))</f>
        <v>0</v>
      </c>
      <c r="K135">
        <f>SUMPRODUCT((MONTH(CHOOSE({1,2,3,4},KHP!T135,KHP!X135,KHP!AB135,KHP!AF135))=11)*(CHOOSE({1,2,3,4},KHP!W135,KHP!AA135,KHP!AE135,KHP!AI135)))</f>
        <v>0</v>
      </c>
      <c r="L135">
        <f>SUMPRODUCT((MONTH(CHOOSE({1,2,3,4},KHP!T135,KHP!X135,KHP!AB135,KHP!AF135))=12)*(CHOOSE({1,2,3,4},KHP!W135,KHP!AA135,KHP!AE135,KHP!AI135)))</f>
        <v>0</v>
      </c>
    </row>
    <row r="136" spans="1:12">
      <c r="A136">
        <f>SUMPRODUCT((MONTH(CHOOSE({1,2,3,4},KHP!T136,KHP!X136,KHP!AB136,KHP!AF136))=1)*(CHOOSE({1,2,3,4},KHP!W136,KHP!AA136,KHP!AE136,KHP!AI136)))</f>
        <v>0</v>
      </c>
      <c r="B136">
        <f>SUMPRODUCT((MONTH(CHOOSE({1,2,3,4},KHP!T136,KHP!X136,KHP!AB136,KHP!AF136))=2)*(CHOOSE({1,2,3,4},KHP!W136,KHP!AA136,KHP!AE136,KHP!AI136)))</f>
        <v>0</v>
      </c>
      <c r="C136">
        <f>SUMPRODUCT((MONTH(CHOOSE({1,2,3,4},KHP!T136,KHP!X136,KHP!AB136,KHP!AF136))=3)*(CHOOSE({1,2,3,4},KHP!W136,KHP!AA136,KHP!AE136,KHP!AI136)))</f>
        <v>0</v>
      </c>
      <c r="D136">
        <f>SUMPRODUCT((MONTH(CHOOSE({1,2,3,4},KHP!T136,KHP!X136,KHP!AB136,KHP!AF136))=4)*(CHOOSE({1,2,3,4},KHP!W136,KHP!AA136,KHP!AE136,KHP!AI136)))</f>
        <v>0</v>
      </c>
      <c r="E136">
        <f>SUMPRODUCT((MONTH(CHOOSE({1,2,3,4},KHP!T136,KHP!X136,KHP!AB136,KHP!AF136))=5)*(CHOOSE({1,2,3,4},KHP!W136,KHP!AA136,KHP!AE136,KHP!AI136)))</f>
        <v>0</v>
      </c>
      <c r="F136">
        <f>SUMPRODUCT((MONTH(CHOOSE({1,2,3,4},KHP!T136,KHP!X136,KHP!AB136,KHP!AF136))=6)*(CHOOSE({1,2,3,4},KHP!W136,KHP!AA136,KHP!AE136,KHP!AI136)))</f>
        <v>0</v>
      </c>
      <c r="G136">
        <f>SUMPRODUCT((MONTH(CHOOSE({1,2,3,4},KHP!T136,KHP!X136,KHP!AB136,KHP!AF136))=7)*(CHOOSE({1,2,3,4},KHP!W136,KHP!AA136,KHP!AE136,KHP!AI136)))</f>
        <v>0</v>
      </c>
      <c r="H136">
        <f>SUMPRODUCT((MONTH(CHOOSE({1,2,3,4},KHP!T136,KHP!X136,KHP!AB136,KHP!AF136))=8)*(CHOOSE({1,2,3,4},KHP!W136,KHP!AA136,KHP!AE136,KHP!AI136)))</f>
        <v>0</v>
      </c>
      <c r="I136">
        <f>SUMPRODUCT((MONTH(CHOOSE({1,2,3,4},KHP!T136,KHP!X136,KHP!AB136,KHP!AF136))=9)*(CHOOSE({1,2,3,4},KHP!W136,KHP!AA136,KHP!AE136,KHP!AI136)))</f>
        <v>0</v>
      </c>
      <c r="J136">
        <f>SUMPRODUCT((MONTH(CHOOSE({1,2,3,4},KHP!T136,KHP!X136,KHP!AB136,KHP!AF136))=10)*(CHOOSE({1,2,3,4},KHP!W136,KHP!AA136,KHP!AE136,KHP!AI136)))</f>
        <v>0</v>
      </c>
      <c r="K136">
        <f>SUMPRODUCT((MONTH(CHOOSE({1,2,3,4},KHP!T136,KHP!X136,KHP!AB136,KHP!AF136))=11)*(CHOOSE({1,2,3,4},KHP!W136,KHP!AA136,KHP!AE136,KHP!AI136)))</f>
        <v>0</v>
      </c>
      <c r="L136">
        <f>SUMPRODUCT((MONTH(CHOOSE({1,2,3,4},KHP!T136,KHP!X136,KHP!AB136,KHP!AF136))=12)*(CHOOSE({1,2,3,4},KHP!W136,KHP!AA136,KHP!AE136,KHP!AI136)))</f>
        <v>0</v>
      </c>
    </row>
    <row r="137" spans="1:12">
      <c r="A137">
        <f>SUMPRODUCT((MONTH(CHOOSE({1,2,3,4},KHP!T137,KHP!X137,KHP!AB137,KHP!AF137))=1)*(CHOOSE({1,2,3,4},KHP!W137,KHP!AA137,KHP!AE137,KHP!AI137)))</f>
        <v>0</v>
      </c>
      <c r="B137">
        <f>SUMPRODUCT((MONTH(CHOOSE({1,2,3,4},KHP!T137,KHP!X137,KHP!AB137,KHP!AF137))=2)*(CHOOSE({1,2,3,4},KHP!W137,KHP!AA137,KHP!AE137,KHP!AI137)))</f>
        <v>0</v>
      </c>
      <c r="C137">
        <f>SUMPRODUCT((MONTH(CHOOSE({1,2,3,4},KHP!T137,KHP!X137,KHP!AB137,KHP!AF137))=3)*(CHOOSE({1,2,3,4},KHP!W137,KHP!AA137,KHP!AE137,KHP!AI137)))</f>
        <v>0</v>
      </c>
      <c r="D137">
        <f>SUMPRODUCT((MONTH(CHOOSE({1,2,3,4},KHP!T137,KHP!X137,KHP!AB137,KHP!AF137))=4)*(CHOOSE({1,2,3,4},KHP!W137,KHP!AA137,KHP!AE137,KHP!AI137)))</f>
        <v>0</v>
      </c>
      <c r="E137">
        <f>SUMPRODUCT((MONTH(CHOOSE({1,2,3,4},KHP!T137,KHP!X137,KHP!AB137,KHP!AF137))=5)*(CHOOSE({1,2,3,4},KHP!W137,KHP!AA137,KHP!AE137,KHP!AI137)))</f>
        <v>0</v>
      </c>
      <c r="F137">
        <f>SUMPRODUCT((MONTH(CHOOSE({1,2,3,4},KHP!T137,KHP!X137,KHP!AB137,KHP!AF137))=6)*(CHOOSE({1,2,3,4},KHP!W137,KHP!AA137,KHP!AE137,KHP!AI137)))</f>
        <v>0</v>
      </c>
      <c r="G137">
        <f>SUMPRODUCT((MONTH(CHOOSE({1,2,3,4},KHP!T137,KHP!X137,KHP!AB137,KHP!AF137))=7)*(CHOOSE({1,2,3,4},KHP!W137,KHP!AA137,KHP!AE137,KHP!AI137)))</f>
        <v>0</v>
      </c>
      <c r="H137">
        <f>SUMPRODUCT((MONTH(CHOOSE({1,2,3,4},KHP!T137,KHP!X137,KHP!AB137,KHP!AF137))=8)*(CHOOSE({1,2,3,4},KHP!W137,KHP!AA137,KHP!AE137,KHP!AI137)))</f>
        <v>0</v>
      </c>
      <c r="I137">
        <f>SUMPRODUCT((MONTH(CHOOSE({1,2,3,4},KHP!T137,KHP!X137,KHP!AB137,KHP!AF137))=9)*(CHOOSE({1,2,3,4},KHP!W137,KHP!AA137,KHP!AE137,KHP!AI137)))</f>
        <v>0</v>
      </c>
      <c r="J137">
        <f>SUMPRODUCT((MONTH(CHOOSE({1,2,3,4},KHP!T137,KHP!X137,KHP!AB137,KHP!AF137))=10)*(CHOOSE({1,2,3,4},KHP!W137,KHP!AA137,KHP!AE137,KHP!AI137)))</f>
        <v>0</v>
      </c>
      <c r="K137">
        <f>SUMPRODUCT((MONTH(CHOOSE({1,2,3,4},KHP!T137,KHP!X137,KHP!AB137,KHP!AF137))=11)*(CHOOSE({1,2,3,4},KHP!W137,KHP!AA137,KHP!AE137,KHP!AI137)))</f>
        <v>0</v>
      </c>
      <c r="L137">
        <f>SUMPRODUCT((MONTH(CHOOSE({1,2,3,4},KHP!T137,KHP!X137,KHP!AB137,KHP!AF137))=12)*(CHOOSE({1,2,3,4},KHP!W137,KHP!AA137,KHP!AE137,KHP!AI137)))</f>
        <v>0</v>
      </c>
    </row>
    <row r="138" spans="1:12">
      <c r="A138">
        <f>SUMPRODUCT((MONTH(CHOOSE({1,2,3,4},KHP!T138,KHP!X138,KHP!AB138,KHP!AF138))=1)*(CHOOSE({1,2,3,4},KHP!W138,KHP!AA138,KHP!AE138,KHP!AI138)))</f>
        <v>0</v>
      </c>
      <c r="B138">
        <f>SUMPRODUCT((MONTH(CHOOSE({1,2,3,4},KHP!T138,KHP!X138,KHP!AB138,KHP!AF138))=2)*(CHOOSE({1,2,3,4},KHP!W138,KHP!AA138,KHP!AE138,KHP!AI138)))</f>
        <v>0</v>
      </c>
      <c r="C138">
        <f>SUMPRODUCT((MONTH(CHOOSE({1,2,3,4},KHP!T138,KHP!X138,KHP!AB138,KHP!AF138))=3)*(CHOOSE({1,2,3,4},KHP!W138,KHP!AA138,KHP!AE138,KHP!AI138)))</f>
        <v>0</v>
      </c>
      <c r="D138">
        <f>SUMPRODUCT((MONTH(CHOOSE({1,2,3,4},KHP!T138,KHP!X138,KHP!AB138,KHP!AF138))=4)*(CHOOSE({1,2,3,4},KHP!W138,KHP!AA138,KHP!AE138,KHP!AI138)))</f>
        <v>0</v>
      </c>
      <c r="E138">
        <f>SUMPRODUCT((MONTH(CHOOSE({1,2,3,4},KHP!T138,KHP!X138,KHP!AB138,KHP!AF138))=5)*(CHOOSE({1,2,3,4},KHP!W138,KHP!AA138,KHP!AE138,KHP!AI138)))</f>
        <v>0</v>
      </c>
      <c r="F138">
        <f>SUMPRODUCT((MONTH(CHOOSE({1,2,3,4},KHP!T138,KHP!X138,KHP!AB138,KHP!AF138))=6)*(CHOOSE({1,2,3,4},KHP!W138,KHP!AA138,KHP!AE138,KHP!AI138)))</f>
        <v>0</v>
      </c>
      <c r="G138">
        <f>SUMPRODUCT((MONTH(CHOOSE({1,2,3,4},KHP!T138,KHP!X138,KHP!AB138,KHP!AF138))=7)*(CHOOSE({1,2,3,4},KHP!W138,KHP!AA138,KHP!AE138,KHP!AI138)))</f>
        <v>0</v>
      </c>
      <c r="H138">
        <f>SUMPRODUCT((MONTH(CHOOSE({1,2,3,4},KHP!T138,KHP!X138,KHP!AB138,KHP!AF138))=8)*(CHOOSE({1,2,3,4},KHP!W138,KHP!AA138,KHP!AE138,KHP!AI138)))</f>
        <v>0</v>
      </c>
      <c r="I138">
        <f>SUMPRODUCT((MONTH(CHOOSE({1,2,3,4},KHP!T138,KHP!X138,KHP!AB138,KHP!AF138))=9)*(CHOOSE({1,2,3,4},KHP!W138,KHP!AA138,KHP!AE138,KHP!AI138)))</f>
        <v>0</v>
      </c>
      <c r="J138">
        <f>SUMPRODUCT((MONTH(CHOOSE({1,2,3,4},KHP!T138,KHP!X138,KHP!AB138,KHP!AF138))=10)*(CHOOSE({1,2,3,4},KHP!W138,KHP!AA138,KHP!AE138,KHP!AI138)))</f>
        <v>0</v>
      </c>
      <c r="K138">
        <f>SUMPRODUCT((MONTH(CHOOSE({1,2,3,4},KHP!T138,KHP!X138,KHP!AB138,KHP!AF138))=11)*(CHOOSE({1,2,3,4},KHP!W138,KHP!AA138,KHP!AE138,KHP!AI138)))</f>
        <v>0</v>
      </c>
      <c r="L138">
        <f>SUMPRODUCT((MONTH(CHOOSE({1,2,3,4},KHP!T138,KHP!X138,KHP!AB138,KHP!AF138))=12)*(CHOOSE({1,2,3,4},KHP!W138,KHP!AA138,KHP!AE138,KHP!AI138)))</f>
        <v>0</v>
      </c>
    </row>
    <row r="139" spans="1:12">
      <c r="A139">
        <f>SUMPRODUCT((MONTH(CHOOSE({1,2,3,4},KHP!T139,KHP!X139,KHP!AB139,KHP!AF139))=1)*(CHOOSE({1,2,3,4},KHP!W139,KHP!AA139,KHP!AE139,KHP!AI139)))</f>
        <v>0</v>
      </c>
      <c r="B139">
        <f>SUMPRODUCT((MONTH(CHOOSE({1,2,3,4},KHP!T139,KHP!X139,KHP!AB139,KHP!AF139))=2)*(CHOOSE({1,2,3,4},KHP!W139,KHP!AA139,KHP!AE139,KHP!AI139)))</f>
        <v>0</v>
      </c>
      <c r="C139">
        <f>SUMPRODUCT((MONTH(CHOOSE({1,2,3,4},KHP!T139,KHP!X139,KHP!AB139,KHP!AF139))=3)*(CHOOSE({1,2,3,4},KHP!W139,KHP!AA139,KHP!AE139,KHP!AI139)))</f>
        <v>0</v>
      </c>
      <c r="D139">
        <f>SUMPRODUCT((MONTH(CHOOSE({1,2,3,4},KHP!T139,KHP!X139,KHP!AB139,KHP!AF139))=4)*(CHOOSE({1,2,3,4},KHP!W139,KHP!AA139,KHP!AE139,KHP!AI139)))</f>
        <v>0</v>
      </c>
      <c r="E139">
        <f>SUMPRODUCT((MONTH(CHOOSE({1,2,3,4},KHP!T139,KHP!X139,KHP!AB139,KHP!AF139))=5)*(CHOOSE({1,2,3,4},KHP!W139,KHP!AA139,KHP!AE139,KHP!AI139)))</f>
        <v>0</v>
      </c>
      <c r="F139">
        <f>SUMPRODUCT((MONTH(CHOOSE({1,2,3,4},KHP!T139,KHP!X139,KHP!AB139,KHP!AF139))=6)*(CHOOSE({1,2,3,4},KHP!W139,KHP!AA139,KHP!AE139,KHP!AI139)))</f>
        <v>0</v>
      </c>
      <c r="G139">
        <f>SUMPRODUCT((MONTH(CHOOSE({1,2,3,4},KHP!T139,KHP!X139,KHP!AB139,KHP!AF139))=7)*(CHOOSE({1,2,3,4},KHP!W139,KHP!AA139,KHP!AE139,KHP!AI139)))</f>
        <v>0</v>
      </c>
      <c r="H139">
        <f>SUMPRODUCT((MONTH(CHOOSE({1,2,3,4},KHP!T139,KHP!X139,KHP!AB139,KHP!AF139))=8)*(CHOOSE({1,2,3,4},KHP!W139,KHP!AA139,KHP!AE139,KHP!AI139)))</f>
        <v>0</v>
      </c>
      <c r="I139">
        <f>SUMPRODUCT((MONTH(CHOOSE({1,2,3,4},KHP!T139,KHP!X139,KHP!AB139,KHP!AF139))=9)*(CHOOSE({1,2,3,4},KHP!W139,KHP!AA139,KHP!AE139,KHP!AI139)))</f>
        <v>0</v>
      </c>
      <c r="J139">
        <f>SUMPRODUCT((MONTH(CHOOSE({1,2,3,4},KHP!T139,KHP!X139,KHP!AB139,KHP!AF139))=10)*(CHOOSE({1,2,3,4},KHP!W139,KHP!AA139,KHP!AE139,KHP!AI139)))</f>
        <v>0</v>
      </c>
      <c r="K139">
        <f>SUMPRODUCT((MONTH(CHOOSE({1,2,3,4},KHP!T139,KHP!X139,KHP!AB139,KHP!AF139))=11)*(CHOOSE({1,2,3,4},KHP!W139,KHP!AA139,KHP!AE139,KHP!AI139)))</f>
        <v>0</v>
      </c>
      <c r="L139">
        <f>SUMPRODUCT((MONTH(CHOOSE({1,2,3,4},KHP!T139,KHP!X139,KHP!AB139,KHP!AF139))=12)*(CHOOSE({1,2,3,4},KHP!W139,KHP!AA139,KHP!AE139,KHP!AI139)))</f>
        <v>0</v>
      </c>
    </row>
    <row r="140" spans="1:12">
      <c r="A140">
        <f>SUMPRODUCT((MONTH(CHOOSE({1,2,3,4},KHP!T140,KHP!X140,KHP!AB140,KHP!AF140))=1)*(CHOOSE({1,2,3,4},KHP!W140,KHP!AA140,KHP!AE140,KHP!AI140)))</f>
        <v>0</v>
      </c>
      <c r="B140">
        <f>SUMPRODUCT((MONTH(CHOOSE({1,2,3,4},KHP!T140,KHP!X140,KHP!AB140,KHP!AF140))=2)*(CHOOSE({1,2,3,4},KHP!W140,KHP!AA140,KHP!AE140,KHP!AI140)))</f>
        <v>0</v>
      </c>
      <c r="C140">
        <f>SUMPRODUCT((MONTH(CHOOSE({1,2,3,4},KHP!T140,KHP!X140,KHP!AB140,KHP!AF140))=3)*(CHOOSE({1,2,3,4},KHP!W140,KHP!AA140,KHP!AE140,KHP!AI140)))</f>
        <v>0</v>
      </c>
      <c r="D140">
        <f>SUMPRODUCT((MONTH(CHOOSE({1,2,3,4},KHP!T140,KHP!X140,KHP!AB140,KHP!AF140))=4)*(CHOOSE({1,2,3,4},KHP!W140,KHP!AA140,KHP!AE140,KHP!AI140)))</f>
        <v>0</v>
      </c>
      <c r="E140">
        <f>SUMPRODUCT((MONTH(CHOOSE({1,2,3,4},KHP!T140,KHP!X140,KHP!AB140,KHP!AF140))=5)*(CHOOSE({1,2,3,4},KHP!W140,KHP!AA140,KHP!AE140,KHP!AI140)))</f>
        <v>0</v>
      </c>
      <c r="F140">
        <f>SUMPRODUCT((MONTH(CHOOSE({1,2,3,4},KHP!T140,KHP!X140,KHP!AB140,KHP!AF140))=6)*(CHOOSE({1,2,3,4},KHP!W140,KHP!AA140,KHP!AE140,KHP!AI140)))</f>
        <v>0</v>
      </c>
      <c r="G140">
        <f>SUMPRODUCT((MONTH(CHOOSE({1,2,3,4},KHP!T140,KHP!X140,KHP!AB140,KHP!AF140))=7)*(CHOOSE({1,2,3,4},KHP!W140,KHP!AA140,KHP!AE140,KHP!AI140)))</f>
        <v>0</v>
      </c>
      <c r="H140">
        <f>SUMPRODUCT((MONTH(CHOOSE({1,2,3,4},KHP!T140,KHP!X140,KHP!AB140,KHP!AF140))=8)*(CHOOSE({1,2,3,4},KHP!W140,KHP!AA140,KHP!AE140,KHP!AI140)))</f>
        <v>0</v>
      </c>
      <c r="I140">
        <f>SUMPRODUCT((MONTH(CHOOSE({1,2,3,4},KHP!T140,KHP!X140,KHP!AB140,KHP!AF140))=9)*(CHOOSE({1,2,3,4},KHP!W140,KHP!AA140,KHP!AE140,KHP!AI140)))</f>
        <v>0</v>
      </c>
      <c r="J140">
        <f>SUMPRODUCT((MONTH(CHOOSE({1,2,3,4},KHP!T140,KHP!X140,KHP!AB140,KHP!AF140))=10)*(CHOOSE({1,2,3,4},KHP!W140,KHP!AA140,KHP!AE140,KHP!AI140)))</f>
        <v>0</v>
      </c>
      <c r="K140">
        <f>SUMPRODUCT((MONTH(CHOOSE({1,2,3,4},KHP!T140,KHP!X140,KHP!AB140,KHP!AF140))=11)*(CHOOSE({1,2,3,4},KHP!W140,KHP!AA140,KHP!AE140,KHP!AI140)))</f>
        <v>0</v>
      </c>
      <c r="L140">
        <f>SUMPRODUCT((MONTH(CHOOSE({1,2,3,4},KHP!T140,KHP!X140,KHP!AB140,KHP!AF140))=12)*(CHOOSE({1,2,3,4},KHP!W140,KHP!AA140,KHP!AE140,KHP!AI140)))</f>
        <v>0</v>
      </c>
    </row>
    <row r="141" spans="1:12">
      <c r="A141">
        <f>SUMPRODUCT((MONTH(CHOOSE({1,2,3,4},KHP!T141,KHP!X141,KHP!AB141,KHP!AF141))=1)*(CHOOSE({1,2,3,4},KHP!W141,KHP!AA141,KHP!AE141,KHP!AI141)))</f>
        <v>0</v>
      </c>
      <c r="B141">
        <f>SUMPRODUCT((MONTH(CHOOSE({1,2,3,4},KHP!T141,KHP!X141,KHP!AB141,KHP!AF141))=2)*(CHOOSE({1,2,3,4},KHP!W141,KHP!AA141,KHP!AE141,KHP!AI141)))</f>
        <v>0</v>
      </c>
      <c r="C141">
        <f>SUMPRODUCT((MONTH(CHOOSE({1,2,3,4},KHP!T141,KHP!X141,KHP!AB141,KHP!AF141))=3)*(CHOOSE({1,2,3,4},KHP!W141,KHP!AA141,KHP!AE141,KHP!AI141)))</f>
        <v>0</v>
      </c>
      <c r="D141">
        <f>SUMPRODUCT((MONTH(CHOOSE({1,2,3,4},KHP!T141,KHP!X141,KHP!AB141,KHP!AF141))=4)*(CHOOSE({1,2,3,4},KHP!W141,KHP!AA141,KHP!AE141,KHP!AI141)))</f>
        <v>0</v>
      </c>
      <c r="E141">
        <f>SUMPRODUCT((MONTH(CHOOSE({1,2,3,4},KHP!T141,KHP!X141,KHP!AB141,KHP!AF141))=5)*(CHOOSE({1,2,3,4},KHP!W141,KHP!AA141,KHP!AE141,KHP!AI141)))</f>
        <v>0</v>
      </c>
      <c r="F141">
        <f>SUMPRODUCT((MONTH(CHOOSE({1,2,3,4},KHP!T141,KHP!X141,KHP!AB141,KHP!AF141))=6)*(CHOOSE({1,2,3,4},KHP!W141,KHP!AA141,KHP!AE141,KHP!AI141)))</f>
        <v>0</v>
      </c>
      <c r="G141">
        <f>SUMPRODUCT((MONTH(CHOOSE({1,2,3,4},KHP!T141,KHP!X141,KHP!AB141,KHP!AF141))=7)*(CHOOSE({1,2,3,4},KHP!W141,KHP!AA141,KHP!AE141,KHP!AI141)))</f>
        <v>0</v>
      </c>
      <c r="H141">
        <f>SUMPRODUCT((MONTH(CHOOSE({1,2,3,4},KHP!T141,KHP!X141,KHP!AB141,KHP!AF141))=8)*(CHOOSE({1,2,3,4},KHP!W141,KHP!AA141,KHP!AE141,KHP!AI141)))</f>
        <v>0</v>
      </c>
      <c r="I141">
        <f>SUMPRODUCT((MONTH(CHOOSE({1,2,3,4},KHP!T141,KHP!X141,KHP!AB141,KHP!AF141))=9)*(CHOOSE({1,2,3,4},KHP!W141,KHP!AA141,KHP!AE141,KHP!AI141)))</f>
        <v>0</v>
      </c>
      <c r="J141">
        <f>SUMPRODUCT((MONTH(CHOOSE({1,2,3,4},KHP!T141,KHP!X141,KHP!AB141,KHP!AF141))=10)*(CHOOSE({1,2,3,4},KHP!W141,KHP!AA141,KHP!AE141,KHP!AI141)))</f>
        <v>0</v>
      </c>
      <c r="K141">
        <f>SUMPRODUCT((MONTH(CHOOSE({1,2,3,4},KHP!T141,KHP!X141,KHP!AB141,KHP!AF141))=11)*(CHOOSE({1,2,3,4},KHP!W141,KHP!AA141,KHP!AE141,KHP!AI141)))</f>
        <v>0</v>
      </c>
      <c r="L141">
        <f>SUMPRODUCT((MONTH(CHOOSE({1,2,3,4},KHP!T141,KHP!X141,KHP!AB141,KHP!AF141))=12)*(CHOOSE({1,2,3,4},KHP!W141,KHP!AA141,KHP!AE141,KHP!AI141)))</f>
        <v>0</v>
      </c>
    </row>
    <row r="142" spans="1:12">
      <c r="A142">
        <f>SUMPRODUCT((MONTH(CHOOSE({1,2,3,4},KHP!T142,KHP!X142,KHP!AB142,KHP!AF142))=1)*(CHOOSE({1,2,3,4},KHP!W142,KHP!AA142,KHP!AE142,KHP!AI142)))</f>
        <v>0</v>
      </c>
      <c r="B142">
        <f>SUMPRODUCT((MONTH(CHOOSE({1,2,3,4},KHP!T142,KHP!X142,KHP!AB142,KHP!AF142))=2)*(CHOOSE({1,2,3,4},KHP!W142,KHP!AA142,KHP!AE142,KHP!AI142)))</f>
        <v>0</v>
      </c>
      <c r="C142">
        <f>SUMPRODUCT((MONTH(CHOOSE({1,2,3,4},KHP!T142,KHP!X142,KHP!AB142,KHP!AF142))=3)*(CHOOSE({1,2,3,4},KHP!W142,KHP!AA142,KHP!AE142,KHP!AI142)))</f>
        <v>0</v>
      </c>
      <c r="D142">
        <f>SUMPRODUCT((MONTH(CHOOSE({1,2,3,4},KHP!T142,KHP!X142,KHP!AB142,KHP!AF142))=4)*(CHOOSE({1,2,3,4},KHP!W142,KHP!AA142,KHP!AE142,KHP!AI142)))</f>
        <v>0</v>
      </c>
      <c r="E142">
        <f>SUMPRODUCT((MONTH(CHOOSE({1,2,3,4},KHP!T142,KHP!X142,KHP!AB142,KHP!AF142))=5)*(CHOOSE({1,2,3,4},KHP!W142,KHP!AA142,KHP!AE142,KHP!AI142)))</f>
        <v>0</v>
      </c>
      <c r="F142">
        <f>SUMPRODUCT((MONTH(CHOOSE({1,2,3,4},KHP!T142,KHP!X142,KHP!AB142,KHP!AF142))=6)*(CHOOSE({1,2,3,4},KHP!W142,KHP!AA142,KHP!AE142,KHP!AI142)))</f>
        <v>0</v>
      </c>
      <c r="G142">
        <f>SUMPRODUCT((MONTH(CHOOSE({1,2,3,4},KHP!T142,KHP!X142,KHP!AB142,KHP!AF142))=7)*(CHOOSE({1,2,3,4},KHP!W142,KHP!AA142,KHP!AE142,KHP!AI142)))</f>
        <v>0</v>
      </c>
      <c r="H142">
        <f>SUMPRODUCT((MONTH(CHOOSE({1,2,3,4},KHP!T142,KHP!X142,KHP!AB142,KHP!AF142))=8)*(CHOOSE({1,2,3,4},KHP!W142,KHP!AA142,KHP!AE142,KHP!AI142)))</f>
        <v>0</v>
      </c>
      <c r="I142">
        <f>SUMPRODUCT((MONTH(CHOOSE({1,2,3,4},KHP!T142,KHP!X142,KHP!AB142,KHP!AF142))=9)*(CHOOSE({1,2,3,4},KHP!W142,KHP!AA142,KHP!AE142,KHP!AI142)))</f>
        <v>0</v>
      </c>
      <c r="J142">
        <f>SUMPRODUCT((MONTH(CHOOSE({1,2,3,4},KHP!T142,KHP!X142,KHP!AB142,KHP!AF142))=10)*(CHOOSE({1,2,3,4},KHP!W142,KHP!AA142,KHP!AE142,KHP!AI142)))</f>
        <v>0</v>
      </c>
      <c r="K142">
        <f>SUMPRODUCT((MONTH(CHOOSE({1,2,3,4},KHP!T142,KHP!X142,KHP!AB142,KHP!AF142))=11)*(CHOOSE({1,2,3,4},KHP!W142,KHP!AA142,KHP!AE142,KHP!AI142)))</f>
        <v>0</v>
      </c>
      <c r="L142">
        <f>SUMPRODUCT((MONTH(CHOOSE({1,2,3,4},KHP!T142,KHP!X142,KHP!AB142,KHP!AF142))=12)*(CHOOSE({1,2,3,4},KHP!W142,KHP!AA142,KHP!AE142,KHP!AI142)))</f>
        <v>0</v>
      </c>
    </row>
    <row r="143" spans="1:12">
      <c r="A143">
        <f>SUMPRODUCT((MONTH(CHOOSE({1,2,3,4},KHP!T143,KHP!X143,KHP!AB143,KHP!AF143))=1)*(CHOOSE({1,2,3,4},KHP!W143,KHP!AA143,KHP!AE143,KHP!AI143)))</f>
        <v>0</v>
      </c>
      <c r="B143">
        <f>SUMPRODUCT((MONTH(CHOOSE({1,2,3,4},KHP!T143,KHP!X143,KHP!AB143,KHP!AF143))=2)*(CHOOSE({1,2,3,4},KHP!W143,KHP!AA143,KHP!AE143,KHP!AI143)))</f>
        <v>0</v>
      </c>
      <c r="C143">
        <f>SUMPRODUCT((MONTH(CHOOSE({1,2,3,4},KHP!T143,KHP!X143,KHP!AB143,KHP!AF143))=3)*(CHOOSE({1,2,3,4},KHP!W143,KHP!AA143,KHP!AE143,KHP!AI143)))</f>
        <v>0</v>
      </c>
      <c r="D143">
        <f>SUMPRODUCT((MONTH(CHOOSE({1,2,3,4},KHP!T143,KHP!X143,KHP!AB143,KHP!AF143))=4)*(CHOOSE({1,2,3,4},KHP!W143,KHP!AA143,KHP!AE143,KHP!AI143)))</f>
        <v>0</v>
      </c>
      <c r="E143">
        <f>SUMPRODUCT((MONTH(CHOOSE({1,2,3,4},KHP!T143,KHP!X143,KHP!AB143,KHP!AF143))=5)*(CHOOSE({1,2,3,4},KHP!W143,KHP!AA143,KHP!AE143,KHP!AI143)))</f>
        <v>0</v>
      </c>
      <c r="F143">
        <f>SUMPRODUCT((MONTH(CHOOSE({1,2,3,4},KHP!T143,KHP!X143,KHP!AB143,KHP!AF143))=6)*(CHOOSE({1,2,3,4},KHP!W143,KHP!AA143,KHP!AE143,KHP!AI143)))</f>
        <v>0</v>
      </c>
      <c r="G143">
        <f>SUMPRODUCT((MONTH(CHOOSE({1,2,3,4},KHP!T143,KHP!X143,KHP!AB143,KHP!AF143))=7)*(CHOOSE({1,2,3,4},KHP!W143,KHP!AA143,KHP!AE143,KHP!AI143)))</f>
        <v>0</v>
      </c>
      <c r="H143">
        <f>SUMPRODUCT((MONTH(CHOOSE({1,2,3,4},KHP!T143,KHP!X143,KHP!AB143,KHP!AF143))=8)*(CHOOSE({1,2,3,4},KHP!W143,KHP!AA143,KHP!AE143,KHP!AI143)))</f>
        <v>0</v>
      </c>
      <c r="I143">
        <f>SUMPRODUCT((MONTH(CHOOSE({1,2,3,4},KHP!T143,KHP!X143,KHP!AB143,KHP!AF143))=9)*(CHOOSE({1,2,3,4},KHP!W143,KHP!AA143,KHP!AE143,KHP!AI143)))</f>
        <v>0</v>
      </c>
      <c r="J143">
        <f>SUMPRODUCT((MONTH(CHOOSE({1,2,3,4},KHP!T143,KHP!X143,KHP!AB143,KHP!AF143))=10)*(CHOOSE({1,2,3,4},KHP!W143,KHP!AA143,KHP!AE143,KHP!AI143)))</f>
        <v>0</v>
      </c>
      <c r="K143">
        <f>SUMPRODUCT((MONTH(CHOOSE({1,2,3,4},KHP!T143,KHP!X143,KHP!AB143,KHP!AF143))=11)*(CHOOSE({1,2,3,4},KHP!W143,KHP!AA143,KHP!AE143,KHP!AI143)))</f>
        <v>0</v>
      </c>
      <c r="L143">
        <f>SUMPRODUCT((MONTH(CHOOSE({1,2,3,4},KHP!T143,KHP!X143,KHP!AB143,KHP!AF143))=12)*(CHOOSE({1,2,3,4},KHP!W143,KHP!AA143,KHP!AE143,KHP!AI143)))</f>
        <v>0</v>
      </c>
    </row>
    <row r="144" spans="1:12">
      <c r="A144">
        <f>SUMPRODUCT((MONTH(CHOOSE({1,2,3,4},KHP!T144,KHP!X144,KHP!AB144,KHP!AF144))=1)*(CHOOSE({1,2,3,4},KHP!W144,KHP!AA144,KHP!AE144,KHP!AI144)))</f>
        <v>0</v>
      </c>
      <c r="B144">
        <f>SUMPRODUCT((MONTH(CHOOSE({1,2,3,4},KHP!T144,KHP!X144,KHP!AB144,KHP!AF144))=2)*(CHOOSE({1,2,3,4},KHP!W144,KHP!AA144,KHP!AE144,KHP!AI144)))</f>
        <v>0</v>
      </c>
      <c r="C144">
        <f>SUMPRODUCT((MONTH(CHOOSE({1,2,3,4},KHP!T144,KHP!X144,KHP!AB144,KHP!AF144))=3)*(CHOOSE({1,2,3,4},KHP!W144,KHP!AA144,KHP!AE144,KHP!AI144)))</f>
        <v>0</v>
      </c>
      <c r="D144">
        <f>SUMPRODUCT((MONTH(CHOOSE({1,2,3,4},KHP!T144,KHP!X144,KHP!AB144,KHP!AF144))=4)*(CHOOSE({1,2,3,4},KHP!W144,KHP!AA144,KHP!AE144,KHP!AI144)))</f>
        <v>0</v>
      </c>
      <c r="E144">
        <f>SUMPRODUCT((MONTH(CHOOSE({1,2,3,4},KHP!T144,KHP!X144,KHP!AB144,KHP!AF144))=5)*(CHOOSE({1,2,3,4},KHP!W144,KHP!AA144,KHP!AE144,KHP!AI144)))</f>
        <v>0</v>
      </c>
      <c r="F144">
        <f>SUMPRODUCT((MONTH(CHOOSE({1,2,3,4},KHP!T144,KHP!X144,KHP!AB144,KHP!AF144))=6)*(CHOOSE({1,2,3,4},KHP!W144,KHP!AA144,KHP!AE144,KHP!AI144)))</f>
        <v>0</v>
      </c>
      <c r="G144">
        <f>SUMPRODUCT((MONTH(CHOOSE({1,2,3,4},KHP!T144,KHP!X144,KHP!AB144,KHP!AF144))=7)*(CHOOSE({1,2,3,4},KHP!W144,KHP!AA144,KHP!AE144,KHP!AI144)))</f>
        <v>0</v>
      </c>
      <c r="H144">
        <f>SUMPRODUCT((MONTH(CHOOSE({1,2,3,4},KHP!T144,KHP!X144,KHP!AB144,KHP!AF144))=8)*(CHOOSE({1,2,3,4},KHP!W144,KHP!AA144,KHP!AE144,KHP!AI144)))</f>
        <v>0</v>
      </c>
      <c r="I144">
        <f>SUMPRODUCT((MONTH(CHOOSE({1,2,3,4},KHP!T144,KHP!X144,KHP!AB144,KHP!AF144))=9)*(CHOOSE({1,2,3,4},KHP!W144,KHP!AA144,KHP!AE144,KHP!AI144)))</f>
        <v>0</v>
      </c>
      <c r="J144">
        <f>SUMPRODUCT((MONTH(CHOOSE({1,2,3,4},KHP!T144,KHP!X144,KHP!AB144,KHP!AF144))=10)*(CHOOSE({1,2,3,4},KHP!W144,KHP!AA144,KHP!AE144,KHP!AI144)))</f>
        <v>0</v>
      </c>
      <c r="K144">
        <f>SUMPRODUCT((MONTH(CHOOSE({1,2,3,4},KHP!T144,KHP!X144,KHP!AB144,KHP!AF144))=11)*(CHOOSE({1,2,3,4},KHP!W144,KHP!AA144,KHP!AE144,KHP!AI144)))</f>
        <v>0</v>
      </c>
      <c r="L144">
        <f>SUMPRODUCT((MONTH(CHOOSE({1,2,3,4},KHP!T144,KHP!X144,KHP!AB144,KHP!AF144))=12)*(CHOOSE({1,2,3,4},KHP!W144,KHP!AA144,KHP!AE144,KHP!AI144)))</f>
        <v>0</v>
      </c>
    </row>
    <row r="145" spans="1:12">
      <c r="A145">
        <f>SUMPRODUCT((MONTH(CHOOSE({1,2,3,4},KHP!T145,KHP!X145,KHP!AB145,KHP!AF145))=1)*(CHOOSE({1,2,3,4},KHP!W145,KHP!AA145,KHP!AE145,KHP!AI145)))</f>
        <v>0</v>
      </c>
      <c r="B145">
        <f>SUMPRODUCT((MONTH(CHOOSE({1,2,3,4},KHP!T145,KHP!X145,KHP!AB145,KHP!AF145))=2)*(CHOOSE({1,2,3,4},KHP!W145,KHP!AA145,KHP!AE145,KHP!AI145)))</f>
        <v>0</v>
      </c>
      <c r="C145">
        <f>SUMPRODUCT((MONTH(CHOOSE({1,2,3,4},KHP!T145,KHP!X145,KHP!AB145,KHP!AF145))=3)*(CHOOSE({1,2,3,4},KHP!W145,KHP!AA145,KHP!AE145,KHP!AI145)))</f>
        <v>0</v>
      </c>
      <c r="D145">
        <f>SUMPRODUCT((MONTH(CHOOSE({1,2,3,4},KHP!T145,KHP!X145,KHP!AB145,KHP!AF145))=4)*(CHOOSE({1,2,3,4},KHP!W145,KHP!AA145,KHP!AE145,KHP!AI145)))</f>
        <v>0</v>
      </c>
      <c r="E145">
        <f>SUMPRODUCT((MONTH(CHOOSE({1,2,3,4},KHP!T145,KHP!X145,KHP!AB145,KHP!AF145))=5)*(CHOOSE({1,2,3,4},KHP!W145,KHP!AA145,KHP!AE145,KHP!AI145)))</f>
        <v>0</v>
      </c>
      <c r="F145">
        <f>SUMPRODUCT((MONTH(CHOOSE({1,2,3,4},KHP!T145,KHP!X145,KHP!AB145,KHP!AF145))=6)*(CHOOSE({1,2,3,4},KHP!W145,KHP!AA145,KHP!AE145,KHP!AI145)))</f>
        <v>0</v>
      </c>
      <c r="G145">
        <f>SUMPRODUCT((MONTH(CHOOSE({1,2,3,4},KHP!T145,KHP!X145,KHP!AB145,KHP!AF145))=7)*(CHOOSE({1,2,3,4},KHP!W145,KHP!AA145,KHP!AE145,KHP!AI145)))</f>
        <v>0</v>
      </c>
      <c r="H145">
        <f>SUMPRODUCT((MONTH(CHOOSE({1,2,3,4},KHP!T145,KHP!X145,KHP!AB145,KHP!AF145))=8)*(CHOOSE({1,2,3,4},KHP!W145,KHP!AA145,KHP!AE145,KHP!AI145)))</f>
        <v>0</v>
      </c>
      <c r="I145">
        <f>SUMPRODUCT((MONTH(CHOOSE({1,2,3,4},KHP!T145,KHP!X145,KHP!AB145,KHP!AF145))=9)*(CHOOSE({1,2,3,4},KHP!W145,KHP!AA145,KHP!AE145,KHP!AI145)))</f>
        <v>0</v>
      </c>
      <c r="J145">
        <f>SUMPRODUCT((MONTH(CHOOSE({1,2,3,4},KHP!T145,KHP!X145,KHP!AB145,KHP!AF145))=10)*(CHOOSE({1,2,3,4},KHP!W145,KHP!AA145,KHP!AE145,KHP!AI145)))</f>
        <v>0</v>
      </c>
      <c r="K145">
        <f>SUMPRODUCT((MONTH(CHOOSE({1,2,3,4},KHP!T145,KHP!X145,KHP!AB145,KHP!AF145))=11)*(CHOOSE({1,2,3,4},KHP!W145,KHP!AA145,KHP!AE145,KHP!AI145)))</f>
        <v>0</v>
      </c>
      <c r="L145">
        <f>SUMPRODUCT((MONTH(CHOOSE({1,2,3,4},KHP!T145,KHP!X145,KHP!AB145,KHP!AF145))=12)*(CHOOSE({1,2,3,4},KHP!W145,KHP!AA145,KHP!AE145,KHP!AI145)))</f>
        <v>0</v>
      </c>
    </row>
    <row r="146" spans="1:12">
      <c r="A146">
        <f>SUMPRODUCT((MONTH(CHOOSE({1,2,3,4},KHP!T146,KHP!X146,KHP!AB146,KHP!AF146))=1)*(CHOOSE({1,2,3,4},KHP!W146,KHP!AA146,KHP!AE146,KHP!AI146)))</f>
        <v>0</v>
      </c>
      <c r="B146">
        <f>SUMPRODUCT((MONTH(CHOOSE({1,2,3,4},KHP!T146,KHP!X146,KHP!AB146,KHP!AF146))=2)*(CHOOSE({1,2,3,4},KHP!W146,KHP!AA146,KHP!AE146,KHP!AI146)))</f>
        <v>0</v>
      </c>
      <c r="C146">
        <f>SUMPRODUCT((MONTH(CHOOSE({1,2,3,4},KHP!T146,KHP!X146,KHP!AB146,KHP!AF146))=3)*(CHOOSE({1,2,3,4},KHP!W146,KHP!AA146,KHP!AE146,KHP!AI146)))</f>
        <v>0</v>
      </c>
      <c r="D146">
        <f>SUMPRODUCT((MONTH(CHOOSE({1,2,3,4},KHP!T146,KHP!X146,KHP!AB146,KHP!AF146))=4)*(CHOOSE({1,2,3,4},KHP!W146,KHP!AA146,KHP!AE146,KHP!AI146)))</f>
        <v>0</v>
      </c>
      <c r="E146">
        <f>SUMPRODUCT((MONTH(CHOOSE({1,2,3,4},KHP!T146,KHP!X146,KHP!AB146,KHP!AF146))=5)*(CHOOSE({1,2,3,4},KHP!W146,KHP!AA146,KHP!AE146,KHP!AI146)))</f>
        <v>0</v>
      </c>
      <c r="F146">
        <f>SUMPRODUCT((MONTH(CHOOSE({1,2,3,4},KHP!T146,KHP!X146,KHP!AB146,KHP!AF146))=6)*(CHOOSE({1,2,3,4},KHP!W146,KHP!AA146,KHP!AE146,KHP!AI146)))</f>
        <v>0</v>
      </c>
      <c r="G146">
        <f>SUMPRODUCT((MONTH(CHOOSE({1,2,3,4},KHP!T146,KHP!X146,KHP!AB146,KHP!AF146))=7)*(CHOOSE({1,2,3,4},KHP!W146,KHP!AA146,KHP!AE146,KHP!AI146)))</f>
        <v>0</v>
      </c>
      <c r="H146">
        <f>SUMPRODUCT((MONTH(CHOOSE({1,2,3,4},KHP!T146,KHP!X146,KHP!AB146,KHP!AF146))=8)*(CHOOSE({1,2,3,4},KHP!W146,KHP!AA146,KHP!AE146,KHP!AI146)))</f>
        <v>0</v>
      </c>
      <c r="I146">
        <f>SUMPRODUCT((MONTH(CHOOSE({1,2,3,4},KHP!T146,KHP!X146,KHP!AB146,KHP!AF146))=9)*(CHOOSE({1,2,3,4},KHP!W146,KHP!AA146,KHP!AE146,KHP!AI146)))</f>
        <v>0</v>
      </c>
      <c r="J146">
        <f>SUMPRODUCT((MONTH(CHOOSE({1,2,3,4},KHP!T146,KHP!X146,KHP!AB146,KHP!AF146))=10)*(CHOOSE({1,2,3,4},KHP!W146,KHP!AA146,KHP!AE146,KHP!AI146)))</f>
        <v>0</v>
      </c>
      <c r="K146">
        <f>SUMPRODUCT((MONTH(CHOOSE({1,2,3,4},KHP!T146,KHP!X146,KHP!AB146,KHP!AF146))=11)*(CHOOSE({1,2,3,4},KHP!W146,KHP!AA146,KHP!AE146,KHP!AI146)))</f>
        <v>0</v>
      </c>
      <c r="L146">
        <f>SUMPRODUCT((MONTH(CHOOSE({1,2,3,4},KHP!T146,KHP!X146,KHP!AB146,KHP!AF146))=12)*(CHOOSE({1,2,3,4},KHP!W146,KHP!AA146,KHP!AE146,KHP!AI146)))</f>
        <v>0</v>
      </c>
    </row>
    <row r="147" spans="1:12">
      <c r="A147">
        <f>SUMPRODUCT((MONTH(CHOOSE({1,2,3,4},KHP!T147,KHP!X147,KHP!AB147,KHP!AF147))=1)*(CHOOSE({1,2,3,4},KHP!W147,KHP!AA147,KHP!AE147,KHP!AI147)))</f>
        <v>0</v>
      </c>
      <c r="B147">
        <f>SUMPRODUCT((MONTH(CHOOSE({1,2,3,4},KHP!T147,KHP!X147,KHP!AB147,KHP!AF147))=2)*(CHOOSE({1,2,3,4},KHP!W147,KHP!AA147,KHP!AE147,KHP!AI147)))</f>
        <v>0</v>
      </c>
      <c r="C147">
        <f>SUMPRODUCT((MONTH(CHOOSE({1,2,3,4},KHP!T147,KHP!X147,KHP!AB147,KHP!AF147))=3)*(CHOOSE({1,2,3,4},KHP!W147,KHP!AA147,KHP!AE147,KHP!AI147)))</f>
        <v>0</v>
      </c>
      <c r="D147">
        <f>SUMPRODUCT((MONTH(CHOOSE({1,2,3,4},KHP!T147,KHP!X147,KHP!AB147,KHP!AF147))=4)*(CHOOSE({1,2,3,4},KHP!W147,KHP!AA147,KHP!AE147,KHP!AI147)))</f>
        <v>0</v>
      </c>
      <c r="E147">
        <f>SUMPRODUCT((MONTH(CHOOSE({1,2,3,4},KHP!T147,KHP!X147,KHP!AB147,KHP!AF147))=5)*(CHOOSE({1,2,3,4},KHP!W147,KHP!AA147,KHP!AE147,KHP!AI147)))</f>
        <v>0</v>
      </c>
      <c r="F147">
        <f>SUMPRODUCT((MONTH(CHOOSE({1,2,3,4},KHP!T147,KHP!X147,KHP!AB147,KHP!AF147))=6)*(CHOOSE({1,2,3,4},KHP!W147,KHP!AA147,KHP!AE147,KHP!AI147)))</f>
        <v>0</v>
      </c>
      <c r="G147">
        <f>SUMPRODUCT((MONTH(CHOOSE({1,2,3,4},KHP!T147,KHP!X147,KHP!AB147,KHP!AF147))=7)*(CHOOSE({1,2,3,4},KHP!W147,KHP!AA147,KHP!AE147,KHP!AI147)))</f>
        <v>0</v>
      </c>
      <c r="H147">
        <f>SUMPRODUCT((MONTH(CHOOSE({1,2,3,4},KHP!T147,KHP!X147,KHP!AB147,KHP!AF147))=8)*(CHOOSE({1,2,3,4},KHP!W147,KHP!AA147,KHP!AE147,KHP!AI147)))</f>
        <v>0</v>
      </c>
      <c r="I147">
        <f>SUMPRODUCT((MONTH(CHOOSE({1,2,3,4},KHP!T147,KHP!X147,KHP!AB147,KHP!AF147))=9)*(CHOOSE({1,2,3,4},KHP!W147,KHP!AA147,KHP!AE147,KHP!AI147)))</f>
        <v>0</v>
      </c>
      <c r="J147">
        <f>SUMPRODUCT((MONTH(CHOOSE({1,2,3,4},KHP!T147,KHP!X147,KHP!AB147,KHP!AF147))=10)*(CHOOSE({1,2,3,4},KHP!W147,KHP!AA147,KHP!AE147,KHP!AI147)))</f>
        <v>0</v>
      </c>
      <c r="K147">
        <f>SUMPRODUCT((MONTH(CHOOSE({1,2,3,4},KHP!T147,KHP!X147,KHP!AB147,KHP!AF147))=11)*(CHOOSE({1,2,3,4},KHP!W147,KHP!AA147,KHP!AE147,KHP!AI147)))</f>
        <v>0</v>
      </c>
      <c r="L147">
        <f>SUMPRODUCT((MONTH(CHOOSE({1,2,3,4},KHP!T147,KHP!X147,KHP!AB147,KHP!AF147))=12)*(CHOOSE({1,2,3,4},KHP!W147,KHP!AA147,KHP!AE147,KHP!AI147)))</f>
        <v>0</v>
      </c>
    </row>
    <row r="148" spans="1:12">
      <c r="A148">
        <f>SUMPRODUCT((MONTH(CHOOSE({1,2,3,4},KHP!T148,KHP!X148,KHP!AB148,KHP!AF148))=1)*(CHOOSE({1,2,3,4},KHP!W148,KHP!AA148,KHP!AE148,KHP!AI148)))</f>
        <v>0</v>
      </c>
      <c r="B148">
        <f>SUMPRODUCT((MONTH(CHOOSE({1,2,3,4},KHP!T148,KHP!X148,KHP!AB148,KHP!AF148))=2)*(CHOOSE({1,2,3,4},KHP!W148,KHP!AA148,KHP!AE148,KHP!AI148)))</f>
        <v>0</v>
      </c>
      <c r="C148">
        <f>SUMPRODUCT((MONTH(CHOOSE({1,2,3,4},KHP!T148,KHP!X148,KHP!AB148,KHP!AF148))=3)*(CHOOSE({1,2,3,4},KHP!W148,KHP!AA148,KHP!AE148,KHP!AI148)))</f>
        <v>0</v>
      </c>
      <c r="D148">
        <f>SUMPRODUCT((MONTH(CHOOSE({1,2,3,4},KHP!T148,KHP!X148,KHP!AB148,KHP!AF148))=4)*(CHOOSE({1,2,3,4},KHP!W148,KHP!AA148,KHP!AE148,KHP!AI148)))</f>
        <v>0</v>
      </c>
      <c r="E148">
        <f>SUMPRODUCT((MONTH(CHOOSE({1,2,3,4},KHP!T148,KHP!X148,KHP!AB148,KHP!AF148))=5)*(CHOOSE({1,2,3,4},KHP!W148,KHP!AA148,KHP!AE148,KHP!AI148)))</f>
        <v>0</v>
      </c>
      <c r="F148">
        <f>SUMPRODUCT((MONTH(CHOOSE({1,2,3,4},KHP!T148,KHP!X148,KHP!AB148,KHP!AF148))=6)*(CHOOSE({1,2,3,4},KHP!W148,KHP!AA148,KHP!AE148,KHP!AI148)))</f>
        <v>0</v>
      </c>
      <c r="G148">
        <f>SUMPRODUCT((MONTH(CHOOSE({1,2,3,4},KHP!T148,KHP!X148,KHP!AB148,KHP!AF148))=7)*(CHOOSE({1,2,3,4},KHP!W148,KHP!AA148,KHP!AE148,KHP!AI148)))</f>
        <v>0</v>
      </c>
      <c r="H148">
        <f>SUMPRODUCT((MONTH(CHOOSE({1,2,3,4},KHP!T148,KHP!X148,KHP!AB148,KHP!AF148))=8)*(CHOOSE({1,2,3,4},KHP!W148,KHP!AA148,KHP!AE148,KHP!AI148)))</f>
        <v>0</v>
      </c>
      <c r="I148">
        <f>SUMPRODUCT((MONTH(CHOOSE({1,2,3,4},KHP!T148,KHP!X148,KHP!AB148,KHP!AF148))=9)*(CHOOSE({1,2,3,4},KHP!W148,KHP!AA148,KHP!AE148,KHP!AI148)))</f>
        <v>0</v>
      </c>
      <c r="J148">
        <f>SUMPRODUCT((MONTH(CHOOSE({1,2,3,4},KHP!T148,KHP!X148,KHP!AB148,KHP!AF148))=10)*(CHOOSE({1,2,3,4},KHP!W148,KHP!AA148,KHP!AE148,KHP!AI148)))</f>
        <v>0</v>
      </c>
      <c r="K148">
        <f>SUMPRODUCT((MONTH(CHOOSE({1,2,3,4},KHP!T148,KHP!X148,KHP!AB148,KHP!AF148))=11)*(CHOOSE({1,2,3,4},KHP!W148,KHP!AA148,KHP!AE148,KHP!AI148)))</f>
        <v>0</v>
      </c>
      <c r="L148">
        <f>SUMPRODUCT((MONTH(CHOOSE({1,2,3,4},KHP!T148,KHP!X148,KHP!AB148,KHP!AF148))=12)*(CHOOSE({1,2,3,4},KHP!W148,KHP!AA148,KHP!AE148,KHP!AI148)))</f>
        <v>0</v>
      </c>
    </row>
    <row r="149" spans="1:12">
      <c r="A149">
        <f>SUMPRODUCT((MONTH(CHOOSE({1,2,3,4},KHP!T149,KHP!X149,KHP!AB149,KHP!AF149))=1)*(CHOOSE({1,2,3,4},KHP!W149,KHP!AA149,KHP!AE149,KHP!AI149)))</f>
        <v>0</v>
      </c>
      <c r="B149">
        <f>SUMPRODUCT((MONTH(CHOOSE({1,2,3,4},KHP!T149,KHP!X149,KHP!AB149,KHP!AF149))=2)*(CHOOSE({1,2,3,4},KHP!W149,KHP!AA149,KHP!AE149,KHP!AI149)))</f>
        <v>0</v>
      </c>
      <c r="C149">
        <f>SUMPRODUCT((MONTH(CHOOSE({1,2,3,4},KHP!T149,KHP!X149,KHP!AB149,KHP!AF149))=3)*(CHOOSE({1,2,3,4},KHP!W149,KHP!AA149,KHP!AE149,KHP!AI149)))</f>
        <v>0</v>
      </c>
      <c r="D149">
        <f>SUMPRODUCT((MONTH(CHOOSE({1,2,3,4},KHP!T149,KHP!X149,KHP!AB149,KHP!AF149))=4)*(CHOOSE({1,2,3,4},KHP!W149,KHP!AA149,KHP!AE149,KHP!AI149)))</f>
        <v>0</v>
      </c>
      <c r="E149">
        <f>SUMPRODUCT((MONTH(CHOOSE({1,2,3,4},KHP!T149,KHP!X149,KHP!AB149,KHP!AF149))=5)*(CHOOSE({1,2,3,4},KHP!W149,KHP!AA149,KHP!AE149,KHP!AI149)))</f>
        <v>0</v>
      </c>
      <c r="F149">
        <f>SUMPRODUCT((MONTH(CHOOSE({1,2,3,4},KHP!T149,KHP!X149,KHP!AB149,KHP!AF149))=6)*(CHOOSE({1,2,3,4},KHP!W149,KHP!AA149,KHP!AE149,KHP!AI149)))</f>
        <v>0</v>
      </c>
      <c r="G149">
        <f>SUMPRODUCT((MONTH(CHOOSE({1,2,3,4},KHP!T149,KHP!X149,KHP!AB149,KHP!AF149))=7)*(CHOOSE({1,2,3,4},KHP!W149,KHP!AA149,KHP!AE149,KHP!AI149)))</f>
        <v>0</v>
      </c>
      <c r="H149">
        <f>SUMPRODUCT((MONTH(CHOOSE({1,2,3,4},KHP!T149,KHP!X149,KHP!AB149,KHP!AF149))=8)*(CHOOSE({1,2,3,4},KHP!W149,KHP!AA149,KHP!AE149,KHP!AI149)))</f>
        <v>0</v>
      </c>
      <c r="I149">
        <f>SUMPRODUCT((MONTH(CHOOSE({1,2,3,4},KHP!T149,KHP!X149,KHP!AB149,KHP!AF149))=9)*(CHOOSE({1,2,3,4},KHP!W149,KHP!AA149,KHP!AE149,KHP!AI149)))</f>
        <v>0</v>
      </c>
      <c r="J149">
        <f>SUMPRODUCT((MONTH(CHOOSE({1,2,3,4},KHP!T149,KHP!X149,KHP!AB149,KHP!AF149))=10)*(CHOOSE({1,2,3,4},KHP!W149,KHP!AA149,KHP!AE149,KHP!AI149)))</f>
        <v>0</v>
      </c>
      <c r="K149">
        <f>SUMPRODUCT((MONTH(CHOOSE({1,2,3,4},KHP!T149,KHP!X149,KHP!AB149,KHP!AF149))=11)*(CHOOSE({1,2,3,4},KHP!W149,KHP!AA149,KHP!AE149,KHP!AI149)))</f>
        <v>0</v>
      </c>
      <c r="L149">
        <f>SUMPRODUCT((MONTH(CHOOSE({1,2,3,4},KHP!T149,KHP!X149,KHP!AB149,KHP!AF149))=12)*(CHOOSE({1,2,3,4},KHP!W149,KHP!AA149,KHP!AE149,KHP!AI149)))</f>
        <v>0</v>
      </c>
    </row>
    <row r="150" spans="1:12">
      <c r="A150">
        <f>SUMPRODUCT((MONTH(CHOOSE({1,2,3,4},KHP!T150,KHP!X150,KHP!AB150,KHP!AF150))=1)*(CHOOSE({1,2,3,4},KHP!W150,KHP!AA150,KHP!AE150,KHP!AI150)))</f>
        <v>0</v>
      </c>
      <c r="B150">
        <f>SUMPRODUCT((MONTH(CHOOSE({1,2,3,4},KHP!T150,KHP!X150,KHP!AB150,KHP!AF150))=2)*(CHOOSE({1,2,3,4},KHP!W150,KHP!AA150,KHP!AE150,KHP!AI150)))</f>
        <v>0</v>
      </c>
      <c r="C150">
        <f>SUMPRODUCT((MONTH(CHOOSE({1,2,3,4},KHP!T150,KHP!X150,KHP!AB150,KHP!AF150))=3)*(CHOOSE({1,2,3,4},KHP!W150,KHP!AA150,KHP!AE150,KHP!AI150)))</f>
        <v>0</v>
      </c>
      <c r="D150">
        <f>SUMPRODUCT((MONTH(CHOOSE({1,2,3,4},KHP!T150,KHP!X150,KHP!AB150,KHP!AF150))=4)*(CHOOSE({1,2,3,4},KHP!W150,KHP!AA150,KHP!AE150,KHP!AI150)))</f>
        <v>0</v>
      </c>
      <c r="E150">
        <f>SUMPRODUCT((MONTH(CHOOSE({1,2,3,4},KHP!T150,KHP!X150,KHP!AB150,KHP!AF150))=5)*(CHOOSE({1,2,3,4},KHP!W150,KHP!AA150,KHP!AE150,KHP!AI150)))</f>
        <v>0</v>
      </c>
      <c r="F150">
        <f>SUMPRODUCT((MONTH(CHOOSE({1,2,3,4},KHP!T150,KHP!X150,KHP!AB150,KHP!AF150))=6)*(CHOOSE({1,2,3,4},KHP!W150,KHP!AA150,KHP!AE150,KHP!AI150)))</f>
        <v>0</v>
      </c>
      <c r="G150">
        <f>SUMPRODUCT((MONTH(CHOOSE({1,2,3,4},KHP!T150,KHP!X150,KHP!AB150,KHP!AF150))=7)*(CHOOSE({1,2,3,4},KHP!W150,KHP!AA150,KHP!AE150,KHP!AI150)))</f>
        <v>0</v>
      </c>
      <c r="H150">
        <f>SUMPRODUCT((MONTH(CHOOSE({1,2,3,4},KHP!T150,KHP!X150,KHP!AB150,KHP!AF150))=8)*(CHOOSE({1,2,3,4},KHP!W150,KHP!AA150,KHP!AE150,KHP!AI150)))</f>
        <v>0</v>
      </c>
      <c r="I150">
        <f>SUMPRODUCT((MONTH(CHOOSE({1,2,3,4},KHP!T150,KHP!X150,KHP!AB150,KHP!AF150))=9)*(CHOOSE({1,2,3,4},KHP!W150,KHP!AA150,KHP!AE150,KHP!AI150)))</f>
        <v>0</v>
      </c>
      <c r="J150">
        <f>SUMPRODUCT((MONTH(CHOOSE({1,2,3,4},KHP!T150,KHP!X150,KHP!AB150,KHP!AF150))=10)*(CHOOSE({1,2,3,4},KHP!W150,KHP!AA150,KHP!AE150,KHP!AI150)))</f>
        <v>0</v>
      </c>
      <c r="K150">
        <f>SUMPRODUCT((MONTH(CHOOSE({1,2,3,4},KHP!T150,KHP!X150,KHP!AB150,KHP!AF150))=11)*(CHOOSE({1,2,3,4},KHP!W150,KHP!AA150,KHP!AE150,KHP!AI150)))</f>
        <v>0</v>
      </c>
      <c r="L150">
        <f>SUMPRODUCT((MONTH(CHOOSE({1,2,3,4},KHP!T150,KHP!X150,KHP!AB150,KHP!AF150))=12)*(CHOOSE({1,2,3,4},KHP!W150,KHP!AA150,KHP!AE150,KHP!AI150)))</f>
        <v>0</v>
      </c>
    </row>
    <row r="151" spans="1:12">
      <c r="A151">
        <f>SUMPRODUCT((MONTH(CHOOSE({1,2,3,4},KHP!T151,KHP!X151,KHP!AB151,KHP!AF151))=1)*(CHOOSE({1,2,3,4},KHP!W151,KHP!AA151,KHP!AE151,KHP!AI151)))</f>
        <v>0</v>
      </c>
      <c r="B151">
        <f>SUMPRODUCT((MONTH(CHOOSE({1,2,3,4},KHP!T151,KHP!X151,KHP!AB151,KHP!AF151))=2)*(CHOOSE({1,2,3,4},KHP!W151,KHP!AA151,KHP!AE151,KHP!AI151)))</f>
        <v>0</v>
      </c>
      <c r="C151">
        <f>SUMPRODUCT((MONTH(CHOOSE({1,2,3,4},KHP!T151,KHP!X151,KHP!AB151,KHP!AF151))=3)*(CHOOSE({1,2,3,4},KHP!W151,KHP!AA151,KHP!AE151,KHP!AI151)))</f>
        <v>0</v>
      </c>
      <c r="D151">
        <f>SUMPRODUCT((MONTH(CHOOSE({1,2,3,4},KHP!T151,KHP!X151,KHP!AB151,KHP!AF151))=4)*(CHOOSE({1,2,3,4},KHP!W151,KHP!AA151,KHP!AE151,KHP!AI151)))</f>
        <v>0</v>
      </c>
      <c r="E151">
        <f>SUMPRODUCT((MONTH(CHOOSE({1,2,3,4},KHP!T151,KHP!X151,KHP!AB151,KHP!AF151))=5)*(CHOOSE({1,2,3,4},KHP!W151,KHP!AA151,KHP!AE151,KHP!AI151)))</f>
        <v>0</v>
      </c>
      <c r="F151">
        <f>SUMPRODUCT((MONTH(CHOOSE({1,2,3,4},KHP!T151,KHP!X151,KHP!AB151,KHP!AF151))=6)*(CHOOSE({1,2,3,4},KHP!W151,KHP!AA151,KHP!AE151,KHP!AI151)))</f>
        <v>0</v>
      </c>
      <c r="G151">
        <f>SUMPRODUCT((MONTH(CHOOSE({1,2,3,4},KHP!T151,KHP!X151,KHP!AB151,KHP!AF151))=7)*(CHOOSE({1,2,3,4},KHP!W151,KHP!AA151,KHP!AE151,KHP!AI151)))</f>
        <v>0</v>
      </c>
      <c r="H151">
        <f>SUMPRODUCT((MONTH(CHOOSE({1,2,3,4},KHP!T151,KHP!X151,KHP!AB151,KHP!AF151))=8)*(CHOOSE({1,2,3,4},KHP!W151,KHP!AA151,KHP!AE151,KHP!AI151)))</f>
        <v>0</v>
      </c>
      <c r="I151">
        <f>SUMPRODUCT((MONTH(CHOOSE({1,2,3,4},KHP!T151,KHP!X151,KHP!AB151,KHP!AF151))=9)*(CHOOSE({1,2,3,4},KHP!W151,KHP!AA151,KHP!AE151,KHP!AI151)))</f>
        <v>0</v>
      </c>
      <c r="J151">
        <f>SUMPRODUCT((MONTH(CHOOSE({1,2,3,4},KHP!T151,KHP!X151,KHP!AB151,KHP!AF151))=10)*(CHOOSE({1,2,3,4},KHP!W151,KHP!AA151,KHP!AE151,KHP!AI151)))</f>
        <v>0</v>
      </c>
      <c r="K151">
        <f>SUMPRODUCT((MONTH(CHOOSE({1,2,3,4},KHP!T151,KHP!X151,KHP!AB151,KHP!AF151))=11)*(CHOOSE({1,2,3,4},KHP!W151,KHP!AA151,KHP!AE151,KHP!AI151)))</f>
        <v>0</v>
      </c>
      <c r="L151">
        <f>SUMPRODUCT((MONTH(CHOOSE({1,2,3,4},KHP!T151,KHP!X151,KHP!AB151,KHP!AF151))=12)*(CHOOSE({1,2,3,4},KHP!W151,KHP!AA151,KHP!AE151,KHP!AI151)))</f>
        <v>0</v>
      </c>
    </row>
    <row r="152" spans="1:12">
      <c r="A152">
        <f>SUMPRODUCT((MONTH(CHOOSE({1,2,3,4},KHP!T152,KHP!X152,KHP!AB152,KHP!AF152))=1)*(CHOOSE({1,2,3,4},KHP!W152,KHP!AA152,KHP!AE152,KHP!AI152)))</f>
        <v>0</v>
      </c>
      <c r="B152">
        <f>SUMPRODUCT((MONTH(CHOOSE({1,2,3,4},KHP!T152,KHP!X152,KHP!AB152,KHP!AF152))=2)*(CHOOSE({1,2,3,4},KHP!W152,KHP!AA152,KHP!AE152,KHP!AI152)))</f>
        <v>0</v>
      </c>
      <c r="C152">
        <f>SUMPRODUCT((MONTH(CHOOSE({1,2,3,4},KHP!T152,KHP!X152,KHP!AB152,KHP!AF152))=3)*(CHOOSE({1,2,3,4},KHP!W152,KHP!AA152,KHP!AE152,KHP!AI152)))</f>
        <v>0</v>
      </c>
      <c r="D152">
        <f>SUMPRODUCT((MONTH(CHOOSE({1,2,3,4},KHP!T152,KHP!X152,KHP!AB152,KHP!AF152))=4)*(CHOOSE({1,2,3,4},KHP!W152,KHP!AA152,KHP!AE152,KHP!AI152)))</f>
        <v>0</v>
      </c>
      <c r="E152">
        <f>SUMPRODUCT((MONTH(CHOOSE({1,2,3,4},KHP!T152,KHP!X152,KHP!AB152,KHP!AF152))=5)*(CHOOSE({1,2,3,4},KHP!W152,KHP!AA152,KHP!AE152,KHP!AI152)))</f>
        <v>0</v>
      </c>
      <c r="F152">
        <f>SUMPRODUCT((MONTH(CHOOSE({1,2,3,4},KHP!T152,KHP!X152,KHP!AB152,KHP!AF152))=6)*(CHOOSE({1,2,3,4},KHP!W152,KHP!AA152,KHP!AE152,KHP!AI152)))</f>
        <v>0</v>
      </c>
      <c r="G152">
        <f>SUMPRODUCT((MONTH(CHOOSE({1,2,3,4},KHP!T152,KHP!X152,KHP!AB152,KHP!AF152))=7)*(CHOOSE({1,2,3,4},KHP!W152,KHP!AA152,KHP!AE152,KHP!AI152)))</f>
        <v>0</v>
      </c>
      <c r="H152">
        <f>SUMPRODUCT((MONTH(CHOOSE({1,2,3,4},KHP!T152,KHP!X152,KHP!AB152,KHP!AF152))=8)*(CHOOSE({1,2,3,4},KHP!W152,KHP!AA152,KHP!AE152,KHP!AI152)))</f>
        <v>0</v>
      </c>
      <c r="I152">
        <f>SUMPRODUCT((MONTH(CHOOSE({1,2,3,4},KHP!T152,KHP!X152,KHP!AB152,KHP!AF152))=9)*(CHOOSE({1,2,3,4},KHP!W152,KHP!AA152,KHP!AE152,KHP!AI152)))</f>
        <v>0</v>
      </c>
      <c r="J152">
        <f>SUMPRODUCT((MONTH(CHOOSE({1,2,3,4},KHP!T152,KHP!X152,KHP!AB152,KHP!AF152))=10)*(CHOOSE({1,2,3,4},KHP!W152,KHP!AA152,KHP!AE152,KHP!AI152)))</f>
        <v>0</v>
      </c>
      <c r="K152">
        <f>SUMPRODUCT((MONTH(CHOOSE({1,2,3,4},KHP!T152,KHP!X152,KHP!AB152,KHP!AF152))=11)*(CHOOSE({1,2,3,4},KHP!W152,KHP!AA152,KHP!AE152,KHP!AI152)))</f>
        <v>0</v>
      </c>
      <c r="L152">
        <f>SUMPRODUCT((MONTH(CHOOSE({1,2,3,4},KHP!T152,KHP!X152,KHP!AB152,KHP!AF152))=12)*(CHOOSE({1,2,3,4},KHP!W152,KHP!AA152,KHP!AE152,KHP!AI152)))</f>
        <v>0</v>
      </c>
    </row>
    <row r="153" spans="1:12">
      <c r="A153">
        <f>SUMPRODUCT((MONTH(CHOOSE({1,2,3,4},KHP!T153,KHP!X153,KHP!AB153,KHP!AF153))=1)*(CHOOSE({1,2,3,4},KHP!W153,KHP!AA153,KHP!AE153,KHP!AI153)))</f>
        <v>0</v>
      </c>
      <c r="B153">
        <f>SUMPRODUCT((MONTH(CHOOSE({1,2,3,4},KHP!T153,KHP!X153,KHP!AB153,KHP!AF153))=2)*(CHOOSE({1,2,3,4},KHP!W153,KHP!AA153,KHP!AE153,KHP!AI153)))</f>
        <v>0</v>
      </c>
      <c r="C153">
        <f>SUMPRODUCT((MONTH(CHOOSE({1,2,3,4},KHP!T153,KHP!X153,KHP!AB153,KHP!AF153))=3)*(CHOOSE({1,2,3,4},KHP!W153,KHP!AA153,KHP!AE153,KHP!AI153)))</f>
        <v>0</v>
      </c>
      <c r="D153">
        <f>SUMPRODUCT((MONTH(CHOOSE({1,2,3,4},KHP!T153,KHP!X153,KHP!AB153,KHP!AF153))=4)*(CHOOSE({1,2,3,4},KHP!W153,KHP!AA153,KHP!AE153,KHP!AI153)))</f>
        <v>0</v>
      </c>
      <c r="E153">
        <f>SUMPRODUCT((MONTH(CHOOSE({1,2,3,4},KHP!T153,KHP!X153,KHP!AB153,KHP!AF153))=5)*(CHOOSE({1,2,3,4},KHP!W153,KHP!AA153,KHP!AE153,KHP!AI153)))</f>
        <v>0</v>
      </c>
      <c r="F153">
        <f>SUMPRODUCT((MONTH(CHOOSE({1,2,3,4},KHP!T153,KHP!X153,KHP!AB153,KHP!AF153))=6)*(CHOOSE({1,2,3,4},KHP!W153,KHP!AA153,KHP!AE153,KHP!AI153)))</f>
        <v>0</v>
      </c>
      <c r="G153">
        <f>SUMPRODUCT((MONTH(CHOOSE({1,2,3,4},KHP!T153,KHP!X153,KHP!AB153,KHP!AF153))=7)*(CHOOSE({1,2,3,4},KHP!W153,KHP!AA153,KHP!AE153,KHP!AI153)))</f>
        <v>0</v>
      </c>
      <c r="H153">
        <f>SUMPRODUCT((MONTH(CHOOSE({1,2,3,4},KHP!T153,KHP!X153,KHP!AB153,KHP!AF153))=8)*(CHOOSE({1,2,3,4},KHP!W153,KHP!AA153,KHP!AE153,KHP!AI153)))</f>
        <v>0</v>
      </c>
      <c r="I153">
        <f>SUMPRODUCT((MONTH(CHOOSE({1,2,3,4},KHP!T153,KHP!X153,KHP!AB153,KHP!AF153))=9)*(CHOOSE({1,2,3,4},KHP!W153,KHP!AA153,KHP!AE153,KHP!AI153)))</f>
        <v>0</v>
      </c>
      <c r="J153">
        <f>SUMPRODUCT((MONTH(CHOOSE({1,2,3,4},KHP!T153,KHP!X153,KHP!AB153,KHP!AF153))=10)*(CHOOSE({1,2,3,4},KHP!W153,KHP!AA153,KHP!AE153,KHP!AI153)))</f>
        <v>0</v>
      </c>
      <c r="K153">
        <f>SUMPRODUCT((MONTH(CHOOSE({1,2,3,4},KHP!T153,KHP!X153,KHP!AB153,KHP!AF153))=11)*(CHOOSE({1,2,3,4},KHP!W153,KHP!AA153,KHP!AE153,KHP!AI153)))</f>
        <v>0</v>
      </c>
      <c r="L153">
        <f>SUMPRODUCT((MONTH(CHOOSE({1,2,3,4},KHP!T153,KHP!X153,KHP!AB153,KHP!AF153))=12)*(CHOOSE({1,2,3,4},KHP!W153,KHP!AA153,KHP!AE153,KHP!AI153)))</f>
        <v>0</v>
      </c>
    </row>
    <row r="154" spans="1:12">
      <c r="A154">
        <f>SUMPRODUCT((MONTH(CHOOSE({1,2,3,4},KHP!T154,KHP!X154,KHP!AB154,KHP!AF154))=1)*(CHOOSE({1,2,3,4},KHP!W154,KHP!AA154,KHP!AE154,KHP!AI154)))</f>
        <v>0</v>
      </c>
      <c r="B154">
        <f>SUMPRODUCT((MONTH(CHOOSE({1,2,3,4},KHP!T154,KHP!X154,KHP!AB154,KHP!AF154))=2)*(CHOOSE({1,2,3,4},KHP!W154,KHP!AA154,KHP!AE154,KHP!AI154)))</f>
        <v>0</v>
      </c>
      <c r="C154">
        <f>SUMPRODUCT((MONTH(CHOOSE({1,2,3,4},KHP!T154,KHP!X154,KHP!AB154,KHP!AF154))=3)*(CHOOSE({1,2,3,4},KHP!W154,KHP!AA154,KHP!AE154,KHP!AI154)))</f>
        <v>0</v>
      </c>
      <c r="D154">
        <f>SUMPRODUCT((MONTH(CHOOSE({1,2,3,4},KHP!T154,KHP!X154,KHP!AB154,KHP!AF154))=4)*(CHOOSE({1,2,3,4},KHP!W154,KHP!AA154,KHP!AE154,KHP!AI154)))</f>
        <v>0</v>
      </c>
      <c r="E154">
        <f>SUMPRODUCT((MONTH(CHOOSE({1,2,3,4},KHP!T154,KHP!X154,KHP!AB154,KHP!AF154))=5)*(CHOOSE({1,2,3,4},KHP!W154,KHP!AA154,KHP!AE154,KHP!AI154)))</f>
        <v>0</v>
      </c>
      <c r="F154">
        <f>SUMPRODUCT((MONTH(CHOOSE({1,2,3,4},KHP!T154,KHP!X154,KHP!AB154,KHP!AF154))=6)*(CHOOSE({1,2,3,4},KHP!W154,KHP!AA154,KHP!AE154,KHP!AI154)))</f>
        <v>0</v>
      </c>
      <c r="G154">
        <f>SUMPRODUCT((MONTH(CHOOSE({1,2,3,4},KHP!T154,KHP!X154,KHP!AB154,KHP!AF154))=7)*(CHOOSE({1,2,3,4},KHP!W154,KHP!AA154,KHP!AE154,KHP!AI154)))</f>
        <v>0</v>
      </c>
      <c r="H154">
        <f>SUMPRODUCT((MONTH(CHOOSE({1,2,3,4},KHP!T154,KHP!X154,KHP!AB154,KHP!AF154))=8)*(CHOOSE({1,2,3,4},KHP!W154,KHP!AA154,KHP!AE154,KHP!AI154)))</f>
        <v>0</v>
      </c>
      <c r="I154">
        <f>SUMPRODUCT((MONTH(CHOOSE({1,2,3,4},KHP!T154,KHP!X154,KHP!AB154,KHP!AF154))=9)*(CHOOSE({1,2,3,4},KHP!W154,KHP!AA154,KHP!AE154,KHP!AI154)))</f>
        <v>0</v>
      </c>
      <c r="J154">
        <f>SUMPRODUCT((MONTH(CHOOSE({1,2,3,4},KHP!T154,KHP!X154,KHP!AB154,KHP!AF154))=10)*(CHOOSE({1,2,3,4},KHP!W154,KHP!AA154,KHP!AE154,KHP!AI154)))</f>
        <v>0</v>
      </c>
      <c r="K154">
        <f>SUMPRODUCT((MONTH(CHOOSE({1,2,3,4},KHP!T154,KHP!X154,KHP!AB154,KHP!AF154))=11)*(CHOOSE({1,2,3,4},KHP!W154,KHP!AA154,KHP!AE154,KHP!AI154)))</f>
        <v>0</v>
      </c>
      <c r="L154">
        <f>SUMPRODUCT((MONTH(CHOOSE({1,2,3,4},KHP!T154,KHP!X154,KHP!AB154,KHP!AF154))=12)*(CHOOSE({1,2,3,4},KHP!W154,KHP!AA154,KHP!AE154,KHP!AI154)))</f>
        <v>0</v>
      </c>
    </row>
    <row r="155" spans="1:12">
      <c r="A155">
        <f>SUMPRODUCT((MONTH(CHOOSE({1,2,3,4},KHP!T155,KHP!X155,KHP!AB155,KHP!AF155))=1)*(CHOOSE({1,2,3,4},KHP!W155,KHP!AA155,KHP!AE155,KHP!AI155)))</f>
        <v>0</v>
      </c>
      <c r="B155">
        <f>SUMPRODUCT((MONTH(CHOOSE({1,2,3,4},KHP!T155,KHP!X155,KHP!AB155,KHP!AF155))=2)*(CHOOSE({1,2,3,4},KHP!W155,KHP!AA155,KHP!AE155,KHP!AI155)))</f>
        <v>0</v>
      </c>
      <c r="C155">
        <f>SUMPRODUCT((MONTH(CHOOSE({1,2,3,4},KHP!T155,KHP!X155,KHP!AB155,KHP!AF155))=3)*(CHOOSE({1,2,3,4},KHP!W155,KHP!AA155,KHP!AE155,KHP!AI155)))</f>
        <v>0</v>
      </c>
      <c r="D155">
        <f>SUMPRODUCT((MONTH(CHOOSE({1,2,3,4},KHP!T155,KHP!X155,KHP!AB155,KHP!AF155))=4)*(CHOOSE({1,2,3,4},KHP!W155,KHP!AA155,KHP!AE155,KHP!AI155)))</f>
        <v>0</v>
      </c>
      <c r="E155">
        <f>SUMPRODUCT((MONTH(CHOOSE({1,2,3,4},KHP!T155,KHP!X155,KHP!AB155,KHP!AF155))=5)*(CHOOSE({1,2,3,4},KHP!W155,KHP!AA155,KHP!AE155,KHP!AI155)))</f>
        <v>0</v>
      </c>
      <c r="F155">
        <f>SUMPRODUCT((MONTH(CHOOSE({1,2,3,4},KHP!T155,KHP!X155,KHP!AB155,KHP!AF155))=6)*(CHOOSE({1,2,3,4},KHP!W155,KHP!AA155,KHP!AE155,KHP!AI155)))</f>
        <v>0</v>
      </c>
      <c r="G155">
        <f>SUMPRODUCT((MONTH(CHOOSE({1,2,3,4},KHP!T155,KHP!X155,KHP!AB155,KHP!AF155))=7)*(CHOOSE({1,2,3,4},KHP!W155,KHP!AA155,KHP!AE155,KHP!AI155)))</f>
        <v>0</v>
      </c>
      <c r="H155">
        <f>SUMPRODUCT((MONTH(CHOOSE({1,2,3,4},KHP!T155,KHP!X155,KHP!AB155,KHP!AF155))=8)*(CHOOSE({1,2,3,4},KHP!W155,KHP!AA155,KHP!AE155,KHP!AI155)))</f>
        <v>0</v>
      </c>
      <c r="I155">
        <f>SUMPRODUCT((MONTH(CHOOSE({1,2,3,4},KHP!T155,KHP!X155,KHP!AB155,KHP!AF155))=9)*(CHOOSE({1,2,3,4},KHP!W155,KHP!AA155,KHP!AE155,KHP!AI155)))</f>
        <v>0</v>
      </c>
      <c r="J155">
        <f>SUMPRODUCT((MONTH(CHOOSE({1,2,3,4},KHP!T155,KHP!X155,KHP!AB155,KHP!AF155))=10)*(CHOOSE({1,2,3,4},KHP!W155,KHP!AA155,KHP!AE155,KHP!AI155)))</f>
        <v>0</v>
      </c>
      <c r="K155">
        <f>SUMPRODUCT((MONTH(CHOOSE({1,2,3,4},KHP!T155,KHP!X155,KHP!AB155,KHP!AF155))=11)*(CHOOSE({1,2,3,4},KHP!W155,KHP!AA155,KHP!AE155,KHP!AI155)))</f>
        <v>0</v>
      </c>
      <c r="L155">
        <f>SUMPRODUCT((MONTH(CHOOSE({1,2,3,4},KHP!T155,KHP!X155,KHP!AB155,KHP!AF155))=12)*(CHOOSE({1,2,3,4},KHP!W155,KHP!AA155,KHP!AE155,KHP!AI155)))</f>
        <v>0</v>
      </c>
    </row>
    <row r="156" spans="1:12">
      <c r="A156">
        <f>SUMPRODUCT((MONTH(CHOOSE({1,2,3,4},KHP!T156,KHP!X156,KHP!AB156,KHP!AF156))=1)*(CHOOSE({1,2,3,4},KHP!W156,KHP!AA156,KHP!AE156,KHP!AI156)))</f>
        <v>0</v>
      </c>
      <c r="B156">
        <f>SUMPRODUCT((MONTH(CHOOSE({1,2,3,4},KHP!T156,KHP!X156,KHP!AB156,KHP!AF156))=2)*(CHOOSE({1,2,3,4},KHP!W156,KHP!AA156,KHP!AE156,KHP!AI156)))</f>
        <v>0</v>
      </c>
      <c r="C156">
        <f>SUMPRODUCT((MONTH(CHOOSE({1,2,3,4},KHP!T156,KHP!X156,KHP!AB156,KHP!AF156))=3)*(CHOOSE({1,2,3,4},KHP!W156,KHP!AA156,KHP!AE156,KHP!AI156)))</f>
        <v>0</v>
      </c>
      <c r="D156">
        <f>SUMPRODUCT((MONTH(CHOOSE({1,2,3,4},KHP!T156,KHP!X156,KHP!AB156,KHP!AF156))=4)*(CHOOSE({1,2,3,4},KHP!W156,KHP!AA156,KHP!AE156,KHP!AI156)))</f>
        <v>0</v>
      </c>
      <c r="E156">
        <f>SUMPRODUCT((MONTH(CHOOSE({1,2,3,4},KHP!T156,KHP!X156,KHP!AB156,KHP!AF156))=5)*(CHOOSE({1,2,3,4},KHP!W156,KHP!AA156,KHP!AE156,KHP!AI156)))</f>
        <v>0</v>
      </c>
      <c r="F156">
        <f>SUMPRODUCT((MONTH(CHOOSE({1,2,3,4},KHP!T156,KHP!X156,KHP!AB156,KHP!AF156))=6)*(CHOOSE({1,2,3,4},KHP!W156,KHP!AA156,KHP!AE156,KHP!AI156)))</f>
        <v>0</v>
      </c>
      <c r="G156">
        <f>SUMPRODUCT((MONTH(CHOOSE({1,2,3,4},KHP!T156,KHP!X156,KHP!AB156,KHP!AF156))=7)*(CHOOSE({1,2,3,4},KHP!W156,KHP!AA156,KHP!AE156,KHP!AI156)))</f>
        <v>0</v>
      </c>
      <c r="H156">
        <f>SUMPRODUCT((MONTH(CHOOSE({1,2,3,4},KHP!T156,KHP!X156,KHP!AB156,KHP!AF156))=8)*(CHOOSE({1,2,3,4},KHP!W156,KHP!AA156,KHP!AE156,KHP!AI156)))</f>
        <v>0</v>
      </c>
      <c r="I156">
        <f>SUMPRODUCT((MONTH(CHOOSE({1,2,3,4},KHP!T156,KHP!X156,KHP!AB156,KHP!AF156))=9)*(CHOOSE({1,2,3,4},KHP!W156,KHP!AA156,KHP!AE156,KHP!AI156)))</f>
        <v>0</v>
      </c>
      <c r="J156">
        <f>SUMPRODUCT((MONTH(CHOOSE({1,2,3,4},KHP!T156,KHP!X156,KHP!AB156,KHP!AF156))=10)*(CHOOSE({1,2,3,4},KHP!W156,KHP!AA156,KHP!AE156,KHP!AI156)))</f>
        <v>0</v>
      </c>
      <c r="K156">
        <f>SUMPRODUCT((MONTH(CHOOSE({1,2,3,4},KHP!T156,KHP!X156,KHP!AB156,KHP!AF156))=11)*(CHOOSE({1,2,3,4},KHP!W156,KHP!AA156,KHP!AE156,KHP!AI156)))</f>
        <v>0</v>
      </c>
      <c r="L156">
        <f>SUMPRODUCT((MONTH(CHOOSE({1,2,3,4},KHP!T156,KHP!X156,KHP!AB156,KHP!AF156))=12)*(CHOOSE({1,2,3,4},KHP!W156,KHP!AA156,KHP!AE156,KHP!AI156)))</f>
        <v>0</v>
      </c>
    </row>
    <row r="157" spans="1:12">
      <c r="A157">
        <f>SUMPRODUCT((MONTH(CHOOSE({1,2,3,4},KHP!T157,KHP!X157,KHP!AB157,KHP!AF157))=1)*(CHOOSE({1,2,3,4},KHP!W157,KHP!AA157,KHP!AE157,KHP!AI157)))</f>
        <v>0</v>
      </c>
      <c r="B157">
        <f>SUMPRODUCT((MONTH(CHOOSE({1,2,3,4},KHP!T157,KHP!X157,KHP!AB157,KHP!AF157))=2)*(CHOOSE({1,2,3,4},KHP!W157,KHP!AA157,KHP!AE157,KHP!AI157)))</f>
        <v>0</v>
      </c>
      <c r="C157">
        <f>SUMPRODUCT((MONTH(CHOOSE({1,2,3,4},KHP!T157,KHP!X157,KHP!AB157,KHP!AF157))=3)*(CHOOSE({1,2,3,4},KHP!W157,KHP!AA157,KHP!AE157,KHP!AI157)))</f>
        <v>0</v>
      </c>
      <c r="D157">
        <f>SUMPRODUCT((MONTH(CHOOSE({1,2,3,4},KHP!T157,KHP!X157,KHP!AB157,KHP!AF157))=4)*(CHOOSE({1,2,3,4},KHP!W157,KHP!AA157,KHP!AE157,KHP!AI157)))</f>
        <v>0</v>
      </c>
      <c r="E157">
        <f>SUMPRODUCT((MONTH(CHOOSE({1,2,3,4},KHP!T157,KHP!X157,KHP!AB157,KHP!AF157))=5)*(CHOOSE({1,2,3,4},KHP!W157,KHP!AA157,KHP!AE157,KHP!AI157)))</f>
        <v>0</v>
      </c>
      <c r="F157">
        <f>SUMPRODUCT((MONTH(CHOOSE({1,2,3,4},KHP!T157,KHP!X157,KHP!AB157,KHP!AF157))=6)*(CHOOSE({1,2,3,4},KHP!W157,KHP!AA157,KHP!AE157,KHP!AI157)))</f>
        <v>0</v>
      </c>
      <c r="G157">
        <f>SUMPRODUCT((MONTH(CHOOSE({1,2,3,4},KHP!T157,KHP!X157,KHP!AB157,KHP!AF157))=7)*(CHOOSE({1,2,3,4},KHP!W157,KHP!AA157,KHP!AE157,KHP!AI157)))</f>
        <v>0</v>
      </c>
      <c r="H157">
        <f>SUMPRODUCT((MONTH(CHOOSE({1,2,3,4},KHP!T157,KHP!X157,KHP!AB157,KHP!AF157))=8)*(CHOOSE({1,2,3,4},KHP!W157,KHP!AA157,KHP!AE157,KHP!AI157)))</f>
        <v>0</v>
      </c>
      <c r="I157">
        <f>SUMPRODUCT((MONTH(CHOOSE({1,2,3,4},KHP!T157,KHP!X157,KHP!AB157,KHP!AF157))=9)*(CHOOSE({1,2,3,4},KHP!W157,KHP!AA157,KHP!AE157,KHP!AI157)))</f>
        <v>0</v>
      </c>
      <c r="J157">
        <f>SUMPRODUCT((MONTH(CHOOSE({1,2,3,4},KHP!T157,KHP!X157,KHP!AB157,KHP!AF157))=10)*(CHOOSE({1,2,3,4},KHP!W157,KHP!AA157,KHP!AE157,KHP!AI157)))</f>
        <v>0</v>
      </c>
      <c r="K157">
        <f>SUMPRODUCT((MONTH(CHOOSE({1,2,3,4},KHP!T157,KHP!X157,KHP!AB157,KHP!AF157))=11)*(CHOOSE({1,2,3,4},KHP!W157,KHP!AA157,KHP!AE157,KHP!AI157)))</f>
        <v>0</v>
      </c>
      <c r="L157">
        <f>SUMPRODUCT((MONTH(CHOOSE({1,2,3,4},KHP!T157,KHP!X157,KHP!AB157,KHP!AF157))=12)*(CHOOSE({1,2,3,4},KHP!W157,KHP!AA157,KHP!AE157,KHP!AI157)))</f>
        <v>0</v>
      </c>
    </row>
    <row r="158" spans="1:12">
      <c r="A158">
        <f>SUMPRODUCT((MONTH(CHOOSE({1,2,3,4},KHP!T158,KHP!X158,KHP!AB158,KHP!AF158))=1)*(CHOOSE({1,2,3,4},KHP!W158,KHP!AA158,KHP!AE158,KHP!AI158)))</f>
        <v>0</v>
      </c>
      <c r="B158">
        <f>SUMPRODUCT((MONTH(CHOOSE({1,2,3,4},KHP!T158,KHP!X158,KHP!AB158,KHP!AF158))=2)*(CHOOSE({1,2,3,4},KHP!W158,KHP!AA158,KHP!AE158,KHP!AI158)))</f>
        <v>0</v>
      </c>
      <c r="C158">
        <f>SUMPRODUCT((MONTH(CHOOSE({1,2,3,4},KHP!T158,KHP!X158,KHP!AB158,KHP!AF158))=3)*(CHOOSE({1,2,3,4},KHP!W158,KHP!AA158,KHP!AE158,KHP!AI158)))</f>
        <v>0</v>
      </c>
      <c r="D158">
        <f>SUMPRODUCT((MONTH(CHOOSE({1,2,3,4},KHP!T158,KHP!X158,KHP!AB158,KHP!AF158))=4)*(CHOOSE({1,2,3,4},KHP!W158,KHP!AA158,KHP!AE158,KHP!AI158)))</f>
        <v>0</v>
      </c>
      <c r="E158">
        <f>SUMPRODUCT((MONTH(CHOOSE({1,2,3,4},KHP!T158,KHP!X158,KHP!AB158,KHP!AF158))=5)*(CHOOSE({1,2,3,4},KHP!W158,KHP!AA158,KHP!AE158,KHP!AI158)))</f>
        <v>0</v>
      </c>
      <c r="F158">
        <f>SUMPRODUCT((MONTH(CHOOSE({1,2,3,4},KHP!T158,KHP!X158,KHP!AB158,KHP!AF158))=6)*(CHOOSE({1,2,3,4},KHP!W158,KHP!AA158,KHP!AE158,KHP!AI158)))</f>
        <v>0</v>
      </c>
      <c r="G158">
        <f>SUMPRODUCT((MONTH(CHOOSE({1,2,3,4},KHP!T158,KHP!X158,KHP!AB158,KHP!AF158))=7)*(CHOOSE({1,2,3,4},KHP!W158,KHP!AA158,KHP!AE158,KHP!AI158)))</f>
        <v>0</v>
      </c>
      <c r="H158">
        <f>SUMPRODUCT((MONTH(CHOOSE({1,2,3,4},KHP!T158,KHP!X158,KHP!AB158,KHP!AF158))=8)*(CHOOSE({1,2,3,4},KHP!W158,KHP!AA158,KHP!AE158,KHP!AI158)))</f>
        <v>0</v>
      </c>
      <c r="I158">
        <f>SUMPRODUCT((MONTH(CHOOSE({1,2,3,4},KHP!T158,KHP!X158,KHP!AB158,KHP!AF158))=9)*(CHOOSE({1,2,3,4},KHP!W158,KHP!AA158,KHP!AE158,KHP!AI158)))</f>
        <v>0</v>
      </c>
      <c r="J158">
        <f>SUMPRODUCT((MONTH(CHOOSE({1,2,3,4},KHP!T158,KHP!X158,KHP!AB158,KHP!AF158))=10)*(CHOOSE({1,2,3,4},KHP!W158,KHP!AA158,KHP!AE158,KHP!AI158)))</f>
        <v>0</v>
      </c>
      <c r="K158">
        <f>SUMPRODUCT((MONTH(CHOOSE({1,2,3,4},KHP!T158,KHP!X158,KHP!AB158,KHP!AF158))=11)*(CHOOSE({1,2,3,4},KHP!W158,KHP!AA158,KHP!AE158,KHP!AI158)))</f>
        <v>0</v>
      </c>
      <c r="L158">
        <f>SUMPRODUCT((MONTH(CHOOSE({1,2,3,4},KHP!T158,KHP!X158,KHP!AB158,KHP!AF158))=12)*(CHOOSE({1,2,3,4},KHP!W158,KHP!AA158,KHP!AE158,KHP!AI158)))</f>
        <v>0</v>
      </c>
    </row>
    <row r="159" spans="1:12">
      <c r="A159">
        <f>SUMPRODUCT((MONTH(CHOOSE({1,2,3,4},KHP!T159,KHP!X159,KHP!AB159,KHP!AF159))=1)*(CHOOSE({1,2,3,4},KHP!W159,KHP!AA159,KHP!AE159,KHP!AI159)))</f>
        <v>0</v>
      </c>
      <c r="B159">
        <f>SUMPRODUCT((MONTH(CHOOSE({1,2,3,4},KHP!T159,KHP!X159,KHP!AB159,KHP!AF159))=2)*(CHOOSE({1,2,3,4},KHP!W159,KHP!AA159,KHP!AE159,KHP!AI159)))</f>
        <v>0</v>
      </c>
      <c r="C159">
        <f>SUMPRODUCT((MONTH(CHOOSE({1,2,3,4},KHP!T159,KHP!X159,KHP!AB159,KHP!AF159))=3)*(CHOOSE({1,2,3,4},KHP!W159,KHP!AA159,KHP!AE159,KHP!AI159)))</f>
        <v>0</v>
      </c>
      <c r="D159">
        <f>SUMPRODUCT((MONTH(CHOOSE({1,2,3,4},KHP!T159,KHP!X159,KHP!AB159,KHP!AF159))=4)*(CHOOSE({1,2,3,4},KHP!W159,KHP!AA159,KHP!AE159,KHP!AI159)))</f>
        <v>0</v>
      </c>
      <c r="E159">
        <f>SUMPRODUCT((MONTH(CHOOSE({1,2,3,4},KHP!T159,KHP!X159,KHP!AB159,KHP!AF159))=5)*(CHOOSE({1,2,3,4},KHP!W159,KHP!AA159,KHP!AE159,KHP!AI159)))</f>
        <v>0</v>
      </c>
      <c r="F159">
        <f>SUMPRODUCT((MONTH(CHOOSE({1,2,3,4},KHP!T159,KHP!X159,KHP!AB159,KHP!AF159))=6)*(CHOOSE({1,2,3,4},KHP!W159,KHP!AA159,KHP!AE159,KHP!AI159)))</f>
        <v>0</v>
      </c>
      <c r="G159">
        <f>SUMPRODUCT((MONTH(CHOOSE({1,2,3,4},KHP!T159,KHP!X159,KHP!AB159,KHP!AF159))=7)*(CHOOSE({1,2,3,4},KHP!W159,KHP!AA159,KHP!AE159,KHP!AI159)))</f>
        <v>0</v>
      </c>
      <c r="H159">
        <f>SUMPRODUCT((MONTH(CHOOSE({1,2,3,4},KHP!T159,KHP!X159,KHP!AB159,KHP!AF159))=8)*(CHOOSE({1,2,3,4},KHP!W159,KHP!AA159,KHP!AE159,KHP!AI159)))</f>
        <v>0</v>
      </c>
      <c r="I159">
        <f>SUMPRODUCT((MONTH(CHOOSE({1,2,3,4},KHP!T159,KHP!X159,KHP!AB159,KHP!AF159))=9)*(CHOOSE({1,2,3,4},KHP!W159,KHP!AA159,KHP!AE159,KHP!AI159)))</f>
        <v>0</v>
      </c>
      <c r="J159">
        <f>SUMPRODUCT((MONTH(CHOOSE({1,2,3,4},KHP!T159,KHP!X159,KHP!AB159,KHP!AF159))=10)*(CHOOSE({1,2,3,4},KHP!W159,KHP!AA159,KHP!AE159,KHP!AI159)))</f>
        <v>0</v>
      </c>
      <c r="K159">
        <f>SUMPRODUCT((MONTH(CHOOSE({1,2,3,4},KHP!T159,KHP!X159,KHP!AB159,KHP!AF159))=11)*(CHOOSE({1,2,3,4},KHP!W159,KHP!AA159,KHP!AE159,KHP!AI159)))</f>
        <v>0</v>
      </c>
      <c r="L159">
        <f>SUMPRODUCT((MONTH(CHOOSE({1,2,3,4},KHP!T159,KHP!X159,KHP!AB159,KHP!AF159))=12)*(CHOOSE({1,2,3,4},KHP!W159,KHP!AA159,KHP!AE159,KHP!AI159)))</f>
        <v>0</v>
      </c>
    </row>
    <row r="160" spans="1:12">
      <c r="A160">
        <f>SUMPRODUCT((MONTH(CHOOSE({1,2,3,4},KHP!T160,KHP!X160,KHP!AB160,KHP!AF160))=1)*(CHOOSE({1,2,3,4},KHP!W160,KHP!AA160,KHP!AE160,KHP!AI160)))</f>
        <v>0</v>
      </c>
      <c r="B160">
        <f>SUMPRODUCT((MONTH(CHOOSE({1,2,3,4},KHP!T160,KHP!X160,KHP!AB160,KHP!AF160))=2)*(CHOOSE({1,2,3,4},KHP!W160,KHP!AA160,KHP!AE160,KHP!AI160)))</f>
        <v>0</v>
      </c>
      <c r="C160">
        <f>SUMPRODUCT((MONTH(CHOOSE({1,2,3,4},KHP!T160,KHP!X160,KHP!AB160,KHP!AF160))=3)*(CHOOSE({1,2,3,4},KHP!W160,KHP!AA160,KHP!AE160,KHP!AI160)))</f>
        <v>0</v>
      </c>
      <c r="D160">
        <f>SUMPRODUCT((MONTH(CHOOSE({1,2,3,4},KHP!T160,KHP!X160,KHP!AB160,KHP!AF160))=4)*(CHOOSE({1,2,3,4},KHP!W160,KHP!AA160,KHP!AE160,KHP!AI160)))</f>
        <v>0</v>
      </c>
      <c r="E160">
        <f>SUMPRODUCT((MONTH(CHOOSE({1,2,3,4},KHP!T160,KHP!X160,KHP!AB160,KHP!AF160))=5)*(CHOOSE({1,2,3,4},KHP!W160,KHP!AA160,KHP!AE160,KHP!AI160)))</f>
        <v>0</v>
      </c>
      <c r="F160">
        <f>SUMPRODUCT((MONTH(CHOOSE({1,2,3,4},KHP!T160,KHP!X160,KHP!AB160,KHP!AF160))=6)*(CHOOSE({1,2,3,4},KHP!W160,KHP!AA160,KHP!AE160,KHP!AI160)))</f>
        <v>0</v>
      </c>
      <c r="G160">
        <f>SUMPRODUCT((MONTH(CHOOSE({1,2,3,4},KHP!T160,KHP!X160,KHP!AB160,KHP!AF160))=7)*(CHOOSE({1,2,3,4},KHP!W160,KHP!AA160,KHP!AE160,KHP!AI160)))</f>
        <v>0</v>
      </c>
      <c r="H160">
        <f>SUMPRODUCT((MONTH(CHOOSE({1,2,3,4},KHP!T160,KHP!X160,KHP!AB160,KHP!AF160))=8)*(CHOOSE({1,2,3,4},KHP!W160,KHP!AA160,KHP!AE160,KHP!AI160)))</f>
        <v>0</v>
      </c>
      <c r="I160">
        <f>SUMPRODUCT((MONTH(CHOOSE({1,2,3,4},KHP!T160,KHP!X160,KHP!AB160,KHP!AF160))=9)*(CHOOSE({1,2,3,4},KHP!W160,KHP!AA160,KHP!AE160,KHP!AI160)))</f>
        <v>0</v>
      </c>
      <c r="J160">
        <f>SUMPRODUCT((MONTH(CHOOSE({1,2,3,4},KHP!T160,KHP!X160,KHP!AB160,KHP!AF160))=10)*(CHOOSE({1,2,3,4},KHP!W160,KHP!AA160,KHP!AE160,KHP!AI160)))</f>
        <v>0</v>
      </c>
      <c r="K160">
        <f>SUMPRODUCT((MONTH(CHOOSE({1,2,3,4},KHP!T160,KHP!X160,KHP!AB160,KHP!AF160))=11)*(CHOOSE({1,2,3,4},KHP!W160,KHP!AA160,KHP!AE160,KHP!AI160)))</f>
        <v>0</v>
      </c>
      <c r="L160">
        <f>SUMPRODUCT((MONTH(CHOOSE({1,2,3,4},KHP!T160,KHP!X160,KHP!AB160,KHP!AF160))=12)*(CHOOSE({1,2,3,4},KHP!W160,KHP!AA160,KHP!AE160,KHP!AI160)))</f>
        <v>0</v>
      </c>
    </row>
    <row r="161" spans="1:12">
      <c r="A161">
        <f>SUMPRODUCT((MONTH(CHOOSE({1,2,3,4},KHP!T161,KHP!X161,KHP!AB161,KHP!AF161))=1)*(CHOOSE({1,2,3,4},KHP!W161,KHP!AA161,KHP!AE161,KHP!AI161)))</f>
        <v>0</v>
      </c>
      <c r="B161">
        <f>SUMPRODUCT((MONTH(CHOOSE({1,2,3,4},KHP!T161,KHP!X161,KHP!AB161,KHP!AF161))=2)*(CHOOSE({1,2,3,4},KHP!W161,KHP!AA161,KHP!AE161,KHP!AI161)))</f>
        <v>0</v>
      </c>
      <c r="C161">
        <f>SUMPRODUCT((MONTH(CHOOSE({1,2,3,4},KHP!T161,KHP!X161,KHP!AB161,KHP!AF161))=3)*(CHOOSE({1,2,3,4},KHP!W161,KHP!AA161,KHP!AE161,KHP!AI161)))</f>
        <v>0</v>
      </c>
      <c r="D161">
        <f>SUMPRODUCT((MONTH(CHOOSE({1,2,3,4},KHP!T161,KHP!X161,KHP!AB161,KHP!AF161))=4)*(CHOOSE({1,2,3,4},KHP!W161,KHP!AA161,KHP!AE161,KHP!AI161)))</f>
        <v>0</v>
      </c>
      <c r="E161">
        <f>SUMPRODUCT((MONTH(CHOOSE({1,2,3,4},KHP!T161,KHP!X161,KHP!AB161,KHP!AF161))=5)*(CHOOSE({1,2,3,4},KHP!W161,KHP!AA161,KHP!AE161,KHP!AI161)))</f>
        <v>0</v>
      </c>
      <c r="F161">
        <f>SUMPRODUCT((MONTH(CHOOSE({1,2,3,4},KHP!T161,KHP!X161,KHP!AB161,KHP!AF161))=6)*(CHOOSE({1,2,3,4},KHP!W161,KHP!AA161,KHP!AE161,KHP!AI161)))</f>
        <v>0</v>
      </c>
      <c r="G161">
        <f>SUMPRODUCT((MONTH(CHOOSE({1,2,3,4},KHP!T161,KHP!X161,KHP!AB161,KHP!AF161))=7)*(CHOOSE({1,2,3,4},KHP!W161,KHP!AA161,KHP!AE161,KHP!AI161)))</f>
        <v>0</v>
      </c>
      <c r="H161">
        <f>SUMPRODUCT((MONTH(CHOOSE({1,2,3,4},KHP!T161,KHP!X161,KHP!AB161,KHP!AF161))=8)*(CHOOSE({1,2,3,4},KHP!W161,KHP!AA161,KHP!AE161,KHP!AI161)))</f>
        <v>0</v>
      </c>
      <c r="I161">
        <f>SUMPRODUCT((MONTH(CHOOSE({1,2,3,4},KHP!T161,KHP!X161,KHP!AB161,KHP!AF161))=9)*(CHOOSE({1,2,3,4},KHP!W161,KHP!AA161,KHP!AE161,KHP!AI161)))</f>
        <v>0</v>
      </c>
      <c r="J161">
        <f>SUMPRODUCT((MONTH(CHOOSE({1,2,3,4},KHP!T161,KHP!X161,KHP!AB161,KHP!AF161))=10)*(CHOOSE({1,2,3,4},KHP!W161,KHP!AA161,KHP!AE161,KHP!AI161)))</f>
        <v>0</v>
      </c>
      <c r="K161">
        <f>SUMPRODUCT((MONTH(CHOOSE({1,2,3,4},KHP!T161,KHP!X161,KHP!AB161,KHP!AF161))=11)*(CHOOSE({1,2,3,4},KHP!W161,KHP!AA161,KHP!AE161,KHP!AI161)))</f>
        <v>0</v>
      </c>
      <c r="L161">
        <f>SUMPRODUCT((MONTH(CHOOSE({1,2,3,4},KHP!T161,KHP!X161,KHP!AB161,KHP!AF161))=12)*(CHOOSE({1,2,3,4},KHP!W161,KHP!AA161,KHP!AE161,KHP!AI161)))</f>
        <v>0</v>
      </c>
    </row>
    <row r="162" spans="1:12">
      <c r="A162">
        <f>SUMPRODUCT((MONTH(CHOOSE({1,2,3,4},KHP!T162,KHP!X162,KHP!AB162,KHP!AF162))=1)*(CHOOSE({1,2,3,4},KHP!W162,KHP!AA162,KHP!AE162,KHP!AI162)))</f>
        <v>0</v>
      </c>
      <c r="B162">
        <f>SUMPRODUCT((MONTH(CHOOSE({1,2,3,4},KHP!T162,KHP!X162,KHP!AB162,KHP!AF162))=2)*(CHOOSE({1,2,3,4},KHP!W162,KHP!AA162,KHP!AE162,KHP!AI162)))</f>
        <v>0</v>
      </c>
      <c r="C162">
        <f>SUMPRODUCT((MONTH(CHOOSE({1,2,3,4},KHP!T162,KHP!X162,KHP!AB162,KHP!AF162))=3)*(CHOOSE({1,2,3,4},KHP!W162,KHP!AA162,KHP!AE162,KHP!AI162)))</f>
        <v>0</v>
      </c>
      <c r="D162">
        <f>SUMPRODUCT((MONTH(CHOOSE({1,2,3,4},KHP!T162,KHP!X162,KHP!AB162,KHP!AF162))=4)*(CHOOSE({1,2,3,4},KHP!W162,KHP!AA162,KHP!AE162,KHP!AI162)))</f>
        <v>0</v>
      </c>
      <c r="E162">
        <f>SUMPRODUCT((MONTH(CHOOSE({1,2,3,4},KHP!T162,KHP!X162,KHP!AB162,KHP!AF162))=5)*(CHOOSE({1,2,3,4},KHP!W162,KHP!AA162,KHP!AE162,KHP!AI162)))</f>
        <v>0</v>
      </c>
      <c r="F162">
        <f>SUMPRODUCT((MONTH(CHOOSE({1,2,3,4},KHP!T162,KHP!X162,KHP!AB162,KHP!AF162))=6)*(CHOOSE({1,2,3,4},KHP!W162,KHP!AA162,KHP!AE162,KHP!AI162)))</f>
        <v>0</v>
      </c>
      <c r="G162">
        <f>SUMPRODUCT((MONTH(CHOOSE({1,2,3,4},KHP!T162,KHP!X162,KHP!AB162,KHP!AF162))=7)*(CHOOSE({1,2,3,4},KHP!W162,KHP!AA162,KHP!AE162,KHP!AI162)))</f>
        <v>0</v>
      </c>
      <c r="H162">
        <f>SUMPRODUCT((MONTH(CHOOSE({1,2,3,4},KHP!T162,KHP!X162,KHP!AB162,KHP!AF162))=8)*(CHOOSE({1,2,3,4},KHP!W162,KHP!AA162,KHP!AE162,KHP!AI162)))</f>
        <v>0</v>
      </c>
      <c r="I162">
        <f>SUMPRODUCT((MONTH(CHOOSE({1,2,3,4},KHP!T162,KHP!X162,KHP!AB162,KHP!AF162))=9)*(CHOOSE({1,2,3,4},KHP!W162,KHP!AA162,KHP!AE162,KHP!AI162)))</f>
        <v>0</v>
      </c>
      <c r="J162">
        <f>SUMPRODUCT((MONTH(CHOOSE({1,2,3,4},KHP!T162,KHP!X162,KHP!AB162,KHP!AF162))=10)*(CHOOSE({1,2,3,4},KHP!W162,KHP!AA162,KHP!AE162,KHP!AI162)))</f>
        <v>0</v>
      </c>
      <c r="K162">
        <f>SUMPRODUCT((MONTH(CHOOSE({1,2,3,4},KHP!T162,KHP!X162,KHP!AB162,KHP!AF162))=11)*(CHOOSE({1,2,3,4},KHP!W162,KHP!AA162,KHP!AE162,KHP!AI162)))</f>
        <v>0</v>
      </c>
      <c r="L162">
        <f>SUMPRODUCT((MONTH(CHOOSE({1,2,3,4},KHP!T162,KHP!X162,KHP!AB162,KHP!AF162))=12)*(CHOOSE({1,2,3,4},KHP!W162,KHP!AA162,KHP!AE162,KHP!AI162)))</f>
        <v>0</v>
      </c>
    </row>
    <row r="163" spans="1:12">
      <c r="A163">
        <f>SUMPRODUCT((MONTH(CHOOSE({1,2,3,4},KHP!T163,KHP!X163,KHP!AB163,KHP!AF163))=1)*(CHOOSE({1,2,3,4},KHP!W163,KHP!AA163,KHP!AE163,KHP!AI163)))</f>
        <v>0</v>
      </c>
      <c r="B163">
        <f>SUMPRODUCT((MONTH(CHOOSE({1,2,3,4},KHP!T163,KHP!X163,KHP!AB163,KHP!AF163))=2)*(CHOOSE({1,2,3,4},KHP!W163,KHP!AA163,KHP!AE163,KHP!AI163)))</f>
        <v>0</v>
      </c>
      <c r="C163">
        <f>SUMPRODUCT((MONTH(CHOOSE({1,2,3,4},KHP!T163,KHP!X163,KHP!AB163,KHP!AF163))=3)*(CHOOSE({1,2,3,4},KHP!W163,KHP!AA163,KHP!AE163,KHP!AI163)))</f>
        <v>0</v>
      </c>
      <c r="D163">
        <f>SUMPRODUCT((MONTH(CHOOSE({1,2,3,4},KHP!T163,KHP!X163,KHP!AB163,KHP!AF163))=4)*(CHOOSE({1,2,3,4},KHP!W163,KHP!AA163,KHP!AE163,KHP!AI163)))</f>
        <v>0</v>
      </c>
      <c r="E163">
        <f>SUMPRODUCT((MONTH(CHOOSE({1,2,3,4},KHP!T163,KHP!X163,KHP!AB163,KHP!AF163))=5)*(CHOOSE({1,2,3,4},KHP!W163,KHP!AA163,KHP!AE163,KHP!AI163)))</f>
        <v>0</v>
      </c>
      <c r="F163">
        <f>SUMPRODUCT((MONTH(CHOOSE({1,2,3,4},KHP!T163,KHP!X163,KHP!AB163,KHP!AF163))=6)*(CHOOSE({1,2,3,4},KHP!W163,KHP!AA163,KHP!AE163,KHP!AI163)))</f>
        <v>0</v>
      </c>
      <c r="G163">
        <f>SUMPRODUCT((MONTH(CHOOSE({1,2,3,4},KHP!T163,KHP!X163,KHP!AB163,KHP!AF163))=7)*(CHOOSE({1,2,3,4},KHP!W163,KHP!AA163,KHP!AE163,KHP!AI163)))</f>
        <v>0</v>
      </c>
      <c r="H163">
        <f>SUMPRODUCT((MONTH(CHOOSE({1,2,3,4},KHP!T163,KHP!X163,KHP!AB163,KHP!AF163))=8)*(CHOOSE({1,2,3,4},KHP!W163,KHP!AA163,KHP!AE163,KHP!AI163)))</f>
        <v>0</v>
      </c>
      <c r="I163">
        <f>SUMPRODUCT((MONTH(CHOOSE({1,2,3,4},KHP!T163,KHP!X163,KHP!AB163,KHP!AF163))=9)*(CHOOSE({1,2,3,4},KHP!W163,KHP!AA163,KHP!AE163,KHP!AI163)))</f>
        <v>0</v>
      </c>
      <c r="J163">
        <f>SUMPRODUCT((MONTH(CHOOSE({1,2,3,4},KHP!T163,KHP!X163,KHP!AB163,KHP!AF163))=10)*(CHOOSE({1,2,3,4},KHP!W163,KHP!AA163,KHP!AE163,KHP!AI163)))</f>
        <v>0</v>
      </c>
      <c r="K163">
        <f>SUMPRODUCT((MONTH(CHOOSE({1,2,3,4},KHP!T163,KHP!X163,KHP!AB163,KHP!AF163))=11)*(CHOOSE({1,2,3,4},KHP!W163,KHP!AA163,KHP!AE163,KHP!AI163)))</f>
        <v>0</v>
      </c>
      <c r="L163">
        <f>SUMPRODUCT((MONTH(CHOOSE({1,2,3,4},KHP!T163,KHP!X163,KHP!AB163,KHP!AF163))=12)*(CHOOSE({1,2,3,4},KHP!W163,KHP!AA163,KHP!AE163,KHP!AI163)))</f>
        <v>0</v>
      </c>
    </row>
    <row r="164" spans="1:12">
      <c r="A164">
        <f>SUMPRODUCT((MONTH(CHOOSE({1,2,3,4},KHP!T164,KHP!X164,KHP!AB164,KHP!AF164))=1)*(CHOOSE({1,2,3,4},KHP!W164,KHP!AA164,KHP!AE164,KHP!AI164)))</f>
        <v>0</v>
      </c>
      <c r="B164">
        <f>SUMPRODUCT((MONTH(CHOOSE({1,2,3,4},KHP!T164,KHP!X164,KHP!AB164,KHP!AF164))=2)*(CHOOSE({1,2,3,4},KHP!W164,KHP!AA164,KHP!AE164,KHP!AI164)))</f>
        <v>0</v>
      </c>
      <c r="C164">
        <f>SUMPRODUCT((MONTH(CHOOSE({1,2,3,4},KHP!T164,KHP!X164,KHP!AB164,KHP!AF164))=3)*(CHOOSE({1,2,3,4},KHP!W164,KHP!AA164,KHP!AE164,KHP!AI164)))</f>
        <v>0</v>
      </c>
      <c r="D164">
        <f>SUMPRODUCT((MONTH(CHOOSE({1,2,3,4},KHP!T164,KHP!X164,KHP!AB164,KHP!AF164))=4)*(CHOOSE({1,2,3,4},KHP!W164,KHP!AA164,KHP!AE164,KHP!AI164)))</f>
        <v>0</v>
      </c>
      <c r="E164">
        <f>SUMPRODUCT((MONTH(CHOOSE({1,2,3,4},KHP!T164,KHP!X164,KHP!AB164,KHP!AF164))=5)*(CHOOSE({1,2,3,4},KHP!W164,KHP!AA164,KHP!AE164,KHP!AI164)))</f>
        <v>0</v>
      </c>
      <c r="F164">
        <f>SUMPRODUCT((MONTH(CHOOSE({1,2,3,4},KHP!T164,KHP!X164,KHP!AB164,KHP!AF164))=6)*(CHOOSE({1,2,3,4},KHP!W164,KHP!AA164,KHP!AE164,KHP!AI164)))</f>
        <v>0</v>
      </c>
      <c r="G164">
        <f>SUMPRODUCT((MONTH(CHOOSE({1,2,3,4},KHP!T164,KHP!X164,KHP!AB164,KHP!AF164))=7)*(CHOOSE({1,2,3,4},KHP!W164,KHP!AA164,KHP!AE164,KHP!AI164)))</f>
        <v>0</v>
      </c>
      <c r="H164">
        <f>SUMPRODUCT((MONTH(CHOOSE({1,2,3,4},KHP!T164,KHP!X164,KHP!AB164,KHP!AF164))=8)*(CHOOSE({1,2,3,4},KHP!W164,KHP!AA164,KHP!AE164,KHP!AI164)))</f>
        <v>0</v>
      </c>
      <c r="I164">
        <f>SUMPRODUCT((MONTH(CHOOSE({1,2,3,4},KHP!T164,KHP!X164,KHP!AB164,KHP!AF164))=9)*(CHOOSE({1,2,3,4},KHP!W164,KHP!AA164,KHP!AE164,KHP!AI164)))</f>
        <v>0</v>
      </c>
      <c r="J164">
        <f>SUMPRODUCT((MONTH(CHOOSE({1,2,3,4},KHP!T164,KHP!X164,KHP!AB164,KHP!AF164))=10)*(CHOOSE({1,2,3,4},KHP!W164,KHP!AA164,KHP!AE164,KHP!AI164)))</f>
        <v>0</v>
      </c>
      <c r="K164">
        <f>SUMPRODUCT((MONTH(CHOOSE({1,2,3,4},KHP!T164,KHP!X164,KHP!AB164,KHP!AF164))=11)*(CHOOSE({1,2,3,4},KHP!W164,KHP!AA164,KHP!AE164,KHP!AI164)))</f>
        <v>0</v>
      </c>
      <c r="L164">
        <f>SUMPRODUCT((MONTH(CHOOSE({1,2,3,4},KHP!T164,KHP!X164,KHP!AB164,KHP!AF164))=12)*(CHOOSE({1,2,3,4},KHP!W164,KHP!AA164,KHP!AE164,KHP!AI164)))</f>
        <v>0</v>
      </c>
    </row>
    <row r="165" spans="1:12">
      <c r="A165">
        <f>SUMPRODUCT((MONTH(CHOOSE({1,2,3,4},KHP!T165,KHP!X165,KHP!AB165,KHP!AF165))=1)*(CHOOSE({1,2,3,4},KHP!W165,KHP!AA165,KHP!AE165,KHP!AI165)))</f>
        <v>0</v>
      </c>
      <c r="B165">
        <f>SUMPRODUCT((MONTH(CHOOSE({1,2,3,4},KHP!T165,KHP!X165,KHP!AB165,KHP!AF165))=2)*(CHOOSE({1,2,3,4},KHP!W165,KHP!AA165,KHP!AE165,KHP!AI165)))</f>
        <v>0</v>
      </c>
      <c r="C165">
        <f>SUMPRODUCT((MONTH(CHOOSE({1,2,3,4},KHP!T165,KHP!X165,KHP!AB165,KHP!AF165))=3)*(CHOOSE({1,2,3,4},KHP!W165,KHP!AA165,KHP!AE165,KHP!AI165)))</f>
        <v>0</v>
      </c>
      <c r="D165">
        <f>SUMPRODUCT((MONTH(CHOOSE({1,2,3,4},KHP!T165,KHP!X165,KHP!AB165,KHP!AF165))=4)*(CHOOSE({1,2,3,4},KHP!W165,KHP!AA165,KHP!AE165,KHP!AI165)))</f>
        <v>0</v>
      </c>
      <c r="E165">
        <f>SUMPRODUCT((MONTH(CHOOSE({1,2,3,4},KHP!T165,KHP!X165,KHP!AB165,KHP!AF165))=5)*(CHOOSE({1,2,3,4},KHP!W165,KHP!AA165,KHP!AE165,KHP!AI165)))</f>
        <v>0</v>
      </c>
      <c r="F165">
        <f>SUMPRODUCT((MONTH(CHOOSE({1,2,3,4},KHP!T165,KHP!X165,KHP!AB165,KHP!AF165))=6)*(CHOOSE({1,2,3,4},KHP!W165,KHP!AA165,KHP!AE165,KHP!AI165)))</f>
        <v>0</v>
      </c>
      <c r="G165">
        <f>SUMPRODUCT((MONTH(CHOOSE({1,2,3,4},KHP!T165,KHP!X165,KHP!AB165,KHP!AF165))=7)*(CHOOSE({1,2,3,4},KHP!W165,KHP!AA165,KHP!AE165,KHP!AI165)))</f>
        <v>0</v>
      </c>
      <c r="H165">
        <f>SUMPRODUCT((MONTH(CHOOSE({1,2,3,4},KHP!T165,KHP!X165,KHP!AB165,KHP!AF165))=8)*(CHOOSE({1,2,3,4},KHP!W165,KHP!AA165,KHP!AE165,KHP!AI165)))</f>
        <v>0</v>
      </c>
      <c r="I165">
        <f>SUMPRODUCT((MONTH(CHOOSE({1,2,3,4},KHP!T165,KHP!X165,KHP!AB165,KHP!AF165))=9)*(CHOOSE({1,2,3,4},KHP!W165,KHP!AA165,KHP!AE165,KHP!AI165)))</f>
        <v>0</v>
      </c>
      <c r="J165">
        <f>SUMPRODUCT((MONTH(CHOOSE({1,2,3,4},KHP!T165,KHP!X165,KHP!AB165,KHP!AF165))=10)*(CHOOSE({1,2,3,4},KHP!W165,KHP!AA165,KHP!AE165,KHP!AI165)))</f>
        <v>0</v>
      </c>
      <c r="K165">
        <f>SUMPRODUCT((MONTH(CHOOSE({1,2,3,4},KHP!T165,KHP!X165,KHP!AB165,KHP!AF165))=11)*(CHOOSE({1,2,3,4},KHP!W165,KHP!AA165,KHP!AE165,KHP!AI165)))</f>
        <v>0</v>
      </c>
      <c r="L165">
        <f>SUMPRODUCT((MONTH(CHOOSE({1,2,3,4},KHP!T165,KHP!X165,KHP!AB165,KHP!AF165))=12)*(CHOOSE({1,2,3,4},KHP!W165,KHP!AA165,KHP!AE165,KHP!AI165)))</f>
        <v>0</v>
      </c>
    </row>
    <row r="166" spans="1:12">
      <c r="A166">
        <f>SUMPRODUCT((MONTH(CHOOSE({1,2,3,4},KHP!T166,KHP!X166,KHP!AB166,KHP!AF166))=1)*(CHOOSE({1,2,3,4},KHP!W166,KHP!AA166,KHP!AE166,KHP!AI166)))</f>
        <v>0</v>
      </c>
      <c r="B166">
        <f>SUMPRODUCT((MONTH(CHOOSE({1,2,3,4},KHP!T166,KHP!X166,KHP!AB166,KHP!AF166))=2)*(CHOOSE({1,2,3,4},KHP!W166,KHP!AA166,KHP!AE166,KHP!AI166)))</f>
        <v>0</v>
      </c>
      <c r="C166">
        <f>SUMPRODUCT((MONTH(CHOOSE({1,2,3,4},KHP!T166,KHP!X166,KHP!AB166,KHP!AF166))=3)*(CHOOSE({1,2,3,4},KHP!W166,KHP!AA166,KHP!AE166,KHP!AI166)))</f>
        <v>0</v>
      </c>
      <c r="D166">
        <f>SUMPRODUCT((MONTH(CHOOSE({1,2,3,4},KHP!T166,KHP!X166,KHP!AB166,KHP!AF166))=4)*(CHOOSE({1,2,3,4},KHP!W166,KHP!AA166,KHP!AE166,KHP!AI166)))</f>
        <v>0</v>
      </c>
      <c r="E166">
        <f>SUMPRODUCT((MONTH(CHOOSE({1,2,3,4},KHP!T166,KHP!X166,KHP!AB166,KHP!AF166))=5)*(CHOOSE({1,2,3,4},KHP!W166,KHP!AA166,KHP!AE166,KHP!AI166)))</f>
        <v>0</v>
      </c>
      <c r="F166">
        <f>SUMPRODUCT((MONTH(CHOOSE({1,2,3,4},KHP!T166,KHP!X166,KHP!AB166,KHP!AF166))=6)*(CHOOSE({1,2,3,4},KHP!W166,KHP!AA166,KHP!AE166,KHP!AI166)))</f>
        <v>0</v>
      </c>
      <c r="G166">
        <f>SUMPRODUCT((MONTH(CHOOSE({1,2,3,4},KHP!T166,KHP!X166,KHP!AB166,KHP!AF166))=7)*(CHOOSE({1,2,3,4},KHP!W166,KHP!AA166,KHP!AE166,KHP!AI166)))</f>
        <v>0</v>
      </c>
      <c r="H166">
        <f>SUMPRODUCT((MONTH(CHOOSE({1,2,3,4},KHP!T166,KHP!X166,KHP!AB166,KHP!AF166))=8)*(CHOOSE({1,2,3,4},KHP!W166,KHP!AA166,KHP!AE166,KHP!AI166)))</f>
        <v>0</v>
      </c>
      <c r="I166">
        <f>SUMPRODUCT((MONTH(CHOOSE({1,2,3,4},KHP!T166,KHP!X166,KHP!AB166,KHP!AF166))=9)*(CHOOSE({1,2,3,4},KHP!W166,KHP!AA166,KHP!AE166,KHP!AI166)))</f>
        <v>0</v>
      </c>
      <c r="J166">
        <f>SUMPRODUCT((MONTH(CHOOSE({1,2,3,4},KHP!T166,KHP!X166,KHP!AB166,KHP!AF166))=10)*(CHOOSE({1,2,3,4},KHP!W166,KHP!AA166,KHP!AE166,KHP!AI166)))</f>
        <v>0</v>
      </c>
      <c r="K166">
        <f>SUMPRODUCT((MONTH(CHOOSE({1,2,3,4},KHP!T166,KHP!X166,KHP!AB166,KHP!AF166))=11)*(CHOOSE({1,2,3,4},KHP!W166,KHP!AA166,KHP!AE166,KHP!AI166)))</f>
        <v>0</v>
      </c>
      <c r="L166">
        <f>SUMPRODUCT((MONTH(CHOOSE({1,2,3,4},KHP!T166,KHP!X166,KHP!AB166,KHP!AF166))=12)*(CHOOSE({1,2,3,4},KHP!W166,KHP!AA166,KHP!AE166,KHP!AI166)))</f>
        <v>0</v>
      </c>
    </row>
    <row r="167" spans="1:12">
      <c r="A167">
        <f>SUMPRODUCT((MONTH(CHOOSE({1,2,3,4},KHP!T167,KHP!X167,KHP!AB167,KHP!AF167))=1)*(CHOOSE({1,2,3,4},KHP!W167,KHP!AA167,KHP!AE167,KHP!AI167)))</f>
        <v>0</v>
      </c>
      <c r="B167">
        <f>SUMPRODUCT((MONTH(CHOOSE({1,2,3,4},KHP!T167,KHP!X167,KHP!AB167,KHP!AF167))=2)*(CHOOSE({1,2,3,4},KHP!W167,KHP!AA167,KHP!AE167,KHP!AI167)))</f>
        <v>0</v>
      </c>
      <c r="C167">
        <f>SUMPRODUCT((MONTH(CHOOSE({1,2,3,4},KHP!T167,KHP!X167,KHP!AB167,KHP!AF167))=3)*(CHOOSE({1,2,3,4},KHP!W167,KHP!AA167,KHP!AE167,KHP!AI167)))</f>
        <v>0</v>
      </c>
      <c r="D167">
        <f>SUMPRODUCT((MONTH(CHOOSE({1,2,3,4},KHP!T167,KHP!X167,KHP!AB167,KHP!AF167))=4)*(CHOOSE({1,2,3,4},KHP!W167,KHP!AA167,KHP!AE167,KHP!AI167)))</f>
        <v>0</v>
      </c>
      <c r="E167">
        <f>SUMPRODUCT((MONTH(CHOOSE({1,2,3,4},KHP!T167,KHP!X167,KHP!AB167,KHP!AF167))=5)*(CHOOSE({1,2,3,4},KHP!W167,KHP!AA167,KHP!AE167,KHP!AI167)))</f>
        <v>0</v>
      </c>
      <c r="F167">
        <f>SUMPRODUCT((MONTH(CHOOSE({1,2,3,4},KHP!T167,KHP!X167,KHP!AB167,KHP!AF167))=6)*(CHOOSE({1,2,3,4},KHP!W167,KHP!AA167,KHP!AE167,KHP!AI167)))</f>
        <v>0</v>
      </c>
      <c r="G167">
        <f>SUMPRODUCT((MONTH(CHOOSE({1,2,3,4},KHP!T167,KHP!X167,KHP!AB167,KHP!AF167))=7)*(CHOOSE({1,2,3,4},KHP!W167,KHP!AA167,KHP!AE167,KHP!AI167)))</f>
        <v>0</v>
      </c>
      <c r="H167">
        <f>SUMPRODUCT((MONTH(CHOOSE({1,2,3,4},KHP!T167,KHP!X167,KHP!AB167,KHP!AF167))=8)*(CHOOSE({1,2,3,4},KHP!W167,KHP!AA167,KHP!AE167,KHP!AI167)))</f>
        <v>0</v>
      </c>
      <c r="I167">
        <f>SUMPRODUCT((MONTH(CHOOSE({1,2,3,4},KHP!T167,KHP!X167,KHP!AB167,KHP!AF167))=9)*(CHOOSE({1,2,3,4},KHP!W167,KHP!AA167,KHP!AE167,KHP!AI167)))</f>
        <v>0</v>
      </c>
      <c r="J167">
        <f>SUMPRODUCT((MONTH(CHOOSE({1,2,3,4},KHP!T167,KHP!X167,KHP!AB167,KHP!AF167))=10)*(CHOOSE({1,2,3,4},KHP!W167,KHP!AA167,KHP!AE167,KHP!AI167)))</f>
        <v>0</v>
      </c>
      <c r="K167">
        <f>SUMPRODUCT((MONTH(CHOOSE({1,2,3,4},KHP!T167,KHP!X167,KHP!AB167,KHP!AF167))=11)*(CHOOSE({1,2,3,4},KHP!W167,KHP!AA167,KHP!AE167,KHP!AI167)))</f>
        <v>0</v>
      </c>
      <c r="L167">
        <f>SUMPRODUCT((MONTH(CHOOSE({1,2,3,4},KHP!T167,KHP!X167,KHP!AB167,KHP!AF167))=12)*(CHOOSE({1,2,3,4},KHP!W167,KHP!AA167,KHP!AE167,KHP!AI167)))</f>
        <v>0</v>
      </c>
    </row>
    <row r="168" spans="1:12">
      <c r="A168">
        <f>SUMPRODUCT((MONTH(CHOOSE({1,2,3,4},KHP!T168,KHP!X168,KHP!AB168,KHP!AF168))=1)*(CHOOSE({1,2,3,4},KHP!W168,KHP!AA168,KHP!AE168,KHP!AI168)))</f>
        <v>0</v>
      </c>
      <c r="B168">
        <f>SUMPRODUCT((MONTH(CHOOSE({1,2,3,4},KHP!T168,KHP!X168,KHP!AB168,KHP!AF168))=2)*(CHOOSE({1,2,3,4},KHP!W168,KHP!AA168,KHP!AE168,KHP!AI168)))</f>
        <v>0</v>
      </c>
      <c r="C168">
        <f>SUMPRODUCT((MONTH(CHOOSE({1,2,3,4},KHP!T168,KHP!X168,KHP!AB168,KHP!AF168))=3)*(CHOOSE({1,2,3,4},KHP!W168,KHP!AA168,KHP!AE168,KHP!AI168)))</f>
        <v>0</v>
      </c>
      <c r="D168">
        <f>SUMPRODUCT((MONTH(CHOOSE({1,2,3,4},KHP!T168,KHP!X168,KHP!AB168,KHP!AF168))=4)*(CHOOSE({1,2,3,4},KHP!W168,KHP!AA168,KHP!AE168,KHP!AI168)))</f>
        <v>0</v>
      </c>
      <c r="E168">
        <f>SUMPRODUCT((MONTH(CHOOSE({1,2,3,4},KHP!T168,KHP!X168,KHP!AB168,KHP!AF168))=5)*(CHOOSE({1,2,3,4},KHP!W168,KHP!AA168,KHP!AE168,KHP!AI168)))</f>
        <v>0</v>
      </c>
      <c r="F168">
        <f>SUMPRODUCT((MONTH(CHOOSE({1,2,3,4},KHP!T168,KHP!X168,KHP!AB168,KHP!AF168))=6)*(CHOOSE({1,2,3,4},KHP!W168,KHP!AA168,KHP!AE168,KHP!AI168)))</f>
        <v>0</v>
      </c>
      <c r="G168">
        <f>SUMPRODUCT((MONTH(CHOOSE({1,2,3,4},KHP!T168,KHP!X168,KHP!AB168,KHP!AF168))=7)*(CHOOSE({1,2,3,4},KHP!W168,KHP!AA168,KHP!AE168,KHP!AI168)))</f>
        <v>0</v>
      </c>
      <c r="H168">
        <f>SUMPRODUCT((MONTH(CHOOSE({1,2,3,4},KHP!T168,KHP!X168,KHP!AB168,KHP!AF168))=8)*(CHOOSE({1,2,3,4},KHP!W168,KHP!AA168,KHP!AE168,KHP!AI168)))</f>
        <v>0</v>
      </c>
      <c r="I168">
        <f>SUMPRODUCT((MONTH(CHOOSE({1,2,3,4},KHP!T168,KHP!X168,KHP!AB168,KHP!AF168))=9)*(CHOOSE({1,2,3,4},KHP!W168,KHP!AA168,KHP!AE168,KHP!AI168)))</f>
        <v>0</v>
      </c>
      <c r="J168">
        <f>SUMPRODUCT((MONTH(CHOOSE({1,2,3,4},KHP!T168,KHP!X168,KHP!AB168,KHP!AF168))=10)*(CHOOSE({1,2,3,4},KHP!W168,KHP!AA168,KHP!AE168,KHP!AI168)))</f>
        <v>0</v>
      </c>
      <c r="K168">
        <f>SUMPRODUCT((MONTH(CHOOSE({1,2,3,4},KHP!T168,KHP!X168,KHP!AB168,KHP!AF168))=11)*(CHOOSE({1,2,3,4},KHP!W168,KHP!AA168,KHP!AE168,KHP!AI168)))</f>
        <v>0</v>
      </c>
      <c r="L168">
        <f>SUMPRODUCT((MONTH(CHOOSE({1,2,3,4},KHP!T168,KHP!X168,KHP!AB168,KHP!AF168))=12)*(CHOOSE({1,2,3,4},KHP!W168,KHP!AA168,KHP!AE168,KHP!AI168)))</f>
        <v>0</v>
      </c>
    </row>
    <row r="169" spans="1:12">
      <c r="A169">
        <f>SUMPRODUCT((MONTH(CHOOSE({1,2,3,4},KHP!T169,KHP!X169,KHP!AB169,KHP!AF169))=1)*(CHOOSE({1,2,3,4},KHP!W169,KHP!AA169,KHP!AE169,KHP!AI169)))</f>
        <v>0</v>
      </c>
      <c r="B169">
        <f>SUMPRODUCT((MONTH(CHOOSE({1,2,3,4},KHP!T169,KHP!X169,KHP!AB169,KHP!AF169))=2)*(CHOOSE({1,2,3,4},KHP!W169,KHP!AA169,KHP!AE169,KHP!AI169)))</f>
        <v>0</v>
      </c>
      <c r="C169">
        <f>SUMPRODUCT((MONTH(CHOOSE({1,2,3,4},KHP!T169,KHP!X169,KHP!AB169,KHP!AF169))=3)*(CHOOSE({1,2,3,4},KHP!W169,KHP!AA169,KHP!AE169,KHP!AI169)))</f>
        <v>0</v>
      </c>
      <c r="D169">
        <f>SUMPRODUCT((MONTH(CHOOSE({1,2,3,4},KHP!T169,KHP!X169,KHP!AB169,KHP!AF169))=4)*(CHOOSE({1,2,3,4},KHP!W169,KHP!AA169,KHP!AE169,KHP!AI169)))</f>
        <v>0</v>
      </c>
      <c r="E169">
        <f>SUMPRODUCT((MONTH(CHOOSE({1,2,3,4},KHP!T169,KHP!X169,KHP!AB169,KHP!AF169))=5)*(CHOOSE({1,2,3,4},KHP!W169,KHP!AA169,KHP!AE169,KHP!AI169)))</f>
        <v>0</v>
      </c>
      <c r="F169">
        <f>SUMPRODUCT((MONTH(CHOOSE({1,2,3,4},KHP!T169,KHP!X169,KHP!AB169,KHP!AF169))=6)*(CHOOSE({1,2,3,4},KHP!W169,KHP!AA169,KHP!AE169,KHP!AI169)))</f>
        <v>0</v>
      </c>
      <c r="G169">
        <f>SUMPRODUCT((MONTH(CHOOSE({1,2,3,4},KHP!T169,KHP!X169,KHP!AB169,KHP!AF169))=7)*(CHOOSE({1,2,3,4},KHP!W169,KHP!AA169,KHP!AE169,KHP!AI169)))</f>
        <v>0</v>
      </c>
      <c r="H169">
        <f>SUMPRODUCT((MONTH(CHOOSE({1,2,3,4},KHP!T169,KHP!X169,KHP!AB169,KHP!AF169))=8)*(CHOOSE({1,2,3,4},KHP!W169,KHP!AA169,KHP!AE169,KHP!AI169)))</f>
        <v>0</v>
      </c>
      <c r="I169">
        <f>SUMPRODUCT((MONTH(CHOOSE({1,2,3,4},KHP!T169,KHP!X169,KHP!AB169,KHP!AF169))=9)*(CHOOSE({1,2,3,4},KHP!W169,KHP!AA169,KHP!AE169,KHP!AI169)))</f>
        <v>0</v>
      </c>
      <c r="J169">
        <f>SUMPRODUCT((MONTH(CHOOSE({1,2,3,4},KHP!T169,KHP!X169,KHP!AB169,KHP!AF169))=10)*(CHOOSE({1,2,3,4},KHP!W169,KHP!AA169,KHP!AE169,KHP!AI169)))</f>
        <v>0</v>
      </c>
      <c r="K169">
        <f>SUMPRODUCT((MONTH(CHOOSE({1,2,3,4},KHP!T169,KHP!X169,KHP!AB169,KHP!AF169))=11)*(CHOOSE({1,2,3,4},KHP!W169,KHP!AA169,KHP!AE169,KHP!AI169)))</f>
        <v>0</v>
      </c>
      <c r="L169">
        <f>SUMPRODUCT((MONTH(CHOOSE({1,2,3,4},KHP!T169,KHP!X169,KHP!AB169,KHP!AF169))=12)*(CHOOSE({1,2,3,4},KHP!W169,KHP!AA169,KHP!AE169,KHP!AI169)))</f>
        <v>0</v>
      </c>
    </row>
    <row r="170" spans="1:12">
      <c r="A170">
        <f>SUMPRODUCT((MONTH(CHOOSE({1,2,3,4},KHP!T170,KHP!X170,KHP!AB170,KHP!AF170))=1)*(CHOOSE({1,2,3,4},KHP!W170,KHP!AA170,KHP!AE170,KHP!AI170)))</f>
        <v>0</v>
      </c>
      <c r="B170">
        <f>SUMPRODUCT((MONTH(CHOOSE({1,2,3,4},KHP!T170,KHP!X170,KHP!AB170,KHP!AF170))=2)*(CHOOSE({1,2,3,4},KHP!W170,KHP!AA170,KHP!AE170,KHP!AI170)))</f>
        <v>0</v>
      </c>
      <c r="C170">
        <f>SUMPRODUCT((MONTH(CHOOSE({1,2,3,4},KHP!T170,KHP!X170,KHP!AB170,KHP!AF170))=3)*(CHOOSE({1,2,3,4},KHP!W170,KHP!AA170,KHP!AE170,KHP!AI170)))</f>
        <v>0</v>
      </c>
      <c r="D170">
        <f>SUMPRODUCT((MONTH(CHOOSE({1,2,3,4},KHP!T170,KHP!X170,KHP!AB170,KHP!AF170))=4)*(CHOOSE({1,2,3,4},KHP!W170,KHP!AA170,KHP!AE170,KHP!AI170)))</f>
        <v>0</v>
      </c>
      <c r="E170">
        <f>SUMPRODUCT((MONTH(CHOOSE({1,2,3,4},KHP!T170,KHP!X170,KHP!AB170,KHP!AF170))=5)*(CHOOSE({1,2,3,4},KHP!W170,KHP!AA170,KHP!AE170,KHP!AI170)))</f>
        <v>0</v>
      </c>
      <c r="F170">
        <f>SUMPRODUCT((MONTH(CHOOSE({1,2,3,4},KHP!T170,KHP!X170,KHP!AB170,KHP!AF170))=6)*(CHOOSE({1,2,3,4},KHP!W170,KHP!AA170,KHP!AE170,KHP!AI170)))</f>
        <v>0</v>
      </c>
      <c r="G170">
        <f>SUMPRODUCT((MONTH(CHOOSE({1,2,3,4},KHP!T170,KHP!X170,KHP!AB170,KHP!AF170))=7)*(CHOOSE({1,2,3,4},KHP!W170,KHP!AA170,KHP!AE170,KHP!AI170)))</f>
        <v>0</v>
      </c>
      <c r="H170">
        <f>SUMPRODUCT((MONTH(CHOOSE({1,2,3,4},KHP!T170,KHP!X170,KHP!AB170,KHP!AF170))=8)*(CHOOSE({1,2,3,4},KHP!W170,KHP!AA170,KHP!AE170,KHP!AI170)))</f>
        <v>0</v>
      </c>
      <c r="I170">
        <f>SUMPRODUCT((MONTH(CHOOSE({1,2,3,4},KHP!T170,KHP!X170,KHP!AB170,KHP!AF170))=9)*(CHOOSE({1,2,3,4},KHP!W170,KHP!AA170,KHP!AE170,KHP!AI170)))</f>
        <v>0</v>
      </c>
      <c r="J170">
        <f>SUMPRODUCT((MONTH(CHOOSE({1,2,3,4},KHP!T170,KHP!X170,KHP!AB170,KHP!AF170))=10)*(CHOOSE({1,2,3,4},KHP!W170,KHP!AA170,KHP!AE170,KHP!AI170)))</f>
        <v>0</v>
      </c>
      <c r="K170">
        <f>SUMPRODUCT((MONTH(CHOOSE({1,2,3,4},KHP!T170,KHP!X170,KHP!AB170,KHP!AF170))=11)*(CHOOSE({1,2,3,4},KHP!W170,KHP!AA170,KHP!AE170,KHP!AI170)))</f>
        <v>0</v>
      </c>
      <c r="L170">
        <f>SUMPRODUCT((MONTH(CHOOSE({1,2,3,4},KHP!T170,KHP!X170,KHP!AB170,KHP!AF170))=12)*(CHOOSE({1,2,3,4},KHP!W170,KHP!AA170,KHP!AE170,KHP!AI170)))</f>
        <v>0</v>
      </c>
    </row>
    <row r="171" spans="1:12">
      <c r="A171">
        <f>SUMPRODUCT((MONTH(CHOOSE({1,2,3,4},KHP!T171,KHP!X171,KHP!AB171,KHP!AF171))=1)*(CHOOSE({1,2,3,4},KHP!W171,KHP!AA171,KHP!AE171,KHP!AI171)))</f>
        <v>0</v>
      </c>
      <c r="B171">
        <f>SUMPRODUCT((MONTH(CHOOSE({1,2,3,4},KHP!T171,KHP!X171,KHP!AB171,KHP!AF171))=2)*(CHOOSE({1,2,3,4},KHP!W171,KHP!AA171,KHP!AE171,KHP!AI171)))</f>
        <v>0</v>
      </c>
      <c r="C171">
        <f>SUMPRODUCT((MONTH(CHOOSE({1,2,3,4},KHP!T171,KHP!X171,KHP!AB171,KHP!AF171))=3)*(CHOOSE({1,2,3,4},KHP!W171,KHP!AA171,KHP!AE171,KHP!AI171)))</f>
        <v>0</v>
      </c>
      <c r="D171">
        <f>SUMPRODUCT((MONTH(CHOOSE({1,2,3,4},KHP!T171,KHP!X171,KHP!AB171,KHP!AF171))=4)*(CHOOSE({1,2,3,4},KHP!W171,KHP!AA171,KHP!AE171,KHP!AI171)))</f>
        <v>0</v>
      </c>
      <c r="E171">
        <f>SUMPRODUCT((MONTH(CHOOSE({1,2,3,4},KHP!T171,KHP!X171,KHP!AB171,KHP!AF171))=5)*(CHOOSE({1,2,3,4},KHP!W171,KHP!AA171,KHP!AE171,KHP!AI171)))</f>
        <v>0</v>
      </c>
      <c r="F171">
        <f>SUMPRODUCT((MONTH(CHOOSE({1,2,3,4},KHP!T171,KHP!X171,KHP!AB171,KHP!AF171))=6)*(CHOOSE({1,2,3,4},KHP!W171,KHP!AA171,KHP!AE171,KHP!AI171)))</f>
        <v>0</v>
      </c>
      <c r="G171">
        <f>SUMPRODUCT((MONTH(CHOOSE({1,2,3,4},KHP!T171,KHP!X171,KHP!AB171,KHP!AF171))=7)*(CHOOSE({1,2,3,4},KHP!W171,KHP!AA171,KHP!AE171,KHP!AI171)))</f>
        <v>0</v>
      </c>
      <c r="H171">
        <f>SUMPRODUCT((MONTH(CHOOSE({1,2,3,4},KHP!T171,KHP!X171,KHP!AB171,KHP!AF171))=8)*(CHOOSE({1,2,3,4},KHP!W171,KHP!AA171,KHP!AE171,KHP!AI171)))</f>
        <v>0</v>
      </c>
      <c r="I171">
        <f>SUMPRODUCT((MONTH(CHOOSE({1,2,3,4},KHP!T171,KHP!X171,KHP!AB171,KHP!AF171))=9)*(CHOOSE({1,2,3,4},KHP!W171,KHP!AA171,KHP!AE171,KHP!AI171)))</f>
        <v>0</v>
      </c>
      <c r="J171">
        <f>SUMPRODUCT((MONTH(CHOOSE({1,2,3,4},KHP!T171,KHP!X171,KHP!AB171,KHP!AF171))=10)*(CHOOSE({1,2,3,4},KHP!W171,KHP!AA171,KHP!AE171,KHP!AI171)))</f>
        <v>0</v>
      </c>
      <c r="K171">
        <f>SUMPRODUCT((MONTH(CHOOSE({1,2,3,4},KHP!T171,KHP!X171,KHP!AB171,KHP!AF171))=11)*(CHOOSE({1,2,3,4},KHP!W171,KHP!AA171,KHP!AE171,KHP!AI171)))</f>
        <v>0</v>
      </c>
      <c r="L171">
        <f>SUMPRODUCT((MONTH(CHOOSE({1,2,3,4},KHP!T171,KHP!X171,KHP!AB171,KHP!AF171))=12)*(CHOOSE({1,2,3,4},KHP!W171,KHP!AA171,KHP!AE171,KHP!AI171)))</f>
        <v>0</v>
      </c>
    </row>
    <row r="172" spans="1:12">
      <c r="A172">
        <f>SUMPRODUCT((MONTH(CHOOSE({1,2,3,4},KHP!T172,KHP!X172,KHP!AB172,KHP!AF172))=1)*(CHOOSE({1,2,3,4},KHP!W172,KHP!AA172,KHP!AE172,KHP!AI172)))</f>
        <v>0</v>
      </c>
      <c r="B172">
        <f>SUMPRODUCT((MONTH(CHOOSE({1,2,3,4},KHP!T172,KHP!X172,KHP!AB172,KHP!AF172))=2)*(CHOOSE({1,2,3,4},KHP!W172,KHP!AA172,KHP!AE172,KHP!AI172)))</f>
        <v>0</v>
      </c>
      <c r="C172">
        <f>SUMPRODUCT((MONTH(CHOOSE({1,2,3,4},KHP!T172,KHP!X172,KHP!AB172,KHP!AF172))=3)*(CHOOSE({1,2,3,4},KHP!W172,KHP!AA172,KHP!AE172,KHP!AI172)))</f>
        <v>0</v>
      </c>
      <c r="D172">
        <f>SUMPRODUCT((MONTH(CHOOSE({1,2,3,4},KHP!T172,KHP!X172,KHP!AB172,KHP!AF172))=4)*(CHOOSE({1,2,3,4},KHP!W172,KHP!AA172,KHP!AE172,KHP!AI172)))</f>
        <v>0</v>
      </c>
      <c r="E172">
        <f>SUMPRODUCT((MONTH(CHOOSE({1,2,3,4},KHP!T172,KHP!X172,KHP!AB172,KHP!AF172))=5)*(CHOOSE({1,2,3,4},KHP!W172,KHP!AA172,KHP!AE172,KHP!AI172)))</f>
        <v>0</v>
      </c>
      <c r="F172">
        <f>SUMPRODUCT((MONTH(CHOOSE({1,2,3,4},KHP!T172,KHP!X172,KHP!AB172,KHP!AF172))=6)*(CHOOSE({1,2,3,4},KHP!W172,KHP!AA172,KHP!AE172,KHP!AI172)))</f>
        <v>0</v>
      </c>
      <c r="G172">
        <f>SUMPRODUCT((MONTH(CHOOSE({1,2,3,4},KHP!T172,KHP!X172,KHP!AB172,KHP!AF172))=7)*(CHOOSE({1,2,3,4},KHP!W172,KHP!AA172,KHP!AE172,KHP!AI172)))</f>
        <v>0</v>
      </c>
      <c r="H172">
        <f>SUMPRODUCT((MONTH(CHOOSE({1,2,3,4},KHP!T172,KHP!X172,KHP!AB172,KHP!AF172))=8)*(CHOOSE({1,2,3,4},KHP!W172,KHP!AA172,KHP!AE172,KHP!AI172)))</f>
        <v>0</v>
      </c>
      <c r="I172">
        <f>SUMPRODUCT((MONTH(CHOOSE({1,2,3,4},KHP!T172,KHP!X172,KHP!AB172,KHP!AF172))=9)*(CHOOSE({1,2,3,4},KHP!W172,KHP!AA172,KHP!AE172,KHP!AI172)))</f>
        <v>0</v>
      </c>
      <c r="J172">
        <f>SUMPRODUCT((MONTH(CHOOSE({1,2,3,4},KHP!T172,KHP!X172,KHP!AB172,KHP!AF172))=10)*(CHOOSE({1,2,3,4},KHP!W172,KHP!AA172,KHP!AE172,KHP!AI172)))</f>
        <v>0</v>
      </c>
      <c r="K172">
        <f>SUMPRODUCT((MONTH(CHOOSE({1,2,3,4},KHP!T172,KHP!X172,KHP!AB172,KHP!AF172))=11)*(CHOOSE({1,2,3,4},KHP!W172,KHP!AA172,KHP!AE172,KHP!AI172)))</f>
        <v>0</v>
      </c>
      <c r="L172">
        <f>SUMPRODUCT((MONTH(CHOOSE({1,2,3,4},KHP!T172,KHP!X172,KHP!AB172,KHP!AF172))=12)*(CHOOSE({1,2,3,4},KHP!W172,KHP!AA172,KHP!AE172,KHP!AI172)))</f>
        <v>0</v>
      </c>
    </row>
    <row r="173" spans="1:12">
      <c r="A173">
        <f>SUMPRODUCT((MONTH(CHOOSE({1,2,3,4},KHP!T173,KHP!X173,KHP!AB173,KHP!AF173))=1)*(CHOOSE({1,2,3,4},KHP!W173,KHP!AA173,KHP!AE173,KHP!AI173)))</f>
        <v>0</v>
      </c>
      <c r="B173">
        <f>SUMPRODUCT((MONTH(CHOOSE({1,2,3,4},KHP!T173,KHP!X173,KHP!AB173,KHP!AF173))=2)*(CHOOSE({1,2,3,4},KHP!W173,KHP!AA173,KHP!AE173,KHP!AI173)))</f>
        <v>0</v>
      </c>
      <c r="C173">
        <f>SUMPRODUCT((MONTH(CHOOSE({1,2,3,4},KHP!T173,KHP!X173,KHP!AB173,KHP!AF173))=3)*(CHOOSE({1,2,3,4},KHP!W173,KHP!AA173,KHP!AE173,KHP!AI173)))</f>
        <v>0</v>
      </c>
      <c r="D173">
        <f>SUMPRODUCT((MONTH(CHOOSE({1,2,3,4},KHP!T173,KHP!X173,KHP!AB173,KHP!AF173))=4)*(CHOOSE({1,2,3,4},KHP!W173,KHP!AA173,KHP!AE173,KHP!AI173)))</f>
        <v>0</v>
      </c>
      <c r="E173">
        <f>SUMPRODUCT((MONTH(CHOOSE({1,2,3,4},KHP!T173,KHP!X173,KHP!AB173,KHP!AF173))=5)*(CHOOSE({1,2,3,4},KHP!W173,KHP!AA173,KHP!AE173,KHP!AI173)))</f>
        <v>0</v>
      </c>
      <c r="F173">
        <f>SUMPRODUCT((MONTH(CHOOSE({1,2,3,4},KHP!T173,KHP!X173,KHP!AB173,KHP!AF173))=6)*(CHOOSE({1,2,3,4},KHP!W173,KHP!AA173,KHP!AE173,KHP!AI173)))</f>
        <v>0</v>
      </c>
      <c r="G173">
        <f>SUMPRODUCT((MONTH(CHOOSE({1,2,3,4},KHP!T173,KHP!X173,KHP!AB173,KHP!AF173))=7)*(CHOOSE({1,2,3,4},KHP!W173,KHP!AA173,KHP!AE173,KHP!AI173)))</f>
        <v>0</v>
      </c>
      <c r="H173">
        <f>SUMPRODUCT((MONTH(CHOOSE({1,2,3,4},KHP!T173,KHP!X173,KHP!AB173,KHP!AF173))=8)*(CHOOSE({1,2,3,4},KHP!W173,KHP!AA173,KHP!AE173,KHP!AI173)))</f>
        <v>0</v>
      </c>
      <c r="I173">
        <f>SUMPRODUCT((MONTH(CHOOSE({1,2,3,4},KHP!T173,KHP!X173,KHP!AB173,KHP!AF173))=9)*(CHOOSE({1,2,3,4},KHP!W173,KHP!AA173,KHP!AE173,KHP!AI173)))</f>
        <v>0</v>
      </c>
      <c r="J173">
        <f>SUMPRODUCT((MONTH(CHOOSE({1,2,3,4},KHP!T173,KHP!X173,KHP!AB173,KHP!AF173))=10)*(CHOOSE({1,2,3,4},KHP!W173,KHP!AA173,KHP!AE173,KHP!AI173)))</f>
        <v>0</v>
      </c>
      <c r="K173">
        <f>SUMPRODUCT((MONTH(CHOOSE({1,2,3,4},KHP!T173,KHP!X173,KHP!AB173,KHP!AF173))=11)*(CHOOSE({1,2,3,4},KHP!W173,KHP!AA173,KHP!AE173,KHP!AI173)))</f>
        <v>0</v>
      </c>
      <c r="L173">
        <f>SUMPRODUCT((MONTH(CHOOSE({1,2,3,4},KHP!T173,KHP!X173,KHP!AB173,KHP!AF173))=12)*(CHOOSE({1,2,3,4},KHP!W173,KHP!AA173,KHP!AE173,KHP!AI173)))</f>
        <v>0</v>
      </c>
    </row>
    <row r="174" spans="1:12">
      <c r="A174">
        <f>SUMPRODUCT((MONTH(CHOOSE({1,2,3,4},KHP!T174,KHP!X174,KHP!AB174,KHP!AF174))=1)*(CHOOSE({1,2,3,4},KHP!W174,KHP!AA174,KHP!AE174,KHP!AI174)))</f>
        <v>0</v>
      </c>
      <c r="B174">
        <f>SUMPRODUCT((MONTH(CHOOSE({1,2,3,4},KHP!T174,KHP!X174,KHP!AB174,KHP!AF174))=2)*(CHOOSE({1,2,3,4},KHP!W174,KHP!AA174,KHP!AE174,KHP!AI174)))</f>
        <v>0</v>
      </c>
      <c r="C174">
        <f>SUMPRODUCT((MONTH(CHOOSE({1,2,3,4},KHP!T174,KHP!X174,KHP!AB174,KHP!AF174))=3)*(CHOOSE({1,2,3,4},KHP!W174,KHP!AA174,KHP!AE174,KHP!AI174)))</f>
        <v>0</v>
      </c>
      <c r="D174">
        <f>SUMPRODUCT((MONTH(CHOOSE({1,2,3,4},KHP!T174,KHP!X174,KHP!AB174,KHP!AF174))=4)*(CHOOSE({1,2,3,4},KHP!W174,KHP!AA174,KHP!AE174,KHP!AI174)))</f>
        <v>0</v>
      </c>
      <c r="E174">
        <f>SUMPRODUCT((MONTH(CHOOSE({1,2,3,4},KHP!T174,KHP!X174,KHP!AB174,KHP!AF174))=5)*(CHOOSE({1,2,3,4},KHP!W174,KHP!AA174,KHP!AE174,KHP!AI174)))</f>
        <v>0</v>
      </c>
      <c r="F174">
        <f>SUMPRODUCT((MONTH(CHOOSE({1,2,3,4},KHP!T174,KHP!X174,KHP!AB174,KHP!AF174))=6)*(CHOOSE({1,2,3,4},KHP!W174,KHP!AA174,KHP!AE174,KHP!AI174)))</f>
        <v>0</v>
      </c>
      <c r="G174">
        <f>SUMPRODUCT((MONTH(CHOOSE({1,2,3,4},KHP!T174,KHP!X174,KHP!AB174,KHP!AF174))=7)*(CHOOSE({1,2,3,4},KHP!W174,KHP!AA174,KHP!AE174,KHP!AI174)))</f>
        <v>0</v>
      </c>
      <c r="H174">
        <f>SUMPRODUCT((MONTH(CHOOSE({1,2,3,4},KHP!T174,KHP!X174,KHP!AB174,KHP!AF174))=8)*(CHOOSE({1,2,3,4},KHP!W174,KHP!AA174,KHP!AE174,KHP!AI174)))</f>
        <v>0</v>
      </c>
      <c r="I174">
        <f>SUMPRODUCT((MONTH(CHOOSE({1,2,3,4},KHP!T174,KHP!X174,KHP!AB174,KHP!AF174))=9)*(CHOOSE({1,2,3,4},KHP!W174,KHP!AA174,KHP!AE174,KHP!AI174)))</f>
        <v>0</v>
      </c>
      <c r="J174">
        <f>SUMPRODUCT((MONTH(CHOOSE({1,2,3,4},KHP!T174,KHP!X174,KHP!AB174,KHP!AF174))=10)*(CHOOSE({1,2,3,4},KHP!W174,KHP!AA174,KHP!AE174,KHP!AI174)))</f>
        <v>0</v>
      </c>
      <c r="K174">
        <f>SUMPRODUCT((MONTH(CHOOSE({1,2,3,4},KHP!T174,KHP!X174,KHP!AB174,KHP!AF174))=11)*(CHOOSE({1,2,3,4},KHP!W174,KHP!AA174,KHP!AE174,KHP!AI174)))</f>
        <v>0</v>
      </c>
      <c r="L174">
        <f>SUMPRODUCT((MONTH(CHOOSE({1,2,3,4},KHP!T174,KHP!X174,KHP!AB174,KHP!AF174))=12)*(CHOOSE({1,2,3,4},KHP!W174,KHP!AA174,KHP!AE174,KHP!AI174)))</f>
        <v>0</v>
      </c>
    </row>
    <row r="175" spans="1:12">
      <c r="A175">
        <f>SUMPRODUCT((MONTH(CHOOSE({1,2,3,4},KHP!T175,KHP!X175,KHP!AB175,KHP!AF175))=1)*(CHOOSE({1,2,3,4},KHP!W175,KHP!AA175,KHP!AE175,KHP!AI175)))</f>
        <v>0</v>
      </c>
      <c r="B175">
        <f>SUMPRODUCT((MONTH(CHOOSE({1,2,3,4},KHP!T175,KHP!X175,KHP!AB175,KHP!AF175))=2)*(CHOOSE({1,2,3,4},KHP!W175,KHP!AA175,KHP!AE175,KHP!AI175)))</f>
        <v>0</v>
      </c>
      <c r="C175">
        <f>SUMPRODUCT((MONTH(CHOOSE({1,2,3,4},KHP!T175,KHP!X175,KHP!AB175,KHP!AF175))=3)*(CHOOSE({1,2,3,4},KHP!W175,KHP!AA175,KHP!AE175,KHP!AI175)))</f>
        <v>0</v>
      </c>
      <c r="D175">
        <f>SUMPRODUCT((MONTH(CHOOSE({1,2,3,4},KHP!T175,KHP!X175,KHP!AB175,KHP!AF175))=4)*(CHOOSE({1,2,3,4},KHP!W175,KHP!AA175,KHP!AE175,KHP!AI175)))</f>
        <v>0</v>
      </c>
      <c r="E175">
        <f>SUMPRODUCT((MONTH(CHOOSE({1,2,3,4},KHP!T175,KHP!X175,KHP!AB175,KHP!AF175))=5)*(CHOOSE({1,2,3,4},KHP!W175,KHP!AA175,KHP!AE175,KHP!AI175)))</f>
        <v>0</v>
      </c>
      <c r="F175">
        <f>SUMPRODUCT((MONTH(CHOOSE({1,2,3,4},KHP!T175,KHP!X175,KHP!AB175,KHP!AF175))=6)*(CHOOSE({1,2,3,4},KHP!W175,KHP!AA175,KHP!AE175,KHP!AI175)))</f>
        <v>0</v>
      </c>
      <c r="G175">
        <f>SUMPRODUCT((MONTH(CHOOSE({1,2,3,4},KHP!T175,KHP!X175,KHP!AB175,KHP!AF175))=7)*(CHOOSE({1,2,3,4},KHP!W175,KHP!AA175,KHP!AE175,KHP!AI175)))</f>
        <v>0</v>
      </c>
      <c r="H175">
        <f>SUMPRODUCT((MONTH(CHOOSE({1,2,3,4},KHP!T175,KHP!X175,KHP!AB175,KHP!AF175))=8)*(CHOOSE({1,2,3,4},KHP!W175,KHP!AA175,KHP!AE175,KHP!AI175)))</f>
        <v>0</v>
      </c>
      <c r="I175">
        <f>SUMPRODUCT((MONTH(CHOOSE({1,2,3,4},KHP!T175,KHP!X175,KHP!AB175,KHP!AF175))=9)*(CHOOSE({1,2,3,4},KHP!W175,KHP!AA175,KHP!AE175,KHP!AI175)))</f>
        <v>0</v>
      </c>
      <c r="J175">
        <f>SUMPRODUCT((MONTH(CHOOSE({1,2,3,4},KHP!T175,KHP!X175,KHP!AB175,KHP!AF175))=10)*(CHOOSE({1,2,3,4},KHP!W175,KHP!AA175,KHP!AE175,KHP!AI175)))</f>
        <v>0</v>
      </c>
      <c r="K175">
        <f>SUMPRODUCT((MONTH(CHOOSE({1,2,3,4},KHP!T175,KHP!X175,KHP!AB175,KHP!AF175))=11)*(CHOOSE({1,2,3,4},KHP!W175,KHP!AA175,KHP!AE175,KHP!AI175)))</f>
        <v>0</v>
      </c>
      <c r="L175">
        <f>SUMPRODUCT((MONTH(CHOOSE({1,2,3,4},KHP!T175,KHP!X175,KHP!AB175,KHP!AF175))=12)*(CHOOSE({1,2,3,4},KHP!W175,KHP!AA175,KHP!AE175,KHP!AI175)))</f>
        <v>0</v>
      </c>
    </row>
    <row r="176" spans="1:12">
      <c r="A176">
        <f>SUMPRODUCT((MONTH(CHOOSE({1,2,3,4},KHP!T176,KHP!X176,KHP!AB176,KHP!AF176))=1)*(CHOOSE({1,2,3,4},KHP!W176,KHP!AA176,KHP!AE176,KHP!AI176)))</f>
        <v>0</v>
      </c>
      <c r="B176">
        <f>SUMPRODUCT((MONTH(CHOOSE({1,2,3,4},KHP!T176,KHP!X176,KHP!AB176,KHP!AF176))=2)*(CHOOSE({1,2,3,4},KHP!W176,KHP!AA176,KHP!AE176,KHP!AI176)))</f>
        <v>0</v>
      </c>
      <c r="C176">
        <f>SUMPRODUCT((MONTH(CHOOSE({1,2,3,4},KHP!T176,KHP!X176,KHP!AB176,KHP!AF176))=3)*(CHOOSE({1,2,3,4},KHP!W176,KHP!AA176,KHP!AE176,KHP!AI176)))</f>
        <v>0</v>
      </c>
      <c r="D176">
        <f>SUMPRODUCT((MONTH(CHOOSE({1,2,3,4},KHP!T176,KHP!X176,KHP!AB176,KHP!AF176))=4)*(CHOOSE({1,2,3,4},KHP!W176,KHP!AA176,KHP!AE176,KHP!AI176)))</f>
        <v>0</v>
      </c>
      <c r="E176">
        <f>SUMPRODUCT((MONTH(CHOOSE({1,2,3,4},KHP!T176,KHP!X176,KHP!AB176,KHP!AF176))=5)*(CHOOSE({1,2,3,4},KHP!W176,KHP!AA176,KHP!AE176,KHP!AI176)))</f>
        <v>0</v>
      </c>
      <c r="F176">
        <f>SUMPRODUCT((MONTH(CHOOSE({1,2,3,4},KHP!T176,KHP!X176,KHP!AB176,KHP!AF176))=6)*(CHOOSE({1,2,3,4},KHP!W176,KHP!AA176,KHP!AE176,KHP!AI176)))</f>
        <v>0</v>
      </c>
      <c r="G176">
        <f>SUMPRODUCT((MONTH(CHOOSE({1,2,3,4},KHP!T176,KHP!X176,KHP!AB176,KHP!AF176))=7)*(CHOOSE({1,2,3,4},KHP!W176,KHP!AA176,KHP!AE176,KHP!AI176)))</f>
        <v>0</v>
      </c>
      <c r="H176">
        <f>SUMPRODUCT((MONTH(CHOOSE({1,2,3,4},KHP!T176,KHP!X176,KHP!AB176,KHP!AF176))=8)*(CHOOSE({1,2,3,4},KHP!W176,KHP!AA176,KHP!AE176,KHP!AI176)))</f>
        <v>0</v>
      </c>
      <c r="I176">
        <f>SUMPRODUCT((MONTH(CHOOSE({1,2,3,4},KHP!T176,KHP!X176,KHP!AB176,KHP!AF176))=9)*(CHOOSE({1,2,3,4},KHP!W176,KHP!AA176,KHP!AE176,KHP!AI176)))</f>
        <v>0</v>
      </c>
      <c r="J176">
        <f>SUMPRODUCT((MONTH(CHOOSE({1,2,3,4},KHP!T176,KHP!X176,KHP!AB176,KHP!AF176))=10)*(CHOOSE({1,2,3,4},KHP!W176,KHP!AA176,KHP!AE176,KHP!AI176)))</f>
        <v>0</v>
      </c>
      <c r="K176">
        <f>SUMPRODUCT((MONTH(CHOOSE({1,2,3,4},KHP!T176,KHP!X176,KHP!AB176,KHP!AF176))=11)*(CHOOSE({1,2,3,4},KHP!W176,KHP!AA176,KHP!AE176,KHP!AI176)))</f>
        <v>0</v>
      </c>
      <c r="L176">
        <f>SUMPRODUCT((MONTH(CHOOSE({1,2,3,4},KHP!T176,KHP!X176,KHP!AB176,KHP!AF176))=12)*(CHOOSE({1,2,3,4},KHP!W176,KHP!AA176,KHP!AE176,KHP!AI176)))</f>
        <v>0</v>
      </c>
    </row>
    <row r="177" spans="1:12">
      <c r="A177">
        <f>SUMPRODUCT((MONTH(CHOOSE({1,2,3,4},KHP!T177,KHP!X177,KHP!AB177,KHP!AF177))=1)*(CHOOSE({1,2,3,4},KHP!W177,KHP!AA177,KHP!AE177,KHP!AI177)))</f>
        <v>0</v>
      </c>
      <c r="B177">
        <f>SUMPRODUCT((MONTH(CHOOSE({1,2,3,4},KHP!T177,KHP!X177,KHP!AB177,KHP!AF177))=2)*(CHOOSE({1,2,3,4},KHP!W177,KHP!AA177,KHP!AE177,KHP!AI177)))</f>
        <v>0</v>
      </c>
      <c r="C177">
        <f>SUMPRODUCT((MONTH(CHOOSE({1,2,3,4},KHP!T177,KHP!X177,KHP!AB177,KHP!AF177))=3)*(CHOOSE({1,2,3,4},KHP!W177,KHP!AA177,KHP!AE177,KHP!AI177)))</f>
        <v>0</v>
      </c>
      <c r="D177">
        <f>SUMPRODUCT((MONTH(CHOOSE({1,2,3,4},KHP!T177,KHP!X177,KHP!AB177,KHP!AF177))=4)*(CHOOSE({1,2,3,4},KHP!W177,KHP!AA177,KHP!AE177,KHP!AI177)))</f>
        <v>0</v>
      </c>
      <c r="E177">
        <f>SUMPRODUCT((MONTH(CHOOSE({1,2,3,4},KHP!T177,KHP!X177,KHP!AB177,KHP!AF177))=5)*(CHOOSE({1,2,3,4},KHP!W177,KHP!AA177,KHP!AE177,KHP!AI177)))</f>
        <v>0</v>
      </c>
      <c r="F177">
        <f>SUMPRODUCT((MONTH(CHOOSE({1,2,3,4},KHP!T177,KHP!X177,KHP!AB177,KHP!AF177))=6)*(CHOOSE({1,2,3,4},KHP!W177,KHP!AA177,KHP!AE177,KHP!AI177)))</f>
        <v>0</v>
      </c>
      <c r="G177">
        <f>SUMPRODUCT((MONTH(CHOOSE({1,2,3,4},KHP!T177,KHP!X177,KHP!AB177,KHP!AF177))=7)*(CHOOSE({1,2,3,4},KHP!W177,KHP!AA177,KHP!AE177,KHP!AI177)))</f>
        <v>0</v>
      </c>
      <c r="H177">
        <f>SUMPRODUCT((MONTH(CHOOSE({1,2,3,4},KHP!T177,KHP!X177,KHP!AB177,KHP!AF177))=8)*(CHOOSE({1,2,3,4},KHP!W177,KHP!AA177,KHP!AE177,KHP!AI177)))</f>
        <v>0</v>
      </c>
      <c r="I177">
        <f>SUMPRODUCT((MONTH(CHOOSE({1,2,3,4},KHP!T177,KHP!X177,KHP!AB177,KHP!AF177))=9)*(CHOOSE({1,2,3,4},KHP!W177,KHP!AA177,KHP!AE177,KHP!AI177)))</f>
        <v>0</v>
      </c>
      <c r="J177">
        <f>SUMPRODUCT((MONTH(CHOOSE({1,2,3,4},KHP!T177,KHP!X177,KHP!AB177,KHP!AF177))=10)*(CHOOSE({1,2,3,4},KHP!W177,KHP!AA177,KHP!AE177,KHP!AI177)))</f>
        <v>0</v>
      </c>
      <c r="K177">
        <f>SUMPRODUCT((MONTH(CHOOSE({1,2,3,4},KHP!T177,KHP!X177,KHP!AB177,KHP!AF177))=11)*(CHOOSE({1,2,3,4},KHP!W177,KHP!AA177,KHP!AE177,KHP!AI177)))</f>
        <v>0</v>
      </c>
      <c r="L177">
        <f>SUMPRODUCT((MONTH(CHOOSE({1,2,3,4},KHP!T177,KHP!X177,KHP!AB177,KHP!AF177))=12)*(CHOOSE({1,2,3,4},KHP!W177,KHP!AA177,KHP!AE177,KHP!AI177)))</f>
        <v>0</v>
      </c>
    </row>
    <row r="178" spans="1:12">
      <c r="A178">
        <f>SUMPRODUCT((MONTH(CHOOSE({1,2,3,4},KHP!T178,KHP!X178,KHP!AB178,KHP!AF178))=1)*(CHOOSE({1,2,3,4},KHP!W178,KHP!AA178,KHP!AE178,KHP!AI178)))</f>
        <v>0</v>
      </c>
      <c r="B178">
        <f>SUMPRODUCT((MONTH(CHOOSE({1,2,3,4},KHP!T178,KHP!X178,KHP!AB178,KHP!AF178))=2)*(CHOOSE({1,2,3,4},KHP!W178,KHP!AA178,KHP!AE178,KHP!AI178)))</f>
        <v>0</v>
      </c>
      <c r="C178">
        <f>SUMPRODUCT((MONTH(CHOOSE({1,2,3,4},KHP!T178,KHP!X178,KHP!AB178,KHP!AF178))=3)*(CHOOSE({1,2,3,4},KHP!W178,KHP!AA178,KHP!AE178,KHP!AI178)))</f>
        <v>0</v>
      </c>
      <c r="D178">
        <f>SUMPRODUCT((MONTH(CHOOSE({1,2,3,4},KHP!T178,KHP!X178,KHP!AB178,KHP!AF178))=4)*(CHOOSE({1,2,3,4},KHP!W178,KHP!AA178,KHP!AE178,KHP!AI178)))</f>
        <v>0</v>
      </c>
      <c r="E178">
        <f>SUMPRODUCT((MONTH(CHOOSE({1,2,3,4},KHP!T178,KHP!X178,KHP!AB178,KHP!AF178))=5)*(CHOOSE({1,2,3,4},KHP!W178,KHP!AA178,KHP!AE178,KHP!AI178)))</f>
        <v>0</v>
      </c>
      <c r="F178">
        <f>SUMPRODUCT((MONTH(CHOOSE({1,2,3,4},KHP!T178,KHP!X178,KHP!AB178,KHP!AF178))=6)*(CHOOSE({1,2,3,4},KHP!W178,KHP!AA178,KHP!AE178,KHP!AI178)))</f>
        <v>0</v>
      </c>
      <c r="G178">
        <f>SUMPRODUCT((MONTH(CHOOSE({1,2,3,4},KHP!T178,KHP!X178,KHP!AB178,KHP!AF178))=7)*(CHOOSE({1,2,3,4},KHP!W178,KHP!AA178,KHP!AE178,KHP!AI178)))</f>
        <v>0</v>
      </c>
      <c r="H178">
        <f>SUMPRODUCT((MONTH(CHOOSE({1,2,3,4},KHP!T178,KHP!X178,KHP!AB178,KHP!AF178))=8)*(CHOOSE({1,2,3,4},KHP!W178,KHP!AA178,KHP!AE178,KHP!AI178)))</f>
        <v>0</v>
      </c>
      <c r="I178">
        <f>SUMPRODUCT((MONTH(CHOOSE({1,2,3,4},KHP!T178,KHP!X178,KHP!AB178,KHP!AF178))=9)*(CHOOSE({1,2,3,4},KHP!W178,KHP!AA178,KHP!AE178,KHP!AI178)))</f>
        <v>0</v>
      </c>
      <c r="J178">
        <f>SUMPRODUCT((MONTH(CHOOSE({1,2,3,4},KHP!T178,KHP!X178,KHP!AB178,KHP!AF178))=10)*(CHOOSE({1,2,3,4},KHP!W178,KHP!AA178,KHP!AE178,KHP!AI178)))</f>
        <v>0</v>
      </c>
      <c r="K178">
        <f>SUMPRODUCT((MONTH(CHOOSE({1,2,3,4},KHP!T178,KHP!X178,KHP!AB178,KHP!AF178))=11)*(CHOOSE({1,2,3,4},KHP!W178,KHP!AA178,KHP!AE178,KHP!AI178)))</f>
        <v>0</v>
      </c>
      <c r="L178">
        <f>SUMPRODUCT((MONTH(CHOOSE({1,2,3,4},KHP!T178,KHP!X178,KHP!AB178,KHP!AF178))=12)*(CHOOSE({1,2,3,4},KHP!W178,KHP!AA178,KHP!AE178,KHP!AI178)))</f>
        <v>0</v>
      </c>
    </row>
    <row r="179" spans="1:12">
      <c r="A179">
        <f>SUMPRODUCT((MONTH(CHOOSE({1,2,3,4},KHP!T179,KHP!X179,KHP!AB179,KHP!AF179))=1)*(CHOOSE({1,2,3,4},KHP!W179,KHP!AA179,KHP!AE179,KHP!AI179)))</f>
        <v>0</v>
      </c>
      <c r="B179">
        <f>SUMPRODUCT((MONTH(CHOOSE({1,2,3,4},KHP!T179,KHP!X179,KHP!AB179,KHP!AF179))=2)*(CHOOSE({1,2,3,4},KHP!W179,KHP!AA179,KHP!AE179,KHP!AI179)))</f>
        <v>0</v>
      </c>
      <c r="C179">
        <f>SUMPRODUCT((MONTH(CHOOSE({1,2,3,4},KHP!T179,KHP!X179,KHP!AB179,KHP!AF179))=3)*(CHOOSE({1,2,3,4},KHP!W179,KHP!AA179,KHP!AE179,KHP!AI179)))</f>
        <v>0</v>
      </c>
      <c r="D179">
        <f>SUMPRODUCT((MONTH(CHOOSE({1,2,3,4},KHP!T179,KHP!X179,KHP!AB179,KHP!AF179))=4)*(CHOOSE({1,2,3,4},KHP!W179,KHP!AA179,KHP!AE179,KHP!AI179)))</f>
        <v>0</v>
      </c>
      <c r="E179">
        <f>SUMPRODUCT((MONTH(CHOOSE({1,2,3,4},KHP!T179,KHP!X179,KHP!AB179,KHP!AF179))=5)*(CHOOSE({1,2,3,4},KHP!W179,KHP!AA179,KHP!AE179,KHP!AI179)))</f>
        <v>0</v>
      </c>
      <c r="F179">
        <f>SUMPRODUCT((MONTH(CHOOSE({1,2,3,4},KHP!T179,KHP!X179,KHP!AB179,KHP!AF179))=6)*(CHOOSE({1,2,3,4},KHP!W179,KHP!AA179,KHP!AE179,KHP!AI179)))</f>
        <v>0</v>
      </c>
      <c r="G179">
        <f>SUMPRODUCT((MONTH(CHOOSE({1,2,3,4},KHP!T179,KHP!X179,KHP!AB179,KHP!AF179))=7)*(CHOOSE({1,2,3,4},KHP!W179,KHP!AA179,KHP!AE179,KHP!AI179)))</f>
        <v>0</v>
      </c>
      <c r="H179">
        <f>SUMPRODUCT((MONTH(CHOOSE({1,2,3,4},KHP!T179,KHP!X179,KHP!AB179,KHP!AF179))=8)*(CHOOSE({1,2,3,4},KHP!W179,KHP!AA179,KHP!AE179,KHP!AI179)))</f>
        <v>0</v>
      </c>
      <c r="I179">
        <f>SUMPRODUCT((MONTH(CHOOSE({1,2,3,4},KHP!T179,KHP!X179,KHP!AB179,KHP!AF179))=9)*(CHOOSE({1,2,3,4},KHP!W179,KHP!AA179,KHP!AE179,KHP!AI179)))</f>
        <v>0</v>
      </c>
      <c r="J179">
        <f>SUMPRODUCT((MONTH(CHOOSE({1,2,3,4},KHP!T179,KHP!X179,KHP!AB179,KHP!AF179))=10)*(CHOOSE({1,2,3,4},KHP!W179,KHP!AA179,KHP!AE179,KHP!AI179)))</f>
        <v>0</v>
      </c>
      <c r="K179">
        <f>SUMPRODUCT((MONTH(CHOOSE({1,2,3,4},KHP!T179,KHP!X179,KHP!AB179,KHP!AF179))=11)*(CHOOSE({1,2,3,4},KHP!W179,KHP!AA179,KHP!AE179,KHP!AI179)))</f>
        <v>0</v>
      </c>
      <c r="L179">
        <f>SUMPRODUCT((MONTH(CHOOSE({1,2,3,4},KHP!T179,KHP!X179,KHP!AB179,KHP!AF179))=12)*(CHOOSE({1,2,3,4},KHP!W179,KHP!AA179,KHP!AE179,KHP!AI179)))</f>
        <v>0</v>
      </c>
    </row>
    <row r="180" spans="1:12">
      <c r="A180">
        <f>SUMPRODUCT((MONTH(CHOOSE({1,2,3,4},KHP!T180,KHP!X180,KHP!AB180,KHP!AF180))=1)*(CHOOSE({1,2,3,4},KHP!W180,KHP!AA180,KHP!AE180,KHP!AI180)))</f>
        <v>0</v>
      </c>
      <c r="B180">
        <f>SUMPRODUCT((MONTH(CHOOSE({1,2,3,4},KHP!T180,KHP!X180,KHP!AB180,KHP!AF180))=2)*(CHOOSE({1,2,3,4},KHP!W180,KHP!AA180,KHP!AE180,KHP!AI180)))</f>
        <v>0</v>
      </c>
      <c r="C180">
        <f>SUMPRODUCT((MONTH(CHOOSE({1,2,3,4},KHP!T180,KHP!X180,KHP!AB180,KHP!AF180))=3)*(CHOOSE({1,2,3,4},KHP!W180,KHP!AA180,KHP!AE180,KHP!AI180)))</f>
        <v>0</v>
      </c>
      <c r="D180">
        <f>SUMPRODUCT((MONTH(CHOOSE({1,2,3,4},KHP!T180,KHP!X180,KHP!AB180,KHP!AF180))=4)*(CHOOSE({1,2,3,4},KHP!W180,KHP!AA180,KHP!AE180,KHP!AI180)))</f>
        <v>0</v>
      </c>
      <c r="E180">
        <f>SUMPRODUCT((MONTH(CHOOSE({1,2,3,4},KHP!T180,KHP!X180,KHP!AB180,KHP!AF180))=5)*(CHOOSE({1,2,3,4},KHP!W180,KHP!AA180,KHP!AE180,KHP!AI180)))</f>
        <v>0</v>
      </c>
      <c r="F180">
        <f>SUMPRODUCT((MONTH(CHOOSE({1,2,3,4},KHP!T180,KHP!X180,KHP!AB180,KHP!AF180))=6)*(CHOOSE({1,2,3,4},KHP!W180,KHP!AA180,KHP!AE180,KHP!AI180)))</f>
        <v>0</v>
      </c>
      <c r="G180">
        <f>SUMPRODUCT((MONTH(CHOOSE({1,2,3,4},KHP!T180,KHP!X180,KHP!AB180,KHP!AF180))=7)*(CHOOSE({1,2,3,4},KHP!W180,KHP!AA180,KHP!AE180,KHP!AI180)))</f>
        <v>0</v>
      </c>
      <c r="H180">
        <f>SUMPRODUCT((MONTH(CHOOSE({1,2,3,4},KHP!T180,KHP!X180,KHP!AB180,KHP!AF180))=8)*(CHOOSE({1,2,3,4},KHP!W180,KHP!AA180,KHP!AE180,KHP!AI180)))</f>
        <v>0</v>
      </c>
      <c r="I180">
        <f>SUMPRODUCT((MONTH(CHOOSE({1,2,3,4},KHP!T180,KHP!X180,KHP!AB180,KHP!AF180))=9)*(CHOOSE({1,2,3,4},KHP!W180,KHP!AA180,KHP!AE180,KHP!AI180)))</f>
        <v>0</v>
      </c>
      <c r="J180">
        <f>SUMPRODUCT((MONTH(CHOOSE({1,2,3,4},KHP!T180,KHP!X180,KHP!AB180,KHP!AF180))=10)*(CHOOSE({1,2,3,4},KHP!W180,KHP!AA180,KHP!AE180,KHP!AI180)))</f>
        <v>0</v>
      </c>
      <c r="K180">
        <f>SUMPRODUCT((MONTH(CHOOSE({1,2,3,4},KHP!T180,KHP!X180,KHP!AB180,KHP!AF180))=11)*(CHOOSE({1,2,3,4},KHP!W180,KHP!AA180,KHP!AE180,KHP!AI180)))</f>
        <v>0</v>
      </c>
      <c r="L180">
        <f>SUMPRODUCT((MONTH(CHOOSE({1,2,3,4},KHP!T180,KHP!X180,KHP!AB180,KHP!AF180))=12)*(CHOOSE({1,2,3,4},KHP!W180,KHP!AA180,KHP!AE180,KHP!AI180)))</f>
        <v>0</v>
      </c>
    </row>
    <row r="181" spans="1:12">
      <c r="A181">
        <f>SUMPRODUCT((MONTH(CHOOSE({1,2,3,4},KHP!T181,KHP!X181,KHP!AB181,KHP!AF181))=1)*(CHOOSE({1,2,3,4},KHP!W181,KHP!AA181,KHP!AE181,KHP!AI181)))</f>
        <v>0</v>
      </c>
      <c r="B181">
        <f>SUMPRODUCT((MONTH(CHOOSE({1,2,3,4},KHP!T181,KHP!X181,KHP!AB181,KHP!AF181))=2)*(CHOOSE({1,2,3,4},KHP!W181,KHP!AA181,KHP!AE181,KHP!AI181)))</f>
        <v>0</v>
      </c>
      <c r="C181">
        <f>SUMPRODUCT((MONTH(CHOOSE({1,2,3,4},KHP!T181,KHP!X181,KHP!AB181,KHP!AF181))=3)*(CHOOSE({1,2,3,4},KHP!W181,KHP!AA181,KHP!AE181,KHP!AI181)))</f>
        <v>0</v>
      </c>
      <c r="D181">
        <f>SUMPRODUCT((MONTH(CHOOSE({1,2,3,4},KHP!T181,KHP!X181,KHP!AB181,KHP!AF181))=4)*(CHOOSE({1,2,3,4},KHP!W181,KHP!AA181,KHP!AE181,KHP!AI181)))</f>
        <v>0</v>
      </c>
      <c r="E181">
        <f>SUMPRODUCT((MONTH(CHOOSE({1,2,3,4},KHP!T181,KHP!X181,KHP!AB181,KHP!AF181))=5)*(CHOOSE({1,2,3,4},KHP!W181,KHP!AA181,KHP!AE181,KHP!AI181)))</f>
        <v>0</v>
      </c>
      <c r="F181">
        <f>SUMPRODUCT((MONTH(CHOOSE({1,2,3,4},KHP!T181,KHP!X181,KHP!AB181,KHP!AF181))=6)*(CHOOSE({1,2,3,4},KHP!W181,KHP!AA181,KHP!AE181,KHP!AI181)))</f>
        <v>0</v>
      </c>
      <c r="G181">
        <f>SUMPRODUCT((MONTH(CHOOSE({1,2,3,4},KHP!T181,KHP!X181,KHP!AB181,KHP!AF181))=7)*(CHOOSE({1,2,3,4},KHP!W181,KHP!AA181,KHP!AE181,KHP!AI181)))</f>
        <v>0</v>
      </c>
      <c r="H181">
        <f>SUMPRODUCT((MONTH(CHOOSE({1,2,3,4},KHP!T181,KHP!X181,KHP!AB181,KHP!AF181))=8)*(CHOOSE({1,2,3,4},KHP!W181,KHP!AA181,KHP!AE181,KHP!AI181)))</f>
        <v>0</v>
      </c>
      <c r="I181">
        <f>SUMPRODUCT((MONTH(CHOOSE({1,2,3,4},KHP!T181,KHP!X181,KHP!AB181,KHP!AF181))=9)*(CHOOSE({1,2,3,4},KHP!W181,KHP!AA181,KHP!AE181,KHP!AI181)))</f>
        <v>0</v>
      </c>
      <c r="J181">
        <f>SUMPRODUCT((MONTH(CHOOSE({1,2,3,4},KHP!T181,KHP!X181,KHP!AB181,KHP!AF181))=10)*(CHOOSE({1,2,3,4},KHP!W181,KHP!AA181,KHP!AE181,KHP!AI181)))</f>
        <v>0</v>
      </c>
      <c r="K181">
        <f>SUMPRODUCT((MONTH(CHOOSE({1,2,3,4},KHP!T181,KHP!X181,KHP!AB181,KHP!AF181))=11)*(CHOOSE({1,2,3,4},KHP!W181,KHP!AA181,KHP!AE181,KHP!AI181)))</f>
        <v>0</v>
      </c>
      <c r="L181">
        <f>SUMPRODUCT((MONTH(CHOOSE({1,2,3,4},KHP!T181,KHP!X181,KHP!AB181,KHP!AF181))=12)*(CHOOSE({1,2,3,4},KHP!W181,KHP!AA181,KHP!AE181,KHP!AI181)))</f>
        <v>0</v>
      </c>
    </row>
    <row r="182" spans="1:12">
      <c r="A182">
        <f>SUMPRODUCT((MONTH(CHOOSE({1,2,3,4},KHP!T182,KHP!X182,KHP!AB182,KHP!AF182))=1)*(CHOOSE({1,2,3,4},KHP!W182,KHP!AA182,KHP!AE182,KHP!AI182)))</f>
        <v>0</v>
      </c>
      <c r="B182">
        <f>SUMPRODUCT((MONTH(CHOOSE({1,2,3,4},KHP!T182,KHP!X182,KHP!AB182,KHP!AF182))=2)*(CHOOSE({1,2,3,4},KHP!W182,KHP!AA182,KHP!AE182,KHP!AI182)))</f>
        <v>0</v>
      </c>
      <c r="C182">
        <f>SUMPRODUCT((MONTH(CHOOSE({1,2,3,4},KHP!T182,KHP!X182,KHP!AB182,KHP!AF182))=3)*(CHOOSE({1,2,3,4},KHP!W182,KHP!AA182,KHP!AE182,KHP!AI182)))</f>
        <v>0</v>
      </c>
      <c r="D182">
        <f>SUMPRODUCT((MONTH(CHOOSE({1,2,3,4},KHP!T182,KHP!X182,KHP!AB182,KHP!AF182))=4)*(CHOOSE({1,2,3,4},KHP!W182,KHP!AA182,KHP!AE182,KHP!AI182)))</f>
        <v>0</v>
      </c>
      <c r="E182">
        <f>SUMPRODUCT((MONTH(CHOOSE({1,2,3,4},KHP!T182,KHP!X182,KHP!AB182,KHP!AF182))=5)*(CHOOSE({1,2,3,4},KHP!W182,KHP!AA182,KHP!AE182,KHP!AI182)))</f>
        <v>0</v>
      </c>
      <c r="F182">
        <f>SUMPRODUCT((MONTH(CHOOSE({1,2,3,4},KHP!T182,KHP!X182,KHP!AB182,KHP!AF182))=6)*(CHOOSE({1,2,3,4},KHP!W182,KHP!AA182,KHP!AE182,KHP!AI182)))</f>
        <v>0</v>
      </c>
      <c r="G182">
        <f>SUMPRODUCT((MONTH(CHOOSE({1,2,3,4},KHP!T182,KHP!X182,KHP!AB182,KHP!AF182))=7)*(CHOOSE({1,2,3,4},KHP!W182,KHP!AA182,KHP!AE182,KHP!AI182)))</f>
        <v>0</v>
      </c>
      <c r="H182">
        <f>SUMPRODUCT((MONTH(CHOOSE({1,2,3,4},KHP!T182,KHP!X182,KHP!AB182,KHP!AF182))=8)*(CHOOSE({1,2,3,4},KHP!W182,KHP!AA182,KHP!AE182,KHP!AI182)))</f>
        <v>0</v>
      </c>
      <c r="I182">
        <f>SUMPRODUCT((MONTH(CHOOSE({1,2,3,4},KHP!T182,KHP!X182,KHP!AB182,KHP!AF182))=9)*(CHOOSE({1,2,3,4},KHP!W182,KHP!AA182,KHP!AE182,KHP!AI182)))</f>
        <v>0</v>
      </c>
      <c r="J182">
        <f>SUMPRODUCT((MONTH(CHOOSE({1,2,3,4},KHP!T182,KHP!X182,KHP!AB182,KHP!AF182))=10)*(CHOOSE({1,2,3,4},KHP!W182,KHP!AA182,KHP!AE182,KHP!AI182)))</f>
        <v>0</v>
      </c>
      <c r="K182">
        <f>SUMPRODUCT((MONTH(CHOOSE({1,2,3,4},KHP!T182,KHP!X182,KHP!AB182,KHP!AF182))=11)*(CHOOSE({1,2,3,4},KHP!W182,KHP!AA182,KHP!AE182,KHP!AI182)))</f>
        <v>0</v>
      </c>
      <c r="L182">
        <f>SUMPRODUCT((MONTH(CHOOSE({1,2,3,4},KHP!T182,KHP!X182,KHP!AB182,KHP!AF182))=12)*(CHOOSE({1,2,3,4},KHP!W182,KHP!AA182,KHP!AE182,KHP!AI182)))</f>
        <v>0</v>
      </c>
    </row>
    <row r="183" spans="1:12">
      <c r="A183">
        <f>SUMPRODUCT((MONTH(CHOOSE({1,2,3,4},KHP!T183,KHP!X183,KHP!AB183,KHP!AF183))=1)*(CHOOSE({1,2,3,4},KHP!W183,KHP!AA183,KHP!AE183,KHP!AI183)))</f>
        <v>0</v>
      </c>
      <c r="B183">
        <f>SUMPRODUCT((MONTH(CHOOSE({1,2,3,4},KHP!T183,KHP!X183,KHP!AB183,KHP!AF183))=2)*(CHOOSE({1,2,3,4},KHP!W183,KHP!AA183,KHP!AE183,KHP!AI183)))</f>
        <v>0</v>
      </c>
      <c r="C183">
        <f>SUMPRODUCT((MONTH(CHOOSE({1,2,3,4},KHP!T183,KHP!X183,KHP!AB183,KHP!AF183))=3)*(CHOOSE({1,2,3,4},KHP!W183,KHP!AA183,KHP!AE183,KHP!AI183)))</f>
        <v>0</v>
      </c>
      <c r="D183">
        <f>SUMPRODUCT((MONTH(CHOOSE({1,2,3,4},KHP!T183,KHP!X183,KHP!AB183,KHP!AF183))=4)*(CHOOSE({1,2,3,4},KHP!W183,KHP!AA183,KHP!AE183,KHP!AI183)))</f>
        <v>0</v>
      </c>
      <c r="E183">
        <f>SUMPRODUCT((MONTH(CHOOSE({1,2,3,4},KHP!T183,KHP!X183,KHP!AB183,KHP!AF183))=5)*(CHOOSE({1,2,3,4},KHP!W183,KHP!AA183,KHP!AE183,KHP!AI183)))</f>
        <v>0</v>
      </c>
      <c r="F183">
        <f>SUMPRODUCT((MONTH(CHOOSE({1,2,3,4},KHP!T183,KHP!X183,KHP!AB183,KHP!AF183))=6)*(CHOOSE({1,2,3,4},KHP!W183,KHP!AA183,KHP!AE183,KHP!AI183)))</f>
        <v>0</v>
      </c>
      <c r="G183">
        <f>SUMPRODUCT((MONTH(CHOOSE({1,2,3,4},KHP!T183,KHP!X183,KHP!AB183,KHP!AF183))=7)*(CHOOSE({1,2,3,4},KHP!W183,KHP!AA183,KHP!AE183,KHP!AI183)))</f>
        <v>0</v>
      </c>
      <c r="H183">
        <f>SUMPRODUCT((MONTH(CHOOSE({1,2,3,4},KHP!T183,KHP!X183,KHP!AB183,KHP!AF183))=8)*(CHOOSE({1,2,3,4},KHP!W183,KHP!AA183,KHP!AE183,KHP!AI183)))</f>
        <v>0</v>
      </c>
      <c r="I183">
        <f>SUMPRODUCT((MONTH(CHOOSE({1,2,3,4},KHP!T183,KHP!X183,KHP!AB183,KHP!AF183))=9)*(CHOOSE({1,2,3,4},KHP!W183,KHP!AA183,KHP!AE183,KHP!AI183)))</f>
        <v>0</v>
      </c>
      <c r="J183">
        <f>SUMPRODUCT((MONTH(CHOOSE({1,2,3,4},KHP!T183,KHP!X183,KHP!AB183,KHP!AF183))=10)*(CHOOSE({1,2,3,4},KHP!W183,KHP!AA183,KHP!AE183,KHP!AI183)))</f>
        <v>0</v>
      </c>
      <c r="K183">
        <f>SUMPRODUCT((MONTH(CHOOSE({1,2,3,4},KHP!T183,KHP!X183,KHP!AB183,KHP!AF183))=11)*(CHOOSE({1,2,3,4},KHP!W183,KHP!AA183,KHP!AE183,KHP!AI183)))</f>
        <v>0</v>
      </c>
      <c r="L183">
        <f>SUMPRODUCT((MONTH(CHOOSE({1,2,3,4},KHP!T183,KHP!X183,KHP!AB183,KHP!AF183))=12)*(CHOOSE({1,2,3,4},KHP!W183,KHP!AA183,KHP!AE183,KHP!AI183)))</f>
        <v>0</v>
      </c>
    </row>
    <row r="184" spans="1:12">
      <c r="A184">
        <f>SUMPRODUCT((MONTH(CHOOSE({1,2,3,4},KHP!T184,KHP!X184,KHP!AB184,KHP!AF184))=1)*(CHOOSE({1,2,3,4},KHP!W184,KHP!AA184,KHP!AE184,KHP!AI184)))</f>
        <v>0</v>
      </c>
      <c r="B184">
        <f>SUMPRODUCT((MONTH(CHOOSE({1,2,3,4},KHP!T184,KHP!X184,KHP!AB184,KHP!AF184))=2)*(CHOOSE({1,2,3,4},KHP!W184,KHP!AA184,KHP!AE184,KHP!AI184)))</f>
        <v>0</v>
      </c>
      <c r="C184">
        <f>SUMPRODUCT((MONTH(CHOOSE({1,2,3,4},KHP!T184,KHP!X184,KHP!AB184,KHP!AF184))=3)*(CHOOSE({1,2,3,4},KHP!W184,KHP!AA184,KHP!AE184,KHP!AI184)))</f>
        <v>0</v>
      </c>
      <c r="D184">
        <f>SUMPRODUCT((MONTH(CHOOSE({1,2,3,4},KHP!T184,KHP!X184,KHP!AB184,KHP!AF184))=4)*(CHOOSE({1,2,3,4},KHP!W184,KHP!AA184,KHP!AE184,KHP!AI184)))</f>
        <v>0</v>
      </c>
      <c r="E184">
        <f>SUMPRODUCT((MONTH(CHOOSE({1,2,3,4},KHP!T184,KHP!X184,KHP!AB184,KHP!AF184))=5)*(CHOOSE({1,2,3,4},KHP!W184,KHP!AA184,KHP!AE184,KHP!AI184)))</f>
        <v>0</v>
      </c>
      <c r="F184">
        <f>SUMPRODUCT((MONTH(CHOOSE({1,2,3,4},KHP!T184,KHP!X184,KHP!AB184,KHP!AF184))=6)*(CHOOSE({1,2,3,4},KHP!W184,KHP!AA184,KHP!AE184,KHP!AI184)))</f>
        <v>0</v>
      </c>
      <c r="G184">
        <f>SUMPRODUCT((MONTH(CHOOSE({1,2,3,4},KHP!T184,KHP!X184,KHP!AB184,KHP!AF184))=7)*(CHOOSE({1,2,3,4},KHP!W184,KHP!AA184,KHP!AE184,KHP!AI184)))</f>
        <v>0</v>
      </c>
      <c r="H184">
        <f>SUMPRODUCT((MONTH(CHOOSE({1,2,3,4},KHP!T184,KHP!X184,KHP!AB184,KHP!AF184))=8)*(CHOOSE({1,2,3,4},KHP!W184,KHP!AA184,KHP!AE184,KHP!AI184)))</f>
        <v>0</v>
      </c>
      <c r="I184">
        <f>SUMPRODUCT((MONTH(CHOOSE({1,2,3,4},KHP!T184,KHP!X184,KHP!AB184,KHP!AF184))=9)*(CHOOSE({1,2,3,4},KHP!W184,KHP!AA184,KHP!AE184,KHP!AI184)))</f>
        <v>0</v>
      </c>
      <c r="J184">
        <f>SUMPRODUCT((MONTH(CHOOSE({1,2,3,4},KHP!T184,KHP!X184,KHP!AB184,KHP!AF184))=10)*(CHOOSE({1,2,3,4},KHP!W184,KHP!AA184,KHP!AE184,KHP!AI184)))</f>
        <v>0</v>
      </c>
      <c r="K184">
        <f>SUMPRODUCT((MONTH(CHOOSE({1,2,3,4},KHP!T184,KHP!X184,KHP!AB184,KHP!AF184))=11)*(CHOOSE({1,2,3,4},KHP!W184,KHP!AA184,KHP!AE184,KHP!AI184)))</f>
        <v>0</v>
      </c>
      <c r="L184">
        <f>SUMPRODUCT((MONTH(CHOOSE({1,2,3,4},KHP!T184,KHP!X184,KHP!AB184,KHP!AF184))=12)*(CHOOSE({1,2,3,4},KHP!W184,KHP!AA184,KHP!AE184,KHP!AI184)))</f>
        <v>0</v>
      </c>
    </row>
    <row r="185" spans="1:12">
      <c r="A185">
        <f>SUMPRODUCT((MONTH(CHOOSE({1,2,3,4},KHP!T185,KHP!X185,KHP!AB185,KHP!AF185))=1)*(CHOOSE({1,2,3,4},KHP!W185,KHP!AA185,KHP!AE185,KHP!AI185)))</f>
        <v>0</v>
      </c>
      <c r="B185">
        <f>SUMPRODUCT((MONTH(CHOOSE({1,2,3,4},KHP!T185,KHP!X185,KHP!AB185,KHP!AF185))=2)*(CHOOSE({1,2,3,4},KHP!W185,KHP!AA185,KHP!AE185,KHP!AI185)))</f>
        <v>0</v>
      </c>
      <c r="C185">
        <f>SUMPRODUCT((MONTH(CHOOSE({1,2,3,4},KHP!T185,KHP!X185,KHP!AB185,KHP!AF185))=3)*(CHOOSE({1,2,3,4},KHP!W185,KHP!AA185,KHP!AE185,KHP!AI185)))</f>
        <v>0</v>
      </c>
      <c r="D185">
        <f>SUMPRODUCT((MONTH(CHOOSE({1,2,3,4},KHP!T185,KHP!X185,KHP!AB185,KHP!AF185))=4)*(CHOOSE({1,2,3,4},KHP!W185,KHP!AA185,KHP!AE185,KHP!AI185)))</f>
        <v>0</v>
      </c>
      <c r="E185">
        <f>SUMPRODUCT((MONTH(CHOOSE({1,2,3,4},KHP!T185,KHP!X185,KHP!AB185,KHP!AF185))=5)*(CHOOSE({1,2,3,4},KHP!W185,KHP!AA185,KHP!AE185,KHP!AI185)))</f>
        <v>0</v>
      </c>
      <c r="F185">
        <f>SUMPRODUCT((MONTH(CHOOSE({1,2,3,4},KHP!T185,KHP!X185,KHP!AB185,KHP!AF185))=6)*(CHOOSE({1,2,3,4},KHP!W185,KHP!AA185,KHP!AE185,KHP!AI185)))</f>
        <v>0</v>
      </c>
      <c r="G185">
        <f>SUMPRODUCT((MONTH(CHOOSE({1,2,3,4},KHP!T185,KHP!X185,KHP!AB185,KHP!AF185))=7)*(CHOOSE({1,2,3,4},KHP!W185,KHP!AA185,KHP!AE185,KHP!AI185)))</f>
        <v>0</v>
      </c>
      <c r="H185">
        <f>SUMPRODUCT((MONTH(CHOOSE({1,2,3,4},KHP!T185,KHP!X185,KHP!AB185,KHP!AF185))=8)*(CHOOSE({1,2,3,4},KHP!W185,KHP!AA185,KHP!AE185,KHP!AI185)))</f>
        <v>0</v>
      </c>
      <c r="I185">
        <f>SUMPRODUCT((MONTH(CHOOSE({1,2,3,4},KHP!T185,KHP!X185,KHP!AB185,KHP!AF185))=9)*(CHOOSE({1,2,3,4},KHP!W185,KHP!AA185,KHP!AE185,KHP!AI185)))</f>
        <v>0</v>
      </c>
      <c r="J185">
        <f>SUMPRODUCT((MONTH(CHOOSE({1,2,3,4},KHP!T185,KHP!X185,KHP!AB185,KHP!AF185))=10)*(CHOOSE({1,2,3,4},KHP!W185,KHP!AA185,KHP!AE185,KHP!AI185)))</f>
        <v>0</v>
      </c>
      <c r="K185">
        <f>SUMPRODUCT((MONTH(CHOOSE({1,2,3,4},KHP!T185,KHP!X185,KHP!AB185,KHP!AF185))=11)*(CHOOSE({1,2,3,4},KHP!W185,KHP!AA185,KHP!AE185,KHP!AI185)))</f>
        <v>0</v>
      </c>
      <c r="L185">
        <f>SUMPRODUCT((MONTH(CHOOSE({1,2,3,4},KHP!T185,KHP!X185,KHP!AB185,KHP!AF185))=12)*(CHOOSE({1,2,3,4},KHP!W185,KHP!AA185,KHP!AE185,KHP!AI185)))</f>
        <v>0</v>
      </c>
    </row>
    <row r="186" spans="1:12">
      <c r="A186">
        <f>SUMPRODUCT((MONTH(CHOOSE({1,2,3,4},KHP!T186,KHP!X186,KHP!AB186,KHP!AF186))=1)*(CHOOSE({1,2,3,4},KHP!W186,KHP!AA186,KHP!AE186,KHP!AI186)))</f>
        <v>0</v>
      </c>
      <c r="B186">
        <f>SUMPRODUCT((MONTH(CHOOSE({1,2,3,4},KHP!T186,KHP!X186,KHP!AB186,KHP!AF186))=2)*(CHOOSE({1,2,3,4},KHP!W186,KHP!AA186,KHP!AE186,KHP!AI186)))</f>
        <v>0</v>
      </c>
      <c r="C186">
        <f>SUMPRODUCT((MONTH(CHOOSE({1,2,3,4},KHP!T186,KHP!X186,KHP!AB186,KHP!AF186))=3)*(CHOOSE({1,2,3,4},KHP!W186,KHP!AA186,KHP!AE186,KHP!AI186)))</f>
        <v>0</v>
      </c>
      <c r="D186">
        <f>SUMPRODUCT((MONTH(CHOOSE({1,2,3,4},KHP!T186,KHP!X186,KHP!AB186,KHP!AF186))=4)*(CHOOSE({1,2,3,4},KHP!W186,KHP!AA186,KHP!AE186,KHP!AI186)))</f>
        <v>0</v>
      </c>
      <c r="E186">
        <f>SUMPRODUCT((MONTH(CHOOSE({1,2,3,4},KHP!T186,KHP!X186,KHP!AB186,KHP!AF186))=5)*(CHOOSE({1,2,3,4},KHP!W186,KHP!AA186,KHP!AE186,KHP!AI186)))</f>
        <v>0</v>
      </c>
      <c r="F186">
        <f>SUMPRODUCT((MONTH(CHOOSE({1,2,3,4},KHP!T186,KHP!X186,KHP!AB186,KHP!AF186))=6)*(CHOOSE({1,2,3,4},KHP!W186,KHP!AA186,KHP!AE186,KHP!AI186)))</f>
        <v>0</v>
      </c>
      <c r="G186">
        <f>SUMPRODUCT((MONTH(CHOOSE({1,2,3,4},KHP!T186,KHP!X186,KHP!AB186,KHP!AF186))=7)*(CHOOSE({1,2,3,4},KHP!W186,KHP!AA186,KHP!AE186,KHP!AI186)))</f>
        <v>0</v>
      </c>
      <c r="H186">
        <f>SUMPRODUCT((MONTH(CHOOSE({1,2,3,4},KHP!T186,KHP!X186,KHP!AB186,KHP!AF186))=8)*(CHOOSE({1,2,3,4},KHP!W186,KHP!AA186,KHP!AE186,KHP!AI186)))</f>
        <v>0</v>
      </c>
      <c r="I186">
        <f>SUMPRODUCT((MONTH(CHOOSE({1,2,3,4},KHP!T186,KHP!X186,KHP!AB186,KHP!AF186))=9)*(CHOOSE({1,2,3,4},KHP!W186,KHP!AA186,KHP!AE186,KHP!AI186)))</f>
        <v>0</v>
      </c>
      <c r="J186">
        <f>SUMPRODUCT((MONTH(CHOOSE({1,2,3,4},KHP!T186,KHP!X186,KHP!AB186,KHP!AF186))=10)*(CHOOSE({1,2,3,4},KHP!W186,KHP!AA186,KHP!AE186,KHP!AI186)))</f>
        <v>0</v>
      </c>
      <c r="K186">
        <f>SUMPRODUCT((MONTH(CHOOSE({1,2,3,4},KHP!T186,KHP!X186,KHP!AB186,KHP!AF186))=11)*(CHOOSE({1,2,3,4},KHP!W186,KHP!AA186,KHP!AE186,KHP!AI186)))</f>
        <v>0</v>
      </c>
      <c r="L186">
        <f>SUMPRODUCT((MONTH(CHOOSE({1,2,3,4},KHP!T186,KHP!X186,KHP!AB186,KHP!AF186))=12)*(CHOOSE({1,2,3,4},KHP!W186,KHP!AA186,KHP!AE186,KHP!AI186)))</f>
        <v>0</v>
      </c>
    </row>
    <row r="187" spans="1:12">
      <c r="A187">
        <f>SUMPRODUCT((MONTH(CHOOSE({1,2,3,4},KHP!T187,KHP!X187,KHP!AB187,KHP!AF187))=1)*(CHOOSE({1,2,3,4},KHP!W187,KHP!AA187,KHP!AE187,KHP!AI187)))</f>
        <v>0</v>
      </c>
      <c r="B187">
        <f>SUMPRODUCT((MONTH(CHOOSE({1,2,3,4},KHP!T187,KHP!X187,KHP!AB187,KHP!AF187))=2)*(CHOOSE({1,2,3,4},KHP!W187,KHP!AA187,KHP!AE187,KHP!AI187)))</f>
        <v>0</v>
      </c>
      <c r="C187">
        <f>SUMPRODUCT((MONTH(CHOOSE({1,2,3,4},KHP!T187,KHP!X187,KHP!AB187,KHP!AF187))=3)*(CHOOSE({1,2,3,4},KHP!W187,KHP!AA187,KHP!AE187,KHP!AI187)))</f>
        <v>0</v>
      </c>
      <c r="D187">
        <f>SUMPRODUCT((MONTH(CHOOSE({1,2,3,4},KHP!T187,KHP!X187,KHP!AB187,KHP!AF187))=4)*(CHOOSE({1,2,3,4},KHP!W187,KHP!AA187,KHP!AE187,KHP!AI187)))</f>
        <v>0</v>
      </c>
      <c r="E187">
        <f>SUMPRODUCT((MONTH(CHOOSE({1,2,3,4},KHP!T187,KHP!X187,KHP!AB187,KHP!AF187))=5)*(CHOOSE({1,2,3,4},KHP!W187,KHP!AA187,KHP!AE187,KHP!AI187)))</f>
        <v>0</v>
      </c>
      <c r="F187">
        <f>SUMPRODUCT((MONTH(CHOOSE({1,2,3,4},KHP!T187,KHP!X187,KHP!AB187,KHP!AF187))=6)*(CHOOSE({1,2,3,4},KHP!W187,KHP!AA187,KHP!AE187,KHP!AI187)))</f>
        <v>0</v>
      </c>
      <c r="G187">
        <f>SUMPRODUCT((MONTH(CHOOSE({1,2,3,4},KHP!T187,KHP!X187,KHP!AB187,KHP!AF187))=7)*(CHOOSE({1,2,3,4},KHP!W187,KHP!AA187,KHP!AE187,KHP!AI187)))</f>
        <v>0</v>
      </c>
      <c r="H187">
        <f>SUMPRODUCT((MONTH(CHOOSE({1,2,3,4},KHP!T187,KHP!X187,KHP!AB187,KHP!AF187))=8)*(CHOOSE({1,2,3,4},KHP!W187,KHP!AA187,KHP!AE187,KHP!AI187)))</f>
        <v>0</v>
      </c>
      <c r="I187">
        <f>SUMPRODUCT((MONTH(CHOOSE({1,2,3,4},KHP!T187,KHP!X187,KHP!AB187,KHP!AF187))=9)*(CHOOSE({1,2,3,4},KHP!W187,KHP!AA187,KHP!AE187,KHP!AI187)))</f>
        <v>0</v>
      </c>
      <c r="J187">
        <f>SUMPRODUCT((MONTH(CHOOSE({1,2,3,4},KHP!T187,KHP!X187,KHP!AB187,KHP!AF187))=10)*(CHOOSE({1,2,3,4},KHP!W187,KHP!AA187,KHP!AE187,KHP!AI187)))</f>
        <v>0</v>
      </c>
      <c r="K187">
        <f>SUMPRODUCT((MONTH(CHOOSE({1,2,3,4},KHP!T187,KHP!X187,KHP!AB187,KHP!AF187))=11)*(CHOOSE({1,2,3,4},KHP!W187,KHP!AA187,KHP!AE187,KHP!AI187)))</f>
        <v>0</v>
      </c>
      <c r="L187">
        <f>SUMPRODUCT((MONTH(CHOOSE({1,2,3,4},KHP!T187,KHP!X187,KHP!AB187,KHP!AF187))=12)*(CHOOSE({1,2,3,4},KHP!W187,KHP!AA187,KHP!AE187,KHP!AI187)))</f>
        <v>0</v>
      </c>
    </row>
    <row r="188" spans="1:12">
      <c r="A188">
        <f>SUMPRODUCT((MONTH(CHOOSE({1,2,3,4},KHP!T188,KHP!X188,KHP!AB188,KHP!AF188))=1)*(CHOOSE({1,2,3,4},KHP!W188,KHP!AA188,KHP!AE188,KHP!AI188)))</f>
        <v>0</v>
      </c>
      <c r="B188">
        <f>SUMPRODUCT((MONTH(CHOOSE({1,2,3,4},KHP!T188,KHP!X188,KHP!AB188,KHP!AF188))=2)*(CHOOSE({1,2,3,4},KHP!W188,KHP!AA188,KHP!AE188,KHP!AI188)))</f>
        <v>0</v>
      </c>
      <c r="C188">
        <f>SUMPRODUCT((MONTH(CHOOSE({1,2,3,4},KHP!T188,KHP!X188,KHP!AB188,KHP!AF188))=3)*(CHOOSE({1,2,3,4},KHP!W188,KHP!AA188,KHP!AE188,KHP!AI188)))</f>
        <v>0</v>
      </c>
      <c r="D188">
        <f>SUMPRODUCT((MONTH(CHOOSE({1,2,3,4},KHP!T188,KHP!X188,KHP!AB188,KHP!AF188))=4)*(CHOOSE({1,2,3,4},KHP!W188,KHP!AA188,KHP!AE188,KHP!AI188)))</f>
        <v>0</v>
      </c>
      <c r="E188">
        <f>SUMPRODUCT((MONTH(CHOOSE({1,2,3,4},KHP!T188,KHP!X188,KHP!AB188,KHP!AF188))=5)*(CHOOSE({1,2,3,4},KHP!W188,KHP!AA188,KHP!AE188,KHP!AI188)))</f>
        <v>0</v>
      </c>
      <c r="F188">
        <f>SUMPRODUCT((MONTH(CHOOSE({1,2,3,4},KHP!T188,KHP!X188,KHP!AB188,KHP!AF188))=6)*(CHOOSE({1,2,3,4},KHP!W188,KHP!AA188,KHP!AE188,KHP!AI188)))</f>
        <v>0</v>
      </c>
      <c r="G188">
        <f>SUMPRODUCT((MONTH(CHOOSE({1,2,3,4},KHP!T188,KHP!X188,KHP!AB188,KHP!AF188))=7)*(CHOOSE({1,2,3,4},KHP!W188,KHP!AA188,KHP!AE188,KHP!AI188)))</f>
        <v>0</v>
      </c>
      <c r="H188">
        <f>SUMPRODUCT((MONTH(CHOOSE({1,2,3,4},KHP!T188,KHP!X188,KHP!AB188,KHP!AF188))=8)*(CHOOSE({1,2,3,4},KHP!W188,KHP!AA188,KHP!AE188,KHP!AI188)))</f>
        <v>0</v>
      </c>
      <c r="I188">
        <f>SUMPRODUCT((MONTH(CHOOSE({1,2,3,4},KHP!T188,KHP!X188,KHP!AB188,KHP!AF188))=9)*(CHOOSE({1,2,3,4},KHP!W188,KHP!AA188,KHP!AE188,KHP!AI188)))</f>
        <v>0</v>
      </c>
      <c r="J188">
        <f>SUMPRODUCT((MONTH(CHOOSE({1,2,3,4},KHP!T188,KHP!X188,KHP!AB188,KHP!AF188))=10)*(CHOOSE({1,2,3,4},KHP!W188,KHP!AA188,KHP!AE188,KHP!AI188)))</f>
        <v>0</v>
      </c>
      <c r="K188">
        <f>SUMPRODUCT((MONTH(CHOOSE({1,2,3,4},KHP!T188,KHP!X188,KHP!AB188,KHP!AF188))=11)*(CHOOSE({1,2,3,4},KHP!W188,KHP!AA188,KHP!AE188,KHP!AI188)))</f>
        <v>0</v>
      </c>
      <c r="L188">
        <f>SUMPRODUCT((MONTH(CHOOSE({1,2,3,4},KHP!T188,KHP!X188,KHP!AB188,KHP!AF188))=12)*(CHOOSE({1,2,3,4},KHP!W188,KHP!AA188,KHP!AE188,KHP!AI188)))</f>
        <v>0</v>
      </c>
    </row>
    <row r="189" spans="1:12">
      <c r="A189">
        <f>SUMPRODUCT((MONTH(CHOOSE({1,2,3,4},KHP!T189,KHP!X189,KHP!AB189,KHP!AF189))=1)*(CHOOSE({1,2,3,4},KHP!W189,KHP!AA189,KHP!AE189,KHP!AI189)))</f>
        <v>0</v>
      </c>
      <c r="B189">
        <f>SUMPRODUCT((MONTH(CHOOSE({1,2,3,4},KHP!T189,KHP!X189,KHP!AB189,KHP!AF189))=2)*(CHOOSE({1,2,3,4},KHP!W189,KHP!AA189,KHP!AE189,KHP!AI189)))</f>
        <v>0</v>
      </c>
      <c r="C189">
        <f>SUMPRODUCT((MONTH(CHOOSE({1,2,3,4},KHP!T189,KHP!X189,KHP!AB189,KHP!AF189))=3)*(CHOOSE({1,2,3,4},KHP!W189,KHP!AA189,KHP!AE189,KHP!AI189)))</f>
        <v>0</v>
      </c>
      <c r="D189">
        <f>SUMPRODUCT((MONTH(CHOOSE({1,2,3,4},KHP!T189,KHP!X189,KHP!AB189,KHP!AF189))=4)*(CHOOSE({1,2,3,4},KHP!W189,KHP!AA189,KHP!AE189,KHP!AI189)))</f>
        <v>0</v>
      </c>
      <c r="E189">
        <f>SUMPRODUCT((MONTH(CHOOSE({1,2,3,4},KHP!T189,KHP!X189,KHP!AB189,KHP!AF189))=5)*(CHOOSE({1,2,3,4},KHP!W189,KHP!AA189,KHP!AE189,KHP!AI189)))</f>
        <v>0</v>
      </c>
      <c r="F189">
        <f>SUMPRODUCT((MONTH(CHOOSE({1,2,3,4},KHP!T189,KHP!X189,KHP!AB189,KHP!AF189))=6)*(CHOOSE({1,2,3,4},KHP!W189,KHP!AA189,KHP!AE189,KHP!AI189)))</f>
        <v>0</v>
      </c>
      <c r="G189">
        <f>SUMPRODUCT((MONTH(CHOOSE({1,2,3,4},KHP!T189,KHP!X189,KHP!AB189,KHP!AF189))=7)*(CHOOSE({1,2,3,4},KHP!W189,KHP!AA189,KHP!AE189,KHP!AI189)))</f>
        <v>0</v>
      </c>
      <c r="H189">
        <f>SUMPRODUCT((MONTH(CHOOSE({1,2,3,4},KHP!T189,KHP!X189,KHP!AB189,KHP!AF189))=8)*(CHOOSE({1,2,3,4},KHP!W189,KHP!AA189,KHP!AE189,KHP!AI189)))</f>
        <v>0</v>
      </c>
      <c r="I189">
        <f>SUMPRODUCT((MONTH(CHOOSE({1,2,3,4},KHP!T189,KHP!X189,KHP!AB189,KHP!AF189))=9)*(CHOOSE({1,2,3,4},KHP!W189,KHP!AA189,KHP!AE189,KHP!AI189)))</f>
        <v>0</v>
      </c>
      <c r="J189">
        <f>SUMPRODUCT((MONTH(CHOOSE({1,2,3,4},KHP!T189,KHP!X189,KHP!AB189,KHP!AF189))=10)*(CHOOSE({1,2,3,4},KHP!W189,KHP!AA189,KHP!AE189,KHP!AI189)))</f>
        <v>0</v>
      </c>
      <c r="K189">
        <f>SUMPRODUCT((MONTH(CHOOSE({1,2,3,4},KHP!T189,KHP!X189,KHP!AB189,KHP!AF189))=11)*(CHOOSE({1,2,3,4},KHP!W189,KHP!AA189,KHP!AE189,KHP!AI189)))</f>
        <v>0</v>
      </c>
      <c r="L189">
        <f>SUMPRODUCT((MONTH(CHOOSE({1,2,3,4},KHP!T189,KHP!X189,KHP!AB189,KHP!AF189))=12)*(CHOOSE({1,2,3,4},KHP!W189,KHP!AA189,KHP!AE189,KHP!AI189)))</f>
        <v>0</v>
      </c>
    </row>
    <row r="190" spans="1:12">
      <c r="A190">
        <f>SUMPRODUCT((MONTH(CHOOSE({1,2,3,4},KHP!T190,KHP!X190,KHP!AB190,KHP!AF190))=1)*(CHOOSE({1,2,3,4},KHP!W190,KHP!AA190,KHP!AE190,KHP!AI190)))</f>
        <v>0</v>
      </c>
      <c r="B190">
        <f>SUMPRODUCT((MONTH(CHOOSE({1,2,3,4},KHP!T190,KHP!X190,KHP!AB190,KHP!AF190))=2)*(CHOOSE({1,2,3,4},KHP!W190,KHP!AA190,KHP!AE190,KHP!AI190)))</f>
        <v>0</v>
      </c>
      <c r="C190">
        <f>SUMPRODUCT((MONTH(CHOOSE({1,2,3,4},KHP!T190,KHP!X190,KHP!AB190,KHP!AF190))=3)*(CHOOSE({1,2,3,4},KHP!W190,KHP!AA190,KHP!AE190,KHP!AI190)))</f>
        <v>0</v>
      </c>
      <c r="D190">
        <f>SUMPRODUCT((MONTH(CHOOSE({1,2,3,4},KHP!T190,KHP!X190,KHP!AB190,KHP!AF190))=4)*(CHOOSE({1,2,3,4},KHP!W190,KHP!AA190,KHP!AE190,KHP!AI190)))</f>
        <v>0</v>
      </c>
      <c r="E190">
        <f>SUMPRODUCT((MONTH(CHOOSE({1,2,3,4},KHP!T190,KHP!X190,KHP!AB190,KHP!AF190))=5)*(CHOOSE({1,2,3,4},KHP!W190,KHP!AA190,KHP!AE190,KHP!AI190)))</f>
        <v>0</v>
      </c>
      <c r="F190">
        <f>SUMPRODUCT((MONTH(CHOOSE({1,2,3,4},KHP!T190,KHP!X190,KHP!AB190,KHP!AF190))=6)*(CHOOSE({1,2,3,4},KHP!W190,KHP!AA190,KHP!AE190,KHP!AI190)))</f>
        <v>0</v>
      </c>
      <c r="G190">
        <f>SUMPRODUCT((MONTH(CHOOSE({1,2,3,4},KHP!T190,KHP!X190,KHP!AB190,KHP!AF190))=7)*(CHOOSE({1,2,3,4},KHP!W190,KHP!AA190,KHP!AE190,KHP!AI190)))</f>
        <v>0</v>
      </c>
      <c r="H190">
        <f>SUMPRODUCT((MONTH(CHOOSE({1,2,3,4},KHP!T190,KHP!X190,KHP!AB190,KHP!AF190))=8)*(CHOOSE({1,2,3,4},KHP!W190,KHP!AA190,KHP!AE190,KHP!AI190)))</f>
        <v>0</v>
      </c>
      <c r="I190">
        <f>SUMPRODUCT((MONTH(CHOOSE({1,2,3,4},KHP!T190,KHP!X190,KHP!AB190,KHP!AF190))=9)*(CHOOSE({1,2,3,4},KHP!W190,KHP!AA190,KHP!AE190,KHP!AI190)))</f>
        <v>0</v>
      </c>
      <c r="J190">
        <f>SUMPRODUCT((MONTH(CHOOSE({1,2,3,4},KHP!T190,KHP!X190,KHP!AB190,KHP!AF190))=10)*(CHOOSE({1,2,3,4},KHP!W190,KHP!AA190,KHP!AE190,KHP!AI190)))</f>
        <v>0</v>
      </c>
      <c r="K190">
        <f>SUMPRODUCT((MONTH(CHOOSE({1,2,3,4},KHP!T190,KHP!X190,KHP!AB190,KHP!AF190))=11)*(CHOOSE({1,2,3,4},KHP!W190,KHP!AA190,KHP!AE190,KHP!AI190)))</f>
        <v>0</v>
      </c>
      <c r="L190">
        <f>SUMPRODUCT((MONTH(CHOOSE({1,2,3,4},KHP!T190,KHP!X190,KHP!AB190,KHP!AF190))=12)*(CHOOSE({1,2,3,4},KHP!W190,KHP!AA190,KHP!AE190,KHP!AI190)))</f>
        <v>0</v>
      </c>
    </row>
    <row r="191" spans="1:12">
      <c r="A191">
        <f>SUMPRODUCT((MONTH(CHOOSE({1,2,3,4},KHP!T191,KHP!X191,KHP!AB191,KHP!AF191))=1)*(CHOOSE({1,2,3,4},KHP!W191,KHP!AA191,KHP!AE191,KHP!AI191)))</f>
        <v>0</v>
      </c>
      <c r="B191">
        <f>SUMPRODUCT((MONTH(CHOOSE({1,2,3,4},KHP!T191,KHP!X191,KHP!AB191,KHP!AF191))=2)*(CHOOSE({1,2,3,4},KHP!W191,KHP!AA191,KHP!AE191,KHP!AI191)))</f>
        <v>0</v>
      </c>
      <c r="C191">
        <f>SUMPRODUCT((MONTH(CHOOSE({1,2,3,4},KHP!T191,KHP!X191,KHP!AB191,KHP!AF191))=3)*(CHOOSE({1,2,3,4},KHP!W191,KHP!AA191,KHP!AE191,KHP!AI191)))</f>
        <v>0</v>
      </c>
      <c r="D191">
        <f>SUMPRODUCT((MONTH(CHOOSE({1,2,3,4},KHP!T191,KHP!X191,KHP!AB191,KHP!AF191))=4)*(CHOOSE({1,2,3,4},KHP!W191,KHP!AA191,KHP!AE191,KHP!AI191)))</f>
        <v>0</v>
      </c>
      <c r="E191">
        <f>SUMPRODUCT((MONTH(CHOOSE({1,2,3,4},KHP!T191,KHP!X191,KHP!AB191,KHP!AF191))=5)*(CHOOSE({1,2,3,4},KHP!W191,KHP!AA191,KHP!AE191,KHP!AI191)))</f>
        <v>0</v>
      </c>
      <c r="F191">
        <f>SUMPRODUCT((MONTH(CHOOSE({1,2,3,4},KHP!T191,KHP!X191,KHP!AB191,KHP!AF191))=6)*(CHOOSE({1,2,3,4},KHP!W191,KHP!AA191,KHP!AE191,KHP!AI191)))</f>
        <v>0</v>
      </c>
      <c r="G191">
        <f>SUMPRODUCT((MONTH(CHOOSE({1,2,3,4},KHP!T191,KHP!X191,KHP!AB191,KHP!AF191))=7)*(CHOOSE({1,2,3,4},KHP!W191,KHP!AA191,KHP!AE191,KHP!AI191)))</f>
        <v>0</v>
      </c>
      <c r="H191">
        <f>SUMPRODUCT((MONTH(CHOOSE({1,2,3,4},KHP!T191,KHP!X191,KHP!AB191,KHP!AF191))=8)*(CHOOSE({1,2,3,4},KHP!W191,KHP!AA191,KHP!AE191,KHP!AI191)))</f>
        <v>0</v>
      </c>
      <c r="I191">
        <f>SUMPRODUCT((MONTH(CHOOSE({1,2,3,4},KHP!T191,KHP!X191,KHP!AB191,KHP!AF191))=9)*(CHOOSE({1,2,3,4},KHP!W191,KHP!AA191,KHP!AE191,KHP!AI191)))</f>
        <v>0</v>
      </c>
      <c r="J191">
        <f>SUMPRODUCT((MONTH(CHOOSE({1,2,3,4},KHP!T191,KHP!X191,KHP!AB191,KHP!AF191))=10)*(CHOOSE({1,2,3,4},KHP!W191,KHP!AA191,KHP!AE191,KHP!AI191)))</f>
        <v>0</v>
      </c>
      <c r="K191">
        <f>SUMPRODUCT((MONTH(CHOOSE({1,2,3,4},KHP!T191,KHP!X191,KHP!AB191,KHP!AF191))=11)*(CHOOSE({1,2,3,4},KHP!W191,KHP!AA191,KHP!AE191,KHP!AI191)))</f>
        <v>0</v>
      </c>
      <c r="L191">
        <f>SUMPRODUCT((MONTH(CHOOSE({1,2,3,4},KHP!T191,KHP!X191,KHP!AB191,KHP!AF191))=12)*(CHOOSE({1,2,3,4},KHP!W191,KHP!AA191,KHP!AE191,KHP!AI191)))</f>
        <v>0</v>
      </c>
    </row>
    <row r="192" spans="1:12">
      <c r="A192">
        <f>SUMPRODUCT((MONTH(CHOOSE({1,2,3,4},KHP!T192,KHP!X192,KHP!AB192,KHP!AF192))=1)*(CHOOSE({1,2,3,4},KHP!W192,KHP!AA192,KHP!AE192,KHP!AI192)))</f>
        <v>0</v>
      </c>
      <c r="B192">
        <f>SUMPRODUCT((MONTH(CHOOSE({1,2,3,4},KHP!T192,KHP!X192,KHP!AB192,KHP!AF192))=2)*(CHOOSE({1,2,3,4},KHP!W192,KHP!AA192,KHP!AE192,KHP!AI192)))</f>
        <v>0</v>
      </c>
      <c r="C192">
        <f>SUMPRODUCT((MONTH(CHOOSE({1,2,3,4},KHP!T192,KHP!X192,KHP!AB192,KHP!AF192))=3)*(CHOOSE({1,2,3,4},KHP!W192,KHP!AA192,KHP!AE192,KHP!AI192)))</f>
        <v>0</v>
      </c>
      <c r="D192">
        <f>SUMPRODUCT((MONTH(CHOOSE({1,2,3,4},KHP!T192,KHP!X192,KHP!AB192,KHP!AF192))=4)*(CHOOSE({1,2,3,4},KHP!W192,KHP!AA192,KHP!AE192,KHP!AI192)))</f>
        <v>0</v>
      </c>
      <c r="E192">
        <f>SUMPRODUCT((MONTH(CHOOSE({1,2,3,4},KHP!T192,KHP!X192,KHP!AB192,KHP!AF192))=5)*(CHOOSE({1,2,3,4},KHP!W192,KHP!AA192,KHP!AE192,KHP!AI192)))</f>
        <v>0</v>
      </c>
      <c r="F192">
        <f>SUMPRODUCT((MONTH(CHOOSE({1,2,3,4},KHP!T192,KHP!X192,KHP!AB192,KHP!AF192))=6)*(CHOOSE({1,2,3,4},KHP!W192,KHP!AA192,KHP!AE192,KHP!AI192)))</f>
        <v>0</v>
      </c>
      <c r="G192">
        <f>SUMPRODUCT((MONTH(CHOOSE({1,2,3,4},KHP!T192,KHP!X192,KHP!AB192,KHP!AF192))=7)*(CHOOSE({1,2,3,4},KHP!W192,KHP!AA192,KHP!AE192,KHP!AI192)))</f>
        <v>0</v>
      </c>
      <c r="H192">
        <f>SUMPRODUCT((MONTH(CHOOSE({1,2,3,4},KHP!T192,KHP!X192,KHP!AB192,KHP!AF192))=8)*(CHOOSE({1,2,3,4},KHP!W192,KHP!AA192,KHP!AE192,KHP!AI192)))</f>
        <v>0</v>
      </c>
      <c r="I192">
        <f>SUMPRODUCT((MONTH(CHOOSE({1,2,3,4},KHP!T192,KHP!X192,KHP!AB192,KHP!AF192))=9)*(CHOOSE({1,2,3,4},KHP!W192,KHP!AA192,KHP!AE192,KHP!AI192)))</f>
        <v>0</v>
      </c>
      <c r="J192">
        <f>SUMPRODUCT((MONTH(CHOOSE({1,2,3,4},KHP!T192,KHP!X192,KHP!AB192,KHP!AF192))=10)*(CHOOSE({1,2,3,4},KHP!W192,KHP!AA192,KHP!AE192,KHP!AI192)))</f>
        <v>0</v>
      </c>
      <c r="K192">
        <f>SUMPRODUCT((MONTH(CHOOSE({1,2,3,4},KHP!T192,KHP!X192,KHP!AB192,KHP!AF192))=11)*(CHOOSE({1,2,3,4},KHP!W192,KHP!AA192,KHP!AE192,KHP!AI192)))</f>
        <v>0</v>
      </c>
      <c r="L192">
        <f>SUMPRODUCT((MONTH(CHOOSE({1,2,3,4},KHP!T192,KHP!X192,KHP!AB192,KHP!AF192))=12)*(CHOOSE({1,2,3,4},KHP!W192,KHP!AA192,KHP!AE192,KHP!AI192)))</f>
        <v>0</v>
      </c>
    </row>
    <row r="193" spans="1:12">
      <c r="A193">
        <f>SUMPRODUCT((MONTH(CHOOSE({1,2,3,4},KHP!T193,KHP!X193,KHP!AB193,KHP!AF193))=1)*(CHOOSE({1,2,3,4},KHP!W193,KHP!AA193,KHP!AE193,KHP!AI193)))</f>
        <v>0</v>
      </c>
      <c r="B193">
        <f>SUMPRODUCT((MONTH(CHOOSE({1,2,3,4},KHP!T193,KHP!X193,KHP!AB193,KHP!AF193))=2)*(CHOOSE({1,2,3,4},KHP!W193,KHP!AA193,KHP!AE193,KHP!AI193)))</f>
        <v>0</v>
      </c>
      <c r="C193">
        <f>SUMPRODUCT((MONTH(CHOOSE({1,2,3,4},KHP!T193,KHP!X193,KHP!AB193,KHP!AF193))=3)*(CHOOSE({1,2,3,4},KHP!W193,KHP!AA193,KHP!AE193,KHP!AI193)))</f>
        <v>0</v>
      </c>
      <c r="D193">
        <f>SUMPRODUCT((MONTH(CHOOSE({1,2,3,4},KHP!T193,KHP!X193,KHP!AB193,KHP!AF193))=4)*(CHOOSE({1,2,3,4},KHP!W193,KHP!AA193,KHP!AE193,KHP!AI193)))</f>
        <v>0</v>
      </c>
      <c r="E193">
        <f>SUMPRODUCT((MONTH(CHOOSE({1,2,3,4},KHP!T193,KHP!X193,KHP!AB193,KHP!AF193))=5)*(CHOOSE({1,2,3,4},KHP!W193,KHP!AA193,KHP!AE193,KHP!AI193)))</f>
        <v>0</v>
      </c>
      <c r="F193">
        <f>SUMPRODUCT((MONTH(CHOOSE({1,2,3,4},KHP!T193,KHP!X193,KHP!AB193,KHP!AF193))=6)*(CHOOSE({1,2,3,4},KHP!W193,KHP!AA193,KHP!AE193,KHP!AI193)))</f>
        <v>0</v>
      </c>
      <c r="G193">
        <f>SUMPRODUCT((MONTH(CHOOSE({1,2,3,4},KHP!T193,KHP!X193,KHP!AB193,KHP!AF193))=7)*(CHOOSE({1,2,3,4},KHP!W193,KHP!AA193,KHP!AE193,KHP!AI193)))</f>
        <v>0</v>
      </c>
      <c r="H193">
        <f>SUMPRODUCT((MONTH(CHOOSE({1,2,3,4},KHP!T193,KHP!X193,KHP!AB193,KHP!AF193))=8)*(CHOOSE({1,2,3,4},KHP!W193,KHP!AA193,KHP!AE193,KHP!AI193)))</f>
        <v>0</v>
      </c>
      <c r="I193">
        <f>SUMPRODUCT((MONTH(CHOOSE({1,2,3,4},KHP!T193,KHP!X193,KHP!AB193,KHP!AF193))=9)*(CHOOSE({1,2,3,4},KHP!W193,KHP!AA193,KHP!AE193,KHP!AI193)))</f>
        <v>0</v>
      </c>
      <c r="J193">
        <f>SUMPRODUCT((MONTH(CHOOSE({1,2,3,4},KHP!T193,KHP!X193,KHP!AB193,KHP!AF193))=10)*(CHOOSE({1,2,3,4},KHP!W193,KHP!AA193,KHP!AE193,KHP!AI193)))</f>
        <v>0</v>
      </c>
      <c r="K193">
        <f>SUMPRODUCT((MONTH(CHOOSE({1,2,3,4},KHP!T193,KHP!X193,KHP!AB193,KHP!AF193))=11)*(CHOOSE({1,2,3,4},KHP!W193,KHP!AA193,KHP!AE193,KHP!AI193)))</f>
        <v>0</v>
      </c>
      <c r="L193">
        <f>SUMPRODUCT((MONTH(CHOOSE({1,2,3,4},KHP!T193,KHP!X193,KHP!AB193,KHP!AF193))=12)*(CHOOSE({1,2,3,4},KHP!W193,KHP!AA193,KHP!AE193,KHP!AI193)))</f>
        <v>0</v>
      </c>
    </row>
    <row r="194" spans="1:12">
      <c r="A194">
        <f>SUMPRODUCT((MONTH(CHOOSE({1,2,3,4},KHP!T194,KHP!X194,KHP!AB194,KHP!AF194))=1)*(CHOOSE({1,2,3,4},KHP!W194,KHP!AA194,KHP!AE194,KHP!AI194)))</f>
        <v>0</v>
      </c>
      <c r="B194">
        <f>SUMPRODUCT((MONTH(CHOOSE({1,2,3,4},KHP!T194,KHP!X194,KHP!AB194,KHP!AF194))=2)*(CHOOSE({1,2,3,4},KHP!W194,KHP!AA194,KHP!AE194,KHP!AI194)))</f>
        <v>0</v>
      </c>
      <c r="C194">
        <f>SUMPRODUCT((MONTH(CHOOSE({1,2,3,4},KHP!T194,KHP!X194,KHP!AB194,KHP!AF194))=3)*(CHOOSE({1,2,3,4},KHP!W194,KHP!AA194,KHP!AE194,KHP!AI194)))</f>
        <v>0</v>
      </c>
      <c r="D194">
        <f>SUMPRODUCT((MONTH(CHOOSE({1,2,3,4},KHP!T194,KHP!X194,KHP!AB194,KHP!AF194))=4)*(CHOOSE({1,2,3,4},KHP!W194,KHP!AA194,KHP!AE194,KHP!AI194)))</f>
        <v>0</v>
      </c>
      <c r="E194">
        <f>SUMPRODUCT((MONTH(CHOOSE({1,2,3,4},KHP!T194,KHP!X194,KHP!AB194,KHP!AF194))=5)*(CHOOSE({1,2,3,4},KHP!W194,KHP!AA194,KHP!AE194,KHP!AI194)))</f>
        <v>0</v>
      </c>
      <c r="F194">
        <f>SUMPRODUCT((MONTH(CHOOSE({1,2,3,4},KHP!T194,KHP!X194,KHP!AB194,KHP!AF194))=6)*(CHOOSE({1,2,3,4},KHP!W194,KHP!AA194,KHP!AE194,KHP!AI194)))</f>
        <v>0</v>
      </c>
      <c r="G194">
        <f>SUMPRODUCT((MONTH(CHOOSE({1,2,3,4},KHP!T194,KHP!X194,KHP!AB194,KHP!AF194))=7)*(CHOOSE({1,2,3,4},KHP!W194,KHP!AA194,KHP!AE194,KHP!AI194)))</f>
        <v>0</v>
      </c>
      <c r="H194">
        <f>SUMPRODUCT((MONTH(CHOOSE({1,2,3,4},KHP!T194,KHP!X194,KHP!AB194,KHP!AF194))=8)*(CHOOSE({1,2,3,4},KHP!W194,KHP!AA194,KHP!AE194,KHP!AI194)))</f>
        <v>0</v>
      </c>
      <c r="I194">
        <f>SUMPRODUCT((MONTH(CHOOSE({1,2,3,4},KHP!T194,KHP!X194,KHP!AB194,KHP!AF194))=9)*(CHOOSE({1,2,3,4},KHP!W194,KHP!AA194,KHP!AE194,KHP!AI194)))</f>
        <v>0</v>
      </c>
      <c r="J194">
        <f>SUMPRODUCT((MONTH(CHOOSE({1,2,3,4},KHP!T194,KHP!X194,KHP!AB194,KHP!AF194))=10)*(CHOOSE({1,2,3,4},KHP!W194,KHP!AA194,KHP!AE194,KHP!AI194)))</f>
        <v>0</v>
      </c>
      <c r="K194">
        <f>SUMPRODUCT((MONTH(CHOOSE({1,2,3,4},KHP!T194,KHP!X194,KHP!AB194,KHP!AF194))=11)*(CHOOSE({1,2,3,4},KHP!W194,KHP!AA194,KHP!AE194,KHP!AI194)))</f>
        <v>0</v>
      </c>
      <c r="L194">
        <f>SUMPRODUCT((MONTH(CHOOSE({1,2,3,4},KHP!T194,KHP!X194,KHP!AB194,KHP!AF194))=12)*(CHOOSE({1,2,3,4},KHP!W194,KHP!AA194,KHP!AE194,KHP!AI194)))</f>
        <v>0</v>
      </c>
    </row>
    <row r="195" spans="1:12">
      <c r="A195">
        <f>SUMPRODUCT((MONTH(CHOOSE({1,2,3,4},KHP!T195,KHP!X195,KHP!AB195,KHP!AF195))=1)*(CHOOSE({1,2,3,4},KHP!W195,KHP!AA195,KHP!AE195,KHP!AI195)))</f>
        <v>0</v>
      </c>
      <c r="B195">
        <f>SUMPRODUCT((MONTH(CHOOSE({1,2,3,4},KHP!T195,KHP!X195,KHP!AB195,KHP!AF195))=2)*(CHOOSE({1,2,3,4},KHP!W195,KHP!AA195,KHP!AE195,KHP!AI195)))</f>
        <v>0</v>
      </c>
      <c r="C195">
        <f>SUMPRODUCT((MONTH(CHOOSE({1,2,3,4},KHP!T195,KHP!X195,KHP!AB195,KHP!AF195))=3)*(CHOOSE({1,2,3,4},KHP!W195,KHP!AA195,KHP!AE195,KHP!AI195)))</f>
        <v>0</v>
      </c>
      <c r="D195">
        <f>SUMPRODUCT((MONTH(CHOOSE({1,2,3,4},KHP!T195,KHP!X195,KHP!AB195,KHP!AF195))=4)*(CHOOSE({1,2,3,4},KHP!W195,KHP!AA195,KHP!AE195,KHP!AI195)))</f>
        <v>0</v>
      </c>
      <c r="E195">
        <f>SUMPRODUCT((MONTH(CHOOSE({1,2,3,4},KHP!T195,KHP!X195,KHP!AB195,KHP!AF195))=5)*(CHOOSE({1,2,3,4},KHP!W195,KHP!AA195,KHP!AE195,KHP!AI195)))</f>
        <v>0</v>
      </c>
      <c r="F195">
        <f>SUMPRODUCT((MONTH(CHOOSE({1,2,3,4},KHP!T195,KHP!X195,KHP!AB195,KHP!AF195))=6)*(CHOOSE({1,2,3,4},KHP!W195,KHP!AA195,KHP!AE195,KHP!AI195)))</f>
        <v>0</v>
      </c>
      <c r="G195">
        <f>SUMPRODUCT((MONTH(CHOOSE({1,2,3,4},KHP!T195,KHP!X195,KHP!AB195,KHP!AF195))=7)*(CHOOSE({1,2,3,4},KHP!W195,KHP!AA195,KHP!AE195,KHP!AI195)))</f>
        <v>0</v>
      </c>
      <c r="H195">
        <f>SUMPRODUCT((MONTH(CHOOSE({1,2,3,4},KHP!T195,KHP!X195,KHP!AB195,KHP!AF195))=8)*(CHOOSE({1,2,3,4},KHP!W195,KHP!AA195,KHP!AE195,KHP!AI195)))</f>
        <v>0</v>
      </c>
      <c r="I195">
        <f>SUMPRODUCT((MONTH(CHOOSE({1,2,3,4},KHP!T195,KHP!X195,KHP!AB195,KHP!AF195))=9)*(CHOOSE({1,2,3,4},KHP!W195,KHP!AA195,KHP!AE195,KHP!AI195)))</f>
        <v>0</v>
      </c>
      <c r="J195">
        <f>SUMPRODUCT((MONTH(CHOOSE({1,2,3,4},KHP!T195,KHP!X195,KHP!AB195,KHP!AF195))=10)*(CHOOSE({1,2,3,4},KHP!W195,KHP!AA195,KHP!AE195,KHP!AI195)))</f>
        <v>0</v>
      </c>
      <c r="K195">
        <f>SUMPRODUCT((MONTH(CHOOSE({1,2,3,4},KHP!T195,KHP!X195,KHP!AB195,KHP!AF195))=11)*(CHOOSE({1,2,3,4},KHP!W195,KHP!AA195,KHP!AE195,KHP!AI195)))</f>
        <v>0</v>
      </c>
      <c r="L195">
        <f>SUMPRODUCT((MONTH(CHOOSE({1,2,3,4},KHP!T195,KHP!X195,KHP!AB195,KHP!AF195))=12)*(CHOOSE({1,2,3,4},KHP!W195,KHP!AA195,KHP!AE195,KHP!AI195)))</f>
        <v>0</v>
      </c>
    </row>
    <row r="196" spans="1:12">
      <c r="A196">
        <f>SUMPRODUCT((MONTH(CHOOSE({1,2,3,4},KHP!T196,KHP!X196,KHP!AB196,KHP!AF196))=1)*(CHOOSE({1,2,3,4},KHP!W196,KHP!AA196,KHP!AE196,KHP!AI196)))</f>
        <v>0</v>
      </c>
      <c r="B196">
        <f>SUMPRODUCT((MONTH(CHOOSE({1,2,3,4},KHP!T196,KHP!X196,KHP!AB196,KHP!AF196))=2)*(CHOOSE({1,2,3,4},KHP!W196,KHP!AA196,KHP!AE196,KHP!AI196)))</f>
        <v>0</v>
      </c>
      <c r="C196">
        <f>SUMPRODUCT((MONTH(CHOOSE({1,2,3,4},KHP!T196,KHP!X196,KHP!AB196,KHP!AF196))=3)*(CHOOSE({1,2,3,4},KHP!W196,KHP!AA196,KHP!AE196,KHP!AI196)))</f>
        <v>0</v>
      </c>
      <c r="D196">
        <f>SUMPRODUCT((MONTH(CHOOSE({1,2,3,4},KHP!T196,KHP!X196,KHP!AB196,KHP!AF196))=4)*(CHOOSE({1,2,3,4},KHP!W196,KHP!AA196,KHP!AE196,KHP!AI196)))</f>
        <v>0</v>
      </c>
      <c r="E196">
        <f>SUMPRODUCT((MONTH(CHOOSE({1,2,3,4},KHP!T196,KHP!X196,KHP!AB196,KHP!AF196))=5)*(CHOOSE({1,2,3,4},KHP!W196,KHP!AA196,KHP!AE196,KHP!AI196)))</f>
        <v>0</v>
      </c>
      <c r="F196">
        <f>SUMPRODUCT((MONTH(CHOOSE({1,2,3,4},KHP!T196,KHP!X196,KHP!AB196,KHP!AF196))=6)*(CHOOSE({1,2,3,4},KHP!W196,KHP!AA196,KHP!AE196,KHP!AI196)))</f>
        <v>0</v>
      </c>
      <c r="G196">
        <f>SUMPRODUCT((MONTH(CHOOSE({1,2,3,4},KHP!T196,KHP!X196,KHP!AB196,KHP!AF196))=7)*(CHOOSE({1,2,3,4},KHP!W196,KHP!AA196,KHP!AE196,KHP!AI196)))</f>
        <v>0</v>
      </c>
      <c r="H196">
        <f>SUMPRODUCT((MONTH(CHOOSE({1,2,3,4},KHP!T196,KHP!X196,KHP!AB196,KHP!AF196))=8)*(CHOOSE({1,2,3,4},KHP!W196,KHP!AA196,KHP!AE196,KHP!AI196)))</f>
        <v>0</v>
      </c>
      <c r="I196">
        <f>SUMPRODUCT((MONTH(CHOOSE({1,2,3,4},KHP!T196,KHP!X196,KHP!AB196,KHP!AF196))=9)*(CHOOSE({1,2,3,4},KHP!W196,KHP!AA196,KHP!AE196,KHP!AI196)))</f>
        <v>0</v>
      </c>
      <c r="J196">
        <f>SUMPRODUCT((MONTH(CHOOSE({1,2,3,4},KHP!T196,KHP!X196,KHP!AB196,KHP!AF196))=10)*(CHOOSE({1,2,3,4},KHP!W196,KHP!AA196,KHP!AE196,KHP!AI196)))</f>
        <v>0</v>
      </c>
      <c r="K196">
        <f>SUMPRODUCT((MONTH(CHOOSE({1,2,3,4},KHP!T196,KHP!X196,KHP!AB196,KHP!AF196))=11)*(CHOOSE({1,2,3,4},KHP!W196,KHP!AA196,KHP!AE196,KHP!AI196)))</f>
        <v>0</v>
      </c>
      <c r="L196">
        <f>SUMPRODUCT((MONTH(CHOOSE({1,2,3,4},KHP!T196,KHP!X196,KHP!AB196,KHP!AF196))=12)*(CHOOSE({1,2,3,4},KHP!W196,KHP!AA196,KHP!AE196,KHP!AI196)))</f>
        <v>0</v>
      </c>
    </row>
    <row r="197" spans="1:12">
      <c r="A197">
        <f>SUMPRODUCT((MONTH(CHOOSE({1,2,3,4},KHP!T197,KHP!X197,KHP!AB197,KHP!AF197))=1)*(CHOOSE({1,2,3,4},KHP!W197,KHP!AA197,KHP!AE197,KHP!AI197)))</f>
        <v>0</v>
      </c>
      <c r="B197">
        <f>SUMPRODUCT((MONTH(CHOOSE({1,2,3,4},KHP!T197,KHP!X197,KHP!AB197,KHP!AF197))=2)*(CHOOSE({1,2,3,4},KHP!W197,KHP!AA197,KHP!AE197,KHP!AI197)))</f>
        <v>0</v>
      </c>
      <c r="C197">
        <f>SUMPRODUCT((MONTH(CHOOSE({1,2,3,4},KHP!T197,KHP!X197,KHP!AB197,KHP!AF197))=3)*(CHOOSE({1,2,3,4},KHP!W197,KHP!AA197,KHP!AE197,KHP!AI197)))</f>
        <v>0</v>
      </c>
      <c r="D197">
        <f>SUMPRODUCT((MONTH(CHOOSE({1,2,3,4},KHP!T197,KHP!X197,KHP!AB197,KHP!AF197))=4)*(CHOOSE({1,2,3,4},KHP!W197,KHP!AA197,KHP!AE197,KHP!AI197)))</f>
        <v>0</v>
      </c>
      <c r="E197">
        <f>SUMPRODUCT((MONTH(CHOOSE({1,2,3,4},KHP!T197,KHP!X197,KHP!AB197,KHP!AF197))=5)*(CHOOSE({1,2,3,4},KHP!W197,KHP!AA197,KHP!AE197,KHP!AI197)))</f>
        <v>0</v>
      </c>
      <c r="F197">
        <f>SUMPRODUCT((MONTH(CHOOSE({1,2,3,4},KHP!T197,KHP!X197,KHP!AB197,KHP!AF197))=6)*(CHOOSE({1,2,3,4},KHP!W197,KHP!AA197,KHP!AE197,KHP!AI197)))</f>
        <v>0</v>
      </c>
      <c r="G197">
        <f>SUMPRODUCT((MONTH(CHOOSE({1,2,3,4},KHP!T197,KHP!X197,KHP!AB197,KHP!AF197))=7)*(CHOOSE({1,2,3,4},KHP!W197,KHP!AA197,KHP!AE197,KHP!AI197)))</f>
        <v>0</v>
      </c>
      <c r="H197">
        <f>SUMPRODUCT((MONTH(CHOOSE({1,2,3,4},KHP!T197,KHP!X197,KHP!AB197,KHP!AF197))=8)*(CHOOSE({1,2,3,4},KHP!W197,KHP!AA197,KHP!AE197,KHP!AI197)))</f>
        <v>0</v>
      </c>
      <c r="I197">
        <f>SUMPRODUCT((MONTH(CHOOSE({1,2,3,4},KHP!T197,KHP!X197,KHP!AB197,KHP!AF197))=9)*(CHOOSE({1,2,3,4},KHP!W197,KHP!AA197,KHP!AE197,KHP!AI197)))</f>
        <v>0</v>
      </c>
      <c r="J197">
        <f>SUMPRODUCT((MONTH(CHOOSE({1,2,3,4},KHP!T197,KHP!X197,KHP!AB197,KHP!AF197))=10)*(CHOOSE({1,2,3,4},KHP!W197,KHP!AA197,KHP!AE197,KHP!AI197)))</f>
        <v>0</v>
      </c>
      <c r="K197">
        <f>SUMPRODUCT((MONTH(CHOOSE({1,2,3,4},KHP!T197,KHP!X197,KHP!AB197,KHP!AF197))=11)*(CHOOSE({1,2,3,4},KHP!W197,KHP!AA197,KHP!AE197,KHP!AI197)))</f>
        <v>0</v>
      </c>
      <c r="L197">
        <f>SUMPRODUCT((MONTH(CHOOSE({1,2,3,4},KHP!T197,KHP!X197,KHP!AB197,KHP!AF197))=12)*(CHOOSE({1,2,3,4},KHP!W197,KHP!AA197,KHP!AE197,KHP!AI197)))</f>
        <v>0</v>
      </c>
    </row>
    <row r="198" spans="1:12">
      <c r="A198">
        <f>SUMPRODUCT((MONTH(CHOOSE({1,2,3,4},KHP!T198,KHP!X198,KHP!AB198,KHP!AF198))=1)*(CHOOSE({1,2,3,4},KHP!W198,KHP!AA198,KHP!AE198,KHP!AI198)))</f>
        <v>0</v>
      </c>
      <c r="B198">
        <f>SUMPRODUCT((MONTH(CHOOSE({1,2,3,4},KHP!T198,KHP!X198,KHP!AB198,KHP!AF198))=2)*(CHOOSE({1,2,3,4},KHP!W198,KHP!AA198,KHP!AE198,KHP!AI198)))</f>
        <v>0</v>
      </c>
      <c r="C198">
        <f>SUMPRODUCT((MONTH(CHOOSE({1,2,3,4},KHP!T198,KHP!X198,KHP!AB198,KHP!AF198))=3)*(CHOOSE({1,2,3,4},KHP!W198,KHP!AA198,KHP!AE198,KHP!AI198)))</f>
        <v>0</v>
      </c>
      <c r="D198">
        <f>SUMPRODUCT((MONTH(CHOOSE({1,2,3,4},KHP!T198,KHP!X198,KHP!AB198,KHP!AF198))=4)*(CHOOSE({1,2,3,4},KHP!W198,KHP!AA198,KHP!AE198,KHP!AI198)))</f>
        <v>0</v>
      </c>
      <c r="E198">
        <f>SUMPRODUCT((MONTH(CHOOSE({1,2,3,4},KHP!T198,KHP!X198,KHP!AB198,KHP!AF198))=5)*(CHOOSE({1,2,3,4},KHP!W198,KHP!AA198,KHP!AE198,KHP!AI198)))</f>
        <v>0</v>
      </c>
      <c r="F198">
        <f>SUMPRODUCT((MONTH(CHOOSE({1,2,3,4},KHP!T198,KHP!X198,KHP!AB198,KHP!AF198))=6)*(CHOOSE({1,2,3,4},KHP!W198,KHP!AA198,KHP!AE198,KHP!AI198)))</f>
        <v>0</v>
      </c>
      <c r="G198">
        <f>SUMPRODUCT((MONTH(CHOOSE({1,2,3,4},KHP!T198,KHP!X198,KHP!AB198,KHP!AF198))=7)*(CHOOSE({1,2,3,4},KHP!W198,KHP!AA198,KHP!AE198,KHP!AI198)))</f>
        <v>0</v>
      </c>
      <c r="H198">
        <f>SUMPRODUCT((MONTH(CHOOSE({1,2,3,4},KHP!T198,KHP!X198,KHP!AB198,KHP!AF198))=8)*(CHOOSE({1,2,3,4},KHP!W198,KHP!AA198,KHP!AE198,KHP!AI198)))</f>
        <v>0</v>
      </c>
      <c r="I198">
        <f>SUMPRODUCT((MONTH(CHOOSE({1,2,3,4},KHP!T198,KHP!X198,KHP!AB198,KHP!AF198))=9)*(CHOOSE({1,2,3,4},KHP!W198,KHP!AA198,KHP!AE198,KHP!AI198)))</f>
        <v>0</v>
      </c>
      <c r="J198">
        <f>SUMPRODUCT((MONTH(CHOOSE({1,2,3,4},KHP!T198,KHP!X198,KHP!AB198,KHP!AF198))=10)*(CHOOSE({1,2,3,4},KHP!W198,KHP!AA198,KHP!AE198,KHP!AI198)))</f>
        <v>0</v>
      </c>
      <c r="K198">
        <f>SUMPRODUCT((MONTH(CHOOSE({1,2,3,4},KHP!T198,KHP!X198,KHP!AB198,KHP!AF198))=11)*(CHOOSE({1,2,3,4},KHP!W198,KHP!AA198,KHP!AE198,KHP!AI198)))</f>
        <v>0</v>
      </c>
      <c r="L198">
        <f>SUMPRODUCT((MONTH(CHOOSE({1,2,3,4},KHP!T198,KHP!X198,KHP!AB198,KHP!AF198))=12)*(CHOOSE({1,2,3,4},KHP!W198,KHP!AA198,KHP!AE198,KHP!AI198)))</f>
        <v>0</v>
      </c>
    </row>
    <row r="199" spans="1:12">
      <c r="A199">
        <f>SUMPRODUCT((MONTH(CHOOSE({1,2,3,4},KHP!T199,KHP!X199,KHP!AB199,KHP!AF199))=1)*(CHOOSE({1,2,3,4},KHP!W199,KHP!AA199,KHP!AE199,KHP!AI199)))</f>
        <v>0</v>
      </c>
      <c r="B199">
        <f>SUMPRODUCT((MONTH(CHOOSE({1,2,3,4},KHP!T199,KHP!X199,KHP!AB199,KHP!AF199))=2)*(CHOOSE({1,2,3,4},KHP!W199,KHP!AA199,KHP!AE199,KHP!AI199)))</f>
        <v>0</v>
      </c>
      <c r="C199">
        <f>SUMPRODUCT((MONTH(CHOOSE({1,2,3,4},KHP!T199,KHP!X199,KHP!AB199,KHP!AF199))=3)*(CHOOSE({1,2,3,4},KHP!W199,KHP!AA199,KHP!AE199,KHP!AI199)))</f>
        <v>0</v>
      </c>
      <c r="D199">
        <f>SUMPRODUCT((MONTH(CHOOSE({1,2,3,4},KHP!T199,KHP!X199,KHP!AB199,KHP!AF199))=4)*(CHOOSE({1,2,3,4},KHP!W199,KHP!AA199,KHP!AE199,KHP!AI199)))</f>
        <v>0</v>
      </c>
      <c r="E199">
        <f>SUMPRODUCT((MONTH(CHOOSE({1,2,3,4},KHP!T199,KHP!X199,KHP!AB199,KHP!AF199))=5)*(CHOOSE({1,2,3,4},KHP!W199,KHP!AA199,KHP!AE199,KHP!AI199)))</f>
        <v>0</v>
      </c>
      <c r="F199">
        <f>SUMPRODUCT((MONTH(CHOOSE({1,2,3,4},KHP!T199,KHP!X199,KHP!AB199,KHP!AF199))=6)*(CHOOSE({1,2,3,4},KHP!W199,KHP!AA199,KHP!AE199,KHP!AI199)))</f>
        <v>0</v>
      </c>
      <c r="G199">
        <f>SUMPRODUCT((MONTH(CHOOSE({1,2,3,4},KHP!T199,KHP!X199,KHP!AB199,KHP!AF199))=7)*(CHOOSE({1,2,3,4},KHP!W199,KHP!AA199,KHP!AE199,KHP!AI199)))</f>
        <v>0</v>
      </c>
      <c r="H199">
        <f>SUMPRODUCT((MONTH(CHOOSE({1,2,3,4},KHP!T199,KHP!X199,KHP!AB199,KHP!AF199))=8)*(CHOOSE({1,2,3,4},KHP!W199,KHP!AA199,KHP!AE199,KHP!AI199)))</f>
        <v>0</v>
      </c>
      <c r="I199">
        <f>SUMPRODUCT((MONTH(CHOOSE({1,2,3,4},KHP!T199,KHP!X199,KHP!AB199,KHP!AF199))=9)*(CHOOSE({1,2,3,4},KHP!W199,KHP!AA199,KHP!AE199,KHP!AI199)))</f>
        <v>0</v>
      </c>
      <c r="J199">
        <f>SUMPRODUCT((MONTH(CHOOSE({1,2,3,4},KHP!T199,KHP!X199,KHP!AB199,KHP!AF199))=10)*(CHOOSE({1,2,3,4},KHP!W199,KHP!AA199,KHP!AE199,KHP!AI199)))</f>
        <v>0</v>
      </c>
      <c r="K199">
        <f>SUMPRODUCT((MONTH(CHOOSE({1,2,3,4},KHP!T199,KHP!X199,KHP!AB199,KHP!AF199))=11)*(CHOOSE({1,2,3,4},KHP!W199,KHP!AA199,KHP!AE199,KHP!AI199)))</f>
        <v>0</v>
      </c>
      <c r="L199">
        <f>SUMPRODUCT((MONTH(CHOOSE({1,2,3,4},KHP!T199,KHP!X199,KHP!AB199,KHP!AF199))=12)*(CHOOSE({1,2,3,4},KHP!W199,KHP!AA199,KHP!AE199,KHP!AI199)))</f>
        <v>0</v>
      </c>
    </row>
    <row r="200" spans="1:12">
      <c r="A200">
        <f>SUMPRODUCT((MONTH(CHOOSE({1,2,3,4},KHP!T200,KHP!X200,KHP!AB200,KHP!AF200))=1)*(CHOOSE({1,2,3,4},KHP!W200,KHP!AA200,KHP!AE200,KHP!AI200)))</f>
        <v>0</v>
      </c>
      <c r="B200">
        <f>SUMPRODUCT((MONTH(CHOOSE({1,2,3,4},KHP!T200,KHP!X200,KHP!AB200,KHP!AF200))=2)*(CHOOSE({1,2,3,4},KHP!W200,KHP!AA200,KHP!AE200,KHP!AI200)))</f>
        <v>0</v>
      </c>
      <c r="C200">
        <f>SUMPRODUCT((MONTH(CHOOSE({1,2,3,4},KHP!T200,KHP!X200,KHP!AB200,KHP!AF200))=3)*(CHOOSE({1,2,3,4},KHP!W200,KHP!AA200,KHP!AE200,KHP!AI200)))</f>
        <v>0</v>
      </c>
      <c r="D200">
        <f>SUMPRODUCT((MONTH(CHOOSE({1,2,3,4},KHP!T200,KHP!X200,KHP!AB200,KHP!AF200))=4)*(CHOOSE({1,2,3,4},KHP!W200,KHP!AA200,KHP!AE200,KHP!AI200)))</f>
        <v>0</v>
      </c>
      <c r="E200">
        <f>SUMPRODUCT((MONTH(CHOOSE({1,2,3,4},KHP!T200,KHP!X200,KHP!AB200,KHP!AF200))=5)*(CHOOSE({1,2,3,4},KHP!W200,KHP!AA200,KHP!AE200,KHP!AI200)))</f>
        <v>0</v>
      </c>
      <c r="F200">
        <f>SUMPRODUCT((MONTH(CHOOSE({1,2,3,4},KHP!T200,KHP!X200,KHP!AB200,KHP!AF200))=6)*(CHOOSE({1,2,3,4},KHP!W200,KHP!AA200,KHP!AE200,KHP!AI200)))</f>
        <v>0</v>
      </c>
      <c r="G200">
        <f>SUMPRODUCT((MONTH(CHOOSE({1,2,3,4},KHP!T200,KHP!X200,KHP!AB200,KHP!AF200))=7)*(CHOOSE({1,2,3,4},KHP!W200,KHP!AA200,KHP!AE200,KHP!AI200)))</f>
        <v>0</v>
      </c>
      <c r="H200">
        <f>SUMPRODUCT((MONTH(CHOOSE({1,2,3,4},KHP!T200,KHP!X200,KHP!AB200,KHP!AF200))=8)*(CHOOSE({1,2,3,4},KHP!W200,KHP!AA200,KHP!AE200,KHP!AI200)))</f>
        <v>0</v>
      </c>
      <c r="I200">
        <f>SUMPRODUCT((MONTH(CHOOSE({1,2,3,4},KHP!T200,KHP!X200,KHP!AB200,KHP!AF200))=9)*(CHOOSE({1,2,3,4},KHP!W200,KHP!AA200,KHP!AE200,KHP!AI200)))</f>
        <v>0</v>
      </c>
      <c r="J200">
        <f>SUMPRODUCT((MONTH(CHOOSE({1,2,3,4},KHP!T200,KHP!X200,KHP!AB200,KHP!AF200))=10)*(CHOOSE({1,2,3,4},KHP!W200,KHP!AA200,KHP!AE200,KHP!AI200)))</f>
        <v>0</v>
      </c>
      <c r="K200">
        <f>SUMPRODUCT((MONTH(CHOOSE({1,2,3,4},KHP!T200,KHP!X200,KHP!AB200,KHP!AF200))=11)*(CHOOSE({1,2,3,4},KHP!W200,KHP!AA200,KHP!AE200,KHP!AI200)))</f>
        <v>0</v>
      </c>
      <c r="L200">
        <f>SUMPRODUCT((MONTH(CHOOSE({1,2,3,4},KHP!T200,KHP!X200,KHP!AB200,KHP!AF200))=12)*(CHOOSE({1,2,3,4},KHP!W200,KHP!AA200,KHP!AE200,KHP!AI200)))</f>
        <v>0</v>
      </c>
    </row>
    <row r="201" spans="1:12">
      <c r="A201">
        <f>SUMPRODUCT((MONTH(CHOOSE({1,2,3,4},KHP!T201,KHP!X201,KHP!AB201,KHP!AF201))=1)*(CHOOSE({1,2,3,4},KHP!W201,KHP!AA201,KHP!AE201,KHP!AI201)))</f>
        <v>0</v>
      </c>
      <c r="B201">
        <f>SUMPRODUCT((MONTH(CHOOSE({1,2,3,4},KHP!T201,KHP!X201,KHP!AB201,KHP!AF201))=2)*(CHOOSE({1,2,3,4},KHP!W201,KHP!AA201,KHP!AE201,KHP!AI201)))</f>
        <v>0</v>
      </c>
      <c r="C201">
        <f>SUMPRODUCT((MONTH(CHOOSE({1,2,3,4},KHP!T201,KHP!X201,KHP!AB201,KHP!AF201))=3)*(CHOOSE({1,2,3,4},KHP!W201,KHP!AA201,KHP!AE201,KHP!AI201)))</f>
        <v>0</v>
      </c>
      <c r="D201">
        <f>SUMPRODUCT((MONTH(CHOOSE({1,2,3,4},KHP!T201,KHP!X201,KHP!AB201,KHP!AF201))=4)*(CHOOSE({1,2,3,4},KHP!W201,KHP!AA201,KHP!AE201,KHP!AI201)))</f>
        <v>0</v>
      </c>
      <c r="E201">
        <f>SUMPRODUCT((MONTH(CHOOSE({1,2,3,4},KHP!T201,KHP!X201,KHP!AB201,KHP!AF201))=5)*(CHOOSE({1,2,3,4},KHP!W201,KHP!AA201,KHP!AE201,KHP!AI201)))</f>
        <v>0</v>
      </c>
      <c r="F201">
        <f>SUMPRODUCT((MONTH(CHOOSE({1,2,3,4},KHP!T201,KHP!X201,KHP!AB201,KHP!AF201))=6)*(CHOOSE({1,2,3,4},KHP!W201,KHP!AA201,KHP!AE201,KHP!AI201)))</f>
        <v>0</v>
      </c>
      <c r="G201">
        <f>SUMPRODUCT((MONTH(CHOOSE({1,2,3,4},KHP!T201,KHP!X201,KHP!AB201,KHP!AF201))=7)*(CHOOSE({1,2,3,4},KHP!W201,KHP!AA201,KHP!AE201,KHP!AI201)))</f>
        <v>0</v>
      </c>
      <c r="H201">
        <f>SUMPRODUCT((MONTH(CHOOSE({1,2,3,4},KHP!T201,KHP!X201,KHP!AB201,KHP!AF201))=8)*(CHOOSE({1,2,3,4},KHP!W201,KHP!AA201,KHP!AE201,KHP!AI201)))</f>
        <v>0</v>
      </c>
      <c r="I201">
        <f>SUMPRODUCT((MONTH(CHOOSE({1,2,3,4},KHP!T201,KHP!X201,KHP!AB201,KHP!AF201))=9)*(CHOOSE({1,2,3,4},KHP!W201,KHP!AA201,KHP!AE201,KHP!AI201)))</f>
        <v>0</v>
      </c>
      <c r="J201">
        <f>SUMPRODUCT((MONTH(CHOOSE({1,2,3,4},KHP!T201,KHP!X201,KHP!AB201,KHP!AF201))=10)*(CHOOSE({1,2,3,4},KHP!W201,KHP!AA201,KHP!AE201,KHP!AI201)))</f>
        <v>0</v>
      </c>
      <c r="K201">
        <f>SUMPRODUCT((MONTH(CHOOSE({1,2,3,4},KHP!T201,KHP!X201,KHP!AB201,KHP!AF201))=11)*(CHOOSE({1,2,3,4},KHP!W201,KHP!AA201,KHP!AE201,KHP!AI201)))</f>
        <v>0</v>
      </c>
      <c r="L201">
        <f>SUMPRODUCT((MONTH(CHOOSE({1,2,3,4},KHP!T201,KHP!X201,KHP!AB201,KHP!AF201))=12)*(CHOOSE({1,2,3,4},KHP!W201,KHP!AA201,KHP!AE201,KHP!AI201)))</f>
        <v>0</v>
      </c>
    </row>
    <row r="202" spans="1:12">
      <c r="A202">
        <f>SUMPRODUCT((MONTH(CHOOSE({1,2,3,4},KHP!T202,KHP!X202,KHP!AB202,KHP!AF202))=1)*(CHOOSE({1,2,3,4},KHP!W202,KHP!AA202,KHP!AE202,KHP!AI202)))</f>
        <v>0</v>
      </c>
      <c r="B202">
        <f>SUMPRODUCT((MONTH(CHOOSE({1,2,3,4},KHP!T202,KHP!X202,KHP!AB202,KHP!AF202))=2)*(CHOOSE({1,2,3,4},KHP!W202,KHP!AA202,KHP!AE202,KHP!AI202)))</f>
        <v>0</v>
      </c>
      <c r="C202">
        <f>SUMPRODUCT((MONTH(CHOOSE({1,2,3,4},KHP!T202,KHP!X202,KHP!AB202,KHP!AF202))=3)*(CHOOSE({1,2,3,4},KHP!W202,KHP!AA202,KHP!AE202,KHP!AI202)))</f>
        <v>0</v>
      </c>
      <c r="D202">
        <f>SUMPRODUCT((MONTH(CHOOSE({1,2,3,4},KHP!T202,KHP!X202,KHP!AB202,KHP!AF202))=4)*(CHOOSE({1,2,3,4},KHP!W202,KHP!AA202,KHP!AE202,KHP!AI202)))</f>
        <v>0</v>
      </c>
      <c r="E202">
        <f>SUMPRODUCT((MONTH(CHOOSE({1,2,3,4},KHP!T202,KHP!X202,KHP!AB202,KHP!AF202))=5)*(CHOOSE({1,2,3,4},KHP!W202,KHP!AA202,KHP!AE202,KHP!AI202)))</f>
        <v>0</v>
      </c>
      <c r="F202">
        <f>SUMPRODUCT((MONTH(CHOOSE({1,2,3,4},KHP!T202,KHP!X202,KHP!AB202,KHP!AF202))=6)*(CHOOSE({1,2,3,4},KHP!W202,KHP!AA202,KHP!AE202,KHP!AI202)))</f>
        <v>0</v>
      </c>
      <c r="G202">
        <f>SUMPRODUCT((MONTH(CHOOSE({1,2,3,4},KHP!T202,KHP!X202,KHP!AB202,KHP!AF202))=7)*(CHOOSE({1,2,3,4},KHP!W202,KHP!AA202,KHP!AE202,KHP!AI202)))</f>
        <v>0</v>
      </c>
      <c r="H202">
        <f>SUMPRODUCT((MONTH(CHOOSE({1,2,3,4},KHP!T202,KHP!X202,KHP!AB202,KHP!AF202))=8)*(CHOOSE({1,2,3,4},KHP!W202,KHP!AA202,KHP!AE202,KHP!AI202)))</f>
        <v>0</v>
      </c>
      <c r="I202">
        <f>SUMPRODUCT((MONTH(CHOOSE({1,2,3,4},KHP!T202,KHP!X202,KHP!AB202,KHP!AF202))=9)*(CHOOSE({1,2,3,4},KHP!W202,KHP!AA202,KHP!AE202,KHP!AI202)))</f>
        <v>0</v>
      </c>
      <c r="J202">
        <f>SUMPRODUCT((MONTH(CHOOSE({1,2,3,4},KHP!T202,KHP!X202,KHP!AB202,KHP!AF202))=10)*(CHOOSE({1,2,3,4},KHP!W202,KHP!AA202,KHP!AE202,KHP!AI202)))</f>
        <v>0</v>
      </c>
      <c r="K202">
        <f>SUMPRODUCT((MONTH(CHOOSE({1,2,3,4},KHP!T202,KHP!X202,KHP!AB202,KHP!AF202))=11)*(CHOOSE({1,2,3,4},KHP!W202,KHP!AA202,KHP!AE202,KHP!AI202)))</f>
        <v>0</v>
      </c>
      <c r="L202">
        <f>SUMPRODUCT((MONTH(CHOOSE({1,2,3,4},KHP!T202,KHP!X202,KHP!AB202,KHP!AF202))=12)*(CHOOSE({1,2,3,4},KHP!W202,KHP!AA202,KHP!AE202,KHP!AI202)))</f>
        <v>0</v>
      </c>
    </row>
    <row r="203" spans="1:12">
      <c r="A203">
        <f>SUMPRODUCT((MONTH(CHOOSE({1,2,3,4},KHP!T203,KHP!X203,KHP!AB203,KHP!AF203))=1)*(CHOOSE({1,2,3,4},KHP!W203,KHP!AA203,KHP!AE203,KHP!AI203)))</f>
        <v>0</v>
      </c>
      <c r="B203">
        <f>SUMPRODUCT((MONTH(CHOOSE({1,2,3,4},KHP!T203,KHP!X203,KHP!AB203,KHP!AF203))=2)*(CHOOSE({1,2,3,4},KHP!W203,KHP!AA203,KHP!AE203,KHP!AI203)))</f>
        <v>0</v>
      </c>
      <c r="C203">
        <f>SUMPRODUCT((MONTH(CHOOSE({1,2,3,4},KHP!T203,KHP!X203,KHP!AB203,KHP!AF203))=3)*(CHOOSE({1,2,3,4},KHP!W203,KHP!AA203,KHP!AE203,KHP!AI203)))</f>
        <v>0</v>
      </c>
      <c r="D203">
        <f>SUMPRODUCT((MONTH(CHOOSE({1,2,3,4},KHP!T203,KHP!X203,KHP!AB203,KHP!AF203))=4)*(CHOOSE({1,2,3,4},KHP!W203,KHP!AA203,KHP!AE203,KHP!AI203)))</f>
        <v>0</v>
      </c>
      <c r="E203">
        <f>SUMPRODUCT((MONTH(CHOOSE({1,2,3,4},KHP!T203,KHP!X203,KHP!AB203,KHP!AF203))=5)*(CHOOSE({1,2,3,4},KHP!W203,KHP!AA203,KHP!AE203,KHP!AI203)))</f>
        <v>0</v>
      </c>
      <c r="F203">
        <f>SUMPRODUCT((MONTH(CHOOSE({1,2,3,4},KHP!T203,KHP!X203,KHP!AB203,KHP!AF203))=6)*(CHOOSE({1,2,3,4},KHP!W203,KHP!AA203,KHP!AE203,KHP!AI203)))</f>
        <v>0</v>
      </c>
      <c r="G203">
        <f>SUMPRODUCT((MONTH(CHOOSE({1,2,3,4},KHP!T203,KHP!X203,KHP!AB203,KHP!AF203))=7)*(CHOOSE({1,2,3,4},KHP!W203,KHP!AA203,KHP!AE203,KHP!AI203)))</f>
        <v>0</v>
      </c>
      <c r="H203">
        <f>SUMPRODUCT((MONTH(CHOOSE({1,2,3,4},KHP!T203,KHP!X203,KHP!AB203,KHP!AF203))=8)*(CHOOSE({1,2,3,4},KHP!W203,KHP!AA203,KHP!AE203,KHP!AI203)))</f>
        <v>0</v>
      </c>
      <c r="I203">
        <f>SUMPRODUCT((MONTH(CHOOSE({1,2,3,4},KHP!T203,KHP!X203,KHP!AB203,KHP!AF203))=9)*(CHOOSE({1,2,3,4},KHP!W203,KHP!AA203,KHP!AE203,KHP!AI203)))</f>
        <v>0</v>
      </c>
      <c r="J203">
        <f>SUMPRODUCT((MONTH(CHOOSE({1,2,3,4},KHP!T203,KHP!X203,KHP!AB203,KHP!AF203))=10)*(CHOOSE({1,2,3,4},KHP!W203,KHP!AA203,KHP!AE203,KHP!AI203)))</f>
        <v>0</v>
      </c>
      <c r="K203">
        <f>SUMPRODUCT((MONTH(CHOOSE({1,2,3,4},KHP!T203,KHP!X203,KHP!AB203,KHP!AF203))=11)*(CHOOSE({1,2,3,4},KHP!W203,KHP!AA203,KHP!AE203,KHP!AI203)))</f>
        <v>0</v>
      </c>
      <c r="L203">
        <f>SUMPRODUCT((MONTH(CHOOSE({1,2,3,4},KHP!T203,KHP!X203,KHP!AB203,KHP!AF203))=12)*(CHOOSE({1,2,3,4},KHP!W203,KHP!AA203,KHP!AE203,KHP!AI203)))</f>
        <v>0</v>
      </c>
    </row>
    <row r="204" spans="1:12">
      <c r="A204">
        <f>SUMPRODUCT((MONTH(CHOOSE({1,2,3,4},KHP!T204,KHP!X204,KHP!AB204,KHP!AF204))=1)*(CHOOSE({1,2,3,4},KHP!W204,KHP!AA204,KHP!AE204,KHP!AI204)))</f>
        <v>0</v>
      </c>
      <c r="B204">
        <f>SUMPRODUCT((MONTH(CHOOSE({1,2,3,4},KHP!T204,KHP!X204,KHP!AB204,KHP!AF204))=2)*(CHOOSE({1,2,3,4},KHP!W204,KHP!AA204,KHP!AE204,KHP!AI204)))</f>
        <v>0</v>
      </c>
      <c r="C204">
        <f>SUMPRODUCT((MONTH(CHOOSE({1,2,3,4},KHP!T204,KHP!X204,KHP!AB204,KHP!AF204))=3)*(CHOOSE({1,2,3,4},KHP!W204,KHP!AA204,KHP!AE204,KHP!AI204)))</f>
        <v>0</v>
      </c>
      <c r="D204">
        <f>SUMPRODUCT((MONTH(CHOOSE({1,2,3,4},KHP!T204,KHP!X204,KHP!AB204,KHP!AF204))=4)*(CHOOSE({1,2,3,4},KHP!W204,KHP!AA204,KHP!AE204,KHP!AI204)))</f>
        <v>0</v>
      </c>
      <c r="E204">
        <f>SUMPRODUCT((MONTH(CHOOSE({1,2,3,4},KHP!T204,KHP!X204,KHP!AB204,KHP!AF204))=5)*(CHOOSE({1,2,3,4},KHP!W204,KHP!AA204,KHP!AE204,KHP!AI204)))</f>
        <v>0</v>
      </c>
      <c r="F204">
        <f>SUMPRODUCT((MONTH(CHOOSE({1,2,3,4},KHP!T204,KHP!X204,KHP!AB204,KHP!AF204))=6)*(CHOOSE({1,2,3,4},KHP!W204,KHP!AA204,KHP!AE204,KHP!AI204)))</f>
        <v>0</v>
      </c>
      <c r="G204">
        <f>SUMPRODUCT((MONTH(CHOOSE({1,2,3,4},KHP!T204,KHP!X204,KHP!AB204,KHP!AF204))=7)*(CHOOSE({1,2,3,4},KHP!W204,KHP!AA204,KHP!AE204,KHP!AI204)))</f>
        <v>0</v>
      </c>
      <c r="H204">
        <f>SUMPRODUCT((MONTH(CHOOSE({1,2,3,4},KHP!T204,KHP!X204,KHP!AB204,KHP!AF204))=8)*(CHOOSE({1,2,3,4},KHP!W204,KHP!AA204,KHP!AE204,KHP!AI204)))</f>
        <v>0</v>
      </c>
      <c r="I204">
        <f>SUMPRODUCT((MONTH(CHOOSE({1,2,3,4},KHP!T204,KHP!X204,KHP!AB204,KHP!AF204))=9)*(CHOOSE({1,2,3,4},KHP!W204,KHP!AA204,KHP!AE204,KHP!AI204)))</f>
        <v>0</v>
      </c>
      <c r="J204">
        <f>SUMPRODUCT((MONTH(CHOOSE({1,2,3,4},KHP!T204,KHP!X204,KHP!AB204,KHP!AF204))=10)*(CHOOSE({1,2,3,4},KHP!W204,KHP!AA204,KHP!AE204,KHP!AI204)))</f>
        <v>0</v>
      </c>
      <c r="K204">
        <f>SUMPRODUCT((MONTH(CHOOSE({1,2,3,4},KHP!T204,KHP!X204,KHP!AB204,KHP!AF204))=11)*(CHOOSE({1,2,3,4},KHP!W204,KHP!AA204,KHP!AE204,KHP!AI204)))</f>
        <v>0</v>
      </c>
      <c r="L204">
        <f>SUMPRODUCT((MONTH(CHOOSE({1,2,3,4},KHP!T204,KHP!X204,KHP!AB204,KHP!AF204))=12)*(CHOOSE({1,2,3,4},KHP!W204,KHP!AA204,KHP!AE204,KHP!AI204)))</f>
        <v>0</v>
      </c>
    </row>
    <row r="205" spans="1:12">
      <c r="A205">
        <f>SUMPRODUCT((MONTH(CHOOSE({1,2,3,4},KHP!T205,KHP!X205,KHP!AB205,KHP!AF205))=1)*(CHOOSE({1,2,3,4},KHP!W205,KHP!AA205,KHP!AE205,KHP!AI205)))</f>
        <v>0</v>
      </c>
      <c r="B205">
        <f>SUMPRODUCT((MONTH(CHOOSE({1,2,3,4},KHP!T205,KHP!X205,KHP!AB205,KHP!AF205))=2)*(CHOOSE({1,2,3,4},KHP!W205,KHP!AA205,KHP!AE205,KHP!AI205)))</f>
        <v>0</v>
      </c>
      <c r="C205">
        <f>SUMPRODUCT((MONTH(CHOOSE({1,2,3,4},KHP!T205,KHP!X205,KHP!AB205,KHP!AF205))=3)*(CHOOSE({1,2,3,4},KHP!W205,KHP!AA205,KHP!AE205,KHP!AI205)))</f>
        <v>0</v>
      </c>
      <c r="D205">
        <f>SUMPRODUCT((MONTH(CHOOSE({1,2,3,4},KHP!T205,KHP!X205,KHP!AB205,KHP!AF205))=4)*(CHOOSE({1,2,3,4},KHP!W205,KHP!AA205,KHP!AE205,KHP!AI205)))</f>
        <v>0</v>
      </c>
      <c r="E205">
        <f>SUMPRODUCT((MONTH(CHOOSE({1,2,3,4},KHP!T205,KHP!X205,KHP!AB205,KHP!AF205))=5)*(CHOOSE({1,2,3,4},KHP!W205,KHP!AA205,KHP!AE205,KHP!AI205)))</f>
        <v>0</v>
      </c>
      <c r="F205">
        <f>SUMPRODUCT((MONTH(CHOOSE({1,2,3,4},KHP!T205,KHP!X205,KHP!AB205,KHP!AF205))=6)*(CHOOSE({1,2,3,4},KHP!W205,KHP!AA205,KHP!AE205,KHP!AI205)))</f>
        <v>0</v>
      </c>
      <c r="G205">
        <f>SUMPRODUCT((MONTH(CHOOSE({1,2,3,4},KHP!T205,KHP!X205,KHP!AB205,KHP!AF205))=7)*(CHOOSE({1,2,3,4},KHP!W205,KHP!AA205,KHP!AE205,KHP!AI205)))</f>
        <v>0</v>
      </c>
      <c r="H205">
        <f>SUMPRODUCT((MONTH(CHOOSE({1,2,3,4},KHP!T205,KHP!X205,KHP!AB205,KHP!AF205))=8)*(CHOOSE({1,2,3,4},KHP!W205,KHP!AA205,KHP!AE205,KHP!AI205)))</f>
        <v>0</v>
      </c>
      <c r="I205">
        <f>SUMPRODUCT((MONTH(CHOOSE({1,2,3,4},KHP!T205,KHP!X205,KHP!AB205,KHP!AF205))=9)*(CHOOSE({1,2,3,4},KHP!W205,KHP!AA205,KHP!AE205,KHP!AI205)))</f>
        <v>0</v>
      </c>
      <c r="J205">
        <f>SUMPRODUCT((MONTH(CHOOSE({1,2,3,4},KHP!T205,KHP!X205,KHP!AB205,KHP!AF205))=10)*(CHOOSE({1,2,3,4},KHP!W205,KHP!AA205,KHP!AE205,KHP!AI205)))</f>
        <v>0</v>
      </c>
      <c r="K205">
        <f>SUMPRODUCT((MONTH(CHOOSE({1,2,3,4},KHP!T205,KHP!X205,KHP!AB205,KHP!AF205))=11)*(CHOOSE({1,2,3,4},KHP!W205,KHP!AA205,KHP!AE205,KHP!AI205)))</f>
        <v>0</v>
      </c>
      <c r="L205">
        <f>SUMPRODUCT((MONTH(CHOOSE({1,2,3,4},KHP!T205,KHP!X205,KHP!AB205,KHP!AF205))=12)*(CHOOSE({1,2,3,4},KHP!W205,KHP!AA205,KHP!AE205,KHP!AI205)))</f>
        <v>0</v>
      </c>
    </row>
    <row r="206" spans="1:12">
      <c r="A206">
        <f>SUMPRODUCT((MONTH(CHOOSE({1,2,3,4},KHP!T206,KHP!X206,KHP!AB206,KHP!AF206))=1)*(CHOOSE({1,2,3,4},KHP!W206,KHP!AA206,KHP!AE206,KHP!AI206)))</f>
        <v>0</v>
      </c>
      <c r="B206">
        <f>SUMPRODUCT((MONTH(CHOOSE({1,2,3,4},KHP!T206,KHP!X206,KHP!AB206,KHP!AF206))=2)*(CHOOSE({1,2,3,4},KHP!W206,KHP!AA206,KHP!AE206,KHP!AI206)))</f>
        <v>0</v>
      </c>
      <c r="C206">
        <f>SUMPRODUCT((MONTH(CHOOSE({1,2,3,4},KHP!T206,KHP!X206,KHP!AB206,KHP!AF206))=3)*(CHOOSE({1,2,3,4},KHP!W206,KHP!AA206,KHP!AE206,KHP!AI206)))</f>
        <v>0</v>
      </c>
      <c r="D206">
        <f>SUMPRODUCT((MONTH(CHOOSE({1,2,3,4},KHP!T206,KHP!X206,KHP!AB206,KHP!AF206))=4)*(CHOOSE({1,2,3,4},KHP!W206,KHP!AA206,KHP!AE206,KHP!AI206)))</f>
        <v>0</v>
      </c>
      <c r="E206">
        <f>SUMPRODUCT((MONTH(CHOOSE({1,2,3,4},KHP!T206,KHP!X206,KHP!AB206,KHP!AF206))=5)*(CHOOSE({1,2,3,4},KHP!W206,KHP!AA206,KHP!AE206,KHP!AI206)))</f>
        <v>0</v>
      </c>
      <c r="F206">
        <f>SUMPRODUCT((MONTH(CHOOSE({1,2,3,4},KHP!T206,KHP!X206,KHP!AB206,KHP!AF206))=6)*(CHOOSE({1,2,3,4},KHP!W206,KHP!AA206,KHP!AE206,KHP!AI206)))</f>
        <v>0</v>
      </c>
      <c r="G206">
        <f>SUMPRODUCT((MONTH(CHOOSE({1,2,3,4},KHP!T206,KHP!X206,KHP!AB206,KHP!AF206))=7)*(CHOOSE({1,2,3,4},KHP!W206,KHP!AA206,KHP!AE206,KHP!AI206)))</f>
        <v>0</v>
      </c>
      <c r="H206">
        <f>SUMPRODUCT((MONTH(CHOOSE({1,2,3,4},KHP!T206,KHP!X206,KHP!AB206,KHP!AF206))=8)*(CHOOSE({1,2,3,4},KHP!W206,KHP!AA206,KHP!AE206,KHP!AI206)))</f>
        <v>0</v>
      </c>
      <c r="I206">
        <f>SUMPRODUCT((MONTH(CHOOSE({1,2,3,4},KHP!T206,KHP!X206,KHP!AB206,KHP!AF206))=9)*(CHOOSE({1,2,3,4},KHP!W206,KHP!AA206,KHP!AE206,KHP!AI206)))</f>
        <v>0</v>
      </c>
      <c r="J206">
        <f>SUMPRODUCT((MONTH(CHOOSE({1,2,3,4},KHP!T206,KHP!X206,KHP!AB206,KHP!AF206))=10)*(CHOOSE({1,2,3,4},KHP!W206,KHP!AA206,KHP!AE206,KHP!AI206)))</f>
        <v>0</v>
      </c>
      <c r="K206">
        <f>SUMPRODUCT((MONTH(CHOOSE({1,2,3,4},KHP!T206,KHP!X206,KHP!AB206,KHP!AF206))=11)*(CHOOSE({1,2,3,4},KHP!W206,KHP!AA206,KHP!AE206,KHP!AI206)))</f>
        <v>0</v>
      </c>
      <c r="L206">
        <f>SUMPRODUCT((MONTH(CHOOSE({1,2,3,4},KHP!T206,KHP!X206,KHP!AB206,KHP!AF206))=12)*(CHOOSE({1,2,3,4},KHP!W206,KHP!AA206,KHP!AE206,KHP!AI206)))</f>
        <v>0</v>
      </c>
    </row>
    <row r="207" spans="1:12">
      <c r="A207">
        <f>SUMPRODUCT((MONTH(CHOOSE({1,2,3,4},KHP!T207,KHP!X207,KHP!AB207,KHP!AF207))=1)*(CHOOSE({1,2,3,4},KHP!W207,KHP!AA207,KHP!AE207,KHP!AI207)))</f>
        <v>0</v>
      </c>
      <c r="B207">
        <f>SUMPRODUCT((MONTH(CHOOSE({1,2,3,4},KHP!T207,KHP!X207,KHP!AB207,KHP!AF207))=2)*(CHOOSE({1,2,3,4},KHP!W207,KHP!AA207,KHP!AE207,KHP!AI207)))</f>
        <v>0</v>
      </c>
      <c r="C207">
        <f>SUMPRODUCT((MONTH(CHOOSE({1,2,3,4},KHP!T207,KHP!X207,KHP!AB207,KHP!AF207))=3)*(CHOOSE({1,2,3,4},KHP!W207,KHP!AA207,KHP!AE207,KHP!AI207)))</f>
        <v>0</v>
      </c>
      <c r="D207">
        <f>SUMPRODUCT((MONTH(CHOOSE({1,2,3,4},KHP!T207,KHP!X207,KHP!AB207,KHP!AF207))=4)*(CHOOSE({1,2,3,4},KHP!W207,KHP!AA207,KHP!AE207,KHP!AI207)))</f>
        <v>0</v>
      </c>
      <c r="E207">
        <f>SUMPRODUCT((MONTH(CHOOSE({1,2,3,4},KHP!T207,KHP!X207,KHP!AB207,KHP!AF207))=5)*(CHOOSE({1,2,3,4},KHP!W207,KHP!AA207,KHP!AE207,KHP!AI207)))</f>
        <v>0</v>
      </c>
      <c r="F207">
        <f>SUMPRODUCT((MONTH(CHOOSE({1,2,3,4},KHP!T207,KHP!X207,KHP!AB207,KHP!AF207))=6)*(CHOOSE({1,2,3,4},KHP!W207,KHP!AA207,KHP!AE207,KHP!AI207)))</f>
        <v>0</v>
      </c>
      <c r="G207">
        <f>SUMPRODUCT((MONTH(CHOOSE({1,2,3,4},KHP!T207,KHP!X207,KHP!AB207,KHP!AF207))=7)*(CHOOSE({1,2,3,4},KHP!W207,KHP!AA207,KHP!AE207,KHP!AI207)))</f>
        <v>0</v>
      </c>
      <c r="H207">
        <f>SUMPRODUCT((MONTH(CHOOSE({1,2,3,4},KHP!T207,KHP!X207,KHP!AB207,KHP!AF207))=8)*(CHOOSE({1,2,3,4},KHP!W207,KHP!AA207,KHP!AE207,KHP!AI207)))</f>
        <v>0</v>
      </c>
      <c r="I207">
        <f>SUMPRODUCT((MONTH(CHOOSE({1,2,3,4},KHP!T207,KHP!X207,KHP!AB207,KHP!AF207))=9)*(CHOOSE({1,2,3,4},KHP!W207,KHP!AA207,KHP!AE207,KHP!AI207)))</f>
        <v>0</v>
      </c>
      <c r="J207">
        <f>SUMPRODUCT((MONTH(CHOOSE({1,2,3,4},KHP!T207,KHP!X207,KHP!AB207,KHP!AF207))=10)*(CHOOSE({1,2,3,4},KHP!W207,KHP!AA207,KHP!AE207,KHP!AI207)))</f>
        <v>0</v>
      </c>
      <c r="K207">
        <f>SUMPRODUCT((MONTH(CHOOSE({1,2,3,4},KHP!T207,KHP!X207,KHP!AB207,KHP!AF207))=11)*(CHOOSE({1,2,3,4},KHP!W207,KHP!AA207,KHP!AE207,KHP!AI207)))</f>
        <v>0</v>
      </c>
      <c r="L207">
        <f>SUMPRODUCT((MONTH(CHOOSE({1,2,3,4},KHP!T207,KHP!X207,KHP!AB207,KHP!AF207))=12)*(CHOOSE({1,2,3,4},KHP!W207,KHP!AA207,KHP!AE207,KHP!AI207)))</f>
        <v>0</v>
      </c>
    </row>
    <row r="208" spans="1:12">
      <c r="A208">
        <f>SUMPRODUCT((MONTH(CHOOSE({1,2,3,4},KHP!T208,KHP!X208,KHP!AB208,KHP!AF208))=1)*(CHOOSE({1,2,3,4},KHP!W208,KHP!AA208,KHP!AE208,KHP!AI208)))</f>
        <v>0</v>
      </c>
      <c r="B208">
        <f>SUMPRODUCT((MONTH(CHOOSE({1,2,3,4},KHP!T208,KHP!X208,KHP!AB208,KHP!AF208))=2)*(CHOOSE({1,2,3,4},KHP!W208,KHP!AA208,KHP!AE208,KHP!AI208)))</f>
        <v>0</v>
      </c>
      <c r="C208">
        <f>SUMPRODUCT((MONTH(CHOOSE({1,2,3,4},KHP!T208,KHP!X208,KHP!AB208,KHP!AF208))=3)*(CHOOSE({1,2,3,4},KHP!W208,KHP!AA208,KHP!AE208,KHP!AI208)))</f>
        <v>0</v>
      </c>
      <c r="D208">
        <f>SUMPRODUCT((MONTH(CHOOSE({1,2,3,4},KHP!T208,KHP!X208,KHP!AB208,KHP!AF208))=4)*(CHOOSE({1,2,3,4},KHP!W208,KHP!AA208,KHP!AE208,KHP!AI208)))</f>
        <v>0</v>
      </c>
      <c r="E208">
        <f>SUMPRODUCT((MONTH(CHOOSE({1,2,3,4},KHP!T208,KHP!X208,KHP!AB208,KHP!AF208))=5)*(CHOOSE({1,2,3,4},KHP!W208,KHP!AA208,KHP!AE208,KHP!AI208)))</f>
        <v>0</v>
      </c>
      <c r="F208">
        <f>SUMPRODUCT((MONTH(CHOOSE({1,2,3,4},KHP!T208,KHP!X208,KHP!AB208,KHP!AF208))=6)*(CHOOSE({1,2,3,4},KHP!W208,KHP!AA208,KHP!AE208,KHP!AI208)))</f>
        <v>0</v>
      </c>
      <c r="G208">
        <f>SUMPRODUCT((MONTH(CHOOSE({1,2,3,4},KHP!T208,KHP!X208,KHP!AB208,KHP!AF208))=7)*(CHOOSE({1,2,3,4},KHP!W208,KHP!AA208,KHP!AE208,KHP!AI208)))</f>
        <v>0</v>
      </c>
      <c r="H208">
        <f>SUMPRODUCT((MONTH(CHOOSE({1,2,3,4},KHP!T208,KHP!X208,KHP!AB208,KHP!AF208))=8)*(CHOOSE({1,2,3,4},KHP!W208,KHP!AA208,KHP!AE208,KHP!AI208)))</f>
        <v>0</v>
      </c>
      <c r="I208">
        <f>SUMPRODUCT((MONTH(CHOOSE({1,2,3,4},KHP!T208,KHP!X208,KHP!AB208,KHP!AF208))=9)*(CHOOSE({1,2,3,4},KHP!W208,KHP!AA208,KHP!AE208,KHP!AI208)))</f>
        <v>0</v>
      </c>
      <c r="J208">
        <f>SUMPRODUCT((MONTH(CHOOSE({1,2,3,4},KHP!T208,KHP!X208,KHP!AB208,KHP!AF208))=10)*(CHOOSE({1,2,3,4},KHP!W208,KHP!AA208,KHP!AE208,KHP!AI208)))</f>
        <v>0</v>
      </c>
      <c r="K208">
        <f>SUMPRODUCT((MONTH(CHOOSE({1,2,3,4},KHP!T208,KHP!X208,KHP!AB208,KHP!AF208))=11)*(CHOOSE({1,2,3,4},KHP!W208,KHP!AA208,KHP!AE208,KHP!AI208)))</f>
        <v>0</v>
      </c>
      <c r="L208">
        <f>SUMPRODUCT((MONTH(CHOOSE({1,2,3,4},KHP!T208,KHP!X208,KHP!AB208,KHP!AF208))=12)*(CHOOSE({1,2,3,4},KHP!W208,KHP!AA208,KHP!AE208,KHP!AI208)))</f>
        <v>0</v>
      </c>
    </row>
    <row r="209" spans="1:12">
      <c r="A209">
        <f>SUMPRODUCT((MONTH(CHOOSE({1,2,3,4},KHP!T209,KHP!X209,KHP!AB209,KHP!AF209))=1)*(CHOOSE({1,2,3,4},KHP!W209,KHP!AA209,KHP!AE209,KHP!AI209)))</f>
        <v>0</v>
      </c>
      <c r="B209">
        <f>SUMPRODUCT((MONTH(CHOOSE({1,2,3,4},KHP!T209,KHP!X209,KHP!AB209,KHP!AF209))=2)*(CHOOSE({1,2,3,4},KHP!W209,KHP!AA209,KHP!AE209,KHP!AI209)))</f>
        <v>0</v>
      </c>
      <c r="C209">
        <f>SUMPRODUCT((MONTH(CHOOSE({1,2,3,4},KHP!T209,KHP!X209,KHP!AB209,KHP!AF209))=3)*(CHOOSE({1,2,3,4},KHP!W209,KHP!AA209,KHP!AE209,KHP!AI209)))</f>
        <v>0</v>
      </c>
      <c r="D209">
        <f>SUMPRODUCT((MONTH(CHOOSE({1,2,3,4},KHP!T209,KHP!X209,KHP!AB209,KHP!AF209))=4)*(CHOOSE({1,2,3,4},KHP!W209,KHP!AA209,KHP!AE209,KHP!AI209)))</f>
        <v>0</v>
      </c>
      <c r="E209">
        <f>SUMPRODUCT((MONTH(CHOOSE({1,2,3,4},KHP!T209,KHP!X209,KHP!AB209,KHP!AF209))=5)*(CHOOSE({1,2,3,4},KHP!W209,KHP!AA209,KHP!AE209,KHP!AI209)))</f>
        <v>0</v>
      </c>
      <c r="F209">
        <f>SUMPRODUCT((MONTH(CHOOSE({1,2,3,4},KHP!T209,KHP!X209,KHP!AB209,KHP!AF209))=6)*(CHOOSE({1,2,3,4},KHP!W209,KHP!AA209,KHP!AE209,KHP!AI209)))</f>
        <v>0</v>
      </c>
      <c r="G209">
        <f>SUMPRODUCT((MONTH(CHOOSE({1,2,3,4},KHP!T209,KHP!X209,KHP!AB209,KHP!AF209))=7)*(CHOOSE({1,2,3,4},KHP!W209,KHP!AA209,KHP!AE209,KHP!AI209)))</f>
        <v>0</v>
      </c>
      <c r="H209">
        <f>SUMPRODUCT((MONTH(CHOOSE({1,2,3,4},KHP!T209,KHP!X209,KHP!AB209,KHP!AF209))=8)*(CHOOSE({1,2,3,4},KHP!W209,KHP!AA209,KHP!AE209,KHP!AI209)))</f>
        <v>0</v>
      </c>
      <c r="I209">
        <f>SUMPRODUCT((MONTH(CHOOSE({1,2,3,4},KHP!T209,KHP!X209,KHP!AB209,KHP!AF209))=9)*(CHOOSE({1,2,3,4},KHP!W209,KHP!AA209,KHP!AE209,KHP!AI209)))</f>
        <v>0</v>
      </c>
      <c r="J209">
        <f>SUMPRODUCT((MONTH(CHOOSE({1,2,3,4},KHP!T209,KHP!X209,KHP!AB209,KHP!AF209))=10)*(CHOOSE({1,2,3,4},KHP!W209,KHP!AA209,KHP!AE209,KHP!AI209)))</f>
        <v>0</v>
      </c>
      <c r="K209">
        <f>SUMPRODUCT((MONTH(CHOOSE({1,2,3,4},KHP!T209,KHP!X209,KHP!AB209,KHP!AF209))=11)*(CHOOSE({1,2,3,4},KHP!W209,KHP!AA209,KHP!AE209,KHP!AI209)))</f>
        <v>0</v>
      </c>
      <c r="L209">
        <f>SUMPRODUCT((MONTH(CHOOSE({1,2,3,4},KHP!T209,KHP!X209,KHP!AB209,KHP!AF209))=12)*(CHOOSE({1,2,3,4},KHP!W209,KHP!AA209,KHP!AE209,KHP!AI209)))</f>
        <v>0</v>
      </c>
    </row>
    <row r="210" spans="1:12">
      <c r="A210">
        <f>SUMPRODUCT((MONTH(CHOOSE({1,2,3,4},KHP!T210,KHP!X210,KHP!AB210,KHP!AF210))=1)*(CHOOSE({1,2,3,4},KHP!W210,KHP!AA210,KHP!AE210,KHP!AI210)))</f>
        <v>0</v>
      </c>
      <c r="B210">
        <f>SUMPRODUCT((MONTH(CHOOSE({1,2,3,4},KHP!T210,KHP!X210,KHP!AB210,KHP!AF210))=2)*(CHOOSE({1,2,3,4},KHP!W210,KHP!AA210,KHP!AE210,KHP!AI210)))</f>
        <v>0</v>
      </c>
      <c r="C210">
        <f>SUMPRODUCT((MONTH(CHOOSE({1,2,3,4},KHP!T210,KHP!X210,KHP!AB210,KHP!AF210))=3)*(CHOOSE({1,2,3,4},KHP!W210,KHP!AA210,KHP!AE210,KHP!AI210)))</f>
        <v>0</v>
      </c>
      <c r="D210">
        <f>SUMPRODUCT((MONTH(CHOOSE({1,2,3,4},KHP!T210,KHP!X210,KHP!AB210,KHP!AF210))=4)*(CHOOSE({1,2,3,4},KHP!W210,KHP!AA210,KHP!AE210,KHP!AI210)))</f>
        <v>0</v>
      </c>
      <c r="E210">
        <f>SUMPRODUCT((MONTH(CHOOSE({1,2,3,4},KHP!T210,KHP!X210,KHP!AB210,KHP!AF210))=5)*(CHOOSE({1,2,3,4},KHP!W210,KHP!AA210,KHP!AE210,KHP!AI210)))</f>
        <v>0</v>
      </c>
      <c r="F210">
        <f>SUMPRODUCT((MONTH(CHOOSE({1,2,3,4},KHP!T210,KHP!X210,KHP!AB210,KHP!AF210))=6)*(CHOOSE({1,2,3,4},KHP!W210,KHP!AA210,KHP!AE210,KHP!AI210)))</f>
        <v>0</v>
      </c>
      <c r="G210">
        <f>SUMPRODUCT((MONTH(CHOOSE({1,2,3,4},KHP!T210,KHP!X210,KHP!AB210,KHP!AF210))=7)*(CHOOSE({1,2,3,4},KHP!W210,KHP!AA210,KHP!AE210,KHP!AI210)))</f>
        <v>0</v>
      </c>
      <c r="H210">
        <f>SUMPRODUCT((MONTH(CHOOSE({1,2,3,4},KHP!T210,KHP!X210,KHP!AB210,KHP!AF210))=8)*(CHOOSE({1,2,3,4},KHP!W210,KHP!AA210,KHP!AE210,KHP!AI210)))</f>
        <v>0</v>
      </c>
      <c r="I210">
        <f>SUMPRODUCT((MONTH(CHOOSE({1,2,3,4},KHP!T210,KHP!X210,KHP!AB210,KHP!AF210))=9)*(CHOOSE({1,2,3,4},KHP!W210,KHP!AA210,KHP!AE210,KHP!AI210)))</f>
        <v>0</v>
      </c>
      <c r="J210">
        <f>SUMPRODUCT((MONTH(CHOOSE({1,2,3,4},KHP!T210,KHP!X210,KHP!AB210,KHP!AF210))=10)*(CHOOSE({1,2,3,4},KHP!W210,KHP!AA210,KHP!AE210,KHP!AI210)))</f>
        <v>0</v>
      </c>
      <c r="K210">
        <f>SUMPRODUCT((MONTH(CHOOSE({1,2,3,4},KHP!T210,KHP!X210,KHP!AB210,KHP!AF210))=11)*(CHOOSE({1,2,3,4},KHP!W210,KHP!AA210,KHP!AE210,KHP!AI210)))</f>
        <v>0</v>
      </c>
      <c r="L210">
        <f>SUMPRODUCT((MONTH(CHOOSE({1,2,3,4},KHP!T210,KHP!X210,KHP!AB210,KHP!AF210))=12)*(CHOOSE({1,2,3,4},KHP!W210,KHP!AA210,KHP!AE210,KHP!AI210)))</f>
        <v>0</v>
      </c>
    </row>
    <row r="211" spans="1:12">
      <c r="A211">
        <f>SUMPRODUCT((MONTH(CHOOSE({1,2,3,4},KHP!T211,KHP!X211,KHP!AB211,KHP!AF211))=1)*(CHOOSE({1,2,3,4},KHP!W211,KHP!AA211,KHP!AE211,KHP!AI211)))</f>
        <v>0</v>
      </c>
      <c r="B211">
        <f>SUMPRODUCT((MONTH(CHOOSE({1,2,3,4},KHP!T211,KHP!X211,KHP!AB211,KHP!AF211))=2)*(CHOOSE({1,2,3,4},KHP!W211,KHP!AA211,KHP!AE211,KHP!AI211)))</f>
        <v>0</v>
      </c>
      <c r="C211">
        <f>SUMPRODUCT((MONTH(CHOOSE({1,2,3,4},KHP!T211,KHP!X211,KHP!AB211,KHP!AF211))=3)*(CHOOSE({1,2,3,4},KHP!W211,KHP!AA211,KHP!AE211,KHP!AI211)))</f>
        <v>0</v>
      </c>
      <c r="D211">
        <f>SUMPRODUCT((MONTH(CHOOSE({1,2,3,4},KHP!T211,KHP!X211,KHP!AB211,KHP!AF211))=4)*(CHOOSE({1,2,3,4},KHP!W211,KHP!AA211,KHP!AE211,KHP!AI211)))</f>
        <v>0</v>
      </c>
      <c r="E211">
        <f>SUMPRODUCT((MONTH(CHOOSE({1,2,3,4},KHP!T211,KHP!X211,KHP!AB211,KHP!AF211))=5)*(CHOOSE({1,2,3,4},KHP!W211,KHP!AA211,KHP!AE211,KHP!AI211)))</f>
        <v>0</v>
      </c>
      <c r="F211">
        <f>SUMPRODUCT((MONTH(CHOOSE({1,2,3,4},KHP!T211,KHP!X211,KHP!AB211,KHP!AF211))=6)*(CHOOSE({1,2,3,4},KHP!W211,KHP!AA211,KHP!AE211,KHP!AI211)))</f>
        <v>0</v>
      </c>
      <c r="G211">
        <f>SUMPRODUCT((MONTH(CHOOSE({1,2,3,4},KHP!T211,KHP!X211,KHP!AB211,KHP!AF211))=7)*(CHOOSE({1,2,3,4},KHP!W211,KHP!AA211,KHP!AE211,KHP!AI211)))</f>
        <v>0</v>
      </c>
      <c r="H211">
        <f>SUMPRODUCT((MONTH(CHOOSE({1,2,3,4},KHP!T211,KHP!X211,KHP!AB211,KHP!AF211))=8)*(CHOOSE({1,2,3,4},KHP!W211,KHP!AA211,KHP!AE211,KHP!AI211)))</f>
        <v>0</v>
      </c>
      <c r="I211">
        <f>SUMPRODUCT((MONTH(CHOOSE({1,2,3,4},KHP!T211,KHP!X211,KHP!AB211,KHP!AF211))=9)*(CHOOSE({1,2,3,4},KHP!W211,KHP!AA211,KHP!AE211,KHP!AI211)))</f>
        <v>0</v>
      </c>
      <c r="J211">
        <f>SUMPRODUCT((MONTH(CHOOSE({1,2,3,4},KHP!T211,KHP!X211,KHP!AB211,KHP!AF211))=10)*(CHOOSE({1,2,3,4},KHP!W211,KHP!AA211,KHP!AE211,KHP!AI211)))</f>
        <v>0</v>
      </c>
      <c r="K211">
        <f>SUMPRODUCT((MONTH(CHOOSE({1,2,3,4},KHP!T211,KHP!X211,KHP!AB211,KHP!AF211))=11)*(CHOOSE({1,2,3,4},KHP!W211,KHP!AA211,KHP!AE211,KHP!AI211)))</f>
        <v>0</v>
      </c>
      <c r="L211">
        <f>SUMPRODUCT((MONTH(CHOOSE({1,2,3,4},KHP!T211,KHP!X211,KHP!AB211,KHP!AF211))=12)*(CHOOSE({1,2,3,4},KHP!W211,KHP!AA211,KHP!AE211,KHP!AI211)))</f>
        <v>0</v>
      </c>
    </row>
    <row r="212" spans="1:12">
      <c r="A212">
        <f>SUMPRODUCT((MONTH(CHOOSE({1,2,3,4},KHP!T212,KHP!X212,KHP!AB212,KHP!AF212))=1)*(CHOOSE({1,2,3,4},KHP!W212,KHP!AA212,KHP!AE212,KHP!AI212)))</f>
        <v>0</v>
      </c>
      <c r="B212">
        <f>SUMPRODUCT((MONTH(CHOOSE({1,2,3,4},KHP!T212,KHP!X212,KHP!AB212,KHP!AF212))=2)*(CHOOSE({1,2,3,4},KHP!W212,KHP!AA212,KHP!AE212,KHP!AI212)))</f>
        <v>0</v>
      </c>
      <c r="C212">
        <f>SUMPRODUCT((MONTH(CHOOSE({1,2,3,4},KHP!T212,KHP!X212,KHP!AB212,KHP!AF212))=3)*(CHOOSE({1,2,3,4},KHP!W212,KHP!AA212,KHP!AE212,KHP!AI212)))</f>
        <v>0</v>
      </c>
      <c r="D212">
        <f>SUMPRODUCT((MONTH(CHOOSE({1,2,3,4},KHP!T212,KHP!X212,KHP!AB212,KHP!AF212))=4)*(CHOOSE({1,2,3,4},KHP!W212,KHP!AA212,KHP!AE212,KHP!AI212)))</f>
        <v>0</v>
      </c>
      <c r="E212">
        <f>SUMPRODUCT((MONTH(CHOOSE({1,2,3,4},KHP!T212,KHP!X212,KHP!AB212,KHP!AF212))=5)*(CHOOSE({1,2,3,4},KHP!W212,KHP!AA212,KHP!AE212,KHP!AI212)))</f>
        <v>0</v>
      </c>
      <c r="F212">
        <f>SUMPRODUCT((MONTH(CHOOSE({1,2,3,4},KHP!T212,KHP!X212,KHP!AB212,KHP!AF212))=6)*(CHOOSE({1,2,3,4},KHP!W212,KHP!AA212,KHP!AE212,KHP!AI212)))</f>
        <v>0</v>
      </c>
      <c r="G212">
        <f>SUMPRODUCT((MONTH(CHOOSE({1,2,3,4},KHP!T212,KHP!X212,KHP!AB212,KHP!AF212))=7)*(CHOOSE({1,2,3,4},KHP!W212,KHP!AA212,KHP!AE212,KHP!AI212)))</f>
        <v>0</v>
      </c>
      <c r="H212">
        <f>SUMPRODUCT((MONTH(CHOOSE({1,2,3,4},KHP!T212,KHP!X212,KHP!AB212,KHP!AF212))=8)*(CHOOSE({1,2,3,4},KHP!W212,KHP!AA212,KHP!AE212,KHP!AI212)))</f>
        <v>0</v>
      </c>
      <c r="I212">
        <f>SUMPRODUCT((MONTH(CHOOSE({1,2,3,4},KHP!T212,KHP!X212,KHP!AB212,KHP!AF212))=9)*(CHOOSE({1,2,3,4},KHP!W212,KHP!AA212,KHP!AE212,KHP!AI212)))</f>
        <v>0</v>
      </c>
      <c r="J212">
        <f>SUMPRODUCT((MONTH(CHOOSE({1,2,3,4},KHP!T212,KHP!X212,KHP!AB212,KHP!AF212))=10)*(CHOOSE({1,2,3,4},KHP!W212,KHP!AA212,KHP!AE212,KHP!AI212)))</f>
        <v>0</v>
      </c>
      <c r="K212">
        <f>SUMPRODUCT((MONTH(CHOOSE({1,2,3,4},KHP!T212,KHP!X212,KHP!AB212,KHP!AF212))=11)*(CHOOSE({1,2,3,4},KHP!W212,KHP!AA212,KHP!AE212,KHP!AI212)))</f>
        <v>0</v>
      </c>
      <c r="L212">
        <f>SUMPRODUCT((MONTH(CHOOSE({1,2,3,4},KHP!T212,KHP!X212,KHP!AB212,KHP!AF212))=12)*(CHOOSE({1,2,3,4},KHP!W212,KHP!AA212,KHP!AE212,KHP!AI212)))</f>
        <v>0</v>
      </c>
    </row>
    <row r="213" spans="1:12">
      <c r="A213">
        <f>SUMPRODUCT((MONTH(CHOOSE({1,2,3,4},KHP!T213,KHP!X213,KHP!AB213,KHP!AF213))=1)*(CHOOSE({1,2,3,4},KHP!W213,KHP!AA213,KHP!AE213,KHP!AI213)))</f>
        <v>0</v>
      </c>
      <c r="B213">
        <f>SUMPRODUCT((MONTH(CHOOSE({1,2,3,4},KHP!T213,KHP!X213,KHP!AB213,KHP!AF213))=2)*(CHOOSE({1,2,3,4},KHP!W213,KHP!AA213,KHP!AE213,KHP!AI213)))</f>
        <v>0</v>
      </c>
      <c r="C213">
        <f>SUMPRODUCT((MONTH(CHOOSE({1,2,3,4},KHP!T213,KHP!X213,KHP!AB213,KHP!AF213))=3)*(CHOOSE({1,2,3,4},KHP!W213,KHP!AA213,KHP!AE213,KHP!AI213)))</f>
        <v>0</v>
      </c>
      <c r="D213">
        <f>SUMPRODUCT((MONTH(CHOOSE({1,2,3,4},KHP!T213,KHP!X213,KHP!AB213,KHP!AF213))=4)*(CHOOSE({1,2,3,4},KHP!W213,KHP!AA213,KHP!AE213,KHP!AI213)))</f>
        <v>0</v>
      </c>
      <c r="E213">
        <f>SUMPRODUCT((MONTH(CHOOSE({1,2,3,4},KHP!T213,KHP!X213,KHP!AB213,KHP!AF213))=5)*(CHOOSE({1,2,3,4},KHP!W213,KHP!AA213,KHP!AE213,KHP!AI213)))</f>
        <v>0</v>
      </c>
      <c r="F213">
        <f>SUMPRODUCT((MONTH(CHOOSE({1,2,3,4},KHP!T213,KHP!X213,KHP!AB213,KHP!AF213))=6)*(CHOOSE({1,2,3,4},KHP!W213,KHP!AA213,KHP!AE213,KHP!AI213)))</f>
        <v>0</v>
      </c>
      <c r="G213">
        <f>SUMPRODUCT((MONTH(CHOOSE({1,2,3,4},KHP!T213,KHP!X213,KHP!AB213,KHP!AF213))=7)*(CHOOSE({1,2,3,4},KHP!W213,KHP!AA213,KHP!AE213,KHP!AI213)))</f>
        <v>0</v>
      </c>
      <c r="H213">
        <f>SUMPRODUCT((MONTH(CHOOSE({1,2,3,4},KHP!T213,KHP!X213,KHP!AB213,KHP!AF213))=8)*(CHOOSE({1,2,3,4},KHP!W213,KHP!AA213,KHP!AE213,KHP!AI213)))</f>
        <v>0</v>
      </c>
      <c r="I213">
        <f>SUMPRODUCT((MONTH(CHOOSE({1,2,3,4},KHP!T213,KHP!X213,KHP!AB213,KHP!AF213))=9)*(CHOOSE({1,2,3,4},KHP!W213,KHP!AA213,KHP!AE213,KHP!AI213)))</f>
        <v>0</v>
      </c>
      <c r="J213">
        <f>SUMPRODUCT((MONTH(CHOOSE({1,2,3,4},KHP!T213,KHP!X213,KHP!AB213,KHP!AF213))=10)*(CHOOSE({1,2,3,4},KHP!W213,KHP!AA213,KHP!AE213,KHP!AI213)))</f>
        <v>0</v>
      </c>
      <c r="K213">
        <f>SUMPRODUCT((MONTH(CHOOSE({1,2,3,4},KHP!T213,KHP!X213,KHP!AB213,KHP!AF213))=11)*(CHOOSE({1,2,3,4},KHP!W213,KHP!AA213,KHP!AE213,KHP!AI213)))</f>
        <v>0</v>
      </c>
      <c r="L213">
        <f>SUMPRODUCT((MONTH(CHOOSE({1,2,3,4},KHP!T213,KHP!X213,KHP!AB213,KHP!AF213))=12)*(CHOOSE({1,2,3,4},KHP!W213,KHP!AA213,KHP!AE213,KHP!AI213)))</f>
        <v>0</v>
      </c>
    </row>
    <row r="214" spans="1:12">
      <c r="A214">
        <f>SUMPRODUCT((MONTH(CHOOSE({1,2,3,4},KHP!T214,KHP!X214,KHP!AB214,KHP!AF214))=1)*(CHOOSE({1,2,3,4},KHP!W214,KHP!AA214,KHP!AE214,KHP!AI214)))</f>
        <v>0</v>
      </c>
      <c r="B214">
        <f>SUMPRODUCT((MONTH(CHOOSE({1,2,3,4},KHP!T214,KHP!X214,KHP!AB214,KHP!AF214))=2)*(CHOOSE({1,2,3,4},KHP!W214,KHP!AA214,KHP!AE214,KHP!AI214)))</f>
        <v>0</v>
      </c>
      <c r="C214">
        <f>SUMPRODUCT((MONTH(CHOOSE({1,2,3,4},KHP!T214,KHP!X214,KHP!AB214,KHP!AF214))=3)*(CHOOSE({1,2,3,4},KHP!W214,KHP!AA214,KHP!AE214,KHP!AI214)))</f>
        <v>0</v>
      </c>
      <c r="D214">
        <f>SUMPRODUCT((MONTH(CHOOSE({1,2,3,4},KHP!T214,KHP!X214,KHP!AB214,KHP!AF214))=4)*(CHOOSE({1,2,3,4},KHP!W214,KHP!AA214,KHP!AE214,KHP!AI214)))</f>
        <v>0</v>
      </c>
      <c r="E214">
        <f>SUMPRODUCT((MONTH(CHOOSE({1,2,3,4},KHP!T214,KHP!X214,KHP!AB214,KHP!AF214))=5)*(CHOOSE({1,2,3,4},KHP!W214,KHP!AA214,KHP!AE214,KHP!AI214)))</f>
        <v>0</v>
      </c>
      <c r="F214">
        <f>SUMPRODUCT((MONTH(CHOOSE({1,2,3,4},KHP!T214,KHP!X214,KHP!AB214,KHP!AF214))=6)*(CHOOSE({1,2,3,4},KHP!W214,KHP!AA214,KHP!AE214,KHP!AI214)))</f>
        <v>0</v>
      </c>
      <c r="G214">
        <f>SUMPRODUCT((MONTH(CHOOSE({1,2,3,4},KHP!T214,KHP!X214,KHP!AB214,KHP!AF214))=7)*(CHOOSE({1,2,3,4},KHP!W214,KHP!AA214,KHP!AE214,KHP!AI214)))</f>
        <v>0</v>
      </c>
      <c r="H214">
        <f>SUMPRODUCT((MONTH(CHOOSE({1,2,3,4},KHP!T214,KHP!X214,KHP!AB214,KHP!AF214))=8)*(CHOOSE({1,2,3,4},KHP!W214,KHP!AA214,KHP!AE214,KHP!AI214)))</f>
        <v>0</v>
      </c>
      <c r="I214">
        <f>SUMPRODUCT((MONTH(CHOOSE({1,2,3,4},KHP!T214,KHP!X214,KHP!AB214,KHP!AF214))=9)*(CHOOSE({1,2,3,4},KHP!W214,KHP!AA214,KHP!AE214,KHP!AI214)))</f>
        <v>0</v>
      </c>
      <c r="J214">
        <f>SUMPRODUCT((MONTH(CHOOSE({1,2,3,4},KHP!T214,KHP!X214,KHP!AB214,KHP!AF214))=10)*(CHOOSE({1,2,3,4},KHP!W214,KHP!AA214,KHP!AE214,KHP!AI214)))</f>
        <v>0</v>
      </c>
      <c r="K214">
        <f>SUMPRODUCT((MONTH(CHOOSE({1,2,3,4},KHP!T214,KHP!X214,KHP!AB214,KHP!AF214))=11)*(CHOOSE({1,2,3,4},KHP!W214,KHP!AA214,KHP!AE214,KHP!AI214)))</f>
        <v>0</v>
      </c>
      <c r="L214">
        <f>SUMPRODUCT((MONTH(CHOOSE({1,2,3,4},KHP!T214,KHP!X214,KHP!AB214,KHP!AF214))=12)*(CHOOSE({1,2,3,4},KHP!W214,KHP!AA214,KHP!AE214,KHP!AI214)))</f>
        <v>0</v>
      </c>
    </row>
    <row r="215" spans="1:12">
      <c r="A215">
        <f>SUMPRODUCT((MONTH(CHOOSE({1,2,3,4},KHP!T215,KHP!X215,KHP!AB215,KHP!AF215))=1)*(CHOOSE({1,2,3,4},KHP!W215,KHP!AA215,KHP!AE215,KHP!AI215)))</f>
        <v>0</v>
      </c>
      <c r="B215">
        <f>SUMPRODUCT((MONTH(CHOOSE({1,2,3,4},KHP!T215,KHP!X215,KHP!AB215,KHP!AF215))=2)*(CHOOSE({1,2,3,4},KHP!W215,KHP!AA215,KHP!AE215,KHP!AI215)))</f>
        <v>0</v>
      </c>
      <c r="C215">
        <f>SUMPRODUCT((MONTH(CHOOSE({1,2,3,4},KHP!T215,KHP!X215,KHP!AB215,KHP!AF215))=3)*(CHOOSE({1,2,3,4},KHP!W215,KHP!AA215,KHP!AE215,KHP!AI215)))</f>
        <v>0</v>
      </c>
      <c r="D215">
        <f>SUMPRODUCT((MONTH(CHOOSE({1,2,3,4},KHP!T215,KHP!X215,KHP!AB215,KHP!AF215))=4)*(CHOOSE({1,2,3,4},KHP!W215,KHP!AA215,KHP!AE215,KHP!AI215)))</f>
        <v>0</v>
      </c>
      <c r="E215">
        <f>SUMPRODUCT((MONTH(CHOOSE({1,2,3,4},KHP!T215,KHP!X215,KHP!AB215,KHP!AF215))=5)*(CHOOSE({1,2,3,4},KHP!W215,KHP!AA215,KHP!AE215,KHP!AI215)))</f>
        <v>0</v>
      </c>
      <c r="F215">
        <f>SUMPRODUCT((MONTH(CHOOSE({1,2,3,4},KHP!T215,KHP!X215,KHP!AB215,KHP!AF215))=6)*(CHOOSE({1,2,3,4},KHP!W215,KHP!AA215,KHP!AE215,KHP!AI215)))</f>
        <v>0</v>
      </c>
      <c r="G215">
        <f>SUMPRODUCT((MONTH(CHOOSE({1,2,3,4},KHP!T215,KHP!X215,KHP!AB215,KHP!AF215))=7)*(CHOOSE({1,2,3,4},KHP!W215,KHP!AA215,KHP!AE215,KHP!AI215)))</f>
        <v>0</v>
      </c>
      <c r="H215">
        <f>SUMPRODUCT((MONTH(CHOOSE({1,2,3,4},KHP!T215,KHP!X215,KHP!AB215,KHP!AF215))=8)*(CHOOSE({1,2,3,4},KHP!W215,KHP!AA215,KHP!AE215,KHP!AI215)))</f>
        <v>0</v>
      </c>
      <c r="I215">
        <f>SUMPRODUCT((MONTH(CHOOSE({1,2,3,4},KHP!T215,KHP!X215,KHP!AB215,KHP!AF215))=9)*(CHOOSE({1,2,3,4},KHP!W215,KHP!AA215,KHP!AE215,KHP!AI215)))</f>
        <v>0</v>
      </c>
      <c r="J215">
        <f>SUMPRODUCT((MONTH(CHOOSE({1,2,3,4},KHP!T215,KHP!X215,KHP!AB215,KHP!AF215))=10)*(CHOOSE({1,2,3,4},KHP!W215,KHP!AA215,KHP!AE215,KHP!AI215)))</f>
        <v>0</v>
      </c>
      <c r="K215">
        <f>SUMPRODUCT((MONTH(CHOOSE({1,2,3,4},KHP!T215,KHP!X215,KHP!AB215,KHP!AF215))=11)*(CHOOSE({1,2,3,4},KHP!W215,KHP!AA215,KHP!AE215,KHP!AI215)))</f>
        <v>0</v>
      </c>
      <c r="L215">
        <f>SUMPRODUCT((MONTH(CHOOSE({1,2,3,4},KHP!T215,KHP!X215,KHP!AB215,KHP!AF215))=12)*(CHOOSE({1,2,3,4},KHP!W215,KHP!AA215,KHP!AE215,KHP!AI215)))</f>
        <v>0</v>
      </c>
    </row>
    <row r="216" spans="1:12">
      <c r="A216">
        <f>SUMPRODUCT((MONTH(CHOOSE({1,2,3,4},KHP!T216,KHP!X216,KHP!AB216,KHP!AF216))=1)*(CHOOSE({1,2,3,4},KHP!W216,KHP!AA216,KHP!AE216,KHP!AI216)))</f>
        <v>0</v>
      </c>
      <c r="B216">
        <f>SUMPRODUCT((MONTH(CHOOSE({1,2,3,4},KHP!T216,KHP!X216,KHP!AB216,KHP!AF216))=2)*(CHOOSE({1,2,3,4},KHP!W216,KHP!AA216,KHP!AE216,KHP!AI216)))</f>
        <v>0</v>
      </c>
      <c r="C216">
        <f>SUMPRODUCT((MONTH(CHOOSE({1,2,3,4},KHP!T216,KHP!X216,KHP!AB216,KHP!AF216))=3)*(CHOOSE({1,2,3,4},KHP!W216,KHP!AA216,KHP!AE216,KHP!AI216)))</f>
        <v>0</v>
      </c>
      <c r="D216">
        <f>SUMPRODUCT((MONTH(CHOOSE({1,2,3,4},KHP!T216,KHP!X216,KHP!AB216,KHP!AF216))=4)*(CHOOSE({1,2,3,4},KHP!W216,KHP!AA216,KHP!AE216,KHP!AI216)))</f>
        <v>0</v>
      </c>
      <c r="E216">
        <f>SUMPRODUCT((MONTH(CHOOSE({1,2,3,4},KHP!T216,KHP!X216,KHP!AB216,KHP!AF216))=5)*(CHOOSE({1,2,3,4},KHP!W216,KHP!AA216,KHP!AE216,KHP!AI216)))</f>
        <v>0</v>
      </c>
      <c r="F216">
        <f>SUMPRODUCT((MONTH(CHOOSE({1,2,3,4},KHP!T216,KHP!X216,KHP!AB216,KHP!AF216))=6)*(CHOOSE({1,2,3,4},KHP!W216,KHP!AA216,KHP!AE216,KHP!AI216)))</f>
        <v>0</v>
      </c>
      <c r="G216">
        <f>SUMPRODUCT((MONTH(CHOOSE({1,2,3,4},KHP!T216,KHP!X216,KHP!AB216,KHP!AF216))=7)*(CHOOSE({1,2,3,4},KHP!W216,KHP!AA216,KHP!AE216,KHP!AI216)))</f>
        <v>0</v>
      </c>
      <c r="H216">
        <f>SUMPRODUCT((MONTH(CHOOSE({1,2,3,4},KHP!T216,KHP!X216,KHP!AB216,KHP!AF216))=8)*(CHOOSE({1,2,3,4},KHP!W216,KHP!AA216,KHP!AE216,KHP!AI216)))</f>
        <v>0</v>
      </c>
      <c r="I216">
        <f>SUMPRODUCT((MONTH(CHOOSE({1,2,3,4},KHP!T216,KHP!X216,KHP!AB216,KHP!AF216))=9)*(CHOOSE({1,2,3,4},KHP!W216,KHP!AA216,KHP!AE216,KHP!AI216)))</f>
        <v>0</v>
      </c>
      <c r="J216">
        <f>SUMPRODUCT((MONTH(CHOOSE({1,2,3,4},KHP!T216,KHP!X216,KHP!AB216,KHP!AF216))=10)*(CHOOSE({1,2,3,4},KHP!W216,KHP!AA216,KHP!AE216,KHP!AI216)))</f>
        <v>0</v>
      </c>
      <c r="K216">
        <f>SUMPRODUCT((MONTH(CHOOSE({1,2,3,4},KHP!T216,KHP!X216,KHP!AB216,KHP!AF216))=11)*(CHOOSE({1,2,3,4},KHP!W216,KHP!AA216,KHP!AE216,KHP!AI216)))</f>
        <v>0</v>
      </c>
      <c r="L216">
        <f>SUMPRODUCT((MONTH(CHOOSE({1,2,3,4},KHP!T216,KHP!X216,KHP!AB216,KHP!AF216))=12)*(CHOOSE({1,2,3,4},KHP!W216,KHP!AA216,KHP!AE216,KHP!AI216)))</f>
        <v>0</v>
      </c>
    </row>
    <row r="217" spans="1:12">
      <c r="A217">
        <f>SUMPRODUCT((MONTH(CHOOSE({1,2,3,4},KHP!T217,KHP!X217,KHP!AB217,KHP!AF217))=1)*(CHOOSE({1,2,3,4},KHP!W217,KHP!AA217,KHP!AE217,KHP!AI217)))</f>
        <v>0</v>
      </c>
      <c r="B217">
        <f>SUMPRODUCT((MONTH(CHOOSE({1,2,3,4},KHP!T217,KHP!X217,KHP!AB217,KHP!AF217))=2)*(CHOOSE({1,2,3,4},KHP!W217,KHP!AA217,KHP!AE217,KHP!AI217)))</f>
        <v>0</v>
      </c>
      <c r="C217">
        <f>SUMPRODUCT((MONTH(CHOOSE({1,2,3,4},KHP!T217,KHP!X217,KHP!AB217,KHP!AF217))=3)*(CHOOSE({1,2,3,4},KHP!W217,KHP!AA217,KHP!AE217,KHP!AI217)))</f>
        <v>0</v>
      </c>
      <c r="D217">
        <f>SUMPRODUCT((MONTH(CHOOSE({1,2,3,4},KHP!T217,KHP!X217,KHP!AB217,KHP!AF217))=4)*(CHOOSE({1,2,3,4},KHP!W217,KHP!AA217,KHP!AE217,KHP!AI217)))</f>
        <v>0</v>
      </c>
      <c r="E217">
        <f>SUMPRODUCT((MONTH(CHOOSE({1,2,3,4},KHP!T217,KHP!X217,KHP!AB217,KHP!AF217))=5)*(CHOOSE({1,2,3,4},KHP!W217,KHP!AA217,KHP!AE217,KHP!AI217)))</f>
        <v>0</v>
      </c>
      <c r="F217">
        <f>SUMPRODUCT((MONTH(CHOOSE({1,2,3,4},KHP!T217,KHP!X217,KHP!AB217,KHP!AF217))=6)*(CHOOSE({1,2,3,4},KHP!W217,KHP!AA217,KHP!AE217,KHP!AI217)))</f>
        <v>0</v>
      </c>
      <c r="G217">
        <f>SUMPRODUCT((MONTH(CHOOSE({1,2,3,4},KHP!T217,KHP!X217,KHP!AB217,KHP!AF217))=7)*(CHOOSE({1,2,3,4},KHP!W217,KHP!AA217,KHP!AE217,KHP!AI217)))</f>
        <v>0</v>
      </c>
      <c r="H217">
        <f>SUMPRODUCT((MONTH(CHOOSE({1,2,3,4},KHP!T217,KHP!X217,KHP!AB217,KHP!AF217))=8)*(CHOOSE({1,2,3,4},KHP!W217,KHP!AA217,KHP!AE217,KHP!AI217)))</f>
        <v>0</v>
      </c>
      <c r="I217">
        <f>SUMPRODUCT((MONTH(CHOOSE({1,2,3,4},KHP!T217,KHP!X217,KHP!AB217,KHP!AF217))=9)*(CHOOSE({1,2,3,4},KHP!W217,KHP!AA217,KHP!AE217,KHP!AI217)))</f>
        <v>0</v>
      </c>
      <c r="J217">
        <f>SUMPRODUCT((MONTH(CHOOSE({1,2,3,4},KHP!T217,KHP!X217,KHP!AB217,KHP!AF217))=10)*(CHOOSE({1,2,3,4},KHP!W217,KHP!AA217,KHP!AE217,KHP!AI217)))</f>
        <v>0</v>
      </c>
      <c r="K217">
        <f>SUMPRODUCT((MONTH(CHOOSE({1,2,3,4},KHP!T217,KHP!X217,KHP!AB217,KHP!AF217))=11)*(CHOOSE({1,2,3,4},KHP!W217,KHP!AA217,KHP!AE217,KHP!AI217)))</f>
        <v>0</v>
      </c>
      <c r="L217">
        <f>SUMPRODUCT((MONTH(CHOOSE({1,2,3,4},KHP!T217,KHP!X217,KHP!AB217,KHP!AF217))=12)*(CHOOSE({1,2,3,4},KHP!W217,KHP!AA217,KHP!AE217,KHP!AI217)))</f>
        <v>0</v>
      </c>
    </row>
    <row r="218" spans="1:12">
      <c r="A218">
        <f>SUMPRODUCT((MONTH(CHOOSE({1,2,3,4},KHP!T218,KHP!X218,KHP!AB218,KHP!AF218))=1)*(CHOOSE({1,2,3,4},KHP!W218,KHP!AA218,KHP!AE218,KHP!AI218)))</f>
        <v>0</v>
      </c>
      <c r="B218">
        <f>SUMPRODUCT((MONTH(CHOOSE({1,2,3,4},KHP!T218,KHP!X218,KHP!AB218,KHP!AF218))=2)*(CHOOSE({1,2,3,4},KHP!W218,KHP!AA218,KHP!AE218,KHP!AI218)))</f>
        <v>0</v>
      </c>
      <c r="C218">
        <f>SUMPRODUCT((MONTH(CHOOSE({1,2,3,4},KHP!T218,KHP!X218,KHP!AB218,KHP!AF218))=3)*(CHOOSE({1,2,3,4},KHP!W218,KHP!AA218,KHP!AE218,KHP!AI218)))</f>
        <v>0</v>
      </c>
      <c r="D218">
        <f>SUMPRODUCT((MONTH(CHOOSE({1,2,3,4},KHP!T218,KHP!X218,KHP!AB218,KHP!AF218))=4)*(CHOOSE({1,2,3,4},KHP!W218,KHP!AA218,KHP!AE218,KHP!AI218)))</f>
        <v>0</v>
      </c>
      <c r="E218">
        <f>SUMPRODUCT((MONTH(CHOOSE({1,2,3,4},KHP!T218,KHP!X218,KHP!AB218,KHP!AF218))=5)*(CHOOSE({1,2,3,4},KHP!W218,KHP!AA218,KHP!AE218,KHP!AI218)))</f>
        <v>0</v>
      </c>
      <c r="F218">
        <f>SUMPRODUCT((MONTH(CHOOSE({1,2,3,4},KHP!T218,KHP!X218,KHP!AB218,KHP!AF218))=6)*(CHOOSE({1,2,3,4},KHP!W218,KHP!AA218,KHP!AE218,KHP!AI218)))</f>
        <v>0</v>
      </c>
      <c r="G218">
        <f>SUMPRODUCT((MONTH(CHOOSE({1,2,3,4},KHP!T218,KHP!X218,KHP!AB218,KHP!AF218))=7)*(CHOOSE({1,2,3,4},KHP!W218,KHP!AA218,KHP!AE218,KHP!AI218)))</f>
        <v>0</v>
      </c>
      <c r="H218">
        <f>SUMPRODUCT((MONTH(CHOOSE({1,2,3,4},KHP!T218,KHP!X218,KHP!AB218,KHP!AF218))=8)*(CHOOSE({1,2,3,4},KHP!W218,KHP!AA218,KHP!AE218,KHP!AI218)))</f>
        <v>0</v>
      </c>
      <c r="I218">
        <f>SUMPRODUCT((MONTH(CHOOSE({1,2,3,4},KHP!T218,KHP!X218,KHP!AB218,KHP!AF218))=9)*(CHOOSE({1,2,3,4},KHP!W218,KHP!AA218,KHP!AE218,KHP!AI218)))</f>
        <v>0</v>
      </c>
      <c r="J218">
        <f>SUMPRODUCT((MONTH(CHOOSE({1,2,3,4},KHP!T218,KHP!X218,KHP!AB218,KHP!AF218))=10)*(CHOOSE({1,2,3,4},KHP!W218,KHP!AA218,KHP!AE218,KHP!AI218)))</f>
        <v>0</v>
      </c>
      <c r="K218">
        <f>SUMPRODUCT((MONTH(CHOOSE({1,2,3,4},KHP!T218,KHP!X218,KHP!AB218,KHP!AF218))=11)*(CHOOSE({1,2,3,4},KHP!W218,KHP!AA218,KHP!AE218,KHP!AI218)))</f>
        <v>0</v>
      </c>
      <c r="L218">
        <f>SUMPRODUCT((MONTH(CHOOSE({1,2,3,4},KHP!T218,KHP!X218,KHP!AB218,KHP!AF218))=12)*(CHOOSE({1,2,3,4},KHP!W218,KHP!AA218,KHP!AE218,KHP!AI218)))</f>
        <v>0</v>
      </c>
    </row>
    <row r="219" spans="1:12">
      <c r="A219">
        <f>SUMPRODUCT((MONTH(CHOOSE({1,2,3,4},KHP!T219,KHP!X219,KHP!AB219,KHP!AF219))=1)*(CHOOSE({1,2,3,4},KHP!W219,KHP!AA219,KHP!AE219,KHP!AI219)))</f>
        <v>0</v>
      </c>
      <c r="B219">
        <f>SUMPRODUCT((MONTH(CHOOSE({1,2,3,4},KHP!T219,KHP!X219,KHP!AB219,KHP!AF219))=2)*(CHOOSE({1,2,3,4},KHP!W219,KHP!AA219,KHP!AE219,KHP!AI219)))</f>
        <v>0</v>
      </c>
      <c r="C219">
        <f>SUMPRODUCT((MONTH(CHOOSE({1,2,3,4},KHP!T219,KHP!X219,KHP!AB219,KHP!AF219))=3)*(CHOOSE({1,2,3,4},KHP!W219,KHP!AA219,KHP!AE219,KHP!AI219)))</f>
        <v>0</v>
      </c>
      <c r="D219">
        <f>SUMPRODUCT((MONTH(CHOOSE({1,2,3,4},KHP!T219,KHP!X219,KHP!AB219,KHP!AF219))=4)*(CHOOSE({1,2,3,4},KHP!W219,KHP!AA219,KHP!AE219,KHP!AI219)))</f>
        <v>0</v>
      </c>
      <c r="E219">
        <f>SUMPRODUCT((MONTH(CHOOSE({1,2,3,4},KHP!T219,KHP!X219,KHP!AB219,KHP!AF219))=5)*(CHOOSE({1,2,3,4},KHP!W219,KHP!AA219,KHP!AE219,KHP!AI219)))</f>
        <v>0</v>
      </c>
      <c r="F219">
        <f>SUMPRODUCT((MONTH(CHOOSE({1,2,3,4},KHP!T219,KHP!X219,KHP!AB219,KHP!AF219))=6)*(CHOOSE({1,2,3,4},KHP!W219,KHP!AA219,KHP!AE219,KHP!AI219)))</f>
        <v>0</v>
      </c>
      <c r="G219">
        <f>SUMPRODUCT((MONTH(CHOOSE({1,2,3,4},KHP!T219,KHP!X219,KHP!AB219,KHP!AF219))=7)*(CHOOSE({1,2,3,4},KHP!W219,KHP!AA219,KHP!AE219,KHP!AI219)))</f>
        <v>0</v>
      </c>
      <c r="H219">
        <f>SUMPRODUCT((MONTH(CHOOSE({1,2,3,4},KHP!T219,KHP!X219,KHP!AB219,KHP!AF219))=8)*(CHOOSE({1,2,3,4},KHP!W219,KHP!AA219,KHP!AE219,KHP!AI219)))</f>
        <v>0</v>
      </c>
      <c r="I219">
        <f>SUMPRODUCT((MONTH(CHOOSE({1,2,3,4},KHP!T219,KHP!X219,KHP!AB219,KHP!AF219))=9)*(CHOOSE({1,2,3,4},KHP!W219,KHP!AA219,KHP!AE219,KHP!AI219)))</f>
        <v>0</v>
      </c>
      <c r="J219">
        <f>SUMPRODUCT((MONTH(CHOOSE({1,2,3,4},KHP!T219,KHP!X219,KHP!AB219,KHP!AF219))=10)*(CHOOSE({1,2,3,4},KHP!W219,KHP!AA219,KHP!AE219,KHP!AI219)))</f>
        <v>0</v>
      </c>
      <c r="K219">
        <f>SUMPRODUCT((MONTH(CHOOSE({1,2,3,4},KHP!T219,KHP!X219,KHP!AB219,KHP!AF219))=11)*(CHOOSE({1,2,3,4},KHP!W219,KHP!AA219,KHP!AE219,KHP!AI219)))</f>
        <v>0</v>
      </c>
      <c r="L219">
        <f>SUMPRODUCT((MONTH(CHOOSE({1,2,3,4},KHP!T219,KHP!X219,KHP!AB219,KHP!AF219))=12)*(CHOOSE({1,2,3,4},KHP!W219,KHP!AA219,KHP!AE219,KHP!AI219)))</f>
        <v>0</v>
      </c>
    </row>
    <row r="220" spans="1:12">
      <c r="A220">
        <f>SUMPRODUCT((MONTH(CHOOSE({1,2,3,4},KHP!T220,KHP!X220,KHP!AB220,KHP!AF220))=1)*(CHOOSE({1,2,3,4},KHP!W220,KHP!AA220,KHP!AE220,KHP!AI220)))</f>
        <v>0</v>
      </c>
      <c r="B220">
        <f>SUMPRODUCT((MONTH(CHOOSE({1,2,3,4},KHP!T220,KHP!X220,KHP!AB220,KHP!AF220))=2)*(CHOOSE({1,2,3,4},KHP!W220,KHP!AA220,KHP!AE220,KHP!AI220)))</f>
        <v>0</v>
      </c>
      <c r="C220">
        <f>SUMPRODUCT((MONTH(CHOOSE({1,2,3,4},KHP!T220,KHP!X220,KHP!AB220,KHP!AF220))=3)*(CHOOSE({1,2,3,4},KHP!W220,KHP!AA220,KHP!AE220,KHP!AI220)))</f>
        <v>0</v>
      </c>
      <c r="D220">
        <f>SUMPRODUCT((MONTH(CHOOSE({1,2,3,4},KHP!T220,KHP!X220,KHP!AB220,KHP!AF220))=4)*(CHOOSE({1,2,3,4},KHP!W220,KHP!AA220,KHP!AE220,KHP!AI220)))</f>
        <v>0</v>
      </c>
      <c r="E220">
        <f>SUMPRODUCT((MONTH(CHOOSE({1,2,3,4},KHP!T220,KHP!X220,KHP!AB220,KHP!AF220))=5)*(CHOOSE({1,2,3,4},KHP!W220,KHP!AA220,KHP!AE220,KHP!AI220)))</f>
        <v>0</v>
      </c>
      <c r="F220">
        <f>SUMPRODUCT((MONTH(CHOOSE({1,2,3,4},KHP!T220,KHP!X220,KHP!AB220,KHP!AF220))=6)*(CHOOSE({1,2,3,4},KHP!W220,KHP!AA220,KHP!AE220,KHP!AI220)))</f>
        <v>0</v>
      </c>
      <c r="G220">
        <f>SUMPRODUCT((MONTH(CHOOSE({1,2,3,4},KHP!T220,KHP!X220,KHP!AB220,KHP!AF220))=7)*(CHOOSE({1,2,3,4},KHP!W220,KHP!AA220,KHP!AE220,KHP!AI220)))</f>
        <v>0</v>
      </c>
      <c r="H220">
        <f>SUMPRODUCT((MONTH(CHOOSE({1,2,3,4},KHP!T220,KHP!X220,KHP!AB220,KHP!AF220))=8)*(CHOOSE({1,2,3,4},KHP!W220,KHP!AA220,KHP!AE220,KHP!AI220)))</f>
        <v>0</v>
      </c>
      <c r="I220">
        <f>SUMPRODUCT((MONTH(CHOOSE({1,2,3,4},KHP!T220,KHP!X220,KHP!AB220,KHP!AF220))=9)*(CHOOSE({1,2,3,4},KHP!W220,KHP!AA220,KHP!AE220,KHP!AI220)))</f>
        <v>0</v>
      </c>
      <c r="J220">
        <f>SUMPRODUCT((MONTH(CHOOSE({1,2,3,4},KHP!T220,KHP!X220,KHP!AB220,KHP!AF220))=10)*(CHOOSE({1,2,3,4},KHP!W220,KHP!AA220,KHP!AE220,KHP!AI220)))</f>
        <v>0</v>
      </c>
      <c r="K220">
        <f>SUMPRODUCT((MONTH(CHOOSE({1,2,3,4},KHP!T220,KHP!X220,KHP!AB220,KHP!AF220))=11)*(CHOOSE({1,2,3,4},KHP!W220,KHP!AA220,KHP!AE220,KHP!AI220)))</f>
        <v>0</v>
      </c>
      <c r="L220">
        <f>SUMPRODUCT((MONTH(CHOOSE({1,2,3,4},KHP!T220,KHP!X220,KHP!AB220,KHP!AF220))=12)*(CHOOSE({1,2,3,4},KHP!W220,KHP!AA220,KHP!AE220,KHP!AI220)))</f>
        <v>0</v>
      </c>
    </row>
    <row r="221" spans="1:12">
      <c r="A221">
        <f>SUMPRODUCT((MONTH(CHOOSE({1,2,3,4},KHP!T221,KHP!X221,KHP!AB221,KHP!AF221))=1)*(CHOOSE({1,2,3,4},KHP!W221,KHP!AA221,KHP!AE221,KHP!AI221)))</f>
        <v>0</v>
      </c>
      <c r="B221">
        <f>SUMPRODUCT((MONTH(CHOOSE({1,2,3,4},KHP!T221,KHP!X221,KHP!AB221,KHP!AF221))=2)*(CHOOSE({1,2,3,4},KHP!W221,KHP!AA221,KHP!AE221,KHP!AI221)))</f>
        <v>0</v>
      </c>
      <c r="C221">
        <f>SUMPRODUCT((MONTH(CHOOSE({1,2,3,4},KHP!T221,KHP!X221,KHP!AB221,KHP!AF221))=3)*(CHOOSE({1,2,3,4},KHP!W221,KHP!AA221,KHP!AE221,KHP!AI221)))</f>
        <v>0</v>
      </c>
      <c r="D221">
        <f>SUMPRODUCT((MONTH(CHOOSE({1,2,3,4},KHP!T221,KHP!X221,KHP!AB221,KHP!AF221))=4)*(CHOOSE({1,2,3,4},KHP!W221,KHP!AA221,KHP!AE221,KHP!AI221)))</f>
        <v>0</v>
      </c>
      <c r="E221">
        <f>SUMPRODUCT((MONTH(CHOOSE({1,2,3,4},KHP!T221,KHP!X221,KHP!AB221,KHP!AF221))=5)*(CHOOSE({1,2,3,4},KHP!W221,KHP!AA221,KHP!AE221,KHP!AI221)))</f>
        <v>0</v>
      </c>
      <c r="F221">
        <f>SUMPRODUCT((MONTH(CHOOSE({1,2,3,4},KHP!T221,KHP!X221,KHP!AB221,KHP!AF221))=6)*(CHOOSE({1,2,3,4},KHP!W221,KHP!AA221,KHP!AE221,KHP!AI221)))</f>
        <v>0</v>
      </c>
      <c r="G221">
        <f>SUMPRODUCT((MONTH(CHOOSE({1,2,3,4},KHP!T221,KHP!X221,KHP!AB221,KHP!AF221))=7)*(CHOOSE({1,2,3,4},KHP!W221,KHP!AA221,KHP!AE221,KHP!AI221)))</f>
        <v>0</v>
      </c>
      <c r="H221">
        <f>SUMPRODUCT((MONTH(CHOOSE({1,2,3,4},KHP!T221,KHP!X221,KHP!AB221,KHP!AF221))=8)*(CHOOSE({1,2,3,4},KHP!W221,KHP!AA221,KHP!AE221,KHP!AI221)))</f>
        <v>0</v>
      </c>
      <c r="I221">
        <f>SUMPRODUCT((MONTH(CHOOSE({1,2,3,4},KHP!T221,KHP!X221,KHP!AB221,KHP!AF221))=9)*(CHOOSE({1,2,3,4},KHP!W221,KHP!AA221,KHP!AE221,KHP!AI221)))</f>
        <v>0</v>
      </c>
      <c r="J221">
        <f>SUMPRODUCT((MONTH(CHOOSE({1,2,3,4},KHP!T221,KHP!X221,KHP!AB221,KHP!AF221))=10)*(CHOOSE({1,2,3,4},KHP!W221,KHP!AA221,KHP!AE221,KHP!AI221)))</f>
        <v>0</v>
      </c>
      <c r="K221">
        <f>SUMPRODUCT((MONTH(CHOOSE({1,2,3,4},KHP!T221,KHP!X221,KHP!AB221,KHP!AF221))=11)*(CHOOSE({1,2,3,4},KHP!W221,KHP!AA221,KHP!AE221,KHP!AI221)))</f>
        <v>0</v>
      </c>
      <c r="L221">
        <f>SUMPRODUCT((MONTH(CHOOSE({1,2,3,4},KHP!T221,KHP!X221,KHP!AB221,KHP!AF221))=12)*(CHOOSE({1,2,3,4},KHP!W221,KHP!AA221,KHP!AE221,KHP!AI221)))</f>
        <v>0</v>
      </c>
    </row>
    <row r="222" spans="1:12">
      <c r="A222">
        <f>SUMPRODUCT((MONTH(CHOOSE({1,2,3,4},KHP!T222,KHP!X222,KHP!AB222,KHP!AF222))=1)*(CHOOSE({1,2,3,4},KHP!W222,KHP!AA222,KHP!AE222,KHP!AI222)))</f>
        <v>0</v>
      </c>
      <c r="B222">
        <f>SUMPRODUCT((MONTH(CHOOSE({1,2,3,4},KHP!T222,KHP!X222,KHP!AB222,KHP!AF222))=2)*(CHOOSE({1,2,3,4},KHP!W222,KHP!AA222,KHP!AE222,KHP!AI222)))</f>
        <v>0</v>
      </c>
      <c r="C222">
        <f>SUMPRODUCT((MONTH(CHOOSE({1,2,3,4},KHP!T222,KHP!X222,KHP!AB222,KHP!AF222))=3)*(CHOOSE({1,2,3,4},KHP!W222,KHP!AA222,KHP!AE222,KHP!AI222)))</f>
        <v>0</v>
      </c>
      <c r="D222">
        <f>SUMPRODUCT((MONTH(CHOOSE({1,2,3,4},KHP!T222,KHP!X222,KHP!AB222,KHP!AF222))=4)*(CHOOSE({1,2,3,4},KHP!W222,KHP!AA222,KHP!AE222,KHP!AI222)))</f>
        <v>0</v>
      </c>
      <c r="E222">
        <f>SUMPRODUCT((MONTH(CHOOSE({1,2,3,4},KHP!T222,KHP!X222,KHP!AB222,KHP!AF222))=5)*(CHOOSE({1,2,3,4},KHP!W222,KHP!AA222,KHP!AE222,KHP!AI222)))</f>
        <v>0</v>
      </c>
      <c r="F222">
        <f>SUMPRODUCT((MONTH(CHOOSE({1,2,3,4},KHP!T222,KHP!X222,KHP!AB222,KHP!AF222))=6)*(CHOOSE({1,2,3,4},KHP!W222,KHP!AA222,KHP!AE222,KHP!AI222)))</f>
        <v>0</v>
      </c>
      <c r="G222">
        <f>SUMPRODUCT((MONTH(CHOOSE({1,2,3,4},KHP!T222,KHP!X222,KHP!AB222,KHP!AF222))=7)*(CHOOSE({1,2,3,4},KHP!W222,KHP!AA222,KHP!AE222,KHP!AI222)))</f>
        <v>0</v>
      </c>
      <c r="H222">
        <f>SUMPRODUCT((MONTH(CHOOSE({1,2,3,4},KHP!T222,KHP!X222,KHP!AB222,KHP!AF222))=8)*(CHOOSE({1,2,3,4},KHP!W222,KHP!AA222,KHP!AE222,KHP!AI222)))</f>
        <v>0</v>
      </c>
      <c r="I222">
        <f>SUMPRODUCT((MONTH(CHOOSE({1,2,3,4},KHP!T222,KHP!X222,KHP!AB222,KHP!AF222))=9)*(CHOOSE({1,2,3,4},KHP!W222,KHP!AA222,KHP!AE222,KHP!AI222)))</f>
        <v>0</v>
      </c>
      <c r="J222">
        <f>SUMPRODUCT((MONTH(CHOOSE({1,2,3,4},KHP!T222,KHP!X222,KHP!AB222,KHP!AF222))=10)*(CHOOSE({1,2,3,4},KHP!W222,KHP!AA222,KHP!AE222,KHP!AI222)))</f>
        <v>0</v>
      </c>
      <c r="K222">
        <f>SUMPRODUCT((MONTH(CHOOSE({1,2,3,4},KHP!T222,KHP!X222,KHP!AB222,KHP!AF222))=11)*(CHOOSE({1,2,3,4},KHP!W222,KHP!AA222,KHP!AE222,KHP!AI222)))</f>
        <v>0</v>
      </c>
      <c r="L222">
        <f>SUMPRODUCT((MONTH(CHOOSE({1,2,3,4},KHP!T222,KHP!X222,KHP!AB222,KHP!AF222))=12)*(CHOOSE({1,2,3,4},KHP!W222,KHP!AA222,KHP!AE222,KHP!AI222)))</f>
        <v>0</v>
      </c>
    </row>
    <row r="223" spans="1:12">
      <c r="A223">
        <f>SUMPRODUCT((MONTH(CHOOSE({1,2,3,4},KHP!T223,KHP!X223,KHP!AB223,KHP!AF223))=1)*(CHOOSE({1,2,3,4},KHP!W223,KHP!AA223,KHP!AE223,KHP!AI223)))</f>
        <v>0</v>
      </c>
      <c r="B223">
        <f>SUMPRODUCT((MONTH(CHOOSE({1,2,3,4},KHP!T223,KHP!X223,KHP!AB223,KHP!AF223))=2)*(CHOOSE({1,2,3,4},KHP!W223,KHP!AA223,KHP!AE223,KHP!AI223)))</f>
        <v>0</v>
      </c>
      <c r="C223">
        <f>SUMPRODUCT((MONTH(CHOOSE({1,2,3,4},KHP!T223,KHP!X223,KHP!AB223,KHP!AF223))=3)*(CHOOSE({1,2,3,4},KHP!W223,KHP!AA223,KHP!AE223,KHP!AI223)))</f>
        <v>0</v>
      </c>
      <c r="D223">
        <f>SUMPRODUCT((MONTH(CHOOSE({1,2,3,4},KHP!T223,KHP!X223,KHP!AB223,KHP!AF223))=4)*(CHOOSE({1,2,3,4},KHP!W223,KHP!AA223,KHP!AE223,KHP!AI223)))</f>
        <v>0</v>
      </c>
      <c r="E223">
        <f>SUMPRODUCT((MONTH(CHOOSE({1,2,3,4},KHP!T223,KHP!X223,KHP!AB223,KHP!AF223))=5)*(CHOOSE({1,2,3,4},KHP!W223,KHP!AA223,KHP!AE223,KHP!AI223)))</f>
        <v>0</v>
      </c>
      <c r="F223">
        <f>SUMPRODUCT((MONTH(CHOOSE({1,2,3,4},KHP!T223,KHP!X223,KHP!AB223,KHP!AF223))=6)*(CHOOSE({1,2,3,4},KHP!W223,KHP!AA223,KHP!AE223,KHP!AI223)))</f>
        <v>0</v>
      </c>
      <c r="G223">
        <f>SUMPRODUCT((MONTH(CHOOSE({1,2,3,4},KHP!T223,KHP!X223,KHP!AB223,KHP!AF223))=7)*(CHOOSE({1,2,3,4},KHP!W223,KHP!AA223,KHP!AE223,KHP!AI223)))</f>
        <v>0</v>
      </c>
      <c r="H223">
        <f>SUMPRODUCT((MONTH(CHOOSE({1,2,3,4},KHP!T223,KHP!X223,KHP!AB223,KHP!AF223))=8)*(CHOOSE({1,2,3,4},KHP!W223,KHP!AA223,KHP!AE223,KHP!AI223)))</f>
        <v>0</v>
      </c>
      <c r="I223">
        <f>SUMPRODUCT((MONTH(CHOOSE({1,2,3,4},KHP!T223,KHP!X223,KHP!AB223,KHP!AF223))=9)*(CHOOSE({1,2,3,4},KHP!W223,KHP!AA223,KHP!AE223,KHP!AI223)))</f>
        <v>0</v>
      </c>
      <c r="J223">
        <f>SUMPRODUCT((MONTH(CHOOSE({1,2,3,4},KHP!T223,KHP!X223,KHP!AB223,KHP!AF223))=10)*(CHOOSE({1,2,3,4},KHP!W223,KHP!AA223,KHP!AE223,KHP!AI223)))</f>
        <v>0</v>
      </c>
      <c r="K223">
        <f>SUMPRODUCT((MONTH(CHOOSE({1,2,3,4},KHP!T223,KHP!X223,KHP!AB223,KHP!AF223))=11)*(CHOOSE({1,2,3,4},KHP!W223,KHP!AA223,KHP!AE223,KHP!AI223)))</f>
        <v>0</v>
      </c>
      <c r="L223">
        <f>SUMPRODUCT((MONTH(CHOOSE({1,2,3,4},KHP!T223,KHP!X223,KHP!AB223,KHP!AF223))=12)*(CHOOSE({1,2,3,4},KHP!W223,KHP!AA223,KHP!AE223,KHP!AI223)))</f>
        <v>0</v>
      </c>
    </row>
    <row r="224" spans="1:12">
      <c r="A224">
        <f>SUMPRODUCT((MONTH(CHOOSE({1,2,3,4},KHP!T224,KHP!X224,KHP!AB224,KHP!AF224))=1)*(CHOOSE({1,2,3,4},KHP!W224,KHP!AA224,KHP!AE224,KHP!AI224)))</f>
        <v>0</v>
      </c>
      <c r="B224">
        <f>SUMPRODUCT((MONTH(CHOOSE({1,2,3,4},KHP!T224,KHP!X224,KHP!AB224,KHP!AF224))=2)*(CHOOSE({1,2,3,4},KHP!W224,KHP!AA224,KHP!AE224,KHP!AI224)))</f>
        <v>0</v>
      </c>
      <c r="C224">
        <f>SUMPRODUCT((MONTH(CHOOSE({1,2,3,4},KHP!T224,KHP!X224,KHP!AB224,KHP!AF224))=3)*(CHOOSE({1,2,3,4},KHP!W224,KHP!AA224,KHP!AE224,KHP!AI224)))</f>
        <v>0</v>
      </c>
      <c r="D224">
        <f>SUMPRODUCT((MONTH(CHOOSE({1,2,3,4},KHP!T224,KHP!X224,KHP!AB224,KHP!AF224))=4)*(CHOOSE({1,2,3,4},KHP!W224,KHP!AA224,KHP!AE224,KHP!AI224)))</f>
        <v>0</v>
      </c>
      <c r="E224">
        <f>SUMPRODUCT((MONTH(CHOOSE({1,2,3,4},KHP!T224,KHP!X224,KHP!AB224,KHP!AF224))=5)*(CHOOSE({1,2,3,4},KHP!W224,KHP!AA224,KHP!AE224,KHP!AI224)))</f>
        <v>0</v>
      </c>
      <c r="F224">
        <f>SUMPRODUCT((MONTH(CHOOSE({1,2,3,4},KHP!T224,KHP!X224,KHP!AB224,KHP!AF224))=6)*(CHOOSE({1,2,3,4},KHP!W224,KHP!AA224,KHP!AE224,KHP!AI224)))</f>
        <v>0</v>
      </c>
      <c r="G224">
        <f>SUMPRODUCT((MONTH(CHOOSE({1,2,3,4},KHP!T224,KHP!X224,KHP!AB224,KHP!AF224))=7)*(CHOOSE({1,2,3,4},KHP!W224,KHP!AA224,KHP!AE224,KHP!AI224)))</f>
        <v>0</v>
      </c>
      <c r="H224">
        <f>SUMPRODUCT((MONTH(CHOOSE({1,2,3,4},KHP!T224,KHP!X224,KHP!AB224,KHP!AF224))=8)*(CHOOSE({1,2,3,4},KHP!W224,KHP!AA224,KHP!AE224,KHP!AI224)))</f>
        <v>0</v>
      </c>
      <c r="I224">
        <f>SUMPRODUCT((MONTH(CHOOSE({1,2,3,4},KHP!T224,KHP!X224,KHP!AB224,KHP!AF224))=9)*(CHOOSE({1,2,3,4},KHP!W224,KHP!AA224,KHP!AE224,KHP!AI224)))</f>
        <v>0</v>
      </c>
      <c r="J224">
        <f>SUMPRODUCT((MONTH(CHOOSE({1,2,3,4},KHP!T224,KHP!X224,KHP!AB224,KHP!AF224))=10)*(CHOOSE({1,2,3,4},KHP!W224,KHP!AA224,KHP!AE224,KHP!AI224)))</f>
        <v>0</v>
      </c>
      <c r="K224">
        <f>SUMPRODUCT((MONTH(CHOOSE({1,2,3,4},KHP!T224,KHP!X224,KHP!AB224,KHP!AF224))=11)*(CHOOSE({1,2,3,4},KHP!W224,KHP!AA224,KHP!AE224,KHP!AI224)))</f>
        <v>0</v>
      </c>
      <c r="L224">
        <f>SUMPRODUCT((MONTH(CHOOSE({1,2,3,4},KHP!T224,KHP!X224,KHP!AB224,KHP!AF224))=12)*(CHOOSE({1,2,3,4},KHP!W224,KHP!AA224,KHP!AE224,KHP!AI224)))</f>
        <v>0</v>
      </c>
    </row>
    <row r="225" spans="1:12">
      <c r="A225">
        <f>SUMPRODUCT((MONTH(CHOOSE({1,2,3,4},KHP!T225,KHP!X225,KHP!AB225,KHP!AF225))=1)*(CHOOSE({1,2,3,4},KHP!W225,KHP!AA225,KHP!AE225,KHP!AI225)))</f>
        <v>0</v>
      </c>
      <c r="B225">
        <f>SUMPRODUCT((MONTH(CHOOSE({1,2,3,4},KHP!T225,KHP!X225,KHP!AB225,KHP!AF225))=2)*(CHOOSE({1,2,3,4},KHP!W225,KHP!AA225,KHP!AE225,KHP!AI225)))</f>
        <v>0</v>
      </c>
      <c r="C225">
        <f>SUMPRODUCT((MONTH(CHOOSE({1,2,3,4},KHP!T225,KHP!X225,KHP!AB225,KHP!AF225))=3)*(CHOOSE({1,2,3,4},KHP!W225,KHP!AA225,KHP!AE225,KHP!AI225)))</f>
        <v>0</v>
      </c>
      <c r="D225">
        <f>SUMPRODUCT((MONTH(CHOOSE({1,2,3,4},KHP!T225,KHP!X225,KHP!AB225,KHP!AF225))=4)*(CHOOSE({1,2,3,4},KHP!W225,KHP!AA225,KHP!AE225,KHP!AI225)))</f>
        <v>0</v>
      </c>
      <c r="E225">
        <f>SUMPRODUCT((MONTH(CHOOSE({1,2,3,4},KHP!T225,KHP!X225,KHP!AB225,KHP!AF225))=5)*(CHOOSE({1,2,3,4},KHP!W225,KHP!AA225,KHP!AE225,KHP!AI225)))</f>
        <v>0</v>
      </c>
      <c r="F225">
        <f>SUMPRODUCT((MONTH(CHOOSE({1,2,3,4},KHP!T225,KHP!X225,KHP!AB225,KHP!AF225))=6)*(CHOOSE({1,2,3,4},KHP!W225,KHP!AA225,KHP!AE225,KHP!AI225)))</f>
        <v>0</v>
      </c>
      <c r="G225">
        <f>SUMPRODUCT((MONTH(CHOOSE({1,2,3,4},KHP!T225,KHP!X225,KHP!AB225,KHP!AF225))=7)*(CHOOSE({1,2,3,4},KHP!W225,KHP!AA225,KHP!AE225,KHP!AI225)))</f>
        <v>0</v>
      </c>
      <c r="H225">
        <f>SUMPRODUCT((MONTH(CHOOSE({1,2,3,4},KHP!T225,KHP!X225,KHP!AB225,KHP!AF225))=8)*(CHOOSE({1,2,3,4},KHP!W225,KHP!AA225,KHP!AE225,KHP!AI225)))</f>
        <v>0</v>
      </c>
      <c r="I225">
        <f>SUMPRODUCT((MONTH(CHOOSE({1,2,3,4},KHP!T225,KHP!X225,KHP!AB225,KHP!AF225))=9)*(CHOOSE({1,2,3,4},KHP!W225,KHP!AA225,KHP!AE225,KHP!AI225)))</f>
        <v>0</v>
      </c>
      <c r="J225">
        <f>SUMPRODUCT((MONTH(CHOOSE({1,2,3,4},KHP!T225,KHP!X225,KHP!AB225,KHP!AF225))=10)*(CHOOSE({1,2,3,4},KHP!W225,KHP!AA225,KHP!AE225,KHP!AI225)))</f>
        <v>0</v>
      </c>
      <c r="K225">
        <f>SUMPRODUCT((MONTH(CHOOSE({1,2,3,4},KHP!T225,KHP!X225,KHP!AB225,KHP!AF225))=11)*(CHOOSE({1,2,3,4},KHP!W225,KHP!AA225,KHP!AE225,KHP!AI225)))</f>
        <v>0</v>
      </c>
      <c r="L225">
        <f>SUMPRODUCT((MONTH(CHOOSE({1,2,3,4},KHP!T225,KHP!X225,KHP!AB225,KHP!AF225))=12)*(CHOOSE({1,2,3,4},KHP!W225,KHP!AA225,KHP!AE225,KHP!AI225)))</f>
        <v>0</v>
      </c>
    </row>
    <row r="226" spans="1:12">
      <c r="A226">
        <f>SUMPRODUCT((MONTH(CHOOSE({1,2,3,4},KHP!T226,KHP!X226,KHP!AB226,KHP!AF226))=1)*(CHOOSE({1,2,3,4},KHP!W226,KHP!AA226,KHP!AE226,KHP!AI226)))</f>
        <v>0</v>
      </c>
      <c r="B226">
        <f>SUMPRODUCT((MONTH(CHOOSE({1,2,3,4},KHP!T226,KHP!X226,KHP!AB226,KHP!AF226))=2)*(CHOOSE({1,2,3,4},KHP!W226,KHP!AA226,KHP!AE226,KHP!AI226)))</f>
        <v>0</v>
      </c>
      <c r="C226">
        <f>SUMPRODUCT((MONTH(CHOOSE({1,2,3,4},KHP!T226,KHP!X226,KHP!AB226,KHP!AF226))=3)*(CHOOSE({1,2,3,4},KHP!W226,KHP!AA226,KHP!AE226,KHP!AI226)))</f>
        <v>0</v>
      </c>
      <c r="D226">
        <f>SUMPRODUCT((MONTH(CHOOSE({1,2,3,4},KHP!T226,KHP!X226,KHP!AB226,KHP!AF226))=4)*(CHOOSE({1,2,3,4},KHP!W226,KHP!AA226,KHP!AE226,KHP!AI226)))</f>
        <v>0</v>
      </c>
      <c r="E226">
        <f>SUMPRODUCT((MONTH(CHOOSE({1,2,3,4},KHP!T226,KHP!X226,KHP!AB226,KHP!AF226))=5)*(CHOOSE({1,2,3,4},KHP!W226,KHP!AA226,KHP!AE226,KHP!AI226)))</f>
        <v>0</v>
      </c>
      <c r="F226">
        <f>SUMPRODUCT((MONTH(CHOOSE({1,2,3,4},KHP!T226,KHP!X226,KHP!AB226,KHP!AF226))=6)*(CHOOSE({1,2,3,4},KHP!W226,KHP!AA226,KHP!AE226,KHP!AI226)))</f>
        <v>0</v>
      </c>
      <c r="G226">
        <f>SUMPRODUCT((MONTH(CHOOSE({1,2,3,4},KHP!T226,KHP!X226,KHP!AB226,KHP!AF226))=7)*(CHOOSE({1,2,3,4},KHP!W226,KHP!AA226,KHP!AE226,KHP!AI226)))</f>
        <v>0</v>
      </c>
      <c r="H226">
        <f>SUMPRODUCT((MONTH(CHOOSE({1,2,3,4},KHP!T226,KHP!X226,KHP!AB226,KHP!AF226))=8)*(CHOOSE({1,2,3,4},KHP!W226,KHP!AA226,KHP!AE226,KHP!AI226)))</f>
        <v>0</v>
      </c>
      <c r="I226">
        <f>SUMPRODUCT((MONTH(CHOOSE({1,2,3,4},KHP!T226,KHP!X226,KHP!AB226,KHP!AF226))=9)*(CHOOSE({1,2,3,4},KHP!W226,KHP!AA226,KHP!AE226,KHP!AI226)))</f>
        <v>0</v>
      </c>
      <c r="J226">
        <f>SUMPRODUCT((MONTH(CHOOSE({1,2,3,4},KHP!T226,KHP!X226,KHP!AB226,KHP!AF226))=10)*(CHOOSE({1,2,3,4},KHP!W226,KHP!AA226,KHP!AE226,KHP!AI226)))</f>
        <v>0</v>
      </c>
      <c r="K226">
        <f>SUMPRODUCT((MONTH(CHOOSE({1,2,3,4},KHP!T226,KHP!X226,KHP!AB226,KHP!AF226))=11)*(CHOOSE({1,2,3,4},KHP!W226,KHP!AA226,KHP!AE226,KHP!AI226)))</f>
        <v>0</v>
      </c>
      <c r="L226">
        <f>SUMPRODUCT((MONTH(CHOOSE({1,2,3,4},KHP!T226,KHP!X226,KHP!AB226,KHP!AF226))=12)*(CHOOSE({1,2,3,4},KHP!W226,KHP!AA226,KHP!AE226,KHP!AI226)))</f>
        <v>0</v>
      </c>
    </row>
    <row r="227" spans="1:12">
      <c r="A227">
        <f>SUMPRODUCT((MONTH(CHOOSE({1,2,3,4},KHP!T227,KHP!X227,KHP!AB227,KHP!AF227))=1)*(CHOOSE({1,2,3,4},KHP!W227,KHP!AA227,KHP!AE227,KHP!AI227)))</f>
        <v>0</v>
      </c>
      <c r="B227">
        <f>SUMPRODUCT((MONTH(CHOOSE({1,2,3,4},KHP!T227,KHP!X227,KHP!AB227,KHP!AF227))=2)*(CHOOSE({1,2,3,4},KHP!W227,KHP!AA227,KHP!AE227,KHP!AI227)))</f>
        <v>0</v>
      </c>
      <c r="C227">
        <f>SUMPRODUCT((MONTH(CHOOSE({1,2,3,4},KHP!T227,KHP!X227,KHP!AB227,KHP!AF227))=3)*(CHOOSE({1,2,3,4},KHP!W227,KHP!AA227,KHP!AE227,KHP!AI227)))</f>
        <v>0</v>
      </c>
      <c r="D227">
        <f>SUMPRODUCT((MONTH(CHOOSE({1,2,3,4},KHP!T227,KHP!X227,KHP!AB227,KHP!AF227))=4)*(CHOOSE({1,2,3,4},KHP!W227,KHP!AA227,KHP!AE227,KHP!AI227)))</f>
        <v>0</v>
      </c>
      <c r="E227">
        <f>SUMPRODUCT((MONTH(CHOOSE({1,2,3,4},KHP!T227,KHP!X227,KHP!AB227,KHP!AF227))=5)*(CHOOSE({1,2,3,4},KHP!W227,KHP!AA227,KHP!AE227,KHP!AI227)))</f>
        <v>0</v>
      </c>
      <c r="F227">
        <f>SUMPRODUCT((MONTH(CHOOSE({1,2,3,4},KHP!T227,KHP!X227,KHP!AB227,KHP!AF227))=6)*(CHOOSE({1,2,3,4},KHP!W227,KHP!AA227,KHP!AE227,KHP!AI227)))</f>
        <v>0</v>
      </c>
      <c r="G227">
        <f>SUMPRODUCT((MONTH(CHOOSE({1,2,3,4},KHP!T227,KHP!X227,KHP!AB227,KHP!AF227))=7)*(CHOOSE({1,2,3,4},KHP!W227,KHP!AA227,KHP!AE227,KHP!AI227)))</f>
        <v>0</v>
      </c>
      <c r="H227">
        <f>SUMPRODUCT((MONTH(CHOOSE({1,2,3,4},KHP!T227,KHP!X227,KHP!AB227,KHP!AF227))=8)*(CHOOSE({1,2,3,4},KHP!W227,KHP!AA227,KHP!AE227,KHP!AI227)))</f>
        <v>0</v>
      </c>
      <c r="I227">
        <f>SUMPRODUCT((MONTH(CHOOSE({1,2,3,4},KHP!T227,KHP!X227,KHP!AB227,KHP!AF227))=9)*(CHOOSE({1,2,3,4},KHP!W227,KHP!AA227,KHP!AE227,KHP!AI227)))</f>
        <v>0</v>
      </c>
      <c r="J227">
        <f>SUMPRODUCT((MONTH(CHOOSE({1,2,3,4},KHP!T227,KHP!X227,KHP!AB227,KHP!AF227))=10)*(CHOOSE({1,2,3,4},KHP!W227,KHP!AA227,KHP!AE227,KHP!AI227)))</f>
        <v>0</v>
      </c>
      <c r="K227">
        <f>SUMPRODUCT((MONTH(CHOOSE({1,2,3,4},KHP!T227,KHP!X227,KHP!AB227,KHP!AF227))=11)*(CHOOSE({1,2,3,4},KHP!W227,KHP!AA227,KHP!AE227,KHP!AI227)))</f>
        <v>0</v>
      </c>
      <c r="L227">
        <f>SUMPRODUCT((MONTH(CHOOSE({1,2,3,4},KHP!T227,KHP!X227,KHP!AB227,KHP!AF227))=12)*(CHOOSE({1,2,3,4},KHP!W227,KHP!AA227,KHP!AE227,KHP!AI227)))</f>
        <v>0</v>
      </c>
    </row>
    <row r="228" spans="1:12">
      <c r="A228">
        <f>SUMPRODUCT((MONTH(CHOOSE({1,2,3,4},KHP!T228,KHP!X228,KHP!AB228,KHP!AF228))=1)*(CHOOSE({1,2,3,4},KHP!W228,KHP!AA228,KHP!AE228,KHP!AI228)))</f>
        <v>0</v>
      </c>
      <c r="B228">
        <f>SUMPRODUCT((MONTH(CHOOSE({1,2,3,4},KHP!T228,KHP!X228,KHP!AB228,KHP!AF228))=2)*(CHOOSE({1,2,3,4},KHP!W228,KHP!AA228,KHP!AE228,KHP!AI228)))</f>
        <v>0</v>
      </c>
      <c r="C228">
        <f>SUMPRODUCT((MONTH(CHOOSE({1,2,3,4},KHP!T228,KHP!X228,KHP!AB228,KHP!AF228))=3)*(CHOOSE({1,2,3,4},KHP!W228,KHP!AA228,KHP!AE228,KHP!AI228)))</f>
        <v>0</v>
      </c>
      <c r="D228">
        <f>SUMPRODUCT((MONTH(CHOOSE({1,2,3,4},KHP!T228,KHP!X228,KHP!AB228,KHP!AF228))=4)*(CHOOSE({1,2,3,4},KHP!W228,KHP!AA228,KHP!AE228,KHP!AI228)))</f>
        <v>0</v>
      </c>
      <c r="E228">
        <f>SUMPRODUCT((MONTH(CHOOSE({1,2,3,4},KHP!T228,KHP!X228,KHP!AB228,KHP!AF228))=5)*(CHOOSE({1,2,3,4},KHP!W228,KHP!AA228,KHP!AE228,KHP!AI228)))</f>
        <v>0</v>
      </c>
      <c r="F228">
        <f>SUMPRODUCT((MONTH(CHOOSE({1,2,3,4},KHP!T228,KHP!X228,KHP!AB228,KHP!AF228))=6)*(CHOOSE({1,2,3,4},KHP!W228,KHP!AA228,KHP!AE228,KHP!AI228)))</f>
        <v>0</v>
      </c>
      <c r="G228">
        <f>SUMPRODUCT((MONTH(CHOOSE({1,2,3,4},KHP!T228,KHP!X228,KHP!AB228,KHP!AF228))=7)*(CHOOSE({1,2,3,4},KHP!W228,KHP!AA228,KHP!AE228,KHP!AI228)))</f>
        <v>0</v>
      </c>
      <c r="H228">
        <f>SUMPRODUCT((MONTH(CHOOSE({1,2,3,4},KHP!T228,KHP!X228,KHP!AB228,KHP!AF228))=8)*(CHOOSE({1,2,3,4},KHP!W228,KHP!AA228,KHP!AE228,KHP!AI228)))</f>
        <v>0</v>
      </c>
      <c r="I228">
        <f>SUMPRODUCT((MONTH(CHOOSE({1,2,3,4},KHP!T228,KHP!X228,KHP!AB228,KHP!AF228))=9)*(CHOOSE({1,2,3,4},KHP!W228,KHP!AA228,KHP!AE228,KHP!AI228)))</f>
        <v>0</v>
      </c>
      <c r="J228">
        <f>SUMPRODUCT((MONTH(CHOOSE({1,2,3,4},KHP!T228,KHP!X228,KHP!AB228,KHP!AF228))=10)*(CHOOSE({1,2,3,4},KHP!W228,KHP!AA228,KHP!AE228,KHP!AI228)))</f>
        <v>0</v>
      </c>
      <c r="K228">
        <f>SUMPRODUCT((MONTH(CHOOSE({1,2,3,4},KHP!T228,KHP!X228,KHP!AB228,KHP!AF228))=11)*(CHOOSE({1,2,3,4},KHP!W228,KHP!AA228,KHP!AE228,KHP!AI228)))</f>
        <v>0</v>
      </c>
      <c r="L228">
        <f>SUMPRODUCT((MONTH(CHOOSE({1,2,3,4},KHP!T228,KHP!X228,KHP!AB228,KHP!AF228))=12)*(CHOOSE({1,2,3,4},KHP!W228,KHP!AA228,KHP!AE228,KHP!AI228)))</f>
        <v>0</v>
      </c>
    </row>
    <row r="229" spans="1:12">
      <c r="A229">
        <f>SUMPRODUCT((MONTH(CHOOSE({1,2,3,4},KHP!T229,KHP!X229,KHP!AB229,KHP!AF229))=1)*(CHOOSE({1,2,3,4},KHP!W229,KHP!AA229,KHP!AE229,KHP!AI229)))</f>
        <v>0</v>
      </c>
      <c r="B229">
        <f>SUMPRODUCT((MONTH(CHOOSE({1,2,3,4},KHP!T229,KHP!X229,KHP!AB229,KHP!AF229))=2)*(CHOOSE({1,2,3,4},KHP!W229,KHP!AA229,KHP!AE229,KHP!AI229)))</f>
        <v>0</v>
      </c>
      <c r="C229">
        <f>SUMPRODUCT((MONTH(CHOOSE({1,2,3,4},KHP!T229,KHP!X229,KHP!AB229,KHP!AF229))=3)*(CHOOSE({1,2,3,4},KHP!W229,KHP!AA229,KHP!AE229,KHP!AI229)))</f>
        <v>0</v>
      </c>
      <c r="D229">
        <f>SUMPRODUCT((MONTH(CHOOSE({1,2,3,4},KHP!T229,KHP!X229,KHP!AB229,KHP!AF229))=4)*(CHOOSE({1,2,3,4},KHP!W229,KHP!AA229,KHP!AE229,KHP!AI229)))</f>
        <v>0</v>
      </c>
      <c r="E229">
        <f>SUMPRODUCT((MONTH(CHOOSE({1,2,3,4},KHP!T229,KHP!X229,KHP!AB229,KHP!AF229))=5)*(CHOOSE({1,2,3,4},KHP!W229,KHP!AA229,KHP!AE229,KHP!AI229)))</f>
        <v>0</v>
      </c>
      <c r="F229">
        <f>SUMPRODUCT((MONTH(CHOOSE({1,2,3,4},KHP!T229,KHP!X229,KHP!AB229,KHP!AF229))=6)*(CHOOSE({1,2,3,4},KHP!W229,KHP!AA229,KHP!AE229,KHP!AI229)))</f>
        <v>0</v>
      </c>
      <c r="G229">
        <f>SUMPRODUCT((MONTH(CHOOSE({1,2,3,4},KHP!T229,KHP!X229,KHP!AB229,KHP!AF229))=7)*(CHOOSE({1,2,3,4},KHP!W229,KHP!AA229,KHP!AE229,KHP!AI229)))</f>
        <v>0</v>
      </c>
      <c r="H229">
        <f>SUMPRODUCT((MONTH(CHOOSE({1,2,3,4},KHP!T229,KHP!X229,KHP!AB229,KHP!AF229))=8)*(CHOOSE({1,2,3,4},KHP!W229,KHP!AA229,KHP!AE229,KHP!AI229)))</f>
        <v>0</v>
      </c>
      <c r="I229">
        <f>SUMPRODUCT((MONTH(CHOOSE({1,2,3,4},KHP!T229,KHP!X229,KHP!AB229,KHP!AF229))=9)*(CHOOSE({1,2,3,4},KHP!W229,KHP!AA229,KHP!AE229,KHP!AI229)))</f>
        <v>0</v>
      </c>
      <c r="J229">
        <f>SUMPRODUCT((MONTH(CHOOSE({1,2,3,4},KHP!T229,KHP!X229,KHP!AB229,KHP!AF229))=10)*(CHOOSE({1,2,3,4},KHP!W229,KHP!AA229,KHP!AE229,KHP!AI229)))</f>
        <v>0</v>
      </c>
      <c r="K229">
        <f>SUMPRODUCT((MONTH(CHOOSE({1,2,3,4},KHP!T229,KHP!X229,KHP!AB229,KHP!AF229))=11)*(CHOOSE({1,2,3,4},KHP!W229,KHP!AA229,KHP!AE229,KHP!AI229)))</f>
        <v>0</v>
      </c>
      <c r="L229">
        <f>SUMPRODUCT((MONTH(CHOOSE({1,2,3,4},KHP!T229,KHP!X229,KHP!AB229,KHP!AF229))=12)*(CHOOSE({1,2,3,4},KHP!W229,KHP!AA229,KHP!AE229,KHP!AI229)))</f>
        <v>0</v>
      </c>
    </row>
    <row r="230" spans="1:12">
      <c r="A230">
        <f>SUMPRODUCT((MONTH(CHOOSE({1,2,3,4},KHP!T230,KHP!X230,KHP!AB230,KHP!AF230))=1)*(CHOOSE({1,2,3,4},KHP!W230,KHP!AA230,KHP!AE230,KHP!AI230)))</f>
        <v>0</v>
      </c>
      <c r="B230">
        <f>SUMPRODUCT((MONTH(CHOOSE({1,2,3,4},KHP!T230,KHP!X230,KHP!AB230,KHP!AF230))=2)*(CHOOSE({1,2,3,4},KHP!W230,KHP!AA230,KHP!AE230,KHP!AI230)))</f>
        <v>0</v>
      </c>
      <c r="C230">
        <f>SUMPRODUCT((MONTH(CHOOSE({1,2,3,4},KHP!T230,KHP!X230,KHP!AB230,KHP!AF230))=3)*(CHOOSE({1,2,3,4},KHP!W230,KHP!AA230,KHP!AE230,KHP!AI230)))</f>
        <v>0</v>
      </c>
      <c r="D230">
        <f>SUMPRODUCT((MONTH(CHOOSE({1,2,3,4},KHP!T230,KHP!X230,KHP!AB230,KHP!AF230))=4)*(CHOOSE({1,2,3,4},KHP!W230,KHP!AA230,KHP!AE230,KHP!AI230)))</f>
        <v>0</v>
      </c>
      <c r="E230">
        <f>SUMPRODUCT((MONTH(CHOOSE({1,2,3,4},KHP!T230,KHP!X230,KHP!AB230,KHP!AF230))=5)*(CHOOSE({1,2,3,4},KHP!W230,KHP!AA230,KHP!AE230,KHP!AI230)))</f>
        <v>0</v>
      </c>
      <c r="F230">
        <f>SUMPRODUCT((MONTH(CHOOSE({1,2,3,4},KHP!T230,KHP!X230,KHP!AB230,KHP!AF230))=6)*(CHOOSE({1,2,3,4},KHP!W230,KHP!AA230,KHP!AE230,KHP!AI230)))</f>
        <v>0</v>
      </c>
      <c r="G230">
        <f>SUMPRODUCT((MONTH(CHOOSE({1,2,3,4},KHP!T230,KHP!X230,KHP!AB230,KHP!AF230))=7)*(CHOOSE({1,2,3,4},KHP!W230,KHP!AA230,KHP!AE230,KHP!AI230)))</f>
        <v>0</v>
      </c>
      <c r="H230">
        <f>SUMPRODUCT((MONTH(CHOOSE({1,2,3,4},KHP!T230,KHP!X230,KHP!AB230,KHP!AF230))=8)*(CHOOSE({1,2,3,4},KHP!W230,KHP!AA230,KHP!AE230,KHP!AI230)))</f>
        <v>0</v>
      </c>
      <c r="I230">
        <f>SUMPRODUCT((MONTH(CHOOSE({1,2,3,4},KHP!T230,KHP!X230,KHP!AB230,KHP!AF230))=9)*(CHOOSE({1,2,3,4},KHP!W230,KHP!AA230,KHP!AE230,KHP!AI230)))</f>
        <v>0</v>
      </c>
      <c r="J230">
        <f>SUMPRODUCT((MONTH(CHOOSE({1,2,3,4},KHP!T230,KHP!X230,KHP!AB230,KHP!AF230))=10)*(CHOOSE({1,2,3,4},KHP!W230,KHP!AA230,KHP!AE230,KHP!AI230)))</f>
        <v>0</v>
      </c>
      <c r="K230">
        <f>SUMPRODUCT((MONTH(CHOOSE({1,2,3,4},KHP!T230,KHP!X230,KHP!AB230,KHP!AF230))=11)*(CHOOSE({1,2,3,4},KHP!W230,KHP!AA230,KHP!AE230,KHP!AI230)))</f>
        <v>0</v>
      </c>
      <c r="L230">
        <f>SUMPRODUCT((MONTH(CHOOSE({1,2,3,4},KHP!T230,KHP!X230,KHP!AB230,KHP!AF230))=12)*(CHOOSE({1,2,3,4},KHP!W230,KHP!AA230,KHP!AE230,KHP!AI230)))</f>
        <v>0</v>
      </c>
    </row>
    <row r="231" spans="1:12">
      <c r="A231">
        <f>SUMPRODUCT((MONTH(CHOOSE({1,2,3,4},KHP!T231,KHP!X231,KHP!AB231,KHP!AF231))=1)*(CHOOSE({1,2,3,4},KHP!W231,KHP!AA231,KHP!AE231,KHP!AI231)))</f>
        <v>0</v>
      </c>
      <c r="B231">
        <f>SUMPRODUCT((MONTH(CHOOSE({1,2,3,4},KHP!T231,KHP!X231,KHP!AB231,KHP!AF231))=2)*(CHOOSE({1,2,3,4},KHP!W231,KHP!AA231,KHP!AE231,KHP!AI231)))</f>
        <v>0</v>
      </c>
      <c r="C231">
        <f>SUMPRODUCT((MONTH(CHOOSE({1,2,3,4},KHP!T231,KHP!X231,KHP!AB231,KHP!AF231))=3)*(CHOOSE({1,2,3,4},KHP!W231,KHP!AA231,KHP!AE231,KHP!AI231)))</f>
        <v>0</v>
      </c>
      <c r="D231">
        <f>SUMPRODUCT((MONTH(CHOOSE({1,2,3,4},KHP!T231,KHP!X231,KHP!AB231,KHP!AF231))=4)*(CHOOSE({1,2,3,4},KHP!W231,KHP!AA231,KHP!AE231,KHP!AI231)))</f>
        <v>0</v>
      </c>
      <c r="E231">
        <f>SUMPRODUCT((MONTH(CHOOSE({1,2,3,4},KHP!T231,KHP!X231,KHP!AB231,KHP!AF231))=5)*(CHOOSE({1,2,3,4},KHP!W231,KHP!AA231,KHP!AE231,KHP!AI231)))</f>
        <v>0</v>
      </c>
      <c r="F231">
        <f>SUMPRODUCT((MONTH(CHOOSE({1,2,3,4},KHP!T231,KHP!X231,KHP!AB231,KHP!AF231))=6)*(CHOOSE({1,2,3,4},KHP!W231,KHP!AA231,KHP!AE231,KHP!AI231)))</f>
        <v>0</v>
      </c>
      <c r="G231">
        <f>SUMPRODUCT((MONTH(CHOOSE({1,2,3,4},KHP!T231,KHP!X231,KHP!AB231,KHP!AF231))=7)*(CHOOSE({1,2,3,4},KHP!W231,KHP!AA231,KHP!AE231,KHP!AI231)))</f>
        <v>0</v>
      </c>
      <c r="H231">
        <f>SUMPRODUCT((MONTH(CHOOSE({1,2,3,4},KHP!T231,KHP!X231,KHP!AB231,KHP!AF231))=8)*(CHOOSE({1,2,3,4},KHP!W231,KHP!AA231,KHP!AE231,KHP!AI231)))</f>
        <v>0</v>
      </c>
      <c r="I231">
        <f>SUMPRODUCT((MONTH(CHOOSE({1,2,3,4},KHP!T231,KHP!X231,KHP!AB231,KHP!AF231))=9)*(CHOOSE({1,2,3,4},KHP!W231,KHP!AA231,KHP!AE231,KHP!AI231)))</f>
        <v>0</v>
      </c>
      <c r="J231">
        <f>SUMPRODUCT((MONTH(CHOOSE({1,2,3,4},KHP!T231,KHP!X231,KHP!AB231,KHP!AF231))=10)*(CHOOSE({1,2,3,4},KHP!W231,KHP!AA231,KHP!AE231,KHP!AI231)))</f>
        <v>0</v>
      </c>
      <c r="K231">
        <f>SUMPRODUCT((MONTH(CHOOSE({1,2,3,4},KHP!T231,KHP!X231,KHP!AB231,KHP!AF231))=11)*(CHOOSE({1,2,3,4},KHP!W231,KHP!AA231,KHP!AE231,KHP!AI231)))</f>
        <v>0</v>
      </c>
      <c r="L231">
        <f>SUMPRODUCT((MONTH(CHOOSE({1,2,3,4},KHP!T231,KHP!X231,KHP!AB231,KHP!AF231))=12)*(CHOOSE({1,2,3,4},KHP!W231,KHP!AA231,KHP!AE231,KHP!AI231)))</f>
        <v>0</v>
      </c>
    </row>
    <row r="232" spans="1:12">
      <c r="A232">
        <f>SUMPRODUCT((MONTH(CHOOSE({1,2,3,4},KHP!T232,KHP!X232,KHP!AB232,KHP!AF232))=1)*(CHOOSE({1,2,3,4},KHP!W232,KHP!AA232,KHP!AE232,KHP!AI232)))</f>
        <v>0</v>
      </c>
      <c r="B232">
        <f>SUMPRODUCT((MONTH(CHOOSE({1,2,3,4},KHP!T232,KHP!X232,KHP!AB232,KHP!AF232))=2)*(CHOOSE({1,2,3,4},KHP!W232,KHP!AA232,KHP!AE232,KHP!AI232)))</f>
        <v>0</v>
      </c>
      <c r="C232">
        <f>SUMPRODUCT((MONTH(CHOOSE({1,2,3,4},KHP!T232,KHP!X232,KHP!AB232,KHP!AF232))=3)*(CHOOSE({1,2,3,4},KHP!W232,KHP!AA232,KHP!AE232,KHP!AI232)))</f>
        <v>0</v>
      </c>
      <c r="D232">
        <f>SUMPRODUCT((MONTH(CHOOSE({1,2,3,4},KHP!T232,KHP!X232,KHP!AB232,KHP!AF232))=4)*(CHOOSE({1,2,3,4},KHP!W232,KHP!AA232,KHP!AE232,KHP!AI232)))</f>
        <v>0</v>
      </c>
      <c r="E232">
        <f>SUMPRODUCT((MONTH(CHOOSE({1,2,3,4},KHP!T232,KHP!X232,KHP!AB232,KHP!AF232))=5)*(CHOOSE({1,2,3,4},KHP!W232,KHP!AA232,KHP!AE232,KHP!AI232)))</f>
        <v>0</v>
      </c>
      <c r="F232">
        <f>SUMPRODUCT((MONTH(CHOOSE({1,2,3,4},KHP!T232,KHP!X232,KHP!AB232,KHP!AF232))=6)*(CHOOSE({1,2,3,4},KHP!W232,KHP!AA232,KHP!AE232,KHP!AI232)))</f>
        <v>0</v>
      </c>
      <c r="G232">
        <f>SUMPRODUCT((MONTH(CHOOSE({1,2,3,4},KHP!T232,KHP!X232,KHP!AB232,KHP!AF232))=7)*(CHOOSE({1,2,3,4},KHP!W232,KHP!AA232,KHP!AE232,KHP!AI232)))</f>
        <v>0</v>
      </c>
      <c r="H232">
        <f>SUMPRODUCT((MONTH(CHOOSE({1,2,3,4},KHP!T232,KHP!X232,KHP!AB232,KHP!AF232))=8)*(CHOOSE({1,2,3,4},KHP!W232,KHP!AA232,KHP!AE232,KHP!AI232)))</f>
        <v>0</v>
      </c>
      <c r="I232">
        <f>SUMPRODUCT((MONTH(CHOOSE({1,2,3,4},KHP!T232,KHP!X232,KHP!AB232,KHP!AF232))=9)*(CHOOSE({1,2,3,4},KHP!W232,KHP!AA232,KHP!AE232,KHP!AI232)))</f>
        <v>0</v>
      </c>
      <c r="J232">
        <f>SUMPRODUCT((MONTH(CHOOSE({1,2,3,4},KHP!T232,KHP!X232,KHP!AB232,KHP!AF232))=10)*(CHOOSE({1,2,3,4},KHP!W232,KHP!AA232,KHP!AE232,KHP!AI232)))</f>
        <v>0</v>
      </c>
      <c r="K232">
        <f>SUMPRODUCT((MONTH(CHOOSE({1,2,3,4},KHP!T232,KHP!X232,KHP!AB232,KHP!AF232))=11)*(CHOOSE({1,2,3,4},KHP!W232,KHP!AA232,KHP!AE232,KHP!AI232)))</f>
        <v>0</v>
      </c>
      <c r="L232">
        <f>SUMPRODUCT((MONTH(CHOOSE({1,2,3,4},KHP!T232,KHP!X232,KHP!AB232,KHP!AF232))=12)*(CHOOSE({1,2,3,4},KHP!W232,KHP!AA232,KHP!AE232,KHP!AI232)))</f>
        <v>0</v>
      </c>
    </row>
    <row r="233" spans="1:12">
      <c r="A233">
        <f>SUMPRODUCT((MONTH(CHOOSE({1,2,3,4},KHP!T233,KHP!X233,KHP!AB233,KHP!AF233))=1)*(CHOOSE({1,2,3,4},KHP!W233,KHP!AA233,KHP!AE233,KHP!AI233)))</f>
        <v>0</v>
      </c>
      <c r="B233">
        <f>SUMPRODUCT((MONTH(CHOOSE({1,2,3,4},KHP!T233,KHP!X233,KHP!AB233,KHP!AF233))=2)*(CHOOSE({1,2,3,4},KHP!W233,KHP!AA233,KHP!AE233,KHP!AI233)))</f>
        <v>0</v>
      </c>
      <c r="C233">
        <f>SUMPRODUCT((MONTH(CHOOSE({1,2,3,4},KHP!T233,KHP!X233,KHP!AB233,KHP!AF233))=3)*(CHOOSE({1,2,3,4},KHP!W233,KHP!AA233,KHP!AE233,KHP!AI233)))</f>
        <v>0</v>
      </c>
      <c r="D233">
        <f>SUMPRODUCT((MONTH(CHOOSE({1,2,3,4},KHP!T233,KHP!X233,KHP!AB233,KHP!AF233))=4)*(CHOOSE({1,2,3,4},KHP!W233,KHP!AA233,KHP!AE233,KHP!AI233)))</f>
        <v>0</v>
      </c>
      <c r="E233">
        <f>SUMPRODUCT((MONTH(CHOOSE({1,2,3,4},KHP!T233,KHP!X233,KHP!AB233,KHP!AF233))=5)*(CHOOSE({1,2,3,4},KHP!W233,KHP!AA233,KHP!AE233,KHP!AI233)))</f>
        <v>0</v>
      </c>
      <c r="F233">
        <f>SUMPRODUCT((MONTH(CHOOSE({1,2,3,4},KHP!T233,KHP!X233,KHP!AB233,KHP!AF233))=6)*(CHOOSE({1,2,3,4},KHP!W233,KHP!AA233,KHP!AE233,KHP!AI233)))</f>
        <v>0</v>
      </c>
      <c r="G233">
        <f>SUMPRODUCT((MONTH(CHOOSE({1,2,3,4},KHP!T233,KHP!X233,KHP!AB233,KHP!AF233))=7)*(CHOOSE({1,2,3,4},KHP!W233,KHP!AA233,KHP!AE233,KHP!AI233)))</f>
        <v>0</v>
      </c>
      <c r="H233">
        <f>SUMPRODUCT((MONTH(CHOOSE({1,2,3,4},KHP!T233,KHP!X233,KHP!AB233,KHP!AF233))=8)*(CHOOSE({1,2,3,4},KHP!W233,KHP!AA233,KHP!AE233,KHP!AI233)))</f>
        <v>0</v>
      </c>
      <c r="I233">
        <f>SUMPRODUCT((MONTH(CHOOSE({1,2,3,4},KHP!T233,KHP!X233,KHP!AB233,KHP!AF233))=9)*(CHOOSE({1,2,3,4},KHP!W233,KHP!AA233,KHP!AE233,KHP!AI233)))</f>
        <v>0</v>
      </c>
      <c r="J233">
        <f>SUMPRODUCT((MONTH(CHOOSE({1,2,3,4},KHP!T233,KHP!X233,KHP!AB233,KHP!AF233))=10)*(CHOOSE({1,2,3,4},KHP!W233,KHP!AA233,KHP!AE233,KHP!AI233)))</f>
        <v>0</v>
      </c>
      <c r="K233">
        <f>SUMPRODUCT((MONTH(CHOOSE({1,2,3,4},KHP!T233,KHP!X233,KHP!AB233,KHP!AF233))=11)*(CHOOSE({1,2,3,4},KHP!W233,KHP!AA233,KHP!AE233,KHP!AI233)))</f>
        <v>0</v>
      </c>
      <c r="L233">
        <f>SUMPRODUCT((MONTH(CHOOSE({1,2,3,4},KHP!T233,KHP!X233,KHP!AB233,KHP!AF233))=12)*(CHOOSE({1,2,3,4},KHP!W233,KHP!AA233,KHP!AE233,KHP!AI233)))</f>
        <v>0</v>
      </c>
    </row>
    <row r="234" spans="1:12">
      <c r="A234">
        <f>SUMPRODUCT((MONTH(CHOOSE({1,2,3,4},KHP!T234,KHP!X234,KHP!AB234,KHP!AF234))=1)*(CHOOSE({1,2,3,4},KHP!W234,KHP!AA234,KHP!AE234,KHP!AI234)))</f>
        <v>0</v>
      </c>
      <c r="B234">
        <f>SUMPRODUCT((MONTH(CHOOSE({1,2,3,4},KHP!T234,KHP!X234,KHP!AB234,KHP!AF234))=2)*(CHOOSE({1,2,3,4},KHP!W234,KHP!AA234,KHP!AE234,KHP!AI234)))</f>
        <v>0</v>
      </c>
      <c r="C234">
        <f>SUMPRODUCT((MONTH(CHOOSE({1,2,3,4},KHP!T234,KHP!X234,KHP!AB234,KHP!AF234))=3)*(CHOOSE({1,2,3,4},KHP!W234,KHP!AA234,KHP!AE234,KHP!AI234)))</f>
        <v>0</v>
      </c>
      <c r="D234">
        <f>SUMPRODUCT((MONTH(CHOOSE({1,2,3,4},KHP!T234,KHP!X234,KHP!AB234,KHP!AF234))=4)*(CHOOSE({1,2,3,4},KHP!W234,KHP!AA234,KHP!AE234,KHP!AI234)))</f>
        <v>0</v>
      </c>
      <c r="E234">
        <f>SUMPRODUCT((MONTH(CHOOSE({1,2,3,4},KHP!T234,KHP!X234,KHP!AB234,KHP!AF234))=5)*(CHOOSE({1,2,3,4},KHP!W234,KHP!AA234,KHP!AE234,KHP!AI234)))</f>
        <v>0</v>
      </c>
      <c r="F234">
        <f>SUMPRODUCT((MONTH(CHOOSE({1,2,3,4},KHP!T234,KHP!X234,KHP!AB234,KHP!AF234))=6)*(CHOOSE({1,2,3,4},KHP!W234,KHP!AA234,KHP!AE234,KHP!AI234)))</f>
        <v>0</v>
      </c>
      <c r="G234">
        <f>SUMPRODUCT((MONTH(CHOOSE({1,2,3,4},KHP!T234,KHP!X234,KHP!AB234,KHP!AF234))=7)*(CHOOSE({1,2,3,4},KHP!W234,KHP!AA234,KHP!AE234,KHP!AI234)))</f>
        <v>0</v>
      </c>
      <c r="H234">
        <f>SUMPRODUCT((MONTH(CHOOSE({1,2,3,4},KHP!T234,KHP!X234,KHP!AB234,KHP!AF234))=8)*(CHOOSE({1,2,3,4},KHP!W234,KHP!AA234,KHP!AE234,KHP!AI234)))</f>
        <v>0</v>
      </c>
      <c r="I234">
        <f>SUMPRODUCT((MONTH(CHOOSE({1,2,3,4},KHP!T234,KHP!X234,KHP!AB234,KHP!AF234))=9)*(CHOOSE({1,2,3,4},KHP!W234,KHP!AA234,KHP!AE234,KHP!AI234)))</f>
        <v>0</v>
      </c>
      <c r="J234">
        <f>SUMPRODUCT((MONTH(CHOOSE({1,2,3,4},KHP!T234,KHP!X234,KHP!AB234,KHP!AF234))=10)*(CHOOSE({1,2,3,4},KHP!W234,KHP!AA234,KHP!AE234,KHP!AI234)))</f>
        <v>0</v>
      </c>
      <c r="K234">
        <f>SUMPRODUCT((MONTH(CHOOSE({1,2,3,4},KHP!T234,KHP!X234,KHP!AB234,KHP!AF234))=11)*(CHOOSE({1,2,3,4},KHP!W234,KHP!AA234,KHP!AE234,KHP!AI234)))</f>
        <v>0</v>
      </c>
      <c r="L234">
        <f>SUMPRODUCT((MONTH(CHOOSE({1,2,3,4},KHP!T234,KHP!X234,KHP!AB234,KHP!AF234))=12)*(CHOOSE({1,2,3,4},KHP!W234,KHP!AA234,KHP!AE234,KHP!AI234)))</f>
        <v>0</v>
      </c>
    </row>
    <row r="235" spans="1:12">
      <c r="A235">
        <f>SUMPRODUCT((MONTH(CHOOSE({1,2,3,4},KHP!T235,KHP!X235,KHP!AB235,KHP!AF235))=1)*(CHOOSE({1,2,3,4},KHP!W235,KHP!AA235,KHP!AE235,KHP!AI235)))</f>
        <v>0</v>
      </c>
      <c r="B235">
        <f>SUMPRODUCT((MONTH(CHOOSE({1,2,3,4},KHP!T235,KHP!X235,KHP!AB235,KHP!AF235))=2)*(CHOOSE({1,2,3,4},KHP!W235,KHP!AA235,KHP!AE235,KHP!AI235)))</f>
        <v>0</v>
      </c>
      <c r="C235">
        <f>SUMPRODUCT((MONTH(CHOOSE({1,2,3,4},KHP!T235,KHP!X235,KHP!AB235,KHP!AF235))=3)*(CHOOSE({1,2,3,4},KHP!W235,KHP!AA235,KHP!AE235,KHP!AI235)))</f>
        <v>0</v>
      </c>
      <c r="D235">
        <f>SUMPRODUCT((MONTH(CHOOSE({1,2,3,4},KHP!T235,KHP!X235,KHP!AB235,KHP!AF235))=4)*(CHOOSE({1,2,3,4},KHP!W235,KHP!AA235,KHP!AE235,KHP!AI235)))</f>
        <v>0</v>
      </c>
      <c r="E235">
        <f>SUMPRODUCT((MONTH(CHOOSE({1,2,3,4},KHP!T235,KHP!X235,KHP!AB235,KHP!AF235))=5)*(CHOOSE({1,2,3,4},KHP!W235,KHP!AA235,KHP!AE235,KHP!AI235)))</f>
        <v>0</v>
      </c>
      <c r="F235">
        <f>SUMPRODUCT((MONTH(CHOOSE({1,2,3,4},KHP!T235,KHP!X235,KHP!AB235,KHP!AF235))=6)*(CHOOSE({1,2,3,4},KHP!W235,KHP!AA235,KHP!AE235,KHP!AI235)))</f>
        <v>0</v>
      </c>
      <c r="G235">
        <f>SUMPRODUCT((MONTH(CHOOSE({1,2,3,4},KHP!T235,KHP!X235,KHP!AB235,KHP!AF235))=7)*(CHOOSE({1,2,3,4},KHP!W235,KHP!AA235,KHP!AE235,KHP!AI235)))</f>
        <v>0</v>
      </c>
      <c r="H235">
        <f>SUMPRODUCT((MONTH(CHOOSE({1,2,3,4},KHP!T235,KHP!X235,KHP!AB235,KHP!AF235))=8)*(CHOOSE({1,2,3,4},KHP!W235,KHP!AA235,KHP!AE235,KHP!AI235)))</f>
        <v>0</v>
      </c>
      <c r="I235">
        <f>SUMPRODUCT((MONTH(CHOOSE({1,2,3,4},KHP!T235,KHP!X235,KHP!AB235,KHP!AF235))=9)*(CHOOSE({1,2,3,4},KHP!W235,KHP!AA235,KHP!AE235,KHP!AI235)))</f>
        <v>0</v>
      </c>
      <c r="J235">
        <f>SUMPRODUCT((MONTH(CHOOSE({1,2,3,4},KHP!T235,KHP!X235,KHP!AB235,KHP!AF235))=10)*(CHOOSE({1,2,3,4},KHP!W235,KHP!AA235,KHP!AE235,KHP!AI235)))</f>
        <v>0</v>
      </c>
      <c r="K235">
        <f>SUMPRODUCT((MONTH(CHOOSE({1,2,3,4},KHP!T235,KHP!X235,KHP!AB235,KHP!AF235))=11)*(CHOOSE({1,2,3,4},KHP!W235,KHP!AA235,KHP!AE235,KHP!AI235)))</f>
        <v>0</v>
      </c>
      <c r="L235">
        <f>SUMPRODUCT((MONTH(CHOOSE({1,2,3,4},KHP!T235,KHP!X235,KHP!AB235,KHP!AF235))=12)*(CHOOSE({1,2,3,4},KHP!W235,KHP!AA235,KHP!AE235,KHP!AI235)))</f>
        <v>0</v>
      </c>
    </row>
    <row r="236" spans="1:12">
      <c r="A236">
        <f>SUMPRODUCT((MONTH(CHOOSE({1,2,3,4},KHP!T236,KHP!X236,KHP!AB236,KHP!AF236))=1)*(CHOOSE({1,2,3,4},KHP!W236,KHP!AA236,KHP!AE236,KHP!AI236)))</f>
        <v>0</v>
      </c>
      <c r="B236">
        <f>SUMPRODUCT((MONTH(CHOOSE({1,2,3,4},KHP!T236,KHP!X236,KHP!AB236,KHP!AF236))=2)*(CHOOSE({1,2,3,4},KHP!W236,KHP!AA236,KHP!AE236,KHP!AI236)))</f>
        <v>0</v>
      </c>
      <c r="C236">
        <f>SUMPRODUCT((MONTH(CHOOSE({1,2,3,4},KHP!T236,KHP!X236,KHP!AB236,KHP!AF236))=3)*(CHOOSE({1,2,3,4},KHP!W236,KHP!AA236,KHP!AE236,KHP!AI236)))</f>
        <v>0</v>
      </c>
      <c r="D236">
        <f>SUMPRODUCT((MONTH(CHOOSE({1,2,3,4},KHP!T236,KHP!X236,KHP!AB236,KHP!AF236))=4)*(CHOOSE({1,2,3,4},KHP!W236,KHP!AA236,KHP!AE236,KHP!AI236)))</f>
        <v>0</v>
      </c>
      <c r="E236">
        <f>SUMPRODUCT((MONTH(CHOOSE({1,2,3,4},KHP!T236,KHP!X236,KHP!AB236,KHP!AF236))=5)*(CHOOSE({1,2,3,4},KHP!W236,KHP!AA236,KHP!AE236,KHP!AI236)))</f>
        <v>0</v>
      </c>
      <c r="F236">
        <f>SUMPRODUCT((MONTH(CHOOSE({1,2,3,4},KHP!T236,KHP!X236,KHP!AB236,KHP!AF236))=6)*(CHOOSE({1,2,3,4},KHP!W236,KHP!AA236,KHP!AE236,KHP!AI236)))</f>
        <v>0</v>
      </c>
      <c r="G236">
        <f>SUMPRODUCT((MONTH(CHOOSE({1,2,3,4},KHP!T236,KHP!X236,KHP!AB236,KHP!AF236))=7)*(CHOOSE({1,2,3,4},KHP!W236,KHP!AA236,KHP!AE236,KHP!AI236)))</f>
        <v>0</v>
      </c>
      <c r="H236">
        <f>SUMPRODUCT((MONTH(CHOOSE({1,2,3,4},KHP!T236,KHP!X236,KHP!AB236,KHP!AF236))=8)*(CHOOSE({1,2,3,4},KHP!W236,KHP!AA236,KHP!AE236,KHP!AI236)))</f>
        <v>0</v>
      </c>
      <c r="I236">
        <f>SUMPRODUCT((MONTH(CHOOSE({1,2,3,4},KHP!T236,KHP!X236,KHP!AB236,KHP!AF236))=9)*(CHOOSE({1,2,3,4},KHP!W236,KHP!AA236,KHP!AE236,KHP!AI236)))</f>
        <v>0</v>
      </c>
      <c r="J236">
        <f>SUMPRODUCT((MONTH(CHOOSE({1,2,3,4},KHP!T236,KHP!X236,KHP!AB236,KHP!AF236))=10)*(CHOOSE({1,2,3,4},KHP!W236,KHP!AA236,KHP!AE236,KHP!AI236)))</f>
        <v>0</v>
      </c>
      <c r="K236">
        <f>SUMPRODUCT((MONTH(CHOOSE({1,2,3,4},KHP!T236,KHP!X236,KHP!AB236,KHP!AF236))=11)*(CHOOSE({1,2,3,4},KHP!W236,KHP!AA236,KHP!AE236,KHP!AI236)))</f>
        <v>0</v>
      </c>
      <c r="L236">
        <f>SUMPRODUCT((MONTH(CHOOSE({1,2,3,4},KHP!T236,KHP!X236,KHP!AB236,KHP!AF236))=12)*(CHOOSE({1,2,3,4},KHP!W236,KHP!AA236,KHP!AE236,KHP!AI236)))</f>
        <v>0</v>
      </c>
    </row>
    <row r="237" spans="1:12">
      <c r="A237">
        <f>SUMPRODUCT((MONTH(CHOOSE({1,2,3,4},KHP!T237,KHP!X237,KHP!AB237,KHP!AF237))=1)*(CHOOSE({1,2,3,4},KHP!W237,KHP!AA237,KHP!AE237,KHP!AI237)))</f>
        <v>0</v>
      </c>
      <c r="B237">
        <f>SUMPRODUCT((MONTH(CHOOSE({1,2,3,4},KHP!T237,KHP!X237,KHP!AB237,KHP!AF237))=2)*(CHOOSE({1,2,3,4},KHP!W237,KHP!AA237,KHP!AE237,KHP!AI237)))</f>
        <v>0</v>
      </c>
      <c r="C237">
        <f>SUMPRODUCT((MONTH(CHOOSE({1,2,3,4},KHP!T237,KHP!X237,KHP!AB237,KHP!AF237))=3)*(CHOOSE({1,2,3,4},KHP!W237,KHP!AA237,KHP!AE237,KHP!AI237)))</f>
        <v>0</v>
      </c>
      <c r="D237">
        <f>SUMPRODUCT((MONTH(CHOOSE({1,2,3,4},KHP!T237,KHP!X237,KHP!AB237,KHP!AF237))=4)*(CHOOSE({1,2,3,4},KHP!W237,KHP!AA237,KHP!AE237,KHP!AI237)))</f>
        <v>0</v>
      </c>
      <c r="E237">
        <f>SUMPRODUCT((MONTH(CHOOSE({1,2,3,4},KHP!T237,KHP!X237,KHP!AB237,KHP!AF237))=5)*(CHOOSE({1,2,3,4},KHP!W237,KHP!AA237,KHP!AE237,KHP!AI237)))</f>
        <v>0</v>
      </c>
      <c r="F237">
        <f>SUMPRODUCT((MONTH(CHOOSE({1,2,3,4},KHP!T237,KHP!X237,KHP!AB237,KHP!AF237))=6)*(CHOOSE({1,2,3,4},KHP!W237,KHP!AA237,KHP!AE237,KHP!AI237)))</f>
        <v>0</v>
      </c>
      <c r="G237">
        <f>SUMPRODUCT((MONTH(CHOOSE({1,2,3,4},KHP!T237,KHP!X237,KHP!AB237,KHP!AF237))=7)*(CHOOSE({1,2,3,4},KHP!W237,KHP!AA237,KHP!AE237,KHP!AI237)))</f>
        <v>0</v>
      </c>
      <c r="H237">
        <f>SUMPRODUCT((MONTH(CHOOSE({1,2,3,4},KHP!T237,KHP!X237,KHP!AB237,KHP!AF237))=8)*(CHOOSE({1,2,3,4},KHP!W237,KHP!AA237,KHP!AE237,KHP!AI237)))</f>
        <v>0</v>
      </c>
      <c r="I237">
        <f>SUMPRODUCT((MONTH(CHOOSE({1,2,3,4},KHP!T237,KHP!X237,KHP!AB237,KHP!AF237))=9)*(CHOOSE({1,2,3,4},KHP!W237,KHP!AA237,KHP!AE237,KHP!AI237)))</f>
        <v>0</v>
      </c>
      <c r="J237">
        <f>SUMPRODUCT((MONTH(CHOOSE({1,2,3,4},KHP!T237,KHP!X237,KHP!AB237,KHP!AF237))=10)*(CHOOSE({1,2,3,4},KHP!W237,KHP!AA237,KHP!AE237,KHP!AI237)))</f>
        <v>0</v>
      </c>
      <c r="K237">
        <f>SUMPRODUCT((MONTH(CHOOSE({1,2,3,4},KHP!T237,KHP!X237,KHP!AB237,KHP!AF237))=11)*(CHOOSE({1,2,3,4},KHP!W237,KHP!AA237,KHP!AE237,KHP!AI237)))</f>
        <v>0</v>
      </c>
      <c r="L237">
        <f>SUMPRODUCT((MONTH(CHOOSE({1,2,3,4},KHP!T237,KHP!X237,KHP!AB237,KHP!AF237))=12)*(CHOOSE({1,2,3,4},KHP!W237,KHP!AA237,KHP!AE237,KHP!AI237)))</f>
        <v>0</v>
      </c>
    </row>
    <row r="238" spans="1:12">
      <c r="A238">
        <f>SUMPRODUCT((MONTH(CHOOSE({1,2,3,4},KHP!T238,KHP!X238,KHP!AB238,KHP!AF238))=1)*(CHOOSE({1,2,3,4},KHP!W238,KHP!AA238,KHP!AE238,KHP!AI238)))</f>
        <v>0</v>
      </c>
      <c r="B238">
        <f>SUMPRODUCT((MONTH(CHOOSE({1,2,3,4},KHP!T238,KHP!X238,KHP!AB238,KHP!AF238))=2)*(CHOOSE({1,2,3,4},KHP!W238,KHP!AA238,KHP!AE238,KHP!AI238)))</f>
        <v>0</v>
      </c>
      <c r="C238">
        <f>SUMPRODUCT((MONTH(CHOOSE({1,2,3,4},KHP!T238,KHP!X238,KHP!AB238,KHP!AF238))=3)*(CHOOSE({1,2,3,4},KHP!W238,KHP!AA238,KHP!AE238,KHP!AI238)))</f>
        <v>0</v>
      </c>
      <c r="D238">
        <f>SUMPRODUCT((MONTH(CHOOSE({1,2,3,4},KHP!T238,KHP!X238,KHP!AB238,KHP!AF238))=4)*(CHOOSE({1,2,3,4},KHP!W238,KHP!AA238,KHP!AE238,KHP!AI238)))</f>
        <v>0</v>
      </c>
      <c r="E238">
        <f>SUMPRODUCT((MONTH(CHOOSE({1,2,3,4},KHP!T238,KHP!X238,KHP!AB238,KHP!AF238))=5)*(CHOOSE({1,2,3,4},KHP!W238,KHP!AA238,KHP!AE238,KHP!AI238)))</f>
        <v>0</v>
      </c>
      <c r="F238">
        <f>SUMPRODUCT((MONTH(CHOOSE({1,2,3,4},KHP!T238,KHP!X238,KHP!AB238,KHP!AF238))=6)*(CHOOSE({1,2,3,4},KHP!W238,KHP!AA238,KHP!AE238,KHP!AI238)))</f>
        <v>0</v>
      </c>
      <c r="G238">
        <f>SUMPRODUCT((MONTH(CHOOSE({1,2,3,4},KHP!T238,KHP!X238,KHP!AB238,KHP!AF238))=7)*(CHOOSE({1,2,3,4},KHP!W238,KHP!AA238,KHP!AE238,KHP!AI238)))</f>
        <v>0</v>
      </c>
      <c r="H238">
        <f>SUMPRODUCT((MONTH(CHOOSE({1,2,3,4},KHP!T238,KHP!X238,KHP!AB238,KHP!AF238))=8)*(CHOOSE({1,2,3,4},KHP!W238,KHP!AA238,KHP!AE238,KHP!AI238)))</f>
        <v>0</v>
      </c>
      <c r="I238">
        <f>SUMPRODUCT((MONTH(CHOOSE({1,2,3,4},KHP!T238,KHP!X238,KHP!AB238,KHP!AF238))=9)*(CHOOSE({1,2,3,4},KHP!W238,KHP!AA238,KHP!AE238,KHP!AI238)))</f>
        <v>0</v>
      </c>
      <c r="J238">
        <f>SUMPRODUCT((MONTH(CHOOSE({1,2,3,4},KHP!T238,KHP!X238,KHP!AB238,KHP!AF238))=10)*(CHOOSE({1,2,3,4},KHP!W238,KHP!AA238,KHP!AE238,KHP!AI238)))</f>
        <v>0</v>
      </c>
      <c r="K238">
        <f>SUMPRODUCT((MONTH(CHOOSE({1,2,3,4},KHP!T238,KHP!X238,KHP!AB238,KHP!AF238))=11)*(CHOOSE({1,2,3,4},KHP!W238,KHP!AA238,KHP!AE238,KHP!AI238)))</f>
        <v>0</v>
      </c>
      <c r="L238">
        <f>SUMPRODUCT((MONTH(CHOOSE({1,2,3,4},KHP!T238,KHP!X238,KHP!AB238,KHP!AF238))=12)*(CHOOSE({1,2,3,4},KHP!W238,KHP!AA238,KHP!AE238,KHP!AI238)))</f>
        <v>0</v>
      </c>
    </row>
    <row r="239" spans="1:12">
      <c r="A239">
        <f>SUMPRODUCT((MONTH(CHOOSE({1,2,3,4},KHP!T239,KHP!X239,KHP!AB239,KHP!AF239))=1)*(CHOOSE({1,2,3,4},KHP!W239,KHP!AA239,KHP!AE239,KHP!AI239)))</f>
        <v>0</v>
      </c>
      <c r="B239">
        <f>SUMPRODUCT((MONTH(CHOOSE({1,2,3,4},KHP!T239,KHP!X239,KHP!AB239,KHP!AF239))=2)*(CHOOSE({1,2,3,4},KHP!W239,KHP!AA239,KHP!AE239,KHP!AI239)))</f>
        <v>0</v>
      </c>
      <c r="C239">
        <f>SUMPRODUCT((MONTH(CHOOSE({1,2,3,4},KHP!T239,KHP!X239,KHP!AB239,KHP!AF239))=3)*(CHOOSE({1,2,3,4},KHP!W239,KHP!AA239,KHP!AE239,KHP!AI239)))</f>
        <v>0</v>
      </c>
      <c r="D239">
        <f>SUMPRODUCT((MONTH(CHOOSE({1,2,3,4},KHP!T239,KHP!X239,KHP!AB239,KHP!AF239))=4)*(CHOOSE({1,2,3,4},KHP!W239,KHP!AA239,KHP!AE239,KHP!AI239)))</f>
        <v>0</v>
      </c>
      <c r="E239">
        <f>SUMPRODUCT((MONTH(CHOOSE({1,2,3,4},KHP!T239,KHP!X239,KHP!AB239,KHP!AF239))=5)*(CHOOSE({1,2,3,4},KHP!W239,KHP!AA239,KHP!AE239,KHP!AI239)))</f>
        <v>0</v>
      </c>
      <c r="F239">
        <f>SUMPRODUCT((MONTH(CHOOSE({1,2,3,4},KHP!T239,KHP!X239,KHP!AB239,KHP!AF239))=6)*(CHOOSE({1,2,3,4},KHP!W239,KHP!AA239,KHP!AE239,KHP!AI239)))</f>
        <v>0</v>
      </c>
      <c r="G239">
        <f>SUMPRODUCT((MONTH(CHOOSE({1,2,3,4},KHP!T239,KHP!X239,KHP!AB239,KHP!AF239))=7)*(CHOOSE({1,2,3,4},KHP!W239,KHP!AA239,KHP!AE239,KHP!AI239)))</f>
        <v>0</v>
      </c>
      <c r="H239">
        <f>SUMPRODUCT((MONTH(CHOOSE({1,2,3,4},KHP!T239,KHP!X239,KHP!AB239,KHP!AF239))=8)*(CHOOSE({1,2,3,4},KHP!W239,KHP!AA239,KHP!AE239,KHP!AI239)))</f>
        <v>0</v>
      </c>
      <c r="I239">
        <f>SUMPRODUCT((MONTH(CHOOSE({1,2,3,4},KHP!T239,KHP!X239,KHP!AB239,KHP!AF239))=9)*(CHOOSE({1,2,3,4},KHP!W239,KHP!AA239,KHP!AE239,KHP!AI239)))</f>
        <v>0</v>
      </c>
      <c r="J239">
        <f>SUMPRODUCT((MONTH(CHOOSE({1,2,3,4},KHP!T239,KHP!X239,KHP!AB239,KHP!AF239))=10)*(CHOOSE({1,2,3,4},KHP!W239,KHP!AA239,KHP!AE239,KHP!AI239)))</f>
        <v>0</v>
      </c>
      <c r="K239">
        <f>SUMPRODUCT((MONTH(CHOOSE({1,2,3,4},KHP!T239,KHP!X239,KHP!AB239,KHP!AF239))=11)*(CHOOSE({1,2,3,4},KHP!W239,KHP!AA239,KHP!AE239,KHP!AI239)))</f>
        <v>0</v>
      </c>
      <c r="L239">
        <f>SUMPRODUCT((MONTH(CHOOSE({1,2,3,4},KHP!T239,KHP!X239,KHP!AB239,KHP!AF239))=12)*(CHOOSE({1,2,3,4},KHP!W239,KHP!AA239,KHP!AE239,KHP!AI239)))</f>
        <v>0</v>
      </c>
    </row>
    <row r="240" spans="1:12">
      <c r="A240">
        <f>SUMPRODUCT((MONTH(CHOOSE({1,2,3,4},KHP!T240,KHP!X240,KHP!AB240,KHP!AF240))=1)*(CHOOSE({1,2,3,4},KHP!W240,KHP!AA240,KHP!AE240,KHP!AI240)))</f>
        <v>0</v>
      </c>
      <c r="B240">
        <f>SUMPRODUCT((MONTH(CHOOSE({1,2,3,4},KHP!T240,KHP!X240,KHP!AB240,KHP!AF240))=2)*(CHOOSE({1,2,3,4},KHP!W240,KHP!AA240,KHP!AE240,KHP!AI240)))</f>
        <v>0</v>
      </c>
      <c r="C240">
        <f>SUMPRODUCT((MONTH(CHOOSE({1,2,3,4},KHP!T240,KHP!X240,KHP!AB240,KHP!AF240))=3)*(CHOOSE({1,2,3,4},KHP!W240,KHP!AA240,KHP!AE240,KHP!AI240)))</f>
        <v>0</v>
      </c>
      <c r="D240">
        <f>SUMPRODUCT((MONTH(CHOOSE({1,2,3,4},KHP!T240,KHP!X240,KHP!AB240,KHP!AF240))=4)*(CHOOSE({1,2,3,4},KHP!W240,KHP!AA240,KHP!AE240,KHP!AI240)))</f>
        <v>0</v>
      </c>
      <c r="E240">
        <f>SUMPRODUCT((MONTH(CHOOSE({1,2,3,4},KHP!T240,KHP!X240,KHP!AB240,KHP!AF240))=5)*(CHOOSE({1,2,3,4},KHP!W240,KHP!AA240,KHP!AE240,KHP!AI240)))</f>
        <v>0</v>
      </c>
      <c r="F240">
        <f>SUMPRODUCT((MONTH(CHOOSE({1,2,3,4},KHP!T240,KHP!X240,KHP!AB240,KHP!AF240))=6)*(CHOOSE({1,2,3,4},KHP!W240,KHP!AA240,KHP!AE240,KHP!AI240)))</f>
        <v>0</v>
      </c>
      <c r="G240">
        <f>SUMPRODUCT((MONTH(CHOOSE({1,2,3,4},KHP!T240,KHP!X240,KHP!AB240,KHP!AF240))=7)*(CHOOSE({1,2,3,4},KHP!W240,KHP!AA240,KHP!AE240,KHP!AI240)))</f>
        <v>0</v>
      </c>
      <c r="H240">
        <f>SUMPRODUCT((MONTH(CHOOSE({1,2,3,4},KHP!T240,KHP!X240,KHP!AB240,KHP!AF240))=8)*(CHOOSE({1,2,3,4},KHP!W240,KHP!AA240,KHP!AE240,KHP!AI240)))</f>
        <v>0</v>
      </c>
      <c r="I240">
        <f>SUMPRODUCT((MONTH(CHOOSE({1,2,3,4},KHP!T240,KHP!X240,KHP!AB240,KHP!AF240))=9)*(CHOOSE({1,2,3,4},KHP!W240,KHP!AA240,KHP!AE240,KHP!AI240)))</f>
        <v>0</v>
      </c>
      <c r="J240">
        <f>SUMPRODUCT((MONTH(CHOOSE({1,2,3,4},KHP!T240,KHP!X240,KHP!AB240,KHP!AF240))=10)*(CHOOSE({1,2,3,4},KHP!W240,KHP!AA240,KHP!AE240,KHP!AI240)))</f>
        <v>0</v>
      </c>
      <c r="K240">
        <f>SUMPRODUCT((MONTH(CHOOSE({1,2,3,4},KHP!T240,KHP!X240,KHP!AB240,KHP!AF240))=11)*(CHOOSE({1,2,3,4},KHP!W240,KHP!AA240,KHP!AE240,KHP!AI240)))</f>
        <v>0</v>
      </c>
      <c r="L240">
        <f>SUMPRODUCT((MONTH(CHOOSE({1,2,3,4},KHP!T240,KHP!X240,KHP!AB240,KHP!AF240))=12)*(CHOOSE({1,2,3,4},KHP!W240,KHP!AA240,KHP!AE240,KHP!AI240)))</f>
        <v>0</v>
      </c>
    </row>
    <row r="241" spans="1:12">
      <c r="A241">
        <f>SUMPRODUCT((MONTH(CHOOSE({1,2,3,4},KHP!T241,KHP!X241,KHP!AB241,KHP!AF241))=1)*(CHOOSE({1,2,3,4},KHP!W241,KHP!AA241,KHP!AE241,KHP!AI241)))</f>
        <v>0</v>
      </c>
      <c r="B241">
        <f>SUMPRODUCT((MONTH(CHOOSE({1,2,3,4},KHP!T241,KHP!X241,KHP!AB241,KHP!AF241))=2)*(CHOOSE({1,2,3,4},KHP!W241,KHP!AA241,KHP!AE241,KHP!AI241)))</f>
        <v>0</v>
      </c>
      <c r="C241">
        <f>SUMPRODUCT((MONTH(CHOOSE({1,2,3,4},KHP!T241,KHP!X241,KHP!AB241,KHP!AF241))=3)*(CHOOSE({1,2,3,4},KHP!W241,KHP!AA241,KHP!AE241,KHP!AI241)))</f>
        <v>0</v>
      </c>
      <c r="D241">
        <f>SUMPRODUCT((MONTH(CHOOSE({1,2,3,4},KHP!T241,KHP!X241,KHP!AB241,KHP!AF241))=4)*(CHOOSE({1,2,3,4},KHP!W241,KHP!AA241,KHP!AE241,KHP!AI241)))</f>
        <v>0</v>
      </c>
      <c r="E241">
        <f>SUMPRODUCT((MONTH(CHOOSE({1,2,3,4},KHP!T241,KHP!X241,KHP!AB241,KHP!AF241))=5)*(CHOOSE({1,2,3,4},KHP!W241,KHP!AA241,KHP!AE241,KHP!AI241)))</f>
        <v>0</v>
      </c>
      <c r="F241">
        <f>SUMPRODUCT((MONTH(CHOOSE({1,2,3,4},KHP!T241,KHP!X241,KHP!AB241,KHP!AF241))=6)*(CHOOSE({1,2,3,4},KHP!W241,KHP!AA241,KHP!AE241,KHP!AI241)))</f>
        <v>0</v>
      </c>
      <c r="G241">
        <f>SUMPRODUCT((MONTH(CHOOSE({1,2,3,4},KHP!T241,KHP!X241,KHP!AB241,KHP!AF241))=7)*(CHOOSE({1,2,3,4},KHP!W241,KHP!AA241,KHP!AE241,KHP!AI241)))</f>
        <v>0</v>
      </c>
      <c r="H241">
        <f>SUMPRODUCT((MONTH(CHOOSE({1,2,3,4},KHP!T241,KHP!X241,KHP!AB241,KHP!AF241))=8)*(CHOOSE({1,2,3,4},KHP!W241,KHP!AA241,KHP!AE241,KHP!AI241)))</f>
        <v>0</v>
      </c>
      <c r="I241">
        <f>SUMPRODUCT((MONTH(CHOOSE({1,2,3,4},KHP!T241,KHP!X241,KHP!AB241,KHP!AF241))=9)*(CHOOSE({1,2,3,4},KHP!W241,KHP!AA241,KHP!AE241,KHP!AI241)))</f>
        <v>0</v>
      </c>
      <c r="J241">
        <f>SUMPRODUCT((MONTH(CHOOSE({1,2,3,4},KHP!T241,KHP!X241,KHP!AB241,KHP!AF241))=10)*(CHOOSE({1,2,3,4},KHP!W241,KHP!AA241,KHP!AE241,KHP!AI241)))</f>
        <v>0</v>
      </c>
      <c r="K241">
        <f>SUMPRODUCT((MONTH(CHOOSE({1,2,3,4},KHP!T241,KHP!X241,KHP!AB241,KHP!AF241))=11)*(CHOOSE({1,2,3,4},KHP!W241,KHP!AA241,KHP!AE241,KHP!AI241)))</f>
        <v>0</v>
      </c>
      <c r="L241">
        <f>SUMPRODUCT((MONTH(CHOOSE({1,2,3,4},KHP!T241,KHP!X241,KHP!AB241,KHP!AF241))=12)*(CHOOSE({1,2,3,4},KHP!W241,KHP!AA241,KHP!AE241,KHP!AI241)))</f>
        <v>0</v>
      </c>
    </row>
    <row r="242" spans="1:12">
      <c r="A242">
        <f>SUMPRODUCT((MONTH(CHOOSE({1,2,3,4},KHP!T242,KHP!X242,KHP!AB242,KHP!AF242))=1)*(CHOOSE({1,2,3,4},KHP!W242,KHP!AA242,KHP!AE242,KHP!AI242)))</f>
        <v>0</v>
      </c>
      <c r="B242">
        <f>SUMPRODUCT((MONTH(CHOOSE({1,2,3,4},KHP!T242,KHP!X242,KHP!AB242,KHP!AF242))=2)*(CHOOSE({1,2,3,4},KHP!W242,KHP!AA242,KHP!AE242,KHP!AI242)))</f>
        <v>0</v>
      </c>
      <c r="C242">
        <f>SUMPRODUCT((MONTH(CHOOSE({1,2,3,4},KHP!T242,KHP!X242,KHP!AB242,KHP!AF242))=3)*(CHOOSE({1,2,3,4},KHP!W242,KHP!AA242,KHP!AE242,KHP!AI242)))</f>
        <v>0</v>
      </c>
      <c r="D242">
        <f>SUMPRODUCT((MONTH(CHOOSE({1,2,3,4},KHP!T242,KHP!X242,KHP!AB242,KHP!AF242))=4)*(CHOOSE({1,2,3,4},KHP!W242,KHP!AA242,KHP!AE242,KHP!AI242)))</f>
        <v>0</v>
      </c>
      <c r="E242">
        <f>SUMPRODUCT((MONTH(CHOOSE({1,2,3,4},KHP!T242,KHP!X242,KHP!AB242,KHP!AF242))=5)*(CHOOSE({1,2,3,4},KHP!W242,KHP!AA242,KHP!AE242,KHP!AI242)))</f>
        <v>0</v>
      </c>
      <c r="F242">
        <f>SUMPRODUCT((MONTH(CHOOSE({1,2,3,4},KHP!T242,KHP!X242,KHP!AB242,KHP!AF242))=6)*(CHOOSE({1,2,3,4},KHP!W242,KHP!AA242,KHP!AE242,KHP!AI242)))</f>
        <v>0</v>
      </c>
      <c r="G242">
        <f>SUMPRODUCT((MONTH(CHOOSE({1,2,3,4},KHP!T242,KHP!X242,KHP!AB242,KHP!AF242))=7)*(CHOOSE({1,2,3,4},KHP!W242,KHP!AA242,KHP!AE242,KHP!AI242)))</f>
        <v>0</v>
      </c>
      <c r="H242">
        <f>SUMPRODUCT((MONTH(CHOOSE({1,2,3,4},KHP!T242,KHP!X242,KHP!AB242,KHP!AF242))=8)*(CHOOSE({1,2,3,4},KHP!W242,KHP!AA242,KHP!AE242,KHP!AI242)))</f>
        <v>0</v>
      </c>
      <c r="I242">
        <f>SUMPRODUCT((MONTH(CHOOSE({1,2,3,4},KHP!T242,KHP!X242,KHP!AB242,KHP!AF242))=9)*(CHOOSE({1,2,3,4},KHP!W242,KHP!AA242,KHP!AE242,KHP!AI242)))</f>
        <v>0</v>
      </c>
      <c r="J242">
        <f>SUMPRODUCT((MONTH(CHOOSE({1,2,3,4},KHP!T242,KHP!X242,KHP!AB242,KHP!AF242))=10)*(CHOOSE({1,2,3,4},KHP!W242,KHP!AA242,KHP!AE242,KHP!AI242)))</f>
        <v>0</v>
      </c>
      <c r="K242">
        <f>SUMPRODUCT((MONTH(CHOOSE({1,2,3,4},KHP!T242,KHP!X242,KHP!AB242,KHP!AF242))=11)*(CHOOSE({1,2,3,4},KHP!W242,KHP!AA242,KHP!AE242,KHP!AI242)))</f>
        <v>0</v>
      </c>
      <c r="L242">
        <f>SUMPRODUCT((MONTH(CHOOSE({1,2,3,4},KHP!T242,KHP!X242,KHP!AB242,KHP!AF242))=12)*(CHOOSE({1,2,3,4},KHP!W242,KHP!AA242,KHP!AE242,KHP!AI242)))</f>
        <v>0</v>
      </c>
    </row>
    <row r="243" spans="1:12">
      <c r="A243">
        <f>SUMPRODUCT((MONTH(CHOOSE({1,2,3,4},KHP!T243,KHP!X243,KHP!AB243,KHP!AF243))=1)*(CHOOSE({1,2,3,4},KHP!W243,KHP!AA243,KHP!AE243,KHP!AI243)))</f>
        <v>0</v>
      </c>
      <c r="B243">
        <f>SUMPRODUCT((MONTH(CHOOSE({1,2,3,4},KHP!T243,KHP!X243,KHP!AB243,KHP!AF243))=2)*(CHOOSE({1,2,3,4},KHP!W243,KHP!AA243,KHP!AE243,KHP!AI243)))</f>
        <v>0</v>
      </c>
      <c r="C243">
        <f>SUMPRODUCT((MONTH(CHOOSE({1,2,3,4},KHP!T243,KHP!X243,KHP!AB243,KHP!AF243))=3)*(CHOOSE({1,2,3,4},KHP!W243,KHP!AA243,KHP!AE243,KHP!AI243)))</f>
        <v>0</v>
      </c>
      <c r="D243">
        <f>SUMPRODUCT((MONTH(CHOOSE({1,2,3,4},KHP!T243,KHP!X243,KHP!AB243,KHP!AF243))=4)*(CHOOSE({1,2,3,4},KHP!W243,KHP!AA243,KHP!AE243,KHP!AI243)))</f>
        <v>0</v>
      </c>
      <c r="E243">
        <f>SUMPRODUCT((MONTH(CHOOSE({1,2,3,4},KHP!T243,KHP!X243,KHP!AB243,KHP!AF243))=5)*(CHOOSE({1,2,3,4},KHP!W243,KHP!AA243,KHP!AE243,KHP!AI243)))</f>
        <v>0</v>
      </c>
      <c r="F243">
        <f>SUMPRODUCT((MONTH(CHOOSE({1,2,3,4},KHP!T243,KHP!X243,KHP!AB243,KHP!AF243))=6)*(CHOOSE({1,2,3,4},KHP!W243,KHP!AA243,KHP!AE243,KHP!AI243)))</f>
        <v>0</v>
      </c>
      <c r="G243">
        <f>SUMPRODUCT((MONTH(CHOOSE({1,2,3,4},KHP!T243,KHP!X243,KHP!AB243,KHP!AF243))=7)*(CHOOSE({1,2,3,4},KHP!W243,KHP!AA243,KHP!AE243,KHP!AI243)))</f>
        <v>0</v>
      </c>
      <c r="H243">
        <f>SUMPRODUCT((MONTH(CHOOSE({1,2,3,4},KHP!T243,KHP!X243,KHP!AB243,KHP!AF243))=8)*(CHOOSE({1,2,3,4},KHP!W243,KHP!AA243,KHP!AE243,KHP!AI243)))</f>
        <v>0</v>
      </c>
      <c r="I243">
        <f>SUMPRODUCT((MONTH(CHOOSE({1,2,3,4},KHP!T243,KHP!X243,KHP!AB243,KHP!AF243))=9)*(CHOOSE({1,2,3,4},KHP!W243,KHP!AA243,KHP!AE243,KHP!AI243)))</f>
        <v>0</v>
      </c>
      <c r="J243">
        <f>SUMPRODUCT((MONTH(CHOOSE({1,2,3,4},KHP!T243,KHP!X243,KHP!AB243,KHP!AF243))=10)*(CHOOSE({1,2,3,4},KHP!W243,KHP!AA243,KHP!AE243,KHP!AI243)))</f>
        <v>0</v>
      </c>
      <c r="K243">
        <f>SUMPRODUCT((MONTH(CHOOSE({1,2,3,4},KHP!T243,KHP!X243,KHP!AB243,KHP!AF243))=11)*(CHOOSE({1,2,3,4},KHP!W243,KHP!AA243,KHP!AE243,KHP!AI243)))</f>
        <v>0</v>
      </c>
      <c r="L243">
        <f>SUMPRODUCT((MONTH(CHOOSE({1,2,3,4},KHP!T243,KHP!X243,KHP!AB243,KHP!AF243))=12)*(CHOOSE({1,2,3,4},KHP!W243,KHP!AA243,KHP!AE243,KHP!AI243)))</f>
        <v>0</v>
      </c>
    </row>
    <row r="244" spans="1:12">
      <c r="A244">
        <f>SUMPRODUCT((MONTH(CHOOSE({1,2,3,4},KHP!T244,KHP!X244,KHP!AB244,KHP!AF244))=1)*(CHOOSE({1,2,3,4},KHP!W244,KHP!AA244,KHP!AE244,KHP!AI244)))</f>
        <v>0</v>
      </c>
      <c r="B244">
        <f>SUMPRODUCT((MONTH(CHOOSE({1,2,3,4},KHP!T244,KHP!X244,KHP!AB244,KHP!AF244))=2)*(CHOOSE({1,2,3,4},KHP!W244,KHP!AA244,KHP!AE244,KHP!AI244)))</f>
        <v>0</v>
      </c>
      <c r="C244">
        <f>SUMPRODUCT((MONTH(CHOOSE({1,2,3,4},KHP!T244,KHP!X244,KHP!AB244,KHP!AF244))=3)*(CHOOSE({1,2,3,4},KHP!W244,KHP!AA244,KHP!AE244,KHP!AI244)))</f>
        <v>0</v>
      </c>
      <c r="D244">
        <f>SUMPRODUCT((MONTH(CHOOSE({1,2,3,4},KHP!T244,KHP!X244,KHP!AB244,KHP!AF244))=4)*(CHOOSE({1,2,3,4},KHP!W244,KHP!AA244,KHP!AE244,KHP!AI244)))</f>
        <v>0</v>
      </c>
      <c r="E244">
        <f>SUMPRODUCT((MONTH(CHOOSE({1,2,3,4},KHP!T244,KHP!X244,KHP!AB244,KHP!AF244))=5)*(CHOOSE({1,2,3,4},KHP!W244,KHP!AA244,KHP!AE244,KHP!AI244)))</f>
        <v>0</v>
      </c>
      <c r="F244">
        <f>SUMPRODUCT((MONTH(CHOOSE({1,2,3,4},KHP!T244,KHP!X244,KHP!AB244,KHP!AF244))=6)*(CHOOSE({1,2,3,4},KHP!W244,KHP!AA244,KHP!AE244,KHP!AI244)))</f>
        <v>0</v>
      </c>
      <c r="G244">
        <f>SUMPRODUCT((MONTH(CHOOSE({1,2,3,4},KHP!T244,KHP!X244,KHP!AB244,KHP!AF244))=7)*(CHOOSE({1,2,3,4},KHP!W244,KHP!AA244,KHP!AE244,KHP!AI244)))</f>
        <v>0</v>
      </c>
      <c r="H244">
        <f>SUMPRODUCT((MONTH(CHOOSE({1,2,3,4},KHP!T244,KHP!X244,KHP!AB244,KHP!AF244))=8)*(CHOOSE({1,2,3,4},KHP!W244,KHP!AA244,KHP!AE244,KHP!AI244)))</f>
        <v>0</v>
      </c>
      <c r="I244">
        <f>SUMPRODUCT((MONTH(CHOOSE({1,2,3,4},KHP!T244,KHP!X244,KHP!AB244,KHP!AF244))=9)*(CHOOSE({1,2,3,4},KHP!W244,KHP!AA244,KHP!AE244,KHP!AI244)))</f>
        <v>0</v>
      </c>
      <c r="J244">
        <f>SUMPRODUCT((MONTH(CHOOSE({1,2,3,4},KHP!T244,KHP!X244,KHP!AB244,KHP!AF244))=10)*(CHOOSE({1,2,3,4},KHP!W244,KHP!AA244,KHP!AE244,KHP!AI244)))</f>
        <v>0</v>
      </c>
      <c r="K244">
        <f>SUMPRODUCT((MONTH(CHOOSE({1,2,3,4},KHP!T244,KHP!X244,KHP!AB244,KHP!AF244))=11)*(CHOOSE({1,2,3,4},KHP!W244,KHP!AA244,KHP!AE244,KHP!AI244)))</f>
        <v>0</v>
      </c>
      <c r="L244">
        <f>SUMPRODUCT((MONTH(CHOOSE({1,2,3,4},KHP!T244,KHP!X244,KHP!AB244,KHP!AF244))=12)*(CHOOSE({1,2,3,4},KHP!W244,KHP!AA244,KHP!AE244,KHP!AI244)))</f>
        <v>0</v>
      </c>
    </row>
    <row r="245" spans="1:12">
      <c r="A245">
        <f>SUMPRODUCT((MONTH(CHOOSE({1,2,3,4},KHP!T245,KHP!X245,KHP!AB245,KHP!AF245))=1)*(CHOOSE({1,2,3,4},KHP!W245,KHP!AA245,KHP!AE245,KHP!AI245)))</f>
        <v>0</v>
      </c>
      <c r="B245">
        <f>SUMPRODUCT((MONTH(CHOOSE({1,2,3,4},KHP!T245,KHP!X245,KHP!AB245,KHP!AF245))=2)*(CHOOSE({1,2,3,4},KHP!W245,KHP!AA245,KHP!AE245,KHP!AI245)))</f>
        <v>0</v>
      </c>
      <c r="C245">
        <f>SUMPRODUCT((MONTH(CHOOSE({1,2,3,4},KHP!T245,KHP!X245,KHP!AB245,KHP!AF245))=3)*(CHOOSE({1,2,3,4},KHP!W245,KHP!AA245,KHP!AE245,KHP!AI245)))</f>
        <v>0</v>
      </c>
      <c r="D245">
        <f>SUMPRODUCT((MONTH(CHOOSE({1,2,3,4},KHP!T245,KHP!X245,KHP!AB245,KHP!AF245))=4)*(CHOOSE({1,2,3,4},KHP!W245,KHP!AA245,KHP!AE245,KHP!AI245)))</f>
        <v>0</v>
      </c>
      <c r="E245">
        <f>SUMPRODUCT((MONTH(CHOOSE({1,2,3,4},KHP!T245,KHP!X245,KHP!AB245,KHP!AF245))=5)*(CHOOSE({1,2,3,4},KHP!W245,KHP!AA245,KHP!AE245,KHP!AI245)))</f>
        <v>0</v>
      </c>
      <c r="F245">
        <f>SUMPRODUCT((MONTH(CHOOSE({1,2,3,4},KHP!T245,KHP!X245,KHP!AB245,KHP!AF245))=6)*(CHOOSE({1,2,3,4},KHP!W245,KHP!AA245,KHP!AE245,KHP!AI245)))</f>
        <v>0</v>
      </c>
      <c r="G245">
        <f>SUMPRODUCT((MONTH(CHOOSE({1,2,3,4},KHP!T245,KHP!X245,KHP!AB245,KHP!AF245))=7)*(CHOOSE({1,2,3,4},KHP!W245,KHP!AA245,KHP!AE245,KHP!AI245)))</f>
        <v>0</v>
      </c>
      <c r="H245">
        <f>SUMPRODUCT((MONTH(CHOOSE({1,2,3,4},KHP!T245,KHP!X245,KHP!AB245,KHP!AF245))=8)*(CHOOSE({1,2,3,4},KHP!W245,KHP!AA245,KHP!AE245,KHP!AI245)))</f>
        <v>0</v>
      </c>
      <c r="I245">
        <f>SUMPRODUCT((MONTH(CHOOSE({1,2,3,4},KHP!T245,KHP!X245,KHP!AB245,KHP!AF245))=9)*(CHOOSE({1,2,3,4},KHP!W245,KHP!AA245,KHP!AE245,KHP!AI245)))</f>
        <v>0</v>
      </c>
      <c r="J245">
        <f>SUMPRODUCT((MONTH(CHOOSE({1,2,3,4},KHP!T245,KHP!X245,KHP!AB245,KHP!AF245))=10)*(CHOOSE({1,2,3,4},KHP!W245,KHP!AA245,KHP!AE245,KHP!AI245)))</f>
        <v>0</v>
      </c>
      <c r="K245">
        <f>SUMPRODUCT((MONTH(CHOOSE({1,2,3,4},KHP!T245,KHP!X245,KHP!AB245,KHP!AF245))=11)*(CHOOSE({1,2,3,4},KHP!W245,KHP!AA245,KHP!AE245,KHP!AI245)))</f>
        <v>0</v>
      </c>
      <c r="L245">
        <f>SUMPRODUCT((MONTH(CHOOSE({1,2,3,4},KHP!T245,KHP!X245,KHP!AB245,KHP!AF245))=12)*(CHOOSE({1,2,3,4},KHP!W245,KHP!AA245,KHP!AE245,KHP!AI245)))</f>
        <v>0</v>
      </c>
    </row>
    <row r="246" spans="1:12">
      <c r="A246">
        <f>SUMPRODUCT((MONTH(CHOOSE({1,2,3,4},KHP!T246,KHP!X246,KHP!AB246,KHP!AF246))=1)*(CHOOSE({1,2,3,4},KHP!W246,KHP!AA246,KHP!AE246,KHP!AI246)))</f>
        <v>0</v>
      </c>
      <c r="B246">
        <f>SUMPRODUCT((MONTH(CHOOSE({1,2,3,4},KHP!T246,KHP!X246,KHP!AB246,KHP!AF246))=2)*(CHOOSE({1,2,3,4},KHP!W246,KHP!AA246,KHP!AE246,KHP!AI246)))</f>
        <v>0</v>
      </c>
      <c r="C246">
        <f>SUMPRODUCT((MONTH(CHOOSE({1,2,3,4},KHP!T246,KHP!X246,KHP!AB246,KHP!AF246))=3)*(CHOOSE({1,2,3,4},KHP!W246,KHP!AA246,KHP!AE246,KHP!AI246)))</f>
        <v>0</v>
      </c>
      <c r="D246">
        <f>SUMPRODUCT((MONTH(CHOOSE({1,2,3,4},KHP!T246,KHP!X246,KHP!AB246,KHP!AF246))=4)*(CHOOSE({1,2,3,4},KHP!W246,KHP!AA246,KHP!AE246,KHP!AI246)))</f>
        <v>0</v>
      </c>
      <c r="E246">
        <f>SUMPRODUCT((MONTH(CHOOSE({1,2,3,4},KHP!T246,KHP!X246,KHP!AB246,KHP!AF246))=5)*(CHOOSE({1,2,3,4},KHP!W246,KHP!AA246,KHP!AE246,KHP!AI246)))</f>
        <v>0</v>
      </c>
      <c r="F246">
        <f>SUMPRODUCT((MONTH(CHOOSE({1,2,3,4},KHP!T246,KHP!X246,KHP!AB246,KHP!AF246))=6)*(CHOOSE({1,2,3,4},KHP!W246,KHP!AA246,KHP!AE246,KHP!AI246)))</f>
        <v>0</v>
      </c>
      <c r="G246">
        <f>SUMPRODUCT((MONTH(CHOOSE({1,2,3,4},KHP!T246,KHP!X246,KHP!AB246,KHP!AF246))=7)*(CHOOSE({1,2,3,4},KHP!W246,KHP!AA246,KHP!AE246,KHP!AI246)))</f>
        <v>0</v>
      </c>
      <c r="H246">
        <f>SUMPRODUCT((MONTH(CHOOSE({1,2,3,4},KHP!T246,KHP!X246,KHP!AB246,KHP!AF246))=8)*(CHOOSE({1,2,3,4},KHP!W246,KHP!AA246,KHP!AE246,KHP!AI246)))</f>
        <v>0</v>
      </c>
      <c r="I246">
        <f>SUMPRODUCT((MONTH(CHOOSE({1,2,3,4},KHP!T246,KHP!X246,KHP!AB246,KHP!AF246))=9)*(CHOOSE({1,2,3,4},KHP!W246,KHP!AA246,KHP!AE246,KHP!AI246)))</f>
        <v>0</v>
      </c>
      <c r="J246">
        <f>SUMPRODUCT((MONTH(CHOOSE({1,2,3,4},KHP!T246,KHP!X246,KHP!AB246,KHP!AF246))=10)*(CHOOSE({1,2,3,4},KHP!W246,KHP!AA246,KHP!AE246,KHP!AI246)))</f>
        <v>0</v>
      </c>
      <c r="K246">
        <f>SUMPRODUCT((MONTH(CHOOSE({1,2,3,4},KHP!T246,KHP!X246,KHP!AB246,KHP!AF246))=11)*(CHOOSE({1,2,3,4},KHP!W246,KHP!AA246,KHP!AE246,KHP!AI246)))</f>
        <v>0</v>
      </c>
      <c r="L246">
        <f>SUMPRODUCT((MONTH(CHOOSE({1,2,3,4},KHP!T246,KHP!X246,KHP!AB246,KHP!AF246))=12)*(CHOOSE({1,2,3,4},KHP!W246,KHP!AA246,KHP!AE246,KHP!AI246)))</f>
        <v>0</v>
      </c>
    </row>
    <row r="247" spans="1:12">
      <c r="A247">
        <f>SUMPRODUCT((MONTH(CHOOSE({1,2,3,4},KHP!T247,KHP!X247,KHP!AB247,KHP!AF247))=1)*(CHOOSE({1,2,3,4},KHP!W247,KHP!AA247,KHP!AE247,KHP!AI247)))</f>
        <v>0</v>
      </c>
      <c r="B247">
        <f>SUMPRODUCT((MONTH(CHOOSE({1,2,3,4},KHP!T247,KHP!X247,KHP!AB247,KHP!AF247))=2)*(CHOOSE({1,2,3,4},KHP!W247,KHP!AA247,KHP!AE247,KHP!AI247)))</f>
        <v>0</v>
      </c>
      <c r="C247">
        <f>SUMPRODUCT((MONTH(CHOOSE({1,2,3,4},KHP!T247,KHP!X247,KHP!AB247,KHP!AF247))=3)*(CHOOSE({1,2,3,4},KHP!W247,KHP!AA247,KHP!AE247,KHP!AI247)))</f>
        <v>0</v>
      </c>
      <c r="D247">
        <f>SUMPRODUCT((MONTH(CHOOSE({1,2,3,4},KHP!T247,KHP!X247,KHP!AB247,KHP!AF247))=4)*(CHOOSE({1,2,3,4},KHP!W247,KHP!AA247,KHP!AE247,KHP!AI247)))</f>
        <v>0</v>
      </c>
      <c r="E247">
        <f>SUMPRODUCT((MONTH(CHOOSE({1,2,3,4},KHP!T247,KHP!X247,KHP!AB247,KHP!AF247))=5)*(CHOOSE({1,2,3,4},KHP!W247,KHP!AA247,KHP!AE247,KHP!AI247)))</f>
        <v>0</v>
      </c>
      <c r="F247">
        <f>SUMPRODUCT((MONTH(CHOOSE({1,2,3,4},KHP!T247,KHP!X247,KHP!AB247,KHP!AF247))=6)*(CHOOSE({1,2,3,4},KHP!W247,KHP!AA247,KHP!AE247,KHP!AI247)))</f>
        <v>0</v>
      </c>
      <c r="G247">
        <f>SUMPRODUCT((MONTH(CHOOSE({1,2,3,4},KHP!T247,KHP!X247,KHP!AB247,KHP!AF247))=7)*(CHOOSE({1,2,3,4},KHP!W247,KHP!AA247,KHP!AE247,KHP!AI247)))</f>
        <v>0</v>
      </c>
      <c r="H247">
        <f>SUMPRODUCT((MONTH(CHOOSE({1,2,3,4},KHP!T247,KHP!X247,KHP!AB247,KHP!AF247))=8)*(CHOOSE({1,2,3,4},KHP!W247,KHP!AA247,KHP!AE247,KHP!AI247)))</f>
        <v>0</v>
      </c>
      <c r="I247">
        <f>SUMPRODUCT((MONTH(CHOOSE({1,2,3,4},KHP!T247,KHP!X247,KHP!AB247,KHP!AF247))=9)*(CHOOSE({1,2,3,4},KHP!W247,KHP!AA247,KHP!AE247,KHP!AI247)))</f>
        <v>0</v>
      </c>
      <c r="J247">
        <f>SUMPRODUCT((MONTH(CHOOSE({1,2,3,4},KHP!T247,KHP!X247,KHP!AB247,KHP!AF247))=10)*(CHOOSE({1,2,3,4},KHP!W247,KHP!AA247,KHP!AE247,KHP!AI247)))</f>
        <v>0</v>
      </c>
      <c r="K247">
        <f>SUMPRODUCT((MONTH(CHOOSE({1,2,3,4},KHP!T247,KHP!X247,KHP!AB247,KHP!AF247))=11)*(CHOOSE({1,2,3,4},KHP!W247,KHP!AA247,KHP!AE247,KHP!AI247)))</f>
        <v>0</v>
      </c>
      <c r="L247">
        <f>SUMPRODUCT((MONTH(CHOOSE({1,2,3,4},KHP!T247,KHP!X247,KHP!AB247,KHP!AF247))=12)*(CHOOSE({1,2,3,4},KHP!W247,KHP!AA247,KHP!AE247,KHP!AI247)))</f>
        <v>0</v>
      </c>
    </row>
    <row r="248" spans="1:12">
      <c r="A248">
        <f>SUMPRODUCT((MONTH(CHOOSE({1,2,3,4},KHP!T248,KHP!X248,KHP!AB248,KHP!AF248))=1)*(CHOOSE({1,2,3,4},KHP!W248,KHP!AA248,KHP!AE248,KHP!AI248)))</f>
        <v>0</v>
      </c>
      <c r="B248">
        <f>SUMPRODUCT((MONTH(CHOOSE({1,2,3,4},KHP!T248,KHP!X248,KHP!AB248,KHP!AF248))=2)*(CHOOSE({1,2,3,4},KHP!W248,KHP!AA248,KHP!AE248,KHP!AI248)))</f>
        <v>0</v>
      </c>
      <c r="C248">
        <f>SUMPRODUCT((MONTH(CHOOSE({1,2,3,4},KHP!T248,KHP!X248,KHP!AB248,KHP!AF248))=3)*(CHOOSE({1,2,3,4},KHP!W248,KHP!AA248,KHP!AE248,KHP!AI248)))</f>
        <v>0</v>
      </c>
      <c r="D248">
        <f>SUMPRODUCT((MONTH(CHOOSE({1,2,3,4},KHP!T248,KHP!X248,KHP!AB248,KHP!AF248))=4)*(CHOOSE({1,2,3,4},KHP!W248,KHP!AA248,KHP!AE248,KHP!AI248)))</f>
        <v>0</v>
      </c>
      <c r="E248">
        <f>SUMPRODUCT((MONTH(CHOOSE({1,2,3,4},KHP!T248,KHP!X248,KHP!AB248,KHP!AF248))=5)*(CHOOSE({1,2,3,4},KHP!W248,KHP!AA248,KHP!AE248,KHP!AI248)))</f>
        <v>0</v>
      </c>
      <c r="F248">
        <f>SUMPRODUCT((MONTH(CHOOSE({1,2,3,4},KHP!T248,KHP!X248,KHP!AB248,KHP!AF248))=6)*(CHOOSE({1,2,3,4},KHP!W248,KHP!AA248,KHP!AE248,KHP!AI248)))</f>
        <v>0</v>
      </c>
      <c r="G248">
        <f>SUMPRODUCT((MONTH(CHOOSE({1,2,3,4},KHP!T248,KHP!X248,KHP!AB248,KHP!AF248))=7)*(CHOOSE({1,2,3,4},KHP!W248,KHP!AA248,KHP!AE248,KHP!AI248)))</f>
        <v>0</v>
      </c>
      <c r="H248">
        <f>SUMPRODUCT((MONTH(CHOOSE({1,2,3,4},KHP!T248,KHP!X248,KHP!AB248,KHP!AF248))=8)*(CHOOSE({1,2,3,4},KHP!W248,KHP!AA248,KHP!AE248,KHP!AI248)))</f>
        <v>0</v>
      </c>
      <c r="I248">
        <f>SUMPRODUCT((MONTH(CHOOSE({1,2,3,4},KHP!T248,KHP!X248,KHP!AB248,KHP!AF248))=9)*(CHOOSE({1,2,3,4},KHP!W248,KHP!AA248,KHP!AE248,KHP!AI248)))</f>
        <v>0</v>
      </c>
      <c r="J248">
        <f>SUMPRODUCT((MONTH(CHOOSE({1,2,3,4},KHP!T248,KHP!X248,KHP!AB248,KHP!AF248))=10)*(CHOOSE({1,2,3,4},KHP!W248,KHP!AA248,KHP!AE248,KHP!AI248)))</f>
        <v>0</v>
      </c>
      <c r="K248">
        <f>SUMPRODUCT((MONTH(CHOOSE({1,2,3,4},KHP!T248,KHP!X248,KHP!AB248,KHP!AF248))=11)*(CHOOSE({1,2,3,4},KHP!W248,KHP!AA248,KHP!AE248,KHP!AI248)))</f>
        <v>0</v>
      </c>
      <c r="L248">
        <f>SUMPRODUCT((MONTH(CHOOSE({1,2,3,4},KHP!T248,KHP!X248,KHP!AB248,KHP!AF248))=12)*(CHOOSE({1,2,3,4},KHP!W248,KHP!AA248,KHP!AE248,KHP!AI248)))</f>
        <v>0</v>
      </c>
    </row>
    <row r="249" spans="1:12">
      <c r="A249">
        <f>SUMPRODUCT((MONTH(CHOOSE({1,2,3,4},KHP!T249,KHP!X249,KHP!AB249,KHP!AF249))=1)*(CHOOSE({1,2,3,4},KHP!W249,KHP!AA249,KHP!AE249,KHP!AI249)))</f>
        <v>0</v>
      </c>
      <c r="B249">
        <f>SUMPRODUCT((MONTH(CHOOSE({1,2,3,4},KHP!T249,KHP!X249,KHP!AB249,KHP!AF249))=2)*(CHOOSE({1,2,3,4},KHP!W249,KHP!AA249,KHP!AE249,KHP!AI249)))</f>
        <v>0</v>
      </c>
      <c r="C249">
        <f>SUMPRODUCT((MONTH(CHOOSE({1,2,3,4},KHP!T249,KHP!X249,KHP!AB249,KHP!AF249))=3)*(CHOOSE({1,2,3,4},KHP!W249,KHP!AA249,KHP!AE249,KHP!AI249)))</f>
        <v>0</v>
      </c>
      <c r="D249">
        <f>SUMPRODUCT((MONTH(CHOOSE({1,2,3,4},KHP!T249,KHP!X249,KHP!AB249,KHP!AF249))=4)*(CHOOSE({1,2,3,4},KHP!W249,KHP!AA249,KHP!AE249,KHP!AI249)))</f>
        <v>0</v>
      </c>
      <c r="E249">
        <f>SUMPRODUCT((MONTH(CHOOSE({1,2,3,4},KHP!T249,KHP!X249,KHP!AB249,KHP!AF249))=5)*(CHOOSE({1,2,3,4},KHP!W249,KHP!AA249,KHP!AE249,KHP!AI249)))</f>
        <v>0</v>
      </c>
      <c r="F249">
        <f>SUMPRODUCT((MONTH(CHOOSE({1,2,3,4},KHP!T249,KHP!X249,KHP!AB249,KHP!AF249))=6)*(CHOOSE({1,2,3,4},KHP!W249,KHP!AA249,KHP!AE249,KHP!AI249)))</f>
        <v>0</v>
      </c>
      <c r="G249">
        <f>SUMPRODUCT((MONTH(CHOOSE({1,2,3,4},KHP!T249,KHP!X249,KHP!AB249,KHP!AF249))=7)*(CHOOSE({1,2,3,4},KHP!W249,KHP!AA249,KHP!AE249,KHP!AI249)))</f>
        <v>0</v>
      </c>
      <c r="H249">
        <f>SUMPRODUCT((MONTH(CHOOSE({1,2,3,4},KHP!T249,KHP!X249,KHP!AB249,KHP!AF249))=8)*(CHOOSE({1,2,3,4},KHP!W249,KHP!AA249,KHP!AE249,KHP!AI249)))</f>
        <v>0</v>
      </c>
      <c r="I249">
        <f>SUMPRODUCT((MONTH(CHOOSE({1,2,3,4},KHP!T249,KHP!X249,KHP!AB249,KHP!AF249))=9)*(CHOOSE({1,2,3,4},KHP!W249,KHP!AA249,KHP!AE249,KHP!AI249)))</f>
        <v>0</v>
      </c>
      <c r="J249">
        <f>SUMPRODUCT((MONTH(CHOOSE({1,2,3,4},KHP!T249,KHP!X249,KHP!AB249,KHP!AF249))=10)*(CHOOSE({1,2,3,4},KHP!W249,KHP!AA249,KHP!AE249,KHP!AI249)))</f>
        <v>0</v>
      </c>
      <c r="K249">
        <f>SUMPRODUCT((MONTH(CHOOSE({1,2,3,4},KHP!T249,KHP!X249,KHP!AB249,KHP!AF249))=11)*(CHOOSE({1,2,3,4},KHP!W249,KHP!AA249,KHP!AE249,KHP!AI249)))</f>
        <v>0</v>
      </c>
      <c r="L249">
        <f>SUMPRODUCT((MONTH(CHOOSE({1,2,3,4},KHP!T249,KHP!X249,KHP!AB249,KHP!AF249))=12)*(CHOOSE({1,2,3,4},KHP!W249,KHP!AA249,KHP!AE249,KHP!AI249)))</f>
        <v>0</v>
      </c>
    </row>
    <row r="250" spans="1:12">
      <c r="A250">
        <f>SUMPRODUCT((MONTH(CHOOSE({1,2,3,4},KHP!T250,KHP!X250,KHP!AB250,KHP!AF250))=1)*(CHOOSE({1,2,3,4},KHP!W250,KHP!AA250,KHP!AE250,KHP!AI250)))</f>
        <v>0</v>
      </c>
      <c r="B250">
        <f>SUMPRODUCT((MONTH(CHOOSE({1,2,3,4},KHP!T250,KHP!X250,KHP!AB250,KHP!AF250))=2)*(CHOOSE({1,2,3,4},KHP!W250,KHP!AA250,KHP!AE250,KHP!AI250)))</f>
        <v>0</v>
      </c>
      <c r="C250">
        <f>SUMPRODUCT((MONTH(CHOOSE({1,2,3,4},KHP!T250,KHP!X250,KHP!AB250,KHP!AF250))=3)*(CHOOSE({1,2,3,4},KHP!W250,KHP!AA250,KHP!AE250,KHP!AI250)))</f>
        <v>0</v>
      </c>
      <c r="D250">
        <f>SUMPRODUCT((MONTH(CHOOSE({1,2,3,4},KHP!T250,KHP!X250,KHP!AB250,KHP!AF250))=4)*(CHOOSE({1,2,3,4},KHP!W250,KHP!AA250,KHP!AE250,KHP!AI250)))</f>
        <v>0</v>
      </c>
      <c r="E250">
        <f>SUMPRODUCT((MONTH(CHOOSE({1,2,3,4},KHP!T250,KHP!X250,KHP!AB250,KHP!AF250))=5)*(CHOOSE({1,2,3,4},KHP!W250,KHP!AA250,KHP!AE250,KHP!AI250)))</f>
        <v>0</v>
      </c>
      <c r="F250">
        <f>SUMPRODUCT((MONTH(CHOOSE({1,2,3,4},KHP!T250,KHP!X250,KHP!AB250,KHP!AF250))=6)*(CHOOSE({1,2,3,4},KHP!W250,KHP!AA250,KHP!AE250,KHP!AI250)))</f>
        <v>0</v>
      </c>
      <c r="G250">
        <f>SUMPRODUCT((MONTH(CHOOSE({1,2,3,4},KHP!T250,KHP!X250,KHP!AB250,KHP!AF250))=7)*(CHOOSE({1,2,3,4},KHP!W250,KHP!AA250,KHP!AE250,KHP!AI250)))</f>
        <v>0</v>
      </c>
      <c r="H250">
        <f>SUMPRODUCT((MONTH(CHOOSE({1,2,3,4},KHP!T250,KHP!X250,KHP!AB250,KHP!AF250))=8)*(CHOOSE({1,2,3,4},KHP!W250,KHP!AA250,KHP!AE250,KHP!AI250)))</f>
        <v>0</v>
      </c>
      <c r="I250">
        <f>SUMPRODUCT((MONTH(CHOOSE({1,2,3,4},KHP!T250,KHP!X250,KHP!AB250,KHP!AF250))=9)*(CHOOSE({1,2,3,4},KHP!W250,KHP!AA250,KHP!AE250,KHP!AI250)))</f>
        <v>0</v>
      </c>
      <c r="J250">
        <f>SUMPRODUCT((MONTH(CHOOSE({1,2,3,4},KHP!T250,KHP!X250,KHP!AB250,KHP!AF250))=10)*(CHOOSE({1,2,3,4},KHP!W250,KHP!AA250,KHP!AE250,KHP!AI250)))</f>
        <v>0</v>
      </c>
      <c r="K250">
        <f>SUMPRODUCT((MONTH(CHOOSE({1,2,3,4},KHP!T250,KHP!X250,KHP!AB250,KHP!AF250))=11)*(CHOOSE({1,2,3,4},KHP!W250,KHP!AA250,KHP!AE250,KHP!AI250)))</f>
        <v>0</v>
      </c>
      <c r="L250">
        <f>SUMPRODUCT((MONTH(CHOOSE({1,2,3,4},KHP!T250,KHP!X250,KHP!AB250,KHP!AF250))=12)*(CHOOSE({1,2,3,4},KHP!W250,KHP!AA250,KHP!AE250,KHP!AI250)))</f>
        <v>0</v>
      </c>
    </row>
    <row r="251" spans="1:12">
      <c r="A251">
        <f>SUMPRODUCT((MONTH(CHOOSE({1,2,3,4},KHP!T251,KHP!X251,KHP!AB251,KHP!AF251))=1)*(CHOOSE({1,2,3,4},KHP!W251,KHP!AA251,KHP!AE251,KHP!AI251)))</f>
        <v>0</v>
      </c>
      <c r="B251">
        <f>SUMPRODUCT((MONTH(CHOOSE({1,2,3,4},KHP!T251,KHP!X251,KHP!AB251,KHP!AF251))=2)*(CHOOSE({1,2,3,4},KHP!W251,KHP!AA251,KHP!AE251,KHP!AI251)))</f>
        <v>0</v>
      </c>
      <c r="C251">
        <f>SUMPRODUCT((MONTH(CHOOSE({1,2,3,4},KHP!T251,KHP!X251,KHP!AB251,KHP!AF251))=3)*(CHOOSE({1,2,3,4},KHP!W251,KHP!AA251,KHP!AE251,KHP!AI251)))</f>
        <v>0</v>
      </c>
      <c r="D251">
        <f>SUMPRODUCT((MONTH(CHOOSE({1,2,3,4},KHP!T251,KHP!X251,KHP!AB251,KHP!AF251))=4)*(CHOOSE({1,2,3,4},KHP!W251,KHP!AA251,KHP!AE251,KHP!AI251)))</f>
        <v>0</v>
      </c>
      <c r="E251">
        <f>SUMPRODUCT((MONTH(CHOOSE({1,2,3,4},KHP!T251,KHP!X251,KHP!AB251,KHP!AF251))=5)*(CHOOSE({1,2,3,4},KHP!W251,KHP!AA251,KHP!AE251,KHP!AI251)))</f>
        <v>0</v>
      </c>
      <c r="F251">
        <f>SUMPRODUCT((MONTH(CHOOSE({1,2,3,4},KHP!T251,KHP!X251,KHP!AB251,KHP!AF251))=6)*(CHOOSE({1,2,3,4},KHP!W251,KHP!AA251,KHP!AE251,KHP!AI251)))</f>
        <v>0</v>
      </c>
      <c r="G251">
        <f>SUMPRODUCT((MONTH(CHOOSE({1,2,3,4},KHP!T251,KHP!X251,KHP!AB251,KHP!AF251))=7)*(CHOOSE({1,2,3,4},KHP!W251,KHP!AA251,KHP!AE251,KHP!AI251)))</f>
        <v>0</v>
      </c>
      <c r="H251">
        <f>SUMPRODUCT((MONTH(CHOOSE({1,2,3,4},KHP!T251,KHP!X251,KHP!AB251,KHP!AF251))=8)*(CHOOSE({1,2,3,4},KHP!W251,KHP!AA251,KHP!AE251,KHP!AI251)))</f>
        <v>0</v>
      </c>
      <c r="I251">
        <f>SUMPRODUCT((MONTH(CHOOSE({1,2,3,4},KHP!T251,KHP!X251,KHP!AB251,KHP!AF251))=9)*(CHOOSE({1,2,3,4},KHP!W251,KHP!AA251,KHP!AE251,KHP!AI251)))</f>
        <v>0</v>
      </c>
      <c r="J251">
        <f>SUMPRODUCT((MONTH(CHOOSE({1,2,3,4},KHP!T251,KHP!X251,KHP!AB251,KHP!AF251))=10)*(CHOOSE({1,2,3,4},KHP!W251,KHP!AA251,KHP!AE251,KHP!AI251)))</f>
        <v>0</v>
      </c>
      <c r="K251">
        <f>SUMPRODUCT((MONTH(CHOOSE({1,2,3,4},KHP!T251,KHP!X251,KHP!AB251,KHP!AF251))=11)*(CHOOSE({1,2,3,4},KHP!W251,KHP!AA251,KHP!AE251,KHP!AI251)))</f>
        <v>0</v>
      </c>
      <c r="L251">
        <f>SUMPRODUCT((MONTH(CHOOSE({1,2,3,4},KHP!T251,KHP!X251,KHP!AB251,KHP!AF251))=12)*(CHOOSE({1,2,3,4},KHP!W251,KHP!AA251,KHP!AE251,KHP!AI251)))</f>
        <v>0</v>
      </c>
    </row>
    <row r="252" spans="1:12">
      <c r="A252">
        <f>SUMPRODUCT((MONTH(CHOOSE({1,2,3,4},KHP!T252,KHP!X252,KHP!AB252,KHP!AF252))=1)*(CHOOSE({1,2,3,4},KHP!W252,KHP!AA252,KHP!AE252,KHP!AI252)))</f>
        <v>0</v>
      </c>
      <c r="B252">
        <f>SUMPRODUCT((MONTH(CHOOSE({1,2,3,4},KHP!T252,KHP!X252,KHP!AB252,KHP!AF252))=2)*(CHOOSE({1,2,3,4},KHP!W252,KHP!AA252,KHP!AE252,KHP!AI252)))</f>
        <v>0</v>
      </c>
      <c r="C252">
        <f>SUMPRODUCT((MONTH(CHOOSE({1,2,3,4},KHP!T252,KHP!X252,KHP!AB252,KHP!AF252))=3)*(CHOOSE({1,2,3,4},KHP!W252,KHP!AA252,KHP!AE252,KHP!AI252)))</f>
        <v>0</v>
      </c>
      <c r="D252">
        <f>SUMPRODUCT((MONTH(CHOOSE({1,2,3,4},KHP!T252,KHP!X252,KHP!AB252,KHP!AF252))=4)*(CHOOSE({1,2,3,4},KHP!W252,KHP!AA252,KHP!AE252,KHP!AI252)))</f>
        <v>0</v>
      </c>
      <c r="E252">
        <f>SUMPRODUCT((MONTH(CHOOSE({1,2,3,4},KHP!T252,KHP!X252,KHP!AB252,KHP!AF252))=5)*(CHOOSE({1,2,3,4},KHP!W252,KHP!AA252,KHP!AE252,KHP!AI252)))</f>
        <v>0</v>
      </c>
      <c r="F252">
        <f>SUMPRODUCT((MONTH(CHOOSE({1,2,3,4},KHP!T252,KHP!X252,KHP!AB252,KHP!AF252))=6)*(CHOOSE({1,2,3,4},KHP!W252,KHP!AA252,KHP!AE252,KHP!AI252)))</f>
        <v>0</v>
      </c>
      <c r="G252">
        <f>SUMPRODUCT((MONTH(CHOOSE({1,2,3,4},KHP!T252,KHP!X252,KHP!AB252,KHP!AF252))=7)*(CHOOSE({1,2,3,4},KHP!W252,KHP!AA252,KHP!AE252,KHP!AI252)))</f>
        <v>0</v>
      </c>
      <c r="H252">
        <f>SUMPRODUCT((MONTH(CHOOSE({1,2,3,4},KHP!T252,KHP!X252,KHP!AB252,KHP!AF252))=8)*(CHOOSE({1,2,3,4},KHP!W252,KHP!AA252,KHP!AE252,KHP!AI252)))</f>
        <v>0</v>
      </c>
      <c r="I252">
        <f>SUMPRODUCT((MONTH(CHOOSE({1,2,3,4},KHP!T252,KHP!X252,KHP!AB252,KHP!AF252))=9)*(CHOOSE({1,2,3,4},KHP!W252,KHP!AA252,KHP!AE252,KHP!AI252)))</f>
        <v>0</v>
      </c>
      <c r="J252">
        <f>SUMPRODUCT((MONTH(CHOOSE({1,2,3,4},KHP!T252,KHP!X252,KHP!AB252,KHP!AF252))=10)*(CHOOSE({1,2,3,4},KHP!W252,KHP!AA252,KHP!AE252,KHP!AI252)))</f>
        <v>0</v>
      </c>
      <c r="K252">
        <f>SUMPRODUCT((MONTH(CHOOSE({1,2,3,4},KHP!T252,KHP!X252,KHP!AB252,KHP!AF252))=11)*(CHOOSE({1,2,3,4},KHP!W252,KHP!AA252,KHP!AE252,KHP!AI252)))</f>
        <v>0</v>
      </c>
      <c r="L252">
        <f>SUMPRODUCT((MONTH(CHOOSE({1,2,3,4},KHP!T252,KHP!X252,KHP!AB252,KHP!AF252))=12)*(CHOOSE({1,2,3,4},KHP!W252,KHP!AA252,KHP!AE252,KHP!AI252)))</f>
        <v>0</v>
      </c>
    </row>
    <row r="253" spans="1:12">
      <c r="A253">
        <f>SUMPRODUCT((MONTH(CHOOSE({1,2,3,4},KHP!T253,KHP!X253,KHP!AB253,KHP!AF253))=1)*(CHOOSE({1,2,3,4},KHP!W253,KHP!AA253,KHP!AE253,KHP!AI253)))</f>
        <v>0</v>
      </c>
      <c r="B253">
        <f>SUMPRODUCT((MONTH(CHOOSE({1,2,3,4},KHP!T253,KHP!X253,KHP!AB253,KHP!AF253))=2)*(CHOOSE({1,2,3,4},KHP!W253,KHP!AA253,KHP!AE253,KHP!AI253)))</f>
        <v>0</v>
      </c>
      <c r="C253">
        <f>SUMPRODUCT((MONTH(CHOOSE({1,2,3,4},KHP!T253,KHP!X253,KHP!AB253,KHP!AF253))=3)*(CHOOSE({1,2,3,4},KHP!W253,KHP!AA253,KHP!AE253,KHP!AI253)))</f>
        <v>0</v>
      </c>
      <c r="D253">
        <f>SUMPRODUCT((MONTH(CHOOSE({1,2,3,4},KHP!T253,KHP!X253,KHP!AB253,KHP!AF253))=4)*(CHOOSE({1,2,3,4},KHP!W253,KHP!AA253,KHP!AE253,KHP!AI253)))</f>
        <v>0</v>
      </c>
      <c r="E253">
        <f>SUMPRODUCT((MONTH(CHOOSE({1,2,3,4},KHP!T253,KHP!X253,KHP!AB253,KHP!AF253))=5)*(CHOOSE({1,2,3,4},KHP!W253,KHP!AA253,KHP!AE253,KHP!AI253)))</f>
        <v>0</v>
      </c>
      <c r="F253">
        <f>SUMPRODUCT((MONTH(CHOOSE({1,2,3,4},KHP!T253,KHP!X253,KHP!AB253,KHP!AF253))=6)*(CHOOSE({1,2,3,4},KHP!W253,KHP!AA253,KHP!AE253,KHP!AI253)))</f>
        <v>0</v>
      </c>
      <c r="G253">
        <f>SUMPRODUCT((MONTH(CHOOSE({1,2,3,4},KHP!T253,KHP!X253,KHP!AB253,KHP!AF253))=7)*(CHOOSE({1,2,3,4},KHP!W253,KHP!AA253,KHP!AE253,KHP!AI253)))</f>
        <v>0</v>
      </c>
      <c r="H253">
        <f>SUMPRODUCT((MONTH(CHOOSE({1,2,3,4},KHP!T253,KHP!X253,KHP!AB253,KHP!AF253))=8)*(CHOOSE({1,2,3,4},KHP!W253,KHP!AA253,KHP!AE253,KHP!AI253)))</f>
        <v>0</v>
      </c>
      <c r="I253">
        <f>SUMPRODUCT((MONTH(CHOOSE({1,2,3,4},KHP!T253,KHP!X253,KHP!AB253,KHP!AF253))=9)*(CHOOSE({1,2,3,4},KHP!W253,KHP!AA253,KHP!AE253,KHP!AI253)))</f>
        <v>0</v>
      </c>
      <c r="J253">
        <f>SUMPRODUCT((MONTH(CHOOSE({1,2,3,4},KHP!T253,KHP!X253,KHP!AB253,KHP!AF253))=10)*(CHOOSE({1,2,3,4},KHP!W253,KHP!AA253,KHP!AE253,KHP!AI253)))</f>
        <v>0</v>
      </c>
      <c r="K253">
        <f>SUMPRODUCT((MONTH(CHOOSE({1,2,3,4},KHP!T253,KHP!X253,KHP!AB253,KHP!AF253))=11)*(CHOOSE({1,2,3,4},KHP!W253,KHP!AA253,KHP!AE253,KHP!AI253)))</f>
        <v>0</v>
      </c>
      <c r="L253">
        <f>SUMPRODUCT((MONTH(CHOOSE({1,2,3,4},KHP!T253,KHP!X253,KHP!AB253,KHP!AF253))=12)*(CHOOSE({1,2,3,4},KHP!W253,KHP!AA253,KHP!AE253,KHP!AI253)))</f>
        <v>0</v>
      </c>
    </row>
    <row r="254" spans="1:12">
      <c r="A254">
        <f>SUMPRODUCT((MONTH(CHOOSE({1,2,3,4},KHP!T254,KHP!X254,KHP!AB254,KHP!AF254))=1)*(CHOOSE({1,2,3,4},KHP!W254,KHP!AA254,KHP!AE254,KHP!AI254)))</f>
        <v>0</v>
      </c>
      <c r="B254">
        <f>SUMPRODUCT((MONTH(CHOOSE({1,2,3,4},KHP!T254,KHP!X254,KHP!AB254,KHP!AF254))=2)*(CHOOSE({1,2,3,4},KHP!W254,KHP!AA254,KHP!AE254,KHP!AI254)))</f>
        <v>0</v>
      </c>
      <c r="C254">
        <f>SUMPRODUCT((MONTH(CHOOSE({1,2,3,4},KHP!T254,KHP!X254,KHP!AB254,KHP!AF254))=3)*(CHOOSE({1,2,3,4},KHP!W254,KHP!AA254,KHP!AE254,KHP!AI254)))</f>
        <v>0</v>
      </c>
      <c r="D254">
        <f>SUMPRODUCT((MONTH(CHOOSE({1,2,3,4},KHP!T254,KHP!X254,KHP!AB254,KHP!AF254))=4)*(CHOOSE({1,2,3,4},KHP!W254,KHP!AA254,KHP!AE254,KHP!AI254)))</f>
        <v>0</v>
      </c>
      <c r="E254">
        <f>SUMPRODUCT((MONTH(CHOOSE({1,2,3,4},KHP!T254,KHP!X254,KHP!AB254,KHP!AF254))=5)*(CHOOSE({1,2,3,4},KHP!W254,KHP!AA254,KHP!AE254,KHP!AI254)))</f>
        <v>0</v>
      </c>
      <c r="F254">
        <f>SUMPRODUCT((MONTH(CHOOSE({1,2,3,4},KHP!T254,KHP!X254,KHP!AB254,KHP!AF254))=6)*(CHOOSE({1,2,3,4},KHP!W254,KHP!AA254,KHP!AE254,KHP!AI254)))</f>
        <v>0</v>
      </c>
      <c r="G254">
        <f>SUMPRODUCT((MONTH(CHOOSE({1,2,3,4},KHP!T254,KHP!X254,KHP!AB254,KHP!AF254))=7)*(CHOOSE({1,2,3,4},KHP!W254,KHP!AA254,KHP!AE254,KHP!AI254)))</f>
        <v>0</v>
      </c>
      <c r="H254">
        <f>SUMPRODUCT((MONTH(CHOOSE({1,2,3,4},KHP!T254,KHP!X254,KHP!AB254,KHP!AF254))=8)*(CHOOSE({1,2,3,4},KHP!W254,KHP!AA254,KHP!AE254,KHP!AI254)))</f>
        <v>0</v>
      </c>
      <c r="I254">
        <f>SUMPRODUCT((MONTH(CHOOSE({1,2,3,4},KHP!T254,KHP!X254,KHP!AB254,KHP!AF254))=9)*(CHOOSE({1,2,3,4},KHP!W254,KHP!AA254,KHP!AE254,KHP!AI254)))</f>
        <v>0</v>
      </c>
      <c r="J254">
        <f>SUMPRODUCT((MONTH(CHOOSE({1,2,3,4},KHP!T254,KHP!X254,KHP!AB254,KHP!AF254))=10)*(CHOOSE({1,2,3,4},KHP!W254,KHP!AA254,KHP!AE254,KHP!AI254)))</f>
        <v>0</v>
      </c>
      <c r="K254">
        <f>SUMPRODUCT((MONTH(CHOOSE({1,2,3,4},KHP!T254,KHP!X254,KHP!AB254,KHP!AF254))=11)*(CHOOSE({1,2,3,4},KHP!W254,KHP!AA254,KHP!AE254,KHP!AI254)))</f>
        <v>0</v>
      </c>
      <c r="L254">
        <f>SUMPRODUCT((MONTH(CHOOSE({1,2,3,4},KHP!T254,KHP!X254,KHP!AB254,KHP!AF254))=12)*(CHOOSE({1,2,3,4},KHP!W254,KHP!AA254,KHP!AE254,KHP!AI254)))</f>
        <v>0</v>
      </c>
    </row>
    <row r="255" spans="1:12">
      <c r="A255">
        <f>SUMPRODUCT((MONTH(CHOOSE({1,2,3,4},KHP!T255,KHP!X255,KHP!AB255,KHP!AF255))=1)*(CHOOSE({1,2,3,4},KHP!W255,KHP!AA255,KHP!AE255,KHP!AI255)))</f>
        <v>0</v>
      </c>
      <c r="B255">
        <f>SUMPRODUCT((MONTH(CHOOSE({1,2,3,4},KHP!T255,KHP!X255,KHP!AB255,KHP!AF255))=2)*(CHOOSE({1,2,3,4},KHP!W255,KHP!AA255,KHP!AE255,KHP!AI255)))</f>
        <v>0</v>
      </c>
      <c r="C255">
        <f>SUMPRODUCT((MONTH(CHOOSE({1,2,3,4},KHP!T255,KHP!X255,KHP!AB255,KHP!AF255))=3)*(CHOOSE({1,2,3,4},KHP!W255,KHP!AA255,KHP!AE255,KHP!AI255)))</f>
        <v>0</v>
      </c>
      <c r="D255">
        <f>SUMPRODUCT((MONTH(CHOOSE({1,2,3,4},KHP!T255,KHP!X255,KHP!AB255,KHP!AF255))=4)*(CHOOSE({1,2,3,4},KHP!W255,KHP!AA255,KHP!AE255,KHP!AI255)))</f>
        <v>0</v>
      </c>
      <c r="E255">
        <f>SUMPRODUCT((MONTH(CHOOSE({1,2,3,4},KHP!T255,KHP!X255,KHP!AB255,KHP!AF255))=5)*(CHOOSE({1,2,3,4},KHP!W255,KHP!AA255,KHP!AE255,KHP!AI255)))</f>
        <v>0</v>
      </c>
      <c r="F255">
        <f>SUMPRODUCT((MONTH(CHOOSE({1,2,3,4},KHP!T255,KHP!X255,KHP!AB255,KHP!AF255))=6)*(CHOOSE({1,2,3,4},KHP!W255,KHP!AA255,KHP!AE255,KHP!AI255)))</f>
        <v>0</v>
      </c>
      <c r="G255">
        <f>SUMPRODUCT((MONTH(CHOOSE({1,2,3,4},KHP!T255,KHP!X255,KHP!AB255,KHP!AF255))=7)*(CHOOSE({1,2,3,4},KHP!W255,KHP!AA255,KHP!AE255,KHP!AI255)))</f>
        <v>0</v>
      </c>
      <c r="H255">
        <f>SUMPRODUCT((MONTH(CHOOSE({1,2,3,4},KHP!T255,KHP!X255,KHP!AB255,KHP!AF255))=8)*(CHOOSE({1,2,3,4},KHP!W255,KHP!AA255,KHP!AE255,KHP!AI255)))</f>
        <v>0</v>
      </c>
      <c r="I255">
        <f>SUMPRODUCT((MONTH(CHOOSE({1,2,3,4},KHP!T255,KHP!X255,KHP!AB255,KHP!AF255))=9)*(CHOOSE({1,2,3,4},KHP!W255,KHP!AA255,KHP!AE255,KHP!AI255)))</f>
        <v>0</v>
      </c>
      <c r="J255">
        <f>SUMPRODUCT((MONTH(CHOOSE({1,2,3,4},KHP!T255,KHP!X255,KHP!AB255,KHP!AF255))=10)*(CHOOSE({1,2,3,4},KHP!W255,KHP!AA255,KHP!AE255,KHP!AI255)))</f>
        <v>0</v>
      </c>
      <c r="K255">
        <f>SUMPRODUCT((MONTH(CHOOSE({1,2,3,4},KHP!T255,KHP!X255,KHP!AB255,KHP!AF255))=11)*(CHOOSE({1,2,3,4},KHP!W255,KHP!AA255,KHP!AE255,KHP!AI255)))</f>
        <v>0</v>
      </c>
      <c r="L255">
        <f>SUMPRODUCT((MONTH(CHOOSE({1,2,3,4},KHP!T255,KHP!X255,KHP!AB255,KHP!AF255))=12)*(CHOOSE({1,2,3,4},KHP!W255,KHP!AA255,KHP!AE255,KHP!AI255)))</f>
        <v>0</v>
      </c>
    </row>
    <row r="256" spans="1:12">
      <c r="A256">
        <f>SUMPRODUCT((MONTH(CHOOSE({1,2,3,4},KHP!T256,KHP!X256,KHP!AB256,KHP!AF256))=1)*(CHOOSE({1,2,3,4},KHP!W256,KHP!AA256,KHP!AE256,KHP!AI256)))</f>
        <v>0</v>
      </c>
      <c r="B256">
        <f>SUMPRODUCT((MONTH(CHOOSE({1,2,3,4},KHP!T256,KHP!X256,KHP!AB256,KHP!AF256))=2)*(CHOOSE({1,2,3,4},KHP!W256,KHP!AA256,KHP!AE256,KHP!AI256)))</f>
        <v>0</v>
      </c>
      <c r="C256">
        <f>SUMPRODUCT((MONTH(CHOOSE({1,2,3,4},KHP!T256,KHP!X256,KHP!AB256,KHP!AF256))=3)*(CHOOSE({1,2,3,4},KHP!W256,KHP!AA256,KHP!AE256,KHP!AI256)))</f>
        <v>0</v>
      </c>
      <c r="D256">
        <f>SUMPRODUCT((MONTH(CHOOSE({1,2,3,4},KHP!T256,KHP!X256,KHP!AB256,KHP!AF256))=4)*(CHOOSE({1,2,3,4},KHP!W256,KHP!AA256,KHP!AE256,KHP!AI256)))</f>
        <v>0</v>
      </c>
      <c r="E256">
        <f>SUMPRODUCT((MONTH(CHOOSE({1,2,3,4},KHP!T256,KHP!X256,KHP!AB256,KHP!AF256))=5)*(CHOOSE({1,2,3,4},KHP!W256,KHP!AA256,KHP!AE256,KHP!AI256)))</f>
        <v>0</v>
      </c>
      <c r="F256">
        <f>SUMPRODUCT((MONTH(CHOOSE({1,2,3,4},KHP!T256,KHP!X256,KHP!AB256,KHP!AF256))=6)*(CHOOSE({1,2,3,4},KHP!W256,KHP!AA256,KHP!AE256,KHP!AI256)))</f>
        <v>0</v>
      </c>
      <c r="G256">
        <f>SUMPRODUCT((MONTH(CHOOSE({1,2,3,4},KHP!T256,KHP!X256,KHP!AB256,KHP!AF256))=7)*(CHOOSE({1,2,3,4},KHP!W256,KHP!AA256,KHP!AE256,KHP!AI256)))</f>
        <v>0</v>
      </c>
      <c r="H256">
        <f>SUMPRODUCT((MONTH(CHOOSE({1,2,3,4},KHP!T256,KHP!X256,KHP!AB256,KHP!AF256))=8)*(CHOOSE({1,2,3,4},KHP!W256,KHP!AA256,KHP!AE256,KHP!AI256)))</f>
        <v>0</v>
      </c>
      <c r="I256">
        <f>SUMPRODUCT((MONTH(CHOOSE({1,2,3,4},KHP!T256,KHP!X256,KHP!AB256,KHP!AF256))=9)*(CHOOSE({1,2,3,4},KHP!W256,KHP!AA256,KHP!AE256,KHP!AI256)))</f>
        <v>0</v>
      </c>
      <c r="J256">
        <f>SUMPRODUCT((MONTH(CHOOSE({1,2,3,4},KHP!T256,KHP!X256,KHP!AB256,KHP!AF256))=10)*(CHOOSE({1,2,3,4},KHP!W256,KHP!AA256,KHP!AE256,KHP!AI256)))</f>
        <v>0</v>
      </c>
      <c r="K256">
        <f>SUMPRODUCT((MONTH(CHOOSE({1,2,3,4},KHP!T256,KHP!X256,KHP!AB256,KHP!AF256))=11)*(CHOOSE({1,2,3,4},KHP!W256,KHP!AA256,KHP!AE256,KHP!AI256)))</f>
        <v>0</v>
      </c>
      <c r="L256">
        <f>SUMPRODUCT((MONTH(CHOOSE({1,2,3,4},KHP!T256,KHP!X256,KHP!AB256,KHP!AF256))=12)*(CHOOSE({1,2,3,4},KHP!W256,KHP!AA256,KHP!AE256,KHP!AI256)))</f>
        <v>0</v>
      </c>
    </row>
    <row r="257" spans="1:12">
      <c r="A257">
        <f>SUMPRODUCT((MONTH(CHOOSE({1,2,3,4},KHP!T257,KHP!X257,KHP!AB257,KHP!AF257))=1)*(CHOOSE({1,2,3,4},KHP!W257,KHP!AA257,KHP!AE257,KHP!AI257)))</f>
        <v>0</v>
      </c>
      <c r="B257">
        <f>SUMPRODUCT((MONTH(CHOOSE({1,2,3,4},KHP!T257,KHP!X257,KHP!AB257,KHP!AF257))=2)*(CHOOSE({1,2,3,4},KHP!W257,KHP!AA257,KHP!AE257,KHP!AI257)))</f>
        <v>0</v>
      </c>
      <c r="C257">
        <f>SUMPRODUCT((MONTH(CHOOSE({1,2,3,4},KHP!T257,KHP!X257,KHP!AB257,KHP!AF257))=3)*(CHOOSE({1,2,3,4},KHP!W257,KHP!AA257,KHP!AE257,KHP!AI257)))</f>
        <v>0</v>
      </c>
      <c r="D257">
        <f>SUMPRODUCT((MONTH(CHOOSE({1,2,3,4},KHP!T257,KHP!X257,KHP!AB257,KHP!AF257))=4)*(CHOOSE({1,2,3,4},KHP!W257,KHP!AA257,KHP!AE257,KHP!AI257)))</f>
        <v>0</v>
      </c>
      <c r="E257">
        <f>SUMPRODUCT((MONTH(CHOOSE({1,2,3,4},KHP!T257,KHP!X257,KHP!AB257,KHP!AF257))=5)*(CHOOSE({1,2,3,4},KHP!W257,KHP!AA257,KHP!AE257,KHP!AI257)))</f>
        <v>0</v>
      </c>
      <c r="F257">
        <f>SUMPRODUCT((MONTH(CHOOSE({1,2,3,4},KHP!T257,KHP!X257,KHP!AB257,KHP!AF257))=6)*(CHOOSE({1,2,3,4},KHP!W257,KHP!AA257,KHP!AE257,KHP!AI257)))</f>
        <v>0</v>
      </c>
      <c r="G257">
        <f>SUMPRODUCT((MONTH(CHOOSE({1,2,3,4},KHP!T257,KHP!X257,KHP!AB257,KHP!AF257))=7)*(CHOOSE({1,2,3,4},KHP!W257,KHP!AA257,KHP!AE257,KHP!AI257)))</f>
        <v>0</v>
      </c>
      <c r="H257">
        <f>SUMPRODUCT((MONTH(CHOOSE({1,2,3,4},KHP!T257,KHP!X257,KHP!AB257,KHP!AF257))=8)*(CHOOSE({1,2,3,4},KHP!W257,KHP!AA257,KHP!AE257,KHP!AI257)))</f>
        <v>0</v>
      </c>
      <c r="I257">
        <f>SUMPRODUCT((MONTH(CHOOSE({1,2,3,4},KHP!T257,KHP!X257,KHP!AB257,KHP!AF257))=9)*(CHOOSE({1,2,3,4},KHP!W257,KHP!AA257,KHP!AE257,KHP!AI257)))</f>
        <v>0</v>
      </c>
      <c r="J257">
        <f>SUMPRODUCT((MONTH(CHOOSE({1,2,3,4},KHP!T257,KHP!X257,KHP!AB257,KHP!AF257))=10)*(CHOOSE({1,2,3,4},KHP!W257,KHP!AA257,KHP!AE257,KHP!AI257)))</f>
        <v>0</v>
      </c>
      <c r="K257">
        <f>SUMPRODUCT((MONTH(CHOOSE({1,2,3,4},KHP!T257,KHP!X257,KHP!AB257,KHP!AF257))=11)*(CHOOSE({1,2,3,4},KHP!W257,KHP!AA257,KHP!AE257,KHP!AI257)))</f>
        <v>0</v>
      </c>
      <c r="L257">
        <f>SUMPRODUCT((MONTH(CHOOSE({1,2,3,4},KHP!T257,KHP!X257,KHP!AB257,KHP!AF257))=12)*(CHOOSE({1,2,3,4},KHP!W257,KHP!AA257,KHP!AE257,KHP!AI257)))</f>
        <v>0</v>
      </c>
    </row>
    <row r="258" spans="1:12">
      <c r="A258">
        <f>SUMPRODUCT((MONTH(CHOOSE({1,2,3,4},KHP!T258,KHP!X258,KHP!AB258,KHP!AF258))=1)*(CHOOSE({1,2,3,4},KHP!W258,KHP!AA258,KHP!AE258,KHP!AI258)))</f>
        <v>0</v>
      </c>
      <c r="B258">
        <f>SUMPRODUCT((MONTH(CHOOSE({1,2,3,4},KHP!T258,KHP!X258,KHP!AB258,KHP!AF258))=2)*(CHOOSE({1,2,3,4},KHP!W258,KHP!AA258,KHP!AE258,KHP!AI258)))</f>
        <v>0</v>
      </c>
      <c r="C258">
        <f>SUMPRODUCT((MONTH(CHOOSE({1,2,3,4},KHP!T258,KHP!X258,KHP!AB258,KHP!AF258))=3)*(CHOOSE({1,2,3,4},KHP!W258,KHP!AA258,KHP!AE258,KHP!AI258)))</f>
        <v>0</v>
      </c>
      <c r="D258">
        <f>SUMPRODUCT((MONTH(CHOOSE({1,2,3,4},KHP!T258,KHP!X258,KHP!AB258,KHP!AF258))=4)*(CHOOSE({1,2,3,4},KHP!W258,KHP!AA258,KHP!AE258,KHP!AI258)))</f>
        <v>0</v>
      </c>
      <c r="E258">
        <f>SUMPRODUCT((MONTH(CHOOSE({1,2,3,4},KHP!T258,KHP!X258,KHP!AB258,KHP!AF258))=5)*(CHOOSE({1,2,3,4},KHP!W258,KHP!AA258,KHP!AE258,KHP!AI258)))</f>
        <v>0</v>
      </c>
      <c r="F258">
        <f>SUMPRODUCT((MONTH(CHOOSE({1,2,3,4},KHP!T258,KHP!X258,KHP!AB258,KHP!AF258))=6)*(CHOOSE({1,2,3,4},KHP!W258,KHP!AA258,KHP!AE258,KHP!AI258)))</f>
        <v>0</v>
      </c>
      <c r="G258">
        <f>SUMPRODUCT((MONTH(CHOOSE({1,2,3,4},KHP!T258,KHP!X258,KHP!AB258,KHP!AF258))=7)*(CHOOSE({1,2,3,4},KHP!W258,KHP!AA258,KHP!AE258,KHP!AI258)))</f>
        <v>0</v>
      </c>
      <c r="H258">
        <f>SUMPRODUCT((MONTH(CHOOSE({1,2,3,4},KHP!T258,KHP!X258,KHP!AB258,KHP!AF258))=8)*(CHOOSE({1,2,3,4},KHP!W258,KHP!AA258,KHP!AE258,KHP!AI258)))</f>
        <v>0</v>
      </c>
      <c r="I258">
        <f>SUMPRODUCT((MONTH(CHOOSE({1,2,3,4},KHP!T258,KHP!X258,KHP!AB258,KHP!AF258))=9)*(CHOOSE({1,2,3,4},KHP!W258,KHP!AA258,KHP!AE258,KHP!AI258)))</f>
        <v>0</v>
      </c>
      <c r="J258">
        <f>SUMPRODUCT((MONTH(CHOOSE({1,2,3,4},KHP!T258,KHP!X258,KHP!AB258,KHP!AF258))=10)*(CHOOSE({1,2,3,4},KHP!W258,KHP!AA258,KHP!AE258,KHP!AI258)))</f>
        <v>0</v>
      </c>
      <c r="K258">
        <f>SUMPRODUCT((MONTH(CHOOSE({1,2,3,4},KHP!T258,KHP!X258,KHP!AB258,KHP!AF258))=11)*(CHOOSE({1,2,3,4},KHP!W258,KHP!AA258,KHP!AE258,KHP!AI258)))</f>
        <v>0</v>
      </c>
      <c r="L258">
        <f>SUMPRODUCT((MONTH(CHOOSE({1,2,3,4},KHP!T258,KHP!X258,KHP!AB258,KHP!AF258))=12)*(CHOOSE({1,2,3,4},KHP!W258,KHP!AA258,KHP!AE258,KHP!AI258)))</f>
        <v>0</v>
      </c>
    </row>
    <row r="259" spans="1:12">
      <c r="A259">
        <f>SUMPRODUCT((MONTH(CHOOSE({1,2,3,4},KHP!T259,KHP!X259,KHP!AB259,KHP!AF259))=1)*(CHOOSE({1,2,3,4},KHP!W259,KHP!AA259,KHP!AE259,KHP!AI259)))</f>
        <v>0</v>
      </c>
      <c r="B259">
        <f>SUMPRODUCT((MONTH(CHOOSE({1,2,3,4},KHP!T259,KHP!X259,KHP!AB259,KHP!AF259))=2)*(CHOOSE({1,2,3,4},KHP!W259,KHP!AA259,KHP!AE259,KHP!AI259)))</f>
        <v>0</v>
      </c>
      <c r="C259">
        <f>SUMPRODUCT((MONTH(CHOOSE({1,2,3,4},KHP!T259,KHP!X259,KHP!AB259,KHP!AF259))=3)*(CHOOSE({1,2,3,4},KHP!W259,KHP!AA259,KHP!AE259,KHP!AI259)))</f>
        <v>0</v>
      </c>
      <c r="D259">
        <f>SUMPRODUCT((MONTH(CHOOSE({1,2,3,4},KHP!T259,KHP!X259,KHP!AB259,KHP!AF259))=4)*(CHOOSE({1,2,3,4},KHP!W259,KHP!AA259,KHP!AE259,KHP!AI259)))</f>
        <v>0</v>
      </c>
      <c r="E259">
        <f>SUMPRODUCT((MONTH(CHOOSE({1,2,3,4},KHP!T259,KHP!X259,KHP!AB259,KHP!AF259))=5)*(CHOOSE({1,2,3,4},KHP!W259,KHP!AA259,KHP!AE259,KHP!AI259)))</f>
        <v>0</v>
      </c>
      <c r="F259">
        <f>SUMPRODUCT((MONTH(CHOOSE({1,2,3,4},KHP!T259,KHP!X259,KHP!AB259,KHP!AF259))=6)*(CHOOSE({1,2,3,4},KHP!W259,KHP!AA259,KHP!AE259,KHP!AI259)))</f>
        <v>0</v>
      </c>
      <c r="G259">
        <f>SUMPRODUCT((MONTH(CHOOSE({1,2,3,4},KHP!T259,KHP!X259,KHP!AB259,KHP!AF259))=7)*(CHOOSE({1,2,3,4},KHP!W259,KHP!AA259,KHP!AE259,KHP!AI259)))</f>
        <v>0</v>
      </c>
      <c r="H259">
        <f>SUMPRODUCT((MONTH(CHOOSE({1,2,3,4},KHP!T259,KHP!X259,KHP!AB259,KHP!AF259))=8)*(CHOOSE({1,2,3,4},KHP!W259,KHP!AA259,KHP!AE259,KHP!AI259)))</f>
        <v>0</v>
      </c>
      <c r="I259">
        <f>SUMPRODUCT((MONTH(CHOOSE({1,2,3,4},KHP!T259,KHP!X259,KHP!AB259,KHP!AF259))=9)*(CHOOSE({1,2,3,4},KHP!W259,KHP!AA259,KHP!AE259,KHP!AI259)))</f>
        <v>0</v>
      </c>
      <c r="J259">
        <f>SUMPRODUCT((MONTH(CHOOSE({1,2,3,4},KHP!T259,KHP!X259,KHP!AB259,KHP!AF259))=10)*(CHOOSE({1,2,3,4},KHP!W259,KHP!AA259,KHP!AE259,KHP!AI259)))</f>
        <v>0</v>
      </c>
      <c r="K259">
        <f>SUMPRODUCT((MONTH(CHOOSE({1,2,3,4},KHP!T259,KHP!X259,KHP!AB259,KHP!AF259))=11)*(CHOOSE({1,2,3,4},KHP!W259,KHP!AA259,KHP!AE259,KHP!AI259)))</f>
        <v>0</v>
      </c>
      <c r="L259">
        <f>SUMPRODUCT((MONTH(CHOOSE({1,2,3,4},KHP!T259,KHP!X259,KHP!AB259,KHP!AF259))=12)*(CHOOSE({1,2,3,4},KHP!W259,KHP!AA259,KHP!AE259,KHP!AI259)))</f>
        <v>0</v>
      </c>
    </row>
    <row r="260" spans="1:12">
      <c r="A260">
        <f>SUMPRODUCT((MONTH(CHOOSE({1,2,3,4},KHP!T260,KHP!X260,KHP!AB260,KHP!AF260))=1)*(CHOOSE({1,2,3,4},KHP!W260,KHP!AA260,KHP!AE260,KHP!AI260)))</f>
        <v>0</v>
      </c>
      <c r="B260">
        <f>SUMPRODUCT((MONTH(CHOOSE({1,2,3,4},KHP!T260,KHP!X260,KHP!AB260,KHP!AF260))=2)*(CHOOSE({1,2,3,4},KHP!W260,KHP!AA260,KHP!AE260,KHP!AI260)))</f>
        <v>0</v>
      </c>
      <c r="C260">
        <f>SUMPRODUCT((MONTH(CHOOSE({1,2,3,4},KHP!T260,KHP!X260,KHP!AB260,KHP!AF260))=3)*(CHOOSE({1,2,3,4},KHP!W260,KHP!AA260,KHP!AE260,KHP!AI260)))</f>
        <v>0</v>
      </c>
      <c r="D260">
        <f>SUMPRODUCT((MONTH(CHOOSE({1,2,3,4},KHP!T260,KHP!X260,KHP!AB260,KHP!AF260))=4)*(CHOOSE({1,2,3,4},KHP!W260,KHP!AA260,KHP!AE260,KHP!AI260)))</f>
        <v>0</v>
      </c>
      <c r="E260">
        <f>SUMPRODUCT((MONTH(CHOOSE({1,2,3,4},KHP!T260,KHP!X260,KHP!AB260,KHP!AF260))=5)*(CHOOSE({1,2,3,4},KHP!W260,KHP!AA260,KHP!AE260,KHP!AI260)))</f>
        <v>0</v>
      </c>
      <c r="F260">
        <f>SUMPRODUCT((MONTH(CHOOSE({1,2,3,4},KHP!T260,KHP!X260,KHP!AB260,KHP!AF260))=6)*(CHOOSE({1,2,3,4},KHP!W260,KHP!AA260,KHP!AE260,KHP!AI260)))</f>
        <v>0</v>
      </c>
      <c r="G260">
        <f>SUMPRODUCT((MONTH(CHOOSE({1,2,3,4},KHP!T260,KHP!X260,KHP!AB260,KHP!AF260))=7)*(CHOOSE({1,2,3,4},KHP!W260,KHP!AA260,KHP!AE260,KHP!AI260)))</f>
        <v>0</v>
      </c>
      <c r="H260">
        <f>SUMPRODUCT((MONTH(CHOOSE({1,2,3,4},KHP!T260,KHP!X260,KHP!AB260,KHP!AF260))=8)*(CHOOSE({1,2,3,4},KHP!W260,KHP!AA260,KHP!AE260,KHP!AI260)))</f>
        <v>0</v>
      </c>
      <c r="I260">
        <f>SUMPRODUCT((MONTH(CHOOSE({1,2,3,4},KHP!T260,KHP!X260,KHP!AB260,KHP!AF260))=9)*(CHOOSE({1,2,3,4},KHP!W260,KHP!AA260,KHP!AE260,KHP!AI260)))</f>
        <v>0</v>
      </c>
      <c r="J260">
        <f>SUMPRODUCT((MONTH(CHOOSE({1,2,3,4},KHP!T260,KHP!X260,KHP!AB260,KHP!AF260))=10)*(CHOOSE({1,2,3,4},KHP!W260,KHP!AA260,KHP!AE260,KHP!AI260)))</f>
        <v>0</v>
      </c>
      <c r="K260">
        <f>SUMPRODUCT((MONTH(CHOOSE({1,2,3,4},KHP!T260,KHP!X260,KHP!AB260,KHP!AF260))=11)*(CHOOSE({1,2,3,4},KHP!W260,KHP!AA260,KHP!AE260,KHP!AI260)))</f>
        <v>0</v>
      </c>
      <c r="L260">
        <f>SUMPRODUCT((MONTH(CHOOSE({1,2,3,4},KHP!T260,KHP!X260,KHP!AB260,KHP!AF260))=12)*(CHOOSE({1,2,3,4},KHP!W260,KHP!AA260,KHP!AE260,KHP!AI260)))</f>
        <v>0</v>
      </c>
    </row>
    <row r="261" spans="1:12">
      <c r="A261">
        <f>SUMPRODUCT((MONTH(CHOOSE({1,2,3,4},KHP!T261,KHP!X261,KHP!AB261,KHP!AF261))=1)*(CHOOSE({1,2,3,4},KHP!W261,KHP!AA261,KHP!AE261,KHP!AI261)))</f>
        <v>0</v>
      </c>
      <c r="B261">
        <f>SUMPRODUCT((MONTH(CHOOSE({1,2,3,4},KHP!T261,KHP!X261,KHP!AB261,KHP!AF261))=2)*(CHOOSE({1,2,3,4},KHP!W261,KHP!AA261,KHP!AE261,KHP!AI261)))</f>
        <v>0</v>
      </c>
      <c r="C261">
        <f>SUMPRODUCT((MONTH(CHOOSE({1,2,3,4},KHP!T261,KHP!X261,KHP!AB261,KHP!AF261))=3)*(CHOOSE({1,2,3,4},KHP!W261,KHP!AA261,KHP!AE261,KHP!AI261)))</f>
        <v>0</v>
      </c>
      <c r="D261">
        <f>SUMPRODUCT((MONTH(CHOOSE({1,2,3,4},KHP!T261,KHP!X261,KHP!AB261,KHP!AF261))=4)*(CHOOSE({1,2,3,4},KHP!W261,KHP!AA261,KHP!AE261,KHP!AI261)))</f>
        <v>0</v>
      </c>
      <c r="E261">
        <f>SUMPRODUCT((MONTH(CHOOSE({1,2,3,4},KHP!T261,KHP!X261,KHP!AB261,KHP!AF261))=5)*(CHOOSE({1,2,3,4},KHP!W261,KHP!AA261,KHP!AE261,KHP!AI261)))</f>
        <v>0</v>
      </c>
      <c r="F261">
        <f>SUMPRODUCT((MONTH(CHOOSE({1,2,3,4},KHP!T261,KHP!X261,KHP!AB261,KHP!AF261))=6)*(CHOOSE({1,2,3,4},KHP!W261,KHP!AA261,KHP!AE261,KHP!AI261)))</f>
        <v>0</v>
      </c>
      <c r="G261">
        <f>SUMPRODUCT((MONTH(CHOOSE({1,2,3,4},KHP!T261,KHP!X261,KHP!AB261,KHP!AF261))=7)*(CHOOSE({1,2,3,4},KHP!W261,KHP!AA261,KHP!AE261,KHP!AI261)))</f>
        <v>0</v>
      </c>
      <c r="H261">
        <f>SUMPRODUCT((MONTH(CHOOSE({1,2,3,4},KHP!T261,KHP!X261,KHP!AB261,KHP!AF261))=8)*(CHOOSE({1,2,3,4},KHP!W261,KHP!AA261,KHP!AE261,KHP!AI261)))</f>
        <v>0</v>
      </c>
      <c r="I261">
        <f>SUMPRODUCT((MONTH(CHOOSE({1,2,3,4},KHP!T261,KHP!X261,KHP!AB261,KHP!AF261))=9)*(CHOOSE({1,2,3,4},KHP!W261,KHP!AA261,KHP!AE261,KHP!AI261)))</f>
        <v>0</v>
      </c>
      <c r="J261">
        <f>SUMPRODUCT((MONTH(CHOOSE({1,2,3,4},KHP!T261,KHP!X261,KHP!AB261,KHP!AF261))=10)*(CHOOSE({1,2,3,4},KHP!W261,KHP!AA261,KHP!AE261,KHP!AI261)))</f>
        <v>0</v>
      </c>
      <c r="K261">
        <f>SUMPRODUCT((MONTH(CHOOSE({1,2,3,4},KHP!T261,KHP!X261,KHP!AB261,KHP!AF261))=11)*(CHOOSE({1,2,3,4},KHP!W261,KHP!AA261,KHP!AE261,KHP!AI261)))</f>
        <v>0</v>
      </c>
      <c r="L261">
        <f>SUMPRODUCT((MONTH(CHOOSE({1,2,3,4},KHP!T261,KHP!X261,KHP!AB261,KHP!AF261))=12)*(CHOOSE({1,2,3,4},KHP!W261,KHP!AA261,KHP!AE261,KHP!AI261)))</f>
        <v>0</v>
      </c>
    </row>
    <row r="262" spans="1:12">
      <c r="A262">
        <f>SUMPRODUCT((MONTH(CHOOSE({1,2,3,4},KHP!T262,KHP!X262,KHP!AB262,KHP!AF262))=1)*(CHOOSE({1,2,3,4},KHP!W262,KHP!AA262,KHP!AE262,KHP!AI262)))</f>
        <v>0</v>
      </c>
      <c r="B262">
        <f>SUMPRODUCT((MONTH(CHOOSE({1,2,3,4},KHP!T262,KHP!X262,KHP!AB262,KHP!AF262))=2)*(CHOOSE({1,2,3,4},KHP!W262,KHP!AA262,KHP!AE262,KHP!AI262)))</f>
        <v>0</v>
      </c>
      <c r="C262">
        <f>SUMPRODUCT((MONTH(CHOOSE({1,2,3,4},KHP!T262,KHP!X262,KHP!AB262,KHP!AF262))=3)*(CHOOSE({1,2,3,4},KHP!W262,KHP!AA262,KHP!AE262,KHP!AI262)))</f>
        <v>0</v>
      </c>
      <c r="D262">
        <f>SUMPRODUCT((MONTH(CHOOSE({1,2,3,4},KHP!T262,KHP!X262,KHP!AB262,KHP!AF262))=4)*(CHOOSE({1,2,3,4},KHP!W262,KHP!AA262,KHP!AE262,KHP!AI262)))</f>
        <v>0</v>
      </c>
      <c r="E262">
        <f>SUMPRODUCT((MONTH(CHOOSE({1,2,3,4},KHP!T262,KHP!X262,KHP!AB262,KHP!AF262))=5)*(CHOOSE({1,2,3,4},KHP!W262,KHP!AA262,KHP!AE262,KHP!AI262)))</f>
        <v>0</v>
      </c>
      <c r="F262">
        <f>SUMPRODUCT((MONTH(CHOOSE({1,2,3,4},KHP!T262,KHP!X262,KHP!AB262,KHP!AF262))=6)*(CHOOSE({1,2,3,4},KHP!W262,KHP!AA262,KHP!AE262,KHP!AI262)))</f>
        <v>0</v>
      </c>
      <c r="G262">
        <f>SUMPRODUCT((MONTH(CHOOSE({1,2,3,4},KHP!T262,KHP!X262,KHP!AB262,KHP!AF262))=7)*(CHOOSE({1,2,3,4},KHP!W262,KHP!AA262,KHP!AE262,KHP!AI262)))</f>
        <v>0</v>
      </c>
      <c r="H262">
        <f>SUMPRODUCT((MONTH(CHOOSE({1,2,3,4},KHP!T262,KHP!X262,KHP!AB262,KHP!AF262))=8)*(CHOOSE({1,2,3,4},KHP!W262,KHP!AA262,KHP!AE262,KHP!AI262)))</f>
        <v>0</v>
      </c>
      <c r="I262">
        <f>SUMPRODUCT((MONTH(CHOOSE({1,2,3,4},KHP!T262,KHP!X262,KHP!AB262,KHP!AF262))=9)*(CHOOSE({1,2,3,4},KHP!W262,KHP!AA262,KHP!AE262,KHP!AI262)))</f>
        <v>0</v>
      </c>
      <c r="J262">
        <f>SUMPRODUCT((MONTH(CHOOSE({1,2,3,4},KHP!T262,KHP!X262,KHP!AB262,KHP!AF262))=10)*(CHOOSE({1,2,3,4},KHP!W262,KHP!AA262,KHP!AE262,KHP!AI262)))</f>
        <v>0</v>
      </c>
      <c r="K262">
        <f>SUMPRODUCT((MONTH(CHOOSE({1,2,3,4},KHP!T262,KHP!X262,KHP!AB262,KHP!AF262))=11)*(CHOOSE({1,2,3,4},KHP!W262,KHP!AA262,KHP!AE262,KHP!AI262)))</f>
        <v>0</v>
      </c>
      <c r="L262">
        <f>SUMPRODUCT((MONTH(CHOOSE({1,2,3,4},KHP!T262,KHP!X262,KHP!AB262,KHP!AF262))=12)*(CHOOSE({1,2,3,4},KHP!W262,KHP!AA262,KHP!AE262,KHP!AI262)))</f>
        <v>0</v>
      </c>
    </row>
    <row r="263" spans="1:12">
      <c r="A263">
        <f>SUMPRODUCT((MONTH(CHOOSE({1,2,3,4},KHP!T263,KHP!X263,KHP!AB263,KHP!AF263))=1)*(CHOOSE({1,2,3,4},KHP!W263,KHP!AA263,KHP!AE263,KHP!AI263)))</f>
        <v>0</v>
      </c>
      <c r="B263">
        <f>SUMPRODUCT((MONTH(CHOOSE({1,2,3,4},KHP!T263,KHP!X263,KHP!AB263,KHP!AF263))=2)*(CHOOSE({1,2,3,4},KHP!W263,KHP!AA263,KHP!AE263,KHP!AI263)))</f>
        <v>0</v>
      </c>
      <c r="C263">
        <f>SUMPRODUCT((MONTH(CHOOSE({1,2,3,4},KHP!T263,KHP!X263,KHP!AB263,KHP!AF263))=3)*(CHOOSE({1,2,3,4},KHP!W263,KHP!AA263,KHP!AE263,KHP!AI263)))</f>
        <v>0</v>
      </c>
      <c r="D263">
        <f>SUMPRODUCT((MONTH(CHOOSE({1,2,3,4},KHP!T263,KHP!X263,KHP!AB263,KHP!AF263))=4)*(CHOOSE({1,2,3,4},KHP!W263,KHP!AA263,KHP!AE263,KHP!AI263)))</f>
        <v>0</v>
      </c>
      <c r="E263">
        <f>SUMPRODUCT((MONTH(CHOOSE({1,2,3,4},KHP!T263,KHP!X263,KHP!AB263,KHP!AF263))=5)*(CHOOSE({1,2,3,4},KHP!W263,KHP!AA263,KHP!AE263,KHP!AI263)))</f>
        <v>0</v>
      </c>
      <c r="F263">
        <f>SUMPRODUCT((MONTH(CHOOSE({1,2,3,4},KHP!T263,KHP!X263,KHP!AB263,KHP!AF263))=6)*(CHOOSE({1,2,3,4},KHP!W263,KHP!AA263,KHP!AE263,KHP!AI263)))</f>
        <v>0</v>
      </c>
      <c r="G263">
        <f>SUMPRODUCT((MONTH(CHOOSE({1,2,3,4},KHP!T263,KHP!X263,KHP!AB263,KHP!AF263))=7)*(CHOOSE({1,2,3,4},KHP!W263,KHP!AA263,KHP!AE263,KHP!AI263)))</f>
        <v>0</v>
      </c>
      <c r="H263">
        <f>SUMPRODUCT((MONTH(CHOOSE({1,2,3,4},KHP!T263,KHP!X263,KHP!AB263,KHP!AF263))=8)*(CHOOSE({1,2,3,4},KHP!W263,KHP!AA263,KHP!AE263,KHP!AI263)))</f>
        <v>0</v>
      </c>
      <c r="I263">
        <f>SUMPRODUCT((MONTH(CHOOSE({1,2,3,4},KHP!T263,KHP!X263,KHP!AB263,KHP!AF263))=9)*(CHOOSE({1,2,3,4},KHP!W263,KHP!AA263,KHP!AE263,KHP!AI263)))</f>
        <v>0</v>
      </c>
      <c r="J263">
        <f>SUMPRODUCT((MONTH(CHOOSE({1,2,3,4},KHP!T263,KHP!X263,KHP!AB263,KHP!AF263))=10)*(CHOOSE({1,2,3,4},KHP!W263,KHP!AA263,KHP!AE263,KHP!AI263)))</f>
        <v>0</v>
      </c>
      <c r="K263">
        <f>SUMPRODUCT((MONTH(CHOOSE({1,2,3,4},KHP!T263,KHP!X263,KHP!AB263,KHP!AF263))=11)*(CHOOSE({1,2,3,4},KHP!W263,KHP!AA263,KHP!AE263,KHP!AI263)))</f>
        <v>0</v>
      </c>
      <c r="L263">
        <f>SUMPRODUCT((MONTH(CHOOSE({1,2,3,4},KHP!T263,KHP!X263,KHP!AB263,KHP!AF263))=12)*(CHOOSE({1,2,3,4},KHP!W263,KHP!AA263,KHP!AE263,KHP!AI263)))</f>
        <v>0</v>
      </c>
    </row>
    <row r="264" spans="1:12">
      <c r="A264">
        <f>SUMPRODUCT((MONTH(CHOOSE({1,2,3,4},KHP!T264,KHP!X264,KHP!AB264,KHP!AF264))=1)*(CHOOSE({1,2,3,4},KHP!W264,KHP!AA264,KHP!AE264,KHP!AI264)))</f>
        <v>0</v>
      </c>
      <c r="B264">
        <f>SUMPRODUCT((MONTH(CHOOSE({1,2,3,4},KHP!T264,KHP!X264,KHP!AB264,KHP!AF264))=2)*(CHOOSE({1,2,3,4},KHP!W264,KHP!AA264,KHP!AE264,KHP!AI264)))</f>
        <v>0</v>
      </c>
      <c r="C264">
        <f>SUMPRODUCT((MONTH(CHOOSE({1,2,3,4},KHP!T264,KHP!X264,KHP!AB264,KHP!AF264))=3)*(CHOOSE({1,2,3,4},KHP!W264,KHP!AA264,KHP!AE264,KHP!AI264)))</f>
        <v>0</v>
      </c>
      <c r="D264">
        <f>SUMPRODUCT((MONTH(CHOOSE({1,2,3,4},KHP!T264,KHP!X264,KHP!AB264,KHP!AF264))=4)*(CHOOSE({1,2,3,4},KHP!W264,KHP!AA264,KHP!AE264,KHP!AI264)))</f>
        <v>0</v>
      </c>
      <c r="E264">
        <f>SUMPRODUCT((MONTH(CHOOSE({1,2,3,4},KHP!T264,KHP!X264,KHP!AB264,KHP!AF264))=5)*(CHOOSE({1,2,3,4},KHP!W264,KHP!AA264,KHP!AE264,KHP!AI264)))</f>
        <v>0</v>
      </c>
      <c r="F264">
        <f>SUMPRODUCT((MONTH(CHOOSE({1,2,3,4},KHP!T264,KHP!X264,KHP!AB264,KHP!AF264))=6)*(CHOOSE({1,2,3,4},KHP!W264,KHP!AA264,KHP!AE264,KHP!AI264)))</f>
        <v>0</v>
      </c>
      <c r="G264">
        <f>SUMPRODUCT((MONTH(CHOOSE({1,2,3,4},KHP!T264,KHP!X264,KHP!AB264,KHP!AF264))=7)*(CHOOSE({1,2,3,4},KHP!W264,KHP!AA264,KHP!AE264,KHP!AI264)))</f>
        <v>0</v>
      </c>
      <c r="H264">
        <f>SUMPRODUCT((MONTH(CHOOSE({1,2,3,4},KHP!T264,KHP!X264,KHP!AB264,KHP!AF264))=8)*(CHOOSE({1,2,3,4},KHP!W264,KHP!AA264,KHP!AE264,KHP!AI264)))</f>
        <v>0</v>
      </c>
      <c r="I264">
        <f>SUMPRODUCT((MONTH(CHOOSE({1,2,3,4},KHP!T264,KHP!X264,KHP!AB264,KHP!AF264))=9)*(CHOOSE({1,2,3,4},KHP!W264,KHP!AA264,KHP!AE264,KHP!AI264)))</f>
        <v>0</v>
      </c>
      <c r="J264">
        <f>SUMPRODUCT((MONTH(CHOOSE({1,2,3,4},KHP!T264,KHP!X264,KHP!AB264,KHP!AF264))=10)*(CHOOSE({1,2,3,4},KHP!W264,KHP!AA264,KHP!AE264,KHP!AI264)))</f>
        <v>0</v>
      </c>
      <c r="K264">
        <f>SUMPRODUCT((MONTH(CHOOSE({1,2,3,4},KHP!T264,KHP!X264,KHP!AB264,KHP!AF264))=11)*(CHOOSE({1,2,3,4},KHP!W264,KHP!AA264,KHP!AE264,KHP!AI264)))</f>
        <v>0</v>
      </c>
      <c r="L264">
        <f>SUMPRODUCT((MONTH(CHOOSE({1,2,3,4},KHP!T264,KHP!X264,KHP!AB264,KHP!AF264))=12)*(CHOOSE({1,2,3,4},KHP!W264,KHP!AA264,KHP!AE264,KHP!AI264)))</f>
        <v>0</v>
      </c>
    </row>
    <row r="265" spans="1:12">
      <c r="A265">
        <f>SUMPRODUCT((MONTH(CHOOSE({1,2,3,4},KHP!T265,KHP!X265,KHP!AB265,KHP!AF265))=1)*(CHOOSE({1,2,3,4},KHP!W265,KHP!AA265,KHP!AE265,KHP!AI265)))</f>
        <v>0</v>
      </c>
      <c r="B265">
        <f>SUMPRODUCT((MONTH(CHOOSE({1,2,3,4},KHP!T265,KHP!X265,KHP!AB265,KHP!AF265))=2)*(CHOOSE({1,2,3,4},KHP!W265,KHP!AA265,KHP!AE265,KHP!AI265)))</f>
        <v>0</v>
      </c>
      <c r="C265">
        <f>SUMPRODUCT((MONTH(CHOOSE({1,2,3,4},KHP!T265,KHP!X265,KHP!AB265,KHP!AF265))=3)*(CHOOSE({1,2,3,4},KHP!W265,KHP!AA265,KHP!AE265,KHP!AI265)))</f>
        <v>0</v>
      </c>
      <c r="D265">
        <f>SUMPRODUCT((MONTH(CHOOSE({1,2,3,4},KHP!T265,KHP!X265,KHP!AB265,KHP!AF265))=4)*(CHOOSE({1,2,3,4},KHP!W265,KHP!AA265,KHP!AE265,KHP!AI265)))</f>
        <v>0</v>
      </c>
      <c r="E265">
        <f>SUMPRODUCT((MONTH(CHOOSE({1,2,3,4},KHP!T265,KHP!X265,KHP!AB265,KHP!AF265))=5)*(CHOOSE({1,2,3,4},KHP!W265,KHP!AA265,KHP!AE265,KHP!AI265)))</f>
        <v>0</v>
      </c>
      <c r="F265">
        <f>SUMPRODUCT((MONTH(CHOOSE({1,2,3,4},KHP!T265,KHP!X265,KHP!AB265,KHP!AF265))=6)*(CHOOSE({1,2,3,4},KHP!W265,KHP!AA265,KHP!AE265,KHP!AI265)))</f>
        <v>0</v>
      </c>
      <c r="G265">
        <f>SUMPRODUCT((MONTH(CHOOSE({1,2,3,4},KHP!T265,KHP!X265,KHP!AB265,KHP!AF265))=7)*(CHOOSE({1,2,3,4},KHP!W265,KHP!AA265,KHP!AE265,KHP!AI265)))</f>
        <v>0</v>
      </c>
      <c r="H265">
        <f>SUMPRODUCT((MONTH(CHOOSE({1,2,3,4},KHP!T265,KHP!X265,KHP!AB265,KHP!AF265))=8)*(CHOOSE({1,2,3,4},KHP!W265,KHP!AA265,KHP!AE265,KHP!AI265)))</f>
        <v>0</v>
      </c>
      <c r="I265">
        <f>SUMPRODUCT((MONTH(CHOOSE({1,2,3,4},KHP!T265,KHP!X265,KHP!AB265,KHP!AF265))=9)*(CHOOSE({1,2,3,4},KHP!W265,KHP!AA265,KHP!AE265,KHP!AI265)))</f>
        <v>0</v>
      </c>
      <c r="J265">
        <f>SUMPRODUCT((MONTH(CHOOSE({1,2,3,4},KHP!T265,KHP!X265,KHP!AB265,KHP!AF265))=10)*(CHOOSE({1,2,3,4},KHP!W265,KHP!AA265,KHP!AE265,KHP!AI265)))</f>
        <v>0</v>
      </c>
      <c r="K265">
        <f>SUMPRODUCT((MONTH(CHOOSE({1,2,3,4},KHP!T265,KHP!X265,KHP!AB265,KHP!AF265))=11)*(CHOOSE({1,2,3,4},KHP!W265,KHP!AA265,KHP!AE265,KHP!AI265)))</f>
        <v>0</v>
      </c>
      <c r="L265">
        <f>SUMPRODUCT((MONTH(CHOOSE({1,2,3,4},KHP!T265,KHP!X265,KHP!AB265,KHP!AF265))=12)*(CHOOSE({1,2,3,4},KHP!W265,KHP!AA265,KHP!AE265,KHP!AI265)))</f>
        <v>0</v>
      </c>
    </row>
    <row r="266" spans="1:12">
      <c r="A266">
        <f>SUMPRODUCT((MONTH(CHOOSE({1,2,3,4},KHP!T266,KHP!X266,KHP!AB266,KHP!AF266))=1)*(CHOOSE({1,2,3,4},KHP!W266,KHP!AA266,KHP!AE266,KHP!AI266)))</f>
        <v>0</v>
      </c>
      <c r="B266">
        <f>SUMPRODUCT((MONTH(CHOOSE({1,2,3,4},KHP!T266,KHP!X266,KHP!AB266,KHP!AF266))=2)*(CHOOSE({1,2,3,4},KHP!W266,KHP!AA266,KHP!AE266,KHP!AI266)))</f>
        <v>0</v>
      </c>
      <c r="C266">
        <f>SUMPRODUCT((MONTH(CHOOSE({1,2,3,4},KHP!T266,KHP!X266,KHP!AB266,KHP!AF266))=3)*(CHOOSE({1,2,3,4},KHP!W266,KHP!AA266,KHP!AE266,KHP!AI266)))</f>
        <v>0</v>
      </c>
      <c r="D266">
        <f>SUMPRODUCT((MONTH(CHOOSE({1,2,3,4},KHP!T266,KHP!X266,KHP!AB266,KHP!AF266))=4)*(CHOOSE({1,2,3,4},KHP!W266,KHP!AA266,KHP!AE266,KHP!AI266)))</f>
        <v>0</v>
      </c>
      <c r="E266">
        <f>SUMPRODUCT((MONTH(CHOOSE({1,2,3,4},KHP!T266,KHP!X266,KHP!AB266,KHP!AF266))=5)*(CHOOSE({1,2,3,4},KHP!W266,KHP!AA266,KHP!AE266,KHP!AI266)))</f>
        <v>0</v>
      </c>
      <c r="F266">
        <f>SUMPRODUCT((MONTH(CHOOSE({1,2,3,4},KHP!T266,KHP!X266,KHP!AB266,KHP!AF266))=6)*(CHOOSE({1,2,3,4},KHP!W266,KHP!AA266,KHP!AE266,KHP!AI266)))</f>
        <v>0</v>
      </c>
      <c r="G266">
        <f>SUMPRODUCT((MONTH(CHOOSE({1,2,3,4},KHP!T266,KHP!X266,KHP!AB266,KHP!AF266))=7)*(CHOOSE({1,2,3,4},KHP!W266,KHP!AA266,KHP!AE266,KHP!AI266)))</f>
        <v>0</v>
      </c>
      <c r="H266">
        <f>SUMPRODUCT((MONTH(CHOOSE({1,2,3,4},KHP!T266,KHP!X266,KHP!AB266,KHP!AF266))=8)*(CHOOSE({1,2,3,4},KHP!W266,KHP!AA266,KHP!AE266,KHP!AI266)))</f>
        <v>0</v>
      </c>
      <c r="I266">
        <f>SUMPRODUCT((MONTH(CHOOSE({1,2,3,4},KHP!T266,KHP!X266,KHP!AB266,KHP!AF266))=9)*(CHOOSE({1,2,3,4},KHP!W266,KHP!AA266,KHP!AE266,KHP!AI266)))</f>
        <v>0</v>
      </c>
      <c r="J266">
        <f>SUMPRODUCT((MONTH(CHOOSE({1,2,3,4},KHP!T266,KHP!X266,KHP!AB266,KHP!AF266))=10)*(CHOOSE({1,2,3,4},KHP!W266,KHP!AA266,KHP!AE266,KHP!AI266)))</f>
        <v>0</v>
      </c>
      <c r="K266">
        <f>SUMPRODUCT((MONTH(CHOOSE({1,2,3,4},KHP!T266,KHP!X266,KHP!AB266,KHP!AF266))=11)*(CHOOSE({1,2,3,4},KHP!W266,KHP!AA266,KHP!AE266,KHP!AI266)))</f>
        <v>0</v>
      </c>
      <c r="L266">
        <f>SUMPRODUCT((MONTH(CHOOSE({1,2,3,4},KHP!T266,KHP!X266,KHP!AB266,KHP!AF266))=12)*(CHOOSE({1,2,3,4},KHP!W266,KHP!AA266,KHP!AE266,KHP!AI266)))</f>
        <v>0</v>
      </c>
    </row>
    <row r="267" spans="1:12">
      <c r="A267">
        <f>SUMPRODUCT((MONTH(CHOOSE({1,2,3,4},KHP!T267,KHP!X267,KHP!AB267,KHP!AF267))=1)*(CHOOSE({1,2,3,4},KHP!W267,KHP!AA267,KHP!AE267,KHP!AI267)))</f>
        <v>0</v>
      </c>
      <c r="B267">
        <f>SUMPRODUCT((MONTH(CHOOSE({1,2,3,4},KHP!T267,KHP!X267,KHP!AB267,KHP!AF267))=2)*(CHOOSE({1,2,3,4},KHP!W267,KHP!AA267,KHP!AE267,KHP!AI267)))</f>
        <v>0</v>
      </c>
      <c r="C267">
        <f>SUMPRODUCT((MONTH(CHOOSE({1,2,3,4},KHP!T267,KHP!X267,KHP!AB267,KHP!AF267))=3)*(CHOOSE({1,2,3,4},KHP!W267,KHP!AA267,KHP!AE267,KHP!AI267)))</f>
        <v>0</v>
      </c>
      <c r="D267">
        <f>SUMPRODUCT((MONTH(CHOOSE({1,2,3,4},KHP!T267,KHP!X267,KHP!AB267,KHP!AF267))=4)*(CHOOSE({1,2,3,4},KHP!W267,KHP!AA267,KHP!AE267,KHP!AI267)))</f>
        <v>0</v>
      </c>
      <c r="E267">
        <f>SUMPRODUCT((MONTH(CHOOSE({1,2,3,4},KHP!T267,KHP!X267,KHP!AB267,KHP!AF267))=5)*(CHOOSE({1,2,3,4},KHP!W267,KHP!AA267,KHP!AE267,KHP!AI267)))</f>
        <v>0</v>
      </c>
      <c r="F267">
        <f>SUMPRODUCT((MONTH(CHOOSE({1,2,3,4},KHP!T267,KHP!X267,KHP!AB267,KHP!AF267))=6)*(CHOOSE({1,2,3,4},KHP!W267,KHP!AA267,KHP!AE267,KHP!AI267)))</f>
        <v>0</v>
      </c>
      <c r="G267">
        <f>SUMPRODUCT((MONTH(CHOOSE({1,2,3,4},KHP!T267,KHP!X267,KHP!AB267,KHP!AF267))=7)*(CHOOSE({1,2,3,4},KHP!W267,KHP!AA267,KHP!AE267,KHP!AI267)))</f>
        <v>0</v>
      </c>
      <c r="H267">
        <f>SUMPRODUCT((MONTH(CHOOSE({1,2,3,4},KHP!T267,KHP!X267,KHP!AB267,KHP!AF267))=8)*(CHOOSE({1,2,3,4},KHP!W267,KHP!AA267,KHP!AE267,KHP!AI267)))</f>
        <v>0</v>
      </c>
      <c r="I267">
        <f>SUMPRODUCT((MONTH(CHOOSE({1,2,3,4},KHP!T267,KHP!X267,KHP!AB267,KHP!AF267))=9)*(CHOOSE({1,2,3,4},KHP!W267,KHP!AA267,KHP!AE267,KHP!AI267)))</f>
        <v>0</v>
      </c>
      <c r="J267">
        <f>SUMPRODUCT((MONTH(CHOOSE({1,2,3,4},KHP!T267,KHP!X267,KHP!AB267,KHP!AF267))=10)*(CHOOSE({1,2,3,4},KHP!W267,KHP!AA267,KHP!AE267,KHP!AI267)))</f>
        <v>0</v>
      </c>
      <c r="K267">
        <f>SUMPRODUCT((MONTH(CHOOSE({1,2,3,4},KHP!T267,KHP!X267,KHP!AB267,KHP!AF267))=11)*(CHOOSE({1,2,3,4},KHP!W267,KHP!AA267,KHP!AE267,KHP!AI267)))</f>
        <v>0</v>
      </c>
      <c r="L267">
        <f>SUMPRODUCT((MONTH(CHOOSE({1,2,3,4},KHP!T267,KHP!X267,KHP!AB267,KHP!AF267))=12)*(CHOOSE({1,2,3,4},KHP!W267,KHP!AA267,KHP!AE267,KHP!AI267)))</f>
        <v>0</v>
      </c>
    </row>
    <row r="268" spans="1:12">
      <c r="A268">
        <f>SUMPRODUCT((MONTH(CHOOSE({1,2,3,4},KHP!T268,KHP!X268,KHP!AB268,KHP!AF268))=1)*(CHOOSE({1,2,3,4},KHP!W268,KHP!AA268,KHP!AE268,KHP!AI268)))</f>
        <v>0</v>
      </c>
      <c r="B268">
        <f>SUMPRODUCT((MONTH(CHOOSE({1,2,3,4},KHP!T268,KHP!X268,KHP!AB268,KHP!AF268))=2)*(CHOOSE({1,2,3,4},KHP!W268,KHP!AA268,KHP!AE268,KHP!AI268)))</f>
        <v>0</v>
      </c>
      <c r="C268">
        <f>SUMPRODUCT((MONTH(CHOOSE({1,2,3,4},KHP!T268,KHP!X268,KHP!AB268,KHP!AF268))=3)*(CHOOSE({1,2,3,4},KHP!W268,KHP!AA268,KHP!AE268,KHP!AI268)))</f>
        <v>0</v>
      </c>
      <c r="D268">
        <f>SUMPRODUCT((MONTH(CHOOSE({1,2,3,4},KHP!T268,KHP!X268,KHP!AB268,KHP!AF268))=4)*(CHOOSE({1,2,3,4},KHP!W268,KHP!AA268,KHP!AE268,KHP!AI268)))</f>
        <v>0</v>
      </c>
      <c r="E268">
        <f>SUMPRODUCT((MONTH(CHOOSE({1,2,3,4},KHP!T268,KHP!X268,KHP!AB268,KHP!AF268))=5)*(CHOOSE({1,2,3,4},KHP!W268,KHP!AA268,KHP!AE268,KHP!AI268)))</f>
        <v>0</v>
      </c>
      <c r="F268">
        <f>SUMPRODUCT((MONTH(CHOOSE({1,2,3,4},KHP!T268,KHP!X268,KHP!AB268,KHP!AF268))=6)*(CHOOSE({1,2,3,4},KHP!W268,KHP!AA268,KHP!AE268,KHP!AI268)))</f>
        <v>0</v>
      </c>
      <c r="G268">
        <f>SUMPRODUCT((MONTH(CHOOSE({1,2,3,4},KHP!T268,KHP!X268,KHP!AB268,KHP!AF268))=7)*(CHOOSE({1,2,3,4},KHP!W268,KHP!AA268,KHP!AE268,KHP!AI268)))</f>
        <v>0</v>
      </c>
      <c r="H268">
        <f>SUMPRODUCT((MONTH(CHOOSE({1,2,3,4},KHP!T268,KHP!X268,KHP!AB268,KHP!AF268))=8)*(CHOOSE({1,2,3,4},KHP!W268,KHP!AA268,KHP!AE268,KHP!AI268)))</f>
        <v>0</v>
      </c>
      <c r="I268">
        <f>SUMPRODUCT((MONTH(CHOOSE({1,2,3,4},KHP!T268,KHP!X268,KHP!AB268,KHP!AF268))=9)*(CHOOSE({1,2,3,4},KHP!W268,KHP!AA268,KHP!AE268,KHP!AI268)))</f>
        <v>0</v>
      </c>
      <c r="J268">
        <f>SUMPRODUCT((MONTH(CHOOSE({1,2,3,4},KHP!T268,KHP!X268,KHP!AB268,KHP!AF268))=10)*(CHOOSE({1,2,3,4},KHP!W268,KHP!AA268,KHP!AE268,KHP!AI268)))</f>
        <v>0</v>
      </c>
      <c r="K268">
        <f>SUMPRODUCT((MONTH(CHOOSE({1,2,3,4},KHP!T268,KHP!X268,KHP!AB268,KHP!AF268))=11)*(CHOOSE({1,2,3,4},KHP!W268,KHP!AA268,KHP!AE268,KHP!AI268)))</f>
        <v>0</v>
      </c>
      <c r="L268">
        <f>SUMPRODUCT((MONTH(CHOOSE({1,2,3,4},KHP!T268,KHP!X268,KHP!AB268,KHP!AF268))=12)*(CHOOSE({1,2,3,4},KHP!W268,KHP!AA268,KHP!AE268,KHP!AI268)))</f>
        <v>0</v>
      </c>
    </row>
    <row r="269" spans="1:12">
      <c r="A269">
        <f>SUMPRODUCT((MONTH(CHOOSE({1,2,3,4},KHP!T269,KHP!X269,KHP!AB269,KHP!AF269))=1)*(CHOOSE({1,2,3,4},KHP!W269,KHP!AA269,KHP!AE269,KHP!AI269)))</f>
        <v>0</v>
      </c>
      <c r="B269">
        <f>SUMPRODUCT((MONTH(CHOOSE({1,2,3,4},KHP!T269,KHP!X269,KHP!AB269,KHP!AF269))=2)*(CHOOSE({1,2,3,4},KHP!W269,KHP!AA269,KHP!AE269,KHP!AI269)))</f>
        <v>0</v>
      </c>
      <c r="C269">
        <f>SUMPRODUCT((MONTH(CHOOSE({1,2,3,4},KHP!T269,KHP!X269,KHP!AB269,KHP!AF269))=3)*(CHOOSE({1,2,3,4},KHP!W269,KHP!AA269,KHP!AE269,KHP!AI269)))</f>
        <v>0</v>
      </c>
      <c r="D269">
        <f>SUMPRODUCT((MONTH(CHOOSE({1,2,3,4},KHP!T269,KHP!X269,KHP!AB269,KHP!AF269))=4)*(CHOOSE({1,2,3,4},KHP!W269,KHP!AA269,KHP!AE269,KHP!AI269)))</f>
        <v>0</v>
      </c>
      <c r="E269">
        <f>SUMPRODUCT((MONTH(CHOOSE({1,2,3,4},KHP!T269,KHP!X269,KHP!AB269,KHP!AF269))=5)*(CHOOSE({1,2,3,4},KHP!W269,KHP!AA269,KHP!AE269,KHP!AI269)))</f>
        <v>0</v>
      </c>
      <c r="F269">
        <f>SUMPRODUCT((MONTH(CHOOSE({1,2,3,4},KHP!T269,KHP!X269,KHP!AB269,KHP!AF269))=6)*(CHOOSE({1,2,3,4},KHP!W269,KHP!AA269,KHP!AE269,KHP!AI269)))</f>
        <v>0</v>
      </c>
      <c r="G269">
        <f>SUMPRODUCT((MONTH(CHOOSE({1,2,3,4},KHP!T269,KHP!X269,KHP!AB269,KHP!AF269))=7)*(CHOOSE({1,2,3,4},KHP!W269,KHP!AA269,KHP!AE269,KHP!AI269)))</f>
        <v>0</v>
      </c>
      <c r="H269">
        <f>SUMPRODUCT((MONTH(CHOOSE({1,2,3,4},KHP!T269,KHP!X269,KHP!AB269,KHP!AF269))=8)*(CHOOSE({1,2,3,4},KHP!W269,KHP!AA269,KHP!AE269,KHP!AI269)))</f>
        <v>0</v>
      </c>
      <c r="I269">
        <f>SUMPRODUCT((MONTH(CHOOSE({1,2,3,4},KHP!T269,KHP!X269,KHP!AB269,KHP!AF269))=9)*(CHOOSE({1,2,3,4},KHP!W269,KHP!AA269,KHP!AE269,KHP!AI269)))</f>
        <v>0</v>
      </c>
      <c r="J269">
        <f>SUMPRODUCT((MONTH(CHOOSE({1,2,3,4},KHP!T269,KHP!X269,KHP!AB269,KHP!AF269))=10)*(CHOOSE({1,2,3,4},KHP!W269,KHP!AA269,KHP!AE269,KHP!AI269)))</f>
        <v>0</v>
      </c>
      <c r="K269">
        <f>SUMPRODUCT((MONTH(CHOOSE({1,2,3,4},KHP!T269,KHP!X269,KHP!AB269,KHP!AF269))=11)*(CHOOSE({1,2,3,4},KHP!W269,KHP!AA269,KHP!AE269,KHP!AI269)))</f>
        <v>0</v>
      </c>
      <c r="L269">
        <f>SUMPRODUCT((MONTH(CHOOSE({1,2,3,4},KHP!T269,KHP!X269,KHP!AB269,KHP!AF269))=12)*(CHOOSE({1,2,3,4},KHP!W269,KHP!AA269,KHP!AE269,KHP!AI269)))</f>
        <v>0</v>
      </c>
    </row>
    <row r="270" spans="1:12">
      <c r="A270">
        <f>SUMPRODUCT((MONTH(CHOOSE({1,2,3,4},KHP!T270,KHP!X270,KHP!AB270,KHP!AF270))=1)*(CHOOSE({1,2,3,4},KHP!W270,KHP!AA270,KHP!AE270,KHP!AI270)))</f>
        <v>0</v>
      </c>
      <c r="B270">
        <f>SUMPRODUCT((MONTH(CHOOSE({1,2,3,4},KHP!T270,KHP!X270,KHP!AB270,KHP!AF270))=2)*(CHOOSE({1,2,3,4},KHP!W270,KHP!AA270,KHP!AE270,KHP!AI270)))</f>
        <v>0</v>
      </c>
      <c r="C270">
        <f>SUMPRODUCT((MONTH(CHOOSE({1,2,3,4},KHP!T270,KHP!X270,KHP!AB270,KHP!AF270))=3)*(CHOOSE({1,2,3,4},KHP!W270,KHP!AA270,KHP!AE270,KHP!AI270)))</f>
        <v>0</v>
      </c>
      <c r="D270">
        <f>SUMPRODUCT((MONTH(CHOOSE({1,2,3,4},KHP!T270,KHP!X270,KHP!AB270,KHP!AF270))=4)*(CHOOSE({1,2,3,4},KHP!W270,KHP!AA270,KHP!AE270,KHP!AI270)))</f>
        <v>0</v>
      </c>
      <c r="E270">
        <f>SUMPRODUCT((MONTH(CHOOSE({1,2,3,4},KHP!T270,KHP!X270,KHP!AB270,KHP!AF270))=5)*(CHOOSE({1,2,3,4},KHP!W270,KHP!AA270,KHP!AE270,KHP!AI270)))</f>
        <v>0</v>
      </c>
      <c r="F270">
        <f>SUMPRODUCT((MONTH(CHOOSE({1,2,3,4},KHP!T270,KHP!X270,KHP!AB270,KHP!AF270))=6)*(CHOOSE({1,2,3,4},KHP!W270,KHP!AA270,KHP!AE270,KHP!AI270)))</f>
        <v>0</v>
      </c>
      <c r="G270">
        <f>SUMPRODUCT((MONTH(CHOOSE({1,2,3,4},KHP!T270,KHP!X270,KHP!AB270,KHP!AF270))=7)*(CHOOSE({1,2,3,4},KHP!W270,KHP!AA270,KHP!AE270,KHP!AI270)))</f>
        <v>0</v>
      </c>
      <c r="H270">
        <f>SUMPRODUCT((MONTH(CHOOSE({1,2,3,4},KHP!T270,KHP!X270,KHP!AB270,KHP!AF270))=8)*(CHOOSE({1,2,3,4},KHP!W270,KHP!AA270,KHP!AE270,KHP!AI270)))</f>
        <v>0</v>
      </c>
      <c r="I270">
        <f>SUMPRODUCT((MONTH(CHOOSE({1,2,3,4},KHP!T270,KHP!X270,KHP!AB270,KHP!AF270))=9)*(CHOOSE({1,2,3,4},KHP!W270,KHP!AA270,KHP!AE270,KHP!AI270)))</f>
        <v>0</v>
      </c>
      <c r="J270">
        <f>SUMPRODUCT((MONTH(CHOOSE({1,2,3,4},KHP!T270,KHP!X270,KHP!AB270,KHP!AF270))=10)*(CHOOSE({1,2,3,4},KHP!W270,KHP!AA270,KHP!AE270,KHP!AI270)))</f>
        <v>0</v>
      </c>
      <c r="K270">
        <f>SUMPRODUCT((MONTH(CHOOSE({1,2,3,4},KHP!T270,KHP!X270,KHP!AB270,KHP!AF270))=11)*(CHOOSE({1,2,3,4},KHP!W270,KHP!AA270,KHP!AE270,KHP!AI270)))</f>
        <v>0</v>
      </c>
      <c r="L270">
        <f>SUMPRODUCT((MONTH(CHOOSE({1,2,3,4},KHP!T270,KHP!X270,KHP!AB270,KHP!AF270))=12)*(CHOOSE({1,2,3,4},KHP!W270,KHP!AA270,KHP!AE270,KHP!AI270)))</f>
        <v>0</v>
      </c>
    </row>
    <row r="271" spans="1:12">
      <c r="A271">
        <f>SUMPRODUCT((MONTH(CHOOSE({1,2,3,4},KHP!T271,KHP!X271,KHP!AB271,KHP!AF271))=1)*(CHOOSE({1,2,3,4},KHP!W271,KHP!AA271,KHP!AE271,KHP!AI271)))</f>
        <v>0</v>
      </c>
      <c r="B271">
        <f>SUMPRODUCT((MONTH(CHOOSE({1,2,3,4},KHP!T271,KHP!X271,KHP!AB271,KHP!AF271))=2)*(CHOOSE({1,2,3,4},KHP!W271,KHP!AA271,KHP!AE271,KHP!AI271)))</f>
        <v>0</v>
      </c>
      <c r="C271">
        <f>SUMPRODUCT((MONTH(CHOOSE({1,2,3,4},KHP!T271,KHP!X271,KHP!AB271,KHP!AF271))=3)*(CHOOSE({1,2,3,4},KHP!W271,KHP!AA271,KHP!AE271,KHP!AI271)))</f>
        <v>0</v>
      </c>
      <c r="D271">
        <f>SUMPRODUCT((MONTH(CHOOSE({1,2,3,4},KHP!T271,KHP!X271,KHP!AB271,KHP!AF271))=4)*(CHOOSE({1,2,3,4},KHP!W271,KHP!AA271,KHP!AE271,KHP!AI271)))</f>
        <v>0</v>
      </c>
      <c r="E271">
        <f>SUMPRODUCT((MONTH(CHOOSE({1,2,3,4},KHP!T271,KHP!X271,KHP!AB271,KHP!AF271))=5)*(CHOOSE({1,2,3,4},KHP!W271,KHP!AA271,KHP!AE271,KHP!AI271)))</f>
        <v>0</v>
      </c>
      <c r="F271">
        <f>SUMPRODUCT((MONTH(CHOOSE({1,2,3,4},KHP!T271,KHP!X271,KHP!AB271,KHP!AF271))=6)*(CHOOSE({1,2,3,4},KHP!W271,KHP!AA271,KHP!AE271,KHP!AI271)))</f>
        <v>0</v>
      </c>
      <c r="G271">
        <f>SUMPRODUCT((MONTH(CHOOSE({1,2,3,4},KHP!T271,KHP!X271,KHP!AB271,KHP!AF271))=7)*(CHOOSE({1,2,3,4},KHP!W271,KHP!AA271,KHP!AE271,KHP!AI271)))</f>
        <v>0</v>
      </c>
      <c r="H271">
        <f>SUMPRODUCT((MONTH(CHOOSE({1,2,3,4},KHP!T271,KHP!X271,KHP!AB271,KHP!AF271))=8)*(CHOOSE({1,2,3,4},KHP!W271,KHP!AA271,KHP!AE271,KHP!AI271)))</f>
        <v>0</v>
      </c>
      <c r="I271">
        <f>SUMPRODUCT((MONTH(CHOOSE({1,2,3,4},KHP!T271,KHP!X271,KHP!AB271,KHP!AF271))=9)*(CHOOSE({1,2,3,4},KHP!W271,KHP!AA271,KHP!AE271,KHP!AI271)))</f>
        <v>0</v>
      </c>
      <c r="J271">
        <f>SUMPRODUCT((MONTH(CHOOSE({1,2,3,4},KHP!T271,KHP!X271,KHP!AB271,KHP!AF271))=10)*(CHOOSE({1,2,3,4},KHP!W271,KHP!AA271,KHP!AE271,KHP!AI271)))</f>
        <v>0</v>
      </c>
      <c r="K271">
        <f>SUMPRODUCT((MONTH(CHOOSE({1,2,3,4},KHP!T271,KHP!X271,KHP!AB271,KHP!AF271))=11)*(CHOOSE({1,2,3,4},KHP!W271,KHP!AA271,KHP!AE271,KHP!AI271)))</f>
        <v>0</v>
      </c>
      <c r="L271">
        <f>SUMPRODUCT((MONTH(CHOOSE({1,2,3,4},KHP!T271,KHP!X271,KHP!AB271,KHP!AF271))=12)*(CHOOSE({1,2,3,4},KHP!W271,KHP!AA271,KHP!AE271,KHP!AI271)))</f>
        <v>0</v>
      </c>
    </row>
    <row r="272" spans="1:12">
      <c r="A272">
        <f>SUMPRODUCT((MONTH(CHOOSE({1,2,3,4},KHP!T272,KHP!X272,KHP!AB272,KHP!AF272))=1)*(CHOOSE({1,2,3,4},KHP!W272,KHP!AA272,KHP!AE272,KHP!AI272)))</f>
        <v>0</v>
      </c>
      <c r="B272">
        <f>SUMPRODUCT((MONTH(CHOOSE({1,2,3,4},KHP!T272,KHP!X272,KHP!AB272,KHP!AF272))=2)*(CHOOSE({1,2,3,4},KHP!W272,KHP!AA272,KHP!AE272,KHP!AI272)))</f>
        <v>0</v>
      </c>
      <c r="C272">
        <f>SUMPRODUCT((MONTH(CHOOSE({1,2,3,4},KHP!T272,KHP!X272,KHP!AB272,KHP!AF272))=3)*(CHOOSE({1,2,3,4},KHP!W272,KHP!AA272,KHP!AE272,KHP!AI272)))</f>
        <v>0</v>
      </c>
      <c r="D272">
        <f>SUMPRODUCT((MONTH(CHOOSE({1,2,3,4},KHP!T272,KHP!X272,KHP!AB272,KHP!AF272))=4)*(CHOOSE({1,2,3,4},KHP!W272,KHP!AA272,KHP!AE272,KHP!AI272)))</f>
        <v>0</v>
      </c>
      <c r="E272">
        <f>SUMPRODUCT((MONTH(CHOOSE({1,2,3,4},KHP!T272,KHP!X272,KHP!AB272,KHP!AF272))=5)*(CHOOSE({1,2,3,4},KHP!W272,KHP!AA272,KHP!AE272,KHP!AI272)))</f>
        <v>0</v>
      </c>
      <c r="F272">
        <f>SUMPRODUCT((MONTH(CHOOSE({1,2,3,4},KHP!T272,KHP!X272,KHP!AB272,KHP!AF272))=6)*(CHOOSE({1,2,3,4},KHP!W272,KHP!AA272,KHP!AE272,KHP!AI272)))</f>
        <v>0</v>
      </c>
      <c r="G272">
        <f>SUMPRODUCT((MONTH(CHOOSE({1,2,3,4},KHP!T272,KHP!X272,KHP!AB272,KHP!AF272))=7)*(CHOOSE({1,2,3,4},KHP!W272,KHP!AA272,KHP!AE272,KHP!AI272)))</f>
        <v>0</v>
      </c>
      <c r="H272">
        <f>SUMPRODUCT((MONTH(CHOOSE({1,2,3,4},KHP!T272,KHP!X272,KHP!AB272,KHP!AF272))=8)*(CHOOSE({1,2,3,4},KHP!W272,KHP!AA272,KHP!AE272,KHP!AI272)))</f>
        <v>0</v>
      </c>
      <c r="I272">
        <f>SUMPRODUCT((MONTH(CHOOSE({1,2,3,4},KHP!T272,KHP!X272,KHP!AB272,KHP!AF272))=9)*(CHOOSE({1,2,3,4},KHP!W272,KHP!AA272,KHP!AE272,KHP!AI272)))</f>
        <v>0</v>
      </c>
      <c r="J272">
        <f>SUMPRODUCT((MONTH(CHOOSE({1,2,3,4},KHP!T272,KHP!X272,KHP!AB272,KHP!AF272))=10)*(CHOOSE({1,2,3,4},KHP!W272,KHP!AA272,KHP!AE272,KHP!AI272)))</f>
        <v>0</v>
      </c>
      <c r="K272">
        <f>SUMPRODUCT((MONTH(CHOOSE({1,2,3,4},KHP!T272,KHP!X272,KHP!AB272,KHP!AF272))=11)*(CHOOSE({1,2,3,4},KHP!W272,KHP!AA272,KHP!AE272,KHP!AI272)))</f>
        <v>0</v>
      </c>
      <c r="L272">
        <f>SUMPRODUCT((MONTH(CHOOSE({1,2,3,4},KHP!T272,KHP!X272,KHP!AB272,KHP!AF272))=12)*(CHOOSE({1,2,3,4},KHP!W272,KHP!AA272,KHP!AE272,KHP!AI272)))</f>
        <v>0</v>
      </c>
    </row>
    <row r="273" spans="1:12">
      <c r="A273">
        <f>SUMPRODUCT((MONTH(CHOOSE({1,2,3,4},KHP!T273,KHP!X273,KHP!AB273,KHP!AF273))=1)*(CHOOSE({1,2,3,4},KHP!W273,KHP!AA273,KHP!AE273,KHP!AI273)))</f>
        <v>0</v>
      </c>
      <c r="B273">
        <f>SUMPRODUCT((MONTH(CHOOSE({1,2,3,4},KHP!T273,KHP!X273,KHP!AB273,KHP!AF273))=2)*(CHOOSE({1,2,3,4},KHP!W273,KHP!AA273,KHP!AE273,KHP!AI273)))</f>
        <v>0</v>
      </c>
      <c r="C273">
        <f>SUMPRODUCT((MONTH(CHOOSE({1,2,3,4},KHP!T273,KHP!X273,KHP!AB273,KHP!AF273))=3)*(CHOOSE({1,2,3,4},KHP!W273,KHP!AA273,KHP!AE273,KHP!AI273)))</f>
        <v>0</v>
      </c>
      <c r="D273">
        <f>SUMPRODUCT((MONTH(CHOOSE({1,2,3,4},KHP!T273,KHP!X273,KHP!AB273,KHP!AF273))=4)*(CHOOSE({1,2,3,4},KHP!W273,KHP!AA273,KHP!AE273,KHP!AI273)))</f>
        <v>0</v>
      </c>
      <c r="E273">
        <f>SUMPRODUCT((MONTH(CHOOSE({1,2,3,4},KHP!T273,KHP!X273,KHP!AB273,KHP!AF273))=5)*(CHOOSE({1,2,3,4},KHP!W273,KHP!AA273,KHP!AE273,KHP!AI273)))</f>
        <v>0</v>
      </c>
      <c r="F273">
        <f>SUMPRODUCT((MONTH(CHOOSE({1,2,3,4},KHP!T273,KHP!X273,KHP!AB273,KHP!AF273))=6)*(CHOOSE({1,2,3,4},KHP!W273,KHP!AA273,KHP!AE273,KHP!AI273)))</f>
        <v>0</v>
      </c>
      <c r="G273">
        <f>SUMPRODUCT((MONTH(CHOOSE({1,2,3,4},KHP!T273,KHP!X273,KHP!AB273,KHP!AF273))=7)*(CHOOSE({1,2,3,4},KHP!W273,KHP!AA273,KHP!AE273,KHP!AI273)))</f>
        <v>0</v>
      </c>
      <c r="H273">
        <f>SUMPRODUCT((MONTH(CHOOSE({1,2,3,4},KHP!T273,KHP!X273,KHP!AB273,KHP!AF273))=8)*(CHOOSE({1,2,3,4},KHP!W273,KHP!AA273,KHP!AE273,KHP!AI273)))</f>
        <v>0</v>
      </c>
      <c r="I273">
        <f>SUMPRODUCT((MONTH(CHOOSE({1,2,3,4},KHP!T273,KHP!X273,KHP!AB273,KHP!AF273))=9)*(CHOOSE({1,2,3,4},KHP!W273,KHP!AA273,KHP!AE273,KHP!AI273)))</f>
        <v>0</v>
      </c>
      <c r="J273">
        <f>SUMPRODUCT((MONTH(CHOOSE({1,2,3,4},KHP!T273,KHP!X273,KHP!AB273,KHP!AF273))=10)*(CHOOSE({1,2,3,4},KHP!W273,KHP!AA273,KHP!AE273,KHP!AI273)))</f>
        <v>0</v>
      </c>
      <c r="K273">
        <f>SUMPRODUCT((MONTH(CHOOSE({1,2,3,4},KHP!T273,KHP!X273,KHP!AB273,KHP!AF273))=11)*(CHOOSE({1,2,3,4},KHP!W273,KHP!AA273,KHP!AE273,KHP!AI273)))</f>
        <v>0</v>
      </c>
      <c r="L273">
        <f>SUMPRODUCT((MONTH(CHOOSE({1,2,3,4},KHP!T273,KHP!X273,KHP!AB273,KHP!AF273))=12)*(CHOOSE({1,2,3,4},KHP!W273,KHP!AA273,KHP!AE273,KHP!AI273)))</f>
        <v>0</v>
      </c>
    </row>
    <row r="274" spans="1:12">
      <c r="A274">
        <f>SUMPRODUCT((MONTH(CHOOSE({1,2,3,4},KHP!T274,KHP!X274,KHP!AB274,KHP!AF274))=1)*(CHOOSE({1,2,3,4},KHP!W274,KHP!AA274,KHP!AE274,KHP!AI274)))</f>
        <v>0</v>
      </c>
      <c r="B274">
        <f>SUMPRODUCT((MONTH(CHOOSE({1,2,3,4},KHP!T274,KHP!X274,KHP!AB274,KHP!AF274))=2)*(CHOOSE({1,2,3,4},KHP!W274,KHP!AA274,KHP!AE274,KHP!AI274)))</f>
        <v>0</v>
      </c>
      <c r="C274">
        <f>SUMPRODUCT((MONTH(CHOOSE({1,2,3,4},KHP!T274,KHP!X274,KHP!AB274,KHP!AF274))=3)*(CHOOSE({1,2,3,4},KHP!W274,KHP!AA274,KHP!AE274,KHP!AI274)))</f>
        <v>0</v>
      </c>
      <c r="D274">
        <f>SUMPRODUCT((MONTH(CHOOSE({1,2,3,4},KHP!T274,KHP!X274,KHP!AB274,KHP!AF274))=4)*(CHOOSE({1,2,3,4},KHP!W274,KHP!AA274,KHP!AE274,KHP!AI274)))</f>
        <v>0</v>
      </c>
      <c r="E274">
        <f>SUMPRODUCT((MONTH(CHOOSE({1,2,3,4},KHP!T274,KHP!X274,KHP!AB274,KHP!AF274))=5)*(CHOOSE({1,2,3,4},KHP!W274,KHP!AA274,KHP!AE274,KHP!AI274)))</f>
        <v>0</v>
      </c>
      <c r="F274">
        <f>SUMPRODUCT((MONTH(CHOOSE({1,2,3,4},KHP!T274,KHP!X274,KHP!AB274,KHP!AF274))=6)*(CHOOSE({1,2,3,4},KHP!W274,KHP!AA274,KHP!AE274,KHP!AI274)))</f>
        <v>0</v>
      </c>
      <c r="G274">
        <f>SUMPRODUCT((MONTH(CHOOSE({1,2,3,4},KHP!T274,KHP!X274,KHP!AB274,KHP!AF274))=7)*(CHOOSE({1,2,3,4},KHP!W274,KHP!AA274,KHP!AE274,KHP!AI274)))</f>
        <v>0</v>
      </c>
      <c r="H274">
        <f>SUMPRODUCT((MONTH(CHOOSE({1,2,3,4},KHP!T274,KHP!X274,KHP!AB274,KHP!AF274))=8)*(CHOOSE({1,2,3,4},KHP!W274,KHP!AA274,KHP!AE274,KHP!AI274)))</f>
        <v>0</v>
      </c>
      <c r="I274">
        <f>SUMPRODUCT((MONTH(CHOOSE({1,2,3,4},KHP!T274,KHP!X274,KHP!AB274,KHP!AF274))=9)*(CHOOSE({1,2,3,4},KHP!W274,KHP!AA274,KHP!AE274,KHP!AI274)))</f>
        <v>0</v>
      </c>
      <c r="J274">
        <f>SUMPRODUCT((MONTH(CHOOSE({1,2,3,4},KHP!T274,KHP!X274,KHP!AB274,KHP!AF274))=10)*(CHOOSE({1,2,3,4},KHP!W274,KHP!AA274,KHP!AE274,KHP!AI274)))</f>
        <v>0</v>
      </c>
      <c r="K274">
        <f>SUMPRODUCT((MONTH(CHOOSE({1,2,3,4},KHP!T274,KHP!X274,KHP!AB274,KHP!AF274))=11)*(CHOOSE({1,2,3,4},KHP!W274,KHP!AA274,KHP!AE274,KHP!AI274)))</f>
        <v>0</v>
      </c>
      <c r="L274">
        <f>SUMPRODUCT((MONTH(CHOOSE({1,2,3,4},KHP!T274,KHP!X274,KHP!AB274,KHP!AF274))=12)*(CHOOSE({1,2,3,4},KHP!W274,KHP!AA274,KHP!AE274,KHP!AI274)))</f>
        <v>0</v>
      </c>
    </row>
    <row r="275" spans="1:12">
      <c r="A275">
        <f>SUMPRODUCT((MONTH(CHOOSE({1,2,3,4},KHP!T275,KHP!X275,KHP!AB275,KHP!AF275))=1)*(CHOOSE({1,2,3,4},KHP!W275,KHP!AA275,KHP!AE275,KHP!AI275)))</f>
        <v>0</v>
      </c>
      <c r="B275">
        <f>SUMPRODUCT((MONTH(CHOOSE({1,2,3,4},KHP!T275,KHP!X275,KHP!AB275,KHP!AF275))=2)*(CHOOSE({1,2,3,4},KHP!W275,KHP!AA275,KHP!AE275,KHP!AI275)))</f>
        <v>0</v>
      </c>
      <c r="C275">
        <f>SUMPRODUCT((MONTH(CHOOSE({1,2,3,4},KHP!T275,KHP!X275,KHP!AB275,KHP!AF275))=3)*(CHOOSE({1,2,3,4},KHP!W275,KHP!AA275,KHP!AE275,KHP!AI275)))</f>
        <v>0</v>
      </c>
      <c r="D275">
        <f>SUMPRODUCT((MONTH(CHOOSE({1,2,3,4},KHP!T275,KHP!X275,KHP!AB275,KHP!AF275))=4)*(CHOOSE({1,2,3,4},KHP!W275,KHP!AA275,KHP!AE275,KHP!AI275)))</f>
        <v>0</v>
      </c>
      <c r="E275">
        <f>SUMPRODUCT((MONTH(CHOOSE({1,2,3,4},KHP!T275,KHP!X275,KHP!AB275,KHP!AF275))=5)*(CHOOSE({1,2,3,4},KHP!W275,KHP!AA275,KHP!AE275,KHP!AI275)))</f>
        <v>0</v>
      </c>
      <c r="F275">
        <f>SUMPRODUCT((MONTH(CHOOSE({1,2,3,4},KHP!T275,KHP!X275,KHP!AB275,KHP!AF275))=6)*(CHOOSE({1,2,3,4},KHP!W275,KHP!AA275,KHP!AE275,KHP!AI275)))</f>
        <v>0</v>
      </c>
      <c r="G275">
        <f>SUMPRODUCT((MONTH(CHOOSE({1,2,3,4},KHP!T275,KHP!X275,KHP!AB275,KHP!AF275))=7)*(CHOOSE({1,2,3,4},KHP!W275,KHP!AA275,KHP!AE275,KHP!AI275)))</f>
        <v>0</v>
      </c>
      <c r="H275">
        <f>SUMPRODUCT((MONTH(CHOOSE({1,2,3,4},KHP!T275,KHP!X275,KHP!AB275,KHP!AF275))=8)*(CHOOSE({1,2,3,4},KHP!W275,KHP!AA275,KHP!AE275,KHP!AI275)))</f>
        <v>0</v>
      </c>
      <c r="I275">
        <f>SUMPRODUCT((MONTH(CHOOSE({1,2,3,4},KHP!T275,KHP!X275,KHP!AB275,KHP!AF275))=9)*(CHOOSE({1,2,3,4},KHP!W275,KHP!AA275,KHP!AE275,KHP!AI275)))</f>
        <v>0</v>
      </c>
      <c r="J275">
        <f>SUMPRODUCT((MONTH(CHOOSE({1,2,3,4},KHP!T275,KHP!X275,KHP!AB275,KHP!AF275))=10)*(CHOOSE({1,2,3,4},KHP!W275,KHP!AA275,KHP!AE275,KHP!AI275)))</f>
        <v>0</v>
      </c>
      <c r="K275">
        <f>SUMPRODUCT((MONTH(CHOOSE({1,2,3,4},KHP!T275,KHP!X275,KHP!AB275,KHP!AF275))=11)*(CHOOSE({1,2,3,4},KHP!W275,KHP!AA275,KHP!AE275,KHP!AI275)))</f>
        <v>0</v>
      </c>
      <c r="L275">
        <f>SUMPRODUCT((MONTH(CHOOSE({1,2,3,4},KHP!T275,KHP!X275,KHP!AB275,KHP!AF275))=12)*(CHOOSE({1,2,3,4},KHP!W275,KHP!AA275,KHP!AE275,KHP!AI275)))</f>
        <v>0</v>
      </c>
    </row>
    <row r="276" spans="1:12">
      <c r="A276">
        <f>SUMPRODUCT((MONTH(CHOOSE({1,2,3,4},KHP!T276,KHP!X276,KHP!AB276,KHP!AF276))=1)*(CHOOSE({1,2,3,4},KHP!W276,KHP!AA276,KHP!AE276,KHP!AI276)))</f>
        <v>0</v>
      </c>
      <c r="B276">
        <f>SUMPRODUCT((MONTH(CHOOSE({1,2,3,4},KHP!T276,KHP!X276,KHP!AB276,KHP!AF276))=2)*(CHOOSE({1,2,3,4},KHP!W276,KHP!AA276,KHP!AE276,KHP!AI276)))</f>
        <v>0</v>
      </c>
      <c r="C276">
        <f>SUMPRODUCT((MONTH(CHOOSE({1,2,3,4},KHP!T276,KHP!X276,KHP!AB276,KHP!AF276))=3)*(CHOOSE({1,2,3,4},KHP!W276,KHP!AA276,KHP!AE276,KHP!AI276)))</f>
        <v>0</v>
      </c>
      <c r="D276">
        <f>SUMPRODUCT((MONTH(CHOOSE({1,2,3,4},KHP!T276,KHP!X276,KHP!AB276,KHP!AF276))=4)*(CHOOSE({1,2,3,4},KHP!W276,KHP!AA276,KHP!AE276,KHP!AI276)))</f>
        <v>0</v>
      </c>
      <c r="E276">
        <f>SUMPRODUCT((MONTH(CHOOSE({1,2,3,4},KHP!T276,KHP!X276,KHP!AB276,KHP!AF276))=5)*(CHOOSE({1,2,3,4},KHP!W276,KHP!AA276,KHP!AE276,KHP!AI276)))</f>
        <v>0</v>
      </c>
      <c r="F276">
        <f>SUMPRODUCT((MONTH(CHOOSE({1,2,3,4},KHP!T276,KHP!X276,KHP!AB276,KHP!AF276))=6)*(CHOOSE({1,2,3,4},KHP!W276,KHP!AA276,KHP!AE276,KHP!AI276)))</f>
        <v>0</v>
      </c>
      <c r="G276">
        <f>SUMPRODUCT((MONTH(CHOOSE({1,2,3,4},KHP!T276,KHP!X276,KHP!AB276,KHP!AF276))=7)*(CHOOSE({1,2,3,4},KHP!W276,KHP!AA276,KHP!AE276,KHP!AI276)))</f>
        <v>0</v>
      </c>
      <c r="H276">
        <f>SUMPRODUCT((MONTH(CHOOSE({1,2,3,4},KHP!T276,KHP!X276,KHP!AB276,KHP!AF276))=8)*(CHOOSE({1,2,3,4},KHP!W276,KHP!AA276,KHP!AE276,KHP!AI276)))</f>
        <v>0</v>
      </c>
      <c r="I276">
        <f>SUMPRODUCT((MONTH(CHOOSE({1,2,3,4},KHP!T276,KHP!X276,KHP!AB276,KHP!AF276))=9)*(CHOOSE({1,2,3,4},KHP!W276,KHP!AA276,KHP!AE276,KHP!AI276)))</f>
        <v>0</v>
      </c>
      <c r="J276">
        <f>SUMPRODUCT((MONTH(CHOOSE({1,2,3,4},KHP!T276,KHP!X276,KHP!AB276,KHP!AF276))=10)*(CHOOSE({1,2,3,4},KHP!W276,KHP!AA276,KHP!AE276,KHP!AI276)))</f>
        <v>0</v>
      </c>
      <c r="K276">
        <f>SUMPRODUCT((MONTH(CHOOSE({1,2,3,4},KHP!T276,KHP!X276,KHP!AB276,KHP!AF276))=11)*(CHOOSE({1,2,3,4},KHP!W276,KHP!AA276,KHP!AE276,KHP!AI276)))</f>
        <v>0</v>
      </c>
      <c r="L276">
        <f>SUMPRODUCT((MONTH(CHOOSE({1,2,3,4},KHP!T276,KHP!X276,KHP!AB276,KHP!AF276))=12)*(CHOOSE({1,2,3,4},KHP!W276,KHP!AA276,KHP!AE276,KHP!AI276)))</f>
        <v>0</v>
      </c>
    </row>
    <row r="277" spans="1:12">
      <c r="A277">
        <f>SUMPRODUCT((MONTH(CHOOSE({1,2,3,4},KHP!T277,KHP!X277,KHP!AB277,KHP!AF277))=1)*(CHOOSE({1,2,3,4},KHP!W277,KHP!AA277,KHP!AE277,KHP!AI277)))</f>
        <v>0</v>
      </c>
      <c r="B277">
        <f>SUMPRODUCT((MONTH(CHOOSE({1,2,3,4},KHP!T277,KHP!X277,KHP!AB277,KHP!AF277))=2)*(CHOOSE({1,2,3,4},KHP!W277,KHP!AA277,KHP!AE277,KHP!AI277)))</f>
        <v>0</v>
      </c>
      <c r="C277">
        <f>SUMPRODUCT((MONTH(CHOOSE({1,2,3,4},KHP!T277,KHP!X277,KHP!AB277,KHP!AF277))=3)*(CHOOSE({1,2,3,4},KHP!W277,KHP!AA277,KHP!AE277,KHP!AI277)))</f>
        <v>0</v>
      </c>
      <c r="D277">
        <f>SUMPRODUCT((MONTH(CHOOSE({1,2,3,4},KHP!T277,KHP!X277,KHP!AB277,KHP!AF277))=4)*(CHOOSE({1,2,3,4},KHP!W277,KHP!AA277,KHP!AE277,KHP!AI277)))</f>
        <v>0</v>
      </c>
      <c r="E277">
        <f>SUMPRODUCT((MONTH(CHOOSE({1,2,3,4},KHP!T277,KHP!X277,KHP!AB277,KHP!AF277))=5)*(CHOOSE({1,2,3,4},KHP!W277,KHP!AA277,KHP!AE277,KHP!AI277)))</f>
        <v>0</v>
      </c>
      <c r="F277">
        <f>SUMPRODUCT((MONTH(CHOOSE({1,2,3,4},KHP!T277,KHP!X277,KHP!AB277,KHP!AF277))=6)*(CHOOSE({1,2,3,4},KHP!W277,KHP!AA277,KHP!AE277,KHP!AI277)))</f>
        <v>0</v>
      </c>
      <c r="G277">
        <f>SUMPRODUCT((MONTH(CHOOSE({1,2,3,4},KHP!T277,KHP!X277,KHP!AB277,KHP!AF277))=7)*(CHOOSE({1,2,3,4},KHP!W277,KHP!AA277,KHP!AE277,KHP!AI277)))</f>
        <v>0</v>
      </c>
      <c r="H277">
        <f>SUMPRODUCT((MONTH(CHOOSE({1,2,3,4},KHP!T277,KHP!X277,KHP!AB277,KHP!AF277))=8)*(CHOOSE({1,2,3,4},KHP!W277,KHP!AA277,KHP!AE277,KHP!AI277)))</f>
        <v>0</v>
      </c>
      <c r="I277">
        <f>SUMPRODUCT((MONTH(CHOOSE({1,2,3,4},KHP!T277,KHP!X277,KHP!AB277,KHP!AF277))=9)*(CHOOSE({1,2,3,4},KHP!W277,KHP!AA277,KHP!AE277,KHP!AI277)))</f>
        <v>0</v>
      </c>
      <c r="J277">
        <f>SUMPRODUCT((MONTH(CHOOSE({1,2,3,4},KHP!T277,KHP!X277,KHP!AB277,KHP!AF277))=10)*(CHOOSE({1,2,3,4},KHP!W277,KHP!AA277,KHP!AE277,KHP!AI277)))</f>
        <v>0</v>
      </c>
      <c r="K277">
        <f>SUMPRODUCT((MONTH(CHOOSE({1,2,3,4},KHP!T277,KHP!X277,KHP!AB277,KHP!AF277))=11)*(CHOOSE({1,2,3,4},KHP!W277,KHP!AA277,KHP!AE277,KHP!AI277)))</f>
        <v>0</v>
      </c>
      <c r="L277">
        <f>SUMPRODUCT((MONTH(CHOOSE({1,2,3,4},KHP!T277,KHP!X277,KHP!AB277,KHP!AF277))=12)*(CHOOSE({1,2,3,4},KHP!W277,KHP!AA277,KHP!AE277,KHP!AI277)))</f>
        <v>0</v>
      </c>
    </row>
    <row r="278" spans="1:12">
      <c r="A278">
        <f>SUMPRODUCT((MONTH(CHOOSE({1,2,3,4},KHP!T278,KHP!X278,KHP!AB278,KHP!AF278))=1)*(CHOOSE({1,2,3,4},KHP!W278,KHP!AA278,KHP!AE278,KHP!AI278)))</f>
        <v>0</v>
      </c>
      <c r="B278">
        <f>SUMPRODUCT((MONTH(CHOOSE({1,2,3,4},KHP!T278,KHP!X278,KHP!AB278,KHP!AF278))=2)*(CHOOSE({1,2,3,4},KHP!W278,KHP!AA278,KHP!AE278,KHP!AI278)))</f>
        <v>0</v>
      </c>
      <c r="C278">
        <f>SUMPRODUCT((MONTH(CHOOSE({1,2,3,4},KHP!T278,KHP!X278,KHP!AB278,KHP!AF278))=3)*(CHOOSE({1,2,3,4},KHP!W278,KHP!AA278,KHP!AE278,KHP!AI278)))</f>
        <v>0</v>
      </c>
      <c r="D278">
        <f>SUMPRODUCT((MONTH(CHOOSE({1,2,3,4},KHP!T278,KHP!X278,KHP!AB278,KHP!AF278))=4)*(CHOOSE({1,2,3,4},KHP!W278,KHP!AA278,KHP!AE278,KHP!AI278)))</f>
        <v>0</v>
      </c>
      <c r="E278">
        <f>SUMPRODUCT((MONTH(CHOOSE({1,2,3,4},KHP!T278,KHP!X278,KHP!AB278,KHP!AF278))=5)*(CHOOSE({1,2,3,4},KHP!W278,KHP!AA278,KHP!AE278,KHP!AI278)))</f>
        <v>0</v>
      </c>
      <c r="F278">
        <f>SUMPRODUCT((MONTH(CHOOSE({1,2,3,4},KHP!T278,KHP!X278,KHP!AB278,KHP!AF278))=6)*(CHOOSE({1,2,3,4},KHP!W278,KHP!AA278,KHP!AE278,KHP!AI278)))</f>
        <v>0</v>
      </c>
      <c r="G278">
        <f>SUMPRODUCT((MONTH(CHOOSE({1,2,3,4},KHP!T278,KHP!X278,KHP!AB278,KHP!AF278))=7)*(CHOOSE({1,2,3,4},KHP!W278,KHP!AA278,KHP!AE278,KHP!AI278)))</f>
        <v>0</v>
      </c>
      <c r="H278">
        <f>SUMPRODUCT((MONTH(CHOOSE({1,2,3,4},KHP!T278,KHP!X278,KHP!AB278,KHP!AF278))=8)*(CHOOSE({1,2,3,4},KHP!W278,KHP!AA278,KHP!AE278,KHP!AI278)))</f>
        <v>0</v>
      </c>
      <c r="I278">
        <f>SUMPRODUCT((MONTH(CHOOSE({1,2,3,4},KHP!T278,KHP!X278,KHP!AB278,KHP!AF278))=9)*(CHOOSE({1,2,3,4},KHP!W278,KHP!AA278,KHP!AE278,KHP!AI278)))</f>
        <v>0</v>
      </c>
      <c r="J278">
        <f>SUMPRODUCT((MONTH(CHOOSE({1,2,3,4},KHP!T278,KHP!X278,KHP!AB278,KHP!AF278))=10)*(CHOOSE({1,2,3,4},KHP!W278,KHP!AA278,KHP!AE278,KHP!AI278)))</f>
        <v>0</v>
      </c>
      <c r="K278">
        <f>SUMPRODUCT((MONTH(CHOOSE({1,2,3,4},KHP!T278,KHP!X278,KHP!AB278,KHP!AF278))=11)*(CHOOSE({1,2,3,4},KHP!W278,KHP!AA278,KHP!AE278,KHP!AI278)))</f>
        <v>0</v>
      </c>
      <c r="L278">
        <f>SUMPRODUCT((MONTH(CHOOSE({1,2,3,4},KHP!T278,KHP!X278,KHP!AB278,KHP!AF278))=12)*(CHOOSE({1,2,3,4},KHP!W278,KHP!AA278,KHP!AE278,KHP!AI278)))</f>
        <v>0</v>
      </c>
    </row>
    <row r="279" spans="1:12">
      <c r="A279">
        <f>SUMPRODUCT((MONTH(CHOOSE({1,2,3,4},KHP!T279,KHP!X279,KHP!AB279,KHP!AF279))=1)*(CHOOSE({1,2,3,4},KHP!W279,KHP!AA279,KHP!AE279,KHP!AI279)))</f>
        <v>0</v>
      </c>
      <c r="B279">
        <f>SUMPRODUCT((MONTH(CHOOSE({1,2,3,4},KHP!T279,KHP!X279,KHP!AB279,KHP!AF279))=2)*(CHOOSE({1,2,3,4},KHP!W279,KHP!AA279,KHP!AE279,KHP!AI279)))</f>
        <v>0</v>
      </c>
      <c r="C279">
        <f>SUMPRODUCT((MONTH(CHOOSE({1,2,3,4},KHP!T279,KHP!X279,KHP!AB279,KHP!AF279))=3)*(CHOOSE({1,2,3,4},KHP!W279,KHP!AA279,KHP!AE279,KHP!AI279)))</f>
        <v>0</v>
      </c>
      <c r="D279">
        <f>SUMPRODUCT((MONTH(CHOOSE({1,2,3,4},KHP!T279,KHP!X279,KHP!AB279,KHP!AF279))=4)*(CHOOSE({1,2,3,4},KHP!W279,KHP!AA279,KHP!AE279,KHP!AI279)))</f>
        <v>0</v>
      </c>
      <c r="E279">
        <f>SUMPRODUCT((MONTH(CHOOSE({1,2,3,4},KHP!T279,KHP!X279,KHP!AB279,KHP!AF279))=5)*(CHOOSE({1,2,3,4},KHP!W279,KHP!AA279,KHP!AE279,KHP!AI279)))</f>
        <v>0</v>
      </c>
      <c r="F279">
        <f>SUMPRODUCT((MONTH(CHOOSE({1,2,3,4},KHP!T279,KHP!X279,KHP!AB279,KHP!AF279))=6)*(CHOOSE({1,2,3,4},KHP!W279,KHP!AA279,KHP!AE279,KHP!AI279)))</f>
        <v>0</v>
      </c>
      <c r="G279">
        <f>SUMPRODUCT((MONTH(CHOOSE({1,2,3,4},KHP!T279,KHP!X279,KHP!AB279,KHP!AF279))=7)*(CHOOSE({1,2,3,4},KHP!W279,KHP!AA279,KHP!AE279,KHP!AI279)))</f>
        <v>0</v>
      </c>
      <c r="H279">
        <f>SUMPRODUCT((MONTH(CHOOSE({1,2,3,4},KHP!T279,KHP!X279,KHP!AB279,KHP!AF279))=8)*(CHOOSE({1,2,3,4},KHP!W279,KHP!AA279,KHP!AE279,KHP!AI279)))</f>
        <v>0</v>
      </c>
      <c r="I279">
        <f>SUMPRODUCT((MONTH(CHOOSE({1,2,3,4},KHP!T279,KHP!X279,KHP!AB279,KHP!AF279))=9)*(CHOOSE({1,2,3,4},KHP!W279,KHP!AA279,KHP!AE279,KHP!AI279)))</f>
        <v>0</v>
      </c>
      <c r="J279">
        <f>SUMPRODUCT((MONTH(CHOOSE({1,2,3,4},KHP!T279,KHP!X279,KHP!AB279,KHP!AF279))=10)*(CHOOSE({1,2,3,4},KHP!W279,KHP!AA279,KHP!AE279,KHP!AI279)))</f>
        <v>0</v>
      </c>
      <c r="K279">
        <f>SUMPRODUCT((MONTH(CHOOSE({1,2,3,4},KHP!T279,KHP!X279,KHP!AB279,KHP!AF279))=11)*(CHOOSE({1,2,3,4},KHP!W279,KHP!AA279,KHP!AE279,KHP!AI279)))</f>
        <v>0</v>
      </c>
      <c r="L279">
        <f>SUMPRODUCT((MONTH(CHOOSE({1,2,3,4},KHP!T279,KHP!X279,KHP!AB279,KHP!AF279))=12)*(CHOOSE({1,2,3,4},KHP!W279,KHP!AA279,KHP!AE279,KHP!AI279)))</f>
        <v>0</v>
      </c>
    </row>
    <row r="280" spans="1:12">
      <c r="A280">
        <f>SUMPRODUCT((MONTH(CHOOSE({1,2,3,4},KHP!T280,KHP!X280,KHP!AB280,KHP!AF280))=1)*(CHOOSE({1,2,3,4},KHP!W280,KHP!AA280,KHP!AE280,KHP!AI280)))</f>
        <v>0</v>
      </c>
      <c r="B280">
        <f>SUMPRODUCT((MONTH(CHOOSE({1,2,3,4},KHP!T280,KHP!X280,KHP!AB280,KHP!AF280))=2)*(CHOOSE({1,2,3,4},KHP!W280,KHP!AA280,KHP!AE280,KHP!AI280)))</f>
        <v>0</v>
      </c>
      <c r="C280">
        <f>SUMPRODUCT((MONTH(CHOOSE({1,2,3,4},KHP!T280,KHP!X280,KHP!AB280,KHP!AF280))=3)*(CHOOSE({1,2,3,4},KHP!W280,KHP!AA280,KHP!AE280,KHP!AI280)))</f>
        <v>0</v>
      </c>
      <c r="D280">
        <f>SUMPRODUCT((MONTH(CHOOSE({1,2,3,4},KHP!T280,KHP!X280,KHP!AB280,KHP!AF280))=4)*(CHOOSE({1,2,3,4},KHP!W280,KHP!AA280,KHP!AE280,KHP!AI280)))</f>
        <v>0</v>
      </c>
      <c r="E280">
        <f>SUMPRODUCT((MONTH(CHOOSE({1,2,3,4},KHP!T280,KHP!X280,KHP!AB280,KHP!AF280))=5)*(CHOOSE({1,2,3,4},KHP!W280,KHP!AA280,KHP!AE280,KHP!AI280)))</f>
        <v>0</v>
      </c>
      <c r="F280">
        <f>SUMPRODUCT((MONTH(CHOOSE({1,2,3,4},KHP!T280,KHP!X280,KHP!AB280,KHP!AF280))=6)*(CHOOSE({1,2,3,4},KHP!W280,KHP!AA280,KHP!AE280,KHP!AI280)))</f>
        <v>0</v>
      </c>
      <c r="G280">
        <f>SUMPRODUCT((MONTH(CHOOSE({1,2,3,4},KHP!T280,KHP!X280,KHP!AB280,KHP!AF280))=7)*(CHOOSE({1,2,3,4},KHP!W280,KHP!AA280,KHP!AE280,KHP!AI280)))</f>
        <v>0</v>
      </c>
      <c r="H280">
        <f>SUMPRODUCT((MONTH(CHOOSE({1,2,3,4},KHP!T280,KHP!X280,KHP!AB280,KHP!AF280))=8)*(CHOOSE({1,2,3,4},KHP!W280,KHP!AA280,KHP!AE280,KHP!AI280)))</f>
        <v>0</v>
      </c>
      <c r="I280">
        <f>SUMPRODUCT((MONTH(CHOOSE({1,2,3,4},KHP!T280,KHP!X280,KHP!AB280,KHP!AF280))=9)*(CHOOSE({1,2,3,4},KHP!W280,KHP!AA280,KHP!AE280,KHP!AI280)))</f>
        <v>0</v>
      </c>
      <c r="J280">
        <f>SUMPRODUCT((MONTH(CHOOSE({1,2,3,4},KHP!T280,KHP!X280,KHP!AB280,KHP!AF280))=10)*(CHOOSE({1,2,3,4},KHP!W280,KHP!AA280,KHP!AE280,KHP!AI280)))</f>
        <v>0</v>
      </c>
      <c r="K280">
        <f>SUMPRODUCT((MONTH(CHOOSE({1,2,3,4},KHP!T280,KHP!X280,KHP!AB280,KHP!AF280))=11)*(CHOOSE({1,2,3,4},KHP!W280,KHP!AA280,KHP!AE280,KHP!AI280)))</f>
        <v>0</v>
      </c>
      <c r="L280">
        <f>SUMPRODUCT((MONTH(CHOOSE({1,2,3,4},KHP!T280,KHP!X280,KHP!AB280,KHP!AF280))=12)*(CHOOSE({1,2,3,4},KHP!W280,KHP!AA280,KHP!AE280,KHP!AI280)))</f>
        <v>0</v>
      </c>
    </row>
    <row r="281" spans="1:12">
      <c r="A281">
        <f>SUMPRODUCT((MONTH(CHOOSE({1,2,3,4},KHP!T281,KHP!X281,KHP!AB281,KHP!AF281))=1)*(CHOOSE({1,2,3,4},KHP!W281,KHP!AA281,KHP!AE281,KHP!AI281)))</f>
        <v>0</v>
      </c>
      <c r="B281">
        <f>SUMPRODUCT((MONTH(CHOOSE({1,2,3,4},KHP!T281,KHP!X281,KHP!AB281,KHP!AF281))=2)*(CHOOSE({1,2,3,4},KHP!W281,KHP!AA281,KHP!AE281,KHP!AI281)))</f>
        <v>0</v>
      </c>
      <c r="C281">
        <f>SUMPRODUCT((MONTH(CHOOSE({1,2,3,4},KHP!T281,KHP!X281,KHP!AB281,KHP!AF281))=3)*(CHOOSE({1,2,3,4},KHP!W281,KHP!AA281,KHP!AE281,KHP!AI281)))</f>
        <v>0</v>
      </c>
      <c r="D281">
        <f>SUMPRODUCT((MONTH(CHOOSE({1,2,3,4},KHP!T281,KHP!X281,KHP!AB281,KHP!AF281))=4)*(CHOOSE({1,2,3,4},KHP!W281,KHP!AA281,KHP!AE281,KHP!AI281)))</f>
        <v>0</v>
      </c>
      <c r="E281">
        <f>SUMPRODUCT((MONTH(CHOOSE({1,2,3,4},KHP!T281,KHP!X281,KHP!AB281,KHP!AF281))=5)*(CHOOSE({1,2,3,4},KHP!W281,KHP!AA281,KHP!AE281,KHP!AI281)))</f>
        <v>0</v>
      </c>
      <c r="F281">
        <f>SUMPRODUCT((MONTH(CHOOSE({1,2,3,4},KHP!T281,KHP!X281,KHP!AB281,KHP!AF281))=6)*(CHOOSE({1,2,3,4},KHP!W281,KHP!AA281,KHP!AE281,KHP!AI281)))</f>
        <v>0</v>
      </c>
      <c r="G281">
        <f>SUMPRODUCT((MONTH(CHOOSE({1,2,3,4},KHP!T281,KHP!X281,KHP!AB281,KHP!AF281))=7)*(CHOOSE({1,2,3,4},KHP!W281,KHP!AA281,KHP!AE281,KHP!AI281)))</f>
        <v>0</v>
      </c>
      <c r="H281">
        <f>SUMPRODUCT((MONTH(CHOOSE({1,2,3,4},KHP!T281,KHP!X281,KHP!AB281,KHP!AF281))=8)*(CHOOSE({1,2,3,4},KHP!W281,KHP!AA281,KHP!AE281,KHP!AI281)))</f>
        <v>0</v>
      </c>
      <c r="I281">
        <f>SUMPRODUCT((MONTH(CHOOSE({1,2,3,4},KHP!T281,KHP!X281,KHP!AB281,KHP!AF281))=9)*(CHOOSE({1,2,3,4},KHP!W281,KHP!AA281,KHP!AE281,KHP!AI281)))</f>
        <v>0</v>
      </c>
      <c r="J281">
        <f>SUMPRODUCT((MONTH(CHOOSE({1,2,3,4},KHP!T281,KHP!X281,KHP!AB281,KHP!AF281))=10)*(CHOOSE({1,2,3,4},KHP!W281,KHP!AA281,KHP!AE281,KHP!AI281)))</f>
        <v>0</v>
      </c>
      <c r="K281">
        <f>SUMPRODUCT((MONTH(CHOOSE({1,2,3,4},KHP!T281,KHP!X281,KHP!AB281,KHP!AF281))=11)*(CHOOSE({1,2,3,4},KHP!W281,KHP!AA281,KHP!AE281,KHP!AI281)))</f>
        <v>0</v>
      </c>
      <c r="L281">
        <f>SUMPRODUCT((MONTH(CHOOSE({1,2,3,4},KHP!T281,KHP!X281,KHP!AB281,KHP!AF281))=12)*(CHOOSE({1,2,3,4},KHP!W281,KHP!AA281,KHP!AE281,KHP!AI281)))</f>
        <v>0</v>
      </c>
    </row>
    <row r="282" spans="1:12">
      <c r="A282">
        <f>SUMPRODUCT((MONTH(CHOOSE({1,2,3,4},KHP!T282,KHP!X282,KHP!AB282,KHP!AF282))=1)*(CHOOSE({1,2,3,4},KHP!W282,KHP!AA282,KHP!AE282,KHP!AI282)))</f>
        <v>0</v>
      </c>
      <c r="B282">
        <f>SUMPRODUCT((MONTH(CHOOSE({1,2,3,4},KHP!T282,KHP!X282,KHP!AB282,KHP!AF282))=2)*(CHOOSE({1,2,3,4},KHP!W282,KHP!AA282,KHP!AE282,KHP!AI282)))</f>
        <v>0</v>
      </c>
      <c r="C282">
        <f>SUMPRODUCT((MONTH(CHOOSE({1,2,3,4},KHP!T282,KHP!X282,KHP!AB282,KHP!AF282))=3)*(CHOOSE({1,2,3,4},KHP!W282,KHP!AA282,KHP!AE282,KHP!AI282)))</f>
        <v>0</v>
      </c>
      <c r="D282">
        <f>SUMPRODUCT((MONTH(CHOOSE({1,2,3,4},KHP!T282,KHP!X282,KHP!AB282,KHP!AF282))=4)*(CHOOSE({1,2,3,4},KHP!W282,KHP!AA282,KHP!AE282,KHP!AI282)))</f>
        <v>0</v>
      </c>
      <c r="E282">
        <f>SUMPRODUCT((MONTH(CHOOSE({1,2,3,4},KHP!T282,KHP!X282,KHP!AB282,KHP!AF282))=5)*(CHOOSE({1,2,3,4},KHP!W282,KHP!AA282,KHP!AE282,KHP!AI282)))</f>
        <v>0</v>
      </c>
      <c r="F282">
        <f>SUMPRODUCT((MONTH(CHOOSE({1,2,3,4},KHP!T282,KHP!X282,KHP!AB282,KHP!AF282))=6)*(CHOOSE({1,2,3,4},KHP!W282,KHP!AA282,KHP!AE282,KHP!AI282)))</f>
        <v>0</v>
      </c>
      <c r="G282">
        <f>SUMPRODUCT((MONTH(CHOOSE({1,2,3,4},KHP!T282,KHP!X282,KHP!AB282,KHP!AF282))=7)*(CHOOSE({1,2,3,4},KHP!W282,KHP!AA282,KHP!AE282,KHP!AI282)))</f>
        <v>0</v>
      </c>
      <c r="H282">
        <f>SUMPRODUCT((MONTH(CHOOSE({1,2,3,4},KHP!T282,KHP!X282,KHP!AB282,KHP!AF282))=8)*(CHOOSE({1,2,3,4},KHP!W282,KHP!AA282,KHP!AE282,KHP!AI282)))</f>
        <v>0</v>
      </c>
      <c r="I282">
        <f>SUMPRODUCT((MONTH(CHOOSE({1,2,3,4},KHP!T282,KHP!X282,KHP!AB282,KHP!AF282))=9)*(CHOOSE({1,2,3,4},KHP!W282,KHP!AA282,KHP!AE282,KHP!AI282)))</f>
        <v>0</v>
      </c>
      <c r="J282">
        <f>SUMPRODUCT((MONTH(CHOOSE({1,2,3,4},KHP!T282,KHP!X282,KHP!AB282,KHP!AF282))=10)*(CHOOSE({1,2,3,4},KHP!W282,KHP!AA282,KHP!AE282,KHP!AI282)))</f>
        <v>0</v>
      </c>
      <c r="K282">
        <f>SUMPRODUCT((MONTH(CHOOSE({1,2,3,4},KHP!T282,KHP!X282,KHP!AB282,KHP!AF282))=11)*(CHOOSE({1,2,3,4},KHP!W282,KHP!AA282,KHP!AE282,KHP!AI282)))</f>
        <v>0</v>
      </c>
      <c r="L282">
        <f>SUMPRODUCT((MONTH(CHOOSE({1,2,3,4},KHP!T282,KHP!X282,KHP!AB282,KHP!AF282))=12)*(CHOOSE({1,2,3,4},KHP!W282,KHP!AA282,KHP!AE282,KHP!AI282)))</f>
        <v>0</v>
      </c>
    </row>
    <row r="283" spans="1:12">
      <c r="A283">
        <f>SUMPRODUCT((MONTH(CHOOSE({1,2,3,4},KHP!T283,KHP!X283,KHP!AB283,KHP!AF283))=1)*(CHOOSE({1,2,3,4},KHP!W283,KHP!AA283,KHP!AE283,KHP!AI283)))</f>
        <v>0</v>
      </c>
      <c r="B283">
        <f>SUMPRODUCT((MONTH(CHOOSE({1,2,3,4},KHP!T283,KHP!X283,KHP!AB283,KHP!AF283))=2)*(CHOOSE({1,2,3,4},KHP!W283,KHP!AA283,KHP!AE283,KHP!AI283)))</f>
        <v>0</v>
      </c>
      <c r="C283">
        <f>SUMPRODUCT((MONTH(CHOOSE({1,2,3,4},KHP!T283,KHP!X283,KHP!AB283,KHP!AF283))=3)*(CHOOSE({1,2,3,4},KHP!W283,KHP!AA283,KHP!AE283,KHP!AI283)))</f>
        <v>0</v>
      </c>
      <c r="D283">
        <f>SUMPRODUCT((MONTH(CHOOSE({1,2,3,4},KHP!T283,KHP!X283,KHP!AB283,KHP!AF283))=4)*(CHOOSE({1,2,3,4},KHP!W283,KHP!AA283,KHP!AE283,KHP!AI283)))</f>
        <v>0</v>
      </c>
      <c r="E283">
        <f>SUMPRODUCT((MONTH(CHOOSE({1,2,3,4},KHP!T283,KHP!X283,KHP!AB283,KHP!AF283))=5)*(CHOOSE({1,2,3,4},KHP!W283,KHP!AA283,KHP!AE283,KHP!AI283)))</f>
        <v>0</v>
      </c>
      <c r="F283">
        <f>SUMPRODUCT((MONTH(CHOOSE({1,2,3,4},KHP!T283,KHP!X283,KHP!AB283,KHP!AF283))=6)*(CHOOSE({1,2,3,4},KHP!W283,KHP!AA283,KHP!AE283,KHP!AI283)))</f>
        <v>0</v>
      </c>
      <c r="G283">
        <f>SUMPRODUCT((MONTH(CHOOSE({1,2,3,4},KHP!T283,KHP!X283,KHP!AB283,KHP!AF283))=7)*(CHOOSE({1,2,3,4},KHP!W283,KHP!AA283,KHP!AE283,KHP!AI283)))</f>
        <v>0</v>
      </c>
      <c r="H283">
        <f>SUMPRODUCT((MONTH(CHOOSE({1,2,3,4},KHP!T283,KHP!X283,KHP!AB283,KHP!AF283))=8)*(CHOOSE({1,2,3,4},KHP!W283,KHP!AA283,KHP!AE283,KHP!AI283)))</f>
        <v>0</v>
      </c>
      <c r="I283">
        <f>SUMPRODUCT((MONTH(CHOOSE({1,2,3,4},KHP!T283,KHP!X283,KHP!AB283,KHP!AF283))=9)*(CHOOSE({1,2,3,4},KHP!W283,KHP!AA283,KHP!AE283,KHP!AI283)))</f>
        <v>0</v>
      </c>
      <c r="J283">
        <f>SUMPRODUCT((MONTH(CHOOSE({1,2,3,4},KHP!T283,KHP!X283,KHP!AB283,KHP!AF283))=10)*(CHOOSE({1,2,3,4},KHP!W283,KHP!AA283,KHP!AE283,KHP!AI283)))</f>
        <v>0</v>
      </c>
      <c r="K283">
        <f>SUMPRODUCT((MONTH(CHOOSE({1,2,3,4},KHP!T283,KHP!X283,KHP!AB283,KHP!AF283))=11)*(CHOOSE({1,2,3,4},KHP!W283,KHP!AA283,KHP!AE283,KHP!AI283)))</f>
        <v>0</v>
      </c>
      <c r="L283">
        <f>SUMPRODUCT((MONTH(CHOOSE({1,2,3,4},KHP!T283,KHP!X283,KHP!AB283,KHP!AF283))=12)*(CHOOSE({1,2,3,4},KHP!W283,KHP!AA283,KHP!AE283,KHP!AI283)))</f>
        <v>0</v>
      </c>
    </row>
    <row r="284" spans="1:12">
      <c r="A284">
        <f>SUMPRODUCT((MONTH(CHOOSE({1,2,3,4},KHP!T284,KHP!X284,KHP!AB284,KHP!AF284))=1)*(CHOOSE({1,2,3,4},KHP!W284,KHP!AA284,KHP!AE284,KHP!AI284)))</f>
        <v>0</v>
      </c>
      <c r="B284">
        <f>SUMPRODUCT((MONTH(CHOOSE({1,2,3,4},KHP!T284,KHP!X284,KHP!AB284,KHP!AF284))=2)*(CHOOSE({1,2,3,4},KHP!W284,KHP!AA284,KHP!AE284,KHP!AI284)))</f>
        <v>0</v>
      </c>
      <c r="C284">
        <f>SUMPRODUCT((MONTH(CHOOSE({1,2,3,4},KHP!T284,KHP!X284,KHP!AB284,KHP!AF284))=3)*(CHOOSE({1,2,3,4},KHP!W284,KHP!AA284,KHP!AE284,KHP!AI284)))</f>
        <v>0</v>
      </c>
      <c r="D284">
        <f>SUMPRODUCT((MONTH(CHOOSE({1,2,3,4},KHP!T284,KHP!X284,KHP!AB284,KHP!AF284))=4)*(CHOOSE({1,2,3,4},KHP!W284,KHP!AA284,KHP!AE284,KHP!AI284)))</f>
        <v>0</v>
      </c>
      <c r="E284">
        <f>SUMPRODUCT((MONTH(CHOOSE({1,2,3,4},KHP!T284,KHP!X284,KHP!AB284,KHP!AF284))=5)*(CHOOSE({1,2,3,4},KHP!W284,KHP!AA284,KHP!AE284,KHP!AI284)))</f>
        <v>0</v>
      </c>
      <c r="F284">
        <f>SUMPRODUCT((MONTH(CHOOSE({1,2,3,4},KHP!T284,KHP!X284,KHP!AB284,KHP!AF284))=6)*(CHOOSE({1,2,3,4},KHP!W284,KHP!AA284,KHP!AE284,KHP!AI284)))</f>
        <v>0</v>
      </c>
      <c r="G284">
        <f>SUMPRODUCT((MONTH(CHOOSE({1,2,3,4},KHP!T284,KHP!X284,KHP!AB284,KHP!AF284))=7)*(CHOOSE({1,2,3,4},KHP!W284,KHP!AA284,KHP!AE284,KHP!AI284)))</f>
        <v>0</v>
      </c>
      <c r="H284">
        <f>SUMPRODUCT((MONTH(CHOOSE({1,2,3,4},KHP!T284,KHP!X284,KHP!AB284,KHP!AF284))=8)*(CHOOSE({1,2,3,4},KHP!W284,KHP!AA284,KHP!AE284,KHP!AI284)))</f>
        <v>0</v>
      </c>
      <c r="I284">
        <f>SUMPRODUCT((MONTH(CHOOSE({1,2,3,4},KHP!T284,KHP!X284,KHP!AB284,KHP!AF284))=9)*(CHOOSE({1,2,3,4},KHP!W284,KHP!AA284,KHP!AE284,KHP!AI284)))</f>
        <v>0</v>
      </c>
      <c r="J284">
        <f>SUMPRODUCT((MONTH(CHOOSE({1,2,3,4},KHP!T284,KHP!X284,KHP!AB284,KHP!AF284))=10)*(CHOOSE({1,2,3,4},KHP!W284,KHP!AA284,KHP!AE284,KHP!AI284)))</f>
        <v>0</v>
      </c>
      <c r="K284">
        <f>SUMPRODUCT((MONTH(CHOOSE({1,2,3,4},KHP!T284,KHP!X284,KHP!AB284,KHP!AF284))=11)*(CHOOSE({1,2,3,4},KHP!W284,KHP!AA284,KHP!AE284,KHP!AI284)))</f>
        <v>0</v>
      </c>
      <c r="L284">
        <f>SUMPRODUCT((MONTH(CHOOSE({1,2,3,4},KHP!T284,KHP!X284,KHP!AB284,KHP!AF284))=12)*(CHOOSE({1,2,3,4},KHP!W284,KHP!AA284,KHP!AE284,KHP!AI284)))</f>
        <v>0</v>
      </c>
    </row>
    <row r="285" spans="1:12">
      <c r="A285">
        <f>SUMPRODUCT((MONTH(CHOOSE({1,2,3,4},KHP!T285,KHP!X285,KHP!AB285,KHP!AF285))=1)*(CHOOSE({1,2,3,4},KHP!W285,KHP!AA285,KHP!AE285,KHP!AI285)))</f>
        <v>0</v>
      </c>
      <c r="B285">
        <f>SUMPRODUCT((MONTH(CHOOSE({1,2,3,4},KHP!T285,KHP!X285,KHP!AB285,KHP!AF285))=2)*(CHOOSE({1,2,3,4},KHP!W285,KHP!AA285,KHP!AE285,KHP!AI285)))</f>
        <v>0</v>
      </c>
      <c r="C285">
        <f>SUMPRODUCT((MONTH(CHOOSE({1,2,3,4},KHP!T285,KHP!X285,KHP!AB285,KHP!AF285))=3)*(CHOOSE({1,2,3,4},KHP!W285,KHP!AA285,KHP!AE285,KHP!AI285)))</f>
        <v>0</v>
      </c>
      <c r="D285">
        <f>SUMPRODUCT((MONTH(CHOOSE({1,2,3,4},KHP!T285,KHP!X285,KHP!AB285,KHP!AF285))=4)*(CHOOSE({1,2,3,4},KHP!W285,KHP!AA285,KHP!AE285,KHP!AI285)))</f>
        <v>0</v>
      </c>
      <c r="E285">
        <f>SUMPRODUCT((MONTH(CHOOSE({1,2,3,4},KHP!T285,KHP!X285,KHP!AB285,KHP!AF285))=5)*(CHOOSE({1,2,3,4},KHP!W285,KHP!AA285,KHP!AE285,KHP!AI285)))</f>
        <v>0</v>
      </c>
      <c r="F285">
        <f>SUMPRODUCT((MONTH(CHOOSE({1,2,3,4},KHP!T285,KHP!X285,KHP!AB285,KHP!AF285))=6)*(CHOOSE({1,2,3,4},KHP!W285,KHP!AA285,KHP!AE285,KHP!AI285)))</f>
        <v>0</v>
      </c>
      <c r="G285">
        <f>SUMPRODUCT((MONTH(CHOOSE({1,2,3,4},KHP!T285,KHP!X285,KHP!AB285,KHP!AF285))=7)*(CHOOSE({1,2,3,4},KHP!W285,KHP!AA285,KHP!AE285,KHP!AI285)))</f>
        <v>0</v>
      </c>
      <c r="H285">
        <f>SUMPRODUCT((MONTH(CHOOSE({1,2,3,4},KHP!T285,KHP!X285,KHP!AB285,KHP!AF285))=8)*(CHOOSE({1,2,3,4},KHP!W285,KHP!AA285,KHP!AE285,KHP!AI285)))</f>
        <v>0</v>
      </c>
      <c r="I285">
        <f>SUMPRODUCT((MONTH(CHOOSE({1,2,3,4},KHP!T285,KHP!X285,KHP!AB285,KHP!AF285))=9)*(CHOOSE({1,2,3,4},KHP!W285,KHP!AA285,KHP!AE285,KHP!AI285)))</f>
        <v>0</v>
      </c>
      <c r="J285">
        <f>SUMPRODUCT((MONTH(CHOOSE({1,2,3,4},KHP!T285,KHP!X285,KHP!AB285,KHP!AF285))=10)*(CHOOSE({1,2,3,4},KHP!W285,KHP!AA285,KHP!AE285,KHP!AI285)))</f>
        <v>0</v>
      </c>
      <c r="K285">
        <f>SUMPRODUCT((MONTH(CHOOSE({1,2,3,4},KHP!T285,KHP!X285,KHP!AB285,KHP!AF285))=11)*(CHOOSE({1,2,3,4},KHP!W285,KHP!AA285,KHP!AE285,KHP!AI285)))</f>
        <v>0</v>
      </c>
      <c r="L285">
        <f>SUMPRODUCT((MONTH(CHOOSE({1,2,3,4},KHP!T285,KHP!X285,KHP!AB285,KHP!AF285))=12)*(CHOOSE({1,2,3,4},KHP!W285,KHP!AA285,KHP!AE285,KHP!AI285)))</f>
        <v>0</v>
      </c>
    </row>
    <row r="286" spans="1:12">
      <c r="A286">
        <f>SUMPRODUCT((MONTH(CHOOSE({1,2,3,4},KHP!T286,KHP!X286,KHP!AB286,KHP!AF286))=1)*(CHOOSE({1,2,3,4},KHP!W286,KHP!AA286,KHP!AE286,KHP!AI286)))</f>
        <v>0</v>
      </c>
      <c r="B286">
        <f>SUMPRODUCT((MONTH(CHOOSE({1,2,3,4},KHP!T286,KHP!X286,KHP!AB286,KHP!AF286))=2)*(CHOOSE({1,2,3,4},KHP!W286,KHP!AA286,KHP!AE286,KHP!AI286)))</f>
        <v>0</v>
      </c>
      <c r="C286">
        <f>SUMPRODUCT((MONTH(CHOOSE({1,2,3,4},KHP!T286,KHP!X286,KHP!AB286,KHP!AF286))=3)*(CHOOSE({1,2,3,4},KHP!W286,KHP!AA286,KHP!AE286,KHP!AI286)))</f>
        <v>0</v>
      </c>
      <c r="D286">
        <f>SUMPRODUCT((MONTH(CHOOSE({1,2,3,4},KHP!T286,KHP!X286,KHP!AB286,KHP!AF286))=4)*(CHOOSE({1,2,3,4},KHP!W286,KHP!AA286,KHP!AE286,KHP!AI286)))</f>
        <v>0</v>
      </c>
      <c r="E286">
        <f>SUMPRODUCT((MONTH(CHOOSE({1,2,3,4},KHP!T286,KHP!X286,KHP!AB286,KHP!AF286))=5)*(CHOOSE({1,2,3,4},KHP!W286,KHP!AA286,KHP!AE286,KHP!AI286)))</f>
        <v>0</v>
      </c>
      <c r="F286">
        <f>SUMPRODUCT((MONTH(CHOOSE({1,2,3,4},KHP!T286,KHP!X286,KHP!AB286,KHP!AF286))=6)*(CHOOSE({1,2,3,4},KHP!W286,KHP!AA286,KHP!AE286,KHP!AI286)))</f>
        <v>0</v>
      </c>
      <c r="G286">
        <f>SUMPRODUCT((MONTH(CHOOSE({1,2,3,4},KHP!T286,KHP!X286,KHP!AB286,KHP!AF286))=7)*(CHOOSE({1,2,3,4},KHP!W286,KHP!AA286,KHP!AE286,KHP!AI286)))</f>
        <v>0</v>
      </c>
      <c r="H286">
        <f>SUMPRODUCT((MONTH(CHOOSE({1,2,3,4},KHP!T286,KHP!X286,KHP!AB286,KHP!AF286))=8)*(CHOOSE({1,2,3,4},KHP!W286,KHP!AA286,KHP!AE286,KHP!AI286)))</f>
        <v>0</v>
      </c>
      <c r="I286">
        <f>SUMPRODUCT((MONTH(CHOOSE({1,2,3,4},KHP!T286,KHP!X286,KHP!AB286,KHP!AF286))=9)*(CHOOSE({1,2,3,4},KHP!W286,KHP!AA286,KHP!AE286,KHP!AI286)))</f>
        <v>0</v>
      </c>
      <c r="J286">
        <f>SUMPRODUCT((MONTH(CHOOSE({1,2,3,4},KHP!T286,KHP!X286,KHP!AB286,KHP!AF286))=10)*(CHOOSE({1,2,3,4},KHP!W286,KHP!AA286,KHP!AE286,KHP!AI286)))</f>
        <v>0</v>
      </c>
      <c r="K286">
        <f>SUMPRODUCT((MONTH(CHOOSE({1,2,3,4},KHP!T286,KHP!X286,KHP!AB286,KHP!AF286))=11)*(CHOOSE({1,2,3,4},KHP!W286,KHP!AA286,KHP!AE286,KHP!AI286)))</f>
        <v>0</v>
      </c>
      <c r="L286">
        <f>SUMPRODUCT((MONTH(CHOOSE({1,2,3,4},KHP!T286,KHP!X286,KHP!AB286,KHP!AF286))=12)*(CHOOSE({1,2,3,4},KHP!W286,KHP!AA286,KHP!AE286,KHP!AI286)))</f>
        <v>0</v>
      </c>
    </row>
    <row r="287" spans="1:12">
      <c r="A287">
        <f>SUMPRODUCT((MONTH(CHOOSE({1,2,3,4},KHP!T287,KHP!X287,KHP!AB287,KHP!AF287))=1)*(CHOOSE({1,2,3,4},KHP!W287,KHP!AA287,KHP!AE287,KHP!AI287)))</f>
        <v>0</v>
      </c>
      <c r="B287">
        <f>SUMPRODUCT((MONTH(CHOOSE({1,2,3,4},KHP!T287,KHP!X287,KHP!AB287,KHP!AF287))=2)*(CHOOSE({1,2,3,4},KHP!W287,KHP!AA287,KHP!AE287,KHP!AI287)))</f>
        <v>0</v>
      </c>
      <c r="C287">
        <f>SUMPRODUCT((MONTH(CHOOSE({1,2,3,4},KHP!T287,KHP!X287,KHP!AB287,KHP!AF287))=3)*(CHOOSE({1,2,3,4},KHP!W287,KHP!AA287,KHP!AE287,KHP!AI287)))</f>
        <v>0</v>
      </c>
      <c r="D287">
        <f>SUMPRODUCT((MONTH(CHOOSE({1,2,3,4},KHP!T287,KHP!X287,KHP!AB287,KHP!AF287))=4)*(CHOOSE({1,2,3,4},KHP!W287,KHP!AA287,KHP!AE287,KHP!AI287)))</f>
        <v>0</v>
      </c>
      <c r="E287">
        <f>SUMPRODUCT((MONTH(CHOOSE({1,2,3,4},KHP!T287,KHP!X287,KHP!AB287,KHP!AF287))=5)*(CHOOSE({1,2,3,4},KHP!W287,KHP!AA287,KHP!AE287,KHP!AI287)))</f>
        <v>0</v>
      </c>
      <c r="F287">
        <f>SUMPRODUCT((MONTH(CHOOSE({1,2,3,4},KHP!T287,KHP!X287,KHP!AB287,KHP!AF287))=6)*(CHOOSE({1,2,3,4},KHP!W287,KHP!AA287,KHP!AE287,KHP!AI287)))</f>
        <v>0</v>
      </c>
      <c r="G287">
        <f>SUMPRODUCT((MONTH(CHOOSE({1,2,3,4},KHP!T287,KHP!X287,KHP!AB287,KHP!AF287))=7)*(CHOOSE({1,2,3,4},KHP!W287,KHP!AA287,KHP!AE287,KHP!AI287)))</f>
        <v>0</v>
      </c>
      <c r="H287">
        <f>SUMPRODUCT((MONTH(CHOOSE({1,2,3,4},KHP!T287,KHP!X287,KHP!AB287,KHP!AF287))=8)*(CHOOSE({1,2,3,4},KHP!W287,KHP!AA287,KHP!AE287,KHP!AI287)))</f>
        <v>0</v>
      </c>
      <c r="I287">
        <f>SUMPRODUCT((MONTH(CHOOSE({1,2,3,4},KHP!T287,KHP!X287,KHP!AB287,KHP!AF287))=9)*(CHOOSE({1,2,3,4},KHP!W287,KHP!AA287,KHP!AE287,KHP!AI287)))</f>
        <v>0</v>
      </c>
      <c r="J287">
        <f>SUMPRODUCT((MONTH(CHOOSE({1,2,3,4},KHP!T287,KHP!X287,KHP!AB287,KHP!AF287))=10)*(CHOOSE({1,2,3,4},KHP!W287,KHP!AA287,KHP!AE287,KHP!AI287)))</f>
        <v>0</v>
      </c>
      <c r="K287">
        <f>SUMPRODUCT((MONTH(CHOOSE({1,2,3,4},KHP!T287,KHP!X287,KHP!AB287,KHP!AF287))=11)*(CHOOSE({1,2,3,4},KHP!W287,KHP!AA287,KHP!AE287,KHP!AI287)))</f>
        <v>0</v>
      </c>
      <c r="L287">
        <f>SUMPRODUCT((MONTH(CHOOSE({1,2,3,4},KHP!T287,KHP!X287,KHP!AB287,KHP!AF287))=12)*(CHOOSE({1,2,3,4},KHP!W287,KHP!AA287,KHP!AE287,KHP!AI287)))</f>
        <v>0</v>
      </c>
    </row>
    <row r="288" spans="1:12">
      <c r="A288">
        <f>SUMPRODUCT((MONTH(CHOOSE({1,2,3,4},KHP!T288,KHP!X288,KHP!AB288,KHP!AF288))=1)*(CHOOSE({1,2,3,4},KHP!W288,KHP!AA288,KHP!AE288,KHP!AI288)))</f>
        <v>0</v>
      </c>
      <c r="B288">
        <f>SUMPRODUCT((MONTH(CHOOSE({1,2,3,4},KHP!T288,KHP!X288,KHP!AB288,KHP!AF288))=2)*(CHOOSE({1,2,3,4},KHP!W288,KHP!AA288,KHP!AE288,KHP!AI288)))</f>
        <v>0</v>
      </c>
      <c r="C288">
        <f>SUMPRODUCT((MONTH(CHOOSE({1,2,3,4},KHP!T288,KHP!X288,KHP!AB288,KHP!AF288))=3)*(CHOOSE({1,2,3,4},KHP!W288,KHP!AA288,KHP!AE288,KHP!AI288)))</f>
        <v>0</v>
      </c>
      <c r="D288">
        <f>SUMPRODUCT((MONTH(CHOOSE({1,2,3,4},KHP!T288,KHP!X288,KHP!AB288,KHP!AF288))=4)*(CHOOSE({1,2,3,4},KHP!W288,KHP!AA288,KHP!AE288,KHP!AI288)))</f>
        <v>0</v>
      </c>
      <c r="E288">
        <f>SUMPRODUCT((MONTH(CHOOSE({1,2,3,4},KHP!T288,KHP!X288,KHP!AB288,KHP!AF288))=5)*(CHOOSE({1,2,3,4},KHP!W288,KHP!AA288,KHP!AE288,KHP!AI288)))</f>
        <v>0</v>
      </c>
      <c r="F288">
        <f>SUMPRODUCT((MONTH(CHOOSE({1,2,3,4},KHP!T288,KHP!X288,KHP!AB288,KHP!AF288))=6)*(CHOOSE({1,2,3,4},KHP!W288,KHP!AA288,KHP!AE288,KHP!AI288)))</f>
        <v>0</v>
      </c>
      <c r="G288">
        <f>SUMPRODUCT((MONTH(CHOOSE({1,2,3,4},KHP!T288,KHP!X288,KHP!AB288,KHP!AF288))=7)*(CHOOSE({1,2,3,4},KHP!W288,KHP!AA288,KHP!AE288,KHP!AI288)))</f>
        <v>0</v>
      </c>
      <c r="H288">
        <f>SUMPRODUCT((MONTH(CHOOSE({1,2,3,4},KHP!T288,KHP!X288,KHP!AB288,KHP!AF288))=8)*(CHOOSE({1,2,3,4},KHP!W288,KHP!AA288,KHP!AE288,KHP!AI288)))</f>
        <v>0</v>
      </c>
      <c r="I288">
        <f>SUMPRODUCT((MONTH(CHOOSE({1,2,3,4},KHP!T288,KHP!X288,KHP!AB288,KHP!AF288))=9)*(CHOOSE({1,2,3,4},KHP!W288,KHP!AA288,KHP!AE288,KHP!AI288)))</f>
        <v>0</v>
      </c>
      <c r="J288">
        <f>SUMPRODUCT((MONTH(CHOOSE({1,2,3,4},KHP!T288,KHP!X288,KHP!AB288,KHP!AF288))=10)*(CHOOSE({1,2,3,4},KHP!W288,KHP!AA288,KHP!AE288,KHP!AI288)))</f>
        <v>0</v>
      </c>
      <c r="K288">
        <f>SUMPRODUCT((MONTH(CHOOSE({1,2,3,4},KHP!T288,KHP!X288,KHP!AB288,KHP!AF288))=11)*(CHOOSE({1,2,3,4},KHP!W288,KHP!AA288,KHP!AE288,KHP!AI288)))</f>
        <v>0</v>
      </c>
      <c r="L288">
        <f>SUMPRODUCT((MONTH(CHOOSE({1,2,3,4},KHP!T288,KHP!X288,KHP!AB288,KHP!AF288))=12)*(CHOOSE({1,2,3,4},KHP!W288,KHP!AA288,KHP!AE288,KHP!AI288)))</f>
        <v>0</v>
      </c>
    </row>
    <row r="289" spans="1:12">
      <c r="A289">
        <f>SUMPRODUCT((MONTH(CHOOSE({1,2,3,4},KHP!T289,KHP!X289,KHP!AB289,KHP!AF289))=1)*(CHOOSE({1,2,3,4},KHP!W289,KHP!AA289,KHP!AE289,KHP!AI289)))</f>
        <v>0</v>
      </c>
      <c r="B289">
        <f>SUMPRODUCT((MONTH(CHOOSE({1,2,3,4},KHP!T289,KHP!X289,KHP!AB289,KHP!AF289))=2)*(CHOOSE({1,2,3,4},KHP!W289,KHP!AA289,KHP!AE289,KHP!AI289)))</f>
        <v>0</v>
      </c>
      <c r="C289">
        <f>SUMPRODUCT((MONTH(CHOOSE({1,2,3,4},KHP!T289,KHP!X289,KHP!AB289,KHP!AF289))=3)*(CHOOSE({1,2,3,4},KHP!W289,KHP!AA289,KHP!AE289,KHP!AI289)))</f>
        <v>0</v>
      </c>
      <c r="D289">
        <f>SUMPRODUCT((MONTH(CHOOSE({1,2,3,4},KHP!T289,KHP!X289,KHP!AB289,KHP!AF289))=4)*(CHOOSE({1,2,3,4},KHP!W289,KHP!AA289,KHP!AE289,KHP!AI289)))</f>
        <v>0</v>
      </c>
      <c r="E289">
        <f>SUMPRODUCT((MONTH(CHOOSE({1,2,3,4},KHP!T289,KHP!X289,KHP!AB289,KHP!AF289))=5)*(CHOOSE({1,2,3,4},KHP!W289,KHP!AA289,KHP!AE289,KHP!AI289)))</f>
        <v>0</v>
      </c>
      <c r="F289">
        <f>SUMPRODUCT((MONTH(CHOOSE({1,2,3,4},KHP!T289,KHP!X289,KHP!AB289,KHP!AF289))=6)*(CHOOSE({1,2,3,4},KHP!W289,KHP!AA289,KHP!AE289,KHP!AI289)))</f>
        <v>0</v>
      </c>
      <c r="G289">
        <f>SUMPRODUCT((MONTH(CHOOSE({1,2,3,4},KHP!T289,KHP!X289,KHP!AB289,KHP!AF289))=7)*(CHOOSE({1,2,3,4},KHP!W289,KHP!AA289,KHP!AE289,KHP!AI289)))</f>
        <v>0</v>
      </c>
      <c r="H289">
        <f>SUMPRODUCT((MONTH(CHOOSE({1,2,3,4},KHP!T289,KHP!X289,KHP!AB289,KHP!AF289))=8)*(CHOOSE({1,2,3,4},KHP!W289,KHP!AA289,KHP!AE289,KHP!AI289)))</f>
        <v>0</v>
      </c>
      <c r="I289">
        <f>SUMPRODUCT((MONTH(CHOOSE({1,2,3,4},KHP!T289,KHP!X289,KHP!AB289,KHP!AF289))=9)*(CHOOSE({1,2,3,4},KHP!W289,KHP!AA289,KHP!AE289,KHP!AI289)))</f>
        <v>0</v>
      </c>
      <c r="J289">
        <f>SUMPRODUCT((MONTH(CHOOSE({1,2,3,4},KHP!T289,KHP!X289,KHP!AB289,KHP!AF289))=10)*(CHOOSE({1,2,3,4},KHP!W289,KHP!AA289,KHP!AE289,KHP!AI289)))</f>
        <v>0</v>
      </c>
      <c r="K289">
        <f>SUMPRODUCT((MONTH(CHOOSE({1,2,3,4},KHP!T289,KHP!X289,KHP!AB289,KHP!AF289))=11)*(CHOOSE({1,2,3,4},KHP!W289,KHP!AA289,KHP!AE289,KHP!AI289)))</f>
        <v>0</v>
      </c>
      <c r="L289">
        <f>SUMPRODUCT((MONTH(CHOOSE({1,2,3,4},KHP!T289,KHP!X289,KHP!AB289,KHP!AF289))=12)*(CHOOSE({1,2,3,4},KHP!W289,KHP!AA289,KHP!AE289,KHP!AI289)))</f>
        <v>0</v>
      </c>
    </row>
    <row r="290" spans="1:12">
      <c r="A290">
        <f>SUMPRODUCT((MONTH(CHOOSE({1,2,3,4},KHP!T290,KHP!X290,KHP!AB290,KHP!AF290))=1)*(CHOOSE({1,2,3,4},KHP!W290,KHP!AA290,KHP!AE290,KHP!AI290)))</f>
        <v>0</v>
      </c>
      <c r="B290">
        <f>SUMPRODUCT((MONTH(CHOOSE({1,2,3,4},KHP!T290,KHP!X290,KHP!AB290,KHP!AF290))=2)*(CHOOSE({1,2,3,4},KHP!W290,KHP!AA290,KHP!AE290,KHP!AI290)))</f>
        <v>0</v>
      </c>
      <c r="C290">
        <f>SUMPRODUCT((MONTH(CHOOSE({1,2,3,4},KHP!T290,KHP!X290,KHP!AB290,KHP!AF290))=3)*(CHOOSE({1,2,3,4},KHP!W290,KHP!AA290,KHP!AE290,KHP!AI290)))</f>
        <v>0</v>
      </c>
      <c r="D290">
        <f>SUMPRODUCT((MONTH(CHOOSE({1,2,3,4},KHP!T290,KHP!X290,KHP!AB290,KHP!AF290))=4)*(CHOOSE({1,2,3,4},KHP!W290,KHP!AA290,KHP!AE290,KHP!AI290)))</f>
        <v>0</v>
      </c>
      <c r="E290">
        <f>SUMPRODUCT((MONTH(CHOOSE({1,2,3,4},KHP!T290,KHP!X290,KHP!AB290,KHP!AF290))=5)*(CHOOSE({1,2,3,4},KHP!W290,KHP!AA290,KHP!AE290,KHP!AI290)))</f>
        <v>0</v>
      </c>
      <c r="F290">
        <f>SUMPRODUCT((MONTH(CHOOSE({1,2,3,4},KHP!T290,KHP!X290,KHP!AB290,KHP!AF290))=6)*(CHOOSE({1,2,3,4},KHP!W290,KHP!AA290,KHP!AE290,KHP!AI290)))</f>
        <v>0</v>
      </c>
      <c r="G290">
        <f>SUMPRODUCT((MONTH(CHOOSE({1,2,3,4},KHP!T290,KHP!X290,KHP!AB290,KHP!AF290))=7)*(CHOOSE({1,2,3,4},KHP!W290,KHP!AA290,KHP!AE290,KHP!AI290)))</f>
        <v>0</v>
      </c>
      <c r="H290">
        <f>SUMPRODUCT((MONTH(CHOOSE({1,2,3,4},KHP!T290,KHP!X290,KHP!AB290,KHP!AF290))=8)*(CHOOSE({1,2,3,4},KHP!W290,KHP!AA290,KHP!AE290,KHP!AI290)))</f>
        <v>0</v>
      </c>
      <c r="I290">
        <f>SUMPRODUCT((MONTH(CHOOSE({1,2,3,4},KHP!T290,KHP!X290,KHP!AB290,KHP!AF290))=9)*(CHOOSE({1,2,3,4},KHP!W290,KHP!AA290,KHP!AE290,KHP!AI290)))</f>
        <v>0</v>
      </c>
      <c r="J290">
        <f>SUMPRODUCT((MONTH(CHOOSE({1,2,3,4},KHP!T290,KHP!X290,KHP!AB290,KHP!AF290))=10)*(CHOOSE({1,2,3,4},KHP!W290,KHP!AA290,KHP!AE290,KHP!AI290)))</f>
        <v>0</v>
      </c>
      <c r="K290">
        <f>SUMPRODUCT((MONTH(CHOOSE({1,2,3,4},KHP!T290,KHP!X290,KHP!AB290,KHP!AF290))=11)*(CHOOSE({1,2,3,4},KHP!W290,KHP!AA290,KHP!AE290,KHP!AI290)))</f>
        <v>0</v>
      </c>
      <c r="L290">
        <f>SUMPRODUCT((MONTH(CHOOSE({1,2,3,4},KHP!T290,KHP!X290,KHP!AB290,KHP!AF290))=12)*(CHOOSE({1,2,3,4},KHP!W290,KHP!AA290,KHP!AE290,KHP!AI290)))</f>
        <v>0</v>
      </c>
    </row>
    <row r="291" spans="1:12">
      <c r="A291">
        <f>SUMPRODUCT((MONTH(CHOOSE({1,2,3,4},KHP!T291,KHP!X291,KHP!AB291,KHP!AF291))=1)*(CHOOSE({1,2,3,4},KHP!W291,KHP!AA291,KHP!AE291,KHP!AI291)))</f>
        <v>0</v>
      </c>
      <c r="B291">
        <f>SUMPRODUCT((MONTH(CHOOSE({1,2,3,4},KHP!T291,KHP!X291,KHP!AB291,KHP!AF291))=2)*(CHOOSE({1,2,3,4},KHP!W291,KHP!AA291,KHP!AE291,KHP!AI291)))</f>
        <v>0</v>
      </c>
      <c r="C291">
        <f>SUMPRODUCT((MONTH(CHOOSE({1,2,3,4},KHP!T291,KHP!X291,KHP!AB291,KHP!AF291))=3)*(CHOOSE({1,2,3,4},KHP!W291,KHP!AA291,KHP!AE291,KHP!AI291)))</f>
        <v>0</v>
      </c>
      <c r="D291">
        <f>SUMPRODUCT((MONTH(CHOOSE({1,2,3,4},KHP!T291,KHP!X291,KHP!AB291,KHP!AF291))=4)*(CHOOSE({1,2,3,4},KHP!W291,KHP!AA291,KHP!AE291,KHP!AI291)))</f>
        <v>0</v>
      </c>
      <c r="E291">
        <f>SUMPRODUCT((MONTH(CHOOSE({1,2,3,4},KHP!T291,KHP!X291,KHP!AB291,KHP!AF291))=5)*(CHOOSE({1,2,3,4},KHP!W291,KHP!AA291,KHP!AE291,KHP!AI291)))</f>
        <v>0</v>
      </c>
      <c r="F291">
        <f>SUMPRODUCT((MONTH(CHOOSE({1,2,3,4},KHP!T291,KHP!X291,KHP!AB291,KHP!AF291))=6)*(CHOOSE({1,2,3,4},KHP!W291,KHP!AA291,KHP!AE291,KHP!AI291)))</f>
        <v>0</v>
      </c>
      <c r="G291">
        <f>SUMPRODUCT((MONTH(CHOOSE({1,2,3,4},KHP!T291,KHP!X291,KHP!AB291,KHP!AF291))=7)*(CHOOSE({1,2,3,4},KHP!W291,KHP!AA291,KHP!AE291,KHP!AI291)))</f>
        <v>0</v>
      </c>
      <c r="H291">
        <f>SUMPRODUCT((MONTH(CHOOSE({1,2,3,4},KHP!T291,KHP!X291,KHP!AB291,KHP!AF291))=8)*(CHOOSE({1,2,3,4},KHP!W291,KHP!AA291,KHP!AE291,KHP!AI291)))</f>
        <v>0</v>
      </c>
      <c r="I291">
        <f>SUMPRODUCT((MONTH(CHOOSE({1,2,3,4},KHP!T291,KHP!X291,KHP!AB291,KHP!AF291))=9)*(CHOOSE({1,2,3,4},KHP!W291,KHP!AA291,KHP!AE291,KHP!AI291)))</f>
        <v>0</v>
      </c>
      <c r="J291">
        <f>SUMPRODUCT((MONTH(CHOOSE({1,2,3,4},KHP!T291,KHP!X291,KHP!AB291,KHP!AF291))=10)*(CHOOSE({1,2,3,4},KHP!W291,KHP!AA291,KHP!AE291,KHP!AI291)))</f>
        <v>0</v>
      </c>
      <c r="K291">
        <f>SUMPRODUCT((MONTH(CHOOSE({1,2,3,4},KHP!T291,KHP!X291,KHP!AB291,KHP!AF291))=11)*(CHOOSE({1,2,3,4},KHP!W291,KHP!AA291,KHP!AE291,KHP!AI291)))</f>
        <v>0</v>
      </c>
      <c r="L291">
        <f>SUMPRODUCT((MONTH(CHOOSE({1,2,3,4},KHP!T291,KHP!X291,KHP!AB291,KHP!AF291))=12)*(CHOOSE({1,2,3,4},KHP!W291,KHP!AA291,KHP!AE291,KHP!AI291)))</f>
        <v>0</v>
      </c>
    </row>
    <row r="292" spans="1:12">
      <c r="A292">
        <f>SUMPRODUCT((MONTH(CHOOSE({1,2,3,4},KHP!T292,KHP!X292,KHP!AB292,KHP!AF292))=1)*(CHOOSE({1,2,3,4},KHP!W292,KHP!AA292,KHP!AE292,KHP!AI292)))</f>
        <v>0</v>
      </c>
      <c r="B292">
        <f>SUMPRODUCT((MONTH(CHOOSE({1,2,3,4},KHP!T292,KHP!X292,KHP!AB292,KHP!AF292))=2)*(CHOOSE({1,2,3,4},KHP!W292,KHP!AA292,KHP!AE292,KHP!AI292)))</f>
        <v>0</v>
      </c>
      <c r="C292">
        <f>SUMPRODUCT((MONTH(CHOOSE({1,2,3,4},KHP!T292,KHP!X292,KHP!AB292,KHP!AF292))=3)*(CHOOSE({1,2,3,4},KHP!W292,KHP!AA292,KHP!AE292,KHP!AI292)))</f>
        <v>0</v>
      </c>
      <c r="D292">
        <f>SUMPRODUCT((MONTH(CHOOSE({1,2,3,4},KHP!T292,KHP!X292,KHP!AB292,KHP!AF292))=4)*(CHOOSE({1,2,3,4},KHP!W292,KHP!AA292,KHP!AE292,KHP!AI292)))</f>
        <v>0</v>
      </c>
      <c r="E292">
        <f>SUMPRODUCT((MONTH(CHOOSE({1,2,3,4},KHP!T292,KHP!X292,KHP!AB292,KHP!AF292))=5)*(CHOOSE({1,2,3,4},KHP!W292,KHP!AA292,KHP!AE292,KHP!AI292)))</f>
        <v>0</v>
      </c>
      <c r="F292">
        <f>SUMPRODUCT((MONTH(CHOOSE({1,2,3,4},KHP!T292,KHP!X292,KHP!AB292,KHP!AF292))=6)*(CHOOSE({1,2,3,4},KHP!W292,KHP!AA292,KHP!AE292,KHP!AI292)))</f>
        <v>0</v>
      </c>
      <c r="G292">
        <f>SUMPRODUCT((MONTH(CHOOSE({1,2,3,4},KHP!T292,KHP!X292,KHP!AB292,KHP!AF292))=7)*(CHOOSE({1,2,3,4},KHP!W292,KHP!AA292,KHP!AE292,KHP!AI292)))</f>
        <v>0</v>
      </c>
      <c r="H292">
        <f>SUMPRODUCT((MONTH(CHOOSE({1,2,3,4},KHP!T292,KHP!X292,KHP!AB292,KHP!AF292))=8)*(CHOOSE({1,2,3,4},KHP!W292,KHP!AA292,KHP!AE292,KHP!AI292)))</f>
        <v>0</v>
      </c>
      <c r="I292">
        <f>SUMPRODUCT((MONTH(CHOOSE({1,2,3,4},KHP!T292,KHP!X292,KHP!AB292,KHP!AF292))=9)*(CHOOSE({1,2,3,4},KHP!W292,KHP!AA292,KHP!AE292,KHP!AI292)))</f>
        <v>0</v>
      </c>
      <c r="J292">
        <f>SUMPRODUCT((MONTH(CHOOSE({1,2,3,4},KHP!T292,KHP!X292,KHP!AB292,KHP!AF292))=10)*(CHOOSE({1,2,3,4},KHP!W292,KHP!AA292,KHP!AE292,KHP!AI292)))</f>
        <v>0</v>
      </c>
      <c r="K292">
        <f>SUMPRODUCT((MONTH(CHOOSE({1,2,3,4},KHP!T292,KHP!X292,KHP!AB292,KHP!AF292))=11)*(CHOOSE({1,2,3,4},KHP!W292,KHP!AA292,KHP!AE292,KHP!AI292)))</f>
        <v>0</v>
      </c>
      <c r="L292">
        <f>SUMPRODUCT((MONTH(CHOOSE({1,2,3,4},KHP!T292,KHP!X292,KHP!AB292,KHP!AF292))=12)*(CHOOSE({1,2,3,4},KHP!W292,KHP!AA292,KHP!AE292,KHP!AI292)))</f>
        <v>0</v>
      </c>
    </row>
    <row r="293" spans="1:12">
      <c r="A293">
        <f>SUMPRODUCT((MONTH(CHOOSE({1,2,3,4},KHP!T293,KHP!X293,KHP!AB293,KHP!AF293))=1)*(CHOOSE({1,2,3,4},KHP!W293,KHP!AA293,KHP!AE293,KHP!AI293)))</f>
        <v>0</v>
      </c>
      <c r="B293">
        <f>SUMPRODUCT((MONTH(CHOOSE({1,2,3,4},KHP!T293,KHP!X293,KHP!AB293,KHP!AF293))=2)*(CHOOSE({1,2,3,4},KHP!W293,KHP!AA293,KHP!AE293,KHP!AI293)))</f>
        <v>0</v>
      </c>
      <c r="C293">
        <f>SUMPRODUCT((MONTH(CHOOSE({1,2,3,4},KHP!T293,KHP!X293,KHP!AB293,KHP!AF293))=3)*(CHOOSE({1,2,3,4},KHP!W293,KHP!AA293,KHP!AE293,KHP!AI293)))</f>
        <v>0</v>
      </c>
      <c r="D293">
        <f>SUMPRODUCT((MONTH(CHOOSE({1,2,3,4},KHP!T293,KHP!X293,KHP!AB293,KHP!AF293))=4)*(CHOOSE({1,2,3,4},KHP!W293,KHP!AA293,KHP!AE293,KHP!AI293)))</f>
        <v>0</v>
      </c>
      <c r="E293">
        <f>SUMPRODUCT((MONTH(CHOOSE({1,2,3,4},KHP!T293,KHP!X293,KHP!AB293,KHP!AF293))=5)*(CHOOSE({1,2,3,4},KHP!W293,KHP!AA293,KHP!AE293,KHP!AI293)))</f>
        <v>0</v>
      </c>
      <c r="F293">
        <f>SUMPRODUCT((MONTH(CHOOSE({1,2,3,4},KHP!T293,KHP!X293,KHP!AB293,KHP!AF293))=6)*(CHOOSE({1,2,3,4},KHP!W293,KHP!AA293,KHP!AE293,KHP!AI293)))</f>
        <v>0</v>
      </c>
      <c r="G293">
        <f>SUMPRODUCT((MONTH(CHOOSE({1,2,3,4},KHP!T293,KHP!X293,KHP!AB293,KHP!AF293))=7)*(CHOOSE({1,2,3,4},KHP!W293,KHP!AA293,KHP!AE293,KHP!AI293)))</f>
        <v>0</v>
      </c>
      <c r="H293">
        <f>SUMPRODUCT((MONTH(CHOOSE({1,2,3,4},KHP!T293,KHP!X293,KHP!AB293,KHP!AF293))=8)*(CHOOSE({1,2,3,4},KHP!W293,KHP!AA293,KHP!AE293,KHP!AI293)))</f>
        <v>0</v>
      </c>
      <c r="I293">
        <f>SUMPRODUCT((MONTH(CHOOSE({1,2,3,4},KHP!T293,KHP!X293,KHP!AB293,KHP!AF293))=9)*(CHOOSE({1,2,3,4},KHP!W293,KHP!AA293,KHP!AE293,KHP!AI293)))</f>
        <v>0</v>
      </c>
      <c r="J293">
        <f>SUMPRODUCT((MONTH(CHOOSE({1,2,3,4},KHP!T293,KHP!X293,KHP!AB293,KHP!AF293))=10)*(CHOOSE({1,2,3,4},KHP!W293,KHP!AA293,KHP!AE293,KHP!AI293)))</f>
        <v>0</v>
      </c>
      <c r="K293">
        <f>SUMPRODUCT((MONTH(CHOOSE({1,2,3,4},KHP!T293,KHP!X293,KHP!AB293,KHP!AF293))=11)*(CHOOSE({1,2,3,4},KHP!W293,KHP!AA293,KHP!AE293,KHP!AI293)))</f>
        <v>0</v>
      </c>
      <c r="L293">
        <f>SUMPRODUCT((MONTH(CHOOSE({1,2,3,4},KHP!T293,KHP!X293,KHP!AB293,KHP!AF293))=12)*(CHOOSE({1,2,3,4},KHP!W293,KHP!AA293,KHP!AE293,KHP!AI293)))</f>
        <v>0</v>
      </c>
    </row>
    <row r="294" spans="1:12">
      <c r="A294">
        <f>SUMPRODUCT((MONTH(CHOOSE({1,2,3,4},KHP!T294,KHP!X294,KHP!AB294,KHP!AF294))=1)*(CHOOSE({1,2,3,4},KHP!W294,KHP!AA294,KHP!AE294,KHP!AI294)))</f>
        <v>0</v>
      </c>
      <c r="B294">
        <f>SUMPRODUCT((MONTH(CHOOSE({1,2,3,4},KHP!T294,KHP!X294,KHP!AB294,KHP!AF294))=2)*(CHOOSE({1,2,3,4},KHP!W294,KHP!AA294,KHP!AE294,KHP!AI294)))</f>
        <v>0</v>
      </c>
      <c r="C294">
        <f>SUMPRODUCT((MONTH(CHOOSE({1,2,3,4},KHP!T294,KHP!X294,KHP!AB294,KHP!AF294))=3)*(CHOOSE({1,2,3,4},KHP!W294,KHP!AA294,KHP!AE294,KHP!AI294)))</f>
        <v>0</v>
      </c>
      <c r="D294">
        <f>SUMPRODUCT((MONTH(CHOOSE({1,2,3,4},KHP!T294,KHP!X294,KHP!AB294,KHP!AF294))=4)*(CHOOSE({1,2,3,4},KHP!W294,KHP!AA294,KHP!AE294,KHP!AI294)))</f>
        <v>0</v>
      </c>
      <c r="E294">
        <f>SUMPRODUCT((MONTH(CHOOSE({1,2,3,4},KHP!T294,KHP!X294,KHP!AB294,KHP!AF294))=5)*(CHOOSE({1,2,3,4},KHP!W294,KHP!AA294,KHP!AE294,KHP!AI294)))</f>
        <v>0</v>
      </c>
      <c r="F294">
        <f>SUMPRODUCT((MONTH(CHOOSE({1,2,3,4},KHP!T294,KHP!X294,KHP!AB294,KHP!AF294))=6)*(CHOOSE({1,2,3,4},KHP!W294,KHP!AA294,KHP!AE294,KHP!AI294)))</f>
        <v>0</v>
      </c>
      <c r="G294">
        <f>SUMPRODUCT((MONTH(CHOOSE({1,2,3,4},KHP!T294,KHP!X294,KHP!AB294,KHP!AF294))=7)*(CHOOSE({1,2,3,4},KHP!W294,KHP!AA294,KHP!AE294,KHP!AI294)))</f>
        <v>0</v>
      </c>
      <c r="H294">
        <f>SUMPRODUCT((MONTH(CHOOSE({1,2,3,4},KHP!T294,KHP!X294,KHP!AB294,KHP!AF294))=8)*(CHOOSE({1,2,3,4},KHP!W294,KHP!AA294,KHP!AE294,KHP!AI294)))</f>
        <v>0</v>
      </c>
      <c r="I294">
        <f>SUMPRODUCT((MONTH(CHOOSE({1,2,3,4},KHP!T294,KHP!X294,KHP!AB294,KHP!AF294))=9)*(CHOOSE({1,2,3,4},KHP!W294,KHP!AA294,KHP!AE294,KHP!AI294)))</f>
        <v>0</v>
      </c>
      <c r="J294">
        <f>SUMPRODUCT((MONTH(CHOOSE({1,2,3,4},KHP!T294,KHP!X294,KHP!AB294,KHP!AF294))=10)*(CHOOSE({1,2,3,4},KHP!W294,KHP!AA294,KHP!AE294,KHP!AI294)))</f>
        <v>0</v>
      </c>
      <c r="K294">
        <f>SUMPRODUCT((MONTH(CHOOSE({1,2,3,4},KHP!T294,KHP!X294,KHP!AB294,KHP!AF294))=11)*(CHOOSE({1,2,3,4},KHP!W294,KHP!AA294,KHP!AE294,KHP!AI294)))</f>
        <v>0</v>
      </c>
      <c r="L294">
        <f>SUMPRODUCT((MONTH(CHOOSE({1,2,3,4},KHP!T294,KHP!X294,KHP!AB294,KHP!AF294))=12)*(CHOOSE({1,2,3,4},KHP!W294,KHP!AA294,KHP!AE294,KHP!AI294)))</f>
        <v>0</v>
      </c>
    </row>
    <row r="295" spans="1:12">
      <c r="A295">
        <f>SUMPRODUCT((MONTH(CHOOSE({1,2,3,4},KHP!T295,KHP!X295,KHP!AB295,KHP!AF295))=1)*(CHOOSE({1,2,3,4},KHP!W295,KHP!AA295,KHP!AE295,KHP!AI295)))</f>
        <v>0</v>
      </c>
      <c r="B295">
        <f>SUMPRODUCT((MONTH(CHOOSE({1,2,3,4},KHP!T295,KHP!X295,KHP!AB295,KHP!AF295))=2)*(CHOOSE({1,2,3,4},KHP!W295,KHP!AA295,KHP!AE295,KHP!AI295)))</f>
        <v>0</v>
      </c>
      <c r="C295">
        <f>SUMPRODUCT((MONTH(CHOOSE({1,2,3,4},KHP!T295,KHP!X295,KHP!AB295,KHP!AF295))=3)*(CHOOSE({1,2,3,4},KHP!W295,KHP!AA295,KHP!AE295,KHP!AI295)))</f>
        <v>0</v>
      </c>
      <c r="D295">
        <f>SUMPRODUCT((MONTH(CHOOSE({1,2,3,4},KHP!T295,KHP!X295,KHP!AB295,KHP!AF295))=4)*(CHOOSE({1,2,3,4},KHP!W295,KHP!AA295,KHP!AE295,KHP!AI295)))</f>
        <v>0</v>
      </c>
      <c r="E295">
        <f>SUMPRODUCT((MONTH(CHOOSE({1,2,3,4},KHP!T295,KHP!X295,KHP!AB295,KHP!AF295))=5)*(CHOOSE({1,2,3,4},KHP!W295,KHP!AA295,KHP!AE295,KHP!AI295)))</f>
        <v>0</v>
      </c>
      <c r="F295">
        <f>SUMPRODUCT((MONTH(CHOOSE({1,2,3,4},KHP!T295,KHP!X295,KHP!AB295,KHP!AF295))=6)*(CHOOSE({1,2,3,4},KHP!W295,KHP!AA295,KHP!AE295,KHP!AI295)))</f>
        <v>0</v>
      </c>
      <c r="G295">
        <f>SUMPRODUCT((MONTH(CHOOSE({1,2,3,4},KHP!T295,KHP!X295,KHP!AB295,KHP!AF295))=7)*(CHOOSE({1,2,3,4},KHP!W295,KHP!AA295,KHP!AE295,KHP!AI295)))</f>
        <v>0</v>
      </c>
      <c r="H295">
        <f>SUMPRODUCT((MONTH(CHOOSE({1,2,3,4},KHP!T295,KHP!X295,KHP!AB295,KHP!AF295))=8)*(CHOOSE({1,2,3,4},KHP!W295,KHP!AA295,KHP!AE295,KHP!AI295)))</f>
        <v>0</v>
      </c>
      <c r="I295">
        <f>SUMPRODUCT((MONTH(CHOOSE({1,2,3,4},KHP!T295,KHP!X295,KHP!AB295,KHP!AF295))=9)*(CHOOSE({1,2,3,4},KHP!W295,KHP!AA295,KHP!AE295,KHP!AI295)))</f>
        <v>0</v>
      </c>
      <c r="J295">
        <f>SUMPRODUCT((MONTH(CHOOSE({1,2,3,4},KHP!T295,KHP!X295,KHP!AB295,KHP!AF295))=10)*(CHOOSE({1,2,3,4},KHP!W295,KHP!AA295,KHP!AE295,KHP!AI295)))</f>
        <v>0</v>
      </c>
      <c r="K295">
        <f>SUMPRODUCT((MONTH(CHOOSE({1,2,3,4},KHP!T295,KHP!X295,KHP!AB295,KHP!AF295))=11)*(CHOOSE({1,2,3,4},KHP!W295,KHP!AA295,KHP!AE295,KHP!AI295)))</f>
        <v>0</v>
      </c>
      <c r="L295">
        <f>SUMPRODUCT((MONTH(CHOOSE({1,2,3,4},KHP!T295,KHP!X295,KHP!AB295,KHP!AF295))=12)*(CHOOSE({1,2,3,4},KHP!W295,KHP!AA295,KHP!AE295,KHP!AI295)))</f>
        <v>0</v>
      </c>
    </row>
    <row r="296" spans="1:12">
      <c r="A296">
        <f>SUMPRODUCT((MONTH(CHOOSE({1,2,3,4},KHP!T296,KHP!X296,KHP!AB296,KHP!AF296))=1)*(CHOOSE({1,2,3,4},KHP!W296,KHP!AA296,KHP!AE296,KHP!AI296)))</f>
        <v>0</v>
      </c>
      <c r="B296">
        <f>SUMPRODUCT((MONTH(CHOOSE({1,2,3,4},KHP!T296,KHP!X296,KHP!AB296,KHP!AF296))=2)*(CHOOSE({1,2,3,4},KHP!W296,KHP!AA296,KHP!AE296,KHP!AI296)))</f>
        <v>0</v>
      </c>
      <c r="C296">
        <f>SUMPRODUCT((MONTH(CHOOSE({1,2,3,4},KHP!T296,KHP!X296,KHP!AB296,KHP!AF296))=3)*(CHOOSE({1,2,3,4},KHP!W296,KHP!AA296,KHP!AE296,KHP!AI296)))</f>
        <v>0</v>
      </c>
      <c r="D296">
        <f>SUMPRODUCT((MONTH(CHOOSE({1,2,3,4},KHP!T296,KHP!X296,KHP!AB296,KHP!AF296))=4)*(CHOOSE({1,2,3,4},KHP!W296,KHP!AA296,KHP!AE296,KHP!AI296)))</f>
        <v>0</v>
      </c>
      <c r="E296">
        <f>SUMPRODUCT((MONTH(CHOOSE({1,2,3,4},KHP!T296,KHP!X296,KHP!AB296,KHP!AF296))=5)*(CHOOSE({1,2,3,4},KHP!W296,KHP!AA296,KHP!AE296,KHP!AI296)))</f>
        <v>0</v>
      </c>
      <c r="F296">
        <f>SUMPRODUCT((MONTH(CHOOSE({1,2,3,4},KHP!T296,KHP!X296,KHP!AB296,KHP!AF296))=6)*(CHOOSE({1,2,3,4},KHP!W296,KHP!AA296,KHP!AE296,KHP!AI296)))</f>
        <v>0</v>
      </c>
      <c r="G296">
        <f>SUMPRODUCT((MONTH(CHOOSE({1,2,3,4},KHP!T296,KHP!X296,KHP!AB296,KHP!AF296))=7)*(CHOOSE({1,2,3,4},KHP!W296,KHP!AA296,KHP!AE296,KHP!AI296)))</f>
        <v>0</v>
      </c>
      <c r="H296">
        <f>SUMPRODUCT((MONTH(CHOOSE({1,2,3,4},KHP!T296,KHP!X296,KHP!AB296,KHP!AF296))=8)*(CHOOSE({1,2,3,4},KHP!W296,KHP!AA296,KHP!AE296,KHP!AI296)))</f>
        <v>0</v>
      </c>
      <c r="I296">
        <f>SUMPRODUCT((MONTH(CHOOSE({1,2,3,4},KHP!T296,KHP!X296,KHP!AB296,KHP!AF296))=9)*(CHOOSE({1,2,3,4},KHP!W296,KHP!AA296,KHP!AE296,KHP!AI296)))</f>
        <v>0</v>
      </c>
      <c r="J296">
        <f>SUMPRODUCT((MONTH(CHOOSE({1,2,3,4},KHP!T296,KHP!X296,KHP!AB296,KHP!AF296))=10)*(CHOOSE({1,2,3,4},KHP!W296,KHP!AA296,KHP!AE296,KHP!AI296)))</f>
        <v>0</v>
      </c>
      <c r="K296">
        <f>SUMPRODUCT((MONTH(CHOOSE({1,2,3,4},KHP!T296,KHP!X296,KHP!AB296,KHP!AF296))=11)*(CHOOSE({1,2,3,4},KHP!W296,KHP!AA296,KHP!AE296,KHP!AI296)))</f>
        <v>0</v>
      </c>
      <c r="L296">
        <f>SUMPRODUCT((MONTH(CHOOSE({1,2,3,4},KHP!T296,KHP!X296,KHP!AB296,KHP!AF296))=12)*(CHOOSE({1,2,3,4},KHP!W296,KHP!AA296,KHP!AE296,KHP!AI296)))</f>
        <v>0</v>
      </c>
    </row>
    <row r="297" spans="1:12">
      <c r="A297">
        <f>SUMPRODUCT((MONTH(CHOOSE({1,2,3,4},KHP!T297,KHP!X297,KHP!AB297,KHP!AF297))=1)*(CHOOSE({1,2,3,4},KHP!W297,KHP!AA297,KHP!AE297,KHP!AI297)))</f>
        <v>0</v>
      </c>
      <c r="B297">
        <f>SUMPRODUCT((MONTH(CHOOSE({1,2,3,4},KHP!T297,KHP!X297,KHP!AB297,KHP!AF297))=2)*(CHOOSE({1,2,3,4},KHP!W297,KHP!AA297,KHP!AE297,KHP!AI297)))</f>
        <v>0</v>
      </c>
      <c r="C297">
        <f>SUMPRODUCT((MONTH(CHOOSE({1,2,3,4},KHP!T297,KHP!X297,KHP!AB297,KHP!AF297))=3)*(CHOOSE({1,2,3,4},KHP!W297,KHP!AA297,KHP!AE297,KHP!AI297)))</f>
        <v>0</v>
      </c>
      <c r="D297">
        <f>SUMPRODUCT((MONTH(CHOOSE({1,2,3,4},KHP!T297,KHP!X297,KHP!AB297,KHP!AF297))=4)*(CHOOSE({1,2,3,4},KHP!W297,KHP!AA297,KHP!AE297,KHP!AI297)))</f>
        <v>0</v>
      </c>
      <c r="E297">
        <f>SUMPRODUCT((MONTH(CHOOSE({1,2,3,4},KHP!T297,KHP!X297,KHP!AB297,KHP!AF297))=5)*(CHOOSE({1,2,3,4},KHP!W297,KHP!AA297,KHP!AE297,KHP!AI297)))</f>
        <v>0</v>
      </c>
      <c r="F297">
        <f>SUMPRODUCT((MONTH(CHOOSE({1,2,3,4},KHP!T297,KHP!X297,KHP!AB297,KHP!AF297))=6)*(CHOOSE({1,2,3,4},KHP!W297,KHP!AA297,KHP!AE297,KHP!AI297)))</f>
        <v>0</v>
      </c>
      <c r="G297">
        <f>SUMPRODUCT((MONTH(CHOOSE({1,2,3,4},KHP!T297,KHP!X297,KHP!AB297,KHP!AF297))=7)*(CHOOSE({1,2,3,4},KHP!W297,KHP!AA297,KHP!AE297,KHP!AI297)))</f>
        <v>0</v>
      </c>
      <c r="H297">
        <f>SUMPRODUCT((MONTH(CHOOSE({1,2,3,4},KHP!T297,KHP!X297,KHP!AB297,KHP!AF297))=8)*(CHOOSE({1,2,3,4},KHP!W297,KHP!AA297,KHP!AE297,KHP!AI297)))</f>
        <v>0</v>
      </c>
      <c r="I297">
        <f>SUMPRODUCT((MONTH(CHOOSE({1,2,3,4},KHP!T297,KHP!X297,KHP!AB297,KHP!AF297))=9)*(CHOOSE({1,2,3,4},KHP!W297,KHP!AA297,KHP!AE297,KHP!AI297)))</f>
        <v>0</v>
      </c>
      <c r="J297">
        <f>SUMPRODUCT((MONTH(CHOOSE({1,2,3,4},KHP!T297,KHP!X297,KHP!AB297,KHP!AF297))=10)*(CHOOSE({1,2,3,4},KHP!W297,KHP!AA297,KHP!AE297,KHP!AI297)))</f>
        <v>0</v>
      </c>
      <c r="K297">
        <f>SUMPRODUCT((MONTH(CHOOSE({1,2,3,4},KHP!T297,KHP!X297,KHP!AB297,KHP!AF297))=11)*(CHOOSE({1,2,3,4},KHP!W297,KHP!AA297,KHP!AE297,KHP!AI297)))</f>
        <v>0</v>
      </c>
      <c r="L297">
        <f>SUMPRODUCT((MONTH(CHOOSE({1,2,3,4},KHP!T297,KHP!X297,KHP!AB297,KHP!AF297))=12)*(CHOOSE({1,2,3,4},KHP!W297,KHP!AA297,KHP!AE297,KHP!AI297)))</f>
        <v>0</v>
      </c>
    </row>
    <row r="298" spans="1:12">
      <c r="A298">
        <f>SUMPRODUCT((MONTH(CHOOSE({1,2,3,4},KHP!T298,KHP!X298,KHP!AB298,KHP!AF298))=1)*(CHOOSE({1,2,3,4},KHP!W298,KHP!AA298,KHP!AE298,KHP!AI298)))</f>
        <v>0</v>
      </c>
      <c r="B298">
        <f>SUMPRODUCT((MONTH(CHOOSE({1,2,3,4},KHP!T298,KHP!X298,KHP!AB298,KHP!AF298))=2)*(CHOOSE({1,2,3,4},KHP!W298,KHP!AA298,KHP!AE298,KHP!AI298)))</f>
        <v>0</v>
      </c>
      <c r="C298">
        <f>SUMPRODUCT((MONTH(CHOOSE({1,2,3,4},KHP!T298,KHP!X298,KHP!AB298,KHP!AF298))=3)*(CHOOSE({1,2,3,4},KHP!W298,KHP!AA298,KHP!AE298,KHP!AI298)))</f>
        <v>0</v>
      </c>
      <c r="D298">
        <f>SUMPRODUCT((MONTH(CHOOSE({1,2,3,4},KHP!T298,KHP!X298,KHP!AB298,KHP!AF298))=4)*(CHOOSE({1,2,3,4},KHP!W298,KHP!AA298,KHP!AE298,KHP!AI298)))</f>
        <v>0</v>
      </c>
      <c r="E298">
        <f>SUMPRODUCT((MONTH(CHOOSE({1,2,3,4},KHP!T298,KHP!X298,KHP!AB298,KHP!AF298))=5)*(CHOOSE({1,2,3,4},KHP!W298,KHP!AA298,KHP!AE298,KHP!AI298)))</f>
        <v>0</v>
      </c>
      <c r="F298">
        <f>SUMPRODUCT((MONTH(CHOOSE({1,2,3,4},KHP!T298,KHP!X298,KHP!AB298,KHP!AF298))=6)*(CHOOSE({1,2,3,4},KHP!W298,KHP!AA298,KHP!AE298,KHP!AI298)))</f>
        <v>0</v>
      </c>
      <c r="G298">
        <f>SUMPRODUCT((MONTH(CHOOSE({1,2,3,4},KHP!T298,KHP!X298,KHP!AB298,KHP!AF298))=7)*(CHOOSE({1,2,3,4},KHP!W298,KHP!AA298,KHP!AE298,KHP!AI298)))</f>
        <v>0</v>
      </c>
      <c r="H298">
        <f>SUMPRODUCT((MONTH(CHOOSE({1,2,3,4},KHP!T298,KHP!X298,KHP!AB298,KHP!AF298))=8)*(CHOOSE({1,2,3,4},KHP!W298,KHP!AA298,KHP!AE298,KHP!AI298)))</f>
        <v>0</v>
      </c>
      <c r="I298">
        <f>SUMPRODUCT((MONTH(CHOOSE({1,2,3,4},KHP!T298,KHP!X298,KHP!AB298,KHP!AF298))=9)*(CHOOSE({1,2,3,4},KHP!W298,KHP!AA298,KHP!AE298,KHP!AI298)))</f>
        <v>0</v>
      </c>
      <c r="J298">
        <f>SUMPRODUCT((MONTH(CHOOSE({1,2,3,4},KHP!T298,KHP!X298,KHP!AB298,KHP!AF298))=10)*(CHOOSE({1,2,3,4},KHP!W298,KHP!AA298,KHP!AE298,KHP!AI298)))</f>
        <v>0</v>
      </c>
      <c r="K298">
        <f>SUMPRODUCT((MONTH(CHOOSE({1,2,3,4},KHP!T298,KHP!X298,KHP!AB298,KHP!AF298))=11)*(CHOOSE({1,2,3,4},KHP!W298,KHP!AA298,KHP!AE298,KHP!AI298)))</f>
        <v>0</v>
      </c>
      <c r="L298">
        <f>SUMPRODUCT((MONTH(CHOOSE({1,2,3,4},KHP!T298,KHP!X298,KHP!AB298,KHP!AF298))=12)*(CHOOSE({1,2,3,4},KHP!W298,KHP!AA298,KHP!AE298,KHP!AI298)))</f>
        <v>0</v>
      </c>
    </row>
    <row r="299" spans="1:12">
      <c r="A299">
        <f>SUMPRODUCT((MONTH(CHOOSE({1,2,3,4},KHP!T299,KHP!X299,KHP!AB299,KHP!AF299))=1)*(CHOOSE({1,2,3,4},KHP!W299,KHP!AA299,KHP!AE299,KHP!AI299)))</f>
        <v>0</v>
      </c>
      <c r="B299">
        <f>SUMPRODUCT((MONTH(CHOOSE({1,2,3,4},KHP!T299,KHP!X299,KHP!AB299,KHP!AF299))=2)*(CHOOSE({1,2,3,4},KHP!W299,KHP!AA299,KHP!AE299,KHP!AI299)))</f>
        <v>0</v>
      </c>
      <c r="C299">
        <f>SUMPRODUCT((MONTH(CHOOSE({1,2,3,4},KHP!T299,KHP!X299,KHP!AB299,KHP!AF299))=3)*(CHOOSE({1,2,3,4},KHP!W299,KHP!AA299,KHP!AE299,KHP!AI299)))</f>
        <v>0</v>
      </c>
      <c r="D299">
        <f>SUMPRODUCT((MONTH(CHOOSE({1,2,3,4},KHP!T299,KHP!X299,KHP!AB299,KHP!AF299))=4)*(CHOOSE({1,2,3,4},KHP!W299,KHP!AA299,KHP!AE299,KHP!AI299)))</f>
        <v>0</v>
      </c>
      <c r="E299">
        <f>SUMPRODUCT((MONTH(CHOOSE({1,2,3,4},KHP!T299,KHP!X299,KHP!AB299,KHP!AF299))=5)*(CHOOSE({1,2,3,4},KHP!W299,KHP!AA299,KHP!AE299,KHP!AI299)))</f>
        <v>0</v>
      </c>
      <c r="F299">
        <f>SUMPRODUCT((MONTH(CHOOSE({1,2,3,4},KHP!T299,KHP!X299,KHP!AB299,KHP!AF299))=6)*(CHOOSE({1,2,3,4},KHP!W299,KHP!AA299,KHP!AE299,KHP!AI299)))</f>
        <v>0</v>
      </c>
      <c r="G299">
        <f>SUMPRODUCT((MONTH(CHOOSE({1,2,3,4},KHP!T299,KHP!X299,KHP!AB299,KHP!AF299))=7)*(CHOOSE({1,2,3,4},KHP!W299,KHP!AA299,KHP!AE299,KHP!AI299)))</f>
        <v>0</v>
      </c>
      <c r="H299">
        <f>SUMPRODUCT((MONTH(CHOOSE({1,2,3,4},KHP!T299,KHP!X299,KHP!AB299,KHP!AF299))=8)*(CHOOSE({1,2,3,4},KHP!W299,KHP!AA299,KHP!AE299,KHP!AI299)))</f>
        <v>0</v>
      </c>
      <c r="I299">
        <f>SUMPRODUCT((MONTH(CHOOSE({1,2,3,4},KHP!T299,KHP!X299,KHP!AB299,KHP!AF299))=9)*(CHOOSE({1,2,3,4},KHP!W299,KHP!AA299,KHP!AE299,KHP!AI299)))</f>
        <v>0</v>
      </c>
      <c r="J299">
        <f>SUMPRODUCT((MONTH(CHOOSE({1,2,3,4},KHP!T299,KHP!X299,KHP!AB299,KHP!AF299))=10)*(CHOOSE({1,2,3,4},KHP!W299,KHP!AA299,KHP!AE299,KHP!AI299)))</f>
        <v>0</v>
      </c>
      <c r="K299">
        <f>SUMPRODUCT((MONTH(CHOOSE({1,2,3,4},KHP!T299,KHP!X299,KHP!AB299,KHP!AF299))=11)*(CHOOSE({1,2,3,4},KHP!W299,KHP!AA299,KHP!AE299,KHP!AI299)))</f>
        <v>0</v>
      </c>
      <c r="L299">
        <f>SUMPRODUCT((MONTH(CHOOSE({1,2,3,4},KHP!T299,KHP!X299,KHP!AB299,KHP!AF299))=12)*(CHOOSE({1,2,3,4},KHP!W299,KHP!AA299,KHP!AE299,KHP!AI299)))</f>
        <v>0</v>
      </c>
    </row>
    <row r="300" spans="1:12">
      <c r="A300">
        <f>SUMPRODUCT((MONTH(CHOOSE({1,2,3,4},KHP!T300,KHP!X300,KHP!AB300,KHP!AF300))=1)*(CHOOSE({1,2,3,4},KHP!W300,KHP!AA300,KHP!AE300,KHP!AI300)))</f>
        <v>0</v>
      </c>
      <c r="B300">
        <f>SUMPRODUCT((MONTH(CHOOSE({1,2,3,4},KHP!T300,KHP!X300,KHP!AB300,KHP!AF300))=2)*(CHOOSE({1,2,3,4},KHP!W300,KHP!AA300,KHP!AE300,KHP!AI300)))</f>
        <v>0</v>
      </c>
      <c r="C300">
        <f>SUMPRODUCT((MONTH(CHOOSE({1,2,3,4},KHP!T300,KHP!X300,KHP!AB300,KHP!AF300))=3)*(CHOOSE({1,2,3,4},KHP!W300,KHP!AA300,KHP!AE300,KHP!AI300)))</f>
        <v>0</v>
      </c>
      <c r="D300">
        <f>SUMPRODUCT((MONTH(CHOOSE({1,2,3,4},KHP!T300,KHP!X300,KHP!AB300,KHP!AF300))=4)*(CHOOSE({1,2,3,4},KHP!W300,KHP!AA300,KHP!AE300,KHP!AI300)))</f>
        <v>0</v>
      </c>
      <c r="E300">
        <f>SUMPRODUCT((MONTH(CHOOSE({1,2,3,4},KHP!T300,KHP!X300,KHP!AB300,KHP!AF300))=5)*(CHOOSE({1,2,3,4},KHP!W300,KHP!AA300,KHP!AE300,KHP!AI300)))</f>
        <v>0</v>
      </c>
      <c r="F300">
        <f>SUMPRODUCT((MONTH(CHOOSE({1,2,3,4},KHP!T300,KHP!X300,KHP!AB300,KHP!AF300))=6)*(CHOOSE({1,2,3,4},KHP!W300,KHP!AA300,KHP!AE300,KHP!AI300)))</f>
        <v>0</v>
      </c>
      <c r="G300">
        <f>SUMPRODUCT((MONTH(CHOOSE({1,2,3,4},KHP!T300,KHP!X300,KHP!AB300,KHP!AF300))=7)*(CHOOSE({1,2,3,4},KHP!W300,KHP!AA300,KHP!AE300,KHP!AI300)))</f>
        <v>0</v>
      </c>
      <c r="H300">
        <f>SUMPRODUCT((MONTH(CHOOSE({1,2,3,4},KHP!T300,KHP!X300,KHP!AB300,KHP!AF300))=8)*(CHOOSE({1,2,3,4},KHP!W300,KHP!AA300,KHP!AE300,KHP!AI300)))</f>
        <v>0</v>
      </c>
      <c r="I300">
        <f>SUMPRODUCT((MONTH(CHOOSE({1,2,3,4},KHP!T300,KHP!X300,KHP!AB300,KHP!AF300))=9)*(CHOOSE({1,2,3,4},KHP!W300,KHP!AA300,KHP!AE300,KHP!AI300)))</f>
        <v>0</v>
      </c>
      <c r="J300">
        <f>SUMPRODUCT((MONTH(CHOOSE({1,2,3,4},KHP!T300,KHP!X300,KHP!AB300,KHP!AF300))=10)*(CHOOSE({1,2,3,4},KHP!W300,KHP!AA300,KHP!AE300,KHP!AI300)))</f>
        <v>0</v>
      </c>
      <c r="K300">
        <f>SUMPRODUCT((MONTH(CHOOSE({1,2,3,4},KHP!T300,KHP!X300,KHP!AB300,KHP!AF300))=11)*(CHOOSE({1,2,3,4},KHP!W300,KHP!AA300,KHP!AE300,KHP!AI300)))</f>
        <v>0</v>
      </c>
      <c r="L300">
        <f>SUMPRODUCT((MONTH(CHOOSE({1,2,3,4},KHP!T300,KHP!X300,KHP!AB300,KHP!AF300))=12)*(CHOOSE({1,2,3,4},KHP!W300,KHP!AA300,KHP!AE300,KHP!AI300)))</f>
        <v>0</v>
      </c>
    </row>
    <row r="301" spans="1:12">
      <c r="A301">
        <f>SUMPRODUCT((MONTH(CHOOSE({1,2,3,4},KHP!T301,KHP!X301,KHP!AB301,KHP!AF301))=1)*(CHOOSE({1,2,3,4},KHP!W301,KHP!AA301,KHP!AE301,KHP!AI301)))</f>
        <v>0</v>
      </c>
      <c r="B301">
        <f>SUMPRODUCT((MONTH(CHOOSE({1,2,3,4},KHP!T301,KHP!X301,KHP!AB301,KHP!AF301))=2)*(CHOOSE({1,2,3,4},KHP!W301,KHP!AA301,KHP!AE301,KHP!AI301)))</f>
        <v>0</v>
      </c>
      <c r="C301">
        <f>SUMPRODUCT((MONTH(CHOOSE({1,2,3,4},KHP!T301,KHP!X301,KHP!AB301,KHP!AF301))=3)*(CHOOSE({1,2,3,4},KHP!W301,KHP!AA301,KHP!AE301,KHP!AI301)))</f>
        <v>0</v>
      </c>
      <c r="D301">
        <f>SUMPRODUCT((MONTH(CHOOSE({1,2,3,4},KHP!T301,KHP!X301,KHP!AB301,KHP!AF301))=4)*(CHOOSE({1,2,3,4},KHP!W301,KHP!AA301,KHP!AE301,KHP!AI301)))</f>
        <v>0</v>
      </c>
      <c r="E301">
        <f>SUMPRODUCT((MONTH(CHOOSE({1,2,3,4},KHP!T301,KHP!X301,KHP!AB301,KHP!AF301))=5)*(CHOOSE({1,2,3,4},KHP!W301,KHP!AA301,KHP!AE301,KHP!AI301)))</f>
        <v>0</v>
      </c>
      <c r="F301">
        <f>SUMPRODUCT((MONTH(CHOOSE({1,2,3,4},KHP!T301,KHP!X301,KHP!AB301,KHP!AF301))=6)*(CHOOSE({1,2,3,4},KHP!W301,KHP!AA301,KHP!AE301,KHP!AI301)))</f>
        <v>0</v>
      </c>
      <c r="G301">
        <f>SUMPRODUCT((MONTH(CHOOSE({1,2,3,4},KHP!T301,KHP!X301,KHP!AB301,KHP!AF301))=7)*(CHOOSE({1,2,3,4},KHP!W301,KHP!AA301,KHP!AE301,KHP!AI301)))</f>
        <v>0</v>
      </c>
      <c r="H301">
        <f>SUMPRODUCT((MONTH(CHOOSE({1,2,3,4},KHP!T301,KHP!X301,KHP!AB301,KHP!AF301))=8)*(CHOOSE({1,2,3,4},KHP!W301,KHP!AA301,KHP!AE301,KHP!AI301)))</f>
        <v>0</v>
      </c>
      <c r="I301">
        <f>SUMPRODUCT((MONTH(CHOOSE({1,2,3,4},KHP!T301,KHP!X301,KHP!AB301,KHP!AF301))=9)*(CHOOSE({1,2,3,4},KHP!W301,KHP!AA301,KHP!AE301,KHP!AI301)))</f>
        <v>0</v>
      </c>
      <c r="J301">
        <f>SUMPRODUCT((MONTH(CHOOSE({1,2,3,4},KHP!T301,KHP!X301,KHP!AB301,KHP!AF301))=10)*(CHOOSE({1,2,3,4},KHP!W301,KHP!AA301,KHP!AE301,KHP!AI301)))</f>
        <v>0</v>
      </c>
      <c r="K301">
        <f>SUMPRODUCT((MONTH(CHOOSE({1,2,3,4},KHP!T301,KHP!X301,KHP!AB301,KHP!AF301))=11)*(CHOOSE({1,2,3,4},KHP!W301,KHP!AA301,KHP!AE301,KHP!AI301)))</f>
        <v>0</v>
      </c>
      <c r="L301">
        <f>SUMPRODUCT((MONTH(CHOOSE({1,2,3,4},KHP!T301,KHP!X301,KHP!AB301,KHP!AF301))=12)*(CHOOSE({1,2,3,4},KHP!W301,KHP!AA301,KHP!AE301,KHP!AI301)))</f>
        <v>0</v>
      </c>
    </row>
    <row r="302" spans="1:12">
      <c r="A302">
        <f>SUMPRODUCT((MONTH(CHOOSE({1,2,3,4},KHP!T302,KHP!X302,KHP!AB302,KHP!AF302))=1)*(CHOOSE({1,2,3,4},KHP!W302,KHP!AA302,KHP!AE302,KHP!AI302)))</f>
        <v>0</v>
      </c>
      <c r="B302">
        <f>SUMPRODUCT((MONTH(CHOOSE({1,2,3,4},KHP!T302,KHP!X302,KHP!AB302,KHP!AF302))=2)*(CHOOSE({1,2,3,4},KHP!W302,KHP!AA302,KHP!AE302,KHP!AI302)))</f>
        <v>0</v>
      </c>
      <c r="C302">
        <f>SUMPRODUCT((MONTH(CHOOSE({1,2,3,4},KHP!T302,KHP!X302,KHP!AB302,KHP!AF302))=3)*(CHOOSE({1,2,3,4},KHP!W302,KHP!AA302,KHP!AE302,KHP!AI302)))</f>
        <v>0</v>
      </c>
      <c r="D302">
        <f>SUMPRODUCT((MONTH(CHOOSE({1,2,3,4},KHP!T302,KHP!X302,KHP!AB302,KHP!AF302))=4)*(CHOOSE({1,2,3,4},KHP!W302,KHP!AA302,KHP!AE302,KHP!AI302)))</f>
        <v>0</v>
      </c>
      <c r="E302">
        <f>SUMPRODUCT((MONTH(CHOOSE({1,2,3,4},KHP!T302,KHP!X302,KHP!AB302,KHP!AF302))=5)*(CHOOSE({1,2,3,4},KHP!W302,KHP!AA302,KHP!AE302,KHP!AI302)))</f>
        <v>0</v>
      </c>
      <c r="F302">
        <f>SUMPRODUCT((MONTH(CHOOSE({1,2,3,4},KHP!T302,KHP!X302,KHP!AB302,KHP!AF302))=6)*(CHOOSE({1,2,3,4},KHP!W302,KHP!AA302,KHP!AE302,KHP!AI302)))</f>
        <v>0</v>
      </c>
      <c r="G302">
        <f>SUMPRODUCT((MONTH(CHOOSE({1,2,3,4},KHP!T302,KHP!X302,KHP!AB302,KHP!AF302))=7)*(CHOOSE({1,2,3,4},KHP!W302,KHP!AA302,KHP!AE302,KHP!AI302)))</f>
        <v>0</v>
      </c>
      <c r="H302">
        <f>SUMPRODUCT((MONTH(CHOOSE({1,2,3,4},KHP!T302,KHP!X302,KHP!AB302,KHP!AF302))=8)*(CHOOSE({1,2,3,4},KHP!W302,KHP!AA302,KHP!AE302,KHP!AI302)))</f>
        <v>0</v>
      </c>
      <c r="I302">
        <f>SUMPRODUCT((MONTH(CHOOSE({1,2,3,4},KHP!T302,KHP!X302,KHP!AB302,KHP!AF302))=9)*(CHOOSE({1,2,3,4},KHP!W302,KHP!AA302,KHP!AE302,KHP!AI302)))</f>
        <v>0</v>
      </c>
      <c r="J302">
        <f>SUMPRODUCT((MONTH(CHOOSE({1,2,3,4},KHP!T302,KHP!X302,KHP!AB302,KHP!AF302))=10)*(CHOOSE({1,2,3,4},KHP!W302,KHP!AA302,KHP!AE302,KHP!AI302)))</f>
        <v>0</v>
      </c>
      <c r="K302">
        <f>SUMPRODUCT((MONTH(CHOOSE({1,2,3,4},KHP!T302,KHP!X302,KHP!AB302,KHP!AF302))=11)*(CHOOSE({1,2,3,4},KHP!W302,KHP!AA302,KHP!AE302,KHP!AI302)))</f>
        <v>0</v>
      </c>
      <c r="L302">
        <f>SUMPRODUCT((MONTH(CHOOSE({1,2,3,4},KHP!T302,KHP!X302,KHP!AB302,KHP!AF302))=12)*(CHOOSE({1,2,3,4},KHP!W302,KHP!AA302,KHP!AE302,KHP!AI302)))</f>
        <v>0</v>
      </c>
    </row>
    <row r="303" spans="1:12">
      <c r="A303">
        <f>SUMPRODUCT((MONTH(CHOOSE({1,2,3,4},KHP!T303,KHP!X303,KHP!AB303,KHP!AF303))=1)*(CHOOSE({1,2,3,4},KHP!W303,KHP!AA303,KHP!AE303,KHP!AI303)))</f>
        <v>0</v>
      </c>
      <c r="B303">
        <f>SUMPRODUCT((MONTH(CHOOSE({1,2,3,4},KHP!T303,KHP!X303,KHP!AB303,KHP!AF303))=2)*(CHOOSE({1,2,3,4},KHP!W303,KHP!AA303,KHP!AE303,KHP!AI303)))</f>
        <v>0</v>
      </c>
      <c r="C303">
        <f>SUMPRODUCT((MONTH(CHOOSE({1,2,3,4},KHP!T303,KHP!X303,KHP!AB303,KHP!AF303))=3)*(CHOOSE({1,2,3,4},KHP!W303,KHP!AA303,KHP!AE303,KHP!AI303)))</f>
        <v>0</v>
      </c>
      <c r="D303">
        <f>SUMPRODUCT((MONTH(CHOOSE({1,2,3,4},KHP!T303,KHP!X303,KHP!AB303,KHP!AF303))=4)*(CHOOSE({1,2,3,4},KHP!W303,KHP!AA303,KHP!AE303,KHP!AI303)))</f>
        <v>0</v>
      </c>
      <c r="E303">
        <f>SUMPRODUCT((MONTH(CHOOSE({1,2,3,4},KHP!T303,KHP!X303,KHP!AB303,KHP!AF303))=5)*(CHOOSE({1,2,3,4},KHP!W303,KHP!AA303,KHP!AE303,KHP!AI303)))</f>
        <v>0</v>
      </c>
      <c r="F303">
        <f>SUMPRODUCT((MONTH(CHOOSE({1,2,3,4},KHP!T303,KHP!X303,KHP!AB303,KHP!AF303))=6)*(CHOOSE({1,2,3,4},KHP!W303,KHP!AA303,KHP!AE303,KHP!AI303)))</f>
        <v>0</v>
      </c>
      <c r="G303">
        <f>SUMPRODUCT((MONTH(CHOOSE({1,2,3,4},KHP!T303,KHP!X303,KHP!AB303,KHP!AF303))=7)*(CHOOSE({1,2,3,4},KHP!W303,KHP!AA303,KHP!AE303,KHP!AI303)))</f>
        <v>0</v>
      </c>
      <c r="H303">
        <f>SUMPRODUCT((MONTH(CHOOSE({1,2,3,4},KHP!T303,KHP!X303,KHP!AB303,KHP!AF303))=8)*(CHOOSE({1,2,3,4},KHP!W303,KHP!AA303,KHP!AE303,KHP!AI303)))</f>
        <v>0</v>
      </c>
      <c r="I303">
        <f>SUMPRODUCT((MONTH(CHOOSE({1,2,3,4},KHP!T303,KHP!X303,KHP!AB303,KHP!AF303))=9)*(CHOOSE({1,2,3,4},KHP!W303,KHP!AA303,KHP!AE303,KHP!AI303)))</f>
        <v>0</v>
      </c>
      <c r="J303">
        <f>SUMPRODUCT((MONTH(CHOOSE({1,2,3,4},KHP!T303,KHP!X303,KHP!AB303,KHP!AF303))=10)*(CHOOSE({1,2,3,4},KHP!W303,KHP!AA303,KHP!AE303,KHP!AI303)))</f>
        <v>0</v>
      </c>
      <c r="K303">
        <f>SUMPRODUCT((MONTH(CHOOSE({1,2,3,4},KHP!T303,KHP!X303,KHP!AB303,KHP!AF303))=11)*(CHOOSE({1,2,3,4},KHP!W303,KHP!AA303,KHP!AE303,KHP!AI303)))</f>
        <v>0</v>
      </c>
      <c r="L303">
        <f>SUMPRODUCT((MONTH(CHOOSE({1,2,3,4},KHP!T303,KHP!X303,KHP!AB303,KHP!AF303))=12)*(CHOOSE({1,2,3,4},KHP!W303,KHP!AA303,KHP!AE303,KHP!AI303)))</f>
        <v>0</v>
      </c>
    </row>
    <row r="304" spans="1:12">
      <c r="A304">
        <f>SUMPRODUCT((MONTH(CHOOSE({1,2,3,4},KHP!T304,KHP!X304,KHP!AB304,KHP!AF304))=1)*(CHOOSE({1,2,3,4},KHP!W304,KHP!AA304,KHP!AE304,KHP!AI304)))</f>
        <v>0</v>
      </c>
      <c r="B304">
        <f>SUMPRODUCT((MONTH(CHOOSE({1,2,3,4},KHP!T304,KHP!X304,KHP!AB304,KHP!AF304))=2)*(CHOOSE({1,2,3,4},KHP!W304,KHP!AA304,KHP!AE304,KHP!AI304)))</f>
        <v>0</v>
      </c>
      <c r="C304">
        <f>SUMPRODUCT((MONTH(CHOOSE({1,2,3,4},KHP!T304,KHP!X304,KHP!AB304,KHP!AF304))=3)*(CHOOSE({1,2,3,4},KHP!W304,KHP!AA304,KHP!AE304,KHP!AI304)))</f>
        <v>0</v>
      </c>
      <c r="D304">
        <f>SUMPRODUCT((MONTH(CHOOSE({1,2,3,4},KHP!T304,KHP!X304,KHP!AB304,KHP!AF304))=4)*(CHOOSE({1,2,3,4},KHP!W304,KHP!AA304,KHP!AE304,KHP!AI304)))</f>
        <v>0</v>
      </c>
      <c r="E304">
        <f>SUMPRODUCT((MONTH(CHOOSE({1,2,3,4},KHP!T304,KHP!X304,KHP!AB304,KHP!AF304))=5)*(CHOOSE({1,2,3,4},KHP!W304,KHP!AA304,KHP!AE304,KHP!AI304)))</f>
        <v>0</v>
      </c>
      <c r="F304">
        <f>SUMPRODUCT((MONTH(CHOOSE({1,2,3,4},KHP!T304,KHP!X304,KHP!AB304,KHP!AF304))=6)*(CHOOSE({1,2,3,4},KHP!W304,KHP!AA304,KHP!AE304,KHP!AI304)))</f>
        <v>0</v>
      </c>
      <c r="G304">
        <f>SUMPRODUCT((MONTH(CHOOSE({1,2,3,4},KHP!T304,KHP!X304,KHP!AB304,KHP!AF304))=7)*(CHOOSE({1,2,3,4},KHP!W304,KHP!AA304,KHP!AE304,KHP!AI304)))</f>
        <v>0</v>
      </c>
      <c r="H304">
        <f>SUMPRODUCT((MONTH(CHOOSE({1,2,3,4},KHP!T304,KHP!X304,KHP!AB304,KHP!AF304))=8)*(CHOOSE({1,2,3,4},KHP!W304,KHP!AA304,KHP!AE304,KHP!AI304)))</f>
        <v>0</v>
      </c>
      <c r="I304">
        <f>SUMPRODUCT((MONTH(CHOOSE({1,2,3,4},KHP!T304,KHP!X304,KHP!AB304,KHP!AF304))=9)*(CHOOSE({1,2,3,4},KHP!W304,KHP!AA304,KHP!AE304,KHP!AI304)))</f>
        <v>0</v>
      </c>
      <c r="J304">
        <f>SUMPRODUCT((MONTH(CHOOSE({1,2,3,4},KHP!T304,KHP!X304,KHP!AB304,KHP!AF304))=10)*(CHOOSE({1,2,3,4},KHP!W304,KHP!AA304,KHP!AE304,KHP!AI304)))</f>
        <v>0</v>
      </c>
      <c r="K304">
        <f>SUMPRODUCT((MONTH(CHOOSE({1,2,3,4},KHP!T304,KHP!X304,KHP!AB304,KHP!AF304))=11)*(CHOOSE({1,2,3,4},KHP!W304,KHP!AA304,KHP!AE304,KHP!AI304)))</f>
        <v>0</v>
      </c>
      <c r="L304">
        <f>SUMPRODUCT((MONTH(CHOOSE({1,2,3,4},KHP!T304,KHP!X304,KHP!AB304,KHP!AF304))=12)*(CHOOSE({1,2,3,4},KHP!W304,KHP!AA304,KHP!AE304,KHP!AI304)))</f>
        <v>0</v>
      </c>
    </row>
    <row r="305" spans="1:12">
      <c r="A305">
        <f>SUMPRODUCT((MONTH(CHOOSE({1,2,3,4},KHP!T305,KHP!X305,KHP!AB305,KHP!AF305))=1)*(CHOOSE({1,2,3,4},KHP!W305,KHP!AA305,KHP!AE305,KHP!AI305)))</f>
        <v>0</v>
      </c>
      <c r="B305">
        <f>SUMPRODUCT((MONTH(CHOOSE({1,2,3,4},KHP!T305,KHP!X305,KHP!AB305,KHP!AF305))=2)*(CHOOSE({1,2,3,4},KHP!W305,KHP!AA305,KHP!AE305,KHP!AI305)))</f>
        <v>0</v>
      </c>
      <c r="C305">
        <f>SUMPRODUCT((MONTH(CHOOSE({1,2,3,4},KHP!T305,KHP!X305,KHP!AB305,KHP!AF305))=3)*(CHOOSE({1,2,3,4},KHP!W305,KHP!AA305,KHP!AE305,KHP!AI305)))</f>
        <v>0</v>
      </c>
      <c r="D305">
        <f>SUMPRODUCT((MONTH(CHOOSE({1,2,3,4},KHP!T305,KHP!X305,KHP!AB305,KHP!AF305))=4)*(CHOOSE({1,2,3,4},KHP!W305,KHP!AA305,KHP!AE305,KHP!AI305)))</f>
        <v>0</v>
      </c>
      <c r="E305">
        <f>SUMPRODUCT((MONTH(CHOOSE({1,2,3,4},KHP!T305,KHP!X305,KHP!AB305,KHP!AF305))=5)*(CHOOSE({1,2,3,4},KHP!W305,KHP!AA305,KHP!AE305,KHP!AI305)))</f>
        <v>0</v>
      </c>
      <c r="F305">
        <f>SUMPRODUCT((MONTH(CHOOSE({1,2,3,4},KHP!T305,KHP!X305,KHP!AB305,KHP!AF305))=6)*(CHOOSE({1,2,3,4},KHP!W305,KHP!AA305,KHP!AE305,KHP!AI305)))</f>
        <v>0</v>
      </c>
      <c r="G305">
        <f>SUMPRODUCT((MONTH(CHOOSE({1,2,3,4},KHP!T305,KHP!X305,KHP!AB305,KHP!AF305))=7)*(CHOOSE({1,2,3,4},KHP!W305,KHP!AA305,KHP!AE305,KHP!AI305)))</f>
        <v>0</v>
      </c>
      <c r="H305">
        <f>SUMPRODUCT((MONTH(CHOOSE({1,2,3,4},KHP!T305,KHP!X305,KHP!AB305,KHP!AF305))=8)*(CHOOSE({1,2,3,4},KHP!W305,KHP!AA305,KHP!AE305,KHP!AI305)))</f>
        <v>0</v>
      </c>
      <c r="I305">
        <f>SUMPRODUCT((MONTH(CHOOSE({1,2,3,4},KHP!T305,KHP!X305,KHP!AB305,KHP!AF305))=9)*(CHOOSE({1,2,3,4},KHP!W305,KHP!AA305,KHP!AE305,KHP!AI305)))</f>
        <v>0</v>
      </c>
      <c r="J305">
        <f>SUMPRODUCT((MONTH(CHOOSE({1,2,3,4},KHP!T305,KHP!X305,KHP!AB305,KHP!AF305))=10)*(CHOOSE({1,2,3,4},KHP!W305,KHP!AA305,KHP!AE305,KHP!AI305)))</f>
        <v>0</v>
      </c>
      <c r="K305">
        <f>SUMPRODUCT((MONTH(CHOOSE({1,2,3,4},KHP!T305,KHP!X305,KHP!AB305,KHP!AF305))=11)*(CHOOSE({1,2,3,4},KHP!W305,KHP!AA305,KHP!AE305,KHP!AI305)))</f>
        <v>0</v>
      </c>
      <c r="L305">
        <f>SUMPRODUCT((MONTH(CHOOSE({1,2,3,4},KHP!T305,KHP!X305,KHP!AB305,KHP!AF305))=12)*(CHOOSE({1,2,3,4},KHP!W305,KHP!AA305,KHP!AE305,KHP!AI305)))</f>
        <v>0</v>
      </c>
    </row>
    <row r="306" spans="1:12">
      <c r="A306">
        <f>SUMPRODUCT((MONTH(CHOOSE({1,2,3,4},KHP!T306,KHP!X306,KHP!AB306,KHP!AF306))=1)*(CHOOSE({1,2,3,4},KHP!W306,KHP!AA306,KHP!AE306,KHP!AI306)))</f>
        <v>0</v>
      </c>
      <c r="B306">
        <f>SUMPRODUCT((MONTH(CHOOSE({1,2,3,4},KHP!T306,KHP!X306,KHP!AB306,KHP!AF306))=2)*(CHOOSE({1,2,3,4},KHP!W306,KHP!AA306,KHP!AE306,KHP!AI306)))</f>
        <v>0</v>
      </c>
      <c r="C306">
        <f>SUMPRODUCT((MONTH(CHOOSE({1,2,3,4},KHP!T306,KHP!X306,KHP!AB306,KHP!AF306))=3)*(CHOOSE({1,2,3,4},KHP!W306,KHP!AA306,KHP!AE306,KHP!AI306)))</f>
        <v>0</v>
      </c>
      <c r="D306">
        <f>SUMPRODUCT((MONTH(CHOOSE({1,2,3,4},KHP!T306,KHP!X306,KHP!AB306,KHP!AF306))=4)*(CHOOSE({1,2,3,4},KHP!W306,KHP!AA306,KHP!AE306,KHP!AI306)))</f>
        <v>0</v>
      </c>
      <c r="E306">
        <f>SUMPRODUCT((MONTH(CHOOSE({1,2,3,4},KHP!T306,KHP!X306,KHP!AB306,KHP!AF306))=5)*(CHOOSE({1,2,3,4},KHP!W306,KHP!AA306,KHP!AE306,KHP!AI306)))</f>
        <v>0</v>
      </c>
      <c r="F306">
        <f>SUMPRODUCT((MONTH(CHOOSE({1,2,3,4},KHP!T306,KHP!X306,KHP!AB306,KHP!AF306))=6)*(CHOOSE({1,2,3,4},KHP!W306,KHP!AA306,KHP!AE306,KHP!AI306)))</f>
        <v>0</v>
      </c>
      <c r="G306">
        <f>SUMPRODUCT((MONTH(CHOOSE({1,2,3,4},KHP!T306,KHP!X306,KHP!AB306,KHP!AF306))=7)*(CHOOSE({1,2,3,4},KHP!W306,KHP!AA306,KHP!AE306,KHP!AI306)))</f>
        <v>0</v>
      </c>
      <c r="H306">
        <f>SUMPRODUCT((MONTH(CHOOSE({1,2,3,4},KHP!T306,KHP!X306,KHP!AB306,KHP!AF306))=8)*(CHOOSE({1,2,3,4},KHP!W306,KHP!AA306,KHP!AE306,KHP!AI306)))</f>
        <v>0</v>
      </c>
      <c r="I306">
        <f>SUMPRODUCT((MONTH(CHOOSE({1,2,3,4},KHP!T306,KHP!X306,KHP!AB306,KHP!AF306))=9)*(CHOOSE({1,2,3,4},KHP!W306,KHP!AA306,KHP!AE306,KHP!AI306)))</f>
        <v>0</v>
      </c>
      <c r="J306">
        <f>SUMPRODUCT((MONTH(CHOOSE({1,2,3,4},KHP!T306,KHP!X306,KHP!AB306,KHP!AF306))=10)*(CHOOSE({1,2,3,4},KHP!W306,KHP!AA306,KHP!AE306,KHP!AI306)))</f>
        <v>0</v>
      </c>
      <c r="K306">
        <f>SUMPRODUCT((MONTH(CHOOSE({1,2,3,4},KHP!T306,KHP!X306,KHP!AB306,KHP!AF306))=11)*(CHOOSE({1,2,3,4},KHP!W306,KHP!AA306,KHP!AE306,KHP!AI306)))</f>
        <v>0</v>
      </c>
      <c r="L306">
        <f>SUMPRODUCT((MONTH(CHOOSE({1,2,3,4},KHP!T306,KHP!X306,KHP!AB306,KHP!AF306))=12)*(CHOOSE({1,2,3,4},KHP!W306,KHP!AA306,KHP!AE306,KHP!AI306)))</f>
        <v>0</v>
      </c>
    </row>
    <row r="307" spans="1:12">
      <c r="A307">
        <f>SUMPRODUCT((MONTH(CHOOSE({1,2,3,4},KHP!T307,KHP!X307,KHP!AB307,KHP!AF307))=1)*(CHOOSE({1,2,3,4},KHP!W307,KHP!AA307,KHP!AE307,KHP!AI307)))</f>
        <v>0</v>
      </c>
      <c r="B307">
        <f>SUMPRODUCT((MONTH(CHOOSE({1,2,3,4},KHP!T307,KHP!X307,KHP!AB307,KHP!AF307))=2)*(CHOOSE({1,2,3,4},KHP!W307,KHP!AA307,KHP!AE307,KHP!AI307)))</f>
        <v>0</v>
      </c>
      <c r="C307">
        <f>SUMPRODUCT((MONTH(CHOOSE({1,2,3,4},KHP!T307,KHP!X307,KHP!AB307,KHP!AF307))=3)*(CHOOSE({1,2,3,4},KHP!W307,KHP!AA307,KHP!AE307,KHP!AI307)))</f>
        <v>0</v>
      </c>
      <c r="D307">
        <f>SUMPRODUCT((MONTH(CHOOSE({1,2,3,4},KHP!T307,KHP!X307,KHP!AB307,KHP!AF307))=4)*(CHOOSE({1,2,3,4},KHP!W307,KHP!AA307,KHP!AE307,KHP!AI307)))</f>
        <v>0</v>
      </c>
      <c r="E307">
        <f>SUMPRODUCT((MONTH(CHOOSE({1,2,3,4},KHP!T307,KHP!X307,KHP!AB307,KHP!AF307))=5)*(CHOOSE({1,2,3,4},KHP!W307,KHP!AA307,KHP!AE307,KHP!AI307)))</f>
        <v>0</v>
      </c>
      <c r="F307">
        <f>SUMPRODUCT((MONTH(CHOOSE({1,2,3,4},KHP!T307,KHP!X307,KHP!AB307,KHP!AF307))=6)*(CHOOSE({1,2,3,4},KHP!W307,KHP!AA307,KHP!AE307,KHP!AI307)))</f>
        <v>0</v>
      </c>
      <c r="G307">
        <f>SUMPRODUCT((MONTH(CHOOSE({1,2,3,4},KHP!T307,KHP!X307,KHP!AB307,KHP!AF307))=7)*(CHOOSE({1,2,3,4},KHP!W307,KHP!AA307,KHP!AE307,KHP!AI307)))</f>
        <v>0</v>
      </c>
      <c r="H307">
        <f>SUMPRODUCT((MONTH(CHOOSE({1,2,3,4},KHP!T307,KHP!X307,KHP!AB307,KHP!AF307))=8)*(CHOOSE({1,2,3,4},KHP!W307,KHP!AA307,KHP!AE307,KHP!AI307)))</f>
        <v>0</v>
      </c>
      <c r="I307">
        <f>SUMPRODUCT((MONTH(CHOOSE({1,2,3,4},KHP!T307,KHP!X307,KHP!AB307,KHP!AF307))=9)*(CHOOSE({1,2,3,4},KHP!W307,KHP!AA307,KHP!AE307,KHP!AI307)))</f>
        <v>0</v>
      </c>
      <c r="J307">
        <f>SUMPRODUCT((MONTH(CHOOSE({1,2,3,4},KHP!T307,KHP!X307,KHP!AB307,KHP!AF307))=10)*(CHOOSE({1,2,3,4},KHP!W307,KHP!AA307,KHP!AE307,KHP!AI307)))</f>
        <v>0</v>
      </c>
      <c r="K307">
        <f>SUMPRODUCT((MONTH(CHOOSE({1,2,3,4},KHP!T307,KHP!X307,KHP!AB307,KHP!AF307))=11)*(CHOOSE({1,2,3,4},KHP!W307,KHP!AA307,KHP!AE307,KHP!AI307)))</f>
        <v>0</v>
      </c>
      <c r="L307">
        <f>SUMPRODUCT((MONTH(CHOOSE({1,2,3,4},KHP!T307,KHP!X307,KHP!AB307,KHP!AF307))=12)*(CHOOSE({1,2,3,4},KHP!W307,KHP!AA307,KHP!AE307,KHP!AI307)))</f>
        <v>0</v>
      </c>
    </row>
    <row r="308" spans="1:12">
      <c r="A308">
        <f>SUMPRODUCT((MONTH(CHOOSE({1,2,3,4},KHP!T308,KHP!X308,KHP!AB308,KHP!AF308))=1)*(CHOOSE({1,2,3,4},KHP!W308,KHP!AA308,KHP!AE308,KHP!AI308)))</f>
        <v>0</v>
      </c>
      <c r="B308">
        <f>SUMPRODUCT((MONTH(CHOOSE({1,2,3,4},KHP!T308,KHP!X308,KHP!AB308,KHP!AF308))=2)*(CHOOSE({1,2,3,4},KHP!W308,KHP!AA308,KHP!AE308,KHP!AI308)))</f>
        <v>0</v>
      </c>
      <c r="C308">
        <f>SUMPRODUCT((MONTH(CHOOSE({1,2,3,4},KHP!T308,KHP!X308,KHP!AB308,KHP!AF308))=3)*(CHOOSE({1,2,3,4},KHP!W308,KHP!AA308,KHP!AE308,KHP!AI308)))</f>
        <v>0</v>
      </c>
      <c r="D308">
        <f>SUMPRODUCT((MONTH(CHOOSE({1,2,3,4},KHP!T308,KHP!X308,KHP!AB308,KHP!AF308))=4)*(CHOOSE({1,2,3,4},KHP!W308,KHP!AA308,KHP!AE308,KHP!AI308)))</f>
        <v>0</v>
      </c>
      <c r="E308">
        <f>SUMPRODUCT((MONTH(CHOOSE({1,2,3,4},KHP!T308,KHP!X308,KHP!AB308,KHP!AF308))=5)*(CHOOSE({1,2,3,4},KHP!W308,KHP!AA308,KHP!AE308,KHP!AI308)))</f>
        <v>0</v>
      </c>
      <c r="F308">
        <f>SUMPRODUCT((MONTH(CHOOSE({1,2,3,4},KHP!T308,KHP!X308,KHP!AB308,KHP!AF308))=6)*(CHOOSE({1,2,3,4},KHP!W308,KHP!AA308,KHP!AE308,KHP!AI308)))</f>
        <v>0</v>
      </c>
      <c r="G308">
        <f>SUMPRODUCT((MONTH(CHOOSE({1,2,3,4},KHP!T308,KHP!X308,KHP!AB308,KHP!AF308))=7)*(CHOOSE({1,2,3,4},KHP!W308,KHP!AA308,KHP!AE308,KHP!AI308)))</f>
        <v>0</v>
      </c>
      <c r="H308">
        <f>SUMPRODUCT((MONTH(CHOOSE({1,2,3,4},KHP!T308,KHP!X308,KHP!AB308,KHP!AF308))=8)*(CHOOSE({1,2,3,4},KHP!W308,KHP!AA308,KHP!AE308,KHP!AI308)))</f>
        <v>0</v>
      </c>
      <c r="I308">
        <f>SUMPRODUCT((MONTH(CHOOSE({1,2,3,4},KHP!T308,KHP!X308,KHP!AB308,KHP!AF308))=9)*(CHOOSE({1,2,3,4},KHP!W308,KHP!AA308,KHP!AE308,KHP!AI308)))</f>
        <v>0</v>
      </c>
      <c r="J308">
        <f>SUMPRODUCT((MONTH(CHOOSE({1,2,3,4},KHP!T308,KHP!X308,KHP!AB308,KHP!AF308))=10)*(CHOOSE({1,2,3,4},KHP!W308,KHP!AA308,KHP!AE308,KHP!AI308)))</f>
        <v>0</v>
      </c>
      <c r="K308">
        <f>SUMPRODUCT((MONTH(CHOOSE({1,2,3,4},KHP!T308,KHP!X308,KHP!AB308,KHP!AF308))=11)*(CHOOSE({1,2,3,4},KHP!W308,KHP!AA308,KHP!AE308,KHP!AI308)))</f>
        <v>0</v>
      </c>
      <c r="L308">
        <f>SUMPRODUCT((MONTH(CHOOSE({1,2,3,4},KHP!T308,KHP!X308,KHP!AB308,KHP!AF308))=12)*(CHOOSE({1,2,3,4},KHP!W308,KHP!AA308,KHP!AE308,KHP!AI308)))</f>
        <v>0</v>
      </c>
    </row>
    <row r="309" spans="1:12">
      <c r="A309">
        <f>SUMPRODUCT((MONTH(CHOOSE({1,2,3,4},KHP!T309,KHP!X309,KHP!AB309,KHP!AF309))=1)*(CHOOSE({1,2,3,4},KHP!W309,KHP!AA309,KHP!AE309,KHP!AI309)))</f>
        <v>0</v>
      </c>
      <c r="B309">
        <f>SUMPRODUCT((MONTH(CHOOSE({1,2,3,4},KHP!T309,KHP!X309,KHP!AB309,KHP!AF309))=2)*(CHOOSE({1,2,3,4},KHP!W309,KHP!AA309,KHP!AE309,KHP!AI309)))</f>
        <v>0</v>
      </c>
      <c r="C309">
        <f>SUMPRODUCT((MONTH(CHOOSE({1,2,3,4},KHP!T309,KHP!X309,KHP!AB309,KHP!AF309))=3)*(CHOOSE({1,2,3,4},KHP!W309,KHP!AA309,KHP!AE309,KHP!AI309)))</f>
        <v>0</v>
      </c>
      <c r="D309">
        <f>SUMPRODUCT((MONTH(CHOOSE({1,2,3,4},KHP!T309,KHP!X309,KHP!AB309,KHP!AF309))=4)*(CHOOSE({1,2,3,4},KHP!W309,KHP!AA309,KHP!AE309,KHP!AI309)))</f>
        <v>0</v>
      </c>
      <c r="E309">
        <f>SUMPRODUCT((MONTH(CHOOSE({1,2,3,4},KHP!T309,KHP!X309,KHP!AB309,KHP!AF309))=5)*(CHOOSE({1,2,3,4},KHP!W309,KHP!AA309,KHP!AE309,KHP!AI309)))</f>
        <v>0</v>
      </c>
      <c r="F309">
        <f>SUMPRODUCT((MONTH(CHOOSE({1,2,3,4},KHP!T309,KHP!X309,KHP!AB309,KHP!AF309))=6)*(CHOOSE({1,2,3,4},KHP!W309,KHP!AA309,KHP!AE309,KHP!AI309)))</f>
        <v>0</v>
      </c>
      <c r="G309">
        <f>SUMPRODUCT((MONTH(CHOOSE({1,2,3,4},KHP!T309,KHP!X309,KHP!AB309,KHP!AF309))=7)*(CHOOSE({1,2,3,4},KHP!W309,KHP!AA309,KHP!AE309,KHP!AI309)))</f>
        <v>0</v>
      </c>
      <c r="H309">
        <f>SUMPRODUCT((MONTH(CHOOSE({1,2,3,4},KHP!T309,KHP!X309,KHP!AB309,KHP!AF309))=8)*(CHOOSE({1,2,3,4},KHP!W309,KHP!AA309,KHP!AE309,KHP!AI309)))</f>
        <v>0</v>
      </c>
      <c r="I309">
        <f>SUMPRODUCT((MONTH(CHOOSE({1,2,3,4},KHP!T309,KHP!X309,KHP!AB309,KHP!AF309))=9)*(CHOOSE({1,2,3,4},KHP!W309,KHP!AA309,KHP!AE309,KHP!AI309)))</f>
        <v>0</v>
      </c>
      <c r="J309">
        <f>SUMPRODUCT((MONTH(CHOOSE({1,2,3,4},KHP!T309,KHP!X309,KHP!AB309,KHP!AF309))=10)*(CHOOSE({1,2,3,4},KHP!W309,KHP!AA309,KHP!AE309,KHP!AI309)))</f>
        <v>0</v>
      </c>
      <c r="K309">
        <f>SUMPRODUCT((MONTH(CHOOSE({1,2,3,4},KHP!T309,KHP!X309,KHP!AB309,KHP!AF309))=11)*(CHOOSE({1,2,3,4},KHP!W309,KHP!AA309,KHP!AE309,KHP!AI309)))</f>
        <v>0</v>
      </c>
      <c r="L309">
        <f>SUMPRODUCT((MONTH(CHOOSE({1,2,3,4},KHP!T309,KHP!X309,KHP!AB309,KHP!AF309))=12)*(CHOOSE({1,2,3,4},KHP!W309,KHP!AA309,KHP!AE309,KHP!AI309)))</f>
        <v>0</v>
      </c>
    </row>
    <row r="310" spans="1:12">
      <c r="A310">
        <f>SUMPRODUCT((MONTH(CHOOSE({1,2,3,4},KHP!T310,KHP!X310,KHP!AB310,KHP!AF310))=1)*(CHOOSE({1,2,3,4},KHP!W310,KHP!AA310,KHP!AE310,KHP!AI310)))</f>
        <v>0</v>
      </c>
      <c r="B310">
        <f>SUMPRODUCT((MONTH(CHOOSE({1,2,3,4},KHP!T310,KHP!X310,KHP!AB310,KHP!AF310))=2)*(CHOOSE({1,2,3,4},KHP!W310,KHP!AA310,KHP!AE310,KHP!AI310)))</f>
        <v>0</v>
      </c>
      <c r="C310">
        <f>SUMPRODUCT((MONTH(CHOOSE({1,2,3,4},KHP!T310,KHP!X310,KHP!AB310,KHP!AF310))=3)*(CHOOSE({1,2,3,4},KHP!W310,KHP!AA310,KHP!AE310,KHP!AI310)))</f>
        <v>0</v>
      </c>
      <c r="D310">
        <f>SUMPRODUCT((MONTH(CHOOSE({1,2,3,4},KHP!T310,KHP!X310,KHP!AB310,KHP!AF310))=4)*(CHOOSE({1,2,3,4},KHP!W310,KHP!AA310,KHP!AE310,KHP!AI310)))</f>
        <v>0</v>
      </c>
      <c r="E310">
        <f>SUMPRODUCT((MONTH(CHOOSE({1,2,3,4},KHP!T310,KHP!X310,KHP!AB310,KHP!AF310))=5)*(CHOOSE({1,2,3,4},KHP!W310,KHP!AA310,KHP!AE310,KHP!AI310)))</f>
        <v>0</v>
      </c>
      <c r="F310">
        <f>SUMPRODUCT((MONTH(CHOOSE({1,2,3,4},KHP!T310,KHP!X310,KHP!AB310,KHP!AF310))=6)*(CHOOSE({1,2,3,4},KHP!W310,KHP!AA310,KHP!AE310,KHP!AI310)))</f>
        <v>0</v>
      </c>
      <c r="G310">
        <f>SUMPRODUCT((MONTH(CHOOSE({1,2,3,4},KHP!T310,KHP!X310,KHP!AB310,KHP!AF310))=7)*(CHOOSE({1,2,3,4},KHP!W310,KHP!AA310,KHP!AE310,KHP!AI310)))</f>
        <v>0</v>
      </c>
      <c r="H310">
        <f>SUMPRODUCT((MONTH(CHOOSE({1,2,3,4},KHP!T310,KHP!X310,KHP!AB310,KHP!AF310))=8)*(CHOOSE({1,2,3,4},KHP!W310,KHP!AA310,KHP!AE310,KHP!AI310)))</f>
        <v>0</v>
      </c>
      <c r="I310">
        <f>SUMPRODUCT((MONTH(CHOOSE({1,2,3,4},KHP!T310,KHP!X310,KHP!AB310,KHP!AF310))=9)*(CHOOSE({1,2,3,4},KHP!W310,KHP!AA310,KHP!AE310,KHP!AI310)))</f>
        <v>0</v>
      </c>
      <c r="J310">
        <f>SUMPRODUCT((MONTH(CHOOSE({1,2,3,4},KHP!T310,KHP!X310,KHP!AB310,KHP!AF310))=10)*(CHOOSE({1,2,3,4},KHP!W310,KHP!AA310,KHP!AE310,KHP!AI310)))</f>
        <v>0</v>
      </c>
      <c r="K310">
        <f>SUMPRODUCT((MONTH(CHOOSE({1,2,3,4},KHP!T310,KHP!X310,KHP!AB310,KHP!AF310))=11)*(CHOOSE({1,2,3,4},KHP!W310,KHP!AA310,KHP!AE310,KHP!AI310)))</f>
        <v>0</v>
      </c>
      <c r="L310">
        <f>SUMPRODUCT((MONTH(CHOOSE({1,2,3,4},KHP!T310,KHP!X310,KHP!AB310,KHP!AF310))=12)*(CHOOSE({1,2,3,4},KHP!W310,KHP!AA310,KHP!AE310,KHP!AI310)))</f>
        <v>0</v>
      </c>
    </row>
    <row r="311" spans="1:12">
      <c r="A311">
        <f>SUMPRODUCT((MONTH(CHOOSE({1,2,3,4},KHP!T311,KHP!X311,KHP!AB311,KHP!AF311))=1)*(CHOOSE({1,2,3,4},KHP!W311,KHP!AA311,KHP!AE311,KHP!AI311)))</f>
        <v>0</v>
      </c>
      <c r="B311">
        <f>SUMPRODUCT((MONTH(CHOOSE({1,2,3,4},KHP!T311,KHP!X311,KHP!AB311,KHP!AF311))=2)*(CHOOSE({1,2,3,4},KHP!W311,KHP!AA311,KHP!AE311,KHP!AI311)))</f>
        <v>0</v>
      </c>
      <c r="C311">
        <f>SUMPRODUCT((MONTH(CHOOSE({1,2,3,4},KHP!T311,KHP!X311,KHP!AB311,KHP!AF311))=3)*(CHOOSE({1,2,3,4},KHP!W311,KHP!AA311,KHP!AE311,KHP!AI311)))</f>
        <v>0</v>
      </c>
      <c r="D311">
        <f>SUMPRODUCT((MONTH(CHOOSE({1,2,3,4},KHP!T311,KHP!X311,KHP!AB311,KHP!AF311))=4)*(CHOOSE({1,2,3,4},KHP!W311,KHP!AA311,KHP!AE311,KHP!AI311)))</f>
        <v>0</v>
      </c>
      <c r="E311">
        <f>SUMPRODUCT((MONTH(CHOOSE({1,2,3,4},KHP!T311,KHP!X311,KHP!AB311,KHP!AF311))=5)*(CHOOSE({1,2,3,4},KHP!W311,KHP!AA311,KHP!AE311,KHP!AI311)))</f>
        <v>0</v>
      </c>
      <c r="F311">
        <f>SUMPRODUCT((MONTH(CHOOSE({1,2,3,4},KHP!T311,KHP!X311,KHP!AB311,KHP!AF311))=6)*(CHOOSE({1,2,3,4},KHP!W311,KHP!AA311,KHP!AE311,KHP!AI311)))</f>
        <v>0</v>
      </c>
      <c r="G311">
        <f>SUMPRODUCT((MONTH(CHOOSE({1,2,3,4},KHP!T311,KHP!X311,KHP!AB311,KHP!AF311))=7)*(CHOOSE({1,2,3,4},KHP!W311,KHP!AA311,KHP!AE311,KHP!AI311)))</f>
        <v>0</v>
      </c>
      <c r="H311">
        <f>SUMPRODUCT((MONTH(CHOOSE({1,2,3,4},KHP!T311,KHP!X311,KHP!AB311,KHP!AF311))=8)*(CHOOSE({1,2,3,4},KHP!W311,KHP!AA311,KHP!AE311,KHP!AI311)))</f>
        <v>0</v>
      </c>
      <c r="I311">
        <f>SUMPRODUCT((MONTH(CHOOSE({1,2,3,4},KHP!T311,KHP!X311,KHP!AB311,KHP!AF311))=9)*(CHOOSE({1,2,3,4},KHP!W311,KHP!AA311,KHP!AE311,KHP!AI311)))</f>
        <v>0</v>
      </c>
      <c r="J311">
        <f>SUMPRODUCT((MONTH(CHOOSE({1,2,3,4},KHP!T311,KHP!X311,KHP!AB311,KHP!AF311))=10)*(CHOOSE({1,2,3,4},KHP!W311,KHP!AA311,KHP!AE311,KHP!AI311)))</f>
        <v>0</v>
      </c>
      <c r="K311">
        <f>SUMPRODUCT((MONTH(CHOOSE({1,2,3,4},KHP!T311,KHP!X311,KHP!AB311,KHP!AF311))=11)*(CHOOSE({1,2,3,4},KHP!W311,KHP!AA311,KHP!AE311,KHP!AI311)))</f>
        <v>0</v>
      </c>
      <c r="L311">
        <f>SUMPRODUCT((MONTH(CHOOSE({1,2,3,4},KHP!T311,KHP!X311,KHP!AB311,KHP!AF311))=12)*(CHOOSE({1,2,3,4},KHP!W311,KHP!AA311,KHP!AE311,KHP!AI311)))</f>
        <v>0</v>
      </c>
    </row>
    <row r="312" spans="1:12">
      <c r="A312">
        <f>SUMPRODUCT((MONTH(CHOOSE({1,2,3,4},KHP!T312,KHP!X312,KHP!AB312,KHP!AF312))=1)*(CHOOSE({1,2,3,4},KHP!W312,KHP!AA312,KHP!AE312,KHP!AI312)))</f>
        <v>0</v>
      </c>
      <c r="B312">
        <f>SUMPRODUCT((MONTH(CHOOSE({1,2,3,4},KHP!T312,KHP!X312,KHP!AB312,KHP!AF312))=2)*(CHOOSE({1,2,3,4},KHP!W312,KHP!AA312,KHP!AE312,KHP!AI312)))</f>
        <v>0</v>
      </c>
      <c r="C312">
        <f>SUMPRODUCT((MONTH(CHOOSE({1,2,3,4},KHP!T312,KHP!X312,KHP!AB312,KHP!AF312))=3)*(CHOOSE({1,2,3,4},KHP!W312,KHP!AA312,KHP!AE312,KHP!AI312)))</f>
        <v>0</v>
      </c>
      <c r="D312">
        <f>SUMPRODUCT((MONTH(CHOOSE({1,2,3,4},KHP!T312,KHP!X312,KHP!AB312,KHP!AF312))=4)*(CHOOSE({1,2,3,4},KHP!W312,KHP!AA312,KHP!AE312,KHP!AI312)))</f>
        <v>0</v>
      </c>
      <c r="E312">
        <f>SUMPRODUCT((MONTH(CHOOSE({1,2,3,4},KHP!T312,KHP!X312,KHP!AB312,KHP!AF312))=5)*(CHOOSE({1,2,3,4},KHP!W312,KHP!AA312,KHP!AE312,KHP!AI312)))</f>
        <v>0</v>
      </c>
      <c r="F312">
        <f>SUMPRODUCT((MONTH(CHOOSE({1,2,3,4},KHP!T312,KHP!X312,KHP!AB312,KHP!AF312))=6)*(CHOOSE({1,2,3,4},KHP!W312,KHP!AA312,KHP!AE312,KHP!AI312)))</f>
        <v>0</v>
      </c>
      <c r="G312">
        <f>SUMPRODUCT((MONTH(CHOOSE({1,2,3,4},KHP!T312,KHP!X312,KHP!AB312,KHP!AF312))=7)*(CHOOSE({1,2,3,4},KHP!W312,KHP!AA312,KHP!AE312,KHP!AI312)))</f>
        <v>0</v>
      </c>
      <c r="H312">
        <f>SUMPRODUCT((MONTH(CHOOSE({1,2,3,4},KHP!T312,KHP!X312,KHP!AB312,KHP!AF312))=8)*(CHOOSE({1,2,3,4},KHP!W312,KHP!AA312,KHP!AE312,KHP!AI312)))</f>
        <v>0</v>
      </c>
      <c r="I312">
        <f>SUMPRODUCT((MONTH(CHOOSE({1,2,3,4},KHP!T312,KHP!X312,KHP!AB312,KHP!AF312))=9)*(CHOOSE({1,2,3,4},KHP!W312,KHP!AA312,KHP!AE312,KHP!AI312)))</f>
        <v>0</v>
      </c>
      <c r="J312">
        <f>SUMPRODUCT((MONTH(CHOOSE({1,2,3,4},KHP!T312,KHP!X312,KHP!AB312,KHP!AF312))=10)*(CHOOSE({1,2,3,4},KHP!W312,KHP!AA312,KHP!AE312,KHP!AI312)))</f>
        <v>0</v>
      </c>
      <c r="K312">
        <f>SUMPRODUCT((MONTH(CHOOSE({1,2,3,4},KHP!T312,KHP!X312,KHP!AB312,KHP!AF312))=11)*(CHOOSE({1,2,3,4},KHP!W312,KHP!AA312,KHP!AE312,KHP!AI312)))</f>
        <v>0</v>
      </c>
      <c r="L312">
        <f>SUMPRODUCT((MONTH(CHOOSE({1,2,3,4},KHP!T312,KHP!X312,KHP!AB312,KHP!AF312))=12)*(CHOOSE({1,2,3,4},KHP!W312,KHP!AA312,KHP!AE312,KHP!AI312)))</f>
        <v>0</v>
      </c>
    </row>
    <row r="313" spans="1:12">
      <c r="A313">
        <f>SUMPRODUCT((MONTH(CHOOSE({1,2,3,4},KHP!T313,KHP!X313,KHP!AB313,KHP!AF313))=1)*(CHOOSE({1,2,3,4},KHP!W313,KHP!AA313,KHP!AE313,KHP!AI313)))</f>
        <v>0</v>
      </c>
      <c r="B313">
        <f>SUMPRODUCT((MONTH(CHOOSE({1,2,3,4},KHP!T313,KHP!X313,KHP!AB313,KHP!AF313))=2)*(CHOOSE({1,2,3,4},KHP!W313,KHP!AA313,KHP!AE313,KHP!AI313)))</f>
        <v>0</v>
      </c>
      <c r="C313">
        <f>SUMPRODUCT((MONTH(CHOOSE({1,2,3,4},KHP!T313,KHP!X313,KHP!AB313,KHP!AF313))=3)*(CHOOSE({1,2,3,4},KHP!W313,KHP!AA313,KHP!AE313,KHP!AI313)))</f>
        <v>0</v>
      </c>
      <c r="D313">
        <f>SUMPRODUCT((MONTH(CHOOSE({1,2,3,4},KHP!T313,KHP!X313,KHP!AB313,KHP!AF313))=4)*(CHOOSE({1,2,3,4},KHP!W313,KHP!AA313,KHP!AE313,KHP!AI313)))</f>
        <v>0</v>
      </c>
      <c r="E313">
        <f>SUMPRODUCT((MONTH(CHOOSE({1,2,3,4},KHP!T313,KHP!X313,KHP!AB313,KHP!AF313))=5)*(CHOOSE({1,2,3,4},KHP!W313,KHP!AA313,KHP!AE313,KHP!AI313)))</f>
        <v>0</v>
      </c>
      <c r="F313">
        <f>SUMPRODUCT((MONTH(CHOOSE({1,2,3,4},KHP!T313,KHP!X313,KHP!AB313,KHP!AF313))=6)*(CHOOSE({1,2,3,4},KHP!W313,KHP!AA313,KHP!AE313,KHP!AI313)))</f>
        <v>0</v>
      </c>
      <c r="G313">
        <f>SUMPRODUCT((MONTH(CHOOSE({1,2,3,4},KHP!T313,KHP!X313,KHP!AB313,KHP!AF313))=7)*(CHOOSE({1,2,3,4},KHP!W313,KHP!AA313,KHP!AE313,KHP!AI313)))</f>
        <v>0</v>
      </c>
      <c r="H313">
        <f>SUMPRODUCT((MONTH(CHOOSE({1,2,3,4},KHP!T313,KHP!X313,KHP!AB313,KHP!AF313))=8)*(CHOOSE({1,2,3,4},KHP!W313,KHP!AA313,KHP!AE313,KHP!AI313)))</f>
        <v>0</v>
      </c>
      <c r="I313">
        <f>SUMPRODUCT((MONTH(CHOOSE({1,2,3,4},KHP!T313,KHP!X313,KHP!AB313,KHP!AF313))=9)*(CHOOSE({1,2,3,4},KHP!W313,KHP!AA313,KHP!AE313,KHP!AI313)))</f>
        <v>0</v>
      </c>
      <c r="J313">
        <f>SUMPRODUCT((MONTH(CHOOSE({1,2,3,4},KHP!T313,KHP!X313,KHP!AB313,KHP!AF313))=10)*(CHOOSE({1,2,3,4},KHP!W313,KHP!AA313,KHP!AE313,KHP!AI313)))</f>
        <v>0</v>
      </c>
      <c r="K313">
        <f>SUMPRODUCT((MONTH(CHOOSE({1,2,3,4},KHP!T313,KHP!X313,KHP!AB313,KHP!AF313))=11)*(CHOOSE({1,2,3,4},KHP!W313,KHP!AA313,KHP!AE313,KHP!AI313)))</f>
        <v>0</v>
      </c>
      <c r="L313">
        <f>SUMPRODUCT((MONTH(CHOOSE({1,2,3,4},KHP!T313,KHP!X313,KHP!AB313,KHP!AF313))=12)*(CHOOSE({1,2,3,4},KHP!W313,KHP!AA313,KHP!AE313,KHP!AI313)))</f>
        <v>0</v>
      </c>
    </row>
    <row r="314" spans="1:12">
      <c r="A314">
        <f>SUMPRODUCT((MONTH(CHOOSE({1,2,3,4},KHP!T314,KHP!X314,KHP!AB314,KHP!AF314))=1)*(CHOOSE({1,2,3,4},KHP!W314,KHP!AA314,KHP!AE314,KHP!AI314)))</f>
        <v>0</v>
      </c>
      <c r="B314">
        <f>SUMPRODUCT((MONTH(CHOOSE({1,2,3,4},KHP!T314,KHP!X314,KHP!AB314,KHP!AF314))=2)*(CHOOSE({1,2,3,4},KHP!W314,KHP!AA314,KHP!AE314,KHP!AI314)))</f>
        <v>0</v>
      </c>
      <c r="C314">
        <f>SUMPRODUCT((MONTH(CHOOSE({1,2,3,4},KHP!T314,KHP!X314,KHP!AB314,KHP!AF314))=3)*(CHOOSE({1,2,3,4},KHP!W314,KHP!AA314,KHP!AE314,KHP!AI314)))</f>
        <v>0</v>
      </c>
      <c r="D314">
        <f>SUMPRODUCT((MONTH(CHOOSE({1,2,3,4},KHP!T314,KHP!X314,KHP!AB314,KHP!AF314))=4)*(CHOOSE({1,2,3,4},KHP!W314,KHP!AA314,KHP!AE314,KHP!AI314)))</f>
        <v>0</v>
      </c>
      <c r="E314">
        <f>SUMPRODUCT((MONTH(CHOOSE({1,2,3,4},KHP!T314,KHP!X314,KHP!AB314,KHP!AF314))=5)*(CHOOSE({1,2,3,4},KHP!W314,KHP!AA314,KHP!AE314,KHP!AI314)))</f>
        <v>0</v>
      </c>
      <c r="F314">
        <f>SUMPRODUCT((MONTH(CHOOSE({1,2,3,4},KHP!T314,KHP!X314,KHP!AB314,KHP!AF314))=6)*(CHOOSE({1,2,3,4},KHP!W314,KHP!AA314,KHP!AE314,KHP!AI314)))</f>
        <v>0</v>
      </c>
      <c r="G314">
        <f>SUMPRODUCT((MONTH(CHOOSE({1,2,3,4},KHP!T314,KHP!X314,KHP!AB314,KHP!AF314))=7)*(CHOOSE({1,2,3,4},KHP!W314,KHP!AA314,KHP!AE314,KHP!AI314)))</f>
        <v>0</v>
      </c>
      <c r="H314">
        <f>SUMPRODUCT((MONTH(CHOOSE({1,2,3,4},KHP!T314,KHP!X314,KHP!AB314,KHP!AF314))=8)*(CHOOSE({1,2,3,4},KHP!W314,KHP!AA314,KHP!AE314,KHP!AI314)))</f>
        <v>0</v>
      </c>
      <c r="I314">
        <f>SUMPRODUCT((MONTH(CHOOSE({1,2,3,4},KHP!T314,KHP!X314,KHP!AB314,KHP!AF314))=9)*(CHOOSE({1,2,3,4},KHP!W314,KHP!AA314,KHP!AE314,KHP!AI314)))</f>
        <v>0</v>
      </c>
      <c r="J314">
        <f>SUMPRODUCT((MONTH(CHOOSE({1,2,3,4},KHP!T314,KHP!X314,KHP!AB314,KHP!AF314))=10)*(CHOOSE({1,2,3,4},KHP!W314,KHP!AA314,KHP!AE314,KHP!AI314)))</f>
        <v>0</v>
      </c>
      <c r="K314">
        <f>SUMPRODUCT((MONTH(CHOOSE({1,2,3,4},KHP!T314,KHP!X314,KHP!AB314,KHP!AF314))=11)*(CHOOSE({1,2,3,4},KHP!W314,KHP!AA314,KHP!AE314,KHP!AI314)))</f>
        <v>0</v>
      </c>
      <c r="L314">
        <f>SUMPRODUCT((MONTH(CHOOSE({1,2,3,4},KHP!T314,KHP!X314,KHP!AB314,KHP!AF314))=12)*(CHOOSE({1,2,3,4},KHP!W314,KHP!AA314,KHP!AE314,KHP!AI314)))</f>
        <v>0</v>
      </c>
    </row>
    <row r="315" spans="1:12">
      <c r="A315">
        <f>SUMPRODUCT((MONTH(CHOOSE({1,2,3,4},KHP!T315,KHP!X315,KHP!AB315,KHP!AF315))=1)*(CHOOSE({1,2,3,4},KHP!W315,KHP!AA315,KHP!AE315,KHP!AI315)))</f>
        <v>0</v>
      </c>
      <c r="B315">
        <f>SUMPRODUCT((MONTH(CHOOSE({1,2,3,4},KHP!T315,KHP!X315,KHP!AB315,KHP!AF315))=2)*(CHOOSE({1,2,3,4},KHP!W315,KHP!AA315,KHP!AE315,KHP!AI315)))</f>
        <v>0</v>
      </c>
      <c r="C315">
        <f>SUMPRODUCT((MONTH(CHOOSE({1,2,3,4},KHP!T315,KHP!X315,KHP!AB315,KHP!AF315))=3)*(CHOOSE({1,2,3,4},KHP!W315,KHP!AA315,KHP!AE315,KHP!AI315)))</f>
        <v>0</v>
      </c>
      <c r="D315">
        <f>SUMPRODUCT((MONTH(CHOOSE({1,2,3,4},KHP!T315,KHP!X315,KHP!AB315,KHP!AF315))=4)*(CHOOSE({1,2,3,4},KHP!W315,KHP!AA315,KHP!AE315,KHP!AI315)))</f>
        <v>0</v>
      </c>
      <c r="E315">
        <f>SUMPRODUCT((MONTH(CHOOSE({1,2,3,4},KHP!T315,KHP!X315,KHP!AB315,KHP!AF315))=5)*(CHOOSE({1,2,3,4},KHP!W315,KHP!AA315,KHP!AE315,KHP!AI315)))</f>
        <v>0</v>
      </c>
      <c r="F315">
        <f>SUMPRODUCT((MONTH(CHOOSE({1,2,3,4},KHP!T315,KHP!X315,KHP!AB315,KHP!AF315))=6)*(CHOOSE({1,2,3,4},KHP!W315,KHP!AA315,KHP!AE315,KHP!AI315)))</f>
        <v>0</v>
      </c>
      <c r="G315">
        <f>SUMPRODUCT((MONTH(CHOOSE({1,2,3,4},KHP!T315,KHP!X315,KHP!AB315,KHP!AF315))=7)*(CHOOSE({1,2,3,4},KHP!W315,KHP!AA315,KHP!AE315,KHP!AI315)))</f>
        <v>0</v>
      </c>
      <c r="H315">
        <f>SUMPRODUCT((MONTH(CHOOSE({1,2,3,4},KHP!T315,KHP!X315,KHP!AB315,KHP!AF315))=8)*(CHOOSE({1,2,3,4},KHP!W315,KHP!AA315,KHP!AE315,KHP!AI315)))</f>
        <v>0</v>
      </c>
      <c r="I315">
        <f>SUMPRODUCT((MONTH(CHOOSE({1,2,3,4},KHP!T315,KHP!X315,KHP!AB315,KHP!AF315))=9)*(CHOOSE({1,2,3,4},KHP!W315,KHP!AA315,KHP!AE315,KHP!AI315)))</f>
        <v>0</v>
      </c>
      <c r="J315">
        <f>SUMPRODUCT((MONTH(CHOOSE({1,2,3,4},KHP!T315,KHP!X315,KHP!AB315,KHP!AF315))=10)*(CHOOSE({1,2,3,4},KHP!W315,KHP!AA315,KHP!AE315,KHP!AI315)))</f>
        <v>0</v>
      </c>
      <c r="K315">
        <f>SUMPRODUCT((MONTH(CHOOSE({1,2,3,4},KHP!T315,KHP!X315,KHP!AB315,KHP!AF315))=11)*(CHOOSE({1,2,3,4},KHP!W315,KHP!AA315,KHP!AE315,KHP!AI315)))</f>
        <v>0</v>
      </c>
      <c r="L315">
        <f>SUMPRODUCT((MONTH(CHOOSE({1,2,3,4},KHP!T315,KHP!X315,KHP!AB315,KHP!AF315))=12)*(CHOOSE({1,2,3,4},KHP!W315,KHP!AA315,KHP!AE315,KHP!AI315)))</f>
        <v>0</v>
      </c>
    </row>
    <row r="316" spans="1:12">
      <c r="A316">
        <f>SUMPRODUCT((MONTH(CHOOSE({1,2,3,4},KHP!T316,KHP!X316,KHP!AB316,KHP!AF316))=1)*(CHOOSE({1,2,3,4},KHP!W316,KHP!AA316,KHP!AE316,KHP!AI316)))</f>
        <v>0</v>
      </c>
      <c r="B316">
        <f>SUMPRODUCT((MONTH(CHOOSE({1,2,3,4},KHP!T316,KHP!X316,KHP!AB316,KHP!AF316))=2)*(CHOOSE({1,2,3,4},KHP!W316,KHP!AA316,KHP!AE316,KHP!AI316)))</f>
        <v>0</v>
      </c>
      <c r="C316">
        <f>SUMPRODUCT((MONTH(CHOOSE({1,2,3,4},KHP!T316,KHP!X316,KHP!AB316,KHP!AF316))=3)*(CHOOSE({1,2,3,4},KHP!W316,KHP!AA316,KHP!AE316,KHP!AI316)))</f>
        <v>0</v>
      </c>
      <c r="D316">
        <f>SUMPRODUCT((MONTH(CHOOSE({1,2,3,4},KHP!T316,KHP!X316,KHP!AB316,KHP!AF316))=4)*(CHOOSE({1,2,3,4},KHP!W316,KHP!AA316,KHP!AE316,KHP!AI316)))</f>
        <v>0</v>
      </c>
      <c r="E316">
        <f>SUMPRODUCT((MONTH(CHOOSE({1,2,3,4},KHP!T316,KHP!X316,KHP!AB316,KHP!AF316))=5)*(CHOOSE({1,2,3,4},KHP!W316,KHP!AA316,KHP!AE316,KHP!AI316)))</f>
        <v>0</v>
      </c>
      <c r="F316">
        <f>SUMPRODUCT((MONTH(CHOOSE({1,2,3,4},KHP!T316,KHP!X316,KHP!AB316,KHP!AF316))=6)*(CHOOSE({1,2,3,4},KHP!W316,KHP!AA316,KHP!AE316,KHP!AI316)))</f>
        <v>0</v>
      </c>
      <c r="G316">
        <f>SUMPRODUCT((MONTH(CHOOSE({1,2,3,4},KHP!T316,KHP!X316,KHP!AB316,KHP!AF316))=7)*(CHOOSE({1,2,3,4},KHP!W316,KHP!AA316,KHP!AE316,KHP!AI316)))</f>
        <v>0</v>
      </c>
      <c r="H316">
        <f>SUMPRODUCT((MONTH(CHOOSE({1,2,3,4},KHP!T316,KHP!X316,KHP!AB316,KHP!AF316))=8)*(CHOOSE({1,2,3,4},KHP!W316,KHP!AA316,KHP!AE316,KHP!AI316)))</f>
        <v>0</v>
      </c>
      <c r="I316">
        <f>SUMPRODUCT((MONTH(CHOOSE({1,2,3,4},KHP!T316,KHP!X316,KHP!AB316,KHP!AF316))=9)*(CHOOSE({1,2,3,4},KHP!W316,KHP!AA316,KHP!AE316,KHP!AI316)))</f>
        <v>0</v>
      </c>
      <c r="J316">
        <f>SUMPRODUCT((MONTH(CHOOSE({1,2,3,4},KHP!T316,KHP!X316,KHP!AB316,KHP!AF316))=10)*(CHOOSE({1,2,3,4},KHP!W316,KHP!AA316,KHP!AE316,KHP!AI316)))</f>
        <v>0</v>
      </c>
      <c r="K316">
        <f>SUMPRODUCT((MONTH(CHOOSE({1,2,3,4},KHP!T316,KHP!X316,KHP!AB316,KHP!AF316))=11)*(CHOOSE({1,2,3,4},KHP!W316,KHP!AA316,KHP!AE316,KHP!AI316)))</f>
        <v>0</v>
      </c>
      <c r="L316">
        <f>SUMPRODUCT((MONTH(CHOOSE({1,2,3,4},KHP!T316,KHP!X316,KHP!AB316,KHP!AF316))=12)*(CHOOSE({1,2,3,4},KHP!W316,KHP!AA316,KHP!AE316,KHP!AI316)))</f>
        <v>0</v>
      </c>
    </row>
    <row r="317" spans="1:12">
      <c r="A317">
        <f>SUMPRODUCT((MONTH(CHOOSE({1,2,3,4},KHP!T317,KHP!X317,KHP!AB317,KHP!AF317))=1)*(CHOOSE({1,2,3,4},KHP!W317,KHP!AA317,KHP!AE317,KHP!AI317)))</f>
        <v>0</v>
      </c>
      <c r="B317">
        <f>SUMPRODUCT((MONTH(CHOOSE({1,2,3,4},KHP!T317,KHP!X317,KHP!AB317,KHP!AF317))=2)*(CHOOSE({1,2,3,4},KHP!W317,KHP!AA317,KHP!AE317,KHP!AI317)))</f>
        <v>0</v>
      </c>
      <c r="C317">
        <f>SUMPRODUCT((MONTH(CHOOSE({1,2,3,4},KHP!T317,KHP!X317,KHP!AB317,KHP!AF317))=3)*(CHOOSE({1,2,3,4},KHP!W317,KHP!AA317,KHP!AE317,KHP!AI317)))</f>
        <v>0</v>
      </c>
      <c r="D317">
        <f>SUMPRODUCT((MONTH(CHOOSE({1,2,3,4},KHP!T317,KHP!X317,KHP!AB317,KHP!AF317))=4)*(CHOOSE({1,2,3,4},KHP!W317,KHP!AA317,KHP!AE317,KHP!AI317)))</f>
        <v>0</v>
      </c>
      <c r="E317">
        <f>SUMPRODUCT((MONTH(CHOOSE({1,2,3,4},KHP!T317,KHP!X317,KHP!AB317,KHP!AF317))=5)*(CHOOSE({1,2,3,4},KHP!W317,KHP!AA317,KHP!AE317,KHP!AI317)))</f>
        <v>0</v>
      </c>
      <c r="F317">
        <f>SUMPRODUCT((MONTH(CHOOSE({1,2,3,4},KHP!T317,KHP!X317,KHP!AB317,KHP!AF317))=6)*(CHOOSE({1,2,3,4},KHP!W317,KHP!AA317,KHP!AE317,KHP!AI317)))</f>
        <v>0</v>
      </c>
      <c r="G317">
        <f>SUMPRODUCT((MONTH(CHOOSE({1,2,3,4},KHP!T317,KHP!X317,KHP!AB317,KHP!AF317))=7)*(CHOOSE({1,2,3,4},KHP!W317,KHP!AA317,KHP!AE317,KHP!AI317)))</f>
        <v>0</v>
      </c>
      <c r="H317">
        <f>SUMPRODUCT((MONTH(CHOOSE({1,2,3,4},KHP!T317,KHP!X317,KHP!AB317,KHP!AF317))=8)*(CHOOSE({1,2,3,4},KHP!W317,KHP!AA317,KHP!AE317,KHP!AI317)))</f>
        <v>0</v>
      </c>
      <c r="I317">
        <f>SUMPRODUCT((MONTH(CHOOSE({1,2,3,4},KHP!T317,KHP!X317,KHP!AB317,KHP!AF317))=9)*(CHOOSE({1,2,3,4},KHP!W317,KHP!AA317,KHP!AE317,KHP!AI317)))</f>
        <v>0</v>
      </c>
      <c r="J317">
        <f>SUMPRODUCT((MONTH(CHOOSE({1,2,3,4},KHP!T317,KHP!X317,KHP!AB317,KHP!AF317))=10)*(CHOOSE({1,2,3,4},KHP!W317,KHP!AA317,KHP!AE317,KHP!AI317)))</f>
        <v>0</v>
      </c>
      <c r="K317">
        <f>SUMPRODUCT((MONTH(CHOOSE({1,2,3,4},KHP!T317,KHP!X317,KHP!AB317,KHP!AF317))=11)*(CHOOSE({1,2,3,4},KHP!W317,KHP!AA317,KHP!AE317,KHP!AI317)))</f>
        <v>0</v>
      </c>
      <c r="L317">
        <f>SUMPRODUCT((MONTH(CHOOSE({1,2,3,4},KHP!T317,KHP!X317,KHP!AB317,KHP!AF317))=12)*(CHOOSE({1,2,3,4},KHP!W317,KHP!AA317,KHP!AE317,KHP!AI317)))</f>
        <v>0</v>
      </c>
    </row>
    <row r="318" spans="1:12">
      <c r="A318">
        <f>SUMPRODUCT((MONTH(CHOOSE({1,2,3,4},KHP!T318,KHP!X318,KHP!AB318,KHP!AF318))=1)*(CHOOSE({1,2,3,4},KHP!W318,KHP!AA318,KHP!AE318,KHP!AI318)))</f>
        <v>0</v>
      </c>
      <c r="B318">
        <f>SUMPRODUCT((MONTH(CHOOSE({1,2,3,4},KHP!T318,KHP!X318,KHP!AB318,KHP!AF318))=2)*(CHOOSE({1,2,3,4},KHP!W318,KHP!AA318,KHP!AE318,KHP!AI318)))</f>
        <v>0</v>
      </c>
      <c r="C318">
        <f>SUMPRODUCT((MONTH(CHOOSE({1,2,3,4},KHP!T318,KHP!X318,KHP!AB318,KHP!AF318))=3)*(CHOOSE({1,2,3,4},KHP!W318,KHP!AA318,KHP!AE318,KHP!AI318)))</f>
        <v>0</v>
      </c>
      <c r="D318">
        <f>SUMPRODUCT((MONTH(CHOOSE({1,2,3,4},KHP!T318,KHP!X318,KHP!AB318,KHP!AF318))=4)*(CHOOSE({1,2,3,4},KHP!W318,KHP!AA318,KHP!AE318,KHP!AI318)))</f>
        <v>0</v>
      </c>
      <c r="E318">
        <f>SUMPRODUCT((MONTH(CHOOSE({1,2,3,4},KHP!T318,KHP!X318,KHP!AB318,KHP!AF318))=5)*(CHOOSE({1,2,3,4},KHP!W318,KHP!AA318,KHP!AE318,KHP!AI318)))</f>
        <v>0</v>
      </c>
      <c r="F318">
        <f>SUMPRODUCT((MONTH(CHOOSE({1,2,3,4},KHP!T318,KHP!X318,KHP!AB318,KHP!AF318))=6)*(CHOOSE({1,2,3,4},KHP!W318,KHP!AA318,KHP!AE318,KHP!AI318)))</f>
        <v>0</v>
      </c>
      <c r="G318">
        <f>SUMPRODUCT((MONTH(CHOOSE({1,2,3,4},KHP!T318,KHP!X318,KHP!AB318,KHP!AF318))=7)*(CHOOSE({1,2,3,4},KHP!W318,KHP!AA318,KHP!AE318,KHP!AI318)))</f>
        <v>0</v>
      </c>
      <c r="H318">
        <f>SUMPRODUCT((MONTH(CHOOSE({1,2,3,4},KHP!T318,KHP!X318,KHP!AB318,KHP!AF318))=8)*(CHOOSE({1,2,3,4},KHP!W318,KHP!AA318,KHP!AE318,KHP!AI318)))</f>
        <v>0</v>
      </c>
      <c r="I318">
        <f>SUMPRODUCT((MONTH(CHOOSE({1,2,3,4},KHP!T318,KHP!X318,KHP!AB318,KHP!AF318))=9)*(CHOOSE({1,2,3,4},KHP!W318,KHP!AA318,KHP!AE318,KHP!AI318)))</f>
        <v>0</v>
      </c>
      <c r="J318">
        <f>SUMPRODUCT((MONTH(CHOOSE({1,2,3,4},KHP!T318,KHP!X318,KHP!AB318,KHP!AF318))=10)*(CHOOSE({1,2,3,4},KHP!W318,KHP!AA318,KHP!AE318,KHP!AI318)))</f>
        <v>0</v>
      </c>
      <c r="K318">
        <f>SUMPRODUCT((MONTH(CHOOSE({1,2,3,4},KHP!T318,KHP!X318,KHP!AB318,KHP!AF318))=11)*(CHOOSE({1,2,3,4},KHP!W318,KHP!AA318,KHP!AE318,KHP!AI318)))</f>
        <v>0</v>
      </c>
      <c r="L318">
        <f>SUMPRODUCT((MONTH(CHOOSE({1,2,3,4},KHP!T318,KHP!X318,KHP!AB318,KHP!AF318))=12)*(CHOOSE({1,2,3,4},KHP!W318,KHP!AA318,KHP!AE318,KHP!AI318)))</f>
        <v>0</v>
      </c>
    </row>
    <row r="319" spans="1:12">
      <c r="A319">
        <f>SUMPRODUCT((MONTH(CHOOSE({1,2,3,4},KHP!T319,KHP!X319,KHP!AB319,KHP!AF319))=1)*(CHOOSE({1,2,3,4},KHP!W319,KHP!AA319,KHP!AE319,KHP!AI319)))</f>
        <v>0</v>
      </c>
      <c r="B319">
        <f>SUMPRODUCT((MONTH(CHOOSE({1,2,3,4},KHP!T319,KHP!X319,KHP!AB319,KHP!AF319))=2)*(CHOOSE({1,2,3,4},KHP!W319,KHP!AA319,KHP!AE319,KHP!AI319)))</f>
        <v>0</v>
      </c>
      <c r="C319">
        <f>SUMPRODUCT((MONTH(CHOOSE({1,2,3,4},KHP!T319,KHP!X319,KHP!AB319,KHP!AF319))=3)*(CHOOSE({1,2,3,4},KHP!W319,KHP!AA319,KHP!AE319,KHP!AI319)))</f>
        <v>0</v>
      </c>
      <c r="D319">
        <f>SUMPRODUCT((MONTH(CHOOSE({1,2,3,4},KHP!T319,KHP!X319,KHP!AB319,KHP!AF319))=4)*(CHOOSE({1,2,3,4},KHP!W319,KHP!AA319,KHP!AE319,KHP!AI319)))</f>
        <v>0</v>
      </c>
      <c r="E319">
        <f>SUMPRODUCT((MONTH(CHOOSE({1,2,3,4},KHP!T319,KHP!X319,KHP!AB319,KHP!AF319))=5)*(CHOOSE({1,2,3,4},KHP!W319,KHP!AA319,KHP!AE319,KHP!AI319)))</f>
        <v>0</v>
      </c>
      <c r="F319">
        <f>SUMPRODUCT((MONTH(CHOOSE({1,2,3,4},KHP!T319,KHP!X319,KHP!AB319,KHP!AF319))=6)*(CHOOSE({1,2,3,4},KHP!W319,KHP!AA319,KHP!AE319,KHP!AI319)))</f>
        <v>0</v>
      </c>
      <c r="G319">
        <f>SUMPRODUCT((MONTH(CHOOSE({1,2,3,4},KHP!T319,KHP!X319,KHP!AB319,KHP!AF319))=7)*(CHOOSE({1,2,3,4},KHP!W319,KHP!AA319,KHP!AE319,KHP!AI319)))</f>
        <v>0</v>
      </c>
      <c r="H319">
        <f>SUMPRODUCT((MONTH(CHOOSE({1,2,3,4},KHP!T319,KHP!X319,KHP!AB319,KHP!AF319))=8)*(CHOOSE({1,2,3,4},KHP!W319,KHP!AA319,KHP!AE319,KHP!AI319)))</f>
        <v>0</v>
      </c>
      <c r="I319">
        <f>SUMPRODUCT((MONTH(CHOOSE({1,2,3,4},KHP!T319,KHP!X319,KHP!AB319,KHP!AF319))=9)*(CHOOSE({1,2,3,4},KHP!W319,KHP!AA319,KHP!AE319,KHP!AI319)))</f>
        <v>0</v>
      </c>
      <c r="J319">
        <f>SUMPRODUCT((MONTH(CHOOSE({1,2,3,4},KHP!T319,KHP!X319,KHP!AB319,KHP!AF319))=10)*(CHOOSE({1,2,3,4},KHP!W319,KHP!AA319,KHP!AE319,KHP!AI319)))</f>
        <v>0</v>
      </c>
      <c r="K319">
        <f>SUMPRODUCT((MONTH(CHOOSE({1,2,3,4},KHP!T319,KHP!X319,KHP!AB319,KHP!AF319))=11)*(CHOOSE({1,2,3,4},KHP!W319,KHP!AA319,KHP!AE319,KHP!AI319)))</f>
        <v>0</v>
      </c>
      <c r="L319">
        <f>SUMPRODUCT((MONTH(CHOOSE({1,2,3,4},KHP!T319,KHP!X319,KHP!AB319,KHP!AF319))=12)*(CHOOSE({1,2,3,4},KHP!W319,KHP!AA319,KHP!AE319,KHP!AI319)))</f>
        <v>0</v>
      </c>
    </row>
    <row r="320" spans="1:12">
      <c r="A320">
        <f>SUMPRODUCT((MONTH(CHOOSE({1,2,3,4},KHP!T320,KHP!X320,KHP!AB320,KHP!AF320))=1)*(CHOOSE({1,2,3,4},KHP!W320,KHP!AA320,KHP!AE320,KHP!AI320)))</f>
        <v>0</v>
      </c>
      <c r="B320">
        <f>SUMPRODUCT((MONTH(CHOOSE({1,2,3,4},KHP!T320,KHP!X320,KHP!AB320,KHP!AF320))=2)*(CHOOSE({1,2,3,4},KHP!W320,KHP!AA320,KHP!AE320,KHP!AI320)))</f>
        <v>0</v>
      </c>
      <c r="C320">
        <f>SUMPRODUCT((MONTH(CHOOSE({1,2,3,4},KHP!T320,KHP!X320,KHP!AB320,KHP!AF320))=3)*(CHOOSE({1,2,3,4},KHP!W320,KHP!AA320,KHP!AE320,KHP!AI320)))</f>
        <v>0</v>
      </c>
      <c r="D320">
        <f>SUMPRODUCT((MONTH(CHOOSE({1,2,3,4},KHP!T320,KHP!X320,KHP!AB320,KHP!AF320))=4)*(CHOOSE({1,2,3,4},KHP!W320,KHP!AA320,KHP!AE320,KHP!AI320)))</f>
        <v>0</v>
      </c>
      <c r="E320">
        <f>SUMPRODUCT((MONTH(CHOOSE({1,2,3,4},KHP!T320,KHP!X320,KHP!AB320,KHP!AF320))=5)*(CHOOSE({1,2,3,4},KHP!W320,KHP!AA320,KHP!AE320,KHP!AI320)))</f>
        <v>0</v>
      </c>
      <c r="F320">
        <f>SUMPRODUCT((MONTH(CHOOSE({1,2,3,4},KHP!T320,KHP!X320,KHP!AB320,KHP!AF320))=6)*(CHOOSE({1,2,3,4},KHP!W320,KHP!AA320,KHP!AE320,KHP!AI320)))</f>
        <v>0</v>
      </c>
      <c r="G320">
        <f>SUMPRODUCT((MONTH(CHOOSE({1,2,3,4},KHP!T320,KHP!X320,KHP!AB320,KHP!AF320))=7)*(CHOOSE({1,2,3,4},KHP!W320,KHP!AA320,KHP!AE320,KHP!AI320)))</f>
        <v>0</v>
      </c>
      <c r="H320">
        <f>SUMPRODUCT((MONTH(CHOOSE({1,2,3,4},KHP!T320,KHP!X320,KHP!AB320,KHP!AF320))=8)*(CHOOSE({1,2,3,4},KHP!W320,KHP!AA320,KHP!AE320,KHP!AI320)))</f>
        <v>0</v>
      </c>
      <c r="I320">
        <f>SUMPRODUCT((MONTH(CHOOSE({1,2,3,4},KHP!T320,KHP!X320,KHP!AB320,KHP!AF320))=9)*(CHOOSE({1,2,3,4},KHP!W320,KHP!AA320,KHP!AE320,KHP!AI320)))</f>
        <v>0</v>
      </c>
      <c r="J320">
        <f>SUMPRODUCT((MONTH(CHOOSE({1,2,3,4},KHP!T320,KHP!X320,KHP!AB320,KHP!AF320))=10)*(CHOOSE({1,2,3,4},KHP!W320,KHP!AA320,KHP!AE320,KHP!AI320)))</f>
        <v>0</v>
      </c>
      <c r="K320">
        <f>SUMPRODUCT((MONTH(CHOOSE({1,2,3,4},KHP!T320,KHP!X320,KHP!AB320,KHP!AF320))=11)*(CHOOSE({1,2,3,4},KHP!W320,KHP!AA320,KHP!AE320,KHP!AI320)))</f>
        <v>0</v>
      </c>
      <c r="L320">
        <f>SUMPRODUCT((MONTH(CHOOSE({1,2,3,4},KHP!T320,KHP!X320,KHP!AB320,KHP!AF320))=12)*(CHOOSE({1,2,3,4},KHP!W320,KHP!AA320,KHP!AE320,KHP!AI320)))</f>
        <v>0</v>
      </c>
    </row>
    <row r="321" spans="1:12">
      <c r="A321">
        <f>SUMPRODUCT((MONTH(CHOOSE({1,2,3,4},KHP!T321,KHP!X321,KHP!AB321,KHP!AF321))=1)*(CHOOSE({1,2,3,4},KHP!W321,KHP!AA321,KHP!AE321,KHP!AI321)))</f>
        <v>0</v>
      </c>
      <c r="B321">
        <f>SUMPRODUCT((MONTH(CHOOSE({1,2,3,4},KHP!T321,KHP!X321,KHP!AB321,KHP!AF321))=2)*(CHOOSE({1,2,3,4},KHP!W321,KHP!AA321,KHP!AE321,KHP!AI321)))</f>
        <v>0</v>
      </c>
      <c r="C321">
        <f>SUMPRODUCT((MONTH(CHOOSE({1,2,3,4},KHP!T321,KHP!X321,KHP!AB321,KHP!AF321))=3)*(CHOOSE({1,2,3,4},KHP!W321,KHP!AA321,KHP!AE321,KHP!AI321)))</f>
        <v>0</v>
      </c>
      <c r="D321">
        <f>SUMPRODUCT((MONTH(CHOOSE({1,2,3,4},KHP!T321,KHP!X321,KHP!AB321,KHP!AF321))=4)*(CHOOSE({1,2,3,4},KHP!W321,KHP!AA321,KHP!AE321,KHP!AI321)))</f>
        <v>0</v>
      </c>
      <c r="E321">
        <f>SUMPRODUCT((MONTH(CHOOSE({1,2,3,4},KHP!T321,KHP!X321,KHP!AB321,KHP!AF321))=5)*(CHOOSE({1,2,3,4},KHP!W321,KHP!AA321,KHP!AE321,KHP!AI321)))</f>
        <v>0</v>
      </c>
      <c r="F321">
        <f>SUMPRODUCT((MONTH(CHOOSE({1,2,3,4},KHP!T321,KHP!X321,KHP!AB321,KHP!AF321))=6)*(CHOOSE({1,2,3,4},KHP!W321,KHP!AA321,KHP!AE321,KHP!AI321)))</f>
        <v>0</v>
      </c>
      <c r="G321">
        <f>SUMPRODUCT((MONTH(CHOOSE({1,2,3,4},KHP!T321,KHP!X321,KHP!AB321,KHP!AF321))=7)*(CHOOSE({1,2,3,4},KHP!W321,KHP!AA321,KHP!AE321,KHP!AI321)))</f>
        <v>0</v>
      </c>
      <c r="H321">
        <f>SUMPRODUCT((MONTH(CHOOSE({1,2,3,4},KHP!T321,KHP!X321,KHP!AB321,KHP!AF321))=8)*(CHOOSE({1,2,3,4},KHP!W321,KHP!AA321,KHP!AE321,KHP!AI321)))</f>
        <v>0</v>
      </c>
      <c r="I321">
        <f>SUMPRODUCT((MONTH(CHOOSE({1,2,3,4},KHP!T321,KHP!X321,KHP!AB321,KHP!AF321))=9)*(CHOOSE({1,2,3,4},KHP!W321,KHP!AA321,KHP!AE321,KHP!AI321)))</f>
        <v>0</v>
      </c>
      <c r="J321">
        <f>SUMPRODUCT((MONTH(CHOOSE({1,2,3,4},KHP!T321,KHP!X321,KHP!AB321,KHP!AF321))=10)*(CHOOSE({1,2,3,4},KHP!W321,KHP!AA321,KHP!AE321,KHP!AI321)))</f>
        <v>0</v>
      </c>
      <c r="K321">
        <f>SUMPRODUCT((MONTH(CHOOSE({1,2,3,4},KHP!T321,KHP!X321,KHP!AB321,KHP!AF321))=11)*(CHOOSE({1,2,3,4},KHP!W321,KHP!AA321,KHP!AE321,KHP!AI321)))</f>
        <v>0</v>
      </c>
      <c r="L321">
        <f>SUMPRODUCT((MONTH(CHOOSE({1,2,3,4},KHP!T321,KHP!X321,KHP!AB321,KHP!AF321))=12)*(CHOOSE({1,2,3,4},KHP!W321,KHP!AA321,KHP!AE321,KHP!AI321)))</f>
        <v>0</v>
      </c>
    </row>
    <row r="322" spans="1:12">
      <c r="A322">
        <f>SUMPRODUCT((MONTH(CHOOSE({1,2,3,4},KHP!T322,KHP!X322,KHP!AB322,KHP!AF322))=1)*(CHOOSE({1,2,3,4},KHP!W322,KHP!AA322,KHP!AE322,KHP!AI322)))</f>
        <v>0</v>
      </c>
      <c r="B322">
        <f>SUMPRODUCT((MONTH(CHOOSE({1,2,3,4},KHP!T322,KHP!X322,KHP!AB322,KHP!AF322))=2)*(CHOOSE({1,2,3,4},KHP!W322,KHP!AA322,KHP!AE322,KHP!AI322)))</f>
        <v>0</v>
      </c>
      <c r="C322">
        <f>SUMPRODUCT((MONTH(CHOOSE({1,2,3,4},KHP!T322,KHP!X322,KHP!AB322,KHP!AF322))=3)*(CHOOSE({1,2,3,4},KHP!W322,KHP!AA322,KHP!AE322,KHP!AI322)))</f>
        <v>0</v>
      </c>
      <c r="D322">
        <f>SUMPRODUCT((MONTH(CHOOSE({1,2,3,4},KHP!T322,KHP!X322,KHP!AB322,KHP!AF322))=4)*(CHOOSE({1,2,3,4},KHP!W322,KHP!AA322,KHP!AE322,KHP!AI322)))</f>
        <v>0</v>
      </c>
      <c r="E322">
        <f>SUMPRODUCT((MONTH(CHOOSE({1,2,3,4},KHP!T322,KHP!X322,KHP!AB322,KHP!AF322))=5)*(CHOOSE({1,2,3,4},KHP!W322,KHP!AA322,KHP!AE322,KHP!AI322)))</f>
        <v>0</v>
      </c>
      <c r="F322">
        <f>SUMPRODUCT((MONTH(CHOOSE({1,2,3,4},KHP!T322,KHP!X322,KHP!AB322,KHP!AF322))=6)*(CHOOSE({1,2,3,4},KHP!W322,KHP!AA322,KHP!AE322,KHP!AI322)))</f>
        <v>0</v>
      </c>
      <c r="G322">
        <f>SUMPRODUCT((MONTH(CHOOSE({1,2,3,4},KHP!T322,KHP!X322,KHP!AB322,KHP!AF322))=7)*(CHOOSE({1,2,3,4},KHP!W322,KHP!AA322,KHP!AE322,KHP!AI322)))</f>
        <v>0</v>
      </c>
      <c r="H322">
        <f>SUMPRODUCT((MONTH(CHOOSE({1,2,3,4},KHP!T322,KHP!X322,KHP!AB322,KHP!AF322))=8)*(CHOOSE({1,2,3,4},KHP!W322,KHP!AA322,KHP!AE322,KHP!AI322)))</f>
        <v>0</v>
      </c>
      <c r="I322">
        <f>SUMPRODUCT((MONTH(CHOOSE({1,2,3,4},KHP!T322,KHP!X322,KHP!AB322,KHP!AF322))=9)*(CHOOSE({1,2,3,4},KHP!W322,KHP!AA322,KHP!AE322,KHP!AI322)))</f>
        <v>0</v>
      </c>
      <c r="J322">
        <f>SUMPRODUCT((MONTH(CHOOSE({1,2,3,4},KHP!T322,KHP!X322,KHP!AB322,KHP!AF322))=10)*(CHOOSE({1,2,3,4},KHP!W322,KHP!AA322,KHP!AE322,KHP!AI322)))</f>
        <v>0</v>
      </c>
      <c r="K322">
        <f>SUMPRODUCT((MONTH(CHOOSE({1,2,3,4},KHP!T322,KHP!X322,KHP!AB322,KHP!AF322))=11)*(CHOOSE({1,2,3,4},KHP!W322,KHP!AA322,KHP!AE322,KHP!AI322)))</f>
        <v>0</v>
      </c>
      <c r="L322">
        <f>SUMPRODUCT((MONTH(CHOOSE({1,2,3,4},KHP!T322,KHP!X322,KHP!AB322,KHP!AF322))=12)*(CHOOSE({1,2,3,4},KHP!W322,KHP!AA322,KHP!AE322,KHP!AI322)))</f>
        <v>0</v>
      </c>
    </row>
    <row r="323" spans="1:12">
      <c r="A323">
        <f>SUMPRODUCT((MONTH(CHOOSE({1,2,3,4},KHP!T323,KHP!X323,KHP!AB323,KHP!AF323))=1)*(CHOOSE({1,2,3,4},KHP!W323,KHP!AA323,KHP!AE323,KHP!AI323)))</f>
        <v>0</v>
      </c>
      <c r="B323">
        <f>SUMPRODUCT((MONTH(CHOOSE({1,2,3,4},KHP!T323,KHP!X323,KHP!AB323,KHP!AF323))=2)*(CHOOSE({1,2,3,4},KHP!W323,KHP!AA323,KHP!AE323,KHP!AI323)))</f>
        <v>0</v>
      </c>
      <c r="C323">
        <f>SUMPRODUCT((MONTH(CHOOSE({1,2,3,4},KHP!T323,KHP!X323,KHP!AB323,KHP!AF323))=3)*(CHOOSE({1,2,3,4},KHP!W323,KHP!AA323,KHP!AE323,KHP!AI323)))</f>
        <v>0</v>
      </c>
      <c r="D323">
        <f>SUMPRODUCT((MONTH(CHOOSE({1,2,3,4},KHP!T323,KHP!X323,KHP!AB323,KHP!AF323))=4)*(CHOOSE({1,2,3,4},KHP!W323,KHP!AA323,KHP!AE323,KHP!AI323)))</f>
        <v>0</v>
      </c>
      <c r="E323">
        <f>SUMPRODUCT((MONTH(CHOOSE({1,2,3,4},KHP!T323,KHP!X323,KHP!AB323,KHP!AF323))=5)*(CHOOSE({1,2,3,4},KHP!W323,KHP!AA323,KHP!AE323,KHP!AI323)))</f>
        <v>0</v>
      </c>
      <c r="F323">
        <f>SUMPRODUCT((MONTH(CHOOSE({1,2,3,4},KHP!T323,KHP!X323,KHP!AB323,KHP!AF323))=6)*(CHOOSE({1,2,3,4},KHP!W323,KHP!AA323,KHP!AE323,KHP!AI323)))</f>
        <v>0</v>
      </c>
      <c r="G323">
        <f>SUMPRODUCT((MONTH(CHOOSE({1,2,3,4},KHP!T323,KHP!X323,KHP!AB323,KHP!AF323))=7)*(CHOOSE({1,2,3,4},KHP!W323,KHP!AA323,KHP!AE323,KHP!AI323)))</f>
        <v>0</v>
      </c>
      <c r="H323">
        <f>SUMPRODUCT((MONTH(CHOOSE({1,2,3,4},KHP!T323,KHP!X323,KHP!AB323,KHP!AF323))=8)*(CHOOSE({1,2,3,4},KHP!W323,KHP!AA323,KHP!AE323,KHP!AI323)))</f>
        <v>0</v>
      </c>
      <c r="I323">
        <f>SUMPRODUCT((MONTH(CHOOSE({1,2,3,4},KHP!T323,KHP!X323,KHP!AB323,KHP!AF323))=9)*(CHOOSE({1,2,3,4},KHP!W323,KHP!AA323,KHP!AE323,KHP!AI323)))</f>
        <v>0</v>
      </c>
      <c r="J323">
        <f>SUMPRODUCT((MONTH(CHOOSE({1,2,3,4},KHP!T323,KHP!X323,KHP!AB323,KHP!AF323))=10)*(CHOOSE({1,2,3,4},KHP!W323,KHP!AA323,KHP!AE323,KHP!AI323)))</f>
        <v>0</v>
      </c>
      <c r="K323">
        <f>SUMPRODUCT((MONTH(CHOOSE({1,2,3,4},KHP!T323,KHP!X323,KHP!AB323,KHP!AF323))=11)*(CHOOSE({1,2,3,4},KHP!W323,KHP!AA323,KHP!AE323,KHP!AI323)))</f>
        <v>0</v>
      </c>
      <c r="L323">
        <f>SUMPRODUCT((MONTH(CHOOSE({1,2,3,4},KHP!T323,KHP!X323,KHP!AB323,KHP!AF323))=12)*(CHOOSE({1,2,3,4},KHP!W323,KHP!AA323,KHP!AE323,KHP!AI323)))</f>
        <v>0</v>
      </c>
    </row>
    <row r="324" spans="1:12">
      <c r="A324">
        <f>SUMPRODUCT((MONTH(CHOOSE({1,2,3,4},KHP!T324,KHP!X324,KHP!AB324,KHP!AF324))=1)*(CHOOSE({1,2,3,4},KHP!W324,KHP!AA324,KHP!AE324,KHP!AI324)))</f>
        <v>0</v>
      </c>
      <c r="B324">
        <f>SUMPRODUCT((MONTH(CHOOSE({1,2,3,4},KHP!T324,KHP!X324,KHP!AB324,KHP!AF324))=2)*(CHOOSE({1,2,3,4},KHP!W324,KHP!AA324,KHP!AE324,KHP!AI324)))</f>
        <v>0</v>
      </c>
      <c r="C324">
        <f>SUMPRODUCT((MONTH(CHOOSE({1,2,3,4},KHP!T324,KHP!X324,KHP!AB324,KHP!AF324))=3)*(CHOOSE({1,2,3,4},KHP!W324,KHP!AA324,KHP!AE324,KHP!AI324)))</f>
        <v>0</v>
      </c>
      <c r="D324">
        <f>SUMPRODUCT((MONTH(CHOOSE({1,2,3,4},KHP!T324,KHP!X324,KHP!AB324,KHP!AF324))=4)*(CHOOSE({1,2,3,4},KHP!W324,KHP!AA324,KHP!AE324,KHP!AI324)))</f>
        <v>0</v>
      </c>
      <c r="E324">
        <f>SUMPRODUCT((MONTH(CHOOSE({1,2,3,4},KHP!T324,KHP!X324,KHP!AB324,KHP!AF324))=5)*(CHOOSE({1,2,3,4},KHP!W324,KHP!AA324,KHP!AE324,KHP!AI324)))</f>
        <v>0</v>
      </c>
      <c r="F324">
        <f>SUMPRODUCT((MONTH(CHOOSE({1,2,3,4},KHP!T324,KHP!X324,KHP!AB324,KHP!AF324))=6)*(CHOOSE({1,2,3,4},KHP!W324,KHP!AA324,KHP!AE324,KHP!AI324)))</f>
        <v>0</v>
      </c>
      <c r="G324">
        <f>SUMPRODUCT((MONTH(CHOOSE({1,2,3,4},KHP!T324,KHP!X324,KHP!AB324,KHP!AF324))=7)*(CHOOSE({1,2,3,4},KHP!W324,KHP!AA324,KHP!AE324,KHP!AI324)))</f>
        <v>0</v>
      </c>
      <c r="H324">
        <f>SUMPRODUCT((MONTH(CHOOSE({1,2,3,4},KHP!T324,KHP!X324,KHP!AB324,KHP!AF324))=8)*(CHOOSE({1,2,3,4},KHP!W324,KHP!AA324,KHP!AE324,KHP!AI324)))</f>
        <v>0</v>
      </c>
      <c r="I324">
        <f>SUMPRODUCT((MONTH(CHOOSE({1,2,3,4},KHP!T324,KHP!X324,KHP!AB324,KHP!AF324))=9)*(CHOOSE({1,2,3,4},KHP!W324,KHP!AA324,KHP!AE324,KHP!AI324)))</f>
        <v>0</v>
      </c>
      <c r="J324">
        <f>SUMPRODUCT((MONTH(CHOOSE({1,2,3,4},KHP!T324,KHP!X324,KHP!AB324,KHP!AF324))=10)*(CHOOSE({1,2,3,4},KHP!W324,KHP!AA324,KHP!AE324,KHP!AI324)))</f>
        <v>0</v>
      </c>
      <c r="K324">
        <f>SUMPRODUCT((MONTH(CHOOSE({1,2,3,4},KHP!T324,KHP!X324,KHP!AB324,KHP!AF324))=11)*(CHOOSE({1,2,3,4},KHP!W324,KHP!AA324,KHP!AE324,KHP!AI324)))</f>
        <v>0</v>
      </c>
      <c r="L324">
        <f>SUMPRODUCT((MONTH(CHOOSE({1,2,3,4},KHP!T324,KHP!X324,KHP!AB324,KHP!AF324))=12)*(CHOOSE({1,2,3,4},KHP!W324,KHP!AA324,KHP!AE324,KHP!AI324)))</f>
        <v>0</v>
      </c>
    </row>
    <row r="325" spans="1:12">
      <c r="A325">
        <f>SUMPRODUCT((MONTH(CHOOSE({1,2,3,4},KHP!T325,KHP!X325,KHP!AB325,KHP!AF325))=1)*(CHOOSE({1,2,3,4},KHP!W325,KHP!AA325,KHP!AE325,KHP!AI325)))</f>
        <v>0</v>
      </c>
      <c r="B325">
        <f>SUMPRODUCT((MONTH(CHOOSE({1,2,3,4},KHP!T325,KHP!X325,KHP!AB325,KHP!AF325))=2)*(CHOOSE({1,2,3,4},KHP!W325,KHP!AA325,KHP!AE325,KHP!AI325)))</f>
        <v>0</v>
      </c>
      <c r="C325">
        <f>SUMPRODUCT((MONTH(CHOOSE({1,2,3,4},KHP!T325,KHP!X325,KHP!AB325,KHP!AF325))=3)*(CHOOSE({1,2,3,4},KHP!W325,KHP!AA325,KHP!AE325,KHP!AI325)))</f>
        <v>0</v>
      </c>
      <c r="D325">
        <f>SUMPRODUCT((MONTH(CHOOSE({1,2,3,4},KHP!T325,KHP!X325,KHP!AB325,KHP!AF325))=4)*(CHOOSE({1,2,3,4},KHP!W325,KHP!AA325,KHP!AE325,KHP!AI325)))</f>
        <v>0</v>
      </c>
      <c r="E325">
        <f>SUMPRODUCT((MONTH(CHOOSE({1,2,3,4},KHP!T325,KHP!X325,KHP!AB325,KHP!AF325))=5)*(CHOOSE({1,2,3,4},KHP!W325,KHP!AA325,KHP!AE325,KHP!AI325)))</f>
        <v>0</v>
      </c>
      <c r="F325">
        <f>SUMPRODUCT((MONTH(CHOOSE({1,2,3,4},KHP!T325,KHP!X325,KHP!AB325,KHP!AF325))=6)*(CHOOSE({1,2,3,4},KHP!W325,KHP!AA325,KHP!AE325,KHP!AI325)))</f>
        <v>0</v>
      </c>
      <c r="G325">
        <f>SUMPRODUCT((MONTH(CHOOSE({1,2,3,4},KHP!T325,KHP!X325,KHP!AB325,KHP!AF325))=7)*(CHOOSE({1,2,3,4},KHP!W325,KHP!AA325,KHP!AE325,KHP!AI325)))</f>
        <v>0</v>
      </c>
      <c r="H325">
        <f>SUMPRODUCT((MONTH(CHOOSE({1,2,3,4},KHP!T325,KHP!X325,KHP!AB325,KHP!AF325))=8)*(CHOOSE({1,2,3,4},KHP!W325,KHP!AA325,KHP!AE325,KHP!AI325)))</f>
        <v>0</v>
      </c>
      <c r="I325">
        <f>SUMPRODUCT((MONTH(CHOOSE({1,2,3,4},KHP!T325,KHP!X325,KHP!AB325,KHP!AF325))=9)*(CHOOSE({1,2,3,4},KHP!W325,KHP!AA325,KHP!AE325,KHP!AI325)))</f>
        <v>0</v>
      </c>
      <c r="J325">
        <f>SUMPRODUCT((MONTH(CHOOSE({1,2,3,4},KHP!T325,KHP!X325,KHP!AB325,KHP!AF325))=10)*(CHOOSE({1,2,3,4},KHP!W325,KHP!AA325,KHP!AE325,KHP!AI325)))</f>
        <v>0</v>
      </c>
      <c r="K325">
        <f>SUMPRODUCT((MONTH(CHOOSE({1,2,3,4},KHP!T325,KHP!X325,KHP!AB325,KHP!AF325))=11)*(CHOOSE({1,2,3,4},KHP!W325,KHP!AA325,KHP!AE325,KHP!AI325)))</f>
        <v>0</v>
      </c>
      <c r="L325">
        <f>SUMPRODUCT((MONTH(CHOOSE({1,2,3,4},KHP!T325,KHP!X325,KHP!AB325,KHP!AF325))=12)*(CHOOSE({1,2,3,4},KHP!W325,KHP!AA325,KHP!AE325,KHP!AI325)))</f>
        <v>0</v>
      </c>
    </row>
    <row r="326" spans="1:12">
      <c r="A326">
        <f>SUMPRODUCT((MONTH(CHOOSE({1,2,3,4},KHP!T326,KHP!X326,KHP!AB326,KHP!AF326))=1)*(CHOOSE({1,2,3,4},KHP!W326,KHP!AA326,KHP!AE326,KHP!AI326)))</f>
        <v>0</v>
      </c>
      <c r="B326">
        <f>SUMPRODUCT((MONTH(CHOOSE({1,2,3,4},KHP!T326,KHP!X326,KHP!AB326,KHP!AF326))=2)*(CHOOSE({1,2,3,4},KHP!W326,KHP!AA326,KHP!AE326,KHP!AI326)))</f>
        <v>0</v>
      </c>
      <c r="C326">
        <f>SUMPRODUCT((MONTH(CHOOSE({1,2,3,4},KHP!T326,KHP!X326,KHP!AB326,KHP!AF326))=3)*(CHOOSE({1,2,3,4},KHP!W326,KHP!AA326,KHP!AE326,KHP!AI326)))</f>
        <v>0</v>
      </c>
      <c r="D326">
        <f>SUMPRODUCT((MONTH(CHOOSE({1,2,3,4},KHP!T326,KHP!X326,KHP!AB326,KHP!AF326))=4)*(CHOOSE({1,2,3,4},KHP!W326,KHP!AA326,KHP!AE326,KHP!AI326)))</f>
        <v>0</v>
      </c>
      <c r="E326">
        <f>SUMPRODUCT((MONTH(CHOOSE({1,2,3,4},KHP!T326,KHP!X326,KHP!AB326,KHP!AF326))=5)*(CHOOSE({1,2,3,4},KHP!W326,KHP!AA326,KHP!AE326,KHP!AI326)))</f>
        <v>0</v>
      </c>
      <c r="F326">
        <f>SUMPRODUCT((MONTH(CHOOSE({1,2,3,4},KHP!T326,KHP!X326,KHP!AB326,KHP!AF326))=6)*(CHOOSE({1,2,3,4},KHP!W326,KHP!AA326,KHP!AE326,KHP!AI326)))</f>
        <v>0</v>
      </c>
      <c r="G326">
        <f>SUMPRODUCT((MONTH(CHOOSE({1,2,3,4},KHP!T326,KHP!X326,KHP!AB326,KHP!AF326))=7)*(CHOOSE({1,2,3,4},KHP!W326,KHP!AA326,KHP!AE326,KHP!AI326)))</f>
        <v>0</v>
      </c>
      <c r="H326">
        <f>SUMPRODUCT((MONTH(CHOOSE({1,2,3,4},KHP!T326,KHP!X326,KHP!AB326,KHP!AF326))=8)*(CHOOSE({1,2,3,4},KHP!W326,KHP!AA326,KHP!AE326,KHP!AI326)))</f>
        <v>0</v>
      </c>
      <c r="I326">
        <f>SUMPRODUCT((MONTH(CHOOSE({1,2,3,4},KHP!T326,KHP!X326,KHP!AB326,KHP!AF326))=9)*(CHOOSE({1,2,3,4},KHP!W326,KHP!AA326,KHP!AE326,KHP!AI326)))</f>
        <v>0</v>
      </c>
      <c r="J326">
        <f>SUMPRODUCT((MONTH(CHOOSE({1,2,3,4},KHP!T326,KHP!X326,KHP!AB326,KHP!AF326))=10)*(CHOOSE({1,2,3,4},KHP!W326,KHP!AA326,KHP!AE326,KHP!AI326)))</f>
        <v>0</v>
      </c>
      <c r="K326">
        <f>SUMPRODUCT((MONTH(CHOOSE({1,2,3,4},KHP!T326,KHP!X326,KHP!AB326,KHP!AF326))=11)*(CHOOSE({1,2,3,4},KHP!W326,KHP!AA326,KHP!AE326,KHP!AI326)))</f>
        <v>0</v>
      </c>
      <c r="L326">
        <f>SUMPRODUCT((MONTH(CHOOSE({1,2,3,4},KHP!T326,KHP!X326,KHP!AB326,KHP!AF326))=12)*(CHOOSE({1,2,3,4},KHP!W326,KHP!AA326,KHP!AE326,KHP!AI326)))</f>
        <v>0</v>
      </c>
    </row>
    <row r="327" spans="1:12">
      <c r="A327">
        <f>SUMPRODUCT((MONTH(CHOOSE({1,2,3,4},KHP!T327,KHP!X327,KHP!AB327,KHP!AF327))=1)*(CHOOSE({1,2,3,4},KHP!W327,KHP!AA327,KHP!AE327,KHP!AI327)))</f>
        <v>0</v>
      </c>
      <c r="B327">
        <f>SUMPRODUCT((MONTH(CHOOSE({1,2,3,4},KHP!T327,KHP!X327,KHP!AB327,KHP!AF327))=2)*(CHOOSE({1,2,3,4},KHP!W327,KHP!AA327,KHP!AE327,KHP!AI327)))</f>
        <v>0</v>
      </c>
      <c r="C327">
        <f>SUMPRODUCT((MONTH(CHOOSE({1,2,3,4},KHP!T327,KHP!X327,KHP!AB327,KHP!AF327))=3)*(CHOOSE({1,2,3,4},KHP!W327,KHP!AA327,KHP!AE327,KHP!AI327)))</f>
        <v>0</v>
      </c>
      <c r="D327">
        <f>SUMPRODUCT((MONTH(CHOOSE({1,2,3,4},KHP!T327,KHP!X327,KHP!AB327,KHP!AF327))=4)*(CHOOSE({1,2,3,4},KHP!W327,KHP!AA327,KHP!AE327,KHP!AI327)))</f>
        <v>0</v>
      </c>
      <c r="E327">
        <f>SUMPRODUCT((MONTH(CHOOSE({1,2,3,4},KHP!T327,KHP!X327,KHP!AB327,KHP!AF327))=5)*(CHOOSE({1,2,3,4},KHP!W327,KHP!AA327,KHP!AE327,KHP!AI327)))</f>
        <v>0</v>
      </c>
      <c r="F327">
        <f>SUMPRODUCT((MONTH(CHOOSE({1,2,3,4},KHP!T327,KHP!X327,KHP!AB327,KHP!AF327))=6)*(CHOOSE({1,2,3,4},KHP!W327,KHP!AA327,KHP!AE327,KHP!AI327)))</f>
        <v>0</v>
      </c>
      <c r="G327">
        <f>SUMPRODUCT((MONTH(CHOOSE({1,2,3,4},KHP!T327,KHP!X327,KHP!AB327,KHP!AF327))=7)*(CHOOSE({1,2,3,4},KHP!W327,KHP!AA327,KHP!AE327,KHP!AI327)))</f>
        <v>0</v>
      </c>
      <c r="H327">
        <f>SUMPRODUCT((MONTH(CHOOSE({1,2,3,4},KHP!T327,KHP!X327,KHP!AB327,KHP!AF327))=8)*(CHOOSE({1,2,3,4},KHP!W327,KHP!AA327,KHP!AE327,KHP!AI327)))</f>
        <v>0</v>
      </c>
      <c r="I327">
        <f>SUMPRODUCT((MONTH(CHOOSE({1,2,3,4},KHP!T327,KHP!X327,KHP!AB327,KHP!AF327))=9)*(CHOOSE({1,2,3,4},KHP!W327,KHP!AA327,KHP!AE327,KHP!AI327)))</f>
        <v>0</v>
      </c>
      <c r="J327">
        <f>SUMPRODUCT((MONTH(CHOOSE({1,2,3,4},KHP!T327,KHP!X327,KHP!AB327,KHP!AF327))=10)*(CHOOSE({1,2,3,4},KHP!W327,KHP!AA327,KHP!AE327,KHP!AI327)))</f>
        <v>0</v>
      </c>
      <c r="K327">
        <f>SUMPRODUCT((MONTH(CHOOSE({1,2,3,4},KHP!T327,KHP!X327,KHP!AB327,KHP!AF327))=11)*(CHOOSE({1,2,3,4},KHP!W327,KHP!AA327,KHP!AE327,KHP!AI327)))</f>
        <v>0</v>
      </c>
      <c r="L327">
        <f>SUMPRODUCT((MONTH(CHOOSE({1,2,3,4},KHP!T327,KHP!X327,KHP!AB327,KHP!AF327))=12)*(CHOOSE({1,2,3,4},KHP!W327,KHP!AA327,KHP!AE327,KHP!AI327)))</f>
        <v>0</v>
      </c>
    </row>
    <row r="328" spans="1:12">
      <c r="A328">
        <f>SUMPRODUCT((MONTH(CHOOSE({1,2,3,4},KHP!T328,KHP!X328,KHP!AB328,KHP!AF328))=1)*(CHOOSE({1,2,3,4},KHP!W328,KHP!AA328,KHP!AE328,KHP!AI328)))</f>
        <v>0</v>
      </c>
      <c r="B328">
        <f>SUMPRODUCT((MONTH(CHOOSE({1,2,3,4},KHP!T328,KHP!X328,KHP!AB328,KHP!AF328))=2)*(CHOOSE({1,2,3,4},KHP!W328,KHP!AA328,KHP!AE328,KHP!AI328)))</f>
        <v>0</v>
      </c>
      <c r="C328">
        <f>SUMPRODUCT((MONTH(CHOOSE({1,2,3,4},KHP!T328,KHP!X328,KHP!AB328,KHP!AF328))=3)*(CHOOSE({1,2,3,4},KHP!W328,KHP!AA328,KHP!AE328,KHP!AI328)))</f>
        <v>0</v>
      </c>
      <c r="D328">
        <f>SUMPRODUCT((MONTH(CHOOSE({1,2,3,4},KHP!T328,KHP!X328,KHP!AB328,KHP!AF328))=4)*(CHOOSE({1,2,3,4},KHP!W328,KHP!AA328,KHP!AE328,KHP!AI328)))</f>
        <v>0</v>
      </c>
      <c r="E328">
        <f>SUMPRODUCT((MONTH(CHOOSE({1,2,3,4},KHP!T328,KHP!X328,KHP!AB328,KHP!AF328))=5)*(CHOOSE({1,2,3,4},KHP!W328,KHP!AA328,KHP!AE328,KHP!AI328)))</f>
        <v>0</v>
      </c>
      <c r="F328">
        <f>SUMPRODUCT((MONTH(CHOOSE({1,2,3,4},KHP!T328,KHP!X328,KHP!AB328,KHP!AF328))=6)*(CHOOSE({1,2,3,4},KHP!W328,KHP!AA328,KHP!AE328,KHP!AI328)))</f>
        <v>0</v>
      </c>
      <c r="G328">
        <f>SUMPRODUCT((MONTH(CHOOSE({1,2,3,4},KHP!T328,KHP!X328,KHP!AB328,KHP!AF328))=7)*(CHOOSE({1,2,3,4},KHP!W328,KHP!AA328,KHP!AE328,KHP!AI328)))</f>
        <v>0</v>
      </c>
      <c r="H328">
        <f>SUMPRODUCT((MONTH(CHOOSE({1,2,3,4},KHP!T328,KHP!X328,KHP!AB328,KHP!AF328))=8)*(CHOOSE({1,2,3,4},KHP!W328,KHP!AA328,KHP!AE328,KHP!AI328)))</f>
        <v>0</v>
      </c>
      <c r="I328">
        <f>SUMPRODUCT((MONTH(CHOOSE({1,2,3,4},KHP!T328,KHP!X328,KHP!AB328,KHP!AF328))=9)*(CHOOSE({1,2,3,4},KHP!W328,KHP!AA328,KHP!AE328,KHP!AI328)))</f>
        <v>0</v>
      </c>
      <c r="J328">
        <f>SUMPRODUCT((MONTH(CHOOSE({1,2,3,4},KHP!T328,KHP!X328,KHP!AB328,KHP!AF328))=10)*(CHOOSE({1,2,3,4},KHP!W328,KHP!AA328,KHP!AE328,KHP!AI328)))</f>
        <v>0</v>
      </c>
      <c r="K328">
        <f>SUMPRODUCT((MONTH(CHOOSE({1,2,3,4},KHP!T328,KHP!X328,KHP!AB328,KHP!AF328))=11)*(CHOOSE({1,2,3,4},KHP!W328,KHP!AA328,KHP!AE328,KHP!AI328)))</f>
        <v>0</v>
      </c>
      <c r="L328">
        <f>SUMPRODUCT((MONTH(CHOOSE({1,2,3,4},KHP!T328,KHP!X328,KHP!AB328,KHP!AF328))=12)*(CHOOSE({1,2,3,4},KHP!W328,KHP!AA328,KHP!AE328,KHP!AI328)))</f>
        <v>0</v>
      </c>
    </row>
    <row r="329" spans="1:12">
      <c r="A329">
        <f>SUMPRODUCT((MONTH(CHOOSE({1,2,3,4},KHP!T329,KHP!X329,KHP!AB329,KHP!AF329))=1)*(CHOOSE({1,2,3,4},KHP!W329,KHP!AA329,KHP!AE329,KHP!AI329)))</f>
        <v>0</v>
      </c>
      <c r="B329">
        <f>SUMPRODUCT((MONTH(CHOOSE({1,2,3,4},KHP!T329,KHP!X329,KHP!AB329,KHP!AF329))=2)*(CHOOSE({1,2,3,4},KHP!W329,KHP!AA329,KHP!AE329,KHP!AI329)))</f>
        <v>0</v>
      </c>
      <c r="C329">
        <f>SUMPRODUCT((MONTH(CHOOSE({1,2,3,4},KHP!T329,KHP!X329,KHP!AB329,KHP!AF329))=3)*(CHOOSE({1,2,3,4},KHP!W329,KHP!AA329,KHP!AE329,KHP!AI329)))</f>
        <v>0</v>
      </c>
      <c r="D329">
        <f>SUMPRODUCT((MONTH(CHOOSE({1,2,3,4},KHP!T329,KHP!X329,KHP!AB329,KHP!AF329))=4)*(CHOOSE({1,2,3,4},KHP!W329,KHP!AA329,KHP!AE329,KHP!AI329)))</f>
        <v>0</v>
      </c>
      <c r="E329">
        <f>SUMPRODUCT((MONTH(CHOOSE({1,2,3,4},KHP!T329,KHP!X329,KHP!AB329,KHP!AF329))=5)*(CHOOSE({1,2,3,4},KHP!W329,KHP!AA329,KHP!AE329,KHP!AI329)))</f>
        <v>0</v>
      </c>
      <c r="F329">
        <f>SUMPRODUCT((MONTH(CHOOSE({1,2,3,4},KHP!T329,KHP!X329,KHP!AB329,KHP!AF329))=6)*(CHOOSE({1,2,3,4},KHP!W329,KHP!AA329,KHP!AE329,KHP!AI329)))</f>
        <v>0</v>
      </c>
      <c r="G329">
        <f>SUMPRODUCT((MONTH(CHOOSE({1,2,3,4},KHP!T329,KHP!X329,KHP!AB329,KHP!AF329))=7)*(CHOOSE({1,2,3,4},KHP!W329,KHP!AA329,KHP!AE329,KHP!AI329)))</f>
        <v>0</v>
      </c>
      <c r="H329">
        <f>SUMPRODUCT((MONTH(CHOOSE({1,2,3,4},KHP!T329,KHP!X329,KHP!AB329,KHP!AF329))=8)*(CHOOSE({1,2,3,4},KHP!W329,KHP!AA329,KHP!AE329,KHP!AI329)))</f>
        <v>0</v>
      </c>
      <c r="I329">
        <f>SUMPRODUCT((MONTH(CHOOSE({1,2,3,4},KHP!T329,KHP!X329,KHP!AB329,KHP!AF329))=9)*(CHOOSE({1,2,3,4},KHP!W329,KHP!AA329,KHP!AE329,KHP!AI329)))</f>
        <v>0</v>
      </c>
      <c r="J329">
        <f>SUMPRODUCT((MONTH(CHOOSE({1,2,3,4},KHP!T329,KHP!X329,KHP!AB329,KHP!AF329))=10)*(CHOOSE({1,2,3,4},KHP!W329,KHP!AA329,KHP!AE329,KHP!AI329)))</f>
        <v>0</v>
      </c>
      <c r="K329">
        <f>SUMPRODUCT((MONTH(CHOOSE({1,2,3,4},KHP!T329,KHP!X329,KHP!AB329,KHP!AF329))=11)*(CHOOSE({1,2,3,4},KHP!W329,KHP!AA329,KHP!AE329,KHP!AI329)))</f>
        <v>0</v>
      </c>
      <c r="L329">
        <f>SUMPRODUCT((MONTH(CHOOSE({1,2,3,4},KHP!T329,KHP!X329,KHP!AB329,KHP!AF329))=12)*(CHOOSE({1,2,3,4},KHP!W329,KHP!AA329,KHP!AE329,KHP!AI329)))</f>
        <v>0</v>
      </c>
    </row>
    <row r="330" spans="1:12">
      <c r="A330">
        <f>SUMPRODUCT((MONTH(CHOOSE({1,2,3,4},KHP!T330,KHP!X330,KHP!AB330,KHP!AF330))=1)*(CHOOSE({1,2,3,4},KHP!W330,KHP!AA330,KHP!AE330,KHP!AI330)))</f>
        <v>0</v>
      </c>
      <c r="B330">
        <f>SUMPRODUCT((MONTH(CHOOSE({1,2,3,4},KHP!T330,KHP!X330,KHP!AB330,KHP!AF330))=2)*(CHOOSE({1,2,3,4},KHP!W330,KHP!AA330,KHP!AE330,KHP!AI330)))</f>
        <v>0</v>
      </c>
      <c r="C330">
        <f>SUMPRODUCT((MONTH(CHOOSE({1,2,3,4},KHP!T330,KHP!X330,KHP!AB330,KHP!AF330))=3)*(CHOOSE({1,2,3,4},KHP!W330,KHP!AA330,KHP!AE330,KHP!AI330)))</f>
        <v>0</v>
      </c>
      <c r="D330">
        <f>SUMPRODUCT((MONTH(CHOOSE({1,2,3,4},KHP!T330,KHP!X330,KHP!AB330,KHP!AF330))=4)*(CHOOSE({1,2,3,4},KHP!W330,KHP!AA330,KHP!AE330,KHP!AI330)))</f>
        <v>0</v>
      </c>
      <c r="E330">
        <f>SUMPRODUCT((MONTH(CHOOSE({1,2,3,4},KHP!T330,KHP!X330,KHP!AB330,KHP!AF330))=5)*(CHOOSE({1,2,3,4},KHP!W330,KHP!AA330,KHP!AE330,KHP!AI330)))</f>
        <v>0</v>
      </c>
      <c r="F330">
        <f>SUMPRODUCT((MONTH(CHOOSE({1,2,3,4},KHP!T330,KHP!X330,KHP!AB330,KHP!AF330))=6)*(CHOOSE({1,2,3,4},KHP!W330,KHP!AA330,KHP!AE330,KHP!AI330)))</f>
        <v>0</v>
      </c>
      <c r="G330">
        <f>SUMPRODUCT((MONTH(CHOOSE({1,2,3,4},KHP!T330,KHP!X330,KHP!AB330,KHP!AF330))=7)*(CHOOSE({1,2,3,4},KHP!W330,KHP!AA330,KHP!AE330,KHP!AI330)))</f>
        <v>0</v>
      </c>
      <c r="H330">
        <f>SUMPRODUCT((MONTH(CHOOSE({1,2,3,4},KHP!T330,KHP!X330,KHP!AB330,KHP!AF330))=8)*(CHOOSE({1,2,3,4},KHP!W330,KHP!AA330,KHP!AE330,KHP!AI330)))</f>
        <v>0</v>
      </c>
      <c r="I330">
        <f>SUMPRODUCT((MONTH(CHOOSE({1,2,3,4},KHP!T330,KHP!X330,KHP!AB330,KHP!AF330))=9)*(CHOOSE({1,2,3,4},KHP!W330,KHP!AA330,KHP!AE330,KHP!AI330)))</f>
        <v>0</v>
      </c>
      <c r="J330">
        <f>SUMPRODUCT((MONTH(CHOOSE({1,2,3,4},KHP!T330,KHP!X330,KHP!AB330,KHP!AF330))=10)*(CHOOSE({1,2,3,4},KHP!W330,KHP!AA330,KHP!AE330,KHP!AI330)))</f>
        <v>0</v>
      </c>
      <c r="K330">
        <f>SUMPRODUCT((MONTH(CHOOSE({1,2,3,4},KHP!T330,KHP!X330,KHP!AB330,KHP!AF330))=11)*(CHOOSE({1,2,3,4},KHP!W330,KHP!AA330,KHP!AE330,KHP!AI330)))</f>
        <v>0</v>
      </c>
      <c r="L330">
        <f>SUMPRODUCT((MONTH(CHOOSE({1,2,3,4},KHP!T330,KHP!X330,KHP!AB330,KHP!AF330))=12)*(CHOOSE({1,2,3,4},KHP!W330,KHP!AA330,KHP!AE330,KHP!AI330)))</f>
        <v>0</v>
      </c>
    </row>
    <row r="331" spans="1:12">
      <c r="A331">
        <f>SUMPRODUCT((MONTH(CHOOSE({1,2,3,4},KHP!T331,KHP!X331,KHP!AB331,KHP!AF331))=1)*(CHOOSE({1,2,3,4},KHP!W331,KHP!AA331,KHP!AE331,KHP!AI331)))</f>
        <v>0</v>
      </c>
      <c r="B331">
        <f>SUMPRODUCT((MONTH(CHOOSE({1,2,3,4},KHP!T331,KHP!X331,KHP!AB331,KHP!AF331))=2)*(CHOOSE({1,2,3,4},KHP!W331,KHP!AA331,KHP!AE331,KHP!AI331)))</f>
        <v>0</v>
      </c>
      <c r="C331">
        <f>SUMPRODUCT((MONTH(CHOOSE({1,2,3,4},KHP!T331,KHP!X331,KHP!AB331,KHP!AF331))=3)*(CHOOSE({1,2,3,4},KHP!W331,KHP!AA331,KHP!AE331,KHP!AI331)))</f>
        <v>0</v>
      </c>
      <c r="D331">
        <f>SUMPRODUCT((MONTH(CHOOSE({1,2,3,4},KHP!T331,KHP!X331,KHP!AB331,KHP!AF331))=4)*(CHOOSE({1,2,3,4},KHP!W331,KHP!AA331,KHP!AE331,KHP!AI331)))</f>
        <v>0</v>
      </c>
      <c r="E331">
        <f>SUMPRODUCT((MONTH(CHOOSE({1,2,3,4},KHP!T331,KHP!X331,KHP!AB331,KHP!AF331))=5)*(CHOOSE({1,2,3,4},KHP!W331,KHP!AA331,KHP!AE331,KHP!AI331)))</f>
        <v>0</v>
      </c>
      <c r="F331">
        <f>SUMPRODUCT((MONTH(CHOOSE({1,2,3,4},KHP!T331,KHP!X331,KHP!AB331,KHP!AF331))=6)*(CHOOSE({1,2,3,4},KHP!W331,KHP!AA331,KHP!AE331,KHP!AI331)))</f>
        <v>0</v>
      </c>
      <c r="G331">
        <f>SUMPRODUCT((MONTH(CHOOSE({1,2,3,4},KHP!T331,KHP!X331,KHP!AB331,KHP!AF331))=7)*(CHOOSE({1,2,3,4},KHP!W331,KHP!AA331,KHP!AE331,KHP!AI331)))</f>
        <v>0</v>
      </c>
      <c r="H331">
        <f>SUMPRODUCT((MONTH(CHOOSE({1,2,3,4},KHP!T331,KHP!X331,KHP!AB331,KHP!AF331))=8)*(CHOOSE({1,2,3,4},KHP!W331,KHP!AA331,KHP!AE331,KHP!AI331)))</f>
        <v>0</v>
      </c>
      <c r="I331">
        <f>SUMPRODUCT((MONTH(CHOOSE({1,2,3,4},KHP!T331,KHP!X331,KHP!AB331,KHP!AF331))=9)*(CHOOSE({1,2,3,4},KHP!W331,KHP!AA331,KHP!AE331,KHP!AI331)))</f>
        <v>0</v>
      </c>
      <c r="J331">
        <f>SUMPRODUCT((MONTH(CHOOSE({1,2,3,4},KHP!T331,KHP!X331,KHP!AB331,KHP!AF331))=10)*(CHOOSE({1,2,3,4},KHP!W331,KHP!AA331,KHP!AE331,KHP!AI331)))</f>
        <v>0</v>
      </c>
      <c r="K331">
        <f>SUMPRODUCT((MONTH(CHOOSE({1,2,3,4},KHP!T331,KHP!X331,KHP!AB331,KHP!AF331))=11)*(CHOOSE({1,2,3,4},KHP!W331,KHP!AA331,KHP!AE331,KHP!AI331)))</f>
        <v>0</v>
      </c>
      <c r="L331">
        <f>SUMPRODUCT((MONTH(CHOOSE({1,2,3,4},KHP!T331,KHP!X331,KHP!AB331,KHP!AF331))=12)*(CHOOSE({1,2,3,4},KHP!W331,KHP!AA331,KHP!AE331,KHP!AI331)))</f>
        <v>0</v>
      </c>
    </row>
    <row r="332" spans="1:12">
      <c r="A332">
        <f>SUMPRODUCT((MONTH(CHOOSE({1,2,3,4},KHP!T332,KHP!X332,KHP!AB332,KHP!AF332))=1)*(CHOOSE({1,2,3,4},KHP!W332,KHP!AA332,KHP!AE332,KHP!AI332)))</f>
        <v>0</v>
      </c>
      <c r="B332">
        <f>SUMPRODUCT((MONTH(CHOOSE({1,2,3,4},KHP!T332,KHP!X332,KHP!AB332,KHP!AF332))=2)*(CHOOSE({1,2,3,4},KHP!W332,KHP!AA332,KHP!AE332,KHP!AI332)))</f>
        <v>0</v>
      </c>
      <c r="C332">
        <f>SUMPRODUCT((MONTH(CHOOSE({1,2,3,4},KHP!T332,KHP!X332,KHP!AB332,KHP!AF332))=3)*(CHOOSE({1,2,3,4},KHP!W332,KHP!AA332,KHP!AE332,KHP!AI332)))</f>
        <v>0</v>
      </c>
      <c r="D332">
        <f>SUMPRODUCT((MONTH(CHOOSE({1,2,3,4},KHP!T332,KHP!X332,KHP!AB332,KHP!AF332))=4)*(CHOOSE({1,2,3,4},KHP!W332,KHP!AA332,KHP!AE332,KHP!AI332)))</f>
        <v>0</v>
      </c>
      <c r="E332">
        <f>SUMPRODUCT((MONTH(CHOOSE({1,2,3,4},KHP!T332,KHP!X332,KHP!AB332,KHP!AF332))=5)*(CHOOSE({1,2,3,4},KHP!W332,KHP!AA332,KHP!AE332,KHP!AI332)))</f>
        <v>0</v>
      </c>
      <c r="F332">
        <f>SUMPRODUCT((MONTH(CHOOSE({1,2,3,4},KHP!T332,KHP!X332,KHP!AB332,KHP!AF332))=6)*(CHOOSE({1,2,3,4},KHP!W332,KHP!AA332,KHP!AE332,KHP!AI332)))</f>
        <v>0</v>
      </c>
      <c r="G332">
        <f>SUMPRODUCT((MONTH(CHOOSE({1,2,3,4},KHP!T332,KHP!X332,KHP!AB332,KHP!AF332))=7)*(CHOOSE({1,2,3,4},KHP!W332,KHP!AA332,KHP!AE332,KHP!AI332)))</f>
        <v>0</v>
      </c>
      <c r="H332">
        <f>SUMPRODUCT((MONTH(CHOOSE({1,2,3,4},KHP!T332,KHP!X332,KHP!AB332,KHP!AF332))=8)*(CHOOSE({1,2,3,4},KHP!W332,KHP!AA332,KHP!AE332,KHP!AI332)))</f>
        <v>0</v>
      </c>
      <c r="I332">
        <f>SUMPRODUCT((MONTH(CHOOSE({1,2,3,4},KHP!T332,KHP!X332,KHP!AB332,KHP!AF332))=9)*(CHOOSE({1,2,3,4},KHP!W332,KHP!AA332,KHP!AE332,KHP!AI332)))</f>
        <v>0</v>
      </c>
      <c r="J332">
        <f>SUMPRODUCT((MONTH(CHOOSE({1,2,3,4},KHP!T332,KHP!X332,KHP!AB332,KHP!AF332))=10)*(CHOOSE({1,2,3,4},KHP!W332,KHP!AA332,KHP!AE332,KHP!AI332)))</f>
        <v>0</v>
      </c>
      <c r="K332">
        <f>SUMPRODUCT((MONTH(CHOOSE({1,2,3,4},KHP!T332,KHP!X332,KHP!AB332,KHP!AF332))=11)*(CHOOSE({1,2,3,4},KHP!W332,KHP!AA332,KHP!AE332,KHP!AI332)))</f>
        <v>0</v>
      </c>
      <c r="L332">
        <f>SUMPRODUCT((MONTH(CHOOSE({1,2,3,4},KHP!T332,KHP!X332,KHP!AB332,KHP!AF332))=12)*(CHOOSE({1,2,3,4},KHP!W332,KHP!AA332,KHP!AE332,KHP!AI332)))</f>
        <v>0</v>
      </c>
    </row>
    <row r="333" spans="1:12">
      <c r="A333">
        <f>SUMPRODUCT((MONTH(CHOOSE({1,2,3,4},KHP!T333,KHP!X333,KHP!AB333,KHP!AF333))=1)*(CHOOSE({1,2,3,4},KHP!W333,KHP!AA333,KHP!AE333,KHP!AI333)))</f>
        <v>0</v>
      </c>
      <c r="B333">
        <f>SUMPRODUCT((MONTH(CHOOSE({1,2,3,4},KHP!T333,KHP!X333,KHP!AB333,KHP!AF333))=2)*(CHOOSE({1,2,3,4},KHP!W333,KHP!AA333,KHP!AE333,KHP!AI333)))</f>
        <v>0</v>
      </c>
      <c r="C333">
        <f>SUMPRODUCT((MONTH(CHOOSE({1,2,3,4},KHP!T333,KHP!X333,KHP!AB333,KHP!AF333))=3)*(CHOOSE({1,2,3,4},KHP!W333,KHP!AA333,KHP!AE333,KHP!AI333)))</f>
        <v>0</v>
      </c>
      <c r="D333">
        <f>SUMPRODUCT((MONTH(CHOOSE({1,2,3,4},KHP!T333,KHP!X333,KHP!AB333,KHP!AF333))=4)*(CHOOSE({1,2,3,4},KHP!W333,KHP!AA333,KHP!AE333,KHP!AI333)))</f>
        <v>0</v>
      </c>
      <c r="E333">
        <f>SUMPRODUCT((MONTH(CHOOSE({1,2,3,4},KHP!T333,KHP!X333,KHP!AB333,KHP!AF333))=5)*(CHOOSE({1,2,3,4},KHP!W333,KHP!AA333,KHP!AE333,KHP!AI333)))</f>
        <v>0</v>
      </c>
      <c r="F333">
        <f>SUMPRODUCT((MONTH(CHOOSE({1,2,3,4},KHP!T333,KHP!X333,KHP!AB333,KHP!AF333))=6)*(CHOOSE({1,2,3,4},KHP!W333,KHP!AA333,KHP!AE333,KHP!AI333)))</f>
        <v>0</v>
      </c>
      <c r="G333">
        <f>SUMPRODUCT((MONTH(CHOOSE({1,2,3,4},KHP!T333,KHP!X333,KHP!AB333,KHP!AF333))=7)*(CHOOSE({1,2,3,4},KHP!W333,KHP!AA333,KHP!AE333,KHP!AI333)))</f>
        <v>0</v>
      </c>
      <c r="H333">
        <f>SUMPRODUCT((MONTH(CHOOSE({1,2,3,4},KHP!T333,KHP!X333,KHP!AB333,KHP!AF333))=8)*(CHOOSE({1,2,3,4},KHP!W333,KHP!AA333,KHP!AE333,KHP!AI333)))</f>
        <v>0</v>
      </c>
      <c r="I333">
        <f>SUMPRODUCT((MONTH(CHOOSE({1,2,3,4},KHP!T333,KHP!X333,KHP!AB333,KHP!AF333))=9)*(CHOOSE({1,2,3,4},KHP!W333,KHP!AA333,KHP!AE333,KHP!AI333)))</f>
        <v>0</v>
      </c>
      <c r="J333">
        <f>SUMPRODUCT((MONTH(CHOOSE({1,2,3,4},KHP!T333,KHP!X333,KHP!AB333,KHP!AF333))=10)*(CHOOSE({1,2,3,4},KHP!W333,KHP!AA333,KHP!AE333,KHP!AI333)))</f>
        <v>0</v>
      </c>
      <c r="K333">
        <f>SUMPRODUCT((MONTH(CHOOSE({1,2,3,4},KHP!T333,KHP!X333,KHP!AB333,KHP!AF333))=11)*(CHOOSE({1,2,3,4},KHP!W333,KHP!AA333,KHP!AE333,KHP!AI333)))</f>
        <v>0</v>
      </c>
      <c r="L333">
        <f>SUMPRODUCT((MONTH(CHOOSE({1,2,3,4},KHP!T333,KHP!X333,KHP!AB333,KHP!AF333))=12)*(CHOOSE({1,2,3,4},KHP!W333,KHP!AA333,KHP!AE333,KHP!AI333)))</f>
        <v>0</v>
      </c>
    </row>
    <row r="334" spans="1:12">
      <c r="A334">
        <f>SUMPRODUCT((MONTH(CHOOSE({1,2,3,4},KHP!T334,KHP!X334,KHP!AB334,KHP!AF334))=1)*(CHOOSE({1,2,3,4},KHP!W334,KHP!AA334,KHP!AE334,KHP!AI334)))</f>
        <v>0</v>
      </c>
      <c r="B334">
        <f>SUMPRODUCT((MONTH(CHOOSE({1,2,3,4},KHP!T334,KHP!X334,KHP!AB334,KHP!AF334))=2)*(CHOOSE({1,2,3,4},KHP!W334,KHP!AA334,KHP!AE334,KHP!AI334)))</f>
        <v>0</v>
      </c>
      <c r="C334">
        <f>SUMPRODUCT((MONTH(CHOOSE({1,2,3,4},KHP!T334,KHP!X334,KHP!AB334,KHP!AF334))=3)*(CHOOSE({1,2,3,4},KHP!W334,KHP!AA334,KHP!AE334,KHP!AI334)))</f>
        <v>0</v>
      </c>
      <c r="D334">
        <f>SUMPRODUCT((MONTH(CHOOSE({1,2,3,4},KHP!T334,KHP!X334,KHP!AB334,KHP!AF334))=4)*(CHOOSE({1,2,3,4},KHP!W334,KHP!AA334,KHP!AE334,KHP!AI334)))</f>
        <v>0</v>
      </c>
      <c r="E334">
        <f>SUMPRODUCT((MONTH(CHOOSE({1,2,3,4},KHP!T334,KHP!X334,KHP!AB334,KHP!AF334))=5)*(CHOOSE({1,2,3,4},KHP!W334,KHP!AA334,KHP!AE334,KHP!AI334)))</f>
        <v>0</v>
      </c>
      <c r="F334">
        <f>SUMPRODUCT((MONTH(CHOOSE({1,2,3,4},KHP!T334,KHP!X334,KHP!AB334,KHP!AF334))=6)*(CHOOSE({1,2,3,4},KHP!W334,KHP!AA334,KHP!AE334,KHP!AI334)))</f>
        <v>0</v>
      </c>
      <c r="G334">
        <f>SUMPRODUCT((MONTH(CHOOSE({1,2,3,4},KHP!T334,KHP!X334,KHP!AB334,KHP!AF334))=7)*(CHOOSE({1,2,3,4},KHP!W334,KHP!AA334,KHP!AE334,KHP!AI334)))</f>
        <v>0</v>
      </c>
      <c r="H334">
        <f>SUMPRODUCT((MONTH(CHOOSE({1,2,3,4},KHP!T334,KHP!X334,KHP!AB334,KHP!AF334))=8)*(CHOOSE({1,2,3,4},KHP!W334,KHP!AA334,KHP!AE334,KHP!AI334)))</f>
        <v>0</v>
      </c>
      <c r="I334">
        <f>SUMPRODUCT((MONTH(CHOOSE({1,2,3,4},KHP!T334,KHP!X334,KHP!AB334,KHP!AF334))=9)*(CHOOSE({1,2,3,4},KHP!W334,KHP!AA334,KHP!AE334,KHP!AI334)))</f>
        <v>0</v>
      </c>
      <c r="J334">
        <f>SUMPRODUCT((MONTH(CHOOSE({1,2,3,4},KHP!T334,KHP!X334,KHP!AB334,KHP!AF334))=10)*(CHOOSE({1,2,3,4},KHP!W334,KHP!AA334,KHP!AE334,KHP!AI334)))</f>
        <v>0</v>
      </c>
      <c r="K334">
        <f>SUMPRODUCT((MONTH(CHOOSE({1,2,3,4},KHP!T334,KHP!X334,KHP!AB334,KHP!AF334))=11)*(CHOOSE({1,2,3,4},KHP!W334,KHP!AA334,KHP!AE334,KHP!AI334)))</f>
        <v>0</v>
      </c>
      <c r="L334">
        <f>SUMPRODUCT((MONTH(CHOOSE({1,2,3,4},KHP!T334,KHP!X334,KHP!AB334,KHP!AF334))=12)*(CHOOSE({1,2,3,4},KHP!W334,KHP!AA334,KHP!AE334,KHP!AI334)))</f>
        <v>0</v>
      </c>
    </row>
    <row r="335" spans="1:12">
      <c r="A335">
        <f>SUMPRODUCT((MONTH(CHOOSE({1,2,3,4},KHP!T335,KHP!X335,KHP!AB335,KHP!AF335))=1)*(CHOOSE({1,2,3,4},KHP!W335,KHP!AA335,KHP!AE335,KHP!AI335)))</f>
        <v>0</v>
      </c>
      <c r="B335">
        <f>SUMPRODUCT((MONTH(CHOOSE({1,2,3,4},KHP!T335,KHP!X335,KHP!AB335,KHP!AF335))=2)*(CHOOSE({1,2,3,4},KHP!W335,KHP!AA335,KHP!AE335,KHP!AI335)))</f>
        <v>0</v>
      </c>
      <c r="C335">
        <f>SUMPRODUCT((MONTH(CHOOSE({1,2,3,4},KHP!T335,KHP!X335,KHP!AB335,KHP!AF335))=3)*(CHOOSE({1,2,3,4},KHP!W335,KHP!AA335,KHP!AE335,KHP!AI335)))</f>
        <v>0</v>
      </c>
      <c r="D335">
        <f>SUMPRODUCT((MONTH(CHOOSE({1,2,3,4},KHP!T335,KHP!X335,KHP!AB335,KHP!AF335))=4)*(CHOOSE({1,2,3,4},KHP!W335,KHP!AA335,KHP!AE335,KHP!AI335)))</f>
        <v>0</v>
      </c>
      <c r="E335">
        <f>SUMPRODUCT((MONTH(CHOOSE({1,2,3,4},KHP!T335,KHP!X335,KHP!AB335,KHP!AF335))=5)*(CHOOSE({1,2,3,4},KHP!W335,KHP!AA335,KHP!AE335,KHP!AI335)))</f>
        <v>0</v>
      </c>
      <c r="F335">
        <f>SUMPRODUCT((MONTH(CHOOSE({1,2,3,4},KHP!T335,KHP!X335,KHP!AB335,KHP!AF335))=6)*(CHOOSE({1,2,3,4},KHP!W335,KHP!AA335,KHP!AE335,KHP!AI335)))</f>
        <v>0</v>
      </c>
      <c r="G335">
        <f>SUMPRODUCT((MONTH(CHOOSE({1,2,3,4},KHP!T335,KHP!X335,KHP!AB335,KHP!AF335))=7)*(CHOOSE({1,2,3,4},KHP!W335,KHP!AA335,KHP!AE335,KHP!AI335)))</f>
        <v>0</v>
      </c>
      <c r="H335">
        <f>SUMPRODUCT((MONTH(CHOOSE({1,2,3,4},KHP!T335,KHP!X335,KHP!AB335,KHP!AF335))=8)*(CHOOSE({1,2,3,4},KHP!W335,KHP!AA335,KHP!AE335,KHP!AI335)))</f>
        <v>0</v>
      </c>
      <c r="I335">
        <f>SUMPRODUCT((MONTH(CHOOSE({1,2,3,4},KHP!T335,KHP!X335,KHP!AB335,KHP!AF335))=9)*(CHOOSE({1,2,3,4},KHP!W335,KHP!AA335,KHP!AE335,KHP!AI335)))</f>
        <v>0</v>
      </c>
      <c r="J335">
        <f>SUMPRODUCT((MONTH(CHOOSE({1,2,3,4},KHP!T335,KHP!X335,KHP!AB335,KHP!AF335))=10)*(CHOOSE({1,2,3,4},KHP!W335,KHP!AA335,KHP!AE335,KHP!AI335)))</f>
        <v>0</v>
      </c>
      <c r="K335">
        <f>SUMPRODUCT((MONTH(CHOOSE({1,2,3,4},KHP!T335,KHP!X335,KHP!AB335,KHP!AF335))=11)*(CHOOSE({1,2,3,4},KHP!W335,KHP!AA335,KHP!AE335,KHP!AI335)))</f>
        <v>0</v>
      </c>
      <c r="L335">
        <f>SUMPRODUCT((MONTH(CHOOSE({1,2,3,4},KHP!T335,KHP!X335,KHP!AB335,KHP!AF335))=12)*(CHOOSE({1,2,3,4},KHP!W335,KHP!AA335,KHP!AE335,KHP!AI335)))</f>
        <v>0</v>
      </c>
    </row>
    <row r="336" spans="1:12">
      <c r="A336">
        <f>SUMPRODUCT((MONTH(CHOOSE({1,2,3,4},KHP!T336,KHP!X336,KHP!AB336,KHP!AF336))=1)*(CHOOSE({1,2,3,4},KHP!W336,KHP!AA336,KHP!AE336,KHP!AI336)))</f>
        <v>0</v>
      </c>
      <c r="B336">
        <f>SUMPRODUCT((MONTH(CHOOSE({1,2,3,4},KHP!T336,KHP!X336,KHP!AB336,KHP!AF336))=2)*(CHOOSE({1,2,3,4},KHP!W336,KHP!AA336,KHP!AE336,KHP!AI336)))</f>
        <v>0</v>
      </c>
      <c r="C336">
        <f>SUMPRODUCT((MONTH(CHOOSE({1,2,3,4},KHP!T336,KHP!X336,KHP!AB336,KHP!AF336))=3)*(CHOOSE({1,2,3,4},KHP!W336,KHP!AA336,KHP!AE336,KHP!AI336)))</f>
        <v>0</v>
      </c>
      <c r="D336">
        <f>SUMPRODUCT((MONTH(CHOOSE({1,2,3,4},KHP!T336,KHP!X336,KHP!AB336,KHP!AF336))=4)*(CHOOSE({1,2,3,4},KHP!W336,KHP!AA336,KHP!AE336,KHP!AI336)))</f>
        <v>0</v>
      </c>
      <c r="E336">
        <f>SUMPRODUCT((MONTH(CHOOSE({1,2,3,4},KHP!T336,KHP!X336,KHP!AB336,KHP!AF336))=5)*(CHOOSE({1,2,3,4},KHP!W336,KHP!AA336,KHP!AE336,KHP!AI336)))</f>
        <v>0</v>
      </c>
      <c r="F336">
        <f>SUMPRODUCT((MONTH(CHOOSE({1,2,3,4},KHP!T336,KHP!X336,KHP!AB336,KHP!AF336))=6)*(CHOOSE({1,2,3,4},KHP!W336,KHP!AA336,KHP!AE336,KHP!AI336)))</f>
        <v>0</v>
      </c>
      <c r="G336">
        <f>SUMPRODUCT((MONTH(CHOOSE({1,2,3,4},KHP!T336,KHP!X336,KHP!AB336,KHP!AF336))=7)*(CHOOSE({1,2,3,4},KHP!W336,KHP!AA336,KHP!AE336,KHP!AI336)))</f>
        <v>0</v>
      </c>
      <c r="H336">
        <f>SUMPRODUCT((MONTH(CHOOSE({1,2,3,4},KHP!T336,KHP!X336,KHP!AB336,KHP!AF336))=8)*(CHOOSE({1,2,3,4},KHP!W336,KHP!AA336,KHP!AE336,KHP!AI336)))</f>
        <v>0</v>
      </c>
      <c r="I336">
        <f>SUMPRODUCT((MONTH(CHOOSE({1,2,3,4},KHP!T336,KHP!X336,KHP!AB336,KHP!AF336))=9)*(CHOOSE({1,2,3,4},KHP!W336,KHP!AA336,KHP!AE336,KHP!AI336)))</f>
        <v>0</v>
      </c>
      <c r="J336">
        <f>SUMPRODUCT((MONTH(CHOOSE({1,2,3,4},KHP!T336,KHP!X336,KHP!AB336,KHP!AF336))=10)*(CHOOSE({1,2,3,4},KHP!W336,KHP!AA336,KHP!AE336,KHP!AI336)))</f>
        <v>0</v>
      </c>
      <c r="K336">
        <f>SUMPRODUCT((MONTH(CHOOSE({1,2,3,4},KHP!T336,KHP!X336,KHP!AB336,KHP!AF336))=11)*(CHOOSE({1,2,3,4},KHP!W336,KHP!AA336,KHP!AE336,KHP!AI336)))</f>
        <v>0</v>
      </c>
      <c r="L336">
        <f>SUMPRODUCT((MONTH(CHOOSE({1,2,3,4},KHP!T336,KHP!X336,KHP!AB336,KHP!AF336))=12)*(CHOOSE({1,2,3,4},KHP!W336,KHP!AA336,KHP!AE336,KHP!AI336)))</f>
        <v>0</v>
      </c>
    </row>
    <row r="337" spans="1:12">
      <c r="A337">
        <f>SUMPRODUCT((MONTH(CHOOSE({1,2,3,4},KHP!T337,KHP!X337,KHP!AB337,KHP!AF337))=1)*(CHOOSE({1,2,3,4},KHP!W337,KHP!AA337,KHP!AE337,KHP!AI337)))</f>
        <v>0</v>
      </c>
      <c r="B337">
        <f>SUMPRODUCT((MONTH(CHOOSE({1,2,3,4},KHP!T337,KHP!X337,KHP!AB337,KHP!AF337))=2)*(CHOOSE({1,2,3,4},KHP!W337,KHP!AA337,KHP!AE337,KHP!AI337)))</f>
        <v>0</v>
      </c>
      <c r="C337">
        <f>SUMPRODUCT((MONTH(CHOOSE({1,2,3,4},KHP!T337,KHP!X337,KHP!AB337,KHP!AF337))=3)*(CHOOSE({1,2,3,4},KHP!W337,KHP!AA337,KHP!AE337,KHP!AI337)))</f>
        <v>0</v>
      </c>
      <c r="D337">
        <f>SUMPRODUCT((MONTH(CHOOSE({1,2,3,4},KHP!T337,KHP!X337,KHP!AB337,KHP!AF337))=4)*(CHOOSE({1,2,3,4},KHP!W337,KHP!AA337,KHP!AE337,KHP!AI337)))</f>
        <v>0</v>
      </c>
      <c r="E337">
        <f>SUMPRODUCT((MONTH(CHOOSE({1,2,3,4},KHP!T337,KHP!X337,KHP!AB337,KHP!AF337))=5)*(CHOOSE({1,2,3,4},KHP!W337,KHP!AA337,KHP!AE337,KHP!AI337)))</f>
        <v>0</v>
      </c>
      <c r="F337">
        <f>SUMPRODUCT((MONTH(CHOOSE({1,2,3,4},KHP!T337,KHP!X337,KHP!AB337,KHP!AF337))=6)*(CHOOSE({1,2,3,4},KHP!W337,KHP!AA337,KHP!AE337,KHP!AI337)))</f>
        <v>0</v>
      </c>
      <c r="G337">
        <f>SUMPRODUCT((MONTH(CHOOSE({1,2,3,4},KHP!T337,KHP!X337,KHP!AB337,KHP!AF337))=7)*(CHOOSE({1,2,3,4},KHP!W337,KHP!AA337,KHP!AE337,KHP!AI337)))</f>
        <v>0</v>
      </c>
      <c r="H337">
        <f>SUMPRODUCT((MONTH(CHOOSE({1,2,3,4},KHP!T337,KHP!X337,KHP!AB337,KHP!AF337))=8)*(CHOOSE({1,2,3,4},KHP!W337,KHP!AA337,KHP!AE337,KHP!AI337)))</f>
        <v>0</v>
      </c>
      <c r="I337">
        <f>SUMPRODUCT((MONTH(CHOOSE({1,2,3,4},KHP!T337,KHP!X337,KHP!AB337,KHP!AF337))=9)*(CHOOSE({1,2,3,4},KHP!W337,KHP!AA337,KHP!AE337,KHP!AI337)))</f>
        <v>0</v>
      </c>
      <c r="J337">
        <f>SUMPRODUCT((MONTH(CHOOSE({1,2,3,4},KHP!T337,KHP!X337,KHP!AB337,KHP!AF337))=10)*(CHOOSE({1,2,3,4},KHP!W337,KHP!AA337,KHP!AE337,KHP!AI337)))</f>
        <v>0</v>
      </c>
      <c r="K337">
        <f>SUMPRODUCT((MONTH(CHOOSE({1,2,3,4},KHP!T337,KHP!X337,KHP!AB337,KHP!AF337))=11)*(CHOOSE({1,2,3,4},KHP!W337,KHP!AA337,KHP!AE337,KHP!AI337)))</f>
        <v>0</v>
      </c>
      <c r="L337">
        <f>SUMPRODUCT((MONTH(CHOOSE({1,2,3,4},KHP!T337,KHP!X337,KHP!AB337,KHP!AF337))=12)*(CHOOSE({1,2,3,4},KHP!W337,KHP!AA337,KHP!AE337,KHP!AI337)))</f>
        <v>0</v>
      </c>
    </row>
    <row r="338" spans="1:12">
      <c r="A338">
        <f>SUMPRODUCT((MONTH(CHOOSE({1,2,3,4},KHP!T338,KHP!X338,KHP!AB338,KHP!AF338))=1)*(CHOOSE({1,2,3,4},KHP!W338,KHP!AA338,KHP!AE338,KHP!AI338)))</f>
        <v>0</v>
      </c>
      <c r="B338">
        <f>SUMPRODUCT((MONTH(CHOOSE({1,2,3,4},KHP!T338,KHP!X338,KHP!AB338,KHP!AF338))=2)*(CHOOSE({1,2,3,4},KHP!W338,KHP!AA338,KHP!AE338,KHP!AI338)))</f>
        <v>0</v>
      </c>
      <c r="C338">
        <f>SUMPRODUCT((MONTH(CHOOSE({1,2,3,4},KHP!T338,KHP!X338,KHP!AB338,KHP!AF338))=3)*(CHOOSE({1,2,3,4},KHP!W338,KHP!AA338,KHP!AE338,KHP!AI338)))</f>
        <v>0</v>
      </c>
      <c r="D338">
        <f>SUMPRODUCT((MONTH(CHOOSE({1,2,3,4},KHP!T338,KHP!X338,KHP!AB338,KHP!AF338))=4)*(CHOOSE({1,2,3,4},KHP!W338,KHP!AA338,KHP!AE338,KHP!AI338)))</f>
        <v>0</v>
      </c>
      <c r="E338">
        <f>SUMPRODUCT((MONTH(CHOOSE({1,2,3,4},KHP!T338,KHP!X338,KHP!AB338,KHP!AF338))=5)*(CHOOSE({1,2,3,4},KHP!W338,KHP!AA338,KHP!AE338,KHP!AI338)))</f>
        <v>0</v>
      </c>
      <c r="F338">
        <f>SUMPRODUCT((MONTH(CHOOSE({1,2,3,4},KHP!T338,KHP!X338,KHP!AB338,KHP!AF338))=6)*(CHOOSE({1,2,3,4},KHP!W338,KHP!AA338,KHP!AE338,KHP!AI338)))</f>
        <v>0</v>
      </c>
      <c r="G338">
        <f>SUMPRODUCT((MONTH(CHOOSE({1,2,3,4},KHP!T338,KHP!X338,KHP!AB338,KHP!AF338))=7)*(CHOOSE({1,2,3,4},KHP!W338,KHP!AA338,KHP!AE338,KHP!AI338)))</f>
        <v>0</v>
      </c>
      <c r="H338">
        <f>SUMPRODUCT((MONTH(CHOOSE({1,2,3,4},KHP!T338,KHP!X338,KHP!AB338,KHP!AF338))=8)*(CHOOSE({1,2,3,4},KHP!W338,KHP!AA338,KHP!AE338,KHP!AI338)))</f>
        <v>0</v>
      </c>
      <c r="I338">
        <f>SUMPRODUCT((MONTH(CHOOSE({1,2,3,4},KHP!T338,KHP!X338,KHP!AB338,KHP!AF338))=9)*(CHOOSE({1,2,3,4},KHP!W338,KHP!AA338,KHP!AE338,KHP!AI338)))</f>
        <v>0</v>
      </c>
      <c r="J338">
        <f>SUMPRODUCT((MONTH(CHOOSE({1,2,3,4},KHP!T338,KHP!X338,KHP!AB338,KHP!AF338))=10)*(CHOOSE({1,2,3,4},KHP!W338,KHP!AA338,KHP!AE338,KHP!AI338)))</f>
        <v>0</v>
      </c>
      <c r="K338">
        <f>SUMPRODUCT((MONTH(CHOOSE({1,2,3,4},KHP!T338,KHP!X338,KHP!AB338,KHP!AF338))=11)*(CHOOSE({1,2,3,4},KHP!W338,KHP!AA338,KHP!AE338,KHP!AI338)))</f>
        <v>0</v>
      </c>
      <c r="L338">
        <f>SUMPRODUCT((MONTH(CHOOSE({1,2,3,4},KHP!T338,KHP!X338,KHP!AB338,KHP!AF338))=12)*(CHOOSE({1,2,3,4},KHP!W338,KHP!AA338,KHP!AE338,KHP!AI338)))</f>
        <v>0</v>
      </c>
    </row>
    <row r="339" spans="1:12">
      <c r="A339">
        <f>SUMPRODUCT((MONTH(CHOOSE({1,2,3,4},KHP!T339,KHP!X339,KHP!AB339,KHP!AF339))=1)*(CHOOSE({1,2,3,4},KHP!W339,KHP!AA339,KHP!AE339,KHP!AI339)))</f>
        <v>0</v>
      </c>
      <c r="B339">
        <f>SUMPRODUCT((MONTH(CHOOSE({1,2,3,4},KHP!T339,KHP!X339,KHP!AB339,KHP!AF339))=2)*(CHOOSE({1,2,3,4},KHP!W339,KHP!AA339,KHP!AE339,KHP!AI339)))</f>
        <v>0</v>
      </c>
      <c r="C339">
        <f>SUMPRODUCT((MONTH(CHOOSE({1,2,3,4},KHP!T339,KHP!X339,KHP!AB339,KHP!AF339))=3)*(CHOOSE({1,2,3,4},KHP!W339,KHP!AA339,KHP!AE339,KHP!AI339)))</f>
        <v>0</v>
      </c>
      <c r="D339">
        <f>SUMPRODUCT((MONTH(CHOOSE({1,2,3,4},KHP!T339,KHP!X339,KHP!AB339,KHP!AF339))=4)*(CHOOSE({1,2,3,4},KHP!W339,KHP!AA339,KHP!AE339,KHP!AI339)))</f>
        <v>0</v>
      </c>
      <c r="E339">
        <f>SUMPRODUCT((MONTH(CHOOSE({1,2,3,4},KHP!T339,KHP!X339,KHP!AB339,KHP!AF339))=5)*(CHOOSE({1,2,3,4},KHP!W339,KHP!AA339,KHP!AE339,KHP!AI339)))</f>
        <v>0</v>
      </c>
      <c r="F339">
        <f>SUMPRODUCT((MONTH(CHOOSE({1,2,3,4},KHP!T339,KHP!X339,KHP!AB339,KHP!AF339))=6)*(CHOOSE({1,2,3,4},KHP!W339,KHP!AA339,KHP!AE339,KHP!AI339)))</f>
        <v>0</v>
      </c>
      <c r="G339">
        <f>SUMPRODUCT((MONTH(CHOOSE({1,2,3,4},KHP!T339,KHP!X339,KHP!AB339,KHP!AF339))=7)*(CHOOSE({1,2,3,4},KHP!W339,KHP!AA339,KHP!AE339,KHP!AI339)))</f>
        <v>0</v>
      </c>
      <c r="H339">
        <f>SUMPRODUCT((MONTH(CHOOSE({1,2,3,4},KHP!T339,KHP!X339,KHP!AB339,KHP!AF339))=8)*(CHOOSE({1,2,3,4},KHP!W339,KHP!AA339,KHP!AE339,KHP!AI339)))</f>
        <v>0</v>
      </c>
      <c r="I339">
        <f>SUMPRODUCT((MONTH(CHOOSE({1,2,3,4},KHP!T339,KHP!X339,KHP!AB339,KHP!AF339))=9)*(CHOOSE({1,2,3,4},KHP!W339,KHP!AA339,KHP!AE339,KHP!AI339)))</f>
        <v>0</v>
      </c>
      <c r="J339">
        <f>SUMPRODUCT((MONTH(CHOOSE({1,2,3,4},KHP!T339,KHP!X339,KHP!AB339,KHP!AF339))=10)*(CHOOSE({1,2,3,4},KHP!W339,KHP!AA339,KHP!AE339,KHP!AI339)))</f>
        <v>0</v>
      </c>
      <c r="K339">
        <f>SUMPRODUCT((MONTH(CHOOSE({1,2,3,4},KHP!T339,KHP!X339,KHP!AB339,KHP!AF339))=11)*(CHOOSE({1,2,3,4},KHP!W339,KHP!AA339,KHP!AE339,KHP!AI339)))</f>
        <v>0</v>
      </c>
      <c r="L339">
        <f>SUMPRODUCT((MONTH(CHOOSE({1,2,3,4},KHP!T339,KHP!X339,KHP!AB339,KHP!AF339))=12)*(CHOOSE({1,2,3,4},KHP!W339,KHP!AA339,KHP!AE339,KHP!AI339)))</f>
        <v>0</v>
      </c>
    </row>
    <row r="340" spans="1:12">
      <c r="A340">
        <f>SUMPRODUCT((MONTH(CHOOSE({1,2,3,4},KHP!T340,KHP!X340,KHP!AB340,KHP!AF340))=1)*(CHOOSE({1,2,3,4},KHP!W340,KHP!AA340,KHP!AE340,KHP!AI340)))</f>
        <v>0</v>
      </c>
      <c r="B340">
        <f>SUMPRODUCT((MONTH(CHOOSE({1,2,3,4},KHP!T340,KHP!X340,KHP!AB340,KHP!AF340))=2)*(CHOOSE({1,2,3,4},KHP!W340,KHP!AA340,KHP!AE340,KHP!AI340)))</f>
        <v>0</v>
      </c>
      <c r="C340">
        <f>SUMPRODUCT((MONTH(CHOOSE({1,2,3,4},KHP!T340,KHP!X340,KHP!AB340,KHP!AF340))=3)*(CHOOSE({1,2,3,4},KHP!W340,KHP!AA340,KHP!AE340,KHP!AI340)))</f>
        <v>0</v>
      </c>
      <c r="D340">
        <f>SUMPRODUCT((MONTH(CHOOSE({1,2,3,4},KHP!T340,KHP!X340,KHP!AB340,KHP!AF340))=4)*(CHOOSE({1,2,3,4},KHP!W340,KHP!AA340,KHP!AE340,KHP!AI340)))</f>
        <v>0</v>
      </c>
      <c r="E340">
        <f>SUMPRODUCT((MONTH(CHOOSE({1,2,3,4},KHP!T340,KHP!X340,KHP!AB340,KHP!AF340))=5)*(CHOOSE({1,2,3,4},KHP!W340,KHP!AA340,KHP!AE340,KHP!AI340)))</f>
        <v>0</v>
      </c>
      <c r="F340">
        <f>SUMPRODUCT((MONTH(CHOOSE({1,2,3,4},KHP!T340,KHP!X340,KHP!AB340,KHP!AF340))=6)*(CHOOSE({1,2,3,4},KHP!W340,KHP!AA340,KHP!AE340,KHP!AI340)))</f>
        <v>0</v>
      </c>
      <c r="G340">
        <f>SUMPRODUCT((MONTH(CHOOSE({1,2,3,4},KHP!T340,KHP!X340,KHP!AB340,KHP!AF340))=7)*(CHOOSE({1,2,3,4},KHP!W340,KHP!AA340,KHP!AE340,KHP!AI340)))</f>
        <v>0</v>
      </c>
      <c r="H340">
        <f>SUMPRODUCT((MONTH(CHOOSE({1,2,3,4},KHP!T340,KHP!X340,KHP!AB340,KHP!AF340))=8)*(CHOOSE({1,2,3,4},KHP!W340,KHP!AA340,KHP!AE340,KHP!AI340)))</f>
        <v>0</v>
      </c>
      <c r="I340">
        <f>SUMPRODUCT((MONTH(CHOOSE({1,2,3,4},KHP!T340,KHP!X340,KHP!AB340,KHP!AF340))=9)*(CHOOSE({1,2,3,4},KHP!W340,KHP!AA340,KHP!AE340,KHP!AI340)))</f>
        <v>0</v>
      </c>
      <c r="J340">
        <f>SUMPRODUCT((MONTH(CHOOSE({1,2,3,4},KHP!T340,KHP!X340,KHP!AB340,KHP!AF340))=10)*(CHOOSE({1,2,3,4},KHP!W340,KHP!AA340,KHP!AE340,KHP!AI340)))</f>
        <v>0</v>
      </c>
      <c r="K340">
        <f>SUMPRODUCT((MONTH(CHOOSE({1,2,3,4},KHP!T340,KHP!X340,KHP!AB340,KHP!AF340))=11)*(CHOOSE({1,2,3,4},KHP!W340,KHP!AA340,KHP!AE340,KHP!AI340)))</f>
        <v>0</v>
      </c>
      <c r="L340">
        <f>SUMPRODUCT((MONTH(CHOOSE({1,2,3,4},KHP!T340,KHP!X340,KHP!AB340,KHP!AF340))=12)*(CHOOSE({1,2,3,4},KHP!W340,KHP!AA340,KHP!AE340,KHP!AI340)))</f>
        <v>0</v>
      </c>
    </row>
    <row r="341" spans="1:12">
      <c r="A341">
        <f>SUMPRODUCT((MONTH(CHOOSE({1,2,3,4},KHP!T341,KHP!X341,KHP!AB341,KHP!AF341))=1)*(CHOOSE({1,2,3,4},KHP!W341,KHP!AA341,KHP!AE341,KHP!AI341)))</f>
        <v>0</v>
      </c>
      <c r="B341">
        <f>SUMPRODUCT((MONTH(CHOOSE({1,2,3,4},KHP!T341,KHP!X341,KHP!AB341,KHP!AF341))=2)*(CHOOSE({1,2,3,4},KHP!W341,KHP!AA341,KHP!AE341,KHP!AI341)))</f>
        <v>0</v>
      </c>
      <c r="C341">
        <f>SUMPRODUCT((MONTH(CHOOSE({1,2,3,4},KHP!T341,KHP!X341,KHP!AB341,KHP!AF341))=3)*(CHOOSE({1,2,3,4},KHP!W341,KHP!AA341,KHP!AE341,KHP!AI341)))</f>
        <v>0</v>
      </c>
      <c r="D341">
        <f>SUMPRODUCT((MONTH(CHOOSE({1,2,3,4},KHP!T341,KHP!X341,KHP!AB341,KHP!AF341))=4)*(CHOOSE({1,2,3,4},KHP!W341,KHP!AA341,KHP!AE341,KHP!AI341)))</f>
        <v>0</v>
      </c>
      <c r="E341">
        <f>SUMPRODUCT((MONTH(CHOOSE({1,2,3,4},KHP!T341,KHP!X341,KHP!AB341,KHP!AF341))=5)*(CHOOSE({1,2,3,4},KHP!W341,KHP!AA341,KHP!AE341,KHP!AI341)))</f>
        <v>0</v>
      </c>
      <c r="F341">
        <f>SUMPRODUCT((MONTH(CHOOSE({1,2,3,4},KHP!T341,KHP!X341,KHP!AB341,KHP!AF341))=6)*(CHOOSE({1,2,3,4},KHP!W341,KHP!AA341,KHP!AE341,KHP!AI341)))</f>
        <v>0</v>
      </c>
      <c r="G341">
        <f>SUMPRODUCT((MONTH(CHOOSE({1,2,3,4},KHP!T341,KHP!X341,KHP!AB341,KHP!AF341))=7)*(CHOOSE({1,2,3,4},KHP!W341,KHP!AA341,KHP!AE341,KHP!AI341)))</f>
        <v>0</v>
      </c>
      <c r="H341">
        <f>SUMPRODUCT((MONTH(CHOOSE({1,2,3,4},KHP!T341,KHP!X341,KHP!AB341,KHP!AF341))=8)*(CHOOSE({1,2,3,4},KHP!W341,KHP!AA341,KHP!AE341,KHP!AI341)))</f>
        <v>0</v>
      </c>
      <c r="I341">
        <f>SUMPRODUCT((MONTH(CHOOSE({1,2,3,4},KHP!T341,KHP!X341,KHP!AB341,KHP!AF341))=9)*(CHOOSE({1,2,3,4},KHP!W341,KHP!AA341,KHP!AE341,KHP!AI341)))</f>
        <v>0</v>
      </c>
      <c r="J341">
        <f>SUMPRODUCT((MONTH(CHOOSE({1,2,3,4},KHP!T341,KHP!X341,KHP!AB341,KHP!AF341))=10)*(CHOOSE({1,2,3,4},KHP!W341,KHP!AA341,KHP!AE341,KHP!AI341)))</f>
        <v>0</v>
      </c>
      <c r="K341">
        <f>SUMPRODUCT((MONTH(CHOOSE({1,2,3,4},KHP!T341,KHP!X341,KHP!AB341,KHP!AF341))=11)*(CHOOSE({1,2,3,4},KHP!W341,KHP!AA341,KHP!AE341,KHP!AI341)))</f>
        <v>0</v>
      </c>
      <c r="L341">
        <f>SUMPRODUCT((MONTH(CHOOSE({1,2,3,4},KHP!T341,KHP!X341,KHP!AB341,KHP!AF341))=12)*(CHOOSE({1,2,3,4},KHP!W341,KHP!AA341,KHP!AE341,KHP!AI341)))</f>
        <v>0</v>
      </c>
    </row>
    <row r="342" spans="1:12">
      <c r="A342">
        <f>SUMPRODUCT((MONTH(CHOOSE({1,2,3,4},KHP!T342,KHP!X342,KHP!AB342,KHP!AF342))=1)*(CHOOSE({1,2,3,4},KHP!W342,KHP!AA342,KHP!AE342,KHP!AI342)))</f>
        <v>0</v>
      </c>
      <c r="B342">
        <f>SUMPRODUCT((MONTH(CHOOSE({1,2,3,4},KHP!T342,KHP!X342,KHP!AB342,KHP!AF342))=2)*(CHOOSE({1,2,3,4},KHP!W342,KHP!AA342,KHP!AE342,KHP!AI342)))</f>
        <v>0</v>
      </c>
      <c r="C342">
        <f>SUMPRODUCT((MONTH(CHOOSE({1,2,3,4},KHP!T342,KHP!X342,KHP!AB342,KHP!AF342))=3)*(CHOOSE({1,2,3,4},KHP!W342,KHP!AA342,KHP!AE342,KHP!AI342)))</f>
        <v>0</v>
      </c>
      <c r="D342">
        <f>SUMPRODUCT((MONTH(CHOOSE({1,2,3,4},KHP!T342,KHP!X342,KHP!AB342,KHP!AF342))=4)*(CHOOSE({1,2,3,4},KHP!W342,KHP!AA342,KHP!AE342,KHP!AI342)))</f>
        <v>0</v>
      </c>
      <c r="E342">
        <f>SUMPRODUCT((MONTH(CHOOSE({1,2,3,4},KHP!T342,KHP!X342,KHP!AB342,KHP!AF342))=5)*(CHOOSE({1,2,3,4},KHP!W342,KHP!AA342,KHP!AE342,KHP!AI342)))</f>
        <v>0</v>
      </c>
      <c r="F342">
        <f>SUMPRODUCT((MONTH(CHOOSE({1,2,3,4},KHP!T342,KHP!X342,KHP!AB342,KHP!AF342))=6)*(CHOOSE({1,2,3,4},KHP!W342,KHP!AA342,KHP!AE342,KHP!AI342)))</f>
        <v>0</v>
      </c>
      <c r="G342">
        <f>SUMPRODUCT((MONTH(CHOOSE({1,2,3,4},KHP!T342,KHP!X342,KHP!AB342,KHP!AF342))=7)*(CHOOSE({1,2,3,4},KHP!W342,KHP!AA342,KHP!AE342,KHP!AI342)))</f>
        <v>0</v>
      </c>
      <c r="H342">
        <f>SUMPRODUCT((MONTH(CHOOSE({1,2,3,4},KHP!T342,KHP!X342,KHP!AB342,KHP!AF342))=8)*(CHOOSE({1,2,3,4},KHP!W342,KHP!AA342,KHP!AE342,KHP!AI342)))</f>
        <v>0</v>
      </c>
      <c r="I342">
        <f>SUMPRODUCT((MONTH(CHOOSE({1,2,3,4},KHP!T342,KHP!X342,KHP!AB342,KHP!AF342))=9)*(CHOOSE({1,2,3,4},KHP!W342,KHP!AA342,KHP!AE342,KHP!AI342)))</f>
        <v>0</v>
      </c>
      <c r="J342">
        <f>SUMPRODUCT((MONTH(CHOOSE({1,2,3,4},KHP!T342,KHP!X342,KHP!AB342,KHP!AF342))=10)*(CHOOSE({1,2,3,4},KHP!W342,KHP!AA342,KHP!AE342,KHP!AI342)))</f>
        <v>0</v>
      </c>
      <c r="K342">
        <f>SUMPRODUCT((MONTH(CHOOSE({1,2,3,4},KHP!T342,KHP!X342,KHP!AB342,KHP!AF342))=11)*(CHOOSE({1,2,3,4},KHP!W342,KHP!AA342,KHP!AE342,KHP!AI342)))</f>
        <v>0</v>
      </c>
      <c r="L342">
        <f>SUMPRODUCT((MONTH(CHOOSE({1,2,3,4},KHP!T342,KHP!X342,KHP!AB342,KHP!AF342))=12)*(CHOOSE({1,2,3,4},KHP!W342,KHP!AA342,KHP!AE342,KHP!AI342)))</f>
        <v>0</v>
      </c>
    </row>
    <row r="343" spans="1:12">
      <c r="A343">
        <f>SUMPRODUCT((MONTH(CHOOSE({1,2,3,4},KHP!T343,KHP!X343,KHP!AB343,KHP!AF343))=1)*(CHOOSE({1,2,3,4},KHP!W343,KHP!AA343,KHP!AE343,KHP!AI343)))</f>
        <v>0</v>
      </c>
      <c r="B343">
        <f>SUMPRODUCT((MONTH(CHOOSE({1,2,3,4},KHP!T343,KHP!X343,KHP!AB343,KHP!AF343))=2)*(CHOOSE({1,2,3,4},KHP!W343,KHP!AA343,KHP!AE343,KHP!AI343)))</f>
        <v>0</v>
      </c>
      <c r="C343">
        <f>SUMPRODUCT((MONTH(CHOOSE({1,2,3,4},KHP!T343,KHP!X343,KHP!AB343,KHP!AF343))=3)*(CHOOSE({1,2,3,4},KHP!W343,KHP!AA343,KHP!AE343,KHP!AI343)))</f>
        <v>0</v>
      </c>
      <c r="D343">
        <f>SUMPRODUCT((MONTH(CHOOSE({1,2,3,4},KHP!T343,KHP!X343,KHP!AB343,KHP!AF343))=4)*(CHOOSE({1,2,3,4},KHP!W343,KHP!AA343,KHP!AE343,KHP!AI343)))</f>
        <v>0</v>
      </c>
      <c r="E343">
        <f>SUMPRODUCT((MONTH(CHOOSE({1,2,3,4},KHP!T343,KHP!X343,KHP!AB343,KHP!AF343))=5)*(CHOOSE({1,2,3,4},KHP!W343,KHP!AA343,KHP!AE343,KHP!AI343)))</f>
        <v>0</v>
      </c>
      <c r="F343">
        <f>SUMPRODUCT((MONTH(CHOOSE({1,2,3,4},KHP!T343,KHP!X343,KHP!AB343,KHP!AF343))=6)*(CHOOSE({1,2,3,4},KHP!W343,KHP!AA343,KHP!AE343,KHP!AI343)))</f>
        <v>0</v>
      </c>
      <c r="G343">
        <f>SUMPRODUCT((MONTH(CHOOSE({1,2,3,4},KHP!T343,KHP!X343,KHP!AB343,KHP!AF343))=7)*(CHOOSE({1,2,3,4},KHP!W343,KHP!AA343,KHP!AE343,KHP!AI343)))</f>
        <v>0</v>
      </c>
      <c r="H343">
        <f>SUMPRODUCT((MONTH(CHOOSE({1,2,3,4},KHP!T343,KHP!X343,KHP!AB343,KHP!AF343))=8)*(CHOOSE({1,2,3,4},KHP!W343,KHP!AA343,KHP!AE343,KHP!AI343)))</f>
        <v>0</v>
      </c>
      <c r="I343">
        <f>SUMPRODUCT((MONTH(CHOOSE({1,2,3,4},KHP!T343,KHP!X343,KHP!AB343,KHP!AF343))=9)*(CHOOSE({1,2,3,4},KHP!W343,KHP!AA343,KHP!AE343,KHP!AI343)))</f>
        <v>0</v>
      </c>
      <c r="J343">
        <f>SUMPRODUCT((MONTH(CHOOSE({1,2,3,4},KHP!T343,KHP!X343,KHP!AB343,KHP!AF343))=10)*(CHOOSE({1,2,3,4},KHP!W343,KHP!AA343,KHP!AE343,KHP!AI343)))</f>
        <v>0</v>
      </c>
      <c r="K343">
        <f>SUMPRODUCT((MONTH(CHOOSE({1,2,3,4},KHP!T343,KHP!X343,KHP!AB343,KHP!AF343))=11)*(CHOOSE({1,2,3,4},KHP!W343,KHP!AA343,KHP!AE343,KHP!AI343)))</f>
        <v>0</v>
      </c>
      <c r="L343">
        <f>SUMPRODUCT((MONTH(CHOOSE({1,2,3,4},KHP!T343,KHP!X343,KHP!AB343,KHP!AF343))=12)*(CHOOSE({1,2,3,4},KHP!W343,KHP!AA343,KHP!AE343,KHP!AI343)))</f>
        <v>0</v>
      </c>
    </row>
    <row r="344" spans="1:12">
      <c r="A344">
        <f>SUMPRODUCT((MONTH(CHOOSE({1,2,3,4},KHP!T344,KHP!X344,KHP!AB344,KHP!AF344))=1)*(CHOOSE({1,2,3,4},KHP!W344,KHP!AA344,KHP!AE344,KHP!AI344)))</f>
        <v>0</v>
      </c>
      <c r="B344">
        <f>SUMPRODUCT((MONTH(CHOOSE({1,2,3,4},KHP!T344,KHP!X344,KHP!AB344,KHP!AF344))=2)*(CHOOSE({1,2,3,4},KHP!W344,KHP!AA344,KHP!AE344,KHP!AI344)))</f>
        <v>0</v>
      </c>
      <c r="C344">
        <f>SUMPRODUCT((MONTH(CHOOSE({1,2,3,4},KHP!T344,KHP!X344,KHP!AB344,KHP!AF344))=3)*(CHOOSE({1,2,3,4},KHP!W344,KHP!AA344,KHP!AE344,KHP!AI344)))</f>
        <v>0</v>
      </c>
      <c r="D344">
        <f>SUMPRODUCT((MONTH(CHOOSE({1,2,3,4},KHP!T344,KHP!X344,KHP!AB344,KHP!AF344))=4)*(CHOOSE({1,2,3,4},KHP!W344,KHP!AA344,KHP!AE344,KHP!AI344)))</f>
        <v>0</v>
      </c>
      <c r="E344">
        <f>SUMPRODUCT((MONTH(CHOOSE({1,2,3,4},KHP!T344,KHP!X344,KHP!AB344,KHP!AF344))=5)*(CHOOSE({1,2,3,4},KHP!W344,KHP!AA344,KHP!AE344,KHP!AI344)))</f>
        <v>0</v>
      </c>
      <c r="F344">
        <f>SUMPRODUCT((MONTH(CHOOSE({1,2,3,4},KHP!T344,KHP!X344,KHP!AB344,KHP!AF344))=6)*(CHOOSE({1,2,3,4},KHP!W344,KHP!AA344,KHP!AE344,KHP!AI344)))</f>
        <v>0</v>
      </c>
      <c r="G344">
        <f>SUMPRODUCT((MONTH(CHOOSE({1,2,3,4},KHP!T344,KHP!X344,KHP!AB344,KHP!AF344))=7)*(CHOOSE({1,2,3,4},KHP!W344,KHP!AA344,KHP!AE344,KHP!AI344)))</f>
        <v>0</v>
      </c>
      <c r="H344">
        <f>SUMPRODUCT((MONTH(CHOOSE({1,2,3,4},KHP!T344,KHP!X344,KHP!AB344,KHP!AF344))=8)*(CHOOSE({1,2,3,4},KHP!W344,KHP!AA344,KHP!AE344,KHP!AI344)))</f>
        <v>0</v>
      </c>
      <c r="I344">
        <f>SUMPRODUCT((MONTH(CHOOSE({1,2,3,4},KHP!T344,KHP!X344,KHP!AB344,KHP!AF344))=9)*(CHOOSE({1,2,3,4},KHP!W344,KHP!AA344,KHP!AE344,KHP!AI344)))</f>
        <v>0</v>
      </c>
      <c r="J344">
        <f>SUMPRODUCT((MONTH(CHOOSE({1,2,3,4},KHP!T344,KHP!X344,KHP!AB344,KHP!AF344))=10)*(CHOOSE({1,2,3,4},KHP!W344,KHP!AA344,KHP!AE344,KHP!AI344)))</f>
        <v>0</v>
      </c>
      <c r="K344">
        <f>SUMPRODUCT((MONTH(CHOOSE({1,2,3,4},KHP!T344,KHP!X344,KHP!AB344,KHP!AF344))=11)*(CHOOSE({1,2,3,4},KHP!W344,KHP!AA344,KHP!AE344,KHP!AI344)))</f>
        <v>0</v>
      </c>
      <c r="L344">
        <f>SUMPRODUCT((MONTH(CHOOSE({1,2,3,4},KHP!T344,KHP!X344,KHP!AB344,KHP!AF344))=12)*(CHOOSE({1,2,3,4},KHP!W344,KHP!AA344,KHP!AE344,KHP!AI344)))</f>
        <v>0</v>
      </c>
    </row>
    <row r="345" spans="1:12">
      <c r="A345">
        <f>SUMPRODUCT((MONTH(CHOOSE({1,2,3,4},KHP!T345,KHP!X345,KHP!AB345,KHP!AF345))=1)*(CHOOSE({1,2,3,4},KHP!W345,KHP!AA345,KHP!AE345,KHP!AI345)))</f>
        <v>0</v>
      </c>
      <c r="B345">
        <f>SUMPRODUCT((MONTH(CHOOSE({1,2,3,4},KHP!T345,KHP!X345,KHP!AB345,KHP!AF345))=2)*(CHOOSE({1,2,3,4},KHP!W345,KHP!AA345,KHP!AE345,KHP!AI345)))</f>
        <v>0</v>
      </c>
      <c r="C345">
        <f>SUMPRODUCT((MONTH(CHOOSE({1,2,3,4},KHP!T345,KHP!X345,KHP!AB345,KHP!AF345))=3)*(CHOOSE({1,2,3,4},KHP!W345,KHP!AA345,KHP!AE345,KHP!AI345)))</f>
        <v>0</v>
      </c>
      <c r="D345">
        <f>SUMPRODUCT((MONTH(CHOOSE({1,2,3,4},KHP!T345,KHP!X345,KHP!AB345,KHP!AF345))=4)*(CHOOSE({1,2,3,4},KHP!W345,KHP!AA345,KHP!AE345,KHP!AI345)))</f>
        <v>0</v>
      </c>
      <c r="E345">
        <f>SUMPRODUCT((MONTH(CHOOSE({1,2,3,4},KHP!T345,KHP!X345,KHP!AB345,KHP!AF345))=5)*(CHOOSE({1,2,3,4},KHP!W345,KHP!AA345,KHP!AE345,KHP!AI345)))</f>
        <v>0</v>
      </c>
      <c r="F345">
        <f>SUMPRODUCT((MONTH(CHOOSE({1,2,3,4},KHP!T345,KHP!X345,KHP!AB345,KHP!AF345))=6)*(CHOOSE({1,2,3,4},KHP!W345,KHP!AA345,KHP!AE345,KHP!AI345)))</f>
        <v>0</v>
      </c>
      <c r="G345">
        <f>SUMPRODUCT((MONTH(CHOOSE({1,2,3,4},KHP!T345,KHP!X345,KHP!AB345,KHP!AF345))=7)*(CHOOSE({1,2,3,4},KHP!W345,KHP!AA345,KHP!AE345,KHP!AI345)))</f>
        <v>0</v>
      </c>
      <c r="H345">
        <f>SUMPRODUCT((MONTH(CHOOSE({1,2,3,4},KHP!T345,KHP!X345,KHP!AB345,KHP!AF345))=8)*(CHOOSE({1,2,3,4},KHP!W345,KHP!AA345,KHP!AE345,KHP!AI345)))</f>
        <v>0</v>
      </c>
      <c r="I345">
        <f>SUMPRODUCT((MONTH(CHOOSE({1,2,3,4},KHP!T345,KHP!X345,KHP!AB345,KHP!AF345))=9)*(CHOOSE({1,2,3,4},KHP!W345,KHP!AA345,KHP!AE345,KHP!AI345)))</f>
        <v>0</v>
      </c>
      <c r="J345">
        <f>SUMPRODUCT((MONTH(CHOOSE({1,2,3,4},KHP!T345,KHP!X345,KHP!AB345,KHP!AF345))=10)*(CHOOSE({1,2,3,4},KHP!W345,KHP!AA345,KHP!AE345,KHP!AI345)))</f>
        <v>0</v>
      </c>
      <c r="K345">
        <f>SUMPRODUCT((MONTH(CHOOSE({1,2,3,4},KHP!T345,KHP!X345,KHP!AB345,KHP!AF345))=11)*(CHOOSE({1,2,3,4},KHP!W345,KHP!AA345,KHP!AE345,KHP!AI345)))</f>
        <v>0</v>
      </c>
      <c r="L345">
        <f>SUMPRODUCT((MONTH(CHOOSE({1,2,3,4},KHP!T345,KHP!X345,KHP!AB345,KHP!AF345))=12)*(CHOOSE({1,2,3,4},KHP!W345,KHP!AA345,KHP!AE345,KHP!AI345)))</f>
        <v>0</v>
      </c>
    </row>
    <row r="346" spans="1:12">
      <c r="A346">
        <f>SUMPRODUCT((MONTH(CHOOSE({1,2,3,4},KHP!T346,KHP!X346,KHP!AB346,KHP!AF346))=1)*(CHOOSE({1,2,3,4},KHP!W346,KHP!AA346,KHP!AE346,KHP!AI346)))</f>
        <v>0</v>
      </c>
      <c r="B346">
        <f>SUMPRODUCT((MONTH(CHOOSE({1,2,3,4},KHP!T346,KHP!X346,KHP!AB346,KHP!AF346))=2)*(CHOOSE({1,2,3,4},KHP!W346,KHP!AA346,KHP!AE346,KHP!AI346)))</f>
        <v>0</v>
      </c>
      <c r="C346">
        <f>SUMPRODUCT((MONTH(CHOOSE({1,2,3,4},KHP!T346,KHP!X346,KHP!AB346,KHP!AF346))=3)*(CHOOSE({1,2,3,4},KHP!W346,KHP!AA346,KHP!AE346,KHP!AI346)))</f>
        <v>0</v>
      </c>
      <c r="D346">
        <f>SUMPRODUCT((MONTH(CHOOSE({1,2,3,4},KHP!T346,KHP!X346,KHP!AB346,KHP!AF346))=4)*(CHOOSE({1,2,3,4},KHP!W346,KHP!AA346,KHP!AE346,KHP!AI346)))</f>
        <v>0</v>
      </c>
      <c r="E346">
        <f>SUMPRODUCT((MONTH(CHOOSE({1,2,3,4},KHP!T346,KHP!X346,KHP!AB346,KHP!AF346))=5)*(CHOOSE({1,2,3,4},KHP!W346,KHP!AA346,KHP!AE346,KHP!AI346)))</f>
        <v>0</v>
      </c>
      <c r="F346">
        <f>SUMPRODUCT((MONTH(CHOOSE({1,2,3,4},KHP!T346,KHP!X346,KHP!AB346,KHP!AF346))=6)*(CHOOSE({1,2,3,4},KHP!W346,KHP!AA346,KHP!AE346,KHP!AI346)))</f>
        <v>0</v>
      </c>
      <c r="G346">
        <f>SUMPRODUCT((MONTH(CHOOSE({1,2,3,4},KHP!T346,KHP!X346,KHP!AB346,KHP!AF346))=7)*(CHOOSE({1,2,3,4},KHP!W346,KHP!AA346,KHP!AE346,KHP!AI346)))</f>
        <v>0</v>
      </c>
      <c r="H346">
        <f>SUMPRODUCT((MONTH(CHOOSE({1,2,3,4},KHP!T346,KHP!X346,KHP!AB346,KHP!AF346))=8)*(CHOOSE({1,2,3,4},KHP!W346,KHP!AA346,KHP!AE346,KHP!AI346)))</f>
        <v>0</v>
      </c>
      <c r="I346">
        <f>SUMPRODUCT((MONTH(CHOOSE({1,2,3,4},KHP!T346,KHP!X346,KHP!AB346,KHP!AF346))=9)*(CHOOSE({1,2,3,4},KHP!W346,KHP!AA346,KHP!AE346,KHP!AI346)))</f>
        <v>0</v>
      </c>
      <c r="J346">
        <f>SUMPRODUCT((MONTH(CHOOSE({1,2,3,4},KHP!T346,KHP!X346,KHP!AB346,KHP!AF346))=10)*(CHOOSE({1,2,3,4},KHP!W346,KHP!AA346,KHP!AE346,KHP!AI346)))</f>
        <v>0</v>
      </c>
      <c r="K346">
        <f>SUMPRODUCT((MONTH(CHOOSE({1,2,3,4},KHP!T346,KHP!X346,KHP!AB346,KHP!AF346))=11)*(CHOOSE({1,2,3,4},KHP!W346,KHP!AA346,KHP!AE346,KHP!AI346)))</f>
        <v>0</v>
      </c>
      <c r="L346">
        <f>SUMPRODUCT((MONTH(CHOOSE({1,2,3,4},KHP!T346,KHP!X346,KHP!AB346,KHP!AF346))=12)*(CHOOSE({1,2,3,4},KHP!W346,KHP!AA346,KHP!AE346,KHP!AI346)))</f>
        <v>0</v>
      </c>
    </row>
    <row r="347" spans="1:12">
      <c r="A347">
        <f>SUMPRODUCT((MONTH(CHOOSE({1,2,3,4},KHP!T347,KHP!X347,KHP!AB347,KHP!AF347))=1)*(CHOOSE({1,2,3,4},KHP!W347,KHP!AA347,KHP!AE347,KHP!AI347)))</f>
        <v>0</v>
      </c>
      <c r="B347">
        <f>SUMPRODUCT((MONTH(CHOOSE({1,2,3,4},KHP!T347,KHP!X347,KHP!AB347,KHP!AF347))=2)*(CHOOSE({1,2,3,4},KHP!W347,KHP!AA347,KHP!AE347,KHP!AI347)))</f>
        <v>0</v>
      </c>
      <c r="C347">
        <f>SUMPRODUCT((MONTH(CHOOSE({1,2,3,4},KHP!T347,KHP!X347,KHP!AB347,KHP!AF347))=3)*(CHOOSE({1,2,3,4},KHP!W347,KHP!AA347,KHP!AE347,KHP!AI347)))</f>
        <v>0</v>
      </c>
      <c r="D347">
        <f>SUMPRODUCT((MONTH(CHOOSE({1,2,3,4},KHP!T347,KHP!X347,KHP!AB347,KHP!AF347))=4)*(CHOOSE({1,2,3,4},KHP!W347,KHP!AA347,KHP!AE347,KHP!AI347)))</f>
        <v>0</v>
      </c>
      <c r="E347">
        <f>SUMPRODUCT((MONTH(CHOOSE({1,2,3,4},KHP!T347,KHP!X347,KHP!AB347,KHP!AF347))=5)*(CHOOSE({1,2,3,4},KHP!W347,KHP!AA347,KHP!AE347,KHP!AI347)))</f>
        <v>0</v>
      </c>
      <c r="F347">
        <f>SUMPRODUCT((MONTH(CHOOSE({1,2,3,4},KHP!T347,KHP!X347,KHP!AB347,KHP!AF347))=6)*(CHOOSE({1,2,3,4},KHP!W347,KHP!AA347,KHP!AE347,KHP!AI347)))</f>
        <v>0</v>
      </c>
      <c r="G347">
        <f>SUMPRODUCT((MONTH(CHOOSE({1,2,3,4},KHP!T347,KHP!X347,KHP!AB347,KHP!AF347))=7)*(CHOOSE({1,2,3,4},KHP!W347,KHP!AA347,KHP!AE347,KHP!AI347)))</f>
        <v>0</v>
      </c>
      <c r="H347">
        <f>SUMPRODUCT((MONTH(CHOOSE({1,2,3,4},KHP!T347,KHP!X347,KHP!AB347,KHP!AF347))=8)*(CHOOSE({1,2,3,4},KHP!W347,KHP!AA347,KHP!AE347,KHP!AI347)))</f>
        <v>0</v>
      </c>
      <c r="I347">
        <f>SUMPRODUCT((MONTH(CHOOSE({1,2,3,4},KHP!T347,KHP!X347,KHP!AB347,KHP!AF347))=9)*(CHOOSE({1,2,3,4},KHP!W347,KHP!AA347,KHP!AE347,KHP!AI347)))</f>
        <v>0</v>
      </c>
      <c r="J347">
        <f>SUMPRODUCT((MONTH(CHOOSE({1,2,3,4},KHP!T347,KHP!X347,KHP!AB347,KHP!AF347))=10)*(CHOOSE({1,2,3,4},KHP!W347,KHP!AA347,KHP!AE347,KHP!AI347)))</f>
        <v>0</v>
      </c>
      <c r="K347">
        <f>SUMPRODUCT((MONTH(CHOOSE({1,2,3,4},KHP!T347,KHP!X347,KHP!AB347,KHP!AF347))=11)*(CHOOSE({1,2,3,4},KHP!W347,KHP!AA347,KHP!AE347,KHP!AI347)))</f>
        <v>0</v>
      </c>
      <c r="L347">
        <f>SUMPRODUCT((MONTH(CHOOSE({1,2,3,4},KHP!T347,KHP!X347,KHP!AB347,KHP!AF347))=12)*(CHOOSE({1,2,3,4},KHP!W347,KHP!AA347,KHP!AE347,KHP!AI347)))</f>
        <v>0</v>
      </c>
    </row>
    <row r="348" spans="1:12">
      <c r="A348">
        <f>SUMPRODUCT((MONTH(CHOOSE({1,2,3,4},KHP!T348,KHP!X348,KHP!AB348,KHP!AF348))=1)*(CHOOSE({1,2,3,4},KHP!W348,KHP!AA348,KHP!AE348,KHP!AI348)))</f>
        <v>0</v>
      </c>
      <c r="B348">
        <f>SUMPRODUCT((MONTH(CHOOSE({1,2,3,4},KHP!T348,KHP!X348,KHP!AB348,KHP!AF348))=2)*(CHOOSE({1,2,3,4},KHP!W348,KHP!AA348,KHP!AE348,KHP!AI348)))</f>
        <v>0</v>
      </c>
      <c r="C348">
        <f>SUMPRODUCT((MONTH(CHOOSE({1,2,3,4},KHP!T348,KHP!X348,KHP!AB348,KHP!AF348))=3)*(CHOOSE({1,2,3,4},KHP!W348,KHP!AA348,KHP!AE348,KHP!AI348)))</f>
        <v>0</v>
      </c>
      <c r="D348">
        <f>SUMPRODUCT((MONTH(CHOOSE({1,2,3,4},KHP!T348,KHP!X348,KHP!AB348,KHP!AF348))=4)*(CHOOSE({1,2,3,4},KHP!W348,KHP!AA348,KHP!AE348,KHP!AI348)))</f>
        <v>0</v>
      </c>
      <c r="E348">
        <f>SUMPRODUCT((MONTH(CHOOSE({1,2,3,4},KHP!T348,KHP!X348,KHP!AB348,KHP!AF348))=5)*(CHOOSE({1,2,3,4},KHP!W348,KHP!AA348,KHP!AE348,KHP!AI348)))</f>
        <v>0</v>
      </c>
      <c r="F348">
        <f>SUMPRODUCT((MONTH(CHOOSE({1,2,3,4},KHP!T348,KHP!X348,KHP!AB348,KHP!AF348))=6)*(CHOOSE({1,2,3,4},KHP!W348,KHP!AA348,KHP!AE348,KHP!AI348)))</f>
        <v>0</v>
      </c>
      <c r="G348">
        <f>SUMPRODUCT((MONTH(CHOOSE({1,2,3,4},KHP!T348,KHP!X348,KHP!AB348,KHP!AF348))=7)*(CHOOSE({1,2,3,4},KHP!W348,KHP!AA348,KHP!AE348,KHP!AI348)))</f>
        <v>0</v>
      </c>
      <c r="H348">
        <f>SUMPRODUCT((MONTH(CHOOSE({1,2,3,4},KHP!T348,KHP!X348,KHP!AB348,KHP!AF348))=8)*(CHOOSE({1,2,3,4},KHP!W348,KHP!AA348,KHP!AE348,KHP!AI348)))</f>
        <v>0</v>
      </c>
      <c r="I348">
        <f>SUMPRODUCT((MONTH(CHOOSE({1,2,3,4},KHP!T348,KHP!X348,KHP!AB348,KHP!AF348))=9)*(CHOOSE({1,2,3,4},KHP!W348,KHP!AA348,KHP!AE348,KHP!AI348)))</f>
        <v>0</v>
      </c>
      <c r="J348">
        <f>SUMPRODUCT((MONTH(CHOOSE({1,2,3,4},KHP!T348,KHP!X348,KHP!AB348,KHP!AF348))=10)*(CHOOSE({1,2,3,4},KHP!W348,KHP!AA348,KHP!AE348,KHP!AI348)))</f>
        <v>0</v>
      </c>
      <c r="K348">
        <f>SUMPRODUCT((MONTH(CHOOSE({1,2,3,4},KHP!T348,KHP!X348,KHP!AB348,KHP!AF348))=11)*(CHOOSE({1,2,3,4},KHP!W348,KHP!AA348,KHP!AE348,KHP!AI348)))</f>
        <v>0</v>
      </c>
      <c r="L348">
        <f>SUMPRODUCT((MONTH(CHOOSE({1,2,3,4},KHP!T348,KHP!X348,KHP!AB348,KHP!AF348))=12)*(CHOOSE({1,2,3,4},KHP!W348,KHP!AA348,KHP!AE348,KHP!AI348)))</f>
        <v>0</v>
      </c>
    </row>
    <row r="349" spans="1:12">
      <c r="A349">
        <f>SUMPRODUCT((MONTH(CHOOSE({1,2,3,4},KHP!T349,KHP!X349,KHP!AB349,KHP!AF349))=1)*(CHOOSE({1,2,3,4},KHP!W349,KHP!AA349,KHP!AE349,KHP!AI349)))</f>
        <v>0</v>
      </c>
      <c r="B349">
        <f>SUMPRODUCT((MONTH(CHOOSE({1,2,3,4},KHP!T349,KHP!X349,KHP!AB349,KHP!AF349))=2)*(CHOOSE({1,2,3,4},KHP!W349,KHP!AA349,KHP!AE349,KHP!AI349)))</f>
        <v>0</v>
      </c>
      <c r="C349">
        <f>SUMPRODUCT((MONTH(CHOOSE({1,2,3,4},KHP!T349,KHP!X349,KHP!AB349,KHP!AF349))=3)*(CHOOSE({1,2,3,4},KHP!W349,KHP!AA349,KHP!AE349,KHP!AI349)))</f>
        <v>0</v>
      </c>
      <c r="D349">
        <f>SUMPRODUCT((MONTH(CHOOSE({1,2,3,4},KHP!T349,KHP!X349,KHP!AB349,KHP!AF349))=4)*(CHOOSE({1,2,3,4},KHP!W349,KHP!AA349,KHP!AE349,KHP!AI349)))</f>
        <v>0</v>
      </c>
      <c r="E349">
        <f>SUMPRODUCT((MONTH(CHOOSE({1,2,3,4},KHP!T349,KHP!X349,KHP!AB349,KHP!AF349))=5)*(CHOOSE({1,2,3,4},KHP!W349,KHP!AA349,KHP!AE349,KHP!AI349)))</f>
        <v>0</v>
      </c>
      <c r="F349">
        <f>SUMPRODUCT((MONTH(CHOOSE({1,2,3,4},KHP!T349,KHP!X349,KHP!AB349,KHP!AF349))=6)*(CHOOSE({1,2,3,4},KHP!W349,KHP!AA349,KHP!AE349,KHP!AI349)))</f>
        <v>0</v>
      </c>
      <c r="G349">
        <f>SUMPRODUCT((MONTH(CHOOSE({1,2,3,4},KHP!T349,KHP!X349,KHP!AB349,KHP!AF349))=7)*(CHOOSE({1,2,3,4},KHP!W349,KHP!AA349,KHP!AE349,KHP!AI349)))</f>
        <v>0</v>
      </c>
      <c r="H349">
        <f>SUMPRODUCT((MONTH(CHOOSE({1,2,3,4},KHP!T349,KHP!X349,KHP!AB349,KHP!AF349))=8)*(CHOOSE({1,2,3,4},KHP!W349,KHP!AA349,KHP!AE349,KHP!AI349)))</f>
        <v>0</v>
      </c>
      <c r="I349">
        <f>SUMPRODUCT((MONTH(CHOOSE({1,2,3,4},KHP!T349,KHP!X349,KHP!AB349,KHP!AF349))=9)*(CHOOSE({1,2,3,4},KHP!W349,KHP!AA349,KHP!AE349,KHP!AI349)))</f>
        <v>0</v>
      </c>
      <c r="J349">
        <f>SUMPRODUCT((MONTH(CHOOSE({1,2,3,4},KHP!T349,KHP!X349,KHP!AB349,KHP!AF349))=10)*(CHOOSE({1,2,3,4},KHP!W349,KHP!AA349,KHP!AE349,KHP!AI349)))</f>
        <v>0</v>
      </c>
      <c r="K349">
        <f>SUMPRODUCT((MONTH(CHOOSE({1,2,3,4},KHP!T349,KHP!X349,KHP!AB349,KHP!AF349))=11)*(CHOOSE({1,2,3,4},KHP!W349,KHP!AA349,KHP!AE349,KHP!AI349)))</f>
        <v>0</v>
      </c>
      <c r="L349">
        <f>SUMPRODUCT((MONTH(CHOOSE({1,2,3,4},KHP!T349,KHP!X349,KHP!AB349,KHP!AF349))=12)*(CHOOSE({1,2,3,4},KHP!W349,KHP!AA349,KHP!AE349,KHP!AI349)))</f>
        <v>0</v>
      </c>
    </row>
    <row r="350" spans="1:12">
      <c r="A350">
        <f>SUMPRODUCT((MONTH(CHOOSE({1,2,3,4},KHP!T350,KHP!X350,KHP!AB350,KHP!AF350))=1)*(CHOOSE({1,2,3,4},KHP!W350,KHP!AA350,KHP!AE350,KHP!AI350)))</f>
        <v>0</v>
      </c>
      <c r="B350">
        <f>SUMPRODUCT((MONTH(CHOOSE({1,2,3,4},KHP!T350,KHP!X350,KHP!AB350,KHP!AF350))=2)*(CHOOSE({1,2,3,4},KHP!W350,KHP!AA350,KHP!AE350,KHP!AI350)))</f>
        <v>0</v>
      </c>
      <c r="C350">
        <f>SUMPRODUCT((MONTH(CHOOSE({1,2,3,4},KHP!T350,KHP!X350,KHP!AB350,KHP!AF350))=3)*(CHOOSE({1,2,3,4},KHP!W350,KHP!AA350,KHP!AE350,KHP!AI350)))</f>
        <v>0</v>
      </c>
      <c r="D350">
        <f>SUMPRODUCT((MONTH(CHOOSE({1,2,3,4},KHP!T350,KHP!X350,KHP!AB350,KHP!AF350))=4)*(CHOOSE({1,2,3,4},KHP!W350,KHP!AA350,KHP!AE350,KHP!AI350)))</f>
        <v>0</v>
      </c>
      <c r="E350">
        <f>SUMPRODUCT((MONTH(CHOOSE({1,2,3,4},KHP!T350,KHP!X350,KHP!AB350,KHP!AF350))=5)*(CHOOSE({1,2,3,4},KHP!W350,KHP!AA350,KHP!AE350,KHP!AI350)))</f>
        <v>0</v>
      </c>
      <c r="F350">
        <f>SUMPRODUCT((MONTH(CHOOSE({1,2,3,4},KHP!T350,KHP!X350,KHP!AB350,KHP!AF350))=6)*(CHOOSE({1,2,3,4},KHP!W350,KHP!AA350,KHP!AE350,KHP!AI350)))</f>
        <v>0</v>
      </c>
      <c r="G350">
        <f>SUMPRODUCT((MONTH(CHOOSE({1,2,3,4},KHP!T350,KHP!X350,KHP!AB350,KHP!AF350))=7)*(CHOOSE({1,2,3,4},KHP!W350,KHP!AA350,KHP!AE350,KHP!AI350)))</f>
        <v>0</v>
      </c>
      <c r="H350">
        <f>SUMPRODUCT((MONTH(CHOOSE({1,2,3,4},KHP!T350,KHP!X350,KHP!AB350,KHP!AF350))=8)*(CHOOSE({1,2,3,4},KHP!W350,KHP!AA350,KHP!AE350,KHP!AI350)))</f>
        <v>0</v>
      </c>
      <c r="I350">
        <f>SUMPRODUCT((MONTH(CHOOSE({1,2,3,4},KHP!T350,KHP!X350,KHP!AB350,KHP!AF350))=9)*(CHOOSE({1,2,3,4},KHP!W350,KHP!AA350,KHP!AE350,KHP!AI350)))</f>
        <v>0</v>
      </c>
      <c r="J350">
        <f>SUMPRODUCT((MONTH(CHOOSE({1,2,3,4},KHP!T350,KHP!X350,KHP!AB350,KHP!AF350))=10)*(CHOOSE({1,2,3,4},KHP!W350,KHP!AA350,KHP!AE350,KHP!AI350)))</f>
        <v>0</v>
      </c>
      <c r="K350">
        <f>SUMPRODUCT((MONTH(CHOOSE({1,2,3,4},KHP!T350,KHP!X350,KHP!AB350,KHP!AF350))=11)*(CHOOSE({1,2,3,4},KHP!W350,KHP!AA350,KHP!AE350,KHP!AI350)))</f>
        <v>0</v>
      </c>
      <c r="L350">
        <f>SUMPRODUCT((MONTH(CHOOSE({1,2,3,4},KHP!T350,KHP!X350,KHP!AB350,KHP!AF350))=12)*(CHOOSE({1,2,3,4},KHP!W350,KHP!AA350,KHP!AE350,KHP!AI350)))</f>
        <v>0</v>
      </c>
    </row>
    <row r="351" spans="1:12">
      <c r="A351">
        <f>SUMPRODUCT((MONTH(CHOOSE({1,2,3,4},KHP!T351,KHP!X351,KHP!AB351,KHP!AF351))=1)*(CHOOSE({1,2,3,4},KHP!W351,KHP!AA351,KHP!AE351,KHP!AI351)))</f>
        <v>0</v>
      </c>
      <c r="B351">
        <f>SUMPRODUCT((MONTH(CHOOSE({1,2,3,4},KHP!T351,KHP!X351,KHP!AB351,KHP!AF351))=2)*(CHOOSE({1,2,3,4},KHP!W351,KHP!AA351,KHP!AE351,KHP!AI351)))</f>
        <v>0</v>
      </c>
      <c r="C351">
        <f>SUMPRODUCT((MONTH(CHOOSE({1,2,3,4},KHP!T351,KHP!X351,KHP!AB351,KHP!AF351))=3)*(CHOOSE({1,2,3,4},KHP!W351,KHP!AA351,KHP!AE351,KHP!AI351)))</f>
        <v>0</v>
      </c>
      <c r="D351">
        <f>SUMPRODUCT((MONTH(CHOOSE({1,2,3,4},KHP!T351,KHP!X351,KHP!AB351,KHP!AF351))=4)*(CHOOSE({1,2,3,4},KHP!W351,KHP!AA351,KHP!AE351,KHP!AI351)))</f>
        <v>0</v>
      </c>
      <c r="E351">
        <f>SUMPRODUCT((MONTH(CHOOSE({1,2,3,4},KHP!T351,KHP!X351,KHP!AB351,KHP!AF351))=5)*(CHOOSE({1,2,3,4},KHP!W351,KHP!AA351,KHP!AE351,KHP!AI351)))</f>
        <v>0</v>
      </c>
      <c r="F351">
        <f>SUMPRODUCT((MONTH(CHOOSE({1,2,3,4},KHP!T351,KHP!X351,KHP!AB351,KHP!AF351))=6)*(CHOOSE({1,2,3,4},KHP!W351,KHP!AA351,KHP!AE351,KHP!AI351)))</f>
        <v>0</v>
      </c>
      <c r="G351">
        <f>SUMPRODUCT((MONTH(CHOOSE({1,2,3,4},KHP!T351,KHP!X351,KHP!AB351,KHP!AF351))=7)*(CHOOSE({1,2,3,4},KHP!W351,KHP!AA351,KHP!AE351,KHP!AI351)))</f>
        <v>0</v>
      </c>
      <c r="H351">
        <f>SUMPRODUCT((MONTH(CHOOSE({1,2,3,4},KHP!T351,KHP!X351,KHP!AB351,KHP!AF351))=8)*(CHOOSE({1,2,3,4},KHP!W351,KHP!AA351,KHP!AE351,KHP!AI351)))</f>
        <v>0</v>
      </c>
      <c r="I351">
        <f>SUMPRODUCT((MONTH(CHOOSE({1,2,3,4},KHP!T351,KHP!X351,KHP!AB351,KHP!AF351))=9)*(CHOOSE({1,2,3,4},KHP!W351,KHP!AA351,KHP!AE351,KHP!AI351)))</f>
        <v>0</v>
      </c>
      <c r="J351">
        <f>SUMPRODUCT((MONTH(CHOOSE({1,2,3,4},KHP!T351,KHP!X351,KHP!AB351,KHP!AF351))=10)*(CHOOSE({1,2,3,4},KHP!W351,KHP!AA351,KHP!AE351,KHP!AI351)))</f>
        <v>0</v>
      </c>
      <c r="K351">
        <f>SUMPRODUCT((MONTH(CHOOSE({1,2,3,4},KHP!T351,KHP!X351,KHP!AB351,KHP!AF351))=11)*(CHOOSE({1,2,3,4},KHP!W351,KHP!AA351,KHP!AE351,KHP!AI351)))</f>
        <v>0</v>
      </c>
      <c r="L351">
        <f>SUMPRODUCT((MONTH(CHOOSE({1,2,3,4},KHP!T351,KHP!X351,KHP!AB351,KHP!AF351))=12)*(CHOOSE({1,2,3,4},KHP!W351,KHP!AA351,KHP!AE351,KHP!AI351)))</f>
        <v>0</v>
      </c>
    </row>
    <row r="352" spans="1:12">
      <c r="A352">
        <f>SUMPRODUCT((MONTH(CHOOSE({1,2,3,4},KHP!T352,KHP!X352,KHP!AB352,KHP!AF352))=1)*(CHOOSE({1,2,3,4},KHP!W352,KHP!AA352,KHP!AE352,KHP!AI352)))</f>
        <v>0</v>
      </c>
      <c r="B352">
        <f>SUMPRODUCT((MONTH(CHOOSE({1,2,3,4},KHP!T352,KHP!X352,KHP!AB352,KHP!AF352))=2)*(CHOOSE({1,2,3,4},KHP!W352,KHP!AA352,KHP!AE352,KHP!AI352)))</f>
        <v>0</v>
      </c>
      <c r="C352">
        <f>SUMPRODUCT((MONTH(CHOOSE({1,2,3,4},KHP!T352,KHP!X352,KHP!AB352,KHP!AF352))=3)*(CHOOSE({1,2,3,4},KHP!W352,KHP!AA352,KHP!AE352,KHP!AI352)))</f>
        <v>0</v>
      </c>
      <c r="D352">
        <f>SUMPRODUCT((MONTH(CHOOSE({1,2,3,4},KHP!T352,KHP!X352,KHP!AB352,KHP!AF352))=4)*(CHOOSE({1,2,3,4},KHP!W352,KHP!AA352,KHP!AE352,KHP!AI352)))</f>
        <v>0</v>
      </c>
      <c r="E352">
        <f>SUMPRODUCT((MONTH(CHOOSE({1,2,3,4},KHP!T352,KHP!X352,KHP!AB352,KHP!AF352))=5)*(CHOOSE({1,2,3,4},KHP!W352,KHP!AA352,KHP!AE352,KHP!AI352)))</f>
        <v>0</v>
      </c>
      <c r="F352">
        <f>SUMPRODUCT((MONTH(CHOOSE({1,2,3,4},KHP!T352,KHP!X352,KHP!AB352,KHP!AF352))=6)*(CHOOSE({1,2,3,4},KHP!W352,KHP!AA352,KHP!AE352,KHP!AI352)))</f>
        <v>0</v>
      </c>
      <c r="G352">
        <f>SUMPRODUCT((MONTH(CHOOSE({1,2,3,4},KHP!T352,KHP!X352,KHP!AB352,KHP!AF352))=7)*(CHOOSE({1,2,3,4},KHP!W352,KHP!AA352,KHP!AE352,KHP!AI352)))</f>
        <v>0</v>
      </c>
      <c r="H352">
        <f>SUMPRODUCT((MONTH(CHOOSE({1,2,3,4},KHP!T352,KHP!X352,KHP!AB352,KHP!AF352))=8)*(CHOOSE({1,2,3,4},KHP!W352,KHP!AA352,KHP!AE352,KHP!AI352)))</f>
        <v>0</v>
      </c>
      <c r="I352">
        <f>SUMPRODUCT((MONTH(CHOOSE({1,2,3,4},KHP!T352,KHP!X352,KHP!AB352,KHP!AF352))=9)*(CHOOSE({1,2,3,4},KHP!W352,KHP!AA352,KHP!AE352,KHP!AI352)))</f>
        <v>0</v>
      </c>
      <c r="J352">
        <f>SUMPRODUCT((MONTH(CHOOSE({1,2,3,4},KHP!T352,KHP!X352,KHP!AB352,KHP!AF352))=10)*(CHOOSE({1,2,3,4},KHP!W352,KHP!AA352,KHP!AE352,KHP!AI352)))</f>
        <v>0</v>
      </c>
      <c r="K352">
        <f>SUMPRODUCT((MONTH(CHOOSE({1,2,3,4},KHP!T352,KHP!X352,KHP!AB352,KHP!AF352))=11)*(CHOOSE({1,2,3,4},KHP!W352,KHP!AA352,KHP!AE352,KHP!AI352)))</f>
        <v>0</v>
      </c>
      <c r="L352">
        <f>SUMPRODUCT((MONTH(CHOOSE({1,2,3,4},KHP!T352,KHP!X352,KHP!AB352,KHP!AF352))=12)*(CHOOSE({1,2,3,4},KHP!W352,KHP!AA352,KHP!AE352,KHP!AI352)))</f>
        <v>0</v>
      </c>
    </row>
    <row r="353" spans="1:12">
      <c r="A353">
        <f>SUMPRODUCT((MONTH(CHOOSE({1,2,3,4},KHP!T353,KHP!X353,KHP!AB353,KHP!AF353))=1)*(CHOOSE({1,2,3,4},KHP!W353,KHP!AA353,KHP!AE353,KHP!AI353)))</f>
        <v>0</v>
      </c>
      <c r="B353">
        <f>SUMPRODUCT((MONTH(CHOOSE({1,2,3,4},KHP!T353,KHP!X353,KHP!AB353,KHP!AF353))=2)*(CHOOSE({1,2,3,4},KHP!W353,KHP!AA353,KHP!AE353,KHP!AI353)))</f>
        <v>0</v>
      </c>
      <c r="C353">
        <f>SUMPRODUCT((MONTH(CHOOSE({1,2,3,4},KHP!T353,KHP!X353,KHP!AB353,KHP!AF353))=3)*(CHOOSE({1,2,3,4},KHP!W353,KHP!AA353,KHP!AE353,KHP!AI353)))</f>
        <v>0</v>
      </c>
      <c r="D353">
        <f>SUMPRODUCT((MONTH(CHOOSE({1,2,3,4},KHP!T353,KHP!X353,KHP!AB353,KHP!AF353))=4)*(CHOOSE({1,2,3,4},KHP!W353,KHP!AA353,KHP!AE353,KHP!AI353)))</f>
        <v>0</v>
      </c>
      <c r="E353">
        <f>SUMPRODUCT((MONTH(CHOOSE({1,2,3,4},KHP!T353,KHP!X353,KHP!AB353,KHP!AF353))=5)*(CHOOSE({1,2,3,4},KHP!W353,KHP!AA353,KHP!AE353,KHP!AI353)))</f>
        <v>0</v>
      </c>
      <c r="F353">
        <f>SUMPRODUCT((MONTH(CHOOSE({1,2,3,4},KHP!T353,KHP!X353,KHP!AB353,KHP!AF353))=6)*(CHOOSE({1,2,3,4},KHP!W353,KHP!AA353,KHP!AE353,KHP!AI353)))</f>
        <v>0</v>
      </c>
      <c r="G353">
        <f>SUMPRODUCT((MONTH(CHOOSE({1,2,3,4},KHP!T353,KHP!X353,KHP!AB353,KHP!AF353))=7)*(CHOOSE({1,2,3,4},KHP!W353,KHP!AA353,KHP!AE353,KHP!AI353)))</f>
        <v>0</v>
      </c>
      <c r="H353">
        <f>SUMPRODUCT((MONTH(CHOOSE({1,2,3,4},KHP!T353,KHP!X353,KHP!AB353,KHP!AF353))=8)*(CHOOSE({1,2,3,4},KHP!W353,KHP!AA353,KHP!AE353,KHP!AI353)))</f>
        <v>0</v>
      </c>
      <c r="I353">
        <f>SUMPRODUCT((MONTH(CHOOSE({1,2,3,4},KHP!T353,KHP!X353,KHP!AB353,KHP!AF353))=9)*(CHOOSE({1,2,3,4},KHP!W353,KHP!AA353,KHP!AE353,KHP!AI353)))</f>
        <v>0</v>
      </c>
      <c r="J353">
        <f>SUMPRODUCT((MONTH(CHOOSE({1,2,3,4},KHP!T353,KHP!X353,KHP!AB353,KHP!AF353))=10)*(CHOOSE({1,2,3,4},KHP!W353,KHP!AA353,KHP!AE353,KHP!AI353)))</f>
        <v>0</v>
      </c>
      <c r="K353">
        <f>SUMPRODUCT((MONTH(CHOOSE({1,2,3,4},KHP!T353,KHP!X353,KHP!AB353,KHP!AF353))=11)*(CHOOSE({1,2,3,4},KHP!W353,KHP!AA353,KHP!AE353,KHP!AI353)))</f>
        <v>0</v>
      </c>
      <c r="L353">
        <f>SUMPRODUCT((MONTH(CHOOSE({1,2,3,4},KHP!T353,KHP!X353,KHP!AB353,KHP!AF353))=12)*(CHOOSE({1,2,3,4},KHP!W353,KHP!AA353,KHP!AE353,KHP!AI353)))</f>
        <v>0</v>
      </c>
    </row>
    <row r="354" spans="1:12">
      <c r="A354">
        <f>SUMPRODUCT((MONTH(CHOOSE({1,2,3,4},KHP!T354,KHP!X354,KHP!AB354,KHP!AF354))=1)*(CHOOSE({1,2,3,4},KHP!W354,KHP!AA354,KHP!AE354,KHP!AI354)))</f>
        <v>0</v>
      </c>
      <c r="B354">
        <f>SUMPRODUCT((MONTH(CHOOSE({1,2,3,4},KHP!T354,KHP!X354,KHP!AB354,KHP!AF354))=2)*(CHOOSE({1,2,3,4},KHP!W354,KHP!AA354,KHP!AE354,KHP!AI354)))</f>
        <v>0</v>
      </c>
      <c r="C354">
        <f>SUMPRODUCT((MONTH(CHOOSE({1,2,3,4},KHP!T354,KHP!X354,KHP!AB354,KHP!AF354))=3)*(CHOOSE({1,2,3,4},KHP!W354,KHP!AA354,KHP!AE354,KHP!AI354)))</f>
        <v>0</v>
      </c>
      <c r="D354">
        <f>SUMPRODUCT((MONTH(CHOOSE({1,2,3,4},KHP!T354,KHP!X354,KHP!AB354,KHP!AF354))=4)*(CHOOSE({1,2,3,4},KHP!W354,KHP!AA354,KHP!AE354,KHP!AI354)))</f>
        <v>0</v>
      </c>
      <c r="E354">
        <f>SUMPRODUCT((MONTH(CHOOSE({1,2,3,4},KHP!T354,KHP!X354,KHP!AB354,KHP!AF354))=5)*(CHOOSE({1,2,3,4},KHP!W354,KHP!AA354,KHP!AE354,KHP!AI354)))</f>
        <v>0</v>
      </c>
      <c r="F354">
        <f>SUMPRODUCT((MONTH(CHOOSE({1,2,3,4},KHP!T354,KHP!X354,KHP!AB354,KHP!AF354))=6)*(CHOOSE({1,2,3,4},KHP!W354,KHP!AA354,KHP!AE354,KHP!AI354)))</f>
        <v>0</v>
      </c>
      <c r="G354">
        <f>SUMPRODUCT((MONTH(CHOOSE({1,2,3,4},KHP!T354,KHP!X354,KHP!AB354,KHP!AF354))=7)*(CHOOSE({1,2,3,4},KHP!W354,KHP!AA354,KHP!AE354,KHP!AI354)))</f>
        <v>0</v>
      </c>
      <c r="H354">
        <f>SUMPRODUCT((MONTH(CHOOSE({1,2,3,4},KHP!T354,KHP!X354,KHP!AB354,KHP!AF354))=8)*(CHOOSE({1,2,3,4},KHP!W354,KHP!AA354,KHP!AE354,KHP!AI354)))</f>
        <v>0</v>
      </c>
      <c r="I354">
        <f>SUMPRODUCT((MONTH(CHOOSE({1,2,3,4},KHP!T354,KHP!X354,KHP!AB354,KHP!AF354))=9)*(CHOOSE({1,2,3,4},KHP!W354,KHP!AA354,KHP!AE354,KHP!AI354)))</f>
        <v>0</v>
      </c>
      <c r="J354">
        <f>SUMPRODUCT((MONTH(CHOOSE({1,2,3,4},KHP!T354,KHP!X354,KHP!AB354,KHP!AF354))=10)*(CHOOSE({1,2,3,4},KHP!W354,KHP!AA354,KHP!AE354,KHP!AI354)))</f>
        <v>0</v>
      </c>
      <c r="K354">
        <f>SUMPRODUCT((MONTH(CHOOSE({1,2,3,4},KHP!T354,KHP!X354,KHP!AB354,KHP!AF354))=11)*(CHOOSE({1,2,3,4},KHP!W354,KHP!AA354,KHP!AE354,KHP!AI354)))</f>
        <v>0</v>
      </c>
      <c r="L354">
        <f>SUMPRODUCT((MONTH(CHOOSE({1,2,3,4},KHP!T354,KHP!X354,KHP!AB354,KHP!AF354))=12)*(CHOOSE({1,2,3,4},KHP!W354,KHP!AA354,KHP!AE354,KHP!AI354)))</f>
        <v>0</v>
      </c>
    </row>
    <row r="355" spans="1:12">
      <c r="A355">
        <f>SUMPRODUCT((MONTH(CHOOSE({1,2,3,4},KHP!T355,KHP!X355,KHP!AB355,KHP!AF355))=1)*(CHOOSE({1,2,3,4},KHP!W355,KHP!AA355,KHP!AE355,KHP!AI355)))</f>
        <v>0</v>
      </c>
      <c r="B355">
        <f>SUMPRODUCT((MONTH(CHOOSE({1,2,3,4},KHP!T355,KHP!X355,KHP!AB355,KHP!AF355))=2)*(CHOOSE({1,2,3,4},KHP!W355,KHP!AA355,KHP!AE355,KHP!AI355)))</f>
        <v>0</v>
      </c>
      <c r="C355">
        <f>SUMPRODUCT((MONTH(CHOOSE({1,2,3,4},KHP!T355,KHP!X355,KHP!AB355,KHP!AF355))=3)*(CHOOSE({1,2,3,4},KHP!W355,KHP!AA355,KHP!AE355,KHP!AI355)))</f>
        <v>0</v>
      </c>
      <c r="D355">
        <f>SUMPRODUCT((MONTH(CHOOSE({1,2,3,4},KHP!T355,KHP!X355,KHP!AB355,KHP!AF355))=4)*(CHOOSE({1,2,3,4},KHP!W355,KHP!AA355,KHP!AE355,KHP!AI355)))</f>
        <v>0</v>
      </c>
      <c r="E355">
        <f>SUMPRODUCT((MONTH(CHOOSE({1,2,3,4},KHP!T355,KHP!X355,KHP!AB355,KHP!AF355))=5)*(CHOOSE({1,2,3,4},KHP!W355,KHP!AA355,KHP!AE355,KHP!AI355)))</f>
        <v>0</v>
      </c>
      <c r="F355">
        <f>SUMPRODUCT((MONTH(CHOOSE({1,2,3,4},KHP!T355,KHP!X355,KHP!AB355,KHP!AF355))=6)*(CHOOSE({1,2,3,4},KHP!W355,KHP!AA355,KHP!AE355,KHP!AI355)))</f>
        <v>0</v>
      </c>
      <c r="G355">
        <f>SUMPRODUCT((MONTH(CHOOSE({1,2,3,4},KHP!T355,KHP!X355,KHP!AB355,KHP!AF355))=7)*(CHOOSE({1,2,3,4},KHP!W355,KHP!AA355,KHP!AE355,KHP!AI355)))</f>
        <v>0</v>
      </c>
      <c r="H355">
        <f>SUMPRODUCT((MONTH(CHOOSE({1,2,3,4},KHP!T355,KHP!X355,KHP!AB355,KHP!AF355))=8)*(CHOOSE({1,2,3,4},KHP!W355,KHP!AA355,KHP!AE355,KHP!AI355)))</f>
        <v>0</v>
      </c>
      <c r="I355">
        <f>SUMPRODUCT((MONTH(CHOOSE({1,2,3,4},KHP!T355,KHP!X355,KHP!AB355,KHP!AF355))=9)*(CHOOSE({1,2,3,4},KHP!W355,KHP!AA355,KHP!AE355,KHP!AI355)))</f>
        <v>0</v>
      </c>
      <c r="J355">
        <f>SUMPRODUCT((MONTH(CHOOSE({1,2,3,4},KHP!T355,KHP!X355,KHP!AB355,KHP!AF355))=10)*(CHOOSE({1,2,3,4},KHP!W355,KHP!AA355,KHP!AE355,KHP!AI355)))</f>
        <v>0</v>
      </c>
      <c r="K355">
        <f>SUMPRODUCT((MONTH(CHOOSE({1,2,3,4},KHP!T355,KHP!X355,KHP!AB355,KHP!AF355))=11)*(CHOOSE({1,2,3,4},KHP!W355,KHP!AA355,KHP!AE355,KHP!AI355)))</f>
        <v>0</v>
      </c>
      <c r="L355">
        <f>SUMPRODUCT((MONTH(CHOOSE({1,2,3,4},KHP!T355,KHP!X355,KHP!AB355,KHP!AF355))=12)*(CHOOSE({1,2,3,4},KHP!W355,KHP!AA355,KHP!AE355,KHP!AI355)))</f>
        <v>0</v>
      </c>
    </row>
    <row r="356" spans="1:12">
      <c r="A356">
        <f>SUMPRODUCT((MONTH(CHOOSE({1,2,3,4},KHP!T356,KHP!X356,KHP!AB356,KHP!AF356))=1)*(CHOOSE({1,2,3,4},KHP!W356,KHP!AA356,KHP!AE356,KHP!AI356)))</f>
        <v>0</v>
      </c>
      <c r="B356">
        <f>SUMPRODUCT((MONTH(CHOOSE({1,2,3,4},KHP!T356,KHP!X356,KHP!AB356,KHP!AF356))=2)*(CHOOSE({1,2,3,4},KHP!W356,KHP!AA356,KHP!AE356,KHP!AI356)))</f>
        <v>0</v>
      </c>
      <c r="C356">
        <f>SUMPRODUCT((MONTH(CHOOSE({1,2,3,4},KHP!T356,KHP!X356,KHP!AB356,KHP!AF356))=3)*(CHOOSE({1,2,3,4},KHP!W356,KHP!AA356,KHP!AE356,KHP!AI356)))</f>
        <v>0</v>
      </c>
      <c r="D356">
        <f>SUMPRODUCT((MONTH(CHOOSE({1,2,3,4},KHP!T356,KHP!X356,KHP!AB356,KHP!AF356))=4)*(CHOOSE({1,2,3,4},KHP!W356,KHP!AA356,KHP!AE356,KHP!AI356)))</f>
        <v>0</v>
      </c>
      <c r="E356">
        <f>SUMPRODUCT((MONTH(CHOOSE({1,2,3,4},KHP!T356,KHP!X356,KHP!AB356,KHP!AF356))=5)*(CHOOSE({1,2,3,4},KHP!W356,KHP!AA356,KHP!AE356,KHP!AI356)))</f>
        <v>0</v>
      </c>
      <c r="F356">
        <f>SUMPRODUCT((MONTH(CHOOSE({1,2,3,4},KHP!T356,KHP!X356,KHP!AB356,KHP!AF356))=6)*(CHOOSE({1,2,3,4},KHP!W356,KHP!AA356,KHP!AE356,KHP!AI356)))</f>
        <v>0</v>
      </c>
      <c r="G356">
        <f>SUMPRODUCT((MONTH(CHOOSE({1,2,3,4},KHP!T356,KHP!X356,KHP!AB356,KHP!AF356))=7)*(CHOOSE({1,2,3,4},KHP!W356,KHP!AA356,KHP!AE356,KHP!AI356)))</f>
        <v>0</v>
      </c>
      <c r="H356">
        <f>SUMPRODUCT((MONTH(CHOOSE({1,2,3,4},KHP!T356,KHP!X356,KHP!AB356,KHP!AF356))=8)*(CHOOSE({1,2,3,4},KHP!W356,KHP!AA356,KHP!AE356,KHP!AI356)))</f>
        <v>0</v>
      </c>
      <c r="I356">
        <f>SUMPRODUCT((MONTH(CHOOSE({1,2,3,4},KHP!T356,KHP!X356,KHP!AB356,KHP!AF356))=9)*(CHOOSE({1,2,3,4},KHP!W356,KHP!AA356,KHP!AE356,KHP!AI356)))</f>
        <v>0</v>
      </c>
      <c r="J356">
        <f>SUMPRODUCT((MONTH(CHOOSE({1,2,3,4},KHP!T356,KHP!X356,KHP!AB356,KHP!AF356))=10)*(CHOOSE({1,2,3,4},KHP!W356,KHP!AA356,KHP!AE356,KHP!AI356)))</f>
        <v>0</v>
      </c>
      <c r="K356">
        <f>SUMPRODUCT((MONTH(CHOOSE({1,2,3,4},KHP!T356,KHP!X356,KHP!AB356,KHP!AF356))=11)*(CHOOSE({1,2,3,4},KHP!W356,KHP!AA356,KHP!AE356,KHP!AI356)))</f>
        <v>0</v>
      </c>
      <c r="L356">
        <f>SUMPRODUCT((MONTH(CHOOSE({1,2,3,4},KHP!T356,KHP!X356,KHP!AB356,KHP!AF356))=12)*(CHOOSE({1,2,3,4},KHP!W356,KHP!AA356,KHP!AE356,KHP!AI356)))</f>
        <v>0</v>
      </c>
    </row>
    <row r="357" spans="1:12">
      <c r="A357">
        <f>SUMPRODUCT((MONTH(CHOOSE({1,2,3,4},KHP!T357,KHP!X357,KHP!AB357,KHP!AF357))=1)*(CHOOSE({1,2,3,4},KHP!W357,KHP!AA357,KHP!AE357,KHP!AI357)))</f>
        <v>0</v>
      </c>
      <c r="B357">
        <f>SUMPRODUCT((MONTH(CHOOSE({1,2,3,4},KHP!T357,KHP!X357,KHP!AB357,KHP!AF357))=2)*(CHOOSE({1,2,3,4},KHP!W357,KHP!AA357,KHP!AE357,KHP!AI357)))</f>
        <v>0</v>
      </c>
      <c r="C357">
        <f>SUMPRODUCT((MONTH(CHOOSE({1,2,3,4},KHP!T357,KHP!X357,KHP!AB357,KHP!AF357))=3)*(CHOOSE({1,2,3,4},KHP!W357,KHP!AA357,KHP!AE357,KHP!AI357)))</f>
        <v>0</v>
      </c>
      <c r="D357">
        <f>SUMPRODUCT((MONTH(CHOOSE({1,2,3,4},KHP!T357,KHP!X357,KHP!AB357,KHP!AF357))=4)*(CHOOSE({1,2,3,4},KHP!W357,KHP!AA357,KHP!AE357,KHP!AI357)))</f>
        <v>0</v>
      </c>
      <c r="E357">
        <f>SUMPRODUCT((MONTH(CHOOSE({1,2,3,4},KHP!T357,KHP!X357,KHP!AB357,KHP!AF357))=5)*(CHOOSE({1,2,3,4},KHP!W357,KHP!AA357,KHP!AE357,KHP!AI357)))</f>
        <v>0</v>
      </c>
      <c r="F357">
        <f>SUMPRODUCT((MONTH(CHOOSE({1,2,3,4},KHP!T357,KHP!X357,KHP!AB357,KHP!AF357))=6)*(CHOOSE({1,2,3,4},KHP!W357,KHP!AA357,KHP!AE357,KHP!AI357)))</f>
        <v>0</v>
      </c>
      <c r="G357">
        <f>SUMPRODUCT((MONTH(CHOOSE({1,2,3,4},KHP!T357,KHP!X357,KHP!AB357,KHP!AF357))=7)*(CHOOSE({1,2,3,4},KHP!W357,KHP!AA357,KHP!AE357,KHP!AI357)))</f>
        <v>0</v>
      </c>
      <c r="H357">
        <f>SUMPRODUCT((MONTH(CHOOSE({1,2,3,4},KHP!T357,KHP!X357,KHP!AB357,KHP!AF357))=8)*(CHOOSE({1,2,3,4},KHP!W357,KHP!AA357,KHP!AE357,KHP!AI357)))</f>
        <v>0</v>
      </c>
      <c r="I357">
        <f>SUMPRODUCT((MONTH(CHOOSE({1,2,3,4},KHP!T357,KHP!X357,KHP!AB357,KHP!AF357))=9)*(CHOOSE({1,2,3,4},KHP!W357,KHP!AA357,KHP!AE357,KHP!AI357)))</f>
        <v>0</v>
      </c>
      <c r="J357">
        <f>SUMPRODUCT((MONTH(CHOOSE({1,2,3,4},KHP!T357,KHP!X357,KHP!AB357,KHP!AF357))=10)*(CHOOSE({1,2,3,4},KHP!W357,KHP!AA357,KHP!AE357,KHP!AI357)))</f>
        <v>0</v>
      </c>
      <c r="K357">
        <f>SUMPRODUCT((MONTH(CHOOSE({1,2,3,4},KHP!T357,KHP!X357,KHP!AB357,KHP!AF357))=11)*(CHOOSE({1,2,3,4},KHP!W357,KHP!AA357,KHP!AE357,KHP!AI357)))</f>
        <v>0</v>
      </c>
      <c r="L357">
        <f>SUMPRODUCT((MONTH(CHOOSE({1,2,3,4},KHP!T357,KHP!X357,KHP!AB357,KHP!AF357))=12)*(CHOOSE({1,2,3,4},KHP!W357,KHP!AA357,KHP!AE357,KHP!AI357)))</f>
        <v>0</v>
      </c>
    </row>
    <row r="358" spans="1:12">
      <c r="A358">
        <f>SUMPRODUCT((MONTH(CHOOSE({1,2,3,4},KHP!T358,KHP!X358,KHP!AB358,KHP!AF358))=1)*(CHOOSE({1,2,3,4},KHP!W358,KHP!AA358,KHP!AE358,KHP!AI358)))</f>
        <v>0</v>
      </c>
      <c r="B358">
        <f>SUMPRODUCT((MONTH(CHOOSE({1,2,3,4},KHP!T358,KHP!X358,KHP!AB358,KHP!AF358))=2)*(CHOOSE({1,2,3,4},KHP!W358,KHP!AA358,KHP!AE358,KHP!AI358)))</f>
        <v>0</v>
      </c>
      <c r="C358">
        <f>SUMPRODUCT((MONTH(CHOOSE({1,2,3,4},KHP!T358,KHP!X358,KHP!AB358,KHP!AF358))=3)*(CHOOSE({1,2,3,4},KHP!W358,KHP!AA358,KHP!AE358,KHP!AI358)))</f>
        <v>0</v>
      </c>
      <c r="D358">
        <f>SUMPRODUCT((MONTH(CHOOSE({1,2,3,4},KHP!T358,KHP!X358,KHP!AB358,KHP!AF358))=4)*(CHOOSE({1,2,3,4},KHP!W358,KHP!AA358,KHP!AE358,KHP!AI358)))</f>
        <v>0</v>
      </c>
      <c r="E358">
        <f>SUMPRODUCT((MONTH(CHOOSE({1,2,3,4},KHP!T358,KHP!X358,KHP!AB358,KHP!AF358))=5)*(CHOOSE({1,2,3,4},KHP!W358,KHP!AA358,KHP!AE358,KHP!AI358)))</f>
        <v>0</v>
      </c>
      <c r="F358">
        <f>SUMPRODUCT((MONTH(CHOOSE({1,2,3,4},KHP!T358,KHP!X358,KHP!AB358,KHP!AF358))=6)*(CHOOSE({1,2,3,4},KHP!W358,KHP!AA358,KHP!AE358,KHP!AI358)))</f>
        <v>0</v>
      </c>
      <c r="G358">
        <f>SUMPRODUCT((MONTH(CHOOSE({1,2,3,4},KHP!T358,KHP!X358,KHP!AB358,KHP!AF358))=7)*(CHOOSE({1,2,3,4},KHP!W358,KHP!AA358,KHP!AE358,KHP!AI358)))</f>
        <v>0</v>
      </c>
      <c r="H358">
        <f>SUMPRODUCT((MONTH(CHOOSE({1,2,3,4},KHP!T358,KHP!X358,KHP!AB358,KHP!AF358))=8)*(CHOOSE({1,2,3,4},KHP!W358,KHP!AA358,KHP!AE358,KHP!AI358)))</f>
        <v>0</v>
      </c>
      <c r="I358">
        <f>SUMPRODUCT((MONTH(CHOOSE({1,2,3,4},KHP!T358,KHP!X358,KHP!AB358,KHP!AF358))=9)*(CHOOSE({1,2,3,4},KHP!W358,KHP!AA358,KHP!AE358,KHP!AI358)))</f>
        <v>0</v>
      </c>
      <c r="J358">
        <f>SUMPRODUCT((MONTH(CHOOSE({1,2,3,4},KHP!T358,KHP!X358,KHP!AB358,KHP!AF358))=10)*(CHOOSE({1,2,3,4},KHP!W358,KHP!AA358,KHP!AE358,KHP!AI358)))</f>
        <v>0</v>
      </c>
      <c r="K358">
        <f>SUMPRODUCT((MONTH(CHOOSE({1,2,3,4},KHP!T358,KHP!X358,KHP!AB358,KHP!AF358))=11)*(CHOOSE({1,2,3,4},KHP!W358,KHP!AA358,KHP!AE358,KHP!AI358)))</f>
        <v>0</v>
      </c>
      <c r="L358">
        <f>SUMPRODUCT((MONTH(CHOOSE({1,2,3,4},KHP!T358,KHP!X358,KHP!AB358,KHP!AF358))=12)*(CHOOSE({1,2,3,4},KHP!W358,KHP!AA358,KHP!AE358,KHP!AI358)))</f>
        <v>0</v>
      </c>
    </row>
    <row r="359" spans="1:12">
      <c r="A359">
        <f>SUMPRODUCT((MONTH(CHOOSE({1,2,3,4},KHP!T359,KHP!X359,KHP!AB359,KHP!AF359))=1)*(CHOOSE({1,2,3,4},KHP!W359,KHP!AA359,KHP!AE359,KHP!AI359)))</f>
        <v>0</v>
      </c>
      <c r="B359">
        <f>SUMPRODUCT((MONTH(CHOOSE({1,2,3,4},KHP!T359,KHP!X359,KHP!AB359,KHP!AF359))=2)*(CHOOSE({1,2,3,4},KHP!W359,KHP!AA359,KHP!AE359,KHP!AI359)))</f>
        <v>0</v>
      </c>
      <c r="C359">
        <f>SUMPRODUCT((MONTH(CHOOSE({1,2,3,4},KHP!T359,KHP!X359,KHP!AB359,KHP!AF359))=3)*(CHOOSE({1,2,3,4},KHP!W359,KHP!AA359,KHP!AE359,KHP!AI359)))</f>
        <v>0</v>
      </c>
      <c r="D359">
        <f>SUMPRODUCT((MONTH(CHOOSE({1,2,3,4},KHP!T359,KHP!X359,KHP!AB359,KHP!AF359))=4)*(CHOOSE({1,2,3,4},KHP!W359,KHP!AA359,KHP!AE359,KHP!AI359)))</f>
        <v>0</v>
      </c>
      <c r="E359">
        <f>SUMPRODUCT((MONTH(CHOOSE({1,2,3,4},KHP!T359,KHP!X359,KHP!AB359,KHP!AF359))=5)*(CHOOSE({1,2,3,4},KHP!W359,KHP!AA359,KHP!AE359,KHP!AI359)))</f>
        <v>0</v>
      </c>
      <c r="F359">
        <f>SUMPRODUCT((MONTH(CHOOSE({1,2,3,4},KHP!T359,KHP!X359,KHP!AB359,KHP!AF359))=6)*(CHOOSE({1,2,3,4},KHP!W359,KHP!AA359,KHP!AE359,KHP!AI359)))</f>
        <v>0</v>
      </c>
      <c r="G359">
        <f>SUMPRODUCT((MONTH(CHOOSE({1,2,3,4},KHP!T359,KHP!X359,KHP!AB359,KHP!AF359))=7)*(CHOOSE({1,2,3,4},KHP!W359,KHP!AA359,KHP!AE359,KHP!AI359)))</f>
        <v>0</v>
      </c>
      <c r="H359">
        <f>SUMPRODUCT((MONTH(CHOOSE({1,2,3,4},KHP!T359,KHP!X359,KHP!AB359,KHP!AF359))=8)*(CHOOSE({1,2,3,4},KHP!W359,KHP!AA359,KHP!AE359,KHP!AI359)))</f>
        <v>0</v>
      </c>
      <c r="I359">
        <f>SUMPRODUCT((MONTH(CHOOSE({1,2,3,4},KHP!T359,KHP!X359,KHP!AB359,KHP!AF359))=9)*(CHOOSE({1,2,3,4},KHP!W359,KHP!AA359,KHP!AE359,KHP!AI359)))</f>
        <v>0</v>
      </c>
      <c r="J359">
        <f>SUMPRODUCT((MONTH(CHOOSE({1,2,3,4},KHP!T359,KHP!X359,KHP!AB359,KHP!AF359))=10)*(CHOOSE({1,2,3,4},KHP!W359,KHP!AA359,KHP!AE359,KHP!AI359)))</f>
        <v>0</v>
      </c>
      <c r="K359">
        <f>SUMPRODUCT((MONTH(CHOOSE({1,2,3,4},KHP!T359,KHP!X359,KHP!AB359,KHP!AF359))=11)*(CHOOSE({1,2,3,4},KHP!W359,KHP!AA359,KHP!AE359,KHP!AI359)))</f>
        <v>0</v>
      </c>
      <c r="L359">
        <f>SUMPRODUCT((MONTH(CHOOSE({1,2,3,4},KHP!T359,KHP!X359,KHP!AB359,KHP!AF359))=12)*(CHOOSE({1,2,3,4},KHP!W359,KHP!AA359,KHP!AE359,KHP!AI359)))</f>
        <v>0</v>
      </c>
    </row>
    <row r="360" spans="1:12">
      <c r="A360">
        <f>SUMPRODUCT((MONTH(CHOOSE({1,2,3,4},KHP!T360,KHP!X360,KHP!AB360,KHP!AF360))=1)*(CHOOSE({1,2,3,4},KHP!W360,KHP!AA360,KHP!AE360,KHP!AI360)))</f>
        <v>0</v>
      </c>
      <c r="B360">
        <f>SUMPRODUCT((MONTH(CHOOSE({1,2,3,4},KHP!T360,KHP!X360,KHP!AB360,KHP!AF360))=2)*(CHOOSE({1,2,3,4},KHP!W360,KHP!AA360,KHP!AE360,KHP!AI360)))</f>
        <v>0</v>
      </c>
      <c r="C360">
        <f>SUMPRODUCT((MONTH(CHOOSE({1,2,3,4},KHP!T360,KHP!X360,KHP!AB360,KHP!AF360))=3)*(CHOOSE({1,2,3,4},KHP!W360,KHP!AA360,KHP!AE360,KHP!AI360)))</f>
        <v>0</v>
      </c>
      <c r="D360">
        <f>SUMPRODUCT((MONTH(CHOOSE({1,2,3,4},KHP!T360,KHP!X360,KHP!AB360,KHP!AF360))=4)*(CHOOSE({1,2,3,4},KHP!W360,KHP!AA360,KHP!AE360,KHP!AI360)))</f>
        <v>0</v>
      </c>
      <c r="E360">
        <f>SUMPRODUCT((MONTH(CHOOSE({1,2,3,4},KHP!T360,KHP!X360,KHP!AB360,KHP!AF360))=5)*(CHOOSE({1,2,3,4},KHP!W360,KHP!AA360,KHP!AE360,KHP!AI360)))</f>
        <v>0</v>
      </c>
      <c r="F360">
        <f>SUMPRODUCT((MONTH(CHOOSE({1,2,3,4},KHP!T360,KHP!X360,KHP!AB360,KHP!AF360))=6)*(CHOOSE({1,2,3,4},KHP!W360,KHP!AA360,KHP!AE360,KHP!AI360)))</f>
        <v>0</v>
      </c>
      <c r="G360">
        <f>SUMPRODUCT((MONTH(CHOOSE({1,2,3,4},KHP!T360,KHP!X360,KHP!AB360,KHP!AF360))=7)*(CHOOSE({1,2,3,4},KHP!W360,KHP!AA360,KHP!AE360,KHP!AI360)))</f>
        <v>0</v>
      </c>
      <c r="H360">
        <f>SUMPRODUCT((MONTH(CHOOSE({1,2,3,4},KHP!T360,KHP!X360,KHP!AB360,KHP!AF360))=8)*(CHOOSE({1,2,3,4},KHP!W360,KHP!AA360,KHP!AE360,KHP!AI360)))</f>
        <v>0</v>
      </c>
      <c r="I360">
        <f>SUMPRODUCT((MONTH(CHOOSE({1,2,3,4},KHP!T360,KHP!X360,KHP!AB360,KHP!AF360))=9)*(CHOOSE({1,2,3,4},KHP!W360,KHP!AA360,KHP!AE360,KHP!AI360)))</f>
        <v>0</v>
      </c>
      <c r="J360">
        <f>SUMPRODUCT((MONTH(CHOOSE({1,2,3,4},KHP!T360,KHP!X360,KHP!AB360,KHP!AF360))=10)*(CHOOSE({1,2,3,4},KHP!W360,KHP!AA360,KHP!AE360,KHP!AI360)))</f>
        <v>0</v>
      </c>
      <c r="K360">
        <f>SUMPRODUCT((MONTH(CHOOSE({1,2,3,4},KHP!T360,KHP!X360,KHP!AB360,KHP!AF360))=11)*(CHOOSE({1,2,3,4},KHP!W360,KHP!AA360,KHP!AE360,KHP!AI360)))</f>
        <v>0</v>
      </c>
      <c r="L360">
        <f>SUMPRODUCT((MONTH(CHOOSE({1,2,3,4},KHP!T360,KHP!X360,KHP!AB360,KHP!AF360))=12)*(CHOOSE({1,2,3,4},KHP!W360,KHP!AA360,KHP!AE360,KHP!AI360)))</f>
        <v>0</v>
      </c>
    </row>
    <row r="361" spans="1:12">
      <c r="A361">
        <f>SUMPRODUCT((MONTH(CHOOSE({1,2,3,4},KHP!T361,KHP!X361,KHP!AB361,KHP!AF361))=1)*(CHOOSE({1,2,3,4},KHP!W361,KHP!AA361,KHP!AE361,KHP!AI361)))</f>
        <v>0</v>
      </c>
      <c r="B361">
        <f>SUMPRODUCT((MONTH(CHOOSE({1,2,3,4},KHP!T361,KHP!X361,KHP!AB361,KHP!AF361))=2)*(CHOOSE({1,2,3,4},KHP!W361,KHP!AA361,KHP!AE361,KHP!AI361)))</f>
        <v>0</v>
      </c>
      <c r="C361">
        <f>SUMPRODUCT((MONTH(CHOOSE({1,2,3,4},KHP!T361,KHP!X361,KHP!AB361,KHP!AF361))=3)*(CHOOSE({1,2,3,4},KHP!W361,KHP!AA361,KHP!AE361,KHP!AI361)))</f>
        <v>0</v>
      </c>
      <c r="D361">
        <f>SUMPRODUCT((MONTH(CHOOSE({1,2,3,4},KHP!T361,KHP!X361,KHP!AB361,KHP!AF361))=4)*(CHOOSE({1,2,3,4},KHP!W361,KHP!AA361,KHP!AE361,KHP!AI361)))</f>
        <v>0</v>
      </c>
      <c r="E361">
        <f>SUMPRODUCT((MONTH(CHOOSE({1,2,3,4},KHP!T361,KHP!X361,KHP!AB361,KHP!AF361))=5)*(CHOOSE({1,2,3,4},KHP!W361,KHP!AA361,KHP!AE361,KHP!AI361)))</f>
        <v>0</v>
      </c>
      <c r="F361">
        <f>SUMPRODUCT((MONTH(CHOOSE({1,2,3,4},KHP!T361,KHP!X361,KHP!AB361,KHP!AF361))=6)*(CHOOSE({1,2,3,4},KHP!W361,KHP!AA361,KHP!AE361,KHP!AI361)))</f>
        <v>0</v>
      </c>
      <c r="G361">
        <f>SUMPRODUCT((MONTH(CHOOSE({1,2,3,4},KHP!T361,KHP!X361,KHP!AB361,KHP!AF361))=7)*(CHOOSE({1,2,3,4},KHP!W361,KHP!AA361,KHP!AE361,KHP!AI361)))</f>
        <v>0</v>
      </c>
      <c r="H361">
        <f>SUMPRODUCT((MONTH(CHOOSE({1,2,3,4},KHP!T361,KHP!X361,KHP!AB361,KHP!AF361))=8)*(CHOOSE({1,2,3,4},KHP!W361,KHP!AA361,KHP!AE361,KHP!AI361)))</f>
        <v>0</v>
      </c>
      <c r="I361">
        <f>SUMPRODUCT((MONTH(CHOOSE({1,2,3,4},KHP!T361,KHP!X361,KHP!AB361,KHP!AF361))=9)*(CHOOSE({1,2,3,4},KHP!W361,KHP!AA361,KHP!AE361,KHP!AI361)))</f>
        <v>0</v>
      </c>
      <c r="J361">
        <f>SUMPRODUCT((MONTH(CHOOSE({1,2,3,4},KHP!T361,KHP!X361,KHP!AB361,KHP!AF361))=10)*(CHOOSE({1,2,3,4},KHP!W361,KHP!AA361,KHP!AE361,KHP!AI361)))</f>
        <v>0</v>
      </c>
      <c r="K361">
        <f>SUMPRODUCT((MONTH(CHOOSE({1,2,3,4},KHP!T361,KHP!X361,KHP!AB361,KHP!AF361))=11)*(CHOOSE({1,2,3,4},KHP!W361,KHP!AA361,KHP!AE361,KHP!AI361)))</f>
        <v>0</v>
      </c>
      <c r="L361">
        <f>SUMPRODUCT((MONTH(CHOOSE({1,2,3,4},KHP!T361,KHP!X361,KHP!AB361,KHP!AF361))=12)*(CHOOSE({1,2,3,4},KHP!W361,KHP!AA361,KHP!AE361,KHP!AI361)))</f>
        <v>0</v>
      </c>
    </row>
    <row r="362" spans="1:12">
      <c r="A362">
        <f>SUMPRODUCT((MONTH(CHOOSE({1,2,3,4},KHP!T362,KHP!X362,KHP!AB362,KHP!AF362))=1)*(CHOOSE({1,2,3,4},KHP!W362,KHP!AA362,KHP!AE362,KHP!AI362)))</f>
        <v>0</v>
      </c>
      <c r="B362">
        <f>SUMPRODUCT((MONTH(CHOOSE({1,2,3,4},KHP!T362,KHP!X362,KHP!AB362,KHP!AF362))=2)*(CHOOSE({1,2,3,4},KHP!W362,KHP!AA362,KHP!AE362,KHP!AI362)))</f>
        <v>0</v>
      </c>
      <c r="C362">
        <f>SUMPRODUCT((MONTH(CHOOSE({1,2,3,4},KHP!T362,KHP!X362,KHP!AB362,KHP!AF362))=3)*(CHOOSE({1,2,3,4},KHP!W362,KHP!AA362,KHP!AE362,KHP!AI362)))</f>
        <v>0</v>
      </c>
      <c r="D362">
        <f>SUMPRODUCT((MONTH(CHOOSE({1,2,3,4},KHP!T362,KHP!X362,KHP!AB362,KHP!AF362))=4)*(CHOOSE({1,2,3,4},KHP!W362,KHP!AA362,KHP!AE362,KHP!AI362)))</f>
        <v>0</v>
      </c>
      <c r="E362">
        <f>SUMPRODUCT((MONTH(CHOOSE({1,2,3,4},KHP!T362,KHP!X362,KHP!AB362,KHP!AF362))=5)*(CHOOSE({1,2,3,4},KHP!W362,KHP!AA362,KHP!AE362,KHP!AI362)))</f>
        <v>0</v>
      </c>
      <c r="F362">
        <f>SUMPRODUCT((MONTH(CHOOSE({1,2,3,4},KHP!T362,KHP!X362,KHP!AB362,KHP!AF362))=6)*(CHOOSE({1,2,3,4},KHP!W362,KHP!AA362,KHP!AE362,KHP!AI362)))</f>
        <v>0</v>
      </c>
      <c r="G362">
        <f>SUMPRODUCT((MONTH(CHOOSE({1,2,3,4},KHP!T362,KHP!X362,KHP!AB362,KHP!AF362))=7)*(CHOOSE({1,2,3,4},KHP!W362,KHP!AA362,KHP!AE362,KHP!AI362)))</f>
        <v>0</v>
      </c>
      <c r="H362">
        <f>SUMPRODUCT((MONTH(CHOOSE({1,2,3,4},KHP!T362,KHP!X362,KHP!AB362,KHP!AF362))=8)*(CHOOSE({1,2,3,4},KHP!W362,KHP!AA362,KHP!AE362,KHP!AI362)))</f>
        <v>0</v>
      </c>
      <c r="I362">
        <f>SUMPRODUCT((MONTH(CHOOSE({1,2,3,4},KHP!T362,KHP!X362,KHP!AB362,KHP!AF362))=9)*(CHOOSE({1,2,3,4},KHP!W362,KHP!AA362,KHP!AE362,KHP!AI362)))</f>
        <v>0</v>
      </c>
      <c r="J362">
        <f>SUMPRODUCT((MONTH(CHOOSE({1,2,3,4},KHP!T362,KHP!X362,KHP!AB362,KHP!AF362))=10)*(CHOOSE({1,2,3,4},KHP!W362,KHP!AA362,KHP!AE362,KHP!AI362)))</f>
        <v>0</v>
      </c>
      <c r="K362">
        <f>SUMPRODUCT((MONTH(CHOOSE({1,2,3,4},KHP!T362,KHP!X362,KHP!AB362,KHP!AF362))=11)*(CHOOSE({1,2,3,4},KHP!W362,KHP!AA362,KHP!AE362,KHP!AI362)))</f>
        <v>0</v>
      </c>
      <c r="L362">
        <f>SUMPRODUCT((MONTH(CHOOSE({1,2,3,4},KHP!T362,KHP!X362,KHP!AB362,KHP!AF362))=12)*(CHOOSE({1,2,3,4},KHP!W362,KHP!AA362,KHP!AE362,KHP!AI362)))</f>
        <v>0</v>
      </c>
    </row>
    <row r="363" spans="1:12">
      <c r="A363">
        <f>SUMPRODUCT((MONTH(CHOOSE({1,2,3,4},KHP!T363,KHP!X363,KHP!AB363,KHP!AF363))=1)*(CHOOSE({1,2,3,4},KHP!W363,KHP!AA363,KHP!AE363,KHP!AI363)))</f>
        <v>0</v>
      </c>
      <c r="B363">
        <f>SUMPRODUCT((MONTH(CHOOSE({1,2,3,4},KHP!T363,KHP!X363,KHP!AB363,KHP!AF363))=2)*(CHOOSE({1,2,3,4},KHP!W363,KHP!AA363,KHP!AE363,KHP!AI363)))</f>
        <v>0</v>
      </c>
      <c r="C363">
        <f>SUMPRODUCT((MONTH(CHOOSE({1,2,3,4},KHP!T363,KHP!X363,KHP!AB363,KHP!AF363))=3)*(CHOOSE({1,2,3,4},KHP!W363,KHP!AA363,KHP!AE363,KHP!AI363)))</f>
        <v>0</v>
      </c>
      <c r="D363">
        <f>SUMPRODUCT((MONTH(CHOOSE({1,2,3,4},KHP!T363,KHP!X363,KHP!AB363,KHP!AF363))=4)*(CHOOSE({1,2,3,4},KHP!W363,KHP!AA363,KHP!AE363,KHP!AI363)))</f>
        <v>0</v>
      </c>
      <c r="E363">
        <f>SUMPRODUCT((MONTH(CHOOSE({1,2,3,4},KHP!T363,KHP!X363,KHP!AB363,KHP!AF363))=5)*(CHOOSE({1,2,3,4},KHP!W363,KHP!AA363,KHP!AE363,KHP!AI363)))</f>
        <v>0</v>
      </c>
      <c r="F363">
        <f>SUMPRODUCT((MONTH(CHOOSE({1,2,3,4},KHP!T363,KHP!X363,KHP!AB363,KHP!AF363))=6)*(CHOOSE({1,2,3,4},KHP!W363,KHP!AA363,KHP!AE363,KHP!AI363)))</f>
        <v>0</v>
      </c>
      <c r="G363">
        <f>SUMPRODUCT((MONTH(CHOOSE({1,2,3,4},KHP!T363,KHP!X363,KHP!AB363,KHP!AF363))=7)*(CHOOSE({1,2,3,4},KHP!W363,KHP!AA363,KHP!AE363,KHP!AI363)))</f>
        <v>0</v>
      </c>
      <c r="H363">
        <f>SUMPRODUCT((MONTH(CHOOSE({1,2,3,4},KHP!T363,KHP!X363,KHP!AB363,KHP!AF363))=8)*(CHOOSE({1,2,3,4},KHP!W363,KHP!AA363,KHP!AE363,KHP!AI363)))</f>
        <v>0</v>
      </c>
      <c r="I363">
        <f>SUMPRODUCT((MONTH(CHOOSE({1,2,3,4},KHP!T363,KHP!X363,KHP!AB363,KHP!AF363))=9)*(CHOOSE({1,2,3,4},KHP!W363,KHP!AA363,KHP!AE363,KHP!AI363)))</f>
        <v>0</v>
      </c>
      <c r="J363">
        <f>SUMPRODUCT((MONTH(CHOOSE({1,2,3,4},KHP!T363,KHP!X363,KHP!AB363,KHP!AF363))=10)*(CHOOSE({1,2,3,4},KHP!W363,KHP!AA363,KHP!AE363,KHP!AI363)))</f>
        <v>0</v>
      </c>
      <c r="K363">
        <f>SUMPRODUCT((MONTH(CHOOSE({1,2,3,4},KHP!T363,KHP!X363,KHP!AB363,KHP!AF363))=11)*(CHOOSE({1,2,3,4},KHP!W363,KHP!AA363,KHP!AE363,KHP!AI363)))</f>
        <v>0</v>
      </c>
      <c r="L363">
        <f>SUMPRODUCT((MONTH(CHOOSE({1,2,3,4},KHP!T363,KHP!X363,KHP!AB363,KHP!AF363))=12)*(CHOOSE({1,2,3,4},KHP!W363,KHP!AA363,KHP!AE363,KHP!AI363)))</f>
        <v>0</v>
      </c>
    </row>
    <row r="364" spans="1:12">
      <c r="A364">
        <f>SUMPRODUCT((MONTH(CHOOSE({1,2,3,4},KHP!T364,KHP!X364,KHP!AB364,KHP!AF364))=1)*(CHOOSE({1,2,3,4},KHP!W364,KHP!AA364,KHP!AE364,KHP!AI364)))</f>
        <v>0</v>
      </c>
      <c r="B364">
        <f>SUMPRODUCT((MONTH(CHOOSE({1,2,3,4},KHP!T364,KHP!X364,KHP!AB364,KHP!AF364))=2)*(CHOOSE({1,2,3,4},KHP!W364,KHP!AA364,KHP!AE364,KHP!AI364)))</f>
        <v>0</v>
      </c>
      <c r="C364">
        <f>SUMPRODUCT((MONTH(CHOOSE({1,2,3,4},KHP!T364,KHP!X364,KHP!AB364,KHP!AF364))=3)*(CHOOSE({1,2,3,4},KHP!W364,KHP!AA364,KHP!AE364,KHP!AI364)))</f>
        <v>0</v>
      </c>
      <c r="D364">
        <f>SUMPRODUCT((MONTH(CHOOSE({1,2,3,4},KHP!T364,KHP!X364,KHP!AB364,KHP!AF364))=4)*(CHOOSE({1,2,3,4},KHP!W364,KHP!AA364,KHP!AE364,KHP!AI364)))</f>
        <v>0</v>
      </c>
      <c r="E364">
        <f>SUMPRODUCT((MONTH(CHOOSE({1,2,3,4},KHP!T364,KHP!X364,KHP!AB364,KHP!AF364))=5)*(CHOOSE({1,2,3,4},KHP!W364,KHP!AA364,KHP!AE364,KHP!AI364)))</f>
        <v>0</v>
      </c>
      <c r="F364">
        <f>SUMPRODUCT((MONTH(CHOOSE({1,2,3,4},KHP!T364,KHP!X364,KHP!AB364,KHP!AF364))=6)*(CHOOSE({1,2,3,4},KHP!W364,KHP!AA364,KHP!AE364,KHP!AI364)))</f>
        <v>0</v>
      </c>
      <c r="G364">
        <f>SUMPRODUCT((MONTH(CHOOSE({1,2,3,4},KHP!T364,KHP!X364,KHP!AB364,KHP!AF364))=7)*(CHOOSE({1,2,3,4},KHP!W364,KHP!AA364,KHP!AE364,KHP!AI364)))</f>
        <v>0</v>
      </c>
      <c r="H364">
        <f>SUMPRODUCT((MONTH(CHOOSE({1,2,3,4},KHP!T364,KHP!X364,KHP!AB364,KHP!AF364))=8)*(CHOOSE({1,2,3,4},KHP!W364,KHP!AA364,KHP!AE364,KHP!AI364)))</f>
        <v>0</v>
      </c>
      <c r="I364">
        <f>SUMPRODUCT((MONTH(CHOOSE({1,2,3,4},KHP!T364,KHP!X364,KHP!AB364,KHP!AF364))=9)*(CHOOSE({1,2,3,4},KHP!W364,KHP!AA364,KHP!AE364,KHP!AI364)))</f>
        <v>0</v>
      </c>
      <c r="J364">
        <f>SUMPRODUCT((MONTH(CHOOSE({1,2,3,4},KHP!T364,KHP!X364,KHP!AB364,KHP!AF364))=10)*(CHOOSE({1,2,3,4},KHP!W364,KHP!AA364,KHP!AE364,KHP!AI364)))</f>
        <v>0</v>
      </c>
      <c r="K364">
        <f>SUMPRODUCT((MONTH(CHOOSE({1,2,3,4},KHP!T364,KHP!X364,KHP!AB364,KHP!AF364))=11)*(CHOOSE({1,2,3,4},KHP!W364,KHP!AA364,KHP!AE364,KHP!AI364)))</f>
        <v>0</v>
      </c>
      <c r="L364">
        <f>SUMPRODUCT((MONTH(CHOOSE({1,2,3,4},KHP!T364,KHP!X364,KHP!AB364,KHP!AF364))=12)*(CHOOSE({1,2,3,4},KHP!W364,KHP!AA364,KHP!AE364,KHP!AI364)))</f>
        <v>0</v>
      </c>
    </row>
    <row r="365" spans="1:12">
      <c r="A365">
        <f>SUMPRODUCT((MONTH(CHOOSE({1,2,3,4},KHP!T365,KHP!X365,KHP!AB365,KHP!AF365))=1)*(CHOOSE({1,2,3,4},KHP!W365,KHP!AA365,KHP!AE365,KHP!AI365)))</f>
        <v>0</v>
      </c>
      <c r="B365">
        <f>SUMPRODUCT((MONTH(CHOOSE({1,2,3,4},KHP!T365,KHP!X365,KHP!AB365,KHP!AF365))=2)*(CHOOSE({1,2,3,4},KHP!W365,KHP!AA365,KHP!AE365,KHP!AI365)))</f>
        <v>0</v>
      </c>
      <c r="C365">
        <f>SUMPRODUCT((MONTH(CHOOSE({1,2,3,4},KHP!T365,KHP!X365,KHP!AB365,KHP!AF365))=3)*(CHOOSE({1,2,3,4},KHP!W365,KHP!AA365,KHP!AE365,KHP!AI365)))</f>
        <v>0</v>
      </c>
      <c r="D365">
        <f>SUMPRODUCT((MONTH(CHOOSE({1,2,3,4},KHP!T365,KHP!X365,KHP!AB365,KHP!AF365))=4)*(CHOOSE({1,2,3,4},KHP!W365,KHP!AA365,KHP!AE365,KHP!AI365)))</f>
        <v>0</v>
      </c>
      <c r="E365">
        <f>SUMPRODUCT((MONTH(CHOOSE({1,2,3,4},KHP!T365,KHP!X365,KHP!AB365,KHP!AF365))=5)*(CHOOSE({1,2,3,4},KHP!W365,KHP!AA365,KHP!AE365,KHP!AI365)))</f>
        <v>0</v>
      </c>
      <c r="F365">
        <f>SUMPRODUCT((MONTH(CHOOSE({1,2,3,4},KHP!T365,KHP!X365,KHP!AB365,KHP!AF365))=6)*(CHOOSE({1,2,3,4},KHP!W365,KHP!AA365,KHP!AE365,KHP!AI365)))</f>
        <v>0</v>
      </c>
      <c r="G365">
        <f>SUMPRODUCT((MONTH(CHOOSE({1,2,3,4},KHP!T365,KHP!X365,KHP!AB365,KHP!AF365))=7)*(CHOOSE({1,2,3,4},KHP!W365,KHP!AA365,KHP!AE365,KHP!AI365)))</f>
        <v>0</v>
      </c>
      <c r="H365">
        <f>SUMPRODUCT((MONTH(CHOOSE({1,2,3,4},KHP!T365,KHP!X365,KHP!AB365,KHP!AF365))=8)*(CHOOSE({1,2,3,4},KHP!W365,KHP!AA365,KHP!AE365,KHP!AI365)))</f>
        <v>0</v>
      </c>
      <c r="I365">
        <f>SUMPRODUCT((MONTH(CHOOSE({1,2,3,4},KHP!T365,KHP!X365,KHP!AB365,KHP!AF365))=9)*(CHOOSE({1,2,3,4},KHP!W365,KHP!AA365,KHP!AE365,KHP!AI365)))</f>
        <v>0</v>
      </c>
      <c r="J365">
        <f>SUMPRODUCT((MONTH(CHOOSE({1,2,3,4},KHP!T365,KHP!X365,KHP!AB365,KHP!AF365))=10)*(CHOOSE({1,2,3,4},KHP!W365,KHP!AA365,KHP!AE365,KHP!AI365)))</f>
        <v>0</v>
      </c>
      <c r="K365">
        <f>SUMPRODUCT((MONTH(CHOOSE({1,2,3,4},KHP!T365,KHP!X365,KHP!AB365,KHP!AF365))=11)*(CHOOSE({1,2,3,4},KHP!W365,KHP!AA365,KHP!AE365,KHP!AI365)))</f>
        <v>0</v>
      </c>
      <c r="L365">
        <f>SUMPRODUCT((MONTH(CHOOSE({1,2,3,4},KHP!T365,KHP!X365,KHP!AB365,KHP!AF365))=12)*(CHOOSE({1,2,3,4},KHP!W365,KHP!AA365,KHP!AE365,KHP!AI365)))</f>
        <v>0</v>
      </c>
    </row>
    <row r="366" spans="1:12">
      <c r="A366">
        <f>SUMPRODUCT((MONTH(CHOOSE({1,2,3,4},KHP!T366,KHP!X366,KHP!AB366,KHP!AF366))=1)*(CHOOSE({1,2,3,4},KHP!W366,KHP!AA366,KHP!AE366,KHP!AI366)))</f>
        <v>0</v>
      </c>
      <c r="B366">
        <f>SUMPRODUCT((MONTH(CHOOSE({1,2,3,4},KHP!T366,KHP!X366,KHP!AB366,KHP!AF366))=2)*(CHOOSE({1,2,3,4},KHP!W366,KHP!AA366,KHP!AE366,KHP!AI366)))</f>
        <v>0</v>
      </c>
      <c r="C366">
        <f>SUMPRODUCT((MONTH(CHOOSE({1,2,3,4},KHP!T366,KHP!X366,KHP!AB366,KHP!AF366))=3)*(CHOOSE({1,2,3,4},KHP!W366,KHP!AA366,KHP!AE366,KHP!AI366)))</f>
        <v>0</v>
      </c>
      <c r="D366">
        <f>SUMPRODUCT((MONTH(CHOOSE({1,2,3,4},KHP!T366,KHP!X366,KHP!AB366,KHP!AF366))=4)*(CHOOSE({1,2,3,4},KHP!W366,KHP!AA366,KHP!AE366,KHP!AI366)))</f>
        <v>0</v>
      </c>
      <c r="E366">
        <f>SUMPRODUCT((MONTH(CHOOSE({1,2,3,4},KHP!T366,KHP!X366,KHP!AB366,KHP!AF366))=5)*(CHOOSE({1,2,3,4},KHP!W366,KHP!AA366,KHP!AE366,KHP!AI366)))</f>
        <v>0</v>
      </c>
      <c r="F366">
        <f>SUMPRODUCT((MONTH(CHOOSE({1,2,3,4},KHP!T366,KHP!X366,KHP!AB366,KHP!AF366))=6)*(CHOOSE({1,2,3,4},KHP!W366,KHP!AA366,KHP!AE366,KHP!AI366)))</f>
        <v>0</v>
      </c>
      <c r="G366">
        <f>SUMPRODUCT((MONTH(CHOOSE({1,2,3,4},KHP!T366,KHP!X366,KHP!AB366,KHP!AF366))=7)*(CHOOSE({1,2,3,4},KHP!W366,KHP!AA366,KHP!AE366,KHP!AI366)))</f>
        <v>0</v>
      </c>
      <c r="H366">
        <f>SUMPRODUCT((MONTH(CHOOSE({1,2,3,4},KHP!T366,KHP!X366,KHP!AB366,KHP!AF366))=8)*(CHOOSE({1,2,3,4},KHP!W366,KHP!AA366,KHP!AE366,KHP!AI366)))</f>
        <v>0</v>
      </c>
      <c r="I366">
        <f>SUMPRODUCT((MONTH(CHOOSE({1,2,3,4},KHP!T366,KHP!X366,KHP!AB366,KHP!AF366))=9)*(CHOOSE({1,2,3,4},KHP!W366,KHP!AA366,KHP!AE366,KHP!AI366)))</f>
        <v>0</v>
      </c>
      <c r="J366">
        <f>SUMPRODUCT((MONTH(CHOOSE({1,2,3,4},KHP!T366,KHP!X366,KHP!AB366,KHP!AF366))=10)*(CHOOSE({1,2,3,4},KHP!W366,KHP!AA366,KHP!AE366,KHP!AI366)))</f>
        <v>0</v>
      </c>
      <c r="K366">
        <f>SUMPRODUCT((MONTH(CHOOSE({1,2,3,4},KHP!T366,KHP!X366,KHP!AB366,KHP!AF366))=11)*(CHOOSE({1,2,3,4},KHP!W366,KHP!AA366,KHP!AE366,KHP!AI366)))</f>
        <v>0</v>
      </c>
      <c r="L366">
        <f>SUMPRODUCT((MONTH(CHOOSE({1,2,3,4},KHP!T366,KHP!X366,KHP!AB366,KHP!AF366))=12)*(CHOOSE({1,2,3,4},KHP!W366,KHP!AA366,KHP!AE366,KHP!AI366)))</f>
        <v>0</v>
      </c>
    </row>
    <row r="367" spans="1:12">
      <c r="A367">
        <f>SUMPRODUCT((MONTH(CHOOSE({1,2,3,4},KHP!T367,KHP!X367,KHP!AB367,KHP!AF367))=1)*(CHOOSE({1,2,3,4},KHP!W367,KHP!AA367,KHP!AE367,KHP!AI367)))</f>
        <v>0</v>
      </c>
      <c r="B367">
        <f>SUMPRODUCT((MONTH(CHOOSE({1,2,3,4},KHP!T367,KHP!X367,KHP!AB367,KHP!AF367))=2)*(CHOOSE({1,2,3,4},KHP!W367,KHP!AA367,KHP!AE367,KHP!AI367)))</f>
        <v>0</v>
      </c>
      <c r="C367">
        <f>SUMPRODUCT((MONTH(CHOOSE({1,2,3,4},KHP!T367,KHP!X367,KHP!AB367,KHP!AF367))=3)*(CHOOSE({1,2,3,4},KHP!W367,KHP!AA367,KHP!AE367,KHP!AI367)))</f>
        <v>0</v>
      </c>
      <c r="D367">
        <f>SUMPRODUCT((MONTH(CHOOSE({1,2,3,4},KHP!T367,KHP!X367,KHP!AB367,KHP!AF367))=4)*(CHOOSE({1,2,3,4},KHP!W367,KHP!AA367,KHP!AE367,KHP!AI367)))</f>
        <v>0</v>
      </c>
      <c r="E367">
        <f>SUMPRODUCT((MONTH(CHOOSE({1,2,3,4},KHP!T367,KHP!X367,KHP!AB367,KHP!AF367))=5)*(CHOOSE({1,2,3,4},KHP!W367,KHP!AA367,KHP!AE367,KHP!AI367)))</f>
        <v>0</v>
      </c>
      <c r="F367">
        <f>SUMPRODUCT((MONTH(CHOOSE({1,2,3,4},KHP!T367,KHP!X367,KHP!AB367,KHP!AF367))=6)*(CHOOSE({1,2,3,4},KHP!W367,KHP!AA367,KHP!AE367,KHP!AI367)))</f>
        <v>0</v>
      </c>
      <c r="G367">
        <f>SUMPRODUCT((MONTH(CHOOSE({1,2,3,4},KHP!T367,KHP!X367,KHP!AB367,KHP!AF367))=7)*(CHOOSE({1,2,3,4},KHP!W367,KHP!AA367,KHP!AE367,KHP!AI367)))</f>
        <v>0</v>
      </c>
      <c r="H367">
        <f>SUMPRODUCT((MONTH(CHOOSE({1,2,3,4},KHP!T367,KHP!X367,KHP!AB367,KHP!AF367))=8)*(CHOOSE({1,2,3,4},KHP!W367,KHP!AA367,KHP!AE367,KHP!AI367)))</f>
        <v>0</v>
      </c>
      <c r="I367">
        <f>SUMPRODUCT((MONTH(CHOOSE({1,2,3,4},KHP!T367,KHP!X367,KHP!AB367,KHP!AF367))=9)*(CHOOSE({1,2,3,4},KHP!W367,KHP!AA367,KHP!AE367,KHP!AI367)))</f>
        <v>0</v>
      </c>
      <c r="J367">
        <f>SUMPRODUCT((MONTH(CHOOSE({1,2,3,4},KHP!T367,KHP!X367,KHP!AB367,KHP!AF367))=10)*(CHOOSE({1,2,3,4},KHP!W367,KHP!AA367,KHP!AE367,KHP!AI367)))</f>
        <v>0</v>
      </c>
      <c r="K367">
        <f>SUMPRODUCT((MONTH(CHOOSE({1,2,3,4},KHP!T367,KHP!X367,KHP!AB367,KHP!AF367))=11)*(CHOOSE({1,2,3,4},KHP!W367,KHP!AA367,KHP!AE367,KHP!AI367)))</f>
        <v>0</v>
      </c>
      <c r="L367">
        <f>SUMPRODUCT((MONTH(CHOOSE({1,2,3,4},KHP!T367,KHP!X367,KHP!AB367,KHP!AF367))=12)*(CHOOSE({1,2,3,4},KHP!W367,KHP!AA367,KHP!AE367,KHP!AI367)))</f>
        <v>0</v>
      </c>
    </row>
    <row r="368" spans="1:12">
      <c r="A368">
        <f>SUMPRODUCT((MONTH(CHOOSE({1,2,3,4},KHP!T368,KHP!X368,KHP!AB368,KHP!AF368))=1)*(CHOOSE({1,2,3,4},KHP!W368,KHP!AA368,KHP!AE368,KHP!AI368)))</f>
        <v>0</v>
      </c>
      <c r="B368">
        <f>SUMPRODUCT((MONTH(CHOOSE({1,2,3,4},KHP!T368,KHP!X368,KHP!AB368,KHP!AF368))=2)*(CHOOSE({1,2,3,4},KHP!W368,KHP!AA368,KHP!AE368,KHP!AI368)))</f>
        <v>0</v>
      </c>
      <c r="C368">
        <f>SUMPRODUCT((MONTH(CHOOSE({1,2,3,4},KHP!T368,KHP!X368,KHP!AB368,KHP!AF368))=3)*(CHOOSE({1,2,3,4},KHP!W368,KHP!AA368,KHP!AE368,KHP!AI368)))</f>
        <v>0</v>
      </c>
      <c r="D368">
        <f>SUMPRODUCT((MONTH(CHOOSE({1,2,3,4},KHP!T368,KHP!X368,KHP!AB368,KHP!AF368))=4)*(CHOOSE({1,2,3,4},KHP!W368,KHP!AA368,KHP!AE368,KHP!AI368)))</f>
        <v>0</v>
      </c>
      <c r="E368">
        <f>SUMPRODUCT((MONTH(CHOOSE({1,2,3,4},KHP!T368,KHP!X368,KHP!AB368,KHP!AF368))=5)*(CHOOSE({1,2,3,4},KHP!W368,KHP!AA368,KHP!AE368,KHP!AI368)))</f>
        <v>0</v>
      </c>
      <c r="F368">
        <f>SUMPRODUCT((MONTH(CHOOSE({1,2,3,4},KHP!T368,KHP!X368,KHP!AB368,KHP!AF368))=6)*(CHOOSE({1,2,3,4},KHP!W368,KHP!AA368,KHP!AE368,KHP!AI368)))</f>
        <v>0</v>
      </c>
      <c r="G368">
        <f>SUMPRODUCT((MONTH(CHOOSE({1,2,3,4},KHP!T368,KHP!X368,KHP!AB368,KHP!AF368))=7)*(CHOOSE({1,2,3,4},KHP!W368,KHP!AA368,KHP!AE368,KHP!AI368)))</f>
        <v>0</v>
      </c>
      <c r="H368">
        <f>SUMPRODUCT((MONTH(CHOOSE({1,2,3,4},KHP!T368,KHP!X368,KHP!AB368,KHP!AF368))=8)*(CHOOSE({1,2,3,4},KHP!W368,KHP!AA368,KHP!AE368,KHP!AI368)))</f>
        <v>0</v>
      </c>
      <c r="I368">
        <f>SUMPRODUCT((MONTH(CHOOSE({1,2,3,4},KHP!T368,KHP!X368,KHP!AB368,KHP!AF368))=9)*(CHOOSE({1,2,3,4},KHP!W368,KHP!AA368,KHP!AE368,KHP!AI368)))</f>
        <v>0</v>
      </c>
      <c r="J368">
        <f>SUMPRODUCT((MONTH(CHOOSE({1,2,3,4},KHP!T368,KHP!X368,KHP!AB368,KHP!AF368))=10)*(CHOOSE({1,2,3,4},KHP!W368,KHP!AA368,KHP!AE368,KHP!AI368)))</f>
        <v>0</v>
      </c>
      <c r="K368">
        <f>SUMPRODUCT((MONTH(CHOOSE({1,2,3,4},KHP!T368,KHP!X368,KHP!AB368,KHP!AF368))=11)*(CHOOSE({1,2,3,4},KHP!W368,KHP!AA368,KHP!AE368,KHP!AI368)))</f>
        <v>0</v>
      </c>
      <c r="L368">
        <f>SUMPRODUCT((MONTH(CHOOSE({1,2,3,4},KHP!T368,KHP!X368,KHP!AB368,KHP!AF368))=12)*(CHOOSE({1,2,3,4},KHP!W368,KHP!AA368,KHP!AE368,KHP!AI368)))</f>
        <v>0</v>
      </c>
    </row>
    <row r="369" spans="1:12">
      <c r="A369">
        <f>SUMPRODUCT((MONTH(CHOOSE({1,2,3,4},KHP!T369,KHP!X369,KHP!AB369,KHP!AF369))=1)*(CHOOSE({1,2,3,4},KHP!W369,KHP!AA369,KHP!AE369,KHP!AI369)))</f>
        <v>0</v>
      </c>
      <c r="B369">
        <f>SUMPRODUCT((MONTH(CHOOSE({1,2,3,4},KHP!T369,KHP!X369,KHP!AB369,KHP!AF369))=2)*(CHOOSE({1,2,3,4},KHP!W369,KHP!AA369,KHP!AE369,KHP!AI369)))</f>
        <v>0</v>
      </c>
      <c r="C369">
        <f>SUMPRODUCT((MONTH(CHOOSE({1,2,3,4},KHP!T369,KHP!X369,KHP!AB369,KHP!AF369))=3)*(CHOOSE({1,2,3,4},KHP!W369,KHP!AA369,KHP!AE369,KHP!AI369)))</f>
        <v>0</v>
      </c>
      <c r="D369">
        <f>SUMPRODUCT((MONTH(CHOOSE({1,2,3,4},KHP!T369,KHP!X369,KHP!AB369,KHP!AF369))=4)*(CHOOSE({1,2,3,4},KHP!W369,KHP!AA369,KHP!AE369,KHP!AI369)))</f>
        <v>0</v>
      </c>
      <c r="E369">
        <f>SUMPRODUCT((MONTH(CHOOSE({1,2,3,4},KHP!T369,KHP!X369,KHP!AB369,KHP!AF369))=5)*(CHOOSE({1,2,3,4},KHP!W369,KHP!AA369,KHP!AE369,KHP!AI369)))</f>
        <v>0</v>
      </c>
      <c r="F369">
        <f>SUMPRODUCT((MONTH(CHOOSE({1,2,3,4},KHP!T369,KHP!X369,KHP!AB369,KHP!AF369))=6)*(CHOOSE({1,2,3,4},KHP!W369,KHP!AA369,KHP!AE369,KHP!AI369)))</f>
        <v>0</v>
      </c>
      <c r="G369">
        <f>SUMPRODUCT((MONTH(CHOOSE({1,2,3,4},KHP!T369,KHP!X369,KHP!AB369,KHP!AF369))=7)*(CHOOSE({1,2,3,4},KHP!W369,KHP!AA369,KHP!AE369,KHP!AI369)))</f>
        <v>0</v>
      </c>
      <c r="H369">
        <f>SUMPRODUCT((MONTH(CHOOSE({1,2,3,4},KHP!T369,KHP!X369,KHP!AB369,KHP!AF369))=8)*(CHOOSE({1,2,3,4},KHP!W369,KHP!AA369,KHP!AE369,KHP!AI369)))</f>
        <v>0</v>
      </c>
      <c r="I369">
        <f>SUMPRODUCT((MONTH(CHOOSE({1,2,3,4},KHP!T369,KHP!X369,KHP!AB369,KHP!AF369))=9)*(CHOOSE({1,2,3,4},KHP!W369,KHP!AA369,KHP!AE369,KHP!AI369)))</f>
        <v>0</v>
      </c>
      <c r="J369">
        <f>SUMPRODUCT((MONTH(CHOOSE({1,2,3,4},KHP!T369,KHP!X369,KHP!AB369,KHP!AF369))=10)*(CHOOSE({1,2,3,4},KHP!W369,KHP!AA369,KHP!AE369,KHP!AI369)))</f>
        <v>0</v>
      </c>
      <c r="K369">
        <f>SUMPRODUCT((MONTH(CHOOSE({1,2,3,4},KHP!T369,KHP!X369,KHP!AB369,KHP!AF369))=11)*(CHOOSE({1,2,3,4},KHP!W369,KHP!AA369,KHP!AE369,KHP!AI369)))</f>
        <v>0</v>
      </c>
      <c r="L369">
        <f>SUMPRODUCT((MONTH(CHOOSE({1,2,3,4},KHP!T369,KHP!X369,KHP!AB369,KHP!AF369))=12)*(CHOOSE({1,2,3,4},KHP!W369,KHP!AA369,KHP!AE369,KHP!AI369)))</f>
        <v>0</v>
      </c>
    </row>
    <row r="370" spans="1:12">
      <c r="A370">
        <f>SUMPRODUCT((MONTH(CHOOSE({1,2,3,4},KHP!T370,KHP!X370,KHP!AB370,KHP!AF370))=1)*(CHOOSE({1,2,3,4},KHP!W370,KHP!AA370,KHP!AE370,KHP!AI370)))</f>
        <v>0</v>
      </c>
      <c r="B370">
        <f>SUMPRODUCT((MONTH(CHOOSE({1,2,3,4},KHP!T370,KHP!X370,KHP!AB370,KHP!AF370))=2)*(CHOOSE({1,2,3,4},KHP!W370,KHP!AA370,KHP!AE370,KHP!AI370)))</f>
        <v>0</v>
      </c>
      <c r="C370">
        <f>SUMPRODUCT((MONTH(CHOOSE({1,2,3,4},KHP!T370,KHP!X370,KHP!AB370,KHP!AF370))=3)*(CHOOSE({1,2,3,4},KHP!W370,KHP!AA370,KHP!AE370,KHP!AI370)))</f>
        <v>0</v>
      </c>
      <c r="D370">
        <f>SUMPRODUCT((MONTH(CHOOSE({1,2,3,4},KHP!T370,KHP!X370,KHP!AB370,KHP!AF370))=4)*(CHOOSE({1,2,3,4},KHP!W370,KHP!AA370,KHP!AE370,KHP!AI370)))</f>
        <v>0</v>
      </c>
      <c r="E370">
        <f>SUMPRODUCT((MONTH(CHOOSE({1,2,3,4},KHP!T370,KHP!X370,KHP!AB370,KHP!AF370))=5)*(CHOOSE({1,2,3,4},KHP!W370,KHP!AA370,KHP!AE370,KHP!AI370)))</f>
        <v>0</v>
      </c>
      <c r="F370">
        <f>SUMPRODUCT((MONTH(CHOOSE({1,2,3,4},KHP!T370,KHP!X370,KHP!AB370,KHP!AF370))=6)*(CHOOSE({1,2,3,4},KHP!W370,KHP!AA370,KHP!AE370,KHP!AI370)))</f>
        <v>0</v>
      </c>
      <c r="G370">
        <f>SUMPRODUCT((MONTH(CHOOSE({1,2,3,4},KHP!T370,KHP!X370,KHP!AB370,KHP!AF370))=7)*(CHOOSE({1,2,3,4},KHP!W370,KHP!AA370,KHP!AE370,KHP!AI370)))</f>
        <v>0</v>
      </c>
      <c r="H370">
        <f>SUMPRODUCT((MONTH(CHOOSE({1,2,3,4},KHP!T370,KHP!X370,KHP!AB370,KHP!AF370))=8)*(CHOOSE({1,2,3,4},KHP!W370,KHP!AA370,KHP!AE370,KHP!AI370)))</f>
        <v>0</v>
      </c>
      <c r="I370">
        <f>SUMPRODUCT((MONTH(CHOOSE({1,2,3,4},KHP!T370,KHP!X370,KHP!AB370,KHP!AF370))=9)*(CHOOSE({1,2,3,4},KHP!W370,KHP!AA370,KHP!AE370,KHP!AI370)))</f>
        <v>0</v>
      </c>
      <c r="J370">
        <f>SUMPRODUCT((MONTH(CHOOSE({1,2,3,4},KHP!T370,KHP!X370,KHP!AB370,KHP!AF370))=10)*(CHOOSE({1,2,3,4},KHP!W370,KHP!AA370,KHP!AE370,KHP!AI370)))</f>
        <v>0</v>
      </c>
      <c r="K370">
        <f>SUMPRODUCT((MONTH(CHOOSE({1,2,3,4},KHP!T370,KHP!X370,KHP!AB370,KHP!AF370))=11)*(CHOOSE({1,2,3,4},KHP!W370,KHP!AA370,KHP!AE370,KHP!AI370)))</f>
        <v>0</v>
      </c>
      <c r="L370">
        <f>SUMPRODUCT((MONTH(CHOOSE({1,2,3,4},KHP!T370,KHP!X370,KHP!AB370,KHP!AF370))=12)*(CHOOSE({1,2,3,4},KHP!W370,KHP!AA370,KHP!AE370,KHP!AI370)))</f>
        <v>0</v>
      </c>
    </row>
    <row r="371" spans="1:12">
      <c r="A371">
        <f>SUMPRODUCT((MONTH(CHOOSE({1,2,3,4},KHP!T371,KHP!X371,KHP!AB371,KHP!AF371))=1)*(CHOOSE({1,2,3,4},KHP!W371,KHP!AA371,KHP!AE371,KHP!AI371)))</f>
        <v>0</v>
      </c>
      <c r="B371">
        <f>SUMPRODUCT((MONTH(CHOOSE({1,2,3,4},KHP!T371,KHP!X371,KHP!AB371,KHP!AF371))=2)*(CHOOSE({1,2,3,4},KHP!W371,KHP!AA371,KHP!AE371,KHP!AI371)))</f>
        <v>0</v>
      </c>
      <c r="C371">
        <f>SUMPRODUCT((MONTH(CHOOSE({1,2,3,4},KHP!T371,KHP!X371,KHP!AB371,KHP!AF371))=3)*(CHOOSE({1,2,3,4},KHP!W371,KHP!AA371,KHP!AE371,KHP!AI371)))</f>
        <v>0</v>
      </c>
      <c r="D371">
        <f>SUMPRODUCT((MONTH(CHOOSE({1,2,3,4},KHP!T371,KHP!X371,KHP!AB371,KHP!AF371))=4)*(CHOOSE({1,2,3,4},KHP!W371,KHP!AA371,KHP!AE371,KHP!AI371)))</f>
        <v>0</v>
      </c>
      <c r="E371">
        <f>SUMPRODUCT((MONTH(CHOOSE({1,2,3,4},KHP!T371,KHP!X371,KHP!AB371,KHP!AF371))=5)*(CHOOSE({1,2,3,4},KHP!W371,KHP!AA371,KHP!AE371,KHP!AI371)))</f>
        <v>0</v>
      </c>
      <c r="F371">
        <f>SUMPRODUCT((MONTH(CHOOSE({1,2,3,4},KHP!T371,KHP!X371,KHP!AB371,KHP!AF371))=6)*(CHOOSE({1,2,3,4},KHP!W371,KHP!AA371,KHP!AE371,KHP!AI371)))</f>
        <v>0</v>
      </c>
      <c r="G371">
        <f>SUMPRODUCT((MONTH(CHOOSE({1,2,3,4},KHP!T371,KHP!X371,KHP!AB371,KHP!AF371))=7)*(CHOOSE({1,2,3,4},KHP!W371,KHP!AA371,KHP!AE371,KHP!AI371)))</f>
        <v>0</v>
      </c>
      <c r="H371">
        <f>SUMPRODUCT((MONTH(CHOOSE({1,2,3,4},KHP!T371,KHP!X371,KHP!AB371,KHP!AF371))=8)*(CHOOSE({1,2,3,4},KHP!W371,KHP!AA371,KHP!AE371,KHP!AI371)))</f>
        <v>0</v>
      </c>
      <c r="I371">
        <f>SUMPRODUCT((MONTH(CHOOSE({1,2,3,4},KHP!T371,KHP!X371,KHP!AB371,KHP!AF371))=9)*(CHOOSE({1,2,3,4},KHP!W371,KHP!AA371,KHP!AE371,KHP!AI371)))</f>
        <v>0</v>
      </c>
      <c r="J371">
        <f>SUMPRODUCT((MONTH(CHOOSE({1,2,3,4},KHP!T371,KHP!X371,KHP!AB371,KHP!AF371))=10)*(CHOOSE({1,2,3,4},KHP!W371,KHP!AA371,KHP!AE371,KHP!AI371)))</f>
        <v>0</v>
      </c>
      <c r="K371">
        <f>SUMPRODUCT((MONTH(CHOOSE({1,2,3,4},KHP!T371,KHP!X371,KHP!AB371,KHP!AF371))=11)*(CHOOSE({1,2,3,4},KHP!W371,KHP!AA371,KHP!AE371,KHP!AI371)))</f>
        <v>0</v>
      </c>
      <c r="L371">
        <f>SUMPRODUCT((MONTH(CHOOSE({1,2,3,4},KHP!T371,KHP!X371,KHP!AB371,KHP!AF371))=12)*(CHOOSE({1,2,3,4},KHP!W371,KHP!AA371,KHP!AE371,KHP!AI371)))</f>
        <v>0</v>
      </c>
    </row>
    <row r="372" spans="1:12">
      <c r="A372">
        <f>SUMPRODUCT((MONTH(CHOOSE({1,2,3,4},KHP!T372,KHP!X372,KHP!AB372,KHP!AF372))=1)*(CHOOSE({1,2,3,4},KHP!W372,KHP!AA372,KHP!AE372,KHP!AI372)))</f>
        <v>0</v>
      </c>
      <c r="B372">
        <f>SUMPRODUCT((MONTH(CHOOSE({1,2,3,4},KHP!T372,KHP!X372,KHP!AB372,KHP!AF372))=2)*(CHOOSE({1,2,3,4},KHP!W372,KHP!AA372,KHP!AE372,KHP!AI372)))</f>
        <v>0</v>
      </c>
      <c r="C372">
        <f>SUMPRODUCT((MONTH(CHOOSE({1,2,3,4},KHP!T372,KHP!X372,KHP!AB372,KHP!AF372))=3)*(CHOOSE({1,2,3,4},KHP!W372,KHP!AA372,KHP!AE372,KHP!AI372)))</f>
        <v>0</v>
      </c>
      <c r="D372">
        <f>SUMPRODUCT((MONTH(CHOOSE({1,2,3,4},KHP!T372,KHP!X372,KHP!AB372,KHP!AF372))=4)*(CHOOSE({1,2,3,4},KHP!W372,KHP!AA372,KHP!AE372,KHP!AI372)))</f>
        <v>0</v>
      </c>
      <c r="E372">
        <f>SUMPRODUCT((MONTH(CHOOSE({1,2,3,4},KHP!T372,KHP!X372,KHP!AB372,KHP!AF372))=5)*(CHOOSE({1,2,3,4},KHP!W372,KHP!AA372,KHP!AE372,KHP!AI372)))</f>
        <v>0</v>
      </c>
      <c r="F372">
        <f>SUMPRODUCT((MONTH(CHOOSE({1,2,3,4},KHP!T372,KHP!X372,KHP!AB372,KHP!AF372))=6)*(CHOOSE({1,2,3,4},KHP!W372,KHP!AA372,KHP!AE372,KHP!AI372)))</f>
        <v>0</v>
      </c>
      <c r="G372">
        <f>SUMPRODUCT((MONTH(CHOOSE({1,2,3,4},KHP!T372,KHP!X372,KHP!AB372,KHP!AF372))=7)*(CHOOSE({1,2,3,4},KHP!W372,KHP!AA372,KHP!AE372,KHP!AI372)))</f>
        <v>0</v>
      </c>
      <c r="H372">
        <f>SUMPRODUCT((MONTH(CHOOSE({1,2,3,4},KHP!T372,KHP!X372,KHP!AB372,KHP!AF372))=8)*(CHOOSE({1,2,3,4},KHP!W372,KHP!AA372,KHP!AE372,KHP!AI372)))</f>
        <v>0</v>
      </c>
      <c r="I372">
        <f>SUMPRODUCT((MONTH(CHOOSE({1,2,3,4},KHP!T372,KHP!X372,KHP!AB372,KHP!AF372))=9)*(CHOOSE({1,2,3,4},KHP!W372,KHP!AA372,KHP!AE372,KHP!AI372)))</f>
        <v>0</v>
      </c>
      <c r="J372">
        <f>SUMPRODUCT((MONTH(CHOOSE({1,2,3,4},KHP!T372,KHP!X372,KHP!AB372,KHP!AF372))=10)*(CHOOSE({1,2,3,4},KHP!W372,KHP!AA372,KHP!AE372,KHP!AI372)))</f>
        <v>0</v>
      </c>
      <c r="K372">
        <f>SUMPRODUCT((MONTH(CHOOSE({1,2,3,4},KHP!T372,KHP!X372,KHP!AB372,KHP!AF372))=11)*(CHOOSE({1,2,3,4},KHP!W372,KHP!AA372,KHP!AE372,KHP!AI372)))</f>
        <v>0</v>
      </c>
      <c r="L372">
        <f>SUMPRODUCT((MONTH(CHOOSE({1,2,3,4},KHP!T372,KHP!X372,KHP!AB372,KHP!AF372))=12)*(CHOOSE({1,2,3,4},KHP!W372,KHP!AA372,KHP!AE372,KHP!AI372)))</f>
        <v>0</v>
      </c>
    </row>
    <row r="373" spans="1:12">
      <c r="A373">
        <f>SUMPRODUCT((MONTH(CHOOSE({1,2,3,4},KHP!T373,KHP!X373,KHP!AB373,KHP!AF373))=1)*(CHOOSE({1,2,3,4},KHP!W373,KHP!AA373,KHP!AE373,KHP!AI373)))</f>
        <v>0</v>
      </c>
      <c r="B373">
        <f>SUMPRODUCT((MONTH(CHOOSE({1,2,3,4},KHP!T373,KHP!X373,KHP!AB373,KHP!AF373))=2)*(CHOOSE({1,2,3,4},KHP!W373,KHP!AA373,KHP!AE373,KHP!AI373)))</f>
        <v>0</v>
      </c>
      <c r="C373">
        <f>SUMPRODUCT((MONTH(CHOOSE({1,2,3,4},KHP!T373,KHP!X373,KHP!AB373,KHP!AF373))=3)*(CHOOSE({1,2,3,4},KHP!W373,KHP!AA373,KHP!AE373,KHP!AI373)))</f>
        <v>0</v>
      </c>
      <c r="D373">
        <f>SUMPRODUCT((MONTH(CHOOSE({1,2,3,4},KHP!T373,KHP!X373,KHP!AB373,KHP!AF373))=4)*(CHOOSE({1,2,3,4},KHP!W373,KHP!AA373,KHP!AE373,KHP!AI373)))</f>
        <v>0</v>
      </c>
      <c r="E373">
        <f>SUMPRODUCT((MONTH(CHOOSE({1,2,3,4},KHP!T373,KHP!X373,KHP!AB373,KHP!AF373))=5)*(CHOOSE({1,2,3,4},KHP!W373,KHP!AA373,KHP!AE373,KHP!AI373)))</f>
        <v>0</v>
      </c>
      <c r="F373">
        <f>SUMPRODUCT((MONTH(CHOOSE({1,2,3,4},KHP!T373,KHP!X373,KHP!AB373,KHP!AF373))=6)*(CHOOSE({1,2,3,4},KHP!W373,KHP!AA373,KHP!AE373,KHP!AI373)))</f>
        <v>0</v>
      </c>
      <c r="G373">
        <f>SUMPRODUCT((MONTH(CHOOSE({1,2,3,4},KHP!T373,KHP!X373,KHP!AB373,KHP!AF373))=7)*(CHOOSE({1,2,3,4},KHP!W373,KHP!AA373,KHP!AE373,KHP!AI373)))</f>
        <v>0</v>
      </c>
      <c r="H373">
        <f>SUMPRODUCT((MONTH(CHOOSE({1,2,3,4},KHP!T373,KHP!X373,KHP!AB373,KHP!AF373))=8)*(CHOOSE({1,2,3,4},KHP!W373,KHP!AA373,KHP!AE373,KHP!AI373)))</f>
        <v>0</v>
      </c>
      <c r="I373">
        <f>SUMPRODUCT((MONTH(CHOOSE({1,2,3,4},KHP!T373,KHP!X373,KHP!AB373,KHP!AF373))=9)*(CHOOSE({1,2,3,4},KHP!W373,KHP!AA373,KHP!AE373,KHP!AI373)))</f>
        <v>0</v>
      </c>
      <c r="J373">
        <f>SUMPRODUCT((MONTH(CHOOSE({1,2,3,4},KHP!T373,KHP!X373,KHP!AB373,KHP!AF373))=10)*(CHOOSE({1,2,3,4},KHP!W373,KHP!AA373,KHP!AE373,KHP!AI373)))</f>
        <v>0</v>
      </c>
      <c r="K373">
        <f>SUMPRODUCT((MONTH(CHOOSE({1,2,3,4},KHP!T373,KHP!X373,KHP!AB373,KHP!AF373))=11)*(CHOOSE({1,2,3,4},KHP!W373,KHP!AA373,KHP!AE373,KHP!AI373)))</f>
        <v>0</v>
      </c>
      <c r="L373">
        <f>SUMPRODUCT((MONTH(CHOOSE({1,2,3,4},KHP!T373,KHP!X373,KHP!AB373,KHP!AF373))=12)*(CHOOSE({1,2,3,4},KHP!W373,KHP!AA373,KHP!AE373,KHP!AI373)))</f>
        <v>0</v>
      </c>
    </row>
    <row r="374" spans="1:12">
      <c r="A374">
        <f>SUMPRODUCT((MONTH(CHOOSE({1,2,3,4},KHP!T374,KHP!X374,KHP!AB374,KHP!AF374))=1)*(CHOOSE({1,2,3,4},KHP!W374,KHP!AA374,KHP!AE374,KHP!AI374)))</f>
        <v>0</v>
      </c>
      <c r="B374">
        <f>SUMPRODUCT((MONTH(CHOOSE({1,2,3,4},KHP!T374,KHP!X374,KHP!AB374,KHP!AF374))=2)*(CHOOSE({1,2,3,4},KHP!W374,KHP!AA374,KHP!AE374,KHP!AI374)))</f>
        <v>0</v>
      </c>
      <c r="C374">
        <f>SUMPRODUCT((MONTH(CHOOSE({1,2,3,4},KHP!T374,KHP!X374,KHP!AB374,KHP!AF374))=3)*(CHOOSE({1,2,3,4},KHP!W374,KHP!AA374,KHP!AE374,KHP!AI374)))</f>
        <v>0</v>
      </c>
      <c r="D374">
        <f>SUMPRODUCT((MONTH(CHOOSE({1,2,3,4},KHP!T374,KHP!X374,KHP!AB374,KHP!AF374))=4)*(CHOOSE({1,2,3,4},KHP!W374,KHP!AA374,KHP!AE374,KHP!AI374)))</f>
        <v>0</v>
      </c>
      <c r="E374">
        <f>SUMPRODUCT((MONTH(CHOOSE({1,2,3,4},KHP!T374,KHP!X374,KHP!AB374,KHP!AF374))=5)*(CHOOSE({1,2,3,4},KHP!W374,KHP!AA374,KHP!AE374,KHP!AI374)))</f>
        <v>0</v>
      </c>
      <c r="F374">
        <f>SUMPRODUCT((MONTH(CHOOSE({1,2,3,4},KHP!T374,KHP!X374,KHP!AB374,KHP!AF374))=6)*(CHOOSE({1,2,3,4},KHP!W374,KHP!AA374,KHP!AE374,KHP!AI374)))</f>
        <v>0</v>
      </c>
      <c r="G374">
        <f>SUMPRODUCT((MONTH(CHOOSE({1,2,3,4},KHP!T374,KHP!X374,KHP!AB374,KHP!AF374))=7)*(CHOOSE({1,2,3,4},KHP!W374,KHP!AA374,KHP!AE374,KHP!AI374)))</f>
        <v>0</v>
      </c>
      <c r="H374">
        <f>SUMPRODUCT((MONTH(CHOOSE({1,2,3,4},KHP!T374,KHP!X374,KHP!AB374,KHP!AF374))=8)*(CHOOSE({1,2,3,4},KHP!W374,KHP!AA374,KHP!AE374,KHP!AI374)))</f>
        <v>0</v>
      </c>
      <c r="I374">
        <f>SUMPRODUCT((MONTH(CHOOSE({1,2,3,4},KHP!T374,KHP!X374,KHP!AB374,KHP!AF374))=9)*(CHOOSE({1,2,3,4},KHP!W374,KHP!AA374,KHP!AE374,KHP!AI374)))</f>
        <v>0</v>
      </c>
      <c r="J374">
        <f>SUMPRODUCT((MONTH(CHOOSE({1,2,3,4},KHP!T374,KHP!X374,KHP!AB374,KHP!AF374))=10)*(CHOOSE({1,2,3,4},KHP!W374,KHP!AA374,KHP!AE374,KHP!AI374)))</f>
        <v>0</v>
      </c>
      <c r="K374">
        <f>SUMPRODUCT((MONTH(CHOOSE({1,2,3,4},KHP!T374,KHP!X374,KHP!AB374,KHP!AF374))=11)*(CHOOSE({1,2,3,4},KHP!W374,KHP!AA374,KHP!AE374,KHP!AI374)))</f>
        <v>0</v>
      </c>
      <c r="L374">
        <f>SUMPRODUCT((MONTH(CHOOSE({1,2,3,4},KHP!T374,KHP!X374,KHP!AB374,KHP!AF374))=12)*(CHOOSE({1,2,3,4},KHP!W374,KHP!AA374,KHP!AE374,KHP!AI374)))</f>
        <v>0</v>
      </c>
    </row>
    <row r="375" spans="1:12">
      <c r="A375">
        <f>SUMPRODUCT((MONTH(CHOOSE({1,2,3,4},KHP!T375,KHP!X375,KHP!AB375,KHP!AF375))=1)*(CHOOSE({1,2,3,4},KHP!W375,KHP!AA375,KHP!AE375,KHP!AI375)))</f>
        <v>0</v>
      </c>
      <c r="B375">
        <f>SUMPRODUCT((MONTH(CHOOSE({1,2,3,4},KHP!T375,KHP!X375,KHP!AB375,KHP!AF375))=2)*(CHOOSE({1,2,3,4},KHP!W375,KHP!AA375,KHP!AE375,KHP!AI375)))</f>
        <v>0</v>
      </c>
      <c r="C375">
        <f>SUMPRODUCT((MONTH(CHOOSE({1,2,3,4},KHP!T375,KHP!X375,KHP!AB375,KHP!AF375))=3)*(CHOOSE({1,2,3,4},KHP!W375,KHP!AA375,KHP!AE375,KHP!AI375)))</f>
        <v>0</v>
      </c>
      <c r="D375">
        <f>SUMPRODUCT((MONTH(CHOOSE({1,2,3,4},KHP!T375,KHP!X375,KHP!AB375,KHP!AF375))=4)*(CHOOSE({1,2,3,4},KHP!W375,KHP!AA375,KHP!AE375,KHP!AI375)))</f>
        <v>0</v>
      </c>
      <c r="E375">
        <f>SUMPRODUCT((MONTH(CHOOSE({1,2,3,4},KHP!T375,KHP!X375,KHP!AB375,KHP!AF375))=5)*(CHOOSE({1,2,3,4},KHP!W375,KHP!AA375,KHP!AE375,KHP!AI375)))</f>
        <v>0</v>
      </c>
      <c r="F375">
        <f>SUMPRODUCT((MONTH(CHOOSE({1,2,3,4},KHP!T375,KHP!X375,KHP!AB375,KHP!AF375))=6)*(CHOOSE({1,2,3,4},KHP!W375,KHP!AA375,KHP!AE375,KHP!AI375)))</f>
        <v>0</v>
      </c>
      <c r="G375">
        <f>SUMPRODUCT((MONTH(CHOOSE({1,2,3,4},KHP!T375,KHP!X375,KHP!AB375,KHP!AF375))=7)*(CHOOSE({1,2,3,4},KHP!W375,KHP!AA375,KHP!AE375,KHP!AI375)))</f>
        <v>0</v>
      </c>
      <c r="H375">
        <f>SUMPRODUCT((MONTH(CHOOSE({1,2,3,4},KHP!T375,KHP!X375,KHP!AB375,KHP!AF375))=8)*(CHOOSE({1,2,3,4},KHP!W375,KHP!AA375,KHP!AE375,KHP!AI375)))</f>
        <v>0</v>
      </c>
      <c r="I375">
        <f>SUMPRODUCT((MONTH(CHOOSE({1,2,3,4},KHP!T375,KHP!X375,KHP!AB375,KHP!AF375))=9)*(CHOOSE({1,2,3,4},KHP!W375,KHP!AA375,KHP!AE375,KHP!AI375)))</f>
        <v>0</v>
      </c>
      <c r="J375">
        <f>SUMPRODUCT((MONTH(CHOOSE({1,2,3,4},KHP!T375,KHP!X375,KHP!AB375,KHP!AF375))=10)*(CHOOSE({1,2,3,4},KHP!W375,KHP!AA375,KHP!AE375,KHP!AI375)))</f>
        <v>0</v>
      </c>
      <c r="K375">
        <f>SUMPRODUCT((MONTH(CHOOSE({1,2,3,4},KHP!T375,KHP!X375,KHP!AB375,KHP!AF375))=11)*(CHOOSE({1,2,3,4},KHP!W375,KHP!AA375,KHP!AE375,KHP!AI375)))</f>
        <v>0</v>
      </c>
      <c r="L375">
        <f>SUMPRODUCT((MONTH(CHOOSE({1,2,3,4},KHP!T375,KHP!X375,KHP!AB375,KHP!AF375))=12)*(CHOOSE({1,2,3,4},KHP!W375,KHP!AA375,KHP!AE375,KHP!AI375)))</f>
        <v>0</v>
      </c>
    </row>
    <row r="376" spans="1:12">
      <c r="A376">
        <f>SUMPRODUCT((MONTH(CHOOSE({1,2,3,4},KHP!T376,KHP!X376,KHP!AB376,KHP!AF376))=1)*(CHOOSE({1,2,3,4},KHP!W376,KHP!AA376,KHP!AE376,KHP!AI376)))</f>
        <v>0</v>
      </c>
      <c r="B376">
        <f>SUMPRODUCT((MONTH(CHOOSE({1,2,3,4},KHP!T376,KHP!X376,KHP!AB376,KHP!AF376))=2)*(CHOOSE({1,2,3,4},KHP!W376,KHP!AA376,KHP!AE376,KHP!AI376)))</f>
        <v>0</v>
      </c>
      <c r="C376">
        <f>SUMPRODUCT((MONTH(CHOOSE({1,2,3,4},KHP!T376,KHP!X376,KHP!AB376,KHP!AF376))=3)*(CHOOSE({1,2,3,4},KHP!W376,KHP!AA376,KHP!AE376,KHP!AI376)))</f>
        <v>0</v>
      </c>
      <c r="D376">
        <f>SUMPRODUCT((MONTH(CHOOSE({1,2,3,4},KHP!T376,KHP!X376,KHP!AB376,KHP!AF376))=4)*(CHOOSE({1,2,3,4},KHP!W376,KHP!AA376,KHP!AE376,KHP!AI376)))</f>
        <v>0</v>
      </c>
      <c r="E376">
        <f>SUMPRODUCT((MONTH(CHOOSE({1,2,3,4},KHP!T376,KHP!X376,KHP!AB376,KHP!AF376))=5)*(CHOOSE({1,2,3,4},KHP!W376,KHP!AA376,KHP!AE376,KHP!AI376)))</f>
        <v>0</v>
      </c>
      <c r="F376">
        <f>SUMPRODUCT((MONTH(CHOOSE({1,2,3,4},KHP!T376,KHP!X376,KHP!AB376,KHP!AF376))=6)*(CHOOSE({1,2,3,4},KHP!W376,KHP!AA376,KHP!AE376,KHP!AI376)))</f>
        <v>0</v>
      </c>
      <c r="G376">
        <f>SUMPRODUCT((MONTH(CHOOSE({1,2,3,4},KHP!T376,KHP!X376,KHP!AB376,KHP!AF376))=7)*(CHOOSE({1,2,3,4},KHP!W376,KHP!AA376,KHP!AE376,KHP!AI376)))</f>
        <v>0</v>
      </c>
      <c r="H376">
        <f>SUMPRODUCT((MONTH(CHOOSE({1,2,3,4},KHP!T376,KHP!X376,KHP!AB376,KHP!AF376))=8)*(CHOOSE({1,2,3,4},KHP!W376,KHP!AA376,KHP!AE376,KHP!AI376)))</f>
        <v>0</v>
      </c>
      <c r="I376">
        <f>SUMPRODUCT((MONTH(CHOOSE({1,2,3,4},KHP!T376,KHP!X376,KHP!AB376,KHP!AF376))=9)*(CHOOSE({1,2,3,4},KHP!W376,KHP!AA376,KHP!AE376,KHP!AI376)))</f>
        <v>0</v>
      </c>
      <c r="J376">
        <f>SUMPRODUCT((MONTH(CHOOSE({1,2,3,4},KHP!T376,KHP!X376,KHP!AB376,KHP!AF376))=10)*(CHOOSE({1,2,3,4},KHP!W376,KHP!AA376,KHP!AE376,KHP!AI376)))</f>
        <v>0</v>
      </c>
      <c r="K376">
        <f>SUMPRODUCT((MONTH(CHOOSE({1,2,3,4},KHP!T376,KHP!X376,KHP!AB376,KHP!AF376))=11)*(CHOOSE({1,2,3,4},KHP!W376,KHP!AA376,KHP!AE376,KHP!AI376)))</f>
        <v>0</v>
      </c>
      <c r="L376">
        <f>SUMPRODUCT((MONTH(CHOOSE({1,2,3,4},KHP!T376,KHP!X376,KHP!AB376,KHP!AF376))=12)*(CHOOSE({1,2,3,4},KHP!W376,KHP!AA376,KHP!AE376,KHP!AI376)))</f>
        <v>0</v>
      </c>
    </row>
    <row r="377" spans="1:12">
      <c r="A377">
        <f>SUMPRODUCT((MONTH(CHOOSE({1,2,3,4},KHP!T377,KHP!X377,KHP!AB377,KHP!AF377))=1)*(CHOOSE({1,2,3,4},KHP!W377,KHP!AA377,KHP!AE377,KHP!AI377)))</f>
        <v>0</v>
      </c>
      <c r="B377">
        <f>SUMPRODUCT((MONTH(CHOOSE({1,2,3,4},KHP!T377,KHP!X377,KHP!AB377,KHP!AF377))=2)*(CHOOSE({1,2,3,4},KHP!W377,KHP!AA377,KHP!AE377,KHP!AI377)))</f>
        <v>0</v>
      </c>
      <c r="C377">
        <f>SUMPRODUCT((MONTH(CHOOSE({1,2,3,4},KHP!T377,KHP!X377,KHP!AB377,KHP!AF377))=3)*(CHOOSE({1,2,3,4},KHP!W377,KHP!AA377,KHP!AE377,KHP!AI377)))</f>
        <v>0</v>
      </c>
      <c r="D377">
        <f>SUMPRODUCT((MONTH(CHOOSE({1,2,3,4},KHP!T377,KHP!X377,KHP!AB377,KHP!AF377))=4)*(CHOOSE({1,2,3,4},KHP!W377,KHP!AA377,KHP!AE377,KHP!AI377)))</f>
        <v>0</v>
      </c>
      <c r="E377">
        <f>SUMPRODUCT((MONTH(CHOOSE({1,2,3,4},KHP!T377,KHP!X377,KHP!AB377,KHP!AF377))=5)*(CHOOSE({1,2,3,4},KHP!W377,KHP!AA377,KHP!AE377,KHP!AI377)))</f>
        <v>0</v>
      </c>
      <c r="F377">
        <f>SUMPRODUCT((MONTH(CHOOSE({1,2,3,4},KHP!T377,KHP!X377,KHP!AB377,KHP!AF377))=6)*(CHOOSE({1,2,3,4},KHP!W377,KHP!AA377,KHP!AE377,KHP!AI377)))</f>
        <v>0</v>
      </c>
      <c r="G377">
        <f>SUMPRODUCT((MONTH(CHOOSE({1,2,3,4},KHP!T377,KHP!X377,KHP!AB377,KHP!AF377))=7)*(CHOOSE({1,2,3,4},KHP!W377,KHP!AA377,KHP!AE377,KHP!AI377)))</f>
        <v>0</v>
      </c>
      <c r="H377">
        <f>SUMPRODUCT((MONTH(CHOOSE({1,2,3,4},KHP!T377,KHP!X377,KHP!AB377,KHP!AF377))=8)*(CHOOSE({1,2,3,4},KHP!W377,KHP!AA377,KHP!AE377,KHP!AI377)))</f>
        <v>0</v>
      </c>
      <c r="I377">
        <f>SUMPRODUCT((MONTH(CHOOSE({1,2,3,4},KHP!T377,KHP!X377,KHP!AB377,KHP!AF377))=9)*(CHOOSE({1,2,3,4},KHP!W377,KHP!AA377,KHP!AE377,KHP!AI377)))</f>
        <v>0</v>
      </c>
      <c r="J377">
        <f>SUMPRODUCT((MONTH(CHOOSE({1,2,3,4},KHP!T377,KHP!X377,KHP!AB377,KHP!AF377))=10)*(CHOOSE({1,2,3,4},KHP!W377,KHP!AA377,KHP!AE377,KHP!AI377)))</f>
        <v>0</v>
      </c>
      <c r="K377">
        <f>SUMPRODUCT((MONTH(CHOOSE({1,2,3,4},KHP!T377,KHP!X377,KHP!AB377,KHP!AF377))=11)*(CHOOSE({1,2,3,4},KHP!W377,KHP!AA377,KHP!AE377,KHP!AI377)))</f>
        <v>0</v>
      </c>
      <c r="L377">
        <f>SUMPRODUCT((MONTH(CHOOSE({1,2,3,4},KHP!T377,KHP!X377,KHP!AB377,KHP!AF377))=12)*(CHOOSE({1,2,3,4},KHP!W377,KHP!AA377,KHP!AE377,KHP!AI377)))</f>
        <v>0</v>
      </c>
    </row>
    <row r="378" spans="1:12">
      <c r="A378">
        <f>SUMPRODUCT((MONTH(CHOOSE({1,2,3,4},KHP!T378,KHP!X378,KHP!AB378,KHP!AF378))=1)*(CHOOSE({1,2,3,4},KHP!W378,KHP!AA378,KHP!AE378,KHP!AI378)))</f>
        <v>0</v>
      </c>
      <c r="B378">
        <f>SUMPRODUCT((MONTH(CHOOSE({1,2,3,4},KHP!T378,KHP!X378,KHP!AB378,KHP!AF378))=2)*(CHOOSE({1,2,3,4},KHP!W378,KHP!AA378,KHP!AE378,KHP!AI378)))</f>
        <v>0</v>
      </c>
      <c r="C378">
        <f>SUMPRODUCT((MONTH(CHOOSE({1,2,3,4},KHP!T378,KHP!X378,KHP!AB378,KHP!AF378))=3)*(CHOOSE({1,2,3,4},KHP!W378,KHP!AA378,KHP!AE378,KHP!AI378)))</f>
        <v>0</v>
      </c>
      <c r="D378">
        <f>SUMPRODUCT((MONTH(CHOOSE({1,2,3,4},KHP!T378,KHP!X378,KHP!AB378,KHP!AF378))=4)*(CHOOSE({1,2,3,4},KHP!W378,KHP!AA378,KHP!AE378,KHP!AI378)))</f>
        <v>0</v>
      </c>
      <c r="E378">
        <f>SUMPRODUCT((MONTH(CHOOSE({1,2,3,4},KHP!T378,KHP!X378,KHP!AB378,KHP!AF378))=5)*(CHOOSE({1,2,3,4},KHP!W378,KHP!AA378,KHP!AE378,KHP!AI378)))</f>
        <v>0</v>
      </c>
      <c r="F378">
        <f>SUMPRODUCT((MONTH(CHOOSE({1,2,3,4},KHP!T378,KHP!X378,KHP!AB378,KHP!AF378))=6)*(CHOOSE({1,2,3,4},KHP!W378,KHP!AA378,KHP!AE378,KHP!AI378)))</f>
        <v>0</v>
      </c>
      <c r="G378">
        <f>SUMPRODUCT((MONTH(CHOOSE({1,2,3,4},KHP!T378,KHP!X378,KHP!AB378,KHP!AF378))=7)*(CHOOSE({1,2,3,4},KHP!W378,KHP!AA378,KHP!AE378,KHP!AI378)))</f>
        <v>0</v>
      </c>
      <c r="H378">
        <f>SUMPRODUCT((MONTH(CHOOSE({1,2,3,4},KHP!T378,KHP!X378,KHP!AB378,KHP!AF378))=8)*(CHOOSE({1,2,3,4},KHP!W378,KHP!AA378,KHP!AE378,KHP!AI378)))</f>
        <v>0</v>
      </c>
      <c r="I378">
        <f>SUMPRODUCT((MONTH(CHOOSE({1,2,3,4},KHP!T378,KHP!X378,KHP!AB378,KHP!AF378))=9)*(CHOOSE({1,2,3,4},KHP!W378,KHP!AA378,KHP!AE378,KHP!AI378)))</f>
        <v>0</v>
      </c>
      <c r="J378">
        <f>SUMPRODUCT((MONTH(CHOOSE({1,2,3,4},KHP!T378,KHP!X378,KHP!AB378,KHP!AF378))=10)*(CHOOSE({1,2,3,4},KHP!W378,KHP!AA378,KHP!AE378,KHP!AI378)))</f>
        <v>0</v>
      </c>
      <c r="K378">
        <f>SUMPRODUCT((MONTH(CHOOSE({1,2,3,4},KHP!T378,KHP!X378,KHP!AB378,KHP!AF378))=11)*(CHOOSE({1,2,3,4},KHP!W378,KHP!AA378,KHP!AE378,KHP!AI378)))</f>
        <v>0</v>
      </c>
      <c r="L378">
        <f>SUMPRODUCT((MONTH(CHOOSE({1,2,3,4},KHP!T378,KHP!X378,KHP!AB378,KHP!AF378))=12)*(CHOOSE({1,2,3,4},KHP!W378,KHP!AA378,KHP!AE378,KHP!AI378)))</f>
        <v>0</v>
      </c>
    </row>
    <row r="379" spans="1:12">
      <c r="A379">
        <f>SUMPRODUCT((MONTH(CHOOSE({1,2,3,4},KHP!T379,KHP!X379,KHP!AB379,KHP!AF379))=1)*(CHOOSE({1,2,3,4},KHP!W379,KHP!AA379,KHP!AE379,KHP!AI379)))</f>
        <v>0</v>
      </c>
      <c r="B379">
        <f>SUMPRODUCT((MONTH(CHOOSE({1,2,3,4},KHP!T379,KHP!X379,KHP!AB379,KHP!AF379))=2)*(CHOOSE({1,2,3,4},KHP!W379,KHP!AA379,KHP!AE379,KHP!AI379)))</f>
        <v>0</v>
      </c>
      <c r="C379">
        <f>SUMPRODUCT((MONTH(CHOOSE({1,2,3,4},KHP!T379,KHP!X379,KHP!AB379,KHP!AF379))=3)*(CHOOSE({1,2,3,4},KHP!W379,KHP!AA379,KHP!AE379,KHP!AI379)))</f>
        <v>0</v>
      </c>
      <c r="D379">
        <f>SUMPRODUCT((MONTH(CHOOSE({1,2,3,4},KHP!T379,KHP!X379,KHP!AB379,KHP!AF379))=4)*(CHOOSE({1,2,3,4},KHP!W379,KHP!AA379,KHP!AE379,KHP!AI379)))</f>
        <v>0</v>
      </c>
      <c r="E379">
        <f>SUMPRODUCT((MONTH(CHOOSE({1,2,3,4},KHP!T379,KHP!X379,KHP!AB379,KHP!AF379))=5)*(CHOOSE({1,2,3,4},KHP!W379,KHP!AA379,KHP!AE379,KHP!AI379)))</f>
        <v>0</v>
      </c>
      <c r="F379">
        <f>SUMPRODUCT((MONTH(CHOOSE({1,2,3,4},KHP!T379,KHP!X379,KHP!AB379,KHP!AF379))=6)*(CHOOSE({1,2,3,4},KHP!W379,KHP!AA379,KHP!AE379,KHP!AI379)))</f>
        <v>0</v>
      </c>
      <c r="G379">
        <f>SUMPRODUCT((MONTH(CHOOSE({1,2,3,4},KHP!T379,KHP!X379,KHP!AB379,KHP!AF379))=7)*(CHOOSE({1,2,3,4},KHP!W379,KHP!AA379,KHP!AE379,KHP!AI379)))</f>
        <v>0</v>
      </c>
      <c r="H379">
        <f>SUMPRODUCT((MONTH(CHOOSE({1,2,3,4},KHP!T379,KHP!X379,KHP!AB379,KHP!AF379))=8)*(CHOOSE({1,2,3,4},KHP!W379,KHP!AA379,KHP!AE379,KHP!AI379)))</f>
        <v>0</v>
      </c>
      <c r="I379">
        <f>SUMPRODUCT((MONTH(CHOOSE({1,2,3,4},KHP!T379,KHP!X379,KHP!AB379,KHP!AF379))=9)*(CHOOSE({1,2,3,4},KHP!W379,KHP!AA379,KHP!AE379,KHP!AI379)))</f>
        <v>0</v>
      </c>
      <c r="J379">
        <f>SUMPRODUCT((MONTH(CHOOSE({1,2,3,4},KHP!T379,KHP!X379,KHP!AB379,KHP!AF379))=10)*(CHOOSE({1,2,3,4},KHP!W379,KHP!AA379,KHP!AE379,KHP!AI379)))</f>
        <v>0</v>
      </c>
      <c r="K379">
        <f>SUMPRODUCT((MONTH(CHOOSE({1,2,3,4},KHP!T379,KHP!X379,KHP!AB379,KHP!AF379))=11)*(CHOOSE({1,2,3,4},KHP!W379,KHP!AA379,KHP!AE379,KHP!AI379)))</f>
        <v>0</v>
      </c>
      <c r="L379">
        <f>SUMPRODUCT((MONTH(CHOOSE({1,2,3,4},KHP!T379,KHP!X379,KHP!AB379,KHP!AF379))=12)*(CHOOSE({1,2,3,4},KHP!W379,KHP!AA379,KHP!AE379,KHP!AI379)))</f>
        <v>0</v>
      </c>
    </row>
    <row r="380" spans="1:12">
      <c r="A380">
        <f>SUMPRODUCT((MONTH(CHOOSE({1,2,3,4},KHP!T380,KHP!X380,KHP!AB380,KHP!AF380))=1)*(CHOOSE({1,2,3,4},KHP!W380,KHP!AA380,KHP!AE380,KHP!AI380)))</f>
        <v>0</v>
      </c>
      <c r="B380">
        <f>SUMPRODUCT((MONTH(CHOOSE({1,2,3,4},KHP!T380,KHP!X380,KHP!AB380,KHP!AF380))=2)*(CHOOSE({1,2,3,4},KHP!W380,KHP!AA380,KHP!AE380,KHP!AI380)))</f>
        <v>0</v>
      </c>
      <c r="C380">
        <f>SUMPRODUCT((MONTH(CHOOSE({1,2,3,4},KHP!T380,KHP!X380,KHP!AB380,KHP!AF380))=3)*(CHOOSE({1,2,3,4},KHP!W380,KHP!AA380,KHP!AE380,KHP!AI380)))</f>
        <v>0</v>
      </c>
      <c r="D380">
        <f>SUMPRODUCT((MONTH(CHOOSE({1,2,3,4},KHP!T380,KHP!X380,KHP!AB380,KHP!AF380))=4)*(CHOOSE({1,2,3,4},KHP!W380,KHP!AA380,KHP!AE380,KHP!AI380)))</f>
        <v>0</v>
      </c>
      <c r="E380">
        <f>SUMPRODUCT((MONTH(CHOOSE({1,2,3,4},KHP!T380,KHP!X380,KHP!AB380,KHP!AF380))=5)*(CHOOSE({1,2,3,4},KHP!W380,KHP!AA380,KHP!AE380,KHP!AI380)))</f>
        <v>0</v>
      </c>
      <c r="F380">
        <f>SUMPRODUCT((MONTH(CHOOSE({1,2,3,4},KHP!T380,KHP!X380,KHP!AB380,KHP!AF380))=6)*(CHOOSE({1,2,3,4},KHP!W380,KHP!AA380,KHP!AE380,KHP!AI380)))</f>
        <v>0</v>
      </c>
      <c r="G380">
        <f>SUMPRODUCT((MONTH(CHOOSE({1,2,3,4},KHP!T380,KHP!X380,KHP!AB380,KHP!AF380))=7)*(CHOOSE({1,2,3,4},KHP!W380,KHP!AA380,KHP!AE380,KHP!AI380)))</f>
        <v>0</v>
      </c>
      <c r="H380">
        <f>SUMPRODUCT((MONTH(CHOOSE({1,2,3,4},KHP!T380,KHP!X380,KHP!AB380,KHP!AF380))=8)*(CHOOSE({1,2,3,4},KHP!W380,KHP!AA380,KHP!AE380,KHP!AI380)))</f>
        <v>0</v>
      </c>
      <c r="I380">
        <f>SUMPRODUCT((MONTH(CHOOSE({1,2,3,4},KHP!T380,KHP!X380,KHP!AB380,KHP!AF380))=9)*(CHOOSE({1,2,3,4},KHP!W380,KHP!AA380,KHP!AE380,KHP!AI380)))</f>
        <v>0</v>
      </c>
      <c r="J380">
        <f>SUMPRODUCT((MONTH(CHOOSE({1,2,3,4},KHP!T380,KHP!X380,KHP!AB380,KHP!AF380))=10)*(CHOOSE({1,2,3,4},KHP!W380,KHP!AA380,KHP!AE380,KHP!AI380)))</f>
        <v>0</v>
      </c>
      <c r="K380">
        <f>SUMPRODUCT((MONTH(CHOOSE({1,2,3,4},KHP!T380,KHP!X380,KHP!AB380,KHP!AF380))=11)*(CHOOSE({1,2,3,4},KHP!W380,KHP!AA380,KHP!AE380,KHP!AI380)))</f>
        <v>0</v>
      </c>
      <c r="L380">
        <f>SUMPRODUCT((MONTH(CHOOSE({1,2,3,4},KHP!T380,KHP!X380,KHP!AB380,KHP!AF380))=12)*(CHOOSE({1,2,3,4},KHP!W380,KHP!AA380,KHP!AE380,KHP!AI380)))</f>
        <v>0</v>
      </c>
    </row>
    <row r="381" spans="1:12">
      <c r="A381">
        <f>SUMPRODUCT((MONTH(CHOOSE({1,2,3,4},KHP!T381,KHP!X381,KHP!AB381,KHP!AF381))=1)*(CHOOSE({1,2,3,4},KHP!W381,KHP!AA381,KHP!AE381,KHP!AI381)))</f>
        <v>0</v>
      </c>
      <c r="B381">
        <f>SUMPRODUCT((MONTH(CHOOSE({1,2,3,4},KHP!T381,KHP!X381,KHP!AB381,KHP!AF381))=2)*(CHOOSE({1,2,3,4},KHP!W381,KHP!AA381,KHP!AE381,KHP!AI381)))</f>
        <v>0</v>
      </c>
      <c r="C381">
        <f>SUMPRODUCT((MONTH(CHOOSE({1,2,3,4},KHP!T381,KHP!X381,KHP!AB381,KHP!AF381))=3)*(CHOOSE({1,2,3,4},KHP!W381,KHP!AA381,KHP!AE381,KHP!AI381)))</f>
        <v>0</v>
      </c>
      <c r="D381">
        <f>SUMPRODUCT((MONTH(CHOOSE({1,2,3,4},KHP!T381,KHP!X381,KHP!AB381,KHP!AF381))=4)*(CHOOSE({1,2,3,4},KHP!W381,KHP!AA381,KHP!AE381,KHP!AI381)))</f>
        <v>0</v>
      </c>
      <c r="E381">
        <f>SUMPRODUCT((MONTH(CHOOSE({1,2,3,4},KHP!T381,KHP!X381,KHP!AB381,KHP!AF381))=5)*(CHOOSE({1,2,3,4},KHP!W381,KHP!AA381,KHP!AE381,KHP!AI381)))</f>
        <v>0</v>
      </c>
      <c r="F381">
        <f>SUMPRODUCT((MONTH(CHOOSE({1,2,3,4},KHP!T381,KHP!X381,KHP!AB381,KHP!AF381))=6)*(CHOOSE({1,2,3,4},KHP!W381,KHP!AA381,KHP!AE381,KHP!AI381)))</f>
        <v>0</v>
      </c>
      <c r="G381">
        <f>SUMPRODUCT((MONTH(CHOOSE({1,2,3,4},KHP!T381,KHP!X381,KHP!AB381,KHP!AF381))=7)*(CHOOSE({1,2,3,4},KHP!W381,KHP!AA381,KHP!AE381,KHP!AI381)))</f>
        <v>0</v>
      </c>
      <c r="H381">
        <f>SUMPRODUCT((MONTH(CHOOSE({1,2,3,4},KHP!T381,KHP!X381,KHP!AB381,KHP!AF381))=8)*(CHOOSE({1,2,3,4},KHP!W381,KHP!AA381,KHP!AE381,KHP!AI381)))</f>
        <v>0</v>
      </c>
      <c r="I381">
        <f>SUMPRODUCT((MONTH(CHOOSE({1,2,3,4},KHP!T381,KHP!X381,KHP!AB381,KHP!AF381))=9)*(CHOOSE({1,2,3,4},KHP!W381,KHP!AA381,KHP!AE381,KHP!AI381)))</f>
        <v>0</v>
      </c>
      <c r="J381">
        <f>SUMPRODUCT((MONTH(CHOOSE({1,2,3,4},KHP!T381,KHP!X381,KHP!AB381,KHP!AF381))=10)*(CHOOSE({1,2,3,4},KHP!W381,KHP!AA381,KHP!AE381,KHP!AI381)))</f>
        <v>0</v>
      </c>
      <c r="K381">
        <f>SUMPRODUCT((MONTH(CHOOSE({1,2,3,4},KHP!T381,KHP!X381,KHP!AB381,KHP!AF381))=11)*(CHOOSE({1,2,3,4},KHP!W381,KHP!AA381,KHP!AE381,KHP!AI381)))</f>
        <v>0</v>
      </c>
      <c r="L381">
        <f>SUMPRODUCT((MONTH(CHOOSE({1,2,3,4},KHP!T381,KHP!X381,KHP!AB381,KHP!AF381))=12)*(CHOOSE({1,2,3,4},KHP!W381,KHP!AA381,KHP!AE381,KHP!AI381)))</f>
        <v>0</v>
      </c>
    </row>
    <row r="382" spans="1:12">
      <c r="A382">
        <f>SUMPRODUCT((MONTH(CHOOSE({1,2,3,4},KHP!T382,KHP!X382,KHP!AB382,KHP!AF382))=1)*(CHOOSE({1,2,3,4},KHP!W382,KHP!AA382,KHP!AE382,KHP!AI382)))</f>
        <v>0</v>
      </c>
      <c r="B382">
        <f>SUMPRODUCT((MONTH(CHOOSE({1,2,3,4},KHP!T382,KHP!X382,KHP!AB382,KHP!AF382))=2)*(CHOOSE({1,2,3,4},KHP!W382,KHP!AA382,KHP!AE382,KHP!AI382)))</f>
        <v>0</v>
      </c>
      <c r="C382">
        <f>SUMPRODUCT((MONTH(CHOOSE({1,2,3,4},KHP!T382,KHP!X382,KHP!AB382,KHP!AF382))=3)*(CHOOSE({1,2,3,4},KHP!W382,KHP!AA382,KHP!AE382,KHP!AI382)))</f>
        <v>0</v>
      </c>
      <c r="D382">
        <f>SUMPRODUCT((MONTH(CHOOSE({1,2,3,4},KHP!T382,KHP!X382,KHP!AB382,KHP!AF382))=4)*(CHOOSE({1,2,3,4},KHP!W382,KHP!AA382,KHP!AE382,KHP!AI382)))</f>
        <v>0</v>
      </c>
      <c r="E382">
        <f>SUMPRODUCT((MONTH(CHOOSE({1,2,3,4},KHP!T382,KHP!X382,KHP!AB382,KHP!AF382))=5)*(CHOOSE({1,2,3,4},KHP!W382,KHP!AA382,KHP!AE382,KHP!AI382)))</f>
        <v>0</v>
      </c>
      <c r="F382">
        <f>SUMPRODUCT((MONTH(CHOOSE({1,2,3,4},KHP!T382,KHP!X382,KHP!AB382,KHP!AF382))=6)*(CHOOSE({1,2,3,4},KHP!W382,KHP!AA382,KHP!AE382,KHP!AI382)))</f>
        <v>0</v>
      </c>
      <c r="G382">
        <f>SUMPRODUCT((MONTH(CHOOSE({1,2,3,4},KHP!T382,KHP!X382,KHP!AB382,KHP!AF382))=7)*(CHOOSE({1,2,3,4},KHP!W382,KHP!AA382,KHP!AE382,KHP!AI382)))</f>
        <v>0</v>
      </c>
      <c r="H382">
        <f>SUMPRODUCT((MONTH(CHOOSE({1,2,3,4},KHP!T382,KHP!X382,KHP!AB382,KHP!AF382))=8)*(CHOOSE({1,2,3,4},KHP!W382,KHP!AA382,KHP!AE382,KHP!AI382)))</f>
        <v>0</v>
      </c>
      <c r="I382">
        <f>SUMPRODUCT((MONTH(CHOOSE({1,2,3,4},KHP!T382,KHP!X382,KHP!AB382,KHP!AF382))=9)*(CHOOSE({1,2,3,4},KHP!W382,KHP!AA382,KHP!AE382,KHP!AI382)))</f>
        <v>0</v>
      </c>
      <c r="J382">
        <f>SUMPRODUCT((MONTH(CHOOSE({1,2,3,4},KHP!T382,KHP!X382,KHP!AB382,KHP!AF382))=10)*(CHOOSE({1,2,3,4},KHP!W382,KHP!AA382,KHP!AE382,KHP!AI382)))</f>
        <v>0</v>
      </c>
      <c r="K382">
        <f>SUMPRODUCT((MONTH(CHOOSE({1,2,3,4},KHP!T382,KHP!X382,KHP!AB382,KHP!AF382))=11)*(CHOOSE({1,2,3,4},KHP!W382,KHP!AA382,KHP!AE382,KHP!AI382)))</f>
        <v>0</v>
      </c>
      <c r="L382">
        <f>SUMPRODUCT((MONTH(CHOOSE({1,2,3,4},KHP!T382,KHP!X382,KHP!AB382,KHP!AF382))=12)*(CHOOSE({1,2,3,4},KHP!W382,KHP!AA382,KHP!AE382,KHP!AI382)))</f>
        <v>0</v>
      </c>
    </row>
    <row r="383" spans="1:12">
      <c r="A383">
        <f>SUMPRODUCT((MONTH(CHOOSE({1,2,3,4},KHP!T383,KHP!X383,KHP!AB383,KHP!AF383))=1)*(CHOOSE({1,2,3,4},KHP!W383,KHP!AA383,KHP!AE383,KHP!AI383)))</f>
        <v>0</v>
      </c>
      <c r="B383">
        <f>SUMPRODUCT((MONTH(CHOOSE({1,2,3,4},KHP!T383,KHP!X383,KHP!AB383,KHP!AF383))=2)*(CHOOSE({1,2,3,4},KHP!W383,KHP!AA383,KHP!AE383,KHP!AI383)))</f>
        <v>0</v>
      </c>
      <c r="C383">
        <f>SUMPRODUCT((MONTH(CHOOSE({1,2,3,4},KHP!T383,KHP!X383,KHP!AB383,KHP!AF383))=3)*(CHOOSE({1,2,3,4},KHP!W383,KHP!AA383,KHP!AE383,KHP!AI383)))</f>
        <v>0</v>
      </c>
      <c r="D383">
        <f>SUMPRODUCT((MONTH(CHOOSE({1,2,3,4},KHP!T383,KHP!X383,KHP!AB383,KHP!AF383))=4)*(CHOOSE({1,2,3,4},KHP!W383,KHP!AA383,KHP!AE383,KHP!AI383)))</f>
        <v>0</v>
      </c>
      <c r="E383">
        <f>SUMPRODUCT((MONTH(CHOOSE({1,2,3,4},KHP!T383,KHP!X383,KHP!AB383,KHP!AF383))=5)*(CHOOSE({1,2,3,4},KHP!W383,KHP!AA383,KHP!AE383,KHP!AI383)))</f>
        <v>0</v>
      </c>
      <c r="F383">
        <f>SUMPRODUCT((MONTH(CHOOSE({1,2,3,4},KHP!T383,KHP!X383,KHP!AB383,KHP!AF383))=6)*(CHOOSE({1,2,3,4},KHP!W383,KHP!AA383,KHP!AE383,KHP!AI383)))</f>
        <v>0</v>
      </c>
      <c r="G383">
        <f>SUMPRODUCT((MONTH(CHOOSE({1,2,3,4},KHP!T383,KHP!X383,KHP!AB383,KHP!AF383))=7)*(CHOOSE({1,2,3,4},KHP!W383,KHP!AA383,KHP!AE383,KHP!AI383)))</f>
        <v>0</v>
      </c>
      <c r="H383">
        <f>SUMPRODUCT((MONTH(CHOOSE({1,2,3,4},KHP!T383,KHP!X383,KHP!AB383,KHP!AF383))=8)*(CHOOSE({1,2,3,4},KHP!W383,KHP!AA383,KHP!AE383,KHP!AI383)))</f>
        <v>0</v>
      </c>
      <c r="I383">
        <f>SUMPRODUCT((MONTH(CHOOSE({1,2,3,4},KHP!T383,KHP!X383,KHP!AB383,KHP!AF383))=9)*(CHOOSE({1,2,3,4},KHP!W383,KHP!AA383,KHP!AE383,KHP!AI383)))</f>
        <v>0</v>
      </c>
      <c r="J383">
        <f>SUMPRODUCT((MONTH(CHOOSE({1,2,3,4},KHP!T383,KHP!X383,KHP!AB383,KHP!AF383))=10)*(CHOOSE({1,2,3,4},KHP!W383,KHP!AA383,KHP!AE383,KHP!AI383)))</f>
        <v>0</v>
      </c>
      <c r="K383">
        <f>SUMPRODUCT((MONTH(CHOOSE({1,2,3,4},KHP!T383,KHP!X383,KHP!AB383,KHP!AF383))=11)*(CHOOSE({1,2,3,4},KHP!W383,KHP!AA383,KHP!AE383,KHP!AI383)))</f>
        <v>0</v>
      </c>
      <c r="L383">
        <f>SUMPRODUCT((MONTH(CHOOSE({1,2,3,4},KHP!T383,KHP!X383,KHP!AB383,KHP!AF383))=12)*(CHOOSE({1,2,3,4},KHP!W383,KHP!AA383,KHP!AE383,KHP!AI383)))</f>
        <v>0</v>
      </c>
    </row>
    <row r="384" spans="1:12">
      <c r="A384">
        <f>SUMPRODUCT((MONTH(CHOOSE({1,2,3,4},KHP!T384,KHP!X384,KHP!AB384,KHP!AF384))=1)*(CHOOSE({1,2,3,4},KHP!W384,KHP!AA384,KHP!AE384,KHP!AI384)))</f>
        <v>0</v>
      </c>
      <c r="B384">
        <f>SUMPRODUCT((MONTH(CHOOSE({1,2,3,4},KHP!T384,KHP!X384,KHP!AB384,KHP!AF384))=2)*(CHOOSE({1,2,3,4},KHP!W384,KHP!AA384,KHP!AE384,KHP!AI384)))</f>
        <v>0</v>
      </c>
      <c r="C384">
        <f>SUMPRODUCT((MONTH(CHOOSE({1,2,3,4},KHP!T384,KHP!X384,KHP!AB384,KHP!AF384))=3)*(CHOOSE({1,2,3,4},KHP!W384,KHP!AA384,KHP!AE384,KHP!AI384)))</f>
        <v>0</v>
      </c>
      <c r="D384">
        <f>SUMPRODUCT((MONTH(CHOOSE({1,2,3,4},KHP!T384,KHP!X384,KHP!AB384,KHP!AF384))=4)*(CHOOSE({1,2,3,4},KHP!W384,KHP!AA384,KHP!AE384,KHP!AI384)))</f>
        <v>0</v>
      </c>
      <c r="E384">
        <f>SUMPRODUCT((MONTH(CHOOSE({1,2,3,4},KHP!T384,KHP!X384,KHP!AB384,KHP!AF384))=5)*(CHOOSE({1,2,3,4},KHP!W384,KHP!AA384,KHP!AE384,KHP!AI384)))</f>
        <v>0</v>
      </c>
      <c r="F384">
        <f>SUMPRODUCT((MONTH(CHOOSE({1,2,3,4},KHP!T384,KHP!X384,KHP!AB384,KHP!AF384))=6)*(CHOOSE({1,2,3,4},KHP!W384,KHP!AA384,KHP!AE384,KHP!AI384)))</f>
        <v>0</v>
      </c>
      <c r="G384">
        <f>SUMPRODUCT((MONTH(CHOOSE({1,2,3,4},KHP!T384,KHP!X384,KHP!AB384,KHP!AF384))=7)*(CHOOSE({1,2,3,4},KHP!W384,KHP!AA384,KHP!AE384,KHP!AI384)))</f>
        <v>0</v>
      </c>
      <c r="H384">
        <f>SUMPRODUCT((MONTH(CHOOSE({1,2,3,4},KHP!T384,KHP!X384,KHP!AB384,KHP!AF384))=8)*(CHOOSE({1,2,3,4},KHP!W384,KHP!AA384,KHP!AE384,KHP!AI384)))</f>
        <v>0</v>
      </c>
      <c r="I384">
        <f>SUMPRODUCT((MONTH(CHOOSE({1,2,3,4},KHP!T384,KHP!X384,KHP!AB384,KHP!AF384))=9)*(CHOOSE({1,2,3,4},KHP!W384,KHP!AA384,KHP!AE384,KHP!AI384)))</f>
        <v>0</v>
      </c>
      <c r="J384">
        <f>SUMPRODUCT((MONTH(CHOOSE({1,2,3,4},KHP!T384,KHP!X384,KHP!AB384,KHP!AF384))=10)*(CHOOSE({1,2,3,4},KHP!W384,KHP!AA384,KHP!AE384,KHP!AI384)))</f>
        <v>0</v>
      </c>
      <c r="K384">
        <f>SUMPRODUCT((MONTH(CHOOSE({1,2,3,4},KHP!T384,KHP!X384,KHP!AB384,KHP!AF384))=11)*(CHOOSE({1,2,3,4},KHP!W384,KHP!AA384,KHP!AE384,KHP!AI384)))</f>
        <v>0</v>
      </c>
      <c r="L384">
        <f>SUMPRODUCT((MONTH(CHOOSE({1,2,3,4},KHP!T384,KHP!X384,KHP!AB384,KHP!AF384))=12)*(CHOOSE({1,2,3,4},KHP!W384,KHP!AA384,KHP!AE384,KHP!AI384)))</f>
        <v>0</v>
      </c>
    </row>
    <row r="385" spans="1:12">
      <c r="A385">
        <f>SUMPRODUCT((MONTH(CHOOSE({1,2,3,4},KHP!T385,KHP!X385,KHP!AB385,KHP!AF385))=1)*(CHOOSE({1,2,3,4},KHP!W385,KHP!AA385,KHP!AE385,KHP!AI385)))</f>
        <v>0</v>
      </c>
      <c r="B385">
        <f>SUMPRODUCT((MONTH(CHOOSE({1,2,3,4},KHP!T385,KHP!X385,KHP!AB385,KHP!AF385))=2)*(CHOOSE({1,2,3,4},KHP!W385,KHP!AA385,KHP!AE385,KHP!AI385)))</f>
        <v>0</v>
      </c>
      <c r="C385">
        <f>SUMPRODUCT((MONTH(CHOOSE({1,2,3,4},KHP!T385,KHP!X385,KHP!AB385,KHP!AF385))=3)*(CHOOSE({1,2,3,4},KHP!W385,KHP!AA385,KHP!AE385,KHP!AI385)))</f>
        <v>0</v>
      </c>
      <c r="D385">
        <f>SUMPRODUCT((MONTH(CHOOSE({1,2,3,4},KHP!T385,KHP!X385,KHP!AB385,KHP!AF385))=4)*(CHOOSE({1,2,3,4},KHP!W385,KHP!AA385,KHP!AE385,KHP!AI385)))</f>
        <v>0</v>
      </c>
      <c r="E385">
        <f>SUMPRODUCT((MONTH(CHOOSE({1,2,3,4},KHP!T385,KHP!X385,KHP!AB385,KHP!AF385))=5)*(CHOOSE({1,2,3,4},KHP!W385,KHP!AA385,KHP!AE385,KHP!AI385)))</f>
        <v>0</v>
      </c>
      <c r="F385">
        <f>SUMPRODUCT((MONTH(CHOOSE({1,2,3,4},KHP!T385,KHP!X385,KHP!AB385,KHP!AF385))=6)*(CHOOSE({1,2,3,4},KHP!W385,KHP!AA385,KHP!AE385,KHP!AI385)))</f>
        <v>0</v>
      </c>
      <c r="G385">
        <f>SUMPRODUCT((MONTH(CHOOSE({1,2,3,4},KHP!T385,KHP!X385,KHP!AB385,KHP!AF385))=7)*(CHOOSE({1,2,3,4},KHP!W385,KHP!AA385,KHP!AE385,KHP!AI385)))</f>
        <v>0</v>
      </c>
      <c r="H385">
        <f>SUMPRODUCT((MONTH(CHOOSE({1,2,3,4},KHP!T385,KHP!X385,KHP!AB385,KHP!AF385))=8)*(CHOOSE({1,2,3,4},KHP!W385,KHP!AA385,KHP!AE385,KHP!AI385)))</f>
        <v>0</v>
      </c>
      <c r="I385">
        <f>SUMPRODUCT((MONTH(CHOOSE({1,2,3,4},KHP!T385,KHP!X385,KHP!AB385,KHP!AF385))=9)*(CHOOSE({1,2,3,4},KHP!W385,KHP!AA385,KHP!AE385,KHP!AI385)))</f>
        <v>0</v>
      </c>
      <c r="J385">
        <f>SUMPRODUCT((MONTH(CHOOSE({1,2,3,4},KHP!T385,KHP!X385,KHP!AB385,KHP!AF385))=10)*(CHOOSE({1,2,3,4},KHP!W385,KHP!AA385,KHP!AE385,KHP!AI385)))</f>
        <v>0</v>
      </c>
      <c r="K385">
        <f>SUMPRODUCT((MONTH(CHOOSE({1,2,3,4},KHP!T385,KHP!X385,KHP!AB385,KHP!AF385))=11)*(CHOOSE({1,2,3,4},KHP!W385,KHP!AA385,KHP!AE385,KHP!AI385)))</f>
        <v>0</v>
      </c>
      <c r="L385">
        <f>SUMPRODUCT((MONTH(CHOOSE({1,2,3,4},KHP!T385,KHP!X385,KHP!AB385,KHP!AF385))=12)*(CHOOSE({1,2,3,4},KHP!W385,KHP!AA385,KHP!AE385,KHP!AI385)))</f>
        <v>0</v>
      </c>
    </row>
    <row r="386" spans="1:12">
      <c r="A386">
        <f>SUMPRODUCT((MONTH(CHOOSE({1,2,3,4},KHP!T386,KHP!X386,KHP!AB386,KHP!AF386))=1)*(CHOOSE({1,2,3,4},KHP!W386,KHP!AA386,KHP!AE386,KHP!AI386)))</f>
        <v>0</v>
      </c>
      <c r="B386">
        <f>SUMPRODUCT((MONTH(CHOOSE({1,2,3,4},KHP!T386,KHP!X386,KHP!AB386,KHP!AF386))=2)*(CHOOSE({1,2,3,4},KHP!W386,KHP!AA386,KHP!AE386,KHP!AI386)))</f>
        <v>0</v>
      </c>
      <c r="C386">
        <f>SUMPRODUCT((MONTH(CHOOSE({1,2,3,4},KHP!T386,KHP!X386,KHP!AB386,KHP!AF386))=3)*(CHOOSE({1,2,3,4},KHP!W386,KHP!AA386,KHP!AE386,KHP!AI386)))</f>
        <v>0</v>
      </c>
      <c r="D386">
        <f>SUMPRODUCT((MONTH(CHOOSE({1,2,3,4},KHP!T386,KHP!X386,KHP!AB386,KHP!AF386))=4)*(CHOOSE({1,2,3,4},KHP!W386,KHP!AA386,KHP!AE386,KHP!AI386)))</f>
        <v>0</v>
      </c>
      <c r="E386">
        <f>SUMPRODUCT((MONTH(CHOOSE({1,2,3,4},KHP!T386,KHP!X386,KHP!AB386,KHP!AF386))=5)*(CHOOSE({1,2,3,4},KHP!W386,KHP!AA386,KHP!AE386,KHP!AI386)))</f>
        <v>0</v>
      </c>
      <c r="F386">
        <f>SUMPRODUCT((MONTH(CHOOSE({1,2,3,4},KHP!T386,KHP!X386,KHP!AB386,KHP!AF386))=6)*(CHOOSE({1,2,3,4},KHP!W386,KHP!AA386,KHP!AE386,KHP!AI386)))</f>
        <v>0</v>
      </c>
      <c r="G386">
        <f>SUMPRODUCT((MONTH(CHOOSE({1,2,3,4},KHP!T386,KHP!X386,KHP!AB386,KHP!AF386))=7)*(CHOOSE({1,2,3,4},KHP!W386,KHP!AA386,KHP!AE386,KHP!AI386)))</f>
        <v>0</v>
      </c>
      <c r="H386">
        <f>SUMPRODUCT((MONTH(CHOOSE({1,2,3,4},KHP!T386,KHP!X386,KHP!AB386,KHP!AF386))=8)*(CHOOSE({1,2,3,4},KHP!W386,KHP!AA386,KHP!AE386,KHP!AI386)))</f>
        <v>0</v>
      </c>
      <c r="I386">
        <f>SUMPRODUCT((MONTH(CHOOSE({1,2,3,4},KHP!T386,KHP!X386,KHP!AB386,KHP!AF386))=9)*(CHOOSE({1,2,3,4},KHP!W386,KHP!AA386,KHP!AE386,KHP!AI386)))</f>
        <v>0</v>
      </c>
      <c r="J386">
        <f>SUMPRODUCT((MONTH(CHOOSE({1,2,3,4},KHP!T386,KHP!X386,KHP!AB386,KHP!AF386))=10)*(CHOOSE({1,2,3,4},KHP!W386,KHP!AA386,KHP!AE386,KHP!AI386)))</f>
        <v>0</v>
      </c>
      <c r="K386">
        <f>SUMPRODUCT((MONTH(CHOOSE({1,2,3,4},KHP!T386,KHP!X386,KHP!AB386,KHP!AF386))=11)*(CHOOSE({1,2,3,4},KHP!W386,KHP!AA386,KHP!AE386,KHP!AI386)))</f>
        <v>0</v>
      </c>
      <c r="L386">
        <f>SUMPRODUCT((MONTH(CHOOSE({1,2,3,4},KHP!T386,KHP!X386,KHP!AB386,KHP!AF386))=12)*(CHOOSE({1,2,3,4},KHP!W386,KHP!AA386,KHP!AE386,KHP!AI386)))</f>
        <v>0</v>
      </c>
    </row>
    <row r="387" spans="1:12">
      <c r="A387">
        <f>SUMPRODUCT((MONTH(CHOOSE({1,2,3,4},KHP!T387,KHP!X387,KHP!AB387,KHP!AF387))=1)*(CHOOSE({1,2,3,4},KHP!W387,KHP!AA387,KHP!AE387,KHP!AI387)))</f>
        <v>0</v>
      </c>
      <c r="B387">
        <f>SUMPRODUCT((MONTH(CHOOSE({1,2,3,4},KHP!T387,KHP!X387,KHP!AB387,KHP!AF387))=2)*(CHOOSE({1,2,3,4},KHP!W387,KHP!AA387,KHP!AE387,KHP!AI387)))</f>
        <v>0</v>
      </c>
      <c r="C387">
        <f>SUMPRODUCT((MONTH(CHOOSE({1,2,3,4},KHP!T387,KHP!X387,KHP!AB387,KHP!AF387))=3)*(CHOOSE({1,2,3,4},KHP!W387,KHP!AA387,KHP!AE387,KHP!AI387)))</f>
        <v>0</v>
      </c>
      <c r="D387">
        <f>SUMPRODUCT((MONTH(CHOOSE({1,2,3,4},KHP!T387,KHP!X387,KHP!AB387,KHP!AF387))=4)*(CHOOSE({1,2,3,4},KHP!W387,KHP!AA387,KHP!AE387,KHP!AI387)))</f>
        <v>0</v>
      </c>
      <c r="E387">
        <f>SUMPRODUCT((MONTH(CHOOSE({1,2,3,4},KHP!T387,KHP!X387,KHP!AB387,KHP!AF387))=5)*(CHOOSE({1,2,3,4},KHP!W387,KHP!AA387,KHP!AE387,KHP!AI387)))</f>
        <v>0</v>
      </c>
      <c r="F387">
        <f>SUMPRODUCT((MONTH(CHOOSE({1,2,3,4},KHP!T387,KHP!X387,KHP!AB387,KHP!AF387))=6)*(CHOOSE({1,2,3,4},KHP!W387,KHP!AA387,KHP!AE387,KHP!AI387)))</f>
        <v>0</v>
      </c>
      <c r="G387">
        <f>SUMPRODUCT((MONTH(CHOOSE({1,2,3,4},KHP!T387,KHP!X387,KHP!AB387,KHP!AF387))=7)*(CHOOSE({1,2,3,4},KHP!W387,KHP!AA387,KHP!AE387,KHP!AI387)))</f>
        <v>0</v>
      </c>
      <c r="H387">
        <f>SUMPRODUCT((MONTH(CHOOSE({1,2,3,4},KHP!T387,KHP!X387,KHP!AB387,KHP!AF387))=8)*(CHOOSE({1,2,3,4},KHP!W387,KHP!AA387,KHP!AE387,KHP!AI387)))</f>
        <v>0</v>
      </c>
      <c r="I387">
        <f>SUMPRODUCT((MONTH(CHOOSE({1,2,3,4},KHP!T387,KHP!X387,KHP!AB387,KHP!AF387))=9)*(CHOOSE({1,2,3,4},KHP!W387,KHP!AA387,KHP!AE387,KHP!AI387)))</f>
        <v>0</v>
      </c>
      <c r="J387">
        <f>SUMPRODUCT((MONTH(CHOOSE({1,2,3,4},KHP!T387,KHP!X387,KHP!AB387,KHP!AF387))=10)*(CHOOSE({1,2,3,4},KHP!W387,KHP!AA387,KHP!AE387,KHP!AI387)))</f>
        <v>0</v>
      </c>
      <c r="K387">
        <f>SUMPRODUCT((MONTH(CHOOSE({1,2,3,4},KHP!T387,KHP!X387,KHP!AB387,KHP!AF387))=11)*(CHOOSE({1,2,3,4},KHP!W387,KHP!AA387,KHP!AE387,KHP!AI387)))</f>
        <v>0</v>
      </c>
      <c r="L387">
        <f>SUMPRODUCT((MONTH(CHOOSE({1,2,3,4},KHP!T387,KHP!X387,KHP!AB387,KHP!AF387))=12)*(CHOOSE({1,2,3,4},KHP!W387,KHP!AA387,KHP!AE387,KHP!AI387)))</f>
        <v>0</v>
      </c>
    </row>
    <row r="388" spans="1:12">
      <c r="A388">
        <f>SUMPRODUCT((MONTH(CHOOSE({1,2,3,4},KHP!T388,KHP!X388,KHP!AB388,KHP!AF388))=1)*(CHOOSE({1,2,3,4},KHP!W388,KHP!AA388,KHP!AE388,KHP!AI388)))</f>
        <v>0</v>
      </c>
      <c r="B388">
        <f>SUMPRODUCT((MONTH(CHOOSE({1,2,3,4},KHP!T388,KHP!X388,KHP!AB388,KHP!AF388))=2)*(CHOOSE({1,2,3,4},KHP!W388,KHP!AA388,KHP!AE388,KHP!AI388)))</f>
        <v>0</v>
      </c>
      <c r="C388">
        <f>SUMPRODUCT((MONTH(CHOOSE({1,2,3,4},KHP!T388,KHP!X388,KHP!AB388,KHP!AF388))=3)*(CHOOSE({1,2,3,4},KHP!W388,KHP!AA388,KHP!AE388,KHP!AI388)))</f>
        <v>0</v>
      </c>
      <c r="D388">
        <f>SUMPRODUCT((MONTH(CHOOSE({1,2,3,4},KHP!T388,KHP!X388,KHP!AB388,KHP!AF388))=4)*(CHOOSE({1,2,3,4},KHP!W388,KHP!AA388,KHP!AE388,KHP!AI388)))</f>
        <v>0</v>
      </c>
      <c r="E388">
        <f>SUMPRODUCT((MONTH(CHOOSE({1,2,3,4},KHP!T388,KHP!X388,KHP!AB388,KHP!AF388))=5)*(CHOOSE({1,2,3,4},KHP!W388,KHP!AA388,KHP!AE388,KHP!AI388)))</f>
        <v>0</v>
      </c>
      <c r="F388">
        <f>SUMPRODUCT((MONTH(CHOOSE({1,2,3,4},KHP!T388,KHP!X388,KHP!AB388,KHP!AF388))=6)*(CHOOSE({1,2,3,4},KHP!W388,KHP!AA388,KHP!AE388,KHP!AI388)))</f>
        <v>0</v>
      </c>
      <c r="G388">
        <f>SUMPRODUCT((MONTH(CHOOSE({1,2,3,4},KHP!T388,KHP!X388,KHP!AB388,KHP!AF388))=7)*(CHOOSE({1,2,3,4},KHP!W388,KHP!AA388,KHP!AE388,KHP!AI388)))</f>
        <v>0</v>
      </c>
      <c r="H388">
        <f>SUMPRODUCT((MONTH(CHOOSE({1,2,3,4},KHP!T388,KHP!X388,KHP!AB388,KHP!AF388))=8)*(CHOOSE({1,2,3,4},KHP!W388,KHP!AA388,KHP!AE388,KHP!AI388)))</f>
        <v>0</v>
      </c>
      <c r="I388">
        <f>SUMPRODUCT((MONTH(CHOOSE({1,2,3,4},KHP!T388,KHP!X388,KHP!AB388,KHP!AF388))=9)*(CHOOSE({1,2,3,4},KHP!W388,KHP!AA388,KHP!AE388,KHP!AI388)))</f>
        <v>0</v>
      </c>
      <c r="J388">
        <f>SUMPRODUCT((MONTH(CHOOSE({1,2,3,4},KHP!T388,KHP!X388,KHP!AB388,KHP!AF388))=10)*(CHOOSE({1,2,3,4},KHP!W388,KHP!AA388,KHP!AE388,KHP!AI388)))</f>
        <v>0</v>
      </c>
      <c r="K388">
        <f>SUMPRODUCT((MONTH(CHOOSE({1,2,3,4},KHP!T388,KHP!X388,KHP!AB388,KHP!AF388))=11)*(CHOOSE({1,2,3,4},KHP!W388,KHP!AA388,KHP!AE388,KHP!AI388)))</f>
        <v>0</v>
      </c>
      <c r="L388">
        <f>SUMPRODUCT((MONTH(CHOOSE({1,2,3,4},KHP!T388,KHP!X388,KHP!AB388,KHP!AF388))=12)*(CHOOSE({1,2,3,4},KHP!W388,KHP!AA388,KHP!AE388,KHP!AI388)))</f>
        <v>0</v>
      </c>
    </row>
    <row r="389" spans="1:12">
      <c r="A389">
        <f>SUMPRODUCT((MONTH(CHOOSE({1,2,3,4},KHP!T389,KHP!X389,KHP!AB389,KHP!AF389))=1)*(CHOOSE({1,2,3,4},KHP!W389,KHP!AA389,KHP!AE389,KHP!AI389)))</f>
        <v>0</v>
      </c>
      <c r="B389">
        <f>SUMPRODUCT((MONTH(CHOOSE({1,2,3,4},KHP!T389,KHP!X389,KHP!AB389,KHP!AF389))=2)*(CHOOSE({1,2,3,4},KHP!W389,KHP!AA389,KHP!AE389,KHP!AI389)))</f>
        <v>0</v>
      </c>
      <c r="C389">
        <f>SUMPRODUCT((MONTH(CHOOSE({1,2,3,4},KHP!T389,KHP!X389,KHP!AB389,KHP!AF389))=3)*(CHOOSE({1,2,3,4},KHP!W389,KHP!AA389,KHP!AE389,KHP!AI389)))</f>
        <v>0</v>
      </c>
      <c r="D389">
        <f>SUMPRODUCT((MONTH(CHOOSE({1,2,3,4},KHP!T389,KHP!X389,KHP!AB389,KHP!AF389))=4)*(CHOOSE({1,2,3,4},KHP!W389,KHP!AA389,KHP!AE389,KHP!AI389)))</f>
        <v>0</v>
      </c>
      <c r="E389">
        <f>SUMPRODUCT((MONTH(CHOOSE({1,2,3,4},KHP!T389,KHP!X389,KHP!AB389,KHP!AF389))=5)*(CHOOSE({1,2,3,4},KHP!W389,KHP!AA389,KHP!AE389,KHP!AI389)))</f>
        <v>0</v>
      </c>
      <c r="F389">
        <f>SUMPRODUCT((MONTH(CHOOSE({1,2,3,4},KHP!T389,KHP!X389,KHP!AB389,KHP!AF389))=6)*(CHOOSE({1,2,3,4},KHP!W389,KHP!AA389,KHP!AE389,KHP!AI389)))</f>
        <v>0</v>
      </c>
      <c r="G389">
        <f>SUMPRODUCT((MONTH(CHOOSE({1,2,3,4},KHP!T389,KHP!X389,KHP!AB389,KHP!AF389))=7)*(CHOOSE({1,2,3,4},KHP!W389,KHP!AA389,KHP!AE389,KHP!AI389)))</f>
        <v>0</v>
      </c>
      <c r="H389">
        <f>SUMPRODUCT((MONTH(CHOOSE({1,2,3,4},KHP!T389,KHP!X389,KHP!AB389,KHP!AF389))=8)*(CHOOSE({1,2,3,4},KHP!W389,KHP!AA389,KHP!AE389,KHP!AI389)))</f>
        <v>0</v>
      </c>
      <c r="I389">
        <f>SUMPRODUCT((MONTH(CHOOSE({1,2,3,4},KHP!T389,KHP!X389,KHP!AB389,KHP!AF389))=9)*(CHOOSE({1,2,3,4},KHP!W389,KHP!AA389,KHP!AE389,KHP!AI389)))</f>
        <v>0</v>
      </c>
      <c r="J389">
        <f>SUMPRODUCT((MONTH(CHOOSE({1,2,3,4},KHP!T389,KHP!X389,KHP!AB389,KHP!AF389))=10)*(CHOOSE({1,2,3,4},KHP!W389,KHP!AA389,KHP!AE389,KHP!AI389)))</f>
        <v>0</v>
      </c>
      <c r="K389">
        <f>SUMPRODUCT((MONTH(CHOOSE({1,2,3,4},KHP!T389,KHP!X389,KHP!AB389,KHP!AF389))=11)*(CHOOSE({1,2,3,4},KHP!W389,KHP!AA389,KHP!AE389,KHP!AI389)))</f>
        <v>0</v>
      </c>
      <c r="L389">
        <f>SUMPRODUCT((MONTH(CHOOSE({1,2,3,4},KHP!T389,KHP!X389,KHP!AB389,KHP!AF389))=12)*(CHOOSE({1,2,3,4},KHP!W389,KHP!AA389,KHP!AE389,KHP!AI389)))</f>
        <v>0</v>
      </c>
    </row>
    <row r="390" spans="1:12">
      <c r="A390">
        <f>SUMPRODUCT((MONTH(CHOOSE({1,2,3,4},KHP!T390,KHP!X390,KHP!AB390,KHP!AF390))=1)*(CHOOSE({1,2,3,4},KHP!W390,KHP!AA390,KHP!AE390,KHP!AI390)))</f>
        <v>0</v>
      </c>
      <c r="B390">
        <f>SUMPRODUCT((MONTH(CHOOSE({1,2,3,4},KHP!T390,KHP!X390,KHP!AB390,KHP!AF390))=2)*(CHOOSE({1,2,3,4},KHP!W390,KHP!AA390,KHP!AE390,KHP!AI390)))</f>
        <v>0</v>
      </c>
      <c r="C390">
        <f>SUMPRODUCT((MONTH(CHOOSE({1,2,3,4},KHP!T390,KHP!X390,KHP!AB390,KHP!AF390))=3)*(CHOOSE({1,2,3,4},KHP!W390,KHP!AA390,KHP!AE390,KHP!AI390)))</f>
        <v>0</v>
      </c>
      <c r="D390">
        <f>SUMPRODUCT((MONTH(CHOOSE({1,2,3,4},KHP!T390,KHP!X390,KHP!AB390,KHP!AF390))=4)*(CHOOSE({1,2,3,4},KHP!W390,KHP!AA390,KHP!AE390,KHP!AI390)))</f>
        <v>0</v>
      </c>
      <c r="E390">
        <f>SUMPRODUCT((MONTH(CHOOSE({1,2,3,4},KHP!T390,KHP!X390,KHP!AB390,KHP!AF390))=5)*(CHOOSE({1,2,3,4},KHP!W390,KHP!AA390,KHP!AE390,KHP!AI390)))</f>
        <v>0</v>
      </c>
      <c r="F390">
        <f>SUMPRODUCT((MONTH(CHOOSE({1,2,3,4},KHP!T390,KHP!X390,KHP!AB390,KHP!AF390))=6)*(CHOOSE({1,2,3,4},KHP!W390,KHP!AA390,KHP!AE390,KHP!AI390)))</f>
        <v>0</v>
      </c>
      <c r="G390">
        <f>SUMPRODUCT((MONTH(CHOOSE({1,2,3,4},KHP!T390,KHP!X390,KHP!AB390,KHP!AF390))=7)*(CHOOSE({1,2,3,4},KHP!W390,KHP!AA390,KHP!AE390,KHP!AI390)))</f>
        <v>0</v>
      </c>
      <c r="H390">
        <f>SUMPRODUCT((MONTH(CHOOSE({1,2,3,4},KHP!T390,KHP!X390,KHP!AB390,KHP!AF390))=8)*(CHOOSE({1,2,3,4},KHP!W390,KHP!AA390,KHP!AE390,KHP!AI390)))</f>
        <v>0</v>
      </c>
      <c r="I390">
        <f>SUMPRODUCT((MONTH(CHOOSE({1,2,3,4},KHP!T390,KHP!X390,KHP!AB390,KHP!AF390))=9)*(CHOOSE({1,2,3,4},KHP!W390,KHP!AA390,KHP!AE390,KHP!AI390)))</f>
        <v>0</v>
      </c>
      <c r="J390">
        <f>SUMPRODUCT((MONTH(CHOOSE({1,2,3,4},KHP!T390,KHP!X390,KHP!AB390,KHP!AF390))=10)*(CHOOSE({1,2,3,4},KHP!W390,KHP!AA390,KHP!AE390,KHP!AI390)))</f>
        <v>0</v>
      </c>
      <c r="K390">
        <f>SUMPRODUCT((MONTH(CHOOSE({1,2,3,4},KHP!T390,KHP!X390,KHP!AB390,KHP!AF390))=11)*(CHOOSE({1,2,3,4},KHP!W390,KHP!AA390,KHP!AE390,KHP!AI390)))</f>
        <v>0</v>
      </c>
      <c r="L390">
        <f>SUMPRODUCT((MONTH(CHOOSE({1,2,3,4},KHP!T390,KHP!X390,KHP!AB390,KHP!AF390))=12)*(CHOOSE({1,2,3,4},KHP!W390,KHP!AA390,KHP!AE390,KHP!AI390)))</f>
        <v>0</v>
      </c>
    </row>
    <row r="391" spans="1:12">
      <c r="A391">
        <f>SUMPRODUCT((MONTH(CHOOSE({1,2,3,4},KHP!T391,KHP!X391,KHP!AB391,KHP!AF391))=1)*(CHOOSE({1,2,3,4},KHP!W391,KHP!AA391,KHP!AE391,KHP!AI391)))</f>
        <v>0</v>
      </c>
      <c r="B391">
        <f>SUMPRODUCT((MONTH(CHOOSE({1,2,3,4},KHP!T391,KHP!X391,KHP!AB391,KHP!AF391))=2)*(CHOOSE({1,2,3,4},KHP!W391,KHP!AA391,KHP!AE391,KHP!AI391)))</f>
        <v>0</v>
      </c>
      <c r="C391">
        <f>SUMPRODUCT((MONTH(CHOOSE({1,2,3,4},KHP!T391,KHP!X391,KHP!AB391,KHP!AF391))=3)*(CHOOSE({1,2,3,4},KHP!W391,KHP!AA391,KHP!AE391,KHP!AI391)))</f>
        <v>0</v>
      </c>
      <c r="D391">
        <f>SUMPRODUCT((MONTH(CHOOSE({1,2,3,4},KHP!T391,KHP!X391,KHP!AB391,KHP!AF391))=4)*(CHOOSE({1,2,3,4},KHP!W391,KHP!AA391,KHP!AE391,KHP!AI391)))</f>
        <v>0</v>
      </c>
      <c r="E391">
        <f>SUMPRODUCT((MONTH(CHOOSE({1,2,3,4},KHP!T391,KHP!X391,KHP!AB391,KHP!AF391))=5)*(CHOOSE({1,2,3,4},KHP!W391,KHP!AA391,KHP!AE391,KHP!AI391)))</f>
        <v>0</v>
      </c>
      <c r="F391">
        <f>SUMPRODUCT((MONTH(CHOOSE({1,2,3,4},KHP!T391,KHP!X391,KHP!AB391,KHP!AF391))=6)*(CHOOSE({1,2,3,4},KHP!W391,KHP!AA391,KHP!AE391,KHP!AI391)))</f>
        <v>0</v>
      </c>
      <c r="G391">
        <f>SUMPRODUCT((MONTH(CHOOSE({1,2,3,4},KHP!T391,KHP!X391,KHP!AB391,KHP!AF391))=7)*(CHOOSE({1,2,3,4},KHP!W391,KHP!AA391,KHP!AE391,KHP!AI391)))</f>
        <v>0</v>
      </c>
      <c r="H391">
        <f>SUMPRODUCT((MONTH(CHOOSE({1,2,3,4},KHP!T391,KHP!X391,KHP!AB391,KHP!AF391))=8)*(CHOOSE({1,2,3,4},KHP!W391,KHP!AA391,KHP!AE391,KHP!AI391)))</f>
        <v>0</v>
      </c>
      <c r="I391">
        <f>SUMPRODUCT((MONTH(CHOOSE({1,2,3,4},KHP!T391,KHP!X391,KHP!AB391,KHP!AF391))=9)*(CHOOSE({1,2,3,4},KHP!W391,KHP!AA391,KHP!AE391,KHP!AI391)))</f>
        <v>0</v>
      </c>
      <c r="J391">
        <f>SUMPRODUCT((MONTH(CHOOSE({1,2,3,4},KHP!T391,KHP!X391,KHP!AB391,KHP!AF391))=10)*(CHOOSE({1,2,3,4},KHP!W391,KHP!AA391,KHP!AE391,KHP!AI391)))</f>
        <v>0</v>
      </c>
      <c r="K391">
        <f>SUMPRODUCT((MONTH(CHOOSE({1,2,3,4},KHP!T391,KHP!X391,KHP!AB391,KHP!AF391))=11)*(CHOOSE({1,2,3,4},KHP!W391,KHP!AA391,KHP!AE391,KHP!AI391)))</f>
        <v>0</v>
      </c>
      <c r="L391">
        <f>SUMPRODUCT((MONTH(CHOOSE({1,2,3,4},KHP!T391,KHP!X391,KHP!AB391,KHP!AF391))=12)*(CHOOSE({1,2,3,4},KHP!W391,KHP!AA391,KHP!AE391,KHP!AI391)))</f>
        <v>0</v>
      </c>
    </row>
    <row r="392" spans="1:12">
      <c r="A392">
        <f>SUMPRODUCT((MONTH(CHOOSE({1,2,3,4},KHP!T392,KHP!X392,KHP!AB392,KHP!AF392))=1)*(CHOOSE({1,2,3,4},KHP!W392,KHP!AA392,KHP!AE392,KHP!AI392)))</f>
        <v>0</v>
      </c>
      <c r="B392">
        <f>SUMPRODUCT((MONTH(CHOOSE({1,2,3,4},KHP!T392,KHP!X392,KHP!AB392,KHP!AF392))=2)*(CHOOSE({1,2,3,4},KHP!W392,KHP!AA392,KHP!AE392,KHP!AI392)))</f>
        <v>0</v>
      </c>
      <c r="C392">
        <f>SUMPRODUCT((MONTH(CHOOSE({1,2,3,4},KHP!T392,KHP!X392,KHP!AB392,KHP!AF392))=3)*(CHOOSE({1,2,3,4},KHP!W392,KHP!AA392,KHP!AE392,KHP!AI392)))</f>
        <v>0</v>
      </c>
      <c r="D392">
        <f>SUMPRODUCT((MONTH(CHOOSE({1,2,3,4},KHP!T392,KHP!X392,KHP!AB392,KHP!AF392))=4)*(CHOOSE({1,2,3,4},KHP!W392,KHP!AA392,KHP!AE392,KHP!AI392)))</f>
        <v>0</v>
      </c>
      <c r="E392">
        <f>SUMPRODUCT((MONTH(CHOOSE({1,2,3,4},KHP!T392,KHP!X392,KHP!AB392,KHP!AF392))=5)*(CHOOSE({1,2,3,4},KHP!W392,KHP!AA392,KHP!AE392,KHP!AI392)))</f>
        <v>0</v>
      </c>
      <c r="F392">
        <f>SUMPRODUCT((MONTH(CHOOSE({1,2,3,4},KHP!T392,KHP!X392,KHP!AB392,KHP!AF392))=6)*(CHOOSE({1,2,3,4},KHP!W392,KHP!AA392,KHP!AE392,KHP!AI392)))</f>
        <v>0</v>
      </c>
      <c r="G392">
        <f>SUMPRODUCT((MONTH(CHOOSE({1,2,3,4},KHP!T392,KHP!X392,KHP!AB392,KHP!AF392))=7)*(CHOOSE({1,2,3,4},KHP!W392,KHP!AA392,KHP!AE392,KHP!AI392)))</f>
        <v>0</v>
      </c>
      <c r="H392">
        <f>SUMPRODUCT((MONTH(CHOOSE({1,2,3,4},KHP!T392,KHP!X392,KHP!AB392,KHP!AF392))=8)*(CHOOSE({1,2,3,4},KHP!W392,KHP!AA392,KHP!AE392,KHP!AI392)))</f>
        <v>0</v>
      </c>
      <c r="I392">
        <f>SUMPRODUCT((MONTH(CHOOSE({1,2,3,4},KHP!T392,KHP!X392,KHP!AB392,KHP!AF392))=9)*(CHOOSE({1,2,3,4},KHP!W392,KHP!AA392,KHP!AE392,KHP!AI392)))</f>
        <v>0</v>
      </c>
      <c r="J392">
        <f>SUMPRODUCT((MONTH(CHOOSE({1,2,3,4},KHP!T392,KHP!X392,KHP!AB392,KHP!AF392))=10)*(CHOOSE({1,2,3,4},KHP!W392,KHP!AA392,KHP!AE392,KHP!AI392)))</f>
        <v>0</v>
      </c>
      <c r="K392">
        <f>SUMPRODUCT((MONTH(CHOOSE({1,2,3,4},KHP!T392,KHP!X392,KHP!AB392,KHP!AF392))=11)*(CHOOSE({1,2,3,4},KHP!W392,KHP!AA392,KHP!AE392,KHP!AI392)))</f>
        <v>0</v>
      </c>
      <c r="L392">
        <f>SUMPRODUCT((MONTH(CHOOSE({1,2,3,4},KHP!T392,KHP!X392,KHP!AB392,KHP!AF392))=12)*(CHOOSE({1,2,3,4},KHP!W392,KHP!AA392,KHP!AE392,KHP!AI392)))</f>
        <v>0</v>
      </c>
    </row>
    <row r="393" spans="1:12">
      <c r="A393">
        <f>SUMPRODUCT((MONTH(CHOOSE({1,2,3,4},KHP!T393,KHP!X393,KHP!AB393,KHP!AF393))=1)*(CHOOSE({1,2,3,4},KHP!W393,KHP!AA393,KHP!AE393,KHP!AI393)))</f>
        <v>0</v>
      </c>
      <c r="B393">
        <f>SUMPRODUCT((MONTH(CHOOSE({1,2,3,4},KHP!T393,KHP!X393,KHP!AB393,KHP!AF393))=2)*(CHOOSE({1,2,3,4},KHP!W393,KHP!AA393,KHP!AE393,KHP!AI393)))</f>
        <v>0</v>
      </c>
      <c r="C393">
        <f>SUMPRODUCT((MONTH(CHOOSE({1,2,3,4},KHP!T393,KHP!X393,KHP!AB393,KHP!AF393))=3)*(CHOOSE({1,2,3,4},KHP!W393,KHP!AA393,KHP!AE393,KHP!AI393)))</f>
        <v>0</v>
      </c>
      <c r="D393">
        <f>SUMPRODUCT((MONTH(CHOOSE({1,2,3,4},KHP!T393,KHP!X393,KHP!AB393,KHP!AF393))=4)*(CHOOSE({1,2,3,4},KHP!W393,KHP!AA393,KHP!AE393,KHP!AI393)))</f>
        <v>0</v>
      </c>
      <c r="E393">
        <f>SUMPRODUCT((MONTH(CHOOSE({1,2,3,4},KHP!T393,KHP!X393,KHP!AB393,KHP!AF393))=5)*(CHOOSE({1,2,3,4},KHP!W393,KHP!AA393,KHP!AE393,KHP!AI393)))</f>
        <v>0</v>
      </c>
      <c r="F393">
        <f>SUMPRODUCT((MONTH(CHOOSE({1,2,3,4},KHP!T393,KHP!X393,KHP!AB393,KHP!AF393))=6)*(CHOOSE({1,2,3,4},KHP!W393,KHP!AA393,KHP!AE393,KHP!AI393)))</f>
        <v>0</v>
      </c>
      <c r="G393">
        <f>SUMPRODUCT((MONTH(CHOOSE({1,2,3,4},KHP!T393,KHP!X393,KHP!AB393,KHP!AF393))=7)*(CHOOSE({1,2,3,4},KHP!W393,KHP!AA393,KHP!AE393,KHP!AI393)))</f>
        <v>0</v>
      </c>
      <c r="H393">
        <f>SUMPRODUCT((MONTH(CHOOSE({1,2,3,4},KHP!T393,KHP!X393,KHP!AB393,KHP!AF393))=8)*(CHOOSE({1,2,3,4},KHP!W393,KHP!AA393,KHP!AE393,KHP!AI393)))</f>
        <v>0</v>
      </c>
      <c r="I393">
        <f>SUMPRODUCT((MONTH(CHOOSE({1,2,3,4},KHP!T393,KHP!X393,KHP!AB393,KHP!AF393))=9)*(CHOOSE({1,2,3,4},KHP!W393,KHP!AA393,KHP!AE393,KHP!AI393)))</f>
        <v>0</v>
      </c>
      <c r="J393">
        <f>SUMPRODUCT((MONTH(CHOOSE({1,2,3,4},KHP!T393,KHP!X393,KHP!AB393,KHP!AF393))=10)*(CHOOSE({1,2,3,4},KHP!W393,KHP!AA393,KHP!AE393,KHP!AI393)))</f>
        <v>0</v>
      </c>
      <c r="K393">
        <f>SUMPRODUCT((MONTH(CHOOSE({1,2,3,4},KHP!T393,KHP!X393,KHP!AB393,KHP!AF393))=11)*(CHOOSE({1,2,3,4},KHP!W393,KHP!AA393,KHP!AE393,KHP!AI393)))</f>
        <v>0</v>
      </c>
      <c r="L393">
        <f>SUMPRODUCT((MONTH(CHOOSE({1,2,3,4},KHP!T393,KHP!X393,KHP!AB393,KHP!AF393))=12)*(CHOOSE({1,2,3,4},KHP!W393,KHP!AA393,KHP!AE393,KHP!AI393)))</f>
        <v>0</v>
      </c>
    </row>
    <row r="394" spans="1:12">
      <c r="A394">
        <f>SUMPRODUCT((MONTH(CHOOSE({1,2,3,4},KHP!T394,KHP!X394,KHP!AB394,KHP!AF394))=1)*(CHOOSE({1,2,3,4},KHP!W394,KHP!AA394,KHP!AE394,KHP!AI394)))</f>
        <v>0</v>
      </c>
      <c r="B394">
        <f>SUMPRODUCT((MONTH(CHOOSE({1,2,3,4},KHP!T394,KHP!X394,KHP!AB394,KHP!AF394))=2)*(CHOOSE({1,2,3,4},KHP!W394,KHP!AA394,KHP!AE394,KHP!AI394)))</f>
        <v>0</v>
      </c>
      <c r="C394">
        <f>SUMPRODUCT((MONTH(CHOOSE({1,2,3,4},KHP!T394,KHP!X394,KHP!AB394,KHP!AF394))=3)*(CHOOSE({1,2,3,4},KHP!W394,KHP!AA394,KHP!AE394,KHP!AI394)))</f>
        <v>0</v>
      </c>
      <c r="D394">
        <f>SUMPRODUCT((MONTH(CHOOSE({1,2,3,4},KHP!T394,KHP!X394,KHP!AB394,KHP!AF394))=4)*(CHOOSE({1,2,3,4},KHP!W394,KHP!AA394,KHP!AE394,KHP!AI394)))</f>
        <v>0</v>
      </c>
      <c r="E394">
        <f>SUMPRODUCT((MONTH(CHOOSE({1,2,3,4},KHP!T394,KHP!X394,KHP!AB394,KHP!AF394))=5)*(CHOOSE({1,2,3,4},KHP!W394,KHP!AA394,KHP!AE394,KHP!AI394)))</f>
        <v>0</v>
      </c>
      <c r="F394">
        <f>SUMPRODUCT((MONTH(CHOOSE({1,2,3,4},KHP!T394,KHP!X394,KHP!AB394,KHP!AF394))=6)*(CHOOSE({1,2,3,4},KHP!W394,KHP!AA394,KHP!AE394,KHP!AI394)))</f>
        <v>0</v>
      </c>
      <c r="G394">
        <f>SUMPRODUCT((MONTH(CHOOSE({1,2,3,4},KHP!T394,KHP!X394,KHP!AB394,KHP!AF394))=7)*(CHOOSE({1,2,3,4},KHP!W394,KHP!AA394,KHP!AE394,KHP!AI394)))</f>
        <v>0</v>
      </c>
      <c r="H394">
        <f>SUMPRODUCT((MONTH(CHOOSE({1,2,3,4},KHP!T394,KHP!X394,KHP!AB394,KHP!AF394))=8)*(CHOOSE({1,2,3,4},KHP!W394,KHP!AA394,KHP!AE394,KHP!AI394)))</f>
        <v>0</v>
      </c>
      <c r="I394">
        <f>SUMPRODUCT((MONTH(CHOOSE({1,2,3,4},KHP!T394,KHP!X394,KHP!AB394,KHP!AF394))=9)*(CHOOSE({1,2,3,4},KHP!W394,KHP!AA394,KHP!AE394,KHP!AI394)))</f>
        <v>0</v>
      </c>
      <c r="J394">
        <f>SUMPRODUCT((MONTH(CHOOSE({1,2,3,4},KHP!T394,KHP!X394,KHP!AB394,KHP!AF394))=10)*(CHOOSE({1,2,3,4},KHP!W394,KHP!AA394,KHP!AE394,KHP!AI394)))</f>
        <v>0</v>
      </c>
      <c r="K394">
        <f>SUMPRODUCT((MONTH(CHOOSE({1,2,3,4},KHP!T394,KHP!X394,KHP!AB394,KHP!AF394))=11)*(CHOOSE({1,2,3,4},KHP!W394,KHP!AA394,KHP!AE394,KHP!AI394)))</f>
        <v>0</v>
      </c>
      <c r="L394">
        <f>SUMPRODUCT((MONTH(CHOOSE({1,2,3,4},KHP!T394,KHP!X394,KHP!AB394,KHP!AF394))=12)*(CHOOSE({1,2,3,4},KHP!W394,KHP!AA394,KHP!AE394,KHP!AI394)))</f>
        <v>0</v>
      </c>
    </row>
    <row r="395" spans="1:12">
      <c r="A395">
        <f>SUMPRODUCT((MONTH(CHOOSE({1,2,3,4},KHP!T395,KHP!X395,KHP!AB395,KHP!AF395))=1)*(CHOOSE({1,2,3,4},KHP!W395,KHP!AA395,KHP!AE395,KHP!AI395)))</f>
        <v>0</v>
      </c>
      <c r="B395">
        <f>SUMPRODUCT((MONTH(CHOOSE({1,2,3,4},KHP!T395,KHP!X395,KHP!AB395,KHP!AF395))=2)*(CHOOSE({1,2,3,4},KHP!W395,KHP!AA395,KHP!AE395,KHP!AI395)))</f>
        <v>0</v>
      </c>
      <c r="C395">
        <f>SUMPRODUCT((MONTH(CHOOSE({1,2,3,4},KHP!T395,KHP!X395,KHP!AB395,KHP!AF395))=3)*(CHOOSE({1,2,3,4},KHP!W395,KHP!AA395,KHP!AE395,KHP!AI395)))</f>
        <v>0</v>
      </c>
      <c r="D395">
        <f>SUMPRODUCT((MONTH(CHOOSE({1,2,3,4},KHP!T395,KHP!X395,KHP!AB395,KHP!AF395))=4)*(CHOOSE({1,2,3,4},KHP!W395,KHP!AA395,KHP!AE395,KHP!AI395)))</f>
        <v>0</v>
      </c>
      <c r="E395">
        <f>SUMPRODUCT((MONTH(CHOOSE({1,2,3,4},KHP!T395,KHP!X395,KHP!AB395,KHP!AF395))=5)*(CHOOSE({1,2,3,4},KHP!W395,KHP!AA395,KHP!AE395,KHP!AI395)))</f>
        <v>0</v>
      </c>
      <c r="F395">
        <f>SUMPRODUCT((MONTH(CHOOSE({1,2,3,4},KHP!T395,KHP!X395,KHP!AB395,KHP!AF395))=6)*(CHOOSE({1,2,3,4},KHP!W395,KHP!AA395,KHP!AE395,KHP!AI395)))</f>
        <v>0</v>
      </c>
      <c r="G395">
        <f>SUMPRODUCT((MONTH(CHOOSE({1,2,3,4},KHP!T395,KHP!X395,KHP!AB395,KHP!AF395))=7)*(CHOOSE({1,2,3,4},KHP!W395,KHP!AA395,KHP!AE395,KHP!AI395)))</f>
        <v>0</v>
      </c>
      <c r="H395">
        <f>SUMPRODUCT((MONTH(CHOOSE({1,2,3,4},KHP!T395,KHP!X395,KHP!AB395,KHP!AF395))=8)*(CHOOSE({1,2,3,4},KHP!W395,KHP!AA395,KHP!AE395,KHP!AI395)))</f>
        <v>0</v>
      </c>
      <c r="I395">
        <f>SUMPRODUCT((MONTH(CHOOSE({1,2,3,4},KHP!T395,KHP!X395,KHP!AB395,KHP!AF395))=9)*(CHOOSE({1,2,3,4},KHP!W395,KHP!AA395,KHP!AE395,KHP!AI395)))</f>
        <v>0</v>
      </c>
      <c r="J395">
        <f>SUMPRODUCT((MONTH(CHOOSE({1,2,3,4},KHP!T395,KHP!X395,KHP!AB395,KHP!AF395))=10)*(CHOOSE({1,2,3,4},KHP!W395,KHP!AA395,KHP!AE395,KHP!AI395)))</f>
        <v>0</v>
      </c>
      <c r="K395">
        <f>SUMPRODUCT((MONTH(CHOOSE({1,2,3,4},KHP!T395,KHP!X395,KHP!AB395,KHP!AF395))=11)*(CHOOSE({1,2,3,4},KHP!W395,KHP!AA395,KHP!AE395,KHP!AI395)))</f>
        <v>0</v>
      </c>
      <c r="L395">
        <f>SUMPRODUCT((MONTH(CHOOSE({1,2,3,4},KHP!T395,KHP!X395,KHP!AB395,KHP!AF395))=12)*(CHOOSE({1,2,3,4},KHP!W395,KHP!AA395,KHP!AE395,KHP!AI395)))</f>
        <v>0</v>
      </c>
    </row>
    <row r="396" spans="1:12">
      <c r="A396">
        <f>SUMPRODUCT((MONTH(CHOOSE({1,2,3,4},KHP!T396,KHP!X396,KHP!AB396,KHP!AF396))=1)*(CHOOSE({1,2,3,4},KHP!W396,KHP!AA396,KHP!AE396,KHP!AI396)))</f>
        <v>0</v>
      </c>
      <c r="B396">
        <f>SUMPRODUCT((MONTH(CHOOSE({1,2,3,4},KHP!T396,KHP!X396,KHP!AB396,KHP!AF396))=2)*(CHOOSE({1,2,3,4},KHP!W396,KHP!AA396,KHP!AE396,KHP!AI396)))</f>
        <v>0</v>
      </c>
      <c r="C396">
        <f>SUMPRODUCT((MONTH(CHOOSE({1,2,3,4},KHP!T396,KHP!X396,KHP!AB396,KHP!AF396))=3)*(CHOOSE({1,2,3,4},KHP!W396,KHP!AA396,KHP!AE396,KHP!AI396)))</f>
        <v>0</v>
      </c>
      <c r="D396">
        <f>SUMPRODUCT((MONTH(CHOOSE({1,2,3,4},KHP!T396,KHP!X396,KHP!AB396,KHP!AF396))=4)*(CHOOSE({1,2,3,4},KHP!W396,KHP!AA396,KHP!AE396,KHP!AI396)))</f>
        <v>0</v>
      </c>
      <c r="E396">
        <f>SUMPRODUCT((MONTH(CHOOSE({1,2,3,4},KHP!T396,KHP!X396,KHP!AB396,KHP!AF396))=5)*(CHOOSE({1,2,3,4},KHP!W396,KHP!AA396,KHP!AE396,KHP!AI396)))</f>
        <v>0</v>
      </c>
      <c r="F396">
        <f>SUMPRODUCT((MONTH(CHOOSE({1,2,3,4},KHP!T396,KHP!X396,KHP!AB396,KHP!AF396))=6)*(CHOOSE({1,2,3,4},KHP!W396,KHP!AA396,KHP!AE396,KHP!AI396)))</f>
        <v>0</v>
      </c>
      <c r="G396">
        <f>SUMPRODUCT((MONTH(CHOOSE({1,2,3,4},KHP!T396,KHP!X396,KHP!AB396,KHP!AF396))=7)*(CHOOSE({1,2,3,4},KHP!W396,KHP!AA396,KHP!AE396,KHP!AI396)))</f>
        <v>0</v>
      </c>
      <c r="H396">
        <f>SUMPRODUCT((MONTH(CHOOSE({1,2,3,4},KHP!T396,KHP!X396,KHP!AB396,KHP!AF396))=8)*(CHOOSE({1,2,3,4},KHP!W396,KHP!AA396,KHP!AE396,KHP!AI396)))</f>
        <v>0</v>
      </c>
      <c r="I396">
        <f>SUMPRODUCT((MONTH(CHOOSE({1,2,3,4},KHP!T396,KHP!X396,KHP!AB396,KHP!AF396))=9)*(CHOOSE({1,2,3,4},KHP!W396,KHP!AA396,KHP!AE396,KHP!AI396)))</f>
        <v>0</v>
      </c>
      <c r="J396">
        <f>SUMPRODUCT((MONTH(CHOOSE({1,2,3,4},KHP!T396,KHP!X396,KHP!AB396,KHP!AF396))=10)*(CHOOSE({1,2,3,4},KHP!W396,KHP!AA396,KHP!AE396,KHP!AI396)))</f>
        <v>0</v>
      </c>
      <c r="K396">
        <f>SUMPRODUCT((MONTH(CHOOSE({1,2,3,4},KHP!T396,KHP!X396,KHP!AB396,KHP!AF396))=11)*(CHOOSE({1,2,3,4},KHP!W396,KHP!AA396,KHP!AE396,KHP!AI396)))</f>
        <v>0</v>
      </c>
      <c r="L396">
        <f>SUMPRODUCT((MONTH(CHOOSE({1,2,3,4},KHP!T396,KHP!X396,KHP!AB396,KHP!AF396))=12)*(CHOOSE({1,2,3,4},KHP!W396,KHP!AA396,KHP!AE396,KHP!AI396)))</f>
        <v>0</v>
      </c>
    </row>
    <row r="397" spans="1:12">
      <c r="A397">
        <f>SUMPRODUCT((MONTH(CHOOSE({1,2,3,4},KHP!T397,KHP!X397,KHP!AB397,KHP!AF397))=1)*(CHOOSE({1,2,3,4},KHP!W397,KHP!AA397,KHP!AE397,KHP!AI397)))</f>
        <v>0</v>
      </c>
      <c r="B397">
        <f>SUMPRODUCT((MONTH(CHOOSE({1,2,3,4},KHP!T397,KHP!X397,KHP!AB397,KHP!AF397))=2)*(CHOOSE({1,2,3,4},KHP!W397,KHP!AA397,KHP!AE397,KHP!AI397)))</f>
        <v>0</v>
      </c>
      <c r="C397">
        <f>SUMPRODUCT((MONTH(CHOOSE({1,2,3,4},KHP!T397,KHP!X397,KHP!AB397,KHP!AF397))=3)*(CHOOSE({1,2,3,4},KHP!W397,KHP!AA397,KHP!AE397,KHP!AI397)))</f>
        <v>0</v>
      </c>
      <c r="D397">
        <f>SUMPRODUCT((MONTH(CHOOSE({1,2,3,4},KHP!T397,KHP!X397,KHP!AB397,KHP!AF397))=4)*(CHOOSE({1,2,3,4},KHP!W397,KHP!AA397,KHP!AE397,KHP!AI397)))</f>
        <v>0</v>
      </c>
      <c r="E397">
        <f>SUMPRODUCT((MONTH(CHOOSE({1,2,3,4},KHP!T397,KHP!X397,KHP!AB397,KHP!AF397))=5)*(CHOOSE({1,2,3,4},KHP!W397,KHP!AA397,KHP!AE397,KHP!AI397)))</f>
        <v>0</v>
      </c>
      <c r="F397">
        <f>SUMPRODUCT((MONTH(CHOOSE({1,2,3,4},KHP!T397,KHP!X397,KHP!AB397,KHP!AF397))=6)*(CHOOSE({1,2,3,4},KHP!W397,KHP!AA397,KHP!AE397,KHP!AI397)))</f>
        <v>0</v>
      </c>
      <c r="G397">
        <f>SUMPRODUCT((MONTH(CHOOSE({1,2,3,4},KHP!T397,KHP!X397,KHP!AB397,KHP!AF397))=7)*(CHOOSE({1,2,3,4},KHP!W397,KHP!AA397,KHP!AE397,KHP!AI397)))</f>
        <v>0</v>
      </c>
      <c r="H397">
        <f>SUMPRODUCT((MONTH(CHOOSE({1,2,3,4},KHP!T397,KHP!X397,KHP!AB397,KHP!AF397))=8)*(CHOOSE({1,2,3,4},KHP!W397,KHP!AA397,KHP!AE397,KHP!AI397)))</f>
        <v>0</v>
      </c>
      <c r="I397">
        <f>SUMPRODUCT((MONTH(CHOOSE({1,2,3,4},KHP!T397,KHP!X397,KHP!AB397,KHP!AF397))=9)*(CHOOSE({1,2,3,4},KHP!W397,KHP!AA397,KHP!AE397,KHP!AI397)))</f>
        <v>0</v>
      </c>
      <c r="J397">
        <f>SUMPRODUCT((MONTH(CHOOSE({1,2,3,4},KHP!T397,KHP!X397,KHP!AB397,KHP!AF397))=10)*(CHOOSE({1,2,3,4},KHP!W397,KHP!AA397,KHP!AE397,KHP!AI397)))</f>
        <v>0</v>
      </c>
      <c r="K397">
        <f>SUMPRODUCT((MONTH(CHOOSE({1,2,3,4},KHP!T397,KHP!X397,KHP!AB397,KHP!AF397))=11)*(CHOOSE({1,2,3,4},KHP!W397,KHP!AA397,KHP!AE397,KHP!AI397)))</f>
        <v>0</v>
      </c>
      <c r="L397">
        <f>SUMPRODUCT((MONTH(CHOOSE({1,2,3,4},KHP!T397,KHP!X397,KHP!AB397,KHP!AF397))=12)*(CHOOSE({1,2,3,4},KHP!W397,KHP!AA397,KHP!AE397,KHP!AI397)))</f>
        <v>0</v>
      </c>
    </row>
    <row r="398" spans="1:12">
      <c r="A398">
        <f>SUMPRODUCT((MONTH(CHOOSE({1,2,3,4},KHP!T398,KHP!X398,KHP!AB398,KHP!AF398))=1)*(CHOOSE({1,2,3,4},KHP!W398,KHP!AA398,KHP!AE398,KHP!AI398)))</f>
        <v>0</v>
      </c>
      <c r="B398">
        <f>SUMPRODUCT((MONTH(CHOOSE({1,2,3,4},KHP!T398,KHP!X398,KHP!AB398,KHP!AF398))=2)*(CHOOSE({1,2,3,4},KHP!W398,KHP!AA398,KHP!AE398,KHP!AI398)))</f>
        <v>0</v>
      </c>
      <c r="C398">
        <f>SUMPRODUCT((MONTH(CHOOSE({1,2,3,4},KHP!T398,KHP!X398,KHP!AB398,KHP!AF398))=3)*(CHOOSE({1,2,3,4},KHP!W398,KHP!AA398,KHP!AE398,KHP!AI398)))</f>
        <v>0</v>
      </c>
      <c r="D398">
        <f>SUMPRODUCT((MONTH(CHOOSE({1,2,3,4},KHP!T398,KHP!X398,KHP!AB398,KHP!AF398))=4)*(CHOOSE({1,2,3,4},KHP!W398,KHP!AA398,KHP!AE398,KHP!AI398)))</f>
        <v>0</v>
      </c>
      <c r="E398">
        <f>SUMPRODUCT((MONTH(CHOOSE({1,2,3,4},KHP!T398,KHP!X398,KHP!AB398,KHP!AF398))=5)*(CHOOSE({1,2,3,4},KHP!W398,KHP!AA398,KHP!AE398,KHP!AI398)))</f>
        <v>0</v>
      </c>
      <c r="F398">
        <f>SUMPRODUCT((MONTH(CHOOSE({1,2,3,4},KHP!T398,KHP!X398,KHP!AB398,KHP!AF398))=6)*(CHOOSE({1,2,3,4},KHP!W398,KHP!AA398,KHP!AE398,KHP!AI398)))</f>
        <v>0</v>
      </c>
      <c r="G398">
        <f>SUMPRODUCT((MONTH(CHOOSE({1,2,3,4},KHP!T398,KHP!X398,KHP!AB398,KHP!AF398))=7)*(CHOOSE({1,2,3,4},KHP!W398,KHP!AA398,KHP!AE398,KHP!AI398)))</f>
        <v>0</v>
      </c>
      <c r="H398">
        <f>SUMPRODUCT((MONTH(CHOOSE({1,2,3,4},KHP!T398,KHP!X398,KHP!AB398,KHP!AF398))=8)*(CHOOSE({1,2,3,4},KHP!W398,KHP!AA398,KHP!AE398,KHP!AI398)))</f>
        <v>0</v>
      </c>
      <c r="I398">
        <f>SUMPRODUCT((MONTH(CHOOSE({1,2,3,4},KHP!T398,KHP!X398,KHP!AB398,KHP!AF398))=9)*(CHOOSE({1,2,3,4},KHP!W398,KHP!AA398,KHP!AE398,KHP!AI398)))</f>
        <v>0</v>
      </c>
      <c r="J398">
        <f>SUMPRODUCT((MONTH(CHOOSE({1,2,3,4},KHP!T398,KHP!X398,KHP!AB398,KHP!AF398))=10)*(CHOOSE({1,2,3,4},KHP!W398,KHP!AA398,KHP!AE398,KHP!AI398)))</f>
        <v>0</v>
      </c>
      <c r="K398">
        <f>SUMPRODUCT((MONTH(CHOOSE({1,2,3,4},KHP!T398,KHP!X398,KHP!AB398,KHP!AF398))=11)*(CHOOSE({1,2,3,4},KHP!W398,KHP!AA398,KHP!AE398,KHP!AI398)))</f>
        <v>0</v>
      </c>
      <c r="L398">
        <f>SUMPRODUCT((MONTH(CHOOSE({1,2,3,4},KHP!T398,KHP!X398,KHP!AB398,KHP!AF398))=12)*(CHOOSE({1,2,3,4},KHP!W398,KHP!AA398,KHP!AE398,KHP!AI398)))</f>
        <v>0</v>
      </c>
    </row>
    <row r="399" spans="1:12">
      <c r="A399">
        <f>SUMPRODUCT((MONTH(CHOOSE({1,2,3,4},KHP!T399,KHP!X399,KHP!AB399,KHP!AF399))=1)*(CHOOSE({1,2,3,4},KHP!W399,KHP!AA399,KHP!AE399,KHP!AI399)))</f>
        <v>0</v>
      </c>
      <c r="B399">
        <f>SUMPRODUCT((MONTH(CHOOSE({1,2,3,4},KHP!T399,KHP!X399,KHP!AB399,KHP!AF399))=2)*(CHOOSE({1,2,3,4},KHP!W399,KHP!AA399,KHP!AE399,KHP!AI399)))</f>
        <v>0</v>
      </c>
      <c r="C399">
        <f>SUMPRODUCT((MONTH(CHOOSE({1,2,3,4},KHP!T399,KHP!X399,KHP!AB399,KHP!AF399))=3)*(CHOOSE({1,2,3,4},KHP!W399,KHP!AA399,KHP!AE399,KHP!AI399)))</f>
        <v>0</v>
      </c>
      <c r="D399">
        <f>SUMPRODUCT((MONTH(CHOOSE({1,2,3,4},KHP!T399,KHP!X399,KHP!AB399,KHP!AF399))=4)*(CHOOSE({1,2,3,4},KHP!W399,KHP!AA399,KHP!AE399,KHP!AI399)))</f>
        <v>0</v>
      </c>
      <c r="E399">
        <f>SUMPRODUCT((MONTH(CHOOSE({1,2,3,4},KHP!T399,KHP!X399,KHP!AB399,KHP!AF399))=5)*(CHOOSE({1,2,3,4},KHP!W399,KHP!AA399,KHP!AE399,KHP!AI399)))</f>
        <v>0</v>
      </c>
      <c r="F399">
        <f>SUMPRODUCT((MONTH(CHOOSE({1,2,3,4},KHP!T399,KHP!X399,KHP!AB399,KHP!AF399))=6)*(CHOOSE({1,2,3,4},KHP!W399,KHP!AA399,KHP!AE399,KHP!AI399)))</f>
        <v>0</v>
      </c>
      <c r="G399">
        <f>SUMPRODUCT((MONTH(CHOOSE({1,2,3,4},KHP!T399,KHP!X399,KHP!AB399,KHP!AF399))=7)*(CHOOSE({1,2,3,4},KHP!W399,KHP!AA399,KHP!AE399,KHP!AI399)))</f>
        <v>0</v>
      </c>
      <c r="H399">
        <f>SUMPRODUCT((MONTH(CHOOSE({1,2,3,4},KHP!T399,KHP!X399,KHP!AB399,KHP!AF399))=8)*(CHOOSE({1,2,3,4},KHP!W399,KHP!AA399,KHP!AE399,KHP!AI399)))</f>
        <v>0</v>
      </c>
      <c r="I399">
        <f>SUMPRODUCT((MONTH(CHOOSE({1,2,3,4},KHP!T399,KHP!X399,KHP!AB399,KHP!AF399))=9)*(CHOOSE({1,2,3,4},KHP!W399,KHP!AA399,KHP!AE399,KHP!AI399)))</f>
        <v>0</v>
      </c>
      <c r="J399">
        <f>SUMPRODUCT((MONTH(CHOOSE({1,2,3,4},KHP!T399,KHP!X399,KHP!AB399,KHP!AF399))=10)*(CHOOSE({1,2,3,4},KHP!W399,KHP!AA399,KHP!AE399,KHP!AI399)))</f>
        <v>0</v>
      </c>
      <c r="K399">
        <f>SUMPRODUCT((MONTH(CHOOSE({1,2,3,4},KHP!T399,KHP!X399,KHP!AB399,KHP!AF399))=11)*(CHOOSE({1,2,3,4},KHP!W399,KHP!AA399,KHP!AE399,KHP!AI399)))</f>
        <v>0</v>
      </c>
      <c r="L399">
        <f>SUMPRODUCT((MONTH(CHOOSE({1,2,3,4},KHP!T399,KHP!X399,KHP!AB399,KHP!AF399))=12)*(CHOOSE({1,2,3,4},KHP!W399,KHP!AA399,KHP!AE399,KHP!AI399)))</f>
        <v>0</v>
      </c>
    </row>
    <row r="400" spans="1:12">
      <c r="A400">
        <f>SUMPRODUCT((MONTH(CHOOSE({1,2,3,4},KHP!T400,KHP!X400,KHP!AB400,KHP!AF400))=1)*(CHOOSE({1,2,3,4},KHP!W400,KHP!AA400,KHP!AE400,KHP!AI400)))</f>
        <v>0</v>
      </c>
      <c r="B400">
        <f>SUMPRODUCT((MONTH(CHOOSE({1,2,3,4},KHP!T400,KHP!X400,KHP!AB400,KHP!AF400))=2)*(CHOOSE({1,2,3,4},KHP!W400,KHP!AA400,KHP!AE400,KHP!AI400)))</f>
        <v>0</v>
      </c>
      <c r="C400">
        <f>SUMPRODUCT((MONTH(CHOOSE({1,2,3,4},KHP!T400,KHP!X400,KHP!AB400,KHP!AF400))=3)*(CHOOSE({1,2,3,4},KHP!W400,KHP!AA400,KHP!AE400,KHP!AI400)))</f>
        <v>0</v>
      </c>
      <c r="D400">
        <f>SUMPRODUCT((MONTH(CHOOSE({1,2,3,4},KHP!T400,KHP!X400,KHP!AB400,KHP!AF400))=4)*(CHOOSE({1,2,3,4},KHP!W400,KHP!AA400,KHP!AE400,KHP!AI400)))</f>
        <v>0</v>
      </c>
      <c r="E400">
        <f>SUMPRODUCT((MONTH(CHOOSE({1,2,3,4},KHP!T400,KHP!X400,KHP!AB400,KHP!AF400))=5)*(CHOOSE({1,2,3,4},KHP!W400,KHP!AA400,KHP!AE400,KHP!AI400)))</f>
        <v>0</v>
      </c>
      <c r="F400">
        <f>SUMPRODUCT((MONTH(CHOOSE({1,2,3,4},KHP!T400,KHP!X400,KHP!AB400,KHP!AF400))=6)*(CHOOSE({1,2,3,4},KHP!W400,KHP!AA400,KHP!AE400,KHP!AI400)))</f>
        <v>0</v>
      </c>
      <c r="G400">
        <f>SUMPRODUCT((MONTH(CHOOSE({1,2,3,4},KHP!T400,KHP!X400,KHP!AB400,KHP!AF400))=7)*(CHOOSE({1,2,3,4},KHP!W400,KHP!AA400,KHP!AE400,KHP!AI400)))</f>
        <v>0</v>
      </c>
      <c r="H400">
        <f>SUMPRODUCT((MONTH(CHOOSE({1,2,3,4},KHP!T400,KHP!X400,KHP!AB400,KHP!AF400))=8)*(CHOOSE({1,2,3,4},KHP!W400,KHP!AA400,KHP!AE400,KHP!AI400)))</f>
        <v>0</v>
      </c>
      <c r="I400">
        <f>SUMPRODUCT((MONTH(CHOOSE({1,2,3,4},KHP!T400,KHP!X400,KHP!AB400,KHP!AF400))=9)*(CHOOSE({1,2,3,4},KHP!W400,KHP!AA400,KHP!AE400,KHP!AI400)))</f>
        <v>0</v>
      </c>
      <c r="J400">
        <f>SUMPRODUCT((MONTH(CHOOSE({1,2,3,4},KHP!T400,KHP!X400,KHP!AB400,KHP!AF400))=10)*(CHOOSE({1,2,3,4},KHP!W400,KHP!AA400,KHP!AE400,KHP!AI400)))</f>
        <v>0</v>
      </c>
      <c r="K400">
        <f>SUMPRODUCT((MONTH(CHOOSE({1,2,3,4},KHP!T400,KHP!X400,KHP!AB400,KHP!AF400))=11)*(CHOOSE({1,2,3,4},KHP!W400,KHP!AA400,KHP!AE400,KHP!AI400)))</f>
        <v>0</v>
      </c>
      <c r="L400">
        <f>SUMPRODUCT((MONTH(CHOOSE({1,2,3,4},KHP!T400,KHP!X400,KHP!AB400,KHP!AF400))=12)*(CHOOSE({1,2,3,4},KHP!W400,KHP!AA400,KHP!AE400,KHP!AI400)))</f>
        <v>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L400"/>
  <sheetViews>
    <sheetView workbookViewId="0">
      <selection activeCell="T16" sqref="T16"/>
    </sheetView>
  </sheetViews>
  <sheetFormatPr defaultRowHeight="13.6"/>
  <sheetData>
    <row r="1" spans="1:12">
      <c r="A1">
        <f>COUNTIF(A3:A400,"&gt;0")</f>
        <v>0</v>
      </c>
      <c r="B1">
        <f t="shared" ref="B1:L1" si="0">COUNTIF(B3:B400,"&gt;0")</f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</row>
    <row r="2" spans="1:12" s="10" customFormat="1" ht="12.9">
      <c r="A2" s="10">
        <f>SUM(A3:A444)</f>
        <v>0</v>
      </c>
      <c r="B2" s="10">
        <f t="shared" ref="B2:L2" si="1">SUM(B3:B444)</f>
        <v>0</v>
      </c>
      <c r="C2" s="10">
        <f t="shared" si="1"/>
        <v>0</v>
      </c>
      <c r="D2" s="10">
        <f t="shared" si="1"/>
        <v>0</v>
      </c>
      <c r="E2" s="10">
        <f t="shared" si="1"/>
        <v>0</v>
      </c>
      <c r="F2" s="10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</row>
    <row r="3" spans="1:12" ht="15.8" customHeight="1">
      <c r="A3">
        <f>SUMPRODUCT((MONTH(CHOOSE({1,2,3,4},KMB!T3,KMB!X3,KMB!AB3,KMB!AF3))=1)*(CHOOSE({1,2,3,4},KMB!W3,KMB!AA3,KMB!AE3,KMB!AI3)))</f>
        <v>0</v>
      </c>
      <c r="B3">
        <f>SUMPRODUCT((MONTH(CHOOSE({1,2,3,4},KMB!T3,KMB!X3,KMB!AB3,KMB!AF3))=2)*(CHOOSE({1,2,3,4},KMB!W3,KMB!AA3,KMB!AE3,KMB!AI3)))</f>
        <v>0</v>
      </c>
      <c r="C3">
        <f>SUMPRODUCT((MONTH(CHOOSE({1,2,3,4},KMB!T3,KMB!X3,KMB!AB3,KMB!AF3))=3)*(CHOOSE({1,2,3,4},KMB!W3,KMB!AA3,KMB!AE3,KMB!AI3)))</f>
        <v>0</v>
      </c>
      <c r="D3">
        <f>SUMPRODUCT((MONTH(CHOOSE({1,2,3,4},KMB!T3,KMB!X3,KMB!AB3,KMB!AF3))=4)*(CHOOSE({1,2,3,4},KMB!W3,KMB!AA3,KMB!AE3,KMB!AI3)))</f>
        <v>0</v>
      </c>
      <c r="E3">
        <f>SUMPRODUCT((MONTH(CHOOSE({1,2,3,4},KMB!T3,KMB!X3,KMB!AB3,KMB!AF3))=5)*(CHOOSE({1,2,3,4},KMB!W3,KMB!AA3,KMB!AE3,KMB!AI3)))</f>
        <v>0</v>
      </c>
      <c r="F3">
        <f>SUMPRODUCT((MONTH(CHOOSE({1,2,3,4},KMB!T3,KMB!X3,KMB!AB3,KMB!AF3))=6)*(CHOOSE({1,2,3,4},KMB!W3,KMB!AA3,KMB!AE3,KMB!AI3)))</f>
        <v>0</v>
      </c>
      <c r="G3">
        <f>SUMPRODUCT((MONTH(CHOOSE({1,2,3,4},KMB!T3,KMB!X3,KMB!AB3,KMB!AF3))=7)*(CHOOSE({1,2,3,4},KMB!W3,KMB!AA3,KMB!AE3,KMB!AI3)))</f>
        <v>0</v>
      </c>
      <c r="H3">
        <f>SUMPRODUCT((MONTH(CHOOSE({1,2,3,4},KMB!T3,KMB!X3,KMB!AB3,KMB!AF3))=8)*(CHOOSE({1,2,3,4},KMB!W3,KMB!AA3,KMB!AE3,KMB!AI3)))</f>
        <v>0</v>
      </c>
      <c r="I3">
        <f>SUMPRODUCT((MONTH(CHOOSE({1,2,3,4},KMB!T3,KMB!X3,KMB!AB3,KMB!AF3))=9)*(CHOOSE({1,2,3,4},KMB!W3,KMB!AA3,KMB!AE3,KMB!AI3)))</f>
        <v>0</v>
      </c>
      <c r="J3">
        <f>SUMPRODUCT((MONTH(CHOOSE({1,2,3,4},KMB!T3,KMB!X3,KMB!AB3,KMB!AF3))=10)*(CHOOSE({1,2,3,4},KMB!W3,KMB!AA3,KMB!AE3,KMB!AI3)))</f>
        <v>0</v>
      </c>
      <c r="K3">
        <f>SUMPRODUCT((MONTH(CHOOSE({1,2,3,4},KMB!T3,KMB!X3,KMB!AB3,KMB!AF3))=11)*(CHOOSE({1,2,3,4},KMB!W3,KMB!AA3,KMB!AE3,KMB!AI3)))</f>
        <v>0</v>
      </c>
      <c r="L3">
        <f>SUMPRODUCT((MONTH(CHOOSE({1,2,3,4},KMB!T3,KMB!X3,KMB!AB3,KMB!AF3))=12)*(CHOOSE({1,2,3,4},KMB!W3,KMB!AA3,KMB!AE3,KMB!AI3)))</f>
        <v>0</v>
      </c>
    </row>
    <row r="4" spans="1:12">
      <c r="A4">
        <f>SUMPRODUCT((MONTH(CHOOSE({1,2,3,4},KMB!T4,KMB!X4,KMB!AB4,KMB!AF4))=1)*(CHOOSE({1,2,3,4},KMB!W4,KMB!AA4,KMB!AE4,KMB!AI4)))</f>
        <v>0</v>
      </c>
      <c r="B4">
        <f>SUMPRODUCT((MONTH(CHOOSE({1,2,3,4},KMB!T4,KMB!X4,KMB!AB4,KMB!AF4))=2)*(CHOOSE({1,2,3,4},KMB!W4,KMB!AA4,KMB!AE4,KMB!AI4)))</f>
        <v>0</v>
      </c>
      <c r="C4">
        <f>SUMPRODUCT((MONTH(CHOOSE({1,2,3,4},KMB!T4,KMB!X4,KMB!AB4,KMB!AF4))=3)*(CHOOSE({1,2,3,4},KMB!W4,KMB!AA4,KMB!AE4,KMB!AI4)))</f>
        <v>0</v>
      </c>
      <c r="D4">
        <f>SUMPRODUCT((MONTH(CHOOSE({1,2,3,4},KMB!T4,KMB!X4,KMB!AB4,KMB!AF4))=4)*(CHOOSE({1,2,3,4},KMB!W4,KMB!AA4,KMB!AE4,KMB!AI4)))</f>
        <v>0</v>
      </c>
      <c r="E4">
        <f>SUMPRODUCT((MONTH(CHOOSE({1,2,3,4},KMB!T4,KMB!X4,KMB!AB4,KMB!AF4))=5)*(CHOOSE({1,2,3,4},KMB!W4,KMB!AA4,KMB!AE4,KMB!AI4)))</f>
        <v>0</v>
      </c>
      <c r="F4">
        <f>SUMPRODUCT((MONTH(CHOOSE({1,2,3,4},KMB!T4,KMB!X4,KMB!AB4,KMB!AF4))=6)*(CHOOSE({1,2,3,4},KMB!W4,KMB!AA4,KMB!AE4,KMB!AI4)))</f>
        <v>0</v>
      </c>
      <c r="G4">
        <f>SUMPRODUCT((MONTH(CHOOSE({1,2,3,4},KMB!T4,KMB!X4,KMB!AB4,KMB!AF4))=7)*(CHOOSE({1,2,3,4},KMB!W4,KMB!AA4,KMB!AE4,KMB!AI4)))</f>
        <v>0</v>
      </c>
      <c r="H4">
        <f>SUMPRODUCT((MONTH(CHOOSE({1,2,3,4},KMB!T4,KMB!X4,KMB!AB4,KMB!AF4))=8)*(CHOOSE({1,2,3,4},KMB!W4,KMB!AA4,KMB!AE4,KMB!AI4)))</f>
        <v>0</v>
      </c>
      <c r="I4">
        <f>SUMPRODUCT((MONTH(CHOOSE({1,2,3,4},KMB!T4,KMB!X4,KMB!AB4,KMB!AF4))=9)*(CHOOSE({1,2,3,4},KMB!W4,KMB!AA4,KMB!AE4,KMB!AI4)))</f>
        <v>0</v>
      </c>
      <c r="J4">
        <f>SUMPRODUCT((MONTH(CHOOSE({1,2,3,4},KMB!T4,KMB!X4,KMB!AB4,KMB!AF4))=10)*(CHOOSE({1,2,3,4},KMB!W4,KMB!AA4,KMB!AE4,KMB!AI4)))</f>
        <v>0</v>
      </c>
      <c r="K4">
        <f>SUMPRODUCT((MONTH(CHOOSE({1,2,3,4},KMB!T4,KMB!X4,KMB!AB4,KMB!AF4))=11)*(CHOOSE({1,2,3,4},KMB!W4,KMB!AA4,KMB!AE4,KMB!AI4)))</f>
        <v>0</v>
      </c>
      <c r="L4">
        <f>SUMPRODUCT((MONTH(CHOOSE({1,2,3,4},KMB!T4,KMB!X4,KMB!AB4,KMB!AF4))=12)*(CHOOSE({1,2,3,4},KMB!W4,KMB!AA4,KMB!AE4,KMB!AI4)))</f>
        <v>0</v>
      </c>
    </row>
    <row r="5" spans="1:12">
      <c r="A5">
        <f>SUMPRODUCT((MONTH(CHOOSE({1,2,3,4},KMB!T5,KMB!X5,KMB!AB5,KMB!AF5))=1)*(CHOOSE({1,2,3,4},KMB!W5,KMB!AA5,KMB!AE5,KMB!AI5)))</f>
        <v>0</v>
      </c>
      <c r="B5">
        <f>SUMPRODUCT((MONTH(CHOOSE({1,2,3,4},KMB!T5,KMB!X5,KMB!AB5,KMB!AF5))=2)*(CHOOSE({1,2,3,4},KMB!W5,KMB!AA5,KMB!AE5,KMB!AI5)))</f>
        <v>0</v>
      </c>
      <c r="C5">
        <f>SUMPRODUCT((MONTH(CHOOSE({1,2,3,4},KMB!T5,KMB!X5,KMB!AB5,KMB!AF5))=3)*(CHOOSE({1,2,3,4},KMB!W5,KMB!AA5,KMB!AE5,KMB!AI5)))</f>
        <v>0</v>
      </c>
      <c r="D5">
        <f>SUMPRODUCT((MONTH(CHOOSE({1,2,3,4},KMB!T5,KMB!X5,KMB!AB5,KMB!AF5))=4)*(CHOOSE({1,2,3,4},KMB!W5,KMB!AA5,KMB!AE5,KMB!AI5)))</f>
        <v>0</v>
      </c>
      <c r="E5">
        <f>SUMPRODUCT((MONTH(CHOOSE({1,2,3,4},KMB!T5,KMB!X5,KMB!AB5,KMB!AF5))=5)*(CHOOSE({1,2,3,4},KMB!W5,KMB!AA5,KMB!AE5,KMB!AI5)))</f>
        <v>0</v>
      </c>
      <c r="F5">
        <f>SUMPRODUCT((MONTH(CHOOSE({1,2,3,4},KMB!T5,KMB!X5,KMB!AB5,KMB!AF5))=6)*(CHOOSE({1,2,3,4},KMB!W5,KMB!AA5,KMB!AE5,KMB!AI5)))</f>
        <v>0</v>
      </c>
      <c r="G5">
        <f>SUMPRODUCT((MONTH(CHOOSE({1,2,3,4},KMB!T5,KMB!X5,KMB!AB5,KMB!AF5))=7)*(CHOOSE({1,2,3,4},KMB!W5,KMB!AA5,KMB!AE5,KMB!AI5)))</f>
        <v>0</v>
      </c>
      <c r="H5">
        <f>SUMPRODUCT((MONTH(CHOOSE({1,2,3,4},KMB!T5,KMB!X5,KMB!AB5,KMB!AF5))=8)*(CHOOSE({1,2,3,4},KMB!W5,KMB!AA5,KMB!AE5,KMB!AI5)))</f>
        <v>0</v>
      </c>
      <c r="I5">
        <f>SUMPRODUCT((MONTH(CHOOSE({1,2,3,4},KMB!T5,KMB!X5,KMB!AB5,KMB!AF5))=9)*(CHOOSE({1,2,3,4},KMB!W5,KMB!AA5,KMB!AE5,KMB!AI5)))</f>
        <v>0</v>
      </c>
      <c r="J5">
        <f>SUMPRODUCT((MONTH(CHOOSE({1,2,3,4},KMB!T5,KMB!X5,KMB!AB5,KMB!AF5))=10)*(CHOOSE({1,2,3,4},KMB!W5,KMB!AA5,KMB!AE5,KMB!AI5)))</f>
        <v>0</v>
      </c>
      <c r="K5">
        <f>SUMPRODUCT((MONTH(CHOOSE({1,2,3,4},KMB!T5,KMB!X5,KMB!AB5,KMB!AF5))=11)*(CHOOSE({1,2,3,4},KMB!W5,KMB!AA5,KMB!AE5,KMB!AI5)))</f>
        <v>0</v>
      </c>
      <c r="L5">
        <f>SUMPRODUCT((MONTH(CHOOSE({1,2,3,4},KMB!T5,KMB!X5,KMB!AB5,KMB!AF5))=12)*(CHOOSE({1,2,3,4},KMB!W5,KMB!AA5,KMB!AE5,KMB!AI5)))</f>
        <v>0</v>
      </c>
    </row>
    <row r="6" spans="1:12">
      <c r="A6">
        <f>SUMPRODUCT((MONTH(CHOOSE({1,2,3,4},KMB!T6,KMB!X6,KMB!AB6,KMB!AF6))=1)*(CHOOSE({1,2,3,4},KMB!W6,KMB!AA6,KMB!AE6,KMB!AI6)))</f>
        <v>0</v>
      </c>
      <c r="B6">
        <f>SUMPRODUCT((MONTH(CHOOSE({1,2,3,4},KMB!T6,KMB!X6,KMB!AB6,KMB!AF6))=2)*(CHOOSE({1,2,3,4},KMB!W6,KMB!AA6,KMB!AE6,KMB!AI6)))</f>
        <v>0</v>
      </c>
      <c r="C6">
        <f>SUMPRODUCT((MONTH(CHOOSE({1,2,3,4},KMB!T6,KMB!X6,KMB!AB6,KMB!AF6))=3)*(CHOOSE({1,2,3,4},KMB!W6,KMB!AA6,KMB!AE6,KMB!AI6)))</f>
        <v>0</v>
      </c>
      <c r="D6">
        <f>SUMPRODUCT((MONTH(CHOOSE({1,2,3,4},KMB!T6,KMB!X6,KMB!AB6,KMB!AF6))=4)*(CHOOSE({1,2,3,4},KMB!W6,KMB!AA6,KMB!AE6,KMB!AI6)))</f>
        <v>0</v>
      </c>
      <c r="E6">
        <f>SUMPRODUCT((MONTH(CHOOSE({1,2,3,4},KMB!T6,KMB!X6,KMB!AB6,KMB!AF6))=5)*(CHOOSE({1,2,3,4},KMB!W6,KMB!AA6,KMB!AE6,KMB!AI6)))</f>
        <v>0</v>
      </c>
      <c r="F6">
        <f>SUMPRODUCT((MONTH(CHOOSE({1,2,3,4},KMB!T6,KMB!X6,KMB!AB6,KMB!AF6))=6)*(CHOOSE({1,2,3,4},KMB!W6,KMB!AA6,KMB!AE6,KMB!AI6)))</f>
        <v>0</v>
      </c>
      <c r="G6">
        <f>SUMPRODUCT((MONTH(CHOOSE({1,2,3,4},KMB!T6,KMB!X6,KMB!AB6,KMB!AF6))=7)*(CHOOSE({1,2,3,4},KMB!W6,KMB!AA6,KMB!AE6,KMB!AI6)))</f>
        <v>0</v>
      </c>
      <c r="H6">
        <f>SUMPRODUCT((MONTH(CHOOSE({1,2,3,4},KMB!T6,KMB!X6,KMB!AB6,KMB!AF6))=8)*(CHOOSE({1,2,3,4},KMB!W6,KMB!AA6,KMB!AE6,KMB!AI6)))</f>
        <v>0</v>
      </c>
      <c r="I6">
        <f>SUMPRODUCT((MONTH(CHOOSE({1,2,3,4},KMB!T6,KMB!X6,KMB!AB6,KMB!AF6))=9)*(CHOOSE({1,2,3,4},KMB!W6,KMB!AA6,KMB!AE6,KMB!AI6)))</f>
        <v>0</v>
      </c>
      <c r="J6">
        <f>SUMPRODUCT((MONTH(CHOOSE({1,2,3,4},KMB!T6,KMB!X6,KMB!AB6,KMB!AF6))=10)*(CHOOSE({1,2,3,4},KMB!W6,KMB!AA6,KMB!AE6,KMB!AI6)))</f>
        <v>0</v>
      </c>
      <c r="K6">
        <f>SUMPRODUCT((MONTH(CHOOSE({1,2,3,4},KMB!T6,KMB!X6,KMB!AB6,KMB!AF6))=11)*(CHOOSE({1,2,3,4},KMB!W6,KMB!AA6,KMB!AE6,KMB!AI6)))</f>
        <v>0</v>
      </c>
      <c r="L6">
        <f>SUMPRODUCT((MONTH(CHOOSE({1,2,3,4},KMB!T6,KMB!X6,KMB!AB6,KMB!AF6))=12)*(CHOOSE({1,2,3,4},KMB!W6,KMB!AA6,KMB!AE6,KMB!AI6)))</f>
        <v>0</v>
      </c>
    </row>
    <row r="7" spans="1:12">
      <c r="A7">
        <f>SUMPRODUCT((MONTH(CHOOSE({1,2,3,4},KMB!T7,KMB!X7,KMB!AB7,KMB!AF7))=1)*(CHOOSE({1,2,3,4},KMB!W7,KMB!AA7,KMB!AE7,KMB!AI7)))</f>
        <v>0</v>
      </c>
      <c r="B7">
        <f>SUMPRODUCT((MONTH(CHOOSE({1,2,3,4},KMB!T7,KMB!X7,KMB!AB7,KMB!AF7))=2)*(CHOOSE({1,2,3,4},KMB!W7,KMB!AA7,KMB!AE7,KMB!AI7)))</f>
        <v>0</v>
      </c>
      <c r="C7">
        <f>SUMPRODUCT((MONTH(CHOOSE({1,2,3,4},KMB!T7,KMB!X7,KMB!AB7,KMB!AF7))=3)*(CHOOSE({1,2,3,4},KMB!W7,KMB!AA7,KMB!AE7,KMB!AI7)))</f>
        <v>0</v>
      </c>
      <c r="D7">
        <f>SUMPRODUCT((MONTH(CHOOSE({1,2,3,4},KMB!T7,KMB!X7,KMB!AB7,KMB!AF7))=4)*(CHOOSE({1,2,3,4},KMB!W7,KMB!AA7,KMB!AE7,KMB!AI7)))</f>
        <v>0</v>
      </c>
      <c r="E7">
        <f>SUMPRODUCT((MONTH(CHOOSE({1,2,3,4},KMB!T7,KMB!X7,KMB!AB7,KMB!AF7))=5)*(CHOOSE({1,2,3,4},KMB!W7,KMB!AA7,KMB!AE7,KMB!AI7)))</f>
        <v>0</v>
      </c>
      <c r="F7">
        <f>SUMPRODUCT((MONTH(CHOOSE({1,2,3,4},KMB!T7,KMB!X7,KMB!AB7,KMB!AF7))=6)*(CHOOSE({1,2,3,4},KMB!W7,KMB!AA7,KMB!AE7,KMB!AI7)))</f>
        <v>0</v>
      </c>
      <c r="G7">
        <f>SUMPRODUCT((MONTH(CHOOSE({1,2,3,4},KMB!T7,KMB!X7,KMB!AB7,KMB!AF7))=7)*(CHOOSE({1,2,3,4},KMB!W7,KMB!AA7,KMB!AE7,KMB!AI7)))</f>
        <v>0</v>
      </c>
      <c r="H7">
        <f>SUMPRODUCT((MONTH(CHOOSE({1,2,3,4},KMB!T7,KMB!X7,KMB!AB7,KMB!AF7))=8)*(CHOOSE({1,2,3,4},KMB!W7,KMB!AA7,KMB!AE7,KMB!AI7)))</f>
        <v>0</v>
      </c>
      <c r="I7">
        <f>SUMPRODUCT((MONTH(CHOOSE({1,2,3,4},KMB!T7,KMB!X7,KMB!AB7,KMB!AF7))=9)*(CHOOSE({1,2,3,4},KMB!W7,KMB!AA7,KMB!AE7,KMB!AI7)))</f>
        <v>0</v>
      </c>
      <c r="J7">
        <f>SUMPRODUCT((MONTH(CHOOSE({1,2,3,4},KMB!T7,KMB!X7,KMB!AB7,KMB!AF7))=10)*(CHOOSE({1,2,3,4},KMB!W7,KMB!AA7,KMB!AE7,KMB!AI7)))</f>
        <v>0</v>
      </c>
      <c r="K7">
        <f>SUMPRODUCT((MONTH(CHOOSE({1,2,3,4},KMB!T7,KMB!X7,KMB!AB7,KMB!AF7))=11)*(CHOOSE({1,2,3,4},KMB!W7,KMB!AA7,KMB!AE7,KMB!AI7)))</f>
        <v>0</v>
      </c>
      <c r="L7">
        <f>SUMPRODUCT((MONTH(CHOOSE({1,2,3,4},KMB!T7,KMB!X7,KMB!AB7,KMB!AF7))=12)*(CHOOSE({1,2,3,4},KMB!W7,KMB!AA7,KMB!AE7,KMB!AI7)))</f>
        <v>0</v>
      </c>
    </row>
    <row r="8" spans="1:12">
      <c r="A8">
        <f>SUMPRODUCT((MONTH(CHOOSE({1,2,3,4},KMB!T8,KMB!X8,KMB!AB8,KMB!AF8))=1)*(CHOOSE({1,2,3,4},KMB!W8,KMB!AA8,KMB!AE8,KMB!AI8)))</f>
        <v>0</v>
      </c>
      <c r="B8">
        <f>SUMPRODUCT((MONTH(CHOOSE({1,2,3,4},KMB!T8,KMB!X8,KMB!AB8,KMB!AF8))=2)*(CHOOSE({1,2,3,4},KMB!W8,KMB!AA8,KMB!AE8,KMB!AI8)))</f>
        <v>0</v>
      </c>
      <c r="C8">
        <f>SUMPRODUCT((MONTH(CHOOSE({1,2,3,4},KMB!T8,KMB!X8,KMB!AB8,KMB!AF8))=3)*(CHOOSE({1,2,3,4},KMB!W8,KMB!AA8,KMB!AE8,KMB!AI8)))</f>
        <v>0</v>
      </c>
      <c r="D8">
        <f>SUMPRODUCT((MONTH(CHOOSE({1,2,3,4},KMB!T8,KMB!X8,KMB!AB8,KMB!AF8))=4)*(CHOOSE({1,2,3,4},KMB!W8,KMB!AA8,KMB!AE8,KMB!AI8)))</f>
        <v>0</v>
      </c>
      <c r="E8">
        <f>SUMPRODUCT((MONTH(CHOOSE({1,2,3,4},KMB!T8,KMB!X8,KMB!AB8,KMB!AF8))=5)*(CHOOSE({1,2,3,4},KMB!W8,KMB!AA8,KMB!AE8,KMB!AI8)))</f>
        <v>0</v>
      </c>
      <c r="F8">
        <f>SUMPRODUCT((MONTH(CHOOSE({1,2,3,4},KMB!T8,KMB!X8,KMB!AB8,KMB!AF8))=6)*(CHOOSE({1,2,3,4},KMB!W8,KMB!AA8,KMB!AE8,KMB!AI8)))</f>
        <v>0</v>
      </c>
      <c r="G8">
        <f>SUMPRODUCT((MONTH(CHOOSE({1,2,3,4},KMB!T8,KMB!X8,KMB!AB8,KMB!AF8))=7)*(CHOOSE({1,2,3,4},KMB!W8,KMB!AA8,KMB!AE8,KMB!AI8)))</f>
        <v>0</v>
      </c>
      <c r="H8">
        <f>SUMPRODUCT((MONTH(CHOOSE({1,2,3,4},KMB!T8,KMB!X8,KMB!AB8,KMB!AF8))=8)*(CHOOSE({1,2,3,4},KMB!W8,KMB!AA8,KMB!AE8,KMB!AI8)))</f>
        <v>0</v>
      </c>
      <c r="I8">
        <f>SUMPRODUCT((MONTH(CHOOSE({1,2,3,4},KMB!T8,KMB!X8,KMB!AB8,KMB!AF8))=9)*(CHOOSE({1,2,3,4},KMB!W8,KMB!AA8,KMB!AE8,KMB!AI8)))</f>
        <v>0</v>
      </c>
      <c r="J8">
        <f>SUMPRODUCT((MONTH(CHOOSE({1,2,3,4},KMB!T8,KMB!X8,KMB!AB8,KMB!AF8))=10)*(CHOOSE({1,2,3,4},KMB!W8,KMB!AA8,KMB!AE8,KMB!AI8)))</f>
        <v>0</v>
      </c>
      <c r="K8">
        <f>SUMPRODUCT((MONTH(CHOOSE({1,2,3,4},KMB!T8,KMB!X8,KMB!AB8,KMB!AF8))=11)*(CHOOSE({1,2,3,4},KMB!W8,KMB!AA8,KMB!AE8,KMB!AI8)))</f>
        <v>0</v>
      </c>
      <c r="L8">
        <f>SUMPRODUCT((MONTH(CHOOSE({1,2,3,4},KMB!T8,KMB!X8,KMB!AB8,KMB!AF8))=12)*(CHOOSE({1,2,3,4},KMB!W8,KMB!AA8,KMB!AE8,KMB!AI8)))</f>
        <v>0</v>
      </c>
    </row>
    <row r="9" spans="1:12">
      <c r="A9">
        <f>SUMPRODUCT((MONTH(CHOOSE({1,2,3,4},KMB!T9,KMB!X9,KMB!AB9,KMB!AF9))=1)*(CHOOSE({1,2,3,4},KMB!W9,KMB!AA9,KMB!AE9,KMB!AI9)))</f>
        <v>0</v>
      </c>
      <c r="B9">
        <f>SUMPRODUCT((MONTH(CHOOSE({1,2,3,4},KMB!T9,KMB!X9,KMB!AB9,KMB!AF9))=2)*(CHOOSE({1,2,3,4},KMB!W9,KMB!AA9,KMB!AE9,KMB!AI9)))</f>
        <v>0</v>
      </c>
      <c r="C9">
        <f>SUMPRODUCT((MONTH(CHOOSE({1,2,3,4},KMB!T9,KMB!X9,KMB!AB9,KMB!AF9))=3)*(CHOOSE({1,2,3,4},KMB!W9,KMB!AA9,KMB!AE9,KMB!AI9)))</f>
        <v>0</v>
      </c>
      <c r="D9">
        <f>SUMPRODUCT((MONTH(CHOOSE({1,2,3,4},KMB!T9,KMB!X9,KMB!AB9,KMB!AF9))=4)*(CHOOSE({1,2,3,4},KMB!W9,KMB!AA9,KMB!AE9,KMB!AI9)))</f>
        <v>0</v>
      </c>
      <c r="E9">
        <f>SUMPRODUCT((MONTH(CHOOSE({1,2,3,4},KMB!T9,KMB!X9,KMB!AB9,KMB!AF9))=5)*(CHOOSE({1,2,3,4},KMB!W9,KMB!AA9,KMB!AE9,KMB!AI9)))</f>
        <v>0</v>
      </c>
      <c r="F9">
        <f>SUMPRODUCT((MONTH(CHOOSE({1,2,3,4},KMB!T9,KMB!X9,KMB!AB9,KMB!AF9))=6)*(CHOOSE({1,2,3,4},KMB!W9,KMB!AA9,KMB!AE9,KMB!AI9)))</f>
        <v>0</v>
      </c>
      <c r="G9">
        <f>SUMPRODUCT((MONTH(CHOOSE({1,2,3,4},KMB!T9,KMB!X9,KMB!AB9,KMB!AF9))=7)*(CHOOSE({1,2,3,4},KMB!W9,KMB!AA9,KMB!AE9,KMB!AI9)))</f>
        <v>0</v>
      </c>
      <c r="H9">
        <f>SUMPRODUCT((MONTH(CHOOSE({1,2,3,4},KMB!T9,KMB!X9,KMB!AB9,KMB!AF9))=8)*(CHOOSE({1,2,3,4},KMB!W9,KMB!AA9,KMB!AE9,KMB!AI9)))</f>
        <v>0</v>
      </c>
      <c r="I9">
        <f>SUMPRODUCT((MONTH(CHOOSE({1,2,3,4},KMB!T9,KMB!X9,KMB!AB9,KMB!AF9))=9)*(CHOOSE({1,2,3,4},KMB!W9,KMB!AA9,KMB!AE9,KMB!AI9)))</f>
        <v>0</v>
      </c>
      <c r="J9">
        <f>SUMPRODUCT((MONTH(CHOOSE({1,2,3,4},KMB!T9,KMB!X9,KMB!AB9,KMB!AF9))=10)*(CHOOSE({1,2,3,4},KMB!W9,KMB!AA9,KMB!AE9,KMB!AI9)))</f>
        <v>0</v>
      </c>
      <c r="K9">
        <f>SUMPRODUCT((MONTH(CHOOSE({1,2,3,4},KMB!T9,KMB!X9,KMB!AB9,KMB!AF9))=11)*(CHOOSE({1,2,3,4},KMB!W9,KMB!AA9,KMB!AE9,KMB!AI9)))</f>
        <v>0</v>
      </c>
      <c r="L9">
        <f>SUMPRODUCT((MONTH(CHOOSE({1,2,3,4},KMB!T9,KMB!X9,KMB!AB9,KMB!AF9))=12)*(CHOOSE({1,2,3,4},KMB!W9,KMB!AA9,KMB!AE9,KMB!AI9)))</f>
        <v>0</v>
      </c>
    </row>
    <row r="10" spans="1:12">
      <c r="A10">
        <f>SUMPRODUCT((MONTH(CHOOSE({1,2,3,4},KMB!T10,KMB!X10,KMB!AB10,KMB!AF10))=1)*(CHOOSE({1,2,3,4},KMB!W10,KMB!AA10,KMB!AE10,KMB!AI10)))</f>
        <v>0</v>
      </c>
      <c r="B10">
        <f>SUMPRODUCT((MONTH(CHOOSE({1,2,3,4},KMB!T10,KMB!X10,KMB!AB10,KMB!AF10))=2)*(CHOOSE({1,2,3,4},KMB!W10,KMB!AA10,KMB!AE10,KMB!AI10)))</f>
        <v>0</v>
      </c>
      <c r="C10">
        <f>SUMPRODUCT((MONTH(CHOOSE({1,2,3,4},KMB!T10,KMB!X10,KMB!AB10,KMB!AF10))=3)*(CHOOSE({1,2,3,4},KMB!W10,KMB!AA10,KMB!AE10,KMB!AI10)))</f>
        <v>0</v>
      </c>
      <c r="D10">
        <f>SUMPRODUCT((MONTH(CHOOSE({1,2,3,4},KMB!T10,KMB!X10,KMB!AB10,KMB!AF10))=4)*(CHOOSE({1,2,3,4},KMB!W10,KMB!AA10,KMB!AE10,KMB!AI10)))</f>
        <v>0</v>
      </c>
      <c r="E10">
        <f>SUMPRODUCT((MONTH(CHOOSE({1,2,3,4},KMB!T10,KMB!X10,KMB!AB10,KMB!AF10))=5)*(CHOOSE({1,2,3,4},KMB!W10,KMB!AA10,KMB!AE10,KMB!AI10)))</f>
        <v>0</v>
      </c>
      <c r="F10">
        <f>SUMPRODUCT((MONTH(CHOOSE({1,2,3,4},KMB!T10,KMB!X10,KMB!AB10,KMB!AF10))=6)*(CHOOSE({1,2,3,4},KMB!W10,KMB!AA10,KMB!AE10,KMB!AI10)))</f>
        <v>0</v>
      </c>
      <c r="G10">
        <f>SUMPRODUCT((MONTH(CHOOSE({1,2,3,4},KMB!T10,KMB!X10,KMB!AB10,KMB!AF10))=7)*(CHOOSE({1,2,3,4},KMB!W10,KMB!AA10,KMB!AE10,KMB!AI10)))</f>
        <v>0</v>
      </c>
      <c r="H10">
        <f>SUMPRODUCT((MONTH(CHOOSE({1,2,3,4},KMB!T10,KMB!X10,KMB!AB10,KMB!AF10))=8)*(CHOOSE({1,2,3,4},KMB!W10,KMB!AA10,KMB!AE10,KMB!AI10)))</f>
        <v>0</v>
      </c>
      <c r="I10">
        <f>SUMPRODUCT((MONTH(CHOOSE({1,2,3,4},KMB!T10,KMB!X10,KMB!AB10,KMB!AF10))=9)*(CHOOSE({1,2,3,4},KMB!W10,KMB!AA10,KMB!AE10,KMB!AI10)))</f>
        <v>0</v>
      </c>
      <c r="J10">
        <f>SUMPRODUCT((MONTH(CHOOSE({1,2,3,4},KMB!T10,KMB!X10,KMB!AB10,KMB!AF10))=10)*(CHOOSE({1,2,3,4},KMB!W10,KMB!AA10,KMB!AE10,KMB!AI10)))</f>
        <v>0</v>
      </c>
      <c r="K10">
        <f>SUMPRODUCT((MONTH(CHOOSE({1,2,3,4},KMB!T10,KMB!X10,KMB!AB10,KMB!AF10))=11)*(CHOOSE({1,2,3,4},KMB!W10,KMB!AA10,KMB!AE10,KMB!AI10)))</f>
        <v>0</v>
      </c>
      <c r="L10">
        <f>SUMPRODUCT((MONTH(CHOOSE({1,2,3,4},KMB!T10,KMB!X10,KMB!AB10,KMB!AF10))=12)*(CHOOSE({1,2,3,4},KMB!W10,KMB!AA10,KMB!AE10,KMB!AI10)))</f>
        <v>0</v>
      </c>
    </row>
    <row r="11" spans="1:12">
      <c r="A11">
        <f>SUMPRODUCT((MONTH(CHOOSE({1,2,3,4},KMB!T11,KMB!X11,KMB!AB11,KMB!AF11))=1)*(CHOOSE({1,2,3,4},KMB!W11,KMB!AA11,KMB!AE11,KMB!AI11)))</f>
        <v>0</v>
      </c>
      <c r="B11">
        <f>SUMPRODUCT((MONTH(CHOOSE({1,2,3,4},KMB!T11,KMB!X11,KMB!AB11,KMB!AF11))=2)*(CHOOSE({1,2,3,4},KMB!W11,KMB!AA11,KMB!AE11,KMB!AI11)))</f>
        <v>0</v>
      </c>
      <c r="C11">
        <f>SUMPRODUCT((MONTH(CHOOSE({1,2,3,4},KMB!T11,KMB!X11,KMB!AB11,KMB!AF11))=3)*(CHOOSE({1,2,3,4},KMB!W11,KMB!AA11,KMB!AE11,KMB!AI11)))</f>
        <v>0</v>
      </c>
      <c r="D11">
        <f>SUMPRODUCT((MONTH(CHOOSE({1,2,3,4},KMB!T11,KMB!X11,KMB!AB11,KMB!AF11))=4)*(CHOOSE({1,2,3,4},KMB!W11,KMB!AA11,KMB!AE11,KMB!AI11)))</f>
        <v>0</v>
      </c>
      <c r="E11">
        <f>SUMPRODUCT((MONTH(CHOOSE({1,2,3,4},KMB!T11,KMB!X11,KMB!AB11,KMB!AF11))=5)*(CHOOSE({1,2,3,4},KMB!W11,KMB!AA11,KMB!AE11,KMB!AI11)))</f>
        <v>0</v>
      </c>
      <c r="F11">
        <f>SUMPRODUCT((MONTH(CHOOSE({1,2,3,4},KMB!T11,KMB!X11,KMB!AB11,KMB!AF11))=6)*(CHOOSE({1,2,3,4},KMB!W11,KMB!AA11,KMB!AE11,KMB!AI11)))</f>
        <v>0</v>
      </c>
      <c r="G11">
        <f>SUMPRODUCT((MONTH(CHOOSE({1,2,3,4},KMB!T11,KMB!X11,KMB!AB11,KMB!AF11))=7)*(CHOOSE({1,2,3,4},KMB!W11,KMB!AA11,KMB!AE11,KMB!AI11)))</f>
        <v>0</v>
      </c>
      <c r="H11">
        <f>SUMPRODUCT((MONTH(CHOOSE({1,2,3,4},KMB!T11,KMB!X11,KMB!AB11,KMB!AF11))=8)*(CHOOSE({1,2,3,4},KMB!W11,KMB!AA11,KMB!AE11,KMB!AI11)))</f>
        <v>0</v>
      </c>
      <c r="I11">
        <f>SUMPRODUCT((MONTH(CHOOSE({1,2,3,4},KMB!T11,KMB!X11,KMB!AB11,KMB!AF11))=9)*(CHOOSE({1,2,3,4},KMB!W11,KMB!AA11,KMB!AE11,KMB!AI11)))</f>
        <v>0</v>
      </c>
      <c r="J11">
        <f>SUMPRODUCT((MONTH(CHOOSE({1,2,3,4},KMB!T11,KMB!X11,KMB!AB11,KMB!AF11))=10)*(CHOOSE({1,2,3,4},KMB!W11,KMB!AA11,KMB!AE11,KMB!AI11)))</f>
        <v>0</v>
      </c>
      <c r="K11">
        <f>SUMPRODUCT((MONTH(CHOOSE({1,2,3,4},KMB!T11,KMB!X11,KMB!AB11,KMB!AF11))=11)*(CHOOSE({1,2,3,4},KMB!W11,KMB!AA11,KMB!AE11,KMB!AI11)))</f>
        <v>0</v>
      </c>
      <c r="L11">
        <f>SUMPRODUCT((MONTH(CHOOSE({1,2,3,4},KMB!T11,KMB!X11,KMB!AB11,KMB!AF11))=12)*(CHOOSE({1,2,3,4},KMB!W11,KMB!AA11,KMB!AE11,KMB!AI11)))</f>
        <v>0</v>
      </c>
    </row>
    <row r="12" spans="1:12">
      <c r="A12">
        <f>SUMPRODUCT((MONTH(CHOOSE({1,2,3,4},KMB!T12,KMB!X12,KMB!AB12,KMB!AF12))=1)*(CHOOSE({1,2,3,4},KMB!W12,KMB!AA12,KMB!AE12,KMB!AI12)))</f>
        <v>0</v>
      </c>
      <c r="B12">
        <f>SUMPRODUCT((MONTH(CHOOSE({1,2,3,4},KMB!T12,KMB!X12,KMB!AB12,KMB!AF12))=2)*(CHOOSE({1,2,3,4},KMB!W12,KMB!AA12,KMB!AE12,KMB!AI12)))</f>
        <v>0</v>
      </c>
      <c r="C12">
        <f>SUMPRODUCT((MONTH(CHOOSE({1,2,3,4},KMB!T12,KMB!X12,KMB!AB12,KMB!AF12))=3)*(CHOOSE({1,2,3,4},KMB!W12,KMB!AA12,KMB!AE12,KMB!AI12)))</f>
        <v>0</v>
      </c>
      <c r="D12">
        <f>SUMPRODUCT((MONTH(CHOOSE({1,2,3,4},KMB!T12,KMB!X12,KMB!AB12,KMB!AF12))=4)*(CHOOSE({1,2,3,4},KMB!W12,KMB!AA12,KMB!AE12,KMB!AI12)))</f>
        <v>0</v>
      </c>
      <c r="E12">
        <f>SUMPRODUCT((MONTH(CHOOSE({1,2,3,4},KMB!T12,KMB!X12,KMB!AB12,KMB!AF12))=5)*(CHOOSE({1,2,3,4},KMB!W12,KMB!AA12,KMB!AE12,KMB!AI12)))</f>
        <v>0</v>
      </c>
      <c r="F12">
        <f>SUMPRODUCT((MONTH(CHOOSE({1,2,3,4},KMB!T12,KMB!X12,KMB!AB12,KMB!AF12))=6)*(CHOOSE({1,2,3,4},KMB!W12,KMB!AA12,KMB!AE12,KMB!AI12)))</f>
        <v>0</v>
      </c>
      <c r="G12">
        <f>SUMPRODUCT((MONTH(CHOOSE({1,2,3,4},KMB!T12,KMB!X12,KMB!AB12,KMB!AF12))=7)*(CHOOSE({1,2,3,4},KMB!W12,KMB!AA12,KMB!AE12,KMB!AI12)))</f>
        <v>0</v>
      </c>
      <c r="H12">
        <f>SUMPRODUCT((MONTH(CHOOSE({1,2,3,4},KMB!T12,KMB!X12,KMB!AB12,KMB!AF12))=8)*(CHOOSE({1,2,3,4},KMB!W12,KMB!AA12,KMB!AE12,KMB!AI12)))</f>
        <v>0</v>
      </c>
      <c r="I12">
        <f>SUMPRODUCT((MONTH(CHOOSE({1,2,3,4},KMB!T12,KMB!X12,KMB!AB12,KMB!AF12))=9)*(CHOOSE({1,2,3,4},KMB!W12,KMB!AA12,KMB!AE12,KMB!AI12)))</f>
        <v>0</v>
      </c>
      <c r="J12">
        <f>SUMPRODUCT((MONTH(CHOOSE({1,2,3,4},KMB!T12,KMB!X12,KMB!AB12,KMB!AF12))=10)*(CHOOSE({1,2,3,4},KMB!W12,KMB!AA12,KMB!AE12,KMB!AI12)))</f>
        <v>0</v>
      </c>
      <c r="K12">
        <f>SUMPRODUCT((MONTH(CHOOSE({1,2,3,4},KMB!T12,KMB!X12,KMB!AB12,KMB!AF12))=11)*(CHOOSE({1,2,3,4},KMB!W12,KMB!AA12,KMB!AE12,KMB!AI12)))</f>
        <v>0</v>
      </c>
      <c r="L12">
        <f>SUMPRODUCT((MONTH(CHOOSE({1,2,3,4},KMB!T12,KMB!X12,KMB!AB12,KMB!AF12))=12)*(CHOOSE({1,2,3,4},KMB!W12,KMB!AA12,KMB!AE12,KMB!AI12)))</f>
        <v>0</v>
      </c>
    </row>
    <row r="13" spans="1:12">
      <c r="A13">
        <f>SUMPRODUCT((MONTH(CHOOSE({1,2,3,4},KMB!T13,KMB!X13,KMB!AB13,KMB!AF13))=1)*(CHOOSE({1,2,3,4},KMB!W13,KMB!AA13,KMB!AE13,KMB!AI13)))</f>
        <v>0</v>
      </c>
      <c r="B13">
        <f>SUMPRODUCT((MONTH(CHOOSE({1,2,3,4},KMB!T13,KMB!X13,KMB!AB13,KMB!AF13))=2)*(CHOOSE({1,2,3,4},KMB!W13,KMB!AA13,KMB!AE13,KMB!AI13)))</f>
        <v>0</v>
      </c>
      <c r="C13">
        <f>SUMPRODUCT((MONTH(CHOOSE({1,2,3,4},KMB!T13,KMB!X13,KMB!AB13,KMB!AF13))=3)*(CHOOSE({1,2,3,4},KMB!W13,KMB!AA13,KMB!AE13,KMB!AI13)))</f>
        <v>0</v>
      </c>
      <c r="D13">
        <f>SUMPRODUCT((MONTH(CHOOSE({1,2,3,4},KMB!T13,KMB!X13,KMB!AB13,KMB!AF13))=4)*(CHOOSE({1,2,3,4},KMB!W13,KMB!AA13,KMB!AE13,KMB!AI13)))</f>
        <v>0</v>
      </c>
      <c r="E13">
        <f>SUMPRODUCT((MONTH(CHOOSE({1,2,3,4},KMB!T13,KMB!X13,KMB!AB13,KMB!AF13))=5)*(CHOOSE({1,2,3,4},KMB!W13,KMB!AA13,KMB!AE13,KMB!AI13)))</f>
        <v>0</v>
      </c>
      <c r="F13">
        <f>SUMPRODUCT((MONTH(CHOOSE({1,2,3,4},KMB!T13,KMB!X13,KMB!AB13,KMB!AF13))=6)*(CHOOSE({1,2,3,4},KMB!W13,KMB!AA13,KMB!AE13,KMB!AI13)))</f>
        <v>0</v>
      </c>
      <c r="G13">
        <f>SUMPRODUCT((MONTH(CHOOSE({1,2,3,4},KMB!T13,KMB!X13,KMB!AB13,KMB!AF13))=7)*(CHOOSE({1,2,3,4},KMB!W13,KMB!AA13,KMB!AE13,KMB!AI13)))</f>
        <v>0</v>
      </c>
      <c r="H13">
        <f>SUMPRODUCT((MONTH(CHOOSE({1,2,3,4},KMB!T13,KMB!X13,KMB!AB13,KMB!AF13))=8)*(CHOOSE({1,2,3,4},KMB!W13,KMB!AA13,KMB!AE13,KMB!AI13)))</f>
        <v>0</v>
      </c>
      <c r="I13">
        <f>SUMPRODUCT((MONTH(CHOOSE({1,2,3,4},KMB!T13,KMB!X13,KMB!AB13,KMB!AF13))=9)*(CHOOSE({1,2,3,4},KMB!W13,KMB!AA13,KMB!AE13,KMB!AI13)))</f>
        <v>0</v>
      </c>
      <c r="J13">
        <f>SUMPRODUCT((MONTH(CHOOSE({1,2,3,4},KMB!T13,KMB!X13,KMB!AB13,KMB!AF13))=10)*(CHOOSE({1,2,3,4},KMB!W13,KMB!AA13,KMB!AE13,KMB!AI13)))</f>
        <v>0</v>
      </c>
      <c r="K13">
        <f>SUMPRODUCT((MONTH(CHOOSE({1,2,3,4},KMB!T13,KMB!X13,KMB!AB13,KMB!AF13))=11)*(CHOOSE({1,2,3,4},KMB!W13,KMB!AA13,KMB!AE13,KMB!AI13)))</f>
        <v>0</v>
      </c>
      <c r="L13">
        <f>SUMPRODUCT((MONTH(CHOOSE({1,2,3,4},KMB!T13,KMB!X13,KMB!AB13,KMB!AF13))=12)*(CHOOSE({1,2,3,4},KMB!W13,KMB!AA13,KMB!AE13,KMB!AI13)))</f>
        <v>0</v>
      </c>
    </row>
    <row r="14" spans="1:12">
      <c r="A14">
        <f>SUMPRODUCT((MONTH(CHOOSE({1,2,3,4},KMB!T14,KMB!X14,KMB!AB14,KMB!AF14))=1)*(CHOOSE({1,2,3,4},KMB!W14,KMB!AA14,KMB!AE14,KMB!AI14)))</f>
        <v>0</v>
      </c>
      <c r="B14">
        <f>SUMPRODUCT((MONTH(CHOOSE({1,2,3,4},KMB!T14,KMB!X14,KMB!AB14,KMB!AF14))=2)*(CHOOSE({1,2,3,4},KMB!W14,KMB!AA14,KMB!AE14,KMB!AI14)))</f>
        <v>0</v>
      </c>
      <c r="C14">
        <f>SUMPRODUCT((MONTH(CHOOSE({1,2,3,4},KMB!T14,KMB!X14,KMB!AB14,KMB!AF14))=3)*(CHOOSE({1,2,3,4},KMB!W14,KMB!AA14,KMB!AE14,KMB!AI14)))</f>
        <v>0</v>
      </c>
      <c r="D14">
        <f>SUMPRODUCT((MONTH(CHOOSE({1,2,3,4},KMB!T14,KMB!X14,KMB!AB14,KMB!AF14))=4)*(CHOOSE({1,2,3,4},KMB!W14,KMB!AA14,KMB!AE14,KMB!AI14)))</f>
        <v>0</v>
      </c>
      <c r="E14">
        <f>SUMPRODUCT((MONTH(CHOOSE({1,2,3,4},KMB!T14,KMB!X14,KMB!AB14,KMB!AF14))=5)*(CHOOSE({1,2,3,4},KMB!W14,KMB!AA14,KMB!AE14,KMB!AI14)))</f>
        <v>0</v>
      </c>
      <c r="F14">
        <f>SUMPRODUCT((MONTH(CHOOSE({1,2,3,4},KMB!T14,KMB!X14,KMB!AB14,KMB!AF14))=6)*(CHOOSE({1,2,3,4},KMB!W14,KMB!AA14,KMB!AE14,KMB!AI14)))</f>
        <v>0</v>
      </c>
      <c r="G14">
        <f>SUMPRODUCT((MONTH(CHOOSE({1,2,3,4},KMB!T14,KMB!X14,KMB!AB14,KMB!AF14))=7)*(CHOOSE({1,2,3,4},KMB!W14,KMB!AA14,KMB!AE14,KMB!AI14)))</f>
        <v>0</v>
      </c>
      <c r="H14">
        <f>SUMPRODUCT((MONTH(CHOOSE({1,2,3,4},KMB!T14,KMB!X14,KMB!AB14,KMB!AF14))=8)*(CHOOSE({1,2,3,4},KMB!W14,KMB!AA14,KMB!AE14,KMB!AI14)))</f>
        <v>0</v>
      </c>
      <c r="I14">
        <f>SUMPRODUCT((MONTH(CHOOSE({1,2,3,4},KMB!T14,KMB!X14,KMB!AB14,KMB!AF14))=9)*(CHOOSE({1,2,3,4},KMB!W14,KMB!AA14,KMB!AE14,KMB!AI14)))</f>
        <v>0</v>
      </c>
      <c r="J14">
        <f>SUMPRODUCT((MONTH(CHOOSE({1,2,3,4},KMB!T14,KMB!X14,KMB!AB14,KMB!AF14))=10)*(CHOOSE({1,2,3,4},KMB!W14,KMB!AA14,KMB!AE14,KMB!AI14)))</f>
        <v>0</v>
      </c>
      <c r="K14">
        <f>SUMPRODUCT((MONTH(CHOOSE({1,2,3,4},KMB!T14,KMB!X14,KMB!AB14,KMB!AF14))=11)*(CHOOSE({1,2,3,4},KMB!W14,KMB!AA14,KMB!AE14,KMB!AI14)))</f>
        <v>0</v>
      </c>
      <c r="L14">
        <f>SUMPRODUCT((MONTH(CHOOSE({1,2,3,4},KMB!T14,KMB!X14,KMB!AB14,KMB!AF14))=12)*(CHOOSE({1,2,3,4},KMB!W14,KMB!AA14,KMB!AE14,KMB!AI14)))</f>
        <v>0</v>
      </c>
    </row>
    <row r="15" spans="1:12">
      <c r="A15">
        <f>SUMPRODUCT((MONTH(CHOOSE({1,2,3,4},KMB!T15,KMB!X15,KMB!AB15,KMB!AF15))=1)*(CHOOSE({1,2,3,4},KMB!W15,KMB!AA15,KMB!AE15,KMB!AI15)))</f>
        <v>0</v>
      </c>
      <c r="B15">
        <f>SUMPRODUCT((MONTH(CHOOSE({1,2,3,4},KMB!T15,KMB!X15,KMB!AB15,KMB!AF15))=2)*(CHOOSE({1,2,3,4},KMB!W15,KMB!AA15,KMB!AE15,KMB!AI15)))</f>
        <v>0</v>
      </c>
      <c r="C15">
        <f>SUMPRODUCT((MONTH(CHOOSE({1,2,3,4},KMB!T15,KMB!X15,KMB!AB15,KMB!AF15))=3)*(CHOOSE({1,2,3,4},KMB!W15,KMB!AA15,KMB!AE15,KMB!AI15)))</f>
        <v>0</v>
      </c>
      <c r="D15">
        <f>SUMPRODUCT((MONTH(CHOOSE({1,2,3,4},KMB!T15,KMB!X15,KMB!AB15,KMB!AF15))=4)*(CHOOSE({1,2,3,4},KMB!W15,KMB!AA15,KMB!AE15,KMB!AI15)))</f>
        <v>0</v>
      </c>
      <c r="E15">
        <f>SUMPRODUCT((MONTH(CHOOSE({1,2,3,4},KMB!T15,KMB!X15,KMB!AB15,KMB!AF15))=5)*(CHOOSE({1,2,3,4},KMB!W15,KMB!AA15,KMB!AE15,KMB!AI15)))</f>
        <v>0</v>
      </c>
      <c r="F15">
        <f>SUMPRODUCT((MONTH(CHOOSE({1,2,3,4},KMB!T15,KMB!X15,KMB!AB15,KMB!AF15))=6)*(CHOOSE({1,2,3,4},KMB!W15,KMB!AA15,KMB!AE15,KMB!AI15)))</f>
        <v>0</v>
      </c>
      <c r="G15">
        <f>SUMPRODUCT((MONTH(CHOOSE({1,2,3,4},KMB!T15,KMB!X15,KMB!AB15,KMB!AF15))=7)*(CHOOSE({1,2,3,4},KMB!W15,KMB!AA15,KMB!AE15,KMB!AI15)))</f>
        <v>0</v>
      </c>
      <c r="H15">
        <f>SUMPRODUCT((MONTH(CHOOSE({1,2,3,4},KMB!T15,KMB!X15,KMB!AB15,KMB!AF15))=8)*(CHOOSE({1,2,3,4},KMB!W15,KMB!AA15,KMB!AE15,KMB!AI15)))</f>
        <v>0</v>
      </c>
      <c r="I15">
        <f>SUMPRODUCT((MONTH(CHOOSE({1,2,3,4},KMB!T15,KMB!X15,KMB!AB15,KMB!AF15))=9)*(CHOOSE({1,2,3,4},KMB!W15,KMB!AA15,KMB!AE15,KMB!AI15)))</f>
        <v>0</v>
      </c>
      <c r="J15">
        <f>SUMPRODUCT((MONTH(CHOOSE({1,2,3,4},KMB!T15,KMB!X15,KMB!AB15,KMB!AF15))=10)*(CHOOSE({1,2,3,4},KMB!W15,KMB!AA15,KMB!AE15,KMB!AI15)))</f>
        <v>0</v>
      </c>
      <c r="K15">
        <f>SUMPRODUCT((MONTH(CHOOSE({1,2,3,4},KMB!T15,KMB!X15,KMB!AB15,KMB!AF15))=11)*(CHOOSE({1,2,3,4},KMB!W15,KMB!AA15,KMB!AE15,KMB!AI15)))</f>
        <v>0</v>
      </c>
      <c r="L15">
        <f>SUMPRODUCT((MONTH(CHOOSE({1,2,3,4},KMB!T15,KMB!X15,KMB!AB15,KMB!AF15))=12)*(CHOOSE({1,2,3,4},KMB!W15,KMB!AA15,KMB!AE15,KMB!AI15)))</f>
        <v>0</v>
      </c>
    </row>
    <row r="16" spans="1:12">
      <c r="A16">
        <f>SUMPRODUCT((MONTH(CHOOSE({1,2,3,4},KMB!T16,KMB!X16,KMB!AB16,KMB!AF16))=1)*(CHOOSE({1,2,3,4},KMB!W16,KMB!AA16,KMB!AE16,KMB!AI16)))</f>
        <v>0</v>
      </c>
      <c r="B16">
        <f>SUMPRODUCT((MONTH(CHOOSE({1,2,3,4},KMB!T16,KMB!X16,KMB!AB16,KMB!AF16))=2)*(CHOOSE({1,2,3,4},KMB!W16,KMB!AA16,KMB!AE16,KMB!AI16)))</f>
        <v>0</v>
      </c>
      <c r="C16">
        <f>SUMPRODUCT((MONTH(CHOOSE({1,2,3,4},KMB!T16,KMB!X16,KMB!AB16,KMB!AF16))=3)*(CHOOSE({1,2,3,4},KMB!W16,KMB!AA16,KMB!AE16,KMB!AI16)))</f>
        <v>0</v>
      </c>
      <c r="D16">
        <f>SUMPRODUCT((MONTH(CHOOSE({1,2,3,4},KMB!T16,KMB!X16,KMB!AB16,KMB!AF16))=4)*(CHOOSE({1,2,3,4},KMB!W16,KMB!AA16,KMB!AE16,KMB!AI16)))</f>
        <v>0</v>
      </c>
      <c r="E16">
        <f>SUMPRODUCT((MONTH(CHOOSE({1,2,3,4},KMB!T16,KMB!X16,KMB!AB16,KMB!AF16))=5)*(CHOOSE({1,2,3,4},KMB!W16,KMB!AA16,KMB!AE16,KMB!AI16)))</f>
        <v>0</v>
      </c>
      <c r="F16">
        <f>SUMPRODUCT((MONTH(CHOOSE({1,2,3,4},KMB!T16,KMB!X16,KMB!AB16,KMB!AF16))=6)*(CHOOSE({1,2,3,4},KMB!W16,KMB!AA16,KMB!AE16,KMB!AI16)))</f>
        <v>0</v>
      </c>
      <c r="G16">
        <f>SUMPRODUCT((MONTH(CHOOSE({1,2,3,4},KMB!T16,KMB!X16,KMB!AB16,KMB!AF16))=7)*(CHOOSE({1,2,3,4},KMB!W16,KMB!AA16,KMB!AE16,KMB!AI16)))</f>
        <v>0</v>
      </c>
      <c r="H16">
        <f>SUMPRODUCT((MONTH(CHOOSE({1,2,3,4},KMB!T16,KMB!X16,KMB!AB16,KMB!AF16))=8)*(CHOOSE({1,2,3,4},KMB!W16,KMB!AA16,KMB!AE16,KMB!AI16)))</f>
        <v>0</v>
      </c>
      <c r="I16">
        <f>SUMPRODUCT((MONTH(CHOOSE({1,2,3,4},KMB!T16,KMB!X16,KMB!AB16,KMB!AF16))=9)*(CHOOSE({1,2,3,4},KMB!W16,KMB!AA16,KMB!AE16,KMB!AI16)))</f>
        <v>0</v>
      </c>
      <c r="J16">
        <f>SUMPRODUCT((MONTH(CHOOSE({1,2,3,4},KMB!T16,KMB!X16,KMB!AB16,KMB!AF16))=10)*(CHOOSE({1,2,3,4},KMB!W16,KMB!AA16,KMB!AE16,KMB!AI16)))</f>
        <v>0</v>
      </c>
      <c r="K16">
        <f>SUMPRODUCT((MONTH(CHOOSE({1,2,3,4},KMB!T16,KMB!X16,KMB!AB16,KMB!AF16))=11)*(CHOOSE({1,2,3,4},KMB!W16,KMB!AA16,KMB!AE16,KMB!AI16)))</f>
        <v>0</v>
      </c>
      <c r="L16">
        <f>SUMPRODUCT((MONTH(CHOOSE({1,2,3,4},KMB!T16,KMB!X16,KMB!AB16,KMB!AF16))=12)*(CHOOSE({1,2,3,4},KMB!W16,KMB!AA16,KMB!AE16,KMB!AI16)))</f>
        <v>0</v>
      </c>
    </row>
    <row r="17" spans="1:12">
      <c r="A17">
        <f>SUMPRODUCT((MONTH(CHOOSE({1,2,3,4},KMB!T17,KMB!X17,KMB!AB17,KMB!AF17))=1)*(CHOOSE({1,2,3,4},KMB!W17,KMB!AA17,KMB!AE17,KMB!AI17)))</f>
        <v>0</v>
      </c>
      <c r="B17">
        <f>SUMPRODUCT((MONTH(CHOOSE({1,2,3,4},KMB!T17,KMB!X17,KMB!AB17,KMB!AF17))=2)*(CHOOSE({1,2,3,4},KMB!W17,KMB!AA17,KMB!AE17,KMB!AI17)))</f>
        <v>0</v>
      </c>
      <c r="C17">
        <f>SUMPRODUCT((MONTH(CHOOSE({1,2,3,4},KMB!T17,KMB!X17,KMB!AB17,KMB!AF17))=3)*(CHOOSE({1,2,3,4},KMB!W17,KMB!AA17,KMB!AE17,KMB!AI17)))</f>
        <v>0</v>
      </c>
      <c r="D17">
        <f>SUMPRODUCT((MONTH(CHOOSE({1,2,3,4},KMB!T17,KMB!X17,KMB!AB17,KMB!AF17))=4)*(CHOOSE({1,2,3,4},KMB!W17,KMB!AA17,KMB!AE17,KMB!AI17)))</f>
        <v>0</v>
      </c>
      <c r="E17">
        <f>SUMPRODUCT((MONTH(CHOOSE({1,2,3,4},KMB!T17,KMB!X17,KMB!AB17,KMB!AF17))=5)*(CHOOSE({1,2,3,4},KMB!W17,KMB!AA17,KMB!AE17,KMB!AI17)))</f>
        <v>0</v>
      </c>
      <c r="F17">
        <f>SUMPRODUCT((MONTH(CHOOSE({1,2,3,4},KMB!T17,KMB!X17,KMB!AB17,KMB!AF17))=6)*(CHOOSE({1,2,3,4},KMB!W17,KMB!AA17,KMB!AE17,KMB!AI17)))</f>
        <v>0</v>
      </c>
      <c r="G17">
        <f>SUMPRODUCT((MONTH(CHOOSE({1,2,3,4},KMB!T17,KMB!X17,KMB!AB17,KMB!AF17))=7)*(CHOOSE({1,2,3,4},KMB!W17,KMB!AA17,KMB!AE17,KMB!AI17)))</f>
        <v>0</v>
      </c>
      <c r="H17">
        <f>SUMPRODUCT((MONTH(CHOOSE({1,2,3,4},KMB!T17,KMB!X17,KMB!AB17,KMB!AF17))=8)*(CHOOSE({1,2,3,4},KMB!W17,KMB!AA17,KMB!AE17,KMB!AI17)))</f>
        <v>0</v>
      </c>
      <c r="I17">
        <f>SUMPRODUCT((MONTH(CHOOSE({1,2,3,4},KMB!T17,KMB!X17,KMB!AB17,KMB!AF17))=9)*(CHOOSE({1,2,3,4},KMB!W17,KMB!AA17,KMB!AE17,KMB!AI17)))</f>
        <v>0</v>
      </c>
      <c r="J17">
        <f>SUMPRODUCT((MONTH(CHOOSE({1,2,3,4},KMB!T17,KMB!X17,KMB!AB17,KMB!AF17))=10)*(CHOOSE({1,2,3,4},KMB!W17,KMB!AA17,KMB!AE17,KMB!AI17)))</f>
        <v>0</v>
      </c>
      <c r="K17">
        <f>SUMPRODUCT((MONTH(CHOOSE({1,2,3,4},KMB!T17,KMB!X17,KMB!AB17,KMB!AF17))=11)*(CHOOSE({1,2,3,4},KMB!W17,KMB!AA17,KMB!AE17,KMB!AI17)))</f>
        <v>0</v>
      </c>
      <c r="L17">
        <f>SUMPRODUCT((MONTH(CHOOSE({1,2,3,4},KMB!T17,KMB!X17,KMB!AB17,KMB!AF17))=12)*(CHOOSE({1,2,3,4},KMB!W17,KMB!AA17,KMB!AE17,KMB!AI17)))</f>
        <v>0</v>
      </c>
    </row>
    <row r="18" spans="1:12">
      <c r="A18">
        <f>SUMPRODUCT((MONTH(CHOOSE({1,2,3,4},KMB!T18,KMB!X18,KMB!AB18,KMB!AF18))=1)*(CHOOSE({1,2,3,4},KMB!W18,KMB!AA18,KMB!AE18,KMB!AI18)))</f>
        <v>0</v>
      </c>
      <c r="B18">
        <f>SUMPRODUCT((MONTH(CHOOSE({1,2,3,4},KMB!T18,KMB!X18,KMB!AB18,KMB!AF18))=2)*(CHOOSE({1,2,3,4},KMB!W18,KMB!AA18,KMB!AE18,KMB!AI18)))</f>
        <v>0</v>
      </c>
      <c r="C18">
        <f>SUMPRODUCT((MONTH(CHOOSE({1,2,3,4},KMB!T18,KMB!X18,KMB!AB18,KMB!AF18))=3)*(CHOOSE({1,2,3,4},KMB!W18,KMB!AA18,KMB!AE18,KMB!AI18)))</f>
        <v>0</v>
      </c>
      <c r="D18">
        <f>SUMPRODUCT((MONTH(CHOOSE({1,2,3,4},KMB!T18,KMB!X18,KMB!AB18,KMB!AF18))=4)*(CHOOSE({1,2,3,4},KMB!W18,KMB!AA18,KMB!AE18,KMB!AI18)))</f>
        <v>0</v>
      </c>
      <c r="E18">
        <f>SUMPRODUCT((MONTH(CHOOSE({1,2,3,4},KMB!T18,KMB!X18,KMB!AB18,KMB!AF18))=5)*(CHOOSE({1,2,3,4},KMB!W18,KMB!AA18,KMB!AE18,KMB!AI18)))</f>
        <v>0</v>
      </c>
      <c r="F18">
        <f>SUMPRODUCT((MONTH(CHOOSE({1,2,3,4},KMB!T18,KMB!X18,KMB!AB18,KMB!AF18))=6)*(CHOOSE({1,2,3,4},KMB!W18,KMB!AA18,KMB!AE18,KMB!AI18)))</f>
        <v>0</v>
      </c>
      <c r="G18">
        <f>SUMPRODUCT((MONTH(CHOOSE({1,2,3,4},KMB!T18,KMB!X18,KMB!AB18,KMB!AF18))=7)*(CHOOSE({1,2,3,4},KMB!W18,KMB!AA18,KMB!AE18,KMB!AI18)))</f>
        <v>0</v>
      </c>
      <c r="H18">
        <f>SUMPRODUCT((MONTH(CHOOSE({1,2,3,4},KMB!T18,KMB!X18,KMB!AB18,KMB!AF18))=8)*(CHOOSE({1,2,3,4},KMB!W18,KMB!AA18,KMB!AE18,KMB!AI18)))</f>
        <v>0</v>
      </c>
      <c r="I18">
        <f>SUMPRODUCT((MONTH(CHOOSE({1,2,3,4},KMB!T18,KMB!X18,KMB!AB18,KMB!AF18))=9)*(CHOOSE({1,2,3,4},KMB!W18,KMB!AA18,KMB!AE18,KMB!AI18)))</f>
        <v>0</v>
      </c>
      <c r="J18">
        <f>SUMPRODUCT((MONTH(CHOOSE({1,2,3,4},KMB!T18,KMB!X18,KMB!AB18,KMB!AF18))=10)*(CHOOSE({1,2,3,4},KMB!W18,KMB!AA18,KMB!AE18,KMB!AI18)))</f>
        <v>0</v>
      </c>
      <c r="K18">
        <f>SUMPRODUCT((MONTH(CHOOSE({1,2,3,4},KMB!T18,KMB!X18,KMB!AB18,KMB!AF18))=11)*(CHOOSE({1,2,3,4},KMB!W18,KMB!AA18,KMB!AE18,KMB!AI18)))</f>
        <v>0</v>
      </c>
      <c r="L18">
        <f>SUMPRODUCT((MONTH(CHOOSE({1,2,3,4},KMB!T18,KMB!X18,KMB!AB18,KMB!AF18))=12)*(CHOOSE({1,2,3,4},KMB!W18,KMB!AA18,KMB!AE18,KMB!AI18)))</f>
        <v>0</v>
      </c>
    </row>
    <row r="19" spans="1:12">
      <c r="A19">
        <f>SUMPRODUCT((MONTH(CHOOSE({1,2,3,4},KMB!T19,KMB!X19,KMB!AB19,KMB!AF19))=1)*(CHOOSE({1,2,3,4},KMB!W19,KMB!AA19,KMB!AE19,KMB!AI19)))</f>
        <v>0</v>
      </c>
      <c r="B19">
        <f>SUMPRODUCT((MONTH(CHOOSE({1,2,3,4},KMB!T19,KMB!X19,KMB!AB19,KMB!AF19))=2)*(CHOOSE({1,2,3,4},KMB!W19,KMB!AA19,KMB!AE19,KMB!AI19)))</f>
        <v>0</v>
      </c>
      <c r="C19">
        <f>SUMPRODUCT((MONTH(CHOOSE({1,2,3,4},KMB!T19,KMB!X19,KMB!AB19,KMB!AF19))=3)*(CHOOSE({1,2,3,4},KMB!W19,KMB!AA19,KMB!AE19,KMB!AI19)))</f>
        <v>0</v>
      </c>
      <c r="D19">
        <f>SUMPRODUCT((MONTH(CHOOSE({1,2,3,4},KMB!T19,KMB!X19,KMB!AB19,KMB!AF19))=4)*(CHOOSE({1,2,3,4},KMB!W19,KMB!AA19,KMB!AE19,KMB!AI19)))</f>
        <v>0</v>
      </c>
      <c r="E19">
        <f>SUMPRODUCT((MONTH(CHOOSE({1,2,3,4},KMB!T19,KMB!X19,KMB!AB19,KMB!AF19))=5)*(CHOOSE({1,2,3,4},KMB!W19,KMB!AA19,KMB!AE19,KMB!AI19)))</f>
        <v>0</v>
      </c>
      <c r="F19">
        <f>SUMPRODUCT((MONTH(CHOOSE({1,2,3,4},KMB!T19,KMB!X19,KMB!AB19,KMB!AF19))=6)*(CHOOSE({1,2,3,4},KMB!W19,KMB!AA19,KMB!AE19,KMB!AI19)))</f>
        <v>0</v>
      </c>
      <c r="G19">
        <f>SUMPRODUCT((MONTH(CHOOSE({1,2,3,4},KMB!T19,KMB!X19,KMB!AB19,KMB!AF19))=7)*(CHOOSE({1,2,3,4},KMB!W19,KMB!AA19,KMB!AE19,KMB!AI19)))</f>
        <v>0</v>
      </c>
      <c r="H19">
        <f>SUMPRODUCT((MONTH(CHOOSE({1,2,3,4},KMB!T19,KMB!X19,KMB!AB19,KMB!AF19))=8)*(CHOOSE({1,2,3,4},KMB!W19,KMB!AA19,KMB!AE19,KMB!AI19)))</f>
        <v>0</v>
      </c>
      <c r="I19">
        <f>SUMPRODUCT((MONTH(CHOOSE({1,2,3,4},KMB!T19,KMB!X19,KMB!AB19,KMB!AF19))=9)*(CHOOSE({1,2,3,4},KMB!W19,KMB!AA19,KMB!AE19,KMB!AI19)))</f>
        <v>0</v>
      </c>
      <c r="J19">
        <f>SUMPRODUCT((MONTH(CHOOSE({1,2,3,4},KMB!T19,KMB!X19,KMB!AB19,KMB!AF19))=10)*(CHOOSE({1,2,3,4},KMB!W19,KMB!AA19,KMB!AE19,KMB!AI19)))</f>
        <v>0</v>
      </c>
      <c r="K19">
        <f>SUMPRODUCT((MONTH(CHOOSE({1,2,3,4},KMB!T19,KMB!X19,KMB!AB19,KMB!AF19))=11)*(CHOOSE({1,2,3,4},KMB!W19,KMB!AA19,KMB!AE19,KMB!AI19)))</f>
        <v>0</v>
      </c>
      <c r="L19">
        <f>SUMPRODUCT((MONTH(CHOOSE({1,2,3,4},KMB!T19,KMB!X19,KMB!AB19,KMB!AF19))=12)*(CHOOSE({1,2,3,4},KMB!W19,KMB!AA19,KMB!AE19,KMB!AI19)))</f>
        <v>0</v>
      </c>
    </row>
    <row r="20" spans="1:12">
      <c r="A20">
        <f>SUMPRODUCT((MONTH(CHOOSE({1,2,3,4},KMB!T20,KMB!X20,KMB!AB20,KMB!AF20))=1)*(CHOOSE({1,2,3,4},KMB!W20,KMB!AA20,KMB!AE20,KMB!AI20)))</f>
        <v>0</v>
      </c>
      <c r="B20">
        <f>SUMPRODUCT((MONTH(CHOOSE({1,2,3,4},KMB!T20,KMB!X20,KMB!AB20,KMB!AF20))=2)*(CHOOSE({1,2,3,4},KMB!W20,KMB!AA20,KMB!AE20,KMB!AI20)))</f>
        <v>0</v>
      </c>
      <c r="C20">
        <f>SUMPRODUCT((MONTH(CHOOSE({1,2,3,4},KMB!T20,KMB!X20,KMB!AB20,KMB!AF20))=3)*(CHOOSE({1,2,3,4},KMB!W20,KMB!AA20,KMB!AE20,KMB!AI20)))</f>
        <v>0</v>
      </c>
      <c r="D20">
        <f>SUMPRODUCT((MONTH(CHOOSE({1,2,3,4},KMB!T20,KMB!X20,KMB!AB20,KMB!AF20))=4)*(CHOOSE({1,2,3,4},KMB!W20,KMB!AA20,KMB!AE20,KMB!AI20)))</f>
        <v>0</v>
      </c>
      <c r="E20">
        <f>SUMPRODUCT((MONTH(CHOOSE({1,2,3,4},KMB!T20,KMB!X20,KMB!AB20,KMB!AF20))=5)*(CHOOSE({1,2,3,4},KMB!W20,KMB!AA20,KMB!AE20,KMB!AI20)))</f>
        <v>0</v>
      </c>
      <c r="F20">
        <f>SUMPRODUCT((MONTH(CHOOSE({1,2,3,4},KMB!T20,KMB!X20,KMB!AB20,KMB!AF20))=6)*(CHOOSE({1,2,3,4},KMB!W20,KMB!AA20,KMB!AE20,KMB!AI20)))</f>
        <v>0</v>
      </c>
      <c r="G20">
        <f>SUMPRODUCT((MONTH(CHOOSE({1,2,3,4},KMB!T20,KMB!X20,KMB!AB20,KMB!AF20))=7)*(CHOOSE({1,2,3,4},KMB!W20,KMB!AA20,KMB!AE20,KMB!AI20)))</f>
        <v>0</v>
      </c>
      <c r="H20">
        <f>SUMPRODUCT((MONTH(CHOOSE({1,2,3,4},KMB!T20,KMB!X20,KMB!AB20,KMB!AF20))=8)*(CHOOSE({1,2,3,4},KMB!W20,KMB!AA20,KMB!AE20,KMB!AI20)))</f>
        <v>0</v>
      </c>
      <c r="I20">
        <f>SUMPRODUCT((MONTH(CHOOSE({1,2,3,4},KMB!T20,KMB!X20,KMB!AB20,KMB!AF20))=9)*(CHOOSE({1,2,3,4},KMB!W20,KMB!AA20,KMB!AE20,KMB!AI20)))</f>
        <v>0</v>
      </c>
      <c r="J20">
        <f>SUMPRODUCT((MONTH(CHOOSE({1,2,3,4},KMB!T20,KMB!X20,KMB!AB20,KMB!AF20))=10)*(CHOOSE({1,2,3,4},KMB!W20,KMB!AA20,KMB!AE20,KMB!AI20)))</f>
        <v>0</v>
      </c>
      <c r="K20">
        <f>SUMPRODUCT((MONTH(CHOOSE({1,2,3,4},KMB!T20,KMB!X20,KMB!AB20,KMB!AF20))=11)*(CHOOSE({1,2,3,4},KMB!W20,KMB!AA20,KMB!AE20,KMB!AI20)))</f>
        <v>0</v>
      </c>
      <c r="L20">
        <f>SUMPRODUCT((MONTH(CHOOSE({1,2,3,4},KMB!T20,KMB!X20,KMB!AB20,KMB!AF20))=12)*(CHOOSE({1,2,3,4},KMB!W20,KMB!AA20,KMB!AE20,KMB!AI20)))</f>
        <v>0</v>
      </c>
    </row>
    <row r="21" spans="1:12">
      <c r="A21">
        <f>SUMPRODUCT((MONTH(CHOOSE({1,2,3,4},KMB!T21,KMB!X21,KMB!AB21,KMB!AF21))=1)*(CHOOSE({1,2,3,4},KMB!W21,KMB!AA21,KMB!AE21,KMB!AI21)))</f>
        <v>0</v>
      </c>
      <c r="B21">
        <f>SUMPRODUCT((MONTH(CHOOSE({1,2,3,4},KMB!T21,KMB!X21,KMB!AB21,KMB!AF21))=2)*(CHOOSE({1,2,3,4},KMB!W21,KMB!AA21,KMB!AE21,KMB!AI21)))</f>
        <v>0</v>
      </c>
      <c r="C21">
        <f>SUMPRODUCT((MONTH(CHOOSE({1,2,3,4},KMB!T21,KMB!X21,KMB!AB21,KMB!AF21))=3)*(CHOOSE({1,2,3,4},KMB!W21,KMB!AA21,KMB!AE21,KMB!AI21)))</f>
        <v>0</v>
      </c>
      <c r="D21">
        <f>SUMPRODUCT((MONTH(CHOOSE({1,2,3,4},KMB!T21,KMB!X21,KMB!AB21,KMB!AF21))=4)*(CHOOSE({1,2,3,4},KMB!W21,KMB!AA21,KMB!AE21,KMB!AI21)))</f>
        <v>0</v>
      </c>
      <c r="E21">
        <f>SUMPRODUCT((MONTH(CHOOSE({1,2,3,4},KMB!T21,KMB!X21,KMB!AB21,KMB!AF21))=5)*(CHOOSE({1,2,3,4},KMB!W21,KMB!AA21,KMB!AE21,KMB!AI21)))</f>
        <v>0</v>
      </c>
      <c r="F21">
        <f>SUMPRODUCT((MONTH(CHOOSE({1,2,3,4},KMB!T21,KMB!X21,KMB!AB21,KMB!AF21))=6)*(CHOOSE({1,2,3,4},KMB!W21,KMB!AA21,KMB!AE21,KMB!AI21)))</f>
        <v>0</v>
      </c>
      <c r="G21">
        <f>SUMPRODUCT((MONTH(CHOOSE({1,2,3,4},KMB!T21,KMB!X21,KMB!AB21,KMB!AF21))=7)*(CHOOSE({1,2,3,4},KMB!W21,KMB!AA21,KMB!AE21,KMB!AI21)))</f>
        <v>0</v>
      </c>
      <c r="H21">
        <f>SUMPRODUCT((MONTH(CHOOSE({1,2,3,4},KMB!T21,KMB!X21,KMB!AB21,KMB!AF21))=8)*(CHOOSE({1,2,3,4},KMB!W21,KMB!AA21,KMB!AE21,KMB!AI21)))</f>
        <v>0</v>
      </c>
      <c r="I21">
        <f>SUMPRODUCT((MONTH(CHOOSE({1,2,3,4},KMB!T21,KMB!X21,KMB!AB21,KMB!AF21))=9)*(CHOOSE({1,2,3,4},KMB!W21,KMB!AA21,KMB!AE21,KMB!AI21)))</f>
        <v>0</v>
      </c>
      <c r="J21">
        <f>SUMPRODUCT((MONTH(CHOOSE({1,2,3,4},KMB!T21,KMB!X21,KMB!AB21,KMB!AF21))=10)*(CHOOSE({1,2,3,4},KMB!W21,KMB!AA21,KMB!AE21,KMB!AI21)))</f>
        <v>0</v>
      </c>
      <c r="K21">
        <f>SUMPRODUCT((MONTH(CHOOSE({1,2,3,4},KMB!T21,KMB!X21,KMB!AB21,KMB!AF21))=11)*(CHOOSE({1,2,3,4},KMB!W21,KMB!AA21,KMB!AE21,KMB!AI21)))</f>
        <v>0</v>
      </c>
      <c r="L21">
        <f>SUMPRODUCT((MONTH(CHOOSE({1,2,3,4},KMB!T21,KMB!X21,KMB!AB21,KMB!AF21))=12)*(CHOOSE({1,2,3,4},KMB!W21,KMB!AA21,KMB!AE21,KMB!AI21)))</f>
        <v>0</v>
      </c>
    </row>
    <row r="22" spans="1:12">
      <c r="A22">
        <f>SUMPRODUCT((MONTH(CHOOSE({1,2,3,4},KMB!T22,KMB!X22,KMB!AB22,KMB!AF22))=1)*(CHOOSE({1,2,3,4},KMB!W22,KMB!AA22,KMB!AE22,KMB!AI22)))</f>
        <v>0</v>
      </c>
      <c r="B22">
        <f>SUMPRODUCT((MONTH(CHOOSE({1,2,3,4},KMB!T22,KMB!X22,KMB!AB22,KMB!AF22))=2)*(CHOOSE({1,2,3,4},KMB!W22,KMB!AA22,KMB!AE22,KMB!AI22)))</f>
        <v>0</v>
      </c>
      <c r="C22">
        <f>SUMPRODUCT((MONTH(CHOOSE({1,2,3,4},KMB!T22,KMB!X22,KMB!AB22,KMB!AF22))=3)*(CHOOSE({1,2,3,4},KMB!W22,KMB!AA22,KMB!AE22,KMB!AI22)))</f>
        <v>0</v>
      </c>
      <c r="D22">
        <f>SUMPRODUCT((MONTH(CHOOSE({1,2,3,4},KMB!T22,KMB!X22,KMB!AB22,KMB!AF22))=4)*(CHOOSE({1,2,3,4},KMB!W22,KMB!AA22,KMB!AE22,KMB!AI22)))</f>
        <v>0</v>
      </c>
      <c r="E22">
        <f>SUMPRODUCT((MONTH(CHOOSE({1,2,3,4},KMB!T22,KMB!X22,KMB!AB22,KMB!AF22))=5)*(CHOOSE({1,2,3,4},KMB!W22,KMB!AA22,KMB!AE22,KMB!AI22)))</f>
        <v>0</v>
      </c>
      <c r="F22">
        <f>SUMPRODUCT((MONTH(CHOOSE({1,2,3,4},KMB!T22,KMB!X22,KMB!AB22,KMB!AF22))=6)*(CHOOSE({1,2,3,4},KMB!W22,KMB!AA22,KMB!AE22,KMB!AI22)))</f>
        <v>0</v>
      </c>
      <c r="G22">
        <f>SUMPRODUCT((MONTH(CHOOSE({1,2,3,4},KMB!T22,KMB!X22,KMB!AB22,KMB!AF22))=7)*(CHOOSE({1,2,3,4},KMB!W22,KMB!AA22,KMB!AE22,KMB!AI22)))</f>
        <v>0</v>
      </c>
      <c r="H22">
        <f>SUMPRODUCT((MONTH(CHOOSE({1,2,3,4},KMB!T22,KMB!X22,KMB!AB22,KMB!AF22))=8)*(CHOOSE({1,2,3,4},KMB!W22,KMB!AA22,KMB!AE22,KMB!AI22)))</f>
        <v>0</v>
      </c>
      <c r="I22">
        <f>SUMPRODUCT((MONTH(CHOOSE({1,2,3,4},KMB!T22,KMB!X22,KMB!AB22,KMB!AF22))=9)*(CHOOSE({1,2,3,4},KMB!W22,KMB!AA22,KMB!AE22,KMB!AI22)))</f>
        <v>0</v>
      </c>
      <c r="J22">
        <f>SUMPRODUCT((MONTH(CHOOSE({1,2,3,4},KMB!T22,KMB!X22,KMB!AB22,KMB!AF22))=10)*(CHOOSE({1,2,3,4},KMB!W22,KMB!AA22,KMB!AE22,KMB!AI22)))</f>
        <v>0</v>
      </c>
      <c r="K22">
        <f>SUMPRODUCT((MONTH(CHOOSE({1,2,3,4},KMB!T22,KMB!X22,KMB!AB22,KMB!AF22))=11)*(CHOOSE({1,2,3,4},KMB!W22,KMB!AA22,KMB!AE22,KMB!AI22)))</f>
        <v>0</v>
      </c>
      <c r="L22">
        <f>SUMPRODUCT((MONTH(CHOOSE({1,2,3,4},KMB!T22,KMB!X22,KMB!AB22,KMB!AF22))=12)*(CHOOSE({1,2,3,4},KMB!W22,KMB!AA22,KMB!AE22,KMB!AI22)))</f>
        <v>0</v>
      </c>
    </row>
    <row r="23" spans="1:12">
      <c r="A23">
        <f>SUMPRODUCT((MONTH(CHOOSE({1,2,3,4},KMB!T23,KMB!X23,KMB!AB23,KMB!AF23))=1)*(CHOOSE({1,2,3,4},KMB!W23,KMB!AA23,KMB!AE23,KMB!AI23)))</f>
        <v>0</v>
      </c>
      <c r="B23">
        <f>SUMPRODUCT((MONTH(CHOOSE({1,2,3,4},KMB!T23,KMB!X23,KMB!AB23,KMB!AF23))=2)*(CHOOSE({1,2,3,4},KMB!W23,KMB!AA23,KMB!AE23,KMB!AI23)))</f>
        <v>0</v>
      </c>
      <c r="C23">
        <f>SUMPRODUCT((MONTH(CHOOSE({1,2,3,4},KMB!T23,KMB!X23,KMB!AB23,KMB!AF23))=3)*(CHOOSE({1,2,3,4},KMB!W23,KMB!AA23,KMB!AE23,KMB!AI23)))</f>
        <v>0</v>
      </c>
      <c r="D23">
        <f>SUMPRODUCT((MONTH(CHOOSE({1,2,3,4},KMB!T23,KMB!X23,KMB!AB23,KMB!AF23))=4)*(CHOOSE({1,2,3,4},KMB!W23,KMB!AA23,KMB!AE23,KMB!AI23)))</f>
        <v>0</v>
      </c>
      <c r="E23">
        <f>SUMPRODUCT((MONTH(CHOOSE({1,2,3,4},KMB!T23,KMB!X23,KMB!AB23,KMB!AF23))=5)*(CHOOSE({1,2,3,4},KMB!W23,KMB!AA23,KMB!AE23,KMB!AI23)))</f>
        <v>0</v>
      </c>
      <c r="F23">
        <f>SUMPRODUCT((MONTH(CHOOSE({1,2,3,4},KMB!T23,KMB!X23,KMB!AB23,KMB!AF23))=6)*(CHOOSE({1,2,3,4},KMB!W23,KMB!AA23,KMB!AE23,KMB!AI23)))</f>
        <v>0</v>
      </c>
      <c r="G23">
        <f>SUMPRODUCT((MONTH(CHOOSE({1,2,3,4},KMB!T23,KMB!X23,KMB!AB23,KMB!AF23))=7)*(CHOOSE({1,2,3,4},KMB!W23,KMB!AA23,KMB!AE23,KMB!AI23)))</f>
        <v>0</v>
      </c>
      <c r="H23">
        <f>SUMPRODUCT((MONTH(CHOOSE({1,2,3,4},KMB!T23,KMB!X23,KMB!AB23,KMB!AF23))=8)*(CHOOSE({1,2,3,4},KMB!W23,KMB!AA23,KMB!AE23,KMB!AI23)))</f>
        <v>0</v>
      </c>
      <c r="I23">
        <f>SUMPRODUCT((MONTH(CHOOSE({1,2,3,4},KMB!T23,KMB!X23,KMB!AB23,KMB!AF23))=9)*(CHOOSE({1,2,3,4},KMB!W23,KMB!AA23,KMB!AE23,KMB!AI23)))</f>
        <v>0</v>
      </c>
      <c r="J23">
        <f>SUMPRODUCT((MONTH(CHOOSE({1,2,3,4},KMB!T23,KMB!X23,KMB!AB23,KMB!AF23))=10)*(CHOOSE({1,2,3,4},KMB!W23,KMB!AA23,KMB!AE23,KMB!AI23)))</f>
        <v>0</v>
      </c>
      <c r="K23">
        <f>SUMPRODUCT((MONTH(CHOOSE({1,2,3,4},KMB!T23,KMB!X23,KMB!AB23,KMB!AF23))=11)*(CHOOSE({1,2,3,4},KMB!W23,KMB!AA23,KMB!AE23,KMB!AI23)))</f>
        <v>0</v>
      </c>
      <c r="L23">
        <f>SUMPRODUCT((MONTH(CHOOSE({1,2,3,4},KMB!T23,KMB!X23,KMB!AB23,KMB!AF23))=12)*(CHOOSE({1,2,3,4},KMB!W23,KMB!AA23,KMB!AE23,KMB!AI23)))</f>
        <v>0</v>
      </c>
    </row>
    <row r="24" spans="1:12">
      <c r="A24">
        <f>SUMPRODUCT((MONTH(CHOOSE({1,2,3,4},KMB!T24,KMB!X24,KMB!AB24,KMB!AF24))=1)*(CHOOSE({1,2,3,4},KMB!W24,KMB!AA24,KMB!AE24,KMB!AI24)))</f>
        <v>0</v>
      </c>
      <c r="B24">
        <f>SUMPRODUCT((MONTH(CHOOSE({1,2,3,4},KMB!T24,KMB!X24,KMB!AB24,KMB!AF24))=2)*(CHOOSE({1,2,3,4},KMB!W24,KMB!AA24,KMB!AE24,KMB!AI24)))</f>
        <v>0</v>
      </c>
      <c r="C24">
        <f>SUMPRODUCT((MONTH(CHOOSE({1,2,3,4},KMB!T24,KMB!X24,KMB!AB24,KMB!AF24))=3)*(CHOOSE({1,2,3,4},KMB!W24,KMB!AA24,KMB!AE24,KMB!AI24)))</f>
        <v>0</v>
      </c>
      <c r="D24">
        <f>SUMPRODUCT((MONTH(CHOOSE({1,2,3,4},KMB!T24,KMB!X24,KMB!AB24,KMB!AF24))=4)*(CHOOSE({1,2,3,4},KMB!W24,KMB!AA24,KMB!AE24,KMB!AI24)))</f>
        <v>0</v>
      </c>
      <c r="E24">
        <f>SUMPRODUCT((MONTH(CHOOSE({1,2,3,4},KMB!T24,KMB!X24,KMB!AB24,KMB!AF24))=5)*(CHOOSE({1,2,3,4},KMB!W24,KMB!AA24,KMB!AE24,KMB!AI24)))</f>
        <v>0</v>
      </c>
      <c r="F24">
        <f>SUMPRODUCT((MONTH(CHOOSE({1,2,3,4},KMB!T24,KMB!X24,KMB!AB24,KMB!AF24))=6)*(CHOOSE({1,2,3,4},KMB!W24,KMB!AA24,KMB!AE24,KMB!AI24)))</f>
        <v>0</v>
      </c>
      <c r="G24">
        <f>SUMPRODUCT((MONTH(CHOOSE({1,2,3,4},KMB!T24,KMB!X24,KMB!AB24,KMB!AF24))=7)*(CHOOSE({1,2,3,4},KMB!W24,KMB!AA24,KMB!AE24,KMB!AI24)))</f>
        <v>0</v>
      </c>
      <c r="H24">
        <f>SUMPRODUCT((MONTH(CHOOSE({1,2,3,4},KMB!T24,KMB!X24,KMB!AB24,KMB!AF24))=8)*(CHOOSE({1,2,3,4},KMB!W24,KMB!AA24,KMB!AE24,KMB!AI24)))</f>
        <v>0</v>
      </c>
      <c r="I24">
        <f>SUMPRODUCT((MONTH(CHOOSE({1,2,3,4},KMB!T24,KMB!X24,KMB!AB24,KMB!AF24))=9)*(CHOOSE({1,2,3,4},KMB!W24,KMB!AA24,KMB!AE24,KMB!AI24)))</f>
        <v>0</v>
      </c>
      <c r="J24">
        <f>SUMPRODUCT((MONTH(CHOOSE({1,2,3,4},KMB!T24,KMB!X24,KMB!AB24,KMB!AF24))=10)*(CHOOSE({1,2,3,4},KMB!W24,KMB!AA24,KMB!AE24,KMB!AI24)))</f>
        <v>0</v>
      </c>
      <c r="K24">
        <f>SUMPRODUCT((MONTH(CHOOSE({1,2,3,4},KMB!T24,KMB!X24,KMB!AB24,KMB!AF24))=11)*(CHOOSE({1,2,3,4},KMB!W24,KMB!AA24,KMB!AE24,KMB!AI24)))</f>
        <v>0</v>
      </c>
      <c r="L24">
        <f>SUMPRODUCT((MONTH(CHOOSE({1,2,3,4},KMB!T24,KMB!X24,KMB!AB24,KMB!AF24))=12)*(CHOOSE({1,2,3,4},KMB!W24,KMB!AA24,KMB!AE24,KMB!AI24)))</f>
        <v>0</v>
      </c>
    </row>
    <row r="25" spans="1:12">
      <c r="A25">
        <f>SUMPRODUCT((MONTH(CHOOSE({1,2,3,4},KMB!T25,KMB!X25,KMB!AB25,KMB!AF25))=1)*(CHOOSE({1,2,3,4},KMB!W25,KMB!AA25,KMB!AE25,KMB!AI25)))</f>
        <v>0</v>
      </c>
      <c r="B25">
        <f>SUMPRODUCT((MONTH(CHOOSE({1,2,3,4},KMB!T25,KMB!X25,KMB!AB25,KMB!AF25))=2)*(CHOOSE({1,2,3,4},KMB!W25,KMB!AA25,KMB!AE25,KMB!AI25)))</f>
        <v>0</v>
      </c>
      <c r="C25">
        <f>SUMPRODUCT((MONTH(CHOOSE({1,2,3,4},KMB!T25,KMB!X25,KMB!AB25,KMB!AF25))=3)*(CHOOSE({1,2,3,4},KMB!W25,KMB!AA25,KMB!AE25,KMB!AI25)))</f>
        <v>0</v>
      </c>
      <c r="D25">
        <f>SUMPRODUCT((MONTH(CHOOSE({1,2,3,4},KMB!T25,KMB!X25,KMB!AB25,KMB!AF25))=4)*(CHOOSE({1,2,3,4},KMB!W25,KMB!AA25,KMB!AE25,KMB!AI25)))</f>
        <v>0</v>
      </c>
      <c r="E25">
        <f>SUMPRODUCT((MONTH(CHOOSE({1,2,3,4},KMB!T25,KMB!X25,KMB!AB25,KMB!AF25))=5)*(CHOOSE({1,2,3,4},KMB!W25,KMB!AA25,KMB!AE25,KMB!AI25)))</f>
        <v>0</v>
      </c>
      <c r="F25">
        <f>SUMPRODUCT((MONTH(CHOOSE({1,2,3,4},KMB!T25,KMB!X25,KMB!AB25,KMB!AF25))=6)*(CHOOSE({1,2,3,4},KMB!W25,KMB!AA25,KMB!AE25,KMB!AI25)))</f>
        <v>0</v>
      </c>
      <c r="G25">
        <f>SUMPRODUCT((MONTH(CHOOSE({1,2,3,4},KMB!T25,KMB!X25,KMB!AB25,KMB!AF25))=7)*(CHOOSE({1,2,3,4},KMB!W25,KMB!AA25,KMB!AE25,KMB!AI25)))</f>
        <v>0</v>
      </c>
      <c r="H25">
        <f>SUMPRODUCT((MONTH(CHOOSE({1,2,3,4},KMB!T25,KMB!X25,KMB!AB25,KMB!AF25))=8)*(CHOOSE({1,2,3,4},KMB!W25,KMB!AA25,KMB!AE25,KMB!AI25)))</f>
        <v>0</v>
      </c>
      <c r="I25">
        <f>SUMPRODUCT((MONTH(CHOOSE({1,2,3,4},KMB!T25,KMB!X25,KMB!AB25,KMB!AF25))=9)*(CHOOSE({1,2,3,4},KMB!W25,KMB!AA25,KMB!AE25,KMB!AI25)))</f>
        <v>0</v>
      </c>
      <c r="J25">
        <f>SUMPRODUCT((MONTH(CHOOSE({1,2,3,4},KMB!T25,KMB!X25,KMB!AB25,KMB!AF25))=10)*(CHOOSE({1,2,3,4},KMB!W25,KMB!AA25,KMB!AE25,KMB!AI25)))</f>
        <v>0</v>
      </c>
      <c r="K25">
        <f>SUMPRODUCT((MONTH(CHOOSE({1,2,3,4},KMB!T25,KMB!X25,KMB!AB25,KMB!AF25))=11)*(CHOOSE({1,2,3,4},KMB!W25,KMB!AA25,KMB!AE25,KMB!AI25)))</f>
        <v>0</v>
      </c>
      <c r="L25">
        <f>SUMPRODUCT((MONTH(CHOOSE({1,2,3,4},KMB!T25,KMB!X25,KMB!AB25,KMB!AF25))=12)*(CHOOSE({1,2,3,4},KMB!W25,KMB!AA25,KMB!AE25,KMB!AI25)))</f>
        <v>0</v>
      </c>
    </row>
    <row r="26" spans="1:12">
      <c r="A26">
        <f>SUMPRODUCT((MONTH(CHOOSE({1,2,3,4},KMB!T26,KMB!X26,KMB!AB26,KMB!AF26))=1)*(CHOOSE({1,2,3,4},KMB!W26,KMB!AA26,KMB!AE26,KMB!AI26)))</f>
        <v>0</v>
      </c>
      <c r="B26">
        <f>SUMPRODUCT((MONTH(CHOOSE({1,2,3,4},KMB!T26,KMB!X26,KMB!AB26,KMB!AF26))=2)*(CHOOSE({1,2,3,4},KMB!W26,KMB!AA26,KMB!AE26,KMB!AI26)))</f>
        <v>0</v>
      </c>
      <c r="C26">
        <f>SUMPRODUCT((MONTH(CHOOSE({1,2,3,4},KMB!T26,KMB!X26,KMB!AB26,KMB!AF26))=3)*(CHOOSE({1,2,3,4},KMB!W26,KMB!AA26,KMB!AE26,KMB!AI26)))</f>
        <v>0</v>
      </c>
      <c r="D26">
        <f>SUMPRODUCT((MONTH(CHOOSE({1,2,3,4},KMB!T26,KMB!X26,KMB!AB26,KMB!AF26))=4)*(CHOOSE({1,2,3,4},KMB!W26,KMB!AA26,KMB!AE26,KMB!AI26)))</f>
        <v>0</v>
      </c>
      <c r="E26">
        <f>SUMPRODUCT((MONTH(CHOOSE({1,2,3,4},KMB!T26,KMB!X26,KMB!AB26,KMB!AF26))=5)*(CHOOSE({1,2,3,4},KMB!W26,KMB!AA26,KMB!AE26,KMB!AI26)))</f>
        <v>0</v>
      </c>
      <c r="F26">
        <f>SUMPRODUCT((MONTH(CHOOSE({1,2,3,4},KMB!T26,KMB!X26,KMB!AB26,KMB!AF26))=6)*(CHOOSE({1,2,3,4},KMB!W26,KMB!AA26,KMB!AE26,KMB!AI26)))</f>
        <v>0</v>
      </c>
      <c r="G26">
        <f>SUMPRODUCT((MONTH(CHOOSE({1,2,3,4},KMB!T26,KMB!X26,KMB!AB26,KMB!AF26))=7)*(CHOOSE({1,2,3,4},KMB!W26,KMB!AA26,KMB!AE26,KMB!AI26)))</f>
        <v>0</v>
      </c>
      <c r="H26">
        <f>SUMPRODUCT((MONTH(CHOOSE({1,2,3,4},KMB!T26,KMB!X26,KMB!AB26,KMB!AF26))=8)*(CHOOSE({1,2,3,4},KMB!W26,KMB!AA26,KMB!AE26,KMB!AI26)))</f>
        <v>0</v>
      </c>
      <c r="I26">
        <f>SUMPRODUCT((MONTH(CHOOSE({1,2,3,4},KMB!T26,KMB!X26,KMB!AB26,KMB!AF26))=9)*(CHOOSE({1,2,3,4},KMB!W26,KMB!AA26,KMB!AE26,KMB!AI26)))</f>
        <v>0</v>
      </c>
      <c r="J26">
        <f>SUMPRODUCT((MONTH(CHOOSE({1,2,3,4},KMB!T26,KMB!X26,KMB!AB26,KMB!AF26))=10)*(CHOOSE({1,2,3,4},KMB!W26,KMB!AA26,KMB!AE26,KMB!AI26)))</f>
        <v>0</v>
      </c>
      <c r="K26">
        <f>SUMPRODUCT((MONTH(CHOOSE({1,2,3,4},KMB!T26,KMB!X26,KMB!AB26,KMB!AF26))=11)*(CHOOSE({1,2,3,4},KMB!W26,KMB!AA26,KMB!AE26,KMB!AI26)))</f>
        <v>0</v>
      </c>
      <c r="L26">
        <f>SUMPRODUCT((MONTH(CHOOSE({1,2,3,4},KMB!T26,KMB!X26,KMB!AB26,KMB!AF26))=12)*(CHOOSE({1,2,3,4},KMB!W26,KMB!AA26,KMB!AE26,KMB!AI26)))</f>
        <v>0</v>
      </c>
    </row>
    <row r="27" spans="1:12">
      <c r="A27">
        <f>SUMPRODUCT((MONTH(CHOOSE({1,2,3,4},KMB!T27,KMB!X27,KMB!AB27,KMB!AF27))=1)*(CHOOSE({1,2,3,4},KMB!W27,KMB!AA27,KMB!AE27,KMB!AI27)))</f>
        <v>0</v>
      </c>
      <c r="B27">
        <f>SUMPRODUCT((MONTH(CHOOSE({1,2,3,4},KMB!T27,KMB!X27,KMB!AB27,KMB!AF27))=2)*(CHOOSE({1,2,3,4},KMB!W27,KMB!AA27,KMB!AE27,KMB!AI27)))</f>
        <v>0</v>
      </c>
      <c r="C27">
        <f>SUMPRODUCT((MONTH(CHOOSE({1,2,3,4},KMB!T27,KMB!X27,KMB!AB27,KMB!AF27))=3)*(CHOOSE({1,2,3,4},KMB!W27,KMB!AA27,KMB!AE27,KMB!AI27)))</f>
        <v>0</v>
      </c>
      <c r="D27">
        <f>SUMPRODUCT((MONTH(CHOOSE({1,2,3,4},KMB!T27,KMB!X27,KMB!AB27,KMB!AF27))=4)*(CHOOSE({1,2,3,4},KMB!W27,KMB!AA27,KMB!AE27,KMB!AI27)))</f>
        <v>0</v>
      </c>
      <c r="E27">
        <f>SUMPRODUCT((MONTH(CHOOSE({1,2,3,4},KMB!T27,KMB!X27,KMB!AB27,KMB!AF27))=5)*(CHOOSE({1,2,3,4},KMB!W27,KMB!AA27,KMB!AE27,KMB!AI27)))</f>
        <v>0</v>
      </c>
      <c r="F27">
        <f>SUMPRODUCT((MONTH(CHOOSE({1,2,3,4},KMB!T27,KMB!X27,KMB!AB27,KMB!AF27))=6)*(CHOOSE({1,2,3,4},KMB!W27,KMB!AA27,KMB!AE27,KMB!AI27)))</f>
        <v>0</v>
      </c>
      <c r="G27">
        <f>SUMPRODUCT((MONTH(CHOOSE({1,2,3,4},KMB!T27,KMB!X27,KMB!AB27,KMB!AF27))=7)*(CHOOSE({1,2,3,4},KMB!W27,KMB!AA27,KMB!AE27,KMB!AI27)))</f>
        <v>0</v>
      </c>
      <c r="H27">
        <f>SUMPRODUCT((MONTH(CHOOSE({1,2,3,4},KMB!T27,KMB!X27,KMB!AB27,KMB!AF27))=8)*(CHOOSE({1,2,3,4},KMB!W27,KMB!AA27,KMB!AE27,KMB!AI27)))</f>
        <v>0</v>
      </c>
      <c r="I27">
        <f>SUMPRODUCT((MONTH(CHOOSE({1,2,3,4},KMB!T27,KMB!X27,KMB!AB27,KMB!AF27))=9)*(CHOOSE({1,2,3,4},KMB!W27,KMB!AA27,KMB!AE27,KMB!AI27)))</f>
        <v>0</v>
      </c>
      <c r="J27">
        <f>SUMPRODUCT((MONTH(CHOOSE({1,2,3,4},KMB!T27,KMB!X27,KMB!AB27,KMB!AF27))=10)*(CHOOSE({1,2,3,4},KMB!W27,KMB!AA27,KMB!AE27,KMB!AI27)))</f>
        <v>0</v>
      </c>
      <c r="K27">
        <f>SUMPRODUCT((MONTH(CHOOSE({1,2,3,4},KMB!T27,KMB!X27,KMB!AB27,KMB!AF27))=11)*(CHOOSE({1,2,3,4},KMB!W27,KMB!AA27,KMB!AE27,KMB!AI27)))</f>
        <v>0</v>
      </c>
      <c r="L27">
        <f>SUMPRODUCT((MONTH(CHOOSE({1,2,3,4},KMB!T27,KMB!X27,KMB!AB27,KMB!AF27))=12)*(CHOOSE({1,2,3,4},KMB!W27,KMB!AA27,KMB!AE27,KMB!AI27)))</f>
        <v>0</v>
      </c>
    </row>
    <row r="28" spans="1:12">
      <c r="A28">
        <f>SUMPRODUCT((MONTH(CHOOSE({1,2,3,4},KMB!T28,KMB!X28,KMB!AB28,KMB!AF28))=1)*(CHOOSE({1,2,3,4},KMB!W28,KMB!AA28,KMB!AE28,KMB!AI28)))</f>
        <v>0</v>
      </c>
      <c r="B28">
        <f>SUMPRODUCT((MONTH(CHOOSE({1,2,3,4},KMB!T28,KMB!X28,KMB!AB28,KMB!AF28))=2)*(CHOOSE({1,2,3,4},KMB!W28,KMB!AA28,KMB!AE28,KMB!AI28)))</f>
        <v>0</v>
      </c>
      <c r="C28">
        <f>SUMPRODUCT((MONTH(CHOOSE({1,2,3,4},KMB!T28,KMB!X28,KMB!AB28,KMB!AF28))=3)*(CHOOSE({1,2,3,4},KMB!W28,KMB!AA28,KMB!AE28,KMB!AI28)))</f>
        <v>0</v>
      </c>
      <c r="D28">
        <f>SUMPRODUCT((MONTH(CHOOSE({1,2,3,4},KMB!T28,KMB!X28,KMB!AB28,KMB!AF28))=4)*(CHOOSE({1,2,3,4},KMB!W28,KMB!AA28,KMB!AE28,KMB!AI28)))</f>
        <v>0</v>
      </c>
      <c r="E28">
        <f>SUMPRODUCT((MONTH(CHOOSE({1,2,3,4},KMB!T28,KMB!X28,KMB!AB28,KMB!AF28))=5)*(CHOOSE({1,2,3,4},KMB!W28,KMB!AA28,KMB!AE28,KMB!AI28)))</f>
        <v>0</v>
      </c>
      <c r="F28">
        <f>SUMPRODUCT((MONTH(CHOOSE({1,2,3,4},KMB!T28,KMB!X28,KMB!AB28,KMB!AF28))=6)*(CHOOSE({1,2,3,4},KMB!W28,KMB!AA28,KMB!AE28,KMB!AI28)))</f>
        <v>0</v>
      </c>
      <c r="G28">
        <f>SUMPRODUCT((MONTH(CHOOSE({1,2,3,4},KMB!T28,KMB!X28,KMB!AB28,KMB!AF28))=7)*(CHOOSE({1,2,3,4},KMB!W28,KMB!AA28,KMB!AE28,KMB!AI28)))</f>
        <v>0</v>
      </c>
      <c r="H28">
        <f>SUMPRODUCT((MONTH(CHOOSE({1,2,3,4},KMB!T28,KMB!X28,KMB!AB28,KMB!AF28))=8)*(CHOOSE({1,2,3,4},KMB!W28,KMB!AA28,KMB!AE28,KMB!AI28)))</f>
        <v>0</v>
      </c>
      <c r="I28">
        <f>SUMPRODUCT((MONTH(CHOOSE({1,2,3,4},KMB!T28,KMB!X28,KMB!AB28,KMB!AF28))=9)*(CHOOSE({1,2,3,4},KMB!W28,KMB!AA28,KMB!AE28,KMB!AI28)))</f>
        <v>0</v>
      </c>
      <c r="J28">
        <f>SUMPRODUCT((MONTH(CHOOSE({1,2,3,4},KMB!T28,KMB!X28,KMB!AB28,KMB!AF28))=10)*(CHOOSE({1,2,3,4},KMB!W28,KMB!AA28,KMB!AE28,KMB!AI28)))</f>
        <v>0</v>
      </c>
      <c r="K28">
        <f>SUMPRODUCT((MONTH(CHOOSE({1,2,3,4},KMB!T28,KMB!X28,KMB!AB28,KMB!AF28))=11)*(CHOOSE({1,2,3,4},KMB!W28,KMB!AA28,KMB!AE28,KMB!AI28)))</f>
        <v>0</v>
      </c>
      <c r="L28">
        <f>SUMPRODUCT((MONTH(CHOOSE({1,2,3,4},KMB!T28,KMB!X28,KMB!AB28,KMB!AF28))=12)*(CHOOSE({1,2,3,4},KMB!W28,KMB!AA28,KMB!AE28,KMB!AI28)))</f>
        <v>0</v>
      </c>
    </row>
    <row r="29" spans="1:12">
      <c r="A29">
        <f>SUMPRODUCT((MONTH(CHOOSE({1,2,3,4},KMB!T29,KMB!X29,KMB!AB29,KMB!AF29))=1)*(CHOOSE({1,2,3,4},KMB!W29,KMB!AA29,KMB!AE29,KMB!AI29)))</f>
        <v>0</v>
      </c>
      <c r="B29">
        <f>SUMPRODUCT((MONTH(CHOOSE({1,2,3,4},KMB!T29,KMB!X29,KMB!AB29,KMB!AF29))=2)*(CHOOSE({1,2,3,4},KMB!W29,KMB!AA29,KMB!AE29,KMB!AI29)))</f>
        <v>0</v>
      </c>
      <c r="C29">
        <f>SUMPRODUCT((MONTH(CHOOSE({1,2,3,4},KMB!T29,KMB!X29,KMB!AB29,KMB!AF29))=3)*(CHOOSE({1,2,3,4},KMB!W29,KMB!AA29,KMB!AE29,KMB!AI29)))</f>
        <v>0</v>
      </c>
      <c r="D29">
        <f>SUMPRODUCT((MONTH(CHOOSE({1,2,3,4},KMB!T29,KMB!X29,KMB!AB29,KMB!AF29))=4)*(CHOOSE({1,2,3,4},KMB!W29,KMB!AA29,KMB!AE29,KMB!AI29)))</f>
        <v>0</v>
      </c>
      <c r="E29">
        <f>SUMPRODUCT((MONTH(CHOOSE({1,2,3,4},KMB!T29,KMB!X29,KMB!AB29,KMB!AF29))=5)*(CHOOSE({1,2,3,4},KMB!W29,KMB!AA29,KMB!AE29,KMB!AI29)))</f>
        <v>0</v>
      </c>
      <c r="F29">
        <f>SUMPRODUCT((MONTH(CHOOSE({1,2,3,4},KMB!T29,KMB!X29,KMB!AB29,KMB!AF29))=6)*(CHOOSE({1,2,3,4},KMB!W29,KMB!AA29,KMB!AE29,KMB!AI29)))</f>
        <v>0</v>
      </c>
      <c r="G29">
        <f>SUMPRODUCT((MONTH(CHOOSE({1,2,3,4},KMB!T29,KMB!X29,KMB!AB29,KMB!AF29))=7)*(CHOOSE({1,2,3,4},KMB!W29,KMB!AA29,KMB!AE29,KMB!AI29)))</f>
        <v>0</v>
      </c>
      <c r="H29">
        <f>SUMPRODUCT((MONTH(CHOOSE({1,2,3,4},KMB!T29,KMB!X29,KMB!AB29,KMB!AF29))=8)*(CHOOSE({1,2,3,4},KMB!W29,KMB!AA29,KMB!AE29,KMB!AI29)))</f>
        <v>0</v>
      </c>
      <c r="I29">
        <f>SUMPRODUCT((MONTH(CHOOSE({1,2,3,4},KMB!T29,KMB!X29,KMB!AB29,KMB!AF29))=9)*(CHOOSE({1,2,3,4},KMB!W29,KMB!AA29,KMB!AE29,KMB!AI29)))</f>
        <v>0</v>
      </c>
      <c r="J29">
        <f>SUMPRODUCT((MONTH(CHOOSE({1,2,3,4},KMB!T29,KMB!X29,KMB!AB29,KMB!AF29))=10)*(CHOOSE({1,2,3,4},KMB!W29,KMB!AA29,KMB!AE29,KMB!AI29)))</f>
        <v>0</v>
      </c>
      <c r="K29">
        <f>SUMPRODUCT((MONTH(CHOOSE({1,2,3,4},KMB!T29,KMB!X29,KMB!AB29,KMB!AF29))=11)*(CHOOSE({1,2,3,4},KMB!W29,KMB!AA29,KMB!AE29,KMB!AI29)))</f>
        <v>0</v>
      </c>
      <c r="L29">
        <f>SUMPRODUCT((MONTH(CHOOSE({1,2,3,4},KMB!T29,KMB!X29,KMB!AB29,KMB!AF29))=12)*(CHOOSE({1,2,3,4},KMB!W29,KMB!AA29,KMB!AE29,KMB!AI29)))</f>
        <v>0</v>
      </c>
    </row>
    <row r="30" spans="1:12">
      <c r="A30">
        <f>SUMPRODUCT((MONTH(CHOOSE({1,2,3,4},KMB!T30,KMB!X30,KMB!AB30,KMB!AF30))=1)*(CHOOSE({1,2,3,4},KMB!W30,KMB!AA30,KMB!AE30,KMB!AI30)))</f>
        <v>0</v>
      </c>
      <c r="B30">
        <f>SUMPRODUCT((MONTH(CHOOSE({1,2,3,4},KMB!T30,KMB!X30,KMB!AB30,KMB!AF30))=2)*(CHOOSE({1,2,3,4},KMB!W30,KMB!AA30,KMB!AE30,KMB!AI30)))</f>
        <v>0</v>
      </c>
      <c r="C30">
        <f>SUMPRODUCT((MONTH(CHOOSE({1,2,3,4},KMB!T30,KMB!X30,KMB!AB30,KMB!AF30))=3)*(CHOOSE({1,2,3,4},KMB!W30,KMB!AA30,KMB!AE30,KMB!AI30)))</f>
        <v>0</v>
      </c>
      <c r="D30">
        <f>SUMPRODUCT((MONTH(CHOOSE({1,2,3,4},KMB!T30,KMB!X30,KMB!AB30,KMB!AF30))=4)*(CHOOSE({1,2,3,4},KMB!W30,KMB!AA30,KMB!AE30,KMB!AI30)))</f>
        <v>0</v>
      </c>
      <c r="E30">
        <f>SUMPRODUCT((MONTH(CHOOSE({1,2,3,4},KMB!T30,KMB!X30,KMB!AB30,KMB!AF30))=5)*(CHOOSE({1,2,3,4},KMB!W30,KMB!AA30,KMB!AE30,KMB!AI30)))</f>
        <v>0</v>
      </c>
      <c r="F30">
        <f>SUMPRODUCT((MONTH(CHOOSE({1,2,3,4},KMB!T30,KMB!X30,KMB!AB30,KMB!AF30))=6)*(CHOOSE({1,2,3,4},KMB!W30,KMB!AA30,KMB!AE30,KMB!AI30)))</f>
        <v>0</v>
      </c>
      <c r="G30">
        <f>SUMPRODUCT((MONTH(CHOOSE({1,2,3,4},KMB!T30,KMB!X30,KMB!AB30,KMB!AF30))=7)*(CHOOSE({1,2,3,4},KMB!W30,KMB!AA30,KMB!AE30,KMB!AI30)))</f>
        <v>0</v>
      </c>
      <c r="H30">
        <f>SUMPRODUCT((MONTH(CHOOSE({1,2,3,4},KMB!T30,KMB!X30,KMB!AB30,KMB!AF30))=8)*(CHOOSE({1,2,3,4},KMB!W30,KMB!AA30,KMB!AE30,KMB!AI30)))</f>
        <v>0</v>
      </c>
      <c r="I30">
        <f>SUMPRODUCT((MONTH(CHOOSE({1,2,3,4},KMB!T30,KMB!X30,KMB!AB30,KMB!AF30))=9)*(CHOOSE({1,2,3,4},KMB!W30,KMB!AA30,KMB!AE30,KMB!AI30)))</f>
        <v>0</v>
      </c>
      <c r="J30">
        <f>SUMPRODUCT((MONTH(CHOOSE({1,2,3,4},KMB!T30,KMB!X30,KMB!AB30,KMB!AF30))=10)*(CHOOSE({1,2,3,4},KMB!W30,KMB!AA30,KMB!AE30,KMB!AI30)))</f>
        <v>0</v>
      </c>
      <c r="K30">
        <f>SUMPRODUCT((MONTH(CHOOSE({1,2,3,4},KMB!T30,KMB!X30,KMB!AB30,KMB!AF30))=11)*(CHOOSE({1,2,3,4},KMB!W30,KMB!AA30,KMB!AE30,KMB!AI30)))</f>
        <v>0</v>
      </c>
      <c r="L30">
        <f>SUMPRODUCT((MONTH(CHOOSE({1,2,3,4},KMB!T30,KMB!X30,KMB!AB30,KMB!AF30))=12)*(CHOOSE({1,2,3,4},KMB!W30,KMB!AA30,KMB!AE30,KMB!AI30)))</f>
        <v>0</v>
      </c>
    </row>
    <row r="31" spans="1:12">
      <c r="A31">
        <f>SUMPRODUCT((MONTH(CHOOSE({1,2,3,4},KMB!T31,KMB!X31,KMB!AB31,KMB!AF31))=1)*(CHOOSE({1,2,3,4},KMB!W31,KMB!AA31,KMB!AE31,KMB!AI31)))</f>
        <v>0</v>
      </c>
      <c r="B31">
        <f>SUMPRODUCT((MONTH(CHOOSE({1,2,3,4},KMB!T31,KMB!X31,KMB!AB31,KMB!AF31))=2)*(CHOOSE({1,2,3,4},KMB!W31,KMB!AA31,KMB!AE31,KMB!AI31)))</f>
        <v>0</v>
      </c>
      <c r="C31">
        <f>SUMPRODUCT((MONTH(CHOOSE({1,2,3,4},KMB!T31,KMB!X31,KMB!AB31,KMB!AF31))=3)*(CHOOSE({1,2,3,4},KMB!W31,KMB!AA31,KMB!AE31,KMB!AI31)))</f>
        <v>0</v>
      </c>
      <c r="D31">
        <f>SUMPRODUCT((MONTH(CHOOSE({1,2,3,4},KMB!T31,KMB!X31,KMB!AB31,KMB!AF31))=4)*(CHOOSE({1,2,3,4},KMB!W31,KMB!AA31,KMB!AE31,KMB!AI31)))</f>
        <v>0</v>
      </c>
      <c r="E31">
        <f>SUMPRODUCT((MONTH(CHOOSE({1,2,3,4},KMB!T31,KMB!X31,KMB!AB31,KMB!AF31))=5)*(CHOOSE({1,2,3,4},KMB!W31,KMB!AA31,KMB!AE31,KMB!AI31)))</f>
        <v>0</v>
      </c>
      <c r="F31">
        <f>SUMPRODUCT((MONTH(CHOOSE({1,2,3,4},KMB!T31,KMB!X31,KMB!AB31,KMB!AF31))=6)*(CHOOSE({1,2,3,4},KMB!W31,KMB!AA31,KMB!AE31,KMB!AI31)))</f>
        <v>0</v>
      </c>
      <c r="G31">
        <f>SUMPRODUCT((MONTH(CHOOSE({1,2,3,4},KMB!T31,KMB!X31,KMB!AB31,KMB!AF31))=7)*(CHOOSE({1,2,3,4},KMB!W31,KMB!AA31,KMB!AE31,KMB!AI31)))</f>
        <v>0</v>
      </c>
      <c r="H31">
        <f>SUMPRODUCT((MONTH(CHOOSE({1,2,3,4},KMB!T31,KMB!X31,KMB!AB31,KMB!AF31))=8)*(CHOOSE({1,2,3,4},KMB!W31,KMB!AA31,KMB!AE31,KMB!AI31)))</f>
        <v>0</v>
      </c>
      <c r="I31">
        <f>SUMPRODUCT((MONTH(CHOOSE({1,2,3,4},KMB!T31,KMB!X31,KMB!AB31,KMB!AF31))=9)*(CHOOSE({1,2,3,4},KMB!W31,KMB!AA31,KMB!AE31,KMB!AI31)))</f>
        <v>0</v>
      </c>
      <c r="J31">
        <f>SUMPRODUCT((MONTH(CHOOSE({1,2,3,4},KMB!T31,KMB!X31,KMB!AB31,KMB!AF31))=10)*(CHOOSE({1,2,3,4},KMB!W31,KMB!AA31,KMB!AE31,KMB!AI31)))</f>
        <v>0</v>
      </c>
      <c r="K31">
        <f>SUMPRODUCT((MONTH(CHOOSE({1,2,3,4},KMB!T31,KMB!X31,KMB!AB31,KMB!AF31))=11)*(CHOOSE({1,2,3,4},KMB!W31,KMB!AA31,KMB!AE31,KMB!AI31)))</f>
        <v>0</v>
      </c>
      <c r="L31">
        <f>SUMPRODUCT((MONTH(CHOOSE({1,2,3,4},KMB!T31,KMB!X31,KMB!AB31,KMB!AF31))=12)*(CHOOSE({1,2,3,4},KMB!W31,KMB!AA31,KMB!AE31,KMB!AI31)))</f>
        <v>0</v>
      </c>
    </row>
    <row r="32" spans="1:12">
      <c r="A32">
        <f>SUMPRODUCT((MONTH(CHOOSE({1,2,3,4},KMB!T32,KMB!X32,KMB!AB32,KMB!AF32))=1)*(CHOOSE({1,2,3,4},KMB!W32,KMB!AA32,KMB!AE32,KMB!AI32)))</f>
        <v>0</v>
      </c>
      <c r="B32">
        <f>SUMPRODUCT((MONTH(CHOOSE({1,2,3,4},KMB!T32,KMB!X32,KMB!AB32,KMB!AF32))=2)*(CHOOSE({1,2,3,4},KMB!W32,KMB!AA32,KMB!AE32,KMB!AI32)))</f>
        <v>0</v>
      </c>
      <c r="C32">
        <f>SUMPRODUCT((MONTH(CHOOSE({1,2,3,4},KMB!T32,KMB!X32,KMB!AB32,KMB!AF32))=3)*(CHOOSE({1,2,3,4},KMB!W32,KMB!AA32,KMB!AE32,KMB!AI32)))</f>
        <v>0</v>
      </c>
      <c r="D32">
        <f>SUMPRODUCT((MONTH(CHOOSE({1,2,3,4},KMB!T32,KMB!X32,KMB!AB32,KMB!AF32))=4)*(CHOOSE({1,2,3,4},KMB!W32,KMB!AA32,KMB!AE32,KMB!AI32)))</f>
        <v>0</v>
      </c>
      <c r="E32">
        <f>SUMPRODUCT((MONTH(CHOOSE({1,2,3,4},KMB!T32,KMB!X32,KMB!AB32,KMB!AF32))=5)*(CHOOSE({1,2,3,4},KMB!W32,KMB!AA32,KMB!AE32,KMB!AI32)))</f>
        <v>0</v>
      </c>
      <c r="F32">
        <f>SUMPRODUCT((MONTH(CHOOSE({1,2,3,4},KMB!T32,KMB!X32,KMB!AB32,KMB!AF32))=6)*(CHOOSE({1,2,3,4},KMB!W32,KMB!AA32,KMB!AE32,KMB!AI32)))</f>
        <v>0</v>
      </c>
      <c r="G32">
        <f>SUMPRODUCT((MONTH(CHOOSE({1,2,3,4},KMB!T32,KMB!X32,KMB!AB32,KMB!AF32))=7)*(CHOOSE({1,2,3,4},KMB!W32,KMB!AA32,KMB!AE32,KMB!AI32)))</f>
        <v>0</v>
      </c>
      <c r="H32">
        <f>SUMPRODUCT((MONTH(CHOOSE({1,2,3,4},KMB!T32,KMB!X32,KMB!AB32,KMB!AF32))=8)*(CHOOSE({1,2,3,4},KMB!W32,KMB!AA32,KMB!AE32,KMB!AI32)))</f>
        <v>0</v>
      </c>
      <c r="I32">
        <f>SUMPRODUCT((MONTH(CHOOSE({1,2,3,4},KMB!T32,KMB!X32,KMB!AB32,KMB!AF32))=9)*(CHOOSE({1,2,3,4},KMB!W32,KMB!AA32,KMB!AE32,KMB!AI32)))</f>
        <v>0</v>
      </c>
      <c r="J32">
        <f>SUMPRODUCT((MONTH(CHOOSE({1,2,3,4},KMB!T32,KMB!X32,KMB!AB32,KMB!AF32))=10)*(CHOOSE({1,2,3,4},KMB!W32,KMB!AA32,KMB!AE32,KMB!AI32)))</f>
        <v>0</v>
      </c>
      <c r="K32">
        <f>SUMPRODUCT((MONTH(CHOOSE({1,2,3,4},KMB!T32,KMB!X32,KMB!AB32,KMB!AF32))=11)*(CHOOSE({1,2,3,4},KMB!W32,KMB!AA32,KMB!AE32,KMB!AI32)))</f>
        <v>0</v>
      </c>
      <c r="L32">
        <f>SUMPRODUCT((MONTH(CHOOSE({1,2,3,4},KMB!T32,KMB!X32,KMB!AB32,KMB!AF32))=12)*(CHOOSE({1,2,3,4},KMB!W32,KMB!AA32,KMB!AE32,KMB!AI32)))</f>
        <v>0</v>
      </c>
    </row>
    <row r="33" spans="1:12">
      <c r="A33">
        <f>SUMPRODUCT((MONTH(CHOOSE({1,2,3,4},KMB!T33,KMB!X33,KMB!AB33,KMB!AF33))=1)*(CHOOSE({1,2,3,4},KMB!W33,KMB!AA33,KMB!AE33,KMB!AI33)))</f>
        <v>0</v>
      </c>
      <c r="B33">
        <f>SUMPRODUCT((MONTH(CHOOSE({1,2,3,4},KMB!T33,KMB!X33,KMB!AB33,KMB!AF33))=2)*(CHOOSE({1,2,3,4},KMB!W33,KMB!AA33,KMB!AE33,KMB!AI33)))</f>
        <v>0</v>
      </c>
      <c r="C33">
        <f>SUMPRODUCT((MONTH(CHOOSE({1,2,3,4},KMB!T33,KMB!X33,KMB!AB33,KMB!AF33))=3)*(CHOOSE({1,2,3,4},KMB!W33,KMB!AA33,KMB!AE33,KMB!AI33)))</f>
        <v>0</v>
      </c>
      <c r="D33">
        <f>SUMPRODUCT((MONTH(CHOOSE({1,2,3,4},KMB!T33,KMB!X33,KMB!AB33,KMB!AF33))=4)*(CHOOSE({1,2,3,4},KMB!W33,KMB!AA33,KMB!AE33,KMB!AI33)))</f>
        <v>0</v>
      </c>
      <c r="E33">
        <f>SUMPRODUCT((MONTH(CHOOSE({1,2,3,4},KMB!T33,KMB!X33,KMB!AB33,KMB!AF33))=5)*(CHOOSE({1,2,3,4},KMB!W33,KMB!AA33,KMB!AE33,KMB!AI33)))</f>
        <v>0</v>
      </c>
      <c r="F33">
        <f>SUMPRODUCT((MONTH(CHOOSE({1,2,3,4},KMB!T33,KMB!X33,KMB!AB33,KMB!AF33))=6)*(CHOOSE({1,2,3,4},KMB!W33,KMB!AA33,KMB!AE33,KMB!AI33)))</f>
        <v>0</v>
      </c>
      <c r="G33">
        <f>SUMPRODUCT((MONTH(CHOOSE({1,2,3,4},KMB!T33,KMB!X33,KMB!AB33,KMB!AF33))=7)*(CHOOSE({1,2,3,4},KMB!W33,KMB!AA33,KMB!AE33,KMB!AI33)))</f>
        <v>0</v>
      </c>
      <c r="H33">
        <f>SUMPRODUCT((MONTH(CHOOSE({1,2,3,4},KMB!T33,KMB!X33,KMB!AB33,KMB!AF33))=8)*(CHOOSE({1,2,3,4},KMB!W33,KMB!AA33,KMB!AE33,KMB!AI33)))</f>
        <v>0</v>
      </c>
      <c r="I33">
        <f>SUMPRODUCT((MONTH(CHOOSE({1,2,3,4},KMB!T33,KMB!X33,KMB!AB33,KMB!AF33))=9)*(CHOOSE({1,2,3,4},KMB!W33,KMB!AA33,KMB!AE33,KMB!AI33)))</f>
        <v>0</v>
      </c>
      <c r="J33">
        <f>SUMPRODUCT((MONTH(CHOOSE({1,2,3,4},KMB!T33,KMB!X33,KMB!AB33,KMB!AF33))=10)*(CHOOSE({1,2,3,4},KMB!W33,KMB!AA33,KMB!AE33,KMB!AI33)))</f>
        <v>0</v>
      </c>
      <c r="K33">
        <f>SUMPRODUCT((MONTH(CHOOSE({1,2,3,4},KMB!T33,KMB!X33,KMB!AB33,KMB!AF33))=11)*(CHOOSE({1,2,3,4},KMB!W33,KMB!AA33,KMB!AE33,KMB!AI33)))</f>
        <v>0</v>
      </c>
      <c r="L33">
        <f>SUMPRODUCT((MONTH(CHOOSE({1,2,3,4},KMB!T33,KMB!X33,KMB!AB33,KMB!AF33))=12)*(CHOOSE({1,2,3,4},KMB!W33,KMB!AA33,KMB!AE33,KMB!AI33)))</f>
        <v>0</v>
      </c>
    </row>
    <row r="34" spans="1:12">
      <c r="A34">
        <f>SUMPRODUCT((MONTH(CHOOSE({1,2,3,4},KMB!T34,KMB!X34,KMB!AB34,KMB!AF34))=1)*(CHOOSE({1,2,3,4},KMB!W34,KMB!AA34,KMB!AE34,KMB!AI34)))</f>
        <v>0</v>
      </c>
      <c r="B34">
        <f>SUMPRODUCT((MONTH(CHOOSE({1,2,3,4},KMB!T34,KMB!X34,KMB!AB34,KMB!AF34))=2)*(CHOOSE({1,2,3,4},KMB!W34,KMB!AA34,KMB!AE34,KMB!AI34)))</f>
        <v>0</v>
      </c>
      <c r="C34">
        <f>SUMPRODUCT((MONTH(CHOOSE({1,2,3,4},KMB!T34,KMB!X34,KMB!AB34,KMB!AF34))=3)*(CHOOSE({1,2,3,4},KMB!W34,KMB!AA34,KMB!AE34,KMB!AI34)))</f>
        <v>0</v>
      </c>
      <c r="D34">
        <f>SUMPRODUCT((MONTH(CHOOSE({1,2,3,4},KMB!T34,KMB!X34,KMB!AB34,KMB!AF34))=4)*(CHOOSE({1,2,3,4},KMB!W34,KMB!AA34,KMB!AE34,KMB!AI34)))</f>
        <v>0</v>
      </c>
      <c r="E34">
        <f>SUMPRODUCT((MONTH(CHOOSE({1,2,3,4},KMB!T34,KMB!X34,KMB!AB34,KMB!AF34))=5)*(CHOOSE({1,2,3,4},KMB!W34,KMB!AA34,KMB!AE34,KMB!AI34)))</f>
        <v>0</v>
      </c>
      <c r="F34">
        <f>SUMPRODUCT((MONTH(CHOOSE({1,2,3,4},KMB!T34,KMB!X34,KMB!AB34,KMB!AF34))=6)*(CHOOSE({1,2,3,4},KMB!W34,KMB!AA34,KMB!AE34,KMB!AI34)))</f>
        <v>0</v>
      </c>
      <c r="G34">
        <f>SUMPRODUCT((MONTH(CHOOSE({1,2,3,4},KMB!T34,KMB!X34,KMB!AB34,KMB!AF34))=7)*(CHOOSE({1,2,3,4},KMB!W34,KMB!AA34,KMB!AE34,KMB!AI34)))</f>
        <v>0</v>
      </c>
      <c r="H34">
        <f>SUMPRODUCT((MONTH(CHOOSE({1,2,3,4},KMB!T34,KMB!X34,KMB!AB34,KMB!AF34))=8)*(CHOOSE({1,2,3,4},KMB!W34,KMB!AA34,KMB!AE34,KMB!AI34)))</f>
        <v>0</v>
      </c>
      <c r="I34">
        <f>SUMPRODUCT((MONTH(CHOOSE({1,2,3,4},KMB!T34,KMB!X34,KMB!AB34,KMB!AF34))=9)*(CHOOSE({1,2,3,4},KMB!W34,KMB!AA34,KMB!AE34,KMB!AI34)))</f>
        <v>0</v>
      </c>
      <c r="J34">
        <f>SUMPRODUCT((MONTH(CHOOSE({1,2,3,4},KMB!T34,KMB!X34,KMB!AB34,KMB!AF34))=10)*(CHOOSE({1,2,3,4},KMB!W34,KMB!AA34,KMB!AE34,KMB!AI34)))</f>
        <v>0</v>
      </c>
      <c r="K34">
        <f>SUMPRODUCT((MONTH(CHOOSE({1,2,3,4},KMB!T34,KMB!X34,KMB!AB34,KMB!AF34))=11)*(CHOOSE({1,2,3,4},KMB!W34,KMB!AA34,KMB!AE34,KMB!AI34)))</f>
        <v>0</v>
      </c>
      <c r="L34">
        <f>SUMPRODUCT((MONTH(CHOOSE({1,2,3,4},KMB!T34,KMB!X34,KMB!AB34,KMB!AF34))=12)*(CHOOSE({1,2,3,4},KMB!W34,KMB!AA34,KMB!AE34,KMB!AI34)))</f>
        <v>0</v>
      </c>
    </row>
    <row r="35" spans="1:12">
      <c r="A35">
        <f>SUMPRODUCT((MONTH(CHOOSE({1,2,3,4},KMB!T35,KMB!X35,KMB!AB35,KMB!AF35))=1)*(CHOOSE({1,2,3,4},KMB!W35,KMB!AA35,KMB!AE35,KMB!AI35)))</f>
        <v>0</v>
      </c>
      <c r="B35">
        <f>SUMPRODUCT((MONTH(CHOOSE({1,2,3,4},KMB!T35,KMB!X35,KMB!AB35,KMB!AF35))=2)*(CHOOSE({1,2,3,4},KMB!W35,KMB!AA35,KMB!AE35,KMB!AI35)))</f>
        <v>0</v>
      </c>
      <c r="C35">
        <f>SUMPRODUCT((MONTH(CHOOSE({1,2,3,4},KMB!T35,KMB!X35,KMB!AB35,KMB!AF35))=3)*(CHOOSE({1,2,3,4},KMB!W35,KMB!AA35,KMB!AE35,KMB!AI35)))</f>
        <v>0</v>
      </c>
      <c r="D35">
        <f>SUMPRODUCT((MONTH(CHOOSE({1,2,3,4},KMB!T35,KMB!X35,KMB!AB35,KMB!AF35))=4)*(CHOOSE({1,2,3,4},KMB!W35,KMB!AA35,KMB!AE35,KMB!AI35)))</f>
        <v>0</v>
      </c>
      <c r="E35">
        <f>SUMPRODUCT((MONTH(CHOOSE({1,2,3,4},KMB!T35,KMB!X35,KMB!AB35,KMB!AF35))=5)*(CHOOSE({1,2,3,4},KMB!W35,KMB!AA35,KMB!AE35,KMB!AI35)))</f>
        <v>0</v>
      </c>
      <c r="F35">
        <f>SUMPRODUCT((MONTH(CHOOSE({1,2,3,4},KMB!T35,KMB!X35,KMB!AB35,KMB!AF35))=6)*(CHOOSE({1,2,3,4},KMB!W35,KMB!AA35,KMB!AE35,KMB!AI35)))</f>
        <v>0</v>
      </c>
      <c r="G35">
        <f>SUMPRODUCT((MONTH(CHOOSE({1,2,3,4},KMB!T35,KMB!X35,KMB!AB35,KMB!AF35))=7)*(CHOOSE({1,2,3,4},KMB!W35,KMB!AA35,KMB!AE35,KMB!AI35)))</f>
        <v>0</v>
      </c>
      <c r="H35">
        <f>SUMPRODUCT((MONTH(CHOOSE({1,2,3,4},KMB!T35,KMB!X35,KMB!AB35,KMB!AF35))=8)*(CHOOSE({1,2,3,4},KMB!W35,KMB!AA35,KMB!AE35,KMB!AI35)))</f>
        <v>0</v>
      </c>
      <c r="I35">
        <f>SUMPRODUCT((MONTH(CHOOSE({1,2,3,4},KMB!T35,KMB!X35,KMB!AB35,KMB!AF35))=9)*(CHOOSE({1,2,3,4},KMB!W35,KMB!AA35,KMB!AE35,KMB!AI35)))</f>
        <v>0</v>
      </c>
      <c r="J35">
        <f>SUMPRODUCT((MONTH(CHOOSE({1,2,3,4},KMB!T35,KMB!X35,KMB!AB35,KMB!AF35))=10)*(CHOOSE({1,2,3,4},KMB!W35,KMB!AA35,KMB!AE35,KMB!AI35)))</f>
        <v>0</v>
      </c>
      <c r="K35">
        <f>SUMPRODUCT((MONTH(CHOOSE({1,2,3,4},KMB!T35,KMB!X35,KMB!AB35,KMB!AF35))=11)*(CHOOSE({1,2,3,4},KMB!W35,KMB!AA35,KMB!AE35,KMB!AI35)))</f>
        <v>0</v>
      </c>
      <c r="L35">
        <f>SUMPRODUCT((MONTH(CHOOSE({1,2,3,4},KMB!T35,KMB!X35,KMB!AB35,KMB!AF35))=12)*(CHOOSE({1,2,3,4},KMB!W35,KMB!AA35,KMB!AE35,KMB!AI35)))</f>
        <v>0</v>
      </c>
    </row>
    <row r="36" spans="1:12">
      <c r="A36">
        <f>SUMPRODUCT((MONTH(CHOOSE({1,2,3,4},KMB!T36,KMB!X36,KMB!AB36,KMB!AF36))=1)*(CHOOSE({1,2,3,4},KMB!W36,KMB!AA36,KMB!AE36,KMB!AI36)))</f>
        <v>0</v>
      </c>
      <c r="B36">
        <f>SUMPRODUCT((MONTH(CHOOSE({1,2,3,4},KMB!T36,KMB!X36,KMB!AB36,KMB!AF36))=2)*(CHOOSE({1,2,3,4},KMB!W36,KMB!AA36,KMB!AE36,KMB!AI36)))</f>
        <v>0</v>
      </c>
      <c r="C36">
        <f>SUMPRODUCT((MONTH(CHOOSE({1,2,3,4},KMB!T36,KMB!X36,KMB!AB36,KMB!AF36))=3)*(CHOOSE({1,2,3,4},KMB!W36,KMB!AA36,KMB!AE36,KMB!AI36)))</f>
        <v>0</v>
      </c>
      <c r="D36">
        <f>SUMPRODUCT((MONTH(CHOOSE({1,2,3,4},KMB!T36,KMB!X36,KMB!AB36,KMB!AF36))=4)*(CHOOSE({1,2,3,4},KMB!W36,KMB!AA36,KMB!AE36,KMB!AI36)))</f>
        <v>0</v>
      </c>
      <c r="E36">
        <f>SUMPRODUCT((MONTH(CHOOSE({1,2,3,4},KMB!T36,KMB!X36,KMB!AB36,KMB!AF36))=5)*(CHOOSE({1,2,3,4},KMB!W36,KMB!AA36,KMB!AE36,KMB!AI36)))</f>
        <v>0</v>
      </c>
      <c r="F36">
        <f>SUMPRODUCT((MONTH(CHOOSE({1,2,3,4},KMB!T36,KMB!X36,KMB!AB36,KMB!AF36))=6)*(CHOOSE({1,2,3,4},KMB!W36,KMB!AA36,KMB!AE36,KMB!AI36)))</f>
        <v>0</v>
      </c>
      <c r="G36">
        <f>SUMPRODUCT((MONTH(CHOOSE({1,2,3,4},KMB!T36,KMB!X36,KMB!AB36,KMB!AF36))=7)*(CHOOSE({1,2,3,4},KMB!W36,KMB!AA36,KMB!AE36,KMB!AI36)))</f>
        <v>0</v>
      </c>
      <c r="H36">
        <f>SUMPRODUCT((MONTH(CHOOSE({1,2,3,4},KMB!T36,KMB!X36,KMB!AB36,KMB!AF36))=8)*(CHOOSE({1,2,3,4},KMB!W36,KMB!AA36,KMB!AE36,KMB!AI36)))</f>
        <v>0</v>
      </c>
      <c r="I36">
        <f>SUMPRODUCT((MONTH(CHOOSE({1,2,3,4},KMB!T36,KMB!X36,KMB!AB36,KMB!AF36))=9)*(CHOOSE({1,2,3,4},KMB!W36,KMB!AA36,KMB!AE36,KMB!AI36)))</f>
        <v>0</v>
      </c>
      <c r="J36">
        <f>SUMPRODUCT((MONTH(CHOOSE({1,2,3,4},KMB!T36,KMB!X36,KMB!AB36,KMB!AF36))=10)*(CHOOSE({1,2,3,4},KMB!W36,KMB!AA36,KMB!AE36,KMB!AI36)))</f>
        <v>0</v>
      </c>
      <c r="K36">
        <f>SUMPRODUCT((MONTH(CHOOSE({1,2,3,4},KMB!T36,KMB!X36,KMB!AB36,KMB!AF36))=11)*(CHOOSE({1,2,3,4},KMB!W36,KMB!AA36,KMB!AE36,KMB!AI36)))</f>
        <v>0</v>
      </c>
      <c r="L36">
        <f>SUMPRODUCT((MONTH(CHOOSE({1,2,3,4},KMB!T36,KMB!X36,KMB!AB36,KMB!AF36))=12)*(CHOOSE({1,2,3,4},KMB!W36,KMB!AA36,KMB!AE36,KMB!AI36)))</f>
        <v>0</v>
      </c>
    </row>
    <row r="37" spans="1:12">
      <c r="A37">
        <f>SUMPRODUCT((MONTH(CHOOSE({1,2,3,4},KMB!T37,KMB!X37,KMB!AB37,KMB!AF37))=1)*(CHOOSE({1,2,3,4},KMB!W37,KMB!AA37,KMB!AE37,KMB!AI37)))</f>
        <v>0</v>
      </c>
      <c r="B37">
        <f>SUMPRODUCT((MONTH(CHOOSE({1,2,3,4},KMB!T37,KMB!X37,KMB!AB37,KMB!AF37))=2)*(CHOOSE({1,2,3,4},KMB!W37,KMB!AA37,KMB!AE37,KMB!AI37)))</f>
        <v>0</v>
      </c>
      <c r="C37">
        <f>SUMPRODUCT((MONTH(CHOOSE({1,2,3,4},KMB!T37,KMB!X37,KMB!AB37,KMB!AF37))=3)*(CHOOSE({1,2,3,4},KMB!W37,KMB!AA37,KMB!AE37,KMB!AI37)))</f>
        <v>0</v>
      </c>
      <c r="D37">
        <f>SUMPRODUCT((MONTH(CHOOSE({1,2,3,4},KMB!T37,KMB!X37,KMB!AB37,KMB!AF37))=4)*(CHOOSE({1,2,3,4},KMB!W37,KMB!AA37,KMB!AE37,KMB!AI37)))</f>
        <v>0</v>
      </c>
      <c r="E37">
        <f>SUMPRODUCT((MONTH(CHOOSE({1,2,3,4},KMB!T37,KMB!X37,KMB!AB37,KMB!AF37))=5)*(CHOOSE({1,2,3,4},KMB!W37,KMB!AA37,KMB!AE37,KMB!AI37)))</f>
        <v>0</v>
      </c>
      <c r="F37">
        <f>SUMPRODUCT((MONTH(CHOOSE({1,2,3,4},KMB!T37,KMB!X37,KMB!AB37,KMB!AF37))=6)*(CHOOSE({1,2,3,4},KMB!W37,KMB!AA37,KMB!AE37,KMB!AI37)))</f>
        <v>0</v>
      </c>
      <c r="G37">
        <f>SUMPRODUCT((MONTH(CHOOSE({1,2,3,4},KMB!T37,KMB!X37,KMB!AB37,KMB!AF37))=7)*(CHOOSE({1,2,3,4},KMB!W37,KMB!AA37,KMB!AE37,KMB!AI37)))</f>
        <v>0</v>
      </c>
      <c r="H37">
        <f>SUMPRODUCT((MONTH(CHOOSE({1,2,3,4},KMB!T37,KMB!X37,KMB!AB37,KMB!AF37))=8)*(CHOOSE({1,2,3,4},KMB!W37,KMB!AA37,KMB!AE37,KMB!AI37)))</f>
        <v>0</v>
      </c>
      <c r="I37">
        <f>SUMPRODUCT((MONTH(CHOOSE({1,2,3,4},KMB!T37,KMB!X37,KMB!AB37,KMB!AF37))=9)*(CHOOSE({1,2,3,4},KMB!W37,KMB!AA37,KMB!AE37,KMB!AI37)))</f>
        <v>0</v>
      </c>
      <c r="J37">
        <f>SUMPRODUCT((MONTH(CHOOSE({1,2,3,4},KMB!T37,KMB!X37,KMB!AB37,KMB!AF37))=10)*(CHOOSE({1,2,3,4},KMB!W37,KMB!AA37,KMB!AE37,KMB!AI37)))</f>
        <v>0</v>
      </c>
      <c r="K37">
        <f>SUMPRODUCT((MONTH(CHOOSE({1,2,3,4},KMB!T37,KMB!X37,KMB!AB37,KMB!AF37))=11)*(CHOOSE({1,2,3,4},KMB!W37,KMB!AA37,KMB!AE37,KMB!AI37)))</f>
        <v>0</v>
      </c>
      <c r="L37">
        <f>SUMPRODUCT((MONTH(CHOOSE({1,2,3,4},KMB!T37,KMB!X37,KMB!AB37,KMB!AF37))=12)*(CHOOSE({1,2,3,4},KMB!W37,KMB!AA37,KMB!AE37,KMB!AI37)))</f>
        <v>0</v>
      </c>
    </row>
    <row r="38" spans="1:12">
      <c r="A38">
        <f>SUMPRODUCT((MONTH(CHOOSE({1,2,3,4},KMB!T38,KMB!X38,KMB!AB38,KMB!AF38))=1)*(CHOOSE({1,2,3,4},KMB!W38,KMB!AA38,KMB!AE38,KMB!AI38)))</f>
        <v>0</v>
      </c>
      <c r="B38">
        <f>SUMPRODUCT((MONTH(CHOOSE({1,2,3,4},KMB!T38,KMB!X38,KMB!AB38,KMB!AF38))=2)*(CHOOSE({1,2,3,4},KMB!W38,KMB!AA38,KMB!AE38,KMB!AI38)))</f>
        <v>0</v>
      </c>
      <c r="C38">
        <f>SUMPRODUCT((MONTH(CHOOSE({1,2,3,4},KMB!T38,KMB!X38,KMB!AB38,KMB!AF38))=3)*(CHOOSE({1,2,3,4},KMB!W38,KMB!AA38,KMB!AE38,KMB!AI38)))</f>
        <v>0</v>
      </c>
      <c r="D38">
        <f>SUMPRODUCT((MONTH(CHOOSE({1,2,3,4},KMB!T38,KMB!X38,KMB!AB38,KMB!AF38))=4)*(CHOOSE({1,2,3,4},KMB!W38,KMB!AA38,KMB!AE38,KMB!AI38)))</f>
        <v>0</v>
      </c>
      <c r="E38">
        <f>SUMPRODUCT((MONTH(CHOOSE({1,2,3,4},KMB!T38,KMB!X38,KMB!AB38,KMB!AF38))=5)*(CHOOSE({1,2,3,4},KMB!W38,KMB!AA38,KMB!AE38,KMB!AI38)))</f>
        <v>0</v>
      </c>
      <c r="F38">
        <f>SUMPRODUCT((MONTH(CHOOSE({1,2,3,4},KMB!T38,KMB!X38,KMB!AB38,KMB!AF38))=6)*(CHOOSE({1,2,3,4},KMB!W38,KMB!AA38,KMB!AE38,KMB!AI38)))</f>
        <v>0</v>
      </c>
      <c r="G38">
        <f>SUMPRODUCT((MONTH(CHOOSE({1,2,3,4},KMB!T38,KMB!X38,KMB!AB38,KMB!AF38))=7)*(CHOOSE({1,2,3,4},KMB!W38,KMB!AA38,KMB!AE38,KMB!AI38)))</f>
        <v>0</v>
      </c>
      <c r="H38">
        <f>SUMPRODUCT((MONTH(CHOOSE({1,2,3,4},KMB!T38,KMB!X38,KMB!AB38,KMB!AF38))=8)*(CHOOSE({1,2,3,4},KMB!W38,KMB!AA38,KMB!AE38,KMB!AI38)))</f>
        <v>0</v>
      </c>
      <c r="I38">
        <f>SUMPRODUCT((MONTH(CHOOSE({1,2,3,4},KMB!T38,KMB!X38,KMB!AB38,KMB!AF38))=9)*(CHOOSE({1,2,3,4},KMB!W38,KMB!AA38,KMB!AE38,KMB!AI38)))</f>
        <v>0</v>
      </c>
      <c r="J38">
        <f>SUMPRODUCT((MONTH(CHOOSE({1,2,3,4},KMB!T38,KMB!X38,KMB!AB38,KMB!AF38))=10)*(CHOOSE({1,2,3,4},KMB!W38,KMB!AA38,KMB!AE38,KMB!AI38)))</f>
        <v>0</v>
      </c>
      <c r="K38">
        <f>SUMPRODUCT((MONTH(CHOOSE({1,2,3,4},KMB!T38,KMB!X38,KMB!AB38,KMB!AF38))=11)*(CHOOSE({1,2,3,4},KMB!W38,KMB!AA38,KMB!AE38,KMB!AI38)))</f>
        <v>0</v>
      </c>
      <c r="L38">
        <f>SUMPRODUCT((MONTH(CHOOSE({1,2,3,4},KMB!T38,KMB!X38,KMB!AB38,KMB!AF38))=12)*(CHOOSE({1,2,3,4},KMB!W38,KMB!AA38,KMB!AE38,KMB!AI38)))</f>
        <v>0</v>
      </c>
    </row>
    <row r="39" spans="1:12">
      <c r="A39">
        <f>SUMPRODUCT((MONTH(CHOOSE({1,2,3,4},KMB!T39,KMB!X39,KMB!AB39,KMB!AF39))=1)*(CHOOSE({1,2,3,4},KMB!W39,KMB!AA39,KMB!AE39,KMB!AI39)))</f>
        <v>0</v>
      </c>
      <c r="B39">
        <f>SUMPRODUCT((MONTH(CHOOSE({1,2,3,4},KMB!T39,KMB!X39,KMB!AB39,KMB!AF39))=2)*(CHOOSE({1,2,3,4},KMB!W39,KMB!AA39,KMB!AE39,KMB!AI39)))</f>
        <v>0</v>
      </c>
      <c r="C39">
        <f>SUMPRODUCT((MONTH(CHOOSE({1,2,3,4},KMB!T39,KMB!X39,KMB!AB39,KMB!AF39))=3)*(CHOOSE({1,2,3,4},KMB!W39,KMB!AA39,KMB!AE39,KMB!AI39)))</f>
        <v>0</v>
      </c>
      <c r="D39">
        <f>SUMPRODUCT((MONTH(CHOOSE({1,2,3,4},KMB!T39,KMB!X39,KMB!AB39,KMB!AF39))=4)*(CHOOSE({1,2,3,4},KMB!W39,KMB!AA39,KMB!AE39,KMB!AI39)))</f>
        <v>0</v>
      </c>
      <c r="E39">
        <f>SUMPRODUCT((MONTH(CHOOSE({1,2,3,4},KMB!T39,KMB!X39,KMB!AB39,KMB!AF39))=5)*(CHOOSE({1,2,3,4},KMB!W39,KMB!AA39,KMB!AE39,KMB!AI39)))</f>
        <v>0</v>
      </c>
      <c r="F39">
        <f>SUMPRODUCT((MONTH(CHOOSE({1,2,3,4},KMB!T39,KMB!X39,KMB!AB39,KMB!AF39))=6)*(CHOOSE({1,2,3,4},KMB!W39,KMB!AA39,KMB!AE39,KMB!AI39)))</f>
        <v>0</v>
      </c>
      <c r="G39">
        <f>SUMPRODUCT((MONTH(CHOOSE({1,2,3,4},KMB!T39,KMB!X39,KMB!AB39,KMB!AF39))=7)*(CHOOSE({1,2,3,4},KMB!W39,KMB!AA39,KMB!AE39,KMB!AI39)))</f>
        <v>0</v>
      </c>
      <c r="H39">
        <f>SUMPRODUCT((MONTH(CHOOSE({1,2,3,4},KMB!T39,KMB!X39,KMB!AB39,KMB!AF39))=8)*(CHOOSE({1,2,3,4},KMB!W39,KMB!AA39,KMB!AE39,KMB!AI39)))</f>
        <v>0</v>
      </c>
      <c r="I39">
        <f>SUMPRODUCT((MONTH(CHOOSE({1,2,3,4},KMB!T39,KMB!X39,KMB!AB39,KMB!AF39))=9)*(CHOOSE({1,2,3,4},KMB!W39,KMB!AA39,KMB!AE39,KMB!AI39)))</f>
        <v>0</v>
      </c>
      <c r="J39">
        <f>SUMPRODUCT((MONTH(CHOOSE({1,2,3,4},KMB!T39,KMB!X39,KMB!AB39,KMB!AF39))=10)*(CHOOSE({1,2,3,4},KMB!W39,KMB!AA39,KMB!AE39,KMB!AI39)))</f>
        <v>0</v>
      </c>
      <c r="K39">
        <f>SUMPRODUCT((MONTH(CHOOSE({1,2,3,4},KMB!T39,KMB!X39,KMB!AB39,KMB!AF39))=11)*(CHOOSE({1,2,3,4},KMB!W39,KMB!AA39,KMB!AE39,KMB!AI39)))</f>
        <v>0</v>
      </c>
      <c r="L39">
        <f>SUMPRODUCT((MONTH(CHOOSE({1,2,3,4},KMB!T39,KMB!X39,KMB!AB39,KMB!AF39))=12)*(CHOOSE({1,2,3,4},KMB!W39,KMB!AA39,KMB!AE39,KMB!AI39)))</f>
        <v>0</v>
      </c>
    </row>
    <row r="40" spans="1:12">
      <c r="A40">
        <f>SUMPRODUCT((MONTH(CHOOSE({1,2,3,4},KMB!T40,KMB!X40,KMB!AB40,KMB!AF40))=1)*(CHOOSE({1,2,3,4},KMB!W40,KMB!AA40,KMB!AE40,KMB!AI40)))</f>
        <v>0</v>
      </c>
      <c r="B40">
        <f>SUMPRODUCT((MONTH(CHOOSE({1,2,3,4},KMB!T40,KMB!X40,KMB!AB40,KMB!AF40))=2)*(CHOOSE({1,2,3,4},KMB!W40,KMB!AA40,KMB!AE40,KMB!AI40)))</f>
        <v>0</v>
      </c>
      <c r="C40">
        <f>SUMPRODUCT((MONTH(CHOOSE({1,2,3,4},KMB!T40,KMB!X40,KMB!AB40,KMB!AF40))=3)*(CHOOSE({1,2,3,4},KMB!W40,KMB!AA40,KMB!AE40,KMB!AI40)))</f>
        <v>0</v>
      </c>
      <c r="D40">
        <f>SUMPRODUCT((MONTH(CHOOSE({1,2,3,4},KMB!T40,KMB!X40,KMB!AB40,KMB!AF40))=4)*(CHOOSE({1,2,3,4},KMB!W40,KMB!AA40,KMB!AE40,KMB!AI40)))</f>
        <v>0</v>
      </c>
      <c r="E40">
        <f>SUMPRODUCT((MONTH(CHOOSE({1,2,3,4},KMB!T40,KMB!X40,KMB!AB40,KMB!AF40))=5)*(CHOOSE({1,2,3,4},KMB!W40,KMB!AA40,KMB!AE40,KMB!AI40)))</f>
        <v>0</v>
      </c>
      <c r="F40">
        <f>SUMPRODUCT((MONTH(CHOOSE({1,2,3,4},KMB!T40,KMB!X40,KMB!AB40,KMB!AF40))=6)*(CHOOSE({1,2,3,4},KMB!W40,KMB!AA40,KMB!AE40,KMB!AI40)))</f>
        <v>0</v>
      </c>
      <c r="G40">
        <f>SUMPRODUCT((MONTH(CHOOSE({1,2,3,4},KMB!T40,KMB!X40,KMB!AB40,KMB!AF40))=7)*(CHOOSE({1,2,3,4},KMB!W40,KMB!AA40,KMB!AE40,KMB!AI40)))</f>
        <v>0</v>
      </c>
      <c r="H40">
        <f>SUMPRODUCT((MONTH(CHOOSE({1,2,3,4},KMB!T40,KMB!X40,KMB!AB40,KMB!AF40))=8)*(CHOOSE({1,2,3,4},KMB!W40,KMB!AA40,KMB!AE40,KMB!AI40)))</f>
        <v>0</v>
      </c>
      <c r="I40">
        <f>SUMPRODUCT((MONTH(CHOOSE({1,2,3,4},KMB!T40,KMB!X40,KMB!AB40,KMB!AF40))=9)*(CHOOSE({1,2,3,4},KMB!W40,KMB!AA40,KMB!AE40,KMB!AI40)))</f>
        <v>0</v>
      </c>
      <c r="J40">
        <f>SUMPRODUCT((MONTH(CHOOSE({1,2,3,4},KMB!T40,KMB!X40,KMB!AB40,KMB!AF40))=10)*(CHOOSE({1,2,3,4},KMB!W40,KMB!AA40,KMB!AE40,KMB!AI40)))</f>
        <v>0</v>
      </c>
      <c r="K40">
        <f>SUMPRODUCT((MONTH(CHOOSE({1,2,3,4},KMB!T40,KMB!X40,KMB!AB40,KMB!AF40))=11)*(CHOOSE({1,2,3,4},KMB!W40,KMB!AA40,KMB!AE40,KMB!AI40)))</f>
        <v>0</v>
      </c>
      <c r="L40">
        <f>SUMPRODUCT((MONTH(CHOOSE({1,2,3,4},KMB!T40,KMB!X40,KMB!AB40,KMB!AF40))=12)*(CHOOSE({1,2,3,4},KMB!W40,KMB!AA40,KMB!AE40,KMB!AI40)))</f>
        <v>0</v>
      </c>
    </row>
    <row r="41" spans="1:12">
      <c r="A41">
        <f>SUMPRODUCT((MONTH(CHOOSE({1,2,3,4},KMB!T41,KMB!X41,KMB!AB41,KMB!AF41))=1)*(CHOOSE({1,2,3,4},KMB!W41,KMB!AA41,KMB!AE41,KMB!AI41)))</f>
        <v>0</v>
      </c>
      <c r="B41">
        <f>SUMPRODUCT((MONTH(CHOOSE({1,2,3,4},KMB!T41,KMB!X41,KMB!AB41,KMB!AF41))=2)*(CHOOSE({1,2,3,4},KMB!W41,KMB!AA41,KMB!AE41,KMB!AI41)))</f>
        <v>0</v>
      </c>
      <c r="C41">
        <f>SUMPRODUCT((MONTH(CHOOSE({1,2,3,4},KMB!T41,KMB!X41,KMB!AB41,KMB!AF41))=3)*(CHOOSE({1,2,3,4},KMB!W41,KMB!AA41,KMB!AE41,KMB!AI41)))</f>
        <v>0</v>
      </c>
      <c r="D41">
        <f>SUMPRODUCT((MONTH(CHOOSE({1,2,3,4},KMB!T41,KMB!X41,KMB!AB41,KMB!AF41))=4)*(CHOOSE({1,2,3,4},KMB!W41,KMB!AA41,KMB!AE41,KMB!AI41)))</f>
        <v>0</v>
      </c>
      <c r="E41">
        <f>SUMPRODUCT((MONTH(CHOOSE({1,2,3,4},KMB!T41,KMB!X41,KMB!AB41,KMB!AF41))=5)*(CHOOSE({1,2,3,4},KMB!W41,KMB!AA41,KMB!AE41,KMB!AI41)))</f>
        <v>0</v>
      </c>
      <c r="F41">
        <f>SUMPRODUCT((MONTH(CHOOSE({1,2,3,4},KMB!T41,KMB!X41,KMB!AB41,KMB!AF41))=6)*(CHOOSE({1,2,3,4},KMB!W41,KMB!AA41,KMB!AE41,KMB!AI41)))</f>
        <v>0</v>
      </c>
      <c r="G41">
        <f>SUMPRODUCT((MONTH(CHOOSE({1,2,3,4},KMB!T41,KMB!X41,KMB!AB41,KMB!AF41))=7)*(CHOOSE({1,2,3,4},KMB!W41,KMB!AA41,KMB!AE41,KMB!AI41)))</f>
        <v>0</v>
      </c>
      <c r="H41">
        <f>SUMPRODUCT((MONTH(CHOOSE({1,2,3,4},KMB!T41,KMB!X41,KMB!AB41,KMB!AF41))=8)*(CHOOSE({1,2,3,4},KMB!W41,KMB!AA41,KMB!AE41,KMB!AI41)))</f>
        <v>0</v>
      </c>
      <c r="I41">
        <f>SUMPRODUCT((MONTH(CHOOSE({1,2,3,4},KMB!T41,KMB!X41,KMB!AB41,KMB!AF41))=9)*(CHOOSE({1,2,3,4},KMB!W41,KMB!AA41,KMB!AE41,KMB!AI41)))</f>
        <v>0</v>
      </c>
      <c r="J41">
        <f>SUMPRODUCT((MONTH(CHOOSE({1,2,3,4},KMB!T41,KMB!X41,KMB!AB41,KMB!AF41))=10)*(CHOOSE({1,2,3,4},KMB!W41,KMB!AA41,KMB!AE41,KMB!AI41)))</f>
        <v>0</v>
      </c>
      <c r="K41">
        <f>SUMPRODUCT((MONTH(CHOOSE({1,2,3,4},KMB!T41,KMB!X41,KMB!AB41,KMB!AF41))=11)*(CHOOSE({1,2,3,4},KMB!W41,KMB!AA41,KMB!AE41,KMB!AI41)))</f>
        <v>0</v>
      </c>
      <c r="L41">
        <f>SUMPRODUCT((MONTH(CHOOSE({1,2,3,4},KMB!T41,KMB!X41,KMB!AB41,KMB!AF41))=12)*(CHOOSE({1,2,3,4},KMB!W41,KMB!AA41,KMB!AE41,KMB!AI41)))</f>
        <v>0</v>
      </c>
    </row>
    <row r="42" spans="1:12">
      <c r="A42">
        <f>SUMPRODUCT((MONTH(CHOOSE({1,2,3,4},KMB!T42,KMB!X42,KMB!AB42,KMB!AF42))=1)*(CHOOSE({1,2,3,4},KMB!W42,KMB!AA42,KMB!AE42,KMB!AI42)))</f>
        <v>0</v>
      </c>
      <c r="B42">
        <f>SUMPRODUCT((MONTH(CHOOSE({1,2,3,4},KMB!T42,KMB!X42,KMB!AB42,KMB!AF42))=2)*(CHOOSE({1,2,3,4},KMB!W42,KMB!AA42,KMB!AE42,KMB!AI42)))</f>
        <v>0</v>
      </c>
      <c r="C42">
        <f>SUMPRODUCT((MONTH(CHOOSE({1,2,3,4},KMB!T42,KMB!X42,KMB!AB42,KMB!AF42))=3)*(CHOOSE({1,2,3,4},KMB!W42,KMB!AA42,KMB!AE42,KMB!AI42)))</f>
        <v>0</v>
      </c>
      <c r="D42">
        <f>SUMPRODUCT((MONTH(CHOOSE({1,2,3,4},KMB!T42,KMB!X42,KMB!AB42,KMB!AF42))=4)*(CHOOSE({1,2,3,4},KMB!W42,KMB!AA42,KMB!AE42,KMB!AI42)))</f>
        <v>0</v>
      </c>
      <c r="E42">
        <f>SUMPRODUCT((MONTH(CHOOSE({1,2,3,4},KMB!T42,KMB!X42,KMB!AB42,KMB!AF42))=5)*(CHOOSE({1,2,3,4},KMB!W42,KMB!AA42,KMB!AE42,KMB!AI42)))</f>
        <v>0</v>
      </c>
      <c r="F42">
        <f>SUMPRODUCT((MONTH(CHOOSE({1,2,3,4},KMB!T42,KMB!X42,KMB!AB42,KMB!AF42))=6)*(CHOOSE({1,2,3,4},KMB!W42,KMB!AA42,KMB!AE42,KMB!AI42)))</f>
        <v>0</v>
      </c>
      <c r="G42">
        <f>SUMPRODUCT((MONTH(CHOOSE({1,2,3,4},KMB!T42,KMB!X42,KMB!AB42,KMB!AF42))=7)*(CHOOSE({1,2,3,4},KMB!W42,KMB!AA42,KMB!AE42,KMB!AI42)))</f>
        <v>0</v>
      </c>
      <c r="H42">
        <f>SUMPRODUCT((MONTH(CHOOSE({1,2,3,4},KMB!T42,KMB!X42,KMB!AB42,KMB!AF42))=8)*(CHOOSE({1,2,3,4},KMB!W42,KMB!AA42,KMB!AE42,KMB!AI42)))</f>
        <v>0</v>
      </c>
      <c r="I42">
        <f>SUMPRODUCT((MONTH(CHOOSE({1,2,3,4},KMB!T42,KMB!X42,KMB!AB42,KMB!AF42))=9)*(CHOOSE({1,2,3,4},KMB!W42,KMB!AA42,KMB!AE42,KMB!AI42)))</f>
        <v>0</v>
      </c>
      <c r="J42">
        <f>SUMPRODUCT((MONTH(CHOOSE({1,2,3,4},KMB!T42,KMB!X42,KMB!AB42,KMB!AF42))=10)*(CHOOSE({1,2,3,4},KMB!W42,KMB!AA42,KMB!AE42,KMB!AI42)))</f>
        <v>0</v>
      </c>
      <c r="K42">
        <f>SUMPRODUCT((MONTH(CHOOSE({1,2,3,4},KMB!T42,KMB!X42,KMB!AB42,KMB!AF42))=11)*(CHOOSE({1,2,3,4},KMB!W42,KMB!AA42,KMB!AE42,KMB!AI42)))</f>
        <v>0</v>
      </c>
      <c r="L42">
        <f>SUMPRODUCT((MONTH(CHOOSE({1,2,3,4},KMB!T42,KMB!X42,KMB!AB42,KMB!AF42))=12)*(CHOOSE({1,2,3,4},KMB!W42,KMB!AA42,KMB!AE42,KMB!AI42)))</f>
        <v>0</v>
      </c>
    </row>
    <row r="43" spans="1:12">
      <c r="A43">
        <f>SUMPRODUCT((MONTH(CHOOSE({1,2,3,4},KMB!T43,KMB!X43,KMB!AB43,KMB!AF43))=1)*(CHOOSE({1,2,3,4},KMB!W43,KMB!AA43,KMB!AE43,KMB!AI43)))</f>
        <v>0</v>
      </c>
      <c r="B43">
        <f>SUMPRODUCT((MONTH(CHOOSE({1,2,3,4},KMB!T43,KMB!X43,KMB!AB43,KMB!AF43))=2)*(CHOOSE({1,2,3,4},KMB!W43,KMB!AA43,KMB!AE43,KMB!AI43)))</f>
        <v>0</v>
      </c>
      <c r="C43">
        <f>SUMPRODUCT((MONTH(CHOOSE({1,2,3,4},KMB!T43,KMB!X43,KMB!AB43,KMB!AF43))=3)*(CHOOSE({1,2,3,4},KMB!W43,KMB!AA43,KMB!AE43,KMB!AI43)))</f>
        <v>0</v>
      </c>
      <c r="D43">
        <f>SUMPRODUCT((MONTH(CHOOSE({1,2,3,4},KMB!T43,KMB!X43,KMB!AB43,KMB!AF43))=4)*(CHOOSE({1,2,3,4},KMB!W43,KMB!AA43,KMB!AE43,KMB!AI43)))</f>
        <v>0</v>
      </c>
      <c r="E43">
        <f>SUMPRODUCT((MONTH(CHOOSE({1,2,3,4},KMB!T43,KMB!X43,KMB!AB43,KMB!AF43))=5)*(CHOOSE({1,2,3,4},KMB!W43,KMB!AA43,KMB!AE43,KMB!AI43)))</f>
        <v>0</v>
      </c>
      <c r="F43">
        <f>SUMPRODUCT((MONTH(CHOOSE({1,2,3,4},KMB!T43,KMB!X43,KMB!AB43,KMB!AF43))=6)*(CHOOSE({1,2,3,4},KMB!W43,KMB!AA43,KMB!AE43,KMB!AI43)))</f>
        <v>0</v>
      </c>
      <c r="G43">
        <f>SUMPRODUCT((MONTH(CHOOSE({1,2,3,4},KMB!T43,KMB!X43,KMB!AB43,KMB!AF43))=7)*(CHOOSE({1,2,3,4},KMB!W43,KMB!AA43,KMB!AE43,KMB!AI43)))</f>
        <v>0</v>
      </c>
      <c r="H43">
        <f>SUMPRODUCT((MONTH(CHOOSE({1,2,3,4},KMB!T43,KMB!X43,KMB!AB43,KMB!AF43))=8)*(CHOOSE({1,2,3,4},KMB!W43,KMB!AA43,KMB!AE43,KMB!AI43)))</f>
        <v>0</v>
      </c>
      <c r="I43">
        <f>SUMPRODUCT((MONTH(CHOOSE({1,2,3,4},KMB!T43,KMB!X43,KMB!AB43,KMB!AF43))=9)*(CHOOSE({1,2,3,4},KMB!W43,KMB!AA43,KMB!AE43,KMB!AI43)))</f>
        <v>0</v>
      </c>
      <c r="J43">
        <f>SUMPRODUCT((MONTH(CHOOSE({1,2,3,4},KMB!T43,KMB!X43,KMB!AB43,KMB!AF43))=10)*(CHOOSE({1,2,3,4},KMB!W43,KMB!AA43,KMB!AE43,KMB!AI43)))</f>
        <v>0</v>
      </c>
      <c r="K43">
        <f>SUMPRODUCT((MONTH(CHOOSE({1,2,3,4},KMB!T43,KMB!X43,KMB!AB43,KMB!AF43))=11)*(CHOOSE({1,2,3,4},KMB!W43,KMB!AA43,KMB!AE43,KMB!AI43)))</f>
        <v>0</v>
      </c>
      <c r="L43">
        <f>SUMPRODUCT((MONTH(CHOOSE({1,2,3,4},KMB!T43,KMB!X43,KMB!AB43,KMB!AF43))=12)*(CHOOSE({1,2,3,4},KMB!W43,KMB!AA43,KMB!AE43,KMB!AI43)))</f>
        <v>0</v>
      </c>
    </row>
    <row r="44" spans="1:12">
      <c r="A44">
        <f>SUMPRODUCT((MONTH(CHOOSE({1,2,3,4},KMB!T44,KMB!X44,KMB!AB44,KMB!AF44))=1)*(CHOOSE({1,2,3,4},KMB!W44,KMB!AA44,KMB!AE44,KMB!AI44)))</f>
        <v>0</v>
      </c>
      <c r="B44">
        <f>SUMPRODUCT((MONTH(CHOOSE({1,2,3,4},KMB!T44,KMB!X44,KMB!AB44,KMB!AF44))=2)*(CHOOSE({1,2,3,4},KMB!W44,KMB!AA44,KMB!AE44,KMB!AI44)))</f>
        <v>0</v>
      </c>
      <c r="C44">
        <f>SUMPRODUCT((MONTH(CHOOSE({1,2,3,4},KMB!T44,KMB!X44,KMB!AB44,KMB!AF44))=3)*(CHOOSE({1,2,3,4},KMB!W44,KMB!AA44,KMB!AE44,KMB!AI44)))</f>
        <v>0</v>
      </c>
      <c r="D44">
        <f>SUMPRODUCT((MONTH(CHOOSE({1,2,3,4},KMB!T44,KMB!X44,KMB!AB44,KMB!AF44))=4)*(CHOOSE({1,2,3,4},KMB!W44,KMB!AA44,KMB!AE44,KMB!AI44)))</f>
        <v>0</v>
      </c>
      <c r="E44">
        <f>SUMPRODUCT((MONTH(CHOOSE({1,2,3,4},KMB!T44,KMB!X44,KMB!AB44,KMB!AF44))=5)*(CHOOSE({1,2,3,4},KMB!W44,KMB!AA44,KMB!AE44,KMB!AI44)))</f>
        <v>0</v>
      </c>
      <c r="F44">
        <f>SUMPRODUCT((MONTH(CHOOSE({1,2,3,4},KMB!T44,KMB!X44,KMB!AB44,KMB!AF44))=6)*(CHOOSE({1,2,3,4},KMB!W44,KMB!AA44,KMB!AE44,KMB!AI44)))</f>
        <v>0</v>
      </c>
      <c r="G44">
        <f>SUMPRODUCT((MONTH(CHOOSE({1,2,3,4},KMB!T44,KMB!X44,KMB!AB44,KMB!AF44))=7)*(CHOOSE({1,2,3,4},KMB!W44,KMB!AA44,KMB!AE44,KMB!AI44)))</f>
        <v>0</v>
      </c>
      <c r="H44">
        <f>SUMPRODUCT((MONTH(CHOOSE({1,2,3,4},KMB!T44,KMB!X44,KMB!AB44,KMB!AF44))=8)*(CHOOSE({1,2,3,4},KMB!W44,KMB!AA44,KMB!AE44,KMB!AI44)))</f>
        <v>0</v>
      </c>
      <c r="I44">
        <f>SUMPRODUCT((MONTH(CHOOSE({1,2,3,4},KMB!T44,KMB!X44,KMB!AB44,KMB!AF44))=9)*(CHOOSE({1,2,3,4},KMB!W44,KMB!AA44,KMB!AE44,KMB!AI44)))</f>
        <v>0</v>
      </c>
      <c r="J44">
        <f>SUMPRODUCT((MONTH(CHOOSE({1,2,3,4},KMB!T44,KMB!X44,KMB!AB44,KMB!AF44))=10)*(CHOOSE({1,2,3,4},KMB!W44,KMB!AA44,KMB!AE44,KMB!AI44)))</f>
        <v>0</v>
      </c>
      <c r="K44">
        <f>SUMPRODUCT((MONTH(CHOOSE({1,2,3,4},KMB!T44,KMB!X44,KMB!AB44,KMB!AF44))=11)*(CHOOSE({1,2,3,4},KMB!W44,KMB!AA44,KMB!AE44,KMB!AI44)))</f>
        <v>0</v>
      </c>
      <c r="L44">
        <f>SUMPRODUCT((MONTH(CHOOSE({1,2,3,4},KMB!T44,KMB!X44,KMB!AB44,KMB!AF44))=12)*(CHOOSE({1,2,3,4},KMB!W44,KMB!AA44,KMB!AE44,KMB!AI44)))</f>
        <v>0</v>
      </c>
    </row>
    <row r="45" spans="1:12">
      <c r="A45">
        <f>SUMPRODUCT((MONTH(CHOOSE({1,2,3,4},KMB!T45,KMB!X45,KMB!AB45,KMB!AF45))=1)*(CHOOSE({1,2,3,4},KMB!W45,KMB!AA45,KMB!AE45,KMB!AI45)))</f>
        <v>0</v>
      </c>
      <c r="B45">
        <f>SUMPRODUCT((MONTH(CHOOSE({1,2,3,4},KMB!T45,KMB!X45,KMB!AB45,KMB!AF45))=2)*(CHOOSE({1,2,3,4},KMB!W45,KMB!AA45,KMB!AE45,KMB!AI45)))</f>
        <v>0</v>
      </c>
      <c r="C45">
        <f>SUMPRODUCT((MONTH(CHOOSE({1,2,3,4},KMB!T45,KMB!X45,KMB!AB45,KMB!AF45))=3)*(CHOOSE({1,2,3,4},KMB!W45,KMB!AA45,KMB!AE45,KMB!AI45)))</f>
        <v>0</v>
      </c>
      <c r="D45">
        <f>SUMPRODUCT((MONTH(CHOOSE({1,2,3,4},KMB!T45,KMB!X45,KMB!AB45,KMB!AF45))=4)*(CHOOSE({1,2,3,4},KMB!W45,KMB!AA45,KMB!AE45,KMB!AI45)))</f>
        <v>0</v>
      </c>
      <c r="E45">
        <f>SUMPRODUCT((MONTH(CHOOSE({1,2,3,4},KMB!T45,KMB!X45,KMB!AB45,KMB!AF45))=5)*(CHOOSE({1,2,3,4},KMB!W45,KMB!AA45,KMB!AE45,KMB!AI45)))</f>
        <v>0</v>
      </c>
      <c r="F45">
        <f>SUMPRODUCT((MONTH(CHOOSE({1,2,3,4},KMB!T45,KMB!X45,KMB!AB45,KMB!AF45))=6)*(CHOOSE({1,2,3,4},KMB!W45,KMB!AA45,KMB!AE45,KMB!AI45)))</f>
        <v>0</v>
      </c>
      <c r="G45">
        <f>SUMPRODUCT((MONTH(CHOOSE({1,2,3,4},KMB!T45,KMB!X45,KMB!AB45,KMB!AF45))=7)*(CHOOSE({1,2,3,4},KMB!W45,KMB!AA45,KMB!AE45,KMB!AI45)))</f>
        <v>0</v>
      </c>
      <c r="H45">
        <f>SUMPRODUCT((MONTH(CHOOSE({1,2,3,4},KMB!T45,KMB!X45,KMB!AB45,KMB!AF45))=8)*(CHOOSE({1,2,3,4},KMB!W45,KMB!AA45,KMB!AE45,KMB!AI45)))</f>
        <v>0</v>
      </c>
      <c r="I45">
        <f>SUMPRODUCT((MONTH(CHOOSE({1,2,3,4},KMB!T45,KMB!X45,KMB!AB45,KMB!AF45))=9)*(CHOOSE({1,2,3,4},KMB!W45,KMB!AA45,KMB!AE45,KMB!AI45)))</f>
        <v>0</v>
      </c>
      <c r="J45">
        <f>SUMPRODUCT((MONTH(CHOOSE({1,2,3,4},KMB!T45,KMB!X45,KMB!AB45,KMB!AF45))=10)*(CHOOSE({1,2,3,4},KMB!W45,KMB!AA45,KMB!AE45,KMB!AI45)))</f>
        <v>0</v>
      </c>
      <c r="K45">
        <f>SUMPRODUCT((MONTH(CHOOSE({1,2,3,4},KMB!T45,KMB!X45,KMB!AB45,KMB!AF45))=11)*(CHOOSE({1,2,3,4},KMB!W45,KMB!AA45,KMB!AE45,KMB!AI45)))</f>
        <v>0</v>
      </c>
      <c r="L45">
        <f>SUMPRODUCT((MONTH(CHOOSE({1,2,3,4},KMB!T45,KMB!X45,KMB!AB45,KMB!AF45))=12)*(CHOOSE({1,2,3,4},KMB!W45,KMB!AA45,KMB!AE45,KMB!AI45)))</f>
        <v>0</v>
      </c>
    </row>
    <row r="46" spans="1:12">
      <c r="A46">
        <f>SUMPRODUCT((MONTH(CHOOSE({1,2,3,4},KMB!T46,KMB!X46,KMB!AB46,KMB!AF46))=1)*(CHOOSE({1,2,3,4},KMB!W46,KMB!AA46,KMB!AE46,KMB!AI46)))</f>
        <v>0</v>
      </c>
      <c r="B46">
        <f>SUMPRODUCT((MONTH(CHOOSE({1,2,3,4},KMB!T46,KMB!X46,KMB!AB46,KMB!AF46))=2)*(CHOOSE({1,2,3,4},KMB!W46,KMB!AA46,KMB!AE46,KMB!AI46)))</f>
        <v>0</v>
      </c>
      <c r="C46">
        <f>SUMPRODUCT((MONTH(CHOOSE({1,2,3,4},KMB!T46,KMB!X46,KMB!AB46,KMB!AF46))=3)*(CHOOSE({1,2,3,4},KMB!W46,KMB!AA46,KMB!AE46,KMB!AI46)))</f>
        <v>0</v>
      </c>
      <c r="D46">
        <f>SUMPRODUCT((MONTH(CHOOSE({1,2,3,4},KMB!T46,KMB!X46,KMB!AB46,KMB!AF46))=4)*(CHOOSE({1,2,3,4},KMB!W46,KMB!AA46,KMB!AE46,KMB!AI46)))</f>
        <v>0</v>
      </c>
      <c r="E46">
        <f>SUMPRODUCT((MONTH(CHOOSE({1,2,3,4},KMB!T46,KMB!X46,KMB!AB46,KMB!AF46))=5)*(CHOOSE({1,2,3,4},KMB!W46,KMB!AA46,KMB!AE46,KMB!AI46)))</f>
        <v>0</v>
      </c>
      <c r="F46">
        <f>SUMPRODUCT((MONTH(CHOOSE({1,2,3,4},KMB!T46,KMB!X46,KMB!AB46,KMB!AF46))=6)*(CHOOSE({1,2,3,4},KMB!W46,KMB!AA46,KMB!AE46,KMB!AI46)))</f>
        <v>0</v>
      </c>
      <c r="G46">
        <f>SUMPRODUCT((MONTH(CHOOSE({1,2,3,4},KMB!T46,KMB!X46,KMB!AB46,KMB!AF46))=7)*(CHOOSE({1,2,3,4},KMB!W46,KMB!AA46,KMB!AE46,KMB!AI46)))</f>
        <v>0</v>
      </c>
      <c r="H46">
        <f>SUMPRODUCT((MONTH(CHOOSE({1,2,3,4},KMB!T46,KMB!X46,KMB!AB46,KMB!AF46))=8)*(CHOOSE({1,2,3,4},KMB!W46,KMB!AA46,KMB!AE46,KMB!AI46)))</f>
        <v>0</v>
      </c>
      <c r="I46">
        <f>SUMPRODUCT((MONTH(CHOOSE({1,2,3,4},KMB!T46,KMB!X46,KMB!AB46,KMB!AF46))=9)*(CHOOSE({1,2,3,4},KMB!W46,KMB!AA46,KMB!AE46,KMB!AI46)))</f>
        <v>0</v>
      </c>
      <c r="J46">
        <f>SUMPRODUCT((MONTH(CHOOSE({1,2,3,4},KMB!T46,KMB!X46,KMB!AB46,KMB!AF46))=10)*(CHOOSE({1,2,3,4},KMB!W46,KMB!AA46,KMB!AE46,KMB!AI46)))</f>
        <v>0</v>
      </c>
      <c r="K46">
        <f>SUMPRODUCT((MONTH(CHOOSE({1,2,3,4},KMB!T46,KMB!X46,KMB!AB46,KMB!AF46))=11)*(CHOOSE({1,2,3,4},KMB!W46,KMB!AA46,KMB!AE46,KMB!AI46)))</f>
        <v>0</v>
      </c>
      <c r="L46">
        <f>SUMPRODUCT((MONTH(CHOOSE({1,2,3,4},KMB!T46,KMB!X46,KMB!AB46,KMB!AF46))=12)*(CHOOSE({1,2,3,4},KMB!W46,KMB!AA46,KMB!AE46,KMB!AI46)))</f>
        <v>0</v>
      </c>
    </row>
    <row r="47" spans="1:12">
      <c r="A47">
        <f>SUMPRODUCT((MONTH(CHOOSE({1,2,3,4},KMB!T47,KMB!X47,KMB!AB47,KMB!AF47))=1)*(CHOOSE({1,2,3,4},KMB!W47,KMB!AA47,KMB!AE47,KMB!AI47)))</f>
        <v>0</v>
      </c>
      <c r="B47">
        <f>SUMPRODUCT((MONTH(CHOOSE({1,2,3,4},KMB!T47,KMB!X47,KMB!AB47,KMB!AF47))=2)*(CHOOSE({1,2,3,4},KMB!W47,KMB!AA47,KMB!AE47,KMB!AI47)))</f>
        <v>0</v>
      </c>
      <c r="C47">
        <f>SUMPRODUCT((MONTH(CHOOSE({1,2,3,4},KMB!T47,KMB!X47,KMB!AB47,KMB!AF47))=3)*(CHOOSE({1,2,3,4},KMB!W47,KMB!AA47,KMB!AE47,KMB!AI47)))</f>
        <v>0</v>
      </c>
      <c r="D47">
        <f>SUMPRODUCT((MONTH(CHOOSE({1,2,3,4},KMB!T47,KMB!X47,KMB!AB47,KMB!AF47))=4)*(CHOOSE({1,2,3,4},KMB!W47,KMB!AA47,KMB!AE47,KMB!AI47)))</f>
        <v>0</v>
      </c>
      <c r="E47">
        <f>SUMPRODUCT((MONTH(CHOOSE({1,2,3,4},KMB!T47,KMB!X47,KMB!AB47,KMB!AF47))=5)*(CHOOSE({1,2,3,4},KMB!W47,KMB!AA47,KMB!AE47,KMB!AI47)))</f>
        <v>0</v>
      </c>
      <c r="F47">
        <f>SUMPRODUCT((MONTH(CHOOSE({1,2,3,4},KMB!T47,KMB!X47,KMB!AB47,KMB!AF47))=6)*(CHOOSE({1,2,3,4},KMB!W47,KMB!AA47,KMB!AE47,KMB!AI47)))</f>
        <v>0</v>
      </c>
      <c r="G47">
        <f>SUMPRODUCT((MONTH(CHOOSE({1,2,3,4},KMB!T47,KMB!X47,KMB!AB47,KMB!AF47))=7)*(CHOOSE({1,2,3,4},KMB!W47,KMB!AA47,KMB!AE47,KMB!AI47)))</f>
        <v>0</v>
      </c>
      <c r="H47">
        <f>SUMPRODUCT((MONTH(CHOOSE({1,2,3,4},KMB!T47,KMB!X47,KMB!AB47,KMB!AF47))=8)*(CHOOSE({1,2,3,4},KMB!W47,KMB!AA47,KMB!AE47,KMB!AI47)))</f>
        <v>0</v>
      </c>
      <c r="I47">
        <f>SUMPRODUCT((MONTH(CHOOSE({1,2,3,4},KMB!T47,KMB!X47,KMB!AB47,KMB!AF47))=9)*(CHOOSE({1,2,3,4},KMB!W47,KMB!AA47,KMB!AE47,KMB!AI47)))</f>
        <v>0</v>
      </c>
      <c r="J47">
        <f>SUMPRODUCT((MONTH(CHOOSE({1,2,3,4},KMB!T47,KMB!X47,KMB!AB47,KMB!AF47))=10)*(CHOOSE({1,2,3,4},KMB!W47,KMB!AA47,KMB!AE47,KMB!AI47)))</f>
        <v>0</v>
      </c>
      <c r="K47">
        <f>SUMPRODUCT((MONTH(CHOOSE({1,2,3,4},KMB!T47,KMB!X47,KMB!AB47,KMB!AF47))=11)*(CHOOSE({1,2,3,4},KMB!W47,KMB!AA47,KMB!AE47,KMB!AI47)))</f>
        <v>0</v>
      </c>
      <c r="L47">
        <f>SUMPRODUCT((MONTH(CHOOSE({1,2,3,4},KMB!T47,KMB!X47,KMB!AB47,KMB!AF47))=12)*(CHOOSE({1,2,3,4},KMB!W47,KMB!AA47,KMB!AE47,KMB!AI47)))</f>
        <v>0</v>
      </c>
    </row>
    <row r="48" spans="1:12">
      <c r="A48">
        <f>SUMPRODUCT((MONTH(CHOOSE({1,2,3,4},KMB!T48,KMB!X48,KMB!AB48,KMB!AF48))=1)*(CHOOSE({1,2,3,4},KMB!W48,KMB!AA48,KMB!AE48,KMB!AI48)))</f>
        <v>0</v>
      </c>
      <c r="B48">
        <f>SUMPRODUCT((MONTH(CHOOSE({1,2,3,4},KMB!T48,KMB!X48,KMB!AB48,KMB!AF48))=2)*(CHOOSE({1,2,3,4},KMB!W48,KMB!AA48,KMB!AE48,KMB!AI48)))</f>
        <v>0</v>
      </c>
      <c r="C48">
        <f>SUMPRODUCT((MONTH(CHOOSE({1,2,3,4},KMB!T48,KMB!X48,KMB!AB48,KMB!AF48))=3)*(CHOOSE({1,2,3,4},KMB!W48,KMB!AA48,KMB!AE48,KMB!AI48)))</f>
        <v>0</v>
      </c>
      <c r="D48">
        <f>SUMPRODUCT((MONTH(CHOOSE({1,2,3,4},KMB!T48,KMB!X48,KMB!AB48,KMB!AF48))=4)*(CHOOSE({1,2,3,4},KMB!W48,KMB!AA48,KMB!AE48,KMB!AI48)))</f>
        <v>0</v>
      </c>
      <c r="E48">
        <f>SUMPRODUCT((MONTH(CHOOSE({1,2,3,4},KMB!T48,KMB!X48,KMB!AB48,KMB!AF48))=5)*(CHOOSE({1,2,3,4},KMB!W48,KMB!AA48,KMB!AE48,KMB!AI48)))</f>
        <v>0</v>
      </c>
      <c r="F48">
        <f>SUMPRODUCT((MONTH(CHOOSE({1,2,3,4},KMB!T48,KMB!X48,KMB!AB48,KMB!AF48))=6)*(CHOOSE({1,2,3,4},KMB!W48,KMB!AA48,KMB!AE48,KMB!AI48)))</f>
        <v>0</v>
      </c>
      <c r="G48">
        <f>SUMPRODUCT((MONTH(CHOOSE({1,2,3,4},KMB!T48,KMB!X48,KMB!AB48,KMB!AF48))=7)*(CHOOSE({1,2,3,4},KMB!W48,KMB!AA48,KMB!AE48,KMB!AI48)))</f>
        <v>0</v>
      </c>
      <c r="H48">
        <f>SUMPRODUCT((MONTH(CHOOSE({1,2,3,4},KMB!T48,KMB!X48,KMB!AB48,KMB!AF48))=8)*(CHOOSE({1,2,3,4},KMB!W48,KMB!AA48,KMB!AE48,KMB!AI48)))</f>
        <v>0</v>
      </c>
      <c r="I48">
        <f>SUMPRODUCT((MONTH(CHOOSE({1,2,3,4},KMB!T48,KMB!X48,KMB!AB48,KMB!AF48))=9)*(CHOOSE({1,2,3,4},KMB!W48,KMB!AA48,KMB!AE48,KMB!AI48)))</f>
        <v>0</v>
      </c>
      <c r="J48">
        <f>SUMPRODUCT((MONTH(CHOOSE({1,2,3,4},KMB!T48,KMB!X48,KMB!AB48,KMB!AF48))=10)*(CHOOSE({1,2,3,4},KMB!W48,KMB!AA48,KMB!AE48,KMB!AI48)))</f>
        <v>0</v>
      </c>
      <c r="K48">
        <f>SUMPRODUCT((MONTH(CHOOSE({1,2,3,4},KMB!T48,KMB!X48,KMB!AB48,KMB!AF48))=11)*(CHOOSE({1,2,3,4},KMB!W48,KMB!AA48,KMB!AE48,KMB!AI48)))</f>
        <v>0</v>
      </c>
      <c r="L48">
        <f>SUMPRODUCT((MONTH(CHOOSE({1,2,3,4},KMB!T48,KMB!X48,KMB!AB48,KMB!AF48))=12)*(CHOOSE({1,2,3,4},KMB!W48,KMB!AA48,KMB!AE48,KMB!AI48)))</f>
        <v>0</v>
      </c>
    </row>
    <row r="49" spans="1:12">
      <c r="A49">
        <f>SUMPRODUCT((MONTH(CHOOSE({1,2,3,4},KMB!T49,KMB!X49,KMB!AB49,KMB!AF49))=1)*(CHOOSE({1,2,3,4},KMB!W49,KMB!AA49,KMB!AE49,KMB!AI49)))</f>
        <v>0</v>
      </c>
      <c r="B49">
        <f>SUMPRODUCT((MONTH(CHOOSE({1,2,3,4},KMB!T49,KMB!X49,KMB!AB49,KMB!AF49))=2)*(CHOOSE({1,2,3,4},KMB!W49,KMB!AA49,KMB!AE49,KMB!AI49)))</f>
        <v>0</v>
      </c>
      <c r="C49">
        <f>SUMPRODUCT((MONTH(CHOOSE({1,2,3,4},KMB!T49,KMB!X49,KMB!AB49,KMB!AF49))=3)*(CHOOSE({1,2,3,4},KMB!W49,KMB!AA49,KMB!AE49,KMB!AI49)))</f>
        <v>0</v>
      </c>
      <c r="D49">
        <f>SUMPRODUCT((MONTH(CHOOSE({1,2,3,4},KMB!T49,KMB!X49,KMB!AB49,KMB!AF49))=4)*(CHOOSE({1,2,3,4},KMB!W49,KMB!AA49,KMB!AE49,KMB!AI49)))</f>
        <v>0</v>
      </c>
      <c r="E49">
        <f>SUMPRODUCT((MONTH(CHOOSE({1,2,3,4},KMB!T49,KMB!X49,KMB!AB49,KMB!AF49))=5)*(CHOOSE({1,2,3,4},KMB!W49,KMB!AA49,KMB!AE49,KMB!AI49)))</f>
        <v>0</v>
      </c>
      <c r="F49">
        <f>SUMPRODUCT((MONTH(CHOOSE({1,2,3,4},KMB!T49,KMB!X49,KMB!AB49,KMB!AF49))=6)*(CHOOSE({1,2,3,4},KMB!W49,KMB!AA49,KMB!AE49,KMB!AI49)))</f>
        <v>0</v>
      </c>
      <c r="G49">
        <f>SUMPRODUCT((MONTH(CHOOSE({1,2,3,4},KMB!T49,KMB!X49,KMB!AB49,KMB!AF49))=7)*(CHOOSE({1,2,3,4},KMB!W49,KMB!AA49,KMB!AE49,KMB!AI49)))</f>
        <v>0</v>
      </c>
      <c r="H49">
        <f>SUMPRODUCT((MONTH(CHOOSE({1,2,3,4},KMB!T49,KMB!X49,KMB!AB49,KMB!AF49))=8)*(CHOOSE({1,2,3,4},KMB!W49,KMB!AA49,KMB!AE49,KMB!AI49)))</f>
        <v>0</v>
      </c>
      <c r="I49">
        <f>SUMPRODUCT((MONTH(CHOOSE({1,2,3,4},KMB!T49,KMB!X49,KMB!AB49,KMB!AF49))=9)*(CHOOSE({1,2,3,4},KMB!W49,KMB!AA49,KMB!AE49,KMB!AI49)))</f>
        <v>0</v>
      </c>
      <c r="J49">
        <f>SUMPRODUCT((MONTH(CHOOSE({1,2,3,4},KMB!T49,KMB!X49,KMB!AB49,KMB!AF49))=10)*(CHOOSE({1,2,3,4},KMB!W49,KMB!AA49,KMB!AE49,KMB!AI49)))</f>
        <v>0</v>
      </c>
      <c r="K49">
        <f>SUMPRODUCT((MONTH(CHOOSE({1,2,3,4},KMB!T49,KMB!X49,KMB!AB49,KMB!AF49))=11)*(CHOOSE({1,2,3,4},KMB!W49,KMB!AA49,KMB!AE49,KMB!AI49)))</f>
        <v>0</v>
      </c>
      <c r="L49">
        <f>SUMPRODUCT((MONTH(CHOOSE({1,2,3,4},KMB!T49,KMB!X49,KMB!AB49,KMB!AF49))=12)*(CHOOSE({1,2,3,4},KMB!W49,KMB!AA49,KMB!AE49,KMB!AI49)))</f>
        <v>0</v>
      </c>
    </row>
    <row r="50" spans="1:12">
      <c r="A50">
        <f>SUMPRODUCT((MONTH(CHOOSE({1,2,3,4},KMB!T50,KMB!X50,KMB!AB50,KMB!AF50))=1)*(CHOOSE({1,2,3,4},KMB!W50,KMB!AA50,KMB!AE50,KMB!AI50)))</f>
        <v>0</v>
      </c>
      <c r="B50">
        <f>SUMPRODUCT((MONTH(CHOOSE({1,2,3,4},KMB!T50,KMB!X50,KMB!AB50,KMB!AF50))=2)*(CHOOSE({1,2,3,4},KMB!W50,KMB!AA50,KMB!AE50,KMB!AI50)))</f>
        <v>0</v>
      </c>
      <c r="C50">
        <f>SUMPRODUCT((MONTH(CHOOSE({1,2,3,4},KMB!T50,KMB!X50,KMB!AB50,KMB!AF50))=3)*(CHOOSE({1,2,3,4},KMB!W50,KMB!AA50,KMB!AE50,KMB!AI50)))</f>
        <v>0</v>
      </c>
      <c r="D50">
        <f>SUMPRODUCT((MONTH(CHOOSE({1,2,3,4},KMB!T50,KMB!X50,KMB!AB50,KMB!AF50))=4)*(CHOOSE({1,2,3,4},KMB!W50,KMB!AA50,KMB!AE50,KMB!AI50)))</f>
        <v>0</v>
      </c>
      <c r="E50">
        <f>SUMPRODUCT((MONTH(CHOOSE({1,2,3,4},KMB!T50,KMB!X50,KMB!AB50,KMB!AF50))=5)*(CHOOSE({1,2,3,4},KMB!W50,KMB!AA50,KMB!AE50,KMB!AI50)))</f>
        <v>0</v>
      </c>
      <c r="F50">
        <f>SUMPRODUCT((MONTH(CHOOSE({1,2,3,4},KMB!T50,KMB!X50,KMB!AB50,KMB!AF50))=6)*(CHOOSE({1,2,3,4},KMB!W50,KMB!AA50,KMB!AE50,KMB!AI50)))</f>
        <v>0</v>
      </c>
      <c r="G50">
        <f>SUMPRODUCT((MONTH(CHOOSE({1,2,3,4},KMB!T50,KMB!X50,KMB!AB50,KMB!AF50))=7)*(CHOOSE({1,2,3,4},KMB!W50,KMB!AA50,KMB!AE50,KMB!AI50)))</f>
        <v>0</v>
      </c>
      <c r="H50">
        <f>SUMPRODUCT((MONTH(CHOOSE({1,2,3,4},KMB!T50,KMB!X50,KMB!AB50,KMB!AF50))=8)*(CHOOSE({1,2,3,4},KMB!W50,KMB!AA50,KMB!AE50,KMB!AI50)))</f>
        <v>0</v>
      </c>
      <c r="I50">
        <f>SUMPRODUCT((MONTH(CHOOSE({1,2,3,4},KMB!T50,KMB!X50,KMB!AB50,KMB!AF50))=9)*(CHOOSE({1,2,3,4},KMB!W50,KMB!AA50,KMB!AE50,KMB!AI50)))</f>
        <v>0</v>
      </c>
      <c r="J50">
        <f>SUMPRODUCT((MONTH(CHOOSE({1,2,3,4},KMB!T50,KMB!X50,KMB!AB50,KMB!AF50))=10)*(CHOOSE({1,2,3,4},KMB!W50,KMB!AA50,KMB!AE50,KMB!AI50)))</f>
        <v>0</v>
      </c>
      <c r="K50">
        <f>SUMPRODUCT((MONTH(CHOOSE({1,2,3,4},KMB!T50,KMB!X50,KMB!AB50,KMB!AF50))=11)*(CHOOSE({1,2,3,4},KMB!W50,KMB!AA50,KMB!AE50,KMB!AI50)))</f>
        <v>0</v>
      </c>
      <c r="L50">
        <f>SUMPRODUCT((MONTH(CHOOSE({1,2,3,4},KMB!T50,KMB!X50,KMB!AB50,KMB!AF50))=12)*(CHOOSE({1,2,3,4},KMB!W50,KMB!AA50,KMB!AE50,KMB!AI50)))</f>
        <v>0</v>
      </c>
    </row>
    <row r="51" spans="1:12">
      <c r="A51">
        <f>SUMPRODUCT((MONTH(CHOOSE({1,2,3,4},KMB!T51,KMB!X51,KMB!AB51,KMB!AF51))=1)*(CHOOSE({1,2,3,4},KMB!W51,KMB!AA51,KMB!AE51,KMB!AI51)))</f>
        <v>0</v>
      </c>
      <c r="B51">
        <f>SUMPRODUCT((MONTH(CHOOSE({1,2,3,4},KMB!T51,KMB!X51,KMB!AB51,KMB!AF51))=2)*(CHOOSE({1,2,3,4},KMB!W51,KMB!AA51,KMB!AE51,KMB!AI51)))</f>
        <v>0</v>
      </c>
      <c r="C51">
        <f>SUMPRODUCT((MONTH(CHOOSE({1,2,3,4},KMB!T51,KMB!X51,KMB!AB51,KMB!AF51))=3)*(CHOOSE({1,2,3,4},KMB!W51,KMB!AA51,KMB!AE51,KMB!AI51)))</f>
        <v>0</v>
      </c>
      <c r="D51">
        <f>SUMPRODUCT((MONTH(CHOOSE({1,2,3,4},KMB!T51,KMB!X51,KMB!AB51,KMB!AF51))=4)*(CHOOSE({1,2,3,4},KMB!W51,KMB!AA51,KMB!AE51,KMB!AI51)))</f>
        <v>0</v>
      </c>
      <c r="E51">
        <f>SUMPRODUCT((MONTH(CHOOSE({1,2,3,4},KMB!T51,KMB!X51,KMB!AB51,KMB!AF51))=5)*(CHOOSE({1,2,3,4},KMB!W51,KMB!AA51,KMB!AE51,KMB!AI51)))</f>
        <v>0</v>
      </c>
      <c r="F51">
        <f>SUMPRODUCT((MONTH(CHOOSE({1,2,3,4},KMB!T51,KMB!X51,KMB!AB51,KMB!AF51))=6)*(CHOOSE({1,2,3,4},KMB!W51,KMB!AA51,KMB!AE51,KMB!AI51)))</f>
        <v>0</v>
      </c>
      <c r="G51">
        <f>SUMPRODUCT((MONTH(CHOOSE({1,2,3,4},KMB!T51,KMB!X51,KMB!AB51,KMB!AF51))=7)*(CHOOSE({1,2,3,4},KMB!W51,KMB!AA51,KMB!AE51,KMB!AI51)))</f>
        <v>0</v>
      </c>
      <c r="H51">
        <f>SUMPRODUCT((MONTH(CHOOSE({1,2,3,4},KMB!T51,KMB!X51,KMB!AB51,KMB!AF51))=8)*(CHOOSE({1,2,3,4},KMB!W51,KMB!AA51,KMB!AE51,KMB!AI51)))</f>
        <v>0</v>
      </c>
      <c r="I51">
        <f>SUMPRODUCT((MONTH(CHOOSE({1,2,3,4},KMB!T51,KMB!X51,KMB!AB51,KMB!AF51))=9)*(CHOOSE({1,2,3,4},KMB!W51,KMB!AA51,KMB!AE51,KMB!AI51)))</f>
        <v>0</v>
      </c>
      <c r="J51">
        <f>SUMPRODUCT((MONTH(CHOOSE({1,2,3,4},KMB!T51,KMB!X51,KMB!AB51,KMB!AF51))=10)*(CHOOSE({1,2,3,4},KMB!W51,KMB!AA51,KMB!AE51,KMB!AI51)))</f>
        <v>0</v>
      </c>
      <c r="K51">
        <f>SUMPRODUCT((MONTH(CHOOSE({1,2,3,4},KMB!T51,KMB!X51,KMB!AB51,KMB!AF51))=11)*(CHOOSE({1,2,3,4},KMB!W51,KMB!AA51,KMB!AE51,KMB!AI51)))</f>
        <v>0</v>
      </c>
      <c r="L51">
        <f>SUMPRODUCT((MONTH(CHOOSE({1,2,3,4},KMB!T51,KMB!X51,KMB!AB51,KMB!AF51))=12)*(CHOOSE({1,2,3,4},KMB!W51,KMB!AA51,KMB!AE51,KMB!AI51)))</f>
        <v>0</v>
      </c>
    </row>
    <row r="52" spans="1:12">
      <c r="A52">
        <f>SUMPRODUCT((MONTH(CHOOSE({1,2,3,4},KMB!T52,KMB!X52,KMB!AB52,KMB!AF52))=1)*(CHOOSE({1,2,3,4},KMB!W52,KMB!AA52,KMB!AE52,KMB!AI52)))</f>
        <v>0</v>
      </c>
      <c r="B52">
        <f>SUMPRODUCT((MONTH(CHOOSE({1,2,3,4},KMB!T52,KMB!X52,KMB!AB52,KMB!AF52))=2)*(CHOOSE({1,2,3,4},KMB!W52,KMB!AA52,KMB!AE52,KMB!AI52)))</f>
        <v>0</v>
      </c>
      <c r="C52">
        <f>SUMPRODUCT((MONTH(CHOOSE({1,2,3,4},KMB!T52,KMB!X52,KMB!AB52,KMB!AF52))=3)*(CHOOSE({1,2,3,4},KMB!W52,KMB!AA52,KMB!AE52,KMB!AI52)))</f>
        <v>0</v>
      </c>
      <c r="D52">
        <f>SUMPRODUCT((MONTH(CHOOSE({1,2,3,4},KMB!T52,KMB!X52,KMB!AB52,KMB!AF52))=4)*(CHOOSE({1,2,3,4},KMB!W52,KMB!AA52,KMB!AE52,KMB!AI52)))</f>
        <v>0</v>
      </c>
      <c r="E52">
        <f>SUMPRODUCT((MONTH(CHOOSE({1,2,3,4},KMB!T52,KMB!X52,KMB!AB52,KMB!AF52))=5)*(CHOOSE({1,2,3,4},KMB!W52,KMB!AA52,KMB!AE52,KMB!AI52)))</f>
        <v>0</v>
      </c>
      <c r="F52">
        <f>SUMPRODUCT((MONTH(CHOOSE({1,2,3,4},KMB!T52,KMB!X52,KMB!AB52,KMB!AF52))=6)*(CHOOSE({1,2,3,4},KMB!W52,KMB!AA52,KMB!AE52,KMB!AI52)))</f>
        <v>0</v>
      </c>
      <c r="G52">
        <f>SUMPRODUCT((MONTH(CHOOSE({1,2,3,4},KMB!T52,KMB!X52,KMB!AB52,KMB!AF52))=7)*(CHOOSE({1,2,3,4},KMB!W52,KMB!AA52,KMB!AE52,KMB!AI52)))</f>
        <v>0</v>
      </c>
      <c r="H52">
        <f>SUMPRODUCT((MONTH(CHOOSE({1,2,3,4},KMB!T52,KMB!X52,KMB!AB52,KMB!AF52))=8)*(CHOOSE({1,2,3,4},KMB!W52,KMB!AA52,KMB!AE52,KMB!AI52)))</f>
        <v>0</v>
      </c>
      <c r="I52">
        <f>SUMPRODUCT((MONTH(CHOOSE({1,2,3,4},KMB!T52,KMB!X52,KMB!AB52,KMB!AF52))=9)*(CHOOSE({1,2,3,4},KMB!W52,KMB!AA52,KMB!AE52,KMB!AI52)))</f>
        <v>0</v>
      </c>
      <c r="J52">
        <f>SUMPRODUCT((MONTH(CHOOSE({1,2,3,4},KMB!T52,KMB!X52,KMB!AB52,KMB!AF52))=10)*(CHOOSE({1,2,3,4},KMB!W52,KMB!AA52,KMB!AE52,KMB!AI52)))</f>
        <v>0</v>
      </c>
      <c r="K52">
        <f>SUMPRODUCT((MONTH(CHOOSE({1,2,3,4},KMB!T52,KMB!X52,KMB!AB52,KMB!AF52))=11)*(CHOOSE({1,2,3,4},KMB!W52,KMB!AA52,KMB!AE52,KMB!AI52)))</f>
        <v>0</v>
      </c>
      <c r="L52">
        <f>SUMPRODUCT((MONTH(CHOOSE({1,2,3,4},KMB!T52,KMB!X52,KMB!AB52,KMB!AF52))=12)*(CHOOSE({1,2,3,4},KMB!W52,KMB!AA52,KMB!AE52,KMB!AI52)))</f>
        <v>0</v>
      </c>
    </row>
    <row r="53" spans="1:12">
      <c r="A53">
        <f>SUMPRODUCT((MONTH(CHOOSE({1,2,3,4},KMB!T53,KMB!X53,KMB!AB53,KMB!AF53))=1)*(CHOOSE({1,2,3,4},KMB!W53,KMB!AA53,KMB!AE53,KMB!AI53)))</f>
        <v>0</v>
      </c>
      <c r="B53">
        <f>SUMPRODUCT((MONTH(CHOOSE({1,2,3,4},KMB!T53,KMB!X53,KMB!AB53,KMB!AF53))=2)*(CHOOSE({1,2,3,4},KMB!W53,KMB!AA53,KMB!AE53,KMB!AI53)))</f>
        <v>0</v>
      </c>
      <c r="C53">
        <f>SUMPRODUCT((MONTH(CHOOSE({1,2,3,4},KMB!T53,KMB!X53,KMB!AB53,KMB!AF53))=3)*(CHOOSE({1,2,3,4},KMB!W53,KMB!AA53,KMB!AE53,KMB!AI53)))</f>
        <v>0</v>
      </c>
      <c r="D53">
        <f>SUMPRODUCT((MONTH(CHOOSE({1,2,3,4},KMB!T53,KMB!X53,KMB!AB53,KMB!AF53))=4)*(CHOOSE({1,2,3,4},KMB!W53,KMB!AA53,KMB!AE53,KMB!AI53)))</f>
        <v>0</v>
      </c>
      <c r="E53">
        <f>SUMPRODUCT((MONTH(CHOOSE({1,2,3,4},KMB!T53,KMB!X53,KMB!AB53,KMB!AF53))=5)*(CHOOSE({1,2,3,4},KMB!W53,KMB!AA53,KMB!AE53,KMB!AI53)))</f>
        <v>0</v>
      </c>
      <c r="F53">
        <f>SUMPRODUCT((MONTH(CHOOSE({1,2,3,4},KMB!T53,KMB!X53,KMB!AB53,KMB!AF53))=6)*(CHOOSE({1,2,3,4},KMB!W53,KMB!AA53,KMB!AE53,KMB!AI53)))</f>
        <v>0</v>
      </c>
      <c r="G53">
        <f>SUMPRODUCT((MONTH(CHOOSE({1,2,3,4},KMB!T53,KMB!X53,KMB!AB53,KMB!AF53))=7)*(CHOOSE({1,2,3,4},KMB!W53,KMB!AA53,KMB!AE53,KMB!AI53)))</f>
        <v>0</v>
      </c>
      <c r="H53">
        <f>SUMPRODUCT((MONTH(CHOOSE({1,2,3,4},KMB!T53,KMB!X53,KMB!AB53,KMB!AF53))=8)*(CHOOSE({1,2,3,4},KMB!W53,KMB!AA53,KMB!AE53,KMB!AI53)))</f>
        <v>0</v>
      </c>
      <c r="I53">
        <f>SUMPRODUCT((MONTH(CHOOSE({1,2,3,4},KMB!T53,KMB!X53,KMB!AB53,KMB!AF53))=9)*(CHOOSE({1,2,3,4},KMB!W53,KMB!AA53,KMB!AE53,KMB!AI53)))</f>
        <v>0</v>
      </c>
      <c r="J53">
        <f>SUMPRODUCT((MONTH(CHOOSE({1,2,3,4},KMB!T53,KMB!X53,KMB!AB53,KMB!AF53))=10)*(CHOOSE({1,2,3,4},KMB!W53,KMB!AA53,KMB!AE53,KMB!AI53)))</f>
        <v>0</v>
      </c>
      <c r="K53">
        <f>SUMPRODUCT((MONTH(CHOOSE({1,2,3,4},KMB!T53,KMB!X53,KMB!AB53,KMB!AF53))=11)*(CHOOSE({1,2,3,4},KMB!W53,KMB!AA53,KMB!AE53,KMB!AI53)))</f>
        <v>0</v>
      </c>
      <c r="L53">
        <f>SUMPRODUCT((MONTH(CHOOSE({1,2,3,4},KMB!T53,KMB!X53,KMB!AB53,KMB!AF53))=12)*(CHOOSE({1,2,3,4},KMB!W53,KMB!AA53,KMB!AE53,KMB!AI53)))</f>
        <v>0</v>
      </c>
    </row>
    <row r="54" spans="1:12">
      <c r="A54">
        <f>SUMPRODUCT((MONTH(CHOOSE({1,2,3,4},KMB!T54,KMB!X54,KMB!AB54,KMB!AF54))=1)*(CHOOSE({1,2,3,4},KMB!W54,KMB!AA54,KMB!AE54,KMB!AI54)))</f>
        <v>0</v>
      </c>
      <c r="B54">
        <f>SUMPRODUCT((MONTH(CHOOSE({1,2,3,4},KMB!T54,KMB!X54,KMB!AB54,KMB!AF54))=2)*(CHOOSE({1,2,3,4},KMB!W54,KMB!AA54,KMB!AE54,KMB!AI54)))</f>
        <v>0</v>
      </c>
      <c r="C54">
        <f>SUMPRODUCT((MONTH(CHOOSE({1,2,3,4},KMB!T54,KMB!X54,KMB!AB54,KMB!AF54))=3)*(CHOOSE({1,2,3,4},KMB!W54,KMB!AA54,KMB!AE54,KMB!AI54)))</f>
        <v>0</v>
      </c>
      <c r="D54">
        <f>SUMPRODUCT((MONTH(CHOOSE({1,2,3,4},KMB!T54,KMB!X54,KMB!AB54,KMB!AF54))=4)*(CHOOSE({1,2,3,4},KMB!W54,KMB!AA54,KMB!AE54,KMB!AI54)))</f>
        <v>0</v>
      </c>
      <c r="E54">
        <f>SUMPRODUCT((MONTH(CHOOSE({1,2,3,4},KMB!T54,KMB!X54,KMB!AB54,KMB!AF54))=5)*(CHOOSE({1,2,3,4},KMB!W54,KMB!AA54,KMB!AE54,KMB!AI54)))</f>
        <v>0</v>
      </c>
      <c r="F54">
        <f>SUMPRODUCT((MONTH(CHOOSE({1,2,3,4},KMB!T54,KMB!X54,KMB!AB54,KMB!AF54))=6)*(CHOOSE({1,2,3,4},KMB!W54,KMB!AA54,KMB!AE54,KMB!AI54)))</f>
        <v>0</v>
      </c>
      <c r="G54">
        <f>SUMPRODUCT((MONTH(CHOOSE({1,2,3,4},KMB!T54,KMB!X54,KMB!AB54,KMB!AF54))=7)*(CHOOSE({1,2,3,4},KMB!W54,KMB!AA54,KMB!AE54,KMB!AI54)))</f>
        <v>0</v>
      </c>
      <c r="H54">
        <f>SUMPRODUCT((MONTH(CHOOSE({1,2,3,4},KMB!T54,KMB!X54,KMB!AB54,KMB!AF54))=8)*(CHOOSE({1,2,3,4},KMB!W54,KMB!AA54,KMB!AE54,KMB!AI54)))</f>
        <v>0</v>
      </c>
      <c r="I54">
        <f>SUMPRODUCT((MONTH(CHOOSE({1,2,3,4},KMB!T54,KMB!X54,KMB!AB54,KMB!AF54))=9)*(CHOOSE({1,2,3,4},KMB!W54,KMB!AA54,KMB!AE54,KMB!AI54)))</f>
        <v>0</v>
      </c>
      <c r="J54">
        <f>SUMPRODUCT((MONTH(CHOOSE({1,2,3,4},KMB!T54,KMB!X54,KMB!AB54,KMB!AF54))=10)*(CHOOSE({1,2,3,4},KMB!W54,KMB!AA54,KMB!AE54,KMB!AI54)))</f>
        <v>0</v>
      </c>
      <c r="K54">
        <f>SUMPRODUCT((MONTH(CHOOSE({1,2,3,4},KMB!T54,KMB!X54,KMB!AB54,KMB!AF54))=11)*(CHOOSE({1,2,3,4},KMB!W54,KMB!AA54,KMB!AE54,KMB!AI54)))</f>
        <v>0</v>
      </c>
      <c r="L54">
        <f>SUMPRODUCT((MONTH(CHOOSE({1,2,3,4},KMB!T54,KMB!X54,KMB!AB54,KMB!AF54))=12)*(CHOOSE({1,2,3,4},KMB!W54,KMB!AA54,KMB!AE54,KMB!AI54)))</f>
        <v>0</v>
      </c>
    </row>
    <row r="55" spans="1:12">
      <c r="A55">
        <f>SUMPRODUCT((MONTH(CHOOSE({1,2,3,4},KMB!T55,KMB!X55,KMB!AB55,KMB!AF55))=1)*(CHOOSE({1,2,3,4},KMB!W55,KMB!AA55,KMB!AE55,KMB!AI55)))</f>
        <v>0</v>
      </c>
      <c r="B55">
        <f>SUMPRODUCT((MONTH(CHOOSE({1,2,3,4},KMB!T55,KMB!X55,KMB!AB55,KMB!AF55))=2)*(CHOOSE({1,2,3,4},KMB!W55,KMB!AA55,KMB!AE55,KMB!AI55)))</f>
        <v>0</v>
      </c>
      <c r="C55">
        <f>SUMPRODUCT((MONTH(CHOOSE({1,2,3,4},KMB!T55,KMB!X55,KMB!AB55,KMB!AF55))=3)*(CHOOSE({1,2,3,4},KMB!W55,KMB!AA55,KMB!AE55,KMB!AI55)))</f>
        <v>0</v>
      </c>
      <c r="D55">
        <f>SUMPRODUCT((MONTH(CHOOSE({1,2,3,4},KMB!T55,KMB!X55,KMB!AB55,KMB!AF55))=4)*(CHOOSE({1,2,3,4},KMB!W55,KMB!AA55,KMB!AE55,KMB!AI55)))</f>
        <v>0</v>
      </c>
      <c r="E55">
        <f>SUMPRODUCT((MONTH(CHOOSE({1,2,3,4},KMB!T55,KMB!X55,KMB!AB55,KMB!AF55))=5)*(CHOOSE({1,2,3,4},KMB!W55,KMB!AA55,KMB!AE55,KMB!AI55)))</f>
        <v>0</v>
      </c>
      <c r="F55">
        <f>SUMPRODUCT((MONTH(CHOOSE({1,2,3,4},KMB!T55,KMB!X55,KMB!AB55,KMB!AF55))=6)*(CHOOSE({1,2,3,4},KMB!W55,KMB!AA55,KMB!AE55,KMB!AI55)))</f>
        <v>0</v>
      </c>
      <c r="G55">
        <f>SUMPRODUCT((MONTH(CHOOSE({1,2,3,4},KMB!T55,KMB!X55,KMB!AB55,KMB!AF55))=7)*(CHOOSE({1,2,3,4},KMB!W55,KMB!AA55,KMB!AE55,KMB!AI55)))</f>
        <v>0</v>
      </c>
      <c r="H55">
        <f>SUMPRODUCT((MONTH(CHOOSE({1,2,3,4},KMB!T55,KMB!X55,KMB!AB55,KMB!AF55))=8)*(CHOOSE({1,2,3,4},KMB!W55,KMB!AA55,KMB!AE55,KMB!AI55)))</f>
        <v>0</v>
      </c>
      <c r="I55">
        <f>SUMPRODUCT((MONTH(CHOOSE({1,2,3,4},KMB!T55,KMB!X55,KMB!AB55,KMB!AF55))=9)*(CHOOSE({1,2,3,4},KMB!W55,KMB!AA55,KMB!AE55,KMB!AI55)))</f>
        <v>0</v>
      </c>
      <c r="J55">
        <f>SUMPRODUCT((MONTH(CHOOSE({1,2,3,4},KMB!T55,KMB!X55,KMB!AB55,KMB!AF55))=10)*(CHOOSE({1,2,3,4},KMB!W55,KMB!AA55,KMB!AE55,KMB!AI55)))</f>
        <v>0</v>
      </c>
      <c r="K55">
        <f>SUMPRODUCT((MONTH(CHOOSE({1,2,3,4},KMB!T55,KMB!X55,KMB!AB55,KMB!AF55))=11)*(CHOOSE({1,2,3,4},KMB!W55,KMB!AA55,KMB!AE55,KMB!AI55)))</f>
        <v>0</v>
      </c>
      <c r="L55">
        <f>SUMPRODUCT((MONTH(CHOOSE({1,2,3,4},KMB!T55,KMB!X55,KMB!AB55,KMB!AF55))=12)*(CHOOSE({1,2,3,4},KMB!W55,KMB!AA55,KMB!AE55,KMB!AI55)))</f>
        <v>0</v>
      </c>
    </row>
    <row r="56" spans="1:12">
      <c r="A56">
        <f>SUMPRODUCT((MONTH(CHOOSE({1,2,3,4},KMB!T56,KMB!X56,KMB!AB56,KMB!AF56))=1)*(CHOOSE({1,2,3,4},KMB!W56,KMB!AA56,KMB!AE56,KMB!AI56)))</f>
        <v>0</v>
      </c>
      <c r="B56">
        <f>SUMPRODUCT((MONTH(CHOOSE({1,2,3,4},KMB!T56,KMB!X56,KMB!AB56,KMB!AF56))=2)*(CHOOSE({1,2,3,4},KMB!W56,KMB!AA56,KMB!AE56,KMB!AI56)))</f>
        <v>0</v>
      </c>
      <c r="C56">
        <f>SUMPRODUCT((MONTH(CHOOSE({1,2,3,4},KMB!T56,KMB!X56,KMB!AB56,KMB!AF56))=3)*(CHOOSE({1,2,3,4},KMB!W56,KMB!AA56,KMB!AE56,KMB!AI56)))</f>
        <v>0</v>
      </c>
      <c r="D56">
        <f>SUMPRODUCT((MONTH(CHOOSE({1,2,3,4},KMB!T56,KMB!X56,KMB!AB56,KMB!AF56))=4)*(CHOOSE({1,2,3,4},KMB!W56,KMB!AA56,KMB!AE56,KMB!AI56)))</f>
        <v>0</v>
      </c>
      <c r="E56">
        <f>SUMPRODUCT((MONTH(CHOOSE({1,2,3,4},KMB!T56,KMB!X56,KMB!AB56,KMB!AF56))=5)*(CHOOSE({1,2,3,4},KMB!W56,KMB!AA56,KMB!AE56,KMB!AI56)))</f>
        <v>0</v>
      </c>
      <c r="F56">
        <f>SUMPRODUCT((MONTH(CHOOSE({1,2,3,4},KMB!T56,KMB!X56,KMB!AB56,KMB!AF56))=6)*(CHOOSE({1,2,3,4},KMB!W56,KMB!AA56,KMB!AE56,KMB!AI56)))</f>
        <v>0</v>
      </c>
      <c r="G56">
        <f>SUMPRODUCT((MONTH(CHOOSE({1,2,3,4},KMB!T56,KMB!X56,KMB!AB56,KMB!AF56))=7)*(CHOOSE({1,2,3,4},KMB!W56,KMB!AA56,KMB!AE56,KMB!AI56)))</f>
        <v>0</v>
      </c>
      <c r="H56">
        <f>SUMPRODUCT((MONTH(CHOOSE({1,2,3,4},KMB!T56,KMB!X56,KMB!AB56,KMB!AF56))=8)*(CHOOSE({1,2,3,4},KMB!W56,KMB!AA56,KMB!AE56,KMB!AI56)))</f>
        <v>0</v>
      </c>
      <c r="I56">
        <f>SUMPRODUCT((MONTH(CHOOSE({1,2,3,4},KMB!T56,KMB!X56,KMB!AB56,KMB!AF56))=9)*(CHOOSE({1,2,3,4},KMB!W56,KMB!AA56,KMB!AE56,KMB!AI56)))</f>
        <v>0</v>
      </c>
      <c r="J56">
        <f>SUMPRODUCT((MONTH(CHOOSE({1,2,3,4},KMB!T56,KMB!X56,KMB!AB56,KMB!AF56))=10)*(CHOOSE({1,2,3,4},KMB!W56,KMB!AA56,KMB!AE56,KMB!AI56)))</f>
        <v>0</v>
      </c>
      <c r="K56">
        <f>SUMPRODUCT((MONTH(CHOOSE({1,2,3,4},KMB!T56,KMB!X56,KMB!AB56,KMB!AF56))=11)*(CHOOSE({1,2,3,4},KMB!W56,KMB!AA56,KMB!AE56,KMB!AI56)))</f>
        <v>0</v>
      </c>
      <c r="L56">
        <f>SUMPRODUCT((MONTH(CHOOSE({1,2,3,4},KMB!T56,KMB!X56,KMB!AB56,KMB!AF56))=12)*(CHOOSE({1,2,3,4},KMB!W56,KMB!AA56,KMB!AE56,KMB!AI56)))</f>
        <v>0</v>
      </c>
    </row>
    <row r="57" spans="1:12">
      <c r="A57">
        <f>SUMPRODUCT((MONTH(CHOOSE({1,2,3,4},KMB!T57,KMB!X57,KMB!AB57,KMB!AF57))=1)*(CHOOSE({1,2,3,4},KMB!W57,KMB!AA57,KMB!AE57,KMB!AI57)))</f>
        <v>0</v>
      </c>
      <c r="B57">
        <f>SUMPRODUCT((MONTH(CHOOSE({1,2,3,4},KMB!T57,KMB!X57,KMB!AB57,KMB!AF57))=2)*(CHOOSE({1,2,3,4},KMB!W57,KMB!AA57,KMB!AE57,KMB!AI57)))</f>
        <v>0</v>
      </c>
      <c r="C57">
        <f>SUMPRODUCT((MONTH(CHOOSE({1,2,3,4},KMB!T57,KMB!X57,KMB!AB57,KMB!AF57))=3)*(CHOOSE({1,2,3,4},KMB!W57,KMB!AA57,KMB!AE57,KMB!AI57)))</f>
        <v>0</v>
      </c>
      <c r="D57">
        <f>SUMPRODUCT((MONTH(CHOOSE({1,2,3,4},KMB!T57,KMB!X57,KMB!AB57,KMB!AF57))=4)*(CHOOSE({1,2,3,4},KMB!W57,KMB!AA57,KMB!AE57,KMB!AI57)))</f>
        <v>0</v>
      </c>
      <c r="E57">
        <f>SUMPRODUCT((MONTH(CHOOSE({1,2,3,4},KMB!T57,KMB!X57,KMB!AB57,KMB!AF57))=5)*(CHOOSE({1,2,3,4},KMB!W57,KMB!AA57,KMB!AE57,KMB!AI57)))</f>
        <v>0</v>
      </c>
      <c r="F57">
        <f>SUMPRODUCT((MONTH(CHOOSE({1,2,3,4},KMB!T57,KMB!X57,KMB!AB57,KMB!AF57))=6)*(CHOOSE({1,2,3,4},KMB!W57,KMB!AA57,KMB!AE57,KMB!AI57)))</f>
        <v>0</v>
      </c>
      <c r="G57">
        <f>SUMPRODUCT((MONTH(CHOOSE({1,2,3,4},KMB!T57,KMB!X57,KMB!AB57,KMB!AF57))=7)*(CHOOSE({1,2,3,4},KMB!W57,KMB!AA57,KMB!AE57,KMB!AI57)))</f>
        <v>0</v>
      </c>
      <c r="H57">
        <f>SUMPRODUCT((MONTH(CHOOSE({1,2,3,4},KMB!T57,KMB!X57,KMB!AB57,KMB!AF57))=8)*(CHOOSE({1,2,3,4},KMB!W57,KMB!AA57,KMB!AE57,KMB!AI57)))</f>
        <v>0</v>
      </c>
      <c r="I57">
        <f>SUMPRODUCT((MONTH(CHOOSE({1,2,3,4},KMB!T57,KMB!X57,KMB!AB57,KMB!AF57))=9)*(CHOOSE({1,2,3,4},KMB!W57,KMB!AA57,KMB!AE57,KMB!AI57)))</f>
        <v>0</v>
      </c>
      <c r="J57">
        <f>SUMPRODUCT((MONTH(CHOOSE({1,2,3,4},KMB!T57,KMB!X57,KMB!AB57,KMB!AF57))=10)*(CHOOSE({1,2,3,4},KMB!W57,KMB!AA57,KMB!AE57,KMB!AI57)))</f>
        <v>0</v>
      </c>
      <c r="K57">
        <f>SUMPRODUCT((MONTH(CHOOSE({1,2,3,4},KMB!T57,KMB!X57,KMB!AB57,KMB!AF57))=11)*(CHOOSE({1,2,3,4},KMB!W57,KMB!AA57,KMB!AE57,KMB!AI57)))</f>
        <v>0</v>
      </c>
      <c r="L57">
        <f>SUMPRODUCT((MONTH(CHOOSE({1,2,3,4},KMB!T57,KMB!X57,KMB!AB57,KMB!AF57))=12)*(CHOOSE({1,2,3,4},KMB!W57,KMB!AA57,KMB!AE57,KMB!AI57)))</f>
        <v>0</v>
      </c>
    </row>
    <row r="58" spans="1:12">
      <c r="A58">
        <f>SUMPRODUCT((MONTH(CHOOSE({1,2,3,4},KMB!T58,KMB!X58,KMB!AB58,KMB!AF58))=1)*(CHOOSE({1,2,3,4},KMB!W58,KMB!AA58,KMB!AE58,KMB!AI58)))</f>
        <v>0</v>
      </c>
      <c r="B58">
        <f>SUMPRODUCT((MONTH(CHOOSE({1,2,3,4},KMB!T58,KMB!X58,KMB!AB58,KMB!AF58))=2)*(CHOOSE({1,2,3,4},KMB!W58,KMB!AA58,KMB!AE58,KMB!AI58)))</f>
        <v>0</v>
      </c>
      <c r="C58">
        <f>SUMPRODUCT((MONTH(CHOOSE({1,2,3,4},KMB!T58,KMB!X58,KMB!AB58,KMB!AF58))=3)*(CHOOSE({1,2,3,4},KMB!W58,KMB!AA58,KMB!AE58,KMB!AI58)))</f>
        <v>0</v>
      </c>
      <c r="D58">
        <f>SUMPRODUCT((MONTH(CHOOSE({1,2,3,4},KMB!T58,KMB!X58,KMB!AB58,KMB!AF58))=4)*(CHOOSE({1,2,3,4},KMB!W58,KMB!AA58,KMB!AE58,KMB!AI58)))</f>
        <v>0</v>
      </c>
      <c r="E58">
        <f>SUMPRODUCT((MONTH(CHOOSE({1,2,3,4},KMB!T58,KMB!X58,KMB!AB58,KMB!AF58))=5)*(CHOOSE({1,2,3,4},KMB!W58,KMB!AA58,KMB!AE58,KMB!AI58)))</f>
        <v>0</v>
      </c>
      <c r="F58">
        <f>SUMPRODUCT((MONTH(CHOOSE({1,2,3,4},KMB!T58,KMB!X58,KMB!AB58,KMB!AF58))=6)*(CHOOSE({1,2,3,4},KMB!W58,KMB!AA58,KMB!AE58,KMB!AI58)))</f>
        <v>0</v>
      </c>
      <c r="G58">
        <f>SUMPRODUCT((MONTH(CHOOSE({1,2,3,4},KMB!T58,KMB!X58,KMB!AB58,KMB!AF58))=7)*(CHOOSE({1,2,3,4},KMB!W58,KMB!AA58,KMB!AE58,KMB!AI58)))</f>
        <v>0</v>
      </c>
      <c r="H58">
        <f>SUMPRODUCT((MONTH(CHOOSE({1,2,3,4},KMB!T58,KMB!X58,KMB!AB58,KMB!AF58))=8)*(CHOOSE({1,2,3,4},KMB!W58,KMB!AA58,KMB!AE58,KMB!AI58)))</f>
        <v>0</v>
      </c>
      <c r="I58">
        <f>SUMPRODUCT((MONTH(CHOOSE({1,2,3,4},KMB!T58,KMB!X58,KMB!AB58,KMB!AF58))=9)*(CHOOSE({1,2,3,4},KMB!W58,KMB!AA58,KMB!AE58,KMB!AI58)))</f>
        <v>0</v>
      </c>
      <c r="J58">
        <f>SUMPRODUCT((MONTH(CHOOSE({1,2,3,4},KMB!T58,KMB!X58,KMB!AB58,KMB!AF58))=10)*(CHOOSE({1,2,3,4},KMB!W58,KMB!AA58,KMB!AE58,KMB!AI58)))</f>
        <v>0</v>
      </c>
      <c r="K58">
        <f>SUMPRODUCT((MONTH(CHOOSE({1,2,3,4},KMB!T58,KMB!X58,KMB!AB58,KMB!AF58))=11)*(CHOOSE({1,2,3,4},KMB!W58,KMB!AA58,KMB!AE58,KMB!AI58)))</f>
        <v>0</v>
      </c>
      <c r="L58">
        <f>SUMPRODUCT((MONTH(CHOOSE({1,2,3,4},KMB!T58,KMB!X58,KMB!AB58,KMB!AF58))=12)*(CHOOSE({1,2,3,4},KMB!W58,KMB!AA58,KMB!AE58,KMB!AI58)))</f>
        <v>0</v>
      </c>
    </row>
    <row r="59" spans="1:12">
      <c r="A59">
        <f>SUMPRODUCT((MONTH(CHOOSE({1,2,3,4},KMB!T59,KMB!X59,KMB!AB59,KMB!AF59))=1)*(CHOOSE({1,2,3,4},KMB!W59,KMB!AA59,KMB!AE59,KMB!AI59)))</f>
        <v>0</v>
      </c>
      <c r="B59">
        <f>SUMPRODUCT((MONTH(CHOOSE({1,2,3,4},KMB!T59,KMB!X59,KMB!AB59,KMB!AF59))=2)*(CHOOSE({1,2,3,4},KMB!W59,KMB!AA59,KMB!AE59,KMB!AI59)))</f>
        <v>0</v>
      </c>
      <c r="C59">
        <f>SUMPRODUCT((MONTH(CHOOSE({1,2,3,4},KMB!T59,KMB!X59,KMB!AB59,KMB!AF59))=3)*(CHOOSE({1,2,3,4},KMB!W59,KMB!AA59,KMB!AE59,KMB!AI59)))</f>
        <v>0</v>
      </c>
      <c r="D59">
        <f>SUMPRODUCT((MONTH(CHOOSE({1,2,3,4},KMB!T59,KMB!X59,KMB!AB59,KMB!AF59))=4)*(CHOOSE({1,2,3,4},KMB!W59,KMB!AA59,KMB!AE59,KMB!AI59)))</f>
        <v>0</v>
      </c>
      <c r="E59">
        <f>SUMPRODUCT((MONTH(CHOOSE({1,2,3,4},KMB!T59,KMB!X59,KMB!AB59,KMB!AF59))=5)*(CHOOSE({1,2,3,4},KMB!W59,KMB!AA59,KMB!AE59,KMB!AI59)))</f>
        <v>0</v>
      </c>
      <c r="F59">
        <f>SUMPRODUCT((MONTH(CHOOSE({1,2,3,4},KMB!T59,KMB!X59,KMB!AB59,KMB!AF59))=6)*(CHOOSE({1,2,3,4},KMB!W59,KMB!AA59,KMB!AE59,KMB!AI59)))</f>
        <v>0</v>
      </c>
      <c r="G59">
        <f>SUMPRODUCT((MONTH(CHOOSE({1,2,3,4},KMB!T59,KMB!X59,KMB!AB59,KMB!AF59))=7)*(CHOOSE({1,2,3,4},KMB!W59,KMB!AA59,KMB!AE59,KMB!AI59)))</f>
        <v>0</v>
      </c>
      <c r="H59">
        <f>SUMPRODUCT((MONTH(CHOOSE({1,2,3,4},KMB!T59,KMB!X59,KMB!AB59,KMB!AF59))=8)*(CHOOSE({1,2,3,4},KMB!W59,KMB!AA59,KMB!AE59,KMB!AI59)))</f>
        <v>0</v>
      </c>
      <c r="I59">
        <f>SUMPRODUCT((MONTH(CHOOSE({1,2,3,4},KMB!T59,KMB!X59,KMB!AB59,KMB!AF59))=9)*(CHOOSE({1,2,3,4},KMB!W59,KMB!AA59,KMB!AE59,KMB!AI59)))</f>
        <v>0</v>
      </c>
      <c r="J59">
        <f>SUMPRODUCT((MONTH(CHOOSE({1,2,3,4},KMB!T59,KMB!X59,KMB!AB59,KMB!AF59))=10)*(CHOOSE({1,2,3,4},KMB!W59,KMB!AA59,KMB!AE59,KMB!AI59)))</f>
        <v>0</v>
      </c>
      <c r="K59">
        <f>SUMPRODUCT((MONTH(CHOOSE({1,2,3,4},KMB!T59,KMB!X59,KMB!AB59,KMB!AF59))=11)*(CHOOSE({1,2,3,4},KMB!W59,KMB!AA59,KMB!AE59,KMB!AI59)))</f>
        <v>0</v>
      </c>
      <c r="L59">
        <f>SUMPRODUCT((MONTH(CHOOSE({1,2,3,4},KMB!T59,KMB!X59,KMB!AB59,KMB!AF59))=12)*(CHOOSE({1,2,3,4},KMB!W59,KMB!AA59,KMB!AE59,KMB!AI59)))</f>
        <v>0</v>
      </c>
    </row>
    <row r="60" spans="1:12">
      <c r="A60">
        <f>SUMPRODUCT((MONTH(CHOOSE({1,2,3,4},KMB!T60,KMB!X60,KMB!AB60,KMB!AF60))=1)*(CHOOSE({1,2,3,4},KMB!W60,KMB!AA60,KMB!AE60,KMB!AI60)))</f>
        <v>0</v>
      </c>
      <c r="B60">
        <f>SUMPRODUCT((MONTH(CHOOSE({1,2,3,4},KMB!T60,KMB!X60,KMB!AB60,KMB!AF60))=2)*(CHOOSE({1,2,3,4},KMB!W60,KMB!AA60,KMB!AE60,KMB!AI60)))</f>
        <v>0</v>
      </c>
      <c r="C60">
        <f>SUMPRODUCT((MONTH(CHOOSE({1,2,3,4},KMB!T60,KMB!X60,KMB!AB60,KMB!AF60))=3)*(CHOOSE({1,2,3,4},KMB!W60,KMB!AA60,KMB!AE60,KMB!AI60)))</f>
        <v>0</v>
      </c>
      <c r="D60">
        <f>SUMPRODUCT((MONTH(CHOOSE({1,2,3,4},KMB!T60,KMB!X60,KMB!AB60,KMB!AF60))=4)*(CHOOSE({1,2,3,4},KMB!W60,KMB!AA60,KMB!AE60,KMB!AI60)))</f>
        <v>0</v>
      </c>
      <c r="E60">
        <f>SUMPRODUCT((MONTH(CHOOSE({1,2,3,4},KMB!T60,KMB!X60,KMB!AB60,KMB!AF60))=5)*(CHOOSE({1,2,3,4},KMB!W60,KMB!AA60,KMB!AE60,KMB!AI60)))</f>
        <v>0</v>
      </c>
      <c r="F60">
        <f>SUMPRODUCT((MONTH(CHOOSE({1,2,3,4},KMB!T60,KMB!X60,KMB!AB60,KMB!AF60))=6)*(CHOOSE({1,2,3,4},KMB!W60,KMB!AA60,KMB!AE60,KMB!AI60)))</f>
        <v>0</v>
      </c>
      <c r="G60">
        <f>SUMPRODUCT((MONTH(CHOOSE({1,2,3,4},KMB!T60,KMB!X60,KMB!AB60,KMB!AF60))=7)*(CHOOSE({1,2,3,4},KMB!W60,KMB!AA60,KMB!AE60,KMB!AI60)))</f>
        <v>0</v>
      </c>
      <c r="H60">
        <f>SUMPRODUCT((MONTH(CHOOSE({1,2,3,4},KMB!T60,KMB!X60,KMB!AB60,KMB!AF60))=8)*(CHOOSE({1,2,3,4},KMB!W60,KMB!AA60,KMB!AE60,KMB!AI60)))</f>
        <v>0</v>
      </c>
      <c r="I60">
        <f>SUMPRODUCT((MONTH(CHOOSE({1,2,3,4},KMB!T60,KMB!X60,KMB!AB60,KMB!AF60))=9)*(CHOOSE({1,2,3,4},KMB!W60,KMB!AA60,KMB!AE60,KMB!AI60)))</f>
        <v>0</v>
      </c>
      <c r="J60">
        <f>SUMPRODUCT((MONTH(CHOOSE({1,2,3,4},KMB!T60,KMB!X60,KMB!AB60,KMB!AF60))=10)*(CHOOSE({1,2,3,4},KMB!W60,KMB!AA60,KMB!AE60,KMB!AI60)))</f>
        <v>0</v>
      </c>
      <c r="K60">
        <f>SUMPRODUCT((MONTH(CHOOSE({1,2,3,4},KMB!T60,KMB!X60,KMB!AB60,KMB!AF60))=11)*(CHOOSE({1,2,3,4},KMB!W60,KMB!AA60,KMB!AE60,KMB!AI60)))</f>
        <v>0</v>
      </c>
      <c r="L60">
        <f>SUMPRODUCT((MONTH(CHOOSE({1,2,3,4},KMB!T60,KMB!X60,KMB!AB60,KMB!AF60))=12)*(CHOOSE({1,2,3,4},KMB!W60,KMB!AA60,KMB!AE60,KMB!AI60)))</f>
        <v>0</v>
      </c>
    </row>
    <row r="61" spans="1:12">
      <c r="A61">
        <f>SUMPRODUCT((MONTH(CHOOSE({1,2,3,4},KMB!T61,KMB!X61,KMB!AB61,KMB!AF61))=1)*(CHOOSE({1,2,3,4},KMB!W61,KMB!AA61,KMB!AE61,KMB!AI61)))</f>
        <v>0</v>
      </c>
      <c r="B61">
        <f>SUMPRODUCT((MONTH(CHOOSE({1,2,3,4},KMB!T61,KMB!X61,KMB!AB61,KMB!AF61))=2)*(CHOOSE({1,2,3,4},KMB!W61,KMB!AA61,KMB!AE61,KMB!AI61)))</f>
        <v>0</v>
      </c>
      <c r="C61">
        <f>SUMPRODUCT((MONTH(CHOOSE({1,2,3,4},KMB!T61,KMB!X61,KMB!AB61,KMB!AF61))=3)*(CHOOSE({1,2,3,4},KMB!W61,KMB!AA61,KMB!AE61,KMB!AI61)))</f>
        <v>0</v>
      </c>
      <c r="D61">
        <f>SUMPRODUCT((MONTH(CHOOSE({1,2,3,4},KMB!T61,KMB!X61,KMB!AB61,KMB!AF61))=4)*(CHOOSE({1,2,3,4},KMB!W61,KMB!AA61,KMB!AE61,KMB!AI61)))</f>
        <v>0</v>
      </c>
      <c r="E61">
        <f>SUMPRODUCT((MONTH(CHOOSE({1,2,3,4},KMB!T61,KMB!X61,KMB!AB61,KMB!AF61))=5)*(CHOOSE({1,2,3,4},KMB!W61,KMB!AA61,KMB!AE61,KMB!AI61)))</f>
        <v>0</v>
      </c>
      <c r="F61">
        <f>SUMPRODUCT((MONTH(CHOOSE({1,2,3,4},KMB!T61,KMB!X61,KMB!AB61,KMB!AF61))=6)*(CHOOSE({1,2,3,4},KMB!W61,KMB!AA61,KMB!AE61,KMB!AI61)))</f>
        <v>0</v>
      </c>
      <c r="G61">
        <f>SUMPRODUCT((MONTH(CHOOSE({1,2,3,4},KMB!T61,KMB!X61,KMB!AB61,KMB!AF61))=7)*(CHOOSE({1,2,3,4},KMB!W61,KMB!AA61,KMB!AE61,KMB!AI61)))</f>
        <v>0</v>
      </c>
      <c r="H61">
        <f>SUMPRODUCT((MONTH(CHOOSE({1,2,3,4},KMB!T61,KMB!X61,KMB!AB61,KMB!AF61))=8)*(CHOOSE({1,2,3,4},KMB!W61,KMB!AA61,KMB!AE61,KMB!AI61)))</f>
        <v>0</v>
      </c>
      <c r="I61">
        <f>SUMPRODUCT((MONTH(CHOOSE({1,2,3,4},KMB!T61,KMB!X61,KMB!AB61,KMB!AF61))=9)*(CHOOSE({1,2,3,4},KMB!W61,KMB!AA61,KMB!AE61,KMB!AI61)))</f>
        <v>0</v>
      </c>
      <c r="J61">
        <f>SUMPRODUCT((MONTH(CHOOSE({1,2,3,4},KMB!T61,KMB!X61,KMB!AB61,KMB!AF61))=10)*(CHOOSE({1,2,3,4},KMB!W61,KMB!AA61,KMB!AE61,KMB!AI61)))</f>
        <v>0</v>
      </c>
      <c r="K61">
        <f>SUMPRODUCT((MONTH(CHOOSE({1,2,3,4},KMB!T61,KMB!X61,KMB!AB61,KMB!AF61))=11)*(CHOOSE({1,2,3,4},KMB!W61,KMB!AA61,KMB!AE61,KMB!AI61)))</f>
        <v>0</v>
      </c>
      <c r="L61">
        <f>SUMPRODUCT((MONTH(CHOOSE({1,2,3,4},KMB!T61,KMB!X61,KMB!AB61,KMB!AF61))=12)*(CHOOSE({1,2,3,4},KMB!W61,KMB!AA61,KMB!AE61,KMB!AI61)))</f>
        <v>0</v>
      </c>
    </row>
    <row r="62" spans="1:12">
      <c r="A62">
        <f>SUMPRODUCT((MONTH(CHOOSE({1,2,3,4},KMB!T62,KMB!X62,KMB!AB62,KMB!AF62))=1)*(CHOOSE({1,2,3,4},KMB!W62,KMB!AA62,KMB!AE62,KMB!AI62)))</f>
        <v>0</v>
      </c>
      <c r="B62">
        <f>SUMPRODUCT((MONTH(CHOOSE({1,2,3,4},KMB!T62,KMB!X62,KMB!AB62,KMB!AF62))=2)*(CHOOSE({1,2,3,4},KMB!W62,KMB!AA62,KMB!AE62,KMB!AI62)))</f>
        <v>0</v>
      </c>
      <c r="C62">
        <f>SUMPRODUCT((MONTH(CHOOSE({1,2,3,4},KMB!T62,KMB!X62,KMB!AB62,KMB!AF62))=3)*(CHOOSE({1,2,3,4},KMB!W62,KMB!AA62,KMB!AE62,KMB!AI62)))</f>
        <v>0</v>
      </c>
      <c r="D62">
        <f>SUMPRODUCT((MONTH(CHOOSE({1,2,3,4},KMB!T62,KMB!X62,KMB!AB62,KMB!AF62))=4)*(CHOOSE({1,2,3,4},KMB!W62,KMB!AA62,KMB!AE62,KMB!AI62)))</f>
        <v>0</v>
      </c>
      <c r="E62">
        <f>SUMPRODUCT((MONTH(CHOOSE({1,2,3,4},KMB!T62,KMB!X62,KMB!AB62,KMB!AF62))=5)*(CHOOSE({1,2,3,4},KMB!W62,KMB!AA62,KMB!AE62,KMB!AI62)))</f>
        <v>0</v>
      </c>
      <c r="F62">
        <f>SUMPRODUCT((MONTH(CHOOSE({1,2,3,4},KMB!T62,KMB!X62,KMB!AB62,KMB!AF62))=6)*(CHOOSE({1,2,3,4},KMB!W62,KMB!AA62,KMB!AE62,KMB!AI62)))</f>
        <v>0</v>
      </c>
      <c r="G62">
        <f>SUMPRODUCT((MONTH(CHOOSE({1,2,3,4},KMB!T62,KMB!X62,KMB!AB62,KMB!AF62))=7)*(CHOOSE({1,2,3,4},KMB!W62,KMB!AA62,KMB!AE62,KMB!AI62)))</f>
        <v>0</v>
      </c>
      <c r="H62">
        <f>SUMPRODUCT((MONTH(CHOOSE({1,2,3,4},KMB!T62,KMB!X62,KMB!AB62,KMB!AF62))=8)*(CHOOSE({1,2,3,4},KMB!W62,KMB!AA62,KMB!AE62,KMB!AI62)))</f>
        <v>0</v>
      </c>
      <c r="I62">
        <f>SUMPRODUCT((MONTH(CHOOSE({1,2,3,4},KMB!T62,KMB!X62,KMB!AB62,KMB!AF62))=9)*(CHOOSE({1,2,3,4},KMB!W62,KMB!AA62,KMB!AE62,KMB!AI62)))</f>
        <v>0</v>
      </c>
      <c r="J62">
        <f>SUMPRODUCT((MONTH(CHOOSE({1,2,3,4},KMB!T62,KMB!X62,KMB!AB62,KMB!AF62))=10)*(CHOOSE({1,2,3,4},KMB!W62,KMB!AA62,KMB!AE62,KMB!AI62)))</f>
        <v>0</v>
      </c>
      <c r="K62">
        <f>SUMPRODUCT((MONTH(CHOOSE({1,2,3,4},KMB!T62,KMB!X62,KMB!AB62,KMB!AF62))=11)*(CHOOSE({1,2,3,4},KMB!W62,KMB!AA62,KMB!AE62,KMB!AI62)))</f>
        <v>0</v>
      </c>
      <c r="L62">
        <f>SUMPRODUCT((MONTH(CHOOSE({1,2,3,4},KMB!T62,KMB!X62,KMB!AB62,KMB!AF62))=12)*(CHOOSE({1,2,3,4},KMB!W62,KMB!AA62,KMB!AE62,KMB!AI62)))</f>
        <v>0</v>
      </c>
    </row>
    <row r="63" spans="1:12">
      <c r="A63">
        <f>SUMPRODUCT((MONTH(CHOOSE({1,2,3,4},KMB!T63,KMB!X63,KMB!AB63,KMB!AF63))=1)*(CHOOSE({1,2,3,4},KMB!W63,KMB!AA63,KMB!AE63,KMB!AI63)))</f>
        <v>0</v>
      </c>
      <c r="B63">
        <f>SUMPRODUCT((MONTH(CHOOSE({1,2,3,4},KMB!T63,KMB!X63,KMB!AB63,KMB!AF63))=2)*(CHOOSE({1,2,3,4},KMB!W63,KMB!AA63,KMB!AE63,KMB!AI63)))</f>
        <v>0</v>
      </c>
      <c r="C63">
        <f>SUMPRODUCT((MONTH(CHOOSE({1,2,3,4},KMB!T63,KMB!X63,KMB!AB63,KMB!AF63))=3)*(CHOOSE({1,2,3,4},KMB!W63,KMB!AA63,KMB!AE63,KMB!AI63)))</f>
        <v>0</v>
      </c>
      <c r="D63">
        <f>SUMPRODUCT((MONTH(CHOOSE({1,2,3,4},KMB!T63,KMB!X63,KMB!AB63,KMB!AF63))=4)*(CHOOSE({1,2,3,4},KMB!W63,KMB!AA63,KMB!AE63,KMB!AI63)))</f>
        <v>0</v>
      </c>
      <c r="E63">
        <f>SUMPRODUCT((MONTH(CHOOSE({1,2,3,4},KMB!T63,KMB!X63,KMB!AB63,KMB!AF63))=5)*(CHOOSE({1,2,3,4},KMB!W63,KMB!AA63,KMB!AE63,KMB!AI63)))</f>
        <v>0</v>
      </c>
      <c r="F63">
        <f>SUMPRODUCT((MONTH(CHOOSE({1,2,3,4},KMB!T63,KMB!X63,KMB!AB63,KMB!AF63))=6)*(CHOOSE({1,2,3,4},KMB!W63,KMB!AA63,KMB!AE63,KMB!AI63)))</f>
        <v>0</v>
      </c>
      <c r="G63">
        <f>SUMPRODUCT((MONTH(CHOOSE({1,2,3,4},KMB!T63,KMB!X63,KMB!AB63,KMB!AF63))=7)*(CHOOSE({1,2,3,4},KMB!W63,KMB!AA63,KMB!AE63,KMB!AI63)))</f>
        <v>0</v>
      </c>
      <c r="H63">
        <f>SUMPRODUCT((MONTH(CHOOSE({1,2,3,4},KMB!T63,KMB!X63,KMB!AB63,KMB!AF63))=8)*(CHOOSE({1,2,3,4},KMB!W63,KMB!AA63,KMB!AE63,KMB!AI63)))</f>
        <v>0</v>
      </c>
      <c r="I63">
        <f>SUMPRODUCT((MONTH(CHOOSE({1,2,3,4},KMB!T63,KMB!X63,KMB!AB63,KMB!AF63))=9)*(CHOOSE({1,2,3,4},KMB!W63,KMB!AA63,KMB!AE63,KMB!AI63)))</f>
        <v>0</v>
      </c>
      <c r="J63">
        <f>SUMPRODUCT((MONTH(CHOOSE({1,2,3,4},KMB!T63,KMB!X63,KMB!AB63,KMB!AF63))=10)*(CHOOSE({1,2,3,4},KMB!W63,KMB!AA63,KMB!AE63,KMB!AI63)))</f>
        <v>0</v>
      </c>
      <c r="K63">
        <f>SUMPRODUCT((MONTH(CHOOSE({1,2,3,4},KMB!T63,KMB!X63,KMB!AB63,KMB!AF63))=11)*(CHOOSE({1,2,3,4},KMB!W63,KMB!AA63,KMB!AE63,KMB!AI63)))</f>
        <v>0</v>
      </c>
      <c r="L63">
        <f>SUMPRODUCT((MONTH(CHOOSE({1,2,3,4},KMB!T63,KMB!X63,KMB!AB63,KMB!AF63))=12)*(CHOOSE({1,2,3,4},KMB!W63,KMB!AA63,KMB!AE63,KMB!AI63)))</f>
        <v>0</v>
      </c>
    </row>
    <row r="64" spans="1:12">
      <c r="A64">
        <f>SUMPRODUCT((MONTH(CHOOSE({1,2,3,4},KMB!T64,KMB!X64,KMB!AB64,KMB!AF64))=1)*(CHOOSE({1,2,3,4},KMB!W64,KMB!AA64,KMB!AE64,KMB!AI64)))</f>
        <v>0</v>
      </c>
      <c r="B64">
        <f>SUMPRODUCT((MONTH(CHOOSE({1,2,3,4},KMB!T64,KMB!X64,KMB!AB64,KMB!AF64))=2)*(CHOOSE({1,2,3,4},KMB!W64,KMB!AA64,KMB!AE64,KMB!AI64)))</f>
        <v>0</v>
      </c>
      <c r="C64">
        <f>SUMPRODUCT((MONTH(CHOOSE({1,2,3,4},KMB!T64,KMB!X64,KMB!AB64,KMB!AF64))=3)*(CHOOSE({1,2,3,4},KMB!W64,KMB!AA64,KMB!AE64,KMB!AI64)))</f>
        <v>0</v>
      </c>
      <c r="D64">
        <f>SUMPRODUCT((MONTH(CHOOSE({1,2,3,4},KMB!T64,KMB!X64,KMB!AB64,KMB!AF64))=4)*(CHOOSE({1,2,3,4},KMB!W64,KMB!AA64,KMB!AE64,KMB!AI64)))</f>
        <v>0</v>
      </c>
      <c r="E64">
        <f>SUMPRODUCT((MONTH(CHOOSE({1,2,3,4},KMB!T64,KMB!X64,KMB!AB64,KMB!AF64))=5)*(CHOOSE({1,2,3,4},KMB!W64,KMB!AA64,KMB!AE64,KMB!AI64)))</f>
        <v>0</v>
      </c>
      <c r="F64">
        <f>SUMPRODUCT((MONTH(CHOOSE({1,2,3,4},KMB!T64,KMB!X64,KMB!AB64,KMB!AF64))=6)*(CHOOSE({1,2,3,4},KMB!W64,KMB!AA64,KMB!AE64,KMB!AI64)))</f>
        <v>0</v>
      </c>
      <c r="G64">
        <f>SUMPRODUCT((MONTH(CHOOSE({1,2,3,4},KMB!T64,KMB!X64,KMB!AB64,KMB!AF64))=7)*(CHOOSE({1,2,3,4},KMB!W64,KMB!AA64,KMB!AE64,KMB!AI64)))</f>
        <v>0</v>
      </c>
      <c r="H64">
        <f>SUMPRODUCT((MONTH(CHOOSE({1,2,3,4},KMB!T64,KMB!X64,KMB!AB64,KMB!AF64))=8)*(CHOOSE({1,2,3,4},KMB!W64,KMB!AA64,KMB!AE64,KMB!AI64)))</f>
        <v>0</v>
      </c>
      <c r="I64">
        <f>SUMPRODUCT((MONTH(CHOOSE({1,2,3,4},KMB!T64,KMB!X64,KMB!AB64,KMB!AF64))=9)*(CHOOSE({1,2,3,4},KMB!W64,KMB!AA64,KMB!AE64,KMB!AI64)))</f>
        <v>0</v>
      </c>
      <c r="J64">
        <f>SUMPRODUCT((MONTH(CHOOSE({1,2,3,4},KMB!T64,KMB!X64,KMB!AB64,KMB!AF64))=10)*(CHOOSE({1,2,3,4},KMB!W64,KMB!AA64,KMB!AE64,KMB!AI64)))</f>
        <v>0</v>
      </c>
      <c r="K64">
        <f>SUMPRODUCT((MONTH(CHOOSE({1,2,3,4},KMB!T64,KMB!X64,KMB!AB64,KMB!AF64))=11)*(CHOOSE({1,2,3,4},KMB!W64,KMB!AA64,KMB!AE64,KMB!AI64)))</f>
        <v>0</v>
      </c>
      <c r="L64">
        <f>SUMPRODUCT((MONTH(CHOOSE({1,2,3,4},KMB!T64,KMB!X64,KMB!AB64,KMB!AF64))=12)*(CHOOSE({1,2,3,4},KMB!W64,KMB!AA64,KMB!AE64,KMB!AI64)))</f>
        <v>0</v>
      </c>
    </row>
    <row r="65" spans="1:12">
      <c r="A65">
        <f>SUMPRODUCT((MONTH(CHOOSE({1,2,3,4},KMB!T65,KMB!X65,KMB!AB65,KMB!AF65))=1)*(CHOOSE({1,2,3,4},KMB!W65,KMB!AA65,KMB!AE65,KMB!AI65)))</f>
        <v>0</v>
      </c>
      <c r="B65">
        <f>SUMPRODUCT((MONTH(CHOOSE({1,2,3,4},KMB!T65,KMB!X65,KMB!AB65,KMB!AF65))=2)*(CHOOSE({1,2,3,4},KMB!W65,KMB!AA65,KMB!AE65,KMB!AI65)))</f>
        <v>0</v>
      </c>
      <c r="C65">
        <f>SUMPRODUCT((MONTH(CHOOSE({1,2,3,4},KMB!T65,KMB!X65,KMB!AB65,KMB!AF65))=3)*(CHOOSE({1,2,3,4},KMB!W65,KMB!AA65,KMB!AE65,KMB!AI65)))</f>
        <v>0</v>
      </c>
      <c r="D65">
        <f>SUMPRODUCT((MONTH(CHOOSE({1,2,3,4},KMB!T65,KMB!X65,KMB!AB65,KMB!AF65))=4)*(CHOOSE({1,2,3,4},KMB!W65,KMB!AA65,KMB!AE65,KMB!AI65)))</f>
        <v>0</v>
      </c>
      <c r="E65">
        <f>SUMPRODUCT((MONTH(CHOOSE({1,2,3,4},KMB!T65,KMB!X65,KMB!AB65,KMB!AF65))=5)*(CHOOSE({1,2,3,4},KMB!W65,KMB!AA65,KMB!AE65,KMB!AI65)))</f>
        <v>0</v>
      </c>
      <c r="F65">
        <f>SUMPRODUCT((MONTH(CHOOSE({1,2,3,4},KMB!T65,KMB!X65,KMB!AB65,KMB!AF65))=6)*(CHOOSE({1,2,3,4},KMB!W65,KMB!AA65,KMB!AE65,KMB!AI65)))</f>
        <v>0</v>
      </c>
      <c r="G65">
        <f>SUMPRODUCT((MONTH(CHOOSE({1,2,3,4},KMB!T65,KMB!X65,KMB!AB65,KMB!AF65))=7)*(CHOOSE({1,2,3,4},KMB!W65,KMB!AA65,KMB!AE65,KMB!AI65)))</f>
        <v>0</v>
      </c>
      <c r="H65">
        <f>SUMPRODUCT((MONTH(CHOOSE({1,2,3,4},KMB!T65,KMB!X65,KMB!AB65,KMB!AF65))=8)*(CHOOSE({1,2,3,4},KMB!W65,KMB!AA65,KMB!AE65,KMB!AI65)))</f>
        <v>0</v>
      </c>
      <c r="I65">
        <f>SUMPRODUCT((MONTH(CHOOSE({1,2,3,4},KMB!T65,KMB!X65,KMB!AB65,KMB!AF65))=9)*(CHOOSE({1,2,3,4},KMB!W65,KMB!AA65,KMB!AE65,KMB!AI65)))</f>
        <v>0</v>
      </c>
      <c r="J65">
        <f>SUMPRODUCT((MONTH(CHOOSE({1,2,3,4},KMB!T65,KMB!X65,KMB!AB65,KMB!AF65))=10)*(CHOOSE({1,2,3,4},KMB!W65,KMB!AA65,KMB!AE65,KMB!AI65)))</f>
        <v>0</v>
      </c>
      <c r="K65">
        <f>SUMPRODUCT((MONTH(CHOOSE({1,2,3,4},KMB!T65,KMB!X65,KMB!AB65,KMB!AF65))=11)*(CHOOSE({1,2,3,4},KMB!W65,KMB!AA65,KMB!AE65,KMB!AI65)))</f>
        <v>0</v>
      </c>
      <c r="L65">
        <f>SUMPRODUCT((MONTH(CHOOSE({1,2,3,4},KMB!T65,KMB!X65,KMB!AB65,KMB!AF65))=12)*(CHOOSE({1,2,3,4},KMB!W65,KMB!AA65,KMB!AE65,KMB!AI65)))</f>
        <v>0</v>
      </c>
    </row>
    <row r="66" spans="1:12">
      <c r="A66">
        <f>SUMPRODUCT((MONTH(CHOOSE({1,2,3,4},KMB!T66,KMB!X66,KMB!AB66,KMB!AF66))=1)*(CHOOSE({1,2,3,4},KMB!W66,KMB!AA66,KMB!AE66,KMB!AI66)))</f>
        <v>0</v>
      </c>
      <c r="B66">
        <f>SUMPRODUCT((MONTH(CHOOSE({1,2,3,4},KMB!T66,KMB!X66,KMB!AB66,KMB!AF66))=2)*(CHOOSE({1,2,3,4},KMB!W66,KMB!AA66,KMB!AE66,KMB!AI66)))</f>
        <v>0</v>
      </c>
      <c r="C66">
        <f>SUMPRODUCT((MONTH(CHOOSE({1,2,3,4},KMB!T66,KMB!X66,KMB!AB66,KMB!AF66))=3)*(CHOOSE({1,2,3,4},KMB!W66,KMB!AA66,KMB!AE66,KMB!AI66)))</f>
        <v>0</v>
      </c>
      <c r="D66">
        <f>SUMPRODUCT((MONTH(CHOOSE({1,2,3,4},KMB!T66,KMB!X66,KMB!AB66,KMB!AF66))=4)*(CHOOSE({1,2,3,4},KMB!W66,KMB!AA66,KMB!AE66,KMB!AI66)))</f>
        <v>0</v>
      </c>
      <c r="E66">
        <f>SUMPRODUCT((MONTH(CHOOSE({1,2,3,4},KMB!T66,KMB!X66,KMB!AB66,KMB!AF66))=5)*(CHOOSE({1,2,3,4},KMB!W66,KMB!AA66,KMB!AE66,KMB!AI66)))</f>
        <v>0</v>
      </c>
      <c r="F66">
        <f>SUMPRODUCT((MONTH(CHOOSE({1,2,3,4},KMB!T66,KMB!X66,KMB!AB66,KMB!AF66))=6)*(CHOOSE({1,2,3,4},KMB!W66,KMB!AA66,KMB!AE66,KMB!AI66)))</f>
        <v>0</v>
      </c>
      <c r="G66">
        <f>SUMPRODUCT((MONTH(CHOOSE({1,2,3,4},KMB!T66,KMB!X66,KMB!AB66,KMB!AF66))=7)*(CHOOSE({1,2,3,4},KMB!W66,KMB!AA66,KMB!AE66,KMB!AI66)))</f>
        <v>0</v>
      </c>
      <c r="H66">
        <f>SUMPRODUCT((MONTH(CHOOSE({1,2,3,4},KMB!T66,KMB!X66,KMB!AB66,KMB!AF66))=8)*(CHOOSE({1,2,3,4},KMB!W66,KMB!AA66,KMB!AE66,KMB!AI66)))</f>
        <v>0</v>
      </c>
      <c r="I66">
        <f>SUMPRODUCT((MONTH(CHOOSE({1,2,3,4},KMB!T66,KMB!X66,KMB!AB66,KMB!AF66))=9)*(CHOOSE({1,2,3,4},KMB!W66,KMB!AA66,KMB!AE66,KMB!AI66)))</f>
        <v>0</v>
      </c>
      <c r="J66">
        <f>SUMPRODUCT((MONTH(CHOOSE({1,2,3,4},KMB!T66,KMB!X66,KMB!AB66,KMB!AF66))=10)*(CHOOSE({1,2,3,4},KMB!W66,KMB!AA66,KMB!AE66,KMB!AI66)))</f>
        <v>0</v>
      </c>
      <c r="K66">
        <f>SUMPRODUCT((MONTH(CHOOSE({1,2,3,4},KMB!T66,KMB!X66,KMB!AB66,KMB!AF66))=11)*(CHOOSE({1,2,3,4},KMB!W66,KMB!AA66,KMB!AE66,KMB!AI66)))</f>
        <v>0</v>
      </c>
      <c r="L66">
        <f>SUMPRODUCT((MONTH(CHOOSE({1,2,3,4},KMB!T66,KMB!X66,KMB!AB66,KMB!AF66))=12)*(CHOOSE({1,2,3,4},KMB!W66,KMB!AA66,KMB!AE66,KMB!AI66)))</f>
        <v>0</v>
      </c>
    </row>
    <row r="67" spans="1:12">
      <c r="A67">
        <f>SUMPRODUCT((MONTH(CHOOSE({1,2,3,4},KMB!T67,KMB!X67,KMB!AB67,KMB!AF67))=1)*(CHOOSE({1,2,3,4},KMB!W67,KMB!AA67,KMB!AE67,KMB!AI67)))</f>
        <v>0</v>
      </c>
      <c r="B67">
        <f>SUMPRODUCT((MONTH(CHOOSE({1,2,3,4},KMB!T67,KMB!X67,KMB!AB67,KMB!AF67))=2)*(CHOOSE({1,2,3,4},KMB!W67,KMB!AA67,KMB!AE67,KMB!AI67)))</f>
        <v>0</v>
      </c>
      <c r="C67">
        <f>SUMPRODUCT((MONTH(CHOOSE({1,2,3,4},KMB!T67,KMB!X67,KMB!AB67,KMB!AF67))=3)*(CHOOSE({1,2,3,4},KMB!W67,KMB!AA67,KMB!AE67,KMB!AI67)))</f>
        <v>0</v>
      </c>
      <c r="D67">
        <f>SUMPRODUCT((MONTH(CHOOSE({1,2,3,4},KMB!T67,KMB!X67,KMB!AB67,KMB!AF67))=4)*(CHOOSE({1,2,3,4},KMB!W67,KMB!AA67,KMB!AE67,KMB!AI67)))</f>
        <v>0</v>
      </c>
      <c r="E67">
        <f>SUMPRODUCT((MONTH(CHOOSE({1,2,3,4},KMB!T67,KMB!X67,KMB!AB67,KMB!AF67))=5)*(CHOOSE({1,2,3,4},KMB!W67,KMB!AA67,KMB!AE67,KMB!AI67)))</f>
        <v>0</v>
      </c>
      <c r="F67">
        <f>SUMPRODUCT((MONTH(CHOOSE({1,2,3,4},KMB!T67,KMB!X67,KMB!AB67,KMB!AF67))=6)*(CHOOSE({1,2,3,4},KMB!W67,KMB!AA67,KMB!AE67,KMB!AI67)))</f>
        <v>0</v>
      </c>
      <c r="G67">
        <f>SUMPRODUCT((MONTH(CHOOSE({1,2,3,4},KMB!T67,KMB!X67,KMB!AB67,KMB!AF67))=7)*(CHOOSE({1,2,3,4},KMB!W67,KMB!AA67,KMB!AE67,KMB!AI67)))</f>
        <v>0</v>
      </c>
      <c r="H67">
        <f>SUMPRODUCT((MONTH(CHOOSE({1,2,3,4},KMB!T67,KMB!X67,KMB!AB67,KMB!AF67))=8)*(CHOOSE({1,2,3,4},KMB!W67,KMB!AA67,KMB!AE67,KMB!AI67)))</f>
        <v>0</v>
      </c>
      <c r="I67">
        <f>SUMPRODUCT((MONTH(CHOOSE({1,2,3,4},KMB!T67,KMB!X67,KMB!AB67,KMB!AF67))=9)*(CHOOSE({1,2,3,4},KMB!W67,KMB!AA67,KMB!AE67,KMB!AI67)))</f>
        <v>0</v>
      </c>
      <c r="J67">
        <f>SUMPRODUCT((MONTH(CHOOSE({1,2,3,4},KMB!T67,KMB!X67,KMB!AB67,KMB!AF67))=10)*(CHOOSE({1,2,3,4},KMB!W67,KMB!AA67,KMB!AE67,KMB!AI67)))</f>
        <v>0</v>
      </c>
      <c r="K67">
        <f>SUMPRODUCT((MONTH(CHOOSE({1,2,3,4},KMB!T67,KMB!X67,KMB!AB67,KMB!AF67))=11)*(CHOOSE({1,2,3,4},KMB!W67,KMB!AA67,KMB!AE67,KMB!AI67)))</f>
        <v>0</v>
      </c>
      <c r="L67">
        <f>SUMPRODUCT((MONTH(CHOOSE({1,2,3,4},KMB!T67,KMB!X67,KMB!AB67,KMB!AF67))=12)*(CHOOSE({1,2,3,4},KMB!W67,KMB!AA67,KMB!AE67,KMB!AI67)))</f>
        <v>0</v>
      </c>
    </row>
    <row r="68" spans="1:12">
      <c r="A68">
        <f>SUMPRODUCT((MONTH(CHOOSE({1,2,3,4},KMB!T68,KMB!X68,KMB!AB68,KMB!AF68))=1)*(CHOOSE({1,2,3,4},KMB!W68,KMB!AA68,KMB!AE68,KMB!AI68)))</f>
        <v>0</v>
      </c>
      <c r="B68">
        <f>SUMPRODUCT((MONTH(CHOOSE({1,2,3,4},KMB!T68,KMB!X68,KMB!AB68,KMB!AF68))=2)*(CHOOSE({1,2,3,4},KMB!W68,KMB!AA68,KMB!AE68,KMB!AI68)))</f>
        <v>0</v>
      </c>
      <c r="C68">
        <f>SUMPRODUCT((MONTH(CHOOSE({1,2,3,4},KMB!T68,KMB!X68,KMB!AB68,KMB!AF68))=3)*(CHOOSE({1,2,3,4},KMB!W68,KMB!AA68,KMB!AE68,KMB!AI68)))</f>
        <v>0</v>
      </c>
      <c r="D68">
        <f>SUMPRODUCT((MONTH(CHOOSE({1,2,3,4},KMB!T68,KMB!X68,KMB!AB68,KMB!AF68))=4)*(CHOOSE({1,2,3,4},KMB!W68,KMB!AA68,KMB!AE68,KMB!AI68)))</f>
        <v>0</v>
      </c>
      <c r="E68">
        <f>SUMPRODUCT((MONTH(CHOOSE({1,2,3,4},KMB!T68,KMB!X68,KMB!AB68,KMB!AF68))=5)*(CHOOSE({1,2,3,4},KMB!W68,KMB!AA68,KMB!AE68,KMB!AI68)))</f>
        <v>0</v>
      </c>
      <c r="F68">
        <f>SUMPRODUCT((MONTH(CHOOSE({1,2,3,4},KMB!T68,KMB!X68,KMB!AB68,KMB!AF68))=6)*(CHOOSE({1,2,3,4},KMB!W68,KMB!AA68,KMB!AE68,KMB!AI68)))</f>
        <v>0</v>
      </c>
      <c r="G68">
        <f>SUMPRODUCT((MONTH(CHOOSE({1,2,3,4},KMB!T68,KMB!X68,KMB!AB68,KMB!AF68))=7)*(CHOOSE({1,2,3,4},KMB!W68,KMB!AA68,KMB!AE68,KMB!AI68)))</f>
        <v>0</v>
      </c>
      <c r="H68">
        <f>SUMPRODUCT((MONTH(CHOOSE({1,2,3,4},KMB!T68,KMB!X68,KMB!AB68,KMB!AF68))=8)*(CHOOSE({1,2,3,4},KMB!W68,KMB!AA68,KMB!AE68,KMB!AI68)))</f>
        <v>0</v>
      </c>
      <c r="I68">
        <f>SUMPRODUCT((MONTH(CHOOSE({1,2,3,4},KMB!T68,KMB!X68,KMB!AB68,KMB!AF68))=9)*(CHOOSE({1,2,3,4},KMB!W68,KMB!AA68,KMB!AE68,KMB!AI68)))</f>
        <v>0</v>
      </c>
      <c r="J68">
        <f>SUMPRODUCT((MONTH(CHOOSE({1,2,3,4},KMB!T68,KMB!X68,KMB!AB68,KMB!AF68))=10)*(CHOOSE({1,2,3,4},KMB!W68,KMB!AA68,KMB!AE68,KMB!AI68)))</f>
        <v>0</v>
      </c>
      <c r="K68">
        <f>SUMPRODUCT((MONTH(CHOOSE({1,2,3,4},KMB!T68,KMB!X68,KMB!AB68,KMB!AF68))=11)*(CHOOSE({1,2,3,4},KMB!W68,KMB!AA68,KMB!AE68,KMB!AI68)))</f>
        <v>0</v>
      </c>
      <c r="L68">
        <f>SUMPRODUCT((MONTH(CHOOSE({1,2,3,4},KMB!T68,KMB!X68,KMB!AB68,KMB!AF68))=12)*(CHOOSE({1,2,3,4},KMB!W68,KMB!AA68,KMB!AE68,KMB!AI68)))</f>
        <v>0</v>
      </c>
    </row>
    <row r="69" spans="1:12">
      <c r="A69">
        <f>SUMPRODUCT((MONTH(CHOOSE({1,2,3,4},KMB!T69,KMB!X69,KMB!AB69,KMB!AF69))=1)*(CHOOSE({1,2,3,4},KMB!W69,KMB!AA69,KMB!AE69,KMB!AI69)))</f>
        <v>0</v>
      </c>
      <c r="B69">
        <f>SUMPRODUCT((MONTH(CHOOSE({1,2,3,4},KMB!T69,KMB!X69,KMB!AB69,KMB!AF69))=2)*(CHOOSE({1,2,3,4},KMB!W69,KMB!AA69,KMB!AE69,KMB!AI69)))</f>
        <v>0</v>
      </c>
      <c r="C69">
        <f>SUMPRODUCT((MONTH(CHOOSE({1,2,3,4},KMB!T69,KMB!X69,KMB!AB69,KMB!AF69))=3)*(CHOOSE({1,2,3,4},KMB!W69,KMB!AA69,KMB!AE69,KMB!AI69)))</f>
        <v>0</v>
      </c>
      <c r="D69">
        <f>SUMPRODUCT((MONTH(CHOOSE({1,2,3,4},KMB!T69,KMB!X69,KMB!AB69,KMB!AF69))=4)*(CHOOSE({1,2,3,4},KMB!W69,KMB!AA69,KMB!AE69,KMB!AI69)))</f>
        <v>0</v>
      </c>
      <c r="E69">
        <f>SUMPRODUCT((MONTH(CHOOSE({1,2,3,4},KMB!T69,KMB!X69,KMB!AB69,KMB!AF69))=5)*(CHOOSE({1,2,3,4},KMB!W69,KMB!AA69,KMB!AE69,KMB!AI69)))</f>
        <v>0</v>
      </c>
      <c r="F69">
        <f>SUMPRODUCT((MONTH(CHOOSE({1,2,3,4},KMB!T69,KMB!X69,KMB!AB69,KMB!AF69))=6)*(CHOOSE({1,2,3,4},KMB!W69,KMB!AA69,KMB!AE69,KMB!AI69)))</f>
        <v>0</v>
      </c>
      <c r="G69">
        <f>SUMPRODUCT((MONTH(CHOOSE({1,2,3,4},KMB!T69,KMB!X69,KMB!AB69,KMB!AF69))=7)*(CHOOSE({1,2,3,4},KMB!W69,KMB!AA69,KMB!AE69,KMB!AI69)))</f>
        <v>0</v>
      </c>
      <c r="H69">
        <f>SUMPRODUCT((MONTH(CHOOSE({1,2,3,4},KMB!T69,KMB!X69,KMB!AB69,KMB!AF69))=8)*(CHOOSE({1,2,3,4},KMB!W69,KMB!AA69,KMB!AE69,KMB!AI69)))</f>
        <v>0</v>
      </c>
      <c r="I69">
        <f>SUMPRODUCT((MONTH(CHOOSE({1,2,3,4},KMB!T69,KMB!X69,KMB!AB69,KMB!AF69))=9)*(CHOOSE({1,2,3,4},KMB!W69,KMB!AA69,KMB!AE69,KMB!AI69)))</f>
        <v>0</v>
      </c>
      <c r="J69">
        <f>SUMPRODUCT((MONTH(CHOOSE({1,2,3,4},KMB!T69,KMB!X69,KMB!AB69,KMB!AF69))=10)*(CHOOSE({1,2,3,4},KMB!W69,KMB!AA69,KMB!AE69,KMB!AI69)))</f>
        <v>0</v>
      </c>
      <c r="K69">
        <f>SUMPRODUCT((MONTH(CHOOSE({1,2,3,4},KMB!T69,KMB!X69,KMB!AB69,KMB!AF69))=11)*(CHOOSE({1,2,3,4},KMB!W69,KMB!AA69,KMB!AE69,KMB!AI69)))</f>
        <v>0</v>
      </c>
      <c r="L69">
        <f>SUMPRODUCT((MONTH(CHOOSE({1,2,3,4},KMB!T69,KMB!X69,KMB!AB69,KMB!AF69))=12)*(CHOOSE({1,2,3,4},KMB!W69,KMB!AA69,KMB!AE69,KMB!AI69)))</f>
        <v>0</v>
      </c>
    </row>
    <row r="70" spans="1:12">
      <c r="A70">
        <f>SUMPRODUCT((MONTH(CHOOSE({1,2,3,4},KMB!T70,KMB!X70,KMB!AB70,KMB!AF70))=1)*(CHOOSE({1,2,3,4},KMB!W70,KMB!AA70,KMB!AE70,KMB!AI70)))</f>
        <v>0</v>
      </c>
      <c r="B70">
        <f>SUMPRODUCT((MONTH(CHOOSE({1,2,3,4},KMB!T70,KMB!X70,KMB!AB70,KMB!AF70))=2)*(CHOOSE({1,2,3,4},KMB!W70,KMB!AA70,KMB!AE70,KMB!AI70)))</f>
        <v>0</v>
      </c>
      <c r="C70">
        <f>SUMPRODUCT((MONTH(CHOOSE({1,2,3,4},KMB!T70,KMB!X70,KMB!AB70,KMB!AF70))=3)*(CHOOSE({1,2,3,4},KMB!W70,KMB!AA70,KMB!AE70,KMB!AI70)))</f>
        <v>0</v>
      </c>
      <c r="D70">
        <f>SUMPRODUCT((MONTH(CHOOSE({1,2,3,4},KMB!T70,KMB!X70,KMB!AB70,KMB!AF70))=4)*(CHOOSE({1,2,3,4},KMB!W70,KMB!AA70,KMB!AE70,KMB!AI70)))</f>
        <v>0</v>
      </c>
      <c r="E70">
        <f>SUMPRODUCT((MONTH(CHOOSE({1,2,3,4},KMB!T70,KMB!X70,KMB!AB70,KMB!AF70))=5)*(CHOOSE({1,2,3,4},KMB!W70,KMB!AA70,KMB!AE70,KMB!AI70)))</f>
        <v>0</v>
      </c>
      <c r="F70">
        <f>SUMPRODUCT((MONTH(CHOOSE({1,2,3,4},KMB!T70,KMB!X70,KMB!AB70,KMB!AF70))=6)*(CHOOSE({1,2,3,4},KMB!W70,KMB!AA70,KMB!AE70,KMB!AI70)))</f>
        <v>0</v>
      </c>
      <c r="G70">
        <f>SUMPRODUCT((MONTH(CHOOSE({1,2,3,4},KMB!T70,KMB!X70,KMB!AB70,KMB!AF70))=7)*(CHOOSE({1,2,3,4},KMB!W70,KMB!AA70,KMB!AE70,KMB!AI70)))</f>
        <v>0</v>
      </c>
      <c r="H70">
        <f>SUMPRODUCT((MONTH(CHOOSE({1,2,3,4},KMB!T70,KMB!X70,KMB!AB70,KMB!AF70))=8)*(CHOOSE({1,2,3,4},KMB!W70,KMB!AA70,KMB!AE70,KMB!AI70)))</f>
        <v>0</v>
      </c>
      <c r="I70">
        <f>SUMPRODUCT((MONTH(CHOOSE({1,2,3,4},KMB!T70,KMB!X70,KMB!AB70,KMB!AF70))=9)*(CHOOSE({1,2,3,4},KMB!W70,KMB!AA70,KMB!AE70,KMB!AI70)))</f>
        <v>0</v>
      </c>
      <c r="J70">
        <f>SUMPRODUCT((MONTH(CHOOSE({1,2,3,4},KMB!T70,KMB!X70,KMB!AB70,KMB!AF70))=10)*(CHOOSE({1,2,3,4},KMB!W70,KMB!AA70,KMB!AE70,KMB!AI70)))</f>
        <v>0</v>
      </c>
      <c r="K70">
        <f>SUMPRODUCT((MONTH(CHOOSE({1,2,3,4},KMB!T70,KMB!X70,KMB!AB70,KMB!AF70))=11)*(CHOOSE({1,2,3,4},KMB!W70,KMB!AA70,KMB!AE70,KMB!AI70)))</f>
        <v>0</v>
      </c>
      <c r="L70">
        <f>SUMPRODUCT((MONTH(CHOOSE({1,2,3,4},KMB!T70,KMB!X70,KMB!AB70,KMB!AF70))=12)*(CHOOSE({1,2,3,4},KMB!W70,KMB!AA70,KMB!AE70,KMB!AI70)))</f>
        <v>0</v>
      </c>
    </row>
    <row r="71" spans="1:12">
      <c r="A71">
        <f>SUMPRODUCT((MONTH(CHOOSE({1,2,3,4},KMB!T71,KMB!X71,KMB!AB71,KMB!AF71))=1)*(CHOOSE({1,2,3,4},KMB!W71,KMB!AA71,KMB!AE71,KMB!AI71)))</f>
        <v>0</v>
      </c>
      <c r="B71">
        <f>SUMPRODUCT((MONTH(CHOOSE({1,2,3,4},KMB!T71,KMB!X71,KMB!AB71,KMB!AF71))=2)*(CHOOSE({1,2,3,4},KMB!W71,KMB!AA71,KMB!AE71,KMB!AI71)))</f>
        <v>0</v>
      </c>
      <c r="C71">
        <f>SUMPRODUCT((MONTH(CHOOSE({1,2,3,4},KMB!T71,KMB!X71,KMB!AB71,KMB!AF71))=3)*(CHOOSE({1,2,3,4},KMB!W71,KMB!AA71,KMB!AE71,KMB!AI71)))</f>
        <v>0</v>
      </c>
      <c r="D71">
        <f>SUMPRODUCT((MONTH(CHOOSE({1,2,3,4},KMB!T71,KMB!X71,KMB!AB71,KMB!AF71))=4)*(CHOOSE({1,2,3,4},KMB!W71,KMB!AA71,KMB!AE71,KMB!AI71)))</f>
        <v>0</v>
      </c>
      <c r="E71">
        <f>SUMPRODUCT((MONTH(CHOOSE({1,2,3,4},KMB!T71,KMB!X71,KMB!AB71,KMB!AF71))=5)*(CHOOSE({1,2,3,4},KMB!W71,KMB!AA71,KMB!AE71,KMB!AI71)))</f>
        <v>0</v>
      </c>
      <c r="F71">
        <f>SUMPRODUCT((MONTH(CHOOSE({1,2,3,4},KMB!T71,KMB!X71,KMB!AB71,KMB!AF71))=6)*(CHOOSE({1,2,3,4},KMB!W71,KMB!AA71,KMB!AE71,KMB!AI71)))</f>
        <v>0</v>
      </c>
      <c r="G71">
        <f>SUMPRODUCT((MONTH(CHOOSE({1,2,3,4},KMB!T71,KMB!X71,KMB!AB71,KMB!AF71))=7)*(CHOOSE({1,2,3,4},KMB!W71,KMB!AA71,KMB!AE71,KMB!AI71)))</f>
        <v>0</v>
      </c>
      <c r="H71">
        <f>SUMPRODUCT((MONTH(CHOOSE({1,2,3,4},KMB!T71,KMB!X71,KMB!AB71,KMB!AF71))=8)*(CHOOSE({1,2,3,4},KMB!W71,KMB!AA71,KMB!AE71,KMB!AI71)))</f>
        <v>0</v>
      </c>
      <c r="I71">
        <f>SUMPRODUCT((MONTH(CHOOSE({1,2,3,4},KMB!T71,KMB!X71,KMB!AB71,KMB!AF71))=9)*(CHOOSE({1,2,3,4},KMB!W71,KMB!AA71,KMB!AE71,KMB!AI71)))</f>
        <v>0</v>
      </c>
      <c r="J71">
        <f>SUMPRODUCT((MONTH(CHOOSE({1,2,3,4},KMB!T71,KMB!X71,KMB!AB71,KMB!AF71))=10)*(CHOOSE({1,2,3,4},KMB!W71,KMB!AA71,KMB!AE71,KMB!AI71)))</f>
        <v>0</v>
      </c>
      <c r="K71">
        <f>SUMPRODUCT((MONTH(CHOOSE({1,2,3,4},KMB!T71,KMB!X71,KMB!AB71,KMB!AF71))=11)*(CHOOSE({1,2,3,4},KMB!W71,KMB!AA71,KMB!AE71,KMB!AI71)))</f>
        <v>0</v>
      </c>
      <c r="L71">
        <f>SUMPRODUCT((MONTH(CHOOSE({1,2,3,4},KMB!T71,KMB!X71,KMB!AB71,KMB!AF71))=12)*(CHOOSE({1,2,3,4},KMB!W71,KMB!AA71,KMB!AE71,KMB!AI71)))</f>
        <v>0</v>
      </c>
    </row>
    <row r="72" spans="1:12">
      <c r="A72">
        <f>SUMPRODUCT((MONTH(CHOOSE({1,2,3,4},KMB!T72,KMB!X72,KMB!AB72,KMB!AF72))=1)*(CHOOSE({1,2,3,4},KMB!W72,KMB!AA72,KMB!AE72,KMB!AI72)))</f>
        <v>0</v>
      </c>
      <c r="B72">
        <f>SUMPRODUCT((MONTH(CHOOSE({1,2,3,4},KMB!T72,KMB!X72,KMB!AB72,KMB!AF72))=2)*(CHOOSE({1,2,3,4},KMB!W72,KMB!AA72,KMB!AE72,KMB!AI72)))</f>
        <v>0</v>
      </c>
      <c r="C72">
        <f>SUMPRODUCT((MONTH(CHOOSE({1,2,3,4},KMB!T72,KMB!X72,KMB!AB72,KMB!AF72))=3)*(CHOOSE({1,2,3,4},KMB!W72,KMB!AA72,KMB!AE72,KMB!AI72)))</f>
        <v>0</v>
      </c>
      <c r="D72">
        <f>SUMPRODUCT((MONTH(CHOOSE({1,2,3,4},KMB!T72,KMB!X72,KMB!AB72,KMB!AF72))=4)*(CHOOSE({1,2,3,4},KMB!W72,KMB!AA72,KMB!AE72,KMB!AI72)))</f>
        <v>0</v>
      </c>
      <c r="E72">
        <f>SUMPRODUCT((MONTH(CHOOSE({1,2,3,4},KMB!T72,KMB!X72,KMB!AB72,KMB!AF72))=5)*(CHOOSE({1,2,3,4},KMB!W72,KMB!AA72,KMB!AE72,KMB!AI72)))</f>
        <v>0</v>
      </c>
      <c r="F72">
        <f>SUMPRODUCT((MONTH(CHOOSE({1,2,3,4},KMB!T72,KMB!X72,KMB!AB72,KMB!AF72))=6)*(CHOOSE({1,2,3,4},KMB!W72,KMB!AA72,KMB!AE72,KMB!AI72)))</f>
        <v>0</v>
      </c>
      <c r="G72">
        <f>SUMPRODUCT((MONTH(CHOOSE({1,2,3,4},KMB!T72,KMB!X72,KMB!AB72,KMB!AF72))=7)*(CHOOSE({1,2,3,4},KMB!W72,KMB!AA72,KMB!AE72,KMB!AI72)))</f>
        <v>0</v>
      </c>
      <c r="H72">
        <f>SUMPRODUCT((MONTH(CHOOSE({1,2,3,4},KMB!T72,KMB!X72,KMB!AB72,KMB!AF72))=8)*(CHOOSE({1,2,3,4},KMB!W72,KMB!AA72,KMB!AE72,KMB!AI72)))</f>
        <v>0</v>
      </c>
      <c r="I72">
        <f>SUMPRODUCT((MONTH(CHOOSE({1,2,3,4},KMB!T72,KMB!X72,KMB!AB72,KMB!AF72))=9)*(CHOOSE({1,2,3,4},KMB!W72,KMB!AA72,KMB!AE72,KMB!AI72)))</f>
        <v>0</v>
      </c>
      <c r="J72">
        <f>SUMPRODUCT((MONTH(CHOOSE({1,2,3,4},KMB!T72,KMB!X72,KMB!AB72,KMB!AF72))=10)*(CHOOSE({1,2,3,4},KMB!W72,KMB!AA72,KMB!AE72,KMB!AI72)))</f>
        <v>0</v>
      </c>
      <c r="K72">
        <f>SUMPRODUCT((MONTH(CHOOSE({1,2,3,4},KMB!T72,KMB!X72,KMB!AB72,KMB!AF72))=11)*(CHOOSE({1,2,3,4},KMB!W72,KMB!AA72,KMB!AE72,KMB!AI72)))</f>
        <v>0</v>
      </c>
      <c r="L72">
        <f>SUMPRODUCT((MONTH(CHOOSE({1,2,3,4},KMB!T72,KMB!X72,KMB!AB72,KMB!AF72))=12)*(CHOOSE({1,2,3,4},KMB!W72,KMB!AA72,KMB!AE72,KMB!AI72)))</f>
        <v>0</v>
      </c>
    </row>
    <row r="73" spans="1:12">
      <c r="A73">
        <f>SUMPRODUCT((MONTH(CHOOSE({1,2,3,4},KMB!T73,KMB!X73,KMB!AB73,KMB!AF73))=1)*(CHOOSE({1,2,3,4},KMB!W73,KMB!AA73,KMB!AE73,KMB!AI73)))</f>
        <v>0</v>
      </c>
      <c r="B73">
        <f>SUMPRODUCT((MONTH(CHOOSE({1,2,3,4},KMB!T73,KMB!X73,KMB!AB73,KMB!AF73))=2)*(CHOOSE({1,2,3,4},KMB!W73,KMB!AA73,KMB!AE73,KMB!AI73)))</f>
        <v>0</v>
      </c>
      <c r="C73">
        <f>SUMPRODUCT((MONTH(CHOOSE({1,2,3,4},KMB!T73,KMB!X73,KMB!AB73,KMB!AF73))=3)*(CHOOSE({1,2,3,4},KMB!W73,KMB!AA73,KMB!AE73,KMB!AI73)))</f>
        <v>0</v>
      </c>
      <c r="D73">
        <f>SUMPRODUCT((MONTH(CHOOSE({1,2,3,4},KMB!T73,KMB!X73,KMB!AB73,KMB!AF73))=4)*(CHOOSE({1,2,3,4},KMB!W73,KMB!AA73,KMB!AE73,KMB!AI73)))</f>
        <v>0</v>
      </c>
      <c r="E73">
        <f>SUMPRODUCT((MONTH(CHOOSE({1,2,3,4},KMB!T73,KMB!X73,KMB!AB73,KMB!AF73))=5)*(CHOOSE({1,2,3,4},KMB!W73,KMB!AA73,KMB!AE73,KMB!AI73)))</f>
        <v>0</v>
      </c>
      <c r="F73">
        <f>SUMPRODUCT((MONTH(CHOOSE({1,2,3,4},KMB!T73,KMB!X73,KMB!AB73,KMB!AF73))=6)*(CHOOSE({1,2,3,4},KMB!W73,KMB!AA73,KMB!AE73,KMB!AI73)))</f>
        <v>0</v>
      </c>
      <c r="G73">
        <f>SUMPRODUCT((MONTH(CHOOSE({1,2,3,4},KMB!T73,KMB!X73,KMB!AB73,KMB!AF73))=7)*(CHOOSE({1,2,3,4},KMB!W73,KMB!AA73,KMB!AE73,KMB!AI73)))</f>
        <v>0</v>
      </c>
      <c r="H73">
        <f>SUMPRODUCT((MONTH(CHOOSE({1,2,3,4},KMB!T73,KMB!X73,KMB!AB73,KMB!AF73))=8)*(CHOOSE({1,2,3,4},KMB!W73,KMB!AA73,KMB!AE73,KMB!AI73)))</f>
        <v>0</v>
      </c>
      <c r="I73">
        <f>SUMPRODUCT((MONTH(CHOOSE({1,2,3,4},KMB!T73,KMB!X73,KMB!AB73,KMB!AF73))=9)*(CHOOSE({1,2,3,4},KMB!W73,KMB!AA73,KMB!AE73,KMB!AI73)))</f>
        <v>0</v>
      </c>
      <c r="J73">
        <f>SUMPRODUCT((MONTH(CHOOSE({1,2,3,4},KMB!T73,KMB!X73,KMB!AB73,KMB!AF73))=10)*(CHOOSE({1,2,3,4},KMB!W73,KMB!AA73,KMB!AE73,KMB!AI73)))</f>
        <v>0</v>
      </c>
      <c r="K73">
        <f>SUMPRODUCT((MONTH(CHOOSE({1,2,3,4},KMB!T73,KMB!X73,KMB!AB73,KMB!AF73))=11)*(CHOOSE({1,2,3,4},KMB!W73,KMB!AA73,KMB!AE73,KMB!AI73)))</f>
        <v>0</v>
      </c>
      <c r="L73">
        <f>SUMPRODUCT((MONTH(CHOOSE({1,2,3,4},KMB!T73,KMB!X73,KMB!AB73,KMB!AF73))=12)*(CHOOSE({1,2,3,4},KMB!W73,KMB!AA73,KMB!AE73,KMB!AI73)))</f>
        <v>0</v>
      </c>
    </row>
    <row r="74" spans="1:12">
      <c r="A74">
        <f>SUMPRODUCT((MONTH(CHOOSE({1,2,3,4},KMB!T74,KMB!X74,KMB!AB74,KMB!AF74))=1)*(CHOOSE({1,2,3,4},KMB!W74,KMB!AA74,KMB!AE74,KMB!AI74)))</f>
        <v>0</v>
      </c>
      <c r="B74">
        <f>SUMPRODUCT((MONTH(CHOOSE({1,2,3,4},KMB!T74,KMB!X74,KMB!AB74,KMB!AF74))=2)*(CHOOSE({1,2,3,4},KMB!W74,KMB!AA74,KMB!AE74,KMB!AI74)))</f>
        <v>0</v>
      </c>
      <c r="C74">
        <f>SUMPRODUCT((MONTH(CHOOSE({1,2,3,4},KMB!T74,KMB!X74,KMB!AB74,KMB!AF74))=3)*(CHOOSE({1,2,3,4},KMB!W74,KMB!AA74,KMB!AE74,KMB!AI74)))</f>
        <v>0</v>
      </c>
      <c r="D74">
        <f>SUMPRODUCT((MONTH(CHOOSE({1,2,3,4},KMB!T74,KMB!X74,KMB!AB74,KMB!AF74))=4)*(CHOOSE({1,2,3,4},KMB!W74,KMB!AA74,KMB!AE74,KMB!AI74)))</f>
        <v>0</v>
      </c>
      <c r="E74">
        <f>SUMPRODUCT((MONTH(CHOOSE({1,2,3,4},KMB!T74,KMB!X74,KMB!AB74,KMB!AF74))=5)*(CHOOSE({1,2,3,4},KMB!W74,KMB!AA74,KMB!AE74,KMB!AI74)))</f>
        <v>0</v>
      </c>
      <c r="F74">
        <f>SUMPRODUCT((MONTH(CHOOSE({1,2,3,4},KMB!T74,KMB!X74,KMB!AB74,KMB!AF74))=6)*(CHOOSE({1,2,3,4},KMB!W74,KMB!AA74,KMB!AE74,KMB!AI74)))</f>
        <v>0</v>
      </c>
      <c r="G74">
        <f>SUMPRODUCT((MONTH(CHOOSE({1,2,3,4},KMB!T74,KMB!X74,KMB!AB74,KMB!AF74))=7)*(CHOOSE({1,2,3,4},KMB!W74,KMB!AA74,KMB!AE74,KMB!AI74)))</f>
        <v>0</v>
      </c>
      <c r="H74">
        <f>SUMPRODUCT((MONTH(CHOOSE({1,2,3,4},KMB!T74,KMB!X74,KMB!AB74,KMB!AF74))=8)*(CHOOSE({1,2,3,4},KMB!W74,KMB!AA74,KMB!AE74,KMB!AI74)))</f>
        <v>0</v>
      </c>
      <c r="I74">
        <f>SUMPRODUCT((MONTH(CHOOSE({1,2,3,4},KMB!T74,KMB!X74,KMB!AB74,KMB!AF74))=9)*(CHOOSE({1,2,3,4},KMB!W74,KMB!AA74,KMB!AE74,KMB!AI74)))</f>
        <v>0</v>
      </c>
      <c r="J74">
        <f>SUMPRODUCT((MONTH(CHOOSE({1,2,3,4},KMB!T74,KMB!X74,KMB!AB74,KMB!AF74))=10)*(CHOOSE({1,2,3,4},KMB!W74,KMB!AA74,KMB!AE74,KMB!AI74)))</f>
        <v>0</v>
      </c>
      <c r="K74">
        <f>SUMPRODUCT((MONTH(CHOOSE({1,2,3,4},KMB!T74,KMB!X74,KMB!AB74,KMB!AF74))=11)*(CHOOSE({1,2,3,4},KMB!W74,KMB!AA74,KMB!AE74,KMB!AI74)))</f>
        <v>0</v>
      </c>
      <c r="L74">
        <f>SUMPRODUCT((MONTH(CHOOSE({1,2,3,4},KMB!T74,KMB!X74,KMB!AB74,KMB!AF74))=12)*(CHOOSE({1,2,3,4},KMB!W74,KMB!AA74,KMB!AE74,KMB!AI74)))</f>
        <v>0</v>
      </c>
    </row>
    <row r="75" spans="1:12">
      <c r="A75">
        <f>SUMPRODUCT((MONTH(CHOOSE({1,2,3,4},KMB!T75,KMB!X75,KMB!AB75,KMB!AF75))=1)*(CHOOSE({1,2,3,4},KMB!W75,KMB!AA75,KMB!AE75,KMB!AI75)))</f>
        <v>0</v>
      </c>
      <c r="B75">
        <f>SUMPRODUCT((MONTH(CHOOSE({1,2,3,4},KMB!T75,KMB!X75,KMB!AB75,KMB!AF75))=2)*(CHOOSE({1,2,3,4},KMB!W75,KMB!AA75,KMB!AE75,KMB!AI75)))</f>
        <v>0</v>
      </c>
      <c r="C75">
        <f>SUMPRODUCT((MONTH(CHOOSE({1,2,3,4},KMB!T75,KMB!X75,KMB!AB75,KMB!AF75))=3)*(CHOOSE({1,2,3,4},KMB!W75,KMB!AA75,KMB!AE75,KMB!AI75)))</f>
        <v>0</v>
      </c>
      <c r="D75">
        <f>SUMPRODUCT((MONTH(CHOOSE({1,2,3,4},KMB!T75,KMB!X75,KMB!AB75,KMB!AF75))=4)*(CHOOSE({1,2,3,4},KMB!W75,KMB!AA75,KMB!AE75,KMB!AI75)))</f>
        <v>0</v>
      </c>
      <c r="E75">
        <f>SUMPRODUCT((MONTH(CHOOSE({1,2,3,4},KMB!T75,KMB!X75,KMB!AB75,KMB!AF75))=5)*(CHOOSE({1,2,3,4},KMB!W75,KMB!AA75,KMB!AE75,KMB!AI75)))</f>
        <v>0</v>
      </c>
      <c r="F75">
        <f>SUMPRODUCT((MONTH(CHOOSE({1,2,3,4},KMB!T75,KMB!X75,KMB!AB75,KMB!AF75))=6)*(CHOOSE({1,2,3,4},KMB!W75,KMB!AA75,KMB!AE75,KMB!AI75)))</f>
        <v>0</v>
      </c>
      <c r="G75">
        <f>SUMPRODUCT((MONTH(CHOOSE({1,2,3,4},KMB!T75,KMB!X75,KMB!AB75,KMB!AF75))=7)*(CHOOSE({1,2,3,4},KMB!W75,KMB!AA75,KMB!AE75,KMB!AI75)))</f>
        <v>0</v>
      </c>
      <c r="H75">
        <f>SUMPRODUCT((MONTH(CHOOSE({1,2,3,4},KMB!T75,KMB!X75,KMB!AB75,KMB!AF75))=8)*(CHOOSE({1,2,3,4},KMB!W75,KMB!AA75,KMB!AE75,KMB!AI75)))</f>
        <v>0</v>
      </c>
      <c r="I75">
        <f>SUMPRODUCT((MONTH(CHOOSE({1,2,3,4},KMB!T75,KMB!X75,KMB!AB75,KMB!AF75))=9)*(CHOOSE({1,2,3,4},KMB!W75,KMB!AA75,KMB!AE75,KMB!AI75)))</f>
        <v>0</v>
      </c>
      <c r="J75">
        <f>SUMPRODUCT((MONTH(CHOOSE({1,2,3,4},KMB!T75,KMB!X75,KMB!AB75,KMB!AF75))=10)*(CHOOSE({1,2,3,4},KMB!W75,KMB!AA75,KMB!AE75,KMB!AI75)))</f>
        <v>0</v>
      </c>
      <c r="K75">
        <f>SUMPRODUCT((MONTH(CHOOSE({1,2,3,4},KMB!T75,KMB!X75,KMB!AB75,KMB!AF75))=11)*(CHOOSE({1,2,3,4},KMB!W75,KMB!AA75,KMB!AE75,KMB!AI75)))</f>
        <v>0</v>
      </c>
      <c r="L75">
        <f>SUMPRODUCT((MONTH(CHOOSE({1,2,3,4},KMB!T75,KMB!X75,KMB!AB75,KMB!AF75))=12)*(CHOOSE({1,2,3,4},KMB!W75,KMB!AA75,KMB!AE75,KMB!AI75)))</f>
        <v>0</v>
      </c>
    </row>
    <row r="76" spans="1:12">
      <c r="A76">
        <f>SUMPRODUCT((MONTH(CHOOSE({1,2,3,4},KMB!T76,KMB!X76,KMB!AB76,KMB!AF76))=1)*(CHOOSE({1,2,3,4},KMB!W76,KMB!AA76,KMB!AE76,KMB!AI76)))</f>
        <v>0</v>
      </c>
      <c r="B76">
        <f>SUMPRODUCT((MONTH(CHOOSE({1,2,3,4},KMB!T76,KMB!X76,KMB!AB76,KMB!AF76))=2)*(CHOOSE({1,2,3,4},KMB!W76,KMB!AA76,KMB!AE76,KMB!AI76)))</f>
        <v>0</v>
      </c>
      <c r="C76">
        <f>SUMPRODUCT((MONTH(CHOOSE({1,2,3,4},KMB!T76,KMB!X76,KMB!AB76,KMB!AF76))=3)*(CHOOSE({1,2,3,4},KMB!W76,KMB!AA76,KMB!AE76,KMB!AI76)))</f>
        <v>0</v>
      </c>
      <c r="D76">
        <f>SUMPRODUCT((MONTH(CHOOSE({1,2,3,4},KMB!T76,KMB!X76,KMB!AB76,KMB!AF76))=4)*(CHOOSE({1,2,3,4},KMB!W76,KMB!AA76,KMB!AE76,KMB!AI76)))</f>
        <v>0</v>
      </c>
      <c r="E76">
        <f>SUMPRODUCT((MONTH(CHOOSE({1,2,3,4},KMB!T76,KMB!X76,KMB!AB76,KMB!AF76))=5)*(CHOOSE({1,2,3,4},KMB!W76,KMB!AA76,KMB!AE76,KMB!AI76)))</f>
        <v>0</v>
      </c>
      <c r="F76">
        <f>SUMPRODUCT((MONTH(CHOOSE({1,2,3,4},KMB!T76,KMB!X76,KMB!AB76,KMB!AF76))=6)*(CHOOSE({1,2,3,4},KMB!W76,KMB!AA76,KMB!AE76,KMB!AI76)))</f>
        <v>0</v>
      </c>
      <c r="G76">
        <f>SUMPRODUCT((MONTH(CHOOSE({1,2,3,4},KMB!T76,KMB!X76,KMB!AB76,KMB!AF76))=7)*(CHOOSE({1,2,3,4},KMB!W76,KMB!AA76,KMB!AE76,KMB!AI76)))</f>
        <v>0</v>
      </c>
      <c r="H76">
        <f>SUMPRODUCT((MONTH(CHOOSE({1,2,3,4},KMB!T76,KMB!X76,KMB!AB76,KMB!AF76))=8)*(CHOOSE({1,2,3,4},KMB!W76,KMB!AA76,KMB!AE76,KMB!AI76)))</f>
        <v>0</v>
      </c>
      <c r="I76">
        <f>SUMPRODUCT((MONTH(CHOOSE({1,2,3,4},KMB!T76,KMB!X76,KMB!AB76,KMB!AF76))=9)*(CHOOSE({1,2,3,4},KMB!W76,KMB!AA76,KMB!AE76,KMB!AI76)))</f>
        <v>0</v>
      </c>
      <c r="J76">
        <f>SUMPRODUCT((MONTH(CHOOSE({1,2,3,4},KMB!T76,KMB!X76,KMB!AB76,KMB!AF76))=10)*(CHOOSE({1,2,3,4},KMB!W76,KMB!AA76,KMB!AE76,KMB!AI76)))</f>
        <v>0</v>
      </c>
      <c r="K76">
        <f>SUMPRODUCT((MONTH(CHOOSE({1,2,3,4},KMB!T76,KMB!X76,KMB!AB76,KMB!AF76))=11)*(CHOOSE({1,2,3,4},KMB!W76,KMB!AA76,KMB!AE76,KMB!AI76)))</f>
        <v>0</v>
      </c>
      <c r="L76">
        <f>SUMPRODUCT((MONTH(CHOOSE({1,2,3,4},KMB!T76,KMB!X76,KMB!AB76,KMB!AF76))=12)*(CHOOSE({1,2,3,4},KMB!W76,KMB!AA76,KMB!AE76,KMB!AI76)))</f>
        <v>0</v>
      </c>
    </row>
    <row r="77" spans="1:12">
      <c r="A77">
        <f>SUMPRODUCT((MONTH(CHOOSE({1,2,3,4},KMB!T77,KMB!X77,KMB!AB77,KMB!AF77))=1)*(CHOOSE({1,2,3,4},KMB!W77,KMB!AA77,KMB!AE77,KMB!AI77)))</f>
        <v>0</v>
      </c>
      <c r="B77">
        <f>SUMPRODUCT((MONTH(CHOOSE({1,2,3,4},KMB!T77,KMB!X77,KMB!AB77,KMB!AF77))=2)*(CHOOSE({1,2,3,4},KMB!W77,KMB!AA77,KMB!AE77,KMB!AI77)))</f>
        <v>0</v>
      </c>
      <c r="C77">
        <f>SUMPRODUCT((MONTH(CHOOSE({1,2,3,4},KMB!T77,KMB!X77,KMB!AB77,KMB!AF77))=3)*(CHOOSE({1,2,3,4},KMB!W77,KMB!AA77,KMB!AE77,KMB!AI77)))</f>
        <v>0</v>
      </c>
      <c r="D77">
        <f>SUMPRODUCT((MONTH(CHOOSE({1,2,3,4},KMB!T77,KMB!X77,KMB!AB77,KMB!AF77))=4)*(CHOOSE({1,2,3,4},KMB!W77,KMB!AA77,KMB!AE77,KMB!AI77)))</f>
        <v>0</v>
      </c>
      <c r="E77">
        <f>SUMPRODUCT((MONTH(CHOOSE({1,2,3,4},KMB!T77,KMB!X77,KMB!AB77,KMB!AF77))=5)*(CHOOSE({1,2,3,4},KMB!W77,KMB!AA77,KMB!AE77,KMB!AI77)))</f>
        <v>0</v>
      </c>
      <c r="F77">
        <f>SUMPRODUCT((MONTH(CHOOSE({1,2,3,4},KMB!T77,KMB!X77,KMB!AB77,KMB!AF77))=6)*(CHOOSE({1,2,3,4},KMB!W77,KMB!AA77,KMB!AE77,KMB!AI77)))</f>
        <v>0</v>
      </c>
      <c r="G77">
        <f>SUMPRODUCT((MONTH(CHOOSE({1,2,3,4},KMB!T77,KMB!X77,KMB!AB77,KMB!AF77))=7)*(CHOOSE({1,2,3,4},KMB!W77,KMB!AA77,KMB!AE77,KMB!AI77)))</f>
        <v>0</v>
      </c>
      <c r="H77">
        <f>SUMPRODUCT((MONTH(CHOOSE({1,2,3,4},KMB!T77,KMB!X77,KMB!AB77,KMB!AF77))=8)*(CHOOSE({1,2,3,4},KMB!W77,KMB!AA77,KMB!AE77,KMB!AI77)))</f>
        <v>0</v>
      </c>
      <c r="I77">
        <f>SUMPRODUCT((MONTH(CHOOSE({1,2,3,4},KMB!T77,KMB!X77,KMB!AB77,KMB!AF77))=9)*(CHOOSE({1,2,3,4},KMB!W77,KMB!AA77,KMB!AE77,KMB!AI77)))</f>
        <v>0</v>
      </c>
      <c r="J77">
        <f>SUMPRODUCT((MONTH(CHOOSE({1,2,3,4},KMB!T77,KMB!X77,KMB!AB77,KMB!AF77))=10)*(CHOOSE({1,2,3,4},KMB!W77,KMB!AA77,KMB!AE77,KMB!AI77)))</f>
        <v>0</v>
      </c>
      <c r="K77">
        <f>SUMPRODUCT((MONTH(CHOOSE({1,2,3,4},KMB!T77,KMB!X77,KMB!AB77,KMB!AF77))=11)*(CHOOSE({1,2,3,4},KMB!W77,KMB!AA77,KMB!AE77,KMB!AI77)))</f>
        <v>0</v>
      </c>
      <c r="L77">
        <f>SUMPRODUCT((MONTH(CHOOSE({1,2,3,4},KMB!T77,KMB!X77,KMB!AB77,KMB!AF77))=12)*(CHOOSE({1,2,3,4},KMB!W77,KMB!AA77,KMB!AE77,KMB!AI77)))</f>
        <v>0</v>
      </c>
    </row>
    <row r="78" spans="1:12">
      <c r="A78">
        <f>SUMPRODUCT((MONTH(CHOOSE({1,2,3,4},KMB!T78,KMB!X78,KMB!AB78,KMB!AF78))=1)*(CHOOSE({1,2,3,4},KMB!W78,KMB!AA78,KMB!AE78,KMB!AI78)))</f>
        <v>0</v>
      </c>
      <c r="B78">
        <f>SUMPRODUCT((MONTH(CHOOSE({1,2,3,4},KMB!T78,KMB!X78,KMB!AB78,KMB!AF78))=2)*(CHOOSE({1,2,3,4},KMB!W78,KMB!AA78,KMB!AE78,KMB!AI78)))</f>
        <v>0</v>
      </c>
      <c r="C78">
        <f>SUMPRODUCT((MONTH(CHOOSE({1,2,3,4},KMB!T78,KMB!X78,KMB!AB78,KMB!AF78))=3)*(CHOOSE({1,2,3,4},KMB!W78,KMB!AA78,KMB!AE78,KMB!AI78)))</f>
        <v>0</v>
      </c>
      <c r="D78">
        <f>SUMPRODUCT((MONTH(CHOOSE({1,2,3,4},KMB!T78,KMB!X78,KMB!AB78,KMB!AF78))=4)*(CHOOSE({1,2,3,4},KMB!W78,KMB!AA78,KMB!AE78,KMB!AI78)))</f>
        <v>0</v>
      </c>
      <c r="E78">
        <f>SUMPRODUCT((MONTH(CHOOSE({1,2,3,4},KMB!T78,KMB!X78,KMB!AB78,KMB!AF78))=5)*(CHOOSE({1,2,3,4},KMB!W78,KMB!AA78,KMB!AE78,KMB!AI78)))</f>
        <v>0</v>
      </c>
      <c r="F78">
        <f>SUMPRODUCT((MONTH(CHOOSE({1,2,3,4},KMB!T78,KMB!X78,KMB!AB78,KMB!AF78))=6)*(CHOOSE({1,2,3,4},KMB!W78,KMB!AA78,KMB!AE78,KMB!AI78)))</f>
        <v>0</v>
      </c>
      <c r="G78">
        <f>SUMPRODUCT((MONTH(CHOOSE({1,2,3,4},KMB!T78,KMB!X78,KMB!AB78,KMB!AF78))=7)*(CHOOSE({1,2,3,4},KMB!W78,KMB!AA78,KMB!AE78,KMB!AI78)))</f>
        <v>0</v>
      </c>
      <c r="H78">
        <f>SUMPRODUCT((MONTH(CHOOSE({1,2,3,4},KMB!T78,KMB!X78,KMB!AB78,KMB!AF78))=8)*(CHOOSE({1,2,3,4},KMB!W78,KMB!AA78,KMB!AE78,KMB!AI78)))</f>
        <v>0</v>
      </c>
      <c r="I78">
        <f>SUMPRODUCT((MONTH(CHOOSE({1,2,3,4},KMB!T78,KMB!X78,KMB!AB78,KMB!AF78))=9)*(CHOOSE({1,2,3,4},KMB!W78,KMB!AA78,KMB!AE78,KMB!AI78)))</f>
        <v>0</v>
      </c>
      <c r="J78">
        <f>SUMPRODUCT((MONTH(CHOOSE({1,2,3,4},KMB!T78,KMB!X78,KMB!AB78,KMB!AF78))=10)*(CHOOSE({1,2,3,4},KMB!W78,KMB!AA78,KMB!AE78,KMB!AI78)))</f>
        <v>0</v>
      </c>
      <c r="K78">
        <f>SUMPRODUCT((MONTH(CHOOSE({1,2,3,4},KMB!T78,KMB!X78,KMB!AB78,KMB!AF78))=11)*(CHOOSE({1,2,3,4},KMB!W78,KMB!AA78,KMB!AE78,KMB!AI78)))</f>
        <v>0</v>
      </c>
      <c r="L78">
        <f>SUMPRODUCT((MONTH(CHOOSE({1,2,3,4},KMB!T78,KMB!X78,KMB!AB78,KMB!AF78))=12)*(CHOOSE({1,2,3,4},KMB!W78,KMB!AA78,KMB!AE78,KMB!AI78)))</f>
        <v>0</v>
      </c>
    </row>
    <row r="79" spans="1:12">
      <c r="A79">
        <f>SUMPRODUCT((MONTH(CHOOSE({1,2,3,4},KMB!T79,KMB!X79,KMB!AB79,KMB!AF79))=1)*(CHOOSE({1,2,3,4},KMB!W79,KMB!AA79,KMB!AE79,KMB!AI79)))</f>
        <v>0</v>
      </c>
      <c r="B79">
        <f>SUMPRODUCT((MONTH(CHOOSE({1,2,3,4},KMB!T79,KMB!X79,KMB!AB79,KMB!AF79))=2)*(CHOOSE({1,2,3,4},KMB!W79,KMB!AA79,KMB!AE79,KMB!AI79)))</f>
        <v>0</v>
      </c>
      <c r="C79">
        <f>SUMPRODUCT((MONTH(CHOOSE({1,2,3,4},KMB!T79,KMB!X79,KMB!AB79,KMB!AF79))=3)*(CHOOSE({1,2,3,4},KMB!W79,KMB!AA79,KMB!AE79,KMB!AI79)))</f>
        <v>0</v>
      </c>
      <c r="D79">
        <f>SUMPRODUCT((MONTH(CHOOSE({1,2,3,4},KMB!T79,KMB!X79,KMB!AB79,KMB!AF79))=4)*(CHOOSE({1,2,3,4},KMB!W79,KMB!AA79,KMB!AE79,KMB!AI79)))</f>
        <v>0</v>
      </c>
      <c r="E79">
        <f>SUMPRODUCT((MONTH(CHOOSE({1,2,3,4},KMB!T79,KMB!X79,KMB!AB79,KMB!AF79))=5)*(CHOOSE({1,2,3,4},KMB!W79,KMB!AA79,KMB!AE79,KMB!AI79)))</f>
        <v>0</v>
      </c>
      <c r="F79">
        <f>SUMPRODUCT((MONTH(CHOOSE({1,2,3,4},KMB!T79,KMB!X79,KMB!AB79,KMB!AF79))=6)*(CHOOSE({1,2,3,4},KMB!W79,KMB!AA79,KMB!AE79,KMB!AI79)))</f>
        <v>0</v>
      </c>
      <c r="G79">
        <f>SUMPRODUCT((MONTH(CHOOSE({1,2,3,4},KMB!T79,KMB!X79,KMB!AB79,KMB!AF79))=7)*(CHOOSE({1,2,3,4},KMB!W79,KMB!AA79,KMB!AE79,KMB!AI79)))</f>
        <v>0</v>
      </c>
      <c r="H79">
        <f>SUMPRODUCT((MONTH(CHOOSE({1,2,3,4},KMB!T79,KMB!X79,KMB!AB79,KMB!AF79))=8)*(CHOOSE({1,2,3,4},KMB!W79,KMB!AA79,KMB!AE79,KMB!AI79)))</f>
        <v>0</v>
      </c>
      <c r="I79">
        <f>SUMPRODUCT((MONTH(CHOOSE({1,2,3,4},KMB!T79,KMB!X79,KMB!AB79,KMB!AF79))=9)*(CHOOSE({1,2,3,4},KMB!W79,KMB!AA79,KMB!AE79,KMB!AI79)))</f>
        <v>0</v>
      </c>
      <c r="J79">
        <f>SUMPRODUCT((MONTH(CHOOSE({1,2,3,4},KMB!T79,KMB!X79,KMB!AB79,KMB!AF79))=10)*(CHOOSE({1,2,3,4},KMB!W79,KMB!AA79,KMB!AE79,KMB!AI79)))</f>
        <v>0</v>
      </c>
      <c r="K79">
        <f>SUMPRODUCT((MONTH(CHOOSE({1,2,3,4},KMB!T79,KMB!X79,KMB!AB79,KMB!AF79))=11)*(CHOOSE({1,2,3,4},KMB!W79,KMB!AA79,KMB!AE79,KMB!AI79)))</f>
        <v>0</v>
      </c>
      <c r="L79">
        <f>SUMPRODUCT((MONTH(CHOOSE({1,2,3,4},KMB!T79,KMB!X79,KMB!AB79,KMB!AF79))=12)*(CHOOSE({1,2,3,4},KMB!W79,KMB!AA79,KMB!AE79,KMB!AI79)))</f>
        <v>0</v>
      </c>
    </row>
    <row r="80" spans="1:12">
      <c r="A80">
        <f>SUMPRODUCT((MONTH(CHOOSE({1,2,3,4},KMB!T80,KMB!X80,KMB!AB80,KMB!AF80))=1)*(CHOOSE({1,2,3,4},KMB!W80,KMB!AA80,KMB!AE80,KMB!AI80)))</f>
        <v>0</v>
      </c>
      <c r="B80">
        <f>SUMPRODUCT((MONTH(CHOOSE({1,2,3,4},KMB!T80,KMB!X80,KMB!AB80,KMB!AF80))=2)*(CHOOSE({1,2,3,4},KMB!W80,KMB!AA80,KMB!AE80,KMB!AI80)))</f>
        <v>0</v>
      </c>
      <c r="C80">
        <f>SUMPRODUCT((MONTH(CHOOSE({1,2,3,4},KMB!T80,KMB!X80,KMB!AB80,KMB!AF80))=3)*(CHOOSE({1,2,3,4},KMB!W80,KMB!AA80,KMB!AE80,KMB!AI80)))</f>
        <v>0</v>
      </c>
      <c r="D80">
        <f>SUMPRODUCT((MONTH(CHOOSE({1,2,3,4},KMB!T80,KMB!X80,KMB!AB80,KMB!AF80))=4)*(CHOOSE({1,2,3,4},KMB!W80,KMB!AA80,KMB!AE80,KMB!AI80)))</f>
        <v>0</v>
      </c>
      <c r="E80">
        <f>SUMPRODUCT((MONTH(CHOOSE({1,2,3,4},KMB!T80,KMB!X80,KMB!AB80,KMB!AF80))=5)*(CHOOSE({1,2,3,4},KMB!W80,KMB!AA80,KMB!AE80,KMB!AI80)))</f>
        <v>0</v>
      </c>
      <c r="F80">
        <f>SUMPRODUCT((MONTH(CHOOSE({1,2,3,4},KMB!T80,KMB!X80,KMB!AB80,KMB!AF80))=6)*(CHOOSE({1,2,3,4},KMB!W80,KMB!AA80,KMB!AE80,KMB!AI80)))</f>
        <v>0</v>
      </c>
      <c r="G80">
        <f>SUMPRODUCT((MONTH(CHOOSE({1,2,3,4},KMB!T80,KMB!X80,KMB!AB80,KMB!AF80))=7)*(CHOOSE({1,2,3,4},KMB!W80,KMB!AA80,KMB!AE80,KMB!AI80)))</f>
        <v>0</v>
      </c>
      <c r="H80">
        <f>SUMPRODUCT((MONTH(CHOOSE({1,2,3,4},KMB!T80,KMB!X80,KMB!AB80,KMB!AF80))=8)*(CHOOSE({1,2,3,4},KMB!W80,KMB!AA80,KMB!AE80,KMB!AI80)))</f>
        <v>0</v>
      </c>
      <c r="I80">
        <f>SUMPRODUCT((MONTH(CHOOSE({1,2,3,4},KMB!T80,KMB!X80,KMB!AB80,KMB!AF80))=9)*(CHOOSE({1,2,3,4},KMB!W80,KMB!AA80,KMB!AE80,KMB!AI80)))</f>
        <v>0</v>
      </c>
      <c r="J80">
        <f>SUMPRODUCT((MONTH(CHOOSE({1,2,3,4},KMB!T80,KMB!X80,KMB!AB80,KMB!AF80))=10)*(CHOOSE({1,2,3,4},KMB!W80,KMB!AA80,KMB!AE80,KMB!AI80)))</f>
        <v>0</v>
      </c>
      <c r="K80">
        <f>SUMPRODUCT((MONTH(CHOOSE({1,2,3,4},KMB!T80,KMB!X80,KMB!AB80,KMB!AF80))=11)*(CHOOSE({1,2,3,4},KMB!W80,KMB!AA80,KMB!AE80,KMB!AI80)))</f>
        <v>0</v>
      </c>
      <c r="L80">
        <f>SUMPRODUCT((MONTH(CHOOSE({1,2,3,4},KMB!T80,KMB!X80,KMB!AB80,KMB!AF80))=12)*(CHOOSE({1,2,3,4},KMB!W80,KMB!AA80,KMB!AE80,KMB!AI80)))</f>
        <v>0</v>
      </c>
    </row>
    <row r="81" spans="1:12">
      <c r="A81">
        <f>SUMPRODUCT((MONTH(CHOOSE({1,2,3,4},KMB!T81,KMB!X81,KMB!AB81,KMB!AF81))=1)*(CHOOSE({1,2,3,4},KMB!W81,KMB!AA81,KMB!AE81,KMB!AI81)))</f>
        <v>0</v>
      </c>
      <c r="B81">
        <f>SUMPRODUCT((MONTH(CHOOSE({1,2,3,4},KMB!T81,KMB!X81,KMB!AB81,KMB!AF81))=2)*(CHOOSE({1,2,3,4},KMB!W81,KMB!AA81,KMB!AE81,KMB!AI81)))</f>
        <v>0</v>
      </c>
      <c r="C81">
        <f>SUMPRODUCT((MONTH(CHOOSE({1,2,3,4},KMB!T81,KMB!X81,KMB!AB81,KMB!AF81))=3)*(CHOOSE({1,2,3,4},KMB!W81,KMB!AA81,KMB!AE81,KMB!AI81)))</f>
        <v>0</v>
      </c>
      <c r="D81">
        <f>SUMPRODUCT((MONTH(CHOOSE({1,2,3,4},KMB!T81,KMB!X81,KMB!AB81,KMB!AF81))=4)*(CHOOSE({1,2,3,4},KMB!W81,KMB!AA81,KMB!AE81,KMB!AI81)))</f>
        <v>0</v>
      </c>
      <c r="E81">
        <f>SUMPRODUCT((MONTH(CHOOSE({1,2,3,4},KMB!T81,KMB!X81,KMB!AB81,KMB!AF81))=5)*(CHOOSE({1,2,3,4},KMB!W81,KMB!AA81,KMB!AE81,KMB!AI81)))</f>
        <v>0</v>
      </c>
      <c r="F81">
        <f>SUMPRODUCT((MONTH(CHOOSE({1,2,3,4},KMB!T81,KMB!X81,KMB!AB81,KMB!AF81))=6)*(CHOOSE({1,2,3,4},KMB!W81,KMB!AA81,KMB!AE81,KMB!AI81)))</f>
        <v>0</v>
      </c>
      <c r="G81">
        <f>SUMPRODUCT((MONTH(CHOOSE({1,2,3,4},KMB!T81,KMB!X81,KMB!AB81,KMB!AF81))=7)*(CHOOSE({1,2,3,4},KMB!W81,KMB!AA81,KMB!AE81,KMB!AI81)))</f>
        <v>0</v>
      </c>
      <c r="H81">
        <f>SUMPRODUCT((MONTH(CHOOSE({1,2,3,4},KMB!T81,KMB!X81,KMB!AB81,KMB!AF81))=8)*(CHOOSE({1,2,3,4},KMB!W81,KMB!AA81,KMB!AE81,KMB!AI81)))</f>
        <v>0</v>
      </c>
      <c r="I81">
        <f>SUMPRODUCT((MONTH(CHOOSE({1,2,3,4},KMB!T81,KMB!X81,KMB!AB81,KMB!AF81))=9)*(CHOOSE({1,2,3,4},KMB!W81,KMB!AA81,KMB!AE81,KMB!AI81)))</f>
        <v>0</v>
      </c>
      <c r="J81">
        <f>SUMPRODUCT((MONTH(CHOOSE({1,2,3,4},KMB!T81,KMB!X81,KMB!AB81,KMB!AF81))=10)*(CHOOSE({1,2,3,4},KMB!W81,KMB!AA81,KMB!AE81,KMB!AI81)))</f>
        <v>0</v>
      </c>
      <c r="K81">
        <f>SUMPRODUCT((MONTH(CHOOSE({1,2,3,4},KMB!T81,KMB!X81,KMB!AB81,KMB!AF81))=11)*(CHOOSE({1,2,3,4},KMB!W81,KMB!AA81,KMB!AE81,KMB!AI81)))</f>
        <v>0</v>
      </c>
      <c r="L81">
        <f>SUMPRODUCT((MONTH(CHOOSE({1,2,3,4},KMB!T81,KMB!X81,KMB!AB81,KMB!AF81))=12)*(CHOOSE({1,2,3,4},KMB!W81,KMB!AA81,KMB!AE81,KMB!AI81)))</f>
        <v>0</v>
      </c>
    </row>
    <row r="82" spans="1:12">
      <c r="A82">
        <f>SUMPRODUCT((MONTH(CHOOSE({1,2,3,4},KMB!T82,KMB!X82,KMB!AB82,KMB!AF82))=1)*(CHOOSE({1,2,3,4},KMB!W82,KMB!AA82,KMB!AE82,KMB!AI82)))</f>
        <v>0</v>
      </c>
      <c r="B82">
        <f>SUMPRODUCT((MONTH(CHOOSE({1,2,3,4},KMB!T82,KMB!X82,KMB!AB82,KMB!AF82))=2)*(CHOOSE({1,2,3,4},KMB!W82,KMB!AA82,KMB!AE82,KMB!AI82)))</f>
        <v>0</v>
      </c>
      <c r="C82">
        <f>SUMPRODUCT((MONTH(CHOOSE({1,2,3,4},KMB!T82,KMB!X82,KMB!AB82,KMB!AF82))=3)*(CHOOSE({1,2,3,4},KMB!W82,KMB!AA82,KMB!AE82,KMB!AI82)))</f>
        <v>0</v>
      </c>
      <c r="D82">
        <f>SUMPRODUCT((MONTH(CHOOSE({1,2,3,4},KMB!T82,KMB!X82,KMB!AB82,KMB!AF82))=4)*(CHOOSE({1,2,3,4},KMB!W82,KMB!AA82,KMB!AE82,KMB!AI82)))</f>
        <v>0</v>
      </c>
      <c r="E82">
        <f>SUMPRODUCT((MONTH(CHOOSE({1,2,3,4},KMB!T82,KMB!X82,KMB!AB82,KMB!AF82))=5)*(CHOOSE({1,2,3,4},KMB!W82,KMB!AA82,KMB!AE82,KMB!AI82)))</f>
        <v>0</v>
      </c>
      <c r="F82">
        <f>SUMPRODUCT((MONTH(CHOOSE({1,2,3,4},KMB!T82,KMB!X82,KMB!AB82,KMB!AF82))=6)*(CHOOSE({1,2,3,4},KMB!W82,KMB!AA82,KMB!AE82,KMB!AI82)))</f>
        <v>0</v>
      </c>
      <c r="G82">
        <f>SUMPRODUCT((MONTH(CHOOSE({1,2,3,4},KMB!T82,KMB!X82,KMB!AB82,KMB!AF82))=7)*(CHOOSE({1,2,3,4},KMB!W82,KMB!AA82,KMB!AE82,KMB!AI82)))</f>
        <v>0</v>
      </c>
      <c r="H82">
        <f>SUMPRODUCT((MONTH(CHOOSE({1,2,3,4},KMB!T82,KMB!X82,KMB!AB82,KMB!AF82))=8)*(CHOOSE({1,2,3,4},KMB!W82,KMB!AA82,KMB!AE82,KMB!AI82)))</f>
        <v>0</v>
      </c>
      <c r="I82">
        <f>SUMPRODUCT((MONTH(CHOOSE({1,2,3,4},KMB!T82,KMB!X82,KMB!AB82,KMB!AF82))=9)*(CHOOSE({1,2,3,4},KMB!W82,KMB!AA82,KMB!AE82,KMB!AI82)))</f>
        <v>0</v>
      </c>
      <c r="J82">
        <f>SUMPRODUCT((MONTH(CHOOSE({1,2,3,4},KMB!T82,KMB!X82,KMB!AB82,KMB!AF82))=10)*(CHOOSE({1,2,3,4},KMB!W82,KMB!AA82,KMB!AE82,KMB!AI82)))</f>
        <v>0</v>
      </c>
      <c r="K82">
        <f>SUMPRODUCT((MONTH(CHOOSE({1,2,3,4},KMB!T82,KMB!X82,KMB!AB82,KMB!AF82))=11)*(CHOOSE({1,2,3,4},KMB!W82,KMB!AA82,KMB!AE82,KMB!AI82)))</f>
        <v>0</v>
      </c>
      <c r="L82">
        <f>SUMPRODUCT((MONTH(CHOOSE({1,2,3,4},KMB!T82,KMB!X82,KMB!AB82,KMB!AF82))=12)*(CHOOSE({1,2,3,4},KMB!W82,KMB!AA82,KMB!AE82,KMB!AI82)))</f>
        <v>0</v>
      </c>
    </row>
    <row r="83" spans="1:12">
      <c r="A83">
        <f>SUMPRODUCT((MONTH(CHOOSE({1,2,3,4},KMB!T83,KMB!X83,KMB!AB83,KMB!AF83))=1)*(CHOOSE({1,2,3,4},KMB!W83,KMB!AA83,KMB!AE83,KMB!AI83)))</f>
        <v>0</v>
      </c>
      <c r="B83">
        <f>SUMPRODUCT((MONTH(CHOOSE({1,2,3,4},KMB!T83,KMB!X83,KMB!AB83,KMB!AF83))=2)*(CHOOSE({1,2,3,4},KMB!W83,KMB!AA83,KMB!AE83,KMB!AI83)))</f>
        <v>0</v>
      </c>
      <c r="C83">
        <f>SUMPRODUCT((MONTH(CHOOSE({1,2,3,4},KMB!T83,KMB!X83,KMB!AB83,KMB!AF83))=3)*(CHOOSE({1,2,3,4},KMB!W83,KMB!AA83,KMB!AE83,KMB!AI83)))</f>
        <v>0</v>
      </c>
      <c r="D83">
        <f>SUMPRODUCT((MONTH(CHOOSE({1,2,3,4},KMB!T83,KMB!X83,KMB!AB83,KMB!AF83))=4)*(CHOOSE({1,2,3,4},KMB!W83,KMB!AA83,KMB!AE83,KMB!AI83)))</f>
        <v>0</v>
      </c>
      <c r="E83">
        <f>SUMPRODUCT((MONTH(CHOOSE({1,2,3,4},KMB!T83,KMB!X83,KMB!AB83,KMB!AF83))=5)*(CHOOSE({1,2,3,4},KMB!W83,KMB!AA83,KMB!AE83,KMB!AI83)))</f>
        <v>0</v>
      </c>
      <c r="F83">
        <f>SUMPRODUCT((MONTH(CHOOSE({1,2,3,4},KMB!T83,KMB!X83,KMB!AB83,KMB!AF83))=6)*(CHOOSE({1,2,3,4},KMB!W83,KMB!AA83,KMB!AE83,KMB!AI83)))</f>
        <v>0</v>
      </c>
      <c r="G83">
        <f>SUMPRODUCT((MONTH(CHOOSE({1,2,3,4},KMB!T83,KMB!X83,KMB!AB83,KMB!AF83))=7)*(CHOOSE({1,2,3,4},KMB!W83,KMB!AA83,KMB!AE83,KMB!AI83)))</f>
        <v>0</v>
      </c>
      <c r="H83">
        <f>SUMPRODUCT((MONTH(CHOOSE({1,2,3,4},KMB!T83,KMB!X83,KMB!AB83,KMB!AF83))=8)*(CHOOSE({1,2,3,4},KMB!W83,KMB!AA83,KMB!AE83,KMB!AI83)))</f>
        <v>0</v>
      </c>
      <c r="I83">
        <f>SUMPRODUCT((MONTH(CHOOSE({1,2,3,4},KMB!T83,KMB!X83,KMB!AB83,KMB!AF83))=9)*(CHOOSE({1,2,3,4},KMB!W83,KMB!AA83,KMB!AE83,KMB!AI83)))</f>
        <v>0</v>
      </c>
      <c r="J83">
        <f>SUMPRODUCT((MONTH(CHOOSE({1,2,3,4},KMB!T83,KMB!X83,KMB!AB83,KMB!AF83))=10)*(CHOOSE({1,2,3,4},KMB!W83,KMB!AA83,KMB!AE83,KMB!AI83)))</f>
        <v>0</v>
      </c>
      <c r="K83">
        <f>SUMPRODUCT((MONTH(CHOOSE({1,2,3,4},KMB!T83,KMB!X83,KMB!AB83,KMB!AF83))=11)*(CHOOSE({1,2,3,4},KMB!W83,KMB!AA83,KMB!AE83,KMB!AI83)))</f>
        <v>0</v>
      </c>
      <c r="L83">
        <f>SUMPRODUCT((MONTH(CHOOSE({1,2,3,4},KMB!T83,KMB!X83,KMB!AB83,KMB!AF83))=12)*(CHOOSE({1,2,3,4},KMB!W83,KMB!AA83,KMB!AE83,KMB!AI83)))</f>
        <v>0</v>
      </c>
    </row>
    <row r="84" spans="1:12">
      <c r="A84">
        <f>SUMPRODUCT((MONTH(CHOOSE({1,2,3,4},KMB!T84,KMB!X84,KMB!AB84,KMB!AF84))=1)*(CHOOSE({1,2,3,4},KMB!W84,KMB!AA84,KMB!AE84,KMB!AI84)))</f>
        <v>0</v>
      </c>
      <c r="B84">
        <f>SUMPRODUCT((MONTH(CHOOSE({1,2,3,4},KMB!T84,KMB!X84,KMB!AB84,KMB!AF84))=2)*(CHOOSE({1,2,3,4},KMB!W84,KMB!AA84,KMB!AE84,KMB!AI84)))</f>
        <v>0</v>
      </c>
      <c r="C84">
        <f>SUMPRODUCT((MONTH(CHOOSE({1,2,3,4},KMB!T84,KMB!X84,KMB!AB84,KMB!AF84))=3)*(CHOOSE({1,2,3,4},KMB!W84,KMB!AA84,KMB!AE84,KMB!AI84)))</f>
        <v>0</v>
      </c>
      <c r="D84">
        <f>SUMPRODUCT((MONTH(CHOOSE({1,2,3,4},KMB!T84,KMB!X84,KMB!AB84,KMB!AF84))=4)*(CHOOSE({1,2,3,4},KMB!W84,KMB!AA84,KMB!AE84,KMB!AI84)))</f>
        <v>0</v>
      </c>
      <c r="E84">
        <f>SUMPRODUCT((MONTH(CHOOSE({1,2,3,4},KMB!T84,KMB!X84,KMB!AB84,KMB!AF84))=5)*(CHOOSE({1,2,3,4},KMB!W84,KMB!AA84,KMB!AE84,KMB!AI84)))</f>
        <v>0</v>
      </c>
      <c r="F84">
        <f>SUMPRODUCT((MONTH(CHOOSE({1,2,3,4},KMB!T84,KMB!X84,KMB!AB84,KMB!AF84))=6)*(CHOOSE({1,2,3,4},KMB!W84,KMB!AA84,KMB!AE84,KMB!AI84)))</f>
        <v>0</v>
      </c>
      <c r="G84">
        <f>SUMPRODUCT((MONTH(CHOOSE({1,2,3,4},KMB!T84,KMB!X84,KMB!AB84,KMB!AF84))=7)*(CHOOSE({1,2,3,4},KMB!W84,KMB!AA84,KMB!AE84,KMB!AI84)))</f>
        <v>0</v>
      </c>
      <c r="H84">
        <f>SUMPRODUCT((MONTH(CHOOSE({1,2,3,4},KMB!T84,KMB!X84,KMB!AB84,KMB!AF84))=8)*(CHOOSE({1,2,3,4},KMB!W84,KMB!AA84,KMB!AE84,KMB!AI84)))</f>
        <v>0</v>
      </c>
      <c r="I84">
        <f>SUMPRODUCT((MONTH(CHOOSE({1,2,3,4},KMB!T84,KMB!X84,KMB!AB84,KMB!AF84))=9)*(CHOOSE({1,2,3,4},KMB!W84,KMB!AA84,KMB!AE84,KMB!AI84)))</f>
        <v>0</v>
      </c>
      <c r="J84">
        <f>SUMPRODUCT((MONTH(CHOOSE({1,2,3,4},KMB!T84,KMB!X84,KMB!AB84,KMB!AF84))=10)*(CHOOSE({1,2,3,4},KMB!W84,KMB!AA84,KMB!AE84,KMB!AI84)))</f>
        <v>0</v>
      </c>
      <c r="K84">
        <f>SUMPRODUCT((MONTH(CHOOSE({1,2,3,4},KMB!T84,KMB!X84,KMB!AB84,KMB!AF84))=11)*(CHOOSE({1,2,3,4},KMB!W84,KMB!AA84,KMB!AE84,KMB!AI84)))</f>
        <v>0</v>
      </c>
      <c r="L84">
        <f>SUMPRODUCT((MONTH(CHOOSE({1,2,3,4},KMB!T84,KMB!X84,KMB!AB84,KMB!AF84))=12)*(CHOOSE({1,2,3,4},KMB!W84,KMB!AA84,KMB!AE84,KMB!AI84)))</f>
        <v>0</v>
      </c>
    </row>
    <row r="85" spans="1:12">
      <c r="A85">
        <f>SUMPRODUCT((MONTH(CHOOSE({1,2,3,4},KMB!T85,KMB!X85,KMB!AB85,KMB!AF85))=1)*(CHOOSE({1,2,3,4},KMB!W85,KMB!AA85,KMB!AE85,KMB!AI85)))</f>
        <v>0</v>
      </c>
      <c r="B85">
        <f>SUMPRODUCT((MONTH(CHOOSE({1,2,3,4},KMB!T85,KMB!X85,KMB!AB85,KMB!AF85))=2)*(CHOOSE({1,2,3,4},KMB!W85,KMB!AA85,KMB!AE85,KMB!AI85)))</f>
        <v>0</v>
      </c>
      <c r="C85">
        <f>SUMPRODUCT((MONTH(CHOOSE({1,2,3,4},KMB!T85,KMB!X85,KMB!AB85,KMB!AF85))=3)*(CHOOSE({1,2,3,4},KMB!W85,KMB!AA85,KMB!AE85,KMB!AI85)))</f>
        <v>0</v>
      </c>
      <c r="D85">
        <f>SUMPRODUCT((MONTH(CHOOSE({1,2,3,4},KMB!T85,KMB!X85,KMB!AB85,KMB!AF85))=4)*(CHOOSE({1,2,3,4},KMB!W85,KMB!AA85,KMB!AE85,KMB!AI85)))</f>
        <v>0</v>
      </c>
      <c r="E85">
        <f>SUMPRODUCT((MONTH(CHOOSE({1,2,3,4},KMB!T85,KMB!X85,KMB!AB85,KMB!AF85))=5)*(CHOOSE({1,2,3,4},KMB!W85,KMB!AA85,KMB!AE85,KMB!AI85)))</f>
        <v>0</v>
      </c>
      <c r="F85">
        <f>SUMPRODUCT((MONTH(CHOOSE({1,2,3,4},KMB!T85,KMB!X85,KMB!AB85,KMB!AF85))=6)*(CHOOSE({1,2,3,4},KMB!W85,KMB!AA85,KMB!AE85,KMB!AI85)))</f>
        <v>0</v>
      </c>
      <c r="G85">
        <f>SUMPRODUCT((MONTH(CHOOSE({1,2,3,4},KMB!T85,KMB!X85,KMB!AB85,KMB!AF85))=7)*(CHOOSE({1,2,3,4},KMB!W85,KMB!AA85,KMB!AE85,KMB!AI85)))</f>
        <v>0</v>
      </c>
      <c r="H85">
        <f>SUMPRODUCT((MONTH(CHOOSE({1,2,3,4},KMB!T85,KMB!X85,KMB!AB85,KMB!AF85))=8)*(CHOOSE({1,2,3,4},KMB!W85,KMB!AA85,KMB!AE85,KMB!AI85)))</f>
        <v>0</v>
      </c>
      <c r="I85">
        <f>SUMPRODUCT((MONTH(CHOOSE({1,2,3,4},KMB!T85,KMB!X85,KMB!AB85,KMB!AF85))=9)*(CHOOSE({1,2,3,4},KMB!W85,KMB!AA85,KMB!AE85,KMB!AI85)))</f>
        <v>0</v>
      </c>
      <c r="J85">
        <f>SUMPRODUCT((MONTH(CHOOSE({1,2,3,4},KMB!T85,KMB!X85,KMB!AB85,KMB!AF85))=10)*(CHOOSE({1,2,3,4},KMB!W85,KMB!AA85,KMB!AE85,KMB!AI85)))</f>
        <v>0</v>
      </c>
      <c r="K85">
        <f>SUMPRODUCT((MONTH(CHOOSE({1,2,3,4},KMB!T85,KMB!X85,KMB!AB85,KMB!AF85))=11)*(CHOOSE({1,2,3,4},KMB!W85,KMB!AA85,KMB!AE85,KMB!AI85)))</f>
        <v>0</v>
      </c>
      <c r="L85">
        <f>SUMPRODUCT((MONTH(CHOOSE({1,2,3,4},KMB!T85,KMB!X85,KMB!AB85,KMB!AF85))=12)*(CHOOSE({1,2,3,4},KMB!W85,KMB!AA85,KMB!AE85,KMB!AI85)))</f>
        <v>0</v>
      </c>
    </row>
    <row r="86" spans="1:12">
      <c r="A86">
        <f>SUMPRODUCT((MONTH(CHOOSE({1,2,3,4},KMB!T86,KMB!X86,KMB!AB86,KMB!AF86))=1)*(CHOOSE({1,2,3,4},KMB!W86,KMB!AA86,KMB!AE86,KMB!AI86)))</f>
        <v>0</v>
      </c>
      <c r="B86">
        <f>SUMPRODUCT((MONTH(CHOOSE({1,2,3,4},KMB!T86,KMB!X86,KMB!AB86,KMB!AF86))=2)*(CHOOSE({1,2,3,4},KMB!W86,KMB!AA86,KMB!AE86,KMB!AI86)))</f>
        <v>0</v>
      </c>
      <c r="C86">
        <f>SUMPRODUCT((MONTH(CHOOSE({1,2,3,4},KMB!T86,KMB!X86,KMB!AB86,KMB!AF86))=3)*(CHOOSE({1,2,3,4},KMB!W86,KMB!AA86,KMB!AE86,KMB!AI86)))</f>
        <v>0</v>
      </c>
      <c r="D86">
        <f>SUMPRODUCT((MONTH(CHOOSE({1,2,3,4},KMB!T86,KMB!X86,KMB!AB86,KMB!AF86))=4)*(CHOOSE({1,2,3,4},KMB!W86,KMB!AA86,KMB!AE86,KMB!AI86)))</f>
        <v>0</v>
      </c>
      <c r="E86">
        <f>SUMPRODUCT((MONTH(CHOOSE({1,2,3,4},KMB!T86,KMB!X86,KMB!AB86,KMB!AF86))=5)*(CHOOSE({1,2,3,4},KMB!W86,KMB!AA86,KMB!AE86,KMB!AI86)))</f>
        <v>0</v>
      </c>
      <c r="F86">
        <f>SUMPRODUCT((MONTH(CHOOSE({1,2,3,4},KMB!T86,KMB!X86,KMB!AB86,KMB!AF86))=6)*(CHOOSE({1,2,3,4},KMB!W86,KMB!AA86,KMB!AE86,KMB!AI86)))</f>
        <v>0</v>
      </c>
      <c r="G86">
        <f>SUMPRODUCT((MONTH(CHOOSE({1,2,3,4},KMB!T86,KMB!X86,KMB!AB86,KMB!AF86))=7)*(CHOOSE({1,2,3,4},KMB!W86,KMB!AA86,KMB!AE86,KMB!AI86)))</f>
        <v>0</v>
      </c>
      <c r="H86">
        <f>SUMPRODUCT((MONTH(CHOOSE({1,2,3,4},KMB!T86,KMB!X86,KMB!AB86,KMB!AF86))=8)*(CHOOSE({1,2,3,4},KMB!W86,KMB!AA86,KMB!AE86,KMB!AI86)))</f>
        <v>0</v>
      </c>
      <c r="I86">
        <f>SUMPRODUCT((MONTH(CHOOSE({1,2,3,4},KMB!T86,KMB!X86,KMB!AB86,KMB!AF86))=9)*(CHOOSE({1,2,3,4},KMB!W86,KMB!AA86,KMB!AE86,KMB!AI86)))</f>
        <v>0</v>
      </c>
      <c r="J86">
        <f>SUMPRODUCT((MONTH(CHOOSE({1,2,3,4},KMB!T86,KMB!X86,KMB!AB86,KMB!AF86))=10)*(CHOOSE({1,2,3,4},KMB!W86,KMB!AA86,KMB!AE86,KMB!AI86)))</f>
        <v>0</v>
      </c>
      <c r="K86">
        <f>SUMPRODUCT((MONTH(CHOOSE({1,2,3,4},KMB!T86,KMB!X86,KMB!AB86,KMB!AF86))=11)*(CHOOSE({1,2,3,4},KMB!W86,KMB!AA86,KMB!AE86,KMB!AI86)))</f>
        <v>0</v>
      </c>
      <c r="L86">
        <f>SUMPRODUCT((MONTH(CHOOSE({1,2,3,4},KMB!T86,KMB!X86,KMB!AB86,KMB!AF86))=12)*(CHOOSE({1,2,3,4},KMB!W86,KMB!AA86,KMB!AE86,KMB!AI86)))</f>
        <v>0</v>
      </c>
    </row>
    <row r="87" spans="1:12">
      <c r="A87">
        <f>SUMPRODUCT((MONTH(CHOOSE({1,2,3,4},KMB!T87,KMB!X87,KMB!AB87,KMB!AF87))=1)*(CHOOSE({1,2,3,4},KMB!W87,KMB!AA87,KMB!AE87,KMB!AI87)))</f>
        <v>0</v>
      </c>
      <c r="B87">
        <f>SUMPRODUCT((MONTH(CHOOSE({1,2,3,4},KMB!T87,KMB!X87,KMB!AB87,KMB!AF87))=2)*(CHOOSE({1,2,3,4},KMB!W87,KMB!AA87,KMB!AE87,KMB!AI87)))</f>
        <v>0</v>
      </c>
      <c r="C87">
        <f>SUMPRODUCT((MONTH(CHOOSE({1,2,3,4},KMB!T87,KMB!X87,KMB!AB87,KMB!AF87))=3)*(CHOOSE({1,2,3,4},KMB!W87,KMB!AA87,KMB!AE87,KMB!AI87)))</f>
        <v>0</v>
      </c>
      <c r="D87">
        <f>SUMPRODUCT((MONTH(CHOOSE({1,2,3,4},KMB!T87,KMB!X87,KMB!AB87,KMB!AF87))=4)*(CHOOSE({1,2,3,4},KMB!W87,KMB!AA87,KMB!AE87,KMB!AI87)))</f>
        <v>0</v>
      </c>
      <c r="E87">
        <f>SUMPRODUCT((MONTH(CHOOSE({1,2,3,4},KMB!T87,KMB!X87,KMB!AB87,KMB!AF87))=5)*(CHOOSE({1,2,3,4},KMB!W87,KMB!AA87,KMB!AE87,KMB!AI87)))</f>
        <v>0</v>
      </c>
      <c r="F87">
        <f>SUMPRODUCT((MONTH(CHOOSE({1,2,3,4},KMB!T87,KMB!X87,KMB!AB87,KMB!AF87))=6)*(CHOOSE({1,2,3,4},KMB!W87,KMB!AA87,KMB!AE87,KMB!AI87)))</f>
        <v>0</v>
      </c>
      <c r="G87">
        <f>SUMPRODUCT((MONTH(CHOOSE({1,2,3,4},KMB!T87,KMB!X87,KMB!AB87,KMB!AF87))=7)*(CHOOSE({1,2,3,4},KMB!W87,KMB!AA87,KMB!AE87,KMB!AI87)))</f>
        <v>0</v>
      </c>
      <c r="H87">
        <f>SUMPRODUCT((MONTH(CHOOSE({1,2,3,4},KMB!T87,KMB!X87,KMB!AB87,KMB!AF87))=8)*(CHOOSE({1,2,3,4},KMB!W87,KMB!AA87,KMB!AE87,KMB!AI87)))</f>
        <v>0</v>
      </c>
      <c r="I87">
        <f>SUMPRODUCT((MONTH(CHOOSE({1,2,3,4},KMB!T87,KMB!X87,KMB!AB87,KMB!AF87))=9)*(CHOOSE({1,2,3,4},KMB!W87,KMB!AA87,KMB!AE87,KMB!AI87)))</f>
        <v>0</v>
      </c>
      <c r="J87">
        <f>SUMPRODUCT((MONTH(CHOOSE({1,2,3,4},KMB!T87,KMB!X87,KMB!AB87,KMB!AF87))=10)*(CHOOSE({1,2,3,4},KMB!W87,KMB!AA87,KMB!AE87,KMB!AI87)))</f>
        <v>0</v>
      </c>
      <c r="K87">
        <f>SUMPRODUCT((MONTH(CHOOSE({1,2,3,4},KMB!T87,KMB!X87,KMB!AB87,KMB!AF87))=11)*(CHOOSE({1,2,3,4},KMB!W87,KMB!AA87,KMB!AE87,KMB!AI87)))</f>
        <v>0</v>
      </c>
      <c r="L87">
        <f>SUMPRODUCT((MONTH(CHOOSE({1,2,3,4},KMB!T87,KMB!X87,KMB!AB87,KMB!AF87))=12)*(CHOOSE({1,2,3,4},KMB!W87,KMB!AA87,KMB!AE87,KMB!AI87)))</f>
        <v>0</v>
      </c>
    </row>
    <row r="88" spans="1:12">
      <c r="A88">
        <f>SUMPRODUCT((MONTH(CHOOSE({1,2,3,4},KMB!T88,KMB!X88,KMB!AB88,KMB!AF88))=1)*(CHOOSE({1,2,3,4},KMB!W88,KMB!AA88,KMB!AE88,KMB!AI88)))</f>
        <v>0</v>
      </c>
      <c r="B88">
        <f>SUMPRODUCT((MONTH(CHOOSE({1,2,3,4},KMB!T88,KMB!X88,KMB!AB88,KMB!AF88))=2)*(CHOOSE({1,2,3,4},KMB!W88,KMB!AA88,KMB!AE88,KMB!AI88)))</f>
        <v>0</v>
      </c>
      <c r="C88">
        <f>SUMPRODUCT((MONTH(CHOOSE({1,2,3,4},KMB!T88,KMB!X88,KMB!AB88,KMB!AF88))=3)*(CHOOSE({1,2,3,4},KMB!W88,KMB!AA88,KMB!AE88,KMB!AI88)))</f>
        <v>0</v>
      </c>
      <c r="D88">
        <f>SUMPRODUCT((MONTH(CHOOSE({1,2,3,4},KMB!T88,KMB!X88,KMB!AB88,KMB!AF88))=4)*(CHOOSE({1,2,3,4},KMB!W88,KMB!AA88,KMB!AE88,KMB!AI88)))</f>
        <v>0</v>
      </c>
      <c r="E88">
        <f>SUMPRODUCT((MONTH(CHOOSE({1,2,3,4},KMB!T88,KMB!X88,KMB!AB88,KMB!AF88))=5)*(CHOOSE({1,2,3,4},KMB!W88,KMB!AA88,KMB!AE88,KMB!AI88)))</f>
        <v>0</v>
      </c>
      <c r="F88">
        <f>SUMPRODUCT((MONTH(CHOOSE({1,2,3,4},KMB!T88,KMB!X88,KMB!AB88,KMB!AF88))=6)*(CHOOSE({1,2,3,4},KMB!W88,KMB!AA88,KMB!AE88,KMB!AI88)))</f>
        <v>0</v>
      </c>
      <c r="G88">
        <f>SUMPRODUCT((MONTH(CHOOSE({1,2,3,4},KMB!T88,KMB!X88,KMB!AB88,KMB!AF88))=7)*(CHOOSE({1,2,3,4},KMB!W88,KMB!AA88,KMB!AE88,KMB!AI88)))</f>
        <v>0</v>
      </c>
      <c r="H88">
        <f>SUMPRODUCT((MONTH(CHOOSE({1,2,3,4},KMB!T88,KMB!X88,KMB!AB88,KMB!AF88))=8)*(CHOOSE({1,2,3,4},KMB!W88,KMB!AA88,KMB!AE88,KMB!AI88)))</f>
        <v>0</v>
      </c>
      <c r="I88">
        <f>SUMPRODUCT((MONTH(CHOOSE({1,2,3,4},KMB!T88,KMB!X88,KMB!AB88,KMB!AF88))=9)*(CHOOSE({1,2,3,4},KMB!W88,KMB!AA88,KMB!AE88,KMB!AI88)))</f>
        <v>0</v>
      </c>
      <c r="J88">
        <f>SUMPRODUCT((MONTH(CHOOSE({1,2,3,4},KMB!T88,KMB!X88,KMB!AB88,KMB!AF88))=10)*(CHOOSE({1,2,3,4},KMB!W88,KMB!AA88,KMB!AE88,KMB!AI88)))</f>
        <v>0</v>
      </c>
      <c r="K88">
        <f>SUMPRODUCT((MONTH(CHOOSE({1,2,3,4},KMB!T88,KMB!X88,KMB!AB88,KMB!AF88))=11)*(CHOOSE({1,2,3,4},KMB!W88,KMB!AA88,KMB!AE88,KMB!AI88)))</f>
        <v>0</v>
      </c>
      <c r="L88">
        <f>SUMPRODUCT((MONTH(CHOOSE({1,2,3,4},KMB!T88,KMB!X88,KMB!AB88,KMB!AF88))=12)*(CHOOSE({1,2,3,4},KMB!W88,KMB!AA88,KMB!AE88,KMB!AI88)))</f>
        <v>0</v>
      </c>
    </row>
    <row r="89" spans="1:12">
      <c r="A89">
        <f>SUMPRODUCT((MONTH(CHOOSE({1,2,3,4},KMB!T89,KMB!X89,KMB!AB89,KMB!AF89))=1)*(CHOOSE({1,2,3,4},KMB!W89,KMB!AA89,KMB!AE89,KMB!AI89)))</f>
        <v>0</v>
      </c>
      <c r="B89">
        <f>SUMPRODUCT((MONTH(CHOOSE({1,2,3,4},KMB!T89,KMB!X89,KMB!AB89,KMB!AF89))=2)*(CHOOSE({1,2,3,4},KMB!W89,KMB!AA89,KMB!AE89,KMB!AI89)))</f>
        <v>0</v>
      </c>
      <c r="C89">
        <f>SUMPRODUCT((MONTH(CHOOSE({1,2,3,4},KMB!T89,KMB!X89,KMB!AB89,KMB!AF89))=3)*(CHOOSE({1,2,3,4},KMB!W89,KMB!AA89,KMB!AE89,KMB!AI89)))</f>
        <v>0</v>
      </c>
      <c r="D89">
        <f>SUMPRODUCT((MONTH(CHOOSE({1,2,3,4},KMB!T89,KMB!X89,KMB!AB89,KMB!AF89))=4)*(CHOOSE({1,2,3,4},KMB!W89,KMB!AA89,KMB!AE89,KMB!AI89)))</f>
        <v>0</v>
      </c>
      <c r="E89">
        <f>SUMPRODUCT((MONTH(CHOOSE({1,2,3,4},KMB!T89,KMB!X89,KMB!AB89,KMB!AF89))=5)*(CHOOSE({1,2,3,4},KMB!W89,KMB!AA89,KMB!AE89,KMB!AI89)))</f>
        <v>0</v>
      </c>
      <c r="F89">
        <f>SUMPRODUCT((MONTH(CHOOSE({1,2,3,4},KMB!T89,KMB!X89,KMB!AB89,KMB!AF89))=6)*(CHOOSE({1,2,3,4},KMB!W89,KMB!AA89,KMB!AE89,KMB!AI89)))</f>
        <v>0</v>
      </c>
      <c r="G89">
        <f>SUMPRODUCT((MONTH(CHOOSE({1,2,3,4},KMB!T89,KMB!X89,KMB!AB89,KMB!AF89))=7)*(CHOOSE({1,2,3,4},KMB!W89,KMB!AA89,KMB!AE89,KMB!AI89)))</f>
        <v>0</v>
      </c>
      <c r="H89">
        <f>SUMPRODUCT((MONTH(CHOOSE({1,2,3,4},KMB!T89,KMB!X89,KMB!AB89,KMB!AF89))=8)*(CHOOSE({1,2,3,4},KMB!W89,KMB!AA89,KMB!AE89,KMB!AI89)))</f>
        <v>0</v>
      </c>
      <c r="I89">
        <f>SUMPRODUCT((MONTH(CHOOSE({1,2,3,4},KMB!T89,KMB!X89,KMB!AB89,KMB!AF89))=9)*(CHOOSE({1,2,3,4},KMB!W89,KMB!AA89,KMB!AE89,KMB!AI89)))</f>
        <v>0</v>
      </c>
      <c r="J89">
        <f>SUMPRODUCT((MONTH(CHOOSE({1,2,3,4},KMB!T89,KMB!X89,KMB!AB89,KMB!AF89))=10)*(CHOOSE({1,2,3,4},KMB!W89,KMB!AA89,KMB!AE89,KMB!AI89)))</f>
        <v>0</v>
      </c>
      <c r="K89">
        <f>SUMPRODUCT((MONTH(CHOOSE({1,2,3,4},KMB!T89,KMB!X89,KMB!AB89,KMB!AF89))=11)*(CHOOSE({1,2,3,4},KMB!W89,KMB!AA89,KMB!AE89,KMB!AI89)))</f>
        <v>0</v>
      </c>
      <c r="L89">
        <f>SUMPRODUCT((MONTH(CHOOSE({1,2,3,4},KMB!T89,KMB!X89,KMB!AB89,KMB!AF89))=12)*(CHOOSE({1,2,3,4},KMB!W89,KMB!AA89,KMB!AE89,KMB!AI89)))</f>
        <v>0</v>
      </c>
    </row>
    <row r="90" spans="1:12">
      <c r="A90">
        <f>SUMPRODUCT((MONTH(CHOOSE({1,2,3,4},KMB!T90,KMB!X90,KMB!AB90,KMB!AF90))=1)*(CHOOSE({1,2,3,4},KMB!W90,KMB!AA90,KMB!AE90,KMB!AI90)))</f>
        <v>0</v>
      </c>
      <c r="B90">
        <f>SUMPRODUCT((MONTH(CHOOSE({1,2,3,4},KMB!T90,KMB!X90,KMB!AB90,KMB!AF90))=2)*(CHOOSE({1,2,3,4},KMB!W90,KMB!AA90,KMB!AE90,KMB!AI90)))</f>
        <v>0</v>
      </c>
      <c r="C90">
        <f>SUMPRODUCT((MONTH(CHOOSE({1,2,3,4},KMB!T90,KMB!X90,KMB!AB90,KMB!AF90))=3)*(CHOOSE({1,2,3,4},KMB!W90,KMB!AA90,KMB!AE90,KMB!AI90)))</f>
        <v>0</v>
      </c>
      <c r="D90">
        <f>SUMPRODUCT((MONTH(CHOOSE({1,2,3,4},KMB!T90,KMB!X90,KMB!AB90,KMB!AF90))=4)*(CHOOSE({1,2,3,4},KMB!W90,KMB!AA90,KMB!AE90,KMB!AI90)))</f>
        <v>0</v>
      </c>
      <c r="E90">
        <f>SUMPRODUCT((MONTH(CHOOSE({1,2,3,4},KMB!T90,KMB!X90,KMB!AB90,KMB!AF90))=5)*(CHOOSE({1,2,3,4},KMB!W90,KMB!AA90,KMB!AE90,KMB!AI90)))</f>
        <v>0</v>
      </c>
      <c r="F90">
        <f>SUMPRODUCT((MONTH(CHOOSE({1,2,3,4},KMB!T90,KMB!X90,KMB!AB90,KMB!AF90))=6)*(CHOOSE({1,2,3,4},KMB!W90,KMB!AA90,KMB!AE90,KMB!AI90)))</f>
        <v>0</v>
      </c>
      <c r="G90">
        <f>SUMPRODUCT((MONTH(CHOOSE({1,2,3,4},KMB!T90,KMB!X90,KMB!AB90,KMB!AF90))=7)*(CHOOSE({1,2,3,4},KMB!W90,KMB!AA90,KMB!AE90,KMB!AI90)))</f>
        <v>0</v>
      </c>
      <c r="H90">
        <f>SUMPRODUCT((MONTH(CHOOSE({1,2,3,4},KMB!T90,KMB!X90,KMB!AB90,KMB!AF90))=8)*(CHOOSE({1,2,3,4},KMB!W90,KMB!AA90,KMB!AE90,KMB!AI90)))</f>
        <v>0</v>
      </c>
      <c r="I90">
        <f>SUMPRODUCT((MONTH(CHOOSE({1,2,3,4},KMB!T90,KMB!X90,KMB!AB90,KMB!AF90))=9)*(CHOOSE({1,2,3,4},KMB!W90,KMB!AA90,KMB!AE90,KMB!AI90)))</f>
        <v>0</v>
      </c>
      <c r="J90">
        <f>SUMPRODUCT((MONTH(CHOOSE({1,2,3,4},KMB!T90,KMB!X90,KMB!AB90,KMB!AF90))=10)*(CHOOSE({1,2,3,4},KMB!W90,KMB!AA90,KMB!AE90,KMB!AI90)))</f>
        <v>0</v>
      </c>
      <c r="K90">
        <f>SUMPRODUCT((MONTH(CHOOSE({1,2,3,4},KMB!T90,KMB!X90,KMB!AB90,KMB!AF90))=11)*(CHOOSE({1,2,3,4},KMB!W90,KMB!AA90,KMB!AE90,KMB!AI90)))</f>
        <v>0</v>
      </c>
      <c r="L90">
        <f>SUMPRODUCT((MONTH(CHOOSE({1,2,3,4},KMB!T90,KMB!X90,KMB!AB90,KMB!AF90))=12)*(CHOOSE({1,2,3,4},KMB!W90,KMB!AA90,KMB!AE90,KMB!AI90)))</f>
        <v>0</v>
      </c>
    </row>
    <row r="91" spans="1:12">
      <c r="A91">
        <f>SUMPRODUCT((MONTH(CHOOSE({1,2,3,4},KMB!T91,KMB!X91,KMB!AB91,KMB!AF91))=1)*(CHOOSE({1,2,3,4},KMB!W91,KMB!AA91,KMB!AE91,KMB!AI91)))</f>
        <v>0</v>
      </c>
      <c r="B91">
        <f>SUMPRODUCT((MONTH(CHOOSE({1,2,3,4},KMB!T91,KMB!X91,KMB!AB91,KMB!AF91))=2)*(CHOOSE({1,2,3,4},KMB!W91,KMB!AA91,KMB!AE91,KMB!AI91)))</f>
        <v>0</v>
      </c>
      <c r="C91">
        <f>SUMPRODUCT((MONTH(CHOOSE({1,2,3,4},KMB!T91,KMB!X91,KMB!AB91,KMB!AF91))=3)*(CHOOSE({1,2,3,4},KMB!W91,KMB!AA91,KMB!AE91,KMB!AI91)))</f>
        <v>0</v>
      </c>
      <c r="D91">
        <f>SUMPRODUCT((MONTH(CHOOSE({1,2,3,4},KMB!T91,KMB!X91,KMB!AB91,KMB!AF91))=4)*(CHOOSE({1,2,3,4},KMB!W91,KMB!AA91,KMB!AE91,KMB!AI91)))</f>
        <v>0</v>
      </c>
      <c r="E91">
        <f>SUMPRODUCT((MONTH(CHOOSE({1,2,3,4},KMB!T91,KMB!X91,KMB!AB91,KMB!AF91))=5)*(CHOOSE({1,2,3,4},KMB!W91,KMB!AA91,KMB!AE91,KMB!AI91)))</f>
        <v>0</v>
      </c>
      <c r="F91">
        <f>SUMPRODUCT((MONTH(CHOOSE({1,2,3,4},KMB!T91,KMB!X91,KMB!AB91,KMB!AF91))=6)*(CHOOSE({1,2,3,4},KMB!W91,KMB!AA91,KMB!AE91,KMB!AI91)))</f>
        <v>0</v>
      </c>
      <c r="G91">
        <f>SUMPRODUCT((MONTH(CHOOSE({1,2,3,4},KMB!T91,KMB!X91,KMB!AB91,KMB!AF91))=7)*(CHOOSE({1,2,3,4},KMB!W91,KMB!AA91,KMB!AE91,KMB!AI91)))</f>
        <v>0</v>
      </c>
      <c r="H91">
        <f>SUMPRODUCT((MONTH(CHOOSE({1,2,3,4},KMB!T91,KMB!X91,KMB!AB91,KMB!AF91))=8)*(CHOOSE({1,2,3,4},KMB!W91,KMB!AA91,KMB!AE91,KMB!AI91)))</f>
        <v>0</v>
      </c>
      <c r="I91">
        <f>SUMPRODUCT((MONTH(CHOOSE({1,2,3,4},KMB!T91,KMB!X91,KMB!AB91,KMB!AF91))=9)*(CHOOSE({1,2,3,4},KMB!W91,KMB!AA91,KMB!AE91,KMB!AI91)))</f>
        <v>0</v>
      </c>
      <c r="J91">
        <f>SUMPRODUCT((MONTH(CHOOSE({1,2,3,4},KMB!T91,KMB!X91,KMB!AB91,KMB!AF91))=10)*(CHOOSE({1,2,3,4},KMB!W91,KMB!AA91,KMB!AE91,KMB!AI91)))</f>
        <v>0</v>
      </c>
      <c r="K91">
        <f>SUMPRODUCT((MONTH(CHOOSE({1,2,3,4},KMB!T91,KMB!X91,KMB!AB91,KMB!AF91))=11)*(CHOOSE({1,2,3,4},KMB!W91,KMB!AA91,KMB!AE91,KMB!AI91)))</f>
        <v>0</v>
      </c>
      <c r="L91">
        <f>SUMPRODUCT((MONTH(CHOOSE({1,2,3,4},KMB!T91,KMB!X91,KMB!AB91,KMB!AF91))=12)*(CHOOSE({1,2,3,4},KMB!W91,KMB!AA91,KMB!AE91,KMB!AI91)))</f>
        <v>0</v>
      </c>
    </row>
    <row r="92" spans="1:12">
      <c r="A92">
        <f>SUMPRODUCT((MONTH(CHOOSE({1,2,3,4},KMB!T92,KMB!X92,KMB!AB92,KMB!AF92))=1)*(CHOOSE({1,2,3,4},KMB!W92,KMB!AA92,KMB!AE92,KMB!AI92)))</f>
        <v>0</v>
      </c>
      <c r="B92">
        <f>SUMPRODUCT((MONTH(CHOOSE({1,2,3,4},KMB!T92,KMB!X92,KMB!AB92,KMB!AF92))=2)*(CHOOSE({1,2,3,4},KMB!W92,KMB!AA92,KMB!AE92,KMB!AI92)))</f>
        <v>0</v>
      </c>
      <c r="C92">
        <f>SUMPRODUCT((MONTH(CHOOSE({1,2,3,4},KMB!T92,KMB!X92,KMB!AB92,KMB!AF92))=3)*(CHOOSE({1,2,3,4},KMB!W92,KMB!AA92,KMB!AE92,KMB!AI92)))</f>
        <v>0</v>
      </c>
      <c r="D92">
        <f>SUMPRODUCT((MONTH(CHOOSE({1,2,3,4},KMB!T92,KMB!X92,KMB!AB92,KMB!AF92))=4)*(CHOOSE({1,2,3,4},KMB!W92,KMB!AA92,KMB!AE92,KMB!AI92)))</f>
        <v>0</v>
      </c>
      <c r="E92">
        <f>SUMPRODUCT((MONTH(CHOOSE({1,2,3,4},KMB!T92,KMB!X92,KMB!AB92,KMB!AF92))=5)*(CHOOSE({1,2,3,4},KMB!W92,KMB!AA92,KMB!AE92,KMB!AI92)))</f>
        <v>0</v>
      </c>
      <c r="F92">
        <f>SUMPRODUCT((MONTH(CHOOSE({1,2,3,4},KMB!T92,KMB!X92,KMB!AB92,KMB!AF92))=6)*(CHOOSE({1,2,3,4},KMB!W92,KMB!AA92,KMB!AE92,KMB!AI92)))</f>
        <v>0</v>
      </c>
      <c r="G92">
        <f>SUMPRODUCT((MONTH(CHOOSE({1,2,3,4},KMB!T92,KMB!X92,KMB!AB92,KMB!AF92))=7)*(CHOOSE({1,2,3,4},KMB!W92,KMB!AA92,KMB!AE92,KMB!AI92)))</f>
        <v>0</v>
      </c>
      <c r="H92">
        <f>SUMPRODUCT((MONTH(CHOOSE({1,2,3,4},KMB!T92,KMB!X92,KMB!AB92,KMB!AF92))=8)*(CHOOSE({1,2,3,4},KMB!W92,KMB!AA92,KMB!AE92,KMB!AI92)))</f>
        <v>0</v>
      </c>
      <c r="I92">
        <f>SUMPRODUCT((MONTH(CHOOSE({1,2,3,4},KMB!T92,KMB!X92,KMB!AB92,KMB!AF92))=9)*(CHOOSE({1,2,3,4},KMB!W92,KMB!AA92,KMB!AE92,KMB!AI92)))</f>
        <v>0</v>
      </c>
      <c r="J92">
        <f>SUMPRODUCT((MONTH(CHOOSE({1,2,3,4},KMB!T92,KMB!X92,KMB!AB92,KMB!AF92))=10)*(CHOOSE({1,2,3,4},KMB!W92,KMB!AA92,KMB!AE92,KMB!AI92)))</f>
        <v>0</v>
      </c>
      <c r="K92">
        <f>SUMPRODUCT((MONTH(CHOOSE({1,2,3,4},KMB!T92,KMB!X92,KMB!AB92,KMB!AF92))=11)*(CHOOSE({1,2,3,4},KMB!W92,KMB!AA92,KMB!AE92,KMB!AI92)))</f>
        <v>0</v>
      </c>
      <c r="L92">
        <f>SUMPRODUCT((MONTH(CHOOSE({1,2,3,4},KMB!T92,KMB!X92,KMB!AB92,KMB!AF92))=12)*(CHOOSE({1,2,3,4},KMB!W92,KMB!AA92,KMB!AE92,KMB!AI92)))</f>
        <v>0</v>
      </c>
    </row>
    <row r="93" spans="1:12">
      <c r="A93">
        <f>SUMPRODUCT((MONTH(CHOOSE({1,2,3,4},KMB!T93,KMB!X93,KMB!AB93,KMB!AF93))=1)*(CHOOSE({1,2,3,4},KMB!W93,KMB!AA93,KMB!AE93,KMB!AI93)))</f>
        <v>0</v>
      </c>
      <c r="B93">
        <f>SUMPRODUCT((MONTH(CHOOSE({1,2,3,4},KMB!T93,KMB!X93,KMB!AB93,KMB!AF93))=2)*(CHOOSE({1,2,3,4},KMB!W93,KMB!AA93,KMB!AE93,KMB!AI93)))</f>
        <v>0</v>
      </c>
      <c r="C93">
        <f>SUMPRODUCT((MONTH(CHOOSE({1,2,3,4},KMB!T93,KMB!X93,KMB!AB93,KMB!AF93))=3)*(CHOOSE({1,2,3,4},KMB!W93,KMB!AA93,KMB!AE93,KMB!AI93)))</f>
        <v>0</v>
      </c>
      <c r="D93">
        <f>SUMPRODUCT((MONTH(CHOOSE({1,2,3,4},KMB!T93,KMB!X93,KMB!AB93,KMB!AF93))=4)*(CHOOSE({1,2,3,4},KMB!W93,KMB!AA93,KMB!AE93,KMB!AI93)))</f>
        <v>0</v>
      </c>
      <c r="E93">
        <f>SUMPRODUCT((MONTH(CHOOSE({1,2,3,4},KMB!T93,KMB!X93,KMB!AB93,KMB!AF93))=5)*(CHOOSE({1,2,3,4},KMB!W93,KMB!AA93,KMB!AE93,KMB!AI93)))</f>
        <v>0</v>
      </c>
      <c r="F93">
        <f>SUMPRODUCT((MONTH(CHOOSE({1,2,3,4},KMB!T93,KMB!X93,KMB!AB93,KMB!AF93))=6)*(CHOOSE({1,2,3,4},KMB!W93,KMB!AA93,KMB!AE93,KMB!AI93)))</f>
        <v>0</v>
      </c>
      <c r="G93">
        <f>SUMPRODUCT((MONTH(CHOOSE({1,2,3,4},KMB!T93,KMB!X93,KMB!AB93,KMB!AF93))=7)*(CHOOSE({1,2,3,4},KMB!W93,KMB!AA93,KMB!AE93,KMB!AI93)))</f>
        <v>0</v>
      </c>
      <c r="H93">
        <f>SUMPRODUCT((MONTH(CHOOSE({1,2,3,4},KMB!T93,KMB!X93,KMB!AB93,KMB!AF93))=8)*(CHOOSE({1,2,3,4},KMB!W93,KMB!AA93,KMB!AE93,KMB!AI93)))</f>
        <v>0</v>
      </c>
      <c r="I93">
        <f>SUMPRODUCT((MONTH(CHOOSE({1,2,3,4},KMB!T93,KMB!X93,KMB!AB93,KMB!AF93))=9)*(CHOOSE({1,2,3,4},KMB!W93,KMB!AA93,KMB!AE93,KMB!AI93)))</f>
        <v>0</v>
      </c>
      <c r="J93">
        <f>SUMPRODUCT((MONTH(CHOOSE({1,2,3,4},KMB!T93,KMB!X93,KMB!AB93,KMB!AF93))=10)*(CHOOSE({1,2,3,4},KMB!W93,KMB!AA93,KMB!AE93,KMB!AI93)))</f>
        <v>0</v>
      </c>
      <c r="K93">
        <f>SUMPRODUCT((MONTH(CHOOSE({1,2,3,4},KMB!T93,KMB!X93,KMB!AB93,KMB!AF93))=11)*(CHOOSE({1,2,3,4},KMB!W93,KMB!AA93,KMB!AE93,KMB!AI93)))</f>
        <v>0</v>
      </c>
      <c r="L93">
        <f>SUMPRODUCT((MONTH(CHOOSE({1,2,3,4},KMB!T93,KMB!X93,KMB!AB93,KMB!AF93))=12)*(CHOOSE({1,2,3,4},KMB!W93,KMB!AA93,KMB!AE93,KMB!AI93)))</f>
        <v>0</v>
      </c>
    </row>
    <row r="94" spans="1:12">
      <c r="A94">
        <f>SUMPRODUCT((MONTH(CHOOSE({1,2,3,4},KMB!T94,KMB!X94,KMB!AB94,KMB!AF94))=1)*(CHOOSE({1,2,3,4},KMB!W94,KMB!AA94,KMB!AE94,KMB!AI94)))</f>
        <v>0</v>
      </c>
      <c r="B94">
        <f>SUMPRODUCT((MONTH(CHOOSE({1,2,3,4},KMB!T94,KMB!X94,KMB!AB94,KMB!AF94))=2)*(CHOOSE({1,2,3,4},KMB!W94,KMB!AA94,KMB!AE94,KMB!AI94)))</f>
        <v>0</v>
      </c>
      <c r="C94">
        <f>SUMPRODUCT((MONTH(CHOOSE({1,2,3,4},KMB!T94,KMB!X94,KMB!AB94,KMB!AF94))=3)*(CHOOSE({1,2,3,4},KMB!W94,KMB!AA94,KMB!AE94,KMB!AI94)))</f>
        <v>0</v>
      </c>
      <c r="D94">
        <f>SUMPRODUCT((MONTH(CHOOSE({1,2,3,4},KMB!T94,KMB!X94,KMB!AB94,KMB!AF94))=4)*(CHOOSE({1,2,3,4},KMB!W94,KMB!AA94,KMB!AE94,KMB!AI94)))</f>
        <v>0</v>
      </c>
      <c r="E94">
        <f>SUMPRODUCT((MONTH(CHOOSE({1,2,3,4},KMB!T94,KMB!X94,KMB!AB94,KMB!AF94))=5)*(CHOOSE({1,2,3,4},KMB!W94,KMB!AA94,KMB!AE94,KMB!AI94)))</f>
        <v>0</v>
      </c>
      <c r="F94">
        <f>SUMPRODUCT((MONTH(CHOOSE({1,2,3,4},KMB!T94,KMB!X94,KMB!AB94,KMB!AF94))=6)*(CHOOSE({1,2,3,4},KMB!W94,KMB!AA94,KMB!AE94,KMB!AI94)))</f>
        <v>0</v>
      </c>
      <c r="G94">
        <f>SUMPRODUCT((MONTH(CHOOSE({1,2,3,4},KMB!T94,KMB!X94,KMB!AB94,KMB!AF94))=7)*(CHOOSE({1,2,3,4},KMB!W94,KMB!AA94,KMB!AE94,KMB!AI94)))</f>
        <v>0</v>
      </c>
      <c r="H94">
        <f>SUMPRODUCT((MONTH(CHOOSE({1,2,3,4},KMB!T94,KMB!X94,KMB!AB94,KMB!AF94))=8)*(CHOOSE({1,2,3,4},KMB!W94,KMB!AA94,KMB!AE94,KMB!AI94)))</f>
        <v>0</v>
      </c>
      <c r="I94">
        <f>SUMPRODUCT((MONTH(CHOOSE({1,2,3,4},KMB!T94,KMB!X94,KMB!AB94,KMB!AF94))=9)*(CHOOSE({1,2,3,4},KMB!W94,KMB!AA94,KMB!AE94,KMB!AI94)))</f>
        <v>0</v>
      </c>
      <c r="J94">
        <f>SUMPRODUCT((MONTH(CHOOSE({1,2,3,4},KMB!T94,KMB!X94,KMB!AB94,KMB!AF94))=10)*(CHOOSE({1,2,3,4},KMB!W94,KMB!AA94,KMB!AE94,KMB!AI94)))</f>
        <v>0</v>
      </c>
      <c r="K94">
        <f>SUMPRODUCT((MONTH(CHOOSE({1,2,3,4},KMB!T94,KMB!X94,KMB!AB94,KMB!AF94))=11)*(CHOOSE({1,2,3,4},KMB!W94,KMB!AA94,KMB!AE94,KMB!AI94)))</f>
        <v>0</v>
      </c>
      <c r="L94">
        <f>SUMPRODUCT((MONTH(CHOOSE({1,2,3,4},KMB!T94,KMB!X94,KMB!AB94,KMB!AF94))=12)*(CHOOSE({1,2,3,4},KMB!W94,KMB!AA94,KMB!AE94,KMB!AI94)))</f>
        <v>0</v>
      </c>
    </row>
    <row r="95" spans="1:12">
      <c r="A95">
        <f>SUMPRODUCT((MONTH(CHOOSE({1,2,3,4},KMB!T95,KMB!X95,KMB!AB95,KMB!AF95))=1)*(CHOOSE({1,2,3,4},KMB!W95,KMB!AA95,KMB!AE95,KMB!AI95)))</f>
        <v>0</v>
      </c>
      <c r="B95">
        <f>SUMPRODUCT((MONTH(CHOOSE({1,2,3,4},KMB!T95,KMB!X95,KMB!AB95,KMB!AF95))=2)*(CHOOSE({1,2,3,4},KMB!W95,KMB!AA95,KMB!AE95,KMB!AI95)))</f>
        <v>0</v>
      </c>
      <c r="C95">
        <f>SUMPRODUCT((MONTH(CHOOSE({1,2,3,4},KMB!T95,KMB!X95,KMB!AB95,KMB!AF95))=3)*(CHOOSE({1,2,3,4},KMB!W95,KMB!AA95,KMB!AE95,KMB!AI95)))</f>
        <v>0</v>
      </c>
      <c r="D95">
        <f>SUMPRODUCT((MONTH(CHOOSE({1,2,3,4},KMB!T95,KMB!X95,KMB!AB95,KMB!AF95))=4)*(CHOOSE({1,2,3,4},KMB!W95,KMB!AA95,KMB!AE95,KMB!AI95)))</f>
        <v>0</v>
      </c>
      <c r="E95">
        <f>SUMPRODUCT((MONTH(CHOOSE({1,2,3,4},KMB!T95,KMB!X95,KMB!AB95,KMB!AF95))=5)*(CHOOSE({1,2,3,4},KMB!W95,KMB!AA95,KMB!AE95,KMB!AI95)))</f>
        <v>0</v>
      </c>
      <c r="F95">
        <f>SUMPRODUCT((MONTH(CHOOSE({1,2,3,4},KMB!T95,KMB!X95,KMB!AB95,KMB!AF95))=6)*(CHOOSE({1,2,3,4},KMB!W95,KMB!AA95,KMB!AE95,KMB!AI95)))</f>
        <v>0</v>
      </c>
      <c r="G95">
        <f>SUMPRODUCT((MONTH(CHOOSE({1,2,3,4},KMB!T95,KMB!X95,KMB!AB95,KMB!AF95))=7)*(CHOOSE({1,2,3,4},KMB!W95,KMB!AA95,KMB!AE95,KMB!AI95)))</f>
        <v>0</v>
      </c>
      <c r="H95">
        <f>SUMPRODUCT((MONTH(CHOOSE({1,2,3,4},KMB!T95,KMB!X95,KMB!AB95,KMB!AF95))=8)*(CHOOSE({1,2,3,4},KMB!W95,KMB!AA95,KMB!AE95,KMB!AI95)))</f>
        <v>0</v>
      </c>
      <c r="I95">
        <f>SUMPRODUCT((MONTH(CHOOSE({1,2,3,4},KMB!T95,KMB!X95,KMB!AB95,KMB!AF95))=9)*(CHOOSE({1,2,3,4},KMB!W95,KMB!AA95,KMB!AE95,KMB!AI95)))</f>
        <v>0</v>
      </c>
      <c r="J95">
        <f>SUMPRODUCT((MONTH(CHOOSE({1,2,3,4},KMB!T95,KMB!X95,KMB!AB95,KMB!AF95))=10)*(CHOOSE({1,2,3,4},KMB!W95,KMB!AA95,KMB!AE95,KMB!AI95)))</f>
        <v>0</v>
      </c>
      <c r="K95">
        <f>SUMPRODUCT((MONTH(CHOOSE({1,2,3,4},KMB!T95,KMB!X95,KMB!AB95,KMB!AF95))=11)*(CHOOSE({1,2,3,4},KMB!W95,KMB!AA95,KMB!AE95,KMB!AI95)))</f>
        <v>0</v>
      </c>
      <c r="L95">
        <f>SUMPRODUCT((MONTH(CHOOSE({1,2,3,4},KMB!T95,KMB!X95,KMB!AB95,KMB!AF95))=12)*(CHOOSE({1,2,3,4},KMB!W95,KMB!AA95,KMB!AE95,KMB!AI95)))</f>
        <v>0</v>
      </c>
    </row>
    <row r="96" spans="1:12">
      <c r="A96">
        <f>SUMPRODUCT((MONTH(CHOOSE({1,2,3,4},KMB!T96,KMB!X96,KMB!AB96,KMB!AF96))=1)*(CHOOSE({1,2,3,4},KMB!W96,KMB!AA96,KMB!AE96,KMB!AI96)))</f>
        <v>0</v>
      </c>
      <c r="B96">
        <f>SUMPRODUCT((MONTH(CHOOSE({1,2,3,4},KMB!T96,KMB!X96,KMB!AB96,KMB!AF96))=2)*(CHOOSE({1,2,3,4},KMB!W96,KMB!AA96,KMB!AE96,KMB!AI96)))</f>
        <v>0</v>
      </c>
      <c r="C96">
        <f>SUMPRODUCT((MONTH(CHOOSE({1,2,3,4},KMB!T96,KMB!X96,KMB!AB96,KMB!AF96))=3)*(CHOOSE({1,2,3,4},KMB!W96,KMB!AA96,KMB!AE96,KMB!AI96)))</f>
        <v>0</v>
      </c>
      <c r="D96">
        <f>SUMPRODUCT((MONTH(CHOOSE({1,2,3,4},KMB!T96,KMB!X96,KMB!AB96,KMB!AF96))=4)*(CHOOSE({1,2,3,4},KMB!W96,KMB!AA96,KMB!AE96,KMB!AI96)))</f>
        <v>0</v>
      </c>
      <c r="E96">
        <f>SUMPRODUCT((MONTH(CHOOSE({1,2,3,4},KMB!T96,KMB!X96,KMB!AB96,KMB!AF96))=5)*(CHOOSE({1,2,3,4},KMB!W96,KMB!AA96,KMB!AE96,KMB!AI96)))</f>
        <v>0</v>
      </c>
      <c r="F96">
        <f>SUMPRODUCT((MONTH(CHOOSE({1,2,3,4},KMB!T96,KMB!X96,KMB!AB96,KMB!AF96))=6)*(CHOOSE({1,2,3,4},KMB!W96,KMB!AA96,KMB!AE96,KMB!AI96)))</f>
        <v>0</v>
      </c>
      <c r="G96">
        <f>SUMPRODUCT((MONTH(CHOOSE({1,2,3,4},KMB!T96,KMB!X96,KMB!AB96,KMB!AF96))=7)*(CHOOSE({1,2,3,4},KMB!W96,KMB!AA96,KMB!AE96,KMB!AI96)))</f>
        <v>0</v>
      </c>
      <c r="H96">
        <f>SUMPRODUCT((MONTH(CHOOSE({1,2,3,4},KMB!T96,KMB!X96,KMB!AB96,KMB!AF96))=8)*(CHOOSE({1,2,3,4},KMB!W96,KMB!AA96,KMB!AE96,KMB!AI96)))</f>
        <v>0</v>
      </c>
      <c r="I96">
        <f>SUMPRODUCT((MONTH(CHOOSE({1,2,3,4},KMB!T96,KMB!X96,KMB!AB96,KMB!AF96))=9)*(CHOOSE({1,2,3,4},KMB!W96,KMB!AA96,KMB!AE96,KMB!AI96)))</f>
        <v>0</v>
      </c>
      <c r="J96">
        <f>SUMPRODUCT((MONTH(CHOOSE({1,2,3,4},KMB!T96,KMB!X96,KMB!AB96,KMB!AF96))=10)*(CHOOSE({1,2,3,4},KMB!W96,KMB!AA96,KMB!AE96,KMB!AI96)))</f>
        <v>0</v>
      </c>
      <c r="K96">
        <f>SUMPRODUCT((MONTH(CHOOSE({1,2,3,4},KMB!T96,KMB!X96,KMB!AB96,KMB!AF96))=11)*(CHOOSE({1,2,3,4},KMB!W96,KMB!AA96,KMB!AE96,KMB!AI96)))</f>
        <v>0</v>
      </c>
      <c r="L96">
        <f>SUMPRODUCT((MONTH(CHOOSE({1,2,3,4},KMB!T96,KMB!X96,KMB!AB96,KMB!AF96))=12)*(CHOOSE({1,2,3,4},KMB!W96,KMB!AA96,KMB!AE96,KMB!AI96)))</f>
        <v>0</v>
      </c>
    </row>
    <row r="97" spans="1:12">
      <c r="A97">
        <f>SUMPRODUCT((MONTH(CHOOSE({1,2,3,4},KMB!T97,KMB!X97,KMB!AB97,KMB!AF97))=1)*(CHOOSE({1,2,3,4},KMB!W97,KMB!AA97,KMB!AE97,KMB!AI97)))</f>
        <v>0</v>
      </c>
      <c r="B97">
        <f>SUMPRODUCT((MONTH(CHOOSE({1,2,3,4},KMB!T97,KMB!X97,KMB!AB97,KMB!AF97))=2)*(CHOOSE({1,2,3,4},KMB!W97,KMB!AA97,KMB!AE97,KMB!AI97)))</f>
        <v>0</v>
      </c>
      <c r="C97">
        <f>SUMPRODUCT((MONTH(CHOOSE({1,2,3,4},KMB!T97,KMB!X97,KMB!AB97,KMB!AF97))=3)*(CHOOSE({1,2,3,4},KMB!W97,KMB!AA97,KMB!AE97,KMB!AI97)))</f>
        <v>0</v>
      </c>
      <c r="D97">
        <f>SUMPRODUCT((MONTH(CHOOSE({1,2,3,4},KMB!T97,KMB!X97,KMB!AB97,KMB!AF97))=4)*(CHOOSE({1,2,3,4},KMB!W97,KMB!AA97,KMB!AE97,KMB!AI97)))</f>
        <v>0</v>
      </c>
      <c r="E97">
        <f>SUMPRODUCT((MONTH(CHOOSE({1,2,3,4},KMB!T97,KMB!X97,KMB!AB97,KMB!AF97))=5)*(CHOOSE({1,2,3,4},KMB!W97,KMB!AA97,KMB!AE97,KMB!AI97)))</f>
        <v>0</v>
      </c>
      <c r="F97">
        <f>SUMPRODUCT((MONTH(CHOOSE({1,2,3,4},KMB!T97,KMB!X97,KMB!AB97,KMB!AF97))=6)*(CHOOSE({1,2,3,4},KMB!W97,KMB!AA97,KMB!AE97,KMB!AI97)))</f>
        <v>0</v>
      </c>
      <c r="G97">
        <f>SUMPRODUCT((MONTH(CHOOSE({1,2,3,4},KMB!T97,KMB!X97,KMB!AB97,KMB!AF97))=7)*(CHOOSE({1,2,3,4},KMB!W97,KMB!AA97,KMB!AE97,KMB!AI97)))</f>
        <v>0</v>
      </c>
      <c r="H97">
        <f>SUMPRODUCT((MONTH(CHOOSE({1,2,3,4},KMB!T97,KMB!X97,KMB!AB97,KMB!AF97))=8)*(CHOOSE({1,2,3,4},KMB!W97,KMB!AA97,KMB!AE97,KMB!AI97)))</f>
        <v>0</v>
      </c>
      <c r="I97">
        <f>SUMPRODUCT((MONTH(CHOOSE({1,2,3,4},KMB!T97,KMB!X97,KMB!AB97,KMB!AF97))=9)*(CHOOSE({1,2,3,4},KMB!W97,KMB!AA97,KMB!AE97,KMB!AI97)))</f>
        <v>0</v>
      </c>
      <c r="J97">
        <f>SUMPRODUCT((MONTH(CHOOSE({1,2,3,4},KMB!T97,KMB!X97,KMB!AB97,KMB!AF97))=10)*(CHOOSE({1,2,3,4},KMB!W97,KMB!AA97,KMB!AE97,KMB!AI97)))</f>
        <v>0</v>
      </c>
      <c r="K97">
        <f>SUMPRODUCT((MONTH(CHOOSE({1,2,3,4},KMB!T97,KMB!X97,KMB!AB97,KMB!AF97))=11)*(CHOOSE({1,2,3,4},KMB!W97,KMB!AA97,KMB!AE97,KMB!AI97)))</f>
        <v>0</v>
      </c>
      <c r="L97">
        <f>SUMPRODUCT((MONTH(CHOOSE({1,2,3,4},KMB!T97,KMB!X97,KMB!AB97,KMB!AF97))=12)*(CHOOSE({1,2,3,4},KMB!W97,KMB!AA97,KMB!AE97,KMB!AI97)))</f>
        <v>0</v>
      </c>
    </row>
    <row r="98" spans="1:12">
      <c r="A98">
        <f>SUMPRODUCT((MONTH(CHOOSE({1,2,3,4},KMB!T98,KMB!X98,KMB!AB98,KMB!AF98))=1)*(CHOOSE({1,2,3,4},KMB!W98,KMB!AA98,KMB!AE98,KMB!AI98)))</f>
        <v>0</v>
      </c>
      <c r="B98">
        <f>SUMPRODUCT((MONTH(CHOOSE({1,2,3,4},KMB!T98,KMB!X98,KMB!AB98,KMB!AF98))=2)*(CHOOSE({1,2,3,4},KMB!W98,KMB!AA98,KMB!AE98,KMB!AI98)))</f>
        <v>0</v>
      </c>
      <c r="C98">
        <f>SUMPRODUCT((MONTH(CHOOSE({1,2,3,4},KMB!T98,KMB!X98,KMB!AB98,KMB!AF98))=3)*(CHOOSE({1,2,3,4},KMB!W98,KMB!AA98,KMB!AE98,KMB!AI98)))</f>
        <v>0</v>
      </c>
      <c r="D98">
        <f>SUMPRODUCT((MONTH(CHOOSE({1,2,3,4},KMB!T98,KMB!X98,KMB!AB98,KMB!AF98))=4)*(CHOOSE({1,2,3,4},KMB!W98,KMB!AA98,KMB!AE98,KMB!AI98)))</f>
        <v>0</v>
      </c>
      <c r="E98">
        <f>SUMPRODUCT((MONTH(CHOOSE({1,2,3,4},KMB!T98,KMB!X98,KMB!AB98,KMB!AF98))=5)*(CHOOSE({1,2,3,4},KMB!W98,KMB!AA98,KMB!AE98,KMB!AI98)))</f>
        <v>0</v>
      </c>
      <c r="F98">
        <f>SUMPRODUCT((MONTH(CHOOSE({1,2,3,4},KMB!T98,KMB!X98,KMB!AB98,KMB!AF98))=6)*(CHOOSE({1,2,3,4},KMB!W98,KMB!AA98,KMB!AE98,KMB!AI98)))</f>
        <v>0</v>
      </c>
      <c r="G98">
        <f>SUMPRODUCT((MONTH(CHOOSE({1,2,3,4},KMB!T98,KMB!X98,KMB!AB98,KMB!AF98))=7)*(CHOOSE({1,2,3,4},KMB!W98,KMB!AA98,KMB!AE98,KMB!AI98)))</f>
        <v>0</v>
      </c>
      <c r="H98">
        <f>SUMPRODUCT((MONTH(CHOOSE({1,2,3,4},KMB!T98,KMB!X98,KMB!AB98,KMB!AF98))=8)*(CHOOSE({1,2,3,4},KMB!W98,KMB!AA98,KMB!AE98,KMB!AI98)))</f>
        <v>0</v>
      </c>
      <c r="I98">
        <f>SUMPRODUCT((MONTH(CHOOSE({1,2,3,4},KMB!T98,KMB!X98,KMB!AB98,KMB!AF98))=9)*(CHOOSE({1,2,3,4},KMB!W98,KMB!AA98,KMB!AE98,KMB!AI98)))</f>
        <v>0</v>
      </c>
      <c r="J98">
        <f>SUMPRODUCT((MONTH(CHOOSE({1,2,3,4},KMB!T98,KMB!X98,KMB!AB98,KMB!AF98))=10)*(CHOOSE({1,2,3,4},KMB!W98,KMB!AA98,KMB!AE98,KMB!AI98)))</f>
        <v>0</v>
      </c>
      <c r="K98">
        <f>SUMPRODUCT((MONTH(CHOOSE({1,2,3,4},KMB!T98,KMB!X98,KMB!AB98,KMB!AF98))=11)*(CHOOSE({1,2,3,4},KMB!W98,KMB!AA98,KMB!AE98,KMB!AI98)))</f>
        <v>0</v>
      </c>
      <c r="L98">
        <f>SUMPRODUCT((MONTH(CHOOSE({1,2,3,4},KMB!T98,KMB!X98,KMB!AB98,KMB!AF98))=12)*(CHOOSE({1,2,3,4},KMB!W98,KMB!AA98,KMB!AE98,KMB!AI98)))</f>
        <v>0</v>
      </c>
    </row>
    <row r="99" spans="1:12">
      <c r="A99">
        <f>SUMPRODUCT((MONTH(CHOOSE({1,2,3,4},KMB!T99,KMB!X99,KMB!AB99,KMB!AF99))=1)*(CHOOSE({1,2,3,4},KMB!W99,KMB!AA99,KMB!AE99,KMB!AI99)))</f>
        <v>0</v>
      </c>
      <c r="B99">
        <f>SUMPRODUCT((MONTH(CHOOSE({1,2,3,4},KMB!T99,KMB!X99,KMB!AB99,KMB!AF99))=2)*(CHOOSE({1,2,3,4},KMB!W99,KMB!AA99,KMB!AE99,KMB!AI99)))</f>
        <v>0</v>
      </c>
      <c r="C99">
        <f>SUMPRODUCT((MONTH(CHOOSE({1,2,3,4},KMB!T99,KMB!X99,KMB!AB99,KMB!AF99))=3)*(CHOOSE({1,2,3,4},KMB!W99,KMB!AA99,KMB!AE99,KMB!AI99)))</f>
        <v>0</v>
      </c>
      <c r="D99">
        <f>SUMPRODUCT((MONTH(CHOOSE({1,2,3,4},KMB!T99,KMB!X99,KMB!AB99,KMB!AF99))=4)*(CHOOSE({1,2,3,4},KMB!W99,KMB!AA99,KMB!AE99,KMB!AI99)))</f>
        <v>0</v>
      </c>
      <c r="E99">
        <f>SUMPRODUCT((MONTH(CHOOSE({1,2,3,4},KMB!T99,KMB!X99,KMB!AB99,KMB!AF99))=5)*(CHOOSE({1,2,3,4},KMB!W99,KMB!AA99,KMB!AE99,KMB!AI99)))</f>
        <v>0</v>
      </c>
      <c r="F99">
        <f>SUMPRODUCT((MONTH(CHOOSE({1,2,3,4},KMB!T99,KMB!X99,KMB!AB99,KMB!AF99))=6)*(CHOOSE({1,2,3,4},KMB!W99,KMB!AA99,KMB!AE99,KMB!AI99)))</f>
        <v>0</v>
      </c>
      <c r="G99">
        <f>SUMPRODUCT((MONTH(CHOOSE({1,2,3,4},KMB!T99,KMB!X99,KMB!AB99,KMB!AF99))=7)*(CHOOSE({1,2,3,4},KMB!W99,KMB!AA99,KMB!AE99,KMB!AI99)))</f>
        <v>0</v>
      </c>
      <c r="H99">
        <f>SUMPRODUCT((MONTH(CHOOSE({1,2,3,4},KMB!T99,KMB!X99,KMB!AB99,KMB!AF99))=8)*(CHOOSE({1,2,3,4},KMB!W99,KMB!AA99,KMB!AE99,KMB!AI99)))</f>
        <v>0</v>
      </c>
      <c r="I99">
        <f>SUMPRODUCT((MONTH(CHOOSE({1,2,3,4},KMB!T99,KMB!X99,KMB!AB99,KMB!AF99))=9)*(CHOOSE({1,2,3,4},KMB!W99,KMB!AA99,KMB!AE99,KMB!AI99)))</f>
        <v>0</v>
      </c>
      <c r="J99">
        <f>SUMPRODUCT((MONTH(CHOOSE({1,2,3,4},KMB!T99,KMB!X99,KMB!AB99,KMB!AF99))=10)*(CHOOSE({1,2,3,4},KMB!W99,KMB!AA99,KMB!AE99,KMB!AI99)))</f>
        <v>0</v>
      </c>
      <c r="K99">
        <f>SUMPRODUCT((MONTH(CHOOSE({1,2,3,4},KMB!T99,KMB!X99,KMB!AB99,KMB!AF99))=11)*(CHOOSE({1,2,3,4},KMB!W99,KMB!AA99,KMB!AE99,KMB!AI99)))</f>
        <v>0</v>
      </c>
      <c r="L99">
        <f>SUMPRODUCT((MONTH(CHOOSE({1,2,3,4},KMB!T99,KMB!X99,KMB!AB99,KMB!AF99))=12)*(CHOOSE({1,2,3,4},KMB!W99,KMB!AA99,KMB!AE99,KMB!AI99)))</f>
        <v>0</v>
      </c>
    </row>
    <row r="100" spans="1:12">
      <c r="A100">
        <f>SUMPRODUCT((MONTH(CHOOSE({1,2,3,4},KMB!T100,KMB!X100,KMB!AB100,KMB!AF100))=1)*(CHOOSE({1,2,3,4},KMB!W100,KMB!AA100,KMB!AE100,KMB!AI100)))</f>
        <v>0</v>
      </c>
      <c r="B100">
        <f>SUMPRODUCT((MONTH(CHOOSE({1,2,3,4},KMB!T100,KMB!X100,KMB!AB100,KMB!AF100))=2)*(CHOOSE({1,2,3,4},KMB!W100,KMB!AA100,KMB!AE100,KMB!AI100)))</f>
        <v>0</v>
      </c>
      <c r="C100">
        <f>SUMPRODUCT((MONTH(CHOOSE({1,2,3,4},KMB!T100,KMB!X100,KMB!AB100,KMB!AF100))=3)*(CHOOSE({1,2,3,4},KMB!W100,KMB!AA100,KMB!AE100,KMB!AI100)))</f>
        <v>0</v>
      </c>
      <c r="D100">
        <f>SUMPRODUCT((MONTH(CHOOSE({1,2,3,4},KMB!T100,KMB!X100,KMB!AB100,KMB!AF100))=4)*(CHOOSE({1,2,3,4},KMB!W100,KMB!AA100,KMB!AE100,KMB!AI100)))</f>
        <v>0</v>
      </c>
      <c r="E100">
        <f>SUMPRODUCT((MONTH(CHOOSE({1,2,3,4},KMB!T100,KMB!X100,KMB!AB100,KMB!AF100))=5)*(CHOOSE({1,2,3,4},KMB!W100,KMB!AA100,KMB!AE100,KMB!AI100)))</f>
        <v>0</v>
      </c>
      <c r="F100">
        <f>SUMPRODUCT((MONTH(CHOOSE({1,2,3,4},KMB!T100,KMB!X100,KMB!AB100,KMB!AF100))=6)*(CHOOSE({1,2,3,4},KMB!W100,KMB!AA100,KMB!AE100,KMB!AI100)))</f>
        <v>0</v>
      </c>
      <c r="G100">
        <f>SUMPRODUCT((MONTH(CHOOSE({1,2,3,4},KMB!T100,KMB!X100,KMB!AB100,KMB!AF100))=7)*(CHOOSE({1,2,3,4},KMB!W100,KMB!AA100,KMB!AE100,KMB!AI100)))</f>
        <v>0</v>
      </c>
      <c r="H100">
        <f>SUMPRODUCT((MONTH(CHOOSE({1,2,3,4},KMB!T100,KMB!X100,KMB!AB100,KMB!AF100))=8)*(CHOOSE({1,2,3,4},KMB!W100,KMB!AA100,KMB!AE100,KMB!AI100)))</f>
        <v>0</v>
      </c>
      <c r="I100">
        <f>SUMPRODUCT((MONTH(CHOOSE({1,2,3,4},KMB!T100,KMB!X100,KMB!AB100,KMB!AF100))=9)*(CHOOSE({1,2,3,4},KMB!W100,KMB!AA100,KMB!AE100,KMB!AI100)))</f>
        <v>0</v>
      </c>
      <c r="J100">
        <f>SUMPRODUCT((MONTH(CHOOSE({1,2,3,4},KMB!T100,KMB!X100,KMB!AB100,KMB!AF100))=10)*(CHOOSE({1,2,3,4},KMB!W100,KMB!AA100,KMB!AE100,KMB!AI100)))</f>
        <v>0</v>
      </c>
      <c r="K100">
        <f>SUMPRODUCT((MONTH(CHOOSE({1,2,3,4},KMB!T100,KMB!X100,KMB!AB100,KMB!AF100))=11)*(CHOOSE({1,2,3,4},KMB!W100,KMB!AA100,KMB!AE100,KMB!AI100)))</f>
        <v>0</v>
      </c>
      <c r="L100">
        <f>SUMPRODUCT((MONTH(CHOOSE({1,2,3,4},KMB!T100,KMB!X100,KMB!AB100,KMB!AF100))=12)*(CHOOSE({1,2,3,4},KMB!W100,KMB!AA100,KMB!AE100,KMB!AI100)))</f>
        <v>0</v>
      </c>
    </row>
    <row r="101" spans="1:12">
      <c r="A101">
        <f>SUMPRODUCT((MONTH(CHOOSE({1,2,3,4},KMB!T101,KMB!X101,KMB!AB101,KMB!AF101))=1)*(CHOOSE({1,2,3,4},KMB!W101,KMB!AA101,KMB!AE101,KMB!AI101)))</f>
        <v>0</v>
      </c>
      <c r="B101">
        <f>SUMPRODUCT((MONTH(CHOOSE({1,2,3,4},KMB!T101,KMB!X101,KMB!AB101,KMB!AF101))=2)*(CHOOSE({1,2,3,4},KMB!W101,KMB!AA101,KMB!AE101,KMB!AI101)))</f>
        <v>0</v>
      </c>
      <c r="C101">
        <f>SUMPRODUCT((MONTH(CHOOSE({1,2,3,4},KMB!T101,KMB!X101,KMB!AB101,KMB!AF101))=3)*(CHOOSE({1,2,3,4},KMB!W101,KMB!AA101,KMB!AE101,KMB!AI101)))</f>
        <v>0</v>
      </c>
      <c r="D101">
        <f>SUMPRODUCT((MONTH(CHOOSE({1,2,3,4},KMB!T101,KMB!X101,KMB!AB101,KMB!AF101))=4)*(CHOOSE({1,2,3,4},KMB!W101,KMB!AA101,KMB!AE101,KMB!AI101)))</f>
        <v>0</v>
      </c>
      <c r="E101">
        <f>SUMPRODUCT((MONTH(CHOOSE({1,2,3,4},KMB!T101,KMB!X101,KMB!AB101,KMB!AF101))=5)*(CHOOSE({1,2,3,4},KMB!W101,KMB!AA101,KMB!AE101,KMB!AI101)))</f>
        <v>0</v>
      </c>
      <c r="F101">
        <f>SUMPRODUCT((MONTH(CHOOSE({1,2,3,4},KMB!T101,KMB!X101,KMB!AB101,KMB!AF101))=6)*(CHOOSE({1,2,3,4},KMB!W101,KMB!AA101,KMB!AE101,KMB!AI101)))</f>
        <v>0</v>
      </c>
      <c r="G101">
        <f>SUMPRODUCT((MONTH(CHOOSE({1,2,3,4},KMB!T101,KMB!X101,KMB!AB101,KMB!AF101))=7)*(CHOOSE({1,2,3,4},KMB!W101,KMB!AA101,KMB!AE101,KMB!AI101)))</f>
        <v>0</v>
      </c>
      <c r="H101">
        <f>SUMPRODUCT((MONTH(CHOOSE({1,2,3,4},KMB!T101,KMB!X101,KMB!AB101,KMB!AF101))=8)*(CHOOSE({1,2,3,4},KMB!W101,KMB!AA101,KMB!AE101,KMB!AI101)))</f>
        <v>0</v>
      </c>
      <c r="I101">
        <f>SUMPRODUCT((MONTH(CHOOSE({1,2,3,4},KMB!T101,KMB!X101,KMB!AB101,KMB!AF101))=9)*(CHOOSE({1,2,3,4},KMB!W101,KMB!AA101,KMB!AE101,KMB!AI101)))</f>
        <v>0</v>
      </c>
      <c r="J101">
        <f>SUMPRODUCT((MONTH(CHOOSE({1,2,3,4},KMB!T101,KMB!X101,KMB!AB101,KMB!AF101))=10)*(CHOOSE({1,2,3,4},KMB!W101,KMB!AA101,KMB!AE101,KMB!AI101)))</f>
        <v>0</v>
      </c>
      <c r="K101">
        <f>SUMPRODUCT((MONTH(CHOOSE({1,2,3,4},KMB!T101,KMB!X101,KMB!AB101,KMB!AF101))=11)*(CHOOSE({1,2,3,4},KMB!W101,KMB!AA101,KMB!AE101,KMB!AI101)))</f>
        <v>0</v>
      </c>
      <c r="L101">
        <f>SUMPRODUCT((MONTH(CHOOSE({1,2,3,4},KMB!T101,KMB!X101,KMB!AB101,KMB!AF101))=12)*(CHOOSE({1,2,3,4},KMB!W101,KMB!AA101,KMB!AE101,KMB!AI101)))</f>
        <v>0</v>
      </c>
    </row>
    <row r="102" spans="1:12">
      <c r="A102">
        <f>SUMPRODUCT((MONTH(CHOOSE({1,2,3,4},KMB!T102,KMB!X102,KMB!AB102,KMB!AF102))=1)*(CHOOSE({1,2,3,4},KMB!W102,KMB!AA102,KMB!AE102,KMB!AI102)))</f>
        <v>0</v>
      </c>
      <c r="B102">
        <f>SUMPRODUCT((MONTH(CHOOSE({1,2,3,4},KMB!T102,KMB!X102,KMB!AB102,KMB!AF102))=2)*(CHOOSE({1,2,3,4},KMB!W102,KMB!AA102,KMB!AE102,KMB!AI102)))</f>
        <v>0</v>
      </c>
      <c r="C102">
        <f>SUMPRODUCT((MONTH(CHOOSE({1,2,3,4},KMB!T102,KMB!X102,KMB!AB102,KMB!AF102))=3)*(CHOOSE({1,2,3,4},KMB!W102,KMB!AA102,KMB!AE102,KMB!AI102)))</f>
        <v>0</v>
      </c>
      <c r="D102">
        <f>SUMPRODUCT((MONTH(CHOOSE({1,2,3,4},KMB!T102,KMB!X102,KMB!AB102,KMB!AF102))=4)*(CHOOSE({1,2,3,4},KMB!W102,KMB!AA102,KMB!AE102,KMB!AI102)))</f>
        <v>0</v>
      </c>
      <c r="E102">
        <f>SUMPRODUCT((MONTH(CHOOSE({1,2,3,4},KMB!T102,KMB!X102,KMB!AB102,KMB!AF102))=5)*(CHOOSE({1,2,3,4},KMB!W102,KMB!AA102,KMB!AE102,KMB!AI102)))</f>
        <v>0</v>
      </c>
      <c r="F102">
        <f>SUMPRODUCT((MONTH(CHOOSE({1,2,3,4},KMB!T102,KMB!X102,KMB!AB102,KMB!AF102))=6)*(CHOOSE({1,2,3,4},KMB!W102,KMB!AA102,KMB!AE102,KMB!AI102)))</f>
        <v>0</v>
      </c>
      <c r="G102">
        <f>SUMPRODUCT((MONTH(CHOOSE({1,2,3,4},KMB!T102,KMB!X102,KMB!AB102,KMB!AF102))=7)*(CHOOSE({1,2,3,4},KMB!W102,KMB!AA102,KMB!AE102,KMB!AI102)))</f>
        <v>0</v>
      </c>
      <c r="H102">
        <f>SUMPRODUCT((MONTH(CHOOSE({1,2,3,4},KMB!T102,KMB!X102,KMB!AB102,KMB!AF102))=8)*(CHOOSE({1,2,3,4},KMB!W102,KMB!AA102,KMB!AE102,KMB!AI102)))</f>
        <v>0</v>
      </c>
      <c r="I102">
        <f>SUMPRODUCT((MONTH(CHOOSE({1,2,3,4},KMB!T102,KMB!X102,KMB!AB102,KMB!AF102))=9)*(CHOOSE({1,2,3,4},KMB!W102,KMB!AA102,KMB!AE102,KMB!AI102)))</f>
        <v>0</v>
      </c>
      <c r="J102">
        <f>SUMPRODUCT((MONTH(CHOOSE({1,2,3,4},KMB!T102,KMB!X102,KMB!AB102,KMB!AF102))=10)*(CHOOSE({1,2,3,4},KMB!W102,KMB!AA102,KMB!AE102,KMB!AI102)))</f>
        <v>0</v>
      </c>
      <c r="K102">
        <f>SUMPRODUCT((MONTH(CHOOSE({1,2,3,4},KMB!T102,KMB!X102,KMB!AB102,KMB!AF102))=11)*(CHOOSE({1,2,3,4},KMB!W102,KMB!AA102,KMB!AE102,KMB!AI102)))</f>
        <v>0</v>
      </c>
      <c r="L102">
        <f>SUMPRODUCT((MONTH(CHOOSE({1,2,3,4},KMB!T102,KMB!X102,KMB!AB102,KMB!AF102))=12)*(CHOOSE({1,2,3,4},KMB!W102,KMB!AA102,KMB!AE102,KMB!AI102)))</f>
        <v>0</v>
      </c>
    </row>
    <row r="103" spans="1:12">
      <c r="A103">
        <f>SUMPRODUCT((MONTH(CHOOSE({1,2,3,4},KMB!T103,KMB!X103,KMB!AB103,KMB!AF103))=1)*(CHOOSE({1,2,3,4},KMB!W103,KMB!AA103,KMB!AE103,KMB!AI103)))</f>
        <v>0</v>
      </c>
      <c r="B103">
        <f>SUMPRODUCT((MONTH(CHOOSE({1,2,3,4},KMB!T103,KMB!X103,KMB!AB103,KMB!AF103))=2)*(CHOOSE({1,2,3,4},KMB!W103,KMB!AA103,KMB!AE103,KMB!AI103)))</f>
        <v>0</v>
      </c>
      <c r="C103">
        <f>SUMPRODUCT((MONTH(CHOOSE({1,2,3,4},KMB!T103,KMB!X103,KMB!AB103,KMB!AF103))=3)*(CHOOSE({1,2,3,4},KMB!W103,KMB!AA103,KMB!AE103,KMB!AI103)))</f>
        <v>0</v>
      </c>
      <c r="D103">
        <f>SUMPRODUCT((MONTH(CHOOSE({1,2,3,4},KMB!T103,KMB!X103,KMB!AB103,KMB!AF103))=4)*(CHOOSE({1,2,3,4},KMB!W103,KMB!AA103,KMB!AE103,KMB!AI103)))</f>
        <v>0</v>
      </c>
      <c r="E103">
        <f>SUMPRODUCT((MONTH(CHOOSE({1,2,3,4},KMB!T103,KMB!X103,KMB!AB103,KMB!AF103))=5)*(CHOOSE({1,2,3,4},KMB!W103,KMB!AA103,KMB!AE103,KMB!AI103)))</f>
        <v>0</v>
      </c>
      <c r="F103">
        <f>SUMPRODUCT((MONTH(CHOOSE({1,2,3,4},KMB!T103,KMB!X103,KMB!AB103,KMB!AF103))=6)*(CHOOSE({1,2,3,4},KMB!W103,KMB!AA103,KMB!AE103,KMB!AI103)))</f>
        <v>0</v>
      </c>
      <c r="G103">
        <f>SUMPRODUCT((MONTH(CHOOSE({1,2,3,4},KMB!T103,KMB!X103,KMB!AB103,KMB!AF103))=7)*(CHOOSE({1,2,3,4},KMB!W103,KMB!AA103,KMB!AE103,KMB!AI103)))</f>
        <v>0</v>
      </c>
      <c r="H103">
        <f>SUMPRODUCT((MONTH(CHOOSE({1,2,3,4},KMB!T103,KMB!X103,KMB!AB103,KMB!AF103))=8)*(CHOOSE({1,2,3,4},KMB!W103,KMB!AA103,KMB!AE103,KMB!AI103)))</f>
        <v>0</v>
      </c>
      <c r="I103">
        <f>SUMPRODUCT((MONTH(CHOOSE({1,2,3,4},KMB!T103,KMB!X103,KMB!AB103,KMB!AF103))=9)*(CHOOSE({1,2,3,4},KMB!W103,KMB!AA103,KMB!AE103,KMB!AI103)))</f>
        <v>0</v>
      </c>
      <c r="J103">
        <f>SUMPRODUCT((MONTH(CHOOSE({1,2,3,4},KMB!T103,KMB!X103,KMB!AB103,KMB!AF103))=10)*(CHOOSE({1,2,3,4},KMB!W103,KMB!AA103,KMB!AE103,KMB!AI103)))</f>
        <v>0</v>
      </c>
      <c r="K103">
        <f>SUMPRODUCT((MONTH(CHOOSE({1,2,3,4},KMB!T103,KMB!X103,KMB!AB103,KMB!AF103))=11)*(CHOOSE({1,2,3,4},KMB!W103,KMB!AA103,KMB!AE103,KMB!AI103)))</f>
        <v>0</v>
      </c>
      <c r="L103">
        <f>SUMPRODUCT((MONTH(CHOOSE({1,2,3,4},KMB!T103,KMB!X103,KMB!AB103,KMB!AF103))=12)*(CHOOSE({1,2,3,4},KMB!W103,KMB!AA103,KMB!AE103,KMB!AI103)))</f>
        <v>0</v>
      </c>
    </row>
    <row r="104" spans="1:12">
      <c r="A104">
        <f>SUMPRODUCT((MONTH(CHOOSE({1,2,3,4},KMB!T104,KMB!X104,KMB!AB104,KMB!AF104))=1)*(CHOOSE({1,2,3,4},KMB!W104,KMB!AA104,KMB!AE104,KMB!AI104)))</f>
        <v>0</v>
      </c>
      <c r="B104">
        <f>SUMPRODUCT((MONTH(CHOOSE({1,2,3,4},KMB!T104,KMB!X104,KMB!AB104,KMB!AF104))=2)*(CHOOSE({1,2,3,4},KMB!W104,KMB!AA104,KMB!AE104,KMB!AI104)))</f>
        <v>0</v>
      </c>
      <c r="C104">
        <f>SUMPRODUCT((MONTH(CHOOSE({1,2,3,4},KMB!T104,KMB!X104,KMB!AB104,KMB!AF104))=3)*(CHOOSE({1,2,3,4},KMB!W104,KMB!AA104,KMB!AE104,KMB!AI104)))</f>
        <v>0</v>
      </c>
      <c r="D104">
        <f>SUMPRODUCT((MONTH(CHOOSE({1,2,3,4},KMB!T104,KMB!X104,KMB!AB104,KMB!AF104))=4)*(CHOOSE({1,2,3,4},KMB!W104,KMB!AA104,KMB!AE104,KMB!AI104)))</f>
        <v>0</v>
      </c>
      <c r="E104">
        <f>SUMPRODUCT((MONTH(CHOOSE({1,2,3,4},KMB!T104,KMB!X104,KMB!AB104,KMB!AF104))=5)*(CHOOSE({1,2,3,4},KMB!W104,KMB!AA104,KMB!AE104,KMB!AI104)))</f>
        <v>0</v>
      </c>
      <c r="F104">
        <f>SUMPRODUCT((MONTH(CHOOSE({1,2,3,4},KMB!T104,KMB!X104,KMB!AB104,KMB!AF104))=6)*(CHOOSE({1,2,3,4},KMB!W104,KMB!AA104,KMB!AE104,KMB!AI104)))</f>
        <v>0</v>
      </c>
      <c r="G104">
        <f>SUMPRODUCT((MONTH(CHOOSE({1,2,3,4},KMB!T104,KMB!X104,KMB!AB104,KMB!AF104))=7)*(CHOOSE({1,2,3,4},KMB!W104,KMB!AA104,KMB!AE104,KMB!AI104)))</f>
        <v>0</v>
      </c>
      <c r="H104">
        <f>SUMPRODUCT((MONTH(CHOOSE({1,2,3,4},KMB!T104,KMB!X104,KMB!AB104,KMB!AF104))=8)*(CHOOSE({1,2,3,4},KMB!W104,KMB!AA104,KMB!AE104,KMB!AI104)))</f>
        <v>0</v>
      </c>
      <c r="I104">
        <f>SUMPRODUCT((MONTH(CHOOSE({1,2,3,4},KMB!T104,KMB!X104,KMB!AB104,KMB!AF104))=9)*(CHOOSE({1,2,3,4},KMB!W104,KMB!AA104,KMB!AE104,KMB!AI104)))</f>
        <v>0</v>
      </c>
      <c r="J104">
        <f>SUMPRODUCT((MONTH(CHOOSE({1,2,3,4},KMB!T104,KMB!X104,KMB!AB104,KMB!AF104))=10)*(CHOOSE({1,2,3,4},KMB!W104,KMB!AA104,KMB!AE104,KMB!AI104)))</f>
        <v>0</v>
      </c>
      <c r="K104">
        <f>SUMPRODUCT((MONTH(CHOOSE({1,2,3,4},KMB!T104,KMB!X104,KMB!AB104,KMB!AF104))=11)*(CHOOSE({1,2,3,4},KMB!W104,KMB!AA104,KMB!AE104,KMB!AI104)))</f>
        <v>0</v>
      </c>
      <c r="L104">
        <f>SUMPRODUCT((MONTH(CHOOSE({1,2,3,4},KMB!T104,KMB!X104,KMB!AB104,KMB!AF104))=12)*(CHOOSE({1,2,3,4},KMB!W104,KMB!AA104,KMB!AE104,KMB!AI104)))</f>
        <v>0</v>
      </c>
    </row>
    <row r="105" spans="1:12">
      <c r="A105">
        <f>SUMPRODUCT((MONTH(CHOOSE({1,2,3,4},KMB!T105,KMB!X105,KMB!AB105,KMB!AF105))=1)*(CHOOSE({1,2,3,4},KMB!W105,KMB!AA105,KMB!AE105,KMB!AI105)))</f>
        <v>0</v>
      </c>
      <c r="B105">
        <f>SUMPRODUCT((MONTH(CHOOSE({1,2,3,4},KMB!T105,KMB!X105,KMB!AB105,KMB!AF105))=2)*(CHOOSE({1,2,3,4},KMB!W105,KMB!AA105,KMB!AE105,KMB!AI105)))</f>
        <v>0</v>
      </c>
      <c r="C105">
        <f>SUMPRODUCT((MONTH(CHOOSE({1,2,3,4},KMB!T105,KMB!X105,KMB!AB105,KMB!AF105))=3)*(CHOOSE({1,2,3,4},KMB!W105,KMB!AA105,KMB!AE105,KMB!AI105)))</f>
        <v>0</v>
      </c>
      <c r="D105">
        <f>SUMPRODUCT((MONTH(CHOOSE({1,2,3,4},KMB!T105,KMB!X105,KMB!AB105,KMB!AF105))=4)*(CHOOSE({1,2,3,4},KMB!W105,KMB!AA105,KMB!AE105,KMB!AI105)))</f>
        <v>0</v>
      </c>
      <c r="E105">
        <f>SUMPRODUCT((MONTH(CHOOSE({1,2,3,4},KMB!T105,KMB!X105,KMB!AB105,KMB!AF105))=5)*(CHOOSE({1,2,3,4},KMB!W105,KMB!AA105,KMB!AE105,KMB!AI105)))</f>
        <v>0</v>
      </c>
      <c r="F105">
        <f>SUMPRODUCT((MONTH(CHOOSE({1,2,3,4},KMB!T105,KMB!X105,KMB!AB105,KMB!AF105))=6)*(CHOOSE({1,2,3,4},KMB!W105,KMB!AA105,KMB!AE105,KMB!AI105)))</f>
        <v>0</v>
      </c>
      <c r="G105">
        <f>SUMPRODUCT((MONTH(CHOOSE({1,2,3,4},KMB!T105,KMB!X105,KMB!AB105,KMB!AF105))=7)*(CHOOSE({1,2,3,4},KMB!W105,KMB!AA105,KMB!AE105,KMB!AI105)))</f>
        <v>0</v>
      </c>
      <c r="H105">
        <f>SUMPRODUCT((MONTH(CHOOSE({1,2,3,4},KMB!T105,KMB!X105,KMB!AB105,KMB!AF105))=8)*(CHOOSE({1,2,3,4},KMB!W105,KMB!AA105,KMB!AE105,KMB!AI105)))</f>
        <v>0</v>
      </c>
      <c r="I105">
        <f>SUMPRODUCT((MONTH(CHOOSE({1,2,3,4},KMB!T105,KMB!X105,KMB!AB105,KMB!AF105))=9)*(CHOOSE({1,2,3,4},KMB!W105,KMB!AA105,KMB!AE105,KMB!AI105)))</f>
        <v>0</v>
      </c>
      <c r="J105">
        <f>SUMPRODUCT((MONTH(CHOOSE({1,2,3,4},KMB!T105,KMB!X105,KMB!AB105,KMB!AF105))=10)*(CHOOSE({1,2,3,4},KMB!W105,KMB!AA105,KMB!AE105,KMB!AI105)))</f>
        <v>0</v>
      </c>
      <c r="K105">
        <f>SUMPRODUCT((MONTH(CHOOSE({1,2,3,4},KMB!T105,KMB!X105,KMB!AB105,KMB!AF105))=11)*(CHOOSE({1,2,3,4},KMB!W105,KMB!AA105,KMB!AE105,KMB!AI105)))</f>
        <v>0</v>
      </c>
      <c r="L105">
        <f>SUMPRODUCT((MONTH(CHOOSE({1,2,3,4},KMB!T105,KMB!X105,KMB!AB105,KMB!AF105))=12)*(CHOOSE({1,2,3,4},KMB!W105,KMB!AA105,KMB!AE105,KMB!AI105)))</f>
        <v>0</v>
      </c>
    </row>
    <row r="106" spans="1:12">
      <c r="A106">
        <f>SUMPRODUCT((MONTH(CHOOSE({1,2,3,4},KMB!T106,KMB!X106,KMB!AB106,KMB!AF106))=1)*(CHOOSE({1,2,3,4},KMB!W106,KMB!AA106,KMB!AE106,KMB!AI106)))</f>
        <v>0</v>
      </c>
      <c r="B106">
        <f>SUMPRODUCT((MONTH(CHOOSE({1,2,3,4},KMB!T106,KMB!X106,KMB!AB106,KMB!AF106))=2)*(CHOOSE({1,2,3,4},KMB!W106,KMB!AA106,KMB!AE106,KMB!AI106)))</f>
        <v>0</v>
      </c>
      <c r="C106">
        <f>SUMPRODUCT((MONTH(CHOOSE({1,2,3,4},KMB!T106,KMB!X106,KMB!AB106,KMB!AF106))=3)*(CHOOSE({1,2,3,4},KMB!W106,KMB!AA106,KMB!AE106,KMB!AI106)))</f>
        <v>0</v>
      </c>
      <c r="D106">
        <f>SUMPRODUCT((MONTH(CHOOSE({1,2,3,4},KMB!T106,KMB!X106,KMB!AB106,KMB!AF106))=4)*(CHOOSE({1,2,3,4},KMB!W106,KMB!AA106,KMB!AE106,KMB!AI106)))</f>
        <v>0</v>
      </c>
      <c r="E106">
        <f>SUMPRODUCT((MONTH(CHOOSE({1,2,3,4},KMB!T106,KMB!X106,KMB!AB106,KMB!AF106))=5)*(CHOOSE({1,2,3,4},KMB!W106,KMB!AA106,KMB!AE106,KMB!AI106)))</f>
        <v>0</v>
      </c>
      <c r="F106">
        <f>SUMPRODUCT((MONTH(CHOOSE({1,2,3,4},KMB!T106,KMB!X106,KMB!AB106,KMB!AF106))=6)*(CHOOSE({1,2,3,4},KMB!W106,KMB!AA106,KMB!AE106,KMB!AI106)))</f>
        <v>0</v>
      </c>
      <c r="G106">
        <f>SUMPRODUCT((MONTH(CHOOSE({1,2,3,4},KMB!T106,KMB!X106,KMB!AB106,KMB!AF106))=7)*(CHOOSE({1,2,3,4},KMB!W106,KMB!AA106,KMB!AE106,KMB!AI106)))</f>
        <v>0</v>
      </c>
      <c r="H106">
        <f>SUMPRODUCT((MONTH(CHOOSE({1,2,3,4},KMB!T106,KMB!X106,KMB!AB106,KMB!AF106))=8)*(CHOOSE({1,2,3,4},KMB!W106,KMB!AA106,KMB!AE106,KMB!AI106)))</f>
        <v>0</v>
      </c>
      <c r="I106">
        <f>SUMPRODUCT((MONTH(CHOOSE({1,2,3,4},KMB!T106,KMB!X106,KMB!AB106,KMB!AF106))=9)*(CHOOSE({1,2,3,4},KMB!W106,KMB!AA106,KMB!AE106,KMB!AI106)))</f>
        <v>0</v>
      </c>
      <c r="J106">
        <f>SUMPRODUCT((MONTH(CHOOSE({1,2,3,4},KMB!T106,KMB!X106,KMB!AB106,KMB!AF106))=10)*(CHOOSE({1,2,3,4},KMB!W106,KMB!AA106,KMB!AE106,KMB!AI106)))</f>
        <v>0</v>
      </c>
      <c r="K106">
        <f>SUMPRODUCT((MONTH(CHOOSE({1,2,3,4},KMB!T106,KMB!X106,KMB!AB106,KMB!AF106))=11)*(CHOOSE({1,2,3,4},KMB!W106,KMB!AA106,KMB!AE106,KMB!AI106)))</f>
        <v>0</v>
      </c>
      <c r="L106">
        <f>SUMPRODUCT((MONTH(CHOOSE({1,2,3,4},KMB!T106,KMB!X106,KMB!AB106,KMB!AF106))=12)*(CHOOSE({1,2,3,4},KMB!W106,KMB!AA106,KMB!AE106,KMB!AI106)))</f>
        <v>0</v>
      </c>
    </row>
    <row r="107" spans="1:12">
      <c r="A107">
        <f>SUMPRODUCT((MONTH(CHOOSE({1,2,3,4},KMB!T107,KMB!X107,KMB!AB107,KMB!AF107))=1)*(CHOOSE({1,2,3,4},KMB!W107,KMB!AA107,KMB!AE107,KMB!AI107)))</f>
        <v>0</v>
      </c>
      <c r="B107">
        <f>SUMPRODUCT((MONTH(CHOOSE({1,2,3,4},KMB!T107,KMB!X107,KMB!AB107,KMB!AF107))=2)*(CHOOSE({1,2,3,4},KMB!W107,KMB!AA107,KMB!AE107,KMB!AI107)))</f>
        <v>0</v>
      </c>
      <c r="C107">
        <f>SUMPRODUCT((MONTH(CHOOSE({1,2,3,4},KMB!T107,KMB!X107,KMB!AB107,KMB!AF107))=3)*(CHOOSE({1,2,3,4},KMB!W107,KMB!AA107,KMB!AE107,KMB!AI107)))</f>
        <v>0</v>
      </c>
      <c r="D107">
        <f>SUMPRODUCT((MONTH(CHOOSE({1,2,3,4},KMB!T107,KMB!X107,KMB!AB107,KMB!AF107))=4)*(CHOOSE({1,2,3,4},KMB!W107,KMB!AA107,KMB!AE107,KMB!AI107)))</f>
        <v>0</v>
      </c>
      <c r="E107">
        <f>SUMPRODUCT((MONTH(CHOOSE({1,2,3,4},KMB!T107,KMB!X107,KMB!AB107,KMB!AF107))=5)*(CHOOSE({1,2,3,4},KMB!W107,KMB!AA107,KMB!AE107,KMB!AI107)))</f>
        <v>0</v>
      </c>
      <c r="F107">
        <f>SUMPRODUCT((MONTH(CHOOSE({1,2,3,4},KMB!T107,KMB!X107,KMB!AB107,KMB!AF107))=6)*(CHOOSE({1,2,3,4},KMB!W107,KMB!AA107,KMB!AE107,KMB!AI107)))</f>
        <v>0</v>
      </c>
      <c r="G107">
        <f>SUMPRODUCT((MONTH(CHOOSE({1,2,3,4},KMB!T107,KMB!X107,KMB!AB107,KMB!AF107))=7)*(CHOOSE({1,2,3,4},KMB!W107,KMB!AA107,KMB!AE107,KMB!AI107)))</f>
        <v>0</v>
      </c>
      <c r="H107">
        <f>SUMPRODUCT((MONTH(CHOOSE({1,2,3,4},KMB!T107,KMB!X107,KMB!AB107,KMB!AF107))=8)*(CHOOSE({1,2,3,4},KMB!W107,KMB!AA107,KMB!AE107,KMB!AI107)))</f>
        <v>0</v>
      </c>
      <c r="I107">
        <f>SUMPRODUCT((MONTH(CHOOSE({1,2,3,4},KMB!T107,KMB!X107,KMB!AB107,KMB!AF107))=9)*(CHOOSE({1,2,3,4},KMB!W107,KMB!AA107,KMB!AE107,KMB!AI107)))</f>
        <v>0</v>
      </c>
      <c r="J107">
        <f>SUMPRODUCT((MONTH(CHOOSE({1,2,3,4},KMB!T107,KMB!X107,KMB!AB107,KMB!AF107))=10)*(CHOOSE({1,2,3,4},KMB!W107,KMB!AA107,KMB!AE107,KMB!AI107)))</f>
        <v>0</v>
      </c>
      <c r="K107">
        <f>SUMPRODUCT((MONTH(CHOOSE({1,2,3,4},KMB!T107,KMB!X107,KMB!AB107,KMB!AF107))=11)*(CHOOSE({1,2,3,4},KMB!W107,KMB!AA107,KMB!AE107,KMB!AI107)))</f>
        <v>0</v>
      </c>
      <c r="L107">
        <f>SUMPRODUCT((MONTH(CHOOSE({1,2,3,4},KMB!T107,KMB!X107,KMB!AB107,KMB!AF107))=12)*(CHOOSE({1,2,3,4},KMB!W107,KMB!AA107,KMB!AE107,KMB!AI107)))</f>
        <v>0</v>
      </c>
    </row>
    <row r="108" spans="1:12">
      <c r="A108">
        <f>SUMPRODUCT((MONTH(CHOOSE({1,2,3,4},KMB!T108,KMB!X108,KMB!AB108,KMB!AF108))=1)*(CHOOSE({1,2,3,4},KMB!W108,KMB!AA108,KMB!AE108,KMB!AI108)))</f>
        <v>0</v>
      </c>
      <c r="B108">
        <f>SUMPRODUCT((MONTH(CHOOSE({1,2,3,4},KMB!T108,KMB!X108,KMB!AB108,KMB!AF108))=2)*(CHOOSE({1,2,3,4},KMB!W108,KMB!AA108,KMB!AE108,KMB!AI108)))</f>
        <v>0</v>
      </c>
      <c r="C108">
        <f>SUMPRODUCT((MONTH(CHOOSE({1,2,3,4},KMB!T108,KMB!X108,KMB!AB108,KMB!AF108))=3)*(CHOOSE({1,2,3,4},KMB!W108,KMB!AA108,KMB!AE108,KMB!AI108)))</f>
        <v>0</v>
      </c>
      <c r="D108">
        <f>SUMPRODUCT((MONTH(CHOOSE({1,2,3,4},KMB!T108,KMB!X108,KMB!AB108,KMB!AF108))=4)*(CHOOSE({1,2,3,4},KMB!W108,KMB!AA108,KMB!AE108,KMB!AI108)))</f>
        <v>0</v>
      </c>
      <c r="E108">
        <f>SUMPRODUCT((MONTH(CHOOSE({1,2,3,4},KMB!T108,KMB!X108,KMB!AB108,KMB!AF108))=5)*(CHOOSE({1,2,3,4},KMB!W108,KMB!AA108,KMB!AE108,KMB!AI108)))</f>
        <v>0</v>
      </c>
      <c r="F108">
        <f>SUMPRODUCT((MONTH(CHOOSE({1,2,3,4},KMB!T108,KMB!X108,KMB!AB108,KMB!AF108))=6)*(CHOOSE({1,2,3,4},KMB!W108,KMB!AA108,KMB!AE108,KMB!AI108)))</f>
        <v>0</v>
      </c>
      <c r="G108">
        <f>SUMPRODUCT((MONTH(CHOOSE({1,2,3,4},KMB!T108,KMB!X108,KMB!AB108,KMB!AF108))=7)*(CHOOSE({1,2,3,4},KMB!W108,KMB!AA108,KMB!AE108,KMB!AI108)))</f>
        <v>0</v>
      </c>
      <c r="H108">
        <f>SUMPRODUCT((MONTH(CHOOSE({1,2,3,4},KMB!T108,KMB!X108,KMB!AB108,KMB!AF108))=8)*(CHOOSE({1,2,3,4},KMB!W108,KMB!AA108,KMB!AE108,KMB!AI108)))</f>
        <v>0</v>
      </c>
      <c r="I108">
        <f>SUMPRODUCT((MONTH(CHOOSE({1,2,3,4},KMB!T108,KMB!X108,KMB!AB108,KMB!AF108))=9)*(CHOOSE({1,2,3,4},KMB!W108,KMB!AA108,KMB!AE108,KMB!AI108)))</f>
        <v>0</v>
      </c>
      <c r="J108">
        <f>SUMPRODUCT((MONTH(CHOOSE({1,2,3,4},KMB!T108,KMB!X108,KMB!AB108,KMB!AF108))=10)*(CHOOSE({1,2,3,4},KMB!W108,KMB!AA108,KMB!AE108,KMB!AI108)))</f>
        <v>0</v>
      </c>
      <c r="K108">
        <f>SUMPRODUCT((MONTH(CHOOSE({1,2,3,4},KMB!T108,KMB!X108,KMB!AB108,KMB!AF108))=11)*(CHOOSE({1,2,3,4},KMB!W108,KMB!AA108,KMB!AE108,KMB!AI108)))</f>
        <v>0</v>
      </c>
      <c r="L108">
        <f>SUMPRODUCT((MONTH(CHOOSE({1,2,3,4},KMB!T108,KMB!X108,KMB!AB108,KMB!AF108))=12)*(CHOOSE({1,2,3,4},KMB!W108,KMB!AA108,KMB!AE108,KMB!AI108)))</f>
        <v>0</v>
      </c>
    </row>
    <row r="109" spans="1:12">
      <c r="A109">
        <f>SUMPRODUCT((MONTH(CHOOSE({1,2,3,4},KMB!T109,KMB!X109,KMB!AB109,KMB!AF109))=1)*(CHOOSE({1,2,3,4},KMB!W109,KMB!AA109,KMB!AE109,KMB!AI109)))</f>
        <v>0</v>
      </c>
      <c r="B109">
        <f>SUMPRODUCT((MONTH(CHOOSE({1,2,3,4},KMB!T109,KMB!X109,KMB!AB109,KMB!AF109))=2)*(CHOOSE({1,2,3,4},KMB!W109,KMB!AA109,KMB!AE109,KMB!AI109)))</f>
        <v>0</v>
      </c>
      <c r="C109">
        <f>SUMPRODUCT((MONTH(CHOOSE({1,2,3,4},KMB!T109,KMB!X109,KMB!AB109,KMB!AF109))=3)*(CHOOSE({1,2,3,4},KMB!W109,KMB!AA109,KMB!AE109,KMB!AI109)))</f>
        <v>0</v>
      </c>
      <c r="D109">
        <f>SUMPRODUCT((MONTH(CHOOSE({1,2,3,4},KMB!T109,KMB!X109,KMB!AB109,KMB!AF109))=4)*(CHOOSE({1,2,3,4},KMB!W109,KMB!AA109,KMB!AE109,KMB!AI109)))</f>
        <v>0</v>
      </c>
      <c r="E109">
        <f>SUMPRODUCT((MONTH(CHOOSE({1,2,3,4},KMB!T109,KMB!X109,KMB!AB109,KMB!AF109))=5)*(CHOOSE({1,2,3,4},KMB!W109,KMB!AA109,KMB!AE109,KMB!AI109)))</f>
        <v>0</v>
      </c>
      <c r="F109">
        <f>SUMPRODUCT((MONTH(CHOOSE({1,2,3,4},KMB!T109,KMB!X109,KMB!AB109,KMB!AF109))=6)*(CHOOSE({1,2,3,4},KMB!W109,KMB!AA109,KMB!AE109,KMB!AI109)))</f>
        <v>0</v>
      </c>
      <c r="G109">
        <f>SUMPRODUCT((MONTH(CHOOSE({1,2,3,4},KMB!T109,KMB!X109,KMB!AB109,KMB!AF109))=7)*(CHOOSE({1,2,3,4},KMB!W109,KMB!AA109,KMB!AE109,KMB!AI109)))</f>
        <v>0</v>
      </c>
      <c r="H109">
        <f>SUMPRODUCT((MONTH(CHOOSE({1,2,3,4},KMB!T109,KMB!X109,KMB!AB109,KMB!AF109))=8)*(CHOOSE({1,2,3,4},KMB!W109,KMB!AA109,KMB!AE109,KMB!AI109)))</f>
        <v>0</v>
      </c>
      <c r="I109">
        <f>SUMPRODUCT((MONTH(CHOOSE({1,2,3,4},KMB!T109,KMB!X109,KMB!AB109,KMB!AF109))=9)*(CHOOSE({1,2,3,4},KMB!W109,KMB!AA109,KMB!AE109,KMB!AI109)))</f>
        <v>0</v>
      </c>
      <c r="J109">
        <f>SUMPRODUCT((MONTH(CHOOSE({1,2,3,4},KMB!T109,KMB!X109,KMB!AB109,KMB!AF109))=10)*(CHOOSE({1,2,3,4},KMB!W109,KMB!AA109,KMB!AE109,KMB!AI109)))</f>
        <v>0</v>
      </c>
      <c r="K109">
        <f>SUMPRODUCT((MONTH(CHOOSE({1,2,3,4},KMB!T109,KMB!X109,KMB!AB109,KMB!AF109))=11)*(CHOOSE({1,2,3,4},KMB!W109,KMB!AA109,KMB!AE109,KMB!AI109)))</f>
        <v>0</v>
      </c>
      <c r="L109">
        <f>SUMPRODUCT((MONTH(CHOOSE({1,2,3,4},KMB!T109,KMB!X109,KMB!AB109,KMB!AF109))=12)*(CHOOSE({1,2,3,4},KMB!W109,KMB!AA109,KMB!AE109,KMB!AI109)))</f>
        <v>0</v>
      </c>
    </row>
    <row r="110" spans="1:12">
      <c r="A110">
        <f>SUMPRODUCT((MONTH(CHOOSE({1,2,3,4},KMB!T110,KMB!X110,KMB!AB110,KMB!AF110))=1)*(CHOOSE({1,2,3,4},KMB!W110,KMB!AA110,KMB!AE110,KMB!AI110)))</f>
        <v>0</v>
      </c>
      <c r="B110">
        <f>SUMPRODUCT((MONTH(CHOOSE({1,2,3,4},KMB!T110,KMB!X110,KMB!AB110,KMB!AF110))=2)*(CHOOSE({1,2,3,4},KMB!W110,KMB!AA110,KMB!AE110,KMB!AI110)))</f>
        <v>0</v>
      </c>
      <c r="C110">
        <f>SUMPRODUCT((MONTH(CHOOSE({1,2,3,4},KMB!T110,KMB!X110,KMB!AB110,KMB!AF110))=3)*(CHOOSE({1,2,3,4},KMB!W110,KMB!AA110,KMB!AE110,KMB!AI110)))</f>
        <v>0</v>
      </c>
      <c r="D110">
        <f>SUMPRODUCT((MONTH(CHOOSE({1,2,3,4},KMB!T110,KMB!X110,KMB!AB110,KMB!AF110))=4)*(CHOOSE({1,2,3,4},KMB!W110,KMB!AA110,KMB!AE110,KMB!AI110)))</f>
        <v>0</v>
      </c>
      <c r="E110">
        <f>SUMPRODUCT((MONTH(CHOOSE({1,2,3,4},KMB!T110,KMB!X110,KMB!AB110,KMB!AF110))=5)*(CHOOSE({1,2,3,4},KMB!W110,KMB!AA110,KMB!AE110,KMB!AI110)))</f>
        <v>0</v>
      </c>
      <c r="F110">
        <f>SUMPRODUCT((MONTH(CHOOSE({1,2,3,4},KMB!T110,KMB!X110,KMB!AB110,KMB!AF110))=6)*(CHOOSE({1,2,3,4},KMB!W110,KMB!AA110,KMB!AE110,KMB!AI110)))</f>
        <v>0</v>
      </c>
      <c r="G110">
        <f>SUMPRODUCT((MONTH(CHOOSE({1,2,3,4},KMB!T110,KMB!X110,KMB!AB110,KMB!AF110))=7)*(CHOOSE({1,2,3,4},KMB!W110,KMB!AA110,KMB!AE110,KMB!AI110)))</f>
        <v>0</v>
      </c>
      <c r="H110">
        <f>SUMPRODUCT((MONTH(CHOOSE({1,2,3,4},KMB!T110,KMB!X110,KMB!AB110,KMB!AF110))=8)*(CHOOSE({1,2,3,4},KMB!W110,KMB!AA110,KMB!AE110,KMB!AI110)))</f>
        <v>0</v>
      </c>
      <c r="I110">
        <f>SUMPRODUCT((MONTH(CHOOSE({1,2,3,4},KMB!T110,KMB!X110,KMB!AB110,KMB!AF110))=9)*(CHOOSE({1,2,3,4},KMB!W110,KMB!AA110,KMB!AE110,KMB!AI110)))</f>
        <v>0</v>
      </c>
      <c r="J110">
        <f>SUMPRODUCT((MONTH(CHOOSE({1,2,3,4},KMB!T110,KMB!X110,KMB!AB110,KMB!AF110))=10)*(CHOOSE({1,2,3,4},KMB!W110,KMB!AA110,KMB!AE110,KMB!AI110)))</f>
        <v>0</v>
      </c>
      <c r="K110">
        <f>SUMPRODUCT((MONTH(CHOOSE({1,2,3,4},KMB!T110,KMB!X110,KMB!AB110,KMB!AF110))=11)*(CHOOSE({1,2,3,4},KMB!W110,KMB!AA110,KMB!AE110,KMB!AI110)))</f>
        <v>0</v>
      </c>
      <c r="L110">
        <f>SUMPRODUCT((MONTH(CHOOSE({1,2,3,4},KMB!T110,KMB!X110,KMB!AB110,KMB!AF110))=12)*(CHOOSE({1,2,3,4},KMB!W110,KMB!AA110,KMB!AE110,KMB!AI110)))</f>
        <v>0</v>
      </c>
    </row>
    <row r="111" spans="1:12">
      <c r="A111">
        <f>SUMPRODUCT((MONTH(CHOOSE({1,2,3,4},KMB!T111,KMB!X111,KMB!AB111,KMB!AF111))=1)*(CHOOSE({1,2,3,4},KMB!W111,KMB!AA111,KMB!AE111,KMB!AI111)))</f>
        <v>0</v>
      </c>
      <c r="B111">
        <f>SUMPRODUCT((MONTH(CHOOSE({1,2,3,4},KMB!T111,KMB!X111,KMB!AB111,KMB!AF111))=2)*(CHOOSE({1,2,3,4},KMB!W111,KMB!AA111,KMB!AE111,KMB!AI111)))</f>
        <v>0</v>
      </c>
      <c r="C111">
        <f>SUMPRODUCT((MONTH(CHOOSE({1,2,3,4},KMB!T111,KMB!X111,KMB!AB111,KMB!AF111))=3)*(CHOOSE({1,2,3,4},KMB!W111,KMB!AA111,KMB!AE111,KMB!AI111)))</f>
        <v>0</v>
      </c>
      <c r="D111">
        <f>SUMPRODUCT((MONTH(CHOOSE({1,2,3,4},KMB!T111,KMB!X111,KMB!AB111,KMB!AF111))=4)*(CHOOSE({1,2,3,4},KMB!W111,KMB!AA111,KMB!AE111,KMB!AI111)))</f>
        <v>0</v>
      </c>
      <c r="E111">
        <f>SUMPRODUCT((MONTH(CHOOSE({1,2,3,4},KMB!T111,KMB!X111,KMB!AB111,KMB!AF111))=5)*(CHOOSE({1,2,3,4},KMB!W111,KMB!AA111,KMB!AE111,KMB!AI111)))</f>
        <v>0</v>
      </c>
      <c r="F111">
        <f>SUMPRODUCT((MONTH(CHOOSE({1,2,3,4},KMB!T111,KMB!X111,KMB!AB111,KMB!AF111))=6)*(CHOOSE({1,2,3,4},KMB!W111,KMB!AA111,KMB!AE111,KMB!AI111)))</f>
        <v>0</v>
      </c>
      <c r="G111">
        <f>SUMPRODUCT((MONTH(CHOOSE({1,2,3,4},KMB!T111,KMB!X111,KMB!AB111,KMB!AF111))=7)*(CHOOSE({1,2,3,4},KMB!W111,KMB!AA111,KMB!AE111,KMB!AI111)))</f>
        <v>0</v>
      </c>
      <c r="H111">
        <f>SUMPRODUCT((MONTH(CHOOSE({1,2,3,4},KMB!T111,KMB!X111,KMB!AB111,KMB!AF111))=8)*(CHOOSE({1,2,3,4},KMB!W111,KMB!AA111,KMB!AE111,KMB!AI111)))</f>
        <v>0</v>
      </c>
      <c r="I111">
        <f>SUMPRODUCT((MONTH(CHOOSE({1,2,3,4},KMB!T111,KMB!X111,KMB!AB111,KMB!AF111))=9)*(CHOOSE({1,2,3,4},KMB!W111,KMB!AA111,KMB!AE111,KMB!AI111)))</f>
        <v>0</v>
      </c>
      <c r="J111">
        <f>SUMPRODUCT((MONTH(CHOOSE({1,2,3,4},KMB!T111,KMB!X111,KMB!AB111,KMB!AF111))=10)*(CHOOSE({1,2,3,4},KMB!W111,KMB!AA111,KMB!AE111,KMB!AI111)))</f>
        <v>0</v>
      </c>
      <c r="K111">
        <f>SUMPRODUCT((MONTH(CHOOSE({1,2,3,4},KMB!T111,KMB!X111,KMB!AB111,KMB!AF111))=11)*(CHOOSE({1,2,3,4},KMB!W111,KMB!AA111,KMB!AE111,KMB!AI111)))</f>
        <v>0</v>
      </c>
      <c r="L111">
        <f>SUMPRODUCT((MONTH(CHOOSE({1,2,3,4},KMB!T111,KMB!X111,KMB!AB111,KMB!AF111))=12)*(CHOOSE({1,2,3,4},KMB!W111,KMB!AA111,KMB!AE111,KMB!AI111)))</f>
        <v>0</v>
      </c>
    </row>
    <row r="112" spans="1:12">
      <c r="A112">
        <f>SUMPRODUCT((MONTH(CHOOSE({1,2,3,4},KMB!T112,KMB!X112,KMB!AB112,KMB!AF112))=1)*(CHOOSE({1,2,3,4},KMB!W112,KMB!AA112,KMB!AE112,KMB!AI112)))</f>
        <v>0</v>
      </c>
      <c r="B112">
        <f>SUMPRODUCT((MONTH(CHOOSE({1,2,3,4},KMB!T112,KMB!X112,KMB!AB112,KMB!AF112))=2)*(CHOOSE({1,2,3,4},KMB!W112,KMB!AA112,KMB!AE112,KMB!AI112)))</f>
        <v>0</v>
      </c>
      <c r="C112">
        <f>SUMPRODUCT((MONTH(CHOOSE({1,2,3,4},KMB!T112,KMB!X112,KMB!AB112,KMB!AF112))=3)*(CHOOSE({1,2,3,4},KMB!W112,KMB!AA112,KMB!AE112,KMB!AI112)))</f>
        <v>0</v>
      </c>
      <c r="D112">
        <f>SUMPRODUCT((MONTH(CHOOSE({1,2,3,4},KMB!T112,KMB!X112,KMB!AB112,KMB!AF112))=4)*(CHOOSE({1,2,3,4},KMB!W112,KMB!AA112,KMB!AE112,KMB!AI112)))</f>
        <v>0</v>
      </c>
      <c r="E112">
        <f>SUMPRODUCT((MONTH(CHOOSE({1,2,3,4},KMB!T112,KMB!X112,KMB!AB112,KMB!AF112))=5)*(CHOOSE({1,2,3,4},KMB!W112,KMB!AA112,KMB!AE112,KMB!AI112)))</f>
        <v>0</v>
      </c>
      <c r="F112">
        <f>SUMPRODUCT((MONTH(CHOOSE({1,2,3,4},KMB!T112,KMB!X112,KMB!AB112,KMB!AF112))=6)*(CHOOSE({1,2,3,4},KMB!W112,KMB!AA112,KMB!AE112,KMB!AI112)))</f>
        <v>0</v>
      </c>
      <c r="G112">
        <f>SUMPRODUCT((MONTH(CHOOSE({1,2,3,4},KMB!T112,KMB!X112,KMB!AB112,KMB!AF112))=7)*(CHOOSE({1,2,3,4},KMB!W112,KMB!AA112,KMB!AE112,KMB!AI112)))</f>
        <v>0</v>
      </c>
      <c r="H112">
        <f>SUMPRODUCT((MONTH(CHOOSE({1,2,3,4},KMB!T112,KMB!X112,KMB!AB112,KMB!AF112))=8)*(CHOOSE({1,2,3,4},KMB!W112,KMB!AA112,KMB!AE112,KMB!AI112)))</f>
        <v>0</v>
      </c>
      <c r="I112">
        <f>SUMPRODUCT((MONTH(CHOOSE({1,2,3,4},KMB!T112,KMB!X112,KMB!AB112,KMB!AF112))=9)*(CHOOSE({1,2,3,4},KMB!W112,KMB!AA112,KMB!AE112,KMB!AI112)))</f>
        <v>0</v>
      </c>
      <c r="J112">
        <f>SUMPRODUCT((MONTH(CHOOSE({1,2,3,4},KMB!T112,KMB!X112,KMB!AB112,KMB!AF112))=10)*(CHOOSE({1,2,3,4},KMB!W112,KMB!AA112,KMB!AE112,KMB!AI112)))</f>
        <v>0</v>
      </c>
      <c r="K112">
        <f>SUMPRODUCT((MONTH(CHOOSE({1,2,3,4},KMB!T112,KMB!X112,KMB!AB112,KMB!AF112))=11)*(CHOOSE({1,2,3,4},KMB!W112,KMB!AA112,KMB!AE112,KMB!AI112)))</f>
        <v>0</v>
      </c>
      <c r="L112">
        <f>SUMPRODUCT((MONTH(CHOOSE({1,2,3,4},KMB!T112,KMB!X112,KMB!AB112,KMB!AF112))=12)*(CHOOSE({1,2,3,4},KMB!W112,KMB!AA112,KMB!AE112,KMB!AI112)))</f>
        <v>0</v>
      </c>
    </row>
    <row r="113" spans="1:12">
      <c r="A113">
        <f>SUMPRODUCT((MONTH(CHOOSE({1,2,3,4},KMB!T113,KMB!X113,KMB!AB113,KMB!AF113))=1)*(CHOOSE({1,2,3,4},KMB!W113,KMB!AA113,KMB!AE113,KMB!AI113)))</f>
        <v>0</v>
      </c>
      <c r="B113">
        <f>SUMPRODUCT((MONTH(CHOOSE({1,2,3,4},KMB!T113,KMB!X113,KMB!AB113,KMB!AF113))=2)*(CHOOSE({1,2,3,4},KMB!W113,KMB!AA113,KMB!AE113,KMB!AI113)))</f>
        <v>0</v>
      </c>
      <c r="C113">
        <f>SUMPRODUCT((MONTH(CHOOSE({1,2,3,4},KMB!T113,KMB!X113,KMB!AB113,KMB!AF113))=3)*(CHOOSE({1,2,3,4},KMB!W113,KMB!AA113,KMB!AE113,KMB!AI113)))</f>
        <v>0</v>
      </c>
      <c r="D113">
        <f>SUMPRODUCT((MONTH(CHOOSE({1,2,3,4},KMB!T113,KMB!X113,KMB!AB113,KMB!AF113))=4)*(CHOOSE({1,2,3,4},KMB!W113,KMB!AA113,KMB!AE113,KMB!AI113)))</f>
        <v>0</v>
      </c>
      <c r="E113">
        <f>SUMPRODUCT((MONTH(CHOOSE({1,2,3,4},KMB!T113,KMB!X113,KMB!AB113,KMB!AF113))=5)*(CHOOSE({1,2,3,4},KMB!W113,KMB!AA113,KMB!AE113,KMB!AI113)))</f>
        <v>0</v>
      </c>
      <c r="F113">
        <f>SUMPRODUCT((MONTH(CHOOSE({1,2,3,4},KMB!T113,KMB!X113,KMB!AB113,KMB!AF113))=6)*(CHOOSE({1,2,3,4},KMB!W113,KMB!AA113,KMB!AE113,KMB!AI113)))</f>
        <v>0</v>
      </c>
      <c r="G113">
        <f>SUMPRODUCT((MONTH(CHOOSE({1,2,3,4},KMB!T113,KMB!X113,KMB!AB113,KMB!AF113))=7)*(CHOOSE({1,2,3,4},KMB!W113,KMB!AA113,KMB!AE113,KMB!AI113)))</f>
        <v>0</v>
      </c>
      <c r="H113">
        <f>SUMPRODUCT((MONTH(CHOOSE({1,2,3,4},KMB!T113,KMB!X113,KMB!AB113,KMB!AF113))=8)*(CHOOSE({1,2,3,4},KMB!W113,KMB!AA113,KMB!AE113,KMB!AI113)))</f>
        <v>0</v>
      </c>
      <c r="I113">
        <f>SUMPRODUCT((MONTH(CHOOSE({1,2,3,4},KMB!T113,KMB!X113,KMB!AB113,KMB!AF113))=9)*(CHOOSE({1,2,3,4},KMB!W113,KMB!AA113,KMB!AE113,KMB!AI113)))</f>
        <v>0</v>
      </c>
      <c r="J113">
        <f>SUMPRODUCT((MONTH(CHOOSE({1,2,3,4},KMB!T113,KMB!X113,KMB!AB113,KMB!AF113))=10)*(CHOOSE({1,2,3,4},KMB!W113,KMB!AA113,KMB!AE113,KMB!AI113)))</f>
        <v>0</v>
      </c>
      <c r="K113">
        <f>SUMPRODUCT((MONTH(CHOOSE({1,2,3,4},KMB!T113,KMB!X113,KMB!AB113,KMB!AF113))=11)*(CHOOSE({1,2,3,4},KMB!W113,KMB!AA113,KMB!AE113,KMB!AI113)))</f>
        <v>0</v>
      </c>
      <c r="L113">
        <f>SUMPRODUCT((MONTH(CHOOSE({1,2,3,4},KMB!T113,KMB!X113,KMB!AB113,KMB!AF113))=12)*(CHOOSE({1,2,3,4},KMB!W113,KMB!AA113,KMB!AE113,KMB!AI113)))</f>
        <v>0</v>
      </c>
    </row>
    <row r="114" spans="1:12">
      <c r="A114">
        <f>SUMPRODUCT((MONTH(CHOOSE({1,2,3,4},KMB!T114,KMB!X114,KMB!AB114,KMB!AF114))=1)*(CHOOSE({1,2,3,4},KMB!W114,KMB!AA114,KMB!AE114,KMB!AI114)))</f>
        <v>0</v>
      </c>
      <c r="B114">
        <f>SUMPRODUCT((MONTH(CHOOSE({1,2,3,4},KMB!T114,KMB!X114,KMB!AB114,KMB!AF114))=2)*(CHOOSE({1,2,3,4},KMB!W114,KMB!AA114,KMB!AE114,KMB!AI114)))</f>
        <v>0</v>
      </c>
      <c r="C114">
        <f>SUMPRODUCT((MONTH(CHOOSE({1,2,3,4},KMB!T114,KMB!X114,KMB!AB114,KMB!AF114))=3)*(CHOOSE({1,2,3,4},KMB!W114,KMB!AA114,KMB!AE114,KMB!AI114)))</f>
        <v>0</v>
      </c>
      <c r="D114">
        <f>SUMPRODUCT((MONTH(CHOOSE({1,2,3,4},KMB!T114,KMB!X114,KMB!AB114,KMB!AF114))=4)*(CHOOSE({1,2,3,4},KMB!W114,KMB!AA114,KMB!AE114,KMB!AI114)))</f>
        <v>0</v>
      </c>
      <c r="E114">
        <f>SUMPRODUCT((MONTH(CHOOSE({1,2,3,4},KMB!T114,KMB!X114,KMB!AB114,KMB!AF114))=5)*(CHOOSE({1,2,3,4},KMB!W114,KMB!AA114,KMB!AE114,KMB!AI114)))</f>
        <v>0</v>
      </c>
      <c r="F114">
        <f>SUMPRODUCT((MONTH(CHOOSE({1,2,3,4},KMB!T114,KMB!X114,KMB!AB114,KMB!AF114))=6)*(CHOOSE({1,2,3,4},KMB!W114,KMB!AA114,KMB!AE114,KMB!AI114)))</f>
        <v>0</v>
      </c>
      <c r="G114">
        <f>SUMPRODUCT((MONTH(CHOOSE({1,2,3,4},KMB!T114,KMB!X114,KMB!AB114,KMB!AF114))=7)*(CHOOSE({1,2,3,4},KMB!W114,KMB!AA114,KMB!AE114,KMB!AI114)))</f>
        <v>0</v>
      </c>
      <c r="H114">
        <f>SUMPRODUCT((MONTH(CHOOSE({1,2,3,4},KMB!T114,KMB!X114,KMB!AB114,KMB!AF114))=8)*(CHOOSE({1,2,3,4},KMB!W114,KMB!AA114,KMB!AE114,KMB!AI114)))</f>
        <v>0</v>
      </c>
      <c r="I114">
        <f>SUMPRODUCT((MONTH(CHOOSE({1,2,3,4},KMB!T114,KMB!X114,KMB!AB114,KMB!AF114))=9)*(CHOOSE({1,2,3,4},KMB!W114,KMB!AA114,KMB!AE114,KMB!AI114)))</f>
        <v>0</v>
      </c>
      <c r="J114">
        <f>SUMPRODUCT((MONTH(CHOOSE({1,2,3,4},KMB!T114,KMB!X114,KMB!AB114,KMB!AF114))=10)*(CHOOSE({1,2,3,4},KMB!W114,KMB!AA114,KMB!AE114,KMB!AI114)))</f>
        <v>0</v>
      </c>
      <c r="K114">
        <f>SUMPRODUCT((MONTH(CHOOSE({1,2,3,4},KMB!T114,KMB!X114,KMB!AB114,KMB!AF114))=11)*(CHOOSE({1,2,3,4},KMB!W114,KMB!AA114,KMB!AE114,KMB!AI114)))</f>
        <v>0</v>
      </c>
      <c r="L114">
        <f>SUMPRODUCT((MONTH(CHOOSE({1,2,3,4},KMB!T114,KMB!X114,KMB!AB114,KMB!AF114))=12)*(CHOOSE({1,2,3,4},KMB!W114,KMB!AA114,KMB!AE114,KMB!AI114)))</f>
        <v>0</v>
      </c>
    </row>
    <row r="115" spans="1:12">
      <c r="A115">
        <f>SUMPRODUCT((MONTH(CHOOSE({1,2,3,4},KMB!T115,KMB!X115,KMB!AB115,KMB!AF115))=1)*(CHOOSE({1,2,3,4},KMB!W115,KMB!AA115,KMB!AE115,KMB!AI115)))</f>
        <v>0</v>
      </c>
      <c r="B115">
        <f>SUMPRODUCT((MONTH(CHOOSE({1,2,3,4},KMB!T115,KMB!X115,KMB!AB115,KMB!AF115))=2)*(CHOOSE({1,2,3,4},KMB!W115,KMB!AA115,KMB!AE115,KMB!AI115)))</f>
        <v>0</v>
      </c>
      <c r="C115">
        <f>SUMPRODUCT((MONTH(CHOOSE({1,2,3,4},KMB!T115,KMB!X115,KMB!AB115,KMB!AF115))=3)*(CHOOSE({1,2,3,4},KMB!W115,KMB!AA115,KMB!AE115,KMB!AI115)))</f>
        <v>0</v>
      </c>
      <c r="D115">
        <f>SUMPRODUCT((MONTH(CHOOSE({1,2,3,4},KMB!T115,KMB!X115,KMB!AB115,KMB!AF115))=4)*(CHOOSE({1,2,3,4},KMB!W115,KMB!AA115,KMB!AE115,KMB!AI115)))</f>
        <v>0</v>
      </c>
      <c r="E115">
        <f>SUMPRODUCT((MONTH(CHOOSE({1,2,3,4},KMB!T115,KMB!X115,KMB!AB115,KMB!AF115))=5)*(CHOOSE({1,2,3,4},KMB!W115,KMB!AA115,KMB!AE115,KMB!AI115)))</f>
        <v>0</v>
      </c>
      <c r="F115">
        <f>SUMPRODUCT((MONTH(CHOOSE({1,2,3,4},KMB!T115,KMB!X115,KMB!AB115,KMB!AF115))=6)*(CHOOSE({1,2,3,4},KMB!W115,KMB!AA115,KMB!AE115,KMB!AI115)))</f>
        <v>0</v>
      </c>
      <c r="G115">
        <f>SUMPRODUCT((MONTH(CHOOSE({1,2,3,4},KMB!T115,KMB!X115,KMB!AB115,KMB!AF115))=7)*(CHOOSE({1,2,3,4},KMB!W115,KMB!AA115,KMB!AE115,KMB!AI115)))</f>
        <v>0</v>
      </c>
      <c r="H115">
        <f>SUMPRODUCT((MONTH(CHOOSE({1,2,3,4},KMB!T115,KMB!X115,KMB!AB115,KMB!AF115))=8)*(CHOOSE({1,2,3,4},KMB!W115,KMB!AA115,KMB!AE115,KMB!AI115)))</f>
        <v>0</v>
      </c>
      <c r="I115">
        <f>SUMPRODUCT((MONTH(CHOOSE({1,2,3,4},KMB!T115,KMB!X115,KMB!AB115,KMB!AF115))=9)*(CHOOSE({1,2,3,4},KMB!W115,KMB!AA115,KMB!AE115,KMB!AI115)))</f>
        <v>0</v>
      </c>
      <c r="J115">
        <f>SUMPRODUCT((MONTH(CHOOSE({1,2,3,4},KMB!T115,KMB!X115,KMB!AB115,KMB!AF115))=10)*(CHOOSE({1,2,3,4},KMB!W115,KMB!AA115,KMB!AE115,KMB!AI115)))</f>
        <v>0</v>
      </c>
      <c r="K115">
        <f>SUMPRODUCT((MONTH(CHOOSE({1,2,3,4},KMB!T115,KMB!X115,KMB!AB115,KMB!AF115))=11)*(CHOOSE({1,2,3,4},KMB!W115,KMB!AA115,KMB!AE115,KMB!AI115)))</f>
        <v>0</v>
      </c>
      <c r="L115">
        <f>SUMPRODUCT((MONTH(CHOOSE({1,2,3,4},KMB!T115,KMB!X115,KMB!AB115,KMB!AF115))=12)*(CHOOSE({1,2,3,4},KMB!W115,KMB!AA115,KMB!AE115,KMB!AI115)))</f>
        <v>0</v>
      </c>
    </row>
    <row r="116" spans="1:12">
      <c r="A116">
        <f>SUMPRODUCT((MONTH(CHOOSE({1,2,3,4},KMB!T116,KMB!X116,KMB!AB116,KMB!AF116))=1)*(CHOOSE({1,2,3,4},KMB!W116,KMB!AA116,KMB!AE116,KMB!AI116)))</f>
        <v>0</v>
      </c>
      <c r="B116">
        <f>SUMPRODUCT((MONTH(CHOOSE({1,2,3,4},KMB!T116,KMB!X116,KMB!AB116,KMB!AF116))=2)*(CHOOSE({1,2,3,4},KMB!W116,KMB!AA116,KMB!AE116,KMB!AI116)))</f>
        <v>0</v>
      </c>
      <c r="C116">
        <f>SUMPRODUCT((MONTH(CHOOSE({1,2,3,4},KMB!T116,KMB!X116,KMB!AB116,KMB!AF116))=3)*(CHOOSE({1,2,3,4},KMB!W116,KMB!AA116,KMB!AE116,KMB!AI116)))</f>
        <v>0</v>
      </c>
      <c r="D116">
        <f>SUMPRODUCT((MONTH(CHOOSE({1,2,3,4},KMB!T116,KMB!X116,KMB!AB116,KMB!AF116))=4)*(CHOOSE({1,2,3,4},KMB!W116,KMB!AA116,KMB!AE116,KMB!AI116)))</f>
        <v>0</v>
      </c>
      <c r="E116">
        <f>SUMPRODUCT((MONTH(CHOOSE({1,2,3,4},KMB!T116,KMB!X116,KMB!AB116,KMB!AF116))=5)*(CHOOSE({1,2,3,4},KMB!W116,KMB!AA116,KMB!AE116,KMB!AI116)))</f>
        <v>0</v>
      </c>
      <c r="F116">
        <f>SUMPRODUCT((MONTH(CHOOSE({1,2,3,4},KMB!T116,KMB!X116,KMB!AB116,KMB!AF116))=6)*(CHOOSE({1,2,3,4},KMB!W116,KMB!AA116,KMB!AE116,KMB!AI116)))</f>
        <v>0</v>
      </c>
      <c r="G116">
        <f>SUMPRODUCT((MONTH(CHOOSE({1,2,3,4},KMB!T116,KMB!X116,KMB!AB116,KMB!AF116))=7)*(CHOOSE({1,2,3,4},KMB!W116,KMB!AA116,KMB!AE116,KMB!AI116)))</f>
        <v>0</v>
      </c>
      <c r="H116">
        <f>SUMPRODUCT((MONTH(CHOOSE({1,2,3,4},KMB!T116,KMB!X116,KMB!AB116,KMB!AF116))=8)*(CHOOSE({1,2,3,4},KMB!W116,KMB!AA116,KMB!AE116,KMB!AI116)))</f>
        <v>0</v>
      </c>
      <c r="I116">
        <f>SUMPRODUCT((MONTH(CHOOSE({1,2,3,4},KMB!T116,KMB!X116,KMB!AB116,KMB!AF116))=9)*(CHOOSE({1,2,3,4},KMB!W116,KMB!AA116,KMB!AE116,KMB!AI116)))</f>
        <v>0</v>
      </c>
      <c r="J116">
        <f>SUMPRODUCT((MONTH(CHOOSE({1,2,3,4},KMB!T116,KMB!X116,KMB!AB116,KMB!AF116))=10)*(CHOOSE({1,2,3,4},KMB!W116,KMB!AA116,KMB!AE116,KMB!AI116)))</f>
        <v>0</v>
      </c>
      <c r="K116">
        <f>SUMPRODUCT((MONTH(CHOOSE({1,2,3,4},KMB!T116,KMB!X116,KMB!AB116,KMB!AF116))=11)*(CHOOSE({1,2,3,4},KMB!W116,KMB!AA116,KMB!AE116,KMB!AI116)))</f>
        <v>0</v>
      </c>
      <c r="L116">
        <f>SUMPRODUCT((MONTH(CHOOSE({1,2,3,4},KMB!T116,KMB!X116,KMB!AB116,KMB!AF116))=12)*(CHOOSE({1,2,3,4},KMB!W116,KMB!AA116,KMB!AE116,KMB!AI116)))</f>
        <v>0</v>
      </c>
    </row>
    <row r="117" spans="1:12">
      <c r="A117">
        <f>SUMPRODUCT((MONTH(CHOOSE({1,2,3,4},KMB!T117,KMB!X117,KMB!AB117,KMB!AF117))=1)*(CHOOSE({1,2,3,4},KMB!W117,KMB!AA117,KMB!AE117,KMB!AI117)))</f>
        <v>0</v>
      </c>
      <c r="B117">
        <f>SUMPRODUCT((MONTH(CHOOSE({1,2,3,4},KMB!T117,KMB!X117,KMB!AB117,KMB!AF117))=2)*(CHOOSE({1,2,3,4},KMB!W117,KMB!AA117,KMB!AE117,KMB!AI117)))</f>
        <v>0</v>
      </c>
      <c r="C117">
        <f>SUMPRODUCT((MONTH(CHOOSE({1,2,3,4},KMB!T117,KMB!X117,KMB!AB117,KMB!AF117))=3)*(CHOOSE({1,2,3,4},KMB!W117,KMB!AA117,KMB!AE117,KMB!AI117)))</f>
        <v>0</v>
      </c>
      <c r="D117">
        <f>SUMPRODUCT((MONTH(CHOOSE({1,2,3,4},KMB!T117,KMB!X117,KMB!AB117,KMB!AF117))=4)*(CHOOSE({1,2,3,4},KMB!W117,KMB!AA117,KMB!AE117,KMB!AI117)))</f>
        <v>0</v>
      </c>
      <c r="E117">
        <f>SUMPRODUCT((MONTH(CHOOSE({1,2,3,4},KMB!T117,KMB!X117,KMB!AB117,KMB!AF117))=5)*(CHOOSE({1,2,3,4},KMB!W117,KMB!AA117,KMB!AE117,KMB!AI117)))</f>
        <v>0</v>
      </c>
      <c r="F117">
        <f>SUMPRODUCT((MONTH(CHOOSE({1,2,3,4},KMB!T117,KMB!X117,KMB!AB117,KMB!AF117))=6)*(CHOOSE({1,2,3,4},KMB!W117,KMB!AA117,KMB!AE117,KMB!AI117)))</f>
        <v>0</v>
      </c>
      <c r="G117">
        <f>SUMPRODUCT((MONTH(CHOOSE({1,2,3,4},KMB!T117,KMB!X117,KMB!AB117,KMB!AF117))=7)*(CHOOSE({1,2,3,4},KMB!W117,KMB!AA117,KMB!AE117,KMB!AI117)))</f>
        <v>0</v>
      </c>
      <c r="H117">
        <f>SUMPRODUCT((MONTH(CHOOSE({1,2,3,4},KMB!T117,KMB!X117,KMB!AB117,KMB!AF117))=8)*(CHOOSE({1,2,3,4},KMB!W117,KMB!AA117,KMB!AE117,KMB!AI117)))</f>
        <v>0</v>
      </c>
      <c r="I117">
        <f>SUMPRODUCT((MONTH(CHOOSE({1,2,3,4},KMB!T117,KMB!X117,KMB!AB117,KMB!AF117))=9)*(CHOOSE({1,2,3,4},KMB!W117,KMB!AA117,KMB!AE117,KMB!AI117)))</f>
        <v>0</v>
      </c>
      <c r="J117">
        <f>SUMPRODUCT((MONTH(CHOOSE({1,2,3,4},KMB!T117,KMB!X117,KMB!AB117,KMB!AF117))=10)*(CHOOSE({1,2,3,4},KMB!W117,KMB!AA117,KMB!AE117,KMB!AI117)))</f>
        <v>0</v>
      </c>
      <c r="K117">
        <f>SUMPRODUCT((MONTH(CHOOSE({1,2,3,4},KMB!T117,KMB!X117,KMB!AB117,KMB!AF117))=11)*(CHOOSE({1,2,3,4},KMB!W117,KMB!AA117,KMB!AE117,KMB!AI117)))</f>
        <v>0</v>
      </c>
      <c r="L117">
        <f>SUMPRODUCT((MONTH(CHOOSE({1,2,3,4},KMB!T117,KMB!X117,KMB!AB117,KMB!AF117))=12)*(CHOOSE({1,2,3,4},KMB!W117,KMB!AA117,KMB!AE117,KMB!AI117)))</f>
        <v>0</v>
      </c>
    </row>
    <row r="118" spans="1:12">
      <c r="A118">
        <f>SUMPRODUCT((MONTH(CHOOSE({1,2,3,4},KMB!T118,KMB!X118,KMB!AB118,KMB!AF118))=1)*(CHOOSE({1,2,3,4},KMB!W118,KMB!AA118,KMB!AE118,KMB!AI118)))</f>
        <v>0</v>
      </c>
      <c r="B118">
        <f>SUMPRODUCT((MONTH(CHOOSE({1,2,3,4},KMB!T118,KMB!X118,KMB!AB118,KMB!AF118))=2)*(CHOOSE({1,2,3,4},KMB!W118,KMB!AA118,KMB!AE118,KMB!AI118)))</f>
        <v>0</v>
      </c>
      <c r="C118">
        <f>SUMPRODUCT((MONTH(CHOOSE({1,2,3,4},KMB!T118,KMB!X118,KMB!AB118,KMB!AF118))=3)*(CHOOSE({1,2,3,4},KMB!W118,KMB!AA118,KMB!AE118,KMB!AI118)))</f>
        <v>0</v>
      </c>
      <c r="D118">
        <f>SUMPRODUCT((MONTH(CHOOSE({1,2,3,4},KMB!T118,KMB!X118,KMB!AB118,KMB!AF118))=4)*(CHOOSE({1,2,3,4},KMB!W118,KMB!AA118,KMB!AE118,KMB!AI118)))</f>
        <v>0</v>
      </c>
      <c r="E118">
        <f>SUMPRODUCT((MONTH(CHOOSE({1,2,3,4},KMB!T118,KMB!X118,KMB!AB118,KMB!AF118))=5)*(CHOOSE({1,2,3,4},KMB!W118,KMB!AA118,KMB!AE118,KMB!AI118)))</f>
        <v>0</v>
      </c>
      <c r="F118">
        <f>SUMPRODUCT((MONTH(CHOOSE({1,2,3,4},KMB!T118,KMB!X118,KMB!AB118,KMB!AF118))=6)*(CHOOSE({1,2,3,4},KMB!W118,KMB!AA118,KMB!AE118,KMB!AI118)))</f>
        <v>0</v>
      </c>
      <c r="G118">
        <f>SUMPRODUCT((MONTH(CHOOSE({1,2,3,4},KMB!T118,KMB!X118,KMB!AB118,KMB!AF118))=7)*(CHOOSE({1,2,3,4},KMB!W118,KMB!AA118,KMB!AE118,KMB!AI118)))</f>
        <v>0</v>
      </c>
      <c r="H118">
        <f>SUMPRODUCT((MONTH(CHOOSE({1,2,3,4},KMB!T118,KMB!X118,KMB!AB118,KMB!AF118))=8)*(CHOOSE({1,2,3,4},KMB!W118,KMB!AA118,KMB!AE118,KMB!AI118)))</f>
        <v>0</v>
      </c>
      <c r="I118">
        <f>SUMPRODUCT((MONTH(CHOOSE({1,2,3,4},KMB!T118,KMB!X118,KMB!AB118,KMB!AF118))=9)*(CHOOSE({1,2,3,4},KMB!W118,KMB!AA118,KMB!AE118,KMB!AI118)))</f>
        <v>0</v>
      </c>
      <c r="J118">
        <f>SUMPRODUCT((MONTH(CHOOSE({1,2,3,4},KMB!T118,KMB!X118,KMB!AB118,KMB!AF118))=10)*(CHOOSE({1,2,3,4},KMB!W118,KMB!AA118,KMB!AE118,KMB!AI118)))</f>
        <v>0</v>
      </c>
      <c r="K118">
        <f>SUMPRODUCT((MONTH(CHOOSE({1,2,3,4},KMB!T118,KMB!X118,KMB!AB118,KMB!AF118))=11)*(CHOOSE({1,2,3,4},KMB!W118,KMB!AA118,KMB!AE118,KMB!AI118)))</f>
        <v>0</v>
      </c>
      <c r="L118">
        <f>SUMPRODUCT((MONTH(CHOOSE({1,2,3,4},KMB!T118,KMB!X118,KMB!AB118,KMB!AF118))=12)*(CHOOSE({1,2,3,4},KMB!W118,KMB!AA118,KMB!AE118,KMB!AI118)))</f>
        <v>0</v>
      </c>
    </row>
    <row r="119" spans="1:12">
      <c r="A119">
        <f>SUMPRODUCT((MONTH(CHOOSE({1,2,3,4},KMB!T119,KMB!X119,KMB!AB119,KMB!AF119))=1)*(CHOOSE({1,2,3,4},KMB!W119,KMB!AA119,KMB!AE119,KMB!AI119)))</f>
        <v>0</v>
      </c>
      <c r="B119">
        <f>SUMPRODUCT((MONTH(CHOOSE({1,2,3,4},KMB!T119,KMB!X119,KMB!AB119,KMB!AF119))=2)*(CHOOSE({1,2,3,4},KMB!W119,KMB!AA119,KMB!AE119,KMB!AI119)))</f>
        <v>0</v>
      </c>
      <c r="C119">
        <f>SUMPRODUCT((MONTH(CHOOSE({1,2,3,4},KMB!T119,KMB!X119,KMB!AB119,KMB!AF119))=3)*(CHOOSE({1,2,3,4},KMB!W119,KMB!AA119,KMB!AE119,KMB!AI119)))</f>
        <v>0</v>
      </c>
      <c r="D119">
        <f>SUMPRODUCT((MONTH(CHOOSE({1,2,3,4},KMB!T119,KMB!X119,KMB!AB119,KMB!AF119))=4)*(CHOOSE({1,2,3,4},KMB!W119,KMB!AA119,KMB!AE119,KMB!AI119)))</f>
        <v>0</v>
      </c>
      <c r="E119">
        <f>SUMPRODUCT((MONTH(CHOOSE({1,2,3,4},KMB!T119,KMB!X119,KMB!AB119,KMB!AF119))=5)*(CHOOSE({1,2,3,4},KMB!W119,KMB!AA119,KMB!AE119,KMB!AI119)))</f>
        <v>0</v>
      </c>
      <c r="F119">
        <f>SUMPRODUCT((MONTH(CHOOSE({1,2,3,4},KMB!T119,KMB!X119,KMB!AB119,KMB!AF119))=6)*(CHOOSE({1,2,3,4},KMB!W119,KMB!AA119,KMB!AE119,KMB!AI119)))</f>
        <v>0</v>
      </c>
      <c r="G119">
        <f>SUMPRODUCT((MONTH(CHOOSE({1,2,3,4},KMB!T119,KMB!X119,KMB!AB119,KMB!AF119))=7)*(CHOOSE({1,2,3,4},KMB!W119,KMB!AA119,KMB!AE119,KMB!AI119)))</f>
        <v>0</v>
      </c>
      <c r="H119">
        <f>SUMPRODUCT((MONTH(CHOOSE({1,2,3,4},KMB!T119,KMB!X119,KMB!AB119,KMB!AF119))=8)*(CHOOSE({1,2,3,4},KMB!W119,KMB!AA119,KMB!AE119,KMB!AI119)))</f>
        <v>0</v>
      </c>
      <c r="I119">
        <f>SUMPRODUCT((MONTH(CHOOSE({1,2,3,4},KMB!T119,KMB!X119,KMB!AB119,KMB!AF119))=9)*(CHOOSE({1,2,3,4},KMB!W119,KMB!AA119,KMB!AE119,KMB!AI119)))</f>
        <v>0</v>
      </c>
      <c r="J119">
        <f>SUMPRODUCT((MONTH(CHOOSE({1,2,3,4},KMB!T119,KMB!X119,KMB!AB119,KMB!AF119))=10)*(CHOOSE({1,2,3,4},KMB!W119,KMB!AA119,KMB!AE119,KMB!AI119)))</f>
        <v>0</v>
      </c>
      <c r="K119">
        <f>SUMPRODUCT((MONTH(CHOOSE({1,2,3,4},KMB!T119,KMB!X119,KMB!AB119,KMB!AF119))=11)*(CHOOSE({1,2,3,4},KMB!W119,KMB!AA119,KMB!AE119,KMB!AI119)))</f>
        <v>0</v>
      </c>
      <c r="L119">
        <f>SUMPRODUCT((MONTH(CHOOSE({1,2,3,4},KMB!T119,KMB!X119,KMB!AB119,KMB!AF119))=12)*(CHOOSE({1,2,3,4},KMB!W119,KMB!AA119,KMB!AE119,KMB!AI119)))</f>
        <v>0</v>
      </c>
    </row>
    <row r="120" spans="1:12">
      <c r="A120">
        <f>SUMPRODUCT((MONTH(CHOOSE({1,2,3,4},KMB!T120,KMB!X120,KMB!AB120,KMB!AF120))=1)*(CHOOSE({1,2,3,4},KMB!W120,KMB!AA120,KMB!AE120,KMB!AI120)))</f>
        <v>0</v>
      </c>
      <c r="B120">
        <f>SUMPRODUCT((MONTH(CHOOSE({1,2,3,4},KMB!T120,KMB!X120,KMB!AB120,KMB!AF120))=2)*(CHOOSE({1,2,3,4},KMB!W120,KMB!AA120,KMB!AE120,KMB!AI120)))</f>
        <v>0</v>
      </c>
      <c r="C120">
        <f>SUMPRODUCT((MONTH(CHOOSE({1,2,3,4},KMB!T120,KMB!X120,KMB!AB120,KMB!AF120))=3)*(CHOOSE({1,2,3,4},KMB!W120,KMB!AA120,KMB!AE120,KMB!AI120)))</f>
        <v>0</v>
      </c>
      <c r="D120">
        <f>SUMPRODUCT((MONTH(CHOOSE({1,2,3,4},KMB!T120,KMB!X120,KMB!AB120,KMB!AF120))=4)*(CHOOSE({1,2,3,4},KMB!W120,KMB!AA120,KMB!AE120,KMB!AI120)))</f>
        <v>0</v>
      </c>
      <c r="E120">
        <f>SUMPRODUCT((MONTH(CHOOSE({1,2,3,4},KMB!T120,KMB!X120,KMB!AB120,KMB!AF120))=5)*(CHOOSE({1,2,3,4},KMB!W120,KMB!AA120,KMB!AE120,KMB!AI120)))</f>
        <v>0</v>
      </c>
      <c r="F120">
        <f>SUMPRODUCT((MONTH(CHOOSE({1,2,3,4},KMB!T120,KMB!X120,KMB!AB120,KMB!AF120))=6)*(CHOOSE({1,2,3,4},KMB!W120,KMB!AA120,KMB!AE120,KMB!AI120)))</f>
        <v>0</v>
      </c>
      <c r="G120">
        <f>SUMPRODUCT((MONTH(CHOOSE({1,2,3,4},KMB!T120,KMB!X120,KMB!AB120,KMB!AF120))=7)*(CHOOSE({1,2,3,4},KMB!W120,KMB!AA120,KMB!AE120,KMB!AI120)))</f>
        <v>0</v>
      </c>
      <c r="H120">
        <f>SUMPRODUCT((MONTH(CHOOSE({1,2,3,4},KMB!T120,KMB!X120,KMB!AB120,KMB!AF120))=8)*(CHOOSE({1,2,3,4},KMB!W120,KMB!AA120,KMB!AE120,KMB!AI120)))</f>
        <v>0</v>
      </c>
      <c r="I120">
        <f>SUMPRODUCT((MONTH(CHOOSE({1,2,3,4},KMB!T120,KMB!X120,KMB!AB120,KMB!AF120))=9)*(CHOOSE({1,2,3,4},KMB!W120,KMB!AA120,KMB!AE120,KMB!AI120)))</f>
        <v>0</v>
      </c>
      <c r="J120">
        <f>SUMPRODUCT((MONTH(CHOOSE({1,2,3,4},KMB!T120,KMB!X120,KMB!AB120,KMB!AF120))=10)*(CHOOSE({1,2,3,4},KMB!W120,KMB!AA120,KMB!AE120,KMB!AI120)))</f>
        <v>0</v>
      </c>
      <c r="K120">
        <f>SUMPRODUCT((MONTH(CHOOSE({1,2,3,4},KMB!T120,KMB!X120,KMB!AB120,KMB!AF120))=11)*(CHOOSE({1,2,3,4},KMB!W120,KMB!AA120,KMB!AE120,KMB!AI120)))</f>
        <v>0</v>
      </c>
      <c r="L120">
        <f>SUMPRODUCT((MONTH(CHOOSE({1,2,3,4},KMB!T120,KMB!X120,KMB!AB120,KMB!AF120))=12)*(CHOOSE({1,2,3,4},KMB!W120,KMB!AA120,KMB!AE120,KMB!AI120)))</f>
        <v>0</v>
      </c>
    </row>
    <row r="121" spans="1:12">
      <c r="A121">
        <f>SUMPRODUCT((MONTH(CHOOSE({1,2,3,4},KMB!T121,KMB!X121,KMB!AB121,KMB!AF121))=1)*(CHOOSE({1,2,3,4},KMB!W121,KMB!AA121,KMB!AE121,KMB!AI121)))</f>
        <v>0</v>
      </c>
      <c r="B121">
        <f>SUMPRODUCT((MONTH(CHOOSE({1,2,3,4},KMB!T121,KMB!X121,KMB!AB121,KMB!AF121))=2)*(CHOOSE({1,2,3,4},KMB!W121,KMB!AA121,KMB!AE121,KMB!AI121)))</f>
        <v>0</v>
      </c>
      <c r="C121">
        <f>SUMPRODUCT((MONTH(CHOOSE({1,2,3,4},KMB!T121,KMB!X121,KMB!AB121,KMB!AF121))=3)*(CHOOSE({1,2,3,4},KMB!W121,KMB!AA121,KMB!AE121,KMB!AI121)))</f>
        <v>0</v>
      </c>
      <c r="D121">
        <f>SUMPRODUCT((MONTH(CHOOSE({1,2,3,4},KMB!T121,KMB!X121,KMB!AB121,KMB!AF121))=4)*(CHOOSE({1,2,3,4},KMB!W121,KMB!AA121,KMB!AE121,KMB!AI121)))</f>
        <v>0</v>
      </c>
      <c r="E121">
        <f>SUMPRODUCT((MONTH(CHOOSE({1,2,3,4},KMB!T121,KMB!X121,KMB!AB121,KMB!AF121))=5)*(CHOOSE({1,2,3,4},KMB!W121,KMB!AA121,KMB!AE121,KMB!AI121)))</f>
        <v>0</v>
      </c>
      <c r="F121">
        <f>SUMPRODUCT((MONTH(CHOOSE({1,2,3,4},KMB!T121,KMB!X121,KMB!AB121,KMB!AF121))=6)*(CHOOSE({1,2,3,4},KMB!W121,KMB!AA121,KMB!AE121,KMB!AI121)))</f>
        <v>0</v>
      </c>
      <c r="G121">
        <f>SUMPRODUCT((MONTH(CHOOSE({1,2,3,4},KMB!T121,KMB!X121,KMB!AB121,KMB!AF121))=7)*(CHOOSE({1,2,3,4},KMB!W121,KMB!AA121,KMB!AE121,KMB!AI121)))</f>
        <v>0</v>
      </c>
      <c r="H121">
        <f>SUMPRODUCT((MONTH(CHOOSE({1,2,3,4},KMB!T121,KMB!X121,KMB!AB121,KMB!AF121))=8)*(CHOOSE({1,2,3,4},KMB!W121,KMB!AA121,KMB!AE121,KMB!AI121)))</f>
        <v>0</v>
      </c>
      <c r="I121">
        <f>SUMPRODUCT((MONTH(CHOOSE({1,2,3,4},KMB!T121,KMB!X121,KMB!AB121,KMB!AF121))=9)*(CHOOSE({1,2,3,4},KMB!W121,KMB!AA121,KMB!AE121,KMB!AI121)))</f>
        <v>0</v>
      </c>
      <c r="J121">
        <f>SUMPRODUCT((MONTH(CHOOSE({1,2,3,4},KMB!T121,KMB!X121,KMB!AB121,KMB!AF121))=10)*(CHOOSE({1,2,3,4},KMB!W121,KMB!AA121,KMB!AE121,KMB!AI121)))</f>
        <v>0</v>
      </c>
      <c r="K121">
        <f>SUMPRODUCT((MONTH(CHOOSE({1,2,3,4},KMB!T121,KMB!X121,KMB!AB121,KMB!AF121))=11)*(CHOOSE({1,2,3,4},KMB!W121,KMB!AA121,KMB!AE121,KMB!AI121)))</f>
        <v>0</v>
      </c>
      <c r="L121">
        <f>SUMPRODUCT((MONTH(CHOOSE({1,2,3,4},KMB!T121,KMB!X121,KMB!AB121,KMB!AF121))=12)*(CHOOSE({1,2,3,4},KMB!W121,KMB!AA121,KMB!AE121,KMB!AI121)))</f>
        <v>0</v>
      </c>
    </row>
    <row r="122" spans="1:12">
      <c r="A122">
        <f>SUMPRODUCT((MONTH(CHOOSE({1,2,3,4},KMB!T122,KMB!X122,KMB!AB122,KMB!AF122))=1)*(CHOOSE({1,2,3,4},KMB!W122,KMB!AA122,KMB!AE122,KMB!AI122)))</f>
        <v>0</v>
      </c>
      <c r="B122">
        <f>SUMPRODUCT((MONTH(CHOOSE({1,2,3,4},KMB!T122,KMB!X122,KMB!AB122,KMB!AF122))=2)*(CHOOSE({1,2,3,4},KMB!W122,KMB!AA122,KMB!AE122,KMB!AI122)))</f>
        <v>0</v>
      </c>
      <c r="C122">
        <f>SUMPRODUCT((MONTH(CHOOSE({1,2,3,4},KMB!T122,KMB!X122,KMB!AB122,KMB!AF122))=3)*(CHOOSE({1,2,3,4},KMB!W122,KMB!AA122,KMB!AE122,KMB!AI122)))</f>
        <v>0</v>
      </c>
      <c r="D122">
        <f>SUMPRODUCT((MONTH(CHOOSE({1,2,3,4},KMB!T122,KMB!X122,KMB!AB122,KMB!AF122))=4)*(CHOOSE({1,2,3,4},KMB!W122,KMB!AA122,KMB!AE122,KMB!AI122)))</f>
        <v>0</v>
      </c>
      <c r="E122">
        <f>SUMPRODUCT((MONTH(CHOOSE({1,2,3,4},KMB!T122,KMB!X122,KMB!AB122,KMB!AF122))=5)*(CHOOSE({1,2,3,4},KMB!W122,KMB!AA122,KMB!AE122,KMB!AI122)))</f>
        <v>0</v>
      </c>
      <c r="F122">
        <f>SUMPRODUCT((MONTH(CHOOSE({1,2,3,4},KMB!T122,KMB!X122,KMB!AB122,KMB!AF122))=6)*(CHOOSE({1,2,3,4},KMB!W122,KMB!AA122,KMB!AE122,KMB!AI122)))</f>
        <v>0</v>
      </c>
      <c r="G122">
        <f>SUMPRODUCT((MONTH(CHOOSE({1,2,3,4},KMB!T122,KMB!X122,KMB!AB122,KMB!AF122))=7)*(CHOOSE({1,2,3,4},KMB!W122,KMB!AA122,KMB!AE122,KMB!AI122)))</f>
        <v>0</v>
      </c>
      <c r="H122">
        <f>SUMPRODUCT((MONTH(CHOOSE({1,2,3,4},KMB!T122,KMB!X122,KMB!AB122,KMB!AF122))=8)*(CHOOSE({1,2,3,4},KMB!W122,KMB!AA122,KMB!AE122,KMB!AI122)))</f>
        <v>0</v>
      </c>
      <c r="I122">
        <f>SUMPRODUCT((MONTH(CHOOSE({1,2,3,4},KMB!T122,KMB!X122,KMB!AB122,KMB!AF122))=9)*(CHOOSE({1,2,3,4},KMB!W122,KMB!AA122,KMB!AE122,KMB!AI122)))</f>
        <v>0</v>
      </c>
      <c r="J122">
        <f>SUMPRODUCT((MONTH(CHOOSE({1,2,3,4},KMB!T122,KMB!X122,KMB!AB122,KMB!AF122))=10)*(CHOOSE({1,2,3,4},KMB!W122,KMB!AA122,KMB!AE122,KMB!AI122)))</f>
        <v>0</v>
      </c>
      <c r="K122">
        <f>SUMPRODUCT((MONTH(CHOOSE({1,2,3,4},KMB!T122,KMB!X122,KMB!AB122,KMB!AF122))=11)*(CHOOSE({1,2,3,4},KMB!W122,KMB!AA122,KMB!AE122,KMB!AI122)))</f>
        <v>0</v>
      </c>
      <c r="L122">
        <f>SUMPRODUCT((MONTH(CHOOSE({1,2,3,4},KMB!T122,KMB!X122,KMB!AB122,KMB!AF122))=12)*(CHOOSE({1,2,3,4},KMB!W122,KMB!AA122,KMB!AE122,KMB!AI122)))</f>
        <v>0</v>
      </c>
    </row>
    <row r="123" spans="1:12">
      <c r="A123">
        <f>SUMPRODUCT((MONTH(CHOOSE({1,2,3,4},KMB!T123,KMB!X123,KMB!AB123,KMB!AF123))=1)*(CHOOSE({1,2,3,4},KMB!W123,KMB!AA123,KMB!AE123,KMB!AI123)))</f>
        <v>0</v>
      </c>
      <c r="B123">
        <f>SUMPRODUCT((MONTH(CHOOSE({1,2,3,4},KMB!T123,KMB!X123,KMB!AB123,KMB!AF123))=2)*(CHOOSE({1,2,3,4},KMB!W123,KMB!AA123,KMB!AE123,KMB!AI123)))</f>
        <v>0</v>
      </c>
      <c r="C123">
        <f>SUMPRODUCT((MONTH(CHOOSE({1,2,3,4},KMB!T123,KMB!X123,KMB!AB123,KMB!AF123))=3)*(CHOOSE({1,2,3,4},KMB!W123,KMB!AA123,KMB!AE123,KMB!AI123)))</f>
        <v>0</v>
      </c>
      <c r="D123">
        <f>SUMPRODUCT((MONTH(CHOOSE({1,2,3,4},KMB!T123,KMB!X123,KMB!AB123,KMB!AF123))=4)*(CHOOSE({1,2,3,4},KMB!W123,KMB!AA123,KMB!AE123,KMB!AI123)))</f>
        <v>0</v>
      </c>
      <c r="E123">
        <f>SUMPRODUCT((MONTH(CHOOSE({1,2,3,4},KMB!T123,KMB!X123,KMB!AB123,KMB!AF123))=5)*(CHOOSE({1,2,3,4},KMB!W123,KMB!AA123,KMB!AE123,KMB!AI123)))</f>
        <v>0</v>
      </c>
      <c r="F123">
        <f>SUMPRODUCT((MONTH(CHOOSE({1,2,3,4},KMB!T123,KMB!X123,KMB!AB123,KMB!AF123))=6)*(CHOOSE({1,2,3,4},KMB!W123,KMB!AA123,KMB!AE123,KMB!AI123)))</f>
        <v>0</v>
      </c>
      <c r="G123">
        <f>SUMPRODUCT((MONTH(CHOOSE({1,2,3,4},KMB!T123,KMB!X123,KMB!AB123,KMB!AF123))=7)*(CHOOSE({1,2,3,4},KMB!W123,KMB!AA123,KMB!AE123,KMB!AI123)))</f>
        <v>0</v>
      </c>
      <c r="H123">
        <f>SUMPRODUCT((MONTH(CHOOSE({1,2,3,4},KMB!T123,KMB!X123,KMB!AB123,KMB!AF123))=8)*(CHOOSE({1,2,3,4},KMB!W123,KMB!AA123,KMB!AE123,KMB!AI123)))</f>
        <v>0</v>
      </c>
      <c r="I123">
        <f>SUMPRODUCT((MONTH(CHOOSE({1,2,3,4},KMB!T123,KMB!X123,KMB!AB123,KMB!AF123))=9)*(CHOOSE({1,2,3,4},KMB!W123,KMB!AA123,KMB!AE123,KMB!AI123)))</f>
        <v>0</v>
      </c>
      <c r="J123">
        <f>SUMPRODUCT((MONTH(CHOOSE({1,2,3,4},KMB!T123,KMB!X123,KMB!AB123,KMB!AF123))=10)*(CHOOSE({1,2,3,4},KMB!W123,KMB!AA123,KMB!AE123,KMB!AI123)))</f>
        <v>0</v>
      </c>
      <c r="K123">
        <f>SUMPRODUCT((MONTH(CHOOSE({1,2,3,4},KMB!T123,KMB!X123,KMB!AB123,KMB!AF123))=11)*(CHOOSE({1,2,3,4},KMB!W123,KMB!AA123,KMB!AE123,KMB!AI123)))</f>
        <v>0</v>
      </c>
      <c r="L123">
        <f>SUMPRODUCT((MONTH(CHOOSE({1,2,3,4},KMB!T123,KMB!X123,KMB!AB123,KMB!AF123))=12)*(CHOOSE({1,2,3,4},KMB!W123,KMB!AA123,KMB!AE123,KMB!AI123)))</f>
        <v>0</v>
      </c>
    </row>
    <row r="124" spans="1:12">
      <c r="A124">
        <f>SUMPRODUCT((MONTH(CHOOSE({1,2,3,4},KMB!T124,KMB!X124,KMB!AB124,KMB!AF124))=1)*(CHOOSE({1,2,3,4},KMB!W124,KMB!AA124,KMB!AE124,KMB!AI124)))</f>
        <v>0</v>
      </c>
      <c r="B124">
        <f>SUMPRODUCT((MONTH(CHOOSE({1,2,3,4},KMB!T124,KMB!X124,KMB!AB124,KMB!AF124))=2)*(CHOOSE({1,2,3,4},KMB!W124,KMB!AA124,KMB!AE124,KMB!AI124)))</f>
        <v>0</v>
      </c>
      <c r="C124">
        <f>SUMPRODUCT((MONTH(CHOOSE({1,2,3,4},KMB!T124,KMB!X124,KMB!AB124,KMB!AF124))=3)*(CHOOSE({1,2,3,4},KMB!W124,KMB!AA124,KMB!AE124,KMB!AI124)))</f>
        <v>0</v>
      </c>
      <c r="D124">
        <f>SUMPRODUCT((MONTH(CHOOSE({1,2,3,4},KMB!T124,KMB!X124,KMB!AB124,KMB!AF124))=4)*(CHOOSE({1,2,3,4},KMB!W124,KMB!AA124,KMB!AE124,KMB!AI124)))</f>
        <v>0</v>
      </c>
      <c r="E124">
        <f>SUMPRODUCT((MONTH(CHOOSE({1,2,3,4},KMB!T124,KMB!X124,KMB!AB124,KMB!AF124))=5)*(CHOOSE({1,2,3,4},KMB!W124,KMB!AA124,KMB!AE124,KMB!AI124)))</f>
        <v>0</v>
      </c>
      <c r="F124">
        <f>SUMPRODUCT((MONTH(CHOOSE({1,2,3,4},KMB!T124,KMB!X124,KMB!AB124,KMB!AF124))=6)*(CHOOSE({1,2,3,4},KMB!W124,KMB!AA124,KMB!AE124,KMB!AI124)))</f>
        <v>0</v>
      </c>
      <c r="G124">
        <f>SUMPRODUCT((MONTH(CHOOSE({1,2,3,4},KMB!T124,KMB!X124,KMB!AB124,KMB!AF124))=7)*(CHOOSE({1,2,3,4},KMB!W124,KMB!AA124,KMB!AE124,KMB!AI124)))</f>
        <v>0</v>
      </c>
      <c r="H124">
        <f>SUMPRODUCT((MONTH(CHOOSE({1,2,3,4},KMB!T124,KMB!X124,KMB!AB124,KMB!AF124))=8)*(CHOOSE({1,2,3,4},KMB!W124,KMB!AA124,KMB!AE124,KMB!AI124)))</f>
        <v>0</v>
      </c>
      <c r="I124">
        <f>SUMPRODUCT((MONTH(CHOOSE({1,2,3,4},KMB!T124,KMB!X124,KMB!AB124,KMB!AF124))=9)*(CHOOSE({1,2,3,4},KMB!W124,KMB!AA124,KMB!AE124,KMB!AI124)))</f>
        <v>0</v>
      </c>
      <c r="J124">
        <f>SUMPRODUCT((MONTH(CHOOSE({1,2,3,4},KMB!T124,KMB!X124,KMB!AB124,KMB!AF124))=10)*(CHOOSE({1,2,3,4},KMB!W124,KMB!AA124,KMB!AE124,KMB!AI124)))</f>
        <v>0</v>
      </c>
      <c r="K124">
        <f>SUMPRODUCT((MONTH(CHOOSE({1,2,3,4},KMB!T124,KMB!X124,KMB!AB124,KMB!AF124))=11)*(CHOOSE({1,2,3,4},KMB!W124,KMB!AA124,KMB!AE124,KMB!AI124)))</f>
        <v>0</v>
      </c>
      <c r="L124">
        <f>SUMPRODUCT((MONTH(CHOOSE({1,2,3,4},KMB!T124,KMB!X124,KMB!AB124,KMB!AF124))=12)*(CHOOSE({1,2,3,4},KMB!W124,KMB!AA124,KMB!AE124,KMB!AI124)))</f>
        <v>0</v>
      </c>
    </row>
    <row r="125" spans="1:12">
      <c r="A125">
        <f>SUMPRODUCT((MONTH(CHOOSE({1,2,3,4},KMB!T125,KMB!X125,KMB!AB125,KMB!AF125))=1)*(CHOOSE({1,2,3,4},KMB!W125,KMB!AA125,KMB!AE125,KMB!AI125)))</f>
        <v>0</v>
      </c>
      <c r="B125">
        <f>SUMPRODUCT((MONTH(CHOOSE({1,2,3,4},KMB!T125,KMB!X125,KMB!AB125,KMB!AF125))=2)*(CHOOSE({1,2,3,4},KMB!W125,KMB!AA125,KMB!AE125,KMB!AI125)))</f>
        <v>0</v>
      </c>
      <c r="C125">
        <f>SUMPRODUCT((MONTH(CHOOSE({1,2,3,4},KMB!T125,KMB!X125,KMB!AB125,KMB!AF125))=3)*(CHOOSE({1,2,3,4},KMB!W125,KMB!AA125,KMB!AE125,KMB!AI125)))</f>
        <v>0</v>
      </c>
      <c r="D125">
        <f>SUMPRODUCT((MONTH(CHOOSE({1,2,3,4},KMB!T125,KMB!X125,KMB!AB125,KMB!AF125))=4)*(CHOOSE({1,2,3,4},KMB!W125,KMB!AA125,KMB!AE125,KMB!AI125)))</f>
        <v>0</v>
      </c>
      <c r="E125">
        <f>SUMPRODUCT((MONTH(CHOOSE({1,2,3,4},KMB!T125,KMB!X125,KMB!AB125,KMB!AF125))=5)*(CHOOSE({1,2,3,4},KMB!W125,KMB!AA125,KMB!AE125,KMB!AI125)))</f>
        <v>0</v>
      </c>
      <c r="F125">
        <f>SUMPRODUCT((MONTH(CHOOSE({1,2,3,4},KMB!T125,KMB!X125,KMB!AB125,KMB!AF125))=6)*(CHOOSE({1,2,3,4},KMB!W125,KMB!AA125,KMB!AE125,KMB!AI125)))</f>
        <v>0</v>
      </c>
      <c r="G125">
        <f>SUMPRODUCT((MONTH(CHOOSE({1,2,3,4},KMB!T125,KMB!X125,KMB!AB125,KMB!AF125))=7)*(CHOOSE({1,2,3,4},KMB!W125,KMB!AA125,KMB!AE125,KMB!AI125)))</f>
        <v>0</v>
      </c>
      <c r="H125">
        <f>SUMPRODUCT((MONTH(CHOOSE({1,2,3,4},KMB!T125,KMB!X125,KMB!AB125,KMB!AF125))=8)*(CHOOSE({1,2,3,4},KMB!W125,KMB!AA125,KMB!AE125,KMB!AI125)))</f>
        <v>0</v>
      </c>
      <c r="I125">
        <f>SUMPRODUCT((MONTH(CHOOSE({1,2,3,4},KMB!T125,KMB!X125,KMB!AB125,KMB!AF125))=9)*(CHOOSE({1,2,3,4},KMB!W125,KMB!AA125,KMB!AE125,KMB!AI125)))</f>
        <v>0</v>
      </c>
      <c r="J125">
        <f>SUMPRODUCT((MONTH(CHOOSE({1,2,3,4},KMB!T125,KMB!X125,KMB!AB125,KMB!AF125))=10)*(CHOOSE({1,2,3,4},KMB!W125,KMB!AA125,KMB!AE125,KMB!AI125)))</f>
        <v>0</v>
      </c>
      <c r="K125">
        <f>SUMPRODUCT((MONTH(CHOOSE({1,2,3,4},KMB!T125,KMB!X125,KMB!AB125,KMB!AF125))=11)*(CHOOSE({1,2,3,4},KMB!W125,KMB!AA125,KMB!AE125,KMB!AI125)))</f>
        <v>0</v>
      </c>
      <c r="L125">
        <f>SUMPRODUCT((MONTH(CHOOSE({1,2,3,4},KMB!T125,KMB!X125,KMB!AB125,KMB!AF125))=12)*(CHOOSE({1,2,3,4},KMB!W125,KMB!AA125,KMB!AE125,KMB!AI125)))</f>
        <v>0</v>
      </c>
    </row>
    <row r="126" spans="1:12">
      <c r="A126">
        <f>SUMPRODUCT((MONTH(CHOOSE({1,2,3,4},KMB!T126,KMB!X126,KMB!AB126,KMB!AF126))=1)*(CHOOSE({1,2,3,4},KMB!W126,KMB!AA126,KMB!AE126,KMB!AI126)))</f>
        <v>0</v>
      </c>
      <c r="B126">
        <f>SUMPRODUCT((MONTH(CHOOSE({1,2,3,4},KMB!T126,KMB!X126,KMB!AB126,KMB!AF126))=2)*(CHOOSE({1,2,3,4},KMB!W126,KMB!AA126,KMB!AE126,KMB!AI126)))</f>
        <v>0</v>
      </c>
      <c r="C126">
        <f>SUMPRODUCT((MONTH(CHOOSE({1,2,3,4},KMB!T126,KMB!X126,KMB!AB126,KMB!AF126))=3)*(CHOOSE({1,2,3,4},KMB!W126,KMB!AA126,KMB!AE126,KMB!AI126)))</f>
        <v>0</v>
      </c>
      <c r="D126">
        <f>SUMPRODUCT((MONTH(CHOOSE({1,2,3,4},KMB!T126,KMB!X126,KMB!AB126,KMB!AF126))=4)*(CHOOSE({1,2,3,4},KMB!W126,KMB!AA126,KMB!AE126,KMB!AI126)))</f>
        <v>0</v>
      </c>
      <c r="E126">
        <f>SUMPRODUCT((MONTH(CHOOSE({1,2,3,4},KMB!T126,KMB!X126,KMB!AB126,KMB!AF126))=5)*(CHOOSE({1,2,3,4},KMB!W126,KMB!AA126,KMB!AE126,KMB!AI126)))</f>
        <v>0</v>
      </c>
      <c r="F126">
        <f>SUMPRODUCT((MONTH(CHOOSE({1,2,3,4},KMB!T126,KMB!X126,KMB!AB126,KMB!AF126))=6)*(CHOOSE({1,2,3,4},KMB!W126,KMB!AA126,KMB!AE126,KMB!AI126)))</f>
        <v>0</v>
      </c>
      <c r="G126">
        <f>SUMPRODUCT((MONTH(CHOOSE({1,2,3,4},KMB!T126,KMB!X126,KMB!AB126,KMB!AF126))=7)*(CHOOSE({1,2,3,4},KMB!W126,KMB!AA126,KMB!AE126,KMB!AI126)))</f>
        <v>0</v>
      </c>
      <c r="H126">
        <f>SUMPRODUCT((MONTH(CHOOSE({1,2,3,4},KMB!T126,KMB!X126,KMB!AB126,KMB!AF126))=8)*(CHOOSE({1,2,3,4},KMB!W126,KMB!AA126,KMB!AE126,KMB!AI126)))</f>
        <v>0</v>
      </c>
      <c r="I126">
        <f>SUMPRODUCT((MONTH(CHOOSE({1,2,3,4},KMB!T126,KMB!X126,KMB!AB126,KMB!AF126))=9)*(CHOOSE({1,2,3,4},KMB!W126,KMB!AA126,KMB!AE126,KMB!AI126)))</f>
        <v>0</v>
      </c>
      <c r="J126">
        <f>SUMPRODUCT((MONTH(CHOOSE({1,2,3,4},KMB!T126,KMB!X126,KMB!AB126,KMB!AF126))=10)*(CHOOSE({1,2,3,4},KMB!W126,KMB!AA126,KMB!AE126,KMB!AI126)))</f>
        <v>0</v>
      </c>
      <c r="K126">
        <f>SUMPRODUCT((MONTH(CHOOSE({1,2,3,4},KMB!T126,KMB!X126,KMB!AB126,KMB!AF126))=11)*(CHOOSE({1,2,3,4},KMB!W126,KMB!AA126,KMB!AE126,KMB!AI126)))</f>
        <v>0</v>
      </c>
      <c r="L126">
        <f>SUMPRODUCT((MONTH(CHOOSE({1,2,3,4},KMB!T126,KMB!X126,KMB!AB126,KMB!AF126))=12)*(CHOOSE({1,2,3,4},KMB!W126,KMB!AA126,KMB!AE126,KMB!AI126)))</f>
        <v>0</v>
      </c>
    </row>
    <row r="127" spans="1:12">
      <c r="A127">
        <f>SUMPRODUCT((MONTH(CHOOSE({1,2,3,4},KMB!T127,KMB!X127,KMB!AB127,KMB!AF127))=1)*(CHOOSE({1,2,3,4},KMB!W127,KMB!AA127,KMB!AE127,KMB!AI127)))</f>
        <v>0</v>
      </c>
      <c r="B127">
        <f>SUMPRODUCT((MONTH(CHOOSE({1,2,3,4},KMB!T127,KMB!X127,KMB!AB127,KMB!AF127))=2)*(CHOOSE({1,2,3,4},KMB!W127,KMB!AA127,KMB!AE127,KMB!AI127)))</f>
        <v>0</v>
      </c>
      <c r="C127">
        <f>SUMPRODUCT((MONTH(CHOOSE({1,2,3,4},KMB!T127,KMB!X127,KMB!AB127,KMB!AF127))=3)*(CHOOSE({1,2,3,4},KMB!W127,KMB!AA127,KMB!AE127,KMB!AI127)))</f>
        <v>0</v>
      </c>
      <c r="D127">
        <f>SUMPRODUCT((MONTH(CHOOSE({1,2,3,4},KMB!T127,KMB!X127,KMB!AB127,KMB!AF127))=4)*(CHOOSE({1,2,3,4},KMB!W127,KMB!AA127,KMB!AE127,KMB!AI127)))</f>
        <v>0</v>
      </c>
      <c r="E127">
        <f>SUMPRODUCT((MONTH(CHOOSE({1,2,3,4},KMB!T127,KMB!X127,KMB!AB127,KMB!AF127))=5)*(CHOOSE({1,2,3,4},KMB!W127,KMB!AA127,KMB!AE127,KMB!AI127)))</f>
        <v>0</v>
      </c>
      <c r="F127">
        <f>SUMPRODUCT((MONTH(CHOOSE({1,2,3,4},KMB!T127,KMB!X127,KMB!AB127,KMB!AF127))=6)*(CHOOSE({1,2,3,4},KMB!W127,KMB!AA127,KMB!AE127,KMB!AI127)))</f>
        <v>0</v>
      </c>
      <c r="G127">
        <f>SUMPRODUCT((MONTH(CHOOSE({1,2,3,4},KMB!T127,KMB!X127,KMB!AB127,KMB!AF127))=7)*(CHOOSE({1,2,3,4},KMB!W127,KMB!AA127,KMB!AE127,KMB!AI127)))</f>
        <v>0</v>
      </c>
      <c r="H127">
        <f>SUMPRODUCT((MONTH(CHOOSE({1,2,3,4},KMB!T127,KMB!X127,KMB!AB127,KMB!AF127))=8)*(CHOOSE({1,2,3,4},KMB!W127,KMB!AA127,KMB!AE127,KMB!AI127)))</f>
        <v>0</v>
      </c>
      <c r="I127">
        <f>SUMPRODUCT((MONTH(CHOOSE({1,2,3,4},KMB!T127,KMB!X127,KMB!AB127,KMB!AF127))=9)*(CHOOSE({1,2,3,4},KMB!W127,KMB!AA127,KMB!AE127,KMB!AI127)))</f>
        <v>0</v>
      </c>
      <c r="J127">
        <f>SUMPRODUCT((MONTH(CHOOSE({1,2,3,4},KMB!T127,KMB!X127,KMB!AB127,KMB!AF127))=10)*(CHOOSE({1,2,3,4},KMB!W127,KMB!AA127,KMB!AE127,KMB!AI127)))</f>
        <v>0</v>
      </c>
      <c r="K127">
        <f>SUMPRODUCT((MONTH(CHOOSE({1,2,3,4},KMB!T127,KMB!X127,KMB!AB127,KMB!AF127))=11)*(CHOOSE({1,2,3,4},KMB!W127,KMB!AA127,KMB!AE127,KMB!AI127)))</f>
        <v>0</v>
      </c>
      <c r="L127">
        <f>SUMPRODUCT((MONTH(CHOOSE({1,2,3,4},KMB!T127,KMB!X127,KMB!AB127,KMB!AF127))=12)*(CHOOSE({1,2,3,4},KMB!W127,KMB!AA127,KMB!AE127,KMB!AI127)))</f>
        <v>0</v>
      </c>
    </row>
    <row r="128" spans="1:12">
      <c r="A128">
        <f>SUMPRODUCT((MONTH(CHOOSE({1,2,3,4},KMB!T128,KMB!X128,KMB!AB128,KMB!AF128))=1)*(CHOOSE({1,2,3,4},KMB!W128,KMB!AA128,KMB!AE128,KMB!AI128)))</f>
        <v>0</v>
      </c>
      <c r="B128">
        <f>SUMPRODUCT((MONTH(CHOOSE({1,2,3,4},KMB!T128,KMB!X128,KMB!AB128,KMB!AF128))=2)*(CHOOSE({1,2,3,4},KMB!W128,KMB!AA128,KMB!AE128,KMB!AI128)))</f>
        <v>0</v>
      </c>
      <c r="C128">
        <f>SUMPRODUCT((MONTH(CHOOSE({1,2,3,4},KMB!T128,KMB!X128,KMB!AB128,KMB!AF128))=3)*(CHOOSE({1,2,3,4},KMB!W128,KMB!AA128,KMB!AE128,KMB!AI128)))</f>
        <v>0</v>
      </c>
      <c r="D128">
        <f>SUMPRODUCT((MONTH(CHOOSE({1,2,3,4},KMB!T128,KMB!X128,KMB!AB128,KMB!AF128))=4)*(CHOOSE({1,2,3,4},KMB!W128,KMB!AA128,KMB!AE128,KMB!AI128)))</f>
        <v>0</v>
      </c>
      <c r="E128">
        <f>SUMPRODUCT((MONTH(CHOOSE({1,2,3,4},KMB!T128,KMB!X128,KMB!AB128,KMB!AF128))=5)*(CHOOSE({1,2,3,4},KMB!W128,KMB!AA128,KMB!AE128,KMB!AI128)))</f>
        <v>0</v>
      </c>
      <c r="F128">
        <f>SUMPRODUCT((MONTH(CHOOSE({1,2,3,4},KMB!T128,KMB!X128,KMB!AB128,KMB!AF128))=6)*(CHOOSE({1,2,3,4},KMB!W128,KMB!AA128,KMB!AE128,KMB!AI128)))</f>
        <v>0</v>
      </c>
      <c r="G128">
        <f>SUMPRODUCT((MONTH(CHOOSE({1,2,3,4},KMB!T128,KMB!X128,KMB!AB128,KMB!AF128))=7)*(CHOOSE({1,2,3,4},KMB!W128,KMB!AA128,KMB!AE128,KMB!AI128)))</f>
        <v>0</v>
      </c>
      <c r="H128">
        <f>SUMPRODUCT((MONTH(CHOOSE({1,2,3,4},KMB!T128,KMB!X128,KMB!AB128,KMB!AF128))=8)*(CHOOSE({1,2,3,4},KMB!W128,KMB!AA128,KMB!AE128,KMB!AI128)))</f>
        <v>0</v>
      </c>
      <c r="I128">
        <f>SUMPRODUCT((MONTH(CHOOSE({1,2,3,4},KMB!T128,KMB!X128,KMB!AB128,KMB!AF128))=9)*(CHOOSE({1,2,3,4},KMB!W128,KMB!AA128,KMB!AE128,KMB!AI128)))</f>
        <v>0</v>
      </c>
      <c r="J128">
        <f>SUMPRODUCT((MONTH(CHOOSE({1,2,3,4},KMB!T128,KMB!X128,KMB!AB128,KMB!AF128))=10)*(CHOOSE({1,2,3,4},KMB!W128,KMB!AA128,KMB!AE128,KMB!AI128)))</f>
        <v>0</v>
      </c>
      <c r="K128">
        <f>SUMPRODUCT((MONTH(CHOOSE({1,2,3,4},KMB!T128,KMB!X128,KMB!AB128,KMB!AF128))=11)*(CHOOSE({1,2,3,4},KMB!W128,KMB!AA128,KMB!AE128,KMB!AI128)))</f>
        <v>0</v>
      </c>
      <c r="L128">
        <f>SUMPRODUCT((MONTH(CHOOSE({1,2,3,4},KMB!T128,KMB!X128,KMB!AB128,KMB!AF128))=12)*(CHOOSE({1,2,3,4},KMB!W128,KMB!AA128,KMB!AE128,KMB!AI128)))</f>
        <v>0</v>
      </c>
    </row>
    <row r="129" spans="1:12">
      <c r="A129">
        <f>SUMPRODUCT((MONTH(CHOOSE({1,2,3,4},KMB!T129,KMB!X129,KMB!AB129,KMB!AF129))=1)*(CHOOSE({1,2,3,4},KMB!W129,KMB!AA129,KMB!AE129,KMB!AI129)))</f>
        <v>0</v>
      </c>
      <c r="B129">
        <f>SUMPRODUCT((MONTH(CHOOSE({1,2,3,4},KMB!T129,KMB!X129,KMB!AB129,KMB!AF129))=2)*(CHOOSE({1,2,3,4},KMB!W129,KMB!AA129,KMB!AE129,KMB!AI129)))</f>
        <v>0</v>
      </c>
      <c r="C129">
        <f>SUMPRODUCT((MONTH(CHOOSE({1,2,3,4},KMB!T129,KMB!X129,KMB!AB129,KMB!AF129))=3)*(CHOOSE({1,2,3,4},KMB!W129,KMB!AA129,KMB!AE129,KMB!AI129)))</f>
        <v>0</v>
      </c>
      <c r="D129">
        <f>SUMPRODUCT((MONTH(CHOOSE({1,2,3,4},KMB!T129,KMB!X129,KMB!AB129,KMB!AF129))=4)*(CHOOSE({1,2,3,4},KMB!W129,KMB!AA129,KMB!AE129,KMB!AI129)))</f>
        <v>0</v>
      </c>
      <c r="E129">
        <f>SUMPRODUCT((MONTH(CHOOSE({1,2,3,4},KMB!T129,KMB!X129,KMB!AB129,KMB!AF129))=5)*(CHOOSE({1,2,3,4},KMB!W129,KMB!AA129,KMB!AE129,KMB!AI129)))</f>
        <v>0</v>
      </c>
      <c r="F129">
        <f>SUMPRODUCT((MONTH(CHOOSE({1,2,3,4},KMB!T129,KMB!X129,KMB!AB129,KMB!AF129))=6)*(CHOOSE({1,2,3,4},KMB!W129,KMB!AA129,KMB!AE129,KMB!AI129)))</f>
        <v>0</v>
      </c>
      <c r="G129">
        <f>SUMPRODUCT((MONTH(CHOOSE({1,2,3,4},KMB!T129,KMB!X129,KMB!AB129,KMB!AF129))=7)*(CHOOSE({1,2,3,4},KMB!W129,KMB!AA129,KMB!AE129,KMB!AI129)))</f>
        <v>0</v>
      </c>
      <c r="H129">
        <f>SUMPRODUCT((MONTH(CHOOSE({1,2,3,4},KMB!T129,KMB!X129,KMB!AB129,KMB!AF129))=8)*(CHOOSE({1,2,3,4},KMB!W129,KMB!AA129,KMB!AE129,KMB!AI129)))</f>
        <v>0</v>
      </c>
      <c r="I129">
        <f>SUMPRODUCT((MONTH(CHOOSE({1,2,3,4},KMB!T129,KMB!X129,KMB!AB129,KMB!AF129))=9)*(CHOOSE({1,2,3,4},KMB!W129,KMB!AA129,KMB!AE129,KMB!AI129)))</f>
        <v>0</v>
      </c>
      <c r="J129">
        <f>SUMPRODUCT((MONTH(CHOOSE({1,2,3,4},KMB!T129,KMB!X129,KMB!AB129,KMB!AF129))=10)*(CHOOSE({1,2,3,4},KMB!W129,KMB!AA129,KMB!AE129,KMB!AI129)))</f>
        <v>0</v>
      </c>
      <c r="K129">
        <f>SUMPRODUCT((MONTH(CHOOSE({1,2,3,4},KMB!T129,KMB!X129,KMB!AB129,KMB!AF129))=11)*(CHOOSE({1,2,3,4},KMB!W129,KMB!AA129,KMB!AE129,KMB!AI129)))</f>
        <v>0</v>
      </c>
      <c r="L129">
        <f>SUMPRODUCT((MONTH(CHOOSE({1,2,3,4},KMB!T129,KMB!X129,KMB!AB129,KMB!AF129))=12)*(CHOOSE({1,2,3,4},KMB!W129,KMB!AA129,KMB!AE129,KMB!AI129)))</f>
        <v>0</v>
      </c>
    </row>
    <row r="130" spans="1:12">
      <c r="A130">
        <f>SUMPRODUCT((MONTH(CHOOSE({1,2,3,4},KMB!T130,KMB!X130,KMB!AB130,KMB!AF130))=1)*(CHOOSE({1,2,3,4},KMB!W130,KMB!AA130,KMB!AE130,KMB!AI130)))</f>
        <v>0</v>
      </c>
      <c r="B130">
        <f>SUMPRODUCT((MONTH(CHOOSE({1,2,3,4},KMB!T130,KMB!X130,KMB!AB130,KMB!AF130))=2)*(CHOOSE({1,2,3,4},KMB!W130,KMB!AA130,KMB!AE130,KMB!AI130)))</f>
        <v>0</v>
      </c>
      <c r="C130">
        <f>SUMPRODUCT((MONTH(CHOOSE({1,2,3,4},KMB!T130,KMB!X130,KMB!AB130,KMB!AF130))=3)*(CHOOSE({1,2,3,4},KMB!W130,KMB!AA130,KMB!AE130,KMB!AI130)))</f>
        <v>0</v>
      </c>
      <c r="D130">
        <f>SUMPRODUCT((MONTH(CHOOSE({1,2,3,4},KMB!T130,KMB!X130,KMB!AB130,KMB!AF130))=4)*(CHOOSE({1,2,3,4},KMB!W130,KMB!AA130,KMB!AE130,KMB!AI130)))</f>
        <v>0</v>
      </c>
      <c r="E130">
        <f>SUMPRODUCT((MONTH(CHOOSE({1,2,3,4},KMB!T130,KMB!X130,KMB!AB130,KMB!AF130))=5)*(CHOOSE({1,2,3,4},KMB!W130,KMB!AA130,KMB!AE130,KMB!AI130)))</f>
        <v>0</v>
      </c>
      <c r="F130">
        <f>SUMPRODUCT((MONTH(CHOOSE({1,2,3,4},KMB!T130,KMB!X130,KMB!AB130,KMB!AF130))=6)*(CHOOSE({1,2,3,4},KMB!W130,KMB!AA130,KMB!AE130,KMB!AI130)))</f>
        <v>0</v>
      </c>
      <c r="G130">
        <f>SUMPRODUCT((MONTH(CHOOSE({1,2,3,4},KMB!T130,KMB!X130,KMB!AB130,KMB!AF130))=7)*(CHOOSE({1,2,3,4},KMB!W130,KMB!AA130,KMB!AE130,KMB!AI130)))</f>
        <v>0</v>
      </c>
      <c r="H130">
        <f>SUMPRODUCT((MONTH(CHOOSE({1,2,3,4},KMB!T130,KMB!X130,KMB!AB130,KMB!AF130))=8)*(CHOOSE({1,2,3,4},KMB!W130,KMB!AA130,KMB!AE130,KMB!AI130)))</f>
        <v>0</v>
      </c>
      <c r="I130">
        <f>SUMPRODUCT((MONTH(CHOOSE({1,2,3,4},KMB!T130,KMB!X130,KMB!AB130,KMB!AF130))=9)*(CHOOSE({1,2,3,4},KMB!W130,KMB!AA130,KMB!AE130,KMB!AI130)))</f>
        <v>0</v>
      </c>
      <c r="J130">
        <f>SUMPRODUCT((MONTH(CHOOSE({1,2,3,4},KMB!T130,KMB!X130,KMB!AB130,KMB!AF130))=10)*(CHOOSE({1,2,3,4},KMB!W130,KMB!AA130,KMB!AE130,KMB!AI130)))</f>
        <v>0</v>
      </c>
      <c r="K130">
        <f>SUMPRODUCT((MONTH(CHOOSE({1,2,3,4},KMB!T130,KMB!X130,KMB!AB130,KMB!AF130))=11)*(CHOOSE({1,2,3,4},KMB!W130,KMB!AA130,KMB!AE130,KMB!AI130)))</f>
        <v>0</v>
      </c>
      <c r="L130">
        <f>SUMPRODUCT((MONTH(CHOOSE({1,2,3,4},KMB!T130,KMB!X130,KMB!AB130,KMB!AF130))=12)*(CHOOSE({1,2,3,4},KMB!W130,KMB!AA130,KMB!AE130,KMB!AI130)))</f>
        <v>0</v>
      </c>
    </row>
    <row r="131" spans="1:12">
      <c r="A131">
        <f>SUMPRODUCT((MONTH(CHOOSE({1,2,3,4},KMB!T131,KMB!X131,KMB!AB131,KMB!AF131))=1)*(CHOOSE({1,2,3,4},KMB!W131,KMB!AA131,KMB!AE131,KMB!AI131)))</f>
        <v>0</v>
      </c>
      <c r="B131">
        <f>SUMPRODUCT((MONTH(CHOOSE({1,2,3,4},KMB!T131,KMB!X131,KMB!AB131,KMB!AF131))=2)*(CHOOSE({1,2,3,4},KMB!W131,KMB!AA131,KMB!AE131,KMB!AI131)))</f>
        <v>0</v>
      </c>
      <c r="C131">
        <f>SUMPRODUCT((MONTH(CHOOSE({1,2,3,4},KMB!T131,KMB!X131,KMB!AB131,KMB!AF131))=3)*(CHOOSE({1,2,3,4},KMB!W131,KMB!AA131,KMB!AE131,KMB!AI131)))</f>
        <v>0</v>
      </c>
      <c r="D131">
        <f>SUMPRODUCT((MONTH(CHOOSE({1,2,3,4},KMB!T131,KMB!X131,KMB!AB131,KMB!AF131))=4)*(CHOOSE({1,2,3,4},KMB!W131,KMB!AA131,KMB!AE131,KMB!AI131)))</f>
        <v>0</v>
      </c>
      <c r="E131">
        <f>SUMPRODUCT((MONTH(CHOOSE({1,2,3,4},KMB!T131,KMB!X131,KMB!AB131,KMB!AF131))=5)*(CHOOSE({1,2,3,4},KMB!W131,KMB!AA131,KMB!AE131,KMB!AI131)))</f>
        <v>0</v>
      </c>
      <c r="F131">
        <f>SUMPRODUCT((MONTH(CHOOSE({1,2,3,4},KMB!T131,KMB!X131,KMB!AB131,KMB!AF131))=6)*(CHOOSE({1,2,3,4},KMB!W131,KMB!AA131,KMB!AE131,KMB!AI131)))</f>
        <v>0</v>
      </c>
      <c r="G131">
        <f>SUMPRODUCT((MONTH(CHOOSE({1,2,3,4},KMB!T131,KMB!X131,KMB!AB131,KMB!AF131))=7)*(CHOOSE({1,2,3,4},KMB!W131,KMB!AA131,KMB!AE131,KMB!AI131)))</f>
        <v>0</v>
      </c>
      <c r="H131">
        <f>SUMPRODUCT((MONTH(CHOOSE({1,2,3,4},KMB!T131,KMB!X131,KMB!AB131,KMB!AF131))=8)*(CHOOSE({1,2,3,4},KMB!W131,KMB!AA131,KMB!AE131,KMB!AI131)))</f>
        <v>0</v>
      </c>
      <c r="I131">
        <f>SUMPRODUCT((MONTH(CHOOSE({1,2,3,4},KMB!T131,KMB!X131,KMB!AB131,KMB!AF131))=9)*(CHOOSE({1,2,3,4},KMB!W131,KMB!AA131,KMB!AE131,KMB!AI131)))</f>
        <v>0</v>
      </c>
      <c r="J131">
        <f>SUMPRODUCT((MONTH(CHOOSE({1,2,3,4},KMB!T131,KMB!X131,KMB!AB131,KMB!AF131))=10)*(CHOOSE({1,2,3,4},KMB!W131,KMB!AA131,KMB!AE131,KMB!AI131)))</f>
        <v>0</v>
      </c>
      <c r="K131">
        <f>SUMPRODUCT((MONTH(CHOOSE({1,2,3,4},KMB!T131,KMB!X131,KMB!AB131,KMB!AF131))=11)*(CHOOSE({1,2,3,4},KMB!W131,KMB!AA131,KMB!AE131,KMB!AI131)))</f>
        <v>0</v>
      </c>
      <c r="L131">
        <f>SUMPRODUCT((MONTH(CHOOSE({1,2,3,4},KMB!T131,KMB!X131,KMB!AB131,KMB!AF131))=12)*(CHOOSE({1,2,3,4},KMB!W131,KMB!AA131,KMB!AE131,KMB!AI131)))</f>
        <v>0</v>
      </c>
    </row>
    <row r="132" spans="1:12">
      <c r="A132">
        <f>SUMPRODUCT((MONTH(CHOOSE({1,2,3,4},KMB!T132,KMB!X132,KMB!AB132,KMB!AF132))=1)*(CHOOSE({1,2,3,4},KMB!W132,KMB!AA132,KMB!AE132,KMB!AI132)))</f>
        <v>0</v>
      </c>
      <c r="B132">
        <f>SUMPRODUCT((MONTH(CHOOSE({1,2,3,4},KMB!T132,KMB!X132,KMB!AB132,KMB!AF132))=2)*(CHOOSE({1,2,3,4},KMB!W132,KMB!AA132,KMB!AE132,KMB!AI132)))</f>
        <v>0</v>
      </c>
      <c r="C132">
        <f>SUMPRODUCT((MONTH(CHOOSE({1,2,3,4},KMB!T132,KMB!X132,KMB!AB132,KMB!AF132))=3)*(CHOOSE({1,2,3,4},KMB!W132,KMB!AA132,KMB!AE132,KMB!AI132)))</f>
        <v>0</v>
      </c>
      <c r="D132">
        <f>SUMPRODUCT((MONTH(CHOOSE({1,2,3,4},KMB!T132,KMB!X132,KMB!AB132,KMB!AF132))=4)*(CHOOSE({1,2,3,4},KMB!W132,KMB!AA132,KMB!AE132,KMB!AI132)))</f>
        <v>0</v>
      </c>
      <c r="E132">
        <f>SUMPRODUCT((MONTH(CHOOSE({1,2,3,4},KMB!T132,KMB!X132,KMB!AB132,KMB!AF132))=5)*(CHOOSE({1,2,3,4},KMB!W132,KMB!AA132,KMB!AE132,KMB!AI132)))</f>
        <v>0</v>
      </c>
      <c r="F132">
        <f>SUMPRODUCT((MONTH(CHOOSE({1,2,3,4},KMB!T132,KMB!X132,KMB!AB132,KMB!AF132))=6)*(CHOOSE({1,2,3,4},KMB!W132,KMB!AA132,KMB!AE132,KMB!AI132)))</f>
        <v>0</v>
      </c>
      <c r="G132">
        <f>SUMPRODUCT((MONTH(CHOOSE({1,2,3,4},KMB!T132,KMB!X132,KMB!AB132,KMB!AF132))=7)*(CHOOSE({1,2,3,4},KMB!W132,KMB!AA132,KMB!AE132,KMB!AI132)))</f>
        <v>0</v>
      </c>
      <c r="H132">
        <f>SUMPRODUCT((MONTH(CHOOSE({1,2,3,4},KMB!T132,KMB!X132,KMB!AB132,KMB!AF132))=8)*(CHOOSE({1,2,3,4},KMB!W132,KMB!AA132,KMB!AE132,KMB!AI132)))</f>
        <v>0</v>
      </c>
      <c r="I132">
        <f>SUMPRODUCT((MONTH(CHOOSE({1,2,3,4},KMB!T132,KMB!X132,KMB!AB132,KMB!AF132))=9)*(CHOOSE({1,2,3,4},KMB!W132,KMB!AA132,KMB!AE132,KMB!AI132)))</f>
        <v>0</v>
      </c>
      <c r="J132">
        <f>SUMPRODUCT((MONTH(CHOOSE({1,2,3,4},KMB!T132,KMB!X132,KMB!AB132,KMB!AF132))=10)*(CHOOSE({1,2,3,4},KMB!W132,KMB!AA132,KMB!AE132,KMB!AI132)))</f>
        <v>0</v>
      </c>
      <c r="K132">
        <f>SUMPRODUCT((MONTH(CHOOSE({1,2,3,4},KMB!T132,KMB!X132,KMB!AB132,KMB!AF132))=11)*(CHOOSE({1,2,3,4},KMB!W132,KMB!AA132,KMB!AE132,KMB!AI132)))</f>
        <v>0</v>
      </c>
      <c r="L132">
        <f>SUMPRODUCT((MONTH(CHOOSE({1,2,3,4},KMB!T132,KMB!X132,KMB!AB132,KMB!AF132))=12)*(CHOOSE({1,2,3,4},KMB!W132,KMB!AA132,KMB!AE132,KMB!AI132)))</f>
        <v>0</v>
      </c>
    </row>
    <row r="133" spans="1:12">
      <c r="A133">
        <f>SUMPRODUCT((MONTH(CHOOSE({1,2,3,4},KMB!T133,KMB!X133,KMB!AB133,KMB!AF133))=1)*(CHOOSE({1,2,3,4},KMB!W133,KMB!AA133,KMB!AE133,KMB!AI133)))</f>
        <v>0</v>
      </c>
      <c r="B133">
        <f>SUMPRODUCT((MONTH(CHOOSE({1,2,3,4},KMB!T133,KMB!X133,KMB!AB133,KMB!AF133))=2)*(CHOOSE({1,2,3,4},KMB!W133,KMB!AA133,KMB!AE133,KMB!AI133)))</f>
        <v>0</v>
      </c>
      <c r="C133">
        <f>SUMPRODUCT((MONTH(CHOOSE({1,2,3,4},KMB!T133,KMB!X133,KMB!AB133,KMB!AF133))=3)*(CHOOSE({1,2,3,4},KMB!W133,KMB!AA133,KMB!AE133,KMB!AI133)))</f>
        <v>0</v>
      </c>
      <c r="D133">
        <f>SUMPRODUCT((MONTH(CHOOSE({1,2,3,4},KMB!T133,KMB!X133,KMB!AB133,KMB!AF133))=4)*(CHOOSE({1,2,3,4},KMB!W133,KMB!AA133,KMB!AE133,KMB!AI133)))</f>
        <v>0</v>
      </c>
      <c r="E133">
        <f>SUMPRODUCT((MONTH(CHOOSE({1,2,3,4},KMB!T133,KMB!X133,KMB!AB133,KMB!AF133))=5)*(CHOOSE({1,2,3,4},KMB!W133,KMB!AA133,KMB!AE133,KMB!AI133)))</f>
        <v>0</v>
      </c>
      <c r="F133">
        <f>SUMPRODUCT((MONTH(CHOOSE({1,2,3,4},KMB!T133,KMB!X133,KMB!AB133,KMB!AF133))=6)*(CHOOSE({1,2,3,4},KMB!W133,KMB!AA133,KMB!AE133,KMB!AI133)))</f>
        <v>0</v>
      </c>
      <c r="G133">
        <f>SUMPRODUCT((MONTH(CHOOSE({1,2,3,4},KMB!T133,KMB!X133,KMB!AB133,KMB!AF133))=7)*(CHOOSE({1,2,3,4},KMB!W133,KMB!AA133,KMB!AE133,KMB!AI133)))</f>
        <v>0</v>
      </c>
      <c r="H133">
        <f>SUMPRODUCT((MONTH(CHOOSE({1,2,3,4},KMB!T133,KMB!X133,KMB!AB133,KMB!AF133))=8)*(CHOOSE({1,2,3,4},KMB!W133,KMB!AA133,KMB!AE133,KMB!AI133)))</f>
        <v>0</v>
      </c>
      <c r="I133">
        <f>SUMPRODUCT((MONTH(CHOOSE({1,2,3,4},KMB!T133,KMB!X133,KMB!AB133,KMB!AF133))=9)*(CHOOSE({1,2,3,4},KMB!W133,KMB!AA133,KMB!AE133,KMB!AI133)))</f>
        <v>0</v>
      </c>
      <c r="J133">
        <f>SUMPRODUCT((MONTH(CHOOSE({1,2,3,4},KMB!T133,KMB!X133,KMB!AB133,KMB!AF133))=10)*(CHOOSE({1,2,3,4},KMB!W133,KMB!AA133,KMB!AE133,KMB!AI133)))</f>
        <v>0</v>
      </c>
      <c r="K133">
        <f>SUMPRODUCT((MONTH(CHOOSE({1,2,3,4},KMB!T133,KMB!X133,KMB!AB133,KMB!AF133))=11)*(CHOOSE({1,2,3,4},KMB!W133,KMB!AA133,KMB!AE133,KMB!AI133)))</f>
        <v>0</v>
      </c>
      <c r="L133">
        <f>SUMPRODUCT((MONTH(CHOOSE({1,2,3,4},KMB!T133,KMB!X133,KMB!AB133,KMB!AF133))=12)*(CHOOSE({1,2,3,4},KMB!W133,KMB!AA133,KMB!AE133,KMB!AI133)))</f>
        <v>0</v>
      </c>
    </row>
    <row r="134" spans="1:12">
      <c r="A134">
        <f>SUMPRODUCT((MONTH(CHOOSE({1,2,3,4},KMB!T134,KMB!X134,KMB!AB134,KMB!AF134))=1)*(CHOOSE({1,2,3,4},KMB!W134,KMB!AA134,KMB!AE134,KMB!AI134)))</f>
        <v>0</v>
      </c>
      <c r="B134">
        <f>SUMPRODUCT((MONTH(CHOOSE({1,2,3,4},KMB!T134,KMB!X134,KMB!AB134,KMB!AF134))=2)*(CHOOSE({1,2,3,4},KMB!W134,KMB!AA134,KMB!AE134,KMB!AI134)))</f>
        <v>0</v>
      </c>
      <c r="C134">
        <f>SUMPRODUCT((MONTH(CHOOSE({1,2,3,4},KMB!T134,KMB!X134,KMB!AB134,KMB!AF134))=3)*(CHOOSE({1,2,3,4},KMB!W134,KMB!AA134,KMB!AE134,KMB!AI134)))</f>
        <v>0</v>
      </c>
      <c r="D134">
        <f>SUMPRODUCT((MONTH(CHOOSE({1,2,3,4},KMB!T134,KMB!X134,KMB!AB134,KMB!AF134))=4)*(CHOOSE({1,2,3,4},KMB!W134,KMB!AA134,KMB!AE134,KMB!AI134)))</f>
        <v>0</v>
      </c>
      <c r="E134">
        <f>SUMPRODUCT((MONTH(CHOOSE({1,2,3,4},KMB!T134,KMB!X134,KMB!AB134,KMB!AF134))=5)*(CHOOSE({1,2,3,4},KMB!W134,KMB!AA134,KMB!AE134,KMB!AI134)))</f>
        <v>0</v>
      </c>
      <c r="F134">
        <f>SUMPRODUCT((MONTH(CHOOSE({1,2,3,4},KMB!T134,KMB!X134,KMB!AB134,KMB!AF134))=6)*(CHOOSE({1,2,3,4},KMB!W134,KMB!AA134,KMB!AE134,KMB!AI134)))</f>
        <v>0</v>
      </c>
      <c r="G134">
        <f>SUMPRODUCT((MONTH(CHOOSE({1,2,3,4},KMB!T134,KMB!X134,KMB!AB134,KMB!AF134))=7)*(CHOOSE({1,2,3,4},KMB!W134,KMB!AA134,KMB!AE134,KMB!AI134)))</f>
        <v>0</v>
      </c>
      <c r="H134">
        <f>SUMPRODUCT((MONTH(CHOOSE({1,2,3,4},KMB!T134,KMB!X134,KMB!AB134,KMB!AF134))=8)*(CHOOSE({1,2,3,4},KMB!W134,KMB!AA134,KMB!AE134,KMB!AI134)))</f>
        <v>0</v>
      </c>
      <c r="I134">
        <f>SUMPRODUCT((MONTH(CHOOSE({1,2,3,4},KMB!T134,KMB!X134,KMB!AB134,KMB!AF134))=9)*(CHOOSE({1,2,3,4},KMB!W134,KMB!AA134,KMB!AE134,KMB!AI134)))</f>
        <v>0</v>
      </c>
      <c r="J134">
        <f>SUMPRODUCT((MONTH(CHOOSE({1,2,3,4},KMB!T134,KMB!X134,KMB!AB134,KMB!AF134))=10)*(CHOOSE({1,2,3,4},KMB!W134,KMB!AA134,KMB!AE134,KMB!AI134)))</f>
        <v>0</v>
      </c>
      <c r="K134">
        <f>SUMPRODUCT((MONTH(CHOOSE({1,2,3,4},KMB!T134,KMB!X134,KMB!AB134,KMB!AF134))=11)*(CHOOSE({1,2,3,4},KMB!W134,KMB!AA134,KMB!AE134,KMB!AI134)))</f>
        <v>0</v>
      </c>
      <c r="L134">
        <f>SUMPRODUCT((MONTH(CHOOSE({1,2,3,4},KMB!T134,KMB!X134,KMB!AB134,KMB!AF134))=12)*(CHOOSE({1,2,3,4},KMB!W134,KMB!AA134,KMB!AE134,KMB!AI134)))</f>
        <v>0</v>
      </c>
    </row>
    <row r="135" spans="1:12">
      <c r="A135">
        <f>SUMPRODUCT((MONTH(CHOOSE({1,2,3,4},KMB!T135,KMB!X135,KMB!AB135,KMB!AF135))=1)*(CHOOSE({1,2,3,4},KMB!W135,KMB!AA135,KMB!AE135,KMB!AI135)))</f>
        <v>0</v>
      </c>
      <c r="B135">
        <f>SUMPRODUCT((MONTH(CHOOSE({1,2,3,4},KMB!T135,KMB!X135,KMB!AB135,KMB!AF135))=2)*(CHOOSE({1,2,3,4},KMB!W135,KMB!AA135,KMB!AE135,KMB!AI135)))</f>
        <v>0</v>
      </c>
      <c r="C135">
        <f>SUMPRODUCT((MONTH(CHOOSE({1,2,3,4},KMB!T135,KMB!X135,KMB!AB135,KMB!AF135))=3)*(CHOOSE({1,2,3,4},KMB!W135,KMB!AA135,KMB!AE135,KMB!AI135)))</f>
        <v>0</v>
      </c>
      <c r="D135">
        <f>SUMPRODUCT((MONTH(CHOOSE({1,2,3,4},KMB!T135,KMB!X135,KMB!AB135,KMB!AF135))=4)*(CHOOSE({1,2,3,4},KMB!W135,KMB!AA135,KMB!AE135,KMB!AI135)))</f>
        <v>0</v>
      </c>
      <c r="E135">
        <f>SUMPRODUCT((MONTH(CHOOSE({1,2,3,4},KMB!T135,KMB!X135,KMB!AB135,KMB!AF135))=5)*(CHOOSE({1,2,3,4},KMB!W135,KMB!AA135,KMB!AE135,KMB!AI135)))</f>
        <v>0</v>
      </c>
      <c r="F135">
        <f>SUMPRODUCT((MONTH(CHOOSE({1,2,3,4},KMB!T135,KMB!X135,KMB!AB135,KMB!AF135))=6)*(CHOOSE({1,2,3,4},KMB!W135,KMB!AA135,KMB!AE135,KMB!AI135)))</f>
        <v>0</v>
      </c>
      <c r="G135">
        <f>SUMPRODUCT((MONTH(CHOOSE({1,2,3,4},KMB!T135,KMB!X135,KMB!AB135,KMB!AF135))=7)*(CHOOSE({1,2,3,4},KMB!W135,KMB!AA135,KMB!AE135,KMB!AI135)))</f>
        <v>0</v>
      </c>
      <c r="H135">
        <f>SUMPRODUCT((MONTH(CHOOSE({1,2,3,4},KMB!T135,KMB!X135,KMB!AB135,KMB!AF135))=8)*(CHOOSE({1,2,3,4},KMB!W135,KMB!AA135,KMB!AE135,KMB!AI135)))</f>
        <v>0</v>
      </c>
      <c r="I135">
        <f>SUMPRODUCT((MONTH(CHOOSE({1,2,3,4},KMB!T135,KMB!X135,KMB!AB135,KMB!AF135))=9)*(CHOOSE({1,2,3,4},KMB!W135,KMB!AA135,KMB!AE135,KMB!AI135)))</f>
        <v>0</v>
      </c>
      <c r="J135">
        <f>SUMPRODUCT((MONTH(CHOOSE({1,2,3,4},KMB!T135,KMB!X135,KMB!AB135,KMB!AF135))=10)*(CHOOSE({1,2,3,4},KMB!W135,KMB!AA135,KMB!AE135,KMB!AI135)))</f>
        <v>0</v>
      </c>
      <c r="K135">
        <f>SUMPRODUCT((MONTH(CHOOSE({1,2,3,4},KMB!T135,KMB!X135,KMB!AB135,KMB!AF135))=11)*(CHOOSE({1,2,3,4},KMB!W135,KMB!AA135,KMB!AE135,KMB!AI135)))</f>
        <v>0</v>
      </c>
      <c r="L135">
        <f>SUMPRODUCT((MONTH(CHOOSE({1,2,3,4},KMB!T135,KMB!X135,KMB!AB135,KMB!AF135))=12)*(CHOOSE({1,2,3,4},KMB!W135,KMB!AA135,KMB!AE135,KMB!AI135)))</f>
        <v>0</v>
      </c>
    </row>
    <row r="136" spans="1:12">
      <c r="A136">
        <f>SUMPRODUCT((MONTH(CHOOSE({1,2,3,4},KMB!T136,KMB!X136,KMB!AB136,KMB!AF136))=1)*(CHOOSE({1,2,3,4},KMB!W136,KMB!AA136,KMB!AE136,KMB!AI136)))</f>
        <v>0</v>
      </c>
      <c r="B136">
        <f>SUMPRODUCT((MONTH(CHOOSE({1,2,3,4},KMB!T136,KMB!X136,KMB!AB136,KMB!AF136))=2)*(CHOOSE({1,2,3,4},KMB!W136,KMB!AA136,KMB!AE136,KMB!AI136)))</f>
        <v>0</v>
      </c>
      <c r="C136">
        <f>SUMPRODUCT((MONTH(CHOOSE({1,2,3,4},KMB!T136,KMB!X136,KMB!AB136,KMB!AF136))=3)*(CHOOSE({1,2,3,4},KMB!W136,KMB!AA136,KMB!AE136,KMB!AI136)))</f>
        <v>0</v>
      </c>
      <c r="D136">
        <f>SUMPRODUCT((MONTH(CHOOSE({1,2,3,4},KMB!T136,KMB!X136,KMB!AB136,KMB!AF136))=4)*(CHOOSE({1,2,3,4},KMB!W136,KMB!AA136,KMB!AE136,KMB!AI136)))</f>
        <v>0</v>
      </c>
      <c r="E136">
        <f>SUMPRODUCT((MONTH(CHOOSE({1,2,3,4},KMB!T136,KMB!X136,KMB!AB136,KMB!AF136))=5)*(CHOOSE({1,2,3,4},KMB!W136,KMB!AA136,KMB!AE136,KMB!AI136)))</f>
        <v>0</v>
      </c>
      <c r="F136">
        <f>SUMPRODUCT((MONTH(CHOOSE({1,2,3,4},KMB!T136,KMB!X136,KMB!AB136,KMB!AF136))=6)*(CHOOSE({1,2,3,4},KMB!W136,KMB!AA136,KMB!AE136,KMB!AI136)))</f>
        <v>0</v>
      </c>
      <c r="G136">
        <f>SUMPRODUCT((MONTH(CHOOSE({1,2,3,4},KMB!T136,KMB!X136,KMB!AB136,KMB!AF136))=7)*(CHOOSE({1,2,3,4},KMB!W136,KMB!AA136,KMB!AE136,KMB!AI136)))</f>
        <v>0</v>
      </c>
      <c r="H136">
        <f>SUMPRODUCT((MONTH(CHOOSE({1,2,3,4},KMB!T136,KMB!X136,KMB!AB136,KMB!AF136))=8)*(CHOOSE({1,2,3,4},KMB!W136,KMB!AA136,KMB!AE136,KMB!AI136)))</f>
        <v>0</v>
      </c>
      <c r="I136">
        <f>SUMPRODUCT((MONTH(CHOOSE({1,2,3,4},KMB!T136,KMB!X136,KMB!AB136,KMB!AF136))=9)*(CHOOSE({1,2,3,4},KMB!W136,KMB!AA136,KMB!AE136,KMB!AI136)))</f>
        <v>0</v>
      </c>
      <c r="J136">
        <f>SUMPRODUCT((MONTH(CHOOSE({1,2,3,4},KMB!T136,KMB!X136,KMB!AB136,KMB!AF136))=10)*(CHOOSE({1,2,3,4},KMB!W136,KMB!AA136,KMB!AE136,KMB!AI136)))</f>
        <v>0</v>
      </c>
      <c r="K136">
        <f>SUMPRODUCT((MONTH(CHOOSE({1,2,3,4},KMB!T136,KMB!X136,KMB!AB136,KMB!AF136))=11)*(CHOOSE({1,2,3,4},KMB!W136,KMB!AA136,KMB!AE136,KMB!AI136)))</f>
        <v>0</v>
      </c>
      <c r="L136">
        <f>SUMPRODUCT((MONTH(CHOOSE({1,2,3,4},KMB!T136,KMB!X136,KMB!AB136,KMB!AF136))=12)*(CHOOSE({1,2,3,4},KMB!W136,KMB!AA136,KMB!AE136,KMB!AI136)))</f>
        <v>0</v>
      </c>
    </row>
    <row r="137" spans="1:12">
      <c r="A137">
        <f>SUMPRODUCT((MONTH(CHOOSE({1,2,3,4},KMB!T137,KMB!X137,KMB!AB137,KMB!AF137))=1)*(CHOOSE({1,2,3,4},KMB!W137,KMB!AA137,KMB!AE137,KMB!AI137)))</f>
        <v>0</v>
      </c>
      <c r="B137">
        <f>SUMPRODUCT((MONTH(CHOOSE({1,2,3,4},KMB!T137,KMB!X137,KMB!AB137,KMB!AF137))=2)*(CHOOSE({1,2,3,4},KMB!W137,KMB!AA137,KMB!AE137,KMB!AI137)))</f>
        <v>0</v>
      </c>
      <c r="C137">
        <f>SUMPRODUCT((MONTH(CHOOSE({1,2,3,4},KMB!T137,KMB!X137,KMB!AB137,KMB!AF137))=3)*(CHOOSE({1,2,3,4},KMB!W137,KMB!AA137,KMB!AE137,KMB!AI137)))</f>
        <v>0</v>
      </c>
      <c r="D137">
        <f>SUMPRODUCT((MONTH(CHOOSE({1,2,3,4},KMB!T137,KMB!X137,KMB!AB137,KMB!AF137))=4)*(CHOOSE({1,2,3,4},KMB!W137,KMB!AA137,KMB!AE137,KMB!AI137)))</f>
        <v>0</v>
      </c>
      <c r="E137">
        <f>SUMPRODUCT((MONTH(CHOOSE({1,2,3,4},KMB!T137,KMB!X137,KMB!AB137,KMB!AF137))=5)*(CHOOSE({1,2,3,4},KMB!W137,KMB!AA137,KMB!AE137,KMB!AI137)))</f>
        <v>0</v>
      </c>
      <c r="F137">
        <f>SUMPRODUCT((MONTH(CHOOSE({1,2,3,4},KMB!T137,KMB!X137,KMB!AB137,KMB!AF137))=6)*(CHOOSE({1,2,3,4},KMB!W137,KMB!AA137,KMB!AE137,KMB!AI137)))</f>
        <v>0</v>
      </c>
      <c r="G137">
        <f>SUMPRODUCT((MONTH(CHOOSE({1,2,3,4},KMB!T137,KMB!X137,KMB!AB137,KMB!AF137))=7)*(CHOOSE({1,2,3,4},KMB!W137,KMB!AA137,KMB!AE137,KMB!AI137)))</f>
        <v>0</v>
      </c>
      <c r="H137">
        <f>SUMPRODUCT((MONTH(CHOOSE({1,2,3,4},KMB!T137,KMB!X137,KMB!AB137,KMB!AF137))=8)*(CHOOSE({1,2,3,4},KMB!W137,KMB!AA137,KMB!AE137,KMB!AI137)))</f>
        <v>0</v>
      </c>
      <c r="I137">
        <f>SUMPRODUCT((MONTH(CHOOSE({1,2,3,4},KMB!T137,KMB!X137,KMB!AB137,KMB!AF137))=9)*(CHOOSE({1,2,3,4},KMB!W137,KMB!AA137,KMB!AE137,KMB!AI137)))</f>
        <v>0</v>
      </c>
      <c r="J137">
        <f>SUMPRODUCT((MONTH(CHOOSE({1,2,3,4},KMB!T137,KMB!X137,KMB!AB137,KMB!AF137))=10)*(CHOOSE({1,2,3,4},KMB!W137,KMB!AA137,KMB!AE137,KMB!AI137)))</f>
        <v>0</v>
      </c>
      <c r="K137">
        <f>SUMPRODUCT((MONTH(CHOOSE({1,2,3,4},KMB!T137,KMB!X137,KMB!AB137,KMB!AF137))=11)*(CHOOSE({1,2,3,4},KMB!W137,KMB!AA137,KMB!AE137,KMB!AI137)))</f>
        <v>0</v>
      </c>
      <c r="L137">
        <f>SUMPRODUCT((MONTH(CHOOSE({1,2,3,4},KMB!T137,KMB!X137,KMB!AB137,KMB!AF137))=12)*(CHOOSE({1,2,3,4},KMB!W137,KMB!AA137,KMB!AE137,KMB!AI137)))</f>
        <v>0</v>
      </c>
    </row>
    <row r="138" spans="1:12">
      <c r="A138">
        <f>SUMPRODUCT((MONTH(CHOOSE({1,2,3,4},KMB!T138,KMB!X138,KMB!AB138,KMB!AF138))=1)*(CHOOSE({1,2,3,4},KMB!W138,KMB!AA138,KMB!AE138,KMB!AI138)))</f>
        <v>0</v>
      </c>
      <c r="B138">
        <f>SUMPRODUCT((MONTH(CHOOSE({1,2,3,4},KMB!T138,KMB!X138,KMB!AB138,KMB!AF138))=2)*(CHOOSE({1,2,3,4},KMB!W138,KMB!AA138,KMB!AE138,KMB!AI138)))</f>
        <v>0</v>
      </c>
      <c r="C138">
        <f>SUMPRODUCT((MONTH(CHOOSE({1,2,3,4},KMB!T138,KMB!X138,KMB!AB138,KMB!AF138))=3)*(CHOOSE({1,2,3,4},KMB!W138,KMB!AA138,KMB!AE138,KMB!AI138)))</f>
        <v>0</v>
      </c>
      <c r="D138">
        <f>SUMPRODUCT((MONTH(CHOOSE({1,2,3,4},KMB!T138,KMB!X138,KMB!AB138,KMB!AF138))=4)*(CHOOSE({1,2,3,4},KMB!W138,KMB!AA138,KMB!AE138,KMB!AI138)))</f>
        <v>0</v>
      </c>
      <c r="E138">
        <f>SUMPRODUCT((MONTH(CHOOSE({1,2,3,4},KMB!T138,KMB!X138,KMB!AB138,KMB!AF138))=5)*(CHOOSE({1,2,3,4},KMB!W138,KMB!AA138,KMB!AE138,KMB!AI138)))</f>
        <v>0</v>
      </c>
      <c r="F138">
        <f>SUMPRODUCT((MONTH(CHOOSE({1,2,3,4},KMB!T138,KMB!X138,KMB!AB138,KMB!AF138))=6)*(CHOOSE({1,2,3,4},KMB!W138,KMB!AA138,KMB!AE138,KMB!AI138)))</f>
        <v>0</v>
      </c>
      <c r="G138">
        <f>SUMPRODUCT((MONTH(CHOOSE({1,2,3,4},KMB!T138,KMB!X138,KMB!AB138,KMB!AF138))=7)*(CHOOSE({1,2,3,4},KMB!W138,KMB!AA138,KMB!AE138,KMB!AI138)))</f>
        <v>0</v>
      </c>
      <c r="H138">
        <f>SUMPRODUCT((MONTH(CHOOSE({1,2,3,4},KMB!T138,KMB!X138,KMB!AB138,KMB!AF138))=8)*(CHOOSE({1,2,3,4},KMB!W138,KMB!AA138,KMB!AE138,KMB!AI138)))</f>
        <v>0</v>
      </c>
      <c r="I138">
        <f>SUMPRODUCT((MONTH(CHOOSE({1,2,3,4},KMB!T138,KMB!X138,KMB!AB138,KMB!AF138))=9)*(CHOOSE({1,2,3,4},KMB!W138,KMB!AA138,KMB!AE138,KMB!AI138)))</f>
        <v>0</v>
      </c>
      <c r="J138">
        <f>SUMPRODUCT((MONTH(CHOOSE({1,2,3,4},KMB!T138,KMB!X138,KMB!AB138,KMB!AF138))=10)*(CHOOSE({1,2,3,4},KMB!W138,KMB!AA138,KMB!AE138,KMB!AI138)))</f>
        <v>0</v>
      </c>
      <c r="K138">
        <f>SUMPRODUCT((MONTH(CHOOSE({1,2,3,4},KMB!T138,KMB!X138,KMB!AB138,KMB!AF138))=11)*(CHOOSE({1,2,3,4},KMB!W138,KMB!AA138,KMB!AE138,KMB!AI138)))</f>
        <v>0</v>
      </c>
      <c r="L138">
        <f>SUMPRODUCT((MONTH(CHOOSE({1,2,3,4},KMB!T138,KMB!X138,KMB!AB138,KMB!AF138))=12)*(CHOOSE({1,2,3,4},KMB!W138,KMB!AA138,KMB!AE138,KMB!AI138)))</f>
        <v>0</v>
      </c>
    </row>
    <row r="139" spans="1:12">
      <c r="A139">
        <f>SUMPRODUCT((MONTH(CHOOSE({1,2,3,4},KMB!T139,KMB!X139,KMB!AB139,KMB!AF139))=1)*(CHOOSE({1,2,3,4},KMB!W139,KMB!AA139,KMB!AE139,KMB!AI139)))</f>
        <v>0</v>
      </c>
      <c r="B139">
        <f>SUMPRODUCT((MONTH(CHOOSE({1,2,3,4},KMB!T139,KMB!X139,KMB!AB139,KMB!AF139))=2)*(CHOOSE({1,2,3,4},KMB!W139,KMB!AA139,KMB!AE139,KMB!AI139)))</f>
        <v>0</v>
      </c>
      <c r="C139">
        <f>SUMPRODUCT((MONTH(CHOOSE({1,2,3,4},KMB!T139,KMB!X139,KMB!AB139,KMB!AF139))=3)*(CHOOSE({1,2,3,4},KMB!W139,KMB!AA139,KMB!AE139,KMB!AI139)))</f>
        <v>0</v>
      </c>
      <c r="D139">
        <f>SUMPRODUCT((MONTH(CHOOSE({1,2,3,4},KMB!T139,KMB!X139,KMB!AB139,KMB!AF139))=4)*(CHOOSE({1,2,3,4},KMB!W139,KMB!AA139,KMB!AE139,KMB!AI139)))</f>
        <v>0</v>
      </c>
      <c r="E139">
        <f>SUMPRODUCT((MONTH(CHOOSE({1,2,3,4},KMB!T139,KMB!X139,KMB!AB139,KMB!AF139))=5)*(CHOOSE({1,2,3,4},KMB!W139,KMB!AA139,KMB!AE139,KMB!AI139)))</f>
        <v>0</v>
      </c>
      <c r="F139">
        <f>SUMPRODUCT((MONTH(CHOOSE({1,2,3,4},KMB!T139,KMB!X139,KMB!AB139,KMB!AF139))=6)*(CHOOSE({1,2,3,4},KMB!W139,KMB!AA139,KMB!AE139,KMB!AI139)))</f>
        <v>0</v>
      </c>
      <c r="G139">
        <f>SUMPRODUCT((MONTH(CHOOSE({1,2,3,4},KMB!T139,KMB!X139,KMB!AB139,KMB!AF139))=7)*(CHOOSE({1,2,3,4},KMB!W139,KMB!AA139,KMB!AE139,KMB!AI139)))</f>
        <v>0</v>
      </c>
      <c r="H139">
        <f>SUMPRODUCT((MONTH(CHOOSE({1,2,3,4},KMB!T139,KMB!X139,KMB!AB139,KMB!AF139))=8)*(CHOOSE({1,2,3,4},KMB!W139,KMB!AA139,KMB!AE139,KMB!AI139)))</f>
        <v>0</v>
      </c>
      <c r="I139">
        <f>SUMPRODUCT((MONTH(CHOOSE({1,2,3,4},KMB!T139,KMB!X139,KMB!AB139,KMB!AF139))=9)*(CHOOSE({1,2,3,4},KMB!W139,KMB!AA139,KMB!AE139,KMB!AI139)))</f>
        <v>0</v>
      </c>
      <c r="J139">
        <f>SUMPRODUCT((MONTH(CHOOSE({1,2,3,4},KMB!T139,KMB!X139,KMB!AB139,KMB!AF139))=10)*(CHOOSE({1,2,3,4},KMB!W139,KMB!AA139,KMB!AE139,KMB!AI139)))</f>
        <v>0</v>
      </c>
      <c r="K139">
        <f>SUMPRODUCT((MONTH(CHOOSE({1,2,3,4},KMB!T139,KMB!X139,KMB!AB139,KMB!AF139))=11)*(CHOOSE({1,2,3,4},KMB!W139,KMB!AA139,KMB!AE139,KMB!AI139)))</f>
        <v>0</v>
      </c>
      <c r="L139">
        <f>SUMPRODUCT((MONTH(CHOOSE({1,2,3,4},KMB!T139,KMB!X139,KMB!AB139,KMB!AF139))=12)*(CHOOSE({1,2,3,4},KMB!W139,KMB!AA139,KMB!AE139,KMB!AI139)))</f>
        <v>0</v>
      </c>
    </row>
    <row r="140" spans="1:12">
      <c r="A140">
        <f>SUMPRODUCT((MONTH(CHOOSE({1,2,3,4},KMB!T140,KMB!X140,KMB!AB140,KMB!AF140))=1)*(CHOOSE({1,2,3,4},KMB!W140,KMB!AA140,KMB!AE140,KMB!AI140)))</f>
        <v>0</v>
      </c>
      <c r="B140">
        <f>SUMPRODUCT((MONTH(CHOOSE({1,2,3,4},KMB!T140,KMB!X140,KMB!AB140,KMB!AF140))=2)*(CHOOSE({1,2,3,4},KMB!W140,KMB!AA140,KMB!AE140,KMB!AI140)))</f>
        <v>0</v>
      </c>
      <c r="C140">
        <f>SUMPRODUCT((MONTH(CHOOSE({1,2,3,4},KMB!T140,KMB!X140,KMB!AB140,KMB!AF140))=3)*(CHOOSE({1,2,3,4},KMB!W140,KMB!AA140,KMB!AE140,KMB!AI140)))</f>
        <v>0</v>
      </c>
      <c r="D140">
        <f>SUMPRODUCT((MONTH(CHOOSE({1,2,3,4},KMB!T140,KMB!X140,KMB!AB140,KMB!AF140))=4)*(CHOOSE({1,2,3,4},KMB!W140,KMB!AA140,KMB!AE140,KMB!AI140)))</f>
        <v>0</v>
      </c>
      <c r="E140">
        <f>SUMPRODUCT((MONTH(CHOOSE({1,2,3,4},KMB!T140,KMB!X140,KMB!AB140,KMB!AF140))=5)*(CHOOSE({1,2,3,4},KMB!W140,KMB!AA140,KMB!AE140,KMB!AI140)))</f>
        <v>0</v>
      </c>
      <c r="F140">
        <f>SUMPRODUCT((MONTH(CHOOSE({1,2,3,4},KMB!T140,KMB!X140,KMB!AB140,KMB!AF140))=6)*(CHOOSE({1,2,3,4},KMB!W140,KMB!AA140,KMB!AE140,KMB!AI140)))</f>
        <v>0</v>
      </c>
      <c r="G140">
        <f>SUMPRODUCT((MONTH(CHOOSE({1,2,3,4},KMB!T140,KMB!X140,KMB!AB140,KMB!AF140))=7)*(CHOOSE({1,2,3,4},KMB!W140,KMB!AA140,KMB!AE140,KMB!AI140)))</f>
        <v>0</v>
      </c>
      <c r="H140">
        <f>SUMPRODUCT((MONTH(CHOOSE({1,2,3,4},KMB!T140,KMB!X140,KMB!AB140,KMB!AF140))=8)*(CHOOSE({1,2,3,4},KMB!W140,KMB!AA140,KMB!AE140,KMB!AI140)))</f>
        <v>0</v>
      </c>
      <c r="I140">
        <f>SUMPRODUCT((MONTH(CHOOSE({1,2,3,4},KMB!T140,KMB!X140,KMB!AB140,KMB!AF140))=9)*(CHOOSE({1,2,3,4},KMB!W140,KMB!AA140,KMB!AE140,KMB!AI140)))</f>
        <v>0</v>
      </c>
      <c r="J140">
        <f>SUMPRODUCT((MONTH(CHOOSE({1,2,3,4},KMB!T140,KMB!X140,KMB!AB140,KMB!AF140))=10)*(CHOOSE({1,2,3,4},KMB!W140,KMB!AA140,KMB!AE140,KMB!AI140)))</f>
        <v>0</v>
      </c>
      <c r="K140">
        <f>SUMPRODUCT((MONTH(CHOOSE({1,2,3,4},KMB!T140,KMB!X140,KMB!AB140,KMB!AF140))=11)*(CHOOSE({1,2,3,4},KMB!W140,KMB!AA140,KMB!AE140,KMB!AI140)))</f>
        <v>0</v>
      </c>
      <c r="L140">
        <f>SUMPRODUCT((MONTH(CHOOSE({1,2,3,4},KMB!T140,KMB!X140,KMB!AB140,KMB!AF140))=12)*(CHOOSE({1,2,3,4},KMB!W140,KMB!AA140,KMB!AE140,KMB!AI140)))</f>
        <v>0</v>
      </c>
    </row>
    <row r="141" spans="1:12">
      <c r="A141">
        <f>SUMPRODUCT((MONTH(CHOOSE({1,2,3,4},KMB!T141,KMB!X141,KMB!AB141,KMB!AF141))=1)*(CHOOSE({1,2,3,4},KMB!W141,KMB!AA141,KMB!AE141,KMB!AI141)))</f>
        <v>0</v>
      </c>
      <c r="B141">
        <f>SUMPRODUCT((MONTH(CHOOSE({1,2,3,4},KMB!T141,KMB!X141,KMB!AB141,KMB!AF141))=2)*(CHOOSE({1,2,3,4},KMB!W141,KMB!AA141,KMB!AE141,KMB!AI141)))</f>
        <v>0</v>
      </c>
      <c r="C141">
        <f>SUMPRODUCT((MONTH(CHOOSE({1,2,3,4},KMB!T141,KMB!X141,KMB!AB141,KMB!AF141))=3)*(CHOOSE({1,2,3,4},KMB!W141,KMB!AA141,KMB!AE141,KMB!AI141)))</f>
        <v>0</v>
      </c>
      <c r="D141">
        <f>SUMPRODUCT((MONTH(CHOOSE({1,2,3,4},KMB!T141,KMB!X141,KMB!AB141,KMB!AF141))=4)*(CHOOSE({1,2,3,4},KMB!W141,KMB!AA141,KMB!AE141,KMB!AI141)))</f>
        <v>0</v>
      </c>
      <c r="E141">
        <f>SUMPRODUCT((MONTH(CHOOSE({1,2,3,4},KMB!T141,KMB!X141,KMB!AB141,KMB!AF141))=5)*(CHOOSE({1,2,3,4},KMB!W141,KMB!AA141,KMB!AE141,KMB!AI141)))</f>
        <v>0</v>
      </c>
      <c r="F141">
        <f>SUMPRODUCT((MONTH(CHOOSE({1,2,3,4},KMB!T141,KMB!X141,KMB!AB141,KMB!AF141))=6)*(CHOOSE({1,2,3,4},KMB!W141,KMB!AA141,KMB!AE141,KMB!AI141)))</f>
        <v>0</v>
      </c>
      <c r="G141">
        <f>SUMPRODUCT((MONTH(CHOOSE({1,2,3,4},KMB!T141,KMB!X141,KMB!AB141,KMB!AF141))=7)*(CHOOSE({1,2,3,4},KMB!W141,KMB!AA141,KMB!AE141,KMB!AI141)))</f>
        <v>0</v>
      </c>
      <c r="H141">
        <f>SUMPRODUCT((MONTH(CHOOSE({1,2,3,4},KMB!T141,KMB!X141,KMB!AB141,KMB!AF141))=8)*(CHOOSE({1,2,3,4},KMB!W141,KMB!AA141,KMB!AE141,KMB!AI141)))</f>
        <v>0</v>
      </c>
      <c r="I141">
        <f>SUMPRODUCT((MONTH(CHOOSE({1,2,3,4},KMB!T141,KMB!X141,KMB!AB141,KMB!AF141))=9)*(CHOOSE({1,2,3,4},KMB!W141,KMB!AA141,KMB!AE141,KMB!AI141)))</f>
        <v>0</v>
      </c>
      <c r="J141">
        <f>SUMPRODUCT((MONTH(CHOOSE({1,2,3,4},KMB!T141,KMB!X141,KMB!AB141,KMB!AF141))=10)*(CHOOSE({1,2,3,4},KMB!W141,KMB!AA141,KMB!AE141,KMB!AI141)))</f>
        <v>0</v>
      </c>
      <c r="K141">
        <f>SUMPRODUCT((MONTH(CHOOSE({1,2,3,4},KMB!T141,KMB!X141,KMB!AB141,KMB!AF141))=11)*(CHOOSE({1,2,3,4},KMB!W141,KMB!AA141,KMB!AE141,KMB!AI141)))</f>
        <v>0</v>
      </c>
      <c r="L141">
        <f>SUMPRODUCT((MONTH(CHOOSE({1,2,3,4},KMB!T141,KMB!X141,KMB!AB141,KMB!AF141))=12)*(CHOOSE({1,2,3,4},KMB!W141,KMB!AA141,KMB!AE141,KMB!AI141)))</f>
        <v>0</v>
      </c>
    </row>
    <row r="142" spans="1:12">
      <c r="A142">
        <f>SUMPRODUCT((MONTH(CHOOSE({1,2,3,4},KMB!T142,KMB!X142,KMB!AB142,KMB!AF142))=1)*(CHOOSE({1,2,3,4},KMB!W142,KMB!AA142,KMB!AE142,KMB!AI142)))</f>
        <v>0</v>
      </c>
      <c r="B142">
        <f>SUMPRODUCT((MONTH(CHOOSE({1,2,3,4},KMB!T142,KMB!X142,KMB!AB142,KMB!AF142))=2)*(CHOOSE({1,2,3,4},KMB!W142,KMB!AA142,KMB!AE142,KMB!AI142)))</f>
        <v>0</v>
      </c>
      <c r="C142">
        <f>SUMPRODUCT((MONTH(CHOOSE({1,2,3,4},KMB!T142,KMB!X142,KMB!AB142,KMB!AF142))=3)*(CHOOSE({1,2,3,4},KMB!W142,KMB!AA142,KMB!AE142,KMB!AI142)))</f>
        <v>0</v>
      </c>
      <c r="D142">
        <f>SUMPRODUCT((MONTH(CHOOSE({1,2,3,4},KMB!T142,KMB!X142,KMB!AB142,KMB!AF142))=4)*(CHOOSE({1,2,3,4},KMB!W142,KMB!AA142,KMB!AE142,KMB!AI142)))</f>
        <v>0</v>
      </c>
      <c r="E142">
        <f>SUMPRODUCT((MONTH(CHOOSE({1,2,3,4},KMB!T142,KMB!X142,KMB!AB142,KMB!AF142))=5)*(CHOOSE({1,2,3,4},KMB!W142,KMB!AA142,KMB!AE142,KMB!AI142)))</f>
        <v>0</v>
      </c>
      <c r="F142">
        <f>SUMPRODUCT((MONTH(CHOOSE({1,2,3,4},KMB!T142,KMB!X142,KMB!AB142,KMB!AF142))=6)*(CHOOSE({1,2,3,4},KMB!W142,KMB!AA142,KMB!AE142,KMB!AI142)))</f>
        <v>0</v>
      </c>
      <c r="G142">
        <f>SUMPRODUCT((MONTH(CHOOSE({1,2,3,4},KMB!T142,KMB!X142,KMB!AB142,KMB!AF142))=7)*(CHOOSE({1,2,3,4},KMB!W142,KMB!AA142,KMB!AE142,KMB!AI142)))</f>
        <v>0</v>
      </c>
      <c r="H142">
        <f>SUMPRODUCT((MONTH(CHOOSE({1,2,3,4},KMB!T142,KMB!X142,KMB!AB142,KMB!AF142))=8)*(CHOOSE({1,2,3,4},KMB!W142,KMB!AA142,KMB!AE142,KMB!AI142)))</f>
        <v>0</v>
      </c>
      <c r="I142">
        <f>SUMPRODUCT((MONTH(CHOOSE({1,2,3,4},KMB!T142,KMB!X142,KMB!AB142,KMB!AF142))=9)*(CHOOSE({1,2,3,4},KMB!W142,KMB!AA142,KMB!AE142,KMB!AI142)))</f>
        <v>0</v>
      </c>
      <c r="J142">
        <f>SUMPRODUCT((MONTH(CHOOSE({1,2,3,4},KMB!T142,KMB!X142,KMB!AB142,KMB!AF142))=10)*(CHOOSE({1,2,3,4},KMB!W142,KMB!AA142,KMB!AE142,KMB!AI142)))</f>
        <v>0</v>
      </c>
      <c r="K142">
        <f>SUMPRODUCT((MONTH(CHOOSE({1,2,3,4},KMB!T142,KMB!X142,KMB!AB142,KMB!AF142))=11)*(CHOOSE({1,2,3,4},KMB!W142,KMB!AA142,KMB!AE142,KMB!AI142)))</f>
        <v>0</v>
      </c>
      <c r="L142">
        <f>SUMPRODUCT((MONTH(CHOOSE({1,2,3,4},KMB!T142,KMB!X142,KMB!AB142,KMB!AF142))=12)*(CHOOSE({1,2,3,4},KMB!W142,KMB!AA142,KMB!AE142,KMB!AI142)))</f>
        <v>0</v>
      </c>
    </row>
    <row r="143" spans="1:12">
      <c r="A143">
        <f>SUMPRODUCT((MONTH(CHOOSE({1,2,3,4},KMB!T143,KMB!X143,KMB!AB143,KMB!AF143))=1)*(CHOOSE({1,2,3,4},KMB!W143,KMB!AA143,KMB!AE143,KMB!AI143)))</f>
        <v>0</v>
      </c>
      <c r="B143">
        <f>SUMPRODUCT((MONTH(CHOOSE({1,2,3,4},KMB!T143,KMB!X143,KMB!AB143,KMB!AF143))=2)*(CHOOSE({1,2,3,4},KMB!W143,KMB!AA143,KMB!AE143,KMB!AI143)))</f>
        <v>0</v>
      </c>
      <c r="C143">
        <f>SUMPRODUCT((MONTH(CHOOSE({1,2,3,4},KMB!T143,KMB!X143,KMB!AB143,KMB!AF143))=3)*(CHOOSE({1,2,3,4},KMB!W143,KMB!AA143,KMB!AE143,KMB!AI143)))</f>
        <v>0</v>
      </c>
      <c r="D143">
        <f>SUMPRODUCT((MONTH(CHOOSE({1,2,3,4},KMB!T143,KMB!X143,KMB!AB143,KMB!AF143))=4)*(CHOOSE({1,2,3,4},KMB!W143,KMB!AA143,KMB!AE143,KMB!AI143)))</f>
        <v>0</v>
      </c>
      <c r="E143">
        <f>SUMPRODUCT((MONTH(CHOOSE({1,2,3,4},KMB!T143,KMB!X143,KMB!AB143,KMB!AF143))=5)*(CHOOSE({1,2,3,4},KMB!W143,KMB!AA143,KMB!AE143,KMB!AI143)))</f>
        <v>0</v>
      </c>
      <c r="F143">
        <f>SUMPRODUCT((MONTH(CHOOSE({1,2,3,4},KMB!T143,KMB!X143,KMB!AB143,KMB!AF143))=6)*(CHOOSE({1,2,3,4},KMB!W143,KMB!AA143,KMB!AE143,KMB!AI143)))</f>
        <v>0</v>
      </c>
      <c r="G143">
        <f>SUMPRODUCT((MONTH(CHOOSE({1,2,3,4},KMB!T143,KMB!X143,KMB!AB143,KMB!AF143))=7)*(CHOOSE({1,2,3,4},KMB!W143,KMB!AA143,KMB!AE143,KMB!AI143)))</f>
        <v>0</v>
      </c>
      <c r="H143">
        <f>SUMPRODUCT((MONTH(CHOOSE({1,2,3,4},KMB!T143,KMB!X143,KMB!AB143,KMB!AF143))=8)*(CHOOSE({1,2,3,4},KMB!W143,KMB!AA143,KMB!AE143,KMB!AI143)))</f>
        <v>0</v>
      </c>
      <c r="I143">
        <f>SUMPRODUCT((MONTH(CHOOSE({1,2,3,4},KMB!T143,KMB!X143,KMB!AB143,KMB!AF143))=9)*(CHOOSE({1,2,3,4},KMB!W143,KMB!AA143,KMB!AE143,KMB!AI143)))</f>
        <v>0</v>
      </c>
      <c r="J143">
        <f>SUMPRODUCT((MONTH(CHOOSE({1,2,3,4},KMB!T143,KMB!X143,KMB!AB143,KMB!AF143))=10)*(CHOOSE({1,2,3,4},KMB!W143,KMB!AA143,KMB!AE143,KMB!AI143)))</f>
        <v>0</v>
      </c>
      <c r="K143">
        <f>SUMPRODUCT((MONTH(CHOOSE({1,2,3,4},KMB!T143,KMB!X143,KMB!AB143,KMB!AF143))=11)*(CHOOSE({1,2,3,4},KMB!W143,KMB!AA143,KMB!AE143,KMB!AI143)))</f>
        <v>0</v>
      </c>
      <c r="L143">
        <f>SUMPRODUCT((MONTH(CHOOSE({1,2,3,4},KMB!T143,KMB!X143,KMB!AB143,KMB!AF143))=12)*(CHOOSE({1,2,3,4},KMB!W143,KMB!AA143,KMB!AE143,KMB!AI143)))</f>
        <v>0</v>
      </c>
    </row>
    <row r="144" spans="1:12">
      <c r="A144">
        <f>SUMPRODUCT((MONTH(CHOOSE({1,2,3,4},KMB!T144,KMB!X144,KMB!AB144,KMB!AF144))=1)*(CHOOSE({1,2,3,4},KMB!W144,KMB!AA144,KMB!AE144,KMB!AI144)))</f>
        <v>0</v>
      </c>
      <c r="B144">
        <f>SUMPRODUCT((MONTH(CHOOSE({1,2,3,4},KMB!T144,KMB!X144,KMB!AB144,KMB!AF144))=2)*(CHOOSE({1,2,3,4},KMB!W144,KMB!AA144,KMB!AE144,KMB!AI144)))</f>
        <v>0</v>
      </c>
      <c r="C144">
        <f>SUMPRODUCT((MONTH(CHOOSE({1,2,3,4},KMB!T144,KMB!X144,KMB!AB144,KMB!AF144))=3)*(CHOOSE({1,2,3,4},KMB!W144,KMB!AA144,KMB!AE144,KMB!AI144)))</f>
        <v>0</v>
      </c>
      <c r="D144">
        <f>SUMPRODUCT((MONTH(CHOOSE({1,2,3,4},KMB!T144,KMB!X144,KMB!AB144,KMB!AF144))=4)*(CHOOSE({1,2,3,4},KMB!W144,KMB!AA144,KMB!AE144,KMB!AI144)))</f>
        <v>0</v>
      </c>
      <c r="E144">
        <f>SUMPRODUCT((MONTH(CHOOSE({1,2,3,4},KMB!T144,KMB!X144,KMB!AB144,KMB!AF144))=5)*(CHOOSE({1,2,3,4},KMB!W144,KMB!AA144,KMB!AE144,KMB!AI144)))</f>
        <v>0</v>
      </c>
      <c r="F144">
        <f>SUMPRODUCT((MONTH(CHOOSE({1,2,3,4},KMB!T144,KMB!X144,KMB!AB144,KMB!AF144))=6)*(CHOOSE({1,2,3,4},KMB!W144,KMB!AA144,KMB!AE144,KMB!AI144)))</f>
        <v>0</v>
      </c>
      <c r="G144">
        <f>SUMPRODUCT((MONTH(CHOOSE({1,2,3,4},KMB!T144,KMB!X144,KMB!AB144,KMB!AF144))=7)*(CHOOSE({1,2,3,4},KMB!W144,KMB!AA144,KMB!AE144,KMB!AI144)))</f>
        <v>0</v>
      </c>
      <c r="H144">
        <f>SUMPRODUCT((MONTH(CHOOSE({1,2,3,4},KMB!T144,KMB!X144,KMB!AB144,KMB!AF144))=8)*(CHOOSE({1,2,3,4},KMB!W144,KMB!AA144,KMB!AE144,KMB!AI144)))</f>
        <v>0</v>
      </c>
      <c r="I144">
        <f>SUMPRODUCT((MONTH(CHOOSE({1,2,3,4},KMB!T144,KMB!X144,KMB!AB144,KMB!AF144))=9)*(CHOOSE({1,2,3,4},KMB!W144,KMB!AA144,KMB!AE144,KMB!AI144)))</f>
        <v>0</v>
      </c>
      <c r="J144">
        <f>SUMPRODUCT((MONTH(CHOOSE({1,2,3,4},KMB!T144,KMB!X144,KMB!AB144,KMB!AF144))=10)*(CHOOSE({1,2,3,4},KMB!W144,KMB!AA144,KMB!AE144,KMB!AI144)))</f>
        <v>0</v>
      </c>
      <c r="K144">
        <f>SUMPRODUCT((MONTH(CHOOSE({1,2,3,4},KMB!T144,KMB!X144,KMB!AB144,KMB!AF144))=11)*(CHOOSE({1,2,3,4},KMB!W144,KMB!AA144,KMB!AE144,KMB!AI144)))</f>
        <v>0</v>
      </c>
      <c r="L144">
        <f>SUMPRODUCT((MONTH(CHOOSE({1,2,3,4},KMB!T144,KMB!X144,KMB!AB144,KMB!AF144))=12)*(CHOOSE({1,2,3,4},KMB!W144,KMB!AA144,KMB!AE144,KMB!AI144)))</f>
        <v>0</v>
      </c>
    </row>
    <row r="145" spans="1:12">
      <c r="A145">
        <f>SUMPRODUCT((MONTH(CHOOSE({1,2,3,4},KMB!T145,KMB!X145,KMB!AB145,KMB!AF145))=1)*(CHOOSE({1,2,3,4},KMB!W145,KMB!AA145,KMB!AE145,KMB!AI145)))</f>
        <v>0</v>
      </c>
      <c r="B145">
        <f>SUMPRODUCT((MONTH(CHOOSE({1,2,3,4},KMB!T145,KMB!X145,KMB!AB145,KMB!AF145))=2)*(CHOOSE({1,2,3,4},KMB!W145,KMB!AA145,KMB!AE145,KMB!AI145)))</f>
        <v>0</v>
      </c>
      <c r="C145">
        <f>SUMPRODUCT((MONTH(CHOOSE({1,2,3,4},KMB!T145,KMB!X145,KMB!AB145,KMB!AF145))=3)*(CHOOSE({1,2,3,4},KMB!W145,KMB!AA145,KMB!AE145,KMB!AI145)))</f>
        <v>0</v>
      </c>
      <c r="D145">
        <f>SUMPRODUCT((MONTH(CHOOSE({1,2,3,4},KMB!T145,KMB!X145,KMB!AB145,KMB!AF145))=4)*(CHOOSE({1,2,3,4},KMB!W145,KMB!AA145,KMB!AE145,KMB!AI145)))</f>
        <v>0</v>
      </c>
      <c r="E145">
        <f>SUMPRODUCT((MONTH(CHOOSE({1,2,3,4},KMB!T145,KMB!X145,KMB!AB145,KMB!AF145))=5)*(CHOOSE({1,2,3,4},KMB!W145,KMB!AA145,KMB!AE145,KMB!AI145)))</f>
        <v>0</v>
      </c>
      <c r="F145">
        <f>SUMPRODUCT((MONTH(CHOOSE({1,2,3,4},KMB!T145,KMB!X145,KMB!AB145,KMB!AF145))=6)*(CHOOSE({1,2,3,4},KMB!W145,KMB!AA145,KMB!AE145,KMB!AI145)))</f>
        <v>0</v>
      </c>
      <c r="G145">
        <f>SUMPRODUCT((MONTH(CHOOSE({1,2,3,4},KMB!T145,KMB!X145,KMB!AB145,KMB!AF145))=7)*(CHOOSE({1,2,3,4},KMB!W145,KMB!AA145,KMB!AE145,KMB!AI145)))</f>
        <v>0</v>
      </c>
      <c r="H145">
        <f>SUMPRODUCT((MONTH(CHOOSE({1,2,3,4},KMB!T145,KMB!X145,KMB!AB145,KMB!AF145))=8)*(CHOOSE({1,2,3,4},KMB!W145,KMB!AA145,KMB!AE145,KMB!AI145)))</f>
        <v>0</v>
      </c>
      <c r="I145">
        <f>SUMPRODUCT((MONTH(CHOOSE({1,2,3,4},KMB!T145,KMB!X145,KMB!AB145,KMB!AF145))=9)*(CHOOSE({1,2,3,4},KMB!W145,KMB!AA145,KMB!AE145,KMB!AI145)))</f>
        <v>0</v>
      </c>
      <c r="J145">
        <f>SUMPRODUCT((MONTH(CHOOSE({1,2,3,4},KMB!T145,KMB!X145,KMB!AB145,KMB!AF145))=10)*(CHOOSE({1,2,3,4},KMB!W145,KMB!AA145,KMB!AE145,KMB!AI145)))</f>
        <v>0</v>
      </c>
      <c r="K145">
        <f>SUMPRODUCT((MONTH(CHOOSE({1,2,3,4},KMB!T145,KMB!X145,KMB!AB145,KMB!AF145))=11)*(CHOOSE({1,2,3,4},KMB!W145,KMB!AA145,KMB!AE145,KMB!AI145)))</f>
        <v>0</v>
      </c>
      <c r="L145">
        <f>SUMPRODUCT((MONTH(CHOOSE({1,2,3,4},KMB!T145,KMB!X145,KMB!AB145,KMB!AF145))=12)*(CHOOSE({1,2,3,4},KMB!W145,KMB!AA145,KMB!AE145,KMB!AI145)))</f>
        <v>0</v>
      </c>
    </row>
    <row r="146" spans="1:12">
      <c r="A146">
        <f>SUMPRODUCT((MONTH(CHOOSE({1,2,3,4},KMB!T146,KMB!X146,KMB!AB146,KMB!AF146))=1)*(CHOOSE({1,2,3,4},KMB!W146,KMB!AA146,KMB!AE146,KMB!AI146)))</f>
        <v>0</v>
      </c>
      <c r="B146">
        <f>SUMPRODUCT((MONTH(CHOOSE({1,2,3,4},KMB!T146,KMB!X146,KMB!AB146,KMB!AF146))=2)*(CHOOSE({1,2,3,4},KMB!W146,KMB!AA146,KMB!AE146,KMB!AI146)))</f>
        <v>0</v>
      </c>
      <c r="C146">
        <f>SUMPRODUCT((MONTH(CHOOSE({1,2,3,4},KMB!T146,KMB!X146,KMB!AB146,KMB!AF146))=3)*(CHOOSE({1,2,3,4},KMB!W146,KMB!AA146,KMB!AE146,KMB!AI146)))</f>
        <v>0</v>
      </c>
      <c r="D146">
        <f>SUMPRODUCT((MONTH(CHOOSE({1,2,3,4},KMB!T146,KMB!X146,KMB!AB146,KMB!AF146))=4)*(CHOOSE({1,2,3,4},KMB!W146,KMB!AA146,KMB!AE146,KMB!AI146)))</f>
        <v>0</v>
      </c>
      <c r="E146">
        <f>SUMPRODUCT((MONTH(CHOOSE({1,2,3,4},KMB!T146,KMB!X146,KMB!AB146,KMB!AF146))=5)*(CHOOSE({1,2,3,4},KMB!W146,KMB!AA146,KMB!AE146,KMB!AI146)))</f>
        <v>0</v>
      </c>
      <c r="F146">
        <f>SUMPRODUCT((MONTH(CHOOSE({1,2,3,4},KMB!T146,KMB!X146,KMB!AB146,KMB!AF146))=6)*(CHOOSE({1,2,3,4},KMB!W146,KMB!AA146,KMB!AE146,KMB!AI146)))</f>
        <v>0</v>
      </c>
      <c r="G146">
        <f>SUMPRODUCT((MONTH(CHOOSE({1,2,3,4},KMB!T146,KMB!X146,KMB!AB146,KMB!AF146))=7)*(CHOOSE({1,2,3,4},KMB!W146,KMB!AA146,KMB!AE146,KMB!AI146)))</f>
        <v>0</v>
      </c>
      <c r="H146">
        <f>SUMPRODUCT((MONTH(CHOOSE({1,2,3,4},KMB!T146,KMB!X146,KMB!AB146,KMB!AF146))=8)*(CHOOSE({1,2,3,4},KMB!W146,KMB!AA146,KMB!AE146,KMB!AI146)))</f>
        <v>0</v>
      </c>
      <c r="I146">
        <f>SUMPRODUCT((MONTH(CHOOSE({1,2,3,4},KMB!T146,KMB!X146,KMB!AB146,KMB!AF146))=9)*(CHOOSE({1,2,3,4},KMB!W146,KMB!AA146,KMB!AE146,KMB!AI146)))</f>
        <v>0</v>
      </c>
      <c r="J146">
        <f>SUMPRODUCT((MONTH(CHOOSE({1,2,3,4},KMB!T146,KMB!X146,KMB!AB146,KMB!AF146))=10)*(CHOOSE({1,2,3,4},KMB!W146,KMB!AA146,KMB!AE146,KMB!AI146)))</f>
        <v>0</v>
      </c>
      <c r="K146">
        <f>SUMPRODUCT((MONTH(CHOOSE({1,2,3,4},KMB!T146,KMB!X146,KMB!AB146,KMB!AF146))=11)*(CHOOSE({1,2,3,4},KMB!W146,KMB!AA146,KMB!AE146,KMB!AI146)))</f>
        <v>0</v>
      </c>
      <c r="L146">
        <f>SUMPRODUCT((MONTH(CHOOSE({1,2,3,4},KMB!T146,KMB!X146,KMB!AB146,KMB!AF146))=12)*(CHOOSE({1,2,3,4},KMB!W146,KMB!AA146,KMB!AE146,KMB!AI146)))</f>
        <v>0</v>
      </c>
    </row>
    <row r="147" spans="1:12">
      <c r="A147">
        <f>SUMPRODUCT((MONTH(CHOOSE({1,2,3,4},KMB!T147,KMB!X147,KMB!AB147,KMB!AF147))=1)*(CHOOSE({1,2,3,4},KMB!W147,KMB!AA147,KMB!AE147,KMB!AI147)))</f>
        <v>0</v>
      </c>
      <c r="B147">
        <f>SUMPRODUCT((MONTH(CHOOSE({1,2,3,4},KMB!T147,KMB!X147,KMB!AB147,KMB!AF147))=2)*(CHOOSE({1,2,3,4},KMB!W147,KMB!AA147,KMB!AE147,KMB!AI147)))</f>
        <v>0</v>
      </c>
      <c r="C147">
        <f>SUMPRODUCT((MONTH(CHOOSE({1,2,3,4},KMB!T147,KMB!X147,KMB!AB147,KMB!AF147))=3)*(CHOOSE({1,2,3,4},KMB!W147,KMB!AA147,KMB!AE147,KMB!AI147)))</f>
        <v>0</v>
      </c>
      <c r="D147">
        <f>SUMPRODUCT((MONTH(CHOOSE({1,2,3,4},KMB!T147,KMB!X147,KMB!AB147,KMB!AF147))=4)*(CHOOSE({1,2,3,4},KMB!W147,KMB!AA147,KMB!AE147,KMB!AI147)))</f>
        <v>0</v>
      </c>
      <c r="E147">
        <f>SUMPRODUCT((MONTH(CHOOSE({1,2,3,4},KMB!T147,KMB!X147,KMB!AB147,KMB!AF147))=5)*(CHOOSE({1,2,3,4},KMB!W147,KMB!AA147,KMB!AE147,KMB!AI147)))</f>
        <v>0</v>
      </c>
      <c r="F147">
        <f>SUMPRODUCT((MONTH(CHOOSE({1,2,3,4},KMB!T147,KMB!X147,KMB!AB147,KMB!AF147))=6)*(CHOOSE({1,2,3,4},KMB!W147,KMB!AA147,KMB!AE147,KMB!AI147)))</f>
        <v>0</v>
      </c>
      <c r="G147">
        <f>SUMPRODUCT((MONTH(CHOOSE({1,2,3,4},KMB!T147,KMB!X147,KMB!AB147,KMB!AF147))=7)*(CHOOSE({1,2,3,4},KMB!W147,KMB!AA147,KMB!AE147,KMB!AI147)))</f>
        <v>0</v>
      </c>
      <c r="H147">
        <f>SUMPRODUCT((MONTH(CHOOSE({1,2,3,4},KMB!T147,KMB!X147,KMB!AB147,KMB!AF147))=8)*(CHOOSE({1,2,3,4},KMB!W147,KMB!AA147,KMB!AE147,KMB!AI147)))</f>
        <v>0</v>
      </c>
      <c r="I147">
        <f>SUMPRODUCT((MONTH(CHOOSE({1,2,3,4},KMB!T147,KMB!X147,KMB!AB147,KMB!AF147))=9)*(CHOOSE({1,2,3,4},KMB!W147,KMB!AA147,KMB!AE147,KMB!AI147)))</f>
        <v>0</v>
      </c>
      <c r="J147">
        <f>SUMPRODUCT((MONTH(CHOOSE({1,2,3,4},KMB!T147,KMB!X147,KMB!AB147,KMB!AF147))=10)*(CHOOSE({1,2,3,4},KMB!W147,KMB!AA147,KMB!AE147,KMB!AI147)))</f>
        <v>0</v>
      </c>
      <c r="K147">
        <f>SUMPRODUCT((MONTH(CHOOSE({1,2,3,4},KMB!T147,KMB!X147,KMB!AB147,KMB!AF147))=11)*(CHOOSE({1,2,3,4},KMB!W147,KMB!AA147,KMB!AE147,KMB!AI147)))</f>
        <v>0</v>
      </c>
      <c r="L147">
        <f>SUMPRODUCT((MONTH(CHOOSE({1,2,3,4},KMB!T147,KMB!X147,KMB!AB147,KMB!AF147))=12)*(CHOOSE({1,2,3,4},KMB!W147,KMB!AA147,KMB!AE147,KMB!AI147)))</f>
        <v>0</v>
      </c>
    </row>
    <row r="148" spans="1:12">
      <c r="A148">
        <f>SUMPRODUCT((MONTH(CHOOSE({1,2,3,4},KMB!T148,KMB!X148,KMB!AB148,KMB!AF148))=1)*(CHOOSE({1,2,3,4},KMB!W148,KMB!AA148,KMB!AE148,KMB!AI148)))</f>
        <v>0</v>
      </c>
      <c r="B148">
        <f>SUMPRODUCT((MONTH(CHOOSE({1,2,3,4},KMB!T148,KMB!X148,KMB!AB148,KMB!AF148))=2)*(CHOOSE({1,2,3,4},KMB!W148,KMB!AA148,KMB!AE148,KMB!AI148)))</f>
        <v>0</v>
      </c>
      <c r="C148">
        <f>SUMPRODUCT((MONTH(CHOOSE({1,2,3,4},KMB!T148,KMB!X148,KMB!AB148,KMB!AF148))=3)*(CHOOSE({1,2,3,4},KMB!W148,KMB!AA148,KMB!AE148,KMB!AI148)))</f>
        <v>0</v>
      </c>
      <c r="D148">
        <f>SUMPRODUCT((MONTH(CHOOSE({1,2,3,4},KMB!T148,KMB!X148,KMB!AB148,KMB!AF148))=4)*(CHOOSE({1,2,3,4},KMB!W148,KMB!AA148,KMB!AE148,KMB!AI148)))</f>
        <v>0</v>
      </c>
      <c r="E148">
        <f>SUMPRODUCT((MONTH(CHOOSE({1,2,3,4},KMB!T148,KMB!X148,KMB!AB148,KMB!AF148))=5)*(CHOOSE({1,2,3,4},KMB!W148,KMB!AA148,KMB!AE148,KMB!AI148)))</f>
        <v>0</v>
      </c>
      <c r="F148">
        <f>SUMPRODUCT((MONTH(CHOOSE({1,2,3,4},KMB!T148,KMB!X148,KMB!AB148,KMB!AF148))=6)*(CHOOSE({1,2,3,4},KMB!W148,KMB!AA148,KMB!AE148,KMB!AI148)))</f>
        <v>0</v>
      </c>
      <c r="G148">
        <f>SUMPRODUCT((MONTH(CHOOSE({1,2,3,4},KMB!T148,KMB!X148,KMB!AB148,KMB!AF148))=7)*(CHOOSE({1,2,3,4},KMB!W148,KMB!AA148,KMB!AE148,KMB!AI148)))</f>
        <v>0</v>
      </c>
      <c r="H148">
        <f>SUMPRODUCT((MONTH(CHOOSE({1,2,3,4},KMB!T148,KMB!X148,KMB!AB148,KMB!AF148))=8)*(CHOOSE({1,2,3,4},KMB!W148,KMB!AA148,KMB!AE148,KMB!AI148)))</f>
        <v>0</v>
      </c>
      <c r="I148">
        <f>SUMPRODUCT((MONTH(CHOOSE({1,2,3,4},KMB!T148,KMB!X148,KMB!AB148,KMB!AF148))=9)*(CHOOSE({1,2,3,4},KMB!W148,KMB!AA148,KMB!AE148,KMB!AI148)))</f>
        <v>0</v>
      </c>
      <c r="J148">
        <f>SUMPRODUCT((MONTH(CHOOSE({1,2,3,4},KMB!T148,KMB!X148,KMB!AB148,KMB!AF148))=10)*(CHOOSE({1,2,3,4},KMB!W148,KMB!AA148,KMB!AE148,KMB!AI148)))</f>
        <v>0</v>
      </c>
      <c r="K148">
        <f>SUMPRODUCT((MONTH(CHOOSE({1,2,3,4},KMB!T148,KMB!X148,KMB!AB148,KMB!AF148))=11)*(CHOOSE({1,2,3,4},KMB!W148,KMB!AA148,KMB!AE148,KMB!AI148)))</f>
        <v>0</v>
      </c>
      <c r="L148">
        <f>SUMPRODUCT((MONTH(CHOOSE({1,2,3,4},KMB!T148,KMB!X148,KMB!AB148,KMB!AF148))=12)*(CHOOSE({1,2,3,4},KMB!W148,KMB!AA148,KMB!AE148,KMB!AI148)))</f>
        <v>0</v>
      </c>
    </row>
    <row r="149" spans="1:12">
      <c r="A149">
        <f>SUMPRODUCT((MONTH(CHOOSE({1,2,3,4},KMB!T149,KMB!X149,KMB!AB149,KMB!AF149))=1)*(CHOOSE({1,2,3,4},KMB!W149,KMB!AA149,KMB!AE149,KMB!AI149)))</f>
        <v>0</v>
      </c>
      <c r="B149">
        <f>SUMPRODUCT((MONTH(CHOOSE({1,2,3,4},KMB!T149,KMB!X149,KMB!AB149,KMB!AF149))=2)*(CHOOSE({1,2,3,4},KMB!W149,KMB!AA149,KMB!AE149,KMB!AI149)))</f>
        <v>0</v>
      </c>
      <c r="C149">
        <f>SUMPRODUCT((MONTH(CHOOSE({1,2,3,4},KMB!T149,KMB!X149,KMB!AB149,KMB!AF149))=3)*(CHOOSE({1,2,3,4},KMB!W149,KMB!AA149,KMB!AE149,KMB!AI149)))</f>
        <v>0</v>
      </c>
      <c r="D149">
        <f>SUMPRODUCT((MONTH(CHOOSE({1,2,3,4},KMB!T149,KMB!X149,KMB!AB149,KMB!AF149))=4)*(CHOOSE({1,2,3,4},KMB!W149,KMB!AA149,KMB!AE149,KMB!AI149)))</f>
        <v>0</v>
      </c>
      <c r="E149">
        <f>SUMPRODUCT((MONTH(CHOOSE({1,2,3,4},KMB!T149,KMB!X149,KMB!AB149,KMB!AF149))=5)*(CHOOSE({1,2,3,4},KMB!W149,KMB!AA149,KMB!AE149,KMB!AI149)))</f>
        <v>0</v>
      </c>
      <c r="F149">
        <f>SUMPRODUCT((MONTH(CHOOSE({1,2,3,4},KMB!T149,KMB!X149,KMB!AB149,KMB!AF149))=6)*(CHOOSE({1,2,3,4},KMB!W149,KMB!AA149,KMB!AE149,KMB!AI149)))</f>
        <v>0</v>
      </c>
      <c r="G149">
        <f>SUMPRODUCT((MONTH(CHOOSE({1,2,3,4},KMB!T149,KMB!X149,KMB!AB149,KMB!AF149))=7)*(CHOOSE({1,2,3,4},KMB!W149,KMB!AA149,KMB!AE149,KMB!AI149)))</f>
        <v>0</v>
      </c>
      <c r="H149">
        <f>SUMPRODUCT((MONTH(CHOOSE({1,2,3,4},KMB!T149,KMB!X149,KMB!AB149,KMB!AF149))=8)*(CHOOSE({1,2,3,4},KMB!W149,KMB!AA149,KMB!AE149,KMB!AI149)))</f>
        <v>0</v>
      </c>
      <c r="I149">
        <f>SUMPRODUCT((MONTH(CHOOSE({1,2,3,4},KMB!T149,KMB!X149,KMB!AB149,KMB!AF149))=9)*(CHOOSE({1,2,3,4},KMB!W149,KMB!AA149,KMB!AE149,KMB!AI149)))</f>
        <v>0</v>
      </c>
      <c r="J149">
        <f>SUMPRODUCT((MONTH(CHOOSE({1,2,3,4},KMB!T149,KMB!X149,KMB!AB149,KMB!AF149))=10)*(CHOOSE({1,2,3,4},KMB!W149,KMB!AA149,KMB!AE149,KMB!AI149)))</f>
        <v>0</v>
      </c>
      <c r="K149">
        <f>SUMPRODUCT((MONTH(CHOOSE({1,2,3,4},KMB!T149,KMB!X149,KMB!AB149,KMB!AF149))=11)*(CHOOSE({1,2,3,4},KMB!W149,KMB!AA149,KMB!AE149,KMB!AI149)))</f>
        <v>0</v>
      </c>
      <c r="L149">
        <f>SUMPRODUCT((MONTH(CHOOSE({1,2,3,4},KMB!T149,KMB!X149,KMB!AB149,KMB!AF149))=12)*(CHOOSE({1,2,3,4},KMB!W149,KMB!AA149,KMB!AE149,KMB!AI149)))</f>
        <v>0</v>
      </c>
    </row>
    <row r="150" spans="1:12">
      <c r="A150">
        <f>SUMPRODUCT((MONTH(CHOOSE({1,2,3,4},KMB!T150,KMB!X150,KMB!AB150,KMB!AF150))=1)*(CHOOSE({1,2,3,4},KMB!W150,KMB!AA150,KMB!AE150,KMB!AI150)))</f>
        <v>0</v>
      </c>
      <c r="B150">
        <f>SUMPRODUCT((MONTH(CHOOSE({1,2,3,4},KMB!T150,KMB!X150,KMB!AB150,KMB!AF150))=2)*(CHOOSE({1,2,3,4},KMB!W150,KMB!AA150,KMB!AE150,KMB!AI150)))</f>
        <v>0</v>
      </c>
      <c r="C150">
        <f>SUMPRODUCT((MONTH(CHOOSE({1,2,3,4},KMB!T150,KMB!X150,KMB!AB150,KMB!AF150))=3)*(CHOOSE({1,2,3,4},KMB!W150,KMB!AA150,KMB!AE150,KMB!AI150)))</f>
        <v>0</v>
      </c>
      <c r="D150">
        <f>SUMPRODUCT((MONTH(CHOOSE({1,2,3,4},KMB!T150,KMB!X150,KMB!AB150,KMB!AF150))=4)*(CHOOSE({1,2,3,4},KMB!W150,KMB!AA150,KMB!AE150,KMB!AI150)))</f>
        <v>0</v>
      </c>
      <c r="E150">
        <f>SUMPRODUCT((MONTH(CHOOSE({1,2,3,4},KMB!T150,KMB!X150,KMB!AB150,KMB!AF150))=5)*(CHOOSE({1,2,3,4},KMB!W150,KMB!AA150,KMB!AE150,KMB!AI150)))</f>
        <v>0</v>
      </c>
      <c r="F150">
        <f>SUMPRODUCT((MONTH(CHOOSE({1,2,3,4},KMB!T150,KMB!X150,KMB!AB150,KMB!AF150))=6)*(CHOOSE({1,2,3,4},KMB!W150,KMB!AA150,KMB!AE150,KMB!AI150)))</f>
        <v>0</v>
      </c>
      <c r="G150">
        <f>SUMPRODUCT((MONTH(CHOOSE({1,2,3,4},KMB!T150,KMB!X150,KMB!AB150,KMB!AF150))=7)*(CHOOSE({1,2,3,4},KMB!W150,KMB!AA150,KMB!AE150,KMB!AI150)))</f>
        <v>0</v>
      </c>
      <c r="H150">
        <f>SUMPRODUCT((MONTH(CHOOSE({1,2,3,4},KMB!T150,KMB!X150,KMB!AB150,KMB!AF150))=8)*(CHOOSE({1,2,3,4},KMB!W150,KMB!AA150,KMB!AE150,KMB!AI150)))</f>
        <v>0</v>
      </c>
      <c r="I150">
        <f>SUMPRODUCT((MONTH(CHOOSE({1,2,3,4},KMB!T150,KMB!X150,KMB!AB150,KMB!AF150))=9)*(CHOOSE({1,2,3,4},KMB!W150,KMB!AA150,KMB!AE150,KMB!AI150)))</f>
        <v>0</v>
      </c>
      <c r="J150">
        <f>SUMPRODUCT((MONTH(CHOOSE({1,2,3,4},KMB!T150,KMB!X150,KMB!AB150,KMB!AF150))=10)*(CHOOSE({1,2,3,4},KMB!W150,KMB!AA150,KMB!AE150,KMB!AI150)))</f>
        <v>0</v>
      </c>
      <c r="K150">
        <f>SUMPRODUCT((MONTH(CHOOSE({1,2,3,4},KMB!T150,KMB!X150,KMB!AB150,KMB!AF150))=11)*(CHOOSE({1,2,3,4},KMB!W150,KMB!AA150,KMB!AE150,KMB!AI150)))</f>
        <v>0</v>
      </c>
      <c r="L150">
        <f>SUMPRODUCT((MONTH(CHOOSE({1,2,3,4},KMB!T150,KMB!X150,KMB!AB150,KMB!AF150))=12)*(CHOOSE({1,2,3,4},KMB!W150,KMB!AA150,KMB!AE150,KMB!AI150)))</f>
        <v>0</v>
      </c>
    </row>
    <row r="151" spans="1:12">
      <c r="A151">
        <f>SUMPRODUCT((MONTH(CHOOSE({1,2,3,4},KMB!T151,KMB!X151,KMB!AB151,KMB!AF151))=1)*(CHOOSE({1,2,3,4},KMB!W151,KMB!AA151,KMB!AE151,KMB!AI151)))</f>
        <v>0</v>
      </c>
      <c r="B151">
        <f>SUMPRODUCT((MONTH(CHOOSE({1,2,3,4},KMB!T151,KMB!X151,KMB!AB151,KMB!AF151))=2)*(CHOOSE({1,2,3,4},KMB!W151,KMB!AA151,KMB!AE151,KMB!AI151)))</f>
        <v>0</v>
      </c>
      <c r="C151">
        <f>SUMPRODUCT((MONTH(CHOOSE({1,2,3,4},KMB!T151,KMB!X151,KMB!AB151,KMB!AF151))=3)*(CHOOSE({1,2,3,4},KMB!W151,KMB!AA151,KMB!AE151,KMB!AI151)))</f>
        <v>0</v>
      </c>
      <c r="D151">
        <f>SUMPRODUCT((MONTH(CHOOSE({1,2,3,4},KMB!T151,KMB!X151,KMB!AB151,KMB!AF151))=4)*(CHOOSE({1,2,3,4},KMB!W151,KMB!AA151,KMB!AE151,KMB!AI151)))</f>
        <v>0</v>
      </c>
      <c r="E151">
        <f>SUMPRODUCT((MONTH(CHOOSE({1,2,3,4},KMB!T151,KMB!X151,KMB!AB151,KMB!AF151))=5)*(CHOOSE({1,2,3,4},KMB!W151,KMB!AA151,KMB!AE151,KMB!AI151)))</f>
        <v>0</v>
      </c>
      <c r="F151">
        <f>SUMPRODUCT((MONTH(CHOOSE({1,2,3,4},KMB!T151,KMB!X151,KMB!AB151,KMB!AF151))=6)*(CHOOSE({1,2,3,4},KMB!W151,KMB!AA151,KMB!AE151,KMB!AI151)))</f>
        <v>0</v>
      </c>
      <c r="G151">
        <f>SUMPRODUCT((MONTH(CHOOSE({1,2,3,4},KMB!T151,KMB!X151,KMB!AB151,KMB!AF151))=7)*(CHOOSE({1,2,3,4},KMB!W151,KMB!AA151,KMB!AE151,KMB!AI151)))</f>
        <v>0</v>
      </c>
      <c r="H151">
        <f>SUMPRODUCT((MONTH(CHOOSE({1,2,3,4},KMB!T151,KMB!X151,KMB!AB151,KMB!AF151))=8)*(CHOOSE({1,2,3,4},KMB!W151,KMB!AA151,KMB!AE151,KMB!AI151)))</f>
        <v>0</v>
      </c>
      <c r="I151">
        <f>SUMPRODUCT((MONTH(CHOOSE({1,2,3,4},KMB!T151,KMB!X151,KMB!AB151,KMB!AF151))=9)*(CHOOSE({1,2,3,4},KMB!W151,KMB!AA151,KMB!AE151,KMB!AI151)))</f>
        <v>0</v>
      </c>
      <c r="J151">
        <f>SUMPRODUCT((MONTH(CHOOSE({1,2,3,4},KMB!T151,KMB!X151,KMB!AB151,KMB!AF151))=10)*(CHOOSE({1,2,3,4},KMB!W151,KMB!AA151,KMB!AE151,KMB!AI151)))</f>
        <v>0</v>
      </c>
      <c r="K151">
        <f>SUMPRODUCT((MONTH(CHOOSE({1,2,3,4},KMB!T151,KMB!X151,KMB!AB151,KMB!AF151))=11)*(CHOOSE({1,2,3,4},KMB!W151,KMB!AA151,KMB!AE151,KMB!AI151)))</f>
        <v>0</v>
      </c>
      <c r="L151">
        <f>SUMPRODUCT((MONTH(CHOOSE({1,2,3,4},KMB!T151,KMB!X151,KMB!AB151,KMB!AF151))=12)*(CHOOSE({1,2,3,4},KMB!W151,KMB!AA151,KMB!AE151,KMB!AI151)))</f>
        <v>0</v>
      </c>
    </row>
    <row r="152" spans="1:12">
      <c r="A152">
        <f>SUMPRODUCT((MONTH(CHOOSE({1,2,3,4},KMB!T152,KMB!X152,KMB!AB152,KMB!AF152))=1)*(CHOOSE({1,2,3,4},KMB!W152,KMB!AA152,KMB!AE152,KMB!AI152)))</f>
        <v>0</v>
      </c>
      <c r="B152">
        <f>SUMPRODUCT((MONTH(CHOOSE({1,2,3,4},KMB!T152,KMB!X152,KMB!AB152,KMB!AF152))=2)*(CHOOSE({1,2,3,4},KMB!W152,KMB!AA152,KMB!AE152,KMB!AI152)))</f>
        <v>0</v>
      </c>
      <c r="C152">
        <f>SUMPRODUCT((MONTH(CHOOSE({1,2,3,4},KMB!T152,KMB!X152,KMB!AB152,KMB!AF152))=3)*(CHOOSE({1,2,3,4},KMB!W152,KMB!AA152,KMB!AE152,KMB!AI152)))</f>
        <v>0</v>
      </c>
      <c r="D152">
        <f>SUMPRODUCT((MONTH(CHOOSE({1,2,3,4},KMB!T152,KMB!X152,KMB!AB152,KMB!AF152))=4)*(CHOOSE({1,2,3,4},KMB!W152,KMB!AA152,KMB!AE152,KMB!AI152)))</f>
        <v>0</v>
      </c>
      <c r="E152">
        <f>SUMPRODUCT((MONTH(CHOOSE({1,2,3,4},KMB!T152,KMB!X152,KMB!AB152,KMB!AF152))=5)*(CHOOSE({1,2,3,4},KMB!W152,KMB!AA152,KMB!AE152,KMB!AI152)))</f>
        <v>0</v>
      </c>
      <c r="F152">
        <f>SUMPRODUCT((MONTH(CHOOSE({1,2,3,4},KMB!T152,KMB!X152,KMB!AB152,KMB!AF152))=6)*(CHOOSE({1,2,3,4},KMB!W152,KMB!AA152,KMB!AE152,KMB!AI152)))</f>
        <v>0</v>
      </c>
      <c r="G152">
        <f>SUMPRODUCT((MONTH(CHOOSE({1,2,3,4},KMB!T152,KMB!X152,KMB!AB152,KMB!AF152))=7)*(CHOOSE({1,2,3,4},KMB!W152,KMB!AA152,KMB!AE152,KMB!AI152)))</f>
        <v>0</v>
      </c>
      <c r="H152">
        <f>SUMPRODUCT((MONTH(CHOOSE({1,2,3,4},KMB!T152,KMB!X152,KMB!AB152,KMB!AF152))=8)*(CHOOSE({1,2,3,4},KMB!W152,KMB!AA152,KMB!AE152,KMB!AI152)))</f>
        <v>0</v>
      </c>
      <c r="I152">
        <f>SUMPRODUCT((MONTH(CHOOSE({1,2,3,4},KMB!T152,KMB!X152,KMB!AB152,KMB!AF152))=9)*(CHOOSE({1,2,3,4},KMB!W152,KMB!AA152,KMB!AE152,KMB!AI152)))</f>
        <v>0</v>
      </c>
      <c r="J152">
        <f>SUMPRODUCT((MONTH(CHOOSE({1,2,3,4},KMB!T152,KMB!X152,KMB!AB152,KMB!AF152))=10)*(CHOOSE({1,2,3,4},KMB!W152,KMB!AA152,KMB!AE152,KMB!AI152)))</f>
        <v>0</v>
      </c>
      <c r="K152">
        <f>SUMPRODUCT((MONTH(CHOOSE({1,2,3,4},KMB!T152,KMB!X152,KMB!AB152,KMB!AF152))=11)*(CHOOSE({1,2,3,4},KMB!W152,KMB!AA152,KMB!AE152,KMB!AI152)))</f>
        <v>0</v>
      </c>
      <c r="L152">
        <f>SUMPRODUCT((MONTH(CHOOSE({1,2,3,4},KMB!T152,KMB!X152,KMB!AB152,KMB!AF152))=12)*(CHOOSE({1,2,3,4},KMB!W152,KMB!AA152,KMB!AE152,KMB!AI152)))</f>
        <v>0</v>
      </c>
    </row>
    <row r="153" spans="1:12">
      <c r="A153">
        <f>SUMPRODUCT((MONTH(CHOOSE({1,2,3,4},KMB!T153,KMB!X153,KMB!AB153,KMB!AF153))=1)*(CHOOSE({1,2,3,4},KMB!W153,KMB!AA153,KMB!AE153,KMB!AI153)))</f>
        <v>0</v>
      </c>
      <c r="B153">
        <f>SUMPRODUCT((MONTH(CHOOSE({1,2,3,4},KMB!T153,KMB!X153,KMB!AB153,KMB!AF153))=2)*(CHOOSE({1,2,3,4},KMB!W153,KMB!AA153,KMB!AE153,KMB!AI153)))</f>
        <v>0</v>
      </c>
      <c r="C153">
        <f>SUMPRODUCT((MONTH(CHOOSE({1,2,3,4},KMB!T153,KMB!X153,KMB!AB153,KMB!AF153))=3)*(CHOOSE({1,2,3,4},KMB!W153,KMB!AA153,KMB!AE153,KMB!AI153)))</f>
        <v>0</v>
      </c>
      <c r="D153">
        <f>SUMPRODUCT((MONTH(CHOOSE({1,2,3,4},KMB!T153,KMB!X153,KMB!AB153,KMB!AF153))=4)*(CHOOSE({1,2,3,4},KMB!W153,KMB!AA153,KMB!AE153,KMB!AI153)))</f>
        <v>0</v>
      </c>
      <c r="E153">
        <f>SUMPRODUCT((MONTH(CHOOSE({1,2,3,4},KMB!T153,KMB!X153,KMB!AB153,KMB!AF153))=5)*(CHOOSE({1,2,3,4},KMB!W153,KMB!AA153,KMB!AE153,KMB!AI153)))</f>
        <v>0</v>
      </c>
      <c r="F153">
        <f>SUMPRODUCT((MONTH(CHOOSE({1,2,3,4},KMB!T153,KMB!X153,KMB!AB153,KMB!AF153))=6)*(CHOOSE({1,2,3,4},KMB!W153,KMB!AA153,KMB!AE153,KMB!AI153)))</f>
        <v>0</v>
      </c>
      <c r="G153">
        <f>SUMPRODUCT((MONTH(CHOOSE({1,2,3,4},KMB!T153,KMB!X153,KMB!AB153,KMB!AF153))=7)*(CHOOSE({1,2,3,4},KMB!W153,KMB!AA153,KMB!AE153,KMB!AI153)))</f>
        <v>0</v>
      </c>
      <c r="H153">
        <f>SUMPRODUCT((MONTH(CHOOSE({1,2,3,4},KMB!T153,KMB!X153,KMB!AB153,KMB!AF153))=8)*(CHOOSE({1,2,3,4},KMB!W153,KMB!AA153,KMB!AE153,KMB!AI153)))</f>
        <v>0</v>
      </c>
      <c r="I153">
        <f>SUMPRODUCT((MONTH(CHOOSE({1,2,3,4},KMB!T153,KMB!X153,KMB!AB153,KMB!AF153))=9)*(CHOOSE({1,2,3,4},KMB!W153,KMB!AA153,KMB!AE153,KMB!AI153)))</f>
        <v>0</v>
      </c>
      <c r="J153">
        <f>SUMPRODUCT((MONTH(CHOOSE({1,2,3,4},KMB!T153,KMB!X153,KMB!AB153,KMB!AF153))=10)*(CHOOSE({1,2,3,4},KMB!W153,KMB!AA153,KMB!AE153,KMB!AI153)))</f>
        <v>0</v>
      </c>
      <c r="K153">
        <f>SUMPRODUCT((MONTH(CHOOSE({1,2,3,4},KMB!T153,KMB!X153,KMB!AB153,KMB!AF153))=11)*(CHOOSE({1,2,3,4},KMB!W153,KMB!AA153,KMB!AE153,KMB!AI153)))</f>
        <v>0</v>
      </c>
      <c r="L153">
        <f>SUMPRODUCT((MONTH(CHOOSE({1,2,3,4},KMB!T153,KMB!X153,KMB!AB153,KMB!AF153))=12)*(CHOOSE({1,2,3,4},KMB!W153,KMB!AA153,KMB!AE153,KMB!AI153)))</f>
        <v>0</v>
      </c>
    </row>
    <row r="154" spans="1:12">
      <c r="A154">
        <f>SUMPRODUCT((MONTH(CHOOSE({1,2,3,4},KMB!T154,KMB!X154,KMB!AB154,KMB!AF154))=1)*(CHOOSE({1,2,3,4},KMB!W154,KMB!AA154,KMB!AE154,KMB!AI154)))</f>
        <v>0</v>
      </c>
      <c r="B154">
        <f>SUMPRODUCT((MONTH(CHOOSE({1,2,3,4},KMB!T154,KMB!X154,KMB!AB154,KMB!AF154))=2)*(CHOOSE({1,2,3,4},KMB!W154,KMB!AA154,KMB!AE154,KMB!AI154)))</f>
        <v>0</v>
      </c>
      <c r="C154">
        <f>SUMPRODUCT((MONTH(CHOOSE({1,2,3,4},KMB!T154,KMB!X154,KMB!AB154,KMB!AF154))=3)*(CHOOSE({1,2,3,4},KMB!W154,KMB!AA154,KMB!AE154,KMB!AI154)))</f>
        <v>0</v>
      </c>
      <c r="D154">
        <f>SUMPRODUCT((MONTH(CHOOSE({1,2,3,4},KMB!T154,KMB!X154,KMB!AB154,KMB!AF154))=4)*(CHOOSE({1,2,3,4},KMB!W154,KMB!AA154,KMB!AE154,KMB!AI154)))</f>
        <v>0</v>
      </c>
      <c r="E154">
        <f>SUMPRODUCT((MONTH(CHOOSE({1,2,3,4},KMB!T154,KMB!X154,KMB!AB154,KMB!AF154))=5)*(CHOOSE({1,2,3,4},KMB!W154,KMB!AA154,KMB!AE154,KMB!AI154)))</f>
        <v>0</v>
      </c>
      <c r="F154">
        <f>SUMPRODUCT((MONTH(CHOOSE({1,2,3,4},KMB!T154,KMB!X154,KMB!AB154,KMB!AF154))=6)*(CHOOSE({1,2,3,4},KMB!W154,KMB!AA154,KMB!AE154,KMB!AI154)))</f>
        <v>0</v>
      </c>
      <c r="G154">
        <f>SUMPRODUCT((MONTH(CHOOSE({1,2,3,4},KMB!T154,KMB!X154,KMB!AB154,KMB!AF154))=7)*(CHOOSE({1,2,3,4},KMB!W154,KMB!AA154,KMB!AE154,KMB!AI154)))</f>
        <v>0</v>
      </c>
      <c r="H154">
        <f>SUMPRODUCT((MONTH(CHOOSE({1,2,3,4},KMB!T154,KMB!X154,KMB!AB154,KMB!AF154))=8)*(CHOOSE({1,2,3,4},KMB!W154,KMB!AA154,KMB!AE154,KMB!AI154)))</f>
        <v>0</v>
      </c>
      <c r="I154">
        <f>SUMPRODUCT((MONTH(CHOOSE({1,2,3,4},KMB!T154,KMB!X154,KMB!AB154,KMB!AF154))=9)*(CHOOSE({1,2,3,4},KMB!W154,KMB!AA154,KMB!AE154,KMB!AI154)))</f>
        <v>0</v>
      </c>
      <c r="J154">
        <f>SUMPRODUCT((MONTH(CHOOSE({1,2,3,4},KMB!T154,KMB!X154,KMB!AB154,KMB!AF154))=10)*(CHOOSE({1,2,3,4},KMB!W154,KMB!AA154,KMB!AE154,KMB!AI154)))</f>
        <v>0</v>
      </c>
      <c r="K154">
        <f>SUMPRODUCT((MONTH(CHOOSE({1,2,3,4},KMB!T154,KMB!X154,KMB!AB154,KMB!AF154))=11)*(CHOOSE({1,2,3,4},KMB!W154,KMB!AA154,KMB!AE154,KMB!AI154)))</f>
        <v>0</v>
      </c>
      <c r="L154">
        <f>SUMPRODUCT((MONTH(CHOOSE({1,2,3,4},KMB!T154,KMB!X154,KMB!AB154,KMB!AF154))=12)*(CHOOSE({1,2,3,4},KMB!W154,KMB!AA154,KMB!AE154,KMB!AI154)))</f>
        <v>0</v>
      </c>
    </row>
    <row r="155" spans="1:12">
      <c r="A155">
        <f>SUMPRODUCT((MONTH(CHOOSE({1,2,3,4},KMB!T155,KMB!X155,KMB!AB155,KMB!AF155))=1)*(CHOOSE({1,2,3,4},KMB!W155,KMB!AA155,KMB!AE155,KMB!AI155)))</f>
        <v>0</v>
      </c>
      <c r="B155">
        <f>SUMPRODUCT((MONTH(CHOOSE({1,2,3,4},KMB!T155,KMB!X155,KMB!AB155,KMB!AF155))=2)*(CHOOSE({1,2,3,4},KMB!W155,KMB!AA155,KMB!AE155,KMB!AI155)))</f>
        <v>0</v>
      </c>
      <c r="C155">
        <f>SUMPRODUCT((MONTH(CHOOSE({1,2,3,4},KMB!T155,KMB!X155,KMB!AB155,KMB!AF155))=3)*(CHOOSE({1,2,3,4},KMB!W155,KMB!AA155,KMB!AE155,KMB!AI155)))</f>
        <v>0</v>
      </c>
      <c r="D155">
        <f>SUMPRODUCT((MONTH(CHOOSE({1,2,3,4},KMB!T155,KMB!X155,KMB!AB155,KMB!AF155))=4)*(CHOOSE({1,2,3,4},KMB!W155,KMB!AA155,KMB!AE155,KMB!AI155)))</f>
        <v>0</v>
      </c>
      <c r="E155">
        <f>SUMPRODUCT((MONTH(CHOOSE({1,2,3,4},KMB!T155,KMB!X155,KMB!AB155,KMB!AF155))=5)*(CHOOSE({1,2,3,4},KMB!W155,KMB!AA155,KMB!AE155,KMB!AI155)))</f>
        <v>0</v>
      </c>
      <c r="F155">
        <f>SUMPRODUCT((MONTH(CHOOSE({1,2,3,4},KMB!T155,KMB!X155,KMB!AB155,KMB!AF155))=6)*(CHOOSE({1,2,3,4},KMB!W155,KMB!AA155,KMB!AE155,KMB!AI155)))</f>
        <v>0</v>
      </c>
      <c r="G155">
        <f>SUMPRODUCT((MONTH(CHOOSE({1,2,3,4},KMB!T155,KMB!X155,KMB!AB155,KMB!AF155))=7)*(CHOOSE({1,2,3,4},KMB!W155,KMB!AA155,KMB!AE155,KMB!AI155)))</f>
        <v>0</v>
      </c>
      <c r="H155">
        <f>SUMPRODUCT((MONTH(CHOOSE({1,2,3,4},KMB!T155,KMB!X155,KMB!AB155,KMB!AF155))=8)*(CHOOSE({1,2,3,4},KMB!W155,KMB!AA155,KMB!AE155,KMB!AI155)))</f>
        <v>0</v>
      </c>
      <c r="I155">
        <f>SUMPRODUCT((MONTH(CHOOSE({1,2,3,4},KMB!T155,KMB!X155,KMB!AB155,KMB!AF155))=9)*(CHOOSE({1,2,3,4},KMB!W155,KMB!AA155,KMB!AE155,KMB!AI155)))</f>
        <v>0</v>
      </c>
      <c r="J155">
        <f>SUMPRODUCT((MONTH(CHOOSE({1,2,3,4},KMB!T155,KMB!X155,KMB!AB155,KMB!AF155))=10)*(CHOOSE({1,2,3,4},KMB!W155,KMB!AA155,KMB!AE155,KMB!AI155)))</f>
        <v>0</v>
      </c>
      <c r="K155">
        <f>SUMPRODUCT((MONTH(CHOOSE({1,2,3,4},KMB!T155,KMB!X155,KMB!AB155,KMB!AF155))=11)*(CHOOSE({1,2,3,4},KMB!W155,KMB!AA155,KMB!AE155,KMB!AI155)))</f>
        <v>0</v>
      </c>
      <c r="L155">
        <f>SUMPRODUCT((MONTH(CHOOSE({1,2,3,4},KMB!T155,KMB!X155,KMB!AB155,KMB!AF155))=12)*(CHOOSE({1,2,3,4},KMB!W155,KMB!AA155,KMB!AE155,KMB!AI155)))</f>
        <v>0</v>
      </c>
    </row>
    <row r="156" spans="1:12">
      <c r="A156">
        <f>SUMPRODUCT((MONTH(CHOOSE({1,2,3,4},KMB!T156,KMB!X156,KMB!AB156,KMB!AF156))=1)*(CHOOSE({1,2,3,4},KMB!W156,KMB!AA156,KMB!AE156,KMB!AI156)))</f>
        <v>0</v>
      </c>
      <c r="B156">
        <f>SUMPRODUCT((MONTH(CHOOSE({1,2,3,4},KMB!T156,KMB!X156,KMB!AB156,KMB!AF156))=2)*(CHOOSE({1,2,3,4},KMB!W156,KMB!AA156,KMB!AE156,KMB!AI156)))</f>
        <v>0</v>
      </c>
      <c r="C156">
        <f>SUMPRODUCT((MONTH(CHOOSE({1,2,3,4},KMB!T156,KMB!X156,KMB!AB156,KMB!AF156))=3)*(CHOOSE({1,2,3,4},KMB!W156,KMB!AA156,KMB!AE156,KMB!AI156)))</f>
        <v>0</v>
      </c>
      <c r="D156">
        <f>SUMPRODUCT((MONTH(CHOOSE({1,2,3,4},KMB!T156,KMB!X156,KMB!AB156,KMB!AF156))=4)*(CHOOSE({1,2,3,4},KMB!W156,KMB!AA156,KMB!AE156,KMB!AI156)))</f>
        <v>0</v>
      </c>
      <c r="E156">
        <f>SUMPRODUCT((MONTH(CHOOSE({1,2,3,4},KMB!T156,KMB!X156,KMB!AB156,KMB!AF156))=5)*(CHOOSE({1,2,3,4},KMB!W156,KMB!AA156,KMB!AE156,KMB!AI156)))</f>
        <v>0</v>
      </c>
      <c r="F156">
        <f>SUMPRODUCT((MONTH(CHOOSE({1,2,3,4},KMB!T156,KMB!X156,KMB!AB156,KMB!AF156))=6)*(CHOOSE({1,2,3,4},KMB!W156,KMB!AA156,KMB!AE156,KMB!AI156)))</f>
        <v>0</v>
      </c>
      <c r="G156">
        <f>SUMPRODUCT((MONTH(CHOOSE({1,2,3,4},KMB!T156,KMB!X156,KMB!AB156,KMB!AF156))=7)*(CHOOSE({1,2,3,4},KMB!W156,KMB!AA156,KMB!AE156,KMB!AI156)))</f>
        <v>0</v>
      </c>
      <c r="H156">
        <f>SUMPRODUCT((MONTH(CHOOSE({1,2,3,4},KMB!T156,KMB!X156,KMB!AB156,KMB!AF156))=8)*(CHOOSE({1,2,3,4},KMB!W156,KMB!AA156,KMB!AE156,KMB!AI156)))</f>
        <v>0</v>
      </c>
      <c r="I156">
        <f>SUMPRODUCT((MONTH(CHOOSE({1,2,3,4},KMB!T156,KMB!X156,KMB!AB156,KMB!AF156))=9)*(CHOOSE({1,2,3,4},KMB!W156,KMB!AA156,KMB!AE156,KMB!AI156)))</f>
        <v>0</v>
      </c>
      <c r="J156">
        <f>SUMPRODUCT((MONTH(CHOOSE({1,2,3,4},KMB!T156,KMB!X156,KMB!AB156,KMB!AF156))=10)*(CHOOSE({1,2,3,4},KMB!W156,KMB!AA156,KMB!AE156,KMB!AI156)))</f>
        <v>0</v>
      </c>
      <c r="K156">
        <f>SUMPRODUCT((MONTH(CHOOSE({1,2,3,4},KMB!T156,KMB!X156,KMB!AB156,KMB!AF156))=11)*(CHOOSE({1,2,3,4},KMB!W156,KMB!AA156,KMB!AE156,KMB!AI156)))</f>
        <v>0</v>
      </c>
      <c r="L156">
        <f>SUMPRODUCT((MONTH(CHOOSE({1,2,3,4},KMB!T156,KMB!X156,KMB!AB156,KMB!AF156))=12)*(CHOOSE({1,2,3,4},KMB!W156,KMB!AA156,KMB!AE156,KMB!AI156)))</f>
        <v>0</v>
      </c>
    </row>
    <row r="157" spans="1:12">
      <c r="A157">
        <f>SUMPRODUCT((MONTH(CHOOSE({1,2,3,4},KMB!T157,KMB!X157,KMB!AB157,KMB!AF157))=1)*(CHOOSE({1,2,3,4},KMB!W157,KMB!AA157,KMB!AE157,KMB!AI157)))</f>
        <v>0</v>
      </c>
      <c r="B157">
        <f>SUMPRODUCT((MONTH(CHOOSE({1,2,3,4},KMB!T157,KMB!X157,KMB!AB157,KMB!AF157))=2)*(CHOOSE({1,2,3,4},KMB!W157,KMB!AA157,KMB!AE157,KMB!AI157)))</f>
        <v>0</v>
      </c>
      <c r="C157">
        <f>SUMPRODUCT((MONTH(CHOOSE({1,2,3,4},KMB!T157,KMB!X157,KMB!AB157,KMB!AF157))=3)*(CHOOSE({1,2,3,4},KMB!W157,KMB!AA157,KMB!AE157,KMB!AI157)))</f>
        <v>0</v>
      </c>
      <c r="D157">
        <f>SUMPRODUCT((MONTH(CHOOSE({1,2,3,4},KMB!T157,KMB!X157,KMB!AB157,KMB!AF157))=4)*(CHOOSE({1,2,3,4},KMB!W157,KMB!AA157,KMB!AE157,KMB!AI157)))</f>
        <v>0</v>
      </c>
      <c r="E157">
        <f>SUMPRODUCT((MONTH(CHOOSE({1,2,3,4},KMB!T157,KMB!X157,KMB!AB157,KMB!AF157))=5)*(CHOOSE({1,2,3,4},KMB!W157,KMB!AA157,KMB!AE157,KMB!AI157)))</f>
        <v>0</v>
      </c>
      <c r="F157">
        <f>SUMPRODUCT((MONTH(CHOOSE({1,2,3,4},KMB!T157,KMB!X157,KMB!AB157,KMB!AF157))=6)*(CHOOSE({1,2,3,4},KMB!W157,KMB!AA157,KMB!AE157,KMB!AI157)))</f>
        <v>0</v>
      </c>
      <c r="G157">
        <f>SUMPRODUCT((MONTH(CHOOSE({1,2,3,4},KMB!T157,KMB!X157,KMB!AB157,KMB!AF157))=7)*(CHOOSE({1,2,3,4},KMB!W157,KMB!AA157,KMB!AE157,KMB!AI157)))</f>
        <v>0</v>
      </c>
      <c r="H157">
        <f>SUMPRODUCT((MONTH(CHOOSE({1,2,3,4},KMB!T157,KMB!X157,KMB!AB157,KMB!AF157))=8)*(CHOOSE({1,2,3,4},KMB!W157,KMB!AA157,KMB!AE157,KMB!AI157)))</f>
        <v>0</v>
      </c>
      <c r="I157">
        <f>SUMPRODUCT((MONTH(CHOOSE({1,2,3,4},KMB!T157,KMB!X157,KMB!AB157,KMB!AF157))=9)*(CHOOSE({1,2,3,4},KMB!W157,KMB!AA157,KMB!AE157,KMB!AI157)))</f>
        <v>0</v>
      </c>
      <c r="J157">
        <f>SUMPRODUCT((MONTH(CHOOSE({1,2,3,4},KMB!T157,KMB!X157,KMB!AB157,KMB!AF157))=10)*(CHOOSE({1,2,3,4},KMB!W157,KMB!AA157,KMB!AE157,KMB!AI157)))</f>
        <v>0</v>
      </c>
      <c r="K157">
        <f>SUMPRODUCT((MONTH(CHOOSE({1,2,3,4},KMB!T157,KMB!X157,KMB!AB157,KMB!AF157))=11)*(CHOOSE({1,2,3,4},KMB!W157,KMB!AA157,KMB!AE157,KMB!AI157)))</f>
        <v>0</v>
      </c>
      <c r="L157">
        <f>SUMPRODUCT((MONTH(CHOOSE({1,2,3,4},KMB!T157,KMB!X157,KMB!AB157,KMB!AF157))=12)*(CHOOSE({1,2,3,4},KMB!W157,KMB!AA157,KMB!AE157,KMB!AI157)))</f>
        <v>0</v>
      </c>
    </row>
    <row r="158" spans="1:12">
      <c r="A158">
        <f>SUMPRODUCT((MONTH(CHOOSE({1,2,3,4},KMB!T158,KMB!X158,KMB!AB158,KMB!AF158))=1)*(CHOOSE({1,2,3,4},KMB!W158,KMB!AA158,KMB!AE158,KMB!AI158)))</f>
        <v>0</v>
      </c>
      <c r="B158">
        <f>SUMPRODUCT((MONTH(CHOOSE({1,2,3,4},KMB!T158,KMB!X158,KMB!AB158,KMB!AF158))=2)*(CHOOSE({1,2,3,4},KMB!W158,KMB!AA158,KMB!AE158,KMB!AI158)))</f>
        <v>0</v>
      </c>
      <c r="C158">
        <f>SUMPRODUCT((MONTH(CHOOSE({1,2,3,4},KMB!T158,KMB!X158,KMB!AB158,KMB!AF158))=3)*(CHOOSE({1,2,3,4},KMB!W158,KMB!AA158,KMB!AE158,KMB!AI158)))</f>
        <v>0</v>
      </c>
      <c r="D158">
        <f>SUMPRODUCT((MONTH(CHOOSE({1,2,3,4},KMB!T158,KMB!X158,KMB!AB158,KMB!AF158))=4)*(CHOOSE({1,2,3,4},KMB!W158,KMB!AA158,KMB!AE158,KMB!AI158)))</f>
        <v>0</v>
      </c>
      <c r="E158">
        <f>SUMPRODUCT((MONTH(CHOOSE({1,2,3,4},KMB!T158,KMB!X158,KMB!AB158,KMB!AF158))=5)*(CHOOSE({1,2,3,4},KMB!W158,KMB!AA158,KMB!AE158,KMB!AI158)))</f>
        <v>0</v>
      </c>
      <c r="F158">
        <f>SUMPRODUCT((MONTH(CHOOSE({1,2,3,4},KMB!T158,KMB!X158,KMB!AB158,KMB!AF158))=6)*(CHOOSE({1,2,3,4},KMB!W158,KMB!AA158,KMB!AE158,KMB!AI158)))</f>
        <v>0</v>
      </c>
      <c r="G158">
        <f>SUMPRODUCT((MONTH(CHOOSE({1,2,3,4},KMB!T158,KMB!X158,KMB!AB158,KMB!AF158))=7)*(CHOOSE({1,2,3,4},KMB!W158,KMB!AA158,KMB!AE158,KMB!AI158)))</f>
        <v>0</v>
      </c>
      <c r="H158">
        <f>SUMPRODUCT((MONTH(CHOOSE({1,2,3,4},KMB!T158,KMB!X158,KMB!AB158,KMB!AF158))=8)*(CHOOSE({1,2,3,4},KMB!W158,KMB!AA158,KMB!AE158,KMB!AI158)))</f>
        <v>0</v>
      </c>
      <c r="I158">
        <f>SUMPRODUCT((MONTH(CHOOSE({1,2,3,4},KMB!T158,KMB!X158,KMB!AB158,KMB!AF158))=9)*(CHOOSE({1,2,3,4},KMB!W158,KMB!AA158,KMB!AE158,KMB!AI158)))</f>
        <v>0</v>
      </c>
      <c r="J158">
        <f>SUMPRODUCT((MONTH(CHOOSE({1,2,3,4},KMB!T158,KMB!X158,KMB!AB158,KMB!AF158))=10)*(CHOOSE({1,2,3,4},KMB!W158,KMB!AA158,KMB!AE158,KMB!AI158)))</f>
        <v>0</v>
      </c>
      <c r="K158">
        <f>SUMPRODUCT((MONTH(CHOOSE({1,2,3,4},KMB!T158,KMB!X158,KMB!AB158,KMB!AF158))=11)*(CHOOSE({1,2,3,4},KMB!W158,KMB!AA158,KMB!AE158,KMB!AI158)))</f>
        <v>0</v>
      </c>
      <c r="L158">
        <f>SUMPRODUCT((MONTH(CHOOSE({1,2,3,4},KMB!T158,KMB!X158,KMB!AB158,KMB!AF158))=12)*(CHOOSE({1,2,3,4},KMB!W158,KMB!AA158,KMB!AE158,KMB!AI158)))</f>
        <v>0</v>
      </c>
    </row>
    <row r="159" spans="1:12">
      <c r="A159">
        <f>SUMPRODUCT((MONTH(CHOOSE({1,2,3,4},KMB!T159,KMB!X159,KMB!AB159,KMB!AF159))=1)*(CHOOSE({1,2,3,4},KMB!W159,KMB!AA159,KMB!AE159,KMB!AI159)))</f>
        <v>0</v>
      </c>
      <c r="B159">
        <f>SUMPRODUCT((MONTH(CHOOSE({1,2,3,4},KMB!T159,KMB!X159,KMB!AB159,KMB!AF159))=2)*(CHOOSE({1,2,3,4},KMB!W159,KMB!AA159,KMB!AE159,KMB!AI159)))</f>
        <v>0</v>
      </c>
      <c r="C159">
        <f>SUMPRODUCT((MONTH(CHOOSE({1,2,3,4},KMB!T159,KMB!X159,KMB!AB159,KMB!AF159))=3)*(CHOOSE({1,2,3,4},KMB!W159,KMB!AA159,KMB!AE159,KMB!AI159)))</f>
        <v>0</v>
      </c>
      <c r="D159">
        <f>SUMPRODUCT((MONTH(CHOOSE({1,2,3,4},KMB!T159,KMB!X159,KMB!AB159,KMB!AF159))=4)*(CHOOSE({1,2,3,4},KMB!W159,KMB!AA159,KMB!AE159,KMB!AI159)))</f>
        <v>0</v>
      </c>
      <c r="E159">
        <f>SUMPRODUCT((MONTH(CHOOSE({1,2,3,4},KMB!T159,KMB!X159,KMB!AB159,KMB!AF159))=5)*(CHOOSE({1,2,3,4},KMB!W159,KMB!AA159,KMB!AE159,KMB!AI159)))</f>
        <v>0</v>
      </c>
      <c r="F159">
        <f>SUMPRODUCT((MONTH(CHOOSE({1,2,3,4},KMB!T159,KMB!X159,KMB!AB159,KMB!AF159))=6)*(CHOOSE({1,2,3,4},KMB!W159,KMB!AA159,KMB!AE159,KMB!AI159)))</f>
        <v>0</v>
      </c>
      <c r="G159">
        <f>SUMPRODUCT((MONTH(CHOOSE({1,2,3,4},KMB!T159,KMB!X159,KMB!AB159,KMB!AF159))=7)*(CHOOSE({1,2,3,4},KMB!W159,KMB!AA159,KMB!AE159,KMB!AI159)))</f>
        <v>0</v>
      </c>
      <c r="H159">
        <f>SUMPRODUCT((MONTH(CHOOSE({1,2,3,4},KMB!T159,KMB!X159,KMB!AB159,KMB!AF159))=8)*(CHOOSE({1,2,3,4},KMB!W159,KMB!AA159,KMB!AE159,KMB!AI159)))</f>
        <v>0</v>
      </c>
      <c r="I159">
        <f>SUMPRODUCT((MONTH(CHOOSE({1,2,3,4},KMB!T159,KMB!X159,KMB!AB159,KMB!AF159))=9)*(CHOOSE({1,2,3,4},KMB!W159,KMB!AA159,KMB!AE159,KMB!AI159)))</f>
        <v>0</v>
      </c>
      <c r="J159">
        <f>SUMPRODUCT((MONTH(CHOOSE({1,2,3,4},KMB!T159,KMB!X159,KMB!AB159,KMB!AF159))=10)*(CHOOSE({1,2,3,4},KMB!W159,KMB!AA159,KMB!AE159,KMB!AI159)))</f>
        <v>0</v>
      </c>
      <c r="K159">
        <f>SUMPRODUCT((MONTH(CHOOSE({1,2,3,4},KMB!T159,KMB!X159,KMB!AB159,KMB!AF159))=11)*(CHOOSE({1,2,3,4},KMB!W159,KMB!AA159,KMB!AE159,KMB!AI159)))</f>
        <v>0</v>
      </c>
      <c r="L159">
        <f>SUMPRODUCT((MONTH(CHOOSE({1,2,3,4},KMB!T159,KMB!X159,KMB!AB159,KMB!AF159))=12)*(CHOOSE({1,2,3,4},KMB!W159,KMB!AA159,KMB!AE159,KMB!AI159)))</f>
        <v>0</v>
      </c>
    </row>
    <row r="160" spans="1:12">
      <c r="A160">
        <f>SUMPRODUCT((MONTH(CHOOSE({1,2,3,4},KMB!T160,KMB!X160,KMB!AB160,KMB!AF160))=1)*(CHOOSE({1,2,3,4},KMB!W160,KMB!AA160,KMB!AE160,KMB!AI160)))</f>
        <v>0</v>
      </c>
      <c r="B160">
        <f>SUMPRODUCT((MONTH(CHOOSE({1,2,3,4},KMB!T160,KMB!X160,KMB!AB160,KMB!AF160))=2)*(CHOOSE({1,2,3,4},KMB!W160,KMB!AA160,KMB!AE160,KMB!AI160)))</f>
        <v>0</v>
      </c>
      <c r="C160">
        <f>SUMPRODUCT((MONTH(CHOOSE({1,2,3,4},KMB!T160,KMB!X160,KMB!AB160,KMB!AF160))=3)*(CHOOSE({1,2,3,4},KMB!W160,KMB!AA160,KMB!AE160,KMB!AI160)))</f>
        <v>0</v>
      </c>
      <c r="D160">
        <f>SUMPRODUCT((MONTH(CHOOSE({1,2,3,4},KMB!T160,KMB!X160,KMB!AB160,KMB!AF160))=4)*(CHOOSE({1,2,3,4},KMB!W160,KMB!AA160,KMB!AE160,KMB!AI160)))</f>
        <v>0</v>
      </c>
      <c r="E160">
        <f>SUMPRODUCT((MONTH(CHOOSE({1,2,3,4},KMB!T160,KMB!X160,KMB!AB160,KMB!AF160))=5)*(CHOOSE({1,2,3,4},KMB!W160,KMB!AA160,KMB!AE160,KMB!AI160)))</f>
        <v>0</v>
      </c>
      <c r="F160">
        <f>SUMPRODUCT((MONTH(CHOOSE({1,2,3,4},KMB!T160,KMB!X160,KMB!AB160,KMB!AF160))=6)*(CHOOSE({1,2,3,4},KMB!W160,KMB!AA160,KMB!AE160,KMB!AI160)))</f>
        <v>0</v>
      </c>
      <c r="G160">
        <f>SUMPRODUCT((MONTH(CHOOSE({1,2,3,4},KMB!T160,KMB!X160,KMB!AB160,KMB!AF160))=7)*(CHOOSE({1,2,3,4},KMB!W160,KMB!AA160,KMB!AE160,KMB!AI160)))</f>
        <v>0</v>
      </c>
      <c r="H160">
        <f>SUMPRODUCT((MONTH(CHOOSE({1,2,3,4},KMB!T160,KMB!X160,KMB!AB160,KMB!AF160))=8)*(CHOOSE({1,2,3,4},KMB!W160,KMB!AA160,KMB!AE160,KMB!AI160)))</f>
        <v>0</v>
      </c>
      <c r="I160">
        <f>SUMPRODUCT((MONTH(CHOOSE({1,2,3,4},KMB!T160,KMB!X160,KMB!AB160,KMB!AF160))=9)*(CHOOSE({1,2,3,4},KMB!W160,KMB!AA160,KMB!AE160,KMB!AI160)))</f>
        <v>0</v>
      </c>
      <c r="J160">
        <f>SUMPRODUCT((MONTH(CHOOSE({1,2,3,4},KMB!T160,KMB!X160,KMB!AB160,KMB!AF160))=10)*(CHOOSE({1,2,3,4},KMB!W160,KMB!AA160,KMB!AE160,KMB!AI160)))</f>
        <v>0</v>
      </c>
      <c r="K160">
        <f>SUMPRODUCT((MONTH(CHOOSE({1,2,3,4},KMB!T160,KMB!X160,KMB!AB160,KMB!AF160))=11)*(CHOOSE({1,2,3,4},KMB!W160,KMB!AA160,KMB!AE160,KMB!AI160)))</f>
        <v>0</v>
      </c>
      <c r="L160">
        <f>SUMPRODUCT((MONTH(CHOOSE({1,2,3,4},KMB!T160,KMB!X160,KMB!AB160,KMB!AF160))=12)*(CHOOSE({1,2,3,4},KMB!W160,KMB!AA160,KMB!AE160,KMB!AI160)))</f>
        <v>0</v>
      </c>
    </row>
    <row r="161" spans="1:12">
      <c r="A161">
        <f>SUMPRODUCT((MONTH(CHOOSE({1,2,3,4},KMB!T161,KMB!X161,KMB!AB161,KMB!AF161))=1)*(CHOOSE({1,2,3,4},KMB!W161,KMB!AA161,KMB!AE161,KMB!AI161)))</f>
        <v>0</v>
      </c>
      <c r="B161">
        <f>SUMPRODUCT((MONTH(CHOOSE({1,2,3,4},KMB!T161,KMB!X161,KMB!AB161,KMB!AF161))=2)*(CHOOSE({1,2,3,4},KMB!W161,KMB!AA161,KMB!AE161,KMB!AI161)))</f>
        <v>0</v>
      </c>
      <c r="C161">
        <f>SUMPRODUCT((MONTH(CHOOSE({1,2,3,4},KMB!T161,KMB!X161,KMB!AB161,KMB!AF161))=3)*(CHOOSE({1,2,3,4},KMB!W161,KMB!AA161,KMB!AE161,KMB!AI161)))</f>
        <v>0</v>
      </c>
      <c r="D161">
        <f>SUMPRODUCT((MONTH(CHOOSE({1,2,3,4},KMB!T161,KMB!X161,KMB!AB161,KMB!AF161))=4)*(CHOOSE({1,2,3,4},KMB!W161,KMB!AA161,KMB!AE161,KMB!AI161)))</f>
        <v>0</v>
      </c>
      <c r="E161">
        <f>SUMPRODUCT((MONTH(CHOOSE({1,2,3,4},KMB!T161,KMB!X161,KMB!AB161,KMB!AF161))=5)*(CHOOSE({1,2,3,4},KMB!W161,KMB!AA161,KMB!AE161,KMB!AI161)))</f>
        <v>0</v>
      </c>
      <c r="F161">
        <f>SUMPRODUCT((MONTH(CHOOSE({1,2,3,4},KMB!T161,KMB!X161,KMB!AB161,KMB!AF161))=6)*(CHOOSE({1,2,3,4},KMB!W161,KMB!AA161,KMB!AE161,KMB!AI161)))</f>
        <v>0</v>
      </c>
      <c r="G161">
        <f>SUMPRODUCT((MONTH(CHOOSE({1,2,3,4},KMB!T161,KMB!X161,KMB!AB161,KMB!AF161))=7)*(CHOOSE({1,2,3,4},KMB!W161,KMB!AA161,KMB!AE161,KMB!AI161)))</f>
        <v>0</v>
      </c>
      <c r="H161">
        <f>SUMPRODUCT((MONTH(CHOOSE({1,2,3,4},KMB!T161,KMB!X161,KMB!AB161,KMB!AF161))=8)*(CHOOSE({1,2,3,4},KMB!W161,KMB!AA161,KMB!AE161,KMB!AI161)))</f>
        <v>0</v>
      </c>
      <c r="I161">
        <f>SUMPRODUCT((MONTH(CHOOSE({1,2,3,4},KMB!T161,KMB!X161,KMB!AB161,KMB!AF161))=9)*(CHOOSE({1,2,3,4},KMB!W161,KMB!AA161,KMB!AE161,KMB!AI161)))</f>
        <v>0</v>
      </c>
      <c r="J161">
        <f>SUMPRODUCT((MONTH(CHOOSE({1,2,3,4},KMB!T161,KMB!X161,KMB!AB161,KMB!AF161))=10)*(CHOOSE({1,2,3,4},KMB!W161,KMB!AA161,KMB!AE161,KMB!AI161)))</f>
        <v>0</v>
      </c>
      <c r="K161">
        <f>SUMPRODUCT((MONTH(CHOOSE({1,2,3,4},KMB!T161,KMB!X161,KMB!AB161,KMB!AF161))=11)*(CHOOSE({1,2,3,4},KMB!W161,KMB!AA161,KMB!AE161,KMB!AI161)))</f>
        <v>0</v>
      </c>
      <c r="L161">
        <f>SUMPRODUCT((MONTH(CHOOSE({1,2,3,4},KMB!T161,KMB!X161,KMB!AB161,KMB!AF161))=12)*(CHOOSE({1,2,3,4},KMB!W161,KMB!AA161,KMB!AE161,KMB!AI161)))</f>
        <v>0</v>
      </c>
    </row>
    <row r="162" spans="1:12">
      <c r="A162">
        <f>SUMPRODUCT((MONTH(CHOOSE({1,2,3,4},KMB!T162,KMB!X162,KMB!AB162,KMB!AF162))=1)*(CHOOSE({1,2,3,4},KMB!W162,KMB!AA162,KMB!AE162,KMB!AI162)))</f>
        <v>0</v>
      </c>
      <c r="B162">
        <f>SUMPRODUCT((MONTH(CHOOSE({1,2,3,4},KMB!T162,KMB!X162,KMB!AB162,KMB!AF162))=2)*(CHOOSE({1,2,3,4},KMB!W162,KMB!AA162,KMB!AE162,KMB!AI162)))</f>
        <v>0</v>
      </c>
      <c r="C162">
        <f>SUMPRODUCT((MONTH(CHOOSE({1,2,3,4},KMB!T162,KMB!X162,KMB!AB162,KMB!AF162))=3)*(CHOOSE({1,2,3,4},KMB!W162,KMB!AA162,KMB!AE162,KMB!AI162)))</f>
        <v>0</v>
      </c>
      <c r="D162">
        <f>SUMPRODUCT((MONTH(CHOOSE({1,2,3,4},KMB!T162,KMB!X162,KMB!AB162,KMB!AF162))=4)*(CHOOSE({1,2,3,4},KMB!W162,KMB!AA162,KMB!AE162,KMB!AI162)))</f>
        <v>0</v>
      </c>
      <c r="E162">
        <f>SUMPRODUCT((MONTH(CHOOSE({1,2,3,4},KMB!T162,KMB!X162,KMB!AB162,KMB!AF162))=5)*(CHOOSE({1,2,3,4},KMB!W162,KMB!AA162,KMB!AE162,KMB!AI162)))</f>
        <v>0</v>
      </c>
      <c r="F162">
        <f>SUMPRODUCT((MONTH(CHOOSE({1,2,3,4},KMB!T162,KMB!X162,KMB!AB162,KMB!AF162))=6)*(CHOOSE({1,2,3,4},KMB!W162,KMB!AA162,KMB!AE162,KMB!AI162)))</f>
        <v>0</v>
      </c>
      <c r="G162">
        <f>SUMPRODUCT((MONTH(CHOOSE({1,2,3,4},KMB!T162,KMB!X162,KMB!AB162,KMB!AF162))=7)*(CHOOSE({1,2,3,4},KMB!W162,KMB!AA162,KMB!AE162,KMB!AI162)))</f>
        <v>0</v>
      </c>
      <c r="H162">
        <f>SUMPRODUCT((MONTH(CHOOSE({1,2,3,4},KMB!T162,KMB!X162,KMB!AB162,KMB!AF162))=8)*(CHOOSE({1,2,3,4},KMB!W162,KMB!AA162,KMB!AE162,KMB!AI162)))</f>
        <v>0</v>
      </c>
      <c r="I162">
        <f>SUMPRODUCT((MONTH(CHOOSE({1,2,3,4},KMB!T162,KMB!X162,KMB!AB162,KMB!AF162))=9)*(CHOOSE({1,2,3,4},KMB!W162,KMB!AA162,KMB!AE162,KMB!AI162)))</f>
        <v>0</v>
      </c>
      <c r="J162">
        <f>SUMPRODUCT((MONTH(CHOOSE({1,2,3,4},KMB!T162,KMB!X162,KMB!AB162,KMB!AF162))=10)*(CHOOSE({1,2,3,4},KMB!W162,KMB!AA162,KMB!AE162,KMB!AI162)))</f>
        <v>0</v>
      </c>
      <c r="K162">
        <f>SUMPRODUCT((MONTH(CHOOSE({1,2,3,4},KMB!T162,KMB!X162,KMB!AB162,KMB!AF162))=11)*(CHOOSE({1,2,3,4},KMB!W162,KMB!AA162,KMB!AE162,KMB!AI162)))</f>
        <v>0</v>
      </c>
      <c r="L162">
        <f>SUMPRODUCT((MONTH(CHOOSE({1,2,3,4},KMB!T162,KMB!X162,KMB!AB162,KMB!AF162))=12)*(CHOOSE({1,2,3,4},KMB!W162,KMB!AA162,KMB!AE162,KMB!AI162)))</f>
        <v>0</v>
      </c>
    </row>
    <row r="163" spans="1:12">
      <c r="A163">
        <f>SUMPRODUCT((MONTH(CHOOSE({1,2,3,4},KMB!T163,KMB!X163,KMB!AB163,KMB!AF163))=1)*(CHOOSE({1,2,3,4},KMB!W163,KMB!AA163,KMB!AE163,KMB!AI163)))</f>
        <v>0</v>
      </c>
      <c r="B163">
        <f>SUMPRODUCT((MONTH(CHOOSE({1,2,3,4},KMB!T163,KMB!X163,KMB!AB163,KMB!AF163))=2)*(CHOOSE({1,2,3,4},KMB!W163,KMB!AA163,KMB!AE163,KMB!AI163)))</f>
        <v>0</v>
      </c>
      <c r="C163">
        <f>SUMPRODUCT((MONTH(CHOOSE({1,2,3,4},KMB!T163,KMB!X163,KMB!AB163,KMB!AF163))=3)*(CHOOSE({1,2,3,4},KMB!W163,KMB!AA163,KMB!AE163,KMB!AI163)))</f>
        <v>0</v>
      </c>
      <c r="D163">
        <f>SUMPRODUCT((MONTH(CHOOSE({1,2,3,4},KMB!T163,KMB!X163,KMB!AB163,KMB!AF163))=4)*(CHOOSE({1,2,3,4},KMB!W163,KMB!AA163,KMB!AE163,KMB!AI163)))</f>
        <v>0</v>
      </c>
      <c r="E163">
        <f>SUMPRODUCT((MONTH(CHOOSE({1,2,3,4},KMB!T163,KMB!X163,KMB!AB163,KMB!AF163))=5)*(CHOOSE({1,2,3,4},KMB!W163,KMB!AA163,KMB!AE163,KMB!AI163)))</f>
        <v>0</v>
      </c>
      <c r="F163">
        <f>SUMPRODUCT((MONTH(CHOOSE({1,2,3,4},KMB!T163,KMB!X163,KMB!AB163,KMB!AF163))=6)*(CHOOSE({1,2,3,4},KMB!W163,KMB!AA163,KMB!AE163,KMB!AI163)))</f>
        <v>0</v>
      </c>
      <c r="G163">
        <f>SUMPRODUCT((MONTH(CHOOSE({1,2,3,4},KMB!T163,KMB!X163,KMB!AB163,KMB!AF163))=7)*(CHOOSE({1,2,3,4},KMB!W163,KMB!AA163,KMB!AE163,KMB!AI163)))</f>
        <v>0</v>
      </c>
      <c r="H163">
        <f>SUMPRODUCT((MONTH(CHOOSE({1,2,3,4},KMB!T163,KMB!X163,KMB!AB163,KMB!AF163))=8)*(CHOOSE({1,2,3,4},KMB!W163,KMB!AA163,KMB!AE163,KMB!AI163)))</f>
        <v>0</v>
      </c>
      <c r="I163">
        <f>SUMPRODUCT((MONTH(CHOOSE({1,2,3,4},KMB!T163,KMB!X163,KMB!AB163,KMB!AF163))=9)*(CHOOSE({1,2,3,4},KMB!W163,KMB!AA163,KMB!AE163,KMB!AI163)))</f>
        <v>0</v>
      </c>
      <c r="J163">
        <f>SUMPRODUCT((MONTH(CHOOSE({1,2,3,4},KMB!T163,KMB!X163,KMB!AB163,KMB!AF163))=10)*(CHOOSE({1,2,3,4},KMB!W163,KMB!AA163,KMB!AE163,KMB!AI163)))</f>
        <v>0</v>
      </c>
      <c r="K163">
        <f>SUMPRODUCT((MONTH(CHOOSE({1,2,3,4},KMB!T163,KMB!X163,KMB!AB163,KMB!AF163))=11)*(CHOOSE({1,2,3,4},KMB!W163,KMB!AA163,KMB!AE163,KMB!AI163)))</f>
        <v>0</v>
      </c>
      <c r="L163">
        <f>SUMPRODUCT((MONTH(CHOOSE({1,2,3,4},KMB!T163,KMB!X163,KMB!AB163,KMB!AF163))=12)*(CHOOSE({1,2,3,4},KMB!W163,KMB!AA163,KMB!AE163,KMB!AI163)))</f>
        <v>0</v>
      </c>
    </row>
    <row r="164" spans="1:12">
      <c r="A164">
        <f>SUMPRODUCT((MONTH(CHOOSE({1,2,3,4},KMB!T164,KMB!X164,KMB!AB164,KMB!AF164))=1)*(CHOOSE({1,2,3,4},KMB!W164,KMB!AA164,KMB!AE164,KMB!AI164)))</f>
        <v>0</v>
      </c>
      <c r="B164">
        <f>SUMPRODUCT((MONTH(CHOOSE({1,2,3,4},KMB!T164,KMB!X164,KMB!AB164,KMB!AF164))=2)*(CHOOSE({1,2,3,4},KMB!W164,KMB!AA164,KMB!AE164,KMB!AI164)))</f>
        <v>0</v>
      </c>
      <c r="C164">
        <f>SUMPRODUCT((MONTH(CHOOSE({1,2,3,4},KMB!T164,KMB!X164,KMB!AB164,KMB!AF164))=3)*(CHOOSE({1,2,3,4},KMB!W164,KMB!AA164,KMB!AE164,KMB!AI164)))</f>
        <v>0</v>
      </c>
      <c r="D164">
        <f>SUMPRODUCT((MONTH(CHOOSE({1,2,3,4},KMB!T164,KMB!X164,KMB!AB164,KMB!AF164))=4)*(CHOOSE({1,2,3,4},KMB!W164,KMB!AA164,KMB!AE164,KMB!AI164)))</f>
        <v>0</v>
      </c>
      <c r="E164">
        <f>SUMPRODUCT((MONTH(CHOOSE({1,2,3,4},KMB!T164,KMB!X164,KMB!AB164,KMB!AF164))=5)*(CHOOSE({1,2,3,4},KMB!W164,KMB!AA164,KMB!AE164,KMB!AI164)))</f>
        <v>0</v>
      </c>
      <c r="F164">
        <f>SUMPRODUCT((MONTH(CHOOSE({1,2,3,4},KMB!T164,KMB!X164,KMB!AB164,KMB!AF164))=6)*(CHOOSE({1,2,3,4},KMB!W164,KMB!AA164,KMB!AE164,KMB!AI164)))</f>
        <v>0</v>
      </c>
      <c r="G164">
        <f>SUMPRODUCT((MONTH(CHOOSE({1,2,3,4},KMB!T164,KMB!X164,KMB!AB164,KMB!AF164))=7)*(CHOOSE({1,2,3,4},KMB!W164,KMB!AA164,KMB!AE164,KMB!AI164)))</f>
        <v>0</v>
      </c>
      <c r="H164">
        <f>SUMPRODUCT((MONTH(CHOOSE({1,2,3,4},KMB!T164,KMB!X164,KMB!AB164,KMB!AF164))=8)*(CHOOSE({1,2,3,4},KMB!W164,KMB!AA164,KMB!AE164,KMB!AI164)))</f>
        <v>0</v>
      </c>
      <c r="I164">
        <f>SUMPRODUCT((MONTH(CHOOSE({1,2,3,4},KMB!T164,KMB!X164,KMB!AB164,KMB!AF164))=9)*(CHOOSE({1,2,3,4},KMB!W164,KMB!AA164,KMB!AE164,KMB!AI164)))</f>
        <v>0</v>
      </c>
      <c r="J164">
        <f>SUMPRODUCT((MONTH(CHOOSE({1,2,3,4},KMB!T164,KMB!X164,KMB!AB164,KMB!AF164))=10)*(CHOOSE({1,2,3,4},KMB!W164,KMB!AA164,KMB!AE164,KMB!AI164)))</f>
        <v>0</v>
      </c>
      <c r="K164">
        <f>SUMPRODUCT((MONTH(CHOOSE({1,2,3,4},KMB!T164,KMB!X164,KMB!AB164,KMB!AF164))=11)*(CHOOSE({1,2,3,4},KMB!W164,KMB!AA164,KMB!AE164,KMB!AI164)))</f>
        <v>0</v>
      </c>
      <c r="L164">
        <f>SUMPRODUCT((MONTH(CHOOSE({1,2,3,4},KMB!T164,KMB!X164,KMB!AB164,KMB!AF164))=12)*(CHOOSE({1,2,3,4},KMB!W164,KMB!AA164,KMB!AE164,KMB!AI164)))</f>
        <v>0</v>
      </c>
    </row>
    <row r="165" spans="1:12">
      <c r="A165">
        <f>SUMPRODUCT((MONTH(CHOOSE({1,2,3,4},KMB!T165,KMB!X165,KMB!AB165,KMB!AF165))=1)*(CHOOSE({1,2,3,4},KMB!W165,KMB!AA165,KMB!AE165,KMB!AI165)))</f>
        <v>0</v>
      </c>
      <c r="B165">
        <f>SUMPRODUCT((MONTH(CHOOSE({1,2,3,4},KMB!T165,KMB!X165,KMB!AB165,KMB!AF165))=2)*(CHOOSE({1,2,3,4},KMB!W165,KMB!AA165,KMB!AE165,KMB!AI165)))</f>
        <v>0</v>
      </c>
      <c r="C165">
        <f>SUMPRODUCT((MONTH(CHOOSE({1,2,3,4},KMB!T165,KMB!X165,KMB!AB165,KMB!AF165))=3)*(CHOOSE({1,2,3,4},KMB!W165,KMB!AA165,KMB!AE165,KMB!AI165)))</f>
        <v>0</v>
      </c>
      <c r="D165">
        <f>SUMPRODUCT((MONTH(CHOOSE({1,2,3,4},KMB!T165,KMB!X165,KMB!AB165,KMB!AF165))=4)*(CHOOSE({1,2,3,4},KMB!W165,KMB!AA165,KMB!AE165,KMB!AI165)))</f>
        <v>0</v>
      </c>
      <c r="E165">
        <f>SUMPRODUCT((MONTH(CHOOSE({1,2,3,4},KMB!T165,KMB!X165,KMB!AB165,KMB!AF165))=5)*(CHOOSE({1,2,3,4},KMB!W165,KMB!AA165,KMB!AE165,KMB!AI165)))</f>
        <v>0</v>
      </c>
      <c r="F165">
        <f>SUMPRODUCT((MONTH(CHOOSE({1,2,3,4},KMB!T165,KMB!X165,KMB!AB165,KMB!AF165))=6)*(CHOOSE({1,2,3,4},KMB!W165,KMB!AA165,KMB!AE165,KMB!AI165)))</f>
        <v>0</v>
      </c>
      <c r="G165">
        <f>SUMPRODUCT((MONTH(CHOOSE({1,2,3,4},KMB!T165,KMB!X165,KMB!AB165,KMB!AF165))=7)*(CHOOSE({1,2,3,4},KMB!W165,KMB!AA165,KMB!AE165,KMB!AI165)))</f>
        <v>0</v>
      </c>
      <c r="H165">
        <f>SUMPRODUCT((MONTH(CHOOSE({1,2,3,4},KMB!T165,KMB!X165,KMB!AB165,KMB!AF165))=8)*(CHOOSE({1,2,3,4},KMB!W165,KMB!AA165,KMB!AE165,KMB!AI165)))</f>
        <v>0</v>
      </c>
      <c r="I165">
        <f>SUMPRODUCT((MONTH(CHOOSE({1,2,3,4},KMB!T165,KMB!X165,KMB!AB165,KMB!AF165))=9)*(CHOOSE({1,2,3,4},KMB!W165,KMB!AA165,KMB!AE165,KMB!AI165)))</f>
        <v>0</v>
      </c>
      <c r="J165">
        <f>SUMPRODUCT((MONTH(CHOOSE({1,2,3,4},KMB!T165,KMB!X165,KMB!AB165,KMB!AF165))=10)*(CHOOSE({1,2,3,4},KMB!W165,KMB!AA165,KMB!AE165,KMB!AI165)))</f>
        <v>0</v>
      </c>
      <c r="K165">
        <f>SUMPRODUCT((MONTH(CHOOSE({1,2,3,4},KMB!T165,KMB!X165,KMB!AB165,KMB!AF165))=11)*(CHOOSE({1,2,3,4},KMB!W165,KMB!AA165,KMB!AE165,KMB!AI165)))</f>
        <v>0</v>
      </c>
      <c r="L165">
        <f>SUMPRODUCT((MONTH(CHOOSE({1,2,3,4},KMB!T165,KMB!X165,KMB!AB165,KMB!AF165))=12)*(CHOOSE({1,2,3,4},KMB!W165,KMB!AA165,KMB!AE165,KMB!AI165)))</f>
        <v>0</v>
      </c>
    </row>
    <row r="166" spans="1:12">
      <c r="A166">
        <f>SUMPRODUCT((MONTH(CHOOSE({1,2,3,4},KMB!T166,KMB!X166,KMB!AB166,KMB!AF166))=1)*(CHOOSE({1,2,3,4},KMB!W166,KMB!AA166,KMB!AE166,KMB!AI166)))</f>
        <v>0</v>
      </c>
      <c r="B166">
        <f>SUMPRODUCT((MONTH(CHOOSE({1,2,3,4},KMB!T166,KMB!X166,KMB!AB166,KMB!AF166))=2)*(CHOOSE({1,2,3,4},KMB!W166,KMB!AA166,KMB!AE166,KMB!AI166)))</f>
        <v>0</v>
      </c>
      <c r="C166">
        <f>SUMPRODUCT((MONTH(CHOOSE({1,2,3,4},KMB!T166,KMB!X166,KMB!AB166,KMB!AF166))=3)*(CHOOSE({1,2,3,4},KMB!W166,KMB!AA166,KMB!AE166,KMB!AI166)))</f>
        <v>0</v>
      </c>
      <c r="D166">
        <f>SUMPRODUCT((MONTH(CHOOSE({1,2,3,4},KMB!T166,KMB!X166,KMB!AB166,KMB!AF166))=4)*(CHOOSE({1,2,3,4},KMB!W166,KMB!AA166,KMB!AE166,KMB!AI166)))</f>
        <v>0</v>
      </c>
      <c r="E166">
        <f>SUMPRODUCT((MONTH(CHOOSE({1,2,3,4},KMB!T166,KMB!X166,KMB!AB166,KMB!AF166))=5)*(CHOOSE({1,2,3,4},KMB!W166,KMB!AA166,KMB!AE166,KMB!AI166)))</f>
        <v>0</v>
      </c>
      <c r="F166">
        <f>SUMPRODUCT((MONTH(CHOOSE({1,2,3,4},KMB!T166,KMB!X166,KMB!AB166,KMB!AF166))=6)*(CHOOSE({1,2,3,4},KMB!W166,KMB!AA166,KMB!AE166,KMB!AI166)))</f>
        <v>0</v>
      </c>
      <c r="G166">
        <f>SUMPRODUCT((MONTH(CHOOSE({1,2,3,4},KMB!T166,KMB!X166,KMB!AB166,KMB!AF166))=7)*(CHOOSE({1,2,3,4},KMB!W166,KMB!AA166,KMB!AE166,KMB!AI166)))</f>
        <v>0</v>
      </c>
      <c r="H166">
        <f>SUMPRODUCT((MONTH(CHOOSE({1,2,3,4},KMB!T166,KMB!X166,KMB!AB166,KMB!AF166))=8)*(CHOOSE({1,2,3,4},KMB!W166,KMB!AA166,KMB!AE166,KMB!AI166)))</f>
        <v>0</v>
      </c>
      <c r="I166">
        <f>SUMPRODUCT((MONTH(CHOOSE({1,2,3,4},KMB!T166,KMB!X166,KMB!AB166,KMB!AF166))=9)*(CHOOSE({1,2,3,4},KMB!W166,KMB!AA166,KMB!AE166,KMB!AI166)))</f>
        <v>0</v>
      </c>
      <c r="J166">
        <f>SUMPRODUCT((MONTH(CHOOSE({1,2,3,4},KMB!T166,KMB!X166,KMB!AB166,KMB!AF166))=10)*(CHOOSE({1,2,3,4},KMB!W166,KMB!AA166,KMB!AE166,KMB!AI166)))</f>
        <v>0</v>
      </c>
      <c r="K166">
        <f>SUMPRODUCT((MONTH(CHOOSE({1,2,3,4},KMB!T166,KMB!X166,KMB!AB166,KMB!AF166))=11)*(CHOOSE({1,2,3,4},KMB!W166,KMB!AA166,KMB!AE166,KMB!AI166)))</f>
        <v>0</v>
      </c>
      <c r="L166">
        <f>SUMPRODUCT((MONTH(CHOOSE({1,2,3,4},KMB!T166,KMB!X166,KMB!AB166,KMB!AF166))=12)*(CHOOSE({1,2,3,4},KMB!W166,KMB!AA166,KMB!AE166,KMB!AI166)))</f>
        <v>0</v>
      </c>
    </row>
    <row r="167" spans="1:12">
      <c r="A167">
        <f>SUMPRODUCT((MONTH(CHOOSE({1,2,3,4},KMB!T167,KMB!X167,KMB!AB167,KMB!AF167))=1)*(CHOOSE({1,2,3,4},KMB!W167,KMB!AA167,KMB!AE167,KMB!AI167)))</f>
        <v>0</v>
      </c>
      <c r="B167">
        <f>SUMPRODUCT((MONTH(CHOOSE({1,2,3,4},KMB!T167,KMB!X167,KMB!AB167,KMB!AF167))=2)*(CHOOSE({1,2,3,4},KMB!W167,KMB!AA167,KMB!AE167,KMB!AI167)))</f>
        <v>0</v>
      </c>
      <c r="C167">
        <f>SUMPRODUCT((MONTH(CHOOSE({1,2,3,4},KMB!T167,KMB!X167,KMB!AB167,KMB!AF167))=3)*(CHOOSE({1,2,3,4},KMB!W167,KMB!AA167,KMB!AE167,KMB!AI167)))</f>
        <v>0</v>
      </c>
      <c r="D167">
        <f>SUMPRODUCT((MONTH(CHOOSE({1,2,3,4},KMB!T167,KMB!X167,KMB!AB167,KMB!AF167))=4)*(CHOOSE({1,2,3,4},KMB!W167,KMB!AA167,KMB!AE167,KMB!AI167)))</f>
        <v>0</v>
      </c>
      <c r="E167">
        <f>SUMPRODUCT((MONTH(CHOOSE({1,2,3,4},KMB!T167,KMB!X167,KMB!AB167,KMB!AF167))=5)*(CHOOSE({1,2,3,4},KMB!W167,KMB!AA167,KMB!AE167,KMB!AI167)))</f>
        <v>0</v>
      </c>
      <c r="F167">
        <f>SUMPRODUCT((MONTH(CHOOSE({1,2,3,4},KMB!T167,KMB!X167,KMB!AB167,KMB!AF167))=6)*(CHOOSE({1,2,3,4},KMB!W167,KMB!AA167,KMB!AE167,KMB!AI167)))</f>
        <v>0</v>
      </c>
      <c r="G167">
        <f>SUMPRODUCT((MONTH(CHOOSE({1,2,3,4},KMB!T167,KMB!X167,KMB!AB167,KMB!AF167))=7)*(CHOOSE({1,2,3,4},KMB!W167,KMB!AA167,KMB!AE167,KMB!AI167)))</f>
        <v>0</v>
      </c>
      <c r="H167">
        <f>SUMPRODUCT((MONTH(CHOOSE({1,2,3,4},KMB!T167,KMB!X167,KMB!AB167,KMB!AF167))=8)*(CHOOSE({1,2,3,4},KMB!W167,KMB!AA167,KMB!AE167,KMB!AI167)))</f>
        <v>0</v>
      </c>
      <c r="I167">
        <f>SUMPRODUCT((MONTH(CHOOSE({1,2,3,4},KMB!T167,KMB!X167,KMB!AB167,KMB!AF167))=9)*(CHOOSE({1,2,3,4},KMB!W167,KMB!AA167,KMB!AE167,KMB!AI167)))</f>
        <v>0</v>
      </c>
      <c r="J167">
        <f>SUMPRODUCT((MONTH(CHOOSE({1,2,3,4},KMB!T167,KMB!X167,KMB!AB167,KMB!AF167))=10)*(CHOOSE({1,2,3,4},KMB!W167,KMB!AA167,KMB!AE167,KMB!AI167)))</f>
        <v>0</v>
      </c>
      <c r="K167">
        <f>SUMPRODUCT((MONTH(CHOOSE({1,2,3,4},KMB!T167,KMB!X167,KMB!AB167,KMB!AF167))=11)*(CHOOSE({1,2,3,4},KMB!W167,KMB!AA167,KMB!AE167,KMB!AI167)))</f>
        <v>0</v>
      </c>
      <c r="L167">
        <f>SUMPRODUCT((MONTH(CHOOSE({1,2,3,4},KMB!T167,KMB!X167,KMB!AB167,KMB!AF167))=12)*(CHOOSE({1,2,3,4},KMB!W167,KMB!AA167,KMB!AE167,KMB!AI167)))</f>
        <v>0</v>
      </c>
    </row>
    <row r="168" spans="1:12">
      <c r="A168">
        <f>SUMPRODUCT((MONTH(CHOOSE({1,2,3,4},KMB!T168,KMB!X168,KMB!AB168,KMB!AF168))=1)*(CHOOSE({1,2,3,4},KMB!W168,KMB!AA168,KMB!AE168,KMB!AI168)))</f>
        <v>0</v>
      </c>
      <c r="B168">
        <f>SUMPRODUCT((MONTH(CHOOSE({1,2,3,4},KMB!T168,KMB!X168,KMB!AB168,KMB!AF168))=2)*(CHOOSE({1,2,3,4},KMB!W168,KMB!AA168,KMB!AE168,KMB!AI168)))</f>
        <v>0</v>
      </c>
      <c r="C168">
        <f>SUMPRODUCT((MONTH(CHOOSE({1,2,3,4},KMB!T168,KMB!X168,KMB!AB168,KMB!AF168))=3)*(CHOOSE({1,2,3,4},KMB!W168,KMB!AA168,KMB!AE168,KMB!AI168)))</f>
        <v>0</v>
      </c>
      <c r="D168">
        <f>SUMPRODUCT((MONTH(CHOOSE({1,2,3,4},KMB!T168,KMB!X168,KMB!AB168,KMB!AF168))=4)*(CHOOSE({1,2,3,4},KMB!W168,KMB!AA168,KMB!AE168,KMB!AI168)))</f>
        <v>0</v>
      </c>
      <c r="E168">
        <f>SUMPRODUCT((MONTH(CHOOSE({1,2,3,4},KMB!T168,KMB!X168,KMB!AB168,KMB!AF168))=5)*(CHOOSE({1,2,3,4},KMB!W168,KMB!AA168,KMB!AE168,KMB!AI168)))</f>
        <v>0</v>
      </c>
      <c r="F168">
        <f>SUMPRODUCT((MONTH(CHOOSE({1,2,3,4},KMB!T168,KMB!X168,KMB!AB168,KMB!AF168))=6)*(CHOOSE({1,2,3,4},KMB!W168,KMB!AA168,KMB!AE168,KMB!AI168)))</f>
        <v>0</v>
      </c>
      <c r="G168">
        <f>SUMPRODUCT((MONTH(CHOOSE({1,2,3,4},KMB!T168,KMB!X168,KMB!AB168,KMB!AF168))=7)*(CHOOSE({1,2,3,4},KMB!W168,KMB!AA168,KMB!AE168,KMB!AI168)))</f>
        <v>0</v>
      </c>
      <c r="H168">
        <f>SUMPRODUCT((MONTH(CHOOSE({1,2,3,4},KMB!T168,KMB!X168,KMB!AB168,KMB!AF168))=8)*(CHOOSE({1,2,3,4},KMB!W168,KMB!AA168,KMB!AE168,KMB!AI168)))</f>
        <v>0</v>
      </c>
      <c r="I168">
        <f>SUMPRODUCT((MONTH(CHOOSE({1,2,3,4},KMB!T168,KMB!X168,KMB!AB168,KMB!AF168))=9)*(CHOOSE({1,2,3,4},KMB!W168,KMB!AA168,KMB!AE168,KMB!AI168)))</f>
        <v>0</v>
      </c>
      <c r="J168">
        <f>SUMPRODUCT((MONTH(CHOOSE({1,2,3,4},KMB!T168,KMB!X168,KMB!AB168,KMB!AF168))=10)*(CHOOSE({1,2,3,4},KMB!W168,KMB!AA168,KMB!AE168,KMB!AI168)))</f>
        <v>0</v>
      </c>
      <c r="K168">
        <f>SUMPRODUCT((MONTH(CHOOSE({1,2,3,4},KMB!T168,KMB!X168,KMB!AB168,KMB!AF168))=11)*(CHOOSE({1,2,3,4},KMB!W168,KMB!AA168,KMB!AE168,KMB!AI168)))</f>
        <v>0</v>
      </c>
      <c r="L168">
        <f>SUMPRODUCT((MONTH(CHOOSE({1,2,3,4},KMB!T168,KMB!X168,KMB!AB168,KMB!AF168))=12)*(CHOOSE({1,2,3,4},KMB!W168,KMB!AA168,KMB!AE168,KMB!AI168)))</f>
        <v>0</v>
      </c>
    </row>
    <row r="169" spans="1:12">
      <c r="A169">
        <f>SUMPRODUCT((MONTH(CHOOSE({1,2,3,4},KMB!T169,KMB!X169,KMB!AB169,KMB!AF169))=1)*(CHOOSE({1,2,3,4},KMB!W169,KMB!AA169,KMB!AE169,KMB!AI169)))</f>
        <v>0</v>
      </c>
      <c r="B169">
        <f>SUMPRODUCT((MONTH(CHOOSE({1,2,3,4},KMB!T169,KMB!X169,KMB!AB169,KMB!AF169))=2)*(CHOOSE({1,2,3,4},KMB!W169,KMB!AA169,KMB!AE169,KMB!AI169)))</f>
        <v>0</v>
      </c>
      <c r="C169">
        <f>SUMPRODUCT((MONTH(CHOOSE({1,2,3,4},KMB!T169,KMB!X169,KMB!AB169,KMB!AF169))=3)*(CHOOSE({1,2,3,4},KMB!W169,KMB!AA169,KMB!AE169,KMB!AI169)))</f>
        <v>0</v>
      </c>
      <c r="D169">
        <f>SUMPRODUCT((MONTH(CHOOSE({1,2,3,4},KMB!T169,KMB!X169,KMB!AB169,KMB!AF169))=4)*(CHOOSE({1,2,3,4},KMB!W169,KMB!AA169,KMB!AE169,KMB!AI169)))</f>
        <v>0</v>
      </c>
      <c r="E169">
        <f>SUMPRODUCT((MONTH(CHOOSE({1,2,3,4},KMB!T169,KMB!X169,KMB!AB169,KMB!AF169))=5)*(CHOOSE({1,2,3,4},KMB!W169,KMB!AA169,KMB!AE169,KMB!AI169)))</f>
        <v>0</v>
      </c>
      <c r="F169">
        <f>SUMPRODUCT((MONTH(CHOOSE({1,2,3,4},KMB!T169,KMB!X169,KMB!AB169,KMB!AF169))=6)*(CHOOSE({1,2,3,4},KMB!W169,KMB!AA169,KMB!AE169,KMB!AI169)))</f>
        <v>0</v>
      </c>
      <c r="G169">
        <f>SUMPRODUCT((MONTH(CHOOSE({1,2,3,4},KMB!T169,KMB!X169,KMB!AB169,KMB!AF169))=7)*(CHOOSE({1,2,3,4},KMB!W169,KMB!AA169,KMB!AE169,KMB!AI169)))</f>
        <v>0</v>
      </c>
      <c r="H169">
        <f>SUMPRODUCT((MONTH(CHOOSE({1,2,3,4},KMB!T169,KMB!X169,KMB!AB169,KMB!AF169))=8)*(CHOOSE({1,2,3,4},KMB!W169,KMB!AA169,KMB!AE169,KMB!AI169)))</f>
        <v>0</v>
      </c>
      <c r="I169">
        <f>SUMPRODUCT((MONTH(CHOOSE({1,2,3,4},KMB!T169,KMB!X169,KMB!AB169,KMB!AF169))=9)*(CHOOSE({1,2,3,4},KMB!W169,KMB!AA169,KMB!AE169,KMB!AI169)))</f>
        <v>0</v>
      </c>
      <c r="J169">
        <f>SUMPRODUCT((MONTH(CHOOSE({1,2,3,4},KMB!T169,KMB!X169,KMB!AB169,KMB!AF169))=10)*(CHOOSE({1,2,3,4},KMB!W169,KMB!AA169,KMB!AE169,KMB!AI169)))</f>
        <v>0</v>
      </c>
      <c r="K169">
        <f>SUMPRODUCT((MONTH(CHOOSE({1,2,3,4},KMB!T169,KMB!X169,KMB!AB169,KMB!AF169))=11)*(CHOOSE({1,2,3,4},KMB!W169,KMB!AA169,KMB!AE169,KMB!AI169)))</f>
        <v>0</v>
      </c>
      <c r="L169">
        <f>SUMPRODUCT((MONTH(CHOOSE({1,2,3,4},KMB!T169,KMB!X169,KMB!AB169,KMB!AF169))=12)*(CHOOSE({1,2,3,4},KMB!W169,KMB!AA169,KMB!AE169,KMB!AI169)))</f>
        <v>0</v>
      </c>
    </row>
    <row r="170" spans="1:12">
      <c r="A170">
        <f>SUMPRODUCT((MONTH(CHOOSE({1,2,3,4},KMB!T170,KMB!X170,KMB!AB170,KMB!AF170))=1)*(CHOOSE({1,2,3,4},KMB!W170,KMB!AA170,KMB!AE170,KMB!AI170)))</f>
        <v>0</v>
      </c>
      <c r="B170">
        <f>SUMPRODUCT((MONTH(CHOOSE({1,2,3,4},KMB!T170,KMB!X170,KMB!AB170,KMB!AF170))=2)*(CHOOSE({1,2,3,4},KMB!W170,KMB!AA170,KMB!AE170,KMB!AI170)))</f>
        <v>0</v>
      </c>
      <c r="C170">
        <f>SUMPRODUCT((MONTH(CHOOSE({1,2,3,4},KMB!T170,KMB!X170,KMB!AB170,KMB!AF170))=3)*(CHOOSE({1,2,3,4},KMB!W170,KMB!AA170,KMB!AE170,KMB!AI170)))</f>
        <v>0</v>
      </c>
      <c r="D170">
        <f>SUMPRODUCT((MONTH(CHOOSE({1,2,3,4},KMB!T170,KMB!X170,KMB!AB170,KMB!AF170))=4)*(CHOOSE({1,2,3,4},KMB!W170,KMB!AA170,KMB!AE170,KMB!AI170)))</f>
        <v>0</v>
      </c>
      <c r="E170">
        <f>SUMPRODUCT((MONTH(CHOOSE({1,2,3,4},KMB!T170,KMB!X170,KMB!AB170,KMB!AF170))=5)*(CHOOSE({1,2,3,4},KMB!W170,KMB!AA170,KMB!AE170,KMB!AI170)))</f>
        <v>0</v>
      </c>
      <c r="F170">
        <f>SUMPRODUCT((MONTH(CHOOSE({1,2,3,4},KMB!T170,KMB!X170,KMB!AB170,KMB!AF170))=6)*(CHOOSE({1,2,3,4},KMB!W170,KMB!AA170,KMB!AE170,KMB!AI170)))</f>
        <v>0</v>
      </c>
      <c r="G170">
        <f>SUMPRODUCT((MONTH(CHOOSE({1,2,3,4},KMB!T170,KMB!X170,KMB!AB170,KMB!AF170))=7)*(CHOOSE({1,2,3,4},KMB!W170,KMB!AA170,KMB!AE170,KMB!AI170)))</f>
        <v>0</v>
      </c>
      <c r="H170">
        <f>SUMPRODUCT((MONTH(CHOOSE({1,2,3,4},KMB!T170,KMB!X170,KMB!AB170,KMB!AF170))=8)*(CHOOSE({1,2,3,4},KMB!W170,KMB!AA170,KMB!AE170,KMB!AI170)))</f>
        <v>0</v>
      </c>
      <c r="I170">
        <f>SUMPRODUCT((MONTH(CHOOSE({1,2,3,4},KMB!T170,KMB!X170,KMB!AB170,KMB!AF170))=9)*(CHOOSE({1,2,3,4},KMB!W170,KMB!AA170,KMB!AE170,KMB!AI170)))</f>
        <v>0</v>
      </c>
      <c r="J170">
        <f>SUMPRODUCT((MONTH(CHOOSE({1,2,3,4},KMB!T170,KMB!X170,KMB!AB170,KMB!AF170))=10)*(CHOOSE({1,2,3,4},KMB!W170,KMB!AA170,KMB!AE170,KMB!AI170)))</f>
        <v>0</v>
      </c>
      <c r="K170">
        <f>SUMPRODUCT((MONTH(CHOOSE({1,2,3,4},KMB!T170,KMB!X170,KMB!AB170,KMB!AF170))=11)*(CHOOSE({1,2,3,4},KMB!W170,KMB!AA170,KMB!AE170,KMB!AI170)))</f>
        <v>0</v>
      </c>
      <c r="L170">
        <f>SUMPRODUCT((MONTH(CHOOSE({1,2,3,4},KMB!T170,KMB!X170,KMB!AB170,KMB!AF170))=12)*(CHOOSE({1,2,3,4},KMB!W170,KMB!AA170,KMB!AE170,KMB!AI170)))</f>
        <v>0</v>
      </c>
    </row>
    <row r="171" spans="1:12">
      <c r="A171">
        <f>SUMPRODUCT((MONTH(CHOOSE({1,2,3,4},KMB!T171,KMB!X171,KMB!AB171,KMB!AF171))=1)*(CHOOSE({1,2,3,4},KMB!W171,KMB!AA171,KMB!AE171,KMB!AI171)))</f>
        <v>0</v>
      </c>
      <c r="B171">
        <f>SUMPRODUCT((MONTH(CHOOSE({1,2,3,4},KMB!T171,KMB!X171,KMB!AB171,KMB!AF171))=2)*(CHOOSE({1,2,3,4},KMB!W171,KMB!AA171,KMB!AE171,KMB!AI171)))</f>
        <v>0</v>
      </c>
      <c r="C171">
        <f>SUMPRODUCT((MONTH(CHOOSE({1,2,3,4},KMB!T171,KMB!X171,KMB!AB171,KMB!AF171))=3)*(CHOOSE({1,2,3,4},KMB!W171,KMB!AA171,KMB!AE171,KMB!AI171)))</f>
        <v>0</v>
      </c>
      <c r="D171">
        <f>SUMPRODUCT((MONTH(CHOOSE({1,2,3,4},KMB!T171,KMB!X171,KMB!AB171,KMB!AF171))=4)*(CHOOSE({1,2,3,4},KMB!W171,KMB!AA171,KMB!AE171,KMB!AI171)))</f>
        <v>0</v>
      </c>
      <c r="E171">
        <f>SUMPRODUCT((MONTH(CHOOSE({1,2,3,4},KMB!T171,KMB!X171,KMB!AB171,KMB!AF171))=5)*(CHOOSE({1,2,3,4},KMB!W171,KMB!AA171,KMB!AE171,KMB!AI171)))</f>
        <v>0</v>
      </c>
      <c r="F171">
        <f>SUMPRODUCT((MONTH(CHOOSE({1,2,3,4},KMB!T171,KMB!X171,KMB!AB171,KMB!AF171))=6)*(CHOOSE({1,2,3,4},KMB!W171,KMB!AA171,KMB!AE171,KMB!AI171)))</f>
        <v>0</v>
      </c>
      <c r="G171">
        <f>SUMPRODUCT((MONTH(CHOOSE({1,2,3,4},KMB!T171,KMB!X171,KMB!AB171,KMB!AF171))=7)*(CHOOSE({1,2,3,4},KMB!W171,KMB!AA171,KMB!AE171,KMB!AI171)))</f>
        <v>0</v>
      </c>
      <c r="H171">
        <f>SUMPRODUCT((MONTH(CHOOSE({1,2,3,4},KMB!T171,KMB!X171,KMB!AB171,KMB!AF171))=8)*(CHOOSE({1,2,3,4},KMB!W171,KMB!AA171,KMB!AE171,KMB!AI171)))</f>
        <v>0</v>
      </c>
      <c r="I171">
        <f>SUMPRODUCT((MONTH(CHOOSE({1,2,3,4},KMB!T171,KMB!X171,KMB!AB171,KMB!AF171))=9)*(CHOOSE({1,2,3,4},KMB!W171,KMB!AA171,KMB!AE171,KMB!AI171)))</f>
        <v>0</v>
      </c>
      <c r="J171">
        <f>SUMPRODUCT((MONTH(CHOOSE({1,2,3,4},KMB!T171,KMB!X171,KMB!AB171,KMB!AF171))=10)*(CHOOSE({1,2,3,4},KMB!W171,KMB!AA171,KMB!AE171,KMB!AI171)))</f>
        <v>0</v>
      </c>
      <c r="K171">
        <f>SUMPRODUCT((MONTH(CHOOSE({1,2,3,4},KMB!T171,KMB!X171,KMB!AB171,KMB!AF171))=11)*(CHOOSE({1,2,3,4},KMB!W171,KMB!AA171,KMB!AE171,KMB!AI171)))</f>
        <v>0</v>
      </c>
      <c r="L171">
        <f>SUMPRODUCT((MONTH(CHOOSE({1,2,3,4},KMB!T171,KMB!X171,KMB!AB171,KMB!AF171))=12)*(CHOOSE({1,2,3,4},KMB!W171,KMB!AA171,KMB!AE171,KMB!AI171)))</f>
        <v>0</v>
      </c>
    </row>
    <row r="172" spans="1:12">
      <c r="A172">
        <f>SUMPRODUCT((MONTH(CHOOSE({1,2,3,4},KMB!T172,KMB!X172,KMB!AB172,KMB!AF172))=1)*(CHOOSE({1,2,3,4},KMB!W172,KMB!AA172,KMB!AE172,KMB!AI172)))</f>
        <v>0</v>
      </c>
      <c r="B172">
        <f>SUMPRODUCT((MONTH(CHOOSE({1,2,3,4},KMB!T172,KMB!X172,KMB!AB172,KMB!AF172))=2)*(CHOOSE({1,2,3,4},KMB!W172,KMB!AA172,KMB!AE172,KMB!AI172)))</f>
        <v>0</v>
      </c>
      <c r="C172">
        <f>SUMPRODUCT((MONTH(CHOOSE({1,2,3,4},KMB!T172,KMB!X172,KMB!AB172,KMB!AF172))=3)*(CHOOSE({1,2,3,4},KMB!W172,KMB!AA172,KMB!AE172,KMB!AI172)))</f>
        <v>0</v>
      </c>
      <c r="D172">
        <f>SUMPRODUCT((MONTH(CHOOSE({1,2,3,4},KMB!T172,KMB!X172,KMB!AB172,KMB!AF172))=4)*(CHOOSE({1,2,3,4},KMB!W172,KMB!AA172,KMB!AE172,KMB!AI172)))</f>
        <v>0</v>
      </c>
      <c r="E172">
        <f>SUMPRODUCT((MONTH(CHOOSE({1,2,3,4},KMB!T172,KMB!X172,KMB!AB172,KMB!AF172))=5)*(CHOOSE({1,2,3,4},KMB!W172,KMB!AA172,KMB!AE172,KMB!AI172)))</f>
        <v>0</v>
      </c>
      <c r="F172">
        <f>SUMPRODUCT((MONTH(CHOOSE({1,2,3,4},KMB!T172,KMB!X172,KMB!AB172,KMB!AF172))=6)*(CHOOSE({1,2,3,4},KMB!W172,KMB!AA172,KMB!AE172,KMB!AI172)))</f>
        <v>0</v>
      </c>
      <c r="G172">
        <f>SUMPRODUCT((MONTH(CHOOSE({1,2,3,4},KMB!T172,KMB!X172,KMB!AB172,KMB!AF172))=7)*(CHOOSE({1,2,3,4},KMB!W172,KMB!AA172,KMB!AE172,KMB!AI172)))</f>
        <v>0</v>
      </c>
      <c r="H172">
        <f>SUMPRODUCT((MONTH(CHOOSE({1,2,3,4},KMB!T172,KMB!X172,KMB!AB172,KMB!AF172))=8)*(CHOOSE({1,2,3,4},KMB!W172,KMB!AA172,KMB!AE172,KMB!AI172)))</f>
        <v>0</v>
      </c>
      <c r="I172">
        <f>SUMPRODUCT((MONTH(CHOOSE({1,2,3,4},KMB!T172,KMB!X172,KMB!AB172,KMB!AF172))=9)*(CHOOSE({1,2,3,4},KMB!W172,KMB!AA172,KMB!AE172,KMB!AI172)))</f>
        <v>0</v>
      </c>
      <c r="J172">
        <f>SUMPRODUCT((MONTH(CHOOSE({1,2,3,4},KMB!T172,KMB!X172,KMB!AB172,KMB!AF172))=10)*(CHOOSE({1,2,3,4},KMB!W172,KMB!AA172,KMB!AE172,KMB!AI172)))</f>
        <v>0</v>
      </c>
      <c r="K172">
        <f>SUMPRODUCT((MONTH(CHOOSE({1,2,3,4},KMB!T172,KMB!X172,KMB!AB172,KMB!AF172))=11)*(CHOOSE({1,2,3,4},KMB!W172,KMB!AA172,KMB!AE172,KMB!AI172)))</f>
        <v>0</v>
      </c>
      <c r="L172">
        <f>SUMPRODUCT((MONTH(CHOOSE({1,2,3,4},KMB!T172,KMB!X172,KMB!AB172,KMB!AF172))=12)*(CHOOSE({1,2,3,4},KMB!W172,KMB!AA172,KMB!AE172,KMB!AI172)))</f>
        <v>0</v>
      </c>
    </row>
    <row r="173" spans="1:12">
      <c r="A173">
        <f>SUMPRODUCT((MONTH(CHOOSE({1,2,3,4},KMB!T173,KMB!X173,KMB!AB173,KMB!AF173))=1)*(CHOOSE({1,2,3,4},KMB!W173,KMB!AA173,KMB!AE173,KMB!AI173)))</f>
        <v>0</v>
      </c>
      <c r="B173">
        <f>SUMPRODUCT((MONTH(CHOOSE({1,2,3,4},KMB!T173,KMB!X173,KMB!AB173,KMB!AF173))=2)*(CHOOSE({1,2,3,4},KMB!W173,KMB!AA173,KMB!AE173,KMB!AI173)))</f>
        <v>0</v>
      </c>
      <c r="C173">
        <f>SUMPRODUCT((MONTH(CHOOSE({1,2,3,4},KMB!T173,KMB!X173,KMB!AB173,KMB!AF173))=3)*(CHOOSE({1,2,3,4},KMB!W173,KMB!AA173,KMB!AE173,KMB!AI173)))</f>
        <v>0</v>
      </c>
      <c r="D173">
        <f>SUMPRODUCT((MONTH(CHOOSE({1,2,3,4},KMB!T173,KMB!X173,KMB!AB173,KMB!AF173))=4)*(CHOOSE({1,2,3,4},KMB!W173,KMB!AA173,KMB!AE173,KMB!AI173)))</f>
        <v>0</v>
      </c>
      <c r="E173">
        <f>SUMPRODUCT((MONTH(CHOOSE({1,2,3,4},KMB!T173,KMB!X173,KMB!AB173,KMB!AF173))=5)*(CHOOSE({1,2,3,4},KMB!W173,KMB!AA173,KMB!AE173,KMB!AI173)))</f>
        <v>0</v>
      </c>
      <c r="F173">
        <f>SUMPRODUCT((MONTH(CHOOSE({1,2,3,4},KMB!T173,KMB!X173,KMB!AB173,KMB!AF173))=6)*(CHOOSE({1,2,3,4},KMB!W173,KMB!AA173,KMB!AE173,KMB!AI173)))</f>
        <v>0</v>
      </c>
      <c r="G173">
        <f>SUMPRODUCT((MONTH(CHOOSE({1,2,3,4},KMB!T173,KMB!X173,KMB!AB173,KMB!AF173))=7)*(CHOOSE({1,2,3,4},KMB!W173,KMB!AA173,KMB!AE173,KMB!AI173)))</f>
        <v>0</v>
      </c>
      <c r="H173">
        <f>SUMPRODUCT((MONTH(CHOOSE({1,2,3,4},KMB!T173,KMB!X173,KMB!AB173,KMB!AF173))=8)*(CHOOSE({1,2,3,4},KMB!W173,KMB!AA173,KMB!AE173,KMB!AI173)))</f>
        <v>0</v>
      </c>
      <c r="I173">
        <f>SUMPRODUCT((MONTH(CHOOSE({1,2,3,4},KMB!T173,KMB!X173,KMB!AB173,KMB!AF173))=9)*(CHOOSE({1,2,3,4},KMB!W173,KMB!AA173,KMB!AE173,KMB!AI173)))</f>
        <v>0</v>
      </c>
      <c r="J173">
        <f>SUMPRODUCT((MONTH(CHOOSE({1,2,3,4},KMB!T173,KMB!X173,KMB!AB173,KMB!AF173))=10)*(CHOOSE({1,2,3,4},KMB!W173,KMB!AA173,KMB!AE173,KMB!AI173)))</f>
        <v>0</v>
      </c>
      <c r="K173">
        <f>SUMPRODUCT((MONTH(CHOOSE({1,2,3,4},KMB!T173,KMB!X173,KMB!AB173,KMB!AF173))=11)*(CHOOSE({1,2,3,4},KMB!W173,KMB!AA173,KMB!AE173,KMB!AI173)))</f>
        <v>0</v>
      </c>
      <c r="L173">
        <f>SUMPRODUCT((MONTH(CHOOSE({1,2,3,4},KMB!T173,KMB!X173,KMB!AB173,KMB!AF173))=12)*(CHOOSE({1,2,3,4},KMB!W173,KMB!AA173,KMB!AE173,KMB!AI173)))</f>
        <v>0</v>
      </c>
    </row>
    <row r="174" spans="1:12">
      <c r="A174">
        <f>SUMPRODUCT((MONTH(CHOOSE({1,2,3,4},KMB!T174,KMB!X174,KMB!AB174,KMB!AF174))=1)*(CHOOSE({1,2,3,4},KMB!W174,KMB!AA174,KMB!AE174,KMB!AI174)))</f>
        <v>0</v>
      </c>
      <c r="B174">
        <f>SUMPRODUCT((MONTH(CHOOSE({1,2,3,4},KMB!T174,KMB!X174,KMB!AB174,KMB!AF174))=2)*(CHOOSE({1,2,3,4},KMB!W174,KMB!AA174,KMB!AE174,KMB!AI174)))</f>
        <v>0</v>
      </c>
      <c r="C174">
        <f>SUMPRODUCT((MONTH(CHOOSE({1,2,3,4},KMB!T174,KMB!X174,KMB!AB174,KMB!AF174))=3)*(CHOOSE({1,2,3,4},KMB!W174,KMB!AA174,KMB!AE174,KMB!AI174)))</f>
        <v>0</v>
      </c>
      <c r="D174">
        <f>SUMPRODUCT((MONTH(CHOOSE({1,2,3,4},KMB!T174,KMB!X174,KMB!AB174,KMB!AF174))=4)*(CHOOSE({1,2,3,4},KMB!W174,KMB!AA174,KMB!AE174,KMB!AI174)))</f>
        <v>0</v>
      </c>
      <c r="E174">
        <f>SUMPRODUCT((MONTH(CHOOSE({1,2,3,4},KMB!T174,KMB!X174,KMB!AB174,KMB!AF174))=5)*(CHOOSE({1,2,3,4},KMB!W174,KMB!AA174,KMB!AE174,KMB!AI174)))</f>
        <v>0</v>
      </c>
      <c r="F174">
        <f>SUMPRODUCT((MONTH(CHOOSE({1,2,3,4},KMB!T174,KMB!X174,KMB!AB174,KMB!AF174))=6)*(CHOOSE({1,2,3,4},KMB!W174,KMB!AA174,KMB!AE174,KMB!AI174)))</f>
        <v>0</v>
      </c>
      <c r="G174">
        <f>SUMPRODUCT((MONTH(CHOOSE({1,2,3,4},KMB!T174,KMB!X174,KMB!AB174,KMB!AF174))=7)*(CHOOSE({1,2,3,4},KMB!W174,KMB!AA174,KMB!AE174,KMB!AI174)))</f>
        <v>0</v>
      </c>
      <c r="H174">
        <f>SUMPRODUCT((MONTH(CHOOSE({1,2,3,4},KMB!T174,KMB!X174,KMB!AB174,KMB!AF174))=8)*(CHOOSE({1,2,3,4},KMB!W174,KMB!AA174,KMB!AE174,KMB!AI174)))</f>
        <v>0</v>
      </c>
      <c r="I174">
        <f>SUMPRODUCT((MONTH(CHOOSE({1,2,3,4},KMB!T174,KMB!X174,KMB!AB174,KMB!AF174))=9)*(CHOOSE({1,2,3,4},KMB!W174,KMB!AA174,KMB!AE174,KMB!AI174)))</f>
        <v>0</v>
      </c>
      <c r="J174">
        <f>SUMPRODUCT((MONTH(CHOOSE({1,2,3,4},KMB!T174,KMB!X174,KMB!AB174,KMB!AF174))=10)*(CHOOSE({1,2,3,4},KMB!W174,KMB!AA174,KMB!AE174,KMB!AI174)))</f>
        <v>0</v>
      </c>
      <c r="K174">
        <f>SUMPRODUCT((MONTH(CHOOSE({1,2,3,4},KMB!T174,KMB!X174,KMB!AB174,KMB!AF174))=11)*(CHOOSE({1,2,3,4},KMB!W174,KMB!AA174,KMB!AE174,KMB!AI174)))</f>
        <v>0</v>
      </c>
      <c r="L174">
        <f>SUMPRODUCT((MONTH(CHOOSE({1,2,3,4},KMB!T174,KMB!X174,KMB!AB174,KMB!AF174))=12)*(CHOOSE({1,2,3,4},KMB!W174,KMB!AA174,KMB!AE174,KMB!AI174)))</f>
        <v>0</v>
      </c>
    </row>
    <row r="175" spans="1:12">
      <c r="A175">
        <f>SUMPRODUCT((MONTH(CHOOSE({1,2,3,4},KMB!T175,KMB!X175,KMB!AB175,KMB!AF175))=1)*(CHOOSE({1,2,3,4},KMB!W175,KMB!AA175,KMB!AE175,KMB!AI175)))</f>
        <v>0</v>
      </c>
      <c r="B175">
        <f>SUMPRODUCT((MONTH(CHOOSE({1,2,3,4},KMB!T175,KMB!X175,KMB!AB175,KMB!AF175))=2)*(CHOOSE({1,2,3,4},KMB!W175,KMB!AA175,KMB!AE175,KMB!AI175)))</f>
        <v>0</v>
      </c>
      <c r="C175">
        <f>SUMPRODUCT((MONTH(CHOOSE({1,2,3,4},KMB!T175,KMB!X175,KMB!AB175,KMB!AF175))=3)*(CHOOSE({1,2,3,4},KMB!W175,KMB!AA175,KMB!AE175,KMB!AI175)))</f>
        <v>0</v>
      </c>
      <c r="D175">
        <f>SUMPRODUCT((MONTH(CHOOSE({1,2,3,4},KMB!T175,KMB!X175,KMB!AB175,KMB!AF175))=4)*(CHOOSE({1,2,3,4},KMB!W175,KMB!AA175,KMB!AE175,KMB!AI175)))</f>
        <v>0</v>
      </c>
      <c r="E175">
        <f>SUMPRODUCT((MONTH(CHOOSE({1,2,3,4},KMB!T175,KMB!X175,KMB!AB175,KMB!AF175))=5)*(CHOOSE({1,2,3,4},KMB!W175,KMB!AA175,KMB!AE175,KMB!AI175)))</f>
        <v>0</v>
      </c>
      <c r="F175">
        <f>SUMPRODUCT((MONTH(CHOOSE({1,2,3,4},KMB!T175,KMB!X175,KMB!AB175,KMB!AF175))=6)*(CHOOSE({1,2,3,4},KMB!W175,KMB!AA175,KMB!AE175,KMB!AI175)))</f>
        <v>0</v>
      </c>
      <c r="G175">
        <f>SUMPRODUCT((MONTH(CHOOSE({1,2,3,4},KMB!T175,KMB!X175,KMB!AB175,KMB!AF175))=7)*(CHOOSE({1,2,3,4},KMB!W175,KMB!AA175,KMB!AE175,KMB!AI175)))</f>
        <v>0</v>
      </c>
      <c r="H175">
        <f>SUMPRODUCT((MONTH(CHOOSE({1,2,3,4},KMB!T175,KMB!X175,KMB!AB175,KMB!AF175))=8)*(CHOOSE({1,2,3,4},KMB!W175,KMB!AA175,KMB!AE175,KMB!AI175)))</f>
        <v>0</v>
      </c>
      <c r="I175">
        <f>SUMPRODUCT((MONTH(CHOOSE({1,2,3,4},KMB!T175,KMB!X175,KMB!AB175,KMB!AF175))=9)*(CHOOSE({1,2,3,4},KMB!W175,KMB!AA175,KMB!AE175,KMB!AI175)))</f>
        <v>0</v>
      </c>
      <c r="J175">
        <f>SUMPRODUCT((MONTH(CHOOSE({1,2,3,4},KMB!T175,KMB!X175,KMB!AB175,KMB!AF175))=10)*(CHOOSE({1,2,3,4},KMB!W175,KMB!AA175,KMB!AE175,KMB!AI175)))</f>
        <v>0</v>
      </c>
      <c r="K175">
        <f>SUMPRODUCT((MONTH(CHOOSE({1,2,3,4},KMB!T175,KMB!X175,KMB!AB175,KMB!AF175))=11)*(CHOOSE({1,2,3,4},KMB!W175,KMB!AA175,KMB!AE175,KMB!AI175)))</f>
        <v>0</v>
      </c>
      <c r="L175">
        <f>SUMPRODUCT((MONTH(CHOOSE({1,2,3,4},KMB!T175,KMB!X175,KMB!AB175,KMB!AF175))=12)*(CHOOSE({1,2,3,4},KMB!W175,KMB!AA175,KMB!AE175,KMB!AI175)))</f>
        <v>0</v>
      </c>
    </row>
    <row r="176" spans="1:12">
      <c r="A176">
        <f>SUMPRODUCT((MONTH(CHOOSE({1,2,3,4},KMB!T176,KMB!X176,KMB!AB176,KMB!AF176))=1)*(CHOOSE({1,2,3,4},KMB!W176,KMB!AA176,KMB!AE176,KMB!AI176)))</f>
        <v>0</v>
      </c>
      <c r="B176">
        <f>SUMPRODUCT((MONTH(CHOOSE({1,2,3,4},KMB!T176,KMB!X176,KMB!AB176,KMB!AF176))=2)*(CHOOSE({1,2,3,4},KMB!W176,KMB!AA176,KMB!AE176,KMB!AI176)))</f>
        <v>0</v>
      </c>
      <c r="C176">
        <f>SUMPRODUCT((MONTH(CHOOSE({1,2,3,4},KMB!T176,KMB!X176,KMB!AB176,KMB!AF176))=3)*(CHOOSE({1,2,3,4},KMB!W176,KMB!AA176,KMB!AE176,KMB!AI176)))</f>
        <v>0</v>
      </c>
      <c r="D176">
        <f>SUMPRODUCT((MONTH(CHOOSE({1,2,3,4},KMB!T176,KMB!X176,KMB!AB176,KMB!AF176))=4)*(CHOOSE({1,2,3,4},KMB!W176,KMB!AA176,KMB!AE176,KMB!AI176)))</f>
        <v>0</v>
      </c>
      <c r="E176">
        <f>SUMPRODUCT((MONTH(CHOOSE({1,2,3,4},KMB!T176,KMB!X176,KMB!AB176,KMB!AF176))=5)*(CHOOSE({1,2,3,4},KMB!W176,KMB!AA176,KMB!AE176,KMB!AI176)))</f>
        <v>0</v>
      </c>
      <c r="F176">
        <f>SUMPRODUCT((MONTH(CHOOSE({1,2,3,4},KMB!T176,KMB!X176,KMB!AB176,KMB!AF176))=6)*(CHOOSE({1,2,3,4},KMB!W176,KMB!AA176,KMB!AE176,KMB!AI176)))</f>
        <v>0</v>
      </c>
      <c r="G176">
        <f>SUMPRODUCT((MONTH(CHOOSE({1,2,3,4},KMB!T176,KMB!X176,KMB!AB176,KMB!AF176))=7)*(CHOOSE({1,2,3,4},KMB!W176,KMB!AA176,KMB!AE176,KMB!AI176)))</f>
        <v>0</v>
      </c>
      <c r="H176">
        <f>SUMPRODUCT((MONTH(CHOOSE({1,2,3,4},KMB!T176,KMB!X176,KMB!AB176,KMB!AF176))=8)*(CHOOSE({1,2,3,4},KMB!W176,KMB!AA176,KMB!AE176,KMB!AI176)))</f>
        <v>0</v>
      </c>
      <c r="I176">
        <f>SUMPRODUCT((MONTH(CHOOSE({1,2,3,4},KMB!T176,KMB!X176,KMB!AB176,KMB!AF176))=9)*(CHOOSE({1,2,3,4},KMB!W176,KMB!AA176,KMB!AE176,KMB!AI176)))</f>
        <v>0</v>
      </c>
      <c r="J176">
        <f>SUMPRODUCT((MONTH(CHOOSE({1,2,3,4},KMB!T176,KMB!X176,KMB!AB176,KMB!AF176))=10)*(CHOOSE({1,2,3,4},KMB!W176,KMB!AA176,KMB!AE176,KMB!AI176)))</f>
        <v>0</v>
      </c>
      <c r="K176">
        <f>SUMPRODUCT((MONTH(CHOOSE({1,2,3,4},KMB!T176,KMB!X176,KMB!AB176,KMB!AF176))=11)*(CHOOSE({1,2,3,4},KMB!W176,KMB!AA176,KMB!AE176,KMB!AI176)))</f>
        <v>0</v>
      </c>
      <c r="L176">
        <f>SUMPRODUCT((MONTH(CHOOSE({1,2,3,4},KMB!T176,KMB!X176,KMB!AB176,KMB!AF176))=12)*(CHOOSE({1,2,3,4},KMB!W176,KMB!AA176,KMB!AE176,KMB!AI176)))</f>
        <v>0</v>
      </c>
    </row>
    <row r="177" spans="1:12">
      <c r="A177">
        <f>SUMPRODUCT((MONTH(CHOOSE({1,2,3,4},KMB!T177,KMB!X177,KMB!AB177,KMB!AF177))=1)*(CHOOSE({1,2,3,4},KMB!W177,KMB!AA177,KMB!AE177,KMB!AI177)))</f>
        <v>0</v>
      </c>
      <c r="B177">
        <f>SUMPRODUCT((MONTH(CHOOSE({1,2,3,4},KMB!T177,KMB!X177,KMB!AB177,KMB!AF177))=2)*(CHOOSE({1,2,3,4},KMB!W177,KMB!AA177,KMB!AE177,KMB!AI177)))</f>
        <v>0</v>
      </c>
      <c r="C177">
        <f>SUMPRODUCT((MONTH(CHOOSE({1,2,3,4},KMB!T177,KMB!X177,KMB!AB177,KMB!AF177))=3)*(CHOOSE({1,2,3,4},KMB!W177,KMB!AA177,KMB!AE177,KMB!AI177)))</f>
        <v>0</v>
      </c>
      <c r="D177">
        <f>SUMPRODUCT((MONTH(CHOOSE({1,2,3,4},KMB!T177,KMB!X177,KMB!AB177,KMB!AF177))=4)*(CHOOSE({1,2,3,4},KMB!W177,KMB!AA177,KMB!AE177,KMB!AI177)))</f>
        <v>0</v>
      </c>
      <c r="E177">
        <f>SUMPRODUCT((MONTH(CHOOSE({1,2,3,4},KMB!T177,KMB!X177,KMB!AB177,KMB!AF177))=5)*(CHOOSE({1,2,3,4},KMB!W177,KMB!AA177,KMB!AE177,KMB!AI177)))</f>
        <v>0</v>
      </c>
      <c r="F177">
        <f>SUMPRODUCT((MONTH(CHOOSE({1,2,3,4},KMB!T177,KMB!X177,KMB!AB177,KMB!AF177))=6)*(CHOOSE({1,2,3,4},KMB!W177,KMB!AA177,KMB!AE177,KMB!AI177)))</f>
        <v>0</v>
      </c>
      <c r="G177">
        <f>SUMPRODUCT((MONTH(CHOOSE({1,2,3,4},KMB!T177,KMB!X177,KMB!AB177,KMB!AF177))=7)*(CHOOSE({1,2,3,4},KMB!W177,KMB!AA177,KMB!AE177,KMB!AI177)))</f>
        <v>0</v>
      </c>
      <c r="H177">
        <f>SUMPRODUCT((MONTH(CHOOSE({1,2,3,4},KMB!T177,KMB!X177,KMB!AB177,KMB!AF177))=8)*(CHOOSE({1,2,3,4},KMB!W177,KMB!AA177,KMB!AE177,KMB!AI177)))</f>
        <v>0</v>
      </c>
      <c r="I177">
        <f>SUMPRODUCT((MONTH(CHOOSE({1,2,3,4},KMB!T177,KMB!X177,KMB!AB177,KMB!AF177))=9)*(CHOOSE({1,2,3,4},KMB!W177,KMB!AA177,KMB!AE177,KMB!AI177)))</f>
        <v>0</v>
      </c>
      <c r="J177">
        <f>SUMPRODUCT((MONTH(CHOOSE({1,2,3,4},KMB!T177,KMB!X177,KMB!AB177,KMB!AF177))=10)*(CHOOSE({1,2,3,4},KMB!W177,KMB!AA177,KMB!AE177,KMB!AI177)))</f>
        <v>0</v>
      </c>
      <c r="K177">
        <f>SUMPRODUCT((MONTH(CHOOSE({1,2,3,4},KMB!T177,KMB!X177,KMB!AB177,KMB!AF177))=11)*(CHOOSE({1,2,3,4},KMB!W177,KMB!AA177,KMB!AE177,KMB!AI177)))</f>
        <v>0</v>
      </c>
      <c r="L177">
        <f>SUMPRODUCT((MONTH(CHOOSE({1,2,3,4},KMB!T177,KMB!X177,KMB!AB177,KMB!AF177))=12)*(CHOOSE({1,2,3,4},KMB!W177,KMB!AA177,KMB!AE177,KMB!AI177)))</f>
        <v>0</v>
      </c>
    </row>
    <row r="178" spans="1:12">
      <c r="A178">
        <f>SUMPRODUCT((MONTH(CHOOSE({1,2,3,4},KMB!T178,KMB!X178,KMB!AB178,KMB!AF178))=1)*(CHOOSE({1,2,3,4},KMB!W178,KMB!AA178,KMB!AE178,KMB!AI178)))</f>
        <v>0</v>
      </c>
      <c r="B178">
        <f>SUMPRODUCT((MONTH(CHOOSE({1,2,3,4},KMB!T178,KMB!X178,KMB!AB178,KMB!AF178))=2)*(CHOOSE({1,2,3,4},KMB!W178,KMB!AA178,KMB!AE178,KMB!AI178)))</f>
        <v>0</v>
      </c>
      <c r="C178">
        <f>SUMPRODUCT((MONTH(CHOOSE({1,2,3,4},KMB!T178,KMB!X178,KMB!AB178,KMB!AF178))=3)*(CHOOSE({1,2,3,4},KMB!W178,KMB!AA178,KMB!AE178,KMB!AI178)))</f>
        <v>0</v>
      </c>
      <c r="D178">
        <f>SUMPRODUCT((MONTH(CHOOSE({1,2,3,4},KMB!T178,KMB!X178,KMB!AB178,KMB!AF178))=4)*(CHOOSE({1,2,3,4},KMB!W178,KMB!AA178,KMB!AE178,KMB!AI178)))</f>
        <v>0</v>
      </c>
      <c r="E178">
        <f>SUMPRODUCT((MONTH(CHOOSE({1,2,3,4},KMB!T178,KMB!X178,KMB!AB178,KMB!AF178))=5)*(CHOOSE({1,2,3,4},KMB!W178,KMB!AA178,KMB!AE178,KMB!AI178)))</f>
        <v>0</v>
      </c>
      <c r="F178">
        <f>SUMPRODUCT((MONTH(CHOOSE({1,2,3,4},KMB!T178,KMB!X178,KMB!AB178,KMB!AF178))=6)*(CHOOSE({1,2,3,4},KMB!W178,KMB!AA178,KMB!AE178,KMB!AI178)))</f>
        <v>0</v>
      </c>
      <c r="G178">
        <f>SUMPRODUCT((MONTH(CHOOSE({1,2,3,4},KMB!T178,KMB!X178,KMB!AB178,KMB!AF178))=7)*(CHOOSE({1,2,3,4},KMB!W178,KMB!AA178,KMB!AE178,KMB!AI178)))</f>
        <v>0</v>
      </c>
      <c r="H178">
        <f>SUMPRODUCT((MONTH(CHOOSE({1,2,3,4},KMB!T178,KMB!X178,KMB!AB178,KMB!AF178))=8)*(CHOOSE({1,2,3,4},KMB!W178,KMB!AA178,KMB!AE178,KMB!AI178)))</f>
        <v>0</v>
      </c>
      <c r="I178">
        <f>SUMPRODUCT((MONTH(CHOOSE({1,2,3,4},KMB!T178,KMB!X178,KMB!AB178,KMB!AF178))=9)*(CHOOSE({1,2,3,4},KMB!W178,KMB!AA178,KMB!AE178,KMB!AI178)))</f>
        <v>0</v>
      </c>
      <c r="J178">
        <f>SUMPRODUCT((MONTH(CHOOSE({1,2,3,4},KMB!T178,KMB!X178,KMB!AB178,KMB!AF178))=10)*(CHOOSE({1,2,3,4},KMB!W178,KMB!AA178,KMB!AE178,KMB!AI178)))</f>
        <v>0</v>
      </c>
      <c r="K178">
        <f>SUMPRODUCT((MONTH(CHOOSE({1,2,3,4},KMB!T178,KMB!X178,KMB!AB178,KMB!AF178))=11)*(CHOOSE({1,2,3,4},KMB!W178,KMB!AA178,KMB!AE178,KMB!AI178)))</f>
        <v>0</v>
      </c>
      <c r="L178">
        <f>SUMPRODUCT((MONTH(CHOOSE({1,2,3,4},KMB!T178,KMB!X178,KMB!AB178,KMB!AF178))=12)*(CHOOSE({1,2,3,4},KMB!W178,KMB!AA178,KMB!AE178,KMB!AI178)))</f>
        <v>0</v>
      </c>
    </row>
    <row r="179" spans="1:12">
      <c r="A179">
        <f>SUMPRODUCT((MONTH(CHOOSE({1,2,3,4},KMB!T179,KMB!X179,KMB!AB179,KMB!AF179))=1)*(CHOOSE({1,2,3,4},KMB!W179,KMB!AA179,KMB!AE179,KMB!AI179)))</f>
        <v>0</v>
      </c>
      <c r="B179">
        <f>SUMPRODUCT((MONTH(CHOOSE({1,2,3,4},KMB!T179,KMB!X179,KMB!AB179,KMB!AF179))=2)*(CHOOSE({1,2,3,4},KMB!W179,KMB!AA179,KMB!AE179,KMB!AI179)))</f>
        <v>0</v>
      </c>
      <c r="C179">
        <f>SUMPRODUCT((MONTH(CHOOSE({1,2,3,4},KMB!T179,KMB!X179,KMB!AB179,KMB!AF179))=3)*(CHOOSE({1,2,3,4},KMB!W179,KMB!AA179,KMB!AE179,KMB!AI179)))</f>
        <v>0</v>
      </c>
      <c r="D179">
        <f>SUMPRODUCT((MONTH(CHOOSE({1,2,3,4},KMB!T179,KMB!X179,KMB!AB179,KMB!AF179))=4)*(CHOOSE({1,2,3,4},KMB!W179,KMB!AA179,KMB!AE179,KMB!AI179)))</f>
        <v>0</v>
      </c>
      <c r="E179">
        <f>SUMPRODUCT((MONTH(CHOOSE({1,2,3,4},KMB!T179,KMB!X179,KMB!AB179,KMB!AF179))=5)*(CHOOSE({1,2,3,4},KMB!W179,KMB!AA179,KMB!AE179,KMB!AI179)))</f>
        <v>0</v>
      </c>
      <c r="F179">
        <f>SUMPRODUCT((MONTH(CHOOSE({1,2,3,4},KMB!T179,KMB!X179,KMB!AB179,KMB!AF179))=6)*(CHOOSE({1,2,3,4},KMB!W179,KMB!AA179,KMB!AE179,KMB!AI179)))</f>
        <v>0</v>
      </c>
      <c r="G179">
        <f>SUMPRODUCT((MONTH(CHOOSE({1,2,3,4},KMB!T179,KMB!X179,KMB!AB179,KMB!AF179))=7)*(CHOOSE({1,2,3,4},KMB!W179,KMB!AA179,KMB!AE179,KMB!AI179)))</f>
        <v>0</v>
      </c>
      <c r="H179">
        <f>SUMPRODUCT((MONTH(CHOOSE({1,2,3,4},KMB!T179,KMB!X179,KMB!AB179,KMB!AF179))=8)*(CHOOSE({1,2,3,4},KMB!W179,KMB!AA179,KMB!AE179,KMB!AI179)))</f>
        <v>0</v>
      </c>
      <c r="I179">
        <f>SUMPRODUCT((MONTH(CHOOSE({1,2,3,4},KMB!T179,KMB!X179,KMB!AB179,KMB!AF179))=9)*(CHOOSE({1,2,3,4},KMB!W179,KMB!AA179,KMB!AE179,KMB!AI179)))</f>
        <v>0</v>
      </c>
      <c r="J179">
        <f>SUMPRODUCT((MONTH(CHOOSE({1,2,3,4},KMB!T179,KMB!X179,KMB!AB179,KMB!AF179))=10)*(CHOOSE({1,2,3,4},KMB!W179,KMB!AA179,KMB!AE179,KMB!AI179)))</f>
        <v>0</v>
      </c>
      <c r="K179">
        <f>SUMPRODUCT((MONTH(CHOOSE({1,2,3,4},KMB!T179,KMB!X179,KMB!AB179,KMB!AF179))=11)*(CHOOSE({1,2,3,4},KMB!W179,KMB!AA179,KMB!AE179,KMB!AI179)))</f>
        <v>0</v>
      </c>
      <c r="L179">
        <f>SUMPRODUCT((MONTH(CHOOSE({1,2,3,4},KMB!T179,KMB!X179,KMB!AB179,KMB!AF179))=12)*(CHOOSE({1,2,3,4},KMB!W179,KMB!AA179,KMB!AE179,KMB!AI179)))</f>
        <v>0</v>
      </c>
    </row>
    <row r="180" spans="1:12">
      <c r="A180">
        <f>SUMPRODUCT((MONTH(CHOOSE({1,2,3,4},KMB!T180,KMB!X180,KMB!AB180,KMB!AF180))=1)*(CHOOSE({1,2,3,4},KMB!W180,KMB!AA180,KMB!AE180,KMB!AI180)))</f>
        <v>0</v>
      </c>
      <c r="B180">
        <f>SUMPRODUCT((MONTH(CHOOSE({1,2,3,4},KMB!T180,KMB!X180,KMB!AB180,KMB!AF180))=2)*(CHOOSE({1,2,3,4},KMB!W180,KMB!AA180,KMB!AE180,KMB!AI180)))</f>
        <v>0</v>
      </c>
      <c r="C180">
        <f>SUMPRODUCT((MONTH(CHOOSE({1,2,3,4},KMB!T180,KMB!X180,KMB!AB180,KMB!AF180))=3)*(CHOOSE({1,2,3,4},KMB!W180,KMB!AA180,KMB!AE180,KMB!AI180)))</f>
        <v>0</v>
      </c>
      <c r="D180">
        <f>SUMPRODUCT((MONTH(CHOOSE({1,2,3,4},KMB!T180,KMB!X180,KMB!AB180,KMB!AF180))=4)*(CHOOSE({1,2,3,4},KMB!W180,KMB!AA180,KMB!AE180,KMB!AI180)))</f>
        <v>0</v>
      </c>
      <c r="E180">
        <f>SUMPRODUCT((MONTH(CHOOSE({1,2,3,4},KMB!T180,KMB!X180,KMB!AB180,KMB!AF180))=5)*(CHOOSE({1,2,3,4},KMB!W180,KMB!AA180,KMB!AE180,KMB!AI180)))</f>
        <v>0</v>
      </c>
      <c r="F180">
        <f>SUMPRODUCT((MONTH(CHOOSE({1,2,3,4},KMB!T180,KMB!X180,KMB!AB180,KMB!AF180))=6)*(CHOOSE({1,2,3,4},KMB!W180,KMB!AA180,KMB!AE180,KMB!AI180)))</f>
        <v>0</v>
      </c>
      <c r="G180">
        <f>SUMPRODUCT((MONTH(CHOOSE({1,2,3,4},KMB!T180,KMB!X180,KMB!AB180,KMB!AF180))=7)*(CHOOSE({1,2,3,4},KMB!W180,KMB!AA180,KMB!AE180,KMB!AI180)))</f>
        <v>0</v>
      </c>
      <c r="H180">
        <f>SUMPRODUCT((MONTH(CHOOSE({1,2,3,4},KMB!T180,KMB!X180,KMB!AB180,KMB!AF180))=8)*(CHOOSE({1,2,3,4},KMB!W180,KMB!AA180,KMB!AE180,KMB!AI180)))</f>
        <v>0</v>
      </c>
      <c r="I180">
        <f>SUMPRODUCT((MONTH(CHOOSE({1,2,3,4},KMB!T180,KMB!X180,KMB!AB180,KMB!AF180))=9)*(CHOOSE({1,2,3,4},KMB!W180,KMB!AA180,KMB!AE180,KMB!AI180)))</f>
        <v>0</v>
      </c>
      <c r="J180">
        <f>SUMPRODUCT((MONTH(CHOOSE({1,2,3,4},KMB!T180,KMB!X180,KMB!AB180,KMB!AF180))=10)*(CHOOSE({1,2,3,4},KMB!W180,KMB!AA180,KMB!AE180,KMB!AI180)))</f>
        <v>0</v>
      </c>
      <c r="K180">
        <f>SUMPRODUCT((MONTH(CHOOSE({1,2,3,4},KMB!T180,KMB!X180,KMB!AB180,KMB!AF180))=11)*(CHOOSE({1,2,3,4},KMB!W180,KMB!AA180,KMB!AE180,KMB!AI180)))</f>
        <v>0</v>
      </c>
      <c r="L180">
        <f>SUMPRODUCT((MONTH(CHOOSE({1,2,3,4},KMB!T180,KMB!X180,KMB!AB180,KMB!AF180))=12)*(CHOOSE({1,2,3,4},KMB!W180,KMB!AA180,KMB!AE180,KMB!AI180)))</f>
        <v>0</v>
      </c>
    </row>
    <row r="181" spans="1:12">
      <c r="A181">
        <f>SUMPRODUCT((MONTH(CHOOSE({1,2,3,4},KMB!T181,KMB!X181,KMB!AB181,KMB!AF181))=1)*(CHOOSE({1,2,3,4},KMB!W181,KMB!AA181,KMB!AE181,KMB!AI181)))</f>
        <v>0</v>
      </c>
      <c r="B181">
        <f>SUMPRODUCT((MONTH(CHOOSE({1,2,3,4},KMB!T181,KMB!X181,KMB!AB181,KMB!AF181))=2)*(CHOOSE({1,2,3,4},KMB!W181,KMB!AA181,KMB!AE181,KMB!AI181)))</f>
        <v>0</v>
      </c>
      <c r="C181">
        <f>SUMPRODUCT((MONTH(CHOOSE({1,2,3,4},KMB!T181,KMB!X181,KMB!AB181,KMB!AF181))=3)*(CHOOSE({1,2,3,4},KMB!W181,KMB!AA181,KMB!AE181,KMB!AI181)))</f>
        <v>0</v>
      </c>
      <c r="D181">
        <f>SUMPRODUCT((MONTH(CHOOSE({1,2,3,4},KMB!T181,KMB!X181,KMB!AB181,KMB!AF181))=4)*(CHOOSE({1,2,3,4},KMB!W181,KMB!AA181,KMB!AE181,KMB!AI181)))</f>
        <v>0</v>
      </c>
      <c r="E181">
        <f>SUMPRODUCT((MONTH(CHOOSE({1,2,3,4},KMB!T181,KMB!X181,KMB!AB181,KMB!AF181))=5)*(CHOOSE({1,2,3,4},KMB!W181,KMB!AA181,KMB!AE181,KMB!AI181)))</f>
        <v>0</v>
      </c>
      <c r="F181">
        <f>SUMPRODUCT((MONTH(CHOOSE({1,2,3,4},KMB!T181,KMB!X181,KMB!AB181,KMB!AF181))=6)*(CHOOSE({1,2,3,4},KMB!W181,KMB!AA181,KMB!AE181,KMB!AI181)))</f>
        <v>0</v>
      </c>
      <c r="G181">
        <f>SUMPRODUCT((MONTH(CHOOSE({1,2,3,4},KMB!T181,KMB!X181,KMB!AB181,KMB!AF181))=7)*(CHOOSE({1,2,3,4},KMB!W181,KMB!AA181,KMB!AE181,KMB!AI181)))</f>
        <v>0</v>
      </c>
      <c r="H181">
        <f>SUMPRODUCT((MONTH(CHOOSE({1,2,3,4},KMB!T181,KMB!X181,KMB!AB181,KMB!AF181))=8)*(CHOOSE({1,2,3,4},KMB!W181,KMB!AA181,KMB!AE181,KMB!AI181)))</f>
        <v>0</v>
      </c>
      <c r="I181">
        <f>SUMPRODUCT((MONTH(CHOOSE({1,2,3,4},KMB!T181,KMB!X181,KMB!AB181,KMB!AF181))=9)*(CHOOSE({1,2,3,4},KMB!W181,KMB!AA181,KMB!AE181,KMB!AI181)))</f>
        <v>0</v>
      </c>
      <c r="J181">
        <f>SUMPRODUCT((MONTH(CHOOSE({1,2,3,4},KMB!T181,KMB!X181,KMB!AB181,KMB!AF181))=10)*(CHOOSE({1,2,3,4},KMB!W181,KMB!AA181,KMB!AE181,KMB!AI181)))</f>
        <v>0</v>
      </c>
      <c r="K181">
        <f>SUMPRODUCT((MONTH(CHOOSE({1,2,3,4},KMB!T181,KMB!X181,KMB!AB181,KMB!AF181))=11)*(CHOOSE({1,2,3,4},KMB!W181,KMB!AA181,KMB!AE181,KMB!AI181)))</f>
        <v>0</v>
      </c>
      <c r="L181">
        <f>SUMPRODUCT((MONTH(CHOOSE({1,2,3,4},KMB!T181,KMB!X181,KMB!AB181,KMB!AF181))=12)*(CHOOSE({1,2,3,4},KMB!W181,KMB!AA181,KMB!AE181,KMB!AI181)))</f>
        <v>0</v>
      </c>
    </row>
    <row r="182" spans="1:12">
      <c r="A182">
        <f>SUMPRODUCT((MONTH(CHOOSE({1,2,3,4},KMB!T182,KMB!X182,KMB!AB182,KMB!AF182))=1)*(CHOOSE({1,2,3,4},KMB!W182,KMB!AA182,KMB!AE182,KMB!AI182)))</f>
        <v>0</v>
      </c>
      <c r="B182">
        <f>SUMPRODUCT((MONTH(CHOOSE({1,2,3,4},KMB!T182,KMB!X182,KMB!AB182,KMB!AF182))=2)*(CHOOSE({1,2,3,4},KMB!W182,KMB!AA182,KMB!AE182,KMB!AI182)))</f>
        <v>0</v>
      </c>
      <c r="C182">
        <f>SUMPRODUCT((MONTH(CHOOSE({1,2,3,4},KMB!T182,KMB!X182,KMB!AB182,KMB!AF182))=3)*(CHOOSE({1,2,3,4},KMB!W182,KMB!AA182,KMB!AE182,KMB!AI182)))</f>
        <v>0</v>
      </c>
      <c r="D182">
        <f>SUMPRODUCT((MONTH(CHOOSE({1,2,3,4},KMB!T182,KMB!X182,KMB!AB182,KMB!AF182))=4)*(CHOOSE({1,2,3,4},KMB!W182,KMB!AA182,KMB!AE182,KMB!AI182)))</f>
        <v>0</v>
      </c>
      <c r="E182">
        <f>SUMPRODUCT((MONTH(CHOOSE({1,2,3,4},KMB!T182,KMB!X182,KMB!AB182,KMB!AF182))=5)*(CHOOSE({1,2,3,4},KMB!W182,KMB!AA182,KMB!AE182,KMB!AI182)))</f>
        <v>0</v>
      </c>
      <c r="F182">
        <f>SUMPRODUCT((MONTH(CHOOSE({1,2,3,4},KMB!T182,KMB!X182,KMB!AB182,KMB!AF182))=6)*(CHOOSE({1,2,3,4},KMB!W182,KMB!AA182,KMB!AE182,KMB!AI182)))</f>
        <v>0</v>
      </c>
      <c r="G182">
        <f>SUMPRODUCT((MONTH(CHOOSE({1,2,3,4},KMB!T182,KMB!X182,KMB!AB182,KMB!AF182))=7)*(CHOOSE({1,2,3,4},KMB!W182,KMB!AA182,KMB!AE182,KMB!AI182)))</f>
        <v>0</v>
      </c>
      <c r="H182">
        <f>SUMPRODUCT((MONTH(CHOOSE({1,2,3,4},KMB!T182,KMB!X182,KMB!AB182,KMB!AF182))=8)*(CHOOSE({1,2,3,4},KMB!W182,KMB!AA182,KMB!AE182,KMB!AI182)))</f>
        <v>0</v>
      </c>
      <c r="I182">
        <f>SUMPRODUCT((MONTH(CHOOSE({1,2,3,4},KMB!T182,KMB!X182,KMB!AB182,KMB!AF182))=9)*(CHOOSE({1,2,3,4},KMB!W182,KMB!AA182,KMB!AE182,KMB!AI182)))</f>
        <v>0</v>
      </c>
      <c r="J182">
        <f>SUMPRODUCT((MONTH(CHOOSE({1,2,3,4},KMB!T182,KMB!X182,KMB!AB182,KMB!AF182))=10)*(CHOOSE({1,2,3,4},KMB!W182,KMB!AA182,KMB!AE182,KMB!AI182)))</f>
        <v>0</v>
      </c>
      <c r="K182">
        <f>SUMPRODUCT((MONTH(CHOOSE({1,2,3,4},KMB!T182,KMB!X182,KMB!AB182,KMB!AF182))=11)*(CHOOSE({1,2,3,4},KMB!W182,KMB!AA182,KMB!AE182,KMB!AI182)))</f>
        <v>0</v>
      </c>
      <c r="L182">
        <f>SUMPRODUCT((MONTH(CHOOSE({1,2,3,4},KMB!T182,KMB!X182,KMB!AB182,KMB!AF182))=12)*(CHOOSE({1,2,3,4},KMB!W182,KMB!AA182,KMB!AE182,KMB!AI182)))</f>
        <v>0</v>
      </c>
    </row>
    <row r="183" spans="1:12">
      <c r="A183">
        <f>SUMPRODUCT((MONTH(CHOOSE({1,2,3,4},KMB!T183,KMB!X183,KMB!AB183,KMB!AF183))=1)*(CHOOSE({1,2,3,4},KMB!W183,KMB!AA183,KMB!AE183,KMB!AI183)))</f>
        <v>0</v>
      </c>
      <c r="B183">
        <f>SUMPRODUCT((MONTH(CHOOSE({1,2,3,4},KMB!T183,KMB!X183,KMB!AB183,KMB!AF183))=2)*(CHOOSE({1,2,3,4},KMB!W183,KMB!AA183,KMB!AE183,KMB!AI183)))</f>
        <v>0</v>
      </c>
      <c r="C183">
        <f>SUMPRODUCT((MONTH(CHOOSE({1,2,3,4},KMB!T183,KMB!X183,KMB!AB183,KMB!AF183))=3)*(CHOOSE({1,2,3,4},KMB!W183,KMB!AA183,KMB!AE183,KMB!AI183)))</f>
        <v>0</v>
      </c>
      <c r="D183">
        <f>SUMPRODUCT((MONTH(CHOOSE({1,2,3,4},KMB!T183,KMB!X183,KMB!AB183,KMB!AF183))=4)*(CHOOSE({1,2,3,4},KMB!W183,KMB!AA183,KMB!AE183,KMB!AI183)))</f>
        <v>0</v>
      </c>
      <c r="E183">
        <f>SUMPRODUCT((MONTH(CHOOSE({1,2,3,4},KMB!T183,KMB!X183,KMB!AB183,KMB!AF183))=5)*(CHOOSE({1,2,3,4},KMB!W183,KMB!AA183,KMB!AE183,KMB!AI183)))</f>
        <v>0</v>
      </c>
      <c r="F183">
        <f>SUMPRODUCT((MONTH(CHOOSE({1,2,3,4},KMB!T183,KMB!X183,KMB!AB183,KMB!AF183))=6)*(CHOOSE({1,2,3,4},KMB!W183,KMB!AA183,KMB!AE183,KMB!AI183)))</f>
        <v>0</v>
      </c>
      <c r="G183">
        <f>SUMPRODUCT((MONTH(CHOOSE({1,2,3,4},KMB!T183,KMB!X183,KMB!AB183,KMB!AF183))=7)*(CHOOSE({1,2,3,4},KMB!W183,KMB!AA183,KMB!AE183,KMB!AI183)))</f>
        <v>0</v>
      </c>
      <c r="H183">
        <f>SUMPRODUCT((MONTH(CHOOSE({1,2,3,4},KMB!T183,KMB!X183,KMB!AB183,KMB!AF183))=8)*(CHOOSE({1,2,3,4},KMB!W183,KMB!AA183,KMB!AE183,KMB!AI183)))</f>
        <v>0</v>
      </c>
      <c r="I183">
        <f>SUMPRODUCT((MONTH(CHOOSE({1,2,3,4},KMB!T183,KMB!X183,KMB!AB183,KMB!AF183))=9)*(CHOOSE({1,2,3,4},KMB!W183,KMB!AA183,KMB!AE183,KMB!AI183)))</f>
        <v>0</v>
      </c>
      <c r="J183">
        <f>SUMPRODUCT((MONTH(CHOOSE({1,2,3,4},KMB!T183,KMB!X183,KMB!AB183,KMB!AF183))=10)*(CHOOSE({1,2,3,4},KMB!W183,KMB!AA183,KMB!AE183,KMB!AI183)))</f>
        <v>0</v>
      </c>
      <c r="K183">
        <f>SUMPRODUCT((MONTH(CHOOSE({1,2,3,4},KMB!T183,KMB!X183,KMB!AB183,KMB!AF183))=11)*(CHOOSE({1,2,3,4},KMB!W183,KMB!AA183,KMB!AE183,KMB!AI183)))</f>
        <v>0</v>
      </c>
      <c r="L183">
        <f>SUMPRODUCT((MONTH(CHOOSE({1,2,3,4},KMB!T183,KMB!X183,KMB!AB183,KMB!AF183))=12)*(CHOOSE({1,2,3,4},KMB!W183,KMB!AA183,KMB!AE183,KMB!AI183)))</f>
        <v>0</v>
      </c>
    </row>
    <row r="184" spans="1:12">
      <c r="A184">
        <f>SUMPRODUCT((MONTH(CHOOSE({1,2,3,4},KMB!T184,KMB!X184,KMB!AB184,KMB!AF184))=1)*(CHOOSE({1,2,3,4},KMB!W184,KMB!AA184,KMB!AE184,KMB!AI184)))</f>
        <v>0</v>
      </c>
      <c r="B184">
        <f>SUMPRODUCT((MONTH(CHOOSE({1,2,3,4},KMB!T184,KMB!X184,KMB!AB184,KMB!AF184))=2)*(CHOOSE({1,2,3,4},KMB!W184,KMB!AA184,KMB!AE184,KMB!AI184)))</f>
        <v>0</v>
      </c>
      <c r="C184">
        <f>SUMPRODUCT((MONTH(CHOOSE({1,2,3,4},KMB!T184,KMB!X184,KMB!AB184,KMB!AF184))=3)*(CHOOSE({1,2,3,4},KMB!W184,KMB!AA184,KMB!AE184,KMB!AI184)))</f>
        <v>0</v>
      </c>
      <c r="D184">
        <f>SUMPRODUCT((MONTH(CHOOSE({1,2,3,4},KMB!T184,KMB!X184,KMB!AB184,KMB!AF184))=4)*(CHOOSE({1,2,3,4},KMB!W184,KMB!AA184,KMB!AE184,KMB!AI184)))</f>
        <v>0</v>
      </c>
      <c r="E184">
        <f>SUMPRODUCT((MONTH(CHOOSE({1,2,3,4},KMB!T184,KMB!X184,KMB!AB184,KMB!AF184))=5)*(CHOOSE({1,2,3,4},KMB!W184,KMB!AA184,KMB!AE184,KMB!AI184)))</f>
        <v>0</v>
      </c>
      <c r="F184">
        <f>SUMPRODUCT((MONTH(CHOOSE({1,2,3,4},KMB!T184,KMB!X184,KMB!AB184,KMB!AF184))=6)*(CHOOSE({1,2,3,4},KMB!W184,KMB!AA184,KMB!AE184,KMB!AI184)))</f>
        <v>0</v>
      </c>
      <c r="G184">
        <f>SUMPRODUCT((MONTH(CHOOSE({1,2,3,4},KMB!T184,KMB!X184,KMB!AB184,KMB!AF184))=7)*(CHOOSE({1,2,3,4},KMB!W184,KMB!AA184,KMB!AE184,KMB!AI184)))</f>
        <v>0</v>
      </c>
      <c r="H184">
        <f>SUMPRODUCT((MONTH(CHOOSE({1,2,3,4},KMB!T184,KMB!X184,KMB!AB184,KMB!AF184))=8)*(CHOOSE({1,2,3,4},KMB!W184,KMB!AA184,KMB!AE184,KMB!AI184)))</f>
        <v>0</v>
      </c>
      <c r="I184">
        <f>SUMPRODUCT((MONTH(CHOOSE({1,2,3,4},KMB!T184,KMB!X184,KMB!AB184,KMB!AF184))=9)*(CHOOSE({1,2,3,4},KMB!W184,KMB!AA184,KMB!AE184,KMB!AI184)))</f>
        <v>0</v>
      </c>
      <c r="J184">
        <f>SUMPRODUCT((MONTH(CHOOSE({1,2,3,4},KMB!T184,KMB!X184,KMB!AB184,KMB!AF184))=10)*(CHOOSE({1,2,3,4},KMB!W184,KMB!AA184,KMB!AE184,KMB!AI184)))</f>
        <v>0</v>
      </c>
      <c r="K184">
        <f>SUMPRODUCT((MONTH(CHOOSE({1,2,3,4},KMB!T184,KMB!X184,KMB!AB184,KMB!AF184))=11)*(CHOOSE({1,2,3,4},KMB!W184,KMB!AA184,KMB!AE184,KMB!AI184)))</f>
        <v>0</v>
      </c>
      <c r="L184">
        <f>SUMPRODUCT((MONTH(CHOOSE({1,2,3,4},KMB!T184,KMB!X184,KMB!AB184,KMB!AF184))=12)*(CHOOSE({1,2,3,4},KMB!W184,KMB!AA184,KMB!AE184,KMB!AI184)))</f>
        <v>0</v>
      </c>
    </row>
    <row r="185" spans="1:12">
      <c r="A185">
        <f>SUMPRODUCT((MONTH(CHOOSE({1,2,3,4},KMB!T185,KMB!X185,KMB!AB185,KMB!AF185))=1)*(CHOOSE({1,2,3,4},KMB!W185,KMB!AA185,KMB!AE185,KMB!AI185)))</f>
        <v>0</v>
      </c>
      <c r="B185">
        <f>SUMPRODUCT((MONTH(CHOOSE({1,2,3,4},KMB!T185,KMB!X185,KMB!AB185,KMB!AF185))=2)*(CHOOSE({1,2,3,4},KMB!W185,KMB!AA185,KMB!AE185,KMB!AI185)))</f>
        <v>0</v>
      </c>
      <c r="C185">
        <f>SUMPRODUCT((MONTH(CHOOSE({1,2,3,4},KMB!T185,KMB!X185,KMB!AB185,KMB!AF185))=3)*(CHOOSE({1,2,3,4},KMB!W185,KMB!AA185,KMB!AE185,KMB!AI185)))</f>
        <v>0</v>
      </c>
      <c r="D185">
        <f>SUMPRODUCT((MONTH(CHOOSE({1,2,3,4},KMB!T185,KMB!X185,KMB!AB185,KMB!AF185))=4)*(CHOOSE({1,2,3,4},KMB!W185,KMB!AA185,KMB!AE185,KMB!AI185)))</f>
        <v>0</v>
      </c>
      <c r="E185">
        <f>SUMPRODUCT((MONTH(CHOOSE({1,2,3,4},KMB!T185,KMB!X185,KMB!AB185,KMB!AF185))=5)*(CHOOSE({1,2,3,4},KMB!W185,KMB!AA185,KMB!AE185,KMB!AI185)))</f>
        <v>0</v>
      </c>
      <c r="F185">
        <f>SUMPRODUCT((MONTH(CHOOSE({1,2,3,4},KMB!T185,KMB!X185,KMB!AB185,KMB!AF185))=6)*(CHOOSE({1,2,3,4},KMB!W185,KMB!AA185,KMB!AE185,KMB!AI185)))</f>
        <v>0</v>
      </c>
      <c r="G185">
        <f>SUMPRODUCT((MONTH(CHOOSE({1,2,3,4},KMB!T185,KMB!X185,KMB!AB185,KMB!AF185))=7)*(CHOOSE({1,2,3,4},KMB!W185,KMB!AA185,KMB!AE185,KMB!AI185)))</f>
        <v>0</v>
      </c>
      <c r="H185">
        <f>SUMPRODUCT((MONTH(CHOOSE({1,2,3,4},KMB!T185,KMB!X185,KMB!AB185,KMB!AF185))=8)*(CHOOSE({1,2,3,4},KMB!W185,KMB!AA185,KMB!AE185,KMB!AI185)))</f>
        <v>0</v>
      </c>
      <c r="I185">
        <f>SUMPRODUCT((MONTH(CHOOSE({1,2,3,4},KMB!T185,KMB!X185,KMB!AB185,KMB!AF185))=9)*(CHOOSE({1,2,3,4},KMB!W185,KMB!AA185,KMB!AE185,KMB!AI185)))</f>
        <v>0</v>
      </c>
      <c r="J185">
        <f>SUMPRODUCT((MONTH(CHOOSE({1,2,3,4},KMB!T185,KMB!X185,KMB!AB185,KMB!AF185))=10)*(CHOOSE({1,2,3,4},KMB!W185,KMB!AA185,KMB!AE185,KMB!AI185)))</f>
        <v>0</v>
      </c>
      <c r="K185">
        <f>SUMPRODUCT((MONTH(CHOOSE({1,2,3,4},KMB!T185,KMB!X185,KMB!AB185,KMB!AF185))=11)*(CHOOSE({1,2,3,4},KMB!W185,KMB!AA185,KMB!AE185,KMB!AI185)))</f>
        <v>0</v>
      </c>
      <c r="L185">
        <f>SUMPRODUCT((MONTH(CHOOSE({1,2,3,4},KMB!T185,KMB!X185,KMB!AB185,KMB!AF185))=12)*(CHOOSE({1,2,3,4},KMB!W185,KMB!AA185,KMB!AE185,KMB!AI185)))</f>
        <v>0</v>
      </c>
    </row>
    <row r="186" spans="1:12">
      <c r="A186">
        <f>SUMPRODUCT((MONTH(CHOOSE({1,2,3,4},KMB!T186,KMB!X186,KMB!AB186,KMB!AF186))=1)*(CHOOSE({1,2,3,4},KMB!W186,KMB!AA186,KMB!AE186,KMB!AI186)))</f>
        <v>0</v>
      </c>
      <c r="B186">
        <f>SUMPRODUCT((MONTH(CHOOSE({1,2,3,4},KMB!T186,KMB!X186,KMB!AB186,KMB!AF186))=2)*(CHOOSE({1,2,3,4},KMB!W186,KMB!AA186,KMB!AE186,KMB!AI186)))</f>
        <v>0</v>
      </c>
      <c r="C186">
        <f>SUMPRODUCT((MONTH(CHOOSE({1,2,3,4},KMB!T186,KMB!X186,KMB!AB186,KMB!AF186))=3)*(CHOOSE({1,2,3,4},KMB!W186,KMB!AA186,KMB!AE186,KMB!AI186)))</f>
        <v>0</v>
      </c>
      <c r="D186">
        <f>SUMPRODUCT((MONTH(CHOOSE({1,2,3,4},KMB!T186,KMB!X186,KMB!AB186,KMB!AF186))=4)*(CHOOSE({1,2,3,4},KMB!W186,KMB!AA186,KMB!AE186,KMB!AI186)))</f>
        <v>0</v>
      </c>
      <c r="E186">
        <f>SUMPRODUCT((MONTH(CHOOSE({1,2,3,4},KMB!T186,KMB!X186,KMB!AB186,KMB!AF186))=5)*(CHOOSE({1,2,3,4},KMB!W186,KMB!AA186,KMB!AE186,KMB!AI186)))</f>
        <v>0</v>
      </c>
      <c r="F186">
        <f>SUMPRODUCT((MONTH(CHOOSE({1,2,3,4},KMB!T186,KMB!X186,KMB!AB186,KMB!AF186))=6)*(CHOOSE({1,2,3,4},KMB!W186,KMB!AA186,KMB!AE186,KMB!AI186)))</f>
        <v>0</v>
      </c>
      <c r="G186">
        <f>SUMPRODUCT((MONTH(CHOOSE({1,2,3,4},KMB!T186,KMB!X186,KMB!AB186,KMB!AF186))=7)*(CHOOSE({1,2,3,4},KMB!W186,KMB!AA186,KMB!AE186,KMB!AI186)))</f>
        <v>0</v>
      </c>
      <c r="H186">
        <f>SUMPRODUCT((MONTH(CHOOSE({1,2,3,4},KMB!T186,KMB!X186,KMB!AB186,KMB!AF186))=8)*(CHOOSE({1,2,3,4},KMB!W186,KMB!AA186,KMB!AE186,KMB!AI186)))</f>
        <v>0</v>
      </c>
      <c r="I186">
        <f>SUMPRODUCT((MONTH(CHOOSE({1,2,3,4},KMB!T186,KMB!X186,KMB!AB186,KMB!AF186))=9)*(CHOOSE({1,2,3,4},KMB!W186,KMB!AA186,KMB!AE186,KMB!AI186)))</f>
        <v>0</v>
      </c>
      <c r="J186">
        <f>SUMPRODUCT((MONTH(CHOOSE({1,2,3,4},KMB!T186,KMB!X186,KMB!AB186,KMB!AF186))=10)*(CHOOSE({1,2,3,4},KMB!W186,KMB!AA186,KMB!AE186,KMB!AI186)))</f>
        <v>0</v>
      </c>
      <c r="K186">
        <f>SUMPRODUCT((MONTH(CHOOSE({1,2,3,4},KMB!T186,KMB!X186,KMB!AB186,KMB!AF186))=11)*(CHOOSE({1,2,3,4},KMB!W186,KMB!AA186,KMB!AE186,KMB!AI186)))</f>
        <v>0</v>
      </c>
      <c r="L186">
        <f>SUMPRODUCT((MONTH(CHOOSE({1,2,3,4},KMB!T186,KMB!X186,KMB!AB186,KMB!AF186))=12)*(CHOOSE({1,2,3,4},KMB!W186,KMB!AA186,KMB!AE186,KMB!AI186)))</f>
        <v>0</v>
      </c>
    </row>
    <row r="187" spans="1:12">
      <c r="A187">
        <f>SUMPRODUCT((MONTH(CHOOSE({1,2,3,4},KMB!T187,KMB!X187,KMB!AB187,KMB!AF187))=1)*(CHOOSE({1,2,3,4},KMB!W187,KMB!AA187,KMB!AE187,KMB!AI187)))</f>
        <v>0</v>
      </c>
      <c r="B187">
        <f>SUMPRODUCT((MONTH(CHOOSE({1,2,3,4},KMB!T187,KMB!X187,KMB!AB187,KMB!AF187))=2)*(CHOOSE({1,2,3,4},KMB!W187,KMB!AA187,KMB!AE187,KMB!AI187)))</f>
        <v>0</v>
      </c>
      <c r="C187">
        <f>SUMPRODUCT((MONTH(CHOOSE({1,2,3,4},KMB!T187,KMB!X187,KMB!AB187,KMB!AF187))=3)*(CHOOSE({1,2,3,4},KMB!W187,KMB!AA187,KMB!AE187,KMB!AI187)))</f>
        <v>0</v>
      </c>
      <c r="D187">
        <f>SUMPRODUCT((MONTH(CHOOSE({1,2,3,4},KMB!T187,KMB!X187,KMB!AB187,KMB!AF187))=4)*(CHOOSE({1,2,3,4},KMB!W187,KMB!AA187,KMB!AE187,KMB!AI187)))</f>
        <v>0</v>
      </c>
      <c r="E187">
        <f>SUMPRODUCT((MONTH(CHOOSE({1,2,3,4},KMB!T187,KMB!X187,KMB!AB187,KMB!AF187))=5)*(CHOOSE({1,2,3,4},KMB!W187,KMB!AA187,KMB!AE187,KMB!AI187)))</f>
        <v>0</v>
      </c>
      <c r="F187">
        <f>SUMPRODUCT((MONTH(CHOOSE({1,2,3,4},KMB!T187,KMB!X187,KMB!AB187,KMB!AF187))=6)*(CHOOSE({1,2,3,4},KMB!W187,KMB!AA187,KMB!AE187,KMB!AI187)))</f>
        <v>0</v>
      </c>
      <c r="G187">
        <f>SUMPRODUCT((MONTH(CHOOSE({1,2,3,4},KMB!T187,KMB!X187,KMB!AB187,KMB!AF187))=7)*(CHOOSE({1,2,3,4},KMB!W187,KMB!AA187,KMB!AE187,KMB!AI187)))</f>
        <v>0</v>
      </c>
      <c r="H187">
        <f>SUMPRODUCT((MONTH(CHOOSE({1,2,3,4},KMB!T187,KMB!X187,KMB!AB187,KMB!AF187))=8)*(CHOOSE({1,2,3,4},KMB!W187,KMB!AA187,KMB!AE187,KMB!AI187)))</f>
        <v>0</v>
      </c>
      <c r="I187">
        <f>SUMPRODUCT((MONTH(CHOOSE({1,2,3,4},KMB!T187,KMB!X187,KMB!AB187,KMB!AF187))=9)*(CHOOSE({1,2,3,4},KMB!W187,KMB!AA187,KMB!AE187,KMB!AI187)))</f>
        <v>0</v>
      </c>
      <c r="J187">
        <f>SUMPRODUCT((MONTH(CHOOSE({1,2,3,4},KMB!T187,KMB!X187,KMB!AB187,KMB!AF187))=10)*(CHOOSE({1,2,3,4},KMB!W187,KMB!AA187,KMB!AE187,KMB!AI187)))</f>
        <v>0</v>
      </c>
      <c r="K187">
        <f>SUMPRODUCT((MONTH(CHOOSE({1,2,3,4},KMB!T187,KMB!X187,KMB!AB187,KMB!AF187))=11)*(CHOOSE({1,2,3,4},KMB!W187,KMB!AA187,KMB!AE187,KMB!AI187)))</f>
        <v>0</v>
      </c>
      <c r="L187">
        <f>SUMPRODUCT((MONTH(CHOOSE({1,2,3,4},KMB!T187,KMB!X187,KMB!AB187,KMB!AF187))=12)*(CHOOSE({1,2,3,4},KMB!W187,KMB!AA187,KMB!AE187,KMB!AI187)))</f>
        <v>0</v>
      </c>
    </row>
    <row r="188" spans="1:12">
      <c r="A188">
        <f>SUMPRODUCT((MONTH(CHOOSE({1,2,3,4},KMB!T188,KMB!X188,KMB!AB188,KMB!AF188))=1)*(CHOOSE({1,2,3,4},KMB!W188,KMB!AA188,KMB!AE188,KMB!AI188)))</f>
        <v>0</v>
      </c>
      <c r="B188">
        <f>SUMPRODUCT((MONTH(CHOOSE({1,2,3,4},KMB!T188,KMB!X188,KMB!AB188,KMB!AF188))=2)*(CHOOSE({1,2,3,4},KMB!W188,KMB!AA188,KMB!AE188,KMB!AI188)))</f>
        <v>0</v>
      </c>
      <c r="C188">
        <f>SUMPRODUCT((MONTH(CHOOSE({1,2,3,4},KMB!T188,KMB!X188,KMB!AB188,KMB!AF188))=3)*(CHOOSE({1,2,3,4},KMB!W188,KMB!AA188,KMB!AE188,KMB!AI188)))</f>
        <v>0</v>
      </c>
      <c r="D188">
        <f>SUMPRODUCT((MONTH(CHOOSE({1,2,3,4},KMB!T188,KMB!X188,KMB!AB188,KMB!AF188))=4)*(CHOOSE({1,2,3,4},KMB!W188,KMB!AA188,KMB!AE188,KMB!AI188)))</f>
        <v>0</v>
      </c>
      <c r="E188">
        <f>SUMPRODUCT((MONTH(CHOOSE({1,2,3,4},KMB!T188,KMB!X188,KMB!AB188,KMB!AF188))=5)*(CHOOSE({1,2,3,4},KMB!W188,KMB!AA188,KMB!AE188,KMB!AI188)))</f>
        <v>0</v>
      </c>
      <c r="F188">
        <f>SUMPRODUCT((MONTH(CHOOSE({1,2,3,4},KMB!T188,KMB!X188,KMB!AB188,KMB!AF188))=6)*(CHOOSE({1,2,3,4},KMB!W188,KMB!AA188,KMB!AE188,KMB!AI188)))</f>
        <v>0</v>
      </c>
      <c r="G188">
        <f>SUMPRODUCT((MONTH(CHOOSE({1,2,3,4},KMB!T188,KMB!X188,KMB!AB188,KMB!AF188))=7)*(CHOOSE({1,2,3,4},KMB!W188,KMB!AA188,KMB!AE188,KMB!AI188)))</f>
        <v>0</v>
      </c>
      <c r="H188">
        <f>SUMPRODUCT((MONTH(CHOOSE({1,2,3,4},KMB!T188,KMB!X188,KMB!AB188,KMB!AF188))=8)*(CHOOSE({1,2,3,4},KMB!W188,KMB!AA188,KMB!AE188,KMB!AI188)))</f>
        <v>0</v>
      </c>
      <c r="I188">
        <f>SUMPRODUCT((MONTH(CHOOSE({1,2,3,4},KMB!T188,KMB!X188,KMB!AB188,KMB!AF188))=9)*(CHOOSE({1,2,3,4},KMB!W188,KMB!AA188,KMB!AE188,KMB!AI188)))</f>
        <v>0</v>
      </c>
      <c r="J188">
        <f>SUMPRODUCT((MONTH(CHOOSE({1,2,3,4},KMB!T188,KMB!X188,KMB!AB188,KMB!AF188))=10)*(CHOOSE({1,2,3,4},KMB!W188,KMB!AA188,KMB!AE188,KMB!AI188)))</f>
        <v>0</v>
      </c>
      <c r="K188">
        <f>SUMPRODUCT((MONTH(CHOOSE({1,2,3,4},KMB!T188,KMB!X188,KMB!AB188,KMB!AF188))=11)*(CHOOSE({1,2,3,4},KMB!W188,KMB!AA188,KMB!AE188,KMB!AI188)))</f>
        <v>0</v>
      </c>
      <c r="L188">
        <f>SUMPRODUCT((MONTH(CHOOSE({1,2,3,4},KMB!T188,KMB!X188,KMB!AB188,KMB!AF188))=12)*(CHOOSE({1,2,3,4},KMB!W188,KMB!AA188,KMB!AE188,KMB!AI188)))</f>
        <v>0</v>
      </c>
    </row>
    <row r="189" spans="1:12">
      <c r="A189">
        <f>SUMPRODUCT((MONTH(CHOOSE({1,2,3,4},KMB!T189,KMB!X189,KMB!AB189,KMB!AF189))=1)*(CHOOSE({1,2,3,4},KMB!W189,KMB!AA189,KMB!AE189,KMB!AI189)))</f>
        <v>0</v>
      </c>
      <c r="B189">
        <f>SUMPRODUCT((MONTH(CHOOSE({1,2,3,4},KMB!T189,KMB!X189,KMB!AB189,KMB!AF189))=2)*(CHOOSE({1,2,3,4},KMB!W189,KMB!AA189,KMB!AE189,KMB!AI189)))</f>
        <v>0</v>
      </c>
      <c r="C189">
        <f>SUMPRODUCT((MONTH(CHOOSE({1,2,3,4},KMB!T189,KMB!X189,KMB!AB189,KMB!AF189))=3)*(CHOOSE({1,2,3,4},KMB!W189,KMB!AA189,KMB!AE189,KMB!AI189)))</f>
        <v>0</v>
      </c>
      <c r="D189">
        <f>SUMPRODUCT((MONTH(CHOOSE({1,2,3,4},KMB!T189,KMB!X189,KMB!AB189,KMB!AF189))=4)*(CHOOSE({1,2,3,4},KMB!W189,KMB!AA189,KMB!AE189,KMB!AI189)))</f>
        <v>0</v>
      </c>
      <c r="E189">
        <f>SUMPRODUCT((MONTH(CHOOSE({1,2,3,4},KMB!T189,KMB!X189,KMB!AB189,KMB!AF189))=5)*(CHOOSE({1,2,3,4},KMB!W189,KMB!AA189,KMB!AE189,KMB!AI189)))</f>
        <v>0</v>
      </c>
      <c r="F189">
        <f>SUMPRODUCT((MONTH(CHOOSE({1,2,3,4},KMB!T189,KMB!X189,KMB!AB189,KMB!AF189))=6)*(CHOOSE({1,2,3,4},KMB!W189,KMB!AA189,KMB!AE189,KMB!AI189)))</f>
        <v>0</v>
      </c>
      <c r="G189">
        <f>SUMPRODUCT((MONTH(CHOOSE({1,2,3,4},KMB!T189,KMB!X189,KMB!AB189,KMB!AF189))=7)*(CHOOSE({1,2,3,4},KMB!W189,KMB!AA189,KMB!AE189,KMB!AI189)))</f>
        <v>0</v>
      </c>
      <c r="H189">
        <f>SUMPRODUCT((MONTH(CHOOSE({1,2,3,4},KMB!T189,KMB!X189,KMB!AB189,KMB!AF189))=8)*(CHOOSE({1,2,3,4},KMB!W189,KMB!AA189,KMB!AE189,KMB!AI189)))</f>
        <v>0</v>
      </c>
      <c r="I189">
        <f>SUMPRODUCT((MONTH(CHOOSE({1,2,3,4},KMB!T189,KMB!X189,KMB!AB189,KMB!AF189))=9)*(CHOOSE({1,2,3,4},KMB!W189,KMB!AA189,KMB!AE189,KMB!AI189)))</f>
        <v>0</v>
      </c>
      <c r="J189">
        <f>SUMPRODUCT((MONTH(CHOOSE({1,2,3,4},KMB!T189,KMB!X189,KMB!AB189,KMB!AF189))=10)*(CHOOSE({1,2,3,4},KMB!W189,KMB!AA189,KMB!AE189,KMB!AI189)))</f>
        <v>0</v>
      </c>
      <c r="K189">
        <f>SUMPRODUCT((MONTH(CHOOSE({1,2,3,4},KMB!T189,KMB!X189,KMB!AB189,KMB!AF189))=11)*(CHOOSE({1,2,3,4},KMB!W189,KMB!AA189,KMB!AE189,KMB!AI189)))</f>
        <v>0</v>
      </c>
      <c r="L189">
        <f>SUMPRODUCT((MONTH(CHOOSE({1,2,3,4},KMB!T189,KMB!X189,KMB!AB189,KMB!AF189))=12)*(CHOOSE({1,2,3,4},KMB!W189,KMB!AA189,KMB!AE189,KMB!AI189)))</f>
        <v>0</v>
      </c>
    </row>
    <row r="190" spans="1:12">
      <c r="A190">
        <f>SUMPRODUCT((MONTH(CHOOSE({1,2,3,4},KMB!T190,KMB!X190,KMB!AB190,KMB!AF190))=1)*(CHOOSE({1,2,3,4},KMB!W190,KMB!AA190,KMB!AE190,KMB!AI190)))</f>
        <v>0</v>
      </c>
      <c r="B190">
        <f>SUMPRODUCT((MONTH(CHOOSE({1,2,3,4},KMB!T190,KMB!X190,KMB!AB190,KMB!AF190))=2)*(CHOOSE({1,2,3,4},KMB!W190,KMB!AA190,KMB!AE190,KMB!AI190)))</f>
        <v>0</v>
      </c>
      <c r="C190">
        <f>SUMPRODUCT((MONTH(CHOOSE({1,2,3,4},KMB!T190,KMB!X190,KMB!AB190,KMB!AF190))=3)*(CHOOSE({1,2,3,4},KMB!W190,KMB!AA190,KMB!AE190,KMB!AI190)))</f>
        <v>0</v>
      </c>
      <c r="D190">
        <f>SUMPRODUCT((MONTH(CHOOSE({1,2,3,4},KMB!T190,KMB!X190,KMB!AB190,KMB!AF190))=4)*(CHOOSE({1,2,3,4},KMB!W190,KMB!AA190,KMB!AE190,KMB!AI190)))</f>
        <v>0</v>
      </c>
      <c r="E190">
        <f>SUMPRODUCT((MONTH(CHOOSE({1,2,3,4},KMB!T190,KMB!X190,KMB!AB190,KMB!AF190))=5)*(CHOOSE({1,2,3,4},KMB!W190,KMB!AA190,KMB!AE190,KMB!AI190)))</f>
        <v>0</v>
      </c>
      <c r="F190">
        <f>SUMPRODUCT((MONTH(CHOOSE({1,2,3,4},KMB!T190,KMB!X190,KMB!AB190,KMB!AF190))=6)*(CHOOSE({1,2,3,4},KMB!W190,KMB!AA190,KMB!AE190,KMB!AI190)))</f>
        <v>0</v>
      </c>
      <c r="G190">
        <f>SUMPRODUCT((MONTH(CHOOSE({1,2,3,4},KMB!T190,KMB!X190,KMB!AB190,KMB!AF190))=7)*(CHOOSE({1,2,3,4},KMB!W190,KMB!AA190,KMB!AE190,KMB!AI190)))</f>
        <v>0</v>
      </c>
      <c r="H190">
        <f>SUMPRODUCT((MONTH(CHOOSE({1,2,3,4},KMB!T190,KMB!X190,KMB!AB190,KMB!AF190))=8)*(CHOOSE({1,2,3,4},KMB!W190,KMB!AA190,KMB!AE190,KMB!AI190)))</f>
        <v>0</v>
      </c>
      <c r="I190">
        <f>SUMPRODUCT((MONTH(CHOOSE({1,2,3,4},KMB!T190,KMB!X190,KMB!AB190,KMB!AF190))=9)*(CHOOSE({1,2,3,4},KMB!W190,KMB!AA190,KMB!AE190,KMB!AI190)))</f>
        <v>0</v>
      </c>
      <c r="J190">
        <f>SUMPRODUCT((MONTH(CHOOSE({1,2,3,4},KMB!T190,KMB!X190,KMB!AB190,KMB!AF190))=10)*(CHOOSE({1,2,3,4},KMB!W190,KMB!AA190,KMB!AE190,KMB!AI190)))</f>
        <v>0</v>
      </c>
      <c r="K190">
        <f>SUMPRODUCT((MONTH(CHOOSE({1,2,3,4},KMB!T190,KMB!X190,KMB!AB190,KMB!AF190))=11)*(CHOOSE({1,2,3,4},KMB!W190,KMB!AA190,KMB!AE190,KMB!AI190)))</f>
        <v>0</v>
      </c>
      <c r="L190">
        <f>SUMPRODUCT((MONTH(CHOOSE({1,2,3,4},KMB!T190,KMB!X190,KMB!AB190,KMB!AF190))=12)*(CHOOSE({1,2,3,4},KMB!W190,KMB!AA190,KMB!AE190,KMB!AI190)))</f>
        <v>0</v>
      </c>
    </row>
    <row r="191" spans="1:12">
      <c r="A191">
        <f>SUMPRODUCT((MONTH(CHOOSE({1,2,3,4},KMB!T191,KMB!X191,KMB!AB191,KMB!AF191))=1)*(CHOOSE({1,2,3,4},KMB!W191,KMB!AA191,KMB!AE191,KMB!AI191)))</f>
        <v>0</v>
      </c>
      <c r="B191">
        <f>SUMPRODUCT((MONTH(CHOOSE({1,2,3,4},KMB!T191,KMB!X191,KMB!AB191,KMB!AF191))=2)*(CHOOSE({1,2,3,4},KMB!W191,KMB!AA191,KMB!AE191,KMB!AI191)))</f>
        <v>0</v>
      </c>
      <c r="C191">
        <f>SUMPRODUCT((MONTH(CHOOSE({1,2,3,4},KMB!T191,KMB!X191,KMB!AB191,KMB!AF191))=3)*(CHOOSE({1,2,3,4},KMB!W191,KMB!AA191,KMB!AE191,KMB!AI191)))</f>
        <v>0</v>
      </c>
      <c r="D191">
        <f>SUMPRODUCT((MONTH(CHOOSE({1,2,3,4},KMB!T191,KMB!X191,KMB!AB191,KMB!AF191))=4)*(CHOOSE({1,2,3,4},KMB!W191,KMB!AA191,KMB!AE191,KMB!AI191)))</f>
        <v>0</v>
      </c>
      <c r="E191">
        <f>SUMPRODUCT((MONTH(CHOOSE({1,2,3,4},KMB!T191,KMB!X191,KMB!AB191,KMB!AF191))=5)*(CHOOSE({1,2,3,4},KMB!W191,KMB!AA191,KMB!AE191,KMB!AI191)))</f>
        <v>0</v>
      </c>
      <c r="F191">
        <f>SUMPRODUCT((MONTH(CHOOSE({1,2,3,4},KMB!T191,KMB!X191,KMB!AB191,KMB!AF191))=6)*(CHOOSE({1,2,3,4},KMB!W191,KMB!AA191,KMB!AE191,KMB!AI191)))</f>
        <v>0</v>
      </c>
      <c r="G191">
        <f>SUMPRODUCT((MONTH(CHOOSE({1,2,3,4},KMB!T191,KMB!X191,KMB!AB191,KMB!AF191))=7)*(CHOOSE({1,2,3,4},KMB!W191,KMB!AA191,KMB!AE191,KMB!AI191)))</f>
        <v>0</v>
      </c>
      <c r="H191">
        <f>SUMPRODUCT((MONTH(CHOOSE({1,2,3,4},KMB!T191,KMB!X191,KMB!AB191,KMB!AF191))=8)*(CHOOSE({1,2,3,4},KMB!W191,KMB!AA191,KMB!AE191,KMB!AI191)))</f>
        <v>0</v>
      </c>
      <c r="I191">
        <f>SUMPRODUCT((MONTH(CHOOSE({1,2,3,4},KMB!T191,KMB!X191,KMB!AB191,KMB!AF191))=9)*(CHOOSE({1,2,3,4},KMB!W191,KMB!AA191,KMB!AE191,KMB!AI191)))</f>
        <v>0</v>
      </c>
      <c r="J191">
        <f>SUMPRODUCT((MONTH(CHOOSE({1,2,3,4},KMB!T191,KMB!X191,KMB!AB191,KMB!AF191))=10)*(CHOOSE({1,2,3,4},KMB!W191,KMB!AA191,KMB!AE191,KMB!AI191)))</f>
        <v>0</v>
      </c>
      <c r="K191">
        <f>SUMPRODUCT((MONTH(CHOOSE({1,2,3,4},KMB!T191,KMB!X191,KMB!AB191,KMB!AF191))=11)*(CHOOSE({1,2,3,4},KMB!W191,KMB!AA191,KMB!AE191,KMB!AI191)))</f>
        <v>0</v>
      </c>
      <c r="L191">
        <f>SUMPRODUCT((MONTH(CHOOSE({1,2,3,4},KMB!T191,KMB!X191,KMB!AB191,KMB!AF191))=12)*(CHOOSE({1,2,3,4},KMB!W191,KMB!AA191,KMB!AE191,KMB!AI191)))</f>
        <v>0</v>
      </c>
    </row>
    <row r="192" spans="1:12">
      <c r="A192">
        <f>SUMPRODUCT((MONTH(CHOOSE({1,2,3,4},KMB!T192,KMB!X192,KMB!AB192,KMB!AF192))=1)*(CHOOSE({1,2,3,4},KMB!W192,KMB!AA192,KMB!AE192,KMB!AI192)))</f>
        <v>0</v>
      </c>
      <c r="B192">
        <f>SUMPRODUCT((MONTH(CHOOSE({1,2,3,4},KMB!T192,KMB!X192,KMB!AB192,KMB!AF192))=2)*(CHOOSE({1,2,3,4},KMB!W192,KMB!AA192,KMB!AE192,KMB!AI192)))</f>
        <v>0</v>
      </c>
      <c r="C192">
        <f>SUMPRODUCT((MONTH(CHOOSE({1,2,3,4},KMB!T192,KMB!X192,KMB!AB192,KMB!AF192))=3)*(CHOOSE({1,2,3,4},KMB!W192,KMB!AA192,KMB!AE192,KMB!AI192)))</f>
        <v>0</v>
      </c>
      <c r="D192">
        <f>SUMPRODUCT((MONTH(CHOOSE({1,2,3,4},KMB!T192,KMB!X192,KMB!AB192,KMB!AF192))=4)*(CHOOSE({1,2,3,4},KMB!W192,KMB!AA192,KMB!AE192,KMB!AI192)))</f>
        <v>0</v>
      </c>
      <c r="E192">
        <f>SUMPRODUCT((MONTH(CHOOSE({1,2,3,4},KMB!T192,KMB!X192,KMB!AB192,KMB!AF192))=5)*(CHOOSE({1,2,3,4},KMB!W192,KMB!AA192,KMB!AE192,KMB!AI192)))</f>
        <v>0</v>
      </c>
      <c r="F192">
        <f>SUMPRODUCT((MONTH(CHOOSE({1,2,3,4},KMB!T192,KMB!X192,KMB!AB192,KMB!AF192))=6)*(CHOOSE({1,2,3,4},KMB!W192,KMB!AA192,KMB!AE192,KMB!AI192)))</f>
        <v>0</v>
      </c>
      <c r="G192">
        <f>SUMPRODUCT((MONTH(CHOOSE({1,2,3,4},KMB!T192,KMB!X192,KMB!AB192,KMB!AF192))=7)*(CHOOSE({1,2,3,4},KMB!W192,KMB!AA192,KMB!AE192,KMB!AI192)))</f>
        <v>0</v>
      </c>
      <c r="H192">
        <f>SUMPRODUCT((MONTH(CHOOSE({1,2,3,4},KMB!T192,KMB!X192,KMB!AB192,KMB!AF192))=8)*(CHOOSE({1,2,3,4},KMB!W192,KMB!AA192,KMB!AE192,KMB!AI192)))</f>
        <v>0</v>
      </c>
      <c r="I192">
        <f>SUMPRODUCT((MONTH(CHOOSE({1,2,3,4},KMB!T192,KMB!X192,KMB!AB192,KMB!AF192))=9)*(CHOOSE({1,2,3,4},KMB!W192,KMB!AA192,KMB!AE192,KMB!AI192)))</f>
        <v>0</v>
      </c>
      <c r="J192">
        <f>SUMPRODUCT((MONTH(CHOOSE({1,2,3,4},KMB!T192,KMB!X192,KMB!AB192,KMB!AF192))=10)*(CHOOSE({1,2,3,4},KMB!W192,KMB!AA192,KMB!AE192,KMB!AI192)))</f>
        <v>0</v>
      </c>
      <c r="K192">
        <f>SUMPRODUCT((MONTH(CHOOSE({1,2,3,4},KMB!T192,KMB!X192,KMB!AB192,KMB!AF192))=11)*(CHOOSE({1,2,3,4},KMB!W192,KMB!AA192,KMB!AE192,KMB!AI192)))</f>
        <v>0</v>
      </c>
      <c r="L192">
        <f>SUMPRODUCT((MONTH(CHOOSE({1,2,3,4},KMB!T192,KMB!X192,KMB!AB192,KMB!AF192))=12)*(CHOOSE({1,2,3,4},KMB!W192,KMB!AA192,KMB!AE192,KMB!AI192)))</f>
        <v>0</v>
      </c>
    </row>
    <row r="193" spans="1:12">
      <c r="A193">
        <f>SUMPRODUCT((MONTH(CHOOSE({1,2,3,4},KMB!T193,KMB!X193,KMB!AB193,KMB!AF193))=1)*(CHOOSE({1,2,3,4},KMB!W193,KMB!AA193,KMB!AE193,KMB!AI193)))</f>
        <v>0</v>
      </c>
      <c r="B193">
        <f>SUMPRODUCT((MONTH(CHOOSE({1,2,3,4},KMB!T193,KMB!X193,KMB!AB193,KMB!AF193))=2)*(CHOOSE({1,2,3,4},KMB!W193,KMB!AA193,KMB!AE193,KMB!AI193)))</f>
        <v>0</v>
      </c>
      <c r="C193">
        <f>SUMPRODUCT((MONTH(CHOOSE({1,2,3,4},KMB!T193,KMB!X193,KMB!AB193,KMB!AF193))=3)*(CHOOSE({1,2,3,4},KMB!W193,KMB!AA193,KMB!AE193,KMB!AI193)))</f>
        <v>0</v>
      </c>
      <c r="D193">
        <f>SUMPRODUCT((MONTH(CHOOSE({1,2,3,4},KMB!T193,KMB!X193,KMB!AB193,KMB!AF193))=4)*(CHOOSE({1,2,3,4},KMB!W193,KMB!AA193,KMB!AE193,KMB!AI193)))</f>
        <v>0</v>
      </c>
      <c r="E193">
        <f>SUMPRODUCT((MONTH(CHOOSE({1,2,3,4},KMB!T193,KMB!X193,KMB!AB193,KMB!AF193))=5)*(CHOOSE({1,2,3,4},KMB!W193,KMB!AA193,KMB!AE193,KMB!AI193)))</f>
        <v>0</v>
      </c>
      <c r="F193">
        <f>SUMPRODUCT((MONTH(CHOOSE({1,2,3,4},KMB!T193,KMB!X193,KMB!AB193,KMB!AF193))=6)*(CHOOSE({1,2,3,4},KMB!W193,KMB!AA193,KMB!AE193,KMB!AI193)))</f>
        <v>0</v>
      </c>
      <c r="G193">
        <f>SUMPRODUCT((MONTH(CHOOSE({1,2,3,4},KMB!T193,KMB!X193,KMB!AB193,KMB!AF193))=7)*(CHOOSE({1,2,3,4},KMB!W193,KMB!AA193,KMB!AE193,KMB!AI193)))</f>
        <v>0</v>
      </c>
      <c r="H193">
        <f>SUMPRODUCT((MONTH(CHOOSE({1,2,3,4},KMB!T193,KMB!X193,KMB!AB193,KMB!AF193))=8)*(CHOOSE({1,2,3,4},KMB!W193,KMB!AA193,KMB!AE193,KMB!AI193)))</f>
        <v>0</v>
      </c>
      <c r="I193">
        <f>SUMPRODUCT((MONTH(CHOOSE({1,2,3,4},KMB!T193,KMB!X193,KMB!AB193,KMB!AF193))=9)*(CHOOSE({1,2,3,4},KMB!W193,KMB!AA193,KMB!AE193,KMB!AI193)))</f>
        <v>0</v>
      </c>
      <c r="J193">
        <f>SUMPRODUCT((MONTH(CHOOSE({1,2,3,4},KMB!T193,KMB!X193,KMB!AB193,KMB!AF193))=10)*(CHOOSE({1,2,3,4},KMB!W193,KMB!AA193,KMB!AE193,KMB!AI193)))</f>
        <v>0</v>
      </c>
      <c r="K193">
        <f>SUMPRODUCT((MONTH(CHOOSE({1,2,3,4},KMB!T193,KMB!X193,KMB!AB193,KMB!AF193))=11)*(CHOOSE({1,2,3,4},KMB!W193,KMB!AA193,KMB!AE193,KMB!AI193)))</f>
        <v>0</v>
      </c>
      <c r="L193">
        <f>SUMPRODUCT((MONTH(CHOOSE({1,2,3,4},KMB!T193,KMB!X193,KMB!AB193,KMB!AF193))=12)*(CHOOSE({1,2,3,4},KMB!W193,KMB!AA193,KMB!AE193,KMB!AI193)))</f>
        <v>0</v>
      </c>
    </row>
    <row r="194" spans="1:12">
      <c r="A194">
        <f>SUMPRODUCT((MONTH(CHOOSE({1,2,3,4},KMB!T194,KMB!X194,KMB!AB194,KMB!AF194))=1)*(CHOOSE({1,2,3,4},KMB!W194,KMB!AA194,KMB!AE194,KMB!AI194)))</f>
        <v>0</v>
      </c>
      <c r="B194">
        <f>SUMPRODUCT((MONTH(CHOOSE({1,2,3,4},KMB!T194,KMB!X194,KMB!AB194,KMB!AF194))=2)*(CHOOSE({1,2,3,4},KMB!W194,KMB!AA194,KMB!AE194,KMB!AI194)))</f>
        <v>0</v>
      </c>
      <c r="C194">
        <f>SUMPRODUCT((MONTH(CHOOSE({1,2,3,4},KMB!T194,KMB!X194,KMB!AB194,KMB!AF194))=3)*(CHOOSE({1,2,3,4},KMB!W194,KMB!AA194,KMB!AE194,KMB!AI194)))</f>
        <v>0</v>
      </c>
      <c r="D194">
        <f>SUMPRODUCT((MONTH(CHOOSE({1,2,3,4},KMB!T194,KMB!X194,KMB!AB194,KMB!AF194))=4)*(CHOOSE({1,2,3,4},KMB!W194,KMB!AA194,KMB!AE194,KMB!AI194)))</f>
        <v>0</v>
      </c>
      <c r="E194">
        <f>SUMPRODUCT((MONTH(CHOOSE({1,2,3,4},KMB!T194,KMB!X194,KMB!AB194,KMB!AF194))=5)*(CHOOSE({1,2,3,4},KMB!W194,KMB!AA194,KMB!AE194,KMB!AI194)))</f>
        <v>0</v>
      </c>
      <c r="F194">
        <f>SUMPRODUCT((MONTH(CHOOSE({1,2,3,4},KMB!T194,KMB!X194,KMB!AB194,KMB!AF194))=6)*(CHOOSE({1,2,3,4},KMB!W194,KMB!AA194,KMB!AE194,KMB!AI194)))</f>
        <v>0</v>
      </c>
      <c r="G194">
        <f>SUMPRODUCT((MONTH(CHOOSE({1,2,3,4},KMB!T194,KMB!X194,KMB!AB194,KMB!AF194))=7)*(CHOOSE({1,2,3,4},KMB!W194,KMB!AA194,KMB!AE194,KMB!AI194)))</f>
        <v>0</v>
      </c>
      <c r="H194">
        <f>SUMPRODUCT((MONTH(CHOOSE({1,2,3,4},KMB!T194,KMB!X194,KMB!AB194,KMB!AF194))=8)*(CHOOSE({1,2,3,4},KMB!W194,KMB!AA194,KMB!AE194,KMB!AI194)))</f>
        <v>0</v>
      </c>
      <c r="I194">
        <f>SUMPRODUCT((MONTH(CHOOSE({1,2,3,4},KMB!T194,KMB!X194,KMB!AB194,KMB!AF194))=9)*(CHOOSE({1,2,3,4},KMB!W194,KMB!AA194,KMB!AE194,KMB!AI194)))</f>
        <v>0</v>
      </c>
      <c r="J194">
        <f>SUMPRODUCT((MONTH(CHOOSE({1,2,3,4},KMB!T194,KMB!X194,KMB!AB194,KMB!AF194))=10)*(CHOOSE({1,2,3,4},KMB!W194,KMB!AA194,KMB!AE194,KMB!AI194)))</f>
        <v>0</v>
      </c>
      <c r="K194">
        <f>SUMPRODUCT((MONTH(CHOOSE({1,2,3,4},KMB!T194,KMB!X194,KMB!AB194,KMB!AF194))=11)*(CHOOSE({1,2,3,4},KMB!W194,KMB!AA194,KMB!AE194,KMB!AI194)))</f>
        <v>0</v>
      </c>
      <c r="L194">
        <f>SUMPRODUCT((MONTH(CHOOSE({1,2,3,4},KMB!T194,KMB!X194,KMB!AB194,KMB!AF194))=12)*(CHOOSE({1,2,3,4},KMB!W194,KMB!AA194,KMB!AE194,KMB!AI194)))</f>
        <v>0</v>
      </c>
    </row>
    <row r="195" spans="1:12">
      <c r="A195">
        <f>SUMPRODUCT((MONTH(CHOOSE({1,2,3,4},KMB!T195,KMB!X195,KMB!AB195,KMB!AF195))=1)*(CHOOSE({1,2,3,4},KMB!W195,KMB!AA195,KMB!AE195,KMB!AI195)))</f>
        <v>0</v>
      </c>
      <c r="B195">
        <f>SUMPRODUCT((MONTH(CHOOSE({1,2,3,4},KMB!T195,KMB!X195,KMB!AB195,KMB!AF195))=2)*(CHOOSE({1,2,3,4},KMB!W195,KMB!AA195,KMB!AE195,KMB!AI195)))</f>
        <v>0</v>
      </c>
      <c r="C195">
        <f>SUMPRODUCT((MONTH(CHOOSE({1,2,3,4},KMB!T195,KMB!X195,KMB!AB195,KMB!AF195))=3)*(CHOOSE({1,2,3,4},KMB!W195,KMB!AA195,KMB!AE195,KMB!AI195)))</f>
        <v>0</v>
      </c>
      <c r="D195">
        <f>SUMPRODUCT((MONTH(CHOOSE({1,2,3,4},KMB!T195,KMB!X195,KMB!AB195,KMB!AF195))=4)*(CHOOSE({1,2,3,4},KMB!W195,KMB!AA195,KMB!AE195,KMB!AI195)))</f>
        <v>0</v>
      </c>
      <c r="E195">
        <f>SUMPRODUCT((MONTH(CHOOSE({1,2,3,4},KMB!T195,KMB!X195,KMB!AB195,KMB!AF195))=5)*(CHOOSE({1,2,3,4},KMB!W195,KMB!AA195,KMB!AE195,KMB!AI195)))</f>
        <v>0</v>
      </c>
      <c r="F195">
        <f>SUMPRODUCT((MONTH(CHOOSE({1,2,3,4},KMB!T195,KMB!X195,KMB!AB195,KMB!AF195))=6)*(CHOOSE({1,2,3,4},KMB!W195,KMB!AA195,KMB!AE195,KMB!AI195)))</f>
        <v>0</v>
      </c>
      <c r="G195">
        <f>SUMPRODUCT((MONTH(CHOOSE({1,2,3,4},KMB!T195,KMB!X195,KMB!AB195,KMB!AF195))=7)*(CHOOSE({1,2,3,4},KMB!W195,KMB!AA195,KMB!AE195,KMB!AI195)))</f>
        <v>0</v>
      </c>
      <c r="H195">
        <f>SUMPRODUCT((MONTH(CHOOSE({1,2,3,4},KMB!T195,KMB!X195,KMB!AB195,KMB!AF195))=8)*(CHOOSE({1,2,3,4},KMB!W195,KMB!AA195,KMB!AE195,KMB!AI195)))</f>
        <v>0</v>
      </c>
      <c r="I195">
        <f>SUMPRODUCT((MONTH(CHOOSE({1,2,3,4},KMB!T195,KMB!X195,KMB!AB195,KMB!AF195))=9)*(CHOOSE({1,2,3,4},KMB!W195,KMB!AA195,KMB!AE195,KMB!AI195)))</f>
        <v>0</v>
      </c>
      <c r="J195">
        <f>SUMPRODUCT((MONTH(CHOOSE({1,2,3,4},KMB!T195,KMB!X195,KMB!AB195,KMB!AF195))=10)*(CHOOSE({1,2,3,4},KMB!W195,KMB!AA195,KMB!AE195,KMB!AI195)))</f>
        <v>0</v>
      </c>
      <c r="K195">
        <f>SUMPRODUCT((MONTH(CHOOSE({1,2,3,4},KMB!T195,KMB!X195,KMB!AB195,KMB!AF195))=11)*(CHOOSE({1,2,3,4},KMB!W195,KMB!AA195,KMB!AE195,KMB!AI195)))</f>
        <v>0</v>
      </c>
      <c r="L195">
        <f>SUMPRODUCT((MONTH(CHOOSE({1,2,3,4},KMB!T195,KMB!X195,KMB!AB195,KMB!AF195))=12)*(CHOOSE({1,2,3,4},KMB!W195,KMB!AA195,KMB!AE195,KMB!AI195)))</f>
        <v>0</v>
      </c>
    </row>
    <row r="196" spans="1:12">
      <c r="A196">
        <f>SUMPRODUCT((MONTH(CHOOSE({1,2,3,4},KMB!T196,KMB!X196,KMB!AB196,KMB!AF196))=1)*(CHOOSE({1,2,3,4},KMB!W196,KMB!AA196,KMB!AE196,KMB!AI196)))</f>
        <v>0</v>
      </c>
      <c r="B196">
        <f>SUMPRODUCT((MONTH(CHOOSE({1,2,3,4},KMB!T196,KMB!X196,KMB!AB196,KMB!AF196))=2)*(CHOOSE({1,2,3,4},KMB!W196,KMB!AA196,KMB!AE196,KMB!AI196)))</f>
        <v>0</v>
      </c>
      <c r="C196">
        <f>SUMPRODUCT((MONTH(CHOOSE({1,2,3,4},KMB!T196,KMB!X196,KMB!AB196,KMB!AF196))=3)*(CHOOSE({1,2,3,4},KMB!W196,KMB!AA196,KMB!AE196,KMB!AI196)))</f>
        <v>0</v>
      </c>
      <c r="D196">
        <f>SUMPRODUCT((MONTH(CHOOSE({1,2,3,4},KMB!T196,KMB!X196,KMB!AB196,KMB!AF196))=4)*(CHOOSE({1,2,3,4},KMB!W196,KMB!AA196,KMB!AE196,KMB!AI196)))</f>
        <v>0</v>
      </c>
      <c r="E196">
        <f>SUMPRODUCT((MONTH(CHOOSE({1,2,3,4},KMB!T196,KMB!X196,KMB!AB196,KMB!AF196))=5)*(CHOOSE({1,2,3,4},KMB!W196,KMB!AA196,KMB!AE196,KMB!AI196)))</f>
        <v>0</v>
      </c>
      <c r="F196">
        <f>SUMPRODUCT((MONTH(CHOOSE({1,2,3,4},KMB!T196,KMB!X196,KMB!AB196,KMB!AF196))=6)*(CHOOSE({1,2,3,4},KMB!W196,KMB!AA196,KMB!AE196,KMB!AI196)))</f>
        <v>0</v>
      </c>
      <c r="G196">
        <f>SUMPRODUCT((MONTH(CHOOSE({1,2,3,4},KMB!T196,KMB!X196,KMB!AB196,KMB!AF196))=7)*(CHOOSE({1,2,3,4},KMB!W196,KMB!AA196,KMB!AE196,KMB!AI196)))</f>
        <v>0</v>
      </c>
      <c r="H196">
        <f>SUMPRODUCT((MONTH(CHOOSE({1,2,3,4},KMB!T196,KMB!X196,KMB!AB196,KMB!AF196))=8)*(CHOOSE({1,2,3,4},KMB!W196,KMB!AA196,KMB!AE196,KMB!AI196)))</f>
        <v>0</v>
      </c>
      <c r="I196">
        <f>SUMPRODUCT((MONTH(CHOOSE({1,2,3,4},KMB!T196,KMB!X196,KMB!AB196,KMB!AF196))=9)*(CHOOSE({1,2,3,4},KMB!W196,KMB!AA196,KMB!AE196,KMB!AI196)))</f>
        <v>0</v>
      </c>
      <c r="J196">
        <f>SUMPRODUCT((MONTH(CHOOSE({1,2,3,4},KMB!T196,KMB!X196,KMB!AB196,KMB!AF196))=10)*(CHOOSE({1,2,3,4},KMB!W196,KMB!AA196,KMB!AE196,KMB!AI196)))</f>
        <v>0</v>
      </c>
      <c r="K196">
        <f>SUMPRODUCT((MONTH(CHOOSE({1,2,3,4},KMB!T196,KMB!X196,KMB!AB196,KMB!AF196))=11)*(CHOOSE({1,2,3,4},KMB!W196,KMB!AA196,KMB!AE196,KMB!AI196)))</f>
        <v>0</v>
      </c>
      <c r="L196">
        <f>SUMPRODUCT((MONTH(CHOOSE({1,2,3,4},KMB!T196,KMB!X196,KMB!AB196,KMB!AF196))=12)*(CHOOSE({1,2,3,4},KMB!W196,KMB!AA196,KMB!AE196,KMB!AI196)))</f>
        <v>0</v>
      </c>
    </row>
    <row r="197" spans="1:12">
      <c r="A197">
        <f>SUMPRODUCT((MONTH(CHOOSE({1,2,3,4},KMB!T197,KMB!X197,KMB!AB197,KMB!AF197))=1)*(CHOOSE({1,2,3,4},KMB!W197,KMB!AA197,KMB!AE197,KMB!AI197)))</f>
        <v>0</v>
      </c>
      <c r="B197">
        <f>SUMPRODUCT((MONTH(CHOOSE({1,2,3,4},KMB!T197,KMB!X197,KMB!AB197,KMB!AF197))=2)*(CHOOSE({1,2,3,4},KMB!W197,KMB!AA197,KMB!AE197,KMB!AI197)))</f>
        <v>0</v>
      </c>
      <c r="C197">
        <f>SUMPRODUCT((MONTH(CHOOSE({1,2,3,4},KMB!T197,KMB!X197,KMB!AB197,KMB!AF197))=3)*(CHOOSE({1,2,3,4},KMB!W197,KMB!AA197,KMB!AE197,KMB!AI197)))</f>
        <v>0</v>
      </c>
      <c r="D197">
        <f>SUMPRODUCT((MONTH(CHOOSE({1,2,3,4},KMB!T197,KMB!X197,KMB!AB197,KMB!AF197))=4)*(CHOOSE({1,2,3,4},KMB!W197,KMB!AA197,KMB!AE197,KMB!AI197)))</f>
        <v>0</v>
      </c>
      <c r="E197">
        <f>SUMPRODUCT((MONTH(CHOOSE({1,2,3,4},KMB!T197,KMB!X197,KMB!AB197,KMB!AF197))=5)*(CHOOSE({1,2,3,4},KMB!W197,KMB!AA197,KMB!AE197,KMB!AI197)))</f>
        <v>0</v>
      </c>
      <c r="F197">
        <f>SUMPRODUCT((MONTH(CHOOSE({1,2,3,4},KMB!T197,KMB!X197,KMB!AB197,KMB!AF197))=6)*(CHOOSE({1,2,3,4},KMB!W197,KMB!AA197,KMB!AE197,KMB!AI197)))</f>
        <v>0</v>
      </c>
      <c r="G197">
        <f>SUMPRODUCT((MONTH(CHOOSE({1,2,3,4},KMB!T197,KMB!X197,KMB!AB197,KMB!AF197))=7)*(CHOOSE({1,2,3,4},KMB!W197,KMB!AA197,KMB!AE197,KMB!AI197)))</f>
        <v>0</v>
      </c>
      <c r="H197">
        <f>SUMPRODUCT((MONTH(CHOOSE({1,2,3,4},KMB!T197,KMB!X197,KMB!AB197,KMB!AF197))=8)*(CHOOSE({1,2,3,4},KMB!W197,KMB!AA197,KMB!AE197,KMB!AI197)))</f>
        <v>0</v>
      </c>
      <c r="I197">
        <f>SUMPRODUCT((MONTH(CHOOSE({1,2,3,4},KMB!T197,KMB!X197,KMB!AB197,KMB!AF197))=9)*(CHOOSE({1,2,3,4},KMB!W197,KMB!AA197,KMB!AE197,KMB!AI197)))</f>
        <v>0</v>
      </c>
      <c r="J197">
        <f>SUMPRODUCT((MONTH(CHOOSE({1,2,3,4},KMB!T197,KMB!X197,KMB!AB197,KMB!AF197))=10)*(CHOOSE({1,2,3,4},KMB!W197,KMB!AA197,KMB!AE197,KMB!AI197)))</f>
        <v>0</v>
      </c>
      <c r="K197">
        <f>SUMPRODUCT((MONTH(CHOOSE({1,2,3,4},KMB!T197,KMB!X197,KMB!AB197,KMB!AF197))=11)*(CHOOSE({1,2,3,4},KMB!W197,KMB!AA197,KMB!AE197,KMB!AI197)))</f>
        <v>0</v>
      </c>
      <c r="L197">
        <f>SUMPRODUCT((MONTH(CHOOSE({1,2,3,4},KMB!T197,KMB!X197,KMB!AB197,KMB!AF197))=12)*(CHOOSE({1,2,3,4},KMB!W197,KMB!AA197,KMB!AE197,KMB!AI197)))</f>
        <v>0</v>
      </c>
    </row>
    <row r="198" spans="1:12">
      <c r="A198">
        <f>SUMPRODUCT((MONTH(CHOOSE({1,2,3,4},KMB!T198,KMB!X198,KMB!AB198,KMB!AF198))=1)*(CHOOSE({1,2,3,4},KMB!W198,KMB!AA198,KMB!AE198,KMB!AI198)))</f>
        <v>0</v>
      </c>
      <c r="B198">
        <f>SUMPRODUCT((MONTH(CHOOSE({1,2,3,4},KMB!T198,KMB!X198,KMB!AB198,KMB!AF198))=2)*(CHOOSE({1,2,3,4},KMB!W198,KMB!AA198,KMB!AE198,KMB!AI198)))</f>
        <v>0</v>
      </c>
      <c r="C198">
        <f>SUMPRODUCT((MONTH(CHOOSE({1,2,3,4},KMB!T198,KMB!X198,KMB!AB198,KMB!AF198))=3)*(CHOOSE({1,2,3,4},KMB!W198,KMB!AA198,KMB!AE198,KMB!AI198)))</f>
        <v>0</v>
      </c>
      <c r="D198">
        <f>SUMPRODUCT((MONTH(CHOOSE({1,2,3,4},KMB!T198,KMB!X198,KMB!AB198,KMB!AF198))=4)*(CHOOSE({1,2,3,4},KMB!W198,KMB!AA198,KMB!AE198,KMB!AI198)))</f>
        <v>0</v>
      </c>
      <c r="E198">
        <f>SUMPRODUCT((MONTH(CHOOSE({1,2,3,4},KMB!T198,KMB!X198,KMB!AB198,KMB!AF198))=5)*(CHOOSE({1,2,3,4},KMB!W198,KMB!AA198,KMB!AE198,KMB!AI198)))</f>
        <v>0</v>
      </c>
      <c r="F198">
        <f>SUMPRODUCT((MONTH(CHOOSE({1,2,3,4},KMB!T198,KMB!X198,KMB!AB198,KMB!AF198))=6)*(CHOOSE({1,2,3,4},KMB!W198,KMB!AA198,KMB!AE198,KMB!AI198)))</f>
        <v>0</v>
      </c>
      <c r="G198">
        <f>SUMPRODUCT((MONTH(CHOOSE({1,2,3,4},KMB!T198,KMB!X198,KMB!AB198,KMB!AF198))=7)*(CHOOSE({1,2,3,4},KMB!W198,KMB!AA198,KMB!AE198,KMB!AI198)))</f>
        <v>0</v>
      </c>
      <c r="H198">
        <f>SUMPRODUCT((MONTH(CHOOSE({1,2,3,4},KMB!T198,KMB!X198,KMB!AB198,KMB!AF198))=8)*(CHOOSE({1,2,3,4},KMB!W198,KMB!AA198,KMB!AE198,KMB!AI198)))</f>
        <v>0</v>
      </c>
      <c r="I198">
        <f>SUMPRODUCT((MONTH(CHOOSE({1,2,3,4},KMB!T198,KMB!X198,KMB!AB198,KMB!AF198))=9)*(CHOOSE({1,2,3,4},KMB!W198,KMB!AA198,KMB!AE198,KMB!AI198)))</f>
        <v>0</v>
      </c>
      <c r="J198">
        <f>SUMPRODUCT((MONTH(CHOOSE({1,2,3,4},KMB!T198,KMB!X198,KMB!AB198,KMB!AF198))=10)*(CHOOSE({1,2,3,4},KMB!W198,KMB!AA198,KMB!AE198,KMB!AI198)))</f>
        <v>0</v>
      </c>
      <c r="K198">
        <f>SUMPRODUCT((MONTH(CHOOSE({1,2,3,4},KMB!T198,KMB!X198,KMB!AB198,KMB!AF198))=11)*(CHOOSE({1,2,3,4},KMB!W198,KMB!AA198,KMB!AE198,KMB!AI198)))</f>
        <v>0</v>
      </c>
      <c r="L198">
        <f>SUMPRODUCT((MONTH(CHOOSE({1,2,3,4},KMB!T198,KMB!X198,KMB!AB198,KMB!AF198))=12)*(CHOOSE({1,2,3,4},KMB!W198,KMB!AA198,KMB!AE198,KMB!AI198)))</f>
        <v>0</v>
      </c>
    </row>
    <row r="199" spans="1:12">
      <c r="A199">
        <f>SUMPRODUCT((MONTH(CHOOSE({1,2,3,4},KMB!T199,KMB!X199,KMB!AB199,KMB!AF199))=1)*(CHOOSE({1,2,3,4},KMB!W199,KMB!AA199,KMB!AE199,KMB!AI199)))</f>
        <v>0</v>
      </c>
      <c r="B199">
        <f>SUMPRODUCT((MONTH(CHOOSE({1,2,3,4},KMB!T199,KMB!X199,KMB!AB199,KMB!AF199))=2)*(CHOOSE({1,2,3,4},KMB!W199,KMB!AA199,KMB!AE199,KMB!AI199)))</f>
        <v>0</v>
      </c>
      <c r="C199">
        <f>SUMPRODUCT((MONTH(CHOOSE({1,2,3,4},KMB!T199,KMB!X199,KMB!AB199,KMB!AF199))=3)*(CHOOSE({1,2,3,4},KMB!W199,KMB!AA199,KMB!AE199,KMB!AI199)))</f>
        <v>0</v>
      </c>
      <c r="D199">
        <f>SUMPRODUCT((MONTH(CHOOSE({1,2,3,4},KMB!T199,KMB!X199,KMB!AB199,KMB!AF199))=4)*(CHOOSE({1,2,3,4},KMB!W199,KMB!AA199,KMB!AE199,KMB!AI199)))</f>
        <v>0</v>
      </c>
      <c r="E199">
        <f>SUMPRODUCT((MONTH(CHOOSE({1,2,3,4},KMB!T199,KMB!X199,KMB!AB199,KMB!AF199))=5)*(CHOOSE({1,2,3,4},KMB!W199,KMB!AA199,KMB!AE199,KMB!AI199)))</f>
        <v>0</v>
      </c>
      <c r="F199">
        <f>SUMPRODUCT((MONTH(CHOOSE({1,2,3,4},KMB!T199,KMB!X199,KMB!AB199,KMB!AF199))=6)*(CHOOSE({1,2,3,4},KMB!W199,KMB!AA199,KMB!AE199,KMB!AI199)))</f>
        <v>0</v>
      </c>
      <c r="G199">
        <f>SUMPRODUCT((MONTH(CHOOSE({1,2,3,4},KMB!T199,KMB!X199,KMB!AB199,KMB!AF199))=7)*(CHOOSE({1,2,3,4},KMB!W199,KMB!AA199,KMB!AE199,KMB!AI199)))</f>
        <v>0</v>
      </c>
      <c r="H199">
        <f>SUMPRODUCT((MONTH(CHOOSE({1,2,3,4},KMB!T199,KMB!X199,KMB!AB199,KMB!AF199))=8)*(CHOOSE({1,2,3,4},KMB!W199,KMB!AA199,KMB!AE199,KMB!AI199)))</f>
        <v>0</v>
      </c>
      <c r="I199">
        <f>SUMPRODUCT((MONTH(CHOOSE({1,2,3,4},KMB!T199,KMB!X199,KMB!AB199,KMB!AF199))=9)*(CHOOSE({1,2,3,4},KMB!W199,KMB!AA199,KMB!AE199,KMB!AI199)))</f>
        <v>0</v>
      </c>
      <c r="J199">
        <f>SUMPRODUCT((MONTH(CHOOSE({1,2,3,4},KMB!T199,KMB!X199,KMB!AB199,KMB!AF199))=10)*(CHOOSE({1,2,3,4},KMB!W199,KMB!AA199,KMB!AE199,KMB!AI199)))</f>
        <v>0</v>
      </c>
      <c r="K199">
        <f>SUMPRODUCT((MONTH(CHOOSE({1,2,3,4},KMB!T199,KMB!X199,KMB!AB199,KMB!AF199))=11)*(CHOOSE({1,2,3,4},KMB!W199,KMB!AA199,KMB!AE199,KMB!AI199)))</f>
        <v>0</v>
      </c>
      <c r="L199">
        <f>SUMPRODUCT((MONTH(CHOOSE({1,2,3,4},KMB!T199,KMB!X199,KMB!AB199,KMB!AF199))=12)*(CHOOSE({1,2,3,4},KMB!W199,KMB!AA199,KMB!AE199,KMB!AI199)))</f>
        <v>0</v>
      </c>
    </row>
    <row r="200" spans="1:12">
      <c r="A200">
        <f>SUMPRODUCT((MONTH(CHOOSE({1,2,3,4},KMB!T200,KMB!X200,KMB!AB200,KMB!AF200))=1)*(CHOOSE({1,2,3,4},KMB!W200,KMB!AA200,KMB!AE200,KMB!AI200)))</f>
        <v>0</v>
      </c>
      <c r="B200">
        <f>SUMPRODUCT((MONTH(CHOOSE({1,2,3,4},KMB!T200,KMB!X200,KMB!AB200,KMB!AF200))=2)*(CHOOSE({1,2,3,4},KMB!W200,KMB!AA200,KMB!AE200,KMB!AI200)))</f>
        <v>0</v>
      </c>
      <c r="C200">
        <f>SUMPRODUCT((MONTH(CHOOSE({1,2,3,4},KMB!T200,KMB!X200,KMB!AB200,KMB!AF200))=3)*(CHOOSE({1,2,3,4},KMB!W200,KMB!AA200,KMB!AE200,KMB!AI200)))</f>
        <v>0</v>
      </c>
      <c r="D200">
        <f>SUMPRODUCT((MONTH(CHOOSE({1,2,3,4},KMB!T200,KMB!X200,KMB!AB200,KMB!AF200))=4)*(CHOOSE({1,2,3,4},KMB!W200,KMB!AA200,KMB!AE200,KMB!AI200)))</f>
        <v>0</v>
      </c>
      <c r="E200">
        <f>SUMPRODUCT((MONTH(CHOOSE({1,2,3,4},KMB!T200,KMB!X200,KMB!AB200,KMB!AF200))=5)*(CHOOSE({1,2,3,4},KMB!W200,KMB!AA200,KMB!AE200,KMB!AI200)))</f>
        <v>0</v>
      </c>
      <c r="F200">
        <f>SUMPRODUCT((MONTH(CHOOSE({1,2,3,4},KMB!T200,KMB!X200,KMB!AB200,KMB!AF200))=6)*(CHOOSE({1,2,3,4},KMB!W200,KMB!AA200,KMB!AE200,KMB!AI200)))</f>
        <v>0</v>
      </c>
      <c r="G200">
        <f>SUMPRODUCT((MONTH(CHOOSE({1,2,3,4},KMB!T200,KMB!X200,KMB!AB200,KMB!AF200))=7)*(CHOOSE({1,2,3,4},KMB!W200,KMB!AA200,KMB!AE200,KMB!AI200)))</f>
        <v>0</v>
      </c>
      <c r="H200">
        <f>SUMPRODUCT((MONTH(CHOOSE({1,2,3,4},KMB!T200,KMB!X200,KMB!AB200,KMB!AF200))=8)*(CHOOSE({1,2,3,4},KMB!W200,KMB!AA200,KMB!AE200,KMB!AI200)))</f>
        <v>0</v>
      </c>
      <c r="I200">
        <f>SUMPRODUCT((MONTH(CHOOSE({1,2,3,4},KMB!T200,KMB!X200,KMB!AB200,KMB!AF200))=9)*(CHOOSE({1,2,3,4},KMB!W200,KMB!AA200,KMB!AE200,KMB!AI200)))</f>
        <v>0</v>
      </c>
      <c r="J200">
        <f>SUMPRODUCT((MONTH(CHOOSE({1,2,3,4},KMB!T200,KMB!X200,KMB!AB200,KMB!AF200))=10)*(CHOOSE({1,2,3,4},KMB!W200,KMB!AA200,KMB!AE200,KMB!AI200)))</f>
        <v>0</v>
      </c>
      <c r="K200">
        <f>SUMPRODUCT((MONTH(CHOOSE({1,2,3,4},KMB!T200,KMB!X200,KMB!AB200,KMB!AF200))=11)*(CHOOSE({1,2,3,4},KMB!W200,KMB!AA200,KMB!AE200,KMB!AI200)))</f>
        <v>0</v>
      </c>
      <c r="L200">
        <f>SUMPRODUCT((MONTH(CHOOSE({1,2,3,4},KMB!T200,KMB!X200,KMB!AB200,KMB!AF200))=12)*(CHOOSE({1,2,3,4},KMB!W200,KMB!AA200,KMB!AE200,KMB!AI200)))</f>
        <v>0</v>
      </c>
    </row>
    <row r="201" spans="1:12">
      <c r="A201">
        <f>SUMPRODUCT((MONTH(CHOOSE({1,2,3,4},KMB!T201,KMB!X201,KMB!AB201,KMB!AF201))=1)*(CHOOSE({1,2,3,4},KMB!W201,KMB!AA201,KMB!AE201,KMB!AI201)))</f>
        <v>0</v>
      </c>
      <c r="B201">
        <f>SUMPRODUCT((MONTH(CHOOSE({1,2,3,4},KMB!T201,KMB!X201,KMB!AB201,KMB!AF201))=2)*(CHOOSE({1,2,3,4},KMB!W201,KMB!AA201,KMB!AE201,KMB!AI201)))</f>
        <v>0</v>
      </c>
      <c r="C201">
        <f>SUMPRODUCT((MONTH(CHOOSE({1,2,3,4},KMB!T201,KMB!X201,KMB!AB201,KMB!AF201))=3)*(CHOOSE({1,2,3,4},KMB!W201,KMB!AA201,KMB!AE201,KMB!AI201)))</f>
        <v>0</v>
      </c>
      <c r="D201">
        <f>SUMPRODUCT((MONTH(CHOOSE({1,2,3,4},KMB!T201,KMB!X201,KMB!AB201,KMB!AF201))=4)*(CHOOSE({1,2,3,4},KMB!W201,KMB!AA201,KMB!AE201,KMB!AI201)))</f>
        <v>0</v>
      </c>
      <c r="E201">
        <f>SUMPRODUCT((MONTH(CHOOSE({1,2,3,4},KMB!T201,KMB!X201,KMB!AB201,KMB!AF201))=5)*(CHOOSE({1,2,3,4},KMB!W201,KMB!AA201,KMB!AE201,KMB!AI201)))</f>
        <v>0</v>
      </c>
      <c r="F201">
        <f>SUMPRODUCT((MONTH(CHOOSE({1,2,3,4},KMB!T201,KMB!X201,KMB!AB201,KMB!AF201))=6)*(CHOOSE({1,2,3,4},KMB!W201,KMB!AA201,KMB!AE201,KMB!AI201)))</f>
        <v>0</v>
      </c>
      <c r="G201">
        <f>SUMPRODUCT((MONTH(CHOOSE({1,2,3,4},KMB!T201,KMB!X201,KMB!AB201,KMB!AF201))=7)*(CHOOSE({1,2,3,4},KMB!W201,KMB!AA201,KMB!AE201,KMB!AI201)))</f>
        <v>0</v>
      </c>
      <c r="H201">
        <f>SUMPRODUCT((MONTH(CHOOSE({1,2,3,4},KMB!T201,KMB!X201,KMB!AB201,KMB!AF201))=8)*(CHOOSE({1,2,3,4},KMB!W201,KMB!AA201,KMB!AE201,KMB!AI201)))</f>
        <v>0</v>
      </c>
      <c r="I201">
        <f>SUMPRODUCT((MONTH(CHOOSE({1,2,3,4},KMB!T201,KMB!X201,KMB!AB201,KMB!AF201))=9)*(CHOOSE({1,2,3,4},KMB!W201,KMB!AA201,KMB!AE201,KMB!AI201)))</f>
        <v>0</v>
      </c>
      <c r="J201">
        <f>SUMPRODUCT((MONTH(CHOOSE({1,2,3,4},KMB!T201,KMB!X201,KMB!AB201,KMB!AF201))=10)*(CHOOSE({1,2,3,4},KMB!W201,KMB!AA201,KMB!AE201,KMB!AI201)))</f>
        <v>0</v>
      </c>
      <c r="K201">
        <f>SUMPRODUCT((MONTH(CHOOSE({1,2,3,4},KMB!T201,KMB!X201,KMB!AB201,KMB!AF201))=11)*(CHOOSE({1,2,3,4},KMB!W201,KMB!AA201,KMB!AE201,KMB!AI201)))</f>
        <v>0</v>
      </c>
      <c r="L201">
        <f>SUMPRODUCT((MONTH(CHOOSE({1,2,3,4},KMB!T201,KMB!X201,KMB!AB201,KMB!AF201))=12)*(CHOOSE({1,2,3,4},KMB!W201,KMB!AA201,KMB!AE201,KMB!AI201)))</f>
        <v>0</v>
      </c>
    </row>
    <row r="202" spans="1:12">
      <c r="A202">
        <f>SUMPRODUCT((MONTH(CHOOSE({1,2,3,4},KMB!T202,KMB!X202,KMB!AB202,KMB!AF202))=1)*(CHOOSE({1,2,3,4},KMB!W202,KMB!AA202,KMB!AE202,KMB!AI202)))</f>
        <v>0</v>
      </c>
      <c r="B202">
        <f>SUMPRODUCT((MONTH(CHOOSE({1,2,3,4},KMB!T202,KMB!X202,KMB!AB202,KMB!AF202))=2)*(CHOOSE({1,2,3,4},KMB!W202,KMB!AA202,KMB!AE202,KMB!AI202)))</f>
        <v>0</v>
      </c>
      <c r="C202">
        <f>SUMPRODUCT((MONTH(CHOOSE({1,2,3,4},KMB!T202,KMB!X202,KMB!AB202,KMB!AF202))=3)*(CHOOSE({1,2,3,4},KMB!W202,KMB!AA202,KMB!AE202,KMB!AI202)))</f>
        <v>0</v>
      </c>
      <c r="D202">
        <f>SUMPRODUCT((MONTH(CHOOSE({1,2,3,4},KMB!T202,KMB!X202,KMB!AB202,KMB!AF202))=4)*(CHOOSE({1,2,3,4},KMB!W202,KMB!AA202,KMB!AE202,KMB!AI202)))</f>
        <v>0</v>
      </c>
      <c r="E202">
        <f>SUMPRODUCT((MONTH(CHOOSE({1,2,3,4},KMB!T202,KMB!X202,KMB!AB202,KMB!AF202))=5)*(CHOOSE({1,2,3,4},KMB!W202,KMB!AA202,KMB!AE202,KMB!AI202)))</f>
        <v>0</v>
      </c>
      <c r="F202">
        <f>SUMPRODUCT((MONTH(CHOOSE({1,2,3,4},KMB!T202,KMB!X202,KMB!AB202,KMB!AF202))=6)*(CHOOSE({1,2,3,4},KMB!W202,KMB!AA202,KMB!AE202,KMB!AI202)))</f>
        <v>0</v>
      </c>
      <c r="G202">
        <f>SUMPRODUCT((MONTH(CHOOSE({1,2,3,4},KMB!T202,KMB!X202,KMB!AB202,KMB!AF202))=7)*(CHOOSE({1,2,3,4},KMB!W202,KMB!AA202,KMB!AE202,KMB!AI202)))</f>
        <v>0</v>
      </c>
      <c r="H202">
        <f>SUMPRODUCT((MONTH(CHOOSE({1,2,3,4},KMB!T202,KMB!X202,KMB!AB202,KMB!AF202))=8)*(CHOOSE({1,2,3,4},KMB!W202,KMB!AA202,KMB!AE202,KMB!AI202)))</f>
        <v>0</v>
      </c>
      <c r="I202">
        <f>SUMPRODUCT((MONTH(CHOOSE({1,2,3,4},KMB!T202,KMB!X202,KMB!AB202,KMB!AF202))=9)*(CHOOSE({1,2,3,4},KMB!W202,KMB!AA202,KMB!AE202,KMB!AI202)))</f>
        <v>0</v>
      </c>
      <c r="J202">
        <f>SUMPRODUCT((MONTH(CHOOSE({1,2,3,4},KMB!T202,KMB!X202,KMB!AB202,KMB!AF202))=10)*(CHOOSE({1,2,3,4},KMB!W202,KMB!AA202,KMB!AE202,KMB!AI202)))</f>
        <v>0</v>
      </c>
      <c r="K202">
        <f>SUMPRODUCT((MONTH(CHOOSE({1,2,3,4},KMB!T202,KMB!X202,KMB!AB202,KMB!AF202))=11)*(CHOOSE({1,2,3,4},KMB!W202,KMB!AA202,KMB!AE202,KMB!AI202)))</f>
        <v>0</v>
      </c>
      <c r="L202">
        <f>SUMPRODUCT((MONTH(CHOOSE({1,2,3,4},KMB!T202,KMB!X202,KMB!AB202,KMB!AF202))=12)*(CHOOSE({1,2,3,4},KMB!W202,KMB!AA202,KMB!AE202,KMB!AI202)))</f>
        <v>0</v>
      </c>
    </row>
    <row r="203" spans="1:12">
      <c r="A203">
        <f>SUMPRODUCT((MONTH(CHOOSE({1,2,3,4},KMB!T203,KMB!X203,KMB!AB203,KMB!AF203))=1)*(CHOOSE({1,2,3,4},KMB!W203,KMB!AA203,KMB!AE203,KMB!AI203)))</f>
        <v>0</v>
      </c>
      <c r="B203">
        <f>SUMPRODUCT((MONTH(CHOOSE({1,2,3,4},KMB!T203,KMB!X203,KMB!AB203,KMB!AF203))=2)*(CHOOSE({1,2,3,4},KMB!W203,KMB!AA203,KMB!AE203,KMB!AI203)))</f>
        <v>0</v>
      </c>
      <c r="C203">
        <f>SUMPRODUCT((MONTH(CHOOSE({1,2,3,4},KMB!T203,KMB!X203,KMB!AB203,KMB!AF203))=3)*(CHOOSE({1,2,3,4},KMB!W203,KMB!AA203,KMB!AE203,KMB!AI203)))</f>
        <v>0</v>
      </c>
      <c r="D203">
        <f>SUMPRODUCT((MONTH(CHOOSE({1,2,3,4},KMB!T203,KMB!X203,KMB!AB203,KMB!AF203))=4)*(CHOOSE({1,2,3,4},KMB!W203,KMB!AA203,KMB!AE203,KMB!AI203)))</f>
        <v>0</v>
      </c>
      <c r="E203">
        <f>SUMPRODUCT((MONTH(CHOOSE({1,2,3,4},KMB!T203,KMB!X203,KMB!AB203,KMB!AF203))=5)*(CHOOSE({1,2,3,4},KMB!W203,KMB!AA203,KMB!AE203,KMB!AI203)))</f>
        <v>0</v>
      </c>
      <c r="F203">
        <f>SUMPRODUCT((MONTH(CHOOSE({1,2,3,4},KMB!T203,KMB!X203,KMB!AB203,KMB!AF203))=6)*(CHOOSE({1,2,3,4},KMB!W203,KMB!AA203,KMB!AE203,KMB!AI203)))</f>
        <v>0</v>
      </c>
      <c r="G203">
        <f>SUMPRODUCT((MONTH(CHOOSE({1,2,3,4},KMB!T203,KMB!X203,KMB!AB203,KMB!AF203))=7)*(CHOOSE({1,2,3,4},KMB!W203,KMB!AA203,KMB!AE203,KMB!AI203)))</f>
        <v>0</v>
      </c>
      <c r="H203">
        <f>SUMPRODUCT((MONTH(CHOOSE({1,2,3,4},KMB!T203,KMB!X203,KMB!AB203,KMB!AF203))=8)*(CHOOSE({1,2,3,4},KMB!W203,KMB!AA203,KMB!AE203,KMB!AI203)))</f>
        <v>0</v>
      </c>
      <c r="I203">
        <f>SUMPRODUCT((MONTH(CHOOSE({1,2,3,4},KMB!T203,KMB!X203,KMB!AB203,KMB!AF203))=9)*(CHOOSE({1,2,3,4},KMB!W203,KMB!AA203,KMB!AE203,KMB!AI203)))</f>
        <v>0</v>
      </c>
      <c r="J203">
        <f>SUMPRODUCT((MONTH(CHOOSE({1,2,3,4},KMB!T203,KMB!X203,KMB!AB203,KMB!AF203))=10)*(CHOOSE({1,2,3,4},KMB!W203,KMB!AA203,KMB!AE203,KMB!AI203)))</f>
        <v>0</v>
      </c>
      <c r="K203">
        <f>SUMPRODUCT((MONTH(CHOOSE({1,2,3,4},KMB!T203,KMB!X203,KMB!AB203,KMB!AF203))=11)*(CHOOSE({1,2,3,4},KMB!W203,KMB!AA203,KMB!AE203,KMB!AI203)))</f>
        <v>0</v>
      </c>
      <c r="L203">
        <f>SUMPRODUCT((MONTH(CHOOSE({1,2,3,4},KMB!T203,KMB!X203,KMB!AB203,KMB!AF203))=12)*(CHOOSE({1,2,3,4},KMB!W203,KMB!AA203,KMB!AE203,KMB!AI203)))</f>
        <v>0</v>
      </c>
    </row>
    <row r="204" spans="1:12">
      <c r="A204">
        <f>SUMPRODUCT((MONTH(CHOOSE({1,2,3,4},KMB!T204,KMB!X204,KMB!AB204,KMB!AF204))=1)*(CHOOSE({1,2,3,4},KMB!W204,KMB!AA204,KMB!AE204,KMB!AI204)))</f>
        <v>0</v>
      </c>
      <c r="B204">
        <f>SUMPRODUCT((MONTH(CHOOSE({1,2,3,4},KMB!T204,KMB!X204,KMB!AB204,KMB!AF204))=2)*(CHOOSE({1,2,3,4},KMB!W204,KMB!AA204,KMB!AE204,KMB!AI204)))</f>
        <v>0</v>
      </c>
      <c r="C204">
        <f>SUMPRODUCT((MONTH(CHOOSE({1,2,3,4},KMB!T204,KMB!X204,KMB!AB204,KMB!AF204))=3)*(CHOOSE({1,2,3,4},KMB!W204,KMB!AA204,KMB!AE204,KMB!AI204)))</f>
        <v>0</v>
      </c>
      <c r="D204">
        <f>SUMPRODUCT((MONTH(CHOOSE({1,2,3,4},KMB!T204,KMB!X204,KMB!AB204,KMB!AF204))=4)*(CHOOSE({1,2,3,4},KMB!W204,KMB!AA204,KMB!AE204,KMB!AI204)))</f>
        <v>0</v>
      </c>
      <c r="E204">
        <f>SUMPRODUCT((MONTH(CHOOSE({1,2,3,4},KMB!T204,KMB!X204,KMB!AB204,KMB!AF204))=5)*(CHOOSE({1,2,3,4},KMB!W204,KMB!AA204,KMB!AE204,KMB!AI204)))</f>
        <v>0</v>
      </c>
      <c r="F204">
        <f>SUMPRODUCT((MONTH(CHOOSE({1,2,3,4},KMB!T204,KMB!X204,KMB!AB204,KMB!AF204))=6)*(CHOOSE({1,2,3,4},KMB!W204,KMB!AA204,KMB!AE204,KMB!AI204)))</f>
        <v>0</v>
      </c>
      <c r="G204">
        <f>SUMPRODUCT((MONTH(CHOOSE({1,2,3,4},KMB!T204,KMB!X204,KMB!AB204,KMB!AF204))=7)*(CHOOSE({1,2,3,4},KMB!W204,KMB!AA204,KMB!AE204,KMB!AI204)))</f>
        <v>0</v>
      </c>
      <c r="H204">
        <f>SUMPRODUCT((MONTH(CHOOSE({1,2,3,4},KMB!T204,KMB!X204,KMB!AB204,KMB!AF204))=8)*(CHOOSE({1,2,3,4},KMB!W204,KMB!AA204,KMB!AE204,KMB!AI204)))</f>
        <v>0</v>
      </c>
      <c r="I204">
        <f>SUMPRODUCT((MONTH(CHOOSE({1,2,3,4},KMB!T204,KMB!X204,KMB!AB204,KMB!AF204))=9)*(CHOOSE({1,2,3,4},KMB!W204,KMB!AA204,KMB!AE204,KMB!AI204)))</f>
        <v>0</v>
      </c>
      <c r="J204">
        <f>SUMPRODUCT((MONTH(CHOOSE({1,2,3,4},KMB!T204,KMB!X204,KMB!AB204,KMB!AF204))=10)*(CHOOSE({1,2,3,4},KMB!W204,KMB!AA204,KMB!AE204,KMB!AI204)))</f>
        <v>0</v>
      </c>
      <c r="K204">
        <f>SUMPRODUCT((MONTH(CHOOSE({1,2,3,4},KMB!T204,KMB!X204,KMB!AB204,KMB!AF204))=11)*(CHOOSE({1,2,3,4},KMB!W204,KMB!AA204,KMB!AE204,KMB!AI204)))</f>
        <v>0</v>
      </c>
      <c r="L204">
        <f>SUMPRODUCT((MONTH(CHOOSE({1,2,3,4},KMB!T204,KMB!X204,KMB!AB204,KMB!AF204))=12)*(CHOOSE({1,2,3,4},KMB!W204,KMB!AA204,KMB!AE204,KMB!AI204)))</f>
        <v>0</v>
      </c>
    </row>
    <row r="205" spans="1:12">
      <c r="A205">
        <f>SUMPRODUCT((MONTH(CHOOSE({1,2,3,4},KMB!T205,KMB!X205,KMB!AB205,KMB!AF205))=1)*(CHOOSE({1,2,3,4},KMB!W205,KMB!AA205,KMB!AE205,KMB!AI205)))</f>
        <v>0</v>
      </c>
      <c r="B205">
        <f>SUMPRODUCT((MONTH(CHOOSE({1,2,3,4},KMB!T205,KMB!X205,KMB!AB205,KMB!AF205))=2)*(CHOOSE({1,2,3,4},KMB!W205,KMB!AA205,KMB!AE205,KMB!AI205)))</f>
        <v>0</v>
      </c>
      <c r="C205">
        <f>SUMPRODUCT((MONTH(CHOOSE({1,2,3,4},KMB!T205,KMB!X205,KMB!AB205,KMB!AF205))=3)*(CHOOSE({1,2,3,4},KMB!W205,KMB!AA205,KMB!AE205,KMB!AI205)))</f>
        <v>0</v>
      </c>
      <c r="D205">
        <f>SUMPRODUCT((MONTH(CHOOSE({1,2,3,4},KMB!T205,KMB!X205,KMB!AB205,KMB!AF205))=4)*(CHOOSE({1,2,3,4},KMB!W205,KMB!AA205,KMB!AE205,KMB!AI205)))</f>
        <v>0</v>
      </c>
      <c r="E205">
        <f>SUMPRODUCT((MONTH(CHOOSE({1,2,3,4},KMB!T205,KMB!X205,KMB!AB205,KMB!AF205))=5)*(CHOOSE({1,2,3,4},KMB!W205,KMB!AA205,KMB!AE205,KMB!AI205)))</f>
        <v>0</v>
      </c>
      <c r="F205">
        <f>SUMPRODUCT((MONTH(CHOOSE({1,2,3,4},KMB!T205,KMB!X205,KMB!AB205,KMB!AF205))=6)*(CHOOSE({1,2,3,4},KMB!W205,KMB!AA205,KMB!AE205,KMB!AI205)))</f>
        <v>0</v>
      </c>
      <c r="G205">
        <f>SUMPRODUCT((MONTH(CHOOSE({1,2,3,4},KMB!T205,KMB!X205,KMB!AB205,KMB!AF205))=7)*(CHOOSE({1,2,3,4},KMB!W205,KMB!AA205,KMB!AE205,KMB!AI205)))</f>
        <v>0</v>
      </c>
      <c r="H205">
        <f>SUMPRODUCT((MONTH(CHOOSE({1,2,3,4},KMB!T205,KMB!X205,KMB!AB205,KMB!AF205))=8)*(CHOOSE({1,2,3,4},KMB!W205,KMB!AA205,KMB!AE205,KMB!AI205)))</f>
        <v>0</v>
      </c>
      <c r="I205">
        <f>SUMPRODUCT((MONTH(CHOOSE({1,2,3,4},KMB!T205,KMB!X205,KMB!AB205,KMB!AF205))=9)*(CHOOSE({1,2,3,4},KMB!W205,KMB!AA205,KMB!AE205,KMB!AI205)))</f>
        <v>0</v>
      </c>
      <c r="J205">
        <f>SUMPRODUCT((MONTH(CHOOSE({1,2,3,4},KMB!T205,KMB!X205,KMB!AB205,KMB!AF205))=10)*(CHOOSE({1,2,3,4},KMB!W205,KMB!AA205,KMB!AE205,KMB!AI205)))</f>
        <v>0</v>
      </c>
      <c r="K205">
        <f>SUMPRODUCT((MONTH(CHOOSE({1,2,3,4},KMB!T205,KMB!X205,KMB!AB205,KMB!AF205))=11)*(CHOOSE({1,2,3,4},KMB!W205,KMB!AA205,KMB!AE205,KMB!AI205)))</f>
        <v>0</v>
      </c>
      <c r="L205">
        <f>SUMPRODUCT((MONTH(CHOOSE({1,2,3,4},KMB!T205,KMB!X205,KMB!AB205,KMB!AF205))=12)*(CHOOSE({1,2,3,4},KMB!W205,KMB!AA205,KMB!AE205,KMB!AI205)))</f>
        <v>0</v>
      </c>
    </row>
    <row r="206" spans="1:12">
      <c r="A206">
        <f>SUMPRODUCT((MONTH(CHOOSE({1,2,3,4},KMB!T206,KMB!X206,KMB!AB206,KMB!AF206))=1)*(CHOOSE({1,2,3,4},KMB!W206,KMB!AA206,KMB!AE206,KMB!AI206)))</f>
        <v>0</v>
      </c>
      <c r="B206">
        <f>SUMPRODUCT((MONTH(CHOOSE({1,2,3,4},KMB!T206,KMB!X206,KMB!AB206,KMB!AF206))=2)*(CHOOSE({1,2,3,4},KMB!W206,KMB!AA206,KMB!AE206,KMB!AI206)))</f>
        <v>0</v>
      </c>
      <c r="C206">
        <f>SUMPRODUCT((MONTH(CHOOSE({1,2,3,4},KMB!T206,KMB!X206,KMB!AB206,KMB!AF206))=3)*(CHOOSE({1,2,3,4},KMB!W206,KMB!AA206,KMB!AE206,KMB!AI206)))</f>
        <v>0</v>
      </c>
      <c r="D206">
        <f>SUMPRODUCT((MONTH(CHOOSE({1,2,3,4},KMB!T206,KMB!X206,KMB!AB206,KMB!AF206))=4)*(CHOOSE({1,2,3,4},KMB!W206,KMB!AA206,KMB!AE206,KMB!AI206)))</f>
        <v>0</v>
      </c>
      <c r="E206">
        <f>SUMPRODUCT((MONTH(CHOOSE({1,2,3,4},KMB!T206,KMB!X206,KMB!AB206,KMB!AF206))=5)*(CHOOSE({1,2,3,4},KMB!W206,KMB!AA206,KMB!AE206,KMB!AI206)))</f>
        <v>0</v>
      </c>
      <c r="F206">
        <f>SUMPRODUCT((MONTH(CHOOSE({1,2,3,4},KMB!T206,KMB!X206,KMB!AB206,KMB!AF206))=6)*(CHOOSE({1,2,3,4},KMB!W206,KMB!AA206,KMB!AE206,KMB!AI206)))</f>
        <v>0</v>
      </c>
      <c r="G206">
        <f>SUMPRODUCT((MONTH(CHOOSE({1,2,3,4},KMB!T206,KMB!X206,KMB!AB206,KMB!AF206))=7)*(CHOOSE({1,2,3,4},KMB!W206,KMB!AA206,KMB!AE206,KMB!AI206)))</f>
        <v>0</v>
      </c>
      <c r="H206">
        <f>SUMPRODUCT((MONTH(CHOOSE({1,2,3,4},KMB!T206,KMB!X206,KMB!AB206,KMB!AF206))=8)*(CHOOSE({1,2,3,4},KMB!W206,KMB!AA206,KMB!AE206,KMB!AI206)))</f>
        <v>0</v>
      </c>
      <c r="I206">
        <f>SUMPRODUCT((MONTH(CHOOSE({1,2,3,4},KMB!T206,KMB!X206,KMB!AB206,KMB!AF206))=9)*(CHOOSE({1,2,3,4},KMB!W206,KMB!AA206,KMB!AE206,KMB!AI206)))</f>
        <v>0</v>
      </c>
      <c r="J206">
        <f>SUMPRODUCT((MONTH(CHOOSE({1,2,3,4},KMB!T206,KMB!X206,KMB!AB206,KMB!AF206))=10)*(CHOOSE({1,2,3,4},KMB!W206,KMB!AA206,KMB!AE206,KMB!AI206)))</f>
        <v>0</v>
      </c>
      <c r="K206">
        <f>SUMPRODUCT((MONTH(CHOOSE({1,2,3,4},KMB!T206,KMB!X206,KMB!AB206,KMB!AF206))=11)*(CHOOSE({1,2,3,4},KMB!W206,KMB!AA206,KMB!AE206,KMB!AI206)))</f>
        <v>0</v>
      </c>
      <c r="L206">
        <f>SUMPRODUCT((MONTH(CHOOSE({1,2,3,4},KMB!T206,KMB!X206,KMB!AB206,KMB!AF206))=12)*(CHOOSE({1,2,3,4},KMB!W206,KMB!AA206,KMB!AE206,KMB!AI206)))</f>
        <v>0</v>
      </c>
    </row>
    <row r="207" spans="1:12">
      <c r="A207">
        <f>SUMPRODUCT((MONTH(CHOOSE({1,2,3,4},KMB!T207,KMB!X207,KMB!AB207,KMB!AF207))=1)*(CHOOSE({1,2,3,4},KMB!W207,KMB!AA207,KMB!AE207,KMB!AI207)))</f>
        <v>0</v>
      </c>
      <c r="B207">
        <f>SUMPRODUCT((MONTH(CHOOSE({1,2,3,4},KMB!T207,KMB!X207,KMB!AB207,KMB!AF207))=2)*(CHOOSE({1,2,3,4},KMB!W207,KMB!AA207,KMB!AE207,KMB!AI207)))</f>
        <v>0</v>
      </c>
      <c r="C207">
        <f>SUMPRODUCT((MONTH(CHOOSE({1,2,3,4},KMB!T207,KMB!X207,KMB!AB207,KMB!AF207))=3)*(CHOOSE({1,2,3,4},KMB!W207,KMB!AA207,KMB!AE207,KMB!AI207)))</f>
        <v>0</v>
      </c>
      <c r="D207">
        <f>SUMPRODUCT((MONTH(CHOOSE({1,2,3,4},KMB!T207,KMB!X207,KMB!AB207,KMB!AF207))=4)*(CHOOSE({1,2,3,4},KMB!W207,KMB!AA207,KMB!AE207,KMB!AI207)))</f>
        <v>0</v>
      </c>
      <c r="E207">
        <f>SUMPRODUCT((MONTH(CHOOSE({1,2,3,4},KMB!T207,KMB!X207,KMB!AB207,KMB!AF207))=5)*(CHOOSE({1,2,3,4},KMB!W207,KMB!AA207,KMB!AE207,KMB!AI207)))</f>
        <v>0</v>
      </c>
      <c r="F207">
        <f>SUMPRODUCT((MONTH(CHOOSE({1,2,3,4},KMB!T207,KMB!X207,KMB!AB207,KMB!AF207))=6)*(CHOOSE({1,2,3,4},KMB!W207,KMB!AA207,KMB!AE207,KMB!AI207)))</f>
        <v>0</v>
      </c>
      <c r="G207">
        <f>SUMPRODUCT((MONTH(CHOOSE({1,2,3,4},KMB!T207,KMB!X207,KMB!AB207,KMB!AF207))=7)*(CHOOSE({1,2,3,4},KMB!W207,KMB!AA207,KMB!AE207,KMB!AI207)))</f>
        <v>0</v>
      </c>
      <c r="H207">
        <f>SUMPRODUCT((MONTH(CHOOSE({1,2,3,4},KMB!T207,KMB!X207,KMB!AB207,KMB!AF207))=8)*(CHOOSE({1,2,3,4},KMB!W207,KMB!AA207,KMB!AE207,KMB!AI207)))</f>
        <v>0</v>
      </c>
      <c r="I207">
        <f>SUMPRODUCT((MONTH(CHOOSE({1,2,3,4},KMB!T207,KMB!X207,KMB!AB207,KMB!AF207))=9)*(CHOOSE({1,2,3,4},KMB!W207,KMB!AA207,KMB!AE207,KMB!AI207)))</f>
        <v>0</v>
      </c>
      <c r="J207">
        <f>SUMPRODUCT((MONTH(CHOOSE({1,2,3,4},KMB!T207,KMB!X207,KMB!AB207,KMB!AF207))=10)*(CHOOSE({1,2,3,4},KMB!W207,KMB!AA207,KMB!AE207,KMB!AI207)))</f>
        <v>0</v>
      </c>
      <c r="K207">
        <f>SUMPRODUCT((MONTH(CHOOSE({1,2,3,4},KMB!T207,KMB!X207,KMB!AB207,KMB!AF207))=11)*(CHOOSE({1,2,3,4},KMB!W207,KMB!AA207,KMB!AE207,KMB!AI207)))</f>
        <v>0</v>
      </c>
      <c r="L207">
        <f>SUMPRODUCT((MONTH(CHOOSE({1,2,3,4},KMB!T207,KMB!X207,KMB!AB207,KMB!AF207))=12)*(CHOOSE({1,2,3,4},KMB!W207,KMB!AA207,KMB!AE207,KMB!AI207)))</f>
        <v>0</v>
      </c>
    </row>
    <row r="208" spans="1:12">
      <c r="A208">
        <f>SUMPRODUCT((MONTH(CHOOSE({1,2,3,4},KMB!T208,KMB!X208,KMB!AB208,KMB!AF208))=1)*(CHOOSE({1,2,3,4},KMB!W208,KMB!AA208,KMB!AE208,KMB!AI208)))</f>
        <v>0</v>
      </c>
      <c r="B208">
        <f>SUMPRODUCT((MONTH(CHOOSE({1,2,3,4},KMB!T208,KMB!X208,KMB!AB208,KMB!AF208))=2)*(CHOOSE({1,2,3,4},KMB!W208,KMB!AA208,KMB!AE208,KMB!AI208)))</f>
        <v>0</v>
      </c>
      <c r="C208">
        <f>SUMPRODUCT((MONTH(CHOOSE({1,2,3,4},KMB!T208,KMB!X208,KMB!AB208,KMB!AF208))=3)*(CHOOSE({1,2,3,4},KMB!W208,KMB!AA208,KMB!AE208,KMB!AI208)))</f>
        <v>0</v>
      </c>
      <c r="D208">
        <f>SUMPRODUCT((MONTH(CHOOSE({1,2,3,4},KMB!T208,KMB!X208,KMB!AB208,KMB!AF208))=4)*(CHOOSE({1,2,3,4},KMB!W208,KMB!AA208,KMB!AE208,KMB!AI208)))</f>
        <v>0</v>
      </c>
      <c r="E208">
        <f>SUMPRODUCT((MONTH(CHOOSE({1,2,3,4},KMB!T208,KMB!X208,KMB!AB208,KMB!AF208))=5)*(CHOOSE({1,2,3,4},KMB!W208,KMB!AA208,KMB!AE208,KMB!AI208)))</f>
        <v>0</v>
      </c>
      <c r="F208">
        <f>SUMPRODUCT((MONTH(CHOOSE({1,2,3,4},KMB!T208,KMB!X208,KMB!AB208,KMB!AF208))=6)*(CHOOSE({1,2,3,4},KMB!W208,KMB!AA208,KMB!AE208,KMB!AI208)))</f>
        <v>0</v>
      </c>
      <c r="G208">
        <f>SUMPRODUCT((MONTH(CHOOSE({1,2,3,4},KMB!T208,KMB!X208,KMB!AB208,KMB!AF208))=7)*(CHOOSE({1,2,3,4},KMB!W208,KMB!AA208,KMB!AE208,KMB!AI208)))</f>
        <v>0</v>
      </c>
      <c r="H208">
        <f>SUMPRODUCT((MONTH(CHOOSE({1,2,3,4},KMB!T208,KMB!X208,KMB!AB208,KMB!AF208))=8)*(CHOOSE({1,2,3,4},KMB!W208,KMB!AA208,KMB!AE208,KMB!AI208)))</f>
        <v>0</v>
      </c>
      <c r="I208">
        <f>SUMPRODUCT((MONTH(CHOOSE({1,2,3,4},KMB!T208,KMB!X208,KMB!AB208,KMB!AF208))=9)*(CHOOSE({1,2,3,4},KMB!W208,KMB!AA208,KMB!AE208,KMB!AI208)))</f>
        <v>0</v>
      </c>
      <c r="J208">
        <f>SUMPRODUCT((MONTH(CHOOSE({1,2,3,4},KMB!T208,KMB!X208,KMB!AB208,KMB!AF208))=10)*(CHOOSE({1,2,3,4},KMB!W208,KMB!AA208,KMB!AE208,KMB!AI208)))</f>
        <v>0</v>
      </c>
      <c r="K208">
        <f>SUMPRODUCT((MONTH(CHOOSE({1,2,3,4},KMB!T208,KMB!X208,KMB!AB208,KMB!AF208))=11)*(CHOOSE({1,2,3,4},KMB!W208,KMB!AA208,KMB!AE208,KMB!AI208)))</f>
        <v>0</v>
      </c>
      <c r="L208">
        <f>SUMPRODUCT((MONTH(CHOOSE({1,2,3,4},KMB!T208,KMB!X208,KMB!AB208,KMB!AF208))=12)*(CHOOSE({1,2,3,4},KMB!W208,KMB!AA208,KMB!AE208,KMB!AI208)))</f>
        <v>0</v>
      </c>
    </row>
    <row r="209" spans="1:12">
      <c r="A209">
        <f>SUMPRODUCT((MONTH(CHOOSE({1,2,3,4},KMB!T209,KMB!X209,KMB!AB209,KMB!AF209))=1)*(CHOOSE({1,2,3,4},KMB!W209,KMB!AA209,KMB!AE209,KMB!AI209)))</f>
        <v>0</v>
      </c>
      <c r="B209">
        <f>SUMPRODUCT((MONTH(CHOOSE({1,2,3,4},KMB!T209,KMB!X209,KMB!AB209,KMB!AF209))=2)*(CHOOSE({1,2,3,4},KMB!W209,KMB!AA209,KMB!AE209,KMB!AI209)))</f>
        <v>0</v>
      </c>
      <c r="C209">
        <f>SUMPRODUCT((MONTH(CHOOSE({1,2,3,4},KMB!T209,KMB!X209,KMB!AB209,KMB!AF209))=3)*(CHOOSE({1,2,3,4},KMB!W209,KMB!AA209,KMB!AE209,KMB!AI209)))</f>
        <v>0</v>
      </c>
      <c r="D209">
        <f>SUMPRODUCT((MONTH(CHOOSE({1,2,3,4},KMB!T209,KMB!X209,KMB!AB209,KMB!AF209))=4)*(CHOOSE({1,2,3,4},KMB!W209,KMB!AA209,KMB!AE209,KMB!AI209)))</f>
        <v>0</v>
      </c>
      <c r="E209">
        <f>SUMPRODUCT((MONTH(CHOOSE({1,2,3,4},KMB!T209,KMB!X209,KMB!AB209,KMB!AF209))=5)*(CHOOSE({1,2,3,4},KMB!W209,KMB!AA209,KMB!AE209,KMB!AI209)))</f>
        <v>0</v>
      </c>
      <c r="F209">
        <f>SUMPRODUCT((MONTH(CHOOSE({1,2,3,4},KMB!T209,KMB!X209,KMB!AB209,KMB!AF209))=6)*(CHOOSE({1,2,3,4},KMB!W209,KMB!AA209,KMB!AE209,KMB!AI209)))</f>
        <v>0</v>
      </c>
      <c r="G209">
        <f>SUMPRODUCT((MONTH(CHOOSE({1,2,3,4},KMB!T209,KMB!X209,KMB!AB209,KMB!AF209))=7)*(CHOOSE({1,2,3,4},KMB!W209,KMB!AA209,KMB!AE209,KMB!AI209)))</f>
        <v>0</v>
      </c>
      <c r="H209">
        <f>SUMPRODUCT((MONTH(CHOOSE({1,2,3,4},KMB!T209,KMB!X209,KMB!AB209,KMB!AF209))=8)*(CHOOSE({1,2,3,4},KMB!W209,KMB!AA209,KMB!AE209,KMB!AI209)))</f>
        <v>0</v>
      </c>
      <c r="I209">
        <f>SUMPRODUCT((MONTH(CHOOSE({1,2,3,4},KMB!T209,KMB!X209,KMB!AB209,KMB!AF209))=9)*(CHOOSE({1,2,3,4},KMB!W209,KMB!AA209,KMB!AE209,KMB!AI209)))</f>
        <v>0</v>
      </c>
      <c r="J209">
        <f>SUMPRODUCT((MONTH(CHOOSE({1,2,3,4},KMB!T209,KMB!X209,KMB!AB209,KMB!AF209))=10)*(CHOOSE({1,2,3,4},KMB!W209,KMB!AA209,KMB!AE209,KMB!AI209)))</f>
        <v>0</v>
      </c>
      <c r="K209">
        <f>SUMPRODUCT((MONTH(CHOOSE({1,2,3,4},KMB!T209,KMB!X209,KMB!AB209,KMB!AF209))=11)*(CHOOSE({1,2,3,4},KMB!W209,KMB!AA209,KMB!AE209,KMB!AI209)))</f>
        <v>0</v>
      </c>
      <c r="L209">
        <f>SUMPRODUCT((MONTH(CHOOSE({1,2,3,4},KMB!T209,KMB!X209,KMB!AB209,KMB!AF209))=12)*(CHOOSE({1,2,3,4},KMB!W209,KMB!AA209,KMB!AE209,KMB!AI209)))</f>
        <v>0</v>
      </c>
    </row>
    <row r="210" spans="1:12">
      <c r="A210">
        <f>SUMPRODUCT((MONTH(CHOOSE({1,2,3,4},KMB!T210,KMB!X210,KMB!AB210,KMB!AF210))=1)*(CHOOSE({1,2,3,4},KMB!W210,KMB!AA210,KMB!AE210,KMB!AI210)))</f>
        <v>0</v>
      </c>
      <c r="B210">
        <f>SUMPRODUCT((MONTH(CHOOSE({1,2,3,4},KMB!T210,KMB!X210,KMB!AB210,KMB!AF210))=2)*(CHOOSE({1,2,3,4},KMB!W210,KMB!AA210,KMB!AE210,KMB!AI210)))</f>
        <v>0</v>
      </c>
      <c r="C210">
        <f>SUMPRODUCT((MONTH(CHOOSE({1,2,3,4},KMB!T210,KMB!X210,KMB!AB210,KMB!AF210))=3)*(CHOOSE({1,2,3,4},KMB!W210,KMB!AA210,KMB!AE210,KMB!AI210)))</f>
        <v>0</v>
      </c>
      <c r="D210">
        <f>SUMPRODUCT((MONTH(CHOOSE({1,2,3,4},KMB!T210,KMB!X210,KMB!AB210,KMB!AF210))=4)*(CHOOSE({1,2,3,4},KMB!W210,KMB!AA210,KMB!AE210,KMB!AI210)))</f>
        <v>0</v>
      </c>
      <c r="E210">
        <f>SUMPRODUCT((MONTH(CHOOSE({1,2,3,4},KMB!T210,KMB!X210,KMB!AB210,KMB!AF210))=5)*(CHOOSE({1,2,3,4},KMB!W210,KMB!AA210,KMB!AE210,KMB!AI210)))</f>
        <v>0</v>
      </c>
      <c r="F210">
        <f>SUMPRODUCT((MONTH(CHOOSE({1,2,3,4},KMB!T210,KMB!X210,KMB!AB210,KMB!AF210))=6)*(CHOOSE({1,2,3,4},KMB!W210,KMB!AA210,KMB!AE210,KMB!AI210)))</f>
        <v>0</v>
      </c>
      <c r="G210">
        <f>SUMPRODUCT((MONTH(CHOOSE({1,2,3,4},KMB!T210,KMB!X210,KMB!AB210,KMB!AF210))=7)*(CHOOSE({1,2,3,4},KMB!W210,KMB!AA210,KMB!AE210,KMB!AI210)))</f>
        <v>0</v>
      </c>
      <c r="H210">
        <f>SUMPRODUCT((MONTH(CHOOSE({1,2,3,4},KMB!T210,KMB!X210,KMB!AB210,KMB!AF210))=8)*(CHOOSE({1,2,3,4},KMB!W210,KMB!AA210,KMB!AE210,KMB!AI210)))</f>
        <v>0</v>
      </c>
      <c r="I210">
        <f>SUMPRODUCT((MONTH(CHOOSE({1,2,3,4},KMB!T210,KMB!X210,KMB!AB210,KMB!AF210))=9)*(CHOOSE({1,2,3,4},KMB!W210,KMB!AA210,KMB!AE210,KMB!AI210)))</f>
        <v>0</v>
      </c>
      <c r="J210">
        <f>SUMPRODUCT((MONTH(CHOOSE({1,2,3,4},KMB!T210,KMB!X210,KMB!AB210,KMB!AF210))=10)*(CHOOSE({1,2,3,4},KMB!W210,KMB!AA210,KMB!AE210,KMB!AI210)))</f>
        <v>0</v>
      </c>
      <c r="K210">
        <f>SUMPRODUCT((MONTH(CHOOSE({1,2,3,4},KMB!T210,KMB!X210,KMB!AB210,KMB!AF210))=11)*(CHOOSE({1,2,3,4},KMB!W210,KMB!AA210,KMB!AE210,KMB!AI210)))</f>
        <v>0</v>
      </c>
      <c r="L210">
        <f>SUMPRODUCT((MONTH(CHOOSE({1,2,3,4},KMB!T210,KMB!X210,KMB!AB210,KMB!AF210))=12)*(CHOOSE({1,2,3,4},KMB!W210,KMB!AA210,KMB!AE210,KMB!AI210)))</f>
        <v>0</v>
      </c>
    </row>
    <row r="211" spans="1:12">
      <c r="A211">
        <f>SUMPRODUCT((MONTH(CHOOSE({1,2,3,4},KMB!T211,KMB!X211,KMB!AB211,KMB!AF211))=1)*(CHOOSE({1,2,3,4},KMB!W211,KMB!AA211,KMB!AE211,KMB!AI211)))</f>
        <v>0</v>
      </c>
      <c r="B211">
        <f>SUMPRODUCT((MONTH(CHOOSE({1,2,3,4},KMB!T211,KMB!X211,KMB!AB211,KMB!AF211))=2)*(CHOOSE({1,2,3,4},KMB!W211,KMB!AA211,KMB!AE211,KMB!AI211)))</f>
        <v>0</v>
      </c>
      <c r="C211">
        <f>SUMPRODUCT((MONTH(CHOOSE({1,2,3,4},KMB!T211,KMB!X211,KMB!AB211,KMB!AF211))=3)*(CHOOSE({1,2,3,4},KMB!W211,KMB!AA211,KMB!AE211,KMB!AI211)))</f>
        <v>0</v>
      </c>
      <c r="D211">
        <f>SUMPRODUCT((MONTH(CHOOSE({1,2,3,4},KMB!T211,KMB!X211,KMB!AB211,KMB!AF211))=4)*(CHOOSE({1,2,3,4},KMB!W211,KMB!AA211,KMB!AE211,KMB!AI211)))</f>
        <v>0</v>
      </c>
      <c r="E211">
        <f>SUMPRODUCT((MONTH(CHOOSE({1,2,3,4},KMB!T211,KMB!X211,KMB!AB211,KMB!AF211))=5)*(CHOOSE({1,2,3,4},KMB!W211,KMB!AA211,KMB!AE211,KMB!AI211)))</f>
        <v>0</v>
      </c>
      <c r="F211">
        <f>SUMPRODUCT((MONTH(CHOOSE({1,2,3,4},KMB!T211,KMB!X211,KMB!AB211,KMB!AF211))=6)*(CHOOSE({1,2,3,4},KMB!W211,KMB!AA211,KMB!AE211,KMB!AI211)))</f>
        <v>0</v>
      </c>
      <c r="G211">
        <f>SUMPRODUCT((MONTH(CHOOSE({1,2,3,4},KMB!T211,KMB!X211,KMB!AB211,KMB!AF211))=7)*(CHOOSE({1,2,3,4},KMB!W211,KMB!AA211,KMB!AE211,KMB!AI211)))</f>
        <v>0</v>
      </c>
      <c r="H211">
        <f>SUMPRODUCT((MONTH(CHOOSE({1,2,3,4},KMB!T211,KMB!X211,KMB!AB211,KMB!AF211))=8)*(CHOOSE({1,2,3,4},KMB!W211,KMB!AA211,KMB!AE211,KMB!AI211)))</f>
        <v>0</v>
      </c>
      <c r="I211">
        <f>SUMPRODUCT((MONTH(CHOOSE({1,2,3,4},KMB!T211,KMB!X211,KMB!AB211,KMB!AF211))=9)*(CHOOSE({1,2,3,4},KMB!W211,KMB!AA211,KMB!AE211,KMB!AI211)))</f>
        <v>0</v>
      </c>
      <c r="J211">
        <f>SUMPRODUCT((MONTH(CHOOSE({1,2,3,4},KMB!T211,KMB!X211,KMB!AB211,KMB!AF211))=10)*(CHOOSE({1,2,3,4},KMB!W211,KMB!AA211,KMB!AE211,KMB!AI211)))</f>
        <v>0</v>
      </c>
      <c r="K211">
        <f>SUMPRODUCT((MONTH(CHOOSE({1,2,3,4},KMB!T211,KMB!X211,KMB!AB211,KMB!AF211))=11)*(CHOOSE({1,2,3,4},KMB!W211,KMB!AA211,KMB!AE211,KMB!AI211)))</f>
        <v>0</v>
      </c>
      <c r="L211">
        <f>SUMPRODUCT((MONTH(CHOOSE({1,2,3,4},KMB!T211,KMB!X211,KMB!AB211,KMB!AF211))=12)*(CHOOSE({1,2,3,4},KMB!W211,KMB!AA211,KMB!AE211,KMB!AI211)))</f>
        <v>0</v>
      </c>
    </row>
    <row r="212" spans="1:12">
      <c r="A212">
        <f>SUMPRODUCT((MONTH(CHOOSE({1,2,3,4},KMB!T212,KMB!X212,KMB!AB212,KMB!AF212))=1)*(CHOOSE({1,2,3,4},KMB!W212,KMB!AA212,KMB!AE212,KMB!AI212)))</f>
        <v>0</v>
      </c>
      <c r="B212">
        <f>SUMPRODUCT((MONTH(CHOOSE({1,2,3,4},KMB!T212,KMB!X212,KMB!AB212,KMB!AF212))=2)*(CHOOSE({1,2,3,4},KMB!W212,KMB!AA212,KMB!AE212,KMB!AI212)))</f>
        <v>0</v>
      </c>
      <c r="C212">
        <f>SUMPRODUCT((MONTH(CHOOSE({1,2,3,4},KMB!T212,KMB!X212,KMB!AB212,KMB!AF212))=3)*(CHOOSE({1,2,3,4},KMB!W212,KMB!AA212,KMB!AE212,KMB!AI212)))</f>
        <v>0</v>
      </c>
      <c r="D212">
        <f>SUMPRODUCT((MONTH(CHOOSE({1,2,3,4},KMB!T212,KMB!X212,KMB!AB212,KMB!AF212))=4)*(CHOOSE({1,2,3,4},KMB!W212,KMB!AA212,KMB!AE212,KMB!AI212)))</f>
        <v>0</v>
      </c>
      <c r="E212">
        <f>SUMPRODUCT((MONTH(CHOOSE({1,2,3,4},KMB!T212,KMB!X212,KMB!AB212,KMB!AF212))=5)*(CHOOSE({1,2,3,4},KMB!W212,KMB!AA212,KMB!AE212,KMB!AI212)))</f>
        <v>0</v>
      </c>
      <c r="F212">
        <f>SUMPRODUCT((MONTH(CHOOSE({1,2,3,4},KMB!T212,KMB!X212,KMB!AB212,KMB!AF212))=6)*(CHOOSE({1,2,3,4},KMB!W212,KMB!AA212,KMB!AE212,KMB!AI212)))</f>
        <v>0</v>
      </c>
      <c r="G212">
        <f>SUMPRODUCT((MONTH(CHOOSE({1,2,3,4},KMB!T212,KMB!X212,KMB!AB212,KMB!AF212))=7)*(CHOOSE({1,2,3,4},KMB!W212,KMB!AA212,KMB!AE212,KMB!AI212)))</f>
        <v>0</v>
      </c>
      <c r="H212">
        <f>SUMPRODUCT((MONTH(CHOOSE({1,2,3,4},KMB!T212,KMB!X212,KMB!AB212,KMB!AF212))=8)*(CHOOSE({1,2,3,4},KMB!W212,KMB!AA212,KMB!AE212,KMB!AI212)))</f>
        <v>0</v>
      </c>
      <c r="I212">
        <f>SUMPRODUCT((MONTH(CHOOSE({1,2,3,4},KMB!T212,KMB!X212,KMB!AB212,KMB!AF212))=9)*(CHOOSE({1,2,3,4},KMB!W212,KMB!AA212,KMB!AE212,KMB!AI212)))</f>
        <v>0</v>
      </c>
      <c r="J212">
        <f>SUMPRODUCT((MONTH(CHOOSE({1,2,3,4},KMB!T212,KMB!X212,KMB!AB212,KMB!AF212))=10)*(CHOOSE({1,2,3,4},KMB!W212,KMB!AA212,KMB!AE212,KMB!AI212)))</f>
        <v>0</v>
      </c>
      <c r="K212">
        <f>SUMPRODUCT((MONTH(CHOOSE({1,2,3,4},KMB!T212,KMB!X212,KMB!AB212,KMB!AF212))=11)*(CHOOSE({1,2,3,4},KMB!W212,KMB!AA212,KMB!AE212,KMB!AI212)))</f>
        <v>0</v>
      </c>
      <c r="L212">
        <f>SUMPRODUCT((MONTH(CHOOSE({1,2,3,4},KMB!T212,KMB!X212,KMB!AB212,KMB!AF212))=12)*(CHOOSE({1,2,3,4},KMB!W212,KMB!AA212,KMB!AE212,KMB!AI212)))</f>
        <v>0</v>
      </c>
    </row>
    <row r="213" spans="1:12">
      <c r="A213">
        <f>SUMPRODUCT((MONTH(CHOOSE({1,2,3,4},KMB!T213,KMB!X213,KMB!AB213,KMB!AF213))=1)*(CHOOSE({1,2,3,4},KMB!W213,KMB!AA213,KMB!AE213,KMB!AI213)))</f>
        <v>0</v>
      </c>
      <c r="B213">
        <f>SUMPRODUCT((MONTH(CHOOSE({1,2,3,4},KMB!T213,KMB!X213,KMB!AB213,KMB!AF213))=2)*(CHOOSE({1,2,3,4},KMB!W213,KMB!AA213,KMB!AE213,KMB!AI213)))</f>
        <v>0</v>
      </c>
      <c r="C213">
        <f>SUMPRODUCT((MONTH(CHOOSE({1,2,3,4},KMB!T213,KMB!X213,KMB!AB213,KMB!AF213))=3)*(CHOOSE({1,2,3,4},KMB!W213,KMB!AA213,KMB!AE213,KMB!AI213)))</f>
        <v>0</v>
      </c>
      <c r="D213">
        <f>SUMPRODUCT((MONTH(CHOOSE({1,2,3,4},KMB!T213,KMB!X213,KMB!AB213,KMB!AF213))=4)*(CHOOSE({1,2,3,4},KMB!W213,KMB!AA213,KMB!AE213,KMB!AI213)))</f>
        <v>0</v>
      </c>
      <c r="E213">
        <f>SUMPRODUCT((MONTH(CHOOSE({1,2,3,4},KMB!T213,KMB!X213,KMB!AB213,KMB!AF213))=5)*(CHOOSE({1,2,3,4},KMB!W213,KMB!AA213,KMB!AE213,KMB!AI213)))</f>
        <v>0</v>
      </c>
      <c r="F213">
        <f>SUMPRODUCT((MONTH(CHOOSE({1,2,3,4},KMB!T213,KMB!X213,KMB!AB213,KMB!AF213))=6)*(CHOOSE({1,2,3,4},KMB!W213,KMB!AA213,KMB!AE213,KMB!AI213)))</f>
        <v>0</v>
      </c>
      <c r="G213">
        <f>SUMPRODUCT((MONTH(CHOOSE({1,2,3,4},KMB!T213,KMB!X213,KMB!AB213,KMB!AF213))=7)*(CHOOSE({1,2,3,4},KMB!W213,KMB!AA213,KMB!AE213,KMB!AI213)))</f>
        <v>0</v>
      </c>
      <c r="H213">
        <f>SUMPRODUCT((MONTH(CHOOSE({1,2,3,4},KMB!T213,KMB!X213,KMB!AB213,KMB!AF213))=8)*(CHOOSE({1,2,3,4},KMB!W213,KMB!AA213,KMB!AE213,KMB!AI213)))</f>
        <v>0</v>
      </c>
      <c r="I213">
        <f>SUMPRODUCT((MONTH(CHOOSE({1,2,3,4},KMB!T213,KMB!X213,KMB!AB213,KMB!AF213))=9)*(CHOOSE({1,2,3,4},KMB!W213,KMB!AA213,KMB!AE213,KMB!AI213)))</f>
        <v>0</v>
      </c>
      <c r="J213">
        <f>SUMPRODUCT((MONTH(CHOOSE({1,2,3,4},KMB!T213,KMB!X213,KMB!AB213,KMB!AF213))=10)*(CHOOSE({1,2,3,4},KMB!W213,KMB!AA213,KMB!AE213,KMB!AI213)))</f>
        <v>0</v>
      </c>
      <c r="K213">
        <f>SUMPRODUCT((MONTH(CHOOSE({1,2,3,4},KMB!T213,KMB!X213,KMB!AB213,KMB!AF213))=11)*(CHOOSE({1,2,3,4},KMB!W213,KMB!AA213,KMB!AE213,KMB!AI213)))</f>
        <v>0</v>
      </c>
      <c r="L213">
        <f>SUMPRODUCT((MONTH(CHOOSE({1,2,3,4},KMB!T213,KMB!X213,KMB!AB213,KMB!AF213))=12)*(CHOOSE({1,2,3,4},KMB!W213,KMB!AA213,KMB!AE213,KMB!AI213)))</f>
        <v>0</v>
      </c>
    </row>
    <row r="214" spans="1:12">
      <c r="A214">
        <f>SUMPRODUCT((MONTH(CHOOSE({1,2,3,4},KMB!T214,KMB!X214,KMB!AB214,KMB!AF214))=1)*(CHOOSE({1,2,3,4},KMB!W214,KMB!AA214,KMB!AE214,KMB!AI214)))</f>
        <v>0</v>
      </c>
      <c r="B214">
        <f>SUMPRODUCT((MONTH(CHOOSE({1,2,3,4},KMB!T214,KMB!X214,KMB!AB214,KMB!AF214))=2)*(CHOOSE({1,2,3,4},KMB!W214,KMB!AA214,KMB!AE214,KMB!AI214)))</f>
        <v>0</v>
      </c>
      <c r="C214">
        <f>SUMPRODUCT((MONTH(CHOOSE({1,2,3,4},KMB!T214,KMB!X214,KMB!AB214,KMB!AF214))=3)*(CHOOSE({1,2,3,4},KMB!W214,KMB!AA214,KMB!AE214,KMB!AI214)))</f>
        <v>0</v>
      </c>
      <c r="D214">
        <f>SUMPRODUCT((MONTH(CHOOSE({1,2,3,4},KMB!T214,KMB!X214,KMB!AB214,KMB!AF214))=4)*(CHOOSE({1,2,3,4},KMB!W214,KMB!AA214,KMB!AE214,KMB!AI214)))</f>
        <v>0</v>
      </c>
      <c r="E214">
        <f>SUMPRODUCT((MONTH(CHOOSE({1,2,3,4},KMB!T214,KMB!X214,KMB!AB214,KMB!AF214))=5)*(CHOOSE({1,2,3,4},KMB!W214,KMB!AA214,KMB!AE214,KMB!AI214)))</f>
        <v>0</v>
      </c>
      <c r="F214">
        <f>SUMPRODUCT((MONTH(CHOOSE({1,2,3,4},KMB!T214,KMB!X214,KMB!AB214,KMB!AF214))=6)*(CHOOSE({1,2,3,4},KMB!W214,KMB!AA214,KMB!AE214,KMB!AI214)))</f>
        <v>0</v>
      </c>
      <c r="G214">
        <f>SUMPRODUCT((MONTH(CHOOSE({1,2,3,4},KMB!T214,KMB!X214,KMB!AB214,KMB!AF214))=7)*(CHOOSE({1,2,3,4},KMB!W214,KMB!AA214,KMB!AE214,KMB!AI214)))</f>
        <v>0</v>
      </c>
      <c r="H214">
        <f>SUMPRODUCT((MONTH(CHOOSE({1,2,3,4},KMB!T214,KMB!X214,KMB!AB214,KMB!AF214))=8)*(CHOOSE({1,2,3,4},KMB!W214,KMB!AA214,KMB!AE214,KMB!AI214)))</f>
        <v>0</v>
      </c>
      <c r="I214">
        <f>SUMPRODUCT((MONTH(CHOOSE({1,2,3,4},KMB!T214,KMB!X214,KMB!AB214,KMB!AF214))=9)*(CHOOSE({1,2,3,4},KMB!W214,KMB!AA214,KMB!AE214,KMB!AI214)))</f>
        <v>0</v>
      </c>
      <c r="J214">
        <f>SUMPRODUCT((MONTH(CHOOSE({1,2,3,4},KMB!T214,KMB!X214,KMB!AB214,KMB!AF214))=10)*(CHOOSE({1,2,3,4},KMB!W214,KMB!AA214,KMB!AE214,KMB!AI214)))</f>
        <v>0</v>
      </c>
      <c r="K214">
        <f>SUMPRODUCT((MONTH(CHOOSE({1,2,3,4},KMB!T214,KMB!X214,KMB!AB214,KMB!AF214))=11)*(CHOOSE({1,2,3,4},KMB!W214,KMB!AA214,KMB!AE214,KMB!AI214)))</f>
        <v>0</v>
      </c>
      <c r="L214">
        <f>SUMPRODUCT((MONTH(CHOOSE({1,2,3,4},KMB!T214,KMB!X214,KMB!AB214,KMB!AF214))=12)*(CHOOSE({1,2,3,4},KMB!W214,KMB!AA214,KMB!AE214,KMB!AI214)))</f>
        <v>0</v>
      </c>
    </row>
    <row r="215" spans="1:12">
      <c r="A215">
        <f>SUMPRODUCT((MONTH(CHOOSE({1,2,3,4},KMB!T215,KMB!X215,KMB!AB215,KMB!AF215))=1)*(CHOOSE({1,2,3,4},KMB!W215,KMB!AA215,KMB!AE215,KMB!AI215)))</f>
        <v>0</v>
      </c>
      <c r="B215">
        <f>SUMPRODUCT((MONTH(CHOOSE({1,2,3,4},KMB!T215,KMB!X215,KMB!AB215,KMB!AF215))=2)*(CHOOSE({1,2,3,4},KMB!W215,KMB!AA215,KMB!AE215,KMB!AI215)))</f>
        <v>0</v>
      </c>
      <c r="C215">
        <f>SUMPRODUCT((MONTH(CHOOSE({1,2,3,4},KMB!T215,KMB!X215,KMB!AB215,KMB!AF215))=3)*(CHOOSE({1,2,3,4},KMB!W215,KMB!AA215,KMB!AE215,KMB!AI215)))</f>
        <v>0</v>
      </c>
      <c r="D215">
        <f>SUMPRODUCT((MONTH(CHOOSE({1,2,3,4},KMB!T215,KMB!X215,KMB!AB215,KMB!AF215))=4)*(CHOOSE({1,2,3,4},KMB!W215,KMB!AA215,KMB!AE215,KMB!AI215)))</f>
        <v>0</v>
      </c>
      <c r="E215">
        <f>SUMPRODUCT((MONTH(CHOOSE({1,2,3,4},KMB!T215,KMB!X215,KMB!AB215,KMB!AF215))=5)*(CHOOSE({1,2,3,4},KMB!W215,KMB!AA215,KMB!AE215,KMB!AI215)))</f>
        <v>0</v>
      </c>
      <c r="F215">
        <f>SUMPRODUCT((MONTH(CHOOSE({1,2,3,4},KMB!T215,KMB!X215,KMB!AB215,KMB!AF215))=6)*(CHOOSE({1,2,3,4},KMB!W215,KMB!AA215,KMB!AE215,KMB!AI215)))</f>
        <v>0</v>
      </c>
      <c r="G215">
        <f>SUMPRODUCT((MONTH(CHOOSE({1,2,3,4},KMB!T215,KMB!X215,KMB!AB215,KMB!AF215))=7)*(CHOOSE({1,2,3,4},KMB!W215,KMB!AA215,KMB!AE215,KMB!AI215)))</f>
        <v>0</v>
      </c>
      <c r="H215">
        <f>SUMPRODUCT((MONTH(CHOOSE({1,2,3,4},KMB!T215,KMB!X215,KMB!AB215,KMB!AF215))=8)*(CHOOSE({1,2,3,4},KMB!W215,KMB!AA215,KMB!AE215,KMB!AI215)))</f>
        <v>0</v>
      </c>
      <c r="I215">
        <f>SUMPRODUCT((MONTH(CHOOSE({1,2,3,4},KMB!T215,KMB!X215,KMB!AB215,KMB!AF215))=9)*(CHOOSE({1,2,3,4},KMB!W215,KMB!AA215,KMB!AE215,KMB!AI215)))</f>
        <v>0</v>
      </c>
      <c r="J215">
        <f>SUMPRODUCT((MONTH(CHOOSE({1,2,3,4},KMB!T215,KMB!X215,KMB!AB215,KMB!AF215))=10)*(CHOOSE({1,2,3,4},KMB!W215,KMB!AA215,KMB!AE215,KMB!AI215)))</f>
        <v>0</v>
      </c>
      <c r="K215">
        <f>SUMPRODUCT((MONTH(CHOOSE({1,2,3,4},KMB!T215,KMB!X215,KMB!AB215,KMB!AF215))=11)*(CHOOSE({1,2,3,4},KMB!W215,KMB!AA215,KMB!AE215,KMB!AI215)))</f>
        <v>0</v>
      </c>
      <c r="L215">
        <f>SUMPRODUCT((MONTH(CHOOSE({1,2,3,4},KMB!T215,KMB!X215,KMB!AB215,KMB!AF215))=12)*(CHOOSE({1,2,3,4},KMB!W215,KMB!AA215,KMB!AE215,KMB!AI215)))</f>
        <v>0</v>
      </c>
    </row>
    <row r="216" spans="1:12">
      <c r="A216">
        <f>SUMPRODUCT((MONTH(CHOOSE({1,2,3,4},KMB!T216,KMB!X216,KMB!AB216,KMB!AF216))=1)*(CHOOSE({1,2,3,4},KMB!W216,KMB!AA216,KMB!AE216,KMB!AI216)))</f>
        <v>0</v>
      </c>
      <c r="B216">
        <f>SUMPRODUCT((MONTH(CHOOSE({1,2,3,4},KMB!T216,KMB!X216,KMB!AB216,KMB!AF216))=2)*(CHOOSE({1,2,3,4},KMB!W216,KMB!AA216,KMB!AE216,KMB!AI216)))</f>
        <v>0</v>
      </c>
      <c r="C216">
        <f>SUMPRODUCT((MONTH(CHOOSE({1,2,3,4},KMB!T216,KMB!X216,KMB!AB216,KMB!AF216))=3)*(CHOOSE({1,2,3,4},KMB!W216,KMB!AA216,KMB!AE216,KMB!AI216)))</f>
        <v>0</v>
      </c>
      <c r="D216">
        <f>SUMPRODUCT((MONTH(CHOOSE({1,2,3,4},KMB!T216,KMB!X216,KMB!AB216,KMB!AF216))=4)*(CHOOSE({1,2,3,4},KMB!W216,KMB!AA216,KMB!AE216,KMB!AI216)))</f>
        <v>0</v>
      </c>
      <c r="E216">
        <f>SUMPRODUCT((MONTH(CHOOSE({1,2,3,4},KMB!T216,KMB!X216,KMB!AB216,KMB!AF216))=5)*(CHOOSE({1,2,3,4},KMB!W216,KMB!AA216,KMB!AE216,KMB!AI216)))</f>
        <v>0</v>
      </c>
      <c r="F216">
        <f>SUMPRODUCT((MONTH(CHOOSE({1,2,3,4},KMB!T216,KMB!X216,KMB!AB216,KMB!AF216))=6)*(CHOOSE({1,2,3,4},KMB!W216,KMB!AA216,KMB!AE216,KMB!AI216)))</f>
        <v>0</v>
      </c>
      <c r="G216">
        <f>SUMPRODUCT((MONTH(CHOOSE({1,2,3,4},KMB!T216,KMB!X216,KMB!AB216,KMB!AF216))=7)*(CHOOSE({1,2,3,4},KMB!W216,KMB!AA216,KMB!AE216,KMB!AI216)))</f>
        <v>0</v>
      </c>
      <c r="H216">
        <f>SUMPRODUCT((MONTH(CHOOSE({1,2,3,4},KMB!T216,KMB!X216,KMB!AB216,KMB!AF216))=8)*(CHOOSE({1,2,3,4},KMB!W216,KMB!AA216,KMB!AE216,KMB!AI216)))</f>
        <v>0</v>
      </c>
      <c r="I216">
        <f>SUMPRODUCT((MONTH(CHOOSE({1,2,3,4},KMB!T216,KMB!X216,KMB!AB216,KMB!AF216))=9)*(CHOOSE({1,2,3,4},KMB!W216,KMB!AA216,KMB!AE216,KMB!AI216)))</f>
        <v>0</v>
      </c>
      <c r="J216">
        <f>SUMPRODUCT((MONTH(CHOOSE({1,2,3,4},KMB!T216,KMB!X216,KMB!AB216,KMB!AF216))=10)*(CHOOSE({1,2,3,4},KMB!W216,KMB!AA216,KMB!AE216,KMB!AI216)))</f>
        <v>0</v>
      </c>
      <c r="K216">
        <f>SUMPRODUCT((MONTH(CHOOSE({1,2,3,4},KMB!T216,KMB!X216,KMB!AB216,KMB!AF216))=11)*(CHOOSE({1,2,3,4},KMB!W216,KMB!AA216,KMB!AE216,KMB!AI216)))</f>
        <v>0</v>
      </c>
      <c r="L216">
        <f>SUMPRODUCT((MONTH(CHOOSE({1,2,3,4},KMB!T216,KMB!X216,KMB!AB216,KMB!AF216))=12)*(CHOOSE({1,2,3,4},KMB!W216,KMB!AA216,KMB!AE216,KMB!AI216)))</f>
        <v>0</v>
      </c>
    </row>
    <row r="217" spans="1:12">
      <c r="A217">
        <f>SUMPRODUCT((MONTH(CHOOSE({1,2,3,4},KMB!T217,KMB!X217,KMB!AB217,KMB!AF217))=1)*(CHOOSE({1,2,3,4},KMB!W217,KMB!AA217,KMB!AE217,KMB!AI217)))</f>
        <v>0</v>
      </c>
      <c r="B217">
        <f>SUMPRODUCT((MONTH(CHOOSE({1,2,3,4},KMB!T217,KMB!X217,KMB!AB217,KMB!AF217))=2)*(CHOOSE({1,2,3,4},KMB!W217,KMB!AA217,KMB!AE217,KMB!AI217)))</f>
        <v>0</v>
      </c>
      <c r="C217">
        <f>SUMPRODUCT((MONTH(CHOOSE({1,2,3,4},KMB!T217,KMB!X217,KMB!AB217,KMB!AF217))=3)*(CHOOSE({1,2,3,4},KMB!W217,KMB!AA217,KMB!AE217,KMB!AI217)))</f>
        <v>0</v>
      </c>
      <c r="D217">
        <f>SUMPRODUCT((MONTH(CHOOSE({1,2,3,4},KMB!T217,KMB!X217,KMB!AB217,KMB!AF217))=4)*(CHOOSE({1,2,3,4},KMB!W217,KMB!AA217,KMB!AE217,KMB!AI217)))</f>
        <v>0</v>
      </c>
      <c r="E217">
        <f>SUMPRODUCT((MONTH(CHOOSE({1,2,3,4},KMB!T217,KMB!X217,KMB!AB217,KMB!AF217))=5)*(CHOOSE({1,2,3,4},KMB!W217,KMB!AA217,KMB!AE217,KMB!AI217)))</f>
        <v>0</v>
      </c>
      <c r="F217">
        <f>SUMPRODUCT((MONTH(CHOOSE({1,2,3,4},KMB!T217,KMB!X217,KMB!AB217,KMB!AF217))=6)*(CHOOSE({1,2,3,4},KMB!W217,KMB!AA217,KMB!AE217,KMB!AI217)))</f>
        <v>0</v>
      </c>
      <c r="G217">
        <f>SUMPRODUCT((MONTH(CHOOSE({1,2,3,4},KMB!T217,KMB!X217,KMB!AB217,KMB!AF217))=7)*(CHOOSE({1,2,3,4},KMB!W217,KMB!AA217,KMB!AE217,KMB!AI217)))</f>
        <v>0</v>
      </c>
      <c r="H217">
        <f>SUMPRODUCT((MONTH(CHOOSE({1,2,3,4},KMB!T217,KMB!X217,KMB!AB217,KMB!AF217))=8)*(CHOOSE({1,2,3,4},KMB!W217,KMB!AA217,KMB!AE217,KMB!AI217)))</f>
        <v>0</v>
      </c>
      <c r="I217">
        <f>SUMPRODUCT((MONTH(CHOOSE({1,2,3,4},KMB!T217,KMB!X217,KMB!AB217,KMB!AF217))=9)*(CHOOSE({1,2,3,4},KMB!W217,KMB!AA217,KMB!AE217,KMB!AI217)))</f>
        <v>0</v>
      </c>
      <c r="J217">
        <f>SUMPRODUCT((MONTH(CHOOSE({1,2,3,4},KMB!T217,KMB!X217,KMB!AB217,KMB!AF217))=10)*(CHOOSE({1,2,3,4},KMB!W217,KMB!AA217,KMB!AE217,KMB!AI217)))</f>
        <v>0</v>
      </c>
      <c r="K217">
        <f>SUMPRODUCT((MONTH(CHOOSE({1,2,3,4},KMB!T217,KMB!X217,KMB!AB217,KMB!AF217))=11)*(CHOOSE({1,2,3,4},KMB!W217,KMB!AA217,KMB!AE217,KMB!AI217)))</f>
        <v>0</v>
      </c>
      <c r="L217">
        <f>SUMPRODUCT((MONTH(CHOOSE({1,2,3,4},KMB!T217,KMB!X217,KMB!AB217,KMB!AF217))=12)*(CHOOSE({1,2,3,4},KMB!W217,KMB!AA217,KMB!AE217,KMB!AI217)))</f>
        <v>0</v>
      </c>
    </row>
    <row r="218" spans="1:12">
      <c r="A218">
        <f>SUMPRODUCT((MONTH(CHOOSE({1,2,3,4},KMB!T218,KMB!X218,KMB!AB218,KMB!AF218))=1)*(CHOOSE({1,2,3,4},KMB!W218,KMB!AA218,KMB!AE218,KMB!AI218)))</f>
        <v>0</v>
      </c>
      <c r="B218">
        <f>SUMPRODUCT((MONTH(CHOOSE({1,2,3,4},KMB!T218,KMB!X218,KMB!AB218,KMB!AF218))=2)*(CHOOSE({1,2,3,4},KMB!W218,KMB!AA218,KMB!AE218,KMB!AI218)))</f>
        <v>0</v>
      </c>
      <c r="C218">
        <f>SUMPRODUCT((MONTH(CHOOSE({1,2,3,4},KMB!T218,KMB!X218,KMB!AB218,KMB!AF218))=3)*(CHOOSE({1,2,3,4},KMB!W218,KMB!AA218,KMB!AE218,KMB!AI218)))</f>
        <v>0</v>
      </c>
      <c r="D218">
        <f>SUMPRODUCT((MONTH(CHOOSE({1,2,3,4},KMB!T218,KMB!X218,KMB!AB218,KMB!AF218))=4)*(CHOOSE({1,2,3,4},KMB!W218,KMB!AA218,KMB!AE218,KMB!AI218)))</f>
        <v>0</v>
      </c>
      <c r="E218">
        <f>SUMPRODUCT((MONTH(CHOOSE({1,2,3,4},KMB!T218,KMB!X218,KMB!AB218,KMB!AF218))=5)*(CHOOSE({1,2,3,4},KMB!W218,KMB!AA218,KMB!AE218,KMB!AI218)))</f>
        <v>0</v>
      </c>
      <c r="F218">
        <f>SUMPRODUCT((MONTH(CHOOSE({1,2,3,4},KMB!T218,KMB!X218,KMB!AB218,KMB!AF218))=6)*(CHOOSE({1,2,3,4},KMB!W218,KMB!AA218,KMB!AE218,KMB!AI218)))</f>
        <v>0</v>
      </c>
      <c r="G218">
        <f>SUMPRODUCT((MONTH(CHOOSE({1,2,3,4},KMB!T218,KMB!X218,KMB!AB218,KMB!AF218))=7)*(CHOOSE({1,2,3,4},KMB!W218,KMB!AA218,KMB!AE218,KMB!AI218)))</f>
        <v>0</v>
      </c>
      <c r="H218">
        <f>SUMPRODUCT((MONTH(CHOOSE({1,2,3,4},KMB!T218,KMB!X218,KMB!AB218,KMB!AF218))=8)*(CHOOSE({1,2,3,4},KMB!W218,KMB!AA218,KMB!AE218,KMB!AI218)))</f>
        <v>0</v>
      </c>
      <c r="I218">
        <f>SUMPRODUCT((MONTH(CHOOSE({1,2,3,4},KMB!T218,KMB!X218,KMB!AB218,KMB!AF218))=9)*(CHOOSE({1,2,3,4},KMB!W218,KMB!AA218,KMB!AE218,KMB!AI218)))</f>
        <v>0</v>
      </c>
      <c r="J218">
        <f>SUMPRODUCT((MONTH(CHOOSE({1,2,3,4},KMB!T218,KMB!X218,KMB!AB218,KMB!AF218))=10)*(CHOOSE({1,2,3,4},KMB!W218,KMB!AA218,KMB!AE218,KMB!AI218)))</f>
        <v>0</v>
      </c>
      <c r="K218">
        <f>SUMPRODUCT((MONTH(CHOOSE({1,2,3,4},KMB!T218,KMB!X218,KMB!AB218,KMB!AF218))=11)*(CHOOSE({1,2,3,4},KMB!W218,KMB!AA218,KMB!AE218,KMB!AI218)))</f>
        <v>0</v>
      </c>
      <c r="L218">
        <f>SUMPRODUCT((MONTH(CHOOSE({1,2,3,4},KMB!T218,KMB!X218,KMB!AB218,KMB!AF218))=12)*(CHOOSE({1,2,3,4},KMB!W218,KMB!AA218,KMB!AE218,KMB!AI218)))</f>
        <v>0</v>
      </c>
    </row>
    <row r="219" spans="1:12">
      <c r="A219">
        <f>SUMPRODUCT((MONTH(CHOOSE({1,2,3,4},KMB!T219,KMB!X219,KMB!AB219,KMB!AF219))=1)*(CHOOSE({1,2,3,4},KMB!W219,KMB!AA219,KMB!AE219,KMB!AI219)))</f>
        <v>0</v>
      </c>
      <c r="B219">
        <f>SUMPRODUCT((MONTH(CHOOSE({1,2,3,4},KMB!T219,KMB!X219,KMB!AB219,KMB!AF219))=2)*(CHOOSE({1,2,3,4},KMB!W219,KMB!AA219,KMB!AE219,KMB!AI219)))</f>
        <v>0</v>
      </c>
      <c r="C219">
        <f>SUMPRODUCT((MONTH(CHOOSE({1,2,3,4},KMB!T219,KMB!X219,KMB!AB219,KMB!AF219))=3)*(CHOOSE({1,2,3,4},KMB!W219,KMB!AA219,KMB!AE219,KMB!AI219)))</f>
        <v>0</v>
      </c>
      <c r="D219">
        <f>SUMPRODUCT((MONTH(CHOOSE({1,2,3,4},KMB!T219,KMB!X219,KMB!AB219,KMB!AF219))=4)*(CHOOSE({1,2,3,4},KMB!W219,KMB!AA219,KMB!AE219,KMB!AI219)))</f>
        <v>0</v>
      </c>
      <c r="E219">
        <f>SUMPRODUCT((MONTH(CHOOSE({1,2,3,4},KMB!T219,KMB!X219,KMB!AB219,KMB!AF219))=5)*(CHOOSE({1,2,3,4},KMB!W219,KMB!AA219,KMB!AE219,KMB!AI219)))</f>
        <v>0</v>
      </c>
      <c r="F219">
        <f>SUMPRODUCT((MONTH(CHOOSE({1,2,3,4},KMB!T219,KMB!X219,KMB!AB219,KMB!AF219))=6)*(CHOOSE({1,2,3,4},KMB!W219,KMB!AA219,KMB!AE219,KMB!AI219)))</f>
        <v>0</v>
      </c>
      <c r="G219">
        <f>SUMPRODUCT((MONTH(CHOOSE({1,2,3,4},KMB!T219,KMB!X219,KMB!AB219,KMB!AF219))=7)*(CHOOSE({1,2,3,4},KMB!W219,KMB!AA219,KMB!AE219,KMB!AI219)))</f>
        <v>0</v>
      </c>
      <c r="H219">
        <f>SUMPRODUCT((MONTH(CHOOSE({1,2,3,4},KMB!T219,KMB!X219,KMB!AB219,KMB!AF219))=8)*(CHOOSE({1,2,3,4},KMB!W219,KMB!AA219,KMB!AE219,KMB!AI219)))</f>
        <v>0</v>
      </c>
      <c r="I219">
        <f>SUMPRODUCT((MONTH(CHOOSE({1,2,3,4},KMB!T219,KMB!X219,KMB!AB219,KMB!AF219))=9)*(CHOOSE({1,2,3,4},KMB!W219,KMB!AA219,KMB!AE219,KMB!AI219)))</f>
        <v>0</v>
      </c>
      <c r="J219">
        <f>SUMPRODUCT((MONTH(CHOOSE({1,2,3,4},KMB!T219,KMB!X219,KMB!AB219,KMB!AF219))=10)*(CHOOSE({1,2,3,4},KMB!W219,KMB!AA219,KMB!AE219,KMB!AI219)))</f>
        <v>0</v>
      </c>
      <c r="K219">
        <f>SUMPRODUCT((MONTH(CHOOSE({1,2,3,4},KMB!T219,KMB!X219,KMB!AB219,KMB!AF219))=11)*(CHOOSE({1,2,3,4},KMB!W219,KMB!AA219,KMB!AE219,KMB!AI219)))</f>
        <v>0</v>
      </c>
      <c r="L219">
        <f>SUMPRODUCT((MONTH(CHOOSE({1,2,3,4},KMB!T219,KMB!X219,KMB!AB219,KMB!AF219))=12)*(CHOOSE({1,2,3,4},KMB!W219,KMB!AA219,KMB!AE219,KMB!AI219)))</f>
        <v>0</v>
      </c>
    </row>
    <row r="220" spans="1:12">
      <c r="A220">
        <f>SUMPRODUCT((MONTH(CHOOSE({1,2,3,4},KMB!T220,KMB!X220,KMB!AB220,KMB!AF220))=1)*(CHOOSE({1,2,3,4},KMB!W220,KMB!AA220,KMB!AE220,KMB!AI220)))</f>
        <v>0</v>
      </c>
      <c r="B220">
        <f>SUMPRODUCT((MONTH(CHOOSE({1,2,3,4},KMB!T220,KMB!X220,KMB!AB220,KMB!AF220))=2)*(CHOOSE({1,2,3,4},KMB!W220,KMB!AA220,KMB!AE220,KMB!AI220)))</f>
        <v>0</v>
      </c>
      <c r="C220">
        <f>SUMPRODUCT((MONTH(CHOOSE({1,2,3,4},KMB!T220,KMB!X220,KMB!AB220,KMB!AF220))=3)*(CHOOSE({1,2,3,4},KMB!W220,KMB!AA220,KMB!AE220,KMB!AI220)))</f>
        <v>0</v>
      </c>
      <c r="D220">
        <f>SUMPRODUCT((MONTH(CHOOSE({1,2,3,4},KMB!T220,KMB!X220,KMB!AB220,KMB!AF220))=4)*(CHOOSE({1,2,3,4},KMB!W220,KMB!AA220,KMB!AE220,KMB!AI220)))</f>
        <v>0</v>
      </c>
      <c r="E220">
        <f>SUMPRODUCT((MONTH(CHOOSE({1,2,3,4},KMB!T220,KMB!X220,KMB!AB220,KMB!AF220))=5)*(CHOOSE({1,2,3,4},KMB!W220,KMB!AA220,KMB!AE220,KMB!AI220)))</f>
        <v>0</v>
      </c>
      <c r="F220">
        <f>SUMPRODUCT((MONTH(CHOOSE({1,2,3,4},KMB!T220,KMB!X220,KMB!AB220,KMB!AF220))=6)*(CHOOSE({1,2,3,4},KMB!W220,KMB!AA220,KMB!AE220,KMB!AI220)))</f>
        <v>0</v>
      </c>
      <c r="G220">
        <f>SUMPRODUCT((MONTH(CHOOSE({1,2,3,4},KMB!T220,KMB!X220,KMB!AB220,KMB!AF220))=7)*(CHOOSE({1,2,3,4},KMB!W220,KMB!AA220,KMB!AE220,KMB!AI220)))</f>
        <v>0</v>
      </c>
      <c r="H220">
        <f>SUMPRODUCT((MONTH(CHOOSE({1,2,3,4},KMB!T220,KMB!X220,KMB!AB220,KMB!AF220))=8)*(CHOOSE({1,2,3,4},KMB!W220,KMB!AA220,KMB!AE220,KMB!AI220)))</f>
        <v>0</v>
      </c>
      <c r="I220">
        <f>SUMPRODUCT((MONTH(CHOOSE({1,2,3,4},KMB!T220,KMB!X220,KMB!AB220,KMB!AF220))=9)*(CHOOSE({1,2,3,4},KMB!W220,KMB!AA220,KMB!AE220,KMB!AI220)))</f>
        <v>0</v>
      </c>
      <c r="J220">
        <f>SUMPRODUCT((MONTH(CHOOSE({1,2,3,4},KMB!T220,KMB!X220,KMB!AB220,KMB!AF220))=10)*(CHOOSE({1,2,3,4},KMB!W220,KMB!AA220,KMB!AE220,KMB!AI220)))</f>
        <v>0</v>
      </c>
      <c r="K220">
        <f>SUMPRODUCT((MONTH(CHOOSE({1,2,3,4},KMB!T220,KMB!X220,KMB!AB220,KMB!AF220))=11)*(CHOOSE({1,2,3,4},KMB!W220,KMB!AA220,KMB!AE220,KMB!AI220)))</f>
        <v>0</v>
      </c>
      <c r="L220">
        <f>SUMPRODUCT((MONTH(CHOOSE({1,2,3,4},KMB!T220,KMB!X220,KMB!AB220,KMB!AF220))=12)*(CHOOSE({1,2,3,4},KMB!W220,KMB!AA220,KMB!AE220,KMB!AI220)))</f>
        <v>0</v>
      </c>
    </row>
    <row r="221" spans="1:12">
      <c r="A221">
        <f>SUMPRODUCT((MONTH(CHOOSE({1,2,3,4},KMB!T221,KMB!X221,KMB!AB221,KMB!AF221))=1)*(CHOOSE({1,2,3,4},KMB!W221,KMB!AA221,KMB!AE221,KMB!AI221)))</f>
        <v>0</v>
      </c>
      <c r="B221">
        <f>SUMPRODUCT((MONTH(CHOOSE({1,2,3,4},KMB!T221,KMB!X221,KMB!AB221,KMB!AF221))=2)*(CHOOSE({1,2,3,4},KMB!W221,KMB!AA221,KMB!AE221,KMB!AI221)))</f>
        <v>0</v>
      </c>
      <c r="C221">
        <f>SUMPRODUCT((MONTH(CHOOSE({1,2,3,4},KMB!T221,KMB!X221,KMB!AB221,KMB!AF221))=3)*(CHOOSE({1,2,3,4},KMB!W221,KMB!AA221,KMB!AE221,KMB!AI221)))</f>
        <v>0</v>
      </c>
      <c r="D221">
        <f>SUMPRODUCT((MONTH(CHOOSE({1,2,3,4},KMB!T221,KMB!X221,KMB!AB221,KMB!AF221))=4)*(CHOOSE({1,2,3,4},KMB!W221,KMB!AA221,KMB!AE221,KMB!AI221)))</f>
        <v>0</v>
      </c>
      <c r="E221">
        <f>SUMPRODUCT((MONTH(CHOOSE({1,2,3,4},KMB!T221,KMB!X221,KMB!AB221,KMB!AF221))=5)*(CHOOSE({1,2,3,4},KMB!W221,KMB!AA221,KMB!AE221,KMB!AI221)))</f>
        <v>0</v>
      </c>
      <c r="F221">
        <f>SUMPRODUCT((MONTH(CHOOSE({1,2,3,4},KMB!T221,KMB!X221,KMB!AB221,KMB!AF221))=6)*(CHOOSE({1,2,3,4},KMB!W221,KMB!AA221,KMB!AE221,KMB!AI221)))</f>
        <v>0</v>
      </c>
      <c r="G221">
        <f>SUMPRODUCT((MONTH(CHOOSE({1,2,3,4},KMB!T221,KMB!X221,KMB!AB221,KMB!AF221))=7)*(CHOOSE({1,2,3,4},KMB!W221,KMB!AA221,KMB!AE221,KMB!AI221)))</f>
        <v>0</v>
      </c>
      <c r="H221">
        <f>SUMPRODUCT((MONTH(CHOOSE({1,2,3,4},KMB!T221,KMB!X221,KMB!AB221,KMB!AF221))=8)*(CHOOSE({1,2,3,4},KMB!W221,KMB!AA221,KMB!AE221,KMB!AI221)))</f>
        <v>0</v>
      </c>
      <c r="I221">
        <f>SUMPRODUCT((MONTH(CHOOSE({1,2,3,4},KMB!T221,KMB!X221,KMB!AB221,KMB!AF221))=9)*(CHOOSE({1,2,3,4},KMB!W221,KMB!AA221,KMB!AE221,KMB!AI221)))</f>
        <v>0</v>
      </c>
      <c r="J221">
        <f>SUMPRODUCT((MONTH(CHOOSE({1,2,3,4},KMB!T221,KMB!X221,KMB!AB221,KMB!AF221))=10)*(CHOOSE({1,2,3,4},KMB!W221,KMB!AA221,KMB!AE221,KMB!AI221)))</f>
        <v>0</v>
      </c>
      <c r="K221">
        <f>SUMPRODUCT((MONTH(CHOOSE({1,2,3,4},KMB!T221,KMB!X221,KMB!AB221,KMB!AF221))=11)*(CHOOSE({1,2,3,4},KMB!W221,KMB!AA221,KMB!AE221,KMB!AI221)))</f>
        <v>0</v>
      </c>
      <c r="L221">
        <f>SUMPRODUCT((MONTH(CHOOSE({1,2,3,4},KMB!T221,KMB!X221,KMB!AB221,KMB!AF221))=12)*(CHOOSE({1,2,3,4},KMB!W221,KMB!AA221,KMB!AE221,KMB!AI221)))</f>
        <v>0</v>
      </c>
    </row>
    <row r="222" spans="1:12">
      <c r="A222">
        <f>SUMPRODUCT((MONTH(CHOOSE({1,2,3,4},KMB!T222,KMB!X222,KMB!AB222,KMB!AF222))=1)*(CHOOSE({1,2,3,4},KMB!W222,KMB!AA222,KMB!AE222,KMB!AI222)))</f>
        <v>0</v>
      </c>
      <c r="B222">
        <f>SUMPRODUCT((MONTH(CHOOSE({1,2,3,4},KMB!T222,KMB!X222,KMB!AB222,KMB!AF222))=2)*(CHOOSE({1,2,3,4},KMB!W222,KMB!AA222,KMB!AE222,KMB!AI222)))</f>
        <v>0</v>
      </c>
      <c r="C222">
        <f>SUMPRODUCT((MONTH(CHOOSE({1,2,3,4},KMB!T222,KMB!X222,KMB!AB222,KMB!AF222))=3)*(CHOOSE({1,2,3,4},KMB!W222,KMB!AA222,KMB!AE222,KMB!AI222)))</f>
        <v>0</v>
      </c>
      <c r="D222">
        <f>SUMPRODUCT((MONTH(CHOOSE({1,2,3,4},KMB!T222,KMB!X222,KMB!AB222,KMB!AF222))=4)*(CHOOSE({1,2,3,4},KMB!W222,KMB!AA222,KMB!AE222,KMB!AI222)))</f>
        <v>0</v>
      </c>
      <c r="E222">
        <f>SUMPRODUCT((MONTH(CHOOSE({1,2,3,4},KMB!T222,KMB!X222,KMB!AB222,KMB!AF222))=5)*(CHOOSE({1,2,3,4},KMB!W222,KMB!AA222,KMB!AE222,KMB!AI222)))</f>
        <v>0</v>
      </c>
      <c r="F222">
        <f>SUMPRODUCT((MONTH(CHOOSE({1,2,3,4},KMB!T222,KMB!X222,KMB!AB222,KMB!AF222))=6)*(CHOOSE({1,2,3,4},KMB!W222,KMB!AA222,KMB!AE222,KMB!AI222)))</f>
        <v>0</v>
      </c>
      <c r="G222">
        <f>SUMPRODUCT((MONTH(CHOOSE({1,2,3,4},KMB!T222,KMB!X222,KMB!AB222,KMB!AF222))=7)*(CHOOSE({1,2,3,4},KMB!W222,KMB!AA222,KMB!AE222,KMB!AI222)))</f>
        <v>0</v>
      </c>
      <c r="H222">
        <f>SUMPRODUCT((MONTH(CHOOSE({1,2,3,4},KMB!T222,KMB!X222,KMB!AB222,KMB!AF222))=8)*(CHOOSE({1,2,3,4},KMB!W222,KMB!AA222,KMB!AE222,KMB!AI222)))</f>
        <v>0</v>
      </c>
      <c r="I222">
        <f>SUMPRODUCT((MONTH(CHOOSE({1,2,3,4},KMB!T222,KMB!X222,KMB!AB222,KMB!AF222))=9)*(CHOOSE({1,2,3,4},KMB!W222,KMB!AA222,KMB!AE222,KMB!AI222)))</f>
        <v>0</v>
      </c>
      <c r="J222">
        <f>SUMPRODUCT((MONTH(CHOOSE({1,2,3,4},KMB!T222,KMB!X222,KMB!AB222,KMB!AF222))=10)*(CHOOSE({1,2,3,4},KMB!W222,KMB!AA222,KMB!AE222,KMB!AI222)))</f>
        <v>0</v>
      </c>
      <c r="K222">
        <f>SUMPRODUCT((MONTH(CHOOSE({1,2,3,4},KMB!T222,KMB!X222,KMB!AB222,KMB!AF222))=11)*(CHOOSE({1,2,3,4},KMB!W222,KMB!AA222,KMB!AE222,KMB!AI222)))</f>
        <v>0</v>
      </c>
      <c r="L222">
        <f>SUMPRODUCT((MONTH(CHOOSE({1,2,3,4},KMB!T222,KMB!X222,KMB!AB222,KMB!AF222))=12)*(CHOOSE({1,2,3,4},KMB!W222,KMB!AA222,KMB!AE222,KMB!AI222)))</f>
        <v>0</v>
      </c>
    </row>
    <row r="223" spans="1:12">
      <c r="A223">
        <f>SUMPRODUCT((MONTH(CHOOSE({1,2,3,4},KMB!T223,KMB!X223,KMB!AB223,KMB!AF223))=1)*(CHOOSE({1,2,3,4},KMB!W223,KMB!AA223,KMB!AE223,KMB!AI223)))</f>
        <v>0</v>
      </c>
      <c r="B223">
        <f>SUMPRODUCT((MONTH(CHOOSE({1,2,3,4},KMB!T223,KMB!X223,KMB!AB223,KMB!AF223))=2)*(CHOOSE({1,2,3,4},KMB!W223,KMB!AA223,KMB!AE223,KMB!AI223)))</f>
        <v>0</v>
      </c>
      <c r="C223">
        <f>SUMPRODUCT((MONTH(CHOOSE({1,2,3,4},KMB!T223,KMB!X223,KMB!AB223,KMB!AF223))=3)*(CHOOSE({1,2,3,4},KMB!W223,KMB!AA223,KMB!AE223,KMB!AI223)))</f>
        <v>0</v>
      </c>
      <c r="D223">
        <f>SUMPRODUCT((MONTH(CHOOSE({1,2,3,4},KMB!T223,KMB!X223,KMB!AB223,KMB!AF223))=4)*(CHOOSE({1,2,3,4},KMB!W223,KMB!AA223,KMB!AE223,KMB!AI223)))</f>
        <v>0</v>
      </c>
      <c r="E223">
        <f>SUMPRODUCT((MONTH(CHOOSE({1,2,3,4},KMB!T223,KMB!X223,KMB!AB223,KMB!AF223))=5)*(CHOOSE({1,2,3,4},KMB!W223,KMB!AA223,KMB!AE223,KMB!AI223)))</f>
        <v>0</v>
      </c>
      <c r="F223">
        <f>SUMPRODUCT((MONTH(CHOOSE({1,2,3,4},KMB!T223,KMB!X223,KMB!AB223,KMB!AF223))=6)*(CHOOSE({1,2,3,4},KMB!W223,KMB!AA223,KMB!AE223,KMB!AI223)))</f>
        <v>0</v>
      </c>
      <c r="G223">
        <f>SUMPRODUCT((MONTH(CHOOSE({1,2,3,4},KMB!T223,KMB!X223,KMB!AB223,KMB!AF223))=7)*(CHOOSE({1,2,3,4},KMB!W223,KMB!AA223,KMB!AE223,KMB!AI223)))</f>
        <v>0</v>
      </c>
      <c r="H223">
        <f>SUMPRODUCT((MONTH(CHOOSE({1,2,3,4},KMB!T223,KMB!X223,KMB!AB223,KMB!AF223))=8)*(CHOOSE({1,2,3,4},KMB!W223,KMB!AA223,KMB!AE223,KMB!AI223)))</f>
        <v>0</v>
      </c>
      <c r="I223">
        <f>SUMPRODUCT((MONTH(CHOOSE({1,2,3,4},KMB!T223,KMB!X223,KMB!AB223,KMB!AF223))=9)*(CHOOSE({1,2,3,4},KMB!W223,KMB!AA223,KMB!AE223,KMB!AI223)))</f>
        <v>0</v>
      </c>
      <c r="J223">
        <f>SUMPRODUCT((MONTH(CHOOSE({1,2,3,4},KMB!T223,KMB!X223,KMB!AB223,KMB!AF223))=10)*(CHOOSE({1,2,3,4},KMB!W223,KMB!AA223,KMB!AE223,KMB!AI223)))</f>
        <v>0</v>
      </c>
      <c r="K223">
        <f>SUMPRODUCT((MONTH(CHOOSE({1,2,3,4},KMB!T223,KMB!X223,KMB!AB223,KMB!AF223))=11)*(CHOOSE({1,2,3,4},KMB!W223,KMB!AA223,KMB!AE223,KMB!AI223)))</f>
        <v>0</v>
      </c>
      <c r="L223">
        <f>SUMPRODUCT((MONTH(CHOOSE({1,2,3,4},KMB!T223,KMB!X223,KMB!AB223,KMB!AF223))=12)*(CHOOSE({1,2,3,4},KMB!W223,KMB!AA223,KMB!AE223,KMB!AI223)))</f>
        <v>0</v>
      </c>
    </row>
    <row r="224" spans="1:12">
      <c r="A224">
        <f>SUMPRODUCT((MONTH(CHOOSE({1,2,3,4},KMB!T224,KMB!X224,KMB!AB224,KMB!AF224))=1)*(CHOOSE({1,2,3,4},KMB!W224,KMB!AA224,KMB!AE224,KMB!AI224)))</f>
        <v>0</v>
      </c>
      <c r="B224">
        <f>SUMPRODUCT((MONTH(CHOOSE({1,2,3,4},KMB!T224,KMB!X224,KMB!AB224,KMB!AF224))=2)*(CHOOSE({1,2,3,4},KMB!W224,KMB!AA224,KMB!AE224,KMB!AI224)))</f>
        <v>0</v>
      </c>
      <c r="C224">
        <f>SUMPRODUCT((MONTH(CHOOSE({1,2,3,4},KMB!T224,KMB!X224,KMB!AB224,KMB!AF224))=3)*(CHOOSE({1,2,3,4},KMB!W224,KMB!AA224,KMB!AE224,KMB!AI224)))</f>
        <v>0</v>
      </c>
      <c r="D224">
        <f>SUMPRODUCT((MONTH(CHOOSE({1,2,3,4},KMB!T224,KMB!X224,KMB!AB224,KMB!AF224))=4)*(CHOOSE({1,2,3,4},KMB!W224,KMB!AA224,KMB!AE224,KMB!AI224)))</f>
        <v>0</v>
      </c>
      <c r="E224">
        <f>SUMPRODUCT((MONTH(CHOOSE({1,2,3,4},KMB!T224,KMB!X224,KMB!AB224,KMB!AF224))=5)*(CHOOSE({1,2,3,4},KMB!W224,KMB!AA224,KMB!AE224,KMB!AI224)))</f>
        <v>0</v>
      </c>
      <c r="F224">
        <f>SUMPRODUCT((MONTH(CHOOSE({1,2,3,4},KMB!T224,KMB!X224,KMB!AB224,KMB!AF224))=6)*(CHOOSE({1,2,3,4},KMB!W224,KMB!AA224,KMB!AE224,KMB!AI224)))</f>
        <v>0</v>
      </c>
      <c r="G224">
        <f>SUMPRODUCT((MONTH(CHOOSE({1,2,3,4},KMB!T224,KMB!X224,KMB!AB224,KMB!AF224))=7)*(CHOOSE({1,2,3,4},KMB!W224,KMB!AA224,KMB!AE224,KMB!AI224)))</f>
        <v>0</v>
      </c>
      <c r="H224">
        <f>SUMPRODUCT((MONTH(CHOOSE({1,2,3,4},KMB!T224,KMB!X224,KMB!AB224,KMB!AF224))=8)*(CHOOSE({1,2,3,4},KMB!W224,KMB!AA224,KMB!AE224,KMB!AI224)))</f>
        <v>0</v>
      </c>
      <c r="I224">
        <f>SUMPRODUCT((MONTH(CHOOSE({1,2,3,4},KMB!T224,KMB!X224,KMB!AB224,KMB!AF224))=9)*(CHOOSE({1,2,3,4},KMB!W224,KMB!AA224,KMB!AE224,KMB!AI224)))</f>
        <v>0</v>
      </c>
      <c r="J224">
        <f>SUMPRODUCT((MONTH(CHOOSE({1,2,3,4},KMB!T224,KMB!X224,KMB!AB224,KMB!AF224))=10)*(CHOOSE({1,2,3,4},KMB!W224,KMB!AA224,KMB!AE224,KMB!AI224)))</f>
        <v>0</v>
      </c>
      <c r="K224">
        <f>SUMPRODUCT((MONTH(CHOOSE({1,2,3,4},KMB!T224,KMB!X224,KMB!AB224,KMB!AF224))=11)*(CHOOSE({1,2,3,4},KMB!W224,KMB!AA224,KMB!AE224,KMB!AI224)))</f>
        <v>0</v>
      </c>
      <c r="L224">
        <f>SUMPRODUCT((MONTH(CHOOSE({1,2,3,4},KMB!T224,KMB!X224,KMB!AB224,KMB!AF224))=12)*(CHOOSE({1,2,3,4},KMB!W224,KMB!AA224,KMB!AE224,KMB!AI224)))</f>
        <v>0</v>
      </c>
    </row>
    <row r="225" spans="1:12">
      <c r="A225">
        <f>SUMPRODUCT((MONTH(CHOOSE({1,2,3,4},KMB!T225,KMB!X225,KMB!AB225,KMB!AF225))=1)*(CHOOSE({1,2,3,4},KMB!W225,KMB!AA225,KMB!AE225,KMB!AI225)))</f>
        <v>0</v>
      </c>
      <c r="B225">
        <f>SUMPRODUCT((MONTH(CHOOSE({1,2,3,4},KMB!T225,KMB!X225,KMB!AB225,KMB!AF225))=2)*(CHOOSE({1,2,3,4},KMB!W225,KMB!AA225,KMB!AE225,KMB!AI225)))</f>
        <v>0</v>
      </c>
      <c r="C225">
        <f>SUMPRODUCT((MONTH(CHOOSE({1,2,3,4},KMB!T225,KMB!X225,KMB!AB225,KMB!AF225))=3)*(CHOOSE({1,2,3,4},KMB!W225,KMB!AA225,KMB!AE225,KMB!AI225)))</f>
        <v>0</v>
      </c>
      <c r="D225">
        <f>SUMPRODUCT((MONTH(CHOOSE({1,2,3,4},KMB!T225,KMB!X225,KMB!AB225,KMB!AF225))=4)*(CHOOSE({1,2,3,4},KMB!W225,KMB!AA225,KMB!AE225,KMB!AI225)))</f>
        <v>0</v>
      </c>
      <c r="E225">
        <f>SUMPRODUCT((MONTH(CHOOSE({1,2,3,4},KMB!T225,KMB!X225,KMB!AB225,KMB!AF225))=5)*(CHOOSE({1,2,3,4},KMB!W225,KMB!AA225,KMB!AE225,KMB!AI225)))</f>
        <v>0</v>
      </c>
      <c r="F225">
        <f>SUMPRODUCT((MONTH(CHOOSE({1,2,3,4},KMB!T225,KMB!X225,KMB!AB225,KMB!AF225))=6)*(CHOOSE({1,2,3,4},KMB!W225,KMB!AA225,KMB!AE225,KMB!AI225)))</f>
        <v>0</v>
      </c>
      <c r="G225">
        <f>SUMPRODUCT((MONTH(CHOOSE({1,2,3,4},KMB!T225,KMB!X225,KMB!AB225,KMB!AF225))=7)*(CHOOSE({1,2,3,4},KMB!W225,KMB!AA225,KMB!AE225,KMB!AI225)))</f>
        <v>0</v>
      </c>
      <c r="H225">
        <f>SUMPRODUCT((MONTH(CHOOSE({1,2,3,4},KMB!T225,KMB!X225,KMB!AB225,KMB!AF225))=8)*(CHOOSE({1,2,3,4},KMB!W225,KMB!AA225,KMB!AE225,KMB!AI225)))</f>
        <v>0</v>
      </c>
      <c r="I225">
        <f>SUMPRODUCT((MONTH(CHOOSE({1,2,3,4},KMB!T225,KMB!X225,KMB!AB225,KMB!AF225))=9)*(CHOOSE({1,2,3,4},KMB!W225,KMB!AA225,KMB!AE225,KMB!AI225)))</f>
        <v>0</v>
      </c>
      <c r="J225">
        <f>SUMPRODUCT((MONTH(CHOOSE({1,2,3,4},KMB!T225,KMB!X225,KMB!AB225,KMB!AF225))=10)*(CHOOSE({1,2,3,4},KMB!W225,KMB!AA225,KMB!AE225,KMB!AI225)))</f>
        <v>0</v>
      </c>
      <c r="K225">
        <f>SUMPRODUCT((MONTH(CHOOSE({1,2,3,4},KMB!T225,KMB!X225,KMB!AB225,KMB!AF225))=11)*(CHOOSE({1,2,3,4},KMB!W225,KMB!AA225,KMB!AE225,KMB!AI225)))</f>
        <v>0</v>
      </c>
      <c r="L225">
        <f>SUMPRODUCT((MONTH(CHOOSE({1,2,3,4},KMB!T225,KMB!X225,KMB!AB225,KMB!AF225))=12)*(CHOOSE({1,2,3,4},KMB!W225,KMB!AA225,KMB!AE225,KMB!AI225)))</f>
        <v>0</v>
      </c>
    </row>
    <row r="226" spans="1:12">
      <c r="A226">
        <f>SUMPRODUCT((MONTH(CHOOSE({1,2,3,4},KMB!T226,KMB!X226,KMB!AB226,KMB!AF226))=1)*(CHOOSE({1,2,3,4},KMB!W226,KMB!AA226,KMB!AE226,KMB!AI226)))</f>
        <v>0</v>
      </c>
      <c r="B226">
        <f>SUMPRODUCT((MONTH(CHOOSE({1,2,3,4},KMB!T226,KMB!X226,KMB!AB226,KMB!AF226))=2)*(CHOOSE({1,2,3,4},KMB!W226,KMB!AA226,KMB!AE226,KMB!AI226)))</f>
        <v>0</v>
      </c>
      <c r="C226">
        <f>SUMPRODUCT((MONTH(CHOOSE({1,2,3,4},KMB!T226,KMB!X226,KMB!AB226,KMB!AF226))=3)*(CHOOSE({1,2,3,4},KMB!W226,KMB!AA226,KMB!AE226,KMB!AI226)))</f>
        <v>0</v>
      </c>
      <c r="D226">
        <f>SUMPRODUCT((MONTH(CHOOSE({1,2,3,4},KMB!T226,KMB!X226,KMB!AB226,KMB!AF226))=4)*(CHOOSE({1,2,3,4},KMB!W226,KMB!AA226,KMB!AE226,KMB!AI226)))</f>
        <v>0</v>
      </c>
      <c r="E226">
        <f>SUMPRODUCT((MONTH(CHOOSE({1,2,3,4},KMB!T226,KMB!X226,KMB!AB226,KMB!AF226))=5)*(CHOOSE({1,2,3,4},KMB!W226,KMB!AA226,KMB!AE226,KMB!AI226)))</f>
        <v>0</v>
      </c>
      <c r="F226">
        <f>SUMPRODUCT((MONTH(CHOOSE({1,2,3,4},KMB!T226,KMB!X226,KMB!AB226,KMB!AF226))=6)*(CHOOSE({1,2,3,4},KMB!W226,KMB!AA226,KMB!AE226,KMB!AI226)))</f>
        <v>0</v>
      </c>
      <c r="G226">
        <f>SUMPRODUCT((MONTH(CHOOSE({1,2,3,4},KMB!T226,KMB!X226,KMB!AB226,KMB!AF226))=7)*(CHOOSE({1,2,3,4},KMB!W226,KMB!AA226,KMB!AE226,KMB!AI226)))</f>
        <v>0</v>
      </c>
      <c r="H226">
        <f>SUMPRODUCT((MONTH(CHOOSE({1,2,3,4},KMB!T226,KMB!X226,KMB!AB226,KMB!AF226))=8)*(CHOOSE({1,2,3,4},KMB!W226,KMB!AA226,KMB!AE226,KMB!AI226)))</f>
        <v>0</v>
      </c>
      <c r="I226">
        <f>SUMPRODUCT((MONTH(CHOOSE({1,2,3,4},KMB!T226,KMB!X226,KMB!AB226,KMB!AF226))=9)*(CHOOSE({1,2,3,4},KMB!W226,KMB!AA226,KMB!AE226,KMB!AI226)))</f>
        <v>0</v>
      </c>
      <c r="J226">
        <f>SUMPRODUCT((MONTH(CHOOSE({1,2,3,4},KMB!T226,KMB!X226,KMB!AB226,KMB!AF226))=10)*(CHOOSE({1,2,3,4},KMB!W226,KMB!AA226,KMB!AE226,KMB!AI226)))</f>
        <v>0</v>
      </c>
      <c r="K226">
        <f>SUMPRODUCT((MONTH(CHOOSE({1,2,3,4},KMB!T226,KMB!X226,KMB!AB226,KMB!AF226))=11)*(CHOOSE({1,2,3,4},KMB!W226,KMB!AA226,KMB!AE226,KMB!AI226)))</f>
        <v>0</v>
      </c>
      <c r="L226">
        <f>SUMPRODUCT((MONTH(CHOOSE({1,2,3,4},KMB!T226,KMB!X226,KMB!AB226,KMB!AF226))=12)*(CHOOSE({1,2,3,4},KMB!W226,KMB!AA226,KMB!AE226,KMB!AI226)))</f>
        <v>0</v>
      </c>
    </row>
    <row r="227" spans="1:12">
      <c r="A227">
        <f>SUMPRODUCT((MONTH(CHOOSE({1,2,3,4},KMB!T227,KMB!X227,KMB!AB227,KMB!AF227))=1)*(CHOOSE({1,2,3,4},KMB!W227,KMB!AA227,KMB!AE227,KMB!AI227)))</f>
        <v>0</v>
      </c>
      <c r="B227">
        <f>SUMPRODUCT((MONTH(CHOOSE({1,2,3,4},KMB!T227,KMB!X227,KMB!AB227,KMB!AF227))=2)*(CHOOSE({1,2,3,4},KMB!W227,KMB!AA227,KMB!AE227,KMB!AI227)))</f>
        <v>0</v>
      </c>
      <c r="C227">
        <f>SUMPRODUCT((MONTH(CHOOSE({1,2,3,4},KMB!T227,KMB!X227,KMB!AB227,KMB!AF227))=3)*(CHOOSE({1,2,3,4},KMB!W227,KMB!AA227,KMB!AE227,KMB!AI227)))</f>
        <v>0</v>
      </c>
      <c r="D227">
        <f>SUMPRODUCT((MONTH(CHOOSE({1,2,3,4},KMB!T227,KMB!X227,KMB!AB227,KMB!AF227))=4)*(CHOOSE({1,2,3,4},KMB!W227,KMB!AA227,KMB!AE227,KMB!AI227)))</f>
        <v>0</v>
      </c>
      <c r="E227">
        <f>SUMPRODUCT((MONTH(CHOOSE({1,2,3,4},KMB!T227,KMB!X227,KMB!AB227,KMB!AF227))=5)*(CHOOSE({1,2,3,4},KMB!W227,KMB!AA227,KMB!AE227,KMB!AI227)))</f>
        <v>0</v>
      </c>
      <c r="F227">
        <f>SUMPRODUCT((MONTH(CHOOSE({1,2,3,4},KMB!T227,KMB!X227,KMB!AB227,KMB!AF227))=6)*(CHOOSE({1,2,3,4},KMB!W227,KMB!AA227,KMB!AE227,KMB!AI227)))</f>
        <v>0</v>
      </c>
      <c r="G227">
        <f>SUMPRODUCT((MONTH(CHOOSE({1,2,3,4},KMB!T227,KMB!X227,KMB!AB227,KMB!AF227))=7)*(CHOOSE({1,2,3,4},KMB!W227,KMB!AA227,KMB!AE227,KMB!AI227)))</f>
        <v>0</v>
      </c>
      <c r="H227">
        <f>SUMPRODUCT((MONTH(CHOOSE({1,2,3,4},KMB!T227,KMB!X227,KMB!AB227,KMB!AF227))=8)*(CHOOSE({1,2,3,4},KMB!W227,KMB!AA227,KMB!AE227,KMB!AI227)))</f>
        <v>0</v>
      </c>
      <c r="I227">
        <f>SUMPRODUCT((MONTH(CHOOSE({1,2,3,4},KMB!T227,KMB!X227,KMB!AB227,KMB!AF227))=9)*(CHOOSE({1,2,3,4},KMB!W227,KMB!AA227,KMB!AE227,KMB!AI227)))</f>
        <v>0</v>
      </c>
      <c r="J227">
        <f>SUMPRODUCT((MONTH(CHOOSE({1,2,3,4},KMB!T227,KMB!X227,KMB!AB227,KMB!AF227))=10)*(CHOOSE({1,2,3,4},KMB!W227,KMB!AA227,KMB!AE227,KMB!AI227)))</f>
        <v>0</v>
      </c>
      <c r="K227">
        <f>SUMPRODUCT((MONTH(CHOOSE({1,2,3,4},KMB!T227,KMB!X227,KMB!AB227,KMB!AF227))=11)*(CHOOSE({1,2,3,4},KMB!W227,KMB!AA227,KMB!AE227,KMB!AI227)))</f>
        <v>0</v>
      </c>
      <c r="L227">
        <f>SUMPRODUCT((MONTH(CHOOSE({1,2,3,4},KMB!T227,KMB!X227,KMB!AB227,KMB!AF227))=12)*(CHOOSE({1,2,3,4},KMB!W227,KMB!AA227,KMB!AE227,KMB!AI227)))</f>
        <v>0</v>
      </c>
    </row>
    <row r="228" spans="1:12">
      <c r="A228">
        <f>SUMPRODUCT((MONTH(CHOOSE({1,2,3,4},KMB!T228,KMB!X228,KMB!AB228,KMB!AF228))=1)*(CHOOSE({1,2,3,4},KMB!W228,KMB!AA228,KMB!AE228,KMB!AI228)))</f>
        <v>0</v>
      </c>
      <c r="B228">
        <f>SUMPRODUCT((MONTH(CHOOSE({1,2,3,4},KMB!T228,KMB!X228,KMB!AB228,KMB!AF228))=2)*(CHOOSE({1,2,3,4},KMB!W228,KMB!AA228,KMB!AE228,KMB!AI228)))</f>
        <v>0</v>
      </c>
      <c r="C228">
        <f>SUMPRODUCT((MONTH(CHOOSE({1,2,3,4},KMB!T228,KMB!X228,KMB!AB228,KMB!AF228))=3)*(CHOOSE({1,2,3,4},KMB!W228,KMB!AA228,KMB!AE228,KMB!AI228)))</f>
        <v>0</v>
      </c>
      <c r="D228">
        <f>SUMPRODUCT((MONTH(CHOOSE({1,2,3,4},KMB!T228,KMB!X228,KMB!AB228,KMB!AF228))=4)*(CHOOSE({1,2,3,4},KMB!W228,KMB!AA228,KMB!AE228,KMB!AI228)))</f>
        <v>0</v>
      </c>
      <c r="E228">
        <f>SUMPRODUCT((MONTH(CHOOSE({1,2,3,4},KMB!T228,KMB!X228,KMB!AB228,KMB!AF228))=5)*(CHOOSE({1,2,3,4},KMB!W228,KMB!AA228,KMB!AE228,KMB!AI228)))</f>
        <v>0</v>
      </c>
      <c r="F228">
        <f>SUMPRODUCT((MONTH(CHOOSE({1,2,3,4},KMB!T228,KMB!X228,KMB!AB228,KMB!AF228))=6)*(CHOOSE({1,2,3,4},KMB!W228,KMB!AA228,KMB!AE228,KMB!AI228)))</f>
        <v>0</v>
      </c>
      <c r="G228">
        <f>SUMPRODUCT((MONTH(CHOOSE({1,2,3,4},KMB!T228,KMB!X228,KMB!AB228,KMB!AF228))=7)*(CHOOSE({1,2,3,4},KMB!W228,KMB!AA228,KMB!AE228,KMB!AI228)))</f>
        <v>0</v>
      </c>
      <c r="H228">
        <f>SUMPRODUCT((MONTH(CHOOSE({1,2,3,4},KMB!T228,KMB!X228,KMB!AB228,KMB!AF228))=8)*(CHOOSE({1,2,3,4},KMB!W228,KMB!AA228,KMB!AE228,KMB!AI228)))</f>
        <v>0</v>
      </c>
      <c r="I228">
        <f>SUMPRODUCT((MONTH(CHOOSE({1,2,3,4},KMB!T228,KMB!X228,KMB!AB228,KMB!AF228))=9)*(CHOOSE({1,2,3,4},KMB!W228,KMB!AA228,KMB!AE228,KMB!AI228)))</f>
        <v>0</v>
      </c>
      <c r="J228">
        <f>SUMPRODUCT((MONTH(CHOOSE({1,2,3,4},KMB!T228,KMB!X228,KMB!AB228,KMB!AF228))=10)*(CHOOSE({1,2,3,4},KMB!W228,KMB!AA228,KMB!AE228,KMB!AI228)))</f>
        <v>0</v>
      </c>
      <c r="K228">
        <f>SUMPRODUCT((MONTH(CHOOSE({1,2,3,4},KMB!T228,KMB!X228,KMB!AB228,KMB!AF228))=11)*(CHOOSE({1,2,3,4},KMB!W228,KMB!AA228,KMB!AE228,KMB!AI228)))</f>
        <v>0</v>
      </c>
      <c r="L228">
        <f>SUMPRODUCT((MONTH(CHOOSE({1,2,3,4},KMB!T228,KMB!X228,KMB!AB228,KMB!AF228))=12)*(CHOOSE({1,2,3,4},KMB!W228,KMB!AA228,KMB!AE228,KMB!AI228)))</f>
        <v>0</v>
      </c>
    </row>
    <row r="229" spans="1:12">
      <c r="A229">
        <f>SUMPRODUCT((MONTH(CHOOSE({1,2,3,4},KMB!T229,KMB!X229,KMB!AB229,KMB!AF229))=1)*(CHOOSE({1,2,3,4},KMB!W229,KMB!AA229,KMB!AE229,KMB!AI229)))</f>
        <v>0</v>
      </c>
      <c r="B229">
        <f>SUMPRODUCT((MONTH(CHOOSE({1,2,3,4},KMB!T229,KMB!X229,KMB!AB229,KMB!AF229))=2)*(CHOOSE({1,2,3,4},KMB!W229,KMB!AA229,KMB!AE229,KMB!AI229)))</f>
        <v>0</v>
      </c>
      <c r="C229">
        <f>SUMPRODUCT((MONTH(CHOOSE({1,2,3,4},KMB!T229,KMB!X229,KMB!AB229,KMB!AF229))=3)*(CHOOSE({1,2,3,4},KMB!W229,KMB!AA229,KMB!AE229,KMB!AI229)))</f>
        <v>0</v>
      </c>
      <c r="D229">
        <f>SUMPRODUCT((MONTH(CHOOSE({1,2,3,4},KMB!T229,KMB!X229,KMB!AB229,KMB!AF229))=4)*(CHOOSE({1,2,3,4},KMB!W229,KMB!AA229,KMB!AE229,KMB!AI229)))</f>
        <v>0</v>
      </c>
      <c r="E229">
        <f>SUMPRODUCT((MONTH(CHOOSE({1,2,3,4},KMB!T229,KMB!X229,KMB!AB229,KMB!AF229))=5)*(CHOOSE({1,2,3,4},KMB!W229,KMB!AA229,KMB!AE229,KMB!AI229)))</f>
        <v>0</v>
      </c>
      <c r="F229">
        <f>SUMPRODUCT((MONTH(CHOOSE({1,2,3,4},KMB!T229,KMB!X229,KMB!AB229,KMB!AF229))=6)*(CHOOSE({1,2,3,4},KMB!W229,KMB!AA229,KMB!AE229,KMB!AI229)))</f>
        <v>0</v>
      </c>
      <c r="G229">
        <f>SUMPRODUCT((MONTH(CHOOSE({1,2,3,4},KMB!T229,KMB!X229,KMB!AB229,KMB!AF229))=7)*(CHOOSE({1,2,3,4},KMB!W229,KMB!AA229,KMB!AE229,KMB!AI229)))</f>
        <v>0</v>
      </c>
      <c r="H229">
        <f>SUMPRODUCT((MONTH(CHOOSE({1,2,3,4},KMB!T229,KMB!X229,KMB!AB229,KMB!AF229))=8)*(CHOOSE({1,2,3,4},KMB!W229,KMB!AA229,KMB!AE229,KMB!AI229)))</f>
        <v>0</v>
      </c>
      <c r="I229">
        <f>SUMPRODUCT((MONTH(CHOOSE({1,2,3,4},KMB!T229,KMB!X229,KMB!AB229,KMB!AF229))=9)*(CHOOSE({1,2,3,4},KMB!W229,KMB!AA229,KMB!AE229,KMB!AI229)))</f>
        <v>0</v>
      </c>
      <c r="J229">
        <f>SUMPRODUCT((MONTH(CHOOSE({1,2,3,4},KMB!T229,KMB!X229,KMB!AB229,KMB!AF229))=10)*(CHOOSE({1,2,3,4},KMB!W229,KMB!AA229,KMB!AE229,KMB!AI229)))</f>
        <v>0</v>
      </c>
      <c r="K229">
        <f>SUMPRODUCT((MONTH(CHOOSE({1,2,3,4},KMB!T229,KMB!X229,KMB!AB229,KMB!AF229))=11)*(CHOOSE({1,2,3,4},KMB!W229,KMB!AA229,KMB!AE229,KMB!AI229)))</f>
        <v>0</v>
      </c>
      <c r="L229">
        <f>SUMPRODUCT((MONTH(CHOOSE({1,2,3,4},KMB!T229,KMB!X229,KMB!AB229,KMB!AF229))=12)*(CHOOSE({1,2,3,4},KMB!W229,KMB!AA229,KMB!AE229,KMB!AI229)))</f>
        <v>0</v>
      </c>
    </row>
    <row r="230" spans="1:12">
      <c r="A230">
        <f>SUMPRODUCT((MONTH(CHOOSE({1,2,3,4},KMB!T230,KMB!X230,KMB!AB230,KMB!AF230))=1)*(CHOOSE({1,2,3,4},KMB!W230,KMB!AA230,KMB!AE230,KMB!AI230)))</f>
        <v>0</v>
      </c>
      <c r="B230">
        <f>SUMPRODUCT((MONTH(CHOOSE({1,2,3,4},KMB!T230,KMB!X230,KMB!AB230,KMB!AF230))=2)*(CHOOSE({1,2,3,4},KMB!W230,KMB!AA230,KMB!AE230,KMB!AI230)))</f>
        <v>0</v>
      </c>
      <c r="C230">
        <f>SUMPRODUCT((MONTH(CHOOSE({1,2,3,4},KMB!T230,KMB!X230,KMB!AB230,KMB!AF230))=3)*(CHOOSE({1,2,3,4},KMB!W230,KMB!AA230,KMB!AE230,KMB!AI230)))</f>
        <v>0</v>
      </c>
      <c r="D230">
        <f>SUMPRODUCT((MONTH(CHOOSE({1,2,3,4},KMB!T230,KMB!X230,KMB!AB230,KMB!AF230))=4)*(CHOOSE({1,2,3,4},KMB!W230,KMB!AA230,KMB!AE230,KMB!AI230)))</f>
        <v>0</v>
      </c>
      <c r="E230">
        <f>SUMPRODUCT((MONTH(CHOOSE({1,2,3,4},KMB!T230,KMB!X230,KMB!AB230,KMB!AF230))=5)*(CHOOSE({1,2,3,4},KMB!W230,KMB!AA230,KMB!AE230,KMB!AI230)))</f>
        <v>0</v>
      </c>
      <c r="F230">
        <f>SUMPRODUCT((MONTH(CHOOSE({1,2,3,4},KMB!T230,KMB!X230,KMB!AB230,KMB!AF230))=6)*(CHOOSE({1,2,3,4},KMB!W230,KMB!AA230,KMB!AE230,KMB!AI230)))</f>
        <v>0</v>
      </c>
      <c r="G230">
        <f>SUMPRODUCT((MONTH(CHOOSE({1,2,3,4},KMB!T230,KMB!X230,KMB!AB230,KMB!AF230))=7)*(CHOOSE({1,2,3,4},KMB!W230,KMB!AA230,KMB!AE230,KMB!AI230)))</f>
        <v>0</v>
      </c>
      <c r="H230">
        <f>SUMPRODUCT((MONTH(CHOOSE({1,2,3,4},KMB!T230,KMB!X230,KMB!AB230,KMB!AF230))=8)*(CHOOSE({1,2,3,4},KMB!W230,KMB!AA230,KMB!AE230,KMB!AI230)))</f>
        <v>0</v>
      </c>
      <c r="I230">
        <f>SUMPRODUCT((MONTH(CHOOSE({1,2,3,4},KMB!T230,KMB!X230,KMB!AB230,KMB!AF230))=9)*(CHOOSE({1,2,3,4},KMB!W230,KMB!AA230,KMB!AE230,KMB!AI230)))</f>
        <v>0</v>
      </c>
      <c r="J230">
        <f>SUMPRODUCT((MONTH(CHOOSE({1,2,3,4},KMB!T230,KMB!X230,KMB!AB230,KMB!AF230))=10)*(CHOOSE({1,2,3,4},KMB!W230,KMB!AA230,KMB!AE230,KMB!AI230)))</f>
        <v>0</v>
      </c>
      <c r="K230">
        <f>SUMPRODUCT((MONTH(CHOOSE({1,2,3,4},KMB!T230,KMB!X230,KMB!AB230,KMB!AF230))=11)*(CHOOSE({1,2,3,4},KMB!W230,KMB!AA230,KMB!AE230,KMB!AI230)))</f>
        <v>0</v>
      </c>
      <c r="L230">
        <f>SUMPRODUCT((MONTH(CHOOSE({1,2,3,4},KMB!T230,KMB!X230,KMB!AB230,KMB!AF230))=12)*(CHOOSE({1,2,3,4},KMB!W230,KMB!AA230,KMB!AE230,KMB!AI230)))</f>
        <v>0</v>
      </c>
    </row>
    <row r="231" spans="1:12">
      <c r="A231">
        <f>SUMPRODUCT((MONTH(CHOOSE({1,2,3,4},KMB!T231,KMB!X231,KMB!AB231,KMB!AF231))=1)*(CHOOSE({1,2,3,4},KMB!W231,KMB!AA231,KMB!AE231,KMB!AI231)))</f>
        <v>0</v>
      </c>
      <c r="B231">
        <f>SUMPRODUCT((MONTH(CHOOSE({1,2,3,4},KMB!T231,KMB!X231,KMB!AB231,KMB!AF231))=2)*(CHOOSE({1,2,3,4},KMB!W231,KMB!AA231,KMB!AE231,KMB!AI231)))</f>
        <v>0</v>
      </c>
      <c r="C231">
        <f>SUMPRODUCT((MONTH(CHOOSE({1,2,3,4},KMB!T231,KMB!X231,KMB!AB231,KMB!AF231))=3)*(CHOOSE({1,2,3,4},KMB!W231,KMB!AA231,KMB!AE231,KMB!AI231)))</f>
        <v>0</v>
      </c>
      <c r="D231">
        <f>SUMPRODUCT((MONTH(CHOOSE({1,2,3,4},KMB!T231,KMB!X231,KMB!AB231,KMB!AF231))=4)*(CHOOSE({1,2,3,4},KMB!W231,KMB!AA231,KMB!AE231,KMB!AI231)))</f>
        <v>0</v>
      </c>
      <c r="E231">
        <f>SUMPRODUCT((MONTH(CHOOSE({1,2,3,4},KMB!T231,KMB!X231,KMB!AB231,KMB!AF231))=5)*(CHOOSE({1,2,3,4},KMB!W231,KMB!AA231,KMB!AE231,KMB!AI231)))</f>
        <v>0</v>
      </c>
      <c r="F231">
        <f>SUMPRODUCT((MONTH(CHOOSE({1,2,3,4},KMB!T231,KMB!X231,KMB!AB231,KMB!AF231))=6)*(CHOOSE({1,2,3,4},KMB!W231,KMB!AA231,KMB!AE231,KMB!AI231)))</f>
        <v>0</v>
      </c>
      <c r="G231">
        <f>SUMPRODUCT((MONTH(CHOOSE({1,2,3,4},KMB!T231,KMB!X231,KMB!AB231,KMB!AF231))=7)*(CHOOSE({1,2,3,4},KMB!W231,KMB!AA231,KMB!AE231,KMB!AI231)))</f>
        <v>0</v>
      </c>
      <c r="H231">
        <f>SUMPRODUCT((MONTH(CHOOSE({1,2,3,4},KMB!T231,KMB!X231,KMB!AB231,KMB!AF231))=8)*(CHOOSE({1,2,3,4},KMB!W231,KMB!AA231,KMB!AE231,KMB!AI231)))</f>
        <v>0</v>
      </c>
      <c r="I231">
        <f>SUMPRODUCT((MONTH(CHOOSE({1,2,3,4},KMB!T231,KMB!X231,KMB!AB231,KMB!AF231))=9)*(CHOOSE({1,2,3,4},KMB!W231,KMB!AA231,KMB!AE231,KMB!AI231)))</f>
        <v>0</v>
      </c>
      <c r="J231">
        <f>SUMPRODUCT((MONTH(CHOOSE({1,2,3,4},KMB!T231,KMB!X231,KMB!AB231,KMB!AF231))=10)*(CHOOSE({1,2,3,4},KMB!W231,KMB!AA231,KMB!AE231,KMB!AI231)))</f>
        <v>0</v>
      </c>
      <c r="K231">
        <f>SUMPRODUCT((MONTH(CHOOSE({1,2,3,4},KMB!T231,KMB!X231,KMB!AB231,KMB!AF231))=11)*(CHOOSE({1,2,3,4},KMB!W231,KMB!AA231,KMB!AE231,KMB!AI231)))</f>
        <v>0</v>
      </c>
      <c r="L231">
        <f>SUMPRODUCT((MONTH(CHOOSE({1,2,3,4},KMB!T231,KMB!X231,KMB!AB231,KMB!AF231))=12)*(CHOOSE({1,2,3,4},KMB!W231,KMB!AA231,KMB!AE231,KMB!AI231)))</f>
        <v>0</v>
      </c>
    </row>
    <row r="232" spans="1:12">
      <c r="A232">
        <f>SUMPRODUCT((MONTH(CHOOSE({1,2,3,4},KMB!T232,KMB!X232,KMB!AB232,KMB!AF232))=1)*(CHOOSE({1,2,3,4},KMB!W232,KMB!AA232,KMB!AE232,KMB!AI232)))</f>
        <v>0</v>
      </c>
      <c r="B232">
        <f>SUMPRODUCT((MONTH(CHOOSE({1,2,3,4},KMB!T232,KMB!X232,KMB!AB232,KMB!AF232))=2)*(CHOOSE({1,2,3,4},KMB!W232,KMB!AA232,KMB!AE232,KMB!AI232)))</f>
        <v>0</v>
      </c>
      <c r="C232">
        <f>SUMPRODUCT((MONTH(CHOOSE({1,2,3,4},KMB!T232,KMB!X232,KMB!AB232,KMB!AF232))=3)*(CHOOSE({1,2,3,4},KMB!W232,KMB!AA232,KMB!AE232,KMB!AI232)))</f>
        <v>0</v>
      </c>
      <c r="D232">
        <f>SUMPRODUCT((MONTH(CHOOSE({1,2,3,4},KMB!T232,KMB!X232,KMB!AB232,KMB!AF232))=4)*(CHOOSE({1,2,3,4},KMB!W232,KMB!AA232,KMB!AE232,KMB!AI232)))</f>
        <v>0</v>
      </c>
      <c r="E232">
        <f>SUMPRODUCT((MONTH(CHOOSE({1,2,3,4},KMB!T232,KMB!X232,KMB!AB232,KMB!AF232))=5)*(CHOOSE({1,2,3,4},KMB!W232,KMB!AA232,KMB!AE232,KMB!AI232)))</f>
        <v>0</v>
      </c>
      <c r="F232">
        <f>SUMPRODUCT((MONTH(CHOOSE({1,2,3,4},KMB!T232,KMB!X232,KMB!AB232,KMB!AF232))=6)*(CHOOSE({1,2,3,4},KMB!W232,KMB!AA232,KMB!AE232,KMB!AI232)))</f>
        <v>0</v>
      </c>
      <c r="G232">
        <f>SUMPRODUCT((MONTH(CHOOSE({1,2,3,4},KMB!T232,KMB!X232,KMB!AB232,KMB!AF232))=7)*(CHOOSE({1,2,3,4},KMB!W232,KMB!AA232,KMB!AE232,KMB!AI232)))</f>
        <v>0</v>
      </c>
      <c r="H232">
        <f>SUMPRODUCT((MONTH(CHOOSE({1,2,3,4},KMB!T232,KMB!X232,KMB!AB232,KMB!AF232))=8)*(CHOOSE({1,2,3,4},KMB!W232,KMB!AA232,KMB!AE232,KMB!AI232)))</f>
        <v>0</v>
      </c>
      <c r="I232">
        <f>SUMPRODUCT((MONTH(CHOOSE({1,2,3,4},KMB!T232,KMB!X232,KMB!AB232,KMB!AF232))=9)*(CHOOSE({1,2,3,4},KMB!W232,KMB!AA232,KMB!AE232,KMB!AI232)))</f>
        <v>0</v>
      </c>
      <c r="J232">
        <f>SUMPRODUCT((MONTH(CHOOSE({1,2,3,4},KMB!T232,KMB!X232,KMB!AB232,KMB!AF232))=10)*(CHOOSE({1,2,3,4},KMB!W232,KMB!AA232,KMB!AE232,KMB!AI232)))</f>
        <v>0</v>
      </c>
      <c r="K232">
        <f>SUMPRODUCT((MONTH(CHOOSE({1,2,3,4},KMB!T232,KMB!X232,KMB!AB232,KMB!AF232))=11)*(CHOOSE({1,2,3,4},KMB!W232,KMB!AA232,KMB!AE232,KMB!AI232)))</f>
        <v>0</v>
      </c>
      <c r="L232">
        <f>SUMPRODUCT((MONTH(CHOOSE({1,2,3,4},KMB!T232,KMB!X232,KMB!AB232,KMB!AF232))=12)*(CHOOSE({1,2,3,4},KMB!W232,KMB!AA232,KMB!AE232,KMB!AI232)))</f>
        <v>0</v>
      </c>
    </row>
    <row r="233" spans="1:12">
      <c r="A233">
        <f>SUMPRODUCT((MONTH(CHOOSE({1,2,3,4},KMB!T233,KMB!X233,KMB!AB233,KMB!AF233))=1)*(CHOOSE({1,2,3,4},KMB!W233,KMB!AA233,KMB!AE233,KMB!AI233)))</f>
        <v>0</v>
      </c>
      <c r="B233">
        <f>SUMPRODUCT((MONTH(CHOOSE({1,2,3,4},KMB!T233,KMB!X233,KMB!AB233,KMB!AF233))=2)*(CHOOSE({1,2,3,4},KMB!W233,KMB!AA233,KMB!AE233,KMB!AI233)))</f>
        <v>0</v>
      </c>
      <c r="C233">
        <f>SUMPRODUCT((MONTH(CHOOSE({1,2,3,4},KMB!T233,KMB!X233,KMB!AB233,KMB!AF233))=3)*(CHOOSE({1,2,3,4},KMB!W233,KMB!AA233,KMB!AE233,KMB!AI233)))</f>
        <v>0</v>
      </c>
      <c r="D233">
        <f>SUMPRODUCT((MONTH(CHOOSE({1,2,3,4},KMB!T233,KMB!X233,KMB!AB233,KMB!AF233))=4)*(CHOOSE({1,2,3,4},KMB!W233,KMB!AA233,KMB!AE233,KMB!AI233)))</f>
        <v>0</v>
      </c>
      <c r="E233">
        <f>SUMPRODUCT((MONTH(CHOOSE({1,2,3,4},KMB!T233,KMB!X233,KMB!AB233,KMB!AF233))=5)*(CHOOSE({1,2,3,4},KMB!W233,KMB!AA233,KMB!AE233,KMB!AI233)))</f>
        <v>0</v>
      </c>
      <c r="F233">
        <f>SUMPRODUCT((MONTH(CHOOSE({1,2,3,4},KMB!T233,KMB!X233,KMB!AB233,KMB!AF233))=6)*(CHOOSE({1,2,3,4},KMB!W233,KMB!AA233,KMB!AE233,KMB!AI233)))</f>
        <v>0</v>
      </c>
      <c r="G233">
        <f>SUMPRODUCT((MONTH(CHOOSE({1,2,3,4},KMB!T233,KMB!X233,KMB!AB233,KMB!AF233))=7)*(CHOOSE({1,2,3,4},KMB!W233,KMB!AA233,KMB!AE233,KMB!AI233)))</f>
        <v>0</v>
      </c>
      <c r="H233">
        <f>SUMPRODUCT((MONTH(CHOOSE({1,2,3,4},KMB!T233,KMB!X233,KMB!AB233,KMB!AF233))=8)*(CHOOSE({1,2,3,4},KMB!W233,KMB!AA233,KMB!AE233,KMB!AI233)))</f>
        <v>0</v>
      </c>
      <c r="I233">
        <f>SUMPRODUCT((MONTH(CHOOSE({1,2,3,4},KMB!T233,KMB!X233,KMB!AB233,KMB!AF233))=9)*(CHOOSE({1,2,3,4},KMB!W233,KMB!AA233,KMB!AE233,KMB!AI233)))</f>
        <v>0</v>
      </c>
      <c r="J233">
        <f>SUMPRODUCT((MONTH(CHOOSE({1,2,3,4},KMB!T233,KMB!X233,KMB!AB233,KMB!AF233))=10)*(CHOOSE({1,2,3,4},KMB!W233,KMB!AA233,KMB!AE233,KMB!AI233)))</f>
        <v>0</v>
      </c>
      <c r="K233">
        <f>SUMPRODUCT((MONTH(CHOOSE({1,2,3,4},KMB!T233,KMB!X233,KMB!AB233,KMB!AF233))=11)*(CHOOSE({1,2,3,4},KMB!W233,KMB!AA233,KMB!AE233,KMB!AI233)))</f>
        <v>0</v>
      </c>
      <c r="L233">
        <f>SUMPRODUCT((MONTH(CHOOSE({1,2,3,4},KMB!T233,KMB!X233,KMB!AB233,KMB!AF233))=12)*(CHOOSE({1,2,3,4},KMB!W233,KMB!AA233,KMB!AE233,KMB!AI233)))</f>
        <v>0</v>
      </c>
    </row>
    <row r="234" spans="1:12">
      <c r="A234">
        <f>SUMPRODUCT((MONTH(CHOOSE({1,2,3,4},KMB!T234,KMB!X234,KMB!AB234,KMB!AF234))=1)*(CHOOSE({1,2,3,4},KMB!W234,KMB!AA234,KMB!AE234,KMB!AI234)))</f>
        <v>0</v>
      </c>
      <c r="B234">
        <f>SUMPRODUCT((MONTH(CHOOSE({1,2,3,4},KMB!T234,KMB!X234,KMB!AB234,KMB!AF234))=2)*(CHOOSE({1,2,3,4},KMB!W234,KMB!AA234,KMB!AE234,KMB!AI234)))</f>
        <v>0</v>
      </c>
      <c r="C234">
        <f>SUMPRODUCT((MONTH(CHOOSE({1,2,3,4},KMB!T234,KMB!X234,KMB!AB234,KMB!AF234))=3)*(CHOOSE({1,2,3,4},KMB!W234,KMB!AA234,KMB!AE234,KMB!AI234)))</f>
        <v>0</v>
      </c>
      <c r="D234">
        <f>SUMPRODUCT((MONTH(CHOOSE({1,2,3,4},KMB!T234,KMB!X234,KMB!AB234,KMB!AF234))=4)*(CHOOSE({1,2,3,4},KMB!W234,KMB!AA234,KMB!AE234,KMB!AI234)))</f>
        <v>0</v>
      </c>
      <c r="E234">
        <f>SUMPRODUCT((MONTH(CHOOSE({1,2,3,4},KMB!T234,KMB!X234,KMB!AB234,KMB!AF234))=5)*(CHOOSE({1,2,3,4},KMB!W234,KMB!AA234,KMB!AE234,KMB!AI234)))</f>
        <v>0</v>
      </c>
      <c r="F234">
        <f>SUMPRODUCT((MONTH(CHOOSE({1,2,3,4},KMB!T234,KMB!X234,KMB!AB234,KMB!AF234))=6)*(CHOOSE({1,2,3,4},KMB!W234,KMB!AA234,KMB!AE234,KMB!AI234)))</f>
        <v>0</v>
      </c>
      <c r="G234">
        <f>SUMPRODUCT((MONTH(CHOOSE({1,2,3,4},KMB!T234,KMB!X234,KMB!AB234,KMB!AF234))=7)*(CHOOSE({1,2,3,4},KMB!W234,KMB!AA234,KMB!AE234,KMB!AI234)))</f>
        <v>0</v>
      </c>
      <c r="H234">
        <f>SUMPRODUCT((MONTH(CHOOSE({1,2,3,4},KMB!T234,KMB!X234,KMB!AB234,KMB!AF234))=8)*(CHOOSE({1,2,3,4},KMB!W234,KMB!AA234,KMB!AE234,KMB!AI234)))</f>
        <v>0</v>
      </c>
      <c r="I234">
        <f>SUMPRODUCT((MONTH(CHOOSE({1,2,3,4},KMB!T234,KMB!X234,KMB!AB234,KMB!AF234))=9)*(CHOOSE({1,2,3,4},KMB!W234,KMB!AA234,KMB!AE234,KMB!AI234)))</f>
        <v>0</v>
      </c>
      <c r="J234">
        <f>SUMPRODUCT((MONTH(CHOOSE({1,2,3,4},KMB!T234,KMB!X234,KMB!AB234,KMB!AF234))=10)*(CHOOSE({1,2,3,4},KMB!W234,KMB!AA234,KMB!AE234,KMB!AI234)))</f>
        <v>0</v>
      </c>
      <c r="K234">
        <f>SUMPRODUCT((MONTH(CHOOSE({1,2,3,4},KMB!T234,KMB!X234,KMB!AB234,KMB!AF234))=11)*(CHOOSE({1,2,3,4},KMB!W234,KMB!AA234,KMB!AE234,KMB!AI234)))</f>
        <v>0</v>
      </c>
      <c r="L234">
        <f>SUMPRODUCT((MONTH(CHOOSE({1,2,3,4},KMB!T234,KMB!X234,KMB!AB234,KMB!AF234))=12)*(CHOOSE({1,2,3,4},KMB!W234,KMB!AA234,KMB!AE234,KMB!AI234)))</f>
        <v>0</v>
      </c>
    </row>
    <row r="235" spans="1:12">
      <c r="A235">
        <f>SUMPRODUCT((MONTH(CHOOSE({1,2,3,4},KMB!T235,KMB!X235,KMB!AB235,KMB!AF235))=1)*(CHOOSE({1,2,3,4},KMB!W235,KMB!AA235,KMB!AE235,KMB!AI235)))</f>
        <v>0</v>
      </c>
      <c r="B235">
        <f>SUMPRODUCT((MONTH(CHOOSE({1,2,3,4},KMB!T235,KMB!X235,KMB!AB235,KMB!AF235))=2)*(CHOOSE({1,2,3,4},KMB!W235,KMB!AA235,KMB!AE235,KMB!AI235)))</f>
        <v>0</v>
      </c>
      <c r="C235">
        <f>SUMPRODUCT((MONTH(CHOOSE({1,2,3,4},KMB!T235,KMB!X235,KMB!AB235,KMB!AF235))=3)*(CHOOSE({1,2,3,4},KMB!W235,KMB!AA235,KMB!AE235,KMB!AI235)))</f>
        <v>0</v>
      </c>
      <c r="D235">
        <f>SUMPRODUCT((MONTH(CHOOSE({1,2,3,4},KMB!T235,KMB!X235,KMB!AB235,KMB!AF235))=4)*(CHOOSE({1,2,3,4},KMB!W235,KMB!AA235,KMB!AE235,KMB!AI235)))</f>
        <v>0</v>
      </c>
      <c r="E235">
        <f>SUMPRODUCT((MONTH(CHOOSE({1,2,3,4},KMB!T235,KMB!X235,KMB!AB235,KMB!AF235))=5)*(CHOOSE({1,2,3,4},KMB!W235,KMB!AA235,KMB!AE235,KMB!AI235)))</f>
        <v>0</v>
      </c>
      <c r="F235">
        <f>SUMPRODUCT((MONTH(CHOOSE({1,2,3,4},KMB!T235,KMB!X235,KMB!AB235,KMB!AF235))=6)*(CHOOSE({1,2,3,4},KMB!W235,KMB!AA235,KMB!AE235,KMB!AI235)))</f>
        <v>0</v>
      </c>
      <c r="G235">
        <f>SUMPRODUCT((MONTH(CHOOSE({1,2,3,4},KMB!T235,KMB!X235,KMB!AB235,KMB!AF235))=7)*(CHOOSE({1,2,3,4},KMB!W235,KMB!AA235,KMB!AE235,KMB!AI235)))</f>
        <v>0</v>
      </c>
      <c r="H235">
        <f>SUMPRODUCT((MONTH(CHOOSE({1,2,3,4},KMB!T235,KMB!X235,KMB!AB235,KMB!AF235))=8)*(CHOOSE({1,2,3,4},KMB!W235,KMB!AA235,KMB!AE235,KMB!AI235)))</f>
        <v>0</v>
      </c>
      <c r="I235">
        <f>SUMPRODUCT((MONTH(CHOOSE({1,2,3,4},KMB!T235,KMB!X235,KMB!AB235,KMB!AF235))=9)*(CHOOSE({1,2,3,4},KMB!W235,KMB!AA235,KMB!AE235,KMB!AI235)))</f>
        <v>0</v>
      </c>
      <c r="J235">
        <f>SUMPRODUCT((MONTH(CHOOSE({1,2,3,4},KMB!T235,KMB!X235,KMB!AB235,KMB!AF235))=10)*(CHOOSE({1,2,3,4},KMB!W235,KMB!AA235,KMB!AE235,KMB!AI235)))</f>
        <v>0</v>
      </c>
      <c r="K235">
        <f>SUMPRODUCT((MONTH(CHOOSE({1,2,3,4},KMB!T235,KMB!X235,KMB!AB235,KMB!AF235))=11)*(CHOOSE({1,2,3,4},KMB!W235,KMB!AA235,KMB!AE235,KMB!AI235)))</f>
        <v>0</v>
      </c>
      <c r="L235">
        <f>SUMPRODUCT((MONTH(CHOOSE({1,2,3,4},KMB!T235,KMB!X235,KMB!AB235,KMB!AF235))=12)*(CHOOSE({1,2,3,4},KMB!W235,KMB!AA235,KMB!AE235,KMB!AI235)))</f>
        <v>0</v>
      </c>
    </row>
    <row r="236" spans="1:12">
      <c r="A236">
        <f>SUMPRODUCT((MONTH(CHOOSE({1,2,3,4},KMB!T236,KMB!X236,KMB!AB236,KMB!AF236))=1)*(CHOOSE({1,2,3,4},KMB!W236,KMB!AA236,KMB!AE236,KMB!AI236)))</f>
        <v>0</v>
      </c>
      <c r="B236">
        <f>SUMPRODUCT((MONTH(CHOOSE({1,2,3,4},KMB!T236,KMB!X236,KMB!AB236,KMB!AF236))=2)*(CHOOSE({1,2,3,4},KMB!W236,KMB!AA236,KMB!AE236,KMB!AI236)))</f>
        <v>0</v>
      </c>
      <c r="C236">
        <f>SUMPRODUCT((MONTH(CHOOSE({1,2,3,4},KMB!T236,KMB!X236,KMB!AB236,KMB!AF236))=3)*(CHOOSE({1,2,3,4},KMB!W236,KMB!AA236,KMB!AE236,KMB!AI236)))</f>
        <v>0</v>
      </c>
      <c r="D236">
        <f>SUMPRODUCT((MONTH(CHOOSE({1,2,3,4},KMB!T236,KMB!X236,KMB!AB236,KMB!AF236))=4)*(CHOOSE({1,2,3,4},KMB!W236,KMB!AA236,KMB!AE236,KMB!AI236)))</f>
        <v>0</v>
      </c>
      <c r="E236">
        <f>SUMPRODUCT((MONTH(CHOOSE({1,2,3,4},KMB!T236,KMB!X236,KMB!AB236,KMB!AF236))=5)*(CHOOSE({1,2,3,4},KMB!W236,KMB!AA236,KMB!AE236,KMB!AI236)))</f>
        <v>0</v>
      </c>
      <c r="F236">
        <f>SUMPRODUCT((MONTH(CHOOSE({1,2,3,4},KMB!T236,KMB!X236,KMB!AB236,KMB!AF236))=6)*(CHOOSE({1,2,3,4},KMB!W236,KMB!AA236,KMB!AE236,KMB!AI236)))</f>
        <v>0</v>
      </c>
      <c r="G236">
        <f>SUMPRODUCT((MONTH(CHOOSE({1,2,3,4},KMB!T236,KMB!X236,KMB!AB236,KMB!AF236))=7)*(CHOOSE({1,2,3,4},KMB!W236,KMB!AA236,KMB!AE236,KMB!AI236)))</f>
        <v>0</v>
      </c>
      <c r="H236">
        <f>SUMPRODUCT((MONTH(CHOOSE({1,2,3,4},KMB!T236,KMB!X236,KMB!AB236,KMB!AF236))=8)*(CHOOSE({1,2,3,4},KMB!W236,KMB!AA236,KMB!AE236,KMB!AI236)))</f>
        <v>0</v>
      </c>
      <c r="I236">
        <f>SUMPRODUCT((MONTH(CHOOSE({1,2,3,4},KMB!T236,KMB!X236,KMB!AB236,KMB!AF236))=9)*(CHOOSE({1,2,3,4},KMB!W236,KMB!AA236,KMB!AE236,KMB!AI236)))</f>
        <v>0</v>
      </c>
      <c r="J236">
        <f>SUMPRODUCT((MONTH(CHOOSE({1,2,3,4},KMB!T236,KMB!X236,KMB!AB236,KMB!AF236))=10)*(CHOOSE({1,2,3,4},KMB!W236,KMB!AA236,KMB!AE236,KMB!AI236)))</f>
        <v>0</v>
      </c>
      <c r="K236">
        <f>SUMPRODUCT((MONTH(CHOOSE({1,2,3,4},KMB!T236,KMB!X236,KMB!AB236,KMB!AF236))=11)*(CHOOSE({1,2,3,4},KMB!W236,KMB!AA236,KMB!AE236,KMB!AI236)))</f>
        <v>0</v>
      </c>
      <c r="L236">
        <f>SUMPRODUCT((MONTH(CHOOSE({1,2,3,4},KMB!T236,KMB!X236,KMB!AB236,KMB!AF236))=12)*(CHOOSE({1,2,3,4},KMB!W236,KMB!AA236,KMB!AE236,KMB!AI236)))</f>
        <v>0</v>
      </c>
    </row>
    <row r="237" spans="1:12">
      <c r="A237">
        <f>SUMPRODUCT((MONTH(CHOOSE({1,2,3,4},KMB!T237,KMB!X237,KMB!AB237,KMB!AF237))=1)*(CHOOSE({1,2,3,4},KMB!W237,KMB!AA237,KMB!AE237,KMB!AI237)))</f>
        <v>0</v>
      </c>
      <c r="B237">
        <f>SUMPRODUCT((MONTH(CHOOSE({1,2,3,4},KMB!T237,KMB!X237,KMB!AB237,KMB!AF237))=2)*(CHOOSE({1,2,3,4},KMB!W237,KMB!AA237,KMB!AE237,KMB!AI237)))</f>
        <v>0</v>
      </c>
      <c r="C237">
        <f>SUMPRODUCT((MONTH(CHOOSE({1,2,3,4},KMB!T237,KMB!X237,KMB!AB237,KMB!AF237))=3)*(CHOOSE({1,2,3,4},KMB!W237,KMB!AA237,KMB!AE237,KMB!AI237)))</f>
        <v>0</v>
      </c>
      <c r="D237">
        <f>SUMPRODUCT((MONTH(CHOOSE({1,2,3,4},KMB!T237,KMB!X237,KMB!AB237,KMB!AF237))=4)*(CHOOSE({1,2,3,4},KMB!W237,KMB!AA237,KMB!AE237,KMB!AI237)))</f>
        <v>0</v>
      </c>
      <c r="E237">
        <f>SUMPRODUCT((MONTH(CHOOSE({1,2,3,4},KMB!T237,KMB!X237,KMB!AB237,KMB!AF237))=5)*(CHOOSE({1,2,3,4},KMB!W237,KMB!AA237,KMB!AE237,KMB!AI237)))</f>
        <v>0</v>
      </c>
      <c r="F237">
        <f>SUMPRODUCT((MONTH(CHOOSE({1,2,3,4},KMB!T237,KMB!X237,KMB!AB237,KMB!AF237))=6)*(CHOOSE({1,2,3,4},KMB!W237,KMB!AA237,KMB!AE237,KMB!AI237)))</f>
        <v>0</v>
      </c>
      <c r="G237">
        <f>SUMPRODUCT((MONTH(CHOOSE({1,2,3,4},KMB!T237,KMB!X237,KMB!AB237,KMB!AF237))=7)*(CHOOSE({1,2,3,4},KMB!W237,KMB!AA237,KMB!AE237,KMB!AI237)))</f>
        <v>0</v>
      </c>
      <c r="H237">
        <f>SUMPRODUCT((MONTH(CHOOSE({1,2,3,4},KMB!T237,KMB!X237,KMB!AB237,KMB!AF237))=8)*(CHOOSE({1,2,3,4},KMB!W237,KMB!AA237,KMB!AE237,KMB!AI237)))</f>
        <v>0</v>
      </c>
      <c r="I237">
        <f>SUMPRODUCT((MONTH(CHOOSE({1,2,3,4},KMB!T237,KMB!X237,KMB!AB237,KMB!AF237))=9)*(CHOOSE({1,2,3,4},KMB!W237,KMB!AA237,KMB!AE237,KMB!AI237)))</f>
        <v>0</v>
      </c>
      <c r="J237">
        <f>SUMPRODUCT((MONTH(CHOOSE({1,2,3,4},KMB!T237,KMB!X237,KMB!AB237,KMB!AF237))=10)*(CHOOSE({1,2,3,4},KMB!W237,KMB!AA237,KMB!AE237,KMB!AI237)))</f>
        <v>0</v>
      </c>
      <c r="K237">
        <f>SUMPRODUCT((MONTH(CHOOSE({1,2,3,4},KMB!T237,KMB!X237,KMB!AB237,KMB!AF237))=11)*(CHOOSE({1,2,3,4},KMB!W237,KMB!AA237,KMB!AE237,KMB!AI237)))</f>
        <v>0</v>
      </c>
      <c r="L237">
        <f>SUMPRODUCT((MONTH(CHOOSE({1,2,3,4},KMB!T237,KMB!X237,KMB!AB237,KMB!AF237))=12)*(CHOOSE({1,2,3,4},KMB!W237,KMB!AA237,KMB!AE237,KMB!AI237)))</f>
        <v>0</v>
      </c>
    </row>
    <row r="238" spans="1:12">
      <c r="A238">
        <f>SUMPRODUCT((MONTH(CHOOSE({1,2,3,4},KMB!T238,KMB!X238,KMB!AB238,KMB!AF238))=1)*(CHOOSE({1,2,3,4},KMB!W238,KMB!AA238,KMB!AE238,KMB!AI238)))</f>
        <v>0</v>
      </c>
      <c r="B238">
        <f>SUMPRODUCT((MONTH(CHOOSE({1,2,3,4},KMB!T238,KMB!X238,KMB!AB238,KMB!AF238))=2)*(CHOOSE({1,2,3,4},KMB!W238,KMB!AA238,KMB!AE238,KMB!AI238)))</f>
        <v>0</v>
      </c>
      <c r="C238">
        <f>SUMPRODUCT((MONTH(CHOOSE({1,2,3,4},KMB!T238,KMB!X238,KMB!AB238,KMB!AF238))=3)*(CHOOSE({1,2,3,4},KMB!W238,KMB!AA238,KMB!AE238,KMB!AI238)))</f>
        <v>0</v>
      </c>
      <c r="D238">
        <f>SUMPRODUCT((MONTH(CHOOSE({1,2,3,4},KMB!T238,KMB!X238,KMB!AB238,KMB!AF238))=4)*(CHOOSE({1,2,3,4},KMB!W238,KMB!AA238,KMB!AE238,KMB!AI238)))</f>
        <v>0</v>
      </c>
      <c r="E238">
        <f>SUMPRODUCT((MONTH(CHOOSE({1,2,3,4},KMB!T238,KMB!X238,KMB!AB238,KMB!AF238))=5)*(CHOOSE({1,2,3,4},KMB!W238,KMB!AA238,KMB!AE238,KMB!AI238)))</f>
        <v>0</v>
      </c>
      <c r="F238">
        <f>SUMPRODUCT((MONTH(CHOOSE({1,2,3,4},KMB!T238,KMB!X238,KMB!AB238,KMB!AF238))=6)*(CHOOSE({1,2,3,4},KMB!W238,KMB!AA238,KMB!AE238,KMB!AI238)))</f>
        <v>0</v>
      </c>
      <c r="G238">
        <f>SUMPRODUCT((MONTH(CHOOSE({1,2,3,4},KMB!T238,KMB!X238,KMB!AB238,KMB!AF238))=7)*(CHOOSE({1,2,3,4},KMB!W238,KMB!AA238,KMB!AE238,KMB!AI238)))</f>
        <v>0</v>
      </c>
      <c r="H238">
        <f>SUMPRODUCT((MONTH(CHOOSE({1,2,3,4},KMB!T238,KMB!X238,KMB!AB238,KMB!AF238))=8)*(CHOOSE({1,2,3,4},KMB!W238,KMB!AA238,KMB!AE238,KMB!AI238)))</f>
        <v>0</v>
      </c>
      <c r="I238">
        <f>SUMPRODUCT((MONTH(CHOOSE({1,2,3,4},KMB!T238,KMB!X238,KMB!AB238,KMB!AF238))=9)*(CHOOSE({1,2,3,4},KMB!W238,KMB!AA238,KMB!AE238,KMB!AI238)))</f>
        <v>0</v>
      </c>
      <c r="J238">
        <f>SUMPRODUCT((MONTH(CHOOSE({1,2,3,4},KMB!T238,KMB!X238,KMB!AB238,KMB!AF238))=10)*(CHOOSE({1,2,3,4},KMB!W238,KMB!AA238,KMB!AE238,KMB!AI238)))</f>
        <v>0</v>
      </c>
      <c r="K238">
        <f>SUMPRODUCT((MONTH(CHOOSE({1,2,3,4},KMB!T238,KMB!X238,KMB!AB238,KMB!AF238))=11)*(CHOOSE({1,2,3,4},KMB!W238,KMB!AA238,KMB!AE238,KMB!AI238)))</f>
        <v>0</v>
      </c>
      <c r="L238">
        <f>SUMPRODUCT((MONTH(CHOOSE({1,2,3,4},KMB!T238,KMB!X238,KMB!AB238,KMB!AF238))=12)*(CHOOSE({1,2,3,4},KMB!W238,KMB!AA238,KMB!AE238,KMB!AI238)))</f>
        <v>0</v>
      </c>
    </row>
    <row r="239" spans="1:12">
      <c r="A239">
        <f>SUMPRODUCT((MONTH(CHOOSE({1,2,3,4},KMB!T239,KMB!X239,KMB!AB239,KMB!AF239))=1)*(CHOOSE({1,2,3,4},KMB!W239,KMB!AA239,KMB!AE239,KMB!AI239)))</f>
        <v>0</v>
      </c>
      <c r="B239">
        <f>SUMPRODUCT((MONTH(CHOOSE({1,2,3,4},KMB!T239,KMB!X239,KMB!AB239,KMB!AF239))=2)*(CHOOSE({1,2,3,4},KMB!W239,KMB!AA239,KMB!AE239,KMB!AI239)))</f>
        <v>0</v>
      </c>
      <c r="C239">
        <f>SUMPRODUCT((MONTH(CHOOSE({1,2,3,4},KMB!T239,KMB!X239,KMB!AB239,KMB!AF239))=3)*(CHOOSE({1,2,3,4},KMB!W239,KMB!AA239,KMB!AE239,KMB!AI239)))</f>
        <v>0</v>
      </c>
      <c r="D239">
        <f>SUMPRODUCT((MONTH(CHOOSE({1,2,3,4},KMB!T239,KMB!X239,KMB!AB239,KMB!AF239))=4)*(CHOOSE({1,2,3,4},KMB!W239,KMB!AA239,KMB!AE239,KMB!AI239)))</f>
        <v>0</v>
      </c>
      <c r="E239">
        <f>SUMPRODUCT((MONTH(CHOOSE({1,2,3,4},KMB!T239,KMB!X239,KMB!AB239,KMB!AF239))=5)*(CHOOSE({1,2,3,4},KMB!W239,KMB!AA239,KMB!AE239,KMB!AI239)))</f>
        <v>0</v>
      </c>
      <c r="F239">
        <f>SUMPRODUCT((MONTH(CHOOSE({1,2,3,4},KMB!T239,KMB!X239,KMB!AB239,KMB!AF239))=6)*(CHOOSE({1,2,3,4},KMB!W239,KMB!AA239,KMB!AE239,KMB!AI239)))</f>
        <v>0</v>
      </c>
      <c r="G239">
        <f>SUMPRODUCT((MONTH(CHOOSE({1,2,3,4},KMB!T239,KMB!X239,KMB!AB239,KMB!AF239))=7)*(CHOOSE({1,2,3,4},KMB!W239,KMB!AA239,KMB!AE239,KMB!AI239)))</f>
        <v>0</v>
      </c>
      <c r="H239">
        <f>SUMPRODUCT((MONTH(CHOOSE({1,2,3,4},KMB!T239,KMB!X239,KMB!AB239,KMB!AF239))=8)*(CHOOSE({1,2,3,4},KMB!W239,KMB!AA239,KMB!AE239,KMB!AI239)))</f>
        <v>0</v>
      </c>
      <c r="I239">
        <f>SUMPRODUCT((MONTH(CHOOSE({1,2,3,4},KMB!T239,KMB!X239,KMB!AB239,KMB!AF239))=9)*(CHOOSE({1,2,3,4},KMB!W239,KMB!AA239,KMB!AE239,KMB!AI239)))</f>
        <v>0</v>
      </c>
      <c r="J239">
        <f>SUMPRODUCT((MONTH(CHOOSE({1,2,3,4},KMB!T239,KMB!X239,KMB!AB239,KMB!AF239))=10)*(CHOOSE({1,2,3,4},KMB!W239,KMB!AA239,KMB!AE239,KMB!AI239)))</f>
        <v>0</v>
      </c>
      <c r="K239">
        <f>SUMPRODUCT((MONTH(CHOOSE({1,2,3,4},KMB!T239,KMB!X239,KMB!AB239,KMB!AF239))=11)*(CHOOSE({1,2,3,4},KMB!W239,KMB!AA239,KMB!AE239,KMB!AI239)))</f>
        <v>0</v>
      </c>
      <c r="L239">
        <f>SUMPRODUCT((MONTH(CHOOSE({1,2,3,4},KMB!T239,KMB!X239,KMB!AB239,KMB!AF239))=12)*(CHOOSE({1,2,3,4},KMB!W239,KMB!AA239,KMB!AE239,KMB!AI239)))</f>
        <v>0</v>
      </c>
    </row>
    <row r="240" spans="1:12">
      <c r="A240">
        <f>SUMPRODUCT((MONTH(CHOOSE({1,2,3,4},KMB!T240,KMB!X240,KMB!AB240,KMB!AF240))=1)*(CHOOSE({1,2,3,4},KMB!W240,KMB!AA240,KMB!AE240,KMB!AI240)))</f>
        <v>0</v>
      </c>
      <c r="B240">
        <f>SUMPRODUCT((MONTH(CHOOSE({1,2,3,4},KMB!T240,KMB!X240,KMB!AB240,KMB!AF240))=2)*(CHOOSE({1,2,3,4},KMB!W240,KMB!AA240,KMB!AE240,KMB!AI240)))</f>
        <v>0</v>
      </c>
      <c r="C240">
        <f>SUMPRODUCT((MONTH(CHOOSE({1,2,3,4},KMB!T240,KMB!X240,KMB!AB240,KMB!AF240))=3)*(CHOOSE({1,2,3,4},KMB!W240,KMB!AA240,KMB!AE240,KMB!AI240)))</f>
        <v>0</v>
      </c>
      <c r="D240">
        <f>SUMPRODUCT((MONTH(CHOOSE({1,2,3,4},KMB!T240,KMB!X240,KMB!AB240,KMB!AF240))=4)*(CHOOSE({1,2,3,4},KMB!W240,KMB!AA240,KMB!AE240,KMB!AI240)))</f>
        <v>0</v>
      </c>
      <c r="E240">
        <f>SUMPRODUCT((MONTH(CHOOSE({1,2,3,4},KMB!T240,KMB!X240,KMB!AB240,KMB!AF240))=5)*(CHOOSE({1,2,3,4},KMB!W240,KMB!AA240,KMB!AE240,KMB!AI240)))</f>
        <v>0</v>
      </c>
      <c r="F240">
        <f>SUMPRODUCT((MONTH(CHOOSE({1,2,3,4},KMB!T240,KMB!X240,KMB!AB240,KMB!AF240))=6)*(CHOOSE({1,2,3,4},KMB!W240,KMB!AA240,KMB!AE240,KMB!AI240)))</f>
        <v>0</v>
      </c>
      <c r="G240">
        <f>SUMPRODUCT((MONTH(CHOOSE({1,2,3,4},KMB!T240,KMB!X240,KMB!AB240,KMB!AF240))=7)*(CHOOSE({1,2,3,4},KMB!W240,KMB!AA240,KMB!AE240,KMB!AI240)))</f>
        <v>0</v>
      </c>
      <c r="H240">
        <f>SUMPRODUCT((MONTH(CHOOSE({1,2,3,4},KMB!T240,KMB!X240,KMB!AB240,KMB!AF240))=8)*(CHOOSE({1,2,3,4},KMB!W240,KMB!AA240,KMB!AE240,KMB!AI240)))</f>
        <v>0</v>
      </c>
      <c r="I240">
        <f>SUMPRODUCT((MONTH(CHOOSE({1,2,3,4},KMB!T240,KMB!X240,KMB!AB240,KMB!AF240))=9)*(CHOOSE({1,2,3,4},KMB!W240,KMB!AA240,KMB!AE240,KMB!AI240)))</f>
        <v>0</v>
      </c>
      <c r="J240">
        <f>SUMPRODUCT((MONTH(CHOOSE({1,2,3,4},KMB!T240,KMB!X240,KMB!AB240,KMB!AF240))=10)*(CHOOSE({1,2,3,4},KMB!W240,KMB!AA240,KMB!AE240,KMB!AI240)))</f>
        <v>0</v>
      </c>
      <c r="K240">
        <f>SUMPRODUCT((MONTH(CHOOSE({1,2,3,4},KMB!T240,KMB!X240,KMB!AB240,KMB!AF240))=11)*(CHOOSE({1,2,3,4},KMB!W240,KMB!AA240,KMB!AE240,KMB!AI240)))</f>
        <v>0</v>
      </c>
      <c r="L240">
        <f>SUMPRODUCT((MONTH(CHOOSE({1,2,3,4},KMB!T240,KMB!X240,KMB!AB240,KMB!AF240))=12)*(CHOOSE({1,2,3,4},KMB!W240,KMB!AA240,KMB!AE240,KMB!AI240)))</f>
        <v>0</v>
      </c>
    </row>
    <row r="241" spans="1:12">
      <c r="A241">
        <f>SUMPRODUCT((MONTH(CHOOSE({1,2,3,4},KMB!T241,KMB!X241,KMB!AB241,KMB!AF241))=1)*(CHOOSE({1,2,3,4},KMB!W241,KMB!AA241,KMB!AE241,KMB!AI241)))</f>
        <v>0</v>
      </c>
      <c r="B241">
        <f>SUMPRODUCT((MONTH(CHOOSE({1,2,3,4},KMB!T241,KMB!X241,KMB!AB241,KMB!AF241))=2)*(CHOOSE({1,2,3,4},KMB!W241,KMB!AA241,KMB!AE241,KMB!AI241)))</f>
        <v>0</v>
      </c>
      <c r="C241">
        <f>SUMPRODUCT((MONTH(CHOOSE({1,2,3,4},KMB!T241,KMB!X241,KMB!AB241,KMB!AF241))=3)*(CHOOSE({1,2,3,4},KMB!W241,KMB!AA241,KMB!AE241,KMB!AI241)))</f>
        <v>0</v>
      </c>
      <c r="D241">
        <f>SUMPRODUCT((MONTH(CHOOSE({1,2,3,4},KMB!T241,KMB!X241,KMB!AB241,KMB!AF241))=4)*(CHOOSE({1,2,3,4},KMB!W241,KMB!AA241,KMB!AE241,KMB!AI241)))</f>
        <v>0</v>
      </c>
      <c r="E241">
        <f>SUMPRODUCT((MONTH(CHOOSE({1,2,3,4},KMB!T241,KMB!X241,KMB!AB241,KMB!AF241))=5)*(CHOOSE({1,2,3,4},KMB!W241,KMB!AA241,KMB!AE241,KMB!AI241)))</f>
        <v>0</v>
      </c>
      <c r="F241">
        <f>SUMPRODUCT((MONTH(CHOOSE({1,2,3,4},KMB!T241,KMB!X241,KMB!AB241,KMB!AF241))=6)*(CHOOSE({1,2,3,4},KMB!W241,KMB!AA241,KMB!AE241,KMB!AI241)))</f>
        <v>0</v>
      </c>
      <c r="G241">
        <f>SUMPRODUCT((MONTH(CHOOSE({1,2,3,4},KMB!T241,KMB!X241,KMB!AB241,KMB!AF241))=7)*(CHOOSE({1,2,3,4},KMB!W241,KMB!AA241,KMB!AE241,KMB!AI241)))</f>
        <v>0</v>
      </c>
      <c r="H241">
        <f>SUMPRODUCT((MONTH(CHOOSE({1,2,3,4},KMB!T241,KMB!X241,KMB!AB241,KMB!AF241))=8)*(CHOOSE({1,2,3,4},KMB!W241,KMB!AA241,KMB!AE241,KMB!AI241)))</f>
        <v>0</v>
      </c>
      <c r="I241">
        <f>SUMPRODUCT((MONTH(CHOOSE({1,2,3,4},KMB!T241,KMB!X241,KMB!AB241,KMB!AF241))=9)*(CHOOSE({1,2,3,4},KMB!W241,KMB!AA241,KMB!AE241,KMB!AI241)))</f>
        <v>0</v>
      </c>
      <c r="J241">
        <f>SUMPRODUCT((MONTH(CHOOSE({1,2,3,4},KMB!T241,KMB!X241,KMB!AB241,KMB!AF241))=10)*(CHOOSE({1,2,3,4},KMB!W241,KMB!AA241,KMB!AE241,KMB!AI241)))</f>
        <v>0</v>
      </c>
      <c r="K241">
        <f>SUMPRODUCT((MONTH(CHOOSE({1,2,3,4},KMB!T241,KMB!X241,KMB!AB241,KMB!AF241))=11)*(CHOOSE({1,2,3,4},KMB!W241,KMB!AA241,KMB!AE241,KMB!AI241)))</f>
        <v>0</v>
      </c>
      <c r="L241">
        <f>SUMPRODUCT((MONTH(CHOOSE({1,2,3,4},KMB!T241,KMB!X241,KMB!AB241,KMB!AF241))=12)*(CHOOSE({1,2,3,4},KMB!W241,KMB!AA241,KMB!AE241,KMB!AI241)))</f>
        <v>0</v>
      </c>
    </row>
    <row r="242" spans="1:12">
      <c r="A242">
        <f>SUMPRODUCT((MONTH(CHOOSE({1,2,3,4},KMB!T242,KMB!X242,KMB!AB242,KMB!AF242))=1)*(CHOOSE({1,2,3,4},KMB!W242,KMB!AA242,KMB!AE242,KMB!AI242)))</f>
        <v>0</v>
      </c>
      <c r="B242">
        <f>SUMPRODUCT((MONTH(CHOOSE({1,2,3,4},KMB!T242,KMB!X242,KMB!AB242,KMB!AF242))=2)*(CHOOSE({1,2,3,4},KMB!W242,KMB!AA242,KMB!AE242,KMB!AI242)))</f>
        <v>0</v>
      </c>
      <c r="C242">
        <f>SUMPRODUCT((MONTH(CHOOSE({1,2,3,4},KMB!T242,KMB!X242,KMB!AB242,KMB!AF242))=3)*(CHOOSE({1,2,3,4},KMB!W242,KMB!AA242,KMB!AE242,KMB!AI242)))</f>
        <v>0</v>
      </c>
      <c r="D242">
        <f>SUMPRODUCT((MONTH(CHOOSE({1,2,3,4},KMB!T242,KMB!X242,KMB!AB242,KMB!AF242))=4)*(CHOOSE({1,2,3,4},KMB!W242,KMB!AA242,KMB!AE242,KMB!AI242)))</f>
        <v>0</v>
      </c>
      <c r="E242">
        <f>SUMPRODUCT((MONTH(CHOOSE({1,2,3,4},KMB!T242,KMB!X242,KMB!AB242,KMB!AF242))=5)*(CHOOSE({1,2,3,4},KMB!W242,KMB!AA242,KMB!AE242,KMB!AI242)))</f>
        <v>0</v>
      </c>
      <c r="F242">
        <f>SUMPRODUCT((MONTH(CHOOSE({1,2,3,4},KMB!T242,KMB!X242,KMB!AB242,KMB!AF242))=6)*(CHOOSE({1,2,3,4},KMB!W242,KMB!AA242,KMB!AE242,KMB!AI242)))</f>
        <v>0</v>
      </c>
      <c r="G242">
        <f>SUMPRODUCT((MONTH(CHOOSE({1,2,3,4},KMB!T242,KMB!X242,KMB!AB242,KMB!AF242))=7)*(CHOOSE({1,2,3,4},KMB!W242,KMB!AA242,KMB!AE242,KMB!AI242)))</f>
        <v>0</v>
      </c>
      <c r="H242">
        <f>SUMPRODUCT((MONTH(CHOOSE({1,2,3,4},KMB!T242,KMB!X242,KMB!AB242,KMB!AF242))=8)*(CHOOSE({1,2,3,4},KMB!W242,KMB!AA242,KMB!AE242,KMB!AI242)))</f>
        <v>0</v>
      </c>
      <c r="I242">
        <f>SUMPRODUCT((MONTH(CHOOSE({1,2,3,4},KMB!T242,KMB!X242,KMB!AB242,KMB!AF242))=9)*(CHOOSE({1,2,3,4},KMB!W242,KMB!AA242,KMB!AE242,KMB!AI242)))</f>
        <v>0</v>
      </c>
      <c r="J242">
        <f>SUMPRODUCT((MONTH(CHOOSE({1,2,3,4},KMB!T242,KMB!X242,KMB!AB242,KMB!AF242))=10)*(CHOOSE({1,2,3,4},KMB!W242,KMB!AA242,KMB!AE242,KMB!AI242)))</f>
        <v>0</v>
      </c>
      <c r="K242">
        <f>SUMPRODUCT((MONTH(CHOOSE({1,2,3,4},KMB!T242,KMB!X242,KMB!AB242,KMB!AF242))=11)*(CHOOSE({1,2,3,4},KMB!W242,KMB!AA242,KMB!AE242,KMB!AI242)))</f>
        <v>0</v>
      </c>
      <c r="L242">
        <f>SUMPRODUCT((MONTH(CHOOSE({1,2,3,4},KMB!T242,KMB!X242,KMB!AB242,KMB!AF242))=12)*(CHOOSE({1,2,3,4},KMB!W242,KMB!AA242,KMB!AE242,KMB!AI242)))</f>
        <v>0</v>
      </c>
    </row>
    <row r="243" spans="1:12">
      <c r="A243">
        <f>SUMPRODUCT((MONTH(CHOOSE({1,2,3,4},KMB!T243,KMB!X243,KMB!AB243,KMB!AF243))=1)*(CHOOSE({1,2,3,4},KMB!W243,KMB!AA243,KMB!AE243,KMB!AI243)))</f>
        <v>0</v>
      </c>
      <c r="B243">
        <f>SUMPRODUCT((MONTH(CHOOSE({1,2,3,4},KMB!T243,KMB!X243,KMB!AB243,KMB!AF243))=2)*(CHOOSE({1,2,3,4},KMB!W243,KMB!AA243,KMB!AE243,KMB!AI243)))</f>
        <v>0</v>
      </c>
      <c r="C243">
        <f>SUMPRODUCT((MONTH(CHOOSE({1,2,3,4},KMB!T243,KMB!X243,KMB!AB243,KMB!AF243))=3)*(CHOOSE({1,2,3,4},KMB!W243,KMB!AA243,KMB!AE243,KMB!AI243)))</f>
        <v>0</v>
      </c>
      <c r="D243">
        <f>SUMPRODUCT((MONTH(CHOOSE({1,2,3,4},KMB!T243,KMB!X243,KMB!AB243,KMB!AF243))=4)*(CHOOSE({1,2,3,4},KMB!W243,KMB!AA243,KMB!AE243,KMB!AI243)))</f>
        <v>0</v>
      </c>
      <c r="E243">
        <f>SUMPRODUCT((MONTH(CHOOSE({1,2,3,4},KMB!T243,KMB!X243,KMB!AB243,KMB!AF243))=5)*(CHOOSE({1,2,3,4},KMB!W243,KMB!AA243,KMB!AE243,KMB!AI243)))</f>
        <v>0</v>
      </c>
      <c r="F243">
        <f>SUMPRODUCT((MONTH(CHOOSE({1,2,3,4},KMB!T243,KMB!X243,KMB!AB243,KMB!AF243))=6)*(CHOOSE({1,2,3,4},KMB!W243,KMB!AA243,KMB!AE243,KMB!AI243)))</f>
        <v>0</v>
      </c>
      <c r="G243">
        <f>SUMPRODUCT((MONTH(CHOOSE({1,2,3,4},KMB!T243,KMB!X243,KMB!AB243,KMB!AF243))=7)*(CHOOSE({1,2,3,4},KMB!W243,KMB!AA243,KMB!AE243,KMB!AI243)))</f>
        <v>0</v>
      </c>
      <c r="H243">
        <f>SUMPRODUCT((MONTH(CHOOSE({1,2,3,4},KMB!T243,KMB!X243,KMB!AB243,KMB!AF243))=8)*(CHOOSE({1,2,3,4},KMB!W243,KMB!AA243,KMB!AE243,KMB!AI243)))</f>
        <v>0</v>
      </c>
      <c r="I243">
        <f>SUMPRODUCT((MONTH(CHOOSE({1,2,3,4},KMB!T243,KMB!X243,KMB!AB243,KMB!AF243))=9)*(CHOOSE({1,2,3,4},KMB!W243,KMB!AA243,KMB!AE243,KMB!AI243)))</f>
        <v>0</v>
      </c>
      <c r="J243">
        <f>SUMPRODUCT((MONTH(CHOOSE({1,2,3,4},KMB!T243,KMB!X243,KMB!AB243,KMB!AF243))=10)*(CHOOSE({1,2,3,4},KMB!W243,KMB!AA243,KMB!AE243,KMB!AI243)))</f>
        <v>0</v>
      </c>
      <c r="K243">
        <f>SUMPRODUCT((MONTH(CHOOSE({1,2,3,4},KMB!T243,KMB!X243,KMB!AB243,KMB!AF243))=11)*(CHOOSE({1,2,3,4},KMB!W243,KMB!AA243,KMB!AE243,KMB!AI243)))</f>
        <v>0</v>
      </c>
      <c r="L243">
        <f>SUMPRODUCT((MONTH(CHOOSE({1,2,3,4},KMB!T243,KMB!X243,KMB!AB243,KMB!AF243))=12)*(CHOOSE({1,2,3,4},KMB!W243,KMB!AA243,KMB!AE243,KMB!AI243)))</f>
        <v>0</v>
      </c>
    </row>
    <row r="244" spans="1:12">
      <c r="A244">
        <f>SUMPRODUCT((MONTH(CHOOSE({1,2,3,4},KMB!T244,KMB!X244,KMB!AB244,KMB!AF244))=1)*(CHOOSE({1,2,3,4},KMB!W244,KMB!AA244,KMB!AE244,KMB!AI244)))</f>
        <v>0</v>
      </c>
      <c r="B244">
        <f>SUMPRODUCT((MONTH(CHOOSE({1,2,3,4},KMB!T244,KMB!X244,KMB!AB244,KMB!AF244))=2)*(CHOOSE({1,2,3,4},KMB!W244,KMB!AA244,KMB!AE244,KMB!AI244)))</f>
        <v>0</v>
      </c>
      <c r="C244">
        <f>SUMPRODUCT((MONTH(CHOOSE({1,2,3,4},KMB!T244,KMB!X244,KMB!AB244,KMB!AF244))=3)*(CHOOSE({1,2,3,4},KMB!W244,KMB!AA244,KMB!AE244,KMB!AI244)))</f>
        <v>0</v>
      </c>
      <c r="D244">
        <f>SUMPRODUCT((MONTH(CHOOSE({1,2,3,4},KMB!T244,KMB!X244,KMB!AB244,KMB!AF244))=4)*(CHOOSE({1,2,3,4},KMB!W244,KMB!AA244,KMB!AE244,KMB!AI244)))</f>
        <v>0</v>
      </c>
      <c r="E244">
        <f>SUMPRODUCT((MONTH(CHOOSE({1,2,3,4},KMB!T244,KMB!X244,KMB!AB244,KMB!AF244))=5)*(CHOOSE({1,2,3,4},KMB!W244,KMB!AA244,KMB!AE244,KMB!AI244)))</f>
        <v>0</v>
      </c>
      <c r="F244">
        <f>SUMPRODUCT((MONTH(CHOOSE({1,2,3,4},KMB!T244,KMB!X244,KMB!AB244,KMB!AF244))=6)*(CHOOSE({1,2,3,4},KMB!W244,KMB!AA244,KMB!AE244,KMB!AI244)))</f>
        <v>0</v>
      </c>
      <c r="G244">
        <f>SUMPRODUCT((MONTH(CHOOSE({1,2,3,4},KMB!T244,KMB!X244,KMB!AB244,KMB!AF244))=7)*(CHOOSE({1,2,3,4},KMB!W244,KMB!AA244,KMB!AE244,KMB!AI244)))</f>
        <v>0</v>
      </c>
      <c r="H244">
        <f>SUMPRODUCT((MONTH(CHOOSE({1,2,3,4},KMB!T244,KMB!X244,KMB!AB244,KMB!AF244))=8)*(CHOOSE({1,2,3,4},KMB!W244,KMB!AA244,KMB!AE244,KMB!AI244)))</f>
        <v>0</v>
      </c>
      <c r="I244">
        <f>SUMPRODUCT((MONTH(CHOOSE({1,2,3,4},KMB!T244,KMB!X244,KMB!AB244,KMB!AF244))=9)*(CHOOSE({1,2,3,4},KMB!W244,KMB!AA244,KMB!AE244,KMB!AI244)))</f>
        <v>0</v>
      </c>
      <c r="J244">
        <f>SUMPRODUCT((MONTH(CHOOSE({1,2,3,4},KMB!T244,KMB!X244,KMB!AB244,KMB!AF244))=10)*(CHOOSE({1,2,3,4},KMB!W244,KMB!AA244,KMB!AE244,KMB!AI244)))</f>
        <v>0</v>
      </c>
      <c r="K244">
        <f>SUMPRODUCT((MONTH(CHOOSE({1,2,3,4},KMB!T244,KMB!X244,KMB!AB244,KMB!AF244))=11)*(CHOOSE({1,2,3,4},KMB!W244,KMB!AA244,KMB!AE244,KMB!AI244)))</f>
        <v>0</v>
      </c>
      <c r="L244">
        <f>SUMPRODUCT((MONTH(CHOOSE({1,2,3,4},KMB!T244,KMB!X244,KMB!AB244,KMB!AF244))=12)*(CHOOSE({1,2,3,4},KMB!W244,KMB!AA244,KMB!AE244,KMB!AI244)))</f>
        <v>0</v>
      </c>
    </row>
    <row r="245" spans="1:12">
      <c r="A245">
        <f>SUMPRODUCT((MONTH(CHOOSE({1,2,3,4},KMB!T245,KMB!X245,KMB!AB245,KMB!AF245))=1)*(CHOOSE({1,2,3,4},KMB!W245,KMB!AA245,KMB!AE245,KMB!AI245)))</f>
        <v>0</v>
      </c>
      <c r="B245">
        <f>SUMPRODUCT((MONTH(CHOOSE({1,2,3,4},KMB!T245,KMB!X245,KMB!AB245,KMB!AF245))=2)*(CHOOSE({1,2,3,4},KMB!W245,KMB!AA245,KMB!AE245,KMB!AI245)))</f>
        <v>0</v>
      </c>
      <c r="C245">
        <f>SUMPRODUCT((MONTH(CHOOSE({1,2,3,4},KMB!T245,KMB!X245,KMB!AB245,KMB!AF245))=3)*(CHOOSE({1,2,3,4},KMB!W245,KMB!AA245,KMB!AE245,KMB!AI245)))</f>
        <v>0</v>
      </c>
      <c r="D245">
        <f>SUMPRODUCT((MONTH(CHOOSE({1,2,3,4},KMB!T245,KMB!X245,KMB!AB245,KMB!AF245))=4)*(CHOOSE({1,2,3,4},KMB!W245,KMB!AA245,KMB!AE245,KMB!AI245)))</f>
        <v>0</v>
      </c>
      <c r="E245">
        <f>SUMPRODUCT((MONTH(CHOOSE({1,2,3,4},KMB!T245,KMB!X245,KMB!AB245,KMB!AF245))=5)*(CHOOSE({1,2,3,4},KMB!W245,KMB!AA245,KMB!AE245,KMB!AI245)))</f>
        <v>0</v>
      </c>
      <c r="F245">
        <f>SUMPRODUCT((MONTH(CHOOSE({1,2,3,4},KMB!T245,KMB!X245,KMB!AB245,KMB!AF245))=6)*(CHOOSE({1,2,3,4},KMB!W245,KMB!AA245,KMB!AE245,KMB!AI245)))</f>
        <v>0</v>
      </c>
      <c r="G245">
        <f>SUMPRODUCT((MONTH(CHOOSE({1,2,3,4},KMB!T245,KMB!X245,KMB!AB245,KMB!AF245))=7)*(CHOOSE({1,2,3,4},KMB!W245,KMB!AA245,KMB!AE245,KMB!AI245)))</f>
        <v>0</v>
      </c>
      <c r="H245">
        <f>SUMPRODUCT((MONTH(CHOOSE({1,2,3,4},KMB!T245,KMB!X245,KMB!AB245,KMB!AF245))=8)*(CHOOSE({1,2,3,4},KMB!W245,KMB!AA245,KMB!AE245,KMB!AI245)))</f>
        <v>0</v>
      </c>
      <c r="I245">
        <f>SUMPRODUCT((MONTH(CHOOSE({1,2,3,4},KMB!T245,KMB!X245,KMB!AB245,KMB!AF245))=9)*(CHOOSE({1,2,3,4},KMB!W245,KMB!AA245,KMB!AE245,KMB!AI245)))</f>
        <v>0</v>
      </c>
      <c r="J245">
        <f>SUMPRODUCT((MONTH(CHOOSE({1,2,3,4},KMB!T245,KMB!X245,KMB!AB245,KMB!AF245))=10)*(CHOOSE({1,2,3,4},KMB!W245,KMB!AA245,KMB!AE245,KMB!AI245)))</f>
        <v>0</v>
      </c>
      <c r="K245">
        <f>SUMPRODUCT((MONTH(CHOOSE({1,2,3,4},KMB!T245,KMB!X245,KMB!AB245,KMB!AF245))=11)*(CHOOSE({1,2,3,4},KMB!W245,KMB!AA245,KMB!AE245,KMB!AI245)))</f>
        <v>0</v>
      </c>
      <c r="L245">
        <f>SUMPRODUCT((MONTH(CHOOSE({1,2,3,4},KMB!T245,KMB!X245,KMB!AB245,KMB!AF245))=12)*(CHOOSE({1,2,3,4},KMB!W245,KMB!AA245,KMB!AE245,KMB!AI245)))</f>
        <v>0</v>
      </c>
    </row>
    <row r="246" spans="1:12">
      <c r="A246">
        <f>SUMPRODUCT((MONTH(CHOOSE({1,2,3,4},KMB!T246,KMB!X246,KMB!AB246,KMB!AF246))=1)*(CHOOSE({1,2,3,4},KMB!W246,KMB!AA246,KMB!AE246,KMB!AI246)))</f>
        <v>0</v>
      </c>
      <c r="B246">
        <f>SUMPRODUCT((MONTH(CHOOSE({1,2,3,4},KMB!T246,KMB!X246,KMB!AB246,KMB!AF246))=2)*(CHOOSE({1,2,3,4},KMB!W246,KMB!AA246,KMB!AE246,KMB!AI246)))</f>
        <v>0</v>
      </c>
      <c r="C246">
        <f>SUMPRODUCT((MONTH(CHOOSE({1,2,3,4},KMB!T246,KMB!X246,KMB!AB246,KMB!AF246))=3)*(CHOOSE({1,2,3,4},KMB!W246,KMB!AA246,KMB!AE246,KMB!AI246)))</f>
        <v>0</v>
      </c>
      <c r="D246">
        <f>SUMPRODUCT((MONTH(CHOOSE({1,2,3,4},KMB!T246,KMB!X246,KMB!AB246,KMB!AF246))=4)*(CHOOSE({1,2,3,4},KMB!W246,KMB!AA246,KMB!AE246,KMB!AI246)))</f>
        <v>0</v>
      </c>
      <c r="E246">
        <f>SUMPRODUCT((MONTH(CHOOSE({1,2,3,4},KMB!T246,KMB!X246,KMB!AB246,KMB!AF246))=5)*(CHOOSE({1,2,3,4},KMB!W246,KMB!AA246,KMB!AE246,KMB!AI246)))</f>
        <v>0</v>
      </c>
      <c r="F246">
        <f>SUMPRODUCT((MONTH(CHOOSE({1,2,3,4},KMB!T246,KMB!X246,KMB!AB246,KMB!AF246))=6)*(CHOOSE({1,2,3,4},KMB!W246,KMB!AA246,KMB!AE246,KMB!AI246)))</f>
        <v>0</v>
      </c>
      <c r="G246">
        <f>SUMPRODUCT((MONTH(CHOOSE({1,2,3,4},KMB!T246,KMB!X246,KMB!AB246,KMB!AF246))=7)*(CHOOSE({1,2,3,4},KMB!W246,KMB!AA246,KMB!AE246,KMB!AI246)))</f>
        <v>0</v>
      </c>
      <c r="H246">
        <f>SUMPRODUCT((MONTH(CHOOSE({1,2,3,4},KMB!T246,KMB!X246,KMB!AB246,KMB!AF246))=8)*(CHOOSE({1,2,3,4},KMB!W246,KMB!AA246,KMB!AE246,KMB!AI246)))</f>
        <v>0</v>
      </c>
      <c r="I246">
        <f>SUMPRODUCT((MONTH(CHOOSE({1,2,3,4},KMB!T246,KMB!X246,KMB!AB246,KMB!AF246))=9)*(CHOOSE({1,2,3,4},KMB!W246,KMB!AA246,KMB!AE246,KMB!AI246)))</f>
        <v>0</v>
      </c>
      <c r="J246">
        <f>SUMPRODUCT((MONTH(CHOOSE({1,2,3,4},KMB!T246,KMB!X246,KMB!AB246,KMB!AF246))=10)*(CHOOSE({1,2,3,4},KMB!W246,KMB!AA246,KMB!AE246,KMB!AI246)))</f>
        <v>0</v>
      </c>
      <c r="K246">
        <f>SUMPRODUCT((MONTH(CHOOSE({1,2,3,4},KMB!T246,KMB!X246,KMB!AB246,KMB!AF246))=11)*(CHOOSE({1,2,3,4},KMB!W246,KMB!AA246,KMB!AE246,KMB!AI246)))</f>
        <v>0</v>
      </c>
      <c r="L246">
        <f>SUMPRODUCT((MONTH(CHOOSE({1,2,3,4},KMB!T246,KMB!X246,KMB!AB246,KMB!AF246))=12)*(CHOOSE({1,2,3,4},KMB!W246,KMB!AA246,KMB!AE246,KMB!AI246)))</f>
        <v>0</v>
      </c>
    </row>
    <row r="247" spans="1:12">
      <c r="A247">
        <f>SUMPRODUCT((MONTH(CHOOSE({1,2,3,4},KMB!T247,KMB!X247,KMB!AB247,KMB!AF247))=1)*(CHOOSE({1,2,3,4},KMB!W247,KMB!AA247,KMB!AE247,KMB!AI247)))</f>
        <v>0</v>
      </c>
      <c r="B247">
        <f>SUMPRODUCT((MONTH(CHOOSE({1,2,3,4},KMB!T247,KMB!X247,KMB!AB247,KMB!AF247))=2)*(CHOOSE({1,2,3,4},KMB!W247,KMB!AA247,KMB!AE247,KMB!AI247)))</f>
        <v>0</v>
      </c>
      <c r="C247">
        <f>SUMPRODUCT((MONTH(CHOOSE({1,2,3,4},KMB!T247,KMB!X247,KMB!AB247,KMB!AF247))=3)*(CHOOSE({1,2,3,4},KMB!W247,KMB!AA247,KMB!AE247,KMB!AI247)))</f>
        <v>0</v>
      </c>
      <c r="D247">
        <f>SUMPRODUCT((MONTH(CHOOSE({1,2,3,4},KMB!T247,KMB!X247,KMB!AB247,KMB!AF247))=4)*(CHOOSE({1,2,3,4},KMB!W247,KMB!AA247,KMB!AE247,KMB!AI247)))</f>
        <v>0</v>
      </c>
      <c r="E247">
        <f>SUMPRODUCT((MONTH(CHOOSE({1,2,3,4},KMB!T247,KMB!X247,KMB!AB247,KMB!AF247))=5)*(CHOOSE({1,2,3,4},KMB!W247,KMB!AA247,KMB!AE247,KMB!AI247)))</f>
        <v>0</v>
      </c>
      <c r="F247">
        <f>SUMPRODUCT((MONTH(CHOOSE({1,2,3,4},KMB!T247,KMB!X247,KMB!AB247,KMB!AF247))=6)*(CHOOSE({1,2,3,4},KMB!W247,KMB!AA247,KMB!AE247,KMB!AI247)))</f>
        <v>0</v>
      </c>
      <c r="G247">
        <f>SUMPRODUCT((MONTH(CHOOSE({1,2,3,4},KMB!T247,KMB!X247,KMB!AB247,KMB!AF247))=7)*(CHOOSE({1,2,3,4},KMB!W247,KMB!AA247,KMB!AE247,KMB!AI247)))</f>
        <v>0</v>
      </c>
      <c r="H247">
        <f>SUMPRODUCT((MONTH(CHOOSE({1,2,3,4},KMB!T247,KMB!X247,KMB!AB247,KMB!AF247))=8)*(CHOOSE({1,2,3,4},KMB!W247,KMB!AA247,KMB!AE247,KMB!AI247)))</f>
        <v>0</v>
      </c>
      <c r="I247">
        <f>SUMPRODUCT((MONTH(CHOOSE({1,2,3,4},KMB!T247,KMB!X247,KMB!AB247,KMB!AF247))=9)*(CHOOSE({1,2,3,4},KMB!W247,KMB!AA247,KMB!AE247,KMB!AI247)))</f>
        <v>0</v>
      </c>
      <c r="J247">
        <f>SUMPRODUCT((MONTH(CHOOSE({1,2,3,4},KMB!T247,KMB!X247,KMB!AB247,KMB!AF247))=10)*(CHOOSE({1,2,3,4},KMB!W247,KMB!AA247,KMB!AE247,KMB!AI247)))</f>
        <v>0</v>
      </c>
      <c r="K247">
        <f>SUMPRODUCT((MONTH(CHOOSE({1,2,3,4},KMB!T247,KMB!X247,KMB!AB247,KMB!AF247))=11)*(CHOOSE({1,2,3,4},KMB!W247,KMB!AA247,KMB!AE247,KMB!AI247)))</f>
        <v>0</v>
      </c>
      <c r="L247">
        <f>SUMPRODUCT((MONTH(CHOOSE({1,2,3,4},KMB!T247,KMB!X247,KMB!AB247,KMB!AF247))=12)*(CHOOSE({1,2,3,4},KMB!W247,KMB!AA247,KMB!AE247,KMB!AI247)))</f>
        <v>0</v>
      </c>
    </row>
    <row r="248" spans="1:12">
      <c r="A248">
        <f>SUMPRODUCT((MONTH(CHOOSE({1,2,3,4},KMB!T248,KMB!X248,KMB!AB248,KMB!AF248))=1)*(CHOOSE({1,2,3,4},KMB!W248,KMB!AA248,KMB!AE248,KMB!AI248)))</f>
        <v>0</v>
      </c>
      <c r="B248">
        <f>SUMPRODUCT((MONTH(CHOOSE({1,2,3,4},KMB!T248,KMB!X248,KMB!AB248,KMB!AF248))=2)*(CHOOSE({1,2,3,4},KMB!W248,KMB!AA248,KMB!AE248,KMB!AI248)))</f>
        <v>0</v>
      </c>
      <c r="C248">
        <f>SUMPRODUCT((MONTH(CHOOSE({1,2,3,4},KMB!T248,KMB!X248,KMB!AB248,KMB!AF248))=3)*(CHOOSE({1,2,3,4},KMB!W248,KMB!AA248,KMB!AE248,KMB!AI248)))</f>
        <v>0</v>
      </c>
      <c r="D248">
        <f>SUMPRODUCT((MONTH(CHOOSE({1,2,3,4},KMB!T248,KMB!X248,KMB!AB248,KMB!AF248))=4)*(CHOOSE({1,2,3,4},KMB!W248,KMB!AA248,KMB!AE248,KMB!AI248)))</f>
        <v>0</v>
      </c>
      <c r="E248">
        <f>SUMPRODUCT((MONTH(CHOOSE({1,2,3,4},KMB!T248,KMB!X248,KMB!AB248,KMB!AF248))=5)*(CHOOSE({1,2,3,4},KMB!W248,KMB!AA248,KMB!AE248,KMB!AI248)))</f>
        <v>0</v>
      </c>
      <c r="F248">
        <f>SUMPRODUCT((MONTH(CHOOSE({1,2,3,4},KMB!T248,KMB!X248,KMB!AB248,KMB!AF248))=6)*(CHOOSE({1,2,3,4},KMB!W248,KMB!AA248,KMB!AE248,KMB!AI248)))</f>
        <v>0</v>
      </c>
      <c r="G248">
        <f>SUMPRODUCT((MONTH(CHOOSE({1,2,3,4},KMB!T248,KMB!X248,KMB!AB248,KMB!AF248))=7)*(CHOOSE({1,2,3,4},KMB!W248,KMB!AA248,KMB!AE248,KMB!AI248)))</f>
        <v>0</v>
      </c>
      <c r="H248">
        <f>SUMPRODUCT((MONTH(CHOOSE({1,2,3,4},KMB!T248,KMB!X248,KMB!AB248,KMB!AF248))=8)*(CHOOSE({1,2,3,4},KMB!W248,KMB!AA248,KMB!AE248,KMB!AI248)))</f>
        <v>0</v>
      </c>
      <c r="I248">
        <f>SUMPRODUCT((MONTH(CHOOSE({1,2,3,4},KMB!T248,KMB!X248,KMB!AB248,KMB!AF248))=9)*(CHOOSE({1,2,3,4},KMB!W248,KMB!AA248,KMB!AE248,KMB!AI248)))</f>
        <v>0</v>
      </c>
      <c r="J248">
        <f>SUMPRODUCT((MONTH(CHOOSE({1,2,3,4},KMB!T248,KMB!X248,KMB!AB248,KMB!AF248))=10)*(CHOOSE({1,2,3,4},KMB!W248,KMB!AA248,KMB!AE248,KMB!AI248)))</f>
        <v>0</v>
      </c>
      <c r="K248">
        <f>SUMPRODUCT((MONTH(CHOOSE({1,2,3,4},KMB!T248,KMB!X248,KMB!AB248,KMB!AF248))=11)*(CHOOSE({1,2,3,4},KMB!W248,KMB!AA248,KMB!AE248,KMB!AI248)))</f>
        <v>0</v>
      </c>
      <c r="L248">
        <f>SUMPRODUCT((MONTH(CHOOSE({1,2,3,4},KMB!T248,KMB!X248,KMB!AB248,KMB!AF248))=12)*(CHOOSE({1,2,3,4},KMB!W248,KMB!AA248,KMB!AE248,KMB!AI248)))</f>
        <v>0</v>
      </c>
    </row>
    <row r="249" spans="1:12">
      <c r="A249">
        <f>SUMPRODUCT((MONTH(CHOOSE({1,2,3,4},KMB!T249,KMB!X249,KMB!AB249,KMB!AF249))=1)*(CHOOSE({1,2,3,4},KMB!W249,KMB!AA249,KMB!AE249,KMB!AI249)))</f>
        <v>0</v>
      </c>
      <c r="B249">
        <f>SUMPRODUCT((MONTH(CHOOSE({1,2,3,4},KMB!T249,KMB!X249,KMB!AB249,KMB!AF249))=2)*(CHOOSE({1,2,3,4},KMB!W249,KMB!AA249,KMB!AE249,KMB!AI249)))</f>
        <v>0</v>
      </c>
      <c r="C249">
        <f>SUMPRODUCT((MONTH(CHOOSE({1,2,3,4},KMB!T249,KMB!X249,KMB!AB249,KMB!AF249))=3)*(CHOOSE({1,2,3,4},KMB!W249,KMB!AA249,KMB!AE249,KMB!AI249)))</f>
        <v>0</v>
      </c>
      <c r="D249">
        <f>SUMPRODUCT((MONTH(CHOOSE({1,2,3,4},KMB!T249,KMB!X249,KMB!AB249,KMB!AF249))=4)*(CHOOSE({1,2,3,4},KMB!W249,KMB!AA249,KMB!AE249,KMB!AI249)))</f>
        <v>0</v>
      </c>
      <c r="E249">
        <f>SUMPRODUCT((MONTH(CHOOSE({1,2,3,4},KMB!T249,KMB!X249,KMB!AB249,KMB!AF249))=5)*(CHOOSE({1,2,3,4},KMB!W249,KMB!AA249,KMB!AE249,KMB!AI249)))</f>
        <v>0</v>
      </c>
      <c r="F249">
        <f>SUMPRODUCT((MONTH(CHOOSE({1,2,3,4},KMB!T249,KMB!X249,KMB!AB249,KMB!AF249))=6)*(CHOOSE({1,2,3,4},KMB!W249,KMB!AA249,KMB!AE249,KMB!AI249)))</f>
        <v>0</v>
      </c>
      <c r="G249">
        <f>SUMPRODUCT((MONTH(CHOOSE({1,2,3,4},KMB!T249,KMB!X249,KMB!AB249,KMB!AF249))=7)*(CHOOSE({1,2,3,4},KMB!W249,KMB!AA249,KMB!AE249,KMB!AI249)))</f>
        <v>0</v>
      </c>
      <c r="H249">
        <f>SUMPRODUCT((MONTH(CHOOSE({1,2,3,4},KMB!T249,KMB!X249,KMB!AB249,KMB!AF249))=8)*(CHOOSE({1,2,3,4},KMB!W249,KMB!AA249,KMB!AE249,KMB!AI249)))</f>
        <v>0</v>
      </c>
      <c r="I249">
        <f>SUMPRODUCT((MONTH(CHOOSE({1,2,3,4},KMB!T249,KMB!X249,KMB!AB249,KMB!AF249))=9)*(CHOOSE({1,2,3,4},KMB!W249,KMB!AA249,KMB!AE249,KMB!AI249)))</f>
        <v>0</v>
      </c>
      <c r="J249">
        <f>SUMPRODUCT((MONTH(CHOOSE({1,2,3,4},KMB!T249,KMB!X249,KMB!AB249,KMB!AF249))=10)*(CHOOSE({1,2,3,4},KMB!W249,KMB!AA249,KMB!AE249,KMB!AI249)))</f>
        <v>0</v>
      </c>
      <c r="K249">
        <f>SUMPRODUCT((MONTH(CHOOSE({1,2,3,4},KMB!T249,KMB!X249,KMB!AB249,KMB!AF249))=11)*(CHOOSE({1,2,3,4},KMB!W249,KMB!AA249,KMB!AE249,KMB!AI249)))</f>
        <v>0</v>
      </c>
      <c r="L249">
        <f>SUMPRODUCT((MONTH(CHOOSE({1,2,3,4},KMB!T249,KMB!X249,KMB!AB249,KMB!AF249))=12)*(CHOOSE({1,2,3,4},KMB!W249,KMB!AA249,KMB!AE249,KMB!AI249)))</f>
        <v>0</v>
      </c>
    </row>
    <row r="250" spans="1:12">
      <c r="A250">
        <f>SUMPRODUCT((MONTH(CHOOSE({1,2,3,4},KMB!T250,KMB!X250,KMB!AB250,KMB!AF250))=1)*(CHOOSE({1,2,3,4},KMB!W250,KMB!AA250,KMB!AE250,KMB!AI250)))</f>
        <v>0</v>
      </c>
      <c r="B250">
        <f>SUMPRODUCT((MONTH(CHOOSE({1,2,3,4},KMB!T250,KMB!X250,KMB!AB250,KMB!AF250))=2)*(CHOOSE({1,2,3,4},KMB!W250,KMB!AA250,KMB!AE250,KMB!AI250)))</f>
        <v>0</v>
      </c>
      <c r="C250">
        <f>SUMPRODUCT((MONTH(CHOOSE({1,2,3,4},KMB!T250,KMB!X250,KMB!AB250,KMB!AF250))=3)*(CHOOSE({1,2,3,4},KMB!W250,KMB!AA250,KMB!AE250,KMB!AI250)))</f>
        <v>0</v>
      </c>
      <c r="D250">
        <f>SUMPRODUCT((MONTH(CHOOSE({1,2,3,4},KMB!T250,KMB!X250,KMB!AB250,KMB!AF250))=4)*(CHOOSE({1,2,3,4},KMB!W250,KMB!AA250,KMB!AE250,KMB!AI250)))</f>
        <v>0</v>
      </c>
      <c r="E250">
        <f>SUMPRODUCT((MONTH(CHOOSE({1,2,3,4},KMB!T250,KMB!X250,KMB!AB250,KMB!AF250))=5)*(CHOOSE({1,2,3,4},KMB!W250,KMB!AA250,KMB!AE250,KMB!AI250)))</f>
        <v>0</v>
      </c>
      <c r="F250">
        <f>SUMPRODUCT((MONTH(CHOOSE({1,2,3,4},KMB!T250,KMB!X250,KMB!AB250,KMB!AF250))=6)*(CHOOSE({1,2,3,4},KMB!W250,KMB!AA250,KMB!AE250,KMB!AI250)))</f>
        <v>0</v>
      </c>
      <c r="G250">
        <f>SUMPRODUCT((MONTH(CHOOSE({1,2,3,4},KMB!T250,KMB!X250,KMB!AB250,KMB!AF250))=7)*(CHOOSE({1,2,3,4},KMB!W250,KMB!AA250,KMB!AE250,KMB!AI250)))</f>
        <v>0</v>
      </c>
      <c r="H250">
        <f>SUMPRODUCT((MONTH(CHOOSE({1,2,3,4},KMB!T250,KMB!X250,KMB!AB250,KMB!AF250))=8)*(CHOOSE({1,2,3,4},KMB!W250,KMB!AA250,KMB!AE250,KMB!AI250)))</f>
        <v>0</v>
      </c>
      <c r="I250">
        <f>SUMPRODUCT((MONTH(CHOOSE({1,2,3,4},KMB!T250,KMB!X250,KMB!AB250,KMB!AF250))=9)*(CHOOSE({1,2,3,4},KMB!W250,KMB!AA250,KMB!AE250,KMB!AI250)))</f>
        <v>0</v>
      </c>
      <c r="J250">
        <f>SUMPRODUCT((MONTH(CHOOSE({1,2,3,4},KMB!T250,KMB!X250,KMB!AB250,KMB!AF250))=10)*(CHOOSE({1,2,3,4},KMB!W250,KMB!AA250,KMB!AE250,KMB!AI250)))</f>
        <v>0</v>
      </c>
      <c r="K250">
        <f>SUMPRODUCT((MONTH(CHOOSE({1,2,3,4},KMB!T250,KMB!X250,KMB!AB250,KMB!AF250))=11)*(CHOOSE({1,2,3,4},KMB!W250,KMB!AA250,KMB!AE250,KMB!AI250)))</f>
        <v>0</v>
      </c>
      <c r="L250">
        <f>SUMPRODUCT((MONTH(CHOOSE({1,2,3,4},KMB!T250,KMB!X250,KMB!AB250,KMB!AF250))=12)*(CHOOSE({1,2,3,4},KMB!W250,KMB!AA250,KMB!AE250,KMB!AI250)))</f>
        <v>0</v>
      </c>
    </row>
    <row r="251" spans="1:12">
      <c r="A251">
        <f>SUMPRODUCT((MONTH(CHOOSE({1,2,3,4},KMB!T251,KMB!X251,KMB!AB251,KMB!AF251))=1)*(CHOOSE({1,2,3,4},KMB!W251,KMB!AA251,KMB!AE251,KMB!AI251)))</f>
        <v>0</v>
      </c>
      <c r="B251">
        <f>SUMPRODUCT((MONTH(CHOOSE({1,2,3,4},KMB!T251,KMB!X251,KMB!AB251,KMB!AF251))=2)*(CHOOSE({1,2,3,4},KMB!W251,KMB!AA251,KMB!AE251,KMB!AI251)))</f>
        <v>0</v>
      </c>
      <c r="C251">
        <f>SUMPRODUCT((MONTH(CHOOSE({1,2,3,4},KMB!T251,KMB!X251,KMB!AB251,KMB!AF251))=3)*(CHOOSE({1,2,3,4},KMB!W251,KMB!AA251,KMB!AE251,KMB!AI251)))</f>
        <v>0</v>
      </c>
      <c r="D251">
        <f>SUMPRODUCT((MONTH(CHOOSE({1,2,3,4},KMB!T251,KMB!X251,KMB!AB251,KMB!AF251))=4)*(CHOOSE({1,2,3,4},KMB!W251,KMB!AA251,KMB!AE251,KMB!AI251)))</f>
        <v>0</v>
      </c>
      <c r="E251">
        <f>SUMPRODUCT((MONTH(CHOOSE({1,2,3,4},KMB!T251,KMB!X251,KMB!AB251,KMB!AF251))=5)*(CHOOSE({1,2,3,4},KMB!W251,KMB!AA251,KMB!AE251,KMB!AI251)))</f>
        <v>0</v>
      </c>
      <c r="F251">
        <f>SUMPRODUCT((MONTH(CHOOSE({1,2,3,4},KMB!T251,KMB!X251,KMB!AB251,KMB!AF251))=6)*(CHOOSE({1,2,3,4},KMB!W251,KMB!AA251,KMB!AE251,KMB!AI251)))</f>
        <v>0</v>
      </c>
      <c r="G251">
        <f>SUMPRODUCT((MONTH(CHOOSE({1,2,3,4},KMB!T251,KMB!X251,KMB!AB251,KMB!AF251))=7)*(CHOOSE({1,2,3,4},KMB!W251,KMB!AA251,KMB!AE251,KMB!AI251)))</f>
        <v>0</v>
      </c>
      <c r="H251">
        <f>SUMPRODUCT((MONTH(CHOOSE({1,2,3,4},KMB!T251,KMB!X251,KMB!AB251,KMB!AF251))=8)*(CHOOSE({1,2,3,4},KMB!W251,KMB!AA251,KMB!AE251,KMB!AI251)))</f>
        <v>0</v>
      </c>
      <c r="I251">
        <f>SUMPRODUCT((MONTH(CHOOSE({1,2,3,4},KMB!T251,KMB!X251,KMB!AB251,KMB!AF251))=9)*(CHOOSE({1,2,3,4},KMB!W251,KMB!AA251,KMB!AE251,KMB!AI251)))</f>
        <v>0</v>
      </c>
      <c r="J251">
        <f>SUMPRODUCT((MONTH(CHOOSE({1,2,3,4},KMB!T251,KMB!X251,KMB!AB251,KMB!AF251))=10)*(CHOOSE({1,2,3,4},KMB!W251,KMB!AA251,KMB!AE251,KMB!AI251)))</f>
        <v>0</v>
      </c>
      <c r="K251">
        <f>SUMPRODUCT((MONTH(CHOOSE({1,2,3,4},KMB!T251,KMB!X251,KMB!AB251,KMB!AF251))=11)*(CHOOSE({1,2,3,4},KMB!W251,KMB!AA251,KMB!AE251,KMB!AI251)))</f>
        <v>0</v>
      </c>
      <c r="L251">
        <f>SUMPRODUCT((MONTH(CHOOSE({1,2,3,4},KMB!T251,KMB!X251,KMB!AB251,KMB!AF251))=12)*(CHOOSE({1,2,3,4},KMB!W251,KMB!AA251,KMB!AE251,KMB!AI251)))</f>
        <v>0</v>
      </c>
    </row>
    <row r="252" spans="1:12">
      <c r="A252">
        <f>SUMPRODUCT((MONTH(CHOOSE({1,2,3,4},KMB!T252,KMB!X252,KMB!AB252,KMB!AF252))=1)*(CHOOSE({1,2,3,4},KMB!W252,KMB!AA252,KMB!AE252,KMB!AI252)))</f>
        <v>0</v>
      </c>
      <c r="B252">
        <f>SUMPRODUCT((MONTH(CHOOSE({1,2,3,4},KMB!T252,KMB!X252,KMB!AB252,KMB!AF252))=2)*(CHOOSE({1,2,3,4},KMB!W252,KMB!AA252,KMB!AE252,KMB!AI252)))</f>
        <v>0</v>
      </c>
      <c r="C252">
        <f>SUMPRODUCT((MONTH(CHOOSE({1,2,3,4},KMB!T252,KMB!X252,KMB!AB252,KMB!AF252))=3)*(CHOOSE({1,2,3,4},KMB!W252,KMB!AA252,KMB!AE252,KMB!AI252)))</f>
        <v>0</v>
      </c>
      <c r="D252">
        <f>SUMPRODUCT((MONTH(CHOOSE({1,2,3,4},KMB!T252,KMB!X252,KMB!AB252,KMB!AF252))=4)*(CHOOSE({1,2,3,4},KMB!W252,KMB!AA252,KMB!AE252,KMB!AI252)))</f>
        <v>0</v>
      </c>
      <c r="E252">
        <f>SUMPRODUCT((MONTH(CHOOSE({1,2,3,4},KMB!T252,KMB!X252,KMB!AB252,KMB!AF252))=5)*(CHOOSE({1,2,3,4},KMB!W252,KMB!AA252,KMB!AE252,KMB!AI252)))</f>
        <v>0</v>
      </c>
      <c r="F252">
        <f>SUMPRODUCT((MONTH(CHOOSE({1,2,3,4},KMB!T252,KMB!X252,KMB!AB252,KMB!AF252))=6)*(CHOOSE({1,2,3,4},KMB!W252,KMB!AA252,KMB!AE252,KMB!AI252)))</f>
        <v>0</v>
      </c>
      <c r="G252">
        <f>SUMPRODUCT((MONTH(CHOOSE({1,2,3,4},KMB!T252,KMB!X252,KMB!AB252,KMB!AF252))=7)*(CHOOSE({1,2,3,4},KMB!W252,KMB!AA252,KMB!AE252,KMB!AI252)))</f>
        <v>0</v>
      </c>
      <c r="H252">
        <f>SUMPRODUCT((MONTH(CHOOSE({1,2,3,4},KMB!T252,KMB!X252,KMB!AB252,KMB!AF252))=8)*(CHOOSE({1,2,3,4},KMB!W252,KMB!AA252,KMB!AE252,KMB!AI252)))</f>
        <v>0</v>
      </c>
      <c r="I252">
        <f>SUMPRODUCT((MONTH(CHOOSE({1,2,3,4},KMB!T252,KMB!X252,KMB!AB252,KMB!AF252))=9)*(CHOOSE({1,2,3,4},KMB!W252,KMB!AA252,KMB!AE252,KMB!AI252)))</f>
        <v>0</v>
      </c>
      <c r="J252">
        <f>SUMPRODUCT((MONTH(CHOOSE({1,2,3,4},KMB!T252,KMB!X252,KMB!AB252,KMB!AF252))=10)*(CHOOSE({1,2,3,4},KMB!W252,KMB!AA252,KMB!AE252,KMB!AI252)))</f>
        <v>0</v>
      </c>
      <c r="K252">
        <f>SUMPRODUCT((MONTH(CHOOSE({1,2,3,4},KMB!T252,KMB!X252,KMB!AB252,KMB!AF252))=11)*(CHOOSE({1,2,3,4},KMB!W252,KMB!AA252,KMB!AE252,KMB!AI252)))</f>
        <v>0</v>
      </c>
      <c r="L252">
        <f>SUMPRODUCT((MONTH(CHOOSE({1,2,3,4},KMB!T252,KMB!X252,KMB!AB252,KMB!AF252))=12)*(CHOOSE({1,2,3,4},KMB!W252,KMB!AA252,KMB!AE252,KMB!AI252)))</f>
        <v>0</v>
      </c>
    </row>
    <row r="253" spans="1:12">
      <c r="A253">
        <f>SUMPRODUCT((MONTH(CHOOSE({1,2,3,4},KMB!T253,KMB!X253,KMB!AB253,KMB!AF253))=1)*(CHOOSE({1,2,3,4},KMB!W253,KMB!AA253,KMB!AE253,KMB!AI253)))</f>
        <v>0</v>
      </c>
      <c r="B253">
        <f>SUMPRODUCT((MONTH(CHOOSE({1,2,3,4},KMB!T253,KMB!X253,KMB!AB253,KMB!AF253))=2)*(CHOOSE({1,2,3,4},KMB!W253,KMB!AA253,KMB!AE253,KMB!AI253)))</f>
        <v>0</v>
      </c>
      <c r="C253">
        <f>SUMPRODUCT((MONTH(CHOOSE({1,2,3,4},KMB!T253,KMB!X253,KMB!AB253,KMB!AF253))=3)*(CHOOSE({1,2,3,4},KMB!W253,KMB!AA253,KMB!AE253,KMB!AI253)))</f>
        <v>0</v>
      </c>
      <c r="D253">
        <f>SUMPRODUCT((MONTH(CHOOSE({1,2,3,4},KMB!T253,KMB!X253,KMB!AB253,KMB!AF253))=4)*(CHOOSE({1,2,3,4},KMB!W253,KMB!AA253,KMB!AE253,KMB!AI253)))</f>
        <v>0</v>
      </c>
      <c r="E253">
        <f>SUMPRODUCT((MONTH(CHOOSE({1,2,3,4},KMB!T253,KMB!X253,KMB!AB253,KMB!AF253))=5)*(CHOOSE({1,2,3,4},KMB!W253,KMB!AA253,KMB!AE253,KMB!AI253)))</f>
        <v>0</v>
      </c>
      <c r="F253">
        <f>SUMPRODUCT((MONTH(CHOOSE({1,2,3,4},KMB!T253,KMB!X253,KMB!AB253,KMB!AF253))=6)*(CHOOSE({1,2,3,4},KMB!W253,KMB!AA253,KMB!AE253,KMB!AI253)))</f>
        <v>0</v>
      </c>
      <c r="G253">
        <f>SUMPRODUCT((MONTH(CHOOSE({1,2,3,4},KMB!T253,KMB!X253,KMB!AB253,KMB!AF253))=7)*(CHOOSE({1,2,3,4},KMB!W253,KMB!AA253,KMB!AE253,KMB!AI253)))</f>
        <v>0</v>
      </c>
      <c r="H253">
        <f>SUMPRODUCT((MONTH(CHOOSE({1,2,3,4},KMB!T253,KMB!X253,KMB!AB253,KMB!AF253))=8)*(CHOOSE({1,2,3,4},KMB!W253,KMB!AA253,KMB!AE253,KMB!AI253)))</f>
        <v>0</v>
      </c>
      <c r="I253">
        <f>SUMPRODUCT((MONTH(CHOOSE({1,2,3,4},KMB!T253,KMB!X253,KMB!AB253,KMB!AF253))=9)*(CHOOSE({1,2,3,4},KMB!W253,KMB!AA253,KMB!AE253,KMB!AI253)))</f>
        <v>0</v>
      </c>
      <c r="J253">
        <f>SUMPRODUCT((MONTH(CHOOSE({1,2,3,4},KMB!T253,KMB!X253,KMB!AB253,KMB!AF253))=10)*(CHOOSE({1,2,3,4},KMB!W253,KMB!AA253,KMB!AE253,KMB!AI253)))</f>
        <v>0</v>
      </c>
      <c r="K253">
        <f>SUMPRODUCT((MONTH(CHOOSE({1,2,3,4},KMB!T253,KMB!X253,KMB!AB253,KMB!AF253))=11)*(CHOOSE({1,2,3,4},KMB!W253,KMB!AA253,KMB!AE253,KMB!AI253)))</f>
        <v>0</v>
      </c>
      <c r="L253">
        <f>SUMPRODUCT((MONTH(CHOOSE({1,2,3,4},KMB!T253,KMB!X253,KMB!AB253,KMB!AF253))=12)*(CHOOSE({1,2,3,4},KMB!W253,KMB!AA253,KMB!AE253,KMB!AI253)))</f>
        <v>0</v>
      </c>
    </row>
    <row r="254" spans="1:12">
      <c r="A254">
        <f>SUMPRODUCT((MONTH(CHOOSE({1,2,3,4},KMB!T254,KMB!X254,KMB!AB254,KMB!AF254))=1)*(CHOOSE({1,2,3,4},KMB!W254,KMB!AA254,KMB!AE254,KMB!AI254)))</f>
        <v>0</v>
      </c>
      <c r="B254">
        <f>SUMPRODUCT((MONTH(CHOOSE({1,2,3,4},KMB!T254,KMB!X254,KMB!AB254,KMB!AF254))=2)*(CHOOSE({1,2,3,4},KMB!W254,KMB!AA254,KMB!AE254,KMB!AI254)))</f>
        <v>0</v>
      </c>
      <c r="C254">
        <f>SUMPRODUCT((MONTH(CHOOSE({1,2,3,4},KMB!T254,KMB!X254,KMB!AB254,KMB!AF254))=3)*(CHOOSE({1,2,3,4},KMB!W254,KMB!AA254,KMB!AE254,KMB!AI254)))</f>
        <v>0</v>
      </c>
      <c r="D254">
        <f>SUMPRODUCT((MONTH(CHOOSE({1,2,3,4},KMB!T254,KMB!X254,KMB!AB254,KMB!AF254))=4)*(CHOOSE({1,2,3,4},KMB!W254,KMB!AA254,KMB!AE254,KMB!AI254)))</f>
        <v>0</v>
      </c>
      <c r="E254">
        <f>SUMPRODUCT((MONTH(CHOOSE({1,2,3,4},KMB!T254,KMB!X254,KMB!AB254,KMB!AF254))=5)*(CHOOSE({1,2,3,4},KMB!W254,KMB!AA254,KMB!AE254,KMB!AI254)))</f>
        <v>0</v>
      </c>
      <c r="F254">
        <f>SUMPRODUCT((MONTH(CHOOSE({1,2,3,4},KMB!T254,KMB!X254,KMB!AB254,KMB!AF254))=6)*(CHOOSE({1,2,3,4},KMB!W254,KMB!AA254,KMB!AE254,KMB!AI254)))</f>
        <v>0</v>
      </c>
      <c r="G254">
        <f>SUMPRODUCT((MONTH(CHOOSE({1,2,3,4},KMB!T254,KMB!X254,KMB!AB254,KMB!AF254))=7)*(CHOOSE({1,2,3,4},KMB!W254,KMB!AA254,KMB!AE254,KMB!AI254)))</f>
        <v>0</v>
      </c>
      <c r="H254">
        <f>SUMPRODUCT((MONTH(CHOOSE({1,2,3,4},KMB!T254,KMB!X254,KMB!AB254,KMB!AF254))=8)*(CHOOSE({1,2,3,4},KMB!W254,KMB!AA254,KMB!AE254,KMB!AI254)))</f>
        <v>0</v>
      </c>
      <c r="I254">
        <f>SUMPRODUCT((MONTH(CHOOSE({1,2,3,4},KMB!T254,KMB!X254,KMB!AB254,KMB!AF254))=9)*(CHOOSE({1,2,3,4},KMB!W254,KMB!AA254,KMB!AE254,KMB!AI254)))</f>
        <v>0</v>
      </c>
      <c r="J254">
        <f>SUMPRODUCT((MONTH(CHOOSE({1,2,3,4},KMB!T254,KMB!X254,KMB!AB254,KMB!AF254))=10)*(CHOOSE({1,2,3,4},KMB!W254,KMB!AA254,KMB!AE254,KMB!AI254)))</f>
        <v>0</v>
      </c>
      <c r="K254">
        <f>SUMPRODUCT((MONTH(CHOOSE({1,2,3,4},KMB!T254,KMB!X254,KMB!AB254,KMB!AF254))=11)*(CHOOSE({1,2,3,4},KMB!W254,KMB!AA254,KMB!AE254,KMB!AI254)))</f>
        <v>0</v>
      </c>
      <c r="L254">
        <f>SUMPRODUCT((MONTH(CHOOSE({1,2,3,4},KMB!T254,KMB!X254,KMB!AB254,KMB!AF254))=12)*(CHOOSE({1,2,3,4},KMB!W254,KMB!AA254,KMB!AE254,KMB!AI254)))</f>
        <v>0</v>
      </c>
    </row>
    <row r="255" spans="1:12">
      <c r="A255">
        <f>SUMPRODUCT((MONTH(CHOOSE({1,2,3,4},KMB!T255,KMB!X255,KMB!AB255,KMB!AF255))=1)*(CHOOSE({1,2,3,4},KMB!W255,KMB!AA255,KMB!AE255,KMB!AI255)))</f>
        <v>0</v>
      </c>
      <c r="B255">
        <f>SUMPRODUCT((MONTH(CHOOSE({1,2,3,4},KMB!T255,KMB!X255,KMB!AB255,KMB!AF255))=2)*(CHOOSE({1,2,3,4},KMB!W255,KMB!AA255,KMB!AE255,KMB!AI255)))</f>
        <v>0</v>
      </c>
      <c r="C255">
        <f>SUMPRODUCT((MONTH(CHOOSE({1,2,3,4},KMB!T255,KMB!X255,KMB!AB255,KMB!AF255))=3)*(CHOOSE({1,2,3,4},KMB!W255,KMB!AA255,KMB!AE255,KMB!AI255)))</f>
        <v>0</v>
      </c>
      <c r="D255">
        <f>SUMPRODUCT((MONTH(CHOOSE({1,2,3,4},KMB!T255,KMB!X255,KMB!AB255,KMB!AF255))=4)*(CHOOSE({1,2,3,4},KMB!W255,KMB!AA255,KMB!AE255,KMB!AI255)))</f>
        <v>0</v>
      </c>
      <c r="E255">
        <f>SUMPRODUCT((MONTH(CHOOSE({1,2,3,4},KMB!T255,KMB!X255,KMB!AB255,KMB!AF255))=5)*(CHOOSE({1,2,3,4},KMB!W255,KMB!AA255,KMB!AE255,KMB!AI255)))</f>
        <v>0</v>
      </c>
      <c r="F255">
        <f>SUMPRODUCT((MONTH(CHOOSE({1,2,3,4},KMB!T255,KMB!X255,KMB!AB255,KMB!AF255))=6)*(CHOOSE({1,2,3,4},KMB!W255,KMB!AA255,KMB!AE255,KMB!AI255)))</f>
        <v>0</v>
      </c>
      <c r="G255">
        <f>SUMPRODUCT((MONTH(CHOOSE({1,2,3,4},KMB!T255,KMB!X255,KMB!AB255,KMB!AF255))=7)*(CHOOSE({1,2,3,4},KMB!W255,KMB!AA255,KMB!AE255,KMB!AI255)))</f>
        <v>0</v>
      </c>
      <c r="H255">
        <f>SUMPRODUCT((MONTH(CHOOSE({1,2,3,4},KMB!T255,KMB!X255,KMB!AB255,KMB!AF255))=8)*(CHOOSE({1,2,3,4},KMB!W255,KMB!AA255,KMB!AE255,KMB!AI255)))</f>
        <v>0</v>
      </c>
      <c r="I255">
        <f>SUMPRODUCT((MONTH(CHOOSE({1,2,3,4},KMB!T255,KMB!X255,KMB!AB255,KMB!AF255))=9)*(CHOOSE({1,2,3,4},KMB!W255,KMB!AA255,KMB!AE255,KMB!AI255)))</f>
        <v>0</v>
      </c>
      <c r="J255">
        <f>SUMPRODUCT((MONTH(CHOOSE({1,2,3,4},KMB!T255,KMB!X255,KMB!AB255,KMB!AF255))=10)*(CHOOSE({1,2,3,4},KMB!W255,KMB!AA255,KMB!AE255,KMB!AI255)))</f>
        <v>0</v>
      </c>
      <c r="K255">
        <f>SUMPRODUCT((MONTH(CHOOSE({1,2,3,4},KMB!T255,KMB!X255,KMB!AB255,KMB!AF255))=11)*(CHOOSE({1,2,3,4},KMB!W255,KMB!AA255,KMB!AE255,KMB!AI255)))</f>
        <v>0</v>
      </c>
      <c r="L255">
        <f>SUMPRODUCT((MONTH(CHOOSE({1,2,3,4},KMB!T255,KMB!X255,KMB!AB255,KMB!AF255))=12)*(CHOOSE({1,2,3,4},KMB!W255,KMB!AA255,KMB!AE255,KMB!AI255)))</f>
        <v>0</v>
      </c>
    </row>
    <row r="256" spans="1:12">
      <c r="A256">
        <f>SUMPRODUCT((MONTH(CHOOSE({1,2,3,4},KMB!T256,KMB!X256,KMB!AB256,KMB!AF256))=1)*(CHOOSE({1,2,3,4},KMB!W256,KMB!AA256,KMB!AE256,KMB!AI256)))</f>
        <v>0</v>
      </c>
      <c r="B256">
        <f>SUMPRODUCT((MONTH(CHOOSE({1,2,3,4},KMB!T256,KMB!X256,KMB!AB256,KMB!AF256))=2)*(CHOOSE({1,2,3,4},KMB!W256,KMB!AA256,KMB!AE256,KMB!AI256)))</f>
        <v>0</v>
      </c>
      <c r="C256">
        <f>SUMPRODUCT((MONTH(CHOOSE({1,2,3,4},KMB!T256,KMB!X256,KMB!AB256,KMB!AF256))=3)*(CHOOSE({1,2,3,4},KMB!W256,KMB!AA256,KMB!AE256,KMB!AI256)))</f>
        <v>0</v>
      </c>
      <c r="D256">
        <f>SUMPRODUCT((MONTH(CHOOSE({1,2,3,4},KMB!T256,KMB!X256,KMB!AB256,KMB!AF256))=4)*(CHOOSE({1,2,3,4},KMB!W256,KMB!AA256,KMB!AE256,KMB!AI256)))</f>
        <v>0</v>
      </c>
      <c r="E256">
        <f>SUMPRODUCT((MONTH(CHOOSE({1,2,3,4},KMB!T256,KMB!X256,KMB!AB256,KMB!AF256))=5)*(CHOOSE({1,2,3,4},KMB!W256,KMB!AA256,KMB!AE256,KMB!AI256)))</f>
        <v>0</v>
      </c>
      <c r="F256">
        <f>SUMPRODUCT((MONTH(CHOOSE({1,2,3,4},KMB!T256,KMB!X256,KMB!AB256,KMB!AF256))=6)*(CHOOSE({1,2,3,4},KMB!W256,KMB!AA256,KMB!AE256,KMB!AI256)))</f>
        <v>0</v>
      </c>
      <c r="G256">
        <f>SUMPRODUCT((MONTH(CHOOSE({1,2,3,4},KMB!T256,KMB!X256,KMB!AB256,KMB!AF256))=7)*(CHOOSE({1,2,3,4},KMB!W256,KMB!AA256,KMB!AE256,KMB!AI256)))</f>
        <v>0</v>
      </c>
      <c r="H256">
        <f>SUMPRODUCT((MONTH(CHOOSE({1,2,3,4},KMB!T256,KMB!X256,KMB!AB256,KMB!AF256))=8)*(CHOOSE({1,2,3,4},KMB!W256,KMB!AA256,KMB!AE256,KMB!AI256)))</f>
        <v>0</v>
      </c>
      <c r="I256">
        <f>SUMPRODUCT((MONTH(CHOOSE({1,2,3,4},KMB!T256,KMB!X256,KMB!AB256,KMB!AF256))=9)*(CHOOSE({1,2,3,4},KMB!W256,KMB!AA256,KMB!AE256,KMB!AI256)))</f>
        <v>0</v>
      </c>
      <c r="J256">
        <f>SUMPRODUCT((MONTH(CHOOSE({1,2,3,4},KMB!T256,KMB!X256,KMB!AB256,KMB!AF256))=10)*(CHOOSE({1,2,3,4},KMB!W256,KMB!AA256,KMB!AE256,KMB!AI256)))</f>
        <v>0</v>
      </c>
      <c r="K256">
        <f>SUMPRODUCT((MONTH(CHOOSE({1,2,3,4},KMB!T256,KMB!X256,KMB!AB256,KMB!AF256))=11)*(CHOOSE({1,2,3,4},KMB!W256,KMB!AA256,KMB!AE256,KMB!AI256)))</f>
        <v>0</v>
      </c>
      <c r="L256">
        <f>SUMPRODUCT((MONTH(CHOOSE({1,2,3,4},KMB!T256,KMB!X256,KMB!AB256,KMB!AF256))=12)*(CHOOSE({1,2,3,4},KMB!W256,KMB!AA256,KMB!AE256,KMB!AI256)))</f>
        <v>0</v>
      </c>
    </row>
    <row r="257" spans="1:12">
      <c r="A257">
        <f>SUMPRODUCT((MONTH(CHOOSE({1,2,3,4},KMB!T257,KMB!X257,KMB!AB257,KMB!AF257))=1)*(CHOOSE({1,2,3,4},KMB!W257,KMB!AA257,KMB!AE257,KMB!AI257)))</f>
        <v>0</v>
      </c>
      <c r="B257">
        <f>SUMPRODUCT((MONTH(CHOOSE({1,2,3,4},KMB!T257,KMB!X257,KMB!AB257,KMB!AF257))=2)*(CHOOSE({1,2,3,4},KMB!W257,KMB!AA257,KMB!AE257,KMB!AI257)))</f>
        <v>0</v>
      </c>
      <c r="C257">
        <f>SUMPRODUCT((MONTH(CHOOSE({1,2,3,4},KMB!T257,KMB!X257,KMB!AB257,KMB!AF257))=3)*(CHOOSE({1,2,3,4},KMB!W257,KMB!AA257,KMB!AE257,KMB!AI257)))</f>
        <v>0</v>
      </c>
      <c r="D257">
        <f>SUMPRODUCT((MONTH(CHOOSE({1,2,3,4},KMB!T257,KMB!X257,KMB!AB257,KMB!AF257))=4)*(CHOOSE({1,2,3,4},KMB!W257,KMB!AA257,KMB!AE257,KMB!AI257)))</f>
        <v>0</v>
      </c>
      <c r="E257">
        <f>SUMPRODUCT((MONTH(CHOOSE({1,2,3,4},KMB!T257,KMB!X257,KMB!AB257,KMB!AF257))=5)*(CHOOSE({1,2,3,4},KMB!W257,KMB!AA257,KMB!AE257,KMB!AI257)))</f>
        <v>0</v>
      </c>
      <c r="F257">
        <f>SUMPRODUCT((MONTH(CHOOSE({1,2,3,4},KMB!T257,KMB!X257,KMB!AB257,KMB!AF257))=6)*(CHOOSE({1,2,3,4},KMB!W257,KMB!AA257,KMB!AE257,KMB!AI257)))</f>
        <v>0</v>
      </c>
      <c r="G257">
        <f>SUMPRODUCT((MONTH(CHOOSE({1,2,3,4},KMB!T257,KMB!X257,KMB!AB257,KMB!AF257))=7)*(CHOOSE({1,2,3,4},KMB!W257,KMB!AA257,KMB!AE257,KMB!AI257)))</f>
        <v>0</v>
      </c>
      <c r="H257">
        <f>SUMPRODUCT((MONTH(CHOOSE({1,2,3,4},KMB!T257,KMB!X257,KMB!AB257,KMB!AF257))=8)*(CHOOSE({1,2,3,4},KMB!W257,KMB!AA257,KMB!AE257,KMB!AI257)))</f>
        <v>0</v>
      </c>
      <c r="I257">
        <f>SUMPRODUCT((MONTH(CHOOSE({1,2,3,4},KMB!T257,KMB!X257,KMB!AB257,KMB!AF257))=9)*(CHOOSE({1,2,3,4},KMB!W257,KMB!AA257,KMB!AE257,KMB!AI257)))</f>
        <v>0</v>
      </c>
      <c r="J257">
        <f>SUMPRODUCT((MONTH(CHOOSE({1,2,3,4},KMB!T257,KMB!X257,KMB!AB257,KMB!AF257))=10)*(CHOOSE({1,2,3,4},KMB!W257,KMB!AA257,KMB!AE257,KMB!AI257)))</f>
        <v>0</v>
      </c>
      <c r="K257">
        <f>SUMPRODUCT((MONTH(CHOOSE({1,2,3,4},KMB!T257,KMB!X257,KMB!AB257,KMB!AF257))=11)*(CHOOSE({1,2,3,4},KMB!W257,KMB!AA257,KMB!AE257,KMB!AI257)))</f>
        <v>0</v>
      </c>
      <c r="L257">
        <f>SUMPRODUCT((MONTH(CHOOSE({1,2,3,4},KMB!T257,KMB!X257,KMB!AB257,KMB!AF257))=12)*(CHOOSE({1,2,3,4},KMB!W257,KMB!AA257,KMB!AE257,KMB!AI257)))</f>
        <v>0</v>
      </c>
    </row>
    <row r="258" spans="1:12">
      <c r="A258">
        <f>SUMPRODUCT((MONTH(CHOOSE({1,2,3,4},KMB!T258,KMB!X258,KMB!AB258,KMB!AF258))=1)*(CHOOSE({1,2,3,4},KMB!W258,KMB!AA258,KMB!AE258,KMB!AI258)))</f>
        <v>0</v>
      </c>
      <c r="B258">
        <f>SUMPRODUCT((MONTH(CHOOSE({1,2,3,4},KMB!T258,KMB!X258,KMB!AB258,KMB!AF258))=2)*(CHOOSE({1,2,3,4},KMB!W258,KMB!AA258,KMB!AE258,KMB!AI258)))</f>
        <v>0</v>
      </c>
      <c r="C258">
        <f>SUMPRODUCT((MONTH(CHOOSE({1,2,3,4},KMB!T258,KMB!X258,KMB!AB258,KMB!AF258))=3)*(CHOOSE({1,2,3,4},KMB!W258,KMB!AA258,KMB!AE258,KMB!AI258)))</f>
        <v>0</v>
      </c>
      <c r="D258">
        <f>SUMPRODUCT((MONTH(CHOOSE({1,2,3,4},KMB!T258,KMB!X258,KMB!AB258,KMB!AF258))=4)*(CHOOSE({1,2,3,4},KMB!W258,KMB!AA258,KMB!AE258,KMB!AI258)))</f>
        <v>0</v>
      </c>
      <c r="E258">
        <f>SUMPRODUCT((MONTH(CHOOSE({1,2,3,4},KMB!T258,KMB!X258,KMB!AB258,KMB!AF258))=5)*(CHOOSE({1,2,3,4},KMB!W258,KMB!AA258,KMB!AE258,KMB!AI258)))</f>
        <v>0</v>
      </c>
      <c r="F258">
        <f>SUMPRODUCT((MONTH(CHOOSE({1,2,3,4},KMB!T258,KMB!X258,KMB!AB258,KMB!AF258))=6)*(CHOOSE({1,2,3,4},KMB!W258,KMB!AA258,KMB!AE258,KMB!AI258)))</f>
        <v>0</v>
      </c>
      <c r="G258">
        <f>SUMPRODUCT((MONTH(CHOOSE({1,2,3,4},KMB!T258,KMB!X258,KMB!AB258,KMB!AF258))=7)*(CHOOSE({1,2,3,4},KMB!W258,KMB!AA258,KMB!AE258,KMB!AI258)))</f>
        <v>0</v>
      </c>
      <c r="H258">
        <f>SUMPRODUCT((MONTH(CHOOSE({1,2,3,4},KMB!T258,KMB!X258,KMB!AB258,KMB!AF258))=8)*(CHOOSE({1,2,3,4},KMB!W258,KMB!AA258,KMB!AE258,KMB!AI258)))</f>
        <v>0</v>
      </c>
      <c r="I258">
        <f>SUMPRODUCT((MONTH(CHOOSE({1,2,3,4},KMB!T258,KMB!X258,KMB!AB258,KMB!AF258))=9)*(CHOOSE({1,2,3,4},KMB!W258,KMB!AA258,KMB!AE258,KMB!AI258)))</f>
        <v>0</v>
      </c>
      <c r="J258">
        <f>SUMPRODUCT((MONTH(CHOOSE({1,2,3,4},KMB!T258,KMB!X258,KMB!AB258,KMB!AF258))=10)*(CHOOSE({1,2,3,4},KMB!W258,KMB!AA258,KMB!AE258,KMB!AI258)))</f>
        <v>0</v>
      </c>
      <c r="K258">
        <f>SUMPRODUCT((MONTH(CHOOSE({1,2,3,4},KMB!T258,KMB!X258,KMB!AB258,KMB!AF258))=11)*(CHOOSE({1,2,3,4},KMB!W258,KMB!AA258,KMB!AE258,KMB!AI258)))</f>
        <v>0</v>
      </c>
      <c r="L258">
        <f>SUMPRODUCT((MONTH(CHOOSE({1,2,3,4},KMB!T258,KMB!X258,KMB!AB258,KMB!AF258))=12)*(CHOOSE({1,2,3,4},KMB!W258,KMB!AA258,KMB!AE258,KMB!AI258)))</f>
        <v>0</v>
      </c>
    </row>
    <row r="259" spans="1:12">
      <c r="A259">
        <f>SUMPRODUCT((MONTH(CHOOSE({1,2,3,4},KMB!T259,KMB!X259,KMB!AB259,KMB!AF259))=1)*(CHOOSE({1,2,3,4},KMB!W259,KMB!AA259,KMB!AE259,KMB!AI259)))</f>
        <v>0</v>
      </c>
      <c r="B259">
        <f>SUMPRODUCT((MONTH(CHOOSE({1,2,3,4},KMB!T259,KMB!X259,KMB!AB259,KMB!AF259))=2)*(CHOOSE({1,2,3,4},KMB!W259,KMB!AA259,KMB!AE259,KMB!AI259)))</f>
        <v>0</v>
      </c>
      <c r="C259">
        <f>SUMPRODUCT((MONTH(CHOOSE({1,2,3,4},KMB!T259,KMB!X259,KMB!AB259,KMB!AF259))=3)*(CHOOSE({1,2,3,4},KMB!W259,KMB!AA259,KMB!AE259,KMB!AI259)))</f>
        <v>0</v>
      </c>
      <c r="D259">
        <f>SUMPRODUCT((MONTH(CHOOSE({1,2,3,4},KMB!T259,KMB!X259,KMB!AB259,KMB!AF259))=4)*(CHOOSE({1,2,3,4},KMB!W259,KMB!AA259,KMB!AE259,KMB!AI259)))</f>
        <v>0</v>
      </c>
      <c r="E259">
        <f>SUMPRODUCT((MONTH(CHOOSE({1,2,3,4},KMB!T259,KMB!X259,KMB!AB259,KMB!AF259))=5)*(CHOOSE({1,2,3,4},KMB!W259,KMB!AA259,KMB!AE259,KMB!AI259)))</f>
        <v>0</v>
      </c>
      <c r="F259">
        <f>SUMPRODUCT((MONTH(CHOOSE({1,2,3,4},KMB!T259,KMB!X259,KMB!AB259,KMB!AF259))=6)*(CHOOSE({1,2,3,4},KMB!W259,KMB!AA259,KMB!AE259,KMB!AI259)))</f>
        <v>0</v>
      </c>
      <c r="G259">
        <f>SUMPRODUCT((MONTH(CHOOSE({1,2,3,4},KMB!T259,KMB!X259,KMB!AB259,KMB!AF259))=7)*(CHOOSE({1,2,3,4},KMB!W259,KMB!AA259,KMB!AE259,KMB!AI259)))</f>
        <v>0</v>
      </c>
      <c r="H259">
        <f>SUMPRODUCT((MONTH(CHOOSE({1,2,3,4},KMB!T259,KMB!X259,KMB!AB259,KMB!AF259))=8)*(CHOOSE({1,2,3,4},KMB!W259,KMB!AA259,KMB!AE259,KMB!AI259)))</f>
        <v>0</v>
      </c>
      <c r="I259">
        <f>SUMPRODUCT((MONTH(CHOOSE({1,2,3,4},KMB!T259,KMB!X259,KMB!AB259,KMB!AF259))=9)*(CHOOSE({1,2,3,4},KMB!W259,KMB!AA259,KMB!AE259,KMB!AI259)))</f>
        <v>0</v>
      </c>
      <c r="J259">
        <f>SUMPRODUCT((MONTH(CHOOSE({1,2,3,4},KMB!T259,KMB!X259,KMB!AB259,KMB!AF259))=10)*(CHOOSE({1,2,3,4},KMB!W259,KMB!AA259,KMB!AE259,KMB!AI259)))</f>
        <v>0</v>
      </c>
      <c r="K259">
        <f>SUMPRODUCT((MONTH(CHOOSE({1,2,3,4},KMB!T259,KMB!X259,KMB!AB259,KMB!AF259))=11)*(CHOOSE({1,2,3,4},KMB!W259,KMB!AA259,KMB!AE259,KMB!AI259)))</f>
        <v>0</v>
      </c>
      <c r="L259">
        <f>SUMPRODUCT((MONTH(CHOOSE({1,2,3,4},KMB!T259,KMB!X259,KMB!AB259,KMB!AF259))=12)*(CHOOSE({1,2,3,4},KMB!W259,KMB!AA259,KMB!AE259,KMB!AI259)))</f>
        <v>0</v>
      </c>
    </row>
    <row r="260" spans="1:12">
      <c r="A260">
        <f>SUMPRODUCT((MONTH(CHOOSE({1,2,3,4},KMB!T260,KMB!X260,KMB!AB260,KMB!AF260))=1)*(CHOOSE({1,2,3,4},KMB!W260,KMB!AA260,KMB!AE260,KMB!AI260)))</f>
        <v>0</v>
      </c>
      <c r="B260">
        <f>SUMPRODUCT((MONTH(CHOOSE({1,2,3,4},KMB!T260,KMB!X260,KMB!AB260,KMB!AF260))=2)*(CHOOSE({1,2,3,4},KMB!W260,KMB!AA260,KMB!AE260,KMB!AI260)))</f>
        <v>0</v>
      </c>
      <c r="C260">
        <f>SUMPRODUCT((MONTH(CHOOSE({1,2,3,4},KMB!T260,KMB!X260,KMB!AB260,KMB!AF260))=3)*(CHOOSE({1,2,3,4},KMB!W260,KMB!AA260,KMB!AE260,KMB!AI260)))</f>
        <v>0</v>
      </c>
      <c r="D260">
        <f>SUMPRODUCT((MONTH(CHOOSE({1,2,3,4},KMB!T260,KMB!X260,KMB!AB260,KMB!AF260))=4)*(CHOOSE({1,2,3,4},KMB!W260,KMB!AA260,KMB!AE260,KMB!AI260)))</f>
        <v>0</v>
      </c>
      <c r="E260">
        <f>SUMPRODUCT((MONTH(CHOOSE({1,2,3,4},KMB!T260,KMB!X260,KMB!AB260,KMB!AF260))=5)*(CHOOSE({1,2,3,4},KMB!W260,KMB!AA260,KMB!AE260,KMB!AI260)))</f>
        <v>0</v>
      </c>
      <c r="F260">
        <f>SUMPRODUCT((MONTH(CHOOSE({1,2,3,4},KMB!T260,KMB!X260,KMB!AB260,KMB!AF260))=6)*(CHOOSE({1,2,3,4},KMB!W260,KMB!AA260,KMB!AE260,KMB!AI260)))</f>
        <v>0</v>
      </c>
      <c r="G260">
        <f>SUMPRODUCT((MONTH(CHOOSE({1,2,3,4},KMB!T260,KMB!X260,KMB!AB260,KMB!AF260))=7)*(CHOOSE({1,2,3,4},KMB!W260,KMB!AA260,KMB!AE260,KMB!AI260)))</f>
        <v>0</v>
      </c>
      <c r="H260">
        <f>SUMPRODUCT((MONTH(CHOOSE({1,2,3,4},KMB!T260,KMB!X260,KMB!AB260,KMB!AF260))=8)*(CHOOSE({1,2,3,4},KMB!W260,KMB!AA260,KMB!AE260,KMB!AI260)))</f>
        <v>0</v>
      </c>
      <c r="I260">
        <f>SUMPRODUCT((MONTH(CHOOSE({1,2,3,4},KMB!T260,KMB!X260,KMB!AB260,KMB!AF260))=9)*(CHOOSE({1,2,3,4},KMB!W260,KMB!AA260,KMB!AE260,KMB!AI260)))</f>
        <v>0</v>
      </c>
      <c r="J260">
        <f>SUMPRODUCT((MONTH(CHOOSE({1,2,3,4},KMB!T260,KMB!X260,KMB!AB260,KMB!AF260))=10)*(CHOOSE({1,2,3,4},KMB!W260,KMB!AA260,KMB!AE260,KMB!AI260)))</f>
        <v>0</v>
      </c>
      <c r="K260">
        <f>SUMPRODUCT((MONTH(CHOOSE({1,2,3,4},KMB!T260,KMB!X260,KMB!AB260,KMB!AF260))=11)*(CHOOSE({1,2,3,4},KMB!W260,KMB!AA260,KMB!AE260,KMB!AI260)))</f>
        <v>0</v>
      </c>
      <c r="L260">
        <f>SUMPRODUCT((MONTH(CHOOSE({1,2,3,4},KMB!T260,KMB!X260,KMB!AB260,KMB!AF260))=12)*(CHOOSE({1,2,3,4},KMB!W260,KMB!AA260,KMB!AE260,KMB!AI260)))</f>
        <v>0</v>
      </c>
    </row>
    <row r="261" spans="1:12">
      <c r="A261">
        <f>SUMPRODUCT((MONTH(CHOOSE({1,2,3,4},KMB!T261,KMB!X261,KMB!AB261,KMB!AF261))=1)*(CHOOSE({1,2,3,4},KMB!W261,KMB!AA261,KMB!AE261,KMB!AI261)))</f>
        <v>0</v>
      </c>
      <c r="B261">
        <f>SUMPRODUCT((MONTH(CHOOSE({1,2,3,4},KMB!T261,KMB!X261,KMB!AB261,KMB!AF261))=2)*(CHOOSE({1,2,3,4},KMB!W261,KMB!AA261,KMB!AE261,KMB!AI261)))</f>
        <v>0</v>
      </c>
      <c r="C261">
        <f>SUMPRODUCT((MONTH(CHOOSE({1,2,3,4},KMB!T261,KMB!X261,KMB!AB261,KMB!AF261))=3)*(CHOOSE({1,2,3,4},KMB!W261,KMB!AA261,KMB!AE261,KMB!AI261)))</f>
        <v>0</v>
      </c>
      <c r="D261">
        <f>SUMPRODUCT((MONTH(CHOOSE({1,2,3,4},KMB!T261,KMB!X261,KMB!AB261,KMB!AF261))=4)*(CHOOSE({1,2,3,4},KMB!W261,KMB!AA261,KMB!AE261,KMB!AI261)))</f>
        <v>0</v>
      </c>
      <c r="E261">
        <f>SUMPRODUCT((MONTH(CHOOSE({1,2,3,4},KMB!T261,KMB!X261,KMB!AB261,KMB!AF261))=5)*(CHOOSE({1,2,3,4},KMB!W261,KMB!AA261,KMB!AE261,KMB!AI261)))</f>
        <v>0</v>
      </c>
      <c r="F261">
        <f>SUMPRODUCT((MONTH(CHOOSE({1,2,3,4},KMB!T261,KMB!X261,KMB!AB261,KMB!AF261))=6)*(CHOOSE({1,2,3,4},KMB!W261,KMB!AA261,KMB!AE261,KMB!AI261)))</f>
        <v>0</v>
      </c>
      <c r="G261">
        <f>SUMPRODUCT((MONTH(CHOOSE({1,2,3,4},KMB!T261,KMB!X261,KMB!AB261,KMB!AF261))=7)*(CHOOSE({1,2,3,4},KMB!W261,KMB!AA261,KMB!AE261,KMB!AI261)))</f>
        <v>0</v>
      </c>
      <c r="H261">
        <f>SUMPRODUCT((MONTH(CHOOSE({1,2,3,4},KMB!T261,KMB!X261,KMB!AB261,KMB!AF261))=8)*(CHOOSE({1,2,3,4},KMB!W261,KMB!AA261,KMB!AE261,KMB!AI261)))</f>
        <v>0</v>
      </c>
      <c r="I261">
        <f>SUMPRODUCT((MONTH(CHOOSE({1,2,3,4},KMB!T261,KMB!X261,KMB!AB261,KMB!AF261))=9)*(CHOOSE({1,2,3,4},KMB!W261,KMB!AA261,KMB!AE261,KMB!AI261)))</f>
        <v>0</v>
      </c>
      <c r="J261">
        <f>SUMPRODUCT((MONTH(CHOOSE({1,2,3,4},KMB!T261,KMB!X261,KMB!AB261,KMB!AF261))=10)*(CHOOSE({1,2,3,4},KMB!W261,KMB!AA261,KMB!AE261,KMB!AI261)))</f>
        <v>0</v>
      </c>
      <c r="K261">
        <f>SUMPRODUCT((MONTH(CHOOSE({1,2,3,4},KMB!T261,KMB!X261,KMB!AB261,KMB!AF261))=11)*(CHOOSE({1,2,3,4},KMB!W261,KMB!AA261,KMB!AE261,KMB!AI261)))</f>
        <v>0</v>
      </c>
      <c r="L261">
        <f>SUMPRODUCT((MONTH(CHOOSE({1,2,3,4},KMB!T261,KMB!X261,KMB!AB261,KMB!AF261))=12)*(CHOOSE({1,2,3,4},KMB!W261,KMB!AA261,KMB!AE261,KMB!AI261)))</f>
        <v>0</v>
      </c>
    </row>
    <row r="262" spans="1:12">
      <c r="A262">
        <f>SUMPRODUCT((MONTH(CHOOSE({1,2,3,4},KMB!T262,KMB!X262,KMB!AB262,KMB!AF262))=1)*(CHOOSE({1,2,3,4},KMB!W262,KMB!AA262,KMB!AE262,KMB!AI262)))</f>
        <v>0</v>
      </c>
      <c r="B262">
        <f>SUMPRODUCT((MONTH(CHOOSE({1,2,3,4},KMB!T262,KMB!X262,KMB!AB262,KMB!AF262))=2)*(CHOOSE({1,2,3,4},KMB!W262,KMB!AA262,KMB!AE262,KMB!AI262)))</f>
        <v>0</v>
      </c>
      <c r="C262">
        <f>SUMPRODUCT((MONTH(CHOOSE({1,2,3,4},KMB!T262,KMB!X262,KMB!AB262,KMB!AF262))=3)*(CHOOSE({1,2,3,4},KMB!W262,KMB!AA262,KMB!AE262,KMB!AI262)))</f>
        <v>0</v>
      </c>
      <c r="D262">
        <f>SUMPRODUCT((MONTH(CHOOSE({1,2,3,4},KMB!T262,KMB!X262,KMB!AB262,KMB!AF262))=4)*(CHOOSE({1,2,3,4},KMB!W262,KMB!AA262,KMB!AE262,KMB!AI262)))</f>
        <v>0</v>
      </c>
      <c r="E262">
        <f>SUMPRODUCT((MONTH(CHOOSE({1,2,3,4},KMB!T262,KMB!X262,KMB!AB262,KMB!AF262))=5)*(CHOOSE({1,2,3,4},KMB!W262,KMB!AA262,KMB!AE262,KMB!AI262)))</f>
        <v>0</v>
      </c>
      <c r="F262">
        <f>SUMPRODUCT((MONTH(CHOOSE({1,2,3,4},KMB!T262,KMB!X262,KMB!AB262,KMB!AF262))=6)*(CHOOSE({1,2,3,4},KMB!W262,KMB!AA262,KMB!AE262,KMB!AI262)))</f>
        <v>0</v>
      </c>
      <c r="G262">
        <f>SUMPRODUCT((MONTH(CHOOSE({1,2,3,4},KMB!T262,KMB!X262,KMB!AB262,KMB!AF262))=7)*(CHOOSE({1,2,3,4},KMB!W262,KMB!AA262,KMB!AE262,KMB!AI262)))</f>
        <v>0</v>
      </c>
      <c r="H262">
        <f>SUMPRODUCT((MONTH(CHOOSE({1,2,3,4},KMB!T262,KMB!X262,KMB!AB262,KMB!AF262))=8)*(CHOOSE({1,2,3,4},KMB!W262,KMB!AA262,KMB!AE262,KMB!AI262)))</f>
        <v>0</v>
      </c>
      <c r="I262">
        <f>SUMPRODUCT((MONTH(CHOOSE({1,2,3,4},KMB!T262,KMB!X262,KMB!AB262,KMB!AF262))=9)*(CHOOSE({1,2,3,4},KMB!W262,KMB!AA262,KMB!AE262,KMB!AI262)))</f>
        <v>0</v>
      </c>
      <c r="J262">
        <f>SUMPRODUCT((MONTH(CHOOSE({1,2,3,4},KMB!T262,KMB!X262,KMB!AB262,KMB!AF262))=10)*(CHOOSE({1,2,3,4},KMB!W262,KMB!AA262,KMB!AE262,KMB!AI262)))</f>
        <v>0</v>
      </c>
      <c r="K262">
        <f>SUMPRODUCT((MONTH(CHOOSE({1,2,3,4},KMB!T262,KMB!X262,KMB!AB262,KMB!AF262))=11)*(CHOOSE({1,2,3,4},KMB!W262,KMB!AA262,KMB!AE262,KMB!AI262)))</f>
        <v>0</v>
      </c>
      <c r="L262">
        <f>SUMPRODUCT((MONTH(CHOOSE({1,2,3,4},KMB!T262,KMB!X262,KMB!AB262,KMB!AF262))=12)*(CHOOSE({1,2,3,4},KMB!W262,KMB!AA262,KMB!AE262,KMB!AI262)))</f>
        <v>0</v>
      </c>
    </row>
    <row r="263" spans="1:12">
      <c r="A263">
        <f>SUMPRODUCT((MONTH(CHOOSE({1,2,3,4},KMB!T263,KMB!X263,KMB!AB263,KMB!AF263))=1)*(CHOOSE({1,2,3,4},KMB!W263,KMB!AA263,KMB!AE263,KMB!AI263)))</f>
        <v>0</v>
      </c>
      <c r="B263">
        <f>SUMPRODUCT((MONTH(CHOOSE({1,2,3,4},KMB!T263,KMB!X263,KMB!AB263,KMB!AF263))=2)*(CHOOSE({1,2,3,4},KMB!W263,KMB!AA263,KMB!AE263,KMB!AI263)))</f>
        <v>0</v>
      </c>
      <c r="C263">
        <f>SUMPRODUCT((MONTH(CHOOSE({1,2,3,4},KMB!T263,KMB!X263,KMB!AB263,KMB!AF263))=3)*(CHOOSE({1,2,3,4},KMB!W263,KMB!AA263,KMB!AE263,KMB!AI263)))</f>
        <v>0</v>
      </c>
      <c r="D263">
        <f>SUMPRODUCT((MONTH(CHOOSE({1,2,3,4},KMB!T263,KMB!X263,KMB!AB263,KMB!AF263))=4)*(CHOOSE({1,2,3,4},KMB!W263,KMB!AA263,KMB!AE263,KMB!AI263)))</f>
        <v>0</v>
      </c>
      <c r="E263">
        <f>SUMPRODUCT((MONTH(CHOOSE({1,2,3,4},KMB!T263,KMB!X263,KMB!AB263,KMB!AF263))=5)*(CHOOSE({1,2,3,4},KMB!W263,KMB!AA263,KMB!AE263,KMB!AI263)))</f>
        <v>0</v>
      </c>
      <c r="F263">
        <f>SUMPRODUCT((MONTH(CHOOSE({1,2,3,4},KMB!T263,KMB!X263,KMB!AB263,KMB!AF263))=6)*(CHOOSE({1,2,3,4},KMB!W263,KMB!AA263,KMB!AE263,KMB!AI263)))</f>
        <v>0</v>
      </c>
      <c r="G263">
        <f>SUMPRODUCT((MONTH(CHOOSE({1,2,3,4},KMB!T263,KMB!X263,KMB!AB263,KMB!AF263))=7)*(CHOOSE({1,2,3,4},KMB!W263,KMB!AA263,KMB!AE263,KMB!AI263)))</f>
        <v>0</v>
      </c>
      <c r="H263">
        <f>SUMPRODUCT((MONTH(CHOOSE({1,2,3,4},KMB!T263,KMB!X263,KMB!AB263,KMB!AF263))=8)*(CHOOSE({1,2,3,4},KMB!W263,KMB!AA263,KMB!AE263,KMB!AI263)))</f>
        <v>0</v>
      </c>
      <c r="I263">
        <f>SUMPRODUCT((MONTH(CHOOSE({1,2,3,4},KMB!T263,KMB!X263,KMB!AB263,KMB!AF263))=9)*(CHOOSE({1,2,3,4},KMB!W263,KMB!AA263,KMB!AE263,KMB!AI263)))</f>
        <v>0</v>
      </c>
      <c r="J263">
        <f>SUMPRODUCT((MONTH(CHOOSE({1,2,3,4},KMB!T263,KMB!X263,KMB!AB263,KMB!AF263))=10)*(CHOOSE({1,2,3,4},KMB!W263,KMB!AA263,KMB!AE263,KMB!AI263)))</f>
        <v>0</v>
      </c>
      <c r="K263">
        <f>SUMPRODUCT((MONTH(CHOOSE({1,2,3,4},KMB!T263,KMB!X263,KMB!AB263,KMB!AF263))=11)*(CHOOSE({1,2,3,4},KMB!W263,KMB!AA263,KMB!AE263,KMB!AI263)))</f>
        <v>0</v>
      </c>
      <c r="L263">
        <f>SUMPRODUCT((MONTH(CHOOSE({1,2,3,4},KMB!T263,KMB!X263,KMB!AB263,KMB!AF263))=12)*(CHOOSE({1,2,3,4},KMB!W263,KMB!AA263,KMB!AE263,KMB!AI263)))</f>
        <v>0</v>
      </c>
    </row>
    <row r="264" spans="1:12">
      <c r="A264">
        <f>SUMPRODUCT((MONTH(CHOOSE({1,2,3,4},KMB!T264,KMB!X264,KMB!AB264,KMB!AF264))=1)*(CHOOSE({1,2,3,4},KMB!W264,KMB!AA264,KMB!AE264,KMB!AI264)))</f>
        <v>0</v>
      </c>
      <c r="B264">
        <f>SUMPRODUCT((MONTH(CHOOSE({1,2,3,4},KMB!T264,KMB!X264,KMB!AB264,KMB!AF264))=2)*(CHOOSE({1,2,3,4},KMB!W264,KMB!AA264,KMB!AE264,KMB!AI264)))</f>
        <v>0</v>
      </c>
      <c r="C264">
        <f>SUMPRODUCT((MONTH(CHOOSE({1,2,3,4},KMB!T264,KMB!X264,KMB!AB264,KMB!AF264))=3)*(CHOOSE({1,2,3,4},KMB!W264,KMB!AA264,KMB!AE264,KMB!AI264)))</f>
        <v>0</v>
      </c>
      <c r="D264">
        <f>SUMPRODUCT((MONTH(CHOOSE({1,2,3,4},KMB!T264,KMB!X264,KMB!AB264,KMB!AF264))=4)*(CHOOSE({1,2,3,4},KMB!W264,KMB!AA264,KMB!AE264,KMB!AI264)))</f>
        <v>0</v>
      </c>
      <c r="E264">
        <f>SUMPRODUCT((MONTH(CHOOSE({1,2,3,4},KMB!T264,KMB!X264,KMB!AB264,KMB!AF264))=5)*(CHOOSE({1,2,3,4},KMB!W264,KMB!AA264,KMB!AE264,KMB!AI264)))</f>
        <v>0</v>
      </c>
      <c r="F264">
        <f>SUMPRODUCT((MONTH(CHOOSE({1,2,3,4},KMB!T264,KMB!X264,KMB!AB264,KMB!AF264))=6)*(CHOOSE({1,2,3,4},KMB!W264,KMB!AA264,KMB!AE264,KMB!AI264)))</f>
        <v>0</v>
      </c>
      <c r="G264">
        <f>SUMPRODUCT((MONTH(CHOOSE({1,2,3,4},KMB!T264,KMB!X264,KMB!AB264,KMB!AF264))=7)*(CHOOSE({1,2,3,4},KMB!W264,KMB!AA264,KMB!AE264,KMB!AI264)))</f>
        <v>0</v>
      </c>
      <c r="H264">
        <f>SUMPRODUCT((MONTH(CHOOSE({1,2,3,4},KMB!T264,KMB!X264,KMB!AB264,KMB!AF264))=8)*(CHOOSE({1,2,3,4},KMB!W264,KMB!AA264,KMB!AE264,KMB!AI264)))</f>
        <v>0</v>
      </c>
      <c r="I264">
        <f>SUMPRODUCT((MONTH(CHOOSE({1,2,3,4},KMB!T264,KMB!X264,KMB!AB264,KMB!AF264))=9)*(CHOOSE({1,2,3,4},KMB!W264,KMB!AA264,KMB!AE264,KMB!AI264)))</f>
        <v>0</v>
      </c>
      <c r="J264">
        <f>SUMPRODUCT((MONTH(CHOOSE({1,2,3,4},KMB!T264,KMB!X264,KMB!AB264,KMB!AF264))=10)*(CHOOSE({1,2,3,4},KMB!W264,KMB!AA264,KMB!AE264,KMB!AI264)))</f>
        <v>0</v>
      </c>
      <c r="K264">
        <f>SUMPRODUCT((MONTH(CHOOSE({1,2,3,4},KMB!T264,KMB!X264,KMB!AB264,KMB!AF264))=11)*(CHOOSE({1,2,3,4},KMB!W264,KMB!AA264,KMB!AE264,KMB!AI264)))</f>
        <v>0</v>
      </c>
      <c r="L264">
        <f>SUMPRODUCT((MONTH(CHOOSE({1,2,3,4},KMB!T264,KMB!X264,KMB!AB264,KMB!AF264))=12)*(CHOOSE({1,2,3,4},KMB!W264,KMB!AA264,KMB!AE264,KMB!AI264)))</f>
        <v>0</v>
      </c>
    </row>
    <row r="265" spans="1:12">
      <c r="A265">
        <f>SUMPRODUCT((MONTH(CHOOSE({1,2,3,4},KMB!T265,KMB!X265,KMB!AB265,KMB!AF265))=1)*(CHOOSE({1,2,3,4},KMB!W265,KMB!AA265,KMB!AE265,KMB!AI265)))</f>
        <v>0</v>
      </c>
      <c r="B265">
        <f>SUMPRODUCT((MONTH(CHOOSE({1,2,3,4},KMB!T265,KMB!X265,KMB!AB265,KMB!AF265))=2)*(CHOOSE({1,2,3,4},KMB!W265,KMB!AA265,KMB!AE265,KMB!AI265)))</f>
        <v>0</v>
      </c>
      <c r="C265">
        <f>SUMPRODUCT((MONTH(CHOOSE({1,2,3,4},KMB!T265,KMB!X265,KMB!AB265,KMB!AF265))=3)*(CHOOSE({1,2,3,4},KMB!W265,KMB!AA265,KMB!AE265,KMB!AI265)))</f>
        <v>0</v>
      </c>
      <c r="D265">
        <f>SUMPRODUCT((MONTH(CHOOSE({1,2,3,4},KMB!T265,KMB!X265,KMB!AB265,KMB!AF265))=4)*(CHOOSE({1,2,3,4},KMB!W265,KMB!AA265,KMB!AE265,KMB!AI265)))</f>
        <v>0</v>
      </c>
      <c r="E265">
        <f>SUMPRODUCT((MONTH(CHOOSE({1,2,3,4},KMB!T265,KMB!X265,KMB!AB265,KMB!AF265))=5)*(CHOOSE({1,2,3,4},KMB!W265,KMB!AA265,KMB!AE265,KMB!AI265)))</f>
        <v>0</v>
      </c>
      <c r="F265">
        <f>SUMPRODUCT((MONTH(CHOOSE({1,2,3,4},KMB!T265,KMB!X265,KMB!AB265,KMB!AF265))=6)*(CHOOSE({1,2,3,4},KMB!W265,KMB!AA265,KMB!AE265,KMB!AI265)))</f>
        <v>0</v>
      </c>
      <c r="G265">
        <f>SUMPRODUCT((MONTH(CHOOSE({1,2,3,4},KMB!T265,KMB!X265,KMB!AB265,KMB!AF265))=7)*(CHOOSE({1,2,3,4},KMB!W265,KMB!AA265,KMB!AE265,KMB!AI265)))</f>
        <v>0</v>
      </c>
      <c r="H265">
        <f>SUMPRODUCT((MONTH(CHOOSE({1,2,3,4},KMB!T265,KMB!X265,KMB!AB265,KMB!AF265))=8)*(CHOOSE({1,2,3,4},KMB!W265,KMB!AA265,KMB!AE265,KMB!AI265)))</f>
        <v>0</v>
      </c>
      <c r="I265">
        <f>SUMPRODUCT((MONTH(CHOOSE({1,2,3,4},KMB!T265,KMB!X265,KMB!AB265,KMB!AF265))=9)*(CHOOSE({1,2,3,4},KMB!W265,KMB!AA265,KMB!AE265,KMB!AI265)))</f>
        <v>0</v>
      </c>
      <c r="J265">
        <f>SUMPRODUCT((MONTH(CHOOSE({1,2,3,4},KMB!T265,KMB!X265,KMB!AB265,KMB!AF265))=10)*(CHOOSE({1,2,3,4},KMB!W265,KMB!AA265,KMB!AE265,KMB!AI265)))</f>
        <v>0</v>
      </c>
      <c r="K265">
        <f>SUMPRODUCT((MONTH(CHOOSE({1,2,3,4},KMB!T265,KMB!X265,KMB!AB265,KMB!AF265))=11)*(CHOOSE({1,2,3,4},KMB!W265,KMB!AA265,KMB!AE265,KMB!AI265)))</f>
        <v>0</v>
      </c>
      <c r="L265">
        <f>SUMPRODUCT((MONTH(CHOOSE({1,2,3,4},KMB!T265,KMB!X265,KMB!AB265,KMB!AF265))=12)*(CHOOSE({1,2,3,4},KMB!W265,KMB!AA265,KMB!AE265,KMB!AI265)))</f>
        <v>0</v>
      </c>
    </row>
    <row r="266" spans="1:12">
      <c r="A266">
        <f>SUMPRODUCT((MONTH(CHOOSE({1,2,3,4},KMB!T266,KMB!X266,KMB!AB266,KMB!AF266))=1)*(CHOOSE({1,2,3,4},KMB!W266,KMB!AA266,KMB!AE266,KMB!AI266)))</f>
        <v>0</v>
      </c>
      <c r="B266">
        <f>SUMPRODUCT((MONTH(CHOOSE({1,2,3,4},KMB!T266,KMB!X266,KMB!AB266,KMB!AF266))=2)*(CHOOSE({1,2,3,4},KMB!W266,KMB!AA266,KMB!AE266,KMB!AI266)))</f>
        <v>0</v>
      </c>
      <c r="C266">
        <f>SUMPRODUCT((MONTH(CHOOSE({1,2,3,4},KMB!T266,KMB!X266,KMB!AB266,KMB!AF266))=3)*(CHOOSE({1,2,3,4},KMB!W266,KMB!AA266,KMB!AE266,KMB!AI266)))</f>
        <v>0</v>
      </c>
      <c r="D266">
        <f>SUMPRODUCT((MONTH(CHOOSE({1,2,3,4},KMB!T266,KMB!X266,KMB!AB266,KMB!AF266))=4)*(CHOOSE({1,2,3,4},KMB!W266,KMB!AA266,KMB!AE266,KMB!AI266)))</f>
        <v>0</v>
      </c>
      <c r="E266">
        <f>SUMPRODUCT((MONTH(CHOOSE({1,2,3,4},KMB!T266,KMB!X266,KMB!AB266,KMB!AF266))=5)*(CHOOSE({1,2,3,4},KMB!W266,KMB!AA266,KMB!AE266,KMB!AI266)))</f>
        <v>0</v>
      </c>
      <c r="F266">
        <f>SUMPRODUCT((MONTH(CHOOSE({1,2,3,4},KMB!T266,KMB!X266,KMB!AB266,KMB!AF266))=6)*(CHOOSE({1,2,3,4},KMB!W266,KMB!AA266,KMB!AE266,KMB!AI266)))</f>
        <v>0</v>
      </c>
      <c r="G266">
        <f>SUMPRODUCT((MONTH(CHOOSE({1,2,3,4},KMB!T266,KMB!X266,KMB!AB266,KMB!AF266))=7)*(CHOOSE({1,2,3,4},KMB!W266,KMB!AA266,KMB!AE266,KMB!AI266)))</f>
        <v>0</v>
      </c>
      <c r="H266">
        <f>SUMPRODUCT((MONTH(CHOOSE({1,2,3,4},KMB!T266,KMB!X266,KMB!AB266,KMB!AF266))=8)*(CHOOSE({1,2,3,4},KMB!W266,KMB!AA266,KMB!AE266,KMB!AI266)))</f>
        <v>0</v>
      </c>
      <c r="I266">
        <f>SUMPRODUCT((MONTH(CHOOSE({1,2,3,4},KMB!T266,KMB!X266,KMB!AB266,KMB!AF266))=9)*(CHOOSE({1,2,3,4},KMB!W266,KMB!AA266,KMB!AE266,KMB!AI266)))</f>
        <v>0</v>
      </c>
      <c r="J266">
        <f>SUMPRODUCT((MONTH(CHOOSE({1,2,3,4},KMB!T266,KMB!X266,KMB!AB266,KMB!AF266))=10)*(CHOOSE({1,2,3,4},KMB!W266,KMB!AA266,KMB!AE266,KMB!AI266)))</f>
        <v>0</v>
      </c>
      <c r="K266">
        <f>SUMPRODUCT((MONTH(CHOOSE({1,2,3,4},KMB!T266,KMB!X266,KMB!AB266,KMB!AF266))=11)*(CHOOSE({1,2,3,4},KMB!W266,KMB!AA266,KMB!AE266,KMB!AI266)))</f>
        <v>0</v>
      </c>
      <c r="L266">
        <f>SUMPRODUCT((MONTH(CHOOSE({1,2,3,4},KMB!T266,KMB!X266,KMB!AB266,KMB!AF266))=12)*(CHOOSE({1,2,3,4},KMB!W266,KMB!AA266,KMB!AE266,KMB!AI266)))</f>
        <v>0</v>
      </c>
    </row>
    <row r="267" spans="1:12">
      <c r="A267">
        <f>SUMPRODUCT((MONTH(CHOOSE({1,2,3,4},KMB!T267,KMB!X267,KMB!AB267,KMB!AF267))=1)*(CHOOSE({1,2,3,4},KMB!W267,KMB!AA267,KMB!AE267,KMB!AI267)))</f>
        <v>0</v>
      </c>
      <c r="B267">
        <f>SUMPRODUCT((MONTH(CHOOSE({1,2,3,4},KMB!T267,KMB!X267,KMB!AB267,KMB!AF267))=2)*(CHOOSE({1,2,3,4},KMB!W267,KMB!AA267,KMB!AE267,KMB!AI267)))</f>
        <v>0</v>
      </c>
      <c r="C267">
        <f>SUMPRODUCT((MONTH(CHOOSE({1,2,3,4},KMB!T267,KMB!X267,KMB!AB267,KMB!AF267))=3)*(CHOOSE({1,2,3,4},KMB!W267,KMB!AA267,KMB!AE267,KMB!AI267)))</f>
        <v>0</v>
      </c>
      <c r="D267">
        <f>SUMPRODUCT((MONTH(CHOOSE({1,2,3,4},KMB!T267,KMB!X267,KMB!AB267,KMB!AF267))=4)*(CHOOSE({1,2,3,4},KMB!W267,KMB!AA267,KMB!AE267,KMB!AI267)))</f>
        <v>0</v>
      </c>
      <c r="E267">
        <f>SUMPRODUCT((MONTH(CHOOSE({1,2,3,4},KMB!T267,KMB!X267,KMB!AB267,KMB!AF267))=5)*(CHOOSE({1,2,3,4},KMB!W267,KMB!AA267,KMB!AE267,KMB!AI267)))</f>
        <v>0</v>
      </c>
      <c r="F267">
        <f>SUMPRODUCT((MONTH(CHOOSE({1,2,3,4},KMB!T267,KMB!X267,KMB!AB267,KMB!AF267))=6)*(CHOOSE({1,2,3,4},KMB!W267,KMB!AA267,KMB!AE267,KMB!AI267)))</f>
        <v>0</v>
      </c>
      <c r="G267">
        <f>SUMPRODUCT((MONTH(CHOOSE({1,2,3,4},KMB!T267,KMB!X267,KMB!AB267,KMB!AF267))=7)*(CHOOSE({1,2,3,4},KMB!W267,KMB!AA267,KMB!AE267,KMB!AI267)))</f>
        <v>0</v>
      </c>
      <c r="H267">
        <f>SUMPRODUCT((MONTH(CHOOSE({1,2,3,4},KMB!T267,KMB!X267,KMB!AB267,KMB!AF267))=8)*(CHOOSE({1,2,3,4},KMB!W267,KMB!AA267,KMB!AE267,KMB!AI267)))</f>
        <v>0</v>
      </c>
      <c r="I267">
        <f>SUMPRODUCT((MONTH(CHOOSE({1,2,3,4},KMB!T267,KMB!X267,KMB!AB267,KMB!AF267))=9)*(CHOOSE({1,2,3,4},KMB!W267,KMB!AA267,KMB!AE267,KMB!AI267)))</f>
        <v>0</v>
      </c>
      <c r="J267">
        <f>SUMPRODUCT((MONTH(CHOOSE({1,2,3,4},KMB!T267,KMB!X267,KMB!AB267,KMB!AF267))=10)*(CHOOSE({1,2,3,4},KMB!W267,KMB!AA267,KMB!AE267,KMB!AI267)))</f>
        <v>0</v>
      </c>
      <c r="K267">
        <f>SUMPRODUCT((MONTH(CHOOSE({1,2,3,4},KMB!T267,KMB!X267,KMB!AB267,KMB!AF267))=11)*(CHOOSE({1,2,3,4},KMB!W267,KMB!AA267,KMB!AE267,KMB!AI267)))</f>
        <v>0</v>
      </c>
      <c r="L267">
        <f>SUMPRODUCT((MONTH(CHOOSE({1,2,3,4},KMB!T267,KMB!X267,KMB!AB267,KMB!AF267))=12)*(CHOOSE({1,2,3,4},KMB!W267,KMB!AA267,KMB!AE267,KMB!AI267)))</f>
        <v>0</v>
      </c>
    </row>
    <row r="268" spans="1:12">
      <c r="A268">
        <f>SUMPRODUCT((MONTH(CHOOSE({1,2,3,4},KMB!T268,KMB!X268,KMB!AB268,KMB!AF268))=1)*(CHOOSE({1,2,3,4},KMB!W268,KMB!AA268,KMB!AE268,KMB!AI268)))</f>
        <v>0</v>
      </c>
      <c r="B268">
        <f>SUMPRODUCT((MONTH(CHOOSE({1,2,3,4},KMB!T268,KMB!X268,KMB!AB268,KMB!AF268))=2)*(CHOOSE({1,2,3,4},KMB!W268,KMB!AA268,KMB!AE268,KMB!AI268)))</f>
        <v>0</v>
      </c>
      <c r="C268">
        <f>SUMPRODUCT((MONTH(CHOOSE({1,2,3,4},KMB!T268,KMB!X268,KMB!AB268,KMB!AF268))=3)*(CHOOSE({1,2,3,4},KMB!W268,KMB!AA268,KMB!AE268,KMB!AI268)))</f>
        <v>0</v>
      </c>
      <c r="D268">
        <f>SUMPRODUCT((MONTH(CHOOSE({1,2,3,4},KMB!T268,KMB!X268,KMB!AB268,KMB!AF268))=4)*(CHOOSE({1,2,3,4},KMB!W268,KMB!AA268,KMB!AE268,KMB!AI268)))</f>
        <v>0</v>
      </c>
      <c r="E268">
        <f>SUMPRODUCT((MONTH(CHOOSE({1,2,3,4},KMB!T268,KMB!X268,KMB!AB268,KMB!AF268))=5)*(CHOOSE({1,2,3,4},KMB!W268,KMB!AA268,KMB!AE268,KMB!AI268)))</f>
        <v>0</v>
      </c>
      <c r="F268">
        <f>SUMPRODUCT((MONTH(CHOOSE({1,2,3,4},KMB!T268,KMB!X268,KMB!AB268,KMB!AF268))=6)*(CHOOSE({1,2,3,4},KMB!W268,KMB!AA268,KMB!AE268,KMB!AI268)))</f>
        <v>0</v>
      </c>
      <c r="G268">
        <f>SUMPRODUCT((MONTH(CHOOSE({1,2,3,4},KMB!T268,KMB!X268,KMB!AB268,KMB!AF268))=7)*(CHOOSE({1,2,3,4},KMB!W268,KMB!AA268,KMB!AE268,KMB!AI268)))</f>
        <v>0</v>
      </c>
      <c r="H268">
        <f>SUMPRODUCT((MONTH(CHOOSE({1,2,3,4},KMB!T268,KMB!X268,KMB!AB268,KMB!AF268))=8)*(CHOOSE({1,2,3,4},KMB!W268,KMB!AA268,KMB!AE268,KMB!AI268)))</f>
        <v>0</v>
      </c>
      <c r="I268">
        <f>SUMPRODUCT((MONTH(CHOOSE({1,2,3,4},KMB!T268,KMB!X268,KMB!AB268,KMB!AF268))=9)*(CHOOSE({1,2,3,4},KMB!W268,KMB!AA268,KMB!AE268,KMB!AI268)))</f>
        <v>0</v>
      </c>
      <c r="J268">
        <f>SUMPRODUCT((MONTH(CHOOSE({1,2,3,4},KMB!T268,KMB!X268,KMB!AB268,KMB!AF268))=10)*(CHOOSE({1,2,3,4},KMB!W268,KMB!AA268,KMB!AE268,KMB!AI268)))</f>
        <v>0</v>
      </c>
      <c r="K268">
        <f>SUMPRODUCT((MONTH(CHOOSE({1,2,3,4},KMB!T268,KMB!X268,KMB!AB268,KMB!AF268))=11)*(CHOOSE({1,2,3,4},KMB!W268,KMB!AA268,KMB!AE268,KMB!AI268)))</f>
        <v>0</v>
      </c>
      <c r="L268">
        <f>SUMPRODUCT((MONTH(CHOOSE({1,2,3,4},KMB!T268,KMB!X268,KMB!AB268,KMB!AF268))=12)*(CHOOSE({1,2,3,4},KMB!W268,KMB!AA268,KMB!AE268,KMB!AI268)))</f>
        <v>0</v>
      </c>
    </row>
    <row r="269" spans="1:12">
      <c r="A269">
        <f>SUMPRODUCT((MONTH(CHOOSE({1,2,3,4},KMB!T269,KMB!X269,KMB!AB269,KMB!AF269))=1)*(CHOOSE({1,2,3,4},KMB!W269,KMB!AA269,KMB!AE269,KMB!AI269)))</f>
        <v>0</v>
      </c>
      <c r="B269">
        <f>SUMPRODUCT((MONTH(CHOOSE({1,2,3,4},KMB!T269,KMB!X269,KMB!AB269,KMB!AF269))=2)*(CHOOSE({1,2,3,4},KMB!W269,KMB!AA269,KMB!AE269,KMB!AI269)))</f>
        <v>0</v>
      </c>
      <c r="C269">
        <f>SUMPRODUCT((MONTH(CHOOSE({1,2,3,4},KMB!T269,KMB!X269,KMB!AB269,KMB!AF269))=3)*(CHOOSE({1,2,3,4},KMB!W269,KMB!AA269,KMB!AE269,KMB!AI269)))</f>
        <v>0</v>
      </c>
      <c r="D269">
        <f>SUMPRODUCT((MONTH(CHOOSE({1,2,3,4},KMB!T269,KMB!X269,KMB!AB269,KMB!AF269))=4)*(CHOOSE({1,2,3,4},KMB!W269,KMB!AA269,KMB!AE269,KMB!AI269)))</f>
        <v>0</v>
      </c>
      <c r="E269">
        <f>SUMPRODUCT((MONTH(CHOOSE({1,2,3,4},KMB!T269,KMB!X269,KMB!AB269,KMB!AF269))=5)*(CHOOSE({1,2,3,4},KMB!W269,KMB!AA269,KMB!AE269,KMB!AI269)))</f>
        <v>0</v>
      </c>
      <c r="F269">
        <f>SUMPRODUCT((MONTH(CHOOSE({1,2,3,4},KMB!T269,KMB!X269,KMB!AB269,KMB!AF269))=6)*(CHOOSE({1,2,3,4},KMB!W269,KMB!AA269,KMB!AE269,KMB!AI269)))</f>
        <v>0</v>
      </c>
      <c r="G269">
        <f>SUMPRODUCT((MONTH(CHOOSE({1,2,3,4},KMB!T269,KMB!X269,KMB!AB269,KMB!AF269))=7)*(CHOOSE({1,2,3,4},KMB!W269,KMB!AA269,KMB!AE269,KMB!AI269)))</f>
        <v>0</v>
      </c>
      <c r="H269">
        <f>SUMPRODUCT((MONTH(CHOOSE({1,2,3,4},KMB!T269,KMB!X269,KMB!AB269,KMB!AF269))=8)*(CHOOSE({1,2,3,4},KMB!W269,KMB!AA269,KMB!AE269,KMB!AI269)))</f>
        <v>0</v>
      </c>
      <c r="I269">
        <f>SUMPRODUCT((MONTH(CHOOSE({1,2,3,4},KMB!T269,KMB!X269,KMB!AB269,KMB!AF269))=9)*(CHOOSE({1,2,3,4},KMB!W269,KMB!AA269,KMB!AE269,KMB!AI269)))</f>
        <v>0</v>
      </c>
      <c r="J269">
        <f>SUMPRODUCT((MONTH(CHOOSE({1,2,3,4},KMB!T269,KMB!X269,KMB!AB269,KMB!AF269))=10)*(CHOOSE({1,2,3,4},KMB!W269,KMB!AA269,KMB!AE269,KMB!AI269)))</f>
        <v>0</v>
      </c>
      <c r="K269">
        <f>SUMPRODUCT((MONTH(CHOOSE({1,2,3,4},KMB!T269,KMB!X269,KMB!AB269,KMB!AF269))=11)*(CHOOSE({1,2,3,4},KMB!W269,KMB!AA269,KMB!AE269,KMB!AI269)))</f>
        <v>0</v>
      </c>
      <c r="L269">
        <f>SUMPRODUCT((MONTH(CHOOSE({1,2,3,4},KMB!T269,KMB!X269,KMB!AB269,KMB!AF269))=12)*(CHOOSE({1,2,3,4},KMB!W269,KMB!AA269,KMB!AE269,KMB!AI269)))</f>
        <v>0</v>
      </c>
    </row>
    <row r="270" spans="1:12">
      <c r="A270">
        <f>SUMPRODUCT((MONTH(CHOOSE({1,2,3,4},KMB!T270,KMB!X270,KMB!AB270,KMB!AF270))=1)*(CHOOSE({1,2,3,4},KMB!W270,KMB!AA270,KMB!AE270,KMB!AI270)))</f>
        <v>0</v>
      </c>
      <c r="B270">
        <f>SUMPRODUCT((MONTH(CHOOSE({1,2,3,4},KMB!T270,KMB!X270,KMB!AB270,KMB!AF270))=2)*(CHOOSE({1,2,3,4},KMB!W270,KMB!AA270,KMB!AE270,KMB!AI270)))</f>
        <v>0</v>
      </c>
      <c r="C270">
        <f>SUMPRODUCT((MONTH(CHOOSE({1,2,3,4},KMB!T270,KMB!X270,KMB!AB270,KMB!AF270))=3)*(CHOOSE({1,2,3,4},KMB!W270,KMB!AA270,KMB!AE270,KMB!AI270)))</f>
        <v>0</v>
      </c>
      <c r="D270">
        <f>SUMPRODUCT((MONTH(CHOOSE({1,2,3,4},KMB!T270,KMB!X270,KMB!AB270,KMB!AF270))=4)*(CHOOSE({1,2,3,4},KMB!W270,KMB!AA270,KMB!AE270,KMB!AI270)))</f>
        <v>0</v>
      </c>
      <c r="E270">
        <f>SUMPRODUCT((MONTH(CHOOSE({1,2,3,4},KMB!T270,KMB!X270,KMB!AB270,KMB!AF270))=5)*(CHOOSE({1,2,3,4},KMB!W270,KMB!AA270,KMB!AE270,KMB!AI270)))</f>
        <v>0</v>
      </c>
      <c r="F270">
        <f>SUMPRODUCT((MONTH(CHOOSE({1,2,3,4},KMB!T270,KMB!X270,KMB!AB270,KMB!AF270))=6)*(CHOOSE({1,2,3,4},KMB!W270,KMB!AA270,KMB!AE270,KMB!AI270)))</f>
        <v>0</v>
      </c>
      <c r="G270">
        <f>SUMPRODUCT((MONTH(CHOOSE({1,2,3,4},KMB!T270,KMB!X270,KMB!AB270,KMB!AF270))=7)*(CHOOSE({1,2,3,4},KMB!W270,KMB!AA270,KMB!AE270,KMB!AI270)))</f>
        <v>0</v>
      </c>
      <c r="H270">
        <f>SUMPRODUCT((MONTH(CHOOSE({1,2,3,4},KMB!T270,KMB!X270,KMB!AB270,KMB!AF270))=8)*(CHOOSE({1,2,3,4},KMB!W270,KMB!AA270,KMB!AE270,KMB!AI270)))</f>
        <v>0</v>
      </c>
      <c r="I270">
        <f>SUMPRODUCT((MONTH(CHOOSE({1,2,3,4},KMB!T270,KMB!X270,KMB!AB270,KMB!AF270))=9)*(CHOOSE({1,2,3,4},KMB!W270,KMB!AA270,KMB!AE270,KMB!AI270)))</f>
        <v>0</v>
      </c>
      <c r="J270">
        <f>SUMPRODUCT((MONTH(CHOOSE({1,2,3,4},KMB!T270,KMB!X270,KMB!AB270,KMB!AF270))=10)*(CHOOSE({1,2,3,4},KMB!W270,KMB!AA270,KMB!AE270,KMB!AI270)))</f>
        <v>0</v>
      </c>
      <c r="K270">
        <f>SUMPRODUCT((MONTH(CHOOSE({1,2,3,4},KMB!T270,KMB!X270,KMB!AB270,KMB!AF270))=11)*(CHOOSE({1,2,3,4},KMB!W270,KMB!AA270,KMB!AE270,KMB!AI270)))</f>
        <v>0</v>
      </c>
      <c r="L270">
        <f>SUMPRODUCT((MONTH(CHOOSE({1,2,3,4},KMB!T270,KMB!X270,KMB!AB270,KMB!AF270))=12)*(CHOOSE({1,2,3,4},KMB!W270,KMB!AA270,KMB!AE270,KMB!AI270)))</f>
        <v>0</v>
      </c>
    </row>
    <row r="271" spans="1:12">
      <c r="A271">
        <f>SUMPRODUCT((MONTH(CHOOSE({1,2,3,4},KMB!T271,KMB!X271,KMB!AB271,KMB!AF271))=1)*(CHOOSE({1,2,3,4},KMB!W271,KMB!AA271,KMB!AE271,KMB!AI271)))</f>
        <v>0</v>
      </c>
      <c r="B271">
        <f>SUMPRODUCT((MONTH(CHOOSE({1,2,3,4},KMB!T271,KMB!X271,KMB!AB271,KMB!AF271))=2)*(CHOOSE({1,2,3,4},KMB!W271,KMB!AA271,KMB!AE271,KMB!AI271)))</f>
        <v>0</v>
      </c>
      <c r="C271">
        <f>SUMPRODUCT((MONTH(CHOOSE({1,2,3,4},KMB!T271,KMB!X271,KMB!AB271,KMB!AF271))=3)*(CHOOSE({1,2,3,4},KMB!W271,KMB!AA271,KMB!AE271,KMB!AI271)))</f>
        <v>0</v>
      </c>
      <c r="D271">
        <f>SUMPRODUCT((MONTH(CHOOSE({1,2,3,4},KMB!T271,KMB!X271,KMB!AB271,KMB!AF271))=4)*(CHOOSE({1,2,3,4},KMB!W271,KMB!AA271,KMB!AE271,KMB!AI271)))</f>
        <v>0</v>
      </c>
      <c r="E271">
        <f>SUMPRODUCT((MONTH(CHOOSE({1,2,3,4},KMB!T271,KMB!X271,KMB!AB271,KMB!AF271))=5)*(CHOOSE({1,2,3,4},KMB!W271,KMB!AA271,KMB!AE271,KMB!AI271)))</f>
        <v>0</v>
      </c>
      <c r="F271">
        <f>SUMPRODUCT((MONTH(CHOOSE({1,2,3,4},KMB!T271,KMB!X271,KMB!AB271,KMB!AF271))=6)*(CHOOSE({1,2,3,4},KMB!W271,KMB!AA271,KMB!AE271,KMB!AI271)))</f>
        <v>0</v>
      </c>
      <c r="G271">
        <f>SUMPRODUCT((MONTH(CHOOSE({1,2,3,4},KMB!T271,KMB!X271,KMB!AB271,KMB!AF271))=7)*(CHOOSE({1,2,3,4},KMB!W271,KMB!AA271,KMB!AE271,KMB!AI271)))</f>
        <v>0</v>
      </c>
      <c r="H271">
        <f>SUMPRODUCT((MONTH(CHOOSE({1,2,3,4},KMB!T271,KMB!X271,KMB!AB271,KMB!AF271))=8)*(CHOOSE({1,2,3,4},KMB!W271,KMB!AA271,KMB!AE271,KMB!AI271)))</f>
        <v>0</v>
      </c>
      <c r="I271">
        <f>SUMPRODUCT((MONTH(CHOOSE({1,2,3,4},KMB!T271,KMB!X271,KMB!AB271,KMB!AF271))=9)*(CHOOSE({1,2,3,4},KMB!W271,KMB!AA271,KMB!AE271,KMB!AI271)))</f>
        <v>0</v>
      </c>
      <c r="J271">
        <f>SUMPRODUCT((MONTH(CHOOSE({1,2,3,4},KMB!T271,KMB!X271,KMB!AB271,KMB!AF271))=10)*(CHOOSE({1,2,3,4},KMB!W271,KMB!AA271,KMB!AE271,KMB!AI271)))</f>
        <v>0</v>
      </c>
      <c r="K271">
        <f>SUMPRODUCT((MONTH(CHOOSE({1,2,3,4},KMB!T271,KMB!X271,KMB!AB271,KMB!AF271))=11)*(CHOOSE({1,2,3,4},KMB!W271,KMB!AA271,KMB!AE271,KMB!AI271)))</f>
        <v>0</v>
      </c>
      <c r="L271">
        <f>SUMPRODUCT((MONTH(CHOOSE({1,2,3,4},KMB!T271,KMB!X271,KMB!AB271,KMB!AF271))=12)*(CHOOSE({1,2,3,4},KMB!W271,KMB!AA271,KMB!AE271,KMB!AI271)))</f>
        <v>0</v>
      </c>
    </row>
    <row r="272" spans="1:12">
      <c r="A272">
        <f>SUMPRODUCT((MONTH(CHOOSE({1,2,3,4},KMB!T272,KMB!X272,KMB!AB272,KMB!AF272))=1)*(CHOOSE({1,2,3,4},KMB!W272,KMB!AA272,KMB!AE272,KMB!AI272)))</f>
        <v>0</v>
      </c>
      <c r="B272">
        <f>SUMPRODUCT((MONTH(CHOOSE({1,2,3,4},KMB!T272,KMB!X272,KMB!AB272,KMB!AF272))=2)*(CHOOSE({1,2,3,4},KMB!W272,KMB!AA272,KMB!AE272,KMB!AI272)))</f>
        <v>0</v>
      </c>
      <c r="C272">
        <f>SUMPRODUCT((MONTH(CHOOSE({1,2,3,4},KMB!T272,KMB!X272,KMB!AB272,KMB!AF272))=3)*(CHOOSE({1,2,3,4},KMB!W272,KMB!AA272,KMB!AE272,KMB!AI272)))</f>
        <v>0</v>
      </c>
      <c r="D272">
        <f>SUMPRODUCT((MONTH(CHOOSE({1,2,3,4},KMB!T272,KMB!X272,KMB!AB272,KMB!AF272))=4)*(CHOOSE({1,2,3,4},KMB!W272,KMB!AA272,KMB!AE272,KMB!AI272)))</f>
        <v>0</v>
      </c>
      <c r="E272">
        <f>SUMPRODUCT((MONTH(CHOOSE({1,2,3,4},KMB!T272,KMB!X272,KMB!AB272,KMB!AF272))=5)*(CHOOSE({1,2,3,4},KMB!W272,KMB!AA272,KMB!AE272,KMB!AI272)))</f>
        <v>0</v>
      </c>
      <c r="F272">
        <f>SUMPRODUCT((MONTH(CHOOSE({1,2,3,4},KMB!T272,KMB!X272,KMB!AB272,KMB!AF272))=6)*(CHOOSE({1,2,3,4},KMB!W272,KMB!AA272,KMB!AE272,KMB!AI272)))</f>
        <v>0</v>
      </c>
      <c r="G272">
        <f>SUMPRODUCT((MONTH(CHOOSE({1,2,3,4},KMB!T272,KMB!X272,KMB!AB272,KMB!AF272))=7)*(CHOOSE({1,2,3,4},KMB!W272,KMB!AA272,KMB!AE272,KMB!AI272)))</f>
        <v>0</v>
      </c>
      <c r="H272">
        <f>SUMPRODUCT((MONTH(CHOOSE({1,2,3,4},KMB!T272,KMB!X272,KMB!AB272,KMB!AF272))=8)*(CHOOSE({1,2,3,4},KMB!W272,KMB!AA272,KMB!AE272,KMB!AI272)))</f>
        <v>0</v>
      </c>
      <c r="I272">
        <f>SUMPRODUCT((MONTH(CHOOSE({1,2,3,4},KMB!T272,KMB!X272,KMB!AB272,KMB!AF272))=9)*(CHOOSE({1,2,3,4},KMB!W272,KMB!AA272,KMB!AE272,KMB!AI272)))</f>
        <v>0</v>
      </c>
      <c r="J272">
        <f>SUMPRODUCT((MONTH(CHOOSE({1,2,3,4},KMB!T272,KMB!X272,KMB!AB272,KMB!AF272))=10)*(CHOOSE({1,2,3,4},KMB!W272,KMB!AA272,KMB!AE272,KMB!AI272)))</f>
        <v>0</v>
      </c>
      <c r="K272">
        <f>SUMPRODUCT((MONTH(CHOOSE({1,2,3,4},KMB!T272,KMB!X272,KMB!AB272,KMB!AF272))=11)*(CHOOSE({1,2,3,4},KMB!W272,KMB!AA272,KMB!AE272,KMB!AI272)))</f>
        <v>0</v>
      </c>
      <c r="L272">
        <f>SUMPRODUCT((MONTH(CHOOSE({1,2,3,4},KMB!T272,KMB!X272,KMB!AB272,KMB!AF272))=12)*(CHOOSE({1,2,3,4},KMB!W272,KMB!AA272,KMB!AE272,KMB!AI272)))</f>
        <v>0</v>
      </c>
    </row>
    <row r="273" spans="1:12">
      <c r="A273">
        <f>SUMPRODUCT((MONTH(CHOOSE({1,2,3,4},KMB!T273,KMB!X273,KMB!AB273,KMB!AF273))=1)*(CHOOSE({1,2,3,4},KMB!W273,KMB!AA273,KMB!AE273,KMB!AI273)))</f>
        <v>0</v>
      </c>
      <c r="B273">
        <f>SUMPRODUCT((MONTH(CHOOSE({1,2,3,4},KMB!T273,KMB!X273,KMB!AB273,KMB!AF273))=2)*(CHOOSE({1,2,3,4},KMB!W273,KMB!AA273,KMB!AE273,KMB!AI273)))</f>
        <v>0</v>
      </c>
      <c r="C273">
        <f>SUMPRODUCT((MONTH(CHOOSE({1,2,3,4},KMB!T273,KMB!X273,KMB!AB273,KMB!AF273))=3)*(CHOOSE({1,2,3,4},KMB!W273,KMB!AA273,KMB!AE273,KMB!AI273)))</f>
        <v>0</v>
      </c>
      <c r="D273">
        <f>SUMPRODUCT((MONTH(CHOOSE({1,2,3,4},KMB!T273,KMB!X273,KMB!AB273,KMB!AF273))=4)*(CHOOSE({1,2,3,4},KMB!W273,KMB!AA273,KMB!AE273,KMB!AI273)))</f>
        <v>0</v>
      </c>
      <c r="E273">
        <f>SUMPRODUCT((MONTH(CHOOSE({1,2,3,4},KMB!T273,KMB!X273,KMB!AB273,KMB!AF273))=5)*(CHOOSE({1,2,3,4},KMB!W273,KMB!AA273,KMB!AE273,KMB!AI273)))</f>
        <v>0</v>
      </c>
      <c r="F273">
        <f>SUMPRODUCT((MONTH(CHOOSE({1,2,3,4},KMB!T273,KMB!X273,KMB!AB273,KMB!AF273))=6)*(CHOOSE({1,2,3,4},KMB!W273,KMB!AA273,KMB!AE273,KMB!AI273)))</f>
        <v>0</v>
      </c>
      <c r="G273">
        <f>SUMPRODUCT((MONTH(CHOOSE({1,2,3,4},KMB!T273,KMB!X273,KMB!AB273,KMB!AF273))=7)*(CHOOSE({1,2,3,4},KMB!W273,KMB!AA273,KMB!AE273,KMB!AI273)))</f>
        <v>0</v>
      </c>
      <c r="H273">
        <f>SUMPRODUCT((MONTH(CHOOSE({1,2,3,4},KMB!T273,KMB!X273,KMB!AB273,KMB!AF273))=8)*(CHOOSE({1,2,3,4},KMB!W273,KMB!AA273,KMB!AE273,KMB!AI273)))</f>
        <v>0</v>
      </c>
      <c r="I273">
        <f>SUMPRODUCT((MONTH(CHOOSE({1,2,3,4},KMB!T273,KMB!X273,KMB!AB273,KMB!AF273))=9)*(CHOOSE({1,2,3,4},KMB!W273,KMB!AA273,KMB!AE273,KMB!AI273)))</f>
        <v>0</v>
      </c>
      <c r="J273">
        <f>SUMPRODUCT((MONTH(CHOOSE({1,2,3,4},KMB!T273,KMB!X273,KMB!AB273,KMB!AF273))=10)*(CHOOSE({1,2,3,4},KMB!W273,KMB!AA273,KMB!AE273,KMB!AI273)))</f>
        <v>0</v>
      </c>
      <c r="K273">
        <f>SUMPRODUCT((MONTH(CHOOSE({1,2,3,4},KMB!T273,KMB!X273,KMB!AB273,KMB!AF273))=11)*(CHOOSE({1,2,3,4},KMB!W273,KMB!AA273,KMB!AE273,KMB!AI273)))</f>
        <v>0</v>
      </c>
      <c r="L273">
        <f>SUMPRODUCT((MONTH(CHOOSE({1,2,3,4},KMB!T273,KMB!X273,KMB!AB273,KMB!AF273))=12)*(CHOOSE({1,2,3,4},KMB!W273,KMB!AA273,KMB!AE273,KMB!AI273)))</f>
        <v>0</v>
      </c>
    </row>
    <row r="274" spans="1:12">
      <c r="A274">
        <f>SUMPRODUCT((MONTH(CHOOSE({1,2,3,4},KMB!T274,KMB!X274,KMB!AB274,KMB!AF274))=1)*(CHOOSE({1,2,3,4},KMB!W274,KMB!AA274,KMB!AE274,KMB!AI274)))</f>
        <v>0</v>
      </c>
      <c r="B274">
        <f>SUMPRODUCT((MONTH(CHOOSE({1,2,3,4},KMB!T274,KMB!X274,KMB!AB274,KMB!AF274))=2)*(CHOOSE({1,2,3,4},KMB!W274,KMB!AA274,KMB!AE274,KMB!AI274)))</f>
        <v>0</v>
      </c>
      <c r="C274">
        <f>SUMPRODUCT((MONTH(CHOOSE({1,2,3,4},KMB!T274,KMB!X274,KMB!AB274,KMB!AF274))=3)*(CHOOSE({1,2,3,4},KMB!W274,KMB!AA274,KMB!AE274,KMB!AI274)))</f>
        <v>0</v>
      </c>
      <c r="D274">
        <f>SUMPRODUCT((MONTH(CHOOSE({1,2,3,4},KMB!T274,KMB!X274,KMB!AB274,KMB!AF274))=4)*(CHOOSE({1,2,3,4},KMB!W274,KMB!AA274,KMB!AE274,KMB!AI274)))</f>
        <v>0</v>
      </c>
      <c r="E274">
        <f>SUMPRODUCT((MONTH(CHOOSE({1,2,3,4},KMB!T274,KMB!X274,KMB!AB274,KMB!AF274))=5)*(CHOOSE({1,2,3,4},KMB!W274,KMB!AA274,KMB!AE274,KMB!AI274)))</f>
        <v>0</v>
      </c>
      <c r="F274">
        <f>SUMPRODUCT((MONTH(CHOOSE({1,2,3,4},KMB!T274,KMB!X274,KMB!AB274,KMB!AF274))=6)*(CHOOSE({1,2,3,4},KMB!W274,KMB!AA274,KMB!AE274,KMB!AI274)))</f>
        <v>0</v>
      </c>
      <c r="G274">
        <f>SUMPRODUCT((MONTH(CHOOSE({1,2,3,4},KMB!T274,KMB!X274,KMB!AB274,KMB!AF274))=7)*(CHOOSE({1,2,3,4},KMB!W274,KMB!AA274,KMB!AE274,KMB!AI274)))</f>
        <v>0</v>
      </c>
      <c r="H274">
        <f>SUMPRODUCT((MONTH(CHOOSE({1,2,3,4},KMB!T274,KMB!X274,KMB!AB274,KMB!AF274))=8)*(CHOOSE({1,2,3,4},KMB!W274,KMB!AA274,KMB!AE274,KMB!AI274)))</f>
        <v>0</v>
      </c>
      <c r="I274">
        <f>SUMPRODUCT((MONTH(CHOOSE({1,2,3,4},KMB!T274,KMB!X274,KMB!AB274,KMB!AF274))=9)*(CHOOSE({1,2,3,4},KMB!W274,KMB!AA274,KMB!AE274,KMB!AI274)))</f>
        <v>0</v>
      </c>
      <c r="J274">
        <f>SUMPRODUCT((MONTH(CHOOSE({1,2,3,4},KMB!T274,KMB!X274,KMB!AB274,KMB!AF274))=10)*(CHOOSE({1,2,3,4},KMB!W274,KMB!AA274,KMB!AE274,KMB!AI274)))</f>
        <v>0</v>
      </c>
      <c r="K274">
        <f>SUMPRODUCT((MONTH(CHOOSE({1,2,3,4},KMB!T274,KMB!X274,KMB!AB274,KMB!AF274))=11)*(CHOOSE({1,2,3,4},KMB!W274,KMB!AA274,KMB!AE274,KMB!AI274)))</f>
        <v>0</v>
      </c>
      <c r="L274">
        <f>SUMPRODUCT((MONTH(CHOOSE({1,2,3,4},KMB!T274,KMB!X274,KMB!AB274,KMB!AF274))=12)*(CHOOSE({1,2,3,4},KMB!W274,KMB!AA274,KMB!AE274,KMB!AI274)))</f>
        <v>0</v>
      </c>
    </row>
    <row r="275" spans="1:12">
      <c r="A275">
        <f>SUMPRODUCT((MONTH(CHOOSE({1,2,3,4},KMB!T275,KMB!X275,KMB!AB275,KMB!AF275))=1)*(CHOOSE({1,2,3,4},KMB!W275,KMB!AA275,KMB!AE275,KMB!AI275)))</f>
        <v>0</v>
      </c>
      <c r="B275">
        <f>SUMPRODUCT((MONTH(CHOOSE({1,2,3,4},KMB!T275,KMB!X275,KMB!AB275,KMB!AF275))=2)*(CHOOSE({1,2,3,4},KMB!W275,KMB!AA275,KMB!AE275,KMB!AI275)))</f>
        <v>0</v>
      </c>
      <c r="C275">
        <f>SUMPRODUCT((MONTH(CHOOSE({1,2,3,4},KMB!T275,KMB!X275,KMB!AB275,KMB!AF275))=3)*(CHOOSE({1,2,3,4},KMB!W275,KMB!AA275,KMB!AE275,KMB!AI275)))</f>
        <v>0</v>
      </c>
      <c r="D275">
        <f>SUMPRODUCT((MONTH(CHOOSE({1,2,3,4},KMB!T275,KMB!X275,KMB!AB275,KMB!AF275))=4)*(CHOOSE({1,2,3,4},KMB!W275,KMB!AA275,KMB!AE275,KMB!AI275)))</f>
        <v>0</v>
      </c>
      <c r="E275">
        <f>SUMPRODUCT((MONTH(CHOOSE({1,2,3,4},KMB!T275,KMB!X275,KMB!AB275,KMB!AF275))=5)*(CHOOSE({1,2,3,4},KMB!W275,KMB!AA275,KMB!AE275,KMB!AI275)))</f>
        <v>0</v>
      </c>
      <c r="F275">
        <f>SUMPRODUCT((MONTH(CHOOSE({1,2,3,4},KMB!T275,KMB!X275,KMB!AB275,KMB!AF275))=6)*(CHOOSE({1,2,3,4},KMB!W275,KMB!AA275,KMB!AE275,KMB!AI275)))</f>
        <v>0</v>
      </c>
      <c r="G275">
        <f>SUMPRODUCT((MONTH(CHOOSE({1,2,3,4},KMB!T275,KMB!X275,KMB!AB275,KMB!AF275))=7)*(CHOOSE({1,2,3,4},KMB!W275,KMB!AA275,KMB!AE275,KMB!AI275)))</f>
        <v>0</v>
      </c>
      <c r="H275">
        <f>SUMPRODUCT((MONTH(CHOOSE({1,2,3,4},KMB!T275,KMB!X275,KMB!AB275,KMB!AF275))=8)*(CHOOSE({1,2,3,4},KMB!W275,KMB!AA275,KMB!AE275,KMB!AI275)))</f>
        <v>0</v>
      </c>
      <c r="I275">
        <f>SUMPRODUCT((MONTH(CHOOSE({1,2,3,4},KMB!T275,KMB!X275,KMB!AB275,KMB!AF275))=9)*(CHOOSE({1,2,3,4},KMB!W275,KMB!AA275,KMB!AE275,KMB!AI275)))</f>
        <v>0</v>
      </c>
      <c r="J275">
        <f>SUMPRODUCT((MONTH(CHOOSE({1,2,3,4},KMB!T275,KMB!X275,KMB!AB275,KMB!AF275))=10)*(CHOOSE({1,2,3,4},KMB!W275,KMB!AA275,KMB!AE275,KMB!AI275)))</f>
        <v>0</v>
      </c>
      <c r="K275">
        <f>SUMPRODUCT((MONTH(CHOOSE({1,2,3,4},KMB!T275,KMB!X275,KMB!AB275,KMB!AF275))=11)*(CHOOSE({1,2,3,4},KMB!W275,KMB!AA275,KMB!AE275,KMB!AI275)))</f>
        <v>0</v>
      </c>
      <c r="L275">
        <f>SUMPRODUCT((MONTH(CHOOSE({1,2,3,4},KMB!T275,KMB!X275,KMB!AB275,KMB!AF275))=12)*(CHOOSE({1,2,3,4},KMB!W275,KMB!AA275,KMB!AE275,KMB!AI275)))</f>
        <v>0</v>
      </c>
    </row>
    <row r="276" spans="1:12">
      <c r="A276">
        <f>SUMPRODUCT((MONTH(CHOOSE({1,2,3,4},KMB!T276,KMB!X276,KMB!AB276,KMB!AF276))=1)*(CHOOSE({1,2,3,4},KMB!W276,KMB!AA276,KMB!AE276,KMB!AI276)))</f>
        <v>0</v>
      </c>
      <c r="B276">
        <f>SUMPRODUCT((MONTH(CHOOSE({1,2,3,4},KMB!T276,KMB!X276,KMB!AB276,KMB!AF276))=2)*(CHOOSE({1,2,3,4},KMB!W276,KMB!AA276,KMB!AE276,KMB!AI276)))</f>
        <v>0</v>
      </c>
      <c r="C276">
        <f>SUMPRODUCT((MONTH(CHOOSE({1,2,3,4},KMB!T276,KMB!X276,KMB!AB276,KMB!AF276))=3)*(CHOOSE({1,2,3,4},KMB!W276,KMB!AA276,KMB!AE276,KMB!AI276)))</f>
        <v>0</v>
      </c>
      <c r="D276">
        <f>SUMPRODUCT((MONTH(CHOOSE({1,2,3,4},KMB!T276,KMB!X276,KMB!AB276,KMB!AF276))=4)*(CHOOSE({1,2,3,4},KMB!W276,KMB!AA276,KMB!AE276,KMB!AI276)))</f>
        <v>0</v>
      </c>
      <c r="E276">
        <f>SUMPRODUCT((MONTH(CHOOSE({1,2,3,4},KMB!T276,KMB!X276,KMB!AB276,KMB!AF276))=5)*(CHOOSE({1,2,3,4},KMB!W276,KMB!AA276,KMB!AE276,KMB!AI276)))</f>
        <v>0</v>
      </c>
      <c r="F276">
        <f>SUMPRODUCT((MONTH(CHOOSE({1,2,3,4},KMB!T276,KMB!X276,KMB!AB276,KMB!AF276))=6)*(CHOOSE({1,2,3,4},KMB!W276,KMB!AA276,KMB!AE276,KMB!AI276)))</f>
        <v>0</v>
      </c>
      <c r="G276">
        <f>SUMPRODUCT((MONTH(CHOOSE({1,2,3,4},KMB!T276,KMB!X276,KMB!AB276,KMB!AF276))=7)*(CHOOSE({1,2,3,4},KMB!W276,KMB!AA276,KMB!AE276,KMB!AI276)))</f>
        <v>0</v>
      </c>
      <c r="H276">
        <f>SUMPRODUCT((MONTH(CHOOSE({1,2,3,4},KMB!T276,KMB!X276,KMB!AB276,KMB!AF276))=8)*(CHOOSE({1,2,3,4},KMB!W276,KMB!AA276,KMB!AE276,KMB!AI276)))</f>
        <v>0</v>
      </c>
      <c r="I276">
        <f>SUMPRODUCT((MONTH(CHOOSE({1,2,3,4},KMB!T276,KMB!X276,KMB!AB276,KMB!AF276))=9)*(CHOOSE({1,2,3,4},KMB!W276,KMB!AA276,KMB!AE276,KMB!AI276)))</f>
        <v>0</v>
      </c>
      <c r="J276">
        <f>SUMPRODUCT((MONTH(CHOOSE({1,2,3,4},KMB!T276,KMB!X276,KMB!AB276,KMB!AF276))=10)*(CHOOSE({1,2,3,4},KMB!W276,KMB!AA276,KMB!AE276,KMB!AI276)))</f>
        <v>0</v>
      </c>
      <c r="K276">
        <f>SUMPRODUCT((MONTH(CHOOSE({1,2,3,4},KMB!T276,KMB!X276,KMB!AB276,KMB!AF276))=11)*(CHOOSE({1,2,3,4},KMB!W276,KMB!AA276,KMB!AE276,KMB!AI276)))</f>
        <v>0</v>
      </c>
      <c r="L276">
        <f>SUMPRODUCT((MONTH(CHOOSE({1,2,3,4},KMB!T276,KMB!X276,KMB!AB276,KMB!AF276))=12)*(CHOOSE({1,2,3,4},KMB!W276,KMB!AA276,KMB!AE276,KMB!AI276)))</f>
        <v>0</v>
      </c>
    </row>
    <row r="277" spans="1:12">
      <c r="A277">
        <f>SUMPRODUCT((MONTH(CHOOSE({1,2,3,4},KMB!T277,KMB!X277,KMB!AB277,KMB!AF277))=1)*(CHOOSE({1,2,3,4},KMB!W277,KMB!AA277,KMB!AE277,KMB!AI277)))</f>
        <v>0</v>
      </c>
      <c r="B277">
        <f>SUMPRODUCT((MONTH(CHOOSE({1,2,3,4},KMB!T277,KMB!X277,KMB!AB277,KMB!AF277))=2)*(CHOOSE({1,2,3,4},KMB!W277,KMB!AA277,KMB!AE277,KMB!AI277)))</f>
        <v>0</v>
      </c>
      <c r="C277">
        <f>SUMPRODUCT((MONTH(CHOOSE({1,2,3,4},KMB!T277,KMB!X277,KMB!AB277,KMB!AF277))=3)*(CHOOSE({1,2,3,4},KMB!W277,KMB!AA277,KMB!AE277,KMB!AI277)))</f>
        <v>0</v>
      </c>
      <c r="D277">
        <f>SUMPRODUCT((MONTH(CHOOSE({1,2,3,4},KMB!T277,KMB!X277,KMB!AB277,KMB!AF277))=4)*(CHOOSE({1,2,3,4},KMB!W277,KMB!AA277,KMB!AE277,KMB!AI277)))</f>
        <v>0</v>
      </c>
      <c r="E277">
        <f>SUMPRODUCT((MONTH(CHOOSE({1,2,3,4},KMB!T277,KMB!X277,KMB!AB277,KMB!AF277))=5)*(CHOOSE({1,2,3,4},KMB!W277,KMB!AA277,KMB!AE277,KMB!AI277)))</f>
        <v>0</v>
      </c>
      <c r="F277">
        <f>SUMPRODUCT((MONTH(CHOOSE({1,2,3,4},KMB!T277,KMB!X277,KMB!AB277,KMB!AF277))=6)*(CHOOSE({1,2,3,4},KMB!W277,KMB!AA277,KMB!AE277,KMB!AI277)))</f>
        <v>0</v>
      </c>
      <c r="G277">
        <f>SUMPRODUCT((MONTH(CHOOSE({1,2,3,4},KMB!T277,KMB!X277,KMB!AB277,KMB!AF277))=7)*(CHOOSE({1,2,3,4},KMB!W277,KMB!AA277,KMB!AE277,KMB!AI277)))</f>
        <v>0</v>
      </c>
      <c r="H277">
        <f>SUMPRODUCT((MONTH(CHOOSE({1,2,3,4},KMB!T277,KMB!X277,KMB!AB277,KMB!AF277))=8)*(CHOOSE({1,2,3,4},KMB!W277,KMB!AA277,KMB!AE277,KMB!AI277)))</f>
        <v>0</v>
      </c>
      <c r="I277">
        <f>SUMPRODUCT((MONTH(CHOOSE({1,2,3,4},KMB!T277,KMB!X277,KMB!AB277,KMB!AF277))=9)*(CHOOSE({1,2,3,4},KMB!W277,KMB!AA277,KMB!AE277,KMB!AI277)))</f>
        <v>0</v>
      </c>
      <c r="J277">
        <f>SUMPRODUCT((MONTH(CHOOSE({1,2,3,4},KMB!T277,KMB!X277,KMB!AB277,KMB!AF277))=10)*(CHOOSE({1,2,3,4},KMB!W277,KMB!AA277,KMB!AE277,KMB!AI277)))</f>
        <v>0</v>
      </c>
      <c r="K277">
        <f>SUMPRODUCT((MONTH(CHOOSE({1,2,3,4},KMB!T277,KMB!X277,KMB!AB277,KMB!AF277))=11)*(CHOOSE({1,2,3,4},KMB!W277,KMB!AA277,KMB!AE277,KMB!AI277)))</f>
        <v>0</v>
      </c>
      <c r="L277">
        <f>SUMPRODUCT((MONTH(CHOOSE({1,2,3,4},KMB!T277,KMB!X277,KMB!AB277,KMB!AF277))=12)*(CHOOSE({1,2,3,4},KMB!W277,KMB!AA277,KMB!AE277,KMB!AI277)))</f>
        <v>0</v>
      </c>
    </row>
    <row r="278" spans="1:12">
      <c r="A278">
        <f>SUMPRODUCT((MONTH(CHOOSE({1,2,3,4},KMB!T278,KMB!X278,KMB!AB278,KMB!AF278))=1)*(CHOOSE({1,2,3,4},KMB!W278,KMB!AA278,KMB!AE278,KMB!AI278)))</f>
        <v>0</v>
      </c>
      <c r="B278">
        <f>SUMPRODUCT((MONTH(CHOOSE({1,2,3,4},KMB!T278,KMB!X278,KMB!AB278,KMB!AF278))=2)*(CHOOSE({1,2,3,4},KMB!W278,KMB!AA278,KMB!AE278,KMB!AI278)))</f>
        <v>0</v>
      </c>
      <c r="C278">
        <f>SUMPRODUCT((MONTH(CHOOSE({1,2,3,4},KMB!T278,KMB!X278,KMB!AB278,KMB!AF278))=3)*(CHOOSE({1,2,3,4},KMB!W278,KMB!AA278,KMB!AE278,KMB!AI278)))</f>
        <v>0</v>
      </c>
      <c r="D278">
        <f>SUMPRODUCT((MONTH(CHOOSE({1,2,3,4},KMB!T278,KMB!X278,KMB!AB278,KMB!AF278))=4)*(CHOOSE({1,2,3,4},KMB!W278,KMB!AA278,KMB!AE278,KMB!AI278)))</f>
        <v>0</v>
      </c>
      <c r="E278">
        <f>SUMPRODUCT((MONTH(CHOOSE({1,2,3,4},KMB!T278,KMB!X278,KMB!AB278,KMB!AF278))=5)*(CHOOSE({1,2,3,4},KMB!W278,KMB!AA278,KMB!AE278,KMB!AI278)))</f>
        <v>0</v>
      </c>
      <c r="F278">
        <f>SUMPRODUCT((MONTH(CHOOSE({1,2,3,4},KMB!T278,KMB!X278,KMB!AB278,KMB!AF278))=6)*(CHOOSE({1,2,3,4},KMB!W278,KMB!AA278,KMB!AE278,KMB!AI278)))</f>
        <v>0</v>
      </c>
      <c r="G278">
        <f>SUMPRODUCT((MONTH(CHOOSE({1,2,3,4},KMB!T278,KMB!X278,KMB!AB278,KMB!AF278))=7)*(CHOOSE({1,2,3,4},KMB!W278,KMB!AA278,KMB!AE278,KMB!AI278)))</f>
        <v>0</v>
      </c>
      <c r="H278">
        <f>SUMPRODUCT((MONTH(CHOOSE({1,2,3,4},KMB!T278,KMB!X278,KMB!AB278,KMB!AF278))=8)*(CHOOSE({1,2,3,4},KMB!W278,KMB!AA278,KMB!AE278,KMB!AI278)))</f>
        <v>0</v>
      </c>
      <c r="I278">
        <f>SUMPRODUCT((MONTH(CHOOSE({1,2,3,4},KMB!T278,KMB!X278,KMB!AB278,KMB!AF278))=9)*(CHOOSE({1,2,3,4},KMB!W278,KMB!AA278,KMB!AE278,KMB!AI278)))</f>
        <v>0</v>
      </c>
      <c r="J278">
        <f>SUMPRODUCT((MONTH(CHOOSE({1,2,3,4},KMB!T278,KMB!X278,KMB!AB278,KMB!AF278))=10)*(CHOOSE({1,2,3,4},KMB!W278,KMB!AA278,KMB!AE278,KMB!AI278)))</f>
        <v>0</v>
      </c>
      <c r="K278">
        <f>SUMPRODUCT((MONTH(CHOOSE({1,2,3,4},KMB!T278,KMB!X278,KMB!AB278,KMB!AF278))=11)*(CHOOSE({1,2,3,4},KMB!W278,KMB!AA278,KMB!AE278,KMB!AI278)))</f>
        <v>0</v>
      </c>
      <c r="L278">
        <f>SUMPRODUCT((MONTH(CHOOSE({1,2,3,4},KMB!T278,KMB!X278,KMB!AB278,KMB!AF278))=12)*(CHOOSE({1,2,3,4},KMB!W278,KMB!AA278,KMB!AE278,KMB!AI278)))</f>
        <v>0</v>
      </c>
    </row>
    <row r="279" spans="1:12">
      <c r="A279">
        <f>SUMPRODUCT((MONTH(CHOOSE({1,2,3,4},KMB!T279,KMB!X279,KMB!AB279,KMB!AF279))=1)*(CHOOSE({1,2,3,4},KMB!W279,KMB!AA279,KMB!AE279,KMB!AI279)))</f>
        <v>0</v>
      </c>
      <c r="B279">
        <f>SUMPRODUCT((MONTH(CHOOSE({1,2,3,4},KMB!T279,KMB!X279,KMB!AB279,KMB!AF279))=2)*(CHOOSE({1,2,3,4},KMB!W279,KMB!AA279,KMB!AE279,KMB!AI279)))</f>
        <v>0</v>
      </c>
      <c r="C279">
        <f>SUMPRODUCT((MONTH(CHOOSE({1,2,3,4},KMB!T279,KMB!X279,KMB!AB279,KMB!AF279))=3)*(CHOOSE({1,2,3,4},KMB!W279,KMB!AA279,KMB!AE279,KMB!AI279)))</f>
        <v>0</v>
      </c>
      <c r="D279">
        <f>SUMPRODUCT((MONTH(CHOOSE({1,2,3,4},KMB!T279,KMB!X279,KMB!AB279,KMB!AF279))=4)*(CHOOSE({1,2,3,4},KMB!W279,KMB!AA279,KMB!AE279,KMB!AI279)))</f>
        <v>0</v>
      </c>
      <c r="E279">
        <f>SUMPRODUCT((MONTH(CHOOSE({1,2,3,4},KMB!T279,KMB!X279,KMB!AB279,KMB!AF279))=5)*(CHOOSE({1,2,3,4},KMB!W279,KMB!AA279,KMB!AE279,KMB!AI279)))</f>
        <v>0</v>
      </c>
      <c r="F279">
        <f>SUMPRODUCT((MONTH(CHOOSE({1,2,3,4},KMB!T279,KMB!X279,KMB!AB279,KMB!AF279))=6)*(CHOOSE({1,2,3,4},KMB!W279,KMB!AA279,KMB!AE279,KMB!AI279)))</f>
        <v>0</v>
      </c>
      <c r="G279">
        <f>SUMPRODUCT((MONTH(CHOOSE({1,2,3,4},KMB!T279,KMB!X279,KMB!AB279,KMB!AF279))=7)*(CHOOSE({1,2,3,4},KMB!W279,KMB!AA279,KMB!AE279,KMB!AI279)))</f>
        <v>0</v>
      </c>
      <c r="H279">
        <f>SUMPRODUCT((MONTH(CHOOSE({1,2,3,4},KMB!T279,KMB!X279,KMB!AB279,KMB!AF279))=8)*(CHOOSE({1,2,3,4},KMB!W279,KMB!AA279,KMB!AE279,KMB!AI279)))</f>
        <v>0</v>
      </c>
      <c r="I279">
        <f>SUMPRODUCT((MONTH(CHOOSE({1,2,3,4},KMB!T279,KMB!X279,KMB!AB279,KMB!AF279))=9)*(CHOOSE({1,2,3,4},KMB!W279,KMB!AA279,KMB!AE279,KMB!AI279)))</f>
        <v>0</v>
      </c>
      <c r="J279">
        <f>SUMPRODUCT((MONTH(CHOOSE({1,2,3,4},KMB!T279,KMB!X279,KMB!AB279,KMB!AF279))=10)*(CHOOSE({1,2,3,4},KMB!W279,KMB!AA279,KMB!AE279,KMB!AI279)))</f>
        <v>0</v>
      </c>
      <c r="K279">
        <f>SUMPRODUCT((MONTH(CHOOSE({1,2,3,4},KMB!T279,KMB!X279,KMB!AB279,KMB!AF279))=11)*(CHOOSE({1,2,3,4},KMB!W279,KMB!AA279,KMB!AE279,KMB!AI279)))</f>
        <v>0</v>
      </c>
      <c r="L279">
        <f>SUMPRODUCT((MONTH(CHOOSE({1,2,3,4},KMB!T279,KMB!X279,KMB!AB279,KMB!AF279))=12)*(CHOOSE({1,2,3,4},KMB!W279,KMB!AA279,KMB!AE279,KMB!AI279)))</f>
        <v>0</v>
      </c>
    </row>
    <row r="280" spans="1:12">
      <c r="A280">
        <f>SUMPRODUCT((MONTH(CHOOSE({1,2,3,4},KMB!T280,KMB!X280,KMB!AB280,KMB!AF280))=1)*(CHOOSE({1,2,3,4},KMB!W280,KMB!AA280,KMB!AE280,KMB!AI280)))</f>
        <v>0</v>
      </c>
      <c r="B280">
        <f>SUMPRODUCT((MONTH(CHOOSE({1,2,3,4},KMB!T280,KMB!X280,KMB!AB280,KMB!AF280))=2)*(CHOOSE({1,2,3,4},KMB!W280,KMB!AA280,KMB!AE280,KMB!AI280)))</f>
        <v>0</v>
      </c>
      <c r="C280">
        <f>SUMPRODUCT((MONTH(CHOOSE({1,2,3,4},KMB!T280,KMB!X280,KMB!AB280,KMB!AF280))=3)*(CHOOSE({1,2,3,4},KMB!W280,KMB!AA280,KMB!AE280,KMB!AI280)))</f>
        <v>0</v>
      </c>
      <c r="D280">
        <f>SUMPRODUCT((MONTH(CHOOSE({1,2,3,4},KMB!T280,KMB!X280,KMB!AB280,KMB!AF280))=4)*(CHOOSE({1,2,3,4},KMB!W280,KMB!AA280,KMB!AE280,KMB!AI280)))</f>
        <v>0</v>
      </c>
      <c r="E280">
        <f>SUMPRODUCT((MONTH(CHOOSE({1,2,3,4},KMB!T280,KMB!X280,KMB!AB280,KMB!AF280))=5)*(CHOOSE({1,2,3,4},KMB!W280,KMB!AA280,KMB!AE280,KMB!AI280)))</f>
        <v>0</v>
      </c>
      <c r="F280">
        <f>SUMPRODUCT((MONTH(CHOOSE({1,2,3,4},KMB!T280,KMB!X280,KMB!AB280,KMB!AF280))=6)*(CHOOSE({1,2,3,4},KMB!W280,KMB!AA280,KMB!AE280,KMB!AI280)))</f>
        <v>0</v>
      </c>
      <c r="G280">
        <f>SUMPRODUCT((MONTH(CHOOSE({1,2,3,4},KMB!T280,KMB!X280,KMB!AB280,KMB!AF280))=7)*(CHOOSE({1,2,3,4},KMB!W280,KMB!AA280,KMB!AE280,KMB!AI280)))</f>
        <v>0</v>
      </c>
      <c r="H280">
        <f>SUMPRODUCT((MONTH(CHOOSE({1,2,3,4},KMB!T280,KMB!X280,KMB!AB280,KMB!AF280))=8)*(CHOOSE({1,2,3,4},KMB!W280,KMB!AA280,KMB!AE280,KMB!AI280)))</f>
        <v>0</v>
      </c>
      <c r="I280">
        <f>SUMPRODUCT((MONTH(CHOOSE({1,2,3,4},KMB!T280,KMB!X280,KMB!AB280,KMB!AF280))=9)*(CHOOSE({1,2,3,4},KMB!W280,KMB!AA280,KMB!AE280,KMB!AI280)))</f>
        <v>0</v>
      </c>
      <c r="J280">
        <f>SUMPRODUCT((MONTH(CHOOSE({1,2,3,4},KMB!T280,KMB!X280,KMB!AB280,KMB!AF280))=10)*(CHOOSE({1,2,3,4},KMB!W280,KMB!AA280,KMB!AE280,KMB!AI280)))</f>
        <v>0</v>
      </c>
      <c r="K280">
        <f>SUMPRODUCT((MONTH(CHOOSE({1,2,3,4},KMB!T280,KMB!X280,KMB!AB280,KMB!AF280))=11)*(CHOOSE({1,2,3,4},KMB!W280,KMB!AA280,KMB!AE280,KMB!AI280)))</f>
        <v>0</v>
      </c>
      <c r="L280">
        <f>SUMPRODUCT((MONTH(CHOOSE({1,2,3,4},KMB!T280,KMB!X280,KMB!AB280,KMB!AF280))=12)*(CHOOSE({1,2,3,4},KMB!W280,KMB!AA280,KMB!AE280,KMB!AI280)))</f>
        <v>0</v>
      </c>
    </row>
    <row r="281" spans="1:12">
      <c r="A281">
        <f>SUMPRODUCT((MONTH(CHOOSE({1,2,3,4},KMB!T281,KMB!X281,KMB!AB281,KMB!AF281))=1)*(CHOOSE({1,2,3,4},KMB!W281,KMB!AA281,KMB!AE281,KMB!AI281)))</f>
        <v>0</v>
      </c>
      <c r="B281">
        <f>SUMPRODUCT((MONTH(CHOOSE({1,2,3,4},KMB!T281,KMB!X281,KMB!AB281,KMB!AF281))=2)*(CHOOSE({1,2,3,4},KMB!W281,KMB!AA281,KMB!AE281,KMB!AI281)))</f>
        <v>0</v>
      </c>
      <c r="C281">
        <f>SUMPRODUCT((MONTH(CHOOSE({1,2,3,4},KMB!T281,KMB!X281,KMB!AB281,KMB!AF281))=3)*(CHOOSE({1,2,3,4},KMB!W281,KMB!AA281,KMB!AE281,KMB!AI281)))</f>
        <v>0</v>
      </c>
      <c r="D281">
        <f>SUMPRODUCT((MONTH(CHOOSE({1,2,3,4},KMB!T281,KMB!X281,KMB!AB281,KMB!AF281))=4)*(CHOOSE({1,2,3,4},KMB!W281,KMB!AA281,KMB!AE281,KMB!AI281)))</f>
        <v>0</v>
      </c>
      <c r="E281">
        <f>SUMPRODUCT((MONTH(CHOOSE({1,2,3,4},KMB!T281,KMB!X281,KMB!AB281,KMB!AF281))=5)*(CHOOSE({1,2,3,4},KMB!W281,KMB!AA281,KMB!AE281,KMB!AI281)))</f>
        <v>0</v>
      </c>
      <c r="F281">
        <f>SUMPRODUCT((MONTH(CHOOSE({1,2,3,4},KMB!T281,KMB!X281,KMB!AB281,KMB!AF281))=6)*(CHOOSE({1,2,3,4},KMB!W281,KMB!AA281,KMB!AE281,KMB!AI281)))</f>
        <v>0</v>
      </c>
      <c r="G281">
        <f>SUMPRODUCT((MONTH(CHOOSE({1,2,3,4},KMB!T281,KMB!X281,KMB!AB281,KMB!AF281))=7)*(CHOOSE({1,2,3,4},KMB!W281,KMB!AA281,KMB!AE281,KMB!AI281)))</f>
        <v>0</v>
      </c>
      <c r="H281">
        <f>SUMPRODUCT((MONTH(CHOOSE({1,2,3,4},KMB!T281,KMB!X281,KMB!AB281,KMB!AF281))=8)*(CHOOSE({1,2,3,4},KMB!W281,KMB!AA281,KMB!AE281,KMB!AI281)))</f>
        <v>0</v>
      </c>
      <c r="I281">
        <f>SUMPRODUCT((MONTH(CHOOSE({1,2,3,4},KMB!T281,KMB!X281,KMB!AB281,KMB!AF281))=9)*(CHOOSE({1,2,3,4},KMB!W281,KMB!AA281,KMB!AE281,KMB!AI281)))</f>
        <v>0</v>
      </c>
      <c r="J281">
        <f>SUMPRODUCT((MONTH(CHOOSE({1,2,3,4},KMB!T281,KMB!X281,KMB!AB281,KMB!AF281))=10)*(CHOOSE({1,2,3,4},KMB!W281,KMB!AA281,KMB!AE281,KMB!AI281)))</f>
        <v>0</v>
      </c>
      <c r="K281">
        <f>SUMPRODUCT((MONTH(CHOOSE({1,2,3,4},KMB!T281,KMB!X281,KMB!AB281,KMB!AF281))=11)*(CHOOSE({1,2,3,4},KMB!W281,KMB!AA281,KMB!AE281,KMB!AI281)))</f>
        <v>0</v>
      </c>
      <c r="L281">
        <f>SUMPRODUCT((MONTH(CHOOSE({1,2,3,4},KMB!T281,KMB!X281,KMB!AB281,KMB!AF281))=12)*(CHOOSE({1,2,3,4},KMB!W281,KMB!AA281,KMB!AE281,KMB!AI281)))</f>
        <v>0</v>
      </c>
    </row>
    <row r="282" spans="1:12">
      <c r="A282">
        <f>SUMPRODUCT((MONTH(CHOOSE({1,2,3,4},KMB!T282,KMB!X282,KMB!AB282,KMB!AF282))=1)*(CHOOSE({1,2,3,4},KMB!W282,KMB!AA282,KMB!AE282,KMB!AI282)))</f>
        <v>0</v>
      </c>
      <c r="B282">
        <f>SUMPRODUCT((MONTH(CHOOSE({1,2,3,4},KMB!T282,KMB!X282,KMB!AB282,KMB!AF282))=2)*(CHOOSE({1,2,3,4},KMB!W282,KMB!AA282,KMB!AE282,KMB!AI282)))</f>
        <v>0</v>
      </c>
      <c r="C282">
        <f>SUMPRODUCT((MONTH(CHOOSE({1,2,3,4},KMB!T282,KMB!X282,KMB!AB282,KMB!AF282))=3)*(CHOOSE({1,2,3,4},KMB!W282,KMB!AA282,KMB!AE282,KMB!AI282)))</f>
        <v>0</v>
      </c>
      <c r="D282">
        <f>SUMPRODUCT((MONTH(CHOOSE({1,2,3,4},KMB!T282,KMB!X282,KMB!AB282,KMB!AF282))=4)*(CHOOSE({1,2,3,4},KMB!W282,KMB!AA282,KMB!AE282,KMB!AI282)))</f>
        <v>0</v>
      </c>
      <c r="E282">
        <f>SUMPRODUCT((MONTH(CHOOSE({1,2,3,4},KMB!T282,KMB!X282,KMB!AB282,KMB!AF282))=5)*(CHOOSE({1,2,3,4},KMB!W282,KMB!AA282,KMB!AE282,KMB!AI282)))</f>
        <v>0</v>
      </c>
      <c r="F282">
        <f>SUMPRODUCT((MONTH(CHOOSE({1,2,3,4},KMB!T282,KMB!X282,KMB!AB282,KMB!AF282))=6)*(CHOOSE({1,2,3,4},KMB!W282,KMB!AA282,KMB!AE282,KMB!AI282)))</f>
        <v>0</v>
      </c>
      <c r="G282">
        <f>SUMPRODUCT((MONTH(CHOOSE({1,2,3,4},KMB!T282,KMB!X282,KMB!AB282,KMB!AF282))=7)*(CHOOSE({1,2,3,4},KMB!W282,KMB!AA282,KMB!AE282,KMB!AI282)))</f>
        <v>0</v>
      </c>
      <c r="H282">
        <f>SUMPRODUCT((MONTH(CHOOSE({1,2,3,4},KMB!T282,KMB!X282,KMB!AB282,KMB!AF282))=8)*(CHOOSE({1,2,3,4},KMB!W282,KMB!AA282,KMB!AE282,KMB!AI282)))</f>
        <v>0</v>
      </c>
      <c r="I282">
        <f>SUMPRODUCT((MONTH(CHOOSE({1,2,3,4},KMB!T282,KMB!X282,KMB!AB282,KMB!AF282))=9)*(CHOOSE({1,2,3,4},KMB!W282,KMB!AA282,KMB!AE282,KMB!AI282)))</f>
        <v>0</v>
      </c>
      <c r="J282">
        <f>SUMPRODUCT((MONTH(CHOOSE({1,2,3,4},KMB!T282,KMB!X282,KMB!AB282,KMB!AF282))=10)*(CHOOSE({1,2,3,4},KMB!W282,KMB!AA282,KMB!AE282,KMB!AI282)))</f>
        <v>0</v>
      </c>
      <c r="K282">
        <f>SUMPRODUCT((MONTH(CHOOSE({1,2,3,4},KMB!T282,KMB!X282,KMB!AB282,KMB!AF282))=11)*(CHOOSE({1,2,3,4},KMB!W282,KMB!AA282,KMB!AE282,KMB!AI282)))</f>
        <v>0</v>
      </c>
      <c r="L282">
        <f>SUMPRODUCT((MONTH(CHOOSE({1,2,3,4},KMB!T282,KMB!X282,KMB!AB282,KMB!AF282))=12)*(CHOOSE({1,2,3,4},KMB!W282,KMB!AA282,KMB!AE282,KMB!AI282)))</f>
        <v>0</v>
      </c>
    </row>
    <row r="283" spans="1:12">
      <c r="A283">
        <f>SUMPRODUCT((MONTH(CHOOSE({1,2,3,4},KMB!T283,KMB!X283,KMB!AB283,KMB!AF283))=1)*(CHOOSE({1,2,3,4},KMB!W283,KMB!AA283,KMB!AE283,KMB!AI283)))</f>
        <v>0</v>
      </c>
      <c r="B283">
        <f>SUMPRODUCT((MONTH(CHOOSE({1,2,3,4},KMB!T283,KMB!X283,KMB!AB283,KMB!AF283))=2)*(CHOOSE({1,2,3,4},KMB!W283,KMB!AA283,KMB!AE283,KMB!AI283)))</f>
        <v>0</v>
      </c>
      <c r="C283">
        <f>SUMPRODUCT((MONTH(CHOOSE({1,2,3,4},KMB!T283,KMB!X283,KMB!AB283,KMB!AF283))=3)*(CHOOSE({1,2,3,4},KMB!W283,KMB!AA283,KMB!AE283,KMB!AI283)))</f>
        <v>0</v>
      </c>
      <c r="D283">
        <f>SUMPRODUCT((MONTH(CHOOSE({1,2,3,4},KMB!T283,KMB!X283,KMB!AB283,KMB!AF283))=4)*(CHOOSE({1,2,3,4},KMB!W283,KMB!AA283,KMB!AE283,KMB!AI283)))</f>
        <v>0</v>
      </c>
      <c r="E283">
        <f>SUMPRODUCT((MONTH(CHOOSE({1,2,3,4},KMB!T283,KMB!X283,KMB!AB283,KMB!AF283))=5)*(CHOOSE({1,2,3,4},KMB!W283,KMB!AA283,KMB!AE283,KMB!AI283)))</f>
        <v>0</v>
      </c>
      <c r="F283">
        <f>SUMPRODUCT((MONTH(CHOOSE({1,2,3,4},KMB!T283,KMB!X283,KMB!AB283,KMB!AF283))=6)*(CHOOSE({1,2,3,4},KMB!W283,KMB!AA283,KMB!AE283,KMB!AI283)))</f>
        <v>0</v>
      </c>
      <c r="G283">
        <f>SUMPRODUCT((MONTH(CHOOSE({1,2,3,4},KMB!T283,KMB!X283,KMB!AB283,KMB!AF283))=7)*(CHOOSE({1,2,3,4},KMB!W283,KMB!AA283,KMB!AE283,KMB!AI283)))</f>
        <v>0</v>
      </c>
      <c r="H283">
        <f>SUMPRODUCT((MONTH(CHOOSE({1,2,3,4},KMB!T283,KMB!X283,KMB!AB283,KMB!AF283))=8)*(CHOOSE({1,2,3,4},KMB!W283,KMB!AA283,KMB!AE283,KMB!AI283)))</f>
        <v>0</v>
      </c>
      <c r="I283">
        <f>SUMPRODUCT((MONTH(CHOOSE({1,2,3,4},KMB!T283,KMB!X283,KMB!AB283,KMB!AF283))=9)*(CHOOSE({1,2,3,4},KMB!W283,KMB!AA283,KMB!AE283,KMB!AI283)))</f>
        <v>0</v>
      </c>
      <c r="J283">
        <f>SUMPRODUCT((MONTH(CHOOSE({1,2,3,4},KMB!T283,KMB!X283,KMB!AB283,KMB!AF283))=10)*(CHOOSE({1,2,3,4},KMB!W283,KMB!AA283,KMB!AE283,KMB!AI283)))</f>
        <v>0</v>
      </c>
      <c r="K283">
        <f>SUMPRODUCT((MONTH(CHOOSE({1,2,3,4},KMB!T283,KMB!X283,KMB!AB283,KMB!AF283))=11)*(CHOOSE({1,2,3,4},KMB!W283,KMB!AA283,KMB!AE283,KMB!AI283)))</f>
        <v>0</v>
      </c>
      <c r="L283">
        <f>SUMPRODUCT((MONTH(CHOOSE({1,2,3,4},KMB!T283,KMB!X283,KMB!AB283,KMB!AF283))=12)*(CHOOSE({1,2,3,4},KMB!W283,KMB!AA283,KMB!AE283,KMB!AI283)))</f>
        <v>0</v>
      </c>
    </row>
    <row r="284" spans="1:12">
      <c r="A284">
        <f>SUMPRODUCT((MONTH(CHOOSE({1,2,3,4},KMB!T284,KMB!X284,KMB!AB284,KMB!AF284))=1)*(CHOOSE({1,2,3,4},KMB!W284,KMB!AA284,KMB!AE284,KMB!AI284)))</f>
        <v>0</v>
      </c>
      <c r="B284">
        <f>SUMPRODUCT((MONTH(CHOOSE({1,2,3,4},KMB!T284,KMB!X284,KMB!AB284,KMB!AF284))=2)*(CHOOSE({1,2,3,4},KMB!W284,KMB!AA284,KMB!AE284,KMB!AI284)))</f>
        <v>0</v>
      </c>
      <c r="C284">
        <f>SUMPRODUCT((MONTH(CHOOSE({1,2,3,4},KMB!T284,KMB!X284,KMB!AB284,KMB!AF284))=3)*(CHOOSE({1,2,3,4},KMB!W284,KMB!AA284,KMB!AE284,KMB!AI284)))</f>
        <v>0</v>
      </c>
      <c r="D284">
        <f>SUMPRODUCT((MONTH(CHOOSE({1,2,3,4},KMB!T284,KMB!X284,KMB!AB284,KMB!AF284))=4)*(CHOOSE({1,2,3,4},KMB!W284,KMB!AA284,KMB!AE284,KMB!AI284)))</f>
        <v>0</v>
      </c>
      <c r="E284">
        <f>SUMPRODUCT((MONTH(CHOOSE({1,2,3,4},KMB!T284,KMB!X284,KMB!AB284,KMB!AF284))=5)*(CHOOSE({1,2,3,4},KMB!W284,KMB!AA284,KMB!AE284,KMB!AI284)))</f>
        <v>0</v>
      </c>
      <c r="F284">
        <f>SUMPRODUCT((MONTH(CHOOSE({1,2,3,4},KMB!T284,KMB!X284,KMB!AB284,KMB!AF284))=6)*(CHOOSE({1,2,3,4},KMB!W284,KMB!AA284,KMB!AE284,KMB!AI284)))</f>
        <v>0</v>
      </c>
      <c r="G284">
        <f>SUMPRODUCT((MONTH(CHOOSE({1,2,3,4},KMB!T284,KMB!X284,KMB!AB284,KMB!AF284))=7)*(CHOOSE({1,2,3,4},KMB!W284,KMB!AA284,KMB!AE284,KMB!AI284)))</f>
        <v>0</v>
      </c>
      <c r="H284">
        <f>SUMPRODUCT((MONTH(CHOOSE({1,2,3,4},KMB!T284,KMB!X284,KMB!AB284,KMB!AF284))=8)*(CHOOSE({1,2,3,4},KMB!W284,KMB!AA284,KMB!AE284,KMB!AI284)))</f>
        <v>0</v>
      </c>
      <c r="I284">
        <f>SUMPRODUCT((MONTH(CHOOSE({1,2,3,4},KMB!T284,KMB!X284,KMB!AB284,KMB!AF284))=9)*(CHOOSE({1,2,3,4},KMB!W284,KMB!AA284,KMB!AE284,KMB!AI284)))</f>
        <v>0</v>
      </c>
      <c r="J284">
        <f>SUMPRODUCT((MONTH(CHOOSE({1,2,3,4},KMB!T284,KMB!X284,KMB!AB284,KMB!AF284))=10)*(CHOOSE({1,2,3,4},KMB!W284,KMB!AA284,KMB!AE284,KMB!AI284)))</f>
        <v>0</v>
      </c>
      <c r="K284">
        <f>SUMPRODUCT((MONTH(CHOOSE({1,2,3,4},KMB!T284,KMB!X284,KMB!AB284,KMB!AF284))=11)*(CHOOSE({1,2,3,4},KMB!W284,KMB!AA284,KMB!AE284,KMB!AI284)))</f>
        <v>0</v>
      </c>
      <c r="L284">
        <f>SUMPRODUCT((MONTH(CHOOSE({1,2,3,4},KMB!T284,KMB!X284,KMB!AB284,KMB!AF284))=12)*(CHOOSE({1,2,3,4},KMB!W284,KMB!AA284,KMB!AE284,KMB!AI284)))</f>
        <v>0</v>
      </c>
    </row>
    <row r="285" spans="1:12">
      <c r="A285">
        <f>SUMPRODUCT((MONTH(CHOOSE({1,2,3,4},KMB!T285,KMB!X285,KMB!AB285,KMB!AF285))=1)*(CHOOSE({1,2,3,4},KMB!W285,KMB!AA285,KMB!AE285,KMB!AI285)))</f>
        <v>0</v>
      </c>
      <c r="B285">
        <f>SUMPRODUCT((MONTH(CHOOSE({1,2,3,4},KMB!T285,KMB!X285,KMB!AB285,KMB!AF285))=2)*(CHOOSE({1,2,3,4},KMB!W285,KMB!AA285,KMB!AE285,KMB!AI285)))</f>
        <v>0</v>
      </c>
      <c r="C285">
        <f>SUMPRODUCT((MONTH(CHOOSE({1,2,3,4},KMB!T285,KMB!X285,KMB!AB285,KMB!AF285))=3)*(CHOOSE({1,2,3,4},KMB!W285,KMB!AA285,KMB!AE285,KMB!AI285)))</f>
        <v>0</v>
      </c>
      <c r="D285">
        <f>SUMPRODUCT((MONTH(CHOOSE({1,2,3,4},KMB!T285,KMB!X285,KMB!AB285,KMB!AF285))=4)*(CHOOSE({1,2,3,4},KMB!W285,KMB!AA285,KMB!AE285,KMB!AI285)))</f>
        <v>0</v>
      </c>
      <c r="E285">
        <f>SUMPRODUCT((MONTH(CHOOSE({1,2,3,4},KMB!T285,KMB!X285,KMB!AB285,KMB!AF285))=5)*(CHOOSE({1,2,3,4},KMB!W285,KMB!AA285,KMB!AE285,KMB!AI285)))</f>
        <v>0</v>
      </c>
      <c r="F285">
        <f>SUMPRODUCT((MONTH(CHOOSE({1,2,3,4},KMB!T285,KMB!X285,KMB!AB285,KMB!AF285))=6)*(CHOOSE({1,2,3,4},KMB!W285,KMB!AA285,KMB!AE285,KMB!AI285)))</f>
        <v>0</v>
      </c>
      <c r="G285">
        <f>SUMPRODUCT((MONTH(CHOOSE({1,2,3,4},KMB!T285,KMB!X285,KMB!AB285,KMB!AF285))=7)*(CHOOSE({1,2,3,4},KMB!W285,KMB!AA285,KMB!AE285,KMB!AI285)))</f>
        <v>0</v>
      </c>
      <c r="H285">
        <f>SUMPRODUCT((MONTH(CHOOSE({1,2,3,4},KMB!T285,KMB!X285,KMB!AB285,KMB!AF285))=8)*(CHOOSE({1,2,3,4},KMB!W285,KMB!AA285,KMB!AE285,KMB!AI285)))</f>
        <v>0</v>
      </c>
      <c r="I285">
        <f>SUMPRODUCT((MONTH(CHOOSE({1,2,3,4},KMB!T285,KMB!X285,KMB!AB285,KMB!AF285))=9)*(CHOOSE({1,2,3,4},KMB!W285,KMB!AA285,KMB!AE285,KMB!AI285)))</f>
        <v>0</v>
      </c>
      <c r="J285">
        <f>SUMPRODUCT((MONTH(CHOOSE({1,2,3,4},KMB!T285,KMB!X285,KMB!AB285,KMB!AF285))=10)*(CHOOSE({1,2,3,4},KMB!W285,KMB!AA285,KMB!AE285,KMB!AI285)))</f>
        <v>0</v>
      </c>
      <c r="K285">
        <f>SUMPRODUCT((MONTH(CHOOSE({1,2,3,4},KMB!T285,KMB!X285,KMB!AB285,KMB!AF285))=11)*(CHOOSE({1,2,3,4},KMB!W285,KMB!AA285,KMB!AE285,KMB!AI285)))</f>
        <v>0</v>
      </c>
      <c r="L285">
        <f>SUMPRODUCT((MONTH(CHOOSE({1,2,3,4},KMB!T285,KMB!X285,KMB!AB285,KMB!AF285))=12)*(CHOOSE({1,2,3,4},KMB!W285,KMB!AA285,KMB!AE285,KMB!AI285)))</f>
        <v>0</v>
      </c>
    </row>
    <row r="286" spans="1:12">
      <c r="A286">
        <f>SUMPRODUCT((MONTH(CHOOSE({1,2,3,4},KMB!T286,KMB!X286,KMB!AB286,KMB!AF286))=1)*(CHOOSE({1,2,3,4},KMB!W286,KMB!AA286,KMB!AE286,KMB!AI286)))</f>
        <v>0</v>
      </c>
      <c r="B286">
        <f>SUMPRODUCT((MONTH(CHOOSE({1,2,3,4},KMB!T286,KMB!X286,KMB!AB286,KMB!AF286))=2)*(CHOOSE({1,2,3,4},KMB!W286,KMB!AA286,KMB!AE286,KMB!AI286)))</f>
        <v>0</v>
      </c>
      <c r="C286">
        <f>SUMPRODUCT((MONTH(CHOOSE({1,2,3,4},KMB!T286,KMB!X286,KMB!AB286,KMB!AF286))=3)*(CHOOSE({1,2,3,4},KMB!W286,KMB!AA286,KMB!AE286,KMB!AI286)))</f>
        <v>0</v>
      </c>
      <c r="D286">
        <f>SUMPRODUCT((MONTH(CHOOSE({1,2,3,4},KMB!T286,KMB!X286,KMB!AB286,KMB!AF286))=4)*(CHOOSE({1,2,3,4},KMB!W286,KMB!AA286,KMB!AE286,KMB!AI286)))</f>
        <v>0</v>
      </c>
      <c r="E286">
        <f>SUMPRODUCT((MONTH(CHOOSE({1,2,3,4},KMB!T286,KMB!X286,KMB!AB286,KMB!AF286))=5)*(CHOOSE({1,2,3,4},KMB!W286,KMB!AA286,KMB!AE286,KMB!AI286)))</f>
        <v>0</v>
      </c>
      <c r="F286">
        <f>SUMPRODUCT((MONTH(CHOOSE({1,2,3,4},KMB!T286,KMB!X286,KMB!AB286,KMB!AF286))=6)*(CHOOSE({1,2,3,4},KMB!W286,KMB!AA286,KMB!AE286,KMB!AI286)))</f>
        <v>0</v>
      </c>
      <c r="G286">
        <f>SUMPRODUCT((MONTH(CHOOSE({1,2,3,4},KMB!T286,KMB!X286,KMB!AB286,KMB!AF286))=7)*(CHOOSE({1,2,3,4},KMB!W286,KMB!AA286,KMB!AE286,KMB!AI286)))</f>
        <v>0</v>
      </c>
      <c r="H286">
        <f>SUMPRODUCT((MONTH(CHOOSE({1,2,3,4},KMB!T286,KMB!X286,KMB!AB286,KMB!AF286))=8)*(CHOOSE({1,2,3,4},KMB!W286,KMB!AA286,KMB!AE286,KMB!AI286)))</f>
        <v>0</v>
      </c>
      <c r="I286">
        <f>SUMPRODUCT((MONTH(CHOOSE({1,2,3,4},KMB!T286,KMB!X286,KMB!AB286,KMB!AF286))=9)*(CHOOSE({1,2,3,4},KMB!W286,KMB!AA286,KMB!AE286,KMB!AI286)))</f>
        <v>0</v>
      </c>
      <c r="J286">
        <f>SUMPRODUCT((MONTH(CHOOSE({1,2,3,4},KMB!T286,KMB!X286,KMB!AB286,KMB!AF286))=10)*(CHOOSE({1,2,3,4},KMB!W286,KMB!AA286,KMB!AE286,KMB!AI286)))</f>
        <v>0</v>
      </c>
      <c r="K286">
        <f>SUMPRODUCT((MONTH(CHOOSE({1,2,3,4},KMB!T286,KMB!X286,KMB!AB286,KMB!AF286))=11)*(CHOOSE({1,2,3,4},KMB!W286,KMB!AA286,KMB!AE286,KMB!AI286)))</f>
        <v>0</v>
      </c>
      <c r="L286">
        <f>SUMPRODUCT((MONTH(CHOOSE({1,2,3,4},KMB!T286,KMB!X286,KMB!AB286,KMB!AF286))=12)*(CHOOSE({1,2,3,4},KMB!W286,KMB!AA286,KMB!AE286,KMB!AI286)))</f>
        <v>0</v>
      </c>
    </row>
    <row r="287" spans="1:12">
      <c r="A287">
        <f>SUMPRODUCT((MONTH(CHOOSE({1,2,3,4},KMB!T287,KMB!X287,KMB!AB287,KMB!AF287))=1)*(CHOOSE({1,2,3,4},KMB!W287,KMB!AA287,KMB!AE287,KMB!AI287)))</f>
        <v>0</v>
      </c>
      <c r="B287">
        <f>SUMPRODUCT((MONTH(CHOOSE({1,2,3,4},KMB!T287,KMB!X287,KMB!AB287,KMB!AF287))=2)*(CHOOSE({1,2,3,4},KMB!W287,KMB!AA287,KMB!AE287,KMB!AI287)))</f>
        <v>0</v>
      </c>
      <c r="C287">
        <f>SUMPRODUCT((MONTH(CHOOSE({1,2,3,4},KMB!T287,KMB!X287,KMB!AB287,KMB!AF287))=3)*(CHOOSE({1,2,3,4},KMB!W287,KMB!AA287,KMB!AE287,KMB!AI287)))</f>
        <v>0</v>
      </c>
      <c r="D287">
        <f>SUMPRODUCT((MONTH(CHOOSE({1,2,3,4},KMB!T287,KMB!X287,KMB!AB287,KMB!AF287))=4)*(CHOOSE({1,2,3,4},KMB!W287,KMB!AA287,KMB!AE287,KMB!AI287)))</f>
        <v>0</v>
      </c>
      <c r="E287">
        <f>SUMPRODUCT((MONTH(CHOOSE({1,2,3,4},KMB!T287,KMB!X287,KMB!AB287,KMB!AF287))=5)*(CHOOSE({1,2,3,4},KMB!W287,KMB!AA287,KMB!AE287,KMB!AI287)))</f>
        <v>0</v>
      </c>
      <c r="F287">
        <f>SUMPRODUCT((MONTH(CHOOSE({1,2,3,4},KMB!T287,KMB!X287,KMB!AB287,KMB!AF287))=6)*(CHOOSE({1,2,3,4},KMB!W287,KMB!AA287,KMB!AE287,KMB!AI287)))</f>
        <v>0</v>
      </c>
      <c r="G287">
        <f>SUMPRODUCT((MONTH(CHOOSE({1,2,3,4},KMB!T287,KMB!X287,KMB!AB287,KMB!AF287))=7)*(CHOOSE({1,2,3,4},KMB!W287,KMB!AA287,KMB!AE287,KMB!AI287)))</f>
        <v>0</v>
      </c>
      <c r="H287">
        <f>SUMPRODUCT((MONTH(CHOOSE({1,2,3,4},KMB!T287,KMB!X287,KMB!AB287,KMB!AF287))=8)*(CHOOSE({1,2,3,4},KMB!W287,KMB!AA287,KMB!AE287,KMB!AI287)))</f>
        <v>0</v>
      </c>
      <c r="I287">
        <f>SUMPRODUCT((MONTH(CHOOSE({1,2,3,4},KMB!T287,KMB!X287,KMB!AB287,KMB!AF287))=9)*(CHOOSE({1,2,3,4},KMB!W287,KMB!AA287,KMB!AE287,KMB!AI287)))</f>
        <v>0</v>
      </c>
      <c r="J287">
        <f>SUMPRODUCT((MONTH(CHOOSE({1,2,3,4},KMB!T287,KMB!X287,KMB!AB287,KMB!AF287))=10)*(CHOOSE({1,2,3,4},KMB!W287,KMB!AA287,KMB!AE287,KMB!AI287)))</f>
        <v>0</v>
      </c>
      <c r="K287">
        <f>SUMPRODUCT((MONTH(CHOOSE({1,2,3,4},KMB!T287,KMB!X287,KMB!AB287,KMB!AF287))=11)*(CHOOSE({1,2,3,4},KMB!W287,KMB!AA287,KMB!AE287,KMB!AI287)))</f>
        <v>0</v>
      </c>
      <c r="L287">
        <f>SUMPRODUCT((MONTH(CHOOSE({1,2,3,4},KMB!T287,KMB!X287,KMB!AB287,KMB!AF287))=12)*(CHOOSE({1,2,3,4},KMB!W287,KMB!AA287,KMB!AE287,KMB!AI287)))</f>
        <v>0</v>
      </c>
    </row>
    <row r="288" spans="1:12">
      <c r="A288">
        <f>SUMPRODUCT((MONTH(CHOOSE({1,2,3,4},KMB!T288,KMB!X288,KMB!AB288,KMB!AF288))=1)*(CHOOSE({1,2,3,4},KMB!W288,KMB!AA288,KMB!AE288,KMB!AI288)))</f>
        <v>0</v>
      </c>
      <c r="B288">
        <f>SUMPRODUCT((MONTH(CHOOSE({1,2,3,4},KMB!T288,KMB!X288,KMB!AB288,KMB!AF288))=2)*(CHOOSE({1,2,3,4},KMB!W288,KMB!AA288,KMB!AE288,KMB!AI288)))</f>
        <v>0</v>
      </c>
      <c r="C288">
        <f>SUMPRODUCT((MONTH(CHOOSE({1,2,3,4},KMB!T288,KMB!X288,KMB!AB288,KMB!AF288))=3)*(CHOOSE({1,2,3,4},KMB!W288,KMB!AA288,KMB!AE288,KMB!AI288)))</f>
        <v>0</v>
      </c>
      <c r="D288">
        <f>SUMPRODUCT((MONTH(CHOOSE({1,2,3,4},KMB!T288,KMB!X288,KMB!AB288,KMB!AF288))=4)*(CHOOSE({1,2,3,4},KMB!W288,KMB!AA288,KMB!AE288,KMB!AI288)))</f>
        <v>0</v>
      </c>
      <c r="E288">
        <f>SUMPRODUCT((MONTH(CHOOSE({1,2,3,4},KMB!T288,KMB!X288,KMB!AB288,KMB!AF288))=5)*(CHOOSE({1,2,3,4},KMB!W288,KMB!AA288,KMB!AE288,KMB!AI288)))</f>
        <v>0</v>
      </c>
      <c r="F288">
        <f>SUMPRODUCT((MONTH(CHOOSE({1,2,3,4},KMB!T288,KMB!X288,KMB!AB288,KMB!AF288))=6)*(CHOOSE({1,2,3,4},KMB!W288,KMB!AA288,KMB!AE288,KMB!AI288)))</f>
        <v>0</v>
      </c>
      <c r="G288">
        <f>SUMPRODUCT((MONTH(CHOOSE({1,2,3,4},KMB!T288,KMB!X288,KMB!AB288,KMB!AF288))=7)*(CHOOSE({1,2,3,4},KMB!W288,KMB!AA288,KMB!AE288,KMB!AI288)))</f>
        <v>0</v>
      </c>
      <c r="H288">
        <f>SUMPRODUCT((MONTH(CHOOSE({1,2,3,4},KMB!T288,KMB!X288,KMB!AB288,KMB!AF288))=8)*(CHOOSE({1,2,3,4},KMB!W288,KMB!AA288,KMB!AE288,KMB!AI288)))</f>
        <v>0</v>
      </c>
      <c r="I288">
        <f>SUMPRODUCT((MONTH(CHOOSE({1,2,3,4},KMB!T288,KMB!X288,KMB!AB288,KMB!AF288))=9)*(CHOOSE({1,2,3,4},KMB!W288,KMB!AA288,KMB!AE288,KMB!AI288)))</f>
        <v>0</v>
      </c>
      <c r="J288">
        <f>SUMPRODUCT((MONTH(CHOOSE({1,2,3,4},KMB!T288,KMB!X288,KMB!AB288,KMB!AF288))=10)*(CHOOSE({1,2,3,4},KMB!W288,KMB!AA288,KMB!AE288,KMB!AI288)))</f>
        <v>0</v>
      </c>
      <c r="K288">
        <f>SUMPRODUCT((MONTH(CHOOSE({1,2,3,4},KMB!T288,KMB!X288,KMB!AB288,KMB!AF288))=11)*(CHOOSE({1,2,3,4},KMB!W288,KMB!AA288,KMB!AE288,KMB!AI288)))</f>
        <v>0</v>
      </c>
      <c r="L288">
        <f>SUMPRODUCT((MONTH(CHOOSE({1,2,3,4},KMB!T288,KMB!X288,KMB!AB288,KMB!AF288))=12)*(CHOOSE({1,2,3,4},KMB!W288,KMB!AA288,KMB!AE288,KMB!AI288)))</f>
        <v>0</v>
      </c>
    </row>
    <row r="289" spans="1:12">
      <c r="A289">
        <f>SUMPRODUCT((MONTH(CHOOSE({1,2,3,4},KMB!T289,KMB!X289,KMB!AB289,KMB!AF289))=1)*(CHOOSE({1,2,3,4},KMB!W289,KMB!AA289,KMB!AE289,KMB!AI289)))</f>
        <v>0</v>
      </c>
      <c r="B289">
        <f>SUMPRODUCT((MONTH(CHOOSE({1,2,3,4},KMB!T289,KMB!X289,KMB!AB289,KMB!AF289))=2)*(CHOOSE({1,2,3,4},KMB!W289,KMB!AA289,KMB!AE289,KMB!AI289)))</f>
        <v>0</v>
      </c>
      <c r="C289">
        <f>SUMPRODUCT((MONTH(CHOOSE({1,2,3,4},KMB!T289,KMB!X289,KMB!AB289,KMB!AF289))=3)*(CHOOSE({1,2,3,4},KMB!W289,KMB!AA289,KMB!AE289,KMB!AI289)))</f>
        <v>0</v>
      </c>
      <c r="D289">
        <f>SUMPRODUCT((MONTH(CHOOSE({1,2,3,4},KMB!T289,KMB!X289,KMB!AB289,KMB!AF289))=4)*(CHOOSE({1,2,3,4},KMB!W289,KMB!AA289,KMB!AE289,KMB!AI289)))</f>
        <v>0</v>
      </c>
      <c r="E289">
        <f>SUMPRODUCT((MONTH(CHOOSE({1,2,3,4},KMB!T289,KMB!X289,KMB!AB289,KMB!AF289))=5)*(CHOOSE({1,2,3,4},KMB!W289,KMB!AA289,KMB!AE289,KMB!AI289)))</f>
        <v>0</v>
      </c>
      <c r="F289">
        <f>SUMPRODUCT((MONTH(CHOOSE({1,2,3,4},KMB!T289,KMB!X289,KMB!AB289,KMB!AF289))=6)*(CHOOSE({1,2,3,4},KMB!W289,KMB!AA289,KMB!AE289,KMB!AI289)))</f>
        <v>0</v>
      </c>
      <c r="G289">
        <f>SUMPRODUCT((MONTH(CHOOSE({1,2,3,4},KMB!T289,KMB!X289,KMB!AB289,KMB!AF289))=7)*(CHOOSE({1,2,3,4},KMB!W289,KMB!AA289,KMB!AE289,KMB!AI289)))</f>
        <v>0</v>
      </c>
      <c r="H289">
        <f>SUMPRODUCT((MONTH(CHOOSE({1,2,3,4},KMB!T289,KMB!X289,KMB!AB289,KMB!AF289))=8)*(CHOOSE({1,2,3,4},KMB!W289,KMB!AA289,KMB!AE289,KMB!AI289)))</f>
        <v>0</v>
      </c>
      <c r="I289">
        <f>SUMPRODUCT((MONTH(CHOOSE({1,2,3,4},KMB!T289,KMB!X289,KMB!AB289,KMB!AF289))=9)*(CHOOSE({1,2,3,4},KMB!W289,KMB!AA289,KMB!AE289,KMB!AI289)))</f>
        <v>0</v>
      </c>
      <c r="J289">
        <f>SUMPRODUCT((MONTH(CHOOSE({1,2,3,4},KMB!T289,KMB!X289,KMB!AB289,KMB!AF289))=10)*(CHOOSE({1,2,3,4},KMB!W289,KMB!AA289,KMB!AE289,KMB!AI289)))</f>
        <v>0</v>
      </c>
      <c r="K289">
        <f>SUMPRODUCT((MONTH(CHOOSE({1,2,3,4},KMB!T289,KMB!X289,KMB!AB289,KMB!AF289))=11)*(CHOOSE({1,2,3,4},KMB!W289,KMB!AA289,KMB!AE289,KMB!AI289)))</f>
        <v>0</v>
      </c>
      <c r="L289">
        <f>SUMPRODUCT((MONTH(CHOOSE({1,2,3,4},KMB!T289,KMB!X289,KMB!AB289,KMB!AF289))=12)*(CHOOSE({1,2,3,4},KMB!W289,KMB!AA289,KMB!AE289,KMB!AI289)))</f>
        <v>0</v>
      </c>
    </row>
    <row r="290" spans="1:12">
      <c r="A290">
        <f>SUMPRODUCT((MONTH(CHOOSE({1,2,3,4},KMB!T290,KMB!X290,KMB!AB290,KMB!AF290))=1)*(CHOOSE({1,2,3,4},KMB!W290,KMB!AA290,KMB!AE290,KMB!AI290)))</f>
        <v>0</v>
      </c>
      <c r="B290">
        <f>SUMPRODUCT((MONTH(CHOOSE({1,2,3,4},KMB!T290,KMB!X290,KMB!AB290,KMB!AF290))=2)*(CHOOSE({1,2,3,4},KMB!W290,KMB!AA290,KMB!AE290,KMB!AI290)))</f>
        <v>0</v>
      </c>
      <c r="C290">
        <f>SUMPRODUCT((MONTH(CHOOSE({1,2,3,4},KMB!T290,KMB!X290,KMB!AB290,KMB!AF290))=3)*(CHOOSE({1,2,3,4},KMB!W290,KMB!AA290,KMB!AE290,KMB!AI290)))</f>
        <v>0</v>
      </c>
      <c r="D290">
        <f>SUMPRODUCT((MONTH(CHOOSE({1,2,3,4},KMB!T290,KMB!X290,KMB!AB290,KMB!AF290))=4)*(CHOOSE({1,2,3,4},KMB!W290,KMB!AA290,KMB!AE290,KMB!AI290)))</f>
        <v>0</v>
      </c>
      <c r="E290">
        <f>SUMPRODUCT((MONTH(CHOOSE({1,2,3,4},KMB!T290,KMB!X290,KMB!AB290,KMB!AF290))=5)*(CHOOSE({1,2,3,4},KMB!W290,KMB!AA290,KMB!AE290,KMB!AI290)))</f>
        <v>0</v>
      </c>
      <c r="F290">
        <f>SUMPRODUCT((MONTH(CHOOSE({1,2,3,4},KMB!T290,KMB!X290,KMB!AB290,KMB!AF290))=6)*(CHOOSE({1,2,3,4},KMB!W290,KMB!AA290,KMB!AE290,KMB!AI290)))</f>
        <v>0</v>
      </c>
      <c r="G290">
        <f>SUMPRODUCT((MONTH(CHOOSE({1,2,3,4},KMB!T290,KMB!X290,KMB!AB290,KMB!AF290))=7)*(CHOOSE({1,2,3,4},KMB!W290,KMB!AA290,KMB!AE290,KMB!AI290)))</f>
        <v>0</v>
      </c>
      <c r="H290">
        <f>SUMPRODUCT((MONTH(CHOOSE({1,2,3,4},KMB!T290,KMB!X290,KMB!AB290,KMB!AF290))=8)*(CHOOSE({1,2,3,4},KMB!W290,KMB!AA290,KMB!AE290,KMB!AI290)))</f>
        <v>0</v>
      </c>
      <c r="I290">
        <f>SUMPRODUCT((MONTH(CHOOSE({1,2,3,4},KMB!T290,KMB!X290,KMB!AB290,KMB!AF290))=9)*(CHOOSE({1,2,3,4},KMB!W290,KMB!AA290,KMB!AE290,KMB!AI290)))</f>
        <v>0</v>
      </c>
      <c r="J290">
        <f>SUMPRODUCT((MONTH(CHOOSE({1,2,3,4},KMB!T290,KMB!X290,KMB!AB290,KMB!AF290))=10)*(CHOOSE({1,2,3,4},KMB!W290,KMB!AA290,KMB!AE290,KMB!AI290)))</f>
        <v>0</v>
      </c>
      <c r="K290">
        <f>SUMPRODUCT((MONTH(CHOOSE({1,2,3,4},KMB!T290,KMB!X290,KMB!AB290,KMB!AF290))=11)*(CHOOSE({1,2,3,4},KMB!W290,KMB!AA290,KMB!AE290,KMB!AI290)))</f>
        <v>0</v>
      </c>
      <c r="L290">
        <f>SUMPRODUCT((MONTH(CHOOSE({1,2,3,4},KMB!T290,KMB!X290,KMB!AB290,KMB!AF290))=12)*(CHOOSE({1,2,3,4},KMB!W290,KMB!AA290,KMB!AE290,KMB!AI290)))</f>
        <v>0</v>
      </c>
    </row>
    <row r="291" spans="1:12">
      <c r="A291">
        <f>SUMPRODUCT((MONTH(CHOOSE({1,2,3,4},KMB!T291,KMB!X291,KMB!AB291,KMB!AF291))=1)*(CHOOSE({1,2,3,4},KMB!W291,KMB!AA291,KMB!AE291,KMB!AI291)))</f>
        <v>0</v>
      </c>
      <c r="B291">
        <f>SUMPRODUCT((MONTH(CHOOSE({1,2,3,4},KMB!T291,KMB!X291,KMB!AB291,KMB!AF291))=2)*(CHOOSE({1,2,3,4},KMB!W291,KMB!AA291,KMB!AE291,KMB!AI291)))</f>
        <v>0</v>
      </c>
      <c r="C291">
        <f>SUMPRODUCT((MONTH(CHOOSE({1,2,3,4},KMB!T291,KMB!X291,KMB!AB291,KMB!AF291))=3)*(CHOOSE({1,2,3,4},KMB!W291,KMB!AA291,KMB!AE291,KMB!AI291)))</f>
        <v>0</v>
      </c>
      <c r="D291">
        <f>SUMPRODUCT((MONTH(CHOOSE({1,2,3,4},KMB!T291,KMB!X291,KMB!AB291,KMB!AF291))=4)*(CHOOSE({1,2,3,4},KMB!W291,KMB!AA291,KMB!AE291,KMB!AI291)))</f>
        <v>0</v>
      </c>
      <c r="E291">
        <f>SUMPRODUCT((MONTH(CHOOSE({1,2,3,4},KMB!T291,KMB!X291,KMB!AB291,KMB!AF291))=5)*(CHOOSE({1,2,3,4},KMB!W291,KMB!AA291,KMB!AE291,KMB!AI291)))</f>
        <v>0</v>
      </c>
      <c r="F291">
        <f>SUMPRODUCT((MONTH(CHOOSE({1,2,3,4},KMB!T291,KMB!X291,KMB!AB291,KMB!AF291))=6)*(CHOOSE({1,2,3,4},KMB!W291,KMB!AA291,KMB!AE291,KMB!AI291)))</f>
        <v>0</v>
      </c>
      <c r="G291">
        <f>SUMPRODUCT((MONTH(CHOOSE({1,2,3,4},KMB!T291,KMB!X291,KMB!AB291,KMB!AF291))=7)*(CHOOSE({1,2,3,4},KMB!W291,KMB!AA291,KMB!AE291,KMB!AI291)))</f>
        <v>0</v>
      </c>
      <c r="H291">
        <f>SUMPRODUCT((MONTH(CHOOSE({1,2,3,4},KMB!T291,KMB!X291,KMB!AB291,KMB!AF291))=8)*(CHOOSE({1,2,3,4},KMB!W291,KMB!AA291,KMB!AE291,KMB!AI291)))</f>
        <v>0</v>
      </c>
      <c r="I291">
        <f>SUMPRODUCT((MONTH(CHOOSE({1,2,3,4},KMB!T291,KMB!X291,KMB!AB291,KMB!AF291))=9)*(CHOOSE({1,2,3,4},KMB!W291,KMB!AA291,KMB!AE291,KMB!AI291)))</f>
        <v>0</v>
      </c>
      <c r="J291">
        <f>SUMPRODUCT((MONTH(CHOOSE({1,2,3,4},KMB!T291,KMB!X291,KMB!AB291,KMB!AF291))=10)*(CHOOSE({1,2,3,4},KMB!W291,KMB!AA291,KMB!AE291,KMB!AI291)))</f>
        <v>0</v>
      </c>
      <c r="K291">
        <f>SUMPRODUCT((MONTH(CHOOSE({1,2,3,4},KMB!T291,KMB!X291,KMB!AB291,KMB!AF291))=11)*(CHOOSE({1,2,3,4},KMB!W291,KMB!AA291,KMB!AE291,KMB!AI291)))</f>
        <v>0</v>
      </c>
      <c r="L291">
        <f>SUMPRODUCT((MONTH(CHOOSE({1,2,3,4},KMB!T291,KMB!X291,KMB!AB291,KMB!AF291))=12)*(CHOOSE({1,2,3,4},KMB!W291,KMB!AA291,KMB!AE291,KMB!AI291)))</f>
        <v>0</v>
      </c>
    </row>
    <row r="292" spans="1:12">
      <c r="A292">
        <f>SUMPRODUCT((MONTH(CHOOSE({1,2,3,4},KMB!T292,KMB!X292,KMB!AB292,KMB!AF292))=1)*(CHOOSE({1,2,3,4},KMB!W292,KMB!AA292,KMB!AE292,KMB!AI292)))</f>
        <v>0</v>
      </c>
      <c r="B292">
        <f>SUMPRODUCT((MONTH(CHOOSE({1,2,3,4},KMB!T292,KMB!X292,KMB!AB292,KMB!AF292))=2)*(CHOOSE({1,2,3,4},KMB!W292,KMB!AA292,KMB!AE292,KMB!AI292)))</f>
        <v>0</v>
      </c>
      <c r="C292">
        <f>SUMPRODUCT((MONTH(CHOOSE({1,2,3,4},KMB!T292,KMB!X292,KMB!AB292,KMB!AF292))=3)*(CHOOSE({1,2,3,4},KMB!W292,KMB!AA292,KMB!AE292,KMB!AI292)))</f>
        <v>0</v>
      </c>
      <c r="D292">
        <f>SUMPRODUCT((MONTH(CHOOSE({1,2,3,4},KMB!T292,KMB!X292,KMB!AB292,KMB!AF292))=4)*(CHOOSE({1,2,3,4},KMB!W292,KMB!AA292,KMB!AE292,KMB!AI292)))</f>
        <v>0</v>
      </c>
      <c r="E292">
        <f>SUMPRODUCT((MONTH(CHOOSE({1,2,3,4},KMB!T292,KMB!X292,KMB!AB292,KMB!AF292))=5)*(CHOOSE({1,2,3,4},KMB!W292,KMB!AA292,KMB!AE292,KMB!AI292)))</f>
        <v>0</v>
      </c>
      <c r="F292">
        <f>SUMPRODUCT((MONTH(CHOOSE({1,2,3,4},KMB!T292,KMB!X292,KMB!AB292,KMB!AF292))=6)*(CHOOSE({1,2,3,4},KMB!W292,KMB!AA292,KMB!AE292,KMB!AI292)))</f>
        <v>0</v>
      </c>
      <c r="G292">
        <f>SUMPRODUCT((MONTH(CHOOSE({1,2,3,4},KMB!T292,KMB!X292,KMB!AB292,KMB!AF292))=7)*(CHOOSE({1,2,3,4},KMB!W292,KMB!AA292,KMB!AE292,KMB!AI292)))</f>
        <v>0</v>
      </c>
      <c r="H292">
        <f>SUMPRODUCT((MONTH(CHOOSE({1,2,3,4},KMB!T292,KMB!X292,KMB!AB292,KMB!AF292))=8)*(CHOOSE({1,2,3,4},KMB!W292,KMB!AA292,KMB!AE292,KMB!AI292)))</f>
        <v>0</v>
      </c>
      <c r="I292">
        <f>SUMPRODUCT((MONTH(CHOOSE({1,2,3,4},KMB!T292,KMB!X292,KMB!AB292,KMB!AF292))=9)*(CHOOSE({1,2,3,4},KMB!W292,KMB!AA292,KMB!AE292,KMB!AI292)))</f>
        <v>0</v>
      </c>
      <c r="J292">
        <f>SUMPRODUCT((MONTH(CHOOSE({1,2,3,4},KMB!T292,KMB!X292,KMB!AB292,KMB!AF292))=10)*(CHOOSE({1,2,3,4},KMB!W292,KMB!AA292,KMB!AE292,KMB!AI292)))</f>
        <v>0</v>
      </c>
      <c r="K292">
        <f>SUMPRODUCT((MONTH(CHOOSE({1,2,3,4},KMB!T292,KMB!X292,KMB!AB292,KMB!AF292))=11)*(CHOOSE({1,2,3,4},KMB!W292,KMB!AA292,KMB!AE292,KMB!AI292)))</f>
        <v>0</v>
      </c>
      <c r="L292">
        <f>SUMPRODUCT((MONTH(CHOOSE({1,2,3,4},KMB!T292,KMB!X292,KMB!AB292,KMB!AF292))=12)*(CHOOSE({1,2,3,4},KMB!W292,KMB!AA292,KMB!AE292,KMB!AI292)))</f>
        <v>0</v>
      </c>
    </row>
    <row r="293" spans="1:12">
      <c r="A293">
        <f>SUMPRODUCT((MONTH(CHOOSE({1,2,3,4},KMB!T293,KMB!X293,KMB!AB293,KMB!AF293))=1)*(CHOOSE({1,2,3,4},KMB!W293,KMB!AA293,KMB!AE293,KMB!AI293)))</f>
        <v>0</v>
      </c>
      <c r="B293">
        <f>SUMPRODUCT((MONTH(CHOOSE({1,2,3,4},KMB!T293,KMB!X293,KMB!AB293,KMB!AF293))=2)*(CHOOSE({1,2,3,4},KMB!W293,KMB!AA293,KMB!AE293,KMB!AI293)))</f>
        <v>0</v>
      </c>
      <c r="C293">
        <f>SUMPRODUCT((MONTH(CHOOSE({1,2,3,4},KMB!T293,KMB!X293,KMB!AB293,KMB!AF293))=3)*(CHOOSE({1,2,3,4},KMB!W293,KMB!AA293,KMB!AE293,KMB!AI293)))</f>
        <v>0</v>
      </c>
      <c r="D293">
        <f>SUMPRODUCT((MONTH(CHOOSE({1,2,3,4},KMB!T293,KMB!X293,KMB!AB293,KMB!AF293))=4)*(CHOOSE({1,2,3,4},KMB!W293,KMB!AA293,KMB!AE293,KMB!AI293)))</f>
        <v>0</v>
      </c>
      <c r="E293">
        <f>SUMPRODUCT((MONTH(CHOOSE({1,2,3,4},KMB!T293,KMB!X293,KMB!AB293,KMB!AF293))=5)*(CHOOSE({1,2,3,4},KMB!W293,KMB!AA293,KMB!AE293,KMB!AI293)))</f>
        <v>0</v>
      </c>
      <c r="F293">
        <f>SUMPRODUCT((MONTH(CHOOSE({1,2,3,4},KMB!T293,KMB!X293,KMB!AB293,KMB!AF293))=6)*(CHOOSE({1,2,3,4},KMB!W293,KMB!AA293,KMB!AE293,KMB!AI293)))</f>
        <v>0</v>
      </c>
      <c r="G293">
        <f>SUMPRODUCT((MONTH(CHOOSE({1,2,3,4},KMB!T293,KMB!X293,KMB!AB293,KMB!AF293))=7)*(CHOOSE({1,2,3,4},KMB!W293,KMB!AA293,KMB!AE293,KMB!AI293)))</f>
        <v>0</v>
      </c>
      <c r="H293">
        <f>SUMPRODUCT((MONTH(CHOOSE({1,2,3,4},KMB!T293,KMB!X293,KMB!AB293,KMB!AF293))=8)*(CHOOSE({1,2,3,4},KMB!W293,KMB!AA293,KMB!AE293,KMB!AI293)))</f>
        <v>0</v>
      </c>
      <c r="I293">
        <f>SUMPRODUCT((MONTH(CHOOSE({1,2,3,4},KMB!T293,KMB!X293,KMB!AB293,KMB!AF293))=9)*(CHOOSE({1,2,3,4},KMB!W293,KMB!AA293,KMB!AE293,KMB!AI293)))</f>
        <v>0</v>
      </c>
      <c r="J293">
        <f>SUMPRODUCT((MONTH(CHOOSE({1,2,3,4},KMB!T293,KMB!X293,KMB!AB293,KMB!AF293))=10)*(CHOOSE({1,2,3,4},KMB!W293,KMB!AA293,KMB!AE293,KMB!AI293)))</f>
        <v>0</v>
      </c>
      <c r="K293">
        <f>SUMPRODUCT((MONTH(CHOOSE({1,2,3,4},KMB!T293,KMB!X293,KMB!AB293,KMB!AF293))=11)*(CHOOSE({1,2,3,4},KMB!W293,KMB!AA293,KMB!AE293,KMB!AI293)))</f>
        <v>0</v>
      </c>
      <c r="L293">
        <f>SUMPRODUCT((MONTH(CHOOSE({1,2,3,4},KMB!T293,KMB!X293,KMB!AB293,KMB!AF293))=12)*(CHOOSE({1,2,3,4},KMB!W293,KMB!AA293,KMB!AE293,KMB!AI293)))</f>
        <v>0</v>
      </c>
    </row>
    <row r="294" spans="1:12">
      <c r="A294">
        <f>SUMPRODUCT((MONTH(CHOOSE({1,2,3,4},KMB!T294,KMB!X294,KMB!AB294,KMB!AF294))=1)*(CHOOSE({1,2,3,4},KMB!W294,KMB!AA294,KMB!AE294,KMB!AI294)))</f>
        <v>0</v>
      </c>
      <c r="B294">
        <f>SUMPRODUCT((MONTH(CHOOSE({1,2,3,4},KMB!T294,KMB!X294,KMB!AB294,KMB!AF294))=2)*(CHOOSE({1,2,3,4},KMB!W294,KMB!AA294,KMB!AE294,KMB!AI294)))</f>
        <v>0</v>
      </c>
      <c r="C294">
        <f>SUMPRODUCT((MONTH(CHOOSE({1,2,3,4},KMB!T294,KMB!X294,KMB!AB294,KMB!AF294))=3)*(CHOOSE({1,2,3,4},KMB!W294,KMB!AA294,KMB!AE294,KMB!AI294)))</f>
        <v>0</v>
      </c>
      <c r="D294">
        <f>SUMPRODUCT((MONTH(CHOOSE({1,2,3,4},KMB!T294,KMB!X294,KMB!AB294,KMB!AF294))=4)*(CHOOSE({1,2,3,4},KMB!W294,KMB!AA294,KMB!AE294,KMB!AI294)))</f>
        <v>0</v>
      </c>
      <c r="E294">
        <f>SUMPRODUCT((MONTH(CHOOSE({1,2,3,4},KMB!T294,KMB!X294,KMB!AB294,KMB!AF294))=5)*(CHOOSE({1,2,3,4},KMB!W294,KMB!AA294,KMB!AE294,KMB!AI294)))</f>
        <v>0</v>
      </c>
      <c r="F294">
        <f>SUMPRODUCT((MONTH(CHOOSE({1,2,3,4},KMB!T294,KMB!X294,KMB!AB294,KMB!AF294))=6)*(CHOOSE({1,2,3,4},KMB!W294,KMB!AA294,KMB!AE294,KMB!AI294)))</f>
        <v>0</v>
      </c>
      <c r="G294">
        <f>SUMPRODUCT((MONTH(CHOOSE({1,2,3,4},KMB!T294,KMB!X294,KMB!AB294,KMB!AF294))=7)*(CHOOSE({1,2,3,4},KMB!W294,KMB!AA294,KMB!AE294,KMB!AI294)))</f>
        <v>0</v>
      </c>
      <c r="H294">
        <f>SUMPRODUCT((MONTH(CHOOSE({1,2,3,4},KMB!T294,KMB!X294,KMB!AB294,KMB!AF294))=8)*(CHOOSE({1,2,3,4},KMB!W294,KMB!AA294,KMB!AE294,KMB!AI294)))</f>
        <v>0</v>
      </c>
      <c r="I294">
        <f>SUMPRODUCT((MONTH(CHOOSE({1,2,3,4},KMB!T294,KMB!X294,KMB!AB294,KMB!AF294))=9)*(CHOOSE({1,2,3,4},KMB!W294,KMB!AA294,KMB!AE294,KMB!AI294)))</f>
        <v>0</v>
      </c>
      <c r="J294">
        <f>SUMPRODUCT((MONTH(CHOOSE({1,2,3,4},KMB!T294,KMB!X294,KMB!AB294,KMB!AF294))=10)*(CHOOSE({1,2,3,4},KMB!W294,KMB!AA294,KMB!AE294,KMB!AI294)))</f>
        <v>0</v>
      </c>
      <c r="K294">
        <f>SUMPRODUCT((MONTH(CHOOSE({1,2,3,4},KMB!T294,KMB!X294,KMB!AB294,KMB!AF294))=11)*(CHOOSE({1,2,3,4},KMB!W294,KMB!AA294,KMB!AE294,KMB!AI294)))</f>
        <v>0</v>
      </c>
      <c r="L294">
        <f>SUMPRODUCT((MONTH(CHOOSE({1,2,3,4},KMB!T294,KMB!X294,KMB!AB294,KMB!AF294))=12)*(CHOOSE({1,2,3,4},KMB!W294,KMB!AA294,KMB!AE294,KMB!AI294)))</f>
        <v>0</v>
      </c>
    </row>
    <row r="295" spans="1:12">
      <c r="A295">
        <f>SUMPRODUCT((MONTH(CHOOSE({1,2,3,4},KMB!T295,KMB!X295,KMB!AB295,KMB!AF295))=1)*(CHOOSE({1,2,3,4},KMB!W295,KMB!AA295,KMB!AE295,KMB!AI295)))</f>
        <v>0</v>
      </c>
      <c r="B295">
        <f>SUMPRODUCT((MONTH(CHOOSE({1,2,3,4},KMB!T295,KMB!X295,KMB!AB295,KMB!AF295))=2)*(CHOOSE({1,2,3,4},KMB!W295,KMB!AA295,KMB!AE295,KMB!AI295)))</f>
        <v>0</v>
      </c>
      <c r="C295">
        <f>SUMPRODUCT((MONTH(CHOOSE({1,2,3,4},KMB!T295,KMB!X295,KMB!AB295,KMB!AF295))=3)*(CHOOSE({1,2,3,4},KMB!W295,KMB!AA295,KMB!AE295,KMB!AI295)))</f>
        <v>0</v>
      </c>
      <c r="D295">
        <f>SUMPRODUCT((MONTH(CHOOSE({1,2,3,4},KMB!T295,KMB!X295,KMB!AB295,KMB!AF295))=4)*(CHOOSE({1,2,3,4},KMB!W295,KMB!AA295,KMB!AE295,KMB!AI295)))</f>
        <v>0</v>
      </c>
      <c r="E295">
        <f>SUMPRODUCT((MONTH(CHOOSE({1,2,3,4},KMB!T295,KMB!X295,KMB!AB295,KMB!AF295))=5)*(CHOOSE({1,2,3,4},KMB!W295,KMB!AA295,KMB!AE295,KMB!AI295)))</f>
        <v>0</v>
      </c>
      <c r="F295">
        <f>SUMPRODUCT((MONTH(CHOOSE({1,2,3,4},KMB!T295,KMB!X295,KMB!AB295,KMB!AF295))=6)*(CHOOSE({1,2,3,4},KMB!W295,KMB!AA295,KMB!AE295,KMB!AI295)))</f>
        <v>0</v>
      </c>
      <c r="G295">
        <f>SUMPRODUCT((MONTH(CHOOSE({1,2,3,4},KMB!T295,KMB!X295,KMB!AB295,KMB!AF295))=7)*(CHOOSE({1,2,3,4},KMB!W295,KMB!AA295,KMB!AE295,KMB!AI295)))</f>
        <v>0</v>
      </c>
      <c r="H295">
        <f>SUMPRODUCT((MONTH(CHOOSE({1,2,3,4},KMB!T295,KMB!X295,KMB!AB295,KMB!AF295))=8)*(CHOOSE({1,2,3,4},KMB!W295,KMB!AA295,KMB!AE295,KMB!AI295)))</f>
        <v>0</v>
      </c>
      <c r="I295">
        <f>SUMPRODUCT((MONTH(CHOOSE({1,2,3,4},KMB!T295,KMB!X295,KMB!AB295,KMB!AF295))=9)*(CHOOSE({1,2,3,4},KMB!W295,KMB!AA295,KMB!AE295,KMB!AI295)))</f>
        <v>0</v>
      </c>
      <c r="J295">
        <f>SUMPRODUCT((MONTH(CHOOSE({1,2,3,4},KMB!T295,KMB!X295,KMB!AB295,KMB!AF295))=10)*(CHOOSE({1,2,3,4},KMB!W295,KMB!AA295,KMB!AE295,KMB!AI295)))</f>
        <v>0</v>
      </c>
      <c r="K295">
        <f>SUMPRODUCT((MONTH(CHOOSE({1,2,3,4},KMB!T295,KMB!X295,KMB!AB295,KMB!AF295))=11)*(CHOOSE({1,2,3,4},KMB!W295,KMB!AA295,KMB!AE295,KMB!AI295)))</f>
        <v>0</v>
      </c>
      <c r="L295">
        <f>SUMPRODUCT((MONTH(CHOOSE({1,2,3,4},KMB!T295,KMB!X295,KMB!AB295,KMB!AF295))=12)*(CHOOSE({1,2,3,4},KMB!W295,KMB!AA295,KMB!AE295,KMB!AI295)))</f>
        <v>0</v>
      </c>
    </row>
    <row r="296" spans="1:12">
      <c r="A296">
        <f>SUMPRODUCT((MONTH(CHOOSE({1,2,3,4},KMB!T296,KMB!X296,KMB!AB296,KMB!AF296))=1)*(CHOOSE({1,2,3,4},KMB!W296,KMB!AA296,KMB!AE296,KMB!AI296)))</f>
        <v>0</v>
      </c>
      <c r="B296">
        <f>SUMPRODUCT((MONTH(CHOOSE({1,2,3,4},KMB!T296,KMB!X296,KMB!AB296,KMB!AF296))=2)*(CHOOSE({1,2,3,4},KMB!W296,KMB!AA296,KMB!AE296,KMB!AI296)))</f>
        <v>0</v>
      </c>
      <c r="C296">
        <f>SUMPRODUCT((MONTH(CHOOSE({1,2,3,4},KMB!T296,KMB!X296,KMB!AB296,KMB!AF296))=3)*(CHOOSE({1,2,3,4},KMB!W296,KMB!AA296,KMB!AE296,KMB!AI296)))</f>
        <v>0</v>
      </c>
      <c r="D296">
        <f>SUMPRODUCT((MONTH(CHOOSE({1,2,3,4},KMB!T296,KMB!X296,KMB!AB296,KMB!AF296))=4)*(CHOOSE({1,2,3,4},KMB!W296,KMB!AA296,KMB!AE296,KMB!AI296)))</f>
        <v>0</v>
      </c>
      <c r="E296">
        <f>SUMPRODUCT((MONTH(CHOOSE({1,2,3,4},KMB!T296,KMB!X296,KMB!AB296,KMB!AF296))=5)*(CHOOSE({1,2,3,4},KMB!W296,KMB!AA296,KMB!AE296,KMB!AI296)))</f>
        <v>0</v>
      </c>
      <c r="F296">
        <f>SUMPRODUCT((MONTH(CHOOSE({1,2,3,4},KMB!T296,KMB!X296,KMB!AB296,KMB!AF296))=6)*(CHOOSE({1,2,3,4},KMB!W296,KMB!AA296,KMB!AE296,KMB!AI296)))</f>
        <v>0</v>
      </c>
      <c r="G296">
        <f>SUMPRODUCT((MONTH(CHOOSE({1,2,3,4},KMB!T296,KMB!X296,KMB!AB296,KMB!AF296))=7)*(CHOOSE({1,2,3,4},KMB!W296,KMB!AA296,KMB!AE296,KMB!AI296)))</f>
        <v>0</v>
      </c>
      <c r="H296">
        <f>SUMPRODUCT((MONTH(CHOOSE({1,2,3,4},KMB!T296,KMB!X296,KMB!AB296,KMB!AF296))=8)*(CHOOSE({1,2,3,4},KMB!W296,KMB!AA296,KMB!AE296,KMB!AI296)))</f>
        <v>0</v>
      </c>
      <c r="I296">
        <f>SUMPRODUCT((MONTH(CHOOSE({1,2,3,4},KMB!T296,KMB!X296,KMB!AB296,KMB!AF296))=9)*(CHOOSE({1,2,3,4},KMB!W296,KMB!AA296,KMB!AE296,KMB!AI296)))</f>
        <v>0</v>
      </c>
      <c r="J296">
        <f>SUMPRODUCT((MONTH(CHOOSE({1,2,3,4},KMB!T296,KMB!X296,KMB!AB296,KMB!AF296))=10)*(CHOOSE({1,2,3,4},KMB!W296,KMB!AA296,KMB!AE296,KMB!AI296)))</f>
        <v>0</v>
      </c>
      <c r="K296">
        <f>SUMPRODUCT((MONTH(CHOOSE({1,2,3,4},KMB!T296,KMB!X296,KMB!AB296,KMB!AF296))=11)*(CHOOSE({1,2,3,4},KMB!W296,KMB!AA296,KMB!AE296,KMB!AI296)))</f>
        <v>0</v>
      </c>
      <c r="L296">
        <f>SUMPRODUCT((MONTH(CHOOSE({1,2,3,4},KMB!T296,KMB!X296,KMB!AB296,KMB!AF296))=12)*(CHOOSE({1,2,3,4},KMB!W296,KMB!AA296,KMB!AE296,KMB!AI296)))</f>
        <v>0</v>
      </c>
    </row>
    <row r="297" spans="1:12">
      <c r="A297">
        <f>SUMPRODUCT((MONTH(CHOOSE({1,2,3,4},KMB!T297,KMB!X297,KMB!AB297,KMB!AF297))=1)*(CHOOSE({1,2,3,4},KMB!W297,KMB!AA297,KMB!AE297,KMB!AI297)))</f>
        <v>0</v>
      </c>
      <c r="B297">
        <f>SUMPRODUCT((MONTH(CHOOSE({1,2,3,4},KMB!T297,KMB!X297,KMB!AB297,KMB!AF297))=2)*(CHOOSE({1,2,3,4},KMB!W297,KMB!AA297,KMB!AE297,KMB!AI297)))</f>
        <v>0</v>
      </c>
      <c r="C297">
        <f>SUMPRODUCT((MONTH(CHOOSE({1,2,3,4},KMB!T297,KMB!X297,KMB!AB297,KMB!AF297))=3)*(CHOOSE({1,2,3,4},KMB!W297,KMB!AA297,KMB!AE297,KMB!AI297)))</f>
        <v>0</v>
      </c>
      <c r="D297">
        <f>SUMPRODUCT((MONTH(CHOOSE({1,2,3,4},KMB!T297,KMB!X297,KMB!AB297,KMB!AF297))=4)*(CHOOSE({1,2,3,4},KMB!W297,KMB!AA297,KMB!AE297,KMB!AI297)))</f>
        <v>0</v>
      </c>
      <c r="E297">
        <f>SUMPRODUCT((MONTH(CHOOSE({1,2,3,4},KMB!T297,KMB!X297,KMB!AB297,KMB!AF297))=5)*(CHOOSE({1,2,3,4},KMB!W297,KMB!AA297,KMB!AE297,KMB!AI297)))</f>
        <v>0</v>
      </c>
      <c r="F297">
        <f>SUMPRODUCT((MONTH(CHOOSE({1,2,3,4},KMB!T297,KMB!X297,KMB!AB297,KMB!AF297))=6)*(CHOOSE({1,2,3,4},KMB!W297,KMB!AA297,KMB!AE297,KMB!AI297)))</f>
        <v>0</v>
      </c>
      <c r="G297">
        <f>SUMPRODUCT((MONTH(CHOOSE({1,2,3,4},KMB!T297,KMB!X297,KMB!AB297,KMB!AF297))=7)*(CHOOSE({1,2,3,4},KMB!W297,KMB!AA297,KMB!AE297,KMB!AI297)))</f>
        <v>0</v>
      </c>
      <c r="H297">
        <f>SUMPRODUCT((MONTH(CHOOSE({1,2,3,4},KMB!T297,KMB!X297,KMB!AB297,KMB!AF297))=8)*(CHOOSE({1,2,3,4},KMB!W297,KMB!AA297,KMB!AE297,KMB!AI297)))</f>
        <v>0</v>
      </c>
      <c r="I297">
        <f>SUMPRODUCT((MONTH(CHOOSE({1,2,3,4},KMB!T297,KMB!X297,KMB!AB297,KMB!AF297))=9)*(CHOOSE({1,2,3,4},KMB!W297,KMB!AA297,KMB!AE297,KMB!AI297)))</f>
        <v>0</v>
      </c>
      <c r="J297">
        <f>SUMPRODUCT((MONTH(CHOOSE({1,2,3,4},KMB!T297,KMB!X297,KMB!AB297,KMB!AF297))=10)*(CHOOSE({1,2,3,4},KMB!W297,KMB!AA297,KMB!AE297,KMB!AI297)))</f>
        <v>0</v>
      </c>
      <c r="K297">
        <f>SUMPRODUCT((MONTH(CHOOSE({1,2,3,4},KMB!T297,KMB!X297,KMB!AB297,KMB!AF297))=11)*(CHOOSE({1,2,3,4},KMB!W297,KMB!AA297,KMB!AE297,KMB!AI297)))</f>
        <v>0</v>
      </c>
      <c r="L297">
        <f>SUMPRODUCT((MONTH(CHOOSE({1,2,3,4},KMB!T297,KMB!X297,KMB!AB297,KMB!AF297))=12)*(CHOOSE({1,2,3,4},KMB!W297,KMB!AA297,KMB!AE297,KMB!AI297)))</f>
        <v>0</v>
      </c>
    </row>
    <row r="298" spans="1:12">
      <c r="A298">
        <f>SUMPRODUCT((MONTH(CHOOSE({1,2,3,4},KMB!T298,KMB!X298,KMB!AB298,KMB!AF298))=1)*(CHOOSE({1,2,3,4},KMB!W298,KMB!AA298,KMB!AE298,KMB!AI298)))</f>
        <v>0</v>
      </c>
      <c r="B298">
        <f>SUMPRODUCT((MONTH(CHOOSE({1,2,3,4},KMB!T298,KMB!X298,KMB!AB298,KMB!AF298))=2)*(CHOOSE({1,2,3,4},KMB!W298,KMB!AA298,KMB!AE298,KMB!AI298)))</f>
        <v>0</v>
      </c>
      <c r="C298">
        <f>SUMPRODUCT((MONTH(CHOOSE({1,2,3,4},KMB!T298,KMB!X298,KMB!AB298,KMB!AF298))=3)*(CHOOSE({1,2,3,4},KMB!W298,KMB!AA298,KMB!AE298,KMB!AI298)))</f>
        <v>0</v>
      </c>
      <c r="D298">
        <f>SUMPRODUCT((MONTH(CHOOSE({1,2,3,4},KMB!T298,KMB!X298,KMB!AB298,KMB!AF298))=4)*(CHOOSE({1,2,3,4},KMB!W298,KMB!AA298,KMB!AE298,KMB!AI298)))</f>
        <v>0</v>
      </c>
      <c r="E298">
        <f>SUMPRODUCT((MONTH(CHOOSE({1,2,3,4},KMB!T298,KMB!X298,KMB!AB298,KMB!AF298))=5)*(CHOOSE({1,2,3,4},KMB!W298,KMB!AA298,KMB!AE298,KMB!AI298)))</f>
        <v>0</v>
      </c>
      <c r="F298">
        <f>SUMPRODUCT((MONTH(CHOOSE({1,2,3,4},KMB!T298,KMB!X298,KMB!AB298,KMB!AF298))=6)*(CHOOSE({1,2,3,4},KMB!W298,KMB!AA298,KMB!AE298,KMB!AI298)))</f>
        <v>0</v>
      </c>
      <c r="G298">
        <f>SUMPRODUCT((MONTH(CHOOSE({1,2,3,4},KMB!T298,KMB!X298,KMB!AB298,KMB!AF298))=7)*(CHOOSE({1,2,3,4},KMB!W298,KMB!AA298,KMB!AE298,KMB!AI298)))</f>
        <v>0</v>
      </c>
      <c r="H298">
        <f>SUMPRODUCT((MONTH(CHOOSE({1,2,3,4},KMB!T298,KMB!X298,KMB!AB298,KMB!AF298))=8)*(CHOOSE({1,2,3,4},KMB!W298,KMB!AA298,KMB!AE298,KMB!AI298)))</f>
        <v>0</v>
      </c>
      <c r="I298">
        <f>SUMPRODUCT((MONTH(CHOOSE({1,2,3,4},KMB!T298,KMB!X298,KMB!AB298,KMB!AF298))=9)*(CHOOSE({1,2,3,4},KMB!W298,KMB!AA298,KMB!AE298,KMB!AI298)))</f>
        <v>0</v>
      </c>
      <c r="J298">
        <f>SUMPRODUCT((MONTH(CHOOSE({1,2,3,4},KMB!T298,KMB!X298,KMB!AB298,KMB!AF298))=10)*(CHOOSE({1,2,3,4},KMB!W298,KMB!AA298,KMB!AE298,KMB!AI298)))</f>
        <v>0</v>
      </c>
      <c r="K298">
        <f>SUMPRODUCT((MONTH(CHOOSE({1,2,3,4},KMB!T298,KMB!X298,KMB!AB298,KMB!AF298))=11)*(CHOOSE({1,2,3,4},KMB!W298,KMB!AA298,KMB!AE298,KMB!AI298)))</f>
        <v>0</v>
      </c>
      <c r="L298">
        <f>SUMPRODUCT((MONTH(CHOOSE({1,2,3,4},KMB!T298,KMB!X298,KMB!AB298,KMB!AF298))=12)*(CHOOSE({1,2,3,4},KMB!W298,KMB!AA298,KMB!AE298,KMB!AI298)))</f>
        <v>0</v>
      </c>
    </row>
    <row r="299" spans="1:12">
      <c r="A299">
        <f>SUMPRODUCT((MONTH(CHOOSE({1,2,3,4},KMB!T299,KMB!X299,KMB!AB299,KMB!AF299))=1)*(CHOOSE({1,2,3,4},KMB!W299,KMB!AA299,KMB!AE299,KMB!AI299)))</f>
        <v>0</v>
      </c>
      <c r="B299">
        <f>SUMPRODUCT((MONTH(CHOOSE({1,2,3,4},KMB!T299,KMB!X299,KMB!AB299,KMB!AF299))=2)*(CHOOSE({1,2,3,4},KMB!W299,KMB!AA299,KMB!AE299,KMB!AI299)))</f>
        <v>0</v>
      </c>
      <c r="C299">
        <f>SUMPRODUCT((MONTH(CHOOSE({1,2,3,4},KMB!T299,KMB!X299,KMB!AB299,KMB!AF299))=3)*(CHOOSE({1,2,3,4},KMB!W299,KMB!AA299,KMB!AE299,KMB!AI299)))</f>
        <v>0</v>
      </c>
      <c r="D299">
        <f>SUMPRODUCT((MONTH(CHOOSE({1,2,3,4},KMB!T299,KMB!X299,KMB!AB299,KMB!AF299))=4)*(CHOOSE({1,2,3,4},KMB!W299,KMB!AA299,KMB!AE299,KMB!AI299)))</f>
        <v>0</v>
      </c>
      <c r="E299">
        <f>SUMPRODUCT((MONTH(CHOOSE({1,2,3,4},KMB!T299,KMB!X299,KMB!AB299,KMB!AF299))=5)*(CHOOSE({1,2,3,4},KMB!W299,KMB!AA299,KMB!AE299,KMB!AI299)))</f>
        <v>0</v>
      </c>
      <c r="F299">
        <f>SUMPRODUCT((MONTH(CHOOSE({1,2,3,4},KMB!T299,KMB!X299,KMB!AB299,KMB!AF299))=6)*(CHOOSE({1,2,3,4},KMB!W299,KMB!AA299,KMB!AE299,KMB!AI299)))</f>
        <v>0</v>
      </c>
      <c r="G299">
        <f>SUMPRODUCT((MONTH(CHOOSE({1,2,3,4},KMB!T299,KMB!X299,KMB!AB299,KMB!AF299))=7)*(CHOOSE({1,2,3,4},KMB!W299,KMB!AA299,KMB!AE299,KMB!AI299)))</f>
        <v>0</v>
      </c>
      <c r="H299">
        <f>SUMPRODUCT((MONTH(CHOOSE({1,2,3,4},KMB!T299,KMB!X299,KMB!AB299,KMB!AF299))=8)*(CHOOSE({1,2,3,4},KMB!W299,KMB!AA299,KMB!AE299,KMB!AI299)))</f>
        <v>0</v>
      </c>
      <c r="I299">
        <f>SUMPRODUCT((MONTH(CHOOSE({1,2,3,4},KMB!T299,KMB!X299,KMB!AB299,KMB!AF299))=9)*(CHOOSE({1,2,3,4},KMB!W299,KMB!AA299,KMB!AE299,KMB!AI299)))</f>
        <v>0</v>
      </c>
      <c r="J299">
        <f>SUMPRODUCT((MONTH(CHOOSE({1,2,3,4},KMB!T299,KMB!X299,KMB!AB299,KMB!AF299))=10)*(CHOOSE({1,2,3,4},KMB!W299,KMB!AA299,KMB!AE299,KMB!AI299)))</f>
        <v>0</v>
      </c>
      <c r="K299">
        <f>SUMPRODUCT((MONTH(CHOOSE({1,2,3,4},KMB!T299,KMB!X299,KMB!AB299,KMB!AF299))=11)*(CHOOSE({1,2,3,4},KMB!W299,KMB!AA299,KMB!AE299,KMB!AI299)))</f>
        <v>0</v>
      </c>
      <c r="L299">
        <f>SUMPRODUCT((MONTH(CHOOSE({1,2,3,4},KMB!T299,KMB!X299,KMB!AB299,KMB!AF299))=12)*(CHOOSE({1,2,3,4},KMB!W299,KMB!AA299,KMB!AE299,KMB!AI299)))</f>
        <v>0</v>
      </c>
    </row>
    <row r="300" spans="1:12">
      <c r="A300">
        <f>SUMPRODUCT((MONTH(CHOOSE({1,2,3,4},KMB!T300,KMB!X300,KMB!AB300,KMB!AF300))=1)*(CHOOSE({1,2,3,4},KMB!W300,KMB!AA300,KMB!AE300,KMB!AI300)))</f>
        <v>0</v>
      </c>
      <c r="B300">
        <f>SUMPRODUCT((MONTH(CHOOSE({1,2,3,4},KMB!T300,KMB!X300,KMB!AB300,KMB!AF300))=2)*(CHOOSE({1,2,3,4},KMB!W300,KMB!AA300,KMB!AE300,KMB!AI300)))</f>
        <v>0</v>
      </c>
      <c r="C300">
        <f>SUMPRODUCT((MONTH(CHOOSE({1,2,3,4},KMB!T300,KMB!X300,KMB!AB300,KMB!AF300))=3)*(CHOOSE({1,2,3,4},KMB!W300,KMB!AA300,KMB!AE300,KMB!AI300)))</f>
        <v>0</v>
      </c>
      <c r="D300">
        <f>SUMPRODUCT((MONTH(CHOOSE({1,2,3,4},KMB!T300,KMB!X300,KMB!AB300,KMB!AF300))=4)*(CHOOSE({1,2,3,4},KMB!W300,KMB!AA300,KMB!AE300,KMB!AI300)))</f>
        <v>0</v>
      </c>
      <c r="E300">
        <f>SUMPRODUCT((MONTH(CHOOSE({1,2,3,4},KMB!T300,KMB!X300,KMB!AB300,KMB!AF300))=5)*(CHOOSE({1,2,3,4},KMB!W300,KMB!AA300,KMB!AE300,KMB!AI300)))</f>
        <v>0</v>
      </c>
      <c r="F300">
        <f>SUMPRODUCT((MONTH(CHOOSE({1,2,3,4},KMB!T300,KMB!X300,KMB!AB300,KMB!AF300))=6)*(CHOOSE({1,2,3,4},KMB!W300,KMB!AA300,KMB!AE300,KMB!AI300)))</f>
        <v>0</v>
      </c>
      <c r="G300">
        <f>SUMPRODUCT((MONTH(CHOOSE({1,2,3,4},KMB!T300,KMB!X300,KMB!AB300,KMB!AF300))=7)*(CHOOSE({1,2,3,4},KMB!W300,KMB!AA300,KMB!AE300,KMB!AI300)))</f>
        <v>0</v>
      </c>
      <c r="H300">
        <f>SUMPRODUCT((MONTH(CHOOSE({1,2,3,4},KMB!T300,KMB!X300,KMB!AB300,KMB!AF300))=8)*(CHOOSE({1,2,3,4},KMB!W300,KMB!AA300,KMB!AE300,KMB!AI300)))</f>
        <v>0</v>
      </c>
      <c r="I300">
        <f>SUMPRODUCT((MONTH(CHOOSE({1,2,3,4},KMB!T300,KMB!X300,KMB!AB300,KMB!AF300))=9)*(CHOOSE({1,2,3,4},KMB!W300,KMB!AA300,KMB!AE300,KMB!AI300)))</f>
        <v>0</v>
      </c>
      <c r="J300">
        <f>SUMPRODUCT((MONTH(CHOOSE({1,2,3,4},KMB!T300,KMB!X300,KMB!AB300,KMB!AF300))=10)*(CHOOSE({1,2,3,4},KMB!W300,KMB!AA300,KMB!AE300,KMB!AI300)))</f>
        <v>0</v>
      </c>
      <c r="K300">
        <f>SUMPRODUCT((MONTH(CHOOSE({1,2,3,4},KMB!T300,KMB!X300,KMB!AB300,KMB!AF300))=11)*(CHOOSE({1,2,3,4},KMB!W300,KMB!AA300,KMB!AE300,KMB!AI300)))</f>
        <v>0</v>
      </c>
      <c r="L300">
        <f>SUMPRODUCT((MONTH(CHOOSE({1,2,3,4},KMB!T300,KMB!X300,KMB!AB300,KMB!AF300))=12)*(CHOOSE({1,2,3,4},KMB!W300,KMB!AA300,KMB!AE300,KMB!AI300)))</f>
        <v>0</v>
      </c>
    </row>
    <row r="301" spans="1:12">
      <c r="A301">
        <f>SUMPRODUCT((MONTH(CHOOSE({1,2,3,4},KMB!T301,KMB!X301,KMB!AB301,KMB!AF301))=1)*(CHOOSE({1,2,3,4},KMB!W301,KMB!AA301,KMB!AE301,KMB!AI301)))</f>
        <v>0</v>
      </c>
      <c r="B301">
        <f>SUMPRODUCT((MONTH(CHOOSE({1,2,3,4},KMB!T301,KMB!X301,KMB!AB301,KMB!AF301))=2)*(CHOOSE({1,2,3,4},KMB!W301,KMB!AA301,KMB!AE301,KMB!AI301)))</f>
        <v>0</v>
      </c>
      <c r="C301">
        <f>SUMPRODUCT((MONTH(CHOOSE({1,2,3,4},KMB!T301,KMB!X301,KMB!AB301,KMB!AF301))=3)*(CHOOSE({1,2,3,4},KMB!W301,KMB!AA301,KMB!AE301,KMB!AI301)))</f>
        <v>0</v>
      </c>
      <c r="D301">
        <f>SUMPRODUCT((MONTH(CHOOSE({1,2,3,4},KMB!T301,KMB!X301,KMB!AB301,KMB!AF301))=4)*(CHOOSE({1,2,3,4},KMB!W301,KMB!AA301,KMB!AE301,KMB!AI301)))</f>
        <v>0</v>
      </c>
      <c r="E301">
        <f>SUMPRODUCT((MONTH(CHOOSE({1,2,3,4},KMB!T301,KMB!X301,KMB!AB301,KMB!AF301))=5)*(CHOOSE({1,2,3,4},KMB!W301,KMB!AA301,KMB!AE301,KMB!AI301)))</f>
        <v>0</v>
      </c>
      <c r="F301">
        <f>SUMPRODUCT((MONTH(CHOOSE({1,2,3,4},KMB!T301,KMB!X301,KMB!AB301,KMB!AF301))=6)*(CHOOSE({1,2,3,4},KMB!W301,KMB!AA301,KMB!AE301,KMB!AI301)))</f>
        <v>0</v>
      </c>
      <c r="G301">
        <f>SUMPRODUCT((MONTH(CHOOSE({1,2,3,4},KMB!T301,KMB!X301,KMB!AB301,KMB!AF301))=7)*(CHOOSE({1,2,3,4},KMB!W301,KMB!AA301,KMB!AE301,KMB!AI301)))</f>
        <v>0</v>
      </c>
      <c r="H301">
        <f>SUMPRODUCT((MONTH(CHOOSE({1,2,3,4},KMB!T301,KMB!X301,KMB!AB301,KMB!AF301))=8)*(CHOOSE({1,2,3,4},KMB!W301,KMB!AA301,KMB!AE301,KMB!AI301)))</f>
        <v>0</v>
      </c>
      <c r="I301">
        <f>SUMPRODUCT((MONTH(CHOOSE({1,2,3,4},KMB!T301,KMB!X301,KMB!AB301,KMB!AF301))=9)*(CHOOSE({1,2,3,4},KMB!W301,KMB!AA301,KMB!AE301,KMB!AI301)))</f>
        <v>0</v>
      </c>
      <c r="J301">
        <f>SUMPRODUCT((MONTH(CHOOSE({1,2,3,4},KMB!T301,KMB!X301,KMB!AB301,KMB!AF301))=10)*(CHOOSE({1,2,3,4},KMB!W301,KMB!AA301,KMB!AE301,KMB!AI301)))</f>
        <v>0</v>
      </c>
      <c r="K301">
        <f>SUMPRODUCT((MONTH(CHOOSE({1,2,3,4},KMB!T301,KMB!X301,KMB!AB301,KMB!AF301))=11)*(CHOOSE({1,2,3,4},KMB!W301,KMB!AA301,KMB!AE301,KMB!AI301)))</f>
        <v>0</v>
      </c>
      <c r="L301">
        <f>SUMPRODUCT((MONTH(CHOOSE({1,2,3,4},KMB!T301,KMB!X301,KMB!AB301,KMB!AF301))=12)*(CHOOSE({1,2,3,4},KMB!W301,KMB!AA301,KMB!AE301,KMB!AI301)))</f>
        <v>0</v>
      </c>
    </row>
    <row r="302" spans="1:12">
      <c r="A302">
        <f>SUMPRODUCT((MONTH(CHOOSE({1,2,3,4},KMB!T302,KMB!X302,KMB!AB302,KMB!AF302))=1)*(CHOOSE({1,2,3,4},KMB!W302,KMB!AA302,KMB!AE302,KMB!AI302)))</f>
        <v>0</v>
      </c>
      <c r="B302">
        <f>SUMPRODUCT((MONTH(CHOOSE({1,2,3,4},KMB!T302,KMB!X302,KMB!AB302,KMB!AF302))=2)*(CHOOSE({1,2,3,4},KMB!W302,KMB!AA302,KMB!AE302,KMB!AI302)))</f>
        <v>0</v>
      </c>
      <c r="C302">
        <f>SUMPRODUCT((MONTH(CHOOSE({1,2,3,4},KMB!T302,KMB!X302,KMB!AB302,KMB!AF302))=3)*(CHOOSE({1,2,3,4},KMB!W302,KMB!AA302,KMB!AE302,KMB!AI302)))</f>
        <v>0</v>
      </c>
      <c r="D302">
        <f>SUMPRODUCT((MONTH(CHOOSE({1,2,3,4},KMB!T302,KMB!X302,KMB!AB302,KMB!AF302))=4)*(CHOOSE({1,2,3,4},KMB!W302,KMB!AA302,KMB!AE302,KMB!AI302)))</f>
        <v>0</v>
      </c>
      <c r="E302">
        <f>SUMPRODUCT((MONTH(CHOOSE({1,2,3,4},KMB!T302,KMB!X302,KMB!AB302,KMB!AF302))=5)*(CHOOSE({1,2,3,4},KMB!W302,KMB!AA302,KMB!AE302,KMB!AI302)))</f>
        <v>0</v>
      </c>
      <c r="F302">
        <f>SUMPRODUCT((MONTH(CHOOSE({1,2,3,4},KMB!T302,KMB!X302,KMB!AB302,KMB!AF302))=6)*(CHOOSE({1,2,3,4},KMB!W302,KMB!AA302,KMB!AE302,KMB!AI302)))</f>
        <v>0</v>
      </c>
      <c r="G302">
        <f>SUMPRODUCT((MONTH(CHOOSE({1,2,3,4},KMB!T302,KMB!X302,KMB!AB302,KMB!AF302))=7)*(CHOOSE({1,2,3,4},KMB!W302,KMB!AA302,KMB!AE302,KMB!AI302)))</f>
        <v>0</v>
      </c>
      <c r="H302">
        <f>SUMPRODUCT((MONTH(CHOOSE({1,2,3,4},KMB!T302,KMB!X302,KMB!AB302,KMB!AF302))=8)*(CHOOSE({1,2,3,4},KMB!W302,KMB!AA302,KMB!AE302,KMB!AI302)))</f>
        <v>0</v>
      </c>
      <c r="I302">
        <f>SUMPRODUCT((MONTH(CHOOSE({1,2,3,4},KMB!T302,KMB!X302,KMB!AB302,KMB!AF302))=9)*(CHOOSE({1,2,3,4},KMB!W302,KMB!AA302,KMB!AE302,KMB!AI302)))</f>
        <v>0</v>
      </c>
      <c r="J302">
        <f>SUMPRODUCT((MONTH(CHOOSE({1,2,3,4},KMB!T302,KMB!X302,KMB!AB302,KMB!AF302))=10)*(CHOOSE({1,2,3,4},KMB!W302,KMB!AA302,KMB!AE302,KMB!AI302)))</f>
        <v>0</v>
      </c>
      <c r="K302">
        <f>SUMPRODUCT((MONTH(CHOOSE({1,2,3,4},KMB!T302,KMB!X302,KMB!AB302,KMB!AF302))=11)*(CHOOSE({1,2,3,4},KMB!W302,KMB!AA302,KMB!AE302,KMB!AI302)))</f>
        <v>0</v>
      </c>
      <c r="L302">
        <f>SUMPRODUCT((MONTH(CHOOSE({1,2,3,4},KMB!T302,KMB!X302,KMB!AB302,KMB!AF302))=12)*(CHOOSE({1,2,3,4},KMB!W302,KMB!AA302,KMB!AE302,KMB!AI302)))</f>
        <v>0</v>
      </c>
    </row>
    <row r="303" spans="1:12">
      <c r="A303">
        <f>SUMPRODUCT((MONTH(CHOOSE({1,2,3,4},KMB!T303,KMB!X303,KMB!AB303,KMB!AF303))=1)*(CHOOSE({1,2,3,4},KMB!W303,KMB!AA303,KMB!AE303,KMB!AI303)))</f>
        <v>0</v>
      </c>
      <c r="B303">
        <f>SUMPRODUCT((MONTH(CHOOSE({1,2,3,4},KMB!T303,KMB!X303,KMB!AB303,KMB!AF303))=2)*(CHOOSE({1,2,3,4},KMB!W303,KMB!AA303,KMB!AE303,KMB!AI303)))</f>
        <v>0</v>
      </c>
      <c r="C303">
        <f>SUMPRODUCT((MONTH(CHOOSE({1,2,3,4},KMB!T303,KMB!X303,KMB!AB303,KMB!AF303))=3)*(CHOOSE({1,2,3,4},KMB!W303,KMB!AA303,KMB!AE303,KMB!AI303)))</f>
        <v>0</v>
      </c>
      <c r="D303">
        <f>SUMPRODUCT((MONTH(CHOOSE({1,2,3,4},KMB!T303,KMB!X303,KMB!AB303,KMB!AF303))=4)*(CHOOSE({1,2,3,4},KMB!W303,KMB!AA303,KMB!AE303,KMB!AI303)))</f>
        <v>0</v>
      </c>
      <c r="E303">
        <f>SUMPRODUCT((MONTH(CHOOSE({1,2,3,4},KMB!T303,KMB!X303,KMB!AB303,KMB!AF303))=5)*(CHOOSE({1,2,3,4},KMB!W303,KMB!AA303,KMB!AE303,KMB!AI303)))</f>
        <v>0</v>
      </c>
      <c r="F303">
        <f>SUMPRODUCT((MONTH(CHOOSE({1,2,3,4},KMB!T303,KMB!X303,KMB!AB303,KMB!AF303))=6)*(CHOOSE({1,2,3,4},KMB!W303,KMB!AA303,KMB!AE303,KMB!AI303)))</f>
        <v>0</v>
      </c>
      <c r="G303">
        <f>SUMPRODUCT((MONTH(CHOOSE({1,2,3,4},KMB!T303,KMB!X303,KMB!AB303,KMB!AF303))=7)*(CHOOSE({1,2,3,4},KMB!W303,KMB!AA303,KMB!AE303,KMB!AI303)))</f>
        <v>0</v>
      </c>
      <c r="H303">
        <f>SUMPRODUCT((MONTH(CHOOSE({1,2,3,4},KMB!T303,KMB!X303,KMB!AB303,KMB!AF303))=8)*(CHOOSE({1,2,3,4},KMB!W303,KMB!AA303,KMB!AE303,KMB!AI303)))</f>
        <v>0</v>
      </c>
      <c r="I303">
        <f>SUMPRODUCT((MONTH(CHOOSE({1,2,3,4},KMB!T303,KMB!X303,KMB!AB303,KMB!AF303))=9)*(CHOOSE({1,2,3,4},KMB!W303,KMB!AA303,KMB!AE303,KMB!AI303)))</f>
        <v>0</v>
      </c>
      <c r="J303">
        <f>SUMPRODUCT((MONTH(CHOOSE({1,2,3,4},KMB!T303,KMB!X303,KMB!AB303,KMB!AF303))=10)*(CHOOSE({1,2,3,4},KMB!W303,KMB!AA303,KMB!AE303,KMB!AI303)))</f>
        <v>0</v>
      </c>
      <c r="K303">
        <f>SUMPRODUCT((MONTH(CHOOSE({1,2,3,4},KMB!T303,KMB!X303,KMB!AB303,KMB!AF303))=11)*(CHOOSE({1,2,3,4},KMB!W303,KMB!AA303,KMB!AE303,KMB!AI303)))</f>
        <v>0</v>
      </c>
      <c r="L303">
        <f>SUMPRODUCT((MONTH(CHOOSE({1,2,3,4},KMB!T303,KMB!X303,KMB!AB303,KMB!AF303))=12)*(CHOOSE({1,2,3,4},KMB!W303,KMB!AA303,KMB!AE303,KMB!AI303)))</f>
        <v>0</v>
      </c>
    </row>
    <row r="304" spans="1:12">
      <c r="A304">
        <f>SUMPRODUCT((MONTH(CHOOSE({1,2,3,4},KMB!T304,KMB!X304,KMB!AB304,KMB!AF304))=1)*(CHOOSE({1,2,3,4},KMB!W304,KMB!AA304,KMB!AE304,KMB!AI304)))</f>
        <v>0</v>
      </c>
      <c r="B304">
        <f>SUMPRODUCT((MONTH(CHOOSE({1,2,3,4},KMB!T304,KMB!X304,KMB!AB304,KMB!AF304))=2)*(CHOOSE({1,2,3,4},KMB!W304,KMB!AA304,KMB!AE304,KMB!AI304)))</f>
        <v>0</v>
      </c>
      <c r="C304">
        <f>SUMPRODUCT((MONTH(CHOOSE({1,2,3,4},KMB!T304,KMB!X304,KMB!AB304,KMB!AF304))=3)*(CHOOSE({1,2,3,4},KMB!W304,KMB!AA304,KMB!AE304,KMB!AI304)))</f>
        <v>0</v>
      </c>
      <c r="D304">
        <f>SUMPRODUCT((MONTH(CHOOSE({1,2,3,4},KMB!T304,KMB!X304,KMB!AB304,KMB!AF304))=4)*(CHOOSE({1,2,3,4},KMB!W304,KMB!AA304,KMB!AE304,KMB!AI304)))</f>
        <v>0</v>
      </c>
      <c r="E304">
        <f>SUMPRODUCT((MONTH(CHOOSE({1,2,3,4},KMB!T304,KMB!X304,KMB!AB304,KMB!AF304))=5)*(CHOOSE({1,2,3,4},KMB!W304,KMB!AA304,KMB!AE304,KMB!AI304)))</f>
        <v>0</v>
      </c>
      <c r="F304">
        <f>SUMPRODUCT((MONTH(CHOOSE({1,2,3,4},KMB!T304,KMB!X304,KMB!AB304,KMB!AF304))=6)*(CHOOSE({1,2,3,4},KMB!W304,KMB!AA304,KMB!AE304,KMB!AI304)))</f>
        <v>0</v>
      </c>
      <c r="G304">
        <f>SUMPRODUCT((MONTH(CHOOSE({1,2,3,4},KMB!T304,KMB!X304,KMB!AB304,KMB!AF304))=7)*(CHOOSE({1,2,3,4},KMB!W304,KMB!AA304,KMB!AE304,KMB!AI304)))</f>
        <v>0</v>
      </c>
      <c r="H304">
        <f>SUMPRODUCT((MONTH(CHOOSE({1,2,3,4},KMB!T304,KMB!X304,KMB!AB304,KMB!AF304))=8)*(CHOOSE({1,2,3,4},KMB!W304,KMB!AA304,KMB!AE304,KMB!AI304)))</f>
        <v>0</v>
      </c>
      <c r="I304">
        <f>SUMPRODUCT((MONTH(CHOOSE({1,2,3,4},KMB!T304,KMB!X304,KMB!AB304,KMB!AF304))=9)*(CHOOSE({1,2,3,4},KMB!W304,KMB!AA304,KMB!AE304,KMB!AI304)))</f>
        <v>0</v>
      </c>
      <c r="J304">
        <f>SUMPRODUCT((MONTH(CHOOSE({1,2,3,4},KMB!T304,KMB!X304,KMB!AB304,KMB!AF304))=10)*(CHOOSE({1,2,3,4},KMB!W304,KMB!AA304,KMB!AE304,KMB!AI304)))</f>
        <v>0</v>
      </c>
      <c r="K304">
        <f>SUMPRODUCT((MONTH(CHOOSE({1,2,3,4},KMB!T304,KMB!X304,KMB!AB304,KMB!AF304))=11)*(CHOOSE({1,2,3,4},KMB!W304,KMB!AA304,KMB!AE304,KMB!AI304)))</f>
        <v>0</v>
      </c>
      <c r="L304">
        <f>SUMPRODUCT((MONTH(CHOOSE({1,2,3,4},KMB!T304,KMB!X304,KMB!AB304,KMB!AF304))=12)*(CHOOSE({1,2,3,4},KMB!W304,KMB!AA304,KMB!AE304,KMB!AI304)))</f>
        <v>0</v>
      </c>
    </row>
    <row r="305" spans="1:12">
      <c r="A305">
        <f>SUMPRODUCT((MONTH(CHOOSE({1,2,3,4},KMB!T305,KMB!X305,KMB!AB305,KMB!AF305))=1)*(CHOOSE({1,2,3,4},KMB!W305,KMB!AA305,KMB!AE305,KMB!AI305)))</f>
        <v>0</v>
      </c>
      <c r="B305">
        <f>SUMPRODUCT((MONTH(CHOOSE({1,2,3,4},KMB!T305,KMB!X305,KMB!AB305,KMB!AF305))=2)*(CHOOSE({1,2,3,4},KMB!W305,KMB!AA305,KMB!AE305,KMB!AI305)))</f>
        <v>0</v>
      </c>
      <c r="C305">
        <f>SUMPRODUCT((MONTH(CHOOSE({1,2,3,4},KMB!T305,KMB!X305,KMB!AB305,KMB!AF305))=3)*(CHOOSE({1,2,3,4},KMB!W305,KMB!AA305,KMB!AE305,KMB!AI305)))</f>
        <v>0</v>
      </c>
      <c r="D305">
        <f>SUMPRODUCT((MONTH(CHOOSE({1,2,3,4},KMB!T305,KMB!X305,KMB!AB305,KMB!AF305))=4)*(CHOOSE({1,2,3,4},KMB!W305,KMB!AA305,KMB!AE305,KMB!AI305)))</f>
        <v>0</v>
      </c>
      <c r="E305">
        <f>SUMPRODUCT((MONTH(CHOOSE({1,2,3,4},KMB!T305,KMB!X305,KMB!AB305,KMB!AF305))=5)*(CHOOSE({1,2,3,4},KMB!W305,KMB!AA305,KMB!AE305,KMB!AI305)))</f>
        <v>0</v>
      </c>
      <c r="F305">
        <f>SUMPRODUCT((MONTH(CHOOSE({1,2,3,4},KMB!T305,KMB!X305,KMB!AB305,KMB!AF305))=6)*(CHOOSE({1,2,3,4},KMB!W305,KMB!AA305,KMB!AE305,KMB!AI305)))</f>
        <v>0</v>
      </c>
      <c r="G305">
        <f>SUMPRODUCT((MONTH(CHOOSE({1,2,3,4},KMB!T305,KMB!X305,KMB!AB305,KMB!AF305))=7)*(CHOOSE({1,2,3,4},KMB!W305,KMB!AA305,KMB!AE305,KMB!AI305)))</f>
        <v>0</v>
      </c>
      <c r="H305">
        <f>SUMPRODUCT((MONTH(CHOOSE({1,2,3,4},KMB!T305,KMB!X305,KMB!AB305,KMB!AF305))=8)*(CHOOSE({1,2,3,4},KMB!W305,KMB!AA305,KMB!AE305,KMB!AI305)))</f>
        <v>0</v>
      </c>
      <c r="I305">
        <f>SUMPRODUCT((MONTH(CHOOSE({1,2,3,4},KMB!T305,KMB!X305,KMB!AB305,KMB!AF305))=9)*(CHOOSE({1,2,3,4},KMB!W305,KMB!AA305,KMB!AE305,KMB!AI305)))</f>
        <v>0</v>
      </c>
      <c r="J305">
        <f>SUMPRODUCT((MONTH(CHOOSE({1,2,3,4},KMB!T305,KMB!X305,KMB!AB305,KMB!AF305))=10)*(CHOOSE({1,2,3,4},KMB!W305,KMB!AA305,KMB!AE305,KMB!AI305)))</f>
        <v>0</v>
      </c>
      <c r="K305">
        <f>SUMPRODUCT((MONTH(CHOOSE({1,2,3,4},KMB!T305,KMB!X305,KMB!AB305,KMB!AF305))=11)*(CHOOSE({1,2,3,4},KMB!W305,KMB!AA305,KMB!AE305,KMB!AI305)))</f>
        <v>0</v>
      </c>
      <c r="L305">
        <f>SUMPRODUCT((MONTH(CHOOSE({1,2,3,4},KMB!T305,KMB!X305,KMB!AB305,KMB!AF305))=12)*(CHOOSE({1,2,3,4},KMB!W305,KMB!AA305,KMB!AE305,KMB!AI305)))</f>
        <v>0</v>
      </c>
    </row>
    <row r="306" spans="1:12">
      <c r="A306">
        <f>SUMPRODUCT((MONTH(CHOOSE({1,2,3,4},KMB!T306,KMB!X306,KMB!AB306,KMB!AF306))=1)*(CHOOSE({1,2,3,4},KMB!W306,KMB!AA306,KMB!AE306,KMB!AI306)))</f>
        <v>0</v>
      </c>
      <c r="B306">
        <f>SUMPRODUCT((MONTH(CHOOSE({1,2,3,4},KMB!T306,KMB!X306,KMB!AB306,KMB!AF306))=2)*(CHOOSE({1,2,3,4},KMB!W306,KMB!AA306,KMB!AE306,KMB!AI306)))</f>
        <v>0</v>
      </c>
      <c r="C306">
        <f>SUMPRODUCT((MONTH(CHOOSE({1,2,3,4},KMB!T306,KMB!X306,KMB!AB306,KMB!AF306))=3)*(CHOOSE({1,2,3,4},KMB!W306,KMB!AA306,KMB!AE306,KMB!AI306)))</f>
        <v>0</v>
      </c>
      <c r="D306">
        <f>SUMPRODUCT((MONTH(CHOOSE({1,2,3,4},KMB!T306,KMB!X306,KMB!AB306,KMB!AF306))=4)*(CHOOSE({1,2,3,4},KMB!W306,KMB!AA306,KMB!AE306,KMB!AI306)))</f>
        <v>0</v>
      </c>
      <c r="E306">
        <f>SUMPRODUCT((MONTH(CHOOSE({1,2,3,4},KMB!T306,KMB!X306,KMB!AB306,KMB!AF306))=5)*(CHOOSE({1,2,3,4},KMB!W306,KMB!AA306,KMB!AE306,KMB!AI306)))</f>
        <v>0</v>
      </c>
      <c r="F306">
        <f>SUMPRODUCT((MONTH(CHOOSE({1,2,3,4},KMB!T306,KMB!X306,KMB!AB306,KMB!AF306))=6)*(CHOOSE({1,2,3,4},KMB!W306,KMB!AA306,KMB!AE306,KMB!AI306)))</f>
        <v>0</v>
      </c>
      <c r="G306">
        <f>SUMPRODUCT((MONTH(CHOOSE({1,2,3,4},KMB!T306,KMB!X306,KMB!AB306,KMB!AF306))=7)*(CHOOSE({1,2,3,4},KMB!W306,KMB!AA306,KMB!AE306,KMB!AI306)))</f>
        <v>0</v>
      </c>
      <c r="H306">
        <f>SUMPRODUCT((MONTH(CHOOSE({1,2,3,4},KMB!T306,KMB!X306,KMB!AB306,KMB!AF306))=8)*(CHOOSE({1,2,3,4},KMB!W306,KMB!AA306,KMB!AE306,KMB!AI306)))</f>
        <v>0</v>
      </c>
      <c r="I306">
        <f>SUMPRODUCT((MONTH(CHOOSE({1,2,3,4},KMB!T306,KMB!X306,KMB!AB306,KMB!AF306))=9)*(CHOOSE({1,2,3,4},KMB!W306,KMB!AA306,KMB!AE306,KMB!AI306)))</f>
        <v>0</v>
      </c>
      <c r="J306">
        <f>SUMPRODUCT((MONTH(CHOOSE({1,2,3,4},KMB!T306,KMB!X306,KMB!AB306,KMB!AF306))=10)*(CHOOSE({1,2,3,4},KMB!W306,KMB!AA306,KMB!AE306,KMB!AI306)))</f>
        <v>0</v>
      </c>
      <c r="K306">
        <f>SUMPRODUCT((MONTH(CHOOSE({1,2,3,4},KMB!T306,KMB!X306,KMB!AB306,KMB!AF306))=11)*(CHOOSE({1,2,3,4},KMB!W306,KMB!AA306,KMB!AE306,KMB!AI306)))</f>
        <v>0</v>
      </c>
      <c r="L306">
        <f>SUMPRODUCT((MONTH(CHOOSE({1,2,3,4},KMB!T306,KMB!X306,KMB!AB306,KMB!AF306))=12)*(CHOOSE({1,2,3,4},KMB!W306,KMB!AA306,KMB!AE306,KMB!AI306)))</f>
        <v>0</v>
      </c>
    </row>
    <row r="307" spans="1:12">
      <c r="A307">
        <f>SUMPRODUCT((MONTH(CHOOSE({1,2,3,4},KMB!T307,KMB!X307,KMB!AB307,KMB!AF307))=1)*(CHOOSE({1,2,3,4},KMB!W307,KMB!AA307,KMB!AE307,KMB!AI307)))</f>
        <v>0</v>
      </c>
      <c r="B307">
        <f>SUMPRODUCT((MONTH(CHOOSE({1,2,3,4},KMB!T307,KMB!X307,KMB!AB307,KMB!AF307))=2)*(CHOOSE({1,2,3,4},KMB!W307,KMB!AA307,KMB!AE307,KMB!AI307)))</f>
        <v>0</v>
      </c>
      <c r="C307">
        <f>SUMPRODUCT((MONTH(CHOOSE({1,2,3,4},KMB!T307,KMB!X307,KMB!AB307,KMB!AF307))=3)*(CHOOSE({1,2,3,4},KMB!W307,KMB!AA307,KMB!AE307,KMB!AI307)))</f>
        <v>0</v>
      </c>
      <c r="D307">
        <f>SUMPRODUCT((MONTH(CHOOSE({1,2,3,4},KMB!T307,KMB!X307,KMB!AB307,KMB!AF307))=4)*(CHOOSE({1,2,3,4},KMB!W307,KMB!AA307,KMB!AE307,KMB!AI307)))</f>
        <v>0</v>
      </c>
      <c r="E307">
        <f>SUMPRODUCT((MONTH(CHOOSE({1,2,3,4},KMB!T307,KMB!X307,KMB!AB307,KMB!AF307))=5)*(CHOOSE({1,2,3,4},KMB!W307,KMB!AA307,KMB!AE307,KMB!AI307)))</f>
        <v>0</v>
      </c>
      <c r="F307">
        <f>SUMPRODUCT((MONTH(CHOOSE({1,2,3,4},KMB!T307,KMB!X307,KMB!AB307,KMB!AF307))=6)*(CHOOSE({1,2,3,4},KMB!W307,KMB!AA307,KMB!AE307,KMB!AI307)))</f>
        <v>0</v>
      </c>
      <c r="G307">
        <f>SUMPRODUCT((MONTH(CHOOSE({1,2,3,4},KMB!T307,KMB!X307,KMB!AB307,KMB!AF307))=7)*(CHOOSE({1,2,3,4},KMB!W307,KMB!AA307,KMB!AE307,KMB!AI307)))</f>
        <v>0</v>
      </c>
      <c r="H307">
        <f>SUMPRODUCT((MONTH(CHOOSE({1,2,3,4},KMB!T307,KMB!X307,KMB!AB307,KMB!AF307))=8)*(CHOOSE({1,2,3,4},KMB!W307,KMB!AA307,KMB!AE307,KMB!AI307)))</f>
        <v>0</v>
      </c>
      <c r="I307">
        <f>SUMPRODUCT((MONTH(CHOOSE({1,2,3,4},KMB!T307,KMB!X307,KMB!AB307,KMB!AF307))=9)*(CHOOSE({1,2,3,4},KMB!W307,KMB!AA307,KMB!AE307,KMB!AI307)))</f>
        <v>0</v>
      </c>
      <c r="J307">
        <f>SUMPRODUCT((MONTH(CHOOSE({1,2,3,4},KMB!T307,KMB!X307,KMB!AB307,KMB!AF307))=10)*(CHOOSE({1,2,3,4},KMB!W307,KMB!AA307,KMB!AE307,KMB!AI307)))</f>
        <v>0</v>
      </c>
      <c r="K307">
        <f>SUMPRODUCT((MONTH(CHOOSE({1,2,3,4},KMB!T307,KMB!X307,KMB!AB307,KMB!AF307))=11)*(CHOOSE({1,2,3,4},KMB!W307,KMB!AA307,KMB!AE307,KMB!AI307)))</f>
        <v>0</v>
      </c>
      <c r="L307">
        <f>SUMPRODUCT((MONTH(CHOOSE({1,2,3,4},KMB!T307,KMB!X307,KMB!AB307,KMB!AF307))=12)*(CHOOSE({1,2,3,4},KMB!W307,KMB!AA307,KMB!AE307,KMB!AI307)))</f>
        <v>0</v>
      </c>
    </row>
    <row r="308" spans="1:12">
      <c r="A308">
        <f>SUMPRODUCT((MONTH(CHOOSE({1,2,3,4},KMB!T308,KMB!X308,KMB!AB308,KMB!AF308))=1)*(CHOOSE({1,2,3,4},KMB!W308,KMB!AA308,KMB!AE308,KMB!AI308)))</f>
        <v>0</v>
      </c>
      <c r="B308">
        <f>SUMPRODUCT((MONTH(CHOOSE({1,2,3,4},KMB!T308,KMB!X308,KMB!AB308,KMB!AF308))=2)*(CHOOSE({1,2,3,4},KMB!W308,KMB!AA308,KMB!AE308,KMB!AI308)))</f>
        <v>0</v>
      </c>
      <c r="C308">
        <f>SUMPRODUCT((MONTH(CHOOSE({1,2,3,4},KMB!T308,KMB!X308,KMB!AB308,KMB!AF308))=3)*(CHOOSE({1,2,3,4},KMB!W308,KMB!AA308,KMB!AE308,KMB!AI308)))</f>
        <v>0</v>
      </c>
      <c r="D308">
        <f>SUMPRODUCT((MONTH(CHOOSE({1,2,3,4},KMB!T308,KMB!X308,KMB!AB308,KMB!AF308))=4)*(CHOOSE({1,2,3,4},KMB!W308,KMB!AA308,KMB!AE308,KMB!AI308)))</f>
        <v>0</v>
      </c>
      <c r="E308">
        <f>SUMPRODUCT((MONTH(CHOOSE({1,2,3,4},KMB!T308,KMB!X308,KMB!AB308,KMB!AF308))=5)*(CHOOSE({1,2,3,4},KMB!W308,KMB!AA308,KMB!AE308,KMB!AI308)))</f>
        <v>0</v>
      </c>
      <c r="F308">
        <f>SUMPRODUCT((MONTH(CHOOSE({1,2,3,4},KMB!T308,KMB!X308,KMB!AB308,KMB!AF308))=6)*(CHOOSE({1,2,3,4},KMB!W308,KMB!AA308,KMB!AE308,KMB!AI308)))</f>
        <v>0</v>
      </c>
      <c r="G308">
        <f>SUMPRODUCT((MONTH(CHOOSE({1,2,3,4},KMB!T308,KMB!X308,KMB!AB308,KMB!AF308))=7)*(CHOOSE({1,2,3,4},KMB!W308,KMB!AA308,KMB!AE308,KMB!AI308)))</f>
        <v>0</v>
      </c>
      <c r="H308">
        <f>SUMPRODUCT((MONTH(CHOOSE({1,2,3,4},KMB!T308,KMB!X308,KMB!AB308,KMB!AF308))=8)*(CHOOSE({1,2,3,4},KMB!W308,KMB!AA308,KMB!AE308,KMB!AI308)))</f>
        <v>0</v>
      </c>
      <c r="I308">
        <f>SUMPRODUCT((MONTH(CHOOSE({1,2,3,4},KMB!T308,KMB!X308,KMB!AB308,KMB!AF308))=9)*(CHOOSE({1,2,3,4},KMB!W308,KMB!AA308,KMB!AE308,KMB!AI308)))</f>
        <v>0</v>
      </c>
      <c r="J308">
        <f>SUMPRODUCT((MONTH(CHOOSE({1,2,3,4},KMB!T308,KMB!X308,KMB!AB308,KMB!AF308))=10)*(CHOOSE({1,2,3,4},KMB!W308,KMB!AA308,KMB!AE308,KMB!AI308)))</f>
        <v>0</v>
      </c>
      <c r="K308">
        <f>SUMPRODUCT((MONTH(CHOOSE({1,2,3,4},KMB!T308,KMB!X308,KMB!AB308,KMB!AF308))=11)*(CHOOSE({1,2,3,4},KMB!W308,KMB!AA308,KMB!AE308,KMB!AI308)))</f>
        <v>0</v>
      </c>
      <c r="L308">
        <f>SUMPRODUCT((MONTH(CHOOSE({1,2,3,4},KMB!T308,KMB!X308,KMB!AB308,KMB!AF308))=12)*(CHOOSE({1,2,3,4},KMB!W308,KMB!AA308,KMB!AE308,KMB!AI308)))</f>
        <v>0</v>
      </c>
    </row>
    <row r="309" spans="1:12">
      <c r="A309">
        <f>SUMPRODUCT((MONTH(CHOOSE({1,2,3,4},KMB!T309,KMB!X309,KMB!AB309,KMB!AF309))=1)*(CHOOSE({1,2,3,4},KMB!W309,KMB!AA309,KMB!AE309,KMB!AI309)))</f>
        <v>0</v>
      </c>
      <c r="B309">
        <f>SUMPRODUCT((MONTH(CHOOSE({1,2,3,4},KMB!T309,KMB!X309,KMB!AB309,KMB!AF309))=2)*(CHOOSE({1,2,3,4},KMB!W309,KMB!AA309,KMB!AE309,KMB!AI309)))</f>
        <v>0</v>
      </c>
      <c r="C309">
        <f>SUMPRODUCT((MONTH(CHOOSE({1,2,3,4},KMB!T309,KMB!X309,KMB!AB309,KMB!AF309))=3)*(CHOOSE({1,2,3,4},KMB!W309,KMB!AA309,KMB!AE309,KMB!AI309)))</f>
        <v>0</v>
      </c>
      <c r="D309">
        <f>SUMPRODUCT((MONTH(CHOOSE({1,2,3,4},KMB!T309,KMB!X309,KMB!AB309,KMB!AF309))=4)*(CHOOSE({1,2,3,4},KMB!W309,KMB!AA309,KMB!AE309,KMB!AI309)))</f>
        <v>0</v>
      </c>
      <c r="E309">
        <f>SUMPRODUCT((MONTH(CHOOSE({1,2,3,4},KMB!T309,KMB!X309,KMB!AB309,KMB!AF309))=5)*(CHOOSE({1,2,3,4},KMB!W309,KMB!AA309,KMB!AE309,KMB!AI309)))</f>
        <v>0</v>
      </c>
      <c r="F309">
        <f>SUMPRODUCT((MONTH(CHOOSE({1,2,3,4},KMB!T309,KMB!X309,KMB!AB309,KMB!AF309))=6)*(CHOOSE({1,2,3,4},KMB!W309,KMB!AA309,KMB!AE309,KMB!AI309)))</f>
        <v>0</v>
      </c>
      <c r="G309">
        <f>SUMPRODUCT((MONTH(CHOOSE({1,2,3,4},KMB!T309,KMB!X309,KMB!AB309,KMB!AF309))=7)*(CHOOSE({1,2,3,4},KMB!W309,KMB!AA309,KMB!AE309,KMB!AI309)))</f>
        <v>0</v>
      </c>
      <c r="H309">
        <f>SUMPRODUCT((MONTH(CHOOSE({1,2,3,4},KMB!T309,KMB!X309,KMB!AB309,KMB!AF309))=8)*(CHOOSE({1,2,3,4},KMB!W309,KMB!AA309,KMB!AE309,KMB!AI309)))</f>
        <v>0</v>
      </c>
      <c r="I309">
        <f>SUMPRODUCT((MONTH(CHOOSE({1,2,3,4},KMB!T309,KMB!X309,KMB!AB309,KMB!AF309))=9)*(CHOOSE({1,2,3,4},KMB!W309,KMB!AA309,KMB!AE309,KMB!AI309)))</f>
        <v>0</v>
      </c>
      <c r="J309">
        <f>SUMPRODUCT((MONTH(CHOOSE({1,2,3,4},KMB!T309,KMB!X309,KMB!AB309,KMB!AF309))=10)*(CHOOSE({1,2,3,4},KMB!W309,KMB!AA309,KMB!AE309,KMB!AI309)))</f>
        <v>0</v>
      </c>
      <c r="K309">
        <f>SUMPRODUCT((MONTH(CHOOSE({1,2,3,4},KMB!T309,KMB!X309,KMB!AB309,KMB!AF309))=11)*(CHOOSE({1,2,3,4},KMB!W309,KMB!AA309,KMB!AE309,KMB!AI309)))</f>
        <v>0</v>
      </c>
      <c r="L309">
        <f>SUMPRODUCT((MONTH(CHOOSE({1,2,3,4},KMB!T309,KMB!X309,KMB!AB309,KMB!AF309))=12)*(CHOOSE({1,2,3,4},KMB!W309,KMB!AA309,KMB!AE309,KMB!AI309)))</f>
        <v>0</v>
      </c>
    </row>
    <row r="310" spans="1:12">
      <c r="A310">
        <f>SUMPRODUCT((MONTH(CHOOSE({1,2,3,4},KMB!T310,KMB!X310,KMB!AB310,KMB!AF310))=1)*(CHOOSE({1,2,3,4},KMB!W310,KMB!AA310,KMB!AE310,KMB!AI310)))</f>
        <v>0</v>
      </c>
      <c r="B310">
        <f>SUMPRODUCT((MONTH(CHOOSE({1,2,3,4},KMB!T310,KMB!X310,KMB!AB310,KMB!AF310))=2)*(CHOOSE({1,2,3,4},KMB!W310,KMB!AA310,KMB!AE310,KMB!AI310)))</f>
        <v>0</v>
      </c>
      <c r="C310">
        <f>SUMPRODUCT((MONTH(CHOOSE({1,2,3,4},KMB!T310,KMB!X310,KMB!AB310,KMB!AF310))=3)*(CHOOSE({1,2,3,4},KMB!W310,KMB!AA310,KMB!AE310,KMB!AI310)))</f>
        <v>0</v>
      </c>
      <c r="D310">
        <f>SUMPRODUCT((MONTH(CHOOSE({1,2,3,4},KMB!T310,KMB!X310,KMB!AB310,KMB!AF310))=4)*(CHOOSE({1,2,3,4},KMB!W310,KMB!AA310,KMB!AE310,KMB!AI310)))</f>
        <v>0</v>
      </c>
      <c r="E310">
        <f>SUMPRODUCT((MONTH(CHOOSE({1,2,3,4},KMB!T310,KMB!X310,KMB!AB310,KMB!AF310))=5)*(CHOOSE({1,2,3,4},KMB!W310,KMB!AA310,KMB!AE310,KMB!AI310)))</f>
        <v>0</v>
      </c>
      <c r="F310">
        <f>SUMPRODUCT((MONTH(CHOOSE({1,2,3,4},KMB!T310,KMB!X310,KMB!AB310,KMB!AF310))=6)*(CHOOSE({1,2,3,4},KMB!W310,KMB!AA310,KMB!AE310,KMB!AI310)))</f>
        <v>0</v>
      </c>
      <c r="G310">
        <f>SUMPRODUCT((MONTH(CHOOSE({1,2,3,4},KMB!T310,KMB!X310,KMB!AB310,KMB!AF310))=7)*(CHOOSE({1,2,3,4},KMB!W310,KMB!AA310,KMB!AE310,KMB!AI310)))</f>
        <v>0</v>
      </c>
      <c r="H310">
        <f>SUMPRODUCT((MONTH(CHOOSE({1,2,3,4},KMB!T310,KMB!X310,KMB!AB310,KMB!AF310))=8)*(CHOOSE({1,2,3,4},KMB!W310,KMB!AA310,KMB!AE310,KMB!AI310)))</f>
        <v>0</v>
      </c>
      <c r="I310">
        <f>SUMPRODUCT((MONTH(CHOOSE({1,2,3,4},KMB!T310,KMB!X310,KMB!AB310,KMB!AF310))=9)*(CHOOSE({1,2,3,4},KMB!W310,KMB!AA310,KMB!AE310,KMB!AI310)))</f>
        <v>0</v>
      </c>
      <c r="J310">
        <f>SUMPRODUCT((MONTH(CHOOSE({1,2,3,4},KMB!T310,KMB!X310,KMB!AB310,KMB!AF310))=10)*(CHOOSE({1,2,3,4},KMB!W310,KMB!AA310,KMB!AE310,KMB!AI310)))</f>
        <v>0</v>
      </c>
      <c r="K310">
        <f>SUMPRODUCT((MONTH(CHOOSE({1,2,3,4},KMB!T310,KMB!X310,KMB!AB310,KMB!AF310))=11)*(CHOOSE({1,2,3,4},KMB!W310,KMB!AA310,KMB!AE310,KMB!AI310)))</f>
        <v>0</v>
      </c>
      <c r="L310">
        <f>SUMPRODUCT((MONTH(CHOOSE({1,2,3,4},KMB!T310,KMB!X310,KMB!AB310,KMB!AF310))=12)*(CHOOSE({1,2,3,4},KMB!W310,KMB!AA310,KMB!AE310,KMB!AI310)))</f>
        <v>0</v>
      </c>
    </row>
    <row r="311" spans="1:12">
      <c r="A311">
        <f>SUMPRODUCT((MONTH(CHOOSE({1,2,3,4},KMB!T311,KMB!X311,KMB!AB311,KMB!AF311))=1)*(CHOOSE({1,2,3,4},KMB!W311,KMB!AA311,KMB!AE311,KMB!AI311)))</f>
        <v>0</v>
      </c>
      <c r="B311">
        <f>SUMPRODUCT((MONTH(CHOOSE({1,2,3,4},KMB!T311,KMB!X311,KMB!AB311,KMB!AF311))=2)*(CHOOSE({1,2,3,4},KMB!W311,KMB!AA311,KMB!AE311,KMB!AI311)))</f>
        <v>0</v>
      </c>
      <c r="C311">
        <f>SUMPRODUCT((MONTH(CHOOSE({1,2,3,4},KMB!T311,KMB!X311,KMB!AB311,KMB!AF311))=3)*(CHOOSE({1,2,3,4},KMB!W311,KMB!AA311,KMB!AE311,KMB!AI311)))</f>
        <v>0</v>
      </c>
      <c r="D311">
        <f>SUMPRODUCT((MONTH(CHOOSE({1,2,3,4},KMB!T311,KMB!X311,KMB!AB311,KMB!AF311))=4)*(CHOOSE({1,2,3,4},KMB!W311,KMB!AA311,KMB!AE311,KMB!AI311)))</f>
        <v>0</v>
      </c>
      <c r="E311">
        <f>SUMPRODUCT((MONTH(CHOOSE({1,2,3,4},KMB!T311,KMB!X311,KMB!AB311,KMB!AF311))=5)*(CHOOSE({1,2,3,4},KMB!W311,KMB!AA311,KMB!AE311,KMB!AI311)))</f>
        <v>0</v>
      </c>
      <c r="F311">
        <f>SUMPRODUCT((MONTH(CHOOSE({1,2,3,4},KMB!T311,KMB!X311,KMB!AB311,KMB!AF311))=6)*(CHOOSE({1,2,3,4},KMB!W311,KMB!AA311,KMB!AE311,KMB!AI311)))</f>
        <v>0</v>
      </c>
      <c r="G311">
        <f>SUMPRODUCT((MONTH(CHOOSE({1,2,3,4},KMB!T311,KMB!X311,KMB!AB311,KMB!AF311))=7)*(CHOOSE({1,2,3,4},KMB!W311,KMB!AA311,KMB!AE311,KMB!AI311)))</f>
        <v>0</v>
      </c>
      <c r="H311">
        <f>SUMPRODUCT((MONTH(CHOOSE({1,2,3,4},KMB!T311,KMB!X311,KMB!AB311,KMB!AF311))=8)*(CHOOSE({1,2,3,4},KMB!W311,KMB!AA311,KMB!AE311,KMB!AI311)))</f>
        <v>0</v>
      </c>
      <c r="I311">
        <f>SUMPRODUCT((MONTH(CHOOSE({1,2,3,4},KMB!T311,KMB!X311,KMB!AB311,KMB!AF311))=9)*(CHOOSE({1,2,3,4},KMB!W311,KMB!AA311,KMB!AE311,KMB!AI311)))</f>
        <v>0</v>
      </c>
      <c r="J311">
        <f>SUMPRODUCT((MONTH(CHOOSE({1,2,3,4},KMB!T311,KMB!X311,KMB!AB311,KMB!AF311))=10)*(CHOOSE({1,2,3,4},KMB!W311,KMB!AA311,KMB!AE311,KMB!AI311)))</f>
        <v>0</v>
      </c>
      <c r="K311">
        <f>SUMPRODUCT((MONTH(CHOOSE({1,2,3,4},KMB!T311,KMB!X311,KMB!AB311,KMB!AF311))=11)*(CHOOSE({1,2,3,4},KMB!W311,KMB!AA311,KMB!AE311,KMB!AI311)))</f>
        <v>0</v>
      </c>
      <c r="L311">
        <f>SUMPRODUCT((MONTH(CHOOSE({1,2,3,4},KMB!T311,KMB!X311,KMB!AB311,KMB!AF311))=12)*(CHOOSE({1,2,3,4},KMB!W311,KMB!AA311,KMB!AE311,KMB!AI311)))</f>
        <v>0</v>
      </c>
    </row>
    <row r="312" spans="1:12">
      <c r="A312">
        <f>SUMPRODUCT((MONTH(CHOOSE({1,2,3,4},KMB!T312,KMB!X312,KMB!AB312,KMB!AF312))=1)*(CHOOSE({1,2,3,4},KMB!W312,KMB!AA312,KMB!AE312,KMB!AI312)))</f>
        <v>0</v>
      </c>
      <c r="B312">
        <f>SUMPRODUCT((MONTH(CHOOSE({1,2,3,4},KMB!T312,KMB!X312,KMB!AB312,KMB!AF312))=2)*(CHOOSE({1,2,3,4},KMB!W312,KMB!AA312,KMB!AE312,KMB!AI312)))</f>
        <v>0</v>
      </c>
      <c r="C312">
        <f>SUMPRODUCT((MONTH(CHOOSE({1,2,3,4},KMB!T312,KMB!X312,KMB!AB312,KMB!AF312))=3)*(CHOOSE({1,2,3,4},KMB!W312,KMB!AA312,KMB!AE312,KMB!AI312)))</f>
        <v>0</v>
      </c>
      <c r="D312">
        <f>SUMPRODUCT((MONTH(CHOOSE({1,2,3,4},KMB!T312,KMB!X312,KMB!AB312,KMB!AF312))=4)*(CHOOSE({1,2,3,4},KMB!W312,KMB!AA312,KMB!AE312,KMB!AI312)))</f>
        <v>0</v>
      </c>
      <c r="E312">
        <f>SUMPRODUCT((MONTH(CHOOSE({1,2,3,4},KMB!T312,KMB!X312,KMB!AB312,KMB!AF312))=5)*(CHOOSE({1,2,3,4},KMB!W312,KMB!AA312,KMB!AE312,KMB!AI312)))</f>
        <v>0</v>
      </c>
      <c r="F312">
        <f>SUMPRODUCT((MONTH(CHOOSE({1,2,3,4},KMB!T312,KMB!X312,KMB!AB312,KMB!AF312))=6)*(CHOOSE({1,2,3,4},KMB!W312,KMB!AA312,KMB!AE312,KMB!AI312)))</f>
        <v>0</v>
      </c>
      <c r="G312">
        <f>SUMPRODUCT((MONTH(CHOOSE({1,2,3,4},KMB!T312,KMB!X312,KMB!AB312,KMB!AF312))=7)*(CHOOSE({1,2,3,4},KMB!W312,KMB!AA312,KMB!AE312,KMB!AI312)))</f>
        <v>0</v>
      </c>
      <c r="H312">
        <f>SUMPRODUCT((MONTH(CHOOSE({1,2,3,4},KMB!T312,KMB!X312,KMB!AB312,KMB!AF312))=8)*(CHOOSE({1,2,3,4},KMB!W312,KMB!AA312,KMB!AE312,KMB!AI312)))</f>
        <v>0</v>
      </c>
      <c r="I312">
        <f>SUMPRODUCT((MONTH(CHOOSE({1,2,3,4},KMB!T312,KMB!X312,KMB!AB312,KMB!AF312))=9)*(CHOOSE({1,2,3,4},KMB!W312,KMB!AA312,KMB!AE312,KMB!AI312)))</f>
        <v>0</v>
      </c>
      <c r="J312">
        <f>SUMPRODUCT((MONTH(CHOOSE({1,2,3,4},KMB!T312,KMB!X312,KMB!AB312,KMB!AF312))=10)*(CHOOSE({1,2,3,4},KMB!W312,KMB!AA312,KMB!AE312,KMB!AI312)))</f>
        <v>0</v>
      </c>
      <c r="K312">
        <f>SUMPRODUCT((MONTH(CHOOSE({1,2,3,4},KMB!T312,KMB!X312,KMB!AB312,KMB!AF312))=11)*(CHOOSE({1,2,3,4},KMB!W312,KMB!AA312,KMB!AE312,KMB!AI312)))</f>
        <v>0</v>
      </c>
      <c r="L312">
        <f>SUMPRODUCT((MONTH(CHOOSE({1,2,3,4},KMB!T312,KMB!X312,KMB!AB312,KMB!AF312))=12)*(CHOOSE({1,2,3,4},KMB!W312,KMB!AA312,KMB!AE312,KMB!AI312)))</f>
        <v>0</v>
      </c>
    </row>
    <row r="313" spans="1:12">
      <c r="A313">
        <f>SUMPRODUCT((MONTH(CHOOSE({1,2,3,4},KMB!T313,KMB!X313,KMB!AB313,KMB!AF313))=1)*(CHOOSE({1,2,3,4},KMB!W313,KMB!AA313,KMB!AE313,KMB!AI313)))</f>
        <v>0</v>
      </c>
      <c r="B313">
        <f>SUMPRODUCT((MONTH(CHOOSE({1,2,3,4},KMB!T313,KMB!X313,KMB!AB313,KMB!AF313))=2)*(CHOOSE({1,2,3,4},KMB!W313,KMB!AA313,KMB!AE313,KMB!AI313)))</f>
        <v>0</v>
      </c>
      <c r="C313">
        <f>SUMPRODUCT((MONTH(CHOOSE({1,2,3,4},KMB!T313,KMB!X313,KMB!AB313,KMB!AF313))=3)*(CHOOSE({1,2,3,4},KMB!W313,KMB!AA313,KMB!AE313,KMB!AI313)))</f>
        <v>0</v>
      </c>
      <c r="D313">
        <f>SUMPRODUCT((MONTH(CHOOSE({1,2,3,4},KMB!T313,KMB!X313,KMB!AB313,KMB!AF313))=4)*(CHOOSE({1,2,3,4},KMB!W313,KMB!AA313,KMB!AE313,KMB!AI313)))</f>
        <v>0</v>
      </c>
      <c r="E313">
        <f>SUMPRODUCT((MONTH(CHOOSE({1,2,3,4},KMB!T313,KMB!X313,KMB!AB313,KMB!AF313))=5)*(CHOOSE({1,2,3,4},KMB!W313,KMB!AA313,KMB!AE313,KMB!AI313)))</f>
        <v>0</v>
      </c>
      <c r="F313">
        <f>SUMPRODUCT((MONTH(CHOOSE({1,2,3,4},KMB!T313,KMB!X313,KMB!AB313,KMB!AF313))=6)*(CHOOSE({1,2,3,4},KMB!W313,KMB!AA313,KMB!AE313,KMB!AI313)))</f>
        <v>0</v>
      </c>
      <c r="G313">
        <f>SUMPRODUCT((MONTH(CHOOSE({1,2,3,4},KMB!T313,KMB!X313,KMB!AB313,KMB!AF313))=7)*(CHOOSE({1,2,3,4},KMB!W313,KMB!AA313,KMB!AE313,KMB!AI313)))</f>
        <v>0</v>
      </c>
      <c r="H313">
        <f>SUMPRODUCT((MONTH(CHOOSE({1,2,3,4},KMB!T313,KMB!X313,KMB!AB313,KMB!AF313))=8)*(CHOOSE({1,2,3,4},KMB!W313,KMB!AA313,KMB!AE313,KMB!AI313)))</f>
        <v>0</v>
      </c>
      <c r="I313">
        <f>SUMPRODUCT((MONTH(CHOOSE({1,2,3,4},KMB!T313,KMB!X313,KMB!AB313,KMB!AF313))=9)*(CHOOSE({1,2,3,4},KMB!W313,KMB!AA313,KMB!AE313,KMB!AI313)))</f>
        <v>0</v>
      </c>
      <c r="J313">
        <f>SUMPRODUCT((MONTH(CHOOSE({1,2,3,4},KMB!T313,KMB!X313,KMB!AB313,KMB!AF313))=10)*(CHOOSE({1,2,3,4},KMB!W313,KMB!AA313,KMB!AE313,KMB!AI313)))</f>
        <v>0</v>
      </c>
      <c r="K313">
        <f>SUMPRODUCT((MONTH(CHOOSE({1,2,3,4},KMB!T313,KMB!X313,KMB!AB313,KMB!AF313))=11)*(CHOOSE({1,2,3,4},KMB!W313,KMB!AA313,KMB!AE313,KMB!AI313)))</f>
        <v>0</v>
      </c>
      <c r="L313">
        <f>SUMPRODUCT((MONTH(CHOOSE({1,2,3,4},KMB!T313,KMB!X313,KMB!AB313,KMB!AF313))=12)*(CHOOSE({1,2,3,4},KMB!W313,KMB!AA313,KMB!AE313,KMB!AI313)))</f>
        <v>0</v>
      </c>
    </row>
    <row r="314" spans="1:12">
      <c r="A314">
        <f>SUMPRODUCT((MONTH(CHOOSE({1,2,3,4},KMB!T314,KMB!X314,KMB!AB314,KMB!AF314))=1)*(CHOOSE({1,2,3,4},KMB!W314,KMB!AA314,KMB!AE314,KMB!AI314)))</f>
        <v>0</v>
      </c>
      <c r="B314">
        <f>SUMPRODUCT((MONTH(CHOOSE({1,2,3,4},KMB!T314,KMB!X314,KMB!AB314,KMB!AF314))=2)*(CHOOSE({1,2,3,4},KMB!W314,KMB!AA314,KMB!AE314,KMB!AI314)))</f>
        <v>0</v>
      </c>
      <c r="C314">
        <f>SUMPRODUCT((MONTH(CHOOSE({1,2,3,4},KMB!T314,KMB!X314,KMB!AB314,KMB!AF314))=3)*(CHOOSE({1,2,3,4},KMB!W314,KMB!AA314,KMB!AE314,KMB!AI314)))</f>
        <v>0</v>
      </c>
      <c r="D314">
        <f>SUMPRODUCT((MONTH(CHOOSE({1,2,3,4},KMB!T314,KMB!X314,KMB!AB314,KMB!AF314))=4)*(CHOOSE({1,2,3,4},KMB!W314,KMB!AA314,KMB!AE314,KMB!AI314)))</f>
        <v>0</v>
      </c>
      <c r="E314">
        <f>SUMPRODUCT((MONTH(CHOOSE({1,2,3,4},KMB!T314,KMB!X314,KMB!AB314,KMB!AF314))=5)*(CHOOSE({1,2,3,4},KMB!W314,KMB!AA314,KMB!AE314,KMB!AI314)))</f>
        <v>0</v>
      </c>
      <c r="F314">
        <f>SUMPRODUCT((MONTH(CHOOSE({1,2,3,4},KMB!T314,KMB!X314,KMB!AB314,KMB!AF314))=6)*(CHOOSE({1,2,3,4},KMB!W314,KMB!AA314,KMB!AE314,KMB!AI314)))</f>
        <v>0</v>
      </c>
      <c r="G314">
        <f>SUMPRODUCT((MONTH(CHOOSE({1,2,3,4},KMB!T314,KMB!X314,KMB!AB314,KMB!AF314))=7)*(CHOOSE({1,2,3,4},KMB!W314,KMB!AA314,KMB!AE314,KMB!AI314)))</f>
        <v>0</v>
      </c>
      <c r="H314">
        <f>SUMPRODUCT((MONTH(CHOOSE({1,2,3,4},KMB!T314,KMB!X314,KMB!AB314,KMB!AF314))=8)*(CHOOSE({1,2,3,4},KMB!W314,KMB!AA314,KMB!AE314,KMB!AI314)))</f>
        <v>0</v>
      </c>
      <c r="I314">
        <f>SUMPRODUCT((MONTH(CHOOSE({1,2,3,4},KMB!T314,KMB!X314,KMB!AB314,KMB!AF314))=9)*(CHOOSE({1,2,3,4},KMB!W314,KMB!AA314,KMB!AE314,KMB!AI314)))</f>
        <v>0</v>
      </c>
      <c r="J314">
        <f>SUMPRODUCT((MONTH(CHOOSE({1,2,3,4},KMB!T314,KMB!X314,KMB!AB314,KMB!AF314))=10)*(CHOOSE({1,2,3,4},KMB!W314,KMB!AA314,KMB!AE314,KMB!AI314)))</f>
        <v>0</v>
      </c>
      <c r="K314">
        <f>SUMPRODUCT((MONTH(CHOOSE({1,2,3,4},KMB!T314,KMB!X314,KMB!AB314,KMB!AF314))=11)*(CHOOSE({1,2,3,4},KMB!W314,KMB!AA314,KMB!AE314,KMB!AI314)))</f>
        <v>0</v>
      </c>
      <c r="L314">
        <f>SUMPRODUCT((MONTH(CHOOSE({1,2,3,4},KMB!T314,KMB!X314,KMB!AB314,KMB!AF314))=12)*(CHOOSE({1,2,3,4},KMB!W314,KMB!AA314,KMB!AE314,KMB!AI314)))</f>
        <v>0</v>
      </c>
    </row>
    <row r="315" spans="1:12">
      <c r="A315">
        <f>SUMPRODUCT((MONTH(CHOOSE({1,2,3,4},KMB!T315,KMB!X315,KMB!AB315,KMB!AF315))=1)*(CHOOSE({1,2,3,4},KMB!W315,KMB!AA315,KMB!AE315,KMB!AI315)))</f>
        <v>0</v>
      </c>
      <c r="B315">
        <f>SUMPRODUCT((MONTH(CHOOSE({1,2,3,4},KMB!T315,KMB!X315,KMB!AB315,KMB!AF315))=2)*(CHOOSE({1,2,3,4},KMB!W315,KMB!AA315,KMB!AE315,KMB!AI315)))</f>
        <v>0</v>
      </c>
      <c r="C315">
        <f>SUMPRODUCT((MONTH(CHOOSE({1,2,3,4},KMB!T315,KMB!X315,KMB!AB315,KMB!AF315))=3)*(CHOOSE({1,2,3,4},KMB!W315,KMB!AA315,KMB!AE315,KMB!AI315)))</f>
        <v>0</v>
      </c>
      <c r="D315">
        <f>SUMPRODUCT((MONTH(CHOOSE({1,2,3,4},KMB!T315,KMB!X315,KMB!AB315,KMB!AF315))=4)*(CHOOSE({1,2,3,4},KMB!W315,KMB!AA315,KMB!AE315,KMB!AI315)))</f>
        <v>0</v>
      </c>
      <c r="E315">
        <f>SUMPRODUCT((MONTH(CHOOSE({1,2,3,4},KMB!T315,KMB!X315,KMB!AB315,KMB!AF315))=5)*(CHOOSE({1,2,3,4},KMB!W315,KMB!AA315,KMB!AE315,KMB!AI315)))</f>
        <v>0</v>
      </c>
      <c r="F315">
        <f>SUMPRODUCT((MONTH(CHOOSE({1,2,3,4},KMB!T315,KMB!X315,KMB!AB315,KMB!AF315))=6)*(CHOOSE({1,2,3,4},KMB!W315,KMB!AA315,KMB!AE315,KMB!AI315)))</f>
        <v>0</v>
      </c>
      <c r="G315">
        <f>SUMPRODUCT((MONTH(CHOOSE({1,2,3,4},KMB!T315,KMB!X315,KMB!AB315,KMB!AF315))=7)*(CHOOSE({1,2,3,4},KMB!W315,KMB!AA315,KMB!AE315,KMB!AI315)))</f>
        <v>0</v>
      </c>
      <c r="H315">
        <f>SUMPRODUCT((MONTH(CHOOSE({1,2,3,4},KMB!T315,KMB!X315,KMB!AB315,KMB!AF315))=8)*(CHOOSE({1,2,3,4},KMB!W315,KMB!AA315,KMB!AE315,KMB!AI315)))</f>
        <v>0</v>
      </c>
      <c r="I315">
        <f>SUMPRODUCT((MONTH(CHOOSE({1,2,3,4},KMB!T315,KMB!X315,KMB!AB315,KMB!AF315))=9)*(CHOOSE({1,2,3,4},KMB!W315,KMB!AA315,KMB!AE315,KMB!AI315)))</f>
        <v>0</v>
      </c>
      <c r="J315">
        <f>SUMPRODUCT((MONTH(CHOOSE({1,2,3,4},KMB!T315,KMB!X315,KMB!AB315,KMB!AF315))=10)*(CHOOSE({1,2,3,4},KMB!W315,KMB!AA315,KMB!AE315,KMB!AI315)))</f>
        <v>0</v>
      </c>
      <c r="K315">
        <f>SUMPRODUCT((MONTH(CHOOSE({1,2,3,4},KMB!T315,KMB!X315,KMB!AB315,KMB!AF315))=11)*(CHOOSE({1,2,3,4},KMB!W315,KMB!AA315,KMB!AE315,KMB!AI315)))</f>
        <v>0</v>
      </c>
      <c r="L315">
        <f>SUMPRODUCT((MONTH(CHOOSE({1,2,3,4},KMB!T315,KMB!X315,KMB!AB315,KMB!AF315))=12)*(CHOOSE({1,2,3,4},KMB!W315,KMB!AA315,KMB!AE315,KMB!AI315)))</f>
        <v>0</v>
      </c>
    </row>
    <row r="316" spans="1:12">
      <c r="A316">
        <f>SUMPRODUCT((MONTH(CHOOSE({1,2,3,4},KMB!T316,KMB!X316,KMB!AB316,KMB!AF316))=1)*(CHOOSE({1,2,3,4},KMB!W316,KMB!AA316,KMB!AE316,KMB!AI316)))</f>
        <v>0</v>
      </c>
      <c r="B316">
        <f>SUMPRODUCT((MONTH(CHOOSE({1,2,3,4},KMB!T316,KMB!X316,KMB!AB316,KMB!AF316))=2)*(CHOOSE({1,2,3,4},KMB!W316,KMB!AA316,KMB!AE316,KMB!AI316)))</f>
        <v>0</v>
      </c>
      <c r="C316">
        <f>SUMPRODUCT((MONTH(CHOOSE({1,2,3,4},KMB!T316,KMB!X316,KMB!AB316,KMB!AF316))=3)*(CHOOSE({1,2,3,4},KMB!W316,KMB!AA316,KMB!AE316,KMB!AI316)))</f>
        <v>0</v>
      </c>
      <c r="D316">
        <f>SUMPRODUCT((MONTH(CHOOSE({1,2,3,4},KMB!T316,KMB!X316,KMB!AB316,KMB!AF316))=4)*(CHOOSE({1,2,3,4},KMB!W316,KMB!AA316,KMB!AE316,KMB!AI316)))</f>
        <v>0</v>
      </c>
      <c r="E316">
        <f>SUMPRODUCT((MONTH(CHOOSE({1,2,3,4},KMB!T316,KMB!X316,KMB!AB316,KMB!AF316))=5)*(CHOOSE({1,2,3,4},KMB!W316,KMB!AA316,KMB!AE316,KMB!AI316)))</f>
        <v>0</v>
      </c>
      <c r="F316">
        <f>SUMPRODUCT((MONTH(CHOOSE({1,2,3,4},KMB!T316,KMB!X316,KMB!AB316,KMB!AF316))=6)*(CHOOSE({1,2,3,4},KMB!W316,KMB!AA316,KMB!AE316,KMB!AI316)))</f>
        <v>0</v>
      </c>
      <c r="G316">
        <f>SUMPRODUCT((MONTH(CHOOSE({1,2,3,4},KMB!T316,KMB!X316,KMB!AB316,KMB!AF316))=7)*(CHOOSE({1,2,3,4},KMB!W316,KMB!AA316,KMB!AE316,KMB!AI316)))</f>
        <v>0</v>
      </c>
      <c r="H316">
        <f>SUMPRODUCT((MONTH(CHOOSE({1,2,3,4},KMB!T316,KMB!X316,KMB!AB316,KMB!AF316))=8)*(CHOOSE({1,2,3,4},KMB!W316,KMB!AA316,KMB!AE316,KMB!AI316)))</f>
        <v>0</v>
      </c>
      <c r="I316">
        <f>SUMPRODUCT((MONTH(CHOOSE({1,2,3,4},KMB!T316,KMB!X316,KMB!AB316,KMB!AF316))=9)*(CHOOSE({1,2,3,4},KMB!W316,KMB!AA316,KMB!AE316,KMB!AI316)))</f>
        <v>0</v>
      </c>
      <c r="J316">
        <f>SUMPRODUCT((MONTH(CHOOSE({1,2,3,4},KMB!T316,KMB!X316,KMB!AB316,KMB!AF316))=10)*(CHOOSE({1,2,3,4},KMB!W316,KMB!AA316,KMB!AE316,KMB!AI316)))</f>
        <v>0</v>
      </c>
      <c r="K316">
        <f>SUMPRODUCT((MONTH(CHOOSE({1,2,3,4},KMB!T316,KMB!X316,KMB!AB316,KMB!AF316))=11)*(CHOOSE({1,2,3,4},KMB!W316,KMB!AA316,KMB!AE316,KMB!AI316)))</f>
        <v>0</v>
      </c>
      <c r="L316">
        <f>SUMPRODUCT((MONTH(CHOOSE({1,2,3,4},KMB!T316,KMB!X316,KMB!AB316,KMB!AF316))=12)*(CHOOSE({1,2,3,4},KMB!W316,KMB!AA316,KMB!AE316,KMB!AI316)))</f>
        <v>0</v>
      </c>
    </row>
    <row r="317" spans="1:12">
      <c r="A317">
        <f>SUMPRODUCT((MONTH(CHOOSE({1,2,3,4},KMB!T317,KMB!X317,KMB!AB317,KMB!AF317))=1)*(CHOOSE({1,2,3,4},KMB!W317,KMB!AA317,KMB!AE317,KMB!AI317)))</f>
        <v>0</v>
      </c>
      <c r="B317">
        <f>SUMPRODUCT((MONTH(CHOOSE({1,2,3,4},KMB!T317,KMB!X317,KMB!AB317,KMB!AF317))=2)*(CHOOSE({1,2,3,4},KMB!W317,KMB!AA317,KMB!AE317,KMB!AI317)))</f>
        <v>0</v>
      </c>
      <c r="C317">
        <f>SUMPRODUCT((MONTH(CHOOSE({1,2,3,4},KMB!T317,KMB!X317,KMB!AB317,KMB!AF317))=3)*(CHOOSE({1,2,3,4},KMB!W317,KMB!AA317,KMB!AE317,KMB!AI317)))</f>
        <v>0</v>
      </c>
      <c r="D317">
        <f>SUMPRODUCT((MONTH(CHOOSE({1,2,3,4},KMB!T317,KMB!X317,KMB!AB317,KMB!AF317))=4)*(CHOOSE({1,2,3,4},KMB!W317,KMB!AA317,KMB!AE317,KMB!AI317)))</f>
        <v>0</v>
      </c>
      <c r="E317">
        <f>SUMPRODUCT((MONTH(CHOOSE({1,2,3,4},KMB!T317,KMB!X317,KMB!AB317,KMB!AF317))=5)*(CHOOSE({1,2,3,4},KMB!W317,KMB!AA317,KMB!AE317,KMB!AI317)))</f>
        <v>0</v>
      </c>
      <c r="F317">
        <f>SUMPRODUCT((MONTH(CHOOSE({1,2,3,4},KMB!T317,KMB!X317,KMB!AB317,KMB!AF317))=6)*(CHOOSE({1,2,3,4},KMB!W317,KMB!AA317,KMB!AE317,KMB!AI317)))</f>
        <v>0</v>
      </c>
      <c r="G317">
        <f>SUMPRODUCT((MONTH(CHOOSE({1,2,3,4},KMB!T317,KMB!X317,KMB!AB317,KMB!AF317))=7)*(CHOOSE({1,2,3,4},KMB!W317,KMB!AA317,KMB!AE317,KMB!AI317)))</f>
        <v>0</v>
      </c>
      <c r="H317">
        <f>SUMPRODUCT((MONTH(CHOOSE({1,2,3,4},KMB!T317,KMB!X317,KMB!AB317,KMB!AF317))=8)*(CHOOSE({1,2,3,4},KMB!W317,KMB!AA317,KMB!AE317,KMB!AI317)))</f>
        <v>0</v>
      </c>
      <c r="I317">
        <f>SUMPRODUCT((MONTH(CHOOSE({1,2,3,4},KMB!T317,KMB!X317,KMB!AB317,KMB!AF317))=9)*(CHOOSE({1,2,3,4},KMB!W317,KMB!AA317,KMB!AE317,KMB!AI317)))</f>
        <v>0</v>
      </c>
      <c r="J317">
        <f>SUMPRODUCT((MONTH(CHOOSE({1,2,3,4},KMB!T317,KMB!X317,KMB!AB317,KMB!AF317))=10)*(CHOOSE({1,2,3,4},KMB!W317,KMB!AA317,KMB!AE317,KMB!AI317)))</f>
        <v>0</v>
      </c>
      <c r="K317">
        <f>SUMPRODUCT((MONTH(CHOOSE({1,2,3,4},KMB!T317,KMB!X317,KMB!AB317,KMB!AF317))=11)*(CHOOSE({1,2,3,4},KMB!W317,KMB!AA317,KMB!AE317,KMB!AI317)))</f>
        <v>0</v>
      </c>
      <c r="L317">
        <f>SUMPRODUCT((MONTH(CHOOSE({1,2,3,4},KMB!T317,KMB!X317,KMB!AB317,KMB!AF317))=12)*(CHOOSE({1,2,3,4},KMB!W317,KMB!AA317,KMB!AE317,KMB!AI317)))</f>
        <v>0</v>
      </c>
    </row>
    <row r="318" spans="1:12">
      <c r="A318">
        <f>SUMPRODUCT((MONTH(CHOOSE({1,2,3,4},KMB!T318,KMB!X318,KMB!AB318,KMB!AF318))=1)*(CHOOSE({1,2,3,4},KMB!W318,KMB!AA318,KMB!AE318,KMB!AI318)))</f>
        <v>0</v>
      </c>
      <c r="B318">
        <f>SUMPRODUCT((MONTH(CHOOSE({1,2,3,4},KMB!T318,KMB!X318,KMB!AB318,KMB!AF318))=2)*(CHOOSE({1,2,3,4},KMB!W318,KMB!AA318,KMB!AE318,KMB!AI318)))</f>
        <v>0</v>
      </c>
      <c r="C318">
        <f>SUMPRODUCT((MONTH(CHOOSE({1,2,3,4},KMB!T318,KMB!X318,KMB!AB318,KMB!AF318))=3)*(CHOOSE({1,2,3,4},KMB!W318,KMB!AA318,KMB!AE318,KMB!AI318)))</f>
        <v>0</v>
      </c>
      <c r="D318">
        <f>SUMPRODUCT((MONTH(CHOOSE({1,2,3,4},KMB!T318,KMB!X318,KMB!AB318,KMB!AF318))=4)*(CHOOSE({1,2,3,4},KMB!W318,KMB!AA318,KMB!AE318,KMB!AI318)))</f>
        <v>0</v>
      </c>
      <c r="E318">
        <f>SUMPRODUCT((MONTH(CHOOSE({1,2,3,4},KMB!T318,KMB!X318,KMB!AB318,KMB!AF318))=5)*(CHOOSE({1,2,3,4},KMB!W318,KMB!AA318,KMB!AE318,KMB!AI318)))</f>
        <v>0</v>
      </c>
      <c r="F318">
        <f>SUMPRODUCT((MONTH(CHOOSE({1,2,3,4},KMB!T318,KMB!X318,KMB!AB318,KMB!AF318))=6)*(CHOOSE({1,2,3,4},KMB!W318,KMB!AA318,KMB!AE318,KMB!AI318)))</f>
        <v>0</v>
      </c>
      <c r="G318">
        <f>SUMPRODUCT((MONTH(CHOOSE({1,2,3,4},KMB!T318,KMB!X318,KMB!AB318,KMB!AF318))=7)*(CHOOSE({1,2,3,4},KMB!W318,KMB!AA318,KMB!AE318,KMB!AI318)))</f>
        <v>0</v>
      </c>
      <c r="H318">
        <f>SUMPRODUCT((MONTH(CHOOSE({1,2,3,4},KMB!T318,KMB!X318,KMB!AB318,KMB!AF318))=8)*(CHOOSE({1,2,3,4},KMB!W318,KMB!AA318,KMB!AE318,KMB!AI318)))</f>
        <v>0</v>
      </c>
      <c r="I318">
        <f>SUMPRODUCT((MONTH(CHOOSE({1,2,3,4},KMB!T318,KMB!X318,KMB!AB318,KMB!AF318))=9)*(CHOOSE({1,2,3,4},KMB!W318,KMB!AA318,KMB!AE318,KMB!AI318)))</f>
        <v>0</v>
      </c>
      <c r="J318">
        <f>SUMPRODUCT((MONTH(CHOOSE({1,2,3,4},KMB!T318,KMB!X318,KMB!AB318,KMB!AF318))=10)*(CHOOSE({1,2,3,4},KMB!W318,KMB!AA318,KMB!AE318,KMB!AI318)))</f>
        <v>0</v>
      </c>
      <c r="K318">
        <f>SUMPRODUCT((MONTH(CHOOSE({1,2,3,4},KMB!T318,KMB!X318,KMB!AB318,KMB!AF318))=11)*(CHOOSE({1,2,3,4},KMB!W318,KMB!AA318,KMB!AE318,KMB!AI318)))</f>
        <v>0</v>
      </c>
      <c r="L318">
        <f>SUMPRODUCT((MONTH(CHOOSE({1,2,3,4},KMB!T318,KMB!X318,KMB!AB318,KMB!AF318))=12)*(CHOOSE({1,2,3,4},KMB!W318,KMB!AA318,KMB!AE318,KMB!AI318)))</f>
        <v>0</v>
      </c>
    </row>
    <row r="319" spans="1:12">
      <c r="A319">
        <f>SUMPRODUCT((MONTH(CHOOSE({1,2,3,4},KMB!T319,KMB!X319,KMB!AB319,KMB!AF319))=1)*(CHOOSE({1,2,3,4},KMB!W319,KMB!AA319,KMB!AE319,KMB!AI319)))</f>
        <v>0</v>
      </c>
      <c r="B319">
        <f>SUMPRODUCT((MONTH(CHOOSE({1,2,3,4},KMB!T319,KMB!X319,KMB!AB319,KMB!AF319))=2)*(CHOOSE({1,2,3,4},KMB!W319,KMB!AA319,KMB!AE319,KMB!AI319)))</f>
        <v>0</v>
      </c>
      <c r="C319">
        <f>SUMPRODUCT((MONTH(CHOOSE({1,2,3,4},KMB!T319,KMB!X319,KMB!AB319,KMB!AF319))=3)*(CHOOSE({1,2,3,4},KMB!W319,KMB!AA319,KMB!AE319,KMB!AI319)))</f>
        <v>0</v>
      </c>
      <c r="D319">
        <f>SUMPRODUCT((MONTH(CHOOSE({1,2,3,4},KMB!T319,KMB!X319,KMB!AB319,KMB!AF319))=4)*(CHOOSE({1,2,3,4},KMB!W319,KMB!AA319,KMB!AE319,KMB!AI319)))</f>
        <v>0</v>
      </c>
      <c r="E319">
        <f>SUMPRODUCT((MONTH(CHOOSE({1,2,3,4},KMB!T319,KMB!X319,KMB!AB319,KMB!AF319))=5)*(CHOOSE({1,2,3,4},KMB!W319,KMB!AA319,KMB!AE319,KMB!AI319)))</f>
        <v>0</v>
      </c>
      <c r="F319">
        <f>SUMPRODUCT((MONTH(CHOOSE({1,2,3,4},KMB!T319,KMB!X319,KMB!AB319,KMB!AF319))=6)*(CHOOSE({1,2,3,4},KMB!W319,KMB!AA319,KMB!AE319,KMB!AI319)))</f>
        <v>0</v>
      </c>
      <c r="G319">
        <f>SUMPRODUCT((MONTH(CHOOSE({1,2,3,4},KMB!T319,KMB!X319,KMB!AB319,KMB!AF319))=7)*(CHOOSE({1,2,3,4},KMB!W319,KMB!AA319,KMB!AE319,KMB!AI319)))</f>
        <v>0</v>
      </c>
      <c r="H319">
        <f>SUMPRODUCT((MONTH(CHOOSE({1,2,3,4},KMB!T319,KMB!X319,KMB!AB319,KMB!AF319))=8)*(CHOOSE({1,2,3,4},KMB!W319,KMB!AA319,KMB!AE319,KMB!AI319)))</f>
        <v>0</v>
      </c>
      <c r="I319">
        <f>SUMPRODUCT((MONTH(CHOOSE({1,2,3,4},KMB!T319,KMB!X319,KMB!AB319,KMB!AF319))=9)*(CHOOSE({1,2,3,4},KMB!W319,KMB!AA319,KMB!AE319,KMB!AI319)))</f>
        <v>0</v>
      </c>
      <c r="J319">
        <f>SUMPRODUCT((MONTH(CHOOSE({1,2,3,4},KMB!T319,KMB!X319,KMB!AB319,KMB!AF319))=10)*(CHOOSE({1,2,3,4},KMB!W319,KMB!AA319,KMB!AE319,KMB!AI319)))</f>
        <v>0</v>
      </c>
      <c r="K319">
        <f>SUMPRODUCT((MONTH(CHOOSE({1,2,3,4},KMB!T319,KMB!X319,KMB!AB319,KMB!AF319))=11)*(CHOOSE({1,2,3,4},KMB!W319,KMB!AA319,KMB!AE319,KMB!AI319)))</f>
        <v>0</v>
      </c>
      <c r="L319">
        <f>SUMPRODUCT((MONTH(CHOOSE({1,2,3,4},KMB!T319,KMB!X319,KMB!AB319,KMB!AF319))=12)*(CHOOSE({1,2,3,4},KMB!W319,KMB!AA319,KMB!AE319,KMB!AI319)))</f>
        <v>0</v>
      </c>
    </row>
    <row r="320" spans="1:12">
      <c r="A320">
        <f>SUMPRODUCT((MONTH(CHOOSE({1,2,3,4},KMB!T320,KMB!X320,KMB!AB320,KMB!AF320))=1)*(CHOOSE({1,2,3,4},KMB!W320,KMB!AA320,KMB!AE320,KMB!AI320)))</f>
        <v>0</v>
      </c>
      <c r="B320">
        <f>SUMPRODUCT((MONTH(CHOOSE({1,2,3,4},KMB!T320,KMB!X320,KMB!AB320,KMB!AF320))=2)*(CHOOSE({1,2,3,4},KMB!W320,KMB!AA320,KMB!AE320,KMB!AI320)))</f>
        <v>0</v>
      </c>
      <c r="C320">
        <f>SUMPRODUCT((MONTH(CHOOSE({1,2,3,4},KMB!T320,KMB!X320,KMB!AB320,KMB!AF320))=3)*(CHOOSE({1,2,3,4},KMB!W320,KMB!AA320,KMB!AE320,KMB!AI320)))</f>
        <v>0</v>
      </c>
      <c r="D320">
        <f>SUMPRODUCT((MONTH(CHOOSE({1,2,3,4},KMB!T320,KMB!X320,KMB!AB320,KMB!AF320))=4)*(CHOOSE({1,2,3,4},KMB!W320,KMB!AA320,KMB!AE320,KMB!AI320)))</f>
        <v>0</v>
      </c>
      <c r="E320">
        <f>SUMPRODUCT((MONTH(CHOOSE({1,2,3,4},KMB!T320,KMB!X320,KMB!AB320,KMB!AF320))=5)*(CHOOSE({1,2,3,4},KMB!W320,KMB!AA320,KMB!AE320,KMB!AI320)))</f>
        <v>0</v>
      </c>
      <c r="F320">
        <f>SUMPRODUCT((MONTH(CHOOSE({1,2,3,4},KMB!T320,KMB!X320,KMB!AB320,KMB!AF320))=6)*(CHOOSE({1,2,3,4},KMB!W320,KMB!AA320,KMB!AE320,KMB!AI320)))</f>
        <v>0</v>
      </c>
      <c r="G320">
        <f>SUMPRODUCT((MONTH(CHOOSE({1,2,3,4},KMB!T320,KMB!X320,KMB!AB320,KMB!AF320))=7)*(CHOOSE({1,2,3,4},KMB!W320,KMB!AA320,KMB!AE320,KMB!AI320)))</f>
        <v>0</v>
      </c>
      <c r="H320">
        <f>SUMPRODUCT((MONTH(CHOOSE({1,2,3,4},KMB!T320,KMB!X320,KMB!AB320,KMB!AF320))=8)*(CHOOSE({1,2,3,4},KMB!W320,KMB!AA320,KMB!AE320,KMB!AI320)))</f>
        <v>0</v>
      </c>
      <c r="I320">
        <f>SUMPRODUCT((MONTH(CHOOSE({1,2,3,4},KMB!T320,KMB!X320,KMB!AB320,KMB!AF320))=9)*(CHOOSE({1,2,3,4},KMB!W320,KMB!AA320,KMB!AE320,KMB!AI320)))</f>
        <v>0</v>
      </c>
      <c r="J320">
        <f>SUMPRODUCT((MONTH(CHOOSE({1,2,3,4},KMB!T320,KMB!X320,KMB!AB320,KMB!AF320))=10)*(CHOOSE({1,2,3,4},KMB!W320,KMB!AA320,KMB!AE320,KMB!AI320)))</f>
        <v>0</v>
      </c>
      <c r="K320">
        <f>SUMPRODUCT((MONTH(CHOOSE({1,2,3,4},KMB!T320,KMB!X320,KMB!AB320,KMB!AF320))=11)*(CHOOSE({1,2,3,4},KMB!W320,KMB!AA320,KMB!AE320,KMB!AI320)))</f>
        <v>0</v>
      </c>
      <c r="L320">
        <f>SUMPRODUCT((MONTH(CHOOSE({1,2,3,4},KMB!T320,KMB!X320,KMB!AB320,KMB!AF320))=12)*(CHOOSE({1,2,3,4},KMB!W320,KMB!AA320,KMB!AE320,KMB!AI320)))</f>
        <v>0</v>
      </c>
    </row>
    <row r="321" spans="1:12">
      <c r="A321">
        <f>SUMPRODUCT((MONTH(CHOOSE({1,2,3,4},KMB!T321,KMB!X321,KMB!AB321,KMB!AF321))=1)*(CHOOSE({1,2,3,4},KMB!W321,KMB!AA321,KMB!AE321,KMB!AI321)))</f>
        <v>0</v>
      </c>
      <c r="B321">
        <f>SUMPRODUCT((MONTH(CHOOSE({1,2,3,4},KMB!T321,KMB!X321,KMB!AB321,KMB!AF321))=2)*(CHOOSE({1,2,3,4},KMB!W321,KMB!AA321,KMB!AE321,KMB!AI321)))</f>
        <v>0</v>
      </c>
      <c r="C321">
        <f>SUMPRODUCT((MONTH(CHOOSE({1,2,3,4},KMB!T321,KMB!X321,KMB!AB321,KMB!AF321))=3)*(CHOOSE({1,2,3,4},KMB!W321,KMB!AA321,KMB!AE321,KMB!AI321)))</f>
        <v>0</v>
      </c>
      <c r="D321">
        <f>SUMPRODUCT((MONTH(CHOOSE({1,2,3,4},KMB!T321,KMB!X321,KMB!AB321,KMB!AF321))=4)*(CHOOSE({1,2,3,4},KMB!W321,KMB!AA321,KMB!AE321,KMB!AI321)))</f>
        <v>0</v>
      </c>
      <c r="E321">
        <f>SUMPRODUCT((MONTH(CHOOSE({1,2,3,4},KMB!T321,KMB!X321,KMB!AB321,KMB!AF321))=5)*(CHOOSE({1,2,3,4},KMB!W321,KMB!AA321,KMB!AE321,KMB!AI321)))</f>
        <v>0</v>
      </c>
      <c r="F321">
        <f>SUMPRODUCT((MONTH(CHOOSE({1,2,3,4},KMB!T321,KMB!X321,KMB!AB321,KMB!AF321))=6)*(CHOOSE({1,2,3,4},KMB!W321,KMB!AA321,KMB!AE321,KMB!AI321)))</f>
        <v>0</v>
      </c>
      <c r="G321">
        <f>SUMPRODUCT((MONTH(CHOOSE({1,2,3,4},KMB!T321,KMB!X321,KMB!AB321,KMB!AF321))=7)*(CHOOSE({1,2,3,4},KMB!W321,KMB!AA321,KMB!AE321,KMB!AI321)))</f>
        <v>0</v>
      </c>
      <c r="H321">
        <f>SUMPRODUCT((MONTH(CHOOSE({1,2,3,4},KMB!T321,KMB!X321,KMB!AB321,KMB!AF321))=8)*(CHOOSE({1,2,3,4},KMB!W321,KMB!AA321,KMB!AE321,KMB!AI321)))</f>
        <v>0</v>
      </c>
      <c r="I321">
        <f>SUMPRODUCT((MONTH(CHOOSE({1,2,3,4},KMB!T321,KMB!X321,KMB!AB321,KMB!AF321))=9)*(CHOOSE({1,2,3,4},KMB!W321,KMB!AA321,KMB!AE321,KMB!AI321)))</f>
        <v>0</v>
      </c>
      <c r="J321">
        <f>SUMPRODUCT((MONTH(CHOOSE({1,2,3,4},KMB!T321,KMB!X321,KMB!AB321,KMB!AF321))=10)*(CHOOSE({1,2,3,4},KMB!W321,KMB!AA321,KMB!AE321,KMB!AI321)))</f>
        <v>0</v>
      </c>
      <c r="K321">
        <f>SUMPRODUCT((MONTH(CHOOSE({1,2,3,4},KMB!T321,KMB!X321,KMB!AB321,KMB!AF321))=11)*(CHOOSE({1,2,3,4},KMB!W321,KMB!AA321,KMB!AE321,KMB!AI321)))</f>
        <v>0</v>
      </c>
      <c r="L321">
        <f>SUMPRODUCT((MONTH(CHOOSE({1,2,3,4},KMB!T321,KMB!X321,KMB!AB321,KMB!AF321))=12)*(CHOOSE({1,2,3,4},KMB!W321,KMB!AA321,KMB!AE321,KMB!AI321)))</f>
        <v>0</v>
      </c>
    </row>
    <row r="322" spans="1:12">
      <c r="A322">
        <f>SUMPRODUCT((MONTH(CHOOSE({1,2,3,4},KMB!T322,KMB!X322,KMB!AB322,KMB!AF322))=1)*(CHOOSE({1,2,3,4},KMB!W322,KMB!AA322,KMB!AE322,KMB!AI322)))</f>
        <v>0</v>
      </c>
      <c r="B322">
        <f>SUMPRODUCT((MONTH(CHOOSE({1,2,3,4},KMB!T322,KMB!X322,KMB!AB322,KMB!AF322))=2)*(CHOOSE({1,2,3,4},KMB!W322,KMB!AA322,KMB!AE322,KMB!AI322)))</f>
        <v>0</v>
      </c>
      <c r="C322">
        <f>SUMPRODUCT((MONTH(CHOOSE({1,2,3,4},KMB!T322,KMB!X322,KMB!AB322,KMB!AF322))=3)*(CHOOSE({1,2,3,4},KMB!W322,KMB!AA322,KMB!AE322,KMB!AI322)))</f>
        <v>0</v>
      </c>
      <c r="D322">
        <f>SUMPRODUCT((MONTH(CHOOSE({1,2,3,4},KMB!T322,KMB!X322,KMB!AB322,KMB!AF322))=4)*(CHOOSE({1,2,3,4},KMB!W322,KMB!AA322,KMB!AE322,KMB!AI322)))</f>
        <v>0</v>
      </c>
      <c r="E322">
        <f>SUMPRODUCT((MONTH(CHOOSE({1,2,3,4},KMB!T322,KMB!X322,KMB!AB322,KMB!AF322))=5)*(CHOOSE({1,2,3,4},KMB!W322,KMB!AA322,KMB!AE322,KMB!AI322)))</f>
        <v>0</v>
      </c>
      <c r="F322">
        <f>SUMPRODUCT((MONTH(CHOOSE({1,2,3,4},KMB!T322,KMB!X322,KMB!AB322,KMB!AF322))=6)*(CHOOSE({1,2,3,4},KMB!W322,KMB!AA322,KMB!AE322,KMB!AI322)))</f>
        <v>0</v>
      </c>
      <c r="G322">
        <f>SUMPRODUCT((MONTH(CHOOSE({1,2,3,4},KMB!T322,KMB!X322,KMB!AB322,KMB!AF322))=7)*(CHOOSE({1,2,3,4},KMB!W322,KMB!AA322,KMB!AE322,KMB!AI322)))</f>
        <v>0</v>
      </c>
      <c r="H322">
        <f>SUMPRODUCT((MONTH(CHOOSE({1,2,3,4},KMB!T322,KMB!X322,KMB!AB322,KMB!AF322))=8)*(CHOOSE({1,2,3,4},KMB!W322,KMB!AA322,KMB!AE322,KMB!AI322)))</f>
        <v>0</v>
      </c>
      <c r="I322">
        <f>SUMPRODUCT((MONTH(CHOOSE({1,2,3,4},KMB!T322,KMB!X322,KMB!AB322,KMB!AF322))=9)*(CHOOSE({1,2,3,4},KMB!W322,KMB!AA322,KMB!AE322,KMB!AI322)))</f>
        <v>0</v>
      </c>
      <c r="J322">
        <f>SUMPRODUCT((MONTH(CHOOSE({1,2,3,4},KMB!T322,KMB!X322,KMB!AB322,KMB!AF322))=10)*(CHOOSE({1,2,3,4},KMB!W322,KMB!AA322,KMB!AE322,KMB!AI322)))</f>
        <v>0</v>
      </c>
      <c r="K322">
        <f>SUMPRODUCT((MONTH(CHOOSE({1,2,3,4},KMB!T322,KMB!X322,KMB!AB322,KMB!AF322))=11)*(CHOOSE({1,2,3,4},KMB!W322,KMB!AA322,KMB!AE322,KMB!AI322)))</f>
        <v>0</v>
      </c>
      <c r="L322">
        <f>SUMPRODUCT((MONTH(CHOOSE({1,2,3,4},KMB!T322,KMB!X322,KMB!AB322,KMB!AF322))=12)*(CHOOSE({1,2,3,4},KMB!W322,KMB!AA322,KMB!AE322,KMB!AI322)))</f>
        <v>0</v>
      </c>
    </row>
    <row r="323" spans="1:12">
      <c r="A323">
        <f>SUMPRODUCT((MONTH(CHOOSE({1,2,3,4},KMB!T323,KMB!X323,KMB!AB323,KMB!AF323))=1)*(CHOOSE({1,2,3,4},KMB!W323,KMB!AA323,KMB!AE323,KMB!AI323)))</f>
        <v>0</v>
      </c>
      <c r="B323">
        <f>SUMPRODUCT((MONTH(CHOOSE({1,2,3,4},KMB!T323,KMB!X323,KMB!AB323,KMB!AF323))=2)*(CHOOSE({1,2,3,4},KMB!W323,KMB!AA323,KMB!AE323,KMB!AI323)))</f>
        <v>0</v>
      </c>
      <c r="C323">
        <f>SUMPRODUCT((MONTH(CHOOSE({1,2,3,4},KMB!T323,KMB!X323,KMB!AB323,KMB!AF323))=3)*(CHOOSE({1,2,3,4},KMB!W323,KMB!AA323,KMB!AE323,KMB!AI323)))</f>
        <v>0</v>
      </c>
      <c r="D323">
        <f>SUMPRODUCT((MONTH(CHOOSE({1,2,3,4},KMB!T323,KMB!X323,KMB!AB323,KMB!AF323))=4)*(CHOOSE({1,2,3,4},KMB!W323,KMB!AA323,KMB!AE323,KMB!AI323)))</f>
        <v>0</v>
      </c>
      <c r="E323">
        <f>SUMPRODUCT((MONTH(CHOOSE({1,2,3,4},KMB!T323,KMB!X323,KMB!AB323,KMB!AF323))=5)*(CHOOSE({1,2,3,4},KMB!W323,KMB!AA323,KMB!AE323,KMB!AI323)))</f>
        <v>0</v>
      </c>
      <c r="F323">
        <f>SUMPRODUCT((MONTH(CHOOSE({1,2,3,4},KMB!T323,KMB!X323,KMB!AB323,KMB!AF323))=6)*(CHOOSE({1,2,3,4},KMB!W323,KMB!AA323,KMB!AE323,KMB!AI323)))</f>
        <v>0</v>
      </c>
      <c r="G323">
        <f>SUMPRODUCT((MONTH(CHOOSE({1,2,3,4},KMB!T323,KMB!X323,KMB!AB323,KMB!AF323))=7)*(CHOOSE({1,2,3,4},KMB!W323,KMB!AA323,KMB!AE323,KMB!AI323)))</f>
        <v>0</v>
      </c>
      <c r="H323">
        <f>SUMPRODUCT((MONTH(CHOOSE({1,2,3,4},KMB!T323,KMB!X323,KMB!AB323,KMB!AF323))=8)*(CHOOSE({1,2,3,4},KMB!W323,KMB!AA323,KMB!AE323,KMB!AI323)))</f>
        <v>0</v>
      </c>
      <c r="I323">
        <f>SUMPRODUCT((MONTH(CHOOSE({1,2,3,4},KMB!T323,KMB!X323,KMB!AB323,KMB!AF323))=9)*(CHOOSE({1,2,3,4},KMB!W323,KMB!AA323,KMB!AE323,KMB!AI323)))</f>
        <v>0</v>
      </c>
      <c r="J323">
        <f>SUMPRODUCT((MONTH(CHOOSE({1,2,3,4},KMB!T323,KMB!X323,KMB!AB323,KMB!AF323))=10)*(CHOOSE({1,2,3,4},KMB!W323,KMB!AA323,KMB!AE323,KMB!AI323)))</f>
        <v>0</v>
      </c>
      <c r="K323">
        <f>SUMPRODUCT((MONTH(CHOOSE({1,2,3,4},KMB!T323,KMB!X323,KMB!AB323,KMB!AF323))=11)*(CHOOSE({1,2,3,4},KMB!W323,KMB!AA323,KMB!AE323,KMB!AI323)))</f>
        <v>0</v>
      </c>
      <c r="L323">
        <f>SUMPRODUCT((MONTH(CHOOSE({1,2,3,4},KMB!T323,KMB!X323,KMB!AB323,KMB!AF323))=12)*(CHOOSE({1,2,3,4},KMB!W323,KMB!AA323,KMB!AE323,KMB!AI323)))</f>
        <v>0</v>
      </c>
    </row>
    <row r="324" spans="1:12">
      <c r="A324">
        <f>SUMPRODUCT((MONTH(CHOOSE({1,2,3,4},KMB!T324,KMB!X324,KMB!AB324,KMB!AF324))=1)*(CHOOSE({1,2,3,4},KMB!W324,KMB!AA324,KMB!AE324,KMB!AI324)))</f>
        <v>0</v>
      </c>
      <c r="B324">
        <f>SUMPRODUCT((MONTH(CHOOSE({1,2,3,4},KMB!T324,KMB!X324,KMB!AB324,KMB!AF324))=2)*(CHOOSE({1,2,3,4},KMB!W324,KMB!AA324,KMB!AE324,KMB!AI324)))</f>
        <v>0</v>
      </c>
      <c r="C324">
        <f>SUMPRODUCT((MONTH(CHOOSE({1,2,3,4},KMB!T324,KMB!X324,KMB!AB324,KMB!AF324))=3)*(CHOOSE({1,2,3,4},KMB!W324,KMB!AA324,KMB!AE324,KMB!AI324)))</f>
        <v>0</v>
      </c>
      <c r="D324">
        <f>SUMPRODUCT((MONTH(CHOOSE({1,2,3,4},KMB!T324,KMB!X324,KMB!AB324,KMB!AF324))=4)*(CHOOSE({1,2,3,4},KMB!W324,KMB!AA324,KMB!AE324,KMB!AI324)))</f>
        <v>0</v>
      </c>
      <c r="E324">
        <f>SUMPRODUCT((MONTH(CHOOSE({1,2,3,4},KMB!T324,KMB!X324,KMB!AB324,KMB!AF324))=5)*(CHOOSE({1,2,3,4},KMB!W324,KMB!AA324,KMB!AE324,KMB!AI324)))</f>
        <v>0</v>
      </c>
      <c r="F324">
        <f>SUMPRODUCT((MONTH(CHOOSE({1,2,3,4},KMB!T324,KMB!X324,KMB!AB324,KMB!AF324))=6)*(CHOOSE({1,2,3,4},KMB!W324,KMB!AA324,KMB!AE324,KMB!AI324)))</f>
        <v>0</v>
      </c>
      <c r="G324">
        <f>SUMPRODUCT((MONTH(CHOOSE({1,2,3,4},KMB!T324,KMB!X324,KMB!AB324,KMB!AF324))=7)*(CHOOSE({1,2,3,4},KMB!W324,KMB!AA324,KMB!AE324,KMB!AI324)))</f>
        <v>0</v>
      </c>
      <c r="H324">
        <f>SUMPRODUCT((MONTH(CHOOSE({1,2,3,4},KMB!T324,KMB!X324,KMB!AB324,KMB!AF324))=8)*(CHOOSE({1,2,3,4},KMB!W324,KMB!AA324,KMB!AE324,KMB!AI324)))</f>
        <v>0</v>
      </c>
      <c r="I324">
        <f>SUMPRODUCT((MONTH(CHOOSE({1,2,3,4},KMB!T324,KMB!X324,KMB!AB324,KMB!AF324))=9)*(CHOOSE({1,2,3,4},KMB!W324,KMB!AA324,KMB!AE324,KMB!AI324)))</f>
        <v>0</v>
      </c>
      <c r="J324">
        <f>SUMPRODUCT((MONTH(CHOOSE({1,2,3,4},KMB!T324,KMB!X324,KMB!AB324,KMB!AF324))=10)*(CHOOSE({1,2,3,4},KMB!W324,KMB!AA324,KMB!AE324,KMB!AI324)))</f>
        <v>0</v>
      </c>
      <c r="K324">
        <f>SUMPRODUCT((MONTH(CHOOSE({1,2,3,4},KMB!T324,KMB!X324,KMB!AB324,KMB!AF324))=11)*(CHOOSE({1,2,3,4},KMB!W324,KMB!AA324,KMB!AE324,KMB!AI324)))</f>
        <v>0</v>
      </c>
      <c r="L324">
        <f>SUMPRODUCT((MONTH(CHOOSE({1,2,3,4},KMB!T324,KMB!X324,KMB!AB324,KMB!AF324))=12)*(CHOOSE({1,2,3,4},KMB!W324,KMB!AA324,KMB!AE324,KMB!AI324)))</f>
        <v>0</v>
      </c>
    </row>
    <row r="325" spans="1:12">
      <c r="A325">
        <f>SUMPRODUCT((MONTH(CHOOSE({1,2,3,4},KMB!T325,KMB!X325,KMB!AB325,KMB!AF325))=1)*(CHOOSE({1,2,3,4},KMB!W325,KMB!AA325,KMB!AE325,KMB!AI325)))</f>
        <v>0</v>
      </c>
      <c r="B325">
        <f>SUMPRODUCT((MONTH(CHOOSE({1,2,3,4},KMB!T325,KMB!X325,KMB!AB325,KMB!AF325))=2)*(CHOOSE({1,2,3,4},KMB!W325,KMB!AA325,KMB!AE325,KMB!AI325)))</f>
        <v>0</v>
      </c>
      <c r="C325">
        <f>SUMPRODUCT((MONTH(CHOOSE({1,2,3,4},KMB!T325,KMB!X325,KMB!AB325,KMB!AF325))=3)*(CHOOSE({1,2,3,4},KMB!W325,KMB!AA325,KMB!AE325,KMB!AI325)))</f>
        <v>0</v>
      </c>
      <c r="D325">
        <f>SUMPRODUCT((MONTH(CHOOSE({1,2,3,4},KMB!T325,KMB!X325,KMB!AB325,KMB!AF325))=4)*(CHOOSE({1,2,3,4},KMB!W325,KMB!AA325,KMB!AE325,KMB!AI325)))</f>
        <v>0</v>
      </c>
      <c r="E325">
        <f>SUMPRODUCT((MONTH(CHOOSE({1,2,3,4},KMB!T325,KMB!X325,KMB!AB325,KMB!AF325))=5)*(CHOOSE({1,2,3,4},KMB!W325,KMB!AA325,KMB!AE325,KMB!AI325)))</f>
        <v>0</v>
      </c>
      <c r="F325">
        <f>SUMPRODUCT((MONTH(CHOOSE({1,2,3,4},KMB!T325,KMB!X325,KMB!AB325,KMB!AF325))=6)*(CHOOSE({1,2,3,4},KMB!W325,KMB!AA325,KMB!AE325,KMB!AI325)))</f>
        <v>0</v>
      </c>
      <c r="G325">
        <f>SUMPRODUCT((MONTH(CHOOSE({1,2,3,4},KMB!T325,KMB!X325,KMB!AB325,KMB!AF325))=7)*(CHOOSE({1,2,3,4},KMB!W325,KMB!AA325,KMB!AE325,KMB!AI325)))</f>
        <v>0</v>
      </c>
      <c r="H325">
        <f>SUMPRODUCT((MONTH(CHOOSE({1,2,3,4},KMB!T325,KMB!X325,KMB!AB325,KMB!AF325))=8)*(CHOOSE({1,2,3,4},KMB!W325,KMB!AA325,KMB!AE325,KMB!AI325)))</f>
        <v>0</v>
      </c>
      <c r="I325">
        <f>SUMPRODUCT((MONTH(CHOOSE({1,2,3,4},KMB!T325,KMB!X325,KMB!AB325,KMB!AF325))=9)*(CHOOSE({1,2,3,4},KMB!W325,KMB!AA325,KMB!AE325,KMB!AI325)))</f>
        <v>0</v>
      </c>
      <c r="J325">
        <f>SUMPRODUCT((MONTH(CHOOSE({1,2,3,4},KMB!T325,KMB!X325,KMB!AB325,KMB!AF325))=10)*(CHOOSE({1,2,3,4},KMB!W325,KMB!AA325,KMB!AE325,KMB!AI325)))</f>
        <v>0</v>
      </c>
      <c r="K325">
        <f>SUMPRODUCT((MONTH(CHOOSE({1,2,3,4},KMB!T325,KMB!X325,KMB!AB325,KMB!AF325))=11)*(CHOOSE({1,2,3,4},KMB!W325,KMB!AA325,KMB!AE325,KMB!AI325)))</f>
        <v>0</v>
      </c>
      <c r="L325">
        <f>SUMPRODUCT((MONTH(CHOOSE({1,2,3,4},KMB!T325,KMB!X325,KMB!AB325,KMB!AF325))=12)*(CHOOSE({1,2,3,4},KMB!W325,KMB!AA325,KMB!AE325,KMB!AI325)))</f>
        <v>0</v>
      </c>
    </row>
    <row r="326" spans="1:12">
      <c r="A326">
        <f>SUMPRODUCT((MONTH(CHOOSE({1,2,3,4},KMB!T326,KMB!X326,KMB!AB326,KMB!AF326))=1)*(CHOOSE({1,2,3,4},KMB!W326,KMB!AA326,KMB!AE326,KMB!AI326)))</f>
        <v>0</v>
      </c>
      <c r="B326">
        <f>SUMPRODUCT((MONTH(CHOOSE({1,2,3,4},KMB!T326,KMB!X326,KMB!AB326,KMB!AF326))=2)*(CHOOSE({1,2,3,4},KMB!W326,KMB!AA326,KMB!AE326,KMB!AI326)))</f>
        <v>0</v>
      </c>
      <c r="C326">
        <f>SUMPRODUCT((MONTH(CHOOSE({1,2,3,4},KMB!T326,KMB!X326,KMB!AB326,KMB!AF326))=3)*(CHOOSE({1,2,3,4},KMB!W326,KMB!AA326,KMB!AE326,KMB!AI326)))</f>
        <v>0</v>
      </c>
      <c r="D326">
        <f>SUMPRODUCT((MONTH(CHOOSE({1,2,3,4},KMB!T326,KMB!X326,KMB!AB326,KMB!AF326))=4)*(CHOOSE({1,2,3,4},KMB!W326,KMB!AA326,KMB!AE326,KMB!AI326)))</f>
        <v>0</v>
      </c>
      <c r="E326">
        <f>SUMPRODUCT((MONTH(CHOOSE({1,2,3,4},KMB!T326,KMB!X326,KMB!AB326,KMB!AF326))=5)*(CHOOSE({1,2,3,4},KMB!W326,KMB!AA326,KMB!AE326,KMB!AI326)))</f>
        <v>0</v>
      </c>
      <c r="F326">
        <f>SUMPRODUCT((MONTH(CHOOSE({1,2,3,4},KMB!T326,KMB!X326,KMB!AB326,KMB!AF326))=6)*(CHOOSE({1,2,3,4},KMB!W326,KMB!AA326,KMB!AE326,KMB!AI326)))</f>
        <v>0</v>
      </c>
      <c r="G326">
        <f>SUMPRODUCT((MONTH(CHOOSE({1,2,3,4},KMB!T326,KMB!X326,KMB!AB326,KMB!AF326))=7)*(CHOOSE({1,2,3,4},KMB!W326,KMB!AA326,KMB!AE326,KMB!AI326)))</f>
        <v>0</v>
      </c>
      <c r="H326">
        <f>SUMPRODUCT((MONTH(CHOOSE({1,2,3,4},KMB!T326,KMB!X326,KMB!AB326,KMB!AF326))=8)*(CHOOSE({1,2,3,4},KMB!W326,KMB!AA326,KMB!AE326,KMB!AI326)))</f>
        <v>0</v>
      </c>
      <c r="I326">
        <f>SUMPRODUCT((MONTH(CHOOSE({1,2,3,4},KMB!T326,KMB!X326,KMB!AB326,KMB!AF326))=9)*(CHOOSE({1,2,3,4},KMB!W326,KMB!AA326,KMB!AE326,KMB!AI326)))</f>
        <v>0</v>
      </c>
      <c r="J326">
        <f>SUMPRODUCT((MONTH(CHOOSE({1,2,3,4},KMB!T326,KMB!X326,KMB!AB326,KMB!AF326))=10)*(CHOOSE({1,2,3,4},KMB!W326,KMB!AA326,KMB!AE326,KMB!AI326)))</f>
        <v>0</v>
      </c>
      <c r="K326">
        <f>SUMPRODUCT((MONTH(CHOOSE({1,2,3,4},KMB!T326,KMB!X326,KMB!AB326,KMB!AF326))=11)*(CHOOSE({1,2,3,4},KMB!W326,KMB!AA326,KMB!AE326,KMB!AI326)))</f>
        <v>0</v>
      </c>
      <c r="L326">
        <f>SUMPRODUCT((MONTH(CHOOSE({1,2,3,4},KMB!T326,KMB!X326,KMB!AB326,KMB!AF326))=12)*(CHOOSE({1,2,3,4},KMB!W326,KMB!AA326,KMB!AE326,KMB!AI326)))</f>
        <v>0</v>
      </c>
    </row>
    <row r="327" spans="1:12">
      <c r="A327">
        <f>SUMPRODUCT((MONTH(CHOOSE({1,2,3,4},KMB!T327,KMB!X327,KMB!AB327,KMB!AF327))=1)*(CHOOSE({1,2,3,4},KMB!W327,KMB!AA327,KMB!AE327,KMB!AI327)))</f>
        <v>0</v>
      </c>
      <c r="B327">
        <f>SUMPRODUCT((MONTH(CHOOSE({1,2,3,4},KMB!T327,KMB!X327,KMB!AB327,KMB!AF327))=2)*(CHOOSE({1,2,3,4},KMB!W327,KMB!AA327,KMB!AE327,KMB!AI327)))</f>
        <v>0</v>
      </c>
      <c r="C327">
        <f>SUMPRODUCT((MONTH(CHOOSE({1,2,3,4},KMB!T327,KMB!X327,KMB!AB327,KMB!AF327))=3)*(CHOOSE({1,2,3,4},KMB!W327,KMB!AA327,KMB!AE327,KMB!AI327)))</f>
        <v>0</v>
      </c>
      <c r="D327">
        <f>SUMPRODUCT((MONTH(CHOOSE({1,2,3,4},KMB!T327,KMB!X327,KMB!AB327,KMB!AF327))=4)*(CHOOSE({1,2,3,4},KMB!W327,KMB!AA327,KMB!AE327,KMB!AI327)))</f>
        <v>0</v>
      </c>
      <c r="E327">
        <f>SUMPRODUCT((MONTH(CHOOSE({1,2,3,4},KMB!T327,KMB!X327,KMB!AB327,KMB!AF327))=5)*(CHOOSE({1,2,3,4},KMB!W327,KMB!AA327,KMB!AE327,KMB!AI327)))</f>
        <v>0</v>
      </c>
      <c r="F327">
        <f>SUMPRODUCT((MONTH(CHOOSE({1,2,3,4},KMB!T327,KMB!X327,KMB!AB327,KMB!AF327))=6)*(CHOOSE({1,2,3,4},KMB!W327,KMB!AA327,KMB!AE327,KMB!AI327)))</f>
        <v>0</v>
      </c>
      <c r="G327">
        <f>SUMPRODUCT((MONTH(CHOOSE({1,2,3,4},KMB!T327,KMB!X327,KMB!AB327,KMB!AF327))=7)*(CHOOSE({1,2,3,4},KMB!W327,KMB!AA327,KMB!AE327,KMB!AI327)))</f>
        <v>0</v>
      </c>
      <c r="H327">
        <f>SUMPRODUCT((MONTH(CHOOSE({1,2,3,4},KMB!T327,KMB!X327,KMB!AB327,KMB!AF327))=8)*(CHOOSE({1,2,3,4},KMB!W327,KMB!AA327,KMB!AE327,KMB!AI327)))</f>
        <v>0</v>
      </c>
      <c r="I327">
        <f>SUMPRODUCT((MONTH(CHOOSE({1,2,3,4},KMB!T327,KMB!X327,KMB!AB327,KMB!AF327))=9)*(CHOOSE({1,2,3,4},KMB!W327,KMB!AA327,KMB!AE327,KMB!AI327)))</f>
        <v>0</v>
      </c>
      <c r="J327">
        <f>SUMPRODUCT((MONTH(CHOOSE({1,2,3,4},KMB!T327,KMB!X327,KMB!AB327,KMB!AF327))=10)*(CHOOSE({1,2,3,4},KMB!W327,KMB!AA327,KMB!AE327,KMB!AI327)))</f>
        <v>0</v>
      </c>
      <c r="K327">
        <f>SUMPRODUCT((MONTH(CHOOSE({1,2,3,4},KMB!T327,KMB!X327,KMB!AB327,KMB!AF327))=11)*(CHOOSE({1,2,3,4},KMB!W327,KMB!AA327,KMB!AE327,KMB!AI327)))</f>
        <v>0</v>
      </c>
      <c r="L327">
        <f>SUMPRODUCT((MONTH(CHOOSE({1,2,3,4},KMB!T327,KMB!X327,KMB!AB327,KMB!AF327))=12)*(CHOOSE({1,2,3,4},KMB!W327,KMB!AA327,KMB!AE327,KMB!AI327)))</f>
        <v>0</v>
      </c>
    </row>
    <row r="328" spans="1:12">
      <c r="A328">
        <f>SUMPRODUCT((MONTH(CHOOSE({1,2,3,4},KMB!T328,KMB!X328,KMB!AB328,KMB!AF328))=1)*(CHOOSE({1,2,3,4},KMB!W328,KMB!AA328,KMB!AE328,KMB!AI328)))</f>
        <v>0</v>
      </c>
      <c r="B328">
        <f>SUMPRODUCT((MONTH(CHOOSE({1,2,3,4},KMB!T328,KMB!X328,KMB!AB328,KMB!AF328))=2)*(CHOOSE({1,2,3,4},KMB!W328,KMB!AA328,KMB!AE328,KMB!AI328)))</f>
        <v>0</v>
      </c>
      <c r="C328">
        <f>SUMPRODUCT((MONTH(CHOOSE({1,2,3,4},KMB!T328,KMB!X328,KMB!AB328,KMB!AF328))=3)*(CHOOSE({1,2,3,4},KMB!W328,KMB!AA328,KMB!AE328,KMB!AI328)))</f>
        <v>0</v>
      </c>
      <c r="D328">
        <f>SUMPRODUCT((MONTH(CHOOSE({1,2,3,4},KMB!T328,KMB!X328,KMB!AB328,KMB!AF328))=4)*(CHOOSE({1,2,3,4},KMB!W328,KMB!AA328,KMB!AE328,KMB!AI328)))</f>
        <v>0</v>
      </c>
      <c r="E328">
        <f>SUMPRODUCT((MONTH(CHOOSE({1,2,3,4},KMB!T328,KMB!X328,KMB!AB328,KMB!AF328))=5)*(CHOOSE({1,2,3,4},KMB!W328,KMB!AA328,KMB!AE328,KMB!AI328)))</f>
        <v>0</v>
      </c>
      <c r="F328">
        <f>SUMPRODUCT((MONTH(CHOOSE({1,2,3,4},KMB!T328,KMB!X328,KMB!AB328,KMB!AF328))=6)*(CHOOSE({1,2,3,4},KMB!W328,KMB!AA328,KMB!AE328,KMB!AI328)))</f>
        <v>0</v>
      </c>
      <c r="G328">
        <f>SUMPRODUCT((MONTH(CHOOSE({1,2,3,4},KMB!T328,KMB!X328,KMB!AB328,KMB!AF328))=7)*(CHOOSE({1,2,3,4},KMB!W328,KMB!AA328,KMB!AE328,KMB!AI328)))</f>
        <v>0</v>
      </c>
      <c r="H328">
        <f>SUMPRODUCT((MONTH(CHOOSE({1,2,3,4},KMB!T328,KMB!X328,KMB!AB328,KMB!AF328))=8)*(CHOOSE({1,2,3,4},KMB!W328,KMB!AA328,KMB!AE328,KMB!AI328)))</f>
        <v>0</v>
      </c>
      <c r="I328">
        <f>SUMPRODUCT((MONTH(CHOOSE({1,2,3,4},KMB!T328,KMB!X328,KMB!AB328,KMB!AF328))=9)*(CHOOSE({1,2,3,4},KMB!W328,KMB!AA328,KMB!AE328,KMB!AI328)))</f>
        <v>0</v>
      </c>
      <c r="J328">
        <f>SUMPRODUCT((MONTH(CHOOSE({1,2,3,4},KMB!T328,KMB!X328,KMB!AB328,KMB!AF328))=10)*(CHOOSE({1,2,3,4},KMB!W328,KMB!AA328,KMB!AE328,KMB!AI328)))</f>
        <v>0</v>
      </c>
      <c r="K328">
        <f>SUMPRODUCT((MONTH(CHOOSE({1,2,3,4},KMB!T328,KMB!X328,KMB!AB328,KMB!AF328))=11)*(CHOOSE({1,2,3,4},KMB!W328,KMB!AA328,KMB!AE328,KMB!AI328)))</f>
        <v>0</v>
      </c>
      <c r="L328">
        <f>SUMPRODUCT((MONTH(CHOOSE({1,2,3,4},KMB!T328,KMB!X328,KMB!AB328,KMB!AF328))=12)*(CHOOSE({1,2,3,4},KMB!W328,KMB!AA328,KMB!AE328,KMB!AI328)))</f>
        <v>0</v>
      </c>
    </row>
    <row r="329" spans="1:12">
      <c r="A329">
        <f>SUMPRODUCT((MONTH(CHOOSE({1,2,3,4},KMB!T329,KMB!X329,KMB!AB329,KMB!AF329))=1)*(CHOOSE({1,2,3,4},KMB!W329,KMB!AA329,KMB!AE329,KMB!AI329)))</f>
        <v>0</v>
      </c>
      <c r="B329">
        <f>SUMPRODUCT((MONTH(CHOOSE({1,2,3,4},KMB!T329,KMB!X329,KMB!AB329,KMB!AF329))=2)*(CHOOSE({1,2,3,4},KMB!W329,KMB!AA329,KMB!AE329,KMB!AI329)))</f>
        <v>0</v>
      </c>
      <c r="C329">
        <f>SUMPRODUCT((MONTH(CHOOSE({1,2,3,4},KMB!T329,KMB!X329,KMB!AB329,KMB!AF329))=3)*(CHOOSE({1,2,3,4},KMB!W329,KMB!AA329,KMB!AE329,KMB!AI329)))</f>
        <v>0</v>
      </c>
      <c r="D329">
        <f>SUMPRODUCT((MONTH(CHOOSE({1,2,3,4},KMB!T329,KMB!X329,KMB!AB329,KMB!AF329))=4)*(CHOOSE({1,2,3,4},KMB!W329,KMB!AA329,KMB!AE329,KMB!AI329)))</f>
        <v>0</v>
      </c>
      <c r="E329">
        <f>SUMPRODUCT((MONTH(CHOOSE({1,2,3,4},KMB!T329,KMB!X329,KMB!AB329,KMB!AF329))=5)*(CHOOSE({1,2,3,4},KMB!W329,KMB!AA329,KMB!AE329,KMB!AI329)))</f>
        <v>0</v>
      </c>
      <c r="F329">
        <f>SUMPRODUCT((MONTH(CHOOSE({1,2,3,4},KMB!T329,KMB!X329,KMB!AB329,KMB!AF329))=6)*(CHOOSE({1,2,3,4},KMB!W329,KMB!AA329,KMB!AE329,KMB!AI329)))</f>
        <v>0</v>
      </c>
      <c r="G329">
        <f>SUMPRODUCT((MONTH(CHOOSE({1,2,3,4},KMB!T329,KMB!X329,KMB!AB329,KMB!AF329))=7)*(CHOOSE({1,2,3,4},KMB!W329,KMB!AA329,KMB!AE329,KMB!AI329)))</f>
        <v>0</v>
      </c>
      <c r="H329">
        <f>SUMPRODUCT((MONTH(CHOOSE({1,2,3,4},KMB!T329,KMB!X329,KMB!AB329,KMB!AF329))=8)*(CHOOSE({1,2,3,4},KMB!W329,KMB!AA329,KMB!AE329,KMB!AI329)))</f>
        <v>0</v>
      </c>
      <c r="I329">
        <f>SUMPRODUCT((MONTH(CHOOSE({1,2,3,4},KMB!T329,KMB!X329,KMB!AB329,KMB!AF329))=9)*(CHOOSE({1,2,3,4},KMB!W329,KMB!AA329,KMB!AE329,KMB!AI329)))</f>
        <v>0</v>
      </c>
      <c r="J329">
        <f>SUMPRODUCT((MONTH(CHOOSE({1,2,3,4},KMB!T329,KMB!X329,KMB!AB329,KMB!AF329))=10)*(CHOOSE({1,2,3,4},KMB!W329,KMB!AA329,KMB!AE329,KMB!AI329)))</f>
        <v>0</v>
      </c>
      <c r="K329">
        <f>SUMPRODUCT((MONTH(CHOOSE({1,2,3,4},KMB!T329,KMB!X329,KMB!AB329,KMB!AF329))=11)*(CHOOSE({1,2,3,4},KMB!W329,KMB!AA329,KMB!AE329,KMB!AI329)))</f>
        <v>0</v>
      </c>
      <c r="L329">
        <f>SUMPRODUCT((MONTH(CHOOSE({1,2,3,4},KMB!T329,KMB!X329,KMB!AB329,KMB!AF329))=12)*(CHOOSE({1,2,3,4},KMB!W329,KMB!AA329,KMB!AE329,KMB!AI329)))</f>
        <v>0</v>
      </c>
    </row>
    <row r="330" spans="1:12">
      <c r="A330">
        <f>SUMPRODUCT((MONTH(CHOOSE({1,2,3,4},KMB!T330,KMB!X330,KMB!AB330,KMB!AF330))=1)*(CHOOSE({1,2,3,4},KMB!W330,KMB!AA330,KMB!AE330,KMB!AI330)))</f>
        <v>0</v>
      </c>
      <c r="B330">
        <f>SUMPRODUCT((MONTH(CHOOSE({1,2,3,4},KMB!T330,KMB!X330,KMB!AB330,KMB!AF330))=2)*(CHOOSE({1,2,3,4},KMB!W330,KMB!AA330,KMB!AE330,KMB!AI330)))</f>
        <v>0</v>
      </c>
      <c r="C330">
        <f>SUMPRODUCT((MONTH(CHOOSE({1,2,3,4},KMB!T330,KMB!X330,KMB!AB330,KMB!AF330))=3)*(CHOOSE({1,2,3,4},KMB!W330,KMB!AA330,KMB!AE330,KMB!AI330)))</f>
        <v>0</v>
      </c>
      <c r="D330">
        <f>SUMPRODUCT((MONTH(CHOOSE({1,2,3,4},KMB!T330,KMB!X330,KMB!AB330,KMB!AF330))=4)*(CHOOSE({1,2,3,4},KMB!W330,KMB!AA330,KMB!AE330,KMB!AI330)))</f>
        <v>0</v>
      </c>
      <c r="E330">
        <f>SUMPRODUCT((MONTH(CHOOSE({1,2,3,4},KMB!T330,KMB!X330,KMB!AB330,KMB!AF330))=5)*(CHOOSE({1,2,3,4},KMB!W330,KMB!AA330,KMB!AE330,KMB!AI330)))</f>
        <v>0</v>
      </c>
      <c r="F330">
        <f>SUMPRODUCT((MONTH(CHOOSE({1,2,3,4},KMB!T330,KMB!X330,KMB!AB330,KMB!AF330))=6)*(CHOOSE({1,2,3,4},KMB!W330,KMB!AA330,KMB!AE330,KMB!AI330)))</f>
        <v>0</v>
      </c>
      <c r="G330">
        <f>SUMPRODUCT((MONTH(CHOOSE({1,2,3,4},KMB!T330,KMB!X330,KMB!AB330,KMB!AF330))=7)*(CHOOSE({1,2,3,4},KMB!W330,KMB!AA330,KMB!AE330,KMB!AI330)))</f>
        <v>0</v>
      </c>
      <c r="H330">
        <f>SUMPRODUCT((MONTH(CHOOSE({1,2,3,4},KMB!T330,KMB!X330,KMB!AB330,KMB!AF330))=8)*(CHOOSE({1,2,3,4},KMB!W330,KMB!AA330,KMB!AE330,KMB!AI330)))</f>
        <v>0</v>
      </c>
      <c r="I330">
        <f>SUMPRODUCT((MONTH(CHOOSE({1,2,3,4},KMB!T330,KMB!X330,KMB!AB330,KMB!AF330))=9)*(CHOOSE({1,2,3,4},KMB!W330,KMB!AA330,KMB!AE330,KMB!AI330)))</f>
        <v>0</v>
      </c>
      <c r="J330">
        <f>SUMPRODUCT((MONTH(CHOOSE({1,2,3,4},KMB!T330,KMB!X330,KMB!AB330,KMB!AF330))=10)*(CHOOSE({1,2,3,4},KMB!W330,KMB!AA330,KMB!AE330,KMB!AI330)))</f>
        <v>0</v>
      </c>
      <c r="K330">
        <f>SUMPRODUCT((MONTH(CHOOSE({1,2,3,4},KMB!T330,KMB!X330,KMB!AB330,KMB!AF330))=11)*(CHOOSE({1,2,3,4},KMB!W330,KMB!AA330,KMB!AE330,KMB!AI330)))</f>
        <v>0</v>
      </c>
      <c r="L330">
        <f>SUMPRODUCT((MONTH(CHOOSE({1,2,3,4},KMB!T330,KMB!X330,KMB!AB330,KMB!AF330))=12)*(CHOOSE({1,2,3,4},KMB!W330,KMB!AA330,KMB!AE330,KMB!AI330)))</f>
        <v>0</v>
      </c>
    </row>
    <row r="331" spans="1:12">
      <c r="A331">
        <f>SUMPRODUCT((MONTH(CHOOSE({1,2,3,4},KMB!T331,KMB!X331,KMB!AB331,KMB!AF331))=1)*(CHOOSE({1,2,3,4},KMB!W331,KMB!AA331,KMB!AE331,KMB!AI331)))</f>
        <v>0</v>
      </c>
      <c r="B331">
        <f>SUMPRODUCT((MONTH(CHOOSE({1,2,3,4},KMB!T331,KMB!X331,KMB!AB331,KMB!AF331))=2)*(CHOOSE({1,2,3,4},KMB!W331,KMB!AA331,KMB!AE331,KMB!AI331)))</f>
        <v>0</v>
      </c>
      <c r="C331">
        <f>SUMPRODUCT((MONTH(CHOOSE({1,2,3,4},KMB!T331,KMB!X331,KMB!AB331,KMB!AF331))=3)*(CHOOSE({1,2,3,4},KMB!W331,KMB!AA331,KMB!AE331,KMB!AI331)))</f>
        <v>0</v>
      </c>
      <c r="D331">
        <f>SUMPRODUCT((MONTH(CHOOSE({1,2,3,4},KMB!T331,KMB!X331,KMB!AB331,KMB!AF331))=4)*(CHOOSE({1,2,3,4},KMB!W331,KMB!AA331,KMB!AE331,KMB!AI331)))</f>
        <v>0</v>
      </c>
      <c r="E331">
        <f>SUMPRODUCT((MONTH(CHOOSE({1,2,3,4},KMB!T331,KMB!X331,KMB!AB331,KMB!AF331))=5)*(CHOOSE({1,2,3,4},KMB!W331,KMB!AA331,KMB!AE331,KMB!AI331)))</f>
        <v>0</v>
      </c>
      <c r="F331">
        <f>SUMPRODUCT((MONTH(CHOOSE({1,2,3,4},KMB!T331,KMB!X331,KMB!AB331,KMB!AF331))=6)*(CHOOSE({1,2,3,4},KMB!W331,KMB!AA331,KMB!AE331,KMB!AI331)))</f>
        <v>0</v>
      </c>
      <c r="G331">
        <f>SUMPRODUCT((MONTH(CHOOSE({1,2,3,4},KMB!T331,KMB!X331,KMB!AB331,KMB!AF331))=7)*(CHOOSE({1,2,3,4},KMB!W331,KMB!AA331,KMB!AE331,KMB!AI331)))</f>
        <v>0</v>
      </c>
      <c r="H331">
        <f>SUMPRODUCT((MONTH(CHOOSE({1,2,3,4},KMB!T331,KMB!X331,KMB!AB331,KMB!AF331))=8)*(CHOOSE({1,2,3,4},KMB!W331,KMB!AA331,KMB!AE331,KMB!AI331)))</f>
        <v>0</v>
      </c>
      <c r="I331">
        <f>SUMPRODUCT((MONTH(CHOOSE({1,2,3,4},KMB!T331,KMB!X331,KMB!AB331,KMB!AF331))=9)*(CHOOSE({1,2,3,4},KMB!W331,KMB!AA331,KMB!AE331,KMB!AI331)))</f>
        <v>0</v>
      </c>
      <c r="J331">
        <f>SUMPRODUCT((MONTH(CHOOSE({1,2,3,4},KMB!T331,KMB!X331,KMB!AB331,KMB!AF331))=10)*(CHOOSE({1,2,3,4},KMB!W331,KMB!AA331,KMB!AE331,KMB!AI331)))</f>
        <v>0</v>
      </c>
      <c r="K331">
        <f>SUMPRODUCT((MONTH(CHOOSE({1,2,3,4},KMB!T331,KMB!X331,KMB!AB331,KMB!AF331))=11)*(CHOOSE({1,2,3,4},KMB!W331,KMB!AA331,KMB!AE331,KMB!AI331)))</f>
        <v>0</v>
      </c>
      <c r="L331">
        <f>SUMPRODUCT((MONTH(CHOOSE({1,2,3,4},KMB!T331,KMB!X331,KMB!AB331,KMB!AF331))=12)*(CHOOSE({1,2,3,4},KMB!W331,KMB!AA331,KMB!AE331,KMB!AI331)))</f>
        <v>0</v>
      </c>
    </row>
    <row r="332" spans="1:12">
      <c r="A332">
        <f>SUMPRODUCT((MONTH(CHOOSE({1,2,3,4},KMB!T332,KMB!X332,KMB!AB332,KMB!AF332))=1)*(CHOOSE({1,2,3,4},KMB!W332,KMB!AA332,KMB!AE332,KMB!AI332)))</f>
        <v>0</v>
      </c>
      <c r="B332">
        <f>SUMPRODUCT((MONTH(CHOOSE({1,2,3,4},KMB!T332,KMB!X332,KMB!AB332,KMB!AF332))=2)*(CHOOSE({1,2,3,4},KMB!W332,KMB!AA332,KMB!AE332,KMB!AI332)))</f>
        <v>0</v>
      </c>
      <c r="C332">
        <f>SUMPRODUCT((MONTH(CHOOSE({1,2,3,4},KMB!T332,KMB!X332,KMB!AB332,KMB!AF332))=3)*(CHOOSE({1,2,3,4},KMB!W332,KMB!AA332,KMB!AE332,KMB!AI332)))</f>
        <v>0</v>
      </c>
      <c r="D332">
        <f>SUMPRODUCT((MONTH(CHOOSE({1,2,3,4},KMB!T332,KMB!X332,KMB!AB332,KMB!AF332))=4)*(CHOOSE({1,2,3,4},KMB!W332,KMB!AA332,KMB!AE332,KMB!AI332)))</f>
        <v>0</v>
      </c>
      <c r="E332">
        <f>SUMPRODUCT((MONTH(CHOOSE({1,2,3,4},KMB!T332,KMB!X332,KMB!AB332,KMB!AF332))=5)*(CHOOSE({1,2,3,4},KMB!W332,KMB!AA332,KMB!AE332,KMB!AI332)))</f>
        <v>0</v>
      </c>
      <c r="F332">
        <f>SUMPRODUCT((MONTH(CHOOSE({1,2,3,4},KMB!T332,KMB!X332,KMB!AB332,KMB!AF332))=6)*(CHOOSE({1,2,3,4},KMB!W332,KMB!AA332,KMB!AE332,KMB!AI332)))</f>
        <v>0</v>
      </c>
      <c r="G332">
        <f>SUMPRODUCT((MONTH(CHOOSE({1,2,3,4},KMB!T332,KMB!X332,KMB!AB332,KMB!AF332))=7)*(CHOOSE({1,2,3,4},KMB!W332,KMB!AA332,KMB!AE332,KMB!AI332)))</f>
        <v>0</v>
      </c>
      <c r="H332">
        <f>SUMPRODUCT((MONTH(CHOOSE({1,2,3,4},KMB!T332,KMB!X332,KMB!AB332,KMB!AF332))=8)*(CHOOSE({1,2,3,4},KMB!W332,KMB!AA332,KMB!AE332,KMB!AI332)))</f>
        <v>0</v>
      </c>
      <c r="I332">
        <f>SUMPRODUCT((MONTH(CHOOSE({1,2,3,4},KMB!T332,KMB!X332,KMB!AB332,KMB!AF332))=9)*(CHOOSE({1,2,3,4},KMB!W332,KMB!AA332,KMB!AE332,KMB!AI332)))</f>
        <v>0</v>
      </c>
      <c r="J332">
        <f>SUMPRODUCT((MONTH(CHOOSE({1,2,3,4},KMB!T332,KMB!X332,KMB!AB332,KMB!AF332))=10)*(CHOOSE({1,2,3,4},KMB!W332,KMB!AA332,KMB!AE332,KMB!AI332)))</f>
        <v>0</v>
      </c>
      <c r="K332">
        <f>SUMPRODUCT((MONTH(CHOOSE({1,2,3,4},KMB!T332,KMB!X332,KMB!AB332,KMB!AF332))=11)*(CHOOSE({1,2,3,4},KMB!W332,KMB!AA332,KMB!AE332,KMB!AI332)))</f>
        <v>0</v>
      </c>
      <c r="L332">
        <f>SUMPRODUCT((MONTH(CHOOSE({1,2,3,4},KMB!T332,KMB!X332,KMB!AB332,KMB!AF332))=12)*(CHOOSE({1,2,3,4},KMB!W332,KMB!AA332,KMB!AE332,KMB!AI332)))</f>
        <v>0</v>
      </c>
    </row>
    <row r="333" spans="1:12">
      <c r="A333">
        <f>SUMPRODUCT((MONTH(CHOOSE({1,2,3,4},KMB!T333,KMB!X333,KMB!AB333,KMB!AF333))=1)*(CHOOSE({1,2,3,4},KMB!W333,KMB!AA333,KMB!AE333,KMB!AI333)))</f>
        <v>0</v>
      </c>
      <c r="B333">
        <f>SUMPRODUCT((MONTH(CHOOSE({1,2,3,4},KMB!T333,KMB!X333,KMB!AB333,KMB!AF333))=2)*(CHOOSE({1,2,3,4},KMB!W333,KMB!AA333,KMB!AE333,KMB!AI333)))</f>
        <v>0</v>
      </c>
      <c r="C333">
        <f>SUMPRODUCT((MONTH(CHOOSE({1,2,3,4},KMB!T333,KMB!X333,KMB!AB333,KMB!AF333))=3)*(CHOOSE({1,2,3,4},KMB!W333,KMB!AA333,KMB!AE333,KMB!AI333)))</f>
        <v>0</v>
      </c>
      <c r="D333">
        <f>SUMPRODUCT((MONTH(CHOOSE({1,2,3,4},KMB!T333,KMB!X333,KMB!AB333,KMB!AF333))=4)*(CHOOSE({1,2,3,4},KMB!W333,KMB!AA333,KMB!AE333,KMB!AI333)))</f>
        <v>0</v>
      </c>
      <c r="E333">
        <f>SUMPRODUCT((MONTH(CHOOSE({1,2,3,4},KMB!T333,KMB!X333,KMB!AB333,KMB!AF333))=5)*(CHOOSE({1,2,3,4},KMB!W333,KMB!AA333,KMB!AE333,KMB!AI333)))</f>
        <v>0</v>
      </c>
      <c r="F333">
        <f>SUMPRODUCT((MONTH(CHOOSE({1,2,3,4},KMB!T333,KMB!X333,KMB!AB333,KMB!AF333))=6)*(CHOOSE({1,2,3,4},KMB!W333,KMB!AA333,KMB!AE333,KMB!AI333)))</f>
        <v>0</v>
      </c>
      <c r="G333">
        <f>SUMPRODUCT((MONTH(CHOOSE({1,2,3,4},KMB!T333,KMB!X333,KMB!AB333,KMB!AF333))=7)*(CHOOSE({1,2,3,4},KMB!W333,KMB!AA333,KMB!AE333,KMB!AI333)))</f>
        <v>0</v>
      </c>
      <c r="H333">
        <f>SUMPRODUCT((MONTH(CHOOSE({1,2,3,4},KMB!T333,KMB!X333,KMB!AB333,KMB!AF333))=8)*(CHOOSE({1,2,3,4},KMB!W333,KMB!AA333,KMB!AE333,KMB!AI333)))</f>
        <v>0</v>
      </c>
      <c r="I333">
        <f>SUMPRODUCT((MONTH(CHOOSE({1,2,3,4},KMB!T333,KMB!X333,KMB!AB333,KMB!AF333))=9)*(CHOOSE({1,2,3,4},KMB!W333,KMB!AA333,KMB!AE333,KMB!AI333)))</f>
        <v>0</v>
      </c>
      <c r="J333">
        <f>SUMPRODUCT((MONTH(CHOOSE({1,2,3,4},KMB!T333,KMB!X333,KMB!AB333,KMB!AF333))=10)*(CHOOSE({1,2,3,4},KMB!W333,KMB!AA333,KMB!AE333,KMB!AI333)))</f>
        <v>0</v>
      </c>
      <c r="K333">
        <f>SUMPRODUCT((MONTH(CHOOSE({1,2,3,4},KMB!T333,KMB!X333,KMB!AB333,KMB!AF333))=11)*(CHOOSE({1,2,3,4},KMB!W333,KMB!AA333,KMB!AE333,KMB!AI333)))</f>
        <v>0</v>
      </c>
      <c r="L333">
        <f>SUMPRODUCT((MONTH(CHOOSE({1,2,3,4},KMB!T333,KMB!X333,KMB!AB333,KMB!AF333))=12)*(CHOOSE({1,2,3,4},KMB!W333,KMB!AA333,KMB!AE333,KMB!AI333)))</f>
        <v>0</v>
      </c>
    </row>
    <row r="334" spans="1:12">
      <c r="A334">
        <f>SUMPRODUCT((MONTH(CHOOSE({1,2,3,4},KMB!T334,KMB!X334,KMB!AB334,KMB!AF334))=1)*(CHOOSE({1,2,3,4},KMB!W334,KMB!AA334,KMB!AE334,KMB!AI334)))</f>
        <v>0</v>
      </c>
      <c r="B334">
        <f>SUMPRODUCT((MONTH(CHOOSE({1,2,3,4},KMB!T334,KMB!X334,KMB!AB334,KMB!AF334))=2)*(CHOOSE({1,2,3,4},KMB!W334,KMB!AA334,KMB!AE334,KMB!AI334)))</f>
        <v>0</v>
      </c>
      <c r="C334">
        <f>SUMPRODUCT((MONTH(CHOOSE({1,2,3,4},KMB!T334,KMB!X334,KMB!AB334,KMB!AF334))=3)*(CHOOSE({1,2,3,4},KMB!W334,KMB!AA334,KMB!AE334,KMB!AI334)))</f>
        <v>0</v>
      </c>
      <c r="D334">
        <f>SUMPRODUCT((MONTH(CHOOSE({1,2,3,4},KMB!T334,KMB!X334,KMB!AB334,KMB!AF334))=4)*(CHOOSE({1,2,3,4},KMB!W334,KMB!AA334,KMB!AE334,KMB!AI334)))</f>
        <v>0</v>
      </c>
      <c r="E334">
        <f>SUMPRODUCT((MONTH(CHOOSE({1,2,3,4},KMB!T334,KMB!X334,KMB!AB334,KMB!AF334))=5)*(CHOOSE({1,2,3,4},KMB!W334,KMB!AA334,KMB!AE334,KMB!AI334)))</f>
        <v>0</v>
      </c>
      <c r="F334">
        <f>SUMPRODUCT((MONTH(CHOOSE({1,2,3,4},KMB!T334,KMB!X334,KMB!AB334,KMB!AF334))=6)*(CHOOSE({1,2,3,4},KMB!W334,KMB!AA334,KMB!AE334,KMB!AI334)))</f>
        <v>0</v>
      </c>
      <c r="G334">
        <f>SUMPRODUCT((MONTH(CHOOSE({1,2,3,4},KMB!T334,KMB!X334,KMB!AB334,KMB!AF334))=7)*(CHOOSE({1,2,3,4},KMB!W334,KMB!AA334,KMB!AE334,KMB!AI334)))</f>
        <v>0</v>
      </c>
      <c r="H334">
        <f>SUMPRODUCT((MONTH(CHOOSE({1,2,3,4},KMB!T334,KMB!X334,KMB!AB334,KMB!AF334))=8)*(CHOOSE({1,2,3,4},KMB!W334,KMB!AA334,KMB!AE334,KMB!AI334)))</f>
        <v>0</v>
      </c>
      <c r="I334">
        <f>SUMPRODUCT((MONTH(CHOOSE({1,2,3,4},KMB!T334,KMB!X334,KMB!AB334,KMB!AF334))=9)*(CHOOSE({1,2,3,4},KMB!W334,KMB!AA334,KMB!AE334,KMB!AI334)))</f>
        <v>0</v>
      </c>
      <c r="J334">
        <f>SUMPRODUCT((MONTH(CHOOSE({1,2,3,4},KMB!T334,KMB!X334,KMB!AB334,KMB!AF334))=10)*(CHOOSE({1,2,3,4},KMB!W334,KMB!AA334,KMB!AE334,KMB!AI334)))</f>
        <v>0</v>
      </c>
      <c r="K334">
        <f>SUMPRODUCT((MONTH(CHOOSE({1,2,3,4},KMB!T334,KMB!X334,KMB!AB334,KMB!AF334))=11)*(CHOOSE({1,2,3,4},KMB!W334,KMB!AA334,KMB!AE334,KMB!AI334)))</f>
        <v>0</v>
      </c>
      <c r="L334">
        <f>SUMPRODUCT((MONTH(CHOOSE({1,2,3,4},KMB!T334,KMB!X334,KMB!AB334,KMB!AF334))=12)*(CHOOSE({1,2,3,4},KMB!W334,KMB!AA334,KMB!AE334,KMB!AI334)))</f>
        <v>0</v>
      </c>
    </row>
    <row r="335" spans="1:12">
      <c r="A335">
        <f>SUMPRODUCT((MONTH(CHOOSE({1,2,3,4},KMB!T335,KMB!X335,KMB!AB335,KMB!AF335))=1)*(CHOOSE({1,2,3,4},KMB!W335,KMB!AA335,KMB!AE335,KMB!AI335)))</f>
        <v>0</v>
      </c>
      <c r="B335">
        <f>SUMPRODUCT((MONTH(CHOOSE({1,2,3,4},KMB!T335,KMB!X335,KMB!AB335,KMB!AF335))=2)*(CHOOSE({1,2,3,4},KMB!W335,KMB!AA335,KMB!AE335,KMB!AI335)))</f>
        <v>0</v>
      </c>
      <c r="C335">
        <f>SUMPRODUCT((MONTH(CHOOSE({1,2,3,4},KMB!T335,KMB!X335,KMB!AB335,KMB!AF335))=3)*(CHOOSE({1,2,3,4},KMB!W335,KMB!AA335,KMB!AE335,KMB!AI335)))</f>
        <v>0</v>
      </c>
      <c r="D335">
        <f>SUMPRODUCT((MONTH(CHOOSE({1,2,3,4},KMB!T335,KMB!X335,KMB!AB335,KMB!AF335))=4)*(CHOOSE({1,2,3,4},KMB!W335,KMB!AA335,KMB!AE335,KMB!AI335)))</f>
        <v>0</v>
      </c>
      <c r="E335">
        <f>SUMPRODUCT((MONTH(CHOOSE({1,2,3,4},KMB!T335,KMB!X335,KMB!AB335,KMB!AF335))=5)*(CHOOSE({1,2,3,4},KMB!W335,KMB!AA335,KMB!AE335,KMB!AI335)))</f>
        <v>0</v>
      </c>
      <c r="F335">
        <f>SUMPRODUCT((MONTH(CHOOSE({1,2,3,4},KMB!T335,KMB!X335,KMB!AB335,KMB!AF335))=6)*(CHOOSE({1,2,3,4},KMB!W335,KMB!AA335,KMB!AE335,KMB!AI335)))</f>
        <v>0</v>
      </c>
      <c r="G335">
        <f>SUMPRODUCT((MONTH(CHOOSE({1,2,3,4},KMB!T335,KMB!X335,KMB!AB335,KMB!AF335))=7)*(CHOOSE({1,2,3,4},KMB!W335,KMB!AA335,KMB!AE335,KMB!AI335)))</f>
        <v>0</v>
      </c>
      <c r="H335">
        <f>SUMPRODUCT((MONTH(CHOOSE({1,2,3,4},KMB!T335,KMB!X335,KMB!AB335,KMB!AF335))=8)*(CHOOSE({1,2,3,4},KMB!W335,KMB!AA335,KMB!AE335,KMB!AI335)))</f>
        <v>0</v>
      </c>
      <c r="I335">
        <f>SUMPRODUCT((MONTH(CHOOSE({1,2,3,4},KMB!T335,KMB!X335,KMB!AB335,KMB!AF335))=9)*(CHOOSE({1,2,3,4},KMB!W335,KMB!AA335,KMB!AE335,KMB!AI335)))</f>
        <v>0</v>
      </c>
      <c r="J335">
        <f>SUMPRODUCT((MONTH(CHOOSE({1,2,3,4},KMB!T335,KMB!X335,KMB!AB335,KMB!AF335))=10)*(CHOOSE({1,2,3,4},KMB!W335,KMB!AA335,KMB!AE335,KMB!AI335)))</f>
        <v>0</v>
      </c>
      <c r="K335">
        <f>SUMPRODUCT((MONTH(CHOOSE({1,2,3,4},KMB!T335,KMB!X335,KMB!AB335,KMB!AF335))=11)*(CHOOSE({1,2,3,4},KMB!W335,KMB!AA335,KMB!AE335,KMB!AI335)))</f>
        <v>0</v>
      </c>
      <c r="L335">
        <f>SUMPRODUCT((MONTH(CHOOSE({1,2,3,4},KMB!T335,KMB!X335,KMB!AB335,KMB!AF335))=12)*(CHOOSE({1,2,3,4},KMB!W335,KMB!AA335,KMB!AE335,KMB!AI335)))</f>
        <v>0</v>
      </c>
    </row>
    <row r="336" spans="1:12">
      <c r="A336">
        <f>SUMPRODUCT((MONTH(CHOOSE({1,2,3,4},KMB!T336,KMB!X336,KMB!AB336,KMB!AF336))=1)*(CHOOSE({1,2,3,4},KMB!W336,KMB!AA336,KMB!AE336,KMB!AI336)))</f>
        <v>0</v>
      </c>
      <c r="B336">
        <f>SUMPRODUCT((MONTH(CHOOSE({1,2,3,4},KMB!T336,KMB!X336,KMB!AB336,KMB!AF336))=2)*(CHOOSE({1,2,3,4},KMB!W336,KMB!AA336,KMB!AE336,KMB!AI336)))</f>
        <v>0</v>
      </c>
      <c r="C336">
        <f>SUMPRODUCT((MONTH(CHOOSE({1,2,3,4},KMB!T336,KMB!X336,KMB!AB336,KMB!AF336))=3)*(CHOOSE({1,2,3,4},KMB!W336,KMB!AA336,KMB!AE336,KMB!AI336)))</f>
        <v>0</v>
      </c>
      <c r="D336">
        <f>SUMPRODUCT((MONTH(CHOOSE({1,2,3,4},KMB!T336,KMB!X336,KMB!AB336,KMB!AF336))=4)*(CHOOSE({1,2,3,4},KMB!W336,KMB!AA336,KMB!AE336,KMB!AI336)))</f>
        <v>0</v>
      </c>
      <c r="E336">
        <f>SUMPRODUCT((MONTH(CHOOSE({1,2,3,4},KMB!T336,KMB!X336,KMB!AB336,KMB!AF336))=5)*(CHOOSE({1,2,3,4},KMB!W336,KMB!AA336,KMB!AE336,KMB!AI336)))</f>
        <v>0</v>
      </c>
      <c r="F336">
        <f>SUMPRODUCT((MONTH(CHOOSE({1,2,3,4},KMB!T336,KMB!X336,KMB!AB336,KMB!AF336))=6)*(CHOOSE({1,2,3,4},KMB!W336,KMB!AA336,KMB!AE336,KMB!AI336)))</f>
        <v>0</v>
      </c>
      <c r="G336">
        <f>SUMPRODUCT((MONTH(CHOOSE({1,2,3,4},KMB!T336,KMB!X336,KMB!AB336,KMB!AF336))=7)*(CHOOSE({1,2,3,4},KMB!W336,KMB!AA336,KMB!AE336,KMB!AI336)))</f>
        <v>0</v>
      </c>
      <c r="H336">
        <f>SUMPRODUCT((MONTH(CHOOSE({1,2,3,4},KMB!T336,KMB!X336,KMB!AB336,KMB!AF336))=8)*(CHOOSE({1,2,3,4},KMB!W336,KMB!AA336,KMB!AE336,KMB!AI336)))</f>
        <v>0</v>
      </c>
      <c r="I336">
        <f>SUMPRODUCT((MONTH(CHOOSE({1,2,3,4},KMB!T336,KMB!X336,KMB!AB336,KMB!AF336))=9)*(CHOOSE({1,2,3,4},KMB!W336,KMB!AA336,KMB!AE336,KMB!AI336)))</f>
        <v>0</v>
      </c>
      <c r="J336">
        <f>SUMPRODUCT((MONTH(CHOOSE({1,2,3,4},KMB!T336,KMB!X336,KMB!AB336,KMB!AF336))=10)*(CHOOSE({1,2,3,4},KMB!W336,KMB!AA336,KMB!AE336,KMB!AI336)))</f>
        <v>0</v>
      </c>
      <c r="K336">
        <f>SUMPRODUCT((MONTH(CHOOSE({1,2,3,4},KMB!T336,KMB!X336,KMB!AB336,KMB!AF336))=11)*(CHOOSE({1,2,3,4},KMB!W336,KMB!AA336,KMB!AE336,KMB!AI336)))</f>
        <v>0</v>
      </c>
      <c r="L336">
        <f>SUMPRODUCT((MONTH(CHOOSE({1,2,3,4},KMB!T336,KMB!X336,KMB!AB336,KMB!AF336))=12)*(CHOOSE({1,2,3,4},KMB!W336,KMB!AA336,KMB!AE336,KMB!AI336)))</f>
        <v>0</v>
      </c>
    </row>
    <row r="337" spans="1:12">
      <c r="A337">
        <f>SUMPRODUCT((MONTH(CHOOSE({1,2,3,4},KMB!T337,KMB!X337,KMB!AB337,KMB!AF337))=1)*(CHOOSE({1,2,3,4},KMB!W337,KMB!AA337,KMB!AE337,KMB!AI337)))</f>
        <v>0</v>
      </c>
      <c r="B337">
        <f>SUMPRODUCT((MONTH(CHOOSE({1,2,3,4},KMB!T337,KMB!X337,KMB!AB337,KMB!AF337))=2)*(CHOOSE({1,2,3,4},KMB!W337,KMB!AA337,KMB!AE337,KMB!AI337)))</f>
        <v>0</v>
      </c>
      <c r="C337">
        <f>SUMPRODUCT((MONTH(CHOOSE({1,2,3,4},KMB!T337,KMB!X337,KMB!AB337,KMB!AF337))=3)*(CHOOSE({1,2,3,4},KMB!W337,KMB!AA337,KMB!AE337,KMB!AI337)))</f>
        <v>0</v>
      </c>
      <c r="D337">
        <f>SUMPRODUCT((MONTH(CHOOSE({1,2,3,4},KMB!T337,KMB!X337,KMB!AB337,KMB!AF337))=4)*(CHOOSE({1,2,3,4},KMB!W337,KMB!AA337,KMB!AE337,KMB!AI337)))</f>
        <v>0</v>
      </c>
      <c r="E337">
        <f>SUMPRODUCT((MONTH(CHOOSE({1,2,3,4},KMB!T337,KMB!X337,KMB!AB337,KMB!AF337))=5)*(CHOOSE({1,2,3,4},KMB!W337,KMB!AA337,KMB!AE337,KMB!AI337)))</f>
        <v>0</v>
      </c>
      <c r="F337">
        <f>SUMPRODUCT((MONTH(CHOOSE({1,2,3,4},KMB!T337,KMB!X337,KMB!AB337,KMB!AF337))=6)*(CHOOSE({1,2,3,4},KMB!W337,KMB!AA337,KMB!AE337,KMB!AI337)))</f>
        <v>0</v>
      </c>
      <c r="G337">
        <f>SUMPRODUCT((MONTH(CHOOSE({1,2,3,4},KMB!T337,KMB!X337,KMB!AB337,KMB!AF337))=7)*(CHOOSE({1,2,3,4},KMB!W337,KMB!AA337,KMB!AE337,KMB!AI337)))</f>
        <v>0</v>
      </c>
      <c r="H337">
        <f>SUMPRODUCT((MONTH(CHOOSE({1,2,3,4},KMB!T337,KMB!X337,KMB!AB337,KMB!AF337))=8)*(CHOOSE({1,2,3,4},KMB!W337,KMB!AA337,KMB!AE337,KMB!AI337)))</f>
        <v>0</v>
      </c>
      <c r="I337">
        <f>SUMPRODUCT((MONTH(CHOOSE({1,2,3,4},KMB!T337,KMB!X337,KMB!AB337,KMB!AF337))=9)*(CHOOSE({1,2,3,4},KMB!W337,KMB!AA337,KMB!AE337,KMB!AI337)))</f>
        <v>0</v>
      </c>
      <c r="J337">
        <f>SUMPRODUCT((MONTH(CHOOSE({1,2,3,4},KMB!T337,KMB!X337,KMB!AB337,KMB!AF337))=10)*(CHOOSE({1,2,3,4},KMB!W337,KMB!AA337,KMB!AE337,KMB!AI337)))</f>
        <v>0</v>
      </c>
      <c r="K337">
        <f>SUMPRODUCT((MONTH(CHOOSE({1,2,3,4},KMB!T337,KMB!X337,KMB!AB337,KMB!AF337))=11)*(CHOOSE({1,2,3,4},KMB!W337,KMB!AA337,KMB!AE337,KMB!AI337)))</f>
        <v>0</v>
      </c>
      <c r="L337">
        <f>SUMPRODUCT((MONTH(CHOOSE({1,2,3,4},KMB!T337,KMB!X337,KMB!AB337,KMB!AF337))=12)*(CHOOSE({1,2,3,4},KMB!W337,KMB!AA337,KMB!AE337,KMB!AI337)))</f>
        <v>0</v>
      </c>
    </row>
    <row r="338" spans="1:12">
      <c r="A338">
        <f>SUMPRODUCT((MONTH(CHOOSE({1,2,3,4},KMB!T338,KMB!X338,KMB!AB338,KMB!AF338))=1)*(CHOOSE({1,2,3,4},KMB!W338,KMB!AA338,KMB!AE338,KMB!AI338)))</f>
        <v>0</v>
      </c>
      <c r="B338">
        <f>SUMPRODUCT((MONTH(CHOOSE({1,2,3,4},KMB!T338,KMB!X338,KMB!AB338,KMB!AF338))=2)*(CHOOSE({1,2,3,4},KMB!W338,KMB!AA338,KMB!AE338,KMB!AI338)))</f>
        <v>0</v>
      </c>
      <c r="C338">
        <f>SUMPRODUCT((MONTH(CHOOSE({1,2,3,4},KMB!T338,KMB!X338,KMB!AB338,KMB!AF338))=3)*(CHOOSE({1,2,3,4},KMB!W338,KMB!AA338,KMB!AE338,KMB!AI338)))</f>
        <v>0</v>
      </c>
      <c r="D338">
        <f>SUMPRODUCT((MONTH(CHOOSE({1,2,3,4},KMB!T338,KMB!X338,KMB!AB338,KMB!AF338))=4)*(CHOOSE({1,2,3,4},KMB!W338,KMB!AA338,KMB!AE338,KMB!AI338)))</f>
        <v>0</v>
      </c>
      <c r="E338">
        <f>SUMPRODUCT((MONTH(CHOOSE({1,2,3,4},KMB!T338,KMB!X338,KMB!AB338,KMB!AF338))=5)*(CHOOSE({1,2,3,4},KMB!W338,KMB!AA338,KMB!AE338,KMB!AI338)))</f>
        <v>0</v>
      </c>
      <c r="F338">
        <f>SUMPRODUCT((MONTH(CHOOSE({1,2,3,4},KMB!T338,KMB!X338,KMB!AB338,KMB!AF338))=6)*(CHOOSE({1,2,3,4},KMB!W338,KMB!AA338,KMB!AE338,KMB!AI338)))</f>
        <v>0</v>
      </c>
      <c r="G338">
        <f>SUMPRODUCT((MONTH(CHOOSE({1,2,3,4},KMB!T338,KMB!X338,KMB!AB338,KMB!AF338))=7)*(CHOOSE({1,2,3,4},KMB!W338,KMB!AA338,KMB!AE338,KMB!AI338)))</f>
        <v>0</v>
      </c>
      <c r="H338">
        <f>SUMPRODUCT((MONTH(CHOOSE({1,2,3,4},KMB!T338,KMB!X338,KMB!AB338,KMB!AF338))=8)*(CHOOSE({1,2,3,4},KMB!W338,KMB!AA338,KMB!AE338,KMB!AI338)))</f>
        <v>0</v>
      </c>
      <c r="I338">
        <f>SUMPRODUCT((MONTH(CHOOSE({1,2,3,4},KMB!T338,KMB!X338,KMB!AB338,KMB!AF338))=9)*(CHOOSE({1,2,3,4},KMB!W338,KMB!AA338,KMB!AE338,KMB!AI338)))</f>
        <v>0</v>
      </c>
      <c r="J338">
        <f>SUMPRODUCT((MONTH(CHOOSE({1,2,3,4},KMB!T338,KMB!X338,KMB!AB338,KMB!AF338))=10)*(CHOOSE({1,2,3,4},KMB!W338,KMB!AA338,KMB!AE338,KMB!AI338)))</f>
        <v>0</v>
      </c>
      <c r="K338">
        <f>SUMPRODUCT((MONTH(CHOOSE({1,2,3,4},KMB!T338,KMB!X338,KMB!AB338,KMB!AF338))=11)*(CHOOSE({1,2,3,4},KMB!W338,KMB!AA338,KMB!AE338,KMB!AI338)))</f>
        <v>0</v>
      </c>
      <c r="L338">
        <f>SUMPRODUCT((MONTH(CHOOSE({1,2,3,4},KMB!T338,KMB!X338,KMB!AB338,KMB!AF338))=12)*(CHOOSE({1,2,3,4},KMB!W338,KMB!AA338,KMB!AE338,KMB!AI338)))</f>
        <v>0</v>
      </c>
    </row>
    <row r="339" spans="1:12">
      <c r="A339">
        <f>SUMPRODUCT((MONTH(CHOOSE({1,2,3,4},KMB!T339,KMB!X339,KMB!AB339,KMB!AF339))=1)*(CHOOSE({1,2,3,4},KMB!W339,KMB!AA339,KMB!AE339,KMB!AI339)))</f>
        <v>0</v>
      </c>
      <c r="B339">
        <f>SUMPRODUCT((MONTH(CHOOSE({1,2,3,4},KMB!T339,KMB!X339,KMB!AB339,KMB!AF339))=2)*(CHOOSE({1,2,3,4},KMB!W339,KMB!AA339,KMB!AE339,KMB!AI339)))</f>
        <v>0</v>
      </c>
      <c r="C339">
        <f>SUMPRODUCT((MONTH(CHOOSE({1,2,3,4},KMB!T339,KMB!X339,KMB!AB339,KMB!AF339))=3)*(CHOOSE({1,2,3,4},KMB!W339,KMB!AA339,KMB!AE339,KMB!AI339)))</f>
        <v>0</v>
      </c>
      <c r="D339">
        <f>SUMPRODUCT((MONTH(CHOOSE({1,2,3,4},KMB!T339,KMB!X339,KMB!AB339,KMB!AF339))=4)*(CHOOSE({1,2,3,4},KMB!W339,KMB!AA339,KMB!AE339,KMB!AI339)))</f>
        <v>0</v>
      </c>
      <c r="E339">
        <f>SUMPRODUCT((MONTH(CHOOSE({1,2,3,4},KMB!T339,KMB!X339,KMB!AB339,KMB!AF339))=5)*(CHOOSE({1,2,3,4},KMB!W339,KMB!AA339,KMB!AE339,KMB!AI339)))</f>
        <v>0</v>
      </c>
      <c r="F339">
        <f>SUMPRODUCT((MONTH(CHOOSE({1,2,3,4},KMB!T339,KMB!X339,KMB!AB339,KMB!AF339))=6)*(CHOOSE({1,2,3,4},KMB!W339,KMB!AA339,KMB!AE339,KMB!AI339)))</f>
        <v>0</v>
      </c>
      <c r="G339">
        <f>SUMPRODUCT((MONTH(CHOOSE({1,2,3,4},KMB!T339,KMB!X339,KMB!AB339,KMB!AF339))=7)*(CHOOSE({1,2,3,4},KMB!W339,KMB!AA339,KMB!AE339,KMB!AI339)))</f>
        <v>0</v>
      </c>
      <c r="H339">
        <f>SUMPRODUCT((MONTH(CHOOSE({1,2,3,4},KMB!T339,KMB!X339,KMB!AB339,KMB!AF339))=8)*(CHOOSE({1,2,3,4},KMB!W339,KMB!AA339,KMB!AE339,KMB!AI339)))</f>
        <v>0</v>
      </c>
      <c r="I339">
        <f>SUMPRODUCT((MONTH(CHOOSE({1,2,3,4},KMB!T339,KMB!X339,KMB!AB339,KMB!AF339))=9)*(CHOOSE({1,2,3,4},KMB!W339,KMB!AA339,KMB!AE339,KMB!AI339)))</f>
        <v>0</v>
      </c>
      <c r="J339">
        <f>SUMPRODUCT((MONTH(CHOOSE({1,2,3,4},KMB!T339,KMB!X339,KMB!AB339,KMB!AF339))=10)*(CHOOSE({1,2,3,4},KMB!W339,KMB!AA339,KMB!AE339,KMB!AI339)))</f>
        <v>0</v>
      </c>
      <c r="K339">
        <f>SUMPRODUCT((MONTH(CHOOSE({1,2,3,4},KMB!T339,KMB!X339,KMB!AB339,KMB!AF339))=11)*(CHOOSE({1,2,3,4},KMB!W339,KMB!AA339,KMB!AE339,KMB!AI339)))</f>
        <v>0</v>
      </c>
      <c r="L339">
        <f>SUMPRODUCT((MONTH(CHOOSE({1,2,3,4},KMB!T339,KMB!X339,KMB!AB339,KMB!AF339))=12)*(CHOOSE({1,2,3,4},KMB!W339,KMB!AA339,KMB!AE339,KMB!AI339)))</f>
        <v>0</v>
      </c>
    </row>
    <row r="340" spans="1:12">
      <c r="A340">
        <f>SUMPRODUCT((MONTH(CHOOSE({1,2,3,4},KMB!T340,KMB!X340,KMB!AB340,KMB!AF340))=1)*(CHOOSE({1,2,3,4},KMB!W340,KMB!AA340,KMB!AE340,KMB!AI340)))</f>
        <v>0</v>
      </c>
      <c r="B340">
        <f>SUMPRODUCT((MONTH(CHOOSE({1,2,3,4},KMB!T340,KMB!X340,KMB!AB340,KMB!AF340))=2)*(CHOOSE({1,2,3,4},KMB!W340,KMB!AA340,KMB!AE340,KMB!AI340)))</f>
        <v>0</v>
      </c>
      <c r="C340">
        <f>SUMPRODUCT((MONTH(CHOOSE({1,2,3,4},KMB!T340,KMB!X340,KMB!AB340,KMB!AF340))=3)*(CHOOSE({1,2,3,4},KMB!W340,KMB!AA340,KMB!AE340,KMB!AI340)))</f>
        <v>0</v>
      </c>
      <c r="D340">
        <f>SUMPRODUCT((MONTH(CHOOSE({1,2,3,4},KMB!T340,KMB!X340,KMB!AB340,KMB!AF340))=4)*(CHOOSE({1,2,3,4},KMB!W340,KMB!AA340,KMB!AE340,KMB!AI340)))</f>
        <v>0</v>
      </c>
      <c r="E340">
        <f>SUMPRODUCT((MONTH(CHOOSE({1,2,3,4},KMB!T340,KMB!X340,KMB!AB340,KMB!AF340))=5)*(CHOOSE({1,2,3,4},KMB!W340,KMB!AA340,KMB!AE340,KMB!AI340)))</f>
        <v>0</v>
      </c>
      <c r="F340">
        <f>SUMPRODUCT((MONTH(CHOOSE({1,2,3,4},KMB!T340,KMB!X340,KMB!AB340,KMB!AF340))=6)*(CHOOSE({1,2,3,4},KMB!W340,KMB!AA340,KMB!AE340,KMB!AI340)))</f>
        <v>0</v>
      </c>
      <c r="G340">
        <f>SUMPRODUCT((MONTH(CHOOSE({1,2,3,4},KMB!T340,KMB!X340,KMB!AB340,KMB!AF340))=7)*(CHOOSE({1,2,3,4},KMB!W340,KMB!AA340,KMB!AE340,KMB!AI340)))</f>
        <v>0</v>
      </c>
      <c r="H340">
        <f>SUMPRODUCT((MONTH(CHOOSE({1,2,3,4},KMB!T340,KMB!X340,KMB!AB340,KMB!AF340))=8)*(CHOOSE({1,2,3,4},KMB!W340,KMB!AA340,KMB!AE340,KMB!AI340)))</f>
        <v>0</v>
      </c>
      <c r="I340">
        <f>SUMPRODUCT((MONTH(CHOOSE({1,2,3,4},KMB!T340,KMB!X340,KMB!AB340,KMB!AF340))=9)*(CHOOSE({1,2,3,4},KMB!W340,KMB!AA340,KMB!AE340,KMB!AI340)))</f>
        <v>0</v>
      </c>
      <c r="J340">
        <f>SUMPRODUCT((MONTH(CHOOSE({1,2,3,4},KMB!T340,KMB!X340,KMB!AB340,KMB!AF340))=10)*(CHOOSE({1,2,3,4},KMB!W340,KMB!AA340,KMB!AE340,KMB!AI340)))</f>
        <v>0</v>
      </c>
      <c r="K340">
        <f>SUMPRODUCT((MONTH(CHOOSE({1,2,3,4},KMB!T340,KMB!X340,KMB!AB340,KMB!AF340))=11)*(CHOOSE({1,2,3,4},KMB!W340,KMB!AA340,KMB!AE340,KMB!AI340)))</f>
        <v>0</v>
      </c>
      <c r="L340">
        <f>SUMPRODUCT((MONTH(CHOOSE({1,2,3,4},KMB!T340,KMB!X340,KMB!AB340,KMB!AF340))=12)*(CHOOSE({1,2,3,4},KMB!W340,KMB!AA340,KMB!AE340,KMB!AI340)))</f>
        <v>0</v>
      </c>
    </row>
    <row r="341" spans="1:12">
      <c r="A341">
        <f>SUMPRODUCT((MONTH(CHOOSE({1,2,3,4},KMB!T341,KMB!X341,KMB!AB341,KMB!AF341))=1)*(CHOOSE({1,2,3,4},KMB!W341,KMB!AA341,KMB!AE341,KMB!AI341)))</f>
        <v>0</v>
      </c>
      <c r="B341">
        <f>SUMPRODUCT((MONTH(CHOOSE({1,2,3,4},KMB!T341,KMB!X341,KMB!AB341,KMB!AF341))=2)*(CHOOSE({1,2,3,4},KMB!W341,KMB!AA341,KMB!AE341,KMB!AI341)))</f>
        <v>0</v>
      </c>
      <c r="C341">
        <f>SUMPRODUCT((MONTH(CHOOSE({1,2,3,4},KMB!T341,KMB!X341,KMB!AB341,KMB!AF341))=3)*(CHOOSE({1,2,3,4},KMB!W341,KMB!AA341,KMB!AE341,KMB!AI341)))</f>
        <v>0</v>
      </c>
      <c r="D341">
        <f>SUMPRODUCT((MONTH(CHOOSE({1,2,3,4},KMB!T341,KMB!X341,KMB!AB341,KMB!AF341))=4)*(CHOOSE({1,2,3,4},KMB!W341,KMB!AA341,KMB!AE341,KMB!AI341)))</f>
        <v>0</v>
      </c>
      <c r="E341">
        <f>SUMPRODUCT((MONTH(CHOOSE({1,2,3,4},KMB!T341,KMB!X341,KMB!AB341,KMB!AF341))=5)*(CHOOSE({1,2,3,4},KMB!W341,KMB!AA341,KMB!AE341,KMB!AI341)))</f>
        <v>0</v>
      </c>
      <c r="F341">
        <f>SUMPRODUCT((MONTH(CHOOSE({1,2,3,4},KMB!T341,KMB!X341,KMB!AB341,KMB!AF341))=6)*(CHOOSE({1,2,3,4},KMB!W341,KMB!AA341,KMB!AE341,KMB!AI341)))</f>
        <v>0</v>
      </c>
      <c r="G341">
        <f>SUMPRODUCT((MONTH(CHOOSE({1,2,3,4},KMB!T341,KMB!X341,KMB!AB341,KMB!AF341))=7)*(CHOOSE({1,2,3,4},KMB!W341,KMB!AA341,KMB!AE341,KMB!AI341)))</f>
        <v>0</v>
      </c>
      <c r="H341">
        <f>SUMPRODUCT((MONTH(CHOOSE({1,2,3,4},KMB!T341,KMB!X341,KMB!AB341,KMB!AF341))=8)*(CHOOSE({1,2,3,4},KMB!W341,KMB!AA341,KMB!AE341,KMB!AI341)))</f>
        <v>0</v>
      </c>
      <c r="I341">
        <f>SUMPRODUCT((MONTH(CHOOSE({1,2,3,4},KMB!T341,KMB!X341,KMB!AB341,KMB!AF341))=9)*(CHOOSE({1,2,3,4},KMB!W341,KMB!AA341,KMB!AE341,KMB!AI341)))</f>
        <v>0</v>
      </c>
      <c r="J341">
        <f>SUMPRODUCT((MONTH(CHOOSE({1,2,3,4},KMB!T341,KMB!X341,KMB!AB341,KMB!AF341))=10)*(CHOOSE({1,2,3,4},KMB!W341,KMB!AA341,KMB!AE341,KMB!AI341)))</f>
        <v>0</v>
      </c>
      <c r="K341">
        <f>SUMPRODUCT((MONTH(CHOOSE({1,2,3,4},KMB!T341,KMB!X341,KMB!AB341,KMB!AF341))=11)*(CHOOSE({1,2,3,4},KMB!W341,KMB!AA341,KMB!AE341,KMB!AI341)))</f>
        <v>0</v>
      </c>
      <c r="L341">
        <f>SUMPRODUCT((MONTH(CHOOSE({1,2,3,4},KMB!T341,KMB!X341,KMB!AB341,KMB!AF341))=12)*(CHOOSE({1,2,3,4},KMB!W341,KMB!AA341,KMB!AE341,KMB!AI341)))</f>
        <v>0</v>
      </c>
    </row>
    <row r="342" spans="1:12">
      <c r="A342">
        <f>SUMPRODUCT((MONTH(CHOOSE({1,2,3,4},KMB!T342,KMB!X342,KMB!AB342,KMB!AF342))=1)*(CHOOSE({1,2,3,4},KMB!W342,KMB!AA342,KMB!AE342,KMB!AI342)))</f>
        <v>0</v>
      </c>
      <c r="B342">
        <f>SUMPRODUCT((MONTH(CHOOSE({1,2,3,4},KMB!T342,KMB!X342,KMB!AB342,KMB!AF342))=2)*(CHOOSE({1,2,3,4},KMB!W342,KMB!AA342,KMB!AE342,KMB!AI342)))</f>
        <v>0</v>
      </c>
      <c r="C342">
        <f>SUMPRODUCT((MONTH(CHOOSE({1,2,3,4},KMB!T342,KMB!X342,KMB!AB342,KMB!AF342))=3)*(CHOOSE({1,2,3,4},KMB!W342,KMB!AA342,KMB!AE342,KMB!AI342)))</f>
        <v>0</v>
      </c>
      <c r="D342">
        <f>SUMPRODUCT((MONTH(CHOOSE({1,2,3,4},KMB!T342,KMB!X342,KMB!AB342,KMB!AF342))=4)*(CHOOSE({1,2,3,4},KMB!W342,KMB!AA342,KMB!AE342,KMB!AI342)))</f>
        <v>0</v>
      </c>
      <c r="E342">
        <f>SUMPRODUCT((MONTH(CHOOSE({1,2,3,4},KMB!T342,KMB!X342,KMB!AB342,KMB!AF342))=5)*(CHOOSE({1,2,3,4},KMB!W342,KMB!AA342,KMB!AE342,KMB!AI342)))</f>
        <v>0</v>
      </c>
      <c r="F342">
        <f>SUMPRODUCT((MONTH(CHOOSE({1,2,3,4},KMB!T342,KMB!X342,KMB!AB342,KMB!AF342))=6)*(CHOOSE({1,2,3,4},KMB!W342,KMB!AA342,KMB!AE342,KMB!AI342)))</f>
        <v>0</v>
      </c>
      <c r="G342">
        <f>SUMPRODUCT((MONTH(CHOOSE({1,2,3,4},KMB!T342,KMB!X342,KMB!AB342,KMB!AF342))=7)*(CHOOSE({1,2,3,4},KMB!W342,KMB!AA342,KMB!AE342,KMB!AI342)))</f>
        <v>0</v>
      </c>
      <c r="H342">
        <f>SUMPRODUCT((MONTH(CHOOSE({1,2,3,4},KMB!T342,KMB!X342,KMB!AB342,KMB!AF342))=8)*(CHOOSE({1,2,3,4},KMB!W342,KMB!AA342,KMB!AE342,KMB!AI342)))</f>
        <v>0</v>
      </c>
      <c r="I342">
        <f>SUMPRODUCT((MONTH(CHOOSE({1,2,3,4},KMB!T342,KMB!X342,KMB!AB342,KMB!AF342))=9)*(CHOOSE({1,2,3,4},KMB!W342,KMB!AA342,KMB!AE342,KMB!AI342)))</f>
        <v>0</v>
      </c>
      <c r="J342">
        <f>SUMPRODUCT((MONTH(CHOOSE({1,2,3,4},KMB!T342,KMB!X342,KMB!AB342,KMB!AF342))=10)*(CHOOSE({1,2,3,4},KMB!W342,KMB!AA342,KMB!AE342,KMB!AI342)))</f>
        <v>0</v>
      </c>
      <c r="K342">
        <f>SUMPRODUCT((MONTH(CHOOSE({1,2,3,4},KMB!T342,KMB!X342,KMB!AB342,KMB!AF342))=11)*(CHOOSE({1,2,3,4},KMB!W342,KMB!AA342,KMB!AE342,KMB!AI342)))</f>
        <v>0</v>
      </c>
      <c r="L342">
        <f>SUMPRODUCT((MONTH(CHOOSE({1,2,3,4},KMB!T342,KMB!X342,KMB!AB342,KMB!AF342))=12)*(CHOOSE({1,2,3,4},KMB!W342,KMB!AA342,KMB!AE342,KMB!AI342)))</f>
        <v>0</v>
      </c>
    </row>
    <row r="343" spans="1:12">
      <c r="A343">
        <f>SUMPRODUCT((MONTH(CHOOSE({1,2,3,4},KMB!T343,KMB!X343,KMB!AB343,KMB!AF343))=1)*(CHOOSE({1,2,3,4},KMB!W343,KMB!AA343,KMB!AE343,KMB!AI343)))</f>
        <v>0</v>
      </c>
      <c r="B343">
        <f>SUMPRODUCT((MONTH(CHOOSE({1,2,3,4},KMB!T343,KMB!X343,KMB!AB343,KMB!AF343))=2)*(CHOOSE({1,2,3,4},KMB!W343,KMB!AA343,KMB!AE343,KMB!AI343)))</f>
        <v>0</v>
      </c>
      <c r="C343">
        <f>SUMPRODUCT((MONTH(CHOOSE({1,2,3,4},KMB!T343,KMB!X343,KMB!AB343,KMB!AF343))=3)*(CHOOSE({1,2,3,4},KMB!W343,KMB!AA343,KMB!AE343,KMB!AI343)))</f>
        <v>0</v>
      </c>
      <c r="D343">
        <f>SUMPRODUCT((MONTH(CHOOSE({1,2,3,4},KMB!T343,KMB!X343,KMB!AB343,KMB!AF343))=4)*(CHOOSE({1,2,3,4},KMB!W343,KMB!AA343,KMB!AE343,KMB!AI343)))</f>
        <v>0</v>
      </c>
      <c r="E343">
        <f>SUMPRODUCT((MONTH(CHOOSE({1,2,3,4},KMB!T343,KMB!X343,KMB!AB343,KMB!AF343))=5)*(CHOOSE({1,2,3,4},KMB!W343,KMB!AA343,KMB!AE343,KMB!AI343)))</f>
        <v>0</v>
      </c>
      <c r="F343">
        <f>SUMPRODUCT((MONTH(CHOOSE({1,2,3,4},KMB!T343,KMB!X343,KMB!AB343,KMB!AF343))=6)*(CHOOSE({1,2,3,4},KMB!W343,KMB!AA343,KMB!AE343,KMB!AI343)))</f>
        <v>0</v>
      </c>
      <c r="G343">
        <f>SUMPRODUCT((MONTH(CHOOSE({1,2,3,4},KMB!T343,KMB!X343,KMB!AB343,KMB!AF343))=7)*(CHOOSE({1,2,3,4},KMB!W343,KMB!AA343,KMB!AE343,KMB!AI343)))</f>
        <v>0</v>
      </c>
      <c r="H343">
        <f>SUMPRODUCT((MONTH(CHOOSE({1,2,3,4},KMB!T343,KMB!X343,KMB!AB343,KMB!AF343))=8)*(CHOOSE({1,2,3,4},KMB!W343,KMB!AA343,KMB!AE343,KMB!AI343)))</f>
        <v>0</v>
      </c>
      <c r="I343">
        <f>SUMPRODUCT((MONTH(CHOOSE({1,2,3,4},KMB!T343,KMB!X343,KMB!AB343,KMB!AF343))=9)*(CHOOSE({1,2,3,4},KMB!W343,KMB!AA343,KMB!AE343,KMB!AI343)))</f>
        <v>0</v>
      </c>
      <c r="J343">
        <f>SUMPRODUCT((MONTH(CHOOSE({1,2,3,4},KMB!T343,KMB!X343,KMB!AB343,KMB!AF343))=10)*(CHOOSE({1,2,3,4},KMB!W343,KMB!AA343,KMB!AE343,KMB!AI343)))</f>
        <v>0</v>
      </c>
      <c r="K343">
        <f>SUMPRODUCT((MONTH(CHOOSE({1,2,3,4},KMB!T343,KMB!X343,KMB!AB343,KMB!AF343))=11)*(CHOOSE({1,2,3,4},KMB!W343,KMB!AA343,KMB!AE343,KMB!AI343)))</f>
        <v>0</v>
      </c>
      <c r="L343">
        <f>SUMPRODUCT((MONTH(CHOOSE({1,2,3,4},KMB!T343,KMB!X343,KMB!AB343,KMB!AF343))=12)*(CHOOSE({1,2,3,4},KMB!W343,KMB!AA343,KMB!AE343,KMB!AI343)))</f>
        <v>0</v>
      </c>
    </row>
    <row r="344" spans="1:12">
      <c r="A344">
        <f>SUMPRODUCT((MONTH(CHOOSE({1,2,3,4},KMB!T344,KMB!X344,KMB!AB344,KMB!AF344))=1)*(CHOOSE({1,2,3,4},KMB!W344,KMB!AA344,KMB!AE344,KMB!AI344)))</f>
        <v>0</v>
      </c>
      <c r="B344">
        <f>SUMPRODUCT((MONTH(CHOOSE({1,2,3,4},KMB!T344,KMB!X344,KMB!AB344,KMB!AF344))=2)*(CHOOSE({1,2,3,4},KMB!W344,KMB!AA344,KMB!AE344,KMB!AI344)))</f>
        <v>0</v>
      </c>
      <c r="C344">
        <f>SUMPRODUCT((MONTH(CHOOSE({1,2,3,4},KMB!T344,KMB!X344,KMB!AB344,KMB!AF344))=3)*(CHOOSE({1,2,3,4},KMB!W344,KMB!AA344,KMB!AE344,KMB!AI344)))</f>
        <v>0</v>
      </c>
      <c r="D344">
        <f>SUMPRODUCT((MONTH(CHOOSE({1,2,3,4},KMB!T344,KMB!X344,KMB!AB344,KMB!AF344))=4)*(CHOOSE({1,2,3,4},KMB!W344,KMB!AA344,KMB!AE344,KMB!AI344)))</f>
        <v>0</v>
      </c>
      <c r="E344">
        <f>SUMPRODUCT((MONTH(CHOOSE({1,2,3,4},KMB!T344,KMB!X344,KMB!AB344,KMB!AF344))=5)*(CHOOSE({1,2,3,4},KMB!W344,KMB!AA344,KMB!AE344,KMB!AI344)))</f>
        <v>0</v>
      </c>
      <c r="F344">
        <f>SUMPRODUCT((MONTH(CHOOSE({1,2,3,4},KMB!T344,KMB!X344,KMB!AB344,KMB!AF344))=6)*(CHOOSE({1,2,3,4},KMB!W344,KMB!AA344,KMB!AE344,KMB!AI344)))</f>
        <v>0</v>
      </c>
      <c r="G344">
        <f>SUMPRODUCT((MONTH(CHOOSE({1,2,3,4},KMB!T344,KMB!X344,KMB!AB344,KMB!AF344))=7)*(CHOOSE({1,2,3,4},KMB!W344,KMB!AA344,KMB!AE344,KMB!AI344)))</f>
        <v>0</v>
      </c>
      <c r="H344">
        <f>SUMPRODUCT((MONTH(CHOOSE({1,2,3,4},KMB!T344,KMB!X344,KMB!AB344,KMB!AF344))=8)*(CHOOSE({1,2,3,4},KMB!W344,KMB!AA344,KMB!AE344,KMB!AI344)))</f>
        <v>0</v>
      </c>
      <c r="I344">
        <f>SUMPRODUCT((MONTH(CHOOSE({1,2,3,4},KMB!T344,KMB!X344,KMB!AB344,KMB!AF344))=9)*(CHOOSE({1,2,3,4},KMB!W344,KMB!AA344,KMB!AE344,KMB!AI344)))</f>
        <v>0</v>
      </c>
      <c r="J344">
        <f>SUMPRODUCT((MONTH(CHOOSE({1,2,3,4},KMB!T344,KMB!X344,KMB!AB344,KMB!AF344))=10)*(CHOOSE({1,2,3,4},KMB!W344,KMB!AA344,KMB!AE344,KMB!AI344)))</f>
        <v>0</v>
      </c>
      <c r="K344">
        <f>SUMPRODUCT((MONTH(CHOOSE({1,2,3,4},KMB!T344,KMB!X344,KMB!AB344,KMB!AF344))=11)*(CHOOSE({1,2,3,4},KMB!W344,KMB!AA344,KMB!AE344,KMB!AI344)))</f>
        <v>0</v>
      </c>
      <c r="L344">
        <f>SUMPRODUCT((MONTH(CHOOSE({1,2,3,4},KMB!T344,KMB!X344,KMB!AB344,KMB!AF344))=12)*(CHOOSE({1,2,3,4},KMB!W344,KMB!AA344,KMB!AE344,KMB!AI344)))</f>
        <v>0</v>
      </c>
    </row>
    <row r="345" spans="1:12">
      <c r="A345">
        <f>SUMPRODUCT((MONTH(CHOOSE({1,2,3,4},KMB!T345,KMB!X345,KMB!AB345,KMB!AF345))=1)*(CHOOSE({1,2,3,4},KMB!W345,KMB!AA345,KMB!AE345,KMB!AI345)))</f>
        <v>0</v>
      </c>
      <c r="B345">
        <f>SUMPRODUCT((MONTH(CHOOSE({1,2,3,4},KMB!T345,KMB!X345,KMB!AB345,KMB!AF345))=2)*(CHOOSE({1,2,3,4},KMB!W345,KMB!AA345,KMB!AE345,KMB!AI345)))</f>
        <v>0</v>
      </c>
      <c r="C345">
        <f>SUMPRODUCT((MONTH(CHOOSE({1,2,3,4},KMB!T345,KMB!X345,KMB!AB345,KMB!AF345))=3)*(CHOOSE({1,2,3,4},KMB!W345,KMB!AA345,KMB!AE345,KMB!AI345)))</f>
        <v>0</v>
      </c>
      <c r="D345">
        <f>SUMPRODUCT((MONTH(CHOOSE({1,2,3,4},KMB!T345,KMB!X345,KMB!AB345,KMB!AF345))=4)*(CHOOSE({1,2,3,4},KMB!W345,KMB!AA345,KMB!AE345,KMB!AI345)))</f>
        <v>0</v>
      </c>
      <c r="E345">
        <f>SUMPRODUCT((MONTH(CHOOSE({1,2,3,4},KMB!T345,KMB!X345,KMB!AB345,KMB!AF345))=5)*(CHOOSE({1,2,3,4},KMB!W345,KMB!AA345,KMB!AE345,KMB!AI345)))</f>
        <v>0</v>
      </c>
      <c r="F345">
        <f>SUMPRODUCT((MONTH(CHOOSE({1,2,3,4},KMB!T345,KMB!X345,KMB!AB345,KMB!AF345))=6)*(CHOOSE({1,2,3,4},KMB!W345,KMB!AA345,KMB!AE345,KMB!AI345)))</f>
        <v>0</v>
      </c>
      <c r="G345">
        <f>SUMPRODUCT((MONTH(CHOOSE({1,2,3,4},KMB!T345,KMB!X345,KMB!AB345,KMB!AF345))=7)*(CHOOSE({1,2,3,4},KMB!W345,KMB!AA345,KMB!AE345,KMB!AI345)))</f>
        <v>0</v>
      </c>
      <c r="H345">
        <f>SUMPRODUCT((MONTH(CHOOSE({1,2,3,4},KMB!T345,KMB!X345,KMB!AB345,KMB!AF345))=8)*(CHOOSE({1,2,3,4},KMB!W345,KMB!AA345,KMB!AE345,KMB!AI345)))</f>
        <v>0</v>
      </c>
      <c r="I345">
        <f>SUMPRODUCT((MONTH(CHOOSE({1,2,3,4},KMB!T345,KMB!X345,KMB!AB345,KMB!AF345))=9)*(CHOOSE({1,2,3,4},KMB!W345,KMB!AA345,KMB!AE345,KMB!AI345)))</f>
        <v>0</v>
      </c>
      <c r="J345">
        <f>SUMPRODUCT((MONTH(CHOOSE({1,2,3,4},KMB!T345,KMB!X345,KMB!AB345,KMB!AF345))=10)*(CHOOSE({1,2,3,4},KMB!W345,KMB!AA345,KMB!AE345,KMB!AI345)))</f>
        <v>0</v>
      </c>
      <c r="K345">
        <f>SUMPRODUCT((MONTH(CHOOSE({1,2,3,4},KMB!T345,KMB!X345,KMB!AB345,KMB!AF345))=11)*(CHOOSE({1,2,3,4},KMB!W345,KMB!AA345,KMB!AE345,KMB!AI345)))</f>
        <v>0</v>
      </c>
      <c r="L345">
        <f>SUMPRODUCT((MONTH(CHOOSE({1,2,3,4},KMB!T345,KMB!X345,KMB!AB345,KMB!AF345))=12)*(CHOOSE({1,2,3,4},KMB!W345,KMB!AA345,KMB!AE345,KMB!AI345)))</f>
        <v>0</v>
      </c>
    </row>
    <row r="346" spans="1:12">
      <c r="A346">
        <f>SUMPRODUCT((MONTH(CHOOSE({1,2,3,4},KMB!T346,KMB!X346,KMB!AB346,KMB!AF346))=1)*(CHOOSE({1,2,3,4},KMB!W346,KMB!AA346,KMB!AE346,KMB!AI346)))</f>
        <v>0</v>
      </c>
      <c r="B346">
        <f>SUMPRODUCT((MONTH(CHOOSE({1,2,3,4},KMB!T346,KMB!X346,KMB!AB346,KMB!AF346))=2)*(CHOOSE({1,2,3,4},KMB!W346,KMB!AA346,KMB!AE346,KMB!AI346)))</f>
        <v>0</v>
      </c>
      <c r="C346">
        <f>SUMPRODUCT((MONTH(CHOOSE({1,2,3,4},KMB!T346,KMB!X346,KMB!AB346,KMB!AF346))=3)*(CHOOSE({1,2,3,4},KMB!W346,KMB!AA346,KMB!AE346,KMB!AI346)))</f>
        <v>0</v>
      </c>
      <c r="D346">
        <f>SUMPRODUCT((MONTH(CHOOSE({1,2,3,4},KMB!T346,KMB!X346,KMB!AB346,KMB!AF346))=4)*(CHOOSE({1,2,3,4},KMB!W346,KMB!AA346,KMB!AE346,KMB!AI346)))</f>
        <v>0</v>
      </c>
      <c r="E346">
        <f>SUMPRODUCT((MONTH(CHOOSE({1,2,3,4},KMB!T346,KMB!X346,KMB!AB346,KMB!AF346))=5)*(CHOOSE({1,2,3,4},KMB!W346,KMB!AA346,KMB!AE346,KMB!AI346)))</f>
        <v>0</v>
      </c>
      <c r="F346">
        <f>SUMPRODUCT((MONTH(CHOOSE({1,2,3,4},KMB!T346,KMB!X346,KMB!AB346,KMB!AF346))=6)*(CHOOSE({1,2,3,4},KMB!W346,KMB!AA346,KMB!AE346,KMB!AI346)))</f>
        <v>0</v>
      </c>
      <c r="G346">
        <f>SUMPRODUCT((MONTH(CHOOSE({1,2,3,4},KMB!T346,KMB!X346,KMB!AB346,KMB!AF346))=7)*(CHOOSE({1,2,3,4},KMB!W346,KMB!AA346,KMB!AE346,KMB!AI346)))</f>
        <v>0</v>
      </c>
      <c r="H346">
        <f>SUMPRODUCT((MONTH(CHOOSE({1,2,3,4},KMB!T346,KMB!X346,KMB!AB346,KMB!AF346))=8)*(CHOOSE({1,2,3,4},KMB!W346,KMB!AA346,KMB!AE346,KMB!AI346)))</f>
        <v>0</v>
      </c>
      <c r="I346">
        <f>SUMPRODUCT((MONTH(CHOOSE({1,2,3,4},KMB!T346,KMB!X346,KMB!AB346,KMB!AF346))=9)*(CHOOSE({1,2,3,4},KMB!W346,KMB!AA346,KMB!AE346,KMB!AI346)))</f>
        <v>0</v>
      </c>
      <c r="J346">
        <f>SUMPRODUCT((MONTH(CHOOSE({1,2,3,4},KMB!T346,KMB!X346,KMB!AB346,KMB!AF346))=10)*(CHOOSE({1,2,3,4},KMB!W346,KMB!AA346,KMB!AE346,KMB!AI346)))</f>
        <v>0</v>
      </c>
      <c r="K346">
        <f>SUMPRODUCT((MONTH(CHOOSE({1,2,3,4},KMB!T346,KMB!X346,KMB!AB346,KMB!AF346))=11)*(CHOOSE({1,2,3,4},KMB!W346,KMB!AA346,KMB!AE346,KMB!AI346)))</f>
        <v>0</v>
      </c>
      <c r="L346">
        <f>SUMPRODUCT((MONTH(CHOOSE({1,2,3,4},KMB!T346,KMB!X346,KMB!AB346,KMB!AF346))=12)*(CHOOSE({1,2,3,4},KMB!W346,KMB!AA346,KMB!AE346,KMB!AI346)))</f>
        <v>0</v>
      </c>
    </row>
    <row r="347" spans="1:12">
      <c r="A347">
        <f>SUMPRODUCT((MONTH(CHOOSE({1,2,3,4},KMB!T347,KMB!X347,KMB!AB347,KMB!AF347))=1)*(CHOOSE({1,2,3,4},KMB!W347,KMB!AA347,KMB!AE347,KMB!AI347)))</f>
        <v>0</v>
      </c>
      <c r="B347">
        <f>SUMPRODUCT((MONTH(CHOOSE({1,2,3,4},KMB!T347,KMB!X347,KMB!AB347,KMB!AF347))=2)*(CHOOSE({1,2,3,4},KMB!W347,KMB!AA347,KMB!AE347,KMB!AI347)))</f>
        <v>0</v>
      </c>
      <c r="C347">
        <f>SUMPRODUCT((MONTH(CHOOSE({1,2,3,4},KMB!T347,KMB!X347,KMB!AB347,KMB!AF347))=3)*(CHOOSE({1,2,3,4},KMB!W347,KMB!AA347,KMB!AE347,KMB!AI347)))</f>
        <v>0</v>
      </c>
      <c r="D347">
        <f>SUMPRODUCT((MONTH(CHOOSE({1,2,3,4},KMB!T347,KMB!X347,KMB!AB347,KMB!AF347))=4)*(CHOOSE({1,2,3,4},KMB!W347,KMB!AA347,KMB!AE347,KMB!AI347)))</f>
        <v>0</v>
      </c>
      <c r="E347">
        <f>SUMPRODUCT((MONTH(CHOOSE({1,2,3,4},KMB!T347,KMB!X347,KMB!AB347,KMB!AF347))=5)*(CHOOSE({1,2,3,4},KMB!W347,KMB!AA347,KMB!AE347,KMB!AI347)))</f>
        <v>0</v>
      </c>
      <c r="F347">
        <f>SUMPRODUCT((MONTH(CHOOSE({1,2,3,4},KMB!T347,KMB!X347,KMB!AB347,KMB!AF347))=6)*(CHOOSE({1,2,3,4},KMB!W347,KMB!AA347,KMB!AE347,KMB!AI347)))</f>
        <v>0</v>
      </c>
      <c r="G347">
        <f>SUMPRODUCT((MONTH(CHOOSE({1,2,3,4},KMB!T347,KMB!X347,KMB!AB347,KMB!AF347))=7)*(CHOOSE({1,2,3,4},KMB!W347,KMB!AA347,KMB!AE347,KMB!AI347)))</f>
        <v>0</v>
      </c>
      <c r="H347">
        <f>SUMPRODUCT((MONTH(CHOOSE({1,2,3,4},KMB!T347,KMB!X347,KMB!AB347,KMB!AF347))=8)*(CHOOSE({1,2,3,4},KMB!W347,KMB!AA347,KMB!AE347,KMB!AI347)))</f>
        <v>0</v>
      </c>
      <c r="I347">
        <f>SUMPRODUCT((MONTH(CHOOSE({1,2,3,4},KMB!T347,KMB!X347,KMB!AB347,KMB!AF347))=9)*(CHOOSE({1,2,3,4},KMB!W347,KMB!AA347,KMB!AE347,KMB!AI347)))</f>
        <v>0</v>
      </c>
      <c r="J347">
        <f>SUMPRODUCT((MONTH(CHOOSE({1,2,3,4},KMB!T347,KMB!X347,KMB!AB347,KMB!AF347))=10)*(CHOOSE({1,2,3,4},KMB!W347,KMB!AA347,KMB!AE347,KMB!AI347)))</f>
        <v>0</v>
      </c>
      <c r="K347">
        <f>SUMPRODUCT((MONTH(CHOOSE({1,2,3,4},KMB!T347,KMB!X347,KMB!AB347,KMB!AF347))=11)*(CHOOSE({1,2,3,4},KMB!W347,KMB!AA347,KMB!AE347,KMB!AI347)))</f>
        <v>0</v>
      </c>
      <c r="L347">
        <f>SUMPRODUCT((MONTH(CHOOSE({1,2,3,4},KMB!T347,KMB!X347,KMB!AB347,KMB!AF347))=12)*(CHOOSE({1,2,3,4},KMB!W347,KMB!AA347,KMB!AE347,KMB!AI347)))</f>
        <v>0</v>
      </c>
    </row>
    <row r="348" spans="1:12">
      <c r="A348">
        <f>SUMPRODUCT((MONTH(CHOOSE({1,2,3,4},KMB!T348,KMB!X348,KMB!AB348,KMB!AF348))=1)*(CHOOSE({1,2,3,4},KMB!W348,KMB!AA348,KMB!AE348,KMB!AI348)))</f>
        <v>0</v>
      </c>
      <c r="B348">
        <f>SUMPRODUCT((MONTH(CHOOSE({1,2,3,4},KMB!T348,KMB!X348,KMB!AB348,KMB!AF348))=2)*(CHOOSE({1,2,3,4},KMB!W348,KMB!AA348,KMB!AE348,KMB!AI348)))</f>
        <v>0</v>
      </c>
      <c r="C348">
        <f>SUMPRODUCT((MONTH(CHOOSE({1,2,3,4},KMB!T348,KMB!X348,KMB!AB348,KMB!AF348))=3)*(CHOOSE({1,2,3,4},KMB!W348,KMB!AA348,KMB!AE348,KMB!AI348)))</f>
        <v>0</v>
      </c>
      <c r="D348">
        <f>SUMPRODUCT((MONTH(CHOOSE({1,2,3,4},KMB!T348,KMB!X348,KMB!AB348,KMB!AF348))=4)*(CHOOSE({1,2,3,4},KMB!W348,KMB!AA348,KMB!AE348,KMB!AI348)))</f>
        <v>0</v>
      </c>
      <c r="E348">
        <f>SUMPRODUCT((MONTH(CHOOSE({1,2,3,4},KMB!T348,KMB!X348,KMB!AB348,KMB!AF348))=5)*(CHOOSE({1,2,3,4},KMB!W348,KMB!AA348,KMB!AE348,KMB!AI348)))</f>
        <v>0</v>
      </c>
      <c r="F348">
        <f>SUMPRODUCT((MONTH(CHOOSE({1,2,3,4},KMB!T348,KMB!X348,KMB!AB348,KMB!AF348))=6)*(CHOOSE({1,2,3,4},KMB!W348,KMB!AA348,KMB!AE348,KMB!AI348)))</f>
        <v>0</v>
      </c>
      <c r="G348">
        <f>SUMPRODUCT((MONTH(CHOOSE({1,2,3,4},KMB!T348,KMB!X348,KMB!AB348,KMB!AF348))=7)*(CHOOSE({1,2,3,4},KMB!W348,KMB!AA348,KMB!AE348,KMB!AI348)))</f>
        <v>0</v>
      </c>
      <c r="H348">
        <f>SUMPRODUCT((MONTH(CHOOSE({1,2,3,4},KMB!T348,KMB!X348,KMB!AB348,KMB!AF348))=8)*(CHOOSE({1,2,3,4},KMB!W348,KMB!AA348,KMB!AE348,KMB!AI348)))</f>
        <v>0</v>
      </c>
      <c r="I348">
        <f>SUMPRODUCT((MONTH(CHOOSE({1,2,3,4},KMB!T348,KMB!X348,KMB!AB348,KMB!AF348))=9)*(CHOOSE({1,2,3,4},KMB!W348,KMB!AA348,KMB!AE348,KMB!AI348)))</f>
        <v>0</v>
      </c>
      <c r="J348">
        <f>SUMPRODUCT((MONTH(CHOOSE({1,2,3,4},KMB!T348,KMB!X348,KMB!AB348,KMB!AF348))=10)*(CHOOSE({1,2,3,4},KMB!W348,KMB!AA348,KMB!AE348,KMB!AI348)))</f>
        <v>0</v>
      </c>
      <c r="K348">
        <f>SUMPRODUCT((MONTH(CHOOSE({1,2,3,4},KMB!T348,KMB!X348,KMB!AB348,KMB!AF348))=11)*(CHOOSE({1,2,3,4},KMB!W348,KMB!AA348,KMB!AE348,KMB!AI348)))</f>
        <v>0</v>
      </c>
      <c r="L348">
        <f>SUMPRODUCT((MONTH(CHOOSE({1,2,3,4},KMB!T348,KMB!X348,KMB!AB348,KMB!AF348))=12)*(CHOOSE({1,2,3,4},KMB!W348,KMB!AA348,KMB!AE348,KMB!AI348)))</f>
        <v>0</v>
      </c>
    </row>
    <row r="349" spans="1:12">
      <c r="A349">
        <f>SUMPRODUCT((MONTH(CHOOSE({1,2,3,4},KMB!T349,KMB!X349,KMB!AB349,KMB!AF349))=1)*(CHOOSE({1,2,3,4},KMB!W349,KMB!AA349,KMB!AE349,KMB!AI349)))</f>
        <v>0</v>
      </c>
      <c r="B349">
        <f>SUMPRODUCT((MONTH(CHOOSE({1,2,3,4},KMB!T349,KMB!X349,KMB!AB349,KMB!AF349))=2)*(CHOOSE({1,2,3,4},KMB!W349,KMB!AA349,KMB!AE349,KMB!AI349)))</f>
        <v>0</v>
      </c>
      <c r="C349">
        <f>SUMPRODUCT((MONTH(CHOOSE({1,2,3,4},KMB!T349,KMB!X349,KMB!AB349,KMB!AF349))=3)*(CHOOSE({1,2,3,4},KMB!W349,KMB!AA349,KMB!AE349,KMB!AI349)))</f>
        <v>0</v>
      </c>
      <c r="D349">
        <f>SUMPRODUCT((MONTH(CHOOSE({1,2,3,4},KMB!T349,KMB!X349,KMB!AB349,KMB!AF349))=4)*(CHOOSE({1,2,3,4},KMB!W349,KMB!AA349,KMB!AE349,KMB!AI349)))</f>
        <v>0</v>
      </c>
      <c r="E349">
        <f>SUMPRODUCT((MONTH(CHOOSE({1,2,3,4},KMB!T349,KMB!X349,KMB!AB349,KMB!AF349))=5)*(CHOOSE({1,2,3,4},KMB!W349,KMB!AA349,KMB!AE349,KMB!AI349)))</f>
        <v>0</v>
      </c>
      <c r="F349">
        <f>SUMPRODUCT((MONTH(CHOOSE({1,2,3,4},KMB!T349,KMB!X349,KMB!AB349,KMB!AF349))=6)*(CHOOSE({1,2,3,4},KMB!W349,KMB!AA349,KMB!AE349,KMB!AI349)))</f>
        <v>0</v>
      </c>
      <c r="G349">
        <f>SUMPRODUCT((MONTH(CHOOSE({1,2,3,4},KMB!T349,KMB!X349,KMB!AB349,KMB!AF349))=7)*(CHOOSE({1,2,3,4},KMB!W349,KMB!AA349,KMB!AE349,KMB!AI349)))</f>
        <v>0</v>
      </c>
      <c r="H349">
        <f>SUMPRODUCT((MONTH(CHOOSE({1,2,3,4},KMB!T349,KMB!X349,KMB!AB349,KMB!AF349))=8)*(CHOOSE({1,2,3,4},KMB!W349,KMB!AA349,KMB!AE349,KMB!AI349)))</f>
        <v>0</v>
      </c>
      <c r="I349">
        <f>SUMPRODUCT((MONTH(CHOOSE({1,2,3,4},KMB!T349,KMB!X349,KMB!AB349,KMB!AF349))=9)*(CHOOSE({1,2,3,4},KMB!W349,KMB!AA349,KMB!AE349,KMB!AI349)))</f>
        <v>0</v>
      </c>
      <c r="J349">
        <f>SUMPRODUCT((MONTH(CHOOSE({1,2,3,4},KMB!T349,KMB!X349,KMB!AB349,KMB!AF349))=10)*(CHOOSE({1,2,3,4},KMB!W349,KMB!AA349,KMB!AE349,KMB!AI349)))</f>
        <v>0</v>
      </c>
      <c r="K349">
        <f>SUMPRODUCT((MONTH(CHOOSE({1,2,3,4},KMB!T349,KMB!X349,KMB!AB349,KMB!AF349))=11)*(CHOOSE({1,2,3,4},KMB!W349,KMB!AA349,KMB!AE349,KMB!AI349)))</f>
        <v>0</v>
      </c>
      <c r="L349">
        <f>SUMPRODUCT((MONTH(CHOOSE({1,2,3,4},KMB!T349,KMB!X349,KMB!AB349,KMB!AF349))=12)*(CHOOSE({1,2,3,4},KMB!W349,KMB!AA349,KMB!AE349,KMB!AI349)))</f>
        <v>0</v>
      </c>
    </row>
    <row r="350" spans="1:12">
      <c r="A350">
        <f>SUMPRODUCT((MONTH(CHOOSE({1,2,3,4},KMB!T350,KMB!X350,KMB!AB350,KMB!AF350))=1)*(CHOOSE({1,2,3,4},KMB!W350,KMB!AA350,KMB!AE350,KMB!AI350)))</f>
        <v>0</v>
      </c>
      <c r="B350">
        <f>SUMPRODUCT((MONTH(CHOOSE({1,2,3,4},KMB!T350,KMB!X350,KMB!AB350,KMB!AF350))=2)*(CHOOSE({1,2,3,4},KMB!W350,KMB!AA350,KMB!AE350,KMB!AI350)))</f>
        <v>0</v>
      </c>
      <c r="C350">
        <f>SUMPRODUCT((MONTH(CHOOSE({1,2,3,4},KMB!T350,KMB!X350,KMB!AB350,KMB!AF350))=3)*(CHOOSE({1,2,3,4},KMB!W350,KMB!AA350,KMB!AE350,KMB!AI350)))</f>
        <v>0</v>
      </c>
      <c r="D350">
        <f>SUMPRODUCT((MONTH(CHOOSE({1,2,3,4},KMB!T350,KMB!X350,KMB!AB350,KMB!AF350))=4)*(CHOOSE({1,2,3,4},KMB!W350,KMB!AA350,KMB!AE350,KMB!AI350)))</f>
        <v>0</v>
      </c>
      <c r="E350">
        <f>SUMPRODUCT((MONTH(CHOOSE({1,2,3,4},KMB!T350,KMB!X350,KMB!AB350,KMB!AF350))=5)*(CHOOSE({1,2,3,4},KMB!W350,KMB!AA350,KMB!AE350,KMB!AI350)))</f>
        <v>0</v>
      </c>
      <c r="F350">
        <f>SUMPRODUCT((MONTH(CHOOSE({1,2,3,4},KMB!T350,KMB!X350,KMB!AB350,KMB!AF350))=6)*(CHOOSE({1,2,3,4},KMB!W350,KMB!AA350,KMB!AE350,KMB!AI350)))</f>
        <v>0</v>
      </c>
      <c r="G350">
        <f>SUMPRODUCT((MONTH(CHOOSE({1,2,3,4},KMB!T350,KMB!X350,KMB!AB350,KMB!AF350))=7)*(CHOOSE({1,2,3,4},KMB!W350,KMB!AA350,KMB!AE350,KMB!AI350)))</f>
        <v>0</v>
      </c>
      <c r="H350">
        <f>SUMPRODUCT((MONTH(CHOOSE({1,2,3,4},KMB!T350,KMB!X350,KMB!AB350,KMB!AF350))=8)*(CHOOSE({1,2,3,4},KMB!W350,KMB!AA350,KMB!AE350,KMB!AI350)))</f>
        <v>0</v>
      </c>
      <c r="I350">
        <f>SUMPRODUCT((MONTH(CHOOSE({1,2,3,4},KMB!T350,KMB!X350,KMB!AB350,KMB!AF350))=9)*(CHOOSE({1,2,3,4},KMB!W350,KMB!AA350,KMB!AE350,KMB!AI350)))</f>
        <v>0</v>
      </c>
      <c r="J350">
        <f>SUMPRODUCT((MONTH(CHOOSE({1,2,3,4},KMB!T350,KMB!X350,KMB!AB350,KMB!AF350))=10)*(CHOOSE({1,2,3,4},KMB!W350,KMB!AA350,KMB!AE350,KMB!AI350)))</f>
        <v>0</v>
      </c>
      <c r="K350">
        <f>SUMPRODUCT((MONTH(CHOOSE({1,2,3,4},KMB!T350,KMB!X350,KMB!AB350,KMB!AF350))=11)*(CHOOSE({1,2,3,4},KMB!W350,KMB!AA350,KMB!AE350,KMB!AI350)))</f>
        <v>0</v>
      </c>
      <c r="L350">
        <f>SUMPRODUCT((MONTH(CHOOSE({1,2,3,4},KMB!T350,KMB!X350,KMB!AB350,KMB!AF350))=12)*(CHOOSE({1,2,3,4},KMB!W350,KMB!AA350,KMB!AE350,KMB!AI350)))</f>
        <v>0</v>
      </c>
    </row>
    <row r="351" spans="1:12">
      <c r="A351">
        <f>SUMPRODUCT((MONTH(CHOOSE({1,2,3,4},KMB!T351,KMB!X351,KMB!AB351,KMB!AF351))=1)*(CHOOSE({1,2,3,4},KMB!W351,KMB!AA351,KMB!AE351,KMB!AI351)))</f>
        <v>0</v>
      </c>
      <c r="B351">
        <f>SUMPRODUCT((MONTH(CHOOSE({1,2,3,4},KMB!T351,KMB!X351,KMB!AB351,KMB!AF351))=2)*(CHOOSE({1,2,3,4},KMB!W351,KMB!AA351,KMB!AE351,KMB!AI351)))</f>
        <v>0</v>
      </c>
      <c r="C351">
        <f>SUMPRODUCT((MONTH(CHOOSE({1,2,3,4},KMB!T351,KMB!X351,KMB!AB351,KMB!AF351))=3)*(CHOOSE({1,2,3,4},KMB!W351,KMB!AA351,KMB!AE351,KMB!AI351)))</f>
        <v>0</v>
      </c>
      <c r="D351">
        <f>SUMPRODUCT((MONTH(CHOOSE({1,2,3,4},KMB!T351,KMB!X351,KMB!AB351,KMB!AF351))=4)*(CHOOSE({1,2,3,4},KMB!W351,KMB!AA351,KMB!AE351,KMB!AI351)))</f>
        <v>0</v>
      </c>
      <c r="E351">
        <f>SUMPRODUCT((MONTH(CHOOSE({1,2,3,4},KMB!T351,KMB!X351,KMB!AB351,KMB!AF351))=5)*(CHOOSE({1,2,3,4},KMB!W351,KMB!AA351,KMB!AE351,KMB!AI351)))</f>
        <v>0</v>
      </c>
      <c r="F351">
        <f>SUMPRODUCT((MONTH(CHOOSE({1,2,3,4},KMB!T351,KMB!X351,KMB!AB351,KMB!AF351))=6)*(CHOOSE({1,2,3,4},KMB!W351,KMB!AA351,KMB!AE351,KMB!AI351)))</f>
        <v>0</v>
      </c>
      <c r="G351">
        <f>SUMPRODUCT((MONTH(CHOOSE({1,2,3,4},KMB!T351,KMB!X351,KMB!AB351,KMB!AF351))=7)*(CHOOSE({1,2,3,4},KMB!W351,KMB!AA351,KMB!AE351,KMB!AI351)))</f>
        <v>0</v>
      </c>
      <c r="H351">
        <f>SUMPRODUCT((MONTH(CHOOSE({1,2,3,4},KMB!T351,KMB!X351,KMB!AB351,KMB!AF351))=8)*(CHOOSE({1,2,3,4},KMB!W351,KMB!AA351,KMB!AE351,KMB!AI351)))</f>
        <v>0</v>
      </c>
      <c r="I351">
        <f>SUMPRODUCT((MONTH(CHOOSE({1,2,3,4},KMB!T351,KMB!X351,KMB!AB351,KMB!AF351))=9)*(CHOOSE({1,2,3,4},KMB!W351,KMB!AA351,KMB!AE351,KMB!AI351)))</f>
        <v>0</v>
      </c>
      <c r="J351">
        <f>SUMPRODUCT((MONTH(CHOOSE({1,2,3,4},KMB!T351,KMB!X351,KMB!AB351,KMB!AF351))=10)*(CHOOSE({1,2,3,4},KMB!W351,KMB!AA351,KMB!AE351,KMB!AI351)))</f>
        <v>0</v>
      </c>
      <c r="K351">
        <f>SUMPRODUCT((MONTH(CHOOSE({1,2,3,4},KMB!T351,KMB!X351,KMB!AB351,KMB!AF351))=11)*(CHOOSE({1,2,3,4},KMB!W351,KMB!AA351,KMB!AE351,KMB!AI351)))</f>
        <v>0</v>
      </c>
      <c r="L351">
        <f>SUMPRODUCT((MONTH(CHOOSE({1,2,3,4},KMB!T351,KMB!X351,KMB!AB351,KMB!AF351))=12)*(CHOOSE({1,2,3,4},KMB!W351,KMB!AA351,KMB!AE351,KMB!AI351)))</f>
        <v>0</v>
      </c>
    </row>
    <row r="352" spans="1:12">
      <c r="A352">
        <f>SUMPRODUCT((MONTH(CHOOSE({1,2,3,4},KMB!T352,KMB!X352,KMB!AB352,KMB!AF352))=1)*(CHOOSE({1,2,3,4},KMB!W352,KMB!AA352,KMB!AE352,KMB!AI352)))</f>
        <v>0</v>
      </c>
      <c r="B352">
        <f>SUMPRODUCT((MONTH(CHOOSE({1,2,3,4},KMB!T352,KMB!X352,KMB!AB352,KMB!AF352))=2)*(CHOOSE({1,2,3,4},KMB!W352,KMB!AA352,KMB!AE352,KMB!AI352)))</f>
        <v>0</v>
      </c>
      <c r="C352">
        <f>SUMPRODUCT((MONTH(CHOOSE({1,2,3,4},KMB!T352,KMB!X352,KMB!AB352,KMB!AF352))=3)*(CHOOSE({1,2,3,4},KMB!W352,KMB!AA352,KMB!AE352,KMB!AI352)))</f>
        <v>0</v>
      </c>
      <c r="D352">
        <f>SUMPRODUCT((MONTH(CHOOSE({1,2,3,4},KMB!T352,KMB!X352,KMB!AB352,KMB!AF352))=4)*(CHOOSE({1,2,3,4},KMB!W352,KMB!AA352,KMB!AE352,KMB!AI352)))</f>
        <v>0</v>
      </c>
      <c r="E352">
        <f>SUMPRODUCT((MONTH(CHOOSE({1,2,3,4},KMB!T352,KMB!X352,KMB!AB352,KMB!AF352))=5)*(CHOOSE({1,2,3,4},KMB!W352,KMB!AA352,KMB!AE352,KMB!AI352)))</f>
        <v>0</v>
      </c>
      <c r="F352">
        <f>SUMPRODUCT((MONTH(CHOOSE({1,2,3,4},KMB!T352,KMB!X352,KMB!AB352,KMB!AF352))=6)*(CHOOSE({1,2,3,4},KMB!W352,KMB!AA352,KMB!AE352,KMB!AI352)))</f>
        <v>0</v>
      </c>
      <c r="G352">
        <f>SUMPRODUCT((MONTH(CHOOSE({1,2,3,4},KMB!T352,KMB!X352,KMB!AB352,KMB!AF352))=7)*(CHOOSE({1,2,3,4},KMB!W352,KMB!AA352,KMB!AE352,KMB!AI352)))</f>
        <v>0</v>
      </c>
      <c r="H352">
        <f>SUMPRODUCT((MONTH(CHOOSE({1,2,3,4},KMB!T352,KMB!X352,KMB!AB352,KMB!AF352))=8)*(CHOOSE({1,2,3,4},KMB!W352,KMB!AA352,KMB!AE352,KMB!AI352)))</f>
        <v>0</v>
      </c>
      <c r="I352">
        <f>SUMPRODUCT((MONTH(CHOOSE({1,2,3,4},KMB!T352,KMB!X352,KMB!AB352,KMB!AF352))=9)*(CHOOSE({1,2,3,4},KMB!W352,KMB!AA352,KMB!AE352,KMB!AI352)))</f>
        <v>0</v>
      </c>
      <c r="J352">
        <f>SUMPRODUCT((MONTH(CHOOSE({1,2,3,4},KMB!T352,KMB!X352,KMB!AB352,KMB!AF352))=10)*(CHOOSE({1,2,3,4},KMB!W352,KMB!AA352,KMB!AE352,KMB!AI352)))</f>
        <v>0</v>
      </c>
      <c r="K352">
        <f>SUMPRODUCT((MONTH(CHOOSE({1,2,3,4},KMB!T352,KMB!X352,KMB!AB352,KMB!AF352))=11)*(CHOOSE({1,2,3,4},KMB!W352,KMB!AA352,KMB!AE352,KMB!AI352)))</f>
        <v>0</v>
      </c>
      <c r="L352">
        <f>SUMPRODUCT((MONTH(CHOOSE({1,2,3,4},KMB!T352,KMB!X352,KMB!AB352,KMB!AF352))=12)*(CHOOSE({1,2,3,4},KMB!W352,KMB!AA352,KMB!AE352,KMB!AI352)))</f>
        <v>0</v>
      </c>
    </row>
    <row r="353" spans="1:12">
      <c r="A353">
        <f>SUMPRODUCT((MONTH(CHOOSE({1,2,3,4},KMB!T353,KMB!X353,KMB!AB353,KMB!AF353))=1)*(CHOOSE({1,2,3,4},KMB!W353,KMB!AA353,KMB!AE353,KMB!AI353)))</f>
        <v>0</v>
      </c>
      <c r="B353">
        <f>SUMPRODUCT((MONTH(CHOOSE({1,2,3,4},KMB!T353,KMB!X353,KMB!AB353,KMB!AF353))=2)*(CHOOSE({1,2,3,4},KMB!W353,KMB!AA353,KMB!AE353,KMB!AI353)))</f>
        <v>0</v>
      </c>
      <c r="C353">
        <f>SUMPRODUCT((MONTH(CHOOSE({1,2,3,4},KMB!T353,KMB!X353,KMB!AB353,KMB!AF353))=3)*(CHOOSE({1,2,3,4},KMB!W353,KMB!AA353,KMB!AE353,KMB!AI353)))</f>
        <v>0</v>
      </c>
      <c r="D353">
        <f>SUMPRODUCT((MONTH(CHOOSE({1,2,3,4},KMB!T353,KMB!X353,KMB!AB353,KMB!AF353))=4)*(CHOOSE({1,2,3,4},KMB!W353,KMB!AA353,KMB!AE353,KMB!AI353)))</f>
        <v>0</v>
      </c>
      <c r="E353">
        <f>SUMPRODUCT((MONTH(CHOOSE({1,2,3,4},KMB!T353,KMB!X353,KMB!AB353,KMB!AF353))=5)*(CHOOSE({1,2,3,4},KMB!W353,KMB!AA353,KMB!AE353,KMB!AI353)))</f>
        <v>0</v>
      </c>
      <c r="F353">
        <f>SUMPRODUCT((MONTH(CHOOSE({1,2,3,4},KMB!T353,KMB!X353,KMB!AB353,KMB!AF353))=6)*(CHOOSE({1,2,3,4},KMB!W353,KMB!AA353,KMB!AE353,KMB!AI353)))</f>
        <v>0</v>
      </c>
      <c r="G353">
        <f>SUMPRODUCT((MONTH(CHOOSE({1,2,3,4},KMB!T353,KMB!X353,KMB!AB353,KMB!AF353))=7)*(CHOOSE({1,2,3,4},KMB!W353,KMB!AA353,KMB!AE353,KMB!AI353)))</f>
        <v>0</v>
      </c>
      <c r="H353">
        <f>SUMPRODUCT((MONTH(CHOOSE({1,2,3,4},KMB!T353,KMB!X353,KMB!AB353,KMB!AF353))=8)*(CHOOSE({1,2,3,4},KMB!W353,KMB!AA353,KMB!AE353,KMB!AI353)))</f>
        <v>0</v>
      </c>
      <c r="I353">
        <f>SUMPRODUCT((MONTH(CHOOSE({1,2,3,4},KMB!T353,KMB!X353,KMB!AB353,KMB!AF353))=9)*(CHOOSE({1,2,3,4},KMB!W353,KMB!AA353,KMB!AE353,KMB!AI353)))</f>
        <v>0</v>
      </c>
      <c r="J353">
        <f>SUMPRODUCT((MONTH(CHOOSE({1,2,3,4},KMB!T353,KMB!X353,KMB!AB353,KMB!AF353))=10)*(CHOOSE({1,2,3,4},KMB!W353,KMB!AA353,KMB!AE353,KMB!AI353)))</f>
        <v>0</v>
      </c>
      <c r="K353">
        <f>SUMPRODUCT((MONTH(CHOOSE({1,2,3,4},KMB!T353,KMB!X353,KMB!AB353,KMB!AF353))=11)*(CHOOSE({1,2,3,4},KMB!W353,KMB!AA353,KMB!AE353,KMB!AI353)))</f>
        <v>0</v>
      </c>
      <c r="L353">
        <f>SUMPRODUCT((MONTH(CHOOSE({1,2,3,4},KMB!T353,KMB!X353,KMB!AB353,KMB!AF353))=12)*(CHOOSE({1,2,3,4},KMB!W353,KMB!AA353,KMB!AE353,KMB!AI353)))</f>
        <v>0</v>
      </c>
    </row>
    <row r="354" spans="1:12">
      <c r="A354">
        <f>SUMPRODUCT((MONTH(CHOOSE({1,2,3,4},KMB!T354,KMB!X354,KMB!AB354,KMB!AF354))=1)*(CHOOSE({1,2,3,4},KMB!W354,KMB!AA354,KMB!AE354,KMB!AI354)))</f>
        <v>0</v>
      </c>
      <c r="B354">
        <f>SUMPRODUCT((MONTH(CHOOSE({1,2,3,4},KMB!T354,KMB!X354,KMB!AB354,KMB!AF354))=2)*(CHOOSE({1,2,3,4},KMB!W354,KMB!AA354,KMB!AE354,KMB!AI354)))</f>
        <v>0</v>
      </c>
      <c r="C354">
        <f>SUMPRODUCT((MONTH(CHOOSE({1,2,3,4},KMB!T354,KMB!X354,KMB!AB354,KMB!AF354))=3)*(CHOOSE({1,2,3,4},KMB!W354,KMB!AA354,KMB!AE354,KMB!AI354)))</f>
        <v>0</v>
      </c>
      <c r="D354">
        <f>SUMPRODUCT((MONTH(CHOOSE({1,2,3,4},KMB!T354,KMB!X354,KMB!AB354,KMB!AF354))=4)*(CHOOSE({1,2,3,4},KMB!W354,KMB!AA354,KMB!AE354,KMB!AI354)))</f>
        <v>0</v>
      </c>
      <c r="E354">
        <f>SUMPRODUCT((MONTH(CHOOSE({1,2,3,4},KMB!T354,KMB!X354,KMB!AB354,KMB!AF354))=5)*(CHOOSE({1,2,3,4},KMB!W354,KMB!AA354,KMB!AE354,KMB!AI354)))</f>
        <v>0</v>
      </c>
      <c r="F354">
        <f>SUMPRODUCT((MONTH(CHOOSE({1,2,3,4},KMB!T354,KMB!X354,KMB!AB354,KMB!AF354))=6)*(CHOOSE({1,2,3,4},KMB!W354,KMB!AA354,KMB!AE354,KMB!AI354)))</f>
        <v>0</v>
      </c>
      <c r="G354">
        <f>SUMPRODUCT((MONTH(CHOOSE({1,2,3,4},KMB!T354,KMB!X354,KMB!AB354,KMB!AF354))=7)*(CHOOSE({1,2,3,4},KMB!W354,KMB!AA354,KMB!AE354,KMB!AI354)))</f>
        <v>0</v>
      </c>
      <c r="H354">
        <f>SUMPRODUCT((MONTH(CHOOSE({1,2,3,4},KMB!T354,KMB!X354,KMB!AB354,KMB!AF354))=8)*(CHOOSE({1,2,3,4},KMB!W354,KMB!AA354,KMB!AE354,KMB!AI354)))</f>
        <v>0</v>
      </c>
      <c r="I354">
        <f>SUMPRODUCT((MONTH(CHOOSE({1,2,3,4},KMB!T354,KMB!X354,KMB!AB354,KMB!AF354))=9)*(CHOOSE({1,2,3,4},KMB!W354,KMB!AA354,KMB!AE354,KMB!AI354)))</f>
        <v>0</v>
      </c>
      <c r="J354">
        <f>SUMPRODUCT((MONTH(CHOOSE({1,2,3,4},KMB!T354,KMB!X354,KMB!AB354,KMB!AF354))=10)*(CHOOSE({1,2,3,4},KMB!W354,KMB!AA354,KMB!AE354,KMB!AI354)))</f>
        <v>0</v>
      </c>
      <c r="K354">
        <f>SUMPRODUCT((MONTH(CHOOSE({1,2,3,4},KMB!T354,KMB!X354,KMB!AB354,KMB!AF354))=11)*(CHOOSE({1,2,3,4},KMB!W354,KMB!AA354,KMB!AE354,KMB!AI354)))</f>
        <v>0</v>
      </c>
      <c r="L354">
        <f>SUMPRODUCT((MONTH(CHOOSE({1,2,3,4},KMB!T354,KMB!X354,KMB!AB354,KMB!AF354))=12)*(CHOOSE({1,2,3,4},KMB!W354,KMB!AA354,KMB!AE354,KMB!AI354)))</f>
        <v>0</v>
      </c>
    </row>
    <row r="355" spans="1:12">
      <c r="A355">
        <f>SUMPRODUCT((MONTH(CHOOSE({1,2,3,4},KMB!T355,KMB!X355,KMB!AB355,KMB!AF355))=1)*(CHOOSE({1,2,3,4},KMB!W355,KMB!AA355,KMB!AE355,KMB!AI355)))</f>
        <v>0</v>
      </c>
      <c r="B355">
        <f>SUMPRODUCT((MONTH(CHOOSE({1,2,3,4},KMB!T355,KMB!X355,KMB!AB355,KMB!AF355))=2)*(CHOOSE({1,2,3,4},KMB!W355,KMB!AA355,KMB!AE355,KMB!AI355)))</f>
        <v>0</v>
      </c>
      <c r="C355">
        <f>SUMPRODUCT((MONTH(CHOOSE({1,2,3,4},KMB!T355,KMB!X355,KMB!AB355,KMB!AF355))=3)*(CHOOSE({1,2,3,4},KMB!W355,KMB!AA355,KMB!AE355,KMB!AI355)))</f>
        <v>0</v>
      </c>
      <c r="D355">
        <f>SUMPRODUCT((MONTH(CHOOSE({1,2,3,4},KMB!T355,KMB!X355,KMB!AB355,KMB!AF355))=4)*(CHOOSE({1,2,3,4},KMB!W355,KMB!AA355,KMB!AE355,KMB!AI355)))</f>
        <v>0</v>
      </c>
      <c r="E355">
        <f>SUMPRODUCT((MONTH(CHOOSE({1,2,3,4},KMB!T355,KMB!X355,KMB!AB355,KMB!AF355))=5)*(CHOOSE({1,2,3,4},KMB!W355,KMB!AA355,KMB!AE355,KMB!AI355)))</f>
        <v>0</v>
      </c>
      <c r="F355">
        <f>SUMPRODUCT((MONTH(CHOOSE({1,2,3,4},KMB!T355,KMB!X355,KMB!AB355,KMB!AF355))=6)*(CHOOSE({1,2,3,4},KMB!W355,KMB!AA355,KMB!AE355,KMB!AI355)))</f>
        <v>0</v>
      </c>
      <c r="G355">
        <f>SUMPRODUCT((MONTH(CHOOSE({1,2,3,4},KMB!T355,KMB!X355,KMB!AB355,KMB!AF355))=7)*(CHOOSE({1,2,3,4},KMB!W355,KMB!AA355,KMB!AE355,KMB!AI355)))</f>
        <v>0</v>
      </c>
      <c r="H355">
        <f>SUMPRODUCT((MONTH(CHOOSE({1,2,3,4},KMB!T355,KMB!X355,KMB!AB355,KMB!AF355))=8)*(CHOOSE({1,2,3,4},KMB!W355,KMB!AA355,KMB!AE355,KMB!AI355)))</f>
        <v>0</v>
      </c>
      <c r="I355">
        <f>SUMPRODUCT((MONTH(CHOOSE({1,2,3,4},KMB!T355,KMB!X355,KMB!AB355,KMB!AF355))=9)*(CHOOSE({1,2,3,4},KMB!W355,KMB!AA355,KMB!AE355,KMB!AI355)))</f>
        <v>0</v>
      </c>
      <c r="J355">
        <f>SUMPRODUCT((MONTH(CHOOSE({1,2,3,4},KMB!T355,KMB!X355,KMB!AB355,KMB!AF355))=10)*(CHOOSE({1,2,3,4},KMB!W355,KMB!AA355,KMB!AE355,KMB!AI355)))</f>
        <v>0</v>
      </c>
      <c r="K355">
        <f>SUMPRODUCT((MONTH(CHOOSE({1,2,3,4},KMB!T355,KMB!X355,KMB!AB355,KMB!AF355))=11)*(CHOOSE({1,2,3,4},KMB!W355,KMB!AA355,KMB!AE355,KMB!AI355)))</f>
        <v>0</v>
      </c>
      <c r="L355">
        <f>SUMPRODUCT((MONTH(CHOOSE({1,2,3,4},KMB!T355,KMB!X355,KMB!AB355,KMB!AF355))=12)*(CHOOSE({1,2,3,4},KMB!W355,KMB!AA355,KMB!AE355,KMB!AI355)))</f>
        <v>0</v>
      </c>
    </row>
    <row r="356" spans="1:12">
      <c r="A356">
        <f>SUMPRODUCT((MONTH(CHOOSE({1,2,3,4},KMB!T356,KMB!X356,KMB!AB356,KMB!AF356))=1)*(CHOOSE({1,2,3,4},KMB!W356,KMB!AA356,KMB!AE356,KMB!AI356)))</f>
        <v>0</v>
      </c>
      <c r="B356">
        <f>SUMPRODUCT((MONTH(CHOOSE({1,2,3,4},KMB!T356,KMB!X356,KMB!AB356,KMB!AF356))=2)*(CHOOSE({1,2,3,4},KMB!W356,KMB!AA356,KMB!AE356,KMB!AI356)))</f>
        <v>0</v>
      </c>
      <c r="C356">
        <f>SUMPRODUCT((MONTH(CHOOSE({1,2,3,4},KMB!T356,KMB!X356,KMB!AB356,KMB!AF356))=3)*(CHOOSE({1,2,3,4},KMB!W356,KMB!AA356,KMB!AE356,KMB!AI356)))</f>
        <v>0</v>
      </c>
      <c r="D356">
        <f>SUMPRODUCT((MONTH(CHOOSE({1,2,3,4},KMB!T356,KMB!X356,KMB!AB356,KMB!AF356))=4)*(CHOOSE({1,2,3,4},KMB!W356,KMB!AA356,KMB!AE356,KMB!AI356)))</f>
        <v>0</v>
      </c>
      <c r="E356">
        <f>SUMPRODUCT((MONTH(CHOOSE({1,2,3,4},KMB!T356,KMB!X356,KMB!AB356,KMB!AF356))=5)*(CHOOSE({1,2,3,4},KMB!W356,KMB!AA356,KMB!AE356,KMB!AI356)))</f>
        <v>0</v>
      </c>
      <c r="F356">
        <f>SUMPRODUCT((MONTH(CHOOSE({1,2,3,4},KMB!T356,KMB!X356,KMB!AB356,KMB!AF356))=6)*(CHOOSE({1,2,3,4},KMB!W356,KMB!AA356,KMB!AE356,KMB!AI356)))</f>
        <v>0</v>
      </c>
      <c r="G356">
        <f>SUMPRODUCT((MONTH(CHOOSE({1,2,3,4},KMB!T356,KMB!X356,KMB!AB356,KMB!AF356))=7)*(CHOOSE({1,2,3,4},KMB!W356,KMB!AA356,KMB!AE356,KMB!AI356)))</f>
        <v>0</v>
      </c>
      <c r="H356">
        <f>SUMPRODUCT((MONTH(CHOOSE({1,2,3,4},KMB!T356,KMB!X356,KMB!AB356,KMB!AF356))=8)*(CHOOSE({1,2,3,4},KMB!W356,KMB!AA356,KMB!AE356,KMB!AI356)))</f>
        <v>0</v>
      </c>
      <c r="I356">
        <f>SUMPRODUCT((MONTH(CHOOSE({1,2,3,4},KMB!T356,KMB!X356,KMB!AB356,KMB!AF356))=9)*(CHOOSE({1,2,3,4},KMB!W356,KMB!AA356,KMB!AE356,KMB!AI356)))</f>
        <v>0</v>
      </c>
      <c r="J356">
        <f>SUMPRODUCT((MONTH(CHOOSE({1,2,3,4},KMB!T356,KMB!X356,KMB!AB356,KMB!AF356))=10)*(CHOOSE({1,2,3,4},KMB!W356,KMB!AA356,KMB!AE356,KMB!AI356)))</f>
        <v>0</v>
      </c>
      <c r="K356">
        <f>SUMPRODUCT((MONTH(CHOOSE({1,2,3,4},KMB!T356,KMB!X356,KMB!AB356,KMB!AF356))=11)*(CHOOSE({1,2,3,4},KMB!W356,KMB!AA356,KMB!AE356,KMB!AI356)))</f>
        <v>0</v>
      </c>
      <c r="L356">
        <f>SUMPRODUCT((MONTH(CHOOSE({1,2,3,4},KMB!T356,KMB!X356,KMB!AB356,KMB!AF356))=12)*(CHOOSE({1,2,3,4},KMB!W356,KMB!AA356,KMB!AE356,KMB!AI356)))</f>
        <v>0</v>
      </c>
    </row>
    <row r="357" spans="1:12">
      <c r="A357">
        <f>SUMPRODUCT((MONTH(CHOOSE({1,2,3,4},KMB!T357,KMB!X357,KMB!AB357,KMB!AF357))=1)*(CHOOSE({1,2,3,4},KMB!W357,KMB!AA357,KMB!AE357,KMB!AI357)))</f>
        <v>0</v>
      </c>
      <c r="B357">
        <f>SUMPRODUCT((MONTH(CHOOSE({1,2,3,4},KMB!T357,KMB!X357,KMB!AB357,KMB!AF357))=2)*(CHOOSE({1,2,3,4},KMB!W357,KMB!AA357,KMB!AE357,KMB!AI357)))</f>
        <v>0</v>
      </c>
      <c r="C357">
        <f>SUMPRODUCT((MONTH(CHOOSE({1,2,3,4},KMB!T357,KMB!X357,KMB!AB357,KMB!AF357))=3)*(CHOOSE({1,2,3,4},KMB!W357,KMB!AA357,KMB!AE357,KMB!AI357)))</f>
        <v>0</v>
      </c>
      <c r="D357">
        <f>SUMPRODUCT((MONTH(CHOOSE({1,2,3,4},KMB!T357,KMB!X357,KMB!AB357,KMB!AF357))=4)*(CHOOSE({1,2,3,4},KMB!W357,KMB!AA357,KMB!AE357,KMB!AI357)))</f>
        <v>0</v>
      </c>
      <c r="E357">
        <f>SUMPRODUCT((MONTH(CHOOSE({1,2,3,4},KMB!T357,KMB!X357,KMB!AB357,KMB!AF357))=5)*(CHOOSE({1,2,3,4},KMB!W357,KMB!AA357,KMB!AE357,KMB!AI357)))</f>
        <v>0</v>
      </c>
      <c r="F357">
        <f>SUMPRODUCT((MONTH(CHOOSE({1,2,3,4},KMB!T357,KMB!X357,KMB!AB357,KMB!AF357))=6)*(CHOOSE({1,2,3,4},KMB!W357,KMB!AA357,KMB!AE357,KMB!AI357)))</f>
        <v>0</v>
      </c>
      <c r="G357">
        <f>SUMPRODUCT((MONTH(CHOOSE({1,2,3,4},KMB!T357,KMB!X357,KMB!AB357,KMB!AF357))=7)*(CHOOSE({1,2,3,4},KMB!W357,KMB!AA357,KMB!AE357,KMB!AI357)))</f>
        <v>0</v>
      </c>
      <c r="H357">
        <f>SUMPRODUCT((MONTH(CHOOSE({1,2,3,4},KMB!T357,KMB!X357,KMB!AB357,KMB!AF357))=8)*(CHOOSE({1,2,3,4},KMB!W357,KMB!AA357,KMB!AE357,KMB!AI357)))</f>
        <v>0</v>
      </c>
      <c r="I357">
        <f>SUMPRODUCT((MONTH(CHOOSE({1,2,3,4},KMB!T357,KMB!X357,KMB!AB357,KMB!AF357))=9)*(CHOOSE({1,2,3,4},KMB!W357,KMB!AA357,KMB!AE357,KMB!AI357)))</f>
        <v>0</v>
      </c>
      <c r="J357">
        <f>SUMPRODUCT((MONTH(CHOOSE({1,2,3,4},KMB!T357,KMB!X357,KMB!AB357,KMB!AF357))=10)*(CHOOSE({1,2,3,4},KMB!W357,KMB!AA357,KMB!AE357,KMB!AI357)))</f>
        <v>0</v>
      </c>
      <c r="K357">
        <f>SUMPRODUCT((MONTH(CHOOSE({1,2,3,4},KMB!T357,KMB!X357,KMB!AB357,KMB!AF357))=11)*(CHOOSE({1,2,3,4},KMB!W357,KMB!AA357,KMB!AE357,KMB!AI357)))</f>
        <v>0</v>
      </c>
      <c r="L357">
        <f>SUMPRODUCT((MONTH(CHOOSE({1,2,3,4},KMB!T357,KMB!X357,KMB!AB357,KMB!AF357))=12)*(CHOOSE({1,2,3,4},KMB!W357,KMB!AA357,KMB!AE357,KMB!AI357)))</f>
        <v>0</v>
      </c>
    </row>
    <row r="358" spans="1:12">
      <c r="A358">
        <f>SUMPRODUCT((MONTH(CHOOSE({1,2,3,4},KMB!T358,KMB!X358,KMB!AB358,KMB!AF358))=1)*(CHOOSE({1,2,3,4},KMB!W358,KMB!AA358,KMB!AE358,KMB!AI358)))</f>
        <v>0</v>
      </c>
      <c r="B358">
        <f>SUMPRODUCT((MONTH(CHOOSE({1,2,3,4},KMB!T358,KMB!X358,KMB!AB358,KMB!AF358))=2)*(CHOOSE({1,2,3,4},KMB!W358,KMB!AA358,KMB!AE358,KMB!AI358)))</f>
        <v>0</v>
      </c>
      <c r="C358">
        <f>SUMPRODUCT((MONTH(CHOOSE({1,2,3,4},KMB!T358,KMB!X358,KMB!AB358,KMB!AF358))=3)*(CHOOSE({1,2,3,4},KMB!W358,KMB!AA358,KMB!AE358,KMB!AI358)))</f>
        <v>0</v>
      </c>
      <c r="D358">
        <f>SUMPRODUCT((MONTH(CHOOSE({1,2,3,4},KMB!T358,KMB!X358,KMB!AB358,KMB!AF358))=4)*(CHOOSE({1,2,3,4},KMB!W358,KMB!AA358,KMB!AE358,KMB!AI358)))</f>
        <v>0</v>
      </c>
      <c r="E358">
        <f>SUMPRODUCT((MONTH(CHOOSE({1,2,3,4},KMB!T358,KMB!X358,KMB!AB358,KMB!AF358))=5)*(CHOOSE({1,2,3,4},KMB!W358,KMB!AA358,KMB!AE358,KMB!AI358)))</f>
        <v>0</v>
      </c>
      <c r="F358">
        <f>SUMPRODUCT((MONTH(CHOOSE({1,2,3,4},KMB!T358,KMB!X358,KMB!AB358,KMB!AF358))=6)*(CHOOSE({1,2,3,4},KMB!W358,KMB!AA358,KMB!AE358,KMB!AI358)))</f>
        <v>0</v>
      </c>
      <c r="G358">
        <f>SUMPRODUCT((MONTH(CHOOSE({1,2,3,4},KMB!T358,KMB!X358,KMB!AB358,KMB!AF358))=7)*(CHOOSE({1,2,3,4},KMB!W358,KMB!AA358,KMB!AE358,KMB!AI358)))</f>
        <v>0</v>
      </c>
      <c r="H358">
        <f>SUMPRODUCT((MONTH(CHOOSE({1,2,3,4},KMB!T358,KMB!X358,KMB!AB358,KMB!AF358))=8)*(CHOOSE({1,2,3,4},KMB!W358,KMB!AA358,KMB!AE358,KMB!AI358)))</f>
        <v>0</v>
      </c>
      <c r="I358">
        <f>SUMPRODUCT((MONTH(CHOOSE({1,2,3,4},KMB!T358,KMB!X358,KMB!AB358,KMB!AF358))=9)*(CHOOSE({1,2,3,4},KMB!W358,KMB!AA358,KMB!AE358,KMB!AI358)))</f>
        <v>0</v>
      </c>
      <c r="J358">
        <f>SUMPRODUCT((MONTH(CHOOSE({1,2,3,4},KMB!T358,KMB!X358,KMB!AB358,KMB!AF358))=10)*(CHOOSE({1,2,3,4},KMB!W358,KMB!AA358,KMB!AE358,KMB!AI358)))</f>
        <v>0</v>
      </c>
      <c r="K358">
        <f>SUMPRODUCT((MONTH(CHOOSE({1,2,3,4},KMB!T358,KMB!X358,KMB!AB358,KMB!AF358))=11)*(CHOOSE({1,2,3,4},KMB!W358,KMB!AA358,KMB!AE358,KMB!AI358)))</f>
        <v>0</v>
      </c>
      <c r="L358">
        <f>SUMPRODUCT((MONTH(CHOOSE({1,2,3,4},KMB!T358,KMB!X358,KMB!AB358,KMB!AF358))=12)*(CHOOSE({1,2,3,4},KMB!W358,KMB!AA358,KMB!AE358,KMB!AI358)))</f>
        <v>0</v>
      </c>
    </row>
    <row r="359" spans="1:12">
      <c r="A359">
        <f>SUMPRODUCT((MONTH(CHOOSE({1,2,3,4},KMB!T359,KMB!X359,KMB!AB359,KMB!AF359))=1)*(CHOOSE({1,2,3,4},KMB!W359,KMB!AA359,KMB!AE359,KMB!AI359)))</f>
        <v>0</v>
      </c>
      <c r="B359">
        <f>SUMPRODUCT((MONTH(CHOOSE({1,2,3,4},KMB!T359,KMB!X359,KMB!AB359,KMB!AF359))=2)*(CHOOSE({1,2,3,4},KMB!W359,KMB!AA359,KMB!AE359,KMB!AI359)))</f>
        <v>0</v>
      </c>
      <c r="C359">
        <f>SUMPRODUCT((MONTH(CHOOSE({1,2,3,4},KMB!T359,KMB!X359,KMB!AB359,KMB!AF359))=3)*(CHOOSE({1,2,3,4},KMB!W359,KMB!AA359,KMB!AE359,KMB!AI359)))</f>
        <v>0</v>
      </c>
      <c r="D359">
        <f>SUMPRODUCT((MONTH(CHOOSE({1,2,3,4},KMB!T359,KMB!X359,KMB!AB359,KMB!AF359))=4)*(CHOOSE({1,2,3,4},KMB!W359,KMB!AA359,KMB!AE359,KMB!AI359)))</f>
        <v>0</v>
      </c>
      <c r="E359">
        <f>SUMPRODUCT((MONTH(CHOOSE({1,2,3,4},KMB!T359,KMB!X359,KMB!AB359,KMB!AF359))=5)*(CHOOSE({1,2,3,4},KMB!W359,KMB!AA359,KMB!AE359,KMB!AI359)))</f>
        <v>0</v>
      </c>
      <c r="F359">
        <f>SUMPRODUCT((MONTH(CHOOSE({1,2,3,4},KMB!T359,KMB!X359,KMB!AB359,KMB!AF359))=6)*(CHOOSE({1,2,3,4},KMB!W359,KMB!AA359,KMB!AE359,KMB!AI359)))</f>
        <v>0</v>
      </c>
      <c r="G359">
        <f>SUMPRODUCT((MONTH(CHOOSE({1,2,3,4},KMB!T359,KMB!X359,KMB!AB359,KMB!AF359))=7)*(CHOOSE({1,2,3,4},KMB!W359,KMB!AA359,KMB!AE359,KMB!AI359)))</f>
        <v>0</v>
      </c>
      <c r="H359">
        <f>SUMPRODUCT((MONTH(CHOOSE({1,2,3,4},KMB!T359,KMB!X359,KMB!AB359,KMB!AF359))=8)*(CHOOSE({1,2,3,4},KMB!W359,KMB!AA359,KMB!AE359,KMB!AI359)))</f>
        <v>0</v>
      </c>
      <c r="I359">
        <f>SUMPRODUCT((MONTH(CHOOSE({1,2,3,4},KMB!T359,KMB!X359,KMB!AB359,KMB!AF359))=9)*(CHOOSE({1,2,3,4},KMB!W359,KMB!AA359,KMB!AE359,KMB!AI359)))</f>
        <v>0</v>
      </c>
      <c r="J359">
        <f>SUMPRODUCT((MONTH(CHOOSE({1,2,3,4},KMB!T359,KMB!X359,KMB!AB359,KMB!AF359))=10)*(CHOOSE({1,2,3,4},KMB!W359,KMB!AA359,KMB!AE359,KMB!AI359)))</f>
        <v>0</v>
      </c>
      <c r="K359">
        <f>SUMPRODUCT((MONTH(CHOOSE({1,2,3,4},KMB!T359,KMB!X359,KMB!AB359,KMB!AF359))=11)*(CHOOSE({1,2,3,4},KMB!W359,KMB!AA359,KMB!AE359,KMB!AI359)))</f>
        <v>0</v>
      </c>
      <c r="L359">
        <f>SUMPRODUCT((MONTH(CHOOSE({1,2,3,4},KMB!T359,KMB!X359,KMB!AB359,KMB!AF359))=12)*(CHOOSE({1,2,3,4},KMB!W359,KMB!AA359,KMB!AE359,KMB!AI359)))</f>
        <v>0</v>
      </c>
    </row>
    <row r="360" spans="1:12">
      <c r="A360">
        <f>SUMPRODUCT((MONTH(CHOOSE({1,2,3,4},KMB!T360,KMB!X360,KMB!AB360,KMB!AF360))=1)*(CHOOSE({1,2,3,4},KMB!W360,KMB!AA360,KMB!AE360,KMB!AI360)))</f>
        <v>0</v>
      </c>
      <c r="B360">
        <f>SUMPRODUCT((MONTH(CHOOSE({1,2,3,4},KMB!T360,KMB!X360,KMB!AB360,KMB!AF360))=2)*(CHOOSE({1,2,3,4},KMB!W360,KMB!AA360,KMB!AE360,KMB!AI360)))</f>
        <v>0</v>
      </c>
      <c r="C360">
        <f>SUMPRODUCT((MONTH(CHOOSE({1,2,3,4},KMB!T360,KMB!X360,KMB!AB360,KMB!AF360))=3)*(CHOOSE({1,2,3,4},KMB!W360,KMB!AA360,KMB!AE360,KMB!AI360)))</f>
        <v>0</v>
      </c>
      <c r="D360">
        <f>SUMPRODUCT((MONTH(CHOOSE({1,2,3,4},KMB!T360,KMB!X360,KMB!AB360,KMB!AF360))=4)*(CHOOSE({1,2,3,4},KMB!W360,KMB!AA360,KMB!AE360,KMB!AI360)))</f>
        <v>0</v>
      </c>
      <c r="E360">
        <f>SUMPRODUCT((MONTH(CHOOSE({1,2,3,4},KMB!T360,KMB!X360,KMB!AB360,KMB!AF360))=5)*(CHOOSE({1,2,3,4},KMB!W360,KMB!AA360,KMB!AE360,KMB!AI360)))</f>
        <v>0</v>
      </c>
      <c r="F360">
        <f>SUMPRODUCT((MONTH(CHOOSE({1,2,3,4},KMB!T360,KMB!X360,KMB!AB360,KMB!AF360))=6)*(CHOOSE({1,2,3,4},KMB!W360,KMB!AA360,KMB!AE360,KMB!AI360)))</f>
        <v>0</v>
      </c>
      <c r="G360">
        <f>SUMPRODUCT((MONTH(CHOOSE({1,2,3,4},KMB!T360,KMB!X360,KMB!AB360,KMB!AF360))=7)*(CHOOSE({1,2,3,4},KMB!W360,KMB!AA360,KMB!AE360,KMB!AI360)))</f>
        <v>0</v>
      </c>
      <c r="H360">
        <f>SUMPRODUCT((MONTH(CHOOSE({1,2,3,4},KMB!T360,KMB!X360,KMB!AB360,KMB!AF360))=8)*(CHOOSE({1,2,3,4},KMB!W360,KMB!AA360,KMB!AE360,KMB!AI360)))</f>
        <v>0</v>
      </c>
      <c r="I360">
        <f>SUMPRODUCT((MONTH(CHOOSE({1,2,3,4},KMB!T360,KMB!X360,KMB!AB360,KMB!AF360))=9)*(CHOOSE({1,2,3,4},KMB!W360,KMB!AA360,KMB!AE360,KMB!AI360)))</f>
        <v>0</v>
      </c>
      <c r="J360">
        <f>SUMPRODUCT((MONTH(CHOOSE({1,2,3,4},KMB!T360,KMB!X360,KMB!AB360,KMB!AF360))=10)*(CHOOSE({1,2,3,4},KMB!W360,KMB!AA360,KMB!AE360,KMB!AI360)))</f>
        <v>0</v>
      </c>
      <c r="K360">
        <f>SUMPRODUCT((MONTH(CHOOSE({1,2,3,4},KMB!T360,KMB!X360,KMB!AB360,KMB!AF360))=11)*(CHOOSE({1,2,3,4},KMB!W360,KMB!AA360,KMB!AE360,KMB!AI360)))</f>
        <v>0</v>
      </c>
      <c r="L360">
        <f>SUMPRODUCT((MONTH(CHOOSE({1,2,3,4},KMB!T360,KMB!X360,KMB!AB360,KMB!AF360))=12)*(CHOOSE({1,2,3,4},KMB!W360,KMB!AA360,KMB!AE360,KMB!AI360)))</f>
        <v>0</v>
      </c>
    </row>
    <row r="361" spans="1:12">
      <c r="A361">
        <f>SUMPRODUCT((MONTH(CHOOSE({1,2,3,4},KMB!T361,KMB!X361,KMB!AB361,KMB!AF361))=1)*(CHOOSE({1,2,3,4},KMB!W361,KMB!AA361,KMB!AE361,KMB!AI361)))</f>
        <v>0</v>
      </c>
      <c r="B361">
        <f>SUMPRODUCT((MONTH(CHOOSE({1,2,3,4},KMB!T361,KMB!X361,KMB!AB361,KMB!AF361))=2)*(CHOOSE({1,2,3,4},KMB!W361,KMB!AA361,KMB!AE361,KMB!AI361)))</f>
        <v>0</v>
      </c>
      <c r="C361">
        <f>SUMPRODUCT((MONTH(CHOOSE({1,2,3,4},KMB!T361,KMB!X361,KMB!AB361,KMB!AF361))=3)*(CHOOSE({1,2,3,4},KMB!W361,KMB!AA361,KMB!AE361,KMB!AI361)))</f>
        <v>0</v>
      </c>
      <c r="D361">
        <f>SUMPRODUCT((MONTH(CHOOSE({1,2,3,4},KMB!T361,KMB!X361,KMB!AB361,KMB!AF361))=4)*(CHOOSE({1,2,3,4},KMB!W361,KMB!AA361,KMB!AE361,KMB!AI361)))</f>
        <v>0</v>
      </c>
      <c r="E361">
        <f>SUMPRODUCT((MONTH(CHOOSE({1,2,3,4},KMB!T361,KMB!X361,KMB!AB361,KMB!AF361))=5)*(CHOOSE({1,2,3,4},KMB!W361,KMB!AA361,KMB!AE361,KMB!AI361)))</f>
        <v>0</v>
      </c>
      <c r="F361">
        <f>SUMPRODUCT((MONTH(CHOOSE({1,2,3,4},KMB!T361,KMB!X361,KMB!AB361,KMB!AF361))=6)*(CHOOSE({1,2,3,4},KMB!W361,KMB!AA361,KMB!AE361,KMB!AI361)))</f>
        <v>0</v>
      </c>
      <c r="G361">
        <f>SUMPRODUCT((MONTH(CHOOSE({1,2,3,4},KMB!T361,KMB!X361,KMB!AB361,KMB!AF361))=7)*(CHOOSE({1,2,3,4},KMB!W361,KMB!AA361,KMB!AE361,KMB!AI361)))</f>
        <v>0</v>
      </c>
      <c r="H361">
        <f>SUMPRODUCT((MONTH(CHOOSE({1,2,3,4},KMB!T361,KMB!X361,KMB!AB361,KMB!AF361))=8)*(CHOOSE({1,2,3,4},KMB!W361,KMB!AA361,KMB!AE361,KMB!AI361)))</f>
        <v>0</v>
      </c>
      <c r="I361">
        <f>SUMPRODUCT((MONTH(CHOOSE({1,2,3,4},KMB!T361,KMB!X361,KMB!AB361,KMB!AF361))=9)*(CHOOSE({1,2,3,4},KMB!W361,KMB!AA361,KMB!AE361,KMB!AI361)))</f>
        <v>0</v>
      </c>
      <c r="J361">
        <f>SUMPRODUCT((MONTH(CHOOSE({1,2,3,4},KMB!T361,KMB!X361,KMB!AB361,KMB!AF361))=10)*(CHOOSE({1,2,3,4},KMB!W361,KMB!AA361,KMB!AE361,KMB!AI361)))</f>
        <v>0</v>
      </c>
      <c r="K361">
        <f>SUMPRODUCT((MONTH(CHOOSE({1,2,3,4},KMB!T361,KMB!X361,KMB!AB361,KMB!AF361))=11)*(CHOOSE({1,2,3,4},KMB!W361,KMB!AA361,KMB!AE361,KMB!AI361)))</f>
        <v>0</v>
      </c>
      <c r="L361">
        <f>SUMPRODUCT((MONTH(CHOOSE({1,2,3,4},KMB!T361,KMB!X361,KMB!AB361,KMB!AF361))=12)*(CHOOSE({1,2,3,4},KMB!W361,KMB!AA361,KMB!AE361,KMB!AI361)))</f>
        <v>0</v>
      </c>
    </row>
    <row r="362" spans="1:12">
      <c r="A362">
        <f>SUMPRODUCT((MONTH(CHOOSE({1,2,3,4},KMB!T362,KMB!X362,KMB!AB362,KMB!AF362))=1)*(CHOOSE({1,2,3,4},KMB!W362,KMB!AA362,KMB!AE362,KMB!AI362)))</f>
        <v>0</v>
      </c>
      <c r="B362">
        <f>SUMPRODUCT((MONTH(CHOOSE({1,2,3,4},KMB!T362,KMB!X362,KMB!AB362,KMB!AF362))=2)*(CHOOSE({1,2,3,4},KMB!W362,KMB!AA362,KMB!AE362,KMB!AI362)))</f>
        <v>0</v>
      </c>
      <c r="C362">
        <f>SUMPRODUCT((MONTH(CHOOSE({1,2,3,4},KMB!T362,KMB!X362,KMB!AB362,KMB!AF362))=3)*(CHOOSE({1,2,3,4},KMB!W362,KMB!AA362,KMB!AE362,KMB!AI362)))</f>
        <v>0</v>
      </c>
      <c r="D362">
        <f>SUMPRODUCT((MONTH(CHOOSE({1,2,3,4},KMB!T362,KMB!X362,KMB!AB362,KMB!AF362))=4)*(CHOOSE({1,2,3,4},KMB!W362,KMB!AA362,KMB!AE362,KMB!AI362)))</f>
        <v>0</v>
      </c>
      <c r="E362">
        <f>SUMPRODUCT((MONTH(CHOOSE({1,2,3,4},KMB!T362,KMB!X362,KMB!AB362,KMB!AF362))=5)*(CHOOSE({1,2,3,4},KMB!W362,KMB!AA362,KMB!AE362,KMB!AI362)))</f>
        <v>0</v>
      </c>
      <c r="F362">
        <f>SUMPRODUCT((MONTH(CHOOSE({1,2,3,4},KMB!T362,KMB!X362,KMB!AB362,KMB!AF362))=6)*(CHOOSE({1,2,3,4},KMB!W362,KMB!AA362,KMB!AE362,KMB!AI362)))</f>
        <v>0</v>
      </c>
      <c r="G362">
        <f>SUMPRODUCT((MONTH(CHOOSE({1,2,3,4},KMB!T362,KMB!X362,KMB!AB362,KMB!AF362))=7)*(CHOOSE({1,2,3,4},KMB!W362,KMB!AA362,KMB!AE362,KMB!AI362)))</f>
        <v>0</v>
      </c>
      <c r="H362">
        <f>SUMPRODUCT((MONTH(CHOOSE({1,2,3,4},KMB!T362,KMB!X362,KMB!AB362,KMB!AF362))=8)*(CHOOSE({1,2,3,4},KMB!W362,KMB!AA362,KMB!AE362,KMB!AI362)))</f>
        <v>0</v>
      </c>
      <c r="I362">
        <f>SUMPRODUCT((MONTH(CHOOSE({1,2,3,4},KMB!T362,KMB!X362,KMB!AB362,KMB!AF362))=9)*(CHOOSE({1,2,3,4},KMB!W362,KMB!AA362,KMB!AE362,KMB!AI362)))</f>
        <v>0</v>
      </c>
      <c r="J362">
        <f>SUMPRODUCT((MONTH(CHOOSE({1,2,3,4},KMB!T362,KMB!X362,KMB!AB362,KMB!AF362))=10)*(CHOOSE({1,2,3,4},KMB!W362,KMB!AA362,KMB!AE362,KMB!AI362)))</f>
        <v>0</v>
      </c>
      <c r="K362">
        <f>SUMPRODUCT((MONTH(CHOOSE({1,2,3,4},KMB!T362,KMB!X362,KMB!AB362,KMB!AF362))=11)*(CHOOSE({1,2,3,4},KMB!W362,KMB!AA362,KMB!AE362,KMB!AI362)))</f>
        <v>0</v>
      </c>
      <c r="L362">
        <f>SUMPRODUCT((MONTH(CHOOSE({1,2,3,4},KMB!T362,KMB!X362,KMB!AB362,KMB!AF362))=12)*(CHOOSE({1,2,3,4},KMB!W362,KMB!AA362,KMB!AE362,KMB!AI362)))</f>
        <v>0</v>
      </c>
    </row>
    <row r="363" spans="1:12">
      <c r="A363">
        <f>SUMPRODUCT((MONTH(CHOOSE({1,2,3,4},KMB!T363,KMB!X363,KMB!AB363,KMB!AF363))=1)*(CHOOSE({1,2,3,4},KMB!W363,KMB!AA363,KMB!AE363,KMB!AI363)))</f>
        <v>0</v>
      </c>
      <c r="B363">
        <f>SUMPRODUCT((MONTH(CHOOSE({1,2,3,4},KMB!T363,KMB!X363,KMB!AB363,KMB!AF363))=2)*(CHOOSE({1,2,3,4},KMB!W363,KMB!AA363,KMB!AE363,KMB!AI363)))</f>
        <v>0</v>
      </c>
      <c r="C363">
        <f>SUMPRODUCT((MONTH(CHOOSE({1,2,3,4},KMB!T363,KMB!X363,KMB!AB363,KMB!AF363))=3)*(CHOOSE({1,2,3,4},KMB!W363,KMB!AA363,KMB!AE363,KMB!AI363)))</f>
        <v>0</v>
      </c>
      <c r="D363">
        <f>SUMPRODUCT((MONTH(CHOOSE({1,2,3,4},KMB!T363,KMB!X363,KMB!AB363,KMB!AF363))=4)*(CHOOSE({1,2,3,4},KMB!W363,KMB!AA363,KMB!AE363,KMB!AI363)))</f>
        <v>0</v>
      </c>
      <c r="E363">
        <f>SUMPRODUCT((MONTH(CHOOSE({1,2,3,4},KMB!T363,KMB!X363,KMB!AB363,KMB!AF363))=5)*(CHOOSE({1,2,3,4},KMB!W363,KMB!AA363,KMB!AE363,KMB!AI363)))</f>
        <v>0</v>
      </c>
      <c r="F363">
        <f>SUMPRODUCT((MONTH(CHOOSE({1,2,3,4},KMB!T363,KMB!X363,KMB!AB363,KMB!AF363))=6)*(CHOOSE({1,2,3,4},KMB!W363,KMB!AA363,KMB!AE363,KMB!AI363)))</f>
        <v>0</v>
      </c>
      <c r="G363">
        <f>SUMPRODUCT((MONTH(CHOOSE({1,2,3,4},KMB!T363,KMB!X363,KMB!AB363,KMB!AF363))=7)*(CHOOSE({1,2,3,4},KMB!W363,KMB!AA363,KMB!AE363,KMB!AI363)))</f>
        <v>0</v>
      </c>
      <c r="H363">
        <f>SUMPRODUCT((MONTH(CHOOSE({1,2,3,4},KMB!T363,KMB!X363,KMB!AB363,KMB!AF363))=8)*(CHOOSE({1,2,3,4},KMB!W363,KMB!AA363,KMB!AE363,KMB!AI363)))</f>
        <v>0</v>
      </c>
      <c r="I363">
        <f>SUMPRODUCT((MONTH(CHOOSE({1,2,3,4},KMB!T363,KMB!X363,KMB!AB363,KMB!AF363))=9)*(CHOOSE({1,2,3,4},KMB!W363,KMB!AA363,KMB!AE363,KMB!AI363)))</f>
        <v>0</v>
      </c>
      <c r="J363">
        <f>SUMPRODUCT((MONTH(CHOOSE({1,2,3,4},KMB!T363,KMB!X363,KMB!AB363,KMB!AF363))=10)*(CHOOSE({1,2,3,4},KMB!W363,KMB!AA363,KMB!AE363,KMB!AI363)))</f>
        <v>0</v>
      </c>
      <c r="K363">
        <f>SUMPRODUCT((MONTH(CHOOSE({1,2,3,4},KMB!T363,KMB!X363,KMB!AB363,KMB!AF363))=11)*(CHOOSE({1,2,3,4},KMB!W363,KMB!AA363,KMB!AE363,KMB!AI363)))</f>
        <v>0</v>
      </c>
      <c r="L363">
        <f>SUMPRODUCT((MONTH(CHOOSE({1,2,3,4},KMB!T363,KMB!X363,KMB!AB363,KMB!AF363))=12)*(CHOOSE({1,2,3,4},KMB!W363,KMB!AA363,KMB!AE363,KMB!AI363)))</f>
        <v>0</v>
      </c>
    </row>
    <row r="364" spans="1:12">
      <c r="A364">
        <f>SUMPRODUCT((MONTH(CHOOSE({1,2,3,4},KMB!T364,KMB!X364,KMB!AB364,KMB!AF364))=1)*(CHOOSE({1,2,3,4},KMB!W364,KMB!AA364,KMB!AE364,KMB!AI364)))</f>
        <v>0</v>
      </c>
      <c r="B364">
        <f>SUMPRODUCT((MONTH(CHOOSE({1,2,3,4},KMB!T364,KMB!X364,KMB!AB364,KMB!AF364))=2)*(CHOOSE({1,2,3,4},KMB!W364,KMB!AA364,KMB!AE364,KMB!AI364)))</f>
        <v>0</v>
      </c>
      <c r="C364">
        <f>SUMPRODUCT((MONTH(CHOOSE({1,2,3,4},KMB!T364,KMB!X364,KMB!AB364,KMB!AF364))=3)*(CHOOSE({1,2,3,4},KMB!W364,KMB!AA364,KMB!AE364,KMB!AI364)))</f>
        <v>0</v>
      </c>
      <c r="D364">
        <f>SUMPRODUCT((MONTH(CHOOSE({1,2,3,4},KMB!T364,KMB!X364,KMB!AB364,KMB!AF364))=4)*(CHOOSE({1,2,3,4},KMB!W364,KMB!AA364,KMB!AE364,KMB!AI364)))</f>
        <v>0</v>
      </c>
      <c r="E364">
        <f>SUMPRODUCT((MONTH(CHOOSE({1,2,3,4},KMB!T364,KMB!X364,KMB!AB364,KMB!AF364))=5)*(CHOOSE({1,2,3,4},KMB!W364,KMB!AA364,KMB!AE364,KMB!AI364)))</f>
        <v>0</v>
      </c>
      <c r="F364">
        <f>SUMPRODUCT((MONTH(CHOOSE({1,2,3,4},KMB!T364,KMB!X364,KMB!AB364,KMB!AF364))=6)*(CHOOSE({1,2,3,4},KMB!W364,KMB!AA364,KMB!AE364,KMB!AI364)))</f>
        <v>0</v>
      </c>
      <c r="G364">
        <f>SUMPRODUCT((MONTH(CHOOSE({1,2,3,4},KMB!T364,KMB!X364,KMB!AB364,KMB!AF364))=7)*(CHOOSE({1,2,3,4},KMB!W364,KMB!AA364,KMB!AE364,KMB!AI364)))</f>
        <v>0</v>
      </c>
      <c r="H364">
        <f>SUMPRODUCT((MONTH(CHOOSE({1,2,3,4},KMB!T364,KMB!X364,KMB!AB364,KMB!AF364))=8)*(CHOOSE({1,2,3,4},KMB!W364,KMB!AA364,KMB!AE364,KMB!AI364)))</f>
        <v>0</v>
      </c>
      <c r="I364">
        <f>SUMPRODUCT((MONTH(CHOOSE({1,2,3,4},KMB!T364,KMB!X364,KMB!AB364,KMB!AF364))=9)*(CHOOSE({1,2,3,4},KMB!W364,KMB!AA364,KMB!AE364,KMB!AI364)))</f>
        <v>0</v>
      </c>
      <c r="J364">
        <f>SUMPRODUCT((MONTH(CHOOSE({1,2,3,4},KMB!T364,KMB!X364,KMB!AB364,KMB!AF364))=10)*(CHOOSE({1,2,3,4},KMB!W364,KMB!AA364,KMB!AE364,KMB!AI364)))</f>
        <v>0</v>
      </c>
      <c r="K364">
        <f>SUMPRODUCT((MONTH(CHOOSE({1,2,3,4},KMB!T364,KMB!X364,KMB!AB364,KMB!AF364))=11)*(CHOOSE({1,2,3,4},KMB!W364,KMB!AA364,KMB!AE364,KMB!AI364)))</f>
        <v>0</v>
      </c>
      <c r="L364">
        <f>SUMPRODUCT((MONTH(CHOOSE({1,2,3,4},KMB!T364,KMB!X364,KMB!AB364,KMB!AF364))=12)*(CHOOSE({1,2,3,4},KMB!W364,KMB!AA364,KMB!AE364,KMB!AI364)))</f>
        <v>0</v>
      </c>
    </row>
    <row r="365" spans="1:12">
      <c r="A365">
        <f>SUMPRODUCT((MONTH(CHOOSE({1,2,3,4},KMB!T365,KMB!X365,KMB!AB365,KMB!AF365))=1)*(CHOOSE({1,2,3,4},KMB!W365,KMB!AA365,KMB!AE365,KMB!AI365)))</f>
        <v>0</v>
      </c>
      <c r="B365">
        <f>SUMPRODUCT((MONTH(CHOOSE({1,2,3,4},KMB!T365,KMB!X365,KMB!AB365,KMB!AF365))=2)*(CHOOSE({1,2,3,4},KMB!W365,KMB!AA365,KMB!AE365,KMB!AI365)))</f>
        <v>0</v>
      </c>
      <c r="C365">
        <f>SUMPRODUCT((MONTH(CHOOSE({1,2,3,4},KMB!T365,KMB!X365,KMB!AB365,KMB!AF365))=3)*(CHOOSE({1,2,3,4},KMB!W365,KMB!AA365,KMB!AE365,KMB!AI365)))</f>
        <v>0</v>
      </c>
      <c r="D365">
        <f>SUMPRODUCT((MONTH(CHOOSE({1,2,3,4},KMB!T365,KMB!X365,KMB!AB365,KMB!AF365))=4)*(CHOOSE({1,2,3,4},KMB!W365,KMB!AA365,KMB!AE365,KMB!AI365)))</f>
        <v>0</v>
      </c>
      <c r="E365">
        <f>SUMPRODUCT((MONTH(CHOOSE({1,2,3,4},KMB!T365,KMB!X365,KMB!AB365,KMB!AF365))=5)*(CHOOSE({1,2,3,4},KMB!W365,KMB!AA365,KMB!AE365,KMB!AI365)))</f>
        <v>0</v>
      </c>
      <c r="F365">
        <f>SUMPRODUCT((MONTH(CHOOSE({1,2,3,4},KMB!T365,KMB!X365,KMB!AB365,KMB!AF365))=6)*(CHOOSE({1,2,3,4},KMB!W365,KMB!AA365,KMB!AE365,KMB!AI365)))</f>
        <v>0</v>
      </c>
      <c r="G365">
        <f>SUMPRODUCT((MONTH(CHOOSE({1,2,3,4},KMB!T365,KMB!X365,KMB!AB365,KMB!AF365))=7)*(CHOOSE({1,2,3,4},KMB!W365,KMB!AA365,KMB!AE365,KMB!AI365)))</f>
        <v>0</v>
      </c>
      <c r="H365">
        <f>SUMPRODUCT((MONTH(CHOOSE({1,2,3,4},KMB!T365,KMB!X365,KMB!AB365,KMB!AF365))=8)*(CHOOSE({1,2,3,4},KMB!W365,KMB!AA365,KMB!AE365,KMB!AI365)))</f>
        <v>0</v>
      </c>
      <c r="I365">
        <f>SUMPRODUCT((MONTH(CHOOSE({1,2,3,4},KMB!T365,KMB!X365,KMB!AB365,KMB!AF365))=9)*(CHOOSE({1,2,3,4},KMB!W365,KMB!AA365,KMB!AE365,KMB!AI365)))</f>
        <v>0</v>
      </c>
      <c r="J365">
        <f>SUMPRODUCT((MONTH(CHOOSE({1,2,3,4},KMB!T365,KMB!X365,KMB!AB365,KMB!AF365))=10)*(CHOOSE({1,2,3,4},KMB!W365,KMB!AA365,KMB!AE365,KMB!AI365)))</f>
        <v>0</v>
      </c>
      <c r="K365">
        <f>SUMPRODUCT((MONTH(CHOOSE({1,2,3,4},KMB!T365,KMB!X365,KMB!AB365,KMB!AF365))=11)*(CHOOSE({1,2,3,4},KMB!W365,KMB!AA365,KMB!AE365,KMB!AI365)))</f>
        <v>0</v>
      </c>
      <c r="L365">
        <f>SUMPRODUCT((MONTH(CHOOSE({1,2,3,4},KMB!T365,KMB!X365,KMB!AB365,KMB!AF365))=12)*(CHOOSE({1,2,3,4},KMB!W365,KMB!AA365,KMB!AE365,KMB!AI365)))</f>
        <v>0</v>
      </c>
    </row>
    <row r="366" spans="1:12">
      <c r="A366">
        <f>SUMPRODUCT((MONTH(CHOOSE({1,2,3,4},KMB!T366,KMB!X366,KMB!AB366,KMB!AF366))=1)*(CHOOSE({1,2,3,4},KMB!W366,KMB!AA366,KMB!AE366,KMB!AI366)))</f>
        <v>0</v>
      </c>
      <c r="B366">
        <f>SUMPRODUCT((MONTH(CHOOSE({1,2,3,4},KMB!T366,KMB!X366,KMB!AB366,KMB!AF366))=2)*(CHOOSE({1,2,3,4},KMB!W366,KMB!AA366,KMB!AE366,KMB!AI366)))</f>
        <v>0</v>
      </c>
      <c r="C366">
        <f>SUMPRODUCT((MONTH(CHOOSE({1,2,3,4},KMB!T366,KMB!X366,KMB!AB366,KMB!AF366))=3)*(CHOOSE({1,2,3,4},KMB!W366,KMB!AA366,KMB!AE366,KMB!AI366)))</f>
        <v>0</v>
      </c>
      <c r="D366">
        <f>SUMPRODUCT((MONTH(CHOOSE({1,2,3,4},KMB!T366,KMB!X366,KMB!AB366,KMB!AF366))=4)*(CHOOSE({1,2,3,4},KMB!W366,KMB!AA366,KMB!AE366,KMB!AI366)))</f>
        <v>0</v>
      </c>
      <c r="E366">
        <f>SUMPRODUCT((MONTH(CHOOSE({1,2,3,4},KMB!T366,KMB!X366,KMB!AB366,KMB!AF366))=5)*(CHOOSE({1,2,3,4},KMB!W366,KMB!AA366,KMB!AE366,KMB!AI366)))</f>
        <v>0</v>
      </c>
      <c r="F366">
        <f>SUMPRODUCT((MONTH(CHOOSE({1,2,3,4},KMB!T366,KMB!X366,KMB!AB366,KMB!AF366))=6)*(CHOOSE({1,2,3,4},KMB!W366,KMB!AA366,KMB!AE366,KMB!AI366)))</f>
        <v>0</v>
      </c>
      <c r="G366">
        <f>SUMPRODUCT((MONTH(CHOOSE({1,2,3,4},KMB!T366,KMB!X366,KMB!AB366,KMB!AF366))=7)*(CHOOSE({1,2,3,4},KMB!W366,KMB!AA366,KMB!AE366,KMB!AI366)))</f>
        <v>0</v>
      </c>
      <c r="H366">
        <f>SUMPRODUCT((MONTH(CHOOSE({1,2,3,4},KMB!T366,KMB!X366,KMB!AB366,KMB!AF366))=8)*(CHOOSE({1,2,3,4},KMB!W366,KMB!AA366,KMB!AE366,KMB!AI366)))</f>
        <v>0</v>
      </c>
      <c r="I366">
        <f>SUMPRODUCT((MONTH(CHOOSE({1,2,3,4},KMB!T366,KMB!X366,KMB!AB366,KMB!AF366))=9)*(CHOOSE({1,2,3,4},KMB!W366,KMB!AA366,KMB!AE366,KMB!AI366)))</f>
        <v>0</v>
      </c>
      <c r="J366">
        <f>SUMPRODUCT((MONTH(CHOOSE({1,2,3,4},KMB!T366,KMB!X366,KMB!AB366,KMB!AF366))=10)*(CHOOSE({1,2,3,4},KMB!W366,KMB!AA366,KMB!AE366,KMB!AI366)))</f>
        <v>0</v>
      </c>
      <c r="K366">
        <f>SUMPRODUCT((MONTH(CHOOSE({1,2,3,4},KMB!T366,KMB!X366,KMB!AB366,KMB!AF366))=11)*(CHOOSE({1,2,3,4},KMB!W366,KMB!AA366,KMB!AE366,KMB!AI366)))</f>
        <v>0</v>
      </c>
      <c r="L366">
        <f>SUMPRODUCT((MONTH(CHOOSE({1,2,3,4},KMB!T366,KMB!X366,KMB!AB366,KMB!AF366))=12)*(CHOOSE({1,2,3,4},KMB!W366,KMB!AA366,KMB!AE366,KMB!AI366)))</f>
        <v>0</v>
      </c>
    </row>
    <row r="367" spans="1:12">
      <c r="A367">
        <f>SUMPRODUCT((MONTH(CHOOSE({1,2,3,4},KMB!T367,KMB!X367,KMB!AB367,KMB!AF367))=1)*(CHOOSE({1,2,3,4},KMB!W367,KMB!AA367,KMB!AE367,KMB!AI367)))</f>
        <v>0</v>
      </c>
      <c r="B367">
        <f>SUMPRODUCT((MONTH(CHOOSE({1,2,3,4},KMB!T367,KMB!X367,KMB!AB367,KMB!AF367))=2)*(CHOOSE({1,2,3,4},KMB!W367,KMB!AA367,KMB!AE367,KMB!AI367)))</f>
        <v>0</v>
      </c>
      <c r="C367">
        <f>SUMPRODUCT((MONTH(CHOOSE({1,2,3,4},KMB!T367,KMB!X367,KMB!AB367,KMB!AF367))=3)*(CHOOSE({1,2,3,4},KMB!W367,KMB!AA367,KMB!AE367,KMB!AI367)))</f>
        <v>0</v>
      </c>
      <c r="D367">
        <f>SUMPRODUCT((MONTH(CHOOSE({1,2,3,4},KMB!T367,KMB!X367,KMB!AB367,KMB!AF367))=4)*(CHOOSE({1,2,3,4},KMB!W367,KMB!AA367,KMB!AE367,KMB!AI367)))</f>
        <v>0</v>
      </c>
      <c r="E367">
        <f>SUMPRODUCT((MONTH(CHOOSE({1,2,3,4},KMB!T367,KMB!X367,KMB!AB367,KMB!AF367))=5)*(CHOOSE({1,2,3,4},KMB!W367,KMB!AA367,KMB!AE367,KMB!AI367)))</f>
        <v>0</v>
      </c>
      <c r="F367">
        <f>SUMPRODUCT((MONTH(CHOOSE({1,2,3,4},KMB!T367,KMB!X367,KMB!AB367,KMB!AF367))=6)*(CHOOSE({1,2,3,4},KMB!W367,KMB!AA367,KMB!AE367,KMB!AI367)))</f>
        <v>0</v>
      </c>
      <c r="G367">
        <f>SUMPRODUCT((MONTH(CHOOSE({1,2,3,4},KMB!T367,KMB!X367,KMB!AB367,KMB!AF367))=7)*(CHOOSE({1,2,3,4},KMB!W367,KMB!AA367,KMB!AE367,KMB!AI367)))</f>
        <v>0</v>
      </c>
      <c r="H367">
        <f>SUMPRODUCT((MONTH(CHOOSE({1,2,3,4},KMB!T367,KMB!X367,KMB!AB367,KMB!AF367))=8)*(CHOOSE({1,2,3,4},KMB!W367,KMB!AA367,KMB!AE367,KMB!AI367)))</f>
        <v>0</v>
      </c>
      <c r="I367">
        <f>SUMPRODUCT((MONTH(CHOOSE({1,2,3,4},KMB!T367,KMB!X367,KMB!AB367,KMB!AF367))=9)*(CHOOSE({1,2,3,4},KMB!W367,KMB!AA367,KMB!AE367,KMB!AI367)))</f>
        <v>0</v>
      </c>
      <c r="J367">
        <f>SUMPRODUCT((MONTH(CHOOSE({1,2,3,4},KMB!T367,KMB!X367,KMB!AB367,KMB!AF367))=10)*(CHOOSE({1,2,3,4},KMB!W367,KMB!AA367,KMB!AE367,KMB!AI367)))</f>
        <v>0</v>
      </c>
      <c r="K367">
        <f>SUMPRODUCT((MONTH(CHOOSE({1,2,3,4},KMB!T367,KMB!X367,KMB!AB367,KMB!AF367))=11)*(CHOOSE({1,2,3,4},KMB!W367,KMB!AA367,KMB!AE367,KMB!AI367)))</f>
        <v>0</v>
      </c>
      <c r="L367">
        <f>SUMPRODUCT((MONTH(CHOOSE({1,2,3,4},KMB!T367,KMB!X367,KMB!AB367,KMB!AF367))=12)*(CHOOSE({1,2,3,4},KMB!W367,KMB!AA367,KMB!AE367,KMB!AI367)))</f>
        <v>0</v>
      </c>
    </row>
    <row r="368" spans="1:12">
      <c r="A368">
        <f>SUMPRODUCT((MONTH(CHOOSE({1,2,3,4},KMB!T368,KMB!X368,KMB!AB368,KMB!AF368))=1)*(CHOOSE({1,2,3,4},KMB!W368,KMB!AA368,KMB!AE368,KMB!AI368)))</f>
        <v>0</v>
      </c>
      <c r="B368">
        <f>SUMPRODUCT((MONTH(CHOOSE({1,2,3,4},KMB!T368,KMB!X368,KMB!AB368,KMB!AF368))=2)*(CHOOSE({1,2,3,4},KMB!W368,KMB!AA368,KMB!AE368,KMB!AI368)))</f>
        <v>0</v>
      </c>
      <c r="C368">
        <f>SUMPRODUCT((MONTH(CHOOSE({1,2,3,4},KMB!T368,KMB!X368,KMB!AB368,KMB!AF368))=3)*(CHOOSE({1,2,3,4},KMB!W368,KMB!AA368,KMB!AE368,KMB!AI368)))</f>
        <v>0</v>
      </c>
      <c r="D368">
        <f>SUMPRODUCT((MONTH(CHOOSE({1,2,3,4},KMB!T368,KMB!X368,KMB!AB368,KMB!AF368))=4)*(CHOOSE({1,2,3,4},KMB!W368,KMB!AA368,KMB!AE368,KMB!AI368)))</f>
        <v>0</v>
      </c>
      <c r="E368">
        <f>SUMPRODUCT((MONTH(CHOOSE({1,2,3,4},KMB!T368,KMB!X368,KMB!AB368,KMB!AF368))=5)*(CHOOSE({1,2,3,4},KMB!W368,KMB!AA368,KMB!AE368,KMB!AI368)))</f>
        <v>0</v>
      </c>
      <c r="F368">
        <f>SUMPRODUCT((MONTH(CHOOSE({1,2,3,4},KMB!T368,KMB!X368,KMB!AB368,KMB!AF368))=6)*(CHOOSE({1,2,3,4},KMB!W368,KMB!AA368,KMB!AE368,KMB!AI368)))</f>
        <v>0</v>
      </c>
      <c r="G368">
        <f>SUMPRODUCT((MONTH(CHOOSE({1,2,3,4},KMB!T368,KMB!X368,KMB!AB368,KMB!AF368))=7)*(CHOOSE({1,2,3,4},KMB!W368,KMB!AA368,KMB!AE368,KMB!AI368)))</f>
        <v>0</v>
      </c>
      <c r="H368">
        <f>SUMPRODUCT((MONTH(CHOOSE({1,2,3,4},KMB!T368,KMB!X368,KMB!AB368,KMB!AF368))=8)*(CHOOSE({1,2,3,4},KMB!W368,KMB!AA368,KMB!AE368,KMB!AI368)))</f>
        <v>0</v>
      </c>
      <c r="I368">
        <f>SUMPRODUCT((MONTH(CHOOSE({1,2,3,4},KMB!T368,KMB!X368,KMB!AB368,KMB!AF368))=9)*(CHOOSE({1,2,3,4},KMB!W368,KMB!AA368,KMB!AE368,KMB!AI368)))</f>
        <v>0</v>
      </c>
      <c r="J368">
        <f>SUMPRODUCT((MONTH(CHOOSE({1,2,3,4},KMB!T368,KMB!X368,KMB!AB368,KMB!AF368))=10)*(CHOOSE({1,2,3,4},KMB!W368,KMB!AA368,KMB!AE368,KMB!AI368)))</f>
        <v>0</v>
      </c>
      <c r="K368">
        <f>SUMPRODUCT((MONTH(CHOOSE({1,2,3,4},KMB!T368,KMB!X368,KMB!AB368,KMB!AF368))=11)*(CHOOSE({1,2,3,4},KMB!W368,KMB!AA368,KMB!AE368,KMB!AI368)))</f>
        <v>0</v>
      </c>
      <c r="L368">
        <f>SUMPRODUCT((MONTH(CHOOSE({1,2,3,4},KMB!T368,KMB!X368,KMB!AB368,KMB!AF368))=12)*(CHOOSE({1,2,3,4},KMB!W368,KMB!AA368,KMB!AE368,KMB!AI368)))</f>
        <v>0</v>
      </c>
    </row>
    <row r="369" spans="1:12">
      <c r="A369">
        <f>SUMPRODUCT((MONTH(CHOOSE({1,2,3,4},KMB!T369,KMB!X369,KMB!AB369,KMB!AF369))=1)*(CHOOSE({1,2,3,4},KMB!W369,KMB!AA369,KMB!AE369,KMB!AI369)))</f>
        <v>0</v>
      </c>
      <c r="B369">
        <f>SUMPRODUCT((MONTH(CHOOSE({1,2,3,4},KMB!T369,KMB!X369,KMB!AB369,KMB!AF369))=2)*(CHOOSE({1,2,3,4},KMB!W369,KMB!AA369,KMB!AE369,KMB!AI369)))</f>
        <v>0</v>
      </c>
      <c r="C369">
        <f>SUMPRODUCT((MONTH(CHOOSE({1,2,3,4},KMB!T369,KMB!X369,KMB!AB369,KMB!AF369))=3)*(CHOOSE({1,2,3,4},KMB!W369,KMB!AA369,KMB!AE369,KMB!AI369)))</f>
        <v>0</v>
      </c>
      <c r="D369">
        <f>SUMPRODUCT((MONTH(CHOOSE({1,2,3,4},KMB!T369,KMB!X369,KMB!AB369,KMB!AF369))=4)*(CHOOSE({1,2,3,4},KMB!W369,KMB!AA369,KMB!AE369,KMB!AI369)))</f>
        <v>0</v>
      </c>
      <c r="E369">
        <f>SUMPRODUCT((MONTH(CHOOSE({1,2,3,4},KMB!T369,KMB!X369,KMB!AB369,KMB!AF369))=5)*(CHOOSE({1,2,3,4},KMB!W369,KMB!AA369,KMB!AE369,KMB!AI369)))</f>
        <v>0</v>
      </c>
      <c r="F369">
        <f>SUMPRODUCT((MONTH(CHOOSE({1,2,3,4},KMB!T369,KMB!X369,KMB!AB369,KMB!AF369))=6)*(CHOOSE({1,2,3,4},KMB!W369,KMB!AA369,KMB!AE369,KMB!AI369)))</f>
        <v>0</v>
      </c>
      <c r="G369">
        <f>SUMPRODUCT((MONTH(CHOOSE({1,2,3,4},KMB!T369,KMB!X369,KMB!AB369,KMB!AF369))=7)*(CHOOSE({1,2,3,4},KMB!W369,KMB!AA369,KMB!AE369,KMB!AI369)))</f>
        <v>0</v>
      </c>
      <c r="H369">
        <f>SUMPRODUCT((MONTH(CHOOSE({1,2,3,4},KMB!T369,KMB!X369,KMB!AB369,KMB!AF369))=8)*(CHOOSE({1,2,3,4},KMB!W369,KMB!AA369,KMB!AE369,KMB!AI369)))</f>
        <v>0</v>
      </c>
      <c r="I369">
        <f>SUMPRODUCT((MONTH(CHOOSE({1,2,3,4},KMB!T369,KMB!X369,KMB!AB369,KMB!AF369))=9)*(CHOOSE({1,2,3,4},KMB!W369,KMB!AA369,KMB!AE369,KMB!AI369)))</f>
        <v>0</v>
      </c>
      <c r="J369">
        <f>SUMPRODUCT((MONTH(CHOOSE({1,2,3,4},KMB!T369,KMB!X369,KMB!AB369,KMB!AF369))=10)*(CHOOSE({1,2,3,4},KMB!W369,KMB!AA369,KMB!AE369,KMB!AI369)))</f>
        <v>0</v>
      </c>
      <c r="K369">
        <f>SUMPRODUCT((MONTH(CHOOSE({1,2,3,4},KMB!T369,KMB!X369,KMB!AB369,KMB!AF369))=11)*(CHOOSE({1,2,3,4},KMB!W369,KMB!AA369,KMB!AE369,KMB!AI369)))</f>
        <v>0</v>
      </c>
      <c r="L369">
        <f>SUMPRODUCT((MONTH(CHOOSE({1,2,3,4},KMB!T369,KMB!X369,KMB!AB369,KMB!AF369))=12)*(CHOOSE({1,2,3,4},KMB!W369,KMB!AA369,KMB!AE369,KMB!AI369)))</f>
        <v>0</v>
      </c>
    </row>
    <row r="370" spans="1:12">
      <c r="A370">
        <f>SUMPRODUCT((MONTH(CHOOSE({1,2,3,4},KMB!T370,KMB!X370,KMB!AB370,KMB!AF370))=1)*(CHOOSE({1,2,3,4},KMB!W370,KMB!AA370,KMB!AE370,KMB!AI370)))</f>
        <v>0</v>
      </c>
      <c r="B370">
        <f>SUMPRODUCT((MONTH(CHOOSE({1,2,3,4},KMB!T370,KMB!X370,KMB!AB370,KMB!AF370))=2)*(CHOOSE({1,2,3,4},KMB!W370,KMB!AA370,KMB!AE370,KMB!AI370)))</f>
        <v>0</v>
      </c>
      <c r="C370">
        <f>SUMPRODUCT((MONTH(CHOOSE({1,2,3,4},KMB!T370,KMB!X370,KMB!AB370,KMB!AF370))=3)*(CHOOSE({1,2,3,4},KMB!W370,KMB!AA370,KMB!AE370,KMB!AI370)))</f>
        <v>0</v>
      </c>
      <c r="D370">
        <f>SUMPRODUCT((MONTH(CHOOSE({1,2,3,4},KMB!T370,KMB!X370,KMB!AB370,KMB!AF370))=4)*(CHOOSE({1,2,3,4},KMB!W370,KMB!AA370,KMB!AE370,KMB!AI370)))</f>
        <v>0</v>
      </c>
      <c r="E370">
        <f>SUMPRODUCT((MONTH(CHOOSE({1,2,3,4},KMB!T370,KMB!X370,KMB!AB370,KMB!AF370))=5)*(CHOOSE({1,2,3,4},KMB!W370,KMB!AA370,KMB!AE370,KMB!AI370)))</f>
        <v>0</v>
      </c>
      <c r="F370">
        <f>SUMPRODUCT((MONTH(CHOOSE({1,2,3,4},KMB!T370,KMB!X370,KMB!AB370,KMB!AF370))=6)*(CHOOSE({1,2,3,4},KMB!W370,KMB!AA370,KMB!AE370,KMB!AI370)))</f>
        <v>0</v>
      </c>
      <c r="G370">
        <f>SUMPRODUCT((MONTH(CHOOSE({1,2,3,4},KMB!T370,KMB!X370,KMB!AB370,KMB!AF370))=7)*(CHOOSE({1,2,3,4},KMB!W370,KMB!AA370,KMB!AE370,KMB!AI370)))</f>
        <v>0</v>
      </c>
      <c r="H370">
        <f>SUMPRODUCT((MONTH(CHOOSE({1,2,3,4},KMB!T370,KMB!X370,KMB!AB370,KMB!AF370))=8)*(CHOOSE({1,2,3,4},KMB!W370,KMB!AA370,KMB!AE370,KMB!AI370)))</f>
        <v>0</v>
      </c>
      <c r="I370">
        <f>SUMPRODUCT((MONTH(CHOOSE({1,2,3,4},KMB!T370,KMB!X370,KMB!AB370,KMB!AF370))=9)*(CHOOSE({1,2,3,4},KMB!W370,KMB!AA370,KMB!AE370,KMB!AI370)))</f>
        <v>0</v>
      </c>
      <c r="J370">
        <f>SUMPRODUCT((MONTH(CHOOSE({1,2,3,4},KMB!T370,KMB!X370,KMB!AB370,KMB!AF370))=10)*(CHOOSE({1,2,3,4},KMB!W370,KMB!AA370,KMB!AE370,KMB!AI370)))</f>
        <v>0</v>
      </c>
      <c r="K370">
        <f>SUMPRODUCT((MONTH(CHOOSE({1,2,3,4},KMB!T370,KMB!X370,KMB!AB370,KMB!AF370))=11)*(CHOOSE({1,2,3,4},KMB!W370,KMB!AA370,KMB!AE370,KMB!AI370)))</f>
        <v>0</v>
      </c>
      <c r="L370">
        <f>SUMPRODUCT((MONTH(CHOOSE({1,2,3,4},KMB!T370,KMB!X370,KMB!AB370,KMB!AF370))=12)*(CHOOSE({1,2,3,4},KMB!W370,KMB!AA370,KMB!AE370,KMB!AI370)))</f>
        <v>0</v>
      </c>
    </row>
    <row r="371" spans="1:12">
      <c r="A371">
        <f>SUMPRODUCT((MONTH(CHOOSE({1,2,3,4},KMB!T371,KMB!X371,KMB!AB371,KMB!AF371))=1)*(CHOOSE({1,2,3,4},KMB!W371,KMB!AA371,KMB!AE371,KMB!AI371)))</f>
        <v>0</v>
      </c>
      <c r="B371">
        <f>SUMPRODUCT((MONTH(CHOOSE({1,2,3,4},KMB!T371,KMB!X371,KMB!AB371,KMB!AF371))=2)*(CHOOSE({1,2,3,4},KMB!W371,KMB!AA371,KMB!AE371,KMB!AI371)))</f>
        <v>0</v>
      </c>
      <c r="C371">
        <f>SUMPRODUCT((MONTH(CHOOSE({1,2,3,4},KMB!T371,KMB!X371,KMB!AB371,KMB!AF371))=3)*(CHOOSE({1,2,3,4},KMB!W371,KMB!AA371,KMB!AE371,KMB!AI371)))</f>
        <v>0</v>
      </c>
      <c r="D371">
        <f>SUMPRODUCT((MONTH(CHOOSE({1,2,3,4},KMB!T371,KMB!X371,KMB!AB371,KMB!AF371))=4)*(CHOOSE({1,2,3,4},KMB!W371,KMB!AA371,KMB!AE371,KMB!AI371)))</f>
        <v>0</v>
      </c>
      <c r="E371">
        <f>SUMPRODUCT((MONTH(CHOOSE({1,2,3,4},KMB!T371,KMB!X371,KMB!AB371,KMB!AF371))=5)*(CHOOSE({1,2,3,4},KMB!W371,KMB!AA371,KMB!AE371,KMB!AI371)))</f>
        <v>0</v>
      </c>
      <c r="F371">
        <f>SUMPRODUCT((MONTH(CHOOSE({1,2,3,4},KMB!T371,KMB!X371,KMB!AB371,KMB!AF371))=6)*(CHOOSE({1,2,3,4},KMB!W371,KMB!AA371,KMB!AE371,KMB!AI371)))</f>
        <v>0</v>
      </c>
      <c r="G371">
        <f>SUMPRODUCT((MONTH(CHOOSE({1,2,3,4},KMB!T371,KMB!X371,KMB!AB371,KMB!AF371))=7)*(CHOOSE({1,2,3,4},KMB!W371,KMB!AA371,KMB!AE371,KMB!AI371)))</f>
        <v>0</v>
      </c>
      <c r="H371">
        <f>SUMPRODUCT((MONTH(CHOOSE({1,2,3,4},KMB!T371,KMB!X371,KMB!AB371,KMB!AF371))=8)*(CHOOSE({1,2,3,4},KMB!W371,KMB!AA371,KMB!AE371,KMB!AI371)))</f>
        <v>0</v>
      </c>
      <c r="I371">
        <f>SUMPRODUCT((MONTH(CHOOSE({1,2,3,4},KMB!T371,KMB!X371,KMB!AB371,KMB!AF371))=9)*(CHOOSE({1,2,3,4},KMB!W371,KMB!AA371,KMB!AE371,KMB!AI371)))</f>
        <v>0</v>
      </c>
      <c r="J371">
        <f>SUMPRODUCT((MONTH(CHOOSE({1,2,3,4},KMB!T371,KMB!X371,KMB!AB371,KMB!AF371))=10)*(CHOOSE({1,2,3,4},KMB!W371,KMB!AA371,KMB!AE371,KMB!AI371)))</f>
        <v>0</v>
      </c>
      <c r="K371">
        <f>SUMPRODUCT((MONTH(CHOOSE({1,2,3,4},KMB!T371,KMB!X371,KMB!AB371,KMB!AF371))=11)*(CHOOSE({1,2,3,4},KMB!W371,KMB!AA371,KMB!AE371,KMB!AI371)))</f>
        <v>0</v>
      </c>
      <c r="L371">
        <f>SUMPRODUCT((MONTH(CHOOSE({1,2,3,4},KMB!T371,KMB!X371,KMB!AB371,KMB!AF371))=12)*(CHOOSE({1,2,3,4},KMB!W371,KMB!AA371,KMB!AE371,KMB!AI371)))</f>
        <v>0</v>
      </c>
    </row>
    <row r="372" spans="1:12">
      <c r="A372">
        <f>SUMPRODUCT((MONTH(CHOOSE({1,2,3,4},KMB!T372,KMB!X372,KMB!AB372,KMB!AF372))=1)*(CHOOSE({1,2,3,4},KMB!W372,KMB!AA372,KMB!AE372,KMB!AI372)))</f>
        <v>0</v>
      </c>
      <c r="B372">
        <f>SUMPRODUCT((MONTH(CHOOSE({1,2,3,4},KMB!T372,KMB!X372,KMB!AB372,KMB!AF372))=2)*(CHOOSE({1,2,3,4},KMB!W372,KMB!AA372,KMB!AE372,KMB!AI372)))</f>
        <v>0</v>
      </c>
      <c r="C372">
        <f>SUMPRODUCT((MONTH(CHOOSE({1,2,3,4},KMB!T372,KMB!X372,KMB!AB372,KMB!AF372))=3)*(CHOOSE({1,2,3,4},KMB!W372,KMB!AA372,KMB!AE372,KMB!AI372)))</f>
        <v>0</v>
      </c>
      <c r="D372">
        <f>SUMPRODUCT((MONTH(CHOOSE({1,2,3,4},KMB!T372,KMB!X372,KMB!AB372,KMB!AF372))=4)*(CHOOSE({1,2,3,4},KMB!W372,KMB!AA372,KMB!AE372,KMB!AI372)))</f>
        <v>0</v>
      </c>
      <c r="E372">
        <f>SUMPRODUCT((MONTH(CHOOSE({1,2,3,4},KMB!T372,KMB!X372,KMB!AB372,KMB!AF372))=5)*(CHOOSE({1,2,3,4},KMB!W372,KMB!AA372,KMB!AE372,KMB!AI372)))</f>
        <v>0</v>
      </c>
      <c r="F372">
        <f>SUMPRODUCT((MONTH(CHOOSE({1,2,3,4},KMB!T372,KMB!X372,KMB!AB372,KMB!AF372))=6)*(CHOOSE({1,2,3,4},KMB!W372,KMB!AA372,KMB!AE372,KMB!AI372)))</f>
        <v>0</v>
      </c>
      <c r="G372">
        <f>SUMPRODUCT((MONTH(CHOOSE({1,2,3,4},KMB!T372,KMB!X372,KMB!AB372,KMB!AF372))=7)*(CHOOSE({1,2,3,4},KMB!W372,KMB!AA372,KMB!AE372,KMB!AI372)))</f>
        <v>0</v>
      </c>
      <c r="H372">
        <f>SUMPRODUCT((MONTH(CHOOSE({1,2,3,4},KMB!T372,KMB!X372,KMB!AB372,KMB!AF372))=8)*(CHOOSE({1,2,3,4},KMB!W372,KMB!AA372,KMB!AE372,KMB!AI372)))</f>
        <v>0</v>
      </c>
      <c r="I372">
        <f>SUMPRODUCT((MONTH(CHOOSE({1,2,3,4},KMB!T372,KMB!X372,KMB!AB372,KMB!AF372))=9)*(CHOOSE({1,2,3,4},KMB!W372,KMB!AA372,KMB!AE372,KMB!AI372)))</f>
        <v>0</v>
      </c>
      <c r="J372">
        <f>SUMPRODUCT((MONTH(CHOOSE({1,2,3,4},KMB!T372,KMB!X372,KMB!AB372,KMB!AF372))=10)*(CHOOSE({1,2,3,4},KMB!W372,KMB!AA372,KMB!AE372,KMB!AI372)))</f>
        <v>0</v>
      </c>
      <c r="K372">
        <f>SUMPRODUCT((MONTH(CHOOSE({1,2,3,4},KMB!T372,KMB!X372,KMB!AB372,KMB!AF372))=11)*(CHOOSE({1,2,3,4},KMB!W372,KMB!AA372,KMB!AE372,KMB!AI372)))</f>
        <v>0</v>
      </c>
      <c r="L372">
        <f>SUMPRODUCT((MONTH(CHOOSE({1,2,3,4},KMB!T372,KMB!X372,KMB!AB372,KMB!AF372))=12)*(CHOOSE({1,2,3,4},KMB!W372,KMB!AA372,KMB!AE372,KMB!AI372)))</f>
        <v>0</v>
      </c>
    </row>
    <row r="373" spans="1:12">
      <c r="A373">
        <f>SUMPRODUCT((MONTH(CHOOSE({1,2,3,4},KMB!T373,KMB!X373,KMB!AB373,KMB!AF373))=1)*(CHOOSE({1,2,3,4},KMB!W373,KMB!AA373,KMB!AE373,KMB!AI373)))</f>
        <v>0</v>
      </c>
      <c r="B373">
        <f>SUMPRODUCT((MONTH(CHOOSE({1,2,3,4},KMB!T373,KMB!X373,KMB!AB373,KMB!AF373))=2)*(CHOOSE({1,2,3,4},KMB!W373,KMB!AA373,KMB!AE373,KMB!AI373)))</f>
        <v>0</v>
      </c>
      <c r="C373">
        <f>SUMPRODUCT((MONTH(CHOOSE({1,2,3,4},KMB!T373,KMB!X373,KMB!AB373,KMB!AF373))=3)*(CHOOSE({1,2,3,4},KMB!W373,KMB!AA373,KMB!AE373,KMB!AI373)))</f>
        <v>0</v>
      </c>
      <c r="D373">
        <f>SUMPRODUCT((MONTH(CHOOSE({1,2,3,4},KMB!T373,KMB!X373,KMB!AB373,KMB!AF373))=4)*(CHOOSE({1,2,3,4},KMB!W373,KMB!AA373,KMB!AE373,KMB!AI373)))</f>
        <v>0</v>
      </c>
      <c r="E373">
        <f>SUMPRODUCT((MONTH(CHOOSE({1,2,3,4},KMB!T373,KMB!X373,KMB!AB373,KMB!AF373))=5)*(CHOOSE({1,2,3,4},KMB!W373,KMB!AA373,KMB!AE373,KMB!AI373)))</f>
        <v>0</v>
      </c>
      <c r="F373">
        <f>SUMPRODUCT((MONTH(CHOOSE({1,2,3,4},KMB!T373,KMB!X373,KMB!AB373,KMB!AF373))=6)*(CHOOSE({1,2,3,4},KMB!W373,KMB!AA373,KMB!AE373,KMB!AI373)))</f>
        <v>0</v>
      </c>
      <c r="G373">
        <f>SUMPRODUCT((MONTH(CHOOSE({1,2,3,4},KMB!T373,KMB!X373,KMB!AB373,KMB!AF373))=7)*(CHOOSE({1,2,3,4},KMB!W373,KMB!AA373,KMB!AE373,KMB!AI373)))</f>
        <v>0</v>
      </c>
      <c r="H373">
        <f>SUMPRODUCT((MONTH(CHOOSE({1,2,3,4},KMB!T373,KMB!X373,KMB!AB373,KMB!AF373))=8)*(CHOOSE({1,2,3,4},KMB!W373,KMB!AA373,KMB!AE373,KMB!AI373)))</f>
        <v>0</v>
      </c>
      <c r="I373">
        <f>SUMPRODUCT((MONTH(CHOOSE({1,2,3,4},KMB!T373,KMB!X373,KMB!AB373,KMB!AF373))=9)*(CHOOSE({1,2,3,4},KMB!W373,KMB!AA373,KMB!AE373,KMB!AI373)))</f>
        <v>0</v>
      </c>
      <c r="J373">
        <f>SUMPRODUCT((MONTH(CHOOSE({1,2,3,4},KMB!T373,KMB!X373,KMB!AB373,KMB!AF373))=10)*(CHOOSE({1,2,3,4},KMB!W373,KMB!AA373,KMB!AE373,KMB!AI373)))</f>
        <v>0</v>
      </c>
      <c r="K373">
        <f>SUMPRODUCT((MONTH(CHOOSE({1,2,3,4},KMB!T373,KMB!X373,KMB!AB373,KMB!AF373))=11)*(CHOOSE({1,2,3,4},KMB!W373,KMB!AA373,KMB!AE373,KMB!AI373)))</f>
        <v>0</v>
      </c>
      <c r="L373">
        <f>SUMPRODUCT((MONTH(CHOOSE({1,2,3,4},KMB!T373,KMB!X373,KMB!AB373,KMB!AF373))=12)*(CHOOSE({1,2,3,4},KMB!W373,KMB!AA373,KMB!AE373,KMB!AI373)))</f>
        <v>0</v>
      </c>
    </row>
    <row r="374" spans="1:12">
      <c r="A374">
        <f>SUMPRODUCT((MONTH(CHOOSE({1,2,3,4},KMB!T374,KMB!X374,KMB!AB374,KMB!AF374))=1)*(CHOOSE({1,2,3,4},KMB!W374,KMB!AA374,KMB!AE374,KMB!AI374)))</f>
        <v>0</v>
      </c>
      <c r="B374">
        <f>SUMPRODUCT((MONTH(CHOOSE({1,2,3,4},KMB!T374,KMB!X374,KMB!AB374,KMB!AF374))=2)*(CHOOSE({1,2,3,4},KMB!W374,KMB!AA374,KMB!AE374,KMB!AI374)))</f>
        <v>0</v>
      </c>
      <c r="C374">
        <f>SUMPRODUCT((MONTH(CHOOSE({1,2,3,4},KMB!T374,KMB!X374,KMB!AB374,KMB!AF374))=3)*(CHOOSE({1,2,3,4},KMB!W374,KMB!AA374,KMB!AE374,KMB!AI374)))</f>
        <v>0</v>
      </c>
      <c r="D374">
        <f>SUMPRODUCT((MONTH(CHOOSE({1,2,3,4},KMB!T374,KMB!X374,KMB!AB374,KMB!AF374))=4)*(CHOOSE({1,2,3,4},KMB!W374,KMB!AA374,KMB!AE374,KMB!AI374)))</f>
        <v>0</v>
      </c>
      <c r="E374">
        <f>SUMPRODUCT((MONTH(CHOOSE({1,2,3,4},KMB!T374,KMB!X374,KMB!AB374,KMB!AF374))=5)*(CHOOSE({1,2,3,4},KMB!W374,KMB!AA374,KMB!AE374,KMB!AI374)))</f>
        <v>0</v>
      </c>
      <c r="F374">
        <f>SUMPRODUCT((MONTH(CHOOSE({1,2,3,4},KMB!T374,KMB!X374,KMB!AB374,KMB!AF374))=6)*(CHOOSE({1,2,3,4},KMB!W374,KMB!AA374,KMB!AE374,KMB!AI374)))</f>
        <v>0</v>
      </c>
      <c r="G374">
        <f>SUMPRODUCT((MONTH(CHOOSE({1,2,3,4},KMB!T374,KMB!X374,KMB!AB374,KMB!AF374))=7)*(CHOOSE({1,2,3,4},KMB!W374,KMB!AA374,KMB!AE374,KMB!AI374)))</f>
        <v>0</v>
      </c>
      <c r="H374">
        <f>SUMPRODUCT((MONTH(CHOOSE({1,2,3,4},KMB!T374,KMB!X374,KMB!AB374,KMB!AF374))=8)*(CHOOSE({1,2,3,4},KMB!W374,KMB!AA374,KMB!AE374,KMB!AI374)))</f>
        <v>0</v>
      </c>
      <c r="I374">
        <f>SUMPRODUCT((MONTH(CHOOSE({1,2,3,4},KMB!T374,KMB!X374,KMB!AB374,KMB!AF374))=9)*(CHOOSE({1,2,3,4},KMB!W374,KMB!AA374,KMB!AE374,KMB!AI374)))</f>
        <v>0</v>
      </c>
      <c r="J374">
        <f>SUMPRODUCT((MONTH(CHOOSE({1,2,3,4},KMB!T374,KMB!X374,KMB!AB374,KMB!AF374))=10)*(CHOOSE({1,2,3,4},KMB!W374,KMB!AA374,KMB!AE374,KMB!AI374)))</f>
        <v>0</v>
      </c>
      <c r="K374">
        <f>SUMPRODUCT((MONTH(CHOOSE({1,2,3,4},KMB!T374,KMB!X374,KMB!AB374,KMB!AF374))=11)*(CHOOSE({1,2,3,4},KMB!W374,KMB!AA374,KMB!AE374,KMB!AI374)))</f>
        <v>0</v>
      </c>
      <c r="L374">
        <f>SUMPRODUCT((MONTH(CHOOSE({1,2,3,4},KMB!T374,KMB!X374,KMB!AB374,KMB!AF374))=12)*(CHOOSE({1,2,3,4},KMB!W374,KMB!AA374,KMB!AE374,KMB!AI374)))</f>
        <v>0</v>
      </c>
    </row>
    <row r="375" spans="1:12">
      <c r="A375">
        <f>SUMPRODUCT((MONTH(CHOOSE({1,2,3,4},KMB!T375,KMB!X375,KMB!AB375,KMB!AF375))=1)*(CHOOSE({1,2,3,4},KMB!W375,KMB!AA375,KMB!AE375,KMB!AI375)))</f>
        <v>0</v>
      </c>
      <c r="B375">
        <f>SUMPRODUCT((MONTH(CHOOSE({1,2,3,4},KMB!T375,KMB!X375,KMB!AB375,KMB!AF375))=2)*(CHOOSE({1,2,3,4},KMB!W375,KMB!AA375,KMB!AE375,KMB!AI375)))</f>
        <v>0</v>
      </c>
      <c r="C375">
        <f>SUMPRODUCT((MONTH(CHOOSE({1,2,3,4},KMB!T375,KMB!X375,KMB!AB375,KMB!AF375))=3)*(CHOOSE({1,2,3,4},KMB!W375,KMB!AA375,KMB!AE375,KMB!AI375)))</f>
        <v>0</v>
      </c>
      <c r="D375">
        <f>SUMPRODUCT((MONTH(CHOOSE({1,2,3,4},KMB!T375,KMB!X375,KMB!AB375,KMB!AF375))=4)*(CHOOSE({1,2,3,4},KMB!W375,KMB!AA375,KMB!AE375,KMB!AI375)))</f>
        <v>0</v>
      </c>
      <c r="E375">
        <f>SUMPRODUCT((MONTH(CHOOSE({1,2,3,4},KMB!T375,KMB!X375,KMB!AB375,KMB!AF375))=5)*(CHOOSE({1,2,3,4},KMB!W375,KMB!AA375,KMB!AE375,KMB!AI375)))</f>
        <v>0</v>
      </c>
      <c r="F375">
        <f>SUMPRODUCT((MONTH(CHOOSE({1,2,3,4},KMB!T375,KMB!X375,KMB!AB375,KMB!AF375))=6)*(CHOOSE({1,2,3,4},KMB!W375,KMB!AA375,KMB!AE375,KMB!AI375)))</f>
        <v>0</v>
      </c>
      <c r="G375">
        <f>SUMPRODUCT((MONTH(CHOOSE({1,2,3,4},KMB!T375,KMB!X375,KMB!AB375,KMB!AF375))=7)*(CHOOSE({1,2,3,4},KMB!W375,KMB!AA375,KMB!AE375,KMB!AI375)))</f>
        <v>0</v>
      </c>
      <c r="H375">
        <f>SUMPRODUCT((MONTH(CHOOSE({1,2,3,4},KMB!T375,KMB!X375,KMB!AB375,KMB!AF375))=8)*(CHOOSE({1,2,3,4},KMB!W375,KMB!AA375,KMB!AE375,KMB!AI375)))</f>
        <v>0</v>
      </c>
      <c r="I375">
        <f>SUMPRODUCT((MONTH(CHOOSE({1,2,3,4},KMB!T375,KMB!X375,KMB!AB375,KMB!AF375))=9)*(CHOOSE({1,2,3,4},KMB!W375,KMB!AA375,KMB!AE375,KMB!AI375)))</f>
        <v>0</v>
      </c>
      <c r="J375">
        <f>SUMPRODUCT((MONTH(CHOOSE({1,2,3,4},KMB!T375,KMB!X375,KMB!AB375,KMB!AF375))=10)*(CHOOSE({1,2,3,4},KMB!W375,KMB!AA375,KMB!AE375,KMB!AI375)))</f>
        <v>0</v>
      </c>
      <c r="K375">
        <f>SUMPRODUCT((MONTH(CHOOSE({1,2,3,4},KMB!T375,KMB!X375,KMB!AB375,KMB!AF375))=11)*(CHOOSE({1,2,3,4},KMB!W375,KMB!AA375,KMB!AE375,KMB!AI375)))</f>
        <v>0</v>
      </c>
      <c r="L375">
        <f>SUMPRODUCT((MONTH(CHOOSE({1,2,3,4},KMB!T375,KMB!X375,KMB!AB375,KMB!AF375))=12)*(CHOOSE({1,2,3,4},KMB!W375,KMB!AA375,KMB!AE375,KMB!AI375)))</f>
        <v>0</v>
      </c>
    </row>
    <row r="376" spans="1:12">
      <c r="A376">
        <f>SUMPRODUCT((MONTH(CHOOSE({1,2,3,4},KMB!T376,KMB!X376,KMB!AB376,KMB!AF376))=1)*(CHOOSE({1,2,3,4},KMB!W376,KMB!AA376,KMB!AE376,KMB!AI376)))</f>
        <v>0</v>
      </c>
      <c r="B376">
        <f>SUMPRODUCT((MONTH(CHOOSE({1,2,3,4},KMB!T376,KMB!X376,KMB!AB376,KMB!AF376))=2)*(CHOOSE({1,2,3,4},KMB!W376,KMB!AA376,KMB!AE376,KMB!AI376)))</f>
        <v>0</v>
      </c>
      <c r="C376">
        <f>SUMPRODUCT((MONTH(CHOOSE({1,2,3,4},KMB!T376,KMB!X376,KMB!AB376,KMB!AF376))=3)*(CHOOSE({1,2,3,4},KMB!W376,KMB!AA376,KMB!AE376,KMB!AI376)))</f>
        <v>0</v>
      </c>
      <c r="D376">
        <f>SUMPRODUCT((MONTH(CHOOSE({1,2,3,4},KMB!T376,KMB!X376,KMB!AB376,KMB!AF376))=4)*(CHOOSE({1,2,3,4},KMB!W376,KMB!AA376,KMB!AE376,KMB!AI376)))</f>
        <v>0</v>
      </c>
      <c r="E376">
        <f>SUMPRODUCT((MONTH(CHOOSE({1,2,3,4},KMB!T376,KMB!X376,KMB!AB376,KMB!AF376))=5)*(CHOOSE({1,2,3,4},KMB!W376,KMB!AA376,KMB!AE376,KMB!AI376)))</f>
        <v>0</v>
      </c>
      <c r="F376">
        <f>SUMPRODUCT((MONTH(CHOOSE({1,2,3,4},KMB!T376,KMB!X376,KMB!AB376,KMB!AF376))=6)*(CHOOSE({1,2,3,4},KMB!W376,KMB!AA376,KMB!AE376,KMB!AI376)))</f>
        <v>0</v>
      </c>
      <c r="G376">
        <f>SUMPRODUCT((MONTH(CHOOSE({1,2,3,4},KMB!T376,KMB!X376,KMB!AB376,KMB!AF376))=7)*(CHOOSE({1,2,3,4},KMB!W376,KMB!AA376,KMB!AE376,KMB!AI376)))</f>
        <v>0</v>
      </c>
      <c r="H376">
        <f>SUMPRODUCT((MONTH(CHOOSE({1,2,3,4},KMB!T376,KMB!X376,KMB!AB376,KMB!AF376))=8)*(CHOOSE({1,2,3,4},KMB!W376,KMB!AA376,KMB!AE376,KMB!AI376)))</f>
        <v>0</v>
      </c>
      <c r="I376">
        <f>SUMPRODUCT((MONTH(CHOOSE({1,2,3,4},KMB!T376,KMB!X376,KMB!AB376,KMB!AF376))=9)*(CHOOSE({1,2,3,4},KMB!W376,KMB!AA376,KMB!AE376,KMB!AI376)))</f>
        <v>0</v>
      </c>
      <c r="J376">
        <f>SUMPRODUCT((MONTH(CHOOSE({1,2,3,4},KMB!T376,KMB!X376,KMB!AB376,KMB!AF376))=10)*(CHOOSE({1,2,3,4},KMB!W376,KMB!AA376,KMB!AE376,KMB!AI376)))</f>
        <v>0</v>
      </c>
      <c r="K376">
        <f>SUMPRODUCT((MONTH(CHOOSE({1,2,3,4},KMB!T376,KMB!X376,KMB!AB376,KMB!AF376))=11)*(CHOOSE({1,2,3,4},KMB!W376,KMB!AA376,KMB!AE376,KMB!AI376)))</f>
        <v>0</v>
      </c>
      <c r="L376">
        <f>SUMPRODUCT((MONTH(CHOOSE({1,2,3,4},KMB!T376,KMB!X376,KMB!AB376,KMB!AF376))=12)*(CHOOSE({1,2,3,4},KMB!W376,KMB!AA376,KMB!AE376,KMB!AI376)))</f>
        <v>0</v>
      </c>
    </row>
    <row r="377" spans="1:12">
      <c r="A377">
        <f>SUMPRODUCT((MONTH(CHOOSE({1,2,3,4},KMB!T377,KMB!X377,KMB!AB377,KMB!AF377))=1)*(CHOOSE({1,2,3,4},KMB!W377,KMB!AA377,KMB!AE377,KMB!AI377)))</f>
        <v>0</v>
      </c>
      <c r="B377">
        <f>SUMPRODUCT((MONTH(CHOOSE({1,2,3,4},KMB!T377,KMB!X377,KMB!AB377,KMB!AF377))=2)*(CHOOSE({1,2,3,4},KMB!W377,KMB!AA377,KMB!AE377,KMB!AI377)))</f>
        <v>0</v>
      </c>
      <c r="C377">
        <f>SUMPRODUCT((MONTH(CHOOSE({1,2,3,4},KMB!T377,KMB!X377,KMB!AB377,KMB!AF377))=3)*(CHOOSE({1,2,3,4},KMB!W377,KMB!AA377,KMB!AE377,KMB!AI377)))</f>
        <v>0</v>
      </c>
      <c r="D377">
        <f>SUMPRODUCT((MONTH(CHOOSE({1,2,3,4},KMB!T377,KMB!X377,KMB!AB377,KMB!AF377))=4)*(CHOOSE({1,2,3,4},KMB!W377,KMB!AA377,KMB!AE377,KMB!AI377)))</f>
        <v>0</v>
      </c>
      <c r="E377">
        <f>SUMPRODUCT((MONTH(CHOOSE({1,2,3,4},KMB!T377,KMB!X377,KMB!AB377,KMB!AF377))=5)*(CHOOSE({1,2,3,4},KMB!W377,KMB!AA377,KMB!AE377,KMB!AI377)))</f>
        <v>0</v>
      </c>
      <c r="F377">
        <f>SUMPRODUCT((MONTH(CHOOSE({1,2,3,4},KMB!T377,KMB!X377,KMB!AB377,KMB!AF377))=6)*(CHOOSE({1,2,3,4},KMB!W377,KMB!AA377,KMB!AE377,KMB!AI377)))</f>
        <v>0</v>
      </c>
      <c r="G377">
        <f>SUMPRODUCT((MONTH(CHOOSE({1,2,3,4},KMB!T377,KMB!X377,KMB!AB377,KMB!AF377))=7)*(CHOOSE({1,2,3,4},KMB!W377,KMB!AA377,KMB!AE377,KMB!AI377)))</f>
        <v>0</v>
      </c>
      <c r="H377">
        <f>SUMPRODUCT((MONTH(CHOOSE({1,2,3,4},KMB!T377,KMB!X377,KMB!AB377,KMB!AF377))=8)*(CHOOSE({1,2,3,4},KMB!W377,KMB!AA377,KMB!AE377,KMB!AI377)))</f>
        <v>0</v>
      </c>
      <c r="I377">
        <f>SUMPRODUCT((MONTH(CHOOSE({1,2,3,4},KMB!T377,KMB!X377,KMB!AB377,KMB!AF377))=9)*(CHOOSE({1,2,3,4},KMB!W377,KMB!AA377,KMB!AE377,KMB!AI377)))</f>
        <v>0</v>
      </c>
      <c r="J377">
        <f>SUMPRODUCT((MONTH(CHOOSE({1,2,3,4},KMB!T377,KMB!X377,KMB!AB377,KMB!AF377))=10)*(CHOOSE({1,2,3,4},KMB!W377,KMB!AA377,KMB!AE377,KMB!AI377)))</f>
        <v>0</v>
      </c>
      <c r="K377">
        <f>SUMPRODUCT((MONTH(CHOOSE({1,2,3,4},KMB!T377,KMB!X377,KMB!AB377,KMB!AF377))=11)*(CHOOSE({1,2,3,4},KMB!W377,KMB!AA377,KMB!AE377,KMB!AI377)))</f>
        <v>0</v>
      </c>
      <c r="L377">
        <f>SUMPRODUCT((MONTH(CHOOSE({1,2,3,4},KMB!T377,KMB!X377,KMB!AB377,KMB!AF377))=12)*(CHOOSE({1,2,3,4},KMB!W377,KMB!AA377,KMB!AE377,KMB!AI377)))</f>
        <v>0</v>
      </c>
    </row>
    <row r="378" spans="1:12">
      <c r="A378">
        <f>SUMPRODUCT((MONTH(CHOOSE({1,2,3,4},KMB!T378,KMB!X378,KMB!AB378,KMB!AF378))=1)*(CHOOSE({1,2,3,4},KMB!W378,KMB!AA378,KMB!AE378,KMB!AI378)))</f>
        <v>0</v>
      </c>
      <c r="B378">
        <f>SUMPRODUCT((MONTH(CHOOSE({1,2,3,4},KMB!T378,KMB!X378,KMB!AB378,KMB!AF378))=2)*(CHOOSE({1,2,3,4},KMB!W378,KMB!AA378,KMB!AE378,KMB!AI378)))</f>
        <v>0</v>
      </c>
      <c r="C378">
        <f>SUMPRODUCT((MONTH(CHOOSE({1,2,3,4},KMB!T378,KMB!X378,KMB!AB378,KMB!AF378))=3)*(CHOOSE({1,2,3,4},KMB!W378,KMB!AA378,KMB!AE378,KMB!AI378)))</f>
        <v>0</v>
      </c>
      <c r="D378">
        <f>SUMPRODUCT((MONTH(CHOOSE({1,2,3,4},KMB!T378,KMB!X378,KMB!AB378,KMB!AF378))=4)*(CHOOSE({1,2,3,4},KMB!W378,KMB!AA378,KMB!AE378,KMB!AI378)))</f>
        <v>0</v>
      </c>
      <c r="E378">
        <f>SUMPRODUCT((MONTH(CHOOSE({1,2,3,4},KMB!T378,KMB!X378,KMB!AB378,KMB!AF378))=5)*(CHOOSE({1,2,3,4},KMB!W378,KMB!AA378,KMB!AE378,KMB!AI378)))</f>
        <v>0</v>
      </c>
      <c r="F378">
        <f>SUMPRODUCT((MONTH(CHOOSE({1,2,3,4},KMB!T378,KMB!X378,KMB!AB378,KMB!AF378))=6)*(CHOOSE({1,2,3,4},KMB!W378,KMB!AA378,KMB!AE378,KMB!AI378)))</f>
        <v>0</v>
      </c>
      <c r="G378">
        <f>SUMPRODUCT((MONTH(CHOOSE({1,2,3,4},KMB!T378,KMB!X378,KMB!AB378,KMB!AF378))=7)*(CHOOSE({1,2,3,4},KMB!W378,KMB!AA378,KMB!AE378,KMB!AI378)))</f>
        <v>0</v>
      </c>
      <c r="H378">
        <f>SUMPRODUCT((MONTH(CHOOSE({1,2,3,4},KMB!T378,KMB!X378,KMB!AB378,KMB!AF378))=8)*(CHOOSE({1,2,3,4},KMB!W378,KMB!AA378,KMB!AE378,KMB!AI378)))</f>
        <v>0</v>
      </c>
      <c r="I378">
        <f>SUMPRODUCT((MONTH(CHOOSE({1,2,3,4},KMB!T378,KMB!X378,KMB!AB378,KMB!AF378))=9)*(CHOOSE({1,2,3,4},KMB!W378,KMB!AA378,KMB!AE378,KMB!AI378)))</f>
        <v>0</v>
      </c>
      <c r="J378">
        <f>SUMPRODUCT((MONTH(CHOOSE({1,2,3,4},KMB!T378,KMB!X378,KMB!AB378,KMB!AF378))=10)*(CHOOSE({1,2,3,4},KMB!W378,KMB!AA378,KMB!AE378,KMB!AI378)))</f>
        <v>0</v>
      </c>
      <c r="K378">
        <f>SUMPRODUCT((MONTH(CHOOSE({1,2,3,4},KMB!T378,KMB!X378,KMB!AB378,KMB!AF378))=11)*(CHOOSE({1,2,3,4},KMB!W378,KMB!AA378,KMB!AE378,KMB!AI378)))</f>
        <v>0</v>
      </c>
      <c r="L378">
        <f>SUMPRODUCT((MONTH(CHOOSE({1,2,3,4},KMB!T378,KMB!X378,KMB!AB378,KMB!AF378))=12)*(CHOOSE({1,2,3,4},KMB!W378,KMB!AA378,KMB!AE378,KMB!AI378)))</f>
        <v>0</v>
      </c>
    </row>
    <row r="379" spans="1:12">
      <c r="A379">
        <f>SUMPRODUCT((MONTH(CHOOSE({1,2,3,4},KMB!T379,KMB!X379,KMB!AB379,KMB!AF379))=1)*(CHOOSE({1,2,3,4},KMB!W379,KMB!AA379,KMB!AE379,KMB!AI379)))</f>
        <v>0</v>
      </c>
      <c r="B379">
        <f>SUMPRODUCT((MONTH(CHOOSE({1,2,3,4},KMB!T379,KMB!X379,KMB!AB379,KMB!AF379))=2)*(CHOOSE({1,2,3,4},KMB!W379,KMB!AA379,KMB!AE379,KMB!AI379)))</f>
        <v>0</v>
      </c>
      <c r="C379">
        <f>SUMPRODUCT((MONTH(CHOOSE({1,2,3,4},KMB!T379,KMB!X379,KMB!AB379,KMB!AF379))=3)*(CHOOSE({1,2,3,4},KMB!W379,KMB!AA379,KMB!AE379,KMB!AI379)))</f>
        <v>0</v>
      </c>
      <c r="D379">
        <f>SUMPRODUCT((MONTH(CHOOSE({1,2,3,4},KMB!T379,KMB!X379,KMB!AB379,KMB!AF379))=4)*(CHOOSE({1,2,3,4},KMB!W379,KMB!AA379,KMB!AE379,KMB!AI379)))</f>
        <v>0</v>
      </c>
      <c r="E379">
        <f>SUMPRODUCT((MONTH(CHOOSE({1,2,3,4},KMB!T379,KMB!X379,KMB!AB379,KMB!AF379))=5)*(CHOOSE({1,2,3,4},KMB!W379,KMB!AA379,KMB!AE379,KMB!AI379)))</f>
        <v>0</v>
      </c>
      <c r="F379">
        <f>SUMPRODUCT((MONTH(CHOOSE({1,2,3,4},KMB!T379,KMB!X379,KMB!AB379,KMB!AF379))=6)*(CHOOSE({1,2,3,4},KMB!W379,KMB!AA379,KMB!AE379,KMB!AI379)))</f>
        <v>0</v>
      </c>
      <c r="G379">
        <f>SUMPRODUCT((MONTH(CHOOSE({1,2,3,4},KMB!T379,KMB!X379,KMB!AB379,KMB!AF379))=7)*(CHOOSE({1,2,3,4},KMB!W379,KMB!AA379,KMB!AE379,KMB!AI379)))</f>
        <v>0</v>
      </c>
      <c r="H379">
        <f>SUMPRODUCT((MONTH(CHOOSE({1,2,3,4},KMB!T379,KMB!X379,KMB!AB379,KMB!AF379))=8)*(CHOOSE({1,2,3,4},KMB!W379,KMB!AA379,KMB!AE379,KMB!AI379)))</f>
        <v>0</v>
      </c>
      <c r="I379">
        <f>SUMPRODUCT((MONTH(CHOOSE({1,2,3,4},KMB!T379,KMB!X379,KMB!AB379,KMB!AF379))=9)*(CHOOSE({1,2,3,4},KMB!W379,KMB!AA379,KMB!AE379,KMB!AI379)))</f>
        <v>0</v>
      </c>
      <c r="J379">
        <f>SUMPRODUCT((MONTH(CHOOSE({1,2,3,4},KMB!T379,KMB!X379,KMB!AB379,KMB!AF379))=10)*(CHOOSE({1,2,3,4},KMB!W379,KMB!AA379,KMB!AE379,KMB!AI379)))</f>
        <v>0</v>
      </c>
      <c r="K379">
        <f>SUMPRODUCT((MONTH(CHOOSE({1,2,3,4},KMB!T379,KMB!X379,KMB!AB379,KMB!AF379))=11)*(CHOOSE({1,2,3,4},KMB!W379,KMB!AA379,KMB!AE379,KMB!AI379)))</f>
        <v>0</v>
      </c>
      <c r="L379">
        <f>SUMPRODUCT((MONTH(CHOOSE({1,2,3,4},KMB!T379,KMB!X379,KMB!AB379,KMB!AF379))=12)*(CHOOSE({1,2,3,4},KMB!W379,KMB!AA379,KMB!AE379,KMB!AI379)))</f>
        <v>0</v>
      </c>
    </row>
    <row r="380" spans="1:12">
      <c r="A380">
        <f>SUMPRODUCT((MONTH(CHOOSE({1,2,3,4},KMB!T380,KMB!X380,KMB!AB380,KMB!AF380))=1)*(CHOOSE({1,2,3,4},KMB!W380,KMB!AA380,KMB!AE380,KMB!AI380)))</f>
        <v>0</v>
      </c>
      <c r="B380">
        <f>SUMPRODUCT((MONTH(CHOOSE({1,2,3,4},KMB!T380,KMB!X380,KMB!AB380,KMB!AF380))=2)*(CHOOSE({1,2,3,4},KMB!W380,KMB!AA380,KMB!AE380,KMB!AI380)))</f>
        <v>0</v>
      </c>
      <c r="C380">
        <f>SUMPRODUCT((MONTH(CHOOSE({1,2,3,4},KMB!T380,KMB!X380,KMB!AB380,KMB!AF380))=3)*(CHOOSE({1,2,3,4},KMB!W380,KMB!AA380,KMB!AE380,KMB!AI380)))</f>
        <v>0</v>
      </c>
      <c r="D380">
        <f>SUMPRODUCT((MONTH(CHOOSE({1,2,3,4},KMB!T380,KMB!X380,KMB!AB380,KMB!AF380))=4)*(CHOOSE({1,2,3,4},KMB!W380,KMB!AA380,KMB!AE380,KMB!AI380)))</f>
        <v>0</v>
      </c>
      <c r="E380">
        <f>SUMPRODUCT((MONTH(CHOOSE({1,2,3,4},KMB!T380,KMB!X380,KMB!AB380,KMB!AF380))=5)*(CHOOSE({1,2,3,4},KMB!W380,KMB!AA380,KMB!AE380,KMB!AI380)))</f>
        <v>0</v>
      </c>
      <c r="F380">
        <f>SUMPRODUCT((MONTH(CHOOSE({1,2,3,4},KMB!T380,KMB!X380,KMB!AB380,KMB!AF380))=6)*(CHOOSE({1,2,3,4},KMB!W380,KMB!AA380,KMB!AE380,KMB!AI380)))</f>
        <v>0</v>
      </c>
      <c r="G380">
        <f>SUMPRODUCT((MONTH(CHOOSE({1,2,3,4},KMB!T380,KMB!X380,KMB!AB380,KMB!AF380))=7)*(CHOOSE({1,2,3,4},KMB!W380,KMB!AA380,KMB!AE380,KMB!AI380)))</f>
        <v>0</v>
      </c>
      <c r="H380">
        <f>SUMPRODUCT((MONTH(CHOOSE({1,2,3,4},KMB!T380,KMB!X380,KMB!AB380,KMB!AF380))=8)*(CHOOSE({1,2,3,4},KMB!W380,KMB!AA380,KMB!AE380,KMB!AI380)))</f>
        <v>0</v>
      </c>
      <c r="I380">
        <f>SUMPRODUCT((MONTH(CHOOSE({1,2,3,4},KMB!T380,KMB!X380,KMB!AB380,KMB!AF380))=9)*(CHOOSE({1,2,3,4},KMB!W380,KMB!AA380,KMB!AE380,KMB!AI380)))</f>
        <v>0</v>
      </c>
      <c r="J380">
        <f>SUMPRODUCT((MONTH(CHOOSE({1,2,3,4},KMB!T380,KMB!X380,KMB!AB380,KMB!AF380))=10)*(CHOOSE({1,2,3,4},KMB!W380,KMB!AA380,KMB!AE380,KMB!AI380)))</f>
        <v>0</v>
      </c>
      <c r="K380">
        <f>SUMPRODUCT((MONTH(CHOOSE({1,2,3,4},KMB!T380,KMB!X380,KMB!AB380,KMB!AF380))=11)*(CHOOSE({1,2,3,4},KMB!W380,KMB!AA380,KMB!AE380,KMB!AI380)))</f>
        <v>0</v>
      </c>
      <c r="L380">
        <f>SUMPRODUCT((MONTH(CHOOSE({1,2,3,4},KMB!T380,KMB!X380,KMB!AB380,KMB!AF380))=12)*(CHOOSE({1,2,3,4},KMB!W380,KMB!AA380,KMB!AE380,KMB!AI380)))</f>
        <v>0</v>
      </c>
    </row>
    <row r="381" spans="1:12">
      <c r="A381">
        <f>SUMPRODUCT((MONTH(CHOOSE({1,2,3,4},KMB!T381,KMB!X381,KMB!AB381,KMB!AF381))=1)*(CHOOSE({1,2,3,4},KMB!W381,KMB!AA381,KMB!AE381,KMB!AI381)))</f>
        <v>0</v>
      </c>
      <c r="B381">
        <f>SUMPRODUCT((MONTH(CHOOSE({1,2,3,4},KMB!T381,KMB!X381,KMB!AB381,KMB!AF381))=2)*(CHOOSE({1,2,3,4},KMB!W381,KMB!AA381,KMB!AE381,KMB!AI381)))</f>
        <v>0</v>
      </c>
      <c r="C381">
        <f>SUMPRODUCT((MONTH(CHOOSE({1,2,3,4},KMB!T381,KMB!X381,KMB!AB381,KMB!AF381))=3)*(CHOOSE({1,2,3,4},KMB!W381,KMB!AA381,KMB!AE381,KMB!AI381)))</f>
        <v>0</v>
      </c>
      <c r="D381">
        <f>SUMPRODUCT((MONTH(CHOOSE({1,2,3,4},KMB!T381,KMB!X381,KMB!AB381,KMB!AF381))=4)*(CHOOSE({1,2,3,4},KMB!W381,KMB!AA381,KMB!AE381,KMB!AI381)))</f>
        <v>0</v>
      </c>
      <c r="E381">
        <f>SUMPRODUCT((MONTH(CHOOSE({1,2,3,4},KMB!T381,KMB!X381,KMB!AB381,KMB!AF381))=5)*(CHOOSE({1,2,3,4},KMB!W381,KMB!AA381,KMB!AE381,KMB!AI381)))</f>
        <v>0</v>
      </c>
      <c r="F381">
        <f>SUMPRODUCT((MONTH(CHOOSE({1,2,3,4},KMB!T381,KMB!X381,KMB!AB381,KMB!AF381))=6)*(CHOOSE({1,2,3,4},KMB!W381,KMB!AA381,KMB!AE381,KMB!AI381)))</f>
        <v>0</v>
      </c>
      <c r="G381">
        <f>SUMPRODUCT((MONTH(CHOOSE({1,2,3,4},KMB!T381,KMB!X381,KMB!AB381,KMB!AF381))=7)*(CHOOSE({1,2,3,4},KMB!W381,KMB!AA381,KMB!AE381,KMB!AI381)))</f>
        <v>0</v>
      </c>
      <c r="H381">
        <f>SUMPRODUCT((MONTH(CHOOSE({1,2,3,4},KMB!T381,KMB!X381,KMB!AB381,KMB!AF381))=8)*(CHOOSE({1,2,3,4},KMB!W381,KMB!AA381,KMB!AE381,KMB!AI381)))</f>
        <v>0</v>
      </c>
      <c r="I381">
        <f>SUMPRODUCT((MONTH(CHOOSE({1,2,3,4},KMB!T381,KMB!X381,KMB!AB381,KMB!AF381))=9)*(CHOOSE({1,2,3,4},KMB!W381,KMB!AA381,KMB!AE381,KMB!AI381)))</f>
        <v>0</v>
      </c>
      <c r="J381">
        <f>SUMPRODUCT((MONTH(CHOOSE({1,2,3,4},KMB!T381,KMB!X381,KMB!AB381,KMB!AF381))=10)*(CHOOSE({1,2,3,4},KMB!W381,KMB!AA381,KMB!AE381,KMB!AI381)))</f>
        <v>0</v>
      </c>
      <c r="K381">
        <f>SUMPRODUCT((MONTH(CHOOSE({1,2,3,4},KMB!T381,KMB!X381,KMB!AB381,KMB!AF381))=11)*(CHOOSE({1,2,3,4},KMB!W381,KMB!AA381,KMB!AE381,KMB!AI381)))</f>
        <v>0</v>
      </c>
      <c r="L381">
        <f>SUMPRODUCT((MONTH(CHOOSE({1,2,3,4},KMB!T381,KMB!X381,KMB!AB381,KMB!AF381))=12)*(CHOOSE({1,2,3,4},KMB!W381,KMB!AA381,KMB!AE381,KMB!AI381)))</f>
        <v>0</v>
      </c>
    </row>
    <row r="382" spans="1:12">
      <c r="A382">
        <f>SUMPRODUCT((MONTH(CHOOSE({1,2,3,4},KMB!T382,KMB!X382,KMB!AB382,KMB!AF382))=1)*(CHOOSE({1,2,3,4},KMB!W382,KMB!AA382,KMB!AE382,KMB!AI382)))</f>
        <v>0</v>
      </c>
      <c r="B382">
        <f>SUMPRODUCT((MONTH(CHOOSE({1,2,3,4},KMB!T382,KMB!X382,KMB!AB382,KMB!AF382))=2)*(CHOOSE({1,2,3,4},KMB!W382,KMB!AA382,KMB!AE382,KMB!AI382)))</f>
        <v>0</v>
      </c>
      <c r="C382">
        <f>SUMPRODUCT((MONTH(CHOOSE({1,2,3,4},KMB!T382,KMB!X382,KMB!AB382,KMB!AF382))=3)*(CHOOSE({1,2,3,4},KMB!W382,KMB!AA382,KMB!AE382,KMB!AI382)))</f>
        <v>0</v>
      </c>
      <c r="D382">
        <f>SUMPRODUCT((MONTH(CHOOSE({1,2,3,4},KMB!T382,KMB!X382,KMB!AB382,KMB!AF382))=4)*(CHOOSE({1,2,3,4},KMB!W382,KMB!AA382,KMB!AE382,KMB!AI382)))</f>
        <v>0</v>
      </c>
      <c r="E382">
        <f>SUMPRODUCT((MONTH(CHOOSE({1,2,3,4},KMB!T382,KMB!X382,KMB!AB382,KMB!AF382))=5)*(CHOOSE({1,2,3,4},KMB!W382,KMB!AA382,KMB!AE382,KMB!AI382)))</f>
        <v>0</v>
      </c>
      <c r="F382">
        <f>SUMPRODUCT((MONTH(CHOOSE({1,2,3,4},KMB!T382,KMB!X382,KMB!AB382,KMB!AF382))=6)*(CHOOSE({1,2,3,4},KMB!W382,KMB!AA382,KMB!AE382,KMB!AI382)))</f>
        <v>0</v>
      </c>
      <c r="G382">
        <f>SUMPRODUCT((MONTH(CHOOSE({1,2,3,4},KMB!T382,KMB!X382,KMB!AB382,KMB!AF382))=7)*(CHOOSE({1,2,3,4},KMB!W382,KMB!AA382,KMB!AE382,KMB!AI382)))</f>
        <v>0</v>
      </c>
      <c r="H382">
        <f>SUMPRODUCT((MONTH(CHOOSE({1,2,3,4},KMB!T382,KMB!X382,KMB!AB382,KMB!AF382))=8)*(CHOOSE({1,2,3,4},KMB!W382,KMB!AA382,KMB!AE382,KMB!AI382)))</f>
        <v>0</v>
      </c>
      <c r="I382">
        <f>SUMPRODUCT((MONTH(CHOOSE({1,2,3,4},KMB!T382,KMB!X382,KMB!AB382,KMB!AF382))=9)*(CHOOSE({1,2,3,4},KMB!W382,KMB!AA382,KMB!AE382,KMB!AI382)))</f>
        <v>0</v>
      </c>
      <c r="J382">
        <f>SUMPRODUCT((MONTH(CHOOSE({1,2,3,4},KMB!T382,KMB!X382,KMB!AB382,KMB!AF382))=10)*(CHOOSE({1,2,3,4},KMB!W382,KMB!AA382,KMB!AE382,KMB!AI382)))</f>
        <v>0</v>
      </c>
      <c r="K382">
        <f>SUMPRODUCT((MONTH(CHOOSE({1,2,3,4},KMB!T382,KMB!X382,KMB!AB382,KMB!AF382))=11)*(CHOOSE({1,2,3,4},KMB!W382,KMB!AA382,KMB!AE382,KMB!AI382)))</f>
        <v>0</v>
      </c>
      <c r="L382">
        <f>SUMPRODUCT((MONTH(CHOOSE({1,2,3,4},KMB!T382,KMB!X382,KMB!AB382,KMB!AF382))=12)*(CHOOSE({1,2,3,4},KMB!W382,KMB!AA382,KMB!AE382,KMB!AI382)))</f>
        <v>0</v>
      </c>
    </row>
    <row r="383" spans="1:12">
      <c r="A383">
        <f>SUMPRODUCT((MONTH(CHOOSE({1,2,3,4},KMB!T383,KMB!X383,KMB!AB383,KMB!AF383))=1)*(CHOOSE({1,2,3,4},KMB!W383,KMB!AA383,KMB!AE383,KMB!AI383)))</f>
        <v>0</v>
      </c>
      <c r="B383">
        <f>SUMPRODUCT((MONTH(CHOOSE({1,2,3,4},KMB!T383,KMB!X383,KMB!AB383,KMB!AF383))=2)*(CHOOSE({1,2,3,4},KMB!W383,KMB!AA383,KMB!AE383,KMB!AI383)))</f>
        <v>0</v>
      </c>
      <c r="C383">
        <f>SUMPRODUCT((MONTH(CHOOSE({1,2,3,4},KMB!T383,KMB!X383,KMB!AB383,KMB!AF383))=3)*(CHOOSE({1,2,3,4},KMB!W383,KMB!AA383,KMB!AE383,KMB!AI383)))</f>
        <v>0</v>
      </c>
      <c r="D383">
        <f>SUMPRODUCT((MONTH(CHOOSE({1,2,3,4},KMB!T383,KMB!X383,KMB!AB383,KMB!AF383))=4)*(CHOOSE({1,2,3,4},KMB!W383,KMB!AA383,KMB!AE383,KMB!AI383)))</f>
        <v>0</v>
      </c>
      <c r="E383">
        <f>SUMPRODUCT((MONTH(CHOOSE({1,2,3,4},KMB!T383,KMB!X383,KMB!AB383,KMB!AF383))=5)*(CHOOSE({1,2,3,4},KMB!W383,KMB!AA383,KMB!AE383,KMB!AI383)))</f>
        <v>0</v>
      </c>
      <c r="F383">
        <f>SUMPRODUCT((MONTH(CHOOSE({1,2,3,4},KMB!T383,KMB!X383,KMB!AB383,KMB!AF383))=6)*(CHOOSE({1,2,3,4},KMB!W383,KMB!AA383,KMB!AE383,KMB!AI383)))</f>
        <v>0</v>
      </c>
      <c r="G383">
        <f>SUMPRODUCT((MONTH(CHOOSE({1,2,3,4},KMB!T383,KMB!X383,KMB!AB383,KMB!AF383))=7)*(CHOOSE({1,2,3,4},KMB!W383,KMB!AA383,KMB!AE383,KMB!AI383)))</f>
        <v>0</v>
      </c>
      <c r="H383">
        <f>SUMPRODUCT((MONTH(CHOOSE({1,2,3,4},KMB!T383,KMB!X383,KMB!AB383,KMB!AF383))=8)*(CHOOSE({1,2,3,4},KMB!W383,KMB!AA383,KMB!AE383,KMB!AI383)))</f>
        <v>0</v>
      </c>
      <c r="I383">
        <f>SUMPRODUCT((MONTH(CHOOSE({1,2,3,4},KMB!T383,KMB!X383,KMB!AB383,KMB!AF383))=9)*(CHOOSE({1,2,3,4},KMB!W383,KMB!AA383,KMB!AE383,KMB!AI383)))</f>
        <v>0</v>
      </c>
      <c r="J383">
        <f>SUMPRODUCT((MONTH(CHOOSE({1,2,3,4},KMB!T383,KMB!X383,KMB!AB383,KMB!AF383))=10)*(CHOOSE({1,2,3,4},KMB!W383,KMB!AA383,KMB!AE383,KMB!AI383)))</f>
        <v>0</v>
      </c>
      <c r="K383">
        <f>SUMPRODUCT((MONTH(CHOOSE({1,2,3,4},KMB!T383,KMB!X383,KMB!AB383,KMB!AF383))=11)*(CHOOSE({1,2,3,4},KMB!W383,KMB!AA383,KMB!AE383,KMB!AI383)))</f>
        <v>0</v>
      </c>
      <c r="L383">
        <f>SUMPRODUCT((MONTH(CHOOSE({1,2,3,4},KMB!T383,KMB!X383,KMB!AB383,KMB!AF383))=12)*(CHOOSE({1,2,3,4},KMB!W383,KMB!AA383,KMB!AE383,KMB!AI383)))</f>
        <v>0</v>
      </c>
    </row>
    <row r="384" spans="1:12">
      <c r="A384">
        <f>SUMPRODUCT((MONTH(CHOOSE({1,2,3,4},KMB!T384,KMB!X384,KMB!AB384,KMB!AF384))=1)*(CHOOSE({1,2,3,4},KMB!W384,KMB!AA384,KMB!AE384,KMB!AI384)))</f>
        <v>0</v>
      </c>
      <c r="B384">
        <f>SUMPRODUCT((MONTH(CHOOSE({1,2,3,4},KMB!T384,KMB!X384,KMB!AB384,KMB!AF384))=2)*(CHOOSE({1,2,3,4},KMB!W384,KMB!AA384,KMB!AE384,KMB!AI384)))</f>
        <v>0</v>
      </c>
      <c r="C384">
        <f>SUMPRODUCT((MONTH(CHOOSE({1,2,3,4},KMB!T384,KMB!X384,KMB!AB384,KMB!AF384))=3)*(CHOOSE({1,2,3,4},KMB!W384,KMB!AA384,KMB!AE384,KMB!AI384)))</f>
        <v>0</v>
      </c>
      <c r="D384">
        <f>SUMPRODUCT((MONTH(CHOOSE({1,2,3,4},KMB!T384,KMB!X384,KMB!AB384,KMB!AF384))=4)*(CHOOSE({1,2,3,4},KMB!W384,KMB!AA384,KMB!AE384,KMB!AI384)))</f>
        <v>0</v>
      </c>
      <c r="E384">
        <f>SUMPRODUCT((MONTH(CHOOSE({1,2,3,4},KMB!T384,KMB!X384,KMB!AB384,KMB!AF384))=5)*(CHOOSE({1,2,3,4},KMB!W384,KMB!AA384,KMB!AE384,KMB!AI384)))</f>
        <v>0</v>
      </c>
      <c r="F384">
        <f>SUMPRODUCT((MONTH(CHOOSE({1,2,3,4},KMB!T384,KMB!X384,KMB!AB384,KMB!AF384))=6)*(CHOOSE({1,2,3,4},KMB!W384,KMB!AA384,KMB!AE384,KMB!AI384)))</f>
        <v>0</v>
      </c>
      <c r="G384">
        <f>SUMPRODUCT((MONTH(CHOOSE({1,2,3,4},KMB!T384,KMB!X384,KMB!AB384,KMB!AF384))=7)*(CHOOSE({1,2,3,4},KMB!W384,KMB!AA384,KMB!AE384,KMB!AI384)))</f>
        <v>0</v>
      </c>
      <c r="H384">
        <f>SUMPRODUCT((MONTH(CHOOSE({1,2,3,4},KMB!T384,KMB!X384,KMB!AB384,KMB!AF384))=8)*(CHOOSE({1,2,3,4},KMB!W384,KMB!AA384,KMB!AE384,KMB!AI384)))</f>
        <v>0</v>
      </c>
      <c r="I384">
        <f>SUMPRODUCT((MONTH(CHOOSE({1,2,3,4},KMB!T384,KMB!X384,KMB!AB384,KMB!AF384))=9)*(CHOOSE({1,2,3,4},KMB!W384,KMB!AA384,KMB!AE384,KMB!AI384)))</f>
        <v>0</v>
      </c>
      <c r="J384">
        <f>SUMPRODUCT((MONTH(CHOOSE({1,2,3,4},KMB!T384,KMB!X384,KMB!AB384,KMB!AF384))=10)*(CHOOSE({1,2,3,4},KMB!W384,KMB!AA384,KMB!AE384,KMB!AI384)))</f>
        <v>0</v>
      </c>
      <c r="K384">
        <f>SUMPRODUCT((MONTH(CHOOSE({1,2,3,4},KMB!T384,KMB!X384,KMB!AB384,KMB!AF384))=11)*(CHOOSE({1,2,3,4},KMB!W384,KMB!AA384,KMB!AE384,KMB!AI384)))</f>
        <v>0</v>
      </c>
      <c r="L384">
        <f>SUMPRODUCT((MONTH(CHOOSE({1,2,3,4},KMB!T384,KMB!X384,KMB!AB384,KMB!AF384))=12)*(CHOOSE({1,2,3,4},KMB!W384,KMB!AA384,KMB!AE384,KMB!AI384)))</f>
        <v>0</v>
      </c>
    </row>
    <row r="385" spans="1:12">
      <c r="A385">
        <f>SUMPRODUCT((MONTH(CHOOSE({1,2,3,4},KMB!T385,KMB!X385,KMB!AB385,KMB!AF385))=1)*(CHOOSE({1,2,3,4},KMB!W385,KMB!AA385,KMB!AE385,KMB!AI385)))</f>
        <v>0</v>
      </c>
      <c r="B385">
        <f>SUMPRODUCT((MONTH(CHOOSE({1,2,3,4},KMB!T385,KMB!X385,KMB!AB385,KMB!AF385))=2)*(CHOOSE({1,2,3,4},KMB!W385,KMB!AA385,KMB!AE385,KMB!AI385)))</f>
        <v>0</v>
      </c>
      <c r="C385">
        <f>SUMPRODUCT((MONTH(CHOOSE({1,2,3,4},KMB!T385,KMB!X385,KMB!AB385,KMB!AF385))=3)*(CHOOSE({1,2,3,4},KMB!W385,KMB!AA385,KMB!AE385,KMB!AI385)))</f>
        <v>0</v>
      </c>
      <c r="D385">
        <f>SUMPRODUCT((MONTH(CHOOSE({1,2,3,4},KMB!T385,KMB!X385,KMB!AB385,KMB!AF385))=4)*(CHOOSE({1,2,3,4},KMB!W385,KMB!AA385,KMB!AE385,KMB!AI385)))</f>
        <v>0</v>
      </c>
      <c r="E385">
        <f>SUMPRODUCT((MONTH(CHOOSE({1,2,3,4},KMB!T385,KMB!X385,KMB!AB385,KMB!AF385))=5)*(CHOOSE({1,2,3,4},KMB!W385,KMB!AA385,KMB!AE385,KMB!AI385)))</f>
        <v>0</v>
      </c>
      <c r="F385">
        <f>SUMPRODUCT((MONTH(CHOOSE({1,2,3,4},KMB!T385,KMB!X385,KMB!AB385,KMB!AF385))=6)*(CHOOSE({1,2,3,4},KMB!W385,KMB!AA385,KMB!AE385,KMB!AI385)))</f>
        <v>0</v>
      </c>
      <c r="G385">
        <f>SUMPRODUCT((MONTH(CHOOSE({1,2,3,4},KMB!T385,KMB!X385,KMB!AB385,KMB!AF385))=7)*(CHOOSE({1,2,3,4},KMB!W385,KMB!AA385,KMB!AE385,KMB!AI385)))</f>
        <v>0</v>
      </c>
      <c r="H385">
        <f>SUMPRODUCT((MONTH(CHOOSE({1,2,3,4},KMB!T385,KMB!X385,KMB!AB385,KMB!AF385))=8)*(CHOOSE({1,2,3,4},KMB!W385,KMB!AA385,KMB!AE385,KMB!AI385)))</f>
        <v>0</v>
      </c>
      <c r="I385">
        <f>SUMPRODUCT((MONTH(CHOOSE({1,2,3,4},KMB!T385,KMB!X385,KMB!AB385,KMB!AF385))=9)*(CHOOSE({1,2,3,4},KMB!W385,KMB!AA385,KMB!AE385,KMB!AI385)))</f>
        <v>0</v>
      </c>
      <c r="J385">
        <f>SUMPRODUCT((MONTH(CHOOSE({1,2,3,4},KMB!T385,KMB!X385,KMB!AB385,KMB!AF385))=10)*(CHOOSE({1,2,3,4},KMB!W385,KMB!AA385,KMB!AE385,KMB!AI385)))</f>
        <v>0</v>
      </c>
      <c r="K385">
        <f>SUMPRODUCT((MONTH(CHOOSE({1,2,3,4},KMB!T385,KMB!X385,KMB!AB385,KMB!AF385))=11)*(CHOOSE({1,2,3,4},KMB!W385,KMB!AA385,KMB!AE385,KMB!AI385)))</f>
        <v>0</v>
      </c>
      <c r="L385">
        <f>SUMPRODUCT((MONTH(CHOOSE({1,2,3,4},KMB!T385,KMB!X385,KMB!AB385,KMB!AF385))=12)*(CHOOSE({1,2,3,4},KMB!W385,KMB!AA385,KMB!AE385,KMB!AI385)))</f>
        <v>0</v>
      </c>
    </row>
    <row r="386" spans="1:12">
      <c r="A386">
        <f>SUMPRODUCT((MONTH(CHOOSE({1,2,3,4},KMB!T386,KMB!X386,KMB!AB386,KMB!AF386))=1)*(CHOOSE({1,2,3,4},KMB!W386,KMB!AA386,KMB!AE386,KMB!AI386)))</f>
        <v>0</v>
      </c>
      <c r="B386">
        <f>SUMPRODUCT((MONTH(CHOOSE({1,2,3,4},KMB!T386,KMB!X386,KMB!AB386,KMB!AF386))=2)*(CHOOSE({1,2,3,4},KMB!W386,KMB!AA386,KMB!AE386,KMB!AI386)))</f>
        <v>0</v>
      </c>
      <c r="C386">
        <f>SUMPRODUCT((MONTH(CHOOSE({1,2,3,4},KMB!T386,KMB!X386,KMB!AB386,KMB!AF386))=3)*(CHOOSE({1,2,3,4},KMB!W386,KMB!AA386,KMB!AE386,KMB!AI386)))</f>
        <v>0</v>
      </c>
      <c r="D386">
        <f>SUMPRODUCT((MONTH(CHOOSE({1,2,3,4},KMB!T386,KMB!X386,KMB!AB386,KMB!AF386))=4)*(CHOOSE({1,2,3,4},KMB!W386,KMB!AA386,KMB!AE386,KMB!AI386)))</f>
        <v>0</v>
      </c>
      <c r="E386">
        <f>SUMPRODUCT((MONTH(CHOOSE({1,2,3,4},KMB!T386,KMB!X386,KMB!AB386,KMB!AF386))=5)*(CHOOSE({1,2,3,4},KMB!W386,KMB!AA386,KMB!AE386,KMB!AI386)))</f>
        <v>0</v>
      </c>
      <c r="F386">
        <f>SUMPRODUCT((MONTH(CHOOSE({1,2,3,4},KMB!T386,KMB!X386,KMB!AB386,KMB!AF386))=6)*(CHOOSE({1,2,3,4},KMB!W386,KMB!AA386,KMB!AE386,KMB!AI386)))</f>
        <v>0</v>
      </c>
      <c r="G386">
        <f>SUMPRODUCT((MONTH(CHOOSE({1,2,3,4},KMB!T386,KMB!X386,KMB!AB386,KMB!AF386))=7)*(CHOOSE({1,2,3,4},KMB!W386,KMB!AA386,KMB!AE386,KMB!AI386)))</f>
        <v>0</v>
      </c>
      <c r="H386">
        <f>SUMPRODUCT((MONTH(CHOOSE({1,2,3,4},KMB!T386,KMB!X386,KMB!AB386,KMB!AF386))=8)*(CHOOSE({1,2,3,4},KMB!W386,KMB!AA386,KMB!AE386,KMB!AI386)))</f>
        <v>0</v>
      </c>
      <c r="I386">
        <f>SUMPRODUCT((MONTH(CHOOSE({1,2,3,4},KMB!T386,KMB!X386,KMB!AB386,KMB!AF386))=9)*(CHOOSE({1,2,3,4},KMB!W386,KMB!AA386,KMB!AE386,KMB!AI386)))</f>
        <v>0</v>
      </c>
      <c r="J386">
        <f>SUMPRODUCT((MONTH(CHOOSE({1,2,3,4},KMB!T386,KMB!X386,KMB!AB386,KMB!AF386))=10)*(CHOOSE({1,2,3,4},KMB!W386,KMB!AA386,KMB!AE386,KMB!AI386)))</f>
        <v>0</v>
      </c>
      <c r="K386">
        <f>SUMPRODUCT((MONTH(CHOOSE({1,2,3,4},KMB!T386,KMB!X386,KMB!AB386,KMB!AF386))=11)*(CHOOSE({1,2,3,4},KMB!W386,KMB!AA386,KMB!AE386,KMB!AI386)))</f>
        <v>0</v>
      </c>
      <c r="L386">
        <f>SUMPRODUCT((MONTH(CHOOSE({1,2,3,4},KMB!T386,KMB!X386,KMB!AB386,KMB!AF386))=12)*(CHOOSE({1,2,3,4},KMB!W386,KMB!AA386,KMB!AE386,KMB!AI386)))</f>
        <v>0</v>
      </c>
    </row>
    <row r="387" spans="1:12">
      <c r="A387">
        <f>SUMPRODUCT((MONTH(CHOOSE({1,2,3,4},KMB!T387,KMB!X387,KMB!AB387,KMB!AF387))=1)*(CHOOSE({1,2,3,4},KMB!W387,KMB!AA387,KMB!AE387,KMB!AI387)))</f>
        <v>0</v>
      </c>
      <c r="B387">
        <f>SUMPRODUCT((MONTH(CHOOSE({1,2,3,4},KMB!T387,KMB!X387,KMB!AB387,KMB!AF387))=2)*(CHOOSE({1,2,3,4},KMB!W387,KMB!AA387,KMB!AE387,KMB!AI387)))</f>
        <v>0</v>
      </c>
      <c r="C387">
        <f>SUMPRODUCT((MONTH(CHOOSE({1,2,3,4},KMB!T387,KMB!X387,KMB!AB387,KMB!AF387))=3)*(CHOOSE({1,2,3,4},KMB!W387,KMB!AA387,KMB!AE387,KMB!AI387)))</f>
        <v>0</v>
      </c>
      <c r="D387">
        <f>SUMPRODUCT((MONTH(CHOOSE({1,2,3,4},KMB!T387,KMB!X387,KMB!AB387,KMB!AF387))=4)*(CHOOSE({1,2,3,4},KMB!W387,KMB!AA387,KMB!AE387,KMB!AI387)))</f>
        <v>0</v>
      </c>
      <c r="E387">
        <f>SUMPRODUCT((MONTH(CHOOSE({1,2,3,4},KMB!T387,KMB!X387,KMB!AB387,KMB!AF387))=5)*(CHOOSE({1,2,3,4},KMB!W387,KMB!AA387,KMB!AE387,KMB!AI387)))</f>
        <v>0</v>
      </c>
      <c r="F387">
        <f>SUMPRODUCT((MONTH(CHOOSE({1,2,3,4},KMB!T387,KMB!X387,KMB!AB387,KMB!AF387))=6)*(CHOOSE({1,2,3,4},KMB!W387,KMB!AA387,KMB!AE387,KMB!AI387)))</f>
        <v>0</v>
      </c>
      <c r="G387">
        <f>SUMPRODUCT((MONTH(CHOOSE({1,2,3,4},KMB!T387,KMB!X387,KMB!AB387,KMB!AF387))=7)*(CHOOSE({1,2,3,4},KMB!W387,KMB!AA387,KMB!AE387,KMB!AI387)))</f>
        <v>0</v>
      </c>
      <c r="H387">
        <f>SUMPRODUCT((MONTH(CHOOSE({1,2,3,4},KMB!T387,KMB!X387,KMB!AB387,KMB!AF387))=8)*(CHOOSE({1,2,3,4},KMB!W387,KMB!AA387,KMB!AE387,KMB!AI387)))</f>
        <v>0</v>
      </c>
      <c r="I387">
        <f>SUMPRODUCT((MONTH(CHOOSE({1,2,3,4},KMB!T387,KMB!X387,KMB!AB387,KMB!AF387))=9)*(CHOOSE({1,2,3,4},KMB!W387,KMB!AA387,KMB!AE387,KMB!AI387)))</f>
        <v>0</v>
      </c>
      <c r="J387">
        <f>SUMPRODUCT((MONTH(CHOOSE({1,2,3,4},KMB!T387,KMB!X387,KMB!AB387,KMB!AF387))=10)*(CHOOSE({1,2,3,4},KMB!W387,KMB!AA387,KMB!AE387,KMB!AI387)))</f>
        <v>0</v>
      </c>
      <c r="K387">
        <f>SUMPRODUCT((MONTH(CHOOSE({1,2,3,4},KMB!T387,KMB!X387,KMB!AB387,KMB!AF387))=11)*(CHOOSE({1,2,3,4},KMB!W387,KMB!AA387,KMB!AE387,KMB!AI387)))</f>
        <v>0</v>
      </c>
      <c r="L387">
        <f>SUMPRODUCT((MONTH(CHOOSE({1,2,3,4},KMB!T387,KMB!X387,KMB!AB387,KMB!AF387))=12)*(CHOOSE({1,2,3,4},KMB!W387,KMB!AA387,KMB!AE387,KMB!AI387)))</f>
        <v>0</v>
      </c>
    </row>
    <row r="388" spans="1:12">
      <c r="A388">
        <f>SUMPRODUCT((MONTH(CHOOSE({1,2,3,4},KMB!T388,KMB!X388,KMB!AB388,KMB!AF388))=1)*(CHOOSE({1,2,3,4},KMB!W388,KMB!AA388,KMB!AE388,KMB!AI388)))</f>
        <v>0</v>
      </c>
      <c r="B388">
        <f>SUMPRODUCT((MONTH(CHOOSE({1,2,3,4},KMB!T388,KMB!X388,KMB!AB388,KMB!AF388))=2)*(CHOOSE({1,2,3,4},KMB!W388,KMB!AA388,KMB!AE388,KMB!AI388)))</f>
        <v>0</v>
      </c>
      <c r="C388">
        <f>SUMPRODUCT((MONTH(CHOOSE({1,2,3,4},KMB!T388,KMB!X388,KMB!AB388,KMB!AF388))=3)*(CHOOSE({1,2,3,4},KMB!W388,KMB!AA388,KMB!AE388,KMB!AI388)))</f>
        <v>0</v>
      </c>
      <c r="D388">
        <f>SUMPRODUCT((MONTH(CHOOSE({1,2,3,4},KMB!T388,KMB!X388,KMB!AB388,KMB!AF388))=4)*(CHOOSE({1,2,3,4},KMB!W388,KMB!AA388,KMB!AE388,KMB!AI388)))</f>
        <v>0</v>
      </c>
      <c r="E388">
        <f>SUMPRODUCT((MONTH(CHOOSE({1,2,3,4},KMB!T388,KMB!X388,KMB!AB388,KMB!AF388))=5)*(CHOOSE({1,2,3,4},KMB!W388,KMB!AA388,KMB!AE388,KMB!AI388)))</f>
        <v>0</v>
      </c>
      <c r="F388">
        <f>SUMPRODUCT((MONTH(CHOOSE({1,2,3,4},KMB!T388,KMB!X388,KMB!AB388,KMB!AF388))=6)*(CHOOSE({1,2,3,4},KMB!W388,KMB!AA388,KMB!AE388,KMB!AI388)))</f>
        <v>0</v>
      </c>
      <c r="G388">
        <f>SUMPRODUCT((MONTH(CHOOSE({1,2,3,4},KMB!T388,KMB!X388,KMB!AB388,KMB!AF388))=7)*(CHOOSE({1,2,3,4},KMB!W388,KMB!AA388,KMB!AE388,KMB!AI388)))</f>
        <v>0</v>
      </c>
      <c r="H388">
        <f>SUMPRODUCT((MONTH(CHOOSE({1,2,3,4},KMB!T388,KMB!X388,KMB!AB388,KMB!AF388))=8)*(CHOOSE({1,2,3,4},KMB!W388,KMB!AA388,KMB!AE388,KMB!AI388)))</f>
        <v>0</v>
      </c>
      <c r="I388">
        <f>SUMPRODUCT((MONTH(CHOOSE({1,2,3,4},KMB!T388,KMB!X388,KMB!AB388,KMB!AF388))=9)*(CHOOSE({1,2,3,4},KMB!W388,KMB!AA388,KMB!AE388,KMB!AI388)))</f>
        <v>0</v>
      </c>
      <c r="J388">
        <f>SUMPRODUCT((MONTH(CHOOSE({1,2,3,4},KMB!T388,KMB!X388,KMB!AB388,KMB!AF388))=10)*(CHOOSE({1,2,3,4},KMB!W388,KMB!AA388,KMB!AE388,KMB!AI388)))</f>
        <v>0</v>
      </c>
      <c r="K388">
        <f>SUMPRODUCT((MONTH(CHOOSE({1,2,3,4},KMB!T388,KMB!X388,KMB!AB388,KMB!AF388))=11)*(CHOOSE({1,2,3,4},KMB!W388,KMB!AA388,KMB!AE388,KMB!AI388)))</f>
        <v>0</v>
      </c>
      <c r="L388">
        <f>SUMPRODUCT((MONTH(CHOOSE({1,2,3,4},KMB!T388,KMB!X388,KMB!AB388,KMB!AF388))=12)*(CHOOSE({1,2,3,4},KMB!W388,KMB!AA388,KMB!AE388,KMB!AI388)))</f>
        <v>0</v>
      </c>
    </row>
    <row r="389" spans="1:12">
      <c r="A389">
        <f>SUMPRODUCT((MONTH(CHOOSE({1,2,3,4},KMB!T389,KMB!X389,KMB!AB389,KMB!AF389))=1)*(CHOOSE({1,2,3,4},KMB!W389,KMB!AA389,KMB!AE389,KMB!AI389)))</f>
        <v>0</v>
      </c>
      <c r="B389">
        <f>SUMPRODUCT((MONTH(CHOOSE({1,2,3,4},KMB!T389,KMB!X389,KMB!AB389,KMB!AF389))=2)*(CHOOSE({1,2,3,4},KMB!W389,KMB!AA389,KMB!AE389,KMB!AI389)))</f>
        <v>0</v>
      </c>
      <c r="C389">
        <f>SUMPRODUCT((MONTH(CHOOSE({1,2,3,4},KMB!T389,KMB!X389,KMB!AB389,KMB!AF389))=3)*(CHOOSE({1,2,3,4},KMB!W389,KMB!AA389,KMB!AE389,KMB!AI389)))</f>
        <v>0</v>
      </c>
      <c r="D389">
        <f>SUMPRODUCT((MONTH(CHOOSE({1,2,3,4},KMB!T389,KMB!X389,KMB!AB389,KMB!AF389))=4)*(CHOOSE({1,2,3,4},KMB!W389,KMB!AA389,KMB!AE389,KMB!AI389)))</f>
        <v>0</v>
      </c>
      <c r="E389">
        <f>SUMPRODUCT((MONTH(CHOOSE({1,2,3,4},KMB!T389,KMB!X389,KMB!AB389,KMB!AF389))=5)*(CHOOSE({1,2,3,4},KMB!W389,KMB!AA389,KMB!AE389,KMB!AI389)))</f>
        <v>0</v>
      </c>
      <c r="F389">
        <f>SUMPRODUCT((MONTH(CHOOSE({1,2,3,4},KMB!T389,KMB!X389,KMB!AB389,KMB!AF389))=6)*(CHOOSE({1,2,3,4},KMB!W389,KMB!AA389,KMB!AE389,KMB!AI389)))</f>
        <v>0</v>
      </c>
      <c r="G389">
        <f>SUMPRODUCT((MONTH(CHOOSE({1,2,3,4},KMB!T389,KMB!X389,KMB!AB389,KMB!AF389))=7)*(CHOOSE({1,2,3,4},KMB!W389,KMB!AA389,KMB!AE389,KMB!AI389)))</f>
        <v>0</v>
      </c>
      <c r="H389">
        <f>SUMPRODUCT((MONTH(CHOOSE({1,2,3,4},KMB!T389,KMB!X389,KMB!AB389,KMB!AF389))=8)*(CHOOSE({1,2,3,4},KMB!W389,KMB!AA389,KMB!AE389,KMB!AI389)))</f>
        <v>0</v>
      </c>
      <c r="I389">
        <f>SUMPRODUCT((MONTH(CHOOSE({1,2,3,4},KMB!T389,KMB!X389,KMB!AB389,KMB!AF389))=9)*(CHOOSE({1,2,3,4},KMB!W389,KMB!AA389,KMB!AE389,KMB!AI389)))</f>
        <v>0</v>
      </c>
      <c r="J389">
        <f>SUMPRODUCT((MONTH(CHOOSE({1,2,3,4},KMB!T389,KMB!X389,KMB!AB389,KMB!AF389))=10)*(CHOOSE({1,2,3,4},KMB!W389,KMB!AA389,KMB!AE389,KMB!AI389)))</f>
        <v>0</v>
      </c>
      <c r="K389">
        <f>SUMPRODUCT((MONTH(CHOOSE({1,2,3,4},KMB!T389,KMB!X389,KMB!AB389,KMB!AF389))=11)*(CHOOSE({1,2,3,4},KMB!W389,KMB!AA389,KMB!AE389,KMB!AI389)))</f>
        <v>0</v>
      </c>
      <c r="L389">
        <f>SUMPRODUCT((MONTH(CHOOSE({1,2,3,4},KMB!T389,KMB!X389,KMB!AB389,KMB!AF389))=12)*(CHOOSE({1,2,3,4},KMB!W389,KMB!AA389,KMB!AE389,KMB!AI389)))</f>
        <v>0</v>
      </c>
    </row>
    <row r="390" spans="1:12">
      <c r="A390">
        <f>SUMPRODUCT((MONTH(CHOOSE({1,2,3,4},KMB!T390,KMB!X390,KMB!AB390,KMB!AF390))=1)*(CHOOSE({1,2,3,4},KMB!W390,KMB!AA390,KMB!AE390,KMB!AI390)))</f>
        <v>0</v>
      </c>
      <c r="B390">
        <f>SUMPRODUCT((MONTH(CHOOSE({1,2,3,4},KMB!T390,KMB!X390,KMB!AB390,KMB!AF390))=2)*(CHOOSE({1,2,3,4},KMB!W390,KMB!AA390,KMB!AE390,KMB!AI390)))</f>
        <v>0</v>
      </c>
      <c r="C390">
        <f>SUMPRODUCT((MONTH(CHOOSE({1,2,3,4},KMB!T390,KMB!X390,KMB!AB390,KMB!AF390))=3)*(CHOOSE({1,2,3,4},KMB!W390,KMB!AA390,KMB!AE390,KMB!AI390)))</f>
        <v>0</v>
      </c>
      <c r="D390">
        <f>SUMPRODUCT((MONTH(CHOOSE({1,2,3,4},KMB!T390,KMB!X390,KMB!AB390,KMB!AF390))=4)*(CHOOSE({1,2,3,4},KMB!W390,KMB!AA390,KMB!AE390,KMB!AI390)))</f>
        <v>0</v>
      </c>
      <c r="E390">
        <f>SUMPRODUCT((MONTH(CHOOSE({1,2,3,4},KMB!T390,KMB!X390,KMB!AB390,KMB!AF390))=5)*(CHOOSE({1,2,3,4},KMB!W390,KMB!AA390,KMB!AE390,KMB!AI390)))</f>
        <v>0</v>
      </c>
      <c r="F390">
        <f>SUMPRODUCT((MONTH(CHOOSE({1,2,3,4},KMB!T390,KMB!X390,KMB!AB390,KMB!AF390))=6)*(CHOOSE({1,2,3,4},KMB!W390,KMB!AA390,KMB!AE390,KMB!AI390)))</f>
        <v>0</v>
      </c>
      <c r="G390">
        <f>SUMPRODUCT((MONTH(CHOOSE({1,2,3,4},KMB!T390,KMB!X390,KMB!AB390,KMB!AF390))=7)*(CHOOSE({1,2,3,4},KMB!W390,KMB!AA390,KMB!AE390,KMB!AI390)))</f>
        <v>0</v>
      </c>
      <c r="H390">
        <f>SUMPRODUCT((MONTH(CHOOSE({1,2,3,4},KMB!T390,KMB!X390,KMB!AB390,KMB!AF390))=8)*(CHOOSE({1,2,3,4},KMB!W390,KMB!AA390,KMB!AE390,KMB!AI390)))</f>
        <v>0</v>
      </c>
      <c r="I390">
        <f>SUMPRODUCT((MONTH(CHOOSE({1,2,3,4},KMB!T390,KMB!X390,KMB!AB390,KMB!AF390))=9)*(CHOOSE({1,2,3,4},KMB!W390,KMB!AA390,KMB!AE390,KMB!AI390)))</f>
        <v>0</v>
      </c>
      <c r="J390">
        <f>SUMPRODUCT((MONTH(CHOOSE({1,2,3,4},KMB!T390,KMB!X390,KMB!AB390,KMB!AF390))=10)*(CHOOSE({1,2,3,4},KMB!W390,KMB!AA390,KMB!AE390,KMB!AI390)))</f>
        <v>0</v>
      </c>
      <c r="K390">
        <f>SUMPRODUCT((MONTH(CHOOSE({1,2,3,4},KMB!T390,KMB!X390,KMB!AB390,KMB!AF390))=11)*(CHOOSE({1,2,3,4},KMB!W390,KMB!AA390,KMB!AE390,KMB!AI390)))</f>
        <v>0</v>
      </c>
      <c r="L390">
        <f>SUMPRODUCT((MONTH(CHOOSE({1,2,3,4},KMB!T390,KMB!X390,KMB!AB390,KMB!AF390))=12)*(CHOOSE({1,2,3,4},KMB!W390,KMB!AA390,KMB!AE390,KMB!AI390)))</f>
        <v>0</v>
      </c>
    </row>
    <row r="391" spans="1:12">
      <c r="A391">
        <f>SUMPRODUCT((MONTH(CHOOSE({1,2,3,4},KMB!T391,KMB!X391,KMB!AB391,KMB!AF391))=1)*(CHOOSE({1,2,3,4},KMB!W391,KMB!AA391,KMB!AE391,KMB!AI391)))</f>
        <v>0</v>
      </c>
      <c r="B391">
        <f>SUMPRODUCT((MONTH(CHOOSE({1,2,3,4},KMB!T391,KMB!X391,KMB!AB391,KMB!AF391))=2)*(CHOOSE({1,2,3,4},KMB!W391,KMB!AA391,KMB!AE391,KMB!AI391)))</f>
        <v>0</v>
      </c>
      <c r="C391">
        <f>SUMPRODUCT((MONTH(CHOOSE({1,2,3,4},KMB!T391,KMB!X391,KMB!AB391,KMB!AF391))=3)*(CHOOSE({1,2,3,4},KMB!W391,KMB!AA391,KMB!AE391,KMB!AI391)))</f>
        <v>0</v>
      </c>
      <c r="D391">
        <f>SUMPRODUCT((MONTH(CHOOSE({1,2,3,4},KMB!T391,KMB!X391,KMB!AB391,KMB!AF391))=4)*(CHOOSE({1,2,3,4},KMB!W391,KMB!AA391,KMB!AE391,KMB!AI391)))</f>
        <v>0</v>
      </c>
      <c r="E391">
        <f>SUMPRODUCT((MONTH(CHOOSE({1,2,3,4},KMB!T391,KMB!X391,KMB!AB391,KMB!AF391))=5)*(CHOOSE({1,2,3,4},KMB!W391,KMB!AA391,KMB!AE391,KMB!AI391)))</f>
        <v>0</v>
      </c>
      <c r="F391">
        <f>SUMPRODUCT((MONTH(CHOOSE({1,2,3,4},KMB!T391,KMB!X391,KMB!AB391,KMB!AF391))=6)*(CHOOSE({1,2,3,4},KMB!W391,KMB!AA391,KMB!AE391,KMB!AI391)))</f>
        <v>0</v>
      </c>
      <c r="G391">
        <f>SUMPRODUCT((MONTH(CHOOSE({1,2,3,4},KMB!T391,KMB!X391,KMB!AB391,KMB!AF391))=7)*(CHOOSE({1,2,3,4},KMB!W391,KMB!AA391,KMB!AE391,KMB!AI391)))</f>
        <v>0</v>
      </c>
      <c r="H391">
        <f>SUMPRODUCT((MONTH(CHOOSE({1,2,3,4},KMB!T391,KMB!X391,KMB!AB391,KMB!AF391))=8)*(CHOOSE({1,2,3,4},KMB!W391,KMB!AA391,KMB!AE391,KMB!AI391)))</f>
        <v>0</v>
      </c>
      <c r="I391">
        <f>SUMPRODUCT((MONTH(CHOOSE({1,2,3,4},KMB!T391,KMB!X391,KMB!AB391,KMB!AF391))=9)*(CHOOSE({1,2,3,4},KMB!W391,KMB!AA391,KMB!AE391,KMB!AI391)))</f>
        <v>0</v>
      </c>
      <c r="J391">
        <f>SUMPRODUCT((MONTH(CHOOSE({1,2,3,4},KMB!T391,KMB!X391,KMB!AB391,KMB!AF391))=10)*(CHOOSE({1,2,3,4},KMB!W391,KMB!AA391,KMB!AE391,KMB!AI391)))</f>
        <v>0</v>
      </c>
      <c r="K391">
        <f>SUMPRODUCT((MONTH(CHOOSE({1,2,3,4},KMB!T391,KMB!X391,KMB!AB391,KMB!AF391))=11)*(CHOOSE({1,2,3,4},KMB!W391,KMB!AA391,KMB!AE391,KMB!AI391)))</f>
        <v>0</v>
      </c>
      <c r="L391">
        <f>SUMPRODUCT((MONTH(CHOOSE({1,2,3,4},KMB!T391,KMB!X391,KMB!AB391,KMB!AF391))=12)*(CHOOSE({1,2,3,4},KMB!W391,KMB!AA391,KMB!AE391,KMB!AI391)))</f>
        <v>0</v>
      </c>
    </row>
    <row r="392" spans="1:12">
      <c r="A392">
        <f>SUMPRODUCT((MONTH(CHOOSE({1,2,3,4},KMB!T392,KMB!X392,KMB!AB392,KMB!AF392))=1)*(CHOOSE({1,2,3,4},KMB!W392,KMB!AA392,KMB!AE392,KMB!AI392)))</f>
        <v>0</v>
      </c>
      <c r="B392">
        <f>SUMPRODUCT((MONTH(CHOOSE({1,2,3,4},KMB!T392,KMB!X392,KMB!AB392,KMB!AF392))=2)*(CHOOSE({1,2,3,4},KMB!W392,KMB!AA392,KMB!AE392,KMB!AI392)))</f>
        <v>0</v>
      </c>
      <c r="C392">
        <f>SUMPRODUCT((MONTH(CHOOSE({1,2,3,4},KMB!T392,KMB!X392,KMB!AB392,KMB!AF392))=3)*(CHOOSE({1,2,3,4},KMB!W392,KMB!AA392,KMB!AE392,KMB!AI392)))</f>
        <v>0</v>
      </c>
      <c r="D392">
        <f>SUMPRODUCT((MONTH(CHOOSE({1,2,3,4},KMB!T392,KMB!X392,KMB!AB392,KMB!AF392))=4)*(CHOOSE({1,2,3,4},KMB!W392,KMB!AA392,KMB!AE392,KMB!AI392)))</f>
        <v>0</v>
      </c>
      <c r="E392">
        <f>SUMPRODUCT((MONTH(CHOOSE({1,2,3,4},KMB!T392,KMB!X392,KMB!AB392,KMB!AF392))=5)*(CHOOSE({1,2,3,4},KMB!W392,KMB!AA392,KMB!AE392,KMB!AI392)))</f>
        <v>0</v>
      </c>
      <c r="F392">
        <f>SUMPRODUCT((MONTH(CHOOSE({1,2,3,4},KMB!T392,KMB!X392,KMB!AB392,KMB!AF392))=6)*(CHOOSE({1,2,3,4},KMB!W392,KMB!AA392,KMB!AE392,KMB!AI392)))</f>
        <v>0</v>
      </c>
      <c r="G392">
        <f>SUMPRODUCT((MONTH(CHOOSE({1,2,3,4},KMB!T392,KMB!X392,KMB!AB392,KMB!AF392))=7)*(CHOOSE({1,2,3,4},KMB!W392,KMB!AA392,KMB!AE392,KMB!AI392)))</f>
        <v>0</v>
      </c>
      <c r="H392">
        <f>SUMPRODUCT((MONTH(CHOOSE({1,2,3,4},KMB!T392,KMB!X392,KMB!AB392,KMB!AF392))=8)*(CHOOSE({1,2,3,4},KMB!W392,KMB!AA392,KMB!AE392,KMB!AI392)))</f>
        <v>0</v>
      </c>
      <c r="I392">
        <f>SUMPRODUCT((MONTH(CHOOSE({1,2,3,4},KMB!T392,KMB!X392,KMB!AB392,KMB!AF392))=9)*(CHOOSE({1,2,3,4},KMB!W392,KMB!AA392,KMB!AE392,KMB!AI392)))</f>
        <v>0</v>
      </c>
      <c r="J392">
        <f>SUMPRODUCT((MONTH(CHOOSE({1,2,3,4},KMB!T392,KMB!X392,KMB!AB392,KMB!AF392))=10)*(CHOOSE({1,2,3,4},KMB!W392,KMB!AA392,KMB!AE392,KMB!AI392)))</f>
        <v>0</v>
      </c>
      <c r="K392">
        <f>SUMPRODUCT((MONTH(CHOOSE({1,2,3,4},KMB!T392,KMB!X392,KMB!AB392,KMB!AF392))=11)*(CHOOSE({1,2,3,4},KMB!W392,KMB!AA392,KMB!AE392,KMB!AI392)))</f>
        <v>0</v>
      </c>
      <c r="L392">
        <f>SUMPRODUCT((MONTH(CHOOSE({1,2,3,4},KMB!T392,KMB!X392,KMB!AB392,KMB!AF392))=12)*(CHOOSE({1,2,3,4},KMB!W392,KMB!AA392,KMB!AE392,KMB!AI392)))</f>
        <v>0</v>
      </c>
    </row>
    <row r="393" spans="1:12">
      <c r="A393">
        <f>SUMPRODUCT((MONTH(CHOOSE({1,2,3,4},KMB!T393,KMB!X393,KMB!AB393,KMB!AF393))=1)*(CHOOSE({1,2,3,4},KMB!W393,KMB!AA393,KMB!AE393,KMB!AI393)))</f>
        <v>0</v>
      </c>
      <c r="B393">
        <f>SUMPRODUCT((MONTH(CHOOSE({1,2,3,4},KMB!T393,KMB!X393,KMB!AB393,KMB!AF393))=2)*(CHOOSE({1,2,3,4},KMB!W393,KMB!AA393,KMB!AE393,KMB!AI393)))</f>
        <v>0</v>
      </c>
      <c r="C393">
        <f>SUMPRODUCT((MONTH(CHOOSE({1,2,3,4},KMB!T393,KMB!X393,KMB!AB393,KMB!AF393))=3)*(CHOOSE({1,2,3,4},KMB!W393,KMB!AA393,KMB!AE393,KMB!AI393)))</f>
        <v>0</v>
      </c>
      <c r="D393">
        <f>SUMPRODUCT((MONTH(CHOOSE({1,2,3,4},KMB!T393,KMB!X393,KMB!AB393,KMB!AF393))=4)*(CHOOSE({1,2,3,4},KMB!W393,KMB!AA393,KMB!AE393,KMB!AI393)))</f>
        <v>0</v>
      </c>
      <c r="E393">
        <f>SUMPRODUCT((MONTH(CHOOSE({1,2,3,4},KMB!T393,KMB!X393,KMB!AB393,KMB!AF393))=5)*(CHOOSE({1,2,3,4},KMB!W393,KMB!AA393,KMB!AE393,KMB!AI393)))</f>
        <v>0</v>
      </c>
      <c r="F393">
        <f>SUMPRODUCT((MONTH(CHOOSE({1,2,3,4},KMB!T393,KMB!X393,KMB!AB393,KMB!AF393))=6)*(CHOOSE({1,2,3,4},KMB!W393,KMB!AA393,KMB!AE393,KMB!AI393)))</f>
        <v>0</v>
      </c>
      <c r="G393">
        <f>SUMPRODUCT((MONTH(CHOOSE({1,2,3,4},KMB!T393,KMB!X393,KMB!AB393,KMB!AF393))=7)*(CHOOSE({1,2,3,4},KMB!W393,KMB!AA393,KMB!AE393,KMB!AI393)))</f>
        <v>0</v>
      </c>
      <c r="H393">
        <f>SUMPRODUCT((MONTH(CHOOSE({1,2,3,4},KMB!T393,KMB!X393,KMB!AB393,KMB!AF393))=8)*(CHOOSE({1,2,3,4},KMB!W393,KMB!AA393,KMB!AE393,KMB!AI393)))</f>
        <v>0</v>
      </c>
      <c r="I393">
        <f>SUMPRODUCT((MONTH(CHOOSE({1,2,3,4},KMB!T393,KMB!X393,KMB!AB393,KMB!AF393))=9)*(CHOOSE({1,2,3,4},KMB!W393,KMB!AA393,KMB!AE393,KMB!AI393)))</f>
        <v>0</v>
      </c>
      <c r="J393">
        <f>SUMPRODUCT((MONTH(CHOOSE({1,2,3,4},KMB!T393,KMB!X393,KMB!AB393,KMB!AF393))=10)*(CHOOSE({1,2,3,4},KMB!W393,KMB!AA393,KMB!AE393,KMB!AI393)))</f>
        <v>0</v>
      </c>
      <c r="K393">
        <f>SUMPRODUCT((MONTH(CHOOSE({1,2,3,4},KMB!T393,KMB!X393,KMB!AB393,KMB!AF393))=11)*(CHOOSE({1,2,3,4},KMB!W393,KMB!AA393,KMB!AE393,KMB!AI393)))</f>
        <v>0</v>
      </c>
      <c r="L393">
        <f>SUMPRODUCT((MONTH(CHOOSE({1,2,3,4},KMB!T393,KMB!X393,KMB!AB393,KMB!AF393))=12)*(CHOOSE({1,2,3,4},KMB!W393,KMB!AA393,KMB!AE393,KMB!AI393)))</f>
        <v>0</v>
      </c>
    </row>
    <row r="394" spans="1:12">
      <c r="A394">
        <f>SUMPRODUCT((MONTH(CHOOSE({1,2,3,4},KMB!T394,KMB!X394,KMB!AB394,KMB!AF394))=1)*(CHOOSE({1,2,3,4},KMB!W394,KMB!AA394,KMB!AE394,KMB!AI394)))</f>
        <v>0</v>
      </c>
      <c r="B394">
        <f>SUMPRODUCT((MONTH(CHOOSE({1,2,3,4},KMB!T394,KMB!X394,KMB!AB394,KMB!AF394))=2)*(CHOOSE({1,2,3,4},KMB!W394,KMB!AA394,KMB!AE394,KMB!AI394)))</f>
        <v>0</v>
      </c>
      <c r="C394">
        <f>SUMPRODUCT((MONTH(CHOOSE({1,2,3,4},KMB!T394,KMB!X394,KMB!AB394,KMB!AF394))=3)*(CHOOSE({1,2,3,4},KMB!W394,KMB!AA394,KMB!AE394,KMB!AI394)))</f>
        <v>0</v>
      </c>
      <c r="D394">
        <f>SUMPRODUCT((MONTH(CHOOSE({1,2,3,4},KMB!T394,KMB!X394,KMB!AB394,KMB!AF394))=4)*(CHOOSE({1,2,3,4},KMB!W394,KMB!AA394,KMB!AE394,KMB!AI394)))</f>
        <v>0</v>
      </c>
      <c r="E394">
        <f>SUMPRODUCT((MONTH(CHOOSE({1,2,3,4},KMB!T394,KMB!X394,KMB!AB394,KMB!AF394))=5)*(CHOOSE({1,2,3,4},KMB!W394,KMB!AA394,KMB!AE394,KMB!AI394)))</f>
        <v>0</v>
      </c>
      <c r="F394">
        <f>SUMPRODUCT((MONTH(CHOOSE({1,2,3,4},KMB!T394,KMB!X394,KMB!AB394,KMB!AF394))=6)*(CHOOSE({1,2,3,4},KMB!W394,KMB!AA394,KMB!AE394,KMB!AI394)))</f>
        <v>0</v>
      </c>
      <c r="G394">
        <f>SUMPRODUCT((MONTH(CHOOSE({1,2,3,4},KMB!T394,KMB!X394,KMB!AB394,KMB!AF394))=7)*(CHOOSE({1,2,3,4},KMB!W394,KMB!AA394,KMB!AE394,KMB!AI394)))</f>
        <v>0</v>
      </c>
      <c r="H394">
        <f>SUMPRODUCT((MONTH(CHOOSE({1,2,3,4},KMB!T394,KMB!X394,KMB!AB394,KMB!AF394))=8)*(CHOOSE({1,2,3,4},KMB!W394,KMB!AA394,KMB!AE394,KMB!AI394)))</f>
        <v>0</v>
      </c>
      <c r="I394">
        <f>SUMPRODUCT((MONTH(CHOOSE({1,2,3,4},KMB!T394,KMB!X394,KMB!AB394,KMB!AF394))=9)*(CHOOSE({1,2,3,4},KMB!W394,KMB!AA394,KMB!AE394,KMB!AI394)))</f>
        <v>0</v>
      </c>
      <c r="J394">
        <f>SUMPRODUCT((MONTH(CHOOSE({1,2,3,4},KMB!T394,KMB!X394,KMB!AB394,KMB!AF394))=10)*(CHOOSE({1,2,3,4},KMB!W394,KMB!AA394,KMB!AE394,KMB!AI394)))</f>
        <v>0</v>
      </c>
      <c r="K394">
        <f>SUMPRODUCT((MONTH(CHOOSE({1,2,3,4},KMB!T394,KMB!X394,KMB!AB394,KMB!AF394))=11)*(CHOOSE({1,2,3,4},KMB!W394,KMB!AA394,KMB!AE394,KMB!AI394)))</f>
        <v>0</v>
      </c>
      <c r="L394">
        <f>SUMPRODUCT((MONTH(CHOOSE({1,2,3,4},KMB!T394,KMB!X394,KMB!AB394,KMB!AF394))=12)*(CHOOSE({1,2,3,4},KMB!W394,KMB!AA394,KMB!AE394,KMB!AI394)))</f>
        <v>0</v>
      </c>
    </row>
    <row r="395" spans="1:12">
      <c r="A395">
        <f>SUMPRODUCT((MONTH(CHOOSE({1,2,3,4},KMB!T395,KMB!X395,KMB!AB395,KMB!AF395))=1)*(CHOOSE({1,2,3,4},KMB!W395,KMB!AA395,KMB!AE395,KMB!AI395)))</f>
        <v>0</v>
      </c>
      <c r="B395">
        <f>SUMPRODUCT((MONTH(CHOOSE({1,2,3,4},KMB!T395,KMB!X395,KMB!AB395,KMB!AF395))=2)*(CHOOSE({1,2,3,4},KMB!W395,KMB!AA395,KMB!AE395,KMB!AI395)))</f>
        <v>0</v>
      </c>
      <c r="C395">
        <f>SUMPRODUCT((MONTH(CHOOSE({1,2,3,4},KMB!T395,KMB!X395,KMB!AB395,KMB!AF395))=3)*(CHOOSE({1,2,3,4},KMB!W395,KMB!AA395,KMB!AE395,KMB!AI395)))</f>
        <v>0</v>
      </c>
      <c r="D395">
        <f>SUMPRODUCT((MONTH(CHOOSE({1,2,3,4},KMB!T395,KMB!X395,KMB!AB395,KMB!AF395))=4)*(CHOOSE({1,2,3,4},KMB!W395,KMB!AA395,KMB!AE395,KMB!AI395)))</f>
        <v>0</v>
      </c>
      <c r="E395">
        <f>SUMPRODUCT((MONTH(CHOOSE({1,2,3,4},KMB!T395,KMB!X395,KMB!AB395,KMB!AF395))=5)*(CHOOSE({1,2,3,4},KMB!W395,KMB!AA395,KMB!AE395,KMB!AI395)))</f>
        <v>0</v>
      </c>
      <c r="F395">
        <f>SUMPRODUCT((MONTH(CHOOSE({1,2,3,4},KMB!T395,KMB!X395,KMB!AB395,KMB!AF395))=6)*(CHOOSE({1,2,3,4},KMB!W395,KMB!AA395,KMB!AE395,KMB!AI395)))</f>
        <v>0</v>
      </c>
      <c r="G395">
        <f>SUMPRODUCT((MONTH(CHOOSE({1,2,3,4},KMB!T395,KMB!X395,KMB!AB395,KMB!AF395))=7)*(CHOOSE({1,2,3,4},KMB!W395,KMB!AA395,KMB!AE395,KMB!AI395)))</f>
        <v>0</v>
      </c>
      <c r="H395">
        <f>SUMPRODUCT((MONTH(CHOOSE({1,2,3,4},KMB!T395,KMB!X395,KMB!AB395,KMB!AF395))=8)*(CHOOSE({1,2,3,4},KMB!W395,KMB!AA395,KMB!AE395,KMB!AI395)))</f>
        <v>0</v>
      </c>
      <c r="I395">
        <f>SUMPRODUCT((MONTH(CHOOSE({1,2,3,4},KMB!T395,KMB!X395,KMB!AB395,KMB!AF395))=9)*(CHOOSE({1,2,3,4},KMB!W395,KMB!AA395,KMB!AE395,KMB!AI395)))</f>
        <v>0</v>
      </c>
      <c r="J395">
        <f>SUMPRODUCT((MONTH(CHOOSE({1,2,3,4},KMB!T395,KMB!X395,KMB!AB395,KMB!AF395))=10)*(CHOOSE({1,2,3,4},KMB!W395,KMB!AA395,KMB!AE395,KMB!AI395)))</f>
        <v>0</v>
      </c>
      <c r="K395">
        <f>SUMPRODUCT((MONTH(CHOOSE({1,2,3,4},KMB!T395,KMB!X395,KMB!AB395,KMB!AF395))=11)*(CHOOSE({1,2,3,4},KMB!W395,KMB!AA395,KMB!AE395,KMB!AI395)))</f>
        <v>0</v>
      </c>
      <c r="L395">
        <f>SUMPRODUCT((MONTH(CHOOSE({1,2,3,4},KMB!T395,KMB!X395,KMB!AB395,KMB!AF395))=12)*(CHOOSE({1,2,3,4},KMB!W395,KMB!AA395,KMB!AE395,KMB!AI395)))</f>
        <v>0</v>
      </c>
    </row>
    <row r="396" spans="1:12">
      <c r="A396">
        <f>SUMPRODUCT((MONTH(CHOOSE({1,2,3,4},KMB!T396,KMB!X396,KMB!AB396,KMB!AF396))=1)*(CHOOSE({1,2,3,4},KMB!W396,KMB!AA396,KMB!AE396,KMB!AI396)))</f>
        <v>0</v>
      </c>
      <c r="B396">
        <f>SUMPRODUCT((MONTH(CHOOSE({1,2,3,4},KMB!T396,KMB!X396,KMB!AB396,KMB!AF396))=2)*(CHOOSE({1,2,3,4},KMB!W396,KMB!AA396,KMB!AE396,KMB!AI396)))</f>
        <v>0</v>
      </c>
      <c r="C396">
        <f>SUMPRODUCT((MONTH(CHOOSE({1,2,3,4},KMB!T396,KMB!X396,KMB!AB396,KMB!AF396))=3)*(CHOOSE({1,2,3,4},KMB!W396,KMB!AA396,KMB!AE396,KMB!AI396)))</f>
        <v>0</v>
      </c>
      <c r="D396">
        <f>SUMPRODUCT((MONTH(CHOOSE({1,2,3,4},KMB!T396,KMB!X396,KMB!AB396,KMB!AF396))=4)*(CHOOSE({1,2,3,4},KMB!W396,KMB!AA396,KMB!AE396,KMB!AI396)))</f>
        <v>0</v>
      </c>
      <c r="E396">
        <f>SUMPRODUCT((MONTH(CHOOSE({1,2,3,4},KMB!T396,KMB!X396,KMB!AB396,KMB!AF396))=5)*(CHOOSE({1,2,3,4},KMB!W396,KMB!AA396,KMB!AE396,KMB!AI396)))</f>
        <v>0</v>
      </c>
      <c r="F396">
        <f>SUMPRODUCT((MONTH(CHOOSE({1,2,3,4},KMB!T396,KMB!X396,KMB!AB396,KMB!AF396))=6)*(CHOOSE({1,2,3,4},KMB!W396,KMB!AA396,KMB!AE396,KMB!AI396)))</f>
        <v>0</v>
      </c>
      <c r="G396">
        <f>SUMPRODUCT((MONTH(CHOOSE({1,2,3,4},KMB!T396,KMB!X396,KMB!AB396,KMB!AF396))=7)*(CHOOSE({1,2,3,4},KMB!W396,KMB!AA396,KMB!AE396,KMB!AI396)))</f>
        <v>0</v>
      </c>
      <c r="H396">
        <f>SUMPRODUCT((MONTH(CHOOSE({1,2,3,4},KMB!T396,KMB!X396,KMB!AB396,KMB!AF396))=8)*(CHOOSE({1,2,3,4},KMB!W396,KMB!AA396,KMB!AE396,KMB!AI396)))</f>
        <v>0</v>
      </c>
      <c r="I396">
        <f>SUMPRODUCT((MONTH(CHOOSE({1,2,3,4},KMB!T396,KMB!X396,KMB!AB396,KMB!AF396))=9)*(CHOOSE({1,2,3,4},KMB!W396,KMB!AA396,KMB!AE396,KMB!AI396)))</f>
        <v>0</v>
      </c>
      <c r="J396">
        <f>SUMPRODUCT((MONTH(CHOOSE({1,2,3,4},KMB!T396,KMB!X396,KMB!AB396,KMB!AF396))=10)*(CHOOSE({1,2,3,4},KMB!W396,KMB!AA396,KMB!AE396,KMB!AI396)))</f>
        <v>0</v>
      </c>
      <c r="K396">
        <f>SUMPRODUCT((MONTH(CHOOSE({1,2,3,4},KMB!T396,KMB!X396,KMB!AB396,KMB!AF396))=11)*(CHOOSE({1,2,3,4},KMB!W396,KMB!AA396,KMB!AE396,KMB!AI396)))</f>
        <v>0</v>
      </c>
      <c r="L396">
        <f>SUMPRODUCT((MONTH(CHOOSE({1,2,3,4},KMB!T396,KMB!X396,KMB!AB396,KMB!AF396))=12)*(CHOOSE({1,2,3,4},KMB!W396,KMB!AA396,KMB!AE396,KMB!AI396)))</f>
        <v>0</v>
      </c>
    </row>
    <row r="397" spans="1:12">
      <c r="A397">
        <f>SUMPRODUCT((MONTH(CHOOSE({1,2,3,4},KMB!T397,KMB!X397,KMB!AB397,KMB!AF397))=1)*(CHOOSE({1,2,3,4},KMB!W397,KMB!AA397,KMB!AE397,KMB!AI397)))</f>
        <v>0</v>
      </c>
      <c r="B397">
        <f>SUMPRODUCT((MONTH(CHOOSE({1,2,3,4},KMB!T397,KMB!X397,KMB!AB397,KMB!AF397))=2)*(CHOOSE({1,2,3,4},KMB!W397,KMB!AA397,KMB!AE397,KMB!AI397)))</f>
        <v>0</v>
      </c>
      <c r="C397">
        <f>SUMPRODUCT((MONTH(CHOOSE({1,2,3,4},KMB!T397,KMB!X397,KMB!AB397,KMB!AF397))=3)*(CHOOSE({1,2,3,4},KMB!W397,KMB!AA397,KMB!AE397,KMB!AI397)))</f>
        <v>0</v>
      </c>
      <c r="D397">
        <f>SUMPRODUCT((MONTH(CHOOSE({1,2,3,4},KMB!T397,KMB!X397,KMB!AB397,KMB!AF397))=4)*(CHOOSE({1,2,3,4},KMB!W397,KMB!AA397,KMB!AE397,KMB!AI397)))</f>
        <v>0</v>
      </c>
      <c r="E397">
        <f>SUMPRODUCT((MONTH(CHOOSE({1,2,3,4},KMB!T397,KMB!X397,KMB!AB397,KMB!AF397))=5)*(CHOOSE({1,2,3,4},KMB!W397,KMB!AA397,KMB!AE397,KMB!AI397)))</f>
        <v>0</v>
      </c>
      <c r="F397">
        <f>SUMPRODUCT((MONTH(CHOOSE({1,2,3,4},KMB!T397,KMB!X397,KMB!AB397,KMB!AF397))=6)*(CHOOSE({1,2,3,4},KMB!W397,KMB!AA397,KMB!AE397,KMB!AI397)))</f>
        <v>0</v>
      </c>
      <c r="G397">
        <f>SUMPRODUCT((MONTH(CHOOSE({1,2,3,4},KMB!T397,KMB!X397,KMB!AB397,KMB!AF397))=7)*(CHOOSE({1,2,3,4},KMB!W397,KMB!AA397,KMB!AE397,KMB!AI397)))</f>
        <v>0</v>
      </c>
      <c r="H397">
        <f>SUMPRODUCT((MONTH(CHOOSE({1,2,3,4},KMB!T397,KMB!X397,KMB!AB397,KMB!AF397))=8)*(CHOOSE({1,2,3,4},KMB!W397,KMB!AA397,KMB!AE397,KMB!AI397)))</f>
        <v>0</v>
      </c>
      <c r="I397">
        <f>SUMPRODUCT((MONTH(CHOOSE({1,2,3,4},KMB!T397,KMB!X397,KMB!AB397,KMB!AF397))=9)*(CHOOSE({1,2,3,4},KMB!W397,KMB!AA397,KMB!AE397,KMB!AI397)))</f>
        <v>0</v>
      </c>
      <c r="J397">
        <f>SUMPRODUCT((MONTH(CHOOSE({1,2,3,4},KMB!T397,KMB!X397,KMB!AB397,KMB!AF397))=10)*(CHOOSE({1,2,3,4},KMB!W397,KMB!AA397,KMB!AE397,KMB!AI397)))</f>
        <v>0</v>
      </c>
      <c r="K397">
        <f>SUMPRODUCT((MONTH(CHOOSE({1,2,3,4},KMB!T397,KMB!X397,KMB!AB397,KMB!AF397))=11)*(CHOOSE({1,2,3,4},KMB!W397,KMB!AA397,KMB!AE397,KMB!AI397)))</f>
        <v>0</v>
      </c>
      <c r="L397">
        <f>SUMPRODUCT((MONTH(CHOOSE({1,2,3,4},KMB!T397,KMB!X397,KMB!AB397,KMB!AF397))=12)*(CHOOSE({1,2,3,4},KMB!W397,KMB!AA397,KMB!AE397,KMB!AI397)))</f>
        <v>0</v>
      </c>
    </row>
    <row r="398" spans="1:12">
      <c r="A398">
        <f>SUMPRODUCT((MONTH(CHOOSE({1,2,3,4},KMB!T398,KMB!X398,KMB!AB398,KMB!AF398))=1)*(CHOOSE({1,2,3,4},KMB!W398,KMB!AA398,KMB!AE398,KMB!AI398)))</f>
        <v>0</v>
      </c>
      <c r="B398">
        <f>SUMPRODUCT((MONTH(CHOOSE({1,2,3,4},KMB!T398,KMB!X398,KMB!AB398,KMB!AF398))=2)*(CHOOSE({1,2,3,4},KMB!W398,KMB!AA398,KMB!AE398,KMB!AI398)))</f>
        <v>0</v>
      </c>
      <c r="C398">
        <f>SUMPRODUCT((MONTH(CHOOSE({1,2,3,4},KMB!T398,KMB!X398,KMB!AB398,KMB!AF398))=3)*(CHOOSE({1,2,3,4},KMB!W398,KMB!AA398,KMB!AE398,KMB!AI398)))</f>
        <v>0</v>
      </c>
      <c r="D398">
        <f>SUMPRODUCT((MONTH(CHOOSE({1,2,3,4},KMB!T398,KMB!X398,KMB!AB398,KMB!AF398))=4)*(CHOOSE({1,2,3,4},KMB!W398,KMB!AA398,KMB!AE398,KMB!AI398)))</f>
        <v>0</v>
      </c>
      <c r="E398">
        <f>SUMPRODUCT((MONTH(CHOOSE({1,2,3,4},KMB!T398,KMB!X398,KMB!AB398,KMB!AF398))=5)*(CHOOSE({1,2,3,4},KMB!W398,KMB!AA398,KMB!AE398,KMB!AI398)))</f>
        <v>0</v>
      </c>
      <c r="F398">
        <f>SUMPRODUCT((MONTH(CHOOSE({1,2,3,4},KMB!T398,KMB!X398,KMB!AB398,KMB!AF398))=6)*(CHOOSE({1,2,3,4},KMB!W398,KMB!AA398,KMB!AE398,KMB!AI398)))</f>
        <v>0</v>
      </c>
      <c r="G398">
        <f>SUMPRODUCT((MONTH(CHOOSE({1,2,3,4},KMB!T398,KMB!X398,KMB!AB398,KMB!AF398))=7)*(CHOOSE({1,2,3,4},KMB!W398,KMB!AA398,KMB!AE398,KMB!AI398)))</f>
        <v>0</v>
      </c>
      <c r="H398">
        <f>SUMPRODUCT((MONTH(CHOOSE({1,2,3,4},KMB!T398,KMB!X398,KMB!AB398,KMB!AF398))=8)*(CHOOSE({1,2,3,4},KMB!W398,KMB!AA398,KMB!AE398,KMB!AI398)))</f>
        <v>0</v>
      </c>
      <c r="I398">
        <f>SUMPRODUCT((MONTH(CHOOSE({1,2,3,4},KMB!T398,KMB!X398,KMB!AB398,KMB!AF398))=9)*(CHOOSE({1,2,3,4},KMB!W398,KMB!AA398,KMB!AE398,KMB!AI398)))</f>
        <v>0</v>
      </c>
      <c r="J398">
        <f>SUMPRODUCT((MONTH(CHOOSE({1,2,3,4},KMB!T398,KMB!X398,KMB!AB398,KMB!AF398))=10)*(CHOOSE({1,2,3,4},KMB!W398,KMB!AA398,KMB!AE398,KMB!AI398)))</f>
        <v>0</v>
      </c>
      <c r="K398">
        <f>SUMPRODUCT((MONTH(CHOOSE({1,2,3,4},KMB!T398,KMB!X398,KMB!AB398,KMB!AF398))=11)*(CHOOSE({1,2,3,4},KMB!W398,KMB!AA398,KMB!AE398,KMB!AI398)))</f>
        <v>0</v>
      </c>
      <c r="L398">
        <f>SUMPRODUCT((MONTH(CHOOSE({1,2,3,4},KMB!T398,KMB!X398,KMB!AB398,KMB!AF398))=12)*(CHOOSE({1,2,3,4},KMB!W398,KMB!AA398,KMB!AE398,KMB!AI398)))</f>
        <v>0</v>
      </c>
    </row>
    <row r="399" spans="1:12">
      <c r="A399">
        <f>SUMPRODUCT((MONTH(CHOOSE({1,2,3,4},KMB!T399,KMB!X399,KMB!AB399,KMB!AF399))=1)*(CHOOSE({1,2,3,4},KMB!W399,KMB!AA399,KMB!AE399,KMB!AI399)))</f>
        <v>0</v>
      </c>
      <c r="B399">
        <f>SUMPRODUCT((MONTH(CHOOSE({1,2,3,4},KMB!T399,KMB!X399,KMB!AB399,KMB!AF399))=2)*(CHOOSE({1,2,3,4},KMB!W399,KMB!AA399,KMB!AE399,KMB!AI399)))</f>
        <v>0</v>
      </c>
      <c r="C399">
        <f>SUMPRODUCT((MONTH(CHOOSE({1,2,3,4},KMB!T399,KMB!X399,KMB!AB399,KMB!AF399))=3)*(CHOOSE({1,2,3,4},KMB!W399,KMB!AA399,KMB!AE399,KMB!AI399)))</f>
        <v>0</v>
      </c>
      <c r="D399">
        <f>SUMPRODUCT((MONTH(CHOOSE({1,2,3,4},KMB!T399,KMB!X399,KMB!AB399,KMB!AF399))=4)*(CHOOSE({1,2,3,4},KMB!W399,KMB!AA399,KMB!AE399,KMB!AI399)))</f>
        <v>0</v>
      </c>
      <c r="E399">
        <f>SUMPRODUCT((MONTH(CHOOSE({1,2,3,4},KMB!T399,KMB!X399,KMB!AB399,KMB!AF399))=5)*(CHOOSE({1,2,3,4},KMB!W399,KMB!AA399,KMB!AE399,KMB!AI399)))</f>
        <v>0</v>
      </c>
      <c r="F399">
        <f>SUMPRODUCT((MONTH(CHOOSE({1,2,3,4},KMB!T399,KMB!X399,KMB!AB399,KMB!AF399))=6)*(CHOOSE({1,2,3,4},KMB!W399,KMB!AA399,KMB!AE399,KMB!AI399)))</f>
        <v>0</v>
      </c>
      <c r="G399">
        <f>SUMPRODUCT((MONTH(CHOOSE({1,2,3,4},KMB!T399,KMB!X399,KMB!AB399,KMB!AF399))=7)*(CHOOSE({1,2,3,4},KMB!W399,KMB!AA399,KMB!AE399,KMB!AI399)))</f>
        <v>0</v>
      </c>
      <c r="H399">
        <f>SUMPRODUCT((MONTH(CHOOSE({1,2,3,4},KMB!T399,KMB!X399,KMB!AB399,KMB!AF399))=8)*(CHOOSE({1,2,3,4},KMB!W399,KMB!AA399,KMB!AE399,KMB!AI399)))</f>
        <v>0</v>
      </c>
      <c r="I399">
        <f>SUMPRODUCT((MONTH(CHOOSE({1,2,3,4},KMB!T399,KMB!X399,KMB!AB399,KMB!AF399))=9)*(CHOOSE({1,2,3,4},KMB!W399,KMB!AA399,KMB!AE399,KMB!AI399)))</f>
        <v>0</v>
      </c>
      <c r="J399">
        <f>SUMPRODUCT((MONTH(CHOOSE({1,2,3,4},KMB!T399,KMB!X399,KMB!AB399,KMB!AF399))=10)*(CHOOSE({1,2,3,4},KMB!W399,KMB!AA399,KMB!AE399,KMB!AI399)))</f>
        <v>0</v>
      </c>
      <c r="K399">
        <f>SUMPRODUCT((MONTH(CHOOSE({1,2,3,4},KMB!T399,KMB!X399,KMB!AB399,KMB!AF399))=11)*(CHOOSE({1,2,3,4},KMB!W399,KMB!AA399,KMB!AE399,KMB!AI399)))</f>
        <v>0</v>
      </c>
      <c r="L399">
        <f>SUMPRODUCT((MONTH(CHOOSE({1,2,3,4},KMB!T399,KMB!X399,KMB!AB399,KMB!AF399))=12)*(CHOOSE({1,2,3,4},KMB!W399,KMB!AA399,KMB!AE399,KMB!AI399)))</f>
        <v>0</v>
      </c>
    </row>
    <row r="400" spans="1:12">
      <c r="A400">
        <f>SUMPRODUCT((MONTH(CHOOSE({1,2,3,4},KMB!T400,KMB!X400,KMB!AB400,KMB!AF400))=1)*(CHOOSE({1,2,3,4},KMB!W400,KMB!AA400,KMB!AE400,KMB!AI400)))</f>
        <v>0</v>
      </c>
      <c r="B400">
        <f>SUMPRODUCT((MONTH(CHOOSE({1,2,3,4},KMB!T400,KMB!X400,KMB!AB400,KMB!AF400))=2)*(CHOOSE({1,2,3,4},KMB!W400,KMB!AA400,KMB!AE400,KMB!AI400)))</f>
        <v>0</v>
      </c>
      <c r="C400">
        <f>SUMPRODUCT((MONTH(CHOOSE({1,2,3,4},KMB!T400,KMB!X400,KMB!AB400,KMB!AF400))=3)*(CHOOSE({1,2,3,4},KMB!W400,KMB!AA400,KMB!AE400,KMB!AI400)))</f>
        <v>0</v>
      </c>
      <c r="D400">
        <f>SUMPRODUCT((MONTH(CHOOSE({1,2,3,4},KMB!T400,KMB!X400,KMB!AB400,KMB!AF400))=4)*(CHOOSE({1,2,3,4},KMB!W400,KMB!AA400,KMB!AE400,KMB!AI400)))</f>
        <v>0</v>
      </c>
      <c r="E400">
        <f>SUMPRODUCT((MONTH(CHOOSE({1,2,3,4},KMB!T400,KMB!X400,KMB!AB400,KMB!AF400))=5)*(CHOOSE({1,2,3,4},KMB!W400,KMB!AA400,KMB!AE400,KMB!AI400)))</f>
        <v>0</v>
      </c>
      <c r="F400">
        <f>SUMPRODUCT((MONTH(CHOOSE({1,2,3,4},KMB!T400,KMB!X400,KMB!AB400,KMB!AF400))=6)*(CHOOSE({1,2,3,4},KMB!W400,KMB!AA400,KMB!AE400,KMB!AI400)))</f>
        <v>0</v>
      </c>
      <c r="G400">
        <f>SUMPRODUCT((MONTH(CHOOSE({1,2,3,4},KMB!T400,KMB!X400,KMB!AB400,KMB!AF400))=7)*(CHOOSE({1,2,3,4},KMB!W400,KMB!AA400,KMB!AE400,KMB!AI400)))</f>
        <v>0</v>
      </c>
      <c r="H400">
        <f>SUMPRODUCT((MONTH(CHOOSE({1,2,3,4},KMB!T400,KMB!X400,KMB!AB400,KMB!AF400))=8)*(CHOOSE({1,2,3,4},KMB!W400,KMB!AA400,KMB!AE400,KMB!AI400)))</f>
        <v>0</v>
      </c>
      <c r="I400">
        <f>SUMPRODUCT((MONTH(CHOOSE({1,2,3,4},KMB!T400,KMB!X400,KMB!AB400,KMB!AF400))=9)*(CHOOSE({1,2,3,4},KMB!W400,KMB!AA400,KMB!AE400,KMB!AI400)))</f>
        <v>0</v>
      </c>
      <c r="J400">
        <f>SUMPRODUCT((MONTH(CHOOSE({1,2,3,4},KMB!T400,KMB!X400,KMB!AB400,KMB!AF400))=10)*(CHOOSE({1,2,3,4},KMB!W400,KMB!AA400,KMB!AE400,KMB!AI400)))</f>
        <v>0</v>
      </c>
      <c r="K400">
        <f>SUMPRODUCT((MONTH(CHOOSE({1,2,3,4},KMB!T400,KMB!X400,KMB!AB400,KMB!AF400))=11)*(CHOOSE({1,2,3,4},KMB!W400,KMB!AA400,KMB!AE400,KMB!AI400)))</f>
        <v>0</v>
      </c>
      <c r="L400">
        <f>SUMPRODUCT((MONTH(CHOOSE({1,2,3,4},KMB!T400,KMB!X400,KMB!AB400,KMB!AF400))=12)*(CHOOSE({1,2,3,4},KMB!W400,KMB!AA400,KMB!AE400,KMB!AI400)))</f>
        <v>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"/>
  <sheetViews>
    <sheetView tabSelected="1" zoomScale="90" zoomScaleNormal="90" workbookViewId="0">
      <selection activeCell="E18" sqref="E18"/>
    </sheetView>
  </sheetViews>
  <sheetFormatPr defaultRowHeight="13.6"/>
  <cols>
    <col min="21" max="21" width="13.140625" customWidth="1"/>
  </cols>
  <sheetData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C926-2352-4219-969E-51C595349C9E}">
  <dimension ref="A1"/>
  <sheetViews>
    <sheetView workbookViewId="0"/>
  </sheetViews>
  <sheetFormatPr defaultRowHeight="13.6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"/>
  <sheetViews>
    <sheetView zoomScale="90" zoomScaleNormal="90" workbookViewId="0">
      <selection activeCell="G17" sqref="G17"/>
    </sheetView>
  </sheetViews>
  <sheetFormatPr defaultColWidth="9.140625" defaultRowHeight="13.6"/>
  <cols>
    <col min="27" max="27" width="9.7109375" bestFit="1" customWidth="1"/>
    <col min="28" max="28" width="9.28515625" bestFit="1" customWidth="1"/>
    <col min="29" max="30" width="11.85546875" bestFit="1" customWidth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"/>
  <sheetViews>
    <sheetView zoomScale="90" zoomScaleNormal="90" workbookViewId="0"/>
  </sheetViews>
  <sheetFormatPr defaultColWidth="9.140625" defaultRowHeight="13.6"/>
  <cols>
    <col min="11" max="11" width="17.7109375" customWidth="1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"/>
  <sheetViews>
    <sheetView zoomScale="90" zoomScaleNormal="90" workbookViewId="0"/>
  </sheetViews>
  <sheetFormatPr defaultColWidth="9.28515625" defaultRowHeight="13.6"/>
  <cols>
    <col min="19" max="19" width="13.28515625" customWidth="1"/>
    <col min="21" max="21" width="14.85546875" customWidth="1"/>
    <col min="22" max="22" width="11.42578125" customWidth="1"/>
    <col min="24" max="24" width="9.28515625" customWidth="1"/>
    <col min="27" max="27" width="13.140625" customWidth="1"/>
    <col min="30" max="30" width="13.140625" customWidth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"/>
  <sheetViews>
    <sheetView zoomScale="90" zoomScaleNormal="90" workbookViewId="0"/>
  </sheetViews>
  <sheetFormatPr defaultColWidth="9.140625" defaultRowHeight="13.6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A1"/>
  <sheetViews>
    <sheetView zoomScale="90" zoomScaleNormal="90" workbookViewId="0"/>
  </sheetViews>
  <sheetFormatPr defaultColWidth="9.140625" defaultRowHeight="13.6"/>
  <cols>
    <col min="11" max="11" width="12.85546875" customWidth="1"/>
    <col min="12" max="12" width="13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TỔNG HỢP</vt:lpstr>
      <vt:lpstr>mau2</vt:lpstr>
      <vt:lpstr>mau1</vt:lpstr>
      <vt:lpstr>mau3</vt:lpstr>
      <vt:lpstr>TONGHOP</vt:lpstr>
      <vt:lpstr>XTTH</vt:lpstr>
      <vt:lpstr>HNTH</vt:lpstr>
      <vt:lpstr>NĐTH</vt:lpstr>
      <vt:lpstr>TTSSKĐTH</vt:lpstr>
      <vt:lpstr>KHPTH</vt:lpstr>
      <vt:lpstr>KMBTH</vt:lpstr>
      <vt:lpstr>HN</vt:lpstr>
      <vt:lpstr>DIEUCHINH</vt:lpstr>
      <vt:lpstr>NĐ</vt:lpstr>
      <vt:lpstr>TTSSKĐ</vt:lpstr>
      <vt:lpstr>XT</vt:lpstr>
      <vt:lpstr>KHP</vt:lpstr>
      <vt:lpstr>KMB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NGUYEN THANH THAO</cp:lastModifiedBy>
  <cp:lastPrinted>2023-03-20T02:03:26Z</cp:lastPrinted>
  <dcterms:created xsi:type="dcterms:W3CDTF">2022-09-28T08:45:39Z</dcterms:created>
  <dcterms:modified xsi:type="dcterms:W3CDTF">2026-10-31T15:20:10Z</dcterms:modified>
</cp:coreProperties>
</file>